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Warrant Stack" sheetId="2" state="visible" r:id="rId4"/>
    <sheet name="Site Dockets" sheetId="3" state="visible" r:id="rId5"/>
    <sheet name="Commission Gates" sheetId="4" state="visible" r:id="rId6"/>
    <sheet name="Role Appointments" sheetId="5" state="visible" r:id="rId7"/>
    <sheet name="Key Custody" sheetId="6" state="visible" r:id="rId8"/>
    <sheet name="Vendor Lots" sheetId="7" state="visible" r:id="rId9"/>
    <sheet name="Capacity Basis" sheetId="8" state="visible" r:id="rId10"/>
    <sheet name="Capacity Stress" sheetId="9" state="visible" r:id="rId11"/>
    <sheet name="Failure Worlds" sheetId="10" state="visible" r:id="rId12"/>
    <sheet name="Recovery Clocks" sheetId="11" state="visible" r:id="rId13"/>
    <sheet name="Capital and Ops" sheetId="12" state="visible" r:id="rId14"/>
    <sheet name="State Law" sheetId="13" state="visible" r:id="rId15"/>
    <sheet name="Inputs" sheetId="14" state="visible" r:id="rId16"/>
    <sheet name="Mutations" sheetId="15" state="visible" r:id="rId17"/>
    <sheet name="Audit" sheetId="16" state="visible" r:id="rId18"/>
    <sheet name="ReadMe" sheetId="17" state="visible" r:id="rId1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<sst xmlns="http://schemas.openxmlformats.org/spreadsheetml/2006/main" count="31332" uniqueCount="1711">
  <si>
    <t xml:space="preserve">Commissioning and non-displacement warrant</t>
  </si>
  <si>
    <t xml:space="preserve">Pass 234 decision model. Capacity closure is architectural; every real identity, drill and commissioning act remains open.</t>
  </si>
  <si>
    <t xml:space="preserve">Decision: adopt CNW-1 as the only path from FAE-1 topology to an available technical estate</t>
  </si>
  <si>
    <t xml:space="preserve">Site dockets</t>
  </si>
  <si>
    <t xml:space="preserve">Role appointments</t>
  </si>
  <si>
    <t xml:space="preserve">Key records</t>
  </si>
  <si>
    <t xml:space="preserve">Vendor lots</t>
  </si>
  <si>
    <t xml:space="preserve">Capacity worlds passed</t>
  </si>
  <si>
    <t xml:space="preserve">Recovery trials passed</t>
  </si>
  <si>
    <t xml:space="preserve">Estate activation</t>
  </si>
  <si>
    <t xml:space="preserve">Commissioning law</t>
  </si>
  <si>
    <t xml:space="preserve">All eighteen site dockets and six root estates activate together; no root gains an artifact-validity timing advantage.</t>
  </si>
  <si>
    <t xml:space="preserve">Every resource carries an exclusive truth-train reservation, a separate artifact partition and unassigned headroom.</t>
  </si>
  <si>
    <t xml:space="preserve">Vendors build bounded lots but never operate enclaves, hold court authority, release escrow or conduct recovery.</t>
  </si>
  <si>
    <t xml:space="preserve">Every site and region loss runs at full truth reservation while artifact failover remains inside its own partition.</t>
  </si>
  <si>
    <t xml:space="preserve">Recovery trials use synthetic availability loads. They contain no package content and create zero AVW credit.</t>
  </si>
  <si>
    <t xml:space="preserve">Common control, lineage leakage or truth-capacity displacement terminates the cell instead of centralizing it.</t>
  </si>
  <si>
    <t xml:space="preserve">Capacity and implementation boundary</t>
  </si>
  <si>
    <t xml:space="preserve">Normalized host capacity</t>
  </si>
  <si>
    <t xml:space="preserve">World class</t>
  </si>
  <si>
    <t xml:space="preserve">Minimum headroom</t>
  </si>
  <si>
    <t xml:space="preserve">Truth-train reservation</t>
  </si>
  <si>
    <t xml:space="preserve">Site loss</t>
  </si>
  <si>
    <t xml:space="preserve">Artifact partition</t>
  </si>
  <si>
    <t xml:space="preserve">Region loss</t>
  </si>
  <si>
    <t xml:space="preserve">Minimum simultaneous headroom</t>
  </si>
  <si>
    <t xml:space="preserve">Vendor exit</t>
  </si>
  <si>
    <t xml:space="preserve">Stress records passing</t>
  </si>
  <si>
    <t xml:space="preserve">Role compromise</t>
  </si>
  <si>
    <t xml:space="preserve">Architecture gates passing</t>
  </si>
  <si>
    <t xml:space="preserve">Court or custody</t>
  </si>
  <si>
    <t xml:space="preserve">Implementation gates open</t>
  </si>
  <si>
    <t xml:space="preserve">Recovery trials open</t>
  </si>
  <si>
    <t xml:space="preserve">Capital added (USD M)</t>
  </si>
  <si>
    <t xml:space="preserve">Current authority boundary</t>
  </si>
  <si>
    <t xml:space="preserve">Named sites and stewards</t>
  </si>
  <si>
    <t xml:space="preserve">0 / 0</t>
  </si>
  <si>
    <t xml:space="preserve">Issued keys and vendor awards</t>
  </si>
  <si>
    <t xml:space="preserve">Commissioned builds and completed drills</t>
  </si>
  <si>
    <t xml:space="preserve">Non-displacement warrants</t>
  </si>
  <si>
    <t xml:space="preserve">0 of 18</t>
  </si>
  <si>
    <t xml:space="preserve">Root availability and estate activation</t>
  </si>
  <si>
    <t xml:space="preserve">AVW, payments and observations</t>
  </si>
  <si>
    <t xml:space="preserve">0 / 0 / 0</t>
  </si>
  <si>
    <t xml:space="preserve">Selection, MAKE and REP-4</t>
  </si>
  <si>
    <t xml:space="preserve">Capital status</t>
  </si>
  <si>
    <t xml:space="preserve">CO-USE / NO NEW APPROPRIATION</t>
  </si>
  <si>
    <t xml:space="preserve">Commissioning warrant stack</t>
  </si>
  <si>
    <t xml:space="preserve">The stack may populate a site and activate the estate. It cannot validate a design package, create evidence or release payment.</t>
  </si>
  <si>
    <t xml:space="preserve">Instrument</t>
  </si>
  <si>
    <t xml:space="preserve">Scope</t>
  </si>
  <si>
    <t xml:space="preserve">Issuer</t>
  </si>
  <si>
    <t xml:space="preserve">Required input</t>
  </si>
  <si>
    <t xml:space="preserve">Authorized act</t>
  </si>
  <si>
    <t xml:space="preserve">Forbidden conversion</t>
  </si>
  <si>
    <t xml:space="preserve">Required records</t>
  </si>
  <si>
    <t xml:space="preserve">Current issued</t>
  </si>
  <si>
    <t xml:space="preserve">Site Commissioning Docket</t>
  </si>
  <si>
    <t xml:space="preserve">18 sites</t>
  </si>
  <si>
    <t xml:space="preserve">Physical Site Court</t>
  </si>
  <si>
    <t xml:space="preserve">named place and control graph</t>
  </si>
  <si>
    <t xml:space="preserve">admit one site docket</t>
  </si>
  <si>
    <t xml:space="preserve">site class to site fact</t>
  </si>
  <si>
    <t xml:space="preserve">Role Appointment Record</t>
  </si>
  <si>
    <t xml:space="preserve">96 appointments</t>
  </si>
  <si>
    <t xml:space="preserve">Role registrar</t>
  </si>
  <si>
    <t xml:space="preserve">identity and control clearance</t>
  </si>
  <si>
    <t xml:space="preserve">appoint one bounded role</t>
  </si>
  <si>
    <t xml:space="preserve">appointment to independence</t>
  </si>
  <si>
    <t xml:space="preserve">Key and Share Commission</t>
  </si>
  <si>
    <t xml:space="preserve">78 records</t>
  </si>
  <si>
    <t xml:space="preserve">Key authority</t>
  </si>
  <si>
    <t xml:space="preserve">ceremony and custody chain</t>
  </si>
  <si>
    <t xml:space="preserve">issue one scoped key</t>
  </si>
  <si>
    <t xml:space="preserve">key to artifact validity</t>
  </si>
  <si>
    <t xml:space="preserve">Vendor Admission Record</t>
  </si>
  <si>
    <t xml:space="preserve">72 lots</t>
  </si>
  <si>
    <t xml:space="preserve">Control registrar</t>
  </si>
  <si>
    <t xml:space="preserve">primary plus N-1 alternate</t>
  </si>
  <si>
    <t xml:space="preserve">admit a lot position</t>
  </si>
  <si>
    <t xml:space="preserve">award to operating authority</t>
  </si>
  <si>
    <t xml:space="preserve">Capacity Reservation Record</t>
  </si>
  <si>
    <t xml:space="preserve">108 resources</t>
  </si>
  <si>
    <t xml:space="preserve">Site capacity steward</t>
  </si>
  <si>
    <t xml:space="preserve">truth and artifact partitions</t>
  </si>
  <si>
    <t xml:space="preserve">reserve bounded capacity</t>
  </si>
  <si>
    <t xml:space="preserve">reservation to measurement</t>
  </si>
  <si>
    <t xml:space="preserve">Recovery Trial Record</t>
  </si>
  <si>
    <t xml:space="preserve">180 trials</t>
  </si>
  <si>
    <t xml:space="preserve">Independent drill authority</t>
  </si>
  <si>
    <t xml:space="preserve">synthetic load and observer</t>
  </si>
  <si>
    <t xml:space="preserve">record a recovery clock</t>
  </si>
  <si>
    <t xml:space="preserve">drill to AVW</t>
  </si>
  <si>
    <t xml:space="preserve">Non-Displacement Warrant</t>
  </si>
  <si>
    <t xml:space="preserve">Truth Capacity Court</t>
  </si>
  <si>
    <t xml:space="preserve">all stress worlds and schedule</t>
  </si>
  <si>
    <t xml:space="preserve">seal co-use boundary</t>
  </si>
  <si>
    <t xml:space="preserve">co-use to new appropriation</t>
  </si>
  <si>
    <t xml:space="preserve">Root Availability Warrant</t>
  </si>
  <si>
    <t xml:space="preserve">6 roots</t>
  </si>
  <si>
    <t xml:space="preserve">Root Artifact Court</t>
  </si>
  <si>
    <t xml:space="preserve">three commissioned dockets</t>
  </si>
  <si>
    <t xml:space="preserve">make root estate available</t>
  </si>
  <si>
    <t xml:space="preserve">availability to package validity</t>
  </si>
  <si>
    <t xml:space="preserve">Estate Activation Warrant</t>
  </si>
  <si>
    <t xml:space="preserve">1 cohort</t>
  </si>
  <si>
    <t xml:space="preserve">Cohort activation registrar</t>
  </si>
  <si>
    <t xml:space="preserve">six simultaneous root warrants</t>
  </si>
  <si>
    <t xml:space="preserve">activate technical estate</t>
  </si>
  <si>
    <t xml:space="preserve">activation to payment</t>
  </si>
  <si>
    <t xml:space="preserve">Artifact Validity Warrant</t>
  </si>
  <si>
    <t xml:space="preserve">30 packages</t>
  </si>
  <si>
    <t xml:space="preserve">DRG-1 reconstruction</t>
  </si>
  <si>
    <t xml:space="preserve">accept one design artifact</t>
  </si>
  <si>
    <t xml:space="preserve">acceptance to observation</t>
  </si>
  <si>
    <t xml:space="preserve">Finance Disbursement Warrant</t>
  </si>
  <si>
    <t xml:space="preserve">180 claims</t>
  </si>
  <si>
    <t xml:space="preserve">Finance authority</t>
  </si>
  <si>
    <t xml:space="preserve">valid artifact and milestone</t>
  </si>
  <si>
    <t xml:space="preserve">release bounded payment</t>
  </si>
  <si>
    <t xml:space="preserve">payment to evidence</t>
  </si>
  <si>
    <t xml:space="preserve">Termination Order</t>
  </si>
  <si>
    <t xml:space="preserve">one affected cell</t>
  </si>
  <si>
    <t xml:space="preserve">Constitutional custodian</t>
  </si>
  <si>
    <t xml:space="preserve">common control, leakage or displacement</t>
  </si>
  <si>
    <t xml:space="preserve">seal and return authority</t>
  </si>
  <si>
    <t xml:space="preserve">failure to central takeover</t>
  </si>
  <si>
    <t xml:space="preserve">Eighteen site commissioning dockets</t>
  </si>
  <si>
    <t xml:space="preserve">A docket provides fields for real identities. Every implementation field remains empty until an independent issuer supplies a source record.</t>
  </si>
  <si>
    <t xml:space="preserve">Docket</t>
  </si>
  <si>
    <t xml:space="preserve">Site slot</t>
  </si>
  <si>
    <t xml:space="preserve">Root</t>
  </si>
  <si>
    <t xml:space="preserve">Form</t>
  </si>
  <si>
    <t xml:space="preserve">Failure domain</t>
  </si>
  <si>
    <t xml:space="preserve">Position</t>
  </si>
  <si>
    <t xml:space="preserve">Primary role</t>
  </si>
  <si>
    <t xml:space="preserve">Standby role</t>
  </si>
  <si>
    <t xml:space="preserve">Exchange host</t>
  </si>
  <si>
    <t xml:space="preserve">Named site</t>
  </si>
  <si>
    <t xml:space="preserve">Charter record</t>
  </si>
  <si>
    <t xml:space="preserve">Public steward</t>
  </si>
  <si>
    <t xml:space="preserve">Steward control</t>
  </si>
  <si>
    <t xml:space="preserve">Site admitted</t>
  </si>
  <si>
    <t xml:space="preserve">Failure basin revalidated</t>
  </si>
  <si>
    <t xml:space="preserve">Capacity attested</t>
  </si>
  <si>
    <t xml:space="preserve">Enclave build commissioned</t>
  </si>
  <si>
    <t xml:space="preserve">Gates passed</t>
  </si>
  <si>
    <t xml:space="preserve">State</t>
  </si>
  <si>
    <t xml:space="preserve">D-S01</t>
  </si>
  <si>
    <t xml:space="preserve">S01</t>
  </si>
  <si>
    <t xml:space="preserve">ET-A</t>
  </si>
  <si>
    <t xml:space="preserve">ET-A-A</t>
  </si>
  <si>
    <t xml:space="preserve">FD-A</t>
  </si>
  <si>
    <t xml:space="preserve">Native</t>
  </si>
  <si>
    <t xml:space="preserve">Divergence</t>
  </si>
  <si>
    <t xml:space="preserve">D-S02</t>
  </si>
  <si>
    <t xml:space="preserve">S02</t>
  </si>
  <si>
    <t xml:space="preserve">FD-C</t>
  </si>
  <si>
    <t xml:space="preserve">Clean</t>
  </si>
  <si>
    <t xml:space="preserve">D-S03</t>
  </si>
  <si>
    <t xml:space="preserve">S03</t>
  </si>
  <si>
    <t xml:space="preserve">FD-E</t>
  </si>
  <si>
    <t xml:space="preserve">D-S04</t>
  </si>
  <si>
    <t xml:space="preserve">S04</t>
  </si>
  <si>
    <t xml:space="preserve">CT-C</t>
  </si>
  <si>
    <t xml:space="preserve">CT-C-B</t>
  </si>
  <si>
    <t xml:space="preserve">FD-B</t>
  </si>
  <si>
    <t xml:space="preserve">D-S05</t>
  </si>
  <si>
    <t xml:space="preserve">S05</t>
  </si>
  <si>
    <t xml:space="preserve">FD-D</t>
  </si>
  <si>
    <t xml:space="preserve">D-S06</t>
  </si>
  <si>
    <t xml:space="preserve">S06</t>
  </si>
  <si>
    <t xml:space="preserve">FD-F</t>
  </si>
  <si>
    <t xml:space="preserve">D-S07</t>
  </si>
  <si>
    <t xml:space="preserve">S07</t>
  </si>
  <si>
    <t xml:space="preserve">HC-A</t>
  </si>
  <si>
    <t xml:space="preserve">HC-A-C</t>
  </si>
  <si>
    <t xml:space="preserve">D-S08</t>
  </si>
  <si>
    <t xml:space="preserve">S08</t>
  </si>
  <si>
    <t xml:space="preserve">D-S09</t>
  </si>
  <si>
    <t xml:space="preserve">S09</t>
  </si>
  <si>
    <t xml:space="preserve">D-S10</t>
  </si>
  <si>
    <t xml:space="preserve">S10</t>
  </si>
  <si>
    <t xml:space="preserve">LF-B</t>
  </si>
  <si>
    <t xml:space="preserve">LF-B-A</t>
  </si>
  <si>
    <t xml:space="preserve">D-S11</t>
  </si>
  <si>
    <t xml:space="preserve">S11</t>
  </si>
  <si>
    <t xml:space="preserve">D-S12</t>
  </si>
  <si>
    <t xml:space="preserve">S12</t>
  </si>
  <si>
    <t xml:space="preserve">D-S13</t>
  </si>
  <si>
    <t xml:space="preserve">S13</t>
  </si>
  <si>
    <t xml:space="preserve">HU-A</t>
  </si>
  <si>
    <t xml:space="preserve">HU-A-B</t>
  </si>
  <si>
    <t xml:space="preserve">D-S14</t>
  </si>
  <si>
    <t xml:space="preserve">S14</t>
  </si>
  <si>
    <t xml:space="preserve">D-S15</t>
  </si>
  <si>
    <t xml:space="preserve">S15</t>
  </si>
  <si>
    <t xml:space="preserve">D-S16</t>
  </si>
  <si>
    <t xml:space="preserve">S16</t>
  </si>
  <si>
    <t xml:space="preserve">RT-B</t>
  </si>
  <si>
    <t xml:space="preserve">RT-B-C</t>
  </si>
  <si>
    <t xml:space="preserve">D-S17</t>
  </si>
  <si>
    <t xml:space="preserve">S17</t>
  </si>
  <si>
    <t xml:space="preserve">D-S18</t>
  </si>
  <si>
    <t xml:space="preserve">S18</t>
  </si>
  <si>
    <t xml:space="preserve">Site commissioning gates</t>
  </si>
  <si>
    <t xml:space="preserve">Five architecture gates are constituted at each site. Fifteen implementation gates remain open and noncompensatory.</t>
  </si>
  <si>
    <t xml:space="preserve">Gate record</t>
  </si>
  <si>
    <t xml:space="preserve">Site</t>
  </si>
  <si>
    <t xml:space="preserve">Gate</t>
  </si>
  <si>
    <t xml:space="preserve">Required</t>
  </si>
  <si>
    <t xml:space="preserve">Current</t>
  </si>
  <si>
    <t xml:space="preserve">Failure disposition</t>
  </si>
  <si>
    <t xml:space="preserve">CG001</t>
  </si>
  <si>
    <t xml:space="preserve">Site slot fixed</t>
  </si>
  <si>
    <t xml:space="preserve">RETURN DOCKET</t>
  </si>
  <si>
    <t xml:space="preserve">CG002</t>
  </si>
  <si>
    <t xml:space="preserve">Failure domain fixed</t>
  </si>
  <si>
    <t xml:space="preserve">CG003</t>
  </si>
  <si>
    <t xml:space="preserve">Named site record</t>
  </si>
  <si>
    <t xml:space="preserve">CG004</t>
  </si>
  <si>
    <t xml:space="preserve">Site charter admitted</t>
  </si>
  <si>
    <t xml:space="preserve">CG005</t>
  </si>
  <si>
    <t xml:space="preserve">CG006</t>
  </si>
  <si>
    <t xml:space="preserve">Public steward named</t>
  </si>
  <si>
    <t xml:space="preserve">CG007</t>
  </si>
  <si>
    <t xml:space="preserve">Steward control registered</t>
  </si>
  <si>
    <t xml:space="preserve">CG008</t>
  </si>
  <si>
    <t xml:space="preserve">Appointment roster complete</t>
  </si>
  <si>
    <t xml:space="preserve">CG009</t>
  </si>
  <si>
    <t xml:space="preserve">Key set complete</t>
  </si>
  <si>
    <t xml:space="preserve">CG010</t>
  </si>
  <si>
    <t xml:space="preserve">Primary vendor slate</t>
  </si>
  <si>
    <t xml:space="preserve">CG011</t>
  </si>
  <si>
    <t xml:space="preserve">N-1 alternate slate</t>
  </si>
  <si>
    <t xml:space="preserve">CG012</t>
  </si>
  <si>
    <t xml:space="preserve">No vendor operating dependency</t>
  </si>
  <si>
    <t xml:space="preserve">TERMINATE CELL</t>
  </si>
  <si>
    <t xml:space="preserve">CG013</t>
  </si>
  <si>
    <t xml:space="preserve">CG014</t>
  </si>
  <si>
    <t xml:space="preserve">Capacity partition constituted</t>
  </si>
  <si>
    <t xml:space="preserve">CG015</t>
  </si>
  <si>
    <t xml:space="preserve">All capacity worlds pass</t>
  </si>
  <si>
    <t xml:space="preserve">HOLD ESTATE</t>
  </si>
  <si>
    <t xml:space="preserve">CG016</t>
  </si>
  <si>
    <t xml:space="preserve">Recovery suite executed</t>
  </si>
  <si>
    <t xml:space="preserve">CG017</t>
  </si>
  <si>
    <t xml:space="preserve">Non-displacement warrant</t>
  </si>
  <si>
    <t xml:space="preserve">CG018</t>
  </si>
  <si>
    <t xml:space="preserve">Expiry record</t>
  </si>
  <si>
    <t xml:space="preserve">CG019</t>
  </si>
  <si>
    <t xml:space="preserve">Rollback route</t>
  </si>
  <si>
    <t xml:space="preserve">CG020</t>
  </si>
  <si>
    <t xml:space="preserve">Cohort activation token</t>
  </si>
  <si>
    <t xml:space="preserve">CG021</t>
  </si>
  <si>
    <t xml:space="preserve">CG022</t>
  </si>
  <si>
    <t xml:space="preserve">CG023</t>
  </si>
  <si>
    <t xml:space="preserve">CG024</t>
  </si>
  <si>
    <t xml:space="preserve">CG025</t>
  </si>
  <si>
    <t xml:space="preserve">CG026</t>
  </si>
  <si>
    <t xml:space="preserve">CG027</t>
  </si>
  <si>
    <t xml:space="preserve">CG028</t>
  </si>
  <si>
    <t xml:space="preserve">CG029</t>
  </si>
  <si>
    <t xml:space="preserve">CG030</t>
  </si>
  <si>
    <t xml:space="preserve">CG031</t>
  </si>
  <si>
    <t xml:space="preserve">CG032</t>
  </si>
  <si>
    <t xml:space="preserve">CG033</t>
  </si>
  <si>
    <t xml:space="preserve">CG034</t>
  </si>
  <si>
    <t xml:space="preserve">CG035</t>
  </si>
  <si>
    <t xml:space="preserve">CG036</t>
  </si>
  <si>
    <t xml:space="preserve">CG037</t>
  </si>
  <si>
    <t xml:space="preserve">CG038</t>
  </si>
  <si>
    <t xml:space="preserve">CG039</t>
  </si>
  <si>
    <t xml:space="preserve">CG040</t>
  </si>
  <si>
    <t xml:space="preserve">CG041</t>
  </si>
  <si>
    <t xml:space="preserve">CG042</t>
  </si>
  <si>
    <t xml:space="preserve">CG043</t>
  </si>
  <si>
    <t xml:space="preserve">CG044</t>
  </si>
  <si>
    <t xml:space="preserve">CG045</t>
  </si>
  <si>
    <t xml:space="preserve">CG046</t>
  </si>
  <si>
    <t xml:space="preserve">CG047</t>
  </si>
  <si>
    <t xml:space="preserve">CG048</t>
  </si>
  <si>
    <t xml:space="preserve">CG049</t>
  </si>
  <si>
    <t xml:space="preserve">CG050</t>
  </si>
  <si>
    <t xml:space="preserve">CG051</t>
  </si>
  <si>
    <t xml:space="preserve">CG052</t>
  </si>
  <si>
    <t xml:space="preserve">CG053</t>
  </si>
  <si>
    <t xml:space="preserve">CG054</t>
  </si>
  <si>
    <t xml:space="preserve">CG055</t>
  </si>
  <si>
    <t xml:space="preserve">CG056</t>
  </si>
  <si>
    <t xml:space="preserve">CG057</t>
  </si>
  <si>
    <t xml:space="preserve">CG058</t>
  </si>
  <si>
    <t xml:space="preserve">CG059</t>
  </si>
  <si>
    <t xml:space="preserve">CG060</t>
  </si>
  <si>
    <t xml:space="preserve">CG061</t>
  </si>
  <si>
    <t xml:space="preserve">CG062</t>
  </si>
  <si>
    <t xml:space="preserve">CG063</t>
  </si>
  <si>
    <t xml:space="preserve">CG064</t>
  </si>
  <si>
    <t xml:space="preserve">CG065</t>
  </si>
  <si>
    <t xml:space="preserve">CG066</t>
  </si>
  <si>
    <t xml:space="preserve">CG067</t>
  </si>
  <si>
    <t xml:space="preserve">CG068</t>
  </si>
  <si>
    <t xml:space="preserve">CG069</t>
  </si>
  <si>
    <t xml:space="preserve">CG070</t>
  </si>
  <si>
    <t xml:space="preserve">CG071</t>
  </si>
  <si>
    <t xml:space="preserve">CG072</t>
  </si>
  <si>
    <t xml:space="preserve">CG073</t>
  </si>
  <si>
    <t xml:space="preserve">CG074</t>
  </si>
  <si>
    <t xml:space="preserve">CG075</t>
  </si>
  <si>
    <t xml:space="preserve">CG076</t>
  </si>
  <si>
    <t xml:space="preserve">CG077</t>
  </si>
  <si>
    <t xml:space="preserve">CG078</t>
  </si>
  <si>
    <t xml:space="preserve">CG079</t>
  </si>
  <si>
    <t xml:space="preserve">CG080</t>
  </si>
  <si>
    <t xml:space="preserve">CG081</t>
  </si>
  <si>
    <t xml:space="preserve">CG082</t>
  </si>
  <si>
    <t xml:space="preserve">CG083</t>
  </si>
  <si>
    <t xml:space="preserve">CG084</t>
  </si>
  <si>
    <t xml:space="preserve">CG085</t>
  </si>
  <si>
    <t xml:space="preserve">CG086</t>
  </si>
  <si>
    <t xml:space="preserve">CG087</t>
  </si>
  <si>
    <t xml:space="preserve">CG088</t>
  </si>
  <si>
    <t xml:space="preserve">CG089</t>
  </si>
  <si>
    <t xml:space="preserve">CG090</t>
  </si>
  <si>
    <t xml:space="preserve">CG091</t>
  </si>
  <si>
    <t xml:space="preserve">CG092</t>
  </si>
  <si>
    <t xml:space="preserve">CG093</t>
  </si>
  <si>
    <t xml:space="preserve">CG094</t>
  </si>
  <si>
    <t xml:space="preserve">CG095</t>
  </si>
  <si>
    <t xml:space="preserve">CG096</t>
  </si>
  <si>
    <t xml:space="preserve">CG097</t>
  </si>
  <si>
    <t xml:space="preserve">CG098</t>
  </si>
  <si>
    <t xml:space="preserve">CG099</t>
  </si>
  <si>
    <t xml:space="preserve">CG100</t>
  </si>
  <si>
    <t xml:space="preserve">CG101</t>
  </si>
  <si>
    <t xml:space="preserve">CG102</t>
  </si>
  <si>
    <t xml:space="preserve">CG103</t>
  </si>
  <si>
    <t xml:space="preserve">CG104</t>
  </si>
  <si>
    <t xml:space="preserve">CG105</t>
  </si>
  <si>
    <t xml:space="preserve">CG106</t>
  </si>
  <si>
    <t xml:space="preserve">CG107</t>
  </si>
  <si>
    <t xml:space="preserve">CG108</t>
  </si>
  <si>
    <t xml:space="preserve">CG109</t>
  </si>
  <si>
    <t xml:space="preserve">CG110</t>
  </si>
  <si>
    <t xml:space="preserve">CG111</t>
  </si>
  <si>
    <t xml:space="preserve">CG112</t>
  </si>
  <si>
    <t xml:space="preserve">CG113</t>
  </si>
  <si>
    <t xml:space="preserve">CG114</t>
  </si>
  <si>
    <t xml:space="preserve">CG115</t>
  </si>
  <si>
    <t xml:space="preserve">CG116</t>
  </si>
  <si>
    <t xml:space="preserve">CG117</t>
  </si>
  <si>
    <t xml:space="preserve">CG118</t>
  </si>
  <si>
    <t xml:space="preserve">CG119</t>
  </si>
  <si>
    <t xml:space="preserve">CG120</t>
  </si>
  <si>
    <t xml:space="preserve">CG121</t>
  </si>
  <si>
    <t xml:space="preserve">CG122</t>
  </si>
  <si>
    <t xml:space="preserve">CG123</t>
  </si>
  <si>
    <t xml:space="preserve">CG124</t>
  </si>
  <si>
    <t xml:space="preserve">CG125</t>
  </si>
  <si>
    <t xml:space="preserve">CG126</t>
  </si>
  <si>
    <t xml:space="preserve">CG127</t>
  </si>
  <si>
    <t xml:space="preserve">CG128</t>
  </si>
  <si>
    <t xml:space="preserve">CG129</t>
  </si>
  <si>
    <t xml:space="preserve">CG130</t>
  </si>
  <si>
    <t xml:space="preserve">CG131</t>
  </si>
  <si>
    <t xml:space="preserve">CG132</t>
  </si>
  <si>
    <t xml:space="preserve">CG133</t>
  </si>
  <si>
    <t xml:space="preserve">CG134</t>
  </si>
  <si>
    <t xml:space="preserve">CG135</t>
  </si>
  <si>
    <t xml:space="preserve">CG136</t>
  </si>
  <si>
    <t xml:space="preserve">CG137</t>
  </si>
  <si>
    <t xml:space="preserve">CG138</t>
  </si>
  <si>
    <t xml:space="preserve">CG139</t>
  </si>
  <si>
    <t xml:space="preserve">CG140</t>
  </si>
  <si>
    <t xml:space="preserve">CG141</t>
  </si>
  <si>
    <t xml:space="preserve">CG142</t>
  </si>
  <si>
    <t xml:space="preserve">CG143</t>
  </si>
  <si>
    <t xml:space="preserve">CG144</t>
  </si>
  <si>
    <t xml:space="preserve">CG145</t>
  </si>
  <si>
    <t xml:space="preserve">CG146</t>
  </si>
  <si>
    <t xml:space="preserve">CG147</t>
  </si>
  <si>
    <t xml:space="preserve">CG148</t>
  </si>
  <si>
    <t xml:space="preserve">CG149</t>
  </si>
  <si>
    <t xml:space="preserve">CG150</t>
  </si>
  <si>
    <t xml:space="preserve">CG151</t>
  </si>
  <si>
    <t xml:space="preserve">CG152</t>
  </si>
  <si>
    <t xml:space="preserve">CG153</t>
  </si>
  <si>
    <t xml:space="preserve">CG154</t>
  </si>
  <si>
    <t xml:space="preserve">CG155</t>
  </si>
  <si>
    <t xml:space="preserve">CG156</t>
  </si>
  <si>
    <t xml:space="preserve">CG157</t>
  </si>
  <si>
    <t xml:space="preserve">CG158</t>
  </si>
  <si>
    <t xml:space="preserve">CG159</t>
  </si>
  <si>
    <t xml:space="preserve">CG160</t>
  </si>
  <si>
    <t xml:space="preserve">CG161</t>
  </si>
  <si>
    <t xml:space="preserve">CG162</t>
  </si>
  <si>
    <t xml:space="preserve">CG163</t>
  </si>
  <si>
    <t xml:space="preserve">CG164</t>
  </si>
  <si>
    <t xml:space="preserve">CG165</t>
  </si>
  <si>
    <t xml:space="preserve">CG166</t>
  </si>
  <si>
    <t xml:space="preserve">CG167</t>
  </si>
  <si>
    <t xml:space="preserve">CG168</t>
  </si>
  <si>
    <t xml:space="preserve">CG169</t>
  </si>
  <si>
    <t xml:space="preserve">CG170</t>
  </si>
  <si>
    <t xml:space="preserve">CG171</t>
  </si>
  <si>
    <t xml:space="preserve">CG172</t>
  </si>
  <si>
    <t xml:space="preserve">CG173</t>
  </si>
  <si>
    <t xml:space="preserve">CG174</t>
  </si>
  <si>
    <t xml:space="preserve">CG175</t>
  </si>
  <si>
    <t xml:space="preserve">CG176</t>
  </si>
  <si>
    <t xml:space="preserve">CG177</t>
  </si>
  <si>
    <t xml:space="preserve">CG178</t>
  </si>
  <si>
    <t xml:space="preserve">CG179</t>
  </si>
  <si>
    <t xml:space="preserve">CG180</t>
  </si>
  <si>
    <t xml:space="preserve">CG181</t>
  </si>
  <si>
    <t xml:space="preserve">CG182</t>
  </si>
  <si>
    <t xml:space="preserve">CG183</t>
  </si>
  <si>
    <t xml:space="preserve">CG184</t>
  </si>
  <si>
    <t xml:space="preserve">CG185</t>
  </si>
  <si>
    <t xml:space="preserve">CG186</t>
  </si>
  <si>
    <t xml:space="preserve">CG187</t>
  </si>
  <si>
    <t xml:space="preserve">CG188</t>
  </si>
  <si>
    <t xml:space="preserve">CG189</t>
  </si>
  <si>
    <t xml:space="preserve">CG190</t>
  </si>
  <si>
    <t xml:space="preserve">CG191</t>
  </si>
  <si>
    <t xml:space="preserve">CG192</t>
  </si>
  <si>
    <t xml:space="preserve">CG193</t>
  </si>
  <si>
    <t xml:space="preserve">CG194</t>
  </si>
  <si>
    <t xml:space="preserve">CG195</t>
  </si>
  <si>
    <t xml:space="preserve">CG196</t>
  </si>
  <si>
    <t xml:space="preserve">CG197</t>
  </si>
  <si>
    <t xml:space="preserve">CG198</t>
  </si>
  <si>
    <t xml:space="preserve">CG199</t>
  </si>
  <si>
    <t xml:space="preserve">CG200</t>
  </si>
  <si>
    <t xml:space="preserve">CG201</t>
  </si>
  <si>
    <t xml:space="preserve">CG202</t>
  </si>
  <si>
    <t xml:space="preserve">CG203</t>
  </si>
  <si>
    <t xml:space="preserve">CG204</t>
  </si>
  <si>
    <t xml:space="preserve">CG205</t>
  </si>
  <si>
    <t xml:space="preserve">CG206</t>
  </si>
  <si>
    <t xml:space="preserve">CG207</t>
  </si>
  <si>
    <t xml:space="preserve">CG208</t>
  </si>
  <si>
    <t xml:space="preserve">CG209</t>
  </si>
  <si>
    <t xml:space="preserve">CG210</t>
  </si>
  <si>
    <t xml:space="preserve">CG211</t>
  </si>
  <si>
    <t xml:space="preserve">CG212</t>
  </si>
  <si>
    <t xml:space="preserve">CG213</t>
  </si>
  <si>
    <t xml:space="preserve">CG214</t>
  </si>
  <si>
    <t xml:space="preserve">CG215</t>
  </si>
  <si>
    <t xml:space="preserve">CG216</t>
  </si>
  <si>
    <t xml:space="preserve">CG217</t>
  </si>
  <si>
    <t xml:space="preserve">CG218</t>
  </si>
  <si>
    <t xml:space="preserve">CG219</t>
  </si>
  <si>
    <t xml:space="preserve">CG220</t>
  </si>
  <si>
    <t xml:space="preserve">CG221</t>
  </si>
  <si>
    <t xml:space="preserve">CG222</t>
  </si>
  <si>
    <t xml:space="preserve">CG223</t>
  </si>
  <si>
    <t xml:space="preserve">CG224</t>
  </si>
  <si>
    <t xml:space="preserve">CG225</t>
  </si>
  <si>
    <t xml:space="preserve">CG226</t>
  </si>
  <si>
    <t xml:space="preserve">CG227</t>
  </si>
  <si>
    <t xml:space="preserve">CG228</t>
  </si>
  <si>
    <t xml:space="preserve">CG229</t>
  </si>
  <si>
    <t xml:space="preserve">CG230</t>
  </si>
  <si>
    <t xml:space="preserve">CG231</t>
  </si>
  <si>
    <t xml:space="preserve">CG232</t>
  </si>
  <si>
    <t xml:space="preserve">CG233</t>
  </si>
  <si>
    <t xml:space="preserve">CG234</t>
  </si>
  <si>
    <t xml:space="preserve">CG235</t>
  </si>
  <si>
    <t xml:space="preserve">CG236</t>
  </si>
  <si>
    <t xml:space="preserve">CG237</t>
  </si>
  <si>
    <t xml:space="preserve">CG238</t>
  </si>
  <si>
    <t xml:space="preserve">CG239</t>
  </si>
  <si>
    <t xml:space="preserve">CG240</t>
  </si>
  <si>
    <t xml:space="preserve">CG241</t>
  </si>
  <si>
    <t xml:space="preserve">CG242</t>
  </si>
  <si>
    <t xml:space="preserve">CG243</t>
  </si>
  <si>
    <t xml:space="preserve">CG244</t>
  </si>
  <si>
    <t xml:space="preserve">CG245</t>
  </si>
  <si>
    <t xml:space="preserve">CG246</t>
  </si>
  <si>
    <t xml:space="preserve">CG247</t>
  </si>
  <si>
    <t xml:space="preserve">CG248</t>
  </si>
  <si>
    <t xml:space="preserve">CG249</t>
  </si>
  <si>
    <t xml:space="preserve">CG250</t>
  </si>
  <si>
    <t xml:space="preserve">CG251</t>
  </si>
  <si>
    <t xml:space="preserve">CG252</t>
  </si>
  <si>
    <t xml:space="preserve">CG253</t>
  </si>
  <si>
    <t xml:space="preserve">CG254</t>
  </si>
  <si>
    <t xml:space="preserve">CG255</t>
  </si>
  <si>
    <t xml:space="preserve">CG256</t>
  </si>
  <si>
    <t xml:space="preserve">CG257</t>
  </si>
  <si>
    <t xml:space="preserve">CG258</t>
  </si>
  <si>
    <t xml:space="preserve">CG259</t>
  </si>
  <si>
    <t xml:space="preserve">CG260</t>
  </si>
  <si>
    <t xml:space="preserve">CG261</t>
  </si>
  <si>
    <t xml:space="preserve">CG262</t>
  </si>
  <si>
    <t xml:space="preserve">CG263</t>
  </si>
  <si>
    <t xml:space="preserve">CG264</t>
  </si>
  <si>
    <t xml:space="preserve">CG265</t>
  </si>
  <si>
    <t xml:space="preserve">CG266</t>
  </si>
  <si>
    <t xml:space="preserve">CG267</t>
  </si>
  <si>
    <t xml:space="preserve">CG268</t>
  </si>
  <si>
    <t xml:space="preserve">CG269</t>
  </si>
  <si>
    <t xml:space="preserve">CG270</t>
  </si>
  <si>
    <t xml:space="preserve">CG271</t>
  </si>
  <si>
    <t xml:space="preserve">CG272</t>
  </si>
  <si>
    <t xml:space="preserve">CG273</t>
  </si>
  <si>
    <t xml:space="preserve">CG274</t>
  </si>
  <si>
    <t xml:space="preserve">CG275</t>
  </si>
  <si>
    <t xml:space="preserve">CG276</t>
  </si>
  <si>
    <t xml:space="preserve">CG277</t>
  </si>
  <si>
    <t xml:space="preserve">CG278</t>
  </si>
  <si>
    <t xml:space="preserve">CG279</t>
  </si>
  <si>
    <t xml:space="preserve">CG280</t>
  </si>
  <si>
    <t xml:space="preserve">CG281</t>
  </si>
  <si>
    <t xml:space="preserve">CG282</t>
  </si>
  <si>
    <t xml:space="preserve">CG283</t>
  </si>
  <si>
    <t xml:space="preserve">CG284</t>
  </si>
  <si>
    <t xml:space="preserve">CG285</t>
  </si>
  <si>
    <t xml:space="preserve">CG286</t>
  </si>
  <si>
    <t xml:space="preserve">CG287</t>
  </si>
  <si>
    <t xml:space="preserve">CG288</t>
  </si>
  <si>
    <t xml:space="preserve">CG289</t>
  </si>
  <si>
    <t xml:space="preserve">CG290</t>
  </si>
  <si>
    <t xml:space="preserve">CG291</t>
  </si>
  <si>
    <t xml:space="preserve">CG292</t>
  </si>
  <si>
    <t xml:space="preserve">CG293</t>
  </si>
  <si>
    <t xml:space="preserve">CG294</t>
  </si>
  <si>
    <t xml:space="preserve">CG295</t>
  </si>
  <si>
    <t xml:space="preserve">CG296</t>
  </si>
  <si>
    <t xml:space="preserve">CG297</t>
  </si>
  <si>
    <t xml:space="preserve">CG298</t>
  </si>
  <si>
    <t xml:space="preserve">CG299</t>
  </si>
  <si>
    <t xml:space="preserve">CG300</t>
  </si>
  <si>
    <t xml:space="preserve">CG301</t>
  </si>
  <si>
    <t xml:space="preserve">CG302</t>
  </si>
  <si>
    <t xml:space="preserve">CG303</t>
  </si>
  <si>
    <t xml:space="preserve">CG304</t>
  </si>
  <si>
    <t xml:space="preserve">CG305</t>
  </si>
  <si>
    <t xml:space="preserve">CG306</t>
  </si>
  <si>
    <t xml:space="preserve">CG307</t>
  </si>
  <si>
    <t xml:space="preserve">CG308</t>
  </si>
  <si>
    <t xml:space="preserve">CG309</t>
  </si>
  <si>
    <t xml:space="preserve">CG310</t>
  </si>
  <si>
    <t xml:space="preserve">CG311</t>
  </si>
  <si>
    <t xml:space="preserve">CG312</t>
  </si>
  <si>
    <t xml:space="preserve">CG313</t>
  </si>
  <si>
    <t xml:space="preserve">CG314</t>
  </si>
  <si>
    <t xml:space="preserve">CG315</t>
  </si>
  <si>
    <t xml:space="preserve">CG316</t>
  </si>
  <si>
    <t xml:space="preserve">CG317</t>
  </si>
  <si>
    <t xml:space="preserve">CG318</t>
  </si>
  <si>
    <t xml:space="preserve">CG319</t>
  </si>
  <si>
    <t xml:space="preserve">CG320</t>
  </si>
  <si>
    <t xml:space="preserve">CG321</t>
  </si>
  <si>
    <t xml:space="preserve">CG322</t>
  </si>
  <si>
    <t xml:space="preserve">CG323</t>
  </si>
  <si>
    <t xml:space="preserve">CG324</t>
  </si>
  <si>
    <t xml:space="preserve">CG325</t>
  </si>
  <si>
    <t xml:space="preserve">CG326</t>
  </si>
  <si>
    <t xml:space="preserve">CG327</t>
  </si>
  <si>
    <t xml:space="preserve">CG328</t>
  </si>
  <si>
    <t xml:space="preserve">CG329</t>
  </si>
  <si>
    <t xml:space="preserve">CG330</t>
  </si>
  <si>
    <t xml:space="preserve">CG331</t>
  </si>
  <si>
    <t xml:space="preserve">CG332</t>
  </si>
  <si>
    <t xml:space="preserve">CG333</t>
  </si>
  <si>
    <t xml:space="preserve">CG334</t>
  </si>
  <si>
    <t xml:space="preserve">CG335</t>
  </si>
  <si>
    <t xml:space="preserve">CG336</t>
  </si>
  <si>
    <t xml:space="preserve">CG337</t>
  </si>
  <si>
    <t xml:space="preserve">CG338</t>
  </si>
  <si>
    <t xml:space="preserve">CG339</t>
  </si>
  <si>
    <t xml:space="preserve">CG340</t>
  </si>
  <si>
    <t xml:space="preserve">CG341</t>
  </si>
  <si>
    <t xml:space="preserve">CG342</t>
  </si>
  <si>
    <t xml:space="preserve">CG343</t>
  </si>
  <si>
    <t xml:space="preserve">CG344</t>
  </si>
  <si>
    <t xml:space="preserve">CG345</t>
  </si>
  <si>
    <t xml:space="preserve">CG346</t>
  </si>
  <si>
    <t xml:space="preserve">CG347</t>
  </si>
  <si>
    <t xml:space="preserve">CG348</t>
  </si>
  <si>
    <t xml:space="preserve">CG349</t>
  </si>
  <si>
    <t xml:space="preserve">CG350</t>
  </si>
  <si>
    <t xml:space="preserve">CG351</t>
  </si>
  <si>
    <t xml:space="preserve">CG352</t>
  </si>
  <si>
    <t xml:space="preserve">CG353</t>
  </si>
  <si>
    <t xml:space="preserve">CG354</t>
  </si>
  <si>
    <t xml:space="preserve">CG355</t>
  </si>
  <si>
    <t xml:space="preserve">CG356</t>
  </si>
  <si>
    <t xml:space="preserve">CG357</t>
  </si>
  <si>
    <t xml:space="preserve">CG358</t>
  </si>
  <si>
    <t xml:space="preserve">CG359</t>
  </si>
  <si>
    <t xml:space="preserve">CG360</t>
  </si>
  <si>
    <t xml:space="preserve">Separated role appointments</t>
  </si>
  <si>
    <t xml:space="preserve">No person, employer or beneficial-control group may occupy incompatible producer, reconstruction, court, custody and finance roles.</t>
  </si>
  <si>
    <t xml:space="preserve">Appointment</t>
  </si>
  <si>
    <t xml:space="preserve">Role</t>
  </si>
  <si>
    <t xml:space="preserve">Named appointee</t>
  </si>
  <si>
    <t xml:space="preserve">Control group</t>
  </si>
  <si>
    <t xml:space="preserve">Conflict count</t>
  </si>
  <si>
    <t xml:space="preserve">Appointment admitted</t>
  </si>
  <si>
    <t xml:space="preserve">RA001</t>
  </si>
  <si>
    <t xml:space="preserve">Site steward</t>
  </si>
  <si>
    <t xml:space="preserve">RA002</t>
  </si>
  <si>
    <t xml:space="preserve">Native operator</t>
  </si>
  <si>
    <t xml:space="preserve">RA003</t>
  </si>
  <si>
    <t xml:space="preserve">Clean constructor</t>
  </si>
  <si>
    <t xml:space="preserve">RA004</t>
  </si>
  <si>
    <t xml:space="preserve">Divergence challenger</t>
  </si>
  <si>
    <t xml:space="preserve">RA005</t>
  </si>
  <si>
    <t xml:space="preserve">Court adjudicator</t>
  </si>
  <si>
    <t xml:space="preserve">RA006</t>
  </si>
  <si>
    <t xml:space="preserve">Exchange custodian</t>
  </si>
  <si>
    <t xml:space="preserve">RA007</t>
  </si>
  <si>
    <t xml:space="preserve">RA008</t>
  </si>
  <si>
    <t xml:space="preserve">RA009</t>
  </si>
  <si>
    <t xml:space="preserve">RA010</t>
  </si>
  <si>
    <t xml:space="preserve">RA011</t>
  </si>
  <si>
    <t xml:space="preserve">RA012</t>
  </si>
  <si>
    <t xml:space="preserve">RA013</t>
  </si>
  <si>
    <t xml:space="preserve">RA014</t>
  </si>
  <si>
    <t xml:space="preserve">RA015</t>
  </si>
  <si>
    <t xml:space="preserve">RA016</t>
  </si>
  <si>
    <t xml:space="preserve">RA017</t>
  </si>
  <si>
    <t xml:space="preserve">RA018</t>
  </si>
  <si>
    <t xml:space="preserve">RA019</t>
  </si>
  <si>
    <t xml:space="preserve">RA020</t>
  </si>
  <si>
    <t xml:space="preserve">RA021</t>
  </si>
  <si>
    <t xml:space="preserve">RA022</t>
  </si>
  <si>
    <t xml:space="preserve">RA023</t>
  </si>
  <si>
    <t xml:space="preserve">RA024</t>
  </si>
  <si>
    <t xml:space="preserve">RA025</t>
  </si>
  <si>
    <t xml:space="preserve">RA026</t>
  </si>
  <si>
    <t xml:space="preserve">RA027</t>
  </si>
  <si>
    <t xml:space="preserve">RA028</t>
  </si>
  <si>
    <t xml:space="preserve">RA029</t>
  </si>
  <si>
    <t xml:space="preserve">RA030</t>
  </si>
  <si>
    <t xml:space="preserve">RA031</t>
  </si>
  <si>
    <t xml:space="preserve">RA032</t>
  </si>
  <si>
    <t xml:space="preserve">RA033</t>
  </si>
  <si>
    <t xml:space="preserve">RA034</t>
  </si>
  <si>
    <t xml:space="preserve">RA035</t>
  </si>
  <si>
    <t xml:space="preserve">RA036</t>
  </si>
  <si>
    <t xml:space="preserve">RA037</t>
  </si>
  <si>
    <t xml:space="preserve">RA038</t>
  </si>
  <si>
    <t xml:space="preserve">RA039</t>
  </si>
  <si>
    <t xml:space="preserve">RA040</t>
  </si>
  <si>
    <t xml:space="preserve">RA041</t>
  </si>
  <si>
    <t xml:space="preserve">RA042</t>
  </si>
  <si>
    <t xml:space="preserve">RA043</t>
  </si>
  <si>
    <t xml:space="preserve">RA044</t>
  </si>
  <si>
    <t xml:space="preserve">RA045</t>
  </si>
  <si>
    <t xml:space="preserve">RA046</t>
  </si>
  <si>
    <t xml:space="preserve">RA047</t>
  </si>
  <si>
    <t xml:space="preserve">RA048</t>
  </si>
  <si>
    <t xml:space="preserve">RA049</t>
  </si>
  <si>
    <t xml:space="preserve">RA050</t>
  </si>
  <si>
    <t xml:space="preserve">RA051</t>
  </si>
  <si>
    <t xml:space="preserve">RA052</t>
  </si>
  <si>
    <t xml:space="preserve">RA053</t>
  </si>
  <si>
    <t xml:space="preserve">RA054</t>
  </si>
  <si>
    <t xml:space="preserve">RA055</t>
  </si>
  <si>
    <t xml:space="preserve">RA056</t>
  </si>
  <si>
    <t xml:space="preserve">RA057</t>
  </si>
  <si>
    <t xml:space="preserve">RA058</t>
  </si>
  <si>
    <t xml:space="preserve">RA059</t>
  </si>
  <si>
    <t xml:space="preserve">RA060</t>
  </si>
  <si>
    <t xml:space="preserve">RA061</t>
  </si>
  <si>
    <t xml:space="preserve">RA062</t>
  </si>
  <si>
    <t xml:space="preserve">RA063</t>
  </si>
  <si>
    <t xml:space="preserve">RA064</t>
  </si>
  <si>
    <t xml:space="preserve">RA065</t>
  </si>
  <si>
    <t xml:space="preserve">RA066</t>
  </si>
  <si>
    <t xml:space="preserve">RA067</t>
  </si>
  <si>
    <t xml:space="preserve">RA068</t>
  </si>
  <si>
    <t xml:space="preserve">RA069</t>
  </si>
  <si>
    <t xml:space="preserve">RA070</t>
  </si>
  <si>
    <t xml:space="preserve">RA071</t>
  </si>
  <si>
    <t xml:space="preserve">RA072</t>
  </si>
  <si>
    <t xml:space="preserve">RA073</t>
  </si>
  <si>
    <t xml:space="preserve">RA074</t>
  </si>
  <si>
    <t xml:space="preserve">RA075</t>
  </si>
  <si>
    <t xml:space="preserve">RA076</t>
  </si>
  <si>
    <t xml:space="preserve">RA077</t>
  </si>
  <si>
    <t xml:space="preserve">RA078</t>
  </si>
  <si>
    <t xml:space="preserve">RA079</t>
  </si>
  <si>
    <t xml:space="preserve">RA080</t>
  </si>
  <si>
    <t xml:space="preserve">RA081</t>
  </si>
  <si>
    <t xml:space="preserve">RA082</t>
  </si>
  <si>
    <t xml:space="preserve">RA083</t>
  </si>
  <si>
    <t xml:space="preserve">RA084</t>
  </si>
  <si>
    <t xml:space="preserve">RA085</t>
  </si>
  <si>
    <t xml:space="preserve">RA086</t>
  </si>
  <si>
    <t xml:space="preserve">RA087</t>
  </si>
  <si>
    <t xml:space="preserve">RA088</t>
  </si>
  <si>
    <t xml:space="preserve">RA089</t>
  </si>
  <si>
    <t xml:space="preserve">RA090</t>
  </si>
  <si>
    <t xml:space="preserve">RA091</t>
  </si>
  <si>
    <t xml:space="preserve">RA092</t>
  </si>
  <si>
    <t xml:space="preserve">RA093</t>
  </si>
  <si>
    <t xml:space="preserve">RA094</t>
  </si>
  <si>
    <t xml:space="preserve">RA095</t>
  </si>
  <si>
    <t xml:space="preserve">RA096</t>
  </si>
  <si>
    <t xml:space="preserve">Key and threshold-share custody</t>
  </si>
  <si>
    <t xml:space="preserve">Keys are purpose-bound. Enclave, court and Exchange credentials may not be re-used across roles or roots.</t>
  </si>
  <si>
    <t xml:space="preserve">Record</t>
  </si>
  <si>
    <t xml:space="preserve">Key class</t>
  </si>
  <si>
    <t xml:space="preserve">Named custodian</t>
  </si>
  <si>
    <t xml:space="preserve">Key identifier</t>
  </si>
  <si>
    <t xml:space="preserve">Ceremony complete</t>
  </si>
  <si>
    <t xml:space="preserve">Offline copy</t>
  </si>
  <si>
    <t xml:space="preserve">K001</t>
  </si>
  <si>
    <t xml:space="preserve">Native enclave</t>
  </si>
  <si>
    <t xml:space="preserve">K002</t>
  </si>
  <si>
    <t xml:space="preserve">Clean enclave</t>
  </si>
  <si>
    <t xml:space="preserve">K003</t>
  </si>
  <si>
    <t xml:space="preserve">Divergence enclave</t>
  </si>
  <si>
    <t xml:space="preserve">K004</t>
  </si>
  <si>
    <t xml:space="preserve">Court share</t>
  </si>
  <si>
    <t xml:space="preserve">K005</t>
  </si>
  <si>
    <t xml:space="preserve">Exchange share</t>
  </si>
  <si>
    <t xml:space="preserve">K006</t>
  </si>
  <si>
    <t xml:space="preserve">K007</t>
  </si>
  <si>
    <t xml:space="preserve">K008</t>
  </si>
  <si>
    <t xml:space="preserve">K009</t>
  </si>
  <si>
    <t xml:space="preserve">K010</t>
  </si>
  <si>
    <t xml:space="preserve">K011</t>
  </si>
  <si>
    <t xml:space="preserve">K012</t>
  </si>
  <si>
    <t xml:space="preserve">K013</t>
  </si>
  <si>
    <t xml:space="preserve">K014</t>
  </si>
  <si>
    <t xml:space="preserve">K015</t>
  </si>
  <si>
    <t xml:space="preserve">K016</t>
  </si>
  <si>
    <t xml:space="preserve">K017</t>
  </si>
  <si>
    <t xml:space="preserve">K018</t>
  </si>
  <si>
    <t xml:space="preserve">K019</t>
  </si>
  <si>
    <t xml:space="preserve">K020</t>
  </si>
  <si>
    <t xml:space="preserve">K021</t>
  </si>
  <si>
    <t xml:space="preserve">K022</t>
  </si>
  <si>
    <t xml:space="preserve">K023</t>
  </si>
  <si>
    <t xml:space="preserve">K024</t>
  </si>
  <si>
    <t xml:space="preserve">K025</t>
  </si>
  <si>
    <t xml:space="preserve">K026</t>
  </si>
  <si>
    <t xml:space="preserve">K027</t>
  </si>
  <si>
    <t xml:space="preserve">K028</t>
  </si>
  <si>
    <t xml:space="preserve">K029</t>
  </si>
  <si>
    <t xml:space="preserve">K030</t>
  </si>
  <si>
    <t xml:space="preserve">K031</t>
  </si>
  <si>
    <t xml:space="preserve">K032</t>
  </si>
  <si>
    <t xml:space="preserve">K033</t>
  </si>
  <si>
    <t xml:space="preserve">K034</t>
  </si>
  <si>
    <t xml:space="preserve">K035</t>
  </si>
  <si>
    <t xml:space="preserve">K036</t>
  </si>
  <si>
    <t xml:space="preserve">K037</t>
  </si>
  <si>
    <t xml:space="preserve">K038</t>
  </si>
  <si>
    <t xml:space="preserve">K039</t>
  </si>
  <si>
    <t xml:space="preserve">K040</t>
  </si>
  <si>
    <t xml:space="preserve">K041</t>
  </si>
  <si>
    <t xml:space="preserve">K042</t>
  </si>
  <si>
    <t xml:space="preserve">K043</t>
  </si>
  <si>
    <t xml:space="preserve">K044</t>
  </si>
  <si>
    <t xml:space="preserve">K045</t>
  </si>
  <si>
    <t xml:space="preserve">K046</t>
  </si>
  <si>
    <t xml:space="preserve">K047</t>
  </si>
  <si>
    <t xml:space="preserve">K048</t>
  </si>
  <si>
    <t xml:space="preserve">K049</t>
  </si>
  <si>
    <t xml:space="preserve">K050</t>
  </si>
  <si>
    <t xml:space="preserve">K051</t>
  </si>
  <si>
    <t xml:space="preserve">K052</t>
  </si>
  <si>
    <t xml:space="preserve">K053</t>
  </si>
  <si>
    <t xml:space="preserve">K054</t>
  </si>
  <si>
    <t xml:space="preserve">K055</t>
  </si>
  <si>
    <t xml:space="preserve">K056</t>
  </si>
  <si>
    <t xml:space="preserve">K057</t>
  </si>
  <si>
    <t xml:space="preserve">K058</t>
  </si>
  <si>
    <t xml:space="preserve">K059</t>
  </si>
  <si>
    <t xml:space="preserve">K060</t>
  </si>
  <si>
    <t xml:space="preserve">K061</t>
  </si>
  <si>
    <t xml:space="preserve">K062</t>
  </si>
  <si>
    <t xml:space="preserve">K063</t>
  </si>
  <si>
    <t xml:space="preserve">K064</t>
  </si>
  <si>
    <t xml:space="preserve">K065</t>
  </si>
  <si>
    <t xml:space="preserve">K066</t>
  </si>
  <si>
    <t xml:space="preserve">K067</t>
  </si>
  <si>
    <t xml:space="preserve">K068</t>
  </si>
  <si>
    <t xml:space="preserve">K069</t>
  </si>
  <si>
    <t xml:space="preserve">K070</t>
  </si>
  <si>
    <t xml:space="preserve">K071</t>
  </si>
  <si>
    <t xml:space="preserve">K072</t>
  </si>
  <si>
    <t xml:space="preserve">K073</t>
  </si>
  <si>
    <t xml:space="preserve">K074</t>
  </si>
  <si>
    <t xml:space="preserve">K075</t>
  </si>
  <si>
    <t xml:space="preserve">K076</t>
  </si>
  <si>
    <t xml:space="preserve">K077</t>
  </si>
  <si>
    <t xml:space="preserve">K078</t>
  </si>
  <si>
    <t xml:space="preserve">Vendor lot and exit register</t>
  </si>
  <si>
    <t xml:space="preserve">A vendor may build or support an enclave but cannot become its operator, custodian, court or recovery authority.</t>
  </si>
  <si>
    <t xml:space="preserve">Lot</t>
  </si>
  <si>
    <t xml:space="preserve">Class</t>
  </si>
  <si>
    <t xml:space="preserve">Capital ceiling (USD M)</t>
  </si>
  <si>
    <t xml:space="preserve">Primary vendor</t>
  </si>
  <si>
    <t xml:space="preserve">Primary control</t>
  </si>
  <si>
    <t xml:space="preserve">N-1 alternate</t>
  </si>
  <si>
    <t xml:space="preserve">Alternate control</t>
  </si>
  <si>
    <t xml:space="preserve">Operating dependency</t>
  </si>
  <si>
    <t xml:space="preserve">Control collision</t>
  </si>
  <si>
    <t xml:space="preserve">VL001</t>
  </si>
  <si>
    <t xml:space="preserve">Host hardening</t>
  </si>
  <si>
    <t xml:space="preserve">VL002</t>
  </si>
  <si>
    <t xml:space="preserve">Enclave compute</t>
  </si>
  <si>
    <t xml:space="preserve">VL003</t>
  </si>
  <si>
    <t xml:space="preserve">Cross-region network</t>
  </si>
  <si>
    <t xml:space="preserve">VL004</t>
  </si>
  <si>
    <t xml:space="preserve">Operations support</t>
  </si>
  <si>
    <t xml:space="preserve">VL005</t>
  </si>
  <si>
    <t xml:space="preserve">VL006</t>
  </si>
  <si>
    <t xml:space="preserve">VL007</t>
  </si>
  <si>
    <t xml:space="preserve">VL008</t>
  </si>
  <si>
    <t xml:space="preserve">VL009</t>
  </si>
  <si>
    <t xml:space="preserve">VL010</t>
  </si>
  <si>
    <t xml:space="preserve">VL011</t>
  </si>
  <si>
    <t xml:space="preserve">VL012</t>
  </si>
  <si>
    <t xml:space="preserve">VL013</t>
  </si>
  <si>
    <t xml:space="preserve">VL014</t>
  </si>
  <si>
    <t xml:space="preserve">VL015</t>
  </si>
  <si>
    <t xml:space="preserve">VL016</t>
  </si>
  <si>
    <t xml:space="preserve">VL017</t>
  </si>
  <si>
    <t xml:space="preserve">VL018</t>
  </si>
  <si>
    <t xml:space="preserve">VL019</t>
  </si>
  <si>
    <t xml:space="preserve">VL020</t>
  </si>
  <si>
    <t xml:space="preserve">VL021</t>
  </si>
  <si>
    <t xml:space="preserve">VL022</t>
  </si>
  <si>
    <t xml:space="preserve">VL023</t>
  </si>
  <si>
    <t xml:space="preserve">VL024</t>
  </si>
  <si>
    <t xml:space="preserve">VL025</t>
  </si>
  <si>
    <t xml:space="preserve">VL026</t>
  </si>
  <si>
    <t xml:space="preserve">VL027</t>
  </si>
  <si>
    <t xml:space="preserve">VL028</t>
  </si>
  <si>
    <t xml:space="preserve">VL029</t>
  </si>
  <si>
    <t xml:space="preserve">VL030</t>
  </si>
  <si>
    <t xml:space="preserve">VL031</t>
  </si>
  <si>
    <t xml:space="preserve">VL032</t>
  </si>
  <si>
    <t xml:space="preserve">VL033</t>
  </si>
  <si>
    <t xml:space="preserve">VL034</t>
  </si>
  <si>
    <t xml:space="preserve">VL035</t>
  </si>
  <si>
    <t xml:space="preserve">VL036</t>
  </si>
  <si>
    <t xml:space="preserve">VL037</t>
  </si>
  <si>
    <t xml:space="preserve">VL038</t>
  </si>
  <si>
    <t xml:space="preserve">VL039</t>
  </si>
  <si>
    <t xml:space="preserve">VL040</t>
  </si>
  <si>
    <t xml:space="preserve">VL041</t>
  </si>
  <si>
    <t xml:space="preserve">VL042</t>
  </si>
  <si>
    <t xml:space="preserve">VL043</t>
  </si>
  <si>
    <t xml:space="preserve">VL044</t>
  </si>
  <si>
    <t xml:space="preserve">VL045</t>
  </si>
  <si>
    <t xml:space="preserve">VL046</t>
  </si>
  <si>
    <t xml:space="preserve">VL047</t>
  </si>
  <si>
    <t xml:space="preserve">VL048</t>
  </si>
  <si>
    <t xml:space="preserve">VL049</t>
  </si>
  <si>
    <t xml:space="preserve">VL050</t>
  </si>
  <si>
    <t xml:space="preserve">VL051</t>
  </si>
  <si>
    <t xml:space="preserve">VL052</t>
  </si>
  <si>
    <t xml:space="preserve">VL053</t>
  </si>
  <si>
    <t xml:space="preserve">VL054</t>
  </si>
  <si>
    <t xml:space="preserve">VL055</t>
  </si>
  <si>
    <t xml:space="preserve">VL056</t>
  </si>
  <si>
    <t xml:space="preserve">VL057</t>
  </si>
  <si>
    <t xml:space="preserve">VL058</t>
  </si>
  <si>
    <t xml:space="preserve">VL059</t>
  </si>
  <si>
    <t xml:space="preserve">VL060</t>
  </si>
  <si>
    <t xml:space="preserve">VL061</t>
  </si>
  <si>
    <t xml:space="preserve">VL062</t>
  </si>
  <si>
    <t xml:space="preserve">VL063</t>
  </si>
  <si>
    <t xml:space="preserve">VL064</t>
  </si>
  <si>
    <t xml:space="preserve">VL065</t>
  </si>
  <si>
    <t xml:space="preserve">VL066</t>
  </si>
  <si>
    <t xml:space="preserve">VL067</t>
  </si>
  <si>
    <t xml:space="preserve">VL068</t>
  </si>
  <si>
    <t xml:space="preserve">VL069</t>
  </si>
  <si>
    <t xml:space="preserve">VL070</t>
  </si>
  <si>
    <t xml:space="preserve">VL071</t>
  </si>
  <si>
    <t xml:space="preserve">VL072</t>
  </si>
  <si>
    <t xml:space="preserve">Site-resource capacity partitions</t>
  </si>
  <si>
    <t xml:space="preserve">Each normalized host resource reserves seventy-five units for the physical truth train, twenty for the artifact estate and five as unassigned headroom.</t>
  </si>
  <si>
    <t xml:space="preserve">Resource</t>
  </si>
  <si>
    <t xml:space="preserve">Host units</t>
  </si>
  <si>
    <t xml:space="preserve">Truth reservation</t>
  </si>
  <si>
    <t xml:space="preserve">Unassigned headroom</t>
  </si>
  <si>
    <t xml:space="preserve">Partition sum</t>
  </si>
  <si>
    <t xml:space="preserve">CB001</t>
  </si>
  <si>
    <t xml:space="preserve">Secure compute</t>
  </si>
  <si>
    <t xml:space="preserve">CB002</t>
  </si>
  <si>
    <t xml:space="preserve">Protected storage</t>
  </si>
  <si>
    <t xml:space="preserve">CB003</t>
  </si>
  <si>
    <t xml:space="preserve">CB004</t>
  </si>
  <si>
    <t xml:space="preserve">Power and cooling</t>
  </si>
  <si>
    <t xml:space="preserve">CB005</t>
  </si>
  <si>
    <t xml:space="preserve">Controlled workspace</t>
  </si>
  <si>
    <t xml:space="preserve">CB006</t>
  </si>
  <si>
    <t xml:space="preserve">Specialist labor</t>
  </si>
  <si>
    <t xml:space="preserve">CB007</t>
  </si>
  <si>
    <t xml:space="preserve">CB008</t>
  </si>
  <si>
    <t xml:space="preserve">CB009</t>
  </si>
  <si>
    <t xml:space="preserve">CB010</t>
  </si>
  <si>
    <t xml:space="preserve">CB011</t>
  </si>
  <si>
    <t xml:space="preserve">CB012</t>
  </si>
  <si>
    <t xml:space="preserve">CB013</t>
  </si>
  <si>
    <t xml:space="preserve">CB014</t>
  </si>
  <si>
    <t xml:space="preserve">CB015</t>
  </si>
  <si>
    <t xml:space="preserve">CB016</t>
  </si>
  <si>
    <t xml:space="preserve">CB017</t>
  </si>
  <si>
    <t xml:space="preserve">CB018</t>
  </si>
  <si>
    <t xml:space="preserve">CB019</t>
  </si>
  <si>
    <t xml:space="preserve">CB020</t>
  </si>
  <si>
    <t xml:space="preserve">CB021</t>
  </si>
  <si>
    <t xml:space="preserve">CB022</t>
  </si>
  <si>
    <t xml:space="preserve">CB023</t>
  </si>
  <si>
    <t xml:space="preserve">CB024</t>
  </si>
  <si>
    <t xml:space="preserve">CB025</t>
  </si>
  <si>
    <t xml:space="preserve">CB026</t>
  </si>
  <si>
    <t xml:space="preserve">CB027</t>
  </si>
  <si>
    <t xml:space="preserve">CB028</t>
  </si>
  <si>
    <t xml:space="preserve">CB029</t>
  </si>
  <si>
    <t xml:space="preserve">CB030</t>
  </si>
  <si>
    <t xml:space="preserve">CB031</t>
  </si>
  <si>
    <t xml:space="preserve">CB032</t>
  </si>
  <si>
    <t xml:space="preserve">CB033</t>
  </si>
  <si>
    <t xml:space="preserve">CB034</t>
  </si>
  <si>
    <t xml:space="preserve">CB035</t>
  </si>
  <si>
    <t xml:space="preserve">CB036</t>
  </si>
  <si>
    <t xml:space="preserve">CB037</t>
  </si>
  <si>
    <t xml:space="preserve">CB038</t>
  </si>
  <si>
    <t xml:space="preserve">CB039</t>
  </si>
  <si>
    <t xml:space="preserve">CB040</t>
  </si>
  <si>
    <t xml:space="preserve">CB041</t>
  </si>
  <si>
    <t xml:space="preserve">CB042</t>
  </si>
  <si>
    <t xml:space="preserve">CB043</t>
  </si>
  <si>
    <t xml:space="preserve">CB044</t>
  </si>
  <si>
    <t xml:space="preserve">CB045</t>
  </si>
  <si>
    <t xml:space="preserve">CB046</t>
  </si>
  <si>
    <t xml:space="preserve">CB047</t>
  </si>
  <si>
    <t xml:space="preserve">CB048</t>
  </si>
  <si>
    <t xml:space="preserve">CB049</t>
  </si>
  <si>
    <t xml:space="preserve">CB050</t>
  </si>
  <si>
    <t xml:space="preserve">CB051</t>
  </si>
  <si>
    <t xml:space="preserve">CB052</t>
  </si>
  <si>
    <t xml:space="preserve">CB053</t>
  </si>
  <si>
    <t xml:space="preserve">CB054</t>
  </si>
  <si>
    <t xml:space="preserve">CB055</t>
  </si>
  <si>
    <t xml:space="preserve">CB056</t>
  </si>
  <si>
    <t xml:space="preserve">CB057</t>
  </si>
  <si>
    <t xml:space="preserve">CB058</t>
  </si>
  <si>
    <t xml:space="preserve">CB059</t>
  </si>
  <si>
    <t xml:space="preserve">CB060</t>
  </si>
  <si>
    <t xml:space="preserve">CB061</t>
  </si>
  <si>
    <t xml:space="preserve">CB062</t>
  </si>
  <si>
    <t xml:space="preserve">CB063</t>
  </si>
  <si>
    <t xml:space="preserve">CB064</t>
  </si>
  <si>
    <t xml:space="preserve">CB065</t>
  </si>
  <si>
    <t xml:space="preserve">CB066</t>
  </si>
  <si>
    <t xml:space="preserve">CB067</t>
  </si>
  <si>
    <t xml:space="preserve">CB068</t>
  </si>
  <si>
    <t xml:space="preserve">CB069</t>
  </si>
  <si>
    <t xml:space="preserve">CB070</t>
  </si>
  <si>
    <t xml:space="preserve">CB071</t>
  </si>
  <si>
    <t xml:space="preserve">CB072</t>
  </si>
  <si>
    <t xml:space="preserve">CB073</t>
  </si>
  <si>
    <t xml:space="preserve">CB074</t>
  </si>
  <si>
    <t xml:space="preserve">CB075</t>
  </si>
  <si>
    <t xml:space="preserve">CB076</t>
  </si>
  <si>
    <t xml:space="preserve">CB077</t>
  </si>
  <si>
    <t xml:space="preserve">CB078</t>
  </si>
  <si>
    <t xml:space="preserve">CB079</t>
  </si>
  <si>
    <t xml:space="preserve">CB080</t>
  </si>
  <si>
    <t xml:space="preserve">CB081</t>
  </si>
  <si>
    <t xml:space="preserve">CB082</t>
  </si>
  <si>
    <t xml:space="preserve">CB083</t>
  </si>
  <si>
    <t xml:space="preserve">CB084</t>
  </si>
  <si>
    <t xml:space="preserve">CB085</t>
  </si>
  <si>
    <t xml:space="preserve">CB086</t>
  </si>
  <si>
    <t xml:space="preserve">CB087</t>
  </si>
  <si>
    <t xml:space="preserve">CB088</t>
  </si>
  <si>
    <t xml:space="preserve">CB089</t>
  </si>
  <si>
    <t xml:space="preserve">CB090</t>
  </si>
  <si>
    <t xml:space="preserve">CB091</t>
  </si>
  <si>
    <t xml:space="preserve">CB092</t>
  </si>
  <si>
    <t xml:space="preserve">CB093</t>
  </si>
  <si>
    <t xml:space="preserve">CB094</t>
  </si>
  <si>
    <t xml:space="preserve">CB095</t>
  </si>
  <si>
    <t xml:space="preserve">CB096</t>
  </si>
  <si>
    <t xml:space="preserve">CB097</t>
  </si>
  <si>
    <t xml:space="preserve">CB098</t>
  </si>
  <si>
    <t xml:space="preserve">CB099</t>
  </si>
  <si>
    <t xml:space="preserve">CB100</t>
  </si>
  <si>
    <t xml:space="preserve">CB101</t>
  </si>
  <si>
    <t xml:space="preserve">CB102</t>
  </si>
  <si>
    <t xml:space="preserve">CB103</t>
  </si>
  <si>
    <t xml:space="preserve">CB104</t>
  </si>
  <si>
    <t xml:space="preserve">CB105</t>
  </si>
  <si>
    <t xml:space="preserve">CB106</t>
  </si>
  <si>
    <t xml:space="preserve">CB107</t>
  </si>
  <si>
    <t xml:space="preserve">CB108</t>
  </si>
  <si>
    <t xml:space="preserve">Simultaneous truth and artifact capacity stress</t>
  </si>
  <si>
    <t xml:space="preserve">Every active site-resource row carries the full truth reservation while artifact failover remains inside its separate partition.</t>
  </si>
  <si>
    <t xml:space="preserve">World</t>
  </si>
  <si>
    <t xml:space="preserve">Type</t>
  </si>
  <si>
    <t xml:space="preserve">Subject</t>
  </si>
  <si>
    <t xml:space="preserve">Site region</t>
  </si>
  <si>
    <t xml:space="preserve">Site offline</t>
  </si>
  <si>
    <t xml:space="preserve">Affected root</t>
  </si>
  <si>
    <t xml:space="preserve">Host capacity</t>
  </si>
  <si>
    <t xml:space="preserve">Truth demand</t>
  </si>
  <si>
    <t xml:space="preserve">Artifact demand</t>
  </si>
  <si>
    <t xml:space="preserve">Artifact cap</t>
  </si>
  <si>
    <t xml:space="preserve">Total demand</t>
  </si>
  <si>
    <t xml:space="preserve">Headroom</t>
  </si>
  <si>
    <t xml:space="preserve">Truth protected</t>
  </si>
  <si>
    <t xml:space="preserve">Artifact isolated</t>
  </si>
  <si>
    <t xml:space="preserve">W01</t>
  </si>
  <si>
    <t xml:space="preserve">SITE LOSS</t>
  </si>
  <si>
    <t xml:space="preserve">W02</t>
  </si>
  <si>
    <t xml:space="preserve">W03</t>
  </si>
  <si>
    <t xml:space="preserve">W04</t>
  </si>
  <si>
    <t xml:space="preserve">W05</t>
  </si>
  <si>
    <t xml:space="preserve">W06</t>
  </si>
  <si>
    <t xml:space="preserve">W07</t>
  </si>
  <si>
    <t xml:space="preserve">W08</t>
  </si>
  <si>
    <t xml:space="preserve">W09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</si>
  <si>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</si>
  <si>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</si>
  <si>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</si>
  <si>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</si>
  <si>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</si>
  <si>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W15</t>
  </si>
  <si>
    <t xml:space="preserve">W16</t>
  </si>
  <si>
    <t xml:space="preserve">W17</t>
  </si>
  <si>
    <t xml:space="preserve">W18</t>
  </si>
  <si>
    <t xml:space="preserve">W19</t>
  </si>
  <si>
    <t xml:space="preserve">REGION LOSS</t>
  </si>
  <si>
    <t xml:space="preserve">W20</t>
  </si>
  <si>
    <t xml:space="preserve">W21</t>
  </si>
  <si>
    <t xml:space="preserve">W22</t>
  </si>
  <si>
    <t xml:space="preserve">W23</t>
  </si>
  <si>
    <t xml:space="preserve">W24</t>
  </si>
  <si>
    <t xml:space="preserve">W25</t>
  </si>
  <si>
    <t xml:space="preserve">VENDOR EXIT</t>
  </si>
  <si>
    <t xml:space="preserve">ALL</t>
  </si>
  <si>
    <t xml:space="preserve">W26</t>
  </si>
  <si>
    <t xml:space="preserve">ROLE COMPROMISE</t>
  </si>
  <si>
    <t xml:space="preserve">W27</t>
  </si>
  <si>
    <t xml:space="preserve">W28</t>
  </si>
  <si>
    <t xml:space="preserve">W29</t>
  </si>
  <si>
    <t xml:space="preserve">COURT KEY LOSS</t>
  </si>
  <si>
    <t xml:space="preserve">ONE PER ROOT</t>
  </si>
  <si>
    <t xml:space="preserve">W30</t>
  </si>
  <si>
    <t xml:space="preserve">EXCHANGE SHARE LOSS</t>
  </si>
  <si>
    <t xml:space="preserve">ONE REGION</t>
  </si>
  <si>
    <t xml:space="preserve">Commissioning failure worlds</t>
  </si>
  <si>
    <t xml:space="preserve">Capacity may pass before commissioning. A world remains open until all six measured recovery trials pass.</t>
  </si>
  <si>
    <t xml:space="preserve">Expected offline records</t>
  </si>
  <si>
    <t xml:space="preserve">Observed offline</t>
  </si>
  <si>
    <t xml:space="preserve">Expected active passes</t>
  </si>
  <si>
    <t xml:space="preserve">Observed active passes</t>
  </si>
  <si>
    <t xml:space="preserve">Required headroom</t>
  </si>
  <si>
    <t xml:space="preserve">Capacity state</t>
  </si>
  <si>
    <t xml:space="preserve">Trials required</t>
  </si>
  <si>
    <t xml:space="preserve">Trials passed</t>
  </si>
  <si>
    <t xml:space="preserve">Commissioning state</t>
  </si>
  <si>
    <t xml:space="preserve">Recovery trial register</t>
  </si>
  <si>
    <t xml:space="preserve">Trials use synthetic load and availability records only. Package content, predicted performance and artifact validity are prohibited.</t>
  </si>
  <si>
    <t xml:space="preserve">Trial</t>
  </si>
  <si>
    <t xml:space="preserve">Recovery function</t>
  </si>
  <si>
    <t xml:space="preserve">Target minutes</t>
  </si>
  <si>
    <t xml:space="preserve">Measured minutes</t>
  </si>
  <si>
    <t xml:space="preserve">Integrity log</t>
  </si>
  <si>
    <t xml:space="preserve">Independent observer</t>
  </si>
  <si>
    <t xml:space="preserve">Trial complete</t>
  </si>
  <si>
    <t xml:space="preserve">Clock state</t>
  </si>
  <si>
    <t xml:space="preserve">AVW credit</t>
  </si>
  <si>
    <t xml:space="preserve">RT001</t>
  </si>
  <si>
    <t xml:space="preserve">Public mirror route</t>
  </si>
  <si>
    <t xml:space="preserve">RT002</t>
  </si>
  <si>
    <t xml:space="preserve">Custody-share isolation</t>
  </si>
  <si>
    <t xml:space="preserve">RT003</t>
  </si>
  <si>
    <t xml:space="preserve">Court re-quorum</t>
  </si>
  <si>
    <t xml:space="preserve">RT004</t>
  </si>
  <si>
    <t xml:space="preserve">Native failover</t>
  </si>
  <si>
    <t xml:space="preserve">RT005</t>
  </si>
  <si>
    <t xml:space="preserve">Clean failover</t>
  </si>
  <si>
    <t xml:space="preserve">RT006</t>
  </si>
  <si>
    <t xml:space="preserve">Divergence failover</t>
  </si>
  <si>
    <t xml:space="preserve">RT007</t>
  </si>
  <si>
    <t xml:space="preserve">RT008</t>
  </si>
  <si>
    <t xml:space="preserve">RT009</t>
  </si>
  <si>
    <t xml:space="preserve">RT010</t>
  </si>
  <si>
    <t xml:space="preserve">RT011</t>
  </si>
  <si>
    <t xml:space="preserve">RT012</t>
  </si>
  <si>
    <t xml:space="preserve">RT013</t>
  </si>
  <si>
    <t xml:space="preserve">RT014</t>
  </si>
  <si>
    <t xml:space="preserve">RT015</t>
  </si>
  <si>
    <t xml:space="preserve">RT016</t>
  </si>
  <si>
    <t xml:space="preserve">RT017</t>
  </si>
  <si>
    <t xml:space="preserve">RT018</t>
  </si>
  <si>
    <t xml:space="preserve">RT019</t>
  </si>
  <si>
    <t xml:space="preserve">RT020</t>
  </si>
  <si>
    <t xml:space="preserve">RT021</t>
  </si>
  <si>
    <t xml:space="preserve">RT022</t>
  </si>
  <si>
    <t xml:space="preserve">RT023</t>
  </si>
  <si>
    <t xml:space="preserve">RT024</t>
  </si>
  <si>
    <t xml:space="preserve">RT025</t>
  </si>
  <si>
    <t xml:space="preserve">RT026</t>
  </si>
  <si>
    <t xml:space="preserve">RT027</t>
  </si>
  <si>
    <t xml:space="preserve">RT028</t>
  </si>
  <si>
    <t xml:space="preserve">RT029</t>
  </si>
  <si>
    <t xml:space="preserve">RT030</t>
  </si>
  <si>
    <t xml:space="preserve">RT031</t>
  </si>
  <si>
    <t xml:space="preserve">RT032</t>
  </si>
  <si>
    <t xml:space="preserve">RT033</t>
  </si>
  <si>
    <t xml:space="preserve">RT034</t>
  </si>
  <si>
    <t xml:space="preserve">RT035</t>
  </si>
  <si>
    <t xml:space="preserve">RT036</t>
  </si>
  <si>
    <t xml:space="preserve">RT037</t>
  </si>
  <si>
    <t xml:space="preserve">RT038</t>
  </si>
  <si>
    <t xml:space="preserve">RT039</t>
  </si>
  <si>
    <t xml:space="preserve">RT040</t>
  </si>
  <si>
    <t xml:space="preserve">RT041</t>
  </si>
  <si>
    <t xml:space="preserve">RT042</t>
  </si>
  <si>
    <t xml:space="preserve">RT043</t>
  </si>
  <si>
    <t xml:space="preserve">RT044</t>
  </si>
  <si>
    <t xml:space="preserve">RT045</t>
  </si>
  <si>
    <t xml:space="preserve">RT046</t>
  </si>
  <si>
    <t xml:space="preserve">RT047</t>
  </si>
  <si>
    <t xml:space="preserve">RT048</t>
  </si>
  <si>
    <t xml:space="preserve">RT049</t>
  </si>
  <si>
    <t xml:space="preserve">RT050</t>
  </si>
  <si>
    <t xml:space="preserve">RT051</t>
  </si>
  <si>
    <t xml:space="preserve">RT052</t>
  </si>
  <si>
    <t xml:space="preserve">RT053</t>
  </si>
  <si>
    <t xml:space="preserve">RT054</t>
  </si>
  <si>
    <t xml:space="preserve">RT055</t>
  </si>
  <si>
    <t xml:space="preserve">RT056</t>
  </si>
  <si>
    <t xml:space="preserve">RT057</t>
  </si>
  <si>
    <t xml:space="preserve">RT058</t>
  </si>
  <si>
    <t xml:space="preserve">RT059</t>
  </si>
  <si>
    <t xml:space="preserve">RT060</t>
  </si>
  <si>
    <t xml:space="preserve">RT061</t>
  </si>
  <si>
    <t xml:space="preserve">RT062</t>
  </si>
  <si>
    <t xml:space="preserve">RT063</t>
  </si>
  <si>
    <t xml:space="preserve">RT064</t>
  </si>
  <si>
    <t xml:space="preserve">RT065</t>
  </si>
  <si>
    <t xml:space="preserve">RT066</t>
  </si>
  <si>
    <t xml:space="preserve">RT067</t>
  </si>
  <si>
    <t xml:space="preserve">RT068</t>
  </si>
  <si>
    <t xml:space="preserve">RT069</t>
  </si>
  <si>
    <t xml:space="preserve">RT070</t>
  </si>
  <si>
    <t xml:space="preserve">RT071</t>
  </si>
  <si>
    <t xml:space="preserve">RT072</t>
  </si>
  <si>
    <t xml:space="preserve">RT073</t>
  </si>
  <si>
    <t xml:space="preserve">RT074</t>
  </si>
  <si>
    <t xml:space="preserve">RT075</t>
  </si>
  <si>
    <t xml:space="preserve">RT076</t>
  </si>
  <si>
    <t xml:space="preserve">RT077</t>
  </si>
  <si>
    <t xml:space="preserve">RT078</t>
  </si>
  <si>
    <t xml:space="preserve">RT079</t>
  </si>
  <si>
    <t xml:space="preserve">RT080</t>
  </si>
  <si>
    <t xml:space="preserve">RT081</t>
  </si>
  <si>
    <t xml:space="preserve">RT082</t>
  </si>
  <si>
    <t xml:space="preserve">RT083</t>
  </si>
  <si>
    <t xml:space="preserve">RT084</t>
  </si>
  <si>
    <t xml:space="preserve">RT085</t>
  </si>
  <si>
    <t xml:space="preserve">RT086</t>
  </si>
  <si>
    <t xml:space="preserve">RT087</t>
  </si>
  <si>
    <t xml:space="preserve">RT088</t>
  </si>
  <si>
    <t xml:space="preserve">RT089</t>
  </si>
  <si>
    <t xml:space="preserve">RT090</t>
  </si>
  <si>
    <t xml:space="preserve">RT091</t>
  </si>
  <si>
    <t xml:space="preserve">RT092</t>
  </si>
  <si>
    <t xml:space="preserve">RT093</t>
  </si>
  <si>
    <t xml:space="preserve">RT094</t>
  </si>
  <si>
    <t xml:space="preserve">RT095</t>
  </si>
  <si>
    <t xml:space="preserve">RT096</t>
  </si>
  <si>
    <t xml:space="preserve">RT097</t>
  </si>
  <si>
    <t xml:space="preserve">RT098</t>
  </si>
  <si>
    <t xml:space="preserve">RT099</t>
  </si>
  <si>
    <t xml:space="preserve">RT100</t>
  </si>
  <si>
    <t xml:space="preserve">RT101</t>
  </si>
  <si>
    <t xml:space="preserve">RT102</t>
  </si>
  <si>
    <t xml:space="preserve">RT103</t>
  </si>
  <si>
    <t xml:space="preserve">RT104</t>
  </si>
  <si>
    <t xml:space="preserve">RT105</t>
  </si>
  <si>
    <t xml:space="preserve">RT106</t>
  </si>
  <si>
    <t xml:space="preserve">RT107</t>
  </si>
  <si>
    <t xml:space="preserve">RT108</t>
  </si>
  <si>
    <t xml:space="preserve">RT109</t>
  </si>
  <si>
    <t xml:space="preserve">RT110</t>
  </si>
  <si>
    <t xml:space="preserve">RT111</t>
  </si>
  <si>
    <t xml:space="preserve">RT112</t>
  </si>
  <si>
    <t xml:space="preserve">RT113</t>
  </si>
  <si>
    <t xml:space="preserve">RT114</t>
  </si>
  <si>
    <t xml:space="preserve">RT115</t>
  </si>
  <si>
    <t xml:space="preserve">RT116</t>
  </si>
  <si>
    <t xml:space="preserve">RT117</t>
  </si>
  <si>
    <t xml:space="preserve">RT118</t>
  </si>
  <si>
    <t xml:space="preserve">RT119</t>
  </si>
  <si>
    <t xml:space="preserve">RT120</t>
  </si>
  <si>
    <t xml:space="preserve">RT121</t>
  </si>
  <si>
    <t xml:space="preserve">RT122</t>
  </si>
  <si>
    <t xml:space="preserve">RT123</t>
  </si>
  <si>
    <t xml:space="preserve">RT124</t>
  </si>
  <si>
    <t xml:space="preserve">RT125</t>
  </si>
  <si>
    <t xml:space="preserve">RT126</t>
  </si>
  <si>
    <t xml:space="preserve">RT127</t>
  </si>
  <si>
    <t xml:space="preserve">RT128</t>
  </si>
  <si>
    <t xml:space="preserve">RT129</t>
  </si>
  <si>
    <t xml:space="preserve">RT130</t>
  </si>
  <si>
    <t xml:space="preserve">RT131</t>
  </si>
  <si>
    <t xml:space="preserve">RT132</t>
  </si>
  <si>
    <t xml:space="preserve">RT133</t>
  </si>
  <si>
    <t xml:space="preserve">RT134</t>
  </si>
  <si>
    <t xml:space="preserve">RT135</t>
  </si>
  <si>
    <t xml:space="preserve">RT136</t>
  </si>
  <si>
    <t xml:space="preserve">RT137</t>
  </si>
  <si>
    <t xml:space="preserve">RT138</t>
  </si>
  <si>
    <t xml:space="preserve">RT139</t>
  </si>
  <si>
    <t xml:space="preserve">RT140</t>
  </si>
  <si>
    <t xml:space="preserve">RT141</t>
  </si>
  <si>
    <t xml:space="preserve">RT142</t>
  </si>
  <si>
    <t xml:space="preserve">RT143</t>
  </si>
  <si>
    <t xml:space="preserve">RT144</t>
  </si>
  <si>
    <t xml:space="preserve">RT145</t>
  </si>
  <si>
    <t xml:space="preserve">RT146</t>
  </si>
  <si>
    <t xml:space="preserve">RT147</t>
  </si>
  <si>
    <t xml:space="preserve">RT148</t>
  </si>
  <si>
    <t xml:space="preserve">RT149</t>
  </si>
  <si>
    <t xml:space="preserve">RT150</t>
  </si>
  <si>
    <t xml:space="preserve">RT151</t>
  </si>
  <si>
    <t xml:space="preserve">RT152</t>
  </si>
  <si>
    <t xml:space="preserve">RT153</t>
  </si>
  <si>
    <t xml:space="preserve">RT154</t>
  </si>
  <si>
    <t xml:space="preserve">RT155</t>
  </si>
  <si>
    <t xml:space="preserve">RT156</t>
  </si>
  <si>
    <t xml:space="preserve">RT157</t>
  </si>
  <si>
    <t xml:space="preserve">RT158</t>
  </si>
  <si>
    <t xml:space="preserve">RT159</t>
  </si>
  <si>
    <t xml:space="preserve">RT160</t>
  </si>
  <si>
    <t xml:space="preserve">RT161</t>
  </si>
  <si>
    <t xml:space="preserve">RT162</t>
  </si>
  <si>
    <t xml:space="preserve">RT163</t>
  </si>
  <si>
    <t xml:space="preserve">RT164</t>
  </si>
  <si>
    <t xml:space="preserve">RT165</t>
  </si>
  <si>
    <t xml:space="preserve">RT166</t>
  </si>
  <si>
    <t xml:space="preserve">RT167</t>
  </si>
  <si>
    <t xml:space="preserve">RT168</t>
  </si>
  <si>
    <t xml:space="preserve">RT169</t>
  </si>
  <si>
    <t xml:space="preserve">RT170</t>
  </si>
  <si>
    <t xml:space="preserve">RT171</t>
  </si>
  <si>
    <t xml:space="preserve">RT172</t>
  </si>
  <si>
    <t xml:space="preserve">RT173</t>
  </si>
  <si>
    <t xml:space="preserve">RT174</t>
  </si>
  <si>
    <t xml:space="preserve">RT175</t>
  </si>
  <si>
    <t xml:space="preserve">RT176</t>
  </si>
  <si>
    <t xml:space="preserve">RT177</t>
  </si>
  <si>
    <t xml:space="preserve">RT178</t>
  </si>
  <si>
    <t xml:space="preserve">RT179</t>
  </si>
  <si>
    <t xml:space="preserve">RT180</t>
  </si>
  <si>
    <t xml:space="preserve">Conserved commissioning economics</t>
  </si>
  <si>
    <t xml:space="preserve">Capital is a co-use ceiling inside the public-method reserve. Operating amounts remain inside the cohort artifact-validity allocation.</t>
  </si>
  <si>
    <t xml:space="preserve">Capital co-use ceiling (USD millions)</t>
  </si>
  <si>
    <t xml:space="preserve">Function</t>
  </si>
  <si>
    <t xml:space="preserve">Allocation</t>
  </si>
  <si>
    <t xml:space="preserve">Vendor-delivered</t>
  </si>
  <si>
    <t xml:space="preserve">Publicly retained</t>
  </si>
  <si>
    <t xml:space="preserve">Cohort operating ceiling (USD millions)</t>
  </si>
  <si>
    <t xml:space="preserve">Parent ceiling</t>
  </si>
  <si>
    <t xml:space="preserve">Share</t>
  </si>
  <si>
    <t xml:space="preserve">Function ceiling</t>
  </si>
  <si>
    <t xml:space="preserve">Clean-room rebuild cells</t>
  </si>
  <si>
    <t xml:space="preserve">Root-native instruments and qualification</t>
  </si>
  <si>
    <t xml:space="preserve">Divergence reserve</t>
  </si>
  <si>
    <t xml:space="preserve">Public Artifact Exchange</t>
  </si>
  <si>
    <t xml:space="preserve">Disconnected archive</t>
  </si>
  <si>
    <t xml:space="preserve">Cryptographic lineage</t>
  </si>
  <si>
    <t xml:space="preserve">Semantic kernel stewardship</t>
  </si>
  <si>
    <t xml:space="preserve">Non-displacement accounting</t>
  </si>
  <si>
    <t xml:space="preserve">Truth-train reservation per site-resource</t>
  </si>
  <si>
    <t xml:space="preserve">Artifact-estate maximum per site-resource</t>
  </si>
  <si>
    <t xml:space="preserve">Capital ceiling added</t>
  </si>
  <si>
    <t xml:space="preserve">Operating ceiling added</t>
  </si>
  <si>
    <t xml:space="preserve">Authority created by budget</t>
  </si>
  <si>
    <t xml:space="preserve">Commissioning state and nonconversion law</t>
  </si>
  <si>
    <t xml:space="preserve">Commissioning establishes availability. It does not establish package validity, observation, selection or production authority.</t>
  </si>
  <si>
    <t xml:space="preserve">Entry</t>
  </si>
  <si>
    <t xml:space="preserve">Permitted act</t>
  </si>
  <si>
    <t xml:space="preserve">Loss response</t>
  </si>
  <si>
    <t xml:space="preserve">Exit</t>
  </si>
  <si>
    <t xml:space="preserve">Authority</t>
  </si>
  <si>
    <t xml:space="preserve">PLANNED</t>
  </si>
  <si>
    <t xml:space="preserve">FAE-1 selected</t>
  </si>
  <si>
    <t xml:space="preserve">register dockets</t>
  </si>
  <si>
    <t xml:space="preserve">topology to site fact</t>
  </si>
  <si>
    <t xml:space="preserve">none</t>
  </si>
  <si>
    <t xml:space="preserve">IDENTIFIED</t>
  </si>
  <si>
    <t xml:space="preserve">Research compact</t>
  </si>
  <si>
    <t xml:space="preserve">site and actors named</t>
  </si>
  <si>
    <t xml:space="preserve">test control graphs</t>
  </si>
  <si>
    <t xml:space="preserve">identity to independence</t>
  </si>
  <si>
    <t xml:space="preserve">revoke identity</t>
  </si>
  <si>
    <t xml:space="preserve">SEPARATED</t>
  </si>
  <si>
    <t xml:space="preserve">all conflicts clear</t>
  </si>
  <si>
    <t xml:space="preserve">issue scoped keys</t>
  </si>
  <si>
    <t xml:space="preserve">separation to key validity</t>
  </si>
  <si>
    <t xml:space="preserve">rekey</t>
  </si>
  <si>
    <t xml:space="preserve">KEYED</t>
  </si>
  <si>
    <t xml:space="preserve">ceremonies complete</t>
  </si>
  <si>
    <t xml:space="preserve">commission enclave builds</t>
  </si>
  <si>
    <t xml:space="preserve">destroy affected key</t>
  </si>
  <si>
    <t xml:space="preserve">BUILT</t>
  </si>
  <si>
    <t xml:space="preserve">Commissioning authority</t>
  </si>
  <si>
    <t xml:space="preserve">installation accepted</t>
  </si>
  <si>
    <t xml:space="preserve">reserve capacity</t>
  </si>
  <si>
    <t xml:space="preserve">build acceptance to NDW</t>
  </si>
  <si>
    <t xml:space="preserve">repair or replace</t>
  </si>
  <si>
    <t xml:space="preserve">RESERVED</t>
  </si>
  <si>
    <t xml:space="preserve">Capacity steward</t>
  </si>
  <si>
    <t xml:space="preserve">partitions sealed</t>
  </si>
  <si>
    <t xml:space="preserve">run synthetic recovery trials</t>
  </si>
  <si>
    <t xml:space="preserve">reservation to measured recovery</t>
  </si>
  <si>
    <t xml:space="preserve">hold docket</t>
  </si>
  <si>
    <t xml:space="preserve">DRILLED</t>
  </si>
  <si>
    <t xml:space="preserve">Drill authority</t>
  </si>
  <si>
    <t xml:space="preserve">all clocks measured</t>
  </si>
  <si>
    <t xml:space="preserve">issue non-displacement warrant</t>
  </si>
  <si>
    <t xml:space="preserve">repeat invalid drill</t>
  </si>
  <si>
    <t xml:space="preserve">WARRANTED</t>
  </si>
  <si>
    <t xml:space="preserve">18 NDWs and six roots</t>
  </si>
  <si>
    <t xml:space="preserve">activate estate simultaneously</t>
  </si>
  <si>
    <t xml:space="preserve">hold all activation</t>
  </si>
  <si>
    <t xml:space="preserve">AVAILABLE</t>
  </si>
  <si>
    <t xml:space="preserve">Activation registrar</t>
  </si>
  <si>
    <t xml:space="preserve">cohort token live</t>
  </si>
  <si>
    <t xml:space="preserve">accept DRG-1 package</t>
  </si>
  <si>
    <t xml:space="preserve">availability to AVW</t>
  </si>
  <si>
    <t xml:space="preserve">degrade affected root</t>
  </si>
  <si>
    <t xml:space="preserve">DEGRADED</t>
  </si>
  <si>
    <t xml:space="preserve">one path or share lost</t>
  </si>
  <si>
    <t xml:space="preserve">operate lawful survivor</t>
  </si>
  <si>
    <t xml:space="preserve">degradation to normal state</t>
  </si>
  <si>
    <t xml:space="preserve">recover before expiry</t>
  </si>
  <si>
    <t xml:space="preserve">Continuity authority</t>
  </si>
  <si>
    <t xml:space="preserve">HELD</t>
  </si>
  <si>
    <t xml:space="preserve">quorum, capacity or lineage absent</t>
  </si>
  <si>
    <t xml:space="preserve">preserve custody</t>
  </si>
  <si>
    <t xml:space="preserve">custody to acceptance</t>
  </si>
  <si>
    <t xml:space="preserve">no new AVW</t>
  </si>
  <si>
    <t xml:space="preserve">Artifact Court</t>
  </si>
  <si>
    <t xml:space="preserve">TERMINATED</t>
  </si>
  <si>
    <t xml:space="preserve">seal outputs and return authority</t>
  </si>
  <si>
    <t xml:space="preserve">archive epoch</t>
  </si>
  <si>
    <t xml:space="preserve">Constitution</t>
  </si>
  <si>
    <t xml:space="preserve">Sixteen nonconversions</t>
  </si>
  <si>
    <t xml:space="preserve">Rule</t>
  </si>
  <si>
    <t xml:space="preserve">Source</t>
  </si>
  <si>
    <t xml:space="preserve">Forbidden result</t>
  </si>
  <si>
    <t xml:space="preserve">Required act</t>
  </si>
  <si>
    <t xml:space="preserve">Disposition</t>
  </si>
  <si>
    <t xml:space="preserve">N01</t>
  </si>
  <si>
    <t xml:space="preserve">Site class</t>
  </si>
  <si>
    <t xml:space="preserve">Named place</t>
  </si>
  <si>
    <t xml:space="preserve">Physical Site Court admission</t>
  </si>
  <si>
    <t xml:space="preserve">OPEN</t>
  </si>
  <si>
    <t xml:space="preserve">N02</t>
  </si>
  <si>
    <t xml:space="preserve">Co-location</t>
  </si>
  <si>
    <t xml:space="preserve">Common control</t>
  </si>
  <si>
    <t xml:space="preserve">separate people, keys and ancestry</t>
  </si>
  <si>
    <t xml:space="preserve">TERMINATE</t>
  </si>
  <si>
    <t xml:space="preserve">N03</t>
  </si>
  <si>
    <t xml:space="preserve">Independence</t>
  </si>
  <si>
    <t xml:space="preserve">control-graph clearance</t>
  </si>
  <si>
    <t xml:space="preserve">N04</t>
  </si>
  <si>
    <t xml:space="preserve">Key ceremony</t>
  </si>
  <si>
    <t xml:space="preserve">Artifact validity</t>
  </si>
  <si>
    <t xml:space="preserve">ZERO CREDIT</t>
  </si>
  <si>
    <t xml:space="preserve">N05</t>
  </si>
  <si>
    <t xml:space="preserve">Vendor award</t>
  </si>
  <si>
    <t xml:space="preserve">Operating authority</t>
  </si>
  <si>
    <t xml:space="preserve">public appointment</t>
  </si>
  <si>
    <t xml:space="preserve">N06</t>
  </si>
  <si>
    <t xml:space="preserve">Installed capacity</t>
  </si>
  <si>
    <t xml:space="preserve">Reserved capacity</t>
  </si>
  <si>
    <t xml:space="preserve">capacity attestation</t>
  </si>
  <si>
    <t xml:space="preserve">HOLD</t>
  </si>
  <si>
    <t xml:space="preserve">N07</t>
  </si>
  <si>
    <t xml:space="preserve">Reservation</t>
  </si>
  <si>
    <t xml:space="preserve">Measured recovery</t>
  </si>
  <si>
    <t xml:space="preserve">executed trial</t>
  </si>
  <si>
    <t xml:space="preserve">N08</t>
  </si>
  <si>
    <t xml:space="preserve">Scheduled drill</t>
  </si>
  <si>
    <t xml:space="preserve">Completed drill</t>
  </si>
  <si>
    <t xml:space="preserve">integrity log and observer</t>
  </si>
  <si>
    <t xml:space="preserve">N09</t>
  </si>
  <si>
    <t xml:space="preserve">AVW</t>
  </si>
  <si>
    <t xml:space="preserve">package-specific reconstruction</t>
  </si>
  <si>
    <t xml:space="preserve">N10</t>
  </si>
  <si>
    <t xml:space="preserve">Capacity pass</t>
  </si>
  <si>
    <t xml:space="preserve">Truth Capacity Court signature</t>
  </si>
  <si>
    <t xml:space="preserve">N11</t>
  </si>
  <si>
    <t xml:space="preserve">NDW</t>
  </si>
  <si>
    <t xml:space="preserve">New appropriation</t>
  </si>
  <si>
    <t xml:space="preserve">nested capital ledger</t>
  </si>
  <si>
    <t xml:space="preserve">ZERO ADD</t>
  </si>
  <si>
    <t xml:space="preserve">N12</t>
  </si>
  <si>
    <t xml:space="preserve">Root availability</t>
  </si>
  <si>
    <t xml:space="preserve">Cohort activation</t>
  </si>
  <si>
    <t xml:space="preserve">N13</t>
  </si>
  <si>
    <t xml:space="preserve">Package validity</t>
  </si>
  <si>
    <t xml:space="preserve">package-specific AVW</t>
  </si>
  <si>
    <t xml:space="preserve">N14</t>
  </si>
  <si>
    <t xml:space="preserve">Observation</t>
  </si>
  <si>
    <t xml:space="preserve">Evidence Court event warrant</t>
  </si>
  <si>
    <t xml:space="preserve">N15</t>
  </si>
  <si>
    <t xml:space="preserve">Payment</t>
  </si>
  <si>
    <t xml:space="preserve">Selection</t>
  </si>
  <si>
    <t xml:space="preserve">root comparison warrant</t>
  </si>
  <si>
    <t xml:space="preserve">N16</t>
  </si>
  <si>
    <t xml:space="preserve">One-site survival</t>
  </si>
  <si>
    <t xml:space="preserve">Two-site survival</t>
  </si>
  <si>
    <t xml:space="preserve">stop and reconstitute</t>
  </si>
  <si>
    <t xml:space="preserve">Commissioning controls and inherited ceilings</t>
  </si>
  <si>
    <t xml:space="preserve">Editable controls are blue. Capacity units are normalized commissioning reservations, not physical measurements.</t>
  </si>
  <si>
    <t xml:space="preserve">Constitutional controls</t>
  </si>
  <si>
    <t xml:space="preserve">Root count</t>
  </si>
  <si>
    <t xml:space="preserve">Site count</t>
  </si>
  <si>
    <t xml:space="preserve">Failure domains</t>
  </si>
  <si>
    <t xml:space="preserve">Resource classes</t>
  </si>
  <si>
    <t xml:space="preserve">Host capacity units per resource</t>
  </si>
  <si>
    <t xml:space="preserve">Truth-train reservation units</t>
  </si>
  <si>
    <t xml:space="preserve">Artifact-estate partition units</t>
  </si>
  <si>
    <t xml:space="preserve">Artifact baseline demand units</t>
  </si>
  <si>
    <t xml:space="preserve">Minimum headroom units</t>
  </si>
  <si>
    <t xml:space="preserve">Failure worlds</t>
  </si>
  <si>
    <t xml:space="preserve">Recovery functions</t>
  </si>
  <si>
    <t xml:space="preserve">Commission gates per site</t>
  </si>
  <si>
    <t xml:space="preserve">Commissioning dockets</t>
  </si>
  <si>
    <t xml:space="preserve">Tolerance</t>
  </si>
  <si>
    <t xml:space="preserve">Current implementation and authority</t>
  </si>
  <si>
    <t xml:space="preserve">Named sites</t>
  </si>
  <si>
    <t xml:space="preserve">Admitted site charters</t>
  </si>
  <si>
    <t xml:space="preserve">Named site stewards</t>
  </si>
  <si>
    <t xml:space="preserve">Admitted role appointments</t>
  </si>
  <si>
    <t xml:space="preserve">Issued keys and shares</t>
  </si>
  <si>
    <t xml:space="preserve">Primary vendor awards</t>
  </si>
  <si>
    <t xml:space="preserve">Alternate vendor awards</t>
  </si>
  <si>
    <t xml:space="preserve">Commissioned enclave builds</t>
  </si>
  <si>
    <t xml:space="preserve">Completed recovery trials</t>
  </si>
  <si>
    <t xml:space="preserve">Root availability warrants</t>
  </si>
  <si>
    <t xml:space="preserve">Estate activation warrants</t>
  </si>
  <si>
    <t xml:space="preserve">Artifact validity warrants</t>
  </si>
  <si>
    <t xml:space="preserve">Payments</t>
  </si>
  <si>
    <t xml:space="preserve">Accepted observations</t>
  </si>
  <si>
    <t xml:space="preserve">Selected forms</t>
  </si>
  <si>
    <t xml:space="preserve">MAKE warrants</t>
  </si>
  <si>
    <t xml:space="preserve">REP-4 records</t>
  </si>
  <si>
    <t xml:space="preserve">Builder operating dependencies</t>
  </si>
  <si>
    <t xml:space="preserve">Common-control conflicts</t>
  </si>
  <si>
    <t xml:space="preserve">Host and failure-domain hardening</t>
  </si>
  <si>
    <t xml:space="preserve">Pass 233</t>
  </si>
  <si>
    <t xml:space="preserve">Role-separated enclave compute</t>
  </si>
  <si>
    <t xml:space="preserve">Offline custody and threshold escrow</t>
  </si>
  <si>
    <t xml:space="preserve">Public custody</t>
  </si>
  <si>
    <t xml:space="preserve">Court seats and key ceremony</t>
  </si>
  <si>
    <t xml:space="preserve">Public adjudication</t>
  </si>
  <si>
    <t xml:space="preserve">Cross-region network and restoration</t>
  </si>
  <si>
    <t xml:space="preserve">Uncommitted recovery reserve</t>
  </si>
  <si>
    <t xml:space="preserve">Public reserve</t>
  </si>
  <si>
    <t xml:space="preserve">Inherited cohort operating ceilings (USD millions)</t>
  </si>
  <si>
    <t xml:space="preserve">Independent reconstruction</t>
  </si>
  <si>
    <t xml:space="preserve">Public source escrow</t>
  </si>
  <si>
    <t xml:space="preserve">Recovery clock targets</t>
  </si>
  <si>
    <t xml:space="preserve">RC1</t>
  </si>
  <si>
    <t xml:space="preserve">Planning maximum; measurement required</t>
  </si>
  <si>
    <t xml:space="preserve">RC2</t>
  </si>
  <si>
    <t xml:space="preserve">RC3</t>
  </si>
  <si>
    <t xml:space="preserve">RC4</t>
  </si>
  <si>
    <t xml:space="preserve">RC5</t>
  </si>
  <si>
    <t xml:space="preserve">RC6</t>
  </si>
  <si>
    <t xml:space="preserve">Candidate</t>
  </si>
  <si>
    <t xml:space="preserve">Architecture</t>
  </si>
  <si>
    <t xml:space="preserve">Sites</t>
  </si>
  <si>
    <t xml:space="preserve">Role separation</t>
  </si>
  <si>
    <t xml:space="preserve">Single-loss survival</t>
  </si>
  <si>
    <t xml:space="preserve">Decision</t>
  </si>
  <si>
    <t xml:space="preserve">C1</t>
  </si>
  <si>
    <t xml:space="preserve">Single national commissioning campus</t>
  </si>
  <si>
    <t xml:space="preserve">REJECT</t>
  </si>
  <si>
    <t xml:space="preserve">C2</t>
  </si>
  <si>
    <t xml:space="preserve">Six complete root commissioning estates</t>
  </si>
  <si>
    <t xml:space="preserve">REJECT—DUPLICATIVE</t>
  </si>
  <si>
    <t xml:space="preserve">C3</t>
  </si>
  <si>
    <t xml:space="preserve">Thirty-six dedicated function sites</t>
  </si>
  <si>
    <t xml:space="preserve">REJECT—ADDITIVE</t>
  </si>
  <si>
    <t xml:space="preserve">C4</t>
  </si>
  <si>
    <t xml:space="preserve">Eighteen-site triadic commissioning lattice</t>
  </si>
  <si>
    <t xml:space="preserve">SELECT</t>
  </si>
  <si>
    <t xml:space="preserve">C5</t>
  </si>
  <si>
    <t xml:space="preserve">Vendor cloud with public backup</t>
  </si>
  <si>
    <t xml:space="preserve">Controlled mutation register</t>
  </si>
  <si>
    <t xml:space="preserve">Each corruption is applied to the live model, detected by a named terminal audit and restored before export.</t>
  </si>
  <si>
    <t xml:space="preserve">Mutation</t>
  </si>
  <si>
    <t xml:space="preserve">Target</t>
  </si>
  <si>
    <t xml:space="preserve">Baseline</t>
  </si>
  <si>
    <t xml:space="preserve">Mutated</t>
  </si>
  <si>
    <t xml:space="preserve">Expected audit</t>
  </si>
  <si>
    <t xml:space="preserve">Detected</t>
  </si>
  <si>
    <t xml:space="preserve">Restored</t>
  </si>
  <si>
    <t xml:space="preserve">M01 Root-count erosion</t>
  </si>
  <si>
    <t xml:space="preserve">Inputs!B7</t>
  </si>
  <si>
    <t xml:space="preserve">A01</t>
  </si>
  <si>
    <t xml:space="preserve">YES</t>
  </si>
  <si>
    <t xml:space="preserve">M02 Site-count erosion</t>
  </si>
  <si>
    <t xml:space="preserve">Inputs!B8</t>
  </si>
  <si>
    <t xml:space="preserve">A02</t>
  </si>
  <si>
    <t xml:space="preserve">M03 Resource-count erosion</t>
  </si>
  <si>
    <t xml:space="preserve">Inputs!B10</t>
  </si>
  <si>
    <t xml:space="preserve">A03</t>
  </si>
  <si>
    <t xml:space="preserve">M04 Host-capacity erosion</t>
  </si>
  <si>
    <t xml:space="preserve">Inputs!B11</t>
  </si>
  <si>
    <t xml:space="preserve">A22</t>
  </si>
  <si>
    <t xml:space="preserve">M05 Truth-reserve inflation</t>
  </si>
  <si>
    <t xml:space="preserve">Inputs!B12</t>
  </si>
  <si>
    <t xml:space="preserve">M06 Artifact-cap erosion</t>
  </si>
  <si>
    <t xml:space="preserve">Inputs!B13</t>
  </si>
  <si>
    <t xml:space="preserve">M07 Baseline-demand inflation</t>
  </si>
  <si>
    <t xml:space="preserve">Inputs!B14</t>
  </si>
  <si>
    <t xml:space="preserve">A61</t>
  </si>
  <si>
    <t xml:space="preserve">M08 Headroom inflation</t>
  </si>
  <si>
    <t xml:space="preserve">Inputs!B15</t>
  </si>
  <si>
    <t xml:space="preserve">M09 World-count erosion</t>
  </si>
  <si>
    <t xml:space="preserve">Inputs!B16</t>
  </si>
  <si>
    <t xml:space="preserve">A12</t>
  </si>
  <si>
    <t xml:space="preserve">M10 Clock-count erosion</t>
  </si>
  <si>
    <t xml:space="preserve">Inputs!B17</t>
  </si>
  <si>
    <t xml:space="preserve">A62</t>
  </si>
  <si>
    <t xml:space="preserve">M11 Gate-count erosion</t>
  </si>
  <si>
    <t xml:space="preserve">Inputs!B18</t>
  </si>
  <si>
    <t xml:space="preserve">A63</t>
  </si>
  <si>
    <t xml:space="preserve">M12 Premature site claim</t>
  </si>
  <si>
    <t xml:space="preserve">Inputs!B26</t>
  </si>
  <si>
    <t xml:space="preserve">A33</t>
  </si>
  <si>
    <t xml:space="preserve">M13 Premature steward claim</t>
  </si>
  <si>
    <t xml:space="preserve">Inputs!B28</t>
  </si>
  <si>
    <t xml:space="preserve">A35</t>
  </si>
  <si>
    <t xml:space="preserve">M14 Premature key claim</t>
  </si>
  <si>
    <t xml:space="preserve">Inputs!B30</t>
  </si>
  <si>
    <t xml:space="preserve">A36</t>
  </si>
  <si>
    <t xml:space="preserve">M15 Premature vendor award</t>
  </si>
  <si>
    <t xml:space="preserve">Inputs!B31</t>
  </si>
  <si>
    <t xml:space="preserve">A37</t>
  </si>
  <si>
    <t xml:space="preserve">M16 Premature build claim</t>
  </si>
  <si>
    <t xml:space="preserve">Inputs!B33</t>
  </si>
  <si>
    <t xml:space="preserve">A38</t>
  </si>
  <si>
    <t xml:space="preserve">M17 Premature drill claim</t>
  </si>
  <si>
    <t xml:space="preserve">Inputs!B34</t>
  </si>
  <si>
    <t xml:space="preserve">A39</t>
  </si>
  <si>
    <t xml:space="preserve">M18 Premature activation</t>
  </si>
  <si>
    <t xml:space="preserve">Inputs!B37</t>
  </si>
  <si>
    <t xml:space="preserve">A42</t>
  </si>
  <si>
    <t xml:space="preserve">M19 Vendor operating dependency</t>
  </si>
  <si>
    <t xml:space="preserve">Vendor Lots!K7</t>
  </si>
  <si>
    <t xml:space="preserve">A49</t>
  </si>
  <si>
    <t xml:space="preserve">M20 Role control conflict</t>
  </si>
  <si>
    <t xml:space="preserve">Role Appointments!H7</t>
  </si>
  <si>
    <t xml:space="preserve">A50</t>
  </si>
  <si>
    <t xml:space="preserve">Terminal audit</t>
  </si>
  <si>
    <t xml:space="preserve">Audit observes but never feeds commissioning, capacity, finance, validity, payment or evidence state.</t>
  </si>
  <si>
    <t xml:space="preserve">Audit</t>
  </si>
  <si>
    <t xml:space="preserve">Test</t>
  </si>
  <si>
    <t xml:space="preserve">Observed</t>
  </si>
  <si>
    <t xml:space="preserve">Expected</t>
  </si>
  <si>
    <t xml:space="preserve">Status</t>
  </si>
  <si>
    <t xml:space="preserve">Root-count control</t>
  </si>
  <si>
    <t xml:space="preserve">Site-count control</t>
  </si>
  <si>
    <t xml:space="preserve">Resource-count control</t>
  </si>
  <si>
    <t xml:space="preserve">A04</t>
  </si>
  <si>
    <t xml:space="preserve">Six failure domains</t>
  </si>
  <si>
    <t xml:space="preserve">A05</t>
  </si>
  <si>
    <t xml:space="preserve">Eighteen dockets</t>
  </si>
  <si>
    <t xml:space="preserve">A06</t>
  </si>
  <si>
    <t xml:space="preserve">Ninety-six appointments</t>
  </si>
  <si>
    <t xml:space="preserve">A07</t>
  </si>
  <si>
    <t xml:space="preserve">Seventy-eight key records</t>
  </si>
  <si>
    <t xml:space="preserve">A08</t>
  </si>
  <si>
    <t xml:space="preserve">Seventy-two vendor lots</t>
  </si>
  <si>
    <t xml:space="preserve">A09</t>
  </si>
  <si>
    <t xml:space="preserve">Three hundred sixty gates</t>
  </si>
  <si>
    <t xml:space="preserve">A10</t>
  </si>
  <si>
    <t xml:space="preserve">One hundred eighty recovery trials</t>
  </si>
  <si>
    <t xml:space="preserve">A11</t>
  </si>
  <si>
    <t xml:space="preserve">Three thousand two hundred forty stress records</t>
  </si>
  <si>
    <t xml:space="preserve">World-count control</t>
  </si>
  <si>
    <t xml:space="preserve">A13</t>
  </si>
  <si>
    <t xml:space="preserve">Thirty world records</t>
  </si>
  <si>
    <t xml:space="preserve">A14</t>
  </si>
  <si>
    <t xml:space="preserve">Eighteen site-loss worlds</t>
  </si>
  <si>
    <t xml:space="preserve">A15</t>
  </si>
  <si>
    <t xml:space="preserve">Six region-loss worlds</t>
  </si>
  <si>
    <t xml:space="preserve">A16</t>
  </si>
  <si>
    <t xml:space="preserve">Three role-compromise worlds</t>
  </si>
  <si>
    <t xml:space="preserve">A17</t>
  </si>
  <si>
    <t xml:space="preserve">Six Exchange hosts</t>
  </si>
  <si>
    <t xml:space="preserve">A18</t>
  </si>
  <si>
    <t xml:space="preserve">Three ET-A sites</t>
  </si>
  <si>
    <t xml:space="preserve">A19</t>
  </si>
  <si>
    <t xml:space="preserve">Three roots in FD-A</t>
  </si>
  <si>
    <t xml:space="preserve">A20</t>
  </si>
  <si>
    <t xml:space="preserve">One selected architecture</t>
  </si>
  <si>
    <t xml:space="preserve">A21</t>
  </si>
  <si>
    <t xml:space="preserve">Selected architecture has eighteen sites</t>
  </si>
  <si>
    <t xml:space="preserve">A23</t>
  </si>
  <si>
    <t xml:space="preserve">Minimum active headroom</t>
  </si>
  <si>
    <t xml:space="preserve">A24</t>
  </si>
  <si>
    <t xml:space="preserve">Offline stress records</t>
  </si>
  <si>
    <t xml:space="preserve">A25</t>
  </si>
  <si>
    <t xml:space="preserve">Active stress passes</t>
  </si>
  <si>
    <t xml:space="preserve">A26</t>
  </si>
  <si>
    <t xml:space="preserve">Open commissioning gates</t>
  </si>
  <si>
    <t xml:space="preserve">A27</t>
  </si>
  <si>
    <t xml:space="preserve">Passing architecture gates</t>
  </si>
  <si>
    <t xml:space="preserve">A28</t>
  </si>
  <si>
    <t xml:space="preserve">Open dockets</t>
  </si>
  <si>
    <t xml:space="preserve">A29</t>
  </si>
  <si>
    <t xml:space="preserve">Open appointments</t>
  </si>
  <si>
    <t xml:space="preserve">A30</t>
  </si>
  <si>
    <t xml:space="preserve">Open keys</t>
  </si>
  <si>
    <t xml:space="preserve">A31</t>
  </si>
  <si>
    <t xml:space="preserve">Open vendor lots</t>
  </si>
  <si>
    <t xml:space="preserve">A32</t>
  </si>
  <si>
    <t xml:space="preserve">Open recovery trials</t>
  </si>
  <si>
    <t xml:space="preserve">Named site claims zero</t>
  </si>
  <si>
    <t xml:space="preserve">A34</t>
  </si>
  <si>
    <t xml:space="preserve">Site admissions zero</t>
  </si>
  <si>
    <t xml:space="preserve">Named steward claims zero</t>
  </si>
  <si>
    <t xml:space="preserve">Issued key claims zero</t>
  </si>
  <si>
    <t xml:space="preserve">Vendor award claims zero</t>
  </si>
  <si>
    <t xml:space="preserve">Commissioned build claims zero</t>
  </si>
  <si>
    <t xml:space="preserve">Completed drill claims zero</t>
  </si>
  <si>
    <t xml:space="preserve">A40</t>
  </si>
  <si>
    <t xml:space="preserve">NDW claims zero</t>
  </si>
  <si>
    <t xml:space="preserve">A41</t>
  </si>
  <si>
    <t xml:space="preserve">Root availability claims zero</t>
  </si>
  <si>
    <t xml:space="preserve">Estate activation claims zero</t>
  </si>
  <si>
    <t xml:space="preserve">A43</t>
  </si>
  <si>
    <t xml:space="preserve">AVW claims zero</t>
  </si>
  <si>
    <t xml:space="preserve">A44</t>
  </si>
  <si>
    <t xml:space="preserve">Payment claims zero</t>
  </si>
  <si>
    <t xml:space="preserve">A45</t>
  </si>
  <si>
    <t xml:space="preserve">Observation claims zero</t>
  </si>
  <si>
    <t xml:space="preserve">A46</t>
  </si>
  <si>
    <t xml:space="preserve">Selection claims zero</t>
  </si>
  <si>
    <t xml:space="preserve">A47</t>
  </si>
  <si>
    <t xml:space="preserve">MAKE claims zero</t>
  </si>
  <si>
    <t xml:space="preserve">A48</t>
  </si>
  <si>
    <t xml:space="preserve">REP-4 claims zero</t>
  </si>
  <si>
    <t xml:space="preserve">No vendor operating dependencies</t>
  </si>
  <si>
    <t xml:space="preserve">No role control conflicts</t>
  </si>
  <si>
    <t xml:space="preserve">A51</t>
  </si>
  <si>
    <t xml:space="preserve">Capital ceiling conserved</t>
  </si>
  <si>
    <t xml:space="preserve">A52</t>
  </si>
  <si>
    <t xml:space="preserve">Vendor-eligible capital</t>
  </si>
  <si>
    <t xml:space="preserve">A53</t>
  </si>
  <si>
    <t xml:space="preserve">Publicly retained capital</t>
  </si>
  <si>
    <t xml:space="preserve">A54</t>
  </si>
  <si>
    <t xml:space="preserve">Operating ceiling conserved</t>
  </si>
  <si>
    <t xml:space="preserve">A55</t>
  </si>
  <si>
    <t xml:space="preserve">Twelve state rows</t>
  </si>
  <si>
    <t xml:space="preserve">A56</t>
  </si>
  <si>
    <t xml:space="preserve">Sixteen nonconversion rows</t>
  </si>
  <si>
    <t xml:space="preserve">A57</t>
  </si>
  <si>
    <t xml:space="preserve">Twelve warrant instruments</t>
  </si>
  <si>
    <t xml:space="preserve">A58</t>
  </si>
  <si>
    <t xml:space="preserve">Current issued warrant count</t>
  </si>
  <si>
    <t xml:space="preserve">A59</t>
  </si>
  <si>
    <t xml:space="preserve">Eighteen court shares</t>
  </si>
  <si>
    <t xml:space="preserve">A60</t>
  </si>
  <si>
    <t xml:space="preserve">Six Exchange shares</t>
  </si>
  <si>
    <t xml:space="preserve">Artifact baseline demand control</t>
  </si>
  <si>
    <t xml:space="preserve">Recovery-function control</t>
  </si>
  <si>
    <t xml:space="preserve">Commission-gate control</t>
  </si>
  <si>
    <t xml:space="preserve">A64</t>
  </si>
  <si>
    <t xml:space="preserve">Recovery passes remain zero</t>
  </si>
  <si>
    <t xml:space="preserve">A65</t>
  </si>
  <si>
    <t xml:space="preserve">Recovery AVW credit remains zero</t>
  </si>
  <si>
    <t xml:space="preserve">Model notes and limits</t>
  </si>
  <si>
    <t xml:space="preserve">This workbook specifies a commissioning warrant. It does not name a place, appoint a person, award a vendor or complete a recovery trial.</t>
  </si>
  <si>
    <t xml:space="preserve">Purpose</t>
  </si>
  <si>
    <t xml:space="preserve">CNW-1 is the sole path from the FAE-1 topology to an available public technical estate.</t>
  </si>
  <si>
    <t xml:space="preserve">Eighteen site dockets carry identity, control, capacity, build and rollback fields. Ninety-six appointments, seventy-eight keys and seventy-two vendor lots remain separately governed.</t>
  </si>
  <si>
    <t xml:space="preserve">The capacity model tests 3,240 site-resource records across thirty loss worlds while the full truth reservation remains active.</t>
  </si>
  <si>
    <t xml:space="preserve">Five architecture gates per site pass. Fifteen implementation gates per site remain open until real records and measured trials exist.</t>
  </si>
  <si>
    <t xml:space="preserve">No commissioning act creates artifact validity, evidence, payment, selection, MAKE or REP-4 authority.</t>
  </si>
  <si>
    <t xml:space="preserve">Capacity interpretation</t>
  </si>
  <si>
    <t xml:space="preserve">Capacity units are normalized shares for commissioning control, not claims about computing, electrical, storage or labor quantities.</t>
  </si>
  <si>
    <t xml:space="preserve">Every resource reserves seventy-five units for truth work, twenty for the artifact estate and five as unassigned headroom.</t>
  </si>
  <si>
    <t xml:space="preserve">Site and region loss worlds activate artifact failover up to twenty units while truth demand remains seventy-five.</t>
  </si>
  <si>
    <t xml:space="preserve">A pass means the artifact load did not enter the truth reservation in the modeled architecture. It is not measured non-displacement.</t>
  </si>
  <si>
    <t xml:space="preserve">A later Truth Capacity Court warrant requires real schedules, instrumentation, observers and recovery clocks.</t>
  </si>
  <si>
    <t xml:space="preserve">Sources and limits</t>
  </si>
  <si>
    <t xml:space="preserve">Repository sources: Passes 212, 214, 215, 231, 232 and 233. No external sources were used.</t>
  </si>
  <si>
    <t xml:space="preserve">All site, person, key, vendor, build, drill, warrant and authority identities remain empty or zero.</t>
  </si>
  <si>
    <t xml:space="preserve">The USD540M capital figure is a maximum co-use ceiling inside the existing USD12.0B public-method reserve.</t>
  </si>
  <si>
    <t xml:space="preserve">The USD41.3M operating figure remains inside the inherited cohort-one artifact-validity allocation.</t>
  </si>
  <si>
    <t xml:space="preserve">Vehicle and facility renderings remain deferred.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</si>
</sst>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\$#,##0.0"/>
    <numFmt numFmtId="167" formatCode="0.0%"/>
  </numFmts>
  <fonts count="1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365D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B6573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1F2937"/>
      <name val="Arial"/>
      <family val="0"/>
      <charset val="1"/>
    </font>
    <font>
      <b val="true"/>
      <sz val="9"/>
      <color rgb="FF1F2937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9"/>
      <color rgb="FF17365D"/>
      <name val="Arial"/>
      <family val="0"/>
      <charset val="1"/>
    </font>
    <font>
      <b val="true"/>
      <sz val="9"/>
      <color rgb="FF000000"/>
      <name val="Arial"/>
      <family val="2"/>
    </font>
    <font>
      <sz val="6.75"/>
      <color rgb="FF000000"/>
      <name val="Arial"/>
      <family val="2"/>
    </font>
    <font>
      <sz val="9"/>
      <color rgb="FF008000"/>
      <name val="Arial"/>
      <family val="0"/>
      <charset val="1"/>
    </font>
    <font>
      <sz val="9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E7E6E6"/>
      </patternFill>
    </fill>
    <fill>
      <patternFill patternType="solid">
        <fgColor rgb="FF1F4E78"/>
        <bgColor rgb="FF17365D"/>
      </patternFill>
    </fill>
    <fill>
      <patternFill patternType="solid">
        <fgColor rgb="FFEAF2F8"/>
        <bgColor rgb="FFE7E6E6"/>
      </patternFill>
    </fill>
    <fill>
      <patternFill patternType="solid">
        <fgColor rgb="FFFFF2CC"/>
        <bgColor rgb="FFFCE4D6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F4E78"/>
      </bottom>
      <diagonal/>
    </border>
    <border diagonalUp="false" diagonalDown="false">
      <left style="thin">
        <color rgb="FFA6B7C8"/>
      </left>
      <right style="thin">
        <color rgb="FFA6B7C8"/>
      </right>
      <top style="thin">
        <color rgb="FFA6B7C8"/>
      </top>
      <bottom style="thin">
        <color rgb="FFA6B7C8"/>
      </bottom>
      <diagonal/>
    </border>
    <border diagonalUp="false" diagonalDown="false">
      <left/>
      <right style="thin">
        <color rgb="FFFFFFFF"/>
      </right>
      <top/>
      <bottom style="thin">
        <color rgb="FF17365D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17365D"/>
      </bottom>
      <diagonal/>
    </border>
    <border diagonalUp="false" diagonalDown="false">
      <left style="thin">
        <color rgb="FFFFFFFF"/>
      </left>
      <right/>
      <top/>
      <bottom style="thin">
        <color rgb="FF17365D"/>
      </bottom>
      <diagonal/>
    </border>
    <border diagonalUp="false" diagonalDown="false">
      <left style="thin">
        <color rgb="FFA6B7C8"/>
      </left>
      <right style="thin">
        <color rgb="FFA6B7C8"/>
      </right>
      <top style="thin">
        <color rgb="FFA6B7C8"/>
      </top>
      <bottom style="thin">
        <color rgb="FF17365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7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7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ont>
        <b val="1"/>
        <color rgb="FF9C00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F6B78"/>
      <rgbColor rgb="FFCCCCCC"/>
      <rgbColor rgb="FF8B8B8B"/>
      <rgbColor rgb="FF5B9BD5"/>
      <rgbColor rgb="FF993366"/>
      <rgbColor rgb="FFFFF2CC"/>
      <rgbColor rgb="FFEAF2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7E6E6"/>
      <rgbColor rgb="FFFFFF99"/>
      <rgbColor rgb="FFA6B7C8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B6573"/>
      <rgbColor rgb="FFA6A6A6"/>
      <rgbColor rgb="FF17365D"/>
      <rgbColor rgb="FF339966"/>
      <rgbColor rgb="FF003300"/>
      <rgbColor rgb="FF333300"/>
      <rgbColor rgb="FF993300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Minimum site-resource headroom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"Minimum headroom"</c:f>
              <c:strCache>
                <c:ptCount val="1"/>
                <c:pt idx="0">
                  <c:v>Minimum headroom</c:v>
                </c:pt>
              </c:strCache>
            </c:strRef>
          </c:tx>
          <c:spPr>
            <a:solidFill>
              <a:srgbClr val="0F6B7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Summary!$I$27:$I$31</c:f>
              <c:strCache>
                <c:ptCount val="5"/>
                <c:pt idx="0">
                  <c:v>Site loss</c:v>
                </c:pt>
                <c:pt idx="1">
                  <c:v>Region loss</c:v>
                </c:pt>
                <c:pt idx="2">
                  <c:v>Vendor exit</c:v>
                </c:pt>
                <c:pt idx="3">
                  <c:v>Role compromise</c:v>
                </c:pt>
                <c:pt idx="4">
                  <c:v>Court or custody</c:v>
                </c:pt>
              </c:strCache>
            </c:strRef>
          </c:cat>
          <c:val>
            <c:numRef>
              <c:f>Summary!$J$27:$J$31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15</c:v>
                </c:pt>
                <c:pt idx="3">
                  <c:v>5</c:v>
                </c:pt>
                <c:pt idx="4">
                  <c:v>15</c:v>
                </c:pt>
              </c:numCache>
            </c:numRef>
          </c:val>
        </c:ser>
        <c:gapWidth val="150"/>
        <c:overlap val="0"/>
        <c:axId val="6335824"/>
        <c:axId val="13381918"/>
      </c:barChart>
      <c:catAx>
        <c:axId val="6335824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13381918"/>
        <c:crosses val="autoZero"/>
        <c:auto val="1"/>
        <c:lblAlgn val="ctr"/>
        <c:lblOffset val="100"/>
        <c:noMultiLvlLbl val="0"/>
      </c:catAx>
      <c:valAx>
        <c:axId val="1338191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335824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6</xdr:row>
      <xdr:rowOff>0</xdr:rowOff>
    </xdr:from>
    <xdr:to>
      <xdr:col>15</xdr:col>
      <xdr:colOff>986400</xdr:colOff>
      <xdr:row>22</xdr:row>
      <xdr:rowOff>190080</xdr:rowOff>
    </xdr:to>
    <xdr:graphicFrame>
      <xdr:nvGraphicFramePr>
        <xdr:cNvPr id="1" name="Chart"/>
        <xdr:cNvGraphicFramePr/>
      </xdr:nvGraphicFramePr>
      <xdr:xfrm>
        <a:off x="12546360" y="1188000"/>
        <a:ext cx="8316720" cy="4489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2:N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55"/>
    <col collapsed="false" customWidth="true" hidden="false" outlineLevel="0" max="8" min="3" style="0" width="14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6" min="11" style="0" width="14"/>
  </cols>
  <sheetData>
    <row r="2" customFormat="false" ht="18.5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5" t="s">
        <v>2</v>
      </c>
      <c r="B6" s="5" t="s">
        <v>2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4"/>
      <c r="I6" s="4"/>
      <c r="J6" s="4"/>
      <c r="K6" s="4"/>
      <c r="L6" s="4"/>
      <c r="M6" s="4"/>
      <c r="N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customFormat="false" ht="22.35" hidden="false" customHeight="false" outlineLevel="0" collapsed="false">
      <c r="A8" s="6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  <c r="G8" s="8" t="s">
        <v>9</v>
      </c>
      <c r="H8" s="4"/>
      <c r="I8" s="4"/>
      <c r="J8" s="4"/>
      <c r="K8" s="4"/>
      <c r="L8" s="4"/>
      <c r="M8" s="4"/>
      <c r="N8" s="4"/>
    </row>
    <row r="9" customFormat="false" ht="16.15" hidden="false" customHeight="false" outlineLevel="0" collapsed="false">
      <c r="A9" s="9" t="n">
        <f aca="false">COUNTA('Site Dockets'!A7:A24)</f>
        <v>18</v>
      </c>
      <c r="B9" s="9" t="n">
        <f aca="false">COUNTA('Role Appointments'!A7:A102)</f>
        <v>96</v>
      </c>
      <c r="C9" s="9" t="n">
        <f aca="false">COUNTA('Key Custody'!A7:A84)</f>
        <v>78</v>
      </c>
      <c r="D9" s="9" t="n">
        <f aca="false">COUNTA('Vendor Lots'!A7:A78)</f>
        <v>72</v>
      </c>
      <c r="E9" s="9" t="n">
        <f aca="false">COUNTIFS('Failure Worlds'!J7:J36,"PASS")</f>
        <v>30</v>
      </c>
      <c r="F9" s="9" t="n">
        <f aca="false">COUNTIFS('Recovery Clocks'!J7:J186,"PASS")</f>
        <v>0</v>
      </c>
      <c r="G9" s="9" t="n">
        <f aca="false">Inputs!B37</f>
        <v>0</v>
      </c>
      <c r="H9" s="4"/>
      <c r="I9" s="4"/>
      <c r="J9" s="4"/>
      <c r="K9" s="4"/>
      <c r="L9" s="4"/>
      <c r="M9" s="4"/>
      <c r="N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customFormat="false" ht="15" hidden="false" customHeight="false" outlineLevel="0" collapsed="false">
      <c r="A13" s="5" t="s">
        <v>10</v>
      </c>
      <c r="B13" s="5" t="s">
        <v>10</v>
      </c>
      <c r="C13" s="5" t="s">
        <v>10</v>
      </c>
      <c r="D13" s="5" t="s">
        <v>10</v>
      </c>
      <c r="E13" s="5" t="s">
        <v>10</v>
      </c>
      <c r="F13" s="5" t="s">
        <v>10</v>
      </c>
      <c r="G13" s="5" t="s">
        <v>10</v>
      </c>
      <c r="H13" s="4"/>
      <c r="I13" s="4"/>
      <c r="J13" s="4"/>
      <c r="K13" s="4"/>
      <c r="L13" s="4"/>
      <c r="M13" s="4"/>
      <c r="N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customFormat="false" ht="30" hidden="false" customHeight="true" outlineLevel="0" collapsed="false">
      <c r="A15" s="10" t="n">
        <v>1</v>
      </c>
      <c r="B15" s="11" t="s">
        <v>11</v>
      </c>
      <c r="C15" s="11"/>
      <c r="D15" s="11"/>
      <c r="E15" s="11"/>
      <c r="F15" s="11"/>
      <c r="G15" s="11"/>
      <c r="H15" s="4"/>
      <c r="I15" s="4"/>
      <c r="J15" s="4"/>
      <c r="K15" s="4"/>
      <c r="L15" s="4"/>
      <c r="M15" s="4"/>
      <c r="N15" s="4"/>
    </row>
    <row r="16" customFormat="false" ht="30" hidden="false" customHeight="true" outlineLevel="0" collapsed="false">
      <c r="A16" s="10" t="n">
        <v>2</v>
      </c>
      <c r="B16" s="11" t="s">
        <v>12</v>
      </c>
      <c r="C16" s="11"/>
      <c r="D16" s="11"/>
      <c r="E16" s="11"/>
      <c r="F16" s="11"/>
      <c r="G16" s="11"/>
      <c r="H16" s="4"/>
      <c r="I16" s="4"/>
      <c r="J16" s="4"/>
      <c r="K16" s="4"/>
      <c r="L16" s="4"/>
      <c r="M16" s="4"/>
      <c r="N16" s="4"/>
    </row>
    <row r="17" customFormat="false" ht="30" hidden="false" customHeight="true" outlineLevel="0" collapsed="false">
      <c r="A17" s="10" t="n">
        <v>3</v>
      </c>
      <c r="B17" s="11" t="s">
        <v>13</v>
      </c>
      <c r="C17" s="11"/>
      <c r="D17" s="11"/>
      <c r="E17" s="11"/>
      <c r="F17" s="11"/>
      <c r="G17" s="11"/>
      <c r="H17" s="4"/>
      <c r="I17" s="4"/>
      <c r="J17" s="4"/>
      <c r="K17" s="4"/>
      <c r="L17" s="4"/>
      <c r="M17" s="4"/>
      <c r="N17" s="4"/>
    </row>
    <row r="18" customFormat="false" ht="30" hidden="false" customHeight="true" outlineLevel="0" collapsed="false">
      <c r="A18" s="10" t="n">
        <v>4</v>
      </c>
      <c r="B18" s="11" t="s">
        <v>14</v>
      </c>
      <c r="C18" s="11"/>
      <c r="D18" s="11"/>
      <c r="E18" s="11"/>
      <c r="F18" s="11"/>
      <c r="G18" s="11"/>
      <c r="H18" s="4"/>
      <c r="I18" s="4"/>
      <c r="J18" s="4"/>
      <c r="K18" s="4"/>
      <c r="L18" s="4"/>
      <c r="M18" s="4"/>
      <c r="N18" s="4"/>
    </row>
    <row r="19" customFormat="false" ht="30" hidden="false" customHeight="true" outlineLevel="0" collapsed="false">
      <c r="A19" s="10" t="n">
        <v>5</v>
      </c>
      <c r="B19" s="11" t="s">
        <v>15</v>
      </c>
      <c r="C19" s="11"/>
      <c r="D19" s="11"/>
      <c r="E19" s="11"/>
      <c r="F19" s="11"/>
      <c r="G19" s="11"/>
      <c r="H19" s="4"/>
      <c r="I19" s="4"/>
      <c r="J19" s="4"/>
      <c r="K19" s="4"/>
      <c r="L19" s="4"/>
      <c r="M19" s="4"/>
      <c r="N19" s="4"/>
    </row>
    <row r="20" customFormat="false" ht="30" hidden="false" customHeight="true" outlineLevel="0" collapsed="false">
      <c r="A20" s="10" t="n">
        <v>6</v>
      </c>
      <c r="B20" s="11" t="s">
        <v>16</v>
      </c>
      <c r="C20" s="11"/>
      <c r="D20" s="11"/>
      <c r="E20" s="11"/>
      <c r="F20" s="11"/>
      <c r="G20" s="11"/>
      <c r="H20" s="4"/>
      <c r="I20" s="4"/>
      <c r="J20" s="4"/>
      <c r="K20" s="4"/>
      <c r="L20" s="4"/>
      <c r="M20" s="4"/>
      <c r="N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customFormat="false" ht="15" hidden="false" customHeight="false" outlineLevel="0" collapsed="false">
      <c r="A24" s="5" t="s">
        <v>17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4"/>
      <c r="I24" s="4"/>
      <c r="J24" s="4"/>
      <c r="K24" s="4"/>
      <c r="L24" s="4"/>
      <c r="M24" s="4"/>
      <c r="N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customFormat="false" ht="22.35" hidden="false" customHeight="false" outlineLevel="0" collapsed="false">
      <c r="A26" s="12" t="s">
        <v>18</v>
      </c>
      <c r="B26" s="13" t="n">
        <v>100</v>
      </c>
      <c r="C26" s="4"/>
      <c r="D26" s="4"/>
      <c r="E26" s="4"/>
      <c r="F26" s="4"/>
      <c r="G26" s="4"/>
      <c r="H26" s="4"/>
      <c r="I26" s="6" t="s">
        <v>19</v>
      </c>
      <c r="J26" s="8" t="s">
        <v>20</v>
      </c>
      <c r="K26" s="4"/>
      <c r="L26" s="4"/>
      <c r="M26" s="4"/>
      <c r="N26" s="4"/>
    </row>
    <row r="27" customFormat="false" ht="15" hidden="false" customHeight="false" outlineLevel="0" collapsed="false">
      <c r="A27" s="12" t="s">
        <v>21</v>
      </c>
      <c r="B27" s="13" t="n">
        <v>75</v>
      </c>
      <c r="C27" s="4"/>
      <c r="D27" s="4"/>
      <c r="E27" s="4"/>
      <c r="F27" s="4"/>
      <c r="G27" s="4"/>
      <c r="H27" s="4"/>
      <c r="I27" s="4" t="s">
        <v>22</v>
      </c>
      <c r="J27" s="4" t="n">
        <v>5</v>
      </c>
      <c r="K27" s="4"/>
      <c r="L27" s="4"/>
      <c r="M27" s="4"/>
      <c r="N27" s="4"/>
    </row>
    <row r="28" customFormat="false" ht="15" hidden="false" customHeight="false" outlineLevel="0" collapsed="false">
      <c r="A28" s="12" t="s">
        <v>23</v>
      </c>
      <c r="B28" s="13" t="n">
        <v>20</v>
      </c>
      <c r="C28" s="4"/>
      <c r="D28" s="4"/>
      <c r="E28" s="4"/>
      <c r="F28" s="4"/>
      <c r="G28" s="4"/>
      <c r="H28" s="4"/>
      <c r="I28" s="4" t="s">
        <v>24</v>
      </c>
      <c r="J28" s="4" t="n">
        <v>5</v>
      </c>
      <c r="K28" s="4"/>
      <c r="L28" s="4"/>
      <c r="M28" s="4"/>
      <c r="N28" s="4"/>
    </row>
    <row r="29" customFormat="false" ht="15" hidden="false" customHeight="false" outlineLevel="0" collapsed="false">
      <c r="A29" s="12" t="s">
        <v>25</v>
      </c>
      <c r="B29" s="13" t="n">
        <v>5</v>
      </c>
      <c r="C29" s="4"/>
      <c r="D29" s="4"/>
      <c r="E29" s="4"/>
      <c r="F29" s="4"/>
      <c r="G29" s="4"/>
      <c r="H29" s="4"/>
      <c r="I29" s="4" t="s">
        <v>26</v>
      </c>
      <c r="J29" s="4" t="n">
        <v>15</v>
      </c>
      <c r="K29" s="4"/>
      <c r="L29" s="4"/>
      <c r="M29" s="4"/>
      <c r="N29" s="4"/>
    </row>
    <row r="30" customFormat="false" ht="15" hidden="false" customHeight="false" outlineLevel="0" collapsed="false">
      <c r="A30" s="12" t="s">
        <v>27</v>
      </c>
      <c r="B30" s="13" t="n">
        <v>3024</v>
      </c>
      <c r="C30" s="4"/>
      <c r="D30" s="4"/>
      <c r="E30" s="4"/>
      <c r="F30" s="4"/>
      <c r="G30" s="4"/>
      <c r="H30" s="4"/>
      <c r="I30" s="4" t="s">
        <v>28</v>
      </c>
      <c r="J30" s="4" t="n">
        <v>5</v>
      </c>
      <c r="K30" s="4"/>
      <c r="L30" s="4"/>
      <c r="M30" s="4"/>
      <c r="N30" s="4"/>
    </row>
    <row r="31" customFormat="false" ht="15" hidden="false" customHeight="false" outlineLevel="0" collapsed="false">
      <c r="A31" s="12" t="s">
        <v>29</v>
      </c>
      <c r="B31" s="13" t="n">
        <v>90</v>
      </c>
      <c r="C31" s="4"/>
      <c r="D31" s="4"/>
      <c r="E31" s="4"/>
      <c r="F31" s="4"/>
      <c r="G31" s="4"/>
      <c r="H31" s="4"/>
      <c r="I31" s="4" t="s">
        <v>30</v>
      </c>
      <c r="J31" s="4" t="n">
        <v>15</v>
      </c>
      <c r="K31" s="4"/>
      <c r="L31" s="4"/>
      <c r="M31" s="4"/>
      <c r="N31" s="4"/>
    </row>
    <row r="32" customFormat="false" ht="15" hidden="false" customHeight="false" outlineLevel="0" collapsed="false">
      <c r="A32" s="12" t="s">
        <v>31</v>
      </c>
      <c r="B32" s="13" t="n">
        <v>270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customFormat="false" ht="15" hidden="false" customHeight="false" outlineLevel="0" collapsed="false">
      <c r="A33" s="12" t="s">
        <v>32</v>
      </c>
      <c r="B33" s="13" t="n">
        <v>180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customFormat="false" ht="15" hidden="false" customHeight="false" outlineLevel="0" collapsed="false">
      <c r="A34" s="12" t="s">
        <v>33</v>
      </c>
      <c r="B34" s="13" t="n">
        <v>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customFormat="false" ht="15" hidden="false" customHeight="false" outlineLevel="0" collapsed="false">
      <c r="A38" s="5" t="s">
        <v>34</v>
      </c>
      <c r="B38" s="5" t="s">
        <v>34</v>
      </c>
      <c r="C38" s="5" t="s">
        <v>34</v>
      </c>
      <c r="D38" s="5" t="s">
        <v>34</v>
      </c>
      <c r="E38" s="5" t="s">
        <v>34</v>
      </c>
      <c r="F38" s="5" t="s">
        <v>34</v>
      </c>
      <c r="G38" s="5" t="s">
        <v>34</v>
      </c>
      <c r="H38" s="4"/>
      <c r="I38" s="4"/>
      <c r="J38" s="4"/>
      <c r="K38" s="4"/>
      <c r="L38" s="4"/>
      <c r="M38" s="4"/>
      <c r="N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customFormat="false" ht="15" hidden="false" customHeight="false" outlineLevel="0" collapsed="false">
      <c r="A40" s="12" t="s">
        <v>35</v>
      </c>
      <c r="B40" s="13" t="s">
        <v>36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customFormat="false" ht="15" hidden="false" customHeight="false" outlineLevel="0" collapsed="false">
      <c r="A41" s="12" t="s">
        <v>37</v>
      </c>
      <c r="B41" s="13" t="s">
        <v>36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customFormat="false" ht="15" hidden="false" customHeight="false" outlineLevel="0" collapsed="false">
      <c r="A42" s="12" t="s">
        <v>38</v>
      </c>
      <c r="B42" s="13" t="s">
        <v>36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customFormat="false" ht="15" hidden="false" customHeight="false" outlineLevel="0" collapsed="false">
      <c r="A43" s="12" t="s">
        <v>39</v>
      </c>
      <c r="B43" s="13" t="s">
        <v>40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customFormat="false" ht="15" hidden="false" customHeight="false" outlineLevel="0" collapsed="false">
      <c r="A44" s="12" t="s">
        <v>41</v>
      </c>
      <c r="B44" s="13" t="s">
        <v>36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customFormat="false" ht="15" hidden="false" customHeight="false" outlineLevel="0" collapsed="false">
      <c r="A45" s="12" t="s">
        <v>42</v>
      </c>
      <c r="B45" s="13" t="s">
        <v>43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customFormat="false" ht="15" hidden="false" customHeight="false" outlineLevel="0" collapsed="false">
      <c r="A46" s="12" t="s">
        <v>44</v>
      </c>
      <c r="B46" s="13" t="s">
        <v>43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customFormat="false" ht="15" hidden="false" customHeight="false" outlineLevel="0" collapsed="false">
      <c r="A47" s="12" t="s">
        <v>45</v>
      </c>
      <c r="B47" s="13" t="s">
        <v>46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</sheetData>
  <mergeCells count="12">
    <mergeCell ref="A2:N2"/>
    <mergeCell ref="A4:N4"/>
    <mergeCell ref="A6:G6"/>
    <mergeCell ref="A13:G13"/>
    <mergeCell ref="B15:G15"/>
    <mergeCell ref="B16:G16"/>
    <mergeCell ref="B17:G17"/>
    <mergeCell ref="B18:G18"/>
    <mergeCell ref="B19:G19"/>
    <mergeCell ref="B20:G20"/>
    <mergeCell ref="A24:G24"/>
    <mergeCell ref="A38:G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78"/>
    <pageSetUpPr fitToPage="false"/>
  </sheetPr>
  <dimension ref="A2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5" min="4" style="0" width="30"/>
    <col collapsed="false" customWidth="true" hidden="false" outlineLevel="0" max="6" min="6" style="0" width="31"/>
    <col collapsed="false" customWidth="true" hidden="false" outlineLevel="0" max="7" min="7" style="0" width="15"/>
    <col collapsed="false" customWidth="true" hidden="false" outlineLevel="0" max="8" min="8" style="0" width="14"/>
  </cols>
  <sheetData>
    <row r="2" customFormat="false" ht="18.55" hidden="false" customHeight="false" outlineLevel="0" collapsed="false">
      <c r="A2" s="1" t="s">
        <v>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48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6" t="s">
        <v>49</v>
      </c>
      <c r="B6" s="7" t="s">
        <v>50</v>
      </c>
      <c r="C6" s="7" t="s">
        <v>51</v>
      </c>
      <c r="D6" s="7" t="s">
        <v>52</v>
      </c>
      <c r="E6" s="7" t="s">
        <v>53</v>
      </c>
      <c r="F6" s="7" t="s">
        <v>54</v>
      </c>
      <c r="G6" s="7" t="s">
        <v>55</v>
      </c>
      <c r="H6" s="8" t="s">
        <v>56</v>
      </c>
      <c r="I6" s="4"/>
      <c r="J6" s="4"/>
      <c r="K6" s="4"/>
      <c r="L6" s="4"/>
      <c r="M6" s="4"/>
      <c r="N6" s="4"/>
    </row>
    <row r="7" customFormat="false" ht="15" hidden="false" customHeight="false" outlineLevel="0" collapsed="false">
      <c r="A7" s="14" t="s">
        <v>57</v>
      </c>
      <c r="B7" s="14" t="s">
        <v>58</v>
      </c>
      <c r="C7" s="14" t="s">
        <v>59</v>
      </c>
      <c r="D7" s="14" t="s">
        <v>60</v>
      </c>
      <c r="E7" s="14" t="s">
        <v>61</v>
      </c>
      <c r="F7" s="14" t="s">
        <v>62</v>
      </c>
      <c r="G7" s="14" t="n">
        <v>18</v>
      </c>
      <c r="H7" s="15" t="n">
        <f aca="false">Inputs!B26</f>
        <v>0</v>
      </c>
      <c r="I7" s="4"/>
      <c r="J7" s="4"/>
      <c r="K7" s="4"/>
      <c r="L7" s="4"/>
      <c r="M7" s="4"/>
      <c r="N7" s="4"/>
    </row>
    <row r="8" customFormat="false" ht="15" hidden="false" customHeight="false" outlineLevel="0" collapsed="false">
      <c r="A8" s="14" t="s">
        <v>63</v>
      </c>
      <c r="B8" s="14" t="s">
        <v>64</v>
      </c>
      <c r="C8" s="14" t="s">
        <v>65</v>
      </c>
      <c r="D8" s="14" t="s">
        <v>66</v>
      </c>
      <c r="E8" s="14" t="s">
        <v>67</v>
      </c>
      <c r="F8" s="14" t="s">
        <v>68</v>
      </c>
      <c r="G8" s="14" t="n">
        <v>96</v>
      </c>
      <c r="H8" s="15" t="n">
        <f aca="false">Inputs!B29</f>
        <v>0</v>
      </c>
      <c r="I8" s="4"/>
      <c r="J8" s="4"/>
      <c r="K8" s="4"/>
      <c r="L8" s="4"/>
      <c r="M8" s="4"/>
      <c r="N8" s="4"/>
    </row>
    <row r="9" customFormat="false" ht="15" hidden="false" customHeight="false" outlineLevel="0" collapsed="false">
      <c r="A9" s="14" t="s">
        <v>69</v>
      </c>
      <c r="B9" s="14" t="s">
        <v>70</v>
      </c>
      <c r="C9" s="14" t="s">
        <v>71</v>
      </c>
      <c r="D9" s="14" t="s">
        <v>72</v>
      </c>
      <c r="E9" s="14" t="s">
        <v>73</v>
      </c>
      <c r="F9" s="14" t="s">
        <v>74</v>
      </c>
      <c r="G9" s="14" t="n">
        <v>78</v>
      </c>
      <c r="H9" s="15" t="n">
        <f aca="false">Inputs!B30</f>
        <v>0</v>
      </c>
      <c r="I9" s="4"/>
      <c r="J9" s="4"/>
      <c r="K9" s="4"/>
      <c r="L9" s="4"/>
      <c r="M9" s="4"/>
      <c r="N9" s="4"/>
    </row>
    <row r="10" customFormat="false" ht="15" hidden="false" customHeight="false" outlineLevel="0" collapsed="false">
      <c r="A10" s="14" t="s">
        <v>75</v>
      </c>
      <c r="B10" s="14" t="s">
        <v>76</v>
      </c>
      <c r="C10" s="14" t="s">
        <v>77</v>
      </c>
      <c r="D10" s="14" t="s">
        <v>78</v>
      </c>
      <c r="E10" s="14" t="s">
        <v>79</v>
      </c>
      <c r="F10" s="14" t="s">
        <v>80</v>
      </c>
      <c r="G10" s="14" t="n">
        <v>72</v>
      </c>
      <c r="H10" s="15" t="n">
        <f aca="false">Inputs!B31</f>
        <v>0</v>
      </c>
      <c r="I10" s="4"/>
      <c r="J10" s="4"/>
      <c r="K10" s="4"/>
      <c r="L10" s="4"/>
      <c r="M10" s="4"/>
      <c r="N10" s="4"/>
    </row>
    <row r="11" customFormat="false" ht="15" hidden="false" customHeight="false" outlineLevel="0" collapsed="false">
      <c r="A11" s="14" t="s">
        <v>81</v>
      </c>
      <c r="B11" s="14" t="s">
        <v>82</v>
      </c>
      <c r="C11" s="14" t="s">
        <v>83</v>
      </c>
      <c r="D11" s="14" t="s">
        <v>84</v>
      </c>
      <c r="E11" s="14" t="s">
        <v>85</v>
      </c>
      <c r="F11" s="14" t="s">
        <v>86</v>
      </c>
      <c r="G11" s="14" t="n">
        <v>108</v>
      </c>
      <c r="H11" s="15" t="n">
        <v>0</v>
      </c>
      <c r="I11" s="4"/>
      <c r="J11" s="4"/>
      <c r="K11" s="4"/>
      <c r="L11" s="4"/>
      <c r="M11" s="4"/>
      <c r="N11" s="4"/>
    </row>
    <row r="12" customFormat="false" ht="15" hidden="false" customHeight="false" outlineLevel="0" collapsed="false">
      <c r="A12" s="14" t="s">
        <v>87</v>
      </c>
      <c r="B12" s="14" t="s">
        <v>88</v>
      </c>
      <c r="C12" s="14" t="s">
        <v>89</v>
      </c>
      <c r="D12" s="14" t="s">
        <v>90</v>
      </c>
      <c r="E12" s="14" t="s">
        <v>91</v>
      </c>
      <c r="F12" s="14" t="s">
        <v>92</v>
      </c>
      <c r="G12" s="14" t="n">
        <v>180</v>
      </c>
      <c r="H12" s="15" t="n">
        <f aca="false">Inputs!B34</f>
        <v>0</v>
      </c>
      <c r="I12" s="4"/>
      <c r="J12" s="4"/>
      <c r="K12" s="4"/>
      <c r="L12" s="4"/>
      <c r="M12" s="4"/>
      <c r="N12" s="4"/>
    </row>
    <row r="13" customFormat="false" ht="15" hidden="false" customHeight="false" outlineLevel="0" collapsed="false">
      <c r="A13" s="14" t="s">
        <v>93</v>
      </c>
      <c r="B13" s="14" t="s">
        <v>58</v>
      </c>
      <c r="C13" s="14" t="s">
        <v>94</v>
      </c>
      <c r="D13" s="14" t="s">
        <v>95</v>
      </c>
      <c r="E13" s="14" t="s">
        <v>96</v>
      </c>
      <c r="F13" s="14" t="s">
        <v>97</v>
      </c>
      <c r="G13" s="14" t="n">
        <v>18</v>
      </c>
      <c r="H13" s="15" t="n">
        <f aca="false">Inputs!B35</f>
        <v>0</v>
      </c>
      <c r="I13" s="4"/>
      <c r="J13" s="4"/>
      <c r="K13" s="4"/>
      <c r="L13" s="4"/>
      <c r="M13" s="4"/>
      <c r="N13" s="4"/>
    </row>
    <row r="14" customFormat="false" ht="15" hidden="false" customHeight="false" outlineLevel="0" collapsed="false">
      <c r="A14" s="14" t="s">
        <v>98</v>
      </c>
      <c r="B14" s="14" t="s">
        <v>99</v>
      </c>
      <c r="C14" s="14" t="s">
        <v>100</v>
      </c>
      <c r="D14" s="14" t="s">
        <v>101</v>
      </c>
      <c r="E14" s="14" t="s">
        <v>102</v>
      </c>
      <c r="F14" s="14" t="s">
        <v>103</v>
      </c>
      <c r="G14" s="14" t="n">
        <v>6</v>
      </c>
      <c r="H14" s="15" t="n">
        <f aca="false">Inputs!B36</f>
        <v>0</v>
      </c>
      <c r="I14" s="4"/>
      <c r="J14" s="4"/>
      <c r="K14" s="4"/>
      <c r="L14" s="4"/>
      <c r="M14" s="4"/>
      <c r="N14" s="4"/>
    </row>
    <row r="15" customFormat="false" ht="15" hidden="false" customHeight="false" outlineLevel="0" collapsed="false">
      <c r="A15" s="14" t="s">
        <v>104</v>
      </c>
      <c r="B15" s="14" t="s">
        <v>105</v>
      </c>
      <c r="C15" s="14" t="s">
        <v>106</v>
      </c>
      <c r="D15" s="14" t="s">
        <v>107</v>
      </c>
      <c r="E15" s="14" t="s">
        <v>108</v>
      </c>
      <c r="F15" s="14" t="s">
        <v>109</v>
      </c>
      <c r="G15" s="14" t="n">
        <v>1</v>
      </c>
      <c r="H15" s="15" t="n">
        <f aca="false">Inputs!B37</f>
        <v>0</v>
      </c>
      <c r="I15" s="4"/>
      <c r="J15" s="4"/>
      <c r="K15" s="4"/>
      <c r="L15" s="4"/>
      <c r="M15" s="4"/>
      <c r="N15" s="4"/>
    </row>
    <row r="16" customFormat="false" ht="15" hidden="false" customHeight="false" outlineLevel="0" collapsed="false">
      <c r="A16" s="14" t="s">
        <v>110</v>
      </c>
      <c r="B16" s="14" t="s">
        <v>111</v>
      </c>
      <c r="C16" s="14" t="s">
        <v>100</v>
      </c>
      <c r="D16" s="14" t="s">
        <v>112</v>
      </c>
      <c r="E16" s="14" t="s">
        <v>113</v>
      </c>
      <c r="F16" s="14" t="s">
        <v>114</v>
      </c>
      <c r="G16" s="14" t="n">
        <v>30</v>
      </c>
      <c r="H16" s="15" t="n">
        <f aca="false">Inputs!B38</f>
        <v>0</v>
      </c>
      <c r="I16" s="4"/>
      <c r="J16" s="4"/>
      <c r="K16" s="4"/>
      <c r="L16" s="4"/>
      <c r="M16" s="4"/>
      <c r="N16" s="4"/>
    </row>
    <row r="17" customFormat="false" ht="15" hidden="false" customHeight="false" outlineLevel="0" collapsed="false">
      <c r="A17" s="14" t="s">
        <v>115</v>
      </c>
      <c r="B17" s="14" t="s">
        <v>116</v>
      </c>
      <c r="C17" s="14" t="s">
        <v>117</v>
      </c>
      <c r="D17" s="14" t="s">
        <v>118</v>
      </c>
      <c r="E17" s="14" t="s">
        <v>119</v>
      </c>
      <c r="F17" s="14" t="s">
        <v>120</v>
      </c>
      <c r="G17" s="14" t="n">
        <v>180</v>
      </c>
      <c r="H17" s="15" t="n">
        <f aca="false">Inputs!B39</f>
        <v>0</v>
      </c>
      <c r="I17" s="4"/>
      <c r="J17" s="4"/>
      <c r="K17" s="4"/>
      <c r="L17" s="4"/>
      <c r="M17" s="4"/>
      <c r="N17" s="4"/>
    </row>
    <row r="18" customFormat="false" ht="15" hidden="false" customHeight="false" outlineLevel="0" collapsed="false">
      <c r="A18" s="14" t="s">
        <v>121</v>
      </c>
      <c r="B18" s="14" t="s">
        <v>122</v>
      </c>
      <c r="C18" s="14" t="s">
        <v>123</v>
      </c>
      <c r="D18" s="14" t="s">
        <v>124</v>
      </c>
      <c r="E18" s="14" t="s">
        <v>125</v>
      </c>
      <c r="F18" s="14" t="s">
        <v>126</v>
      </c>
      <c r="G18" s="14" t="n">
        <v>1</v>
      </c>
      <c r="H18" s="15" t="n">
        <v>0</v>
      </c>
      <c r="I18" s="4"/>
      <c r="J18" s="4"/>
      <c r="K18" s="4"/>
      <c r="L18" s="4"/>
      <c r="M18" s="4"/>
      <c r="N18" s="4"/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78"/>
    <pageSetUpPr fitToPage="false"/>
  </sheetPr>
  <dimension ref="A2:S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1" min="10" style="0" width="18"/>
    <col collapsed="false" customWidth="true" hidden="false" outlineLevel="0" max="12" min="12" style="0" width="19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5" min="15" style="0" width="20"/>
    <col collapsed="false" customWidth="true" hidden="false" outlineLevel="0" max="16" min="16" style="0" width="14"/>
    <col collapsed="false" customWidth="true" hidden="false" outlineLevel="0" max="17" min="17" style="0" width="22"/>
    <col collapsed="false" customWidth="true" hidden="false" outlineLevel="0" max="19" min="18" style="0" width="12"/>
  </cols>
  <sheetData>
    <row r="2" customFormat="false" ht="18.55" hidden="false" customHeight="false" outlineLevel="0" collapsed="false">
      <c r="A2" s="1" t="s">
        <v>127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4"/>
      <c r="P2" s="4"/>
      <c r="Q2" s="4"/>
      <c r="R2" s="4"/>
      <c r="S2" s="4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4"/>
      <c r="P3" s="4"/>
      <c r="Q3" s="4"/>
      <c r="R3" s="4"/>
      <c r="S3" s="4"/>
    </row>
    <row r="4" customFormat="false" ht="15" hidden="false" customHeight="false" outlineLevel="0" collapsed="false">
      <c r="A4" s="3" t="s">
        <v>128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"/>
      <c r="P4" s="4"/>
      <c r="Q4" s="4"/>
      <c r="R4" s="4"/>
      <c r="S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customFormat="false" ht="22.35" hidden="false" customHeight="false" outlineLevel="0" collapsed="false">
      <c r="A6" s="6" t="s">
        <v>129</v>
      </c>
      <c r="B6" s="7" t="s">
        <v>130</v>
      </c>
      <c r="C6" s="7" t="s">
        <v>131</v>
      </c>
      <c r="D6" s="7" t="s">
        <v>132</v>
      </c>
      <c r="E6" s="7" t="s">
        <v>133</v>
      </c>
      <c r="F6" s="7" t="s">
        <v>134</v>
      </c>
      <c r="G6" s="7" t="s">
        <v>135</v>
      </c>
      <c r="H6" s="7" t="s">
        <v>136</v>
      </c>
      <c r="I6" s="7" t="s">
        <v>137</v>
      </c>
      <c r="J6" s="7" t="s">
        <v>138</v>
      </c>
      <c r="K6" s="7" t="s">
        <v>139</v>
      </c>
      <c r="L6" s="7" t="s">
        <v>140</v>
      </c>
      <c r="M6" s="7" t="s">
        <v>141</v>
      </c>
      <c r="N6" s="7" t="s">
        <v>142</v>
      </c>
      <c r="O6" s="7" t="s">
        <v>143</v>
      </c>
      <c r="P6" s="7" t="s">
        <v>144</v>
      </c>
      <c r="Q6" s="7" t="s">
        <v>145</v>
      </c>
      <c r="R6" s="7" t="s">
        <v>146</v>
      </c>
      <c r="S6" s="8" t="s">
        <v>147</v>
      </c>
    </row>
    <row r="7" customFormat="false" ht="15" hidden="false" customHeight="false" outlineLevel="0" collapsed="false">
      <c r="A7" s="14" t="s">
        <v>148</v>
      </c>
      <c r="B7" s="14" t="s">
        <v>149</v>
      </c>
      <c r="C7" s="14" t="s">
        <v>150</v>
      </c>
      <c r="D7" s="14" t="s">
        <v>151</v>
      </c>
      <c r="E7" s="14" t="s">
        <v>152</v>
      </c>
      <c r="F7" s="14" t="n">
        <v>1</v>
      </c>
      <c r="G7" s="14" t="s">
        <v>153</v>
      </c>
      <c r="H7" s="14" t="s">
        <v>154</v>
      </c>
      <c r="I7" s="14" t="n">
        <v>1</v>
      </c>
      <c r="J7" s="16"/>
      <c r="K7" s="16"/>
      <c r="L7" s="16"/>
      <c r="M7" s="16"/>
      <c r="N7" s="16" t="n">
        <v>0</v>
      </c>
      <c r="O7" s="16" t="n">
        <v>0</v>
      </c>
      <c r="P7" s="16" t="n">
        <v>0</v>
      </c>
      <c r="Q7" s="16" t="n">
        <v>0</v>
      </c>
      <c r="R7" s="15" t="n">
        <f aca="false">COUNTIFS('Commission Gates'!$B$7:$B$366,$B7,'Commission Gates'!$G$7:$G$366,"PASS")</f>
        <v>5</v>
      </c>
      <c r="S7" s="15" t="str">
        <f aca="false">IF(R7=Inputs!$B$18,"READY","OPEN")</f>
        <v>OPEN</v>
      </c>
    </row>
    <row r="8" customFormat="false" ht="15" hidden="false" customHeight="false" outlineLevel="0" collapsed="false">
      <c r="A8" s="14" t="s">
        <v>155</v>
      </c>
      <c r="B8" s="14" t="s">
        <v>156</v>
      </c>
      <c r="C8" s="14" t="s">
        <v>150</v>
      </c>
      <c r="D8" s="14" t="s">
        <v>151</v>
      </c>
      <c r="E8" s="14" t="s">
        <v>157</v>
      </c>
      <c r="F8" s="14" t="n">
        <v>2</v>
      </c>
      <c r="G8" s="14" t="s">
        <v>158</v>
      </c>
      <c r="H8" s="14" t="s">
        <v>153</v>
      </c>
      <c r="I8" s="14" t="n">
        <v>0</v>
      </c>
      <c r="J8" s="16"/>
      <c r="K8" s="16"/>
      <c r="L8" s="16"/>
      <c r="M8" s="16"/>
      <c r="N8" s="16" t="n">
        <v>0</v>
      </c>
      <c r="O8" s="16" t="n">
        <v>0</v>
      </c>
      <c r="P8" s="16" t="n">
        <v>0</v>
      </c>
      <c r="Q8" s="16" t="n">
        <v>0</v>
      </c>
      <c r="R8" s="15" t="n">
        <f aca="false">COUNTIFS('Commission Gates'!$B$7:$B$366,$B8,'Commission Gates'!$G$7:$G$366,"PASS")</f>
        <v>5</v>
      </c>
      <c r="S8" s="15" t="str">
        <f aca="false">IF(R8=Inputs!$B$18,"READY","OPEN")</f>
        <v>OPEN</v>
      </c>
    </row>
    <row r="9" customFormat="false" ht="15" hidden="false" customHeight="false" outlineLevel="0" collapsed="false">
      <c r="A9" s="14" t="s">
        <v>159</v>
      </c>
      <c r="B9" s="14" t="s">
        <v>160</v>
      </c>
      <c r="C9" s="14" t="s">
        <v>150</v>
      </c>
      <c r="D9" s="14" t="s">
        <v>151</v>
      </c>
      <c r="E9" s="14" t="s">
        <v>161</v>
      </c>
      <c r="F9" s="14" t="n">
        <v>3</v>
      </c>
      <c r="G9" s="14" t="s">
        <v>154</v>
      </c>
      <c r="H9" s="14" t="s">
        <v>158</v>
      </c>
      <c r="I9" s="14" t="n">
        <v>0</v>
      </c>
      <c r="J9" s="16"/>
      <c r="K9" s="16"/>
      <c r="L9" s="16"/>
      <c r="M9" s="16"/>
      <c r="N9" s="16" t="n">
        <v>0</v>
      </c>
      <c r="O9" s="16" t="n">
        <v>0</v>
      </c>
      <c r="P9" s="16" t="n">
        <v>0</v>
      </c>
      <c r="Q9" s="16" t="n">
        <v>0</v>
      </c>
      <c r="R9" s="15" t="n">
        <f aca="false">COUNTIFS('Commission Gates'!$B$7:$B$366,$B9,'Commission Gates'!$G$7:$G$366,"PASS")</f>
        <v>5</v>
      </c>
      <c r="S9" s="15" t="str">
        <f aca="false">IF(R9=Inputs!$B$18,"READY","OPEN")</f>
        <v>OPEN</v>
      </c>
    </row>
    <row r="10" customFormat="false" ht="15" hidden="false" customHeight="false" outlineLevel="0" collapsed="false">
      <c r="A10" s="14" t="s">
        <v>162</v>
      </c>
      <c r="B10" s="14" t="s">
        <v>163</v>
      </c>
      <c r="C10" s="14" t="s">
        <v>164</v>
      </c>
      <c r="D10" s="14" t="s">
        <v>165</v>
      </c>
      <c r="E10" s="14" t="s">
        <v>166</v>
      </c>
      <c r="F10" s="14" t="n">
        <v>1</v>
      </c>
      <c r="G10" s="14" t="s">
        <v>153</v>
      </c>
      <c r="H10" s="14" t="s">
        <v>154</v>
      </c>
      <c r="I10" s="14" t="n">
        <v>1</v>
      </c>
      <c r="J10" s="16"/>
      <c r="K10" s="16"/>
      <c r="L10" s="16"/>
      <c r="M10" s="16"/>
      <c r="N10" s="16" t="n">
        <v>0</v>
      </c>
      <c r="O10" s="16" t="n">
        <v>0</v>
      </c>
      <c r="P10" s="16" t="n">
        <v>0</v>
      </c>
      <c r="Q10" s="16" t="n">
        <v>0</v>
      </c>
      <c r="R10" s="15" t="n">
        <f aca="false">COUNTIFS('Commission Gates'!$B$7:$B$366,$B10,'Commission Gates'!$G$7:$G$366,"PASS")</f>
        <v>5</v>
      </c>
      <c r="S10" s="15" t="str">
        <f aca="false">IF(R10=Inputs!$B$18,"READY","OPEN")</f>
        <v>OPEN</v>
      </c>
    </row>
    <row r="11" customFormat="false" ht="15" hidden="false" customHeight="false" outlineLevel="0" collapsed="false">
      <c r="A11" s="14" t="s">
        <v>167</v>
      </c>
      <c r="B11" s="14" t="s">
        <v>168</v>
      </c>
      <c r="C11" s="14" t="s">
        <v>164</v>
      </c>
      <c r="D11" s="14" t="s">
        <v>165</v>
      </c>
      <c r="E11" s="14" t="s">
        <v>169</v>
      </c>
      <c r="F11" s="14" t="n">
        <v>2</v>
      </c>
      <c r="G11" s="14" t="s">
        <v>158</v>
      </c>
      <c r="H11" s="14" t="s">
        <v>153</v>
      </c>
      <c r="I11" s="14" t="n">
        <v>0</v>
      </c>
      <c r="J11" s="16"/>
      <c r="K11" s="16"/>
      <c r="L11" s="16"/>
      <c r="M11" s="16"/>
      <c r="N11" s="16" t="n">
        <v>0</v>
      </c>
      <c r="O11" s="16" t="n">
        <v>0</v>
      </c>
      <c r="P11" s="16" t="n">
        <v>0</v>
      </c>
      <c r="Q11" s="16" t="n">
        <v>0</v>
      </c>
      <c r="R11" s="15" t="n">
        <f aca="false">COUNTIFS('Commission Gates'!$B$7:$B$366,$B11,'Commission Gates'!$G$7:$G$366,"PASS")</f>
        <v>5</v>
      </c>
      <c r="S11" s="15" t="str">
        <f aca="false">IF(R11=Inputs!$B$18,"READY","OPEN")</f>
        <v>OPEN</v>
      </c>
    </row>
    <row r="12" customFormat="false" ht="15" hidden="false" customHeight="false" outlineLevel="0" collapsed="false">
      <c r="A12" s="14" t="s">
        <v>170</v>
      </c>
      <c r="B12" s="14" t="s">
        <v>171</v>
      </c>
      <c r="C12" s="14" t="s">
        <v>164</v>
      </c>
      <c r="D12" s="14" t="s">
        <v>165</v>
      </c>
      <c r="E12" s="14" t="s">
        <v>172</v>
      </c>
      <c r="F12" s="14" t="n">
        <v>3</v>
      </c>
      <c r="G12" s="14" t="s">
        <v>154</v>
      </c>
      <c r="H12" s="14" t="s">
        <v>158</v>
      </c>
      <c r="I12" s="14" t="n">
        <v>0</v>
      </c>
      <c r="J12" s="16"/>
      <c r="K12" s="16"/>
      <c r="L12" s="16"/>
      <c r="M12" s="16"/>
      <c r="N12" s="16" t="n">
        <v>0</v>
      </c>
      <c r="O12" s="16" t="n">
        <v>0</v>
      </c>
      <c r="P12" s="16" t="n">
        <v>0</v>
      </c>
      <c r="Q12" s="16" t="n">
        <v>0</v>
      </c>
      <c r="R12" s="15" t="n">
        <f aca="false">COUNTIFS('Commission Gates'!$B$7:$B$366,$B12,'Commission Gates'!$G$7:$G$366,"PASS")</f>
        <v>5</v>
      </c>
      <c r="S12" s="15" t="str">
        <f aca="false">IF(R12=Inputs!$B$18,"READY","OPEN")</f>
        <v>OPEN</v>
      </c>
    </row>
    <row r="13" customFormat="false" ht="15" hidden="false" customHeight="false" outlineLevel="0" collapsed="false">
      <c r="A13" s="14" t="s">
        <v>173</v>
      </c>
      <c r="B13" s="14" t="s">
        <v>174</v>
      </c>
      <c r="C13" s="14" t="s">
        <v>175</v>
      </c>
      <c r="D13" s="14" t="s">
        <v>176</v>
      </c>
      <c r="E13" s="14" t="s">
        <v>152</v>
      </c>
      <c r="F13" s="14" t="n">
        <v>1</v>
      </c>
      <c r="G13" s="14" t="s">
        <v>153</v>
      </c>
      <c r="H13" s="14" t="s">
        <v>154</v>
      </c>
      <c r="I13" s="14" t="n">
        <v>0</v>
      </c>
      <c r="J13" s="16"/>
      <c r="K13" s="16"/>
      <c r="L13" s="16"/>
      <c r="M13" s="16"/>
      <c r="N13" s="16" t="n">
        <v>0</v>
      </c>
      <c r="O13" s="16" t="n">
        <v>0</v>
      </c>
      <c r="P13" s="16" t="n">
        <v>0</v>
      </c>
      <c r="Q13" s="16" t="n">
        <v>0</v>
      </c>
      <c r="R13" s="15" t="n">
        <f aca="false">COUNTIFS('Commission Gates'!$B$7:$B$366,$B13,'Commission Gates'!$G$7:$G$366,"PASS")</f>
        <v>5</v>
      </c>
      <c r="S13" s="15" t="str">
        <f aca="false">IF(R13=Inputs!$B$18,"READY","OPEN")</f>
        <v>OPEN</v>
      </c>
    </row>
    <row r="14" customFormat="false" ht="15" hidden="false" customHeight="false" outlineLevel="0" collapsed="false">
      <c r="A14" s="14" t="s">
        <v>177</v>
      </c>
      <c r="B14" s="14" t="s">
        <v>178</v>
      </c>
      <c r="C14" s="14" t="s">
        <v>175</v>
      </c>
      <c r="D14" s="14" t="s">
        <v>176</v>
      </c>
      <c r="E14" s="14" t="s">
        <v>169</v>
      </c>
      <c r="F14" s="14" t="n">
        <v>2</v>
      </c>
      <c r="G14" s="14" t="s">
        <v>158</v>
      </c>
      <c r="H14" s="14" t="s">
        <v>153</v>
      </c>
      <c r="I14" s="14" t="n">
        <v>0</v>
      </c>
      <c r="J14" s="16"/>
      <c r="K14" s="16"/>
      <c r="L14" s="16"/>
      <c r="M14" s="16"/>
      <c r="N14" s="16" t="n">
        <v>0</v>
      </c>
      <c r="O14" s="16" t="n">
        <v>0</v>
      </c>
      <c r="P14" s="16" t="n">
        <v>0</v>
      </c>
      <c r="Q14" s="16" t="n">
        <v>0</v>
      </c>
      <c r="R14" s="15" t="n">
        <f aca="false">COUNTIFS('Commission Gates'!$B$7:$B$366,$B14,'Commission Gates'!$G$7:$G$366,"PASS")</f>
        <v>5</v>
      </c>
      <c r="S14" s="15" t="str">
        <f aca="false">IF(R14=Inputs!$B$18,"READY","OPEN")</f>
        <v>OPEN</v>
      </c>
    </row>
    <row r="15" customFormat="false" ht="15" hidden="false" customHeight="false" outlineLevel="0" collapsed="false">
      <c r="A15" s="14" t="s">
        <v>179</v>
      </c>
      <c r="B15" s="14" t="s">
        <v>180</v>
      </c>
      <c r="C15" s="14" t="s">
        <v>175</v>
      </c>
      <c r="D15" s="14" t="s">
        <v>176</v>
      </c>
      <c r="E15" s="14" t="s">
        <v>161</v>
      </c>
      <c r="F15" s="14" t="n">
        <v>3</v>
      </c>
      <c r="G15" s="14" t="s">
        <v>154</v>
      </c>
      <c r="H15" s="14" t="s">
        <v>158</v>
      </c>
      <c r="I15" s="14" t="n">
        <v>1</v>
      </c>
      <c r="J15" s="16"/>
      <c r="K15" s="16"/>
      <c r="L15" s="16"/>
      <c r="M15" s="16"/>
      <c r="N15" s="16" t="n">
        <v>0</v>
      </c>
      <c r="O15" s="16" t="n">
        <v>0</v>
      </c>
      <c r="P15" s="16" t="n">
        <v>0</v>
      </c>
      <c r="Q15" s="16" t="n">
        <v>0</v>
      </c>
      <c r="R15" s="15" t="n">
        <f aca="false">COUNTIFS('Commission Gates'!$B$7:$B$366,$B15,'Commission Gates'!$G$7:$G$366,"PASS")</f>
        <v>5</v>
      </c>
      <c r="S15" s="15" t="str">
        <f aca="false">IF(R15=Inputs!$B$18,"READY","OPEN")</f>
        <v>OPEN</v>
      </c>
    </row>
    <row r="16" customFormat="false" ht="15" hidden="false" customHeight="false" outlineLevel="0" collapsed="false">
      <c r="A16" s="14" t="s">
        <v>181</v>
      </c>
      <c r="B16" s="14" t="s">
        <v>182</v>
      </c>
      <c r="C16" s="14" t="s">
        <v>183</v>
      </c>
      <c r="D16" s="14" t="s">
        <v>184</v>
      </c>
      <c r="E16" s="14" t="s">
        <v>166</v>
      </c>
      <c r="F16" s="14" t="n">
        <v>1</v>
      </c>
      <c r="G16" s="14" t="s">
        <v>153</v>
      </c>
      <c r="H16" s="14" t="s">
        <v>154</v>
      </c>
      <c r="I16" s="14" t="n">
        <v>0</v>
      </c>
      <c r="J16" s="16"/>
      <c r="K16" s="16"/>
      <c r="L16" s="16"/>
      <c r="M16" s="16"/>
      <c r="N16" s="16" t="n">
        <v>0</v>
      </c>
      <c r="O16" s="16" t="n">
        <v>0</v>
      </c>
      <c r="P16" s="16" t="n">
        <v>0</v>
      </c>
      <c r="Q16" s="16" t="n">
        <v>0</v>
      </c>
      <c r="R16" s="15" t="n">
        <f aca="false">COUNTIFS('Commission Gates'!$B$7:$B$366,$B16,'Commission Gates'!$G$7:$G$366,"PASS")</f>
        <v>5</v>
      </c>
      <c r="S16" s="15" t="str">
        <f aca="false">IF(R16=Inputs!$B$18,"READY","OPEN")</f>
        <v>OPEN</v>
      </c>
    </row>
    <row r="17" customFormat="false" ht="15" hidden="false" customHeight="false" outlineLevel="0" collapsed="false">
      <c r="A17" s="14" t="s">
        <v>185</v>
      </c>
      <c r="B17" s="14" t="s">
        <v>186</v>
      </c>
      <c r="C17" s="14" t="s">
        <v>183</v>
      </c>
      <c r="D17" s="14" t="s">
        <v>184</v>
      </c>
      <c r="E17" s="14" t="s">
        <v>157</v>
      </c>
      <c r="F17" s="14" t="n">
        <v>2</v>
      </c>
      <c r="G17" s="14" t="s">
        <v>158</v>
      </c>
      <c r="H17" s="14" t="s">
        <v>153</v>
      </c>
      <c r="I17" s="14" t="n">
        <v>1</v>
      </c>
      <c r="J17" s="16"/>
      <c r="K17" s="16"/>
      <c r="L17" s="16"/>
      <c r="M17" s="16"/>
      <c r="N17" s="16" t="n">
        <v>0</v>
      </c>
      <c r="O17" s="16" t="n">
        <v>0</v>
      </c>
      <c r="P17" s="16" t="n">
        <v>0</v>
      </c>
      <c r="Q17" s="16" t="n">
        <v>0</v>
      </c>
      <c r="R17" s="15" t="n">
        <f aca="false">COUNTIFS('Commission Gates'!$B$7:$B$366,$B17,'Commission Gates'!$G$7:$G$366,"PASS")</f>
        <v>5</v>
      </c>
      <c r="S17" s="15" t="str">
        <f aca="false">IF(R17=Inputs!$B$18,"READY","OPEN")</f>
        <v>OPEN</v>
      </c>
    </row>
    <row r="18" customFormat="false" ht="15" hidden="false" customHeight="false" outlineLevel="0" collapsed="false">
      <c r="A18" s="14" t="s">
        <v>187</v>
      </c>
      <c r="B18" s="14" t="s">
        <v>188</v>
      </c>
      <c r="C18" s="14" t="s">
        <v>183</v>
      </c>
      <c r="D18" s="14" t="s">
        <v>184</v>
      </c>
      <c r="E18" s="14" t="s">
        <v>172</v>
      </c>
      <c r="F18" s="14" t="n">
        <v>3</v>
      </c>
      <c r="G18" s="14" t="s">
        <v>154</v>
      </c>
      <c r="H18" s="14" t="s">
        <v>158</v>
      </c>
      <c r="I18" s="14" t="n">
        <v>0</v>
      </c>
      <c r="J18" s="16"/>
      <c r="K18" s="16"/>
      <c r="L18" s="16"/>
      <c r="M18" s="16"/>
      <c r="N18" s="16" t="n">
        <v>0</v>
      </c>
      <c r="O18" s="16" t="n">
        <v>0</v>
      </c>
      <c r="P18" s="16" t="n">
        <v>0</v>
      </c>
      <c r="Q18" s="16" t="n">
        <v>0</v>
      </c>
      <c r="R18" s="15" t="n">
        <f aca="false">COUNTIFS('Commission Gates'!$B$7:$B$366,$B18,'Commission Gates'!$G$7:$G$366,"PASS")</f>
        <v>5</v>
      </c>
      <c r="S18" s="15" t="str">
        <f aca="false">IF(R18=Inputs!$B$18,"READY","OPEN")</f>
        <v>OPEN</v>
      </c>
    </row>
    <row r="19" customFormat="false" ht="15" hidden="false" customHeight="false" outlineLevel="0" collapsed="false">
      <c r="A19" s="14" t="s">
        <v>189</v>
      </c>
      <c r="B19" s="14" t="s">
        <v>190</v>
      </c>
      <c r="C19" s="14" t="s">
        <v>191</v>
      </c>
      <c r="D19" s="14" t="s">
        <v>192</v>
      </c>
      <c r="E19" s="14" t="s">
        <v>152</v>
      </c>
      <c r="F19" s="14" t="n">
        <v>1</v>
      </c>
      <c r="G19" s="14" t="s">
        <v>153</v>
      </c>
      <c r="H19" s="14" t="s">
        <v>154</v>
      </c>
      <c r="I19" s="14" t="n">
        <v>0</v>
      </c>
      <c r="J19" s="16"/>
      <c r="K19" s="16"/>
      <c r="L19" s="16"/>
      <c r="M19" s="16"/>
      <c r="N19" s="16" t="n">
        <v>0</v>
      </c>
      <c r="O19" s="16" t="n">
        <v>0</v>
      </c>
      <c r="P19" s="16" t="n">
        <v>0</v>
      </c>
      <c r="Q19" s="16" t="n">
        <v>0</v>
      </c>
      <c r="R19" s="15" t="n">
        <f aca="false">COUNTIFS('Commission Gates'!$B$7:$B$366,$B19,'Commission Gates'!$G$7:$G$366,"PASS")</f>
        <v>5</v>
      </c>
      <c r="S19" s="15" t="str">
        <f aca="false">IF(R19=Inputs!$B$18,"READY","OPEN")</f>
        <v>OPEN</v>
      </c>
    </row>
    <row r="20" customFormat="false" ht="15" hidden="false" customHeight="false" outlineLevel="0" collapsed="false">
      <c r="A20" s="14" t="s">
        <v>193</v>
      </c>
      <c r="B20" s="14" t="s">
        <v>194</v>
      </c>
      <c r="C20" s="14" t="s">
        <v>191</v>
      </c>
      <c r="D20" s="14" t="s">
        <v>192</v>
      </c>
      <c r="E20" s="14" t="s">
        <v>169</v>
      </c>
      <c r="F20" s="14" t="n">
        <v>2</v>
      </c>
      <c r="G20" s="14" t="s">
        <v>158</v>
      </c>
      <c r="H20" s="14" t="s">
        <v>153</v>
      </c>
      <c r="I20" s="14" t="n">
        <v>1</v>
      </c>
      <c r="J20" s="16"/>
      <c r="K20" s="16"/>
      <c r="L20" s="16"/>
      <c r="M20" s="16"/>
      <c r="N20" s="16" t="n">
        <v>0</v>
      </c>
      <c r="O20" s="16" t="n">
        <v>0</v>
      </c>
      <c r="P20" s="16" t="n">
        <v>0</v>
      </c>
      <c r="Q20" s="16" t="n">
        <v>0</v>
      </c>
      <c r="R20" s="15" t="n">
        <f aca="false">COUNTIFS('Commission Gates'!$B$7:$B$366,$B20,'Commission Gates'!$G$7:$G$366,"PASS")</f>
        <v>5</v>
      </c>
      <c r="S20" s="15" t="str">
        <f aca="false">IF(R20=Inputs!$B$18,"READY","OPEN")</f>
        <v>OPEN</v>
      </c>
    </row>
    <row r="21" customFormat="false" ht="15" hidden="false" customHeight="false" outlineLevel="0" collapsed="false">
      <c r="A21" s="14" t="s">
        <v>195</v>
      </c>
      <c r="B21" s="14" t="s">
        <v>196</v>
      </c>
      <c r="C21" s="14" t="s">
        <v>191</v>
      </c>
      <c r="D21" s="14" t="s">
        <v>192</v>
      </c>
      <c r="E21" s="14" t="s">
        <v>172</v>
      </c>
      <c r="F21" s="14" t="n">
        <v>3</v>
      </c>
      <c r="G21" s="14" t="s">
        <v>154</v>
      </c>
      <c r="H21" s="14" t="s">
        <v>158</v>
      </c>
      <c r="I21" s="14" t="n">
        <v>0</v>
      </c>
      <c r="J21" s="16"/>
      <c r="K21" s="16"/>
      <c r="L21" s="16"/>
      <c r="M21" s="16"/>
      <c r="N21" s="16" t="n">
        <v>0</v>
      </c>
      <c r="O21" s="16" t="n">
        <v>0</v>
      </c>
      <c r="P21" s="16" t="n">
        <v>0</v>
      </c>
      <c r="Q21" s="16" t="n">
        <v>0</v>
      </c>
      <c r="R21" s="15" t="n">
        <f aca="false">COUNTIFS('Commission Gates'!$B$7:$B$366,$B21,'Commission Gates'!$G$7:$G$366,"PASS")</f>
        <v>5</v>
      </c>
      <c r="S21" s="15" t="str">
        <f aca="false">IF(R21=Inputs!$B$18,"READY","OPEN")</f>
        <v>OPEN</v>
      </c>
    </row>
    <row r="22" customFormat="false" ht="15" hidden="false" customHeight="false" outlineLevel="0" collapsed="false">
      <c r="A22" s="14" t="s">
        <v>197</v>
      </c>
      <c r="B22" s="14" t="s">
        <v>198</v>
      </c>
      <c r="C22" s="14" t="s">
        <v>199</v>
      </c>
      <c r="D22" s="14" t="s">
        <v>200</v>
      </c>
      <c r="E22" s="14" t="s">
        <v>166</v>
      </c>
      <c r="F22" s="14" t="n">
        <v>1</v>
      </c>
      <c r="G22" s="14" t="s">
        <v>153</v>
      </c>
      <c r="H22" s="14" t="s">
        <v>154</v>
      </c>
      <c r="I22" s="14" t="n">
        <v>0</v>
      </c>
      <c r="J22" s="16"/>
      <c r="K22" s="16"/>
      <c r="L22" s="16"/>
      <c r="M22" s="16"/>
      <c r="N22" s="16" t="n">
        <v>0</v>
      </c>
      <c r="O22" s="16" t="n">
        <v>0</v>
      </c>
      <c r="P22" s="16" t="n">
        <v>0</v>
      </c>
      <c r="Q22" s="16" t="n">
        <v>0</v>
      </c>
      <c r="R22" s="15" t="n">
        <f aca="false">COUNTIFS('Commission Gates'!$B$7:$B$366,$B22,'Commission Gates'!$G$7:$G$366,"PASS")</f>
        <v>5</v>
      </c>
      <c r="S22" s="15" t="str">
        <f aca="false">IF(R22=Inputs!$B$18,"READY","OPEN")</f>
        <v>OPEN</v>
      </c>
    </row>
    <row r="23" customFormat="false" ht="15" hidden="false" customHeight="false" outlineLevel="0" collapsed="false">
      <c r="A23" s="14" t="s">
        <v>201</v>
      </c>
      <c r="B23" s="14" t="s">
        <v>202</v>
      </c>
      <c r="C23" s="14" t="s">
        <v>199</v>
      </c>
      <c r="D23" s="14" t="s">
        <v>200</v>
      </c>
      <c r="E23" s="14" t="s">
        <v>157</v>
      </c>
      <c r="F23" s="14" t="n">
        <v>2</v>
      </c>
      <c r="G23" s="14" t="s">
        <v>158</v>
      </c>
      <c r="H23" s="14" t="s">
        <v>153</v>
      </c>
      <c r="I23" s="14" t="n">
        <v>0</v>
      </c>
      <c r="J23" s="16"/>
      <c r="K23" s="16"/>
      <c r="L23" s="16"/>
      <c r="M23" s="16"/>
      <c r="N23" s="16" t="n">
        <v>0</v>
      </c>
      <c r="O23" s="16" t="n">
        <v>0</v>
      </c>
      <c r="P23" s="16" t="n">
        <v>0</v>
      </c>
      <c r="Q23" s="16" t="n">
        <v>0</v>
      </c>
      <c r="R23" s="15" t="n">
        <f aca="false">COUNTIFS('Commission Gates'!$B$7:$B$366,$B23,'Commission Gates'!$G$7:$G$366,"PASS")</f>
        <v>5</v>
      </c>
      <c r="S23" s="15" t="str">
        <f aca="false">IF(R23=Inputs!$B$18,"READY","OPEN")</f>
        <v>OPEN</v>
      </c>
    </row>
    <row r="24" customFormat="false" ht="15" hidden="false" customHeight="false" outlineLevel="0" collapsed="false">
      <c r="A24" s="14" t="s">
        <v>203</v>
      </c>
      <c r="B24" s="14" t="s">
        <v>204</v>
      </c>
      <c r="C24" s="14" t="s">
        <v>199</v>
      </c>
      <c r="D24" s="14" t="s">
        <v>200</v>
      </c>
      <c r="E24" s="14" t="s">
        <v>161</v>
      </c>
      <c r="F24" s="14" t="n">
        <v>3</v>
      </c>
      <c r="G24" s="14" t="s">
        <v>154</v>
      </c>
      <c r="H24" s="14" t="s">
        <v>158</v>
      </c>
      <c r="I24" s="14" t="n">
        <v>1</v>
      </c>
      <c r="J24" s="16"/>
      <c r="K24" s="16"/>
      <c r="L24" s="16"/>
      <c r="M24" s="16"/>
      <c r="N24" s="16" t="n">
        <v>0</v>
      </c>
      <c r="O24" s="16" t="n">
        <v>0</v>
      </c>
      <c r="P24" s="16" t="n">
        <v>0</v>
      </c>
      <c r="Q24" s="16" t="n">
        <v>0</v>
      </c>
      <c r="R24" s="15" t="n">
        <f aca="false">COUNTIFS('Commission Gates'!$B$7:$B$366,$B24,'Commission Gates'!$G$7:$G$366,"PASS")</f>
        <v>5</v>
      </c>
      <c r="S24" s="15" t="str">
        <f aca="false">IF(R24=Inputs!$B$18,"READY","OPEN")</f>
        <v>OPEN</v>
      </c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2:N3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0"/>
    <col collapsed="false" customWidth="true" hidden="false" outlineLevel="0" max="4" min="4" style="0" width="31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8"/>
  </cols>
  <sheetData>
    <row r="2" customFormat="false" ht="18.55" hidden="false" customHeight="false" outlineLevel="0" collapsed="false">
      <c r="A2" s="1" t="s">
        <v>205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206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6" t="s">
        <v>207</v>
      </c>
      <c r="B6" s="7" t="s">
        <v>208</v>
      </c>
      <c r="C6" s="7" t="s">
        <v>131</v>
      </c>
      <c r="D6" s="7" t="s">
        <v>209</v>
      </c>
      <c r="E6" s="7" t="s">
        <v>210</v>
      </c>
      <c r="F6" s="7" t="s">
        <v>211</v>
      </c>
      <c r="G6" s="7" t="s">
        <v>147</v>
      </c>
      <c r="H6" s="8" t="s">
        <v>212</v>
      </c>
      <c r="I6" s="4"/>
      <c r="J6" s="4"/>
      <c r="K6" s="4"/>
      <c r="L6" s="4"/>
      <c r="M6" s="4"/>
      <c r="N6" s="4"/>
    </row>
    <row r="7" customFormat="false" ht="15" hidden="false" customHeight="false" outlineLevel="0" collapsed="false">
      <c r="A7" s="14" t="s">
        <v>213</v>
      </c>
      <c r="B7" s="14" t="s">
        <v>149</v>
      </c>
      <c r="C7" s="14" t="s">
        <v>150</v>
      </c>
      <c r="D7" s="14" t="s">
        <v>214</v>
      </c>
      <c r="E7" s="14" t="n">
        <v>1</v>
      </c>
      <c r="F7" s="15" t="n">
        <f aca="false">1</f>
        <v>1</v>
      </c>
      <c r="G7" s="15" t="str">
        <f aca="false">IF(F7=E7,"PASS","OPEN")</f>
        <v>PASS</v>
      </c>
      <c r="H7" s="14" t="s">
        <v>215</v>
      </c>
      <c r="I7" s="4"/>
      <c r="J7" s="4"/>
      <c r="K7" s="4"/>
      <c r="L7" s="4"/>
      <c r="M7" s="4"/>
      <c r="N7" s="4"/>
    </row>
    <row r="8" customFormat="false" ht="15" hidden="false" customHeight="false" outlineLevel="0" collapsed="false">
      <c r="A8" s="14" t="s">
        <v>216</v>
      </c>
      <c r="B8" s="14" t="s">
        <v>149</v>
      </c>
      <c r="C8" s="14" t="s">
        <v>150</v>
      </c>
      <c r="D8" s="14" t="s">
        <v>217</v>
      </c>
      <c r="E8" s="14" t="n">
        <v>1</v>
      </c>
      <c r="F8" s="15" t="n">
        <f aca="false">1</f>
        <v>1</v>
      </c>
      <c r="G8" s="15" t="str">
        <f aca="false">IF(F8=E8,"PASS","OPEN")</f>
        <v>PASS</v>
      </c>
      <c r="H8" s="14" t="s">
        <v>215</v>
      </c>
      <c r="I8" s="4"/>
      <c r="J8" s="4"/>
      <c r="K8" s="4"/>
      <c r="L8" s="4"/>
      <c r="M8" s="4"/>
      <c r="N8" s="4"/>
    </row>
    <row r="9" customFormat="false" ht="15" hidden="false" customHeight="false" outlineLevel="0" collapsed="false">
      <c r="A9" s="14" t="s">
        <v>218</v>
      </c>
      <c r="B9" s="14" t="s">
        <v>149</v>
      </c>
      <c r="C9" s="14" t="s">
        <v>150</v>
      </c>
      <c r="D9" s="14" t="s">
        <v>219</v>
      </c>
      <c r="E9" s="14" t="n">
        <v>1</v>
      </c>
      <c r="F9" s="15" t="n">
        <f aca="false">IF('Site Dockets'!J7&lt;&gt;"",1,0)</f>
        <v>0</v>
      </c>
      <c r="G9" s="15" t="str">
        <f aca="false">IF(F9=E9,"PASS","OPEN")</f>
        <v>OPEN</v>
      </c>
      <c r="H9" s="14" t="s">
        <v>215</v>
      </c>
      <c r="I9" s="4"/>
      <c r="J9" s="4"/>
      <c r="K9" s="4"/>
      <c r="L9" s="4"/>
      <c r="M9" s="4"/>
      <c r="N9" s="4"/>
    </row>
    <row r="10" customFormat="false" ht="15" hidden="false" customHeight="false" outlineLevel="0" collapsed="false">
      <c r="A10" s="14" t="s">
        <v>220</v>
      </c>
      <c r="B10" s="14" t="s">
        <v>149</v>
      </c>
      <c r="C10" s="14" t="s">
        <v>150</v>
      </c>
      <c r="D10" s="14" t="s">
        <v>221</v>
      </c>
      <c r="E10" s="14" t="n">
        <v>1</v>
      </c>
      <c r="F10" s="15" t="n">
        <f aca="false">'Site Dockets'!N7</f>
        <v>0</v>
      </c>
      <c r="G10" s="15" t="str">
        <f aca="false">IF(F10=E10,"PASS","OPEN")</f>
        <v>OPEN</v>
      </c>
      <c r="H10" s="14" t="s">
        <v>215</v>
      </c>
      <c r="I10" s="4"/>
      <c r="J10" s="4"/>
      <c r="K10" s="4"/>
      <c r="L10" s="4"/>
      <c r="M10" s="4"/>
      <c r="N10" s="4"/>
    </row>
    <row r="11" customFormat="false" ht="15" hidden="false" customHeight="false" outlineLevel="0" collapsed="false">
      <c r="A11" s="14" t="s">
        <v>222</v>
      </c>
      <c r="B11" s="14" t="s">
        <v>149</v>
      </c>
      <c r="C11" s="14" t="s">
        <v>150</v>
      </c>
      <c r="D11" s="14" t="s">
        <v>143</v>
      </c>
      <c r="E11" s="14" t="n">
        <v>1</v>
      </c>
      <c r="F11" s="15" t="n">
        <f aca="false">'Site Dockets'!O7</f>
        <v>0</v>
      </c>
      <c r="G11" s="15" t="str">
        <f aca="false">IF(F11=E11,"PASS","OPEN")</f>
        <v>OPEN</v>
      </c>
      <c r="H11" s="14" t="s">
        <v>215</v>
      </c>
      <c r="I11" s="4"/>
      <c r="J11" s="4"/>
      <c r="K11" s="4"/>
      <c r="L11" s="4"/>
      <c r="M11" s="4"/>
      <c r="N11" s="4"/>
    </row>
    <row r="12" customFormat="false" ht="15" hidden="false" customHeight="false" outlineLevel="0" collapsed="false">
      <c r="A12" s="14" t="s">
        <v>223</v>
      </c>
      <c r="B12" s="14" t="s">
        <v>149</v>
      </c>
      <c r="C12" s="14" t="s">
        <v>150</v>
      </c>
      <c r="D12" s="14" t="s">
        <v>224</v>
      </c>
      <c r="E12" s="14" t="n">
        <v>1</v>
      </c>
      <c r="F12" s="15" t="n">
        <f aca="false">IF('Site Dockets'!L7&lt;&gt;"",1,0)</f>
        <v>0</v>
      </c>
      <c r="G12" s="15" t="str">
        <f aca="false">IF(F12=E12,"PASS","OPEN")</f>
        <v>OPEN</v>
      </c>
      <c r="H12" s="14" t="s">
        <v>215</v>
      </c>
      <c r="I12" s="4"/>
      <c r="J12" s="4"/>
      <c r="K12" s="4"/>
      <c r="L12" s="4"/>
      <c r="M12" s="4"/>
      <c r="N12" s="4"/>
    </row>
    <row r="13" customFormat="false" ht="15" hidden="false" customHeight="false" outlineLevel="0" collapsed="false">
      <c r="A13" s="14" t="s">
        <v>225</v>
      </c>
      <c r="B13" s="14" t="s">
        <v>149</v>
      </c>
      <c r="C13" s="14" t="s">
        <v>150</v>
      </c>
      <c r="D13" s="14" t="s">
        <v>226</v>
      </c>
      <c r="E13" s="14" t="n">
        <v>1</v>
      </c>
      <c r="F13" s="15" t="n">
        <f aca="false">IF('Site Dockets'!M7&lt;&gt;"",1,0)</f>
        <v>0</v>
      </c>
      <c r="G13" s="15" t="str">
        <f aca="false">IF(F13=E13,"PASS","OPEN")</f>
        <v>OPEN</v>
      </c>
      <c r="H13" s="14" t="s">
        <v>215</v>
      </c>
      <c r="I13" s="4"/>
      <c r="J13" s="4"/>
      <c r="K13" s="4"/>
      <c r="L13" s="4"/>
      <c r="M13" s="4"/>
      <c r="N13" s="4"/>
    </row>
    <row r="14" customFormat="false" ht="15" hidden="false" customHeight="false" outlineLevel="0" collapsed="false">
      <c r="A14" s="14" t="s">
        <v>227</v>
      </c>
      <c r="B14" s="14" t="s">
        <v>149</v>
      </c>
      <c r="C14" s="14" t="s">
        <v>150</v>
      </c>
      <c r="D14" s="14" t="s">
        <v>228</v>
      </c>
      <c r="E14" s="14" t="n">
        <v>1</v>
      </c>
      <c r="F14" s="15" t="n">
        <f aca="false">IF(COUNTIFS('Role Appointments'!$B$7:$B$102,B14,'Role Appointments'!$J$7:$J$102,"READY")=COUNTIFS('Role Appointments'!$B$7:$B$102,B14),1,0)</f>
        <v>0</v>
      </c>
      <c r="G14" s="15" t="str">
        <f aca="false">IF(F14=E14,"PASS","OPEN")</f>
        <v>OPEN</v>
      </c>
      <c r="H14" s="14" t="s">
        <v>215</v>
      </c>
      <c r="I14" s="4"/>
      <c r="J14" s="4"/>
      <c r="K14" s="4"/>
      <c r="L14" s="4"/>
      <c r="M14" s="4"/>
      <c r="N14" s="4"/>
    </row>
    <row r="15" customFormat="false" ht="15" hidden="false" customHeight="false" outlineLevel="0" collapsed="false">
      <c r="A15" s="14" t="s">
        <v>229</v>
      </c>
      <c r="B15" s="14" t="s">
        <v>149</v>
      </c>
      <c r="C15" s="14" t="s">
        <v>150</v>
      </c>
      <c r="D15" s="14" t="s">
        <v>230</v>
      </c>
      <c r="E15" s="14" t="n">
        <v>1</v>
      </c>
      <c r="F15" s="15" t="n">
        <f aca="false">IF(COUNTIFS('Key Custody'!$B$7:$B$84,B15,'Key Custody'!$J$7:$J$84,"READY")=COUNTIFS('Key Custody'!$B$7:$B$84,B15),1,0)</f>
        <v>0</v>
      </c>
      <c r="G15" s="15" t="str">
        <f aca="false">IF(F15=E15,"PASS","OPEN")</f>
        <v>OPEN</v>
      </c>
      <c r="H15" s="14" t="s">
        <v>215</v>
      </c>
      <c r="I15" s="4"/>
      <c r="J15" s="4"/>
      <c r="K15" s="4"/>
      <c r="L15" s="4"/>
      <c r="M15" s="4"/>
      <c r="N15" s="4"/>
    </row>
    <row r="16" customFormat="false" ht="15" hidden="false" customHeight="false" outlineLevel="0" collapsed="false">
      <c r="A16" s="14" t="s">
        <v>231</v>
      </c>
      <c r="B16" s="14" t="s">
        <v>149</v>
      </c>
      <c r="C16" s="14" t="s">
        <v>150</v>
      </c>
      <c r="D16" s="14" t="s">
        <v>232</v>
      </c>
      <c r="E16" s="14" t="n">
        <v>1</v>
      </c>
      <c r="F16" s="15" t="n">
        <f aca="false">IF(AND('Vendor Lots'!G7&lt;&gt;"",'Vendor Lots'!G8&lt;&gt;"",'Vendor Lots'!G9&lt;&gt;"",'Vendor Lots'!G10&lt;&gt;""),1,0)</f>
        <v>0</v>
      </c>
      <c r="G16" s="15" t="str">
        <f aca="false">IF(F16=E16,"PASS","OPEN")</f>
        <v>OPEN</v>
      </c>
      <c r="H16" s="14" t="s">
        <v>215</v>
      </c>
      <c r="I16" s="4"/>
      <c r="J16" s="4"/>
      <c r="K16" s="4"/>
      <c r="L16" s="4"/>
      <c r="M16" s="4"/>
      <c r="N16" s="4"/>
    </row>
    <row r="17" customFormat="false" ht="15" hidden="false" customHeight="false" outlineLevel="0" collapsed="false">
      <c r="A17" s="14" t="s">
        <v>233</v>
      </c>
      <c r="B17" s="14" t="s">
        <v>149</v>
      </c>
      <c r="C17" s="14" t="s">
        <v>150</v>
      </c>
      <c r="D17" s="14" t="s">
        <v>234</v>
      </c>
      <c r="E17" s="14" t="n">
        <v>1</v>
      </c>
      <c r="F17" s="15" t="n">
        <f aca="false">IF(AND('Vendor Lots'!I7&lt;&gt;"",'Vendor Lots'!I8&lt;&gt;"",'Vendor Lots'!I9&lt;&gt;"",'Vendor Lots'!I10&lt;&gt;""),1,0)</f>
        <v>0</v>
      </c>
      <c r="G17" s="15" t="str">
        <f aca="false">IF(F17=E17,"PASS","OPEN")</f>
        <v>OPEN</v>
      </c>
      <c r="H17" s="14" t="s">
        <v>215</v>
      </c>
      <c r="I17" s="4"/>
      <c r="J17" s="4"/>
      <c r="K17" s="4"/>
      <c r="L17" s="4"/>
      <c r="M17" s="4"/>
      <c r="N17" s="4"/>
    </row>
    <row r="18" customFormat="false" ht="15" hidden="false" customHeight="false" outlineLevel="0" collapsed="false">
      <c r="A18" s="14" t="s">
        <v>235</v>
      </c>
      <c r="B18" s="14" t="s">
        <v>149</v>
      </c>
      <c r="C18" s="14" t="s">
        <v>150</v>
      </c>
      <c r="D18" s="14" t="s">
        <v>236</v>
      </c>
      <c r="E18" s="14" t="n">
        <v>1</v>
      </c>
      <c r="F18" s="15" t="n">
        <f aca="false">IF(AND('Vendor Lots'!G7&lt;&gt;"",'Vendor Lots'!G8&lt;&gt;"",'Vendor Lots'!G9&lt;&gt;"",'Vendor Lots'!G10&lt;&gt;"",SUM('Vendor Lots'!K7:K10)=0),1,0)</f>
        <v>0</v>
      </c>
      <c r="G18" s="15" t="str">
        <f aca="false">IF(F18=E18,"PASS","OPEN")</f>
        <v>OPEN</v>
      </c>
      <c r="H18" s="14" t="s">
        <v>237</v>
      </c>
      <c r="I18" s="4"/>
      <c r="J18" s="4"/>
      <c r="K18" s="4"/>
      <c r="L18" s="4"/>
      <c r="M18" s="4"/>
      <c r="N18" s="4"/>
    </row>
    <row r="19" customFormat="false" ht="15" hidden="false" customHeight="false" outlineLevel="0" collapsed="false">
      <c r="A19" s="14" t="s">
        <v>238</v>
      </c>
      <c r="B19" s="14" t="s">
        <v>149</v>
      </c>
      <c r="C19" s="14" t="s">
        <v>150</v>
      </c>
      <c r="D19" s="14" t="s">
        <v>145</v>
      </c>
      <c r="E19" s="14" t="n">
        <v>1</v>
      </c>
      <c r="F19" s="15" t="n">
        <f aca="false">'Site Dockets'!Q7</f>
        <v>0</v>
      </c>
      <c r="G19" s="15" t="str">
        <f aca="false">IF(F19=E19,"PASS","OPEN")</f>
        <v>OPEN</v>
      </c>
      <c r="H19" s="14" t="s">
        <v>215</v>
      </c>
      <c r="I19" s="4"/>
      <c r="J19" s="4"/>
      <c r="K19" s="4"/>
      <c r="L19" s="4"/>
      <c r="M19" s="4"/>
      <c r="N19" s="4"/>
    </row>
    <row r="20" customFormat="false" ht="15" hidden="false" customHeight="false" outlineLevel="0" collapsed="false">
      <c r="A20" s="14" t="s">
        <v>239</v>
      </c>
      <c r="B20" s="14" t="s">
        <v>149</v>
      </c>
      <c r="C20" s="14" t="s">
        <v>150</v>
      </c>
      <c r="D20" s="14" t="s">
        <v>240</v>
      </c>
      <c r="E20" s="14" t="n">
        <v>1</v>
      </c>
      <c r="F20" s="15" t="n">
        <f aca="false">1</f>
        <v>1</v>
      </c>
      <c r="G20" s="15" t="str">
        <f aca="false">IF(F20=E20,"PASS","OPEN")</f>
        <v>PASS</v>
      </c>
      <c r="H20" s="14" t="s">
        <v>215</v>
      </c>
      <c r="I20" s="4"/>
      <c r="J20" s="4"/>
      <c r="K20" s="4"/>
      <c r="L20" s="4"/>
      <c r="M20" s="4"/>
      <c r="N20" s="4"/>
    </row>
    <row r="21" customFormat="false" ht="15" hidden="false" customHeight="false" outlineLevel="0" collapsed="false">
      <c r="A21" s="14" t="s">
        <v>241</v>
      </c>
      <c r="B21" s="14" t="s">
        <v>149</v>
      </c>
      <c r="C21" s="14" t="s">
        <v>150</v>
      </c>
      <c r="D21" s="14" t="s">
        <v>242</v>
      </c>
      <c r="E21" s="14" t="n">
        <v>1</v>
      </c>
      <c r="F21" s="15" t="n">
        <f aca="false">IF(COUNTIFS('Failure Worlds'!$J$7:$J$36,"PASS")=Inputs!$B$16,1,0)</f>
        <v>1</v>
      </c>
      <c r="G21" s="15" t="str">
        <f aca="false">IF(F21=E21,"PASS","OPEN")</f>
        <v>PASS</v>
      </c>
      <c r="H21" s="14" t="s">
        <v>243</v>
      </c>
      <c r="I21" s="4"/>
      <c r="J21" s="4"/>
      <c r="K21" s="4"/>
      <c r="L21" s="4"/>
      <c r="M21" s="4"/>
      <c r="N21" s="4"/>
    </row>
    <row r="22" customFormat="false" ht="15" hidden="false" customHeight="false" outlineLevel="0" collapsed="false">
      <c r="A22" s="14" t="s">
        <v>244</v>
      </c>
      <c r="B22" s="14" t="s">
        <v>149</v>
      </c>
      <c r="C22" s="14" t="s">
        <v>150</v>
      </c>
      <c r="D22" s="14" t="s">
        <v>245</v>
      </c>
      <c r="E22" s="14" t="n">
        <v>1</v>
      </c>
      <c r="F22" s="15" t="n">
        <f aca="false">IF(COUNTIFS('Recovery Clocks'!$J$7:$J$186,"PASS")=180,1,0)</f>
        <v>0</v>
      </c>
      <c r="G22" s="15" t="str">
        <f aca="false">IF(F22=E22,"PASS","OPEN")</f>
        <v>OPEN</v>
      </c>
      <c r="H22" s="14" t="s">
        <v>215</v>
      </c>
      <c r="I22" s="4"/>
      <c r="J22" s="4"/>
      <c r="K22" s="4"/>
      <c r="L22" s="4"/>
      <c r="M22" s="4"/>
      <c r="N22" s="4"/>
    </row>
    <row r="23" customFormat="false" ht="15" hidden="false" customHeight="false" outlineLevel="0" collapsed="false">
      <c r="A23" s="14" t="s">
        <v>246</v>
      </c>
      <c r="B23" s="14" t="s">
        <v>149</v>
      </c>
      <c r="C23" s="14" t="s">
        <v>150</v>
      </c>
      <c r="D23" s="14" t="s">
        <v>247</v>
      </c>
      <c r="E23" s="14" t="n">
        <v>1</v>
      </c>
      <c r="F23" s="15" t="n">
        <f aca="false">IF(Inputs!$B$35=18,1,0)</f>
        <v>0</v>
      </c>
      <c r="G23" s="15" t="str">
        <f aca="false">IF(F23=E23,"PASS","OPEN")</f>
        <v>OPEN</v>
      </c>
      <c r="H23" s="14" t="s">
        <v>215</v>
      </c>
      <c r="I23" s="4"/>
      <c r="J23" s="4"/>
      <c r="K23" s="4"/>
      <c r="L23" s="4"/>
      <c r="M23" s="4"/>
      <c r="N23" s="4"/>
    </row>
    <row r="24" customFormat="false" ht="15" hidden="false" customHeight="false" outlineLevel="0" collapsed="false">
      <c r="A24" s="14" t="s">
        <v>248</v>
      </c>
      <c r="B24" s="14" t="s">
        <v>149</v>
      </c>
      <c r="C24" s="14" t="s">
        <v>150</v>
      </c>
      <c r="D24" s="14" t="s">
        <v>249</v>
      </c>
      <c r="E24" s="14" t="n">
        <v>1</v>
      </c>
      <c r="F24" s="15" t="n">
        <f aca="false">0</f>
        <v>0</v>
      </c>
      <c r="G24" s="15" t="str">
        <f aca="false">IF(F24=E24,"PASS","OPEN")</f>
        <v>OPEN</v>
      </c>
      <c r="H24" s="14" t="s">
        <v>215</v>
      </c>
      <c r="I24" s="4"/>
      <c r="J24" s="4"/>
      <c r="K24" s="4"/>
      <c r="L24" s="4"/>
      <c r="M24" s="4"/>
      <c r="N24" s="4"/>
    </row>
    <row r="25" customFormat="false" ht="15" hidden="false" customHeight="false" outlineLevel="0" collapsed="false">
      <c r="A25" s="14" t="s">
        <v>250</v>
      </c>
      <c r="B25" s="14" t="s">
        <v>149</v>
      </c>
      <c r="C25" s="14" t="s">
        <v>150</v>
      </c>
      <c r="D25" s="14" t="s">
        <v>251</v>
      </c>
      <c r="E25" s="14" t="n">
        <v>1</v>
      </c>
      <c r="F25" s="15" t="n">
        <f aca="false">1</f>
        <v>1</v>
      </c>
      <c r="G25" s="15" t="str">
        <f aca="false">IF(F25=E25,"PASS","OPEN")</f>
        <v>PASS</v>
      </c>
      <c r="H25" s="14" t="s">
        <v>215</v>
      </c>
      <c r="I25" s="4"/>
      <c r="J25" s="4"/>
      <c r="K25" s="4"/>
      <c r="L25" s="4"/>
      <c r="M25" s="4"/>
      <c r="N25" s="4"/>
    </row>
    <row r="26" customFormat="false" ht="15" hidden="false" customHeight="false" outlineLevel="0" collapsed="false">
      <c r="A26" s="14" t="s">
        <v>252</v>
      </c>
      <c r="B26" s="14" t="s">
        <v>149</v>
      </c>
      <c r="C26" s="14" t="s">
        <v>150</v>
      </c>
      <c r="D26" s="14" t="s">
        <v>253</v>
      </c>
      <c r="E26" s="14" t="n">
        <v>1</v>
      </c>
      <c r="F26" s="15" t="n">
        <f aca="false">Inputs!$B$37</f>
        <v>0</v>
      </c>
      <c r="G26" s="15" t="str">
        <f aca="false">IF(F26=E26,"PASS","OPEN")</f>
        <v>OPEN</v>
      </c>
      <c r="H26" s="14" t="s">
        <v>215</v>
      </c>
      <c r="I26" s="4"/>
      <c r="J26" s="4"/>
      <c r="K26" s="4"/>
      <c r="L26" s="4"/>
      <c r="M26" s="4"/>
      <c r="N26" s="4"/>
    </row>
    <row r="27" customFormat="false" ht="15" hidden="false" customHeight="false" outlineLevel="0" collapsed="false">
      <c r="A27" s="14" t="s">
        <v>254</v>
      </c>
      <c r="B27" s="14" t="s">
        <v>156</v>
      </c>
      <c r="C27" s="14" t="s">
        <v>150</v>
      </c>
      <c r="D27" s="14" t="s">
        <v>214</v>
      </c>
      <c r="E27" s="14" t="n">
        <v>1</v>
      </c>
      <c r="F27" s="15" t="n">
        <f aca="false">1</f>
        <v>1</v>
      </c>
      <c r="G27" s="15" t="str">
        <f aca="false">IF(F27=E27,"PASS","OPEN")</f>
        <v>PASS</v>
      </c>
      <c r="H27" s="14" t="s">
        <v>215</v>
      </c>
      <c r="I27" s="4"/>
      <c r="J27" s="4"/>
      <c r="K27" s="4"/>
      <c r="L27" s="4"/>
      <c r="M27" s="4"/>
      <c r="N27" s="4"/>
    </row>
    <row r="28" customFormat="false" ht="15" hidden="false" customHeight="false" outlineLevel="0" collapsed="false">
      <c r="A28" s="14" t="s">
        <v>255</v>
      </c>
      <c r="B28" s="14" t="s">
        <v>156</v>
      </c>
      <c r="C28" s="14" t="s">
        <v>150</v>
      </c>
      <c r="D28" s="14" t="s">
        <v>217</v>
      </c>
      <c r="E28" s="14" t="n">
        <v>1</v>
      </c>
      <c r="F28" s="15" t="n">
        <f aca="false">1</f>
        <v>1</v>
      </c>
      <c r="G28" s="15" t="str">
        <f aca="false">IF(F28=E28,"PASS","OPEN")</f>
        <v>PASS</v>
      </c>
      <c r="H28" s="14" t="s">
        <v>215</v>
      </c>
      <c r="I28" s="4"/>
      <c r="J28" s="4"/>
      <c r="K28" s="4"/>
      <c r="L28" s="4"/>
      <c r="M28" s="4"/>
      <c r="N28" s="4"/>
    </row>
    <row r="29" customFormat="false" ht="15" hidden="false" customHeight="false" outlineLevel="0" collapsed="false">
      <c r="A29" s="14" t="s">
        <v>256</v>
      </c>
      <c r="B29" s="14" t="s">
        <v>156</v>
      </c>
      <c r="C29" s="14" t="s">
        <v>150</v>
      </c>
      <c r="D29" s="14" t="s">
        <v>219</v>
      </c>
      <c r="E29" s="14" t="n">
        <v>1</v>
      </c>
      <c r="F29" s="15" t="n">
        <f aca="false">IF('Site Dockets'!J8&lt;&gt;"",1,0)</f>
        <v>0</v>
      </c>
      <c r="G29" s="15" t="str">
        <f aca="false">IF(F29=E29,"PASS","OPEN")</f>
        <v>OPEN</v>
      </c>
      <c r="H29" s="14" t="s">
        <v>215</v>
      </c>
      <c r="I29" s="4"/>
      <c r="J29" s="4"/>
      <c r="K29" s="4"/>
      <c r="L29" s="4"/>
      <c r="M29" s="4"/>
      <c r="N29" s="4"/>
    </row>
    <row r="30" customFormat="false" ht="15" hidden="false" customHeight="false" outlineLevel="0" collapsed="false">
      <c r="A30" s="14" t="s">
        <v>257</v>
      </c>
      <c r="B30" s="14" t="s">
        <v>156</v>
      </c>
      <c r="C30" s="14" t="s">
        <v>150</v>
      </c>
      <c r="D30" s="14" t="s">
        <v>221</v>
      </c>
      <c r="E30" s="14" t="n">
        <v>1</v>
      </c>
      <c r="F30" s="15" t="n">
        <f aca="false">'Site Dockets'!N8</f>
        <v>0</v>
      </c>
      <c r="G30" s="15" t="str">
        <f aca="false">IF(F30=E30,"PASS","OPEN")</f>
        <v>OPEN</v>
      </c>
      <c r="H30" s="14" t="s">
        <v>215</v>
      </c>
      <c r="I30" s="4"/>
      <c r="J30" s="4"/>
      <c r="K30" s="4"/>
      <c r="L30" s="4"/>
      <c r="M30" s="4"/>
      <c r="N30" s="4"/>
    </row>
    <row r="31" customFormat="false" ht="15" hidden="false" customHeight="false" outlineLevel="0" collapsed="false">
      <c r="A31" s="14" t="s">
        <v>258</v>
      </c>
      <c r="B31" s="14" t="s">
        <v>156</v>
      </c>
      <c r="C31" s="14" t="s">
        <v>150</v>
      </c>
      <c r="D31" s="14" t="s">
        <v>143</v>
      </c>
      <c r="E31" s="14" t="n">
        <v>1</v>
      </c>
      <c r="F31" s="15" t="n">
        <f aca="false">'Site Dockets'!O8</f>
        <v>0</v>
      </c>
      <c r="G31" s="15" t="str">
        <f aca="false">IF(F31=E31,"PASS","OPEN")</f>
        <v>OPEN</v>
      </c>
      <c r="H31" s="14" t="s">
        <v>215</v>
      </c>
      <c r="I31" s="4"/>
      <c r="J31" s="4"/>
      <c r="K31" s="4"/>
      <c r="L31" s="4"/>
      <c r="M31" s="4"/>
      <c r="N31" s="4"/>
    </row>
    <row r="32" customFormat="false" ht="15" hidden="false" customHeight="false" outlineLevel="0" collapsed="false">
      <c r="A32" s="14" t="s">
        <v>259</v>
      </c>
      <c r="B32" s="14" t="s">
        <v>156</v>
      </c>
      <c r="C32" s="14" t="s">
        <v>150</v>
      </c>
      <c r="D32" s="14" t="s">
        <v>224</v>
      </c>
      <c r="E32" s="14" t="n">
        <v>1</v>
      </c>
      <c r="F32" s="15" t="n">
        <f aca="false">IF('Site Dockets'!L8&lt;&gt;"",1,0)</f>
        <v>0</v>
      </c>
      <c r="G32" s="15" t="str">
        <f aca="false">IF(F32=E32,"PASS","OPEN")</f>
        <v>OPEN</v>
      </c>
      <c r="H32" s="14" t="s">
        <v>215</v>
      </c>
      <c r="I32" s="4"/>
      <c r="J32" s="4"/>
      <c r="K32" s="4"/>
      <c r="L32" s="4"/>
      <c r="M32" s="4"/>
      <c r="N32" s="4"/>
    </row>
    <row r="33" customFormat="false" ht="15" hidden="false" customHeight="false" outlineLevel="0" collapsed="false">
      <c r="A33" s="14" t="s">
        <v>260</v>
      </c>
      <c r="B33" s="14" t="s">
        <v>156</v>
      </c>
      <c r="C33" s="14" t="s">
        <v>150</v>
      </c>
      <c r="D33" s="14" t="s">
        <v>226</v>
      </c>
      <c r="E33" s="14" t="n">
        <v>1</v>
      </c>
      <c r="F33" s="15" t="n">
        <f aca="false">IF('Site Dockets'!M8&lt;&gt;"",1,0)</f>
        <v>0</v>
      </c>
      <c r="G33" s="15" t="str">
        <f aca="false">IF(F33=E33,"PASS","OPEN")</f>
        <v>OPEN</v>
      </c>
      <c r="H33" s="14" t="s">
        <v>215</v>
      </c>
      <c r="I33" s="4"/>
      <c r="J33" s="4"/>
      <c r="K33" s="4"/>
      <c r="L33" s="4"/>
      <c r="M33" s="4"/>
      <c r="N33" s="4"/>
    </row>
    <row r="34" customFormat="false" ht="15" hidden="false" customHeight="false" outlineLevel="0" collapsed="false">
      <c r="A34" s="14" t="s">
        <v>261</v>
      </c>
      <c r="B34" s="14" t="s">
        <v>156</v>
      </c>
      <c r="C34" s="14" t="s">
        <v>150</v>
      </c>
      <c r="D34" s="14" t="s">
        <v>228</v>
      </c>
      <c r="E34" s="14" t="n">
        <v>1</v>
      </c>
      <c r="F34" s="15" t="n">
        <f aca="false">IF(COUNTIFS('Role Appointments'!$B$7:$B$102,B34,'Role Appointments'!$J$7:$J$102,"READY")=COUNTIFS('Role Appointments'!$B$7:$B$102,B34),1,0)</f>
        <v>0</v>
      </c>
      <c r="G34" s="15" t="str">
        <f aca="false">IF(F34=E34,"PASS","OPEN")</f>
        <v>OPEN</v>
      </c>
      <c r="H34" s="14" t="s">
        <v>215</v>
      </c>
      <c r="I34" s="4"/>
      <c r="J34" s="4"/>
      <c r="K34" s="4"/>
      <c r="L34" s="4"/>
      <c r="M34" s="4"/>
      <c r="N34" s="4"/>
    </row>
    <row r="35" customFormat="false" ht="15" hidden="false" customHeight="false" outlineLevel="0" collapsed="false">
      <c r="A35" s="14" t="s">
        <v>262</v>
      </c>
      <c r="B35" s="14" t="s">
        <v>156</v>
      </c>
      <c r="C35" s="14" t="s">
        <v>150</v>
      </c>
      <c r="D35" s="14" t="s">
        <v>230</v>
      </c>
      <c r="E35" s="14" t="n">
        <v>1</v>
      </c>
      <c r="F35" s="15" t="n">
        <f aca="false">IF(COUNTIFS('Key Custody'!$B$7:$B$84,B35,'Key Custody'!$J$7:$J$84,"READY")=COUNTIFS('Key Custody'!$B$7:$B$84,B35),1,0)</f>
        <v>0</v>
      </c>
      <c r="G35" s="15" t="str">
        <f aca="false">IF(F35=E35,"PASS","OPEN")</f>
        <v>OPEN</v>
      </c>
      <c r="H35" s="14" t="s">
        <v>215</v>
      </c>
      <c r="I35" s="4"/>
      <c r="J35" s="4"/>
      <c r="K35" s="4"/>
      <c r="L35" s="4"/>
      <c r="M35" s="4"/>
      <c r="N35" s="4"/>
    </row>
    <row r="36" customFormat="false" ht="15" hidden="false" customHeight="false" outlineLevel="0" collapsed="false">
      <c r="A36" s="14" t="s">
        <v>263</v>
      </c>
      <c r="B36" s="14" t="s">
        <v>156</v>
      </c>
      <c r="C36" s="14" t="s">
        <v>150</v>
      </c>
      <c r="D36" s="14" t="s">
        <v>232</v>
      </c>
      <c r="E36" s="14" t="n">
        <v>1</v>
      </c>
      <c r="F36" s="15" t="n">
        <f aca="false">IF(AND('Vendor Lots'!G11&lt;&gt;"",'Vendor Lots'!G12&lt;&gt;"",'Vendor Lots'!G13&lt;&gt;"",'Vendor Lots'!G14&lt;&gt;""),1,0)</f>
        <v>0</v>
      </c>
      <c r="G36" s="15" t="str">
        <f aca="false">IF(F36=E36,"PASS","OPEN")</f>
        <v>OPEN</v>
      </c>
      <c r="H36" s="14" t="s">
        <v>215</v>
      </c>
      <c r="I36" s="4"/>
      <c r="J36" s="4"/>
      <c r="K36" s="4"/>
      <c r="L36" s="4"/>
      <c r="M36" s="4"/>
      <c r="N36" s="4"/>
    </row>
    <row r="37" customFormat="false" ht="15" hidden="false" customHeight="false" outlineLevel="0" collapsed="false">
      <c r="A37" s="14" t="s">
        <v>264</v>
      </c>
      <c r="B37" s="14" t="s">
        <v>156</v>
      </c>
      <c r="C37" s="14" t="s">
        <v>150</v>
      </c>
      <c r="D37" s="14" t="s">
        <v>234</v>
      </c>
      <c r="E37" s="14" t="n">
        <v>1</v>
      </c>
      <c r="F37" s="15" t="n">
        <f aca="false">IF(AND('Vendor Lots'!I11&lt;&gt;"",'Vendor Lots'!I12&lt;&gt;"",'Vendor Lots'!I13&lt;&gt;"",'Vendor Lots'!I14&lt;&gt;""),1,0)</f>
        <v>0</v>
      </c>
      <c r="G37" s="15" t="str">
        <f aca="false">IF(F37=E37,"PASS","OPEN")</f>
        <v>OPEN</v>
      </c>
      <c r="H37" s="14" t="s">
        <v>215</v>
      </c>
      <c r="I37" s="4"/>
      <c r="J37" s="4"/>
      <c r="K37" s="4"/>
      <c r="L37" s="4"/>
      <c r="M37" s="4"/>
      <c r="N37" s="4"/>
    </row>
    <row r="38" customFormat="false" ht="15" hidden="false" customHeight="false" outlineLevel="0" collapsed="false">
      <c r="A38" s="14" t="s">
        <v>265</v>
      </c>
      <c r="B38" s="14" t="s">
        <v>156</v>
      </c>
      <c r="C38" s="14" t="s">
        <v>150</v>
      </c>
      <c r="D38" s="14" t="s">
        <v>236</v>
      </c>
      <c r="E38" s="14" t="n">
        <v>1</v>
      </c>
      <c r="F38" s="15" t="n">
        <f aca="false">IF(AND('Vendor Lots'!G11&lt;&gt;"",'Vendor Lots'!G12&lt;&gt;"",'Vendor Lots'!G13&lt;&gt;"",'Vendor Lots'!G14&lt;&gt;"",SUM('Vendor Lots'!K11:K14)=0),1,0)</f>
        <v>0</v>
      </c>
      <c r="G38" s="15" t="str">
        <f aca="false">IF(F38=E38,"PASS","OPEN")</f>
        <v>OPEN</v>
      </c>
      <c r="H38" s="14" t="s">
        <v>237</v>
      </c>
      <c r="I38" s="4"/>
      <c r="J38" s="4"/>
      <c r="K38" s="4"/>
      <c r="L38" s="4"/>
      <c r="M38" s="4"/>
      <c r="N38" s="4"/>
    </row>
    <row r="39" customFormat="false" ht="15" hidden="false" customHeight="false" outlineLevel="0" collapsed="false">
      <c r="A39" s="14" t="s">
        <v>266</v>
      </c>
      <c r="B39" s="14" t="s">
        <v>156</v>
      </c>
      <c r="C39" s="14" t="s">
        <v>150</v>
      </c>
      <c r="D39" s="14" t="s">
        <v>145</v>
      </c>
      <c r="E39" s="14" t="n">
        <v>1</v>
      </c>
      <c r="F39" s="15" t="n">
        <f aca="false">'Site Dockets'!Q8</f>
        <v>0</v>
      </c>
      <c r="G39" s="15" t="str">
        <f aca="false">IF(F39=E39,"PASS","OPEN")</f>
        <v>OPEN</v>
      </c>
      <c r="H39" s="14" t="s">
        <v>215</v>
      </c>
      <c r="I39" s="4"/>
      <c r="J39" s="4"/>
      <c r="K39" s="4"/>
      <c r="L39" s="4"/>
      <c r="M39" s="4"/>
      <c r="N39" s="4"/>
    </row>
    <row r="40" customFormat="false" ht="15" hidden="false" customHeight="false" outlineLevel="0" collapsed="false">
      <c r="A40" s="14" t="s">
        <v>267</v>
      </c>
      <c r="B40" s="14" t="s">
        <v>156</v>
      </c>
      <c r="C40" s="14" t="s">
        <v>150</v>
      </c>
      <c r="D40" s="14" t="s">
        <v>240</v>
      </c>
      <c r="E40" s="14" t="n">
        <v>1</v>
      </c>
      <c r="F40" s="15" t="n">
        <f aca="false">1</f>
        <v>1</v>
      </c>
      <c r="G40" s="15" t="str">
        <f aca="false">IF(F40=E40,"PASS","OPEN")</f>
        <v>PASS</v>
      </c>
      <c r="H40" s="14" t="s">
        <v>215</v>
      </c>
      <c r="I40" s="4"/>
      <c r="J40" s="4"/>
      <c r="K40" s="4"/>
      <c r="L40" s="4"/>
      <c r="M40" s="4"/>
      <c r="N40" s="4"/>
    </row>
    <row r="41" customFormat="false" ht="15" hidden="false" customHeight="false" outlineLevel="0" collapsed="false">
      <c r="A41" s="14" t="s">
        <v>268</v>
      </c>
      <c r="B41" s="14" t="s">
        <v>156</v>
      </c>
      <c r="C41" s="14" t="s">
        <v>150</v>
      </c>
      <c r="D41" s="14" t="s">
        <v>242</v>
      </c>
      <c r="E41" s="14" t="n">
        <v>1</v>
      </c>
      <c r="F41" s="15" t="n">
        <f aca="false">IF(COUNTIFS('Failure Worlds'!$J$7:$J$36,"PASS")=Inputs!$B$16,1,0)</f>
        <v>1</v>
      </c>
      <c r="G41" s="15" t="str">
        <f aca="false">IF(F41=E41,"PASS","OPEN")</f>
        <v>PASS</v>
      </c>
      <c r="H41" s="14" t="s">
        <v>243</v>
      </c>
      <c r="I41" s="4"/>
      <c r="J41" s="4"/>
      <c r="K41" s="4"/>
      <c r="L41" s="4"/>
      <c r="M41" s="4"/>
      <c r="N41" s="4"/>
    </row>
    <row r="42" customFormat="false" ht="15" hidden="false" customHeight="false" outlineLevel="0" collapsed="false">
      <c r="A42" s="14" t="s">
        <v>269</v>
      </c>
      <c r="B42" s="14" t="s">
        <v>156</v>
      </c>
      <c r="C42" s="14" t="s">
        <v>150</v>
      </c>
      <c r="D42" s="14" t="s">
        <v>245</v>
      </c>
      <c r="E42" s="14" t="n">
        <v>1</v>
      </c>
      <c r="F42" s="15" t="n">
        <f aca="false">IF(COUNTIFS('Recovery Clocks'!$J$7:$J$186,"PASS")=180,1,0)</f>
        <v>0</v>
      </c>
      <c r="G42" s="15" t="str">
        <f aca="false">IF(F42=E42,"PASS","OPEN")</f>
        <v>OPEN</v>
      </c>
      <c r="H42" s="14" t="s">
        <v>215</v>
      </c>
      <c r="I42" s="4"/>
      <c r="J42" s="4"/>
      <c r="K42" s="4"/>
      <c r="L42" s="4"/>
      <c r="M42" s="4"/>
      <c r="N42" s="4"/>
    </row>
    <row r="43" customFormat="false" ht="15" hidden="false" customHeight="false" outlineLevel="0" collapsed="false">
      <c r="A43" s="14" t="s">
        <v>270</v>
      </c>
      <c r="B43" s="14" t="s">
        <v>156</v>
      </c>
      <c r="C43" s="14" t="s">
        <v>150</v>
      </c>
      <c r="D43" s="14" t="s">
        <v>247</v>
      </c>
      <c r="E43" s="14" t="n">
        <v>1</v>
      </c>
      <c r="F43" s="15" t="n">
        <f aca="false">IF(Inputs!$B$35=18,1,0)</f>
        <v>0</v>
      </c>
      <c r="G43" s="15" t="str">
        <f aca="false">IF(F43=E43,"PASS","OPEN")</f>
        <v>OPEN</v>
      </c>
      <c r="H43" s="14" t="s">
        <v>215</v>
      </c>
      <c r="I43" s="4"/>
      <c r="J43" s="4"/>
      <c r="K43" s="4"/>
      <c r="L43" s="4"/>
      <c r="M43" s="4"/>
      <c r="N43" s="4"/>
    </row>
    <row r="44" customFormat="false" ht="15" hidden="false" customHeight="false" outlineLevel="0" collapsed="false">
      <c r="A44" s="14" t="s">
        <v>271</v>
      </c>
      <c r="B44" s="14" t="s">
        <v>156</v>
      </c>
      <c r="C44" s="14" t="s">
        <v>150</v>
      </c>
      <c r="D44" s="14" t="s">
        <v>249</v>
      </c>
      <c r="E44" s="14" t="n">
        <v>1</v>
      </c>
      <c r="F44" s="15" t="n">
        <f aca="false">0</f>
        <v>0</v>
      </c>
      <c r="G44" s="15" t="str">
        <f aca="false">IF(F44=E44,"PASS","OPEN")</f>
        <v>OPEN</v>
      </c>
      <c r="H44" s="14" t="s">
        <v>215</v>
      </c>
      <c r="I44" s="4"/>
      <c r="J44" s="4"/>
      <c r="K44" s="4"/>
      <c r="L44" s="4"/>
      <c r="M44" s="4"/>
      <c r="N44" s="4"/>
    </row>
    <row r="45" customFormat="false" ht="15" hidden="false" customHeight="false" outlineLevel="0" collapsed="false">
      <c r="A45" s="14" t="s">
        <v>272</v>
      </c>
      <c r="B45" s="14" t="s">
        <v>156</v>
      </c>
      <c r="C45" s="14" t="s">
        <v>150</v>
      </c>
      <c r="D45" s="14" t="s">
        <v>251</v>
      </c>
      <c r="E45" s="14" t="n">
        <v>1</v>
      </c>
      <c r="F45" s="15" t="n">
        <f aca="false">1</f>
        <v>1</v>
      </c>
      <c r="G45" s="15" t="str">
        <f aca="false">IF(F45=E45,"PASS","OPEN")</f>
        <v>PASS</v>
      </c>
      <c r="H45" s="14" t="s">
        <v>215</v>
      </c>
      <c r="I45" s="4"/>
      <c r="J45" s="4"/>
      <c r="K45" s="4"/>
      <c r="L45" s="4"/>
      <c r="M45" s="4"/>
      <c r="N45" s="4"/>
    </row>
    <row r="46" customFormat="false" ht="15" hidden="false" customHeight="false" outlineLevel="0" collapsed="false">
      <c r="A46" s="14" t="s">
        <v>273</v>
      </c>
      <c r="B46" s="14" t="s">
        <v>156</v>
      </c>
      <c r="C46" s="14" t="s">
        <v>150</v>
      </c>
      <c r="D46" s="14" t="s">
        <v>253</v>
      </c>
      <c r="E46" s="14" t="n">
        <v>1</v>
      </c>
      <c r="F46" s="15" t="n">
        <f aca="false">Inputs!$B$37</f>
        <v>0</v>
      </c>
      <c r="G46" s="15" t="str">
        <f aca="false">IF(F46=E46,"PASS","OPEN")</f>
        <v>OPEN</v>
      </c>
      <c r="H46" s="14" t="s">
        <v>215</v>
      </c>
      <c r="I46" s="4"/>
      <c r="J46" s="4"/>
      <c r="K46" s="4"/>
      <c r="L46" s="4"/>
      <c r="M46" s="4"/>
      <c r="N46" s="4"/>
    </row>
    <row r="47" customFormat="false" ht="15" hidden="false" customHeight="false" outlineLevel="0" collapsed="false">
      <c r="A47" s="14" t="s">
        <v>274</v>
      </c>
      <c r="B47" s="14" t="s">
        <v>160</v>
      </c>
      <c r="C47" s="14" t="s">
        <v>150</v>
      </c>
      <c r="D47" s="14" t="s">
        <v>214</v>
      </c>
      <c r="E47" s="14" t="n">
        <v>1</v>
      </c>
      <c r="F47" s="15" t="n">
        <f aca="false">1</f>
        <v>1</v>
      </c>
      <c r="G47" s="15" t="str">
        <f aca="false">IF(F47=E47,"PASS","OPEN")</f>
        <v>PASS</v>
      </c>
      <c r="H47" s="14" t="s">
        <v>215</v>
      </c>
      <c r="I47" s="4"/>
      <c r="J47" s="4"/>
      <c r="K47" s="4"/>
      <c r="L47" s="4"/>
      <c r="M47" s="4"/>
      <c r="N47" s="4"/>
    </row>
    <row r="48" customFormat="false" ht="15" hidden="false" customHeight="false" outlineLevel="0" collapsed="false">
      <c r="A48" s="14" t="s">
        <v>275</v>
      </c>
      <c r="B48" s="14" t="s">
        <v>160</v>
      </c>
      <c r="C48" s="14" t="s">
        <v>150</v>
      </c>
      <c r="D48" s="14" t="s">
        <v>217</v>
      </c>
      <c r="E48" s="14" t="n">
        <v>1</v>
      </c>
      <c r="F48" s="15" t="n">
        <f aca="false">1</f>
        <v>1</v>
      </c>
      <c r="G48" s="15" t="str">
        <f aca="false">IF(F48=E48,"PASS","OPEN")</f>
        <v>PASS</v>
      </c>
      <c r="H48" s="14" t="s">
        <v>215</v>
      </c>
      <c r="I48" s="4"/>
      <c r="J48" s="4"/>
      <c r="K48" s="4"/>
      <c r="L48" s="4"/>
      <c r="M48" s="4"/>
      <c r="N48" s="4"/>
    </row>
    <row r="49" customFormat="false" ht="15" hidden="false" customHeight="false" outlineLevel="0" collapsed="false">
      <c r="A49" s="14" t="s">
        <v>276</v>
      </c>
      <c r="B49" s="14" t="s">
        <v>160</v>
      </c>
      <c r="C49" s="14" t="s">
        <v>150</v>
      </c>
      <c r="D49" s="14" t="s">
        <v>219</v>
      </c>
      <c r="E49" s="14" t="n">
        <v>1</v>
      </c>
      <c r="F49" s="15" t="n">
        <f aca="false">IF('Site Dockets'!J9&lt;&gt;"",1,0)</f>
        <v>0</v>
      </c>
      <c r="G49" s="15" t="str">
        <f aca="false">IF(F49=E49,"PASS","OPEN")</f>
        <v>OPEN</v>
      </c>
      <c r="H49" s="14" t="s">
        <v>215</v>
      </c>
      <c r="I49" s="4"/>
      <c r="J49" s="4"/>
      <c r="K49" s="4"/>
      <c r="L49" s="4"/>
      <c r="M49" s="4"/>
      <c r="N49" s="4"/>
    </row>
    <row r="50" customFormat="false" ht="15" hidden="false" customHeight="false" outlineLevel="0" collapsed="false">
      <c r="A50" s="14" t="s">
        <v>277</v>
      </c>
      <c r="B50" s="14" t="s">
        <v>160</v>
      </c>
      <c r="C50" s="14" t="s">
        <v>150</v>
      </c>
      <c r="D50" s="14" t="s">
        <v>221</v>
      </c>
      <c r="E50" s="14" t="n">
        <v>1</v>
      </c>
      <c r="F50" s="15" t="n">
        <f aca="false">'Site Dockets'!N9</f>
        <v>0</v>
      </c>
      <c r="G50" s="15" t="str">
        <f aca="false">IF(F50=E50,"PASS","OPEN")</f>
        <v>OPEN</v>
      </c>
      <c r="H50" s="14" t="s">
        <v>215</v>
      </c>
      <c r="I50" s="4"/>
      <c r="J50" s="4"/>
      <c r="K50" s="4"/>
      <c r="L50" s="4"/>
      <c r="M50" s="4"/>
      <c r="N50" s="4"/>
    </row>
    <row r="51" customFormat="false" ht="15" hidden="false" customHeight="false" outlineLevel="0" collapsed="false">
      <c r="A51" s="14" t="s">
        <v>278</v>
      </c>
      <c r="B51" s="14" t="s">
        <v>160</v>
      </c>
      <c r="C51" s="14" t="s">
        <v>150</v>
      </c>
      <c r="D51" s="14" t="s">
        <v>143</v>
      </c>
      <c r="E51" s="14" t="n">
        <v>1</v>
      </c>
      <c r="F51" s="15" t="n">
        <f aca="false">'Site Dockets'!O9</f>
        <v>0</v>
      </c>
      <c r="G51" s="15" t="str">
        <f aca="false">IF(F51=E51,"PASS","OPEN")</f>
        <v>OPEN</v>
      </c>
      <c r="H51" s="14" t="s">
        <v>215</v>
      </c>
      <c r="I51" s="4"/>
      <c r="J51" s="4"/>
      <c r="K51" s="4"/>
      <c r="L51" s="4"/>
      <c r="M51" s="4"/>
      <c r="N51" s="4"/>
    </row>
    <row r="52" customFormat="false" ht="15" hidden="false" customHeight="false" outlineLevel="0" collapsed="false">
      <c r="A52" s="14" t="s">
        <v>279</v>
      </c>
      <c r="B52" s="14" t="s">
        <v>160</v>
      </c>
      <c r="C52" s="14" t="s">
        <v>150</v>
      </c>
      <c r="D52" s="14" t="s">
        <v>224</v>
      </c>
      <c r="E52" s="14" t="n">
        <v>1</v>
      </c>
      <c r="F52" s="15" t="n">
        <f aca="false">IF('Site Dockets'!L9&lt;&gt;"",1,0)</f>
        <v>0</v>
      </c>
      <c r="G52" s="15" t="str">
        <f aca="false">IF(F52=E52,"PASS","OPEN")</f>
        <v>OPEN</v>
      </c>
      <c r="H52" s="14" t="s">
        <v>215</v>
      </c>
      <c r="I52" s="4"/>
      <c r="J52" s="4"/>
      <c r="K52" s="4"/>
      <c r="L52" s="4"/>
      <c r="M52" s="4"/>
      <c r="N52" s="4"/>
    </row>
    <row r="53" customFormat="false" ht="15" hidden="false" customHeight="false" outlineLevel="0" collapsed="false">
      <c r="A53" s="14" t="s">
        <v>280</v>
      </c>
      <c r="B53" s="14" t="s">
        <v>160</v>
      </c>
      <c r="C53" s="14" t="s">
        <v>150</v>
      </c>
      <c r="D53" s="14" t="s">
        <v>226</v>
      </c>
      <c r="E53" s="14" t="n">
        <v>1</v>
      </c>
      <c r="F53" s="15" t="n">
        <f aca="false">IF('Site Dockets'!M9&lt;&gt;"",1,0)</f>
        <v>0</v>
      </c>
      <c r="G53" s="15" t="str">
        <f aca="false">IF(F53=E53,"PASS","OPEN")</f>
        <v>OPEN</v>
      </c>
      <c r="H53" s="14" t="s">
        <v>215</v>
      </c>
      <c r="I53" s="4"/>
      <c r="J53" s="4"/>
      <c r="K53" s="4"/>
      <c r="L53" s="4"/>
      <c r="M53" s="4"/>
      <c r="N53" s="4"/>
    </row>
    <row r="54" customFormat="false" ht="15" hidden="false" customHeight="false" outlineLevel="0" collapsed="false">
      <c r="A54" s="14" t="s">
        <v>281</v>
      </c>
      <c r="B54" s="14" t="s">
        <v>160</v>
      </c>
      <c r="C54" s="14" t="s">
        <v>150</v>
      </c>
      <c r="D54" s="14" t="s">
        <v>228</v>
      </c>
      <c r="E54" s="14" t="n">
        <v>1</v>
      </c>
      <c r="F54" s="15" t="n">
        <f aca="false">IF(COUNTIFS('Role Appointments'!$B$7:$B$102,B54,'Role Appointments'!$J$7:$J$102,"READY")=COUNTIFS('Role Appointments'!$B$7:$B$102,B54),1,0)</f>
        <v>0</v>
      </c>
      <c r="G54" s="15" t="str">
        <f aca="false">IF(F54=E54,"PASS","OPEN")</f>
        <v>OPEN</v>
      </c>
      <c r="H54" s="14" t="s">
        <v>215</v>
      </c>
      <c r="I54" s="4"/>
      <c r="J54" s="4"/>
      <c r="K54" s="4"/>
      <c r="L54" s="4"/>
      <c r="M54" s="4"/>
      <c r="N54" s="4"/>
    </row>
    <row r="55" customFormat="false" ht="15" hidden="false" customHeight="false" outlineLevel="0" collapsed="false">
      <c r="A55" s="14" t="s">
        <v>282</v>
      </c>
      <c r="B55" s="14" t="s">
        <v>160</v>
      </c>
      <c r="C55" s="14" t="s">
        <v>150</v>
      </c>
      <c r="D55" s="14" t="s">
        <v>230</v>
      </c>
      <c r="E55" s="14" t="n">
        <v>1</v>
      </c>
      <c r="F55" s="15" t="n">
        <f aca="false">IF(COUNTIFS('Key Custody'!$B$7:$B$84,B55,'Key Custody'!$J$7:$J$84,"READY")=COUNTIFS('Key Custody'!$B$7:$B$84,B55),1,0)</f>
        <v>0</v>
      </c>
      <c r="G55" s="15" t="str">
        <f aca="false">IF(F55=E55,"PASS","OPEN")</f>
        <v>OPEN</v>
      </c>
      <c r="H55" s="14" t="s">
        <v>215</v>
      </c>
      <c r="I55" s="4"/>
      <c r="J55" s="4"/>
      <c r="K55" s="4"/>
      <c r="L55" s="4"/>
      <c r="M55" s="4"/>
      <c r="N55" s="4"/>
    </row>
    <row r="56" customFormat="false" ht="15" hidden="false" customHeight="false" outlineLevel="0" collapsed="false">
      <c r="A56" s="14" t="s">
        <v>283</v>
      </c>
      <c r="B56" s="14" t="s">
        <v>160</v>
      </c>
      <c r="C56" s="14" t="s">
        <v>150</v>
      </c>
      <c r="D56" s="14" t="s">
        <v>232</v>
      </c>
      <c r="E56" s="14" t="n">
        <v>1</v>
      </c>
      <c r="F56" s="15" t="n">
        <f aca="false">IF(AND('Vendor Lots'!G15&lt;&gt;"",'Vendor Lots'!G16&lt;&gt;"",'Vendor Lots'!G17&lt;&gt;"",'Vendor Lots'!G18&lt;&gt;""),1,0)</f>
        <v>0</v>
      </c>
      <c r="G56" s="15" t="str">
        <f aca="false">IF(F56=E56,"PASS","OPEN")</f>
        <v>OPEN</v>
      </c>
      <c r="H56" s="14" t="s">
        <v>215</v>
      </c>
      <c r="I56" s="4"/>
      <c r="J56" s="4"/>
      <c r="K56" s="4"/>
      <c r="L56" s="4"/>
      <c r="M56" s="4"/>
      <c r="N56" s="4"/>
    </row>
    <row r="57" customFormat="false" ht="15" hidden="false" customHeight="false" outlineLevel="0" collapsed="false">
      <c r="A57" s="14" t="s">
        <v>284</v>
      </c>
      <c r="B57" s="14" t="s">
        <v>160</v>
      </c>
      <c r="C57" s="14" t="s">
        <v>150</v>
      </c>
      <c r="D57" s="14" t="s">
        <v>234</v>
      </c>
      <c r="E57" s="14" t="n">
        <v>1</v>
      </c>
      <c r="F57" s="15" t="n">
        <f aca="false">IF(AND('Vendor Lots'!I15&lt;&gt;"",'Vendor Lots'!I16&lt;&gt;"",'Vendor Lots'!I17&lt;&gt;"",'Vendor Lots'!I18&lt;&gt;""),1,0)</f>
        <v>0</v>
      </c>
      <c r="G57" s="15" t="str">
        <f aca="false">IF(F57=E57,"PASS","OPEN")</f>
        <v>OPEN</v>
      </c>
      <c r="H57" s="14" t="s">
        <v>215</v>
      </c>
      <c r="I57" s="4"/>
      <c r="J57" s="4"/>
      <c r="K57" s="4"/>
      <c r="L57" s="4"/>
      <c r="M57" s="4"/>
      <c r="N57" s="4"/>
    </row>
    <row r="58" customFormat="false" ht="15" hidden="false" customHeight="false" outlineLevel="0" collapsed="false">
      <c r="A58" s="14" t="s">
        <v>285</v>
      </c>
      <c r="B58" s="14" t="s">
        <v>160</v>
      </c>
      <c r="C58" s="14" t="s">
        <v>150</v>
      </c>
      <c r="D58" s="14" t="s">
        <v>236</v>
      </c>
      <c r="E58" s="14" t="n">
        <v>1</v>
      </c>
      <c r="F58" s="15" t="n">
        <f aca="false">IF(AND('Vendor Lots'!G15&lt;&gt;"",'Vendor Lots'!G16&lt;&gt;"",'Vendor Lots'!G17&lt;&gt;"",'Vendor Lots'!G18&lt;&gt;"",SUM('Vendor Lots'!K15:K18)=0),1,0)</f>
        <v>0</v>
      </c>
      <c r="G58" s="15" t="str">
        <f aca="false">IF(F58=E58,"PASS","OPEN")</f>
        <v>OPEN</v>
      </c>
      <c r="H58" s="14" t="s">
        <v>237</v>
      </c>
      <c r="I58" s="4"/>
      <c r="J58" s="4"/>
      <c r="K58" s="4"/>
      <c r="L58" s="4"/>
      <c r="M58" s="4"/>
      <c r="N58" s="4"/>
    </row>
    <row r="59" customFormat="false" ht="15" hidden="false" customHeight="false" outlineLevel="0" collapsed="false">
      <c r="A59" s="14" t="s">
        <v>286</v>
      </c>
      <c r="B59" s="14" t="s">
        <v>160</v>
      </c>
      <c r="C59" s="14" t="s">
        <v>150</v>
      </c>
      <c r="D59" s="14" t="s">
        <v>145</v>
      </c>
      <c r="E59" s="14" t="n">
        <v>1</v>
      </c>
      <c r="F59" s="15" t="n">
        <f aca="false">'Site Dockets'!Q9</f>
        <v>0</v>
      </c>
      <c r="G59" s="15" t="str">
        <f aca="false">IF(F59=E59,"PASS","OPEN")</f>
        <v>OPEN</v>
      </c>
      <c r="H59" s="14" t="s">
        <v>215</v>
      </c>
      <c r="I59" s="4"/>
      <c r="J59" s="4"/>
      <c r="K59" s="4"/>
      <c r="L59" s="4"/>
      <c r="M59" s="4"/>
      <c r="N59" s="4"/>
    </row>
    <row r="60" customFormat="false" ht="15" hidden="false" customHeight="false" outlineLevel="0" collapsed="false">
      <c r="A60" s="14" t="s">
        <v>287</v>
      </c>
      <c r="B60" s="14" t="s">
        <v>160</v>
      </c>
      <c r="C60" s="14" t="s">
        <v>150</v>
      </c>
      <c r="D60" s="14" t="s">
        <v>240</v>
      </c>
      <c r="E60" s="14" t="n">
        <v>1</v>
      </c>
      <c r="F60" s="15" t="n">
        <f aca="false">1</f>
        <v>1</v>
      </c>
      <c r="G60" s="15" t="str">
        <f aca="false">IF(F60=E60,"PASS","OPEN")</f>
        <v>PASS</v>
      </c>
      <c r="H60" s="14" t="s">
        <v>215</v>
      </c>
      <c r="I60" s="4"/>
      <c r="J60" s="4"/>
      <c r="K60" s="4"/>
      <c r="L60" s="4"/>
      <c r="M60" s="4"/>
      <c r="N60" s="4"/>
    </row>
    <row r="61" customFormat="false" ht="15" hidden="false" customHeight="false" outlineLevel="0" collapsed="false">
      <c r="A61" s="14" t="s">
        <v>288</v>
      </c>
      <c r="B61" s="14" t="s">
        <v>160</v>
      </c>
      <c r="C61" s="14" t="s">
        <v>150</v>
      </c>
      <c r="D61" s="14" t="s">
        <v>242</v>
      </c>
      <c r="E61" s="14" t="n">
        <v>1</v>
      </c>
      <c r="F61" s="15" t="n">
        <f aca="false">IF(COUNTIFS('Failure Worlds'!$J$7:$J$36,"PASS")=Inputs!$B$16,1,0)</f>
        <v>1</v>
      </c>
      <c r="G61" s="15" t="str">
        <f aca="false">IF(F61=E61,"PASS","OPEN")</f>
        <v>PASS</v>
      </c>
      <c r="H61" s="14" t="s">
        <v>243</v>
      </c>
      <c r="I61" s="4"/>
      <c r="J61" s="4"/>
      <c r="K61" s="4"/>
      <c r="L61" s="4"/>
      <c r="M61" s="4"/>
      <c r="N61" s="4"/>
    </row>
    <row r="62" customFormat="false" ht="15" hidden="false" customHeight="false" outlineLevel="0" collapsed="false">
      <c r="A62" s="14" t="s">
        <v>289</v>
      </c>
      <c r="B62" s="14" t="s">
        <v>160</v>
      </c>
      <c r="C62" s="14" t="s">
        <v>150</v>
      </c>
      <c r="D62" s="14" t="s">
        <v>245</v>
      </c>
      <c r="E62" s="14" t="n">
        <v>1</v>
      </c>
      <c r="F62" s="15" t="n">
        <f aca="false">IF(COUNTIFS('Recovery Clocks'!$J$7:$J$186,"PASS")=180,1,0)</f>
        <v>0</v>
      </c>
      <c r="G62" s="15" t="str">
        <f aca="false">IF(F62=E62,"PASS","OPEN")</f>
        <v>OPEN</v>
      </c>
      <c r="H62" s="14" t="s">
        <v>215</v>
      </c>
      <c r="I62" s="4"/>
      <c r="J62" s="4"/>
      <c r="K62" s="4"/>
      <c r="L62" s="4"/>
      <c r="M62" s="4"/>
      <c r="N62" s="4"/>
    </row>
    <row r="63" customFormat="false" ht="15" hidden="false" customHeight="false" outlineLevel="0" collapsed="false">
      <c r="A63" s="14" t="s">
        <v>290</v>
      </c>
      <c r="B63" s="14" t="s">
        <v>160</v>
      </c>
      <c r="C63" s="14" t="s">
        <v>150</v>
      </c>
      <c r="D63" s="14" t="s">
        <v>247</v>
      </c>
      <c r="E63" s="14" t="n">
        <v>1</v>
      </c>
      <c r="F63" s="15" t="n">
        <f aca="false">IF(Inputs!$B$35=18,1,0)</f>
        <v>0</v>
      </c>
      <c r="G63" s="15" t="str">
        <f aca="false">IF(F63=E63,"PASS","OPEN")</f>
        <v>OPEN</v>
      </c>
      <c r="H63" s="14" t="s">
        <v>215</v>
      </c>
      <c r="I63" s="4"/>
      <c r="J63" s="4"/>
      <c r="K63" s="4"/>
      <c r="L63" s="4"/>
      <c r="M63" s="4"/>
      <c r="N63" s="4"/>
    </row>
    <row r="64" customFormat="false" ht="15" hidden="false" customHeight="false" outlineLevel="0" collapsed="false">
      <c r="A64" s="14" t="s">
        <v>291</v>
      </c>
      <c r="B64" s="14" t="s">
        <v>160</v>
      </c>
      <c r="C64" s="14" t="s">
        <v>150</v>
      </c>
      <c r="D64" s="14" t="s">
        <v>249</v>
      </c>
      <c r="E64" s="14" t="n">
        <v>1</v>
      </c>
      <c r="F64" s="15" t="n">
        <f aca="false">0</f>
        <v>0</v>
      </c>
      <c r="G64" s="15" t="str">
        <f aca="false">IF(F64=E64,"PASS","OPEN")</f>
        <v>OPEN</v>
      </c>
      <c r="H64" s="14" t="s">
        <v>215</v>
      </c>
      <c r="I64" s="4"/>
      <c r="J64" s="4"/>
      <c r="K64" s="4"/>
      <c r="L64" s="4"/>
      <c r="M64" s="4"/>
      <c r="N64" s="4"/>
    </row>
    <row r="65" customFormat="false" ht="15" hidden="false" customHeight="false" outlineLevel="0" collapsed="false">
      <c r="A65" s="14" t="s">
        <v>292</v>
      </c>
      <c r="B65" s="14" t="s">
        <v>160</v>
      </c>
      <c r="C65" s="14" t="s">
        <v>150</v>
      </c>
      <c r="D65" s="14" t="s">
        <v>251</v>
      </c>
      <c r="E65" s="14" t="n">
        <v>1</v>
      </c>
      <c r="F65" s="15" t="n">
        <f aca="false">1</f>
        <v>1</v>
      </c>
      <c r="G65" s="15" t="str">
        <f aca="false">IF(F65=E65,"PASS","OPEN")</f>
        <v>PASS</v>
      </c>
      <c r="H65" s="14" t="s">
        <v>215</v>
      </c>
      <c r="I65" s="4"/>
      <c r="J65" s="4"/>
      <c r="K65" s="4"/>
      <c r="L65" s="4"/>
      <c r="M65" s="4"/>
      <c r="N65" s="4"/>
    </row>
    <row r="66" customFormat="false" ht="15" hidden="false" customHeight="false" outlineLevel="0" collapsed="false">
      <c r="A66" s="14" t="s">
        <v>293</v>
      </c>
      <c r="B66" s="14" t="s">
        <v>160</v>
      </c>
      <c r="C66" s="14" t="s">
        <v>150</v>
      </c>
      <c r="D66" s="14" t="s">
        <v>253</v>
      </c>
      <c r="E66" s="14" t="n">
        <v>1</v>
      </c>
      <c r="F66" s="15" t="n">
        <f aca="false">Inputs!$B$37</f>
        <v>0</v>
      </c>
      <c r="G66" s="15" t="str">
        <f aca="false">IF(F66=E66,"PASS","OPEN")</f>
        <v>OPEN</v>
      </c>
      <c r="H66" s="14" t="s">
        <v>215</v>
      </c>
      <c r="I66" s="4"/>
      <c r="J66" s="4"/>
      <c r="K66" s="4"/>
      <c r="L66" s="4"/>
      <c r="M66" s="4"/>
      <c r="N66" s="4"/>
    </row>
    <row r="67" customFormat="false" ht="15" hidden="false" customHeight="false" outlineLevel="0" collapsed="false">
      <c r="A67" s="14" t="s">
        <v>294</v>
      </c>
      <c r="B67" s="14" t="s">
        <v>163</v>
      </c>
      <c r="C67" s="14" t="s">
        <v>164</v>
      </c>
      <c r="D67" s="14" t="s">
        <v>214</v>
      </c>
      <c r="E67" s="14" t="n">
        <v>1</v>
      </c>
      <c r="F67" s="15" t="n">
        <f aca="false">1</f>
        <v>1</v>
      </c>
      <c r="G67" s="15" t="str">
        <f aca="false">IF(F67=E67,"PASS","OPEN")</f>
        <v>PASS</v>
      </c>
      <c r="H67" s="14" t="s">
        <v>215</v>
      </c>
      <c r="I67" s="4"/>
      <c r="J67" s="4"/>
      <c r="K67" s="4"/>
      <c r="L67" s="4"/>
      <c r="M67" s="4"/>
      <c r="N67" s="4"/>
    </row>
    <row r="68" customFormat="false" ht="15" hidden="false" customHeight="false" outlineLevel="0" collapsed="false">
      <c r="A68" s="14" t="s">
        <v>295</v>
      </c>
      <c r="B68" s="14" t="s">
        <v>163</v>
      </c>
      <c r="C68" s="14" t="s">
        <v>164</v>
      </c>
      <c r="D68" s="14" t="s">
        <v>217</v>
      </c>
      <c r="E68" s="14" t="n">
        <v>1</v>
      </c>
      <c r="F68" s="15" t="n">
        <f aca="false">1</f>
        <v>1</v>
      </c>
      <c r="G68" s="15" t="str">
        <f aca="false">IF(F68=E68,"PASS","OPEN")</f>
        <v>PASS</v>
      </c>
      <c r="H68" s="14" t="s">
        <v>215</v>
      </c>
      <c r="I68" s="4"/>
      <c r="J68" s="4"/>
      <c r="K68" s="4"/>
      <c r="L68" s="4"/>
      <c r="M68" s="4"/>
      <c r="N68" s="4"/>
    </row>
    <row r="69" customFormat="false" ht="15" hidden="false" customHeight="false" outlineLevel="0" collapsed="false">
      <c r="A69" s="14" t="s">
        <v>296</v>
      </c>
      <c r="B69" s="14" t="s">
        <v>163</v>
      </c>
      <c r="C69" s="14" t="s">
        <v>164</v>
      </c>
      <c r="D69" s="14" t="s">
        <v>219</v>
      </c>
      <c r="E69" s="14" t="n">
        <v>1</v>
      </c>
      <c r="F69" s="15" t="n">
        <f aca="false">IF('Site Dockets'!J10&lt;&gt;"",1,0)</f>
        <v>0</v>
      </c>
      <c r="G69" s="15" t="str">
        <f aca="false">IF(F69=E69,"PASS","OPEN")</f>
        <v>OPEN</v>
      </c>
      <c r="H69" s="14" t="s">
        <v>215</v>
      </c>
      <c r="I69" s="4"/>
      <c r="J69" s="4"/>
      <c r="K69" s="4"/>
      <c r="L69" s="4"/>
      <c r="M69" s="4"/>
      <c r="N69" s="4"/>
    </row>
    <row r="70" customFormat="false" ht="15" hidden="false" customHeight="false" outlineLevel="0" collapsed="false">
      <c r="A70" s="14" t="s">
        <v>297</v>
      </c>
      <c r="B70" s="14" t="s">
        <v>163</v>
      </c>
      <c r="C70" s="14" t="s">
        <v>164</v>
      </c>
      <c r="D70" s="14" t="s">
        <v>221</v>
      </c>
      <c r="E70" s="14" t="n">
        <v>1</v>
      </c>
      <c r="F70" s="15" t="n">
        <f aca="false">'Site Dockets'!N10</f>
        <v>0</v>
      </c>
      <c r="G70" s="15" t="str">
        <f aca="false">IF(F70=E70,"PASS","OPEN")</f>
        <v>OPEN</v>
      </c>
      <c r="H70" s="14" t="s">
        <v>215</v>
      </c>
      <c r="I70" s="4"/>
      <c r="J70" s="4"/>
      <c r="K70" s="4"/>
      <c r="L70" s="4"/>
      <c r="M70" s="4"/>
      <c r="N70" s="4"/>
    </row>
    <row r="71" customFormat="false" ht="15" hidden="false" customHeight="false" outlineLevel="0" collapsed="false">
      <c r="A71" s="14" t="s">
        <v>298</v>
      </c>
      <c r="B71" s="14" t="s">
        <v>163</v>
      </c>
      <c r="C71" s="14" t="s">
        <v>164</v>
      </c>
      <c r="D71" s="14" t="s">
        <v>143</v>
      </c>
      <c r="E71" s="14" t="n">
        <v>1</v>
      </c>
      <c r="F71" s="15" t="n">
        <f aca="false">'Site Dockets'!O10</f>
        <v>0</v>
      </c>
      <c r="G71" s="15" t="str">
        <f aca="false">IF(F71=E71,"PASS","OPEN")</f>
        <v>OPEN</v>
      </c>
      <c r="H71" s="14" t="s">
        <v>215</v>
      </c>
      <c r="I71" s="4"/>
      <c r="J71" s="4"/>
      <c r="K71" s="4"/>
      <c r="L71" s="4"/>
      <c r="M71" s="4"/>
      <c r="N71" s="4"/>
    </row>
    <row r="72" customFormat="false" ht="15" hidden="false" customHeight="false" outlineLevel="0" collapsed="false">
      <c r="A72" s="14" t="s">
        <v>299</v>
      </c>
      <c r="B72" s="14" t="s">
        <v>163</v>
      </c>
      <c r="C72" s="14" t="s">
        <v>164</v>
      </c>
      <c r="D72" s="14" t="s">
        <v>224</v>
      </c>
      <c r="E72" s="14" t="n">
        <v>1</v>
      </c>
      <c r="F72" s="15" t="n">
        <f aca="false">IF('Site Dockets'!L10&lt;&gt;"",1,0)</f>
        <v>0</v>
      </c>
      <c r="G72" s="15" t="str">
        <f aca="false">IF(F72=E72,"PASS","OPEN")</f>
        <v>OPEN</v>
      </c>
      <c r="H72" s="14" t="s">
        <v>215</v>
      </c>
      <c r="I72" s="4"/>
      <c r="J72" s="4"/>
      <c r="K72" s="4"/>
      <c r="L72" s="4"/>
      <c r="M72" s="4"/>
      <c r="N72" s="4"/>
    </row>
    <row r="73" customFormat="false" ht="15" hidden="false" customHeight="false" outlineLevel="0" collapsed="false">
      <c r="A73" s="14" t="s">
        <v>300</v>
      </c>
      <c r="B73" s="14" t="s">
        <v>163</v>
      </c>
      <c r="C73" s="14" t="s">
        <v>164</v>
      </c>
      <c r="D73" s="14" t="s">
        <v>226</v>
      </c>
      <c r="E73" s="14" t="n">
        <v>1</v>
      </c>
      <c r="F73" s="15" t="n">
        <f aca="false">IF('Site Dockets'!M10&lt;&gt;"",1,0)</f>
        <v>0</v>
      </c>
      <c r="G73" s="15" t="str">
        <f aca="false">IF(F73=E73,"PASS","OPEN")</f>
        <v>OPEN</v>
      </c>
      <c r="H73" s="14" t="s">
        <v>215</v>
      </c>
      <c r="I73" s="4"/>
      <c r="J73" s="4"/>
      <c r="K73" s="4"/>
      <c r="L73" s="4"/>
      <c r="M73" s="4"/>
      <c r="N73" s="4"/>
    </row>
    <row r="74" customFormat="false" ht="15" hidden="false" customHeight="false" outlineLevel="0" collapsed="false">
      <c r="A74" s="14" t="s">
        <v>301</v>
      </c>
      <c r="B74" s="14" t="s">
        <v>163</v>
      </c>
      <c r="C74" s="14" t="s">
        <v>164</v>
      </c>
      <c r="D74" s="14" t="s">
        <v>228</v>
      </c>
      <c r="E74" s="14" t="n">
        <v>1</v>
      </c>
      <c r="F74" s="15" t="n">
        <f aca="false">IF(COUNTIFS('Role Appointments'!$B$7:$B$102,B74,'Role Appointments'!$J$7:$J$102,"READY")=COUNTIFS('Role Appointments'!$B$7:$B$102,B74),1,0)</f>
        <v>0</v>
      </c>
      <c r="G74" s="15" t="str">
        <f aca="false">IF(F74=E74,"PASS","OPEN")</f>
        <v>OPEN</v>
      </c>
      <c r="H74" s="14" t="s">
        <v>215</v>
      </c>
      <c r="I74" s="4"/>
      <c r="J74" s="4"/>
      <c r="K74" s="4"/>
      <c r="L74" s="4"/>
      <c r="M74" s="4"/>
      <c r="N74" s="4"/>
    </row>
    <row r="75" customFormat="false" ht="15" hidden="false" customHeight="false" outlineLevel="0" collapsed="false">
      <c r="A75" s="14" t="s">
        <v>302</v>
      </c>
      <c r="B75" s="14" t="s">
        <v>163</v>
      </c>
      <c r="C75" s="14" t="s">
        <v>164</v>
      </c>
      <c r="D75" s="14" t="s">
        <v>230</v>
      </c>
      <c r="E75" s="14" t="n">
        <v>1</v>
      </c>
      <c r="F75" s="15" t="n">
        <f aca="false">IF(COUNTIFS('Key Custody'!$B$7:$B$84,B75,'Key Custody'!$J$7:$J$84,"READY")=COUNTIFS('Key Custody'!$B$7:$B$84,B75),1,0)</f>
        <v>0</v>
      </c>
      <c r="G75" s="15" t="str">
        <f aca="false">IF(F75=E75,"PASS","OPEN")</f>
        <v>OPEN</v>
      </c>
      <c r="H75" s="14" t="s">
        <v>215</v>
      </c>
      <c r="I75" s="4"/>
      <c r="J75" s="4"/>
      <c r="K75" s="4"/>
      <c r="L75" s="4"/>
      <c r="M75" s="4"/>
      <c r="N75" s="4"/>
    </row>
    <row r="76" customFormat="false" ht="15" hidden="false" customHeight="false" outlineLevel="0" collapsed="false">
      <c r="A76" s="14" t="s">
        <v>303</v>
      </c>
      <c r="B76" s="14" t="s">
        <v>163</v>
      </c>
      <c r="C76" s="14" t="s">
        <v>164</v>
      </c>
      <c r="D76" s="14" t="s">
        <v>232</v>
      </c>
      <c r="E76" s="14" t="n">
        <v>1</v>
      </c>
      <c r="F76" s="15" t="n">
        <f aca="false">IF(AND('Vendor Lots'!G19&lt;&gt;"",'Vendor Lots'!G20&lt;&gt;"",'Vendor Lots'!G21&lt;&gt;"",'Vendor Lots'!G22&lt;&gt;""),1,0)</f>
        <v>0</v>
      </c>
      <c r="G76" s="15" t="str">
        <f aca="false">IF(F76=E76,"PASS","OPEN")</f>
        <v>OPEN</v>
      </c>
      <c r="H76" s="14" t="s">
        <v>215</v>
      </c>
      <c r="I76" s="4"/>
      <c r="J76" s="4"/>
      <c r="K76" s="4"/>
      <c r="L76" s="4"/>
      <c r="M76" s="4"/>
      <c r="N76" s="4"/>
    </row>
    <row r="77" customFormat="false" ht="15" hidden="false" customHeight="false" outlineLevel="0" collapsed="false">
      <c r="A77" s="14" t="s">
        <v>304</v>
      </c>
      <c r="B77" s="14" t="s">
        <v>163</v>
      </c>
      <c r="C77" s="14" t="s">
        <v>164</v>
      </c>
      <c r="D77" s="14" t="s">
        <v>234</v>
      </c>
      <c r="E77" s="14" t="n">
        <v>1</v>
      </c>
      <c r="F77" s="15" t="n">
        <f aca="false">IF(AND('Vendor Lots'!I19&lt;&gt;"",'Vendor Lots'!I20&lt;&gt;"",'Vendor Lots'!I21&lt;&gt;"",'Vendor Lots'!I22&lt;&gt;""),1,0)</f>
        <v>0</v>
      </c>
      <c r="G77" s="15" t="str">
        <f aca="false">IF(F77=E77,"PASS","OPEN")</f>
        <v>OPEN</v>
      </c>
      <c r="H77" s="14" t="s">
        <v>215</v>
      </c>
      <c r="I77" s="4"/>
      <c r="J77" s="4"/>
      <c r="K77" s="4"/>
      <c r="L77" s="4"/>
      <c r="M77" s="4"/>
      <c r="N77" s="4"/>
    </row>
    <row r="78" customFormat="false" ht="15" hidden="false" customHeight="false" outlineLevel="0" collapsed="false">
      <c r="A78" s="14" t="s">
        <v>305</v>
      </c>
      <c r="B78" s="14" t="s">
        <v>163</v>
      </c>
      <c r="C78" s="14" t="s">
        <v>164</v>
      </c>
      <c r="D78" s="14" t="s">
        <v>236</v>
      </c>
      <c r="E78" s="14" t="n">
        <v>1</v>
      </c>
      <c r="F78" s="15" t="n">
        <f aca="false">IF(AND('Vendor Lots'!G19&lt;&gt;"",'Vendor Lots'!G20&lt;&gt;"",'Vendor Lots'!G21&lt;&gt;"",'Vendor Lots'!G22&lt;&gt;"",SUM('Vendor Lots'!K19:K22)=0),1,0)</f>
        <v>0</v>
      </c>
      <c r="G78" s="15" t="str">
        <f aca="false">IF(F78=E78,"PASS","OPEN")</f>
        <v>OPEN</v>
      </c>
      <c r="H78" s="14" t="s">
        <v>237</v>
      </c>
      <c r="I78" s="4"/>
      <c r="J78" s="4"/>
      <c r="K78" s="4"/>
      <c r="L78" s="4"/>
      <c r="M78" s="4"/>
      <c r="N78" s="4"/>
    </row>
    <row r="79" customFormat="false" ht="15" hidden="false" customHeight="false" outlineLevel="0" collapsed="false">
      <c r="A79" s="14" t="s">
        <v>306</v>
      </c>
      <c r="B79" s="14" t="s">
        <v>163</v>
      </c>
      <c r="C79" s="14" t="s">
        <v>164</v>
      </c>
      <c r="D79" s="14" t="s">
        <v>145</v>
      </c>
      <c r="E79" s="14" t="n">
        <v>1</v>
      </c>
      <c r="F79" s="15" t="n">
        <f aca="false">'Site Dockets'!Q10</f>
        <v>0</v>
      </c>
      <c r="G79" s="15" t="str">
        <f aca="false">IF(F79=E79,"PASS","OPEN")</f>
        <v>OPEN</v>
      </c>
      <c r="H79" s="14" t="s">
        <v>215</v>
      </c>
      <c r="I79" s="4"/>
      <c r="J79" s="4"/>
      <c r="K79" s="4"/>
      <c r="L79" s="4"/>
      <c r="M79" s="4"/>
      <c r="N79" s="4"/>
    </row>
    <row r="80" customFormat="false" ht="15" hidden="false" customHeight="false" outlineLevel="0" collapsed="false">
      <c r="A80" s="14" t="s">
        <v>307</v>
      </c>
      <c r="B80" s="14" t="s">
        <v>163</v>
      </c>
      <c r="C80" s="14" t="s">
        <v>164</v>
      </c>
      <c r="D80" s="14" t="s">
        <v>240</v>
      </c>
      <c r="E80" s="14" t="n">
        <v>1</v>
      </c>
      <c r="F80" s="15" t="n">
        <f aca="false">1</f>
        <v>1</v>
      </c>
      <c r="G80" s="15" t="str">
        <f aca="false">IF(F80=E80,"PASS","OPEN")</f>
        <v>PASS</v>
      </c>
      <c r="H80" s="14" t="s">
        <v>215</v>
      </c>
      <c r="I80" s="4"/>
      <c r="J80" s="4"/>
      <c r="K80" s="4"/>
      <c r="L80" s="4"/>
      <c r="M80" s="4"/>
      <c r="N80" s="4"/>
    </row>
    <row r="81" customFormat="false" ht="15" hidden="false" customHeight="false" outlineLevel="0" collapsed="false">
      <c r="A81" s="14" t="s">
        <v>308</v>
      </c>
      <c r="B81" s="14" t="s">
        <v>163</v>
      </c>
      <c r="C81" s="14" t="s">
        <v>164</v>
      </c>
      <c r="D81" s="14" t="s">
        <v>242</v>
      </c>
      <c r="E81" s="14" t="n">
        <v>1</v>
      </c>
      <c r="F81" s="15" t="n">
        <f aca="false">IF(COUNTIFS('Failure Worlds'!$J$7:$J$36,"PASS")=Inputs!$B$16,1,0)</f>
        <v>1</v>
      </c>
      <c r="G81" s="15" t="str">
        <f aca="false">IF(F81=E81,"PASS","OPEN")</f>
        <v>PASS</v>
      </c>
      <c r="H81" s="14" t="s">
        <v>243</v>
      </c>
      <c r="I81" s="4"/>
      <c r="J81" s="4"/>
      <c r="K81" s="4"/>
      <c r="L81" s="4"/>
      <c r="M81" s="4"/>
      <c r="N81" s="4"/>
    </row>
    <row r="82" customFormat="false" ht="15" hidden="false" customHeight="false" outlineLevel="0" collapsed="false">
      <c r="A82" s="14" t="s">
        <v>309</v>
      </c>
      <c r="B82" s="14" t="s">
        <v>163</v>
      </c>
      <c r="C82" s="14" t="s">
        <v>164</v>
      </c>
      <c r="D82" s="14" t="s">
        <v>245</v>
      </c>
      <c r="E82" s="14" t="n">
        <v>1</v>
      </c>
      <c r="F82" s="15" t="n">
        <f aca="false">IF(COUNTIFS('Recovery Clocks'!$J$7:$J$186,"PASS")=180,1,0)</f>
        <v>0</v>
      </c>
      <c r="G82" s="15" t="str">
        <f aca="false">IF(F82=E82,"PASS","OPEN")</f>
        <v>OPEN</v>
      </c>
      <c r="H82" s="14" t="s">
        <v>215</v>
      </c>
      <c r="I82" s="4"/>
      <c r="J82" s="4"/>
      <c r="K82" s="4"/>
      <c r="L82" s="4"/>
      <c r="M82" s="4"/>
      <c r="N82" s="4"/>
    </row>
    <row r="83" customFormat="false" ht="15" hidden="false" customHeight="false" outlineLevel="0" collapsed="false">
      <c r="A83" s="14" t="s">
        <v>310</v>
      </c>
      <c r="B83" s="14" t="s">
        <v>163</v>
      </c>
      <c r="C83" s="14" t="s">
        <v>164</v>
      </c>
      <c r="D83" s="14" t="s">
        <v>247</v>
      </c>
      <c r="E83" s="14" t="n">
        <v>1</v>
      </c>
      <c r="F83" s="15" t="n">
        <f aca="false">IF(Inputs!$B$35=18,1,0)</f>
        <v>0</v>
      </c>
      <c r="G83" s="15" t="str">
        <f aca="false">IF(F83=E83,"PASS","OPEN")</f>
        <v>OPEN</v>
      </c>
      <c r="H83" s="14" t="s">
        <v>215</v>
      </c>
      <c r="I83" s="4"/>
      <c r="J83" s="4"/>
      <c r="K83" s="4"/>
      <c r="L83" s="4"/>
      <c r="M83" s="4"/>
      <c r="N83" s="4"/>
    </row>
    <row r="84" customFormat="false" ht="15" hidden="false" customHeight="false" outlineLevel="0" collapsed="false">
      <c r="A84" s="14" t="s">
        <v>311</v>
      </c>
      <c r="B84" s="14" t="s">
        <v>163</v>
      </c>
      <c r="C84" s="14" t="s">
        <v>164</v>
      </c>
      <c r="D84" s="14" t="s">
        <v>249</v>
      </c>
      <c r="E84" s="14" t="n">
        <v>1</v>
      </c>
      <c r="F84" s="15" t="n">
        <f aca="false">0</f>
        <v>0</v>
      </c>
      <c r="G84" s="15" t="str">
        <f aca="false">IF(F84=E84,"PASS","OPEN")</f>
        <v>OPEN</v>
      </c>
      <c r="H84" s="14" t="s">
        <v>215</v>
      </c>
      <c r="I84" s="4"/>
      <c r="J84" s="4"/>
      <c r="K84" s="4"/>
      <c r="L84" s="4"/>
      <c r="M84" s="4"/>
      <c r="N84" s="4"/>
    </row>
    <row r="85" customFormat="false" ht="15" hidden="false" customHeight="false" outlineLevel="0" collapsed="false">
      <c r="A85" s="14" t="s">
        <v>312</v>
      </c>
      <c r="B85" s="14" t="s">
        <v>163</v>
      </c>
      <c r="C85" s="14" t="s">
        <v>164</v>
      </c>
      <c r="D85" s="14" t="s">
        <v>251</v>
      </c>
      <c r="E85" s="14" t="n">
        <v>1</v>
      </c>
      <c r="F85" s="15" t="n">
        <f aca="false">1</f>
        <v>1</v>
      </c>
      <c r="G85" s="15" t="str">
        <f aca="false">IF(F85=E85,"PASS","OPEN")</f>
        <v>PASS</v>
      </c>
      <c r="H85" s="14" t="s">
        <v>215</v>
      </c>
      <c r="I85" s="4"/>
      <c r="J85" s="4"/>
      <c r="K85" s="4"/>
      <c r="L85" s="4"/>
      <c r="M85" s="4"/>
      <c r="N85" s="4"/>
    </row>
    <row r="86" customFormat="false" ht="15" hidden="false" customHeight="false" outlineLevel="0" collapsed="false">
      <c r="A86" s="14" t="s">
        <v>313</v>
      </c>
      <c r="B86" s="14" t="s">
        <v>163</v>
      </c>
      <c r="C86" s="14" t="s">
        <v>164</v>
      </c>
      <c r="D86" s="14" t="s">
        <v>253</v>
      </c>
      <c r="E86" s="14" t="n">
        <v>1</v>
      </c>
      <c r="F86" s="15" t="n">
        <f aca="false">Inputs!$B$37</f>
        <v>0</v>
      </c>
      <c r="G86" s="15" t="str">
        <f aca="false">IF(F86=E86,"PASS","OPEN")</f>
        <v>OPEN</v>
      </c>
      <c r="H86" s="14" t="s">
        <v>215</v>
      </c>
      <c r="I86" s="4"/>
      <c r="J86" s="4"/>
      <c r="K86" s="4"/>
      <c r="L86" s="4"/>
      <c r="M86" s="4"/>
      <c r="N86" s="4"/>
    </row>
    <row r="87" customFormat="false" ht="15" hidden="false" customHeight="false" outlineLevel="0" collapsed="false">
      <c r="A87" s="14" t="s">
        <v>314</v>
      </c>
      <c r="B87" s="14" t="s">
        <v>168</v>
      </c>
      <c r="C87" s="14" t="s">
        <v>164</v>
      </c>
      <c r="D87" s="14" t="s">
        <v>214</v>
      </c>
      <c r="E87" s="14" t="n">
        <v>1</v>
      </c>
      <c r="F87" s="15" t="n">
        <f aca="false">1</f>
        <v>1</v>
      </c>
      <c r="G87" s="15" t="str">
        <f aca="false">IF(F87=E87,"PASS","OPEN")</f>
        <v>PASS</v>
      </c>
      <c r="H87" s="14" t="s">
        <v>215</v>
      </c>
      <c r="I87" s="4"/>
      <c r="J87" s="4"/>
      <c r="K87" s="4"/>
      <c r="L87" s="4"/>
      <c r="M87" s="4"/>
      <c r="N87" s="4"/>
    </row>
    <row r="88" customFormat="false" ht="15" hidden="false" customHeight="false" outlineLevel="0" collapsed="false">
      <c r="A88" s="14" t="s">
        <v>315</v>
      </c>
      <c r="B88" s="14" t="s">
        <v>168</v>
      </c>
      <c r="C88" s="14" t="s">
        <v>164</v>
      </c>
      <c r="D88" s="14" t="s">
        <v>217</v>
      </c>
      <c r="E88" s="14" t="n">
        <v>1</v>
      </c>
      <c r="F88" s="15" t="n">
        <f aca="false">1</f>
        <v>1</v>
      </c>
      <c r="G88" s="15" t="str">
        <f aca="false">IF(F88=E88,"PASS","OPEN")</f>
        <v>PASS</v>
      </c>
      <c r="H88" s="14" t="s">
        <v>215</v>
      </c>
      <c r="I88" s="4"/>
      <c r="J88" s="4"/>
      <c r="K88" s="4"/>
      <c r="L88" s="4"/>
      <c r="M88" s="4"/>
      <c r="N88" s="4"/>
    </row>
    <row r="89" customFormat="false" ht="15" hidden="false" customHeight="false" outlineLevel="0" collapsed="false">
      <c r="A89" s="14" t="s">
        <v>316</v>
      </c>
      <c r="B89" s="14" t="s">
        <v>168</v>
      </c>
      <c r="C89" s="14" t="s">
        <v>164</v>
      </c>
      <c r="D89" s="14" t="s">
        <v>219</v>
      </c>
      <c r="E89" s="14" t="n">
        <v>1</v>
      </c>
      <c r="F89" s="15" t="n">
        <f aca="false">IF('Site Dockets'!J11&lt;&gt;"",1,0)</f>
        <v>0</v>
      </c>
      <c r="G89" s="15" t="str">
        <f aca="false">IF(F89=E89,"PASS","OPEN")</f>
        <v>OPEN</v>
      </c>
      <c r="H89" s="14" t="s">
        <v>215</v>
      </c>
      <c r="I89" s="4"/>
      <c r="J89" s="4"/>
      <c r="K89" s="4"/>
      <c r="L89" s="4"/>
      <c r="M89" s="4"/>
      <c r="N89" s="4"/>
    </row>
    <row r="90" customFormat="false" ht="15" hidden="false" customHeight="false" outlineLevel="0" collapsed="false">
      <c r="A90" s="14" t="s">
        <v>317</v>
      </c>
      <c r="B90" s="14" t="s">
        <v>168</v>
      </c>
      <c r="C90" s="14" t="s">
        <v>164</v>
      </c>
      <c r="D90" s="14" t="s">
        <v>221</v>
      </c>
      <c r="E90" s="14" t="n">
        <v>1</v>
      </c>
      <c r="F90" s="15" t="n">
        <f aca="false">'Site Dockets'!N11</f>
        <v>0</v>
      </c>
      <c r="G90" s="15" t="str">
        <f aca="false">IF(F90=E90,"PASS","OPEN")</f>
        <v>OPEN</v>
      </c>
      <c r="H90" s="14" t="s">
        <v>215</v>
      </c>
      <c r="I90" s="4"/>
      <c r="J90" s="4"/>
      <c r="K90" s="4"/>
      <c r="L90" s="4"/>
      <c r="M90" s="4"/>
      <c r="N90" s="4"/>
    </row>
    <row r="91" customFormat="false" ht="15" hidden="false" customHeight="false" outlineLevel="0" collapsed="false">
      <c r="A91" s="14" t="s">
        <v>318</v>
      </c>
      <c r="B91" s="14" t="s">
        <v>168</v>
      </c>
      <c r="C91" s="14" t="s">
        <v>164</v>
      </c>
      <c r="D91" s="14" t="s">
        <v>143</v>
      </c>
      <c r="E91" s="14" t="n">
        <v>1</v>
      </c>
      <c r="F91" s="15" t="n">
        <f aca="false">'Site Dockets'!O11</f>
        <v>0</v>
      </c>
      <c r="G91" s="15" t="str">
        <f aca="false">IF(F91=E91,"PASS","OPEN")</f>
        <v>OPEN</v>
      </c>
      <c r="H91" s="14" t="s">
        <v>215</v>
      </c>
      <c r="I91" s="4"/>
      <c r="J91" s="4"/>
      <c r="K91" s="4"/>
      <c r="L91" s="4"/>
      <c r="M91" s="4"/>
      <c r="N91" s="4"/>
    </row>
    <row r="92" customFormat="false" ht="15" hidden="false" customHeight="false" outlineLevel="0" collapsed="false">
      <c r="A92" s="14" t="s">
        <v>319</v>
      </c>
      <c r="B92" s="14" t="s">
        <v>168</v>
      </c>
      <c r="C92" s="14" t="s">
        <v>164</v>
      </c>
      <c r="D92" s="14" t="s">
        <v>224</v>
      </c>
      <c r="E92" s="14" t="n">
        <v>1</v>
      </c>
      <c r="F92" s="15" t="n">
        <f aca="false">IF('Site Dockets'!L11&lt;&gt;"",1,0)</f>
        <v>0</v>
      </c>
      <c r="G92" s="15" t="str">
        <f aca="false">IF(F92=E92,"PASS","OPEN")</f>
        <v>OPEN</v>
      </c>
      <c r="H92" s="14" t="s">
        <v>215</v>
      </c>
      <c r="I92" s="4"/>
      <c r="J92" s="4"/>
      <c r="K92" s="4"/>
      <c r="L92" s="4"/>
      <c r="M92" s="4"/>
      <c r="N92" s="4"/>
    </row>
    <row r="93" customFormat="false" ht="15" hidden="false" customHeight="false" outlineLevel="0" collapsed="false">
      <c r="A93" s="14" t="s">
        <v>320</v>
      </c>
      <c r="B93" s="14" t="s">
        <v>168</v>
      </c>
      <c r="C93" s="14" t="s">
        <v>164</v>
      </c>
      <c r="D93" s="14" t="s">
        <v>226</v>
      </c>
      <c r="E93" s="14" t="n">
        <v>1</v>
      </c>
      <c r="F93" s="15" t="n">
        <f aca="false">IF('Site Dockets'!M11&lt;&gt;"",1,0)</f>
        <v>0</v>
      </c>
      <c r="G93" s="15" t="str">
        <f aca="false">IF(F93=E93,"PASS","OPEN")</f>
        <v>OPEN</v>
      </c>
      <c r="H93" s="14" t="s">
        <v>215</v>
      </c>
      <c r="I93" s="4"/>
      <c r="J93" s="4"/>
      <c r="K93" s="4"/>
      <c r="L93" s="4"/>
      <c r="M93" s="4"/>
      <c r="N93" s="4"/>
    </row>
    <row r="94" customFormat="false" ht="15" hidden="false" customHeight="false" outlineLevel="0" collapsed="false">
      <c r="A94" s="14" t="s">
        <v>321</v>
      </c>
      <c r="B94" s="14" t="s">
        <v>168</v>
      </c>
      <c r="C94" s="14" t="s">
        <v>164</v>
      </c>
      <c r="D94" s="14" t="s">
        <v>228</v>
      </c>
      <c r="E94" s="14" t="n">
        <v>1</v>
      </c>
      <c r="F94" s="15" t="n">
        <f aca="false">IF(COUNTIFS('Role Appointments'!$B$7:$B$102,B94,'Role Appointments'!$J$7:$J$102,"READY")=COUNTIFS('Role Appointments'!$B$7:$B$102,B94),1,0)</f>
        <v>0</v>
      </c>
      <c r="G94" s="15" t="str">
        <f aca="false">IF(F94=E94,"PASS","OPEN")</f>
        <v>OPEN</v>
      </c>
      <c r="H94" s="14" t="s">
        <v>215</v>
      </c>
      <c r="I94" s="4"/>
      <c r="J94" s="4"/>
      <c r="K94" s="4"/>
      <c r="L94" s="4"/>
      <c r="M94" s="4"/>
      <c r="N94" s="4"/>
    </row>
    <row r="95" customFormat="false" ht="15" hidden="false" customHeight="false" outlineLevel="0" collapsed="false">
      <c r="A95" s="14" t="s">
        <v>322</v>
      </c>
      <c r="B95" s="14" t="s">
        <v>168</v>
      </c>
      <c r="C95" s="14" t="s">
        <v>164</v>
      </c>
      <c r="D95" s="14" t="s">
        <v>230</v>
      </c>
      <c r="E95" s="14" t="n">
        <v>1</v>
      </c>
      <c r="F95" s="15" t="n">
        <f aca="false">IF(COUNTIFS('Key Custody'!$B$7:$B$84,B95,'Key Custody'!$J$7:$J$84,"READY")=COUNTIFS('Key Custody'!$B$7:$B$84,B95),1,0)</f>
        <v>0</v>
      </c>
      <c r="G95" s="15" t="str">
        <f aca="false">IF(F95=E95,"PASS","OPEN")</f>
        <v>OPEN</v>
      </c>
      <c r="H95" s="14" t="s">
        <v>215</v>
      </c>
      <c r="I95" s="4"/>
      <c r="J95" s="4"/>
      <c r="K95" s="4"/>
      <c r="L95" s="4"/>
      <c r="M95" s="4"/>
      <c r="N95" s="4"/>
    </row>
    <row r="96" customFormat="false" ht="15" hidden="false" customHeight="false" outlineLevel="0" collapsed="false">
      <c r="A96" s="14" t="s">
        <v>323</v>
      </c>
      <c r="B96" s="14" t="s">
        <v>168</v>
      </c>
      <c r="C96" s="14" t="s">
        <v>164</v>
      </c>
      <c r="D96" s="14" t="s">
        <v>232</v>
      </c>
      <c r="E96" s="14" t="n">
        <v>1</v>
      </c>
      <c r="F96" s="15" t="n">
        <f aca="false">IF(AND('Vendor Lots'!G23&lt;&gt;"",'Vendor Lots'!G24&lt;&gt;"",'Vendor Lots'!G25&lt;&gt;"",'Vendor Lots'!G26&lt;&gt;""),1,0)</f>
        <v>0</v>
      </c>
      <c r="G96" s="15" t="str">
        <f aca="false">IF(F96=E96,"PASS","OPEN")</f>
        <v>OPEN</v>
      </c>
      <c r="H96" s="14" t="s">
        <v>215</v>
      </c>
      <c r="I96" s="4"/>
      <c r="J96" s="4"/>
      <c r="K96" s="4"/>
      <c r="L96" s="4"/>
      <c r="M96" s="4"/>
      <c r="N96" s="4"/>
    </row>
    <row r="97" customFormat="false" ht="15" hidden="false" customHeight="false" outlineLevel="0" collapsed="false">
      <c r="A97" s="14" t="s">
        <v>324</v>
      </c>
      <c r="B97" s="14" t="s">
        <v>168</v>
      </c>
      <c r="C97" s="14" t="s">
        <v>164</v>
      </c>
      <c r="D97" s="14" t="s">
        <v>234</v>
      </c>
      <c r="E97" s="14" t="n">
        <v>1</v>
      </c>
      <c r="F97" s="15" t="n">
        <f aca="false">IF(AND('Vendor Lots'!I23&lt;&gt;"",'Vendor Lots'!I24&lt;&gt;"",'Vendor Lots'!I25&lt;&gt;"",'Vendor Lots'!I26&lt;&gt;""),1,0)</f>
        <v>0</v>
      </c>
      <c r="G97" s="15" t="str">
        <f aca="false">IF(F97=E97,"PASS","OPEN")</f>
        <v>OPEN</v>
      </c>
      <c r="H97" s="14" t="s">
        <v>215</v>
      </c>
      <c r="I97" s="4"/>
      <c r="J97" s="4"/>
      <c r="K97" s="4"/>
      <c r="L97" s="4"/>
      <c r="M97" s="4"/>
      <c r="N97" s="4"/>
    </row>
    <row r="98" customFormat="false" ht="15" hidden="false" customHeight="false" outlineLevel="0" collapsed="false">
      <c r="A98" s="14" t="s">
        <v>325</v>
      </c>
      <c r="B98" s="14" t="s">
        <v>168</v>
      </c>
      <c r="C98" s="14" t="s">
        <v>164</v>
      </c>
      <c r="D98" s="14" t="s">
        <v>236</v>
      </c>
      <c r="E98" s="14" t="n">
        <v>1</v>
      </c>
      <c r="F98" s="15" t="n">
        <f aca="false">IF(AND('Vendor Lots'!G23&lt;&gt;"",'Vendor Lots'!G24&lt;&gt;"",'Vendor Lots'!G25&lt;&gt;"",'Vendor Lots'!G26&lt;&gt;"",SUM('Vendor Lots'!K23:K26)=0),1,0)</f>
        <v>0</v>
      </c>
      <c r="G98" s="15" t="str">
        <f aca="false">IF(F98=E98,"PASS","OPEN")</f>
        <v>OPEN</v>
      </c>
      <c r="H98" s="14" t="s">
        <v>237</v>
      </c>
      <c r="I98" s="4"/>
      <c r="J98" s="4"/>
      <c r="K98" s="4"/>
      <c r="L98" s="4"/>
      <c r="M98" s="4"/>
      <c r="N98" s="4"/>
    </row>
    <row r="99" customFormat="false" ht="15" hidden="false" customHeight="false" outlineLevel="0" collapsed="false">
      <c r="A99" s="14" t="s">
        <v>326</v>
      </c>
      <c r="B99" s="14" t="s">
        <v>168</v>
      </c>
      <c r="C99" s="14" t="s">
        <v>164</v>
      </c>
      <c r="D99" s="14" t="s">
        <v>145</v>
      </c>
      <c r="E99" s="14" t="n">
        <v>1</v>
      </c>
      <c r="F99" s="15" t="n">
        <f aca="false">'Site Dockets'!Q11</f>
        <v>0</v>
      </c>
      <c r="G99" s="15" t="str">
        <f aca="false">IF(F99=E99,"PASS","OPEN")</f>
        <v>OPEN</v>
      </c>
      <c r="H99" s="14" t="s">
        <v>215</v>
      </c>
      <c r="I99" s="4"/>
      <c r="J99" s="4"/>
      <c r="K99" s="4"/>
      <c r="L99" s="4"/>
      <c r="M99" s="4"/>
      <c r="N99" s="4"/>
    </row>
    <row r="100" customFormat="false" ht="15" hidden="false" customHeight="false" outlineLevel="0" collapsed="false">
      <c r="A100" s="14" t="s">
        <v>327</v>
      </c>
      <c r="B100" s="14" t="s">
        <v>168</v>
      </c>
      <c r="C100" s="14" t="s">
        <v>164</v>
      </c>
      <c r="D100" s="14" t="s">
        <v>240</v>
      </c>
      <c r="E100" s="14" t="n">
        <v>1</v>
      </c>
      <c r="F100" s="15" t="n">
        <f aca="false">1</f>
        <v>1</v>
      </c>
      <c r="G100" s="15" t="str">
        <f aca="false">IF(F100=E100,"PASS","OPEN")</f>
        <v>PASS</v>
      </c>
      <c r="H100" s="14" t="s">
        <v>215</v>
      </c>
      <c r="I100" s="4"/>
      <c r="J100" s="4"/>
      <c r="K100" s="4"/>
      <c r="L100" s="4"/>
      <c r="M100" s="4"/>
      <c r="N100" s="4"/>
    </row>
    <row r="101" customFormat="false" ht="15" hidden="false" customHeight="false" outlineLevel="0" collapsed="false">
      <c r="A101" s="14" t="s">
        <v>328</v>
      </c>
      <c r="B101" s="14" t="s">
        <v>168</v>
      </c>
      <c r="C101" s="14" t="s">
        <v>164</v>
      </c>
      <c r="D101" s="14" t="s">
        <v>242</v>
      </c>
      <c r="E101" s="14" t="n">
        <v>1</v>
      </c>
      <c r="F101" s="15" t="n">
        <f aca="false">IF(COUNTIFS('Failure Worlds'!$J$7:$J$36,"PASS")=Inputs!$B$16,1,0)</f>
        <v>1</v>
      </c>
      <c r="G101" s="15" t="str">
        <f aca="false">IF(F101=E101,"PASS","OPEN")</f>
        <v>PASS</v>
      </c>
      <c r="H101" s="14" t="s">
        <v>243</v>
      </c>
      <c r="I101" s="4"/>
      <c r="J101" s="4"/>
      <c r="K101" s="4"/>
      <c r="L101" s="4"/>
      <c r="M101" s="4"/>
      <c r="N101" s="4"/>
    </row>
    <row r="102" customFormat="false" ht="15" hidden="false" customHeight="false" outlineLevel="0" collapsed="false">
      <c r="A102" s="14" t="s">
        <v>329</v>
      </c>
      <c r="B102" s="14" t="s">
        <v>168</v>
      </c>
      <c r="C102" s="14" t="s">
        <v>164</v>
      </c>
      <c r="D102" s="14" t="s">
        <v>245</v>
      </c>
      <c r="E102" s="14" t="n">
        <v>1</v>
      </c>
      <c r="F102" s="15" t="n">
        <f aca="false">IF(COUNTIFS('Recovery Clocks'!$J$7:$J$186,"PASS")=180,1,0)</f>
        <v>0</v>
      </c>
      <c r="G102" s="15" t="str">
        <f aca="false">IF(F102=E102,"PASS","OPEN")</f>
        <v>OPEN</v>
      </c>
      <c r="H102" s="14" t="s">
        <v>215</v>
      </c>
      <c r="I102" s="4"/>
      <c r="J102" s="4"/>
      <c r="K102" s="4"/>
      <c r="L102" s="4"/>
      <c r="M102" s="4"/>
      <c r="N102" s="4"/>
    </row>
    <row r="103" customFormat="false" ht="15" hidden="false" customHeight="false" outlineLevel="0" collapsed="false">
      <c r="A103" s="14" t="s">
        <v>330</v>
      </c>
      <c r="B103" s="14" t="s">
        <v>168</v>
      </c>
      <c r="C103" s="14" t="s">
        <v>164</v>
      </c>
      <c r="D103" s="14" t="s">
        <v>247</v>
      </c>
      <c r="E103" s="14" t="n">
        <v>1</v>
      </c>
      <c r="F103" s="15" t="n">
        <f aca="false">IF(Inputs!$B$35=18,1,0)</f>
        <v>0</v>
      </c>
      <c r="G103" s="15" t="str">
        <f aca="false">IF(F103=E103,"PASS","OPEN")</f>
        <v>OPEN</v>
      </c>
      <c r="H103" s="14" t="s">
        <v>215</v>
      </c>
      <c r="I103" s="4"/>
      <c r="J103" s="4"/>
      <c r="K103" s="4"/>
      <c r="L103" s="4"/>
      <c r="M103" s="4"/>
      <c r="N103" s="4"/>
    </row>
    <row r="104" customFormat="false" ht="15" hidden="false" customHeight="false" outlineLevel="0" collapsed="false">
      <c r="A104" s="14" t="s">
        <v>331</v>
      </c>
      <c r="B104" s="14" t="s">
        <v>168</v>
      </c>
      <c r="C104" s="14" t="s">
        <v>164</v>
      </c>
      <c r="D104" s="14" t="s">
        <v>249</v>
      </c>
      <c r="E104" s="14" t="n">
        <v>1</v>
      </c>
      <c r="F104" s="15" t="n">
        <f aca="false">0</f>
        <v>0</v>
      </c>
      <c r="G104" s="15" t="str">
        <f aca="false">IF(F104=E104,"PASS","OPEN")</f>
        <v>OPEN</v>
      </c>
      <c r="H104" s="14" t="s">
        <v>215</v>
      </c>
      <c r="I104" s="4"/>
      <c r="J104" s="4"/>
      <c r="K104" s="4"/>
      <c r="L104" s="4"/>
      <c r="M104" s="4"/>
      <c r="N104" s="4"/>
    </row>
    <row r="105" customFormat="false" ht="15" hidden="false" customHeight="false" outlineLevel="0" collapsed="false">
      <c r="A105" s="14" t="s">
        <v>332</v>
      </c>
      <c r="B105" s="14" t="s">
        <v>168</v>
      </c>
      <c r="C105" s="14" t="s">
        <v>164</v>
      </c>
      <c r="D105" s="14" t="s">
        <v>251</v>
      </c>
      <c r="E105" s="14" t="n">
        <v>1</v>
      </c>
      <c r="F105" s="15" t="n">
        <f aca="false">1</f>
        <v>1</v>
      </c>
      <c r="G105" s="15" t="str">
        <f aca="false">IF(F105=E105,"PASS","OPEN")</f>
        <v>PASS</v>
      </c>
      <c r="H105" s="14" t="s">
        <v>215</v>
      </c>
      <c r="I105" s="4"/>
      <c r="J105" s="4"/>
      <c r="K105" s="4"/>
      <c r="L105" s="4"/>
      <c r="M105" s="4"/>
      <c r="N105" s="4"/>
    </row>
    <row r="106" customFormat="false" ht="15" hidden="false" customHeight="false" outlineLevel="0" collapsed="false">
      <c r="A106" s="14" t="s">
        <v>333</v>
      </c>
      <c r="B106" s="14" t="s">
        <v>168</v>
      </c>
      <c r="C106" s="14" t="s">
        <v>164</v>
      </c>
      <c r="D106" s="14" t="s">
        <v>253</v>
      </c>
      <c r="E106" s="14" t="n">
        <v>1</v>
      </c>
      <c r="F106" s="15" t="n">
        <f aca="false">Inputs!$B$37</f>
        <v>0</v>
      </c>
      <c r="G106" s="15" t="str">
        <f aca="false">IF(F106=E106,"PASS","OPEN")</f>
        <v>OPEN</v>
      </c>
      <c r="H106" s="14" t="s">
        <v>215</v>
      </c>
      <c r="I106" s="4"/>
      <c r="J106" s="4"/>
      <c r="K106" s="4"/>
      <c r="L106" s="4"/>
      <c r="M106" s="4"/>
      <c r="N106" s="4"/>
    </row>
    <row r="107" customFormat="false" ht="15" hidden="false" customHeight="false" outlineLevel="0" collapsed="false">
      <c r="A107" s="14" t="s">
        <v>334</v>
      </c>
      <c r="B107" s="14" t="s">
        <v>171</v>
      </c>
      <c r="C107" s="14" t="s">
        <v>164</v>
      </c>
      <c r="D107" s="14" t="s">
        <v>214</v>
      </c>
      <c r="E107" s="14" t="n">
        <v>1</v>
      </c>
      <c r="F107" s="15" t="n">
        <f aca="false">1</f>
        <v>1</v>
      </c>
      <c r="G107" s="15" t="str">
        <f aca="false">IF(F107=E107,"PASS","OPEN")</f>
        <v>PASS</v>
      </c>
      <c r="H107" s="14" t="s">
        <v>215</v>
      </c>
      <c r="I107" s="4"/>
      <c r="J107" s="4"/>
      <c r="K107" s="4"/>
      <c r="L107" s="4"/>
      <c r="M107" s="4"/>
      <c r="N107" s="4"/>
    </row>
    <row r="108" customFormat="false" ht="15" hidden="false" customHeight="false" outlineLevel="0" collapsed="false">
      <c r="A108" s="14" t="s">
        <v>335</v>
      </c>
      <c r="B108" s="14" t="s">
        <v>171</v>
      </c>
      <c r="C108" s="14" t="s">
        <v>164</v>
      </c>
      <c r="D108" s="14" t="s">
        <v>217</v>
      </c>
      <c r="E108" s="14" t="n">
        <v>1</v>
      </c>
      <c r="F108" s="15" t="n">
        <f aca="false">1</f>
        <v>1</v>
      </c>
      <c r="G108" s="15" t="str">
        <f aca="false">IF(F108=E108,"PASS","OPEN")</f>
        <v>PASS</v>
      </c>
      <c r="H108" s="14" t="s">
        <v>215</v>
      </c>
      <c r="I108" s="4"/>
      <c r="J108" s="4"/>
      <c r="K108" s="4"/>
      <c r="L108" s="4"/>
      <c r="M108" s="4"/>
      <c r="N108" s="4"/>
    </row>
    <row r="109" customFormat="false" ht="15" hidden="false" customHeight="false" outlineLevel="0" collapsed="false">
      <c r="A109" s="14" t="s">
        <v>336</v>
      </c>
      <c r="B109" s="14" t="s">
        <v>171</v>
      </c>
      <c r="C109" s="14" t="s">
        <v>164</v>
      </c>
      <c r="D109" s="14" t="s">
        <v>219</v>
      </c>
      <c r="E109" s="14" t="n">
        <v>1</v>
      </c>
      <c r="F109" s="15" t="n">
        <f aca="false">IF('Site Dockets'!J12&lt;&gt;"",1,0)</f>
        <v>0</v>
      </c>
      <c r="G109" s="15" t="str">
        <f aca="false">IF(F109=E109,"PASS","OPEN")</f>
        <v>OPEN</v>
      </c>
      <c r="H109" s="14" t="s">
        <v>215</v>
      </c>
      <c r="I109" s="4"/>
      <c r="J109" s="4"/>
      <c r="K109" s="4"/>
      <c r="L109" s="4"/>
      <c r="M109" s="4"/>
      <c r="N109" s="4"/>
    </row>
    <row r="110" customFormat="false" ht="15" hidden="false" customHeight="false" outlineLevel="0" collapsed="false">
      <c r="A110" s="14" t="s">
        <v>337</v>
      </c>
      <c r="B110" s="14" t="s">
        <v>171</v>
      </c>
      <c r="C110" s="14" t="s">
        <v>164</v>
      </c>
      <c r="D110" s="14" t="s">
        <v>221</v>
      </c>
      <c r="E110" s="14" t="n">
        <v>1</v>
      </c>
      <c r="F110" s="15" t="n">
        <f aca="false">'Site Dockets'!N12</f>
        <v>0</v>
      </c>
      <c r="G110" s="15" t="str">
        <f aca="false">IF(F110=E110,"PASS","OPEN")</f>
        <v>OPEN</v>
      </c>
      <c r="H110" s="14" t="s">
        <v>215</v>
      </c>
      <c r="I110" s="4"/>
      <c r="J110" s="4"/>
      <c r="K110" s="4"/>
      <c r="L110" s="4"/>
      <c r="M110" s="4"/>
      <c r="N110" s="4"/>
    </row>
    <row r="111" customFormat="false" ht="15" hidden="false" customHeight="false" outlineLevel="0" collapsed="false">
      <c r="A111" s="14" t="s">
        <v>338</v>
      </c>
      <c r="B111" s="14" t="s">
        <v>171</v>
      </c>
      <c r="C111" s="14" t="s">
        <v>164</v>
      </c>
      <c r="D111" s="14" t="s">
        <v>143</v>
      </c>
      <c r="E111" s="14" t="n">
        <v>1</v>
      </c>
      <c r="F111" s="15" t="n">
        <f aca="false">'Site Dockets'!O12</f>
        <v>0</v>
      </c>
      <c r="G111" s="15" t="str">
        <f aca="false">IF(F111=E111,"PASS","OPEN")</f>
        <v>OPEN</v>
      </c>
      <c r="H111" s="14" t="s">
        <v>215</v>
      </c>
      <c r="I111" s="4"/>
      <c r="J111" s="4"/>
      <c r="K111" s="4"/>
      <c r="L111" s="4"/>
      <c r="M111" s="4"/>
      <c r="N111" s="4"/>
    </row>
    <row r="112" customFormat="false" ht="15" hidden="false" customHeight="false" outlineLevel="0" collapsed="false">
      <c r="A112" s="14" t="s">
        <v>339</v>
      </c>
      <c r="B112" s="14" t="s">
        <v>171</v>
      </c>
      <c r="C112" s="14" t="s">
        <v>164</v>
      </c>
      <c r="D112" s="14" t="s">
        <v>224</v>
      </c>
      <c r="E112" s="14" t="n">
        <v>1</v>
      </c>
      <c r="F112" s="15" t="n">
        <f aca="false">IF('Site Dockets'!L12&lt;&gt;"",1,0)</f>
        <v>0</v>
      </c>
      <c r="G112" s="15" t="str">
        <f aca="false">IF(F112=E112,"PASS","OPEN")</f>
        <v>OPEN</v>
      </c>
      <c r="H112" s="14" t="s">
        <v>215</v>
      </c>
      <c r="I112" s="4"/>
      <c r="J112" s="4"/>
      <c r="K112" s="4"/>
      <c r="L112" s="4"/>
      <c r="M112" s="4"/>
      <c r="N112" s="4"/>
    </row>
    <row r="113" customFormat="false" ht="15" hidden="false" customHeight="false" outlineLevel="0" collapsed="false">
      <c r="A113" s="14" t="s">
        <v>340</v>
      </c>
      <c r="B113" s="14" t="s">
        <v>171</v>
      </c>
      <c r="C113" s="14" t="s">
        <v>164</v>
      </c>
      <c r="D113" s="14" t="s">
        <v>226</v>
      </c>
      <c r="E113" s="14" t="n">
        <v>1</v>
      </c>
      <c r="F113" s="15" t="n">
        <f aca="false">IF('Site Dockets'!M12&lt;&gt;"",1,0)</f>
        <v>0</v>
      </c>
      <c r="G113" s="15" t="str">
        <f aca="false">IF(F113=E113,"PASS","OPEN")</f>
        <v>OPEN</v>
      </c>
      <c r="H113" s="14" t="s">
        <v>215</v>
      </c>
      <c r="I113" s="4"/>
      <c r="J113" s="4"/>
      <c r="K113" s="4"/>
      <c r="L113" s="4"/>
      <c r="M113" s="4"/>
      <c r="N113" s="4"/>
    </row>
    <row r="114" customFormat="false" ht="15" hidden="false" customHeight="false" outlineLevel="0" collapsed="false">
      <c r="A114" s="14" t="s">
        <v>341</v>
      </c>
      <c r="B114" s="14" t="s">
        <v>171</v>
      </c>
      <c r="C114" s="14" t="s">
        <v>164</v>
      </c>
      <c r="D114" s="14" t="s">
        <v>228</v>
      </c>
      <c r="E114" s="14" t="n">
        <v>1</v>
      </c>
      <c r="F114" s="15" t="n">
        <f aca="false">IF(COUNTIFS('Role Appointments'!$B$7:$B$102,B114,'Role Appointments'!$J$7:$J$102,"READY")=COUNTIFS('Role Appointments'!$B$7:$B$102,B114),1,0)</f>
        <v>0</v>
      </c>
      <c r="G114" s="15" t="str">
        <f aca="false">IF(F114=E114,"PASS","OPEN")</f>
        <v>OPEN</v>
      </c>
      <c r="H114" s="14" t="s">
        <v>215</v>
      </c>
      <c r="I114" s="4"/>
      <c r="J114" s="4"/>
      <c r="K114" s="4"/>
      <c r="L114" s="4"/>
      <c r="M114" s="4"/>
      <c r="N114" s="4"/>
    </row>
    <row r="115" customFormat="false" ht="15" hidden="false" customHeight="false" outlineLevel="0" collapsed="false">
      <c r="A115" s="14" t="s">
        <v>342</v>
      </c>
      <c r="B115" s="14" t="s">
        <v>171</v>
      </c>
      <c r="C115" s="14" t="s">
        <v>164</v>
      </c>
      <c r="D115" s="14" t="s">
        <v>230</v>
      </c>
      <c r="E115" s="14" t="n">
        <v>1</v>
      </c>
      <c r="F115" s="15" t="n">
        <f aca="false">IF(COUNTIFS('Key Custody'!$B$7:$B$84,B115,'Key Custody'!$J$7:$J$84,"READY")=COUNTIFS('Key Custody'!$B$7:$B$84,B115),1,0)</f>
        <v>0</v>
      </c>
      <c r="G115" s="15" t="str">
        <f aca="false">IF(F115=E115,"PASS","OPEN")</f>
        <v>OPEN</v>
      </c>
      <c r="H115" s="14" t="s">
        <v>215</v>
      </c>
      <c r="I115" s="4"/>
      <c r="J115" s="4"/>
      <c r="K115" s="4"/>
      <c r="L115" s="4"/>
      <c r="M115" s="4"/>
      <c r="N115" s="4"/>
    </row>
    <row r="116" customFormat="false" ht="15" hidden="false" customHeight="false" outlineLevel="0" collapsed="false">
      <c r="A116" s="14" t="s">
        <v>343</v>
      </c>
      <c r="B116" s="14" t="s">
        <v>171</v>
      </c>
      <c r="C116" s="14" t="s">
        <v>164</v>
      </c>
      <c r="D116" s="14" t="s">
        <v>232</v>
      </c>
      <c r="E116" s="14" t="n">
        <v>1</v>
      </c>
      <c r="F116" s="15" t="n">
        <f aca="false">IF(AND('Vendor Lots'!G27&lt;&gt;"",'Vendor Lots'!G28&lt;&gt;"",'Vendor Lots'!G29&lt;&gt;"",'Vendor Lots'!G30&lt;&gt;""),1,0)</f>
        <v>0</v>
      </c>
      <c r="G116" s="15" t="str">
        <f aca="false">IF(F116=E116,"PASS","OPEN")</f>
        <v>OPEN</v>
      </c>
      <c r="H116" s="14" t="s">
        <v>215</v>
      </c>
      <c r="I116" s="4"/>
      <c r="J116" s="4"/>
      <c r="K116" s="4"/>
      <c r="L116" s="4"/>
      <c r="M116" s="4"/>
      <c r="N116" s="4"/>
    </row>
    <row r="117" customFormat="false" ht="15" hidden="false" customHeight="false" outlineLevel="0" collapsed="false">
      <c r="A117" s="14" t="s">
        <v>344</v>
      </c>
      <c r="B117" s="14" t="s">
        <v>171</v>
      </c>
      <c r="C117" s="14" t="s">
        <v>164</v>
      </c>
      <c r="D117" s="14" t="s">
        <v>234</v>
      </c>
      <c r="E117" s="14" t="n">
        <v>1</v>
      </c>
      <c r="F117" s="15" t="n">
        <f aca="false">IF(AND('Vendor Lots'!I27&lt;&gt;"",'Vendor Lots'!I28&lt;&gt;"",'Vendor Lots'!I29&lt;&gt;"",'Vendor Lots'!I30&lt;&gt;""),1,0)</f>
        <v>0</v>
      </c>
      <c r="G117" s="15" t="str">
        <f aca="false">IF(F117=E117,"PASS","OPEN")</f>
        <v>OPEN</v>
      </c>
      <c r="H117" s="14" t="s">
        <v>215</v>
      </c>
      <c r="I117" s="4"/>
      <c r="J117" s="4"/>
      <c r="K117" s="4"/>
      <c r="L117" s="4"/>
      <c r="M117" s="4"/>
      <c r="N117" s="4"/>
    </row>
    <row r="118" customFormat="false" ht="15" hidden="false" customHeight="false" outlineLevel="0" collapsed="false">
      <c r="A118" s="14" t="s">
        <v>345</v>
      </c>
      <c r="B118" s="14" t="s">
        <v>171</v>
      </c>
      <c r="C118" s="14" t="s">
        <v>164</v>
      </c>
      <c r="D118" s="14" t="s">
        <v>236</v>
      </c>
      <c r="E118" s="14" t="n">
        <v>1</v>
      </c>
      <c r="F118" s="15" t="n">
        <f aca="false">IF(AND('Vendor Lots'!G27&lt;&gt;"",'Vendor Lots'!G28&lt;&gt;"",'Vendor Lots'!G29&lt;&gt;"",'Vendor Lots'!G30&lt;&gt;"",SUM('Vendor Lots'!K27:K30)=0),1,0)</f>
        <v>0</v>
      </c>
      <c r="G118" s="15" t="str">
        <f aca="false">IF(F118=E118,"PASS","OPEN")</f>
        <v>OPEN</v>
      </c>
      <c r="H118" s="14" t="s">
        <v>237</v>
      </c>
      <c r="I118" s="4"/>
      <c r="J118" s="4"/>
      <c r="K118" s="4"/>
      <c r="L118" s="4"/>
      <c r="M118" s="4"/>
      <c r="N118" s="4"/>
    </row>
    <row r="119" customFormat="false" ht="15" hidden="false" customHeight="false" outlineLevel="0" collapsed="false">
      <c r="A119" s="14" t="s">
        <v>346</v>
      </c>
      <c r="B119" s="14" t="s">
        <v>171</v>
      </c>
      <c r="C119" s="14" t="s">
        <v>164</v>
      </c>
      <c r="D119" s="14" t="s">
        <v>145</v>
      </c>
      <c r="E119" s="14" t="n">
        <v>1</v>
      </c>
      <c r="F119" s="15" t="n">
        <f aca="false">'Site Dockets'!Q12</f>
        <v>0</v>
      </c>
      <c r="G119" s="15" t="str">
        <f aca="false">IF(F119=E119,"PASS","OPEN")</f>
        <v>OPEN</v>
      </c>
      <c r="H119" s="14" t="s">
        <v>215</v>
      </c>
      <c r="I119" s="4"/>
      <c r="J119" s="4"/>
      <c r="K119" s="4"/>
      <c r="L119" s="4"/>
      <c r="M119" s="4"/>
      <c r="N119" s="4"/>
    </row>
    <row r="120" customFormat="false" ht="15" hidden="false" customHeight="false" outlineLevel="0" collapsed="false">
      <c r="A120" s="14" t="s">
        <v>347</v>
      </c>
      <c r="B120" s="14" t="s">
        <v>171</v>
      </c>
      <c r="C120" s="14" t="s">
        <v>164</v>
      </c>
      <c r="D120" s="14" t="s">
        <v>240</v>
      </c>
      <c r="E120" s="14" t="n">
        <v>1</v>
      </c>
      <c r="F120" s="15" t="n">
        <f aca="false">1</f>
        <v>1</v>
      </c>
      <c r="G120" s="15" t="str">
        <f aca="false">IF(F120=E120,"PASS","OPEN")</f>
        <v>PASS</v>
      </c>
      <c r="H120" s="14" t="s">
        <v>215</v>
      </c>
      <c r="I120" s="4"/>
      <c r="J120" s="4"/>
      <c r="K120" s="4"/>
      <c r="L120" s="4"/>
      <c r="M120" s="4"/>
      <c r="N120" s="4"/>
    </row>
    <row r="121" customFormat="false" ht="15" hidden="false" customHeight="false" outlineLevel="0" collapsed="false">
      <c r="A121" s="14" t="s">
        <v>348</v>
      </c>
      <c r="B121" s="14" t="s">
        <v>171</v>
      </c>
      <c r="C121" s="14" t="s">
        <v>164</v>
      </c>
      <c r="D121" s="14" t="s">
        <v>242</v>
      </c>
      <c r="E121" s="14" t="n">
        <v>1</v>
      </c>
      <c r="F121" s="15" t="n">
        <f aca="false">IF(COUNTIFS('Failure Worlds'!$J$7:$J$36,"PASS")=Inputs!$B$16,1,0)</f>
        <v>1</v>
      </c>
      <c r="G121" s="15" t="str">
        <f aca="false">IF(F121=E121,"PASS","OPEN")</f>
        <v>PASS</v>
      </c>
      <c r="H121" s="14" t="s">
        <v>243</v>
      </c>
      <c r="I121" s="4"/>
      <c r="J121" s="4"/>
      <c r="K121" s="4"/>
      <c r="L121" s="4"/>
      <c r="M121" s="4"/>
      <c r="N121" s="4"/>
    </row>
    <row r="122" customFormat="false" ht="15" hidden="false" customHeight="false" outlineLevel="0" collapsed="false">
      <c r="A122" s="14" t="s">
        <v>349</v>
      </c>
      <c r="B122" s="14" t="s">
        <v>171</v>
      </c>
      <c r="C122" s="14" t="s">
        <v>164</v>
      </c>
      <c r="D122" s="14" t="s">
        <v>245</v>
      </c>
      <c r="E122" s="14" t="n">
        <v>1</v>
      </c>
      <c r="F122" s="15" t="n">
        <f aca="false">IF(COUNTIFS('Recovery Clocks'!$J$7:$J$186,"PASS")=180,1,0)</f>
        <v>0</v>
      </c>
      <c r="G122" s="15" t="str">
        <f aca="false">IF(F122=E122,"PASS","OPEN")</f>
        <v>OPEN</v>
      </c>
      <c r="H122" s="14" t="s">
        <v>215</v>
      </c>
      <c r="I122" s="4"/>
      <c r="J122" s="4"/>
      <c r="K122" s="4"/>
      <c r="L122" s="4"/>
      <c r="M122" s="4"/>
      <c r="N122" s="4"/>
    </row>
    <row r="123" customFormat="false" ht="15" hidden="false" customHeight="false" outlineLevel="0" collapsed="false">
      <c r="A123" s="14" t="s">
        <v>350</v>
      </c>
      <c r="B123" s="14" t="s">
        <v>171</v>
      </c>
      <c r="C123" s="14" t="s">
        <v>164</v>
      </c>
      <c r="D123" s="14" t="s">
        <v>247</v>
      </c>
      <c r="E123" s="14" t="n">
        <v>1</v>
      </c>
      <c r="F123" s="15" t="n">
        <f aca="false">IF(Inputs!$B$35=18,1,0)</f>
        <v>0</v>
      </c>
      <c r="G123" s="15" t="str">
        <f aca="false">IF(F123=E123,"PASS","OPEN")</f>
        <v>OPEN</v>
      </c>
      <c r="H123" s="14" t="s">
        <v>215</v>
      </c>
      <c r="I123" s="4"/>
      <c r="J123" s="4"/>
      <c r="K123" s="4"/>
      <c r="L123" s="4"/>
      <c r="M123" s="4"/>
      <c r="N123" s="4"/>
    </row>
    <row r="124" customFormat="false" ht="15" hidden="false" customHeight="false" outlineLevel="0" collapsed="false">
      <c r="A124" s="14" t="s">
        <v>351</v>
      </c>
      <c r="B124" s="14" t="s">
        <v>171</v>
      </c>
      <c r="C124" s="14" t="s">
        <v>164</v>
      </c>
      <c r="D124" s="14" t="s">
        <v>249</v>
      </c>
      <c r="E124" s="14" t="n">
        <v>1</v>
      </c>
      <c r="F124" s="15" t="n">
        <f aca="false">0</f>
        <v>0</v>
      </c>
      <c r="G124" s="15" t="str">
        <f aca="false">IF(F124=E124,"PASS","OPEN")</f>
        <v>OPEN</v>
      </c>
      <c r="H124" s="14" t="s">
        <v>215</v>
      </c>
      <c r="I124" s="4"/>
      <c r="J124" s="4"/>
      <c r="K124" s="4"/>
      <c r="L124" s="4"/>
      <c r="M124" s="4"/>
      <c r="N124" s="4"/>
    </row>
    <row r="125" customFormat="false" ht="15" hidden="false" customHeight="false" outlineLevel="0" collapsed="false">
      <c r="A125" s="14" t="s">
        <v>352</v>
      </c>
      <c r="B125" s="14" t="s">
        <v>171</v>
      </c>
      <c r="C125" s="14" t="s">
        <v>164</v>
      </c>
      <c r="D125" s="14" t="s">
        <v>251</v>
      </c>
      <c r="E125" s="14" t="n">
        <v>1</v>
      </c>
      <c r="F125" s="15" t="n">
        <f aca="false">1</f>
        <v>1</v>
      </c>
      <c r="G125" s="15" t="str">
        <f aca="false">IF(F125=E125,"PASS","OPEN")</f>
        <v>PASS</v>
      </c>
      <c r="H125" s="14" t="s">
        <v>215</v>
      </c>
      <c r="I125" s="4"/>
      <c r="J125" s="4"/>
      <c r="K125" s="4"/>
      <c r="L125" s="4"/>
      <c r="M125" s="4"/>
      <c r="N125" s="4"/>
    </row>
    <row r="126" customFormat="false" ht="15" hidden="false" customHeight="false" outlineLevel="0" collapsed="false">
      <c r="A126" s="14" t="s">
        <v>353</v>
      </c>
      <c r="B126" s="14" t="s">
        <v>171</v>
      </c>
      <c r="C126" s="14" t="s">
        <v>164</v>
      </c>
      <c r="D126" s="14" t="s">
        <v>253</v>
      </c>
      <c r="E126" s="14" t="n">
        <v>1</v>
      </c>
      <c r="F126" s="15" t="n">
        <f aca="false">Inputs!$B$37</f>
        <v>0</v>
      </c>
      <c r="G126" s="15" t="str">
        <f aca="false">IF(F126=E126,"PASS","OPEN")</f>
        <v>OPEN</v>
      </c>
      <c r="H126" s="14" t="s">
        <v>215</v>
      </c>
      <c r="I126" s="4"/>
      <c r="J126" s="4"/>
      <c r="K126" s="4"/>
      <c r="L126" s="4"/>
      <c r="M126" s="4"/>
      <c r="N126" s="4"/>
    </row>
    <row r="127" customFormat="false" ht="15" hidden="false" customHeight="false" outlineLevel="0" collapsed="false">
      <c r="A127" s="14" t="s">
        <v>354</v>
      </c>
      <c r="B127" s="14" t="s">
        <v>174</v>
      </c>
      <c r="C127" s="14" t="s">
        <v>175</v>
      </c>
      <c r="D127" s="14" t="s">
        <v>214</v>
      </c>
      <c r="E127" s="14" t="n">
        <v>1</v>
      </c>
      <c r="F127" s="15" t="n">
        <f aca="false">1</f>
        <v>1</v>
      </c>
      <c r="G127" s="15" t="str">
        <f aca="false">IF(F127=E127,"PASS","OPEN")</f>
        <v>PASS</v>
      </c>
      <c r="H127" s="14" t="s">
        <v>215</v>
      </c>
      <c r="I127" s="4"/>
      <c r="J127" s="4"/>
      <c r="K127" s="4"/>
      <c r="L127" s="4"/>
      <c r="M127" s="4"/>
      <c r="N127" s="4"/>
    </row>
    <row r="128" customFormat="false" ht="15" hidden="false" customHeight="false" outlineLevel="0" collapsed="false">
      <c r="A128" s="14" t="s">
        <v>355</v>
      </c>
      <c r="B128" s="14" t="s">
        <v>174</v>
      </c>
      <c r="C128" s="14" t="s">
        <v>175</v>
      </c>
      <c r="D128" s="14" t="s">
        <v>217</v>
      </c>
      <c r="E128" s="14" t="n">
        <v>1</v>
      </c>
      <c r="F128" s="15" t="n">
        <f aca="false">1</f>
        <v>1</v>
      </c>
      <c r="G128" s="15" t="str">
        <f aca="false">IF(F128=E128,"PASS","OPEN")</f>
        <v>PASS</v>
      </c>
      <c r="H128" s="14" t="s">
        <v>215</v>
      </c>
      <c r="I128" s="4"/>
      <c r="J128" s="4"/>
      <c r="K128" s="4"/>
      <c r="L128" s="4"/>
      <c r="M128" s="4"/>
      <c r="N128" s="4"/>
    </row>
    <row r="129" customFormat="false" ht="15" hidden="false" customHeight="false" outlineLevel="0" collapsed="false">
      <c r="A129" s="14" t="s">
        <v>356</v>
      </c>
      <c r="B129" s="14" t="s">
        <v>174</v>
      </c>
      <c r="C129" s="14" t="s">
        <v>175</v>
      </c>
      <c r="D129" s="14" t="s">
        <v>219</v>
      </c>
      <c r="E129" s="14" t="n">
        <v>1</v>
      </c>
      <c r="F129" s="15" t="n">
        <f aca="false">IF('Site Dockets'!J13&lt;&gt;"",1,0)</f>
        <v>0</v>
      </c>
      <c r="G129" s="15" t="str">
        <f aca="false">IF(F129=E129,"PASS","OPEN")</f>
        <v>OPEN</v>
      </c>
      <c r="H129" s="14" t="s">
        <v>215</v>
      </c>
      <c r="I129" s="4"/>
      <c r="J129" s="4"/>
      <c r="K129" s="4"/>
      <c r="L129" s="4"/>
      <c r="M129" s="4"/>
      <c r="N129" s="4"/>
    </row>
    <row r="130" customFormat="false" ht="15" hidden="false" customHeight="false" outlineLevel="0" collapsed="false">
      <c r="A130" s="14" t="s">
        <v>357</v>
      </c>
      <c r="B130" s="14" t="s">
        <v>174</v>
      </c>
      <c r="C130" s="14" t="s">
        <v>175</v>
      </c>
      <c r="D130" s="14" t="s">
        <v>221</v>
      </c>
      <c r="E130" s="14" t="n">
        <v>1</v>
      </c>
      <c r="F130" s="15" t="n">
        <f aca="false">'Site Dockets'!N13</f>
        <v>0</v>
      </c>
      <c r="G130" s="15" t="str">
        <f aca="false">IF(F130=E130,"PASS","OPEN")</f>
        <v>OPEN</v>
      </c>
      <c r="H130" s="14" t="s">
        <v>215</v>
      </c>
      <c r="I130" s="4"/>
      <c r="J130" s="4"/>
      <c r="K130" s="4"/>
      <c r="L130" s="4"/>
      <c r="M130" s="4"/>
      <c r="N130" s="4"/>
    </row>
    <row r="131" customFormat="false" ht="15" hidden="false" customHeight="false" outlineLevel="0" collapsed="false">
      <c r="A131" s="14" t="s">
        <v>358</v>
      </c>
      <c r="B131" s="14" t="s">
        <v>174</v>
      </c>
      <c r="C131" s="14" t="s">
        <v>175</v>
      </c>
      <c r="D131" s="14" t="s">
        <v>143</v>
      </c>
      <c r="E131" s="14" t="n">
        <v>1</v>
      </c>
      <c r="F131" s="15" t="n">
        <f aca="false">'Site Dockets'!O13</f>
        <v>0</v>
      </c>
      <c r="G131" s="15" t="str">
        <f aca="false">IF(F131=E131,"PASS","OPEN")</f>
        <v>OPEN</v>
      </c>
      <c r="H131" s="14" t="s">
        <v>215</v>
      </c>
      <c r="I131" s="4"/>
      <c r="J131" s="4"/>
      <c r="K131" s="4"/>
      <c r="L131" s="4"/>
      <c r="M131" s="4"/>
      <c r="N131" s="4"/>
    </row>
    <row r="132" customFormat="false" ht="15" hidden="false" customHeight="false" outlineLevel="0" collapsed="false">
      <c r="A132" s="14" t="s">
        <v>359</v>
      </c>
      <c r="B132" s="14" t="s">
        <v>174</v>
      </c>
      <c r="C132" s="14" t="s">
        <v>175</v>
      </c>
      <c r="D132" s="14" t="s">
        <v>224</v>
      </c>
      <c r="E132" s="14" t="n">
        <v>1</v>
      </c>
      <c r="F132" s="15" t="n">
        <f aca="false">IF('Site Dockets'!L13&lt;&gt;"",1,0)</f>
        <v>0</v>
      </c>
      <c r="G132" s="15" t="str">
        <f aca="false">IF(F132=E132,"PASS","OPEN")</f>
        <v>OPEN</v>
      </c>
      <c r="H132" s="14" t="s">
        <v>215</v>
      </c>
      <c r="I132" s="4"/>
      <c r="J132" s="4"/>
      <c r="K132" s="4"/>
      <c r="L132" s="4"/>
      <c r="M132" s="4"/>
      <c r="N132" s="4"/>
    </row>
    <row r="133" customFormat="false" ht="15" hidden="false" customHeight="false" outlineLevel="0" collapsed="false">
      <c r="A133" s="14" t="s">
        <v>360</v>
      </c>
      <c r="B133" s="14" t="s">
        <v>174</v>
      </c>
      <c r="C133" s="14" t="s">
        <v>175</v>
      </c>
      <c r="D133" s="14" t="s">
        <v>226</v>
      </c>
      <c r="E133" s="14" t="n">
        <v>1</v>
      </c>
      <c r="F133" s="15" t="n">
        <f aca="false">IF('Site Dockets'!M13&lt;&gt;"",1,0)</f>
        <v>0</v>
      </c>
      <c r="G133" s="15" t="str">
        <f aca="false">IF(F133=E133,"PASS","OPEN")</f>
        <v>OPEN</v>
      </c>
      <c r="H133" s="14" t="s">
        <v>215</v>
      </c>
      <c r="I133" s="4"/>
      <c r="J133" s="4"/>
      <c r="K133" s="4"/>
      <c r="L133" s="4"/>
      <c r="M133" s="4"/>
      <c r="N133" s="4"/>
    </row>
    <row r="134" customFormat="false" ht="15" hidden="false" customHeight="false" outlineLevel="0" collapsed="false">
      <c r="A134" s="14" t="s">
        <v>361</v>
      </c>
      <c r="B134" s="14" t="s">
        <v>174</v>
      </c>
      <c r="C134" s="14" t="s">
        <v>175</v>
      </c>
      <c r="D134" s="14" t="s">
        <v>228</v>
      </c>
      <c r="E134" s="14" t="n">
        <v>1</v>
      </c>
      <c r="F134" s="15" t="n">
        <f aca="false">IF(COUNTIFS('Role Appointments'!$B$7:$B$102,B134,'Role Appointments'!$J$7:$J$102,"READY")=COUNTIFS('Role Appointments'!$B$7:$B$102,B134),1,0)</f>
        <v>0</v>
      </c>
      <c r="G134" s="15" t="str">
        <f aca="false">IF(F134=E134,"PASS","OPEN")</f>
        <v>OPEN</v>
      </c>
      <c r="H134" s="14" t="s">
        <v>215</v>
      </c>
      <c r="I134" s="4"/>
      <c r="J134" s="4"/>
      <c r="K134" s="4"/>
      <c r="L134" s="4"/>
      <c r="M134" s="4"/>
      <c r="N134" s="4"/>
    </row>
    <row r="135" customFormat="false" ht="15" hidden="false" customHeight="false" outlineLevel="0" collapsed="false">
      <c r="A135" s="14" t="s">
        <v>362</v>
      </c>
      <c r="B135" s="14" t="s">
        <v>174</v>
      </c>
      <c r="C135" s="14" t="s">
        <v>175</v>
      </c>
      <c r="D135" s="14" t="s">
        <v>230</v>
      </c>
      <c r="E135" s="14" t="n">
        <v>1</v>
      </c>
      <c r="F135" s="15" t="n">
        <f aca="false">IF(COUNTIFS('Key Custody'!$B$7:$B$84,B135,'Key Custody'!$J$7:$J$84,"READY")=COUNTIFS('Key Custody'!$B$7:$B$84,B135),1,0)</f>
        <v>0</v>
      </c>
      <c r="G135" s="15" t="str">
        <f aca="false">IF(F135=E135,"PASS","OPEN")</f>
        <v>OPEN</v>
      </c>
      <c r="H135" s="14" t="s">
        <v>215</v>
      </c>
      <c r="I135" s="4"/>
      <c r="J135" s="4"/>
      <c r="K135" s="4"/>
      <c r="L135" s="4"/>
      <c r="M135" s="4"/>
      <c r="N135" s="4"/>
    </row>
    <row r="136" customFormat="false" ht="15" hidden="false" customHeight="false" outlineLevel="0" collapsed="false">
      <c r="A136" s="14" t="s">
        <v>363</v>
      </c>
      <c r="B136" s="14" t="s">
        <v>174</v>
      </c>
      <c r="C136" s="14" t="s">
        <v>175</v>
      </c>
      <c r="D136" s="14" t="s">
        <v>232</v>
      </c>
      <c r="E136" s="14" t="n">
        <v>1</v>
      </c>
      <c r="F136" s="15" t="n">
        <f aca="false">IF(AND('Vendor Lots'!G31&lt;&gt;"",'Vendor Lots'!G32&lt;&gt;"",'Vendor Lots'!G33&lt;&gt;"",'Vendor Lots'!G34&lt;&gt;""),1,0)</f>
        <v>0</v>
      </c>
      <c r="G136" s="15" t="str">
        <f aca="false">IF(F136=E136,"PASS","OPEN")</f>
        <v>OPEN</v>
      </c>
      <c r="H136" s="14" t="s">
        <v>215</v>
      </c>
      <c r="I136" s="4"/>
      <c r="J136" s="4"/>
      <c r="K136" s="4"/>
      <c r="L136" s="4"/>
      <c r="M136" s="4"/>
      <c r="N136" s="4"/>
    </row>
    <row r="137" customFormat="false" ht="15" hidden="false" customHeight="false" outlineLevel="0" collapsed="false">
      <c r="A137" s="14" t="s">
        <v>364</v>
      </c>
      <c r="B137" s="14" t="s">
        <v>174</v>
      </c>
      <c r="C137" s="14" t="s">
        <v>175</v>
      </c>
      <c r="D137" s="14" t="s">
        <v>234</v>
      </c>
      <c r="E137" s="14" t="n">
        <v>1</v>
      </c>
      <c r="F137" s="15" t="n">
        <f aca="false">IF(AND('Vendor Lots'!I31&lt;&gt;"",'Vendor Lots'!I32&lt;&gt;"",'Vendor Lots'!I33&lt;&gt;"",'Vendor Lots'!I34&lt;&gt;""),1,0)</f>
        <v>0</v>
      </c>
      <c r="G137" s="15" t="str">
        <f aca="false">IF(F137=E137,"PASS","OPEN")</f>
        <v>OPEN</v>
      </c>
      <c r="H137" s="14" t="s">
        <v>215</v>
      </c>
      <c r="I137" s="4"/>
      <c r="J137" s="4"/>
      <c r="K137" s="4"/>
      <c r="L137" s="4"/>
      <c r="M137" s="4"/>
      <c r="N137" s="4"/>
    </row>
    <row r="138" customFormat="false" ht="15" hidden="false" customHeight="false" outlineLevel="0" collapsed="false">
      <c r="A138" s="14" t="s">
        <v>365</v>
      </c>
      <c r="B138" s="14" t="s">
        <v>174</v>
      </c>
      <c r="C138" s="14" t="s">
        <v>175</v>
      </c>
      <c r="D138" s="14" t="s">
        <v>236</v>
      </c>
      <c r="E138" s="14" t="n">
        <v>1</v>
      </c>
      <c r="F138" s="15" t="n">
        <f aca="false">IF(AND('Vendor Lots'!G31&lt;&gt;"",'Vendor Lots'!G32&lt;&gt;"",'Vendor Lots'!G33&lt;&gt;"",'Vendor Lots'!G34&lt;&gt;"",SUM('Vendor Lots'!K31:K34)=0),1,0)</f>
        <v>0</v>
      </c>
      <c r="G138" s="15" t="str">
        <f aca="false">IF(F138=E138,"PASS","OPEN")</f>
        <v>OPEN</v>
      </c>
      <c r="H138" s="14" t="s">
        <v>237</v>
      </c>
      <c r="I138" s="4"/>
      <c r="J138" s="4"/>
      <c r="K138" s="4"/>
      <c r="L138" s="4"/>
      <c r="M138" s="4"/>
      <c r="N138" s="4"/>
    </row>
    <row r="139" customFormat="false" ht="15" hidden="false" customHeight="false" outlineLevel="0" collapsed="false">
      <c r="A139" s="14" t="s">
        <v>366</v>
      </c>
      <c r="B139" s="14" t="s">
        <v>174</v>
      </c>
      <c r="C139" s="14" t="s">
        <v>175</v>
      </c>
      <c r="D139" s="14" t="s">
        <v>145</v>
      </c>
      <c r="E139" s="14" t="n">
        <v>1</v>
      </c>
      <c r="F139" s="15" t="n">
        <f aca="false">'Site Dockets'!Q13</f>
        <v>0</v>
      </c>
      <c r="G139" s="15" t="str">
        <f aca="false">IF(F139=E139,"PASS","OPEN")</f>
        <v>OPEN</v>
      </c>
      <c r="H139" s="14" t="s">
        <v>215</v>
      </c>
      <c r="I139" s="4"/>
      <c r="J139" s="4"/>
      <c r="K139" s="4"/>
      <c r="L139" s="4"/>
      <c r="M139" s="4"/>
      <c r="N139" s="4"/>
    </row>
    <row r="140" customFormat="false" ht="15" hidden="false" customHeight="false" outlineLevel="0" collapsed="false">
      <c r="A140" s="14" t="s">
        <v>367</v>
      </c>
      <c r="B140" s="14" t="s">
        <v>174</v>
      </c>
      <c r="C140" s="14" t="s">
        <v>175</v>
      </c>
      <c r="D140" s="14" t="s">
        <v>240</v>
      </c>
      <c r="E140" s="14" t="n">
        <v>1</v>
      </c>
      <c r="F140" s="15" t="n">
        <f aca="false">1</f>
        <v>1</v>
      </c>
      <c r="G140" s="15" t="str">
        <f aca="false">IF(F140=E140,"PASS","OPEN")</f>
        <v>PASS</v>
      </c>
      <c r="H140" s="14" t="s">
        <v>215</v>
      </c>
      <c r="I140" s="4"/>
      <c r="J140" s="4"/>
      <c r="K140" s="4"/>
      <c r="L140" s="4"/>
      <c r="M140" s="4"/>
      <c r="N140" s="4"/>
    </row>
    <row r="141" customFormat="false" ht="15" hidden="false" customHeight="false" outlineLevel="0" collapsed="false">
      <c r="A141" s="14" t="s">
        <v>368</v>
      </c>
      <c r="B141" s="14" t="s">
        <v>174</v>
      </c>
      <c r="C141" s="14" t="s">
        <v>175</v>
      </c>
      <c r="D141" s="14" t="s">
        <v>242</v>
      </c>
      <c r="E141" s="14" t="n">
        <v>1</v>
      </c>
      <c r="F141" s="15" t="n">
        <f aca="false">IF(COUNTIFS('Failure Worlds'!$J$7:$J$36,"PASS")=Inputs!$B$16,1,0)</f>
        <v>1</v>
      </c>
      <c r="G141" s="15" t="str">
        <f aca="false">IF(F141=E141,"PASS","OPEN")</f>
        <v>PASS</v>
      </c>
      <c r="H141" s="14" t="s">
        <v>243</v>
      </c>
      <c r="I141" s="4"/>
      <c r="J141" s="4"/>
      <c r="K141" s="4"/>
      <c r="L141" s="4"/>
      <c r="M141" s="4"/>
      <c r="N141" s="4"/>
    </row>
    <row r="142" customFormat="false" ht="15" hidden="false" customHeight="false" outlineLevel="0" collapsed="false">
      <c r="A142" s="14" t="s">
        <v>369</v>
      </c>
      <c r="B142" s="14" t="s">
        <v>174</v>
      </c>
      <c r="C142" s="14" t="s">
        <v>175</v>
      </c>
      <c r="D142" s="14" t="s">
        <v>245</v>
      </c>
      <c r="E142" s="14" t="n">
        <v>1</v>
      </c>
      <c r="F142" s="15" t="n">
        <f aca="false">IF(COUNTIFS('Recovery Clocks'!$J$7:$J$186,"PASS")=180,1,0)</f>
        <v>0</v>
      </c>
      <c r="G142" s="15" t="str">
        <f aca="false">IF(F142=E142,"PASS","OPEN")</f>
        <v>OPEN</v>
      </c>
      <c r="H142" s="14" t="s">
        <v>215</v>
      </c>
      <c r="I142" s="4"/>
      <c r="J142" s="4"/>
      <c r="K142" s="4"/>
      <c r="L142" s="4"/>
      <c r="M142" s="4"/>
      <c r="N142" s="4"/>
    </row>
    <row r="143" customFormat="false" ht="15" hidden="false" customHeight="false" outlineLevel="0" collapsed="false">
      <c r="A143" s="14" t="s">
        <v>370</v>
      </c>
      <c r="B143" s="14" t="s">
        <v>174</v>
      </c>
      <c r="C143" s="14" t="s">
        <v>175</v>
      </c>
      <c r="D143" s="14" t="s">
        <v>247</v>
      </c>
      <c r="E143" s="14" t="n">
        <v>1</v>
      </c>
      <c r="F143" s="15" t="n">
        <f aca="false">IF(Inputs!$B$35=18,1,0)</f>
        <v>0</v>
      </c>
      <c r="G143" s="15" t="str">
        <f aca="false">IF(F143=E143,"PASS","OPEN")</f>
        <v>OPEN</v>
      </c>
      <c r="H143" s="14" t="s">
        <v>215</v>
      </c>
      <c r="I143" s="4"/>
      <c r="J143" s="4"/>
      <c r="K143" s="4"/>
      <c r="L143" s="4"/>
      <c r="M143" s="4"/>
      <c r="N143" s="4"/>
    </row>
    <row r="144" customFormat="false" ht="15" hidden="false" customHeight="false" outlineLevel="0" collapsed="false">
      <c r="A144" s="14" t="s">
        <v>371</v>
      </c>
      <c r="B144" s="14" t="s">
        <v>174</v>
      </c>
      <c r="C144" s="14" t="s">
        <v>175</v>
      </c>
      <c r="D144" s="14" t="s">
        <v>249</v>
      </c>
      <c r="E144" s="14" t="n">
        <v>1</v>
      </c>
      <c r="F144" s="15" t="n">
        <f aca="false">0</f>
        <v>0</v>
      </c>
      <c r="G144" s="15" t="str">
        <f aca="false">IF(F144=E144,"PASS","OPEN")</f>
        <v>OPEN</v>
      </c>
      <c r="H144" s="14" t="s">
        <v>215</v>
      </c>
      <c r="I144" s="4"/>
      <c r="J144" s="4"/>
      <c r="K144" s="4"/>
      <c r="L144" s="4"/>
      <c r="M144" s="4"/>
      <c r="N144" s="4"/>
    </row>
    <row r="145" customFormat="false" ht="15" hidden="false" customHeight="false" outlineLevel="0" collapsed="false">
      <c r="A145" s="14" t="s">
        <v>372</v>
      </c>
      <c r="B145" s="14" t="s">
        <v>174</v>
      </c>
      <c r="C145" s="14" t="s">
        <v>175</v>
      </c>
      <c r="D145" s="14" t="s">
        <v>251</v>
      </c>
      <c r="E145" s="14" t="n">
        <v>1</v>
      </c>
      <c r="F145" s="15" t="n">
        <f aca="false">1</f>
        <v>1</v>
      </c>
      <c r="G145" s="15" t="str">
        <f aca="false">IF(F145=E145,"PASS","OPEN")</f>
        <v>PASS</v>
      </c>
      <c r="H145" s="14" t="s">
        <v>215</v>
      </c>
      <c r="I145" s="4"/>
      <c r="J145" s="4"/>
      <c r="K145" s="4"/>
      <c r="L145" s="4"/>
      <c r="M145" s="4"/>
      <c r="N145" s="4"/>
    </row>
    <row r="146" customFormat="false" ht="15" hidden="false" customHeight="false" outlineLevel="0" collapsed="false">
      <c r="A146" s="14" t="s">
        <v>373</v>
      </c>
      <c r="B146" s="14" t="s">
        <v>174</v>
      </c>
      <c r="C146" s="14" t="s">
        <v>175</v>
      </c>
      <c r="D146" s="14" t="s">
        <v>253</v>
      </c>
      <c r="E146" s="14" t="n">
        <v>1</v>
      </c>
      <c r="F146" s="15" t="n">
        <f aca="false">Inputs!$B$37</f>
        <v>0</v>
      </c>
      <c r="G146" s="15" t="str">
        <f aca="false">IF(F146=E146,"PASS","OPEN")</f>
        <v>OPEN</v>
      </c>
      <c r="H146" s="14" t="s">
        <v>215</v>
      </c>
      <c r="I146" s="4"/>
      <c r="J146" s="4"/>
      <c r="K146" s="4"/>
      <c r="L146" s="4"/>
      <c r="M146" s="4"/>
      <c r="N146" s="4"/>
    </row>
    <row r="147" customFormat="false" ht="15" hidden="false" customHeight="false" outlineLevel="0" collapsed="false">
      <c r="A147" s="14" t="s">
        <v>374</v>
      </c>
      <c r="B147" s="14" t="s">
        <v>178</v>
      </c>
      <c r="C147" s="14" t="s">
        <v>175</v>
      </c>
      <c r="D147" s="14" t="s">
        <v>214</v>
      </c>
      <c r="E147" s="14" t="n">
        <v>1</v>
      </c>
      <c r="F147" s="15" t="n">
        <f aca="false">1</f>
        <v>1</v>
      </c>
      <c r="G147" s="15" t="str">
        <f aca="false">IF(F147=E147,"PASS","OPEN")</f>
        <v>PASS</v>
      </c>
      <c r="H147" s="14" t="s">
        <v>215</v>
      </c>
      <c r="I147" s="4"/>
      <c r="J147" s="4"/>
      <c r="K147" s="4"/>
      <c r="L147" s="4"/>
      <c r="M147" s="4"/>
      <c r="N147" s="4"/>
    </row>
    <row r="148" customFormat="false" ht="15" hidden="false" customHeight="false" outlineLevel="0" collapsed="false">
      <c r="A148" s="14" t="s">
        <v>375</v>
      </c>
      <c r="B148" s="14" t="s">
        <v>178</v>
      </c>
      <c r="C148" s="14" t="s">
        <v>175</v>
      </c>
      <c r="D148" s="14" t="s">
        <v>217</v>
      </c>
      <c r="E148" s="14" t="n">
        <v>1</v>
      </c>
      <c r="F148" s="15" t="n">
        <f aca="false">1</f>
        <v>1</v>
      </c>
      <c r="G148" s="15" t="str">
        <f aca="false">IF(F148=E148,"PASS","OPEN")</f>
        <v>PASS</v>
      </c>
      <c r="H148" s="14" t="s">
        <v>215</v>
      </c>
      <c r="I148" s="4"/>
      <c r="J148" s="4"/>
      <c r="K148" s="4"/>
      <c r="L148" s="4"/>
      <c r="M148" s="4"/>
      <c r="N148" s="4"/>
    </row>
    <row r="149" customFormat="false" ht="15" hidden="false" customHeight="false" outlineLevel="0" collapsed="false">
      <c r="A149" s="14" t="s">
        <v>376</v>
      </c>
      <c r="B149" s="14" t="s">
        <v>178</v>
      </c>
      <c r="C149" s="14" t="s">
        <v>175</v>
      </c>
      <c r="D149" s="14" t="s">
        <v>219</v>
      </c>
      <c r="E149" s="14" t="n">
        <v>1</v>
      </c>
      <c r="F149" s="15" t="n">
        <f aca="false">IF('Site Dockets'!J14&lt;&gt;"",1,0)</f>
        <v>0</v>
      </c>
      <c r="G149" s="15" t="str">
        <f aca="false">IF(F149=E149,"PASS","OPEN")</f>
        <v>OPEN</v>
      </c>
      <c r="H149" s="14" t="s">
        <v>215</v>
      </c>
      <c r="I149" s="4"/>
      <c r="J149" s="4"/>
      <c r="K149" s="4"/>
      <c r="L149" s="4"/>
      <c r="M149" s="4"/>
      <c r="N149" s="4"/>
    </row>
    <row r="150" customFormat="false" ht="15" hidden="false" customHeight="false" outlineLevel="0" collapsed="false">
      <c r="A150" s="14" t="s">
        <v>377</v>
      </c>
      <c r="B150" s="14" t="s">
        <v>178</v>
      </c>
      <c r="C150" s="14" t="s">
        <v>175</v>
      </c>
      <c r="D150" s="14" t="s">
        <v>221</v>
      </c>
      <c r="E150" s="14" t="n">
        <v>1</v>
      </c>
      <c r="F150" s="15" t="n">
        <f aca="false">'Site Dockets'!N14</f>
        <v>0</v>
      </c>
      <c r="G150" s="15" t="str">
        <f aca="false">IF(F150=E150,"PASS","OPEN")</f>
        <v>OPEN</v>
      </c>
      <c r="H150" s="14" t="s">
        <v>215</v>
      </c>
      <c r="I150" s="4"/>
      <c r="J150" s="4"/>
      <c r="K150" s="4"/>
      <c r="L150" s="4"/>
      <c r="M150" s="4"/>
      <c r="N150" s="4"/>
    </row>
    <row r="151" customFormat="false" ht="15" hidden="false" customHeight="false" outlineLevel="0" collapsed="false">
      <c r="A151" s="14" t="s">
        <v>378</v>
      </c>
      <c r="B151" s="14" t="s">
        <v>178</v>
      </c>
      <c r="C151" s="14" t="s">
        <v>175</v>
      </c>
      <c r="D151" s="14" t="s">
        <v>143</v>
      </c>
      <c r="E151" s="14" t="n">
        <v>1</v>
      </c>
      <c r="F151" s="15" t="n">
        <f aca="false">'Site Dockets'!O14</f>
        <v>0</v>
      </c>
      <c r="G151" s="15" t="str">
        <f aca="false">IF(F151=E151,"PASS","OPEN")</f>
        <v>OPEN</v>
      </c>
      <c r="H151" s="14" t="s">
        <v>215</v>
      </c>
      <c r="I151" s="4"/>
      <c r="J151" s="4"/>
      <c r="K151" s="4"/>
      <c r="L151" s="4"/>
      <c r="M151" s="4"/>
      <c r="N151" s="4"/>
    </row>
    <row r="152" customFormat="false" ht="15" hidden="false" customHeight="false" outlineLevel="0" collapsed="false">
      <c r="A152" s="14" t="s">
        <v>379</v>
      </c>
      <c r="B152" s="14" t="s">
        <v>178</v>
      </c>
      <c r="C152" s="14" t="s">
        <v>175</v>
      </c>
      <c r="D152" s="14" t="s">
        <v>224</v>
      </c>
      <c r="E152" s="14" t="n">
        <v>1</v>
      </c>
      <c r="F152" s="15" t="n">
        <f aca="false">IF('Site Dockets'!L14&lt;&gt;"",1,0)</f>
        <v>0</v>
      </c>
      <c r="G152" s="15" t="str">
        <f aca="false">IF(F152=E152,"PASS","OPEN")</f>
        <v>OPEN</v>
      </c>
      <c r="H152" s="14" t="s">
        <v>215</v>
      </c>
      <c r="I152" s="4"/>
      <c r="J152" s="4"/>
      <c r="K152" s="4"/>
      <c r="L152" s="4"/>
      <c r="M152" s="4"/>
      <c r="N152" s="4"/>
    </row>
    <row r="153" customFormat="false" ht="15" hidden="false" customHeight="false" outlineLevel="0" collapsed="false">
      <c r="A153" s="14" t="s">
        <v>380</v>
      </c>
      <c r="B153" s="14" t="s">
        <v>178</v>
      </c>
      <c r="C153" s="14" t="s">
        <v>175</v>
      </c>
      <c r="D153" s="14" t="s">
        <v>226</v>
      </c>
      <c r="E153" s="14" t="n">
        <v>1</v>
      </c>
      <c r="F153" s="15" t="n">
        <f aca="false">IF('Site Dockets'!M14&lt;&gt;"",1,0)</f>
        <v>0</v>
      </c>
      <c r="G153" s="15" t="str">
        <f aca="false">IF(F153=E153,"PASS","OPEN")</f>
        <v>OPEN</v>
      </c>
      <c r="H153" s="14" t="s">
        <v>215</v>
      </c>
      <c r="I153" s="4"/>
      <c r="J153" s="4"/>
      <c r="K153" s="4"/>
      <c r="L153" s="4"/>
      <c r="M153" s="4"/>
      <c r="N153" s="4"/>
    </row>
    <row r="154" customFormat="false" ht="15" hidden="false" customHeight="false" outlineLevel="0" collapsed="false">
      <c r="A154" s="14" t="s">
        <v>381</v>
      </c>
      <c r="B154" s="14" t="s">
        <v>178</v>
      </c>
      <c r="C154" s="14" t="s">
        <v>175</v>
      </c>
      <c r="D154" s="14" t="s">
        <v>228</v>
      </c>
      <c r="E154" s="14" t="n">
        <v>1</v>
      </c>
      <c r="F154" s="15" t="n">
        <f aca="false">IF(COUNTIFS('Role Appointments'!$B$7:$B$102,B154,'Role Appointments'!$J$7:$J$102,"READY")=COUNTIFS('Role Appointments'!$B$7:$B$102,B154),1,0)</f>
        <v>0</v>
      </c>
      <c r="G154" s="15" t="str">
        <f aca="false">IF(F154=E154,"PASS","OPEN")</f>
        <v>OPEN</v>
      </c>
      <c r="H154" s="14" t="s">
        <v>215</v>
      </c>
      <c r="I154" s="4"/>
      <c r="J154" s="4"/>
      <c r="K154" s="4"/>
      <c r="L154" s="4"/>
      <c r="M154" s="4"/>
      <c r="N154" s="4"/>
    </row>
    <row r="155" customFormat="false" ht="15" hidden="false" customHeight="false" outlineLevel="0" collapsed="false">
      <c r="A155" s="14" t="s">
        <v>382</v>
      </c>
      <c r="B155" s="14" t="s">
        <v>178</v>
      </c>
      <c r="C155" s="14" t="s">
        <v>175</v>
      </c>
      <c r="D155" s="14" t="s">
        <v>230</v>
      </c>
      <c r="E155" s="14" t="n">
        <v>1</v>
      </c>
      <c r="F155" s="15" t="n">
        <f aca="false">IF(COUNTIFS('Key Custody'!$B$7:$B$84,B155,'Key Custody'!$J$7:$J$84,"READY")=COUNTIFS('Key Custody'!$B$7:$B$84,B155),1,0)</f>
        <v>0</v>
      </c>
      <c r="G155" s="15" t="str">
        <f aca="false">IF(F155=E155,"PASS","OPEN")</f>
        <v>OPEN</v>
      </c>
      <c r="H155" s="14" t="s">
        <v>215</v>
      </c>
      <c r="I155" s="4"/>
      <c r="J155" s="4"/>
      <c r="K155" s="4"/>
      <c r="L155" s="4"/>
      <c r="M155" s="4"/>
      <c r="N155" s="4"/>
    </row>
    <row r="156" customFormat="false" ht="15" hidden="false" customHeight="false" outlineLevel="0" collapsed="false">
      <c r="A156" s="14" t="s">
        <v>383</v>
      </c>
      <c r="B156" s="14" t="s">
        <v>178</v>
      </c>
      <c r="C156" s="14" t="s">
        <v>175</v>
      </c>
      <c r="D156" s="14" t="s">
        <v>232</v>
      </c>
      <c r="E156" s="14" t="n">
        <v>1</v>
      </c>
      <c r="F156" s="15" t="n">
        <f aca="false">IF(AND('Vendor Lots'!G35&lt;&gt;"",'Vendor Lots'!G36&lt;&gt;"",'Vendor Lots'!G37&lt;&gt;"",'Vendor Lots'!G38&lt;&gt;""),1,0)</f>
        <v>0</v>
      </c>
      <c r="G156" s="15" t="str">
        <f aca="false">IF(F156=E156,"PASS","OPEN")</f>
        <v>OPEN</v>
      </c>
      <c r="H156" s="14" t="s">
        <v>215</v>
      </c>
      <c r="I156" s="4"/>
      <c r="J156" s="4"/>
      <c r="K156" s="4"/>
      <c r="L156" s="4"/>
      <c r="M156" s="4"/>
      <c r="N156" s="4"/>
    </row>
    <row r="157" customFormat="false" ht="15" hidden="false" customHeight="false" outlineLevel="0" collapsed="false">
      <c r="A157" s="14" t="s">
        <v>384</v>
      </c>
      <c r="B157" s="14" t="s">
        <v>178</v>
      </c>
      <c r="C157" s="14" t="s">
        <v>175</v>
      </c>
      <c r="D157" s="14" t="s">
        <v>234</v>
      </c>
      <c r="E157" s="14" t="n">
        <v>1</v>
      </c>
      <c r="F157" s="15" t="n">
        <f aca="false">IF(AND('Vendor Lots'!I35&lt;&gt;"",'Vendor Lots'!I36&lt;&gt;"",'Vendor Lots'!I37&lt;&gt;"",'Vendor Lots'!I38&lt;&gt;""),1,0)</f>
        <v>0</v>
      </c>
      <c r="G157" s="15" t="str">
        <f aca="false">IF(F157=E157,"PASS","OPEN")</f>
        <v>OPEN</v>
      </c>
      <c r="H157" s="14" t="s">
        <v>215</v>
      </c>
      <c r="I157" s="4"/>
      <c r="J157" s="4"/>
      <c r="K157" s="4"/>
      <c r="L157" s="4"/>
      <c r="M157" s="4"/>
      <c r="N157" s="4"/>
    </row>
    <row r="158" customFormat="false" ht="15" hidden="false" customHeight="false" outlineLevel="0" collapsed="false">
      <c r="A158" s="14" t="s">
        <v>385</v>
      </c>
      <c r="B158" s="14" t="s">
        <v>178</v>
      </c>
      <c r="C158" s="14" t="s">
        <v>175</v>
      </c>
      <c r="D158" s="14" t="s">
        <v>236</v>
      </c>
      <c r="E158" s="14" t="n">
        <v>1</v>
      </c>
      <c r="F158" s="15" t="n">
        <f aca="false">IF(AND('Vendor Lots'!G35&lt;&gt;"",'Vendor Lots'!G36&lt;&gt;"",'Vendor Lots'!G37&lt;&gt;"",'Vendor Lots'!G38&lt;&gt;"",SUM('Vendor Lots'!K35:K38)=0),1,0)</f>
        <v>0</v>
      </c>
      <c r="G158" s="15" t="str">
        <f aca="false">IF(F158=E158,"PASS","OPEN")</f>
        <v>OPEN</v>
      </c>
      <c r="H158" s="14" t="s">
        <v>237</v>
      </c>
      <c r="I158" s="4"/>
      <c r="J158" s="4"/>
      <c r="K158" s="4"/>
      <c r="L158" s="4"/>
      <c r="M158" s="4"/>
      <c r="N158" s="4"/>
    </row>
    <row r="159" customFormat="false" ht="15" hidden="false" customHeight="false" outlineLevel="0" collapsed="false">
      <c r="A159" s="14" t="s">
        <v>386</v>
      </c>
      <c r="B159" s="14" t="s">
        <v>178</v>
      </c>
      <c r="C159" s="14" t="s">
        <v>175</v>
      </c>
      <c r="D159" s="14" t="s">
        <v>145</v>
      </c>
      <c r="E159" s="14" t="n">
        <v>1</v>
      </c>
      <c r="F159" s="15" t="n">
        <f aca="false">'Site Dockets'!Q14</f>
        <v>0</v>
      </c>
      <c r="G159" s="15" t="str">
        <f aca="false">IF(F159=E159,"PASS","OPEN")</f>
        <v>OPEN</v>
      </c>
      <c r="H159" s="14" t="s">
        <v>215</v>
      </c>
      <c r="I159" s="4"/>
      <c r="J159" s="4"/>
      <c r="K159" s="4"/>
      <c r="L159" s="4"/>
      <c r="M159" s="4"/>
      <c r="N159" s="4"/>
    </row>
    <row r="160" customFormat="false" ht="15" hidden="false" customHeight="false" outlineLevel="0" collapsed="false">
      <c r="A160" s="14" t="s">
        <v>387</v>
      </c>
      <c r="B160" s="14" t="s">
        <v>178</v>
      </c>
      <c r="C160" s="14" t="s">
        <v>175</v>
      </c>
      <c r="D160" s="14" t="s">
        <v>240</v>
      </c>
      <c r="E160" s="14" t="n">
        <v>1</v>
      </c>
      <c r="F160" s="15" t="n">
        <f aca="false">1</f>
        <v>1</v>
      </c>
      <c r="G160" s="15" t="str">
        <f aca="false">IF(F160=E160,"PASS","OPEN")</f>
        <v>PASS</v>
      </c>
      <c r="H160" s="14" t="s">
        <v>215</v>
      </c>
      <c r="I160" s="4"/>
      <c r="J160" s="4"/>
      <c r="K160" s="4"/>
      <c r="L160" s="4"/>
      <c r="M160" s="4"/>
      <c r="N160" s="4"/>
    </row>
    <row r="161" customFormat="false" ht="15" hidden="false" customHeight="false" outlineLevel="0" collapsed="false">
      <c r="A161" s="14" t="s">
        <v>388</v>
      </c>
      <c r="B161" s="14" t="s">
        <v>178</v>
      </c>
      <c r="C161" s="14" t="s">
        <v>175</v>
      </c>
      <c r="D161" s="14" t="s">
        <v>242</v>
      </c>
      <c r="E161" s="14" t="n">
        <v>1</v>
      </c>
      <c r="F161" s="15" t="n">
        <f aca="false">IF(COUNTIFS('Failure Worlds'!$J$7:$J$36,"PASS")=Inputs!$B$16,1,0)</f>
        <v>1</v>
      </c>
      <c r="G161" s="15" t="str">
        <f aca="false">IF(F161=E161,"PASS","OPEN")</f>
        <v>PASS</v>
      </c>
      <c r="H161" s="14" t="s">
        <v>243</v>
      </c>
      <c r="I161" s="4"/>
      <c r="J161" s="4"/>
      <c r="K161" s="4"/>
      <c r="L161" s="4"/>
      <c r="M161" s="4"/>
      <c r="N161" s="4"/>
    </row>
    <row r="162" customFormat="false" ht="15" hidden="false" customHeight="false" outlineLevel="0" collapsed="false">
      <c r="A162" s="14" t="s">
        <v>389</v>
      </c>
      <c r="B162" s="14" t="s">
        <v>178</v>
      </c>
      <c r="C162" s="14" t="s">
        <v>175</v>
      </c>
      <c r="D162" s="14" t="s">
        <v>245</v>
      </c>
      <c r="E162" s="14" t="n">
        <v>1</v>
      </c>
      <c r="F162" s="15" t="n">
        <f aca="false">IF(COUNTIFS('Recovery Clocks'!$J$7:$J$186,"PASS")=180,1,0)</f>
        <v>0</v>
      </c>
      <c r="G162" s="15" t="str">
        <f aca="false">IF(F162=E162,"PASS","OPEN")</f>
        <v>OPEN</v>
      </c>
      <c r="H162" s="14" t="s">
        <v>215</v>
      </c>
      <c r="I162" s="4"/>
      <c r="J162" s="4"/>
      <c r="K162" s="4"/>
      <c r="L162" s="4"/>
      <c r="M162" s="4"/>
      <c r="N162" s="4"/>
    </row>
    <row r="163" customFormat="false" ht="15" hidden="false" customHeight="false" outlineLevel="0" collapsed="false">
      <c r="A163" s="14" t="s">
        <v>390</v>
      </c>
      <c r="B163" s="14" t="s">
        <v>178</v>
      </c>
      <c r="C163" s="14" t="s">
        <v>175</v>
      </c>
      <c r="D163" s="14" t="s">
        <v>247</v>
      </c>
      <c r="E163" s="14" t="n">
        <v>1</v>
      </c>
      <c r="F163" s="15" t="n">
        <f aca="false">IF(Inputs!$B$35=18,1,0)</f>
        <v>0</v>
      </c>
      <c r="G163" s="15" t="str">
        <f aca="false">IF(F163=E163,"PASS","OPEN")</f>
        <v>OPEN</v>
      </c>
      <c r="H163" s="14" t="s">
        <v>215</v>
      </c>
      <c r="I163" s="4"/>
      <c r="J163" s="4"/>
      <c r="K163" s="4"/>
      <c r="L163" s="4"/>
      <c r="M163" s="4"/>
      <c r="N163" s="4"/>
    </row>
    <row r="164" customFormat="false" ht="15" hidden="false" customHeight="false" outlineLevel="0" collapsed="false">
      <c r="A164" s="14" t="s">
        <v>391</v>
      </c>
      <c r="B164" s="14" t="s">
        <v>178</v>
      </c>
      <c r="C164" s="14" t="s">
        <v>175</v>
      </c>
      <c r="D164" s="14" t="s">
        <v>249</v>
      </c>
      <c r="E164" s="14" t="n">
        <v>1</v>
      </c>
      <c r="F164" s="15" t="n">
        <f aca="false">0</f>
        <v>0</v>
      </c>
      <c r="G164" s="15" t="str">
        <f aca="false">IF(F164=E164,"PASS","OPEN")</f>
        <v>OPEN</v>
      </c>
      <c r="H164" s="14" t="s">
        <v>215</v>
      </c>
      <c r="I164" s="4"/>
      <c r="J164" s="4"/>
      <c r="K164" s="4"/>
      <c r="L164" s="4"/>
      <c r="M164" s="4"/>
      <c r="N164" s="4"/>
    </row>
    <row r="165" customFormat="false" ht="15" hidden="false" customHeight="false" outlineLevel="0" collapsed="false">
      <c r="A165" s="14" t="s">
        <v>392</v>
      </c>
      <c r="B165" s="14" t="s">
        <v>178</v>
      </c>
      <c r="C165" s="14" t="s">
        <v>175</v>
      </c>
      <c r="D165" s="14" t="s">
        <v>251</v>
      </c>
      <c r="E165" s="14" t="n">
        <v>1</v>
      </c>
      <c r="F165" s="15" t="n">
        <f aca="false">1</f>
        <v>1</v>
      </c>
      <c r="G165" s="15" t="str">
        <f aca="false">IF(F165=E165,"PASS","OPEN")</f>
        <v>PASS</v>
      </c>
      <c r="H165" s="14" t="s">
        <v>215</v>
      </c>
      <c r="I165" s="4"/>
      <c r="J165" s="4"/>
      <c r="K165" s="4"/>
      <c r="L165" s="4"/>
      <c r="M165" s="4"/>
      <c r="N165" s="4"/>
    </row>
    <row r="166" customFormat="false" ht="15" hidden="false" customHeight="false" outlineLevel="0" collapsed="false">
      <c r="A166" s="14" t="s">
        <v>393</v>
      </c>
      <c r="B166" s="14" t="s">
        <v>178</v>
      </c>
      <c r="C166" s="14" t="s">
        <v>175</v>
      </c>
      <c r="D166" s="14" t="s">
        <v>253</v>
      </c>
      <c r="E166" s="14" t="n">
        <v>1</v>
      </c>
      <c r="F166" s="15" t="n">
        <f aca="false">Inputs!$B$37</f>
        <v>0</v>
      </c>
      <c r="G166" s="15" t="str">
        <f aca="false">IF(F166=E166,"PASS","OPEN")</f>
        <v>OPEN</v>
      </c>
      <c r="H166" s="14" t="s">
        <v>215</v>
      </c>
      <c r="I166" s="4"/>
      <c r="J166" s="4"/>
      <c r="K166" s="4"/>
      <c r="L166" s="4"/>
      <c r="M166" s="4"/>
      <c r="N166" s="4"/>
    </row>
    <row r="167" customFormat="false" ht="15" hidden="false" customHeight="false" outlineLevel="0" collapsed="false">
      <c r="A167" s="14" t="s">
        <v>394</v>
      </c>
      <c r="B167" s="14" t="s">
        <v>180</v>
      </c>
      <c r="C167" s="14" t="s">
        <v>175</v>
      </c>
      <c r="D167" s="14" t="s">
        <v>214</v>
      </c>
      <c r="E167" s="14" t="n">
        <v>1</v>
      </c>
      <c r="F167" s="15" t="n">
        <f aca="false">1</f>
        <v>1</v>
      </c>
      <c r="G167" s="15" t="str">
        <f aca="false">IF(F167=E167,"PASS","OPEN")</f>
        <v>PASS</v>
      </c>
      <c r="H167" s="14" t="s">
        <v>215</v>
      </c>
      <c r="I167" s="4"/>
      <c r="J167" s="4"/>
      <c r="K167" s="4"/>
      <c r="L167" s="4"/>
      <c r="M167" s="4"/>
      <c r="N167" s="4"/>
    </row>
    <row r="168" customFormat="false" ht="15" hidden="false" customHeight="false" outlineLevel="0" collapsed="false">
      <c r="A168" s="14" t="s">
        <v>395</v>
      </c>
      <c r="B168" s="14" t="s">
        <v>180</v>
      </c>
      <c r="C168" s="14" t="s">
        <v>175</v>
      </c>
      <c r="D168" s="14" t="s">
        <v>217</v>
      </c>
      <c r="E168" s="14" t="n">
        <v>1</v>
      </c>
      <c r="F168" s="15" t="n">
        <f aca="false">1</f>
        <v>1</v>
      </c>
      <c r="G168" s="15" t="str">
        <f aca="false">IF(F168=E168,"PASS","OPEN")</f>
        <v>PASS</v>
      </c>
      <c r="H168" s="14" t="s">
        <v>215</v>
      </c>
      <c r="I168" s="4"/>
      <c r="J168" s="4"/>
      <c r="K168" s="4"/>
      <c r="L168" s="4"/>
      <c r="M168" s="4"/>
      <c r="N168" s="4"/>
    </row>
    <row r="169" customFormat="false" ht="15" hidden="false" customHeight="false" outlineLevel="0" collapsed="false">
      <c r="A169" s="14" t="s">
        <v>396</v>
      </c>
      <c r="B169" s="14" t="s">
        <v>180</v>
      </c>
      <c r="C169" s="14" t="s">
        <v>175</v>
      </c>
      <c r="D169" s="14" t="s">
        <v>219</v>
      </c>
      <c r="E169" s="14" t="n">
        <v>1</v>
      </c>
      <c r="F169" s="15" t="n">
        <f aca="false">IF('Site Dockets'!J15&lt;&gt;"",1,0)</f>
        <v>0</v>
      </c>
      <c r="G169" s="15" t="str">
        <f aca="false">IF(F169=E169,"PASS","OPEN")</f>
        <v>OPEN</v>
      </c>
      <c r="H169" s="14" t="s">
        <v>215</v>
      </c>
      <c r="I169" s="4"/>
      <c r="J169" s="4"/>
      <c r="K169" s="4"/>
      <c r="L169" s="4"/>
      <c r="M169" s="4"/>
      <c r="N169" s="4"/>
    </row>
    <row r="170" customFormat="false" ht="15" hidden="false" customHeight="false" outlineLevel="0" collapsed="false">
      <c r="A170" s="14" t="s">
        <v>397</v>
      </c>
      <c r="B170" s="14" t="s">
        <v>180</v>
      </c>
      <c r="C170" s="14" t="s">
        <v>175</v>
      </c>
      <c r="D170" s="14" t="s">
        <v>221</v>
      </c>
      <c r="E170" s="14" t="n">
        <v>1</v>
      </c>
      <c r="F170" s="15" t="n">
        <f aca="false">'Site Dockets'!N15</f>
        <v>0</v>
      </c>
      <c r="G170" s="15" t="str">
        <f aca="false">IF(F170=E170,"PASS","OPEN")</f>
        <v>OPEN</v>
      </c>
      <c r="H170" s="14" t="s">
        <v>215</v>
      </c>
      <c r="I170" s="4"/>
      <c r="J170" s="4"/>
      <c r="K170" s="4"/>
      <c r="L170" s="4"/>
      <c r="M170" s="4"/>
      <c r="N170" s="4"/>
    </row>
    <row r="171" customFormat="false" ht="15" hidden="false" customHeight="false" outlineLevel="0" collapsed="false">
      <c r="A171" s="14" t="s">
        <v>398</v>
      </c>
      <c r="B171" s="14" t="s">
        <v>180</v>
      </c>
      <c r="C171" s="14" t="s">
        <v>175</v>
      </c>
      <c r="D171" s="14" t="s">
        <v>143</v>
      </c>
      <c r="E171" s="14" t="n">
        <v>1</v>
      </c>
      <c r="F171" s="15" t="n">
        <f aca="false">'Site Dockets'!O15</f>
        <v>0</v>
      </c>
      <c r="G171" s="15" t="str">
        <f aca="false">IF(F171=E171,"PASS","OPEN")</f>
        <v>OPEN</v>
      </c>
      <c r="H171" s="14" t="s">
        <v>215</v>
      </c>
      <c r="I171" s="4"/>
      <c r="J171" s="4"/>
      <c r="K171" s="4"/>
      <c r="L171" s="4"/>
      <c r="M171" s="4"/>
      <c r="N171" s="4"/>
    </row>
    <row r="172" customFormat="false" ht="15" hidden="false" customHeight="false" outlineLevel="0" collapsed="false">
      <c r="A172" s="14" t="s">
        <v>399</v>
      </c>
      <c r="B172" s="14" t="s">
        <v>180</v>
      </c>
      <c r="C172" s="14" t="s">
        <v>175</v>
      </c>
      <c r="D172" s="14" t="s">
        <v>224</v>
      </c>
      <c r="E172" s="14" t="n">
        <v>1</v>
      </c>
      <c r="F172" s="15" t="n">
        <f aca="false">IF('Site Dockets'!L15&lt;&gt;"",1,0)</f>
        <v>0</v>
      </c>
      <c r="G172" s="15" t="str">
        <f aca="false">IF(F172=E172,"PASS","OPEN")</f>
        <v>OPEN</v>
      </c>
      <c r="H172" s="14" t="s">
        <v>215</v>
      </c>
      <c r="I172" s="4"/>
      <c r="J172" s="4"/>
      <c r="K172" s="4"/>
      <c r="L172" s="4"/>
      <c r="M172" s="4"/>
      <c r="N172" s="4"/>
    </row>
    <row r="173" customFormat="false" ht="15" hidden="false" customHeight="false" outlineLevel="0" collapsed="false">
      <c r="A173" s="14" t="s">
        <v>400</v>
      </c>
      <c r="B173" s="14" t="s">
        <v>180</v>
      </c>
      <c r="C173" s="14" t="s">
        <v>175</v>
      </c>
      <c r="D173" s="14" t="s">
        <v>226</v>
      </c>
      <c r="E173" s="14" t="n">
        <v>1</v>
      </c>
      <c r="F173" s="15" t="n">
        <f aca="false">IF('Site Dockets'!M15&lt;&gt;"",1,0)</f>
        <v>0</v>
      </c>
      <c r="G173" s="15" t="str">
        <f aca="false">IF(F173=E173,"PASS","OPEN")</f>
        <v>OPEN</v>
      </c>
      <c r="H173" s="14" t="s">
        <v>215</v>
      </c>
      <c r="I173" s="4"/>
      <c r="J173" s="4"/>
      <c r="K173" s="4"/>
      <c r="L173" s="4"/>
      <c r="M173" s="4"/>
      <c r="N173" s="4"/>
    </row>
    <row r="174" customFormat="false" ht="15" hidden="false" customHeight="false" outlineLevel="0" collapsed="false">
      <c r="A174" s="14" t="s">
        <v>401</v>
      </c>
      <c r="B174" s="14" t="s">
        <v>180</v>
      </c>
      <c r="C174" s="14" t="s">
        <v>175</v>
      </c>
      <c r="D174" s="14" t="s">
        <v>228</v>
      </c>
      <c r="E174" s="14" t="n">
        <v>1</v>
      </c>
      <c r="F174" s="15" t="n">
        <f aca="false">IF(COUNTIFS('Role Appointments'!$B$7:$B$102,B174,'Role Appointments'!$J$7:$J$102,"READY")=COUNTIFS('Role Appointments'!$B$7:$B$102,B174),1,0)</f>
        <v>0</v>
      </c>
      <c r="G174" s="15" t="str">
        <f aca="false">IF(F174=E174,"PASS","OPEN")</f>
        <v>OPEN</v>
      </c>
      <c r="H174" s="14" t="s">
        <v>215</v>
      </c>
      <c r="I174" s="4"/>
      <c r="J174" s="4"/>
      <c r="K174" s="4"/>
      <c r="L174" s="4"/>
      <c r="M174" s="4"/>
      <c r="N174" s="4"/>
    </row>
    <row r="175" customFormat="false" ht="15" hidden="false" customHeight="false" outlineLevel="0" collapsed="false">
      <c r="A175" s="14" t="s">
        <v>402</v>
      </c>
      <c r="B175" s="14" t="s">
        <v>180</v>
      </c>
      <c r="C175" s="14" t="s">
        <v>175</v>
      </c>
      <c r="D175" s="14" t="s">
        <v>230</v>
      </c>
      <c r="E175" s="14" t="n">
        <v>1</v>
      </c>
      <c r="F175" s="15" t="n">
        <f aca="false">IF(COUNTIFS('Key Custody'!$B$7:$B$84,B175,'Key Custody'!$J$7:$J$84,"READY")=COUNTIFS('Key Custody'!$B$7:$B$84,B175),1,0)</f>
        <v>0</v>
      </c>
      <c r="G175" s="15" t="str">
        <f aca="false">IF(F175=E175,"PASS","OPEN")</f>
        <v>OPEN</v>
      </c>
      <c r="H175" s="14" t="s">
        <v>215</v>
      </c>
      <c r="I175" s="4"/>
      <c r="J175" s="4"/>
      <c r="K175" s="4"/>
      <c r="L175" s="4"/>
      <c r="M175" s="4"/>
      <c r="N175" s="4"/>
    </row>
    <row r="176" customFormat="false" ht="15" hidden="false" customHeight="false" outlineLevel="0" collapsed="false">
      <c r="A176" s="14" t="s">
        <v>403</v>
      </c>
      <c r="B176" s="14" t="s">
        <v>180</v>
      </c>
      <c r="C176" s="14" t="s">
        <v>175</v>
      </c>
      <c r="D176" s="14" t="s">
        <v>232</v>
      </c>
      <c r="E176" s="14" t="n">
        <v>1</v>
      </c>
      <c r="F176" s="15" t="n">
        <f aca="false">IF(AND('Vendor Lots'!G39&lt;&gt;"",'Vendor Lots'!G40&lt;&gt;"",'Vendor Lots'!G41&lt;&gt;"",'Vendor Lots'!G42&lt;&gt;""),1,0)</f>
        <v>0</v>
      </c>
      <c r="G176" s="15" t="str">
        <f aca="false">IF(F176=E176,"PASS","OPEN")</f>
        <v>OPEN</v>
      </c>
      <c r="H176" s="14" t="s">
        <v>215</v>
      </c>
      <c r="I176" s="4"/>
      <c r="J176" s="4"/>
      <c r="K176" s="4"/>
      <c r="L176" s="4"/>
      <c r="M176" s="4"/>
      <c r="N176" s="4"/>
    </row>
    <row r="177" customFormat="false" ht="15" hidden="false" customHeight="false" outlineLevel="0" collapsed="false">
      <c r="A177" s="14" t="s">
        <v>404</v>
      </c>
      <c r="B177" s="14" t="s">
        <v>180</v>
      </c>
      <c r="C177" s="14" t="s">
        <v>175</v>
      </c>
      <c r="D177" s="14" t="s">
        <v>234</v>
      </c>
      <c r="E177" s="14" t="n">
        <v>1</v>
      </c>
      <c r="F177" s="15" t="n">
        <f aca="false">IF(AND('Vendor Lots'!I39&lt;&gt;"",'Vendor Lots'!I40&lt;&gt;"",'Vendor Lots'!I41&lt;&gt;"",'Vendor Lots'!I42&lt;&gt;""),1,0)</f>
        <v>0</v>
      </c>
      <c r="G177" s="15" t="str">
        <f aca="false">IF(F177=E177,"PASS","OPEN")</f>
        <v>OPEN</v>
      </c>
      <c r="H177" s="14" t="s">
        <v>215</v>
      </c>
      <c r="I177" s="4"/>
      <c r="J177" s="4"/>
      <c r="K177" s="4"/>
      <c r="L177" s="4"/>
      <c r="M177" s="4"/>
      <c r="N177" s="4"/>
    </row>
    <row r="178" customFormat="false" ht="15" hidden="false" customHeight="false" outlineLevel="0" collapsed="false">
      <c r="A178" s="14" t="s">
        <v>405</v>
      </c>
      <c r="B178" s="14" t="s">
        <v>180</v>
      </c>
      <c r="C178" s="14" t="s">
        <v>175</v>
      </c>
      <c r="D178" s="14" t="s">
        <v>236</v>
      </c>
      <c r="E178" s="14" t="n">
        <v>1</v>
      </c>
      <c r="F178" s="15" t="n">
        <f aca="false">IF(AND('Vendor Lots'!G39&lt;&gt;"",'Vendor Lots'!G40&lt;&gt;"",'Vendor Lots'!G41&lt;&gt;"",'Vendor Lots'!G42&lt;&gt;"",SUM('Vendor Lots'!K39:K42)=0),1,0)</f>
        <v>0</v>
      </c>
      <c r="G178" s="15" t="str">
        <f aca="false">IF(F178=E178,"PASS","OPEN")</f>
        <v>OPEN</v>
      </c>
      <c r="H178" s="14" t="s">
        <v>237</v>
      </c>
      <c r="I178" s="4"/>
      <c r="J178" s="4"/>
      <c r="K178" s="4"/>
      <c r="L178" s="4"/>
      <c r="M178" s="4"/>
      <c r="N178" s="4"/>
    </row>
    <row r="179" customFormat="false" ht="15" hidden="false" customHeight="false" outlineLevel="0" collapsed="false">
      <c r="A179" s="14" t="s">
        <v>406</v>
      </c>
      <c r="B179" s="14" t="s">
        <v>180</v>
      </c>
      <c r="C179" s="14" t="s">
        <v>175</v>
      </c>
      <c r="D179" s="14" t="s">
        <v>145</v>
      </c>
      <c r="E179" s="14" t="n">
        <v>1</v>
      </c>
      <c r="F179" s="15" t="n">
        <f aca="false">'Site Dockets'!Q15</f>
        <v>0</v>
      </c>
      <c r="G179" s="15" t="str">
        <f aca="false">IF(F179=E179,"PASS","OPEN")</f>
        <v>OPEN</v>
      </c>
      <c r="H179" s="14" t="s">
        <v>215</v>
      </c>
      <c r="I179" s="4"/>
      <c r="J179" s="4"/>
      <c r="K179" s="4"/>
      <c r="L179" s="4"/>
      <c r="M179" s="4"/>
      <c r="N179" s="4"/>
    </row>
    <row r="180" customFormat="false" ht="15" hidden="false" customHeight="false" outlineLevel="0" collapsed="false">
      <c r="A180" s="14" t="s">
        <v>407</v>
      </c>
      <c r="B180" s="14" t="s">
        <v>180</v>
      </c>
      <c r="C180" s="14" t="s">
        <v>175</v>
      </c>
      <c r="D180" s="14" t="s">
        <v>240</v>
      </c>
      <c r="E180" s="14" t="n">
        <v>1</v>
      </c>
      <c r="F180" s="15" t="n">
        <f aca="false">1</f>
        <v>1</v>
      </c>
      <c r="G180" s="15" t="str">
        <f aca="false">IF(F180=E180,"PASS","OPEN")</f>
        <v>PASS</v>
      </c>
      <c r="H180" s="14" t="s">
        <v>215</v>
      </c>
      <c r="I180" s="4"/>
      <c r="J180" s="4"/>
      <c r="K180" s="4"/>
      <c r="L180" s="4"/>
      <c r="M180" s="4"/>
      <c r="N180" s="4"/>
    </row>
    <row r="181" customFormat="false" ht="15" hidden="false" customHeight="false" outlineLevel="0" collapsed="false">
      <c r="A181" s="14" t="s">
        <v>408</v>
      </c>
      <c r="B181" s="14" t="s">
        <v>180</v>
      </c>
      <c r="C181" s="14" t="s">
        <v>175</v>
      </c>
      <c r="D181" s="14" t="s">
        <v>242</v>
      </c>
      <c r="E181" s="14" t="n">
        <v>1</v>
      </c>
      <c r="F181" s="15" t="n">
        <f aca="false">IF(COUNTIFS('Failure Worlds'!$J$7:$J$36,"PASS")=Inputs!$B$16,1,0)</f>
        <v>1</v>
      </c>
      <c r="G181" s="15" t="str">
        <f aca="false">IF(F181=E181,"PASS","OPEN")</f>
        <v>PASS</v>
      </c>
      <c r="H181" s="14" t="s">
        <v>243</v>
      </c>
      <c r="I181" s="4"/>
      <c r="J181" s="4"/>
      <c r="K181" s="4"/>
      <c r="L181" s="4"/>
      <c r="M181" s="4"/>
      <c r="N181" s="4"/>
    </row>
    <row r="182" customFormat="false" ht="15" hidden="false" customHeight="false" outlineLevel="0" collapsed="false">
      <c r="A182" s="14" t="s">
        <v>409</v>
      </c>
      <c r="B182" s="14" t="s">
        <v>180</v>
      </c>
      <c r="C182" s="14" t="s">
        <v>175</v>
      </c>
      <c r="D182" s="14" t="s">
        <v>245</v>
      </c>
      <c r="E182" s="14" t="n">
        <v>1</v>
      </c>
      <c r="F182" s="15" t="n">
        <f aca="false">IF(COUNTIFS('Recovery Clocks'!$J$7:$J$186,"PASS")=180,1,0)</f>
        <v>0</v>
      </c>
      <c r="G182" s="15" t="str">
        <f aca="false">IF(F182=E182,"PASS","OPEN")</f>
        <v>OPEN</v>
      </c>
      <c r="H182" s="14" t="s">
        <v>215</v>
      </c>
      <c r="I182" s="4"/>
      <c r="J182" s="4"/>
      <c r="K182" s="4"/>
      <c r="L182" s="4"/>
      <c r="M182" s="4"/>
      <c r="N182" s="4"/>
    </row>
    <row r="183" customFormat="false" ht="15" hidden="false" customHeight="false" outlineLevel="0" collapsed="false">
      <c r="A183" s="14" t="s">
        <v>410</v>
      </c>
      <c r="B183" s="14" t="s">
        <v>180</v>
      </c>
      <c r="C183" s="14" t="s">
        <v>175</v>
      </c>
      <c r="D183" s="14" t="s">
        <v>247</v>
      </c>
      <c r="E183" s="14" t="n">
        <v>1</v>
      </c>
      <c r="F183" s="15" t="n">
        <f aca="false">IF(Inputs!$B$35=18,1,0)</f>
        <v>0</v>
      </c>
      <c r="G183" s="15" t="str">
        <f aca="false">IF(F183=E183,"PASS","OPEN")</f>
        <v>OPEN</v>
      </c>
      <c r="H183" s="14" t="s">
        <v>215</v>
      </c>
      <c r="I183" s="4"/>
      <c r="J183" s="4"/>
      <c r="K183" s="4"/>
      <c r="L183" s="4"/>
      <c r="M183" s="4"/>
      <c r="N183" s="4"/>
    </row>
    <row r="184" customFormat="false" ht="15" hidden="false" customHeight="false" outlineLevel="0" collapsed="false">
      <c r="A184" s="14" t="s">
        <v>411</v>
      </c>
      <c r="B184" s="14" t="s">
        <v>180</v>
      </c>
      <c r="C184" s="14" t="s">
        <v>175</v>
      </c>
      <c r="D184" s="14" t="s">
        <v>249</v>
      </c>
      <c r="E184" s="14" t="n">
        <v>1</v>
      </c>
      <c r="F184" s="15" t="n">
        <f aca="false">0</f>
        <v>0</v>
      </c>
      <c r="G184" s="15" t="str">
        <f aca="false">IF(F184=E184,"PASS","OPEN")</f>
        <v>OPEN</v>
      </c>
      <c r="H184" s="14" t="s">
        <v>215</v>
      </c>
      <c r="I184" s="4"/>
      <c r="J184" s="4"/>
      <c r="K184" s="4"/>
      <c r="L184" s="4"/>
      <c r="M184" s="4"/>
      <c r="N184" s="4"/>
    </row>
    <row r="185" customFormat="false" ht="15" hidden="false" customHeight="false" outlineLevel="0" collapsed="false">
      <c r="A185" s="14" t="s">
        <v>412</v>
      </c>
      <c r="B185" s="14" t="s">
        <v>180</v>
      </c>
      <c r="C185" s="14" t="s">
        <v>175</v>
      </c>
      <c r="D185" s="14" t="s">
        <v>251</v>
      </c>
      <c r="E185" s="14" t="n">
        <v>1</v>
      </c>
      <c r="F185" s="15" t="n">
        <f aca="false">1</f>
        <v>1</v>
      </c>
      <c r="G185" s="15" t="str">
        <f aca="false">IF(F185=E185,"PASS","OPEN")</f>
        <v>PASS</v>
      </c>
      <c r="H185" s="14" t="s">
        <v>215</v>
      </c>
      <c r="I185" s="4"/>
      <c r="J185" s="4"/>
      <c r="K185" s="4"/>
      <c r="L185" s="4"/>
      <c r="M185" s="4"/>
      <c r="N185" s="4"/>
    </row>
    <row r="186" customFormat="false" ht="15" hidden="false" customHeight="false" outlineLevel="0" collapsed="false">
      <c r="A186" s="14" t="s">
        <v>413</v>
      </c>
      <c r="B186" s="14" t="s">
        <v>180</v>
      </c>
      <c r="C186" s="14" t="s">
        <v>175</v>
      </c>
      <c r="D186" s="14" t="s">
        <v>253</v>
      </c>
      <c r="E186" s="14" t="n">
        <v>1</v>
      </c>
      <c r="F186" s="15" t="n">
        <f aca="false">Inputs!$B$37</f>
        <v>0</v>
      </c>
      <c r="G186" s="15" t="str">
        <f aca="false">IF(F186=E186,"PASS","OPEN")</f>
        <v>OPEN</v>
      </c>
      <c r="H186" s="14" t="s">
        <v>215</v>
      </c>
      <c r="I186" s="4"/>
      <c r="J186" s="4"/>
      <c r="K186" s="4"/>
      <c r="L186" s="4"/>
      <c r="M186" s="4"/>
      <c r="N186" s="4"/>
    </row>
    <row r="187" customFormat="false" ht="15" hidden="false" customHeight="false" outlineLevel="0" collapsed="false">
      <c r="A187" s="14" t="s">
        <v>414</v>
      </c>
      <c r="B187" s="14" t="s">
        <v>182</v>
      </c>
      <c r="C187" s="14" t="s">
        <v>183</v>
      </c>
      <c r="D187" s="14" t="s">
        <v>214</v>
      </c>
      <c r="E187" s="14" t="n">
        <v>1</v>
      </c>
      <c r="F187" s="15" t="n">
        <f aca="false">1</f>
        <v>1</v>
      </c>
      <c r="G187" s="15" t="str">
        <f aca="false">IF(F187=E187,"PASS","OPEN")</f>
        <v>PASS</v>
      </c>
      <c r="H187" s="14" t="s">
        <v>215</v>
      </c>
      <c r="I187" s="4"/>
      <c r="J187" s="4"/>
      <c r="K187" s="4"/>
      <c r="L187" s="4"/>
      <c r="M187" s="4"/>
      <c r="N187" s="4"/>
    </row>
    <row r="188" customFormat="false" ht="15" hidden="false" customHeight="false" outlineLevel="0" collapsed="false">
      <c r="A188" s="14" t="s">
        <v>415</v>
      </c>
      <c r="B188" s="14" t="s">
        <v>182</v>
      </c>
      <c r="C188" s="14" t="s">
        <v>183</v>
      </c>
      <c r="D188" s="14" t="s">
        <v>217</v>
      </c>
      <c r="E188" s="14" t="n">
        <v>1</v>
      </c>
      <c r="F188" s="15" t="n">
        <f aca="false">1</f>
        <v>1</v>
      </c>
      <c r="G188" s="15" t="str">
        <f aca="false">IF(F188=E188,"PASS","OPEN")</f>
        <v>PASS</v>
      </c>
      <c r="H188" s="14" t="s">
        <v>215</v>
      </c>
      <c r="I188" s="4"/>
      <c r="J188" s="4"/>
      <c r="K188" s="4"/>
      <c r="L188" s="4"/>
      <c r="M188" s="4"/>
      <c r="N188" s="4"/>
    </row>
    <row r="189" customFormat="false" ht="15" hidden="false" customHeight="false" outlineLevel="0" collapsed="false">
      <c r="A189" s="14" t="s">
        <v>416</v>
      </c>
      <c r="B189" s="14" t="s">
        <v>182</v>
      </c>
      <c r="C189" s="14" t="s">
        <v>183</v>
      </c>
      <c r="D189" s="14" t="s">
        <v>219</v>
      </c>
      <c r="E189" s="14" t="n">
        <v>1</v>
      </c>
      <c r="F189" s="15" t="n">
        <f aca="false">IF('Site Dockets'!J16&lt;&gt;"",1,0)</f>
        <v>0</v>
      </c>
      <c r="G189" s="15" t="str">
        <f aca="false">IF(F189=E189,"PASS","OPEN")</f>
        <v>OPEN</v>
      </c>
      <c r="H189" s="14" t="s">
        <v>215</v>
      </c>
      <c r="I189" s="4"/>
      <c r="J189" s="4"/>
      <c r="K189" s="4"/>
      <c r="L189" s="4"/>
      <c r="M189" s="4"/>
      <c r="N189" s="4"/>
    </row>
    <row r="190" customFormat="false" ht="15" hidden="false" customHeight="false" outlineLevel="0" collapsed="false">
      <c r="A190" s="14" t="s">
        <v>417</v>
      </c>
      <c r="B190" s="14" t="s">
        <v>182</v>
      </c>
      <c r="C190" s="14" t="s">
        <v>183</v>
      </c>
      <c r="D190" s="14" t="s">
        <v>221</v>
      </c>
      <c r="E190" s="14" t="n">
        <v>1</v>
      </c>
      <c r="F190" s="15" t="n">
        <f aca="false">'Site Dockets'!N16</f>
        <v>0</v>
      </c>
      <c r="G190" s="15" t="str">
        <f aca="false">IF(F190=E190,"PASS","OPEN")</f>
        <v>OPEN</v>
      </c>
      <c r="H190" s="14" t="s">
        <v>215</v>
      </c>
      <c r="I190" s="4"/>
      <c r="J190" s="4"/>
      <c r="K190" s="4"/>
      <c r="L190" s="4"/>
      <c r="M190" s="4"/>
      <c r="N190" s="4"/>
    </row>
    <row r="191" customFormat="false" ht="15" hidden="false" customHeight="false" outlineLevel="0" collapsed="false">
      <c r="A191" s="14" t="s">
        <v>418</v>
      </c>
      <c r="B191" s="14" t="s">
        <v>182</v>
      </c>
      <c r="C191" s="14" t="s">
        <v>183</v>
      </c>
      <c r="D191" s="14" t="s">
        <v>143</v>
      </c>
      <c r="E191" s="14" t="n">
        <v>1</v>
      </c>
      <c r="F191" s="15" t="n">
        <f aca="false">'Site Dockets'!O16</f>
        <v>0</v>
      </c>
      <c r="G191" s="15" t="str">
        <f aca="false">IF(F191=E191,"PASS","OPEN")</f>
        <v>OPEN</v>
      </c>
      <c r="H191" s="14" t="s">
        <v>215</v>
      </c>
      <c r="I191" s="4"/>
      <c r="J191" s="4"/>
      <c r="K191" s="4"/>
      <c r="L191" s="4"/>
      <c r="M191" s="4"/>
      <c r="N191" s="4"/>
    </row>
    <row r="192" customFormat="false" ht="15" hidden="false" customHeight="false" outlineLevel="0" collapsed="false">
      <c r="A192" s="14" t="s">
        <v>419</v>
      </c>
      <c r="B192" s="14" t="s">
        <v>182</v>
      </c>
      <c r="C192" s="14" t="s">
        <v>183</v>
      </c>
      <c r="D192" s="14" t="s">
        <v>224</v>
      </c>
      <c r="E192" s="14" t="n">
        <v>1</v>
      </c>
      <c r="F192" s="15" t="n">
        <f aca="false">IF('Site Dockets'!L16&lt;&gt;"",1,0)</f>
        <v>0</v>
      </c>
      <c r="G192" s="15" t="str">
        <f aca="false">IF(F192=E192,"PASS","OPEN")</f>
        <v>OPEN</v>
      </c>
      <c r="H192" s="14" t="s">
        <v>215</v>
      </c>
      <c r="I192" s="4"/>
      <c r="J192" s="4"/>
      <c r="K192" s="4"/>
      <c r="L192" s="4"/>
      <c r="M192" s="4"/>
      <c r="N192" s="4"/>
    </row>
    <row r="193" customFormat="false" ht="15" hidden="false" customHeight="false" outlineLevel="0" collapsed="false">
      <c r="A193" s="14" t="s">
        <v>420</v>
      </c>
      <c r="B193" s="14" t="s">
        <v>182</v>
      </c>
      <c r="C193" s="14" t="s">
        <v>183</v>
      </c>
      <c r="D193" s="14" t="s">
        <v>226</v>
      </c>
      <c r="E193" s="14" t="n">
        <v>1</v>
      </c>
      <c r="F193" s="15" t="n">
        <f aca="false">IF('Site Dockets'!M16&lt;&gt;"",1,0)</f>
        <v>0</v>
      </c>
      <c r="G193" s="15" t="str">
        <f aca="false">IF(F193=E193,"PASS","OPEN")</f>
        <v>OPEN</v>
      </c>
      <c r="H193" s="14" t="s">
        <v>215</v>
      </c>
      <c r="I193" s="4"/>
      <c r="J193" s="4"/>
      <c r="K193" s="4"/>
      <c r="L193" s="4"/>
      <c r="M193" s="4"/>
      <c r="N193" s="4"/>
    </row>
    <row r="194" customFormat="false" ht="15" hidden="false" customHeight="false" outlineLevel="0" collapsed="false">
      <c r="A194" s="14" t="s">
        <v>421</v>
      </c>
      <c r="B194" s="14" t="s">
        <v>182</v>
      </c>
      <c r="C194" s="14" t="s">
        <v>183</v>
      </c>
      <c r="D194" s="14" t="s">
        <v>228</v>
      </c>
      <c r="E194" s="14" t="n">
        <v>1</v>
      </c>
      <c r="F194" s="15" t="n">
        <f aca="false">IF(COUNTIFS('Role Appointments'!$B$7:$B$102,B194,'Role Appointments'!$J$7:$J$102,"READY")=COUNTIFS('Role Appointments'!$B$7:$B$102,B194),1,0)</f>
        <v>0</v>
      </c>
      <c r="G194" s="15" t="str">
        <f aca="false">IF(F194=E194,"PASS","OPEN")</f>
        <v>OPEN</v>
      </c>
      <c r="H194" s="14" t="s">
        <v>215</v>
      </c>
      <c r="I194" s="4"/>
      <c r="J194" s="4"/>
      <c r="K194" s="4"/>
      <c r="L194" s="4"/>
      <c r="M194" s="4"/>
      <c r="N194" s="4"/>
    </row>
    <row r="195" customFormat="false" ht="15" hidden="false" customHeight="false" outlineLevel="0" collapsed="false">
      <c r="A195" s="14" t="s">
        <v>422</v>
      </c>
      <c r="B195" s="14" t="s">
        <v>182</v>
      </c>
      <c r="C195" s="14" t="s">
        <v>183</v>
      </c>
      <c r="D195" s="14" t="s">
        <v>230</v>
      </c>
      <c r="E195" s="14" t="n">
        <v>1</v>
      </c>
      <c r="F195" s="15" t="n">
        <f aca="false">IF(COUNTIFS('Key Custody'!$B$7:$B$84,B195,'Key Custody'!$J$7:$J$84,"READY")=COUNTIFS('Key Custody'!$B$7:$B$84,B195),1,0)</f>
        <v>0</v>
      </c>
      <c r="G195" s="15" t="str">
        <f aca="false">IF(F195=E195,"PASS","OPEN")</f>
        <v>OPEN</v>
      </c>
      <c r="H195" s="14" t="s">
        <v>215</v>
      </c>
      <c r="I195" s="4"/>
      <c r="J195" s="4"/>
      <c r="K195" s="4"/>
      <c r="L195" s="4"/>
      <c r="M195" s="4"/>
      <c r="N195" s="4"/>
    </row>
    <row r="196" customFormat="false" ht="15" hidden="false" customHeight="false" outlineLevel="0" collapsed="false">
      <c r="A196" s="14" t="s">
        <v>423</v>
      </c>
      <c r="B196" s="14" t="s">
        <v>182</v>
      </c>
      <c r="C196" s="14" t="s">
        <v>183</v>
      </c>
      <c r="D196" s="14" t="s">
        <v>232</v>
      </c>
      <c r="E196" s="14" t="n">
        <v>1</v>
      </c>
      <c r="F196" s="15" t="n">
        <f aca="false">IF(AND('Vendor Lots'!G43&lt;&gt;"",'Vendor Lots'!G44&lt;&gt;"",'Vendor Lots'!G45&lt;&gt;"",'Vendor Lots'!G46&lt;&gt;""),1,0)</f>
        <v>0</v>
      </c>
      <c r="G196" s="15" t="str">
        <f aca="false">IF(F196=E196,"PASS","OPEN")</f>
        <v>OPEN</v>
      </c>
      <c r="H196" s="14" t="s">
        <v>215</v>
      </c>
      <c r="I196" s="4"/>
      <c r="J196" s="4"/>
      <c r="K196" s="4"/>
      <c r="L196" s="4"/>
      <c r="M196" s="4"/>
      <c r="N196" s="4"/>
    </row>
    <row r="197" customFormat="false" ht="15" hidden="false" customHeight="false" outlineLevel="0" collapsed="false">
      <c r="A197" s="14" t="s">
        <v>424</v>
      </c>
      <c r="B197" s="14" t="s">
        <v>182</v>
      </c>
      <c r="C197" s="14" t="s">
        <v>183</v>
      </c>
      <c r="D197" s="14" t="s">
        <v>234</v>
      </c>
      <c r="E197" s="14" t="n">
        <v>1</v>
      </c>
      <c r="F197" s="15" t="n">
        <f aca="false">IF(AND('Vendor Lots'!I43&lt;&gt;"",'Vendor Lots'!I44&lt;&gt;"",'Vendor Lots'!I45&lt;&gt;"",'Vendor Lots'!I46&lt;&gt;""),1,0)</f>
        <v>0</v>
      </c>
      <c r="G197" s="15" t="str">
        <f aca="false">IF(F197=E197,"PASS","OPEN")</f>
        <v>OPEN</v>
      </c>
      <c r="H197" s="14" t="s">
        <v>215</v>
      </c>
      <c r="I197" s="4"/>
      <c r="J197" s="4"/>
      <c r="K197" s="4"/>
      <c r="L197" s="4"/>
      <c r="M197" s="4"/>
      <c r="N197" s="4"/>
    </row>
    <row r="198" customFormat="false" ht="15" hidden="false" customHeight="false" outlineLevel="0" collapsed="false">
      <c r="A198" s="14" t="s">
        <v>425</v>
      </c>
      <c r="B198" s="14" t="s">
        <v>182</v>
      </c>
      <c r="C198" s="14" t="s">
        <v>183</v>
      </c>
      <c r="D198" s="14" t="s">
        <v>236</v>
      </c>
      <c r="E198" s="14" t="n">
        <v>1</v>
      </c>
      <c r="F198" s="15" t="n">
        <f aca="false">IF(AND('Vendor Lots'!G43&lt;&gt;"",'Vendor Lots'!G44&lt;&gt;"",'Vendor Lots'!G45&lt;&gt;"",'Vendor Lots'!G46&lt;&gt;"",SUM('Vendor Lots'!K43:K46)=0),1,0)</f>
        <v>0</v>
      </c>
      <c r="G198" s="15" t="str">
        <f aca="false">IF(F198=E198,"PASS","OPEN")</f>
        <v>OPEN</v>
      </c>
      <c r="H198" s="14" t="s">
        <v>237</v>
      </c>
      <c r="I198" s="4"/>
      <c r="J198" s="4"/>
      <c r="K198" s="4"/>
      <c r="L198" s="4"/>
      <c r="M198" s="4"/>
      <c r="N198" s="4"/>
    </row>
    <row r="199" customFormat="false" ht="15" hidden="false" customHeight="false" outlineLevel="0" collapsed="false">
      <c r="A199" s="14" t="s">
        <v>426</v>
      </c>
      <c r="B199" s="14" t="s">
        <v>182</v>
      </c>
      <c r="C199" s="14" t="s">
        <v>183</v>
      </c>
      <c r="D199" s="14" t="s">
        <v>145</v>
      </c>
      <c r="E199" s="14" t="n">
        <v>1</v>
      </c>
      <c r="F199" s="15" t="n">
        <f aca="false">'Site Dockets'!Q16</f>
        <v>0</v>
      </c>
      <c r="G199" s="15" t="str">
        <f aca="false">IF(F199=E199,"PASS","OPEN")</f>
        <v>OPEN</v>
      </c>
      <c r="H199" s="14" t="s">
        <v>215</v>
      </c>
      <c r="I199" s="4"/>
      <c r="J199" s="4"/>
      <c r="K199" s="4"/>
      <c r="L199" s="4"/>
      <c r="M199" s="4"/>
      <c r="N199" s="4"/>
    </row>
    <row r="200" customFormat="false" ht="15" hidden="false" customHeight="false" outlineLevel="0" collapsed="false">
      <c r="A200" s="14" t="s">
        <v>427</v>
      </c>
      <c r="B200" s="14" t="s">
        <v>182</v>
      </c>
      <c r="C200" s="14" t="s">
        <v>183</v>
      </c>
      <c r="D200" s="14" t="s">
        <v>240</v>
      </c>
      <c r="E200" s="14" t="n">
        <v>1</v>
      </c>
      <c r="F200" s="15" t="n">
        <f aca="false">1</f>
        <v>1</v>
      </c>
      <c r="G200" s="15" t="str">
        <f aca="false">IF(F200=E200,"PASS","OPEN")</f>
        <v>PASS</v>
      </c>
      <c r="H200" s="14" t="s">
        <v>215</v>
      </c>
      <c r="I200" s="4"/>
      <c r="J200" s="4"/>
      <c r="K200" s="4"/>
      <c r="L200" s="4"/>
      <c r="M200" s="4"/>
      <c r="N200" s="4"/>
    </row>
    <row r="201" customFormat="false" ht="15" hidden="false" customHeight="false" outlineLevel="0" collapsed="false">
      <c r="A201" s="14" t="s">
        <v>428</v>
      </c>
      <c r="B201" s="14" t="s">
        <v>182</v>
      </c>
      <c r="C201" s="14" t="s">
        <v>183</v>
      </c>
      <c r="D201" s="14" t="s">
        <v>242</v>
      </c>
      <c r="E201" s="14" t="n">
        <v>1</v>
      </c>
      <c r="F201" s="15" t="n">
        <f aca="false">IF(COUNTIFS('Failure Worlds'!$J$7:$J$36,"PASS")=Inputs!$B$16,1,0)</f>
        <v>1</v>
      </c>
      <c r="G201" s="15" t="str">
        <f aca="false">IF(F201=E201,"PASS","OPEN")</f>
        <v>PASS</v>
      </c>
      <c r="H201" s="14" t="s">
        <v>243</v>
      </c>
      <c r="I201" s="4"/>
      <c r="J201" s="4"/>
      <c r="K201" s="4"/>
      <c r="L201" s="4"/>
      <c r="M201" s="4"/>
      <c r="N201" s="4"/>
    </row>
    <row r="202" customFormat="false" ht="15" hidden="false" customHeight="false" outlineLevel="0" collapsed="false">
      <c r="A202" s="14" t="s">
        <v>429</v>
      </c>
      <c r="B202" s="14" t="s">
        <v>182</v>
      </c>
      <c r="C202" s="14" t="s">
        <v>183</v>
      </c>
      <c r="D202" s="14" t="s">
        <v>245</v>
      </c>
      <c r="E202" s="14" t="n">
        <v>1</v>
      </c>
      <c r="F202" s="15" t="n">
        <f aca="false">IF(COUNTIFS('Recovery Clocks'!$J$7:$J$186,"PASS")=180,1,0)</f>
        <v>0</v>
      </c>
      <c r="G202" s="15" t="str">
        <f aca="false">IF(F202=E202,"PASS","OPEN")</f>
        <v>OPEN</v>
      </c>
      <c r="H202" s="14" t="s">
        <v>215</v>
      </c>
      <c r="I202" s="4"/>
      <c r="J202" s="4"/>
      <c r="K202" s="4"/>
      <c r="L202" s="4"/>
      <c r="M202" s="4"/>
      <c r="N202" s="4"/>
    </row>
    <row r="203" customFormat="false" ht="15" hidden="false" customHeight="false" outlineLevel="0" collapsed="false">
      <c r="A203" s="14" t="s">
        <v>430</v>
      </c>
      <c r="B203" s="14" t="s">
        <v>182</v>
      </c>
      <c r="C203" s="14" t="s">
        <v>183</v>
      </c>
      <c r="D203" s="14" t="s">
        <v>247</v>
      </c>
      <c r="E203" s="14" t="n">
        <v>1</v>
      </c>
      <c r="F203" s="15" t="n">
        <f aca="false">IF(Inputs!$B$35=18,1,0)</f>
        <v>0</v>
      </c>
      <c r="G203" s="15" t="str">
        <f aca="false">IF(F203=E203,"PASS","OPEN")</f>
        <v>OPEN</v>
      </c>
      <c r="H203" s="14" t="s">
        <v>215</v>
      </c>
      <c r="I203" s="4"/>
      <c r="J203" s="4"/>
      <c r="K203" s="4"/>
      <c r="L203" s="4"/>
      <c r="M203" s="4"/>
      <c r="N203" s="4"/>
    </row>
    <row r="204" customFormat="false" ht="15" hidden="false" customHeight="false" outlineLevel="0" collapsed="false">
      <c r="A204" s="14" t="s">
        <v>431</v>
      </c>
      <c r="B204" s="14" t="s">
        <v>182</v>
      </c>
      <c r="C204" s="14" t="s">
        <v>183</v>
      </c>
      <c r="D204" s="14" t="s">
        <v>249</v>
      </c>
      <c r="E204" s="14" t="n">
        <v>1</v>
      </c>
      <c r="F204" s="15" t="n">
        <f aca="false">0</f>
        <v>0</v>
      </c>
      <c r="G204" s="15" t="str">
        <f aca="false">IF(F204=E204,"PASS","OPEN")</f>
        <v>OPEN</v>
      </c>
      <c r="H204" s="14" t="s">
        <v>215</v>
      </c>
      <c r="I204" s="4"/>
      <c r="J204" s="4"/>
      <c r="K204" s="4"/>
      <c r="L204" s="4"/>
      <c r="M204" s="4"/>
      <c r="N204" s="4"/>
    </row>
    <row r="205" customFormat="false" ht="15" hidden="false" customHeight="false" outlineLevel="0" collapsed="false">
      <c r="A205" s="14" t="s">
        <v>432</v>
      </c>
      <c r="B205" s="14" t="s">
        <v>182</v>
      </c>
      <c r="C205" s="14" t="s">
        <v>183</v>
      </c>
      <c r="D205" s="14" t="s">
        <v>251</v>
      </c>
      <c r="E205" s="14" t="n">
        <v>1</v>
      </c>
      <c r="F205" s="15" t="n">
        <f aca="false">1</f>
        <v>1</v>
      </c>
      <c r="G205" s="15" t="str">
        <f aca="false">IF(F205=E205,"PASS","OPEN")</f>
        <v>PASS</v>
      </c>
      <c r="H205" s="14" t="s">
        <v>215</v>
      </c>
      <c r="I205" s="4"/>
      <c r="J205" s="4"/>
      <c r="K205" s="4"/>
      <c r="L205" s="4"/>
      <c r="M205" s="4"/>
      <c r="N205" s="4"/>
    </row>
    <row r="206" customFormat="false" ht="15" hidden="false" customHeight="false" outlineLevel="0" collapsed="false">
      <c r="A206" s="14" t="s">
        <v>433</v>
      </c>
      <c r="B206" s="14" t="s">
        <v>182</v>
      </c>
      <c r="C206" s="14" t="s">
        <v>183</v>
      </c>
      <c r="D206" s="14" t="s">
        <v>253</v>
      </c>
      <c r="E206" s="14" t="n">
        <v>1</v>
      </c>
      <c r="F206" s="15" t="n">
        <f aca="false">Inputs!$B$37</f>
        <v>0</v>
      </c>
      <c r="G206" s="15" t="str">
        <f aca="false">IF(F206=E206,"PASS","OPEN")</f>
        <v>OPEN</v>
      </c>
      <c r="H206" s="14" t="s">
        <v>215</v>
      </c>
      <c r="I206" s="4"/>
      <c r="J206" s="4"/>
      <c r="K206" s="4"/>
      <c r="L206" s="4"/>
      <c r="M206" s="4"/>
      <c r="N206" s="4"/>
    </row>
    <row r="207" customFormat="false" ht="15" hidden="false" customHeight="false" outlineLevel="0" collapsed="false">
      <c r="A207" s="14" t="s">
        <v>434</v>
      </c>
      <c r="B207" s="14" t="s">
        <v>186</v>
      </c>
      <c r="C207" s="14" t="s">
        <v>183</v>
      </c>
      <c r="D207" s="14" t="s">
        <v>214</v>
      </c>
      <c r="E207" s="14" t="n">
        <v>1</v>
      </c>
      <c r="F207" s="15" t="n">
        <f aca="false">1</f>
        <v>1</v>
      </c>
      <c r="G207" s="15" t="str">
        <f aca="false">IF(F207=E207,"PASS","OPEN")</f>
        <v>PASS</v>
      </c>
      <c r="H207" s="14" t="s">
        <v>215</v>
      </c>
      <c r="I207" s="4"/>
      <c r="J207" s="4"/>
      <c r="K207" s="4"/>
      <c r="L207" s="4"/>
      <c r="M207" s="4"/>
      <c r="N207" s="4"/>
    </row>
    <row r="208" customFormat="false" ht="15" hidden="false" customHeight="false" outlineLevel="0" collapsed="false">
      <c r="A208" s="14" t="s">
        <v>435</v>
      </c>
      <c r="B208" s="14" t="s">
        <v>186</v>
      </c>
      <c r="C208" s="14" t="s">
        <v>183</v>
      </c>
      <c r="D208" s="14" t="s">
        <v>217</v>
      </c>
      <c r="E208" s="14" t="n">
        <v>1</v>
      </c>
      <c r="F208" s="15" t="n">
        <f aca="false">1</f>
        <v>1</v>
      </c>
      <c r="G208" s="15" t="str">
        <f aca="false">IF(F208=E208,"PASS","OPEN")</f>
        <v>PASS</v>
      </c>
      <c r="H208" s="14" t="s">
        <v>215</v>
      </c>
      <c r="I208" s="4"/>
      <c r="J208" s="4"/>
      <c r="K208" s="4"/>
      <c r="L208" s="4"/>
      <c r="M208" s="4"/>
      <c r="N208" s="4"/>
    </row>
    <row r="209" customFormat="false" ht="15" hidden="false" customHeight="false" outlineLevel="0" collapsed="false">
      <c r="A209" s="14" t="s">
        <v>436</v>
      </c>
      <c r="B209" s="14" t="s">
        <v>186</v>
      </c>
      <c r="C209" s="14" t="s">
        <v>183</v>
      </c>
      <c r="D209" s="14" t="s">
        <v>219</v>
      </c>
      <c r="E209" s="14" t="n">
        <v>1</v>
      </c>
      <c r="F209" s="15" t="n">
        <f aca="false">IF('Site Dockets'!J17&lt;&gt;"",1,0)</f>
        <v>0</v>
      </c>
      <c r="G209" s="15" t="str">
        <f aca="false">IF(F209=E209,"PASS","OPEN")</f>
        <v>OPEN</v>
      </c>
      <c r="H209" s="14" t="s">
        <v>215</v>
      </c>
      <c r="I209" s="4"/>
      <c r="J209" s="4"/>
      <c r="K209" s="4"/>
      <c r="L209" s="4"/>
      <c r="M209" s="4"/>
      <c r="N209" s="4"/>
    </row>
    <row r="210" customFormat="false" ht="15" hidden="false" customHeight="false" outlineLevel="0" collapsed="false">
      <c r="A210" s="14" t="s">
        <v>437</v>
      </c>
      <c r="B210" s="14" t="s">
        <v>186</v>
      </c>
      <c r="C210" s="14" t="s">
        <v>183</v>
      </c>
      <c r="D210" s="14" t="s">
        <v>221</v>
      </c>
      <c r="E210" s="14" t="n">
        <v>1</v>
      </c>
      <c r="F210" s="15" t="n">
        <f aca="false">'Site Dockets'!N17</f>
        <v>0</v>
      </c>
      <c r="G210" s="15" t="str">
        <f aca="false">IF(F210=E210,"PASS","OPEN")</f>
        <v>OPEN</v>
      </c>
      <c r="H210" s="14" t="s">
        <v>215</v>
      </c>
      <c r="I210" s="4"/>
      <c r="J210" s="4"/>
      <c r="K210" s="4"/>
      <c r="L210" s="4"/>
      <c r="M210" s="4"/>
      <c r="N210" s="4"/>
    </row>
    <row r="211" customFormat="false" ht="15" hidden="false" customHeight="false" outlineLevel="0" collapsed="false">
      <c r="A211" s="14" t="s">
        <v>438</v>
      </c>
      <c r="B211" s="14" t="s">
        <v>186</v>
      </c>
      <c r="C211" s="14" t="s">
        <v>183</v>
      </c>
      <c r="D211" s="14" t="s">
        <v>143</v>
      </c>
      <c r="E211" s="14" t="n">
        <v>1</v>
      </c>
      <c r="F211" s="15" t="n">
        <f aca="false">'Site Dockets'!O17</f>
        <v>0</v>
      </c>
      <c r="G211" s="15" t="str">
        <f aca="false">IF(F211=E211,"PASS","OPEN")</f>
        <v>OPEN</v>
      </c>
      <c r="H211" s="14" t="s">
        <v>215</v>
      </c>
      <c r="I211" s="4"/>
      <c r="J211" s="4"/>
      <c r="K211" s="4"/>
      <c r="L211" s="4"/>
      <c r="M211" s="4"/>
      <c r="N211" s="4"/>
    </row>
    <row r="212" customFormat="false" ht="15" hidden="false" customHeight="false" outlineLevel="0" collapsed="false">
      <c r="A212" s="14" t="s">
        <v>439</v>
      </c>
      <c r="B212" s="14" t="s">
        <v>186</v>
      </c>
      <c r="C212" s="14" t="s">
        <v>183</v>
      </c>
      <c r="D212" s="14" t="s">
        <v>224</v>
      </c>
      <c r="E212" s="14" t="n">
        <v>1</v>
      </c>
      <c r="F212" s="15" t="n">
        <f aca="false">IF('Site Dockets'!L17&lt;&gt;"",1,0)</f>
        <v>0</v>
      </c>
      <c r="G212" s="15" t="str">
        <f aca="false">IF(F212=E212,"PASS","OPEN")</f>
        <v>OPEN</v>
      </c>
      <c r="H212" s="14" t="s">
        <v>215</v>
      </c>
      <c r="I212" s="4"/>
      <c r="J212" s="4"/>
      <c r="K212" s="4"/>
      <c r="L212" s="4"/>
      <c r="M212" s="4"/>
      <c r="N212" s="4"/>
    </row>
    <row r="213" customFormat="false" ht="15" hidden="false" customHeight="false" outlineLevel="0" collapsed="false">
      <c r="A213" s="14" t="s">
        <v>440</v>
      </c>
      <c r="B213" s="14" t="s">
        <v>186</v>
      </c>
      <c r="C213" s="14" t="s">
        <v>183</v>
      </c>
      <c r="D213" s="14" t="s">
        <v>226</v>
      </c>
      <c r="E213" s="14" t="n">
        <v>1</v>
      </c>
      <c r="F213" s="15" t="n">
        <f aca="false">IF('Site Dockets'!M17&lt;&gt;"",1,0)</f>
        <v>0</v>
      </c>
      <c r="G213" s="15" t="str">
        <f aca="false">IF(F213=E213,"PASS","OPEN")</f>
        <v>OPEN</v>
      </c>
      <c r="H213" s="14" t="s">
        <v>215</v>
      </c>
      <c r="I213" s="4"/>
      <c r="J213" s="4"/>
      <c r="K213" s="4"/>
      <c r="L213" s="4"/>
      <c r="M213" s="4"/>
      <c r="N213" s="4"/>
    </row>
    <row r="214" customFormat="false" ht="15" hidden="false" customHeight="false" outlineLevel="0" collapsed="false">
      <c r="A214" s="14" t="s">
        <v>441</v>
      </c>
      <c r="B214" s="14" t="s">
        <v>186</v>
      </c>
      <c r="C214" s="14" t="s">
        <v>183</v>
      </c>
      <c r="D214" s="14" t="s">
        <v>228</v>
      </c>
      <c r="E214" s="14" t="n">
        <v>1</v>
      </c>
      <c r="F214" s="15" t="n">
        <f aca="false">IF(COUNTIFS('Role Appointments'!$B$7:$B$102,B214,'Role Appointments'!$J$7:$J$102,"READY")=COUNTIFS('Role Appointments'!$B$7:$B$102,B214),1,0)</f>
        <v>0</v>
      </c>
      <c r="G214" s="15" t="str">
        <f aca="false">IF(F214=E214,"PASS","OPEN")</f>
        <v>OPEN</v>
      </c>
      <c r="H214" s="14" t="s">
        <v>215</v>
      </c>
      <c r="I214" s="4"/>
      <c r="J214" s="4"/>
      <c r="K214" s="4"/>
      <c r="L214" s="4"/>
      <c r="M214" s="4"/>
      <c r="N214" s="4"/>
    </row>
    <row r="215" customFormat="false" ht="15" hidden="false" customHeight="false" outlineLevel="0" collapsed="false">
      <c r="A215" s="14" t="s">
        <v>442</v>
      </c>
      <c r="B215" s="14" t="s">
        <v>186</v>
      </c>
      <c r="C215" s="14" t="s">
        <v>183</v>
      </c>
      <c r="D215" s="14" t="s">
        <v>230</v>
      </c>
      <c r="E215" s="14" t="n">
        <v>1</v>
      </c>
      <c r="F215" s="15" t="n">
        <f aca="false">IF(COUNTIFS('Key Custody'!$B$7:$B$84,B215,'Key Custody'!$J$7:$J$84,"READY")=COUNTIFS('Key Custody'!$B$7:$B$84,B215),1,0)</f>
        <v>0</v>
      </c>
      <c r="G215" s="15" t="str">
        <f aca="false">IF(F215=E215,"PASS","OPEN")</f>
        <v>OPEN</v>
      </c>
      <c r="H215" s="14" t="s">
        <v>215</v>
      </c>
      <c r="I215" s="4"/>
      <c r="J215" s="4"/>
      <c r="K215" s="4"/>
      <c r="L215" s="4"/>
      <c r="M215" s="4"/>
      <c r="N215" s="4"/>
    </row>
    <row r="216" customFormat="false" ht="15" hidden="false" customHeight="false" outlineLevel="0" collapsed="false">
      <c r="A216" s="14" t="s">
        <v>443</v>
      </c>
      <c r="B216" s="14" t="s">
        <v>186</v>
      </c>
      <c r="C216" s="14" t="s">
        <v>183</v>
      </c>
      <c r="D216" s="14" t="s">
        <v>232</v>
      </c>
      <c r="E216" s="14" t="n">
        <v>1</v>
      </c>
      <c r="F216" s="15" t="n">
        <f aca="false">IF(AND('Vendor Lots'!G47&lt;&gt;"",'Vendor Lots'!G48&lt;&gt;"",'Vendor Lots'!G49&lt;&gt;"",'Vendor Lots'!G50&lt;&gt;""),1,0)</f>
        <v>0</v>
      </c>
      <c r="G216" s="15" t="str">
        <f aca="false">IF(F216=E216,"PASS","OPEN")</f>
        <v>OPEN</v>
      </c>
      <c r="H216" s="14" t="s">
        <v>215</v>
      </c>
      <c r="I216" s="4"/>
      <c r="J216" s="4"/>
      <c r="K216" s="4"/>
      <c r="L216" s="4"/>
      <c r="M216" s="4"/>
      <c r="N216" s="4"/>
    </row>
    <row r="217" customFormat="false" ht="15" hidden="false" customHeight="false" outlineLevel="0" collapsed="false">
      <c r="A217" s="14" t="s">
        <v>444</v>
      </c>
      <c r="B217" s="14" t="s">
        <v>186</v>
      </c>
      <c r="C217" s="14" t="s">
        <v>183</v>
      </c>
      <c r="D217" s="14" t="s">
        <v>234</v>
      </c>
      <c r="E217" s="14" t="n">
        <v>1</v>
      </c>
      <c r="F217" s="15" t="n">
        <f aca="false">IF(AND('Vendor Lots'!I47&lt;&gt;"",'Vendor Lots'!I48&lt;&gt;"",'Vendor Lots'!I49&lt;&gt;"",'Vendor Lots'!I50&lt;&gt;""),1,0)</f>
        <v>0</v>
      </c>
      <c r="G217" s="15" t="str">
        <f aca="false">IF(F217=E217,"PASS","OPEN")</f>
        <v>OPEN</v>
      </c>
      <c r="H217" s="14" t="s">
        <v>215</v>
      </c>
      <c r="I217" s="4"/>
      <c r="J217" s="4"/>
      <c r="K217" s="4"/>
      <c r="L217" s="4"/>
      <c r="M217" s="4"/>
      <c r="N217" s="4"/>
    </row>
    <row r="218" customFormat="false" ht="15" hidden="false" customHeight="false" outlineLevel="0" collapsed="false">
      <c r="A218" s="14" t="s">
        <v>445</v>
      </c>
      <c r="B218" s="14" t="s">
        <v>186</v>
      </c>
      <c r="C218" s="14" t="s">
        <v>183</v>
      </c>
      <c r="D218" s="14" t="s">
        <v>236</v>
      </c>
      <c r="E218" s="14" t="n">
        <v>1</v>
      </c>
      <c r="F218" s="15" t="n">
        <f aca="false">IF(AND('Vendor Lots'!G47&lt;&gt;"",'Vendor Lots'!G48&lt;&gt;"",'Vendor Lots'!G49&lt;&gt;"",'Vendor Lots'!G50&lt;&gt;"",SUM('Vendor Lots'!K47:K50)=0),1,0)</f>
        <v>0</v>
      </c>
      <c r="G218" s="15" t="str">
        <f aca="false">IF(F218=E218,"PASS","OPEN")</f>
        <v>OPEN</v>
      </c>
      <c r="H218" s="14" t="s">
        <v>237</v>
      </c>
      <c r="I218" s="4"/>
      <c r="J218" s="4"/>
      <c r="K218" s="4"/>
      <c r="L218" s="4"/>
      <c r="M218" s="4"/>
      <c r="N218" s="4"/>
    </row>
    <row r="219" customFormat="false" ht="15" hidden="false" customHeight="false" outlineLevel="0" collapsed="false">
      <c r="A219" s="14" t="s">
        <v>446</v>
      </c>
      <c r="B219" s="14" t="s">
        <v>186</v>
      </c>
      <c r="C219" s="14" t="s">
        <v>183</v>
      </c>
      <c r="D219" s="14" t="s">
        <v>145</v>
      </c>
      <c r="E219" s="14" t="n">
        <v>1</v>
      </c>
      <c r="F219" s="15" t="n">
        <f aca="false">'Site Dockets'!Q17</f>
        <v>0</v>
      </c>
      <c r="G219" s="15" t="str">
        <f aca="false">IF(F219=E219,"PASS","OPEN")</f>
        <v>OPEN</v>
      </c>
      <c r="H219" s="14" t="s">
        <v>215</v>
      </c>
      <c r="I219" s="4"/>
      <c r="J219" s="4"/>
      <c r="K219" s="4"/>
      <c r="L219" s="4"/>
      <c r="M219" s="4"/>
      <c r="N219" s="4"/>
    </row>
    <row r="220" customFormat="false" ht="15" hidden="false" customHeight="false" outlineLevel="0" collapsed="false">
      <c r="A220" s="14" t="s">
        <v>447</v>
      </c>
      <c r="B220" s="14" t="s">
        <v>186</v>
      </c>
      <c r="C220" s="14" t="s">
        <v>183</v>
      </c>
      <c r="D220" s="14" t="s">
        <v>240</v>
      </c>
      <c r="E220" s="14" t="n">
        <v>1</v>
      </c>
      <c r="F220" s="15" t="n">
        <f aca="false">1</f>
        <v>1</v>
      </c>
      <c r="G220" s="15" t="str">
        <f aca="false">IF(F220=E220,"PASS","OPEN")</f>
        <v>PASS</v>
      </c>
      <c r="H220" s="14" t="s">
        <v>215</v>
      </c>
      <c r="I220" s="4"/>
      <c r="J220" s="4"/>
      <c r="K220" s="4"/>
      <c r="L220" s="4"/>
      <c r="M220" s="4"/>
      <c r="N220" s="4"/>
    </row>
    <row r="221" customFormat="false" ht="15" hidden="false" customHeight="false" outlineLevel="0" collapsed="false">
      <c r="A221" s="14" t="s">
        <v>448</v>
      </c>
      <c r="B221" s="14" t="s">
        <v>186</v>
      </c>
      <c r="C221" s="14" t="s">
        <v>183</v>
      </c>
      <c r="D221" s="14" t="s">
        <v>242</v>
      </c>
      <c r="E221" s="14" t="n">
        <v>1</v>
      </c>
      <c r="F221" s="15" t="n">
        <f aca="false">IF(COUNTIFS('Failure Worlds'!$J$7:$J$36,"PASS")=Inputs!$B$16,1,0)</f>
        <v>1</v>
      </c>
      <c r="G221" s="15" t="str">
        <f aca="false">IF(F221=E221,"PASS","OPEN")</f>
        <v>PASS</v>
      </c>
      <c r="H221" s="14" t="s">
        <v>243</v>
      </c>
      <c r="I221" s="4"/>
      <c r="J221" s="4"/>
      <c r="K221" s="4"/>
      <c r="L221" s="4"/>
      <c r="M221" s="4"/>
      <c r="N221" s="4"/>
    </row>
    <row r="222" customFormat="false" ht="15" hidden="false" customHeight="false" outlineLevel="0" collapsed="false">
      <c r="A222" s="14" t="s">
        <v>449</v>
      </c>
      <c r="B222" s="14" t="s">
        <v>186</v>
      </c>
      <c r="C222" s="14" t="s">
        <v>183</v>
      </c>
      <c r="D222" s="14" t="s">
        <v>245</v>
      </c>
      <c r="E222" s="14" t="n">
        <v>1</v>
      </c>
      <c r="F222" s="15" t="n">
        <f aca="false">IF(COUNTIFS('Recovery Clocks'!$J$7:$J$186,"PASS")=180,1,0)</f>
        <v>0</v>
      </c>
      <c r="G222" s="15" t="str">
        <f aca="false">IF(F222=E222,"PASS","OPEN")</f>
        <v>OPEN</v>
      </c>
      <c r="H222" s="14" t="s">
        <v>215</v>
      </c>
      <c r="I222" s="4"/>
      <c r="J222" s="4"/>
      <c r="K222" s="4"/>
      <c r="L222" s="4"/>
      <c r="M222" s="4"/>
      <c r="N222" s="4"/>
    </row>
    <row r="223" customFormat="false" ht="15" hidden="false" customHeight="false" outlineLevel="0" collapsed="false">
      <c r="A223" s="14" t="s">
        <v>450</v>
      </c>
      <c r="B223" s="14" t="s">
        <v>186</v>
      </c>
      <c r="C223" s="14" t="s">
        <v>183</v>
      </c>
      <c r="D223" s="14" t="s">
        <v>247</v>
      </c>
      <c r="E223" s="14" t="n">
        <v>1</v>
      </c>
      <c r="F223" s="15" t="n">
        <f aca="false">IF(Inputs!$B$35=18,1,0)</f>
        <v>0</v>
      </c>
      <c r="G223" s="15" t="str">
        <f aca="false">IF(F223=E223,"PASS","OPEN")</f>
        <v>OPEN</v>
      </c>
      <c r="H223" s="14" t="s">
        <v>215</v>
      </c>
      <c r="I223" s="4"/>
      <c r="J223" s="4"/>
      <c r="K223" s="4"/>
      <c r="L223" s="4"/>
      <c r="M223" s="4"/>
      <c r="N223" s="4"/>
    </row>
    <row r="224" customFormat="false" ht="15" hidden="false" customHeight="false" outlineLevel="0" collapsed="false">
      <c r="A224" s="14" t="s">
        <v>451</v>
      </c>
      <c r="B224" s="14" t="s">
        <v>186</v>
      </c>
      <c r="C224" s="14" t="s">
        <v>183</v>
      </c>
      <c r="D224" s="14" t="s">
        <v>249</v>
      </c>
      <c r="E224" s="14" t="n">
        <v>1</v>
      </c>
      <c r="F224" s="15" t="n">
        <f aca="false">0</f>
        <v>0</v>
      </c>
      <c r="G224" s="15" t="str">
        <f aca="false">IF(F224=E224,"PASS","OPEN")</f>
        <v>OPEN</v>
      </c>
      <c r="H224" s="14" t="s">
        <v>215</v>
      </c>
      <c r="I224" s="4"/>
      <c r="J224" s="4"/>
      <c r="K224" s="4"/>
      <c r="L224" s="4"/>
      <c r="M224" s="4"/>
      <c r="N224" s="4"/>
    </row>
    <row r="225" customFormat="false" ht="15" hidden="false" customHeight="false" outlineLevel="0" collapsed="false">
      <c r="A225" s="14" t="s">
        <v>452</v>
      </c>
      <c r="B225" s="14" t="s">
        <v>186</v>
      </c>
      <c r="C225" s="14" t="s">
        <v>183</v>
      </c>
      <c r="D225" s="14" t="s">
        <v>251</v>
      </c>
      <c r="E225" s="14" t="n">
        <v>1</v>
      </c>
      <c r="F225" s="15" t="n">
        <f aca="false">1</f>
        <v>1</v>
      </c>
      <c r="G225" s="15" t="str">
        <f aca="false">IF(F225=E225,"PASS","OPEN")</f>
        <v>PASS</v>
      </c>
      <c r="H225" s="14" t="s">
        <v>215</v>
      </c>
      <c r="I225" s="4"/>
      <c r="J225" s="4"/>
      <c r="K225" s="4"/>
      <c r="L225" s="4"/>
      <c r="M225" s="4"/>
      <c r="N225" s="4"/>
    </row>
    <row r="226" customFormat="false" ht="15" hidden="false" customHeight="false" outlineLevel="0" collapsed="false">
      <c r="A226" s="14" t="s">
        <v>453</v>
      </c>
      <c r="B226" s="14" t="s">
        <v>186</v>
      </c>
      <c r="C226" s="14" t="s">
        <v>183</v>
      </c>
      <c r="D226" s="14" t="s">
        <v>253</v>
      </c>
      <c r="E226" s="14" t="n">
        <v>1</v>
      </c>
      <c r="F226" s="15" t="n">
        <f aca="false">Inputs!$B$37</f>
        <v>0</v>
      </c>
      <c r="G226" s="15" t="str">
        <f aca="false">IF(F226=E226,"PASS","OPEN")</f>
        <v>OPEN</v>
      </c>
      <c r="H226" s="14" t="s">
        <v>215</v>
      </c>
      <c r="I226" s="4"/>
      <c r="J226" s="4"/>
      <c r="K226" s="4"/>
      <c r="L226" s="4"/>
      <c r="M226" s="4"/>
      <c r="N226" s="4"/>
    </row>
    <row r="227" customFormat="false" ht="15" hidden="false" customHeight="false" outlineLevel="0" collapsed="false">
      <c r="A227" s="14" t="s">
        <v>454</v>
      </c>
      <c r="B227" s="14" t="s">
        <v>188</v>
      </c>
      <c r="C227" s="14" t="s">
        <v>183</v>
      </c>
      <c r="D227" s="14" t="s">
        <v>214</v>
      </c>
      <c r="E227" s="14" t="n">
        <v>1</v>
      </c>
      <c r="F227" s="15" t="n">
        <f aca="false">1</f>
        <v>1</v>
      </c>
      <c r="G227" s="15" t="str">
        <f aca="false">IF(F227=E227,"PASS","OPEN")</f>
        <v>PASS</v>
      </c>
      <c r="H227" s="14" t="s">
        <v>215</v>
      </c>
      <c r="I227" s="4"/>
      <c r="J227" s="4"/>
      <c r="K227" s="4"/>
      <c r="L227" s="4"/>
      <c r="M227" s="4"/>
      <c r="N227" s="4"/>
    </row>
    <row r="228" customFormat="false" ht="15" hidden="false" customHeight="false" outlineLevel="0" collapsed="false">
      <c r="A228" s="14" t="s">
        <v>455</v>
      </c>
      <c r="B228" s="14" t="s">
        <v>188</v>
      </c>
      <c r="C228" s="14" t="s">
        <v>183</v>
      </c>
      <c r="D228" s="14" t="s">
        <v>217</v>
      </c>
      <c r="E228" s="14" t="n">
        <v>1</v>
      </c>
      <c r="F228" s="15" t="n">
        <f aca="false">1</f>
        <v>1</v>
      </c>
      <c r="G228" s="15" t="str">
        <f aca="false">IF(F228=E228,"PASS","OPEN")</f>
        <v>PASS</v>
      </c>
      <c r="H228" s="14" t="s">
        <v>215</v>
      </c>
      <c r="I228" s="4"/>
      <c r="J228" s="4"/>
      <c r="K228" s="4"/>
      <c r="L228" s="4"/>
      <c r="M228" s="4"/>
      <c r="N228" s="4"/>
    </row>
    <row r="229" customFormat="false" ht="15" hidden="false" customHeight="false" outlineLevel="0" collapsed="false">
      <c r="A229" s="14" t="s">
        <v>456</v>
      </c>
      <c r="B229" s="14" t="s">
        <v>188</v>
      </c>
      <c r="C229" s="14" t="s">
        <v>183</v>
      </c>
      <c r="D229" s="14" t="s">
        <v>219</v>
      </c>
      <c r="E229" s="14" t="n">
        <v>1</v>
      </c>
      <c r="F229" s="15" t="n">
        <f aca="false">IF('Site Dockets'!J18&lt;&gt;"",1,0)</f>
        <v>0</v>
      </c>
      <c r="G229" s="15" t="str">
        <f aca="false">IF(F229=E229,"PASS","OPEN")</f>
        <v>OPEN</v>
      </c>
      <c r="H229" s="14" t="s">
        <v>215</v>
      </c>
      <c r="I229" s="4"/>
      <c r="J229" s="4"/>
      <c r="K229" s="4"/>
      <c r="L229" s="4"/>
      <c r="M229" s="4"/>
      <c r="N229" s="4"/>
    </row>
    <row r="230" customFormat="false" ht="15" hidden="false" customHeight="false" outlineLevel="0" collapsed="false">
      <c r="A230" s="14" t="s">
        <v>457</v>
      </c>
      <c r="B230" s="14" t="s">
        <v>188</v>
      </c>
      <c r="C230" s="14" t="s">
        <v>183</v>
      </c>
      <c r="D230" s="14" t="s">
        <v>221</v>
      </c>
      <c r="E230" s="14" t="n">
        <v>1</v>
      </c>
      <c r="F230" s="15" t="n">
        <f aca="false">'Site Dockets'!N18</f>
        <v>0</v>
      </c>
      <c r="G230" s="15" t="str">
        <f aca="false">IF(F230=E230,"PASS","OPEN")</f>
        <v>OPEN</v>
      </c>
      <c r="H230" s="14" t="s">
        <v>215</v>
      </c>
      <c r="I230" s="4"/>
      <c r="J230" s="4"/>
      <c r="K230" s="4"/>
      <c r="L230" s="4"/>
      <c r="M230" s="4"/>
      <c r="N230" s="4"/>
    </row>
    <row r="231" customFormat="false" ht="15" hidden="false" customHeight="false" outlineLevel="0" collapsed="false">
      <c r="A231" s="14" t="s">
        <v>458</v>
      </c>
      <c r="B231" s="14" t="s">
        <v>188</v>
      </c>
      <c r="C231" s="14" t="s">
        <v>183</v>
      </c>
      <c r="D231" s="14" t="s">
        <v>143</v>
      </c>
      <c r="E231" s="14" t="n">
        <v>1</v>
      </c>
      <c r="F231" s="15" t="n">
        <f aca="false">'Site Dockets'!O18</f>
        <v>0</v>
      </c>
      <c r="G231" s="15" t="str">
        <f aca="false">IF(F231=E231,"PASS","OPEN")</f>
        <v>OPEN</v>
      </c>
      <c r="H231" s="14" t="s">
        <v>215</v>
      </c>
      <c r="I231" s="4"/>
      <c r="J231" s="4"/>
      <c r="K231" s="4"/>
      <c r="L231" s="4"/>
      <c r="M231" s="4"/>
      <c r="N231" s="4"/>
    </row>
    <row r="232" customFormat="false" ht="15" hidden="false" customHeight="false" outlineLevel="0" collapsed="false">
      <c r="A232" s="14" t="s">
        <v>459</v>
      </c>
      <c r="B232" s="14" t="s">
        <v>188</v>
      </c>
      <c r="C232" s="14" t="s">
        <v>183</v>
      </c>
      <c r="D232" s="14" t="s">
        <v>224</v>
      </c>
      <c r="E232" s="14" t="n">
        <v>1</v>
      </c>
      <c r="F232" s="15" t="n">
        <f aca="false">IF('Site Dockets'!L18&lt;&gt;"",1,0)</f>
        <v>0</v>
      </c>
      <c r="G232" s="15" t="str">
        <f aca="false">IF(F232=E232,"PASS","OPEN")</f>
        <v>OPEN</v>
      </c>
      <c r="H232" s="14" t="s">
        <v>215</v>
      </c>
      <c r="I232" s="4"/>
      <c r="J232" s="4"/>
      <c r="K232" s="4"/>
      <c r="L232" s="4"/>
      <c r="M232" s="4"/>
      <c r="N232" s="4"/>
    </row>
    <row r="233" customFormat="false" ht="15" hidden="false" customHeight="false" outlineLevel="0" collapsed="false">
      <c r="A233" s="14" t="s">
        <v>460</v>
      </c>
      <c r="B233" s="14" t="s">
        <v>188</v>
      </c>
      <c r="C233" s="14" t="s">
        <v>183</v>
      </c>
      <c r="D233" s="14" t="s">
        <v>226</v>
      </c>
      <c r="E233" s="14" t="n">
        <v>1</v>
      </c>
      <c r="F233" s="15" t="n">
        <f aca="false">IF('Site Dockets'!M18&lt;&gt;"",1,0)</f>
        <v>0</v>
      </c>
      <c r="G233" s="15" t="str">
        <f aca="false">IF(F233=E233,"PASS","OPEN")</f>
        <v>OPEN</v>
      </c>
      <c r="H233" s="14" t="s">
        <v>215</v>
      </c>
      <c r="I233" s="4"/>
      <c r="J233" s="4"/>
      <c r="K233" s="4"/>
      <c r="L233" s="4"/>
      <c r="M233" s="4"/>
      <c r="N233" s="4"/>
    </row>
    <row r="234" customFormat="false" ht="15" hidden="false" customHeight="false" outlineLevel="0" collapsed="false">
      <c r="A234" s="14" t="s">
        <v>461</v>
      </c>
      <c r="B234" s="14" t="s">
        <v>188</v>
      </c>
      <c r="C234" s="14" t="s">
        <v>183</v>
      </c>
      <c r="D234" s="14" t="s">
        <v>228</v>
      </c>
      <c r="E234" s="14" t="n">
        <v>1</v>
      </c>
      <c r="F234" s="15" t="n">
        <f aca="false">IF(COUNTIFS('Role Appointments'!$B$7:$B$102,B234,'Role Appointments'!$J$7:$J$102,"READY")=COUNTIFS('Role Appointments'!$B$7:$B$102,B234),1,0)</f>
        <v>0</v>
      </c>
      <c r="G234" s="15" t="str">
        <f aca="false">IF(F234=E234,"PASS","OPEN")</f>
        <v>OPEN</v>
      </c>
      <c r="H234" s="14" t="s">
        <v>215</v>
      </c>
      <c r="I234" s="4"/>
      <c r="J234" s="4"/>
      <c r="K234" s="4"/>
      <c r="L234" s="4"/>
      <c r="M234" s="4"/>
      <c r="N234" s="4"/>
    </row>
    <row r="235" customFormat="false" ht="15" hidden="false" customHeight="false" outlineLevel="0" collapsed="false">
      <c r="A235" s="14" t="s">
        <v>462</v>
      </c>
      <c r="B235" s="14" t="s">
        <v>188</v>
      </c>
      <c r="C235" s="14" t="s">
        <v>183</v>
      </c>
      <c r="D235" s="14" t="s">
        <v>230</v>
      </c>
      <c r="E235" s="14" t="n">
        <v>1</v>
      </c>
      <c r="F235" s="15" t="n">
        <f aca="false">IF(COUNTIFS('Key Custody'!$B$7:$B$84,B235,'Key Custody'!$J$7:$J$84,"READY")=COUNTIFS('Key Custody'!$B$7:$B$84,B235),1,0)</f>
        <v>0</v>
      </c>
      <c r="G235" s="15" t="str">
        <f aca="false">IF(F235=E235,"PASS","OPEN")</f>
        <v>OPEN</v>
      </c>
      <c r="H235" s="14" t="s">
        <v>215</v>
      </c>
      <c r="I235" s="4"/>
      <c r="J235" s="4"/>
      <c r="K235" s="4"/>
      <c r="L235" s="4"/>
      <c r="M235" s="4"/>
      <c r="N235" s="4"/>
    </row>
    <row r="236" customFormat="false" ht="15" hidden="false" customHeight="false" outlineLevel="0" collapsed="false">
      <c r="A236" s="14" t="s">
        <v>463</v>
      </c>
      <c r="B236" s="14" t="s">
        <v>188</v>
      </c>
      <c r="C236" s="14" t="s">
        <v>183</v>
      </c>
      <c r="D236" s="14" t="s">
        <v>232</v>
      </c>
      <c r="E236" s="14" t="n">
        <v>1</v>
      </c>
      <c r="F236" s="15" t="n">
        <f aca="false">IF(AND('Vendor Lots'!G51&lt;&gt;"",'Vendor Lots'!G52&lt;&gt;"",'Vendor Lots'!G53&lt;&gt;"",'Vendor Lots'!G54&lt;&gt;""),1,0)</f>
        <v>0</v>
      </c>
      <c r="G236" s="15" t="str">
        <f aca="false">IF(F236=E236,"PASS","OPEN")</f>
        <v>OPEN</v>
      </c>
      <c r="H236" s="14" t="s">
        <v>215</v>
      </c>
      <c r="I236" s="4"/>
      <c r="J236" s="4"/>
      <c r="K236" s="4"/>
      <c r="L236" s="4"/>
      <c r="M236" s="4"/>
      <c r="N236" s="4"/>
    </row>
    <row r="237" customFormat="false" ht="15" hidden="false" customHeight="false" outlineLevel="0" collapsed="false">
      <c r="A237" s="14" t="s">
        <v>464</v>
      </c>
      <c r="B237" s="14" t="s">
        <v>188</v>
      </c>
      <c r="C237" s="14" t="s">
        <v>183</v>
      </c>
      <c r="D237" s="14" t="s">
        <v>234</v>
      </c>
      <c r="E237" s="14" t="n">
        <v>1</v>
      </c>
      <c r="F237" s="15" t="n">
        <f aca="false">IF(AND('Vendor Lots'!I51&lt;&gt;"",'Vendor Lots'!I52&lt;&gt;"",'Vendor Lots'!I53&lt;&gt;"",'Vendor Lots'!I54&lt;&gt;""),1,0)</f>
        <v>0</v>
      </c>
      <c r="G237" s="15" t="str">
        <f aca="false">IF(F237=E237,"PASS","OPEN")</f>
        <v>OPEN</v>
      </c>
      <c r="H237" s="14" t="s">
        <v>215</v>
      </c>
      <c r="I237" s="4"/>
      <c r="J237" s="4"/>
      <c r="K237" s="4"/>
      <c r="L237" s="4"/>
      <c r="M237" s="4"/>
      <c r="N237" s="4"/>
    </row>
    <row r="238" customFormat="false" ht="15" hidden="false" customHeight="false" outlineLevel="0" collapsed="false">
      <c r="A238" s="14" t="s">
        <v>465</v>
      </c>
      <c r="B238" s="14" t="s">
        <v>188</v>
      </c>
      <c r="C238" s="14" t="s">
        <v>183</v>
      </c>
      <c r="D238" s="14" t="s">
        <v>236</v>
      </c>
      <c r="E238" s="14" t="n">
        <v>1</v>
      </c>
      <c r="F238" s="15" t="n">
        <f aca="false">IF(AND('Vendor Lots'!G51&lt;&gt;"",'Vendor Lots'!G52&lt;&gt;"",'Vendor Lots'!G53&lt;&gt;"",'Vendor Lots'!G54&lt;&gt;"",SUM('Vendor Lots'!K51:K54)=0),1,0)</f>
        <v>0</v>
      </c>
      <c r="G238" s="15" t="str">
        <f aca="false">IF(F238=E238,"PASS","OPEN")</f>
        <v>OPEN</v>
      </c>
      <c r="H238" s="14" t="s">
        <v>237</v>
      </c>
      <c r="I238" s="4"/>
      <c r="J238" s="4"/>
      <c r="K238" s="4"/>
      <c r="L238" s="4"/>
      <c r="M238" s="4"/>
      <c r="N238" s="4"/>
    </row>
    <row r="239" customFormat="false" ht="15" hidden="false" customHeight="false" outlineLevel="0" collapsed="false">
      <c r="A239" s="14" t="s">
        <v>466</v>
      </c>
      <c r="B239" s="14" t="s">
        <v>188</v>
      </c>
      <c r="C239" s="14" t="s">
        <v>183</v>
      </c>
      <c r="D239" s="14" t="s">
        <v>145</v>
      </c>
      <c r="E239" s="14" t="n">
        <v>1</v>
      </c>
      <c r="F239" s="15" t="n">
        <f aca="false">'Site Dockets'!Q18</f>
        <v>0</v>
      </c>
      <c r="G239" s="15" t="str">
        <f aca="false">IF(F239=E239,"PASS","OPEN")</f>
        <v>OPEN</v>
      </c>
      <c r="H239" s="14" t="s">
        <v>215</v>
      </c>
      <c r="I239" s="4"/>
      <c r="J239" s="4"/>
      <c r="K239" s="4"/>
      <c r="L239" s="4"/>
      <c r="M239" s="4"/>
      <c r="N239" s="4"/>
    </row>
    <row r="240" customFormat="false" ht="15" hidden="false" customHeight="false" outlineLevel="0" collapsed="false">
      <c r="A240" s="14" t="s">
        <v>467</v>
      </c>
      <c r="B240" s="14" t="s">
        <v>188</v>
      </c>
      <c r="C240" s="14" t="s">
        <v>183</v>
      </c>
      <c r="D240" s="14" t="s">
        <v>240</v>
      </c>
      <c r="E240" s="14" t="n">
        <v>1</v>
      </c>
      <c r="F240" s="15" t="n">
        <f aca="false">1</f>
        <v>1</v>
      </c>
      <c r="G240" s="15" t="str">
        <f aca="false">IF(F240=E240,"PASS","OPEN")</f>
        <v>PASS</v>
      </c>
      <c r="H240" s="14" t="s">
        <v>215</v>
      </c>
      <c r="I240" s="4"/>
      <c r="J240" s="4"/>
      <c r="K240" s="4"/>
      <c r="L240" s="4"/>
      <c r="M240" s="4"/>
      <c r="N240" s="4"/>
    </row>
    <row r="241" customFormat="false" ht="15" hidden="false" customHeight="false" outlineLevel="0" collapsed="false">
      <c r="A241" s="14" t="s">
        <v>468</v>
      </c>
      <c r="B241" s="14" t="s">
        <v>188</v>
      </c>
      <c r="C241" s="14" t="s">
        <v>183</v>
      </c>
      <c r="D241" s="14" t="s">
        <v>242</v>
      </c>
      <c r="E241" s="14" t="n">
        <v>1</v>
      </c>
      <c r="F241" s="15" t="n">
        <f aca="false">IF(COUNTIFS('Failure Worlds'!$J$7:$J$36,"PASS")=Inputs!$B$16,1,0)</f>
        <v>1</v>
      </c>
      <c r="G241" s="15" t="str">
        <f aca="false">IF(F241=E241,"PASS","OPEN")</f>
        <v>PASS</v>
      </c>
      <c r="H241" s="14" t="s">
        <v>243</v>
      </c>
      <c r="I241" s="4"/>
      <c r="J241" s="4"/>
      <c r="K241" s="4"/>
      <c r="L241" s="4"/>
      <c r="M241" s="4"/>
      <c r="N241" s="4"/>
    </row>
    <row r="242" customFormat="false" ht="15" hidden="false" customHeight="false" outlineLevel="0" collapsed="false">
      <c r="A242" s="14" t="s">
        <v>469</v>
      </c>
      <c r="B242" s="14" t="s">
        <v>188</v>
      </c>
      <c r="C242" s="14" t="s">
        <v>183</v>
      </c>
      <c r="D242" s="14" t="s">
        <v>245</v>
      </c>
      <c r="E242" s="14" t="n">
        <v>1</v>
      </c>
      <c r="F242" s="15" t="n">
        <f aca="false">IF(COUNTIFS('Recovery Clocks'!$J$7:$J$186,"PASS")=180,1,0)</f>
        <v>0</v>
      </c>
      <c r="G242" s="15" t="str">
        <f aca="false">IF(F242=E242,"PASS","OPEN")</f>
        <v>OPEN</v>
      </c>
      <c r="H242" s="14" t="s">
        <v>215</v>
      </c>
      <c r="I242" s="4"/>
      <c r="J242" s="4"/>
      <c r="K242" s="4"/>
      <c r="L242" s="4"/>
      <c r="M242" s="4"/>
      <c r="N242" s="4"/>
    </row>
    <row r="243" customFormat="false" ht="15" hidden="false" customHeight="false" outlineLevel="0" collapsed="false">
      <c r="A243" s="14" t="s">
        <v>470</v>
      </c>
      <c r="B243" s="14" t="s">
        <v>188</v>
      </c>
      <c r="C243" s="14" t="s">
        <v>183</v>
      </c>
      <c r="D243" s="14" t="s">
        <v>247</v>
      </c>
      <c r="E243" s="14" t="n">
        <v>1</v>
      </c>
      <c r="F243" s="15" t="n">
        <f aca="false">IF(Inputs!$B$35=18,1,0)</f>
        <v>0</v>
      </c>
      <c r="G243" s="15" t="str">
        <f aca="false">IF(F243=E243,"PASS","OPEN")</f>
        <v>OPEN</v>
      </c>
      <c r="H243" s="14" t="s">
        <v>215</v>
      </c>
      <c r="I243" s="4"/>
      <c r="J243" s="4"/>
      <c r="K243" s="4"/>
      <c r="L243" s="4"/>
      <c r="M243" s="4"/>
      <c r="N243" s="4"/>
    </row>
    <row r="244" customFormat="false" ht="15" hidden="false" customHeight="false" outlineLevel="0" collapsed="false">
      <c r="A244" s="14" t="s">
        <v>471</v>
      </c>
      <c r="B244" s="14" t="s">
        <v>188</v>
      </c>
      <c r="C244" s="14" t="s">
        <v>183</v>
      </c>
      <c r="D244" s="14" t="s">
        <v>249</v>
      </c>
      <c r="E244" s="14" t="n">
        <v>1</v>
      </c>
      <c r="F244" s="15" t="n">
        <f aca="false">0</f>
        <v>0</v>
      </c>
      <c r="G244" s="15" t="str">
        <f aca="false">IF(F244=E244,"PASS","OPEN")</f>
        <v>OPEN</v>
      </c>
      <c r="H244" s="14" t="s">
        <v>215</v>
      </c>
      <c r="I244" s="4"/>
      <c r="J244" s="4"/>
      <c r="K244" s="4"/>
      <c r="L244" s="4"/>
      <c r="M244" s="4"/>
      <c r="N244" s="4"/>
    </row>
    <row r="245" customFormat="false" ht="15" hidden="false" customHeight="false" outlineLevel="0" collapsed="false">
      <c r="A245" s="14" t="s">
        <v>472</v>
      </c>
      <c r="B245" s="14" t="s">
        <v>188</v>
      </c>
      <c r="C245" s="14" t="s">
        <v>183</v>
      </c>
      <c r="D245" s="14" t="s">
        <v>251</v>
      </c>
      <c r="E245" s="14" t="n">
        <v>1</v>
      </c>
      <c r="F245" s="15" t="n">
        <f aca="false">1</f>
        <v>1</v>
      </c>
      <c r="G245" s="15" t="str">
        <f aca="false">IF(F245=E245,"PASS","OPEN")</f>
        <v>PASS</v>
      </c>
      <c r="H245" s="14" t="s">
        <v>215</v>
      </c>
      <c r="I245" s="4"/>
      <c r="J245" s="4"/>
      <c r="K245" s="4"/>
      <c r="L245" s="4"/>
      <c r="M245" s="4"/>
      <c r="N245" s="4"/>
    </row>
    <row r="246" customFormat="false" ht="15" hidden="false" customHeight="false" outlineLevel="0" collapsed="false">
      <c r="A246" s="14" t="s">
        <v>473</v>
      </c>
      <c r="B246" s="14" t="s">
        <v>188</v>
      </c>
      <c r="C246" s="14" t="s">
        <v>183</v>
      </c>
      <c r="D246" s="14" t="s">
        <v>253</v>
      </c>
      <c r="E246" s="14" t="n">
        <v>1</v>
      </c>
      <c r="F246" s="15" t="n">
        <f aca="false">Inputs!$B$37</f>
        <v>0</v>
      </c>
      <c r="G246" s="15" t="str">
        <f aca="false">IF(F246=E246,"PASS","OPEN")</f>
        <v>OPEN</v>
      </c>
      <c r="H246" s="14" t="s">
        <v>215</v>
      </c>
      <c r="I246" s="4"/>
      <c r="J246" s="4"/>
      <c r="K246" s="4"/>
      <c r="L246" s="4"/>
      <c r="M246" s="4"/>
      <c r="N246" s="4"/>
    </row>
    <row r="247" customFormat="false" ht="15" hidden="false" customHeight="false" outlineLevel="0" collapsed="false">
      <c r="A247" s="14" t="s">
        <v>474</v>
      </c>
      <c r="B247" s="14" t="s">
        <v>190</v>
      </c>
      <c r="C247" s="14" t="s">
        <v>191</v>
      </c>
      <c r="D247" s="14" t="s">
        <v>214</v>
      </c>
      <c r="E247" s="14" t="n">
        <v>1</v>
      </c>
      <c r="F247" s="15" t="n">
        <f aca="false">1</f>
        <v>1</v>
      </c>
      <c r="G247" s="15" t="str">
        <f aca="false">IF(F247=E247,"PASS","OPEN")</f>
        <v>PASS</v>
      </c>
      <c r="H247" s="14" t="s">
        <v>215</v>
      </c>
      <c r="I247" s="4"/>
      <c r="J247" s="4"/>
      <c r="K247" s="4"/>
      <c r="L247" s="4"/>
      <c r="M247" s="4"/>
      <c r="N247" s="4"/>
    </row>
    <row r="248" customFormat="false" ht="15" hidden="false" customHeight="false" outlineLevel="0" collapsed="false">
      <c r="A248" s="14" t="s">
        <v>475</v>
      </c>
      <c r="B248" s="14" t="s">
        <v>190</v>
      </c>
      <c r="C248" s="14" t="s">
        <v>191</v>
      </c>
      <c r="D248" s="14" t="s">
        <v>217</v>
      </c>
      <c r="E248" s="14" t="n">
        <v>1</v>
      </c>
      <c r="F248" s="15" t="n">
        <f aca="false">1</f>
        <v>1</v>
      </c>
      <c r="G248" s="15" t="str">
        <f aca="false">IF(F248=E248,"PASS","OPEN")</f>
        <v>PASS</v>
      </c>
      <c r="H248" s="14" t="s">
        <v>215</v>
      </c>
      <c r="I248" s="4"/>
      <c r="J248" s="4"/>
      <c r="K248" s="4"/>
      <c r="L248" s="4"/>
      <c r="M248" s="4"/>
      <c r="N248" s="4"/>
    </row>
    <row r="249" customFormat="false" ht="15" hidden="false" customHeight="false" outlineLevel="0" collapsed="false">
      <c r="A249" s="14" t="s">
        <v>476</v>
      </c>
      <c r="B249" s="14" t="s">
        <v>190</v>
      </c>
      <c r="C249" s="14" t="s">
        <v>191</v>
      </c>
      <c r="D249" s="14" t="s">
        <v>219</v>
      </c>
      <c r="E249" s="14" t="n">
        <v>1</v>
      </c>
      <c r="F249" s="15" t="n">
        <f aca="false">IF('Site Dockets'!J19&lt;&gt;"",1,0)</f>
        <v>0</v>
      </c>
      <c r="G249" s="15" t="str">
        <f aca="false">IF(F249=E249,"PASS","OPEN")</f>
        <v>OPEN</v>
      </c>
      <c r="H249" s="14" t="s">
        <v>215</v>
      </c>
      <c r="I249" s="4"/>
      <c r="J249" s="4"/>
      <c r="K249" s="4"/>
      <c r="L249" s="4"/>
      <c r="M249" s="4"/>
      <c r="N249" s="4"/>
    </row>
    <row r="250" customFormat="false" ht="15" hidden="false" customHeight="false" outlineLevel="0" collapsed="false">
      <c r="A250" s="14" t="s">
        <v>477</v>
      </c>
      <c r="B250" s="14" t="s">
        <v>190</v>
      </c>
      <c r="C250" s="14" t="s">
        <v>191</v>
      </c>
      <c r="D250" s="14" t="s">
        <v>221</v>
      </c>
      <c r="E250" s="14" t="n">
        <v>1</v>
      </c>
      <c r="F250" s="15" t="n">
        <f aca="false">'Site Dockets'!N19</f>
        <v>0</v>
      </c>
      <c r="G250" s="15" t="str">
        <f aca="false">IF(F250=E250,"PASS","OPEN")</f>
        <v>OPEN</v>
      </c>
      <c r="H250" s="14" t="s">
        <v>215</v>
      </c>
      <c r="I250" s="4"/>
      <c r="J250" s="4"/>
      <c r="K250" s="4"/>
      <c r="L250" s="4"/>
      <c r="M250" s="4"/>
      <c r="N250" s="4"/>
    </row>
    <row r="251" customFormat="false" ht="15" hidden="false" customHeight="false" outlineLevel="0" collapsed="false">
      <c r="A251" s="14" t="s">
        <v>478</v>
      </c>
      <c r="B251" s="14" t="s">
        <v>190</v>
      </c>
      <c r="C251" s="14" t="s">
        <v>191</v>
      </c>
      <c r="D251" s="14" t="s">
        <v>143</v>
      </c>
      <c r="E251" s="14" t="n">
        <v>1</v>
      </c>
      <c r="F251" s="15" t="n">
        <f aca="false">'Site Dockets'!O19</f>
        <v>0</v>
      </c>
      <c r="G251" s="15" t="str">
        <f aca="false">IF(F251=E251,"PASS","OPEN")</f>
        <v>OPEN</v>
      </c>
      <c r="H251" s="14" t="s">
        <v>215</v>
      </c>
      <c r="I251" s="4"/>
      <c r="J251" s="4"/>
      <c r="K251" s="4"/>
      <c r="L251" s="4"/>
      <c r="M251" s="4"/>
      <c r="N251" s="4"/>
    </row>
    <row r="252" customFormat="false" ht="15" hidden="false" customHeight="false" outlineLevel="0" collapsed="false">
      <c r="A252" s="14" t="s">
        <v>479</v>
      </c>
      <c r="B252" s="14" t="s">
        <v>190</v>
      </c>
      <c r="C252" s="14" t="s">
        <v>191</v>
      </c>
      <c r="D252" s="14" t="s">
        <v>224</v>
      </c>
      <c r="E252" s="14" t="n">
        <v>1</v>
      </c>
      <c r="F252" s="15" t="n">
        <f aca="false">IF('Site Dockets'!L19&lt;&gt;"",1,0)</f>
        <v>0</v>
      </c>
      <c r="G252" s="15" t="str">
        <f aca="false">IF(F252=E252,"PASS","OPEN")</f>
        <v>OPEN</v>
      </c>
      <c r="H252" s="14" t="s">
        <v>215</v>
      </c>
      <c r="I252" s="4"/>
      <c r="J252" s="4"/>
      <c r="K252" s="4"/>
      <c r="L252" s="4"/>
      <c r="M252" s="4"/>
      <c r="N252" s="4"/>
    </row>
    <row r="253" customFormat="false" ht="15" hidden="false" customHeight="false" outlineLevel="0" collapsed="false">
      <c r="A253" s="14" t="s">
        <v>480</v>
      </c>
      <c r="B253" s="14" t="s">
        <v>190</v>
      </c>
      <c r="C253" s="14" t="s">
        <v>191</v>
      </c>
      <c r="D253" s="14" t="s">
        <v>226</v>
      </c>
      <c r="E253" s="14" t="n">
        <v>1</v>
      </c>
      <c r="F253" s="15" t="n">
        <f aca="false">IF('Site Dockets'!M19&lt;&gt;"",1,0)</f>
        <v>0</v>
      </c>
      <c r="G253" s="15" t="str">
        <f aca="false">IF(F253=E253,"PASS","OPEN")</f>
        <v>OPEN</v>
      </c>
      <c r="H253" s="14" t="s">
        <v>215</v>
      </c>
      <c r="I253" s="4"/>
      <c r="J253" s="4"/>
      <c r="K253" s="4"/>
      <c r="L253" s="4"/>
      <c r="M253" s="4"/>
      <c r="N253" s="4"/>
    </row>
    <row r="254" customFormat="false" ht="15" hidden="false" customHeight="false" outlineLevel="0" collapsed="false">
      <c r="A254" s="14" t="s">
        <v>481</v>
      </c>
      <c r="B254" s="14" t="s">
        <v>190</v>
      </c>
      <c r="C254" s="14" t="s">
        <v>191</v>
      </c>
      <c r="D254" s="14" t="s">
        <v>228</v>
      </c>
      <c r="E254" s="14" t="n">
        <v>1</v>
      </c>
      <c r="F254" s="15" t="n">
        <f aca="false">IF(COUNTIFS('Role Appointments'!$B$7:$B$102,B254,'Role Appointments'!$J$7:$J$102,"READY")=COUNTIFS('Role Appointments'!$B$7:$B$102,B254),1,0)</f>
        <v>0</v>
      </c>
      <c r="G254" s="15" t="str">
        <f aca="false">IF(F254=E254,"PASS","OPEN")</f>
        <v>OPEN</v>
      </c>
      <c r="H254" s="14" t="s">
        <v>215</v>
      </c>
      <c r="I254" s="4"/>
      <c r="J254" s="4"/>
      <c r="K254" s="4"/>
      <c r="L254" s="4"/>
      <c r="M254" s="4"/>
      <c r="N254" s="4"/>
    </row>
    <row r="255" customFormat="false" ht="15" hidden="false" customHeight="false" outlineLevel="0" collapsed="false">
      <c r="A255" s="14" t="s">
        <v>482</v>
      </c>
      <c r="B255" s="14" t="s">
        <v>190</v>
      </c>
      <c r="C255" s="14" t="s">
        <v>191</v>
      </c>
      <c r="D255" s="14" t="s">
        <v>230</v>
      </c>
      <c r="E255" s="14" t="n">
        <v>1</v>
      </c>
      <c r="F255" s="15" t="n">
        <f aca="false">IF(COUNTIFS('Key Custody'!$B$7:$B$84,B255,'Key Custody'!$J$7:$J$84,"READY")=COUNTIFS('Key Custody'!$B$7:$B$84,B255),1,0)</f>
        <v>0</v>
      </c>
      <c r="G255" s="15" t="str">
        <f aca="false">IF(F255=E255,"PASS","OPEN")</f>
        <v>OPEN</v>
      </c>
      <c r="H255" s="14" t="s">
        <v>215</v>
      </c>
      <c r="I255" s="4"/>
      <c r="J255" s="4"/>
      <c r="K255" s="4"/>
      <c r="L255" s="4"/>
      <c r="M255" s="4"/>
      <c r="N255" s="4"/>
    </row>
    <row r="256" customFormat="false" ht="15" hidden="false" customHeight="false" outlineLevel="0" collapsed="false">
      <c r="A256" s="14" t="s">
        <v>483</v>
      </c>
      <c r="B256" s="14" t="s">
        <v>190</v>
      </c>
      <c r="C256" s="14" t="s">
        <v>191</v>
      </c>
      <c r="D256" s="14" t="s">
        <v>232</v>
      </c>
      <c r="E256" s="14" t="n">
        <v>1</v>
      </c>
      <c r="F256" s="15" t="n">
        <f aca="false">IF(AND('Vendor Lots'!G55&lt;&gt;"",'Vendor Lots'!G56&lt;&gt;"",'Vendor Lots'!G57&lt;&gt;"",'Vendor Lots'!G58&lt;&gt;""),1,0)</f>
        <v>0</v>
      </c>
      <c r="G256" s="15" t="str">
        <f aca="false">IF(F256=E256,"PASS","OPEN")</f>
        <v>OPEN</v>
      </c>
      <c r="H256" s="14" t="s">
        <v>215</v>
      </c>
      <c r="I256" s="4"/>
      <c r="J256" s="4"/>
      <c r="K256" s="4"/>
      <c r="L256" s="4"/>
      <c r="M256" s="4"/>
      <c r="N256" s="4"/>
    </row>
    <row r="257" customFormat="false" ht="15" hidden="false" customHeight="false" outlineLevel="0" collapsed="false">
      <c r="A257" s="14" t="s">
        <v>484</v>
      </c>
      <c r="B257" s="14" t="s">
        <v>190</v>
      </c>
      <c r="C257" s="14" t="s">
        <v>191</v>
      </c>
      <c r="D257" s="14" t="s">
        <v>234</v>
      </c>
      <c r="E257" s="14" t="n">
        <v>1</v>
      </c>
      <c r="F257" s="15" t="n">
        <f aca="false">IF(AND('Vendor Lots'!I55&lt;&gt;"",'Vendor Lots'!I56&lt;&gt;"",'Vendor Lots'!I57&lt;&gt;"",'Vendor Lots'!I58&lt;&gt;""),1,0)</f>
        <v>0</v>
      </c>
      <c r="G257" s="15" t="str">
        <f aca="false">IF(F257=E257,"PASS","OPEN")</f>
        <v>OPEN</v>
      </c>
      <c r="H257" s="14" t="s">
        <v>215</v>
      </c>
      <c r="I257" s="4"/>
      <c r="J257" s="4"/>
      <c r="K257" s="4"/>
      <c r="L257" s="4"/>
      <c r="M257" s="4"/>
      <c r="N257" s="4"/>
    </row>
    <row r="258" customFormat="false" ht="15" hidden="false" customHeight="false" outlineLevel="0" collapsed="false">
      <c r="A258" s="14" t="s">
        <v>485</v>
      </c>
      <c r="B258" s="14" t="s">
        <v>190</v>
      </c>
      <c r="C258" s="14" t="s">
        <v>191</v>
      </c>
      <c r="D258" s="14" t="s">
        <v>236</v>
      </c>
      <c r="E258" s="14" t="n">
        <v>1</v>
      </c>
      <c r="F258" s="15" t="n">
        <f aca="false">IF(AND('Vendor Lots'!G55&lt;&gt;"",'Vendor Lots'!G56&lt;&gt;"",'Vendor Lots'!G57&lt;&gt;"",'Vendor Lots'!G58&lt;&gt;"",SUM('Vendor Lots'!K55:K58)=0),1,0)</f>
        <v>0</v>
      </c>
      <c r="G258" s="15" t="str">
        <f aca="false">IF(F258=E258,"PASS","OPEN")</f>
        <v>OPEN</v>
      </c>
      <c r="H258" s="14" t="s">
        <v>237</v>
      </c>
      <c r="I258" s="4"/>
      <c r="J258" s="4"/>
      <c r="K258" s="4"/>
      <c r="L258" s="4"/>
      <c r="M258" s="4"/>
      <c r="N258" s="4"/>
    </row>
    <row r="259" customFormat="false" ht="15" hidden="false" customHeight="false" outlineLevel="0" collapsed="false">
      <c r="A259" s="14" t="s">
        <v>486</v>
      </c>
      <c r="B259" s="14" t="s">
        <v>190</v>
      </c>
      <c r="C259" s="14" t="s">
        <v>191</v>
      </c>
      <c r="D259" s="14" t="s">
        <v>145</v>
      </c>
      <c r="E259" s="14" t="n">
        <v>1</v>
      </c>
      <c r="F259" s="15" t="n">
        <f aca="false">'Site Dockets'!Q19</f>
        <v>0</v>
      </c>
      <c r="G259" s="15" t="str">
        <f aca="false">IF(F259=E259,"PASS","OPEN")</f>
        <v>OPEN</v>
      </c>
      <c r="H259" s="14" t="s">
        <v>215</v>
      </c>
      <c r="I259" s="4"/>
      <c r="J259" s="4"/>
      <c r="K259" s="4"/>
      <c r="L259" s="4"/>
      <c r="M259" s="4"/>
      <c r="N259" s="4"/>
    </row>
    <row r="260" customFormat="false" ht="15" hidden="false" customHeight="false" outlineLevel="0" collapsed="false">
      <c r="A260" s="14" t="s">
        <v>487</v>
      </c>
      <c r="B260" s="14" t="s">
        <v>190</v>
      </c>
      <c r="C260" s="14" t="s">
        <v>191</v>
      </c>
      <c r="D260" s="14" t="s">
        <v>240</v>
      </c>
      <c r="E260" s="14" t="n">
        <v>1</v>
      </c>
      <c r="F260" s="15" t="n">
        <f aca="false">1</f>
        <v>1</v>
      </c>
      <c r="G260" s="15" t="str">
        <f aca="false">IF(F260=E260,"PASS","OPEN")</f>
        <v>PASS</v>
      </c>
      <c r="H260" s="14" t="s">
        <v>215</v>
      </c>
      <c r="I260" s="4"/>
      <c r="J260" s="4"/>
      <c r="K260" s="4"/>
      <c r="L260" s="4"/>
      <c r="M260" s="4"/>
      <c r="N260" s="4"/>
    </row>
    <row r="261" customFormat="false" ht="15" hidden="false" customHeight="false" outlineLevel="0" collapsed="false">
      <c r="A261" s="14" t="s">
        <v>488</v>
      </c>
      <c r="B261" s="14" t="s">
        <v>190</v>
      </c>
      <c r="C261" s="14" t="s">
        <v>191</v>
      </c>
      <c r="D261" s="14" t="s">
        <v>242</v>
      </c>
      <c r="E261" s="14" t="n">
        <v>1</v>
      </c>
      <c r="F261" s="15" t="n">
        <f aca="false">IF(COUNTIFS('Failure Worlds'!$J$7:$J$36,"PASS")=Inputs!$B$16,1,0)</f>
        <v>1</v>
      </c>
      <c r="G261" s="15" t="str">
        <f aca="false">IF(F261=E261,"PASS","OPEN")</f>
        <v>PASS</v>
      </c>
      <c r="H261" s="14" t="s">
        <v>243</v>
      </c>
      <c r="I261" s="4"/>
      <c r="J261" s="4"/>
      <c r="K261" s="4"/>
      <c r="L261" s="4"/>
      <c r="M261" s="4"/>
      <c r="N261" s="4"/>
    </row>
    <row r="262" customFormat="false" ht="15" hidden="false" customHeight="false" outlineLevel="0" collapsed="false">
      <c r="A262" s="14" t="s">
        <v>489</v>
      </c>
      <c r="B262" s="14" t="s">
        <v>190</v>
      </c>
      <c r="C262" s="14" t="s">
        <v>191</v>
      </c>
      <c r="D262" s="14" t="s">
        <v>245</v>
      </c>
      <c r="E262" s="14" t="n">
        <v>1</v>
      </c>
      <c r="F262" s="15" t="n">
        <f aca="false">IF(COUNTIFS('Recovery Clocks'!$J$7:$J$186,"PASS")=180,1,0)</f>
        <v>0</v>
      </c>
      <c r="G262" s="15" t="str">
        <f aca="false">IF(F262=E262,"PASS","OPEN")</f>
        <v>OPEN</v>
      </c>
      <c r="H262" s="14" t="s">
        <v>215</v>
      </c>
      <c r="I262" s="4"/>
      <c r="J262" s="4"/>
      <c r="K262" s="4"/>
      <c r="L262" s="4"/>
      <c r="M262" s="4"/>
      <c r="N262" s="4"/>
    </row>
    <row r="263" customFormat="false" ht="15" hidden="false" customHeight="false" outlineLevel="0" collapsed="false">
      <c r="A263" s="14" t="s">
        <v>490</v>
      </c>
      <c r="B263" s="14" t="s">
        <v>190</v>
      </c>
      <c r="C263" s="14" t="s">
        <v>191</v>
      </c>
      <c r="D263" s="14" t="s">
        <v>247</v>
      </c>
      <c r="E263" s="14" t="n">
        <v>1</v>
      </c>
      <c r="F263" s="15" t="n">
        <f aca="false">IF(Inputs!$B$35=18,1,0)</f>
        <v>0</v>
      </c>
      <c r="G263" s="15" t="str">
        <f aca="false">IF(F263=E263,"PASS","OPEN")</f>
        <v>OPEN</v>
      </c>
      <c r="H263" s="14" t="s">
        <v>215</v>
      </c>
      <c r="I263" s="4"/>
      <c r="J263" s="4"/>
      <c r="K263" s="4"/>
      <c r="L263" s="4"/>
      <c r="M263" s="4"/>
      <c r="N263" s="4"/>
    </row>
    <row r="264" customFormat="false" ht="15" hidden="false" customHeight="false" outlineLevel="0" collapsed="false">
      <c r="A264" s="14" t="s">
        <v>491</v>
      </c>
      <c r="B264" s="14" t="s">
        <v>190</v>
      </c>
      <c r="C264" s="14" t="s">
        <v>191</v>
      </c>
      <c r="D264" s="14" t="s">
        <v>249</v>
      </c>
      <c r="E264" s="14" t="n">
        <v>1</v>
      </c>
      <c r="F264" s="15" t="n">
        <f aca="false">0</f>
        <v>0</v>
      </c>
      <c r="G264" s="15" t="str">
        <f aca="false">IF(F264=E264,"PASS","OPEN")</f>
        <v>OPEN</v>
      </c>
      <c r="H264" s="14" t="s">
        <v>215</v>
      </c>
      <c r="I264" s="4"/>
      <c r="J264" s="4"/>
      <c r="K264" s="4"/>
      <c r="L264" s="4"/>
      <c r="M264" s="4"/>
      <c r="N264" s="4"/>
    </row>
    <row r="265" customFormat="false" ht="15" hidden="false" customHeight="false" outlineLevel="0" collapsed="false">
      <c r="A265" s="14" t="s">
        <v>492</v>
      </c>
      <c r="B265" s="14" t="s">
        <v>190</v>
      </c>
      <c r="C265" s="14" t="s">
        <v>191</v>
      </c>
      <c r="D265" s="14" t="s">
        <v>251</v>
      </c>
      <c r="E265" s="14" t="n">
        <v>1</v>
      </c>
      <c r="F265" s="15" t="n">
        <f aca="false">1</f>
        <v>1</v>
      </c>
      <c r="G265" s="15" t="str">
        <f aca="false">IF(F265=E265,"PASS","OPEN")</f>
        <v>PASS</v>
      </c>
      <c r="H265" s="14" t="s">
        <v>215</v>
      </c>
      <c r="I265" s="4"/>
      <c r="J265" s="4"/>
      <c r="K265" s="4"/>
      <c r="L265" s="4"/>
      <c r="M265" s="4"/>
      <c r="N265" s="4"/>
    </row>
    <row r="266" customFormat="false" ht="15" hidden="false" customHeight="false" outlineLevel="0" collapsed="false">
      <c r="A266" s="14" t="s">
        <v>493</v>
      </c>
      <c r="B266" s="14" t="s">
        <v>190</v>
      </c>
      <c r="C266" s="14" t="s">
        <v>191</v>
      </c>
      <c r="D266" s="14" t="s">
        <v>253</v>
      </c>
      <c r="E266" s="14" t="n">
        <v>1</v>
      </c>
      <c r="F266" s="15" t="n">
        <f aca="false">Inputs!$B$37</f>
        <v>0</v>
      </c>
      <c r="G266" s="15" t="str">
        <f aca="false">IF(F266=E266,"PASS","OPEN")</f>
        <v>OPEN</v>
      </c>
      <c r="H266" s="14" t="s">
        <v>215</v>
      </c>
      <c r="I266" s="4"/>
      <c r="J266" s="4"/>
      <c r="K266" s="4"/>
      <c r="L266" s="4"/>
      <c r="M266" s="4"/>
      <c r="N266" s="4"/>
    </row>
    <row r="267" customFormat="false" ht="15" hidden="false" customHeight="false" outlineLevel="0" collapsed="false">
      <c r="A267" s="14" t="s">
        <v>494</v>
      </c>
      <c r="B267" s="14" t="s">
        <v>194</v>
      </c>
      <c r="C267" s="14" t="s">
        <v>191</v>
      </c>
      <c r="D267" s="14" t="s">
        <v>214</v>
      </c>
      <c r="E267" s="14" t="n">
        <v>1</v>
      </c>
      <c r="F267" s="15" t="n">
        <f aca="false">1</f>
        <v>1</v>
      </c>
      <c r="G267" s="15" t="str">
        <f aca="false">IF(F267=E267,"PASS","OPEN")</f>
        <v>PASS</v>
      </c>
      <c r="H267" s="14" t="s">
        <v>215</v>
      </c>
      <c r="I267" s="4"/>
      <c r="J267" s="4"/>
      <c r="K267" s="4"/>
      <c r="L267" s="4"/>
      <c r="M267" s="4"/>
      <c r="N267" s="4"/>
    </row>
    <row r="268" customFormat="false" ht="15" hidden="false" customHeight="false" outlineLevel="0" collapsed="false">
      <c r="A268" s="14" t="s">
        <v>495</v>
      </c>
      <c r="B268" s="14" t="s">
        <v>194</v>
      </c>
      <c r="C268" s="14" t="s">
        <v>191</v>
      </c>
      <c r="D268" s="14" t="s">
        <v>217</v>
      </c>
      <c r="E268" s="14" t="n">
        <v>1</v>
      </c>
      <c r="F268" s="15" t="n">
        <f aca="false">1</f>
        <v>1</v>
      </c>
      <c r="G268" s="15" t="str">
        <f aca="false">IF(F268=E268,"PASS","OPEN")</f>
        <v>PASS</v>
      </c>
      <c r="H268" s="14" t="s">
        <v>215</v>
      </c>
      <c r="I268" s="4"/>
      <c r="J268" s="4"/>
      <c r="K268" s="4"/>
      <c r="L268" s="4"/>
      <c r="M268" s="4"/>
      <c r="N268" s="4"/>
    </row>
    <row r="269" customFormat="false" ht="15" hidden="false" customHeight="false" outlineLevel="0" collapsed="false">
      <c r="A269" s="14" t="s">
        <v>496</v>
      </c>
      <c r="B269" s="14" t="s">
        <v>194</v>
      </c>
      <c r="C269" s="14" t="s">
        <v>191</v>
      </c>
      <c r="D269" s="14" t="s">
        <v>219</v>
      </c>
      <c r="E269" s="14" t="n">
        <v>1</v>
      </c>
      <c r="F269" s="15" t="n">
        <f aca="false">IF('Site Dockets'!J20&lt;&gt;"",1,0)</f>
        <v>0</v>
      </c>
      <c r="G269" s="15" t="str">
        <f aca="false">IF(F269=E269,"PASS","OPEN")</f>
        <v>OPEN</v>
      </c>
      <c r="H269" s="14" t="s">
        <v>215</v>
      </c>
      <c r="I269" s="4"/>
      <c r="J269" s="4"/>
      <c r="K269" s="4"/>
      <c r="L269" s="4"/>
      <c r="M269" s="4"/>
      <c r="N269" s="4"/>
    </row>
    <row r="270" customFormat="false" ht="15" hidden="false" customHeight="false" outlineLevel="0" collapsed="false">
      <c r="A270" s="14" t="s">
        <v>497</v>
      </c>
      <c r="B270" s="14" t="s">
        <v>194</v>
      </c>
      <c r="C270" s="14" t="s">
        <v>191</v>
      </c>
      <c r="D270" s="14" t="s">
        <v>221</v>
      </c>
      <c r="E270" s="14" t="n">
        <v>1</v>
      </c>
      <c r="F270" s="15" t="n">
        <f aca="false">'Site Dockets'!N20</f>
        <v>0</v>
      </c>
      <c r="G270" s="15" t="str">
        <f aca="false">IF(F270=E270,"PASS","OPEN")</f>
        <v>OPEN</v>
      </c>
      <c r="H270" s="14" t="s">
        <v>215</v>
      </c>
      <c r="I270" s="4"/>
      <c r="J270" s="4"/>
      <c r="K270" s="4"/>
      <c r="L270" s="4"/>
      <c r="M270" s="4"/>
      <c r="N270" s="4"/>
    </row>
    <row r="271" customFormat="false" ht="15" hidden="false" customHeight="false" outlineLevel="0" collapsed="false">
      <c r="A271" s="14" t="s">
        <v>498</v>
      </c>
      <c r="B271" s="14" t="s">
        <v>194</v>
      </c>
      <c r="C271" s="14" t="s">
        <v>191</v>
      </c>
      <c r="D271" s="14" t="s">
        <v>143</v>
      </c>
      <c r="E271" s="14" t="n">
        <v>1</v>
      </c>
      <c r="F271" s="15" t="n">
        <f aca="false">'Site Dockets'!O20</f>
        <v>0</v>
      </c>
      <c r="G271" s="15" t="str">
        <f aca="false">IF(F271=E271,"PASS","OPEN")</f>
        <v>OPEN</v>
      </c>
      <c r="H271" s="14" t="s">
        <v>215</v>
      </c>
      <c r="I271" s="4"/>
      <c r="J271" s="4"/>
      <c r="K271" s="4"/>
      <c r="L271" s="4"/>
      <c r="M271" s="4"/>
      <c r="N271" s="4"/>
    </row>
    <row r="272" customFormat="false" ht="15" hidden="false" customHeight="false" outlineLevel="0" collapsed="false">
      <c r="A272" s="14" t="s">
        <v>499</v>
      </c>
      <c r="B272" s="14" t="s">
        <v>194</v>
      </c>
      <c r="C272" s="14" t="s">
        <v>191</v>
      </c>
      <c r="D272" s="14" t="s">
        <v>224</v>
      </c>
      <c r="E272" s="14" t="n">
        <v>1</v>
      </c>
      <c r="F272" s="15" t="n">
        <f aca="false">IF('Site Dockets'!L20&lt;&gt;"",1,0)</f>
        <v>0</v>
      </c>
      <c r="G272" s="15" t="str">
        <f aca="false">IF(F272=E272,"PASS","OPEN")</f>
        <v>OPEN</v>
      </c>
      <c r="H272" s="14" t="s">
        <v>215</v>
      </c>
      <c r="I272" s="4"/>
      <c r="J272" s="4"/>
      <c r="K272" s="4"/>
      <c r="L272" s="4"/>
      <c r="M272" s="4"/>
      <c r="N272" s="4"/>
    </row>
    <row r="273" customFormat="false" ht="15" hidden="false" customHeight="false" outlineLevel="0" collapsed="false">
      <c r="A273" s="14" t="s">
        <v>500</v>
      </c>
      <c r="B273" s="14" t="s">
        <v>194</v>
      </c>
      <c r="C273" s="14" t="s">
        <v>191</v>
      </c>
      <c r="D273" s="14" t="s">
        <v>226</v>
      </c>
      <c r="E273" s="14" t="n">
        <v>1</v>
      </c>
      <c r="F273" s="15" t="n">
        <f aca="false">IF('Site Dockets'!M20&lt;&gt;"",1,0)</f>
        <v>0</v>
      </c>
      <c r="G273" s="15" t="str">
        <f aca="false">IF(F273=E273,"PASS","OPEN")</f>
        <v>OPEN</v>
      </c>
      <c r="H273" s="14" t="s">
        <v>215</v>
      </c>
      <c r="I273" s="4"/>
      <c r="J273" s="4"/>
      <c r="K273" s="4"/>
      <c r="L273" s="4"/>
      <c r="M273" s="4"/>
      <c r="N273" s="4"/>
    </row>
    <row r="274" customFormat="false" ht="15" hidden="false" customHeight="false" outlineLevel="0" collapsed="false">
      <c r="A274" s="14" t="s">
        <v>501</v>
      </c>
      <c r="B274" s="14" t="s">
        <v>194</v>
      </c>
      <c r="C274" s="14" t="s">
        <v>191</v>
      </c>
      <c r="D274" s="14" t="s">
        <v>228</v>
      </c>
      <c r="E274" s="14" t="n">
        <v>1</v>
      </c>
      <c r="F274" s="15" t="n">
        <f aca="false">IF(COUNTIFS('Role Appointments'!$B$7:$B$102,B274,'Role Appointments'!$J$7:$J$102,"READY")=COUNTIFS('Role Appointments'!$B$7:$B$102,B274),1,0)</f>
        <v>0</v>
      </c>
      <c r="G274" s="15" t="str">
        <f aca="false">IF(F274=E274,"PASS","OPEN")</f>
        <v>OPEN</v>
      </c>
      <c r="H274" s="14" t="s">
        <v>215</v>
      </c>
      <c r="I274" s="4"/>
      <c r="J274" s="4"/>
      <c r="K274" s="4"/>
      <c r="L274" s="4"/>
      <c r="M274" s="4"/>
      <c r="N274" s="4"/>
    </row>
    <row r="275" customFormat="false" ht="15" hidden="false" customHeight="false" outlineLevel="0" collapsed="false">
      <c r="A275" s="14" t="s">
        <v>502</v>
      </c>
      <c r="B275" s="14" t="s">
        <v>194</v>
      </c>
      <c r="C275" s="14" t="s">
        <v>191</v>
      </c>
      <c r="D275" s="14" t="s">
        <v>230</v>
      </c>
      <c r="E275" s="14" t="n">
        <v>1</v>
      </c>
      <c r="F275" s="15" t="n">
        <f aca="false">IF(COUNTIFS('Key Custody'!$B$7:$B$84,B275,'Key Custody'!$J$7:$J$84,"READY")=COUNTIFS('Key Custody'!$B$7:$B$84,B275),1,0)</f>
        <v>0</v>
      </c>
      <c r="G275" s="15" t="str">
        <f aca="false">IF(F275=E275,"PASS","OPEN")</f>
        <v>OPEN</v>
      </c>
      <c r="H275" s="14" t="s">
        <v>215</v>
      </c>
      <c r="I275" s="4"/>
      <c r="J275" s="4"/>
      <c r="K275" s="4"/>
      <c r="L275" s="4"/>
      <c r="M275" s="4"/>
      <c r="N275" s="4"/>
    </row>
    <row r="276" customFormat="false" ht="15" hidden="false" customHeight="false" outlineLevel="0" collapsed="false">
      <c r="A276" s="14" t="s">
        <v>503</v>
      </c>
      <c r="B276" s="14" t="s">
        <v>194</v>
      </c>
      <c r="C276" s="14" t="s">
        <v>191</v>
      </c>
      <c r="D276" s="14" t="s">
        <v>232</v>
      </c>
      <c r="E276" s="14" t="n">
        <v>1</v>
      </c>
      <c r="F276" s="15" t="n">
        <f aca="false">IF(AND('Vendor Lots'!G59&lt;&gt;"",'Vendor Lots'!G60&lt;&gt;"",'Vendor Lots'!G61&lt;&gt;"",'Vendor Lots'!G62&lt;&gt;""),1,0)</f>
        <v>0</v>
      </c>
      <c r="G276" s="15" t="str">
        <f aca="false">IF(F276=E276,"PASS","OPEN")</f>
        <v>OPEN</v>
      </c>
      <c r="H276" s="14" t="s">
        <v>215</v>
      </c>
      <c r="I276" s="4"/>
      <c r="J276" s="4"/>
      <c r="K276" s="4"/>
      <c r="L276" s="4"/>
      <c r="M276" s="4"/>
      <c r="N276" s="4"/>
    </row>
    <row r="277" customFormat="false" ht="15" hidden="false" customHeight="false" outlineLevel="0" collapsed="false">
      <c r="A277" s="14" t="s">
        <v>504</v>
      </c>
      <c r="B277" s="14" t="s">
        <v>194</v>
      </c>
      <c r="C277" s="14" t="s">
        <v>191</v>
      </c>
      <c r="D277" s="14" t="s">
        <v>234</v>
      </c>
      <c r="E277" s="14" t="n">
        <v>1</v>
      </c>
      <c r="F277" s="15" t="n">
        <f aca="false">IF(AND('Vendor Lots'!I59&lt;&gt;"",'Vendor Lots'!I60&lt;&gt;"",'Vendor Lots'!I61&lt;&gt;"",'Vendor Lots'!I62&lt;&gt;""),1,0)</f>
        <v>0</v>
      </c>
      <c r="G277" s="15" t="str">
        <f aca="false">IF(F277=E277,"PASS","OPEN")</f>
        <v>OPEN</v>
      </c>
      <c r="H277" s="14" t="s">
        <v>215</v>
      </c>
      <c r="I277" s="4"/>
      <c r="J277" s="4"/>
      <c r="K277" s="4"/>
      <c r="L277" s="4"/>
      <c r="M277" s="4"/>
      <c r="N277" s="4"/>
    </row>
    <row r="278" customFormat="false" ht="15" hidden="false" customHeight="false" outlineLevel="0" collapsed="false">
      <c r="A278" s="14" t="s">
        <v>505</v>
      </c>
      <c r="B278" s="14" t="s">
        <v>194</v>
      </c>
      <c r="C278" s="14" t="s">
        <v>191</v>
      </c>
      <c r="D278" s="14" t="s">
        <v>236</v>
      </c>
      <c r="E278" s="14" t="n">
        <v>1</v>
      </c>
      <c r="F278" s="15" t="n">
        <f aca="false">IF(AND('Vendor Lots'!G59&lt;&gt;"",'Vendor Lots'!G60&lt;&gt;"",'Vendor Lots'!G61&lt;&gt;"",'Vendor Lots'!G62&lt;&gt;"",SUM('Vendor Lots'!K59:K62)=0),1,0)</f>
        <v>0</v>
      </c>
      <c r="G278" s="15" t="str">
        <f aca="false">IF(F278=E278,"PASS","OPEN")</f>
        <v>OPEN</v>
      </c>
      <c r="H278" s="14" t="s">
        <v>237</v>
      </c>
      <c r="I278" s="4"/>
      <c r="J278" s="4"/>
      <c r="K278" s="4"/>
      <c r="L278" s="4"/>
      <c r="M278" s="4"/>
      <c r="N278" s="4"/>
    </row>
    <row r="279" customFormat="false" ht="15" hidden="false" customHeight="false" outlineLevel="0" collapsed="false">
      <c r="A279" s="14" t="s">
        <v>506</v>
      </c>
      <c r="B279" s="14" t="s">
        <v>194</v>
      </c>
      <c r="C279" s="14" t="s">
        <v>191</v>
      </c>
      <c r="D279" s="14" t="s">
        <v>145</v>
      </c>
      <c r="E279" s="14" t="n">
        <v>1</v>
      </c>
      <c r="F279" s="15" t="n">
        <f aca="false">'Site Dockets'!Q20</f>
        <v>0</v>
      </c>
      <c r="G279" s="15" t="str">
        <f aca="false">IF(F279=E279,"PASS","OPEN")</f>
        <v>OPEN</v>
      </c>
      <c r="H279" s="14" t="s">
        <v>215</v>
      </c>
      <c r="I279" s="4"/>
      <c r="J279" s="4"/>
      <c r="K279" s="4"/>
      <c r="L279" s="4"/>
      <c r="M279" s="4"/>
      <c r="N279" s="4"/>
    </row>
    <row r="280" customFormat="false" ht="15" hidden="false" customHeight="false" outlineLevel="0" collapsed="false">
      <c r="A280" s="14" t="s">
        <v>507</v>
      </c>
      <c r="B280" s="14" t="s">
        <v>194</v>
      </c>
      <c r="C280" s="14" t="s">
        <v>191</v>
      </c>
      <c r="D280" s="14" t="s">
        <v>240</v>
      </c>
      <c r="E280" s="14" t="n">
        <v>1</v>
      </c>
      <c r="F280" s="15" t="n">
        <f aca="false">1</f>
        <v>1</v>
      </c>
      <c r="G280" s="15" t="str">
        <f aca="false">IF(F280=E280,"PASS","OPEN")</f>
        <v>PASS</v>
      </c>
      <c r="H280" s="14" t="s">
        <v>215</v>
      </c>
      <c r="I280" s="4"/>
      <c r="J280" s="4"/>
      <c r="K280" s="4"/>
      <c r="L280" s="4"/>
      <c r="M280" s="4"/>
      <c r="N280" s="4"/>
    </row>
    <row r="281" customFormat="false" ht="15" hidden="false" customHeight="false" outlineLevel="0" collapsed="false">
      <c r="A281" s="14" t="s">
        <v>508</v>
      </c>
      <c r="B281" s="14" t="s">
        <v>194</v>
      </c>
      <c r="C281" s="14" t="s">
        <v>191</v>
      </c>
      <c r="D281" s="14" t="s">
        <v>242</v>
      </c>
      <c r="E281" s="14" t="n">
        <v>1</v>
      </c>
      <c r="F281" s="15" t="n">
        <f aca="false">IF(COUNTIFS('Failure Worlds'!$J$7:$J$36,"PASS")=Inputs!$B$16,1,0)</f>
        <v>1</v>
      </c>
      <c r="G281" s="15" t="str">
        <f aca="false">IF(F281=E281,"PASS","OPEN")</f>
        <v>PASS</v>
      </c>
      <c r="H281" s="14" t="s">
        <v>243</v>
      </c>
      <c r="I281" s="4"/>
      <c r="J281" s="4"/>
      <c r="K281" s="4"/>
      <c r="L281" s="4"/>
      <c r="M281" s="4"/>
      <c r="N281" s="4"/>
    </row>
    <row r="282" customFormat="false" ht="15" hidden="false" customHeight="false" outlineLevel="0" collapsed="false">
      <c r="A282" s="14" t="s">
        <v>509</v>
      </c>
      <c r="B282" s="14" t="s">
        <v>194</v>
      </c>
      <c r="C282" s="14" t="s">
        <v>191</v>
      </c>
      <c r="D282" s="14" t="s">
        <v>245</v>
      </c>
      <c r="E282" s="14" t="n">
        <v>1</v>
      </c>
      <c r="F282" s="15" t="n">
        <f aca="false">IF(COUNTIFS('Recovery Clocks'!$J$7:$J$186,"PASS")=180,1,0)</f>
        <v>0</v>
      </c>
      <c r="G282" s="15" t="str">
        <f aca="false">IF(F282=E282,"PASS","OPEN")</f>
        <v>OPEN</v>
      </c>
      <c r="H282" s="14" t="s">
        <v>215</v>
      </c>
      <c r="I282" s="4"/>
      <c r="J282" s="4"/>
      <c r="K282" s="4"/>
      <c r="L282" s="4"/>
      <c r="M282" s="4"/>
      <c r="N282" s="4"/>
    </row>
    <row r="283" customFormat="false" ht="15" hidden="false" customHeight="false" outlineLevel="0" collapsed="false">
      <c r="A283" s="14" t="s">
        <v>510</v>
      </c>
      <c r="B283" s="14" t="s">
        <v>194</v>
      </c>
      <c r="C283" s="14" t="s">
        <v>191</v>
      </c>
      <c r="D283" s="14" t="s">
        <v>247</v>
      </c>
      <c r="E283" s="14" t="n">
        <v>1</v>
      </c>
      <c r="F283" s="15" t="n">
        <f aca="false">IF(Inputs!$B$35=18,1,0)</f>
        <v>0</v>
      </c>
      <c r="G283" s="15" t="str">
        <f aca="false">IF(F283=E283,"PASS","OPEN")</f>
        <v>OPEN</v>
      </c>
      <c r="H283" s="14" t="s">
        <v>215</v>
      </c>
      <c r="I283" s="4"/>
      <c r="J283" s="4"/>
      <c r="K283" s="4"/>
      <c r="L283" s="4"/>
      <c r="M283" s="4"/>
      <c r="N283" s="4"/>
    </row>
    <row r="284" customFormat="false" ht="15" hidden="false" customHeight="false" outlineLevel="0" collapsed="false">
      <c r="A284" s="14" t="s">
        <v>511</v>
      </c>
      <c r="B284" s="14" t="s">
        <v>194</v>
      </c>
      <c r="C284" s="14" t="s">
        <v>191</v>
      </c>
      <c r="D284" s="14" t="s">
        <v>249</v>
      </c>
      <c r="E284" s="14" t="n">
        <v>1</v>
      </c>
      <c r="F284" s="15" t="n">
        <f aca="false">0</f>
        <v>0</v>
      </c>
      <c r="G284" s="15" t="str">
        <f aca="false">IF(F284=E284,"PASS","OPEN")</f>
        <v>OPEN</v>
      </c>
      <c r="H284" s="14" t="s">
        <v>215</v>
      </c>
      <c r="I284" s="4"/>
      <c r="J284" s="4"/>
      <c r="K284" s="4"/>
      <c r="L284" s="4"/>
      <c r="M284" s="4"/>
      <c r="N284" s="4"/>
    </row>
    <row r="285" customFormat="false" ht="15" hidden="false" customHeight="false" outlineLevel="0" collapsed="false">
      <c r="A285" s="14" t="s">
        <v>512</v>
      </c>
      <c r="B285" s="14" t="s">
        <v>194</v>
      </c>
      <c r="C285" s="14" t="s">
        <v>191</v>
      </c>
      <c r="D285" s="14" t="s">
        <v>251</v>
      </c>
      <c r="E285" s="14" t="n">
        <v>1</v>
      </c>
      <c r="F285" s="15" t="n">
        <f aca="false">1</f>
        <v>1</v>
      </c>
      <c r="G285" s="15" t="str">
        <f aca="false">IF(F285=E285,"PASS","OPEN")</f>
        <v>PASS</v>
      </c>
      <c r="H285" s="14" t="s">
        <v>215</v>
      </c>
      <c r="I285" s="4"/>
      <c r="J285" s="4"/>
      <c r="K285" s="4"/>
      <c r="L285" s="4"/>
      <c r="M285" s="4"/>
      <c r="N285" s="4"/>
    </row>
    <row r="286" customFormat="false" ht="15" hidden="false" customHeight="false" outlineLevel="0" collapsed="false">
      <c r="A286" s="14" t="s">
        <v>513</v>
      </c>
      <c r="B286" s="14" t="s">
        <v>194</v>
      </c>
      <c r="C286" s="14" t="s">
        <v>191</v>
      </c>
      <c r="D286" s="14" t="s">
        <v>253</v>
      </c>
      <c r="E286" s="14" t="n">
        <v>1</v>
      </c>
      <c r="F286" s="15" t="n">
        <f aca="false">Inputs!$B$37</f>
        <v>0</v>
      </c>
      <c r="G286" s="15" t="str">
        <f aca="false">IF(F286=E286,"PASS","OPEN")</f>
        <v>OPEN</v>
      </c>
      <c r="H286" s="14" t="s">
        <v>215</v>
      </c>
      <c r="I286" s="4"/>
      <c r="J286" s="4"/>
      <c r="K286" s="4"/>
      <c r="L286" s="4"/>
      <c r="M286" s="4"/>
      <c r="N286" s="4"/>
    </row>
    <row r="287" customFormat="false" ht="15" hidden="false" customHeight="false" outlineLevel="0" collapsed="false">
      <c r="A287" s="14" t="s">
        <v>514</v>
      </c>
      <c r="B287" s="14" t="s">
        <v>196</v>
      </c>
      <c r="C287" s="14" t="s">
        <v>191</v>
      </c>
      <c r="D287" s="14" t="s">
        <v>214</v>
      </c>
      <c r="E287" s="14" t="n">
        <v>1</v>
      </c>
      <c r="F287" s="15" t="n">
        <f aca="false">1</f>
        <v>1</v>
      </c>
      <c r="G287" s="15" t="str">
        <f aca="false">IF(F287=E287,"PASS","OPEN")</f>
        <v>PASS</v>
      </c>
      <c r="H287" s="14" t="s">
        <v>215</v>
      </c>
      <c r="I287" s="4"/>
      <c r="J287" s="4"/>
      <c r="K287" s="4"/>
      <c r="L287" s="4"/>
      <c r="M287" s="4"/>
      <c r="N287" s="4"/>
    </row>
    <row r="288" customFormat="false" ht="15" hidden="false" customHeight="false" outlineLevel="0" collapsed="false">
      <c r="A288" s="14" t="s">
        <v>515</v>
      </c>
      <c r="B288" s="14" t="s">
        <v>196</v>
      </c>
      <c r="C288" s="14" t="s">
        <v>191</v>
      </c>
      <c r="D288" s="14" t="s">
        <v>217</v>
      </c>
      <c r="E288" s="14" t="n">
        <v>1</v>
      </c>
      <c r="F288" s="15" t="n">
        <f aca="false">1</f>
        <v>1</v>
      </c>
      <c r="G288" s="15" t="str">
        <f aca="false">IF(F288=E288,"PASS","OPEN")</f>
        <v>PASS</v>
      </c>
      <c r="H288" s="14" t="s">
        <v>215</v>
      </c>
      <c r="I288" s="4"/>
      <c r="J288" s="4"/>
      <c r="K288" s="4"/>
      <c r="L288" s="4"/>
      <c r="M288" s="4"/>
      <c r="N288" s="4"/>
    </row>
    <row r="289" customFormat="false" ht="15" hidden="false" customHeight="false" outlineLevel="0" collapsed="false">
      <c r="A289" s="14" t="s">
        <v>516</v>
      </c>
      <c r="B289" s="14" t="s">
        <v>196</v>
      </c>
      <c r="C289" s="14" t="s">
        <v>191</v>
      </c>
      <c r="D289" s="14" t="s">
        <v>219</v>
      </c>
      <c r="E289" s="14" t="n">
        <v>1</v>
      </c>
      <c r="F289" s="15" t="n">
        <f aca="false">IF('Site Dockets'!J21&lt;&gt;"",1,0)</f>
        <v>0</v>
      </c>
      <c r="G289" s="15" t="str">
        <f aca="false">IF(F289=E289,"PASS","OPEN")</f>
        <v>OPEN</v>
      </c>
      <c r="H289" s="14" t="s">
        <v>215</v>
      </c>
      <c r="I289" s="4"/>
      <c r="J289" s="4"/>
      <c r="K289" s="4"/>
      <c r="L289" s="4"/>
      <c r="M289" s="4"/>
      <c r="N289" s="4"/>
    </row>
    <row r="290" customFormat="false" ht="15" hidden="false" customHeight="false" outlineLevel="0" collapsed="false">
      <c r="A290" s="14" t="s">
        <v>517</v>
      </c>
      <c r="B290" s="14" t="s">
        <v>196</v>
      </c>
      <c r="C290" s="14" t="s">
        <v>191</v>
      </c>
      <c r="D290" s="14" t="s">
        <v>221</v>
      </c>
      <c r="E290" s="14" t="n">
        <v>1</v>
      </c>
      <c r="F290" s="15" t="n">
        <f aca="false">'Site Dockets'!N21</f>
        <v>0</v>
      </c>
      <c r="G290" s="15" t="str">
        <f aca="false">IF(F290=E290,"PASS","OPEN")</f>
        <v>OPEN</v>
      </c>
      <c r="H290" s="14" t="s">
        <v>215</v>
      </c>
      <c r="I290" s="4"/>
      <c r="J290" s="4"/>
      <c r="K290" s="4"/>
      <c r="L290" s="4"/>
      <c r="M290" s="4"/>
      <c r="N290" s="4"/>
    </row>
    <row r="291" customFormat="false" ht="15" hidden="false" customHeight="false" outlineLevel="0" collapsed="false">
      <c r="A291" s="14" t="s">
        <v>518</v>
      </c>
      <c r="B291" s="14" t="s">
        <v>196</v>
      </c>
      <c r="C291" s="14" t="s">
        <v>191</v>
      </c>
      <c r="D291" s="14" t="s">
        <v>143</v>
      </c>
      <c r="E291" s="14" t="n">
        <v>1</v>
      </c>
      <c r="F291" s="15" t="n">
        <f aca="false">'Site Dockets'!O21</f>
        <v>0</v>
      </c>
      <c r="G291" s="15" t="str">
        <f aca="false">IF(F291=E291,"PASS","OPEN")</f>
        <v>OPEN</v>
      </c>
      <c r="H291" s="14" t="s">
        <v>215</v>
      </c>
      <c r="I291" s="4"/>
      <c r="J291" s="4"/>
      <c r="K291" s="4"/>
      <c r="L291" s="4"/>
      <c r="M291" s="4"/>
      <c r="N291" s="4"/>
    </row>
    <row r="292" customFormat="false" ht="15" hidden="false" customHeight="false" outlineLevel="0" collapsed="false">
      <c r="A292" s="14" t="s">
        <v>519</v>
      </c>
      <c r="B292" s="14" t="s">
        <v>196</v>
      </c>
      <c r="C292" s="14" t="s">
        <v>191</v>
      </c>
      <c r="D292" s="14" t="s">
        <v>224</v>
      </c>
      <c r="E292" s="14" t="n">
        <v>1</v>
      </c>
      <c r="F292" s="15" t="n">
        <f aca="false">IF('Site Dockets'!L21&lt;&gt;"",1,0)</f>
        <v>0</v>
      </c>
      <c r="G292" s="15" t="str">
        <f aca="false">IF(F292=E292,"PASS","OPEN")</f>
        <v>OPEN</v>
      </c>
      <c r="H292" s="14" t="s">
        <v>215</v>
      </c>
      <c r="I292" s="4"/>
      <c r="J292" s="4"/>
      <c r="K292" s="4"/>
      <c r="L292" s="4"/>
      <c r="M292" s="4"/>
      <c r="N292" s="4"/>
    </row>
    <row r="293" customFormat="false" ht="15" hidden="false" customHeight="false" outlineLevel="0" collapsed="false">
      <c r="A293" s="14" t="s">
        <v>520</v>
      </c>
      <c r="B293" s="14" t="s">
        <v>196</v>
      </c>
      <c r="C293" s="14" t="s">
        <v>191</v>
      </c>
      <c r="D293" s="14" t="s">
        <v>226</v>
      </c>
      <c r="E293" s="14" t="n">
        <v>1</v>
      </c>
      <c r="F293" s="15" t="n">
        <f aca="false">IF('Site Dockets'!M21&lt;&gt;"",1,0)</f>
        <v>0</v>
      </c>
      <c r="G293" s="15" t="str">
        <f aca="false">IF(F293=E293,"PASS","OPEN")</f>
        <v>OPEN</v>
      </c>
      <c r="H293" s="14" t="s">
        <v>215</v>
      </c>
      <c r="I293" s="4"/>
      <c r="J293" s="4"/>
      <c r="K293" s="4"/>
      <c r="L293" s="4"/>
      <c r="M293" s="4"/>
      <c r="N293" s="4"/>
    </row>
    <row r="294" customFormat="false" ht="15" hidden="false" customHeight="false" outlineLevel="0" collapsed="false">
      <c r="A294" s="14" t="s">
        <v>521</v>
      </c>
      <c r="B294" s="14" t="s">
        <v>196</v>
      </c>
      <c r="C294" s="14" t="s">
        <v>191</v>
      </c>
      <c r="D294" s="14" t="s">
        <v>228</v>
      </c>
      <c r="E294" s="14" t="n">
        <v>1</v>
      </c>
      <c r="F294" s="15" t="n">
        <f aca="false">IF(COUNTIFS('Role Appointments'!$B$7:$B$102,B294,'Role Appointments'!$J$7:$J$102,"READY")=COUNTIFS('Role Appointments'!$B$7:$B$102,B294),1,0)</f>
        <v>0</v>
      </c>
      <c r="G294" s="15" t="str">
        <f aca="false">IF(F294=E294,"PASS","OPEN")</f>
        <v>OPEN</v>
      </c>
      <c r="H294" s="14" t="s">
        <v>215</v>
      </c>
      <c r="I294" s="4"/>
      <c r="J294" s="4"/>
      <c r="K294" s="4"/>
      <c r="L294" s="4"/>
      <c r="M294" s="4"/>
      <c r="N294" s="4"/>
    </row>
    <row r="295" customFormat="false" ht="15" hidden="false" customHeight="false" outlineLevel="0" collapsed="false">
      <c r="A295" s="14" t="s">
        <v>522</v>
      </c>
      <c r="B295" s="14" t="s">
        <v>196</v>
      </c>
      <c r="C295" s="14" t="s">
        <v>191</v>
      </c>
      <c r="D295" s="14" t="s">
        <v>230</v>
      </c>
      <c r="E295" s="14" t="n">
        <v>1</v>
      </c>
      <c r="F295" s="15" t="n">
        <f aca="false">IF(COUNTIFS('Key Custody'!$B$7:$B$84,B295,'Key Custody'!$J$7:$J$84,"READY")=COUNTIFS('Key Custody'!$B$7:$B$84,B295),1,0)</f>
        <v>0</v>
      </c>
      <c r="G295" s="15" t="str">
        <f aca="false">IF(F295=E295,"PASS","OPEN")</f>
        <v>OPEN</v>
      </c>
      <c r="H295" s="14" t="s">
        <v>215</v>
      </c>
      <c r="I295" s="4"/>
      <c r="J295" s="4"/>
      <c r="K295" s="4"/>
      <c r="L295" s="4"/>
      <c r="M295" s="4"/>
      <c r="N295" s="4"/>
    </row>
    <row r="296" customFormat="false" ht="15" hidden="false" customHeight="false" outlineLevel="0" collapsed="false">
      <c r="A296" s="14" t="s">
        <v>523</v>
      </c>
      <c r="B296" s="14" t="s">
        <v>196</v>
      </c>
      <c r="C296" s="14" t="s">
        <v>191</v>
      </c>
      <c r="D296" s="14" t="s">
        <v>232</v>
      </c>
      <c r="E296" s="14" t="n">
        <v>1</v>
      </c>
      <c r="F296" s="15" t="n">
        <f aca="false">IF(AND('Vendor Lots'!G63&lt;&gt;"",'Vendor Lots'!G64&lt;&gt;"",'Vendor Lots'!G65&lt;&gt;"",'Vendor Lots'!G66&lt;&gt;""),1,0)</f>
        <v>0</v>
      </c>
      <c r="G296" s="15" t="str">
        <f aca="false">IF(F296=E296,"PASS","OPEN")</f>
        <v>OPEN</v>
      </c>
      <c r="H296" s="14" t="s">
        <v>215</v>
      </c>
      <c r="I296" s="4"/>
      <c r="J296" s="4"/>
      <c r="K296" s="4"/>
      <c r="L296" s="4"/>
      <c r="M296" s="4"/>
      <c r="N296" s="4"/>
    </row>
    <row r="297" customFormat="false" ht="15" hidden="false" customHeight="false" outlineLevel="0" collapsed="false">
      <c r="A297" s="14" t="s">
        <v>524</v>
      </c>
      <c r="B297" s="14" t="s">
        <v>196</v>
      </c>
      <c r="C297" s="14" t="s">
        <v>191</v>
      </c>
      <c r="D297" s="14" t="s">
        <v>234</v>
      </c>
      <c r="E297" s="14" t="n">
        <v>1</v>
      </c>
      <c r="F297" s="15" t="n">
        <f aca="false">IF(AND('Vendor Lots'!I63&lt;&gt;"",'Vendor Lots'!I64&lt;&gt;"",'Vendor Lots'!I65&lt;&gt;"",'Vendor Lots'!I66&lt;&gt;""),1,0)</f>
        <v>0</v>
      </c>
      <c r="G297" s="15" t="str">
        <f aca="false">IF(F297=E297,"PASS","OPEN")</f>
        <v>OPEN</v>
      </c>
      <c r="H297" s="14" t="s">
        <v>215</v>
      </c>
      <c r="I297" s="4"/>
      <c r="J297" s="4"/>
      <c r="K297" s="4"/>
      <c r="L297" s="4"/>
      <c r="M297" s="4"/>
      <c r="N297" s="4"/>
    </row>
    <row r="298" customFormat="false" ht="15" hidden="false" customHeight="false" outlineLevel="0" collapsed="false">
      <c r="A298" s="14" t="s">
        <v>525</v>
      </c>
      <c r="B298" s="14" t="s">
        <v>196</v>
      </c>
      <c r="C298" s="14" t="s">
        <v>191</v>
      </c>
      <c r="D298" s="14" t="s">
        <v>236</v>
      </c>
      <c r="E298" s="14" t="n">
        <v>1</v>
      </c>
      <c r="F298" s="15" t="n">
        <f aca="false">IF(AND('Vendor Lots'!G63&lt;&gt;"",'Vendor Lots'!G64&lt;&gt;"",'Vendor Lots'!G65&lt;&gt;"",'Vendor Lots'!G66&lt;&gt;"",SUM('Vendor Lots'!K63:K66)=0),1,0)</f>
        <v>0</v>
      </c>
      <c r="G298" s="15" t="str">
        <f aca="false">IF(F298=E298,"PASS","OPEN")</f>
        <v>OPEN</v>
      </c>
      <c r="H298" s="14" t="s">
        <v>237</v>
      </c>
      <c r="I298" s="4"/>
      <c r="J298" s="4"/>
      <c r="K298" s="4"/>
      <c r="L298" s="4"/>
      <c r="M298" s="4"/>
      <c r="N298" s="4"/>
    </row>
    <row r="299" customFormat="false" ht="15" hidden="false" customHeight="false" outlineLevel="0" collapsed="false">
      <c r="A299" s="14" t="s">
        <v>526</v>
      </c>
      <c r="B299" s="14" t="s">
        <v>196</v>
      </c>
      <c r="C299" s="14" t="s">
        <v>191</v>
      </c>
      <c r="D299" s="14" t="s">
        <v>145</v>
      </c>
      <c r="E299" s="14" t="n">
        <v>1</v>
      </c>
      <c r="F299" s="15" t="n">
        <f aca="false">'Site Dockets'!Q21</f>
        <v>0</v>
      </c>
      <c r="G299" s="15" t="str">
        <f aca="false">IF(F299=E299,"PASS","OPEN")</f>
        <v>OPEN</v>
      </c>
      <c r="H299" s="14" t="s">
        <v>215</v>
      </c>
      <c r="I299" s="4"/>
      <c r="J299" s="4"/>
      <c r="K299" s="4"/>
      <c r="L299" s="4"/>
      <c r="M299" s="4"/>
      <c r="N299" s="4"/>
    </row>
    <row r="300" customFormat="false" ht="15" hidden="false" customHeight="false" outlineLevel="0" collapsed="false">
      <c r="A300" s="14" t="s">
        <v>527</v>
      </c>
      <c r="B300" s="14" t="s">
        <v>196</v>
      </c>
      <c r="C300" s="14" t="s">
        <v>191</v>
      </c>
      <c r="D300" s="14" t="s">
        <v>240</v>
      </c>
      <c r="E300" s="14" t="n">
        <v>1</v>
      </c>
      <c r="F300" s="15" t="n">
        <f aca="false">1</f>
        <v>1</v>
      </c>
      <c r="G300" s="15" t="str">
        <f aca="false">IF(F300=E300,"PASS","OPEN")</f>
        <v>PASS</v>
      </c>
      <c r="H300" s="14" t="s">
        <v>215</v>
      </c>
      <c r="I300" s="4"/>
      <c r="J300" s="4"/>
      <c r="K300" s="4"/>
      <c r="L300" s="4"/>
      <c r="M300" s="4"/>
      <c r="N300" s="4"/>
    </row>
    <row r="301" customFormat="false" ht="15" hidden="false" customHeight="false" outlineLevel="0" collapsed="false">
      <c r="A301" s="14" t="s">
        <v>528</v>
      </c>
      <c r="B301" s="14" t="s">
        <v>196</v>
      </c>
      <c r="C301" s="14" t="s">
        <v>191</v>
      </c>
      <c r="D301" s="14" t="s">
        <v>242</v>
      </c>
      <c r="E301" s="14" t="n">
        <v>1</v>
      </c>
      <c r="F301" s="15" t="n">
        <f aca="false">IF(COUNTIFS('Failure Worlds'!$J$7:$J$36,"PASS")=Inputs!$B$16,1,0)</f>
        <v>1</v>
      </c>
      <c r="G301" s="15" t="str">
        <f aca="false">IF(F301=E301,"PASS","OPEN")</f>
        <v>PASS</v>
      </c>
      <c r="H301" s="14" t="s">
        <v>243</v>
      </c>
      <c r="I301" s="4"/>
      <c r="J301" s="4"/>
      <c r="K301" s="4"/>
      <c r="L301" s="4"/>
      <c r="M301" s="4"/>
      <c r="N301" s="4"/>
    </row>
    <row r="302" customFormat="false" ht="15" hidden="false" customHeight="false" outlineLevel="0" collapsed="false">
      <c r="A302" s="14" t="s">
        <v>529</v>
      </c>
      <c r="B302" s="14" t="s">
        <v>196</v>
      </c>
      <c r="C302" s="14" t="s">
        <v>191</v>
      </c>
      <c r="D302" s="14" t="s">
        <v>245</v>
      </c>
      <c r="E302" s="14" t="n">
        <v>1</v>
      </c>
      <c r="F302" s="15" t="n">
        <f aca="false">IF(COUNTIFS('Recovery Clocks'!$J$7:$J$186,"PASS")=180,1,0)</f>
        <v>0</v>
      </c>
      <c r="G302" s="15" t="str">
        <f aca="false">IF(F302=E302,"PASS","OPEN")</f>
        <v>OPEN</v>
      </c>
      <c r="H302" s="14" t="s">
        <v>215</v>
      </c>
      <c r="I302" s="4"/>
      <c r="J302" s="4"/>
      <c r="K302" s="4"/>
      <c r="L302" s="4"/>
      <c r="M302" s="4"/>
      <c r="N302" s="4"/>
    </row>
    <row r="303" customFormat="false" ht="15" hidden="false" customHeight="false" outlineLevel="0" collapsed="false">
      <c r="A303" s="14" t="s">
        <v>530</v>
      </c>
      <c r="B303" s="14" t="s">
        <v>196</v>
      </c>
      <c r="C303" s="14" t="s">
        <v>191</v>
      </c>
      <c r="D303" s="14" t="s">
        <v>247</v>
      </c>
      <c r="E303" s="14" t="n">
        <v>1</v>
      </c>
      <c r="F303" s="15" t="n">
        <f aca="false">IF(Inputs!$B$35=18,1,0)</f>
        <v>0</v>
      </c>
      <c r="G303" s="15" t="str">
        <f aca="false">IF(F303=E303,"PASS","OPEN")</f>
        <v>OPEN</v>
      </c>
      <c r="H303" s="14" t="s">
        <v>215</v>
      </c>
      <c r="I303" s="4"/>
      <c r="J303" s="4"/>
      <c r="K303" s="4"/>
      <c r="L303" s="4"/>
      <c r="M303" s="4"/>
      <c r="N303" s="4"/>
    </row>
    <row r="304" customFormat="false" ht="15" hidden="false" customHeight="false" outlineLevel="0" collapsed="false">
      <c r="A304" s="14" t="s">
        <v>531</v>
      </c>
      <c r="B304" s="14" t="s">
        <v>196</v>
      </c>
      <c r="C304" s="14" t="s">
        <v>191</v>
      </c>
      <c r="D304" s="14" t="s">
        <v>249</v>
      </c>
      <c r="E304" s="14" t="n">
        <v>1</v>
      </c>
      <c r="F304" s="15" t="n">
        <f aca="false">0</f>
        <v>0</v>
      </c>
      <c r="G304" s="15" t="str">
        <f aca="false">IF(F304=E304,"PASS","OPEN")</f>
        <v>OPEN</v>
      </c>
      <c r="H304" s="14" t="s">
        <v>215</v>
      </c>
      <c r="I304" s="4"/>
      <c r="J304" s="4"/>
      <c r="K304" s="4"/>
      <c r="L304" s="4"/>
      <c r="M304" s="4"/>
      <c r="N304" s="4"/>
    </row>
    <row r="305" customFormat="false" ht="15" hidden="false" customHeight="false" outlineLevel="0" collapsed="false">
      <c r="A305" s="14" t="s">
        <v>532</v>
      </c>
      <c r="B305" s="14" t="s">
        <v>196</v>
      </c>
      <c r="C305" s="14" t="s">
        <v>191</v>
      </c>
      <c r="D305" s="14" t="s">
        <v>251</v>
      </c>
      <c r="E305" s="14" t="n">
        <v>1</v>
      </c>
      <c r="F305" s="15" t="n">
        <f aca="false">1</f>
        <v>1</v>
      </c>
      <c r="G305" s="15" t="str">
        <f aca="false">IF(F305=E305,"PASS","OPEN")</f>
        <v>PASS</v>
      </c>
      <c r="H305" s="14" t="s">
        <v>215</v>
      </c>
      <c r="I305" s="4"/>
      <c r="J305" s="4"/>
      <c r="K305" s="4"/>
      <c r="L305" s="4"/>
      <c r="M305" s="4"/>
      <c r="N305" s="4"/>
    </row>
    <row r="306" customFormat="false" ht="15" hidden="false" customHeight="false" outlineLevel="0" collapsed="false">
      <c r="A306" s="14" t="s">
        <v>533</v>
      </c>
      <c r="B306" s="14" t="s">
        <v>196</v>
      </c>
      <c r="C306" s="14" t="s">
        <v>191</v>
      </c>
      <c r="D306" s="14" t="s">
        <v>253</v>
      </c>
      <c r="E306" s="14" t="n">
        <v>1</v>
      </c>
      <c r="F306" s="15" t="n">
        <f aca="false">Inputs!$B$37</f>
        <v>0</v>
      </c>
      <c r="G306" s="15" t="str">
        <f aca="false">IF(F306=E306,"PASS","OPEN")</f>
        <v>OPEN</v>
      </c>
      <c r="H306" s="14" t="s">
        <v>215</v>
      </c>
      <c r="I306" s="4"/>
      <c r="J306" s="4"/>
      <c r="K306" s="4"/>
      <c r="L306" s="4"/>
      <c r="M306" s="4"/>
      <c r="N306" s="4"/>
    </row>
    <row r="307" customFormat="false" ht="15" hidden="false" customHeight="false" outlineLevel="0" collapsed="false">
      <c r="A307" s="14" t="s">
        <v>534</v>
      </c>
      <c r="B307" s="14" t="s">
        <v>198</v>
      </c>
      <c r="C307" s="14" t="s">
        <v>199</v>
      </c>
      <c r="D307" s="14" t="s">
        <v>214</v>
      </c>
      <c r="E307" s="14" t="n">
        <v>1</v>
      </c>
      <c r="F307" s="15" t="n">
        <f aca="false">1</f>
        <v>1</v>
      </c>
      <c r="G307" s="15" t="str">
        <f aca="false">IF(F307=E307,"PASS","OPEN")</f>
        <v>PASS</v>
      </c>
      <c r="H307" s="14" t="s">
        <v>215</v>
      </c>
      <c r="I307" s="4"/>
      <c r="J307" s="4"/>
      <c r="K307" s="4"/>
      <c r="L307" s="4"/>
      <c r="M307" s="4"/>
      <c r="N307" s="4"/>
    </row>
    <row r="308" customFormat="false" ht="15" hidden="false" customHeight="false" outlineLevel="0" collapsed="false">
      <c r="A308" s="14" t="s">
        <v>535</v>
      </c>
      <c r="B308" s="14" t="s">
        <v>198</v>
      </c>
      <c r="C308" s="14" t="s">
        <v>199</v>
      </c>
      <c r="D308" s="14" t="s">
        <v>217</v>
      </c>
      <c r="E308" s="14" t="n">
        <v>1</v>
      </c>
      <c r="F308" s="15" t="n">
        <f aca="false">1</f>
        <v>1</v>
      </c>
      <c r="G308" s="15" t="str">
        <f aca="false">IF(F308=E308,"PASS","OPEN")</f>
        <v>PASS</v>
      </c>
      <c r="H308" s="14" t="s">
        <v>215</v>
      </c>
      <c r="I308" s="4"/>
      <c r="J308" s="4"/>
      <c r="K308" s="4"/>
      <c r="L308" s="4"/>
      <c r="M308" s="4"/>
      <c r="N308" s="4"/>
    </row>
    <row r="309" customFormat="false" ht="15" hidden="false" customHeight="false" outlineLevel="0" collapsed="false">
      <c r="A309" s="14" t="s">
        <v>536</v>
      </c>
      <c r="B309" s="14" t="s">
        <v>198</v>
      </c>
      <c r="C309" s="14" t="s">
        <v>199</v>
      </c>
      <c r="D309" s="14" t="s">
        <v>219</v>
      </c>
      <c r="E309" s="14" t="n">
        <v>1</v>
      </c>
      <c r="F309" s="15" t="n">
        <f aca="false">IF('Site Dockets'!J22&lt;&gt;"",1,0)</f>
        <v>0</v>
      </c>
      <c r="G309" s="15" t="str">
        <f aca="false">IF(F309=E309,"PASS","OPEN")</f>
        <v>OPEN</v>
      </c>
      <c r="H309" s="14" t="s">
        <v>215</v>
      </c>
      <c r="I309" s="4"/>
      <c r="J309" s="4"/>
      <c r="K309" s="4"/>
      <c r="L309" s="4"/>
      <c r="M309" s="4"/>
      <c r="N309" s="4"/>
    </row>
    <row r="310" customFormat="false" ht="15" hidden="false" customHeight="false" outlineLevel="0" collapsed="false">
      <c r="A310" s="14" t="s">
        <v>537</v>
      </c>
      <c r="B310" s="14" t="s">
        <v>198</v>
      </c>
      <c r="C310" s="14" t="s">
        <v>199</v>
      </c>
      <c r="D310" s="14" t="s">
        <v>221</v>
      </c>
      <c r="E310" s="14" t="n">
        <v>1</v>
      </c>
      <c r="F310" s="15" t="n">
        <f aca="false">'Site Dockets'!N22</f>
        <v>0</v>
      </c>
      <c r="G310" s="15" t="str">
        <f aca="false">IF(F310=E310,"PASS","OPEN")</f>
        <v>OPEN</v>
      </c>
      <c r="H310" s="14" t="s">
        <v>215</v>
      </c>
      <c r="I310" s="4"/>
      <c r="J310" s="4"/>
      <c r="K310" s="4"/>
      <c r="L310" s="4"/>
      <c r="M310" s="4"/>
      <c r="N310" s="4"/>
    </row>
    <row r="311" customFormat="false" ht="15" hidden="false" customHeight="false" outlineLevel="0" collapsed="false">
      <c r="A311" s="14" t="s">
        <v>538</v>
      </c>
      <c r="B311" s="14" t="s">
        <v>198</v>
      </c>
      <c r="C311" s="14" t="s">
        <v>199</v>
      </c>
      <c r="D311" s="14" t="s">
        <v>143</v>
      </c>
      <c r="E311" s="14" t="n">
        <v>1</v>
      </c>
      <c r="F311" s="15" t="n">
        <f aca="false">'Site Dockets'!O22</f>
        <v>0</v>
      </c>
      <c r="G311" s="15" t="str">
        <f aca="false">IF(F311=E311,"PASS","OPEN")</f>
        <v>OPEN</v>
      </c>
      <c r="H311" s="14" t="s">
        <v>215</v>
      </c>
      <c r="I311" s="4"/>
      <c r="J311" s="4"/>
      <c r="K311" s="4"/>
      <c r="L311" s="4"/>
      <c r="M311" s="4"/>
      <c r="N311" s="4"/>
    </row>
    <row r="312" customFormat="false" ht="15" hidden="false" customHeight="false" outlineLevel="0" collapsed="false">
      <c r="A312" s="14" t="s">
        <v>539</v>
      </c>
      <c r="B312" s="14" t="s">
        <v>198</v>
      </c>
      <c r="C312" s="14" t="s">
        <v>199</v>
      </c>
      <c r="D312" s="14" t="s">
        <v>224</v>
      </c>
      <c r="E312" s="14" t="n">
        <v>1</v>
      </c>
      <c r="F312" s="15" t="n">
        <f aca="false">IF('Site Dockets'!L22&lt;&gt;"",1,0)</f>
        <v>0</v>
      </c>
      <c r="G312" s="15" t="str">
        <f aca="false">IF(F312=E312,"PASS","OPEN")</f>
        <v>OPEN</v>
      </c>
      <c r="H312" s="14" t="s">
        <v>215</v>
      </c>
      <c r="I312" s="4"/>
      <c r="J312" s="4"/>
      <c r="K312" s="4"/>
      <c r="L312" s="4"/>
      <c r="M312" s="4"/>
      <c r="N312" s="4"/>
    </row>
    <row r="313" customFormat="false" ht="15" hidden="false" customHeight="false" outlineLevel="0" collapsed="false">
      <c r="A313" s="14" t="s">
        <v>540</v>
      </c>
      <c r="B313" s="14" t="s">
        <v>198</v>
      </c>
      <c r="C313" s="14" t="s">
        <v>199</v>
      </c>
      <c r="D313" s="14" t="s">
        <v>226</v>
      </c>
      <c r="E313" s="14" t="n">
        <v>1</v>
      </c>
      <c r="F313" s="15" t="n">
        <f aca="false">IF('Site Dockets'!M22&lt;&gt;"",1,0)</f>
        <v>0</v>
      </c>
      <c r="G313" s="15" t="str">
        <f aca="false">IF(F313=E313,"PASS","OPEN")</f>
        <v>OPEN</v>
      </c>
      <c r="H313" s="14" t="s">
        <v>215</v>
      </c>
      <c r="I313" s="4"/>
      <c r="J313" s="4"/>
      <c r="K313" s="4"/>
      <c r="L313" s="4"/>
      <c r="M313" s="4"/>
      <c r="N313" s="4"/>
    </row>
    <row r="314" customFormat="false" ht="15" hidden="false" customHeight="false" outlineLevel="0" collapsed="false">
      <c r="A314" s="14" t="s">
        <v>541</v>
      </c>
      <c r="B314" s="14" t="s">
        <v>198</v>
      </c>
      <c r="C314" s="14" t="s">
        <v>199</v>
      </c>
      <c r="D314" s="14" t="s">
        <v>228</v>
      </c>
      <c r="E314" s="14" t="n">
        <v>1</v>
      </c>
      <c r="F314" s="15" t="n">
        <f aca="false">IF(COUNTIFS('Role Appointments'!$B$7:$B$102,B314,'Role Appointments'!$J$7:$J$102,"READY")=COUNTIFS('Role Appointments'!$B$7:$B$102,B314),1,0)</f>
        <v>0</v>
      </c>
      <c r="G314" s="15" t="str">
        <f aca="false">IF(F314=E314,"PASS","OPEN")</f>
        <v>OPEN</v>
      </c>
      <c r="H314" s="14" t="s">
        <v>215</v>
      </c>
      <c r="I314" s="4"/>
      <c r="J314" s="4"/>
      <c r="K314" s="4"/>
      <c r="L314" s="4"/>
      <c r="M314" s="4"/>
      <c r="N314" s="4"/>
    </row>
    <row r="315" customFormat="false" ht="15" hidden="false" customHeight="false" outlineLevel="0" collapsed="false">
      <c r="A315" s="14" t="s">
        <v>542</v>
      </c>
      <c r="B315" s="14" t="s">
        <v>198</v>
      </c>
      <c r="C315" s="14" t="s">
        <v>199</v>
      </c>
      <c r="D315" s="14" t="s">
        <v>230</v>
      </c>
      <c r="E315" s="14" t="n">
        <v>1</v>
      </c>
      <c r="F315" s="15" t="n">
        <f aca="false">IF(COUNTIFS('Key Custody'!$B$7:$B$84,B315,'Key Custody'!$J$7:$J$84,"READY")=COUNTIFS('Key Custody'!$B$7:$B$84,B315),1,0)</f>
        <v>0</v>
      </c>
      <c r="G315" s="15" t="str">
        <f aca="false">IF(F315=E315,"PASS","OPEN")</f>
        <v>OPEN</v>
      </c>
      <c r="H315" s="14" t="s">
        <v>215</v>
      </c>
      <c r="I315" s="4"/>
      <c r="J315" s="4"/>
      <c r="K315" s="4"/>
      <c r="L315" s="4"/>
      <c r="M315" s="4"/>
      <c r="N315" s="4"/>
    </row>
    <row r="316" customFormat="false" ht="15" hidden="false" customHeight="false" outlineLevel="0" collapsed="false">
      <c r="A316" s="14" t="s">
        <v>543</v>
      </c>
      <c r="B316" s="14" t="s">
        <v>198</v>
      </c>
      <c r="C316" s="14" t="s">
        <v>199</v>
      </c>
      <c r="D316" s="14" t="s">
        <v>232</v>
      </c>
      <c r="E316" s="14" t="n">
        <v>1</v>
      </c>
      <c r="F316" s="15" t="n">
        <f aca="false">IF(AND('Vendor Lots'!G67&lt;&gt;"",'Vendor Lots'!G68&lt;&gt;"",'Vendor Lots'!G69&lt;&gt;"",'Vendor Lots'!G70&lt;&gt;""),1,0)</f>
        <v>0</v>
      </c>
      <c r="G316" s="15" t="str">
        <f aca="false">IF(F316=E316,"PASS","OPEN")</f>
        <v>OPEN</v>
      </c>
      <c r="H316" s="14" t="s">
        <v>215</v>
      </c>
      <c r="I316" s="4"/>
      <c r="J316" s="4"/>
      <c r="K316" s="4"/>
      <c r="L316" s="4"/>
      <c r="M316" s="4"/>
      <c r="N316" s="4"/>
    </row>
    <row r="317" customFormat="false" ht="15" hidden="false" customHeight="false" outlineLevel="0" collapsed="false">
      <c r="A317" s="14" t="s">
        <v>544</v>
      </c>
      <c r="B317" s="14" t="s">
        <v>198</v>
      </c>
      <c r="C317" s="14" t="s">
        <v>199</v>
      </c>
      <c r="D317" s="14" t="s">
        <v>234</v>
      </c>
      <c r="E317" s="14" t="n">
        <v>1</v>
      </c>
      <c r="F317" s="15" t="n">
        <f aca="false">IF(AND('Vendor Lots'!I67&lt;&gt;"",'Vendor Lots'!I68&lt;&gt;"",'Vendor Lots'!I69&lt;&gt;"",'Vendor Lots'!I70&lt;&gt;""),1,0)</f>
        <v>0</v>
      </c>
      <c r="G317" s="15" t="str">
        <f aca="false">IF(F317=E317,"PASS","OPEN")</f>
        <v>OPEN</v>
      </c>
      <c r="H317" s="14" t="s">
        <v>215</v>
      </c>
      <c r="I317" s="4"/>
      <c r="J317" s="4"/>
      <c r="K317" s="4"/>
      <c r="L317" s="4"/>
      <c r="M317" s="4"/>
      <c r="N317" s="4"/>
    </row>
    <row r="318" customFormat="false" ht="15" hidden="false" customHeight="false" outlineLevel="0" collapsed="false">
      <c r="A318" s="14" t="s">
        <v>545</v>
      </c>
      <c r="B318" s="14" t="s">
        <v>198</v>
      </c>
      <c r="C318" s="14" t="s">
        <v>199</v>
      </c>
      <c r="D318" s="14" t="s">
        <v>236</v>
      </c>
      <c r="E318" s="14" t="n">
        <v>1</v>
      </c>
      <c r="F318" s="15" t="n">
        <f aca="false">IF(AND('Vendor Lots'!G67&lt;&gt;"",'Vendor Lots'!G68&lt;&gt;"",'Vendor Lots'!G69&lt;&gt;"",'Vendor Lots'!G70&lt;&gt;"",SUM('Vendor Lots'!K67:K70)=0),1,0)</f>
        <v>0</v>
      </c>
      <c r="G318" s="15" t="str">
        <f aca="false">IF(F318=E318,"PASS","OPEN")</f>
        <v>OPEN</v>
      </c>
      <c r="H318" s="14" t="s">
        <v>237</v>
      </c>
      <c r="I318" s="4"/>
      <c r="J318" s="4"/>
      <c r="K318" s="4"/>
      <c r="L318" s="4"/>
      <c r="M318" s="4"/>
      <c r="N318" s="4"/>
    </row>
    <row r="319" customFormat="false" ht="15" hidden="false" customHeight="false" outlineLevel="0" collapsed="false">
      <c r="A319" s="14" t="s">
        <v>546</v>
      </c>
      <c r="B319" s="14" t="s">
        <v>198</v>
      </c>
      <c r="C319" s="14" t="s">
        <v>199</v>
      </c>
      <c r="D319" s="14" t="s">
        <v>145</v>
      </c>
      <c r="E319" s="14" t="n">
        <v>1</v>
      </c>
      <c r="F319" s="15" t="n">
        <f aca="false">'Site Dockets'!Q22</f>
        <v>0</v>
      </c>
      <c r="G319" s="15" t="str">
        <f aca="false">IF(F319=E319,"PASS","OPEN")</f>
        <v>OPEN</v>
      </c>
      <c r="H319" s="14" t="s">
        <v>215</v>
      </c>
      <c r="I319" s="4"/>
      <c r="J319" s="4"/>
      <c r="K319" s="4"/>
      <c r="L319" s="4"/>
      <c r="M319" s="4"/>
      <c r="N319" s="4"/>
    </row>
    <row r="320" customFormat="false" ht="15" hidden="false" customHeight="false" outlineLevel="0" collapsed="false">
      <c r="A320" s="14" t="s">
        <v>547</v>
      </c>
      <c r="B320" s="14" t="s">
        <v>198</v>
      </c>
      <c r="C320" s="14" t="s">
        <v>199</v>
      </c>
      <c r="D320" s="14" t="s">
        <v>240</v>
      </c>
      <c r="E320" s="14" t="n">
        <v>1</v>
      </c>
      <c r="F320" s="15" t="n">
        <f aca="false">1</f>
        <v>1</v>
      </c>
      <c r="G320" s="15" t="str">
        <f aca="false">IF(F320=E320,"PASS","OPEN")</f>
        <v>PASS</v>
      </c>
      <c r="H320" s="14" t="s">
        <v>215</v>
      </c>
      <c r="I320" s="4"/>
      <c r="J320" s="4"/>
      <c r="K320" s="4"/>
      <c r="L320" s="4"/>
      <c r="M320" s="4"/>
      <c r="N320" s="4"/>
    </row>
    <row r="321" customFormat="false" ht="15" hidden="false" customHeight="false" outlineLevel="0" collapsed="false">
      <c r="A321" s="14" t="s">
        <v>548</v>
      </c>
      <c r="B321" s="14" t="s">
        <v>198</v>
      </c>
      <c r="C321" s="14" t="s">
        <v>199</v>
      </c>
      <c r="D321" s="14" t="s">
        <v>242</v>
      </c>
      <c r="E321" s="14" t="n">
        <v>1</v>
      </c>
      <c r="F321" s="15" t="n">
        <f aca="false">IF(COUNTIFS('Failure Worlds'!$J$7:$J$36,"PASS")=Inputs!$B$16,1,0)</f>
        <v>1</v>
      </c>
      <c r="G321" s="15" t="str">
        <f aca="false">IF(F321=E321,"PASS","OPEN")</f>
        <v>PASS</v>
      </c>
      <c r="H321" s="14" t="s">
        <v>243</v>
      </c>
      <c r="I321" s="4"/>
      <c r="J321" s="4"/>
      <c r="K321" s="4"/>
      <c r="L321" s="4"/>
      <c r="M321" s="4"/>
      <c r="N321" s="4"/>
    </row>
    <row r="322" customFormat="false" ht="15" hidden="false" customHeight="false" outlineLevel="0" collapsed="false">
      <c r="A322" s="14" t="s">
        <v>549</v>
      </c>
      <c r="B322" s="14" t="s">
        <v>198</v>
      </c>
      <c r="C322" s="14" t="s">
        <v>199</v>
      </c>
      <c r="D322" s="14" t="s">
        <v>245</v>
      </c>
      <c r="E322" s="14" t="n">
        <v>1</v>
      </c>
      <c r="F322" s="15" t="n">
        <f aca="false">IF(COUNTIFS('Recovery Clocks'!$J$7:$J$186,"PASS")=180,1,0)</f>
        <v>0</v>
      </c>
      <c r="G322" s="15" t="str">
        <f aca="false">IF(F322=E322,"PASS","OPEN")</f>
        <v>OPEN</v>
      </c>
      <c r="H322" s="14" t="s">
        <v>215</v>
      </c>
      <c r="I322" s="4"/>
      <c r="J322" s="4"/>
      <c r="K322" s="4"/>
      <c r="L322" s="4"/>
      <c r="M322" s="4"/>
      <c r="N322" s="4"/>
    </row>
    <row r="323" customFormat="false" ht="15" hidden="false" customHeight="false" outlineLevel="0" collapsed="false">
      <c r="A323" s="14" t="s">
        <v>550</v>
      </c>
      <c r="B323" s="14" t="s">
        <v>198</v>
      </c>
      <c r="C323" s="14" t="s">
        <v>199</v>
      </c>
      <c r="D323" s="14" t="s">
        <v>247</v>
      </c>
      <c r="E323" s="14" t="n">
        <v>1</v>
      </c>
      <c r="F323" s="15" t="n">
        <f aca="false">IF(Inputs!$B$35=18,1,0)</f>
        <v>0</v>
      </c>
      <c r="G323" s="15" t="str">
        <f aca="false">IF(F323=E323,"PASS","OPEN")</f>
        <v>OPEN</v>
      </c>
      <c r="H323" s="14" t="s">
        <v>215</v>
      </c>
      <c r="I323" s="4"/>
      <c r="J323" s="4"/>
      <c r="K323" s="4"/>
      <c r="L323" s="4"/>
      <c r="M323" s="4"/>
      <c r="N323" s="4"/>
    </row>
    <row r="324" customFormat="false" ht="15" hidden="false" customHeight="false" outlineLevel="0" collapsed="false">
      <c r="A324" s="14" t="s">
        <v>551</v>
      </c>
      <c r="B324" s="14" t="s">
        <v>198</v>
      </c>
      <c r="C324" s="14" t="s">
        <v>199</v>
      </c>
      <c r="D324" s="14" t="s">
        <v>249</v>
      </c>
      <c r="E324" s="14" t="n">
        <v>1</v>
      </c>
      <c r="F324" s="15" t="n">
        <f aca="false">0</f>
        <v>0</v>
      </c>
      <c r="G324" s="15" t="str">
        <f aca="false">IF(F324=E324,"PASS","OPEN")</f>
        <v>OPEN</v>
      </c>
      <c r="H324" s="14" t="s">
        <v>215</v>
      </c>
      <c r="I324" s="4"/>
      <c r="J324" s="4"/>
      <c r="K324" s="4"/>
      <c r="L324" s="4"/>
      <c r="M324" s="4"/>
      <c r="N324" s="4"/>
    </row>
    <row r="325" customFormat="false" ht="15" hidden="false" customHeight="false" outlineLevel="0" collapsed="false">
      <c r="A325" s="14" t="s">
        <v>552</v>
      </c>
      <c r="B325" s="14" t="s">
        <v>198</v>
      </c>
      <c r="C325" s="14" t="s">
        <v>199</v>
      </c>
      <c r="D325" s="14" t="s">
        <v>251</v>
      </c>
      <c r="E325" s="14" t="n">
        <v>1</v>
      </c>
      <c r="F325" s="15" t="n">
        <f aca="false">1</f>
        <v>1</v>
      </c>
      <c r="G325" s="15" t="str">
        <f aca="false">IF(F325=E325,"PASS","OPEN")</f>
        <v>PASS</v>
      </c>
      <c r="H325" s="14" t="s">
        <v>215</v>
      </c>
      <c r="I325" s="4"/>
      <c r="J325" s="4"/>
      <c r="K325" s="4"/>
      <c r="L325" s="4"/>
      <c r="M325" s="4"/>
      <c r="N325" s="4"/>
    </row>
    <row r="326" customFormat="false" ht="15" hidden="false" customHeight="false" outlineLevel="0" collapsed="false">
      <c r="A326" s="14" t="s">
        <v>553</v>
      </c>
      <c r="B326" s="14" t="s">
        <v>198</v>
      </c>
      <c r="C326" s="14" t="s">
        <v>199</v>
      </c>
      <c r="D326" s="14" t="s">
        <v>253</v>
      </c>
      <c r="E326" s="14" t="n">
        <v>1</v>
      </c>
      <c r="F326" s="15" t="n">
        <f aca="false">Inputs!$B$37</f>
        <v>0</v>
      </c>
      <c r="G326" s="15" t="str">
        <f aca="false">IF(F326=E326,"PASS","OPEN")</f>
        <v>OPEN</v>
      </c>
      <c r="H326" s="14" t="s">
        <v>215</v>
      </c>
      <c r="I326" s="4"/>
      <c r="J326" s="4"/>
      <c r="K326" s="4"/>
      <c r="L326" s="4"/>
      <c r="M326" s="4"/>
      <c r="N326" s="4"/>
    </row>
    <row r="327" customFormat="false" ht="15" hidden="false" customHeight="false" outlineLevel="0" collapsed="false">
      <c r="A327" s="14" t="s">
        <v>554</v>
      </c>
      <c r="B327" s="14" t="s">
        <v>202</v>
      </c>
      <c r="C327" s="14" t="s">
        <v>199</v>
      </c>
      <c r="D327" s="14" t="s">
        <v>214</v>
      </c>
      <c r="E327" s="14" t="n">
        <v>1</v>
      </c>
      <c r="F327" s="15" t="n">
        <f aca="false">1</f>
        <v>1</v>
      </c>
      <c r="G327" s="15" t="str">
        <f aca="false">IF(F327=E327,"PASS","OPEN")</f>
        <v>PASS</v>
      </c>
      <c r="H327" s="14" t="s">
        <v>215</v>
      </c>
      <c r="I327" s="4"/>
      <c r="J327" s="4"/>
      <c r="K327" s="4"/>
      <c r="L327" s="4"/>
      <c r="M327" s="4"/>
      <c r="N327" s="4"/>
    </row>
    <row r="328" customFormat="false" ht="15" hidden="false" customHeight="false" outlineLevel="0" collapsed="false">
      <c r="A328" s="14" t="s">
        <v>555</v>
      </c>
      <c r="B328" s="14" t="s">
        <v>202</v>
      </c>
      <c r="C328" s="14" t="s">
        <v>199</v>
      </c>
      <c r="D328" s="14" t="s">
        <v>217</v>
      </c>
      <c r="E328" s="14" t="n">
        <v>1</v>
      </c>
      <c r="F328" s="15" t="n">
        <f aca="false">1</f>
        <v>1</v>
      </c>
      <c r="G328" s="15" t="str">
        <f aca="false">IF(F328=E328,"PASS","OPEN")</f>
        <v>PASS</v>
      </c>
      <c r="H328" s="14" t="s">
        <v>215</v>
      </c>
      <c r="I328" s="4"/>
      <c r="J328" s="4"/>
      <c r="K328" s="4"/>
      <c r="L328" s="4"/>
      <c r="M328" s="4"/>
      <c r="N328" s="4"/>
    </row>
    <row r="329" customFormat="false" ht="15" hidden="false" customHeight="false" outlineLevel="0" collapsed="false">
      <c r="A329" s="14" t="s">
        <v>556</v>
      </c>
      <c r="B329" s="14" t="s">
        <v>202</v>
      </c>
      <c r="C329" s="14" t="s">
        <v>199</v>
      </c>
      <c r="D329" s="14" t="s">
        <v>219</v>
      </c>
      <c r="E329" s="14" t="n">
        <v>1</v>
      </c>
      <c r="F329" s="15" t="n">
        <f aca="false">IF('Site Dockets'!J23&lt;&gt;"",1,0)</f>
        <v>0</v>
      </c>
      <c r="G329" s="15" t="str">
        <f aca="false">IF(F329=E329,"PASS","OPEN")</f>
        <v>OPEN</v>
      </c>
      <c r="H329" s="14" t="s">
        <v>215</v>
      </c>
      <c r="I329" s="4"/>
      <c r="J329" s="4"/>
      <c r="K329" s="4"/>
      <c r="L329" s="4"/>
      <c r="M329" s="4"/>
      <c r="N329" s="4"/>
    </row>
    <row r="330" customFormat="false" ht="15" hidden="false" customHeight="false" outlineLevel="0" collapsed="false">
      <c r="A330" s="14" t="s">
        <v>557</v>
      </c>
      <c r="B330" s="14" t="s">
        <v>202</v>
      </c>
      <c r="C330" s="14" t="s">
        <v>199</v>
      </c>
      <c r="D330" s="14" t="s">
        <v>221</v>
      </c>
      <c r="E330" s="14" t="n">
        <v>1</v>
      </c>
      <c r="F330" s="15" t="n">
        <f aca="false">'Site Dockets'!N23</f>
        <v>0</v>
      </c>
      <c r="G330" s="15" t="str">
        <f aca="false">IF(F330=E330,"PASS","OPEN")</f>
        <v>OPEN</v>
      </c>
      <c r="H330" s="14" t="s">
        <v>215</v>
      </c>
      <c r="I330" s="4"/>
      <c r="J330" s="4"/>
      <c r="K330" s="4"/>
      <c r="L330" s="4"/>
      <c r="M330" s="4"/>
      <c r="N330" s="4"/>
    </row>
    <row r="331" customFormat="false" ht="15" hidden="false" customHeight="false" outlineLevel="0" collapsed="false">
      <c r="A331" s="14" t="s">
        <v>558</v>
      </c>
      <c r="B331" s="14" t="s">
        <v>202</v>
      </c>
      <c r="C331" s="14" t="s">
        <v>199</v>
      </c>
      <c r="D331" s="14" t="s">
        <v>143</v>
      </c>
      <c r="E331" s="14" t="n">
        <v>1</v>
      </c>
      <c r="F331" s="15" t="n">
        <f aca="false">'Site Dockets'!O23</f>
        <v>0</v>
      </c>
      <c r="G331" s="15" t="str">
        <f aca="false">IF(F331=E331,"PASS","OPEN")</f>
        <v>OPEN</v>
      </c>
      <c r="H331" s="14" t="s">
        <v>215</v>
      </c>
      <c r="I331" s="4"/>
      <c r="J331" s="4"/>
      <c r="K331" s="4"/>
      <c r="L331" s="4"/>
      <c r="M331" s="4"/>
      <c r="N331" s="4"/>
    </row>
    <row r="332" customFormat="false" ht="15" hidden="false" customHeight="false" outlineLevel="0" collapsed="false">
      <c r="A332" s="14" t="s">
        <v>559</v>
      </c>
      <c r="B332" s="14" t="s">
        <v>202</v>
      </c>
      <c r="C332" s="14" t="s">
        <v>199</v>
      </c>
      <c r="D332" s="14" t="s">
        <v>224</v>
      </c>
      <c r="E332" s="14" t="n">
        <v>1</v>
      </c>
      <c r="F332" s="15" t="n">
        <f aca="false">IF('Site Dockets'!L23&lt;&gt;"",1,0)</f>
        <v>0</v>
      </c>
      <c r="G332" s="15" t="str">
        <f aca="false">IF(F332=E332,"PASS","OPEN")</f>
        <v>OPEN</v>
      </c>
      <c r="H332" s="14" t="s">
        <v>215</v>
      </c>
      <c r="I332" s="4"/>
      <c r="J332" s="4"/>
      <c r="K332" s="4"/>
      <c r="L332" s="4"/>
      <c r="M332" s="4"/>
      <c r="N332" s="4"/>
    </row>
    <row r="333" customFormat="false" ht="15" hidden="false" customHeight="false" outlineLevel="0" collapsed="false">
      <c r="A333" s="14" t="s">
        <v>560</v>
      </c>
      <c r="B333" s="14" t="s">
        <v>202</v>
      </c>
      <c r="C333" s="14" t="s">
        <v>199</v>
      </c>
      <c r="D333" s="14" t="s">
        <v>226</v>
      </c>
      <c r="E333" s="14" t="n">
        <v>1</v>
      </c>
      <c r="F333" s="15" t="n">
        <f aca="false">IF('Site Dockets'!M23&lt;&gt;"",1,0)</f>
        <v>0</v>
      </c>
      <c r="G333" s="15" t="str">
        <f aca="false">IF(F333=E333,"PASS","OPEN")</f>
        <v>OPEN</v>
      </c>
      <c r="H333" s="14" t="s">
        <v>215</v>
      </c>
      <c r="I333" s="4"/>
      <c r="J333" s="4"/>
      <c r="K333" s="4"/>
      <c r="L333" s="4"/>
      <c r="M333" s="4"/>
      <c r="N333" s="4"/>
    </row>
    <row r="334" customFormat="false" ht="15" hidden="false" customHeight="false" outlineLevel="0" collapsed="false">
      <c r="A334" s="14" t="s">
        <v>561</v>
      </c>
      <c r="B334" s="14" t="s">
        <v>202</v>
      </c>
      <c r="C334" s="14" t="s">
        <v>199</v>
      </c>
      <c r="D334" s="14" t="s">
        <v>228</v>
      </c>
      <c r="E334" s="14" t="n">
        <v>1</v>
      </c>
      <c r="F334" s="15" t="n">
        <f aca="false">IF(COUNTIFS('Role Appointments'!$B$7:$B$102,B334,'Role Appointments'!$J$7:$J$102,"READY")=COUNTIFS('Role Appointments'!$B$7:$B$102,B334),1,0)</f>
        <v>0</v>
      </c>
      <c r="G334" s="15" t="str">
        <f aca="false">IF(F334=E334,"PASS","OPEN")</f>
        <v>OPEN</v>
      </c>
      <c r="H334" s="14" t="s">
        <v>215</v>
      </c>
      <c r="I334" s="4"/>
      <c r="J334" s="4"/>
      <c r="K334" s="4"/>
      <c r="L334" s="4"/>
      <c r="M334" s="4"/>
      <c r="N334" s="4"/>
    </row>
    <row r="335" customFormat="false" ht="15" hidden="false" customHeight="false" outlineLevel="0" collapsed="false">
      <c r="A335" s="14" t="s">
        <v>562</v>
      </c>
      <c r="B335" s="14" t="s">
        <v>202</v>
      </c>
      <c r="C335" s="14" t="s">
        <v>199</v>
      </c>
      <c r="D335" s="14" t="s">
        <v>230</v>
      </c>
      <c r="E335" s="14" t="n">
        <v>1</v>
      </c>
      <c r="F335" s="15" t="n">
        <f aca="false">IF(COUNTIFS('Key Custody'!$B$7:$B$84,B335,'Key Custody'!$J$7:$J$84,"READY")=COUNTIFS('Key Custody'!$B$7:$B$84,B335),1,0)</f>
        <v>0</v>
      </c>
      <c r="G335" s="15" t="str">
        <f aca="false">IF(F335=E335,"PASS","OPEN")</f>
        <v>OPEN</v>
      </c>
      <c r="H335" s="14" t="s">
        <v>215</v>
      </c>
      <c r="I335" s="4"/>
      <c r="J335" s="4"/>
      <c r="K335" s="4"/>
      <c r="L335" s="4"/>
      <c r="M335" s="4"/>
      <c r="N335" s="4"/>
    </row>
    <row r="336" customFormat="false" ht="15" hidden="false" customHeight="false" outlineLevel="0" collapsed="false">
      <c r="A336" s="14" t="s">
        <v>563</v>
      </c>
      <c r="B336" s="14" t="s">
        <v>202</v>
      </c>
      <c r="C336" s="14" t="s">
        <v>199</v>
      </c>
      <c r="D336" s="14" t="s">
        <v>232</v>
      </c>
      <c r="E336" s="14" t="n">
        <v>1</v>
      </c>
      <c r="F336" s="15" t="n">
        <f aca="false">IF(AND('Vendor Lots'!G71&lt;&gt;"",'Vendor Lots'!G72&lt;&gt;"",'Vendor Lots'!G73&lt;&gt;"",'Vendor Lots'!G74&lt;&gt;""),1,0)</f>
        <v>0</v>
      </c>
      <c r="G336" s="15" t="str">
        <f aca="false">IF(F336=E336,"PASS","OPEN")</f>
        <v>OPEN</v>
      </c>
      <c r="H336" s="14" t="s">
        <v>215</v>
      </c>
      <c r="I336" s="4"/>
      <c r="J336" s="4"/>
      <c r="K336" s="4"/>
      <c r="L336" s="4"/>
      <c r="M336" s="4"/>
      <c r="N336" s="4"/>
    </row>
    <row r="337" customFormat="false" ht="15" hidden="false" customHeight="false" outlineLevel="0" collapsed="false">
      <c r="A337" s="14" t="s">
        <v>564</v>
      </c>
      <c r="B337" s="14" t="s">
        <v>202</v>
      </c>
      <c r="C337" s="14" t="s">
        <v>199</v>
      </c>
      <c r="D337" s="14" t="s">
        <v>234</v>
      </c>
      <c r="E337" s="14" t="n">
        <v>1</v>
      </c>
      <c r="F337" s="15" t="n">
        <f aca="false">IF(AND('Vendor Lots'!I71&lt;&gt;"",'Vendor Lots'!I72&lt;&gt;"",'Vendor Lots'!I73&lt;&gt;"",'Vendor Lots'!I74&lt;&gt;""),1,0)</f>
        <v>0</v>
      </c>
      <c r="G337" s="15" t="str">
        <f aca="false">IF(F337=E337,"PASS","OPEN")</f>
        <v>OPEN</v>
      </c>
      <c r="H337" s="14" t="s">
        <v>215</v>
      </c>
      <c r="I337" s="4"/>
      <c r="J337" s="4"/>
      <c r="K337" s="4"/>
      <c r="L337" s="4"/>
      <c r="M337" s="4"/>
      <c r="N337" s="4"/>
    </row>
    <row r="338" customFormat="false" ht="15" hidden="false" customHeight="false" outlineLevel="0" collapsed="false">
      <c r="A338" s="14" t="s">
        <v>565</v>
      </c>
      <c r="B338" s="14" t="s">
        <v>202</v>
      </c>
      <c r="C338" s="14" t="s">
        <v>199</v>
      </c>
      <c r="D338" s="14" t="s">
        <v>236</v>
      </c>
      <c r="E338" s="14" t="n">
        <v>1</v>
      </c>
      <c r="F338" s="15" t="n">
        <f aca="false">IF(AND('Vendor Lots'!G71&lt;&gt;"",'Vendor Lots'!G72&lt;&gt;"",'Vendor Lots'!G73&lt;&gt;"",'Vendor Lots'!G74&lt;&gt;"",SUM('Vendor Lots'!K71:K74)=0),1,0)</f>
        <v>0</v>
      </c>
      <c r="G338" s="15" t="str">
        <f aca="false">IF(F338=E338,"PASS","OPEN")</f>
        <v>OPEN</v>
      </c>
      <c r="H338" s="14" t="s">
        <v>237</v>
      </c>
      <c r="I338" s="4"/>
      <c r="J338" s="4"/>
      <c r="K338" s="4"/>
      <c r="L338" s="4"/>
      <c r="M338" s="4"/>
      <c r="N338" s="4"/>
    </row>
    <row r="339" customFormat="false" ht="15" hidden="false" customHeight="false" outlineLevel="0" collapsed="false">
      <c r="A339" s="14" t="s">
        <v>566</v>
      </c>
      <c r="B339" s="14" t="s">
        <v>202</v>
      </c>
      <c r="C339" s="14" t="s">
        <v>199</v>
      </c>
      <c r="D339" s="14" t="s">
        <v>145</v>
      </c>
      <c r="E339" s="14" t="n">
        <v>1</v>
      </c>
      <c r="F339" s="15" t="n">
        <f aca="false">'Site Dockets'!Q23</f>
        <v>0</v>
      </c>
      <c r="G339" s="15" t="str">
        <f aca="false">IF(F339=E339,"PASS","OPEN")</f>
        <v>OPEN</v>
      </c>
      <c r="H339" s="14" t="s">
        <v>215</v>
      </c>
      <c r="I339" s="4"/>
      <c r="J339" s="4"/>
      <c r="K339" s="4"/>
      <c r="L339" s="4"/>
      <c r="M339" s="4"/>
      <c r="N339" s="4"/>
    </row>
    <row r="340" customFormat="false" ht="15" hidden="false" customHeight="false" outlineLevel="0" collapsed="false">
      <c r="A340" s="14" t="s">
        <v>567</v>
      </c>
      <c r="B340" s="14" t="s">
        <v>202</v>
      </c>
      <c r="C340" s="14" t="s">
        <v>199</v>
      </c>
      <c r="D340" s="14" t="s">
        <v>240</v>
      </c>
      <c r="E340" s="14" t="n">
        <v>1</v>
      </c>
      <c r="F340" s="15" t="n">
        <f aca="false">1</f>
        <v>1</v>
      </c>
      <c r="G340" s="15" t="str">
        <f aca="false">IF(F340=E340,"PASS","OPEN")</f>
        <v>PASS</v>
      </c>
      <c r="H340" s="14" t="s">
        <v>215</v>
      </c>
      <c r="I340" s="4"/>
      <c r="J340" s="4"/>
      <c r="K340" s="4"/>
      <c r="L340" s="4"/>
      <c r="M340" s="4"/>
      <c r="N340" s="4"/>
    </row>
    <row r="341" customFormat="false" ht="15" hidden="false" customHeight="false" outlineLevel="0" collapsed="false">
      <c r="A341" s="14" t="s">
        <v>568</v>
      </c>
      <c r="B341" s="14" t="s">
        <v>202</v>
      </c>
      <c r="C341" s="14" t="s">
        <v>199</v>
      </c>
      <c r="D341" s="14" t="s">
        <v>242</v>
      </c>
      <c r="E341" s="14" t="n">
        <v>1</v>
      </c>
      <c r="F341" s="15" t="n">
        <f aca="false">IF(COUNTIFS('Failure Worlds'!$J$7:$J$36,"PASS")=Inputs!$B$16,1,0)</f>
        <v>1</v>
      </c>
      <c r="G341" s="15" t="str">
        <f aca="false">IF(F341=E341,"PASS","OPEN")</f>
        <v>PASS</v>
      </c>
      <c r="H341" s="14" t="s">
        <v>243</v>
      </c>
      <c r="I341" s="4"/>
      <c r="J341" s="4"/>
      <c r="K341" s="4"/>
      <c r="L341" s="4"/>
      <c r="M341" s="4"/>
      <c r="N341" s="4"/>
    </row>
    <row r="342" customFormat="false" ht="15" hidden="false" customHeight="false" outlineLevel="0" collapsed="false">
      <c r="A342" s="14" t="s">
        <v>569</v>
      </c>
      <c r="B342" s="14" t="s">
        <v>202</v>
      </c>
      <c r="C342" s="14" t="s">
        <v>199</v>
      </c>
      <c r="D342" s="14" t="s">
        <v>245</v>
      </c>
      <c r="E342" s="14" t="n">
        <v>1</v>
      </c>
      <c r="F342" s="15" t="n">
        <f aca="false">IF(COUNTIFS('Recovery Clocks'!$J$7:$J$186,"PASS")=180,1,0)</f>
        <v>0</v>
      </c>
      <c r="G342" s="15" t="str">
        <f aca="false">IF(F342=E342,"PASS","OPEN")</f>
        <v>OPEN</v>
      </c>
      <c r="H342" s="14" t="s">
        <v>215</v>
      </c>
      <c r="I342" s="4"/>
      <c r="J342" s="4"/>
      <c r="K342" s="4"/>
      <c r="L342" s="4"/>
      <c r="M342" s="4"/>
      <c r="N342" s="4"/>
    </row>
    <row r="343" customFormat="false" ht="15" hidden="false" customHeight="false" outlineLevel="0" collapsed="false">
      <c r="A343" s="14" t="s">
        <v>570</v>
      </c>
      <c r="B343" s="14" t="s">
        <v>202</v>
      </c>
      <c r="C343" s="14" t="s">
        <v>199</v>
      </c>
      <c r="D343" s="14" t="s">
        <v>247</v>
      </c>
      <c r="E343" s="14" t="n">
        <v>1</v>
      </c>
      <c r="F343" s="15" t="n">
        <f aca="false">IF(Inputs!$B$35=18,1,0)</f>
        <v>0</v>
      </c>
      <c r="G343" s="15" t="str">
        <f aca="false">IF(F343=E343,"PASS","OPEN")</f>
        <v>OPEN</v>
      </c>
      <c r="H343" s="14" t="s">
        <v>215</v>
      </c>
      <c r="I343" s="4"/>
      <c r="J343" s="4"/>
      <c r="K343" s="4"/>
      <c r="L343" s="4"/>
      <c r="M343" s="4"/>
      <c r="N343" s="4"/>
    </row>
    <row r="344" customFormat="false" ht="15" hidden="false" customHeight="false" outlineLevel="0" collapsed="false">
      <c r="A344" s="14" t="s">
        <v>571</v>
      </c>
      <c r="B344" s="14" t="s">
        <v>202</v>
      </c>
      <c r="C344" s="14" t="s">
        <v>199</v>
      </c>
      <c r="D344" s="14" t="s">
        <v>249</v>
      </c>
      <c r="E344" s="14" t="n">
        <v>1</v>
      </c>
      <c r="F344" s="15" t="n">
        <f aca="false">0</f>
        <v>0</v>
      </c>
      <c r="G344" s="15" t="str">
        <f aca="false">IF(F344=E344,"PASS","OPEN")</f>
        <v>OPEN</v>
      </c>
      <c r="H344" s="14" t="s">
        <v>215</v>
      </c>
      <c r="I344" s="4"/>
      <c r="J344" s="4"/>
      <c r="K344" s="4"/>
      <c r="L344" s="4"/>
      <c r="M344" s="4"/>
      <c r="N344" s="4"/>
    </row>
    <row r="345" customFormat="false" ht="15" hidden="false" customHeight="false" outlineLevel="0" collapsed="false">
      <c r="A345" s="14" t="s">
        <v>572</v>
      </c>
      <c r="B345" s="14" t="s">
        <v>202</v>
      </c>
      <c r="C345" s="14" t="s">
        <v>199</v>
      </c>
      <c r="D345" s="14" t="s">
        <v>251</v>
      </c>
      <c r="E345" s="14" t="n">
        <v>1</v>
      </c>
      <c r="F345" s="15" t="n">
        <f aca="false">1</f>
        <v>1</v>
      </c>
      <c r="G345" s="15" t="str">
        <f aca="false">IF(F345=E345,"PASS","OPEN")</f>
        <v>PASS</v>
      </c>
      <c r="H345" s="14" t="s">
        <v>215</v>
      </c>
      <c r="I345" s="4"/>
      <c r="J345" s="4"/>
      <c r="K345" s="4"/>
      <c r="L345" s="4"/>
      <c r="M345" s="4"/>
      <c r="N345" s="4"/>
    </row>
    <row r="346" customFormat="false" ht="15" hidden="false" customHeight="false" outlineLevel="0" collapsed="false">
      <c r="A346" s="14" t="s">
        <v>573</v>
      </c>
      <c r="B346" s="14" t="s">
        <v>202</v>
      </c>
      <c r="C346" s="14" t="s">
        <v>199</v>
      </c>
      <c r="D346" s="14" t="s">
        <v>253</v>
      </c>
      <c r="E346" s="14" t="n">
        <v>1</v>
      </c>
      <c r="F346" s="15" t="n">
        <f aca="false">Inputs!$B$37</f>
        <v>0</v>
      </c>
      <c r="G346" s="15" t="str">
        <f aca="false">IF(F346=E346,"PASS","OPEN")</f>
        <v>OPEN</v>
      </c>
      <c r="H346" s="14" t="s">
        <v>215</v>
      </c>
      <c r="I346" s="4"/>
      <c r="J346" s="4"/>
      <c r="K346" s="4"/>
      <c r="L346" s="4"/>
      <c r="M346" s="4"/>
      <c r="N346" s="4"/>
    </row>
    <row r="347" customFormat="false" ht="15" hidden="false" customHeight="false" outlineLevel="0" collapsed="false">
      <c r="A347" s="14" t="s">
        <v>574</v>
      </c>
      <c r="B347" s="14" t="s">
        <v>204</v>
      </c>
      <c r="C347" s="14" t="s">
        <v>199</v>
      </c>
      <c r="D347" s="14" t="s">
        <v>214</v>
      </c>
      <c r="E347" s="14" t="n">
        <v>1</v>
      </c>
      <c r="F347" s="15" t="n">
        <f aca="false">1</f>
        <v>1</v>
      </c>
      <c r="G347" s="15" t="str">
        <f aca="false">IF(F347=E347,"PASS","OPEN")</f>
        <v>PASS</v>
      </c>
      <c r="H347" s="14" t="s">
        <v>215</v>
      </c>
      <c r="I347" s="4"/>
      <c r="J347" s="4"/>
      <c r="K347" s="4"/>
      <c r="L347" s="4"/>
      <c r="M347" s="4"/>
      <c r="N347" s="4"/>
    </row>
    <row r="348" customFormat="false" ht="15" hidden="false" customHeight="false" outlineLevel="0" collapsed="false">
      <c r="A348" s="14" t="s">
        <v>575</v>
      </c>
      <c r="B348" s="14" t="s">
        <v>204</v>
      </c>
      <c r="C348" s="14" t="s">
        <v>199</v>
      </c>
      <c r="D348" s="14" t="s">
        <v>217</v>
      </c>
      <c r="E348" s="14" t="n">
        <v>1</v>
      </c>
      <c r="F348" s="15" t="n">
        <f aca="false">1</f>
        <v>1</v>
      </c>
      <c r="G348" s="15" t="str">
        <f aca="false">IF(F348=E348,"PASS","OPEN")</f>
        <v>PASS</v>
      </c>
      <c r="H348" s="14" t="s">
        <v>215</v>
      </c>
      <c r="I348" s="4"/>
      <c r="J348" s="4"/>
      <c r="K348" s="4"/>
      <c r="L348" s="4"/>
      <c r="M348" s="4"/>
      <c r="N348" s="4"/>
    </row>
    <row r="349" customFormat="false" ht="15" hidden="false" customHeight="false" outlineLevel="0" collapsed="false">
      <c r="A349" s="14" t="s">
        <v>576</v>
      </c>
      <c r="B349" s="14" t="s">
        <v>204</v>
      </c>
      <c r="C349" s="14" t="s">
        <v>199</v>
      </c>
      <c r="D349" s="14" t="s">
        <v>219</v>
      </c>
      <c r="E349" s="14" t="n">
        <v>1</v>
      </c>
      <c r="F349" s="15" t="n">
        <f aca="false">IF('Site Dockets'!J24&lt;&gt;"",1,0)</f>
        <v>0</v>
      </c>
      <c r="G349" s="15" t="str">
        <f aca="false">IF(F349=E349,"PASS","OPEN")</f>
        <v>OPEN</v>
      </c>
      <c r="H349" s="14" t="s">
        <v>215</v>
      </c>
      <c r="I349" s="4"/>
      <c r="J349" s="4"/>
      <c r="K349" s="4"/>
      <c r="L349" s="4"/>
      <c r="M349" s="4"/>
      <c r="N349" s="4"/>
    </row>
    <row r="350" customFormat="false" ht="15" hidden="false" customHeight="false" outlineLevel="0" collapsed="false">
      <c r="A350" s="14" t="s">
        <v>577</v>
      </c>
      <c r="B350" s="14" t="s">
        <v>204</v>
      </c>
      <c r="C350" s="14" t="s">
        <v>199</v>
      </c>
      <c r="D350" s="14" t="s">
        <v>221</v>
      </c>
      <c r="E350" s="14" t="n">
        <v>1</v>
      </c>
      <c r="F350" s="15" t="n">
        <f aca="false">'Site Dockets'!N24</f>
        <v>0</v>
      </c>
      <c r="G350" s="15" t="str">
        <f aca="false">IF(F350=E350,"PASS","OPEN")</f>
        <v>OPEN</v>
      </c>
      <c r="H350" s="14" t="s">
        <v>215</v>
      </c>
      <c r="I350" s="4"/>
      <c r="J350" s="4"/>
      <c r="K350" s="4"/>
      <c r="L350" s="4"/>
      <c r="M350" s="4"/>
      <c r="N350" s="4"/>
    </row>
    <row r="351" customFormat="false" ht="15" hidden="false" customHeight="false" outlineLevel="0" collapsed="false">
      <c r="A351" s="14" t="s">
        <v>578</v>
      </c>
      <c r="B351" s="14" t="s">
        <v>204</v>
      </c>
      <c r="C351" s="14" t="s">
        <v>199</v>
      </c>
      <c r="D351" s="14" t="s">
        <v>143</v>
      </c>
      <c r="E351" s="14" t="n">
        <v>1</v>
      </c>
      <c r="F351" s="15" t="n">
        <f aca="false">'Site Dockets'!O24</f>
        <v>0</v>
      </c>
      <c r="G351" s="15" t="str">
        <f aca="false">IF(F351=E351,"PASS","OPEN")</f>
        <v>OPEN</v>
      </c>
      <c r="H351" s="14" t="s">
        <v>215</v>
      </c>
      <c r="I351" s="4"/>
      <c r="J351" s="4"/>
      <c r="K351" s="4"/>
      <c r="L351" s="4"/>
      <c r="M351" s="4"/>
      <c r="N351" s="4"/>
    </row>
    <row r="352" customFormat="false" ht="15" hidden="false" customHeight="false" outlineLevel="0" collapsed="false">
      <c r="A352" s="14" t="s">
        <v>579</v>
      </c>
      <c r="B352" s="14" t="s">
        <v>204</v>
      </c>
      <c r="C352" s="14" t="s">
        <v>199</v>
      </c>
      <c r="D352" s="14" t="s">
        <v>224</v>
      </c>
      <c r="E352" s="14" t="n">
        <v>1</v>
      </c>
      <c r="F352" s="15" t="n">
        <f aca="false">IF('Site Dockets'!L24&lt;&gt;"",1,0)</f>
        <v>0</v>
      </c>
      <c r="G352" s="15" t="str">
        <f aca="false">IF(F352=E352,"PASS","OPEN")</f>
        <v>OPEN</v>
      </c>
      <c r="H352" s="14" t="s">
        <v>215</v>
      </c>
      <c r="I352" s="4"/>
      <c r="J352" s="4"/>
      <c r="K352" s="4"/>
      <c r="L352" s="4"/>
      <c r="M352" s="4"/>
      <c r="N352" s="4"/>
    </row>
    <row r="353" customFormat="false" ht="15" hidden="false" customHeight="false" outlineLevel="0" collapsed="false">
      <c r="A353" s="14" t="s">
        <v>580</v>
      </c>
      <c r="B353" s="14" t="s">
        <v>204</v>
      </c>
      <c r="C353" s="14" t="s">
        <v>199</v>
      </c>
      <c r="D353" s="14" t="s">
        <v>226</v>
      </c>
      <c r="E353" s="14" t="n">
        <v>1</v>
      </c>
      <c r="F353" s="15" t="n">
        <f aca="false">IF('Site Dockets'!M24&lt;&gt;"",1,0)</f>
        <v>0</v>
      </c>
      <c r="G353" s="15" t="str">
        <f aca="false">IF(F353=E353,"PASS","OPEN")</f>
        <v>OPEN</v>
      </c>
      <c r="H353" s="14" t="s">
        <v>215</v>
      </c>
      <c r="I353" s="4"/>
      <c r="J353" s="4"/>
      <c r="K353" s="4"/>
      <c r="L353" s="4"/>
      <c r="M353" s="4"/>
      <c r="N353" s="4"/>
    </row>
    <row r="354" customFormat="false" ht="15" hidden="false" customHeight="false" outlineLevel="0" collapsed="false">
      <c r="A354" s="14" t="s">
        <v>581</v>
      </c>
      <c r="B354" s="14" t="s">
        <v>204</v>
      </c>
      <c r="C354" s="14" t="s">
        <v>199</v>
      </c>
      <c r="D354" s="14" t="s">
        <v>228</v>
      </c>
      <c r="E354" s="14" t="n">
        <v>1</v>
      </c>
      <c r="F354" s="15" t="n">
        <f aca="false">IF(COUNTIFS('Role Appointments'!$B$7:$B$102,B354,'Role Appointments'!$J$7:$J$102,"READY")=COUNTIFS('Role Appointments'!$B$7:$B$102,B354),1,0)</f>
        <v>0</v>
      </c>
      <c r="G354" s="15" t="str">
        <f aca="false">IF(F354=E354,"PASS","OPEN")</f>
        <v>OPEN</v>
      </c>
      <c r="H354" s="14" t="s">
        <v>215</v>
      </c>
      <c r="I354" s="4"/>
      <c r="J354" s="4"/>
      <c r="K354" s="4"/>
      <c r="L354" s="4"/>
      <c r="M354" s="4"/>
      <c r="N354" s="4"/>
    </row>
    <row r="355" customFormat="false" ht="15" hidden="false" customHeight="false" outlineLevel="0" collapsed="false">
      <c r="A355" s="14" t="s">
        <v>582</v>
      </c>
      <c r="B355" s="14" t="s">
        <v>204</v>
      </c>
      <c r="C355" s="14" t="s">
        <v>199</v>
      </c>
      <c r="D355" s="14" t="s">
        <v>230</v>
      </c>
      <c r="E355" s="14" t="n">
        <v>1</v>
      </c>
      <c r="F355" s="15" t="n">
        <f aca="false">IF(COUNTIFS('Key Custody'!$B$7:$B$84,B355,'Key Custody'!$J$7:$J$84,"READY")=COUNTIFS('Key Custody'!$B$7:$B$84,B355),1,0)</f>
        <v>0</v>
      </c>
      <c r="G355" s="15" t="str">
        <f aca="false">IF(F355=E355,"PASS","OPEN")</f>
        <v>OPEN</v>
      </c>
      <c r="H355" s="14" t="s">
        <v>215</v>
      </c>
      <c r="I355" s="4"/>
      <c r="J355" s="4"/>
      <c r="K355" s="4"/>
      <c r="L355" s="4"/>
      <c r="M355" s="4"/>
      <c r="N355" s="4"/>
    </row>
    <row r="356" customFormat="false" ht="15" hidden="false" customHeight="false" outlineLevel="0" collapsed="false">
      <c r="A356" s="14" t="s">
        <v>583</v>
      </c>
      <c r="B356" s="14" t="s">
        <v>204</v>
      </c>
      <c r="C356" s="14" t="s">
        <v>199</v>
      </c>
      <c r="D356" s="14" t="s">
        <v>232</v>
      </c>
      <c r="E356" s="14" t="n">
        <v>1</v>
      </c>
      <c r="F356" s="15" t="n">
        <f aca="false">IF(AND('Vendor Lots'!G75&lt;&gt;"",'Vendor Lots'!G76&lt;&gt;"",'Vendor Lots'!G77&lt;&gt;"",'Vendor Lots'!G78&lt;&gt;""),1,0)</f>
        <v>0</v>
      </c>
      <c r="G356" s="15" t="str">
        <f aca="false">IF(F356=E356,"PASS","OPEN")</f>
        <v>OPEN</v>
      </c>
      <c r="H356" s="14" t="s">
        <v>215</v>
      </c>
      <c r="I356" s="4"/>
      <c r="J356" s="4"/>
      <c r="K356" s="4"/>
      <c r="L356" s="4"/>
      <c r="M356" s="4"/>
      <c r="N356" s="4"/>
    </row>
    <row r="357" customFormat="false" ht="15" hidden="false" customHeight="false" outlineLevel="0" collapsed="false">
      <c r="A357" s="14" t="s">
        <v>584</v>
      </c>
      <c r="B357" s="14" t="s">
        <v>204</v>
      </c>
      <c r="C357" s="14" t="s">
        <v>199</v>
      </c>
      <c r="D357" s="14" t="s">
        <v>234</v>
      </c>
      <c r="E357" s="14" t="n">
        <v>1</v>
      </c>
      <c r="F357" s="15" t="n">
        <f aca="false">IF(AND('Vendor Lots'!I75&lt;&gt;"",'Vendor Lots'!I76&lt;&gt;"",'Vendor Lots'!I77&lt;&gt;"",'Vendor Lots'!I78&lt;&gt;""),1,0)</f>
        <v>0</v>
      </c>
      <c r="G357" s="15" t="str">
        <f aca="false">IF(F357=E357,"PASS","OPEN")</f>
        <v>OPEN</v>
      </c>
      <c r="H357" s="14" t="s">
        <v>215</v>
      </c>
      <c r="I357" s="4"/>
      <c r="J357" s="4"/>
      <c r="K357" s="4"/>
      <c r="L357" s="4"/>
      <c r="M357" s="4"/>
      <c r="N357" s="4"/>
    </row>
    <row r="358" customFormat="false" ht="15" hidden="false" customHeight="false" outlineLevel="0" collapsed="false">
      <c r="A358" s="14" t="s">
        <v>585</v>
      </c>
      <c r="B358" s="14" t="s">
        <v>204</v>
      </c>
      <c r="C358" s="14" t="s">
        <v>199</v>
      </c>
      <c r="D358" s="14" t="s">
        <v>236</v>
      </c>
      <c r="E358" s="14" t="n">
        <v>1</v>
      </c>
      <c r="F358" s="15" t="n">
        <f aca="false">IF(AND('Vendor Lots'!G75&lt;&gt;"",'Vendor Lots'!G76&lt;&gt;"",'Vendor Lots'!G77&lt;&gt;"",'Vendor Lots'!G78&lt;&gt;"",SUM('Vendor Lots'!K75:K78)=0),1,0)</f>
        <v>0</v>
      </c>
      <c r="G358" s="15" t="str">
        <f aca="false">IF(F358=E358,"PASS","OPEN")</f>
        <v>OPEN</v>
      </c>
      <c r="H358" s="14" t="s">
        <v>237</v>
      </c>
      <c r="I358" s="4"/>
      <c r="J358" s="4"/>
      <c r="K358" s="4"/>
      <c r="L358" s="4"/>
      <c r="M358" s="4"/>
      <c r="N358" s="4"/>
    </row>
    <row r="359" customFormat="false" ht="15" hidden="false" customHeight="false" outlineLevel="0" collapsed="false">
      <c r="A359" s="14" t="s">
        <v>586</v>
      </c>
      <c r="B359" s="14" t="s">
        <v>204</v>
      </c>
      <c r="C359" s="14" t="s">
        <v>199</v>
      </c>
      <c r="D359" s="14" t="s">
        <v>145</v>
      </c>
      <c r="E359" s="14" t="n">
        <v>1</v>
      </c>
      <c r="F359" s="15" t="n">
        <f aca="false">'Site Dockets'!Q24</f>
        <v>0</v>
      </c>
      <c r="G359" s="15" t="str">
        <f aca="false">IF(F359=E359,"PASS","OPEN")</f>
        <v>OPEN</v>
      </c>
      <c r="H359" s="14" t="s">
        <v>215</v>
      </c>
      <c r="I359" s="4"/>
      <c r="J359" s="4"/>
      <c r="K359" s="4"/>
      <c r="L359" s="4"/>
      <c r="M359" s="4"/>
      <c r="N359" s="4"/>
    </row>
    <row r="360" customFormat="false" ht="15" hidden="false" customHeight="false" outlineLevel="0" collapsed="false">
      <c r="A360" s="14" t="s">
        <v>587</v>
      </c>
      <c r="B360" s="14" t="s">
        <v>204</v>
      </c>
      <c r="C360" s="14" t="s">
        <v>199</v>
      </c>
      <c r="D360" s="14" t="s">
        <v>240</v>
      </c>
      <c r="E360" s="14" t="n">
        <v>1</v>
      </c>
      <c r="F360" s="15" t="n">
        <f aca="false">1</f>
        <v>1</v>
      </c>
      <c r="G360" s="15" t="str">
        <f aca="false">IF(F360=E360,"PASS","OPEN")</f>
        <v>PASS</v>
      </c>
      <c r="H360" s="14" t="s">
        <v>215</v>
      </c>
      <c r="I360" s="4"/>
      <c r="J360" s="4"/>
      <c r="K360" s="4"/>
      <c r="L360" s="4"/>
      <c r="M360" s="4"/>
      <c r="N360" s="4"/>
    </row>
    <row r="361" customFormat="false" ht="15" hidden="false" customHeight="false" outlineLevel="0" collapsed="false">
      <c r="A361" s="14" t="s">
        <v>588</v>
      </c>
      <c r="B361" s="14" t="s">
        <v>204</v>
      </c>
      <c r="C361" s="14" t="s">
        <v>199</v>
      </c>
      <c r="D361" s="14" t="s">
        <v>242</v>
      </c>
      <c r="E361" s="14" t="n">
        <v>1</v>
      </c>
      <c r="F361" s="15" t="n">
        <f aca="false">IF(COUNTIFS('Failure Worlds'!$J$7:$J$36,"PASS")=Inputs!$B$16,1,0)</f>
        <v>1</v>
      </c>
      <c r="G361" s="15" t="str">
        <f aca="false">IF(F361=E361,"PASS","OPEN")</f>
        <v>PASS</v>
      </c>
      <c r="H361" s="14" t="s">
        <v>243</v>
      </c>
      <c r="I361" s="4"/>
      <c r="J361" s="4"/>
      <c r="K361" s="4"/>
      <c r="L361" s="4"/>
      <c r="M361" s="4"/>
      <c r="N361" s="4"/>
    </row>
    <row r="362" customFormat="false" ht="15" hidden="false" customHeight="false" outlineLevel="0" collapsed="false">
      <c r="A362" s="14" t="s">
        <v>589</v>
      </c>
      <c r="B362" s="14" t="s">
        <v>204</v>
      </c>
      <c r="C362" s="14" t="s">
        <v>199</v>
      </c>
      <c r="D362" s="14" t="s">
        <v>245</v>
      </c>
      <c r="E362" s="14" t="n">
        <v>1</v>
      </c>
      <c r="F362" s="15" t="n">
        <f aca="false">IF(COUNTIFS('Recovery Clocks'!$J$7:$J$186,"PASS")=180,1,0)</f>
        <v>0</v>
      </c>
      <c r="G362" s="15" t="str">
        <f aca="false">IF(F362=E362,"PASS","OPEN")</f>
        <v>OPEN</v>
      </c>
      <c r="H362" s="14" t="s">
        <v>215</v>
      </c>
      <c r="I362" s="4"/>
      <c r="J362" s="4"/>
      <c r="K362" s="4"/>
      <c r="L362" s="4"/>
      <c r="M362" s="4"/>
      <c r="N362" s="4"/>
    </row>
    <row r="363" customFormat="false" ht="15" hidden="false" customHeight="false" outlineLevel="0" collapsed="false">
      <c r="A363" s="14" t="s">
        <v>590</v>
      </c>
      <c r="B363" s="14" t="s">
        <v>204</v>
      </c>
      <c r="C363" s="14" t="s">
        <v>199</v>
      </c>
      <c r="D363" s="14" t="s">
        <v>247</v>
      </c>
      <c r="E363" s="14" t="n">
        <v>1</v>
      </c>
      <c r="F363" s="15" t="n">
        <f aca="false">IF(Inputs!$B$35=18,1,0)</f>
        <v>0</v>
      </c>
      <c r="G363" s="15" t="str">
        <f aca="false">IF(F363=E363,"PASS","OPEN")</f>
        <v>OPEN</v>
      </c>
      <c r="H363" s="14" t="s">
        <v>215</v>
      </c>
      <c r="I363" s="4"/>
      <c r="J363" s="4"/>
      <c r="K363" s="4"/>
      <c r="L363" s="4"/>
      <c r="M363" s="4"/>
      <c r="N363" s="4"/>
    </row>
    <row r="364" customFormat="false" ht="15" hidden="false" customHeight="false" outlineLevel="0" collapsed="false">
      <c r="A364" s="14" t="s">
        <v>591</v>
      </c>
      <c r="B364" s="14" t="s">
        <v>204</v>
      </c>
      <c r="C364" s="14" t="s">
        <v>199</v>
      </c>
      <c r="D364" s="14" t="s">
        <v>249</v>
      </c>
      <c r="E364" s="14" t="n">
        <v>1</v>
      </c>
      <c r="F364" s="15" t="n">
        <f aca="false">0</f>
        <v>0</v>
      </c>
      <c r="G364" s="15" t="str">
        <f aca="false">IF(F364=E364,"PASS","OPEN")</f>
        <v>OPEN</v>
      </c>
      <c r="H364" s="14" t="s">
        <v>215</v>
      </c>
      <c r="I364" s="4"/>
      <c r="J364" s="4"/>
      <c r="K364" s="4"/>
      <c r="L364" s="4"/>
      <c r="M364" s="4"/>
      <c r="N364" s="4"/>
    </row>
    <row r="365" customFormat="false" ht="15" hidden="false" customHeight="false" outlineLevel="0" collapsed="false">
      <c r="A365" s="14" t="s">
        <v>592</v>
      </c>
      <c r="B365" s="14" t="s">
        <v>204</v>
      </c>
      <c r="C365" s="14" t="s">
        <v>199</v>
      </c>
      <c r="D365" s="14" t="s">
        <v>251</v>
      </c>
      <c r="E365" s="14" t="n">
        <v>1</v>
      </c>
      <c r="F365" s="15" t="n">
        <f aca="false">1</f>
        <v>1</v>
      </c>
      <c r="G365" s="15" t="str">
        <f aca="false">IF(F365=E365,"PASS","OPEN")</f>
        <v>PASS</v>
      </c>
      <c r="H365" s="14" t="s">
        <v>215</v>
      </c>
      <c r="I365" s="4"/>
      <c r="J365" s="4"/>
      <c r="K365" s="4"/>
      <c r="L365" s="4"/>
      <c r="M365" s="4"/>
      <c r="N365" s="4"/>
    </row>
    <row r="366" customFormat="false" ht="15" hidden="false" customHeight="false" outlineLevel="0" collapsed="false">
      <c r="A366" s="14" t="s">
        <v>593</v>
      </c>
      <c r="B366" s="14" t="s">
        <v>204</v>
      </c>
      <c r="C366" s="14" t="s">
        <v>199</v>
      </c>
      <c r="D366" s="14" t="s">
        <v>253</v>
      </c>
      <c r="E366" s="14" t="n">
        <v>1</v>
      </c>
      <c r="F366" s="15" t="n">
        <f aca="false">Inputs!$B$37</f>
        <v>0</v>
      </c>
      <c r="G366" s="15" t="str">
        <f aca="false">IF(F366=E366,"PASS","OPEN")</f>
        <v>OPEN</v>
      </c>
      <c r="H366" s="14" t="s">
        <v>215</v>
      </c>
      <c r="I366" s="4"/>
      <c r="J366" s="4"/>
      <c r="K366" s="4"/>
      <c r="L366" s="4"/>
      <c r="M366" s="4"/>
      <c r="N366" s="4"/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2:N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2"/>
  </cols>
  <sheetData>
    <row r="2" customFormat="false" ht="18.55" hidden="false" customHeight="false" outlineLevel="0" collapsed="false">
      <c r="A2" s="1" t="s">
        <v>594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595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22.35" hidden="false" customHeight="false" outlineLevel="0" collapsed="false">
      <c r="A6" s="6" t="s">
        <v>596</v>
      </c>
      <c r="B6" s="7" t="s">
        <v>208</v>
      </c>
      <c r="C6" s="7" t="s">
        <v>131</v>
      </c>
      <c r="D6" s="7" t="s">
        <v>133</v>
      </c>
      <c r="E6" s="7" t="s">
        <v>597</v>
      </c>
      <c r="F6" s="7" t="s">
        <v>598</v>
      </c>
      <c r="G6" s="7" t="s">
        <v>599</v>
      </c>
      <c r="H6" s="7" t="s">
        <v>600</v>
      </c>
      <c r="I6" s="7" t="s">
        <v>601</v>
      </c>
      <c r="J6" s="8" t="s">
        <v>147</v>
      </c>
      <c r="K6" s="4"/>
      <c r="L6" s="4"/>
      <c r="M6" s="4"/>
      <c r="N6" s="4"/>
    </row>
    <row r="7" customFormat="false" ht="15" hidden="false" customHeight="false" outlineLevel="0" collapsed="false">
      <c r="A7" s="14" t="s">
        <v>602</v>
      </c>
      <c r="B7" s="14" t="s">
        <v>149</v>
      </c>
      <c r="C7" s="14" t="s">
        <v>150</v>
      </c>
      <c r="D7" s="14" t="s">
        <v>152</v>
      </c>
      <c r="E7" s="14" t="s">
        <v>603</v>
      </c>
      <c r="F7" s="16"/>
      <c r="G7" s="16"/>
      <c r="H7" s="16" t="n">
        <v>0</v>
      </c>
      <c r="I7" s="16" t="n">
        <v>0</v>
      </c>
      <c r="J7" s="14" t="str">
        <f aca="false">IF(AND(F7&lt;&gt;"",G7&lt;&gt;"",H7=0,I7=1),"READY","OPEN")</f>
        <v>OPEN</v>
      </c>
      <c r="K7" s="4"/>
      <c r="L7" s="4"/>
      <c r="M7" s="4"/>
      <c r="N7" s="4"/>
    </row>
    <row r="8" customFormat="false" ht="15" hidden="false" customHeight="false" outlineLevel="0" collapsed="false">
      <c r="A8" s="14" t="s">
        <v>604</v>
      </c>
      <c r="B8" s="14" t="s">
        <v>149</v>
      </c>
      <c r="C8" s="14" t="s">
        <v>150</v>
      </c>
      <c r="D8" s="14" t="s">
        <v>152</v>
      </c>
      <c r="E8" s="14" t="s">
        <v>605</v>
      </c>
      <c r="F8" s="16"/>
      <c r="G8" s="16"/>
      <c r="H8" s="16" t="n">
        <v>0</v>
      </c>
      <c r="I8" s="16" t="n">
        <v>0</v>
      </c>
      <c r="J8" s="14" t="str">
        <f aca="false">IF(AND(F8&lt;&gt;"",G8&lt;&gt;"",H8=0,I8=1),"READY","OPEN")</f>
        <v>OPEN</v>
      </c>
      <c r="K8" s="4"/>
      <c r="L8" s="4"/>
      <c r="M8" s="4"/>
      <c r="N8" s="4"/>
    </row>
    <row r="9" customFormat="false" ht="15" hidden="false" customHeight="false" outlineLevel="0" collapsed="false">
      <c r="A9" s="14" t="s">
        <v>606</v>
      </c>
      <c r="B9" s="14" t="s">
        <v>149</v>
      </c>
      <c r="C9" s="14" t="s">
        <v>150</v>
      </c>
      <c r="D9" s="14" t="s">
        <v>152</v>
      </c>
      <c r="E9" s="14" t="s">
        <v>607</v>
      </c>
      <c r="F9" s="16"/>
      <c r="G9" s="16"/>
      <c r="H9" s="16" t="n">
        <v>0</v>
      </c>
      <c r="I9" s="16" t="n">
        <v>0</v>
      </c>
      <c r="J9" s="14" t="str">
        <f aca="false">IF(AND(F9&lt;&gt;"",G9&lt;&gt;"",H9=0,I9=1),"READY","OPEN")</f>
        <v>OPEN</v>
      </c>
      <c r="K9" s="4"/>
      <c r="L9" s="4"/>
      <c r="M9" s="4"/>
      <c r="N9" s="4"/>
    </row>
    <row r="10" customFormat="false" ht="15" hidden="false" customHeight="false" outlineLevel="0" collapsed="false">
      <c r="A10" s="14" t="s">
        <v>608</v>
      </c>
      <c r="B10" s="14" t="s">
        <v>149</v>
      </c>
      <c r="C10" s="14" t="s">
        <v>150</v>
      </c>
      <c r="D10" s="14" t="s">
        <v>152</v>
      </c>
      <c r="E10" s="14" t="s">
        <v>609</v>
      </c>
      <c r="F10" s="16"/>
      <c r="G10" s="16"/>
      <c r="H10" s="16" t="n">
        <v>0</v>
      </c>
      <c r="I10" s="16" t="n">
        <v>0</v>
      </c>
      <c r="J10" s="14" t="str">
        <f aca="false">IF(AND(F10&lt;&gt;"",G10&lt;&gt;"",H10=0,I10=1),"READY","OPEN")</f>
        <v>OPEN</v>
      </c>
      <c r="K10" s="4"/>
      <c r="L10" s="4"/>
      <c r="M10" s="4"/>
      <c r="N10" s="4"/>
    </row>
    <row r="11" customFormat="false" ht="15" hidden="false" customHeight="false" outlineLevel="0" collapsed="false">
      <c r="A11" s="14" t="s">
        <v>610</v>
      </c>
      <c r="B11" s="14" t="s">
        <v>149</v>
      </c>
      <c r="C11" s="14" t="s">
        <v>150</v>
      </c>
      <c r="D11" s="14" t="s">
        <v>152</v>
      </c>
      <c r="E11" s="14" t="s">
        <v>611</v>
      </c>
      <c r="F11" s="16"/>
      <c r="G11" s="16"/>
      <c r="H11" s="16" t="n">
        <v>0</v>
      </c>
      <c r="I11" s="16" t="n">
        <v>0</v>
      </c>
      <c r="J11" s="14" t="str">
        <f aca="false">IF(AND(F11&lt;&gt;"",G11&lt;&gt;"",H11=0,I11=1),"READY","OPEN")</f>
        <v>OPEN</v>
      </c>
      <c r="K11" s="4"/>
      <c r="L11" s="4"/>
      <c r="M11" s="4"/>
      <c r="N11" s="4"/>
    </row>
    <row r="12" customFormat="false" ht="15" hidden="false" customHeight="false" outlineLevel="0" collapsed="false">
      <c r="A12" s="14" t="s">
        <v>612</v>
      </c>
      <c r="B12" s="14" t="s">
        <v>149</v>
      </c>
      <c r="C12" s="14" t="s">
        <v>150</v>
      </c>
      <c r="D12" s="14" t="s">
        <v>152</v>
      </c>
      <c r="E12" s="14" t="s">
        <v>613</v>
      </c>
      <c r="F12" s="16"/>
      <c r="G12" s="16"/>
      <c r="H12" s="16" t="n">
        <v>0</v>
      </c>
      <c r="I12" s="16" t="n">
        <v>0</v>
      </c>
      <c r="J12" s="14" t="str">
        <f aca="false">IF(AND(F12&lt;&gt;"",G12&lt;&gt;"",H12=0,I12=1),"READY","OPEN")</f>
        <v>OPEN</v>
      </c>
      <c r="K12" s="4"/>
      <c r="L12" s="4"/>
      <c r="M12" s="4"/>
      <c r="N12" s="4"/>
    </row>
    <row r="13" customFormat="false" ht="15" hidden="false" customHeight="false" outlineLevel="0" collapsed="false">
      <c r="A13" s="14" t="s">
        <v>614</v>
      </c>
      <c r="B13" s="14" t="s">
        <v>156</v>
      </c>
      <c r="C13" s="14" t="s">
        <v>150</v>
      </c>
      <c r="D13" s="14" t="s">
        <v>157</v>
      </c>
      <c r="E13" s="14" t="s">
        <v>603</v>
      </c>
      <c r="F13" s="16"/>
      <c r="G13" s="16"/>
      <c r="H13" s="16" t="n">
        <v>0</v>
      </c>
      <c r="I13" s="16" t="n">
        <v>0</v>
      </c>
      <c r="J13" s="14" t="str">
        <f aca="false">IF(AND(F13&lt;&gt;"",G13&lt;&gt;"",H13=0,I13=1),"READY","OPEN")</f>
        <v>OPEN</v>
      </c>
      <c r="K13" s="4"/>
      <c r="L13" s="4"/>
      <c r="M13" s="4"/>
      <c r="N13" s="4"/>
    </row>
    <row r="14" customFormat="false" ht="15" hidden="false" customHeight="false" outlineLevel="0" collapsed="false">
      <c r="A14" s="14" t="s">
        <v>615</v>
      </c>
      <c r="B14" s="14" t="s">
        <v>156</v>
      </c>
      <c r="C14" s="14" t="s">
        <v>150</v>
      </c>
      <c r="D14" s="14" t="s">
        <v>157</v>
      </c>
      <c r="E14" s="14" t="s">
        <v>605</v>
      </c>
      <c r="F14" s="16"/>
      <c r="G14" s="16"/>
      <c r="H14" s="16" t="n">
        <v>0</v>
      </c>
      <c r="I14" s="16" t="n">
        <v>0</v>
      </c>
      <c r="J14" s="14" t="str">
        <f aca="false">IF(AND(F14&lt;&gt;"",G14&lt;&gt;"",H14=0,I14=1),"READY","OPEN")</f>
        <v>OPEN</v>
      </c>
      <c r="K14" s="4"/>
      <c r="L14" s="4"/>
      <c r="M14" s="4"/>
      <c r="N14" s="4"/>
    </row>
    <row r="15" customFormat="false" ht="15" hidden="false" customHeight="false" outlineLevel="0" collapsed="false">
      <c r="A15" s="14" t="s">
        <v>616</v>
      </c>
      <c r="B15" s="14" t="s">
        <v>156</v>
      </c>
      <c r="C15" s="14" t="s">
        <v>150</v>
      </c>
      <c r="D15" s="14" t="s">
        <v>157</v>
      </c>
      <c r="E15" s="14" t="s">
        <v>607</v>
      </c>
      <c r="F15" s="16"/>
      <c r="G15" s="16"/>
      <c r="H15" s="16" t="n">
        <v>0</v>
      </c>
      <c r="I15" s="16" t="n">
        <v>0</v>
      </c>
      <c r="J15" s="14" t="str">
        <f aca="false">IF(AND(F15&lt;&gt;"",G15&lt;&gt;"",H15=0,I15=1),"READY","OPEN")</f>
        <v>OPEN</v>
      </c>
      <c r="K15" s="4"/>
      <c r="L15" s="4"/>
      <c r="M15" s="4"/>
      <c r="N15" s="4"/>
    </row>
    <row r="16" customFormat="false" ht="15" hidden="false" customHeight="false" outlineLevel="0" collapsed="false">
      <c r="A16" s="14" t="s">
        <v>617</v>
      </c>
      <c r="B16" s="14" t="s">
        <v>156</v>
      </c>
      <c r="C16" s="14" t="s">
        <v>150</v>
      </c>
      <c r="D16" s="14" t="s">
        <v>157</v>
      </c>
      <c r="E16" s="14" t="s">
        <v>609</v>
      </c>
      <c r="F16" s="16"/>
      <c r="G16" s="16"/>
      <c r="H16" s="16" t="n">
        <v>0</v>
      </c>
      <c r="I16" s="16" t="n">
        <v>0</v>
      </c>
      <c r="J16" s="14" t="str">
        <f aca="false">IF(AND(F16&lt;&gt;"",G16&lt;&gt;"",H16=0,I16=1),"READY","OPEN")</f>
        <v>OPEN</v>
      </c>
      <c r="K16" s="4"/>
      <c r="L16" s="4"/>
      <c r="M16" s="4"/>
      <c r="N16" s="4"/>
    </row>
    <row r="17" customFormat="false" ht="15" hidden="false" customHeight="false" outlineLevel="0" collapsed="false">
      <c r="A17" s="14" t="s">
        <v>618</v>
      </c>
      <c r="B17" s="14" t="s">
        <v>156</v>
      </c>
      <c r="C17" s="14" t="s">
        <v>150</v>
      </c>
      <c r="D17" s="14" t="s">
        <v>157</v>
      </c>
      <c r="E17" s="14" t="s">
        <v>611</v>
      </c>
      <c r="F17" s="16"/>
      <c r="G17" s="16"/>
      <c r="H17" s="16" t="n">
        <v>0</v>
      </c>
      <c r="I17" s="16" t="n">
        <v>0</v>
      </c>
      <c r="J17" s="14" t="str">
        <f aca="false">IF(AND(F17&lt;&gt;"",G17&lt;&gt;"",H17=0,I17=1),"READY","OPEN")</f>
        <v>OPEN</v>
      </c>
      <c r="K17" s="4"/>
      <c r="L17" s="4"/>
      <c r="M17" s="4"/>
      <c r="N17" s="4"/>
    </row>
    <row r="18" customFormat="false" ht="15" hidden="false" customHeight="false" outlineLevel="0" collapsed="false">
      <c r="A18" s="14" t="s">
        <v>619</v>
      </c>
      <c r="B18" s="14" t="s">
        <v>160</v>
      </c>
      <c r="C18" s="14" t="s">
        <v>150</v>
      </c>
      <c r="D18" s="14" t="s">
        <v>161</v>
      </c>
      <c r="E18" s="14" t="s">
        <v>603</v>
      </c>
      <c r="F18" s="16"/>
      <c r="G18" s="16"/>
      <c r="H18" s="16" t="n">
        <v>0</v>
      </c>
      <c r="I18" s="16" t="n">
        <v>0</v>
      </c>
      <c r="J18" s="14" t="str">
        <f aca="false">IF(AND(F18&lt;&gt;"",G18&lt;&gt;"",H18=0,I18=1),"READY","OPEN")</f>
        <v>OPEN</v>
      </c>
      <c r="K18" s="4"/>
      <c r="L18" s="4"/>
      <c r="M18" s="4"/>
      <c r="N18" s="4"/>
    </row>
    <row r="19" customFormat="false" ht="15" hidden="false" customHeight="false" outlineLevel="0" collapsed="false">
      <c r="A19" s="14" t="s">
        <v>620</v>
      </c>
      <c r="B19" s="14" t="s">
        <v>160</v>
      </c>
      <c r="C19" s="14" t="s">
        <v>150</v>
      </c>
      <c r="D19" s="14" t="s">
        <v>161</v>
      </c>
      <c r="E19" s="14" t="s">
        <v>605</v>
      </c>
      <c r="F19" s="16"/>
      <c r="G19" s="16"/>
      <c r="H19" s="16" t="n">
        <v>0</v>
      </c>
      <c r="I19" s="16" t="n">
        <v>0</v>
      </c>
      <c r="J19" s="14" t="str">
        <f aca="false">IF(AND(F19&lt;&gt;"",G19&lt;&gt;"",H19=0,I19=1),"READY","OPEN")</f>
        <v>OPEN</v>
      </c>
      <c r="K19" s="4"/>
      <c r="L19" s="4"/>
      <c r="M19" s="4"/>
      <c r="N19" s="4"/>
    </row>
    <row r="20" customFormat="false" ht="15" hidden="false" customHeight="false" outlineLevel="0" collapsed="false">
      <c r="A20" s="14" t="s">
        <v>621</v>
      </c>
      <c r="B20" s="14" t="s">
        <v>160</v>
      </c>
      <c r="C20" s="14" t="s">
        <v>150</v>
      </c>
      <c r="D20" s="14" t="s">
        <v>161</v>
      </c>
      <c r="E20" s="14" t="s">
        <v>607</v>
      </c>
      <c r="F20" s="16"/>
      <c r="G20" s="16"/>
      <c r="H20" s="16" t="n">
        <v>0</v>
      </c>
      <c r="I20" s="16" t="n">
        <v>0</v>
      </c>
      <c r="J20" s="14" t="str">
        <f aca="false">IF(AND(F20&lt;&gt;"",G20&lt;&gt;"",H20=0,I20=1),"READY","OPEN")</f>
        <v>OPEN</v>
      </c>
      <c r="K20" s="4"/>
      <c r="L20" s="4"/>
      <c r="M20" s="4"/>
      <c r="N20" s="4"/>
    </row>
    <row r="21" customFormat="false" ht="15" hidden="false" customHeight="false" outlineLevel="0" collapsed="false">
      <c r="A21" s="14" t="s">
        <v>622</v>
      </c>
      <c r="B21" s="14" t="s">
        <v>160</v>
      </c>
      <c r="C21" s="14" t="s">
        <v>150</v>
      </c>
      <c r="D21" s="14" t="s">
        <v>161</v>
      </c>
      <c r="E21" s="14" t="s">
        <v>609</v>
      </c>
      <c r="F21" s="16"/>
      <c r="G21" s="16"/>
      <c r="H21" s="16" t="n">
        <v>0</v>
      </c>
      <c r="I21" s="16" t="n">
        <v>0</v>
      </c>
      <c r="J21" s="14" t="str">
        <f aca="false">IF(AND(F21&lt;&gt;"",G21&lt;&gt;"",H21=0,I21=1),"READY","OPEN")</f>
        <v>OPEN</v>
      </c>
      <c r="K21" s="4"/>
      <c r="L21" s="4"/>
      <c r="M21" s="4"/>
      <c r="N21" s="4"/>
    </row>
    <row r="22" customFormat="false" ht="15" hidden="false" customHeight="false" outlineLevel="0" collapsed="false">
      <c r="A22" s="14" t="s">
        <v>623</v>
      </c>
      <c r="B22" s="14" t="s">
        <v>160</v>
      </c>
      <c r="C22" s="14" t="s">
        <v>150</v>
      </c>
      <c r="D22" s="14" t="s">
        <v>161</v>
      </c>
      <c r="E22" s="14" t="s">
        <v>611</v>
      </c>
      <c r="F22" s="16"/>
      <c r="G22" s="16"/>
      <c r="H22" s="16" t="n">
        <v>0</v>
      </c>
      <c r="I22" s="16" t="n">
        <v>0</v>
      </c>
      <c r="J22" s="14" t="str">
        <f aca="false">IF(AND(F22&lt;&gt;"",G22&lt;&gt;"",H22=0,I22=1),"READY","OPEN")</f>
        <v>OPEN</v>
      </c>
      <c r="K22" s="4"/>
      <c r="L22" s="4"/>
      <c r="M22" s="4"/>
      <c r="N22" s="4"/>
    </row>
    <row r="23" customFormat="false" ht="15" hidden="false" customHeight="false" outlineLevel="0" collapsed="false">
      <c r="A23" s="14" t="s">
        <v>624</v>
      </c>
      <c r="B23" s="14" t="s">
        <v>163</v>
      </c>
      <c r="C23" s="14" t="s">
        <v>164</v>
      </c>
      <c r="D23" s="14" t="s">
        <v>166</v>
      </c>
      <c r="E23" s="14" t="s">
        <v>603</v>
      </c>
      <c r="F23" s="16"/>
      <c r="G23" s="16"/>
      <c r="H23" s="16" t="n">
        <v>0</v>
      </c>
      <c r="I23" s="16" t="n">
        <v>0</v>
      </c>
      <c r="J23" s="14" t="str">
        <f aca="false">IF(AND(F23&lt;&gt;"",G23&lt;&gt;"",H23=0,I23=1),"READY","OPEN")</f>
        <v>OPEN</v>
      </c>
      <c r="K23" s="4"/>
      <c r="L23" s="4"/>
      <c r="M23" s="4"/>
      <c r="N23" s="4"/>
    </row>
    <row r="24" customFormat="false" ht="15" hidden="false" customHeight="false" outlineLevel="0" collapsed="false">
      <c r="A24" s="14" t="s">
        <v>625</v>
      </c>
      <c r="B24" s="14" t="s">
        <v>163</v>
      </c>
      <c r="C24" s="14" t="s">
        <v>164</v>
      </c>
      <c r="D24" s="14" t="s">
        <v>166</v>
      </c>
      <c r="E24" s="14" t="s">
        <v>605</v>
      </c>
      <c r="F24" s="16"/>
      <c r="G24" s="16"/>
      <c r="H24" s="16" t="n">
        <v>0</v>
      </c>
      <c r="I24" s="16" t="n">
        <v>0</v>
      </c>
      <c r="J24" s="14" t="str">
        <f aca="false">IF(AND(F24&lt;&gt;"",G24&lt;&gt;"",H24=0,I24=1),"READY","OPEN")</f>
        <v>OPEN</v>
      </c>
      <c r="K24" s="4"/>
      <c r="L24" s="4"/>
      <c r="M24" s="4"/>
      <c r="N24" s="4"/>
    </row>
    <row r="25" customFormat="false" ht="15" hidden="false" customHeight="false" outlineLevel="0" collapsed="false">
      <c r="A25" s="14" t="s">
        <v>626</v>
      </c>
      <c r="B25" s="14" t="s">
        <v>163</v>
      </c>
      <c r="C25" s="14" t="s">
        <v>164</v>
      </c>
      <c r="D25" s="14" t="s">
        <v>166</v>
      </c>
      <c r="E25" s="14" t="s">
        <v>607</v>
      </c>
      <c r="F25" s="16"/>
      <c r="G25" s="16"/>
      <c r="H25" s="16" t="n">
        <v>0</v>
      </c>
      <c r="I25" s="16" t="n">
        <v>0</v>
      </c>
      <c r="J25" s="14" t="str">
        <f aca="false">IF(AND(F25&lt;&gt;"",G25&lt;&gt;"",H25=0,I25=1),"READY","OPEN")</f>
        <v>OPEN</v>
      </c>
      <c r="K25" s="4"/>
      <c r="L25" s="4"/>
      <c r="M25" s="4"/>
      <c r="N25" s="4"/>
    </row>
    <row r="26" customFormat="false" ht="15" hidden="false" customHeight="false" outlineLevel="0" collapsed="false">
      <c r="A26" s="14" t="s">
        <v>627</v>
      </c>
      <c r="B26" s="14" t="s">
        <v>163</v>
      </c>
      <c r="C26" s="14" t="s">
        <v>164</v>
      </c>
      <c r="D26" s="14" t="s">
        <v>166</v>
      </c>
      <c r="E26" s="14" t="s">
        <v>609</v>
      </c>
      <c r="F26" s="16"/>
      <c r="G26" s="16"/>
      <c r="H26" s="16" t="n">
        <v>0</v>
      </c>
      <c r="I26" s="16" t="n">
        <v>0</v>
      </c>
      <c r="J26" s="14" t="str">
        <f aca="false">IF(AND(F26&lt;&gt;"",G26&lt;&gt;"",H26=0,I26=1),"READY","OPEN")</f>
        <v>OPEN</v>
      </c>
      <c r="K26" s="4"/>
      <c r="L26" s="4"/>
      <c r="M26" s="4"/>
      <c r="N26" s="4"/>
    </row>
    <row r="27" customFormat="false" ht="15" hidden="false" customHeight="false" outlineLevel="0" collapsed="false">
      <c r="A27" s="14" t="s">
        <v>628</v>
      </c>
      <c r="B27" s="14" t="s">
        <v>163</v>
      </c>
      <c r="C27" s="14" t="s">
        <v>164</v>
      </c>
      <c r="D27" s="14" t="s">
        <v>166</v>
      </c>
      <c r="E27" s="14" t="s">
        <v>611</v>
      </c>
      <c r="F27" s="16"/>
      <c r="G27" s="16"/>
      <c r="H27" s="16" t="n">
        <v>0</v>
      </c>
      <c r="I27" s="16" t="n">
        <v>0</v>
      </c>
      <c r="J27" s="14" t="str">
        <f aca="false">IF(AND(F27&lt;&gt;"",G27&lt;&gt;"",H27=0,I27=1),"READY","OPEN")</f>
        <v>OPEN</v>
      </c>
      <c r="K27" s="4"/>
      <c r="L27" s="4"/>
      <c r="M27" s="4"/>
      <c r="N27" s="4"/>
    </row>
    <row r="28" customFormat="false" ht="15" hidden="false" customHeight="false" outlineLevel="0" collapsed="false">
      <c r="A28" s="14" t="s">
        <v>629</v>
      </c>
      <c r="B28" s="14" t="s">
        <v>163</v>
      </c>
      <c r="C28" s="14" t="s">
        <v>164</v>
      </c>
      <c r="D28" s="14" t="s">
        <v>166</v>
      </c>
      <c r="E28" s="14" t="s">
        <v>613</v>
      </c>
      <c r="F28" s="16"/>
      <c r="G28" s="16"/>
      <c r="H28" s="16" t="n">
        <v>0</v>
      </c>
      <c r="I28" s="16" t="n">
        <v>0</v>
      </c>
      <c r="J28" s="14" t="str">
        <f aca="false">IF(AND(F28&lt;&gt;"",G28&lt;&gt;"",H28=0,I28=1),"READY","OPEN")</f>
        <v>OPEN</v>
      </c>
      <c r="K28" s="4"/>
      <c r="L28" s="4"/>
      <c r="M28" s="4"/>
      <c r="N28" s="4"/>
    </row>
    <row r="29" customFormat="false" ht="15" hidden="false" customHeight="false" outlineLevel="0" collapsed="false">
      <c r="A29" s="14" t="s">
        <v>630</v>
      </c>
      <c r="B29" s="14" t="s">
        <v>168</v>
      </c>
      <c r="C29" s="14" t="s">
        <v>164</v>
      </c>
      <c r="D29" s="14" t="s">
        <v>169</v>
      </c>
      <c r="E29" s="14" t="s">
        <v>603</v>
      </c>
      <c r="F29" s="16"/>
      <c r="G29" s="16"/>
      <c r="H29" s="16" t="n">
        <v>0</v>
      </c>
      <c r="I29" s="16" t="n">
        <v>0</v>
      </c>
      <c r="J29" s="14" t="str">
        <f aca="false">IF(AND(F29&lt;&gt;"",G29&lt;&gt;"",H29=0,I29=1),"READY","OPEN")</f>
        <v>OPEN</v>
      </c>
      <c r="K29" s="4"/>
      <c r="L29" s="4"/>
      <c r="M29" s="4"/>
      <c r="N29" s="4"/>
    </row>
    <row r="30" customFormat="false" ht="15" hidden="false" customHeight="false" outlineLevel="0" collapsed="false">
      <c r="A30" s="14" t="s">
        <v>631</v>
      </c>
      <c r="B30" s="14" t="s">
        <v>168</v>
      </c>
      <c r="C30" s="14" t="s">
        <v>164</v>
      </c>
      <c r="D30" s="14" t="s">
        <v>169</v>
      </c>
      <c r="E30" s="14" t="s">
        <v>605</v>
      </c>
      <c r="F30" s="16"/>
      <c r="G30" s="16"/>
      <c r="H30" s="16" t="n">
        <v>0</v>
      </c>
      <c r="I30" s="16" t="n">
        <v>0</v>
      </c>
      <c r="J30" s="14" t="str">
        <f aca="false">IF(AND(F30&lt;&gt;"",G30&lt;&gt;"",H30=0,I30=1),"READY","OPEN")</f>
        <v>OPEN</v>
      </c>
      <c r="K30" s="4"/>
      <c r="L30" s="4"/>
      <c r="M30" s="4"/>
      <c r="N30" s="4"/>
    </row>
    <row r="31" customFormat="false" ht="15" hidden="false" customHeight="false" outlineLevel="0" collapsed="false">
      <c r="A31" s="14" t="s">
        <v>632</v>
      </c>
      <c r="B31" s="14" t="s">
        <v>168</v>
      </c>
      <c r="C31" s="14" t="s">
        <v>164</v>
      </c>
      <c r="D31" s="14" t="s">
        <v>169</v>
      </c>
      <c r="E31" s="14" t="s">
        <v>607</v>
      </c>
      <c r="F31" s="16"/>
      <c r="G31" s="16"/>
      <c r="H31" s="16" t="n">
        <v>0</v>
      </c>
      <c r="I31" s="16" t="n">
        <v>0</v>
      </c>
      <c r="J31" s="14" t="str">
        <f aca="false">IF(AND(F31&lt;&gt;"",G31&lt;&gt;"",H31=0,I31=1),"READY","OPEN")</f>
        <v>OPEN</v>
      </c>
      <c r="K31" s="4"/>
      <c r="L31" s="4"/>
      <c r="M31" s="4"/>
      <c r="N31" s="4"/>
    </row>
    <row r="32" customFormat="false" ht="15" hidden="false" customHeight="false" outlineLevel="0" collapsed="false">
      <c r="A32" s="14" t="s">
        <v>633</v>
      </c>
      <c r="B32" s="14" t="s">
        <v>168</v>
      </c>
      <c r="C32" s="14" t="s">
        <v>164</v>
      </c>
      <c r="D32" s="14" t="s">
        <v>169</v>
      </c>
      <c r="E32" s="14" t="s">
        <v>609</v>
      </c>
      <c r="F32" s="16"/>
      <c r="G32" s="16"/>
      <c r="H32" s="16" t="n">
        <v>0</v>
      </c>
      <c r="I32" s="16" t="n">
        <v>0</v>
      </c>
      <c r="J32" s="14" t="str">
        <f aca="false">IF(AND(F32&lt;&gt;"",G32&lt;&gt;"",H32=0,I32=1),"READY","OPEN")</f>
        <v>OPEN</v>
      </c>
      <c r="K32" s="4"/>
      <c r="L32" s="4"/>
      <c r="M32" s="4"/>
      <c r="N32" s="4"/>
    </row>
    <row r="33" customFormat="false" ht="15" hidden="false" customHeight="false" outlineLevel="0" collapsed="false">
      <c r="A33" s="14" t="s">
        <v>634</v>
      </c>
      <c r="B33" s="14" t="s">
        <v>168</v>
      </c>
      <c r="C33" s="14" t="s">
        <v>164</v>
      </c>
      <c r="D33" s="14" t="s">
        <v>169</v>
      </c>
      <c r="E33" s="14" t="s">
        <v>611</v>
      </c>
      <c r="F33" s="16"/>
      <c r="G33" s="16"/>
      <c r="H33" s="16" t="n">
        <v>0</v>
      </c>
      <c r="I33" s="16" t="n">
        <v>0</v>
      </c>
      <c r="J33" s="14" t="str">
        <f aca="false">IF(AND(F33&lt;&gt;"",G33&lt;&gt;"",H33=0,I33=1),"READY","OPEN")</f>
        <v>OPEN</v>
      </c>
      <c r="K33" s="4"/>
      <c r="L33" s="4"/>
      <c r="M33" s="4"/>
      <c r="N33" s="4"/>
    </row>
    <row r="34" customFormat="false" ht="15" hidden="false" customHeight="false" outlineLevel="0" collapsed="false">
      <c r="A34" s="14" t="s">
        <v>635</v>
      </c>
      <c r="B34" s="14" t="s">
        <v>171</v>
      </c>
      <c r="C34" s="14" t="s">
        <v>164</v>
      </c>
      <c r="D34" s="14" t="s">
        <v>172</v>
      </c>
      <c r="E34" s="14" t="s">
        <v>603</v>
      </c>
      <c r="F34" s="16"/>
      <c r="G34" s="16"/>
      <c r="H34" s="16" t="n">
        <v>0</v>
      </c>
      <c r="I34" s="16" t="n">
        <v>0</v>
      </c>
      <c r="J34" s="14" t="str">
        <f aca="false">IF(AND(F34&lt;&gt;"",G34&lt;&gt;"",H34=0,I34=1),"READY","OPEN")</f>
        <v>OPEN</v>
      </c>
      <c r="K34" s="4"/>
      <c r="L34" s="4"/>
      <c r="M34" s="4"/>
      <c r="N34" s="4"/>
    </row>
    <row r="35" customFormat="false" ht="15" hidden="false" customHeight="false" outlineLevel="0" collapsed="false">
      <c r="A35" s="14" t="s">
        <v>636</v>
      </c>
      <c r="B35" s="14" t="s">
        <v>171</v>
      </c>
      <c r="C35" s="14" t="s">
        <v>164</v>
      </c>
      <c r="D35" s="14" t="s">
        <v>172</v>
      </c>
      <c r="E35" s="14" t="s">
        <v>605</v>
      </c>
      <c r="F35" s="16"/>
      <c r="G35" s="16"/>
      <c r="H35" s="16" t="n">
        <v>0</v>
      </c>
      <c r="I35" s="16" t="n">
        <v>0</v>
      </c>
      <c r="J35" s="14" t="str">
        <f aca="false">IF(AND(F35&lt;&gt;"",G35&lt;&gt;"",H35=0,I35=1),"READY","OPEN")</f>
        <v>OPEN</v>
      </c>
      <c r="K35" s="4"/>
      <c r="L35" s="4"/>
      <c r="M35" s="4"/>
      <c r="N35" s="4"/>
    </row>
    <row r="36" customFormat="false" ht="15" hidden="false" customHeight="false" outlineLevel="0" collapsed="false">
      <c r="A36" s="14" t="s">
        <v>637</v>
      </c>
      <c r="B36" s="14" t="s">
        <v>171</v>
      </c>
      <c r="C36" s="14" t="s">
        <v>164</v>
      </c>
      <c r="D36" s="14" t="s">
        <v>172</v>
      </c>
      <c r="E36" s="14" t="s">
        <v>607</v>
      </c>
      <c r="F36" s="16"/>
      <c r="G36" s="16"/>
      <c r="H36" s="16" t="n">
        <v>0</v>
      </c>
      <c r="I36" s="16" t="n">
        <v>0</v>
      </c>
      <c r="J36" s="14" t="str">
        <f aca="false">IF(AND(F36&lt;&gt;"",G36&lt;&gt;"",H36=0,I36=1),"READY","OPEN")</f>
        <v>OPEN</v>
      </c>
      <c r="K36" s="4"/>
      <c r="L36" s="4"/>
      <c r="M36" s="4"/>
      <c r="N36" s="4"/>
    </row>
    <row r="37" customFormat="false" ht="15" hidden="false" customHeight="false" outlineLevel="0" collapsed="false">
      <c r="A37" s="14" t="s">
        <v>638</v>
      </c>
      <c r="B37" s="14" t="s">
        <v>171</v>
      </c>
      <c r="C37" s="14" t="s">
        <v>164</v>
      </c>
      <c r="D37" s="14" t="s">
        <v>172</v>
      </c>
      <c r="E37" s="14" t="s">
        <v>609</v>
      </c>
      <c r="F37" s="16"/>
      <c r="G37" s="16"/>
      <c r="H37" s="16" t="n">
        <v>0</v>
      </c>
      <c r="I37" s="16" t="n">
        <v>0</v>
      </c>
      <c r="J37" s="14" t="str">
        <f aca="false">IF(AND(F37&lt;&gt;"",G37&lt;&gt;"",H37=0,I37=1),"READY","OPEN")</f>
        <v>OPEN</v>
      </c>
      <c r="K37" s="4"/>
      <c r="L37" s="4"/>
      <c r="M37" s="4"/>
      <c r="N37" s="4"/>
    </row>
    <row r="38" customFormat="false" ht="15" hidden="false" customHeight="false" outlineLevel="0" collapsed="false">
      <c r="A38" s="14" t="s">
        <v>639</v>
      </c>
      <c r="B38" s="14" t="s">
        <v>171</v>
      </c>
      <c r="C38" s="14" t="s">
        <v>164</v>
      </c>
      <c r="D38" s="14" t="s">
        <v>172</v>
      </c>
      <c r="E38" s="14" t="s">
        <v>611</v>
      </c>
      <c r="F38" s="16"/>
      <c r="G38" s="16"/>
      <c r="H38" s="16" t="n">
        <v>0</v>
      </c>
      <c r="I38" s="16" t="n">
        <v>0</v>
      </c>
      <c r="J38" s="14" t="str">
        <f aca="false">IF(AND(F38&lt;&gt;"",G38&lt;&gt;"",H38=0,I38=1),"READY","OPEN")</f>
        <v>OPEN</v>
      </c>
      <c r="K38" s="4"/>
      <c r="L38" s="4"/>
      <c r="M38" s="4"/>
      <c r="N38" s="4"/>
    </row>
    <row r="39" customFormat="false" ht="15" hidden="false" customHeight="false" outlineLevel="0" collapsed="false">
      <c r="A39" s="14" t="s">
        <v>640</v>
      </c>
      <c r="B39" s="14" t="s">
        <v>174</v>
      </c>
      <c r="C39" s="14" t="s">
        <v>175</v>
      </c>
      <c r="D39" s="14" t="s">
        <v>152</v>
      </c>
      <c r="E39" s="14" t="s">
        <v>603</v>
      </c>
      <c r="F39" s="16"/>
      <c r="G39" s="16"/>
      <c r="H39" s="16" t="n">
        <v>0</v>
      </c>
      <c r="I39" s="16" t="n">
        <v>0</v>
      </c>
      <c r="J39" s="14" t="str">
        <f aca="false">IF(AND(F39&lt;&gt;"",G39&lt;&gt;"",H39=0,I39=1),"READY","OPEN")</f>
        <v>OPEN</v>
      </c>
      <c r="K39" s="4"/>
      <c r="L39" s="4"/>
      <c r="M39" s="4"/>
      <c r="N39" s="4"/>
    </row>
    <row r="40" customFormat="false" ht="15" hidden="false" customHeight="false" outlineLevel="0" collapsed="false">
      <c r="A40" s="14" t="s">
        <v>641</v>
      </c>
      <c r="B40" s="14" t="s">
        <v>174</v>
      </c>
      <c r="C40" s="14" t="s">
        <v>175</v>
      </c>
      <c r="D40" s="14" t="s">
        <v>152</v>
      </c>
      <c r="E40" s="14" t="s">
        <v>605</v>
      </c>
      <c r="F40" s="16"/>
      <c r="G40" s="16"/>
      <c r="H40" s="16" t="n">
        <v>0</v>
      </c>
      <c r="I40" s="16" t="n">
        <v>0</v>
      </c>
      <c r="J40" s="14" t="str">
        <f aca="false">IF(AND(F40&lt;&gt;"",G40&lt;&gt;"",H40=0,I40=1),"READY","OPEN")</f>
        <v>OPEN</v>
      </c>
      <c r="K40" s="4"/>
      <c r="L40" s="4"/>
      <c r="M40" s="4"/>
      <c r="N40" s="4"/>
    </row>
    <row r="41" customFormat="false" ht="15" hidden="false" customHeight="false" outlineLevel="0" collapsed="false">
      <c r="A41" s="14" t="s">
        <v>642</v>
      </c>
      <c r="B41" s="14" t="s">
        <v>174</v>
      </c>
      <c r="C41" s="14" t="s">
        <v>175</v>
      </c>
      <c r="D41" s="14" t="s">
        <v>152</v>
      </c>
      <c r="E41" s="14" t="s">
        <v>607</v>
      </c>
      <c r="F41" s="16"/>
      <c r="G41" s="16"/>
      <c r="H41" s="16" t="n">
        <v>0</v>
      </c>
      <c r="I41" s="16" t="n">
        <v>0</v>
      </c>
      <c r="J41" s="14" t="str">
        <f aca="false">IF(AND(F41&lt;&gt;"",G41&lt;&gt;"",H41=0,I41=1),"READY","OPEN")</f>
        <v>OPEN</v>
      </c>
      <c r="K41" s="4"/>
      <c r="L41" s="4"/>
      <c r="M41" s="4"/>
      <c r="N41" s="4"/>
    </row>
    <row r="42" customFormat="false" ht="15" hidden="false" customHeight="false" outlineLevel="0" collapsed="false">
      <c r="A42" s="14" t="s">
        <v>643</v>
      </c>
      <c r="B42" s="14" t="s">
        <v>174</v>
      </c>
      <c r="C42" s="14" t="s">
        <v>175</v>
      </c>
      <c r="D42" s="14" t="s">
        <v>152</v>
      </c>
      <c r="E42" s="14" t="s">
        <v>609</v>
      </c>
      <c r="F42" s="16"/>
      <c r="G42" s="16"/>
      <c r="H42" s="16" t="n">
        <v>0</v>
      </c>
      <c r="I42" s="16" t="n">
        <v>0</v>
      </c>
      <c r="J42" s="14" t="str">
        <f aca="false">IF(AND(F42&lt;&gt;"",G42&lt;&gt;"",H42=0,I42=1),"READY","OPEN")</f>
        <v>OPEN</v>
      </c>
      <c r="K42" s="4"/>
      <c r="L42" s="4"/>
      <c r="M42" s="4"/>
      <c r="N42" s="4"/>
    </row>
    <row r="43" customFormat="false" ht="15" hidden="false" customHeight="false" outlineLevel="0" collapsed="false">
      <c r="A43" s="14" t="s">
        <v>644</v>
      </c>
      <c r="B43" s="14" t="s">
        <v>174</v>
      </c>
      <c r="C43" s="14" t="s">
        <v>175</v>
      </c>
      <c r="D43" s="14" t="s">
        <v>152</v>
      </c>
      <c r="E43" s="14" t="s">
        <v>611</v>
      </c>
      <c r="F43" s="16"/>
      <c r="G43" s="16"/>
      <c r="H43" s="16" t="n">
        <v>0</v>
      </c>
      <c r="I43" s="16" t="n">
        <v>0</v>
      </c>
      <c r="J43" s="14" t="str">
        <f aca="false">IF(AND(F43&lt;&gt;"",G43&lt;&gt;"",H43=0,I43=1),"READY","OPEN")</f>
        <v>OPEN</v>
      </c>
      <c r="K43" s="4"/>
      <c r="L43" s="4"/>
      <c r="M43" s="4"/>
      <c r="N43" s="4"/>
    </row>
    <row r="44" customFormat="false" ht="15" hidden="false" customHeight="false" outlineLevel="0" collapsed="false">
      <c r="A44" s="14" t="s">
        <v>645</v>
      </c>
      <c r="B44" s="14" t="s">
        <v>178</v>
      </c>
      <c r="C44" s="14" t="s">
        <v>175</v>
      </c>
      <c r="D44" s="14" t="s">
        <v>169</v>
      </c>
      <c r="E44" s="14" t="s">
        <v>603</v>
      </c>
      <c r="F44" s="16"/>
      <c r="G44" s="16"/>
      <c r="H44" s="16" t="n">
        <v>0</v>
      </c>
      <c r="I44" s="16" t="n">
        <v>0</v>
      </c>
      <c r="J44" s="14" t="str">
        <f aca="false">IF(AND(F44&lt;&gt;"",G44&lt;&gt;"",H44=0,I44=1),"READY","OPEN")</f>
        <v>OPEN</v>
      </c>
      <c r="K44" s="4"/>
      <c r="L44" s="4"/>
      <c r="M44" s="4"/>
      <c r="N44" s="4"/>
    </row>
    <row r="45" customFormat="false" ht="15" hidden="false" customHeight="false" outlineLevel="0" collapsed="false">
      <c r="A45" s="14" t="s">
        <v>646</v>
      </c>
      <c r="B45" s="14" t="s">
        <v>178</v>
      </c>
      <c r="C45" s="14" t="s">
        <v>175</v>
      </c>
      <c r="D45" s="14" t="s">
        <v>169</v>
      </c>
      <c r="E45" s="14" t="s">
        <v>605</v>
      </c>
      <c r="F45" s="16"/>
      <c r="G45" s="16"/>
      <c r="H45" s="16" t="n">
        <v>0</v>
      </c>
      <c r="I45" s="16" t="n">
        <v>0</v>
      </c>
      <c r="J45" s="14" t="str">
        <f aca="false">IF(AND(F45&lt;&gt;"",G45&lt;&gt;"",H45=0,I45=1),"READY","OPEN")</f>
        <v>OPEN</v>
      </c>
      <c r="K45" s="4"/>
      <c r="L45" s="4"/>
      <c r="M45" s="4"/>
      <c r="N45" s="4"/>
    </row>
    <row r="46" customFormat="false" ht="15" hidden="false" customHeight="false" outlineLevel="0" collapsed="false">
      <c r="A46" s="14" t="s">
        <v>647</v>
      </c>
      <c r="B46" s="14" t="s">
        <v>178</v>
      </c>
      <c r="C46" s="14" t="s">
        <v>175</v>
      </c>
      <c r="D46" s="14" t="s">
        <v>169</v>
      </c>
      <c r="E46" s="14" t="s">
        <v>607</v>
      </c>
      <c r="F46" s="16"/>
      <c r="G46" s="16"/>
      <c r="H46" s="16" t="n">
        <v>0</v>
      </c>
      <c r="I46" s="16" t="n">
        <v>0</v>
      </c>
      <c r="J46" s="14" t="str">
        <f aca="false">IF(AND(F46&lt;&gt;"",G46&lt;&gt;"",H46=0,I46=1),"READY","OPEN")</f>
        <v>OPEN</v>
      </c>
      <c r="K46" s="4"/>
      <c r="L46" s="4"/>
      <c r="M46" s="4"/>
      <c r="N46" s="4"/>
    </row>
    <row r="47" customFormat="false" ht="15" hidden="false" customHeight="false" outlineLevel="0" collapsed="false">
      <c r="A47" s="14" t="s">
        <v>648</v>
      </c>
      <c r="B47" s="14" t="s">
        <v>178</v>
      </c>
      <c r="C47" s="14" t="s">
        <v>175</v>
      </c>
      <c r="D47" s="14" t="s">
        <v>169</v>
      </c>
      <c r="E47" s="14" t="s">
        <v>609</v>
      </c>
      <c r="F47" s="16"/>
      <c r="G47" s="16"/>
      <c r="H47" s="16" t="n">
        <v>0</v>
      </c>
      <c r="I47" s="16" t="n">
        <v>0</v>
      </c>
      <c r="J47" s="14" t="str">
        <f aca="false">IF(AND(F47&lt;&gt;"",G47&lt;&gt;"",H47=0,I47=1),"READY","OPEN")</f>
        <v>OPEN</v>
      </c>
      <c r="K47" s="4"/>
      <c r="L47" s="4"/>
      <c r="M47" s="4"/>
      <c r="N47" s="4"/>
    </row>
    <row r="48" customFormat="false" ht="15" hidden="false" customHeight="false" outlineLevel="0" collapsed="false">
      <c r="A48" s="14" t="s">
        <v>649</v>
      </c>
      <c r="B48" s="14" t="s">
        <v>178</v>
      </c>
      <c r="C48" s="14" t="s">
        <v>175</v>
      </c>
      <c r="D48" s="14" t="s">
        <v>169</v>
      </c>
      <c r="E48" s="14" t="s">
        <v>611</v>
      </c>
      <c r="F48" s="16"/>
      <c r="G48" s="16"/>
      <c r="H48" s="16" t="n">
        <v>0</v>
      </c>
      <c r="I48" s="16" t="n">
        <v>0</v>
      </c>
      <c r="J48" s="14" t="str">
        <f aca="false">IF(AND(F48&lt;&gt;"",G48&lt;&gt;"",H48=0,I48=1),"READY","OPEN")</f>
        <v>OPEN</v>
      </c>
      <c r="K48" s="4"/>
      <c r="L48" s="4"/>
      <c r="M48" s="4"/>
      <c r="N48" s="4"/>
    </row>
    <row r="49" customFormat="false" ht="15" hidden="false" customHeight="false" outlineLevel="0" collapsed="false">
      <c r="A49" s="14" t="s">
        <v>650</v>
      </c>
      <c r="B49" s="14" t="s">
        <v>180</v>
      </c>
      <c r="C49" s="14" t="s">
        <v>175</v>
      </c>
      <c r="D49" s="14" t="s">
        <v>161</v>
      </c>
      <c r="E49" s="14" t="s">
        <v>603</v>
      </c>
      <c r="F49" s="16"/>
      <c r="G49" s="16"/>
      <c r="H49" s="16" t="n">
        <v>0</v>
      </c>
      <c r="I49" s="16" t="n">
        <v>0</v>
      </c>
      <c r="J49" s="14" t="str">
        <f aca="false">IF(AND(F49&lt;&gt;"",G49&lt;&gt;"",H49=0,I49=1),"READY","OPEN")</f>
        <v>OPEN</v>
      </c>
      <c r="K49" s="4"/>
      <c r="L49" s="4"/>
      <c r="M49" s="4"/>
      <c r="N49" s="4"/>
    </row>
    <row r="50" customFormat="false" ht="15" hidden="false" customHeight="false" outlineLevel="0" collapsed="false">
      <c r="A50" s="14" t="s">
        <v>651</v>
      </c>
      <c r="B50" s="14" t="s">
        <v>180</v>
      </c>
      <c r="C50" s="14" t="s">
        <v>175</v>
      </c>
      <c r="D50" s="14" t="s">
        <v>161</v>
      </c>
      <c r="E50" s="14" t="s">
        <v>605</v>
      </c>
      <c r="F50" s="16"/>
      <c r="G50" s="16"/>
      <c r="H50" s="16" t="n">
        <v>0</v>
      </c>
      <c r="I50" s="16" t="n">
        <v>0</v>
      </c>
      <c r="J50" s="14" t="str">
        <f aca="false">IF(AND(F50&lt;&gt;"",G50&lt;&gt;"",H50=0,I50=1),"READY","OPEN")</f>
        <v>OPEN</v>
      </c>
      <c r="K50" s="4"/>
      <c r="L50" s="4"/>
      <c r="M50" s="4"/>
      <c r="N50" s="4"/>
    </row>
    <row r="51" customFormat="false" ht="15" hidden="false" customHeight="false" outlineLevel="0" collapsed="false">
      <c r="A51" s="14" t="s">
        <v>652</v>
      </c>
      <c r="B51" s="14" t="s">
        <v>180</v>
      </c>
      <c r="C51" s="14" t="s">
        <v>175</v>
      </c>
      <c r="D51" s="14" t="s">
        <v>161</v>
      </c>
      <c r="E51" s="14" t="s">
        <v>607</v>
      </c>
      <c r="F51" s="16"/>
      <c r="G51" s="16"/>
      <c r="H51" s="16" t="n">
        <v>0</v>
      </c>
      <c r="I51" s="16" t="n">
        <v>0</v>
      </c>
      <c r="J51" s="14" t="str">
        <f aca="false">IF(AND(F51&lt;&gt;"",G51&lt;&gt;"",H51=0,I51=1),"READY","OPEN")</f>
        <v>OPEN</v>
      </c>
      <c r="K51" s="4"/>
      <c r="L51" s="4"/>
      <c r="M51" s="4"/>
      <c r="N51" s="4"/>
    </row>
    <row r="52" customFormat="false" ht="15" hidden="false" customHeight="false" outlineLevel="0" collapsed="false">
      <c r="A52" s="14" t="s">
        <v>653</v>
      </c>
      <c r="B52" s="14" t="s">
        <v>180</v>
      </c>
      <c r="C52" s="14" t="s">
        <v>175</v>
      </c>
      <c r="D52" s="14" t="s">
        <v>161</v>
      </c>
      <c r="E52" s="14" t="s">
        <v>609</v>
      </c>
      <c r="F52" s="16"/>
      <c r="G52" s="16"/>
      <c r="H52" s="16" t="n">
        <v>0</v>
      </c>
      <c r="I52" s="16" t="n">
        <v>0</v>
      </c>
      <c r="J52" s="14" t="str">
        <f aca="false">IF(AND(F52&lt;&gt;"",G52&lt;&gt;"",H52=0,I52=1),"READY","OPEN")</f>
        <v>OPEN</v>
      </c>
      <c r="K52" s="4"/>
      <c r="L52" s="4"/>
      <c r="M52" s="4"/>
      <c r="N52" s="4"/>
    </row>
    <row r="53" customFormat="false" ht="15" hidden="false" customHeight="false" outlineLevel="0" collapsed="false">
      <c r="A53" s="14" t="s">
        <v>654</v>
      </c>
      <c r="B53" s="14" t="s">
        <v>180</v>
      </c>
      <c r="C53" s="14" t="s">
        <v>175</v>
      </c>
      <c r="D53" s="14" t="s">
        <v>161</v>
      </c>
      <c r="E53" s="14" t="s">
        <v>611</v>
      </c>
      <c r="F53" s="16"/>
      <c r="G53" s="16"/>
      <c r="H53" s="16" t="n">
        <v>0</v>
      </c>
      <c r="I53" s="16" t="n">
        <v>0</v>
      </c>
      <c r="J53" s="14" t="str">
        <f aca="false">IF(AND(F53&lt;&gt;"",G53&lt;&gt;"",H53=0,I53=1),"READY","OPEN")</f>
        <v>OPEN</v>
      </c>
      <c r="K53" s="4"/>
      <c r="L53" s="4"/>
      <c r="M53" s="4"/>
      <c r="N53" s="4"/>
    </row>
    <row r="54" customFormat="false" ht="15" hidden="false" customHeight="false" outlineLevel="0" collapsed="false">
      <c r="A54" s="14" t="s">
        <v>655</v>
      </c>
      <c r="B54" s="14" t="s">
        <v>180</v>
      </c>
      <c r="C54" s="14" t="s">
        <v>175</v>
      </c>
      <c r="D54" s="14" t="s">
        <v>161</v>
      </c>
      <c r="E54" s="14" t="s">
        <v>613</v>
      </c>
      <c r="F54" s="16"/>
      <c r="G54" s="16"/>
      <c r="H54" s="16" t="n">
        <v>0</v>
      </c>
      <c r="I54" s="16" t="n">
        <v>0</v>
      </c>
      <c r="J54" s="14" t="str">
        <f aca="false">IF(AND(F54&lt;&gt;"",G54&lt;&gt;"",H54=0,I54=1),"READY","OPEN")</f>
        <v>OPEN</v>
      </c>
      <c r="K54" s="4"/>
      <c r="L54" s="4"/>
      <c r="M54" s="4"/>
      <c r="N54" s="4"/>
    </row>
    <row r="55" customFormat="false" ht="15" hidden="false" customHeight="false" outlineLevel="0" collapsed="false">
      <c r="A55" s="14" t="s">
        <v>656</v>
      </c>
      <c r="B55" s="14" t="s">
        <v>182</v>
      </c>
      <c r="C55" s="14" t="s">
        <v>183</v>
      </c>
      <c r="D55" s="14" t="s">
        <v>166</v>
      </c>
      <c r="E55" s="14" t="s">
        <v>603</v>
      </c>
      <c r="F55" s="16"/>
      <c r="G55" s="16"/>
      <c r="H55" s="16" t="n">
        <v>0</v>
      </c>
      <c r="I55" s="16" t="n">
        <v>0</v>
      </c>
      <c r="J55" s="14" t="str">
        <f aca="false">IF(AND(F55&lt;&gt;"",G55&lt;&gt;"",H55=0,I55=1),"READY","OPEN")</f>
        <v>OPEN</v>
      </c>
      <c r="K55" s="4"/>
      <c r="L55" s="4"/>
      <c r="M55" s="4"/>
      <c r="N55" s="4"/>
    </row>
    <row r="56" customFormat="false" ht="15" hidden="false" customHeight="false" outlineLevel="0" collapsed="false">
      <c r="A56" s="14" t="s">
        <v>657</v>
      </c>
      <c r="B56" s="14" t="s">
        <v>182</v>
      </c>
      <c r="C56" s="14" t="s">
        <v>183</v>
      </c>
      <c r="D56" s="14" t="s">
        <v>166</v>
      </c>
      <c r="E56" s="14" t="s">
        <v>605</v>
      </c>
      <c r="F56" s="16"/>
      <c r="G56" s="16"/>
      <c r="H56" s="16" t="n">
        <v>0</v>
      </c>
      <c r="I56" s="16" t="n">
        <v>0</v>
      </c>
      <c r="J56" s="14" t="str">
        <f aca="false">IF(AND(F56&lt;&gt;"",G56&lt;&gt;"",H56=0,I56=1),"READY","OPEN")</f>
        <v>OPEN</v>
      </c>
      <c r="K56" s="4"/>
      <c r="L56" s="4"/>
      <c r="M56" s="4"/>
      <c r="N56" s="4"/>
    </row>
    <row r="57" customFormat="false" ht="15" hidden="false" customHeight="false" outlineLevel="0" collapsed="false">
      <c r="A57" s="14" t="s">
        <v>658</v>
      </c>
      <c r="B57" s="14" t="s">
        <v>182</v>
      </c>
      <c r="C57" s="14" t="s">
        <v>183</v>
      </c>
      <c r="D57" s="14" t="s">
        <v>166</v>
      </c>
      <c r="E57" s="14" t="s">
        <v>607</v>
      </c>
      <c r="F57" s="16"/>
      <c r="G57" s="16"/>
      <c r="H57" s="16" t="n">
        <v>0</v>
      </c>
      <c r="I57" s="16" t="n">
        <v>0</v>
      </c>
      <c r="J57" s="14" t="str">
        <f aca="false">IF(AND(F57&lt;&gt;"",G57&lt;&gt;"",H57=0,I57=1),"READY","OPEN")</f>
        <v>OPEN</v>
      </c>
      <c r="K57" s="4"/>
      <c r="L57" s="4"/>
      <c r="M57" s="4"/>
      <c r="N57" s="4"/>
    </row>
    <row r="58" customFormat="false" ht="15" hidden="false" customHeight="false" outlineLevel="0" collapsed="false">
      <c r="A58" s="14" t="s">
        <v>659</v>
      </c>
      <c r="B58" s="14" t="s">
        <v>182</v>
      </c>
      <c r="C58" s="14" t="s">
        <v>183</v>
      </c>
      <c r="D58" s="14" t="s">
        <v>166</v>
      </c>
      <c r="E58" s="14" t="s">
        <v>609</v>
      </c>
      <c r="F58" s="16"/>
      <c r="G58" s="16"/>
      <c r="H58" s="16" t="n">
        <v>0</v>
      </c>
      <c r="I58" s="16" t="n">
        <v>0</v>
      </c>
      <c r="J58" s="14" t="str">
        <f aca="false">IF(AND(F58&lt;&gt;"",G58&lt;&gt;"",H58=0,I58=1),"READY","OPEN")</f>
        <v>OPEN</v>
      </c>
      <c r="K58" s="4"/>
      <c r="L58" s="4"/>
      <c r="M58" s="4"/>
      <c r="N58" s="4"/>
    </row>
    <row r="59" customFormat="false" ht="15" hidden="false" customHeight="false" outlineLevel="0" collapsed="false">
      <c r="A59" s="14" t="s">
        <v>660</v>
      </c>
      <c r="B59" s="14" t="s">
        <v>182</v>
      </c>
      <c r="C59" s="14" t="s">
        <v>183</v>
      </c>
      <c r="D59" s="14" t="s">
        <v>166</v>
      </c>
      <c r="E59" s="14" t="s">
        <v>611</v>
      </c>
      <c r="F59" s="16"/>
      <c r="G59" s="16"/>
      <c r="H59" s="16" t="n">
        <v>0</v>
      </c>
      <c r="I59" s="16" t="n">
        <v>0</v>
      </c>
      <c r="J59" s="14" t="str">
        <f aca="false">IF(AND(F59&lt;&gt;"",G59&lt;&gt;"",H59=0,I59=1),"READY","OPEN")</f>
        <v>OPEN</v>
      </c>
      <c r="K59" s="4"/>
      <c r="L59" s="4"/>
      <c r="M59" s="4"/>
      <c r="N59" s="4"/>
    </row>
    <row r="60" customFormat="false" ht="15" hidden="false" customHeight="false" outlineLevel="0" collapsed="false">
      <c r="A60" s="14" t="s">
        <v>661</v>
      </c>
      <c r="B60" s="14" t="s">
        <v>186</v>
      </c>
      <c r="C60" s="14" t="s">
        <v>183</v>
      </c>
      <c r="D60" s="14" t="s">
        <v>157</v>
      </c>
      <c r="E60" s="14" t="s">
        <v>603</v>
      </c>
      <c r="F60" s="16"/>
      <c r="G60" s="16"/>
      <c r="H60" s="16" t="n">
        <v>0</v>
      </c>
      <c r="I60" s="16" t="n">
        <v>0</v>
      </c>
      <c r="J60" s="14" t="str">
        <f aca="false">IF(AND(F60&lt;&gt;"",G60&lt;&gt;"",H60=0,I60=1),"READY","OPEN")</f>
        <v>OPEN</v>
      </c>
      <c r="K60" s="4"/>
      <c r="L60" s="4"/>
      <c r="M60" s="4"/>
      <c r="N60" s="4"/>
    </row>
    <row r="61" customFormat="false" ht="15" hidden="false" customHeight="false" outlineLevel="0" collapsed="false">
      <c r="A61" s="14" t="s">
        <v>662</v>
      </c>
      <c r="B61" s="14" t="s">
        <v>186</v>
      </c>
      <c r="C61" s="14" t="s">
        <v>183</v>
      </c>
      <c r="D61" s="14" t="s">
        <v>157</v>
      </c>
      <c r="E61" s="14" t="s">
        <v>605</v>
      </c>
      <c r="F61" s="16"/>
      <c r="G61" s="16"/>
      <c r="H61" s="16" t="n">
        <v>0</v>
      </c>
      <c r="I61" s="16" t="n">
        <v>0</v>
      </c>
      <c r="J61" s="14" t="str">
        <f aca="false">IF(AND(F61&lt;&gt;"",G61&lt;&gt;"",H61=0,I61=1),"READY","OPEN")</f>
        <v>OPEN</v>
      </c>
      <c r="K61" s="4"/>
      <c r="L61" s="4"/>
      <c r="M61" s="4"/>
      <c r="N61" s="4"/>
    </row>
    <row r="62" customFormat="false" ht="15" hidden="false" customHeight="false" outlineLevel="0" collapsed="false">
      <c r="A62" s="14" t="s">
        <v>663</v>
      </c>
      <c r="B62" s="14" t="s">
        <v>186</v>
      </c>
      <c r="C62" s="14" t="s">
        <v>183</v>
      </c>
      <c r="D62" s="14" t="s">
        <v>157</v>
      </c>
      <c r="E62" s="14" t="s">
        <v>607</v>
      </c>
      <c r="F62" s="16"/>
      <c r="G62" s="16"/>
      <c r="H62" s="16" t="n">
        <v>0</v>
      </c>
      <c r="I62" s="16" t="n">
        <v>0</v>
      </c>
      <c r="J62" s="14" t="str">
        <f aca="false">IF(AND(F62&lt;&gt;"",G62&lt;&gt;"",H62=0,I62=1),"READY","OPEN")</f>
        <v>OPEN</v>
      </c>
      <c r="K62" s="4"/>
      <c r="L62" s="4"/>
      <c r="M62" s="4"/>
      <c r="N62" s="4"/>
    </row>
    <row r="63" customFormat="false" ht="15" hidden="false" customHeight="false" outlineLevel="0" collapsed="false">
      <c r="A63" s="14" t="s">
        <v>664</v>
      </c>
      <c r="B63" s="14" t="s">
        <v>186</v>
      </c>
      <c r="C63" s="14" t="s">
        <v>183</v>
      </c>
      <c r="D63" s="14" t="s">
        <v>157</v>
      </c>
      <c r="E63" s="14" t="s">
        <v>609</v>
      </c>
      <c r="F63" s="16"/>
      <c r="G63" s="16"/>
      <c r="H63" s="16" t="n">
        <v>0</v>
      </c>
      <c r="I63" s="16" t="n">
        <v>0</v>
      </c>
      <c r="J63" s="14" t="str">
        <f aca="false">IF(AND(F63&lt;&gt;"",G63&lt;&gt;"",H63=0,I63=1),"READY","OPEN")</f>
        <v>OPEN</v>
      </c>
      <c r="K63" s="4"/>
      <c r="L63" s="4"/>
      <c r="M63" s="4"/>
      <c r="N63" s="4"/>
    </row>
    <row r="64" customFormat="false" ht="15" hidden="false" customHeight="false" outlineLevel="0" collapsed="false">
      <c r="A64" s="14" t="s">
        <v>665</v>
      </c>
      <c r="B64" s="14" t="s">
        <v>186</v>
      </c>
      <c r="C64" s="14" t="s">
        <v>183</v>
      </c>
      <c r="D64" s="14" t="s">
        <v>157</v>
      </c>
      <c r="E64" s="14" t="s">
        <v>611</v>
      </c>
      <c r="F64" s="16"/>
      <c r="G64" s="16"/>
      <c r="H64" s="16" t="n">
        <v>0</v>
      </c>
      <c r="I64" s="16" t="n">
        <v>0</v>
      </c>
      <c r="J64" s="14" t="str">
        <f aca="false">IF(AND(F64&lt;&gt;"",G64&lt;&gt;"",H64=0,I64=1),"READY","OPEN")</f>
        <v>OPEN</v>
      </c>
      <c r="K64" s="4"/>
      <c r="L64" s="4"/>
      <c r="M64" s="4"/>
      <c r="N64" s="4"/>
    </row>
    <row r="65" customFormat="false" ht="15" hidden="false" customHeight="false" outlineLevel="0" collapsed="false">
      <c r="A65" s="14" t="s">
        <v>666</v>
      </c>
      <c r="B65" s="14" t="s">
        <v>186</v>
      </c>
      <c r="C65" s="14" t="s">
        <v>183</v>
      </c>
      <c r="D65" s="14" t="s">
        <v>157</v>
      </c>
      <c r="E65" s="14" t="s">
        <v>613</v>
      </c>
      <c r="F65" s="16"/>
      <c r="G65" s="16"/>
      <c r="H65" s="16" t="n">
        <v>0</v>
      </c>
      <c r="I65" s="16" t="n">
        <v>0</v>
      </c>
      <c r="J65" s="14" t="str">
        <f aca="false">IF(AND(F65&lt;&gt;"",G65&lt;&gt;"",H65=0,I65=1),"READY","OPEN")</f>
        <v>OPEN</v>
      </c>
      <c r="K65" s="4"/>
      <c r="L65" s="4"/>
      <c r="M65" s="4"/>
      <c r="N65" s="4"/>
    </row>
    <row r="66" customFormat="false" ht="15" hidden="false" customHeight="false" outlineLevel="0" collapsed="false">
      <c r="A66" s="14" t="s">
        <v>667</v>
      </c>
      <c r="B66" s="14" t="s">
        <v>188</v>
      </c>
      <c r="C66" s="14" t="s">
        <v>183</v>
      </c>
      <c r="D66" s="14" t="s">
        <v>172</v>
      </c>
      <c r="E66" s="14" t="s">
        <v>603</v>
      </c>
      <c r="F66" s="16"/>
      <c r="G66" s="16"/>
      <c r="H66" s="16" t="n">
        <v>0</v>
      </c>
      <c r="I66" s="16" t="n">
        <v>0</v>
      </c>
      <c r="J66" s="14" t="str">
        <f aca="false">IF(AND(F66&lt;&gt;"",G66&lt;&gt;"",H66=0,I66=1),"READY","OPEN")</f>
        <v>OPEN</v>
      </c>
      <c r="K66" s="4"/>
      <c r="L66" s="4"/>
      <c r="M66" s="4"/>
      <c r="N66" s="4"/>
    </row>
    <row r="67" customFormat="false" ht="15" hidden="false" customHeight="false" outlineLevel="0" collapsed="false">
      <c r="A67" s="14" t="s">
        <v>668</v>
      </c>
      <c r="B67" s="14" t="s">
        <v>188</v>
      </c>
      <c r="C67" s="14" t="s">
        <v>183</v>
      </c>
      <c r="D67" s="14" t="s">
        <v>172</v>
      </c>
      <c r="E67" s="14" t="s">
        <v>605</v>
      </c>
      <c r="F67" s="16"/>
      <c r="G67" s="16"/>
      <c r="H67" s="16" t="n">
        <v>0</v>
      </c>
      <c r="I67" s="16" t="n">
        <v>0</v>
      </c>
      <c r="J67" s="14" t="str">
        <f aca="false">IF(AND(F67&lt;&gt;"",G67&lt;&gt;"",H67=0,I67=1),"READY","OPEN")</f>
        <v>OPEN</v>
      </c>
      <c r="K67" s="4"/>
      <c r="L67" s="4"/>
      <c r="M67" s="4"/>
      <c r="N67" s="4"/>
    </row>
    <row r="68" customFormat="false" ht="15" hidden="false" customHeight="false" outlineLevel="0" collapsed="false">
      <c r="A68" s="14" t="s">
        <v>669</v>
      </c>
      <c r="B68" s="14" t="s">
        <v>188</v>
      </c>
      <c r="C68" s="14" t="s">
        <v>183</v>
      </c>
      <c r="D68" s="14" t="s">
        <v>172</v>
      </c>
      <c r="E68" s="14" t="s">
        <v>607</v>
      </c>
      <c r="F68" s="16"/>
      <c r="G68" s="16"/>
      <c r="H68" s="16" t="n">
        <v>0</v>
      </c>
      <c r="I68" s="16" t="n">
        <v>0</v>
      </c>
      <c r="J68" s="14" t="str">
        <f aca="false">IF(AND(F68&lt;&gt;"",G68&lt;&gt;"",H68=0,I68=1),"READY","OPEN")</f>
        <v>OPEN</v>
      </c>
      <c r="K68" s="4"/>
      <c r="L68" s="4"/>
      <c r="M68" s="4"/>
      <c r="N68" s="4"/>
    </row>
    <row r="69" customFormat="false" ht="15" hidden="false" customHeight="false" outlineLevel="0" collapsed="false">
      <c r="A69" s="14" t="s">
        <v>670</v>
      </c>
      <c r="B69" s="14" t="s">
        <v>188</v>
      </c>
      <c r="C69" s="14" t="s">
        <v>183</v>
      </c>
      <c r="D69" s="14" t="s">
        <v>172</v>
      </c>
      <c r="E69" s="14" t="s">
        <v>609</v>
      </c>
      <c r="F69" s="16"/>
      <c r="G69" s="16"/>
      <c r="H69" s="16" t="n">
        <v>0</v>
      </c>
      <c r="I69" s="16" t="n">
        <v>0</v>
      </c>
      <c r="J69" s="14" t="str">
        <f aca="false">IF(AND(F69&lt;&gt;"",G69&lt;&gt;"",H69=0,I69=1),"READY","OPEN")</f>
        <v>OPEN</v>
      </c>
      <c r="K69" s="4"/>
      <c r="L69" s="4"/>
      <c r="M69" s="4"/>
      <c r="N69" s="4"/>
    </row>
    <row r="70" customFormat="false" ht="15" hidden="false" customHeight="false" outlineLevel="0" collapsed="false">
      <c r="A70" s="14" t="s">
        <v>671</v>
      </c>
      <c r="B70" s="14" t="s">
        <v>188</v>
      </c>
      <c r="C70" s="14" t="s">
        <v>183</v>
      </c>
      <c r="D70" s="14" t="s">
        <v>172</v>
      </c>
      <c r="E70" s="14" t="s">
        <v>611</v>
      </c>
      <c r="F70" s="16"/>
      <c r="G70" s="16"/>
      <c r="H70" s="16" t="n">
        <v>0</v>
      </c>
      <c r="I70" s="16" t="n">
        <v>0</v>
      </c>
      <c r="J70" s="14" t="str">
        <f aca="false">IF(AND(F70&lt;&gt;"",G70&lt;&gt;"",H70=0,I70=1),"READY","OPEN")</f>
        <v>OPEN</v>
      </c>
      <c r="K70" s="4"/>
      <c r="L70" s="4"/>
      <c r="M70" s="4"/>
      <c r="N70" s="4"/>
    </row>
    <row r="71" customFormat="false" ht="15" hidden="false" customHeight="false" outlineLevel="0" collapsed="false">
      <c r="A71" s="14" t="s">
        <v>672</v>
      </c>
      <c r="B71" s="14" t="s">
        <v>190</v>
      </c>
      <c r="C71" s="14" t="s">
        <v>191</v>
      </c>
      <c r="D71" s="14" t="s">
        <v>152</v>
      </c>
      <c r="E71" s="14" t="s">
        <v>603</v>
      </c>
      <c r="F71" s="16"/>
      <c r="G71" s="16"/>
      <c r="H71" s="16" t="n">
        <v>0</v>
      </c>
      <c r="I71" s="16" t="n">
        <v>0</v>
      </c>
      <c r="J71" s="14" t="str">
        <f aca="false">IF(AND(F71&lt;&gt;"",G71&lt;&gt;"",H71=0,I71=1),"READY","OPEN")</f>
        <v>OPEN</v>
      </c>
      <c r="K71" s="4"/>
      <c r="L71" s="4"/>
      <c r="M71" s="4"/>
      <c r="N71" s="4"/>
    </row>
    <row r="72" customFormat="false" ht="15" hidden="false" customHeight="false" outlineLevel="0" collapsed="false">
      <c r="A72" s="14" t="s">
        <v>673</v>
      </c>
      <c r="B72" s="14" t="s">
        <v>190</v>
      </c>
      <c r="C72" s="14" t="s">
        <v>191</v>
      </c>
      <c r="D72" s="14" t="s">
        <v>152</v>
      </c>
      <c r="E72" s="14" t="s">
        <v>605</v>
      </c>
      <c r="F72" s="16"/>
      <c r="G72" s="16"/>
      <c r="H72" s="16" t="n">
        <v>0</v>
      </c>
      <c r="I72" s="16" t="n">
        <v>0</v>
      </c>
      <c r="J72" s="14" t="str">
        <f aca="false">IF(AND(F72&lt;&gt;"",G72&lt;&gt;"",H72=0,I72=1),"READY","OPEN")</f>
        <v>OPEN</v>
      </c>
      <c r="K72" s="4"/>
      <c r="L72" s="4"/>
      <c r="M72" s="4"/>
      <c r="N72" s="4"/>
    </row>
    <row r="73" customFormat="false" ht="15" hidden="false" customHeight="false" outlineLevel="0" collapsed="false">
      <c r="A73" s="14" t="s">
        <v>674</v>
      </c>
      <c r="B73" s="14" t="s">
        <v>190</v>
      </c>
      <c r="C73" s="14" t="s">
        <v>191</v>
      </c>
      <c r="D73" s="14" t="s">
        <v>152</v>
      </c>
      <c r="E73" s="14" t="s">
        <v>607</v>
      </c>
      <c r="F73" s="16"/>
      <c r="G73" s="16"/>
      <c r="H73" s="16" t="n">
        <v>0</v>
      </c>
      <c r="I73" s="16" t="n">
        <v>0</v>
      </c>
      <c r="J73" s="14" t="str">
        <f aca="false">IF(AND(F73&lt;&gt;"",G73&lt;&gt;"",H73=0,I73=1),"READY","OPEN")</f>
        <v>OPEN</v>
      </c>
      <c r="K73" s="4"/>
      <c r="L73" s="4"/>
      <c r="M73" s="4"/>
      <c r="N73" s="4"/>
    </row>
    <row r="74" customFormat="false" ht="15" hidden="false" customHeight="false" outlineLevel="0" collapsed="false">
      <c r="A74" s="14" t="s">
        <v>675</v>
      </c>
      <c r="B74" s="14" t="s">
        <v>190</v>
      </c>
      <c r="C74" s="14" t="s">
        <v>191</v>
      </c>
      <c r="D74" s="14" t="s">
        <v>152</v>
      </c>
      <c r="E74" s="14" t="s">
        <v>609</v>
      </c>
      <c r="F74" s="16"/>
      <c r="G74" s="16"/>
      <c r="H74" s="16" t="n">
        <v>0</v>
      </c>
      <c r="I74" s="16" t="n">
        <v>0</v>
      </c>
      <c r="J74" s="14" t="str">
        <f aca="false">IF(AND(F74&lt;&gt;"",G74&lt;&gt;"",H74=0,I74=1),"READY","OPEN")</f>
        <v>OPEN</v>
      </c>
      <c r="K74" s="4"/>
      <c r="L74" s="4"/>
      <c r="M74" s="4"/>
      <c r="N74" s="4"/>
    </row>
    <row r="75" customFormat="false" ht="15" hidden="false" customHeight="false" outlineLevel="0" collapsed="false">
      <c r="A75" s="14" t="s">
        <v>676</v>
      </c>
      <c r="B75" s="14" t="s">
        <v>190</v>
      </c>
      <c r="C75" s="14" t="s">
        <v>191</v>
      </c>
      <c r="D75" s="14" t="s">
        <v>152</v>
      </c>
      <c r="E75" s="14" t="s">
        <v>611</v>
      </c>
      <c r="F75" s="16"/>
      <c r="G75" s="16"/>
      <c r="H75" s="16" t="n">
        <v>0</v>
      </c>
      <c r="I75" s="16" t="n">
        <v>0</v>
      </c>
      <c r="J75" s="14" t="str">
        <f aca="false">IF(AND(F75&lt;&gt;"",G75&lt;&gt;"",H75=0,I75=1),"READY","OPEN")</f>
        <v>OPEN</v>
      </c>
      <c r="K75" s="4"/>
      <c r="L75" s="4"/>
      <c r="M75" s="4"/>
      <c r="N75" s="4"/>
    </row>
    <row r="76" customFormat="false" ht="15" hidden="false" customHeight="false" outlineLevel="0" collapsed="false">
      <c r="A76" s="14" t="s">
        <v>677</v>
      </c>
      <c r="B76" s="14" t="s">
        <v>194</v>
      </c>
      <c r="C76" s="14" t="s">
        <v>191</v>
      </c>
      <c r="D76" s="14" t="s">
        <v>169</v>
      </c>
      <c r="E76" s="14" t="s">
        <v>603</v>
      </c>
      <c r="F76" s="16"/>
      <c r="G76" s="16"/>
      <c r="H76" s="16" t="n">
        <v>0</v>
      </c>
      <c r="I76" s="16" t="n">
        <v>0</v>
      </c>
      <c r="J76" s="14" t="str">
        <f aca="false">IF(AND(F76&lt;&gt;"",G76&lt;&gt;"",H76=0,I76=1),"READY","OPEN")</f>
        <v>OPEN</v>
      </c>
      <c r="K76" s="4"/>
      <c r="L76" s="4"/>
      <c r="M76" s="4"/>
      <c r="N76" s="4"/>
    </row>
    <row r="77" customFormat="false" ht="15" hidden="false" customHeight="false" outlineLevel="0" collapsed="false">
      <c r="A77" s="14" t="s">
        <v>678</v>
      </c>
      <c r="B77" s="14" t="s">
        <v>194</v>
      </c>
      <c r="C77" s="14" t="s">
        <v>191</v>
      </c>
      <c r="D77" s="14" t="s">
        <v>169</v>
      </c>
      <c r="E77" s="14" t="s">
        <v>605</v>
      </c>
      <c r="F77" s="16"/>
      <c r="G77" s="16"/>
      <c r="H77" s="16" t="n">
        <v>0</v>
      </c>
      <c r="I77" s="16" t="n">
        <v>0</v>
      </c>
      <c r="J77" s="14" t="str">
        <f aca="false">IF(AND(F77&lt;&gt;"",G77&lt;&gt;"",H77=0,I77=1),"READY","OPEN")</f>
        <v>OPEN</v>
      </c>
      <c r="K77" s="4"/>
      <c r="L77" s="4"/>
      <c r="M77" s="4"/>
      <c r="N77" s="4"/>
    </row>
    <row r="78" customFormat="false" ht="15" hidden="false" customHeight="false" outlineLevel="0" collapsed="false">
      <c r="A78" s="14" t="s">
        <v>679</v>
      </c>
      <c r="B78" s="14" t="s">
        <v>194</v>
      </c>
      <c r="C78" s="14" t="s">
        <v>191</v>
      </c>
      <c r="D78" s="14" t="s">
        <v>169</v>
      </c>
      <c r="E78" s="14" t="s">
        <v>607</v>
      </c>
      <c r="F78" s="16"/>
      <c r="G78" s="16"/>
      <c r="H78" s="16" t="n">
        <v>0</v>
      </c>
      <c r="I78" s="16" t="n">
        <v>0</v>
      </c>
      <c r="J78" s="14" t="str">
        <f aca="false">IF(AND(F78&lt;&gt;"",G78&lt;&gt;"",H78=0,I78=1),"READY","OPEN")</f>
        <v>OPEN</v>
      </c>
      <c r="K78" s="4"/>
      <c r="L78" s="4"/>
      <c r="M78" s="4"/>
      <c r="N78" s="4"/>
    </row>
    <row r="79" customFormat="false" ht="15" hidden="false" customHeight="false" outlineLevel="0" collapsed="false">
      <c r="A79" s="14" t="s">
        <v>680</v>
      </c>
      <c r="B79" s="14" t="s">
        <v>194</v>
      </c>
      <c r="C79" s="14" t="s">
        <v>191</v>
      </c>
      <c r="D79" s="14" t="s">
        <v>169</v>
      </c>
      <c r="E79" s="14" t="s">
        <v>609</v>
      </c>
      <c r="F79" s="16"/>
      <c r="G79" s="16"/>
      <c r="H79" s="16" t="n">
        <v>0</v>
      </c>
      <c r="I79" s="16" t="n">
        <v>0</v>
      </c>
      <c r="J79" s="14" t="str">
        <f aca="false">IF(AND(F79&lt;&gt;"",G79&lt;&gt;"",H79=0,I79=1),"READY","OPEN")</f>
        <v>OPEN</v>
      </c>
      <c r="K79" s="4"/>
      <c r="L79" s="4"/>
      <c r="M79" s="4"/>
      <c r="N79" s="4"/>
    </row>
    <row r="80" customFormat="false" ht="15" hidden="false" customHeight="false" outlineLevel="0" collapsed="false">
      <c r="A80" s="14" t="s">
        <v>681</v>
      </c>
      <c r="B80" s="14" t="s">
        <v>194</v>
      </c>
      <c r="C80" s="14" t="s">
        <v>191</v>
      </c>
      <c r="D80" s="14" t="s">
        <v>169</v>
      </c>
      <c r="E80" s="14" t="s">
        <v>611</v>
      </c>
      <c r="F80" s="16"/>
      <c r="G80" s="16"/>
      <c r="H80" s="16" t="n">
        <v>0</v>
      </c>
      <c r="I80" s="16" t="n">
        <v>0</v>
      </c>
      <c r="J80" s="14" t="str">
        <f aca="false">IF(AND(F80&lt;&gt;"",G80&lt;&gt;"",H80=0,I80=1),"READY","OPEN")</f>
        <v>OPEN</v>
      </c>
      <c r="K80" s="4"/>
      <c r="L80" s="4"/>
      <c r="M80" s="4"/>
      <c r="N80" s="4"/>
    </row>
    <row r="81" customFormat="false" ht="15" hidden="false" customHeight="false" outlineLevel="0" collapsed="false">
      <c r="A81" s="14" t="s">
        <v>682</v>
      </c>
      <c r="B81" s="14" t="s">
        <v>194</v>
      </c>
      <c r="C81" s="14" t="s">
        <v>191</v>
      </c>
      <c r="D81" s="14" t="s">
        <v>169</v>
      </c>
      <c r="E81" s="14" t="s">
        <v>613</v>
      </c>
      <c r="F81" s="16"/>
      <c r="G81" s="16"/>
      <c r="H81" s="16" t="n">
        <v>0</v>
      </c>
      <c r="I81" s="16" t="n">
        <v>0</v>
      </c>
      <c r="J81" s="14" t="str">
        <f aca="false">IF(AND(F81&lt;&gt;"",G81&lt;&gt;"",H81=0,I81=1),"READY","OPEN")</f>
        <v>OPEN</v>
      </c>
      <c r="K81" s="4"/>
      <c r="L81" s="4"/>
      <c r="M81" s="4"/>
      <c r="N81" s="4"/>
    </row>
    <row r="82" customFormat="false" ht="15" hidden="false" customHeight="false" outlineLevel="0" collapsed="false">
      <c r="A82" s="14" t="s">
        <v>683</v>
      </c>
      <c r="B82" s="14" t="s">
        <v>196</v>
      </c>
      <c r="C82" s="14" t="s">
        <v>191</v>
      </c>
      <c r="D82" s="14" t="s">
        <v>172</v>
      </c>
      <c r="E82" s="14" t="s">
        <v>603</v>
      </c>
      <c r="F82" s="16"/>
      <c r="G82" s="16"/>
      <c r="H82" s="16" t="n">
        <v>0</v>
      </c>
      <c r="I82" s="16" t="n">
        <v>0</v>
      </c>
      <c r="J82" s="14" t="str">
        <f aca="false">IF(AND(F82&lt;&gt;"",G82&lt;&gt;"",H82=0,I82=1),"READY","OPEN")</f>
        <v>OPEN</v>
      </c>
      <c r="K82" s="4"/>
      <c r="L82" s="4"/>
      <c r="M82" s="4"/>
      <c r="N82" s="4"/>
    </row>
    <row r="83" customFormat="false" ht="15" hidden="false" customHeight="false" outlineLevel="0" collapsed="false">
      <c r="A83" s="14" t="s">
        <v>684</v>
      </c>
      <c r="B83" s="14" t="s">
        <v>196</v>
      </c>
      <c r="C83" s="14" t="s">
        <v>191</v>
      </c>
      <c r="D83" s="14" t="s">
        <v>172</v>
      </c>
      <c r="E83" s="14" t="s">
        <v>605</v>
      </c>
      <c r="F83" s="16"/>
      <c r="G83" s="16"/>
      <c r="H83" s="16" t="n">
        <v>0</v>
      </c>
      <c r="I83" s="16" t="n">
        <v>0</v>
      </c>
      <c r="J83" s="14" t="str">
        <f aca="false">IF(AND(F83&lt;&gt;"",G83&lt;&gt;"",H83=0,I83=1),"READY","OPEN")</f>
        <v>OPEN</v>
      </c>
      <c r="K83" s="4"/>
      <c r="L83" s="4"/>
      <c r="M83" s="4"/>
      <c r="N83" s="4"/>
    </row>
    <row r="84" customFormat="false" ht="15" hidden="false" customHeight="false" outlineLevel="0" collapsed="false">
      <c r="A84" s="14" t="s">
        <v>685</v>
      </c>
      <c r="B84" s="14" t="s">
        <v>196</v>
      </c>
      <c r="C84" s="14" t="s">
        <v>191</v>
      </c>
      <c r="D84" s="14" t="s">
        <v>172</v>
      </c>
      <c r="E84" s="14" t="s">
        <v>607</v>
      </c>
      <c r="F84" s="16"/>
      <c r="G84" s="16"/>
      <c r="H84" s="16" t="n">
        <v>0</v>
      </c>
      <c r="I84" s="16" t="n">
        <v>0</v>
      </c>
      <c r="J84" s="14" t="str">
        <f aca="false">IF(AND(F84&lt;&gt;"",G84&lt;&gt;"",H84=0,I84=1),"READY","OPEN")</f>
        <v>OPEN</v>
      </c>
      <c r="K84" s="4"/>
      <c r="L84" s="4"/>
      <c r="M84" s="4"/>
      <c r="N84" s="4"/>
    </row>
    <row r="85" customFormat="false" ht="15" hidden="false" customHeight="false" outlineLevel="0" collapsed="false">
      <c r="A85" s="14" t="s">
        <v>686</v>
      </c>
      <c r="B85" s="14" t="s">
        <v>196</v>
      </c>
      <c r="C85" s="14" t="s">
        <v>191</v>
      </c>
      <c r="D85" s="14" t="s">
        <v>172</v>
      </c>
      <c r="E85" s="14" t="s">
        <v>609</v>
      </c>
      <c r="F85" s="16"/>
      <c r="G85" s="16"/>
      <c r="H85" s="16" t="n">
        <v>0</v>
      </c>
      <c r="I85" s="16" t="n">
        <v>0</v>
      </c>
      <c r="J85" s="14" t="str">
        <f aca="false">IF(AND(F85&lt;&gt;"",G85&lt;&gt;"",H85=0,I85=1),"READY","OPEN")</f>
        <v>OPEN</v>
      </c>
      <c r="K85" s="4"/>
      <c r="L85" s="4"/>
      <c r="M85" s="4"/>
      <c r="N85" s="4"/>
    </row>
    <row r="86" customFormat="false" ht="15" hidden="false" customHeight="false" outlineLevel="0" collapsed="false">
      <c r="A86" s="14" t="s">
        <v>687</v>
      </c>
      <c r="B86" s="14" t="s">
        <v>196</v>
      </c>
      <c r="C86" s="14" t="s">
        <v>191</v>
      </c>
      <c r="D86" s="14" t="s">
        <v>172</v>
      </c>
      <c r="E86" s="14" t="s">
        <v>611</v>
      </c>
      <c r="F86" s="16"/>
      <c r="G86" s="16"/>
      <c r="H86" s="16" t="n">
        <v>0</v>
      </c>
      <c r="I86" s="16" t="n">
        <v>0</v>
      </c>
      <c r="J86" s="14" t="str">
        <f aca="false">IF(AND(F86&lt;&gt;"",G86&lt;&gt;"",H86=0,I86=1),"READY","OPEN")</f>
        <v>OPEN</v>
      </c>
      <c r="K86" s="4"/>
      <c r="L86" s="4"/>
      <c r="M86" s="4"/>
      <c r="N86" s="4"/>
    </row>
    <row r="87" customFormat="false" ht="15" hidden="false" customHeight="false" outlineLevel="0" collapsed="false">
      <c r="A87" s="14" t="s">
        <v>688</v>
      </c>
      <c r="B87" s="14" t="s">
        <v>198</v>
      </c>
      <c r="C87" s="14" t="s">
        <v>199</v>
      </c>
      <c r="D87" s="14" t="s">
        <v>166</v>
      </c>
      <c r="E87" s="14" t="s">
        <v>603</v>
      </c>
      <c r="F87" s="16"/>
      <c r="G87" s="16"/>
      <c r="H87" s="16" t="n">
        <v>0</v>
      </c>
      <c r="I87" s="16" t="n">
        <v>0</v>
      </c>
      <c r="J87" s="14" t="str">
        <f aca="false">IF(AND(F87&lt;&gt;"",G87&lt;&gt;"",H87=0,I87=1),"READY","OPEN")</f>
        <v>OPEN</v>
      </c>
      <c r="K87" s="4"/>
      <c r="L87" s="4"/>
      <c r="M87" s="4"/>
      <c r="N87" s="4"/>
    </row>
    <row r="88" customFormat="false" ht="15" hidden="false" customHeight="false" outlineLevel="0" collapsed="false">
      <c r="A88" s="14" t="s">
        <v>689</v>
      </c>
      <c r="B88" s="14" t="s">
        <v>198</v>
      </c>
      <c r="C88" s="14" t="s">
        <v>199</v>
      </c>
      <c r="D88" s="14" t="s">
        <v>166</v>
      </c>
      <c r="E88" s="14" t="s">
        <v>605</v>
      </c>
      <c r="F88" s="16"/>
      <c r="G88" s="16"/>
      <c r="H88" s="16" t="n">
        <v>0</v>
      </c>
      <c r="I88" s="16" t="n">
        <v>0</v>
      </c>
      <c r="J88" s="14" t="str">
        <f aca="false">IF(AND(F88&lt;&gt;"",G88&lt;&gt;"",H88=0,I88=1),"READY","OPEN")</f>
        <v>OPEN</v>
      </c>
      <c r="K88" s="4"/>
      <c r="L88" s="4"/>
      <c r="M88" s="4"/>
      <c r="N88" s="4"/>
    </row>
    <row r="89" customFormat="false" ht="15" hidden="false" customHeight="false" outlineLevel="0" collapsed="false">
      <c r="A89" s="14" t="s">
        <v>690</v>
      </c>
      <c r="B89" s="14" t="s">
        <v>198</v>
      </c>
      <c r="C89" s="14" t="s">
        <v>199</v>
      </c>
      <c r="D89" s="14" t="s">
        <v>166</v>
      </c>
      <c r="E89" s="14" t="s">
        <v>607</v>
      </c>
      <c r="F89" s="16"/>
      <c r="G89" s="16"/>
      <c r="H89" s="16" t="n">
        <v>0</v>
      </c>
      <c r="I89" s="16" t="n">
        <v>0</v>
      </c>
      <c r="J89" s="14" t="str">
        <f aca="false">IF(AND(F89&lt;&gt;"",G89&lt;&gt;"",H89=0,I89=1),"READY","OPEN")</f>
        <v>OPEN</v>
      </c>
      <c r="K89" s="4"/>
      <c r="L89" s="4"/>
      <c r="M89" s="4"/>
      <c r="N89" s="4"/>
    </row>
    <row r="90" customFormat="false" ht="15" hidden="false" customHeight="false" outlineLevel="0" collapsed="false">
      <c r="A90" s="14" t="s">
        <v>691</v>
      </c>
      <c r="B90" s="14" t="s">
        <v>198</v>
      </c>
      <c r="C90" s="14" t="s">
        <v>199</v>
      </c>
      <c r="D90" s="14" t="s">
        <v>166</v>
      </c>
      <c r="E90" s="14" t="s">
        <v>609</v>
      </c>
      <c r="F90" s="16"/>
      <c r="G90" s="16"/>
      <c r="H90" s="16" t="n">
        <v>0</v>
      </c>
      <c r="I90" s="16" t="n">
        <v>0</v>
      </c>
      <c r="J90" s="14" t="str">
        <f aca="false">IF(AND(F90&lt;&gt;"",G90&lt;&gt;"",H90=0,I90=1),"READY","OPEN")</f>
        <v>OPEN</v>
      </c>
      <c r="K90" s="4"/>
      <c r="L90" s="4"/>
      <c r="M90" s="4"/>
      <c r="N90" s="4"/>
    </row>
    <row r="91" customFormat="false" ht="15" hidden="false" customHeight="false" outlineLevel="0" collapsed="false">
      <c r="A91" s="14" t="s">
        <v>692</v>
      </c>
      <c r="B91" s="14" t="s">
        <v>198</v>
      </c>
      <c r="C91" s="14" t="s">
        <v>199</v>
      </c>
      <c r="D91" s="14" t="s">
        <v>166</v>
      </c>
      <c r="E91" s="14" t="s">
        <v>611</v>
      </c>
      <c r="F91" s="16"/>
      <c r="G91" s="16"/>
      <c r="H91" s="16" t="n">
        <v>0</v>
      </c>
      <c r="I91" s="16" t="n">
        <v>0</v>
      </c>
      <c r="J91" s="14" t="str">
        <f aca="false">IF(AND(F91&lt;&gt;"",G91&lt;&gt;"",H91=0,I91=1),"READY","OPEN")</f>
        <v>OPEN</v>
      </c>
      <c r="K91" s="4"/>
      <c r="L91" s="4"/>
      <c r="M91" s="4"/>
      <c r="N91" s="4"/>
    </row>
    <row r="92" customFormat="false" ht="15" hidden="false" customHeight="false" outlineLevel="0" collapsed="false">
      <c r="A92" s="14" t="s">
        <v>693</v>
      </c>
      <c r="B92" s="14" t="s">
        <v>202</v>
      </c>
      <c r="C92" s="14" t="s">
        <v>199</v>
      </c>
      <c r="D92" s="14" t="s">
        <v>157</v>
      </c>
      <c r="E92" s="14" t="s">
        <v>603</v>
      </c>
      <c r="F92" s="16"/>
      <c r="G92" s="16"/>
      <c r="H92" s="16" t="n">
        <v>0</v>
      </c>
      <c r="I92" s="16" t="n">
        <v>0</v>
      </c>
      <c r="J92" s="14" t="str">
        <f aca="false">IF(AND(F92&lt;&gt;"",G92&lt;&gt;"",H92=0,I92=1),"READY","OPEN")</f>
        <v>OPEN</v>
      </c>
      <c r="K92" s="4"/>
      <c r="L92" s="4"/>
      <c r="M92" s="4"/>
      <c r="N92" s="4"/>
    </row>
    <row r="93" customFormat="false" ht="15" hidden="false" customHeight="false" outlineLevel="0" collapsed="false">
      <c r="A93" s="14" t="s">
        <v>694</v>
      </c>
      <c r="B93" s="14" t="s">
        <v>202</v>
      </c>
      <c r="C93" s="14" t="s">
        <v>199</v>
      </c>
      <c r="D93" s="14" t="s">
        <v>157</v>
      </c>
      <c r="E93" s="14" t="s">
        <v>605</v>
      </c>
      <c r="F93" s="16"/>
      <c r="G93" s="16"/>
      <c r="H93" s="16" t="n">
        <v>0</v>
      </c>
      <c r="I93" s="16" t="n">
        <v>0</v>
      </c>
      <c r="J93" s="14" t="str">
        <f aca="false">IF(AND(F93&lt;&gt;"",G93&lt;&gt;"",H93=0,I93=1),"READY","OPEN")</f>
        <v>OPEN</v>
      </c>
      <c r="K93" s="4"/>
      <c r="L93" s="4"/>
      <c r="M93" s="4"/>
      <c r="N93" s="4"/>
    </row>
    <row r="94" customFormat="false" ht="15" hidden="false" customHeight="false" outlineLevel="0" collapsed="false">
      <c r="A94" s="14" t="s">
        <v>695</v>
      </c>
      <c r="B94" s="14" t="s">
        <v>202</v>
      </c>
      <c r="C94" s="14" t="s">
        <v>199</v>
      </c>
      <c r="D94" s="14" t="s">
        <v>157</v>
      </c>
      <c r="E94" s="14" t="s">
        <v>607</v>
      </c>
      <c r="F94" s="16"/>
      <c r="G94" s="16"/>
      <c r="H94" s="16" t="n">
        <v>0</v>
      </c>
      <c r="I94" s="16" t="n">
        <v>0</v>
      </c>
      <c r="J94" s="14" t="str">
        <f aca="false">IF(AND(F94&lt;&gt;"",G94&lt;&gt;"",H94=0,I94=1),"READY","OPEN")</f>
        <v>OPEN</v>
      </c>
      <c r="K94" s="4"/>
      <c r="L94" s="4"/>
      <c r="M94" s="4"/>
      <c r="N94" s="4"/>
    </row>
    <row r="95" customFormat="false" ht="15" hidden="false" customHeight="false" outlineLevel="0" collapsed="false">
      <c r="A95" s="14" t="s">
        <v>696</v>
      </c>
      <c r="B95" s="14" t="s">
        <v>202</v>
      </c>
      <c r="C95" s="14" t="s">
        <v>199</v>
      </c>
      <c r="D95" s="14" t="s">
        <v>157</v>
      </c>
      <c r="E95" s="14" t="s">
        <v>609</v>
      </c>
      <c r="F95" s="16"/>
      <c r="G95" s="16"/>
      <c r="H95" s="16" t="n">
        <v>0</v>
      </c>
      <c r="I95" s="16" t="n">
        <v>0</v>
      </c>
      <c r="J95" s="14" t="str">
        <f aca="false">IF(AND(F95&lt;&gt;"",G95&lt;&gt;"",H95=0,I95=1),"READY","OPEN")</f>
        <v>OPEN</v>
      </c>
      <c r="K95" s="4"/>
      <c r="L95" s="4"/>
      <c r="M95" s="4"/>
      <c r="N95" s="4"/>
    </row>
    <row r="96" customFormat="false" ht="15" hidden="false" customHeight="false" outlineLevel="0" collapsed="false">
      <c r="A96" s="14" t="s">
        <v>697</v>
      </c>
      <c r="B96" s="14" t="s">
        <v>202</v>
      </c>
      <c r="C96" s="14" t="s">
        <v>199</v>
      </c>
      <c r="D96" s="14" t="s">
        <v>157</v>
      </c>
      <c r="E96" s="14" t="s">
        <v>611</v>
      </c>
      <c r="F96" s="16"/>
      <c r="G96" s="16"/>
      <c r="H96" s="16" t="n">
        <v>0</v>
      </c>
      <c r="I96" s="16" t="n">
        <v>0</v>
      </c>
      <c r="J96" s="14" t="str">
        <f aca="false">IF(AND(F96&lt;&gt;"",G96&lt;&gt;"",H96=0,I96=1),"READY","OPEN")</f>
        <v>OPEN</v>
      </c>
      <c r="K96" s="4"/>
      <c r="L96" s="4"/>
      <c r="M96" s="4"/>
      <c r="N96" s="4"/>
    </row>
    <row r="97" customFormat="false" ht="15" hidden="false" customHeight="false" outlineLevel="0" collapsed="false">
      <c r="A97" s="14" t="s">
        <v>698</v>
      </c>
      <c r="B97" s="14" t="s">
        <v>204</v>
      </c>
      <c r="C97" s="14" t="s">
        <v>199</v>
      </c>
      <c r="D97" s="14" t="s">
        <v>161</v>
      </c>
      <c r="E97" s="14" t="s">
        <v>603</v>
      </c>
      <c r="F97" s="16"/>
      <c r="G97" s="16"/>
      <c r="H97" s="16" t="n">
        <v>0</v>
      </c>
      <c r="I97" s="16" t="n">
        <v>0</v>
      </c>
      <c r="J97" s="14" t="str">
        <f aca="false">IF(AND(F97&lt;&gt;"",G97&lt;&gt;"",H97=0,I97=1),"READY","OPEN")</f>
        <v>OPEN</v>
      </c>
      <c r="K97" s="4"/>
      <c r="L97" s="4"/>
      <c r="M97" s="4"/>
      <c r="N97" s="4"/>
    </row>
    <row r="98" customFormat="false" ht="15" hidden="false" customHeight="false" outlineLevel="0" collapsed="false">
      <c r="A98" s="14" t="s">
        <v>699</v>
      </c>
      <c r="B98" s="14" t="s">
        <v>204</v>
      </c>
      <c r="C98" s="14" t="s">
        <v>199</v>
      </c>
      <c r="D98" s="14" t="s">
        <v>161</v>
      </c>
      <c r="E98" s="14" t="s">
        <v>605</v>
      </c>
      <c r="F98" s="16"/>
      <c r="G98" s="16"/>
      <c r="H98" s="16" t="n">
        <v>0</v>
      </c>
      <c r="I98" s="16" t="n">
        <v>0</v>
      </c>
      <c r="J98" s="14" t="str">
        <f aca="false">IF(AND(F98&lt;&gt;"",G98&lt;&gt;"",H98=0,I98=1),"READY","OPEN")</f>
        <v>OPEN</v>
      </c>
      <c r="K98" s="4"/>
      <c r="L98" s="4"/>
      <c r="M98" s="4"/>
      <c r="N98" s="4"/>
    </row>
    <row r="99" customFormat="false" ht="15" hidden="false" customHeight="false" outlineLevel="0" collapsed="false">
      <c r="A99" s="14" t="s">
        <v>700</v>
      </c>
      <c r="B99" s="14" t="s">
        <v>204</v>
      </c>
      <c r="C99" s="14" t="s">
        <v>199</v>
      </c>
      <c r="D99" s="14" t="s">
        <v>161</v>
      </c>
      <c r="E99" s="14" t="s">
        <v>607</v>
      </c>
      <c r="F99" s="16"/>
      <c r="G99" s="16"/>
      <c r="H99" s="16" t="n">
        <v>0</v>
      </c>
      <c r="I99" s="16" t="n">
        <v>0</v>
      </c>
      <c r="J99" s="14" t="str">
        <f aca="false">IF(AND(F99&lt;&gt;"",G99&lt;&gt;"",H99=0,I99=1),"READY","OPEN")</f>
        <v>OPEN</v>
      </c>
      <c r="K99" s="4"/>
      <c r="L99" s="4"/>
      <c r="M99" s="4"/>
      <c r="N99" s="4"/>
    </row>
    <row r="100" customFormat="false" ht="15" hidden="false" customHeight="false" outlineLevel="0" collapsed="false">
      <c r="A100" s="14" t="s">
        <v>701</v>
      </c>
      <c r="B100" s="14" t="s">
        <v>204</v>
      </c>
      <c r="C100" s="14" t="s">
        <v>199</v>
      </c>
      <c r="D100" s="14" t="s">
        <v>161</v>
      </c>
      <c r="E100" s="14" t="s">
        <v>609</v>
      </c>
      <c r="F100" s="16"/>
      <c r="G100" s="16"/>
      <c r="H100" s="16" t="n">
        <v>0</v>
      </c>
      <c r="I100" s="16" t="n">
        <v>0</v>
      </c>
      <c r="J100" s="14" t="str">
        <f aca="false">IF(AND(F100&lt;&gt;"",G100&lt;&gt;"",H100=0,I100=1),"READY","OPEN")</f>
        <v>OPEN</v>
      </c>
      <c r="K100" s="4"/>
      <c r="L100" s="4"/>
      <c r="M100" s="4"/>
      <c r="N100" s="4"/>
    </row>
    <row r="101" customFormat="false" ht="15" hidden="false" customHeight="false" outlineLevel="0" collapsed="false">
      <c r="A101" s="14" t="s">
        <v>702</v>
      </c>
      <c r="B101" s="14" t="s">
        <v>204</v>
      </c>
      <c r="C101" s="14" t="s">
        <v>199</v>
      </c>
      <c r="D101" s="14" t="s">
        <v>161</v>
      </c>
      <c r="E101" s="14" t="s">
        <v>611</v>
      </c>
      <c r="F101" s="16"/>
      <c r="G101" s="16"/>
      <c r="H101" s="16" t="n">
        <v>0</v>
      </c>
      <c r="I101" s="16" t="n">
        <v>0</v>
      </c>
      <c r="J101" s="14" t="str">
        <f aca="false">IF(AND(F101&lt;&gt;"",G101&lt;&gt;"",H101=0,I101=1),"READY","OPEN")</f>
        <v>OPEN</v>
      </c>
      <c r="K101" s="4"/>
      <c r="L101" s="4"/>
      <c r="M101" s="4"/>
      <c r="N101" s="4"/>
    </row>
    <row r="102" customFormat="false" ht="15" hidden="false" customHeight="false" outlineLevel="0" collapsed="false">
      <c r="A102" s="14" t="s">
        <v>703</v>
      </c>
      <c r="B102" s="14" t="s">
        <v>204</v>
      </c>
      <c r="C102" s="14" t="s">
        <v>199</v>
      </c>
      <c r="D102" s="14" t="s">
        <v>161</v>
      </c>
      <c r="E102" s="14" t="s">
        <v>613</v>
      </c>
      <c r="F102" s="16"/>
      <c r="G102" s="16"/>
      <c r="H102" s="16" t="n">
        <v>0</v>
      </c>
      <c r="I102" s="16" t="n">
        <v>0</v>
      </c>
      <c r="J102" s="14" t="str">
        <f aca="false">IF(AND(F102&lt;&gt;"",G102&lt;&gt;"",H102=0,I102=1),"READY","OPEN")</f>
        <v>OPEN</v>
      </c>
      <c r="K102" s="4"/>
      <c r="L102" s="4"/>
      <c r="M102" s="4"/>
      <c r="N102" s="4"/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2:N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21"/>
    <col collapsed="false" customWidth="true" hidden="false" outlineLevel="0" max="7" min="6" style="0" width="20"/>
    <col collapsed="false" customWidth="true" hidden="false" outlineLevel="0" max="8" min="8" style="0" width="17"/>
    <col collapsed="false" customWidth="true" hidden="false" outlineLevel="0" max="9" min="9" style="0" width="14"/>
    <col collapsed="false" customWidth="true" hidden="false" outlineLevel="0" max="10" min="10" style="0" width="12"/>
  </cols>
  <sheetData>
    <row r="2" customFormat="false" ht="18.55" hidden="false" customHeight="false" outlineLevel="0" collapsed="false">
      <c r="A2" s="1" t="s">
        <v>704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705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6" t="s">
        <v>706</v>
      </c>
      <c r="B6" s="7" t="s">
        <v>208</v>
      </c>
      <c r="C6" s="7" t="s">
        <v>131</v>
      </c>
      <c r="D6" s="7" t="s">
        <v>133</v>
      </c>
      <c r="E6" s="7" t="s">
        <v>707</v>
      </c>
      <c r="F6" s="7" t="s">
        <v>708</v>
      </c>
      <c r="G6" s="7" t="s">
        <v>709</v>
      </c>
      <c r="H6" s="7" t="s">
        <v>710</v>
      </c>
      <c r="I6" s="7" t="s">
        <v>711</v>
      </c>
      <c r="J6" s="8" t="s">
        <v>147</v>
      </c>
      <c r="K6" s="4"/>
      <c r="L6" s="4"/>
      <c r="M6" s="4"/>
      <c r="N6" s="4"/>
    </row>
    <row r="7" customFormat="false" ht="15" hidden="false" customHeight="false" outlineLevel="0" collapsed="false">
      <c r="A7" s="14" t="s">
        <v>712</v>
      </c>
      <c r="B7" s="14" t="s">
        <v>149</v>
      </c>
      <c r="C7" s="14" t="s">
        <v>150</v>
      </c>
      <c r="D7" s="14" t="s">
        <v>152</v>
      </c>
      <c r="E7" s="14" t="s">
        <v>713</v>
      </c>
      <c r="F7" s="16"/>
      <c r="G7" s="16"/>
      <c r="H7" s="16" t="n">
        <v>0</v>
      </c>
      <c r="I7" s="16" t="n">
        <v>0</v>
      </c>
      <c r="J7" s="14" t="str">
        <f aca="false">IF(AND(F7&lt;&gt;"",G7&lt;&gt;"",H7=1,I7=1),"READY","OPEN")</f>
        <v>OPEN</v>
      </c>
      <c r="K7" s="4"/>
      <c r="L7" s="4"/>
      <c r="M7" s="4"/>
      <c r="N7" s="4"/>
    </row>
    <row r="8" customFormat="false" ht="15" hidden="false" customHeight="false" outlineLevel="0" collapsed="false">
      <c r="A8" s="14" t="s">
        <v>714</v>
      </c>
      <c r="B8" s="14" t="s">
        <v>149</v>
      </c>
      <c r="C8" s="14" t="s">
        <v>150</v>
      </c>
      <c r="D8" s="14" t="s">
        <v>152</v>
      </c>
      <c r="E8" s="14" t="s">
        <v>715</v>
      </c>
      <c r="F8" s="16"/>
      <c r="G8" s="16"/>
      <c r="H8" s="16" t="n">
        <v>0</v>
      </c>
      <c r="I8" s="16" t="n">
        <v>0</v>
      </c>
      <c r="J8" s="14" t="str">
        <f aca="false">IF(AND(F8&lt;&gt;"",G8&lt;&gt;"",H8=1,I8=1),"READY","OPEN")</f>
        <v>OPEN</v>
      </c>
      <c r="K8" s="4"/>
      <c r="L8" s="4"/>
      <c r="M8" s="4"/>
      <c r="N8" s="4"/>
    </row>
    <row r="9" customFormat="false" ht="15" hidden="false" customHeight="false" outlineLevel="0" collapsed="false">
      <c r="A9" s="14" t="s">
        <v>716</v>
      </c>
      <c r="B9" s="14" t="s">
        <v>149</v>
      </c>
      <c r="C9" s="14" t="s">
        <v>150</v>
      </c>
      <c r="D9" s="14" t="s">
        <v>152</v>
      </c>
      <c r="E9" s="14" t="s">
        <v>717</v>
      </c>
      <c r="F9" s="16"/>
      <c r="G9" s="16"/>
      <c r="H9" s="16" t="n">
        <v>0</v>
      </c>
      <c r="I9" s="16" t="n">
        <v>0</v>
      </c>
      <c r="J9" s="14" t="str">
        <f aca="false">IF(AND(F9&lt;&gt;"",G9&lt;&gt;"",H9=1,I9=1),"READY","OPEN")</f>
        <v>OPEN</v>
      </c>
      <c r="K9" s="4"/>
      <c r="L9" s="4"/>
      <c r="M9" s="4"/>
      <c r="N9" s="4"/>
    </row>
    <row r="10" customFormat="false" ht="15" hidden="false" customHeight="false" outlineLevel="0" collapsed="false">
      <c r="A10" s="14" t="s">
        <v>718</v>
      </c>
      <c r="B10" s="14" t="s">
        <v>149</v>
      </c>
      <c r="C10" s="14" t="s">
        <v>150</v>
      </c>
      <c r="D10" s="14" t="s">
        <v>152</v>
      </c>
      <c r="E10" s="14" t="s">
        <v>719</v>
      </c>
      <c r="F10" s="16"/>
      <c r="G10" s="16"/>
      <c r="H10" s="16" t="n">
        <v>0</v>
      </c>
      <c r="I10" s="16" t="n">
        <v>0</v>
      </c>
      <c r="J10" s="14" t="str">
        <f aca="false">IF(AND(F10&lt;&gt;"",G10&lt;&gt;"",H10=1,I10=1),"READY","OPEN")</f>
        <v>OPEN</v>
      </c>
      <c r="K10" s="4"/>
      <c r="L10" s="4"/>
      <c r="M10" s="4"/>
      <c r="N10" s="4"/>
    </row>
    <row r="11" customFormat="false" ht="15" hidden="false" customHeight="false" outlineLevel="0" collapsed="false">
      <c r="A11" s="14" t="s">
        <v>720</v>
      </c>
      <c r="B11" s="14" t="s">
        <v>149</v>
      </c>
      <c r="C11" s="14" t="s">
        <v>150</v>
      </c>
      <c r="D11" s="14" t="s">
        <v>152</v>
      </c>
      <c r="E11" s="14" t="s">
        <v>721</v>
      </c>
      <c r="F11" s="16"/>
      <c r="G11" s="16"/>
      <c r="H11" s="16" t="n">
        <v>0</v>
      </c>
      <c r="I11" s="16" t="n">
        <v>0</v>
      </c>
      <c r="J11" s="14" t="str">
        <f aca="false">IF(AND(F11&lt;&gt;"",G11&lt;&gt;"",H11=1,I11=1),"READY","OPEN")</f>
        <v>OPEN</v>
      </c>
      <c r="K11" s="4"/>
      <c r="L11" s="4"/>
      <c r="M11" s="4"/>
      <c r="N11" s="4"/>
    </row>
    <row r="12" customFormat="false" ht="15" hidden="false" customHeight="false" outlineLevel="0" collapsed="false">
      <c r="A12" s="14" t="s">
        <v>722</v>
      </c>
      <c r="B12" s="14" t="s">
        <v>156</v>
      </c>
      <c r="C12" s="14" t="s">
        <v>150</v>
      </c>
      <c r="D12" s="14" t="s">
        <v>157</v>
      </c>
      <c r="E12" s="14" t="s">
        <v>713</v>
      </c>
      <c r="F12" s="16"/>
      <c r="G12" s="16"/>
      <c r="H12" s="16" t="n">
        <v>0</v>
      </c>
      <c r="I12" s="16" t="n">
        <v>0</v>
      </c>
      <c r="J12" s="14" t="str">
        <f aca="false">IF(AND(F12&lt;&gt;"",G12&lt;&gt;"",H12=1,I12=1),"READY","OPEN")</f>
        <v>OPEN</v>
      </c>
      <c r="K12" s="4"/>
      <c r="L12" s="4"/>
      <c r="M12" s="4"/>
      <c r="N12" s="4"/>
    </row>
    <row r="13" customFormat="false" ht="15" hidden="false" customHeight="false" outlineLevel="0" collapsed="false">
      <c r="A13" s="14" t="s">
        <v>723</v>
      </c>
      <c r="B13" s="14" t="s">
        <v>156</v>
      </c>
      <c r="C13" s="14" t="s">
        <v>150</v>
      </c>
      <c r="D13" s="14" t="s">
        <v>157</v>
      </c>
      <c r="E13" s="14" t="s">
        <v>715</v>
      </c>
      <c r="F13" s="16"/>
      <c r="G13" s="16"/>
      <c r="H13" s="16" t="n">
        <v>0</v>
      </c>
      <c r="I13" s="16" t="n">
        <v>0</v>
      </c>
      <c r="J13" s="14" t="str">
        <f aca="false">IF(AND(F13&lt;&gt;"",G13&lt;&gt;"",H13=1,I13=1),"READY","OPEN")</f>
        <v>OPEN</v>
      </c>
      <c r="K13" s="4"/>
      <c r="L13" s="4"/>
      <c r="M13" s="4"/>
      <c r="N13" s="4"/>
    </row>
    <row r="14" customFormat="false" ht="15" hidden="false" customHeight="false" outlineLevel="0" collapsed="false">
      <c r="A14" s="14" t="s">
        <v>724</v>
      </c>
      <c r="B14" s="14" t="s">
        <v>156</v>
      </c>
      <c r="C14" s="14" t="s">
        <v>150</v>
      </c>
      <c r="D14" s="14" t="s">
        <v>157</v>
      </c>
      <c r="E14" s="14" t="s">
        <v>717</v>
      </c>
      <c r="F14" s="16"/>
      <c r="G14" s="16"/>
      <c r="H14" s="16" t="n">
        <v>0</v>
      </c>
      <c r="I14" s="16" t="n">
        <v>0</v>
      </c>
      <c r="J14" s="14" t="str">
        <f aca="false">IF(AND(F14&lt;&gt;"",G14&lt;&gt;"",H14=1,I14=1),"READY","OPEN")</f>
        <v>OPEN</v>
      </c>
      <c r="K14" s="4"/>
      <c r="L14" s="4"/>
      <c r="M14" s="4"/>
      <c r="N14" s="4"/>
    </row>
    <row r="15" customFormat="false" ht="15" hidden="false" customHeight="false" outlineLevel="0" collapsed="false">
      <c r="A15" s="14" t="s">
        <v>725</v>
      </c>
      <c r="B15" s="14" t="s">
        <v>156</v>
      </c>
      <c r="C15" s="14" t="s">
        <v>150</v>
      </c>
      <c r="D15" s="14" t="s">
        <v>157</v>
      </c>
      <c r="E15" s="14" t="s">
        <v>719</v>
      </c>
      <c r="F15" s="16"/>
      <c r="G15" s="16"/>
      <c r="H15" s="16" t="n">
        <v>0</v>
      </c>
      <c r="I15" s="16" t="n">
        <v>0</v>
      </c>
      <c r="J15" s="14" t="str">
        <f aca="false">IF(AND(F15&lt;&gt;"",G15&lt;&gt;"",H15=1,I15=1),"READY","OPEN")</f>
        <v>OPEN</v>
      </c>
      <c r="K15" s="4"/>
      <c r="L15" s="4"/>
      <c r="M15" s="4"/>
      <c r="N15" s="4"/>
    </row>
    <row r="16" customFormat="false" ht="15" hidden="false" customHeight="false" outlineLevel="0" collapsed="false">
      <c r="A16" s="14" t="s">
        <v>726</v>
      </c>
      <c r="B16" s="14" t="s">
        <v>160</v>
      </c>
      <c r="C16" s="14" t="s">
        <v>150</v>
      </c>
      <c r="D16" s="14" t="s">
        <v>161</v>
      </c>
      <c r="E16" s="14" t="s">
        <v>713</v>
      </c>
      <c r="F16" s="16"/>
      <c r="G16" s="16"/>
      <c r="H16" s="16" t="n">
        <v>0</v>
      </c>
      <c r="I16" s="16" t="n">
        <v>0</v>
      </c>
      <c r="J16" s="14" t="str">
        <f aca="false">IF(AND(F16&lt;&gt;"",G16&lt;&gt;"",H16=1,I16=1),"READY","OPEN")</f>
        <v>OPEN</v>
      </c>
      <c r="K16" s="4"/>
      <c r="L16" s="4"/>
      <c r="M16" s="4"/>
      <c r="N16" s="4"/>
    </row>
    <row r="17" customFormat="false" ht="15" hidden="false" customHeight="false" outlineLevel="0" collapsed="false">
      <c r="A17" s="14" t="s">
        <v>727</v>
      </c>
      <c r="B17" s="14" t="s">
        <v>160</v>
      </c>
      <c r="C17" s="14" t="s">
        <v>150</v>
      </c>
      <c r="D17" s="14" t="s">
        <v>161</v>
      </c>
      <c r="E17" s="14" t="s">
        <v>715</v>
      </c>
      <c r="F17" s="16"/>
      <c r="G17" s="16"/>
      <c r="H17" s="16" t="n">
        <v>0</v>
      </c>
      <c r="I17" s="16" t="n">
        <v>0</v>
      </c>
      <c r="J17" s="14" t="str">
        <f aca="false">IF(AND(F17&lt;&gt;"",G17&lt;&gt;"",H17=1,I17=1),"READY","OPEN")</f>
        <v>OPEN</v>
      </c>
      <c r="K17" s="4"/>
      <c r="L17" s="4"/>
      <c r="M17" s="4"/>
      <c r="N17" s="4"/>
    </row>
    <row r="18" customFormat="false" ht="15" hidden="false" customHeight="false" outlineLevel="0" collapsed="false">
      <c r="A18" s="14" t="s">
        <v>728</v>
      </c>
      <c r="B18" s="14" t="s">
        <v>160</v>
      </c>
      <c r="C18" s="14" t="s">
        <v>150</v>
      </c>
      <c r="D18" s="14" t="s">
        <v>161</v>
      </c>
      <c r="E18" s="14" t="s">
        <v>717</v>
      </c>
      <c r="F18" s="16"/>
      <c r="G18" s="16"/>
      <c r="H18" s="16" t="n">
        <v>0</v>
      </c>
      <c r="I18" s="16" t="n">
        <v>0</v>
      </c>
      <c r="J18" s="14" t="str">
        <f aca="false">IF(AND(F18&lt;&gt;"",G18&lt;&gt;"",H18=1,I18=1),"READY","OPEN")</f>
        <v>OPEN</v>
      </c>
      <c r="K18" s="4"/>
      <c r="L18" s="4"/>
      <c r="M18" s="4"/>
      <c r="N18" s="4"/>
    </row>
    <row r="19" customFormat="false" ht="15" hidden="false" customHeight="false" outlineLevel="0" collapsed="false">
      <c r="A19" s="14" t="s">
        <v>729</v>
      </c>
      <c r="B19" s="14" t="s">
        <v>160</v>
      </c>
      <c r="C19" s="14" t="s">
        <v>150</v>
      </c>
      <c r="D19" s="14" t="s">
        <v>161</v>
      </c>
      <c r="E19" s="14" t="s">
        <v>719</v>
      </c>
      <c r="F19" s="16"/>
      <c r="G19" s="16"/>
      <c r="H19" s="16" t="n">
        <v>0</v>
      </c>
      <c r="I19" s="16" t="n">
        <v>0</v>
      </c>
      <c r="J19" s="14" t="str">
        <f aca="false">IF(AND(F19&lt;&gt;"",G19&lt;&gt;"",H19=1,I19=1),"READY","OPEN")</f>
        <v>OPEN</v>
      </c>
      <c r="K19" s="4"/>
      <c r="L19" s="4"/>
      <c r="M19" s="4"/>
      <c r="N19" s="4"/>
    </row>
    <row r="20" customFormat="false" ht="15" hidden="false" customHeight="false" outlineLevel="0" collapsed="false">
      <c r="A20" s="14" t="s">
        <v>730</v>
      </c>
      <c r="B20" s="14" t="s">
        <v>163</v>
      </c>
      <c r="C20" s="14" t="s">
        <v>164</v>
      </c>
      <c r="D20" s="14" t="s">
        <v>166</v>
      </c>
      <c r="E20" s="14" t="s">
        <v>713</v>
      </c>
      <c r="F20" s="16"/>
      <c r="G20" s="16"/>
      <c r="H20" s="16" t="n">
        <v>0</v>
      </c>
      <c r="I20" s="16" t="n">
        <v>0</v>
      </c>
      <c r="J20" s="14" t="str">
        <f aca="false">IF(AND(F20&lt;&gt;"",G20&lt;&gt;"",H20=1,I20=1),"READY","OPEN")</f>
        <v>OPEN</v>
      </c>
      <c r="K20" s="4"/>
      <c r="L20" s="4"/>
      <c r="M20" s="4"/>
      <c r="N20" s="4"/>
    </row>
    <row r="21" customFormat="false" ht="15" hidden="false" customHeight="false" outlineLevel="0" collapsed="false">
      <c r="A21" s="14" t="s">
        <v>731</v>
      </c>
      <c r="B21" s="14" t="s">
        <v>163</v>
      </c>
      <c r="C21" s="14" t="s">
        <v>164</v>
      </c>
      <c r="D21" s="14" t="s">
        <v>166</v>
      </c>
      <c r="E21" s="14" t="s">
        <v>715</v>
      </c>
      <c r="F21" s="16"/>
      <c r="G21" s="16"/>
      <c r="H21" s="16" t="n">
        <v>0</v>
      </c>
      <c r="I21" s="16" t="n">
        <v>0</v>
      </c>
      <c r="J21" s="14" t="str">
        <f aca="false">IF(AND(F21&lt;&gt;"",G21&lt;&gt;"",H21=1,I21=1),"READY","OPEN")</f>
        <v>OPEN</v>
      </c>
      <c r="K21" s="4"/>
      <c r="L21" s="4"/>
      <c r="M21" s="4"/>
      <c r="N21" s="4"/>
    </row>
    <row r="22" customFormat="false" ht="15" hidden="false" customHeight="false" outlineLevel="0" collapsed="false">
      <c r="A22" s="14" t="s">
        <v>732</v>
      </c>
      <c r="B22" s="14" t="s">
        <v>163</v>
      </c>
      <c r="C22" s="14" t="s">
        <v>164</v>
      </c>
      <c r="D22" s="14" t="s">
        <v>166</v>
      </c>
      <c r="E22" s="14" t="s">
        <v>717</v>
      </c>
      <c r="F22" s="16"/>
      <c r="G22" s="16"/>
      <c r="H22" s="16" t="n">
        <v>0</v>
      </c>
      <c r="I22" s="16" t="n">
        <v>0</v>
      </c>
      <c r="J22" s="14" t="str">
        <f aca="false">IF(AND(F22&lt;&gt;"",G22&lt;&gt;"",H22=1,I22=1),"READY","OPEN")</f>
        <v>OPEN</v>
      </c>
      <c r="K22" s="4"/>
      <c r="L22" s="4"/>
      <c r="M22" s="4"/>
      <c r="N22" s="4"/>
    </row>
    <row r="23" customFormat="false" ht="15" hidden="false" customHeight="false" outlineLevel="0" collapsed="false">
      <c r="A23" s="14" t="s">
        <v>733</v>
      </c>
      <c r="B23" s="14" t="s">
        <v>163</v>
      </c>
      <c r="C23" s="14" t="s">
        <v>164</v>
      </c>
      <c r="D23" s="14" t="s">
        <v>166</v>
      </c>
      <c r="E23" s="14" t="s">
        <v>719</v>
      </c>
      <c r="F23" s="16"/>
      <c r="G23" s="16"/>
      <c r="H23" s="16" t="n">
        <v>0</v>
      </c>
      <c r="I23" s="16" t="n">
        <v>0</v>
      </c>
      <c r="J23" s="14" t="str">
        <f aca="false">IF(AND(F23&lt;&gt;"",G23&lt;&gt;"",H23=1,I23=1),"READY","OPEN")</f>
        <v>OPEN</v>
      </c>
      <c r="K23" s="4"/>
      <c r="L23" s="4"/>
      <c r="M23" s="4"/>
      <c r="N23" s="4"/>
    </row>
    <row r="24" customFormat="false" ht="15" hidden="false" customHeight="false" outlineLevel="0" collapsed="false">
      <c r="A24" s="14" t="s">
        <v>734</v>
      </c>
      <c r="B24" s="14" t="s">
        <v>163</v>
      </c>
      <c r="C24" s="14" t="s">
        <v>164</v>
      </c>
      <c r="D24" s="14" t="s">
        <v>166</v>
      </c>
      <c r="E24" s="14" t="s">
        <v>721</v>
      </c>
      <c r="F24" s="16"/>
      <c r="G24" s="16"/>
      <c r="H24" s="16" t="n">
        <v>0</v>
      </c>
      <c r="I24" s="16" t="n">
        <v>0</v>
      </c>
      <c r="J24" s="14" t="str">
        <f aca="false">IF(AND(F24&lt;&gt;"",G24&lt;&gt;"",H24=1,I24=1),"READY","OPEN")</f>
        <v>OPEN</v>
      </c>
      <c r="K24" s="4"/>
      <c r="L24" s="4"/>
      <c r="M24" s="4"/>
      <c r="N24" s="4"/>
    </row>
    <row r="25" customFormat="false" ht="15" hidden="false" customHeight="false" outlineLevel="0" collapsed="false">
      <c r="A25" s="14" t="s">
        <v>735</v>
      </c>
      <c r="B25" s="14" t="s">
        <v>168</v>
      </c>
      <c r="C25" s="14" t="s">
        <v>164</v>
      </c>
      <c r="D25" s="14" t="s">
        <v>169</v>
      </c>
      <c r="E25" s="14" t="s">
        <v>713</v>
      </c>
      <c r="F25" s="16"/>
      <c r="G25" s="16"/>
      <c r="H25" s="16" t="n">
        <v>0</v>
      </c>
      <c r="I25" s="16" t="n">
        <v>0</v>
      </c>
      <c r="J25" s="14" t="str">
        <f aca="false">IF(AND(F25&lt;&gt;"",G25&lt;&gt;"",H25=1,I25=1),"READY","OPEN")</f>
        <v>OPEN</v>
      </c>
      <c r="K25" s="4"/>
      <c r="L25" s="4"/>
      <c r="M25" s="4"/>
      <c r="N25" s="4"/>
    </row>
    <row r="26" customFormat="false" ht="15" hidden="false" customHeight="false" outlineLevel="0" collapsed="false">
      <c r="A26" s="14" t="s">
        <v>736</v>
      </c>
      <c r="B26" s="14" t="s">
        <v>168</v>
      </c>
      <c r="C26" s="14" t="s">
        <v>164</v>
      </c>
      <c r="D26" s="14" t="s">
        <v>169</v>
      </c>
      <c r="E26" s="14" t="s">
        <v>715</v>
      </c>
      <c r="F26" s="16"/>
      <c r="G26" s="16"/>
      <c r="H26" s="16" t="n">
        <v>0</v>
      </c>
      <c r="I26" s="16" t="n">
        <v>0</v>
      </c>
      <c r="J26" s="14" t="str">
        <f aca="false">IF(AND(F26&lt;&gt;"",G26&lt;&gt;"",H26=1,I26=1),"READY","OPEN")</f>
        <v>OPEN</v>
      </c>
      <c r="K26" s="4"/>
      <c r="L26" s="4"/>
      <c r="M26" s="4"/>
      <c r="N26" s="4"/>
    </row>
    <row r="27" customFormat="false" ht="15" hidden="false" customHeight="false" outlineLevel="0" collapsed="false">
      <c r="A27" s="14" t="s">
        <v>737</v>
      </c>
      <c r="B27" s="14" t="s">
        <v>168</v>
      </c>
      <c r="C27" s="14" t="s">
        <v>164</v>
      </c>
      <c r="D27" s="14" t="s">
        <v>169</v>
      </c>
      <c r="E27" s="14" t="s">
        <v>717</v>
      </c>
      <c r="F27" s="16"/>
      <c r="G27" s="16"/>
      <c r="H27" s="16" t="n">
        <v>0</v>
      </c>
      <c r="I27" s="16" t="n">
        <v>0</v>
      </c>
      <c r="J27" s="14" t="str">
        <f aca="false">IF(AND(F27&lt;&gt;"",G27&lt;&gt;"",H27=1,I27=1),"READY","OPEN")</f>
        <v>OPEN</v>
      </c>
      <c r="K27" s="4"/>
      <c r="L27" s="4"/>
      <c r="M27" s="4"/>
      <c r="N27" s="4"/>
    </row>
    <row r="28" customFormat="false" ht="15" hidden="false" customHeight="false" outlineLevel="0" collapsed="false">
      <c r="A28" s="14" t="s">
        <v>738</v>
      </c>
      <c r="B28" s="14" t="s">
        <v>168</v>
      </c>
      <c r="C28" s="14" t="s">
        <v>164</v>
      </c>
      <c r="D28" s="14" t="s">
        <v>169</v>
      </c>
      <c r="E28" s="14" t="s">
        <v>719</v>
      </c>
      <c r="F28" s="16"/>
      <c r="G28" s="16"/>
      <c r="H28" s="16" t="n">
        <v>0</v>
      </c>
      <c r="I28" s="16" t="n">
        <v>0</v>
      </c>
      <c r="J28" s="14" t="str">
        <f aca="false">IF(AND(F28&lt;&gt;"",G28&lt;&gt;"",H28=1,I28=1),"READY","OPEN")</f>
        <v>OPEN</v>
      </c>
      <c r="K28" s="4"/>
      <c r="L28" s="4"/>
      <c r="M28" s="4"/>
      <c r="N28" s="4"/>
    </row>
    <row r="29" customFormat="false" ht="15" hidden="false" customHeight="false" outlineLevel="0" collapsed="false">
      <c r="A29" s="14" t="s">
        <v>739</v>
      </c>
      <c r="B29" s="14" t="s">
        <v>171</v>
      </c>
      <c r="C29" s="14" t="s">
        <v>164</v>
      </c>
      <c r="D29" s="14" t="s">
        <v>172</v>
      </c>
      <c r="E29" s="14" t="s">
        <v>713</v>
      </c>
      <c r="F29" s="16"/>
      <c r="G29" s="16"/>
      <c r="H29" s="16" t="n">
        <v>0</v>
      </c>
      <c r="I29" s="16" t="n">
        <v>0</v>
      </c>
      <c r="J29" s="14" t="str">
        <f aca="false">IF(AND(F29&lt;&gt;"",G29&lt;&gt;"",H29=1,I29=1),"READY","OPEN")</f>
        <v>OPEN</v>
      </c>
      <c r="K29" s="4"/>
      <c r="L29" s="4"/>
      <c r="M29" s="4"/>
      <c r="N29" s="4"/>
    </row>
    <row r="30" customFormat="false" ht="15" hidden="false" customHeight="false" outlineLevel="0" collapsed="false">
      <c r="A30" s="14" t="s">
        <v>740</v>
      </c>
      <c r="B30" s="14" t="s">
        <v>171</v>
      </c>
      <c r="C30" s="14" t="s">
        <v>164</v>
      </c>
      <c r="D30" s="14" t="s">
        <v>172</v>
      </c>
      <c r="E30" s="14" t="s">
        <v>715</v>
      </c>
      <c r="F30" s="16"/>
      <c r="G30" s="16"/>
      <c r="H30" s="16" t="n">
        <v>0</v>
      </c>
      <c r="I30" s="16" t="n">
        <v>0</v>
      </c>
      <c r="J30" s="14" t="str">
        <f aca="false">IF(AND(F30&lt;&gt;"",G30&lt;&gt;"",H30=1,I30=1),"READY","OPEN")</f>
        <v>OPEN</v>
      </c>
      <c r="K30" s="4"/>
      <c r="L30" s="4"/>
      <c r="M30" s="4"/>
      <c r="N30" s="4"/>
    </row>
    <row r="31" customFormat="false" ht="15" hidden="false" customHeight="false" outlineLevel="0" collapsed="false">
      <c r="A31" s="14" t="s">
        <v>741</v>
      </c>
      <c r="B31" s="14" t="s">
        <v>171</v>
      </c>
      <c r="C31" s="14" t="s">
        <v>164</v>
      </c>
      <c r="D31" s="14" t="s">
        <v>172</v>
      </c>
      <c r="E31" s="14" t="s">
        <v>717</v>
      </c>
      <c r="F31" s="16"/>
      <c r="G31" s="16"/>
      <c r="H31" s="16" t="n">
        <v>0</v>
      </c>
      <c r="I31" s="16" t="n">
        <v>0</v>
      </c>
      <c r="J31" s="14" t="str">
        <f aca="false">IF(AND(F31&lt;&gt;"",G31&lt;&gt;"",H31=1,I31=1),"READY","OPEN")</f>
        <v>OPEN</v>
      </c>
      <c r="K31" s="4"/>
      <c r="L31" s="4"/>
      <c r="M31" s="4"/>
      <c r="N31" s="4"/>
    </row>
    <row r="32" customFormat="false" ht="15" hidden="false" customHeight="false" outlineLevel="0" collapsed="false">
      <c r="A32" s="14" t="s">
        <v>742</v>
      </c>
      <c r="B32" s="14" t="s">
        <v>171</v>
      </c>
      <c r="C32" s="14" t="s">
        <v>164</v>
      </c>
      <c r="D32" s="14" t="s">
        <v>172</v>
      </c>
      <c r="E32" s="14" t="s">
        <v>719</v>
      </c>
      <c r="F32" s="16"/>
      <c r="G32" s="16"/>
      <c r="H32" s="16" t="n">
        <v>0</v>
      </c>
      <c r="I32" s="16" t="n">
        <v>0</v>
      </c>
      <c r="J32" s="14" t="str">
        <f aca="false">IF(AND(F32&lt;&gt;"",G32&lt;&gt;"",H32=1,I32=1),"READY","OPEN")</f>
        <v>OPEN</v>
      </c>
      <c r="K32" s="4"/>
      <c r="L32" s="4"/>
      <c r="M32" s="4"/>
      <c r="N32" s="4"/>
    </row>
    <row r="33" customFormat="false" ht="15" hidden="false" customHeight="false" outlineLevel="0" collapsed="false">
      <c r="A33" s="14" t="s">
        <v>743</v>
      </c>
      <c r="B33" s="14" t="s">
        <v>174</v>
      </c>
      <c r="C33" s="14" t="s">
        <v>175</v>
      </c>
      <c r="D33" s="14" t="s">
        <v>152</v>
      </c>
      <c r="E33" s="14" t="s">
        <v>713</v>
      </c>
      <c r="F33" s="16"/>
      <c r="G33" s="16"/>
      <c r="H33" s="16" t="n">
        <v>0</v>
      </c>
      <c r="I33" s="16" t="n">
        <v>0</v>
      </c>
      <c r="J33" s="14" t="str">
        <f aca="false">IF(AND(F33&lt;&gt;"",G33&lt;&gt;"",H33=1,I33=1),"READY","OPEN")</f>
        <v>OPEN</v>
      </c>
      <c r="K33" s="4"/>
      <c r="L33" s="4"/>
      <c r="M33" s="4"/>
      <c r="N33" s="4"/>
    </row>
    <row r="34" customFormat="false" ht="15" hidden="false" customHeight="false" outlineLevel="0" collapsed="false">
      <c r="A34" s="14" t="s">
        <v>744</v>
      </c>
      <c r="B34" s="14" t="s">
        <v>174</v>
      </c>
      <c r="C34" s="14" t="s">
        <v>175</v>
      </c>
      <c r="D34" s="14" t="s">
        <v>152</v>
      </c>
      <c r="E34" s="14" t="s">
        <v>715</v>
      </c>
      <c r="F34" s="16"/>
      <c r="G34" s="16"/>
      <c r="H34" s="16" t="n">
        <v>0</v>
      </c>
      <c r="I34" s="16" t="n">
        <v>0</v>
      </c>
      <c r="J34" s="14" t="str">
        <f aca="false">IF(AND(F34&lt;&gt;"",G34&lt;&gt;"",H34=1,I34=1),"READY","OPEN")</f>
        <v>OPEN</v>
      </c>
      <c r="K34" s="4"/>
      <c r="L34" s="4"/>
      <c r="M34" s="4"/>
      <c r="N34" s="4"/>
    </row>
    <row r="35" customFormat="false" ht="15" hidden="false" customHeight="false" outlineLevel="0" collapsed="false">
      <c r="A35" s="14" t="s">
        <v>745</v>
      </c>
      <c r="B35" s="14" t="s">
        <v>174</v>
      </c>
      <c r="C35" s="14" t="s">
        <v>175</v>
      </c>
      <c r="D35" s="14" t="s">
        <v>152</v>
      </c>
      <c r="E35" s="14" t="s">
        <v>717</v>
      </c>
      <c r="F35" s="16"/>
      <c r="G35" s="16"/>
      <c r="H35" s="16" t="n">
        <v>0</v>
      </c>
      <c r="I35" s="16" t="n">
        <v>0</v>
      </c>
      <c r="J35" s="14" t="str">
        <f aca="false">IF(AND(F35&lt;&gt;"",G35&lt;&gt;"",H35=1,I35=1),"READY","OPEN")</f>
        <v>OPEN</v>
      </c>
      <c r="K35" s="4"/>
      <c r="L35" s="4"/>
      <c r="M35" s="4"/>
      <c r="N35" s="4"/>
    </row>
    <row r="36" customFormat="false" ht="15" hidden="false" customHeight="false" outlineLevel="0" collapsed="false">
      <c r="A36" s="14" t="s">
        <v>746</v>
      </c>
      <c r="B36" s="14" t="s">
        <v>174</v>
      </c>
      <c r="C36" s="14" t="s">
        <v>175</v>
      </c>
      <c r="D36" s="14" t="s">
        <v>152</v>
      </c>
      <c r="E36" s="14" t="s">
        <v>719</v>
      </c>
      <c r="F36" s="16"/>
      <c r="G36" s="16"/>
      <c r="H36" s="16" t="n">
        <v>0</v>
      </c>
      <c r="I36" s="16" t="n">
        <v>0</v>
      </c>
      <c r="J36" s="14" t="str">
        <f aca="false">IF(AND(F36&lt;&gt;"",G36&lt;&gt;"",H36=1,I36=1),"READY","OPEN")</f>
        <v>OPEN</v>
      </c>
      <c r="K36" s="4"/>
      <c r="L36" s="4"/>
      <c r="M36" s="4"/>
      <c r="N36" s="4"/>
    </row>
    <row r="37" customFormat="false" ht="15" hidden="false" customHeight="false" outlineLevel="0" collapsed="false">
      <c r="A37" s="14" t="s">
        <v>747</v>
      </c>
      <c r="B37" s="14" t="s">
        <v>178</v>
      </c>
      <c r="C37" s="14" t="s">
        <v>175</v>
      </c>
      <c r="D37" s="14" t="s">
        <v>169</v>
      </c>
      <c r="E37" s="14" t="s">
        <v>713</v>
      </c>
      <c r="F37" s="16"/>
      <c r="G37" s="16"/>
      <c r="H37" s="16" t="n">
        <v>0</v>
      </c>
      <c r="I37" s="16" t="n">
        <v>0</v>
      </c>
      <c r="J37" s="14" t="str">
        <f aca="false">IF(AND(F37&lt;&gt;"",G37&lt;&gt;"",H37=1,I37=1),"READY","OPEN")</f>
        <v>OPEN</v>
      </c>
      <c r="K37" s="4"/>
      <c r="L37" s="4"/>
      <c r="M37" s="4"/>
      <c r="N37" s="4"/>
    </row>
    <row r="38" customFormat="false" ht="15" hidden="false" customHeight="false" outlineLevel="0" collapsed="false">
      <c r="A38" s="14" t="s">
        <v>748</v>
      </c>
      <c r="B38" s="14" t="s">
        <v>178</v>
      </c>
      <c r="C38" s="14" t="s">
        <v>175</v>
      </c>
      <c r="D38" s="14" t="s">
        <v>169</v>
      </c>
      <c r="E38" s="14" t="s">
        <v>715</v>
      </c>
      <c r="F38" s="16"/>
      <c r="G38" s="16"/>
      <c r="H38" s="16" t="n">
        <v>0</v>
      </c>
      <c r="I38" s="16" t="n">
        <v>0</v>
      </c>
      <c r="J38" s="14" t="str">
        <f aca="false">IF(AND(F38&lt;&gt;"",G38&lt;&gt;"",H38=1,I38=1),"READY","OPEN")</f>
        <v>OPEN</v>
      </c>
      <c r="K38" s="4"/>
      <c r="L38" s="4"/>
      <c r="M38" s="4"/>
      <c r="N38" s="4"/>
    </row>
    <row r="39" customFormat="false" ht="15" hidden="false" customHeight="false" outlineLevel="0" collapsed="false">
      <c r="A39" s="14" t="s">
        <v>749</v>
      </c>
      <c r="B39" s="14" t="s">
        <v>178</v>
      </c>
      <c r="C39" s="14" t="s">
        <v>175</v>
      </c>
      <c r="D39" s="14" t="s">
        <v>169</v>
      </c>
      <c r="E39" s="14" t="s">
        <v>717</v>
      </c>
      <c r="F39" s="16"/>
      <c r="G39" s="16"/>
      <c r="H39" s="16" t="n">
        <v>0</v>
      </c>
      <c r="I39" s="16" t="n">
        <v>0</v>
      </c>
      <c r="J39" s="14" t="str">
        <f aca="false">IF(AND(F39&lt;&gt;"",G39&lt;&gt;"",H39=1,I39=1),"READY","OPEN")</f>
        <v>OPEN</v>
      </c>
      <c r="K39" s="4"/>
      <c r="L39" s="4"/>
      <c r="M39" s="4"/>
      <c r="N39" s="4"/>
    </row>
    <row r="40" customFormat="false" ht="15" hidden="false" customHeight="false" outlineLevel="0" collapsed="false">
      <c r="A40" s="14" t="s">
        <v>750</v>
      </c>
      <c r="B40" s="14" t="s">
        <v>178</v>
      </c>
      <c r="C40" s="14" t="s">
        <v>175</v>
      </c>
      <c r="D40" s="14" t="s">
        <v>169</v>
      </c>
      <c r="E40" s="14" t="s">
        <v>719</v>
      </c>
      <c r="F40" s="16"/>
      <c r="G40" s="16"/>
      <c r="H40" s="16" t="n">
        <v>0</v>
      </c>
      <c r="I40" s="16" t="n">
        <v>0</v>
      </c>
      <c r="J40" s="14" t="str">
        <f aca="false">IF(AND(F40&lt;&gt;"",G40&lt;&gt;"",H40=1,I40=1),"READY","OPEN")</f>
        <v>OPEN</v>
      </c>
      <c r="K40" s="4"/>
      <c r="L40" s="4"/>
      <c r="M40" s="4"/>
      <c r="N40" s="4"/>
    </row>
    <row r="41" customFormat="false" ht="15" hidden="false" customHeight="false" outlineLevel="0" collapsed="false">
      <c r="A41" s="14" t="s">
        <v>751</v>
      </c>
      <c r="B41" s="14" t="s">
        <v>180</v>
      </c>
      <c r="C41" s="14" t="s">
        <v>175</v>
      </c>
      <c r="D41" s="14" t="s">
        <v>161</v>
      </c>
      <c r="E41" s="14" t="s">
        <v>713</v>
      </c>
      <c r="F41" s="16"/>
      <c r="G41" s="16"/>
      <c r="H41" s="16" t="n">
        <v>0</v>
      </c>
      <c r="I41" s="16" t="n">
        <v>0</v>
      </c>
      <c r="J41" s="14" t="str">
        <f aca="false">IF(AND(F41&lt;&gt;"",G41&lt;&gt;"",H41=1,I41=1),"READY","OPEN")</f>
        <v>OPEN</v>
      </c>
      <c r="K41" s="4"/>
      <c r="L41" s="4"/>
      <c r="M41" s="4"/>
      <c r="N41" s="4"/>
    </row>
    <row r="42" customFormat="false" ht="15" hidden="false" customHeight="false" outlineLevel="0" collapsed="false">
      <c r="A42" s="14" t="s">
        <v>752</v>
      </c>
      <c r="B42" s="14" t="s">
        <v>180</v>
      </c>
      <c r="C42" s="14" t="s">
        <v>175</v>
      </c>
      <c r="D42" s="14" t="s">
        <v>161</v>
      </c>
      <c r="E42" s="14" t="s">
        <v>715</v>
      </c>
      <c r="F42" s="16"/>
      <c r="G42" s="16"/>
      <c r="H42" s="16" t="n">
        <v>0</v>
      </c>
      <c r="I42" s="16" t="n">
        <v>0</v>
      </c>
      <c r="J42" s="14" t="str">
        <f aca="false">IF(AND(F42&lt;&gt;"",G42&lt;&gt;"",H42=1,I42=1),"READY","OPEN")</f>
        <v>OPEN</v>
      </c>
      <c r="K42" s="4"/>
      <c r="L42" s="4"/>
      <c r="M42" s="4"/>
      <c r="N42" s="4"/>
    </row>
    <row r="43" customFormat="false" ht="15" hidden="false" customHeight="false" outlineLevel="0" collapsed="false">
      <c r="A43" s="14" t="s">
        <v>753</v>
      </c>
      <c r="B43" s="14" t="s">
        <v>180</v>
      </c>
      <c r="C43" s="14" t="s">
        <v>175</v>
      </c>
      <c r="D43" s="14" t="s">
        <v>161</v>
      </c>
      <c r="E43" s="14" t="s">
        <v>717</v>
      </c>
      <c r="F43" s="16"/>
      <c r="G43" s="16"/>
      <c r="H43" s="16" t="n">
        <v>0</v>
      </c>
      <c r="I43" s="16" t="n">
        <v>0</v>
      </c>
      <c r="J43" s="14" t="str">
        <f aca="false">IF(AND(F43&lt;&gt;"",G43&lt;&gt;"",H43=1,I43=1),"READY","OPEN")</f>
        <v>OPEN</v>
      </c>
      <c r="K43" s="4"/>
      <c r="L43" s="4"/>
      <c r="M43" s="4"/>
      <c r="N43" s="4"/>
    </row>
    <row r="44" customFormat="false" ht="15" hidden="false" customHeight="false" outlineLevel="0" collapsed="false">
      <c r="A44" s="14" t="s">
        <v>754</v>
      </c>
      <c r="B44" s="14" t="s">
        <v>180</v>
      </c>
      <c r="C44" s="14" t="s">
        <v>175</v>
      </c>
      <c r="D44" s="14" t="s">
        <v>161</v>
      </c>
      <c r="E44" s="14" t="s">
        <v>719</v>
      </c>
      <c r="F44" s="16"/>
      <c r="G44" s="16"/>
      <c r="H44" s="16" t="n">
        <v>0</v>
      </c>
      <c r="I44" s="16" t="n">
        <v>0</v>
      </c>
      <c r="J44" s="14" t="str">
        <f aca="false">IF(AND(F44&lt;&gt;"",G44&lt;&gt;"",H44=1,I44=1),"READY","OPEN")</f>
        <v>OPEN</v>
      </c>
      <c r="K44" s="4"/>
      <c r="L44" s="4"/>
      <c r="M44" s="4"/>
      <c r="N44" s="4"/>
    </row>
    <row r="45" customFormat="false" ht="15" hidden="false" customHeight="false" outlineLevel="0" collapsed="false">
      <c r="A45" s="14" t="s">
        <v>755</v>
      </c>
      <c r="B45" s="14" t="s">
        <v>180</v>
      </c>
      <c r="C45" s="14" t="s">
        <v>175</v>
      </c>
      <c r="D45" s="14" t="s">
        <v>161</v>
      </c>
      <c r="E45" s="14" t="s">
        <v>721</v>
      </c>
      <c r="F45" s="16"/>
      <c r="G45" s="16"/>
      <c r="H45" s="16" t="n">
        <v>0</v>
      </c>
      <c r="I45" s="16" t="n">
        <v>0</v>
      </c>
      <c r="J45" s="14" t="str">
        <f aca="false">IF(AND(F45&lt;&gt;"",G45&lt;&gt;"",H45=1,I45=1),"READY","OPEN")</f>
        <v>OPEN</v>
      </c>
      <c r="K45" s="4"/>
      <c r="L45" s="4"/>
      <c r="M45" s="4"/>
      <c r="N45" s="4"/>
    </row>
    <row r="46" customFormat="false" ht="15" hidden="false" customHeight="false" outlineLevel="0" collapsed="false">
      <c r="A46" s="14" t="s">
        <v>756</v>
      </c>
      <c r="B46" s="14" t="s">
        <v>182</v>
      </c>
      <c r="C46" s="14" t="s">
        <v>183</v>
      </c>
      <c r="D46" s="14" t="s">
        <v>166</v>
      </c>
      <c r="E46" s="14" t="s">
        <v>713</v>
      </c>
      <c r="F46" s="16"/>
      <c r="G46" s="16"/>
      <c r="H46" s="16" t="n">
        <v>0</v>
      </c>
      <c r="I46" s="16" t="n">
        <v>0</v>
      </c>
      <c r="J46" s="14" t="str">
        <f aca="false">IF(AND(F46&lt;&gt;"",G46&lt;&gt;"",H46=1,I46=1),"READY","OPEN")</f>
        <v>OPEN</v>
      </c>
      <c r="K46" s="4"/>
      <c r="L46" s="4"/>
      <c r="M46" s="4"/>
      <c r="N46" s="4"/>
    </row>
    <row r="47" customFormat="false" ht="15" hidden="false" customHeight="false" outlineLevel="0" collapsed="false">
      <c r="A47" s="14" t="s">
        <v>757</v>
      </c>
      <c r="B47" s="14" t="s">
        <v>182</v>
      </c>
      <c r="C47" s="14" t="s">
        <v>183</v>
      </c>
      <c r="D47" s="14" t="s">
        <v>166</v>
      </c>
      <c r="E47" s="14" t="s">
        <v>715</v>
      </c>
      <c r="F47" s="16"/>
      <c r="G47" s="16"/>
      <c r="H47" s="16" t="n">
        <v>0</v>
      </c>
      <c r="I47" s="16" t="n">
        <v>0</v>
      </c>
      <c r="J47" s="14" t="str">
        <f aca="false">IF(AND(F47&lt;&gt;"",G47&lt;&gt;"",H47=1,I47=1),"READY","OPEN")</f>
        <v>OPEN</v>
      </c>
      <c r="K47" s="4"/>
      <c r="L47" s="4"/>
      <c r="M47" s="4"/>
      <c r="N47" s="4"/>
    </row>
    <row r="48" customFormat="false" ht="15" hidden="false" customHeight="false" outlineLevel="0" collapsed="false">
      <c r="A48" s="14" t="s">
        <v>758</v>
      </c>
      <c r="B48" s="14" t="s">
        <v>182</v>
      </c>
      <c r="C48" s="14" t="s">
        <v>183</v>
      </c>
      <c r="D48" s="14" t="s">
        <v>166</v>
      </c>
      <c r="E48" s="14" t="s">
        <v>717</v>
      </c>
      <c r="F48" s="16"/>
      <c r="G48" s="16"/>
      <c r="H48" s="16" t="n">
        <v>0</v>
      </c>
      <c r="I48" s="16" t="n">
        <v>0</v>
      </c>
      <c r="J48" s="14" t="str">
        <f aca="false">IF(AND(F48&lt;&gt;"",G48&lt;&gt;"",H48=1,I48=1),"READY","OPEN")</f>
        <v>OPEN</v>
      </c>
      <c r="K48" s="4"/>
      <c r="L48" s="4"/>
      <c r="M48" s="4"/>
      <c r="N48" s="4"/>
    </row>
    <row r="49" customFormat="false" ht="15" hidden="false" customHeight="false" outlineLevel="0" collapsed="false">
      <c r="A49" s="14" t="s">
        <v>759</v>
      </c>
      <c r="B49" s="14" t="s">
        <v>182</v>
      </c>
      <c r="C49" s="14" t="s">
        <v>183</v>
      </c>
      <c r="D49" s="14" t="s">
        <v>166</v>
      </c>
      <c r="E49" s="14" t="s">
        <v>719</v>
      </c>
      <c r="F49" s="16"/>
      <c r="G49" s="16"/>
      <c r="H49" s="16" t="n">
        <v>0</v>
      </c>
      <c r="I49" s="16" t="n">
        <v>0</v>
      </c>
      <c r="J49" s="14" t="str">
        <f aca="false">IF(AND(F49&lt;&gt;"",G49&lt;&gt;"",H49=1,I49=1),"READY","OPEN")</f>
        <v>OPEN</v>
      </c>
      <c r="K49" s="4"/>
      <c r="L49" s="4"/>
      <c r="M49" s="4"/>
      <c r="N49" s="4"/>
    </row>
    <row r="50" customFormat="false" ht="15" hidden="false" customHeight="false" outlineLevel="0" collapsed="false">
      <c r="A50" s="14" t="s">
        <v>760</v>
      </c>
      <c r="B50" s="14" t="s">
        <v>186</v>
      </c>
      <c r="C50" s="14" t="s">
        <v>183</v>
      </c>
      <c r="D50" s="14" t="s">
        <v>157</v>
      </c>
      <c r="E50" s="14" t="s">
        <v>713</v>
      </c>
      <c r="F50" s="16"/>
      <c r="G50" s="16"/>
      <c r="H50" s="16" t="n">
        <v>0</v>
      </c>
      <c r="I50" s="16" t="n">
        <v>0</v>
      </c>
      <c r="J50" s="14" t="str">
        <f aca="false">IF(AND(F50&lt;&gt;"",G50&lt;&gt;"",H50=1,I50=1),"READY","OPEN")</f>
        <v>OPEN</v>
      </c>
      <c r="K50" s="4"/>
      <c r="L50" s="4"/>
      <c r="M50" s="4"/>
      <c r="N50" s="4"/>
    </row>
    <row r="51" customFormat="false" ht="15" hidden="false" customHeight="false" outlineLevel="0" collapsed="false">
      <c r="A51" s="14" t="s">
        <v>761</v>
      </c>
      <c r="B51" s="14" t="s">
        <v>186</v>
      </c>
      <c r="C51" s="14" t="s">
        <v>183</v>
      </c>
      <c r="D51" s="14" t="s">
        <v>157</v>
      </c>
      <c r="E51" s="14" t="s">
        <v>715</v>
      </c>
      <c r="F51" s="16"/>
      <c r="G51" s="16"/>
      <c r="H51" s="16" t="n">
        <v>0</v>
      </c>
      <c r="I51" s="16" t="n">
        <v>0</v>
      </c>
      <c r="J51" s="14" t="str">
        <f aca="false">IF(AND(F51&lt;&gt;"",G51&lt;&gt;"",H51=1,I51=1),"READY","OPEN")</f>
        <v>OPEN</v>
      </c>
      <c r="K51" s="4"/>
      <c r="L51" s="4"/>
      <c r="M51" s="4"/>
      <c r="N51" s="4"/>
    </row>
    <row r="52" customFormat="false" ht="15" hidden="false" customHeight="false" outlineLevel="0" collapsed="false">
      <c r="A52" s="14" t="s">
        <v>762</v>
      </c>
      <c r="B52" s="14" t="s">
        <v>186</v>
      </c>
      <c r="C52" s="14" t="s">
        <v>183</v>
      </c>
      <c r="D52" s="14" t="s">
        <v>157</v>
      </c>
      <c r="E52" s="14" t="s">
        <v>717</v>
      </c>
      <c r="F52" s="16"/>
      <c r="G52" s="16"/>
      <c r="H52" s="16" t="n">
        <v>0</v>
      </c>
      <c r="I52" s="16" t="n">
        <v>0</v>
      </c>
      <c r="J52" s="14" t="str">
        <f aca="false">IF(AND(F52&lt;&gt;"",G52&lt;&gt;"",H52=1,I52=1),"READY","OPEN")</f>
        <v>OPEN</v>
      </c>
      <c r="K52" s="4"/>
      <c r="L52" s="4"/>
      <c r="M52" s="4"/>
      <c r="N52" s="4"/>
    </row>
    <row r="53" customFormat="false" ht="15" hidden="false" customHeight="false" outlineLevel="0" collapsed="false">
      <c r="A53" s="14" t="s">
        <v>763</v>
      </c>
      <c r="B53" s="14" t="s">
        <v>186</v>
      </c>
      <c r="C53" s="14" t="s">
        <v>183</v>
      </c>
      <c r="D53" s="14" t="s">
        <v>157</v>
      </c>
      <c r="E53" s="14" t="s">
        <v>719</v>
      </c>
      <c r="F53" s="16"/>
      <c r="G53" s="16"/>
      <c r="H53" s="16" t="n">
        <v>0</v>
      </c>
      <c r="I53" s="16" t="n">
        <v>0</v>
      </c>
      <c r="J53" s="14" t="str">
        <f aca="false">IF(AND(F53&lt;&gt;"",G53&lt;&gt;"",H53=1,I53=1),"READY","OPEN")</f>
        <v>OPEN</v>
      </c>
      <c r="K53" s="4"/>
      <c r="L53" s="4"/>
      <c r="M53" s="4"/>
      <c r="N53" s="4"/>
    </row>
    <row r="54" customFormat="false" ht="15" hidden="false" customHeight="false" outlineLevel="0" collapsed="false">
      <c r="A54" s="14" t="s">
        <v>764</v>
      </c>
      <c r="B54" s="14" t="s">
        <v>186</v>
      </c>
      <c r="C54" s="14" t="s">
        <v>183</v>
      </c>
      <c r="D54" s="14" t="s">
        <v>157</v>
      </c>
      <c r="E54" s="14" t="s">
        <v>721</v>
      </c>
      <c r="F54" s="16"/>
      <c r="G54" s="16"/>
      <c r="H54" s="16" t="n">
        <v>0</v>
      </c>
      <c r="I54" s="16" t="n">
        <v>0</v>
      </c>
      <c r="J54" s="14" t="str">
        <f aca="false">IF(AND(F54&lt;&gt;"",G54&lt;&gt;"",H54=1,I54=1),"READY","OPEN")</f>
        <v>OPEN</v>
      </c>
      <c r="K54" s="4"/>
      <c r="L54" s="4"/>
      <c r="M54" s="4"/>
      <c r="N54" s="4"/>
    </row>
    <row r="55" customFormat="false" ht="15" hidden="false" customHeight="false" outlineLevel="0" collapsed="false">
      <c r="A55" s="14" t="s">
        <v>765</v>
      </c>
      <c r="B55" s="14" t="s">
        <v>188</v>
      </c>
      <c r="C55" s="14" t="s">
        <v>183</v>
      </c>
      <c r="D55" s="14" t="s">
        <v>172</v>
      </c>
      <c r="E55" s="14" t="s">
        <v>713</v>
      </c>
      <c r="F55" s="16"/>
      <c r="G55" s="16"/>
      <c r="H55" s="16" t="n">
        <v>0</v>
      </c>
      <c r="I55" s="16" t="n">
        <v>0</v>
      </c>
      <c r="J55" s="14" t="str">
        <f aca="false">IF(AND(F55&lt;&gt;"",G55&lt;&gt;"",H55=1,I55=1),"READY","OPEN")</f>
        <v>OPEN</v>
      </c>
      <c r="K55" s="4"/>
      <c r="L55" s="4"/>
      <c r="M55" s="4"/>
      <c r="N55" s="4"/>
    </row>
    <row r="56" customFormat="false" ht="15" hidden="false" customHeight="false" outlineLevel="0" collapsed="false">
      <c r="A56" s="14" t="s">
        <v>766</v>
      </c>
      <c r="B56" s="14" t="s">
        <v>188</v>
      </c>
      <c r="C56" s="14" t="s">
        <v>183</v>
      </c>
      <c r="D56" s="14" t="s">
        <v>172</v>
      </c>
      <c r="E56" s="14" t="s">
        <v>715</v>
      </c>
      <c r="F56" s="16"/>
      <c r="G56" s="16"/>
      <c r="H56" s="16" t="n">
        <v>0</v>
      </c>
      <c r="I56" s="16" t="n">
        <v>0</v>
      </c>
      <c r="J56" s="14" t="str">
        <f aca="false">IF(AND(F56&lt;&gt;"",G56&lt;&gt;"",H56=1,I56=1),"READY","OPEN")</f>
        <v>OPEN</v>
      </c>
      <c r="K56" s="4"/>
      <c r="L56" s="4"/>
      <c r="M56" s="4"/>
      <c r="N56" s="4"/>
    </row>
    <row r="57" customFormat="false" ht="15" hidden="false" customHeight="false" outlineLevel="0" collapsed="false">
      <c r="A57" s="14" t="s">
        <v>767</v>
      </c>
      <c r="B57" s="14" t="s">
        <v>188</v>
      </c>
      <c r="C57" s="14" t="s">
        <v>183</v>
      </c>
      <c r="D57" s="14" t="s">
        <v>172</v>
      </c>
      <c r="E57" s="14" t="s">
        <v>717</v>
      </c>
      <c r="F57" s="16"/>
      <c r="G57" s="16"/>
      <c r="H57" s="16" t="n">
        <v>0</v>
      </c>
      <c r="I57" s="16" t="n">
        <v>0</v>
      </c>
      <c r="J57" s="14" t="str">
        <f aca="false">IF(AND(F57&lt;&gt;"",G57&lt;&gt;"",H57=1,I57=1),"READY","OPEN")</f>
        <v>OPEN</v>
      </c>
      <c r="K57" s="4"/>
      <c r="L57" s="4"/>
      <c r="M57" s="4"/>
      <c r="N57" s="4"/>
    </row>
    <row r="58" customFormat="false" ht="15" hidden="false" customHeight="false" outlineLevel="0" collapsed="false">
      <c r="A58" s="14" t="s">
        <v>768</v>
      </c>
      <c r="B58" s="14" t="s">
        <v>188</v>
      </c>
      <c r="C58" s="14" t="s">
        <v>183</v>
      </c>
      <c r="D58" s="14" t="s">
        <v>172</v>
      </c>
      <c r="E58" s="14" t="s">
        <v>719</v>
      </c>
      <c r="F58" s="16"/>
      <c r="G58" s="16"/>
      <c r="H58" s="16" t="n">
        <v>0</v>
      </c>
      <c r="I58" s="16" t="n">
        <v>0</v>
      </c>
      <c r="J58" s="14" t="str">
        <f aca="false">IF(AND(F58&lt;&gt;"",G58&lt;&gt;"",H58=1,I58=1),"READY","OPEN")</f>
        <v>OPEN</v>
      </c>
      <c r="K58" s="4"/>
      <c r="L58" s="4"/>
      <c r="M58" s="4"/>
      <c r="N58" s="4"/>
    </row>
    <row r="59" customFormat="false" ht="15" hidden="false" customHeight="false" outlineLevel="0" collapsed="false">
      <c r="A59" s="14" t="s">
        <v>769</v>
      </c>
      <c r="B59" s="14" t="s">
        <v>190</v>
      </c>
      <c r="C59" s="14" t="s">
        <v>191</v>
      </c>
      <c r="D59" s="14" t="s">
        <v>152</v>
      </c>
      <c r="E59" s="14" t="s">
        <v>713</v>
      </c>
      <c r="F59" s="16"/>
      <c r="G59" s="16"/>
      <c r="H59" s="16" t="n">
        <v>0</v>
      </c>
      <c r="I59" s="16" t="n">
        <v>0</v>
      </c>
      <c r="J59" s="14" t="str">
        <f aca="false">IF(AND(F59&lt;&gt;"",G59&lt;&gt;"",H59=1,I59=1),"READY","OPEN")</f>
        <v>OPEN</v>
      </c>
      <c r="K59" s="4"/>
      <c r="L59" s="4"/>
      <c r="M59" s="4"/>
      <c r="N59" s="4"/>
    </row>
    <row r="60" customFormat="false" ht="15" hidden="false" customHeight="false" outlineLevel="0" collapsed="false">
      <c r="A60" s="14" t="s">
        <v>770</v>
      </c>
      <c r="B60" s="14" t="s">
        <v>190</v>
      </c>
      <c r="C60" s="14" t="s">
        <v>191</v>
      </c>
      <c r="D60" s="14" t="s">
        <v>152</v>
      </c>
      <c r="E60" s="14" t="s">
        <v>715</v>
      </c>
      <c r="F60" s="16"/>
      <c r="G60" s="16"/>
      <c r="H60" s="16" t="n">
        <v>0</v>
      </c>
      <c r="I60" s="16" t="n">
        <v>0</v>
      </c>
      <c r="J60" s="14" t="str">
        <f aca="false">IF(AND(F60&lt;&gt;"",G60&lt;&gt;"",H60=1,I60=1),"READY","OPEN")</f>
        <v>OPEN</v>
      </c>
      <c r="K60" s="4"/>
      <c r="L60" s="4"/>
      <c r="M60" s="4"/>
      <c r="N60" s="4"/>
    </row>
    <row r="61" customFormat="false" ht="15" hidden="false" customHeight="false" outlineLevel="0" collapsed="false">
      <c r="A61" s="14" t="s">
        <v>771</v>
      </c>
      <c r="B61" s="14" t="s">
        <v>190</v>
      </c>
      <c r="C61" s="14" t="s">
        <v>191</v>
      </c>
      <c r="D61" s="14" t="s">
        <v>152</v>
      </c>
      <c r="E61" s="14" t="s">
        <v>717</v>
      </c>
      <c r="F61" s="16"/>
      <c r="G61" s="16"/>
      <c r="H61" s="16" t="n">
        <v>0</v>
      </c>
      <c r="I61" s="16" t="n">
        <v>0</v>
      </c>
      <c r="J61" s="14" t="str">
        <f aca="false">IF(AND(F61&lt;&gt;"",G61&lt;&gt;"",H61=1,I61=1),"READY","OPEN")</f>
        <v>OPEN</v>
      </c>
      <c r="K61" s="4"/>
      <c r="L61" s="4"/>
      <c r="M61" s="4"/>
      <c r="N61" s="4"/>
    </row>
    <row r="62" customFormat="false" ht="15" hidden="false" customHeight="false" outlineLevel="0" collapsed="false">
      <c r="A62" s="14" t="s">
        <v>772</v>
      </c>
      <c r="B62" s="14" t="s">
        <v>190</v>
      </c>
      <c r="C62" s="14" t="s">
        <v>191</v>
      </c>
      <c r="D62" s="14" t="s">
        <v>152</v>
      </c>
      <c r="E62" s="14" t="s">
        <v>719</v>
      </c>
      <c r="F62" s="16"/>
      <c r="G62" s="16"/>
      <c r="H62" s="16" t="n">
        <v>0</v>
      </c>
      <c r="I62" s="16" t="n">
        <v>0</v>
      </c>
      <c r="J62" s="14" t="str">
        <f aca="false">IF(AND(F62&lt;&gt;"",G62&lt;&gt;"",H62=1,I62=1),"READY","OPEN")</f>
        <v>OPEN</v>
      </c>
      <c r="K62" s="4"/>
      <c r="L62" s="4"/>
      <c r="M62" s="4"/>
      <c r="N62" s="4"/>
    </row>
    <row r="63" customFormat="false" ht="15" hidden="false" customHeight="false" outlineLevel="0" collapsed="false">
      <c r="A63" s="14" t="s">
        <v>773</v>
      </c>
      <c r="B63" s="14" t="s">
        <v>194</v>
      </c>
      <c r="C63" s="14" t="s">
        <v>191</v>
      </c>
      <c r="D63" s="14" t="s">
        <v>169</v>
      </c>
      <c r="E63" s="14" t="s">
        <v>713</v>
      </c>
      <c r="F63" s="16"/>
      <c r="G63" s="16"/>
      <c r="H63" s="16" t="n">
        <v>0</v>
      </c>
      <c r="I63" s="16" t="n">
        <v>0</v>
      </c>
      <c r="J63" s="14" t="str">
        <f aca="false">IF(AND(F63&lt;&gt;"",G63&lt;&gt;"",H63=1,I63=1),"READY","OPEN")</f>
        <v>OPEN</v>
      </c>
      <c r="K63" s="4"/>
      <c r="L63" s="4"/>
      <c r="M63" s="4"/>
      <c r="N63" s="4"/>
    </row>
    <row r="64" customFormat="false" ht="15" hidden="false" customHeight="false" outlineLevel="0" collapsed="false">
      <c r="A64" s="14" t="s">
        <v>774</v>
      </c>
      <c r="B64" s="14" t="s">
        <v>194</v>
      </c>
      <c r="C64" s="14" t="s">
        <v>191</v>
      </c>
      <c r="D64" s="14" t="s">
        <v>169</v>
      </c>
      <c r="E64" s="14" t="s">
        <v>715</v>
      </c>
      <c r="F64" s="16"/>
      <c r="G64" s="16"/>
      <c r="H64" s="16" t="n">
        <v>0</v>
      </c>
      <c r="I64" s="16" t="n">
        <v>0</v>
      </c>
      <c r="J64" s="14" t="str">
        <f aca="false">IF(AND(F64&lt;&gt;"",G64&lt;&gt;"",H64=1,I64=1),"READY","OPEN")</f>
        <v>OPEN</v>
      </c>
      <c r="K64" s="4"/>
      <c r="L64" s="4"/>
      <c r="M64" s="4"/>
      <c r="N64" s="4"/>
    </row>
    <row r="65" customFormat="false" ht="15" hidden="false" customHeight="false" outlineLevel="0" collapsed="false">
      <c r="A65" s="14" t="s">
        <v>775</v>
      </c>
      <c r="B65" s="14" t="s">
        <v>194</v>
      </c>
      <c r="C65" s="14" t="s">
        <v>191</v>
      </c>
      <c r="D65" s="14" t="s">
        <v>169</v>
      </c>
      <c r="E65" s="14" t="s">
        <v>717</v>
      </c>
      <c r="F65" s="16"/>
      <c r="G65" s="16"/>
      <c r="H65" s="16" t="n">
        <v>0</v>
      </c>
      <c r="I65" s="16" t="n">
        <v>0</v>
      </c>
      <c r="J65" s="14" t="str">
        <f aca="false">IF(AND(F65&lt;&gt;"",G65&lt;&gt;"",H65=1,I65=1),"READY","OPEN")</f>
        <v>OPEN</v>
      </c>
      <c r="K65" s="4"/>
      <c r="L65" s="4"/>
      <c r="M65" s="4"/>
      <c r="N65" s="4"/>
    </row>
    <row r="66" customFormat="false" ht="15" hidden="false" customHeight="false" outlineLevel="0" collapsed="false">
      <c r="A66" s="14" t="s">
        <v>776</v>
      </c>
      <c r="B66" s="14" t="s">
        <v>194</v>
      </c>
      <c r="C66" s="14" t="s">
        <v>191</v>
      </c>
      <c r="D66" s="14" t="s">
        <v>169</v>
      </c>
      <c r="E66" s="14" t="s">
        <v>719</v>
      </c>
      <c r="F66" s="16"/>
      <c r="G66" s="16"/>
      <c r="H66" s="16" t="n">
        <v>0</v>
      </c>
      <c r="I66" s="16" t="n">
        <v>0</v>
      </c>
      <c r="J66" s="14" t="str">
        <f aca="false">IF(AND(F66&lt;&gt;"",G66&lt;&gt;"",H66=1,I66=1),"READY","OPEN")</f>
        <v>OPEN</v>
      </c>
      <c r="K66" s="4"/>
      <c r="L66" s="4"/>
      <c r="M66" s="4"/>
      <c r="N66" s="4"/>
    </row>
    <row r="67" customFormat="false" ht="15" hidden="false" customHeight="false" outlineLevel="0" collapsed="false">
      <c r="A67" s="14" t="s">
        <v>777</v>
      </c>
      <c r="B67" s="14" t="s">
        <v>194</v>
      </c>
      <c r="C67" s="14" t="s">
        <v>191</v>
      </c>
      <c r="D67" s="14" t="s">
        <v>169</v>
      </c>
      <c r="E67" s="14" t="s">
        <v>721</v>
      </c>
      <c r="F67" s="16"/>
      <c r="G67" s="16"/>
      <c r="H67" s="16" t="n">
        <v>0</v>
      </c>
      <c r="I67" s="16" t="n">
        <v>0</v>
      </c>
      <c r="J67" s="14" t="str">
        <f aca="false">IF(AND(F67&lt;&gt;"",G67&lt;&gt;"",H67=1,I67=1),"READY","OPEN")</f>
        <v>OPEN</v>
      </c>
      <c r="K67" s="4"/>
      <c r="L67" s="4"/>
      <c r="M67" s="4"/>
      <c r="N67" s="4"/>
    </row>
    <row r="68" customFormat="false" ht="15" hidden="false" customHeight="false" outlineLevel="0" collapsed="false">
      <c r="A68" s="14" t="s">
        <v>778</v>
      </c>
      <c r="B68" s="14" t="s">
        <v>196</v>
      </c>
      <c r="C68" s="14" t="s">
        <v>191</v>
      </c>
      <c r="D68" s="14" t="s">
        <v>172</v>
      </c>
      <c r="E68" s="14" t="s">
        <v>713</v>
      </c>
      <c r="F68" s="16"/>
      <c r="G68" s="16"/>
      <c r="H68" s="16" t="n">
        <v>0</v>
      </c>
      <c r="I68" s="16" t="n">
        <v>0</v>
      </c>
      <c r="J68" s="14" t="str">
        <f aca="false">IF(AND(F68&lt;&gt;"",G68&lt;&gt;"",H68=1,I68=1),"READY","OPEN")</f>
        <v>OPEN</v>
      </c>
      <c r="K68" s="4"/>
      <c r="L68" s="4"/>
      <c r="M68" s="4"/>
      <c r="N68" s="4"/>
    </row>
    <row r="69" customFormat="false" ht="15" hidden="false" customHeight="false" outlineLevel="0" collapsed="false">
      <c r="A69" s="14" t="s">
        <v>779</v>
      </c>
      <c r="B69" s="14" t="s">
        <v>196</v>
      </c>
      <c r="C69" s="14" t="s">
        <v>191</v>
      </c>
      <c r="D69" s="14" t="s">
        <v>172</v>
      </c>
      <c r="E69" s="14" t="s">
        <v>715</v>
      </c>
      <c r="F69" s="16"/>
      <c r="G69" s="16"/>
      <c r="H69" s="16" t="n">
        <v>0</v>
      </c>
      <c r="I69" s="16" t="n">
        <v>0</v>
      </c>
      <c r="J69" s="14" t="str">
        <f aca="false">IF(AND(F69&lt;&gt;"",G69&lt;&gt;"",H69=1,I69=1),"READY","OPEN")</f>
        <v>OPEN</v>
      </c>
      <c r="K69" s="4"/>
      <c r="L69" s="4"/>
      <c r="M69" s="4"/>
      <c r="N69" s="4"/>
    </row>
    <row r="70" customFormat="false" ht="15" hidden="false" customHeight="false" outlineLevel="0" collapsed="false">
      <c r="A70" s="14" t="s">
        <v>780</v>
      </c>
      <c r="B70" s="14" t="s">
        <v>196</v>
      </c>
      <c r="C70" s="14" t="s">
        <v>191</v>
      </c>
      <c r="D70" s="14" t="s">
        <v>172</v>
      </c>
      <c r="E70" s="14" t="s">
        <v>717</v>
      </c>
      <c r="F70" s="16"/>
      <c r="G70" s="16"/>
      <c r="H70" s="16" t="n">
        <v>0</v>
      </c>
      <c r="I70" s="16" t="n">
        <v>0</v>
      </c>
      <c r="J70" s="14" t="str">
        <f aca="false">IF(AND(F70&lt;&gt;"",G70&lt;&gt;"",H70=1,I70=1),"READY","OPEN")</f>
        <v>OPEN</v>
      </c>
      <c r="K70" s="4"/>
      <c r="L70" s="4"/>
      <c r="M70" s="4"/>
      <c r="N70" s="4"/>
    </row>
    <row r="71" customFormat="false" ht="15" hidden="false" customHeight="false" outlineLevel="0" collapsed="false">
      <c r="A71" s="14" t="s">
        <v>781</v>
      </c>
      <c r="B71" s="14" t="s">
        <v>196</v>
      </c>
      <c r="C71" s="14" t="s">
        <v>191</v>
      </c>
      <c r="D71" s="14" t="s">
        <v>172</v>
      </c>
      <c r="E71" s="14" t="s">
        <v>719</v>
      </c>
      <c r="F71" s="16"/>
      <c r="G71" s="16"/>
      <c r="H71" s="16" t="n">
        <v>0</v>
      </c>
      <c r="I71" s="16" t="n">
        <v>0</v>
      </c>
      <c r="J71" s="14" t="str">
        <f aca="false">IF(AND(F71&lt;&gt;"",G71&lt;&gt;"",H71=1,I71=1),"READY","OPEN")</f>
        <v>OPEN</v>
      </c>
      <c r="K71" s="4"/>
      <c r="L71" s="4"/>
      <c r="M71" s="4"/>
      <c r="N71" s="4"/>
    </row>
    <row r="72" customFormat="false" ht="15" hidden="false" customHeight="false" outlineLevel="0" collapsed="false">
      <c r="A72" s="14" t="s">
        <v>782</v>
      </c>
      <c r="B72" s="14" t="s">
        <v>198</v>
      </c>
      <c r="C72" s="14" t="s">
        <v>199</v>
      </c>
      <c r="D72" s="14" t="s">
        <v>166</v>
      </c>
      <c r="E72" s="14" t="s">
        <v>713</v>
      </c>
      <c r="F72" s="16"/>
      <c r="G72" s="16"/>
      <c r="H72" s="16" t="n">
        <v>0</v>
      </c>
      <c r="I72" s="16" t="n">
        <v>0</v>
      </c>
      <c r="J72" s="14" t="str">
        <f aca="false">IF(AND(F72&lt;&gt;"",G72&lt;&gt;"",H72=1,I72=1),"READY","OPEN")</f>
        <v>OPEN</v>
      </c>
      <c r="K72" s="4"/>
      <c r="L72" s="4"/>
      <c r="M72" s="4"/>
      <c r="N72" s="4"/>
    </row>
    <row r="73" customFormat="false" ht="15" hidden="false" customHeight="false" outlineLevel="0" collapsed="false">
      <c r="A73" s="14" t="s">
        <v>783</v>
      </c>
      <c r="B73" s="14" t="s">
        <v>198</v>
      </c>
      <c r="C73" s="14" t="s">
        <v>199</v>
      </c>
      <c r="D73" s="14" t="s">
        <v>166</v>
      </c>
      <c r="E73" s="14" t="s">
        <v>715</v>
      </c>
      <c r="F73" s="16"/>
      <c r="G73" s="16"/>
      <c r="H73" s="16" t="n">
        <v>0</v>
      </c>
      <c r="I73" s="16" t="n">
        <v>0</v>
      </c>
      <c r="J73" s="14" t="str">
        <f aca="false">IF(AND(F73&lt;&gt;"",G73&lt;&gt;"",H73=1,I73=1),"READY","OPEN")</f>
        <v>OPEN</v>
      </c>
      <c r="K73" s="4"/>
      <c r="L73" s="4"/>
      <c r="M73" s="4"/>
      <c r="N73" s="4"/>
    </row>
    <row r="74" customFormat="false" ht="15" hidden="false" customHeight="false" outlineLevel="0" collapsed="false">
      <c r="A74" s="14" t="s">
        <v>784</v>
      </c>
      <c r="B74" s="14" t="s">
        <v>198</v>
      </c>
      <c r="C74" s="14" t="s">
        <v>199</v>
      </c>
      <c r="D74" s="14" t="s">
        <v>166</v>
      </c>
      <c r="E74" s="14" t="s">
        <v>717</v>
      </c>
      <c r="F74" s="16"/>
      <c r="G74" s="16"/>
      <c r="H74" s="16" t="n">
        <v>0</v>
      </c>
      <c r="I74" s="16" t="n">
        <v>0</v>
      </c>
      <c r="J74" s="14" t="str">
        <f aca="false">IF(AND(F74&lt;&gt;"",G74&lt;&gt;"",H74=1,I74=1),"READY","OPEN")</f>
        <v>OPEN</v>
      </c>
      <c r="K74" s="4"/>
      <c r="L74" s="4"/>
      <c r="M74" s="4"/>
      <c r="N74" s="4"/>
    </row>
    <row r="75" customFormat="false" ht="15" hidden="false" customHeight="false" outlineLevel="0" collapsed="false">
      <c r="A75" s="14" t="s">
        <v>785</v>
      </c>
      <c r="B75" s="14" t="s">
        <v>198</v>
      </c>
      <c r="C75" s="14" t="s">
        <v>199</v>
      </c>
      <c r="D75" s="14" t="s">
        <v>166</v>
      </c>
      <c r="E75" s="14" t="s">
        <v>719</v>
      </c>
      <c r="F75" s="16"/>
      <c r="G75" s="16"/>
      <c r="H75" s="16" t="n">
        <v>0</v>
      </c>
      <c r="I75" s="16" t="n">
        <v>0</v>
      </c>
      <c r="J75" s="14" t="str">
        <f aca="false">IF(AND(F75&lt;&gt;"",G75&lt;&gt;"",H75=1,I75=1),"READY","OPEN")</f>
        <v>OPEN</v>
      </c>
      <c r="K75" s="4"/>
      <c r="L75" s="4"/>
      <c r="M75" s="4"/>
      <c r="N75" s="4"/>
    </row>
    <row r="76" customFormat="false" ht="15" hidden="false" customHeight="false" outlineLevel="0" collapsed="false">
      <c r="A76" s="14" t="s">
        <v>786</v>
      </c>
      <c r="B76" s="14" t="s">
        <v>202</v>
      </c>
      <c r="C76" s="14" t="s">
        <v>199</v>
      </c>
      <c r="D76" s="14" t="s">
        <v>157</v>
      </c>
      <c r="E76" s="14" t="s">
        <v>713</v>
      </c>
      <c r="F76" s="16"/>
      <c r="G76" s="16"/>
      <c r="H76" s="16" t="n">
        <v>0</v>
      </c>
      <c r="I76" s="16" t="n">
        <v>0</v>
      </c>
      <c r="J76" s="14" t="str">
        <f aca="false">IF(AND(F76&lt;&gt;"",G76&lt;&gt;"",H76=1,I76=1),"READY","OPEN")</f>
        <v>OPEN</v>
      </c>
      <c r="K76" s="4"/>
      <c r="L76" s="4"/>
      <c r="M76" s="4"/>
      <c r="N76" s="4"/>
    </row>
    <row r="77" customFormat="false" ht="15" hidden="false" customHeight="false" outlineLevel="0" collapsed="false">
      <c r="A77" s="14" t="s">
        <v>787</v>
      </c>
      <c r="B77" s="14" t="s">
        <v>202</v>
      </c>
      <c r="C77" s="14" t="s">
        <v>199</v>
      </c>
      <c r="D77" s="14" t="s">
        <v>157</v>
      </c>
      <c r="E77" s="14" t="s">
        <v>715</v>
      </c>
      <c r="F77" s="16"/>
      <c r="G77" s="16"/>
      <c r="H77" s="16" t="n">
        <v>0</v>
      </c>
      <c r="I77" s="16" t="n">
        <v>0</v>
      </c>
      <c r="J77" s="14" t="str">
        <f aca="false">IF(AND(F77&lt;&gt;"",G77&lt;&gt;"",H77=1,I77=1),"READY","OPEN")</f>
        <v>OPEN</v>
      </c>
      <c r="K77" s="4"/>
      <c r="L77" s="4"/>
      <c r="M77" s="4"/>
      <c r="N77" s="4"/>
    </row>
    <row r="78" customFormat="false" ht="15" hidden="false" customHeight="false" outlineLevel="0" collapsed="false">
      <c r="A78" s="14" t="s">
        <v>788</v>
      </c>
      <c r="B78" s="14" t="s">
        <v>202</v>
      </c>
      <c r="C78" s="14" t="s">
        <v>199</v>
      </c>
      <c r="D78" s="14" t="s">
        <v>157</v>
      </c>
      <c r="E78" s="14" t="s">
        <v>717</v>
      </c>
      <c r="F78" s="16"/>
      <c r="G78" s="16"/>
      <c r="H78" s="16" t="n">
        <v>0</v>
      </c>
      <c r="I78" s="16" t="n">
        <v>0</v>
      </c>
      <c r="J78" s="14" t="str">
        <f aca="false">IF(AND(F78&lt;&gt;"",G78&lt;&gt;"",H78=1,I78=1),"READY","OPEN")</f>
        <v>OPEN</v>
      </c>
      <c r="K78" s="4"/>
      <c r="L78" s="4"/>
      <c r="M78" s="4"/>
      <c r="N78" s="4"/>
    </row>
    <row r="79" customFormat="false" ht="15" hidden="false" customHeight="false" outlineLevel="0" collapsed="false">
      <c r="A79" s="14" t="s">
        <v>789</v>
      </c>
      <c r="B79" s="14" t="s">
        <v>202</v>
      </c>
      <c r="C79" s="14" t="s">
        <v>199</v>
      </c>
      <c r="D79" s="14" t="s">
        <v>157</v>
      </c>
      <c r="E79" s="14" t="s">
        <v>719</v>
      </c>
      <c r="F79" s="16"/>
      <c r="G79" s="16"/>
      <c r="H79" s="16" t="n">
        <v>0</v>
      </c>
      <c r="I79" s="16" t="n">
        <v>0</v>
      </c>
      <c r="J79" s="14" t="str">
        <f aca="false">IF(AND(F79&lt;&gt;"",G79&lt;&gt;"",H79=1,I79=1),"READY","OPEN")</f>
        <v>OPEN</v>
      </c>
      <c r="K79" s="4"/>
      <c r="L79" s="4"/>
      <c r="M79" s="4"/>
      <c r="N79" s="4"/>
    </row>
    <row r="80" customFormat="false" ht="15" hidden="false" customHeight="false" outlineLevel="0" collapsed="false">
      <c r="A80" s="14" t="s">
        <v>790</v>
      </c>
      <c r="B80" s="14" t="s">
        <v>204</v>
      </c>
      <c r="C80" s="14" t="s">
        <v>199</v>
      </c>
      <c r="D80" s="14" t="s">
        <v>161</v>
      </c>
      <c r="E80" s="14" t="s">
        <v>713</v>
      </c>
      <c r="F80" s="16"/>
      <c r="G80" s="16"/>
      <c r="H80" s="16" t="n">
        <v>0</v>
      </c>
      <c r="I80" s="16" t="n">
        <v>0</v>
      </c>
      <c r="J80" s="14" t="str">
        <f aca="false">IF(AND(F80&lt;&gt;"",G80&lt;&gt;"",H80=1,I80=1),"READY","OPEN")</f>
        <v>OPEN</v>
      </c>
      <c r="K80" s="4"/>
      <c r="L80" s="4"/>
      <c r="M80" s="4"/>
      <c r="N80" s="4"/>
    </row>
    <row r="81" customFormat="false" ht="15" hidden="false" customHeight="false" outlineLevel="0" collapsed="false">
      <c r="A81" s="14" t="s">
        <v>791</v>
      </c>
      <c r="B81" s="14" t="s">
        <v>204</v>
      </c>
      <c r="C81" s="14" t="s">
        <v>199</v>
      </c>
      <c r="D81" s="14" t="s">
        <v>161</v>
      </c>
      <c r="E81" s="14" t="s">
        <v>715</v>
      </c>
      <c r="F81" s="16"/>
      <c r="G81" s="16"/>
      <c r="H81" s="16" t="n">
        <v>0</v>
      </c>
      <c r="I81" s="16" t="n">
        <v>0</v>
      </c>
      <c r="J81" s="14" t="str">
        <f aca="false">IF(AND(F81&lt;&gt;"",G81&lt;&gt;"",H81=1,I81=1),"READY","OPEN")</f>
        <v>OPEN</v>
      </c>
      <c r="K81" s="4"/>
      <c r="L81" s="4"/>
      <c r="M81" s="4"/>
      <c r="N81" s="4"/>
    </row>
    <row r="82" customFormat="false" ht="15" hidden="false" customHeight="false" outlineLevel="0" collapsed="false">
      <c r="A82" s="14" t="s">
        <v>792</v>
      </c>
      <c r="B82" s="14" t="s">
        <v>204</v>
      </c>
      <c r="C82" s="14" t="s">
        <v>199</v>
      </c>
      <c r="D82" s="14" t="s">
        <v>161</v>
      </c>
      <c r="E82" s="14" t="s">
        <v>717</v>
      </c>
      <c r="F82" s="16"/>
      <c r="G82" s="16"/>
      <c r="H82" s="16" t="n">
        <v>0</v>
      </c>
      <c r="I82" s="16" t="n">
        <v>0</v>
      </c>
      <c r="J82" s="14" t="str">
        <f aca="false">IF(AND(F82&lt;&gt;"",G82&lt;&gt;"",H82=1,I82=1),"READY","OPEN")</f>
        <v>OPEN</v>
      </c>
      <c r="K82" s="4"/>
      <c r="L82" s="4"/>
      <c r="M82" s="4"/>
      <c r="N82" s="4"/>
    </row>
    <row r="83" customFormat="false" ht="15" hidden="false" customHeight="false" outlineLevel="0" collapsed="false">
      <c r="A83" s="14" t="s">
        <v>793</v>
      </c>
      <c r="B83" s="14" t="s">
        <v>204</v>
      </c>
      <c r="C83" s="14" t="s">
        <v>199</v>
      </c>
      <c r="D83" s="14" t="s">
        <v>161</v>
      </c>
      <c r="E83" s="14" t="s">
        <v>719</v>
      </c>
      <c r="F83" s="16"/>
      <c r="G83" s="16"/>
      <c r="H83" s="16" t="n">
        <v>0</v>
      </c>
      <c r="I83" s="16" t="n">
        <v>0</v>
      </c>
      <c r="J83" s="14" t="str">
        <f aca="false">IF(AND(F83&lt;&gt;"",G83&lt;&gt;"",H83=1,I83=1),"READY","OPEN")</f>
        <v>OPEN</v>
      </c>
      <c r="K83" s="4"/>
      <c r="L83" s="4"/>
      <c r="M83" s="4"/>
      <c r="N83" s="4"/>
    </row>
    <row r="84" customFormat="false" ht="15" hidden="false" customHeight="false" outlineLevel="0" collapsed="false">
      <c r="A84" s="14" t="s">
        <v>794</v>
      </c>
      <c r="B84" s="14" t="s">
        <v>204</v>
      </c>
      <c r="C84" s="14" t="s">
        <v>199</v>
      </c>
      <c r="D84" s="14" t="s">
        <v>161</v>
      </c>
      <c r="E84" s="14" t="s">
        <v>721</v>
      </c>
      <c r="F84" s="16"/>
      <c r="G84" s="16"/>
      <c r="H84" s="16" t="n">
        <v>0</v>
      </c>
      <c r="I84" s="16" t="n">
        <v>0</v>
      </c>
      <c r="J84" s="14" t="str">
        <f aca="false">IF(AND(F84&lt;&gt;"",G84&lt;&gt;"",H84=1,I84=1),"READY","OPEN")</f>
        <v>OPEN</v>
      </c>
      <c r="K84" s="4"/>
      <c r="L84" s="4"/>
      <c r="M84" s="4"/>
      <c r="N84" s="4"/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2:N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23"/>
    <col collapsed="false" customWidth="true" hidden="false" outlineLevel="0" max="6" min="6" style="0" width="17"/>
    <col collapsed="false" customWidth="true" hidden="false" outlineLevel="0" max="7" min="7" style="0" width="20"/>
    <col collapsed="false" customWidth="true" hidden="false" outlineLevel="0" max="8" min="8" style="0" width="17"/>
    <col collapsed="false" customWidth="true" hidden="false" outlineLevel="0" max="9" min="9" style="0" width="20"/>
    <col collapsed="false" customWidth="true" hidden="false" outlineLevel="0" max="10" min="10" style="0" width="17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12"/>
  </cols>
  <sheetData>
    <row r="2" customFormat="false" ht="18.55" hidden="false" customHeight="false" outlineLevel="0" collapsed="false">
      <c r="A2" s="1" t="s">
        <v>795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796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22.35" hidden="false" customHeight="false" outlineLevel="0" collapsed="false">
      <c r="A6" s="6" t="s">
        <v>797</v>
      </c>
      <c r="B6" s="7" t="s">
        <v>208</v>
      </c>
      <c r="C6" s="7" t="s">
        <v>131</v>
      </c>
      <c r="D6" s="7" t="s">
        <v>133</v>
      </c>
      <c r="E6" s="7" t="s">
        <v>798</v>
      </c>
      <c r="F6" s="7" t="s">
        <v>799</v>
      </c>
      <c r="G6" s="7" t="s">
        <v>800</v>
      </c>
      <c r="H6" s="7" t="s">
        <v>801</v>
      </c>
      <c r="I6" s="7" t="s">
        <v>802</v>
      </c>
      <c r="J6" s="7" t="s">
        <v>803</v>
      </c>
      <c r="K6" s="7" t="s">
        <v>804</v>
      </c>
      <c r="L6" s="7" t="s">
        <v>805</v>
      </c>
      <c r="M6" s="8" t="s">
        <v>147</v>
      </c>
      <c r="N6" s="4"/>
    </row>
    <row r="7" customFormat="false" ht="15" hidden="false" customHeight="false" outlineLevel="0" collapsed="false">
      <c r="A7" s="14" t="s">
        <v>806</v>
      </c>
      <c r="B7" s="14" t="s">
        <v>149</v>
      </c>
      <c r="C7" s="14" t="s">
        <v>150</v>
      </c>
      <c r="D7" s="14" t="s">
        <v>152</v>
      </c>
      <c r="E7" s="14" t="s">
        <v>807</v>
      </c>
      <c r="F7" s="17" t="n">
        <v>10.5</v>
      </c>
      <c r="G7" s="16"/>
      <c r="H7" s="16"/>
      <c r="I7" s="16"/>
      <c r="J7" s="16"/>
      <c r="K7" s="16" t="n">
        <v>0</v>
      </c>
      <c r="L7" s="16" t="n">
        <v>0</v>
      </c>
      <c r="M7" s="14" t="str">
        <f aca="false">IF(AND(G7&lt;&gt;"",H7&lt;&gt;"",I7&lt;&gt;"",J7&lt;&gt;"",H7&lt;&gt;J7,K7=0,L7=0),"READY","OPEN")</f>
        <v>OPEN</v>
      </c>
      <c r="N7" s="4"/>
    </row>
    <row r="8" customFormat="false" ht="15" hidden="false" customHeight="false" outlineLevel="0" collapsed="false">
      <c r="A8" s="14" t="s">
        <v>808</v>
      </c>
      <c r="B8" s="14" t="s">
        <v>149</v>
      </c>
      <c r="C8" s="14" t="s">
        <v>150</v>
      </c>
      <c r="D8" s="14" t="s">
        <v>152</v>
      </c>
      <c r="E8" s="14" t="s">
        <v>809</v>
      </c>
      <c r="F8" s="17" t="n">
        <v>7.5</v>
      </c>
      <c r="G8" s="16"/>
      <c r="H8" s="16"/>
      <c r="I8" s="16"/>
      <c r="J8" s="16"/>
      <c r="K8" s="16" t="n">
        <v>0</v>
      </c>
      <c r="L8" s="16" t="n">
        <v>0</v>
      </c>
      <c r="M8" s="14" t="str">
        <f aca="false">IF(AND(G8&lt;&gt;"",H8&lt;&gt;"",I8&lt;&gt;"",J8&lt;&gt;"",H8&lt;&gt;J8,K8=0,L8=0),"READY","OPEN")</f>
        <v>OPEN</v>
      </c>
      <c r="N8" s="4"/>
    </row>
    <row r="9" customFormat="false" ht="15" hidden="false" customHeight="false" outlineLevel="0" collapsed="false">
      <c r="A9" s="14" t="s">
        <v>810</v>
      </c>
      <c r="B9" s="14" t="s">
        <v>149</v>
      </c>
      <c r="C9" s="14" t="s">
        <v>150</v>
      </c>
      <c r="D9" s="14" t="s">
        <v>152</v>
      </c>
      <c r="E9" s="14" t="s">
        <v>811</v>
      </c>
      <c r="F9" s="17" t="n">
        <v>3</v>
      </c>
      <c r="G9" s="16"/>
      <c r="H9" s="16"/>
      <c r="I9" s="16"/>
      <c r="J9" s="16"/>
      <c r="K9" s="16" t="n">
        <v>0</v>
      </c>
      <c r="L9" s="16" t="n">
        <v>0</v>
      </c>
      <c r="M9" s="14" t="str">
        <f aca="false">IF(AND(G9&lt;&gt;"",H9&lt;&gt;"",I9&lt;&gt;"",J9&lt;&gt;"",H9&lt;&gt;J9,K9=0,L9=0),"READY","OPEN")</f>
        <v>OPEN</v>
      </c>
      <c r="N9" s="4"/>
    </row>
    <row r="10" customFormat="false" ht="15" hidden="false" customHeight="false" outlineLevel="0" collapsed="false">
      <c r="A10" s="14" t="s">
        <v>812</v>
      </c>
      <c r="B10" s="14" t="s">
        <v>149</v>
      </c>
      <c r="C10" s="14" t="s">
        <v>150</v>
      </c>
      <c r="D10" s="14" t="s">
        <v>152</v>
      </c>
      <c r="E10" s="14" t="s">
        <v>813</v>
      </c>
      <c r="F10" s="17" t="n">
        <v>0</v>
      </c>
      <c r="G10" s="16"/>
      <c r="H10" s="16"/>
      <c r="I10" s="16"/>
      <c r="J10" s="16"/>
      <c r="K10" s="16" t="n">
        <v>0</v>
      </c>
      <c r="L10" s="16" t="n">
        <v>0</v>
      </c>
      <c r="M10" s="14" t="str">
        <f aca="false">IF(AND(G10&lt;&gt;"",H10&lt;&gt;"",I10&lt;&gt;"",J10&lt;&gt;"",H10&lt;&gt;J10,K10=0,L10=0),"READY","OPEN")</f>
        <v>OPEN</v>
      </c>
      <c r="N10" s="4"/>
    </row>
    <row r="11" customFormat="false" ht="15" hidden="false" customHeight="false" outlineLevel="0" collapsed="false">
      <c r="A11" s="14" t="s">
        <v>814</v>
      </c>
      <c r="B11" s="14" t="s">
        <v>156</v>
      </c>
      <c r="C11" s="14" t="s">
        <v>150</v>
      </c>
      <c r="D11" s="14" t="s">
        <v>157</v>
      </c>
      <c r="E11" s="14" t="s">
        <v>807</v>
      </c>
      <c r="F11" s="17" t="n">
        <v>10.5</v>
      </c>
      <c r="G11" s="16"/>
      <c r="H11" s="16"/>
      <c r="I11" s="16"/>
      <c r="J11" s="16"/>
      <c r="K11" s="16" t="n">
        <v>0</v>
      </c>
      <c r="L11" s="16" t="n">
        <v>0</v>
      </c>
      <c r="M11" s="14" t="str">
        <f aca="false">IF(AND(G11&lt;&gt;"",H11&lt;&gt;"",I11&lt;&gt;"",J11&lt;&gt;"",H11&lt;&gt;J11,K11=0,L11=0),"READY","OPEN")</f>
        <v>OPEN</v>
      </c>
      <c r="N11" s="4"/>
    </row>
    <row r="12" customFormat="false" ht="15" hidden="false" customHeight="false" outlineLevel="0" collapsed="false">
      <c r="A12" s="14" t="s">
        <v>815</v>
      </c>
      <c r="B12" s="14" t="s">
        <v>156</v>
      </c>
      <c r="C12" s="14" t="s">
        <v>150</v>
      </c>
      <c r="D12" s="14" t="s">
        <v>157</v>
      </c>
      <c r="E12" s="14" t="s">
        <v>809</v>
      </c>
      <c r="F12" s="17" t="n">
        <v>7.5</v>
      </c>
      <c r="G12" s="16"/>
      <c r="H12" s="16"/>
      <c r="I12" s="16"/>
      <c r="J12" s="16"/>
      <c r="K12" s="16" t="n">
        <v>0</v>
      </c>
      <c r="L12" s="16" t="n">
        <v>0</v>
      </c>
      <c r="M12" s="14" t="str">
        <f aca="false">IF(AND(G12&lt;&gt;"",H12&lt;&gt;"",I12&lt;&gt;"",J12&lt;&gt;"",H12&lt;&gt;J12,K12=0,L12=0),"READY","OPEN")</f>
        <v>OPEN</v>
      </c>
      <c r="N12" s="4"/>
    </row>
    <row r="13" customFormat="false" ht="15" hidden="false" customHeight="false" outlineLevel="0" collapsed="false">
      <c r="A13" s="14" t="s">
        <v>816</v>
      </c>
      <c r="B13" s="14" t="s">
        <v>156</v>
      </c>
      <c r="C13" s="14" t="s">
        <v>150</v>
      </c>
      <c r="D13" s="14" t="s">
        <v>157</v>
      </c>
      <c r="E13" s="14" t="s">
        <v>811</v>
      </c>
      <c r="F13" s="17" t="n">
        <v>3</v>
      </c>
      <c r="G13" s="16"/>
      <c r="H13" s="16"/>
      <c r="I13" s="16"/>
      <c r="J13" s="16"/>
      <c r="K13" s="16" t="n">
        <v>0</v>
      </c>
      <c r="L13" s="16" t="n">
        <v>0</v>
      </c>
      <c r="M13" s="14" t="str">
        <f aca="false">IF(AND(G13&lt;&gt;"",H13&lt;&gt;"",I13&lt;&gt;"",J13&lt;&gt;"",H13&lt;&gt;J13,K13=0,L13=0),"READY","OPEN")</f>
        <v>OPEN</v>
      </c>
      <c r="N13" s="4"/>
    </row>
    <row r="14" customFormat="false" ht="15" hidden="false" customHeight="false" outlineLevel="0" collapsed="false">
      <c r="A14" s="14" t="s">
        <v>817</v>
      </c>
      <c r="B14" s="14" t="s">
        <v>156</v>
      </c>
      <c r="C14" s="14" t="s">
        <v>150</v>
      </c>
      <c r="D14" s="14" t="s">
        <v>157</v>
      </c>
      <c r="E14" s="14" t="s">
        <v>813</v>
      </c>
      <c r="F14" s="17" t="n">
        <v>0</v>
      </c>
      <c r="G14" s="16"/>
      <c r="H14" s="16"/>
      <c r="I14" s="16"/>
      <c r="J14" s="16"/>
      <c r="K14" s="16" t="n">
        <v>0</v>
      </c>
      <c r="L14" s="16" t="n">
        <v>0</v>
      </c>
      <c r="M14" s="14" t="str">
        <f aca="false">IF(AND(G14&lt;&gt;"",H14&lt;&gt;"",I14&lt;&gt;"",J14&lt;&gt;"",H14&lt;&gt;J14,K14=0,L14=0),"READY","OPEN")</f>
        <v>OPEN</v>
      </c>
      <c r="N14" s="4"/>
    </row>
    <row r="15" customFormat="false" ht="15" hidden="false" customHeight="false" outlineLevel="0" collapsed="false">
      <c r="A15" s="14" t="s">
        <v>818</v>
      </c>
      <c r="B15" s="14" t="s">
        <v>160</v>
      </c>
      <c r="C15" s="14" t="s">
        <v>150</v>
      </c>
      <c r="D15" s="14" t="s">
        <v>161</v>
      </c>
      <c r="E15" s="14" t="s">
        <v>807</v>
      </c>
      <c r="F15" s="17" t="n">
        <v>10.5</v>
      </c>
      <c r="G15" s="16"/>
      <c r="H15" s="16"/>
      <c r="I15" s="16"/>
      <c r="J15" s="16"/>
      <c r="K15" s="16" t="n">
        <v>0</v>
      </c>
      <c r="L15" s="16" t="n">
        <v>0</v>
      </c>
      <c r="M15" s="14" t="str">
        <f aca="false">IF(AND(G15&lt;&gt;"",H15&lt;&gt;"",I15&lt;&gt;"",J15&lt;&gt;"",H15&lt;&gt;J15,K15=0,L15=0),"READY","OPEN")</f>
        <v>OPEN</v>
      </c>
      <c r="N15" s="4"/>
    </row>
    <row r="16" customFormat="false" ht="15" hidden="false" customHeight="false" outlineLevel="0" collapsed="false">
      <c r="A16" s="14" t="s">
        <v>819</v>
      </c>
      <c r="B16" s="14" t="s">
        <v>160</v>
      </c>
      <c r="C16" s="14" t="s">
        <v>150</v>
      </c>
      <c r="D16" s="14" t="s">
        <v>161</v>
      </c>
      <c r="E16" s="14" t="s">
        <v>809</v>
      </c>
      <c r="F16" s="17" t="n">
        <v>7.5</v>
      </c>
      <c r="G16" s="16"/>
      <c r="H16" s="16"/>
      <c r="I16" s="16"/>
      <c r="J16" s="16"/>
      <c r="K16" s="16" t="n">
        <v>0</v>
      </c>
      <c r="L16" s="16" t="n">
        <v>0</v>
      </c>
      <c r="M16" s="14" t="str">
        <f aca="false">IF(AND(G16&lt;&gt;"",H16&lt;&gt;"",I16&lt;&gt;"",J16&lt;&gt;"",H16&lt;&gt;J16,K16=0,L16=0),"READY","OPEN")</f>
        <v>OPEN</v>
      </c>
      <c r="N16" s="4"/>
    </row>
    <row r="17" customFormat="false" ht="15" hidden="false" customHeight="false" outlineLevel="0" collapsed="false">
      <c r="A17" s="14" t="s">
        <v>820</v>
      </c>
      <c r="B17" s="14" t="s">
        <v>160</v>
      </c>
      <c r="C17" s="14" t="s">
        <v>150</v>
      </c>
      <c r="D17" s="14" t="s">
        <v>161</v>
      </c>
      <c r="E17" s="14" t="s">
        <v>811</v>
      </c>
      <c r="F17" s="17" t="n">
        <v>3</v>
      </c>
      <c r="G17" s="16"/>
      <c r="H17" s="16"/>
      <c r="I17" s="16"/>
      <c r="J17" s="16"/>
      <c r="K17" s="16" t="n">
        <v>0</v>
      </c>
      <c r="L17" s="16" t="n">
        <v>0</v>
      </c>
      <c r="M17" s="14" t="str">
        <f aca="false">IF(AND(G17&lt;&gt;"",H17&lt;&gt;"",I17&lt;&gt;"",J17&lt;&gt;"",H17&lt;&gt;J17,K17=0,L17=0),"READY","OPEN")</f>
        <v>OPEN</v>
      </c>
      <c r="N17" s="4"/>
    </row>
    <row r="18" customFormat="false" ht="15" hidden="false" customHeight="false" outlineLevel="0" collapsed="false">
      <c r="A18" s="14" t="s">
        <v>821</v>
      </c>
      <c r="B18" s="14" t="s">
        <v>160</v>
      </c>
      <c r="C18" s="14" t="s">
        <v>150</v>
      </c>
      <c r="D18" s="14" t="s">
        <v>161</v>
      </c>
      <c r="E18" s="14" t="s">
        <v>813</v>
      </c>
      <c r="F18" s="17" t="n">
        <v>0</v>
      </c>
      <c r="G18" s="16"/>
      <c r="H18" s="16"/>
      <c r="I18" s="16"/>
      <c r="J18" s="16"/>
      <c r="K18" s="16" t="n">
        <v>0</v>
      </c>
      <c r="L18" s="16" t="n">
        <v>0</v>
      </c>
      <c r="M18" s="14" t="str">
        <f aca="false">IF(AND(G18&lt;&gt;"",H18&lt;&gt;"",I18&lt;&gt;"",J18&lt;&gt;"",H18&lt;&gt;J18,K18=0,L18=0),"READY","OPEN")</f>
        <v>OPEN</v>
      </c>
      <c r="N18" s="4"/>
    </row>
    <row r="19" customFormat="false" ht="15" hidden="false" customHeight="false" outlineLevel="0" collapsed="false">
      <c r="A19" s="14" t="s">
        <v>822</v>
      </c>
      <c r="B19" s="14" t="s">
        <v>163</v>
      </c>
      <c r="C19" s="14" t="s">
        <v>164</v>
      </c>
      <c r="D19" s="14" t="s">
        <v>166</v>
      </c>
      <c r="E19" s="14" t="s">
        <v>807</v>
      </c>
      <c r="F19" s="17" t="n">
        <v>10.5</v>
      </c>
      <c r="G19" s="16"/>
      <c r="H19" s="16"/>
      <c r="I19" s="16"/>
      <c r="J19" s="16"/>
      <c r="K19" s="16" t="n">
        <v>0</v>
      </c>
      <c r="L19" s="16" t="n">
        <v>0</v>
      </c>
      <c r="M19" s="14" t="str">
        <f aca="false">IF(AND(G19&lt;&gt;"",H19&lt;&gt;"",I19&lt;&gt;"",J19&lt;&gt;"",H19&lt;&gt;J19,K19=0,L19=0),"READY","OPEN")</f>
        <v>OPEN</v>
      </c>
      <c r="N19" s="4"/>
    </row>
    <row r="20" customFormat="false" ht="15" hidden="false" customHeight="false" outlineLevel="0" collapsed="false">
      <c r="A20" s="14" t="s">
        <v>823</v>
      </c>
      <c r="B20" s="14" t="s">
        <v>163</v>
      </c>
      <c r="C20" s="14" t="s">
        <v>164</v>
      </c>
      <c r="D20" s="14" t="s">
        <v>166</v>
      </c>
      <c r="E20" s="14" t="s">
        <v>809</v>
      </c>
      <c r="F20" s="17" t="n">
        <v>7.5</v>
      </c>
      <c r="G20" s="16"/>
      <c r="H20" s="16"/>
      <c r="I20" s="16"/>
      <c r="J20" s="16"/>
      <c r="K20" s="16" t="n">
        <v>0</v>
      </c>
      <c r="L20" s="16" t="n">
        <v>0</v>
      </c>
      <c r="M20" s="14" t="str">
        <f aca="false">IF(AND(G20&lt;&gt;"",H20&lt;&gt;"",I20&lt;&gt;"",J20&lt;&gt;"",H20&lt;&gt;J20,K20=0,L20=0),"READY","OPEN")</f>
        <v>OPEN</v>
      </c>
      <c r="N20" s="4"/>
    </row>
    <row r="21" customFormat="false" ht="15" hidden="false" customHeight="false" outlineLevel="0" collapsed="false">
      <c r="A21" s="14" t="s">
        <v>824</v>
      </c>
      <c r="B21" s="14" t="s">
        <v>163</v>
      </c>
      <c r="C21" s="14" t="s">
        <v>164</v>
      </c>
      <c r="D21" s="14" t="s">
        <v>166</v>
      </c>
      <c r="E21" s="14" t="s">
        <v>811</v>
      </c>
      <c r="F21" s="17" t="n">
        <v>3</v>
      </c>
      <c r="G21" s="16"/>
      <c r="H21" s="16"/>
      <c r="I21" s="16"/>
      <c r="J21" s="16"/>
      <c r="K21" s="16" t="n">
        <v>0</v>
      </c>
      <c r="L21" s="16" t="n">
        <v>0</v>
      </c>
      <c r="M21" s="14" t="str">
        <f aca="false">IF(AND(G21&lt;&gt;"",H21&lt;&gt;"",I21&lt;&gt;"",J21&lt;&gt;"",H21&lt;&gt;J21,K21=0,L21=0),"READY","OPEN")</f>
        <v>OPEN</v>
      </c>
      <c r="N21" s="4"/>
    </row>
    <row r="22" customFormat="false" ht="15" hidden="false" customHeight="false" outlineLevel="0" collapsed="false">
      <c r="A22" s="14" t="s">
        <v>825</v>
      </c>
      <c r="B22" s="14" t="s">
        <v>163</v>
      </c>
      <c r="C22" s="14" t="s">
        <v>164</v>
      </c>
      <c r="D22" s="14" t="s">
        <v>166</v>
      </c>
      <c r="E22" s="14" t="s">
        <v>813</v>
      </c>
      <c r="F22" s="17" t="n">
        <v>0</v>
      </c>
      <c r="G22" s="16"/>
      <c r="H22" s="16"/>
      <c r="I22" s="16"/>
      <c r="J22" s="16"/>
      <c r="K22" s="16" t="n">
        <v>0</v>
      </c>
      <c r="L22" s="16" t="n">
        <v>0</v>
      </c>
      <c r="M22" s="14" t="str">
        <f aca="false">IF(AND(G22&lt;&gt;"",H22&lt;&gt;"",I22&lt;&gt;"",J22&lt;&gt;"",H22&lt;&gt;J22,K22=0,L22=0),"READY","OPEN")</f>
        <v>OPEN</v>
      </c>
      <c r="N22" s="4"/>
    </row>
    <row r="23" customFormat="false" ht="15" hidden="false" customHeight="false" outlineLevel="0" collapsed="false">
      <c r="A23" s="14" t="s">
        <v>826</v>
      </c>
      <c r="B23" s="14" t="s">
        <v>168</v>
      </c>
      <c r="C23" s="14" t="s">
        <v>164</v>
      </c>
      <c r="D23" s="14" t="s">
        <v>169</v>
      </c>
      <c r="E23" s="14" t="s">
        <v>807</v>
      </c>
      <c r="F23" s="17" t="n">
        <v>10.5</v>
      </c>
      <c r="G23" s="16"/>
      <c r="H23" s="16"/>
      <c r="I23" s="16"/>
      <c r="J23" s="16"/>
      <c r="K23" s="16" t="n">
        <v>0</v>
      </c>
      <c r="L23" s="16" t="n">
        <v>0</v>
      </c>
      <c r="M23" s="14" t="str">
        <f aca="false">IF(AND(G23&lt;&gt;"",H23&lt;&gt;"",I23&lt;&gt;"",J23&lt;&gt;"",H23&lt;&gt;J23,K23=0,L23=0),"READY","OPEN")</f>
        <v>OPEN</v>
      </c>
      <c r="N23" s="4"/>
    </row>
    <row r="24" customFormat="false" ht="15" hidden="false" customHeight="false" outlineLevel="0" collapsed="false">
      <c r="A24" s="14" t="s">
        <v>827</v>
      </c>
      <c r="B24" s="14" t="s">
        <v>168</v>
      </c>
      <c r="C24" s="14" t="s">
        <v>164</v>
      </c>
      <c r="D24" s="14" t="s">
        <v>169</v>
      </c>
      <c r="E24" s="14" t="s">
        <v>809</v>
      </c>
      <c r="F24" s="17" t="n">
        <v>7.5</v>
      </c>
      <c r="G24" s="16"/>
      <c r="H24" s="16"/>
      <c r="I24" s="16"/>
      <c r="J24" s="16"/>
      <c r="K24" s="16" t="n">
        <v>0</v>
      </c>
      <c r="L24" s="16" t="n">
        <v>0</v>
      </c>
      <c r="M24" s="14" t="str">
        <f aca="false">IF(AND(G24&lt;&gt;"",H24&lt;&gt;"",I24&lt;&gt;"",J24&lt;&gt;"",H24&lt;&gt;J24,K24=0,L24=0),"READY","OPEN")</f>
        <v>OPEN</v>
      </c>
      <c r="N24" s="4"/>
    </row>
    <row r="25" customFormat="false" ht="15" hidden="false" customHeight="false" outlineLevel="0" collapsed="false">
      <c r="A25" s="14" t="s">
        <v>828</v>
      </c>
      <c r="B25" s="14" t="s">
        <v>168</v>
      </c>
      <c r="C25" s="14" t="s">
        <v>164</v>
      </c>
      <c r="D25" s="14" t="s">
        <v>169</v>
      </c>
      <c r="E25" s="14" t="s">
        <v>811</v>
      </c>
      <c r="F25" s="17" t="n">
        <v>3</v>
      </c>
      <c r="G25" s="16"/>
      <c r="H25" s="16"/>
      <c r="I25" s="16"/>
      <c r="J25" s="16"/>
      <c r="K25" s="16" t="n">
        <v>0</v>
      </c>
      <c r="L25" s="16" t="n">
        <v>0</v>
      </c>
      <c r="M25" s="14" t="str">
        <f aca="false">IF(AND(G25&lt;&gt;"",H25&lt;&gt;"",I25&lt;&gt;"",J25&lt;&gt;"",H25&lt;&gt;J25,K25=0,L25=0),"READY","OPEN")</f>
        <v>OPEN</v>
      </c>
      <c r="N25" s="4"/>
    </row>
    <row r="26" customFormat="false" ht="15" hidden="false" customHeight="false" outlineLevel="0" collapsed="false">
      <c r="A26" s="14" t="s">
        <v>829</v>
      </c>
      <c r="B26" s="14" t="s">
        <v>168</v>
      </c>
      <c r="C26" s="14" t="s">
        <v>164</v>
      </c>
      <c r="D26" s="14" t="s">
        <v>169</v>
      </c>
      <c r="E26" s="14" t="s">
        <v>813</v>
      </c>
      <c r="F26" s="17" t="n">
        <v>0</v>
      </c>
      <c r="G26" s="16"/>
      <c r="H26" s="16"/>
      <c r="I26" s="16"/>
      <c r="J26" s="16"/>
      <c r="K26" s="16" t="n">
        <v>0</v>
      </c>
      <c r="L26" s="16" t="n">
        <v>0</v>
      </c>
      <c r="M26" s="14" t="str">
        <f aca="false">IF(AND(G26&lt;&gt;"",H26&lt;&gt;"",I26&lt;&gt;"",J26&lt;&gt;"",H26&lt;&gt;J26,K26=0,L26=0),"READY","OPEN")</f>
        <v>OPEN</v>
      </c>
      <c r="N26" s="4"/>
    </row>
    <row r="27" customFormat="false" ht="15" hidden="false" customHeight="false" outlineLevel="0" collapsed="false">
      <c r="A27" s="14" t="s">
        <v>830</v>
      </c>
      <c r="B27" s="14" t="s">
        <v>171</v>
      </c>
      <c r="C27" s="14" t="s">
        <v>164</v>
      </c>
      <c r="D27" s="14" t="s">
        <v>172</v>
      </c>
      <c r="E27" s="14" t="s">
        <v>807</v>
      </c>
      <c r="F27" s="17" t="n">
        <v>10.5</v>
      </c>
      <c r="G27" s="16"/>
      <c r="H27" s="16"/>
      <c r="I27" s="16"/>
      <c r="J27" s="16"/>
      <c r="K27" s="16" t="n">
        <v>0</v>
      </c>
      <c r="L27" s="16" t="n">
        <v>0</v>
      </c>
      <c r="M27" s="14" t="str">
        <f aca="false">IF(AND(G27&lt;&gt;"",H27&lt;&gt;"",I27&lt;&gt;"",J27&lt;&gt;"",H27&lt;&gt;J27,K27=0,L27=0),"READY","OPEN")</f>
        <v>OPEN</v>
      </c>
      <c r="N27" s="4"/>
    </row>
    <row r="28" customFormat="false" ht="15" hidden="false" customHeight="false" outlineLevel="0" collapsed="false">
      <c r="A28" s="14" t="s">
        <v>831</v>
      </c>
      <c r="B28" s="14" t="s">
        <v>171</v>
      </c>
      <c r="C28" s="14" t="s">
        <v>164</v>
      </c>
      <c r="D28" s="14" t="s">
        <v>172</v>
      </c>
      <c r="E28" s="14" t="s">
        <v>809</v>
      </c>
      <c r="F28" s="17" t="n">
        <v>7.5</v>
      </c>
      <c r="G28" s="16"/>
      <c r="H28" s="16"/>
      <c r="I28" s="16"/>
      <c r="J28" s="16"/>
      <c r="K28" s="16" t="n">
        <v>0</v>
      </c>
      <c r="L28" s="16" t="n">
        <v>0</v>
      </c>
      <c r="M28" s="14" t="str">
        <f aca="false">IF(AND(G28&lt;&gt;"",H28&lt;&gt;"",I28&lt;&gt;"",J28&lt;&gt;"",H28&lt;&gt;J28,K28=0,L28=0),"READY","OPEN")</f>
        <v>OPEN</v>
      </c>
      <c r="N28" s="4"/>
    </row>
    <row r="29" customFormat="false" ht="15" hidden="false" customHeight="false" outlineLevel="0" collapsed="false">
      <c r="A29" s="14" t="s">
        <v>832</v>
      </c>
      <c r="B29" s="14" t="s">
        <v>171</v>
      </c>
      <c r="C29" s="14" t="s">
        <v>164</v>
      </c>
      <c r="D29" s="14" t="s">
        <v>172</v>
      </c>
      <c r="E29" s="14" t="s">
        <v>811</v>
      </c>
      <c r="F29" s="17" t="n">
        <v>3</v>
      </c>
      <c r="G29" s="16"/>
      <c r="H29" s="16"/>
      <c r="I29" s="16"/>
      <c r="J29" s="16"/>
      <c r="K29" s="16" t="n">
        <v>0</v>
      </c>
      <c r="L29" s="16" t="n">
        <v>0</v>
      </c>
      <c r="M29" s="14" t="str">
        <f aca="false">IF(AND(G29&lt;&gt;"",H29&lt;&gt;"",I29&lt;&gt;"",J29&lt;&gt;"",H29&lt;&gt;J29,K29=0,L29=0),"READY","OPEN")</f>
        <v>OPEN</v>
      </c>
      <c r="N29" s="4"/>
    </row>
    <row r="30" customFormat="false" ht="15" hidden="false" customHeight="false" outlineLevel="0" collapsed="false">
      <c r="A30" s="14" t="s">
        <v>833</v>
      </c>
      <c r="B30" s="14" t="s">
        <v>171</v>
      </c>
      <c r="C30" s="14" t="s">
        <v>164</v>
      </c>
      <c r="D30" s="14" t="s">
        <v>172</v>
      </c>
      <c r="E30" s="14" t="s">
        <v>813</v>
      </c>
      <c r="F30" s="17" t="n">
        <v>0</v>
      </c>
      <c r="G30" s="16"/>
      <c r="H30" s="16"/>
      <c r="I30" s="16"/>
      <c r="J30" s="16"/>
      <c r="K30" s="16" t="n">
        <v>0</v>
      </c>
      <c r="L30" s="16" t="n">
        <v>0</v>
      </c>
      <c r="M30" s="14" t="str">
        <f aca="false">IF(AND(G30&lt;&gt;"",H30&lt;&gt;"",I30&lt;&gt;"",J30&lt;&gt;"",H30&lt;&gt;J30,K30=0,L30=0),"READY","OPEN")</f>
        <v>OPEN</v>
      </c>
      <c r="N30" s="4"/>
    </row>
    <row r="31" customFormat="false" ht="15" hidden="false" customHeight="false" outlineLevel="0" collapsed="false">
      <c r="A31" s="14" t="s">
        <v>834</v>
      </c>
      <c r="B31" s="14" t="s">
        <v>174</v>
      </c>
      <c r="C31" s="14" t="s">
        <v>175</v>
      </c>
      <c r="D31" s="14" t="s">
        <v>152</v>
      </c>
      <c r="E31" s="14" t="s">
        <v>807</v>
      </c>
      <c r="F31" s="17" t="n">
        <v>10.5</v>
      </c>
      <c r="G31" s="16"/>
      <c r="H31" s="16"/>
      <c r="I31" s="16"/>
      <c r="J31" s="16"/>
      <c r="K31" s="16" t="n">
        <v>0</v>
      </c>
      <c r="L31" s="16" t="n">
        <v>0</v>
      </c>
      <c r="M31" s="14" t="str">
        <f aca="false">IF(AND(G31&lt;&gt;"",H31&lt;&gt;"",I31&lt;&gt;"",J31&lt;&gt;"",H31&lt;&gt;J31,K31=0,L31=0),"READY","OPEN")</f>
        <v>OPEN</v>
      </c>
      <c r="N31" s="4"/>
    </row>
    <row r="32" customFormat="false" ht="15" hidden="false" customHeight="false" outlineLevel="0" collapsed="false">
      <c r="A32" s="14" t="s">
        <v>835</v>
      </c>
      <c r="B32" s="14" t="s">
        <v>174</v>
      </c>
      <c r="C32" s="14" t="s">
        <v>175</v>
      </c>
      <c r="D32" s="14" t="s">
        <v>152</v>
      </c>
      <c r="E32" s="14" t="s">
        <v>809</v>
      </c>
      <c r="F32" s="17" t="n">
        <v>7.5</v>
      </c>
      <c r="G32" s="16"/>
      <c r="H32" s="16"/>
      <c r="I32" s="16"/>
      <c r="J32" s="16"/>
      <c r="K32" s="16" t="n">
        <v>0</v>
      </c>
      <c r="L32" s="16" t="n">
        <v>0</v>
      </c>
      <c r="M32" s="14" t="str">
        <f aca="false">IF(AND(G32&lt;&gt;"",H32&lt;&gt;"",I32&lt;&gt;"",J32&lt;&gt;"",H32&lt;&gt;J32,K32=0,L32=0),"READY","OPEN")</f>
        <v>OPEN</v>
      </c>
      <c r="N32" s="4"/>
    </row>
    <row r="33" customFormat="false" ht="15" hidden="false" customHeight="false" outlineLevel="0" collapsed="false">
      <c r="A33" s="14" t="s">
        <v>836</v>
      </c>
      <c r="B33" s="14" t="s">
        <v>174</v>
      </c>
      <c r="C33" s="14" t="s">
        <v>175</v>
      </c>
      <c r="D33" s="14" t="s">
        <v>152</v>
      </c>
      <c r="E33" s="14" t="s">
        <v>811</v>
      </c>
      <c r="F33" s="17" t="n">
        <v>3</v>
      </c>
      <c r="G33" s="16"/>
      <c r="H33" s="16"/>
      <c r="I33" s="16"/>
      <c r="J33" s="16"/>
      <c r="K33" s="16" t="n">
        <v>0</v>
      </c>
      <c r="L33" s="16" t="n">
        <v>0</v>
      </c>
      <c r="M33" s="14" t="str">
        <f aca="false">IF(AND(G33&lt;&gt;"",H33&lt;&gt;"",I33&lt;&gt;"",J33&lt;&gt;"",H33&lt;&gt;J33,K33=0,L33=0),"READY","OPEN")</f>
        <v>OPEN</v>
      </c>
      <c r="N33" s="4"/>
    </row>
    <row r="34" customFormat="false" ht="15" hidden="false" customHeight="false" outlineLevel="0" collapsed="false">
      <c r="A34" s="14" t="s">
        <v>837</v>
      </c>
      <c r="B34" s="14" t="s">
        <v>174</v>
      </c>
      <c r="C34" s="14" t="s">
        <v>175</v>
      </c>
      <c r="D34" s="14" t="s">
        <v>152</v>
      </c>
      <c r="E34" s="14" t="s">
        <v>813</v>
      </c>
      <c r="F34" s="17" t="n">
        <v>0</v>
      </c>
      <c r="G34" s="16"/>
      <c r="H34" s="16"/>
      <c r="I34" s="16"/>
      <c r="J34" s="16"/>
      <c r="K34" s="16" t="n">
        <v>0</v>
      </c>
      <c r="L34" s="16" t="n">
        <v>0</v>
      </c>
      <c r="M34" s="14" t="str">
        <f aca="false">IF(AND(G34&lt;&gt;"",H34&lt;&gt;"",I34&lt;&gt;"",J34&lt;&gt;"",H34&lt;&gt;J34,K34=0,L34=0),"READY","OPEN")</f>
        <v>OPEN</v>
      </c>
      <c r="N34" s="4"/>
    </row>
    <row r="35" customFormat="false" ht="15" hidden="false" customHeight="false" outlineLevel="0" collapsed="false">
      <c r="A35" s="14" t="s">
        <v>838</v>
      </c>
      <c r="B35" s="14" t="s">
        <v>178</v>
      </c>
      <c r="C35" s="14" t="s">
        <v>175</v>
      </c>
      <c r="D35" s="14" t="s">
        <v>169</v>
      </c>
      <c r="E35" s="14" t="s">
        <v>807</v>
      </c>
      <c r="F35" s="17" t="n">
        <v>10.5</v>
      </c>
      <c r="G35" s="16"/>
      <c r="H35" s="16"/>
      <c r="I35" s="16"/>
      <c r="J35" s="16"/>
      <c r="K35" s="16" t="n">
        <v>0</v>
      </c>
      <c r="L35" s="16" t="n">
        <v>0</v>
      </c>
      <c r="M35" s="14" t="str">
        <f aca="false">IF(AND(G35&lt;&gt;"",H35&lt;&gt;"",I35&lt;&gt;"",J35&lt;&gt;"",H35&lt;&gt;J35,K35=0,L35=0),"READY","OPEN")</f>
        <v>OPEN</v>
      </c>
      <c r="N35" s="4"/>
    </row>
    <row r="36" customFormat="false" ht="15" hidden="false" customHeight="false" outlineLevel="0" collapsed="false">
      <c r="A36" s="14" t="s">
        <v>839</v>
      </c>
      <c r="B36" s="14" t="s">
        <v>178</v>
      </c>
      <c r="C36" s="14" t="s">
        <v>175</v>
      </c>
      <c r="D36" s="14" t="s">
        <v>169</v>
      </c>
      <c r="E36" s="14" t="s">
        <v>809</v>
      </c>
      <c r="F36" s="17" t="n">
        <v>7.5</v>
      </c>
      <c r="G36" s="16"/>
      <c r="H36" s="16"/>
      <c r="I36" s="16"/>
      <c r="J36" s="16"/>
      <c r="K36" s="16" t="n">
        <v>0</v>
      </c>
      <c r="L36" s="16" t="n">
        <v>0</v>
      </c>
      <c r="M36" s="14" t="str">
        <f aca="false">IF(AND(G36&lt;&gt;"",H36&lt;&gt;"",I36&lt;&gt;"",J36&lt;&gt;"",H36&lt;&gt;J36,K36=0,L36=0),"READY","OPEN")</f>
        <v>OPEN</v>
      </c>
      <c r="N36" s="4"/>
    </row>
    <row r="37" customFormat="false" ht="15" hidden="false" customHeight="false" outlineLevel="0" collapsed="false">
      <c r="A37" s="14" t="s">
        <v>840</v>
      </c>
      <c r="B37" s="14" t="s">
        <v>178</v>
      </c>
      <c r="C37" s="14" t="s">
        <v>175</v>
      </c>
      <c r="D37" s="14" t="s">
        <v>169</v>
      </c>
      <c r="E37" s="14" t="s">
        <v>811</v>
      </c>
      <c r="F37" s="17" t="n">
        <v>3</v>
      </c>
      <c r="G37" s="16"/>
      <c r="H37" s="16"/>
      <c r="I37" s="16"/>
      <c r="J37" s="16"/>
      <c r="K37" s="16" t="n">
        <v>0</v>
      </c>
      <c r="L37" s="16" t="n">
        <v>0</v>
      </c>
      <c r="M37" s="14" t="str">
        <f aca="false">IF(AND(G37&lt;&gt;"",H37&lt;&gt;"",I37&lt;&gt;"",J37&lt;&gt;"",H37&lt;&gt;J37,K37=0,L37=0),"READY","OPEN")</f>
        <v>OPEN</v>
      </c>
      <c r="N37" s="4"/>
    </row>
    <row r="38" customFormat="false" ht="15" hidden="false" customHeight="false" outlineLevel="0" collapsed="false">
      <c r="A38" s="14" t="s">
        <v>841</v>
      </c>
      <c r="B38" s="14" t="s">
        <v>178</v>
      </c>
      <c r="C38" s="14" t="s">
        <v>175</v>
      </c>
      <c r="D38" s="14" t="s">
        <v>169</v>
      </c>
      <c r="E38" s="14" t="s">
        <v>813</v>
      </c>
      <c r="F38" s="17" t="n">
        <v>0</v>
      </c>
      <c r="G38" s="16"/>
      <c r="H38" s="16"/>
      <c r="I38" s="16"/>
      <c r="J38" s="16"/>
      <c r="K38" s="16" t="n">
        <v>0</v>
      </c>
      <c r="L38" s="16" t="n">
        <v>0</v>
      </c>
      <c r="M38" s="14" t="str">
        <f aca="false">IF(AND(G38&lt;&gt;"",H38&lt;&gt;"",I38&lt;&gt;"",J38&lt;&gt;"",H38&lt;&gt;J38,K38=0,L38=0),"READY","OPEN")</f>
        <v>OPEN</v>
      </c>
      <c r="N38" s="4"/>
    </row>
    <row r="39" customFormat="false" ht="15" hidden="false" customHeight="false" outlineLevel="0" collapsed="false">
      <c r="A39" s="14" t="s">
        <v>842</v>
      </c>
      <c r="B39" s="14" t="s">
        <v>180</v>
      </c>
      <c r="C39" s="14" t="s">
        <v>175</v>
      </c>
      <c r="D39" s="14" t="s">
        <v>161</v>
      </c>
      <c r="E39" s="14" t="s">
        <v>807</v>
      </c>
      <c r="F39" s="17" t="n">
        <v>10.5</v>
      </c>
      <c r="G39" s="16"/>
      <c r="H39" s="16"/>
      <c r="I39" s="16"/>
      <c r="J39" s="16"/>
      <c r="K39" s="16" t="n">
        <v>0</v>
      </c>
      <c r="L39" s="16" t="n">
        <v>0</v>
      </c>
      <c r="M39" s="14" t="str">
        <f aca="false">IF(AND(G39&lt;&gt;"",H39&lt;&gt;"",I39&lt;&gt;"",J39&lt;&gt;"",H39&lt;&gt;J39,K39=0,L39=0),"READY","OPEN")</f>
        <v>OPEN</v>
      </c>
      <c r="N39" s="4"/>
    </row>
    <row r="40" customFormat="false" ht="15" hidden="false" customHeight="false" outlineLevel="0" collapsed="false">
      <c r="A40" s="14" t="s">
        <v>843</v>
      </c>
      <c r="B40" s="14" t="s">
        <v>180</v>
      </c>
      <c r="C40" s="14" t="s">
        <v>175</v>
      </c>
      <c r="D40" s="14" t="s">
        <v>161</v>
      </c>
      <c r="E40" s="14" t="s">
        <v>809</v>
      </c>
      <c r="F40" s="17" t="n">
        <v>7.5</v>
      </c>
      <c r="G40" s="16"/>
      <c r="H40" s="16"/>
      <c r="I40" s="16"/>
      <c r="J40" s="16"/>
      <c r="K40" s="16" t="n">
        <v>0</v>
      </c>
      <c r="L40" s="16" t="n">
        <v>0</v>
      </c>
      <c r="M40" s="14" t="str">
        <f aca="false">IF(AND(G40&lt;&gt;"",H40&lt;&gt;"",I40&lt;&gt;"",J40&lt;&gt;"",H40&lt;&gt;J40,K40=0,L40=0),"READY","OPEN")</f>
        <v>OPEN</v>
      </c>
      <c r="N40" s="4"/>
    </row>
    <row r="41" customFormat="false" ht="15" hidden="false" customHeight="false" outlineLevel="0" collapsed="false">
      <c r="A41" s="14" t="s">
        <v>844</v>
      </c>
      <c r="B41" s="14" t="s">
        <v>180</v>
      </c>
      <c r="C41" s="14" t="s">
        <v>175</v>
      </c>
      <c r="D41" s="14" t="s">
        <v>161</v>
      </c>
      <c r="E41" s="14" t="s">
        <v>811</v>
      </c>
      <c r="F41" s="17" t="n">
        <v>3</v>
      </c>
      <c r="G41" s="16"/>
      <c r="H41" s="16"/>
      <c r="I41" s="16"/>
      <c r="J41" s="16"/>
      <c r="K41" s="16" t="n">
        <v>0</v>
      </c>
      <c r="L41" s="16" t="n">
        <v>0</v>
      </c>
      <c r="M41" s="14" t="str">
        <f aca="false">IF(AND(G41&lt;&gt;"",H41&lt;&gt;"",I41&lt;&gt;"",J41&lt;&gt;"",H41&lt;&gt;J41,K41=0,L41=0),"READY","OPEN")</f>
        <v>OPEN</v>
      </c>
      <c r="N41" s="4"/>
    </row>
    <row r="42" customFormat="false" ht="15" hidden="false" customHeight="false" outlineLevel="0" collapsed="false">
      <c r="A42" s="14" t="s">
        <v>845</v>
      </c>
      <c r="B42" s="14" t="s">
        <v>180</v>
      </c>
      <c r="C42" s="14" t="s">
        <v>175</v>
      </c>
      <c r="D42" s="14" t="s">
        <v>161</v>
      </c>
      <c r="E42" s="14" t="s">
        <v>813</v>
      </c>
      <c r="F42" s="17" t="n">
        <v>0</v>
      </c>
      <c r="G42" s="16"/>
      <c r="H42" s="16"/>
      <c r="I42" s="16"/>
      <c r="J42" s="16"/>
      <c r="K42" s="16" t="n">
        <v>0</v>
      </c>
      <c r="L42" s="16" t="n">
        <v>0</v>
      </c>
      <c r="M42" s="14" t="str">
        <f aca="false">IF(AND(G42&lt;&gt;"",H42&lt;&gt;"",I42&lt;&gt;"",J42&lt;&gt;"",H42&lt;&gt;J42,K42=0,L42=0),"READY","OPEN")</f>
        <v>OPEN</v>
      </c>
      <c r="N42" s="4"/>
    </row>
    <row r="43" customFormat="false" ht="15" hidden="false" customHeight="false" outlineLevel="0" collapsed="false">
      <c r="A43" s="14" t="s">
        <v>846</v>
      </c>
      <c r="B43" s="14" t="s">
        <v>182</v>
      </c>
      <c r="C43" s="14" t="s">
        <v>183</v>
      </c>
      <c r="D43" s="14" t="s">
        <v>166</v>
      </c>
      <c r="E43" s="14" t="s">
        <v>807</v>
      </c>
      <c r="F43" s="17" t="n">
        <v>10.5</v>
      </c>
      <c r="G43" s="16"/>
      <c r="H43" s="16"/>
      <c r="I43" s="16"/>
      <c r="J43" s="16"/>
      <c r="K43" s="16" t="n">
        <v>0</v>
      </c>
      <c r="L43" s="16" t="n">
        <v>0</v>
      </c>
      <c r="M43" s="14" t="str">
        <f aca="false">IF(AND(G43&lt;&gt;"",H43&lt;&gt;"",I43&lt;&gt;"",J43&lt;&gt;"",H43&lt;&gt;J43,K43=0,L43=0),"READY","OPEN")</f>
        <v>OPEN</v>
      </c>
      <c r="N43" s="4"/>
    </row>
    <row r="44" customFormat="false" ht="15" hidden="false" customHeight="false" outlineLevel="0" collapsed="false">
      <c r="A44" s="14" t="s">
        <v>847</v>
      </c>
      <c r="B44" s="14" t="s">
        <v>182</v>
      </c>
      <c r="C44" s="14" t="s">
        <v>183</v>
      </c>
      <c r="D44" s="14" t="s">
        <v>166</v>
      </c>
      <c r="E44" s="14" t="s">
        <v>809</v>
      </c>
      <c r="F44" s="17" t="n">
        <v>7.5</v>
      </c>
      <c r="G44" s="16"/>
      <c r="H44" s="16"/>
      <c r="I44" s="16"/>
      <c r="J44" s="16"/>
      <c r="K44" s="16" t="n">
        <v>0</v>
      </c>
      <c r="L44" s="16" t="n">
        <v>0</v>
      </c>
      <c r="M44" s="14" t="str">
        <f aca="false">IF(AND(G44&lt;&gt;"",H44&lt;&gt;"",I44&lt;&gt;"",J44&lt;&gt;"",H44&lt;&gt;J44,K44=0,L44=0),"READY","OPEN")</f>
        <v>OPEN</v>
      </c>
      <c r="N44" s="4"/>
    </row>
    <row r="45" customFormat="false" ht="15" hidden="false" customHeight="false" outlineLevel="0" collapsed="false">
      <c r="A45" s="14" t="s">
        <v>848</v>
      </c>
      <c r="B45" s="14" t="s">
        <v>182</v>
      </c>
      <c r="C45" s="14" t="s">
        <v>183</v>
      </c>
      <c r="D45" s="14" t="s">
        <v>166</v>
      </c>
      <c r="E45" s="14" t="s">
        <v>811</v>
      </c>
      <c r="F45" s="17" t="n">
        <v>3</v>
      </c>
      <c r="G45" s="16"/>
      <c r="H45" s="16"/>
      <c r="I45" s="16"/>
      <c r="J45" s="16"/>
      <c r="K45" s="16" t="n">
        <v>0</v>
      </c>
      <c r="L45" s="16" t="n">
        <v>0</v>
      </c>
      <c r="M45" s="14" t="str">
        <f aca="false">IF(AND(G45&lt;&gt;"",H45&lt;&gt;"",I45&lt;&gt;"",J45&lt;&gt;"",H45&lt;&gt;J45,K45=0,L45=0),"READY","OPEN")</f>
        <v>OPEN</v>
      </c>
      <c r="N45" s="4"/>
    </row>
    <row r="46" customFormat="false" ht="15" hidden="false" customHeight="false" outlineLevel="0" collapsed="false">
      <c r="A46" s="14" t="s">
        <v>849</v>
      </c>
      <c r="B46" s="14" t="s">
        <v>182</v>
      </c>
      <c r="C46" s="14" t="s">
        <v>183</v>
      </c>
      <c r="D46" s="14" t="s">
        <v>166</v>
      </c>
      <c r="E46" s="14" t="s">
        <v>813</v>
      </c>
      <c r="F46" s="17" t="n">
        <v>0</v>
      </c>
      <c r="G46" s="16"/>
      <c r="H46" s="16"/>
      <c r="I46" s="16"/>
      <c r="J46" s="16"/>
      <c r="K46" s="16" t="n">
        <v>0</v>
      </c>
      <c r="L46" s="16" t="n">
        <v>0</v>
      </c>
      <c r="M46" s="14" t="str">
        <f aca="false">IF(AND(G46&lt;&gt;"",H46&lt;&gt;"",I46&lt;&gt;"",J46&lt;&gt;"",H46&lt;&gt;J46,K46=0,L46=0),"READY","OPEN")</f>
        <v>OPEN</v>
      </c>
      <c r="N46" s="4"/>
    </row>
    <row r="47" customFormat="false" ht="15" hidden="false" customHeight="false" outlineLevel="0" collapsed="false">
      <c r="A47" s="14" t="s">
        <v>850</v>
      </c>
      <c r="B47" s="14" t="s">
        <v>186</v>
      </c>
      <c r="C47" s="14" t="s">
        <v>183</v>
      </c>
      <c r="D47" s="14" t="s">
        <v>157</v>
      </c>
      <c r="E47" s="14" t="s">
        <v>807</v>
      </c>
      <c r="F47" s="17" t="n">
        <v>10.5</v>
      </c>
      <c r="G47" s="16"/>
      <c r="H47" s="16"/>
      <c r="I47" s="16"/>
      <c r="J47" s="16"/>
      <c r="K47" s="16" t="n">
        <v>0</v>
      </c>
      <c r="L47" s="16" t="n">
        <v>0</v>
      </c>
      <c r="M47" s="14" t="str">
        <f aca="false">IF(AND(G47&lt;&gt;"",H47&lt;&gt;"",I47&lt;&gt;"",J47&lt;&gt;"",H47&lt;&gt;J47,K47=0,L47=0),"READY","OPEN")</f>
        <v>OPEN</v>
      </c>
      <c r="N47" s="4"/>
    </row>
    <row r="48" customFormat="false" ht="15" hidden="false" customHeight="false" outlineLevel="0" collapsed="false">
      <c r="A48" s="14" t="s">
        <v>851</v>
      </c>
      <c r="B48" s="14" t="s">
        <v>186</v>
      </c>
      <c r="C48" s="14" t="s">
        <v>183</v>
      </c>
      <c r="D48" s="14" t="s">
        <v>157</v>
      </c>
      <c r="E48" s="14" t="s">
        <v>809</v>
      </c>
      <c r="F48" s="17" t="n">
        <v>7.5</v>
      </c>
      <c r="G48" s="16"/>
      <c r="H48" s="16"/>
      <c r="I48" s="16"/>
      <c r="J48" s="16"/>
      <c r="K48" s="16" t="n">
        <v>0</v>
      </c>
      <c r="L48" s="16" t="n">
        <v>0</v>
      </c>
      <c r="M48" s="14" t="str">
        <f aca="false">IF(AND(G48&lt;&gt;"",H48&lt;&gt;"",I48&lt;&gt;"",J48&lt;&gt;"",H48&lt;&gt;J48,K48=0,L48=0),"READY","OPEN")</f>
        <v>OPEN</v>
      </c>
      <c r="N48" s="4"/>
    </row>
    <row r="49" customFormat="false" ht="15" hidden="false" customHeight="false" outlineLevel="0" collapsed="false">
      <c r="A49" s="14" t="s">
        <v>852</v>
      </c>
      <c r="B49" s="14" t="s">
        <v>186</v>
      </c>
      <c r="C49" s="14" t="s">
        <v>183</v>
      </c>
      <c r="D49" s="14" t="s">
        <v>157</v>
      </c>
      <c r="E49" s="14" t="s">
        <v>811</v>
      </c>
      <c r="F49" s="17" t="n">
        <v>3</v>
      </c>
      <c r="G49" s="16"/>
      <c r="H49" s="16"/>
      <c r="I49" s="16"/>
      <c r="J49" s="16"/>
      <c r="K49" s="16" t="n">
        <v>0</v>
      </c>
      <c r="L49" s="16" t="n">
        <v>0</v>
      </c>
      <c r="M49" s="14" t="str">
        <f aca="false">IF(AND(G49&lt;&gt;"",H49&lt;&gt;"",I49&lt;&gt;"",J49&lt;&gt;"",H49&lt;&gt;J49,K49=0,L49=0),"READY","OPEN")</f>
        <v>OPEN</v>
      </c>
      <c r="N49" s="4"/>
    </row>
    <row r="50" customFormat="false" ht="15" hidden="false" customHeight="false" outlineLevel="0" collapsed="false">
      <c r="A50" s="14" t="s">
        <v>853</v>
      </c>
      <c r="B50" s="14" t="s">
        <v>186</v>
      </c>
      <c r="C50" s="14" t="s">
        <v>183</v>
      </c>
      <c r="D50" s="14" t="s">
        <v>157</v>
      </c>
      <c r="E50" s="14" t="s">
        <v>813</v>
      </c>
      <c r="F50" s="17" t="n">
        <v>0</v>
      </c>
      <c r="G50" s="16"/>
      <c r="H50" s="16"/>
      <c r="I50" s="16"/>
      <c r="J50" s="16"/>
      <c r="K50" s="16" t="n">
        <v>0</v>
      </c>
      <c r="L50" s="16" t="n">
        <v>0</v>
      </c>
      <c r="M50" s="14" t="str">
        <f aca="false">IF(AND(G50&lt;&gt;"",H50&lt;&gt;"",I50&lt;&gt;"",J50&lt;&gt;"",H50&lt;&gt;J50,K50=0,L50=0),"READY","OPEN")</f>
        <v>OPEN</v>
      </c>
      <c r="N50" s="4"/>
    </row>
    <row r="51" customFormat="false" ht="15" hidden="false" customHeight="false" outlineLevel="0" collapsed="false">
      <c r="A51" s="14" t="s">
        <v>854</v>
      </c>
      <c r="B51" s="14" t="s">
        <v>188</v>
      </c>
      <c r="C51" s="14" t="s">
        <v>183</v>
      </c>
      <c r="D51" s="14" t="s">
        <v>172</v>
      </c>
      <c r="E51" s="14" t="s">
        <v>807</v>
      </c>
      <c r="F51" s="17" t="n">
        <v>10.5</v>
      </c>
      <c r="G51" s="16"/>
      <c r="H51" s="16"/>
      <c r="I51" s="16"/>
      <c r="J51" s="16"/>
      <c r="K51" s="16" t="n">
        <v>0</v>
      </c>
      <c r="L51" s="16" t="n">
        <v>0</v>
      </c>
      <c r="M51" s="14" t="str">
        <f aca="false">IF(AND(G51&lt;&gt;"",H51&lt;&gt;"",I51&lt;&gt;"",J51&lt;&gt;"",H51&lt;&gt;J51,K51=0,L51=0),"READY","OPEN")</f>
        <v>OPEN</v>
      </c>
      <c r="N51" s="4"/>
    </row>
    <row r="52" customFormat="false" ht="15" hidden="false" customHeight="false" outlineLevel="0" collapsed="false">
      <c r="A52" s="14" t="s">
        <v>855</v>
      </c>
      <c r="B52" s="14" t="s">
        <v>188</v>
      </c>
      <c r="C52" s="14" t="s">
        <v>183</v>
      </c>
      <c r="D52" s="14" t="s">
        <v>172</v>
      </c>
      <c r="E52" s="14" t="s">
        <v>809</v>
      </c>
      <c r="F52" s="17" t="n">
        <v>7.5</v>
      </c>
      <c r="G52" s="16"/>
      <c r="H52" s="16"/>
      <c r="I52" s="16"/>
      <c r="J52" s="16"/>
      <c r="K52" s="16" t="n">
        <v>0</v>
      </c>
      <c r="L52" s="16" t="n">
        <v>0</v>
      </c>
      <c r="M52" s="14" t="str">
        <f aca="false">IF(AND(G52&lt;&gt;"",H52&lt;&gt;"",I52&lt;&gt;"",J52&lt;&gt;"",H52&lt;&gt;J52,K52=0,L52=0),"READY","OPEN")</f>
        <v>OPEN</v>
      </c>
      <c r="N52" s="4"/>
    </row>
    <row r="53" customFormat="false" ht="15" hidden="false" customHeight="false" outlineLevel="0" collapsed="false">
      <c r="A53" s="14" t="s">
        <v>856</v>
      </c>
      <c r="B53" s="14" t="s">
        <v>188</v>
      </c>
      <c r="C53" s="14" t="s">
        <v>183</v>
      </c>
      <c r="D53" s="14" t="s">
        <v>172</v>
      </c>
      <c r="E53" s="14" t="s">
        <v>811</v>
      </c>
      <c r="F53" s="17" t="n">
        <v>3</v>
      </c>
      <c r="G53" s="16"/>
      <c r="H53" s="16"/>
      <c r="I53" s="16"/>
      <c r="J53" s="16"/>
      <c r="K53" s="16" t="n">
        <v>0</v>
      </c>
      <c r="L53" s="16" t="n">
        <v>0</v>
      </c>
      <c r="M53" s="14" t="str">
        <f aca="false">IF(AND(G53&lt;&gt;"",H53&lt;&gt;"",I53&lt;&gt;"",J53&lt;&gt;"",H53&lt;&gt;J53,K53=0,L53=0),"READY","OPEN")</f>
        <v>OPEN</v>
      </c>
      <c r="N53" s="4"/>
    </row>
    <row r="54" customFormat="false" ht="15" hidden="false" customHeight="false" outlineLevel="0" collapsed="false">
      <c r="A54" s="14" t="s">
        <v>857</v>
      </c>
      <c r="B54" s="14" t="s">
        <v>188</v>
      </c>
      <c r="C54" s="14" t="s">
        <v>183</v>
      </c>
      <c r="D54" s="14" t="s">
        <v>172</v>
      </c>
      <c r="E54" s="14" t="s">
        <v>813</v>
      </c>
      <c r="F54" s="17" t="n">
        <v>0</v>
      </c>
      <c r="G54" s="16"/>
      <c r="H54" s="16"/>
      <c r="I54" s="16"/>
      <c r="J54" s="16"/>
      <c r="K54" s="16" t="n">
        <v>0</v>
      </c>
      <c r="L54" s="16" t="n">
        <v>0</v>
      </c>
      <c r="M54" s="14" t="str">
        <f aca="false">IF(AND(G54&lt;&gt;"",H54&lt;&gt;"",I54&lt;&gt;"",J54&lt;&gt;"",H54&lt;&gt;J54,K54=0,L54=0),"READY","OPEN")</f>
        <v>OPEN</v>
      </c>
      <c r="N54" s="4"/>
    </row>
    <row r="55" customFormat="false" ht="15" hidden="false" customHeight="false" outlineLevel="0" collapsed="false">
      <c r="A55" s="14" t="s">
        <v>858</v>
      </c>
      <c r="B55" s="14" t="s">
        <v>190</v>
      </c>
      <c r="C55" s="14" t="s">
        <v>191</v>
      </c>
      <c r="D55" s="14" t="s">
        <v>152</v>
      </c>
      <c r="E55" s="14" t="s">
        <v>807</v>
      </c>
      <c r="F55" s="17" t="n">
        <v>10.5</v>
      </c>
      <c r="G55" s="16"/>
      <c r="H55" s="16"/>
      <c r="I55" s="16"/>
      <c r="J55" s="16"/>
      <c r="K55" s="16" t="n">
        <v>0</v>
      </c>
      <c r="L55" s="16" t="n">
        <v>0</v>
      </c>
      <c r="M55" s="14" t="str">
        <f aca="false">IF(AND(G55&lt;&gt;"",H55&lt;&gt;"",I55&lt;&gt;"",J55&lt;&gt;"",H55&lt;&gt;J55,K55=0,L55=0),"READY","OPEN")</f>
        <v>OPEN</v>
      </c>
      <c r="N55" s="4"/>
    </row>
    <row r="56" customFormat="false" ht="15" hidden="false" customHeight="false" outlineLevel="0" collapsed="false">
      <c r="A56" s="14" t="s">
        <v>859</v>
      </c>
      <c r="B56" s="14" t="s">
        <v>190</v>
      </c>
      <c r="C56" s="14" t="s">
        <v>191</v>
      </c>
      <c r="D56" s="14" t="s">
        <v>152</v>
      </c>
      <c r="E56" s="14" t="s">
        <v>809</v>
      </c>
      <c r="F56" s="17" t="n">
        <v>7.5</v>
      </c>
      <c r="G56" s="16"/>
      <c r="H56" s="16"/>
      <c r="I56" s="16"/>
      <c r="J56" s="16"/>
      <c r="K56" s="16" t="n">
        <v>0</v>
      </c>
      <c r="L56" s="16" t="n">
        <v>0</v>
      </c>
      <c r="M56" s="14" t="str">
        <f aca="false">IF(AND(G56&lt;&gt;"",H56&lt;&gt;"",I56&lt;&gt;"",J56&lt;&gt;"",H56&lt;&gt;J56,K56=0,L56=0),"READY","OPEN")</f>
        <v>OPEN</v>
      </c>
      <c r="N56" s="4"/>
    </row>
    <row r="57" customFormat="false" ht="15" hidden="false" customHeight="false" outlineLevel="0" collapsed="false">
      <c r="A57" s="14" t="s">
        <v>860</v>
      </c>
      <c r="B57" s="14" t="s">
        <v>190</v>
      </c>
      <c r="C57" s="14" t="s">
        <v>191</v>
      </c>
      <c r="D57" s="14" t="s">
        <v>152</v>
      </c>
      <c r="E57" s="14" t="s">
        <v>811</v>
      </c>
      <c r="F57" s="17" t="n">
        <v>3</v>
      </c>
      <c r="G57" s="16"/>
      <c r="H57" s="16"/>
      <c r="I57" s="16"/>
      <c r="J57" s="16"/>
      <c r="K57" s="16" t="n">
        <v>0</v>
      </c>
      <c r="L57" s="16" t="n">
        <v>0</v>
      </c>
      <c r="M57" s="14" t="str">
        <f aca="false">IF(AND(G57&lt;&gt;"",H57&lt;&gt;"",I57&lt;&gt;"",J57&lt;&gt;"",H57&lt;&gt;J57,K57=0,L57=0),"READY","OPEN")</f>
        <v>OPEN</v>
      </c>
      <c r="N57" s="4"/>
    </row>
    <row r="58" customFormat="false" ht="15" hidden="false" customHeight="false" outlineLevel="0" collapsed="false">
      <c r="A58" s="14" t="s">
        <v>861</v>
      </c>
      <c r="B58" s="14" t="s">
        <v>190</v>
      </c>
      <c r="C58" s="14" t="s">
        <v>191</v>
      </c>
      <c r="D58" s="14" t="s">
        <v>152</v>
      </c>
      <c r="E58" s="14" t="s">
        <v>813</v>
      </c>
      <c r="F58" s="17" t="n">
        <v>0</v>
      </c>
      <c r="G58" s="16"/>
      <c r="H58" s="16"/>
      <c r="I58" s="16"/>
      <c r="J58" s="16"/>
      <c r="K58" s="16" t="n">
        <v>0</v>
      </c>
      <c r="L58" s="16" t="n">
        <v>0</v>
      </c>
      <c r="M58" s="14" t="str">
        <f aca="false">IF(AND(G58&lt;&gt;"",H58&lt;&gt;"",I58&lt;&gt;"",J58&lt;&gt;"",H58&lt;&gt;J58,K58=0,L58=0),"READY","OPEN")</f>
        <v>OPEN</v>
      </c>
      <c r="N58" s="4"/>
    </row>
    <row r="59" customFormat="false" ht="15" hidden="false" customHeight="false" outlineLevel="0" collapsed="false">
      <c r="A59" s="14" t="s">
        <v>862</v>
      </c>
      <c r="B59" s="14" t="s">
        <v>194</v>
      </c>
      <c r="C59" s="14" t="s">
        <v>191</v>
      </c>
      <c r="D59" s="14" t="s">
        <v>169</v>
      </c>
      <c r="E59" s="14" t="s">
        <v>807</v>
      </c>
      <c r="F59" s="17" t="n">
        <v>10.5</v>
      </c>
      <c r="G59" s="16"/>
      <c r="H59" s="16"/>
      <c r="I59" s="16"/>
      <c r="J59" s="16"/>
      <c r="K59" s="16" t="n">
        <v>0</v>
      </c>
      <c r="L59" s="16" t="n">
        <v>0</v>
      </c>
      <c r="M59" s="14" t="str">
        <f aca="false">IF(AND(G59&lt;&gt;"",H59&lt;&gt;"",I59&lt;&gt;"",J59&lt;&gt;"",H59&lt;&gt;J59,K59=0,L59=0),"READY","OPEN")</f>
        <v>OPEN</v>
      </c>
      <c r="N59" s="4"/>
    </row>
    <row r="60" customFormat="false" ht="15" hidden="false" customHeight="false" outlineLevel="0" collapsed="false">
      <c r="A60" s="14" t="s">
        <v>863</v>
      </c>
      <c r="B60" s="14" t="s">
        <v>194</v>
      </c>
      <c r="C60" s="14" t="s">
        <v>191</v>
      </c>
      <c r="D60" s="14" t="s">
        <v>169</v>
      </c>
      <c r="E60" s="14" t="s">
        <v>809</v>
      </c>
      <c r="F60" s="17" t="n">
        <v>7.5</v>
      </c>
      <c r="G60" s="16"/>
      <c r="H60" s="16"/>
      <c r="I60" s="16"/>
      <c r="J60" s="16"/>
      <c r="K60" s="16" t="n">
        <v>0</v>
      </c>
      <c r="L60" s="16" t="n">
        <v>0</v>
      </c>
      <c r="M60" s="14" t="str">
        <f aca="false">IF(AND(G60&lt;&gt;"",H60&lt;&gt;"",I60&lt;&gt;"",J60&lt;&gt;"",H60&lt;&gt;J60,K60=0,L60=0),"READY","OPEN")</f>
        <v>OPEN</v>
      </c>
      <c r="N60" s="4"/>
    </row>
    <row r="61" customFormat="false" ht="15" hidden="false" customHeight="false" outlineLevel="0" collapsed="false">
      <c r="A61" s="14" t="s">
        <v>864</v>
      </c>
      <c r="B61" s="14" t="s">
        <v>194</v>
      </c>
      <c r="C61" s="14" t="s">
        <v>191</v>
      </c>
      <c r="D61" s="14" t="s">
        <v>169</v>
      </c>
      <c r="E61" s="14" t="s">
        <v>811</v>
      </c>
      <c r="F61" s="17" t="n">
        <v>3</v>
      </c>
      <c r="G61" s="16"/>
      <c r="H61" s="16"/>
      <c r="I61" s="16"/>
      <c r="J61" s="16"/>
      <c r="K61" s="16" t="n">
        <v>0</v>
      </c>
      <c r="L61" s="16" t="n">
        <v>0</v>
      </c>
      <c r="M61" s="14" t="str">
        <f aca="false">IF(AND(G61&lt;&gt;"",H61&lt;&gt;"",I61&lt;&gt;"",J61&lt;&gt;"",H61&lt;&gt;J61,K61=0,L61=0),"READY","OPEN")</f>
        <v>OPEN</v>
      </c>
      <c r="N61" s="4"/>
    </row>
    <row r="62" customFormat="false" ht="15" hidden="false" customHeight="false" outlineLevel="0" collapsed="false">
      <c r="A62" s="14" t="s">
        <v>865</v>
      </c>
      <c r="B62" s="14" t="s">
        <v>194</v>
      </c>
      <c r="C62" s="14" t="s">
        <v>191</v>
      </c>
      <c r="D62" s="14" t="s">
        <v>169</v>
      </c>
      <c r="E62" s="14" t="s">
        <v>813</v>
      </c>
      <c r="F62" s="17" t="n">
        <v>0</v>
      </c>
      <c r="G62" s="16"/>
      <c r="H62" s="16"/>
      <c r="I62" s="16"/>
      <c r="J62" s="16"/>
      <c r="K62" s="16" t="n">
        <v>0</v>
      </c>
      <c r="L62" s="16" t="n">
        <v>0</v>
      </c>
      <c r="M62" s="14" t="str">
        <f aca="false">IF(AND(G62&lt;&gt;"",H62&lt;&gt;"",I62&lt;&gt;"",J62&lt;&gt;"",H62&lt;&gt;J62,K62=0,L62=0),"READY","OPEN")</f>
        <v>OPEN</v>
      </c>
      <c r="N62" s="4"/>
    </row>
    <row r="63" customFormat="false" ht="15" hidden="false" customHeight="false" outlineLevel="0" collapsed="false">
      <c r="A63" s="14" t="s">
        <v>866</v>
      </c>
      <c r="B63" s="14" t="s">
        <v>196</v>
      </c>
      <c r="C63" s="14" t="s">
        <v>191</v>
      </c>
      <c r="D63" s="14" t="s">
        <v>172</v>
      </c>
      <c r="E63" s="14" t="s">
        <v>807</v>
      </c>
      <c r="F63" s="17" t="n">
        <v>10.5</v>
      </c>
      <c r="G63" s="16"/>
      <c r="H63" s="16"/>
      <c r="I63" s="16"/>
      <c r="J63" s="16"/>
      <c r="K63" s="16" t="n">
        <v>0</v>
      </c>
      <c r="L63" s="16" t="n">
        <v>0</v>
      </c>
      <c r="M63" s="14" t="str">
        <f aca="false">IF(AND(G63&lt;&gt;"",H63&lt;&gt;"",I63&lt;&gt;"",J63&lt;&gt;"",H63&lt;&gt;J63,K63=0,L63=0),"READY","OPEN")</f>
        <v>OPEN</v>
      </c>
      <c r="N63" s="4"/>
    </row>
    <row r="64" customFormat="false" ht="15" hidden="false" customHeight="false" outlineLevel="0" collapsed="false">
      <c r="A64" s="14" t="s">
        <v>867</v>
      </c>
      <c r="B64" s="14" t="s">
        <v>196</v>
      </c>
      <c r="C64" s="14" t="s">
        <v>191</v>
      </c>
      <c r="D64" s="14" t="s">
        <v>172</v>
      </c>
      <c r="E64" s="14" t="s">
        <v>809</v>
      </c>
      <c r="F64" s="17" t="n">
        <v>7.5</v>
      </c>
      <c r="G64" s="16"/>
      <c r="H64" s="16"/>
      <c r="I64" s="16"/>
      <c r="J64" s="16"/>
      <c r="K64" s="16" t="n">
        <v>0</v>
      </c>
      <c r="L64" s="16" t="n">
        <v>0</v>
      </c>
      <c r="M64" s="14" t="str">
        <f aca="false">IF(AND(G64&lt;&gt;"",H64&lt;&gt;"",I64&lt;&gt;"",J64&lt;&gt;"",H64&lt;&gt;J64,K64=0,L64=0),"READY","OPEN")</f>
        <v>OPEN</v>
      </c>
      <c r="N64" s="4"/>
    </row>
    <row r="65" customFormat="false" ht="15" hidden="false" customHeight="false" outlineLevel="0" collapsed="false">
      <c r="A65" s="14" t="s">
        <v>868</v>
      </c>
      <c r="B65" s="14" t="s">
        <v>196</v>
      </c>
      <c r="C65" s="14" t="s">
        <v>191</v>
      </c>
      <c r="D65" s="14" t="s">
        <v>172</v>
      </c>
      <c r="E65" s="14" t="s">
        <v>811</v>
      </c>
      <c r="F65" s="17" t="n">
        <v>3</v>
      </c>
      <c r="G65" s="16"/>
      <c r="H65" s="16"/>
      <c r="I65" s="16"/>
      <c r="J65" s="16"/>
      <c r="K65" s="16" t="n">
        <v>0</v>
      </c>
      <c r="L65" s="16" t="n">
        <v>0</v>
      </c>
      <c r="M65" s="14" t="str">
        <f aca="false">IF(AND(G65&lt;&gt;"",H65&lt;&gt;"",I65&lt;&gt;"",J65&lt;&gt;"",H65&lt;&gt;J65,K65=0,L65=0),"READY","OPEN")</f>
        <v>OPEN</v>
      </c>
      <c r="N65" s="4"/>
    </row>
    <row r="66" customFormat="false" ht="15" hidden="false" customHeight="false" outlineLevel="0" collapsed="false">
      <c r="A66" s="14" t="s">
        <v>869</v>
      </c>
      <c r="B66" s="14" t="s">
        <v>196</v>
      </c>
      <c r="C66" s="14" t="s">
        <v>191</v>
      </c>
      <c r="D66" s="14" t="s">
        <v>172</v>
      </c>
      <c r="E66" s="14" t="s">
        <v>813</v>
      </c>
      <c r="F66" s="17" t="n">
        <v>0</v>
      </c>
      <c r="G66" s="16"/>
      <c r="H66" s="16"/>
      <c r="I66" s="16"/>
      <c r="J66" s="16"/>
      <c r="K66" s="16" t="n">
        <v>0</v>
      </c>
      <c r="L66" s="16" t="n">
        <v>0</v>
      </c>
      <c r="M66" s="14" t="str">
        <f aca="false">IF(AND(G66&lt;&gt;"",H66&lt;&gt;"",I66&lt;&gt;"",J66&lt;&gt;"",H66&lt;&gt;J66,K66=0,L66=0),"READY","OPEN")</f>
        <v>OPEN</v>
      </c>
      <c r="N66" s="4"/>
    </row>
    <row r="67" customFormat="false" ht="15" hidden="false" customHeight="false" outlineLevel="0" collapsed="false">
      <c r="A67" s="14" t="s">
        <v>870</v>
      </c>
      <c r="B67" s="14" t="s">
        <v>198</v>
      </c>
      <c r="C67" s="14" t="s">
        <v>199</v>
      </c>
      <c r="D67" s="14" t="s">
        <v>166</v>
      </c>
      <c r="E67" s="14" t="s">
        <v>807</v>
      </c>
      <c r="F67" s="17" t="n">
        <v>10.5</v>
      </c>
      <c r="G67" s="16"/>
      <c r="H67" s="16"/>
      <c r="I67" s="16"/>
      <c r="J67" s="16"/>
      <c r="K67" s="16" t="n">
        <v>0</v>
      </c>
      <c r="L67" s="16" t="n">
        <v>0</v>
      </c>
      <c r="M67" s="14" t="str">
        <f aca="false">IF(AND(G67&lt;&gt;"",H67&lt;&gt;"",I67&lt;&gt;"",J67&lt;&gt;"",H67&lt;&gt;J67,K67=0,L67=0),"READY","OPEN")</f>
        <v>OPEN</v>
      </c>
      <c r="N67" s="4"/>
    </row>
    <row r="68" customFormat="false" ht="15" hidden="false" customHeight="false" outlineLevel="0" collapsed="false">
      <c r="A68" s="14" t="s">
        <v>871</v>
      </c>
      <c r="B68" s="14" t="s">
        <v>198</v>
      </c>
      <c r="C68" s="14" t="s">
        <v>199</v>
      </c>
      <c r="D68" s="14" t="s">
        <v>166</v>
      </c>
      <c r="E68" s="14" t="s">
        <v>809</v>
      </c>
      <c r="F68" s="17" t="n">
        <v>7.5</v>
      </c>
      <c r="G68" s="16"/>
      <c r="H68" s="16"/>
      <c r="I68" s="16"/>
      <c r="J68" s="16"/>
      <c r="K68" s="16" t="n">
        <v>0</v>
      </c>
      <c r="L68" s="16" t="n">
        <v>0</v>
      </c>
      <c r="M68" s="14" t="str">
        <f aca="false">IF(AND(G68&lt;&gt;"",H68&lt;&gt;"",I68&lt;&gt;"",J68&lt;&gt;"",H68&lt;&gt;J68,K68=0,L68=0),"READY","OPEN")</f>
        <v>OPEN</v>
      </c>
      <c r="N68" s="4"/>
    </row>
    <row r="69" customFormat="false" ht="15" hidden="false" customHeight="false" outlineLevel="0" collapsed="false">
      <c r="A69" s="14" t="s">
        <v>872</v>
      </c>
      <c r="B69" s="14" t="s">
        <v>198</v>
      </c>
      <c r="C69" s="14" t="s">
        <v>199</v>
      </c>
      <c r="D69" s="14" t="s">
        <v>166</v>
      </c>
      <c r="E69" s="14" t="s">
        <v>811</v>
      </c>
      <c r="F69" s="17" t="n">
        <v>3</v>
      </c>
      <c r="G69" s="16"/>
      <c r="H69" s="16"/>
      <c r="I69" s="16"/>
      <c r="J69" s="16"/>
      <c r="K69" s="16" t="n">
        <v>0</v>
      </c>
      <c r="L69" s="16" t="n">
        <v>0</v>
      </c>
      <c r="M69" s="14" t="str">
        <f aca="false">IF(AND(G69&lt;&gt;"",H69&lt;&gt;"",I69&lt;&gt;"",J69&lt;&gt;"",H69&lt;&gt;J69,K69=0,L69=0),"READY","OPEN")</f>
        <v>OPEN</v>
      </c>
      <c r="N69" s="4"/>
    </row>
    <row r="70" customFormat="false" ht="15" hidden="false" customHeight="false" outlineLevel="0" collapsed="false">
      <c r="A70" s="14" t="s">
        <v>873</v>
      </c>
      <c r="B70" s="14" t="s">
        <v>198</v>
      </c>
      <c r="C70" s="14" t="s">
        <v>199</v>
      </c>
      <c r="D70" s="14" t="s">
        <v>166</v>
      </c>
      <c r="E70" s="14" t="s">
        <v>813</v>
      </c>
      <c r="F70" s="17" t="n">
        <v>0</v>
      </c>
      <c r="G70" s="16"/>
      <c r="H70" s="16"/>
      <c r="I70" s="16"/>
      <c r="J70" s="16"/>
      <c r="K70" s="16" t="n">
        <v>0</v>
      </c>
      <c r="L70" s="16" t="n">
        <v>0</v>
      </c>
      <c r="M70" s="14" t="str">
        <f aca="false">IF(AND(G70&lt;&gt;"",H70&lt;&gt;"",I70&lt;&gt;"",J70&lt;&gt;"",H70&lt;&gt;J70,K70=0,L70=0),"READY","OPEN")</f>
        <v>OPEN</v>
      </c>
      <c r="N70" s="4"/>
    </row>
    <row r="71" customFormat="false" ht="15" hidden="false" customHeight="false" outlineLevel="0" collapsed="false">
      <c r="A71" s="14" t="s">
        <v>874</v>
      </c>
      <c r="B71" s="14" t="s">
        <v>202</v>
      </c>
      <c r="C71" s="14" t="s">
        <v>199</v>
      </c>
      <c r="D71" s="14" t="s">
        <v>157</v>
      </c>
      <c r="E71" s="14" t="s">
        <v>807</v>
      </c>
      <c r="F71" s="17" t="n">
        <v>10.5</v>
      </c>
      <c r="G71" s="16"/>
      <c r="H71" s="16"/>
      <c r="I71" s="16"/>
      <c r="J71" s="16"/>
      <c r="K71" s="16" t="n">
        <v>0</v>
      </c>
      <c r="L71" s="16" t="n">
        <v>0</v>
      </c>
      <c r="M71" s="14" t="str">
        <f aca="false">IF(AND(G71&lt;&gt;"",H71&lt;&gt;"",I71&lt;&gt;"",J71&lt;&gt;"",H71&lt;&gt;J71,K71=0,L71=0),"READY","OPEN")</f>
        <v>OPEN</v>
      </c>
      <c r="N71" s="4"/>
    </row>
    <row r="72" customFormat="false" ht="15" hidden="false" customHeight="false" outlineLevel="0" collapsed="false">
      <c r="A72" s="14" t="s">
        <v>875</v>
      </c>
      <c r="B72" s="14" t="s">
        <v>202</v>
      </c>
      <c r="C72" s="14" t="s">
        <v>199</v>
      </c>
      <c r="D72" s="14" t="s">
        <v>157</v>
      </c>
      <c r="E72" s="14" t="s">
        <v>809</v>
      </c>
      <c r="F72" s="17" t="n">
        <v>7.5</v>
      </c>
      <c r="G72" s="16"/>
      <c r="H72" s="16"/>
      <c r="I72" s="16"/>
      <c r="J72" s="16"/>
      <c r="K72" s="16" t="n">
        <v>0</v>
      </c>
      <c r="L72" s="16" t="n">
        <v>0</v>
      </c>
      <c r="M72" s="14" t="str">
        <f aca="false">IF(AND(G72&lt;&gt;"",H72&lt;&gt;"",I72&lt;&gt;"",J72&lt;&gt;"",H72&lt;&gt;J72,K72=0,L72=0),"READY","OPEN")</f>
        <v>OPEN</v>
      </c>
      <c r="N72" s="4"/>
    </row>
    <row r="73" customFormat="false" ht="15" hidden="false" customHeight="false" outlineLevel="0" collapsed="false">
      <c r="A73" s="14" t="s">
        <v>876</v>
      </c>
      <c r="B73" s="14" t="s">
        <v>202</v>
      </c>
      <c r="C73" s="14" t="s">
        <v>199</v>
      </c>
      <c r="D73" s="14" t="s">
        <v>157</v>
      </c>
      <c r="E73" s="14" t="s">
        <v>811</v>
      </c>
      <c r="F73" s="17" t="n">
        <v>3</v>
      </c>
      <c r="G73" s="16"/>
      <c r="H73" s="16"/>
      <c r="I73" s="16"/>
      <c r="J73" s="16"/>
      <c r="K73" s="16" t="n">
        <v>0</v>
      </c>
      <c r="L73" s="16" t="n">
        <v>0</v>
      </c>
      <c r="M73" s="14" t="str">
        <f aca="false">IF(AND(G73&lt;&gt;"",H73&lt;&gt;"",I73&lt;&gt;"",J73&lt;&gt;"",H73&lt;&gt;J73,K73=0,L73=0),"READY","OPEN")</f>
        <v>OPEN</v>
      </c>
      <c r="N73" s="4"/>
    </row>
    <row r="74" customFormat="false" ht="15" hidden="false" customHeight="false" outlineLevel="0" collapsed="false">
      <c r="A74" s="14" t="s">
        <v>877</v>
      </c>
      <c r="B74" s="14" t="s">
        <v>202</v>
      </c>
      <c r="C74" s="14" t="s">
        <v>199</v>
      </c>
      <c r="D74" s="14" t="s">
        <v>157</v>
      </c>
      <c r="E74" s="14" t="s">
        <v>813</v>
      </c>
      <c r="F74" s="17" t="n">
        <v>0</v>
      </c>
      <c r="G74" s="16"/>
      <c r="H74" s="16"/>
      <c r="I74" s="16"/>
      <c r="J74" s="16"/>
      <c r="K74" s="16" t="n">
        <v>0</v>
      </c>
      <c r="L74" s="16" t="n">
        <v>0</v>
      </c>
      <c r="M74" s="14" t="str">
        <f aca="false">IF(AND(G74&lt;&gt;"",H74&lt;&gt;"",I74&lt;&gt;"",J74&lt;&gt;"",H74&lt;&gt;J74,K74=0,L74=0),"READY","OPEN")</f>
        <v>OPEN</v>
      </c>
      <c r="N74" s="4"/>
    </row>
    <row r="75" customFormat="false" ht="15" hidden="false" customHeight="false" outlineLevel="0" collapsed="false">
      <c r="A75" s="14" t="s">
        <v>878</v>
      </c>
      <c r="B75" s="14" t="s">
        <v>204</v>
      </c>
      <c r="C75" s="14" t="s">
        <v>199</v>
      </c>
      <c r="D75" s="14" t="s">
        <v>161</v>
      </c>
      <c r="E75" s="14" t="s">
        <v>807</v>
      </c>
      <c r="F75" s="17" t="n">
        <v>10.5</v>
      </c>
      <c r="G75" s="16"/>
      <c r="H75" s="16"/>
      <c r="I75" s="16"/>
      <c r="J75" s="16"/>
      <c r="K75" s="16" t="n">
        <v>0</v>
      </c>
      <c r="L75" s="16" t="n">
        <v>0</v>
      </c>
      <c r="M75" s="14" t="str">
        <f aca="false">IF(AND(G75&lt;&gt;"",H75&lt;&gt;"",I75&lt;&gt;"",J75&lt;&gt;"",H75&lt;&gt;J75,K75=0,L75=0),"READY","OPEN")</f>
        <v>OPEN</v>
      </c>
      <c r="N75" s="4"/>
    </row>
    <row r="76" customFormat="false" ht="15" hidden="false" customHeight="false" outlineLevel="0" collapsed="false">
      <c r="A76" s="14" t="s">
        <v>879</v>
      </c>
      <c r="B76" s="14" t="s">
        <v>204</v>
      </c>
      <c r="C76" s="14" t="s">
        <v>199</v>
      </c>
      <c r="D76" s="14" t="s">
        <v>161</v>
      </c>
      <c r="E76" s="14" t="s">
        <v>809</v>
      </c>
      <c r="F76" s="17" t="n">
        <v>7.5</v>
      </c>
      <c r="G76" s="16"/>
      <c r="H76" s="16"/>
      <c r="I76" s="16"/>
      <c r="J76" s="16"/>
      <c r="K76" s="16" t="n">
        <v>0</v>
      </c>
      <c r="L76" s="16" t="n">
        <v>0</v>
      </c>
      <c r="M76" s="14" t="str">
        <f aca="false">IF(AND(G76&lt;&gt;"",H76&lt;&gt;"",I76&lt;&gt;"",J76&lt;&gt;"",H76&lt;&gt;J76,K76=0,L76=0),"READY","OPEN")</f>
        <v>OPEN</v>
      </c>
      <c r="N76" s="4"/>
    </row>
    <row r="77" customFormat="false" ht="15" hidden="false" customHeight="false" outlineLevel="0" collapsed="false">
      <c r="A77" s="14" t="s">
        <v>880</v>
      </c>
      <c r="B77" s="14" t="s">
        <v>204</v>
      </c>
      <c r="C77" s="14" t="s">
        <v>199</v>
      </c>
      <c r="D77" s="14" t="s">
        <v>161</v>
      </c>
      <c r="E77" s="14" t="s">
        <v>811</v>
      </c>
      <c r="F77" s="17" t="n">
        <v>3</v>
      </c>
      <c r="G77" s="16"/>
      <c r="H77" s="16"/>
      <c r="I77" s="16"/>
      <c r="J77" s="16"/>
      <c r="K77" s="16" t="n">
        <v>0</v>
      </c>
      <c r="L77" s="16" t="n">
        <v>0</v>
      </c>
      <c r="M77" s="14" t="str">
        <f aca="false">IF(AND(G77&lt;&gt;"",H77&lt;&gt;"",I77&lt;&gt;"",J77&lt;&gt;"",H77&lt;&gt;J77,K77=0,L77=0),"READY","OPEN")</f>
        <v>OPEN</v>
      </c>
      <c r="N77" s="4"/>
    </row>
    <row r="78" customFormat="false" ht="15" hidden="false" customHeight="false" outlineLevel="0" collapsed="false">
      <c r="A78" s="14" t="s">
        <v>881</v>
      </c>
      <c r="B78" s="14" t="s">
        <v>204</v>
      </c>
      <c r="C78" s="14" t="s">
        <v>199</v>
      </c>
      <c r="D78" s="14" t="s">
        <v>161</v>
      </c>
      <c r="E78" s="14" t="s">
        <v>813</v>
      </c>
      <c r="F78" s="17" t="n">
        <v>0</v>
      </c>
      <c r="G78" s="16"/>
      <c r="H78" s="16"/>
      <c r="I78" s="16"/>
      <c r="J78" s="16"/>
      <c r="K78" s="16" t="n">
        <v>0</v>
      </c>
      <c r="L78" s="16" t="n">
        <v>0</v>
      </c>
      <c r="M78" s="14" t="str">
        <f aca="false">IF(AND(G78&lt;&gt;"",H78&lt;&gt;"",I78&lt;&gt;"",J78&lt;&gt;"",H78&lt;&gt;J78,K78=0,L78=0),"READY","OPEN")</f>
        <v>OPEN</v>
      </c>
      <c r="N78" s="4"/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2:N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19"/>
    <col collapsed="false" customWidth="true" hidden="false" outlineLevel="0" max="10" min="10" style="0" width="14"/>
    <col collapsed="false" customWidth="true" hidden="false" outlineLevel="0" max="11" min="11" style="0" width="12"/>
  </cols>
  <sheetData>
    <row r="2" customFormat="false" ht="18.55" hidden="false" customHeight="false" outlineLevel="0" collapsed="false">
      <c r="A2" s="1" t="s">
        <v>882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883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6" t="s">
        <v>706</v>
      </c>
      <c r="B6" s="7" t="s">
        <v>208</v>
      </c>
      <c r="C6" s="7" t="s">
        <v>131</v>
      </c>
      <c r="D6" s="7" t="s">
        <v>133</v>
      </c>
      <c r="E6" s="7" t="s">
        <v>884</v>
      </c>
      <c r="F6" s="7" t="s">
        <v>885</v>
      </c>
      <c r="G6" s="7" t="s">
        <v>886</v>
      </c>
      <c r="H6" s="7" t="s">
        <v>23</v>
      </c>
      <c r="I6" s="7" t="s">
        <v>887</v>
      </c>
      <c r="J6" s="7" t="s">
        <v>888</v>
      </c>
      <c r="K6" s="8" t="s">
        <v>147</v>
      </c>
      <c r="L6" s="4"/>
      <c r="M6" s="4"/>
      <c r="N6" s="4"/>
    </row>
    <row r="7" customFormat="false" ht="15" hidden="false" customHeight="false" outlineLevel="0" collapsed="false">
      <c r="A7" s="14" t="s">
        <v>889</v>
      </c>
      <c r="B7" s="14" t="s">
        <v>149</v>
      </c>
      <c r="C7" s="14" t="s">
        <v>150</v>
      </c>
      <c r="D7" s="14" t="s">
        <v>152</v>
      </c>
      <c r="E7" s="14" t="s">
        <v>890</v>
      </c>
      <c r="F7" s="15" t="n">
        <f aca="false">Inputs!$B$11</f>
        <v>100</v>
      </c>
      <c r="G7" s="15" t="n">
        <f aca="false">Inputs!$B$12</f>
        <v>75</v>
      </c>
      <c r="H7" s="15" t="n">
        <f aca="false">Inputs!$B$13</f>
        <v>20</v>
      </c>
      <c r="I7" s="15" t="n">
        <f aca="false">F7-G7-H7</f>
        <v>5</v>
      </c>
      <c r="J7" s="15" t="n">
        <f aca="false">SUM(G7:I7)</f>
        <v>100</v>
      </c>
      <c r="K7" s="15" t="str">
        <f aca="false">IF(AND(I7&gt;=Inputs!$B$15,J7=F7),"PASS","FAIL")</f>
        <v>PASS</v>
      </c>
      <c r="L7" s="4"/>
      <c r="M7" s="4"/>
      <c r="N7" s="4"/>
    </row>
    <row r="8" customFormat="false" ht="15" hidden="false" customHeight="false" outlineLevel="0" collapsed="false">
      <c r="A8" s="14" t="s">
        <v>891</v>
      </c>
      <c r="B8" s="14" t="s">
        <v>149</v>
      </c>
      <c r="C8" s="14" t="s">
        <v>150</v>
      </c>
      <c r="D8" s="14" t="s">
        <v>152</v>
      </c>
      <c r="E8" s="14" t="s">
        <v>892</v>
      </c>
      <c r="F8" s="15" t="n">
        <f aca="false">Inputs!$B$11</f>
        <v>100</v>
      </c>
      <c r="G8" s="15" t="n">
        <f aca="false">Inputs!$B$12</f>
        <v>75</v>
      </c>
      <c r="H8" s="15" t="n">
        <f aca="false">Inputs!$B$13</f>
        <v>20</v>
      </c>
      <c r="I8" s="15" t="n">
        <f aca="false">F8-G8-H8</f>
        <v>5</v>
      </c>
      <c r="J8" s="15" t="n">
        <f aca="false">SUM(G8:I8)</f>
        <v>100</v>
      </c>
      <c r="K8" s="15" t="str">
        <f aca="false">IF(AND(I8&gt;=Inputs!$B$15,J8=F8),"PASS","FAIL")</f>
        <v>PASS</v>
      </c>
      <c r="L8" s="4"/>
      <c r="M8" s="4"/>
      <c r="N8" s="4"/>
    </row>
    <row r="9" customFormat="false" ht="15" hidden="false" customHeight="false" outlineLevel="0" collapsed="false">
      <c r="A9" s="14" t="s">
        <v>893</v>
      </c>
      <c r="B9" s="14" t="s">
        <v>149</v>
      </c>
      <c r="C9" s="14" t="s">
        <v>150</v>
      </c>
      <c r="D9" s="14" t="s">
        <v>152</v>
      </c>
      <c r="E9" s="14" t="s">
        <v>811</v>
      </c>
      <c r="F9" s="15" t="n">
        <f aca="false">Inputs!$B$11</f>
        <v>100</v>
      </c>
      <c r="G9" s="15" t="n">
        <f aca="false">Inputs!$B$12</f>
        <v>75</v>
      </c>
      <c r="H9" s="15" t="n">
        <f aca="false">Inputs!$B$13</f>
        <v>20</v>
      </c>
      <c r="I9" s="15" t="n">
        <f aca="false">F9-G9-H9</f>
        <v>5</v>
      </c>
      <c r="J9" s="15" t="n">
        <f aca="false">SUM(G9:I9)</f>
        <v>100</v>
      </c>
      <c r="K9" s="15" t="str">
        <f aca="false">IF(AND(I9&gt;=Inputs!$B$15,J9=F9),"PASS","FAIL")</f>
        <v>PASS</v>
      </c>
      <c r="L9" s="4"/>
      <c r="M9" s="4"/>
      <c r="N9" s="4"/>
    </row>
    <row r="10" customFormat="false" ht="15" hidden="false" customHeight="false" outlineLevel="0" collapsed="false">
      <c r="A10" s="14" t="s">
        <v>894</v>
      </c>
      <c r="B10" s="14" t="s">
        <v>149</v>
      </c>
      <c r="C10" s="14" t="s">
        <v>150</v>
      </c>
      <c r="D10" s="14" t="s">
        <v>152</v>
      </c>
      <c r="E10" s="14" t="s">
        <v>895</v>
      </c>
      <c r="F10" s="15" t="n">
        <f aca="false">Inputs!$B$11</f>
        <v>100</v>
      </c>
      <c r="G10" s="15" t="n">
        <f aca="false">Inputs!$B$12</f>
        <v>75</v>
      </c>
      <c r="H10" s="15" t="n">
        <f aca="false">Inputs!$B$13</f>
        <v>20</v>
      </c>
      <c r="I10" s="15" t="n">
        <f aca="false">F10-G10-H10</f>
        <v>5</v>
      </c>
      <c r="J10" s="15" t="n">
        <f aca="false">SUM(G10:I10)</f>
        <v>100</v>
      </c>
      <c r="K10" s="15" t="str">
        <f aca="false">IF(AND(I10&gt;=Inputs!$B$15,J10=F10),"PASS","FAIL")</f>
        <v>PASS</v>
      </c>
      <c r="L10" s="4"/>
      <c r="M10" s="4"/>
      <c r="N10" s="4"/>
    </row>
    <row r="11" customFormat="false" ht="15" hidden="false" customHeight="false" outlineLevel="0" collapsed="false">
      <c r="A11" s="14" t="s">
        <v>896</v>
      </c>
      <c r="B11" s="14" t="s">
        <v>149</v>
      </c>
      <c r="C11" s="14" t="s">
        <v>150</v>
      </c>
      <c r="D11" s="14" t="s">
        <v>152</v>
      </c>
      <c r="E11" s="14" t="s">
        <v>897</v>
      </c>
      <c r="F11" s="15" t="n">
        <f aca="false">Inputs!$B$11</f>
        <v>100</v>
      </c>
      <c r="G11" s="15" t="n">
        <f aca="false">Inputs!$B$12</f>
        <v>75</v>
      </c>
      <c r="H11" s="15" t="n">
        <f aca="false">Inputs!$B$13</f>
        <v>20</v>
      </c>
      <c r="I11" s="15" t="n">
        <f aca="false">F11-G11-H11</f>
        <v>5</v>
      </c>
      <c r="J11" s="15" t="n">
        <f aca="false">SUM(G11:I11)</f>
        <v>100</v>
      </c>
      <c r="K11" s="15" t="str">
        <f aca="false">IF(AND(I11&gt;=Inputs!$B$15,J11=F11),"PASS","FAIL")</f>
        <v>PASS</v>
      </c>
      <c r="L11" s="4"/>
      <c r="M11" s="4"/>
      <c r="N11" s="4"/>
    </row>
    <row r="12" customFormat="false" ht="15" hidden="false" customHeight="false" outlineLevel="0" collapsed="false">
      <c r="A12" s="14" t="s">
        <v>898</v>
      </c>
      <c r="B12" s="14" t="s">
        <v>149</v>
      </c>
      <c r="C12" s="14" t="s">
        <v>150</v>
      </c>
      <c r="D12" s="14" t="s">
        <v>152</v>
      </c>
      <c r="E12" s="14" t="s">
        <v>899</v>
      </c>
      <c r="F12" s="15" t="n">
        <f aca="false">Inputs!$B$11</f>
        <v>100</v>
      </c>
      <c r="G12" s="15" t="n">
        <f aca="false">Inputs!$B$12</f>
        <v>75</v>
      </c>
      <c r="H12" s="15" t="n">
        <f aca="false">Inputs!$B$13</f>
        <v>20</v>
      </c>
      <c r="I12" s="15" t="n">
        <f aca="false">F12-G12-H12</f>
        <v>5</v>
      </c>
      <c r="J12" s="15" t="n">
        <f aca="false">SUM(G12:I12)</f>
        <v>100</v>
      </c>
      <c r="K12" s="15" t="str">
        <f aca="false">IF(AND(I12&gt;=Inputs!$B$15,J12=F12),"PASS","FAIL")</f>
        <v>PASS</v>
      </c>
      <c r="L12" s="4"/>
      <c r="M12" s="4"/>
      <c r="N12" s="4"/>
    </row>
    <row r="13" customFormat="false" ht="15" hidden="false" customHeight="false" outlineLevel="0" collapsed="false">
      <c r="A13" s="14" t="s">
        <v>900</v>
      </c>
      <c r="B13" s="14" t="s">
        <v>156</v>
      </c>
      <c r="C13" s="14" t="s">
        <v>150</v>
      </c>
      <c r="D13" s="14" t="s">
        <v>157</v>
      </c>
      <c r="E13" s="14" t="s">
        <v>890</v>
      </c>
      <c r="F13" s="15" t="n">
        <f aca="false">Inputs!$B$11</f>
        <v>100</v>
      </c>
      <c r="G13" s="15" t="n">
        <f aca="false">Inputs!$B$12</f>
        <v>75</v>
      </c>
      <c r="H13" s="15" t="n">
        <f aca="false">Inputs!$B$13</f>
        <v>20</v>
      </c>
      <c r="I13" s="15" t="n">
        <f aca="false">F13-G13-H13</f>
        <v>5</v>
      </c>
      <c r="J13" s="15" t="n">
        <f aca="false">SUM(G13:I13)</f>
        <v>100</v>
      </c>
      <c r="K13" s="15" t="str">
        <f aca="false">IF(AND(I13&gt;=Inputs!$B$15,J13=F13),"PASS","FAIL")</f>
        <v>PASS</v>
      </c>
      <c r="L13" s="4"/>
      <c r="M13" s="4"/>
      <c r="N13" s="4"/>
    </row>
    <row r="14" customFormat="false" ht="15" hidden="false" customHeight="false" outlineLevel="0" collapsed="false">
      <c r="A14" s="14" t="s">
        <v>901</v>
      </c>
      <c r="B14" s="14" t="s">
        <v>156</v>
      </c>
      <c r="C14" s="14" t="s">
        <v>150</v>
      </c>
      <c r="D14" s="14" t="s">
        <v>157</v>
      </c>
      <c r="E14" s="14" t="s">
        <v>892</v>
      </c>
      <c r="F14" s="15" t="n">
        <f aca="false">Inputs!$B$11</f>
        <v>100</v>
      </c>
      <c r="G14" s="15" t="n">
        <f aca="false">Inputs!$B$12</f>
        <v>75</v>
      </c>
      <c r="H14" s="15" t="n">
        <f aca="false">Inputs!$B$13</f>
        <v>20</v>
      </c>
      <c r="I14" s="15" t="n">
        <f aca="false">F14-G14-H14</f>
        <v>5</v>
      </c>
      <c r="J14" s="15" t="n">
        <f aca="false">SUM(G14:I14)</f>
        <v>100</v>
      </c>
      <c r="K14" s="15" t="str">
        <f aca="false">IF(AND(I14&gt;=Inputs!$B$15,J14=F14),"PASS","FAIL")</f>
        <v>PASS</v>
      </c>
      <c r="L14" s="4"/>
      <c r="M14" s="4"/>
      <c r="N14" s="4"/>
    </row>
    <row r="15" customFormat="false" ht="15" hidden="false" customHeight="false" outlineLevel="0" collapsed="false">
      <c r="A15" s="14" t="s">
        <v>902</v>
      </c>
      <c r="B15" s="14" t="s">
        <v>156</v>
      </c>
      <c r="C15" s="14" t="s">
        <v>150</v>
      </c>
      <c r="D15" s="14" t="s">
        <v>157</v>
      </c>
      <c r="E15" s="14" t="s">
        <v>811</v>
      </c>
      <c r="F15" s="15" t="n">
        <f aca="false">Inputs!$B$11</f>
        <v>100</v>
      </c>
      <c r="G15" s="15" t="n">
        <f aca="false">Inputs!$B$12</f>
        <v>75</v>
      </c>
      <c r="H15" s="15" t="n">
        <f aca="false">Inputs!$B$13</f>
        <v>20</v>
      </c>
      <c r="I15" s="15" t="n">
        <f aca="false">F15-G15-H15</f>
        <v>5</v>
      </c>
      <c r="J15" s="15" t="n">
        <f aca="false">SUM(G15:I15)</f>
        <v>100</v>
      </c>
      <c r="K15" s="15" t="str">
        <f aca="false">IF(AND(I15&gt;=Inputs!$B$15,J15=F15),"PASS","FAIL")</f>
        <v>PASS</v>
      </c>
      <c r="L15" s="4"/>
      <c r="M15" s="4"/>
      <c r="N15" s="4"/>
    </row>
    <row r="16" customFormat="false" ht="15" hidden="false" customHeight="false" outlineLevel="0" collapsed="false">
      <c r="A16" s="14" t="s">
        <v>903</v>
      </c>
      <c r="B16" s="14" t="s">
        <v>156</v>
      </c>
      <c r="C16" s="14" t="s">
        <v>150</v>
      </c>
      <c r="D16" s="14" t="s">
        <v>157</v>
      </c>
      <c r="E16" s="14" t="s">
        <v>895</v>
      </c>
      <c r="F16" s="15" t="n">
        <f aca="false">Inputs!$B$11</f>
        <v>100</v>
      </c>
      <c r="G16" s="15" t="n">
        <f aca="false">Inputs!$B$12</f>
        <v>75</v>
      </c>
      <c r="H16" s="15" t="n">
        <f aca="false">Inputs!$B$13</f>
        <v>20</v>
      </c>
      <c r="I16" s="15" t="n">
        <f aca="false">F16-G16-H16</f>
        <v>5</v>
      </c>
      <c r="J16" s="15" t="n">
        <f aca="false">SUM(G16:I16)</f>
        <v>100</v>
      </c>
      <c r="K16" s="15" t="str">
        <f aca="false">IF(AND(I16&gt;=Inputs!$B$15,J16=F16),"PASS","FAIL")</f>
        <v>PASS</v>
      </c>
      <c r="L16" s="4"/>
      <c r="M16" s="4"/>
      <c r="N16" s="4"/>
    </row>
    <row r="17" customFormat="false" ht="15" hidden="false" customHeight="false" outlineLevel="0" collapsed="false">
      <c r="A17" s="14" t="s">
        <v>904</v>
      </c>
      <c r="B17" s="14" t="s">
        <v>156</v>
      </c>
      <c r="C17" s="14" t="s">
        <v>150</v>
      </c>
      <c r="D17" s="14" t="s">
        <v>157</v>
      </c>
      <c r="E17" s="14" t="s">
        <v>897</v>
      </c>
      <c r="F17" s="15" t="n">
        <f aca="false">Inputs!$B$11</f>
        <v>100</v>
      </c>
      <c r="G17" s="15" t="n">
        <f aca="false">Inputs!$B$12</f>
        <v>75</v>
      </c>
      <c r="H17" s="15" t="n">
        <f aca="false">Inputs!$B$13</f>
        <v>20</v>
      </c>
      <c r="I17" s="15" t="n">
        <f aca="false">F17-G17-H17</f>
        <v>5</v>
      </c>
      <c r="J17" s="15" t="n">
        <f aca="false">SUM(G17:I17)</f>
        <v>100</v>
      </c>
      <c r="K17" s="15" t="str">
        <f aca="false">IF(AND(I17&gt;=Inputs!$B$15,J17=F17),"PASS","FAIL")</f>
        <v>PASS</v>
      </c>
      <c r="L17" s="4"/>
      <c r="M17" s="4"/>
      <c r="N17" s="4"/>
    </row>
    <row r="18" customFormat="false" ht="15" hidden="false" customHeight="false" outlineLevel="0" collapsed="false">
      <c r="A18" s="14" t="s">
        <v>905</v>
      </c>
      <c r="B18" s="14" t="s">
        <v>156</v>
      </c>
      <c r="C18" s="14" t="s">
        <v>150</v>
      </c>
      <c r="D18" s="14" t="s">
        <v>157</v>
      </c>
      <c r="E18" s="14" t="s">
        <v>899</v>
      </c>
      <c r="F18" s="15" t="n">
        <f aca="false">Inputs!$B$11</f>
        <v>100</v>
      </c>
      <c r="G18" s="15" t="n">
        <f aca="false">Inputs!$B$12</f>
        <v>75</v>
      </c>
      <c r="H18" s="15" t="n">
        <f aca="false">Inputs!$B$13</f>
        <v>20</v>
      </c>
      <c r="I18" s="15" t="n">
        <f aca="false">F18-G18-H18</f>
        <v>5</v>
      </c>
      <c r="J18" s="15" t="n">
        <f aca="false">SUM(G18:I18)</f>
        <v>100</v>
      </c>
      <c r="K18" s="15" t="str">
        <f aca="false">IF(AND(I18&gt;=Inputs!$B$15,J18=F18),"PASS","FAIL")</f>
        <v>PASS</v>
      </c>
      <c r="L18" s="4"/>
      <c r="M18" s="4"/>
      <c r="N18" s="4"/>
    </row>
    <row r="19" customFormat="false" ht="15" hidden="false" customHeight="false" outlineLevel="0" collapsed="false">
      <c r="A19" s="14" t="s">
        <v>906</v>
      </c>
      <c r="B19" s="14" t="s">
        <v>160</v>
      </c>
      <c r="C19" s="14" t="s">
        <v>150</v>
      </c>
      <c r="D19" s="14" t="s">
        <v>161</v>
      </c>
      <c r="E19" s="14" t="s">
        <v>890</v>
      </c>
      <c r="F19" s="15" t="n">
        <f aca="false">Inputs!$B$11</f>
        <v>100</v>
      </c>
      <c r="G19" s="15" t="n">
        <f aca="false">Inputs!$B$12</f>
        <v>75</v>
      </c>
      <c r="H19" s="15" t="n">
        <f aca="false">Inputs!$B$13</f>
        <v>20</v>
      </c>
      <c r="I19" s="15" t="n">
        <f aca="false">F19-G19-H19</f>
        <v>5</v>
      </c>
      <c r="J19" s="15" t="n">
        <f aca="false">SUM(G19:I19)</f>
        <v>100</v>
      </c>
      <c r="K19" s="15" t="str">
        <f aca="false">IF(AND(I19&gt;=Inputs!$B$15,J19=F19),"PASS","FAIL")</f>
        <v>PASS</v>
      </c>
      <c r="L19" s="4"/>
      <c r="M19" s="4"/>
      <c r="N19" s="4"/>
    </row>
    <row r="20" customFormat="false" ht="15" hidden="false" customHeight="false" outlineLevel="0" collapsed="false">
      <c r="A20" s="14" t="s">
        <v>907</v>
      </c>
      <c r="B20" s="14" t="s">
        <v>160</v>
      </c>
      <c r="C20" s="14" t="s">
        <v>150</v>
      </c>
      <c r="D20" s="14" t="s">
        <v>161</v>
      </c>
      <c r="E20" s="14" t="s">
        <v>892</v>
      </c>
      <c r="F20" s="15" t="n">
        <f aca="false">Inputs!$B$11</f>
        <v>100</v>
      </c>
      <c r="G20" s="15" t="n">
        <f aca="false">Inputs!$B$12</f>
        <v>75</v>
      </c>
      <c r="H20" s="15" t="n">
        <f aca="false">Inputs!$B$13</f>
        <v>20</v>
      </c>
      <c r="I20" s="15" t="n">
        <f aca="false">F20-G20-H20</f>
        <v>5</v>
      </c>
      <c r="J20" s="15" t="n">
        <f aca="false">SUM(G20:I20)</f>
        <v>100</v>
      </c>
      <c r="K20" s="15" t="str">
        <f aca="false">IF(AND(I20&gt;=Inputs!$B$15,J20=F20),"PASS","FAIL")</f>
        <v>PASS</v>
      </c>
      <c r="L20" s="4"/>
      <c r="M20" s="4"/>
      <c r="N20" s="4"/>
    </row>
    <row r="21" customFormat="false" ht="15" hidden="false" customHeight="false" outlineLevel="0" collapsed="false">
      <c r="A21" s="14" t="s">
        <v>908</v>
      </c>
      <c r="B21" s="14" t="s">
        <v>160</v>
      </c>
      <c r="C21" s="14" t="s">
        <v>150</v>
      </c>
      <c r="D21" s="14" t="s">
        <v>161</v>
      </c>
      <c r="E21" s="14" t="s">
        <v>811</v>
      </c>
      <c r="F21" s="15" t="n">
        <f aca="false">Inputs!$B$11</f>
        <v>100</v>
      </c>
      <c r="G21" s="15" t="n">
        <f aca="false">Inputs!$B$12</f>
        <v>75</v>
      </c>
      <c r="H21" s="15" t="n">
        <f aca="false">Inputs!$B$13</f>
        <v>20</v>
      </c>
      <c r="I21" s="15" t="n">
        <f aca="false">F21-G21-H21</f>
        <v>5</v>
      </c>
      <c r="J21" s="15" t="n">
        <f aca="false">SUM(G21:I21)</f>
        <v>100</v>
      </c>
      <c r="K21" s="15" t="str">
        <f aca="false">IF(AND(I21&gt;=Inputs!$B$15,J21=F21),"PASS","FAIL")</f>
        <v>PASS</v>
      </c>
      <c r="L21" s="4"/>
      <c r="M21" s="4"/>
      <c r="N21" s="4"/>
    </row>
    <row r="22" customFormat="false" ht="15" hidden="false" customHeight="false" outlineLevel="0" collapsed="false">
      <c r="A22" s="14" t="s">
        <v>909</v>
      </c>
      <c r="B22" s="14" t="s">
        <v>160</v>
      </c>
      <c r="C22" s="14" t="s">
        <v>150</v>
      </c>
      <c r="D22" s="14" t="s">
        <v>161</v>
      </c>
      <c r="E22" s="14" t="s">
        <v>895</v>
      </c>
      <c r="F22" s="15" t="n">
        <f aca="false">Inputs!$B$11</f>
        <v>100</v>
      </c>
      <c r="G22" s="15" t="n">
        <f aca="false">Inputs!$B$12</f>
        <v>75</v>
      </c>
      <c r="H22" s="15" t="n">
        <f aca="false">Inputs!$B$13</f>
        <v>20</v>
      </c>
      <c r="I22" s="15" t="n">
        <f aca="false">F22-G22-H22</f>
        <v>5</v>
      </c>
      <c r="J22" s="15" t="n">
        <f aca="false">SUM(G22:I22)</f>
        <v>100</v>
      </c>
      <c r="K22" s="15" t="str">
        <f aca="false">IF(AND(I22&gt;=Inputs!$B$15,J22=F22),"PASS","FAIL")</f>
        <v>PASS</v>
      </c>
      <c r="L22" s="4"/>
      <c r="M22" s="4"/>
      <c r="N22" s="4"/>
    </row>
    <row r="23" customFormat="false" ht="15" hidden="false" customHeight="false" outlineLevel="0" collapsed="false">
      <c r="A23" s="14" t="s">
        <v>910</v>
      </c>
      <c r="B23" s="14" t="s">
        <v>160</v>
      </c>
      <c r="C23" s="14" t="s">
        <v>150</v>
      </c>
      <c r="D23" s="14" t="s">
        <v>161</v>
      </c>
      <c r="E23" s="14" t="s">
        <v>897</v>
      </c>
      <c r="F23" s="15" t="n">
        <f aca="false">Inputs!$B$11</f>
        <v>100</v>
      </c>
      <c r="G23" s="15" t="n">
        <f aca="false">Inputs!$B$12</f>
        <v>75</v>
      </c>
      <c r="H23" s="15" t="n">
        <f aca="false">Inputs!$B$13</f>
        <v>20</v>
      </c>
      <c r="I23" s="15" t="n">
        <f aca="false">F23-G23-H23</f>
        <v>5</v>
      </c>
      <c r="J23" s="15" t="n">
        <f aca="false">SUM(G23:I23)</f>
        <v>100</v>
      </c>
      <c r="K23" s="15" t="str">
        <f aca="false">IF(AND(I23&gt;=Inputs!$B$15,J23=F23),"PASS","FAIL")</f>
        <v>PASS</v>
      </c>
      <c r="L23" s="4"/>
      <c r="M23" s="4"/>
      <c r="N23" s="4"/>
    </row>
    <row r="24" customFormat="false" ht="15" hidden="false" customHeight="false" outlineLevel="0" collapsed="false">
      <c r="A24" s="14" t="s">
        <v>911</v>
      </c>
      <c r="B24" s="14" t="s">
        <v>160</v>
      </c>
      <c r="C24" s="14" t="s">
        <v>150</v>
      </c>
      <c r="D24" s="14" t="s">
        <v>161</v>
      </c>
      <c r="E24" s="14" t="s">
        <v>899</v>
      </c>
      <c r="F24" s="15" t="n">
        <f aca="false">Inputs!$B$11</f>
        <v>100</v>
      </c>
      <c r="G24" s="15" t="n">
        <f aca="false">Inputs!$B$12</f>
        <v>75</v>
      </c>
      <c r="H24" s="15" t="n">
        <f aca="false">Inputs!$B$13</f>
        <v>20</v>
      </c>
      <c r="I24" s="15" t="n">
        <f aca="false">F24-G24-H24</f>
        <v>5</v>
      </c>
      <c r="J24" s="15" t="n">
        <f aca="false">SUM(G24:I24)</f>
        <v>100</v>
      </c>
      <c r="K24" s="15" t="str">
        <f aca="false">IF(AND(I24&gt;=Inputs!$B$15,J24=F24),"PASS","FAIL")</f>
        <v>PASS</v>
      </c>
      <c r="L24" s="4"/>
      <c r="M24" s="4"/>
      <c r="N24" s="4"/>
    </row>
    <row r="25" customFormat="false" ht="15" hidden="false" customHeight="false" outlineLevel="0" collapsed="false">
      <c r="A25" s="14" t="s">
        <v>912</v>
      </c>
      <c r="B25" s="14" t="s">
        <v>163</v>
      </c>
      <c r="C25" s="14" t="s">
        <v>164</v>
      </c>
      <c r="D25" s="14" t="s">
        <v>166</v>
      </c>
      <c r="E25" s="14" t="s">
        <v>890</v>
      </c>
      <c r="F25" s="15" t="n">
        <f aca="false">Inputs!$B$11</f>
        <v>100</v>
      </c>
      <c r="G25" s="15" t="n">
        <f aca="false">Inputs!$B$12</f>
        <v>75</v>
      </c>
      <c r="H25" s="15" t="n">
        <f aca="false">Inputs!$B$13</f>
        <v>20</v>
      </c>
      <c r="I25" s="15" t="n">
        <f aca="false">F25-G25-H25</f>
        <v>5</v>
      </c>
      <c r="J25" s="15" t="n">
        <f aca="false">SUM(G25:I25)</f>
        <v>100</v>
      </c>
      <c r="K25" s="15" t="str">
        <f aca="false">IF(AND(I25&gt;=Inputs!$B$15,J25=F25),"PASS","FAIL")</f>
        <v>PASS</v>
      </c>
      <c r="L25" s="4"/>
      <c r="M25" s="4"/>
      <c r="N25" s="4"/>
    </row>
    <row r="26" customFormat="false" ht="15" hidden="false" customHeight="false" outlineLevel="0" collapsed="false">
      <c r="A26" s="14" t="s">
        <v>913</v>
      </c>
      <c r="B26" s="14" t="s">
        <v>163</v>
      </c>
      <c r="C26" s="14" t="s">
        <v>164</v>
      </c>
      <c r="D26" s="14" t="s">
        <v>166</v>
      </c>
      <c r="E26" s="14" t="s">
        <v>892</v>
      </c>
      <c r="F26" s="15" t="n">
        <f aca="false">Inputs!$B$11</f>
        <v>100</v>
      </c>
      <c r="G26" s="15" t="n">
        <f aca="false">Inputs!$B$12</f>
        <v>75</v>
      </c>
      <c r="H26" s="15" t="n">
        <f aca="false">Inputs!$B$13</f>
        <v>20</v>
      </c>
      <c r="I26" s="15" t="n">
        <f aca="false">F26-G26-H26</f>
        <v>5</v>
      </c>
      <c r="J26" s="15" t="n">
        <f aca="false">SUM(G26:I26)</f>
        <v>100</v>
      </c>
      <c r="K26" s="15" t="str">
        <f aca="false">IF(AND(I26&gt;=Inputs!$B$15,J26=F26),"PASS","FAIL")</f>
        <v>PASS</v>
      </c>
      <c r="L26" s="4"/>
      <c r="M26" s="4"/>
      <c r="N26" s="4"/>
    </row>
    <row r="27" customFormat="false" ht="15" hidden="false" customHeight="false" outlineLevel="0" collapsed="false">
      <c r="A27" s="14" t="s">
        <v>914</v>
      </c>
      <c r="B27" s="14" t="s">
        <v>163</v>
      </c>
      <c r="C27" s="14" t="s">
        <v>164</v>
      </c>
      <c r="D27" s="14" t="s">
        <v>166</v>
      </c>
      <c r="E27" s="14" t="s">
        <v>811</v>
      </c>
      <c r="F27" s="15" t="n">
        <f aca="false">Inputs!$B$11</f>
        <v>100</v>
      </c>
      <c r="G27" s="15" t="n">
        <f aca="false">Inputs!$B$12</f>
        <v>75</v>
      </c>
      <c r="H27" s="15" t="n">
        <f aca="false">Inputs!$B$13</f>
        <v>20</v>
      </c>
      <c r="I27" s="15" t="n">
        <f aca="false">F27-G27-H27</f>
        <v>5</v>
      </c>
      <c r="J27" s="15" t="n">
        <f aca="false">SUM(G27:I27)</f>
        <v>100</v>
      </c>
      <c r="K27" s="15" t="str">
        <f aca="false">IF(AND(I27&gt;=Inputs!$B$15,J27=F27),"PASS","FAIL")</f>
        <v>PASS</v>
      </c>
      <c r="L27" s="4"/>
      <c r="M27" s="4"/>
      <c r="N27" s="4"/>
    </row>
    <row r="28" customFormat="false" ht="15" hidden="false" customHeight="false" outlineLevel="0" collapsed="false">
      <c r="A28" s="14" t="s">
        <v>915</v>
      </c>
      <c r="B28" s="14" t="s">
        <v>163</v>
      </c>
      <c r="C28" s="14" t="s">
        <v>164</v>
      </c>
      <c r="D28" s="14" t="s">
        <v>166</v>
      </c>
      <c r="E28" s="14" t="s">
        <v>895</v>
      </c>
      <c r="F28" s="15" t="n">
        <f aca="false">Inputs!$B$11</f>
        <v>100</v>
      </c>
      <c r="G28" s="15" t="n">
        <f aca="false">Inputs!$B$12</f>
        <v>75</v>
      </c>
      <c r="H28" s="15" t="n">
        <f aca="false">Inputs!$B$13</f>
        <v>20</v>
      </c>
      <c r="I28" s="15" t="n">
        <f aca="false">F28-G28-H28</f>
        <v>5</v>
      </c>
      <c r="J28" s="15" t="n">
        <f aca="false">SUM(G28:I28)</f>
        <v>100</v>
      </c>
      <c r="K28" s="15" t="str">
        <f aca="false">IF(AND(I28&gt;=Inputs!$B$15,J28=F28),"PASS","FAIL")</f>
        <v>PASS</v>
      </c>
      <c r="L28" s="4"/>
      <c r="M28" s="4"/>
      <c r="N28" s="4"/>
    </row>
    <row r="29" customFormat="false" ht="15" hidden="false" customHeight="false" outlineLevel="0" collapsed="false">
      <c r="A29" s="14" t="s">
        <v>916</v>
      </c>
      <c r="B29" s="14" t="s">
        <v>163</v>
      </c>
      <c r="C29" s="14" t="s">
        <v>164</v>
      </c>
      <c r="D29" s="14" t="s">
        <v>166</v>
      </c>
      <c r="E29" s="14" t="s">
        <v>897</v>
      </c>
      <c r="F29" s="15" t="n">
        <f aca="false">Inputs!$B$11</f>
        <v>100</v>
      </c>
      <c r="G29" s="15" t="n">
        <f aca="false">Inputs!$B$12</f>
        <v>75</v>
      </c>
      <c r="H29" s="15" t="n">
        <f aca="false">Inputs!$B$13</f>
        <v>20</v>
      </c>
      <c r="I29" s="15" t="n">
        <f aca="false">F29-G29-H29</f>
        <v>5</v>
      </c>
      <c r="J29" s="15" t="n">
        <f aca="false">SUM(G29:I29)</f>
        <v>100</v>
      </c>
      <c r="K29" s="15" t="str">
        <f aca="false">IF(AND(I29&gt;=Inputs!$B$15,J29=F29),"PASS","FAIL")</f>
        <v>PASS</v>
      </c>
      <c r="L29" s="4"/>
      <c r="M29" s="4"/>
      <c r="N29" s="4"/>
    </row>
    <row r="30" customFormat="false" ht="15" hidden="false" customHeight="false" outlineLevel="0" collapsed="false">
      <c r="A30" s="14" t="s">
        <v>917</v>
      </c>
      <c r="B30" s="14" t="s">
        <v>163</v>
      </c>
      <c r="C30" s="14" t="s">
        <v>164</v>
      </c>
      <c r="D30" s="14" t="s">
        <v>166</v>
      </c>
      <c r="E30" s="14" t="s">
        <v>899</v>
      </c>
      <c r="F30" s="15" t="n">
        <f aca="false">Inputs!$B$11</f>
        <v>100</v>
      </c>
      <c r="G30" s="15" t="n">
        <f aca="false">Inputs!$B$12</f>
        <v>75</v>
      </c>
      <c r="H30" s="15" t="n">
        <f aca="false">Inputs!$B$13</f>
        <v>20</v>
      </c>
      <c r="I30" s="15" t="n">
        <f aca="false">F30-G30-H30</f>
        <v>5</v>
      </c>
      <c r="J30" s="15" t="n">
        <f aca="false">SUM(G30:I30)</f>
        <v>100</v>
      </c>
      <c r="K30" s="15" t="str">
        <f aca="false">IF(AND(I30&gt;=Inputs!$B$15,J30=F30),"PASS","FAIL")</f>
        <v>PASS</v>
      </c>
      <c r="L30" s="4"/>
      <c r="M30" s="4"/>
      <c r="N30" s="4"/>
    </row>
    <row r="31" customFormat="false" ht="15" hidden="false" customHeight="false" outlineLevel="0" collapsed="false">
      <c r="A31" s="14" t="s">
        <v>918</v>
      </c>
      <c r="B31" s="14" t="s">
        <v>168</v>
      </c>
      <c r="C31" s="14" t="s">
        <v>164</v>
      </c>
      <c r="D31" s="14" t="s">
        <v>169</v>
      </c>
      <c r="E31" s="14" t="s">
        <v>890</v>
      </c>
      <c r="F31" s="15" t="n">
        <f aca="false">Inputs!$B$11</f>
        <v>100</v>
      </c>
      <c r="G31" s="15" t="n">
        <f aca="false">Inputs!$B$12</f>
        <v>75</v>
      </c>
      <c r="H31" s="15" t="n">
        <f aca="false">Inputs!$B$13</f>
        <v>20</v>
      </c>
      <c r="I31" s="15" t="n">
        <f aca="false">F31-G31-H31</f>
        <v>5</v>
      </c>
      <c r="J31" s="15" t="n">
        <f aca="false">SUM(G31:I31)</f>
        <v>100</v>
      </c>
      <c r="K31" s="15" t="str">
        <f aca="false">IF(AND(I31&gt;=Inputs!$B$15,J31=F31),"PASS","FAIL")</f>
        <v>PASS</v>
      </c>
      <c r="L31" s="4"/>
      <c r="M31" s="4"/>
      <c r="N31" s="4"/>
    </row>
    <row r="32" customFormat="false" ht="15" hidden="false" customHeight="false" outlineLevel="0" collapsed="false">
      <c r="A32" s="14" t="s">
        <v>919</v>
      </c>
      <c r="B32" s="14" t="s">
        <v>168</v>
      </c>
      <c r="C32" s="14" t="s">
        <v>164</v>
      </c>
      <c r="D32" s="14" t="s">
        <v>169</v>
      </c>
      <c r="E32" s="14" t="s">
        <v>892</v>
      </c>
      <c r="F32" s="15" t="n">
        <f aca="false">Inputs!$B$11</f>
        <v>100</v>
      </c>
      <c r="G32" s="15" t="n">
        <f aca="false">Inputs!$B$12</f>
        <v>75</v>
      </c>
      <c r="H32" s="15" t="n">
        <f aca="false">Inputs!$B$13</f>
        <v>20</v>
      </c>
      <c r="I32" s="15" t="n">
        <f aca="false">F32-G32-H32</f>
        <v>5</v>
      </c>
      <c r="J32" s="15" t="n">
        <f aca="false">SUM(G32:I32)</f>
        <v>100</v>
      </c>
      <c r="K32" s="15" t="str">
        <f aca="false">IF(AND(I32&gt;=Inputs!$B$15,J32=F32),"PASS","FAIL")</f>
        <v>PASS</v>
      </c>
      <c r="L32" s="4"/>
      <c r="M32" s="4"/>
      <c r="N32" s="4"/>
    </row>
    <row r="33" customFormat="false" ht="15" hidden="false" customHeight="false" outlineLevel="0" collapsed="false">
      <c r="A33" s="14" t="s">
        <v>920</v>
      </c>
      <c r="B33" s="14" t="s">
        <v>168</v>
      </c>
      <c r="C33" s="14" t="s">
        <v>164</v>
      </c>
      <c r="D33" s="14" t="s">
        <v>169</v>
      </c>
      <c r="E33" s="14" t="s">
        <v>811</v>
      </c>
      <c r="F33" s="15" t="n">
        <f aca="false">Inputs!$B$11</f>
        <v>100</v>
      </c>
      <c r="G33" s="15" t="n">
        <f aca="false">Inputs!$B$12</f>
        <v>75</v>
      </c>
      <c r="H33" s="15" t="n">
        <f aca="false">Inputs!$B$13</f>
        <v>20</v>
      </c>
      <c r="I33" s="15" t="n">
        <f aca="false">F33-G33-H33</f>
        <v>5</v>
      </c>
      <c r="J33" s="15" t="n">
        <f aca="false">SUM(G33:I33)</f>
        <v>100</v>
      </c>
      <c r="K33" s="15" t="str">
        <f aca="false">IF(AND(I33&gt;=Inputs!$B$15,J33=F33),"PASS","FAIL")</f>
        <v>PASS</v>
      </c>
      <c r="L33" s="4"/>
      <c r="M33" s="4"/>
      <c r="N33" s="4"/>
    </row>
    <row r="34" customFormat="false" ht="15" hidden="false" customHeight="false" outlineLevel="0" collapsed="false">
      <c r="A34" s="14" t="s">
        <v>921</v>
      </c>
      <c r="B34" s="14" t="s">
        <v>168</v>
      </c>
      <c r="C34" s="14" t="s">
        <v>164</v>
      </c>
      <c r="D34" s="14" t="s">
        <v>169</v>
      </c>
      <c r="E34" s="14" t="s">
        <v>895</v>
      </c>
      <c r="F34" s="15" t="n">
        <f aca="false">Inputs!$B$11</f>
        <v>100</v>
      </c>
      <c r="G34" s="15" t="n">
        <f aca="false">Inputs!$B$12</f>
        <v>75</v>
      </c>
      <c r="H34" s="15" t="n">
        <f aca="false">Inputs!$B$13</f>
        <v>20</v>
      </c>
      <c r="I34" s="15" t="n">
        <f aca="false">F34-G34-H34</f>
        <v>5</v>
      </c>
      <c r="J34" s="15" t="n">
        <f aca="false">SUM(G34:I34)</f>
        <v>100</v>
      </c>
      <c r="K34" s="15" t="str">
        <f aca="false">IF(AND(I34&gt;=Inputs!$B$15,J34=F34),"PASS","FAIL")</f>
        <v>PASS</v>
      </c>
      <c r="L34" s="4"/>
      <c r="M34" s="4"/>
      <c r="N34" s="4"/>
    </row>
    <row r="35" customFormat="false" ht="15" hidden="false" customHeight="false" outlineLevel="0" collapsed="false">
      <c r="A35" s="14" t="s">
        <v>922</v>
      </c>
      <c r="B35" s="14" t="s">
        <v>168</v>
      </c>
      <c r="C35" s="14" t="s">
        <v>164</v>
      </c>
      <c r="D35" s="14" t="s">
        <v>169</v>
      </c>
      <c r="E35" s="14" t="s">
        <v>897</v>
      </c>
      <c r="F35" s="15" t="n">
        <f aca="false">Inputs!$B$11</f>
        <v>100</v>
      </c>
      <c r="G35" s="15" t="n">
        <f aca="false">Inputs!$B$12</f>
        <v>75</v>
      </c>
      <c r="H35" s="15" t="n">
        <f aca="false">Inputs!$B$13</f>
        <v>20</v>
      </c>
      <c r="I35" s="15" t="n">
        <f aca="false">F35-G35-H35</f>
        <v>5</v>
      </c>
      <c r="J35" s="15" t="n">
        <f aca="false">SUM(G35:I35)</f>
        <v>100</v>
      </c>
      <c r="K35" s="15" t="str">
        <f aca="false">IF(AND(I35&gt;=Inputs!$B$15,J35=F35),"PASS","FAIL")</f>
        <v>PASS</v>
      </c>
      <c r="L35" s="4"/>
      <c r="M35" s="4"/>
      <c r="N35" s="4"/>
    </row>
    <row r="36" customFormat="false" ht="15" hidden="false" customHeight="false" outlineLevel="0" collapsed="false">
      <c r="A36" s="14" t="s">
        <v>923</v>
      </c>
      <c r="B36" s="14" t="s">
        <v>168</v>
      </c>
      <c r="C36" s="14" t="s">
        <v>164</v>
      </c>
      <c r="D36" s="14" t="s">
        <v>169</v>
      </c>
      <c r="E36" s="14" t="s">
        <v>899</v>
      </c>
      <c r="F36" s="15" t="n">
        <f aca="false">Inputs!$B$11</f>
        <v>100</v>
      </c>
      <c r="G36" s="15" t="n">
        <f aca="false">Inputs!$B$12</f>
        <v>75</v>
      </c>
      <c r="H36" s="15" t="n">
        <f aca="false">Inputs!$B$13</f>
        <v>20</v>
      </c>
      <c r="I36" s="15" t="n">
        <f aca="false">F36-G36-H36</f>
        <v>5</v>
      </c>
      <c r="J36" s="15" t="n">
        <f aca="false">SUM(G36:I36)</f>
        <v>100</v>
      </c>
      <c r="K36" s="15" t="str">
        <f aca="false">IF(AND(I36&gt;=Inputs!$B$15,J36=F36),"PASS","FAIL")</f>
        <v>PASS</v>
      </c>
      <c r="L36" s="4"/>
      <c r="M36" s="4"/>
      <c r="N36" s="4"/>
    </row>
    <row r="37" customFormat="false" ht="15" hidden="false" customHeight="false" outlineLevel="0" collapsed="false">
      <c r="A37" s="14" t="s">
        <v>924</v>
      </c>
      <c r="B37" s="14" t="s">
        <v>171</v>
      </c>
      <c r="C37" s="14" t="s">
        <v>164</v>
      </c>
      <c r="D37" s="14" t="s">
        <v>172</v>
      </c>
      <c r="E37" s="14" t="s">
        <v>890</v>
      </c>
      <c r="F37" s="15" t="n">
        <f aca="false">Inputs!$B$11</f>
        <v>100</v>
      </c>
      <c r="G37" s="15" t="n">
        <f aca="false">Inputs!$B$12</f>
        <v>75</v>
      </c>
      <c r="H37" s="15" t="n">
        <f aca="false">Inputs!$B$13</f>
        <v>20</v>
      </c>
      <c r="I37" s="15" t="n">
        <f aca="false">F37-G37-H37</f>
        <v>5</v>
      </c>
      <c r="J37" s="15" t="n">
        <f aca="false">SUM(G37:I37)</f>
        <v>100</v>
      </c>
      <c r="K37" s="15" t="str">
        <f aca="false">IF(AND(I37&gt;=Inputs!$B$15,J37=F37),"PASS","FAIL")</f>
        <v>PASS</v>
      </c>
      <c r="L37" s="4"/>
      <c r="M37" s="4"/>
      <c r="N37" s="4"/>
    </row>
    <row r="38" customFormat="false" ht="15" hidden="false" customHeight="false" outlineLevel="0" collapsed="false">
      <c r="A38" s="14" t="s">
        <v>925</v>
      </c>
      <c r="B38" s="14" t="s">
        <v>171</v>
      </c>
      <c r="C38" s="14" t="s">
        <v>164</v>
      </c>
      <c r="D38" s="14" t="s">
        <v>172</v>
      </c>
      <c r="E38" s="14" t="s">
        <v>892</v>
      </c>
      <c r="F38" s="15" t="n">
        <f aca="false">Inputs!$B$11</f>
        <v>100</v>
      </c>
      <c r="G38" s="15" t="n">
        <f aca="false">Inputs!$B$12</f>
        <v>75</v>
      </c>
      <c r="H38" s="15" t="n">
        <f aca="false">Inputs!$B$13</f>
        <v>20</v>
      </c>
      <c r="I38" s="15" t="n">
        <f aca="false">F38-G38-H38</f>
        <v>5</v>
      </c>
      <c r="J38" s="15" t="n">
        <f aca="false">SUM(G38:I38)</f>
        <v>100</v>
      </c>
      <c r="K38" s="15" t="str">
        <f aca="false">IF(AND(I38&gt;=Inputs!$B$15,J38=F38),"PASS","FAIL")</f>
        <v>PASS</v>
      </c>
      <c r="L38" s="4"/>
      <c r="M38" s="4"/>
      <c r="N38" s="4"/>
    </row>
    <row r="39" customFormat="false" ht="15" hidden="false" customHeight="false" outlineLevel="0" collapsed="false">
      <c r="A39" s="14" t="s">
        <v>926</v>
      </c>
      <c r="B39" s="14" t="s">
        <v>171</v>
      </c>
      <c r="C39" s="14" t="s">
        <v>164</v>
      </c>
      <c r="D39" s="14" t="s">
        <v>172</v>
      </c>
      <c r="E39" s="14" t="s">
        <v>811</v>
      </c>
      <c r="F39" s="15" t="n">
        <f aca="false">Inputs!$B$11</f>
        <v>100</v>
      </c>
      <c r="G39" s="15" t="n">
        <f aca="false">Inputs!$B$12</f>
        <v>75</v>
      </c>
      <c r="H39" s="15" t="n">
        <f aca="false">Inputs!$B$13</f>
        <v>20</v>
      </c>
      <c r="I39" s="15" t="n">
        <f aca="false">F39-G39-H39</f>
        <v>5</v>
      </c>
      <c r="J39" s="15" t="n">
        <f aca="false">SUM(G39:I39)</f>
        <v>100</v>
      </c>
      <c r="K39" s="15" t="str">
        <f aca="false">IF(AND(I39&gt;=Inputs!$B$15,J39=F39),"PASS","FAIL")</f>
        <v>PASS</v>
      </c>
      <c r="L39" s="4"/>
      <c r="M39" s="4"/>
      <c r="N39" s="4"/>
    </row>
    <row r="40" customFormat="false" ht="15" hidden="false" customHeight="false" outlineLevel="0" collapsed="false">
      <c r="A40" s="14" t="s">
        <v>927</v>
      </c>
      <c r="B40" s="14" t="s">
        <v>171</v>
      </c>
      <c r="C40" s="14" t="s">
        <v>164</v>
      </c>
      <c r="D40" s="14" t="s">
        <v>172</v>
      </c>
      <c r="E40" s="14" t="s">
        <v>895</v>
      </c>
      <c r="F40" s="15" t="n">
        <f aca="false">Inputs!$B$11</f>
        <v>100</v>
      </c>
      <c r="G40" s="15" t="n">
        <f aca="false">Inputs!$B$12</f>
        <v>75</v>
      </c>
      <c r="H40" s="15" t="n">
        <f aca="false">Inputs!$B$13</f>
        <v>20</v>
      </c>
      <c r="I40" s="15" t="n">
        <f aca="false">F40-G40-H40</f>
        <v>5</v>
      </c>
      <c r="J40" s="15" t="n">
        <f aca="false">SUM(G40:I40)</f>
        <v>100</v>
      </c>
      <c r="K40" s="15" t="str">
        <f aca="false">IF(AND(I40&gt;=Inputs!$B$15,J40=F40),"PASS","FAIL")</f>
        <v>PASS</v>
      </c>
      <c r="L40" s="4"/>
      <c r="M40" s="4"/>
      <c r="N40" s="4"/>
    </row>
    <row r="41" customFormat="false" ht="15" hidden="false" customHeight="false" outlineLevel="0" collapsed="false">
      <c r="A41" s="14" t="s">
        <v>928</v>
      </c>
      <c r="B41" s="14" t="s">
        <v>171</v>
      </c>
      <c r="C41" s="14" t="s">
        <v>164</v>
      </c>
      <c r="D41" s="14" t="s">
        <v>172</v>
      </c>
      <c r="E41" s="14" t="s">
        <v>897</v>
      </c>
      <c r="F41" s="15" t="n">
        <f aca="false">Inputs!$B$11</f>
        <v>100</v>
      </c>
      <c r="G41" s="15" t="n">
        <f aca="false">Inputs!$B$12</f>
        <v>75</v>
      </c>
      <c r="H41" s="15" t="n">
        <f aca="false">Inputs!$B$13</f>
        <v>20</v>
      </c>
      <c r="I41" s="15" t="n">
        <f aca="false">F41-G41-H41</f>
        <v>5</v>
      </c>
      <c r="J41" s="15" t="n">
        <f aca="false">SUM(G41:I41)</f>
        <v>100</v>
      </c>
      <c r="K41" s="15" t="str">
        <f aca="false">IF(AND(I41&gt;=Inputs!$B$15,J41=F41),"PASS","FAIL")</f>
        <v>PASS</v>
      </c>
      <c r="L41" s="4"/>
      <c r="M41" s="4"/>
      <c r="N41" s="4"/>
    </row>
    <row r="42" customFormat="false" ht="15" hidden="false" customHeight="false" outlineLevel="0" collapsed="false">
      <c r="A42" s="14" t="s">
        <v>929</v>
      </c>
      <c r="B42" s="14" t="s">
        <v>171</v>
      </c>
      <c r="C42" s="14" t="s">
        <v>164</v>
      </c>
      <c r="D42" s="14" t="s">
        <v>172</v>
      </c>
      <c r="E42" s="14" t="s">
        <v>899</v>
      </c>
      <c r="F42" s="15" t="n">
        <f aca="false">Inputs!$B$11</f>
        <v>100</v>
      </c>
      <c r="G42" s="15" t="n">
        <f aca="false">Inputs!$B$12</f>
        <v>75</v>
      </c>
      <c r="H42" s="15" t="n">
        <f aca="false">Inputs!$B$13</f>
        <v>20</v>
      </c>
      <c r="I42" s="15" t="n">
        <f aca="false">F42-G42-H42</f>
        <v>5</v>
      </c>
      <c r="J42" s="15" t="n">
        <f aca="false">SUM(G42:I42)</f>
        <v>100</v>
      </c>
      <c r="K42" s="15" t="str">
        <f aca="false">IF(AND(I42&gt;=Inputs!$B$15,J42=F42),"PASS","FAIL")</f>
        <v>PASS</v>
      </c>
      <c r="L42" s="4"/>
      <c r="M42" s="4"/>
      <c r="N42" s="4"/>
    </row>
    <row r="43" customFormat="false" ht="15" hidden="false" customHeight="false" outlineLevel="0" collapsed="false">
      <c r="A43" s="14" t="s">
        <v>930</v>
      </c>
      <c r="B43" s="14" t="s">
        <v>174</v>
      </c>
      <c r="C43" s="14" t="s">
        <v>175</v>
      </c>
      <c r="D43" s="14" t="s">
        <v>152</v>
      </c>
      <c r="E43" s="14" t="s">
        <v>890</v>
      </c>
      <c r="F43" s="15" t="n">
        <f aca="false">Inputs!$B$11</f>
        <v>100</v>
      </c>
      <c r="G43" s="15" t="n">
        <f aca="false">Inputs!$B$12</f>
        <v>75</v>
      </c>
      <c r="H43" s="15" t="n">
        <f aca="false">Inputs!$B$13</f>
        <v>20</v>
      </c>
      <c r="I43" s="15" t="n">
        <f aca="false">F43-G43-H43</f>
        <v>5</v>
      </c>
      <c r="J43" s="15" t="n">
        <f aca="false">SUM(G43:I43)</f>
        <v>100</v>
      </c>
      <c r="K43" s="15" t="str">
        <f aca="false">IF(AND(I43&gt;=Inputs!$B$15,J43=F43),"PASS","FAIL")</f>
        <v>PASS</v>
      </c>
      <c r="L43" s="4"/>
      <c r="M43" s="4"/>
      <c r="N43" s="4"/>
    </row>
    <row r="44" customFormat="false" ht="15" hidden="false" customHeight="false" outlineLevel="0" collapsed="false">
      <c r="A44" s="14" t="s">
        <v>931</v>
      </c>
      <c r="B44" s="14" t="s">
        <v>174</v>
      </c>
      <c r="C44" s="14" t="s">
        <v>175</v>
      </c>
      <c r="D44" s="14" t="s">
        <v>152</v>
      </c>
      <c r="E44" s="14" t="s">
        <v>892</v>
      </c>
      <c r="F44" s="15" t="n">
        <f aca="false">Inputs!$B$11</f>
        <v>100</v>
      </c>
      <c r="G44" s="15" t="n">
        <f aca="false">Inputs!$B$12</f>
        <v>75</v>
      </c>
      <c r="H44" s="15" t="n">
        <f aca="false">Inputs!$B$13</f>
        <v>20</v>
      </c>
      <c r="I44" s="15" t="n">
        <f aca="false">F44-G44-H44</f>
        <v>5</v>
      </c>
      <c r="J44" s="15" t="n">
        <f aca="false">SUM(G44:I44)</f>
        <v>100</v>
      </c>
      <c r="K44" s="15" t="str">
        <f aca="false">IF(AND(I44&gt;=Inputs!$B$15,J44=F44),"PASS","FAIL")</f>
        <v>PASS</v>
      </c>
      <c r="L44" s="4"/>
      <c r="M44" s="4"/>
      <c r="N44" s="4"/>
    </row>
    <row r="45" customFormat="false" ht="15" hidden="false" customHeight="false" outlineLevel="0" collapsed="false">
      <c r="A45" s="14" t="s">
        <v>932</v>
      </c>
      <c r="B45" s="14" t="s">
        <v>174</v>
      </c>
      <c r="C45" s="14" t="s">
        <v>175</v>
      </c>
      <c r="D45" s="14" t="s">
        <v>152</v>
      </c>
      <c r="E45" s="14" t="s">
        <v>811</v>
      </c>
      <c r="F45" s="15" t="n">
        <f aca="false">Inputs!$B$11</f>
        <v>100</v>
      </c>
      <c r="G45" s="15" t="n">
        <f aca="false">Inputs!$B$12</f>
        <v>75</v>
      </c>
      <c r="H45" s="15" t="n">
        <f aca="false">Inputs!$B$13</f>
        <v>20</v>
      </c>
      <c r="I45" s="15" t="n">
        <f aca="false">F45-G45-H45</f>
        <v>5</v>
      </c>
      <c r="J45" s="15" t="n">
        <f aca="false">SUM(G45:I45)</f>
        <v>100</v>
      </c>
      <c r="K45" s="15" t="str">
        <f aca="false">IF(AND(I45&gt;=Inputs!$B$15,J45=F45),"PASS","FAIL")</f>
        <v>PASS</v>
      </c>
      <c r="L45" s="4"/>
      <c r="M45" s="4"/>
      <c r="N45" s="4"/>
    </row>
    <row r="46" customFormat="false" ht="15" hidden="false" customHeight="false" outlineLevel="0" collapsed="false">
      <c r="A46" s="14" t="s">
        <v>933</v>
      </c>
      <c r="B46" s="14" t="s">
        <v>174</v>
      </c>
      <c r="C46" s="14" t="s">
        <v>175</v>
      </c>
      <c r="D46" s="14" t="s">
        <v>152</v>
      </c>
      <c r="E46" s="14" t="s">
        <v>895</v>
      </c>
      <c r="F46" s="15" t="n">
        <f aca="false">Inputs!$B$11</f>
        <v>100</v>
      </c>
      <c r="G46" s="15" t="n">
        <f aca="false">Inputs!$B$12</f>
        <v>75</v>
      </c>
      <c r="H46" s="15" t="n">
        <f aca="false">Inputs!$B$13</f>
        <v>20</v>
      </c>
      <c r="I46" s="15" t="n">
        <f aca="false">F46-G46-H46</f>
        <v>5</v>
      </c>
      <c r="J46" s="15" t="n">
        <f aca="false">SUM(G46:I46)</f>
        <v>100</v>
      </c>
      <c r="K46" s="15" t="str">
        <f aca="false">IF(AND(I46&gt;=Inputs!$B$15,J46=F46),"PASS","FAIL")</f>
        <v>PASS</v>
      </c>
      <c r="L46" s="4"/>
      <c r="M46" s="4"/>
      <c r="N46" s="4"/>
    </row>
    <row r="47" customFormat="false" ht="15" hidden="false" customHeight="false" outlineLevel="0" collapsed="false">
      <c r="A47" s="14" t="s">
        <v>934</v>
      </c>
      <c r="B47" s="14" t="s">
        <v>174</v>
      </c>
      <c r="C47" s="14" t="s">
        <v>175</v>
      </c>
      <c r="D47" s="14" t="s">
        <v>152</v>
      </c>
      <c r="E47" s="14" t="s">
        <v>897</v>
      </c>
      <c r="F47" s="15" t="n">
        <f aca="false">Inputs!$B$11</f>
        <v>100</v>
      </c>
      <c r="G47" s="15" t="n">
        <f aca="false">Inputs!$B$12</f>
        <v>75</v>
      </c>
      <c r="H47" s="15" t="n">
        <f aca="false">Inputs!$B$13</f>
        <v>20</v>
      </c>
      <c r="I47" s="15" t="n">
        <f aca="false">F47-G47-H47</f>
        <v>5</v>
      </c>
      <c r="J47" s="15" t="n">
        <f aca="false">SUM(G47:I47)</f>
        <v>100</v>
      </c>
      <c r="K47" s="15" t="str">
        <f aca="false">IF(AND(I47&gt;=Inputs!$B$15,J47=F47),"PASS","FAIL")</f>
        <v>PASS</v>
      </c>
      <c r="L47" s="4"/>
      <c r="M47" s="4"/>
      <c r="N47" s="4"/>
    </row>
    <row r="48" customFormat="false" ht="15" hidden="false" customHeight="false" outlineLevel="0" collapsed="false">
      <c r="A48" s="14" t="s">
        <v>935</v>
      </c>
      <c r="B48" s="14" t="s">
        <v>174</v>
      </c>
      <c r="C48" s="14" t="s">
        <v>175</v>
      </c>
      <c r="D48" s="14" t="s">
        <v>152</v>
      </c>
      <c r="E48" s="14" t="s">
        <v>899</v>
      </c>
      <c r="F48" s="15" t="n">
        <f aca="false">Inputs!$B$11</f>
        <v>100</v>
      </c>
      <c r="G48" s="15" t="n">
        <f aca="false">Inputs!$B$12</f>
        <v>75</v>
      </c>
      <c r="H48" s="15" t="n">
        <f aca="false">Inputs!$B$13</f>
        <v>20</v>
      </c>
      <c r="I48" s="15" t="n">
        <f aca="false">F48-G48-H48</f>
        <v>5</v>
      </c>
      <c r="J48" s="15" t="n">
        <f aca="false">SUM(G48:I48)</f>
        <v>100</v>
      </c>
      <c r="K48" s="15" t="str">
        <f aca="false">IF(AND(I48&gt;=Inputs!$B$15,J48=F48),"PASS","FAIL")</f>
        <v>PASS</v>
      </c>
      <c r="L48" s="4"/>
      <c r="M48" s="4"/>
      <c r="N48" s="4"/>
    </row>
    <row r="49" customFormat="false" ht="15" hidden="false" customHeight="false" outlineLevel="0" collapsed="false">
      <c r="A49" s="14" t="s">
        <v>936</v>
      </c>
      <c r="B49" s="14" t="s">
        <v>178</v>
      </c>
      <c r="C49" s="14" t="s">
        <v>175</v>
      </c>
      <c r="D49" s="14" t="s">
        <v>169</v>
      </c>
      <c r="E49" s="14" t="s">
        <v>890</v>
      </c>
      <c r="F49" s="15" t="n">
        <f aca="false">Inputs!$B$11</f>
        <v>100</v>
      </c>
      <c r="G49" s="15" t="n">
        <f aca="false">Inputs!$B$12</f>
        <v>75</v>
      </c>
      <c r="H49" s="15" t="n">
        <f aca="false">Inputs!$B$13</f>
        <v>20</v>
      </c>
      <c r="I49" s="15" t="n">
        <f aca="false">F49-G49-H49</f>
        <v>5</v>
      </c>
      <c r="J49" s="15" t="n">
        <f aca="false">SUM(G49:I49)</f>
        <v>100</v>
      </c>
      <c r="K49" s="15" t="str">
        <f aca="false">IF(AND(I49&gt;=Inputs!$B$15,J49=F49),"PASS","FAIL")</f>
        <v>PASS</v>
      </c>
      <c r="L49" s="4"/>
      <c r="M49" s="4"/>
      <c r="N49" s="4"/>
    </row>
    <row r="50" customFormat="false" ht="15" hidden="false" customHeight="false" outlineLevel="0" collapsed="false">
      <c r="A50" s="14" t="s">
        <v>937</v>
      </c>
      <c r="B50" s="14" t="s">
        <v>178</v>
      </c>
      <c r="C50" s="14" t="s">
        <v>175</v>
      </c>
      <c r="D50" s="14" t="s">
        <v>169</v>
      </c>
      <c r="E50" s="14" t="s">
        <v>892</v>
      </c>
      <c r="F50" s="15" t="n">
        <f aca="false">Inputs!$B$11</f>
        <v>100</v>
      </c>
      <c r="G50" s="15" t="n">
        <f aca="false">Inputs!$B$12</f>
        <v>75</v>
      </c>
      <c r="H50" s="15" t="n">
        <f aca="false">Inputs!$B$13</f>
        <v>20</v>
      </c>
      <c r="I50" s="15" t="n">
        <f aca="false">F50-G50-H50</f>
        <v>5</v>
      </c>
      <c r="J50" s="15" t="n">
        <f aca="false">SUM(G50:I50)</f>
        <v>100</v>
      </c>
      <c r="K50" s="15" t="str">
        <f aca="false">IF(AND(I50&gt;=Inputs!$B$15,J50=F50),"PASS","FAIL")</f>
        <v>PASS</v>
      </c>
      <c r="L50" s="4"/>
      <c r="M50" s="4"/>
      <c r="N50" s="4"/>
    </row>
    <row r="51" customFormat="false" ht="15" hidden="false" customHeight="false" outlineLevel="0" collapsed="false">
      <c r="A51" s="14" t="s">
        <v>938</v>
      </c>
      <c r="B51" s="14" t="s">
        <v>178</v>
      </c>
      <c r="C51" s="14" t="s">
        <v>175</v>
      </c>
      <c r="D51" s="14" t="s">
        <v>169</v>
      </c>
      <c r="E51" s="14" t="s">
        <v>811</v>
      </c>
      <c r="F51" s="15" t="n">
        <f aca="false">Inputs!$B$11</f>
        <v>100</v>
      </c>
      <c r="G51" s="15" t="n">
        <f aca="false">Inputs!$B$12</f>
        <v>75</v>
      </c>
      <c r="H51" s="15" t="n">
        <f aca="false">Inputs!$B$13</f>
        <v>20</v>
      </c>
      <c r="I51" s="15" t="n">
        <f aca="false">F51-G51-H51</f>
        <v>5</v>
      </c>
      <c r="J51" s="15" t="n">
        <f aca="false">SUM(G51:I51)</f>
        <v>100</v>
      </c>
      <c r="K51" s="15" t="str">
        <f aca="false">IF(AND(I51&gt;=Inputs!$B$15,J51=F51),"PASS","FAIL")</f>
        <v>PASS</v>
      </c>
      <c r="L51" s="4"/>
      <c r="M51" s="4"/>
      <c r="N51" s="4"/>
    </row>
    <row r="52" customFormat="false" ht="15" hidden="false" customHeight="false" outlineLevel="0" collapsed="false">
      <c r="A52" s="14" t="s">
        <v>939</v>
      </c>
      <c r="B52" s="14" t="s">
        <v>178</v>
      </c>
      <c r="C52" s="14" t="s">
        <v>175</v>
      </c>
      <c r="D52" s="14" t="s">
        <v>169</v>
      </c>
      <c r="E52" s="14" t="s">
        <v>895</v>
      </c>
      <c r="F52" s="15" t="n">
        <f aca="false">Inputs!$B$11</f>
        <v>100</v>
      </c>
      <c r="G52" s="15" t="n">
        <f aca="false">Inputs!$B$12</f>
        <v>75</v>
      </c>
      <c r="H52" s="15" t="n">
        <f aca="false">Inputs!$B$13</f>
        <v>20</v>
      </c>
      <c r="I52" s="15" t="n">
        <f aca="false">F52-G52-H52</f>
        <v>5</v>
      </c>
      <c r="J52" s="15" t="n">
        <f aca="false">SUM(G52:I52)</f>
        <v>100</v>
      </c>
      <c r="K52" s="15" t="str">
        <f aca="false">IF(AND(I52&gt;=Inputs!$B$15,J52=F52),"PASS","FAIL")</f>
        <v>PASS</v>
      </c>
      <c r="L52" s="4"/>
      <c r="M52" s="4"/>
      <c r="N52" s="4"/>
    </row>
    <row r="53" customFormat="false" ht="15" hidden="false" customHeight="false" outlineLevel="0" collapsed="false">
      <c r="A53" s="14" t="s">
        <v>940</v>
      </c>
      <c r="B53" s="14" t="s">
        <v>178</v>
      </c>
      <c r="C53" s="14" t="s">
        <v>175</v>
      </c>
      <c r="D53" s="14" t="s">
        <v>169</v>
      </c>
      <c r="E53" s="14" t="s">
        <v>897</v>
      </c>
      <c r="F53" s="15" t="n">
        <f aca="false">Inputs!$B$11</f>
        <v>100</v>
      </c>
      <c r="G53" s="15" t="n">
        <f aca="false">Inputs!$B$12</f>
        <v>75</v>
      </c>
      <c r="H53" s="15" t="n">
        <f aca="false">Inputs!$B$13</f>
        <v>20</v>
      </c>
      <c r="I53" s="15" t="n">
        <f aca="false">F53-G53-H53</f>
        <v>5</v>
      </c>
      <c r="J53" s="15" t="n">
        <f aca="false">SUM(G53:I53)</f>
        <v>100</v>
      </c>
      <c r="K53" s="15" t="str">
        <f aca="false">IF(AND(I53&gt;=Inputs!$B$15,J53=F53),"PASS","FAIL")</f>
        <v>PASS</v>
      </c>
      <c r="L53" s="4"/>
      <c r="M53" s="4"/>
      <c r="N53" s="4"/>
    </row>
    <row r="54" customFormat="false" ht="15" hidden="false" customHeight="false" outlineLevel="0" collapsed="false">
      <c r="A54" s="14" t="s">
        <v>941</v>
      </c>
      <c r="B54" s="14" t="s">
        <v>178</v>
      </c>
      <c r="C54" s="14" t="s">
        <v>175</v>
      </c>
      <c r="D54" s="14" t="s">
        <v>169</v>
      </c>
      <c r="E54" s="14" t="s">
        <v>899</v>
      </c>
      <c r="F54" s="15" t="n">
        <f aca="false">Inputs!$B$11</f>
        <v>100</v>
      </c>
      <c r="G54" s="15" t="n">
        <f aca="false">Inputs!$B$12</f>
        <v>75</v>
      </c>
      <c r="H54" s="15" t="n">
        <f aca="false">Inputs!$B$13</f>
        <v>20</v>
      </c>
      <c r="I54" s="15" t="n">
        <f aca="false">F54-G54-H54</f>
        <v>5</v>
      </c>
      <c r="J54" s="15" t="n">
        <f aca="false">SUM(G54:I54)</f>
        <v>100</v>
      </c>
      <c r="K54" s="15" t="str">
        <f aca="false">IF(AND(I54&gt;=Inputs!$B$15,J54=F54),"PASS","FAIL")</f>
        <v>PASS</v>
      </c>
      <c r="L54" s="4"/>
      <c r="M54" s="4"/>
      <c r="N54" s="4"/>
    </row>
    <row r="55" customFormat="false" ht="15" hidden="false" customHeight="false" outlineLevel="0" collapsed="false">
      <c r="A55" s="14" t="s">
        <v>942</v>
      </c>
      <c r="B55" s="14" t="s">
        <v>180</v>
      </c>
      <c r="C55" s="14" t="s">
        <v>175</v>
      </c>
      <c r="D55" s="14" t="s">
        <v>161</v>
      </c>
      <c r="E55" s="14" t="s">
        <v>890</v>
      </c>
      <c r="F55" s="15" t="n">
        <f aca="false">Inputs!$B$11</f>
        <v>100</v>
      </c>
      <c r="G55" s="15" t="n">
        <f aca="false">Inputs!$B$12</f>
        <v>75</v>
      </c>
      <c r="H55" s="15" t="n">
        <f aca="false">Inputs!$B$13</f>
        <v>20</v>
      </c>
      <c r="I55" s="15" t="n">
        <f aca="false">F55-G55-H55</f>
        <v>5</v>
      </c>
      <c r="J55" s="15" t="n">
        <f aca="false">SUM(G55:I55)</f>
        <v>100</v>
      </c>
      <c r="K55" s="15" t="str">
        <f aca="false">IF(AND(I55&gt;=Inputs!$B$15,J55=F55),"PASS","FAIL")</f>
        <v>PASS</v>
      </c>
      <c r="L55" s="4"/>
      <c r="M55" s="4"/>
      <c r="N55" s="4"/>
    </row>
    <row r="56" customFormat="false" ht="15" hidden="false" customHeight="false" outlineLevel="0" collapsed="false">
      <c r="A56" s="14" t="s">
        <v>943</v>
      </c>
      <c r="B56" s="14" t="s">
        <v>180</v>
      </c>
      <c r="C56" s="14" t="s">
        <v>175</v>
      </c>
      <c r="D56" s="14" t="s">
        <v>161</v>
      </c>
      <c r="E56" s="14" t="s">
        <v>892</v>
      </c>
      <c r="F56" s="15" t="n">
        <f aca="false">Inputs!$B$11</f>
        <v>100</v>
      </c>
      <c r="G56" s="15" t="n">
        <f aca="false">Inputs!$B$12</f>
        <v>75</v>
      </c>
      <c r="H56" s="15" t="n">
        <f aca="false">Inputs!$B$13</f>
        <v>20</v>
      </c>
      <c r="I56" s="15" t="n">
        <f aca="false">F56-G56-H56</f>
        <v>5</v>
      </c>
      <c r="J56" s="15" t="n">
        <f aca="false">SUM(G56:I56)</f>
        <v>100</v>
      </c>
      <c r="K56" s="15" t="str">
        <f aca="false">IF(AND(I56&gt;=Inputs!$B$15,J56=F56),"PASS","FAIL")</f>
        <v>PASS</v>
      </c>
      <c r="L56" s="4"/>
      <c r="M56" s="4"/>
      <c r="N56" s="4"/>
    </row>
    <row r="57" customFormat="false" ht="15" hidden="false" customHeight="false" outlineLevel="0" collapsed="false">
      <c r="A57" s="14" t="s">
        <v>944</v>
      </c>
      <c r="B57" s="14" t="s">
        <v>180</v>
      </c>
      <c r="C57" s="14" t="s">
        <v>175</v>
      </c>
      <c r="D57" s="14" t="s">
        <v>161</v>
      </c>
      <c r="E57" s="14" t="s">
        <v>811</v>
      </c>
      <c r="F57" s="15" t="n">
        <f aca="false">Inputs!$B$11</f>
        <v>100</v>
      </c>
      <c r="G57" s="15" t="n">
        <f aca="false">Inputs!$B$12</f>
        <v>75</v>
      </c>
      <c r="H57" s="15" t="n">
        <f aca="false">Inputs!$B$13</f>
        <v>20</v>
      </c>
      <c r="I57" s="15" t="n">
        <f aca="false">F57-G57-H57</f>
        <v>5</v>
      </c>
      <c r="J57" s="15" t="n">
        <f aca="false">SUM(G57:I57)</f>
        <v>100</v>
      </c>
      <c r="K57" s="15" t="str">
        <f aca="false">IF(AND(I57&gt;=Inputs!$B$15,J57=F57),"PASS","FAIL")</f>
        <v>PASS</v>
      </c>
      <c r="L57" s="4"/>
      <c r="M57" s="4"/>
      <c r="N57" s="4"/>
    </row>
    <row r="58" customFormat="false" ht="15" hidden="false" customHeight="false" outlineLevel="0" collapsed="false">
      <c r="A58" s="14" t="s">
        <v>945</v>
      </c>
      <c r="B58" s="14" t="s">
        <v>180</v>
      </c>
      <c r="C58" s="14" t="s">
        <v>175</v>
      </c>
      <c r="D58" s="14" t="s">
        <v>161</v>
      </c>
      <c r="E58" s="14" t="s">
        <v>895</v>
      </c>
      <c r="F58" s="15" t="n">
        <f aca="false">Inputs!$B$11</f>
        <v>100</v>
      </c>
      <c r="G58" s="15" t="n">
        <f aca="false">Inputs!$B$12</f>
        <v>75</v>
      </c>
      <c r="H58" s="15" t="n">
        <f aca="false">Inputs!$B$13</f>
        <v>20</v>
      </c>
      <c r="I58" s="15" t="n">
        <f aca="false">F58-G58-H58</f>
        <v>5</v>
      </c>
      <c r="J58" s="15" t="n">
        <f aca="false">SUM(G58:I58)</f>
        <v>100</v>
      </c>
      <c r="K58" s="15" t="str">
        <f aca="false">IF(AND(I58&gt;=Inputs!$B$15,J58=F58),"PASS","FAIL")</f>
        <v>PASS</v>
      </c>
      <c r="L58" s="4"/>
      <c r="M58" s="4"/>
      <c r="N58" s="4"/>
    </row>
    <row r="59" customFormat="false" ht="15" hidden="false" customHeight="false" outlineLevel="0" collapsed="false">
      <c r="A59" s="14" t="s">
        <v>946</v>
      </c>
      <c r="B59" s="14" t="s">
        <v>180</v>
      </c>
      <c r="C59" s="14" t="s">
        <v>175</v>
      </c>
      <c r="D59" s="14" t="s">
        <v>161</v>
      </c>
      <c r="E59" s="14" t="s">
        <v>897</v>
      </c>
      <c r="F59" s="15" t="n">
        <f aca="false">Inputs!$B$11</f>
        <v>100</v>
      </c>
      <c r="G59" s="15" t="n">
        <f aca="false">Inputs!$B$12</f>
        <v>75</v>
      </c>
      <c r="H59" s="15" t="n">
        <f aca="false">Inputs!$B$13</f>
        <v>20</v>
      </c>
      <c r="I59" s="15" t="n">
        <f aca="false">F59-G59-H59</f>
        <v>5</v>
      </c>
      <c r="J59" s="15" t="n">
        <f aca="false">SUM(G59:I59)</f>
        <v>100</v>
      </c>
      <c r="K59" s="15" t="str">
        <f aca="false">IF(AND(I59&gt;=Inputs!$B$15,J59=F59),"PASS","FAIL")</f>
        <v>PASS</v>
      </c>
      <c r="L59" s="4"/>
      <c r="M59" s="4"/>
      <c r="N59" s="4"/>
    </row>
    <row r="60" customFormat="false" ht="15" hidden="false" customHeight="false" outlineLevel="0" collapsed="false">
      <c r="A60" s="14" t="s">
        <v>947</v>
      </c>
      <c r="B60" s="14" t="s">
        <v>180</v>
      </c>
      <c r="C60" s="14" t="s">
        <v>175</v>
      </c>
      <c r="D60" s="14" t="s">
        <v>161</v>
      </c>
      <c r="E60" s="14" t="s">
        <v>899</v>
      </c>
      <c r="F60" s="15" t="n">
        <f aca="false">Inputs!$B$11</f>
        <v>100</v>
      </c>
      <c r="G60" s="15" t="n">
        <f aca="false">Inputs!$B$12</f>
        <v>75</v>
      </c>
      <c r="H60" s="15" t="n">
        <f aca="false">Inputs!$B$13</f>
        <v>20</v>
      </c>
      <c r="I60" s="15" t="n">
        <f aca="false">F60-G60-H60</f>
        <v>5</v>
      </c>
      <c r="J60" s="15" t="n">
        <f aca="false">SUM(G60:I60)</f>
        <v>100</v>
      </c>
      <c r="K60" s="15" t="str">
        <f aca="false">IF(AND(I60&gt;=Inputs!$B$15,J60=F60),"PASS","FAIL")</f>
        <v>PASS</v>
      </c>
      <c r="L60" s="4"/>
      <c r="M60" s="4"/>
      <c r="N60" s="4"/>
    </row>
    <row r="61" customFormat="false" ht="15" hidden="false" customHeight="false" outlineLevel="0" collapsed="false">
      <c r="A61" s="14" t="s">
        <v>948</v>
      </c>
      <c r="B61" s="14" t="s">
        <v>182</v>
      </c>
      <c r="C61" s="14" t="s">
        <v>183</v>
      </c>
      <c r="D61" s="14" t="s">
        <v>166</v>
      </c>
      <c r="E61" s="14" t="s">
        <v>890</v>
      </c>
      <c r="F61" s="15" t="n">
        <f aca="false">Inputs!$B$11</f>
        <v>100</v>
      </c>
      <c r="G61" s="15" t="n">
        <f aca="false">Inputs!$B$12</f>
        <v>75</v>
      </c>
      <c r="H61" s="15" t="n">
        <f aca="false">Inputs!$B$13</f>
        <v>20</v>
      </c>
      <c r="I61" s="15" t="n">
        <f aca="false">F61-G61-H61</f>
        <v>5</v>
      </c>
      <c r="J61" s="15" t="n">
        <f aca="false">SUM(G61:I61)</f>
        <v>100</v>
      </c>
      <c r="K61" s="15" t="str">
        <f aca="false">IF(AND(I61&gt;=Inputs!$B$15,J61=F61),"PASS","FAIL")</f>
        <v>PASS</v>
      </c>
      <c r="L61" s="4"/>
      <c r="M61" s="4"/>
      <c r="N61" s="4"/>
    </row>
    <row r="62" customFormat="false" ht="15" hidden="false" customHeight="false" outlineLevel="0" collapsed="false">
      <c r="A62" s="14" t="s">
        <v>949</v>
      </c>
      <c r="B62" s="14" t="s">
        <v>182</v>
      </c>
      <c r="C62" s="14" t="s">
        <v>183</v>
      </c>
      <c r="D62" s="14" t="s">
        <v>166</v>
      </c>
      <c r="E62" s="14" t="s">
        <v>892</v>
      </c>
      <c r="F62" s="15" t="n">
        <f aca="false">Inputs!$B$11</f>
        <v>100</v>
      </c>
      <c r="G62" s="15" t="n">
        <f aca="false">Inputs!$B$12</f>
        <v>75</v>
      </c>
      <c r="H62" s="15" t="n">
        <f aca="false">Inputs!$B$13</f>
        <v>20</v>
      </c>
      <c r="I62" s="15" t="n">
        <f aca="false">F62-G62-H62</f>
        <v>5</v>
      </c>
      <c r="J62" s="15" t="n">
        <f aca="false">SUM(G62:I62)</f>
        <v>100</v>
      </c>
      <c r="K62" s="15" t="str">
        <f aca="false">IF(AND(I62&gt;=Inputs!$B$15,J62=F62),"PASS","FAIL")</f>
        <v>PASS</v>
      </c>
      <c r="L62" s="4"/>
      <c r="M62" s="4"/>
      <c r="N62" s="4"/>
    </row>
    <row r="63" customFormat="false" ht="15" hidden="false" customHeight="false" outlineLevel="0" collapsed="false">
      <c r="A63" s="14" t="s">
        <v>950</v>
      </c>
      <c r="B63" s="14" t="s">
        <v>182</v>
      </c>
      <c r="C63" s="14" t="s">
        <v>183</v>
      </c>
      <c r="D63" s="14" t="s">
        <v>166</v>
      </c>
      <c r="E63" s="14" t="s">
        <v>811</v>
      </c>
      <c r="F63" s="15" t="n">
        <f aca="false">Inputs!$B$11</f>
        <v>100</v>
      </c>
      <c r="G63" s="15" t="n">
        <f aca="false">Inputs!$B$12</f>
        <v>75</v>
      </c>
      <c r="H63" s="15" t="n">
        <f aca="false">Inputs!$B$13</f>
        <v>20</v>
      </c>
      <c r="I63" s="15" t="n">
        <f aca="false">F63-G63-H63</f>
        <v>5</v>
      </c>
      <c r="J63" s="15" t="n">
        <f aca="false">SUM(G63:I63)</f>
        <v>100</v>
      </c>
      <c r="K63" s="15" t="str">
        <f aca="false">IF(AND(I63&gt;=Inputs!$B$15,J63=F63),"PASS","FAIL")</f>
        <v>PASS</v>
      </c>
      <c r="L63" s="4"/>
      <c r="M63" s="4"/>
      <c r="N63" s="4"/>
    </row>
    <row r="64" customFormat="false" ht="15" hidden="false" customHeight="false" outlineLevel="0" collapsed="false">
      <c r="A64" s="14" t="s">
        <v>951</v>
      </c>
      <c r="B64" s="14" t="s">
        <v>182</v>
      </c>
      <c r="C64" s="14" t="s">
        <v>183</v>
      </c>
      <c r="D64" s="14" t="s">
        <v>166</v>
      </c>
      <c r="E64" s="14" t="s">
        <v>895</v>
      </c>
      <c r="F64" s="15" t="n">
        <f aca="false">Inputs!$B$11</f>
        <v>100</v>
      </c>
      <c r="G64" s="15" t="n">
        <f aca="false">Inputs!$B$12</f>
        <v>75</v>
      </c>
      <c r="H64" s="15" t="n">
        <f aca="false">Inputs!$B$13</f>
        <v>20</v>
      </c>
      <c r="I64" s="15" t="n">
        <f aca="false">F64-G64-H64</f>
        <v>5</v>
      </c>
      <c r="J64" s="15" t="n">
        <f aca="false">SUM(G64:I64)</f>
        <v>100</v>
      </c>
      <c r="K64" s="15" t="str">
        <f aca="false">IF(AND(I64&gt;=Inputs!$B$15,J64=F64),"PASS","FAIL")</f>
        <v>PASS</v>
      </c>
      <c r="L64" s="4"/>
      <c r="M64" s="4"/>
      <c r="N64" s="4"/>
    </row>
    <row r="65" customFormat="false" ht="15" hidden="false" customHeight="false" outlineLevel="0" collapsed="false">
      <c r="A65" s="14" t="s">
        <v>952</v>
      </c>
      <c r="B65" s="14" t="s">
        <v>182</v>
      </c>
      <c r="C65" s="14" t="s">
        <v>183</v>
      </c>
      <c r="D65" s="14" t="s">
        <v>166</v>
      </c>
      <c r="E65" s="14" t="s">
        <v>897</v>
      </c>
      <c r="F65" s="15" t="n">
        <f aca="false">Inputs!$B$11</f>
        <v>100</v>
      </c>
      <c r="G65" s="15" t="n">
        <f aca="false">Inputs!$B$12</f>
        <v>75</v>
      </c>
      <c r="H65" s="15" t="n">
        <f aca="false">Inputs!$B$13</f>
        <v>20</v>
      </c>
      <c r="I65" s="15" t="n">
        <f aca="false">F65-G65-H65</f>
        <v>5</v>
      </c>
      <c r="J65" s="15" t="n">
        <f aca="false">SUM(G65:I65)</f>
        <v>100</v>
      </c>
      <c r="K65" s="15" t="str">
        <f aca="false">IF(AND(I65&gt;=Inputs!$B$15,J65=F65),"PASS","FAIL")</f>
        <v>PASS</v>
      </c>
      <c r="L65" s="4"/>
      <c r="M65" s="4"/>
      <c r="N65" s="4"/>
    </row>
    <row r="66" customFormat="false" ht="15" hidden="false" customHeight="false" outlineLevel="0" collapsed="false">
      <c r="A66" s="14" t="s">
        <v>953</v>
      </c>
      <c r="B66" s="14" t="s">
        <v>182</v>
      </c>
      <c r="C66" s="14" t="s">
        <v>183</v>
      </c>
      <c r="D66" s="14" t="s">
        <v>166</v>
      </c>
      <c r="E66" s="14" t="s">
        <v>899</v>
      </c>
      <c r="F66" s="15" t="n">
        <f aca="false">Inputs!$B$11</f>
        <v>100</v>
      </c>
      <c r="G66" s="15" t="n">
        <f aca="false">Inputs!$B$12</f>
        <v>75</v>
      </c>
      <c r="H66" s="15" t="n">
        <f aca="false">Inputs!$B$13</f>
        <v>20</v>
      </c>
      <c r="I66" s="15" t="n">
        <f aca="false">F66-G66-H66</f>
        <v>5</v>
      </c>
      <c r="J66" s="15" t="n">
        <f aca="false">SUM(G66:I66)</f>
        <v>100</v>
      </c>
      <c r="K66" s="15" t="str">
        <f aca="false">IF(AND(I66&gt;=Inputs!$B$15,J66=F66),"PASS","FAIL")</f>
        <v>PASS</v>
      </c>
      <c r="L66" s="4"/>
      <c r="M66" s="4"/>
      <c r="N66" s="4"/>
    </row>
    <row r="67" customFormat="false" ht="15" hidden="false" customHeight="false" outlineLevel="0" collapsed="false">
      <c r="A67" s="14" t="s">
        <v>954</v>
      </c>
      <c r="B67" s="14" t="s">
        <v>186</v>
      </c>
      <c r="C67" s="14" t="s">
        <v>183</v>
      </c>
      <c r="D67" s="14" t="s">
        <v>157</v>
      </c>
      <c r="E67" s="14" t="s">
        <v>890</v>
      </c>
      <c r="F67" s="15" t="n">
        <f aca="false">Inputs!$B$11</f>
        <v>100</v>
      </c>
      <c r="G67" s="15" t="n">
        <f aca="false">Inputs!$B$12</f>
        <v>75</v>
      </c>
      <c r="H67" s="15" t="n">
        <f aca="false">Inputs!$B$13</f>
        <v>20</v>
      </c>
      <c r="I67" s="15" t="n">
        <f aca="false">F67-G67-H67</f>
        <v>5</v>
      </c>
      <c r="J67" s="15" t="n">
        <f aca="false">SUM(G67:I67)</f>
        <v>100</v>
      </c>
      <c r="K67" s="15" t="str">
        <f aca="false">IF(AND(I67&gt;=Inputs!$B$15,J67=F67),"PASS","FAIL")</f>
        <v>PASS</v>
      </c>
      <c r="L67" s="4"/>
      <c r="M67" s="4"/>
      <c r="N67" s="4"/>
    </row>
    <row r="68" customFormat="false" ht="15" hidden="false" customHeight="false" outlineLevel="0" collapsed="false">
      <c r="A68" s="14" t="s">
        <v>955</v>
      </c>
      <c r="B68" s="14" t="s">
        <v>186</v>
      </c>
      <c r="C68" s="14" t="s">
        <v>183</v>
      </c>
      <c r="D68" s="14" t="s">
        <v>157</v>
      </c>
      <c r="E68" s="14" t="s">
        <v>892</v>
      </c>
      <c r="F68" s="15" t="n">
        <f aca="false">Inputs!$B$11</f>
        <v>100</v>
      </c>
      <c r="G68" s="15" t="n">
        <f aca="false">Inputs!$B$12</f>
        <v>75</v>
      </c>
      <c r="H68" s="15" t="n">
        <f aca="false">Inputs!$B$13</f>
        <v>20</v>
      </c>
      <c r="I68" s="15" t="n">
        <f aca="false">F68-G68-H68</f>
        <v>5</v>
      </c>
      <c r="J68" s="15" t="n">
        <f aca="false">SUM(G68:I68)</f>
        <v>100</v>
      </c>
      <c r="K68" s="15" t="str">
        <f aca="false">IF(AND(I68&gt;=Inputs!$B$15,J68=F68),"PASS","FAIL")</f>
        <v>PASS</v>
      </c>
      <c r="L68" s="4"/>
      <c r="M68" s="4"/>
      <c r="N68" s="4"/>
    </row>
    <row r="69" customFormat="false" ht="15" hidden="false" customHeight="false" outlineLevel="0" collapsed="false">
      <c r="A69" s="14" t="s">
        <v>956</v>
      </c>
      <c r="B69" s="14" t="s">
        <v>186</v>
      </c>
      <c r="C69" s="14" t="s">
        <v>183</v>
      </c>
      <c r="D69" s="14" t="s">
        <v>157</v>
      </c>
      <c r="E69" s="14" t="s">
        <v>811</v>
      </c>
      <c r="F69" s="15" t="n">
        <f aca="false">Inputs!$B$11</f>
        <v>100</v>
      </c>
      <c r="G69" s="15" t="n">
        <f aca="false">Inputs!$B$12</f>
        <v>75</v>
      </c>
      <c r="H69" s="15" t="n">
        <f aca="false">Inputs!$B$13</f>
        <v>20</v>
      </c>
      <c r="I69" s="15" t="n">
        <f aca="false">F69-G69-H69</f>
        <v>5</v>
      </c>
      <c r="J69" s="15" t="n">
        <f aca="false">SUM(G69:I69)</f>
        <v>100</v>
      </c>
      <c r="K69" s="15" t="str">
        <f aca="false">IF(AND(I69&gt;=Inputs!$B$15,J69=F69),"PASS","FAIL")</f>
        <v>PASS</v>
      </c>
      <c r="L69" s="4"/>
      <c r="M69" s="4"/>
      <c r="N69" s="4"/>
    </row>
    <row r="70" customFormat="false" ht="15" hidden="false" customHeight="false" outlineLevel="0" collapsed="false">
      <c r="A70" s="14" t="s">
        <v>957</v>
      </c>
      <c r="B70" s="14" t="s">
        <v>186</v>
      </c>
      <c r="C70" s="14" t="s">
        <v>183</v>
      </c>
      <c r="D70" s="14" t="s">
        <v>157</v>
      </c>
      <c r="E70" s="14" t="s">
        <v>895</v>
      </c>
      <c r="F70" s="15" t="n">
        <f aca="false">Inputs!$B$11</f>
        <v>100</v>
      </c>
      <c r="G70" s="15" t="n">
        <f aca="false">Inputs!$B$12</f>
        <v>75</v>
      </c>
      <c r="H70" s="15" t="n">
        <f aca="false">Inputs!$B$13</f>
        <v>20</v>
      </c>
      <c r="I70" s="15" t="n">
        <f aca="false">F70-G70-H70</f>
        <v>5</v>
      </c>
      <c r="J70" s="15" t="n">
        <f aca="false">SUM(G70:I70)</f>
        <v>100</v>
      </c>
      <c r="K70" s="15" t="str">
        <f aca="false">IF(AND(I70&gt;=Inputs!$B$15,J70=F70),"PASS","FAIL")</f>
        <v>PASS</v>
      </c>
      <c r="L70" s="4"/>
      <c r="M70" s="4"/>
      <c r="N70" s="4"/>
    </row>
    <row r="71" customFormat="false" ht="15" hidden="false" customHeight="false" outlineLevel="0" collapsed="false">
      <c r="A71" s="14" t="s">
        <v>958</v>
      </c>
      <c r="B71" s="14" t="s">
        <v>186</v>
      </c>
      <c r="C71" s="14" t="s">
        <v>183</v>
      </c>
      <c r="D71" s="14" t="s">
        <v>157</v>
      </c>
      <c r="E71" s="14" t="s">
        <v>897</v>
      </c>
      <c r="F71" s="15" t="n">
        <f aca="false">Inputs!$B$11</f>
        <v>100</v>
      </c>
      <c r="G71" s="15" t="n">
        <f aca="false">Inputs!$B$12</f>
        <v>75</v>
      </c>
      <c r="H71" s="15" t="n">
        <f aca="false">Inputs!$B$13</f>
        <v>20</v>
      </c>
      <c r="I71" s="15" t="n">
        <f aca="false">F71-G71-H71</f>
        <v>5</v>
      </c>
      <c r="J71" s="15" t="n">
        <f aca="false">SUM(G71:I71)</f>
        <v>100</v>
      </c>
      <c r="K71" s="15" t="str">
        <f aca="false">IF(AND(I71&gt;=Inputs!$B$15,J71=F71),"PASS","FAIL")</f>
        <v>PASS</v>
      </c>
      <c r="L71" s="4"/>
      <c r="M71" s="4"/>
      <c r="N71" s="4"/>
    </row>
    <row r="72" customFormat="false" ht="15" hidden="false" customHeight="false" outlineLevel="0" collapsed="false">
      <c r="A72" s="14" t="s">
        <v>959</v>
      </c>
      <c r="B72" s="14" t="s">
        <v>186</v>
      </c>
      <c r="C72" s="14" t="s">
        <v>183</v>
      </c>
      <c r="D72" s="14" t="s">
        <v>157</v>
      </c>
      <c r="E72" s="14" t="s">
        <v>899</v>
      </c>
      <c r="F72" s="15" t="n">
        <f aca="false">Inputs!$B$11</f>
        <v>100</v>
      </c>
      <c r="G72" s="15" t="n">
        <f aca="false">Inputs!$B$12</f>
        <v>75</v>
      </c>
      <c r="H72" s="15" t="n">
        <f aca="false">Inputs!$B$13</f>
        <v>20</v>
      </c>
      <c r="I72" s="15" t="n">
        <f aca="false">F72-G72-H72</f>
        <v>5</v>
      </c>
      <c r="J72" s="15" t="n">
        <f aca="false">SUM(G72:I72)</f>
        <v>100</v>
      </c>
      <c r="K72" s="15" t="str">
        <f aca="false">IF(AND(I72&gt;=Inputs!$B$15,J72=F72),"PASS","FAIL")</f>
        <v>PASS</v>
      </c>
      <c r="L72" s="4"/>
      <c r="M72" s="4"/>
      <c r="N72" s="4"/>
    </row>
    <row r="73" customFormat="false" ht="15" hidden="false" customHeight="false" outlineLevel="0" collapsed="false">
      <c r="A73" s="14" t="s">
        <v>960</v>
      </c>
      <c r="B73" s="14" t="s">
        <v>188</v>
      </c>
      <c r="C73" s="14" t="s">
        <v>183</v>
      </c>
      <c r="D73" s="14" t="s">
        <v>172</v>
      </c>
      <c r="E73" s="14" t="s">
        <v>890</v>
      </c>
      <c r="F73" s="15" t="n">
        <f aca="false">Inputs!$B$11</f>
        <v>100</v>
      </c>
      <c r="G73" s="15" t="n">
        <f aca="false">Inputs!$B$12</f>
        <v>75</v>
      </c>
      <c r="H73" s="15" t="n">
        <f aca="false">Inputs!$B$13</f>
        <v>20</v>
      </c>
      <c r="I73" s="15" t="n">
        <f aca="false">F73-G73-H73</f>
        <v>5</v>
      </c>
      <c r="J73" s="15" t="n">
        <f aca="false">SUM(G73:I73)</f>
        <v>100</v>
      </c>
      <c r="K73" s="15" t="str">
        <f aca="false">IF(AND(I73&gt;=Inputs!$B$15,J73=F73),"PASS","FAIL")</f>
        <v>PASS</v>
      </c>
      <c r="L73" s="4"/>
      <c r="M73" s="4"/>
      <c r="N73" s="4"/>
    </row>
    <row r="74" customFormat="false" ht="15" hidden="false" customHeight="false" outlineLevel="0" collapsed="false">
      <c r="A74" s="14" t="s">
        <v>961</v>
      </c>
      <c r="B74" s="14" t="s">
        <v>188</v>
      </c>
      <c r="C74" s="14" t="s">
        <v>183</v>
      </c>
      <c r="D74" s="14" t="s">
        <v>172</v>
      </c>
      <c r="E74" s="14" t="s">
        <v>892</v>
      </c>
      <c r="F74" s="15" t="n">
        <f aca="false">Inputs!$B$11</f>
        <v>100</v>
      </c>
      <c r="G74" s="15" t="n">
        <f aca="false">Inputs!$B$12</f>
        <v>75</v>
      </c>
      <c r="H74" s="15" t="n">
        <f aca="false">Inputs!$B$13</f>
        <v>20</v>
      </c>
      <c r="I74" s="15" t="n">
        <f aca="false">F74-G74-H74</f>
        <v>5</v>
      </c>
      <c r="J74" s="15" t="n">
        <f aca="false">SUM(G74:I74)</f>
        <v>100</v>
      </c>
      <c r="K74" s="15" t="str">
        <f aca="false">IF(AND(I74&gt;=Inputs!$B$15,J74=F74),"PASS","FAIL")</f>
        <v>PASS</v>
      </c>
      <c r="L74" s="4"/>
      <c r="M74" s="4"/>
      <c r="N74" s="4"/>
    </row>
    <row r="75" customFormat="false" ht="15" hidden="false" customHeight="false" outlineLevel="0" collapsed="false">
      <c r="A75" s="14" t="s">
        <v>962</v>
      </c>
      <c r="B75" s="14" t="s">
        <v>188</v>
      </c>
      <c r="C75" s="14" t="s">
        <v>183</v>
      </c>
      <c r="D75" s="14" t="s">
        <v>172</v>
      </c>
      <c r="E75" s="14" t="s">
        <v>811</v>
      </c>
      <c r="F75" s="15" t="n">
        <f aca="false">Inputs!$B$11</f>
        <v>100</v>
      </c>
      <c r="G75" s="15" t="n">
        <f aca="false">Inputs!$B$12</f>
        <v>75</v>
      </c>
      <c r="H75" s="15" t="n">
        <f aca="false">Inputs!$B$13</f>
        <v>20</v>
      </c>
      <c r="I75" s="15" t="n">
        <f aca="false">F75-G75-H75</f>
        <v>5</v>
      </c>
      <c r="J75" s="15" t="n">
        <f aca="false">SUM(G75:I75)</f>
        <v>100</v>
      </c>
      <c r="K75" s="15" t="str">
        <f aca="false">IF(AND(I75&gt;=Inputs!$B$15,J75=F75),"PASS","FAIL")</f>
        <v>PASS</v>
      </c>
      <c r="L75" s="4"/>
      <c r="M75" s="4"/>
      <c r="N75" s="4"/>
    </row>
    <row r="76" customFormat="false" ht="15" hidden="false" customHeight="false" outlineLevel="0" collapsed="false">
      <c r="A76" s="14" t="s">
        <v>963</v>
      </c>
      <c r="B76" s="14" t="s">
        <v>188</v>
      </c>
      <c r="C76" s="14" t="s">
        <v>183</v>
      </c>
      <c r="D76" s="14" t="s">
        <v>172</v>
      </c>
      <c r="E76" s="14" t="s">
        <v>895</v>
      </c>
      <c r="F76" s="15" t="n">
        <f aca="false">Inputs!$B$11</f>
        <v>100</v>
      </c>
      <c r="G76" s="15" t="n">
        <f aca="false">Inputs!$B$12</f>
        <v>75</v>
      </c>
      <c r="H76" s="15" t="n">
        <f aca="false">Inputs!$B$13</f>
        <v>20</v>
      </c>
      <c r="I76" s="15" t="n">
        <f aca="false">F76-G76-H76</f>
        <v>5</v>
      </c>
      <c r="J76" s="15" t="n">
        <f aca="false">SUM(G76:I76)</f>
        <v>100</v>
      </c>
      <c r="K76" s="15" t="str">
        <f aca="false">IF(AND(I76&gt;=Inputs!$B$15,J76=F76),"PASS","FAIL")</f>
        <v>PASS</v>
      </c>
      <c r="L76" s="4"/>
      <c r="M76" s="4"/>
      <c r="N76" s="4"/>
    </row>
    <row r="77" customFormat="false" ht="15" hidden="false" customHeight="false" outlineLevel="0" collapsed="false">
      <c r="A77" s="14" t="s">
        <v>964</v>
      </c>
      <c r="B77" s="14" t="s">
        <v>188</v>
      </c>
      <c r="C77" s="14" t="s">
        <v>183</v>
      </c>
      <c r="D77" s="14" t="s">
        <v>172</v>
      </c>
      <c r="E77" s="14" t="s">
        <v>897</v>
      </c>
      <c r="F77" s="15" t="n">
        <f aca="false">Inputs!$B$11</f>
        <v>100</v>
      </c>
      <c r="G77" s="15" t="n">
        <f aca="false">Inputs!$B$12</f>
        <v>75</v>
      </c>
      <c r="H77" s="15" t="n">
        <f aca="false">Inputs!$B$13</f>
        <v>20</v>
      </c>
      <c r="I77" s="15" t="n">
        <f aca="false">F77-G77-H77</f>
        <v>5</v>
      </c>
      <c r="J77" s="15" t="n">
        <f aca="false">SUM(G77:I77)</f>
        <v>100</v>
      </c>
      <c r="K77" s="15" t="str">
        <f aca="false">IF(AND(I77&gt;=Inputs!$B$15,J77=F77),"PASS","FAIL")</f>
        <v>PASS</v>
      </c>
      <c r="L77" s="4"/>
      <c r="M77" s="4"/>
      <c r="N77" s="4"/>
    </row>
    <row r="78" customFormat="false" ht="15" hidden="false" customHeight="false" outlineLevel="0" collapsed="false">
      <c r="A78" s="14" t="s">
        <v>965</v>
      </c>
      <c r="B78" s="14" t="s">
        <v>188</v>
      </c>
      <c r="C78" s="14" t="s">
        <v>183</v>
      </c>
      <c r="D78" s="14" t="s">
        <v>172</v>
      </c>
      <c r="E78" s="14" t="s">
        <v>899</v>
      </c>
      <c r="F78" s="15" t="n">
        <f aca="false">Inputs!$B$11</f>
        <v>100</v>
      </c>
      <c r="G78" s="15" t="n">
        <f aca="false">Inputs!$B$12</f>
        <v>75</v>
      </c>
      <c r="H78" s="15" t="n">
        <f aca="false">Inputs!$B$13</f>
        <v>20</v>
      </c>
      <c r="I78" s="15" t="n">
        <f aca="false">F78-G78-H78</f>
        <v>5</v>
      </c>
      <c r="J78" s="15" t="n">
        <f aca="false">SUM(G78:I78)</f>
        <v>100</v>
      </c>
      <c r="K78" s="15" t="str">
        <f aca="false">IF(AND(I78&gt;=Inputs!$B$15,J78=F78),"PASS","FAIL")</f>
        <v>PASS</v>
      </c>
      <c r="L78" s="4"/>
      <c r="M78" s="4"/>
      <c r="N78" s="4"/>
    </row>
    <row r="79" customFormat="false" ht="15" hidden="false" customHeight="false" outlineLevel="0" collapsed="false">
      <c r="A79" s="14" t="s">
        <v>966</v>
      </c>
      <c r="B79" s="14" t="s">
        <v>190</v>
      </c>
      <c r="C79" s="14" t="s">
        <v>191</v>
      </c>
      <c r="D79" s="14" t="s">
        <v>152</v>
      </c>
      <c r="E79" s="14" t="s">
        <v>890</v>
      </c>
      <c r="F79" s="15" t="n">
        <f aca="false">Inputs!$B$11</f>
        <v>100</v>
      </c>
      <c r="G79" s="15" t="n">
        <f aca="false">Inputs!$B$12</f>
        <v>75</v>
      </c>
      <c r="H79" s="15" t="n">
        <f aca="false">Inputs!$B$13</f>
        <v>20</v>
      </c>
      <c r="I79" s="15" t="n">
        <f aca="false">F79-G79-H79</f>
        <v>5</v>
      </c>
      <c r="J79" s="15" t="n">
        <f aca="false">SUM(G79:I79)</f>
        <v>100</v>
      </c>
      <c r="K79" s="15" t="str">
        <f aca="false">IF(AND(I79&gt;=Inputs!$B$15,J79=F79),"PASS","FAIL")</f>
        <v>PASS</v>
      </c>
      <c r="L79" s="4"/>
      <c r="M79" s="4"/>
      <c r="N79" s="4"/>
    </row>
    <row r="80" customFormat="false" ht="15" hidden="false" customHeight="false" outlineLevel="0" collapsed="false">
      <c r="A80" s="14" t="s">
        <v>967</v>
      </c>
      <c r="B80" s="14" t="s">
        <v>190</v>
      </c>
      <c r="C80" s="14" t="s">
        <v>191</v>
      </c>
      <c r="D80" s="14" t="s">
        <v>152</v>
      </c>
      <c r="E80" s="14" t="s">
        <v>892</v>
      </c>
      <c r="F80" s="15" t="n">
        <f aca="false">Inputs!$B$11</f>
        <v>100</v>
      </c>
      <c r="G80" s="15" t="n">
        <f aca="false">Inputs!$B$12</f>
        <v>75</v>
      </c>
      <c r="H80" s="15" t="n">
        <f aca="false">Inputs!$B$13</f>
        <v>20</v>
      </c>
      <c r="I80" s="15" t="n">
        <f aca="false">F80-G80-H80</f>
        <v>5</v>
      </c>
      <c r="J80" s="15" t="n">
        <f aca="false">SUM(G80:I80)</f>
        <v>100</v>
      </c>
      <c r="K80" s="15" t="str">
        <f aca="false">IF(AND(I80&gt;=Inputs!$B$15,J80=F80),"PASS","FAIL")</f>
        <v>PASS</v>
      </c>
      <c r="L80" s="4"/>
      <c r="M80" s="4"/>
      <c r="N80" s="4"/>
    </row>
    <row r="81" customFormat="false" ht="15" hidden="false" customHeight="false" outlineLevel="0" collapsed="false">
      <c r="A81" s="14" t="s">
        <v>968</v>
      </c>
      <c r="B81" s="14" t="s">
        <v>190</v>
      </c>
      <c r="C81" s="14" t="s">
        <v>191</v>
      </c>
      <c r="D81" s="14" t="s">
        <v>152</v>
      </c>
      <c r="E81" s="14" t="s">
        <v>811</v>
      </c>
      <c r="F81" s="15" t="n">
        <f aca="false">Inputs!$B$11</f>
        <v>100</v>
      </c>
      <c r="G81" s="15" t="n">
        <f aca="false">Inputs!$B$12</f>
        <v>75</v>
      </c>
      <c r="H81" s="15" t="n">
        <f aca="false">Inputs!$B$13</f>
        <v>20</v>
      </c>
      <c r="I81" s="15" t="n">
        <f aca="false">F81-G81-H81</f>
        <v>5</v>
      </c>
      <c r="J81" s="15" t="n">
        <f aca="false">SUM(G81:I81)</f>
        <v>100</v>
      </c>
      <c r="K81" s="15" t="str">
        <f aca="false">IF(AND(I81&gt;=Inputs!$B$15,J81=F81),"PASS","FAIL")</f>
        <v>PASS</v>
      </c>
      <c r="L81" s="4"/>
      <c r="M81" s="4"/>
      <c r="N81" s="4"/>
    </row>
    <row r="82" customFormat="false" ht="15" hidden="false" customHeight="false" outlineLevel="0" collapsed="false">
      <c r="A82" s="14" t="s">
        <v>969</v>
      </c>
      <c r="B82" s="14" t="s">
        <v>190</v>
      </c>
      <c r="C82" s="14" t="s">
        <v>191</v>
      </c>
      <c r="D82" s="14" t="s">
        <v>152</v>
      </c>
      <c r="E82" s="14" t="s">
        <v>895</v>
      </c>
      <c r="F82" s="15" t="n">
        <f aca="false">Inputs!$B$11</f>
        <v>100</v>
      </c>
      <c r="G82" s="15" t="n">
        <f aca="false">Inputs!$B$12</f>
        <v>75</v>
      </c>
      <c r="H82" s="15" t="n">
        <f aca="false">Inputs!$B$13</f>
        <v>20</v>
      </c>
      <c r="I82" s="15" t="n">
        <f aca="false">F82-G82-H82</f>
        <v>5</v>
      </c>
      <c r="J82" s="15" t="n">
        <f aca="false">SUM(G82:I82)</f>
        <v>100</v>
      </c>
      <c r="K82" s="15" t="str">
        <f aca="false">IF(AND(I82&gt;=Inputs!$B$15,J82=F82),"PASS","FAIL")</f>
        <v>PASS</v>
      </c>
      <c r="L82" s="4"/>
      <c r="M82" s="4"/>
      <c r="N82" s="4"/>
    </row>
    <row r="83" customFormat="false" ht="15" hidden="false" customHeight="false" outlineLevel="0" collapsed="false">
      <c r="A83" s="14" t="s">
        <v>970</v>
      </c>
      <c r="B83" s="14" t="s">
        <v>190</v>
      </c>
      <c r="C83" s="14" t="s">
        <v>191</v>
      </c>
      <c r="D83" s="14" t="s">
        <v>152</v>
      </c>
      <c r="E83" s="14" t="s">
        <v>897</v>
      </c>
      <c r="F83" s="15" t="n">
        <f aca="false">Inputs!$B$11</f>
        <v>100</v>
      </c>
      <c r="G83" s="15" t="n">
        <f aca="false">Inputs!$B$12</f>
        <v>75</v>
      </c>
      <c r="H83" s="15" t="n">
        <f aca="false">Inputs!$B$13</f>
        <v>20</v>
      </c>
      <c r="I83" s="15" t="n">
        <f aca="false">F83-G83-H83</f>
        <v>5</v>
      </c>
      <c r="J83" s="15" t="n">
        <f aca="false">SUM(G83:I83)</f>
        <v>100</v>
      </c>
      <c r="K83" s="15" t="str">
        <f aca="false">IF(AND(I83&gt;=Inputs!$B$15,J83=F83),"PASS","FAIL")</f>
        <v>PASS</v>
      </c>
      <c r="L83" s="4"/>
      <c r="M83" s="4"/>
      <c r="N83" s="4"/>
    </row>
    <row r="84" customFormat="false" ht="15" hidden="false" customHeight="false" outlineLevel="0" collapsed="false">
      <c r="A84" s="14" t="s">
        <v>971</v>
      </c>
      <c r="B84" s="14" t="s">
        <v>190</v>
      </c>
      <c r="C84" s="14" t="s">
        <v>191</v>
      </c>
      <c r="D84" s="14" t="s">
        <v>152</v>
      </c>
      <c r="E84" s="14" t="s">
        <v>899</v>
      </c>
      <c r="F84" s="15" t="n">
        <f aca="false">Inputs!$B$11</f>
        <v>100</v>
      </c>
      <c r="G84" s="15" t="n">
        <f aca="false">Inputs!$B$12</f>
        <v>75</v>
      </c>
      <c r="H84" s="15" t="n">
        <f aca="false">Inputs!$B$13</f>
        <v>20</v>
      </c>
      <c r="I84" s="15" t="n">
        <f aca="false">F84-G84-H84</f>
        <v>5</v>
      </c>
      <c r="J84" s="15" t="n">
        <f aca="false">SUM(G84:I84)</f>
        <v>100</v>
      </c>
      <c r="K84" s="15" t="str">
        <f aca="false">IF(AND(I84&gt;=Inputs!$B$15,J84=F84),"PASS","FAIL")</f>
        <v>PASS</v>
      </c>
      <c r="L84" s="4"/>
      <c r="M84" s="4"/>
      <c r="N84" s="4"/>
    </row>
    <row r="85" customFormat="false" ht="15" hidden="false" customHeight="false" outlineLevel="0" collapsed="false">
      <c r="A85" s="14" t="s">
        <v>972</v>
      </c>
      <c r="B85" s="14" t="s">
        <v>194</v>
      </c>
      <c r="C85" s="14" t="s">
        <v>191</v>
      </c>
      <c r="D85" s="14" t="s">
        <v>169</v>
      </c>
      <c r="E85" s="14" t="s">
        <v>890</v>
      </c>
      <c r="F85" s="15" t="n">
        <f aca="false">Inputs!$B$11</f>
        <v>100</v>
      </c>
      <c r="G85" s="15" t="n">
        <f aca="false">Inputs!$B$12</f>
        <v>75</v>
      </c>
      <c r="H85" s="15" t="n">
        <f aca="false">Inputs!$B$13</f>
        <v>20</v>
      </c>
      <c r="I85" s="15" t="n">
        <f aca="false">F85-G85-H85</f>
        <v>5</v>
      </c>
      <c r="J85" s="15" t="n">
        <f aca="false">SUM(G85:I85)</f>
        <v>100</v>
      </c>
      <c r="K85" s="15" t="str">
        <f aca="false">IF(AND(I85&gt;=Inputs!$B$15,J85=F85),"PASS","FAIL")</f>
        <v>PASS</v>
      </c>
      <c r="L85" s="4"/>
      <c r="M85" s="4"/>
      <c r="N85" s="4"/>
    </row>
    <row r="86" customFormat="false" ht="15" hidden="false" customHeight="false" outlineLevel="0" collapsed="false">
      <c r="A86" s="14" t="s">
        <v>973</v>
      </c>
      <c r="B86" s="14" t="s">
        <v>194</v>
      </c>
      <c r="C86" s="14" t="s">
        <v>191</v>
      </c>
      <c r="D86" s="14" t="s">
        <v>169</v>
      </c>
      <c r="E86" s="14" t="s">
        <v>892</v>
      </c>
      <c r="F86" s="15" t="n">
        <f aca="false">Inputs!$B$11</f>
        <v>100</v>
      </c>
      <c r="G86" s="15" t="n">
        <f aca="false">Inputs!$B$12</f>
        <v>75</v>
      </c>
      <c r="H86" s="15" t="n">
        <f aca="false">Inputs!$B$13</f>
        <v>20</v>
      </c>
      <c r="I86" s="15" t="n">
        <f aca="false">F86-G86-H86</f>
        <v>5</v>
      </c>
      <c r="J86" s="15" t="n">
        <f aca="false">SUM(G86:I86)</f>
        <v>100</v>
      </c>
      <c r="K86" s="15" t="str">
        <f aca="false">IF(AND(I86&gt;=Inputs!$B$15,J86=F86),"PASS","FAIL")</f>
        <v>PASS</v>
      </c>
      <c r="L86" s="4"/>
      <c r="M86" s="4"/>
      <c r="N86" s="4"/>
    </row>
    <row r="87" customFormat="false" ht="15" hidden="false" customHeight="false" outlineLevel="0" collapsed="false">
      <c r="A87" s="14" t="s">
        <v>974</v>
      </c>
      <c r="B87" s="14" t="s">
        <v>194</v>
      </c>
      <c r="C87" s="14" t="s">
        <v>191</v>
      </c>
      <c r="D87" s="14" t="s">
        <v>169</v>
      </c>
      <c r="E87" s="14" t="s">
        <v>811</v>
      </c>
      <c r="F87" s="15" t="n">
        <f aca="false">Inputs!$B$11</f>
        <v>100</v>
      </c>
      <c r="G87" s="15" t="n">
        <f aca="false">Inputs!$B$12</f>
        <v>75</v>
      </c>
      <c r="H87" s="15" t="n">
        <f aca="false">Inputs!$B$13</f>
        <v>20</v>
      </c>
      <c r="I87" s="15" t="n">
        <f aca="false">F87-G87-H87</f>
        <v>5</v>
      </c>
      <c r="J87" s="15" t="n">
        <f aca="false">SUM(G87:I87)</f>
        <v>100</v>
      </c>
      <c r="K87" s="15" t="str">
        <f aca="false">IF(AND(I87&gt;=Inputs!$B$15,J87=F87),"PASS","FAIL")</f>
        <v>PASS</v>
      </c>
      <c r="L87" s="4"/>
      <c r="M87" s="4"/>
      <c r="N87" s="4"/>
    </row>
    <row r="88" customFormat="false" ht="15" hidden="false" customHeight="false" outlineLevel="0" collapsed="false">
      <c r="A88" s="14" t="s">
        <v>975</v>
      </c>
      <c r="B88" s="14" t="s">
        <v>194</v>
      </c>
      <c r="C88" s="14" t="s">
        <v>191</v>
      </c>
      <c r="D88" s="14" t="s">
        <v>169</v>
      </c>
      <c r="E88" s="14" t="s">
        <v>895</v>
      </c>
      <c r="F88" s="15" t="n">
        <f aca="false">Inputs!$B$11</f>
        <v>100</v>
      </c>
      <c r="G88" s="15" t="n">
        <f aca="false">Inputs!$B$12</f>
        <v>75</v>
      </c>
      <c r="H88" s="15" t="n">
        <f aca="false">Inputs!$B$13</f>
        <v>20</v>
      </c>
      <c r="I88" s="15" t="n">
        <f aca="false">F88-G88-H88</f>
        <v>5</v>
      </c>
      <c r="J88" s="15" t="n">
        <f aca="false">SUM(G88:I88)</f>
        <v>100</v>
      </c>
      <c r="K88" s="15" t="str">
        <f aca="false">IF(AND(I88&gt;=Inputs!$B$15,J88=F88),"PASS","FAIL")</f>
        <v>PASS</v>
      </c>
      <c r="L88" s="4"/>
      <c r="M88" s="4"/>
      <c r="N88" s="4"/>
    </row>
    <row r="89" customFormat="false" ht="15" hidden="false" customHeight="false" outlineLevel="0" collapsed="false">
      <c r="A89" s="14" t="s">
        <v>976</v>
      </c>
      <c r="B89" s="14" t="s">
        <v>194</v>
      </c>
      <c r="C89" s="14" t="s">
        <v>191</v>
      </c>
      <c r="D89" s="14" t="s">
        <v>169</v>
      </c>
      <c r="E89" s="14" t="s">
        <v>897</v>
      </c>
      <c r="F89" s="15" t="n">
        <f aca="false">Inputs!$B$11</f>
        <v>100</v>
      </c>
      <c r="G89" s="15" t="n">
        <f aca="false">Inputs!$B$12</f>
        <v>75</v>
      </c>
      <c r="H89" s="15" t="n">
        <f aca="false">Inputs!$B$13</f>
        <v>20</v>
      </c>
      <c r="I89" s="15" t="n">
        <f aca="false">F89-G89-H89</f>
        <v>5</v>
      </c>
      <c r="J89" s="15" t="n">
        <f aca="false">SUM(G89:I89)</f>
        <v>100</v>
      </c>
      <c r="K89" s="15" t="str">
        <f aca="false">IF(AND(I89&gt;=Inputs!$B$15,J89=F89),"PASS","FAIL")</f>
        <v>PASS</v>
      </c>
      <c r="L89" s="4"/>
      <c r="M89" s="4"/>
      <c r="N89" s="4"/>
    </row>
    <row r="90" customFormat="false" ht="15" hidden="false" customHeight="false" outlineLevel="0" collapsed="false">
      <c r="A90" s="14" t="s">
        <v>977</v>
      </c>
      <c r="B90" s="14" t="s">
        <v>194</v>
      </c>
      <c r="C90" s="14" t="s">
        <v>191</v>
      </c>
      <c r="D90" s="14" t="s">
        <v>169</v>
      </c>
      <c r="E90" s="14" t="s">
        <v>899</v>
      </c>
      <c r="F90" s="15" t="n">
        <f aca="false">Inputs!$B$11</f>
        <v>100</v>
      </c>
      <c r="G90" s="15" t="n">
        <f aca="false">Inputs!$B$12</f>
        <v>75</v>
      </c>
      <c r="H90" s="15" t="n">
        <f aca="false">Inputs!$B$13</f>
        <v>20</v>
      </c>
      <c r="I90" s="15" t="n">
        <f aca="false">F90-G90-H90</f>
        <v>5</v>
      </c>
      <c r="J90" s="15" t="n">
        <f aca="false">SUM(G90:I90)</f>
        <v>100</v>
      </c>
      <c r="K90" s="15" t="str">
        <f aca="false">IF(AND(I90&gt;=Inputs!$B$15,J90=F90),"PASS","FAIL")</f>
        <v>PASS</v>
      </c>
      <c r="L90" s="4"/>
      <c r="M90" s="4"/>
      <c r="N90" s="4"/>
    </row>
    <row r="91" customFormat="false" ht="15" hidden="false" customHeight="false" outlineLevel="0" collapsed="false">
      <c r="A91" s="14" t="s">
        <v>978</v>
      </c>
      <c r="B91" s="14" t="s">
        <v>196</v>
      </c>
      <c r="C91" s="14" t="s">
        <v>191</v>
      </c>
      <c r="D91" s="14" t="s">
        <v>172</v>
      </c>
      <c r="E91" s="14" t="s">
        <v>890</v>
      </c>
      <c r="F91" s="15" t="n">
        <f aca="false">Inputs!$B$11</f>
        <v>100</v>
      </c>
      <c r="G91" s="15" t="n">
        <f aca="false">Inputs!$B$12</f>
        <v>75</v>
      </c>
      <c r="H91" s="15" t="n">
        <f aca="false">Inputs!$B$13</f>
        <v>20</v>
      </c>
      <c r="I91" s="15" t="n">
        <f aca="false">F91-G91-H91</f>
        <v>5</v>
      </c>
      <c r="J91" s="15" t="n">
        <f aca="false">SUM(G91:I91)</f>
        <v>100</v>
      </c>
      <c r="K91" s="15" t="str">
        <f aca="false">IF(AND(I91&gt;=Inputs!$B$15,J91=F91),"PASS","FAIL")</f>
        <v>PASS</v>
      </c>
      <c r="L91" s="4"/>
      <c r="M91" s="4"/>
      <c r="N91" s="4"/>
    </row>
    <row r="92" customFormat="false" ht="15" hidden="false" customHeight="false" outlineLevel="0" collapsed="false">
      <c r="A92" s="14" t="s">
        <v>979</v>
      </c>
      <c r="B92" s="14" t="s">
        <v>196</v>
      </c>
      <c r="C92" s="14" t="s">
        <v>191</v>
      </c>
      <c r="D92" s="14" t="s">
        <v>172</v>
      </c>
      <c r="E92" s="14" t="s">
        <v>892</v>
      </c>
      <c r="F92" s="15" t="n">
        <f aca="false">Inputs!$B$11</f>
        <v>100</v>
      </c>
      <c r="G92" s="15" t="n">
        <f aca="false">Inputs!$B$12</f>
        <v>75</v>
      </c>
      <c r="H92" s="15" t="n">
        <f aca="false">Inputs!$B$13</f>
        <v>20</v>
      </c>
      <c r="I92" s="15" t="n">
        <f aca="false">F92-G92-H92</f>
        <v>5</v>
      </c>
      <c r="J92" s="15" t="n">
        <f aca="false">SUM(G92:I92)</f>
        <v>100</v>
      </c>
      <c r="K92" s="15" t="str">
        <f aca="false">IF(AND(I92&gt;=Inputs!$B$15,J92=F92),"PASS","FAIL")</f>
        <v>PASS</v>
      </c>
      <c r="L92" s="4"/>
      <c r="M92" s="4"/>
      <c r="N92" s="4"/>
    </row>
    <row r="93" customFormat="false" ht="15" hidden="false" customHeight="false" outlineLevel="0" collapsed="false">
      <c r="A93" s="14" t="s">
        <v>980</v>
      </c>
      <c r="B93" s="14" t="s">
        <v>196</v>
      </c>
      <c r="C93" s="14" t="s">
        <v>191</v>
      </c>
      <c r="D93" s="14" t="s">
        <v>172</v>
      </c>
      <c r="E93" s="14" t="s">
        <v>811</v>
      </c>
      <c r="F93" s="15" t="n">
        <f aca="false">Inputs!$B$11</f>
        <v>100</v>
      </c>
      <c r="G93" s="15" t="n">
        <f aca="false">Inputs!$B$12</f>
        <v>75</v>
      </c>
      <c r="H93" s="15" t="n">
        <f aca="false">Inputs!$B$13</f>
        <v>20</v>
      </c>
      <c r="I93" s="15" t="n">
        <f aca="false">F93-G93-H93</f>
        <v>5</v>
      </c>
      <c r="J93" s="15" t="n">
        <f aca="false">SUM(G93:I93)</f>
        <v>100</v>
      </c>
      <c r="K93" s="15" t="str">
        <f aca="false">IF(AND(I93&gt;=Inputs!$B$15,J93=F93),"PASS","FAIL")</f>
        <v>PASS</v>
      </c>
      <c r="L93" s="4"/>
      <c r="M93" s="4"/>
      <c r="N93" s="4"/>
    </row>
    <row r="94" customFormat="false" ht="15" hidden="false" customHeight="false" outlineLevel="0" collapsed="false">
      <c r="A94" s="14" t="s">
        <v>981</v>
      </c>
      <c r="B94" s="14" t="s">
        <v>196</v>
      </c>
      <c r="C94" s="14" t="s">
        <v>191</v>
      </c>
      <c r="D94" s="14" t="s">
        <v>172</v>
      </c>
      <c r="E94" s="14" t="s">
        <v>895</v>
      </c>
      <c r="F94" s="15" t="n">
        <f aca="false">Inputs!$B$11</f>
        <v>100</v>
      </c>
      <c r="G94" s="15" t="n">
        <f aca="false">Inputs!$B$12</f>
        <v>75</v>
      </c>
      <c r="H94" s="15" t="n">
        <f aca="false">Inputs!$B$13</f>
        <v>20</v>
      </c>
      <c r="I94" s="15" t="n">
        <f aca="false">F94-G94-H94</f>
        <v>5</v>
      </c>
      <c r="J94" s="15" t="n">
        <f aca="false">SUM(G94:I94)</f>
        <v>100</v>
      </c>
      <c r="K94" s="15" t="str">
        <f aca="false">IF(AND(I94&gt;=Inputs!$B$15,J94=F94),"PASS","FAIL")</f>
        <v>PASS</v>
      </c>
      <c r="L94" s="4"/>
      <c r="M94" s="4"/>
      <c r="N94" s="4"/>
    </row>
    <row r="95" customFormat="false" ht="15" hidden="false" customHeight="false" outlineLevel="0" collapsed="false">
      <c r="A95" s="14" t="s">
        <v>982</v>
      </c>
      <c r="B95" s="14" t="s">
        <v>196</v>
      </c>
      <c r="C95" s="14" t="s">
        <v>191</v>
      </c>
      <c r="D95" s="14" t="s">
        <v>172</v>
      </c>
      <c r="E95" s="14" t="s">
        <v>897</v>
      </c>
      <c r="F95" s="15" t="n">
        <f aca="false">Inputs!$B$11</f>
        <v>100</v>
      </c>
      <c r="G95" s="15" t="n">
        <f aca="false">Inputs!$B$12</f>
        <v>75</v>
      </c>
      <c r="H95" s="15" t="n">
        <f aca="false">Inputs!$B$13</f>
        <v>20</v>
      </c>
      <c r="I95" s="15" t="n">
        <f aca="false">F95-G95-H95</f>
        <v>5</v>
      </c>
      <c r="J95" s="15" t="n">
        <f aca="false">SUM(G95:I95)</f>
        <v>100</v>
      </c>
      <c r="K95" s="15" t="str">
        <f aca="false">IF(AND(I95&gt;=Inputs!$B$15,J95=F95),"PASS","FAIL")</f>
        <v>PASS</v>
      </c>
      <c r="L95" s="4"/>
      <c r="M95" s="4"/>
      <c r="N95" s="4"/>
    </row>
    <row r="96" customFormat="false" ht="15" hidden="false" customHeight="false" outlineLevel="0" collapsed="false">
      <c r="A96" s="14" t="s">
        <v>983</v>
      </c>
      <c r="B96" s="14" t="s">
        <v>196</v>
      </c>
      <c r="C96" s="14" t="s">
        <v>191</v>
      </c>
      <c r="D96" s="14" t="s">
        <v>172</v>
      </c>
      <c r="E96" s="14" t="s">
        <v>899</v>
      </c>
      <c r="F96" s="15" t="n">
        <f aca="false">Inputs!$B$11</f>
        <v>100</v>
      </c>
      <c r="G96" s="15" t="n">
        <f aca="false">Inputs!$B$12</f>
        <v>75</v>
      </c>
      <c r="H96" s="15" t="n">
        <f aca="false">Inputs!$B$13</f>
        <v>20</v>
      </c>
      <c r="I96" s="15" t="n">
        <f aca="false">F96-G96-H96</f>
        <v>5</v>
      </c>
      <c r="J96" s="15" t="n">
        <f aca="false">SUM(G96:I96)</f>
        <v>100</v>
      </c>
      <c r="K96" s="15" t="str">
        <f aca="false">IF(AND(I96&gt;=Inputs!$B$15,J96=F96),"PASS","FAIL")</f>
        <v>PASS</v>
      </c>
      <c r="L96" s="4"/>
      <c r="M96" s="4"/>
      <c r="N96" s="4"/>
    </row>
    <row r="97" customFormat="false" ht="15" hidden="false" customHeight="false" outlineLevel="0" collapsed="false">
      <c r="A97" s="14" t="s">
        <v>984</v>
      </c>
      <c r="B97" s="14" t="s">
        <v>198</v>
      </c>
      <c r="C97" s="14" t="s">
        <v>199</v>
      </c>
      <c r="D97" s="14" t="s">
        <v>166</v>
      </c>
      <c r="E97" s="14" t="s">
        <v>890</v>
      </c>
      <c r="F97" s="15" t="n">
        <f aca="false">Inputs!$B$11</f>
        <v>100</v>
      </c>
      <c r="G97" s="15" t="n">
        <f aca="false">Inputs!$B$12</f>
        <v>75</v>
      </c>
      <c r="H97" s="15" t="n">
        <f aca="false">Inputs!$B$13</f>
        <v>20</v>
      </c>
      <c r="I97" s="15" t="n">
        <f aca="false">F97-G97-H97</f>
        <v>5</v>
      </c>
      <c r="J97" s="15" t="n">
        <f aca="false">SUM(G97:I97)</f>
        <v>100</v>
      </c>
      <c r="K97" s="15" t="str">
        <f aca="false">IF(AND(I97&gt;=Inputs!$B$15,J97=F97),"PASS","FAIL")</f>
        <v>PASS</v>
      </c>
      <c r="L97" s="4"/>
      <c r="M97" s="4"/>
      <c r="N97" s="4"/>
    </row>
    <row r="98" customFormat="false" ht="15" hidden="false" customHeight="false" outlineLevel="0" collapsed="false">
      <c r="A98" s="14" t="s">
        <v>985</v>
      </c>
      <c r="B98" s="14" t="s">
        <v>198</v>
      </c>
      <c r="C98" s="14" t="s">
        <v>199</v>
      </c>
      <c r="D98" s="14" t="s">
        <v>166</v>
      </c>
      <c r="E98" s="14" t="s">
        <v>892</v>
      </c>
      <c r="F98" s="15" t="n">
        <f aca="false">Inputs!$B$11</f>
        <v>100</v>
      </c>
      <c r="G98" s="15" t="n">
        <f aca="false">Inputs!$B$12</f>
        <v>75</v>
      </c>
      <c r="H98" s="15" t="n">
        <f aca="false">Inputs!$B$13</f>
        <v>20</v>
      </c>
      <c r="I98" s="15" t="n">
        <f aca="false">F98-G98-H98</f>
        <v>5</v>
      </c>
      <c r="J98" s="15" t="n">
        <f aca="false">SUM(G98:I98)</f>
        <v>100</v>
      </c>
      <c r="K98" s="15" t="str">
        <f aca="false">IF(AND(I98&gt;=Inputs!$B$15,J98=F98),"PASS","FAIL")</f>
        <v>PASS</v>
      </c>
      <c r="L98" s="4"/>
      <c r="M98" s="4"/>
      <c r="N98" s="4"/>
    </row>
    <row r="99" customFormat="false" ht="15" hidden="false" customHeight="false" outlineLevel="0" collapsed="false">
      <c r="A99" s="14" t="s">
        <v>986</v>
      </c>
      <c r="B99" s="14" t="s">
        <v>198</v>
      </c>
      <c r="C99" s="14" t="s">
        <v>199</v>
      </c>
      <c r="D99" s="14" t="s">
        <v>166</v>
      </c>
      <c r="E99" s="14" t="s">
        <v>811</v>
      </c>
      <c r="F99" s="15" t="n">
        <f aca="false">Inputs!$B$11</f>
        <v>100</v>
      </c>
      <c r="G99" s="15" t="n">
        <f aca="false">Inputs!$B$12</f>
        <v>75</v>
      </c>
      <c r="H99" s="15" t="n">
        <f aca="false">Inputs!$B$13</f>
        <v>20</v>
      </c>
      <c r="I99" s="15" t="n">
        <f aca="false">F99-G99-H99</f>
        <v>5</v>
      </c>
      <c r="J99" s="15" t="n">
        <f aca="false">SUM(G99:I99)</f>
        <v>100</v>
      </c>
      <c r="K99" s="15" t="str">
        <f aca="false">IF(AND(I99&gt;=Inputs!$B$15,J99=F99),"PASS","FAIL")</f>
        <v>PASS</v>
      </c>
      <c r="L99" s="4"/>
      <c r="M99" s="4"/>
      <c r="N99" s="4"/>
    </row>
    <row r="100" customFormat="false" ht="15" hidden="false" customHeight="false" outlineLevel="0" collapsed="false">
      <c r="A100" s="14" t="s">
        <v>987</v>
      </c>
      <c r="B100" s="14" t="s">
        <v>198</v>
      </c>
      <c r="C100" s="14" t="s">
        <v>199</v>
      </c>
      <c r="D100" s="14" t="s">
        <v>166</v>
      </c>
      <c r="E100" s="14" t="s">
        <v>895</v>
      </c>
      <c r="F100" s="15" t="n">
        <f aca="false">Inputs!$B$11</f>
        <v>100</v>
      </c>
      <c r="G100" s="15" t="n">
        <f aca="false">Inputs!$B$12</f>
        <v>75</v>
      </c>
      <c r="H100" s="15" t="n">
        <f aca="false">Inputs!$B$13</f>
        <v>20</v>
      </c>
      <c r="I100" s="15" t="n">
        <f aca="false">F100-G100-H100</f>
        <v>5</v>
      </c>
      <c r="J100" s="15" t="n">
        <f aca="false">SUM(G100:I100)</f>
        <v>100</v>
      </c>
      <c r="K100" s="15" t="str">
        <f aca="false">IF(AND(I100&gt;=Inputs!$B$15,J100=F100),"PASS","FAIL")</f>
        <v>PASS</v>
      </c>
      <c r="L100" s="4"/>
      <c r="M100" s="4"/>
      <c r="N100" s="4"/>
    </row>
    <row r="101" customFormat="false" ht="15" hidden="false" customHeight="false" outlineLevel="0" collapsed="false">
      <c r="A101" s="14" t="s">
        <v>988</v>
      </c>
      <c r="B101" s="14" t="s">
        <v>198</v>
      </c>
      <c r="C101" s="14" t="s">
        <v>199</v>
      </c>
      <c r="D101" s="14" t="s">
        <v>166</v>
      </c>
      <c r="E101" s="14" t="s">
        <v>897</v>
      </c>
      <c r="F101" s="15" t="n">
        <f aca="false">Inputs!$B$11</f>
        <v>100</v>
      </c>
      <c r="G101" s="15" t="n">
        <f aca="false">Inputs!$B$12</f>
        <v>75</v>
      </c>
      <c r="H101" s="15" t="n">
        <f aca="false">Inputs!$B$13</f>
        <v>20</v>
      </c>
      <c r="I101" s="15" t="n">
        <f aca="false">F101-G101-H101</f>
        <v>5</v>
      </c>
      <c r="J101" s="15" t="n">
        <f aca="false">SUM(G101:I101)</f>
        <v>100</v>
      </c>
      <c r="K101" s="15" t="str">
        <f aca="false">IF(AND(I101&gt;=Inputs!$B$15,J101=F101),"PASS","FAIL")</f>
        <v>PASS</v>
      </c>
      <c r="L101" s="4"/>
      <c r="M101" s="4"/>
      <c r="N101" s="4"/>
    </row>
    <row r="102" customFormat="false" ht="15" hidden="false" customHeight="false" outlineLevel="0" collapsed="false">
      <c r="A102" s="14" t="s">
        <v>989</v>
      </c>
      <c r="B102" s="14" t="s">
        <v>198</v>
      </c>
      <c r="C102" s="14" t="s">
        <v>199</v>
      </c>
      <c r="D102" s="14" t="s">
        <v>166</v>
      </c>
      <c r="E102" s="14" t="s">
        <v>899</v>
      </c>
      <c r="F102" s="15" t="n">
        <f aca="false">Inputs!$B$11</f>
        <v>100</v>
      </c>
      <c r="G102" s="15" t="n">
        <f aca="false">Inputs!$B$12</f>
        <v>75</v>
      </c>
      <c r="H102" s="15" t="n">
        <f aca="false">Inputs!$B$13</f>
        <v>20</v>
      </c>
      <c r="I102" s="15" t="n">
        <f aca="false">F102-G102-H102</f>
        <v>5</v>
      </c>
      <c r="J102" s="15" t="n">
        <f aca="false">SUM(G102:I102)</f>
        <v>100</v>
      </c>
      <c r="K102" s="15" t="str">
        <f aca="false">IF(AND(I102&gt;=Inputs!$B$15,J102=F102),"PASS","FAIL")</f>
        <v>PASS</v>
      </c>
      <c r="L102" s="4"/>
      <c r="M102" s="4"/>
      <c r="N102" s="4"/>
    </row>
    <row r="103" customFormat="false" ht="15" hidden="false" customHeight="false" outlineLevel="0" collapsed="false">
      <c r="A103" s="14" t="s">
        <v>990</v>
      </c>
      <c r="B103" s="14" t="s">
        <v>202</v>
      </c>
      <c r="C103" s="14" t="s">
        <v>199</v>
      </c>
      <c r="D103" s="14" t="s">
        <v>157</v>
      </c>
      <c r="E103" s="14" t="s">
        <v>890</v>
      </c>
      <c r="F103" s="15" t="n">
        <f aca="false">Inputs!$B$11</f>
        <v>100</v>
      </c>
      <c r="G103" s="15" t="n">
        <f aca="false">Inputs!$B$12</f>
        <v>75</v>
      </c>
      <c r="H103" s="15" t="n">
        <f aca="false">Inputs!$B$13</f>
        <v>20</v>
      </c>
      <c r="I103" s="15" t="n">
        <f aca="false">F103-G103-H103</f>
        <v>5</v>
      </c>
      <c r="J103" s="15" t="n">
        <f aca="false">SUM(G103:I103)</f>
        <v>100</v>
      </c>
      <c r="K103" s="15" t="str">
        <f aca="false">IF(AND(I103&gt;=Inputs!$B$15,J103=F103),"PASS","FAIL")</f>
        <v>PASS</v>
      </c>
      <c r="L103" s="4"/>
      <c r="M103" s="4"/>
      <c r="N103" s="4"/>
    </row>
    <row r="104" customFormat="false" ht="15" hidden="false" customHeight="false" outlineLevel="0" collapsed="false">
      <c r="A104" s="14" t="s">
        <v>991</v>
      </c>
      <c r="B104" s="14" t="s">
        <v>202</v>
      </c>
      <c r="C104" s="14" t="s">
        <v>199</v>
      </c>
      <c r="D104" s="14" t="s">
        <v>157</v>
      </c>
      <c r="E104" s="14" t="s">
        <v>892</v>
      </c>
      <c r="F104" s="15" t="n">
        <f aca="false">Inputs!$B$11</f>
        <v>100</v>
      </c>
      <c r="G104" s="15" t="n">
        <f aca="false">Inputs!$B$12</f>
        <v>75</v>
      </c>
      <c r="H104" s="15" t="n">
        <f aca="false">Inputs!$B$13</f>
        <v>20</v>
      </c>
      <c r="I104" s="15" t="n">
        <f aca="false">F104-G104-H104</f>
        <v>5</v>
      </c>
      <c r="J104" s="15" t="n">
        <f aca="false">SUM(G104:I104)</f>
        <v>100</v>
      </c>
      <c r="K104" s="15" t="str">
        <f aca="false">IF(AND(I104&gt;=Inputs!$B$15,J104=F104),"PASS","FAIL")</f>
        <v>PASS</v>
      </c>
      <c r="L104" s="4"/>
      <c r="M104" s="4"/>
      <c r="N104" s="4"/>
    </row>
    <row r="105" customFormat="false" ht="15" hidden="false" customHeight="false" outlineLevel="0" collapsed="false">
      <c r="A105" s="14" t="s">
        <v>992</v>
      </c>
      <c r="B105" s="14" t="s">
        <v>202</v>
      </c>
      <c r="C105" s="14" t="s">
        <v>199</v>
      </c>
      <c r="D105" s="14" t="s">
        <v>157</v>
      </c>
      <c r="E105" s="14" t="s">
        <v>811</v>
      </c>
      <c r="F105" s="15" t="n">
        <f aca="false">Inputs!$B$11</f>
        <v>100</v>
      </c>
      <c r="G105" s="15" t="n">
        <f aca="false">Inputs!$B$12</f>
        <v>75</v>
      </c>
      <c r="H105" s="15" t="n">
        <f aca="false">Inputs!$B$13</f>
        <v>20</v>
      </c>
      <c r="I105" s="15" t="n">
        <f aca="false">F105-G105-H105</f>
        <v>5</v>
      </c>
      <c r="J105" s="15" t="n">
        <f aca="false">SUM(G105:I105)</f>
        <v>100</v>
      </c>
      <c r="K105" s="15" t="str">
        <f aca="false">IF(AND(I105&gt;=Inputs!$B$15,J105=F105),"PASS","FAIL")</f>
        <v>PASS</v>
      </c>
      <c r="L105" s="4"/>
      <c r="M105" s="4"/>
      <c r="N105" s="4"/>
    </row>
    <row r="106" customFormat="false" ht="15" hidden="false" customHeight="false" outlineLevel="0" collapsed="false">
      <c r="A106" s="14" t="s">
        <v>993</v>
      </c>
      <c r="B106" s="14" t="s">
        <v>202</v>
      </c>
      <c r="C106" s="14" t="s">
        <v>199</v>
      </c>
      <c r="D106" s="14" t="s">
        <v>157</v>
      </c>
      <c r="E106" s="14" t="s">
        <v>895</v>
      </c>
      <c r="F106" s="15" t="n">
        <f aca="false">Inputs!$B$11</f>
        <v>100</v>
      </c>
      <c r="G106" s="15" t="n">
        <f aca="false">Inputs!$B$12</f>
        <v>75</v>
      </c>
      <c r="H106" s="15" t="n">
        <f aca="false">Inputs!$B$13</f>
        <v>20</v>
      </c>
      <c r="I106" s="15" t="n">
        <f aca="false">F106-G106-H106</f>
        <v>5</v>
      </c>
      <c r="J106" s="15" t="n">
        <f aca="false">SUM(G106:I106)</f>
        <v>100</v>
      </c>
      <c r="K106" s="15" t="str">
        <f aca="false">IF(AND(I106&gt;=Inputs!$B$15,J106=F106),"PASS","FAIL")</f>
        <v>PASS</v>
      </c>
      <c r="L106" s="4"/>
      <c r="M106" s="4"/>
      <c r="N106" s="4"/>
    </row>
    <row r="107" customFormat="false" ht="15" hidden="false" customHeight="false" outlineLevel="0" collapsed="false">
      <c r="A107" s="14" t="s">
        <v>994</v>
      </c>
      <c r="B107" s="14" t="s">
        <v>202</v>
      </c>
      <c r="C107" s="14" t="s">
        <v>199</v>
      </c>
      <c r="D107" s="14" t="s">
        <v>157</v>
      </c>
      <c r="E107" s="14" t="s">
        <v>897</v>
      </c>
      <c r="F107" s="15" t="n">
        <f aca="false">Inputs!$B$11</f>
        <v>100</v>
      </c>
      <c r="G107" s="15" t="n">
        <f aca="false">Inputs!$B$12</f>
        <v>75</v>
      </c>
      <c r="H107" s="15" t="n">
        <f aca="false">Inputs!$B$13</f>
        <v>20</v>
      </c>
      <c r="I107" s="15" t="n">
        <f aca="false">F107-G107-H107</f>
        <v>5</v>
      </c>
      <c r="J107" s="15" t="n">
        <f aca="false">SUM(G107:I107)</f>
        <v>100</v>
      </c>
      <c r="K107" s="15" t="str">
        <f aca="false">IF(AND(I107&gt;=Inputs!$B$15,J107=F107),"PASS","FAIL")</f>
        <v>PASS</v>
      </c>
      <c r="L107" s="4"/>
      <c r="M107" s="4"/>
      <c r="N107" s="4"/>
    </row>
    <row r="108" customFormat="false" ht="15" hidden="false" customHeight="false" outlineLevel="0" collapsed="false">
      <c r="A108" s="14" t="s">
        <v>995</v>
      </c>
      <c r="B108" s="14" t="s">
        <v>202</v>
      </c>
      <c r="C108" s="14" t="s">
        <v>199</v>
      </c>
      <c r="D108" s="14" t="s">
        <v>157</v>
      </c>
      <c r="E108" s="14" t="s">
        <v>899</v>
      </c>
      <c r="F108" s="15" t="n">
        <f aca="false">Inputs!$B$11</f>
        <v>100</v>
      </c>
      <c r="G108" s="15" t="n">
        <f aca="false">Inputs!$B$12</f>
        <v>75</v>
      </c>
      <c r="H108" s="15" t="n">
        <f aca="false">Inputs!$B$13</f>
        <v>20</v>
      </c>
      <c r="I108" s="15" t="n">
        <f aca="false">F108-G108-H108</f>
        <v>5</v>
      </c>
      <c r="J108" s="15" t="n">
        <f aca="false">SUM(G108:I108)</f>
        <v>100</v>
      </c>
      <c r="K108" s="15" t="str">
        <f aca="false">IF(AND(I108&gt;=Inputs!$B$15,J108=F108),"PASS","FAIL")</f>
        <v>PASS</v>
      </c>
      <c r="L108" s="4"/>
      <c r="M108" s="4"/>
      <c r="N108" s="4"/>
    </row>
    <row r="109" customFormat="false" ht="15" hidden="false" customHeight="false" outlineLevel="0" collapsed="false">
      <c r="A109" s="14" t="s">
        <v>996</v>
      </c>
      <c r="B109" s="14" t="s">
        <v>204</v>
      </c>
      <c r="C109" s="14" t="s">
        <v>199</v>
      </c>
      <c r="D109" s="14" t="s">
        <v>161</v>
      </c>
      <c r="E109" s="14" t="s">
        <v>890</v>
      </c>
      <c r="F109" s="15" t="n">
        <f aca="false">Inputs!$B$11</f>
        <v>100</v>
      </c>
      <c r="G109" s="15" t="n">
        <f aca="false">Inputs!$B$12</f>
        <v>75</v>
      </c>
      <c r="H109" s="15" t="n">
        <f aca="false">Inputs!$B$13</f>
        <v>20</v>
      </c>
      <c r="I109" s="15" t="n">
        <f aca="false">F109-G109-H109</f>
        <v>5</v>
      </c>
      <c r="J109" s="15" t="n">
        <f aca="false">SUM(G109:I109)</f>
        <v>100</v>
      </c>
      <c r="K109" s="15" t="str">
        <f aca="false">IF(AND(I109&gt;=Inputs!$B$15,J109=F109),"PASS","FAIL")</f>
        <v>PASS</v>
      </c>
      <c r="L109" s="4"/>
      <c r="M109" s="4"/>
      <c r="N109" s="4"/>
    </row>
    <row r="110" customFormat="false" ht="15" hidden="false" customHeight="false" outlineLevel="0" collapsed="false">
      <c r="A110" s="14" t="s">
        <v>997</v>
      </c>
      <c r="B110" s="14" t="s">
        <v>204</v>
      </c>
      <c r="C110" s="14" t="s">
        <v>199</v>
      </c>
      <c r="D110" s="14" t="s">
        <v>161</v>
      </c>
      <c r="E110" s="14" t="s">
        <v>892</v>
      </c>
      <c r="F110" s="15" t="n">
        <f aca="false">Inputs!$B$11</f>
        <v>100</v>
      </c>
      <c r="G110" s="15" t="n">
        <f aca="false">Inputs!$B$12</f>
        <v>75</v>
      </c>
      <c r="H110" s="15" t="n">
        <f aca="false">Inputs!$B$13</f>
        <v>20</v>
      </c>
      <c r="I110" s="15" t="n">
        <f aca="false">F110-G110-H110</f>
        <v>5</v>
      </c>
      <c r="J110" s="15" t="n">
        <f aca="false">SUM(G110:I110)</f>
        <v>100</v>
      </c>
      <c r="K110" s="15" t="str">
        <f aca="false">IF(AND(I110&gt;=Inputs!$B$15,J110=F110),"PASS","FAIL")</f>
        <v>PASS</v>
      </c>
      <c r="L110" s="4"/>
      <c r="M110" s="4"/>
      <c r="N110" s="4"/>
    </row>
    <row r="111" customFormat="false" ht="15" hidden="false" customHeight="false" outlineLevel="0" collapsed="false">
      <c r="A111" s="14" t="s">
        <v>998</v>
      </c>
      <c r="B111" s="14" t="s">
        <v>204</v>
      </c>
      <c r="C111" s="14" t="s">
        <v>199</v>
      </c>
      <c r="D111" s="14" t="s">
        <v>161</v>
      </c>
      <c r="E111" s="14" t="s">
        <v>811</v>
      </c>
      <c r="F111" s="15" t="n">
        <f aca="false">Inputs!$B$11</f>
        <v>100</v>
      </c>
      <c r="G111" s="15" t="n">
        <f aca="false">Inputs!$B$12</f>
        <v>75</v>
      </c>
      <c r="H111" s="15" t="n">
        <f aca="false">Inputs!$B$13</f>
        <v>20</v>
      </c>
      <c r="I111" s="15" t="n">
        <f aca="false">F111-G111-H111</f>
        <v>5</v>
      </c>
      <c r="J111" s="15" t="n">
        <f aca="false">SUM(G111:I111)</f>
        <v>100</v>
      </c>
      <c r="K111" s="15" t="str">
        <f aca="false">IF(AND(I111&gt;=Inputs!$B$15,J111=F111),"PASS","FAIL")</f>
        <v>PASS</v>
      </c>
      <c r="L111" s="4"/>
      <c r="M111" s="4"/>
      <c r="N111" s="4"/>
    </row>
    <row r="112" customFormat="false" ht="15" hidden="false" customHeight="false" outlineLevel="0" collapsed="false">
      <c r="A112" s="14" t="s">
        <v>999</v>
      </c>
      <c r="B112" s="14" t="s">
        <v>204</v>
      </c>
      <c r="C112" s="14" t="s">
        <v>199</v>
      </c>
      <c r="D112" s="14" t="s">
        <v>161</v>
      </c>
      <c r="E112" s="14" t="s">
        <v>895</v>
      </c>
      <c r="F112" s="15" t="n">
        <f aca="false">Inputs!$B$11</f>
        <v>100</v>
      </c>
      <c r="G112" s="15" t="n">
        <f aca="false">Inputs!$B$12</f>
        <v>75</v>
      </c>
      <c r="H112" s="15" t="n">
        <f aca="false">Inputs!$B$13</f>
        <v>20</v>
      </c>
      <c r="I112" s="15" t="n">
        <f aca="false">F112-G112-H112</f>
        <v>5</v>
      </c>
      <c r="J112" s="15" t="n">
        <f aca="false">SUM(G112:I112)</f>
        <v>100</v>
      </c>
      <c r="K112" s="15" t="str">
        <f aca="false">IF(AND(I112&gt;=Inputs!$B$15,J112=F112),"PASS","FAIL")</f>
        <v>PASS</v>
      </c>
      <c r="L112" s="4"/>
      <c r="M112" s="4"/>
      <c r="N112" s="4"/>
    </row>
    <row r="113" customFormat="false" ht="15" hidden="false" customHeight="false" outlineLevel="0" collapsed="false">
      <c r="A113" s="14" t="s">
        <v>1000</v>
      </c>
      <c r="B113" s="14" t="s">
        <v>204</v>
      </c>
      <c r="C113" s="14" t="s">
        <v>199</v>
      </c>
      <c r="D113" s="14" t="s">
        <v>161</v>
      </c>
      <c r="E113" s="14" t="s">
        <v>897</v>
      </c>
      <c r="F113" s="15" t="n">
        <f aca="false">Inputs!$B$11</f>
        <v>100</v>
      </c>
      <c r="G113" s="15" t="n">
        <f aca="false">Inputs!$B$12</f>
        <v>75</v>
      </c>
      <c r="H113" s="15" t="n">
        <f aca="false">Inputs!$B$13</f>
        <v>20</v>
      </c>
      <c r="I113" s="15" t="n">
        <f aca="false">F113-G113-H113</f>
        <v>5</v>
      </c>
      <c r="J113" s="15" t="n">
        <f aca="false">SUM(G113:I113)</f>
        <v>100</v>
      </c>
      <c r="K113" s="15" t="str">
        <f aca="false">IF(AND(I113&gt;=Inputs!$B$15,J113=F113),"PASS","FAIL")</f>
        <v>PASS</v>
      </c>
      <c r="L113" s="4"/>
      <c r="M113" s="4"/>
      <c r="N113" s="4"/>
    </row>
    <row r="114" customFormat="false" ht="15" hidden="false" customHeight="false" outlineLevel="0" collapsed="false">
      <c r="A114" s="14" t="s">
        <v>1001</v>
      </c>
      <c r="B114" s="14" t="s">
        <v>204</v>
      </c>
      <c r="C114" s="14" t="s">
        <v>199</v>
      </c>
      <c r="D114" s="14" t="s">
        <v>161</v>
      </c>
      <c r="E114" s="14" t="s">
        <v>899</v>
      </c>
      <c r="F114" s="15" t="n">
        <f aca="false">Inputs!$B$11</f>
        <v>100</v>
      </c>
      <c r="G114" s="15" t="n">
        <f aca="false">Inputs!$B$12</f>
        <v>75</v>
      </c>
      <c r="H114" s="15" t="n">
        <f aca="false">Inputs!$B$13</f>
        <v>20</v>
      </c>
      <c r="I114" s="15" t="n">
        <f aca="false">F114-G114-H114</f>
        <v>5</v>
      </c>
      <c r="J114" s="15" t="n">
        <f aca="false">SUM(G114:I114)</f>
        <v>100</v>
      </c>
      <c r="K114" s="15" t="str">
        <f aca="false">IF(AND(I114&gt;=Inputs!$B$15,J114=F114),"PASS","FAIL")</f>
        <v>PASS</v>
      </c>
      <c r="L114" s="4"/>
      <c r="M114" s="4"/>
      <c r="N114" s="4"/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2:T32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16"/>
    <col collapsed="false" customWidth="true" hidden="false" outlineLevel="0" max="9" min="9" style="0" width="24"/>
    <col collapsed="false" customWidth="true" hidden="false" outlineLevel="0" max="10" min="10" style="0" width="13"/>
    <col collapsed="false" customWidth="true" hidden="false" outlineLevel="0" max="13" min="11" style="0" width="14"/>
    <col collapsed="false" customWidth="true" hidden="false" outlineLevel="0" max="14" min="14" style="0" width="15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7" min="17" style="0" width="12"/>
    <col collapsed="false" customWidth="true" hidden="false" outlineLevel="0" max="19" min="18" style="0" width="15"/>
    <col collapsed="false" customWidth="true" hidden="false" outlineLevel="0" max="20" min="20" style="0" width="12"/>
  </cols>
  <sheetData>
    <row r="2" customFormat="false" ht="18.55" hidden="false" customHeight="false" outlineLevel="0" collapsed="false">
      <c r="A2" s="1" t="s">
        <v>1002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4"/>
      <c r="P2" s="4"/>
      <c r="Q2" s="4"/>
      <c r="R2" s="4"/>
      <c r="S2" s="4"/>
      <c r="T2" s="4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4"/>
      <c r="P3" s="4"/>
      <c r="Q3" s="4"/>
      <c r="R3" s="4"/>
      <c r="S3" s="4"/>
      <c r="T3" s="4"/>
    </row>
    <row r="4" customFormat="false" ht="15" hidden="false" customHeight="false" outlineLevel="0" collapsed="false">
      <c r="A4" s="3" t="s">
        <v>1003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"/>
      <c r="P4" s="4"/>
      <c r="Q4" s="4"/>
      <c r="R4" s="4"/>
      <c r="S4" s="4"/>
      <c r="T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customFormat="false" ht="15" hidden="false" customHeight="false" outlineLevel="0" collapsed="false">
      <c r="A6" s="6" t="s">
        <v>1004</v>
      </c>
      <c r="B6" s="7" t="s">
        <v>1005</v>
      </c>
      <c r="C6" s="7" t="s">
        <v>1006</v>
      </c>
      <c r="D6" s="7" t="s">
        <v>208</v>
      </c>
      <c r="E6" s="7" t="s">
        <v>1007</v>
      </c>
      <c r="F6" s="7" t="s">
        <v>131</v>
      </c>
      <c r="G6" s="7" t="s">
        <v>134</v>
      </c>
      <c r="H6" s="7" t="s">
        <v>136</v>
      </c>
      <c r="I6" s="7" t="s">
        <v>884</v>
      </c>
      <c r="J6" s="7" t="s">
        <v>1008</v>
      </c>
      <c r="K6" s="7" t="s">
        <v>1009</v>
      </c>
      <c r="L6" s="7" t="s">
        <v>1010</v>
      </c>
      <c r="M6" s="7" t="s">
        <v>1011</v>
      </c>
      <c r="N6" s="7" t="s">
        <v>1012</v>
      </c>
      <c r="O6" s="7" t="s">
        <v>1013</v>
      </c>
      <c r="P6" s="7" t="s">
        <v>1014</v>
      </c>
      <c r="Q6" s="7" t="s">
        <v>1015</v>
      </c>
      <c r="R6" s="7" t="s">
        <v>1016</v>
      </c>
      <c r="S6" s="7" t="s">
        <v>1017</v>
      </c>
      <c r="T6" s="8" t="s">
        <v>147</v>
      </c>
    </row>
    <row r="7" customFormat="false" ht="15" hidden="false" customHeight="false" outlineLevel="0" collapsed="false">
      <c r="A7" s="14" t="s">
        <v>1018</v>
      </c>
      <c r="B7" s="14" t="s">
        <v>1019</v>
      </c>
      <c r="C7" s="14" t="s">
        <v>149</v>
      </c>
      <c r="D7" s="14" t="s">
        <v>149</v>
      </c>
      <c r="E7" s="14" t="s">
        <v>152</v>
      </c>
      <c r="F7" s="14" t="s">
        <v>150</v>
      </c>
      <c r="G7" s="14" t="n">
        <v>1</v>
      </c>
      <c r="H7" s="14" t="s">
        <v>154</v>
      </c>
      <c r="I7" s="14" t="s">
        <v>890</v>
      </c>
      <c r="J7" s="15" t="n">
        <f aca="false">IF(B7="SITE LOSS",IF(D7=C7,1,0),IF(B7="REGION LOSS",IF(E7=C7,1,0),0))</f>
        <v>1</v>
      </c>
      <c r="K7" s="15" t="n">
        <f aca="false">IF(B7="SITE LOSS",IF(COUNTIFS('Site Dockets'!$B$7:$B$24,C7,'Site Dockets'!$C$7:$C$24,F7)&gt;0,1,0),IF(B7="REGION LOSS",IF(COUNTIFS('Site Dockets'!$E$7:$E$24,C7,'Site Dockets'!$C$7:$C$24,F7)&gt;0,1,0),0))</f>
        <v>1</v>
      </c>
      <c r="L7" s="15" t="n">
        <f aca="false">IF(J7=1,0,Inputs!$B$11)</f>
        <v>0</v>
      </c>
      <c r="M7" s="15" t="n">
        <f aca="false">IF(J7=1,0,Inputs!$B$12)</f>
        <v>0</v>
      </c>
      <c r="N7" s="15" t="n">
        <f aca="false">IF(J7=1,0,IF(OR(AND(OR(B7="SITE LOSS",B7="REGION LOSS"),K7=1),AND(B7="ROLE COMPROMISE",H7=C7)),Inputs!$B$13,Inputs!$B$14))</f>
        <v>0</v>
      </c>
      <c r="O7" s="15" t="n">
        <f aca="false">IF(J7=1,0,Inputs!$B$13)</f>
        <v>0</v>
      </c>
      <c r="P7" s="15" t="n">
        <f aca="false">SUM(M7:N7)</f>
        <v>0</v>
      </c>
      <c r="Q7" s="15" t="str">
        <f aca="false">IF(J7=1,"",L7-P7)</f>
        <v/>
      </c>
      <c r="R7" s="15" t="n">
        <f aca="false">IF(OR(J7=1,M7&lt;=Inputs!$B$12),1,0)</f>
        <v>1</v>
      </c>
      <c r="S7" s="15" t="n">
        <f aca="false">IF(OR(J7=1,N7&lt;=O7),1,0)</f>
        <v>1</v>
      </c>
      <c r="T7" s="15" t="str">
        <f aca="false">IF(J7=1,"OFFLINE",IF(AND(Q7&gt;=Inputs!$B$15,R7=1,S7=1,P7&lt;=L7),"PASS","FAIL"))</f>
        <v>OFFLINE</v>
      </c>
    </row>
    <row r="8" customFormat="false" ht="15" hidden="false" customHeight="false" outlineLevel="0" collapsed="false">
      <c r="A8" s="14" t="s">
        <v>1018</v>
      </c>
      <c r="B8" s="14" t="s">
        <v>1019</v>
      </c>
      <c r="C8" s="14" t="s">
        <v>149</v>
      </c>
      <c r="D8" s="14" t="s">
        <v>149</v>
      </c>
      <c r="E8" s="14" t="s">
        <v>152</v>
      </c>
      <c r="F8" s="14" t="s">
        <v>150</v>
      </c>
      <c r="G8" s="14" t="n">
        <v>1</v>
      </c>
      <c r="H8" s="14" t="s">
        <v>154</v>
      </c>
      <c r="I8" s="14" t="s">
        <v>892</v>
      </c>
      <c r="J8" s="15" t="n">
        <f aca="false">IF(B8="SITE LOSS",IF(D8=C8,1,0),IF(B8="REGION LOSS",IF(E8=C8,1,0),0))</f>
        <v>1</v>
      </c>
      <c r="K8" s="15" t="n">
        <f aca="false">IF(B8="SITE LOSS",IF(COUNTIFS('Site Dockets'!$B$7:$B$24,C8,'Site Dockets'!$C$7:$C$24,F8)&gt;0,1,0),IF(B8="REGION LOSS",IF(COUNTIFS('Site Dockets'!$E$7:$E$24,C8,'Site Dockets'!$C$7:$C$24,F8)&gt;0,1,0),0))</f>
        <v>1</v>
      </c>
      <c r="L8" s="15" t="n">
        <f aca="false">IF(J8=1,0,Inputs!$B$11)</f>
        <v>0</v>
      </c>
      <c r="M8" s="15" t="n">
        <f aca="false">IF(J8=1,0,Inputs!$B$12)</f>
        <v>0</v>
      </c>
      <c r="N8" s="15" t="n">
        <f aca="false">IF(J8=1,0,IF(OR(AND(OR(B8="SITE LOSS",B8="REGION LOSS"),K8=1),AND(B8="ROLE COMPROMISE",H8=C8)),Inputs!$B$13,Inputs!$B$14))</f>
        <v>0</v>
      </c>
      <c r="O8" s="15" t="n">
        <f aca="false">IF(J8=1,0,Inputs!$B$13)</f>
        <v>0</v>
      </c>
      <c r="P8" s="15" t="n">
        <f aca="false">SUM(M8:N8)</f>
        <v>0</v>
      </c>
      <c r="Q8" s="15" t="str">
        <f aca="false">IF(J8=1,"",L8-P8)</f>
        <v/>
      </c>
      <c r="R8" s="15" t="n">
        <f aca="false">IF(OR(J8=1,M8&lt;=Inputs!$B$12),1,0)</f>
        <v>1</v>
      </c>
      <c r="S8" s="15" t="n">
        <f aca="false">IF(OR(J8=1,N8&lt;=O8),1,0)</f>
        <v>1</v>
      </c>
      <c r="T8" s="15" t="str">
        <f aca="false">IF(J8=1,"OFFLINE",IF(AND(Q8&gt;=Inputs!$B$15,R8=1,S8=1,P8&lt;=L8),"PASS","FAIL"))</f>
        <v>OFFLINE</v>
      </c>
    </row>
    <row r="9" customFormat="false" ht="15" hidden="false" customHeight="false" outlineLevel="0" collapsed="false">
      <c r="A9" s="14" t="s">
        <v>1018</v>
      </c>
      <c r="B9" s="14" t="s">
        <v>1019</v>
      </c>
      <c r="C9" s="14" t="s">
        <v>149</v>
      </c>
      <c r="D9" s="14" t="s">
        <v>149</v>
      </c>
      <c r="E9" s="14" t="s">
        <v>152</v>
      </c>
      <c r="F9" s="14" t="s">
        <v>150</v>
      </c>
      <c r="G9" s="14" t="n">
        <v>1</v>
      </c>
      <c r="H9" s="14" t="s">
        <v>154</v>
      </c>
      <c r="I9" s="14" t="s">
        <v>811</v>
      </c>
      <c r="J9" s="15" t="n">
        <f aca="false">IF(B9="SITE LOSS",IF(D9=C9,1,0),IF(B9="REGION LOSS",IF(E9=C9,1,0),0))</f>
        <v>1</v>
      </c>
      <c r="K9" s="15" t="n">
        <f aca="false">IF(B9="SITE LOSS",IF(COUNTIFS('Site Dockets'!$B$7:$B$24,C9,'Site Dockets'!$C$7:$C$24,F9)&gt;0,1,0),IF(B9="REGION LOSS",IF(COUNTIFS('Site Dockets'!$E$7:$E$24,C9,'Site Dockets'!$C$7:$C$24,F9)&gt;0,1,0),0))</f>
        <v>1</v>
      </c>
      <c r="L9" s="15" t="n">
        <f aca="false">IF(J9=1,0,Inputs!$B$11)</f>
        <v>0</v>
      </c>
      <c r="M9" s="15" t="n">
        <f aca="false">IF(J9=1,0,Inputs!$B$12)</f>
        <v>0</v>
      </c>
      <c r="N9" s="15" t="n">
        <f aca="false">IF(J9=1,0,IF(OR(AND(OR(B9="SITE LOSS",B9="REGION LOSS"),K9=1),AND(B9="ROLE COMPROMISE",H9=C9)),Inputs!$B$13,Inputs!$B$14))</f>
        <v>0</v>
      </c>
      <c r="O9" s="15" t="n">
        <f aca="false">IF(J9=1,0,Inputs!$B$13)</f>
        <v>0</v>
      </c>
      <c r="P9" s="15" t="n">
        <f aca="false">SUM(M9:N9)</f>
        <v>0</v>
      </c>
      <c r="Q9" s="15" t="str">
        <f aca="false">IF(J9=1,"",L9-P9)</f>
        <v/>
      </c>
      <c r="R9" s="15" t="n">
        <f aca="false">IF(OR(J9=1,M9&lt;=Inputs!$B$12),1,0)</f>
        <v>1</v>
      </c>
      <c r="S9" s="15" t="n">
        <f aca="false">IF(OR(J9=1,N9&lt;=O9),1,0)</f>
        <v>1</v>
      </c>
      <c r="T9" s="15" t="str">
        <f aca="false">IF(J9=1,"OFFLINE",IF(AND(Q9&gt;=Inputs!$B$15,R9=1,S9=1,P9&lt;=L9),"PASS","FAIL"))</f>
        <v>OFFLINE</v>
      </c>
    </row>
    <row r="10" customFormat="false" ht="15" hidden="false" customHeight="false" outlineLevel="0" collapsed="false">
      <c r="A10" s="14" t="s">
        <v>1018</v>
      </c>
      <c r="B10" s="14" t="s">
        <v>1019</v>
      </c>
      <c r="C10" s="14" t="s">
        <v>149</v>
      </c>
      <c r="D10" s="14" t="s">
        <v>149</v>
      </c>
      <c r="E10" s="14" t="s">
        <v>152</v>
      </c>
      <c r="F10" s="14" t="s">
        <v>150</v>
      </c>
      <c r="G10" s="14" t="n">
        <v>1</v>
      </c>
      <c r="H10" s="14" t="s">
        <v>154</v>
      </c>
      <c r="I10" s="14" t="s">
        <v>895</v>
      </c>
      <c r="J10" s="15" t="n">
        <f aca="false">IF(B10="SITE LOSS",IF(D10=C10,1,0),IF(B10="REGION LOSS",IF(E10=C10,1,0),0))</f>
        <v>1</v>
      </c>
      <c r="K10" s="15" t="n">
        <f aca="false">IF(B10="SITE LOSS",IF(COUNTIFS('Site Dockets'!$B$7:$B$24,C10,'Site Dockets'!$C$7:$C$24,F10)&gt;0,1,0),IF(B10="REGION LOSS",IF(COUNTIFS('Site Dockets'!$E$7:$E$24,C10,'Site Dockets'!$C$7:$C$24,F10)&gt;0,1,0),0))</f>
        <v>1</v>
      </c>
      <c r="L10" s="15" t="n">
        <f aca="false">IF(J10=1,0,Inputs!$B$11)</f>
        <v>0</v>
      </c>
      <c r="M10" s="15" t="n">
        <f aca="false">IF(J10=1,0,Inputs!$B$12)</f>
        <v>0</v>
      </c>
      <c r="N10" s="15" t="n">
        <f aca="false">IF(J10=1,0,IF(OR(AND(OR(B10="SITE LOSS",B10="REGION LOSS"),K10=1),AND(B10="ROLE COMPROMISE",H10=C10)),Inputs!$B$13,Inputs!$B$14))</f>
        <v>0</v>
      </c>
      <c r="O10" s="15" t="n">
        <f aca="false">IF(J10=1,0,Inputs!$B$13)</f>
        <v>0</v>
      </c>
      <c r="P10" s="15" t="n">
        <f aca="false">SUM(M10:N10)</f>
        <v>0</v>
      </c>
      <c r="Q10" s="15" t="str">
        <f aca="false">IF(J10=1,"",L10-P10)</f>
        <v/>
      </c>
      <c r="R10" s="15" t="n">
        <f aca="false">IF(OR(J10=1,M10&lt;=Inputs!$B$12),1,0)</f>
        <v>1</v>
      </c>
      <c r="S10" s="15" t="n">
        <f aca="false">IF(OR(J10=1,N10&lt;=O10),1,0)</f>
        <v>1</v>
      </c>
      <c r="T10" s="15" t="str">
        <f aca="false">IF(J10=1,"OFFLINE",IF(AND(Q10&gt;=Inputs!$B$15,R10=1,S10=1,P10&lt;=L10),"PASS","FAIL"))</f>
        <v>OFFLINE</v>
      </c>
    </row>
    <row r="11" customFormat="false" ht="15" hidden="false" customHeight="false" outlineLevel="0" collapsed="false">
      <c r="A11" s="14" t="s">
        <v>1018</v>
      </c>
      <c r="B11" s="14" t="s">
        <v>1019</v>
      </c>
      <c r="C11" s="14" t="s">
        <v>149</v>
      </c>
      <c r="D11" s="14" t="s">
        <v>149</v>
      </c>
      <c r="E11" s="14" t="s">
        <v>152</v>
      </c>
      <c r="F11" s="14" t="s">
        <v>150</v>
      </c>
      <c r="G11" s="14" t="n">
        <v>1</v>
      </c>
      <c r="H11" s="14" t="s">
        <v>154</v>
      </c>
      <c r="I11" s="14" t="s">
        <v>897</v>
      </c>
      <c r="J11" s="15" t="n">
        <f aca="false">IF(B11="SITE LOSS",IF(D11=C11,1,0),IF(B11="REGION LOSS",IF(E11=C11,1,0),0))</f>
        <v>1</v>
      </c>
      <c r="K11" s="15" t="n">
        <f aca="false">IF(B11="SITE LOSS",IF(COUNTIFS('Site Dockets'!$B$7:$B$24,C11,'Site Dockets'!$C$7:$C$24,F11)&gt;0,1,0),IF(B11="REGION LOSS",IF(COUNTIFS('Site Dockets'!$E$7:$E$24,C11,'Site Dockets'!$C$7:$C$24,F11)&gt;0,1,0),0))</f>
        <v>1</v>
      </c>
      <c r="L11" s="15" t="n">
        <f aca="false">IF(J11=1,0,Inputs!$B$11)</f>
        <v>0</v>
      </c>
      <c r="M11" s="15" t="n">
        <f aca="false">IF(J11=1,0,Inputs!$B$12)</f>
        <v>0</v>
      </c>
      <c r="N11" s="15" t="n">
        <f aca="false">IF(J11=1,0,IF(OR(AND(OR(B11="SITE LOSS",B11="REGION LOSS"),K11=1),AND(B11="ROLE COMPROMISE",H11=C11)),Inputs!$B$13,Inputs!$B$14))</f>
        <v>0</v>
      </c>
      <c r="O11" s="15" t="n">
        <f aca="false">IF(J11=1,0,Inputs!$B$13)</f>
        <v>0</v>
      </c>
      <c r="P11" s="15" t="n">
        <f aca="false">SUM(M11:N11)</f>
        <v>0</v>
      </c>
      <c r="Q11" s="15" t="str">
        <f aca="false">IF(J11=1,"",L11-P11)</f>
        <v/>
      </c>
      <c r="R11" s="15" t="n">
        <f aca="false">IF(OR(J11=1,M11&lt;=Inputs!$B$12),1,0)</f>
        <v>1</v>
      </c>
      <c r="S11" s="15" t="n">
        <f aca="false">IF(OR(J11=1,N11&lt;=O11),1,0)</f>
        <v>1</v>
      </c>
      <c r="T11" s="15" t="str">
        <f aca="false">IF(J11=1,"OFFLINE",IF(AND(Q11&gt;=Inputs!$B$15,R11=1,S11=1,P11&lt;=L11),"PASS","FAIL"))</f>
        <v>OFFLINE</v>
      </c>
    </row>
    <row r="12" customFormat="false" ht="15" hidden="false" customHeight="false" outlineLevel="0" collapsed="false">
      <c r="A12" s="14" t="s">
        <v>1018</v>
      </c>
      <c r="B12" s="14" t="s">
        <v>1019</v>
      </c>
      <c r="C12" s="14" t="s">
        <v>149</v>
      </c>
      <c r="D12" s="14" t="s">
        <v>149</v>
      </c>
      <c r="E12" s="14" t="s">
        <v>152</v>
      </c>
      <c r="F12" s="14" t="s">
        <v>150</v>
      </c>
      <c r="G12" s="14" t="n">
        <v>1</v>
      </c>
      <c r="H12" s="14" t="s">
        <v>154</v>
      </c>
      <c r="I12" s="14" t="s">
        <v>899</v>
      </c>
      <c r="J12" s="15" t="n">
        <f aca="false">IF(B12="SITE LOSS",IF(D12=C12,1,0),IF(B12="REGION LOSS",IF(E12=C12,1,0),0))</f>
        <v>1</v>
      </c>
      <c r="K12" s="15" t="n">
        <f aca="false">IF(B12="SITE LOSS",IF(COUNTIFS('Site Dockets'!$B$7:$B$24,C12,'Site Dockets'!$C$7:$C$24,F12)&gt;0,1,0),IF(B12="REGION LOSS",IF(COUNTIFS('Site Dockets'!$E$7:$E$24,C12,'Site Dockets'!$C$7:$C$24,F12)&gt;0,1,0),0))</f>
        <v>1</v>
      </c>
      <c r="L12" s="15" t="n">
        <f aca="false">IF(J12=1,0,Inputs!$B$11)</f>
        <v>0</v>
      </c>
      <c r="M12" s="15" t="n">
        <f aca="false">IF(J12=1,0,Inputs!$B$12)</f>
        <v>0</v>
      </c>
      <c r="N12" s="15" t="n">
        <f aca="false">IF(J12=1,0,IF(OR(AND(OR(B12="SITE LOSS",B12="REGION LOSS"),K12=1),AND(B12="ROLE COMPROMISE",H12=C12)),Inputs!$B$13,Inputs!$B$14))</f>
        <v>0</v>
      </c>
      <c r="O12" s="15" t="n">
        <f aca="false">IF(J12=1,0,Inputs!$B$13)</f>
        <v>0</v>
      </c>
      <c r="P12" s="15" t="n">
        <f aca="false">SUM(M12:N12)</f>
        <v>0</v>
      </c>
      <c r="Q12" s="15" t="str">
        <f aca="false">IF(J12=1,"",L12-P12)</f>
        <v/>
      </c>
      <c r="R12" s="15" t="n">
        <f aca="false">IF(OR(J12=1,M12&lt;=Inputs!$B$12),1,0)</f>
        <v>1</v>
      </c>
      <c r="S12" s="15" t="n">
        <f aca="false">IF(OR(J12=1,N12&lt;=O12),1,0)</f>
        <v>1</v>
      </c>
      <c r="T12" s="15" t="str">
        <f aca="false">IF(J12=1,"OFFLINE",IF(AND(Q12&gt;=Inputs!$B$15,R12=1,S12=1,P12&lt;=L12),"PASS","FAIL"))</f>
        <v>OFFLINE</v>
      </c>
    </row>
    <row r="13" customFormat="false" ht="15" hidden="false" customHeight="false" outlineLevel="0" collapsed="false">
      <c r="A13" s="14" t="s">
        <v>1018</v>
      </c>
      <c r="B13" s="14" t="s">
        <v>1019</v>
      </c>
      <c r="C13" s="14" t="s">
        <v>149</v>
      </c>
      <c r="D13" s="14" t="s">
        <v>156</v>
      </c>
      <c r="E13" s="14" t="s">
        <v>157</v>
      </c>
      <c r="F13" s="14" t="s">
        <v>150</v>
      </c>
      <c r="G13" s="14" t="n">
        <v>2</v>
      </c>
      <c r="H13" s="14" t="s">
        <v>153</v>
      </c>
      <c r="I13" s="14" t="s">
        <v>890</v>
      </c>
      <c r="J13" s="15" t="n">
        <f aca="false">IF(B13="SITE LOSS",IF(D13=C13,1,0),IF(B13="REGION LOSS",IF(E13=C13,1,0),0))</f>
        <v>0</v>
      </c>
      <c r="K13" s="15" t="n">
        <f aca="false">IF(B13="SITE LOSS",IF(COUNTIFS('Site Dockets'!$B$7:$B$24,C13,'Site Dockets'!$C$7:$C$24,F13)&gt;0,1,0),IF(B13="REGION LOSS",IF(COUNTIFS('Site Dockets'!$E$7:$E$24,C13,'Site Dockets'!$C$7:$C$24,F13)&gt;0,1,0),0))</f>
        <v>1</v>
      </c>
      <c r="L13" s="15" t="n">
        <f aca="false">IF(J13=1,0,Inputs!$B$11)</f>
        <v>100</v>
      </c>
      <c r="M13" s="15" t="n">
        <f aca="false">IF(J13=1,0,Inputs!$B$12)</f>
        <v>75</v>
      </c>
      <c r="N13" s="15" t="n">
        <f aca="false">IF(J13=1,0,IF(OR(AND(OR(B13="SITE LOSS",B13="REGION LOSS"),K13=1),AND(B13="ROLE COMPROMISE",H13=C13)),Inputs!$B$13,Inputs!$B$14))</f>
        <v>20</v>
      </c>
      <c r="O13" s="15" t="n">
        <f aca="false">IF(J13=1,0,Inputs!$B$13)</f>
        <v>20</v>
      </c>
      <c r="P13" s="15" t="n">
        <f aca="false">SUM(M13:N13)</f>
        <v>95</v>
      </c>
      <c r="Q13" s="15" t="n">
        <f aca="false">IF(J13=1,"",L13-P13)</f>
        <v>5</v>
      </c>
      <c r="R13" s="15" t="n">
        <f aca="false">IF(OR(J13=1,M13&lt;=Inputs!$B$12),1,0)</f>
        <v>1</v>
      </c>
      <c r="S13" s="15" t="n">
        <f aca="false">IF(OR(J13=1,N13&lt;=O13),1,0)</f>
        <v>1</v>
      </c>
      <c r="T13" s="15" t="str">
        <f aca="false">IF(J13=1,"OFFLINE",IF(AND(Q13&gt;=Inputs!$B$15,R13=1,S13=1,P13&lt;=L13),"PASS","FAIL"))</f>
        <v>PASS</v>
      </c>
    </row>
    <row r="14" customFormat="false" ht="15" hidden="false" customHeight="false" outlineLevel="0" collapsed="false">
      <c r="A14" s="14" t="s">
        <v>1018</v>
      </c>
      <c r="B14" s="14" t="s">
        <v>1019</v>
      </c>
      <c r="C14" s="14" t="s">
        <v>149</v>
      </c>
      <c r="D14" s="14" t="s">
        <v>156</v>
      </c>
      <c r="E14" s="14" t="s">
        <v>157</v>
      </c>
      <c r="F14" s="14" t="s">
        <v>150</v>
      </c>
      <c r="G14" s="14" t="n">
        <v>2</v>
      </c>
      <c r="H14" s="14" t="s">
        <v>153</v>
      </c>
      <c r="I14" s="14" t="s">
        <v>892</v>
      </c>
      <c r="J14" s="15" t="n">
        <f aca="false">IF(B14="SITE LOSS",IF(D14=C14,1,0),IF(B14="REGION LOSS",IF(E14=C14,1,0),0))</f>
        <v>0</v>
      </c>
      <c r="K14" s="15" t="n">
        <f aca="false">IF(B14="SITE LOSS",IF(COUNTIFS('Site Dockets'!$B$7:$B$24,C14,'Site Dockets'!$C$7:$C$24,F14)&gt;0,1,0),IF(B14="REGION LOSS",IF(COUNTIFS('Site Dockets'!$E$7:$E$24,C14,'Site Dockets'!$C$7:$C$24,F14)&gt;0,1,0),0))</f>
        <v>1</v>
      </c>
      <c r="L14" s="15" t="n">
        <f aca="false">IF(J14=1,0,Inputs!$B$11)</f>
        <v>100</v>
      </c>
      <c r="M14" s="15" t="n">
        <f aca="false">IF(J14=1,0,Inputs!$B$12)</f>
        <v>75</v>
      </c>
      <c r="N14" s="15" t="n">
        <f aca="false">IF(J14=1,0,IF(OR(AND(OR(B14="SITE LOSS",B14="REGION LOSS"),K14=1),AND(B14="ROLE COMPROMISE",H14=C14)),Inputs!$B$13,Inputs!$B$14))</f>
        <v>20</v>
      </c>
      <c r="O14" s="15" t="n">
        <f aca="false">IF(J14=1,0,Inputs!$B$13)</f>
        <v>20</v>
      </c>
      <c r="P14" s="15" t="n">
        <f aca="false">SUM(M14:N14)</f>
        <v>95</v>
      </c>
      <c r="Q14" s="15" t="n">
        <f aca="false">IF(J14=1,"",L14-P14)</f>
        <v>5</v>
      </c>
      <c r="R14" s="15" t="n">
        <f aca="false">IF(OR(J14=1,M14&lt;=Inputs!$B$12),1,0)</f>
        <v>1</v>
      </c>
      <c r="S14" s="15" t="n">
        <f aca="false">IF(OR(J14=1,N14&lt;=O14),1,0)</f>
        <v>1</v>
      </c>
      <c r="T14" s="15" t="str">
        <f aca="false">IF(J14=1,"OFFLINE",IF(AND(Q14&gt;=Inputs!$B$15,R14=1,S14=1,P14&lt;=L14),"PASS","FAIL"))</f>
        <v>PASS</v>
      </c>
    </row>
    <row r="15" customFormat="false" ht="15" hidden="false" customHeight="false" outlineLevel="0" collapsed="false">
      <c r="A15" s="14" t="s">
        <v>1018</v>
      </c>
      <c r="B15" s="14" t="s">
        <v>1019</v>
      </c>
      <c r="C15" s="14" t="s">
        <v>149</v>
      </c>
      <c r="D15" s="14" t="s">
        <v>156</v>
      </c>
      <c r="E15" s="14" t="s">
        <v>157</v>
      </c>
      <c r="F15" s="14" t="s">
        <v>150</v>
      </c>
      <c r="G15" s="14" t="n">
        <v>2</v>
      </c>
      <c r="H15" s="14" t="s">
        <v>153</v>
      </c>
      <c r="I15" s="14" t="s">
        <v>811</v>
      </c>
      <c r="J15" s="15" t="n">
        <f aca="false">IF(B15="SITE LOSS",IF(D15=C15,1,0),IF(B15="REGION LOSS",IF(E15=C15,1,0),0))</f>
        <v>0</v>
      </c>
      <c r="K15" s="15" t="n">
        <f aca="false">IF(B15="SITE LOSS",IF(COUNTIFS('Site Dockets'!$B$7:$B$24,C15,'Site Dockets'!$C$7:$C$24,F15)&gt;0,1,0),IF(B15="REGION LOSS",IF(COUNTIFS('Site Dockets'!$E$7:$E$24,C15,'Site Dockets'!$C$7:$C$24,F15)&gt;0,1,0),0))</f>
        <v>1</v>
      </c>
      <c r="L15" s="15" t="n">
        <f aca="false">IF(J15=1,0,Inputs!$B$11)</f>
        <v>100</v>
      </c>
      <c r="M15" s="15" t="n">
        <f aca="false">IF(J15=1,0,Inputs!$B$12)</f>
        <v>75</v>
      </c>
      <c r="N15" s="15" t="n">
        <f aca="false">IF(J15=1,0,IF(OR(AND(OR(B15="SITE LOSS",B15="REGION LOSS"),K15=1),AND(B15="ROLE COMPROMISE",H15=C15)),Inputs!$B$13,Inputs!$B$14))</f>
        <v>20</v>
      </c>
      <c r="O15" s="15" t="n">
        <f aca="false">IF(J15=1,0,Inputs!$B$13)</f>
        <v>20</v>
      </c>
      <c r="P15" s="15" t="n">
        <f aca="false">SUM(M15:N15)</f>
        <v>95</v>
      </c>
      <c r="Q15" s="15" t="n">
        <f aca="false">IF(J15=1,"",L15-P15)</f>
        <v>5</v>
      </c>
      <c r="R15" s="15" t="n">
        <f aca="false">IF(OR(J15=1,M15&lt;=Inputs!$B$12),1,0)</f>
        <v>1</v>
      </c>
      <c r="S15" s="15" t="n">
        <f aca="false">IF(OR(J15=1,N15&lt;=O15),1,0)</f>
        <v>1</v>
      </c>
      <c r="T15" s="15" t="str">
        <f aca="false">IF(J15=1,"OFFLINE",IF(AND(Q15&gt;=Inputs!$B$15,R15=1,S15=1,P15&lt;=L15),"PASS","FAIL"))</f>
        <v>PASS</v>
      </c>
    </row>
    <row r="16" customFormat="false" ht="15" hidden="false" customHeight="false" outlineLevel="0" collapsed="false">
      <c r="A16" s="14" t="s">
        <v>1018</v>
      </c>
      <c r="B16" s="14" t="s">
        <v>1019</v>
      </c>
      <c r="C16" s="14" t="s">
        <v>149</v>
      </c>
      <c r="D16" s="14" t="s">
        <v>156</v>
      </c>
      <c r="E16" s="14" t="s">
        <v>157</v>
      </c>
      <c r="F16" s="14" t="s">
        <v>150</v>
      </c>
      <c r="G16" s="14" t="n">
        <v>2</v>
      </c>
      <c r="H16" s="14" t="s">
        <v>153</v>
      </c>
      <c r="I16" s="14" t="s">
        <v>895</v>
      </c>
      <c r="J16" s="15" t="n">
        <f aca="false">IF(B16="SITE LOSS",IF(D16=C16,1,0),IF(B16="REGION LOSS",IF(E16=C16,1,0),0))</f>
        <v>0</v>
      </c>
      <c r="K16" s="15" t="n">
        <f aca="false">IF(B16="SITE LOSS",IF(COUNTIFS('Site Dockets'!$B$7:$B$24,C16,'Site Dockets'!$C$7:$C$24,F16)&gt;0,1,0),IF(B16="REGION LOSS",IF(COUNTIFS('Site Dockets'!$E$7:$E$24,C16,'Site Dockets'!$C$7:$C$24,F16)&gt;0,1,0),0))</f>
        <v>1</v>
      </c>
      <c r="L16" s="15" t="n">
        <f aca="false">IF(J16=1,0,Inputs!$B$11)</f>
        <v>100</v>
      </c>
      <c r="M16" s="15" t="n">
        <f aca="false">IF(J16=1,0,Inputs!$B$12)</f>
        <v>75</v>
      </c>
      <c r="N16" s="15" t="n">
        <f aca="false">IF(J16=1,0,IF(OR(AND(OR(B16="SITE LOSS",B16="REGION LOSS"),K16=1),AND(B16="ROLE COMPROMISE",H16=C16)),Inputs!$B$13,Inputs!$B$14))</f>
        <v>20</v>
      </c>
      <c r="O16" s="15" t="n">
        <f aca="false">IF(J16=1,0,Inputs!$B$13)</f>
        <v>20</v>
      </c>
      <c r="P16" s="15" t="n">
        <f aca="false">SUM(M16:N16)</f>
        <v>95</v>
      </c>
      <c r="Q16" s="15" t="n">
        <f aca="false">IF(J16=1,"",L16-P16)</f>
        <v>5</v>
      </c>
      <c r="R16" s="15" t="n">
        <f aca="false">IF(OR(J16=1,M16&lt;=Inputs!$B$12),1,0)</f>
        <v>1</v>
      </c>
      <c r="S16" s="15" t="n">
        <f aca="false">IF(OR(J16=1,N16&lt;=O16),1,0)</f>
        <v>1</v>
      </c>
      <c r="T16" s="15" t="str">
        <f aca="false">IF(J16=1,"OFFLINE",IF(AND(Q16&gt;=Inputs!$B$15,R16=1,S16=1,P16&lt;=L16),"PASS","FAIL"))</f>
        <v>PASS</v>
      </c>
    </row>
    <row r="17" customFormat="false" ht="15" hidden="false" customHeight="false" outlineLevel="0" collapsed="false">
      <c r="A17" s="14" t="s">
        <v>1018</v>
      </c>
      <c r="B17" s="14" t="s">
        <v>1019</v>
      </c>
      <c r="C17" s="14" t="s">
        <v>149</v>
      </c>
      <c r="D17" s="14" t="s">
        <v>156</v>
      </c>
      <c r="E17" s="14" t="s">
        <v>157</v>
      </c>
      <c r="F17" s="14" t="s">
        <v>150</v>
      </c>
      <c r="G17" s="14" t="n">
        <v>2</v>
      </c>
      <c r="H17" s="14" t="s">
        <v>153</v>
      </c>
      <c r="I17" s="14" t="s">
        <v>897</v>
      </c>
      <c r="J17" s="15" t="n">
        <f aca="false">IF(B17="SITE LOSS",IF(D17=C17,1,0),IF(B17="REGION LOSS",IF(E17=C17,1,0),0))</f>
        <v>0</v>
      </c>
      <c r="K17" s="15" t="n">
        <f aca="false">IF(B17="SITE LOSS",IF(COUNTIFS('Site Dockets'!$B$7:$B$24,C17,'Site Dockets'!$C$7:$C$24,F17)&gt;0,1,0),IF(B17="REGION LOSS",IF(COUNTIFS('Site Dockets'!$E$7:$E$24,C17,'Site Dockets'!$C$7:$C$24,F17)&gt;0,1,0),0))</f>
        <v>1</v>
      </c>
      <c r="L17" s="15" t="n">
        <f aca="false">IF(J17=1,0,Inputs!$B$11)</f>
        <v>100</v>
      </c>
      <c r="M17" s="15" t="n">
        <f aca="false">IF(J17=1,0,Inputs!$B$12)</f>
        <v>75</v>
      </c>
      <c r="N17" s="15" t="n">
        <f aca="false">IF(J17=1,0,IF(OR(AND(OR(B17="SITE LOSS",B17="REGION LOSS"),K17=1),AND(B17="ROLE COMPROMISE",H17=C17)),Inputs!$B$13,Inputs!$B$14))</f>
        <v>20</v>
      </c>
      <c r="O17" s="15" t="n">
        <f aca="false">IF(J17=1,0,Inputs!$B$13)</f>
        <v>20</v>
      </c>
      <c r="P17" s="15" t="n">
        <f aca="false">SUM(M17:N17)</f>
        <v>95</v>
      </c>
      <c r="Q17" s="15" t="n">
        <f aca="false">IF(J17=1,"",L17-P17)</f>
        <v>5</v>
      </c>
      <c r="R17" s="15" t="n">
        <f aca="false">IF(OR(J17=1,M17&lt;=Inputs!$B$12),1,0)</f>
        <v>1</v>
      </c>
      <c r="S17" s="15" t="n">
        <f aca="false">IF(OR(J17=1,N17&lt;=O17),1,0)</f>
        <v>1</v>
      </c>
      <c r="T17" s="15" t="str">
        <f aca="false">IF(J17=1,"OFFLINE",IF(AND(Q17&gt;=Inputs!$B$15,R17=1,S17=1,P17&lt;=L17),"PASS","FAIL"))</f>
        <v>PASS</v>
      </c>
    </row>
    <row r="18" customFormat="false" ht="15" hidden="false" customHeight="false" outlineLevel="0" collapsed="false">
      <c r="A18" s="14" t="s">
        <v>1018</v>
      </c>
      <c r="B18" s="14" t="s">
        <v>1019</v>
      </c>
      <c r="C18" s="14" t="s">
        <v>149</v>
      </c>
      <c r="D18" s="14" t="s">
        <v>156</v>
      </c>
      <c r="E18" s="14" t="s">
        <v>157</v>
      </c>
      <c r="F18" s="14" t="s">
        <v>150</v>
      </c>
      <c r="G18" s="14" t="n">
        <v>2</v>
      </c>
      <c r="H18" s="14" t="s">
        <v>153</v>
      </c>
      <c r="I18" s="14" t="s">
        <v>899</v>
      </c>
      <c r="J18" s="15" t="n">
        <f aca="false">IF(B18="SITE LOSS",IF(D18=C18,1,0),IF(B18="REGION LOSS",IF(E18=C18,1,0),0))</f>
        <v>0</v>
      </c>
      <c r="K18" s="15" t="n">
        <f aca="false">IF(B18="SITE LOSS",IF(COUNTIFS('Site Dockets'!$B$7:$B$24,C18,'Site Dockets'!$C$7:$C$24,F18)&gt;0,1,0),IF(B18="REGION LOSS",IF(COUNTIFS('Site Dockets'!$E$7:$E$24,C18,'Site Dockets'!$C$7:$C$24,F18)&gt;0,1,0),0))</f>
        <v>1</v>
      </c>
      <c r="L18" s="15" t="n">
        <f aca="false">IF(J18=1,0,Inputs!$B$11)</f>
        <v>100</v>
      </c>
      <c r="M18" s="15" t="n">
        <f aca="false">IF(J18=1,0,Inputs!$B$12)</f>
        <v>75</v>
      </c>
      <c r="N18" s="15" t="n">
        <f aca="false">IF(J18=1,0,IF(OR(AND(OR(B18="SITE LOSS",B18="REGION LOSS"),K18=1),AND(B18="ROLE COMPROMISE",H18=C18)),Inputs!$B$13,Inputs!$B$14))</f>
        <v>20</v>
      </c>
      <c r="O18" s="15" t="n">
        <f aca="false">IF(J18=1,0,Inputs!$B$13)</f>
        <v>20</v>
      </c>
      <c r="P18" s="15" t="n">
        <f aca="false">SUM(M18:N18)</f>
        <v>95</v>
      </c>
      <c r="Q18" s="15" t="n">
        <f aca="false">IF(J18=1,"",L18-P18)</f>
        <v>5</v>
      </c>
      <c r="R18" s="15" t="n">
        <f aca="false">IF(OR(J18=1,M18&lt;=Inputs!$B$12),1,0)</f>
        <v>1</v>
      </c>
      <c r="S18" s="15" t="n">
        <f aca="false">IF(OR(J18=1,N18&lt;=O18),1,0)</f>
        <v>1</v>
      </c>
      <c r="T18" s="15" t="str">
        <f aca="false">IF(J18=1,"OFFLINE",IF(AND(Q18&gt;=Inputs!$B$15,R18=1,S18=1,P18&lt;=L18),"PASS","FAIL"))</f>
        <v>PASS</v>
      </c>
    </row>
    <row r="19" customFormat="false" ht="15" hidden="false" customHeight="false" outlineLevel="0" collapsed="false">
      <c r="A19" s="14" t="s">
        <v>1018</v>
      </c>
      <c r="B19" s="14" t="s">
        <v>1019</v>
      </c>
      <c r="C19" s="14" t="s">
        <v>149</v>
      </c>
      <c r="D19" s="14" t="s">
        <v>160</v>
      </c>
      <c r="E19" s="14" t="s">
        <v>161</v>
      </c>
      <c r="F19" s="14" t="s">
        <v>150</v>
      </c>
      <c r="G19" s="14" t="n">
        <v>3</v>
      </c>
      <c r="H19" s="14" t="s">
        <v>158</v>
      </c>
      <c r="I19" s="14" t="s">
        <v>890</v>
      </c>
      <c r="J19" s="15" t="n">
        <f aca="false">IF(B19="SITE LOSS",IF(D19=C19,1,0),IF(B19="REGION LOSS",IF(E19=C19,1,0),0))</f>
        <v>0</v>
      </c>
      <c r="K19" s="15" t="n">
        <f aca="false">IF(B19="SITE LOSS",IF(COUNTIFS('Site Dockets'!$B$7:$B$24,C19,'Site Dockets'!$C$7:$C$24,F19)&gt;0,1,0),IF(B19="REGION LOSS",IF(COUNTIFS('Site Dockets'!$E$7:$E$24,C19,'Site Dockets'!$C$7:$C$24,F19)&gt;0,1,0),0))</f>
        <v>1</v>
      </c>
      <c r="L19" s="15" t="n">
        <f aca="false">IF(J19=1,0,Inputs!$B$11)</f>
        <v>100</v>
      </c>
      <c r="M19" s="15" t="n">
        <f aca="false">IF(J19=1,0,Inputs!$B$12)</f>
        <v>75</v>
      </c>
      <c r="N19" s="15" t="n">
        <f aca="false">IF(J19=1,0,IF(OR(AND(OR(B19="SITE LOSS",B19="REGION LOSS"),K19=1),AND(B19="ROLE COMPROMISE",H19=C19)),Inputs!$B$13,Inputs!$B$14))</f>
        <v>20</v>
      </c>
      <c r="O19" s="15" t="n">
        <f aca="false">IF(J19=1,0,Inputs!$B$13)</f>
        <v>20</v>
      </c>
      <c r="P19" s="15" t="n">
        <f aca="false">SUM(M19:N19)</f>
        <v>95</v>
      </c>
      <c r="Q19" s="15" t="n">
        <f aca="false">IF(J19=1,"",L19-P19)</f>
        <v>5</v>
      </c>
      <c r="R19" s="15" t="n">
        <f aca="false">IF(OR(J19=1,M19&lt;=Inputs!$B$12),1,0)</f>
        <v>1</v>
      </c>
      <c r="S19" s="15" t="n">
        <f aca="false">IF(OR(J19=1,N19&lt;=O19),1,0)</f>
        <v>1</v>
      </c>
      <c r="T19" s="15" t="str">
        <f aca="false">IF(J19=1,"OFFLINE",IF(AND(Q19&gt;=Inputs!$B$15,R19=1,S19=1,P19&lt;=L19),"PASS","FAIL"))</f>
        <v>PASS</v>
      </c>
    </row>
    <row r="20" customFormat="false" ht="15" hidden="false" customHeight="false" outlineLevel="0" collapsed="false">
      <c r="A20" s="14" t="s">
        <v>1018</v>
      </c>
      <c r="B20" s="14" t="s">
        <v>1019</v>
      </c>
      <c r="C20" s="14" t="s">
        <v>149</v>
      </c>
      <c r="D20" s="14" t="s">
        <v>160</v>
      </c>
      <c r="E20" s="14" t="s">
        <v>161</v>
      </c>
      <c r="F20" s="14" t="s">
        <v>150</v>
      </c>
      <c r="G20" s="14" t="n">
        <v>3</v>
      </c>
      <c r="H20" s="14" t="s">
        <v>158</v>
      </c>
      <c r="I20" s="14" t="s">
        <v>892</v>
      </c>
      <c r="J20" s="15" t="n">
        <f aca="false">IF(B20="SITE LOSS",IF(D20=C20,1,0),IF(B20="REGION LOSS",IF(E20=C20,1,0),0))</f>
        <v>0</v>
      </c>
      <c r="K20" s="15" t="n">
        <f aca="false">IF(B20="SITE LOSS",IF(COUNTIFS('Site Dockets'!$B$7:$B$24,C20,'Site Dockets'!$C$7:$C$24,F20)&gt;0,1,0),IF(B20="REGION LOSS",IF(COUNTIFS('Site Dockets'!$E$7:$E$24,C20,'Site Dockets'!$C$7:$C$24,F20)&gt;0,1,0),0))</f>
        <v>1</v>
      </c>
      <c r="L20" s="15" t="n">
        <f aca="false">IF(J20=1,0,Inputs!$B$11)</f>
        <v>100</v>
      </c>
      <c r="M20" s="15" t="n">
        <f aca="false">IF(J20=1,0,Inputs!$B$12)</f>
        <v>75</v>
      </c>
      <c r="N20" s="15" t="n">
        <f aca="false">IF(J20=1,0,IF(OR(AND(OR(B20="SITE LOSS",B20="REGION LOSS"),K20=1),AND(B20="ROLE COMPROMISE",H20=C20)),Inputs!$B$13,Inputs!$B$14))</f>
        <v>20</v>
      </c>
      <c r="O20" s="15" t="n">
        <f aca="false">IF(J20=1,0,Inputs!$B$13)</f>
        <v>20</v>
      </c>
      <c r="P20" s="15" t="n">
        <f aca="false">SUM(M20:N20)</f>
        <v>95</v>
      </c>
      <c r="Q20" s="15" t="n">
        <f aca="false">IF(J20=1,"",L20-P20)</f>
        <v>5</v>
      </c>
      <c r="R20" s="15" t="n">
        <f aca="false">IF(OR(J20=1,M20&lt;=Inputs!$B$12),1,0)</f>
        <v>1</v>
      </c>
      <c r="S20" s="15" t="n">
        <f aca="false">IF(OR(J20=1,N20&lt;=O20),1,0)</f>
        <v>1</v>
      </c>
      <c r="T20" s="15" t="str">
        <f aca="false">IF(J20=1,"OFFLINE",IF(AND(Q20&gt;=Inputs!$B$15,R20=1,S20=1,P20&lt;=L20),"PASS","FAIL"))</f>
        <v>PASS</v>
      </c>
    </row>
    <row r="21" customFormat="false" ht="15" hidden="false" customHeight="false" outlineLevel="0" collapsed="false">
      <c r="A21" s="14" t="s">
        <v>1018</v>
      </c>
      <c r="B21" s="14" t="s">
        <v>1019</v>
      </c>
      <c r="C21" s="14" t="s">
        <v>149</v>
      </c>
      <c r="D21" s="14" t="s">
        <v>160</v>
      </c>
      <c r="E21" s="14" t="s">
        <v>161</v>
      </c>
      <c r="F21" s="14" t="s">
        <v>150</v>
      </c>
      <c r="G21" s="14" t="n">
        <v>3</v>
      </c>
      <c r="H21" s="14" t="s">
        <v>158</v>
      </c>
      <c r="I21" s="14" t="s">
        <v>811</v>
      </c>
      <c r="J21" s="15" t="n">
        <f aca="false">IF(B21="SITE LOSS",IF(D21=C21,1,0),IF(B21="REGION LOSS",IF(E21=C21,1,0),0))</f>
        <v>0</v>
      </c>
      <c r="K21" s="15" t="n">
        <f aca="false">IF(B21="SITE LOSS",IF(COUNTIFS('Site Dockets'!$B$7:$B$24,C21,'Site Dockets'!$C$7:$C$24,F21)&gt;0,1,0),IF(B21="REGION LOSS",IF(COUNTIFS('Site Dockets'!$E$7:$E$24,C21,'Site Dockets'!$C$7:$C$24,F21)&gt;0,1,0),0))</f>
        <v>1</v>
      </c>
      <c r="L21" s="15" t="n">
        <f aca="false">IF(J21=1,0,Inputs!$B$11)</f>
        <v>100</v>
      </c>
      <c r="M21" s="15" t="n">
        <f aca="false">IF(J21=1,0,Inputs!$B$12)</f>
        <v>75</v>
      </c>
      <c r="N21" s="15" t="n">
        <f aca="false">IF(J21=1,0,IF(OR(AND(OR(B21="SITE LOSS",B21="REGION LOSS"),K21=1),AND(B21="ROLE COMPROMISE",H21=C21)),Inputs!$B$13,Inputs!$B$14))</f>
        <v>20</v>
      </c>
      <c r="O21" s="15" t="n">
        <f aca="false">IF(J21=1,0,Inputs!$B$13)</f>
        <v>20</v>
      </c>
      <c r="P21" s="15" t="n">
        <f aca="false">SUM(M21:N21)</f>
        <v>95</v>
      </c>
      <c r="Q21" s="15" t="n">
        <f aca="false">IF(J21=1,"",L21-P21)</f>
        <v>5</v>
      </c>
      <c r="R21" s="15" t="n">
        <f aca="false">IF(OR(J21=1,M21&lt;=Inputs!$B$12),1,0)</f>
        <v>1</v>
      </c>
      <c r="S21" s="15" t="n">
        <f aca="false">IF(OR(J21=1,N21&lt;=O21),1,0)</f>
        <v>1</v>
      </c>
      <c r="T21" s="15" t="str">
        <f aca="false">IF(J21=1,"OFFLINE",IF(AND(Q21&gt;=Inputs!$B$15,R21=1,S21=1,P21&lt;=L21),"PASS","FAIL"))</f>
        <v>PASS</v>
      </c>
    </row>
    <row r="22" customFormat="false" ht="15" hidden="false" customHeight="false" outlineLevel="0" collapsed="false">
      <c r="A22" s="14" t="s">
        <v>1018</v>
      </c>
      <c r="B22" s="14" t="s">
        <v>1019</v>
      </c>
      <c r="C22" s="14" t="s">
        <v>149</v>
      </c>
      <c r="D22" s="14" t="s">
        <v>160</v>
      </c>
      <c r="E22" s="14" t="s">
        <v>161</v>
      </c>
      <c r="F22" s="14" t="s">
        <v>150</v>
      </c>
      <c r="G22" s="14" t="n">
        <v>3</v>
      </c>
      <c r="H22" s="14" t="s">
        <v>158</v>
      </c>
      <c r="I22" s="14" t="s">
        <v>895</v>
      </c>
      <c r="J22" s="15" t="n">
        <f aca="false">IF(B22="SITE LOSS",IF(D22=C22,1,0),IF(B22="REGION LOSS",IF(E22=C22,1,0),0))</f>
        <v>0</v>
      </c>
      <c r="K22" s="15" t="n">
        <f aca="false">IF(B22="SITE LOSS",IF(COUNTIFS('Site Dockets'!$B$7:$B$24,C22,'Site Dockets'!$C$7:$C$24,F22)&gt;0,1,0),IF(B22="REGION LOSS",IF(COUNTIFS('Site Dockets'!$E$7:$E$24,C22,'Site Dockets'!$C$7:$C$24,F22)&gt;0,1,0),0))</f>
        <v>1</v>
      </c>
      <c r="L22" s="15" t="n">
        <f aca="false">IF(J22=1,0,Inputs!$B$11)</f>
        <v>100</v>
      </c>
      <c r="M22" s="15" t="n">
        <f aca="false">IF(J22=1,0,Inputs!$B$12)</f>
        <v>75</v>
      </c>
      <c r="N22" s="15" t="n">
        <f aca="false">IF(J22=1,0,IF(OR(AND(OR(B22="SITE LOSS",B22="REGION LOSS"),K22=1),AND(B22="ROLE COMPROMISE",H22=C22)),Inputs!$B$13,Inputs!$B$14))</f>
        <v>20</v>
      </c>
      <c r="O22" s="15" t="n">
        <f aca="false">IF(J22=1,0,Inputs!$B$13)</f>
        <v>20</v>
      </c>
      <c r="P22" s="15" t="n">
        <f aca="false">SUM(M22:N22)</f>
        <v>95</v>
      </c>
      <c r="Q22" s="15" t="n">
        <f aca="false">IF(J22=1,"",L22-P22)</f>
        <v>5</v>
      </c>
      <c r="R22" s="15" t="n">
        <f aca="false">IF(OR(J22=1,M22&lt;=Inputs!$B$12),1,0)</f>
        <v>1</v>
      </c>
      <c r="S22" s="15" t="n">
        <f aca="false">IF(OR(J22=1,N22&lt;=O22),1,0)</f>
        <v>1</v>
      </c>
      <c r="T22" s="15" t="str">
        <f aca="false">IF(J22=1,"OFFLINE",IF(AND(Q22&gt;=Inputs!$B$15,R22=1,S22=1,P22&lt;=L22),"PASS","FAIL"))</f>
        <v>PASS</v>
      </c>
    </row>
    <row r="23" customFormat="false" ht="15" hidden="false" customHeight="false" outlineLevel="0" collapsed="false">
      <c r="A23" s="14" t="s">
        <v>1018</v>
      </c>
      <c r="B23" s="14" t="s">
        <v>1019</v>
      </c>
      <c r="C23" s="14" t="s">
        <v>149</v>
      </c>
      <c r="D23" s="14" t="s">
        <v>160</v>
      </c>
      <c r="E23" s="14" t="s">
        <v>161</v>
      </c>
      <c r="F23" s="14" t="s">
        <v>150</v>
      </c>
      <c r="G23" s="14" t="n">
        <v>3</v>
      </c>
      <c r="H23" s="14" t="s">
        <v>158</v>
      </c>
      <c r="I23" s="14" t="s">
        <v>897</v>
      </c>
      <c r="J23" s="15" t="n">
        <f aca="false">IF(B23="SITE LOSS",IF(D23=C23,1,0),IF(B23="REGION LOSS",IF(E23=C23,1,0),0))</f>
        <v>0</v>
      </c>
      <c r="K23" s="15" t="n">
        <f aca="false">IF(B23="SITE LOSS",IF(COUNTIFS('Site Dockets'!$B$7:$B$24,C23,'Site Dockets'!$C$7:$C$24,F23)&gt;0,1,0),IF(B23="REGION LOSS",IF(COUNTIFS('Site Dockets'!$E$7:$E$24,C23,'Site Dockets'!$C$7:$C$24,F23)&gt;0,1,0),0))</f>
        <v>1</v>
      </c>
      <c r="L23" s="15" t="n">
        <f aca="false">IF(J23=1,0,Inputs!$B$11)</f>
        <v>100</v>
      </c>
      <c r="M23" s="15" t="n">
        <f aca="false">IF(J23=1,0,Inputs!$B$12)</f>
        <v>75</v>
      </c>
      <c r="N23" s="15" t="n">
        <f aca="false">IF(J23=1,0,IF(OR(AND(OR(B23="SITE LOSS",B23="REGION LOSS"),K23=1),AND(B23="ROLE COMPROMISE",H23=C23)),Inputs!$B$13,Inputs!$B$14))</f>
        <v>20</v>
      </c>
      <c r="O23" s="15" t="n">
        <f aca="false">IF(J23=1,0,Inputs!$B$13)</f>
        <v>20</v>
      </c>
      <c r="P23" s="15" t="n">
        <f aca="false">SUM(M23:N23)</f>
        <v>95</v>
      </c>
      <c r="Q23" s="15" t="n">
        <f aca="false">IF(J23=1,"",L23-P23)</f>
        <v>5</v>
      </c>
      <c r="R23" s="15" t="n">
        <f aca="false">IF(OR(J23=1,M23&lt;=Inputs!$B$12),1,0)</f>
        <v>1</v>
      </c>
      <c r="S23" s="15" t="n">
        <f aca="false">IF(OR(J23=1,N23&lt;=O23),1,0)</f>
        <v>1</v>
      </c>
      <c r="T23" s="15" t="str">
        <f aca="false">IF(J23=1,"OFFLINE",IF(AND(Q23&gt;=Inputs!$B$15,R23=1,S23=1,P23&lt;=L23),"PASS","FAIL"))</f>
        <v>PASS</v>
      </c>
    </row>
    <row r="24" customFormat="false" ht="15" hidden="false" customHeight="false" outlineLevel="0" collapsed="false">
      <c r="A24" s="14" t="s">
        <v>1018</v>
      </c>
      <c r="B24" s="14" t="s">
        <v>1019</v>
      </c>
      <c r="C24" s="14" t="s">
        <v>149</v>
      </c>
      <c r="D24" s="14" t="s">
        <v>160</v>
      </c>
      <c r="E24" s="14" t="s">
        <v>161</v>
      </c>
      <c r="F24" s="14" t="s">
        <v>150</v>
      </c>
      <c r="G24" s="14" t="n">
        <v>3</v>
      </c>
      <c r="H24" s="14" t="s">
        <v>158</v>
      </c>
      <c r="I24" s="14" t="s">
        <v>899</v>
      </c>
      <c r="J24" s="15" t="n">
        <f aca="false">IF(B24="SITE LOSS",IF(D24=C24,1,0),IF(B24="REGION LOSS",IF(E24=C24,1,0),0))</f>
        <v>0</v>
      </c>
      <c r="K24" s="15" t="n">
        <f aca="false">IF(B24="SITE LOSS",IF(COUNTIFS('Site Dockets'!$B$7:$B$24,C24,'Site Dockets'!$C$7:$C$24,F24)&gt;0,1,0),IF(B24="REGION LOSS",IF(COUNTIFS('Site Dockets'!$E$7:$E$24,C24,'Site Dockets'!$C$7:$C$24,F24)&gt;0,1,0),0))</f>
        <v>1</v>
      </c>
      <c r="L24" s="15" t="n">
        <f aca="false">IF(J24=1,0,Inputs!$B$11)</f>
        <v>100</v>
      </c>
      <c r="M24" s="15" t="n">
        <f aca="false">IF(J24=1,0,Inputs!$B$12)</f>
        <v>75</v>
      </c>
      <c r="N24" s="15" t="n">
        <f aca="false">IF(J24=1,0,IF(OR(AND(OR(B24="SITE LOSS",B24="REGION LOSS"),K24=1),AND(B24="ROLE COMPROMISE",H24=C24)),Inputs!$B$13,Inputs!$B$14))</f>
        <v>20</v>
      </c>
      <c r="O24" s="15" t="n">
        <f aca="false">IF(J24=1,0,Inputs!$B$13)</f>
        <v>20</v>
      </c>
      <c r="P24" s="15" t="n">
        <f aca="false">SUM(M24:N24)</f>
        <v>95</v>
      </c>
      <c r="Q24" s="15" t="n">
        <f aca="false">IF(J24=1,"",L24-P24)</f>
        <v>5</v>
      </c>
      <c r="R24" s="15" t="n">
        <f aca="false">IF(OR(J24=1,M24&lt;=Inputs!$B$12),1,0)</f>
        <v>1</v>
      </c>
      <c r="S24" s="15" t="n">
        <f aca="false">IF(OR(J24=1,N24&lt;=O24),1,0)</f>
        <v>1</v>
      </c>
      <c r="T24" s="15" t="str">
        <f aca="false">IF(J24=1,"OFFLINE",IF(AND(Q24&gt;=Inputs!$B$15,R24=1,S24=1,P24&lt;=L24),"PASS","FAIL"))</f>
        <v>PASS</v>
      </c>
    </row>
    <row r="25" customFormat="false" ht="15" hidden="false" customHeight="false" outlineLevel="0" collapsed="false">
      <c r="A25" s="14" t="s">
        <v>1018</v>
      </c>
      <c r="B25" s="14" t="s">
        <v>1019</v>
      </c>
      <c r="C25" s="14" t="s">
        <v>149</v>
      </c>
      <c r="D25" s="14" t="s">
        <v>163</v>
      </c>
      <c r="E25" s="14" t="s">
        <v>166</v>
      </c>
      <c r="F25" s="14" t="s">
        <v>164</v>
      </c>
      <c r="G25" s="14" t="n">
        <v>1</v>
      </c>
      <c r="H25" s="14" t="s">
        <v>154</v>
      </c>
      <c r="I25" s="14" t="s">
        <v>890</v>
      </c>
      <c r="J25" s="15" t="n">
        <f aca="false">IF(B25="SITE LOSS",IF(D25=C25,1,0),IF(B25="REGION LOSS",IF(E25=C25,1,0),0))</f>
        <v>0</v>
      </c>
      <c r="K25" s="15" t="n">
        <f aca="false">IF(B25="SITE LOSS",IF(COUNTIFS('Site Dockets'!$B$7:$B$24,C25,'Site Dockets'!$C$7:$C$24,F25)&gt;0,1,0),IF(B25="REGION LOSS",IF(COUNTIFS('Site Dockets'!$E$7:$E$24,C25,'Site Dockets'!$C$7:$C$24,F25)&gt;0,1,0),0))</f>
        <v>0</v>
      </c>
      <c r="L25" s="15" t="n">
        <f aca="false">IF(J25=1,0,Inputs!$B$11)</f>
        <v>100</v>
      </c>
      <c r="M25" s="15" t="n">
        <f aca="false">IF(J25=1,0,Inputs!$B$12)</f>
        <v>75</v>
      </c>
      <c r="N25" s="15" t="n">
        <f aca="false">IF(J25=1,0,IF(OR(AND(OR(B25="SITE LOSS",B25="REGION LOSS"),K25=1),AND(B25="ROLE COMPROMISE",H25=C25)),Inputs!$B$13,Inputs!$B$14))</f>
        <v>10</v>
      </c>
      <c r="O25" s="15" t="n">
        <f aca="false">IF(J25=1,0,Inputs!$B$13)</f>
        <v>20</v>
      </c>
      <c r="P25" s="15" t="n">
        <f aca="false">SUM(M25:N25)</f>
        <v>85</v>
      </c>
      <c r="Q25" s="15" t="n">
        <f aca="false">IF(J25=1,"",L25-P25)</f>
        <v>15</v>
      </c>
      <c r="R25" s="15" t="n">
        <f aca="false">IF(OR(J25=1,M25&lt;=Inputs!$B$12),1,0)</f>
        <v>1</v>
      </c>
      <c r="S25" s="15" t="n">
        <f aca="false">IF(OR(J25=1,N25&lt;=O25),1,0)</f>
        <v>1</v>
      </c>
      <c r="T25" s="15" t="str">
        <f aca="false">IF(J25=1,"OFFLINE",IF(AND(Q25&gt;=Inputs!$B$15,R25=1,S25=1,P25&lt;=L25),"PASS","FAIL"))</f>
        <v>PASS</v>
      </c>
    </row>
    <row r="26" customFormat="false" ht="15" hidden="false" customHeight="false" outlineLevel="0" collapsed="false">
      <c r="A26" s="14" t="s">
        <v>1018</v>
      </c>
      <c r="B26" s="14" t="s">
        <v>1019</v>
      </c>
      <c r="C26" s="14" t="s">
        <v>149</v>
      </c>
      <c r="D26" s="14" t="s">
        <v>163</v>
      </c>
      <c r="E26" s="14" t="s">
        <v>166</v>
      </c>
      <c r="F26" s="14" t="s">
        <v>164</v>
      </c>
      <c r="G26" s="14" t="n">
        <v>1</v>
      </c>
      <c r="H26" s="14" t="s">
        <v>154</v>
      </c>
      <c r="I26" s="14" t="s">
        <v>892</v>
      </c>
      <c r="J26" s="15" t="n">
        <f aca="false">IF(B26="SITE LOSS",IF(D26=C26,1,0),IF(B26="REGION LOSS",IF(E26=C26,1,0),0))</f>
        <v>0</v>
      </c>
      <c r="K26" s="15" t="n">
        <f aca="false">IF(B26="SITE LOSS",IF(COUNTIFS('Site Dockets'!$B$7:$B$24,C26,'Site Dockets'!$C$7:$C$24,F26)&gt;0,1,0),IF(B26="REGION LOSS",IF(COUNTIFS('Site Dockets'!$E$7:$E$24,C26,'Site Dockets'!$C$7:$C$24,F26)&gt;0,1,0),0))</f>
        <v>0</v>
      </c>
      <c r="L26" s="15" t="n">
        <f aca="false">IF(J26=1,0,Inputs!$B$11)</f>
        <v>100</v>
      </c>
      <c r="M26" s="15" t="n">
        <f aca="false">IF(J26=1,0,Inputs!$B$12)</f>
        <v>75</v>
      </c>
      <c r="N26" s="15" t="n">
        <f aca="false">IF(J26=1,0,IF(OR(AND(OR(B26="SITE LOSS",B26="REGION LOSS"),K26=1),AND(B26="ROLE COMPROMISE",H26=C26)),Inputs!$B$13,Inputs!$B$14))</f>
        <v>10</v>
      </c>
      <c r="O26" s="15" t="n">
        <f aca="false">IF(J26=1,0,Inputs!$B$13)</f>
        <v>20</v>
      </c>
      <c r="P26" s="15" t="n">
        <f aca="false">SUM(M26:N26)</f>
        <v>85</v>
      </c>
      <c r="Q26" s="15" t="n">
        <f aca="false">IF(J26=1,"",L26-P26)</f>
        <v>15</v>
      </c>
      <c r="R26" s="15" t="n">
        <f aca="false">IF(OR(J26=1,M26&lt;=Inputs!$B$12),1,0)</f>
        <v>1</v>
      </c>
      <c r="S26" s="15" t="n">
        <f aca="false">IF(OR(J26=1,N26&lt;=O26),1,0)</f>
        <v>1</v>
      </c>
      <c r="T26" s="15" t="str">
        <f aca="false">IF(J26=1,"OFFLINE",IF(AND(Q26&gt;=Inputs!$B$15,R26=1,S26=1,P26&lt;=L26),"PASS","FAIL"))</f>
        <v>PASS</v>
      </c>
    </row>
    <row r="27" customFormat="false" ht="15" hidden="false" customHeight="false" outlineLevel="0" collapsed="false">
      <c r="A27" s="14" t="s">
        <v>1018</v>
      </c>
      <c r="B27" s="14" t="s">
        <v>1019</v>
      </c>
      <c r="C27" s="14" t="s">
        <v>149</v>
      </c>
      <c r="D27" s="14" t="s">
        <v>163</v>
      </c>
      <c r="E27" s="14" t="s">
        <v>166</v>
      </c>
      <c r="F27" s="14" t="s">
        <v>164</v>
      </c>
      <c r="G27" s="14" t="n">
        <v>1</v>
      </c>
      <c r="H27" s="14" t="s">
        <v>154</v>
      </c>
      <c r="I27" s="14" t="s">
        <v>811</v>
      </c>
      <c r="J27" s="15" t="n">
        <f aca="false">IF(B27="SITE LOSS",IF(D27=C27,1,0),IF(B27="REGION LOSS",IF(E27=C27,1,0),0))</f>
        <v>0</v>
      </c>
      <c r="K27" s="15" t="n">
        <f aca="false">IF(B27="SITE LOSS",IF(COUNTIFS('Site Dockets'!$B$7:$B$24,C27,'Site Dockets'!$C$7:$C$24,F27)&gt;0,1,0),IF(B27="REGION LOSS",IF(COUNTIFS('Site Dockets'!$E$7:$E$24,C27,'Site Dockets'!$C$7:$C$24,F27)&gt;0,1,0),0))</f>
        <v>0</v>
      </c>
      <c r="L27" s="15" t="n">
        <f aca="false">IF(J27=1,0,Inputs!$B$11)</f>
        <v>100</v>
      </c>
      <c r="M27" s="15" t="n">
        <f aca="false">IF(J27=1,0,Inputs!$B$12)</f>
        <v>75</v>
      </c>
      <c r="N27" s="15" t="n">
        <f aca="false">IF(J27=1,0,IF(OR(AND(OR(B27="SITE LOSS",B27="REGION LOSS"),K27=1),AND(B27="ROLE COMPROMISE",H27=C27)),Inputs!$B$13,Inputs!$B$14))</f>
        <v>10</v>
      </c>
      <c r="O27" s="15" t="n">
        <f aca="false">IF(J27=1,0,Inputs!$B$13)</f>
        <v>20</v>
      </c>
      <c r="P27" s="15" t="n">
        <f aca="false">SUM(M27:N27)</f>
        <v>85</v>
      </c>
      <c r="Q27" s="15" t="n">
        <f aca="false">IF(J27=1,"",L27-P27)</f>
        <v>15</v>
      </c>
      <c r="R27" s="15" t="n">
        <f aca="false">IF(OR(J27=1,M27&lt;=Inputs!$B$12),1,0)</f>
        <v>1</v>
      </c>
      <c r="S27" s="15" t="n">
        <f aca="false">IF(OR(J27=1,N27&lt;=O27),1,0)</f>
        <v>1</v>
      </c>
      <c r="T27" s="15" t="str">
        <f aca="false">IF(J27=1,"OFFLINE",IF(AND(Q27&gt;=Inputs!$B$15,R27=1,S27=1,P27&lt;=L27),"PASS","FAIL"))</f>
        <v>PASS</v>
      </c>
    </row>
    <row r="28" customFormat="false" ht="15" hidden="false" customHeight="false" outlineLevel="0" collapsed="false">
      <c r="A28" s="14" t="s">
        <v>1018</v>
      </c>
      <c r="B28" s="14" t="s">
        <v>1019</v>
      </c>
      <c r="C28" s="14" t="s">
        <v>149</v>
      </c>
      <c r="D28" s="14" t="s">
        <v>163</v>
      </c>
      <c r="E28" s="14" t="s">
        <v>166</v>
      </c>
      <c r="F28" s="14" t="s">
        <v>164</v>
      </c>
      <c r="G28" s="14" t="n">
        <v>1</v>
      </c>
      <c r="H28" s="14" t="s">
        <v>154</v>
      </c>
      <c r="I28" s="14" t="s">
        <v>895</v>
      </c>
      <c r="J28" s="15" t="n">
        <f aca="false">IF(B28="SITE LOSS",IF(D28=C28,1,0),IF(B28="REGION LOSS",IF(E28=C28,1,0),0))</f>
        <v>0</v>
      </c>
      <c r="K28" s="15" t="n">
        <f aca="false">IF(B28="SITE LOSS",IF(COUNTIFS('Site Dockets'!$B$7:$B$24,C28,'Site Dockets'!$C$7:$C$24,F28)&gt;0,1,0),IF(B28="REGION LOSS",IF(COUNTIFS('Site Dockets'!$E$7:$E$24,C28,'Site Dockets'!$C$7:$C$24,F28)&gt;0,1,0),0))</f>
        <v>0</v>
      </c>
      <c r="L28" s="15" t="n">
        <f aca="false">IF(J28=1,0,Inputs!$B$11)</f>
        <v>100</v>
      </c>
      <c r="M28" s="15" t="n">
        <f aca="false">IF(J28=1,0,Inputs!$B$12)</f>
        <v>75</v>
      </c>
      <c r="N28" s="15" t="n">
        <f aca="false">IF(J28=1,0,IF(OR(AND(OR(B28="SITE LOSS",B28="REGION LOSS"),K28=1),AND(B28="ROLE COMPROMISE",H28=C28)),Inputs!$B$13,Inputs!$B$14))</f>
        <v>10</v>
      </c>
      <c r="O28" s="15" t="n">
        <f aca="false">IF(J28=1,0,Inputs!$B$13)</f>
        <v>20</v>
      </c>
      <c r="P28" s="15" t="n">
        <f aca="false">SUM(M28:N28)</f>
        <v>85</v>
      </c>
      <c r="Q28" s="15" t="n">
        <f aca="false">IF(J28=1,"",L28-P28)</f>
        <v>15</v>
      </c>
      <c r="R28" s="15" t="n">
        <f aca="false">IF(OR(J28=1,M28&lt;=Inputs!$B$12),1,0)</f>
        <v>1</v>
      </c>
      <c r="S28" s="15" t="n">
        <f aca="false">IF(OR(J28=1,N28&lt;=O28),1,0)</f>
        <v>1</v>
      </c>
      <c r="T28" s="15" t="str">
        <f aca="false">IF(J28=1,"OFFLINE",IF(AND(Q28&gt;=Inputs!$B$15,R28=1,S28=1,P28&lt;=L28),"PASS","FAIL"))</f>
        <v>PASS</v>
      </c>
    </row>
    <row r="29" customFormat="false" ht="15" hidden="false" customHeight="false" outlineLevel="0" collapsed="false">
      <c r="A29" s="14" t="s">
        <v>1018</v>
      </c>
      <c r="B29" s="14" t="s">
        <v>1019</v>
      </c>
      <c r="C29" s="14" t="s">
        <v>149</v>
      </c>
      <c r="D29" s="14" t="s">
        <v>163</v>
      </c>
      <c r="E29" s="14" t="s">
        <v>166</v>
      </c>
      <c r="F29" s="14" t="s">
        <v>164</v>
      </c>
      <c r="G29" s="14" t="n">
        <v>1</v>
      </c>
      <c r="H29" s="14" t="s">
        <v>154</v>
      </c>
      <c r="I29" s="14" t="s">
        <v>897</v>
      </c>
      <c r="J29" s="15" t="n">
        <f aca="false">IF(B29="SITE LOSS",IF(D29=C29,1,0),IF(B29="REGION LOSS",IF(E29=C29,1,0),0))</f>
        <v>0</v>
      </c>
      <c r="K29" s="15" t="n">
        <f aca="false">IF(B29="SITE LOSS",IF(COUNTIFS('Site Dockets'!$B$7:$B$24,C29,'Site Dockets'!$C$7:$C$24,F29)&gt;0,1,0),IF(B29="REGION LOSS",IF(COUNTIFS('Site Dockets'!$E$7:$E$24,C29,'Site Dockets'!$C$7:$C$24,F29)&gt;0,1,0),0))</f>
        <v>0</v>
      </c>
      <c r="L29" s="15" t="n">
        <f aca="false">IF(J29=1,0,Inputs!$B$11)</f>
        <v>100</v>
      </c>
      <c r="M29" s="15" t="n">
        <f aca="false">IF(J29=1,0,Inputs!$B$12)</f>
        <v>75</v>
      </c>
      <c r="N29" s="15" t="n">
        <f aca="false">IF(J29=1,0,IF(OR(AND(OR(B29="SITE LOSS",B29="REGION LOSS"),K29=1),AND(B29="ROLE COMPROMISE",H29=C29)),Inputs!$B$13,Inputs!$B$14))</f>
        <v>10</v>
      </c>
      <c r="O29" s="15" t="n">
        <f aca="false">IF(J29=1,0,Inputs!$B$13)</f>
        <v>20</v>
      </c>
      <c r="P29" s="15" t="n">
        <f aca="false">SUM(M29:N29)</f>
        <v>85</v>
      </c>
      <c r="Q29" s="15" t="n">
        <f aca="false">IF(J29=1,"",L29-P29)</f>
        <v>15</v>
      </c>
      <c r="R29" s="15" t="n">
        <f aca="false">IF(OR(J29=1,M29&lt;=Inputs!$B$12),1,0)</f>
        <v>1</v>
      </c>
      <c r="S29" s="15" t="n">
        <f aca="false">IF(OR(J29=1,N29&lt;=O29),1,0)</f>
        <v>1</v>
      </c>
      <c r="T29" s="15" t="str">
        <f aca="false">IF(J29=1,"OFFLINE",IF(AND(Q29&gt;=Inputs!$B$15,R29=1,S29=1,P29&lt;=L29),"PASS","FAIL"))</f>
        <v>PASS</v>
      </c>
    </row>
    <row r="30" customFormat="false" ht="15" hidden="false" customHeight="false" outlineLevel="0" collapsed="false">
      <c r="A30" s="14" t="s">
        <v>1018</v>
      </c>
      <c r="B30" s="14" t="s">
        <v>1019</v>
      </c>
      <c r="C30" s="14" t="s">
        <v>149</v>
      </c>
      <c r="D30" s="14" t="s">
        <v>163</v>
      </c>
      <c r="E30" s="14" t="s">
        <v>166</v>
      </c>
      <c r="F30" s="14" t="s">
        <v>164</v>
      </c>
      <c r="G30" s="14" t="n">
        <v>1</v>
      </c>
      <c r="H30" s="14" t="s">
        <v>154</v>
      </c>
      <c r="I30" s="14" t="s">
        <v>899</v>
      </c>
      <c r="J30" s="15" t="n">
        <f aca="false">IF(B30="SITE LOSS",IF(D30=C30,1,0),IF(B30="REGION LOSS",IF(E30=C30,1,0),0))</f>
        <v>0</v>
      </c>
      <c r="K30" s="15" t="n">
        <f aca="false">IF(B30="SITE LOSS",IF(COUNTIFS('Site Dockets'!$B$7:$B$24,C30,'Site Dockets'!$C$7:$C$24,F30)&gt;0,1,0),IF(B30="REGION LOSS",IF(COUNTIFS('Site Dockets'!$E$7:$E$24,C30,'Site Dockets'!$C$7:$C$24,F30)&gt;0,1,0),0))</f>
        <v>0</v>
      </c>
      <c r="L30" s="15" t="n">
        <f aca="false">IF(J30=1,0,Inputs!$B$11)</f>
        <v>100</v>
      </c>
      <c r="M30" s="15" t="n">
        <f aca="false">IF(J30=1,0,Inputs!$B$12)</f>
        <v>75</v>
      </c>
      <c r="N30" s="15" t="n">
        <f aca="false">IF(J30=1,0,IF(OR(AND(OR(B30="SITE LOSS",B30="REGION LOSS"),K30=1),AND(B30="ROLE COMPROMISE",H30=C30)),Inputs!$B$13,Inputs!$B$14))</f>
        <v>10</v>
      </c>
      <c r="O30" s="15" t="n">
        <f aca="false">IF(J30=1,0,Inputs!$B$13)</f>
        <v>20</v>
      </c>
      <c r="P30" s="15" t="n">
        <f aca="false">SUM(M30:N30)</f>
        <v>85</v>
      </c>
      <c r="Q30" s="15" t="n">
        <f aca="false">IF(J30=1,"",L30-P30)</f>
        <v>15</v>
      </c>
      <c r="R30" s="15" t="n">
        <f aca="false">IF(OR(J30=1,M30&lt;=Inputs!$B$12),1,0)</f>
        <v>1</v>
      </c>
      <c r="S30" s="15" t="n">
        <f aca="false">IF(OR(J30=1,N30&lt;=O30),1,0)</f>
        <v>1</v>
      </c>
      <c r="T30" s="15" t="str">
        <f aca="false">IF(J30=1,"OFFLINE",IF(AND(Q30&gt;=Inputs!$B$15,R30=1,S30=1,P30&lt;=L30),"PASS","FAIL"))</f>
        <v>PASS</v>
      </c>
    </row>
    <row r="31" customFormat="false" ht="15" hidden="false" customHeight="false" outlineLevel="0" collapsed="false">
      <c r="A31" s="14" t="s">
        <v>1018</v>
      </c>
      <c r="B31" s="14" t="s">
        <v>1019</v>
      </c>
      <c r="C31" s="14" t="s">
        <v>149</v>
      </c>
      <c r="D31" s="14" t="s">
        <v>168</v>
      </c>
      <c r="E31" s="14" t="s">
        <v>169</v>
      </c>
      <c r="F31" s="14" t="s">
        <v>164</v>
      </c>
      <c r="G31" s="14" t="n">
        <v>2</v>
      </c>
      <c r="H31" s="14" t="s">
        <v>153</v>
      </c>
      <c r="I31" s="14" t="s">
        <v>890</v>
      </c>
      <c r="J31" s="15" t="n">
        <f aca="false">IF(B31="SITE LOSS",IF(D31=C31,1,0),IF(B31="REGION LOSS",IF(E31=C31,1,0),0))</f>
        <v>0</v>
      </c>
      <c r="K31" s="15" t="n">
        <f aca="false">IF(B31="SITE LOSS",IF(COUNTIFS('Site Dockets'!$B$7:$B$24,C31,'Site Dockets'!$C$7:$C$24,F31)&gt;0,1,0),IF(B31="REGION LOSS",IF(COUNTIFS('Site Dockets'!$E$7:$E$24,C31,'Site Dockets'!$C$7:$C$24,F31)&gt;0,1,0),0))</f>
        <v>0</v>
      </c>
      <c r="L31" s="15" t="n">
        <f aca="false">IF(J31=1,0,Inputs!$B$11)</f>
        <v>100</v>
      </c>
      <c r="M31" s="15" t="n">
        <f aca="false">IF(J31=1,0,Inputs!$B$12)</f>
        <v>75</v>
      </c>
      <c r="N31" s="15" t="n">
        <f aca="false">IF(J31=1,0,IF(OR(AND(OR(B31="SITE LOSS",B31="REGION LOSS"),K31=1),AND(B31="ROLE COMPROMISE",H31=C31)),Inputs!$B$13,Inputs!$B$14))</f>
        <v>10</v>
      </c>
      <c r="O31" s="15" t="n">
        <f aca="false">IF(J31=1,0,Inputs!$B$13)</f>
        <v>20</v>
      </c>
      <c r="P31" s="15" t="n">
        <f aca="false">SUM(M31:N31)</f>
        <v>85</v>
      </c>
      <c r="Q31" s="15" t="n">
        <f aca="false">IF(J31=1,"",L31-P31)</f>
        <v>15</v>
      </c>
      <c r="R31" s="15" t="n">
        <f aca="false">IF(OR(J31=1,M31&lt;=Inputs!$B$12),1,0)</f>
        <v>1</v>
      </c>
      <c r="S31" s="15" t="n">
        <f aca="false">IF(OR(J31=1,N31&lt;=O31),1,0)</f>
        <v>1</v>
      </c>
      <c r="T31" s="15" t="str">
        <f aca="false">IF(J31=1,"OFFLINE",IF(AND(Q31&gt;=Inputs!$B$15,R31=1,S31=1,P31&lt;=L31),"PASS","FAIL"))</f>
        <v>PASS</v>
      </c>
    </row>
    <row r="32" customFormat="false" ht="15" hidden="false" customHeight="false" outlineLevel="0" collapsed="false">
      <c r="A32" s="14" t="s">
        <v>1018</v>
      </c>
      <c r="B32" s="14" t="s">
        <v>1019</v>
      </c>
      <c r="C32" s="14" t="s">
        <v>149</v>
      </c>
      <c r="D32" s="14" t="s">
        <v>168</v>
      </c>
      <c r="E32" s="14" t="s">
        <v>169</v>
      </c>
      <c r="F32" s="14" t="s">
        <v>164</v>
      </c>
      <c r="G32" s="14" t="n">
        <v>2</v>
      </c>
      <c r="H32" s="14" t="s">
        <v>153</v>
      </c>
      <c r="I32" s="14" t="s">
        <v>892</v>
      </c>
      <c r="J32" s="15" t="n">
        <f aca="false">IF(B32="SITE LOSS",IF(D32=C32,1,0),IF(B32="REGION LOSS",IF(E32=C32,1,0),0))</f>
        <v>0</v>
      </c>
      <c r="K32" s="15" t="n">
        <f aca="false">IF(B32="SITE LOSS",IF(COUNTIFS('Site Dockets'!$B$7:$B$24,C32,'Site Dockets'!$C$7:$C$24,F32)&gt;0,1,0),IF(B32="REGION LOSS",IF(COUNTIFS('Site Dockets'!$E$7:$E$24,C32,'Site Dockets'!$C$7:$C$24,F32)&gt;0,1,0),0))</f>
        <v>0</v>
      </c>
      <c r="L32" s="15" t="n">
        <f aca="false">IF(J32=1,0,Inputs!$B$11)</f>
        <v>100</v>
      </c>
      <c r="M32" s="15" t="n">
        <f aca="false">IF(J32=1,0,Inputs!$B$12)</f>
        <v>75</v>
      </c>
      <c r="N32" s="15" t="n">
        <f aca="false">IF(J32=1,0,IF(OR(AND(OR(B32="SITE LOSS",B32="REGION LOSS"),K32=1),AND(B32="ROLE COMPROMISE",H32=C32)),Inputs!$B$13,Inputs!$B$14))</f>
        <v>10</v>
      </c>
      <c r="O32" s="15" t="n">
        <f aca="false">IF(J32=1,0,Inputs!$B$13)</f>
        <v>20</v>
      </c>
      <c r="P32" s="15" t="n">
        <f aca="false">SUM(M32:N32)</f>
        <v>85</v>
      </c>
      <c r="Q32" s="15" t="n">
        <f aca="false">IF(J32=1,"",L32-P32)</f>
        <v>15</v>
      </c>
      <c r="R32" s="15" t="n">
        <f aca="false">IF(OR(J32=1,M32&lt;=Inputs!$B$12),1,0)</f>
        <v>1</v>
      </c>
      <c r="S32" s="15" t="n">
        <f aca="false">IF(OR(J32=1,N32&lt;=O32),1,0)</f>
        <v>1</v>
      </c>
      <c r="T32" s="15" t="str">
        <f aca="false">IF(J32=1,"OFFLINE",IF(AND(Q32&gt;=Inputs!$B$15,R32=1,S32=1,P32&lt;=L32),"PASS","FAIL"))</f>
        <v>PASS</v>
      </c>
    </row>
    <row r="33" customFormat="false" ht="15" hidden="false" customHeight="false" outlineLevel="0" collapsed="false">
      <c r="A33" s="14" t="s">
        <v>1018</v>
      </c>
      <c r="B33" s="14" t="s">
        <v>1019</v>
      </c>
      <c r="C33" s="14" t="s">
        <v>149</v>
      </c>
      <c r="D33" s="14" t="s">
        <v>168</v>
      </c>
      <c r="E33" s="14" t="s">
        <v>169</v>
      </c>
      <c r="F33" s="14" t="s">
        <v>164</v>
      </c>
      <c r="G33" s="14" t="n">
        <v>2</v>
      </c>
      <c r="H33" s="14" t="s">
        <v>153</v>
      </c>
      <c r="I33" s="14" t="s">
        <v>811</v>
      </c>
      <c r="J33" s="15" t="n">
        <f aca="false">IF(B33="SITE LOSS",IF(D33=C33,1,0),IF(B33="REGION LOSS",IF(E33=C33,1,0),0))</f>
        <v>0</v>
      </c>
      <c r="K33" s="15" t="n">
        <f aca="false">IF(B33="SITE LOSS",IF(COUNTIFS('Site Dockets'!$B$7:$B$24,C33,'Site Dockets'!$C$7:$C$24,F33)&gt;0,1,0),IF(B33="REGION LOSS",IF(COUNTIFS('Site Dockets'!$E$7:$E$24,C33,'Site Dockets'!$C$7:$C$24,F33)&gt;0,1,0),0))</f>
        <v>0</v>
      </c>
      <c r="L33" s="15" t="n">
        <f aca="false">IF(J33=1,0,Inputs!$B$11)</f>
        <v>100</v>
      </c>
      <c r="M33" s="15" t="n">
        <f aca="false">IF(J33=1,0,Inputs!$B$12)</f>
        <v>75</v>
      </c>
      <c r="N33" s="15" t="n">
        <f aca="false">IF(J33=1,0,IF(OR(AND(OR(B33="SITE LOSS",B33="REGION LOSS"),K33=1),AND(B33="ROLE COMPROMISE",H33=C33)),Inputs!$B$13,Inputs!$B$14))</f>
        <v>10</v>
      </c>
      <c r="O33" s="15" t="n">
        <f aca="false">IF(J33=1,0,Inputs!$B$13)</f>
        <v>20</v>
      </c>
      <c r="P33" s="15" t="n">
        <f aca="false">SUM(M33:N33)</f>
        <v>85</v>
      </c>
      <c r="Q33" s="15" t="n">
        <f aca="false">IF(J33=1,"",L33-P33)</f>
        <v>15</v>
      </c>
      <c r="R33" s="15" t="n">
        <f aca="false">IF(OR(J33=1,M33&lt;=Inputs!$B$12),1,0)</f>
        <v>1</v>
      </c>
      <c r="S33" s="15" t="n">
        <f aca="false">IF(OR(J33=1,N33&lt;=O33),1,0)</f>
        <v>1</v>
      </c>
      <c r="T33" s="15" t="str">
        <f aca="false">IF(J33=1,"OFFLINE",IF(AND(Q33&gt;=Inputs!$B$15,R33=1,S33=1,P33&lt;=L33),"PASS","FAIL"))</f>
        <v>PASS</v>
      </c>
    </row>
    <row r="34" customFormat="false" ht="15" hidden="false" customHeight="false" outlineLevel="0" collapsed="false">
      <c r="A34" s="14" t="s">
        <v>1018</v>
      </c>
      <c r="B34" s="14" t="s">
        <v>1019</v>
      </c>
      <c r="C34" s="14" t="s">
        <v>149</v>
      </c>
      <c r="D34" s="14" t="s">
        <v>168</v>
      </c>
      <c r="E34" s="14" t="s">
        <v>169</v>
      </c>
      <c r="F34" s="14" t="s">
        <v>164</v>
      </c>
      <c r="G34" s="14" t="n">
        <v>2</v>
      </c>
      <c r="H34" s="14" t="s">
        <v>153</v>
      </c>
      <c r="I34" s="14" t="s">
        <v>895</v>
      </c>
      <c r="J34" s="15" t="n">
        <f aca="false">IF(B34="SITE LOSS",IF(D34=C34,1,0),IF(B34="REGION LOSS",IF(E34=C34,1,0),0))</f>
        <v>0</v>
      </c>
      <c r="K34" s="15" t="n">
        <f aca="false">IF(B34="SITE LOSS",IF(COUNTIFS('Site Dockets'!$B$7:$B$24,C34,'Site Dockets'!$C$7:$C$24,F34)&gt;0,1,0),IF(B34="REGION LOSS",IF(COUNTIFS('Site Dockets'!$E$7:$E$24,C34,'Site Dockets'!$C$7:$C$24,F34)&gt;0,1,0),0))</f>
        <v>0</v>
      </c>
      <c r="L34" s="15" t="n">
        <f aca="false">IF(J34=1,0,Inputs!$B$11)</f>
        <v>100</v>
      </c>
      <c r="M34" s="15" t="n">
        <f aca="false">IF(J34=1,0,Inputs!$B$12)</f>
        <v>75</v>
      </c>
      <c r="N34" s="15" t="n">
        <f aca="false">IF(J34=1,0,IF(OR(AND(OR(B34="SITE LOSS",B34="REGION LOSS"),K34=1),AND(B34="ROLE COMPROMISE",H34=C34)),Inputs!$B$13,Inputs!$B$14))</f>
        <v>10</v>
      </c>
      <c r="O34" s="15" t="n">
        <f aca="false">IF(J34=1,0,Inputs!$B$13)</f>
        <v>20</v>
      </c>
      <c r="P34" s="15" t="n">
        <f aca="false">SUM(M34:N34)</f>
        <v>85</v>
      </c>
      <c r="Q34" s="15" t="n">
        <f aca="false">IF(J34=1,"",L34-P34)</f>
        <v>15</v>
      </c>
      <c r="R34" s="15" t="n">
        <f aca="false">IF(OR(J34=1,M34&lt;=Inputs!$B$12),1,0)</f>
        <v>1</v>
      </c>
      <c r="S34" s="15" t="n">
        <f aca="false">IF(OR(J34=1,N34&lt;=O34),1,0)</f>
        <v>1</v>
      </c>
      <c r="T34" s="15" t="str">
        <f aca="false">IF(J34=1,"OFFLINE",IF(AND(Q34&gt;=Inputs!$B$15,R34=1,S34=1,P34&lt;=L34),"PASS","FAIL"))</f>
        <v>PASS</v>
      </c>
    </row>
    <row r="35" customFormat="false" ht="15" hidden="false" customHeight="false" outlineLevel="0" collapsed="false">
      <c r="A35" s="14" t="s">
        <v>1018</v>
      </c>
      <c r="B35" s="14" t="s">
        <v>1019</v>
      </c>
      <c r="C35" s="14" t="s">
        <v>149</v>
      </c>
      <c r="D35" s="14" t="s">
        <v>168</v>
      </c>
      <c r="E35" s="14" t="s">
        <v>169</v>
      </c>
      <c r="F35" s="14" t="s">
        <v>164</v>
      </c>
      <c r="G35" s="14" t="n">
        <v>2</v>
      </c>
      <c r="H35" s="14" t="s">
        <v>153</v>
      </c>
      <c r="I35" s="14" t="s">
        <v>897</v>
      </c>
      <c r="J35" s="15" t="n">
        <f aca="false">IF(B35="SITE LOSS",IF(D35=C35,1,0),IF(B35="REGION LOSS",IF(E35=C35,1,0),0))</f>
        <v>0</v>
      </c>
      <c r="K35" s="15" t="n">
        <f aca="false">IF(B35="SITE LOSS",IF(COUNTIFS('Site Dockets'!$B$7:$B$24,C35,'Site Dockets'!$C$7:$C$24,F35)&gt;0,1,0),IF(B35="REGION LOSS",IF(COUNTIFS('Site Dockets'!$E$7:$E$24,C35,'Site Dockets'!$C$7:$C$24,F35)&gt;0,1,0),0))</f>
        <v>0</v>
      </c>
      <c r="L35" s="15" t="n">
        <f aca="false">IF(J35=1,0,Inputs!$B$11)</f>
        <v>100</v>
      </c>
      <c r="M35" s="15" t="n">
        <f aca="false">IF(J35=1,0,Inputs!$B$12)</f>
        <v>75</v>
      </c>
      <c r="N35" s="15" t="n">
        <f aca="false">IF(J35=1,0,IF(OR(AND(OR(B35="SITE LOSS",B35="REGION LOSS"),K35=1),AND(B35="ROLE COMPROMISE",H35=C35)),Inputs!$B$13,Inputs!$B$14))</f>
        <v>10</v>
      </c>
      <c r="O35" s="15" t="n">
        <f aca="false">IF(J35=1,0,Inputs!$B$13)</f>
        <v>20</v>
      </c>
      <c r="P35" s="15" t="n">
        <f aca="false">SUM(M35:N35)</f>
        <v>85</v>
      </c>
      <c r="Q35" s="15" t="n">
        <f aca="false">IF(J35=1,"",L35-P35)</f>
        <v>15</v>
      </c>
      <c r="R35" s="15" t="n">
        <f aca="false">IF(OR(J35=1,M35&lt;=Inputs!$B$12),1,0)</f>
        <v>1</v>
      </c>
      <c r="S35" s="15" t="n">
        <f aca="false">IF(OR(J35=1,N35&lt;=O35),1,0)</f>
        <v>1</v>
      </c>
      <c r="T35" s="15" t="str">
        <f aca="false">IF(J35=1,"OFFLINE",IF(AND(Q35&gt;=Inputs!$B$15,R35=1,S35=1,P35&lt;=L35),"PASS","FAIL"))</f>
        <v>PASS</v>
      </c>
    </row>
    <row r="36" customFormat="false" ht="15" hidden="false" customHeight="false" outlineLevel="0" collapsed="false">
      <c r="A36" s="14" t="s">
        <v>1018</v>
      </c>
      <c r="B36" s="14" t="s">
        <v>1019</v>
      </c>
      <c r="C36" s="14" t="s">
        <v>149</v>
      </c>
      <c r="D36" s="14" t="s">
        <v>168</v>
      </c>
      <c r="E36" s="14" t="s">
        <v>169</v>
      </c>
      <c r="F36" s="14" t="s">
        <v>164</v>
      </c>
      <c r="G36" s="14" t="n">
        <v>2</v>
      </c>
      <c r="H36" s="14" t="s">
        <v>153</v>
      </c>
      <c r="I36" s="14" t="s">
        <v>899</v>
      </c>
      <c r="J36" s="15" t="n">
        <f aca="false">IF(B36="SITE LOSS",IF(D36=C36,1,0),IF(B36="REGION LOSS",IF(E36=C36,1,0),0))</f>
        <v>0</v>
      </c>
      <c r="K36" s="15" t="n">
        <f aca="false">IF(B36="SITE LOSS",IF(COUNTIFS('Site Dockets'!$B$7:$B$24,C36,'Site Dockets'!$C$7:$C$24,F36)&gt;0,1,0),IF(B36="REGION LOSS",IF(COUNTIFS('Site Dockets'!$E$7:$E$24,C36,'Site Dockets'!$C$7:$C$24,F36)&gt;0,1,0),0))</f>
        <v>0</v>
      </c>
      <c r="L36" s="15" t="n">
        <f aca="false">IF(J36=1,0,Inputs!$B$11)</f>
        <v>100</v>
      </c>
      <c r="M36" s="15" t="n">
        <f aca="false">IF(J36=1,0,Inputs!$B$12)</f>
        <v>75</v>
      </c>
      <c r="N36" s="15" t="n">
        <f aca="false">IF(J36=1,0,IF(OR(AND(OR(B36="SITE LOSS",B36="REGION LOSS"),K36=1),AND(B36="ROLE COMPROMISE",H36=C36)),Inputs!$B$13,Inputs!$B$14))</f>
        <v>10</v>
      </c>
      <c r="O36" s="15" t="n">
        <f aca="false">IF(J36=1,0,Inputs!$B$13)</f>
        <v>20</v>
      </c>
      <c r="P36" s="15" t="n">
        <f aca="false">SUM(M36:N36)</f>
        <v>85</v>
      </c>
      <c r="Q36" s="15" t="n">
        <f aca="false">IF(J36=1,"",L36-P36)</f>
        <v>15</v>
      </c>
      <c r="R36" s="15" t="n">
        <f aca="false">IF(OR(J36=1,M36&lt;=Inputs!$B$12),1,0)</f>
        <v>1</v>
      </c>
      <c r="S36" s="15" t="n">
        <f aca="false">IF(OR(J36=1,N36&lt;=O36),1,0)</f>
        <v>1</v>
      </c>
      <c r="T36" s="15" t="str">
        <f aca="false">IF(J36=1,"OFFLINE",IF(AND(Q36&gt;=Inputs!$B$15,R36=1,S36=1,P36&lt;=L36),"PASS","FAIL"))</f>
        <v>PASS</v>
      </c>
    </row>
    <row r="37" customFormat="false" ht="15" hidden="false" customHeight="false" outlineLevel="0" collapsed="false">
      <c r="A37" s="14" t="s">
        <v>1018</v>
      </c>
      <c r="B37" s="14" t="s">
        <v>1019</v>
      </c>
      <c r="C37" s="14" t="s">
        <v>149</v>
      </c>
      <c r="D37" s="14" t="s">
        <v>171</v>
      </c>
      <c r="E37" s="14" t="s">
        <v>172</v>
      </c>
      <c r="F37" s="14" t="s">
        <v>164</v>
      </c>
      <c r="G37" s="14" t="n">
        <v>3</v>
      </c>
      <c r="H37" s="14" t="s">
        <v>158</v>
      </c>
      <c r="I37" s="14" t="s">
        <v>890</v>
      </c>
      <c r="J37" s="15" t="n">
        <f aca="false">IF(B37="SITE LOSS",IF(D37=C37,1,0),IF(B37="REGION LOSS",IF(E37=C37,1,0),0))</f>
        <v>0</v>
      </c>
      <c r="K37" s="15" t="n">
        <f aca="false">IF(B37="SITE LOSS",IF(COUNTIFS('Site Dockets'!$B$7:$B$24,C37,'Site Dockets'!$C$7:$C$24,F37)&gt;0,1,0),IF(B37="REGION LOSS",IF(COUNTIFS('Site Dockets'!$E$7:$E$24,C37,'Site Dockets'!$C$7:$C$24,F37)&gt;0,1,0),0))</f>
        <v>0</v>
      </c>
      <c r="L37" s="15" t="n">
        <f aca="false">IF(J37=1,0,Inputs!$B$11)</f>
        <v>100</v>
      </c>
      <c r="M37" s="15" t="n">
        <f aca="false">IF(J37=1,0,Inputs!$B$12)</f>
        <v>75</v>
      </c>
      <c r="N37" s="15" t="n">
        <f aca="false">IF(J37=1,0,IF(OR(AND(OR(B37="SITE LOSS",B37="REGION LOSS"),K37=1),AND(B37="ROLE COMPROMISE",H37=C37)),Inputs!$B$13,Inputs!$B$14))</f>
        <v>10</v>
      </c>
      <c r="O37" s="15" t="n">
        <f aca="false">IF(J37=1,0,Inputs!$B$13)</f>
        <v>20</v>
      </c>
      <c r="P37" s="15" t="n">
        <f aca="false">SUM(M37:N37)</f>
        <v>85</v>
      </c>
      <c r="Q37" s="15" t="n">
        <f aca="false">IF(J37=1,"",L37-P37)</f>
        <v>15</v>
      </c>
      <c r="R37" s="15" t="n">
        <f aca="false">IF(OR(J37=1,M37&lt;=Inputs!$B$12),1,0)</f>
        <v>1</v>
      </c>
      <c r="S37" s="15" t="n">
        <f aca="false">IF(OR(J37=1,N37&lt;=O37),1,0)</f>
        <v>1</v>
      </c>
      <c r="T37" s="15" t="str">
        <f aca="false">IF(J37=1,"OFFLINE",IF(AND(Q37&gt;=Inputs!$B$15,R37=1,S37=1,P37&lt;=L37),"PASS","FAIL"))</f>
        <v>PASS</v>
      </c>
    </row>
    <row r="38" customFormat="false" ht="15" hidden="false" customHeight="false" outlineLevel="0" collapsed="false">
      <c r="A38" s="14" t="s">
        <v>1018</v>
      </c>
      <c r="B38" s="14" t="s">
        <v>1019</v>
      </c>
      <c r="C38" s="14" t="s">
        <v>149</v>
      </c>
      <c r="D38" s="14" t="s">
        <v>171</v>
      </c>
      <c r="E38" s="14" t="s">
        <v>172</v>
      </c>
      <c r="F38" s="14" t="s">
        <v>164</v>
      </c>
      <c r="G38" s="14" t="n">
        <v>3</v>
      </c>
      <c r="H38" s="14" t="s">
        <v>158</v>
      </c>
      <c r="I38" s="14" t="s">
        <v>892</v>
      </c>
      <c r="J38" s="15" t="n">
        <f aca="false">IF(B38="SITE LOSS",IF(D38=C38,1,0),IF(B38="REGION LOSS",IF(E38=C38,1,0),0))</f>
        <v>0</v>
      </c>
      <c r="K38" s="15" t="n">
        <f aca="false">IF(B38="SITE LOSS",IF(COUNTIFS('Site Dockets'!$B$7:$B$24,C38,'Site Dockets'!$C$7:$C$24,F38)&gt;0,1,0),IF(B38="REGION LOSS",IF(COUNTIFS('Site Dockets'!$E$7:$E$24,C38,'Site Dockets'!$C$7:$C$24,F38)&gt;0,1,0),0))</f>
        <v>0</v>
      </c>
      <c r="L38" s="15" t="n">
        <f aca="false">IF(J38=1,0,Inputs!$B$11)</f>
        <v>100</v>
      </c>
      <c r="M38" s="15" t="n">
        <f aca="false">IF(J38=1,0,Inputs!$B$12)</f>
        <v>75</v>
      </c>
      <c r="N38" s="15" t="n">
        <f aca="false">IF(J38=1,0,IF(OR(AND(OR(B38="SITE LOSS",B38="REGION LOSS"),K38=1),AND(B38="ROLE COMPROMISE",H38=C38)),Inputs!$B$13,Inputs!$B$14))</f>
        <v>10</v>
      </c>
      <c r="O38" s="15" t="n">
        <f aca="false">IF(J38=1,0,Inputs!$B$13)</f>
        <v>20</v>
      </c>
      <c r="P38" s="15" t="n">
        <f aca="false">SUM(M38:N38)</f>
        <v>85</v>
      </c>
      <c r="Q38" s="15" t="n">
        <f aca="false">IF(J38=1,"",L38-P38)</f>
        <v>15</v>
      </c>
      <c r="R38" s="15" t="n">
        <f aca="false">IF(OR(J38=1,M38&lt;=Inputs!$B$12),1,0)</f>
        <v>1</v>
      </c>
      <c r="S38" s="15" t="n">
        <f aca="false">IF(OR(J38=1,N38&lt;=O38),1,0)</f>
        <v>1</v>
      </c>
      <c r="T38" s="15" t="str">
        <f aca="false">IF(J38=1,"OFFLINE",IF(AND(Q38&gt;=Inputs!$B$15,R38=1,S38=1,P38&lt;=L38),"PASS","FAIL"))</f>
        <v>PASS</v>
      </c>
    </row>
    <row r="39" customFormat="false" ht="15" hidden="false" customHeight="false" outlineLevel="0" collapsed="false">
      <c r="A39" s="14" t="s">
        <v>1018</v>
      </c>
      <c r="B39" s="14" t="s">
        <v>1019</v>
      </c>
      <c r="C39" s="14" t="s">
        <v>149</v>
      </c>
      <c r="D39" s="14" t="s">
        <v>171</v>
      </c>
      <c r="E39" s="14" t="s">
        <v>172</v>
      </c>
      <c r="F39" s="14" t="s">
        <v>164</v>
      </c>
      <c r="G39" s="14" t="n">
        <v>3</v>
      </c>
      <c r="H39" s="14" t="s">
        <v>158</v>
      </c>
      <c r="I39" s="14" t="s">
        <v>811</v>
      </c>
      <c r="J39" s="15" t="n">
        <f aca="false">IF(B39="SITE LOSS",IF(D39=C39,1,0),IF(B39="REGION LOSS",IF(E39=C39,1,0),0))</f>
        <v>0</v>
      </c>
      <c r="K39" s="15" t="n">
        <f aca="false">IF(B39="SITE LOSS",IF(COUNTIFS('Site Dockets'!$B$7:$B$24,C39,'Site Dockets'!$C$7:$C$24,F39)&gt;0,1,0),IF(B39="REGION LOSS",IF(COUNTIFS('Site Dockets'!$E$7:$E$24,C39,'Site Dockets'!$C$7:$C$24,F39)&gt;0,1,0),0))</f>
        <v>0</v>
      </c>
      <c r="L39" s="15" t="n">
        <f aca="false">IF(J39=1,0,Inputs!$B$11)</f>
        <v>100</v>
      </c>
      <c r="M39" s="15" t="n">
        <f aca="false">IF(J39=1,0,Inputs!$B$12)</f>
        <v>75</v>
      </c>
      <c r="N39" s="15" t="n">
        <f aca="false">IF(J39=1,0,IF(OR(AND(OR(B39="SITE LOSS",B39="REGION LOSS"),K39=1),AND(B39="ROLE COMPROMISE",H39=C39)),Inputs!$B$13,Inputs!$B$14))</f>
        <v>10</v>
      </c>
      <c r="O39" s="15" t="n">
        <f aca="false">IF(J39=1,0,Inputs!$B$13)</f>
        <v>20</v>
      </c>
      <c r="P39" s="15" t="n">
        <f aca="false">SUM(M39:N39)</f>
        <v>85</v>
      </c>
      <c r="Q39" s="15" t="n">
        <f aca="false">IF(J39=1,"",L39-P39)</f>
        <v>15</v>
      </c>
      <c r="R39" s="15" t="n">
        <f aca="false">IF(OR(J39=1,M39&lt;=Inputs!$B$12),1,0)</f>
        <v>1</v>
      </c>
      <c r="S39" s="15" t="n">
        <f aca="false">IF(OR(J39=1,N39&lt;=O39),1,0)</f>
        <v>1</v>
      </c>
      <c r="T39" s="15" t="str">
        <f aca="false">IF(J39=1,"OFFLINE",IF(AND(Q39&gt;=Inputs!$B$15,R39=1,S39=1,P39&lt;=L39),"PASS","FAIL"))</f>
        <v>PASS</v>
      </c>
    </row>
    <row r="40" customFormat="false" ht="15" hidden="false" customHeight="false" outlineLevel="0" collapsed="false">
      <c r="A40" s="14" t="s">
        <v>1018</v>
      </c>
      <c r="B40" s="14" t="s">
        <v>1019</v>
      </c>
      <c r="C40" s="14" t="s">
        <v>149</v>
      </c>
      <c r="D40" s="14" t="s">
        <v>171</v>
      </c>
      <c r="E40" s="14" t="s">
        <v>172</v>
      </c>
      <c r="F40" s="14" t="s">
        <v>164</v>
      </c>
      <c r="G40" s="14" t="n">
        <v>3</v>
      </c>
      <c r="H40" s="14" t="s">
        <v>158</v>
      </c>
      <c r="I40" s="14" t="s">
        <v>895</v>
      </c>
      <c r="J40" s="15" t="n">
        <f aca="false">IF(B40="SITE LOSS",IF(D40=C40,1,0),IF(B40="REGION LOSS",IF(E40=C40,1,0),0))</f>
        <v>0</v>
      </c>
      <c r="K40" s="15" t="n">
        <f aca="false">IF(B40="SITE LOSS",IF(COUNTIFS('Site Dockets'!$B$7:$B$24,C40,'Site Dockets'!$C$7:$C$24,F40)&gt;0,1,0),IF(B40="REGION LOSS",IF(COUNTIFS('Site Dockets'!$E$7:$E$24,C40,'Site Dockets'!$C$7:$C$24,F40)&gt;0,1,0),0))</f>
        <v>0</v>
      </c>
      <c r="L40" s="15" t="n">
        <f aca="false">IF(J40=1,0,Inputs!$B$11)</f>
        <v>100</v>
      </c>
      <c r="M40" s="15" t="n">
        <f aca="false">IF(J40=1,0,Inputs!$B$12)</f>
        <v>75</v>
      </c>
      <c r="N40" s="15" t="n">
        <f aca="false">IF(J40=1,0,IF(OR(AND(OR(B40="SITE LOSS",B40="REGION LOSS"),K40=1),AND(B40="ROLE COMPROMISE",H40=C40)),Inputs!$B$13,Inputs!$B$14))</f>
        <v>10</v>
      </c>
      <c r="O40" s="15" t="n">
        <f aca="false">IF(J40=1,0,Inputs!$B$13)</f>
        <v>20</v>
      </c>
      <c r="P40" s="15" t="n">
        <f aca="false">SUM(M40:N40)</f>
        <v>85</v>
      </c>
      <c r="Q40" s="15" t="n">
        <f aca="false">IF(J40=1,"",L40-P40)</f>
        <v>15</v>
      </c>
      <c r="R40" s="15" t="n">
        <f aca="false">IF(OR(J40=1,M40&lt;=Inputs!$B$12),1,0)</f>
        <v>1</v>
      </c>
      <c r="S40" s="15" t="n">
        <f aca="false">IF(OR(J40=1,N40&lt;=O40),1,0)</f>
        <v>1</v>
      </c>
      <c r="T40" s="15" t="str">
        <f aca="false">IF(J40=1,"OFFLINE",IF(AND(Q40&gt;=Inputs!$B$15,R40=1,S40=1,P40&lt;=L40),"PASS","FAIL"))</f>
        <v>PASS</v>
      </c>
    </row>
    <row r="41" customFormat="false" ht="15" hidden="false" customHeight="false" outlineLevel="0" collapsed="false">
      <c r="A41" s="14" t="s">
        <v>1018</v>
      </c>
      <c r="B41" s="14" t="s">
        <v>1019</v>
      </c>
      <c r="C41" s="14" t="s">
        <v>149</v>
      </c>
      <c r="D41" s="14" t="s">
        <v>171</v>
      </c>
      <c r="E41" s="14" t="s">
        <v>172</v>
      </c>
      <c r="F41" s="14" t="s">
        <v>164</v>
      </c>
      <c r="G41" s="14" t="n">
        <v>3</v>
      </c>
      <c r="H41" s="14" t="s">
        <v>158</v>
      </c>
      <c r="I41" s="14" t="s">
        <v>897</v>
      </c>
      <c r="J41" s="15" t="n">
        <f aca="false">IF(B41="SITE LOSS",IF(D41=C41,1,0),IF(B41="REGION LOSS",IF(E41=C41,1,0),0))</f>
        <v>0</v>
      </c>
      <c r="K41" s="15" t="n">
        <f aca="false">IF(B41="SITE LOSS",IF(COUNTIFS('Site Dockets'!$B$7:$B$24,C41,'Site Dockets'!$C$7:$C$24,F41)&gt;0,1,0),IF(B41="REGION LOSS",IF(COUNTIFS('Site Dockets'!$E$7:$E$24,C41,'Site Dockets'!$C$7:$C$24,F41)&gt;0,1,0),0))</f>
        <v>0</v>
      </c>
      <c r="L41" s="15" t="n">
        <f aca="false">IF(J41=1,0,Inputs!$B$11)</f>
        <v>100</v>
      </c>
      <c r="M41" s="15" t="n">
        <f aca="false">IF(J41=1,0,Inputs!$B$12)</f>
        <v>75</v>
      </c>
      <c r="N41" s="15" t="n">
        <f aca="false">IF(J41=1,0,IF(OR(AND(OR(B41="SITE LOSS",B41="REGION LOSS"),K41=1),AND(B41="ROLE COMPROMISE",H41=C41)),Inputs!$B$13,Inputs!$B$14))</f>
        <v>10</v>
      </c>
      <c r="O41" s="15" t="n">
        <f aca="false">IF(J41=1,0,Inputs!$B$13)</f>
        <v>20</v>
      </c>
      <c r="P41" s="15" t="n">
        <f aca="false">SUM(M41:N41)</f>
        <v>85</v>
      </c>
      <c r="Q41" s="15" t="n">
        <f aca="false">IF(J41=1,"",L41-P41)</f>
        <v>15</v>
      </c>
      <c r="R41" s="15" t="n">
        <f aca="false">IF(OR(J41=1,M41&lt;=Inputs!$B$12),1,0)</f>
        <v>1</v>
      </c>
      <c r="S41" s="15" t="n">
        <f aca="false">IF(OR(J41=1,N41&lt;=O41),1,0)</f>
        <v>1</v>
      </c>
      <c r="T41" s="15" t="str">
        <f aca="false">IF(J41=1,"OFFLINE",IF(AND(Q41&gt;=Inputs!$B$15,R41=1,S41=1,P41&lt;=L41),"PASS","FAIL"))</f>
        <v>PASS</v>
      </c>
    </row>
    <row r="42" customFormat="false" ht="15" hidden="false" customHeight="false" outlineLevel="0" collapsed="false">
      <c r="A42" s="14" t="s">
        <v>1018</v>
      </c>
      <c r="B42" s="14" t="s">
        <v>1019</v>
      </c>
      <c r="C42" s="14" t="s">
        <v>149</v>
      </c>
      <c r="D42" s="14" t="s">
        <v>171</v>
      </c>
      <c r="E42" s="14" t="s">
        <v>172</v>
      </c>
      <c r="F42" s="14" t="s">
        <v>164</v>
      </c>
      <c r="G42" s="14" t="n">
        <v>3</v>
      </c>
      <c r="H42" s="14" t="s">
        <v>158</v>
      </c>
      <c r="I42" s="14" t="s">
        <v>899</v>
      </c>
      <c r="J42" s="15" t="n">
        <f aca="false">IF(B42="SITE LOSS",IF(D42=C42,1,0),IF(B42="REGION LOSS",IF(E42=C42,1,0),0))</f>
        <v>0</v>
      </c>
      <c r="K42" s="15" t="n">
        <f aca="false">IF(B42="SITE LOSS",IF(COUNTIFS('Site Dockets'!$B$7:$B$24,C42,'Site Dockets'!$C$7:$C$24,F42)&gt;0,1,0),IF(B42="REGION LOSS",IF(COUNTIFS('Site Dockets'!$E$7:$E$24,C42,'Site Dockets'!$C$7:$C$24,F42)&gt;0,1,0),0))</f>
        <v>0</v>
      </c>
      <c r="L42" s="15" t="n">
        <f aca="false">IF(J42=1,0,Inputs!$B$11)</f>
        <v>100</v>
      </c>
      <c r="M42" s="15" t="n">
        <f aca="false">IF(J42=1,0,Inputs!$B$12)</f>
        <v>75</v>
      </c>
      <c r="N42" s="15" t="n">
        <f aca="false">IF(J42=1,0,IF(OR(AND(OR(B42="SITE LOSS",B42="REGION LOSS"),K42=1),AND(B42="ROLE COMPROMISE",H42=C42)),Inputs!$B$13,Inputs!$B$14))</f>
        <v>10</v>
      </c>
      <c r="O42" s="15" t="n">
        <f aca="false">IF(J42=1,0,Inputs!$B$13)</f>
        <v>20</v>
      </c>
      <c r="P42" s="15" t="n">
        <f aca="false">SUM(M42:N42)</f>
        <v>85</v>
      </c>
      <c r="Q42" s="15" t="n">
        <f aca="false">IF(J42=1,"",L42-P42)</f>
        <v>15</v>
      </c>
      <c r="R42" s="15" t="n">
        <f aca="false">IF(OR(J42=1,M42&lt;=Inputs!$B$12),1,0)</f>
        <v>1</v>
      </c>
      <c r="S42" s="15" t="n">
        <f aca="false">IF(OR(J42=1,N42&lt;=O42),1,0)</f>
        <v>1</v>
      </c>
      <c r="T42" s="15" t="str">
        <f aca="false">IF(J42=1,"OFFLINE",IF(AND(Q42&gt;=Inputs!$B$15,R42=1,S42=1,P42&lt;=L42),"PASS","FAIL"))</f>
        <v>PASS</v>
      </c>
    </row>
    <row r="43" customFormat="false" ht="15" hidden="false" customHeight="false" outlineLevel="0" collapsed="false">
      <c r="A43" s="14" t="s">
        <v>1018</v>
      </c>
      <c r="B43" s="14" t="s">
        <v>1019</v>
      </c>
      <c r="C43" s="14" t="s">
        <v>149</v>
      </c>
      <c r="D43" s="14" t="s">
        <v>174</v>
      </c>
      <c r="E43" s="14" t="s">
        <v>152</v>
      </c>
      <c r="F43" s="14" t="s">
        <v>175</v>
      </c>
      <c r="G43" s="14" t="n">
        <v>1</v>
      </c>
      <c r="H43" s="14" t="s">
        <v>154</v>
      </c>
      <c r="I43" s="14" t="s">
        <v>890</v>
      </c>
      <c r="J43" s="15" t="n">
        <f aca="false">IF(B43="SITE LOSS",IF(D43=C43,1,0),IF(B43="REGION LOSS",IF(E43=C43,1,0),0))</f>
        <v>0</v>
      </c>
      <c r="K43" s="15" t="n">
        <f aca="false">IF(B43="SITE LOSS",IF(COUNTIFS('Site Dockets'!$B$7:$B$24,C43,'Site Dockets'!$C$7:$C$24,F43)&gt;0,1,0),IF(B43="REGION LOSS",IF(COUNTIFS('Site Dockets'!$E$7:$E$24,C43,'Site Dockets'!$C$7:$C$24,F43)&gt;0,1,0),0))</f>
        <v>0</v>
      </c>
      <c r="L43" s="15" t="n">
        <f aca="false">IF(J43=1,0,Inputs!$B$11)</f>
        <v>100</v>
      </c>
      <c r="M43" s="15" t="n">
        <f aca="false">IF(J43=1,0,Inputs!$B$12)</f>
        <v>75</v>
      </c>
      <c r="N43" s="15" t="n">
        <f aca="false">IF(J43=1,0,IF(OR(AND(OR(B43="SITE LOSS",B43="REGION LOSS"),K43=1),AND(B43="ROLE COMPROMISE",H43=C43)),Inputs!$B$13,Inputs!$B$14))</f>
        <v>10</v>
      </c>
      <c r="O43" s="15" t="n">
        <f aca="false">IF(J43=1,0,Inputs!$B$13)</f>
        <v>20</v>
      </c>
      <c r="P43" s="15" t="n">
        <f aca="false">SUM(M43:N43)</f>
        <v>85</v>
      </c>
      <c r="Q43" s="15" t="n">
        <f aca="false">IF(J43=1,"",L43-P43)</f>
        <v>15</v>
      </c>
      <c r="R43" s="15" t="n">
        <f aca="false">IF(OR(J43=1,M43&lt;=Inputs!$B$12),1,0)</f>
        <v>1</v>
      </c>
      <c r="S43" s="15" t="n">
        <f aca="false">IF(OR(J43=1,N43&lt;=O43),1,0)</f>
        <v>1</v>
      </c>
      <c r="T43" s="15" t="str">
        <f aca="false">IF(J43=1,"OFFLINE",IF(AND(Q43&gt;=Inputs!$B$15,R43=1,S43=1,P43&lt;=L43),"PASS","FAIL"))</f>
        <v>PASS</v>
      </c>
    </row>
    <row r="44" customFormat="false" ht="15" hidden="false" customHeight="false" outlineLevel="0" collapsed="false">
      <c r="A44" s="14" t="s">
        <v>1018</v>
      </c>
      <c r="B44" s="14" t="s">
        <v>1019</v>
      </c>
      <c r="C44" s="14" t="s">
        <v>149</v>
      </c>
      <c r="D44" s="14" t="s">
        <v>174</v>
      </c>
      <c r="E44" s="14" t="s">
        <v>152</v>
      </c>
      <c r="F44" s="14" t="s">
        <v>175</v>
      </c>
      <c r="G44" s="14" t="n">
        <v>1</v>
      </c>
      <c r="H44" s="14" t="s">
        <v>154</v>
      </c>
      <c r="I44" s="14" t="s">
        <v>892</v>
      </c>
      <c r="J44" s="15" t="n">
        <f aca="false">IF(B44="SITE LOSS",IF(D44=C44,1,0),IF(B44="REGION LOSS",IF(E44=C44,1,0),0))</f>
        <v>0</v>
      </c>
      <c r="K44" s="15" t="n">
        <f aca="false">IF(B44="SITE LOSS",IF(COUNTIFS('Site Dockets'!$B$7:$B$24,C44,'Site Dockets'!$C$7:$C$24,F44)&gt;0,1,0),IF(B44="REGION LOSS",IF(COUNTIFS('Site Dockets'!$E$7:$E$24,C44,'Site Dockets'!$C$7:$C$24,F44)&gt;0,1,0),0))</f>
        <v>0</v>
      </c>
      <c r="L44" s="15" t="n">
        <f aca="false">IF(J44=1,0,Inputs!$B$11)</f>
        <v>100</v>
      </c>
      <c r="M44" s="15" t="n">
        <f aca="false">IF(J44=1,0,Inputs!$B$12)</f>
        <v>75</v>
      </c>
      <c r="N44" s="15" t="n">
        <f aca="false">IF(J44=1,0,IF(OR(AND(OR(B44="SITE LOSS",B44="REGION LOSS"),K44=1),AND(B44="ROLE COMPROMISE",H44=C44)),Inputs!$B$13,Inputs!$B$14))</f>
        <v>10</v>
      </c>
      <c r="O44" s="15" t="n">
        <f aca="false">IF(J44=1,0,Inputs!$B$13)</f>
        <v>20</v>
      </c>
      <c r="P44" s="15" t="n">
        <f aca="false">SUM(M44:N44)</f>
        <v>85</v>
      </c>
      <c r="Q44" s="15" t="n">
        <f aca="false">IF(J44=1,"",L44-P44)</f>
        <v>15</v>
      </c>
      <c r="R44" s="15" t="n">
        <f aca="false">IF(OR(J44=1,M44&lt;=Inputs!$B$12),1,0)</f>
        <v>1</v>
      </c>
      <c r="S44" s="15" t="n">
        <f aca="false">IF(OR(J44=1,N44&lt;=O44),1,0)</f>
        <v>1</v>
      </c>
      <c r="T44" s="15" t="str">
        <f aca="false">IF(J44=1,"OFFLINE",IF(AND(Q44&gt;=Inputs!$B$15,R44=1,S44=1,P44&lt;=L44),"PASS","FAIL"))</f>
        <v>PASS</v>
      </c>
    </row>
    <row r="45" customFormat="false" ht="15" hidden="false" customHeight="false" outlineLevel="0" collapsed="false">
      <c r="A45" s="14" t="s">
        <v>1018</v>
      </c>
      <c r="B45" s="14" t="s">
        <v>1019</v>
      </c>
      <c r="C45" s="14" t="s">
        <v>149</v>
      </c>
      <c r="D45" s="14" t="s">
        <v>174</v>
      </c>
      <c r="E45" s="14" t="s">
        <v>152</v>
      </c>
      <c r="F45" s="14" t="s">
        <v>175</v>
      </c>
      <c r="G45" s="14" t="n">
        <v>1</v>
      </c>
      <c r="H45" s="14" t="s">
        <v>154</v>
      </c>
      <c r="I45" s="14" t="s">
        <v>811</v>
      </c>
      <c r="J45" s="15" t="n">
        <f aca="false">IF(B45="SITE LOSS",IF(D45=C45,1,0),IF(B45="REGION LOSS",IF(E45=C45,1,0),0))</f>
        <v>0</v>
      </c>
      <c r="K45" s="15" t="n">
        <f aca="false">IF(B45="SITE LOSS",IF(COUNTIFS('Site Dockets'!$B$7:$B$24,C45,'Site Dockets'!$C$7:$C$24,F45)&gt;0,1,0),IF(B45="REGION LOSS",IF(COUNTIFS('Site Dockets'!$E$7:$E$24,C45,'Site Dockets'!$C$7:$C$24,F45)&gt;0,1,0),0))</f>
        <v>0</v>
      </c>
      <c r="L45" s="15" t="n">
        <f aca="false">IF(J45=1,0,Inputs!$B$11)</f>
        <v>100</v>
      </c>
      <c r="M45" s="15" t="n">
        <f aca="false">IF(J45=1,0,Inputs!$B$12)</f>
        <v>75</v>
      </c>
      <c r="N45" s="15" t="n">
        <f aca="false">IF(J45=1,0,IF(OR(AND(OR(B45="SITE LOSS",B45="REGION LOSS"),K45=1),AND(B45="ROLE COMPROMISE",H45=C45)),Inputs!$B$13,Inputs!$B$14))</f>
        <v>10</v>
      </c>
      <c r="O45" s="15" t="n">
        <f aca="false">IF(J45=1,0,Inputs!$B$13)</f>
        <v>20</v>
      </c>
      <c r="P45" s="15" t="n">
        <f aca="false">SUM(M45:N45)</f>
        <v>85</v>
      </c>
      <c r="Q45" s="15" t="n">
        <f aca="false">IF(J45=1,"",L45-P45)</f>
        <v>15</v>
      </c>
      <c r="R45" s="15" t="n">
        <f aca="false">IF(OR(J45=1,M45&lt;=Inputs!$B$12),1,0)</f>
        <v>1</v>
      </c>
      <c r="S45" s="15" t="n">
        <f aca="false">IF(OR(J45=1,N45&lt;=O45),1,0)</f>
        <v>1</v>
      </c>
      <c r="T45" s="15" t="str">
        <f aca="false">IF(J45=1,"OFFLINE",IF(AND(Q45&gt;=Inputs!$B$15,R45=1,S45=1,P45&lt;=L45),"PASS","FAIL"))</f>
        <v>PASS</v>
      </c>
    </row>
    <row r="46" customFormat="false" ht="15" hidden="false" customHeight="false" outlineLevel="0" collapsed="false">
      <c r="A46" s="14" t="s">
        <v>1018</v>
      </c>
      <c r="B46" s="14" t="s">
        <v>1019</v>
      </c>
      <c r="C46" s="14" t="s">
        <v>149</v>
      </c>
      <c r="D46" s="14" t="s">
        <v>174</v>
      </c>
      <c r="E46" s="14" t="s">
        <v>152</v>
      </c>
      <c r="F46" s="14" t="s">
        <v>175</v>
      </c>
      <c r="G46" s="14" t="n">
        <v>1</v>
      </c>
      <c r="H46" s="14" t="s">
        <v>154</v>
      </c>
      <c r="I46" s="14" t="s">
        <v>895</v>
      </c>
      <c r="J46" s="15" t="n">
        <f aca="false">IF(B46="SITE LOSS",IF(D46=C46,1,0),IF(B46="REGION LOSS",IF(E46=C46,1,0),0))</f>
        <v>0</v>
      </c>
      <c r="K46" s="15" t="n">
        <f aca="false">IF(B46="SITE LOSS",IF(COUNTIFS('Site Dockets'!$B$7:$B$24,C46,'Site Dockets'!$C$7:$C$24,F46)&gt;0,1,0),IF(B46="REGION LOSS",IF(COUNTIFS('Site Dockets'!$E$7:$E$24,C46,'Site Dockets'!$C$7:$C$24,F46)&gt;0,1,0),0))</f>
        <v>0</v>
      </c>
      <c r="L46" s="15" t="n">
        <f aca="false">IF(J46=1,0,Inputs!$B$11)</f>
        <v>100</v>
      </c>
      <c r="M46" s="15" t="n">
        <f aca="false">IF(J46=1,0,Inputs!$B$12)</f>
        <v>75</v>
      </c>
      <c r="N46" s="15" t="n">
        <f aca="false">IF(J46=1,0,IF(OR(AND(OR(B46="SITE LOSS",B46="REGION LOSS"),K46=1),AND(B46="ROLE COMPROMISE",H46=C46)),Inputs!$B$13,Inputs!$B$14))</f>
        <v>10</v>
      </c>
      <c r="O46" s="15" t="n">
        <f aca="false">IF(J46=1,0,Inputs!$B$13)</f>
        <v>20</v>
      </c>
      <c r="P46" s="15" t="n">
        <f aca="false">SUM(M46:N46)</f>
        <v>85</v>
      </c>
      <c r="Q46" s="15" t="n">
        <f aca="false">IF(J46=1,"",L46-P46)</f>
        <v>15</v>
      </c>
      <c r="R46" s="15" t="n">
        <f aca="false">IF(OR(J46=1,M46&lt;=Inputs!$B$12),1,0)</f>
        <v>1</v>
      </c>
      <c r="S46" s="15" t="n">
        <f aca="false">IF(OR(J46=1,N46&lt;=O46),1,0)</f>
        <v>1</v>
      </c>
      <c r="T46" s="15" t="str">
        <f aca="false">IF(J46=1,"OFFLINE",IF(AND(Q46&gt;=Inputs!$B$15,R46=1,S46=1,P46&lt;=L46),"PASS","FAIL"))</f>
        <v>PASS</v>
      </c>
    </row>
    <row r="47" customFormat="false" ht="15" hidden="false" customHeight="false" outlineLevel="0" collapsed="false">
      <c r="A47" s="14" t="s">
        <v>1018</v>
      </c>
      <c r="B47" s="14" t="s">
        <v>1019</v>
      </c>
      <c r="C47" s="14" t="s">
        <v>149</v>
      </c>
      <c r="D47" s="14" t="s">
        <v>174</v>
      </c>
      <c r="E47" s="14" t="s">
        <v>152</v>
      </c>
      <c r="F47" s="14" t="s">
        <v>175</v>
      </c>
      <c r="G47" s="14" t="n">
        <v>1</v>
      </c>
      <c r="H47" s="14" t="s">
        <v>154</v>
      </c>
      <c r="I47" s="14" t="s">
        <v>897</v>
      </c>
      <c r="J47" s="15" t="n">
        <f aca="false">IF(B47="SITE LOSS",IF(D47=C47,1,0),IF(B47="REGION LOSS",IF(E47=C47,1,0),0))</f>
        <v>0</v>
      </c>
      <c r="K47" s="15" t="n">
        <f aca="false">IF(B47="SITE LOSS",IF(COUNTIFS('Site Dockets'!$B$7:$B$24,C47,'Site Dockets'!$C$7:$C$24,F47)&gt;0,1,0),IF(B47="REGION LOSS",IF(COUNTIFS('Site Dockets'!$E$7:$E$24,C47,'Site Dockets'!$C$7:$C$24,F47)&gt;0,1,0),0))</f>
        <v>0</v>
      </c>
      <c r="L47" s="15" t="n">
        <f aca="false">IF(J47=1,0,Inputs!$B$11)</f>
        <v>100</v>
      </c>
      <c r="M47" s="15" t="n">
        <f aca="false">IF(J47=1,0,Inputs!$B$12)</f>
        <v>75</v>
      </c>
      <c r="N47" s="15" t="n">
        <f aca="false">IF(J47=1,0,IF(OR(AND(OR(B47="SITE LOSS",B47="REGION LOSS"),K47=1),AND(B47="ROLE COMPROMISE",H47=C47)),Inputs!$B$13,Inputs!$B$14))</f>
        <v>10</v>
      </c>
      <c r="O47" s="15" t="n">
        <f aca="false">IF(J47=1,0,Inputs!$B$13)</f>
        <v>20</v>
      </c>
      <c r="P47" s="15" t="n">
        <f aca="false">SUM(M47:N47)</f>
        <v>85</v>
      </c>
      <c r="Q47" s="15" t="n">
        <f aca="false">IF(J47=1,"",L47-P47)</f>
        <v>15</v>
      </c>
      <c r="R47" s="15" t="n">
        <f aca="false">IF(OR(J47=1,M47&lt;=Inputs!$B$12),1,0)</f>
        <v>1</v>
      </c>
      <c r="S47" s="15" t="n">
        <f aca="false">IF(OR(J47=1,N47&lt;=O47),1,0)</f>
        <v>1</v>
      </c>
      <c r="T47" s="15" t="str">
        <f aca="false">IF(J47=1,"OFFLINE",IF(AND(Q47&gt;=Inputs!$B$15,R47=1,S47=1,P47&lt;=L47),"PASS","FAIL"))</f>
        <v>PASS</v>
      </c>
    </row>
    <row r="48" customFormat="false" ht="15" hidden="false" customHeight="false" outlineLevel="0" collapsed="false">
      <c r="A48" s="14" t="s">
        <v>1018</v>
      </c>
      <c r="B48" s="14" t="s">
        <v>1019</v>
      </c>
      <c r="C48" s="14" t="s">
        <v>149</v>
      </c>
      <c r="D48" s="14" t="s">
        <v>174</v>
      </c>
      <c r="E48" s="14" t="s">
        <v>152</v>
      </c>
      <c r="F48" s="14" t="s">
        <v>175</v>
      </c>
      <c r="G48" s="14" t="n">
        <v>1</v>
      </c>
      <c r="H48" s="14" t="s">
        <v>154</v>
      </c>
      <c r="I48" s="14" t="s">
        <v>899</v>
      </c>
      <c r="J48" s="15" t="n">
        <f aca="false">IF(B48="SITE LOSS",IF(D48=C48,1,0),IF(B48="REGION LOSS",IF(E48=C48,1,0),0))</f>
        <v>0</v>
      </c>
      <c r="K48" s="15" t="n">
        <f aca="false">IF(B48="SITE LOSS",IF(COUNTIFS('Site Dockets'!$B$7:$B$24,C48,'Site Dockets'!$C$7:$C$24,F48)&gt;0,1,0),IF(B48="REGION LOSS",IF(COUNTIFS('Site Dockets'!$E$7:$E$24,C48,'Site Dockets'!$C$7:$C$24,F48)&gt;0,1,0),0))</f>
        <v>0</v>
      </c>
      <c r="L48" s="15" t="n">
        <f aca="false">IF(J48=1,0,Inputs!$B$11)</f>
        <v>100</v>
      </c>
      <c r="M48" s="15" t="n">
        <f aca="false">IF(J48=1,0,Inputs!$B$12)</f>
        <v>75</v>
      </c>
      <c r="N48" s="15" t="n">
        <f aca="false">IF(J48=1,0,IF(OR(AND(OR(B48="SITE LOSS",B48="REGION LOSS"),K48=1),AND(B48="ROLE COMPROMISE",H48=C48)),Inputs!$B$13,Inputs!$B$14))</f>
        <v>10</v>
      </c>
      <c r="O48" s="15" t="n">
        <f aca="false">IF(J48=1,0,Inputs!$B$13)</f>
        <v>20</v>
      </c>
      <c r="P48" s="15" t="n">
        <f aca="false">SUM(M48:N48)</f>
        <v>85</v>
      </c>
      <c r="Q48" s="15" t="n">
        <f aca="false">IF(J48=1,"",L48-P48)</f>
        <v>15</v>
      </c>
      <c r="R48" s="15" t="n">
        <f aca="false">IF(OR(J48=1,M48&lt;=Inputs!$B$12),1,0)</f>
        <v>1</v>
      </c>
      <c r="S48" s="15" t="n">
        <f aca="false">IF(OR(J48=1,N48&lt;=O48),1,0)</f>
        <v>1</v>
      </c>
      <c r="T48" s="15" t="str">
        <f aca="false">IF(J48=1,"OFFLINE",IF(AND(Q48&gt;=Inputs!$B$15,R48=1,S48=1,P48&lt;=L48),"PASS","FAIL"))</f>
        <v>PASS</v>
      </c>
    </row>
    <row r="49" customFormat="false" ht="15" hidden="false" customHeight="false" outlineLevel="0" collapsed="false">
      <c r="A49" s="14" t="s">
        <v>1018</v>
      </c>
      <c r="B49" s="14" t="s">
        <v>1019</v>
      </c>
      <c r="C49" s="14" t="s">
        <v>149</v>
      </c>
      <c r="D49" s="14" t="s">
        <v>178</v>
      </c>
      <c r="E49" s="14" t="s">
        <v>169</v>
      </c>
      <c r="F49" s="14" t="s">
        <v>175</v>
      </c>
      <c r="G49" s="14" t="n">
        <v>2</v>
      </c>
      <c r="H49" s="14" t="s">
        <v>153</v>
      </c>
      <c r="I49" s="14" t="s">
        <v>890</v>
      </c>
      <c r="J49" s="15" t="n">
        <f aca="false">IF(B49="SITE LOSS",IF(D49=C49,1,0),IF(B49="REGION LOSS",IF(E49=C49,1,0),0))</f>
        <v>0</v>
      </c>
      <c r="K49" s="15" t="n">
        <f aca="false">IF(B49="SITE LOSS",IF(COUNTIFS('Site Dockets'!$B$7:$B$24,C49,'Site Dockets'!$C$7:$C$24,F49)&gt;0,1,0),IF(B49="REGION LOSS",IF(COUNTIFS('Site Dockets'!$E$7:$E$24,C49,'Site Dockets'!$C$7:$C$24,F49)&gt;0,1,0),0))</f>
        <v>0</v>
      </c>
      <c r="L49" s="15" t="n">
        <f aca="false">IF(J49=1,0,Inputs!$B$11)</f>
        <v>100</v>
      </c>
      <c r="M49" s="15" t="n">
        <f aca="false">IF(J49=1,0,Inputs!$B$12)</f>
        <v>75</v>
      </c>
      <c r="N49" s="15" t="n">
        <f aca="false">IF(J49=1,0,IF(OR(AND(OR(B49="SITE LOSS",B49="REGION LOSS"),K49=1),AND(B49="ROLE COMPROMISE",H49=C49)),Inputs!$B$13,Inputs!$B$14))</f>
        <v>10</v>
      </c>
      <c r="O49" s="15" t="n">
        <f aca="false">IF(J49=1,0,Inputs!$B$13)</f>
        <v>20</v>
      </c>
      <c r="P49" s="15" t="n">
        <f aca="false">SUM(M49:N49)</f>
        <v>85</v>
      </c>
      <c r="Q49" s="15" t="n">
        <f aca="false">IF(J49=1,"",L49-P49)</f>
        <v>15</v>
      </c>
      <c r="R49" s="15" t="n">
        <f aca="false">IF(OR(J49=1,M49&lt;=Inputs!$B$12),1,0)</f>
        <v>1</v>
      </c>
      <c r="S49" s="15" t="n">
        <f aca="false">IF(OR(J49=1,N49&lt;=O49),1,0)</f>
        <v>1</v>
      </c>
      <c r="T49" s="15" t="str">
        <f aca="false">IF(J49=1,"OFFLINE",IF(AND(Q49&gt;=Inputs!$B$15,R49=1,S49=1,P49&lt;=L49),"PASS","FAIL"))</f>
        <v>PASS</v>
      </c>
    </row>
    <row r="50" customFormat="false" ht="15" hidden="false" customHeight="false" outlineLevel="0" collapsed="false">
      <c r="A50" s="14" t="s">
        <v>1018</v>
      </c>
      <c r="B50" s="14" t="s">
        <v>1019</v>
      </c>
      <c r="C50" s="14" t="s">
        <v>149</v>
      </c>
      <c r="D50" s="14" t="s">
        <v>178</v>
      </c>
      <c r="E50" s="14" t="s">
        <v>169</v>
      </c>
      <c r="F50" s="14" t="s">
        <v>175</v>
      </c>
      <c r="G50" s="14" t="n">
        <v>2</v>
      </c>
      <c r="H50" s="14" t="s">
        <v>153</v>
      </c>
      <c r="I50" s="14" t="s">
        <v>892</v>
      </c>
      <c r="J50" s="15" t="n">
        <f aca="false">IF(B50="SITE LOSS",IF(D50=C50,1,0),IF(B50="REGION LOSS",IF(E50=C50,1,0),0))</f>
        <v>0</v>
      </c>
      <c r="K50" s="15" t="n">
        <f aca="false">IF(B50="SITE LOSS",IF(COUNTIFS('Site Dockets'!$B$7:$B$24,C50,'Site Dockets'!$C$7:$C$24,F50)&gt;0,1,0),IF(B50="REGION LOSS",IF(COUNTIFS('Site Dockets'!$E$7:$E$24,C50,'Site Dockets'!$C$7:$C$24,F50)&gt;0,1,0),0))</f>
        <v>0</v>
      </c>
      <c r="L50" s="15" t="n">
        <f aca="false">IF(J50=1,0,Inputs!$B$11)</f>
        <v>100</v>
      </c>
      <c r="M50" s="15" t="n">
        <f aca="false">IF(J50=1,0,Inputs!$B$12)</f>
        <v>75</v>
      </c>
      <c r="N50" s="15" t="n">
        <f aca="false">IF(J50=1,0,IF(OR(AND(OR(B50="SITE LOSS",B50="REGION LOSS"),K50=1),AND(B50="ROLE COMPROMISE",H50=C50)),Inputs!$B$13,Inputs!$B$14))</f>
        <v>10</v>
      </c>
      <c r="O50" s="15" t="n">
        <f aca="false">IF(J50=1,0,Inputs!$B$13)</f>
        <v>20</v>
      </c>
      <c r="P50" s="15" t="n">
        <f aca="false">SUM(M50:N50)</f>
        <v>85</v>
      </c>
      <c r="Q50" s="15" t="n">
        <f aca="false">IF(J50=1,"",L50-P50)</f>
        <v>15</v>
      </c>
      <c r="R50" s="15" t="n">
        <f aca="false">IF(OR(J50=1,M50&lt;=Inputs!$B$12),1,0)</f>
        <v>1</v>
      </c>
      <c r="S50" s="15" t="n">
        <f aca="false">IF(OR(J50=1,N50&lt;=O50),1,0)</f>
        <v>1</v>
      </c>
      <c r="T50" s="15" t="str">
        <f aca="false">IF(J50=1,"OFFLINE",IF(AND(Q50&gt;=Inputs!$B$15,R50=1,S50=1,P50&lt;=L50),"PASS","FAIL"))</f>
        <v>PASS</v>
      </c>
    </row>
    <row r="51" customFormat="false" ht="15" hidden="false" customHeight="false" outlineLevel="0" collapsed="false">
      <c r="A51" s="14" t="s">
        <v>1018</v>
      </c>
      <c r="B51" s="14" t="s">
        <v>1019</v>
      </c>
      <c r="C51" s="14" t="s">
        <v>149</v>
      </c>
      <c r="D51" s="14" t="s">
        <v>178</v>
      </c>
      <c r="E51" s="14" t="s">
        <v>169</v>
      </c>
      <c r="F51" s="14" t="s">
        <v>175</v>
      </c>
      <c r="G51" s="14" t="n">
        <v>2</v>
      </c>
      <c r="H51" s="14" t="s">
        <v>153</v>
      </c>
      <c r="I51" s="14" t="s">
        <v>811</v>
      </c>
      <c r="J51" s="15" t="n">
        <f aca="false">IF(B51="SITE LOSS",IF(D51=C51,1,0),IF(B51="REGION LOSS",IF(E51=C51,1,0),0))</f>
        <v>0</v>
      </c>
      <c r="K51" s="15" t="n">
        <f aca="false">IF(B51="SITE LOSS",IF(COUNTIFS('Site Dockets'!$B$7:$B$24,C51,'Site Dockets'!$C$7:$C$24,F51)&gt;0,1,0),IF(B51="REGION LOSS",IF(COUNTIFS('Site Dockets'!$E$7:$E$24,C51,'Site Dockets'!$C$7:$C$24,F51)&gt;0,1,0),0))</f>
        <v>0</v>
      </c>
      <c r="L51" s="15" t="n">
        <f aca="false">IF(J51=1,0,Inputs!$B$11)</f>
        <v>100</v>
      </c>
      <c r="M51" s="15" t="n">
        <f aca="false">IF(J51=1,0,Inputs!$B$12)</f>
        <v>75</v>
      </c>
      <c r="N51" s="15" t="n">
        <f aca="false">IF(J51=1,0,IF(OR(AND(OR(B51="SITE LOSS",B51="REGION LOSS"),K51=1),AND(B51="ROLE COMPROMISE",H51=C51)),Inputs!$B$13,Inputs!$B$14))</f>
        <v>10</v>
      </c>
      <c r="O51" s="15" t="n">
        <f aca="false">IF(J51=1,0,Inputs!$B$13)</f>
        <v>20</v>
      </c>
      <c r="P51" s="15" t="n">
        <f aca="false">SUM(M51:N51)</f>
        <v>85</v>
      </c>
      <c r="Q51" s="15" t="n">
        <f aca="false">IF(J51=1,"",L51-P51)</f>
        <v>15</v>
      </c>
      <c r="R51" s="15" t="n">
        <f aca="false">IF(OR(J51=1,M51&lt;=Inputs!$B$12),1,0)</f>
        <v>1</v>
      </c>
      <c r="S51" s="15" t="n">
        <f aca="false">IF(OR(J51=1,N51&lt;=O51),1,0)</f>
        <v>1</v>
      </c>
      <c r="T51" s="15" t="str">
        <f aca="false">IF(J51=1,"OFFLINE",IF(AND(Q51&gt;=Inputs!$B$15,R51=1,S51=1,P51&lt;=L51),"PASS","FAIL"))</f>
        <v>PASS</v>
      </c>
    </row>
    <row r="52" customFormat="false" ht="15" hidden="false" customHeight="false" outlineLevel="0" collapsed="false">
      <c r="A52" s="14" t="s">
        <v>1018</v>
      </c>
      <c r="B52" s="14" t="s">
        <v>1019</v>
      </c>
      <c r="C52" s="14" t="s">
        <v>149</v>
      </c>
      <c r="D52" s="14" t="s">
        <v>178</v>
      </c>
      <c r="E52" s="14" t="s">
        <v>169</v>
      </c>
      <c r="F52" s="14" t="s">
        <v>175</v>
      </c>
      <c r="G52" s="14" t="n">
        <v>2</v>
      </c>
      <c r="H52" s="14" t="s">
        <v>153</v>
      </c>
      <c r="I52" s="14" t="s">
        <v>895</v>
      </c>
      <c r="J52" s="15" t="n">
        <f aca="false">IF(B52="SITE LOSS",IF(D52=C52,1,0),IF(B52="REGION LOSS",IF(E52=C52,1,0),0))</f>
        <v>0</v>
      </c>
      <c r="K52" s="15" t="n">
        <f aca="false">IF(B52="SITE LOSS",IF(COUNTIFS('Site Dockets'!$B$7:$B$24,C52,'Site Dockets'!$C$7:$C$24,F52)&gt;0,1,0),IF(B52="REGION LOSS",IF(COUNTIFS('Site Dockets'!$E$7:$E$24,C52,'Site Dockets'!$C$7:$C$24,F52)&gt;0,1,0),0))</f>
        <v>0</v>
      </c>
      <c r="L52" s="15" t="n">
        <f aca="false">IF(J52=1,0,Inputs!$B$11)</f>
        <v>100</v>
      </c>
      <c r="M52" s="15" t="n">
        <f aca="false">IF(J52=1,0,Inputs!$B$12)</f>
        <v>75</v>
      </c>
      <c r="N52" s="15" t="n">
        <f aca="false">IF(J52=1,0,IF(OR(AND(OR(B52="SITE LOSS",B52="REGION LOSS"),K52=1),AND(B52="ROLE COMPROMISE",H52=C52)),Inputs!$B$13,Inputs!$B$14))</f>
        <v>10</v>
      </c>
      <c r="O52" s="15" t="n">
        <f aca="false">IF(J52=1,0,Inputs!$B$13)</f>
        <v>20</v>
      </c>
      <c r="P52" s="15" t="n">
        <f aca="false">SUM(M52:N52)</f>
        <v>85</v>
      </c>
      <c r="Q52" s="15" t="n">
        <f aca="false">IF(J52=1,"",L52-P52)</f>
        <v>15</v>
      </c>
      <c r="R52" s="15" t="n">
        <f aca="false">IF(OR(J52=1,M52&lt;=Inputs!$B$12),1,0)</f>
        <v>1</v>
      </c>
      <c r="S52" s="15" t="n">
        <f aca="false">IF(OR(J52=1,N52&lt;=O52),1,0)</f>
        <v>1</v>
      </c>
      <c r="T52" s="15" t="str">
        <f aca="false">IF(J52=1,"OFFLINE",IF(AND(Q52&gt;=Inputs!$B$15,R52=1,S52=1,P52&lt;=L52),"PASS","FAIL"))</f>
        <v>PASS</v>
      </c>
    </row>
    <row r="53" customFormat="false" ht="15" hidden="false" customHeight="false" outlineLevel="0" collapsed="false">
      <c r="A53" s="14" t="s">
        <v>1018</v>
      </c>
      <c r="B53" s="14" t="s">
        <v>1019</v>
      </c>
      <c r="C53" s="14" t="s">
        <v>149</v>
      </c>
      <c r="D53" s="14" t="s">
        <v>178</v>
      </c>
      <c r="E53" s="14" t="s">
        <v>169</v>
      </c>
      <c r="F53" s="14" t="s">
        <v>175</v>
      </c>
      <c r="G53" s="14" t="n">
        <v>2</v>
      </c>
      <c r="H53" s="14" t="s">
        <v>153</v>
      </c>
      <c r="I53" s="14" t="s">
        <v>897</v>
      </c>
      <c r="J53" s="15" t="n">
        <f aca="false">IF(B53="SITE LOSS",IF(D53=C53,1,0),IF(B53="REGION LOSS",IF(E53=C53,1,0),0))</f>
        <v>0</v>
      </c>
      <c r="K53" s="15" t="n">
        <f aca="false">IF(B53="SITE LOSS",IF(COUNTIFS('Site Dockets'!$B$7:$B$24,C53,'Site Dockets'!$C$7:$C$24,F53)&gt;0,1,0),IF(B53="REGION LOSS",IF(COUNTIFS('Site Dockets'!$E$7:$E$24,C53,'Site Dockets'!$C$7:$C$24,F53)&gt;0,1,0),0))</f>
        <v>0</v>
      </c>
      <c r="L53" s="15" t="n">
        <f aca="false">IF(J53=1,0,Inputs!$B$11)</f>
        <v>100</v>
      </c>
      <c r="M53" s="15" t="n">
        <f aca="false">IF(J53=1,0,Inputs!$B$12)</f>
        <v>75</v>
      </c>
      <c r="N53" s="15" t="n">
        <f aca="false">IF(J53=1,0,IF(OR(AND(OR(B53="SITE LOSS",B53="REGION LOSS"),K53=1),AND(B53="ROLE COMPROMISE",H53=C53)),Inputs!$B$13,Inputs!$B$14))</f>
        <v>10</v>
      </c>
      <c r="O53" s="15" t="n">
        <f aca="false">IF(J53=1,0,Inputs!$B$13)</f>
        <v>20</v>
      </c>
      <c r="P53" s="15" t="n">
        <f aca="false">SUM(M53:N53)</f>
        <v>85</v>
      </c>
      <c r="Q53" s="15" t="n">
        <f aca="false">IF(J53=1,"",L53-P53)</f>
        <v>15</v>
      </c>
      <c r="R53" s="15" t="n">
        <f aca="false">IF(OR(J53=1,M53&lt;=Inputs!$B$12),1,0)</f>
        <v>1</v>
      </c>
      <c r="S53" s="15" t="n">
        <f aca="false">IF(OR(J53=1,N53&lt;=O53),1,0)</f>
        <v>1</v>
      </c>
      <c r="T53" s="15" t="str">
        <f aca="false">IF(J53=1,"OFFLINE",IF(AND(Q53&gt;=Inputs!$B$15,R53=1,S53=1,P53&lt;=L53),"PASS","FAIL"))</f>
        <v>PASS</v>
      </c>
    </row>
    <row r="54" customFormat="false" ht="15" hidden="false" customHeight="false" outlineLevel="0" collapsed="false">
      <c r="A54" s="14" t="s">
        <v>1018</v>
      </c>
      <c r="B54" s="14" t="s">
        <v>1019</v>
      </c>
      <c r="C54" s="14" t="s">
        <v>149</v>
      </c>
      <c r="D54" s="14" t="s">
        <v>178</v>
      </c>
      <c r="E54" s="14" t="s">
        <v>169</v>
      </c>
      <c r="F54" s="14" t="s">
        <v>175</v>
      </c>
      <c r="G54" s="14" t="n">
        <v>2</v>
      </c>
      <c r="H54" s="14" t="s">
        <v>153</v>
      </c>
      <c r="I54" s="14" t="s">
        <v>899</v>
      </c>
      <c r="J54" s="15" t="n">
        <f aca="false">IF(B54="SITE LOSS",IF(D54=C54,1,0),IF(B54="REGION LOSS",IF(E54=C54,1,0),0))</f>
        <v>0</v>
      </c>
      <c r="K54" s="15" t="n">
        <f aca="false">IF(B54="SITE LOSS",IF(COUNTIFS('Site Dockets'!$B$7:$B$24,C54,'Site Dockets'!$C$7:$C$24,F54)&gt;0,1,0),IF(B54="REGION LOSS",IF(COUNTIFS('Site Dockets'!$E$7:$E$24,C54,'Site Dockets'!$C$7:$C$24,F54)&gt;0,1,0),0))</f>
        <v>0</v>
      </c>
      <c r="L54" s="15" t="n">
        <f aca="false">IF(J54=1,0,Inputs!$B$11)</f>
        <v>100</v>
      </c>
      <c r="M54" s="15" t="n">
        <f aca="false">IF(J54=1,0,Inputs!$B$12)</f>
        <v>75</v>
      </c>
      <c r="N54" s="15" t="n">
        <f aca="false">IF(J54=1,0,IF(OR(AND(OR(B54="SITE LOSS",B54="REGION LOSS"),K54=1),AND(B54="ROLE COMPROMISE",H54=C54)),Inputs!$B$13,Inputs!$B$14))</f>
        <v>10</v>
      </c>
      <c r="O54" s="15" t="n">
        <f aca="false">IF(J54=1,0,Inputs!$B$13)</f>
        <v>20</v>
      </c>
      <c r="P54" s="15" t="n">
        <f aca="false">SUM(M54:N54)</f>
        <v>85</v>
      </c>
      <c r="Q54" s="15" t="n">
        <f aca="false">IF(J54=1,"",L54-P54)</f>
        <v>15</v>
      </c>
      <c r="R54" s="15" t="n">
        <f aca="false">IF(OR(J54=1,M54&lt;=Inputs!$B$12),1,0)</f>
        <v>1</v>
      </c>
      <c r="S54" s="15" t="n">
        <f aca="false">IF(OR(J54=1,N54&lt;=O54),1,0)</f>
        <v>1</v>
      </c>
      <c r="T54" s="15" t="str">
        <f aca="false">IF(J54=1,"OFFLINE",IF(AND(Q54&gt;=Inputs!$B$15,R54=1,S54=1,P54&lt;=L54),"PASS","FAIL"))</f>
        <v>PASS</v>
      </c>
    </row>
    <row r="55" customFormat="false" ht="15" hidden="false" customHeight="false" outlineLevel="0" collapsed="false">
      <c r="A55" s="14" t="s">
        <v>1018</v>
      </c>
      <c r="B55" s="14" t="s">
        <v>1019</v>
      </c>
      <c r="C55" s="14" t="s">
        <v>149</v>
      </c>
      <c r="D55" s="14" t="s">
        <v>180</v>
      </c>
      <c r="E55" s="14" t="s">
        <v>161</v>
      </c>
      <c r="F55" s="14" t="s">
        <v>175</v>
      </c>
      <c r="G55" s="14" t="n">
        <v>3</v>
      </c>
      <c r="H55" s="14" t="s">
        <v>158</v>
      </c>
      <c r="I55" s="14" t="s">
        <v>890</v>
      </c>
      <c r="J55" s="15" t="n">
        <f aca="false">IF(B55="SITE LOSS",IF(D55=C55,1,0),IF(B55="REGION LOSS",IF(E55=C55,1,0),0))</f>
        <v>0</v>
      </c>
      <c r="K55" s="15" t="n">
        <f aca="false">IF(B55="SITE LOSS",IF(COUNTIFS('Site Dockets'!$B$7:$B$24,C55,'Site Dockets'!$C$7:$C$24,F55)&gt;0,1,0),IF(B55="REGION LOSS",IF(COUNTIFS('Site Dockets'!$E$7:$E$24,C55,'Site Dockets'!$C$7:$C$24,F55)&gt;0,1,0),0))</f>
        <v>0</v>
      </c>
      <c r="L55" s="15" t="n">
        <f aca="false">IF(J55=1,0,Inputs!$B$11)</f>
        <v>100</v>
      </c>
      <c r="M55" s="15" t="n">
        <f aca="false">IF(J55=1,0,Inputs!$B$12)</f>
        <v>75</v>
      </c>
      <c r="N55" s="15" t="n">
        <f aca="false">IF(J55=1,0,IF(OR(AND(OR(B55="SITE LOSS",B55="REGION LOSS"),K55=1),AND(B55="ROLE COMPROMISE",H55=C55)),Inputs!$B$13,Inputs!$B$14))</f>
        <v>10</v>
      </c>
      <c r="O55" s="15" t="n">
        <f aca="false">IF(J55=1,0,Inputs!$B$13)</f>
        <v>20</v>
      </c>
      <c r="P55" s="15" t="n">
        <f aca="false">SUM(M55:N55)</f>
        <v>85</v>
      </c>
      <c r="Q55" s="15" t="n">
        <f aca="false">IF(J55=1,"",L55-P55)</f>
        <v>15</v>
      </c>
      <c r="R55" s="15" t="n">
        <f aca="false">IF(OR(J55=1,M55&lt;=Inputs!$B$12),1,0)</f>
        <v>1</v>
      </c>
      <c r="S55" s="15" t="n">
        <f aca="false">IF(OR(J55=1,N55&lt;=O55),1,0)</f>
        <v>1</v>
      </c>
      <c r="T55" s="15" t="str">
        <f aca="false">IF(J55=1,"OFFLINE",IF(AND(Q55&gt;=Inputs!$B$15,R55=1,S55=1,P55&lt;=L55),"PASS","FAIL"))</f>
        <v>PASS</v>
      </c>
    </row>
    <row r="56" customFormat="false" ht="15" hidden="false" customHeight="false" outlineLevel="0" collapsed="false">
      <c r="A56" s="14" t="s">
        <v>1018</v>
      </c>
      <c r="B56" s="14" t="s">
        <v>1019</v>
      </c>
      <c r="C56" s="14" t="s">
        <v>149</v>
      </c>
      <c r="D56" s="14" t="s">
        <v>180</v>
      </c>
      <c r="E56" s="14" t="s">
        <v>161</v>
      </c>
      <c r="F56" s="14" t="s">
        <v>175</v>
      </c>
      <c r="G56" s="14" t="n">
        <v>3</v>
      </c>
      <c r="H56" s="14" t="s">
        <v>158</v>
      </c>
      <c r="I56" s="14" t="s">
        <v>892</v>
      </c>
      <c r="J56" s="15" t="n">
        <f aca="false">IF(B56="SITE LOSS",IF(D56=C56,1,0),IF(B56="REGION LOSS",IF(E56=C56,1,0),0))</f>
        <v>0</v>
      </c>
      <c r="K56" s="15" t="n">
        <f aca="false">IF(B56="SITE LOSS",IF(COUNTIFS('Site Dockets'!$B$7:$B$24,C56,'Site Dockets'!$C$7:$C$24,F56)&gt;0,1,0),IF(B56="REGION LOSS",IF(COUNTIFS('Site Dockets'!$E$7:$E$24,C56,'Site Dockets'!$C$7:$C$24,F56)&gt;0,1,0),0))</f>
        <v>0</v>
      </c>
      <c r="L56" s="15" t="n">
        <f aca="false">IF(J56=1,0,Inputs!$B$11)</f>
        <v>100</v>
      </c>
      <c r="M56" s="15" t="n">
        <f aca="false">IF(J56=1,0,Inputs!$B$12)</f>
        <v>75</v>
      </c>
      <c r="N56" s="15" t="n">
        <f aca="false">IF(J56=1,0,IF(OR(AND(OR(B56="SITE LOSS",B56="REGION LOSS"),K56=1),AND(B56="ROLE COMPROMISE",H56=C56)),Inputs!$B$13,Inputs!$B$14))</f>
        <v>10</v>
      </c>
      <c r="O56" s="15" t="n">
        <f aca="false">IF(J56=1,0,Inputs!$B$13)</f>
        <v>20</v>
      </c>
      <c r="P56" s="15" t="n">
        <f aca="false">SUM(M56:N56)</f>
        <v>85</v>
      </c>
      <c r="Q56" s="15" t="n">
        <f aca="false">IF(J56=1,"",L56-P56)</f>
        <v>15</v>
      </c>
      <c r="R56" s="15" t="n">
        <f aca="false">IF(OR(J56=1,M56&lt;=Inputs!$B$12),1,0)</f>
        <v>1</v>
      </c>
      <c r="S56" s="15" t="n">
        <f aca="false">IF(OR(J56=1,N56&lt;=O56),1,0)</f>
        <v>1</v>
      </c>
      <c r="T56" s="15" t="str">
        <f aca="false">IF(J56=1,"OFFLINE",IF(AND(Q56&gt;=Inputs!$B$15,R56=1,S56=1,P56&lt;=L56),"PASS","FAIL"))</f>
        <v>PASS</v>
      </c>
    </row>
    <row r="57" customFormat="false" ht="15" hidden="false" customHeight="false" outlineLevel="0" collapsed="false">
      <c r="A57" s="14" t="s">
        <v>1018</v>
      </c>
      <c r="B57" s="14" t="s">
        <v>1019</v>
      </c>
      <c r="C57" s="14" t="s">
        <v>149</v>
      </c>
      <c r="D57" s="14" t="s">
        <v>180</v>
      </c>
      <c r="E57" s="14" t="s">
        <v>161</v>
      </c>
      <c r="F57" s="14" t="s">
        <v>175</v>
      </c>
      <c r="G57" s="14" t="n">
        <v>3</v>
      </c>
      <c r="H57" s="14" t="s">
        <v>158</v>
      </c>
      <c r="I57" s="14" t="s">
        <v>811</v>
      </c>
      <c r="J57" s="15" t="n">
        <f aca="false">IF(B57="SITE LOSS",IF(D57=C57,1,0),IF(B57="REGION LOSS",IF(E57=C57,1,0),0))</f>
        <v>0</v>
      </c>
      <c r="K57" s="15" t="n">
        <f aca="false">IF(B57="SITE LOSS",IF(COUNTIFS('Site Dockets'!$B$7:$B$24,C57,'Site Dockets'!$C$7:$C$24,F57)&gt;0,1,0),IF(B57="REGION LOSS",IF(COUNTIFS('Site Dockets'!$E$7:$E$24,C57,'Site Dockets'!$C$7:$C$24,F57)&gt;0,1,0),0))</f>
        <v>0</v>
      </c>
      <c r="L57" s="15" t="n">
        <f aca="false">IF(J57=1,0,Inputs!$B$11)</f>
        <v>100</v>
      </c>
      <c r="M57" s="15" t="n">
        <f aca="false">IF(J57=1,0,Inputs!$B$12)</f>
        <v>75</v>
      </c>
      <c r="N57" s="15" t="n">
        <f aca="false">IF(J57=1,0,IF(OR(AND(OR(B57="SITE LOSS",B57="REGION LOSS"),K57=1),AND(B57="ROLE COMPROMISE",H57=C57)),Inputs!$B$13,Inputs!$B$14))</f>
        <v>10</v>
      </c>
      <c r="O57" s="15" t="n">
        <f aca="false">IF(J57=1,0,Inputs!$B$13)</f>
        <v>20</v>
      </c>
      <c r="P57" s="15" t="n">
        <f aca="false">SUM(M57:N57)</f>
        <v>85</v>
      </c>
      <c r="Q57" s="15" t="n">
        <f aca="false">IF(J57=1,"",L57-P57)</f>
        <v>15</v>
      </c>
      <c r="R57" s="15" t="n">
        <f aca="false">IF(OR(J57=1,M57&lt;=Inputs!$B$12),1,0)</f>
        <v>1</v>
      </c>
      <c r="S57" s="15" t="n">
        <f aca="false">IF(OR(J57=1,N57&lt;=O57),1,0)</f>
        <v>1</v>
      </c>
      <c r="T57" s="15" t="str">
        <f aca="false">IF(J57=1,"OFFLINE",IF(AND(Q57&gt;=Inputs!$B$15,R57=1,S57=1,P57&lt;=L57),"PASS","FAIL"))</f>
        <v>PASS</v>
      </c>
    </row>
    <row r="58" customFormat="false" ht="15" hidden="false" customHeight="false" outlineLevel="0" collapsed="false">
      <c r="A58" s="14" t="s">
        <v>1018</v>
      </c>
      <c r="B58" s="14" t="s">
        <v>1019</v>
      </c>
      <c r="C58" s="14" t="s">
        <v>149</v>
      </c>
      <c r="D58" s="14" t="s">
        <v>180</v>
      </c>
      <c r="E58" s="14" t="s">
        <v>161</v>
      </c>
      <c r="F58" s="14" t="s">
        <v>175</v>
      </c>
      <c r="G58" s="14" t="n">
        <v>3</v>
      </c>
      <c r="H58" s="14" t="s">
        <v>158</v>
      </c>
      <c r="I58" s="14" t="s">
        <v>895</v>
      </c>
      <c r="J58" s="15" t="n">
        <f aca="false">IF(B58="SITE LOSS",IF(D58=C58,1,0),IF(B58="REGION LOSS",IF(E58=C58,1,0),0))</f>
        <v>0</v>
      </c>
      <c r="K58" s="15" t="n">
        <f aca="false">IF(B58="SITE LOSS",IF(COUNTIFS('Site Dockets'!$B$7:$B$24,C58,'Site Dockets'!$C$7:$C$24,F58)&gt;0,1,0),IF(B58="REGION LOSS",IF(COUNTIFS('Site Dockets'!$E$7:$E$24,C58,'Site Dockets'!$C$7:$C$24,F58)&gt;0,1,0),0))</f>
        <v>0</v>
      </c>
      <c r="L58" s="15" t="n">
        <f aca="false">IF(J58=1,0,Inputs!$B$11)</f>
        <v>100</v>
      </c>
      <c r="M58" s="15" t="n">
        <f aca="false">IF(J58=1,0,Inputs!$B$12)</f>
        <v>75</v>
      </c>
      <c r="N58" s="15" t="n">
        <f aca="false">IF(J58=1,0,IF(OR(AND(OR(B58="SITE LOSS",B58="REGION LOSS"),K58=1),AND(B58="ROLE COMPROMISE",H58=C58)),Inputs!$B$13,Inputs!$B$14))</f>
        <v>10</v>
      </c>
      <c r="O58" s="15" t="n">
        <f aca="false">IF(J58=1,0,Inputs!$B$13)</f>
        <v>20</v>
      </c>
      <c r="P58" s="15" t="n">
        <f aca="false">SUM(M58:N58)</f>
        <v>85</v>
      </c>
      <c r="Q58" s="15" t="n">
        <f aca="false">IF(J58=1,"",L58-P58)</f>
        <v>15</v>
      </c>
      <c r="R58" s="15" t="n">
        <f aca="false">IF(OR(J58=1,M58&lt;=Inputs!$B$12),1,0)</f>
        <v>1</v>
      </c>
      <c r="S58" s="15" t="n">
        <f aca="false">IF(OR(J58=1,N58&lt;=O58),1,0)</f>
        <v>1</v>
      </c>
      <c r="T58" s="15" t="str">
        <f aca="false">IF(J58=1,"OFFLINE",IF(AND(Q58&gt;=Inputs!$B$15,R58=1,S58=1,P58&lt;=L58),"PASS","FAIL"))</f>
        <v>PASS</v>
      </c>
    </row>
    <row r="59" customFormat="false" ht="15" hidden="false" customHeight="false" outlineLevel="0" collapsed="false">
      <c r="A59" s="14" t="s">
        <v>1018</v>
      </c>
      <c r="B59" s="14" t="s">
        <v>1019</v>
      </c>
      <c r="C59" s="14" t="s">
        <v>149</v>
      </c>
      <c r="D59" s="14" t="s">
        <v>180</v>
      </c>
      <c r="E59" s="14" t="s">
        <v>161</v>
      </c>
      <c r="F59" s="14" t="s">
        <v>175</v>
      </c>
      <c r="G59" s="14" t="n">
        <v>3</v>
      </c>
      <c r="H59" s="14" t="s">
        <v>158</v>
      </c>
      <c r="I59" s="14" t="s">
        <v>897</v>
      </c>
      <c r="J59" s="15" t="n">
        <f aca="false">IF(B59="SITE LOSS",IF(D59=C59,1,0),IF(B59="REGION LOSS",IF(E59=C59,1,0),0))</f>
        <v>0</v>
      </c>
      <c r="K59" s="15" t="n">
        <f aca="false">IF(B59="SITE LOSS",IF(COUNTIFS('Site Dockets'!$B$7:$B$24,C59,'Site Dockets'!$C$7:$C$24,F59)&gt;0,1,0),IF(B59="REGION LOSS",IF(COUNTIFS('Site Dockets'!$E$7:$E$24,C59,'Site Dockets'!$C$7:$C$24,F59)&gt;0,1,0),0))</f>
        <v>0</v>
      </c>
      <c r="L59" s="15" t="n">
        <f aca="false">IF(J59=1,0,Inputs!$B$11)</f>
        <v>100</v>
      </c>
      <c r="M59" s="15" t="n">
        <f aca="false">IF(J59=1,0,Inputs!$B$12)</f>
        <v>75</v>
      </c>
      <c r="N59" s="15" t="n">
        <f aca="false">IF(J59=1,0,IF(OR(AND(OR(B59="SITE LOSS",B59="REGION LOSS"),K59=1),AND(B59="ROLE COMPROMISE",H59=C59)),Inputs!$B$13,Inputs!$B$14))</f>
        <v>10</v>
      </c>
      <c r="O59" s="15" t="n">
        <f aca="false">IF(J59=1,0,Inputs!$B$13)</f>
        <v>20</v>
      </c>
      <c r="P59" s="15" t="n">
        <f aca="false">SUM(M59:N59)</f>
        <v>85</v>
      </c>
      <c r="Q59" s="15" t="n">
        <f aca="false">IF(J59=1,"",L59-P59)</f>
        <v>15</v>
      </c>
      <c r="R59" s="15" t="n">
        <f aca="false">IF(OR(J59=1,M59&lt;=Inputs!$B$12),1,0)</f>
        <v>1</v>
      </c>
      <c r="S59" s="15" t="n">
        <f aca="false">IF(OR(J59=1,N59&lt;=O59),1,0)</f>
        <v>1</v>
      </c>
      <c r="T59" s="15" t="str">
        <f aca="false">IF(J59=1,"OFFLINE",IF(AND(Q59&gt;=Inputs!$B$15,R59=1,S59=1,P59&lt;=L59),"PASS","FAIL"))</f>
        <v>PASS</v>
      </c>
    </row>
    <row r="60" customFormat="false" ht="15" hidden="false" customHeight="false" outlineLevel="0" collapsed="false">
      <c r="A60" s="14" t="s">
        <v>1018</v>
      </c>
      <c r="B60" s="14" t="s">
        <v>1019</v>
      </c>
      <c r="C60" s="14" t="s">
        <v>149</v>
      </c>
      <c r="D60" s="14" t="s">
        <v>180</v>
      </c>
      <c r="E60" s="14" t="s">
        <v>161</v>
      </c>
      <c r="F60" s="14" t="s">
        <v>175</v>
      </c>
      <c r="G60" s="14" t="n">
        <v>3</v>
      </c>
      <c r="H60" s="14" t="s">
        <v>158</v>
      </c>
      <c r="I60" s="14" t="s">
        <v>899</v>
      </c>
      <c r="J60" s="15" t="n">
        <f aca="false">IF(B60="SITE LOSS",IF(D60=C60,1,0),IF(B60="REGION LOSS",IF(E60=C60,1,0),0))</f>
        <v>0</v>
      </c>
      <c r="K60" s="15" t="n">
        <f aca="false">IF(B60="SITE LOSS",IF(COUNTIFS('Site Dockets'!$B$7:$B$24,C60,'Site Dockets'!$C$7:$C$24,F60)&gt;0,1,0),IF(B60="REGION LOSS",IF(COUNTIFS('Site Dockets'!$E$7:$E$24,C60,'Site Dockets'!$C$7:$C$24,F60)&gt;0,1,0),0))</f>
        <v>0</v>
      </c>
      <c r="L60" s="15" t="n">
        <f aca="false">IF(J60=1,0,Inputs!$B$11)</f>
        <v>100</v>
      </c>
      <c r="M60" s="15" t="n">
        <f aca="false">IF(J60=1,0,Inputs!$B$12)</f>
        <v>75</v>
      </c>
      <c r="N60" s="15" t="n">
        <f aca="false">IF(J60=1,0,IF(OR(AND(OR(B60="SITE LOSS",B60="REGION LOSS"),K60=1),AND(B60="ROLE COMPROMISE",H60=C60)),Inputs!$B$13,Inputs!$B$14))</f>
        <v>10</v>
      </c>
      <c r="O60" s="15" t="n">
        <f aca="false">IF(J60=1,0,Inputs!$B$13)</f>
        <v>20</v>
      </c>
      <c r="P60" s="15" t="n">
        <f aca="false">SUM(M60:N60)</f>
        <v>85</v>
      </c>
      <c r="Q60" s="15" t="n">
        <f aca="false">IF(J60=1,"",L60-P60)</f>
        <v>15</v>
      </c>
      <c r="R60" s="15" t="n">
        <f aca="false">IF(OR(J60=1,M60&lt;=Inputs!$B$12),1,0)</f>
        <v>1</v>
      </c>
      <c r="S60" s="15" t="n">
        <f aca="false">IF(OR(J60=1,N60&lt;=O60),1,0)</f>
        <v>1</v>
      </c>
      <c r="T60" s="15" t="str">
        <f aca="false">IF(J60=1,"OFFLINE",IF(AND(Q60&gt;=Inputs!$B$15,R60=1,S60=1,P60&lt;=L60),"PASS","FAIL"))</f>
        <v>PASS</v>
      </c>
    </row>
    <row r="61" customFormat="false" ht="15" hidden="false" customHeight="false" outlineLevel="0" collapsed="false">
      <c r="A61" s="14" t="s">
        <v>1018</v>
      </c>
      <c r="B61" s="14" t="s">
        <v>1019</v>
      </c>
      <c r="C61" s="14" t="s">
        <v>149</v>
      </c>
      <c r="D61" s="14" t="s">
        <v>182</v>
      </c>
      <c r="E61" s="14" t="s">
        <v>166</v>
      </c>
      <c r="F61" s="14" t="s">
        <v>183</v>
      </c>
      <c r="G61" s="14" t="n">
        <v>1</v>
      </c>
      <c r="H61" s="14" t="s">
        <v>154</v>
      </c>
      <c r="I61" s="14" t="s">
        <v>890</v>
      </c>
      <c r="J61" s="15" t="n">
        <f aca="false">IF(B61="SITE LOSS",IF(D61=C61,1,0),IF(B61="REGION LOSS",IF(E61=C61,1,0),0))</f>
        <v>0</v>
      </c>
      <c r="K61" s="15" t="n">
        <f aca="false">IF(B61="SITE LOSS",IF(COUNTIFS('Site Dockets'!$B$7:$B$24,C61,'Site Dockets'!$C$7:$C$24,F61)&gt;0,1,0),IF(B61="REGION LOSS",IF(COUNTIFS('Site Dockets'!$E$7:$E$24,C61,'Site Dockets'!$C$7:$C$24,F61)&gt;0,1,0),0))</f>
        <v>0</v>
      </c>
      <c r="L61" s="15" t="n">
        <f aca="false">IF(J61=1,0,Inputs!$B$11)</f>
        <v>100</v>
      </c>
      <c r="M61" s="15" t="n">
        <f aca="false">IF(J61=1,0,Inputs!$B$12)</f>
        <v>75</v>
      </c>
      <c r="N61" s="15" t="n">
        <f aca="false">IF(J61=1,0,IF(OR(AND(OR(B61="SITE LOSS",B61="REGION LOSS"),K61=1),AND(B61="ROLE COMPROMISE",H61=C61)),Inputs!$B$13,Inputs!$B$14))</f>
        <v>10</v>
      </c>
      <c r="O61" s="15" t="n">
        <f aca="false">IF(J61=1,0,Inputs!$B$13)</f>
        <v>20</v>
      </c>
      <c r="P61" s="15" t="n">
        <f aca="false">SUM(M61:N61)</f>
        <v>85</v>
      </c>
      <c r="Q61" s="15" t="n">
        <f aca="false">IF(J61=1,"",L61-P61)</f>
        <v>15</v>
      </c>
      <c r="R61" s="15" t="n">
        <f aca="false">IF(OR(J61=1,M61&lt;=Inputs!$B$12),1,0)</f>
        <v>1</v>
      </c>
      <c r="S61" s="15" t="n">
        <f aca="false">IF(OR(J61=1,N61&lt;=O61),1,0)</f>
        <v>1</v>
      </c>
      <c r="T61" s="15" t="str">
        <f aca="false">IF(J61=1,"OFFLINE",IF(AND(Q61&gt;=Inputs!$B$15,R61=1,S61=1,P61&lt;=L61),"PASS","FAIL"))</f>
        <v>PASS</v>
      </c>
    </row>
    <row r="62" customFormat="false" ht="15" hidden="false" customHeight="false" outlineLevel="0" collapsed="false">
      <c r="A62" s="14" t="s">
        <v>1018</v>
      </c>
      <c r="B62" s="14" t="s">
        <v>1019</v>
      </c>
      <c r="C62" s="14" t="s">
        <v>149</v>
      </c>
      <c r="D62" s="14" t="s">
        <v>182</v>
      </c>
      <c r="E62" s="14" t="s">
        <v>166</v>
      </c>
      <c r="F62" s="14" t="s">
        <v>183</v>
      </c>
      <c r="G62" s="14" t="n">
        <v>1</v>
      </c>
      <c r="H62" s="14" t="s">
        <v>154</v>
      </c>
      <c r="I62" s="14" t="s">
        <v>892</v>
      </c>
      <c r="J62" s="15" t="n">
        <f aca="false">IF(B62="SITE LOSS",IF(D62=C62,1,0),IF(B62="REGION LOSS",IF(E62=C62,1,0),0))</f>
        <v>0</v>
      </c>
      <c r="K62" s="15" t="n">
        <f aca="false">IF(B62="SITE LOSS",IF(COUNTIFS('Site Dockets'!$B$7:$B$24,C62,'Site Dockets'!$C$7:$C$24,F62)&gt;0,1,0),IF(B62="REGION LOSS",IF(COUNTIFS('Site Dockets'!$E$7:$E$24,C62,'Site Dockets'!$C$7:$C$24,F62)&gt;0,1,0),0))</f>
        <v>0</v>
      </c>
      <c r="L62" s="15" t="n">
        <f aca="false">IF(J62=1,0,Inputs!$B$11)</f>
        <v>100</v>
      </c>
      <c r="M62" s="15" t="n">
        <f aca="false">IF(J62=1,0,Inputs!$B$12)</f>
        <v>75</v>
      </c>
      <c r="N62" s="15" t="n">
        <f aca="false">IF(J62=1,0,IF(OR(AND(OR(B62="SITE LOSS",B62="REGION LOSS"),K62=1),AND(B62="ROLE COMPROMISE",H62=C62)),Inputs!$B$13,Inputs!$B$14))</f>
        <v>10</v>
      </c>
      <c r="O62" s="15" t="n">
        <f aca="false">IF(J62=1,0,Inputs!$B$13)</f>
        <v>20</v>
      </c>
      <c r="P62" s="15" t="n">
        <f aca="false">SUM(M62:N62)</f>
        <v>85</v>
      </c>
      <c r="Q62" s="15" t="n">
        <f aca="false">IF(J62=1,"",L62-P62)</f>
        <v>15</v>
      </c>
      <c r="R62" s="15" t="n">
        <f aca="false">IF(OR(J62=1,M62&lt;=Inputs!$B$12),1,0)</f>
        <v>1</v>
      </c>
      <c r="S62" s="15" t="n">
        <f aca="false">IF(OR(J62=1,N62&lt;=O62),1,0)</f>
        <v>1</v>
      </c>
      <c r="T62" s="15" t="str">
        <f aca="false">IF(J62=1,"OFFLINE",IF(AND(Q62&gt;=Inputs!$B$15,R62=1,S62=1,P62&lt;=L62),"PASS","FAIL"))</f>
        <v>PASS</v>
      </c>
    </row>
    <row r="63" customFormat="false" ht="15" hidden="false" customHeight="false" outlineLevel="0" collapsed="false">
      <c r="A63" s="14" t="s">
        <v>1018</v>
      </c>
      <c r="B63" s="14" t="s">
        <v>1019</v>
      </c>
      <c r="C63" s="14" t="s">
        <v>149</v>
      </c>
      <c r="D63" s="14" t="s">
        <v>182</v>
      </c>
      <c r="E63" s="14" t="s">
        <v>166</v>
      </c>
      <c r="F63" s="14" t="s">
        <v>183</v>
      </c>
      <c r="G63" s="14" t="n">
        <v>1</v>
      </c>
      <c r="H63" s="14" t="s">
        <v>154</v>
      </c>
      <c r="I63" s="14" t="s">
        <v>811</v>
      </c>
      <c r="J63" s="15" t="n">
        <f aca="false">IF(B63="SITE LOSS",IF(D63=C63,1,0),IF(B63="REGION LOSS",IF(E63=C63,1,0),0))</f>
        <v>0</v>
      </c>
      <c r="K63" s="15" t="n">
        <f aca="false">IF(B63="SITE LOSS",IF(COUNTIFS('Site Dockets'!$B$7:$B$24,C63,'Site Dockets'!$C$7:$C$24,F63)&gt;0,1,0),IF(B63="REGION LOSS",IF(COUNTIFS('Site Dockets'!$E$7:$E$24,C63,'Site Dockets'!$C$7:$C$24,F63)&gt;0,1,0),0))</f>
        <v>0</v>
      </c>
      <c r="L63" s="15" t="n">
        <f aca="false">IF(J63=1,0,Inputs!$B$11)</f>
        <v>100</v>
      </c>
      <c r="M63" s="15" t="n">
        <f aca="false">IF(J63=1,0,Inputs!$B$12)</f>
        <v>75</v>
      </c>
      <c r="N63" s="15" t="n">
        <f aca="false">IF(J63=1,0,IF(OR(AND(OR(B63="SITE LOSS",B63="REGION LOSS"),K63=1),AND(B63="ROLE COMPROMISE",H63=C63)),Inputs!$B$13,Inputs!$B$14))</f>
        <v>10</v>
      </c>
      <c r="O63" s="15" t="n">
        <f aca="false">IF(J63=1,0,Inputs!$B$13)</f>
        <v>20</v>
      </c>
      <c r="P63" s="15" t="n">
        <f aca="false">SUM(M63:N63)</f>
        <v>85</v>
      </c>
      <c r="Q63" s="15" t="n">
        <f aca="false">IF(J63=1,"",L63-P63)</f>
        <v>15</v>
      </c>
      <c r="R63" s="15" t="n">
        <f aca="false">IF(OR(J63=1,M63&lt;=Inputs!$B$12),1,0)</f>
        <v>1</v>
      </c>
      <c r="S63" s="15" t="n">
        <f aca="false">IF(OR(J63=1,N63&lt;=O63),1,0)</f>
        <v>1</v>
      </c>
      <c r="T63" s="15" t="str">
        <f aca="false">IF(J63=1,"OFFLINE",IF(AND(Q63&gt;=Inputs!$B$15,R63=1,S63=1,P63&lt;=L63),"PASS","FAIL"))</f>
        <v>PASS</v>
      </c>
    </row>
    <row r="64" customFormat="false" ht="15" hidden="false" customHeight="false" outlineLevel="0" collapsed="false">
      <c r="A64" s="14" t="s">
        <v>1018</v>
      </c>
      <c r="B64" s="14" t="s">
        <v>1019</v>
      </c>
      <c r="C64" s="14" t="s">
        <v>149</v>
      </c>
      <c r="D64" s="14" t="s">
        <v>182</v>
      </c>
      <c r="E64" s="14" t="s">
        <v>166</v>
      </c>
      <c r="F64" s="14" t="s">
        <v>183</v>
      </c>
      <c r="G64" s="14" t="n">
        <v>1</v>
      </c>
      <c r="H64" s="14" t="s">
        <v>154</v>
      </c>
      <c r="I64" s="14" t="s">
        <v>895</v>
      </c>
      <c r="J64" s="15" t="n">
        <f aca="false">IF(B64="SITE LOSS",IF(D64=C64,1,0),IF(B64="REGION LOSS",IF(E64=C64,1,0),0))</f>
        <v>0</v>
      </c>
      <c r="K64" s="15" t="n">
        <f aca="false">IF(B64="SITE LOSS",IF(COUNTIFS('Site Dockets'!$B$7:$B$24,C64,'Site Dockets'!$C$7:$C$24,F64)&gt;0,1,0),IF(B64="REGION LOSS",IF(COUNTIFS('Site Dockets'!$E$7:$E$24,C64,'Site Dockets'!$C$7:$C$24,F64)&gt;0,1,0),0))</f>
        <v>0</v>
      </c>
      <c r="L64" s="15" t="n">
        <f aca="false">IF(J64=1,0,Inputs!$B$11)</f>
        <v>100</v>
      </c>
      <c r="M64" s="15" t="n">
        <f aca="false">IF(J64=1,0,Inputs!$B$12)</f>
        <v>75</v>
      </c>
      <c r="N64" s="15" t="n">
        <f aca="false">IF(J64=1,0,IF(OR(AND(OR(B64="SITE LOSS",B64="REGION LOSS"),K64=1),AND(B64="ROLE COMPROMISE",H64=C64)),Inputs!$B$13,Inputs!$B$14))</f>
        <v>10</v>
      </c>
      <c r="O64" s="15" t="n">
        <f aca="false">IF(J64=1,0,Inputs!$B$13)</f>
        <v>20</v>
      </c>
      <c r="P64" s="15" t="n">
        <f aca="false">SUM(M64:N64)</f>
        <v>85</v>
      </c>
      <c r="Q64" s="15" t="n">
        <f aca="false">IF(J64=1,"",L64-P64)</f>
        <v>15</v>
      </c>
      <c r="R64" s="15" t="n">
        <f aca="false">IF(OR(J64=1,M64&lt;=Inputs!$B$12),1,0)</f>
        <v>1</v>
      </c>
      <c r="S64" s="15" t="n">
        <f aca="false">IF(OR(J64=1,N64&lt;=O64),1,0)</f>
        <v>1</v>
      </c>
      <c r="T64" s="15" t="str">
        <f aca="false">IF(J64=1,"OFFLINE",IF(AND(Q64&gt;=Inputs!$B$15,R64=1,S64=1,P64&lt;=L64),"PASS","FAIL"))</f>
        <v>PASS</v>
      </c>
    </row>
    <row r="65" customFormat="false" ht="15" hidden="false" customHeight="false" outlineLevel="0" collapsed="false">
      <c r="A65" s="14" t="s">
        <v>1018</v>
      </c>
      <c r="B65" s="14" t="s">
        <v>1019</v>
      </c>
      <c r="C65" s="14" t="s">
        <v>149</v>
      </c>
      <c r="D65" s="14" t="s">
        <v>182</v>
      </c>
      <c r="E65" s="14" t="s">
        <v>166</v>
      </c>
      <c r="F65" s="14" t="s">
        <v>183</v>
      </c>
      <c r="G65" s="14" t="n">
        <v>1</v>
      </c>
      <c r="H65" s="14" t="s">
        <v>154</v>
      </c>
      <c r="I65" s="14" t="s">
        <v>897</v>
      </c>
      <c r="J65" s="15" t="n">
        <f aca="false">IF(B65="SITE LOSS",IF(D65=C65,1,0),IF(B65="REGION LOSS",IF(E65=C65,1,0),0))</f>
        <v>0</v>
      </c>
      <c r="K65" s="15" t="n">
        <f aca="false">IF(B65="SITE LOSS",IF(COUNTIFS('Site Dockets'!$B$7:$B$24,C65,'Site Dockets'!$C$7:$C$24,F65)&gt;0,1,0),IF(B65="REGION LOSS",IF(COUNTIFS('Site Dockets'!$E$7:$E$24,C65,'Site Dockets'!$C$7:$C$24,F65)&gt;0,1,0),0))</f>
        <v>0</v>
      </c>
      <c r="L65" s="15" t="n">
        <f aca="false">IF(J65=1,0,Inputs!$B$11)</f>
        <v>100</v>
      </c>
      <c r="M65" s="15" t="n">
        <f aca="false">IF(J65=1,0,Inputs!$B$12)</f>
        <v>75</v>
      </c>
      <c r="N65" s="15" t="n">
        <f aca="false">IF(J65=1,0,IF(OR(AND(OR(B65="SITE LOSS",B65="REGION LOSS"),K65=1),AND(B65="ROLE COMPROMISE",H65=C65)),Inputs!$B$13,Inputs!$B$14))</f>
        <v>10</v>
      </c>
      <c r="O65" s="15" t="n">
        <f aca="false">IF(J65=1,0,Inputs!$B$13)</f>
        <v>20</v>
      </c>
      <c r="P65" s="15" t="n">
        <f aca="false">SUM(M65:N65)</f>
        <v>85</v>
      </c>
      <c r="Q65" s="15" t="n">
        <f aca="false">IF(J65=1,"",L65-P65)</f>
        <v>15</v>
      </c>
      <c r="R65" s="15" t="n">
        <f aca="false">IF(OR(J65=1,M65&lt;=Inputs!$B$12),1,0)</f>
        <v>1</v>
      </c>
      <c r="S65" s="15" t="n">
        <f aca="false">IF(OR(J65=1,N65&lt;=O65),1,0)</f>
        <v>1</v>
      </c>
      <c r="T65" s="15" t="str">
        <f aca="false">IF(J65=1,"OFFLINE",IF(AND(Q65&gt;=Inputs!$B$15,R65=1,S65=1,P65&lt;=L65),"PASS","FAIL"))</f>
        <v>PASS</v>
      </c>
    </row>
    <row r="66" customFormat="false" ht="15" hidden="false" customHeight="false" outlineLevel="0" collapsed="false">
      <c r="A66" s="14" t="s">
        <v>1018</v>
      </c>
      <c r="B66" s="14" t="s">
        <v>1019</v>
      </c>
      <c r="C66" s="14" t="s">
        <v>149</v>
      </c>
      <c r="D66" s="14" t="s">
        <v>182</v>
      </c>
      <c r="E66" s="14" t="s">
        <v>166</v>
      </c>
      <c r="F66" s="14" t="s">
        <v>183</v>
      </c>
      <c r="G66" s="14" t="n">
        <v>1</v>
      </c>
      <c r="H66" s="14" t="s">
        <v>154</v>
      </c>
      <c r="I66" s="14" t="s">
        <v>899</v>
      </c>
      <c r="J66" s="15" t="n">
        <f aca="false">IF(B66="SITE LOSS",IF(D66=C66,1,0),IF(B66="REGION LOSS",IF(E66=C66,1,0),0))</f>
        <v>0</v>
      </c>
      <c r="K66" s="15" t="n">
        <f aca="false">IF(B66="SITE LOSS",IF(COUNTIFS('Site Dockets'!$B$7:$B$24,C66,'Site Dockets'!$C$7:$C$24,F66)&gt;0,1,0),IF(B66="REGION LOSS",IF(COUNTIFS('Site Dockets'!$E$7:$E$24,C66,'Site Dockets'!$C$7:$C$24,F66)&gt;0,1,0),0))</f>
        <v>0</v>
      </c>
      <c r="L66" s="15" t="n">
        <f aca="false">IF(J66=1,0,Inputs!$B$11)</f>
        <v>100</v>
      </c>
      <c r="M66" s="15" t="n">
        <f aca="false">IF(J66=1,0,Inputs!$B$12)</f>
        <v>75</v>
      </c>
      <c r="N66" s="15" t="n">
        <f aca="false">IF(J66=1,0,IF(OR(AND(OR(B66="SITE LOSS",B66="REGION LOSS"),K66=1),AND(B66="ROLE COMPROMISE",H66=C66)),Inputs!$B$13,Inputs!$B$14))</f>
        <v>10</v>
      </c>
      <c r="O66" s="15" t="n">
        <f aca="false">IF(J66=1,0,Inputs!$B$13)</f>
        <v>20</v>
      </c>
      <c r="P66" s="15" t="n">
        <f aca="false">SUM(M66:N66)</f>
        <v>85</v>
      </c>
      <c r="Q66" s="15" t="n">
        <f aca="false">IF(J66=1,"",L66-P66)</f>
        <v>15</v>
      </c>
      <c r="R66" s="15" t="n">
        <f aca="false">IF(OR(J66=1,M66&lt;=Inputs!$B$12),1,0)</f>
        <v>1</v>
      </c>
      <c r="S66" s="15" t="n">
        <f aca="false">IF(OR(J66=1,N66&lt;=O66),1,0)</f>
        <v>1</v>
      </c>
      <c r="T66" s="15" t="str">
        <f aca="false">IF(J66=1,"OFFLINE",IF(AND(Q66&gt;=Inputs!$B$15,R66=1,S66=1,P66&lt;=L66),"PASS","FAIL"))</f>
        <v>PASS</v>
      </c>
    </row>
    <row r="67" customFormat="false" ht="15" hidden="false" customHeight="false" outlineLevel="0" collapsed="false">
      <c r="A67" s="14" t="s">
        <v>1018</v>
      </c>
      <c r="B67" s="14" t="s">
        <v>1019</v>
      </c>
      <c r="C67" s="14" t="s">
        <v>149</v>
      </c>
      <c r="D67" s="14" t="s">
        <v>186</v>
      </c>
      <c r="E67" s="14" t="s">
        <v>157</v>
      </c>
      <c r="F67" s="14" t="s">
        <v>183</v>
      </c>
      <c r="G67" s="14" t="n">
        <v>2</v>
      </c>
      <c r="H67" s="14" t="s">
        <v>153</v>
      </c>
      <c r="I67" s="14" t="s">
        <v>890</v>
      </c>
      <c r="J67" s="15" t="n">
        <f aca="false">IF(B67="SITE LOSS",IF(D67=C67,1,0),IF(B67="REGION LOSS",IF(E67=C67,1,0),0))</f>
        <v>0</v>
      </c>
      <c r="K67" s="15" t="n">
        <f aca="false">IF(B67="SITE LOSS",IF(COUNTIFS('Site Dockets'!$B$7:$B$24,C67,'Site Dockets'!$C$7:$C$24,F67)&gt;0,1,0),IF(B67="REGION LOSS",IF(COUNTIFS('Site Dockets'!$E$7:$E$24,C67,'Site Dockets'!$C$7:$C$24,F67)&gt;0,1,0),0))</f>
        <v>0</v>
      </c>
      <c r="L67" s="15" t="n">
        <f aca="false">IF(J67=1,0,Inputs!$B$11)</f>
        <v>100</v>
      </c>
      <c r="M67" s="15" t="n">
        <f aca="false">IF(J67=1,0,Inputs!$B$12)</f>
        <v>75</v>
      </c>
      <c r="N67" s="15" t="n">
        <f aca="false">IF(J67=1,0,IF(OR(AND(OR(B67="SITE LOSS",B67="REGION LOSS"),K67=1),AND(B67="ROLE COMPROMISE",H67=C67)),Inputs!$B$13,Inputs!$B$14))</f>
        <v>10</v>
      </c>
      <c r="O67" s="15" t="n">
        <f aca="false">IF(J67=1,0,Inputs!$B$13)</f>
        <v>20</v>
      </c>
      <c r="P67" s="15" t="n">
        <f aca="false">SUM(M67:N67)</f>
        <v>85</v>
      </c>
      <c r="Q67" s="15" t="n">
        <f aca="false">IF(J67=1,"",L67-P67)</f>
        <v>15</v>
      </c>
      <c r="R67" s="15" t="n">
        <f aca="false">IF(OR(J67=1,M67&lt;=Inputs!$B$12),1,0)</f>
        <v>1</v>
      </c>
      <c r="S67" s="15" t="n">
        <f aca="false">IF(OR(J67=1,N67&lt;=O67),1,0)</f>
        <v>1</v>
      </c>
      <c r="T67" s="15" t="str">
        <f aca="false">IF(J67=1,"OFFLINE",IF(AND(Q67&gt;=Inputs!$B$15,R67=1,S67=1,P67&lt;=L67),"PASS","FAIL"))</f>
        <v>PASS</v>
      </c>
    </row>
    <row r="68" customFormat="false" ht="15" hidden="false" customHeight="false" outlineLevel="0" collapsed="false">
      <c r="A68" s="14" t="s">
        <v>1018</v>
      </c>
      <c r="B68" s="14" t="s">
        <v>1019</v>
      </c>
      <c r="C68" s="14" t="s">
        <v>149</v>
      </c>
      <c r="D68" s="14" t="s">
        <v>186</v>
      </c>
      <c r="E68" s="14" t="s">
        <v>157</v>
      </c>
      <c r="F68" s="14" t="s">
        <v>183</v>
      </c>
      <c r="G68" s="14" t="n">
        <v>2</v>
      </c>
      <c r="H68" s="14" t="s">
        <v>153</v>
      </c>
      <c r="I68" s="14" t="s">
        <v>892</v>
      </c>
      <c r="J68" s="15" t="n">
        <f aca="false">IF(B68="SITE LOSS",IF(D68=C68,1,0),IF(B68="REGION LOSS",IF(E68=C68,1,0),0))</f>
        <v>0</v>
      </c>
      <c r="K68" s="15" t="n">
        <f aca="false">IF(B68="SITE LOSS",IF(COUNTIFS('Site Dockets'!$B$7:$B$24,C68,'Site Dockets'!$C$7:$C$24,F68)&gt;0,1,0),IF(B68="REGION LOSS",IF(COUNTIFS('Site Dockets'!$E$7:$E$24,C68,'Site Dockets'!$C$7:$C$24,F68)&gt;0,1,0),0))</f>
        <v>0</v>
      </c>
      <c r="L68" s="15" t="n">
        <f aca="false">IF(J68=1,0,Inputs!$B$11)</f>
        <v>100</v>
      </c>
      <c r="M68" s="15" t="n">
        <f aca="false">IF(J68=1,0,Inputs!$B$12)</f>
        <v>75</v>
      </c>
      <c r="N68" s="15" t="n">
        <f aca="false">IF(J68=1,0,IF(OR(AND(OR(B68="SITE LOSS",B68="REGION LOSS"),K68=1),AND(B68="ROLE COMPROMISE",H68=C68)),Inputs!$B$13,Inputs!$B$14))</f>
        <v>10</v>
      </c>
      <c r="O68" s="15" t="n">
        <f aca="false">IF(J68=1,0,Inputs!$B$13)</f>
        <v>20</v>
      </c>
      <c r="P68" s="15" t="n">
        <f aca="false">SUM(M68:N68)</f>
        <v>85</v>
      </c>
      <c r="Q68" s="15" t="n">
        <f aca="false">IF(J68=1,"",L68-P68)</f>
        <v>15</v>
      </c>
      <c r="R68" s="15" t="n">
        <f aca="false">IF(OR(J68=1,M68&lt;=Inputs!$B$12),1,0)</f>
        <v>1</v>
      </c>
      <c r="S68" s="15" t="n">
        <f aca="false">IF(OR(J68=1,N68&lt;=O68),1,0)</f>
        <v>1</v>
      </c>
      <c r="T68" s="15" t="str">
        <f aca="false">IF(J68=1,"OFFLINE",IF(AND(Q68&gt;=Inputs!$B$15,R68=1,S68=1,P68&lt;=L68),"PASS","FAIL"))</f>
        <v>PASS</v>
      </c>
    </row>
    <row r="69" customFormat="false" ht="15" hidden="false" customHeight="false" outlineLevel="0" collapsed="false">
      <c r="A69" s="14" t="s">
        <v>1018</v>
      </c>
      <c r="B69" s="14" t="s">
        <v>1019</v>
      </c>
      <c r="C69" s="14" t="s">
        <v>149</v>
      </c>
      <c r="D69" s="14" t="s">
        <v>186</v>
      </c>
      <c r="E69" s="14" t="s">
        <v>157</v>
      </c>
      <c r="F69" s="14" t="s">
        <v>183</v>
      </c>
      <c r="G69" s="14" t="n">
        <v>2</v>
      </c>
      <c r="H69" s="14" t="s">
        <v>153</v>
      </c>
      <c r="I69" s="14" t="s">
        <v>811</v>
      </c>
      <c r="J69" s="15" t="n">
        <f aca="false">IF(B69="SITE LOSS",IF(D69=C69,1,0),IF(B69="REGION LOSS",IF(E69=C69,1,0),0))</f>
        <v>0</v>
      </c>
      <c r="K69" s="15" t="n">
        <f aca="false">IF(B69="SITE LOSS",IF(COUNTIFS('Site Dockets'!$B$7:$B$24,C69,'Site Dockets'!$C$7:$C$24,F69)&gt;0,1,0),IF(B69="REGION LOSS",IF(COUNTIFS('Site Dockets'!$E$7:$E$24,C69,'Site Dockets'!$C$7:$C$24,F69)&gt;0,1,0),0))</f>
        <v>0</v>
      </c>
      <c r="L69" s="15" t="n">
        <f aca="false">IF(J69=1,0,Inputs!$B$11)</f>
        <v>100</v>
      </c>
      <c r="M69" s="15" t="n">
        <f aca="false">IF(J69=1,0,Inputs!$B$12)</f>
        <v>75</v>
      </c>
      <c r="N69" s="15" t="n">
        <f aca="false">IF(J69=1,0,IF(OR(AND(OR(B69="SITE LOSS",B69="REGION LOSS"),K69=1),AND(B69="ROLE COMPROMISE",H69=C69)),Inputs!$B$13,Inputs!$B$14))</f>
        <v>10</v>
      </c>
      <c r="O69" s="15" t="n">
        <f aca="false">IF(J69=1,0,Inputs!$B$13)</f>
        <v>20</v>
      </c>
      <c r="P69" s="15" t="n">
        <f aca="false">SUM(M69:N69)</f>
        <v>85</v>
      </c>
      <c r="Q69" s="15" t="n">
        <f aca="false">IF(J69=1,"",L69-P69)</f>
        <v>15</v>
      </c>
      <c r="R69" s="15" t="n">
        <f aca="false">IF(OR(J69=1,M69&lt;=Inputs!$B$12),1,0)</f>
        <v>1</v>
      </c>
      <c r="S69" s="15" t="n">
        <f aca="false">IF(OR(J69=1,N69&lt;=O69),1,0)</f>
        <v>1</v>
      </c>
      <c r="T69" s="15" t="str">
        <f aca="false">IF(J69=1,"OFFLINE",IF(AND(Q69&gt;=Inputs!$B$15,R69=1,S69=1,P69&lt;=L69),"PASS","FAIL"))</f>
        <v>PASS</v>
      </c>
    </row>
    <row r="70" customFormat="false" ht="15" hidden="false" customHeight="false" outlineLevel="0" collapsed="false">
      <c r="A70" s="14" t="s">
        <v>1018</v>
      </c>
      <c r="B70" s="14" t="s">
        <v>1019</v>
      </c>
      <c r="C70" s="14" t="s">
        <v>149</v>
      </c>
      <c r="D70" s="14" t="s">
        <v>186</v>
      </c>
      <c r="E70" s="14" t="s">
        <v>157</v>
      </c>
      <c r="F70" s="14" t="s">
        <v>183</v>
      </c>
      <c r="G70" s="14" t="n">
        <v>2</v>
      </c>
      <c r="H70" s="14" t="s">
        <v>153</v>
      </c>
      <c r="I70" s="14" t="s">
        <v>895</v>
      </c>
      <c r="J70" s="15" t="n">
        <f aca="false">IF(B70="SITE LOSS",IF(D70=C70,1,0),IF(B70="REGION LOSS",IF(E70=C70,1,0),0))</f>
        <v>0</v>
      </c>
      <c r="K70" s="15" t="n">
        <f aca="false">IF(B70="SITE LOSS",IF(COUNTIFS('Site Dockets'!$B$7:$B$24,C70,'Site Dockets'!$C$7:$C$24,F70)&gt;0,1,0),IF(B70="REGION LOSS",IF(COUNTIFS('Site Dockets'!$E$7:$E$24,C70,'Site Dockets'!$C$7:$C$24,F70)&gt;0,1,0),0))</f>
        <v>0</v>
      </c>
      <c r="L70" s="15" t="n">
        <f aca="false">IF(J70=1,0,Inputs!$B$11)</f>
        <v>100</v>
      </c>
      <c r="M70" s="15" t="n">
        <f aca="false">IF(J70=1,0,Inputs!$B$12)</f>
        <v>75</v>
      </c>
      <c r="N70" s="15" t="n">
        <f aca="false">IF(J70=1,0,IF(OR(AND(OR(B70="SITE LOSS",B70="REGION LOSS"),K70=1),AND(B70="ROLE COMPROMISE",H70=C70)),Inputs!$B$13,Inputs!$B$14))</f>
        <v>10</v>
      </c>
      <c r="O70" s="15" t="n">
        <f aca="false">IF(J70=1,0,Inputs!$B$13)</f>
        <v>20</v>
      </c>
      <c r="P70" s="15" t="n">
        <f aca="false">SUM(M70:N70)</f>
        <v>85</v>
      </c>
      <c r="Q70" s="15" t="n">
        <f aca="false">IF(J70=1,"",L70-P70)</f>
        <v>15</v>
      </c>
      <c r="R70" s="15" t="n">
        <f aca="false">IF(OR(J70=1,M70&lt;=Inputs!$B$12),1,0)</f>
        <v>1</v>
      </c>
      <c r="S70" s="15" t="n">
        <f aca="false">IF(OR(J70=1,N70&lt;=O70),1,0)</f>
        <v>1</v>
      </c>
      <c r="T70" s="15" t="str">
        <f aca="false">IF(J70=1,"OFFLINE",IF(AND(Q70&gt;=Inputs!$B$15,R70=1,S70=1,P70&lt;=L70),"PASS","FAIL"))</f>
        <v>PASS</v>
      </c>
    </row>
    <row r="71" customFormat="false" ht="15" hidden="false" customHeight="false" outlineLevel="0" collapsed="false">
      <c r="A71" s="14" t="s">
        <v>1018</v>
      </c>
      <c r="B71" s="14" t="s">
        <v>1019</v>
      </c>
      <c r="C71" s="14" t="s">
        <v>149</v>
      </c>
      <c r="D71" s="14" t="s">
        <v>186</v>
      </c>
      <c r="E71" s="14" t="s">
        <v>157</v>
      </c>
      <c r="F71" s="14" t="s">
        <v>183</v>
      </c>
      <c r="G71" s="14" t="n">
        <v>2</v>
      </c>
      <c r="H71" s="14" t="s">
        <v>153</v>
      </c>
      <c r="I71" s="14" t="s">
        <v>897</v>
      </c>
      <c r="J71" s="15" t="n">
        <f aca="false">IF(B71="SITE LOSS",IF(D71=C71,1,0),IF(B71="REGION LOSS",IF(E71=C71,1,0),0))</f>
        <v>0</v>
      </c>
      <c r="K71" s="15" t="n">
        <f aca="false">IF(B71="SITE LOSS",IF(COUNTIFS('Site Dockets'!$B$7:$B$24,C71,'Site Dockets'!$C$7:$C$24,F71)&gt;0,1,0),IF(B71="REGION LOSS",IF(COUNTIFS('Site Dockets'!$E$7:$E$24,C71,'Site Dockets'!$C$7:$C$24,F71)&gt;0,1,0),0))</f>
        <v>0</v>
      </c>
      <c r="L71" s="15" t="n">
        <f aca="false">IF(J71=1,0,Inputs!$B$11)</f>
        <v>100</v>
      </c>
      <c r="M71" s="15" t="n">
        <f aca="false">IF(J71=1,0,Inputs!$B$12)</f>
        <v>75</v>
      </c>
      <c r="N71" s="15" t="n">
        <f aca="false">IF(J71=1,0,IF(OR(AND(OR(B71="SITE LOSS",B71="REGION LOSS"),K71=1),AND(B71="ROLE COMPROMISE",H71=C71)),Inputs!$B$13,Inputs!$B$14))</f>
        <v>10</v>
      </c>
      <c r="O71" s="15" t="n">
        <f aca="false">IF(J71=1,0,Inputs!$B$13)</f>
        <v>20</v>
      </c>
      <c r="P71" s="15" t="n">
        <f aca="false">SUM(M71:N71)</f>
        <v>85</v>
      </c>
      <c r="Q71" s="15" t="n">
        <f aca="false">IF(J71=1,"",L71-P71)</f>
        <v>15</v>
      </c>
      <c r="R71" s="15" t="n">
        <f aca="false">IF(OR(J71=1,M71&lt;=Inputs!$B$12),1,0)</f>
        <v>1</v>
      </c>
      <c r="S71" s="15" t="n">
        <f aca="false">IF(OR(J71=1,N71&lt;=O71),1,0)</f>
        <v>1</v>
      </c>
      <c r="T71" s="15" t="str">
        <f aca="false">IF(J71=1,"OFFLINE",IF(AND(Q71&gt;=Inputs!$B$15,R71=1,S71=1,P71&lt;=L71),"PASS","FAIL"))</f>
        <v>PASS</v>
      </c>
    </row>
    <row r="72" customFormat="false" ht="15" hidden="false" customHeight="false" outlineLevel="0" collapsed="false">
      <c r="A72" s="14" t="s">
        <v>1018</v>
      </c>
      <c r="B72" s="14" t="s">
        <v>1019</v>
      </c>
      <c r="C72" s="14" t="s">
        <v>149</v>
      </c>
      <c r="D72" s="14" t="s">
        <v>186</v>
      </c>
      <c r="E72" s="14" t="s">
        <v>157</v>
      </c>
      <c r="F72" s="14" t="s">
        <v>183</v>
      </c>
      <c r="G72" s="14" t="n">
        <v>2</v>
      </c>
      <c r="H72" s="14" t="s">
        <v>153</v>
      </c>
      <c r="I72" s="14" t="s">
        <v>899</v>
      </c>
      <c r="J72" s="15" t="n">
        <f aca="false">IF(B72="SITE LOSS",IF(D72=C72,1,0),IF(B72="REGION LOSS",IF(E72=C72,1,0),0))</f>
        <v>0</v>
      </c>
      <c r="K72" s="15" t="n">
        <f aca="false">IF(B72="SITE LOSS",IF(COUNTIFS('Site Dockets'!$B$7:$B$24,C72,'Site Dockets'!$C$7:$C$24,F72)&gt;0,1,0),IF(B72="REGION LOSS",IF(COUNTIFS('Site Dockets'!$E$7:$E$24,C72,'Site Dockets'!$C$7:$C$24,F72)&gt;0,1,0),0))</f>
        <v>0</v>
      </c>
      <c r="L72" s="15" t="n">
        <f aca="false">IF(J72=1,0,Inputs!$B$11)</f>
        <v>100</v>
      </c>
      <c r="M72" s="15" t="n">
        <f aca="false">IF(J72=1,0,Inputs!$B$12)</f>
        <v>75</v>
      </c>
      <c r="N72" s="15" t="n">
        <f aca="false">IF(J72=1,0,IF(OR(AND(OR(B72="SITE LOSS",B72="REGION LOSS"),K72=1),AND(B72="ROLE COMPROMISE",H72=C72)),Inputs!$B$13,Inputs!$B$14))</f>
        <v>10</v>
      </c>
      <c r="O72" s="15" t="n">
        <f aca="false">IF(J72=1,0,Inputs!$B$13)</f>
        <v>20</v>
      </c>
      <c r="P72" s="15" t="n">
        <f aca="false">SUM(M72:N72)</f>
        <v>85</v>
      </c>
      <c r="Q72" s="15" t="n">
        <f aca="false">IF(J72=1,"",L72-P72)</f>
        <v>15</v>
      </c>
      <c r="R72" s="15" t="n">
        <f aca="false">IF(OR(J72=1,M72&lt;=Inputs!$B$12),1,0)</f>
        <v>1</v>
      </c>
      <c r="S72" s="15" t="n">
        <f aca="false">IF(OR(J72=1,N72&lt;=O72),1,0)</f>
        <v>1</v>
      </c>
      <c r="T72" s="15" t="str">
        <f aca="false">IF(J72=1,"OFFLINE",IF(AND(Q72&gt;=Inputs!$B$15,R72=1,S72=1,P72&lt;=L72),"PASS","FAIL"))</f>
        <v>PASS</v>
      </c>
    </row>
    <row r="73" customFormat="false" ht="15" hidden="false" customHeight="false" outlineLevel="0" collapsed="false">
      <c r="A73" s="14" t="s">
        <v>1018</v>
      </c>
      <c r="B73" s="14" t="s">
        <v>1019</v>
      </c>
      <c r="C73" s="14" t="s">
        <v>149</v>
      </c>
      <c r="D73" s="14" t="s">
        <v>188</v>
      </c>
      <c r="E73" s="14" t="s">
        <v>172</v>
      </c>
      <c r="F73" s="14" t="s">
        <v>183</v>
      </c>
      <c r="G73" s="14" t="n">
        <v>3</v>
      </c>
      <c r="H73" s="14" t="s">
        <v>158</v>
      </c>
      <c r="I73" s="14" t="s">
        <v>890</v>
      </c>
      <c r="J73" s="15" t="n">
        <f aca="false">IF(B73="SITE LOSS",IF(D73=C73,1,0),IF(B73="REGION LOSS",IF(E73=C73,1,0),0))</f>
        <v>0</v>
      </c>
      <c r="K73" s="15" t="n">
        <f aca="false">IF(B73="SITE LOSS",IF(COUNTIFS('Site Dockets'!$B$7:$B$24,C73,'Site Dockets'!$C$7:$C$24,F73)&gt;0,1,0),IF(B73="REGION LOSS",IF(COUNTIFS('Site Dockets'!$E$7:$E$24,C73,'Site Dockets'!$C$7:$C$24,F73)&gt;0,1,0),0))</f>
        <v>0</v>
      </c>
      <c r="L73" s="15" t="n">
        <f aca="false">IF(J73=1,0,Inputs!$B$11)</f>
        <v>100</v>
      </c>
      <c r="M73" s="15" t="n">
        <f aca="false">IF(J73=1,0,Inputs!$B$12)</f>
        <v>75</v>
      </c>
      <c r="N73" s="15" t="n">
        <f aca="false">IF(J73=1,0,IF(OR(AND(OR(B73="SITE LOSS",B73="REGION LOSS"),K73=1),AND(B73="ROLE COMPROMISE",H73=C73)),Inputs!$B$13,Inputs!$B$14))</f>
        <v>10</v>
      </c>
      <c r="O73" s="15" t="n">
        <f aca="false">IF(J73=1,0,Inputs!$B$13)</f>
        <v>20</v>
      </c>
      <c r="P73" s="15" t="n">
        <f aca="false">SUM(M73:N73)</f>
        <v>85</v>
      </c>
      <c r="Q73" s="15" t="n">
        <f aca="false">IF(J73=1,"",L73-P73)</f>
        <v>15</v>
      </c>
      <c r="R73" s="15" t="n">
        <f aca="false">IF(OR(J73=1,M73&lt;=Inputs!$B$12),1,0)</f>
        <v>1</v>
      </c>
      <c r="S73" s="15" t="n">
        <f aca="false">IF(OR(J73=1,N73&lt;=O73),1,0)</f>
        <v>1</v>
      </c>
      <c r="T73" s="15" t="str">
        <f aca="false">IF(J73=1,"OFFLINE",IF(AND(Q73&gt;=Inputs!$B$15,R73=1,S73=1,P73&lt;=L73),"PASS","FAIL"))</f>
        <v>PASS</v>
      </c>
    </row>
    <row r="74" customFormat="false" ht="15" hidden="false" customHeight="false" outlineLevel="0" collapsed="false">
      <c r="A74" s="14" t="s">
        <v>1018</v>
      </c>
      <c r="B74" s="14" t="s">
        <v>1019</v>
      </c>
      <c r="C74" s="14" t="s">
        <v>149</v>
      </c>
      <c r="D74" s="14" t="s">
        <v>188</v>
      </c>
      <c r="E74" s="14" t="s">
        <v>172</v>
      </c>
      <c r="F74" s="14" t="s">
        <v>183</v>
      </c>
      <c r="G74" s="14" t="n">
        <v>3</v>
      </c>
      <c r="H74" s="14" t="s">
        <v>158</v>
      </c>
      <c r="I74" s="14" t="s">
        <v>892</v>
      </c>
      <c r="J74" s="15" t="n">
        <f aca="false">IF(B74="SITE LOSS",IF(D74=C74,1,0),IF(B74="REGION LOSS",IF(E74=C74,1,0),0))</f>
        <v>0</v>
      </c>
      <c r="K74" s="15" t="n">
        <f aca="false">IF(B74="SITE LOSS",IF(COUNTIFS('Site Dockets'!$B$7:$B$24,C74,'Site Dockets'!$C$7:$C$24,F74)&gt;0,1,0),IF(B74="REGION LOSS",IF(COUNTIFS('Site Dockets'!$E$7:$E$24,C74,'Site Dockets'!$C$7:$C$24,F74)&gt;0,1,0),0))</f>
        <v>0</v>
      </c>
      <c r="L74" s="15" t="n">
        <f aca="false">IF(J74=1,0,Inputs!$B$11)</f>
        <v>100</v>
      </c>
      <c r="M74" s="15" t="n">
        <f aca="false">IF(J74=1,0,Inputs!$B$12)</f>
        <v>75</v>
      </c>
      <c r="N74" s="15" t="n">
        <f aca="false">IF(J74=1,0,IF(OR(AND(OR(B74="SITE LOSS",B74="REGION LOSS"),K74=1),AND(B74="ROLE COMPROMISE",H74=C74)),Inputs!$B$13,Inputs!$B$14))</f>
        <v>10</v>
      </c>
      <c r="O74" s="15" t="n">
        <f aca="false">IF(J74=1,0,Inputs!$B$13)</f>
        <v>20</v>
      </c>
      <c r="P74" s="15" t="n">
        <f aca="false">SUM(M74:N74)</f>
        <v>85</v>
      </c>
      <c r="Q74" s="15" t="n">
        <f aca="false">IF(J74=1,"",L74-P74)</f>
        <v>15</v>
      </c>
      <c r="R74" s="15" t="n">
        <f aca="false">IF(OR(J74=1,M74&lt;=Inputs!$B$12),1,0)</f>
        <v>1</v>
      </c>
      <c r="S74" s="15" t="n">
        <f aca="false">IF(OR(J74=1,N74&lt;=O74),1,0)</f>
        <v>1</v>
      </c>
      <c r="T74" s="15" t="str">
        <f aca="false">IF(J74=1,"OFFLINE",IF(AND(Q74&gt;=Inputs!$B$15,R74=1,S74=1,P74&lt;=L74),"PASS","FAIL"))</f>
        <v>PASS</v>
      </c>
    </row>
    <row r="75" customFormat="false" ht="15" hidden="false" customHeight="false" outlineLevel="0" collapsed="false">
      <c r="A75" s="14" t="s">
        <v>1018</v>
      </c>
      <c r="B75" s="14" t="s">
        <v>1019</v>
      </c>
      <c r="C75" s="14" t="s">
        <v>149</v>
      </c>
      <c r="D75" s="14" t="s">
        <v>188</v>
      </c>
      <c r="E75" s="14" t="s">
        <v>172</v>
      </c>
      <c r="F75" s="14" t="s">
        <v>183</v>
      </c>
      <c r="G75" s="14" t="n">
        <v>3</v>
      </c>
      <c r="H75" s="14" t="s">
        <v>158</v>
      </c>
      <c r="I75" s="14" t="s">
        <v>811</v>
      </c>
      <c r="J75" s="15" t="n">
        <f aca="false">IF(B75="SITE LOSS",IF(D75=C75,1,0),IF(B75="REGION LOSS",IF(E75=C75,1,0),0))</f>
        <v>0</v>
      </c>
      <c r="K75" s="15" t="n">
        <f aca="false">IF(B75="SITE LOSS",IF(COUNTIFS('Site Dockets'!$B$7:$B$24,C75,'Site Dockets'!$C$7:$C$24,F75)&gt;0,1,0),IF(B75="REGION LOSS",IF(COUNTIFS('Site Dockets'!$E$7:$E$24,C75,'Site Dockets'!$C$7:$C$24,F75)&gt;0,1,0),0))</f>
        <v>0</v>
      </c>
      <c r="L75" s="15" t="n">
        <f aca="false">IF(J75=1,0,Inputs!$B$11)</f>
        <v>100</v>
      </c>
      <c r="M75" s="15" t="n">
        <f aca="false">IF(J75=1,0,Inputs!$B$12)</f>
        <v>75</v>
      </c>
      <c r="N75" s="15" t="n">
        <f aca="false">IF(J75=1,0,IF(OR(AND(OR(B75="SITE LOSS",B75="REGION LOSS"),K75=1),AND(B75="ROLE COMPROMISE",H75=C75)),Inputs!$B$13,Inputs!$B$14))</f>
        <v>10</v>
      </c>
      <c r="O75" s="15" t="n">
        <f aca="false">IF(J75=1,0,Inputs!$B$13)</f>
        <v>20</v>
      </c>
      <c r="P75" s="15" t="n">
        <f aca="false">SUM(M75:N75)</f>
        <v>85</v>
      </c>
      <c r="Q75" s="15" t="n">
        <f aca="false">IF(J75=1,"",L75-P75)</f>
        <v>15</v>
      </c>
      <c r="R75" s="15" t="n">
        <f aca="false">IF(OR(J75=1,M75&lt;=Inputs!$B$12),1,0)</f>
        <v>1</v>
      </c>
      <c r="S75" s="15" t="n">
        <f aca="false">IF(OR(J75=1,N75&lt;=O75),1,0)</f>
        <v>1</v>
      </c>
      <c r="T75" s="15" t="str">
        <f aca="false">IF(J75=1,"OFFLINE",IF(AND(Q75&gt;=Inputs!$B$15,R75=1,S75=1,P75&lt;=L75),"PASS","FAIL"))</f>
        <v>PASS</v>
      </c>
    </row>
    <row r="76" customFormat="false" ht="15" hidden="false" customHeight="false" outlineLevel="0" collapsed="false">
      <c r="A76" s="14" t="s">
        <v>1018</v>
      </c>
      <c r="B76" s="14" t="s">
        <v>1019</v>
      </c>
      <c r="C76" s="14" t="s">
        <v>149</v>
      </c>
      <c r="D76" s="14" t="s">
        <v>188</v>
      </c>
      <c r="E76" s="14" t="s">
        <v>172</v>
      </c>
      <c r="F76" s="14" t="s">
        <v>183</v>
      </c>
      <c r="G76" s="14" t="n">
        <v>3</v>
      </c>
      <c r="H76" s="14" t="s">
        <v>158</v>
      </c>
      <c r="I76" s="14" t="s">
        <v>895</v>
      </c>
      <c r="J76" s="15" t="n">
        <f aca="false">IF(B76="SITE LOSS",IF(D76=C76,1,0),IF(B76="REGION LOSS",IF(E76=C76,1,0),0))</f>
        <v>0</v>
      </c>
      <c r="K76" s="15" t="n">
        <f aca="false">IF(B76="SITE LOSS",IF(COUNTIFS('Site Dockets'!$B$7:$B$24,C76,'Site Dockets'!$C$7:$C$24,F76)&gt;0,1,0),IF(B76="REGION LOSS",IF(COUNTIFS('Site Dockets'!$E$7:$E$24,C76,'Site Dockets'!$C$7:$C$24,F76)&gt;0,1,0),0))</f>
        <v>0</v>
      </c>
      <c r="L76" s="15" t="n">
        <f aca="false">IF(J76=1,0,Inputs!$B$11)</f>
        <v>100</v>
      </c>
      <c r="M76" s="15" t="n">
        <f aca="false">IF(J76=1,0,Inputs!$B$12)</f>
        <v>75</v>
      </c>
      <c r="N76" s="15" t="n">
        <f aca="false">IF(J76=1,0,IF(OR(AND(OR(B76="SITE LOSS",B76="REGION LOSS"),K76=1),AND(B76="ROLE COMPROMISE",H76=C76)),Inputs!$B$13,Inputs!$B$14))</f>
        <v>10</v>
      </c>
      <c r="O76" s="15" t="n">
        <f aca="false">IF(J76=1,0,Inputs!$B$13)</f>
        <v>20</v>
      </c>
      <c r="P76" s="15" t="n">
        <f aca="false">SUM(M76:N76)</f>
        <v>85</v>
      </c>
      <c r="Q76" s="15" t="n">
        <f aca="false">IF(J76=1,"",L76-P76)</f>
        <v>15</v>
      </c>
      <c r="R76" s="15" t="n">
        <f aca="false">IF(OR(J76=1,M76&lt;=Inputs!$B$12),1,0)</f>
        <v>1</v>
      </c>
      <c r="S76" s="15" t="n">
        <f aca="false">IF(OR(J76=1,N76&lt;=O76),1,0)</f>
        <v>1</v>
      </c>
      <c r="T76" s="15" t="str">
        <f aca="false">IF(J76=1,"OFFLINE",IF(AND(Q76&gt;=Inputs!$B$15,R76=1,S76=1,P76&lt;=L76),"PASS","FAIL"))</f>
        <v>PASS</v>
      </c>
    </row>
    <row r="77" customFormat="false" ht="15" hidden="false" customHeight="false" outlineLevel="0" collapsed="false">
      <c r="A77" s="14" t="s">
        <v>1018</v>
      </c>
      <c r="B77" s="14" t="s">
        <v>1019</v>
      </c>
      <c r="C77" s="14" t="s">
        <v>149</v>
      </c>
      <c r="D77" s="14" t="s">
        <v>188</v>
      </c>
      <c r="E77" s="14" t="s">
        <v>172</v>
      </c>
      <c r="F77" s="14" t="s">
        <v>183</v>
      </c>
      <c r="G77" s="14" t="n">
        <v>3</v>
      </c>
      <c r="H77" s="14" t="s">
        <v>158</v>
      </c>
      <c r="I77" s="14" t="s">
        <v>897</v>
      </c>
      <c r="J77" s="15" t="n">
        <f aca="false">IF(B77="SITE LOSS",IF(D77=C77,1,0),IF(B77="REGION LOSS",IF(E77=C77,1,0),0))</f>
        <v>0</v>
      </c>
      <c r="K77" s="15" t="n">
        <f aca="false">IF(B77="SITE LOSS",IF(COUNTIFS('Site Dockets'!$B$7:$B$24,C77,'Site Dockets'!$C$7:$C$24,F77)&gt;0,1,0),IF(B77="REGION LOSS",IF(COUNTIFS('Site Dockets'!$E$7:$E$24,C77,'Site Dockets'!$C$7:$C$24,F77)&gt;0,1,0),0))</f>
        <v>0</v>
      </c>
      <c r="L77" s="15" t="n">
        <f aca="false">IF(J77=1,0,Inputs!$B$11)</f>
        <v>100</v>
      </c>
      <c r="M77" s="15" t="n">
        <f aca="false">IF(J77=1,0,Inputs!$B$12)</f>
        <v>75</v>
      </c>
      <c r="N77" s="15" t="n">
        <f aca="false">IF(J77=1,0,IF(OR(AND(OR(B77="SITE LOSS",B77="REGION LOSS"),K77=1),AND(B77="ROLE COMPROMISE",H77=C77)),Inputs!$B$13,Inputs!$B$14))</f>
        <v>10</v>
      </c>
      <c r="O77" s="15" t="n">
        <f aca="false">IF(J77=1,0,Inputs!$B$13)</f>
        <v>20</v>
      </c>
      <c r="P77" s="15" t="n">
        <f aca="false">SUM(M77:N77)</f>
        <v>85</v>
      </c>
      <c r="Q77" s="15" t="n">
        <f aca="false">IF(J77=1,"",L77-P77)</f>
        <v>15</v>
      </c>
      <c r="R77" s="15" t="n">
        <f aca="false">IF(OR(J77=1,M77&lt;=Inputs!$B$12),1,0)</f>
        <v>1</v>
      </c>
      <c r="S77" s="15" t="n">
        <f aca="false">IF(OR(J77=1,N77&lt;=O77),1,0)</f>
        <v>1</v>
      </c>
      <c r="T77" s="15" t="str">
        <f aca="false">IF(J77=1,"OFFLINE",IF(AND(Q77&gt;=Inputs!$B$15,R77=1,S77=1,P77&lt;=L77),"PASS","FAIL"))</f>
        <v>PASS</v>
      </c>
    </row>
    <row r="78" customFormat="false" ht="15" hidden="false" customHeight="false" outlineLevel="0" collapsed="false">
      <c r="A78" s="14" t="s">
        <v>1018</v>
      </c>
      <c r="B78" s="14" t="s">
        <v>1019</v>
      </c>
      <c r="C78" s="14" t="s">
        <v>149</v>
      </c>
      <c r="D78" s="14" t="s">
        <v>188</v>
      </c>
      <c r="E78" s="14" t="s">
        <v>172</v>
      </c>
      <c r="F78" s="14" t="s">
        <v>183</v>
      </c>
      <c r="G78" s="14" t="n">
        <v>3</v>
      </c>
      <c r="H78" s="14" t="s">
        <v>158</v>
      </c>
      <c r="I78" s="14" t="s">
        <v>899</v>
      </c>
      <c r="J78" s="15" t="n">
        <f aca="false">IF(B78="SITE LOSS",IF(D78=C78,1,0),IF(B78="REGION LOSS",IF(E78=C78,1,0),0))</f>
        <v>0</v>
      </c>
      <c r="K78" s="15" t="n">
        <f aca="false">IF(B78="SITE LOSS",IF(COUNTIFS('Site Dockets'!$B$7:$B$24,C78,'Site Dockets'!$C$7:$C$24,F78)&gt;0,1,0),IF(B78="REGION LOSS",IF(COUNTIFS('Site Dockets'!$E$7:$E$24,C78,'Site Dockets'!$C$7:$C$24,F78)&gt;0,1,0),0))</f>
        <v>0</v>
      </c>
      <c r="L78" s="15" t="n">
        <f aca="false">IF(J78=1,0,Inputs!$B$11)</f>
        <v>100</v>
      </c>
      <c r="M78" s="15" t="n">
        <f aca="false">IF(J78=1,0,Inputs!$B$12)</f>
        <v>75</v>
      </c>
      <c r="N78" s="15" t="n">
        <f aca="false">IF(J78=1,0,IF(OR(AND(OR(B78="SITE LOSS",B78="REGION LOSS"),K78=1),AND(B78="ROLE COMPROMISE",H78=C78)),Inputs!$B$13,Inputs!$B$14))</f>
        <v>10</v>
      </c>
      <c r="O78" s="15" t="n">
        <f aca="false">IF(J78=1,0,Inputs!$B$13)</f>
        <v>20</v>
      </c>
      <c r="P78" s="15" t="n">
        <f aca="false">SUM(M78:N78)</f>
        <v>85</v>
      </c>
      <c r="Q78" s="15" t="n">
        <f aca="false">IF(J78=1,"",L78-P78)</f>
        <v>15</v>
      </c>
      <c r="R78" s="15" t="n">
        <f aca="false">IF(OR(J78=1,M78&lt;=Inputs!$B$12),1,0)</f>
        <v>1</v>
      </c>
      <c r="S78" s="15" t="n">
        <f aca="false">IF(OR(J78=1,N78&lt;=O78),1,0)</f>
        <v>1</v>
      </c>
      <c r="T78" s="15" t="str">
        <f aca="false">IF(J78=1,"OFFLINE",IF(AND(Q78&gt;=Inputs!$B$15,R78=1,S78=1,P78&lt;=L78),"PASS","FAIL"))</f>
        <v>PASS</v>
      </c>
    </row>
    <row r="79" customFormat="false" ht="15" hidden="false" customHeight="false" outlineLevel="0" collapsed="false">
      <c r="A79" s="14" t="s">
        <v>1018</v>
      </c>
      <c r="B79" s="14" t="s">
        <v>1019</v>
      </c>
      <c r="C79" s="14" t="s">
        <v>149</v>
      </c>
      <c r="D79" s="14" t="s">
        <v>190</v>
      </c>
      <c r="E79" s="14" t="s">
        <v>152</v>
      </c>
      <c r="F79" s="14" t="s">
        <v>191</v>
      </c>
      <c r="G79" s="14" t="n">
        <v>1</v>
      </c>
      <c r="H79" s="14" t="s">
        <v>154</v>
      </c>
      <c r="I79" s="14" t="s">
        <v>890</v>
      </c>
      <c r="J79" s="15" t="n">
        <f aca="false">IF(B79="SITE LOSS",IF(D79=C79,1,0),IF(B79="REGION LOSS",IF(E79=C79,1,0),0))</f>
        <v>0</v>
      </c>
      <c r="K79" s="15" t="n">
        <f aca="false">IF(B79="SITE LOSS",IF(COUNTIFS('Site Dockets'!$B$7:$B$24,C79,'Site Dockets'!$C$7:$C$24,F79)&gt;0,1,0),IF(B79="REGION LOSS",IF(COUNTIFS('Site Dockets'!$E$7:$E$24,C79,'Site Dockets'!$C$7:$C$24,F79)&gt;0,1,0),0))</f>
        <v>0</v>
      </c>
      <c r="L79" s="15" t="n">
        <f aca="false">IF(J79=1,0,Inputs!$B$11)</f>
        <v>100</v>
      </c>
      <c r="M79" s="15" t="n">
        <f aca="false">IF(J79=1,0,Inputs!$B$12)</f>
        <v>75</v>
      </c>
      <c r="N79" s="15" t="n">
        <f aca="false">IF(J79=1,0,IF(OR(AND(OR(B79="SITE LOSS",B79="REGION LOSS"),K79=1),AND(B79="ROLE COMPROMISE",H79=C79)),Inputs!$B$13,Inputs!$B$14))</f>
        <v>10</v>
      </c>
      <c r="O79" s="15" t="n">
        <f aca="false">IF(J79=1,0,Inputs!$B$13)</f>
        <v>20</v>
      </c>
      <c r="P79" s="15" t="n">
        <f aca="false">SUM(M79:N79)</f>
        <v>85</v>
      </c>
      <c r="Q79" s="15" t="n">
        <f aca="false">IF(J79=1,"",L79-P79)</f>
        <v>15</v>
      </c>
      <c r="R79" s="15" t="n">
        <f aca="false">IF(OR(J79=1,M79&lt;=Inputs!$B$12),1,0)</f>
        <v>1</v>
      </c>
      <c r="S79" s="15" t="n">
        <f aca="false">IF(OR(J79=1,N79&lt;=O79),1,0)</f>
        <v>1</v>
      </c>
      <c r="T79" s="15" t="str">
        <f aca="false">IF(J79=1,"OFFLINE",IF(AND(Q79&gt;=Inputs!$B$15,R79=1,S79=1,P79&lt;=L79),"PASS","FAIL"))</f>
        <v>PASS</v>
      </c>
    </row>
    <row r="80" customFormat="false" ht="15" hidden="false" customHeight="false" outlineLevel="0" collapsed="false">
      <c r="A80" s="14" t="s">
        <v>1018</v>
      </c>
      <c r="B80" s="14" t="s">
        <v>1019</v>
      </c>
      <c r="C80" s="14" t="s">
        <v>149</v>
      </c>
      <c r="D80" s="14" t="s">
        <v>190</v>
      </c>
      <c r="E80" s="14" t="s">
        <v>152</v>
      </c>
      <c r="F80" s="14" t="s">
        <v>191</v>
      </c>
      <c r="G80" s="14" t="n">
        <v>1</v>
      </c>
      <c r="H80" s="14" t="s">
        <v>154</v>
      </c>
      <c r="I80" s="14" t="s">
        <v>892</v>
      </c>
      <c r="J80" s="15" t="n">
        <f aca="false">IF(B80="SITE LOSS",IF(D80=C80,1,0),IF(B80="REGION LOSS",IF(E80=C80,1,0),0))</f>
        <v>0</v>
      </c>
      <c r="K80" s="15" t="n">
        <f aca="false">IF(B80="SITE LOSS",IF(COUNTIFS('Site Dockets'!$B$7:$B$24,C80,'Site Dockets'!$C$7:$C$24,F80)&gt;0,1,0),IF(B80="REGION LOSS",IF(COUNTIFS('Site Dockets'!$E$7:$E$24,C80,'Site Dockets'!$C$7:$C$24,F80)&gt;0,1,0),0))</f>
        <v>0</v>
      </c>
      <c r="L80" s="15" t="n">
        <f aca="false">IF(J80=1,0,Inputs!$B$11)</f>
        <v>100</v>
      </c>
      <c r="M80" s="15" t="n">
        <f aca="false">IF(J80=1,0,Inputs!$B$12)</f>
        <v>75</v>
      </c>
      <c r="N80" s="15" t="n">
        <f aca="false">IF(J80=1,0,IF(OR(AND(OR(B80="SITE LOSS",B80="REGION LOSS"),K80=1),AND(B80="ROLE COMPROMISE",H80=C80)),Inputs!$B$13,Inputs!$B$14))</f>
        <v>10</v>
      </c>
      <c r="O80" s="15" t="n">
        <f aca="false">IF(J80=1,0,Inputs!$B$13)</f>
        <v>20</v>
      </c>
      <c r="P80" s="15" t="n">
        <f aca="false">SUM(M80:N80)</f>
        <v>85</v>
      </c>
      <c r="Q80" s="15" t="n">
        <f aca="false">IF(J80=1,"",L80-P80)</f>
        <v>15</v>
      </c>
      <c r="R80" s="15" t="n">
        <f aca="false">IF(OR(J80=1,M80&lt;=Inputs!$B$12),1,0)</f>
        <v>1</v>
      </c>
      <c r="S80" s="15" t="n">
        <f aca="false">IF(OR(J80=1,N80&lt;=O80),1,0)</f>
        <v>1</v>
      </c>
      <c r="T80" s="15" t="str">
        <f aca="false">IF(J80=1,"OFFLINE",IF(AND(Q80&gt;=Inputs!$B$15,R80=1,S80=1,P80&lt;=L80),"PASS","FAIL"))</f>
        <v>PASS</v>
      </c>
    </row>
    <row r="81" customFormat="false" ht="15" hidden="false" customHeight="false" outlineLevel="0" collapsed="false">
      <c r="A81" s="14" t="s">
        <v>1018</v>
      </c>
      <c r="B81" s="14" t="s">
        <v>1019</v>
      </c>
      <c r="C81" s="14" t="s">
        <v>149</v>
      </c>
      <c r="D81" s="14" t="s">
        <v>190</v>
      </c>
      <c r="E81" s="14" t="s">
        <v>152</v>
      </c>
      <c r="F81" s="14" t="s">
        <v>191</v>
      </c>
      <c r="G81" s="14" t="n">
        <v>1</v>
      </c>
      <c r="H81" s="14" t="s">
        <v>154</v>
      </c>
      <c r="I81" s="14" t="s">
        <v>811</v>
      </c>
      <c r="J81" s="15" t="n">
        <f aca="false">IF(B81="SITE LOSS",IF(D81=C81,1,0),IF(B81="REGION LOSS",IF(E81=C81,1,0),0))</f>
        <v>0</v>
      </c>
      <c r="K81" s="15" t="n">
        <f aca="false">IF(B81="SITE LOSS",IF(COUNTIFS('Site Dockets'!$B$7:$B$24,C81,'Site Dockets'!$C$7:$C$24,F81)&gt;0,1,0),IF(B81="REGION LOSS",IF(COUNTIFS('Site Dockets'!$E$7:$E$24,C81,'Site Dockets'!$C$7:$C$24,F81)&gt;0,1,0),0))</f>
        <v>0</v>
      </c>
      <c r="L81" s="15" t="n">
        <f aca="false">IF(J81=1,0,Inputs!$B$11)</f>
        <v>100</v>
      </c>
      <c r="M81" s="15" t="n">
        <f aca="false">IF(J81=1,0,Inputs!$B$12)</f>
        <v>75</v>
      </c>
      <c r="N81" s="15" t="n">
        <f aca="false">IF(J81=1,0,IF(OR(AND(OR(B81="SITE LOSS",B81="REGION LOSS"),K81=1),AND(B81="ROLE COMPROMISE",H81=C81)),Inputs!$B$13,Inputs!$B$14))</f>
        <v>10</v>
      </c>
      <c r="O81" s="15" t="n">
        <f aca="false">IF(J81=1,0,Inputs!$B$13)</f>
        <v>20</v>
      </c>
      <c r="P81" s="15" t="n">
        <f aca="false">SUM(M81:N81)</f>
        <v>85</v>
      </c>
      <c r="Q81" s="15" t="n">
        <f aca="false">IF(J81=1,"",L81-P81)</f>
        <v>15</v>
      </c>
      <c r="R81" s="15" t="n">
        <f aca="false">IF(OR(J81=1,M81&lt;=Inputs!$B$12),1,0)</f>
        <v>1</v>
      </c>
      <c r="S81" s="15" t="n">
        <f aca="false">IF(OR(J81=1,N81&lt;=O81),1,0)</f>
        <v>1</v>
      </c>
      <c r="T81" s="15" t="str">
        <f aca="false">IF(J81=1,"OFFLINE",IF(AND(Q81&gt;=Inputs!$B$15,R81=1,S81=1,P81&lt;=L81),"PASS","FAIL"))</f>
        <v>PASS</v>
      </c>
    </row>
    <row r="82" customFormat="false" ht="15" hidden="false" customHeight="false" outlineLevel="0" collapsed="false">
      <c r="A82" s="14" t="s">
        <v>1018</v>
      </c>
      <c r="B82" s="14" t="s">
        <v>1019</v>
      </c>
      <c r="C82" s="14" t="s">
        <v>149</v>
      </c>
      <c r="D82" s="14" t="s">
        <v>190</v>
      </c>
      <c r="E82" s="14" t="s">
        <v>152</v>
      </c>
      <c r="F82" s="14" t="s">
        <v>191</v>
      </c>
      <c r="G82" s="14" t="n">
        <v>1</v>
      </c>
      <c r="H82" s="14" t="s">
        <v>154</v>
      </c>
      <c r="I82" s="14" t="s">
        <v>895</v>
      </c>
      <c r="J82" s="15" t="n">
        <f aca="false">IF(B82="SITE LOSS",IF(D82=C82,1,0),IF(B82="REGION LOSS",IF(E82=C82,1,0),0))</f>
        <v>0</v>
      </c>
      <c r="K82" s="15" t="n">
        <f aca="false">IF(B82="SITE LOSS",IF(COUNTIFS('Site Dockets'!$B$7:$B$24,C82,'Site Dockets'!$C$7:$C$24,F82)&gt;0,1,0),IF(B82="REGION LOSS",IF(COUNTIFS('Site Dockets'!$E$7:$E$24,C82,'Site Dockets'!$C$7:$C$24,F82)&gt;0,1,0),0))</f>
        <v>0</v>
      </c>
      <c r="L82" s="15" t="n">
        <f aca="false">IF(J82=1,0,Inputs!$B$11)</f>
        <v>100</v>
      </c>
      <c r="M82" s="15" t="n">
        <f aca="false">IF(J82=1,0,Inputs!$B$12)</f>
        <v>75</v>
      </c>
      <c r="N82" s="15" t="n">
        <f aca="false">IF(J82=1,0,IF(OR(AND(OR(B82="SITE LOSS",B82="REGION LOSS"),K82=1),AND(B82="ROLE COMPROMISE",H82=C82)),Inputs!$B$13,Inputs!$B$14))</f>
        <v>10</v>
      </c>
      <c r="O82" s="15" t="n">
        <f aca="false">IF(J82=1,0,Inputs!$B$13)</f>
        <v>20</v>
      </c>
      <c r="P82" s="15" t="n">
        <f aca="false">SUM(M82:N82)</f>
        <v>85</v>
      </c>
      <c r="Q82" s="15" t="n">
        <f aca="false">IF(J82=1,"",L82-P82)</f>
        <v>15</v>
      </c>
      <c r="R82" s="15" t="n">
        <f aca="false">IF(OR(J82=1,M82&lt;=Inputs!$B$12),1,0)</f>
        <v>1</v>
      </c>
      <c r="S82" s="15" t="n">
        <f aca="false">IF(OR(J82=1,N82&lt;=O82),1,0)</f>
        <v>1</v>
      </c>
      <c r="T82" s="15" t="str">
        <f aca="false">IF(J82=1,"OFFLINE",IF(AND(Q82&gt;=Inputs!$B$15,R82=1,S82=1,P82&lt;=L82),"PASS","FAIL"))</f>
        <v>PASS</v>
      </c>
    </row>
    <row r="83" customFormat="false" ht="15" hidden="false" customHeight="false" outlineLevel="0" collapsed="false">
      <c r="A83" s="14" t="s">
        <v>1018</v>
      </c>
      <c r="B83" s="14" t="s">
        <v>1019</v>
      </c>
      <c r="C83" s="14" t="s">
        <v>149</v>
      </c>
      <c r="D83" s="14" t="s">
        <v>190</v>
      </c>
      <c r="E83" s="14" t="s">
        <v>152</v>
      </c>
      <c r="F83" s="14" t="s">
        <v>191</v>
      </c>
      <c r="G83" s="14" t="n">
        <v>1</v>
      </c>
      <c r="H83" s="14" t="s">
        <v>154</v>
      </c>
      <c r="I83" s="14" t="s">
        <v>897</v>
      </c>
      <c r="J83" s="15" t="n">
        <f aca="false">IF(B83="SITE LOSS",IF(D83=C83,1,0),IF(B83="REGION LOSS",IF(E83=C83,1,0),0))</f>
        <v>0</v>
      </c>
      <c r="K83" s="15" t="n">
        <f aca="false">IF(B83="SITE LOSS",IF(COUNTIFS('Site Dockets'!$B$7:$B$24,C83,'Site Dockets'!$C$7:$C$24,F83)&gt;0,1,0),IF(B83="REGION LOSS",IF(COUNTIFS('Site Dockets'!$E$7:$E$24,C83,'Site Dockets'!$C$7:$C$24,F83)&gt;0,1,0),0))</f>
        <v>0</v>
      </c>
      <c r="L83" s="15" t="n">
        <f aca="false">IF(J83=1,0,Inputs!$B$11)</f>
        <v>100</v>
      </c>
      <c r="M83" s="15" t="n">
        <f aca="false">IF(J83=1,0,Inputs!$B$12)</f>
        <v>75</v>
      </c>
      <c r="N83" s="15" t="n">
        <f aca="false">IF(J83=1,0,IF(OR(AND(OR(B83="SITE LOSS",B83="REGION LOSS"),K83=1),AND(B83="ROLE COMPROMISE",H83=C83)),Inputs!$B$13,Inputs!$B$14))</f>
        <v>10</v>
      </c>
      <c r="O83" s="15" t="n">
        <f aca="false">IF(J83=1,0,Inputs!$B$13)</f>
        <v>20</v>
      </c>
      <c r="P83" s="15" t="n">
        <f aca="false">SUM(M83:N83)</f>
        <v>85</v>
      </c>
      <c r="Q83" s="15" t="n">
        <f aca="false">IF(J83=1,"",L83-P83)</f>
        <v>15</v>
      </c>
      <c r="R83" s="15" t="n">
        <f aca="false">IF(OR(J83=1,M83&lt;=Inputs!$B$12),1,0)</f>
        <v>1</v>
      </c>
      <c r="S83" s="15" t="n">
        <f aca="false">IF(OR(J83=1,N83&lt;=O83),1,0)</f>
        <v>1</v>
      </c>
      <c r="T83" s="15" t="str">
        <f aca="false">IF(J83=1,"OFFLINE",IF(AND(Q83&gt;=Inputs!$B$15,R83=1,S83=1,P83&lt;=L83),"PASS","FAIL"))</f>
        <v>PASS</v>
      </c>
    </row>
    <row r="84" customFormat="false" ht="15" hidden="false" customHeight="false" outlineLevel="0" collapsed="false">
      <c r="A84" s="14" t="s">
        <v>1018</v>
      </c>
      <c r="B84" s="14" t="s">
        <v>1019</v>
      </c>
      <c r="C84" s="14" t="s">
        <v>149</v>
      </c>
      <c r="D84" s="14" t="s">
        <v>190</v>
      </c>
      <c r="E84" s="14" t="s">
        <v>152</v>
      </c>
      <c r="F84" s="14" t="s">
        <v>191</v>
      </c>
      <c r="G84" s="14" t="n">
        <v>1</v>
      </c>
      <c r="H84" s="14" t="s">
        <v>154</v>
      </c>
      <c r="I84" s="14" t="s">
        <v>899</v>
      </c>
      <c r="J84" s="15" t="n">
        <f aca="false">IF(B84="SITE LOSS",IF(D84=C84,1,0),IF(B84="REGION LOSS",IF(E84=C84,1,0),0))</f>
        <v>0</v>
      </c>
      <c r="K84" s="15" t="n">
        <f aca="false">IF(B84="SITE LOSS",IF(COUNTIFS('Site Dockets'!$B$7:$B$24,C84,'Site Dockets'!$C$7:$C$24,F84)&gt;0,1,0),IF(B84="REGION LOSS",IF(COUNTIFS('Site Dockets'!$E$7:$E$24,C84,'Site Dockets'!$C$7:$C$24,F84)&gt;0,1,0),0))</f>
        <v>0</v>
      </c>
      <c r="L84" s="15" t="n">
        <f aca="false">IF(J84=1,0,Inputs!$B$11)</f>
        <v>100</v>
      </c>
      <c r="M84" s="15" t="n">
        <f aca="false">IF(J84=1,0,Inputs!$B$12)</f>
        <v>75</v>
      </c>
      <c r="N84" s="15" t="n">
        <f aca="false">IF(J84=1,0,IF(OR(AND(OR(B84="SITE LOSS",B84="REGION LOSS"),K84=1),AND(B84="ROLE COMPROMISE",H84=C84)),Inputs!$B$13,Inputs!$B$14))</f>
        <v>10</v>
      </c>
      <c r="O84" s="15" t="n">
        <f aca="false">IF(J84=1,0,Inputs!$B$13)</f>
        <v>20</v>
      </c>
      <c r="P84" s="15" t="n">
        <f aca="false">SUM(M84:N84)</f>
        <v>85</v>
      </c>
      <c r="Q84" s="15" t="n">
        <f aca="false">IF(J84=1,"",L84-P84)</f>
        <v>15</v>
      </c>
      <c r="R84" s="15" t="n">
        <f aca="false">IF(OR(J84=1,M84&lt;=Inputs!$B$12),1,0)</f>
        <v>1</v>
      </c>
      <c r="S84" s="15" t="n">
        <f aca="false">IF(OR(J84=1,N84&lt;=O84),1,0)</f>
        <v>1</v>
      </c>
      <c r="T84" s="15" t="str">
        <f aca="false">IF(J84=1,"OFFLINE",IF(AND(Q84&gt;=Inputs!$B$15,R84=1,S84=1,P84&lt;=L84),"PASS","FAIL"))</f>
        <v>PASS</v>
      </c>
    </row>
    <row r="85" customFormat="false" ht="15" hidden="false" customHeight="false" outlineLevel="0" collapsed="false">
      <c r="A85" s="14" t="s">
        <v>1018</v>
      </c>
      <c r="B85" s="14" t="s">
        <v>1019</v>
      </c>
      <c r="C85" s="14" t="s">
        <v>149</v>
      </c>
      <c r="D85" s="14" t="s">
        <v>194</v>
      </c>
      <c r="E85" s="14" t="s">
        <v>169</v>
      </c>
      <c r="F85" s="14" t="s">
        <v>191</v>
      </c>
      <c r="G85" s="14" t="n">
        <v>2</v>
      </c>
      <c r="H85" s="14" t="s">
        <v>153</v>
      </c>
      <c r="I85" s="14" t="s">
        <v>890</v>
      </c>
      <c r="J85" s="15" t="n">
        <f aca="false">IF(B85="SITE LOSS",IF(D85=C85,1,0),IF(B85="REGION LOSS",IF(E85=C85,1,0),0))</f>
        <v>0</v>
      </c>
      <c r="K85" s="15" t="n">
        <f aca="false">IF(B85="SITE LOSS",IF(COUNTIFS('Site Dockets'!$B$7:$B$24,C85,'Site Dockets'!$C$7:$C$24,F85)&gt;0,1,0),IF(B85="REGION LOSS",IF(COUNTIFS('Site Dockets'!$E$7:$E$24,C85,'Site Dockets'!$C$7:$C$24,F85)&gt;0,1,0),0))</f>
        <v>0</v>
      </c>
      <c r="L85" s="15" t="n">
        <f aca="false">IF(J85=1,0,Inputs!$B$11)</f>
        <v>100</v>
      </c>
      <c r="M85" s="15" t="n">
        <f aca="false">IF(J85=1,0,Inputs!$B$12)</f>
        <v>75</v>
      </c>
      <c r="N85" s="15" t="n">
        <f aca="false">IF(J85=1,0,IF(OR(AND(OR(B85="SITE LOSS",B85="REGION LOSS"),K85=1),AND(B85="ROLE COMPROMISE",H85=C85)),Inputs!$B$13,Inputs!$B$14))</f>
        <v>10</v>
      </c>
      <c r="O85" s="15" t="n">
        <f aca="false">IF(J85=1,0,Inputs!$B$13)</f>
        <v>20</v>
      </c>
      <c r="P85" s="15" t="n">
        <f aca="false">SUM(M85:N85)</f>
        <v>85</v>
      </c>
      <c r="Q85" s="15" t="n">
        <f aca="false">IF(J85=1,"",L85-P85)</f>
        <v>15</v>
      </c>
      <c r="R85" s="15" t="n">
        <f aca="false">IF(OR(J85=1,M85&lt;=Inputs!$B$12),1,0)</f>
        <v>1</v>
      </c>
      <c r="S85" s="15" t="n">
        <f aca="false">IF(OR(J85=1,N85&lt;=O85),1,0)</f>
        <v>1</v>
      </c>
      <c r="T85" s="15" t="str">
        <f aca="false">IF(J85=1,"OFFLINE",IF(AND(Q85&gt;=Inputs!$B$15,R85=1,S85=1,P85&lt;=L85),"PASS","FAIL"))</f>
        <v>PASS</v>
      </c>
    </row>
    <row r="86" customFormat="false" ht="15" hidden="false" customHeight="false" outlineLevel="0" collapsed="false">
      <c r="A86" s="14" t="s">
        <v>1018</v>
      </c>
      <c r="B86" s="14" t="s">
        <v>1019</v>
      </c>
      <c r="C86" s="14" t="s">
        <v>149</v>
      </c>
      <c r="D86" s="14" t="s">
        <v>194</v>
      </c>
      <c r="E86" s="14" t="s">
        <v>169</v>
      </c>
      <c r="F86" s="14" t="s">
        <v>191</v>
      </c>
      <c r="G86" s="14" t="n">
        <v>2</v>
      </c>
      <c r="H86" s="14" t="s">
        <v>153</v>
      </c>
      <c r="I86" s="14" t="s">
        <v>892</v>
      </c>
      <c r="J86" s="15" t="n">
        <f aca="false">IF(B86="SITE LOSS",IF(D86=C86,1,0),IF(B86="REGION LOSS",IF(E86=C86,1,0),0))</f>
        <v>0</v>
      </c>
      <c r="K86" s="15" t="n">
        <f aca="false">IF(B86="SITE LOSS",IF(COUNTIFS('Site Dockets'!$B$7:$B$24,C86,'Site Dockets'!$C$7:$C$24,F86)&gt;0,1,0),IF(B86="REGION LOSS",IF(COUNTIFS('Site Dockets'!$E$7:$E$24,C86,'Site Dockets'!$C$7:$C$24,F86)&gt;0,1,0),0))</f>
        <v>0</v>
      </c>
      <c r="L86" s="15" t="n">
        <f aca="false">IF(J86=1,0,Inputs!$B$11)</f>
        <v>100</v>
      </c>
      <c r="M86" s="15" t="n">
        <f aca="false">IF(J86=1,0,Inputs!$B$12)</f>
        <v>75</v>
      </c>
      <c r="N86" s="15" t="n">
        <f aca="false">IF(J86=1,0,IF(OR(AND(OR(B86="SITE LOSS",B86="REGION LOSS"),K86=1),AND(B86="ROLE COMPROMISE",H86=C86)),Inputs!$B$13,Inputs!$B$14))</f>
        <v>10</v>
      </c>
      <c r="O86" s="15" t="n">
        <f aca="false">IF(J86=1,0,Inputs!$B$13)</f>
        <v>20</v>
      </c>
      <c r="P86" s="15" t="n">
        <f aca="false">SUM(M86:N86)</f>
        <v>85</v>
      </c>
      <c r="Q86" s="15" t="n">
        <f aca="false">IF(J86=1,"",L86-P86)</f>
        <v>15</v>
      </c>
      <c r="R86" s="15" t="n">
        <f aca="false">IF(OR(J86=1,M86&lt;=Inputs!$B$12),1,0)</f>
        <v>1</v>
      </c>
      <c r="S86" s="15" t="n">
        <f aca="false">IF(OR(J86=1,N86&lt;=O86),1,0)</f>
        <v>1</v>
      </c>
      <c r="T86" s="15" t="str">
        <f aca="false">IF(J86=1,"OFFLINE",IF(AND(Q86&gt;=Inputs!$B$15,R86=1,S86=1,P86&lt;=L86),"PASS","FAIL"))</f>
        <v>PASS</v>
      </c>
    </row>
    <row r="87" customFormat="false" ht="15" hidden="false" customHeight="false" outlineLevel="0" collapsed="false">
      <c r="A87" s="14" t="s">
        <v>1018</v>
      </c>
      <c r="B87" s="14" t="s">
        <v>1019</v>
      </c>
      <c r="C87" s="14" t="s">
        <v>149</v>
      </c>
      <c r="D87" s="14" t="s">
        <v>194</v>
      </c>
      <c r="E87" s="14" t="s">
        <v>169</v>
      </c>
      <c r="F87" s="14" t="s">
        <v>191</v>
      </c>
      <c r="G87" s="14" t="n">
        <v>2</v>
      </c>
      <c r="H87" s="14" t="s">
        <v>153</v>
      </c>
      <c r="I87" s="14" t="s">
        <v>811</v>
      </c>
      <c r="J87" s="15" t="n">
        <f aca="false">IF(B87="SITE LOSS",IF(D87=C87,1,0),IF(B87="REGION LOSS",IF(E87=C87,1,0),0))</f>
        <v>0</v>
      </c>
      <c r="K87" s="15" t="n">
        <f aca="false">IF(B87="SITE LOSS",IF(COUNTIFS('Site Dockets'!$B$7:$B$24,C87,'Site Dockets'!$C$7:$C$24,F87)&gt;0,1,0),IF(B87="REGION LOSS",IF(COUNTIFS('Site Dockets'!$E$7:$E$24,C87,'Site Dockets'!$C$7:$C$24,F87)&gt;0,1,0),0))</f>
        <v>0</v>
      </c>
      <c r="L87" s="15" t="n">
        <f aca="false">IF(J87=1,0,Inputs!$B$11)</f>
        <v>100</v>
      </c>
      <c r="M87" s="15" t="n">
        <f aca="false">IF(J87=1,0,Inputs!$B$12)</f>
        <v>75</v>
      </c>
      <c r="N87" s="15" t="n">
        <f aca="false">IF(J87=1,0,IF(OR(AND(OR(B87="SITE LOSS",B87="REGION LOSS"),K87=1),AND(B87="ROLE COMPROMISE",H87=C87)),Inputs!$B$13,Inputs!$B$14))</f>
        <v>10</v>
      </c>
      <c r="O87" s="15" t="n">
        <f aca="false">IF(J87=1,0,Inputs!$B$13)</f>
        <v>20</v>
      </c>
      <c r="P87" s="15" t="n">
        <f aca="false">SUM(M87:N87)</f>
        <v>85</v>
      </c>
      <c r="Q87" s="15" t="n">
        <f aca="false">IF(J87=1,"",L87-P87)</f>
        <v>15</v>
      </c>
      <c r="R87" s="15" t="n">
        <f aca="false">IF(OR(J87=1,M87&lt;=Inputs!$B$12),1,0)</f>
        <v>1</v>
      </c>
      <c r="S87" s="15" t="n">
        <f aca="false">IF(OR(J87=1,N87&lt;=O87),1,0)</f>
        <v>1</v>
      </c>
      <c r="T87" s="15" t="str">
        <f aca="false">IF(J87=1,"OFFLINE",IF(AND(Q87&gt;=Inputs!$B$15,R87=1,S87=1,P87&lt;=L87),"PASS","FAIL"))</f>
        <v>PASS</v>
      </c>
    </row>
    <row r="88" customFormat="false" ht="15" hidden="false" customHeight="false" outlineLevel="0" collapsed="false">
      <c r="A88" s="14" t="s">
        <v>1018</v>
      </c>
      <c r="B88" s="14" t="s">
        <v>1019</v>
      </c>
      <c r="C88" s="14" t="s">
        <v>149</v>
      </c>
      <c r="D88" s="14" t="s">
        <v>194</v>
      </c>
      <c r="E88" s="14" t="s">
        <v>169</v>
      </c>
      <c r="F88" s="14" t="s">
        <v>191</v>
      </c>
      <c r="G88" s="14" t="n">
        <v>2</v>
      </c>
      <c r="H88" s="14" t="s">
        <v>153</v>
      </c>
      <c r="I88" s="14" t="s">
        <v>895</v>
      </c>
      <c r="J88" s="15" t="n">
        <f aca="false">IF(B88="SITE LOSS",IF(D88=C88,1,0),IF(B88="REGION LOSS",IF(E88=C88,1,0),0))</f>
        <v>0</v>
      </c>
      <c r="K88" s="15" t="n">
        <f aca="false">IF(B88="SITE LOSS",IF(COUNTIFS('Site Dockets'!$B$7:$B$24,C88,'Site Dockets'!$C$7:$C$24,F88)&gt;0,1,0),IF(B88="REGION LOSS",IF(COUNTIFS('Site Dockets'!$E$7:$E$24,C88,'Site Dockets'!$C$7:$C$24,F88)&gt;0,1,0),0))</f>
        <v>0</v>
      </c>
      <c r="L88" s="15" t="n">
        <f aca="false">IF(J88=1,0,Inputs!$B$11)</f>
        <v>100</v>
      </c>
      <c r="M88" s="15" t="n">
        <f aca="false">IF(J88=1,0,Inputs!$B$12)</f>
        <v>75</v>
      </c>
      <c r="N88" s="15" t="n">
        <f aca="false">IF(J88=1,0,IF(OR(AND(OR(B88="SITE LOSS",B88="REGION LOSS"),K88=1),AND(B88="ROLE COMPROMISE",H88=C88)),Inputs!$B$13,Inputs!$B$14))</f>
        <v>10</v>
      </c>
      <c r="O88" s="15" t="n">
        <f aca="false">IF(J88=1,0,Inputs!$B$13)</f>
        <v>20</v>
      </c>
      <c r="P88" s="15" t="n">
        <f aca="false">SUM(M88:N88)</f>
        <v>85</v>
      </c>
      <c r="Q88" s="15" t="n">
        <f aca="false">IF(J88=1,"",L88-P88)</f>
        <v>15</v>
      </c>
      <c r="R88" s="15" t="n">
        <f aca="false">IF(OR(J88=1,M88&lt;=Inputs!$B$12),1,0)</f>
        <v>1</v>
      </c>
      <c r="S88" s="15" t="n">
        <f aca="false">IF(OR(J88=1,N88&lt;=O88),1,0)</f>
        <v>1</v>
      </c>
      <c r="T88" s="15" t="str">
        <f aca="false">IF(J88=1,"OFFLINE",IF(AND(Q88&gt;=Inputs!$B$15,R88=1,S88=1,P88&lt;=L88),"PASS","FAIL"))</f>
        <v>PASS</v>
      </c>
    </row>
    <row r="89" customFormat="false" ht="15" hidden="false" customHeight="false" outlineLevel="0" collapsed="false">
      <c r="A89" s="14" t="s">
        <v>1018</v>
      </c>
      <c r="B89" s="14" t="s">
        <v>1019</v>
      </c>
      <c r="C89" s="14" t="s">
        <v>149</v>
      </c>
      <c r="D89" s="14" t="s">
        <v>194</v>
      </c>
      <c r="E89" s="14" t="s">
        <v>169</v>
      </c>
      <c r="F89" s="14" t="s">
        <v>191</v>
      </c>
      <c r="G89" s="14" t="n">
        <v>2</v>
      </c>
      <c r="H89" s="14" t="s">
        <v>153</v>
      </c>
      <c r="I89" s="14" t="s">
        <v>897</v>
      </c>
      <c r="J89" s="15" t="n">
        <f aca="false">IF(B89="SITE LOSS",IF(D89=C89,1,0),IF(B89="REGION LOSS",IF(E89=C89,1,0),0))</f>
        <v>0</v>
      </c>
      <c r="K89" s="15" t="n">
        <f aca="false">IF(B89="SITE LOSS",IF(COUNTIFS('Site Dockets'!$B$7:$B$24,C89,'Site Dockets'!$C$7:$C$24,F89)&gt;0,1,0),IF(B89="REGION LOSS",IF(COUNTIFS('Site Dockets'!$E$7:$E$24,C89,'Site Dockets'!$C$7:$C$24,F89)&gt;0,1,0),0))</f>
        <v>0</v>
      </c>
      <c r="L89" s="15" t="n">
        <f aca="false">IF(J89=1,0,Inputs!$B$11)</f>
        <v>100</v>
      </c>
      <c r="M89" s="15" t="n">
        <f aca="false">IF(J89=1,0,Inputs!$B$12)</f>
        <v>75</v>
      </c>
      <c r="N89" s="15" t="n">
        <f aca="false">IF(J89=1,0,IF(OR(AND(OR(B89="SITE LOSS",B89="REGION LOSS"),K89=1),AND(B89="ROLE COMPROMISE",H89=C89)),Inputs!$B$13,Inputs!$B$14))</f>
        <v>10</v>
      </c>
      <c r="O89" s="15" t="n">
        <f aca="false">IF(J89=1,0,Inputs!$B$13)</f>
        <v>20</v>
      </c>
      <c r="P89" s="15" t="n">
        <f aca="false">SUM(M89:N89)</f>
        <v>85</v>
      </c>
      <c r="Q89" s="15" t="n">
        <f aca="false">IF(J89=1,"",L89-P89)</f>
        <v>15</v>
      </c>
      <c r="R89" s="15" t="n">
        <f aca="false">IF(OR(J89=1,M89&lt;=Inputs!$B$12),1,0)</f>
        <v>1</v>
      </c>
      <c r="S89" s="15" t="n">
        <f aca="false">IF(OR(J89=1,N89&lt;=O89),1,0)</f>
        <v>1</v>
      </c>
      <c r="T89" s="15" t="str">
        <f aca="false">IF(J89=1,"OFFLINE",IF(AND(Q89&gt;=Inputs!$B$15,R89=1,S89=1,P89&lt;=L89),"PASS","FAIL"))</f>
        <v>PASS</v>
      </c>
    </row>
    <row r="90" customFormat="false" ht="15" hidden="false" customHeight="false" outlineLevel="0" collapsed="false">
      <c r="A90" s="14" t="s">
        <v>1018</v>
      </c>
      <c r="B90" s="14" t="s">
        <v>1019</v>
      </c>
      <c r="C90" s="14" t="s">
        <v>149</v>
      </c>
      <c r="D90" s="14" t="s">
        <v>194</v>
      </c>
      <c r="E90" s="14" t="s">
        <v>169</v>
      </c>
      <c r="F90" s="14" t="s">
        <v>191</v>
      </c>
      <c r="G90" s="14" t="n">
        <v>2</v>
      </c>
      <c r="H90" s="14" t="s">
        <v>153</v>
      </c>
      <c r="I90" s="14" t="s">
        <v>899</v>
      </c>
      <c r="J90" s="15" t="n">
        <f aca="false">IF(B90="SITE LOSS",IF(D90=C90,1,0),IF(B90="REGION LOSS",IF(E90=C90,1,0),0))</f>
        <v>0</v>
      </c>
      <c r="K90" s="15" t="n">
        <f aca="false">IF(B90="SITE LOSS",IF(COUNTIFS('Site Dockets'!$B$7:$B$24,C90,'Site Dockets'!$C$7:$C$24,F90)&gt;0,1,0),IF(B90="REGION LOSS",IF(COUNTIFS('Site Dockets'!$E$7:$E$24,C90,'Site Dockets'!$C$7:$C$24,F90)&gt;0,1,0),0))</f>
        <v>0</v>
      </c>
      <c r="L90" s="15" t="n">
        <f aca="false">IF(J90=1,0,Inputs!$B$11)</f>
        <v>100</v>
      </c>
      <c r="M90" s="15" t="n">
        <f aca="false">IF(J90=1,0,Inputs!$B$12)</f>
        <v>75</v>
      </c>
      <c r="N90" s="15" t="n">
        <f aca="false">IF(J90=1,0,IF(OR(AND(OR(B90="SITE LOSS",B90="REGION LOSS"),K90=1),AND(B90="ROLE COMPROMISE",H90=C90)),Inputs!$B$13,Inputs!$B$14))</f>
        <v>10</v>
      </c>
      <c r="O90" s="15" t="n">
        <f aca="false">IF(J90=1,0,Inputs!$B$13)</f>
        <v>20</v>
      </c>
      <c r="P90" s="15" t="n">
        <f aca="false">SUM(M90:N90)</f>
        <v>85</v>
      </c>
      <c r="Q90" s="15" t="n">
        <f aca="false">IF(J90=1,"",L90-P90)</f>
        <v>15</v>
      </c>
      <c r="R90" s="15" t="n">
        <f aca="false">IF(OR(J90=1,M90&lt;=Inputs!$B$12),1,0)</f>
        <v>1</v>
      </c>
      <c r="S90" s="15" t="n">
        <f aca="false">IF(OR(J90=1,N90&lt;=O90),1,0)</f>
        <v>1</v>
      </c>
      <c r="T90" s="15" t="str">
        <f aca="false">IF(J90=1,"OFFLINE",IF(AND(Q90&gt;=Inputs!$B$15,R90=1,S90=1,P90&lt;=L90),"PASS","FAIL"))</f>
        <v>PASS</v>
      </c>
    </row>
    <row r="91" customFormat="false" ht="15" hidden="false" customHeight="false" outlineLevel="0" collapsed="false">
      <c r="A91" s="14" t="s">
        <v>1018</v>
      </c>
      <c r="B91" s="14" t="s">
        <v>1019</v>
      </c>
      <c r="C91" s="14" t="s">
        <v>149</v>
      </c>
      <c r="D91" s="14" t="s">
        <v>196</v>
      </c>
      <c r="E91" s="14" t="s">
        <v>172</v>
      </c>
      <c r="F91" s="14" t="s">
        <v>191</v>
      </c>
      <c r="G91" s="14" t="n">
        <v>3</v>
      </c>
      <c r="H91" s="14" t="s">
        <v>158</v>
      </c>
      <c r="I91" s="14" t="s">
        <v>890</v>
      </c>
      <c r="J91" s="15" t="n">
        <f aca="false">IF(B91="SITE LOSS",IF(D91=C91,1,0),IF(B91="REGION LOSS",IF(E91=C91,1,0),0))</f>
        <v>0</v>
      </c>
      <c r="K91" s="15" t="n">
        <f aca="false">IF(B91="SITE LOSS",IF(COUNTIFS('Site Dockets'!$B$7:$B$24,C91,'Site Dockets'!$C$7:$C$24,F91)&gt;0,1,0),IF(B91="REGION LOSS",IF(COUNTIFS('Site Dockets'!$E$7:$E$24,C91,'Site Dockets'!$C$7:$C$24,F91)&gt;0,1,0),0))</f>
        <v>0</v>
      </c>
      <c r="L91" s="15" t="n">
        <f aca="false">IF(J91=1,0,Inputs!$B$11)</f>
        <v>100</v>
      </c>
      <c r="M91" s="15" t="n">
        <f aca="false">IF(J91=1,0,Inputs!$B$12)</f>
        <v>75</v>
      </c>
      <c r="N91" s="15" t="n">
        <f aca="false">IF(J91=1,0,IF(OR(AND(OR(B91="SITE LOSS",B91="REGION LOSS"),K91=1),AND(B91="ROLE COMPROMISE",H91=C91)),Inputs!$B$13,Inputs!$B$14))</f>
        <v>10</v>
      </c>
      <c r="O91" s="15" t="n">
        <f aca="false">IF(J91=1,0,Inputs!$B$13)</f>
        <v>20</v>
      </c>
      <c r="P91" s="15" t="n">
        <f aca="false">SUM(M91:N91)</f>
        <v>85</v>
      </c>
      <c r="Q91" s="15" t="n">
        <f aca="false">IF(J91=1,"",L91-P91)</f>
        <v>15</v>
      </c>
      <c r="R91" s="15" t="n">
        <f aca="false">IF(OR(J91=1,M91&lt;=Inputs!$B$12),1,0)</f>
        <v>1</v>
      </c>
      <c r="S91" s="15" t="n">
        <f aca="false">IF(OR(J91=1,N91&lt;=O91),1,0)</f>
        <v>1</v>
      </c>
      <c r="T91" s="15" t="str">
        <f aca="false">IF(J91=1,"OFFLINE",IF(AND(Q91&gt;=Inputs!$B$15,R91=1,S91=1,P91&lt;=L91),"PASS","FAIL"))</f>
        <v>PASS</v>
      </c>
    </row>
    <row r="92" customFormat="false" ht="15" hidden="false" customHeight="false" outlineLevel="0" collapsed="false">
      <c r="A92" s="14" t="s">
        <v>1018</v>
      </c>
      <c r="B92" s="14" t="s">
        <v>1019</v>
      </c>
      <c r="C92" s="14" t="s">
        <v>149</v>
      </c>
      <c r="D92" s="14" t="s">
        <v>196</v>
      </c>
      <c r="E92" s="14" t="s">
        <v>172</v>
      </c>
      <c r="F92" s="14" t="s">
        <v>191</v>
      </c>
      <c r="G92" s="14" t="n">
        <v>3</v>
      </c>
      <c r="H92" s="14" t="s">
        <v>158</v>
      </c>
      <c r="I92" s="14" t="s">
        <v>892</v>
      </c>
      <c r="J92" s="15" t="n">
        <f aca="false">IF(B92="SITE LOSS",IF(D92=C92,1,0),IF(B92="REGION LOSS",IF(E92=C92,1,0),0))</f>
        <v>0</v>
      </c>
      <c r="K92" s="15" t="n">
        <f aca="false">IF(B92="SITE LOSS",IF(COUNTIFS('Site Dockets'!$B$7:$B$24,C92,'Site Dockets'!$C$7:$C$24,F92)&gt;0,1,0),IF(B92="REGION LOSS",IF(COUNTIFS('Site Dockets'!$E$7:$E$24,C92,'Site Dockets'!$C$7:$C$24,F92)&gt;0,1,0),0))</f>
        <v>0</v>
      </c>
      <c r="L92" s="15" t="n">
        <f aca="false">IF(J92=1,0,Inputs!$B$11)</f>
        <v>100</v>
      </c>
      <c r="M92" s="15" t="n">
        <f aca="false">IF(J92=1,0,Inputs!$B$12)</f>
        <v>75</v>
      </c>
      <c r="N92" s="15" t="n">
        <f aca="false">IF(J92=1,0,IF(OR(AND(OR(B92="SITE LOSS",B92="REGION LOSS"),K92=1),AND(B92="ROLE COMPROMISE",H92=C92)),Inputs!$B$13,Inputs!$B$14))</f>
        <v>10</v>
      </c>
      <c r="O92" s="15" t="n">
        <f aca="false">IF(J92=1,0,Inputs!$B$13)</f>
        <v>20</v>
      </c>
      <c r="P92" s="15" t="n">
        <f aca="false">SUM(M92:N92)</f>
        <v>85</v>
      </c>
      <c r="Q92" s="15" t="n">
        <f aca="false">IF(J92=1,"",L92-P92)</f>
        <v>15</v>
      </c>
      <c r="R92" s="15" t="n">
        <f aca="false">IF(OR(J92=1,M92&lt;=Inputs!$B$12),1,0)</f>
        <v>1</v>
      </c>
      <c r="S92" s="15" t="n">
        <f aca="false">IF(OR(J92=1,N92&lt;=O92),1,0)</f>
        <v>1</v>
      </c>
      <c r="T92" s="15" t="str">
        <f aca="false">IF(J92=1,"OFFLINE",IF(AND(Q92&gt;=Inputs!$B$15,R92=1,S92=1,P92&lt;=L92),"PASS","FAIL"))</f>
        <v>PASS</v>
      </c>
    </row>
    <row r="93" customFormat="false" ht="15" hidden="false" customHeight="false" outlineLevel="0" collapsed="false">
      <c r="A93" s="14" t="s">
        <v>1018</v>
      </c>
      <c r="B93" s="14" t="s">
        <v>1019</v>
      </c>
      <c r="C93" s="14" t="s">
        <v>149</v>
      </c>
      <c r="D93" s="14" t="s">
        <v>196</v>
      </c>
      <c r="E93" s="14" t="s">
        <v>172</v>
      </c>
      <c r="F93" s="14" t="s">
        <v>191</v>
      </c>
      <c r="G93" s="14" t="n">
        <v>3</v>
      </c>
      <c r="H93" s="14" t="s">
        <v>158</v>
      </c>
      <c r="I93" s="14" t="s">
        <v>811</v>
      </c>
      <c r="J93" s="15" t="n">
        <f aca="false">IF(B93="SITE LOSS",IF(D93=C93,1,0),IF(B93="REGION LOSS",IF(E93=C93,1,0),0))</f>
        <v>0</v>
      </c>
      <c r="K93" s="15" t="n">
        <f aca="false">IF(B93="SITE LOSS",IF(COUNTIFS('Site Dockets'!$B$7:$B$24,C93,'Site Dockets'!$C$7:$C$24,F93)&gt;0,1,0),IF(B93="REGION LOSS",IF(COUNTIFS('Site Dockets'!$E$7:$E$24,C93,'Site Dockets'!$C$7:$C$24,F93)&gt;0,1,0),0))</f>
        <v>0</v>
      </c>
      <c r="L93" s="15" t="n">
        <f aca="false">IF(J93=1,0,Inputs!$B$11)</f>
        <v>100</v>
      </c>
      <c r="M93" s="15" t="n">
        <f aca="false">IF(J93=1,0,Inputs!$B$12)</f>
        <v>75</v>
      </c>
      <c r="N93" s="15" t="n">
        <f aca="false">IF(J93=1,0,IF(OR(AND(OR(B93="SITE LOSS",B93="REGION LOSS"),K93=1),AND(B93="ROLE COMPROMISE",H93=C93)),Inputs!$B$13,Inputs!$B$14))</f>
        <v>10</v>
      </c>
      <c r="O93" s="15" t="n">
        <f aca="false">IF(J93=1,0,Inputs!$B$13)</f>
        <v>20</v>
      </c>
      <c r="P93" s="15" t="n">
        <f aca="false">SUM(M93:N93)</f>
        <v>85</v>
      </c>
      <c r="Q93" s="15" t="n">
        <f aca="false">IF(J93=1,"",L93-P93)</f>
        <v>15</v>
      </c>
      <c r="R93" s="15" t="n">
        <f aca="false">IF(OR(J93=1,M93&lt;=Inputs!$B$12),1,0)</f>
        <v>1</v>
      </c>
      <c r="S93" s="15" t="n">
        <f aca="false">IF(OR(J93=1,N93&lt;=O93),1,0)</f>
        <v>1</v>
      </c>
      <c r="T93" s="15" t="str">
        <f aca="false">IF(J93=1,"OFFLINE",IF(AND(Q93&gt;=Inputs!$B$15,R93=1,S93=1,P93&lt;=L93),"PASS","FAIL"))</f>
        <v>PASS</v>
      </c>
    </row>
    <row r="94" customFormat="false" ht="15" hidden="false" customHeight="false" outlineLevel="0" collapsed="false">
      <c r="A94" s="14" t="s">
        <v>1018</v>
      </c>
      <c r="B94" s="14" t="s">
        <v>1019</v>
      </c>
      <c r="C94" s="14" t="s">
        <v>149</v>
      </c>
      <c r="D94" s="14" t="s">
        <v>196</v>
      </c>
      <c r="E94" s="14" t="s">
        <v>172</v>
      </c>
      <c r="F94" s="14" t="s">
        <v>191</v>
      </c>
      <c r="G94" s="14" t="n">
        <v>3</v>
      </c>
      <c r="H94" s="14" t="s">
        <v>158</v>
      </c>
      <c r="I94" s="14" t="s">
        <v>895</v>
      </c>
      <c r="J94" s="15" t="n">
        <f aca="false">IF(B94="SITE LOSS",IF(D94=C94,1,0),IF(B94="REGION LOSS",IF(E94=C94,1,0),0))</f>
        <v>0</v>
      </c>
      <c r="K94" s="15" t="n">
        <f aca="false">IF(B94="SITE LOSS",IF(COUNTIFS('Site Dockets'!$B$7:$B$24,C94,'Site Dockets'!$C$7:$C$24,F94)&gt;0,1,0),IF(B94="REGION LOSS",IF(COUNTIFS('Site Dockets'!$E$7:$E$24,C94,'Site Dockets'!$C$7:$C$24,F94)&gt;0,1,0),0))</f>
        <v>0</v>
      </c>
      <c r="L94" s="15" t="n">
        <f aca="false">IF(J94=1,0,Inputs!$B$11)</f>
        <v>100</v>
      </c>
      <c r="M94" s="15" t="n">
        <f aca="false">IF(J94=1,0,Inputs!$B$12)</f>
        <v>75</v>
      </c>
      <c r="N94" s="15" t="n">
        <f aca="false">IF(J94=1,0,IF(OR(AND(OR(B94="SITE LOSS",B94="REGION LOSS"),K94=1),AND(B94="ROLE COMPROMISE",H94=C94)),Inputs!$B$13,Inputs!$B$14))</f>
        <v>10</v>
      </c>
      <c r="O94" s="15" t="n">
        <f aca="false">IF(J94=1,0,Inputs!$B$13)</f>
        <v>20</v>
      </c>
      <c r="P94" s="15" t="n">
        <f aca="false">SUM(M94:N94)</f>
        <v>85</v>
      </c>
      <c r="Q94" s="15" t="n">
        <f aca="false">IF(J94=1,"",L94-P94)</f>
        <v>15</v>
      </c>
      <c r="R94" s="15" t="n">
        <f aca="false">IF(OR(J94=1,M94&lt;=Inputs!$B$12),1,0)</f>
        <v>1</v>
      </c>
      <c r="S94" s="15" t="n">
        <f aca="false">IF(OR(J94=1,N94&lt;=O94),1,0)</f>
        <v>1</v>
      </c>
      <c r="T94" s="15" t="str">
        <f aca="false">IF(J94=1,"OFFLINE",IF(AND(Q94&gt;=Inputs!$B$15,R94=1,S94=1,P94&lt;=L94),"PASS","FAIL"))</f>
        <v>PASS</v>
      </c>
    </row>
    <row r="95" customFormat="false" ht="15" hidden="false" customHeight="false" outlineLevel="0" collapsed="false">
      <c r="A95" s="14" t="s">
        <v>1018</v>
      </c>
      <c r="B95" s="14" t="s">
        <v>1019</v>
      </c>
      <c r="C95" s="14" t="s">
        <v>149</v>
      </c>
      <c r="D95" s="14" t="s">
        <v>196</v>
      </c>
      <c r="E95" s="14" t="s">
        <v>172</v>
      </c>
      <c r="F95" s="14" t="s">
        <v>191</v>
      </c>
      <c r="G95" s="14" t="n">
        <v>3</v>
      </c>
      <c r="H95" s="14" t="s">
        <v>158</v>
      </c>
      <c r="I95" s="14" t="s">
        <v>897</v>
      </c>
      <c r="J95" s="15" t="n">
        <f aca="false">IF(B95="SITE LOSS",IF(D95=C95,1,0),IF(B95="REGION LOSS",IF(E95=C95,1,0),0))</f>
        <v>0</v>
      </c>
      <c r="K95" s="15" t="n">
        <f aca="false">IF(B95="SITE LOSS",IF(COUNTIFS('Site Dockets'!$B$7:$B$24,C95,'Site Dockets'!$C$7:$C$24,F95)&gt;0,1,0),IF(B95="REGION LOSS",IF(COUNTIFS('Site Dockets'!$E$7:$E$24,C95,'Site Dockets'!$C$7:$C$24,F95)&gt;0,1,0),0))</f>
        <v>0</v>
      </c>
      <c r="L95" s="15" t="n">
        <f aca="false">IF(J95=1,0,Inputs!$B$11)</f>
        <v>100</v>
      </c>
      <c r="M95" s="15" t="n">
        <f aca="false">IF(J95=1,0,Inputs!$B$12)</f>
        <v>75</v>
      </c>
      <c r="N95" s="15" t="n">
        <f aca="false">IF(J95=1,0,IF(OR(AND(OR(B95="SITE LOSS",B95="REGION LOSS"),K95=1),AND(B95="ROLE COMPROMISE",H95=C95)),Inputs!$B$13,Inputs!$B$14))</f>
        <v>10</v>
      </c>
      <c r="O95" s="15" t="n">
        <f aca="false">IF(J95=1,0,Inputs!$B$13)</f>
        <v>20</v>
      </c>
      <c r="P95" s="15" t="n">
        <f aca="false">SUM(M95:N95)</f>
        <v>85</v>
      </c>
      <c r="Q95" s="15" t="n">
        <f aca="false">IF(J95=1,"",L95-P95)</f>
        <v>15</v>
      </c>
      <c r="R95" s="15" t="n">
        <f aca="false">IF(OR(J95=1,M95&lt;=Inputs!$B$12),1,0)</f>
        <v>1</v>
      </c>
      <c r="S95" s="15" t="n">
        <f aca="false">IF(OR(J95=1,N95&lt;=O95),1,0)</f>
        <v>1</v>
      </c>
      <c r="T95" s="15" t="str">
        <f aca="false">IF(J95=1,"OFFLINE",IF(AND(Q95&gt;=Inputs!$B$15,R95=1,S95=1,P95&lt;=L95),"PASS","FAIL"))</f>
        <v>PASS</v>
      </c>
    </row>
    <row r="96" customFormat="false" ht="15" hidden="false" customHeight="false" outlineLevel="0" collapsed="false">
      <c r="A96" s="14" t="s">
        <v>1018</v>
      </c>
      <c r="B96" s="14" t="s">
        <v>1019</v>
      </c>
      <c r="C96" s="14" t="s">
        <v>149</v>
      </c>
      <c r="D96" s="14" t="s">
        <v>196</v>
      </c>
      <c r="E96" s="14" t="s">
        <v>172</v>
      </c>
      <c r="F96" s="14" t="s">
        <v>191</v>
      </c>
      <c r="G96" s="14" t="n">
        <v>3</v>
      </c>
      <c r="H96" s="14" t="s">
        <v>158</v>
      </c>
      <c r="I96" s="14" t="s">
        <v>899</v>
      </c>
      <c r="J96" s="15" t="n">
        <f aca="false">IF(B96="SITE LOSS",IF(D96=C96,1,0),IF(B96="REGION LOSS",IF(E96=C96,1,0),0))</f>
        <v>0</v>
      </c>
      <c r="K96" s="15" t="n">
        <f aca="false">IF(B96="SITE LOSS",IF(COUNTIFS('Site Dockets'!$B$7:$B$24,C96,'Site Dockets'!$C$7:$C$24,F96)&gt;0,1,0),IF(B96="REGION LOSS",IF(COUNTIFS('Site Dockets'!$E$7:$E$24,C96,'Site Dockets'!$C$7:$C$24,F96)&gt;0,1,0),0))</f>
        <v>0</v>
      </c>
      <c r="L96" s="15" t="n">
        <f aca="false">IF(J96=1,0,Inputs!$B$11)</f>
        <v>100</v>
      </c>
      <c r="M96" s="15" t="n">
        <f aca="false">IF(J96=1,0,Inputs!$B$12)</f>
        <v>75</v>
      </c>
      <c r="N96" s="15" t="n">
        <f aca="false">IF(J96=1,0,IF(OR(AND(OR(B96="SITE LOSS",B96="REGION LOSS"),K96=1),AND(B96="ROLE COMPROMISE",H96=C96)),Inputs!$B$13,Inputs!$B$14))</f>
        <v>10</v>
      </c>
      <c r="O96" s="15" t="n">
        <f aca="false">IF(J96=1,0,Inputs!$B$13)</f>
        <v>20</v>
      </c>
      <c r="P96" s="15" t="n">
        <f aca="false">SUM(M96:N96)</f>
        <v>85</v>
      </c>
      <c r="Q96" s="15" t="n">
        <f aca="false">IF(J96=1,"",L96-P96)</f>
        <v>15</v>
      </c>
      <c r="R96" s="15" t="n">
        <f aca="false">IF(OR(J96=1,M96&lt;=Inputs!$B$12),1,0)</f>
        <v>1</v>
      </c>
      <c r="S96" s="15" t="n">
        <f aca="false">IF(OR(J96=1,N96&lt;=O96),1,0)</f>
        <v>1</v>
      </c>
      <c r="T96" s="15" t="str">
        <f aca="false">IF(J96=1,"OFFLINE",IF(AND(Q96&gt;=Inputs!$B$15,R96=1,S96=1,P96&lt;=L96),"PASS","FAIL"))</f>
        <v>PASS</v>
      </c>
    </row>
    <row r="97" customFormat="false" ht="15" hidden="false" customHeight="false" outlineLevel="0" collapsed="false">
      <c r="A97" s="14" t="s">
        <v>1018</v>
      </c>
      <c r="B97" s="14" t="s">
        <v>1019</v>
      </c>
      <c r="C97" s="14" t="s">
        <v>149</v>
      </c>
      <c r="D97" s="14" t="s">
        <v>198</v>
      </c>
      <c r="E97" s="14" t="s">
        <v>166</v>
      </c>
      <c r="F97" s="14" t="s">
        <v>199</v>
      </c>
      <c r="G97" s="14" t="n">
        <v>1</v>
      </c>
      <c r="H97" s="14" t="s">
        <v>154</v>
      </c>
      <c r="I97" s="14" t="s">
        <v>890</v>
      </c>
      <c r="J97" s="15" t="n">
        <f aca="false">IF(B97="SITE LOSS",IF(D97=C97,1,0),IF(B97="REGION LOSS",IF(E97=C97,1,0),0))</f>
        <v>0</v>
      </c>
      <c r="K97" s="15" t="n">
        <f aca="false">IF(B97="SITE LOSS",IF(COUNTIFS('Site Dockets'!$B$7:$B$24,C97,'Site Dockets'!$C$7:$C$24,F97)&gt;0,1,0),IF(B97="REGION LOSS",IF(COUNTIFS('Site Dockets'!$E$7:$E$24,C97,'Site Dockets'!$C$7:$C$24,F97)&gt;0,1,0),0))</f>
        <v>0</v>
      </c>
      <c r="L97" s="15" t="n">
        <f aca="false">IF(J97=1,0,Inputs!$B$11)</f>
        <v>100</v>
      </c>
      <c r="M97" s="15" t="n">
        <f aca="false">IF(J97=1,0,Inputs!$B$12)</f>
        <v>75</v>
      </c>
      <c r="N97" s="15" t="n">
        <f aca="false">IF(J97=1,0,IF(OR(AND(OR(B97="SITE LOSS",B97="REGION LOSS"),K97=1),AND(B97="ROLE COMPROMISE",H97=C97)),Inputs!$B$13,Inputs!$B$14))</f>
        <v>10</v>
      </c>
      <c r="O97" s="15" t="n">
        <f aca="false">IF(J97=1,0,Inputs!$B$13)</f>
        <v>20</v>
      </c>
      <c r="P97" s="15" t="n">
        <f aca="false">SUM(M97:N97)</f>
        <v>85</v>
      </c>
      <c r="Q97" s="15" t="n">
        <f aca="false">IF(J97=1,"",L97-P97)</f>
        <v>15</v>
      </c>
      <c r="R97" s="15" t="n">
        <f aca="false">IF(OR(J97=1,M97&lt;=Inputs!$B$12),1,0)</f>
        <v>1</v>
      </c>
      <c r="S97" s="15" t="n">
        <f aca="false">IF(OR(J97=1,N97&lt;=O97),1,0)</f>
        <v>1</v>
      </c>
      <c r="T97" s="15" t="str">
        <f aca="false">IF(J97=1,"OFFLINE",IF(AND(Q97&gt;=Inputs!$B$15,R97=1,S97=1,P97&lt;=L97),"PASS","FAIL"))</f>
        <v>PASS</v>
      </c>
    </row>
    <row r="98" customFormat="false" ht="15" hidden="false" customHeight="false" outlineLevel="0" collapsed="false">
      <c r="A98" s="14" t="s">
        <v>1018</v>
      </c>
      <c r="B98" s="14" t="s">
        <v>1019</v>
      </c>
      <c r="C98" s="14" t="s">
        <v>149</v>
      </c>
      <c r="D98" s="14" t="s">
        <v>198</v>
      </c>
      <c r="E98" s="14" t="s">
        <v>166</v>
      </c>
      <c r="F98" s="14" t="s">
        <v>199</v>
      </c>
      <c r="G98" s="14" t="n">
        <v>1</v>
      </c>
      <c r="H98" s="14" t="s">
        <v>154</v>
      </c>
      <c r="I98" s="14" t="s">
        <v>892</v>
      </c>
      <c r="J98" s="15" t="n">
        <f aca="false">IF(B98="SITE LOSS",IF(D98=C98,1,0),IF(B98="REGION LOSS",IF(E98=C98,1,0),0))</f>
        <v>0</v>
      </c>
      <c r="K98" s="15" t="n">
        <f aca="false">IF(B98="SITE LOSS",IF(COUNTIFS('Site Dockets'!$B$7:$B$24,C98,'Site Dockets'!$C$7:$C$24,F98)&gt;0,1,0),IF(B98="REGION LOSS",IF(COUNTIFS('Site Dockets'!$E$7:$E$24,C98,'Site Dockets'!$C$7:$C$24,F98)&gt;0,1,0),0))</f>
        <v>0</v>
      </c>
      <c r="L98" s="15" t="n">
        <f aca="false">IF(J98=1,0,Inputs!$B$11)</f>
        <v>100</v>
      </c>
      <c r="M98" s="15" t="n">
        <f aca="false">IF(J98=1,0,Inputs!$B$12)</f>
        <v>75</v>
      </c>
      <c r="N98" s="15" t="n">
        <f aca="false">IF(J98=1,0,IF(OR(AND(OR(B98="SITE LOSS",B98="REGION LOSS"),K98=1),AND(B98="ROLE COMPROMISE",H98=C98)),Inputs!$B$13,Inputs!$B$14))</f>
        <v>10</v>
      </c>
      <c r="O98" s="15" t="n">
        <f aca="false">IF(J98=1,0,Inputs!$B$13)</f>
        <v>20</v>
      </c>
      <c r="P98" s="15" t="n">
        <f aca="false">SUM(M98:N98)</f>
        <v>85</v>
      </c>
      <c r="Q98" s="15" t="n">
        <f aca="false">IF(J98=1,"",L98-P98)</f>
        <v>15</v>
      </c>
      <c r="R98" s="15" t="n">
        <f aca="false">IF(OR(J98=1,M98&lt;=Inputs!$B$12),1,0)</f>
        <v>1</v>
      </c>
      <c r="S98" s="15" t="n">
        <f aca="false">IF(OR(J98=1,N98&lt;=O98),1,0)</f>
        <v>1</v>
      </c>
      <c r="T98" s="15" t="str">
        <f aca="false">IF(J98=1,"OFFLINE",IF(AND(Q98&gt;=Inputs!$B$15,R98=1,S98=1,P98&lt;=L98),"PASS","FAIL"))</f>
        <v>PASS</v>
      </c>
    </row>
    <row r="99" customFormat="false" ht="15" hidden="false" customHeight="false" outlineLevel="0" collapsed="false">
      <c r="A99" s="14" t="s">
        <v>1018</v>
      </c>
      <c r="B99" s="14" t="s">
        <v>1019</v>
      </c>
      <c r="C99" s="14" t="s">
        <v>149</v>
      </c>
      <c r="D99" s="14" t="s">
        <v>198</v>
      </c>
      <c r="E99" s="14" t="s">
        <v>166</v>
      </c>
      <c r="F99" s="14" t="s">
        <v>199</v>
      </c>
      <c r="G99" s="14" t="n">
        <v>1</v>
      </c>
      <c r="H99" s="14" t="s">
        <v>154</v>
      </c>
      <c r="I99" s="14" t="s">
        <v>811</v>
      </c>
      <c r="J99" s="15" t="n">
        <f aca="false">IF(B99="SITE LOSS",IF(D99=C99,1,0),IF(B99="REGION LOSS",IF(E99=C99,1,0),0))</f>
        <v>0</v>
      </c>
      <c r="K99" s="15" t="n">
        <f aca="false">IF(B99="SITE LOSS",IF(COUNTIFS('Site Dockets'!$B$7:$B$24,C99,'Site Dockets'!$C$7:$C$24,F99)&gt;0,1,0),IF(B99="REGION LOSS",IF(COUNTIFS('Site Dockets'!$E$7:$E$24,C99,'Site Dockets'!$C$7:$C$24,F99)&gt;0,1,0),0))</f>
        <v>0</v>
      </c>
      <c r="L99" s="15" t="n">
        <f aca="false">IF(J99=1,0,Inputs!$B$11)</f>
        <v>100</v>
      </c>
      <c r="M99" s="15" t="n">
        <f aca="false">IF(J99=1,0,Inputs!$B$12)</f>
        <v>75</v>
      </c>
      <c r="N99" s="15" t="n">
        <f aca="false">IF(J99=1,0,IF(OR(AND(OR(B99="SITE LOSS",B99="REGION LOSS"),K99=1),AND(B99="ROLE COMPROMISE",H99=C99)),Inputs!$B$13,Inputs!$B$14))</f>
        <v>10</v>
      </c>
      <c r="O99" s="15" t="n">
        <f aca="false">IF(J99=1,0,Inputs!$B$13)</f>
        <v>20</v>
      </c>
      <c r="P99" s="15" t="n">
        <f aca="false">SUM(M99:N99)</f>
        <v>85</v>
      </c>
      <c r="Q99" s="15" t="n">
        <f aca="false">IF(J99=1,"",L99-P99)</f>
        <v>15</v>
      </c>
      <c r="R99" s="15" t="n">
        <f aca="false">IF(OR(J99=1,M99&lt;=Inputs!$B$12),1,0)</f>
        <v>1</v>
      </c>
      <c r="S99" s="15" t="n">
        <f aca="false">IF(OR(J99=1,N99&lt;=O99),1,0)</f>
        <v>1</v>
      </c>
      <c r="T99" s="15" t="str">
        <f aca="false">IF(J99=1,"OFFLINE",IF(AND(Q99&gt;=Inputs!$B$15,R99=1,S99=1,P99&lt;=L99),"PASS","FAIL"))</f>
        <v>PASS</v>
      </c>
    </row>
    <row r="100" customFormat="false" ht="15" hidden="false" customHeight="false" outlineLevel="0" collapsed="false">
      <c r="A100" s="14" t="s">
        <v>1018</v>
      </c>
      <c r="B100" s="14" t="s">
        <v>1019</v>
      </c>
      <c r="C100" s="14" t="s">
        <v>149</v>
      </c>
      <c r="D100" s="14" t="s">
        <v>198</v>
      </c>
      <c r="E100" s="14" t="s">
        <v>166</v>
      </c>
      <c r="F100" s="14" t="s">
        <v>199</v>
      </c>
      <c r="G100" s="14" t="n">
        <v>1</v>
      </c>
      <c r="H100" s="14" t="s">
        <v>154</v>
      </c>
      <c r="I100" s="14" t="s">
        <v>895</v>
      </c>
      <c r="J100" s="15" t="n">
        <f aca="false">IF(B100="SITE LOSS",IF(D100=C100,1,0),IF(B100="REGION LOSS",IF(E100=C100,1,0),0))</f>
        <v>0</v>
      </c>
      <c r="K100" s="15" t="n">
        <f aca="false">IF(B100="SITE LOSS",IF(COUNTIFS('Site Dockets'!$B$7:$B$24,C100,'Site Dockets'!$C$7:$C$24,F100)&gt;0,1,0),IF(B100="REGION LOSS",IF(COUNTIFS('Site Dockets'!$E$7:$E$24,C100,'Site Dockets'!$C$7:$C$24,F100)&gt;0,1,0),0))</f>
        <v>0</v>
      </c>
      <c r="L100" s="15" t="n">
        <f aca="false">IF(J100=1,0,Inputs!$B$11)</f>
        <v>100</v>
      </c>
      <c r="M100" s="15" t="n">
        <f aca="false">IF(J100=1,0,Inputs!$B$12)</f>
        <v>75</v>
      </c>
      <c r="N100" s="15" t="n">
        <f aca="false">IF(J100=1,0,IF(OR(AND(OR(B100="SITE LOSS",B100="REGION LOSS"),K100=1),AND(B100="ROLE COMPROMISE",H100=C100)),Inputs!$B$13,Inputs!$B$14))</f>
        <v>10</v>
      </c>
      <c r="O100" s="15" t="n">
        <f aca="false">IF(J100=1,0,Inputs!$B$13)</f>
        <v>20</v>
      </c>
      <c r="P100" s="15" t="n">
        <f aca="false">SUM(M100:N100)</f>
        <v>85</v>
      </c>
      <c r="Q100" s="15" t="n">
        <f aca="false">IF(J100=1,"",L100-P100)</f>
        <v>15</v>
      </c>
      <c r="R100" s="15" t="n">
        <f aca="false">IF(OR(J100=1,M100&lt;=Inputs!$B$12),1,0)</f>
        <v>1</v>
      </c>
      <c r="S100" s="15" t="n">
        <f aca="false">IF(OR(J100=1,N100&lt;=O100),1,0)</f>
        <v>1</v>
      </c>
      <c r="T100" s="15" t="str">
        <f aca="false">IF(J100=1,"OFFLINE",IF(AND(Q100&gt;=Inputs!$B$15,R100=1,S100=1,P100&lt;=L100),"PASS","FAIL"))</f>
        <v>PASS</v>
      </c>
    </row>
    <row r="101" customFormat="false" ht="15" hidden="false" customHeight="false" outlineLevel="0" collapsed="false">
      <c r="A101" s="14" t="s">
        <v>1018</v>
      </c>
      <c r="B101" s="14" t="s">
        <v>1019</v>
      </c>
      <c r="C101" s="14" t="s">
        <v>149</v>
      </c>
      <c r="D101" s="14" t="s">
        <v>198</v>
      </c>
      <c r="E101" s="14" t="s">
        <v>166</v>
      </c>
      <c r="F101" s="14" t="s">
        <v>199</v>
      </c>
      <c r="G101" s="14" t="n">
        <v>1</v>
      </c>
      <c r="H101" s="14" t="s">
        <v>154</v>
      </c>
      <c r="I101" s="14" t="s">
        <v>897</v>
      </c>
      <c r="J101" s="15" t="n">
        <f aca="false">IF(B101="SITE LOSS",IF(D101=C101,1,0),IF(B101="REGION LOSS",IF(E101=C101,1,0),0))</f>
        <v>0</v>
      </c>
      <c r="K101" s="15" t="n">
        <f aca="false">IF(B101="SITE LOSS",IF(COUNTIFS('Site Dockets'!$B$7:$B$24,C101,'Site Dockets'!$C$7:$C$24,F101)&gt;0,1,0),IF(B101="REGION LOSS",IF(COUNTIFS('Site Dockets'!$E$7:$E$24,C101,'Site Dockets'!$C$7:$C$24,F101)&gt;0,1,0),0))</f>
        <v>0</v>
      </c>
      <c r="L101" s="15" t="n">
        <f aca="false">IF(J101=1,0,Inputs!$B$11)</f>
        <v>100</v>
      </c>
      <c r="M101" s="15" t="n">
        <f aca="false">IF(J101=1,0,Inputs!$B$12)</f>
        <v>75</v>
      </c>
      <c r="N101" s="15" t="n">
        <f aca="false">IF(J101=1,0,IF(OR(AND(OR(B101="SITE LOSS",B101="REGION LOSS"),K101=1),AND(B101="ROLE COMPROMISE",H101=C101)),Inputs!$B$13,Inputs!$B$14))</f>
        <v>10</v>
      </c>
      <c r="O101" s="15" t="n">
        <f aca="false">IF(J101=1,0,Inputs!$B$13)</f>
        <v>20</v>
      </c>
      <c r="P101" s="15" t="n">
        <f aca="false">SUM(M101:N101)</f>
        <v>85</v>
      </c>
      <c r="Q101" s="15" t="n">
        <f aca="false">IF(J101=1,"",L101-P101)</f>
        <v>15</v>
      </c>
      <c r="R101" s="15" t="n">
        <f aca="false">IF(OR(J101=1,M101&lt;=Inputs!$B$12),1,0)</f>
        <v>1</v>
      </c>
      <c r="S101" s="15" t="n">
        <f aca="false">IF(OR(J101=1,N101&lt;=O101),1,0)</f>
        <v>1</v>
      </c>
      <c r="T101" s="15" t="str">
        <f aca="false">IF(J101=1,"OFFLINE",IF(AND(Q101&gt;=Inputs!$B$15,R101=1,S101=1,P101&lt;=L101),"PASS","FAIL"))</f>
        <v>PASS</v>
      </c>
    </row>
    <row r="102" customFormat="false" ht="15" hidden="false" customHeight="false" outlineLevel="0" collapsed="false">
      <c r="A102" s="14" t="s">
        <v>1018</v>
      </c>
      <c r="B102" s="14" t="s">
        <v>1019</v>
      </c>
      <c r="C102" s="14" t="s">
        <v>149</v>
      </c>
      <c r="D102" s="14" t="s">
        <v>198</v>
      </c>
      <c r="E102" s="14" t="s">
        <v>166</v>
      </c>
      <c r="F102" s="14" t="s">
        <v>199</v>
      </c>
      <c r="G102" s="14" t="n">
        <v>1</v>
      </c>
      <c r="H102" s="14" t="s">
        <v>154</v>
      </c>
      <c r="I102" s="14" t="s">
        <v>899</v>
      </c>
      <c r="J102" s="15" t="n">
        <f aca="false">IF(B102="SITE LOSS",IF(D102=C102,1,0),IF(B102="REGION LOSS",IF(E102=C102,1,0),0))</f>
        <v>0</v>
      </c>
      <c r="K102" s="15" t="n">
        <f aca="false">IF(B102="SITE LOSS",IF(COUNTIFS('Site Dockets'!$B$7:$B$24,C102,'Site Dockets'!$C$7:$C$24,F102)&gt;0,1,0),IF(B102="REGION LOSS",IF(COUNTIFS('Site Dockets'!$E$7:$E$24,C102,'Site Dockets'!$C$7:$C$24,F102)&gt;0,1,0),0))</f>
        <v>0</v>
      </c>
      <c r="L102" s="15" t="n">
        <f aca="false">IF(J102=1,0,Inputs!$B$11)</f>
        <v>100</v>
      </c>
      <c r="M102" s="15" t="n">
        <f aca="false">IF(J102=1,0,Inputs!$B$12)</f>
        <v>75</v>
      </c>
      <c r="N102" s="15" t="n">
        <f aca="false">IF(J102=1,0,IF(OR(AND(OR(B102="SITE LOSS",B102="REGION LOSS"),K102=1),AND(B102="ROLE COMPROMISE",H102=C102)),Inputs!$B$13,Inputs!$B$14))</f>
        <v>10</v>
      </c>
      <c r="O102" s="15" t="n">
        <f aca="false">IF(J102=1,0,Inputs!$B$13)</f>
        <v>20</v>
      </c>
      <c r="P102" s="15" t="n">
        <f aca="false">SUM(M102:N102)</f>
        <v>85</v>
      </c>
      <c r="Q102" s="15" t="n">
        <f aca="false">IF(J102=1,"",L102-P102)</f>
        <v>15</v>
      </c>
      <c r="R102" s="15" t="n">
        <f aca="false">IF(OR(J102=1,M102&lt;=Inputs!$B$12),1,0)</f>
        <v>1</v>
      </c>
      <c r="S102" s="15" t="n">
        <f aca="false">IF(OR(J102=1,N102&lt;=O102),1,0)</f>
        <v>1</v>
      </c>
      <c r="T102" s="15" t="str">
        <f aca="false">IF(J102=1,"OFFLINE",IF(AND(Q102&gt;=Inputs!$B$15,R102=1,S102=1,P102&lt;=L102),"PASS","FAIL"))</f>
        <v>PASS</v>
      </c>
    </row>
    <row r="103" customFormat="false" ht="15" hidden="false" customHeight="false" outlineLevel="0" collapsed="false">
      <c r="A103" s="14" t="s">
        <v>1018</v>
      </c>
      <c r="B103" s="14" t="s">
        <v>1019</v>
      </c>
      <c r="C103" s="14" t="s">
        <v>149</v>
      </c>
      <c r="D103" s="14" t="s">
        <v>202</v>
      </c>
      <c r="E103" s="14" t="s">
        <v>157</v>
      </c>
      <c r="F103" s="14" t="s">
        <v>199</v>
      </c>
      <c r="G103" s="14" t="n">
        <v>2</v>
      </c>
      <c r="H103" s="14" t="s">
        <v>153</v>
      </c>
      <c r="I103" s="14" t="s">
        <v>890</v>
      </c>
      <c r="J103" s="15" t="n">
        <f aca="false">IF(B103="SITE LOSS",IF(D103=C103,1,0),IF(B103="REGION LOSS",IF(E103=C103,1,0),0))</f>
        <v>0</v>
      </c>
      <c r="K103" s="15" t="n">
        <f aca="false">IF(B103="SITE LOSS",IF(COUNTIFS('Site Dockets'!$B$7:$B$24,C103,'Site Dockets'!$C$7:$C$24,F103)&gt;0,1,0),IF(B103="REGION LOSS",IF(COUNTIFS('Site Dockets'!$E$7:$E$24,C103,'Site Dockets'!$C$7:$C$24,F103)&gt;0,1,0),0))</f>
        <v>0</v>
      </c>
      <c r="L103" s="15" t="n">
        <f aca="false">IF(J103=1,0,Inputs!$B$11)</f>
        <v>100</v>
      </c>
      <c r="M103" s="15" t="n">
        <f aca="false">IF(J103=1,0,Inputs!$B$12)</f>
        <v>75</v>
      </c>
      <c r="N103" s="15" t="n">
        <f aca="false">IF(J103=1,0,IF(OR(AND(OR(B103="SITE LOSS",B103="REGION LOSS"),K103=1),AND(B103="ROLE COMPROMISE",H103=C103)),Inputs!$B$13,Inputs!$B$14))</f>
        <v>10</v>
      </c>
      <c r="O103" s="15" t="n">
        <f aca="false">IF(J103=1,0,Inputs!$B$13)</f>
        <v>20</v>
      </c>
      <c r="P103" s="15" t="n">
        <f aca="false">SUM(M103:N103)</f>
        <v>85</v>
      </c>
      <c r="Q103" s="15" t="n">
        <f aca="false">IF(J103=1,"",L103-P103)</f>
        <v>15</v>
      </c>
      <c r="R103" s="15" t="n">
        <f aca="false">IF(OR(J103=1,M103&lt;=Inputs!$B$12),1,0)</f>
        <v>1</v>
      </c>
      <c r="S103" s="15" t="n">
        <f aca="false">IF(OR(J103=1,N103&lt;=O103),1,0)</f>
        <v>1</v>
      </c>
      <c r="T103" s="15" t="str">
        <f aca="false">IF(J103=1,"OFFLINE",IF(AND(Q103&gt;=Inputs!$B$15,R103=1,S103=1,P103&lt;=L103),"PASS","FAIL"))</f>
        <v>PASS</v>
      </c>
    </row>
    <row r="104" customFormat="false" ht="15" hidden="false" customHeight="false" outlineLevel="0" collapsed="false">
      <c r="A104" s="14" t="s">
        <v>1018</v>
      </c>
      <c r="B104" s="14" t="s">
        <v>1019</v>
      </c>
      <c r="C104" s="14" t="s">
        <v>149</v>
      </c>
      <c r="D104" s="14" t="s">
        <v>202</v>
      </c>
      <c r="E104" s="14" t="s">
        <v>157</v>
      </c>
      <c r="F104" s="14" t="s">
        <v>199</v>
      </c>
      <c r="G104" s="14" t="n">
        <v>2</v>
      </c>
      <c r="H104" s="14" t="s">
        <v>153</v>
      </c>
      <c r="I104" s="14" t="s">
        <v>892</v>
      </c>
      <c r="J104" s="15" t="n">
        <f aca="false">IF(B104="SITE LOSS",IF(D104=C104,1,0),IF(B104="REGION LOSS",IF(E104=C104,1,0),0))</f>
        <v>0</v>
      </c>
      <c r="K104" s="15" t="n">
        <f aca="false">IF(B104="SITE LOSS",IF(COUNTIFS('Site Dockets'!$B$7:$B$24,C104,'Site Dockets'!$C$7:$C$24,F104)&gt;0,1,0),IF(B104="REGION LOSS",IF(COUNTIFS('Site Dockets'!$E$7:$E$24,C104,'Site Dockets'!$C$7:$C$24,F104)&gt;0,1,0),0))</f>
        <v>0</v>
      </c>
      <c r="L104" s="15" t="n">
        <f aca="false">IF(J104=1,0,Inputs!$B$11)</f>
        <v>100</v>
      </c>
      <c r="M104" s="15" t="n">
        <f aca="false">IF(J104=1,0,Inputs!$B$12)</f>
        <v>75</v>
      </c>
      <c r="N104" s="15" t="n">
        <f aca="false">IF(J104=1,0,IF(OR(AND(OR(B104="SITE LOSS",B104="REGION LOSS"),K104=1),AND(B104="ROLE COMPROMISE",H104=C104)),Inputs!$B$13,Inputs!$B$14))</f>
        <v>10</v>
      </c>
      <c r="O104" s="15" t="n">
        <f aca="false">IF(J104=1,0,Inputs!$B$13)</f>
        <v>20</v>
      </c>
      <c r="P104" s="15" t="n">
        <f aca="false">SUM(M104:N104)</f>
        <v>85</v>
      </c>
      <c r="Q104" s="15" t="n">
        <f aca="false">IF(J104=1,"",L104-P104)</f>
        <v>15</v>
      </c>
      <c r="R104" s="15" t="n">
        <f aca="false">IF(OR(J104=1,M104&lt;=Inputs!$B$12),1,0)</f>
        <v>1</v>
      </c>
      <c r="S104" s="15" t="n">
        <f aca="false">IF(OR(J104=1,N104&lt;=O104),1,0)</f>
        <v>1</v>
      </c>
      <c r="T104" s="15" t="str">
        <f aca="false">IF(J104=1,"OFFLINE",IF(AND(Q104&gt;=Inputs!$B$15,R104=1,S104=1,P104&lt;=L104),"PASS","FAIL"))</f>
        <v>PASS</v>
      </c>
    </row>
    <row r="105" customFormat="false" ht="15" hidden="false" customHeight="false" outlineLevel="0" collapsed="false">
      <c r="A105" s="14" t="s">
        <v>1018</v>
      </c>
      <c r="B105" s="14" t="s">
        <v>1019</v>
      </c>
      <c r="C105" s="14" t="s">
        <v>149</v>
      </c>
      <c r="D105" s="14" t="s">
        <v>202</v>
      </c>
      <c r="E105" s="14" t="s">
        <v>157</v>
      </c>
      <c r="F105" s="14" t="s">
        <v>199</v>
      </c>
      <c r="G105" s="14" t="n">
        <v>2</v>
      </c>
      <c r="H105" s="14" t="s">
        <v>153</v>
      </c>
      <c r="I105" s="14" t="s">
        <v>811</v>
      </c>
      <c r="J105" s="15" t="n">
        <f aca="false">IF(B105="SITE LOSS",IF(D105=C105,1,0),IF(B105="REGION LOSS",IF(E105=C105,1,0),0))</f>
        <v>0</v>
      </c>
      <c r="K105" s="15" t="n">
        <f aca="false">IF(B105="SITE LOSS",IF(COUNTIFS('Site Dockets'!$B$7:$B$24,C105,'Site Dockets'!$C$7:$C$24,F105)&gt;0,1,0),IF(B105="REGION LOSS",IF(COUNTIFS('Site Dockets'!$E$7:$E$24,C105,'Site Dockets'!$C$7:$C$24,F105)&gt;0,1,0),0))</f>
        <v>0</v>
      </c>
      <c r="L105" s="15" t="n">
        <f aca="false">IF(J105=1,0,Inputs!$B$11)</f>
        <v>100</v>
      </c>
      <c r="M105" s="15" t="n">
        <f aca="false">IF(J105=1,0,Inputs!$B$12)</f>
        <v>75</v>
      </c>
      <c r="N105" s="15" t="n">
        <f aca="false">IF(J105=1,0,IF(OR(AND(OR(B105="SITE LOSS",B105="REGION LOSS"),K105=1),AND(B105="ROLE COMPROMISE",H105=C105)),Inputs!$B$13,Inputs!$B$14))</f>
        <v>10</v>
      </c>
      <c r="O105" s="15" t="n">
        <f aca="false">IF(J105=1,0,Inputs!$B$13)</f>
        <v>20</v>
      </c>
      <c r="P105" s="15" t="n">
        <f aca="false">SUM(M105:N105)</f>
        <v>85</v>
      </c>
      <c r="Q105" s="15" t="n">
        <f aca="false">IF(J105=1,"",L105-P105)</f>
        <v>15</v>
      </c>
      <c r="R105" s="15" t="n">
        <f aca="false">IF(OR(J105=1,M105&lt;=Inputs!$B$12),1,0)</f>
        <v>1</v>
      </c>
      <c r="S105" s="15" t="n">
        <f aca="false">IF(OR(J105=1,N105&lt;=O105),1,0)</f>
        <v>1</v>
      </c>
      <c r="T105" s="15" t="str">
        <f aca="false">IF(J105=1,"OFFLINE",IF(AND(Q105&gt;=Inputs!$B$15,R105=1,S105=1,P105&lt;=L105),"PASS","FAIL"))</f>
        <v>PASS</v>
      </c>
    </row>
    <row r="106" customFormat="false" ht="15" hidden="false" customHeight="false" outlineLevel="0" collapsed="false">
      <c r="A106" s="14" t="s">
        <v>1018</v>
      </c>
      <c r="B106" s="14" t="s">
        <v>1019</v>
      </c>
      <c r="C106" s="14" t="s">
        <v>149</v>
      </c>
      <c r="D106" s="14" t="s">
        <v>202</v>
      </c>
      <c r="E106" s="14" t="s">
        <v>157</v>
      </c>
      <c r="F106" s="14" t="s">
        <v>199</v>
      </c>
      <c r="G106" s="14" t="n">
        <v>2</v>
      </c>
      <c r="H106" s="14" t="s">
        <v>153</v>
      </c>
      <c r="I106" s="14" t="s">
        <v>895</v>
      </c>
      <c r="J106" s="15" t="n">
        <f aca="false">IF(B106="SITE LOSS",IF(D106=C106,1,0),IF(B106="REGION LOSS",IF(E106=C106,1,0),0))</f>
        <v>0</v>
      </c>
      <c r="K106" s="15" t="n">
        <f aca="false">IF(B106="SITE LOSS",IF(COUNTIFS('Site Dockets'!$B$7:$B$24,C106,'Site Dockets'!$C$7:$C$24,F106)&gt;0,1,0),IF(B106="REGION LOSS",IF(COUNTIFS('Site Dockets'!$E$7:$E$24,C106,'Site Dockets'!$C$7:$C$24,F106)&gt;0,1,0),0))</f>
        <v>0</v>
      </c>
      <c r="L106" s="15" t="n">
        <f aca="false">IF(J106=1,0,Inputs!$B$11)</f>
        <v>100</v>
      </c>
      <c r="M106" s="15" t="n">
        <f aca="false">IF(J106=1,0,Inputs!$B$12)</f>
        <v>75</v>
      </c>
      <c r="N106" s="15" t="n">
        <f aca="false">IF(J106=1,0,IF(OR(AND(OR(B106="SITE LOSS",B106="REGION LOSS"),K106=1),AND(B106="ROLE COMPROMISE",H106=C106)),Inputs!$B$13,Inputs!$B$14))</f>
        <v>10</v>
      </c>
      <c r="O106" s="15" t="n">
        <f aca="false">IF(J106=1,0,Inputs!$B$13)</f>
        <v>20</v>
      </c>
      <c r="P106" s="15" t="n">
        <f aca="false">SUM(M106:N106)</f>
        <v>85</v>
      </c>
      <c r="Q106" s="15" t="n">
        <f aca="false">IF(J106=1,"",L106-P106)</f>
        <v>15</v>
      </c>
      <c r="R106" s="15" t="n">
        <f aca="false">IF(OR(J106=1,M106&lt;=Inputs!$B$12),1,0)</f>
        <v>1</v>
      </c>
      <c r="S106" s="15" t="n">
        <f aca="false">IF(OR(J106=1,N106&lt;=O106),1,0)</f>
        <v>1</v>
      </c>
      <c r="T106" s="15" t="str">
        <f aca="false">IF(J106=1,"OFFLINE",IF(AND(Q106&gt;=Inputs!$B$15,R106=1,S106=1,P106&lt;=L106),"PASS","FAIL"))</f>
        <v>PASS</v>
      </c>
    </row>
    <row r="107" customFormat="false" ht="15" hidden="false" customHeight="false" outlineLevel="0" collapsed="false">
      <c r="A107" s="14" t="s">
        <v>1018</v>
      </c>
      <c r="B107" s="14" t="s">
        <v>1019</v>
      </c>
      <c r="C107" s="14" t="s">
        <v>149</v>
      </c>
      <c r="D107" s="14" t="s">
        <v>202</v>
      </c>
      <c r="E107" s="14" t="s">
        <v>157</v>
      </c>
      <c r="F107" s="14" t="s">
        <v>199</v>
      </c>
      <c r="G107" s="14" t="n">
        <v>2</v>
      </c>
      <c r="H107" s="14" t="s">
        <v>153</v>
      </c>
      <c r="I107" s="14" t="s">
        <v>897</v>
      </c>
      <c r="J107" s="15" t="n">
        <f aca="false">IF(B107="SITE LOSS",IF(D107=C107,1,0),IF(B107="REGION LOSS",IF(E107=C107,1,0),0))</f>
        <v>0</v>
      </c>
      <c r="K107" s="15" t="n">
        <f aca="false">IF(B107="SITE LOSS",IF(COUNTIFS('Site Dockets'!$B$7:$B$24,C107,'Site Dockets'!$C$7:$C$24,F107)&gt;0,1,0),IF(B107="REGION LOSS",IF(COUNTIFS('Site Dockets'!$E$7:$E$24,C107,'Site Dockets'!$C$7:$C$24,F107)&gt;0,1,0),0))</f>
        <v>0</v>
      </c>
      <c r="L107" s="15" t="n">
        <f aca="false">IF(J107=1,0,Inputs!$B$11)</f>
        <v>100</v>
      </c>
      <c r="M107" s="15" t="n">
        <f aca="false">IF(J107=1,0,Inputs!$B$12)</f>
        <v>75</v>
      </c>
      <c r="N107" s="15" t="n">
        <f aca="false">IF(J107=1,0,IF(OR(AND(OR(B107="SITE LOSS",B107="REGION LOSS"),K107=1),AND(B107="ROLE COMPROMISE",H107=C107)),Inputs!$B$13,Inputs!$B$14))</f>
        <v>10</v>
      </c>
      <c r="O107" s="15" t="n">
        <f aca="false">IF(J107=1,0,Inputs!$B$13)</f>
        <v>20</v>
      </c>
      <c r="P107" s="15" t="n">
        <f aca="false">SUM(M107:N107)</f>
        <v>85</v>
      </c>
      <c r="Q107" s="15" t="n">
        <f aca="false">IF(J107=1,"",L107-P107)</f>
        <v>15</v>
      </c>
      <c r="R107" s="15" t="n">
        <f aca="false">IF(OR(J107=1,M107&lt;=Inputs!$B$12),1,0)</f>
        <v>1</v>
      </c>
      <c r="S107" s="15" t="n">
        <f aca="false">IF(OR(J107=1,N107&lt;=O107),1,0)</f>
        <v>1</v>
      </c>
      <c r="T107" s="15" t="str">
        <f aca="false">IF(J107=1,"OFFLINE",IF(AND(Q107&gt;=Inputs!$B$15,R107=1,S107=1,P107&lt;=L107),"PASS","FAIL"))</f>
        <v>PASS</v>
      </c>
    </row>
    <row r="108" customFormat="false" ht="15" hidden="false" customHeight="false" outlineLevel="0" collapsed="false">
      <c r="A108" s="14" t="s">
        <v>1018</v>
      </c>
      <c r="B108" s="14" t="s">
        <v>1019</v>
      </c>
      <c r="C108" s="14" t="s">
        <v>149</v>
      </c>
      <c r="D108" s="14" t="s">
        <v>202</v>
      </c>
      <c r="E108" s="14" t="s">
        <v>157</v>
      </c>
      <c r="F108" s="14" t="s">
        <v>199</v>
      </c>
      <c r="G108" s="14" t="n">
        <v>2</v>
      </c>
      <c r="H108" s="14" t="s">
        <v>153</v>
      </c>
      <c r="I108" s="14" t="s">
        <v>899</v>
      </c>
      <c r="J108" s="15" t="n">
        <f aca="false">IF(B108="SITE LOSS",IF(D108=C108,1,0),IF(B108="REGION LOSS",IF(E108=C108,1,0),0))</f>
        <v>0</v>
      </c>
      <c r="K108" s="15" t="n">
        <f aca="false">IF(B108="SITE LOSS",IF(COUNTIFS('Site Dockets'!$B$7:$B$24,C108,'Site Dockets'!$C$7:$C$24,F108)&gt;0,1,0),IF(B108="REGION LOSS",IF(COUNTIFS('Site Dockets'!$E$7:$E$24,C108,'Site Dockets'!$C$7:$C$24,F108)&gt;0,1,0),0))</f>
        <v>0</v>
      </c>
      <c r="L108" s="15" t="n">
        <f aca="false">IF(J108=1,0,Inputs!$B$11)</f>
        <v>100</v>
      </c>
      <c r="M108" s="15" t="n">
        <f aca="false">IF(J108=1,0,Inputs!$B$12)</f>
        <v>75</v>
      </c>
      <c r="N108" s="15" t="n">
        <f aca="false">IF(J108=1,0,IF(OR(AND(OR(B108="SITE LOSS",B108="REGION LOSS"),K108=1),AND(B108="ROLE COMPROMISE",H108=C108)),Inputs!$B$13,Inputs!$B$14))</f>
        <v>10</v>
      </c>
      <c r="O108" s="15" t="n">
        <f aca="false">IF(J108=1,0,Inputs!$B$13)</f>
        <v>20</v>
      </c>
      <c r="P108" s="15" t="n">
        <f aca="false">SUM(M108:N108)</f>
        <v>85</v>
      </c>
      <c r="Q108" s="15" t="n">
        <f aca="false">IF(J108=1,"",L108-P108)</f>
        <v>15</v>
      </c>
      <c r="R108" s="15" t="n">
        <f aca="false">IF(OR(J108=1,M108&lt;=Inputs!$B$12),1,0)</f>
        <v>1</v>
      </c>
      <c r="S108" s="15" t="n">
        <f aca="false">IF(OR(J108=1,N108&lt;=O108),1,0)</f>
        <v>1</v>
      </c>
      <c r="T108" s="15" t="str">
        <f aca="false">IF(J108=1,"OFFLINE",IF(AND(Q108&gt;=Inputs!$B$15,R108=1,S108=1,P108&lt;=L108),"PASS","FAIL"))</f>
        <v>PASS</v>
      </c>
    </row>
    <row r="109" customFormat="false" ht="15" hidden="false" customHeight="false" outlineLevel="0" collapsed="false">
      <c r="A109" s="14" t="s">
        <v>1018</v>
      </c>
      <c r="B109" s="14" t="s">
        <v>1019</v>
      </c>
      <c r="C109" s="14" t="s">
        <v>149</v>
      </c>
      <c r="D109" s="14" t="s">
        <v>204</v>
      </c>
      <c r="E109" s="14" t="s">
        <v>161</v>
      </c>
      <c r="F109" s="14" t="s">
        <v>199</v>
      </c>
      <c r="G109" s="14" t="n">
        <v>3</v>
      </c>
      <c r="H109" s="14" t="s">
        <v>158</v>
      </c>
      <c r="I109" s="14" t="s">
        <v>890</v>
      </c>
      <c r="J109" s="15" t="n">
        <f aca="false">IF(B109="SITE LOSS",IF(D109=C109,1,0),IF(B109="REGION LOSS",IF(E109=C109,1,0),0))</f>
        <v>0</v>
      </c>
      <c r="K109" s="15" t="n">
        <f aca="false">IF(B109="SITE LOSS",IF(COUNTIFS('Site Dockets'!$B$7:$B$24,C109,'Site Dockets'!$C$7:$C$24,F109)&gt;0,1,0),IF(B109="REGION LOSS",IF(COUNTIFS('Site Dockets'!$E$7:$E$24,C109,'Site Dockets'!$C$7:$C$24,F109)&gt;0,1,0),0))</f>
        <v>0</v>
      </c>
      <c r="L109" s="15" t="n">
        <f aca="false">IF(J109=1,0,Inputs!$B$11)</f>
        <v>100</v>
      </c>
      <c r="M109" s="15" t="n">
        <f aca="false">IF(J109=1,0,Inputs!$B$12)</f>
        <v>75</v>
      </c>
      <c r="N109" s="15" t="n">
        <f aca="false">IF(J109=1,0,IF(OR(AND(OR(B109="SITE LOSS",B109="REGION LOSS"),K109=1),AND(B109="ROLE COMPROMISE",H109=C109)),Inputs!$B$13,Inputs!$B$14))</f>
        <v>10</v>
      </c>
      <c r="O109" s="15" t="n">
        <f aca="false">IF(J109=1,0,Inputs!$B$13)</f>
        <v>20</v>
      </c>
      <c r="P109" s="15" t="n">
        <f aca="false">SUM(M109:N109)</f>
        <v>85</v>
      </c>
      <c r="Q109" s="15" t="n">
        <f aca="false">IF(J109=1,"",L109-P109)</f>
        <v>15</v>
      </c>
      <c r="R109" s="15" t="n">
        <f aca="false">IF(OR(J109=1,M109&lt;=Inputs!$B$12),1,0)</f>
        <v>1</v>
      </c>
      <c r="S109" s="15" t="n">
        <f aca="false">IF(OR(J109=1,N109&lt;=O109),1,0)</f>
        <v>1</v>
      </c>
      <c r="T109" s="15" t="str">
        <f aca="false">IF(J109=1,"OFFLINE",IF(AND(Q109&gt;=Inputs!$B$15,R109=1,S109=1,P109&lt;=L109),"PASS","FAIL"))</f>
        <v>PASS</v>
      </c>
    </row>
    <row r="110" customFormat="false" ht="15" hidden="false" customHeight="false" outlineLevel="0" collapsed="false">
      <c r="A110" s="14" t="s">
        <v>1018</v>
      </c>
      <c r="B110" s="14" t="s">
        <v>1019</v>
      </c>
      <c r="C110" s="14" t="s">
        <v>149</v>
      </c>
      <c r="D110" s="14" t="s">
        <v>204</v>
      </c>
      <c r="E110" s="14" t="s">
        <v>161</v>
      </c>
      <c r="F110" s="14" t="s">
        <v>199</v>
      </c>
      <c r="G110" s="14" t="n">
        <v>3</v>
      </c>
      <c r="H110" s="14" t="s">
        <v>158</v>
      </c>
      <c r="I110" s="14" t="s">
        <v>892</v>
      </c>
      <c r="J110" s="15" t="n">
        <f aca="false">IF(B110="SITE LOSS",IF(D110=C110,1,0),IF(B110="REGION LOSS",IF(E110=C110,1,0),0))</f>
        <v>0</v>
      </c>
      <c r="K110" s="15" t="n">
        <f aca="false">IF(B110="SITE LOSS",IF(COUNTIFS('Site Dockets'!$B$7:$B$24,C110,'Site Dockets'!$C$7:$C$24,F110)&gt;0,1,0),IF(B110="REGION LOSS",IF(COUNTIFS('Site Dockets'!$E$7:$E$24,C110,'Site Dockets'!$C$7:$C$24,F110)&gt;0,1,0),0))</f>
        <v>0</v>
      </c>
      <c r="L110" s="15" t="n">
        <f aca="false">IF(J110=1,0,Inputs!$B$11)</f>
        <v>100</v>
      </c>
      <c r="M110" s="15" t="n">
        <f aca="false">IF(J110=1,0,Inputs!$B$12)</f>
        <v>75</v>
      </c>
      <c r="N110" s="15" t="n">
        <f aca="false">IF(J110=1,0,IF(OR(AND(OR(B110="SITE LOSS",B110="REGION LOSS"),K110=1),AND(B110="ROLE COMPROMISE",H110=C110)),Inputs!$B$13,Inputs!$B$14))</f>
        <v>10</v>
      </c>
      <c r="O110" s="15" t="n">
        <f aca="false">IF(J110=1,0,Inputs!$B$13)</f>
        <v>20</v>
      </c>
      <c r="P110" s="15" t="n">
        <f aca="false">SUM(M110:N110)</f>
        <v>85</v>
      </c>
      <c r="Q110" s="15" t="n">
        <f aca="false">IF(J110=1,"",L110-P110)</f>
        <v>15</v>
      </c>
      <c r="R110" s="15" t="n">
        <f aca="false">IF(OR(J110=1,M110&lt;=Inputs!$B$12),1,0)</f>
        <v>1</v>
      </c>
      <c r="S110" s="15" t="n">
        <f aca="false">IF(OR(J110=1,N110&lt;=O110),1,0)</f>
        <v>1</v>
      </c>
      <c r="T110" s="15" t="str">
        <f aca="false">IF(J110=1,"OFFLINE",IF(AND(Q110&gt;=Inputs!$B$15,R110=1,S110=1,P110&lt;=L110),"PASS","FAIL"))</f>
        <v>PASS</v>
      </c>
    </row>
    <row r="111" customFormat="false" ht="15" hidden="false" customHeight="false" outlineLevel="0" collapsed="false">
      <c r="A111" s="14" t="s">
        <v>1018</v>
      </c>
      <c r="B111" s="14" t="s">
        <v>1019</v>
      </c>
      <c r="C111" s="14" t="s">
        <v>149</v>
      </c>
      <c r="D111" s="14" t="s">
        <v>204</v>
      </c>
      <c r="E111" s="14" t="s">
        <v>161</v>
      </c>
      <c r="F111" s="14" t="s">
        <v>199</v>
      </c>
      <c r="G111" s="14" t="n">
        <v>3</v>
      </c>
      <c r="H111" s="14" t="s">
        <v>158</v>
      </c>
      <c r="I111" s="14" t="s">
        <v>811</v>
      </c>
      <c r="J111" s="15" t="n">
        <f aca="false">IF(B111="SITE LOSS",IF(D111=C111,1,0),IF(B111="REGION LOSS",IF(E111=C111,1,0),0))</f>
        <v>0</v>
      </c>
      <c r="K111" s="15" t="n">
        <f aca="false">IF(B111="SITE LOSS",IF(COUNTIFS('Site Dockets'!$B$7:$B$24,C111,'Site Dockets'!$C$7:$C$24,F111)&gt;0,1,0),IF(B111="REGION LOSS",IF(COUNTIFS('Site Dockets'!$E$7:$E$24,C111,'Site Dockets'!$C$7:$C$24,F111)&gt;0,1,0),0))</f>
        <v>0</v>
      </c>
      <c r="L111" s="15" t="n">
        <f aca="false">IF(J111=1,0,Inputs!$B$11)</f>
        <v>100</v>
      </c>
      <c r="M111" s="15" t="n">
        <f aca="false">IF(J111=1,0,Inputs!$B$12)</f>
        <v>75</v>
      </c>
      <c r="N111" s="15" t="n">
        <f aca="false">IF(J111=1,0,IF(OR(AND(OR(B111="SITE LOSS",B111="REGION LOSS"),K111=1),AND(B111="ROLE COMPROMISE",H111=C111)),Inputs!$B$13,Inputs!$B$14))</f>
        <v>10</v>
      </c>
      <c r="O111" s="15" t="n">
        <f aca="false">IF(J111=1,0,Inputs!$B$13)</f>
        <v>20</v>
      </c>
      <c r="P111" s="15" t="n">
        <f aca="false">SUM(M111:N111)</f>
        <v>85</v>
      </c>
      <c r="Q111" s="15" t="n">
        <f aca="false">IF(J111=1,"",L111-P111)</f>
        <v>15</v>
      </c>
      <c r="R111" s="15" t="n">
        <f aca="false">IF(OR(J111=1,M111&lt;=Inputs!$B$12),1,0)</f>
        <v>1</v>
      </c>
      <c r="S111" s="15" t="n">
        <f aca="false">IF(OR(J111=1,N111&lt;=O111),1,0)</f>
        <v>1</v>
      </c>
      <c r="T111" s="15" t="str">
        <f aca="false">IF(J111=1,"OFFLINE",IF(AND(Q111&gt;=Inputs!$B$15,R111=1,S111=1,P111&lt;=L111),"PASS","FAIL"))</f>
        <v>PASS</v>
      </c>
    </row>
    <row r="112" customFormat="false" ht="15" hidden="false" customHeight="false" outlineLevel="0" collapsed="false">
      <c r="A112" s="14" t="s">
        <v>1018</v>
      </c>
      <c r="B112" s="14" t="s">
        <v>1019</v>
      </c>
      <c r="C112" s="14" t="s">
        <v>149</v>
      </c>
      <c r="D112" s="14" t="s">
        <v>204</v>
      </c>
      <c r="E112" s="14" t="s">
        <v>161</v>
      </c>
      <c r="F112" s="14" t="s">
        <v>199</v>
      </c>
      <c r="G112" s="14" t="n">
        <v>3</v>
      </c>
      <c r="H112" s="14" t="s">
        <v>158</v>
      </c>
      <c r="I112" s="14" t="s">
        <v>895</v>
      </c>
      <c r="J112" s="15" t="n">
        <f aca="false">IF(B112="SITE LOSS",IF(D112=C112,1,0),IF(B112="REGION LOSS",IF(E112=C112,1,0),0))</f>
        <v>0</v>
      </c>
      <c r="K112" s="15" t="n">
        <f aca="false">IF(B112="SITE LOSS",IF(COUNTIFS('Site Dockets'!$B$7:$B$24,C112,'Site Dockets'!$C$7:$C$24,F112)&gt;0,1,0),IF(B112="REGION LOSS",IF(COUNTIFS('Site Dockets'!$E$7:$E$24,C112,'Site Dockets'!$C$7:$C$24,F112)&gt;0,1,0),0))</f>
        <v>0</v>
      </c>
      <c r="L112" s="15" t="n">
        <f aca="false">IF(J112=1,0,Inputs!$B$11)</f>
        <v>100</v>
      </c>
      <c r="M112" s="15" t="n">
        <f aca="false">IF(J112=1,0,Inputs!$B$12)</f>
        <v>75</v>
      </c>
      <c r="N112" s="15" t="n">
        <f aca="false">IF(J112=1,0,IF(OR(AND(OR(B112="SITE LOSS",B112="REGION LOSS"),K112=1),AND(B112="ROLE COMPROMISE",H112=C112)),Inputs!$B$13,Inputs!$B$14))</f>
        <v>10</v>
      </c>
      <c r="O112" s="15" t="n">
        <f aca="false">IF(J112=1,0,Inputs!$B$13)</f>
        <v>20</v>
      </c>
      <c r="P112" s="15" t="n">
        <f aca="false">SUM(M112:N112)</f>
        <v>85</v>
      </c>
      <c r="Q112" s="15" t="n">
        <f aca="false">IF(J112=1,"",L112-P112)</f>
        <v>15</v>
      </c>
      <c r="R112" s="15" t="n">
        <f aca="false">IF(OR(J112=1,M112&lt;=Inputs!$B$12),1,0)</f>
        <v>1</v>
      </c>
      <c r="S112" s="15" t="n">
        <f aca="false">IF(OR(J112=1,N112&lt;=O112),1,0)</f>
        <v>1</v>
      </c>
      <c r="T112" s="15" t="str">
        <f aca="false">IF(J112=1,"OFFLINE",IF(AND(Q112&gt;=Inputs!$B$15,R112=1,S112=1,P112&lt;=L112),"PASS","FAIL"))</f>
        <v>PASS</v>
      </c>
    </row>
    <row r="113" customFormat="false" ht="15" hidden="false" customHeight="false" outlineLevel="0" collapsed="false">
      <c r="A113" s="14" t="s">
        <v>1018</v>
      </c>
      <c r="B113" s="14" t="s">
        <v>1019</v>
      </c>
      <c r="C113" s="14" t="s">
        <v>149</v>
      </c>
      <c r="D113" s="14" t="s">
        <v>204</v>
      </c>
      <c r="E113" s="14" t="s">
        <v>161</v>
      </c>
      <c r="F113" s="14" t="s">
        <v>199</v>
      </c>
      <c r="G113" s="14" t="n">
        <v>3</v>
      </c>
      <c r="H113" s="14" t="s">
        <v>158</v>
      </c>
      <c r="I113" s="14" t="s">
        <v>897</v>
      </c>
      <c r="J113" s="15" t="n">
        <f aca="false">IF(B113="SITE LOSS",IF(D113=C113,1,0),IF(B113="REGION LOSS",IF(E113=C113,1,0),0))</f>
        <v>0</v>
      </c>
      <c r="K113" s="15" t="n">
        <f aca="false">IF(B113="SITE LOSS",IF(COUNTIFS('Site Dockets'!$B$7:$B$24,C113,'Site Dockets'!$C$7:$C$24,F113)&gt;0,1,0),IF(B113="REGION LOSS",IF(COUNTIFS('Site Dockets'!$E$7:$E$24,C113,'Site Dockets'!$C$7:$C$24,F113)&gt;0,1,0),0))</f>
        <v>0</v>
      </c>
      <c r="L113" s="15" t="n">
        <f aca="false">IF(J113=1,0,Inputs!$B$11)</f>
        <v>100</v>
      </c>
      <c r="M113" s="15" t="n">
        <f aca="false">IF(J113=1,0,Inputs!$B$12)</f>
        <v>75</v>
      </c>
      <c r="N113" s="15" t="n">
        <f aca="false">IF(J113=1,0,IF(OR(AND(OR(B113="SITE LOSS",B113="REGION LOSS"),K113=1),AND(B113="ROLE COMPROMISE",H113=C113)),Inputs!$B$13,Inputs!$B$14))</f>
        <v>10</v>
      </c>
      <c r="O113" s="15" t="n">
        <f aca="false">IF(J113=1,0,Inputs!$B$13)</f>
        <v>20</v>
      </c>
      <c r="P113" s="15" t="n">
        <f aca="false">SUM(M113:N113)</f>
        <v>85</v>
      </c>
      <c r="Q113" s="15" t="n">
        <f aca="false">IF(J113=1,"",L113-P113)</f>
        <v>15</v>
      </c>
      <c r="R113" s="15" t="n">
        <f aca="false">IF(OR(J113=1,M113&lt;=Inputs!$B$12),1,0)</f>
        <v>1</v>
      </c>
      <c r="S113" s="15" t="n">
        <f aca="false">IF(OR(J113=1,N113&lt;=O113),1,0)</f>
        <v>1</v>
      </c>
      <c r="T113" s="15" t="str">
        <f aca="false">IF(J113=1,"OFFLINE",IF(AND(Q113&gt;=Inputs!$B$15,R113=1,S113=1,P113&lt;=L113),"PASS","FAIL"))</f>
        <v>PASS</v>
      </c>
    </row>
    <row r="114" customFormat="false" ht="15" hidden="false" customHeight="false" outlineLevel="0" collapsed="false">
      <c r="A114" s="14" t="s">
        <v>1018</v>
      </c>
      <c r="B114" s="14" t="s">
        <v>1019</v>
      </c>
      <c r="C114" s="14" t="s">
        <v>149</v>
      </c>
      <c r="D114" s="14" t="s">
        <v>204</v>
      </c>
      <c r="E114" s="14" t="s">
        <v>161</v>
      </c>
      <c r="F114" s="14" t="s">
        <v>199</v>
      </c>
      <c r="G114" s="14" t="n">
        <v>3</v>
      </c>
      <c r="H114" s="14" t="s">
        <v>158</v>
      </c>
      <c r="I114" s="14" t="s">
        <v>899</v>
      </c>
      <c r="J114" s="15" t="n">
        <f aca="false">IF(B114="SITE LOSS",IF(D114=C114,1,0),IF(B114="REGION LOSS",IF(E114=C114,1,0),0))</f>
        <v>0</v>
      </c>
      <c r="K114" s="15" t="n">
        <f aca="false">IF(B114="SITE LOSS",IF(COUNTIFS('Site Dockets'!$B$7:$B$24,C114,'Site Dockets'!$C$7:$C$24,F114)&gt;0,1,0),IF(B114="REGION LOSS",IF(COUNTIFS('Site Dockets'!$E$7:$E$24,C114,'Site Dockets'!$C$7:$C$24,F114)&gt;0,1,0),0))</f>
        <v>0</v>
      </c>
      <c r="L114" s="15" t="n">
        <f aca="false">IF(J114=1,0,Inputs!$B$11)</f>
        <v>100</v>
      </c>
      <c r="M114" s="15" t="n">
        <f aca="false">IF(J114=1,0,Inputs!$B$12)</f>
        <v>75</v>
      </c>
      <c r="N114" s="15" t="n">
        <f aca="false">IF(J114=1,0,IF(OR(AND(OR(B114="SITE LOSS",B114="REGION LOSS"),K114=1),AND(B114="ROLE COMPROMISE",H114=C114)),Inputs!$B$13,Inputs!$B$14))</f>
        <v>10</v>
      </c>
      <c r="O114" s="15" t="n">
        <f aca="false">IF(J114=1,0,Inputs!$B$13)</f>
        <v>20</v>
      </c>
      <c r="P114" s="15" t="n">
        <f aca="false">SUM(M114:N114)</f>
        <v>85</v>
      </c>
      <c r="Q114" s="15" t="n">
        <f aca="false">IF(J114=1,"",L114-P114)</f>
        <v>15</v>
      </c>
      <c r="R114" s="15" t="n">
        <f aca="false">IF(OR(J114=1,M114&lt;=Inputs!$B$12),1,0)</f>
        <v>1</v>
      </c>
      <c r="S114" s="15" t="n">
        <f aca="false">IF(OR(J114=1,N114&lt;=O114),1,0)</f>
        <v>1</v>
      </c>
      <c r="T114" s="15" t="str">
        <f aca="false">IF(J114=1,"OFFLINE",IF(AND(Q114&gt;=Inputs!$B$15,R114=1,S114=1,P114&lt;=L114),"PASS","FAIL"))</f>
        <v>PASS</v>
      </c>
    </row>
    <row r="115" customFormat="false" ht="15" hidden="false" customHeight="false" outlineLevel="0" collapsed="false">
      <c r="A115" s="14" t="s">
        <v>1020</v>
      </c>
      <c r="B115" s="14" t="s">
        <v>1019</v>
      </c>
      <c r="C115" s="14" t="s">
        <v>156</v>
      </c>
      <c r="D115" s="14" t="s">
        <v>149</v>
      </c>
      <c r="E115" s="14" t="s">
        <v>152</v>
      </c>
      <c r="F115" s="14" t="s">
        <v>150</v>
      </c>
      <c r="G115" s="14" t="n">
        <v>1</v>
      </c>
      <c r="H115" s="14" t="s">
        <v>154</v>
      </c>
      <c r="I115" s="14" t="s">
        <v>890</v>
      </c>
      <c r="J115" s="15" t="n">
        <f aca="false">IF(B115="SITE LOSS",IF(D115=C115,1,0),IF(B115="REGION LOSS",IF(E115=C115,1,0),0))</f>
        <v>0</v>
      </c>
      <c r="K115" s="15" t="n">
        <f aca="false">IF(B115="SITE LOSS",IF(COUNTIFS('Site Dockets'!$B$7:$B$24,C115,'Site Dockets'!$C$7:$C$24,F115)&gt;0,1,0),IF(B115="REGION LOSS",IF(COUNTIFS('Site Dockets'!$E$7:$E$24,C115,'Site Dockets'!$C$7:$C$24,F115)&gt;0,1,0),0))</f>
        <v>1</v>
      </c>
      <c r="L115" s="15" t="n">
        <f aca="false">IF(J115=1,0,Inputs!$B$11)</f>
        <v>100</v>
      </c>
      <c r="M115" s="15" t="n">
        <f aca="false">IF(J115=1,0,Inputs!$B$12)</f>
        <v>75</v>
      </c>
      <c r="N115" s="15" t="n">
        <f aca="false">IF(J115=1,0,IF(OR(AND(OR(B115="SITE LOSS",B115="REGION LOSS"),K115=1),AND(B115="ROLE COMPROMISE",H115=C115)),Inputs!$B$13,Inputs!$B$14))</f>
        <v>20</v>
      </c>
      <c r="O115" s="15" t="n">
        <f aca="false">IF(J115=1,0,Inputs!$B$13)</f>
        <v>20</v>
      </c>
      <c r="P115" s="15" t="n">
        <f aca="false">SUM(M115:N115)</f>
        <v>95</v>
      </c>
      <c r="Q115" s="15" t="n">
        <f aca="false">IF(J115=1,"",L115-P115)</f>
        <v>5</v>
      </c>
      <c r="R115" s="15" t="n">
        <f aca="false">IF(OR(J115=1,M115&lt;=Inputs!$B$12),1,0)</f>
        <v>1</v>
      </c>
      <c r="S115" s="15" t="n">
        <f aca="false">IF(OR(J115=1,N115&lt;=O115),1,0)</f>
        <v>1</v>
      </c>
      <c r="T115" s="15" t="str">
        <f aca="false">IF(J115=1,"OFFLINE",IF(AND(Q115&gt;=Inputs!$B$15,R115=1,S115=1,P115&lt;=L115),"PASS","FAIL"))</f>
        <v>PASS</v>
      </c>
    </row>
    <row r="116" customFormat="false" ht="15" hidden="false" customHeight="false" outlineLevel="0" collapsed="false">
      <c r="A116" s="14" t="s">
        <v>1020</v>
      </c>
      <c r="B116" s="14" t="s">
        <v>1019</v>
      </c>
      <c r="C116" s="14" t="s">
        <v>156</v>
      </c>
      <c r="D116" s="14" t="s">
        <v>149</v>
      </c>
      <c r="E116" s="14" t="s">
        <v>152</v>
      </c>
      <c r="F116" s="14" t="s">
        <v>150</v>
      </c>
      <c r="G116" s="14" t="n">
        <v>1</v>
      </c>
      <c r="H116" s="14" t="s">
        <v>154</v>
      </c>
      <c r="I116" s="14" t="s">
        <v>892</v>
      </c>
      <c r="J116" s="15" t="n">
        <f aca="false">IF(B116="SITE LOSS",IF(D116=C116,1,0),IF(B116="REGION LOSS",IF(E116=C116,1,0),0))</f>
        <v>0</v>
      </c>
      <c r="K116" s="15" t="n">
        <f aca="false">IF(B116="SITE LOSS",IF(COUNTIFS('Site Dockets'!$B$7:$B$24,C116,'Site Dockets'!$C$7:$C$24,F116)&gt;0,1,0),IF(B116="REGION LOSS",IF(COUNTIFS('Site Dockets'!$E$7:$E$24,C116,'Site Dockets'!$C$7:$C$24,F116)&gt;0,1,0),0))</f>
        <v>1</v>
      </c>
      <c r="L116" s="15" t="n">
        <f aca="false">IF(J116=1,0,Inputs!$B$11)</f>
        <v>100</v>
      </c>
      <c r="M116" s="15" t="n">
        <f aca="false">IF(J116=1,0,Inputs!$B$12)</f>
        <v>75</v>
      </c>
      <c r="N116" s="15" t="n">
        <f aca="false">IF(J116=1,0,IF(OR(AND(OR(B116="SITE LOSS",B116="REGION LOSS"),K116=1),AND(B116="ROLE COMPROMISE",H116=C116)),Inputs!$B$13,Inputs!$B$14))</f>
        <v>20</v>
      </c>
      <c r="O116" s="15" t="n">
        <f aca="false">IF(J116=1,0,Inputs!$B$13)</f>
        <v>20</v>
      </c>
      <c r="P116" s="15" t="n">
        <f aca="false">SUM(M116:N116)</f>
        <v>95</v>
      </c>
      <c r="Q116" s="15" t="n">
        <f aca="false">IF(J116=1,"",L116-P116)</f>
        <v>5</v>
      </c>
      <c r="R116" s="15" t="n">
        <f aca="false">IF(OR(J116=1,M116&lt;=Inputs!$B$12),1,0)</f>
        <v>1</v>
      </c>
      <c r="S116" s="15" t="n">
        <f aca="false">IF(OR(J116=1,N116&lt;=O116),1,0)</f>
        <v>1</v>
      </c>
      <c r="T116" s="15" t="str">
        <f aca="false">IF(J116=1,"OFFLINE",IF(AND(Q116&gt;=Inputs!$B$15,R116=1,S116=1,P116&lt;=L116),"PASS","FAIL"))</f>
        <v>PASS</v>
      </c>
    </row>
    <row r="117" customFormat="false" ht="15" hidden="false" customHeight="false" outlineLevel="0" collapsed="false">
      <c r="A117" s="14" t="s">
        <v>1020</v>
      </c>
      <c r="B117" s="14" t="s">
        <v>1019</v>
      </c>
      <c r="C117" s="14" t="s">
        <v>156</v>
      </c>
      <c r="D117" s="14" t="s">
        <v>149</v>
      </c>
      <c r="E117" s="14" t="s">
        <v>152</v>
      </c>
      <c r="F117" s="14" t="s">
        <v>150</v>
      </c>
      <c r="G117" s="14" t="n">
        <v>1</v>
      </c>
      <c r="H117" s="14" t="s">
        <v>154</v>
      </c>
      <c r="I117" s="14" t="s">
        <v>811</v>
      </c>
      <c r="J117" s="15" t="n">
        <f aca="false">IF(B117="SITE LOSS",IF(D117=C117,1,0),IF(B117="REGION LOSS",IF(E117=C117,1,0),0))</f>
        <v>0</v>
      </c>
      <c r="K117" s="15" t="n">
        <f aca="false">IF(B117="SITE LOSS",IF(COUNTIFS('Site Dockets'!$B$7:$B$24,C117,'Site Dockets'!$C$7:$C$24,F117)&gt;0,1,0),IF(B117="REGION LOSS",IF(COUNTIFS('Site Dockets'!$E$7:$E$24,C117,'Site Dockets'!$C$7:$C$24,F117)&gt;0,1,0),0))</f>
        <v>1</v>
      </c>
      <c r="L117" s="15" t="n">
        <f aca="false">IF(J117=1,0,Inputs!$B$11)</f>
        <v>100</v>
      </c>
      <c r="M117" s="15" t="n">
        <f aca="false">IF(J117=1,0,Inputs!$B$12)</f>
        <v>75</v>
      </c>
      <c r="N117" s="15" t="n">
        <f aca="false">IF(J117=1,0,IF(OR(AND(OR(B117="SITE LOSS",B117="REGION LOSS"),K117=1),AND(B117="ROLE COMPROMISE",H117=C117)),Inputs!$B$13,Inputs!$B$14))</f>
        <v>20</v>
      </c>
      <c r="O117" s="15" t="n">
        <f aca="false">IF(J117=1,0,Inputs!$B$13)</f>
        <v>20</v>
      </c>
      <c r="P117" s="15" t="n">
        <f aca="false">SUM(M117:N117)</f>
        <v>95</v>
      </c>
      <c r="Q117" s="15" t="n">
        <f aca="false">IF(J117=1,"",L117-P117)</f>
        <v>5</v>
      </c>
      <c r="R117" s="15" t="n">
        <f aca="false">IF(OR(J117=1,M117&lt;=Inputs!$B$12),1,0)</f>
        <v>1</v>
      </c>
      <c r="S117" s="15" t="n">
        <f aca="false">IF(OR(J117=1,N117&lt;=O117),1,0)</f>
        <v>1</v>
      </c>
      <c r="T117" s="15" t="str">
        <f aca="false">IF(J117=1,"OFFLINE",IF(AND(Q117&gt;=Inputs!$B$15,R117=1,S117=1,P117&lt;=L117),"PASS","FAIL"))</f>
        <v>PASS</v>
      </c>
    </row>
    <row r="118" customFormat="false" ht="15" hidden="false" customHeight="false" outlineLevel="0" collapsed="false">
      <c r="A118" s="14" t="s">
        <v>1020</v>
      </c>
      <c r="B118" s="14" t="s">
        <v>1019</v>
      </c>
      <c r="C118" s="14" t="s">
        <v>156</v>
      </c>
      <c r="D118" s="14" t="s">
        <v>149</v>
      </c>
      <c r="E118" s="14" t="s">
        <v>152</v>
      </c>
      <c r="F118" s="14" t="s">
        <v>150</v>
      </c>
      <c r="G118" s="14" t="n">
        <v>1</v>
      </c>
      <c r="H118" s="14" t="s">
        <v>154</v>
      </c>
      <c r="I118" s="14" t="s">
        <v>895</v>
      </c>
      <c r="J118" s="15" t="n">
        <f aca="false">IF(B118="SITE LOSS",IF(D118=C118,1,0),IF(B118="REGION LOSS",IF(E118=C118,1,0),0))</f>
        <v>0</v>
      </c>
      <c r="K118" s="15" t="n">
        <f aca="false">IF(B118="SITE LOSS",IF(COUNTIFS('Site Dockets'!$B$7:$B$24,C118,'Site Dockets'!$C$7:$C$24,F118)&gt;0,1,0),IF(B118="REGION LOSS",IF(COUNTIFS('Site Dockets'!$E$7:$E$24,C118,'Site Dockets'!$C$7:$C$24,F118)&gt;0,1,0),0))</f>
        <v>1</v>
      </c>
      <c r="L118" s="15" t="n">
        <f aca="false">IF(J118=1,0,Inputs!$B$11)</f>
        <v>100</v>
      </c>
      <c r="M118" s="15" t="n">
        <f aca="false">IF(J118=1,0,Inputs!$B$12)</f>
        <v>75</v>
      </c>
      <c r="N118" s="15" t="n">
        <f aca="false">IF(J118=1,0,IF(OR(AND(OR(B118="SITE LOSS",B118="REGION LOSS"),K118=1),AND(B118="ROLE COMPROMISE",H118=C118)),Inputs!$B$13,Inputs!$B$14))</f>
        <v>20</v>
      </c>
      <c r="O118" s="15" t="n">
        <f aca="false">IF(J118=1,0,Inputs!$B$13)</f>
        <v>20</v>
      </c>
      <c r="P118" s="15" t="n">
        <f aca="false">SUM(M118:N118)</f>
        <v>95</v>
      </c>
      <c r="Q118" s="15" t="n">
        <f aca="false">IF(J118=1,"",L118-P118)</f>
        <v>5</v>
      </c>
      <c r="R118" s="15" t="n">
        <f aca="false">IF(OR(J118=1,M118&lt;=Inputs!$B$12),1,0)</f>
        <v>1</v>
      </c>
      <c r="S118" s="15" t="n">
        <f aca="false">IF(OR(J118=1,N118&lt;=O118),1,0)</f>
        <v>1</v>
      </c>
      <c r="T118" s="15" t="str">
        <f aca="false">IF(J118=1,"OFFLINE",IF(AND(Q118&gt;=Inputs!$B$15,R118=1,S118=1,P118&lt;=L118),"PASS","FAIL"))</f>
        <v>PASS</v>
      </c>
    </row>
    <row r="119" customFormat="false" ht="15" hidden="false" customHeight="false" outlineLevel="0" collapsed="false">
      <c r="A119" s="14" t="s">
        <v>1020</v>
      </c>
      <c r="B119" s="14" t="s">
        <v>1019</v>
      </c>
      <c r="C119" s="14" t="s">
        <v>156</v>
      </c>
      <c r="D119" s="14" t="s">
        <v>149</v>
      </c>
      <c r="E119" s="14" t="s">
        <v>152</v>
      </c>
      <c r="F119" s="14" t="s">
        <v>150</v>
      </c>
      <c r="G119" s="14" t="n">
        <v>1</v>
      </c>
      <c r="H119" s="14" t="s">
        <v>154</v>
      </c>
      <c r="I119" s="14" t="s">
        <v>897</v>
      </c>
      <c r="J119" s="15" t="n">
        <f aca="false">IF(B119="SITE LOSS",IF(D119=C119,1,0),IF(B119="REGION LOSS",IF(E119=C119,1,0),0))</f>
        <v>0</v>
      </c>
      <c r="K119" s="15" t="n">
        <f aca="false">IF(B119="SITE LOSS",IF(COUNTIFS('Site Dockets'!$B$7:$B$24,C119,'Site Dockets'!$C$7:$C$24,F119)&gt;0,1,0),IF(B119="REGION LOSS",IF(COUNTIFS('Site Dockets'!$E$7:$E$24,C119,'Site Dockets'!$C$7:$C$24,F119)&gt;0,1,0),0))</f>
        <v>1</v>
      </c>
      <c r="L119" s="15" t="n">
        <f aca="false">IF(J119=1,0,Inputs!$B$11)</f>
        <v>100</v>
      </c>
      <c r="M119" s="15" t="n">
        <f aca="false">IF(J119=1,0,Inputs!$B$12)</f>
        <v>75</v>
      </c>
      <c r="N119" s="15" t="n">
        <f aca="false">IF(J119=1,0,IF(OR(AND(OR(B119="SITE LOSS",B119="REGION LOSS"),K119=1),AND(B119="ROLE COMPROMISE",H119=C119)),Inputs!$B$13,Inputs!$B$14))</f>
        <v>20</v>
      </c>
      <c r="O119" s="15" t="n">
        <f aca="false">IF(J119=1,0,Inputs!$B$13)</f>
        <v>20</v>
      </c>
      <c r="P119" s="15" t="n">
        <f aca="false">SUM(M119:N119)</f>
        <v>95</v>
      </c>
      <c r="Q119" s="15" t="n">
        <f aca="false">IF(J119=1,"",L119-P119)</f>
        <v>5</v>
      </c>
      <c r="R119" s="15" t="n">
        <f aca="false">IF(OR(J119=1,M119&lt;=Inputs!$B$12),1,0)</f>
        <v>1</v>
      </c>
      <c r="S119" s="15" t="n">
        <f aca="false">IF(OR(J119=1,N119&lt;=O119),1,0)</f>
        <v>1</v>
      </c>
      <c r="T119" s="15" t="str">
        <f aca="false">IF(J119=1,"OFFLINE",IF(AND(Q119&gt;=Inputs!$B$15,R119=1,S119=1,P119&lt;=L119),"PASS","FAIL"))</f>
        <v>PASS</v>
      </c>
    </row>
    <row r="120" customFormat="false" ht="15" hidden="false" customHeight="false" outlineLevel="0" collapsed="false">
      <c r="A120" s="14" t="s">
        <v>1020</v>
      </c>
      <c r="B120" s="14" t="s">
        <v>1019</v>
      </c>
      <c r="C120" s="14" t="s">
        <v>156</v>
      </c>
      <c r="D120" s="14" t="s">
        <v>149</v>
      </c>
      <c r="E120" s="14" t="s">
        <v>152</v>
      </c>
      <c r="F120" s="14" t="s">
        <v>150</v>
      </c>
      <c r="G120" s="14" t="n">
        <v>1</v>
      </c>
      <c r="H120" s="14" t="s">
        <v>154</v>
      </c>
      <c r="I120" s="14" t="s">
        <v>899</v>
      </c>
      <c r="J120" s="15" t="n">
        <f aca="false">IF(B120="SITE LOSS",IF(D120=C120,1,0),IF(B120="REGION LOSS",IF(E120=C120,1,0),0))</f>
        <v>0</v>
      </c>
      <c r="K120" s="15" t="n">
        <f aca="false">IF(B120="SITE LOSS",IF(COUNTIFS('Site Dockets'!$B$7:$B$24,C120,'Site Dockets'!$C$7:$C$24,F120)&gt;0,1,0),IF(B120="REGION LOSS",IF(COUNTIFS('Site Dockets'!$E$7:$E$24,C120,'Site Dockets'!$C$7:$C$24,F120)&gt;0,1,0),0))</f>
        <v>1</v>
      </c>
      <c r="L120" s="15" t="n">
        <f aca="false">IF(J120=1,0,Inputs!$B$11)</f>
        <v>100</v>
      </c>
      <c r="M120" s="15" t="n">
        <f aca="false">IF(J120=1,0,Inputs!$B$12)</f>
        <v>75</v>
      </c>
      <c r="N120" s="15" t="n">
        <f aca="false">IF(J120=1,0,IF(OR(AND(OR(B120="SITE LOSS",B120="REGION LOSS"),K120=1),AND(B120="ROLE COMPROMISE",H120=C120)),Inputs!$B$13,Inputs!$B$14))</f>
        <v>20</v>
      </c>
      <c r="O120" s="15" t="n">
        <f aca="false">IF(J120=1,0,Inputs!$B$13)</f>
        <v>20</v>
      </c>
      <c r="P120" s="15" t="n">
        <f aca="false">SUM(M120:N120)</f>
        <v>95</v>
      </c>
      <c r="Q120" s="15" t="n">
        <f aca="false">IF(J120=1,"",L120-P120)</f>
        <v>5</v>
      </c>
      <c r="R120" s="15" t="n">
        <f aca="false">IF(OR(J120=1,M120&lt;=Inputs!$B$12),1,0)</f>
        <v>1</v>
      </c>
      <c r="S120" s="15" t="n">
        <f aca="false">IF(OR(J120=1,N120&lt;=O120),1,0)</f>
        <v>1</v>
      </c>
      <c r="T120" s="15" t="str">
        <f aca="false">IF(J120=1,"OFFLINE",IF(AND(Q120&gt;=Inputs!$B$15,R120=1,S120=1,P120&lt;=L120),"PASS","FAIL"))</f>
        <v>PASS</v>
      </c>
    </row>
    <row r="121" customFormat="false" ht="15" hidden="false" customHeight="false" outlineLevel="0" collapsed="false">
      <c r="A121" s="14" t="s">
        <v>1020</v>
      </c>
      <c r="B121" s="14" t="s">
        <v>1019</v>
      </c>
      <c r="C121" s="14" t="s">
        <v>156</v>
      </c>
      <c r="D121" s="14" t="s">
        <v>156</v>
      </c>
      <c r="E121" s="14" t="s">
        <v>157</v>
      </c>
      <c r="F121" s="14" t="s">
        <v>150</v>
      </c>
      <c r="G121" s="14" t="n">
        <v>2</v>
      </c>
      <c r="H121" s="14" t="s">
        <v>153</v>
      </c>
      <c r="I121" s="14" t="s">
        <v>890</v>
      </c>
      <c r="J121" s="15" t="n">
        <f aca="false">IF(B121="SITE LOSS",IF(D121=C121,1,0),IF(B121="REGION LOSS",IF(E121=C121,1,0),0))</f>
        <v>1</v>
      </c>
      <c r="K121" s="15" t="n">
        <f aca="false">IF(B121="SITE LOSS",IF(COUNTIFS('Site Dockets'!$B$7:$B$24,C121,'Site Dockets'!$C$7:$C$24,F121)&gt;0,1,0),IF(B121="REGION LOSS",IF(COUNTIFS('Site Dockets'!$E$7:$E$24,C121,'Site Dockets'!$C$7:$C$24,F121)&gt;0,1,0),0))</f>
        <v>1</v>
      </c>
      <c r="L121" s="15" t="n">
        <f aca="false">IF(J121=1,0,Inputs!$B$11)</f>
        <v>0</v>
      </c>
      <c r="M121" s="15" t="n">
        <f aca="false">IF(J121=1,0,Inputs!$B$12)</f>
        <v>0</v>
      </c>
      <c r="N121" s="15" t="n">
        <f aca="false">IF(J121=1,0,IF(OR(AND(OR(B121="SITE LOSS",B121="REGION LOSS"),K121=1),AND(B121="ROLE COMPROMISE",H121=C121)),Inputs!$B$13,Inputs!$B$14))</f>
        <v>0</v>
      </c>
      <c r="O121" s="15" t="n">
        <f aca="false">IF(J121=1,0,Inputs!$B$13)</f>
        <v>0</v>
      </c>
      <c r="P121" s="15" t="n">
        <f aca="false">SUM(M121:N121)</f>
        <v>0</v>
      </c>
      <c r="Q121" s="15" t="str">
        <f aca="false">IF(J121=1,"",L121-P121)</f>
        <v/>
      </c>
      <c r="R121" s="15" t="n">
        <f aca="false">IF(OR(J121=1,M121&lt;=Inputs!$B$12),1,0)</f>
        <v>1</v>
      </c>
      <c r="S121" s="15" t="n">
        <f aca="false">IF(OR(J121=1,N121&lt;=O121),1,0)</f>
        <v>1</v>
      </c>
      <c r="T121" s="15" t="str">
        <f aca="false">IF(J121=1,"OFFLINE",IF(AND(Q121&gt;=Inputs!$B$15,R121=1,S121=1,P121&lt;=L121),"PASS","FAIL"))</f>
        <v>OFFLINE</v>
      </c>
    </row>
    <row r="122" customFormat="false" ht="15" hidden="false" customHeight="false" outlineLevel="0" collapsed="false">
      <c r="A122" s="14" t="s">
        <v>1020</v>
      </c>
      <c r="B122" s="14" t="s">
        <v>1019</v>
      </c>
      <c r="C122" s="14" t="s">
        <v>156</v>
      </c>
      <c r="D122" s="14" t="s">
        <v>156</v>
      </c>
      <c r="E122" s="14" t="s">
        <v>157</v>
      </c>
      <c r="F122" s="14" t="s">
        <v>150</v>
      </c>
      <c r="G122" s="14" t="n">
        <v>2</v>
      </c>
      <c r="H122" s="14" t="s">
        <v>153</v>
      </c>
      <c r="I122" s="14" t="s">
        <v>892</v>
      </c>
      <c r="J122" s="15" t="n">
        <f aca="false">IF(B122="SITE LOSS",IF(D122=C122,1,0),IF(B122="REGION LOSS",IF(E122=C122,1,0),0))</f>
        <v>1</v>
      </c>
      <c r="K122" s="15" t="n">
        <f aca="false">IF(B122="SITE LOSS",IF(COUNTIFS('Site Dockets'!$B$7:$B$24,C122,'Site Dockets'!$C$7:$C$24,F122)&gt;0,1,0),IF(B122="REGION LOSS",IF(COUNTIFS('Site Dockets'!$E$7:$E$24,C122,'Site Dockets'!$C$7:$C$24,F122)&gt;0,1,0),0))</f>
        <v>1</v>
      </c>
      <c r="L122" s="15" t="n">
        <f aca="false">IF(J122=1,0,Inputs!$B$11)</f>
        <v>0</v>
      </c>
      <c r="M122" s="15" t="n">
        <f aca="false">IF(J122=1,0,Inputs!$B$12)</f>
        <v>0</v>
      </c>
      <c r="N122" s="15" t="n">
        <f aca="false">IF(J122=1,0,IF(OR(AND(OR(B122="SITE LOSS",B122="REGION LOSS"),K122=1),AND(B122="ROLE COMPROMISE",H122=C122)),Inputs!$B$13,Inputs!$B$14))</f>
        <v>0</v>
      </c>
      <c r="O122" s="15" t="n">
        <f aca="false">IF(J122=1,0,Inputs!$B$13)</f>
        <v>0</v>
      </c>
      <c r="P122" s="15" t="n">
        <f aca="false">SUM(M122:N122)</f>
        <v>0</v>
      </c>
      <c r="Q122" s="15" t="str">
        <f aca="false">IF(J122=1,"",L122-P122)</f>
        <v/>
      </c>
      <c r="R122" s="15" t="n">
        <f aca="false">IF(OR(J122=1,M122&lt;=Inputs!$B$12),1,0)</f>
        <v>1</v>
      </c>
      <c r="S122" s="15" t="n">
        <f aca="false">IF(OR(J122=1,N122&lt;=O122),1,0)</f>
        <v>1</v>
      </c>
      <c r="T122" s="15" t="str">
        <f aca="false">IF(J122=1,"OFFLINE",IF(AND(Q122&gt;=Inputs!$B$15,R122=1,S122=1,P122&lt;=L122),"PASS","FAIL"))</f>
        <v>OFFLINE</v>
      </c>
    </row>
    <row r="123" customFormat="false" ht="15" hidden="false" customHeight="false" outlineLevel="0" collapsed="false">
      <c r="A123" s="14" t="s">
        <v>1020</v>
      </c>
      <c r="B123" s="14" t="s">
        <v>1019</v>
      </c>
      <c r="C123" s="14" t="s">
        <v>156</v>
      </c>
      <c r="D123" s="14" t="s">
        <v>156</v>
      </c>
      <c r="E123" s="14" t="s">
        <v>157</v>
      </c>
      <c r="F123" s="14" t="s">
        <v>150</v>
      </c>
      <c r="G123" s="14" t="n">
        <v>2</v>
      </c>
      <c r="H123" s="14" t="s">
        <v>153</v>
      </c>
      <c r="I123" s="14" t="s">
        <v>811</v>
      </c>
      <c r="J123" s="15" t="n">
        <f aca="false">IF(B123="SITE LOSS",IF(D123=C123,1,0),IF(B123="REGION LOSS",IF(E123=C123,1,0),0))</f>
        <v>1</v>
      </c>
      <c r="K123" s="15" t="n">
        <f aca="false">IF(B123="SITE LOSS",IF(COUNTIFS('Site Dockets'!$B$7:$B$24,C123,'Site Dockets'!$C$7:$C$24,F123)&gt;0,1,0),IF(B123="REGION LOSS",IF(COUNTIFS('Site Dockets'!$E$7:$E$24,C123,'Site Dockets'!$C$7:$C$24,F123)&gt;0,1,0),0))</f>
        <v>1</v>
      </c>
      <c r="L123" s="15" t="n">
        <f aca="false">IF(J123=1,0,Inputs!$B$11)</f>
        <v>0</v>
      </c>
      <c r="M123" s="15" t="n">
        <f aca="false">IF(J123=1,0,Inputs!$B$12)</f>
        <v>0</v>
      </c>
      <c r="N123" s="15" t="n">
        <f aca="false">IF(J123=1,0,IF(OR(AND(OR(B123="SITE LOSS",B123="REGION LOSS"),K123=1),AND(B123="ROLE COMPROMISE",H123=C123)),Inputs!$B$13,Inputs!$B$14))</f>
        <v>0</v>
      </c>
      <c r="O123" s="15" t="n">
        <f aca="false">IF(J123=1,0,Inputs!$B$13)</f>
        <v>0</v>
      </c>
      <c r="P123" s="15" t="n">
        <f aca="false">SUM(M123:N123)</f>
        <v>0</v>
      </c>
      <c r="Q123" s="15" t="str">
        <f aca="false">IF(J123=1,"",L123-P123)</f>
        <v/>
      </c>
      <c r="R123" s="15" t="n">
        <f aca="false">IF(OR(J123=1,M123&lt;=Inputs!$B$12),1,0)</f>
        <v>1</v>
      </c>
      <c r="S123" s="15" t="n">
        <f aca="false">IF(OR(J123=1,N123&lt;=O123),1,0)</f>
        <v>1</v>
      </c>
      <c r="T123" s="15" t="str">
        <f aca="false">IF(J123=1,"OFFLINE",IF(AND(Q123&gt;=Inputs!$B$15,R123=1,S123=1,P123&lt;=L123),"PASS","FAIL"))</f>
        <v>OFFLINE</v>
      </c>
    </row>
    <row r="124" customFormat="false" ht="15" hidden="false" customHeight="false" outlineLevel="0" collapsed="false">
      <c r="A124" s="14" t="s">
        <v>1020</v>
      </c>
      <c r="B124" s="14" t="s">
        <v>1019</v>
      </c>
      <c r="C124" s="14" t="s">
        <v>156</v>
      </c>
      <c r="D124" s="14" t="s">
        <v>156</v>
      </c>
      <c r="E124" s="14" t="s">
        <v>157</v>
      </c>
      <c r="F124" s="14" t="s">
        <v>150</v>
      </c>
      <c r="G124" s="14" t="n">
        <v>2</v>
      </c>
      <c r="H124" s="14" t="s">
        <v>153</v>
      </c>
      <c r="I124" s="14" t="s">
        <v>895</v>
      </c>
      <c r="J124" s="15" t="n">
        <f aca="false">IF(B124="SITE LOSS",IF(D124=C124,1,0),IF(B124="REGION LOSS",IF(E124=C124,1,0),0))</f>
        <v>1</v>
      </c>
      <c r="K124" s="15" t="n">
        <f aca="false">IF(B124="SITE LOSS",IF(COUNTIFS('Site Dockets'!$B$7:$B$24,C124,'Site Dockets'!$C$7:$C$24,F124)&gt;0,1,0),IF(B124="REGION LOSS",IF(COUNTIFS('Site Dockets'!$E$7:$E$24,C124,'Site Dockets'!$C$7:$C$24,F124)&gt;0,1,0),0))</f>
        <v>1</v>
      </c>
      <c r="L124" s="15" t="n">
        <f aca="false">IF(J124=1,0,Inputs!$B$11)</f>
        <v>0</v>
      </c>
      <c r="M124" s="15" t="n">
        <f aca="false">IF(J124=1,0,Inputs!$B$12)</f>
        <v>0</v>
      </c>
      <c r="N124" s="15" t="n">
        <f aca="false">IF(J124=1,0,IF(OR(AND(OR(B124="SITE LOSS",B124="REGION LOSS"),K124=1),AND(B124="ROLE COMPROMISE",H124=C124)),Inputs!$B$13,Inputs!$B$14))</f>
        <v>0</v>
      </c>
      <c r="O124" s="15" t="n">
        <f aca="false">IF(J124=1,0,Inputs!$B$13)</f>
        <v>0</v>
      </c>
      <c r="P124" s="15" t="n">
        <f aca="false">SUM(M124:N124)</f>
        <v>0</v>
      </c>
      <c r="Q124" s="15" t="str">
        <f aca="false">IF(J124=1,"",L124-P124)</f>
        <v/>
      </c>
      <c r="R124" s="15" t="n">
        <f aca="false">IF(OR(J124=1,M124&lt;=Inputs!$B$12),1,0)</f>
        <v>1</v>
      </c>
      <c r="S124" s="15" t="n">
        <f aca="false">IF(OR(J124=1,N124&lt;=O124),1,0)</f>
        <v>1</v>
      </c>
      <c r="T124" s="15" t="str">
        <f aca="false">IF(J124=1,"OFFLINE",IF(AND(Q124&gt;=Inputs!$B$15,R124=1,S124=1,P124&lt;=L124),"PASS","FAIL"))</f>
        <v>OFFLINE</v>
      </c>
    </row>
    <row r="125" customFormat="false" ht="15" hidden="false" customHeight="false" outlineLevel="0" collapsed="false">
      <c r="A125" s="14" t="s">
        <v>1020</v>
      </c>
      <c r="B125" s="14" t="s">
        <v>1019</v>
      </c>
      <c r="C125" s="14" t="s">
        <v>156</v>
      </c>
      <c r="D125" s="14" t="s">
        <v>156</v>
      </c>
      <c r="E125" s="14" t="s">
        <v>157</v>
      </c>
      <c r="F125" s="14" t="s">
        <v>150</v>
      </c>
      <c r="G125" s="14" t="n">
        <v>2</v>
      </c>
      <c r="H125" s="14" t="s">
        <v>153</v>
      </c>
      <c r="I125" s="14" t="s">
        <v>897</v>
      </c>
      <c r="J125" s="15" t="n">
        <f aca="false">IF(B125="SITE LOSS",IF(D125=C125,1,0),IF(B125="REGION LOSS",IF(E125=C125,1,0),0))</f>
        <v>1</v>
      </c>
      <c r="K125" s="15" t="n">
        <f aca="false">IF(B125="SITE LOSS",IF(COUNTIFS('Site Dockets'!$B$7:$B$24,C125,'Site Dockets'!$C$7:$C$24,F125)&gt;0,1,0),IF(B125="REGION LOSS",IF(COUNTIFS('Site Dockets'!$E$7:$E$24,C125,'Site Dockets'!$C$7:$C$24,F125)&gt;0,1,0),0))</f>
        <v>1</v>
      </c>
      <c r="L125" s="15" t="n">
        <f aca="false">IF(J125=1,0,Inputs!$B$11)</f>
        <v>0</v>
      </c>
      <c r="M125" s="15" t="n">
        <f aca="false">IF(J125=1,0,Inputs!$B$12)</f>
        <v>0</v>
      </c>
      <c r="N125" s="15" t="n">
        <f aca="false">IF(J125=1,0,IF(OR(AND(OR(B125="SITE LOSS",B125="REGION LOSS"),K125=1),AND(B125="ROLE COMPROMISE",H125=C125)),Inputs!$B$13,Inputs!$B$14))</f>
        <v>0</v>
      </c>
      <c r="O125" s="15" t="n">
        <f aca="false">IF(J125=1,0,Inputs!$B$13)</f>
        <v>0</v>
      </c>
      <c r="P125" s="15" t="n">
        <f aca="false">SUM(M125:N125)</f>
        <v>0</v>
      </c>
      <c r="Q125" s="15" t="str">
        <f aca="false">IF(J125=1,"",L125-P125)</f>
        <v/>
      </c>
      <c r="R125" s="15" t="n">
        <f aca="false">IF(OR(J125=1,M125&lt;=Inputs!$B$12),1,0)</f>
        <v>1</v>
      </c>
      <c r="S125" s="15" t="n">
        <f aca="false">IF(OR(J125=1,N125&lt;=O125),1,0)</f>
        <v>1</v>
      </c>
      <c r="T125" s="15" t="str">
        <f aca="false">IF(J125=1,"OFFLINE",IF(AND(Q125&gt;=Inputs!$B$15,R125=1,S125=1,P125&lt;=L125),"PASS","FAIL"))</f>
        <v>OFFLINE</v>
      </c>
    </row>
    <row r="126" customFormat="false" ht="15" hidden="false" customHeight="false" outlineLevel="0" collapsed="false">
      <c r="A126" s="14" t="s">
        <v>1020</v>
      </c>
      <c r="B126" s="14" t="s">
        <v>1019</v>
      </c>
      <c r="C126" s="14" t="s">
        <v>156</v>
      </c>
      <c r="D126" s="14" t="s">
        <v>156</v>
      </c>
      <c r="E126" s="14" t="s">
        <v>157</v>
      </c>
      <c r="F126" s="14" t="s">
        <v>150</v>
      </c>
      <c r="G126" s="14" t="n">
        <v>2</v>
      </c>
      <c r="H126" s="14" t="s">
        <v>153</v>
      </c>
      <c r="I126" s="14" t="s">
        <v>899</v>
      </c>
      <c r="J126" s="15" t="n">
        <f aca="false">IF(B126="SITE LOSS",IF(D126=C126,1,0),IF(B126="REGION LOSS",IF(E126=C126,1,0),0))</f>
        <v>1</v>
      </c>
      <c r="K126" s="15" t="n">
        <f aca="false">IF(B126="SITE LOSS",IF(COUNTIFS('Site Dockets'!$B$7:$B$24,C126,'Site Dockets'!$C$7:$C$24,F126)&gt;0,1,0),IF(B126="REGION LOSS",IF(COUNTIFS('Site Dockets'!$E$7:$E$24,C126,'Site Dockets'!$C$7:$C$24,F126)&gt;0,1,0),0))</f>
        <v>1</v>
      </c>
      <c r="L126" s="15" t="n">
        <f aca="false">IF(J126=1,0,Inputs!$B$11)</f>
        <v>0</v>
      </c>
      <c r="M126" s="15" t="n">
        <f aca="false">IF(J126=1,0,Inputs!$B$12)</f>
        <v>0</v>
      </c>
      <c r="N126" s="15" t="n">
        <f aca="false">IF(J126=1,0,IF(OR(AND(OR(B126="SITE LOSS",B126="REGION LOSS"),K126=1),AND(B126="ROLE COMPROMISE",H126=C126)),Inputs!$B$13,Inputs!$B$14))</f>
        <v>0</v>
      </c>
      <c r="O126" s="15" t="n">
        <f aca="false">IF(J126=1,0,Inputs!$B$13)</f>
        <v>0</v>
      </c>
      <c r="P126" s="15" t="n">
        <f aca="false">SUM(M126:N126)</f>
        <v>0</v>
      </c>
      <c r="Q126" s="15" t="str">
        <f aca="false">IF(J126=1,"",L126-P126)</f>
        <v/>
      </c>
      <c r="R126" s="15" t="n">
        <f aca="false">IF(OR(J126=1,M126&lt;=Inputs!$B$12),1,0)</f>
        <v>1</v>
      </c>
      <c r="S126" s="15" t="n">
        <f aca="false">IF(OR(J126=1,N126&lt;=O126),1,0)</f>
        <v>1</v>
      </c>
      <c r="T126" s="15" t="str">
        <f aca="false">IF(J126=1,"OFFLINE",IF(AND(Q126&gt;=Inputs!$B$15,R126=1,S126=1,P126&lt;=L126),"PASS","FAIL"))</f>
        <v>OFFLINE</v>
      </c>
    </row>
    <row r="127" customFormat="false" ht="15" hidden="false" customHeight="false" outlineLevel="0" collapsed="false">
      <c r="A127" s="14" t="s">
        <v>1020</v>
      </c>
      <c r="B127" s="14" t="s">
        <v>1019</v>
      </c>
      <c r="C127" s="14" t="s">
        <v>156</v>
      </c>
      <c r="D127" s="14" t="s">
        <v>160</v>
      </c>
      <c r="E127" s="14" t="s">
        <v>161</v>
      </c>
      <c r="F127" s="14" t="s">
        <v>150</v>
      </c>
      <c r="G127" s="14" t="n">
        <v>3</v>
      </c>
      <c r="H127" s="14" t="s">
        <v>158</v>
      </c>
      <c r="I127" s="14" t="s">
        <v>890</v>
      </c>
      <c r="J127" s="15" t="n">
        <f aca="false">IF(B127="SITE LOSS",IF(D127=C127,1,0),IF(B127="REGION LOSS",IF(E127=C127,1,0),0))</f>
        <v>0</v>
      </c>
      <c r="K127" s="15" t="n">
        <f aca="false">IF(B127="SITE LOSS",IF(COUNTIFS('Site Dockets'!$B$7:$B$24,C127,'Site Dockets'!$C$7:$C$24,F127)&gt;0,1,0),IF(B127="REGION LOSS",IF(COUNTIFS('Site Dockets'!$E$7:$E$24,C127,'Site Dockets'!$C$7:$C$24,F127)&gt;0,1,0),0))</f>
        <v>1</v>
      </c>
      <c r="L127" s="15" t="n">
        <f aca="false">IF(J127=1,0,Inputs!$B$11)</f>
        <v>100</v>
      </c>
      <c r="M127" s="15" t="n">
        <f aca="false">IF(J127=1,0,Inputs!$B$12)</f>
        <v>75</v>
      </c>
      <c r="N127" s="15" t="n">
        <f aca="false">IF(J127=1,0,IF(OR(AND(OR(B127="SITE LOSS",B127="REGION LOSS"),K127=1),AND(B127="ROLE COMPROMISE",H127=C127)),Inputs!$B$13,Inputs!$B$14))</f>
        <v>20</v>
      </c>
      <c r="O127" s="15" t="n">
        <f aca="false">IF(J127=1,0,Inputs!$B$13)</f>
        <v>20</v>
      </c>
      <c r="P127" s="15" t="n">
        <f aca="false">SUM(M127:N127)</f>
        <v>95</v>
      </c>
      <c r="Q127" s="15" t="n">
        <f aca="false">IF(J127=1,"",L127-P127)</f>
        <v>5</v>
      </c>
      <c r="R127" s="15" t="n">
        <f aca="false">IF(OR(J127=1,M127&lt;=Inputs!$B$12),1,0)</f>
        <v>1</v>
      </c>
      <c r="S127" s="15" t="n">
        <f aca="false">IF(OR(J127=1,N127&lt;=O127),1,0)</f>
        <v>1</v>
      </c>
      <c r="T127" s="15" t="str">
        <f aca="false">IF(J127=1,"OFFLINE",IF(AND(Q127&gt;=Inputs!$B$15,R127=1,S127=1,P127&lt;=L127),"PASS","FAIL"))</f>
        <v>PASS</v>
      </c>
    </row>
    <row r="128" customFormat="false" ht="15" hidden="false" customHeight="false" outlineLevel="0" collapsed="false">
      <c r="A128" s="14" t="s">
        <v>1020</v>
      </c>
      <c r="B128" s="14" t="s">
        <v>1019</v>
      </c>
      <c r="C128" s="14" t="s">
        <v>156</v>
      </c>
      <c r="D128" s="14" t="s">
        <v>160</v>
      </c>
      <c r="E128" s="14" t="s">
        <v>161</v>
      </c>
      <c r="F128" s="14" t="s">
        <v>150</v>
      </c>
      <c r="G128" s="14" t="n">
        <v>3</v>
      </c>
      <c r="H128" s="14" t="s">
        <v>158</v>
      </c>
      <c r="I128" s="14" t="s">
        <v>892</v>
      </c>
      <c r="J128" s="15" t="n">
        <f aca="false">IF(B128="SITE LOSS",IF(D128=C128,1,0),IF(B128="REGION LOSS",IF(E128=C128,1,0),0))</f>
        <v>0</v>
      </c>
      <c r="K128" s="15" t="n">
        <f aca="false">IF(B128="SITE LOSS",IF(COUNTIFS('Site Dockets'!$B$7:$B$24,C128,'Site Dockets'!$C$7:$C$24,F128)&gt;0,1,0),IF(B128="REGION LOSS",IF(COUNTIFS('Site Dockets'!$E$7:$E$24,C128,'Site Dockets'!$C$7:$C$24,F128)&gt;0,1,0),0))</f>
        <v>1</v>
      </c>
      <c r="L128" s="15" t="n">
        <f aca="false">IF(J128=1,0,Inputs!$B$11)</f>
        <v>100</v>
      </c>
      <c r="M128" s="15" t="n">
        <f aca="false">IF(J128=1,0,Inputs!$B$12)</f>
        <v>75</v>
      </c>
      <c r="N128" s="15" t="n">
        <f aca="false">IF(J128=1,0,IF(OR(AND(OR(B128="SITE LOSS",B128="REGION LOSS"),K128=1),AND(B128="ROLE COMPROMISE",H128=C128)),Inputs!$B$13,Inputs!$B$14))</f>
        <v>20</v>
      </c>
      <c r="O128" s="15" t="n">
        <f aca="false">IF(J128=1,0,Inputs!$B$13)</f>
        <v>20</v>
      </c>
      <c r="P128" s="15" t="n">
        <f aca="false">SUM(M128:N128)</f>
        <v>95</v>
      </c>
      <c r="Q128" s="15" t="n">
        <f aca="false">IF(J128=1,"",L128-P128)</f>
        <v>5</v>
      </c>
      <c r="R128" s="15" t="n">
        <f aca="false">IF(OR(J128=1,M128&lt;=Inputs!$B$12),1,0)</f>
        <v>1</v>
      </c>
      <c r="S128" s="15" t="n">
        <f aca="false">IF(OR(J128=1,N128&lt;=O128),1,0)</f>
        <v>1</v>
      </c>
      <c r="T128" s="15" t="str">
        <f aca="false">IF(J128=1,"OFFLINE",IF(AND(Q128&gt;=Inputs!$B$15,R128=1,S128=1,P128&lt;=L128),"PASS","FAIL"))</f>
        <v>PASS</v>
      </c>
    </row>
    <row r="129" customFormat="false" ht="15" hidden="false" customHeight="false" outlineLevel="0" collapsed="false">
      <c r="A129" s="14" t="s">
        <v>1020</v>
      </c>
      <c r="B129" s="14" t="s">
        <v>1019</v>
      </c>
      <c r="C129" s="14" t="s">
        <v>156</v>
      </c>
      <c r="D129" s="14" t="s">
        <v>160</v>
      </c>
      <c r="E129" s="14" t="s">
        <v>161</v>
      </c>
      <c r="F129" s="14" t="s">
        <v>150</v>
      </c>
      <c r="G129" s="14" t="n">
        <v>3</v>
      </c>
      <c r="H129" s="14" t="s">
        <v>158</v>
      </c>
      <c r="I129" s="14" t="s">
        <v>811</v>
      </c>
      <c r="J129" s="15" t="n">
        <f aca="false">IF(B129="SITE LOSS",IF(D129=C129,1,0),IF(B129="REGION LOSS",IF(E129=C129,1,0),0))</f>
        <v>0</v>
      </c>
      <c r="K129" s="15" t="n">
        <f aca="false">IF(B129="SITE LOSS",IF(COUNTIFS('Site Dockets'!$B$7:$B$24,C129,'Site Dockets'!$C$7:$C$24,F129)&gt;0,1,0),IF(B129="REGION LOSS",IF(COUNTIFS('Site Dockets'!$E$7:$E$24,C129,'Site Dockets'!$C$7:$C$24,F129)&gt;0,1,0),0))</f>
        <v>1</v>
      </c>
      <c r="L129" s="15" t="n">
        <f aca="false">IF(J129=1,0,Inputs!$B$11)</f>
        <v>100</v>
      </c>
      <c r="M129" s="15" t="n">
        <f aca="false">IF(J129=1,0,Inputs!$B$12)</f>
        <v>75</v>
      </c>
      <c r="N129" s="15" t="n">
        <f aca="false">IF(J129=1,0,IF(OR(AND(OR(B129="SITE LOSS",B129="REGION LOSS"),K129=1),AND(B129="ROLE COMPROMISE",H129=C129)),Inputs!$B$13,Inputs!$B$14))</f>
        <v>20</v>
      </c>
      <c r="O129" s="15" t="n">
        <f aca="false">IF(J129=1,0,Inputs!$B$13)</f>
        <v>20</v>
      </c>
      <c r="P129" s="15" t="n">
        <f aca="false">SUM(M129:N129)</f>
        <v>95</v>
      </c>
      <c r="Q129" s="15" t="n">
        <f aca="false">IF(J129=1,"",L129-P129)</f>
        <v>5</v>
      </c>
      <c r="R129" s="15" t="n">
        <f aca="false">IF(OR(J129=1,M129&lt;=Inputs!$B$12),1,0)</f>
        <v>1</v>
      </c>
      <c r="S129" s="15" t="n">
        <f aca="false">IF(OR(J129=1,N129&lt;=O129),1,0)</f>
        <v>1</v>
      </c>
      <c r="T129" s="15" t="str">
        <f aca="false">IF(J129=1,"OFFLINE",IF(AND(Q129&gt;=Inputs!$B$15,R129=1,S129=1,P129&lt;=L129),"PASS","FAIL"))</f>
        <v>PASS</v>
      </c>
    </row>
    <row r="130" customFormat="false" ht="15" hidden="false" customHeight="false" outlineLevel="0" collapsed="false">
      <c r="A130" s="14" t="s">
        <v>1020</v>
      </c>
      <c r="B130" s="14" t="s">
        <v>1019</v>
      </c>
      <c r="C130" s="14" t="s">
        <v>156</v>
      </c>
      <c r="D130" s="14" t="s">
        <v>160</v>
      </c>
      <c r="E130" s="14" t="s">
        <v>161</v>
      </c>
      <c r="F130" s="14" t="s">
        <v>150</v>
      </c>
      <c r="G130" s="14" t="n">
        <v>3</v>
      </c>
      <c r="H130" s="14" t="s">
        <v>158</v>
      </c>
      <c r="I130" s="14" t="s">
        <v>895</v>
      </c>
      <c r="J130" s="15" t="n">
        <f aca="false">IF(B130="SITE LOSS",IF(D130=C130,1,0),IF(B130="REGION LOSS",IF(E130=C130,1,0),0))</f>
        <v>0</v>
      </c>
      <c r="K130" s="15" t="n">
        <f aca="false">IF(B130="SITE LOSS",IF(COUNTIFS('Site Dockets'!$B$7:$B$24,C130,'Site Dockets'!$C$7:$C$24,F130)&gt;0,1,0),IF(B130="REGION LOSS",IF(COUNTIFS('Site Dockets'!$E$7:$E$24,C130,'Site Dockets'!$C$7:$C$24,F130)&gt;0,1,0),0))</f>
        <v>1</v>
      </c>
      <c r="L130" s="15" t="n">
        <f aca="false">IF(J130=1,0,Inputs!$B$11)</f>
        <v>100</v>
      </c>
      <c r="M130" s="15" t="n">
        <f aca="false">IF(J130=1,0,Inputs!$B$12)</f>
        <v>75</v>
      </c>
      <c r="N130" s="15" t="n">
        <f aca="false">IF(J130=1,0,IF(OR(AND(OR(B130="SITE LOSS",B130="REGION LOSS"),K130=1),AND(B130="ROLE COMPROMISE",H130=C130)),Inputs!$B$13,Inputs!$B$14))</f>
        <v>20</v>
      </c>
      <c r="O130" s="15" t="n">
        <f aca="false">IF(J130=1,0,Inputs!$B$13)</f>
        <v>20</v>
      </c>
      <c r="P130" s="15" t="n">
        <f aca="false">SUM(M130:N130)</f>
        <v>95</v>
      </c>
      <c r="Q130" s="15" t="n">
        <f aca="false">IF(J130=1,"",L130-P130)</f>
        <v>5</v>
      </c>
      <c r="R130" s="15" t="n">
        <f aca="false">IF(OR(J130=1,M130&lt;=Inputs!$B$12),1,0)</f>
        <v>1</v>
      </c>
      <c r="S130" s="15" t="n">
        <f aca="false">IF(OR(J130=1,N130&lt;=O130),1,0)</f>
        <v>1</v>
      </c>
      <c r="T130" s="15" t="str">
        <f aca="false">IF(J130=1,"OFFLINE",IF(AND(Q130&gt;=Inputs!$B$15,R130=1,S130=1,P130&lt;=L130),"PASS","FAIL"))</f>
        <v>PASS</v>
      </c>
    </row>
    <row r="131" customFormat="false" ht="15" hidden="false" customHeight="false" outlineLevel="0" collapsed="false">
      <c r="A131" s="14" t="s">
        <v>1020</v>
      </c>
      <c r="B131" s="14" t="s">
        <v>1019</v>
      </c>
      <c r="C131" s="14" t="s">
        <v>156</v>
      </c>
      <c r="D131" s="14" t="s">
        <v>160</v>
      </c>
      <c r="E131" s="14" t="s">
        <v>161</v>
      </c>
      <c r="F131" s="14" t="s">
        <v>150</v>
      </c>
      <c r="G131" s="14" t="n">
        <v>3</v>
      </c>
      <c r="H131" s="14" t="s">
        <v>158</v>
      </c>
      <c r="I131" s="14" t="s">
        <v>897</v>
      </c>
      <c r="J131" s="15" t="n">
        <f aca="false">IF(B131="SITE LOSS",IF(D131=C131,1,0),IF(B131="REGION LOSS",IF(E131=C131,1,0),0))</f>
        <v>0</v>
      </c>
      <c r="K131" s="15" t="n">
        <f aca="false">IF(B131="SITE LOSS",IF(COUNTIFS('Site Dockets'!$B$7:$B$24,C131,'Site Dockets'!$C$7:$C$24,F131)&gt;0,1,0),IF(B131="REGION LOSS",IF(COUNTIFS('Site Dockets'!$E$7:$E$24,C131,'Site Dockets'!$C$7:$C$24,F131)&gt;0,1,0),0))</f>
        <v>1</v>
      </c>
      <c r="L131" s="15" t="n">
        <f aca="false">IF(J131=1,0,Inputs!$B$11)</f>
        <v>100</v>
      </c>
      <c r="M131" s="15" t="n">
        <f aca="false">IF(J131=1,0,Inputs!$B$12)</f>
        <v>75</v>
      </c>
      <c r="N131" s="15" t="n">
        <f aca="false">IF(J131=1,0,IF(OR(AND(OR(B131="SITE LOSS",B131="REGION LOSS"),K131=1),AND(B131="ROLE COMPROMISE",H131=C131)),Inputs!$B$13,Inputs!$B$14))</f>
        <v>20</v>
      </c>
      <c r="O131" s="15" t="n">
        <f aca="false">IF(J131=1,0,Inputs!$B$13)</f>
        <v>20</v>
      </c>
      <c r="P131" s="15" t="n">
        <f aca="false">SUM(M131:N131)</f>
        <v>95</v>
      </c>
      <c r="Q131" s="15" t="n">
        <f aca="false">IF(J131=1,"",L131-P131)</f>
        <v>5</v>
      </c>
      <c r="R131" s="15" t="n">
        <f aca="false">IF(OR(J131=1,M131&lt;=Inputs!$B$12),1,0)</f>
        <v>1</v>
      </c>
      <c r="S131" s="15" t="n">
        <f aca="false">IF(OR(J131=1,N131&lt;=O131),1,0)</f>
        <v>1</v>
      </c>
      <c r="T131" s="15" t="str">
        <f aca="false">IF(J131=1,"OFFLINE",IF(AND(Q131&gt;=Inputs!$B$15,R131=1,S131=1,P131&lt;=L131),"PASS","FAIL"))</f>
        <v>PASS</v>
      </c>
    </row>
    <row r="132" customFormat="false" ht="15" hidden="false" customHeight="false" outlineLevel="0" collapsed="false">
      <c r="A132" s="14" t="s">
        <v>1020</v>
      </c>
      <c r="B132" s="14" t="s">
        <v>1019</v>
      </c>
      <c r="C132" s="14" t="s">
        <v>156</v>
      </c>
      <c r="D132" s="14" t="s">
        <v>160</v>
      </c>
      <c r="E132" s="14" t="s">
        <v>161</v>
      </c>
      <c r="F132" s="14" t="s">
        <v>150</v>
      </c>
      <c r="G132" s="14" t="n">
        <v>3</v>
      </c>
      <c r="H132" s="14" t="s">
        <v>158</v>
      </c>
      <c r="I132" s="14" t="s">
        <v>899</v>
      </c>
      <c r="J132" s="15" t="n">
        <f aca="false">IF(B132="SITE LOSS",IF(D132=C132,1,0),IF(B132="REGION LOSS",IF(E132=C132,1,0),0))</f>
        <v>0</v>
      </c>
      <c r="K132" s="15" t="n">
        <f aca="false">IF(B132="SITE LOSS",IF(COUNTIFS('Site Dockets'!$B$7:$B$24,C132,'Site Dockets'!$C$7:$C$24,F132)&gt;0,1,0),IF(B132="REGION LOSS",IF(COUNTIFS('Site Dockets'!$E$7:$E$24,C132,'Site Dockets'!$C$7:$C$24,F132)&gt;0,1,0),0))</f>
        <v>1</v>
      </c>
      <c r="L132" s="15" t="n">
        <f aca="false">IF(J132=1,0,Inputs!$B$11)</f>
        <v>100</v>
      </c>
      <c r="M132" s="15" t="n">
        <f aca="false">IF(J132=1,0,Inputs!$B$12)</f>
        <v>75</v>
      </c>
      <c r="N132" s="15" t="n">
        <f aca="false">IF(J132=1,0,IF(OR(AND(OR(B132="SITE LOSS",B132="REGION LOSS"),K132=1),AND(B132="ROLE COMPROMISE",H132=C132)),Inputs!$B$13,Inputs!$B$14))</f>
        <v>20</v>
      </c>
      <c r="O132" s="15" t="n">
        <f aca="false">IF(J132=1,0,Inputs!$B$13)</f>
        <v>20</v>
      </c>
      <c r="P132" s="15" t="n">
        <f aca="false">SUM(M132:N132)</f>
        <v>95</v>
      </c>
      <c r="Q132" s="15" t="n">
        <f aca="false">IF(J132=1,"",L132-P132)</f>
        <v>5</v>
      </c>
      <c r="R132" s="15" t="n">
        <f aca="false">IF(OR(J132=1,M132&lt;=Inputs!$B$12),1,0)</f>
        <v>1</v>
      </c>
      <c r="S132" s="15" t="n">
        <f aca="false">IF(OR(J132=1,N132&lt;=O132),1,0)</f>
        <v>1</v>
      </c>
      <c r="T132" s="15" t="str">
        <f aca="false">IF(J132=1,"OFFLINE",IF(AND(Q132&gt;=Inputs!$B$15,R132=1,S132=1,P132&lt;=L132),"PASS","FAIL"))</f>
        <v>PASS</v>
      </c>
    </row>
    <row r="133" customFormat="false" ht="15" hidden="false" customHeight="false" outlineLevel="0" collapsed="false">
      <c r="A133" s="14" t="s">
        <v>1020</v>
      </c>
      <c r="B133" s="14" t="s">
        <v>1019</v>
      </c>
      <c r="C133" s="14" t="s">
        <v>156</v>
      </c>
      <c r="D133" s="14" t="s">
        <v>163</v>
      </c>
      <c r="E133" s="14" t="s">
        <v>166</v>
      </c>
      <c r="F133" s="14" t="s">
        <v>164</v>
      </c>
      <c r="G133" s="14" t="n">
        <v>1</v>
      </c>
      <c r="H133" s="14" t="s">
        <v>154</v>
      </c>
      <c r="I133" s="14" t="s">
        <v>890</v>
      </c>
      <c r="J133" s="15" t="n">
        <f aca="false">IF(B133="SITE LOSS",IF(D133=C133,1,0),IF(B133="REGION LOSS",IF(E133=C133,1,0),0))</f>
        <v>0</v>
      </c>
      <c r="K133" s="15" t="n">
        <f aca="false">IF(B133="SITE LOSS",IF(COUNTIFS('Site Dockets'!$B$7:$B$24,C133,'Site Dockets'!$C$7:$C$24,F133)&gt;0,1,0),IF(B133="REGION LOSS",IF(COUNTIFS('Site Dockets'!$E$7:$E$24,C133,'Site Dockets'!$C$7:$C$24,F133)&gt;0,1,0),0))</f>
        <v>0</v>
      </c>
      <c r="L133" s="15" t="n">
        <f aca="false">IF(J133=1,0,Inputs!$B$11)</f>
        <v>100</v>
      </c>
      <c r="M133" s="15" t="n">
        <f aca="false">IF(J133=1,0,Inputs!$B$12)</f>
        <v>75</v>
      </c>
      <c r="N133" s="15" t="n">
        <f aca="false">IF(J133=1,0,IF(OR(AND(OR(B133="SITE LOSS",B133="REGION LOSS"),K133=1),AND(B133="ROLE COMPROMISE",H133=C133)),Inputs!$B$13,Inputs!$B$14))</f>
        <v>10</v>
      </c>
      <c r="O133" s="15" t="n">
        <f aca="false">IF(J133=1,0,Inputs!$B$13)</f>
        <v>20</v>
      </c>
      <c r="P133" s="15" t="n">
        <f aca="false">SUM(M133:N133)</f>
        <v>85</v>
      </c>
      <c r="Q133" s="15" t="n">
        <f aca="false">IF(J133=1,"",L133-P133)</f>
        <v>15</v>
      </c>
      <c r="R133" s="15" t="n">
        <f aca="false">IF(OR(J133=1,M133&lt;=Inputs!$B$12),1,0)</f>
        <v>1</v>
      </c>
      <c r="S133" s="15" t="n">
        <f aca="false">IF(OR(J133=1,N133&lt;=O133),1,0)</f>
        <v>1</v>
      </c>
      <c r="T133" s="15" t="str">
        <f aca="false">IF(J133=1,"OFFLINE",IF(AND(Q133&gt;=Inputs!$B$15,R133=1,S133=1,P133&lt;=L133),"PASS","FAIL"))</f>
        <v>PASS</v>
      </c>
    </row>
    <row r="134" customFormat="false" ht="15" hidden="false" customHeight="false" outlineLevel="0" collapsed="false">
      <c r="A134" s="14" t="s">
        <v>1020</v>
      </c>
      <c r="B134" s="14" t="s">
        <v>1019</v>
      </c>
      <c r="C134" s="14" t="s">
        <v>156</v>
      </c>
      <c r="D134" s="14" t="s">
        <v>163</v>
      </c>
      <c r="E134" s="14" t="s">
        <v>166</v>
      </c>
      <c r="F134" s="14" t="s">
        <v>164</v>
      </c>
      <c r="G134" s="14" t="n">
        <v>1</v>
      </c>
      <c r="H134" s="14" t="s">
        <v>154</v>
      </c>
      <c r="I134" s="14" t="s">
        <v>892</v>
      </c>
      <c r="J134" s="15" t="n">
        <f aca="false">IF(B134="SITE LOSS",IF(D134=C134,1,0),IF(B134="REGION LOSS",IF(E134=C134,1,0),0))</f>
        <v>0</v>
      </c>
      <c r="K134" s="15" t="n">
        <f aca="false">IF(B134="SITE LOSS",IF(COUNTIFS('Site Dockets'!$B$7:$B$24,C134,'Site Dockets'!$C$7:$C$24,F134)&gt;0,1,0),IF(B134="REGION LOSS",IF(COUNTIFS('Site Dockets'!$E$7:$E$24,C134,'Site Dockets'!$C$7:$C$24,F134)&gt;0,1,0),0))</f>
        <v>0</v>
      </c>
      <c r="L134" s="15" t="n">
        <f aca="false">IF(J134=1,0,Inputs!$B$11)</f>
        <v>100</v>
      </c>
      <c r="M134" s="15" t="n">
        <f aca="false">IF(J134=1,0,Inputs!$B$12)</f>
        <v>75</v>
      </c>
      <c r="N134" s="15" t="n">
        <f aca="false">IF(J134=1,0,IF(OR(AND(OR(B134="SITE LOSS",B134="REGION LOSS"),K134=1),AND(B134="ROLE COMPROMISE",H134=C134)),Inputs!$B$13,Inputs!$B$14))</f>
        <v>10</v>
      </c>
      <c r="O134" s="15" t="n">
        <f aca="false">IF(J134=1,0,Inputs!$B$13)</f>
        <v>20</v>
      </c>
      <c r="P134" s="15" t="n">
        <f aca="false">SUM(M134:N134)</f>
        <v>85</v>
      </c>
      <c r="Q134" s="15" t="n">
        <f aca="false">IF(J134=1,"",L134-P134)</f>
        <v>15</v>
      </c>
      <c r="R134" s="15" t="n">
        <f aca="false">IF(OR(J134=1,M134&lt;=Inputs!$B$12),1,0)</f>
        <v>1</v>
      </c>
      <c r="S134" s="15" t="n">
        <f aca="false">IF(OR(J134=1,N134&lt;=O134),1,0)</f>
        <v>1</v>
      </c>
      <c r="T134" s="15" t="str">
        <f aca="false">IF(J134=1,"OFFLINE",IF(AND(Q134&gt;=Inputs!$B$15,R134=1,S134=1,P134&lt;=L134),"PASS","FAIL"))</f>
        <v>PASS</v>
      </c>
    </row>
    <row r="135" customFormat="false" ht="15" hidden="false" customHeight="false" outlineLevel="0" collapsed="false">
      <c r="A135" s="14" t="s">
        <v>1020</v>
      </c>
      <c r="B135" s="14" t="s">
        <v>1019</v>
      </c>
      <c r="C135" s="14" t="s">
        <v>156</v>
      </c>
      <c r="D135" s="14" t="s">
        <v>163</v>
      </c>
      <c r="E135" s="14" t="s">
        <v>166</v>
      </c>
      <c r="F135" s="14" t="s">
        <v>164</v>
      </c>
      <c r="G135" s="14" t="n">
        <v>1</v>
      </c>
      <c r="H135" s="14" t="s">
        <v>154</v>
      </c>
      <c r="I135" s="14" t="s">
        <v>811</v>
      </c>
      <c r="J135" s="15" t="n">
        <f aca="false">IF(B135="SITE LOSS",IF(D135=C135,1,0),IF(B135="REGION LOSS",IF(E135=C135,1,0),0))</f>
        <v>0</v>
      </c>
      <c r="K135" s="15" t="n">
        <f aca="false">IF(B135="SITE LOSS",IF(COUNTIFS('Site Dockets'!$B$7:$B$24,C135,'Site Dockets'!$C$7:$C$24,F135)&gt;0,1,0),IF(B135="REGION LOSS",IF(COUNTIFS('Site Dockets'!$E$7:$E$24,C135,'Site Dockets'!$C$7:$C$24,F135)&gt;0,1,0),0))</f>
        <v>0</v>
      </c>
      <c r="L135" s="15" t="n">
        <f aca="false">IF(J135=1,0,Inputs!$B$11)</f>
        <v>100</v>
      </c>
      <c r="M135" s="15" t="n">
        <f aca="false">IF(J135=1,0,Inputs!$B$12)</f>
        <v>75</v>
      </c>
      <c r="N135" s="15" t="n">
        <f aca="false">IF(J135=1,0,IF(OR(AND(OR(B135="SITE LOSS",B135="REGION LOSS"),K135=1),AND(B135="ROLE COMPROMISE",H135=C135)),Inputs!$B$13,Inputs!$B$14))</f>
        <v>10</v>
      </c>
      <c r="O135" s="15" t="n">
        <f aca="false">IF(J135=1,0,Inputs!$B$13)</f>
        <v>20</v>
      </c>
      <c r="P135" s="15" t="n">
        <f aca="false">SUM(M135:N135)</f>
        <v>85</v>
      </c>
      <c r="Q135" s="15" t="n">
        <f aca="false">IF(J135=1,"",L135-P135)</f>
        <v>15</v>
      </c>
      <c r="R135" s="15" t="n">
        <f aca="false">IF(OR(J135=1,M135&lt;=Inputs!$B$12),1,0)</f>
        <v>1</v>
      </c>
      <c r="S135" s="15" t="n">
        <f aca="false">IF(OR(J135=1,N135&lt;=O135),1,0)</f>
        <v>1</v>
      </c>
      <c r="T135" s="15" t="str">
        <f aca="false">IF(J135=1,"OFFLINE",IF(AND(Q135&gt;=Inputs!$B$15,R135=1,S135=1,P135&lt;=L135),"PASS","FAIL"))</f>
        <v>PASS</v>
      </c>
    </row>
    <row r="136" customFormat="false" ht="15" hidden="false" customHeight="false" outlineLevel="0" collapsed="false">
      <c r="A136" s="14" t="s">
        <v>1020</v>
      </c>
      <c r="B136" s="14" t="s">
        <v>1019</v>
      </c>
      <c r="C136" s="14" t="s">
        <v>156</v>
      </c>
      <c r="D136" s="14" t="s">
        <v>163</v>
      </c>
      <c r="E136" s="14" t="s">
        <v>166</v>
      </c>
      <c r="F136" s="14" t="s">
        <v>164</v>
      </c>
      <c r="G136" s="14" t="n">
        <v>1</v>
      </c>
      <c r="H136" s="14" t="s">
        <v>154</v>
      </c>
      <c r="I136" s="14" t="s">
        <v>895</v>
      </c>
      <c r="J136" s="15" t="n">
        <f aca="false">IF(B136="SITE LOSS",IF(D136=C136,1,0),IF(B136="REGION LOSS",IF(E136=C136,1,0),0))</f>
        <v>0</v>
      </c>
      <c r="K136" s="15" t="n">
        <f aca="false">IF(B136="SITE LOSS",IF(COUNTIFS('Site Dockets'!$B$7:$B$24,C136,'Site Dockets'!$C$7:$C$24,F136)&gt;0,1,0),IF(B136="REGION LOSS",IF(COUNTIFS('Site Dockets'!$E$7:$E$24,C136,'Site Dockets'!$C$7:$C$24,F136)&gt;0,1,0),0))</f>
        <v>0</v>
      </c>
      <c r="L136" s="15" t="n">
        <f aca="false">IF(J136=1,0,Inputs!$B$11)</f>
        <v>100</v>
      </c>
      <c r="M136" s="15" t="n">
        <f aca="false">IF(J136=1,0,Inputs!$B$12)</f>
        <v>75</v>
      </c>
      <c r="N136" s="15" t="n">
        <f aca="false">IF(J136=1,0,IF(OR(AND(OR(B136="SITE LOSS",B136="REGION LOSS"),K136=1),AND(B136="ROLE COMPROMISE",H136=C136)),Inputs!$B$13,Inputs!$B$14))</f>
        <v>10</v>
      </c>
      <c r="O136" s="15" t="n">
        <f aca="false">IF(J136=1,0,Inputs!$B$13)</f>
        <v>20</v>
      </c>
      <c r="P136" s="15" t="n">
        <f aca="false">SUM(M136:N136)</f>
        <v>85</v>
      </c>
      <c r="Q136" s="15" t="n">
        <f aca="false">IF(J136=1,"",L136-P136)</f>
        <v>15</v>
      </c>
      <c r="R136" s="15" t="n">
        <f aca="false">IF(OR(J136=1,M136&lt;=Inputs!$B$12),1,0)</f>
        <v>1</v>
      </c>
      <c r="S136" s="15" t="n">
        <f aca="false">IF(OR(J136=1,N136&lt;=O136),1,0)</f>
        <v>1</v>
      </c>
      <c r="T136" s="15" t="str">
        <f aca="false">IF(J136=1,"OFFLINE",IF(AND(Q136&gt;=Inputs!$B$15,R136=1,S136=1,P136&lt;=L136),"PASS","FAIL"))</f>
        <v>PASS</v>
      </c>
    </row>
    <row r="137" customFormat="false" ht="15" hidden="false" customHeight="false" outlineLevel="0" collapsed="false">
      <c r="A137" s="14" t="s">
        <v>1020</v>
      </c>
      <c r="B137" s="14" t="s">
        <v>1019</v>
      </c>
      <c r="C137" s="14" t="s">
        <v>156</v>
      </c>
      <c r="D137" s="14" t="s">
        <v>163</v>
      </c>
      <c r="E137" s="14" t="s">
        <v>166</v>
      </c>
      <c r="F137" s="14" t="s">
        <v>164</v>
      </c>
      <c r="G137" s="14" t="n">
        <v>1</v>
      </c>
      <c r="H137" s="14" t="s">
        <v>154</v>
      </c>
      <c r="I137" s="14" t="s">
        <v>897</v>
      </c>
      <c r="J137" s="15" t="n">
        <f aca="false">IF(B137="SITE LOSS",IF(D137=C137,1,0),IF(B137="REGION LOSS",IF(E137=C137,1,0),0))</f>
        <v>0</v>
      </c>
      <c r="K137" s="15" t="n">
        <f aca="false">IF(B137="SITE LOSS",IF(COUNTIFS('Site Dockets'!$B$7:$B$24,C137,'Site Dockets'!$C$7:$C$24,F137)&gt;0,1,0),IF(B137="REGION LOSS",IF(COUNTIFS('Site Dockets'!$E$7:$E$24,C137,'Site Dockets'!$C$7:$C$24,F137)&gt;0,1,0),0))</f>
        <v>0</v>
      </c>
      <c r="L137" s="15" t="n">
        <f aca="false">IF(J137=1,0,Inputs!$B$11)</f>
        <v>100</v>
      </c>
      <c r="M137" s="15" t="n">
        <f aca="false">IF(J137=1,0,Inputs!$B$12)</f>
        <v>75</v>
      </c>
      <c r="N137" s="15" t="n">
        <f aca="false">IF(J137=1,0,IF(OR(AND(OR(B137="SITE LOSS",B137="REGION LOSS"),K137=1),AND(B137="ROLE COMPROMISE",H137=C137)),Inputs!$B$13,Inputs!$B$14))</f>
        <v>10</v>
      </c>
      <c r="O137" s="15" t="n">
        <f aca="false">IF(J137=1,0,Inputs!$B$13)</f>
        <v>20</v>
      </c>
      <c r="P137" s="15" t="n">
        <f aca="false">SUM(M137:N137)</f>
        <v>85</v>
      </c>
      <c r="Q137" s="15" t="n">
        <f aca="false">IF(J137=1,"",L137-P137)</f>
        <v>15</v>
      </c>
      <c r="R137" s="15" t="n">
        <f aca="false">IF(OR(J137=1,M137&lt;=Inputs!$B$12),1,0)</f>
        <v>1</v>
      </c>
      <c r="S137" s="15" t="n">
        <f aca="false">IF(OR(J137=1,N137&lt;=O137),1,0)</f>
        <v>1</v>
      </c>
      <c r="T137" s="15" t="str">
        <f aca="false">IF(J137=1,"OFFLINE",IF(AND(Q137&gt;=Inputs!$B$15,R137=1,S137=1,P137&lt;=L137),"PASS","FAIL"))</f>
        <v>PASS</v>
      </c>
    </row>
    <row r="138" customFormat="false" ht="15" hidden="false" customHeight="false" outlineLevel="0" collapsed="false">
      <c r="A138" s="14" t="s">
        <v>1020</v>
      </c>
      <c r="B138" s="14" t="s">
        <v>1019</v>
      </c>
      <c r="C138" s="14" t="s">
        <v>156</v>
      </c>
      <c r="D138" s="14" t="s">
        <v>163</v>
      </c>
      <c r="E138" s="14" t="s">
        <v>166</v>
      </c>
      <c r="F138" s="14" t="s">
        <v>164</v>
      </c>
      <c r="G138" s="14" t="n">
        <v>1</v>
      </c>
      <c r="H138" s="14" t="s">
        <v>154</v>
      </c>
      <c r="I138" s="14" t="s">
        <v>899</v>
      </c>
      <c r="J138" s="15" t="n">
        <f aca="false">IF(B138="SITE LOSS",IF(D138=C138,1,0),IF(B138="REGION LOSS",IF(E138=C138,1,0),0))</f>
        <v>0</v>
      </c>
      <c r="K138" s="15" t="n">
        <f aca="false">IF(B138="SITE LOSS",IF(COUNTIFS('Site Dockets'!$B$7:$B$24,C138,'Site Dockets'!$C$7:$C$24,F138)&gt;0,1,0),IF(B138="REGION LOSS",IF(COUNTIFS('Site Dockets'!$E$7:$E$24,C138,'Site Dockets'!$C$7:$C$24,F138)&gt;0,1,0),0))</f>
        <v>0</v>
      </c>
      <c r="L138" s="15" t="n">
        <f aca="false">IF(J138=1,0,Inputs!$B$11)</f>
        <v>100</v>
      </c>
      <c r="M138" s="15" t="n">
        <f aca="false">IF(J138=1,0,Inputs!$B$12)</f>
        <v>75</v>
      </c>
      <c r="N138" s="15" t="n">
        <f aca="false">IF(J138=1,0,IF(OR(AND(OR(B138="SITE LOSS",B138="REGION LOSS"),K138=1),AND(B138="ROLE COMPROMISE",H138=C138)),Inputs!$B$13,Inputs!$B$14))</f>
        <v>10</v>
      </c>
      <c r="O138" s="15" t="n">
        <f aca="false">IF(J138=1,0,Inputs!$B$13)</f>
        <v>20</v>
      </c>
      <c r="P138" s="15" t="n">
        <f aca="false">SUM(M138:N138)</f>
        <v>85</v>
      </c>
      <c r="Q138" s="15" t="n">
        <f aca="false">IF(J138=1,"",L138-P138)</f>
        <v>15</v>
      </c>
      <c r="R138" s="15" t="n">
        <f aca="false">IF(OR(J138=1,M138&lt;=Inputs!$B$12),1,0)</f>
        <v>1</v>
      </c>
      <c r="S138" s="15" t="n">
        <f aca="false">IF(OR(J138=1,N138&lt;=O138),1,0)</f>
        <v>1</v>
      </c>
      <c r="T138" s="15" t="str">
        <f aca="false">IF(J138=1,"OFFLINE",IF(AND(Q138&gt;=Inputs!$B$15,R138=1,S138=1,P138&lt;=L138),"PASS","FAIL"))</f>
        <v>PASS</v>
      </c>
    </row>
    <row r="139" customFormat="false" ht="15" hidden="false" customHeight="false" outlineLevel="0" collapsed="false">
      <c r="A139" s="14" t="s">
        <v>1020</v>
      </c>
      <c r="B139" s="14" t="s">
        <v>1019</v>
      </c>
      <c r="C139" s="14" t="s">
        <v>156</v>
      </c>
      <c r="D139" s="14" t="s">
        <v>168</v>
      </c>
      <c r="E139" s="14" t="s">
        <v>169</v>
      </c>
      <c r="F139" s="14" t="s">
        <v>164</v>
      </c>
      <c r="G139" s="14" t="n">
        <v>2</v>
      </c>
      <c r="H139" s="14" t="s">
        <v>153</v>
      </c>
      <c r="I139" s="14" t="s">
        <v>890</v>
      </c>
      <c r="J139" s="15" t="n">
        <f aca="false">IF(B139="SITE LOSS",IF(D139=C139,1,0),IF(B139="REGION LOSS",IF(E139=C139,1,0),0))</f>
        <v>0</v>
      </c>
      <c r="K139" s="15" t="n">
        <f aca="false">IF(B139="SITE LOSS",IF(COUNTIFS('Site Dockets'!$B$7:$B$24,C139,'Site Dockets'!$C$7:$C$24,F139)&gt;0,1,0),IF(B139="REGION LOSS",IF(COUNTIFS('Site Dockets'!$E$7:$E$24,C139,'Site Dockets'!$C$7:$C$24,F139)&gt;0,1,0),0))</f>
        <v>0</v>
      </c>
      <c r="L139" s="15" t="n">
        <f aca="false">IF(J139=1,0,Inputs!$B$11)</f>
        <v>100</v>
      </c>
      <c r="M139" s="15" t="n">
        <f aca="false">IF(J139=1,0,Inputs!$B$12)</f>
        <v>75</v>
      </c>
      <c r="N139" s="15" t="n">
        <f aca="false">IF(J139=1,0,IF(OR(AND(OR(B139="SITE LOSS",B139="REGION LOSS"),K139=1),AND(B139="ROLE COMPROMISE",H139=C139)),Inputs!$B$13,Inputs!$B$14))</f>
        <v>10</v>
      </c>
      <c r="O139" s="15" t="n">
        <f aca="false">IF(J139=1,0,Inputs!$B$13)</f>
        <v>20</v>
      </c>
      <c r="P139" s="15" t="n">
        <f aca="false">SUM(M139:N139)</f>
        <v>85</v>
      </c>
      <c r="Q139" s="15" t="n">
        <f aca="false">IF(J139=1,"",L139-P139)</f>
        <v>15</v>
      </c>
      <c r="R139" s="15" t="n">
        <f aca="false">IF(OR(J139=1,M139&lt;=Inputs!$B$12),1,0)</f>
        <v>1</v>
      </c>
      <c r="S139" s="15" t="n">
        <f aca="false">IF(OR(J139=1,N139&lt;=O139),1,0)</f>
        <v>1</v>
      </c>
      <c r="T139" s="15" t="str">
        <f aca="false">IF(J139=1,"OFFLINE",IF(AND(Q139&gt;=Inputs!$B$15,R139=1,S139=1,P139&lt;=L139),"PASS","FAIL"))</f>
        <v>PASS</v>
      </c>
    </row>
    <row r="140" customFormat="false" ht="15" hidden="false" customHeight="false" outlineLevel="0" collapsed="false">
      <c r="A140" s="14" t="s">
        <v>1020</v>
      </c>
      <c r="B140" s="14" t="s">
        <v>1019</v>
      </c>
      <c r="C140" s="14" t="s">
        <v>156</v>
      </c>
      <c r="D140" s="14" t="s">
        <v>168</v>
      </c>
      <c r="E140" s="14" t="s">
        <v>169</v>
      </c>
      <c r="F140" s="14" t="s">
        <v>164</v>
      </c>
      <c r="G140" s="14" t="n">
        <v>2</v>
      </c>
      <c r="H140" s="14" t="s">
        <v>153</v>
      </c>
      <c r="I140" s="14" t="s">
        <v>892</v>
      </c>
      <c r="J140" s="15" t="n">
        <f aca="false">IF(B140="SITE LOSS",IF(D140=C140,1,0),IF(B140="REGION LOSS",IF(E140=C140,1,0),0))</f>
        <v>0</v>
      </c>
      <c r="K140" s="15" t="n">
        <f aca="false">IF(B140="SITE LOSS",IF(COUNTIFS('Site Dockets'!$B$7:$B$24,C140,'Site Dockets'!$C$7:$C$24,F140)&gt;0,1,0),IF(B140="REGION LOSS",IF(COUNTIFS('Site Dockets'!$E$7:$E$24,C140,'Site Dockets'!$C$7:$C$24,F140)&gt;0,1,0),0))</f>
        <v>0</v>
      </c>
      <c r="L140" s="15" t="n">
        <f aca="false">IF(J140=1,0,Inputs!$B$11)</f>
        <v>100</v>
      </c>
      <c r="M140" s="15" t="n">
        <f aca="false">IF(J140=1,0,Inputs!$B$12)</f>
        <v>75</v>
      </c>
      <c r="N140" s="15" t="n">
        <f aca="false">IF(J140=1,0,IF(OR(AND(OR(B140="SITE LOSS",B140="REGION LOSS"),K140=1),AND(B140="ROLE COMPROMISE",H140=C140)),Inputs!$B$13,Inputs!$B$14))</f>
        <v>10</v>
      </c>
      <c r="O140" s="15" t="n">
        <f aca="false">IF(J140=1,0,Inputs!$B$13)</f>
        <v>20</v>
      </c>
      <c r="P140" s="15" t="n">
        <f aca="false">SUM(M140:N140)</f>
        <v>85</v>
      </c>
      <c r="Q140" s="15" t="n">
        <f aca="false">IF(J140=1,"",L140-P140)</f>
        <v>15</v>
      </c>
      <c r="R140" s="15" t="n">
        <f aca="false">IF(OR(J140=1,M140&lt;=Inputs!$B$12),1,0)</f>
        <v>1</v>
      </c>
      <c r="S140" s="15" t="n">
        <f aca="false">IF(OR(J140=1,N140&lt;=O140),1,0)</f>
        <v>1</v>
      </c>
      <c r="T140" s="15" t="str">
        <f aca="false">IF(J140=1,"OFFLINE",IF(AND(Q140&gt;=Inputs!$B$15,R140=1,S140=1,P140&lt;=L140),"PASS","FAIL"))</f>
        <v>PASS</v>
      </c>
    </row>
    <row r="141" customFormat="false" ht="15" hidden="false" customHeight="false" outlineLevel="0" collapsed="false">
      <c r="A141" s="14" t="s">
        <v>1020</v>
      </c>
      <c r="B141" s="14" t="s">
        <v>1019</v>
      </c>
      <c r="C141" s="14" t="s">
        <v>156</v>
      </c>
      <c r="D141" s="14" t="s">
        <v>168</v>
      </c>
      <c r="E141" s="14" t="s">
        <v>169</v>
      </c>
      <c r="F141" s="14" t="s">
        <v>164</v>
      </c>
      <c r="G141" s="14" t="n">
        <v>2</v>
      </c>
      <c r="H141" s="14" t="s">
        <v>153</v>
      </c>
      <c r="I141" s="14" t="s">
        <v>811</v>
      </c>
      <c r="J141" s="15" t="n">
        <f aca="false">IF(B141="SITE LOSS",IF(D141=C141,1,0),IF(B141="REGION LOSS",IF(E141=C141,1,0),0))</f>
        <v>0</v>
      </c>
      <c r="K141" s="15" t="n">
        <f aca="false">IF(B141="SITE LOSS",IF(COUNTIFS('Site Dockets'!$B$7:$B$24,C141,'Site Dockets'!$C$7:$C$24,F141)&gt;0,1,0),IF(B141="REGION LOSS",IF(COUNTIFS('Site Dockets'!$E$7:$E$24,C141,'Site Dockets'!$C$7:$C$24,F141)&gt;0,1,0),0))</f>
        <v>0</v>
      </c>
      <c r="L141" s="15" t="n">
        <f aca="false">IF(J141=1,0,Inputs!$B$11)</f>
        <v>100</v>
      </c>
      <c r="M141" s="15" t="n">
        <f aca="false">IF(J141=1,0,Inputs!$B$12)</f>
        <v>75</v>
      </c>
      <c r="N141" s="15" t="n">
        <f aca="false">IF(J141=1,0,IF(OR(AND(OR(B141="SITE LOSS",B141="REGION LOSS"),K141=1),AND(B141="ROLE COMPROMISE",H141=C141)),Inputs!$B$13,Inputs!$B$14))</f>
        <v>10</v>
      </c>
      <c r="O141" s="15" t="n">
        <f aca="false">IF(J141=1,0,Inputs!$B$13)</f>
        <v>20</v>
      </c>
      <c r="P141" s="15" t="n">
        <f aca="false">SUM(M141:N141)</f>
        <v>85</v>
      </c>
      <c r="Q141" s="15" t="n">
        <f aca="false">IF(J141=1,"",L141-P141)</f>
        <v>15</v>
      </c>
      <c r="R141" s="15" t="n">
        <f aca="false">IF(OR(J141=1,M141&lt;=Inputs!$B$12),1,0)</f>
        <v>1</v>
      </c>
      <c r="S141" s="15" t="n">
        <f aca="false">IF(OR(J141=1,N141&lt;=O141),1,0)</f>
        <v>1</v>
      </c>
      <c r="T141" s="15" t="str">
        <f aca="false">IF(J141=1,"OFFLINE",IF(AND(Q141&gt;=Inputs!$B$15,R141=1,S141=1,P141&lt;=L141),"PASS","FAIL"))</f>
        <v>PASS</v>
      </c>
    </row>
    <row r="142" customFormat="false" ht="15" hidden="false" customHeight="false" outlineLevel="0" collapsed="false">
      <c r="A142" s="14" t="s">
        <v>1020</v>
      </c>
      <c r="B142" s="14" t="s">
        <v>1019</v>
      </c>
      <c r="C142" s="14" t="s">
        <v>156</v>
      </c>
      <c r="D142" s="14" t="s">
        <v>168</v>
      </c>
      <c r="E142" s="14" t="s">
        <v>169</v>
      </c>
      <c r="F142" s="14" t="s">
        <v>164</v>
      </c>
      <c r="G142" s="14" t="n">
        <v>2</v>
      </c>
      <c r="H142" s="14" t="s">
        <v>153</v>
      </c>
      <c r="I142" s="14" t="s">
        <v>895</v>
      </c>
      <c r="J142" s="15" t="n">
        <f aca="false">IF(B142="SITE LOSS",IF(D142=C142,1,0),IF(B142="REGION LOSS",IF(E142=C142,1,0),0))</f>
        <v>0</v>
      </c>
      <c r="K142" s="15" t="n">
        <f aca="false">IF(B142="SITE LOSS",IF(COUNTIFS('Site Dockets'!$B$7:$B$24,C142,'Site Dockets'!$C$7:$C$24,F142)&gt;0,1,0),IF(B142="REGION LOSS",IF(COUNTIFS('Site Dockets'!$E$7:$E$24,C142,'Site Dockets'!$C$7:$C$24,F142)&gt;0,1,0),0))</f>
        <v>0</v>
      </c>
      <c r="L142" s="15" t="n">
        <f aca="false">IF(J142=1,0,Inputs!$B$11)</f>
        <v>100</v>
      </c>
      <c r="M142" s="15" t="n">
        <f aca="false">IF(J142=1,0,Inputs!$B$12)</f>
        <v>75</v>
      </c>
      <c r="N142" s="15" t="n">
        <f aca="false">IF(J142=1,0,IF(OR(AND(OR(B142="SITE LOSS",B142="REGION LOSS"),K142=1),AND(B142="ROLE COMPROMISE",H142=C142)),Inputs!$B$13,Inputs!$B$14))</f>
        <v>10</v>
      </c>
      <c r="O142" s="15" t="n">
        <f aca="false">IF(J142=1,0,Inputs!$B$13)</f>
        <v>20</v>
      </c>
      <c r="P142" s="15" t="n">
        <f aca="false">SUM(M142:N142)</f>
        <v>85</v>
      </c>
      <c r="Q142" s="15" t="n">
        <f aca="false">IF(J142=1,"",L142-P142)</f>
        <v>15</v>
      </c>
      <c r="R142" s="15" t="n">
        <f aca="false">IF(OR(J142=1,M142&lt;=Inputs!$B$12),1,0)</f>
        <v>1</v>
      </c>
      <c r="S142" s="15" t="n">
        <f aca="false">IF(OR(J142=1,N142&lt;=O142),1,0)</f>
        <v>1</v>
      </c>
      <c r="T142" s="15" t="str">
        <f aca="false">IF(J142=1,"OFFLINE",IF(AND(Q142&gt;=Inputs!$B$15,R142=1,S142=1,P142&lt;=L142),"PASS","FAIL"))</f>
        <v>PASS</v>
      </c>
    </row>
    <row r="143" customFormat="false" ht="15" hidden="false" customHeight="false" outlineLevel="0" collapsed="false">
      <c r="A143" s="14" t="s">
        <v>1020</v>
      </c>
      <c r="B143" s="14" t="s">
        <v>1019</v>
      </c>
      <c r="C143" s="14" t="s">
        <v>156</v>
      </c>
      <c r="D143" s="14" t="s">
        <v>168</v>
      </c>
      <c r="E143" s="14" t="s">
        <v>169</v>
      </c>
      <c r="F143" s="14" t="s">
        <v>164</v>
      </c>
      <c r="G143" s="14" t="n">
        <v>2</v>
      </c>
      <c r="H143" s="14" t="s">
        <v>153</v>
      </c>
      <c r="I143" s="14" t="s">
        <v>897</v>
      </c>
      <c r="J143" s="15" t="n">
        <f aca="false">IF(B143="SITE LOSS",IF(D143=C143,1,0),IF(B143="REGION LOSS",IF(E143=C143,1,0),0))</f>
        <v>0</v>
      </c>
      <c r="K143" s="15" t="n">
        <f aca="false">IF(B143="SITE LOSS",IF(COUNTIFS('Site Dockets'!$B$7:$B$24,C143,'Site Dockets'!$C$7:$C$24,F143)&gt;0,1,0),IF(B143="REGION LOSS",IF(COUNTIFS('Site Dockets'!$E$7:$E$24,C143,'Site Dockets'!$C$7:$C$24,F143)&gt;0,1,0),0))</f>
        <v>0</v>
      </c>
      <c r="L143" s="15" t="n">
        <f aca="false">IF(J143=1,0,Inputs!$B$11)</f>
        <v>100</v>
      </c>
      <c r="M143" s="15" t="n">
        <f aca="false">IF(J143=1,0,Inputs!$B$12)</f>
        <v>75</v>
      </c>
      <c r="N143" s="15" t="n">
        <f aca="false">IF(J143=1,0,IF(OR(AND(OR(B143="SITE LOSS",B143="REGION LOSS"),K143=1),AND(B143="ROLE COMPROMISE",H143=C143)),Inputs!$B$13,Inputs!$B$14))</f>
        <v>10</v>
      </c>
      <c r="O143" s="15" t="n">
        <f aca="false">IF(J143=1,0,Inputs!$B$13)</f>
        <v>20</v>
      </c>
      <c r="P143" s="15" t="n">
        <f aca="false">SUM(M143:N143)</f>
        <v>85</v>
      </c>
      <c r="Q143" s="15" t="n">
        <f aca="false">IF(J143=1,"",L143-P143)</f>
        <v>15</v>
      </c>
      <c r="R143" s="15" t="n">
        <f aca="false">IF(OR(J143=1,M143&lt;=Inputs!$B$12),1,0)</f>
        <v>1</v>
      </c>
      <c r="S143" s="15" t="n">
        <f aca="false">IF(OR(J143=1,N143&lt;=O143),1,0)</f>
        <v>1</v>
      </c>
      <c r="T143" s="15" t="str">
        <f aca="false">IF(J143=1,"OFFLINE",IF(AND(Q143&gt;=Inputs!$B$15,R143=1,S143=1,P143&lt;=L143),"PASS","FAIL"))</f>
        <v>PASS</v>
      </c>
    </row>
    <row r="144" customFormat="false" ht="15" hidden="false" customHeight="false" outlineLevel="0" collapsed="false">
      <c r="A144" s="14" t="s">
        <v>1020</v>
      </c>
      <c r="B144" s="14" t="s">
        <v>1019</v>
      </c>
      <c r="C144" s="14" t="s">
        <v>156</v>
      </c>
      <c r="D144" s="14" t="s">
        <v>168</v>
      </c>
      <c r="E144" s="14" t="s">
        <v>169</v>
      </c>
      <c r="F144" s="14" t="s">
        <v>164</v>
      </c>
      <c r="G144" s="14" t="n">
        <v>2</v>
      </c>
      <c r="H144" s="14" t="s">
        <v>153</v>
      </c>
      <c r="I144" s="14" t="s">
        <v>899</v>
      </c>
      <c r="J144" s="15" t="n">
        <f aca="false">IF(B144="SITE LOSS",IF(D144=C144,1,0),IF(B144="REGION LOSS",IF(E144=C144,1,0),0))</f>
        <v>0</v>
      </c>
      <c r="K144" s="15" t="n">
        <f aca="false">IF(B144="SITE LOSS",IF(COUNTIFS('Site Dockets'!$B$7:$B$24,C144,'Site Dockets'!$C$7:$C$24,F144)&gt;0,1,0),IF(B144="REGION LOSS",IF(COUNTIFS('Site Dockets'!$E$7:$E$24,C144,'Site Dockets'!$C$7:$C$24,F144)&gt;0,1,0),0))</f>
        <v>0</v>
      </c>
      <c r="L144" s="15" t="n">
        <f aca="false">IF(J144=1,0,Inputs!$B$11)</f>
        <v>100</v>
      </c>
      <c r="M144" s="15" t="n">
        <f aca="false">IF(J144=1,0,Inputs!$B$12)</f>
        <v>75</v>
      </c>
      <c r="N144" s="15" t="n">
        <f aca="false">IF(J144=1,0,IF(OR(AND(OR(B144="SITE LOSS",B144="REGION LOSS"),K144=1),AND(B144="ROLE COMPROMISE",H144=C144)),Inputs!$B$13,Inputs!$B$14))</f>
        <v>10</v>
      </c>
      <c r="O144" s="15" t="n">
        <f aca="false">IF(J144=1,0,Inputs!$B$13)</f>
        <v>20</v>
      </c>
      <c r="P144" s="15" t="n">
        <f aca="false">SUM(M144:N144)</f>
        <v>85</v>
      </c>
      <c r="Q144" s="15" t="n">
        <f aca="false">IF(J144=1,"",L144-P144)</f>
        <v>15</v>
      </c>
      <c r="R144" s="15" t="n">
        <f aca="false">IF(OR(J144=1,M144&lt;=Inputs!$B$12),1,0)</f>
        <v>1</v>
      </c>
      <c r="S144" s="15" t="n">
        <f aca="false">IF(OR(J144=1,N144&lt;=O144),1,0)</f>
        <v>1</v>
      </c>
      <c r="T144" s="15" t="str">
        <f aca="false">IF(J144=1,"OFFLINE",IF(AND(Q144&gt;=Inputs!$B$15,R144=1,S144=1,P144&lt;=L144),"PASS","FAIL"))</f>
        <v>PASS</v>
      </c>
    </row>
    <row r="145" customFormat="false" ht="15" hidden="false" customHeight="false" outlineLevel="0" collapsed="false">
      <c r="A145" s="14" t="s">
        <v>1020</v>
      </c>
      <c r="B145" s="14" t="s">
        <v>1019</v>
      </c>
      <c r="C145" s="14" t="s">
        <v>156</v>
      </c>
      <c r="D145" s="14" t="s">
        <v>171</v>
      </c>
      <c r="E145" s="14" t="s">
        <v>172</v>
      </c>
      <c r="F145" s="14" t="s">
        <v>164</v>
      </c>
      <c r="G145" s="14" t="n">
        <v>3</v>
      </c>
      <c r="H145" s="14" t="s">
        <v>158</v>
      </c>
      <c r="I145" s="14" t="s">
        <v>890</v>
      </c>
      <c r="J145" s="15" t="n">
        <f aca="false">IF(B145="SITE LOSS",IF(D145=C145,1,0),IF(B145="REGION LOSS",IF(E145=C145,1,0),0))</f>
        <v>0</v>
      </c>
      <c r="K145" s="15" t="n">
        <f aca="false">IF(B145="SITE LOSS",IF(COUNTIFS('Site Dockets'!$B$7:$B$24,C145,'Site Dockets'!$C$7:$C$24,F145)&gt;0,1,0),IF(B145="REGION LOSS",IF(COUNTIFS('Site Dockets'!$E$7:$E$24,C145,'Site Dockets'!$C$7:$C$24,F145)&gt;0,1,0),0))</f>
        <v>0</v>
      </c>
      <c r="L145" s="15" t="n">
        <f aca="false">IF(J145=1,0,Inputs!$B$11)</f>
        <v>100</v>
      </c>
      <c r="M145" s="15" t="n">
        <f aca="false">IF(J145=1,0,Inputs!$B$12)</f>
        <v>75</v>
      </c>
      <c r="N145" s="15" t="n">
        <f aca="false">IF(J145=1,0,IF(OR(AND(OR(B145="SITE LOSS",B145="REGION LOSS"),K145=1),AND(B145="ROLE COMPROMISE",H145=C145)),Inputs!$B$13,Inputs!$B$14))</f>
        <v>10</v>
      </c>
      <c r="O145" s="15" t="n">
        <f aca="false">IF(J145=1,0,Inputs!$B$13)</f>
        <v>20</v>
      </c>
      <c r="P145" s="15" t="n">
        <f aca="false">SUM(M145:N145)</f>
        <v>85</v>
      </c>
      <c r="Q145" s="15" t="n">
        <f aca="false">IF(J145=1,"",L145-P145)</f>
        <v>15</v>
      </c>
      <c r="R145" s="15" t="n">
        <f aca="false">IF(OR(J145=1,M145&lt;=Inputs!$B$12),1,0)</f>
        <v>1</v>
      </c>
      <c r="S145" s="15" t="n">
        <f aca="false">IF(OR(J145=1,N145&lt;=O145),1,0)</f>
        <v>1</v>
      </c>
      <c r="T145" s="15" t="str">
        <f aca="false">IF(J145=1,"OFFLINE",IF(AND(Q145&gt;=Inputs!$B$15,R145=1,S145=1,P145&lt;=L145),"PASS","FAIL"))</f>
        <v>PASS</v>
      </c>
    </row>
    <row r="146" customFormat="false" ht="15" hidden="false" customHeight="false" outlineLevel="0" collapsed="false">
      <c r="A146" s="14" t="s">
        <v>1020</v>
      </c>
      <c r="B146" s="14" t="s">
        <v>1019</v>
      </c>
      <c r="C146" s="14" t="s">
        <v>156</v>
      </c>
      <c r="D146" s="14" t="s">
        <v>171</v>
      </c>
      <c r="E146" s="14" t="s">
        <v>172</v>
      </c>
      <c r="F146" s="14" t="s">
        <v>164</v>
      </c>
      <c r="G146" s="14" t="n">
        <v>3</v>
      </c>
      <c r="H146" s="14" t="s">
        <v>158</v>
      </c>
      <c r="I146" s="14" t="s">
        <v>892</v>
      </c>
      <c r="J146" s="15" t="n">
        <f aca="false">IF(B146="SITE LOSS",IF(D146=C146,1,0),IF(B146="REGION LOSS",IF(E146=C146,1,0),0))</f>
        <v>0</v>
      </c>
      <c r="K146" s="15" t="n">
        <f aca="false">IF(B146="SITE LOSS",IF(COUNTIFS('Site Dockets'!$B$7:$B$24,C146,'Site Dockets'!$C$7:$C$24,F146)&gt;0,1,0),IF(B146="REGION LOSS",IF(COUNTIFS('Site Dockets'!$E$7:$E$24,C146,'Site Dockets'!$C$7:$C$24,F146)&gt;0,1,0),0))</f>
        <v>0</v>
      </c>
      <c r="L146" s="15" t="n">
        <f aca="false">IF(J146=1,0,Inputs!$B$11)</f>
        <v>100</v>
      </c>
      <c r="M146" s="15" t="n">
        <f aca="false">IF(J146=1,0,Inputs!$B$12)</f>
        <v>75</v>
      </c>
      <c r="N146" s="15" t="n">
        <f aca="false">IF(J146=1,0,IF(OR(AND(OR(B146="SITE LOSS",B146="REGION LOSS"),K146=1),AND(B146="ROLE COMPROMISE",H146=C146)),Inputs!$B$13,Inputs!$B$14))</f>
        <v>10</v>
      </c>
      <c r="O146" s="15" t="n">
        <f aca="false">IF(J146=1,0,Inputs!$B$13)</f>
        <v>20</v>
      </c>
      <c r="P146" s="15" t="n">
        <f aca="false">SUM(M146:N146)</f>
        <v>85</v>
      </c>
      <c r="Q146" s="15" t="n">
        <f aca="false">IF(J146=1,"",L146-P146)</f>
        <v>15</v>
      </c>
      <c r="R146" s="15" t="n">
        <f aca="false">IF(OR(J146=1,M146&lt;=Inputs!$B$12),1,0)</f>
        <v>1</v>
      </c>
      <c r="S146" s="15" t="n">
        <f aca="false">IF(OR(J146=1,N146&lt;=O146),1,0)</f>
        <v>1</v>
      </c>
      <c r="T146" s="15" t="str">
        <f aca="false">IF(J146=1,"OFFLINE",IF(AND(Q146&gt;=Inputs!$B$15,R146=1,S146=1,P146&lt;=L146),"PASS","FAIL"))</f>
        <v>PASS</v>
      </c>
    </row>
    <row r="147" customFormat="false" ht="15" hidden="false" customHeight="false" outlineLevel="0" collapsed="false">
      <c r="A147" s="14" t="s">
        <v>1020</v>
      </c>
      <c r="B147" s="14" t="s">
        <v>1019</v>
      </c>
      <c r="C147" s="14" t="s">
        <v>156</v>
      </c>
      <c r="D147" s="14" t="s">
        <v>171</v>
      </c>
      <c r="E147" s="14" t="s">
        <v>172</v>
      </c>
      <c r="F147" s="14" t="s">
        <v>164</v>
      </c>
      <c r="G147" s="14" t="n">
        <v>3</v>
      </c>
      <c r="H147" s="14" t="s">
        <v>158</v>
      </c>
      <c r="I147" s="14" t="s">
        <v>811</v>
      </c>
      <c r="J147" s="15" t="n">
        <f aca="false">IF(B147="SITE LOSS",IF(D147=C147,1,0),IF(B147="REGION LOSS",IF(E147=C147,1,0),0))</f>
        <v>0</v>
      </c>
      <c r="K147" s="15" t="n">
        <f aca="false">IF(B147="SITE LOSS",IF(COUNTIFS('Site Dockets'!$B$7:$B$24,C147,'Site Dockets'!$C$7:$C$24,F147)&gt;0,1,0),IF(B147="REGION LOSS",IF(COUNTIFS('Site Dockets'!$E$7:$E$24,C147,'Site Dockets'!$C$7:$C$24,F147)&gt;0,1,0),0))</f>
        <v>0</v>
      </c>
      <c r="L147" s="15" t="n">
        <f aca="false">IF(J147=1,0,Inputs!$B$11)</f>
        <v>100</v>
      </c>
      <c r="M147" s="15" t="n">
        <f aca="false">IF(J147=1,0,Inputs!$B$12)</f>
        <v>75</v>
      </c>
      <c r="N147" s="15" t="n">
        <f aca="false">IF(J147=1,0,IF(OR(AND(OR(B147="SITE LOSS",B147="REGION LOSS"),K147=1),AND(B147="ROLE COMPROMISE",H147=C147)),Inputs!$B$13,Inputs!$B$14))</f>
        <v>10</v>
      </c>
      <c r="O147" s="15" t="n">
        <f aca="false">IF(J147=1,0,Inputs!$B$13)</f>
        <v>20</v>
      </c>
      <c r="P147" s="15" t="n">
        <f aca="false">SUM(M147:N147)</f>
        <v>85</v>
      </c>
      <c r="Q147" s="15" t="n">
        <f aca="false">IF(J147=1,"",L147-P147)</f>
        <v>15</v>
      </c>
      <c r="R147" s="15" t="n">
        <f aca="false">IF(OR(J147=1,M147&lt;=Inputs!$B$12),1,0)</f>
        <v>1</v>
      </c>
      <c r="S147" s="15" t="n">
        <f aca="false">IF(OR(J147=1,N147&lt;=O147),1,0)</f>
        <v>1</v>
      </c>
      <c r="T147" s="15" t="str">
        <f aca="false">IF(J147=1,"OFFLINE",IF(AND(Q147&gt;=Inputs!$B$15,R147=1,S147=1,P147&lt;=L147),"PASS","FAIL"))</f>
        <v>PASS</v>
      </c>
    </row>
    <row r="148" customFormat="false" ht="15" hidden="false" customHeight="false" outlineLevel="0" collapsed="false">
      <c r="A148" s="14" t="s">
        <v>1020</v>
      </c>
      <c r="B148" s="14" t="s">
        <v>1019</v>
      </c>
      <c r="C148" s="14" t="s">
        <v>156</v>
      </c>
      <c r="D148" s="14" t="s">
        <v>171</v>
      </c>
      <c r="E148" s="14" t="s">
        <v>172</v>
      </c>
      <c r="F148" s="14" t="s">
        <v>164</v>
      </c>
      <c r="G148" s="14" t="n">
        <v>3</v>
      </c>
      <c r="H148" s="14" t="s">
        <v>158</v>
      </c>
      <c r="I148" s="14" t="s">
        <v>895</v>
      </c>
      <c r="J148" s="15" t="n">
        <f aca="false">IF(B148="SITE LOSS",IF(D148=C148,1,0),IF(B148="REGION LOSS",IF(E148=C148,1,0),0))</f>
        <v>0</v>
      </c>
      <c r="K148" s="15" t="n">
        <f aca="false">IF(B148="SITE LOSS",IF(COUNTIFS('Site Dockets'!$B$7:$B$24,C148,'Site Dockets'!$C$7:$C$24,F148)&gt;0,1,0),IF(B148="REGION LOSS",IF(COUNTIFS('Site Dockets'!$E$7:$E$24,C148,'Site Dockets'!$C$7:$C$24,F148)&gt;0,1,0),0))</f>
        <v>0</v>
      </c>
      <c r="L148" s="15" t="n">
        <f aca="false">IF(J148=1,0,Inputs!$B$11)</f>
        <v>100</v>
      </c>
      <c r="M148" s="15" t="n">
        <f aca="false">IF(J148=1,0,Inputs!$B$12)</f>
        <v>75</v>
      </c>
      <c r="N148" s="15" t="n">
        <f aca="false">IF(J148=1,0,IF(OR(AND(OR(B148="SITE LOSS",B148="REGION LOSS"),K148=1),AND(B148="ROLE COMPROMISE",H148=C148)),Inputs!$B$13,Inputs!$B$14))</f>
        <v>10</v>
      </c>
      <c r="O148" s="15" t="n">
        <f aca="false">IF(J148=1,0,Inputs!$B$13)</f>
        <v>20</v>
      </c>
      <c r="P148" s="15" t="n">
        <f aca="false">SUM(M148:N148)</f>
        <v>85</v>
      </c>
      <c r="Q148" s="15" t="n">
        <f aca="false">IF(J148=1,"",L148-P148)</f>
        <v>15</v>
      </c>
      <c r="R148" s="15" t="n">
        <f aca="false">IF(OR(J148=1,M148&lt;=Inputs!$B$12),1,0)</f>
        <v>1</v>
      </c>
      <c r="S148" s="15" t="n">
        <f aca="false">IF(OR(J148=1,N148&lt;=O148),1,0)</f>
        <v>1</v>
      </c>
      <c r="T148" s="15" t="str">
        <f aca="false">IF(J148=1,"OFFLINE",IF(AND(Q148&gt;=Inputs!$B$15,R148=1,S148=1,P148&lt;=L148),"PASS","FAIL"))</f>
        <v>PASS</v>
      </c>
    </row>
    <row r="149" customFormat="false" ht="15" hidden="false" customHeight="false" outlineLevel="0" collapsed="false">
      <c r="A149" s="14" t="s">
        <v>1020</v>
      </c>
      <c r="B149" s="14" t="s">
        <v>1019</v>
      </c>
      <c r="C149" s="14" t="s">
        <v>156</v>
      </c>
      <c r="D149" s="14" t="s">
        <v>171</v>
      </c>
      <c r="E149" s="14" t="s">
        <v>172</v>
      </c>
      <c r="F149" s="14" t="s">
        <v>164</v>
      </c>
      <c r="G149" s="14" t="n">
        <v>3</v>
      </c>
      <c r="H149" s="14" t="s">
        <v>158</v>
      </c>
      <c r="I149" s="14" t="s">
        <v>897</v>
      </c>
      <c r="J149" s="15" t="n">
        <f aca="false">IF(B149="SITE LOSS",IF(D149=C149,1,0),IF(B149="REGION LOSS",IF(E149=C149,1,0),0))</f>
        <v>0</v>
      </c>
      <c r="K149" s="15" t="n">
        <f aca="false">IF(B149="SITE LOSS",IF(COUNTIFS('Site Dockets'!$B$7:$B$24,C149,'Site Dockets'!$C$7:$C$24,F149)&gt;0,1,0),IF(B149="REGION LOSS",IF(COUNTIFS('Site Dockets'!$E$7:$E$24,C149,'Site Dockets'!$C$7:$C$24,F149)&gt;0,1,0),0))</f>
        <v>0</v>
      </c>
      <c r="L149" s="15" t="n">
        <f aca="false">IF(J149=1,0,Inputs!$B$11)</f>
        <v>100</v>
      </c>
      <c r="M149" s="15" t="n">
        <f aca="false">IF(J149=1,0,Inputs!$B$12)</f>
        <v>75</v>
      </c>
      <c r="N149" s="15" t="n">
        <f aca="false">IF(J149=1,0,IF(OR(AND(OR(B149="SITE LOSS",B149="REGION LOSS"),K149=1),AND(B149="ROLE COMPROMISE",H149=C149)),Inputs!$B$13,Inputs!$B$14))</f>
        <v>10</v>
      </c>
      <c r="O149" s="15" t="n">
        <f aca="false">IF(J149=1,0,Inputs!$B$13)</f>
        <v>20</v>
      </c>
      <c r="P149" s="15" t="n">
        <f aca="false">SUM(M149:N149)</f>
        <v>85</v>
      </c>
      <c r="Q149" s="15" t="n">
        <f aca="false">IF(J149=1,"",L149-P149)</f>
        <v>15</v>
      </c>
      <c r="R149" s="15" t="n">
        <f aca="false">IF(OR(J149=1,M149&lt;=Inputs!$B$12),1,0)</f>
        <v>1</v>
      </c>
      <c r="S149" s="15" t="n">
        <f aca="false">IF(OR(J149=1,N149&lt;=O149),1,0)</f>
        <v>1</v>
      </c>
      <c r="T149" s="15" t="str">
        <f aca="false">IF(J149=1,"OFFLINE",IF(AND(Q149&gt;=Inputs!$B$15,R149=1,S149=1,P149&lt;=L149),"PASS","FAIL"))</f>
        <v>PASS</v>
      </c>
    </row>
    <row r="150" customFormat="false" ht="15" hidden="false" customHeight="false" outlineLevel="0" collapsed="false">
      <c r="A150" s="14" t="s">
        <v>1020</v>
      </c>
      <c r="B150" s="14" t="s">
        <v>1019</v>
      </c>
      <c r="C150" s="14" t="s">
        <v>156</v>
      </c>
      <c r="D150" s="14" t="s">
        <v>171</v>
      </c>
      <c r="E150" s="14" t="s">
        <v>172</v>
      </c>
      <c r="F150" s="14" t="s">
        <v>164</v>
      </c>
      <c r="G150" s="14" t="n">
        <v>3</v>
      </c>
      <c r="H150" s="14" t="s">
        <v>158</v>
      </c>
      <c r="I150" s="14" t="s">
        <v>899</v>
      </c>
      <c r="J150" s="15" t="n">
        <f aca="false">IF(B150="SITE LOSS",IF(D150=C150,1,0),IF(B150="REGION LOSS",IF(E150=C150,1,0),0))</f>
        <v>0</v>
      </c>
      <c r="K150" s="15" t="n">
        <f aca="false">IF(B150="SITE LOSS",IF(COUNTIFS('Site Dockets'!$B$7:$B$24,C150,'Site Dockets'!$C$7:$C$24,F150)&gt;0,1,0),IF(B150="REGION LOSS",IF(COUNTIFS('Site Dockets'!$E$7:$E$24,C150,'Site Dockets'!$C$7:$C$24,F150)&gt;0,1,0),0))</f>
        <v>0</v>
      </c>
      <c r="L150" s="15" t="n">
        <f aca="false">IF(J150=1,0,Inputs!$B$11)</f>
        <v>100</v>
      </c>
      <c r="M150" s="15" t="n">
        <f aca="false">IF(J150=1,0,Inputs!$B$12)</f>
        <v>75</v>
      </c>
      <c r="N150" s="15" t="n">
        <f aca="false">IF(J150=1,0,IF(OR(AND(OR(B150="SITE LOSS",B150="REGION LOSS"),K150=1),AND(B150="ROLE COMPROMISE",H150=C150)),Inputs!$B$13,Inputs!$B$14))</f>
        <v>10</v>
      </c>
      <c r="O150" s="15" t="n">
        <f aca="false">IF(J150=1,0,Inputs!$B$13)</f>
        <v>20</v>
      </c>
      <c r="P150" s="15" t="n">
        <f aca="false">SUM(M150:N150)</f>
        <v>85</v>
      </c>
      <c r="Q150" s="15" t="n">
        <f aca="false">IF(J150=1,"",L150-P150)</f>
        <v>15</v>
      </c>
      <c r="R150" s="15" t="n">
        <f aca="false">IF(OR(J150=1,M150&lt;=Inputs!$B$12),1,0)</f>
        <v>1</v>
      </c>
      <c r="S150" s="15" t="n">
        <f aca="false">IF(OR(J150=1,N150&lt;=O150),1,0)</f>
        <v>1</v>
      </c>
      <c r="T150" s="15" t="str">
        <f aca="false">IF(J150=1,"OFFLINE",IF(AND(Q150&gt;=Inputs!$B$15,R150=1,S150=1,P150&lt;=L150),"PASS","FAIL"))</f>
        <v>PASS</v>
      </c>
    </row>
    <row r="151" customFormat="false" ht="15" hidden="false" customHeight="false" outlineLevel="0" collapsed="false">
      <c r="A151" s="14" t="s">
        <v>1020</v>
      </c>
      <c r="B151" s="14" t="s">
        <v>1019</v>
      </c>
      <c r="C151" s="14" t="s">
        <v>156</v>
      </c>
      <c r="D151" s="14" t="s">
        <v>174</v>
      </c>
      <c r="E151" s="14" t="s">
        <v>152</v>
      </c>
      <c r="F151" s="14" t="s">
        <v>175</v>
      </c>
      <c r="G151" s="14" t="n">
        <v>1</v>
      </c>
      <c r="H151" s="14" t="s">
        <v>154</v>
      </c>
      <c r="I151" s="14" t="s">
        <v>890</v>
      </c>
      <c r="J151" s="15" t="n">
        <f aca="false">IF(B151="SITE LOSS",IF(D151=C151,1,0),IF(B151="REGION LOSS",IF(E151=C151,1,0),0))</f>
        <v>0</v>
      </c>
      <c r="K151" s="15" t="n">
        <f aca="false">IF(B151="SITE LOSS",IF(COUNTIFS('Site Dockets'!$B$7:$B$24,C151,'Site Dockets'!$C$7:$C$24,F151)&gt;0,1,0),IF(B151="REGION LOSS",IF(COUNTIFS('Site Dockets'!$E$7:$E$24,C151,'Site Dockets'!$C$7:$C$24,F151)&gt;0,1,0),0))</f>
        <v>0</v>
      </c>
      <c r="L151" s="15" t="n">
        <f aca="false">IF(J151=1,0,Inputs!$B$11)</f>
        <v>100</v>
      </c>
      <c r="M151" s="15" t="n">
        <f aca="false">IF(J151=1,0,Inputs!$B$12)</f>
        <v>75</v>
      </c>
      <c r="N151" s="15" t="n">
        <f aca="false">IF(J151=1,0,IF(OR(AND(OR(B151="SITE LOSS",B151="REGION LOSS"),K151=1),AND(B151="ROLE COMPROMISE",H151=C151)),Inputs!$B$13,Inputs!$B$14))</f>
        <v>10</v>
      </c>
      <c r="O151" s="15" t="n">
        <f aca="false">IF(J151=1,0,Inputs!$B$13)</f>
        <v>20</v>
      </c>
      <c r="P151" s="15" t="n">
        <f aca="false">SUM(M151:N151)</f>
        <v>85</v>
      </c>
      <c r="Q151" s="15" t="n">
        <f aca="false">IF(J151=1,"",L151-P151)</f>
        <v>15</v>
      </c>
      <c r="R151" s="15" t="n">
        <f aca="false">IF(OR(J151=1,M151&lt;=Inputs!$B$12),1,0)</f>
        <v>1</v>
      </c>
      <c r="S151" s="15" t="n">
        <f aca="false">IF(OR(J151=1,N151&lt;=O151),1,0)</f>
        <v>1</v>
      </c>
      <c r="T151" s="15" t="str">
        <f aca="false">IF(J151=1,"OFFLINE",IF(AND(Q151&gt;=Inputs!$B$15,R151=1,S151=1,P151&lt;=L151),"PASS","FAIL"))</f>
        <v>PASS</v>
      </c>
    </row>
    <row r="152" customFormat="false" ht="15" hidden="false" customHeight="false" outlineLevel="0" collapsed="false">
      <c r="A152" s="14" t="s">
        <v>1020</v>
      </c>
      <c r="B152" s="14" t="s">
        <v>1019</v>
      </c>
      <c r="C152" s="14" t="s">
        <v>156</v>
      </c>
      <c r="D152" s="14" t="s">
        <v>174</v>
      </c>
      <c r="E152" s="14" t="s">
        <v>152</v>
      </c>
      <c r="F152" s="14" t="s">
        <v>175</v>
      </c>
      <c r="G152" s="14" t="n">
        <v>1</v>
      </c>
      <c r="H152" s="14" t="s">
        <v>154</v>
      </c>
      <c r="I152" s="14" t="s">
        <v>892</v>
      </c>
      <c r="J152" s="15" t="n">
        <f aca="false">IF(B152="SITE LOSS",IF(D152=C152,1,0),IF(B152="REGION LOSS",IF(E152=C152,1,0),0))</f>
        <v>0</v>
      </c>
      <c r="K152" s="15" t="n">
        <f aca="false">IF(B152="SITE LOSS",IF(COUNTIFS('Site Dockets'!$B$7:$B$24,C152,'Site Dockets'!$C$7:$C$24,F152)&gt;0,1,0),IF(B152="REGION LOSS",IF(COUNTIFS('Site Dockets'!$E$7:$E$24,C152,'Site Dockets'!$C$7:$C$24,F152)&gt;0,1,0),0))</f>
        <v>0</v>
      </c>
      <c r="L152" s="15" t="n">
        <f aca="false">IF(J152=1,0,Inputs!$B$11)</f>
        <v>100</v>
      </c>
      <c r="M152" s="15" t="n">
        <f aca="false">IF(J152=1,0,Inputs!$B$12)</f>
        <v>75</v>
      </c>
      <c r="N152" s="15" t="n">
        <f aca="false">IF(J152=1,0,IF(OR(AND(OR(B152="SITE LOSS",B152="REGION LOSS"),K152=1),AND(B152="ROLE COMPROMISE",H152=C152)),Inputs!$B$13,Inputs!$B$14))</f>
        <v>10</v>
      </c>
      <c r="O152" s="15" t="n">
        <f aca="false">IF(J152=1,0,Inputs!$B$13)</f>
        <v>20</v>
      </c>
      <c r="P152" s="15" t="n">
        <f aca="false">SUM(M152:N152)</f>
        <v>85</v>
      </c>
      <c r="Q152" s="15" t="n">
        <f aca="false">IF(J152=1,"",L152-P152)</f>
        <v>15</v>
      </c>
      <c r="R152" s="15" t="n">
        <f aca="false">IF(OR(J152=1,M152&lt;=Inputs!$B$12),1,0)</f>
        <v>1</v>
      </c>
      <c r="S152" s="15" t="n">
        <f aca="false">IF(OR(J152=1,N152&lt;=O152),1,0)</f>
        <v>1</v>
      </c>
      <c r="T152" s="15" t="str">
        <f aca="false">IF(J152=1,"OFFLINE",IF(AND(Q152&gt;=Inputs!$B$15,R152=1,S152=1,P152&lt;=L152),"PASS","FAIL"))</f>
        <v>PASS</v>
      </c>
    </row>
    <row r="153" customFormat="false" ht="15" hidden="false" customHeight="false" outlineLevel="0" collapsed="false">
      <c r="A153" s="14" t="s">
        <v>1020</v>
      </c>
      <c r="B153" s="14" t="s">
        <v>1019</v>
      </c>
      <c r="C153" s="14" t="s">
        <v>156</v>
      </c>
      <c r="D153" s="14" t="s">
        <v>174</v>
      </c>
      <c r="E153" s="14" t="s">
        <v>152</v>
      </c>
      <c r="F153" s="14" t="s">
        <v>175</v>
      </c>
      <c r="G153" s="14" t="n">
        <v>1</v>
      </c>
      <c r="H153" s="14" t="s">
        <v>154</v>
      </c>
      <c r="I153" s="14" t="s">
        <v>811</v>
      </c>
      <c r="J153" s="15" t="n">
        <f aca="false">IF(B153="SITE LOSS",IF(D153=C153,1,0),IF(B153="REGION LOSS",IF(E153=C153,1,0),0))</f>
        <v>0</v>
      </c>
      <c r="K153" s="15" t="n">
        <f aca="false">IF(B153="SITE LOSS",IF(COUNTIFS('Site Dockets'!$B$7:$B$24,C153,'Site Dockets'!$C$7:$C$24,F153)&gt;0,1,0),IF(B153="REGION LOSS",IF(COUNTIFS('Site Dockets'!$E$7:$E$24,C153,'Site Dockets'!$C$7:$C$24,F153)&gt;0,1,0),0))</f>
        <v>0</v>
      </c>
      <c r="L153" s="15" t="n">
        <f aca="false">IF(J153=1,0,Inputs!$B$11)</f>
        <v>100</v>
      </c>
      <c r="M153" s="15" t="n">
        <f aca="false">IF(J153=1,0,Inputs!$B$12)</f>
        <v>75</v>
      </c>
      <c r="N153" s="15" t="n">
        <f aca="false">IF(J153=1,0,IF(OR(AND(OR(B153="SITE LOSS",B153="REGION LOSS"),K153=1),AND(B153="ROLE COMPROMISE",H153=C153)),Inputs!$B$13,Inputs!$B$14))</f>
        <v>10</v>
      </c>
      <c r="O153" s="15" t="n">
        <f aca="false">IF(J153=1,0,Inputs!$B$13)</f>
        <v>20</v>
      </c>
      <c r="P153" s="15" t="n">
        <f aca="false">SUM(M153:N153)</f>
        <v>85</v>
      </c>
      <c r="Q153" s="15" t="n">
        <f aca="false">IF(J153=1,"",L153-P153)</f>
        <v>15</v>
      </c>
      <c r="R153" s="15" t="n">
        <f aca="false">IF(OR(J153=1,M153&lt;=Inputs!$B$12),1,0)</f>
        <v>1</v>
      </c>
      <c r="S153" s="15" t="n">
        <f aca="false">IF(OR(J153=1,N153&lt;=O153),1,0)</f>
        <v>1</v>
      </c>
      <c r="T153" s="15" t="str">
        <f aca="false">IF(J153=1,"OFFLINE",IF(AND(Q153&gt;=Inputs!$B$15,R153=1,S153=1,P153&lt;=L153),"PASS","FAIL"))</f>
        <v>PASS</v>
      </c>
    </row>
    <row r="154" customFormat="false" ht="15" hidden="false" customHeight="false" outlineLevel="0" collapsed="false">
      <c r="A154" s="14" t="s">
        <v>1020</v>
      </c>
      <c r="B154" s="14" t="s">
        <v>1019</v>
      </c>
      <c r="C154" s="14" t="s">
        <v>156</v>
      </c>
      <c r="D154" s="14" t="s">
        <v>174</v>
      </c>
      <c r="E154" s="14" t="s">
        <v>152</v>
      </c>
      <c r="F154" s="14" t="s">
        <v>175</v>
      </c>
      <c r="G154" s="14" t="n">
        <v>1</v>
      </c>
      <c r="H154" s="14" t="s">
        <v>154</v>
      </c>
      <c r="I154" s="14" t="s">
        <v>895</v>
      </c>
      <c r="J154" s="15" t="n">
        <f aca="false">IF(B154="SITE LOSS",IF(D154=C154,1,0),IF(B154="REGION LOSS",IF(E154=C154,1,0),0))</f>
        <v>0</v>
      </c>
      <c r="K154" s="15" t="n">
        <f aca="false">IF(B154="SITE LOSS",IF(COUNTIFS('Site Dockets'!$B$7:$B$24,C154,'Site Dockets'!$C$7:$C$24,F154)&gt;0,1,0),IF(B154="REGION LOSS",IF(COUNTIFS('Site Dockets'!$E$7:$E$24,C154,'Site Dockets'!$C$7:$C$24,F154)&gt;0,1,0),0))</f>
        <v>0</v>
      </c>
      <c r="L154" s="15" t="n">
        <f aca="false">IF(J154=1,0,Inputs!$B$11)</f>
        <v>100</v>
      </c>
      <c r="M154" s="15" t="n">
        <f aca="false">IF(J154=1,0,Inputs!$B$12)</f>
        <v>75</v>
      </c>
      <c r="N154" s="15" t="n">
        <f aca="false">IF(J154=1,0,IF(OR(AND(OR(B154="SITE LOSS",B154="REGION LOSS"),K154=1),AND(B154="ROLE COMPROMISE",H154=C154)),Inputs!$B$13,Inputs!$B$14))</f>
        <v>10</v>
      </c>
      <c r="O154" s="15" t="n">
        <f aca="false">IF(J154=1,0,Inputs!$B$13)</f>
        <v>20</v>
      </c>
      <c r="P154" s="15" t="n">
        <f aca="false">SUM(M154:N154)</f>
        <v>85</v>
      </c>
      <c r="Q154" s="15" t="n">
        <f aca="false">IF(J154=1,"",L154-P154)</f>
        <v>15</v>
      </c>
      <c r="R154" s="15" t="n">
        <f aca="false">IF(OR(J154=1,M154&lt;=Inputs!$B$12),1,0)</f>
        <v>1</v>
      </c>
      <c r="S154" s="15" t="n">
        <f aca="false">IF(OR(J154=1,N154&lt;=O154),1,0)</f>
        <v>1</v>
      </c>
      <c r="T154" s="15" t="str">
        <f aca="false">IF(J154=1,"OFFLINE",IF(AND(Q154&gt;=Inputs!$B$15,R154=1,S154=1,P154&lt;=L154),"PASS","FAIL"))</f>
        <v>PASS</v>
      </c>
    </row>
    <row r="155" customFormat="false" ht="15" hidden="false" customHeight="false" outlineLevel="0" collapsed="false">
      <c r="A155" s="14" t="s">
        <v>1020</v>
      </c>
      <c r="B155" s="14" t="s">
        <v>1019</v>
      </c>
      <c r="C155" s="14" t="s">
        <v>156</v>
      </c>
      <c r="D155" s="14" t="s">
        <v>174</v>
      </c>
      <c r="E155" s="14" t="s">
        <v>152</v>
      </c>
      <c r="F155" s="14" t="s">
        <v>175</v>
      </c>
      <c r="G155" s="14" t="n">
        <v>1</v>
      </c>
      <c r="H155" s="14" t="s">
        <v>154</v>
      </c>
      <c r="I155" s="14" t="s">
        <v>897</v>
      </c>
      <c r="J155" s="15" t="n">
        <f aca="false">IF(B155="SITE LOSS",IF(D155=C155,1,0),IF(B155="REGION LOSS",IF(E155=C155,1,0),0))</f>
        <v>0</v>
      </c>
      <c r="K155" s="15" t="n">
        <f aca="false">IF(B155="SITE LOSS",IF(COUNTIFS('Site Dockets'!$B$7:$B$24,C155,'Site Dockets'!$C$7:$C$24,F155)&gt;0,1,0),IF(B155="REGION LOSS",IF(COUNTIFS('Site Dockets'!$E$7:$E$24,C155,'Site Dockets'!$C$7:$C$24,F155)&gt;0,1,0),0))</f>
        <v>0</v>
      </c>
      <c r="L155" s="15" t="n">
        <f aca="false">IF(J155=1,0,Inputs!$B$11)</f>
        <v>100</v>
      </c>
      <c r="M155" s="15" t="n">
        <f aca="false">IF(J155=1,0,Inputs!$B$12)</f>
        <v>75</v>
      </c>
      <c r="N155" s="15" t="n">
        <f aca="false">IF(J155=1,0,IF(OR(AND(OR(B155="SITE LOSS",B155="REGION LOSS"),K155=1),AND(B155="ROLE COMPROMISE",H155=C155)),Inputs!$B$13,Inputs!$B$14))</f>
        <v>10</v>
      </c>
      <c r="O155" s="15" t="n">
        <f aca="false">IF(J155=1,0,Inputs!$B$13)</f>
        <v>20</v>
      </c>
      <c r="P155" s="15" t="n">
        <f aca="false">SUM(M155:N155)</f>
        <v>85</v>
      </c>
      <c r="Q155" s="15" t="n">
        <f aca="false">IF(J155=1,"",L155-P155)</f>
        <v>15</v>
      </c>
      <c r="R155" s="15" t="n">
        <f aca="false">IF(OR(J155=1,M155&lt;=Inputs!$B$12),1,0)</f>
        <v>1</v>
      </c>
      <c r="S155" s="15" t="n">
        <f aca="false">IF(OR(J155=1,N155&lt;=O155),1,0)</f>
        <v>1</v>
      </c>
      <c r="T155" s="15" t="str">
        <f aca="false">IF(J155=1,"OFFLINE",IF(AND(Q155&gt;=Inputs!$B$15,R155=1,S155=1,P155&lt;=L155),"PASS","FAIL"))</f>
        <v>PASS</v>
      </c>
    </row>
    <row r="156" customFormat="false" ht="15" hidden="false" customHeight="false" outlineLevel="0" collapsed="false">
      <c r="A156" s="14" t="s">
        <v>1020</v>
      </c>
      <c r="B156" s="14" t="s">
        <v>1019</v>
      </c>
      <c r="C156" s="14" t="s">
        <v>156</v>
      </c>
      <c r="D156" s="14" t="s">
        <v>174</v>
      </c>
      <c r="E156" s="14" t="s">
        <v>152</v>
      </c>
      <c r="F156" s="14" t="s">
        <v>175</v>
      </c>
      <c r="G156" s="14" t="n">
        <v>1</v>
      </c>
      <c r="H156" s="14" t="s">
        <v>154</v>
      </c>
      <c r="I156" s="14" t="s">
        <v>899</v>
      </c>
      <c r="J156" s="15" t="n">
        <f aca="false">IF(B156="SITE LOSS",IF(D156=C156,1,0),IF(B156="REGION LOSS",IF(E156=C156,1,0),0))</f>
        <v>0</v>
      </c>
      <c r="K156" s="15" t="n">
        <f aca="false">IF(B156="SITE LOSS",IF(COUNTIFS('Site Dockets'!$B$7:$B$24,C156,'Site Dockets'!$C$7:$C$24,F156)&gt;0,1,0),IF(B156="REGION LOSS",IF(COUNTIFS('Site Dockets'!$E$7:$E$24,C156,'Site Dockets'!$C$7:$C$24,F156)&gt;0,1,0),0))</f>
        <v>0</v>
      </c>
      <c r="L156" s="15" t="n">
        <f aca="false">IF(J156=1,0,Inputs!$B$11)</f>
        <v>100</v>
      </c>
      <c r="M156" s="15" t="n">
        <f aca="false">IF(J156=1,0,Inputs!$B$12)</f>
        <v>75</v>
      </c>
      <c r="N156" s="15" t="n">
        <f aca="false">IF(J156=1,0,IF(OR(AND(OR(B156="SITE LOSS",B156="REGION LOSS"),K156=1),AND(B156="ROLE COMPROMISE",H156=C156)),Inputs!$B$13,Inputs!$B$14))</f>
        <v>10</v>
      </c>
      <c r="O156" s="15" t="n">
        <f aca="false">IF(J156=1,0,Inputs!$B$13)</f>
        <v>20</v>
      </c>
      <c r="P156" s="15" t="n">
        <f aca="false">SUM(M156:N156)</f>
        <v>85</v>
      </c>
      <c r="Q156" s="15" t="n">
        <f aca="false">IF(J156=1,"",L156-P156)</f>
        <v>15</v>
      </c>
      <c r="R156" s="15" t="n">
        <f aca="false">IF(OR(J156=1,M156&lt;=Inputs!$B$12),1,0)</f>
        <v>1</v>
      </c>
      <c r="S156" s="15" t="n">
        <f aca="false">IF(OR(J156=1,N156&lt;=O156),1,0)</f>
        <v>1</v>
      </c>
      <c r="T156" s="15" t="str">
        <f aca="false">IF(J156=1,"OFFLINE",IF(AND(Q156&gt;=Inputs!$B$15,R156=1,S156=1,P156&lt;=L156),"PASS","FAIL"))</f>
        <v>PASS</v>
      </c>
    </row>
    <row r="157" customFormat="false" ht="15" hidden="false" customHeight="false" outlineLevel="0" collapsed="false">
      <c r="A157" s="14" t="s">
        <v>1020</v>
      </c>
      <c r="B157" s="14" t="s">
        <v>1019</v>
      </c>
      <c r="C157" s="14" t="s">
        <v>156</v>
      </c>
      <c r="D157" s="14" t="s">
        <v>178</v>
      </c>
      <c r="E157" s="14" t="s">
        <v>169</v>
      </c>
      <c r="F157" s="14" t="s">
        <v>175</v>
      </c>
      <c r="G157" s="14" t="n">
        <v>2</v>
      </c>
      <c r="H157" s="14" t="s">
        <v>153</v>
      </c>
      <c r="I157" s="14" t="s">
        <v>890</v>
      </c>
      <c r="J157" s="15" t="n">
        <f aca="false">IF(B157="SITE LOSS",IF(D157=C157,1,0),IF(B157="REGION LOSS",IF(E157=C157,1,0),0))</f>
        <v>0</v>
      </c>
      <c r="K157" s="15" t="n">
        <f aca="false">IF(B157="SITE LOSS",IF(COUNTIFS('Site Dockets'!$B$7:$B$24,C157,'Site Dockets'!$C$7:$C$24,F157)&gt;0,1,0),IF(B157="REGION LOSS",IF(COUNTIFS('Site Dockets'!$E$7:$E$24,C157,'Site Dockets'!$C$7:$C$24,F157)&gt;0,1,0),0))</f>
        <v>0</v>
      </c>
      <c r="L157" s="15" t="n">
        <f aca="false">IF(J157=1,0,Inputs!$B$11)</f>
        <v>100</v>
      </c>
      <c r="M157" s="15" t="n">
        <f aca="false">IF(J157=1,0,Inputs!$B$12)</f>
        <v>75</v>
      </c>
      <c r="N157" s="15" t="n">
        <f aca="false">IF(J157=1,0,IF(OR(AND(OR(B157="SITE LOSS",B157="REGION LOSS"),K157=1),AND(B157="ROLE COMPROMISE",H157=C157)),Inputs!$B$13,Inputs!$B$14))</f>
        <v>10</v>
      </c>
      <c r="O157" s="15" t="n">
        <f aca="false">IF(J157=1,0,Inputs!$B$13)</f>
        <v>20</v>
      </c>
      <c r="P157" s="15" t="n">
        <f aca="false">SUM(M157:N157)</f>
        <v>85</v>
      </c>
      <c r="Q157" s="15" t="n">
        <f aca="false">IF(J157=1,"",L157-P157)</f>
        <v>15</v>
      </c>
      <c r="R157" s="15" t="n">
        <f aca="false">IF(OR(J157=1,M157&lt;=Inputs!$B$12),1,0)</f>
        <v>1</v>
      </c>
      <c r="S157" s="15" t="n">
        <f aca="false">IF(OR(J157=1,N157&lt;=O157),1,0)</f>
        <v>1</v>
      </c>
      <c r="T157" s="15" t="str">
        <f aca="false">IF(J157=1,"OFFLINE",IF(AND(Q157&gt;=Inputs!$B$15,R157=1,S157=1,P157&lt;=L157),"PASS","FAIL"))</f>
        <v>PASS</v>
      </c>
    </row>
    <row r="158" customFormat="false" ht="15" hidden="false" customHeight="false" outlineLevel="0" collapsed="false">
      <c r="A158" s="14" t="s">
        <v>1020</v>
      </c>
      <c r="B158" s="14" t="s">
        <v>1019</v>
      </c>
      <c r="C158" s="14" t="s">
        <v>156</v>
      </c>
      <c r="D158" s="14" t="s">
        <v>178</v>
      </c>
      <c r="E158" s="14" t="s">
        <v>169</v>
      </c>
      <c r="F158" s="14" t="s">
        <v>175</v>
      </c>
      <c r="G158" s="14" t="n">
        <v>2</v>
      </c>
      <c r="H158" s="14" t="s">
        <v>153</v>
      </c>
      <c r="I158" s="14" t="s">
        <v>892</v>
      </c>
      <c r="J158" s="15" t="n">
        <f aca="false">IF(B158="SITE LOSS",IF(D158=C158,1,0),IF(B158="REGION LOSS",IF(E158=C158,1,0),0))</f>
        <v>0</v>
      </c>
      <c r="K158" s="15" t="n">
        <f aca="false">IF(B158="SITE LOSS",IF(COUNTIFS('Site Dockets'!$B$7:$B$24,C158,'Site Dockets'!$C$7:$C$24,F158)&gt;0,1,0),IF(B158="REGION LOSS",IF(COUNTIFS('Site Dockets'!$E$7:$E$24,C158,'Site Dockets'!$C$7:$C$24,F158)&gt;0,1,0),0))</f>
        <v>0</v>
      </c>
      <c r="L158" s="15" t="n">
        <f aca="false">IF(J158=1,0,Inputs!$B$11)</f>
        <v>100</v>
      </c>
      <c r="M158" s="15" t="n">
        <f aca="false">IF(J158=1,0,Inputs!$B$12)</f>
        <v>75</v>
      </c>
      <c r="N158" s="15" t="n">
        <f aca="false">IF(J158=1,0,IF(OR(AND(OR(B158="SITE LOSS",B158="REGION LOSS"),K158=1),AND(B158="ROLE COMPROMISE",H158=C158)),Inputs!$B$13,Inputs!$B$14))</f>
        <v>10</v>
      </c>
      <c r="O158" s="15" t="n">
        <f aca="false">IF(J158=1,0,Inputs!$B$13)</f>
        <v>20</v>
      </c>
      <c r="P158" s="15" t="n">
        <f aca="false">SUM(M158:N158)</f>
        <v>85</v>
      </c>
      <c r="Q158" s="15" t="n">
        <f aca="false">IF(J158=1,"",L158-P158)</f>
        <v>15</v>
      </c>
      <c r="R158" s="15" t="n">
        <f aca="false">IF(OR(J158=1,M158&lt;=Inputs!$B$12),1,0)</f>
        <v>1</v>
      </c>
      <c r="S158" s="15" t="n">
        <f aca="false">IF(OR(J158=1,N158&lt;=O158),1,0)</f>
        <v>1</v>
      </c>
      <c r="T158" s="15" t="str">
        <f aca="false">IF(J158=1,"OFFLINE",IF(AND(Q158&gt;=Inputs!$B$15,R158=1,S158=1,P158&lt;=L158),"PASS","FAIL"))</f>
        <v>PASS</v>
      </c>
    </row>
    <row r="159" customFormat="false" ht="15" hidden="false" customHeight="false" outlineLevel="0" collapsed="false">
      <c r="A159" s="14" t="s">
        <v>1020</v>
      </c>
      <c r="B159" s="14" t="s">
        <v>1019</v>
      </c>
      <c r="C159" s="14" t="s">
        <v>156</v>
      </c>
      <c r="D159" s="14" t="s">
        <v>178</v>
      </c>
      <c r="E159" s="14" t="s">
        <v>169</v>
      </c>
      <c r="F159" s="14" t="s">
        <v>175</v>
      </c>
      <c r="G159" s="14" t="n">
        <v>2</v>
      </c>
      <c r="H159" s="14" t="s">
        <v>153</v>
      </c>
      <c r="I159" s="14" t="s">
        <v>811</v>
      </c>
      <c r="J159" s="15" t="n">
        <f aca="false">IF(B159="SITE LOSS",IF(D159=C159,1,0),IF(B159="REGION LOSS",IF(E159=C159,1,0),0))</f>
        <v>0</v>
      </c>
      <c r="K159" s="15" t="n">
        <f aca="false">IF(B159="SITE LOSS",IF(COUNTIFS('Site Dockets'!$B$7:$B$24,C159,'Site Dockets'!$C$7:$C$24,F159)&gt;0,1,0),IF(B159="REGION LOSS",IF(COUNTIFS('Site Dockets'!$E$7:$E$24,C159,'Site Dockets'!$C$7:$C$24,F159)&gt;0,1,0),0))</f>
        <v>0</v>
      </c>
      <c r="L159" s="15" t="n">
        <f aca="false">IF(J159=1,0,Inputs!$B$11)</f>
        <v>100</v>
      </c>
      <c r="M159" s="15" t="n">
        <f aca="false">IF(J159=1,0,Inputs!$B$12)</f>
        <v>75</v>
      </c>
      <c r="N159" s="15" t="n">
        <f aca="false">IF(J159=1,0,IF(OR(AND(OR(B159="SITE LOSS",B159="REGION LOSS"),K159=1),AND(B159="ROLE COMPROMISE",H159=C159)),Inputs!$B$13,Inputs!$B$14))</f>
        <v>10</v>
      </c>
      <c r="O159" s="15" t="n">
        <f aca="false">IF(J159=1,0,Inputs!$B$13)</f>
        <v>20</v>
      </c>
      <c r="P159" s="15" t="n">
        <f aca="false">SUM(M159:N159)</f>
        <v>85</v>
      </c>
      <c r="Q159" s="15" t="n">
        <f aca="false">IF(J159=1,"",L159-P159)</f>
        <v>15</v>
      </c>
      <c r="R159" s="15" t="n">
        <f aca="false">IF(OR(J159=1,M159&lt;=Inputs!$B$12),1,0)</f>
        <v>1</v>
      </c>
      <c r="S159" s="15" t="n">
        <f aca="false">IF(OR(J159=1,N159&lt;=O159),1,0)</f>
        <v>1</v>
      </c>
      <c r="T159" s="15" t="str">
        <f aca="false">IF(J159=1,"OFFLINE",IF(AND(Q159&gt;=Inputs!$B$15,R159=1,S159=1,P159&lt;=L159),"PASS","FAIL"))</f>
        <v>PASS</v>
      </c>
    </row>
    <row r="160" customFormat="false" ht="15" hidden="false" customHeight="false" outlineLevel="0" collapsed="false">
      <c r="A160" s="14" t="s">
        <v>1020</v>
      </c>
      <c r="B160" s="14" t="s">
        <v>1019</v>
      </c>
      <c r="C160" s="14" t="s">
        <v>156</v>
      </c>
      <c r="D160" s="14" t="s">
        <v>178</v>
      </c>
      <c r="E160" s="14" t="s">
        <v>169</v>
      </c>
      <c r="F160" s="14" t="s">
        <v>175</v>
      </c>
      <c r="G160" s="14" t="n">
        <v>2</v>
      </c>
      <c r="H160" s="14" t="s">
        <v>153</v>
      </c>
      <c r="I160" s="14" t="s">
        <v>895</v>
      </c>
      <c r="J160" s="15" t="n">
        <f aca="false">IF(B160="SITE LOSS",IF(D160=C160,1,0),IF(B160="REGION LOSS",IF(E160=C160,1,0),0))</f>
        <v>0</v>
      </c>
      <c r="K160" s="15" t="n">
        <f aca="false">IF(B160="SITE LOSS",IF(COUNTIFS('Site Dockets'!$B$7:$B$24,C160,'Site Dockets'!$C$7:$C$24,F160)&gt;0,1,0),IF(B160="REGION LOSS",IF(COUNTIFS('Site Dockets'!$E$7:$E$24,C160,'Site Dockets'!$C$7:$C$24,F160)&gt;0,1,0),0))</f>
        <v>0</v>
      </c>
      <c r="L160" s="15" t="n">
        <f aca="false">IF(J160=1,0,Inputs!$B$11)</f>
        <v>100</v>
      </c>
      <c r="M160" s="15" t="n">
        <f aca="false">IF(J160=1,0,Inputs!$B$12)</f>
        <v>75</v>
      </c>
      <c r="N160" s="15" t="n">
        <f aca="false">IF(J160=1,0,IF(OR(AND(OR(B160="SITE LOSS",B160="REGION LOSS"),K160=1),AND(B160="ROLE COMPROMISE",H160=C160)),Inputs!$B$13,Inputs!$B$14))</f>
        <v>10</v>
      </c>
      <c r="O160" s="15" t="n">
        <f aca="false">IF(J160=1,0,Inputs!$B$13)</f>
        <v>20</v>
      </c>
      <c r="P160" s="15" t="n">
        <f aca="false">SUM(M160:N160)</f>
        <v>85</v>
      </c>
      <c r="Q160" s="15" t="n">
        <f aca="false">IF(J160=1,"",L160-P160)</f>
        <v>15</v>
      </c>
      <c r="R160" s="15" t="n">
        <f aca="false">IF(OR(J160=1,M160&lt;=Inputs!$B$12),1,0)</f>
        <v>1</v>
      </c>
      <c r="S160" s="15" t="n">
        <f aca="false">IF(OR(J160=1,N160&lt;=O160),1,0)</f>
        <v>1</v>
      </c>
      <c r="T160" s="15" t="str">
        <f aca="false">IF(J160=1,"OFFLINE",IF(AND(Q160&gt;=Inputs!$B$15,R160=1,S160=1,P160&lt;=L160),"PASS","FAIL"))</f>
        <v>PASS</v>
      </c>
    </row>
    <row r="161" customFormat="false" ht="15" hidden="false" customHeight="false" outlineLevel="0" collapsed="false">
      <c r="A161" s="14" t="s">
        <v>1020</v>
      </c>
      <c r="B161" s="14" t="s">
        <v>1019</v>
      </c>
      <c r="C161" s="14" t="s">
        <v>156</v>
      </c>
      <c r="D161" s="14" t="s">
        <v>178</v>
      </c>
      <c r="E161" s="14" t="s">
        <v>169</v>
      </c>
      <c r="F161" s="14" t="s">
        <v>175</v>
      </c>
      <c r="G161" s="14" t="n">
        <v>2</v>
      </c>
      <c r="H161" s="14" t="s">
        <v>153</v>
      </c>
      <c r="I161" s="14" t="s">
        <v>897</v>
      </c>
      <c r="J161" s="15" t="n">
        <f aca="false">IF(B161="SITE LOSS",IF(D161=C161,1,0),IF(B161="REGION LOSS",IF(E161=C161,1,0),0))</f>
        <v>0</v>
      </c>
      <c r="K161" s="15" t="n">
        <f aca="false">IF(B161="SITE LOSS",IF(COUNTIFS('Site Dockets'!$B$7:$B$24,C161,'Site Dockets'!$C$7:$C$24,F161)&gt;0,1,0),IF(B161="REGION LOSS",IF(COUNTIFS('Site Dockets'!$E$7:$E$24,C161,'Site Dockets'!$C$7:$C$24,F161)&gt;0,1,0),0))</f>
        <v>0</v>
      </c>
      <c r="L161" s="15" t="n">
        <f aca="false">IF(J161=1,0,Inputs!$B$11)</f>
        <v>100</v>
      </c>
      <c r="M161" s="15" t="n">
        <f aca="false">IF(J161=1,0,Inputs!$B$12)</f>
        <v>75</v>
      </c>
      <c r="N161" s="15" t="n">
        <f aca="false">IF(J161=1,0,IF(OR(AND(OR(B161="SITE LOSS",B161="REGION LOSS"),K161=1),AND(B161="ROLE COMPROMISE",H161=C161)),Inputs!$B$13,Inputs!$B$14))</f>
        <v>10</v>
      </c>
      <c r="O161" s="15" t="n">
        <f aca="false">IF(J161=1,0,Inputs!$B$13)</f>
        <v>20</v>
      </c>
      <c r="P161" s="15" t="n">
        <f aca="false">SUM(M161:N161)</f>
        <v>85</v>
      </c>
      <c r="Q161" s="15" t="n">
        <f aca="false">IF(J161=1,"",L161-P161)</f>
        <v>15</v>
      </c>
      <c r="R161" s="15" t="n">
        <f aca="false">IF(OR(J161=1,M161&lt;=Inputs!$B$12),1,0)</f>
        <v>1</v>
      </c>
      <c r="S161" s="15" t="n">
        <f aca="false">IF(OR(J161=1,N161&lt;=O161),1,0)</f>
        <v>1</v>
      </c>
      <c r="T161" s="15" t="str">
        <f aca="false">IF(J161=1,"OFFLINE",IF(AND(Q161&gt;=Inputs!$B$15,R161=1,S161=1,P161&lt;=L161),"PASS","FAIL"))</f>
        <v>PASS</v>
      </c>
    </row>
    <row r="162" customFormat="false" ht="15" hidden="false" customHeight="false" outlineLevel="0" collapsed="false">
      <c r="A162" s="14" t="s">
        <v>1020</v>
      </c>
      <c r="B162" s="14" t="s">
        <v>1019</v>
      </c>
      <c r="C162" s="14" t="s">
        <v>156</v>
      </c>
      <c r="D162" s="14" t="s">
        <v>178</v>
      </c>
      <c r="E162" s="14" t="s">
        <v>169</v>
      </c>
      <c r="F162" s="14" t="s">
        <v>175</v>
      </c>
      <c r="G162" s="14" t="n">
        <v>2</v>
      </c>
      <c r="H162" s="14" t="s">
        <v>153</v>
      </c>
      <c r="I162" s="14" t="s">
        <v>899</v>
      </c>
      <c r="J162" s="15" t="n">
        <f aca="false">IF(B162="SITE LOSS",IF(D162=C162,1,0),IF(B162="REGION LOSS",IF(E162=C162,1,0),0))</f>
        <v>0</v>
      </c>
      <c r="K162" s="15" t="n">
        <f aca="false">IF(B162="SITE LOSS",IF(COUNTIFS('Site Dockets'!$B$7:$B$24,C162,'Site Dockets'!$C$7:$C$24,F162)&gt;0,1,0),IF(B162="REGION LOSS",IF(COUNTIFS('Site Dockets'!$E$7:$E$24,C162,'Site Dockets'!$C$7:$C$24,F162)&gt;0,1,0),0))</f>
        <v>0</v>
      </c>
      <c r="L162" s="15" t="n">
        <f aca="false">IF(J162=1,0,Inputs!$B$11)</f>
        <v>100</v>
      </c>
      <c r="M162" s="15" t="n">
        <f aca="false">IF(J162=1,0,Inputs!$B$12)</f>
        <v>75</v>
      </c>
      <c r="N162" s="15" t="n">
        <f aca="false">IF(J162=1,0,IF(OR(AND(OR(B162="SITE LOSS",B162="REGION LOSS"),K162=1),AND(B162="ROLE COMPROMISE",H162=C162)),Inputs!$B$13,Inputs!$B$14))</f>
        <v>10</v>
      </c>
      <c r="O162" s="15" t="n">
        <f aca="false">IF(J162=1,0,Inputs!$B$13)</f>
        <v>20</v>
      </c>
      <c r="P162" s="15" t="n">
        <f aca="false">SUM(M162:N162)</f>
        <v>85</v>
      </c>
      <c r="Q162" s="15" t="n">
        <f aca="false">IF(J162=1,"",L162-P162)</f>
        <v>15</v>
      </c>
      <c r="R162" s="15" t="n">
        <f aca="false">IF(OR(J162=1,M162&lt;=Inputs!$B$12),1,0)</f>
        <v>1</v>
      </c>
      <c r="S162" s="15" t="n">
        <f aca="false">IF(OR(J162=1,N162&lt;=O162),1,0)</f>
        <v>1</v>
      </c>
      <c r="T162" s="15" t="str">
        <f aca="false">IF(J162=1,"OFFLINE",IF(AND(Q162&gt;=Inputs!$B$15,R162=1,S162=1,P162&lt;=L162),"PASS","FAIL"))</f>
        <v>PASS</v>
      </c>
    </row>
    <row r="163" customFormat="false" ht="15" hidden="false" customHeight="false" outlineLevel="0" collapsed="false">
      <c r="A163" s="14" t="s">
        <v>1020</v>
      </c>
      <c r="B163" s="14" t="s">
        <v>1019</v>
      </c>
      <c r="C163" s="14" t="s">
        <v>156</v>
      </c>
      <c r="D163" s="14" t="s">
        <v>180</v>
      </c>
      <c r="E163" s="14" t="s">
        <v>161</v>
      </c>
      <c r="F163" s="14" t="s">
        <v>175</v>
      </c>
      <c r="G163" s="14" t="n">
        <v>3</v>
      </c>
      <c r="H163" s="14" t="s">
        <v>158</v>
      </c>
      <c r="I163" s="14" t="s">
        <v>890</v>
      </c>
      <c r="J163" s="15" t="n">
        <f aca="false">IF(B163="SITE LOSS",IF(D163=C163,1,0),IF(B163="REGION LOSS",IF(E163=C163,1,0),0))</f>
        <v>0</v>
      </c>
      <c r="K163" s="15" t="n">
        <f aca="false">IF(B163="SITE LOSS",IF(COUNTIFS('Site Dockets'!$B$7:$B$24,C163,'Site Dockets'!$C$7:$C$24,F163)&gt;0,1,0),IF(B163="REGION LOSS",IF(COUNTIFS('Site Dockets'!$E$7:$E$24,C163,'Site Dockets'!$C$7:$C$24,F163)&gt;0,1,0),0))</f>
        <v>0</v>
      </c>
      <c r="L163" s="15" t="n">
        <f aca="false">IF(J163=1,0,Inputs!$B$11)</f>
        <v>100</v>
      </c>
      <c r="M163" s="15" t="n">
        <f aca="false">IF(J163=1,0,Inputs!$B$12)</f>
        <v>75</v>
      </c>
      <c r="N163" s="15" t="n">
        <f aca="false">IF(J163=1,0,IF(OR(AND(OR(B163="SITE LOSS",B163="REGION LOSS"),K163=1),AND(B163="ROLE COMPROMISE",H163=C163)),Inputs!$B$13,Inputs!$B$14))</f>
        <v>10</v>
      </c>
      <c r="O163" s="15" t="n">
        <f aca="false">IF(J163=1,0,Inputs!$B$13)</f>
        <v>20</v>
      </c>
      <c r="P163" s="15" t="n">
        <f aca="false">SUM(M163:N163)</f>
        <v>85</v>
      </c>
      <c r="Q163" s="15" t="n">
        <f aca="false">IF(J163=1,"",L163-P163)</f>
        <v>15</v>
      </c>
      <c r="R163" s="15" t="n">
        <f aca="false">IF(OR(J163=1,M163&lt;=Inputs!$B$12),1,0)</f>
        <v>1</v>
      </c>
      <c r="S163" s="15" t="n">
        <f aca="false">IF(OR(J163=1,N163&lt;=O163),1,0)</f>
        <v>1</v>
      </c>
      <c r="T163" s="15" t="str">
        <f aca="false">IF(J163=1,"OFFLINE",IF(AND(Q163&gt;=Inputs!$B$15,R163=1,S163=1,P163&lt;=L163),"PASS","FAIL"))</f>
        <v>PASS</v>
      </c>
    </row>
    <row r="164" customFormat="false" ht="15" hidden="false" customHeight="false" outlineLevel="0" collapsed="false">
      <c r="A164" s="14" t="s">
        <v>1020</v>
      </c>
      <c r="B164" s="14" t="s">
        <v>1019</v>
      </c>
      <c r="C164" s="14" t="s">
        <v>156</v>
      </c>
      <c r="D164" s="14" t="s">
        <v>180</v>
      </c>
      <c r="E164" s="14" t="s">
        <v>161</v>
      </c>
      <c r="F164" s="14" t="s">
        <v>175</v>
      </c>
      <c r="G164" s="14" t="n">
        <v>3</v>
      </c>
      <c r="H164" s="14" t="s">
        <v>158</v>
      </c>
      <c r="I164" s="14" t="s">
        <v>892</v>
      </c>
      <c r="J164" s="15" t="n">
        <f aca="false">IF(B164="SITE LOSS",IF(D164=C164,1,0),IF(B164="REGION LOSS",IF(E164=C164,1,0),0))</f>
        <v>0</v>
      </c>
      <c r="K164" s="15" t="n">
        <f aca="false">IF(B164="SITE LOSS",IF(COUNTIFS('Site Dockets'!$B$7:$B$24,C164,'Site Dockets'!$C$7:$C$24,F164)&gt;0,1,0),IF(B164="REGION LOSS",IF(COUNTIFS('Site Dockets'!$E$7:$E$24,C164,'Site Dockets'!$C$7:$C$24,F164)&gt;0,1,0),0))</f>
        <v>0</v>
      </c>
      <c r="L164" s="15" t="n">
        <f aca="false">IF(J164=1,0,Inputs!$B$11)</f>
        <v>100</v>
      </c>
      <c r="M164" s="15" t="n">
        <f aca="false">IF(J164=1,0,Inputs!$B$12)</f>
        <v>75</v>
      </c>
      <c r="N164" s="15" t="n">
        <f aca="false">IF(J164=1,0,IF(OR(AND(OR(B164="SITE LOSS",B164="REGION LOSS"),K164=1),AND(B164="ROLE COMPROMISE",H164=C164)),Inputs!$B$13,Inputs!$B$14))</f>
        <v>10</v>
      </c>
      <c r="O164" s="15" t="n">
        <f aca="false">IF(J164=1,0,Inputs!$B$13)</f>
        <v>20</v>
      </c>
      <c r="P164" s="15" t="n">
        <f aca="false">SUM(M164:N164)</f>
        <v>85</v>
      </c>
      <c r="Q164" s="15" t="n">
        <f aca="false">IF(J164=1,"",L164-P164)</f>
        <v>15</v>
      </c>
      <c r="R164" s="15" t="n">
        <f aca="false">IF(OR(J164=1,M164&lt;=Inputs!$B$12),1,0)</f>
        <v>1</v>
      </c>
      <c r="S164" s="15" t="n">
        <f aca="false">IF(OR(J164=1,N164&lt;=O164),1,0)</f>
        <v>1</v>
      </c>
      <c r="T164" s="15" t="str">
        <f aca="false">IF(J164=1,"OFFLINE",IF(AND(Q164&gt;=Inputs!$B$15,R164=1,S164=1,P164&lt;=L164),"PASS","FAIL"))</f>
        <v>PASS</v>
      </c>
    </row>
    <row r="165" customFormat="false" ht="15" hidden="false" customHeight="false" outlineLevel="0" collapsed="false">
      <c r="A165" s="14" t="s">
        <v>1020</v>
      </c>
      <c r="B165" s="14" t="s">
        <v>1019</v>
      </c>
      <c r="C165" s="14" t="s">
        <v>156</v>
      </c>
      <c r="D165" s="14" t="s">
        <v>180</v>
      </c>
      <c r="E165" s="14" t="s">
        <v>161</v>
      </c>
      <c r="F165" s="14" t="s">
        <v>175</v>
      </c>
      <c r="G165" s="14" t="n">
        <v>3</v>
      </c>
      <c r="H165" s="14" t="s">
        <v>158</v>
      </c>
      <c r="I165" s="14" t="s">
        <v>811</v>
      </c>
      <c r="J165" s="15" t="n">
        <f aca="false">IF(B165="SITE LOSS",IF(D165=C165,1,0),IF(B165="REGION LOSS",IF(E165=C165,1,0),0))</f>
        <v>0</v>
      </c>
      <c r="K165" s="15" t="n">
        <f aca="false">IF(B165="SITE LOSS",IF(COUNTIFS('Site Dockets'!$B$7:$B$24,C165,'Site Dockets'!$C$7:$C$24,F165)&gt;0,1,0),IF(B165="REGION LOSS",IF(COUNTIFS('Site Dockets'!$E$7:$E$24,C165,'Site Dockets'!$C$7:$C$24,F165)&gt;0,1,0),0))</f>
        <v>0</v>
      </c>
      <c r="L165" s="15" t="n">
        <f aca="false">IF(J165=1,0,Inputs!$B$11)</f>
        <v>100</v>
      </c>
      <c r="M165" s="15" t="n">
        <f aca="false">IF(J165=1,0,Inputs!$B$12)</f>
        <v>75</v>
      </c>
      <c r="N165" s="15" t="n">
        <f aca="false">IF(J165=1,0,IF(OR(AND(OR(B165="SITE LOSS",B165="REGION LOSS"),K165=1),AND(B165="ROLE COMPROMISE",H165=C165)),Inputs!$B$13,Inputs!$B$14))</f>
        <v>10</v>
      </c>
      <c r="O165" s="15" t="n">
        <f aca="false">IF(J165=1,0,Inputs!$B$13)</f>
        <v>20</v>
      </c>
      <c r="P165" s="15" t="n">
        <f aca="false">SUM(M165:N165)</f>
        <v>85</v>
      </c>
      <c r="Q165" s="15" t="n">
        <f aca="false">IF(J165=1,"",L165-P165)</f>
        <v>15</v>
      </c>
      <c r="R165" s="15" t="n">
        <f aca="false">IF(OR(J165=1,M165&lt;=Inputs!$B$12),1,0)</f>
        <v>1</v>
      </c>
      <c r="S165" s="15" t="n">
        <f aca="false">IF(OR(J165=1,N165&lt;=O165),1,0)</f>
        <v>1</v>
      </c>
      <c r="T165" s="15" t="str">
        <f aca="false">IF(J165=1,"OFFLINE",IF(AND(Q165&gt;=Inputs!$B$15,R165=1,S165=1,P165&lt;=L165),"PASS","FAIL"))</f>
        <v>PASS</v>
      </c>
    </row>
    <row r="166" customFormat="false" ht="15" hidden="false" customHeight="false" outlineLevel="0" collapsed="false">
      <c r="A166" s="14" t="s">
        <v>1020</v>
      </c>
      <c r="B166" s="14" t="s">
        <v>1019</v>
      </c>
      <c r="C166" s="14" t="s">
        <v>156</v>
      </c>
      <c r="D166" s="14" t="s">
        <v>180</v>
      </c>
      <c r="E166" s="14" t="s">
        <v>161</v>
      </c>
      <c r="F166" s="14" t="s">
        <v>175</v>
      </c>
      <c r="G166" s="14" t="n">
        <v>3</v>
      </c>
      <c r="H166" s="14" t="s">
        <v>158</v>
      </c>
      <c r="I166" s="14" t="s">
        <v>895</v>
      </c>
      <c r="J166" s="15" t="n">
        <f aca="false">IF(B166="SITE LOSS",IF(D166=C166,1,0),IF(B166="REGION LOSS",IF(E166=C166,1,0),0))</f>
        <v>0</v>
      </c>
      <c r="K166" s="15" t="n">
        <f aca="false">IF(B166="SITE LOSS",IF(COUNTIFS('Site Dockets'!$B$7:$B$24,C166,'Site Dockets'!$C$7:$C$24,F166)&gt;0,1,0),IF(B166="REGION LOSS",IF(COUNTIFS('Site Dockets'!$E$7:$E$24,C166,'Site Dockets'!$C$7:$C$24,F166)&gt;0,1,0),0))</f>
        <v>0</v>
      </c>
      <c r="L166" s="15" t="n">
        <f aca="false">IF(J166=1,0,Inputs!$B$11)</f>
        <v>100</v>
      </c>
      <c r="M166" s="15" t="n">
        <f aca="false">IF(J166=1,0,Inputs!$B$12)</f>
        <v>75</v>
      </c>
      <c r="N166" s="15" t="n">
        <f aca="false">IF(J166=1,0,IF(OR(AND(OR(B166="SITE LOSS",B166="REGION LOSS"),K166=1),AND(B166="ROLE COMPROMISE",H166=C166)),Inputs!$B$13,Inputs!$B$14))</f>
        <v>10</v>
      </c>
      <c r="O166" s="15" t="n">
        <f aca="false">IF(J166=1,0,Inputs!$B$13)</f>
        <v>20</v>
      </c>
      <c r="P166" s="15" t="n">
        <f aca="false">SUM(M166:N166)</f>
        <v>85</v>
      </c>
      <c r="Q166" s="15" t="n">
        <f aca="false">IF(J166=1,"",L166-P166)</f>
        <v>15</v>
      </c>
      <c r="R166" s="15" t="n">
        <f aca="false">IF(OR(J166=1,M166&lt;=Inputs!$B$12),1,0)</f>
        <v>1</v>
      </c>
      <c r="S166" s="15" t="n">
        <f aca="false">IF(OR(J166=1,N166&lt;=O166),1,0)</f>
        <v>1</v>
      </c>
      <c r="T166" s="15" t="str">
        <f aca="false">IF(J166=1,"OFFLINE",IF(AND(Q166&gt;=Inputs!$B$15,R166=1,S166=1,P166&lt;=L166),"PASS","FAIL"))</f>
        <v>PASS</v>
      </c>
    </row>
    <row r="167" customFormat="false" ht="15" hidden="false" customHeight="false" outlineLevel="0" collapsed="false">
      <c r="A167" s="14" t="s">
        <v>1020</v>
      </c>
      <c r="B167" s="14" t="s">
        <v>1019</v>
      </c>
      <c r="C167" s="14" t="s">
        <v>156</v>
      </c>
      <c r="D167" s="14" t="s">
        <v>180</v>
      </c>
      <c r="E167" s="14" t="s">
        <v>161</v>
      </c>
      <c r="F167" s="14" t="s">
        <v>175</v>
      </c>
      <c r="G167" s="14" t="n">
        <v>3</v>
      </c>
      <c r="H167" s="14" t="s">
        <v>158</v>
      </c>
      <c r="I167" s="14" t="s">
        <v>897</v>
      </c>
      <c r="J167" s="15" t="n">
        <f aca="false">IF(B167="SITE LOSS",IF(D167=C167,1,0),IF(B167="REGION LOSS",IF(E167=C167,1,0),0))</f>
        <v>0</v>
      </c>
      <c r="K167" s="15" t="n">
        <f aca="false">IF(B167="SITE LOSS",IF(COUNTIFS('Site Dockets'!$B$7:$B$24,C167,'Site Dockets'!$C$7:$C$24,F167)&gt;0,1,0),IF(B167="REGION LOSS",IF(COUNTIFS('Site Dockets'!$E$7:$E$24,C167,'Site Dockets'!$C$7:$C$24,F167)&gt;0,1,0),0))</f>
        <v>0</v>
      </c>
      <c r="L167" s="15" t="n">
        <f aca="false">IF(J167=1,0,Inputs!$B$11)</f>
        <v>100</v>
      </c>
      <c r="M167" s="15" t="n">
        <f aca="false">IF(J167=1,0,Inputs!$B$12)</f>
        <v>75</v>
      </c>
      <c r="N167" s="15" t="n">
        <f aca="false">IF(J167=1,0,IF(OR(AND(OR(B167="SITE LOSS",B167="REGION LOSS"),K167=1),AND(B167="ROLE COMPROMISE",H167=C167)),Inputs!$B$13,Inputs!$B$14))</f>
        <v>10</v>
      </c>
      <c r="O167" s="15" t="n">
        <f aca="false">IF(J167=1,0,Inputs!$B$13)</f>
        <v>20</v>
      </c>
      <c r="P167" s="15" t="n">
        <f aca="false">SUM(M167:N167)</f>
        <v>85</v>
      </c>
      <c r="Q167" s="15" t="n">
        <f aca="false">IF(J167=1,"",L167-P167)</f>
        <v>15</v>
      </c>
      <c r="R167" s="15" t="n">
        <f aca="false">IF(OR(J167=1,M167&lt;=Inputs!$B$12),1,0)</f>
        <v>1</v>
      </c>
      <c r="S167" s="15" t="n">
        <f aca="false">IF(OR(J167=1,N167&lt;=O167),1,0)</f>
        <v>1</v>
      </c>
      <c r="T167" s="15" t="str">
        <f aca="false">IF(J167=1,"OFFLINE",IF(AND(Q167&gt;=Inputs!$B$15,R167=1,S167=1,P167&lt;=L167),"PASS","FAIL"))</f>
        <v>PASS</v>
      </c>
    </row>
    <row r="168" customFormat="false" ht="15" hidden="false" customHeight="false" outlineLevel="0" collapsed="false">
      <c r="A168" s="14" t="s">
        <v>1020</v>
      </c>
      <c r="B168" s="14" t="s">
        <v>1019</v>
      </c>
      <c r="C168" s="14" t="s">
        <v>156</v>
      </c>
      <c r="D168" s="14" t="s">
        <v>180</v>
      </c>
      <c r="E168" s="14" t="s">
        <v>161</v>
      </c>
      <c r="F168" s="14" t="s">
        <v>175</v>
      </c>
      <c r="G168" s="14" t="n">
        <v>3</v>
      </c>
      <c r="H168" s="14" t="s">
        <v>158</v>
      </c>
      <c r="I168" s="14" t="s">
        <v>899</v>
      </c>
      <c r="J168" s="15" t="n">
        <f aca="false">IF(B168="SITE LOSS",IF(D168=C168,1,0),IF(B168="REGION LOSS",IF(E168=C168,1,0),0))</f>
        <v>0</v>
      </c>
      <c r="K168" s="15" t="n">
        <f aca="false">IF(B168="SITE LOSS",IF(COUNTIFS('Site Dockets'!$B$7:$B$24,C168,'Site Dockets'!$C$7:$C$24,F168)&gt;0,1,0),IF(B168="REGION LOSS",IF(COUNTIFS('Site Dockets'!$E$7:$E$24,C168,'Site Dockets'!$C$7:$C$24,F168)&gt;0,1,0),0))</f>
        <v>0</v>
      </c>
      <c r="L168" s="15" t="n">
        <f aca="false">IF(J168=1,0,Inputs!$B$11)</f>
        <v>100</v>
      </c>
      <c r="M168" s="15" t="n">
        <f aca="false">IF(J168=1,0,Inputs!$B$12)</f>
        <v>75</v>
      </c>
      <c r="N168" s="15" t="n">
        <f aca="false">IF(J168=1,0,IF(OR(AND(OR(B168="SITE LOSS",B168="REGION LOSS"),K168=1),AND(B168="ROLE COMPROMISE",H168=C168)),Inputs!$B$13,Inputs!$B$14))</f>
        <v>10</v>
      </c>
      <c r="O168" s="15" t="n">
        <f aca="false">IF(J168=1,0,Inputs!$B$13)</f>
        <v>20</v>
      </c>
      <c r="P168" s="15" t="n">
        <f aca="false">SUM(M168:N168)</f>
        <v>85</v>
      </c>
      <c r="Q168" s="15" t="n">
        <f aca="false">IF(J168=1,"",L168-P168)</f>
        <v>15</v>
      </c>
      <c r="R168" s="15" t="n">
        <f aca="false">IF(OR(J168=1,M168&lt;=Inputs!$B$12),1,0)</f>
        <v>1</v>
      </c>
      <c r="S168" s="15" t="n">
        <f aca="false">IF(OR(J168=1,N168&lt;=O168),1,0)</f>
        <v>1</v>
      </c>
      <c r="T168" s="15" t="str">
        <f aca="false">IF(J168=1,"OFFLINE",IF(AND(Q168&gt;=Inputs!$B$15,R168=1,S168=1,P168&lt;=L168),"PASS","FAIL"))</f>
        <v>PASS</v>
      </c>
    </row>
    <row r="169" customFormat="false" ht="15" hidden="false" customHeight="false" outlineLevel="0" collapsed="false">
      <c r="A169" s="14" t="s">
        <v>1020</v>
      </c>
      <c r="B169" s="14" t="s">
        <v>1019</v>
      </c>
      <c r="C169" s="14" t="s">
        <v>156</v>
      </c>
      <c r="D169" s="14" t="s">
        <v>182</v>
      </c>
      <c r="E169" s="14" t="s">
        <v>166</v>
      </c>
      <c r="F169" s="14" t="s">
        <v>183</v>
      </c>
      <c r="G169" s="14" t="n">
        <v>1</v>
      </c>
      <c r="H169" s="14" t="s">
        <v>154</v>
      </c>
      <c r="I169" s="14" t="s">
        <v>890</v>
      </c>
      <c r="J169" s="15" t="n">
        <f aca="false">IF(B169="SITE LOSS",IF(D169=C169,1,0),IF(B169="REGION LOSS",IF(E169=C169,1,0),0))</f>
        <v>0</v>
      </c>
      <c r="K169" s="15" t="n">
        <f aca="false">IF(B169="SITE LOSS",IF(COUNTIFS('Site Dockets'!$B$7:$B$24,C169,'Site Dockets'!$C$7:$C$24,F169)&gt;0,1,0),IF(B169="REGION LOSS",IF(COUNTIFS('Site Dockets'!$E$7:$E$24,C169,'Site Dockets'!$C$7:$C$24,F169)&gt;0,1,0),0))</f>
        <v>0</v>
      </c>
      <c r="L169" s="15" t="n">
        <f aca="false">IF(J169=1,0,Inputs!$B$11)</f>
        <v>100</v>
      </c>
      <c r="M169" s="15" t="n">
        <f aca="false">IF(J169=1,0,Inputs!$B$12)</f>
        <v>75</v>
      </c>
      <c r="N169" s="15" t="n">
        <f aca="false">IF(J169=1,0,IF(OR(AND(OR(B169="SITE LOSS",B169="REGION LOSS"),K169=1),AND(B169="ROLE COMPROMISE",H169=C169)),Inputs!$B$13,Inputs!$B$14))</f>
        <v>10</v>
      </c>
      <c r="O169" s="15" t="n">
        <f aca="false">IF(J169=1,0,Inputs!$B$13)</f>
        <v>20</v>
      </c>
      <c r="P169" s="15" t="n">
        <f aca="false">SUM(M169:N169)</f>
        <v>85</v>
      </c>
      <c r="Q169" s="15" t="n">
        <f aca="false">IF(J169=1,"",L169-P169)</f>
        <v>15</v>
      </c>
      <c r="R169" s="15" t="n">
        <f aca="false">IF(OR(J169=1,M169&lt;=Inputs!$B$12),1,0)</f>
        <v>1</v>
      </c>
      <c r="S169" s="15" t="n">
        <f aca="false">IF(OR(J169=1,N169&lt;=O169),1,0)</f>
        <v>1</v>
      </c>
      <c r="T169" s="15" t="str">
        <f aca="false">IF(J169=1,"OFFLINE",IF(AND(Q169&gt;=Inputs!$B$15,R169=1,S169=1,P169&lt;=L169),"PASS","FAIL"))</f>
        <v>PASS</v>
      </c>
    </row>
    <row r="170" customFormat="false" ht="15" hidden="false" customHeight="false" outlineLevel="0" collapsed="false">
      <c r="A170" s="14" t="s">
        <v>1020</v>
      </c>
      <c r="B170" s="14" t="s">
        <v>1019</v>
      </c>
      <c r="C170" s="14" t="s">
        <v>156</v>
      </c>
      <c r="D170" s="14" t="s">
        <v>182</v>
      </c>
      <c r="E170" s="14" t="s">
        <v>166</v>
      </c>
      <c r="F170" s="14" t="s">
        <v>183</v>
      </c>
      <c r="G170" s="14" t="n">
        <v>1</v>
      </c>
      <c r="H170" s="14" t="s">
        <v>154</v>
      </c>
      <c r="I170" s="14" t="s">
        <v>892</v>
      </c>
      <c r="J170" s="15" t="n">
        <f aca="false">IF(B170="SITE LOSS",IF(D170=C170,1,0),IF(B170="REGION LOSS",IF(E170=C170,1,0),0))</f>
        <v>0</v>
      </c>
      <c r="K170" s="15" t="n">
        <f aca="false">IF(B170="SITE LOSS",IF(COUNTIFS('Site Dockets'!$B$7:$B$24,C170,'Site Dockets'!$C$7:$C$24,F170)&gt;0,1,0),IF(B170="REGION LOSS",IF(COUNTIFS('Site Dockets'!$E$7:$E$24,C170,'Site Dockets'!$C$7:$C$24,F170)&gt;0,1,0),0))</f>
        <v>0</v>
      </c>
      <c r="L170" s="15" t="n">
        <f aca="false">IF(J170=1,0,Inputs!$B$11)</f>
        <v>100</v>
      </c>
      <c r="M170" s="15" t="n">
        <f aca="false">IF(J170=1,0,Inputs!$B$12)</f>
        <v>75</v>
      </c>
      <c r="N170" s="15" t="n">
        <f aca="false">IF(J170=1,0,IF(OR(AND(OR(B170="SITE LOSS",B170="REGION LOSS"),K170=1),AND(B170="ROLE COMPROMISE",H170=C170)),Inputs!$B$13,Inputs!$B$14))</f>
        <v>10</v>
      </c>
      <c r="O170" s="15" t="n">
        <f aca="false">IF(J170=1,0,Inputs!$B$13)</f>
        <v>20</v>
      </c>
      <c r="P170" s="15" t="n">
        <f aca="false">SUM(M170:N170)</f>
        <v>85</v>
      </c>
      <c r="Q170" s="15" t="n">
        <f aca="false">IF(J170=1,"",L170-P170)</f>
        <v>15</v>
      </c>
      <c r="R170" s="15" t="n">
        <f aca="false">IF(OR(J170=1,M170&lt;=Inputs!$B$12),1,0)</f>
        <v>1</v>
      </c>
      <c r="S170" s="15" t="n">
        <f aca="false">IF(OR(J170=1,N170&lt;=O170),1,0)</f>
        <v>1</v>
      </c>
      <c r="T170" s="15" t="str">
        <f aca="false">IF(J170=1,"OFFLINE",IF(AND(Q170&gt;=Inputs!$B$15,R170=1,S170=1,P170&lt;=L170),"PASS","FAIL"))</f>
        <v>PASS</v>
      </c>
    </row>
    <row r="171" customFormat="false" ht="15" hidden="false" customHeight="false" outlineLevel="0" collapsed="false">
      <c r="A171" s="14" t="s">
        <v>1020</v>
      </c>
      <c r="B171" s="14" t="s">
        <v>1019</v>
      </c>
      <c r="C171" s="14" t="s">
        <v>156</v>
      </c>
      <c r="D171" s="14" t="s">
        <v>182</v>
      </c>
      <c r="E171" s="14" t="s">
        <v>166</v>
      </c>
      <c r="F171" s="14" t="s">
        <v>183</v>
      </c>
      <c r="G171" s="14" t="n">
        <v>1</v>
      </c>
      <c r="H171" s="14" t="s">
        <v>154</v>
      </c>
      <c r="I171" s="14" t="s">
        <v>811</v>
      </c>
      <c r="J171" s="15" t="n">
        <f aca="false">IF(B171="SITE LOSS",IF(D171=C171,1,0),IF(B171="REGION LOSS",IF(E171=C171,1,0),0))</f>
        <v>0</v>
      </c>
      <c r="K171" s="15" t="n">
        <f aca="false">IF(B171="SITE LOSS",IF(COUNTIFS('Site Dockets'!$B$7:$B$24,C171,'Site Dockets'!$C$7:$C$24,F171)&gt;0,1,0),IF(B171="REGION LOSS",IF(COUNTIFS('Site Dockets'!$E$7:$E$24,C171,'Site Dockets'!$C$7:$C$24,F171)&gt;0,1,0),0))</f>
        <v>0</v>
      </c>
      <c r="L171" s="15" t="n">
        <f aca="false">IF(J171=1,0,Inputs!$B$11)</f>
        <v>100</v>
      </c>
      <c r="M171" s="15" t="n">
        <f aca="false">IF(J171=1,0,Inputs!$B$12)</f>
        <v>75</v>
      </c>
      <c r="N171" s="15" t="n">
        <f aca="false">IF(J171=1,0,IF(OR(AND(OR(B171="SITE LOSS",B171="REGION LOSS"),K171=1),AND(B171="ROLE COMPROMISE",H171=C171)),Inputs!$B$13,Inputs!$B$14))</f>
        <v>10</v>
      </c>
      <c r="O171" s="15" t="n">
        <f aca="false">IF(J171=1,0,Inputs!$B$13)</f>
        <v>20</v>
      </c>
      <c r="P171" s="15" t="n">
        <f aca="false">SUM(M171:N171)</f>
        <v>85</v>
      </c>
      <c r="Q171" s="15" t="n">
        <f aca="false">IF(J171=1,"",L171-P171)</f>
        <v>15</v>
      </c>
      <c r="R171" s="15" t="n">
        <f aca="false">IF(OR(J171=1,M171&lt;=Inputs!$B$12),1,0)</f>
        <v>1</v>
      </c>
      <c r="S171" s="15" t="n">
        <f aca="false">IF(OR(J171=1,N171&lt;=O171),1,0)</f>
        <v>1</v>
      </c>
      <c r="T171" s="15" t="str">
        <f aca="false">IF(J171=1,"OFFLINE",IF(AND(Q171&gt;=Inputs!$B$15,R171=1,S171=1,P171&lt;=L171),"PASS","FAIL"))</f>
        <v>PASS</v>
      </c>
    </row>
    <row r="172" customFormat="false" ht="15" hidden="false" customHeight="false" outlineLevel="0" collapsed="false">
      <c r="A172" s="14" t="s">
        <v>1020</v>
      </c>
      <c r="B172" s="14" t="s">
        <v>1019</v>
      </c>
      <c r="C172" s="14" t="s">
        <v>156</v>
      </c>
      <c r="D172" s="14" t="s">
        <v>182</v>
      </c>
      <c r="E172" s="14" t="s">
        <v>166</v>
      </c>
      <c r="F172" s="14" t="s">
        <v>183</v>
      </c>
      <c r="G172" s="14" t="n">
        <v>1</v>
      </c>
      <c r="H172" s="14" t="s">
        <v>154</v>
      </c>
      <c r="I172" s="14" t="s">
        <v>895</v>
      </c>
      <c r="J172" s="15" t="n">
        <f aca="false">IF(B172="SITE LOSS",IF(D172=C172,1,0),IF(B172="REGION LOSS",IF(E172=C172,1,0),0))</f>
        <v>0</v>
      </c>
      <c r="K172" s="15" t="n">
        <f aca="false">IF(B172="SITE LOSS",IF(COUNTIFS('Site Dockets'!$B$7:$B$24,C172,'Site Dockets'!$C$7:$C$24,F172)&gt;0,1,0),IF(B172="REGION LOSS",IF(COUNTIFS('Site Dockets'!$E$7:$E$24,C172,'Site Dockets'!$C$7:$C$24,F172)&gt;0,1,0),0))</f>
        <v>0</v>
      </c>
      <c r="L172" s="15" t="n">
        <f aca="false">IF(J172=1,0,Inputs!$B$11)</f>
        <v>100</v>
      </c>
      <c r="M172" s="15" t="n">
        <f aca="false">IF(J172=1,0,Inputs!$B$12)</f>
        <v>75</v>
      </c>
      <c r="N172" s="15" t="n">
        <f aca="false">IF(J172=1,0,IF(OR(AND(OR(B172="SITE LOSS",B172="REGION LOSS"),K172=1),AND(B172="ROLE COMPROMISE",H172=C172)),Inputs!$B$13,Inputs!$B$14))</f>
        <v>10</v>
      </c>
      <c r="O172" s="15" t="n">
        <f aca="false">IF(J172=1,0,Inputs!$B$13)</f>
        <v>20</v>
      </c>
      <c r="P172" s="15" t="n">
        <f aca="false">SUM(M172:N172)</f>
        <v>85</v>
      </c>
      <c r="Q172" s="15" t="n">
        <f aca="false">IF(J172=1,"",L172-P172)</f>
        <v>15</v>
      </c>
      <c r="R172" s="15" t="n">
        <f aca="false">IF(OR(J172=1,M172&lt;=Inputs!$B$12),1,0)</f>
        <v>1</v>
      </c>
      <c r="S172" s="15" t="n">
        <f aca="false">IF(OR(J172=1,N172&lt;=O172),1,0)</f>
        <v>1</v>
      </c>
      <c r="T172" s="15" t="str">
        <f aca="false">IF(J172=1,"OFFLINE",IF(AND(Q172&gt;=Inputs!$B$15,R172=1,S172=1,P172&lt;=L172),"PASS","FAIL"))</f>
        <v>PASS</v>
      </c>
    </row>
    <row r="173" customFormat="false" ht="15" hidden="false" customHeight="false" outlineLevel="0" collapsed="false">
      <c r="A173" s="14" t="s">
        <v>1020</v>
      </c>
      <c r="B173" s="14" t="s">
        <v>1019</v>
      </c>
      <c r="C173" s="14" t="s">
        <v>156</v>
      </c>
      <c r="D173" s="14" t="s">
        <v>182</v>
      </c>
      <c r="E173" s="14" t="s">
        <v>166</v>
      </c>
      <c r="F173" s="14" t="s">
        <v>183</v>
      </c>
      <c r="G173" s="14" t="n">
        <v>1</v>
      </c>
      <c r="H173" s="14" t="s">
        <v>154</v>
      </c>
      <c r="I173" s="14" t="s">
        <v>897</v>
      </c>
      <c r="J173" s="15" t="n">
        <f aca="false">IF(B173="SITE LOSS",IF(D173=C173,1,0),IF(B173="REGION LOSS",IF(E173=C173,1,0),0))</f>
        <v>0</v>
      </c>
      <c r="K173" s="15" t="n">
        <f aca="false">IF(B173="SITE LOSS",IF(COUNTIFS('Site Dockets'!$B$7:$B$24,C173,'Site Dockets'!$C$7:$C$24,F173)&gt;0,1,0),IF(B173="REGION LOSS",IF(COUNTIFS('Site Dockets'!$E$7:$E$24,C173,'Site Dockets'!$C$7:$C$24,F173)&gt;0,1,0),0))</f>
        <v>0</v>
      </c>
      <c r="L173" s="15" t="n">
        <f aca="false">IF(J173=1,0,Inputs!$B$11)</f>
        <v>100</v>
      </c>
      <c r="M173" s="15" t="n">
        <f aca="false">IF(J173=1,0,Inputs!$B$12)</f>
        <v>75</v>
      </c>
      <c r="N173" s="15" t="n">
        <f aca="false">IF(J173=1,0,IF(OR(AND(OR(B173="SITE LOSS",B173="REGION LOSS"),K173=1),AND(B173="ROLE COMPROMISE",H173=C173)),Inputs!$B$13,Inputs!$B$14))</f>
        <v>10</v>
      </c>
      <c r="O173" s="15" t="n">
        <f aca="false">IF(J173=1,0,Inputs!$B$13)</f>
        <v>20</v>
      </c>
      <c r="P173" s="15" t="n">
        <f aca="false">SUM(M173:N173)</f>
        <v>85</v>
      </c>
      <c r="Q173" s="15" t="n">
        <f aca="false">IF(J173=1,"",L173-P173)</f>
        <v>15</v>
      </c>
      <c r="R173" s="15" t="n">
        <f aca="false">IF(OR(J173=1,M173&lt;=Inputs!$B$12),1,0)</f>
        <v>1</v>
      </c>
      <c r="S173" s="15" t="n">
        <f aca="false">IF(OR(J173=1,N173&lt;=O173),1,0)</f>
        <v>1</v>
      </c>
      <c r="T173" s="15" t="str">
        <f aca="false">IF(J173=1,"OFFLINE",IF(AND(Q173&gt;=Inputs!$B$15,R173=1,S173=1,P173&lt;=L173),"PASS","FAIL"))</f>
        <v>PASS</v>
      </c>
    </row>
    <row r="174" customFormat="false" ht="15" hidden="false" customHeight="false" outlineLevel="0" collapsed="false">
      <c r="A174" s="14" t="s">
        <v>1020</v>
      </c>
      <c r="B174" s="14" t="s">
        <v>1019</v>
      </c>
      <c r="C174" s="14" t="s">
        <v>156</v>
      </c>
      <c r="D174" s="14" t="s">
        <v>182</v>
      </c>
      <c r="E174" s="14" t="s">
        <v>166</v>
      </c>
      <c r="F174" s="14" t="s">
        <v>183</v>
      </c>
      <c r="G174" s="14" t="n">
        <v>1</v>
      </c>
      <c r="H174" s="14" t="s">
        <v>154</v>
      </c>
      <c r="I174" s="14" t="s">
        <v>899</v>
      </c>
      <c r="J174" s="15" t="n">
        <f aca="false">IF(B174="SITE LOSS",IF(D174=C174,1,0),IF(B174="REGION LOSS",IF(E174=C174,1,0),0))</f>
        <v>0</v>
      </c>
      <c r="K174" s="15" t="n">
        <f aca="false">IF(B174="SITE LOSS",IF(COUNTIFS('Site Dockets'!$B$7:$B$24,C174,'Site Dockets'!$C$7:$C$24,F174)&gt;0,1,0),IF(B174="REGION LOSS",IF(COUNTIFS('Site Dockets'!$E$7:$E$24,C174,'Site Dockets'!$C$7:$C$24,F174)&gt;0,1,0),0))</f>
        <v>0</v>
      </c>
      <c r="L174" s="15" t="n">
        <f aca="false">IF(J174=1,0,Inputs!$B$11)</f>
        <v>100</v>
      </c>
      <c r="M174" s="15" t="n">
        <f aca="false">IF(J174=1,0,Inputs!$B$12)</f>
        <v>75</v>
      </c>
      <c r="N174" s="15" t="n">
        <f aca="false">IF(J174=1,0,IF(OR(AND(OR(B174="SITE LOSS",B174="REGION LOSS"),K174=1),AND(B174="ROLE COMPROMISE",H174=C174)),Inputs!$B$13,Inputs!$B$14))</f>
        <v>10</v>
      </c>
      <c r="O174" s="15" t="n">
        <f aca="false">IF(J174=1,0,Inputs!$B$13)</f>
        <v>20</v>
      </c>
      <c r="P174" s="15" t="n">
        <f aca="false">SUM(M174:N174)</f>
        <v>85</v>
      </c>
      <c r="Q174" s="15" t="n">
        <f aca="false">IF(J174=1,"",L174-P174)</f>
        <v>15</v>
      </c>
      <c r="R174" s="15" t="n">
        <f aca="false">IF(OR(J174=1,M174&lt;=Inputs!$B$12),1,0)</f>
        <v>1</v>
      </c>
      <c r="S174" s="15" t="n">
        <f aca="false">IF(OR(J174=1,N174&lt;=O174),1,0)</f>
        <v>1</v>
      </c>
      <c r="T174" s="15" t="str">
        <f aca="false">IF(J174=1,"OFFLINE",IF(AND(Q174&gt;=Inputs!$B$15,R174=1,S174=1,P174&lt;=L174),"PASS","FAIL"))</f>
        <v>PASS</v>
      </c>
    </row>
    <row r="175" customFormat="false" ht="15" hidden="false" customHeight="false" outlineLevel="0" collapsed="false">
      <c r="A175" s="14" t="s">
        <v>1020</v>
      </c>
      <c r="B175" s="14" t="s">
        <v>1019</v>
      </c>
      <c r="C175" s="14" t="s">
        <v>156</v>
      </c>
      <c r="D175" s="14" t="s">
        <v>186</v>
      </c>
      <c r="E175" s="14" t="s">
        <v>157</v>
      </c>
      <c r="F175" s="14" t="s">
        <v>183</v>
      </c>
      <c r="G175" s="14" t="n">
        <v>2</v>
      </c>
      <c r="H175" s="14" t="s">
        <v>153</v>
      </c>
      <c r="I175" s="14" t="s">
        <v>890</v>
      </c>
      <c r="J175" s="15" t="n">
        <f aca="false">IF(B175="SITE LOSS",IF(D175=C175,1,0),IF(B175="REGION LOSS",IF(E175=C175,1,0),0))</f>
        <v>0</v>
      </c>
      <c r="K175" s="15" t="n">
        <f aca="false">IF(B175="SITE LOSS",IF(COUNTIFS('Site Dockets'!$B$7:$B$24,C175,'Site Dockets'!$C$7:$C$24,F175)&gt;0,1,0),IF(B175="REGION LOSS",IF(COUNTIFS('Site Dockets'!$E$7:$E$24,C175,'Site Dockets'!$C$7:$C$24,F175)&gt;0,1,0),0))</f>
        <v>0</v>
      </c>
      <c r="L175" s="15" t="n">
        <f aca="false">IF(J175=1,0,Inputs!$B$11)</f>
        <v>100</v>
      </c>
      <c r="M175" s="15" t="n">
        <f aca="false">IF(J175=1,0,Inputs!$B$12)</f>
        <v>75</v>
      </c>
      <c r="N175" s="15" t="n">
        <f aca="false">IF(J175=1,0,IF(OR(AND(OR(B175="SITE LOSS",B175="REGION LOSS"),K175=1),AND(B175="ROLE COMPROMISE",H175=C175)),Inputs!$B$13,Inputs!$B$14))</f>
        <v>10</v>
      </c>
      <c r="O175" s="15" t="n">
        <f aca="false">IF(J175=1,0,Inputs!$B$13)</f>
        <v>20</v>
      </c>
      <c r="P175" s="15" t="n">
        <f aca="false">SUM(M175:N175)</f>
        <v>85</v>
      </c>
      <c r="Q175" s="15" t="n">
        <f aca="false">IF(J175=1,"",L175-P175)</f>
        <v>15</v>
      </c>
      <c r="R175" s="15" t="n">
        <f aca="false">IF(OR(J175=1,M175&lt;=Inputs!$B$12),1,0)</f>
        <v>1</v>
      </c>
      <c r="S175" s="15" t="n">
        <f aca="false">IF(OR(J175=1,N175&lt;=O175),1,0)</f>
        <v>1</v>
      </c>
      <c r="T175" s="15" t="str">
        <f aca="false">IF(J175=1,"OFFLINE",IF(AND(Q175&gt;=Inputs!$B$15,R175=1,S175=1,P175&lt;=L175),"PASS","FAIL"))</f>
        <v>PASS</v>
      </c>
    </row>
    <row r="176" customFormat="false" ht="15" hidden="false" customHeight="false" outlineLevel="0" collapsed="false">
      <c r="A176" s="14" t="s">
        <v>1020</v>
      </c>
      <c r="B176" s="14" t="s">
        <v>1019</v>
      </c>
      <c r="C176" s="14" t="s">
        <v>156</v>
      </c>
      <c r="D176" s="14" t="s">
        <v>186</v>
      </c>
      <c r="E176" s="14" t="s">
        <v>157</v>
      </c>
      <c r="F176" s="14" t="s">
        <v>183</v>
      </c>
      <c r="G176" s="14" t="n">
        <v>2</v>
      </c>
      <c r="H176" s="14" t="s">
        <v>153</v>
      </c>
      <c r="I176" s="14" t="s">
        <v>892</v>
      </c>
      <c r="J176" s="15" t="n">
        <f aca="false">IF(B176="SITE LOSS",IF(D176=C176,1,0),IF(B176="REGION LOSS",IF(E176=C176,1,0),0))</f>
        <v>0</v>
      </c>
      <c r="K176" s="15" t="n">
        <f aca="false">IF(B176="SITE LOSS",IF(COUNTIFS('Site Dockets'!$B$7:$B$24,C176,'Site Dockets'!$C$7:$C$24,F176)&gt;0,1,0),IF(B176="REGION LOSS",IF(COUNTIFS('Site Dockets'!$E$7:$E$24,C176,'Site Dockets'!$C$7:$C$24,F176)&gt;0,1,0),0))</f>
        <v>0</v>
      </c>
      <c r="L176" s="15" t="n">
        <f aca="false">IF(J176=1,0,Inputs!$B$11)</f>
        <v>100</v>
      </c>
      <c r="M176" s="15" t="n">
        <f aca="false">IF(J176=1,0,Inputs!$B$12)</f>
        <v>75</v>
      </c>
      <c r="N176" s="15" t="n">
        <f aca="false">IF(J176=1,0,IF(OR(AND(OR(B176="SITE LOSS",B176="REGION LOSS"),K176=1),AND(B176="ROLE COMPROMISE",H176=C176)),Inputs!$B$13,Inputs!$B$14))</f>
        <v>10</v>
      </c>
      <c r="O176" s="15" t="n">
        <f aca="false">IF(J176=1,0,Inputs!$B$13)</f>
        <v>20</v>
      </c>
      <c r="P176" s="15" t="n">
        <f aca="false">SUM(M176:N176)</f>
        <v>85</v>
      </c>
      <c r="Q176" s="15" t="n">
        <f aca="false">IF(J176=1,"",L176-P176)</f>
        <v>15</v>
      </c>
      <c r="R176" s="15" t="n">
        <f aca="false">IF(OR(J176=1,M176&lt;=Inputs!$B$12),1,0)</f>
        <v>1</v>
      </c>
      <c r="S176" s="15" t="n">
        <f aca="false">IF(OR(J176=1,N176&lt;=O176),1,0)</f>
        <v>1</v>
      </c>
      <c r="T176" s="15" t="str">
        <f aca="false">IF(J176=1,"OFFLINE",IF(AND(Q176&gt;=Inputs!$B$15,R176=1,S176=1,P176&lt;=L176),"PASS","FAIL"))</f>
        <v>PASS</v>
      </c>
    </row>
    <row r="177" customFormat="false" ht="15" hidden="false" customHeight="false" outlineLevel="0" collapsed="false">
      <c r="A177" s="14" t="s">
        <v>1020</v>
      </c>
      <c r="B177" s="14" t="s">
        <v>1019</v>
      </c>
      <c r="C177" s="14" t="s">
        <v>156</v>
      </c>
      <c r="D177" s="14" t="s">
        <v>186</v>
      </c>
      <c r="E177" s="14" t="s">
        <v>157</v>
      </c>
      <c r="F177" s="14" t="s">
        <v>183</v>
      </c>
      <c r="G177" s="14" t="n">
        <v>2</v>
      </c>
      <c r="H177" s="14" t="s">
        <v>153</v>
      </c>
      <c r="I177" s="14" t="s">
        <v>811</v>
      </c>
      <c r="J177" s="15" t="n">
        <f aca="false">IF(B177="SITE LOSS",IF(D177=C177,1,0),IF(B177="REGION LOSS",IF(E177=C177,1,0),0))</f>
        <v>0</v>
      </c>
      <c r="K177" s="15" t="n">
        <f aca="false">IF(B177="SITE LOSS",IF(COUNTIFS('Site Dockets'!$B$7:$B$24,C177,'Site Dockets'!$C$7:$C$24,F177)&gt;0,1,0),IF(B177="REGION LOSS",IF(COUNTIFS('Site Dockets'!$E$7:$E$24,C177,'Site Dockets'!$C$7:$C$24,F177)&gt;0,1,0),0))</f>
        <v>0</v>
      </c>
      <c r="L177" s="15" t="n">
        <f aca="false">IF(J177=1,0,Inputs!$B$11)</f>
        <v>100</v>
      </c>
      <c r="M177" s="15" t="n">
        <f aca="false">IF(J177=1,0,Inputs!$B$12)</f>
        <v>75</v>
      </c>
      <c r="N177" s="15" t="n">
        <f aca="false">IF(J177=1,0,IF(OR(AND(OR(B177="SITE LOSS",B177="REGION LOSS"),K177=1),AND(B177="ROLE COMPROMISE",H177=C177)),Inputs!$B$13,Inputs!$B$14))</f>
        <v>10</v>
      </c>
      <c r="O177" s="15" t="n">
        <f aca="false">IF(J177=1,0,Inputs!$B$13)</f>
        <v>20</v>
      </c>
      <c r="P177" s="15" t="n">
        <f aca="false">SUM(M177:N177)</f>
        <v>85</v>
      </c>
      <c r="Q177" s="15" t="n">
        <f aca="false">IF(J177=1,"",L177-P177)</f>
        <v>15</v>
      </c>
      <c r="R177" s="15" t="n">
        <f aca="false">IF(OR(J177=1,M177&lt;=Inputs!$B$12),1,0)</f>
        <v>1</v>
      </c>
      <c r="S177" s="15" t="n">
        <f aca="false">IF(OR(J177=1,N177&lt;=O177),1,0)</f>
        <v>1</v>
      </c>
      <c r="T177" s="15" t="str">
        <f aca="false">IF(J177=1,"OFFLINE",IF(AND(Q177&gt;=Inputs!$B$15,R177=1,S177=1,P177&lt;=L177),"PASS","FAIL"))</f>
        <v>PASS</v>
      </c>
    </row>
    <row r="178" customFormat="false" ht="15" hidden="false" customHeight="false" outlineLevel="0" collapsed="false">
      <c r="A178" s="14" t="s">
        <v>1020</v>
      </c>
      <c r="B178" s="14" t="s">
        <v>1019</v>
      </c>
      <c r="C178" s="14" t="s">
        <v>156</v>
      </c>
      <c r="D178" s="14" t="s">
        <v>186</v>
      </c>
      <c r="E178" s="14" t="s">
        <v>157</v>
      </c>
      <c r="F178" s="14" t="s">
        <v>183</v>
      </c>
      <c r="G178" s="14" t="n">
        <v>2</v>
      </c>
      <c r="H178" s="14" t="s">
        <v>153</v>
      </c>
      <c r="I178" s="14" t="s">
        <v>895</v>
      </c>
      <c r="J178" s="15" t="n">
        <f aca="false">IF(B178="SITE LOSS",IF(D178=C178,1,0),IF(B178="REGION LOSS",IF(E178=C178,1,0),0))</f>
        <v>0</v>
      </c>
      <c r="K178" s="15" t="n">
        <f aca="false">IF(B178="SITE LOSS",IF(COUNTIFS('Site Dockets'!$B$7:$B$24,C178,'Site Dockets'!$C$7:$C$24,F178)&gt;0,1,0),IF(B178="REGION LOSS",IF(COUNTIFS('Site Dockets'!$E$7:$E$24,C178,'Site Dockets'!$C$7:$C$24,F178)&gt;0,1,0),0))</f>
        <v>0</v>
      </c>
      <c r="L178" s="15" t="n">
        <f aca="false">IF(J178=1,0,Inputs!$B$11)</f>
        <v>100</v>
      </c>
      <c r="M178" s="15" t="n">
        <f aca="false">IF(J178=1,0,Inputs!$B$12)</f>
        <v>75</v>
      </c>
      <c r="N178" s="15" t="n">
        <f aca="false">IF(J178=1,0,IF(OR(AND(OR(B178="SITE LOSS",B178="REGION LOSS"),K178=1),AND(B178="ROLE COMPROMISE",H178=C178)),Inputs!$B$13,Inputs!$B$14))</f>
        <v>10</v>
      </c>
      <c r="O178" s="15" t="n">
        <f aca="false">IF(J178=1,0,Inputs!$B$13)</f>
        <v>20</v>
      </c>
      <c r="P178" s="15" t="n">
        <f aca="false">SUM(M178:N178)</f>
        <v>85</v>
      </c>
      <c r="Q178" s="15" t="n">
        <f aca="false">IF(J178=1,"",L178-P178)</f>
        <v>15</v>
      </c>
      <c r="R178" s="15" t="n">
        <f aca="false">IF(OR(J178=1,M178&lt;=Inputs!$B$12),1,0)</f>
        <v>1</v>
      </c>
      <c r="S178" s="15" t="n">
        <f aca="false">IF(OR(J178=1,N178&lt;=O178),1,0)</f>
        <v>1</v>
      </c>
      <c r="T178" s="15" t="str">
        <f aca="false">IF(J178=1,"OFFLINE",IF(AND(Q178&gt;=Inputs!$B$15,R178=1,S178=1,P178&lt;=L178),"PASS","FAIL"))</f>
        <v>PASS</v>
      </c>
    </row>
    <row r="179" customFormat="false" ht="15" hidden="false" customHeight="false" outlineLevel="0" collapsed="false">
      <c r="A179" s="14" t="s">
        <v>1020</v>
      </c>
      <c r="B179" s="14" t="s">
        <v>1019</v>
      </c>
      <c r="C179" s="14" t="s">
        <v>156</v>
      </c>
      <c r="D179" s="14" t="s">
        <v>186</v>
      </c>
      <c r="E179" s="14" t="s">
        <v>157</v>
      </c>
      <c r="F179" s="14" t="s">
        <v>183</v>
      </c>
      <c r="G179" s="14" t="n">
        <v>2</v>
      </c>
      <c r="H179" s="14" t="s">
        <v>153</v>
      </c>
      <c r="I179" s="14" t="s">
        <v>897</v>
      </c>
      <c r="J179" s="15" t="n">
        <f aca="false">IF(B179="SITE LOSS",IF(D179=C179,1,0),IF(B179="REGION LOSS",IF(E179=C179,1,0),0))</f>
        <v>0</v>
      </c>
      <c r="K179" s="15" t="n">
        <f aca="false">IF(B179="SITE LOSS",IF(COUNTIFS('Site Dockets'!$B$7:$B$24,C179,'Site Dockets'!$C$7:$C$24,F179)&gt;0,1,0),IF(B179="REGION LOSS",IF(COUNTIFS('Site Dockets'!$E$7:$E$24,C179,'Site Dockets'!$C$7:$C$24,F179)&gt;0,1,0),0))</f>
        <v>0</v>
      </c>
      <c r="L179" s="15" t="n">
        <f aca="false">IF(J179=1,0,Inputs!$B$11)</f>
        <v>100</v>
      </c>
      <c r="M179" s="15" t="n">
        <f aca="false">IF(J179=1,0,Inputs!$B$12)</f>
        <v>75</v>
      </c>
      <c r="N179" s="15" t="n">
        <f aca="false">IF(J179=1,0,IF(OR(AND(OR(B179="SITE LOSS",B179="REGION LOSS"),K179=1),AND(B179="ROLE COMPROMISE",H179=C179)),Inputs!$B$13,Inputs!$B$14))</f>
        <v>10</v>
      </c>
      <c r="O179" s="15" t="n">
        <f aca="false">IF(J179=1,0,Inputs!$B$13)</f>
        <v>20</v>
      </c>
      <c r="P179" s="15" t="n">
        <f aca="false">SUM(M179:N179)</f>
        <v>85</v>
      </c>
      <c r="Q179" s="15" t="n">
        <f aca="false">IF(J179=1,"",L179-P179)</f>
        <v>15</v>
      </c>
      <c r="R179" s="15" t="n">
        <f aca="false">IF(OR(J179=1,M179&lt;=Inputs!$B$12),1,0)</f>
        <v>1</v>
      </c>
      <c r="S179" s="15" t="n">
        <f aca="false">IF(OR(J179=1,N179&lt;=O179),1,0)</f>
        <v>1</v>
      </c>
      <c r="T179" s="15" t="str">
        <f aca="false">IF(J179=1,"OFFLINE",IF(AND(Q179&gt;=Inputs!$B$15,R179=1,S179=1,P179&lt;=L179),"PASS","FAIL"))</f>
        <v>PASS</v>
      </c>
    </row>
    <row r="180" customFormat="false" ht="15" hidden="false" customHeight="false" outlineLevel="0" collapsed="false">
      <c r="A180" s="14" t="s">
        <v>1020</v>
      </c>
      <c r="B180" s="14" t="s">
        <v>1019</v>
      </c>
      <c r="C180" s="14" t="s">
        <v>156</v>
      </c>
      <c r="D180" s="14" t="s">
        <v>186</v>
      </c>
      <c r="E180" s="14" t="s">
        <v>157</v>
      </c>
      <c r="F180" s="14" t="s">
        <v>183</v>
      </c>
      <c r="G180" s="14" t="n">
        <v>2</v>
      </c>
      <c r="H180" s="14" t="s">
        <v>153</v>
      </c>
      <c r="I180" s="14" t="s">
        <v>899</v>
      </c>
      <c r="J180" s="15" t="n">
        <f aca="false">IF(B180="SITE LOSS",IF(D180=C180,1,0),IF(B180="REGION LOSS",IF(E180=C180,1,0),0))</f>
        <v>0</v>
      </c>
      <c r="K180" s="15" t="n">
        <f aca="false">IF(B180="SITE LOSS",IF(COUNTIFS('Site Dockets'!$B$7:$B$24,C180,'Site Dockets'!$C$7:$C$24,F180)&gt;0,1,0),IF(B180="REGION LOSS",IF(COUNTIFS('Site Dockets'!$E$7:$E$24,C180,'Site Dockets'!$C$7:$C$24,F180)&gt;0,1,0),0))</f>
        <v>0</v>
      </c>
      <c r="L180" s="15" t="n">
        <f aca="false">IF(J180=1,0,Inputs!$B$11)</f>
        <v>100</v>
      </c>
      <c r="M180" s="15" t="n">
        <f aca="false">IF(J180=1,0,Inputs!$B$12)</f>
        <v>75</v>
      </c>
      <c r="N180" s="15" t="n">
        <f aca="false">IF(J180=1,0,IF(OR(AND(OR(B180="SITE LOSS",B180="REGION LOSS"),K180=1),AND(B180="ROLE COMPROMISE",H180=C180)),Inputs!$B$13,Inputs!$B$14))</f>
        <v>10</v>
      </c>
      <c r="O180" s="15" t="n">
        <f aca="false">IF(J180=1,0,Inputs!$B$13)</f>
        <v>20</v>
      </c>
      <c r="P180" s="15" t="n">
        <f aca="false">SUM(M180:N180)</f>
        <v>85</v>
      </c>
      <c r="Q180" s="15" t="n">
        <f aca="false">IF(J180=1,"",L180-P180)</f>
        <v>15</v>
      </c>
      <c r="R180" s="15" t="n">
        <f aca="false">IF(OR(J180=1,M180&lt;=Inputs!$B$12),1,0)</f>
        <v>1</v>
      </c>
      <c r="S180" s="15" t="n">
        <f aca="false">IF(OR(J180=1,N180&lt;=O180),1,0)</f>
        <v>1</v>
      </c>
      <c r="T180" s="15" t="str">
        <f aca="false">IF(J180=1,"OFFLINE",IF(AND(Q180&gt;=Inputs!$B$15,R180=1,S180=1,P180&lt;=L180),"PASS","FAIL"))</f>
        <v>PASS</v>
      </c>
    </row>
    <row r="181" customFormat="false" ht="15" hidden="false" customHeight="false" outlineLevel="0" collapsed="false">
      <c r="A181" s="14" t="s">
        <v>1020</v>
      </c>
      <c r="B181" s="14" t="s">
        <v>1019</v>
      </c>
      <c r="C181" s="14" t="s">
        <v>156</v>
      </c>
      <c r="D181" s="14" t="s">
        <v>188</v>
      </c>
      <c r="E181" s="14" t="s">
        <v>172</v>
      </c>
      <c r="F181" s="14" t="s">
        <v>183</v>
      </c>
      <c r="G181" s="14" t="n">
        <v>3</v>
      </c>
      <c r="H181" s="14" t="s">
        <v>158</v>
      </c>
      <c r="I181" s="14" t="s">
        <v>890</v>
      </c>
      <c r="J181" s="15" t="n">
        <f aca="false">IF(B181="SITE LOSS",IF(D181=C181,1,0),IF(B181="REGION LOSS",IF(E181=C181,1,0),0))</f>
        <v>0</v>
      </c>
      <c r="K181" s="15" t="n">
        <f aca="false">IF(B181="SITE LOSS",IF(COUNTIFS('Site Dockets'!$B$7:$B$24,C181,'Site Dockets'!$C$7:$C$24,F181)&gt;0,1,0),IF(B181="REGION LOSS",IF(COUNTIFS('Site Dockets'!$E$7:$E$24,C181,'Site Dockets'!$C$7:$C$24,F181)&gt;0,1,0),0))</f>
        <v>0</v>
      </c>
      <c r="L181" s="15" t="n">
        <f aca="false">IF(J181=1,0,Inputs!$B$11)</f>
        <v>100</v>
      </c>
      <c r="M181" s="15" t="n">
        <f aca="false">IF(J181=1,0,Inputs!$B$12)</f>
        <v>75</v>
      </c>
      <c r="N181" s="15" t="n">
        <f aca="false">IF(J181=1,0,IF(OR(AND(OR(B181="SITE LOSS",B181="REGION LOSS"),K181=1),AND(B181="ROLE COMPROMISE",H181=C181)),Inputs!$B$13,Inputs!$B$14))</f>
        <v>10</v>
      </c>
      <c r="O181" s="15" t="n">
        <f aca="false">IF(J181=1,0,Inputs!$B$13)</f>
        <v>20</v>
      </c>
      <c r="P181" s="15" t="n">
        <f aca="false">SUM(M181:N181)</f>
        <v>85</v>
      </c>
      <c r="Q181" s="15" t="n">
        <f aca="false">IF(J181=1,"",L181-P181)</f>
        <v>15</v>
      </c>
      <c r="R181" s="15" t="n">
        <f aca="false">IF(OR(J181=1,M181&lt;=Inputs!$B$12),1,0)</f>
        <v>1</v>
      </c>
      <c r="S181" s="15" t="n">
        <f aca="false">IF(OR(J181=1,N181&lt;=O181),1,0)</f>
        <v>1</v>
      </c>
      <c r="T181" s="15" t="str">
        <f aca="false">IF(J181=1,"OFFLINE",IF(AND(Q181&gt;=Inputs!$B$15,R181=1,S181=1,P181&lt;=L181),"PASS","FAIL"))</f>
        <v>PASS</v>
      </c>
    </row>
    <row r="182" customFormat="false" ht="15" hidden="false" customHeight="false" outlineLevel="0" collapsed="false">
      <c r="A182" s="14" t="s">
        <v>1020</v>
      </c>
      <c r="B182" s="14" t="s">
        <v>1019</v>
      </c>
      <c r="C182" s="14" t="s">
        <v>156</v>
      </c>
      <c r="D182" s="14" t="s">
        <v>188</v>
      </c>
      <c r="E182" s="14" t="s">
        <v>172</v>
      </c>
      <c r="F182" s="14" t="s">
        <v>183</v>
      </c>
      <c r="G182" s="14" t="n">
        <v>3</v>
      </c>
      <c r="H182" s="14" t="s">
        <v>158</v>
      </c>
      <c r="I182" s="14" t="s">
        <v>892</v>
      </c>
      <c r="J182" s="15" t="n">
        <f aca="false">IF(B182="SITE LOSS",IF(D182=C182,1,0),IF(B182="REGION LOSS",IF(E182=C182,1,0),0))</f>
        <v>0</v>
      </c>
      <c r="K182" s="15" t="n">
        <f aca="false">IF(B182="SITE LOSS",IF(COUNTIFS('Site Dockets'!$B$7:$B$24,C182,'Site Dockets'!$C$7:$C$24,F182)&gt;0,1,0),IF(B182="REGION LOSS",IF(COUNTIFS('Site Dockets'!$E$7:$E$24,C182,'Site Dockets'!$C$7:$C$24,F182)&gt;0,1,0),0))</f>
        <v>0</v>
      </c>
      <c r="L182" s="15" t="n">
        <f aca="false">IF(J182=1,0,Inputs!$B$11)</f>
        <v>100</v>
      </c>
      <c r="M182" s="15" t="n">
        <f aca="false">IF(J182=1,0,Inputs!$B$12)</f>
        <v>75</v>
      </c>
      <c r="N182" s="15" t="n">
        <f aca="false">IF(J182=1,0,IF(OR(AND(OR(B182="SITE LOSS",B182="REGION LOSS"),K182=1),AND(B182="ROLE COMPROMISE",H182=C182)),Inputs!$B$13,Inputs!$B$14))</f>
        <v>10</v>
      </c>
      <c r="O182" s="15" t="n">
        <f aca="false">IF(J182=1,0,Inputs!$B$13)</f>
        <v>20</v>
      </c>
      <c r="P182" s="15" t="n">
        <f aca="false">SUM(M182:N182)</f>
        <v>85</v>
      </c>
      <c r="Q182" s="15" t="n">
        <f aca="false">IF(J182=1,"",L182-P182)</f>
        <v>15</v>
      </c>
      <c r="R182" s="15" t="n">
        <f aca="false">IF(OR(J182=1,M182&lt;=Inputs!$B$12),1,0)</f>
        <v>1</v>
      </c>
      <c r="S182" s="15" t="n">
        <f aca="false">IF(OR(J182=1,N182&lt;=O182),1,0)</f>
        <v>1</v>
      </c>
      <c r="T182" s="15" t="str">
        <f aca="false">IF(J182=1,"OFFLINE",IF(AND(Q182&gt;=Inputs!$B$15,R182=1,S182=1,P182&lt;=L182),"PASS","FAIL"))</f>
        <v>PASS</v>
      </c>
    </row>
    <row r="183" customFormat="false" ht="15" hidden="false" customHeight="false" outlineLevel="0" collapsed="false">
      <c r="A183" s="14" t="s">
        <v>1020</v>
      </c>
      <c r="B183" s="14" t="s">
        <v>1019</v>
      </c>
      <c r="C183" s="14" t="s">
        <v>156</v>
      </c>
      <c r="D183" s="14" t="s">
        <v>188</v>
      </c>
      <c r="E183" s="14" t="s">
        <v>172</v>
      </c>
      <c r="F183" s="14" t="s">
        <v>183</v>
      </c>
      <c r="G183" s="14" t="n">
        <v>3</v>
      </c>
      <c r="H183" s="14" t="s">
        <v>158</v>
      </c>
      <c r="I183" s="14" t="s">
        <v>811</v>
      </c>
      <c r="J183" s="15" t="n">
        <f aca="false">IF(B183="SITE LOSS",IF(D183=C183,1,0),IF(B183="REGION LOSS",IF(E183=C183,1,0),0))</f>
        <v>0</v>
      </c>
      <c r="K183" s="15" t="n">
        <f aca="false">IF(B183="SITE LOSS",IF(COUNTIFS('Site Dockets'!$B$7:$B$24,C183,'Site Dockets'!$C$7:$C$24,F183)&gt;0,1,0),IF(B183="REGION LOSS",IF(COUNTIFS('Site Dockets'!$E$7:$E$24,C183,'Site Dockets'!$C$7:$C$24,F183)&gt;0,1,0),0))</f>
        <v>0</v>
      </c>
      <c r="L183" s="15" t="n">
        <f aca="false">IF(J183=1,0,Inputs!$B$11)</f>
        <v>100</v>
      </c>
      <c r="M183" s="15" t="n">
        <f aca="false">IF(J183=1,0,Inputs!$B$12)</f>
        <v>75</v>
      </c>
      <c r="N183" s="15" t="n">
        <f aca="false">IF(J183=1,0,IF(OR(AND(OR(B183="SITE LOSS",B183="REGION LOSS"),K183=1),AND(B183="ROLE COMPROMISE",H183=C183)),Inputs!$B$13,Inputs!$B$14))</f>
        <v>10</v>
      </c>
      <c r="O183" s="15" t="n">
        <f aca="false">IF(J183=1,0,Inputs!$B$13)</f>
        <v>20</v>
      </c>
      <c r="P183" s="15" t="n">
        <f aca="false">SUM(M183:N183)</f>
        <v>85</v>
      </c>
      <c r="Q183" s="15" t="n">
        <f aca="false">IF(J183=1,"",L183-P183)</f>
        <v>15</v>
      </c>
      <c r="R183" s="15" t="n">
        <f aca="false">IF(OR(J183=1,M183&lt;=Inputs!$B$12),1,0)</f>
        <v>1</v>
      </c>
      <c r="S183" s="15" t="n">
        <f aca="false">IF(OR(J183=1,N183&lt;=O183),1,0)</f>
        <v>1</v>
      </c>
      <c r="T183" s="15" t="str">
        <f aca="false">IF(J183=1,"OFFLINE",IF(AND(Q183&gt;=Inputs!$B$15,R183=1,S183=1,P183&lt;=L183),"PASS","FAIL"))</f>
        <v>PASS</v>
      </c>
    </row>
    <row r="184" customFormat="false" ht="15" hidden="false" customHeight="false" outlineLevel="0" collapsed="false">
      <c r="A184" s="14" t="s">
        <v>1020</v>
      </c>
      <c r="B184" s="14" t="s">
        <v>1019</v>
      </c>
      <c r="C184" s="14" t="s">
        <v>156</v>
      </c>
      <c r="D184" s="14" t="s">
        <v>188</v>
      </c>
      <c r="E184" s="14" t="s">
        <v>172</v>
      </c>
      <c r="F184" s="14" t="s">
        <v>183</v>
      </c>
      <c r="G184" s="14" t="n">
        <v>3</v>
      </c>
      <c r="H184" s="14" t="s">
        <v>158</v>
      </c>
      <c r="I184" s="14" t="s">
        <v>895</v>
      </c>
      <c r="J184" s="15" t="n">
        <f aca="false">IF(B184="SITE LOSS",IF(D184=C184,1,0),IF(B184="REGION LOSS",IF(E184=C184,1,0),0))</f>
        <v>0</v>
      </c>
      <c r="K184" s="15" t="n">
        <f aca="false">IF(B184="SITE LOSS",IF(COUNTIFS('Site Dockets'!$B$7:$B$24,C184,'Site Dockets'!$C$7:$C$24,F184)&gt;0,1,0),IF(B184="REGION LOSS",IF(COUNTIFS('Site Dockets'!$E$7:$E$24,C184,'Site Dockets'!$C$7:$C$24,F184)&gt;0,1,0),0))</f>
        <v>0</v>
      </c>
      <c r="L184" s="15" t="n">
        <f aca="false">IF(J184=1,0,Inputs!$B$11)</f>
        <v>100</v>
      </c>
      <c r="M184" s="15" t="n">
        <f aca="false">IF(J184=1,0,Inputs!$B$12)</f>
        <v>75</v>
      </c>
      <c r="N184" s="15" t="n">
        <f aca="false">IF(J184=1,0,IF(OR(AND(OR(B184="SITE LOSS",B184="REGION LOSS"),K184=1),AND(B184="ROLE COMPROMISE",H184=C184)),Inputs!$B$13,Inputs!$B$14))</f>
        <v>10</v>
      </c>
      <c r="O184" s="15" t="n">
        <f aca="false">IF(J184=1,0,Inputs!$B$13)</f>
        <v>20</v>
      </c>
      <c r="P184" s="15" t="n">
        <f aca="false">SUM(M184:N184)</f>
        <v>85</v>
      </c>
      <c r="Q184" s="15" t="n">
        <f aca="false">IF(J184=1,"",L184-P184)</f>
        <v>15</v>
      </c>
      <c r="R184" s="15" t="n">
        <f aca="false">IF(OR(J184=1,M184&lt;=Inputs!$B$12),1,0)</f>
        <v>1</v>
      </c>
      <c r="S184" s="15" t="n">
        <f aca="false">IF(OR(J184=1,N184&lt;=O184),1,0)</f>
        <v>1</v>
      </c>
      <c r="T184" s="15" t="str">
        <f aca="false">IF(J184=1,"OFFLINE",IF(AND(Q184&gt;=Inputs!$B$15,R184=1,S184=1,P184&lt;=L184),"PASS","FAIL"))</f>
        <v>PASS</v>
      </c>
    </row>
    <row r="185" customFormat="false" ht="15" hidden="false" customHeight="false" outlineLevel="0" collapsed="false">
      <c r="A185" s="14" t="s">
        <v>1020</v>
      </c>
      <c r="B185" s="14" t="s">
        <v>1019</v>
      </c>
      <c r="C185" s="14" t="s">
        <v>156</v>
      </c>
      <c r="D185" s="14" t="s">
        <v>188</v>
      </c>
      <c r="E185" s="14" t="s">
        <v>172</v>
      </c>
      <c r="F185" s="14" t="s">
        <v>183</v>
      </c>
      <c r="G185" s="14" t="n">
        <v>3</v>
      </c>
      <c r="H185" s="14" t="s">
        <v>158</v>
      </c>
      <c r="I185" s="14" t="s">
        <v>897</v>
      </c>
      <c r="J185" s="15" t="n">
        <f aca="false">IF(B185="SITE LOSS",IF(D185=C185,1,0),IF(B185="REGION LOSS",IF(E185=C185,1,0),0))</f>
        <v>0</v>
      </c>
      <c r="K185" s="15" t="n">
        <f aca="false">IF(B185="SITE LOSS",IF(COUNTIFS('Site Dockets'!$B$7:$B$24,C185,'Site Dockets'!$C$7:$C$24,F185)&gt;0,1,0),IF(B185="REGION LOSS",IF(COUNTIFS('Site Dockets'!$E$7:$E$24,C185,'Site Dockets'!$C$7:$C$24,F185)&gt;0,1,0),0))</f>
        <v>0</v>
      </c>
      <c r="L185" s="15" t="n">
        <f aca="false">IF(J185=1,0,Inputs!$B$11)</f>
        <v>100</v>
      </c>
      <c r="M185" s="15" t="n">
        <f aca="false">IF(J185=1,0,Inputs!$B$12)</f>
        <v>75</v>
      </c>
      <c r="N185" s="15" t="n">
        <f aca="false">IF(J185=1,0,IF(OR(AND(OR(B185="SITE LOSS",B185="REGION LOSS"),K185=1),AND(B185="ROLE COMPROMISE",H185=C185)),Inputs!$B$13,Inputs!$B$14))</f>
        <v>10</v>
      </c>
      <c r="O185" s="15" t="n">
        <f aca="false">IF(J185=1,0,Inputs!$B$13)</f>
        <v>20</v>
      </c>
      <c r="P185" s="15" t="n">
        <f aca="false">SUM(M185:N185)</f>
        <v>85</v>
      </c>
      <c r="Q185" s="15" t="n">
        <f aca="false">IF(J185=1,"",L185-P185)</f>
        <v>15</v>
      </c>
      <c r="R185" s="15" t="n">
        <f aca="false">IF(OR(J185=1,M185&lt;=Inputs!$B$12),1,0)</f>
        <v>1</v>
      </c>
      <c r="S185" s="15" t="n">
        <f aca="false">IF(OR(J185=1,N185&lt;=O185),1,0)</f>
        <v>1</v>
      </c>
      <c r="T185" s="15" t="str">
        <f aca="false">IF(J185=1,"OFFLINE",IF(AND(Q185&gt;=Inputs!$B$15,R185=1,S185=1,P185&lt;=L185),"PASS","FAIL"))</f>
        <v>PASS</v>
      </c>
    </row>
    <row r="186" customFormat="false" ht="15" hidden="false" customHeight="false" outlineLevel="0" collapsed="false">
      <c r="A186" s="14" t="s">
        <v>1020</v>
      </c>
      <c r="B186" s="14" t="s">
        <v>1019</v>
      </c>
      <c r="C186" s="14" t="s">
        <v>156</v>
      </c>
      <c r="D186" s="14" t="s">
        <v>188</v>
      </c>
      <c r="E186" s="14" t="s">
        <v>172</v>
      </c>
      <c r="F186" s="14" t="s">
        <v>183</v>
      </c>
      <c r="G186" s="14" t="n">
        <v>3</v>
      </c>
      <c r="H186" s="14" t="s">
        <v>158</v>
      </c>
      <c r="I186" s="14" t="s">
        <v>899</v>
      </c>
      <c r="J186" s="15" t="n">
        <f aca="false">IF(B186="SITE LOSS",IF(D186=C186,1,0),IF(B186="REGION LOSS",IF(E186=C186,1,0),0))</f>
        <v>0</v>
      </c>
      <c r="K186" s="15" t="n">
        <f aca="false">IF(B186="SITE LOSS",IF(COUNTIFS('Site Dockets'!$B$7:$B$24,C186,'Site Dockets'!$C$7:$C$24,F186)&gt;0,1,0),IF(B186="REGION LOSS",IF(COUNTIFS('Site Dockets'!$E$7:$E$24,C186,'Site Dockets'!$C$7:$C$24,F186)&gt;0,1,0),0))</f>
        <v>0</v>
      </c>
      <c r="L186" s="15" t="n">
        <f aca="false">IF(J186=1,0,Inputs!$B$11)</f>
        <v>100</v>
      </c>
      <c r="M186" s="15" t="n">
        <f aca="false">IF(J186=1,0,Inputs!$B$12)</f>
        <v>75</v>
      </c>
      <c r="N186" s="15" t="n">
        <f aca="false">IF(J186=1,0,IF(OR(AND(OR(B186="SITE LOSS",B186="REGION LOSS"),K186=1),AND(B186="ROLE COMPROMISE",H186=C186)),Inputs!$B$13,Inputs!$B$14))</f>
        <v>10</v>
      </c>
      <c r="O186" s="15" t="n">
        <f aca="false">IF(J186=1,0,Inputs!$B$13)</f>
        <v>20</v>
      </c>
      <c r="P186" s="15" t="n">
        <f aca="false">SUM(M186:N186)</f>
        <v>85</v>
      </c>
      <c r="Q186" s="15" t="n">
        <f aca="false">IF(J186=1,"",L186-P186)</f>
        <v>15</v>
      </c>
      <c r="R186" s="15" t="n">
        <f aca="false">IF(OR(J186=1,M186&lt;=Inputs!$B$12),1,0)</f>
        <v>1</v>
      </c>
      <c r="S186" s="15" t="n">
        <f aca="false">IF(OR(J186=1,N186&lt;=O186),1,0)</f>
        <v>1</v>
      </c>
      <c r="T186" s="15" t="str">
        <f aca="false">IF(J186=1,"OFFLINE",IF(AND(Q186&gt;=Inputs!$B$15,R186=1,S186=1,P186&lt;=L186),"PASS","FAIL"))</f>
        <v>PASS</v>
      </c>
    </row>
    <row r="187" customFormat="false" ht="15" hidden="false" customHeight="false" outlineLevel="0" collapsed="false">
      <c r="A187" s="14" t="s">
        <v>1020</v>
      </c>
      <c r="B187" s="14" t="s">
        <v>1019</v>
      </c>
      <c r="C187" s="14" t="s">
        <v>156</v>
      </c>
      <c r="D187" s="14" t="s">
        <v>190</v>
      </c>
      <c r="E187" s="14" t="s">
        <v>152</v>
      </c>
      <c r="F187" s="14" t="s">
        <v>191</v>
      </c>
      <c r="G187" s="14" t="n">
        <v>1</v>
      </c>
      <c r="H187" s="14" t="s">
        <v>154</v>
      </c>
      <c r="I187" s="14" t="s">
        <v>890</v>
      </c>
      <c r="J187" s="15" t="n">
        <f aca="false">IF(B187="SITE LOSS",IF(D187=C187,1,0),IF(B187="REGION LOSS",IF(E187=C187,1,0),0))</f>
        <v>0</v>
      </c>
      <c r="K187" s="15" t="n">
        <f aca="false">IF(B187="SITE LOSS",IF(COUNTIFS('Site Dockets'!$B$7:$B$24,C187,'Site Dockets'!$C$7:$C$24,F187)&gt;0,1,0),IF(B187="REGION LOSS",IF(COUNTIFS('Site Dockets'!$E$7:$E$24,C187,'Site Dockets'!$C$7:$C$24,F187)&gt;0,1,0),0))</f>
        <v>0</v>
      </c>
      <c r="L187" s="15" t="n">
        <f aca="false">IF(J187=1,0,Inputs!$B$11)</f>
        <v>100</v>
      </c>
      <c r="M187" s="15" t="n">
        <f aca="false">IF(J187=1,0,Inputs!$B$12)</f>
        <v>75</v>
      </c>
      <c r="N187" s="15" t="n">
        <f aca="false">IF(J187=1,0,IF(OR(AND(OR(B187="SITE LOSS",B187="REGION LOSS"),K187=1),AND(B187="ROLE COMPROMISE",H187=C187)),Inputs!$B$13,Inputs!$B$14))</f>
        <v>10</v>
      </c>
      <c r="O187" s="15" t="n">
        <f aca="false">IF(J187=1,0,Inputs!$B$13)</f>
        <v>20</v>
      </c>
      <c r="P187" s="15" t="n">
        <f aca="false">SUM(M187:N187)</f>
        <v>85</v>
      </c>
      <c r="Q187" s="15" t="n">
        <f aca="false">IF(J187=1,"",L187-P187)</f>
        <v>15</v>
      </c>
      <c r="R187" s="15" t="n">
        <f aca="false">IF(OR(J187=1,M187&lt;=Inputs!$B$12),1,0)</f>
        <v>1</v>
      </c>
      <c r="S187" s="15" t="n">
        <f aca="false">IF(OR(J187=1,N187&lt;=O187),1,0)</f>
        <v>1</v>
      </c>
      <c r="T187" s="15" t="str">
        <f aca="false">IF(J187=1,"OFFLINE",IF(AND(Q187&gt;=Inputs!$B$15,R187=1,S187=1,P187&lt;=L187),"PASS","FAIL"))</f>
        <v>PASS</v>
      </c>
    </row>
    <row r="188" customFormat="false" ht="15" hidden="false" customHeight="false" outlineLevel="0" collapsed="false">
      <c r="A188" s="14" t="s">
        <v>1020</v>
      </c>
      <c r="B188" s="14" t="s">
        <v>1019</v>
      </c>
      <c r="C188" s="14" t="s">
        <v>156</v>
      </c>
      <c r="D188" s="14" t="s">
        <v>190</v>
      </c>
      <c r="E188" s="14" t="s">
        <v>152</v>
      </c>
      <c r="F188" s="14" t="s">
        <v>191</v>
      </c>
      <c r="G188" s="14" t="n">
        <v>1</v>
      </c>
      <c r="H188" s="14" t="s">
        <v>154</v>
      </c>
      <c r="I188" s="14" t="s">
        <v>892</v>
      </c>
      <c r="J188" s="15" t="n">
        <f aca="false">IF(B188="SITE LOSS",IF(D188=C188,1,0),IF(B188="REGION LOSS",IF(E188=C188,1,0),0))</f>
        <v>0</v>
      </c>
      <c r="K188" s="15" t="n">
        <f aca="false">IF(B188="SITE LOSS",IF(COUNTIFS('Site Dockets'!$B$7:$B$24,C188,'Site Dockets'!$C$7:$C$24,F188)&gt;0,1,0),IF(B188="REGION LOSS",IF(COUNTIFS('Site Dockets'!$E$7:$E$24,C188,'Site Dockets'!$C$7:$C$24,F188)&gt;0,1,0),0))</f>
        <v>0</v>
      </c>
      <c r="L188" s="15" t="n">
        <f aca="false">IF(J188=1,0,Inputs!$B$11)</f>
        <v>100</v>
      </c>
      <c r="M188" s="15" t="n">
        <f aca="false">IF(J188=1,0,Inputs!$B$12)</f>
        <v>75</v>
      </c>
      <c r="N188" s="15" t="n">
        <f aca="false">IF(J188=1,0,IF(OR(AND(OR(B188="SITE LOSS",B188="REGION LOSS"),K188=1),AND(B188="ROLE COMPROMISE",H188=C188)),Inputs!$B$13,Inputs!$B$14))</f>
        <v>10</v>
      </c>
      <c r="O188" s="15" t="n">
        <f aca="false">IF(J188=1,0,Inputs!$B$13)</f>
        <v>20</v>
      </c>
      <c r="P188" s="15" t="n">
        <f aca="false">SUM(M188:N188)</f>
        <v>85</v>
      </c>
      <c r="Q188" s="15" t="n">
        <f aca="false">IF(J188=1,"",L188-P188)</f>
        <v>15</v>
      </c>
      <c r="R188" s="15" t="n">
        <f aca="false">IF(OR(J188=1,M188&lt;=Inputs!$B$12),1,0)</f>
        <v>1</v>
      </c>
      <c r="S188" s="15" t="n">
        <f aca="false">IF(OR(J188=1,N188&lt;=O188),1,0)</f>
        <v>1</v>
      </c>
      <c r="T188" s="15" t="str">
        <f aca="false">IF(J188=1,"OFFLINE",IF(AND(Q188&gt;=Inputs!$B$15,R188=1,S188=1,P188&lt;=L188),"PASS","FAIL"))</f>
        <v>PASS</v>
      </c>
    </row>
    <row r="189" customFormat="false" ht="15" hidden="false" customHeight="false" outlineLevel="0" collapsed="false">
      <c r="A189" s="14" t="s">
        <v>1020</v>
      </c>
      <c r="B189" s="14" t="s">
        <v>1019</v>
      </c>
      <c r="C189" s="14" t="s">
        <v>156</v>
      </c>
      <c r="D189" s="14" t="s">
        <v>190</v>
      </c>
      <c r="E189" s="14" t="s">
        <v>152</v>
      </c>
      <c r="F189" s="14" t="s">
        <v>191</v>
      </c>
      <c r="G189" s="14" t="n">
        <v>1</v>
      </c>
      <c r="H189" s="14" t="s">
        <v>154</v>
      </c>
      <c r="I189" s="14" t="s">
        <v>811</v>
      </c>
      <c r="J189" s="15" t="n">
        <f aca="false">IF(B189="SITE LOSS",IF(D189=C189,1,0),IF(B189="REGION LOSS",IF(E189=C189,1,0),0))</f>
        <v>0</v>
      </c>
      <c r="K189" s="15" t="n">
        <f aca="false">IF(B189="SITE LOSS",IF(COUNTIFS('Site Dockets'!$B$7:$B$24,C189,'Site Dockets'!$C$7:$C$24,F189)&gt;0,1,0),IF(B189="REGION LOSS",IF(COUNTIFS('Site Dockets'!$E$7:$E$24,C189,'Site Dockets'!$C$7:$C$24,F189)&gt;0,1,0),0))</f>
        <v>0</v>
      </c>
      <c r="L189" s="15" t="n">
        <f aca="false">IF(J189=1,0,Inputs!$B$11)</f>
        <v>100</v>
      </c>
      <c r="M189" s="15" t="n">
        <f aca="false">IF(J189=1,0,Inputs!$B$12)</f>
        <v>75</v>
      </c>
      <c r="N189" s="15" t="n">
        <f aca="false">IF(J189=1,0,IF(OR(AND(OR(B189="SITE LOSS",B189="REGION LOSS"),K189=1),AND(B189="ROLE COMPROMISE",H189=C189)),Inputs!$B$13,Inputs!$B$14))</f>
        <v>10</v>
      </c>
      <c r="O189" s="15" t="n">
        <f aca="false">IF(J189=1,0,Inputs!$B$13)</f>
        <v>20</v>
      </c>
      <c r="P189" s="15" t="n">
        <f aca="false">SUM(M189:N189)</f>
        <v>85</v>
      </c>
      <c r="Q189" s="15" t="n">
        <f aca="false">IF(J189=1,"",L189-P189)</f>
        <v>15</v>
      </c>
      <c r="R189" s="15" t="n">
        <f aca="false">IF(OR(J189=1,M189&lt;=Inputs!$B$12),1,0)</f>
        <v>1</v>
      </c>
      <c r="S189" s="15" t="n">
        <f aca="false">IF(OR(J189=1,N189&lt;=O189),1,0)</f>
        <v>1</v>
      </c>
      <c r="T189" s="15" t="str">
        <f aca="false">IF(J189=1,"OFFLINE",IF(AND(Q189&gt;=Inputs!$B$15,R189=1,S189=1,P189&lt;=L189),"PASS","FAIL"))</f>
        <v>PASS</v>
      </c>
    </row>
    <row r="190" customFormat="false" ht="15" hidden="false" customHeight="false" outlineLevel="0" collapsed="false">
      <c r="A190" s="14" t="s">
        <v>1020</v>
      </c>
      <c r="B190" s="14" t="s">
        <v>1019</v>
      </c>
      <c r="C190" s="14" t="s">
        <v>156</v>
      </c>
      <c r="D190" s="14" t="s">
        <v>190</v>
      </c>
      <c r="E190" s="14" t="s">
        <v>152</v>
      </c>
      <c r="F190" s="14" t="s">
        <v>191</v>
      </c>
      <c r="G190" s="14" t="n">
        <v>1</v>
      </c>
      <c r="H190" s="14" t="s">
        <v>154</v>
      </c>
      <c r="I190" s="14" t="s">
        <v>895</v>
      </c>
      <c r="J190" s="15" t="n">
        <f aca="false">IF(B190="SITE LOSS",IF(D190=C190,1,0),IF(B190="REGION LOSS",IF(E190=C190,1,0),0))</f>
        <v>0</v>
      </c>
      <c r="K190" s="15" t="n">
        <f aca="false">IF(B190="SITE LOSS",IF(COUNTIFS('Site Dockets'!$B$7:$B$24,C190,'Site Dockets'!$C$7:$C$24,F190)&gt;0,1,0),IF(B190="REGION LOSS",IF(COUNTIFS('Site Dockets'!$E$7:$E$24,C190,'Site Dockets'!$C$7:$C$24,F190)&gt;0,1,0),0))</f>
        <v>0</v>
      </c>
      <c r="L190" s="15" t="n">
        <f aca="false">IF(J190=1,0,Inputs!$B$11)</f>
        <v>100</v>
      </c>
      <c r="M190" s="15" t="n">
        <f aca="false">IF(J190=1,0,Inputs!$B$12)</f>
        <v>75</v>
      </c>
      <c r="N190" s="15" t="n">
        <f aca="false">IF(J190=1,0,IF(OR(AND(OR(B190="SITE LOSS",B190="REGION LOSS"),K190=1),AND(B190="ROLE COMPROMISE",H190=C190)),Inputs!$B$13,Inputs!$B$14))</f>
        <v>10</v>
      </c>
      <c r="O190" s="15" t="n">
        <f aca="false">IF(J190=1,0,Inputs!$B$13)</f>
        <v>20</v>
      </c>
      <c r="P190" s="15" t="n">
        <f aca="false">SUM(M190:N190)</f>
        <v>85</v>
      </c>
      <c r="Q190" s="15" t="n">
        <f aca="false">IF(J190=1,"",L190-P190)</f>
        <v>15</v>
      </c>
      <c r="R190" s="15" t="n">
        <f aca="false">IF(OR(J190=1,M190&lt;=Inputs!$B$12),1,0)</f>
        <v>1</v>
      </c>
      <c r="S190" s="15" t="n">
        <f aca="false">IF(OR(J190=1,N190&lt;=O190),1,0)</f>
        <v>1</v>
      </c>
      <c r="T190" s="15" t="str">
        <f aca="false">IF(J190=1,"OFFLINE",IF(AND(Q190&gt;=Inputs!$B$15,R190=1,S190=1,P190&lt;=L190),"PASS","FAIL"))</f>
        <v>PASS</v>
      </c>
    </row>
    <row r="191" customFormat="false" ht="15" hidden="false" customHeight="false" outlineLevel="0" collapsed="false">
      <c r="A191" s="14" t="s">
        <v>1020</v>
      </c>
      <c r="B191" s="14" t="s">
        <v>1019</v>
      </c>
      <c r="C191" s="14" t="s">
        <v>156</v>
      </c>
      <c r="D191" s="14" t="s">
        <v>190</v>
      </c>
      <c r="E191" s="14" t="s">
        <v>152</v>
      </c>
      <c r="F191" s="14" t="s">
        <v>191</v>
      </c>
      <c r="G191" s="14" t="n">
        <v>1</v>
      </c>
      <c r="H191" s="14" t="s">
        <v>154</v>
      </c>
      <c r="I191" s="14" t="s">
        <v>897</v>
      </c>
      <c r="J191" s="15" t="n">
        <f aca="false">IF(B191="SITE LOSS",IF(D191=C191,1,0),IF(B191="REGION LOSS",IF(E191=C191,1,0),0))</f>
        <v>0</v>
      </c>
      <c r="K191" s="15" t="n">
        <f aca="false">IF(B191="SITE LOSS",IF(COUNTIFS('Site Dockets'!$B$7:$B$24,C191,'Site Dockets'!$C$7:$C$24,F191)&gt;0,1,0),IF(B191="REGION LOSS",IF(COUNTIFS('Site Dockets'!$E$7:$E$24,C191,'Site Dockets'!$C$7:$C$24,F191)&gt;0,1,0),0))</f>
        <v>0</v>
      </c>
      <c r="L191" s="15" t="n">
        <f aca="false">IF(J191=1,0,Inputs!$B$11)</f>
        <v>100</v>
      </c>
      <c r="M191" s="15" t="n">
        <f aca="false">IF(J191=1,0,Inputs!$B$12)</f>
        <v>75</v>
      </c>
      <c r="N191" s="15" t="n">
        <f aca="false">IF(J191=1,0,IF(OR(AND(OR(B191="SITE LOSS",B191="REGION LOSS"),K191=1),AND(B191="ROLE COMPROMISE",H191=C191)),Inputs!$B$13,Inputs!$B$14))</f>
        <v>10</v>
      </c>
      <c r="O191" s="15" t="n">
        <f aca="false">IF(J191=1,0,Inputs!$B$13)</f>
        <v>20</v>
      </c>
      <c r="P191" s="15" t="n">
        <f aca="false">SUM(M191:N191)</f>
        <v>85</v>
      </c>
      <c r="Q191" s="15" t="n">
        <f aca="false">IF(J191=1,"",L191-P191)</f>
        <v>15</v>
      </c>
      <c r="R191" s="15" t="n">
        <f aca="false">IF(OR(J191=1,M191&lt;=Inputs!$B$12),1,0)</f>
        <v>1</v>
      </c>
      <c r="S191" s="15" t="n">
        <f aca="false">IF(OR(J191=1,N191&lt;=O191),1,0)</f>
        <v>1</v>
      </c>
      <c r="T191" s="15" t="str">
        <f aca="false">IF(J191=1,"OFFLINE",IF(AND(Q191&gt;=Inputs!$B$15,R191=1,S191=1,P191&lt;=L191),"PASS","FAIL"))</f>
        <v>PASS</v>
      </c>
    </row>
    <row r="192" customFormat="false" ht="15" hidden="false" customHeight="false" outlineLevel="0" collapsed="false">
      <c r="A192" s="14" t="s">
        <v>1020</v>
      </c>
      <c r="B192" s="14" t="s">
        <v>1019</v>
      </c>
      <c r="C192" s="14" t="s">
        <v>156</v>
      </c>
      <c r="D192" s="14" t="s">
        <v>190</v>
      </c>
      <c r="E192" s="14" t="s">
        <v>152</v>
      </c>
      <c r="F192" s="14" t="s">
        <v>191</v>
      </c>
      <c r="G192" s="14" t="n">
        <v>1</v>
      </c>
      <c r="H192" s="14" t="s">
        <v>154</v>
      </c>
      <c r="I192" s="14" t="s">
        <v>899</v>
      </c>
      <c r="J192" s="15" t="n">
        <f aca="false">IF(B192="SITE LOSS",IF(D192=C192,1,0),IF(B192="REGION LOSS",IF(E192=C192,1,0),0))</f>
        <v>0</v>
      </c>
      <c r="K192" s="15" t="n">
        <f aca="false">IF(B192="SITE LOSS",IF(COUNTIFS('Site Dockets'!$B$7:$B$24,C192,'Site Dockets'!$C$7:$C$24,F192)&gt;0,1,0),IF(B192="REGION LOSS",IF(COUNTIFS('Site Dockets'!$E$7:$E$24,C192,'Site Dockets'!$C$7:$C$24,F192)&gt;0,1,0),0))</f>
        <v>0</v>
      </c>
      <c r="L192" s="15" t="n">
        <f aca="false">IF(J192=1,0,Inputs!$B$11)</f>
        <v>100</v>
      </c>
      <c r="M192" s="15" t="n">
        <f aca="false">IF(J192=1,0,Inputs!$B$12)</f>
        <v>75</v>
      </c>
      <c r="N192" s="15" t="n">
        <f aca="false">IF(J192=1,0,IF(OR(AND(OR(B192="SITE LOSS",B192="REGION LOSS"),K192=1),AND(B192="ROLE COMPROMISE",H192=C192)),Inputs!$B$13,Inputs!$B$14))</f>
        <v>10</v>
      </c>
      <c r="O192" s="15" t="n">
        <f aca="false">IF(J192=1,0,Inputs!$B$13)</f>
        <v>20</v>
      </c>
      <c r="P192" s="15" t="n">
        <f aca="false">SUM(M192:N192)</f>
        <v>85</v>
      </c>
      <c r="Q192" s="15" t="n">
        <f aca="false">IF(J192=1,"",L192-P192)</f>
        <v>15</v>
      </c>
      <c r="R192" s="15" t="n">
        <f aca="false">IF(OR(J192=1,M192&lt;=Inputs!$B$12),1,0)</f>
        <v>1</v>
      </c>
      <c r="S192" s="15" t="n">
        <f aca="false">IF(OR(J192=1,N192&lt;=O192),1,0)</f>
        <v>1</v>
      </c>
      <c r="T192" s="15" t="str">
        <f aca="false">IF(J192=1,"OFFLINE",IF(AND(Q192&gt;=Inputs!$B$15,R192=1,S192=1,P192&lt;=L192),"PASS","FAIL"))</f>
        <v>PASS</v>
      </c>
    </row>
    <row r="193" customFormat="false" ht="15" hidden="false" customHeight="false" outlineLevel="0" collapsed="false">
      <c r="A193" s="14" t="s">
        <v>1020</v>
      </c>
      <c r="B193" s="14" t="s">
        <v>1019</v>
      </c>
      <c r="C193" s="14" t="s">
        <v>156</v>
      </c>
      <c r="D193" s="14" t="s">
        <v>194</v>
      </c>
      <c r="E193" s="14" t="s">
        <v>169</v>
      </c>
      <c r="F193" s="14" t="s">
        <v>191</v>
      </c>
      <c r="G193" s="14" t="n">
        <v>2</v>
      </c>
      <c r="H193" s="14" t="s">
        <v>153</v>
      </c>
      <c r="I193" s="14" t="s">
        <v>890</v>
      </c>
      <c r="J193" s="15" t="n">
        <f aca="false">IF(B193="SITE LOSS",IF(D193=C193,1,0),IF(B193="REGION LOSS",IF(E193=C193,1,0),0))</f>
        <v>0</v>
      </c>
      <c r="K193" s="15" t="n">
        <f aca="false">IF(B193="SITE LOSS",IF(COUNTIFS('Site Dockets'!$B$7:$B$24,C193,'Site Dockets'!$C$7:$C$24,F193)&gt;0,1,0),IF(B193="REGION LOSS",IF(COUNTIFS('Site Dockets'!$E$7:$E$24,C193,'Site Dockets'!$C$7:$C$24,F193)&gt;0,1,0),0))</f>
        <v>0</v>
      </c>
      <c r="L193" s="15" t="n">
        <f aca="false">IF(J193=1,0,Inputs!$B$11)</f>
        <v>100</v>
      </c>
      <c r="M193" s="15" t="n">
        <f aca="false">IF(J193=1,0,Inputs!$B$12)</f>
        <v>75</v>
      </c>
      <c r="N193" s="15" t="n">
        <f aca="false">IF(J193=1,0,IF(OR(AND(OR(B193="SITE LOSS",B193="REGION LOSS"),K193=1),AND(B193="ROLE COMPROMISE",H193=C193)),Inputs!$B$13,Inputs!$B$14))</f>
        <v>10</v>
      </c>
      <c r="O193" s="15" t="n">
        <f aca="false">IF(J193=1,0,Inputs!$B$13)</f>
        <v>20</v>
      </c>
      <c r="P193" s="15" t="n">
        <f aca="false">SUM(M193:N193)</f>
        <v>85</v>
      </c>
      <c r="Q193" s="15" t="n">
        <f aca="false">IF(J193=1,"",L193-P193)</f>
        <v>15</v>
      </c>
      <c r="R193" s="15" t="n">
        <f aca="false">IF(OR(J193=1,M193&lt;=Inputs!$B$12),1,0)</f>
        <v>1</v>
      </c>
      <c r="S193" s="15" t="n">
        <f aca="false">IF(OR(J193=1,N193&lt;=O193),1,0)</f>
        <v>1</v>
      </c>
      <c r="T193" s="15" t="str">
        <f aca="false">IF(J193=1,"OFFLINE",IF(AND(Q193&gt;=Inputs!$B$15,R193=1,S193=1,P193&lt;=L193),"PASS","FAIL"))</f>
        <v>PASS</v>
      </c>
    </row>
    <row r="194" customFormat="false" ht="15" hidden="false" customHeight="false" outlineLevel="0" collapsed="false">
      <c r="A194" s="14" t="s">
        <v>1020</v>
      </c>
      <c r="B194" s="14" t="s">
        <v>1019</v>
      </c>
      <c r="C194" s="14" t="s">
        <v>156</v>
      </c>
      <c r="D194" s="14" t="s">
        <v>194</v>
      </c>
      <c r="E194" s="14" t="s">
        <v>169</v>
      </c>
      <c r="F194" s="14" t="s">
        <v>191</v>
      </c>
      <c r="G194" s="14" t="n">
        <v>2</v>
      </c>
      <c r="H194" s="14" t="s">
        <v>153</v>
      </c>
      <c r="I194" s="14" t="s">
        <v>892</v>
      </c>
      <c r="J194" s="15" t="n">
        <f aca="false">IF(B194="SITE LOSS",IF(D194=C194,1,0),IF(B194="REGION LOSS",IF(E194=C194,1,0),0))</f>
        <v>0</v>
      </c>
      <c r="K194" s="15" t="n">
        <f aca="false">IF(B194="SITE LOSS",IF(COUNTIFS('Site Dockets'!$B$7:$B$24,C194,'Site Dockets'!$C$7:$C$24,F194)&gt;0,1,0),IF(B194="REGION LOSS",IF(COUNTIFS('Site Dockets'!$E$7:$E$24,C194,'Site Dockets'!$C$7:$C$24,F194)&gt;0,1,0),0))</f>
        <v>0</v>
      </c>
      <c r="L194" s="15" t="n">
        <f aca="false">IF(J194=1,0,Inputs!$B$11)</f>
        <v>100</v>
      </c>
      <c r="M194" s="15" t="n">
        <f aca="false">IF(J194=1,0,Inputs!$B$12)</f>
        <v>75</v>
      </c>
      <c r="N194" s="15" t="n">
        <f aca="false">IF(J194=1,0,IF(OR(AND(OR(B194="SITE LOSS",B194="REGION LOSS"),K194=1),AND(B194="ROLE COMPROMISE",H194=C194)),Inputs!$B$13,Inputs!$B$14))</f>
        <v>10</v>
      </c>
      <c r="O194" s="15" t="n">
        <f aca="false">IF(J194=1,0,Inputs!$B$13)</f>
        <v>20</v>
      </c>
      <c r="P194" s="15" t="n">
        <f aca="false">SUM(M194:N194)</f>
        <v>85</v>
      </c>
      <c r="Q194" s="15" t="n">
        <f aca="false">IF(J194=1,"",L194-P194)</f>
        <v>15</v>
      </c>
      <c r="R194" s="15" t="n">
        <f aca="false">IF(OR(J194=1,M194&lt;=Inputs!$B$12),1,0)</f>
        <v>1</v>
      </c>
      <c r="S194" s="15" t="n">
        <f aca="false">IF(OR(J194=1,N194&lt;=O194),1,0)</f>
        <v>1</v>
      </c>
      <c r="T194" s="15" t="str">
        <f aca="false">IF(J194=1,"OFFLINE",IF(AND(Q194&gt;=Inputs!$B$15,R194=1,S194=1,P194&lt;=L194),"PASS","FAIL"))</f>
        <v>PASS</v>
      </c>
    </row>
    <row r="195" customFormat="false" ht="15" hidden="false" customHeight="false" outlineLevel="0" collapsed="false">
      <c r="A195" s="14" t="s">
        <v>1020</v>
      </c>
      <c r="B195" s="14" t="s">
        <v>1019</v>
      </c>
      <c r="C195" s="14" t="s">
        <v>156</v>
      </c>
      <c r="D195" s="14" t="s">
        <v>194</v>
      </c>
      <c r="E195" s="14" t="s">
        <v>169</v>
      </c>
      <c r="F195" s="14" t="s">
        <v>191</v>
      </c>
      <c r="G195" s="14" t="n">
        <v>2</v>
      </c>
      <c r="H195" s="14" t="s">
        <v>153</v>
      </c>
      <c r="I195" s="14" t="s">
        <v>811</v>
      </c>
      <c r="J195" s="15" t="n">
        <f aca="false">IF(B195="SITE LOSS",IF(D195=C195,1,0),IF(B195="REGION LOSS",IF(E195=C195,1,0),0))</f>
        <v>0</v>
      </c>
      <c r="K195" s="15" t="n">
        <f aca="false">IF(B195="SITE LOSS",IF(COUNTIFS('Site Dockets'!$B$7:$B$24,C195,'Site Dockets'!$C$7:$C$24,F195)&gt;0,1,0),IF(B195="REGION LOSS",IF(COUNTIFS('Site Dockets'!$E$7:$E$24,C195,'Site Dockets'!$C$7:$C$24,F195)&gt;0,1,0),0))</f>
        <v>0</v>
      </c>
      <c r="L195" s="15" t="n">
        <f aca="false">IF(J195=1,0,Inputs!$B$11)</f>
        <v>100</v>
      </c>
      <c r="M195" s="15" t="n">
        <f aca="false">IF(J195=1,0,Inputs!$B$12)</f>
        <v>75</v>
      </c>
      <c r="N195" s="15" t="n">
        <f aca="false">IF(J195=1,0,IF(OR(AND(OR(B195="SITE LOSS",B195="REGION LOSS"),K195=1),AND(B195="ROLE COMPROMISE",H195=C195)),Inputs!$B$13,Inputs!$B$14))</f>
        <v>10</v>
      </c>
      <c r="O195" s="15" t="n">
        <f aca="false">IF(J195=1,0,Inputs!$B$13)</f>
        <v>20</v>
      </c>
      <c r="P195" s="15" t="n">
        <f aca="false">SUM(M195:N195)</f>
        <v>85</v>
      </c>
      <c r="Q195" s="15" t="n">
        <f aca="false">IF(J195=1,"",L195-P195)</f>
        <v>15</v>
      </c>
      <c r="R195" s="15" t="n">
        <f aca="false">IF(OR(J195=1,M195&lt;=Inputs!$B$12),1,0)</f>
        <v>1</v>
      </c>
      <c r="S195" s="15" t="n">
        <f aca="false">IF(OR(J195=1,N195&lt;=O195),1,0)</f>
        <v>1</v>
      </c>
      <c r="T195" s="15" t="str">
        <f aca="false">IF(J195=1,"OFFLINE",IF(AND(Q195&gt;=Inputs!$B$15,R195=1,S195=1,P195&lt;=L195),"PASS","FAIL"))</f>
        <v>PASS</v>
      </c>
    </row>
    <row r="196" customFormat="false" ht="15" hidden="false" customHeight="false" outlineLevel="0" collapsed="false">
      <c r="A196" s="14" t="s">
        <v>1020</v>
      </c>
      <c r="B196" s="14" t="s">
        <v>1019</v>
      </c>
      <c r="C196" s="14" t="s">
        <v>156</v>
      </c>
      <c r="D196" s="14" t="s">
        <v>194</v>
      </c>
      <c r="E196" s="14" t="s">
        <v>169</v>
      </c>
      <c r="F196" s="14" t="s">
        <v>191</v>
      </c>
      <c r="G196" s="14" t="n">
        <v>2</v>
      </c>
      <c r="H196" s="14" t="s">
        <v>153</v>
      </c>
      <c r="I196" s="14" t="s">
        <v>895</v>
      </c>
      <c r="J196" s="15" t="n">
        <f aca="false">IF(B196="SITE LOSS",IF(D196=C196,1,0),IF(B196="REGION LOSS",IF(E196=C196,1,0),0))</f>
        <v>0</v>
      </c>
      <c r="K196" s="15" t="n">
        <f aca="false">IF(B196="SITE LOSS",IF(COUNTIFS('Site Dockets'!$B$7:$B$24,C196,'Site Dockets'!$C$7:$C$24,F196)&gt;0,1,0),IF(B196="REGION LOSS",IF(COUNTIFS('Site Dockets'!$E$7:$E$24,C196,'Site Dockets'!$C$7:$C$24,F196)&gt;0,1,0),0))</f>
        <v>0</v>
      </c>
      <c r="L196" s="15" t="n">
        <f aca="false">IF(J196=1,0,Inputs!$B$11)</f>
        <v>100</v>
      </c>
      <c r="M196" s="15" t="n">
        <f aca="false">IF(J196=1,0,Inputs!$B$12)</f>
        <v>75</v>
      </c>
      <c r="N196" s="15" t="n">
        <f aca="false">IF(J196=1,0,IF(OR(AND(OR(B196="SITE LOSS",B196="REGION LOSS"),K196=1),AND(B196="ROLE COMPROMISE",H196=C196)),Inputs!$B$13,Inputs!$B$14))</f>
        <v>10</v>
      </c>
      <c r="O196" s="15" t="n">
        <f aca="false">IF(J196=1,0,Inputs!$B$13)</f>
        <v>20</v>
      </c>
      <c r="P196" s="15" t="n">
        <f aca="false">SUM(M196:N196)</f>
        <v>85</v>
      </c>
      <c r="Q196" s="15" t="n">
        <f aca="false">IF(J196=1,"",L196-P196)</f>
        <v>15</v>
      </c>
      <c r="R196" s="15" t="n">
        <f aca="false">IF(OR(J196=1,M196&lt;=Inputs!$B$12),1,0)</f>
        <v>1</v>
      </c>
      <c r="S196" s="15" t="n">
        <f aca="false">IF(OR(J196=1,N196&lt;=O196),1,0)</f>
        <v>1</v>
      </c>
      <c r="T196" s="15" t="str">
        <f aca="false">IF(J196=1,"OFFLINE",IF(AND(Q196&gt;=Inputs!$B$15,R196=1,S196=1,P196&lt;=L196),"PASS","FAIL"))</f>
        <v>PASS</v>
      </c>
    </row>
    <row r="197" customFormat="false" ht="15" hidden="false" customHeight="false" outlineLevel="0" collapsed="false">
      <c r="A197" s="14" t="s">
        <v>1020</v>
      </c>
      <c r="B197" s="14" t="s">
        <v>1019</v>
      </c>
      <c r="C197" s="14" t="s">
        <v>156</v>
      </c>
      <c r="D197" s="14" t="s">
        <v>194</v>
      </c>
      <c r="E197" s="14" t="s">
        <v>169</v>
      </c>
      <c r="F197" s="14" t="s">
        <v>191</v>
      </c>
      <c r="G197" s="14" t="n">
        <v>2</v>
      </c>
      <c r="H197" s="14" t="s">
        <v>153</v>
      </c>
      <c r="I197" s="14" t="s">
        <v>897</v>
      </c>
      <c r="J197" s="15" t="n">
        <f aca="false">IF(B197="SITE LOSS",IF(D197=C197,1,0),IF(B197="REGION LOSS",IF(E197=C197,1,0),0))</f>
        <v>0</v>
      </c>
      <c r="K197" s="15" t="n">
        <f aca="false">IF(B197="SITE LOSS",IF(COUNTIFS('Site Dockets'!$B$7:$B$24,C197,'Site Dockets'!$C$7:$C$24,F197)&gt;0,1,0),IF(B197="REGION LOSS",IF(COUNTIFS('Site Dockets'!$E$7:$E$24,C197,'Site Dockets'!$C$7:$C$24,F197)&gt;0,1,0),0))</f>
        <v>0</v>
      </c>
      <c r="L197" s="15" t="n">
        <f aca="false">IF(J197=1,0,Inputs!$B$11)</f>
        <v>100</v>
      </c>
      <c r="M197" s="15" t="n">
        <f aca="false">IF(J197=1,0,Inputs!$B$12)</f>
        <v>75</v>
      </c>
      <c r="N197" s="15" t="n">
        <f aca="false">IF(J197=1,0,IF(OR(AND(OR(B197="SITE LOSS",B197="REGION LOSS"),K197=1),AND(B197="ROLE COMPROMISE",H197=C197)),Inputs!$B$13,Inputs!$B$14))</f>
        <v>10</v>
      </c>
      <c r="O197" s="15" t="n">
        <f aca="false">IF(J197=1,0,Inputs!$B$13)</f>
        <v>20</v>
      </c>
      <c r="P197" s="15" t="n">
        <f aca="false">SUM(M197:N197)</f>
        <v>85</v>
      </c>
      <c r="Q197" s="15" t="n">
        <f aca="false">IF(J197=1,"",L197-P197)</f>
        <v>15</v>
      </c>
      <c r="R197" s="15" t="n">
        <f aca="false">IF(OR(J197=1,M197&lt;=Inputs!$B$12),1,0)</f>
        <v>1</v>
      </c>
      <c r="S197" s="15" t="n">
        <f aca="false">IF(OR(J197=1,N197&lt;=O197),1,0)</f>
        <v>1</v>
      </c>
      <c r="T197" s="15" t="str">
        <f aca="false">IF(J197=1,"OFFLINE",IF(AND(Q197&gt;=Inputs!$B$15,R197=1,S197=1,P197&lt;=L197),"PASS","FAIL"))</f>
        <v>PASS</v>
      </c>
    </row>
    <row r="198" customFormat="false" ht="15" hidden="false" customHeight="false" outlineLevel="0" collapsed="false">
      <c r="A198" s="14" t="s">
        <v>1020</v>
      </c>
      <c r="B198" s="14" t="s">
        <v>1019</v>
      </c>
      <c r="C198" s="14" t="s">
        <v>156</v>
      </c>
      <c r="D198" s="14" t="s">
        <v>194</v>
      </c>
      <c r="E198" s="14" t="s">
        <v>169</v>
      </c>
      <c r="F198" s="14" t="s">
        <v>191</v>
      </c>
      <c r="G198" s="14" t="n">
        <v>2</v>
      </c>
      <c r="H198" s="14" t="s">
        <v>153</v>
      </c>
      <c r="I198" s="14" t="s">
        <v>899</v>
      </c>
      <c r="J198" s="15" t="n">
        <f aca="false">IF(B198="SITE LOSS",IF(D198=C198,1,0),IF(B198="REGION LOSS",IF(E198=C198,1,0),0))</f>
        <v>0</v>
      </c>
      <c r="K198" s="15" t="n">
        <f aca="false">IF(B198="SITE LOSS",IF(COUNTIFS('Site Dockets'!$B$7:$B$24,C198,'Site Dockets'!$C$7:$C$24,F198)&gt;0,1,0),IF(B198="REGION LOSS",IF(COUNTIFS('Site Dockets'!$E$7:$E$24,C198,'Site Dockets'!$C$7:$C$24,F198)&gt;0,1,0),0))</f>
        <v>0</v>
      </c>
      <c r="L198" s="15" t="n">
        <f aca="false">IF(J198=1,0,Inputs!$B$11)</f>
        <v>100</v>
      </c>
      <c r="M198" s="15" t="n">
        <f aca="false">IF(J198=1,0,Inputs!$B$12)</f>
        <v>75</v>
      </c>
      <c r="N198" s="15" t="n">
        <f aca="false">IF(J198=1,0,IF(OR(AND(OR(B198="SITE LOSS",B198="REGION LOSS"),K198=1),AND(B198="ROLE COMPROMISE",H198=C198)),Inputs!$B$13,Inputs!$B$14))</f>
        <v>10</v>
      </c>
      <c r="O198" s="15" t="n">
        <f aca="false">IF(J198=1,0,Inputs!$B$13)</f>
        <v>20</v>
      </c>
      <c r="P198" s="15" t="n">
        <f aca="false">SUM(M198:N198)</f>
        <v>85</v>
      </c>
      <c r="Q198" s="15" t="n">
        <f aca="false">IF(J198=1,"",L198-P198)</f>
        <v>15</v>
      </c>
      <c r="R198" s="15" t="n">
        <f aca="false">IF(OR(J198=1,M198&lt;=Inputs!$B$12),1,0)</f>
        <v>1</v>
      </c>
      <c r="S198" s="15" t="n">
        <f aca="false">IF(OR(J198=1,N198&lt;=O198),1,0)</f>
        <v>1</v>
      </c>
      <c r="T198" s="15" t="str">
        <f aca="false">IF(J198=1,"OFFLINE",IF(AND(Q198&gt;=Inputs!$B$15,R198=1,S198=1,P198&lt;=L198),"PASS","FAIL"))</f>
        <v>PASS</v>
      </c>
    </row>
    <row r="199" customFormat="false" ht="15" hidden="false" customHeight="false" outlineLevel="0" collapsed="false">
      <c r="A199" s="14" t="s">
        <v>1020</v>
      </c>
      <c r="B199" s="14" t="s">
        <v>1019</v>
      </c>
      <c r="C199" s="14" t="s">
        <v>156</v>
      </c>
      <c r="D199" s="14" t="s">
        <v>196</v>
      </c>
      <c r="E199" s="14" t="s">
        <v>172</v>
      </c>
      <c r="F199" s="14" t="s">
        <v>191</v>
      </c>
      <c r="G199" s="14" t="n">
        <v>3</v>
      </c>
      <c r="H199" s="14" t="s">
        <v>158</v>
      </c>
      <c r="I199" s="14" t="s">
        <v>890</v>
      </c>
      <c r="J199" s="15" t="n">
        <f aca="false">IF(B199="SITE LOSS",IF(D199=C199,1,0),IF(B199="REGION LOSS",IF(E199=C199,1,0),0))</f>
        <v>0</v>
      </c>
      <c r="K199" s="15" t="n">
        <f aca="false">IF(B199="SITE LOSS",IF(COUNTIFS('Site Dockets'!$B$7:$B$24,C199,'Site Dockets'!$C$7:$C$24,F199)&gt;0,1,0),IF(B199="REGION LOSS",IF(COUNTIFS('Site Dockets'!$E$7:$E$24,C199,'Site Dockets'!$C$7:$C$24,F199)&gt;0,1,0),0))</f>
        <v>0</v>
      </c>
      <c r="L199" s="15" t="n">
        <f aca="false">IF(J199=1,0,Inputs!$B$11)</f>
        <v>100</v>
      </c>
      <c r="M199" s="15" t="n">
        <f aca="false">IF(J199=1,0,Inputs!$B$12)</f>
        <v>75</v>
      </c>
      <c r="N199" s="15" t="n">
        <f aca="false">IF(J199=1,0,IF(OR(AND(OR(B199="SITE LOSS",B199="REGION LOSS"),K199=1),AND(B199="ROLE COMPROMISE",H199=C199)),Inputs!$B$13,Inputs!$B$14))</f>
        <v>10</v>
      </c>
      <c r="O199" s="15" t="n">
        <f aca="false">IF(J199=1,0,Inputs!$B$13)</f>
        <v>20</v>
      </c>
      <c r="P199" s="15" t="n">
        <f aca="false">SUM(M199:N199)</f>
        <v>85</v>
      </c>
      <c r="Q199" s="15" t="n">
        <f aca="false">IF(J199=1,"",L199-P199)</f>
        <v>15</v>
      </c>
      <c r="R199" s="15" t="n">
        <f aca="false">IF(OR(J199=1,M199&lt;=Inputs!$B$12),1,0)</f>
        <v>1</v>
      </c>
      <c r="S199" s="15" t="n">
        <f aca="false">IF(OR(J199=1,N199&lt;=O199),1,0)</f>
        <v>1</v>
      </c>
      <c r="T199" s="15" t="str">
        <f aca="false">IF(J199=1,"OFFLINE",IF(AND(Q199&gt;=Inputs!$B$15,R199=1,S199=1,P199&lt;=L199),"PASS","FAIL"))</f>
        <v>PASS</v>
      </c>
    </row>
    <row r="200" customFormat="false" ht="15" hidden="false" customHeight="false" outlineLevel="0" collapsed="false">
      <c r="A200" s="14" t="s">
        <v>1020</v>
      </c>
      <c r="B200" s="14" t="s">
        <v>1019</v>
      </c>
      <c r="C200" s="14" t="s">
        <v>156</v>
      </c>
      <c r="D200" s="14" t="s">
        <v>196</v>
      </c>
      <c r="E200" s="14" t="s">
        <v>172</v>
      </c>
      <c r="F200" s="14" t="s">
        <v>191</v>
      </c>
      <c r="G200" s="14" t="n">
        <v>3</v>
      </c>
      <c r="H200" s="14" t="s">
        <v>158</v>
      </c>
      <c r="I200" s="14" t="s">
        <v>892</v>
      </c>
      <c r="J200" s="15" t="n">
        <f aca="false">IF(B200="SITE LOSS",IF(D200=C200,1,0),IF(B200="REGION LOSS",IF(E200=C200,1,0),0))</f>
        <v>0</v>
      </c>
      <c r="K200" s="15" t="n">
        <f aca="false">IF(B200="SITE LOSS",IF(COUNTIFS('Site Dockets'!$B$7:$B$24,C200,'Site Dockets'!$C$7:$C$24,F200)&gt;0,1,0),IF(B200="REGION LOSS",IF(COUNTIFS('Site Dockets'!$E$7:$E$24,C200,'Site Dockets'!$C$7:$C$24,F200)&gt;0,1,0),0))</f>
        <v>0</v>
      </c>
      <c r="L200" s="15" t="n">
        <f aca="false">IF(J200=1,0,Inputs!$B$11)</f>
        <v>100</v>
      </c>
      <c r="M200" s="15" t="n">
        <f aca="false">IF(J200=1,0,Inputs!$B$12)</f>
        <v>75</v>
      </c>
      <c r="N200" s="15" t="n">
        <f aca="false">IF(J200=1,0,IF(OR(AND(OR(B200="SITE LOSS",B200="REGION LOSS"),K200=1),AND(B200="ROLE COMPROMISE",H200=C200)),Inputs!$B$13,Inputs!$B$14))</f>
        <v>10</v>
      </c>
      <c r="O200" s="15" t="n">
        <f aca="false">IF(J200=1,0,Inputs!$B$13)</f>
        <v>20</v>
      </c>
      <c r="P200" s="15" t="n">
        <f aca="false">SUM(M200:N200)</f>
        <v>85</v>
      </c>
      <c r="Q200" s="15" t="n">
        <f aca="false">IF(J200=1,"",L200-P200)</f>
        <v>15</v>
      </c>
      <c r="R200" s="15" t="n">
        <f aca="false">IF(OR(J200=1,M200&lt;=Inputs!$B$12),1,0)</f>
        <v>1</v>
      </c>
      <c r="S200" s="15" t="n">
        <f aca="false">IF(OR(J200=1,N200&lt;=O200),1,0)</f>
        <v>1</v>
      </c>
      <c r="T200" s="15" t="str">
        <f aca="false">IF(J200=1,"OFFLINE",IF(AND(Q200&gt;=Inputs!$B$15,R200=1,S200=1,P200&lt;=L200),"PASS","FAIL"))</f>
        <v>PASS</v>
      </c>
    </row>
    <row r="201" customFormat="false" ht="15" hidden="false" customHeight="false" outlineLevel="0" collapsed="false">
      <c r="A201" s="14" t="s">
        <v>1020</v>
      </c>
      <c r="B201" s="14" t="s">
        <v>1019</v>
      </c>
      <c r="C201" s="14" t="s">
        <v>156</v>
      </c>
      <c r="D201" s="14" t="s">
        <v>196</v>
      </c>
      <c r="E201" s="14" t="s">
        <v>172</v>
      </c>
      <c r="F201" s="14" t="s">
        <v>191</v>
      </c>
      <c r="G201" s="14" t="n">
        <v>3</v>
      </c>
      <c r="H201" s="14" t="s">
        <v>158</v>
      </c>
      <c r="I201" s="14" t="s">
        <v>811</v>
      </c>
      <c r="J201" s="15" t="n">
        <f aca="false">IF(B201="SITE LOSS",IF(D201=C201,1,0),IF(B201="REGION LOSS",IF(E201=C201,1,0),0))</f>
        <v>0</v>
      </c>
      <c r="K201" s="15" t="n">
        <f aca="false">IF(B201="SITE LOSS",IF(COUNTIFS('Site Dockets'!$B$7:$B$24,C201,'Site Dockets'!$C$7:$C$24,F201)&gt;0,1,0),IF(B201="REGION LOSS",IF(COUNTIFS('Site Dockets'!$E$7:$E$24,C201,'Site Dockets'!$C$7:$C$24,F201)&gt;0,1,0),0))</f>
        <v>0</v>
      </c>
      <c r="L201" s="15" t="n">
        <f aca="false">IF(J201=1,0,Inputs!$B$11)</f>
        <v>100</v>
      </c>
      <c r="M201" s="15" t="n">
        <f aca="false">IF(J201=1,0,Inputs!$B$12)</f>
        <v>75</v>
      </c>
      <c r="N201" s="15" t="n">
        <f aca="false">IF(J201=1,0,IF(OR(AND(OR(B201="SITE LOSS",B201="REGION LOSS"),K201=1),AND(B201="ROLE COMPROMISE",H201=C201)),Inputs!$B$13,Inputs!$B$14))</f>
        <v>10</v>
      </c>
      <c r="O201" s="15" t="n">
        <f aca="false">IF(J201=1,0,Inputs!$B$13)</f>
        <v>20</v>
      </c>
      <c r="P201" s="15" t="n">
        <f aca="false">SUM(M201:N201)</f>
        <v>85</v>
      </c>
      <c r="Q201" s="15" t="n">
        <f aca="false">IF(J201=1,"",L201-P201)</f>
        <v>15</v>
      </c>
      <c r="R201" s="15" t="n">
        <f aca="false">IF(OR(J201=1,M201&lt;=Inputs!$B$12),1,0)</f>
        <v>1</v>
      </c>
      <c r="S201" s="15" t="n">
        <f aca="false">IF(OR(J201=1,N201&lt;=O201),1,0)</f>
        <v>1</v>
      </c>
      <c r="T201" s="15" t="str">
        <f aca="false">IF(J201=1,"OFFLINE",IF(AND(Q201&gt;=Inputs!$B$15,R201=1,S201=1,P201&lt;=L201),"PASS","FAIL"))</f>
        <v>PASS</v>
      </c>
    </row>
    <row r="202" customFormat="false" ht="15" hidden="false" customHeight="false" outlineLevel="0" collapsed="false">
      <c r="A202" s="14" t="s">
        <v>1020</v>
      </c>
      <c r="B202" s="14" t="s">
        <v>1019</v>
      </c>
      <c r="C202" s="14" t="s">
        <v>156</v>
      </c>
      <c r="D202" s="14" t="s">
        <v>196</v>
      </c>
      <c r="E202" s="14" t="s">
        <v>172</v>
      </c>
      <c r="F202" s="14" t="s">
        <v>191</v>
      </c>
      <c r="G202" s="14" t="n">
        <v>3</v>
      </c>
      <c r="H202" s="14" t="s">
        <v>158</v>
      </c>
      <c r="I202" s="14" t="s">
        <v>895</v>
      </c>
      <c r="J202" s="15" t="n">
        <f aca="false">IF(B202="SITE LOSS",IF(D202=C202,1,0),IF(B202="REGION LOSS",IF(E202=C202,1,0),0))</f>
        <v>0</v>
      </c>
      <c r="K202" s="15" t="n">
        <f aca="false">IF(B202="SITE LOSS",IF(COUNTIFS('Site Dockets'!$B$7:$B$24,C202,'Site Dockets'!$C$7:$C$24,F202)&gt;0,1,0),IF(B202="REGION LOSS",IF(COUNTIFS('Site Dockets'!$E$7:$E$24,C202,'Site Dockets'!$C$7:$C$24,F202)&gt;0,1,0),0))</f>
        <v>0</v>
      </c>
      <c r="L202" s="15" t="n">
        <f aca="false">IF(J202=1,0,Inputs!$B$11)</f>
        <v>100</v>
      </c>
      <c r="M202" s="15" t="n">
        <f aca="false">IF(J202=1,0,Inputs!$B$12)</f>
        <v>75</v>
      </c>
      <c r="N202" s="15" t="n">
        <f aca="false">IF(J202=1,0,IF(OR(AND(OR(B202="SITE LOSS",B202="REGION LOSS"),K202=1),AND(B202="ROLE COMPROMISE",H202=C202)),Inputs!$B$13,Inputs!$B$14))</f>
        <v>10</v>
      </c>
      <c r="O202" s="15" t="n">
        <f aca="false">IF(J202=1,0,Inputs!$B$13)</f>
        <v>20</v>
      </c>
      <c r="P202" s="15" t="n">
        <f aca="false">SUM(M202:N202)</f>
        <v>85</v>
      </c>
      <c r="Q202" s="15" t="n">
        <f aca="false">IF(J202=1,"",L202-P202)</f>
        <v>15</v>
      </c>
      <c r="R202" s="15" t="n">
        <f aca="false">IF(OR(J202=1,M202&lt;=Inputs!$B$12),1,0)</f>
        <v>1</v>
      </c>
      <c r="S202" s="15" t="n">
        <f aca="false">IF(OR(J202=1,N202&lt;=O202),1,0)</f>
        <v>1</v>
      </c>
      <c r="T202" s="15" t="str">
        <f aca="false">IF(J202=1,"OFFLINE",IF(AND(Q202&gt;=Inputs!$B$15,R202=1,S202=1,P202&lt;=L202),"PASS","FAIL"))</f>
        <v>PASS</v>
      </c>
    </row>
    <row r="203" customFormat="false" ht="15" hidden="false" customHeight="false" outlineLevel="0" collapsed="false">
      <c r="A203" s="14" t="s">
        <v>1020</v>
      </c>
      <c r="B203" s="14" t="s">
        <v>1019</v>
      </c>
      <c r="C203" s="14" t="s">
        <v>156</v>
      </c>
      <c r="D203" s="14" t="s">
        <v>196</v>
      </c>
      <c r="E203" s="14" t="s">
        <v>172</v>
      </c>
      <c r="F203" s="14" t="s">
        <v>191</v>
      </c>
      <c r="G203" s="14" t="n">
        <v>3</v>
      </c>
      <c r="H203" s="14" t="s">
        <v>158</v>
      </c>
      <c r="I203" s="14" t="s">
        <v>897</v>
      </c>
      <c r="J203" s="15" t="n">
        <f aca="false">IF(B203="SITE LOSS",IF(D203=C203,1,0),IF(B203="REGION LOSS",IF(E203=C203,1,0),0))</f>
        <v>0</v>
      </c>
      <c r="K203" s="15" t="n">
        <f aca="false">IF(B203="SITE LOSS",IF(COUNTIFS('Site Dockets'!$B$7:$B$24,C203,'Site Dockets'!$C$7:$C$24,F203)&gt;0,1,0),IF(B203="REGION LOSS",IF(COUNTIFS('Site Dockets'!$E$7:$E$24,C203,'Site Dockets'!$C$7:$C$24,F203)&gt;0,1,0),0))</f>
        <v>0</v>
      </c>
      <c r="L203" s="15" t="n">
        <f aca="false">IF(J203=1,0,Inputs!$B$11)</f>
        <v>100</v>
      </c>
      <c r="M203" s="15" t="n">
        <f aca="false">IF(J203=1,0,Inputs!$B$12)</f>
        <v>75</v>
      </c>
      <c r="N203" s="15" t="n">
        <f aca="false">IF(J203=1,0,IF(OR(AND(OR(B203="SITE LOSS",B203="REGION LOSS"),K203=1),AND(B203="ROLE COMPROMISE",H203=C203)),Inputs!$B$13,Inputs!$B$14))</f>
        <v>10</v>
      </c>
      <c r="O203" s="15" t="n">
        <f aca="false">IF(J203=1,0,Inputs!$B$13)</f>
        <v>20</v>
      </c>
      <c r="P203" s="15" t="n">
        <f aca="false">SUM(M203:N203)</f>
        <v>85</v>
      </c>
      <c r="Q203" s="15" t="n">
        <f aca="false">IF(J203=1,"",L203-P203)</f>
        <v>15</v>
      </c>
      <c r="R203" s="15" t="n">
        <f aca="false">IF(OR(J203=1,M203&lt;=Inputs!$B$12),1,0)</f>
        <v>1</v>
      </c>
      <c r="S203" s="15" t="n">
        <f aca="false">IF(OR(J203=1,N203&lt;=O203),1,0)</f>
        <v>1</v>
      </c>
      <c r="T203" s="15" t="str">
        <f aca="false">IF(J203=1,"OFFLINE",IF(AND(Q203&gt;=Inputs!$B$15,R203=1,S203=1,P203&lt;=L203),"PASS","FAIL"))</f>
        <v>PASS</v>
      </c>
    </row>
    <row r="204" customFormat="false" ht="15" hidden="false" customHeight="false" outlineLevel="0" collapsed="false">
      <c r="A204" s="14" t="s">
        <v>1020</v>
      </c>
      <c r="B204" s="14" t="s">
        <v>1019</v>
      </c>
      <c r="C204" s="14" t="s">
        <v>156</v>
      </c>
      <c r="D204" s="14" t="s">
        <v>196</v>
      </c>
      <c r="E204" s="14" t="s">
        <v>172</v>
      </c>
      <c r="F204" s="14" t="s">
        <v>191</v>
      </c>
      <c r="G204" s="14" t="n">
        <v>3</v>
      </c>
      <c r="H204" s="14" t="s">
        <v>158</v>
      </c>
      <c r="I204" s="14" t="s">
        <v>899</v>
      </c>
      <c r="J204" s="15" t="n">
        <f aca="false">IF(B204="SITE LOSS",IF(D204=C204,1,0),IF(B204="REGION LOSS",IF(E204=C204,1,0),0))</f>
        <v>0</v>
      </c>
      <c r="K204" s="15" t="n">
        <f aca="false">IF(B204="SITE LOSS",IF(COUNTIFS('Site Dockets'!$B$7:$B$24,C204,'Site Dockets'!$C$7:$C$24,F204)&gt;0,1,0),IF(B204="REGION LOSS",IF(COUNTIFS('Site Dockets'!$E$7:$E$24,C204,'Site Dockets'!$C$7:$C$24,F204)&gt;0,1,0),0))</f>
        <v>0</v>
      </c>
      <c r="L204" s="15" t="n">
        <f aca="false">IF(J204=1,0,Inputs!$B$11)</f>
        <v>100</v>
      </c>
      <c r="M204" s="15" t="n">
        <f aca="false">IF(J204=1,0,Inputs!$B$12)</f>
        <v>75</v>
      </c>
      <c r="N204" s="15" t="n">
        <f aca="false">IF(J204=1,0,IF(OR(AND(OR(B204="SITE LOSS",B204="REGION LOSS"),K204=1),AND(B204="ROLE COMPROMISE",H204=C204)),Inputs!$B$13,Inputs!$B$14))</f>
        <v>10</v>
      </c>
      <c r="O204" s="15" t="n">
        <f aca="false">IF(J204=1,0,Inputs!$B$13)</f>
        <v>20</v>
      </c>
      <c r="P204" s="15" t="n">
        <f aca="false">SUM(M204:N204)</f>
        <v>85</v>
      </c>
      <c r="Q204" s="15" t="n">
        <f aca="false">IF(J204=1,"",L204-P204)</f>
        <v>15</v>
      </c>
      <c r="R204" s="15" t="n">
        <f aca="false">IF(OR(J204=1,M204&lt;=Inputs!$B$12),1,0)</f>
        <v>1</v>
      </c>
      <c r="S204" s="15" t="n">
        <f aca="false">IF(OR(J204=1,N204&lt;=O204),1,0)</f>
        <v>1</v>
      </c>
      <c r="T204" s="15" t="str">
        <f aca="false">IF(J204=1,"OFFLINE",IF(AND(Q204&gt;=Inputs!$B$15,R204=1,S204=1,P204&lt;=L204),"PASS","FAIL"))</f>
        <v>PASS</v>
      </c>
    </row>
    <row r="205" customFormat="false" ht="15" hidden="false" customHeight="false" outlineLevel="0" collapsed="false">
      <c r="A205" s="14" t="s">
        <v>1020</v>
      </c>
      <c r="B205" s="14" t="s">
        <v>1019</v>
      </c>
      <c r="C205" s="14" t="s">
        <v>156</v>
      </c>
      <c r="D205" s="14" t="s">
        <v>198</v>
      </c>
      <c r="E205" s="14" t="s">
        <v>166</v>
      </c>
      <c r="F205" s="14" t="s">
        <v>199</v>
      </c>
      <c r="G205" s="14" t="n">
        <v>1</v>
      </c>
      <c r="H205" s="14" t="s">
        <v>154</v>
      </c>
      <c r="I205" s="14" t="s">
        <v>890</v>
      </c>
      <c r="J205" s="15" t="n">
        <f aca="false">IF(B205="SITE LOSS",IF(D205=C205,1,0),IF(B205="REGION LOSS",IF(E205=C205,1,0),0))</f>
        <v>0</v>
      </c>
      <c r="K205" s="15" t="n">
        <f aca="false">IF(B205="SITE LOSS",IF(COUNTIFS('Site Dockets'!$B$7:$B$24,C205,'Site Dockets'!$C$7:$C$24,F205)&gt;0,1,0),IF(B205="REGION LOSS",IF(COUNTIFS('Site Dockets'!$E$7:$E$24,C205,'Site Dockets'!$C$7:$C$24,F205)&gt;0,1,0),0))</f>
        <v>0</v>
      </c>
      <c r="L205" s="15" t="n">
        <f aca="false">IF(J205=1,0,Inputs!$B$11)</f>
        <v>100</v>
      </c>
      <c r="M205" s="15" t="n">
        <f aca="false">IF(J205=1,0,Inputs!$B$12)</f>
        <v>75</v>
      </c>
      <c r="N205" s="15" t="n">
        <f aca="false">IF(J205=1,0,IF(OR(AND(OR(B205="SITE LOSS",B205="REGION LOSS"),K205=1),AND(B205="ROLE COMPROMISE",H205=C205)),Inputs!$B$13,Inputs!$B$14))</f>
        <v>10</v>
      </c>
      <c r="O205" s="15" t="n">
        <f aca="false">IF(J205=1,0,Inputs!$B$13)</f>
        <v>20</v>
      </c>
      <c r="P205" s="15" t="n">
        <f aca="false">SUM(M205:N205)</f>
        <v>85</v>
      </c>
      <c r="Q205" s="15" t="n">
        <f aca="false">IF(J205=1,"",L205-P205)</f>
        <v>15</v>
      </c>
      <c r="R205" s="15" t="n">
        <f aca="false">IF(OR(J205=1,M205&lt;=Inputs!$B$12),1,0)</f>
        <v>1</v>
      </c>
      <c r="S205" s="15" t="n">
        <f aca="false">IF(OR(J205=1,N205&lt;=O205),1,0)</f>
        <v>1</v>
      </c>
      <c r="T205" s="15" t="str">
        <f aca="false">IF(J205=1,"OFFLINE",IF(AND(Q205&gt;=Inputs!$B$15,R205=1,S205=1,P205&lt;=L205),"PASS","FAIL"))</f>
        <v>PASS</v>
      </c>
    </row>
    <row r="206" customFormat="false" ht="15" hidden="false" customHeight="false" outlineLevel="0" collapsed="false">
      <c r="A206" s="14" t="s">
        <v>1020</v>
      </c>
      <c r="B206" s="14" t="s">
        <v>1019</v>
      </c>
      <c r="C206" s="14" t="s">
        <v>156</v>
      </c>
      <c r="D206" s="14" t="s">
        <v>198</v>
      </c>
      <c r="E206" s="14" t="s">
        <v>166</v>
      </c>
      <c r="F206" s="14" t="s">
        <v>199</v>
      </c>
      <c r="G206" s="14" t="n">
        <v>1</v>
      </c>
      <c r="H206" s="14" t="s">
        <v>154</v>
      </c>
      <c r="I206" s="14" t="s">
        <v>892</v>
      </c>
      <c r="J206" s="15" t="n">
        <f aca="false">IF(B206="SITE LOSS",IF(D206=C206,1,0),IF(B206="REGION LOSS",IF(E206=C206,1,0),0))</f>
        <v>0</v>
      </c>
      <c r="K206" s="15" t="n">
        <f aca="false">IF(B206="SITE LOSS",IF(COUNTIFS('Site Dockets'!$B$7:$B$24,C206,'Site Dockets'!$C$7:$C$24,F206)&gt;0,1,0),IF(B206="REGION LOSS",IF(COUNTIFS('Site Dockets'!$E$7:$E$24,C206,'Site Dockets'!$C$7:$C$24,F206)&gt;0,1,0),0))</f>
        <v>0</v>
      </c>
      <c r="L206" s="15" t="n">
        <f aca="false">IF(J206=1,0,Inputs!$B$11)</f>
        <v>100</v>
      </c>
      <c r="M206" s="15" t="n">
        <f aca="false">IF(J206=1,0,Inputs!$B$12)</f>
        <v>75</v>
      </c>
      <c r="N206" s="15" t="n">
        <f aca="false">IF(J206=1,0,IF(OR(AND(OR(B206="SITE LOSS",B206="REGION LOSS"),K206=1),AND(B206="ROLE COMPROMISE",H206=C206)),Inputs!$B$13,Inputs!$B$14))</f>
        <v>10</v>
      </c>
      <c r="O206" s="15" t="n">
        <f aca="false">IF(J206=1,0,Inputs!$B$13)</f>
        <v>20</v>
      </c>
      <c r="P206" s="15" t="n">
        <f aca="false">SUM(M206:N206)</f>
        <v>85</v>
      </c>
      <c r="Q206" s="15" t="n">
        <f aca="false">IF(J206=1,"",L206-P206)</f>
        <v>15</v>
      </c>
      <c r="R206" s="15" t="n">
        <f aca="false">IF(OR(J206=1,M206&lt;=Inputs!$B$12),1,0)</f>
        <v>1</v>
      </c>
      <c r="S206" s="15" t="n">
        <f aca="false">IF(OR(J206=1,N206&lt;=O206),1,0)</f>
        <v>1</v>
      </c>
      <c r="T206" s="15" t="str">
        <f aca="false">IF(J206=1,"OFFLINE",IF(AND(Q206&gt;=Inputs!$B$15,R206=1,S206=1,P206&lt;=L206),"PASS","FAIL"))</f>
        <v>PASS</v>
      </c>
    </row>
    <row r="207" customFormat="false" ht="15" hidden="false" customHeight="false" outlineLevel="0" collapsed="false">
      <c r="A207" s="14" t="s">
        <v>1020</v>
      </c>
      <c r="B207" s="14" t="s">
        <v>1019</v>
      </c>
      <c r="C207" s="14" t="s">
        <v>156</v>
      </c>
      <c r="D207" s="14" t="s">
        <v>198</v>
      </c>
      <c r="E207" s="14" t="s">
        <v>166</v>
      </c>
      <c r="F207" s="14" t="s">
        <v>199</v>
      </c>
      <c r="G207" s="14" t="n">
        <v>1</v>
      </c>
      <c r="H207" s="14" t="s">
        <v>154</v>
      </c>
      <c r="I207" s="14" t="s">
        <v>811</v>
      </c>
      <c r="J207" s="15" t="n">
        <f aca="false">IF(B207="SITE LOSS",IF(D207=C207,1,0),IF(B207="REGION LOSS",IF(E207=C207,1,0),0))</f>
        <v>0</v>
      </c>
      <c r="K207" s="15" t="n">
        <f aca="false">IF(B207="SITE LOSS",IF(COUNTIFS('Site Dockets'!$B$7:$B$24,C207,'Site Dockets'!$C$7:$C$24,F207)&gt;0,1,0),IF(B207="REGION LOSS",IF(COUNTIFS('Site Dockets'!$E$7:$E$24,C207,'Site Dockets'!$C$7:$C$24,F207)&gt;0,1,0),0))</f>
        <v>0</v>
      </c>
      <c r="L207" s="15" t="n">
        <f aca="false">IF(J207=1,0,Inputs!$B$11)</f>
        <v>100</v>
      </c>
      <c r="M207" s="15" t="n">
        <f aca="false">IF(J207=1,0,Inputs!$B$12)</f>
        <v>75</v>
      </c>
      <c r="N207" s="15" t="n">
        <f aca="false">IF(J207=1,0,IF(OR(AND(OR(B207="SITE LOSS",B207="REGION LOSS"),K207=1),AND(B207="ROLE COMPROMISE",H207=C207)),Inputs!$B$13,Inputs!$B$14))</f>
        <v>10</v>
      </c>
      <c r="O207" s="15" t="n">
        <f aca="false">IF(J207=1,0,Inputs!$B$13)</f>
        <v>20</v>
      </c>
      <c r="P207" s="15" t="n">
        <f aca="false">SUM(M207:N207)</f>
        <v>85</v>
      </c>
      <c r="Q207" s="15" t="n">
        <f aca="false">IF(J207=1,"",L207-P207)</f>
        <v>15</v>
      </c>
      <c r="R207" s="15" t="n">
        <f aca="false">IF(OR(J207=1,M207&lt;=Inputs!$B$12),1,0)</f>
        <v>1</v>
      </c>
      <c r="S207" s="15" t="n">
        <f aca="false">IF(OR(J207=1,N207&lt;=O207),1,0)</f>
        <v>1</v>
      </c>
      <c r="T207" s="15" t="str">
        <f aca="false">IF(J207=1,"OFFLINE",IF(AND(Q207&gt;=Inputs!$B$15,R207=1,S207=1,P207&lt;=L207),"PASS","FAIL"))</f>
        <v>PASS</v>
      </c>
    </row>
    <row r="208" customFormat="false" ht="15" hidden="false" customHeight="false" outlineLevel="0" collapsed="false">
      <c r="A208" s="14" t="s">
        <v>1020</v>
      </c>
      <c r="B208" s="14" t="s">
        <v>1019</v>
      </c>
      <c r="C208" s="14" t="s">
        <v>156</v>
      </c>
      <c r="D208" s="14" t="s">
        <v>198</v>
      </c>
      <c r="E208" s="14" t="s">
        <v>166</v>
      </c>
      <c r="F208" s="14" t="s">
        <v>199</v>
      </c>
      <c r="G208" s="14" t="n">
        <v>1</v>
      </c>
      <c r="H208" s="14" t="s">
        <v>154</v>
      </c>
      <c r="I208" s="14" t="s">
        <v>895</v>
      </c>
      <c r="J208" s="15" t="n">
        <f aca="false">IF(B208="SITE LOSS",IF(D208=C208,1,0),IF(B208="REGION LOSS",IF(E208=C208,1,0),0))</f>
        <v>0</v>
      </c>
      <c r="K208" s="15" t="n">
        <f aca="false">IF(B208="SITE LOSS",IF(COUNTIFS('Site Dockets'!$B$7:$B$24,C208,'Site Dockets'!$C$7:$C$24,F208)&gt;0,1,0),IF(B208="REGION LOSS",IF(COUNTIFS('Site Dockets'!$E$7:$E$24,C208,'Site Dockets'!$C$7:$C$24,F208)&gt;0,1,0),0))</f>
        <v>0</v>
      </c>
      <c r="L208" s="15" t="n">
        <f aca="false">IF(J208=1,0,Inputs!$B$11)</f>
        <v>100</v>
      </c>
      <c r="M208" s="15" t="n">
        <f aca="false">IF(J208=1,0,Inputs!$B$12)</f>
        <v>75</v>
      </c>
      <c r="N208" s="15" t="n">
        <f aca="false">IF(J208=1,0,IF(OR(AND(OR(B208="SITE LOSS",B208="REGION LOSS"),K208=1),AND(B208="ROLE COMPROMISE",H208=C208)),Inputs!$B$13,Inputs!$B$14))</f>
        <v>10</v>
      </c>
      <c r="O208" s="15" t="n">
        <f aca="false">IF(J208=1,0,Inputs!$B$13)</f>
        <v>20</v>
      </c>
      <c r="P208" s="15" t="n">
        <f aca="false">SUM(M208:N208)</f>
        <v>85</v>
      </c>
      <c r="Q208" s="15" t="n">
        <f aca="false">IF(J208=1,"",L208-P208)</f>
        <v>15</v>
      </c>
      <c r="R208" s="15" t="n">
        <f aca="false">IF(OR(J208=1,M208&lt;=Inputs!$B$12),1,0)</f>
        <v>1</v>
      </c>
      <c r="S208" s="15" t="n">
        <f aca="false">IF(OR(J208=1,N208&lt;=O208),1,0)</f>
        <v>1</v>
      </c>
      <c r="T208" s="15" t="str">
        <f aca="false">IF(J208=1,"OFFLINE",IF(AND(Q208&gt;=Inputs!$B$15,R208=1,S208=1,P208&lt;=L208),"PASS","FAIL"))</f>
        <v>PASS</v>
      </c>
    </row>
    <row r="209" customFormat="false" ht="15" hidden="false" customHeight="false" outlineLevel="0" collapsed="false">
      <c r="A209" s="14" t="s">
        <v>1020</v>
      </c>
      <c r="B209" s="14" t="s">
        <v>1019</v>
      </c>
      <c r="C209" s="14" t="s">
        <v>156</v>
      </c>
      <c r="D209" s="14" t="s">
        <v>198</v>
      </c>
      <c r="E209" s="14" t="s">
        <v>166</v>
      </c>
      <c r="F209" s="14" t="s">
        <v>199</v>
      </c>
      <c r="G209" s="14" t="n">
        <v>1</v>
      </c>
      <c r="H209" s="14" t="s">
        <v>154</v>
      </c>
      <c r="I209" s="14" t="s">
        <v>897</v>
      </c>
      <c r="J209" s="15" t="n">
        <f aca="false">IF(B209="SITE LOSS",IF(D209=C209,1,0),IF(B209="REGION LOSS",IF(E209=C209,1,0),0))</f>
        <v>0</v>
      </c>
      <c r="K209" s="15" t="n">
        <f aca="false">IF(B209="SITE LOSS",IF(COUNTIFS('Site Dockets'!$B$7:$B$24,C209,'Site Dockets'!$C$7:$C$24,F209)&gt;0,1,0),IF(B209="REGION LOSS",IF(COUNTIFS('Site Dockets'!$E$7:$E$24,C209,'Site Dockets'!$C$7:$C$24,F209)&gt;0,1,0),0))</f>
        <v>0</v>
      </c>
      <c r="L209" s="15" t="n">
        <f aca="false">IF(J209=1,0,Inputs!$B$11)</f>
        <v>100</v>
      </c>
      <c r="M209" s="15" t="n">
        <f aca="false">IF(J209=1,0,Inputs!$B$12)</f>
        <v>75</v>
      </c>
      <c r="N209" s="15" t="n">
        <f aca="false">IF(J209=1,0,IF(OR(AND(OR(B209="SITE LOSS",B209="REGION LOSS"),K209=1),AND(B209="ROLE COMPROMISE",H209=C209)),Inputs!$B$13,Inputs!$B$14))</f>
        <v>10</v>
      </c>
      <c r="O209" s="15" t="n">
        <f aca="false">IF(J209=1,0,Inputs!$B$13)</f>
        <v>20</v>
      </c>
      <c r="P209" s="15" t="n">
        <f aca="false">SUM(M209:N209)</f>
        <v>85</v>
      </c>
      <c r="Q209" s="15" t="n">
        <f aca="false">IF(J209=1,"",L209-P209)</f>
        <v>15</v>
      </c>
      <c r="R209" s="15" t="n">
        <f aca="false">IF(OR(J209=1,M209&lt;=Inputs!$B$12),1,0)</f>
        <v>1</v>
      </c>
      <c r="S209" s="15" t="n">
        <f aca="false">IF(OR(J209=1,N209&lt;=O209),1,0)</f>
        <v>1</v>
      </c>
      <c r="T209" s="15" t="str">
        <f aca="false">IF(J209=1,"OFFLINE",IF(AND(Q209&gt;=Inputs!$B$15,R209=1,S209=1,P209&lt;=L209),"PASS","FAIL"))</f>
        <v>PASS</v>
      </c>
    </row>
    <row r="210" customFormat="false" ht="15" hidden="false" customHeight="false" outlineLevel="0" collapsed="false">
      <c r="A210" s="14" t="s">
        <v>1020</v>
      </c>
      <c r="B210" s="14" t="s">
        <v>1019</v>
      </c>
      <c r="C210" s="14" t="s">
        <v>156</v>
      </c>
      <c r="D210" s="14" t="s">
        <v>198</v>
      </c>
      <c r="E210" s="14" t="s">
        <v>166</v>
      </c>
      <c r="F210" s="14" t="s">
        <v>199</v>
      </c>
      <c r="G210" s="14" t="n">
        <v>1</v>
      </c>
      <c r="H210" s="14" t="s">
        <v>154</v>
      </c>
      <c r="I210" s="14" t="s">
        <v>899</v>
      </c>
      <c r="J210" s="15" t="n">
        <f aca="false">IF(B210="SITE LOSS",IF(D210=C210,1,0),IF(B210="REGION LOSS",IF(E210=C210,1,0),0))</f>
        <v>0</v>
      </c>
      <c r="K210" s="15" t="n">
        <f aca="false">IF(B210="SITE LOSS",IF(COUNTIFS('Site Dockets'!$B$7:$B$24,C210,'Site Dockets'!$C$7:$C$24,F210)&gt;0,1,0),IF(B210="REGION LOSS",IF(COUNTIFS('Site Dockets'!$E$7:$E$24,C210,'Site Dockets'!$C$7:$C$24,F210)&gt;0,1,0),0))</f>
        <v>0</v>
      </c>
      <c r="L210" s="15" t="n">
        <f aca="false">IF(J210=1,0,Inputs!$B$11)</f>
        <v>100</v>
      </c>
      <c r="M210" s="15" t="n">
        <f aca="false">IF(J210=1,0,Inputs!$B$12)</f>
        <v>75</v>
      </c>
      <c r="N210" s="15" t="n">
        <f aca="false">IF(J210=1,0,IF(OR(AND(OR(B210="SITE LOSS",B210="REGION LOSS"),K210=1),AND(B210="ROLE COMPROMISE",H210=C210)),Inputs!$B$13,Inputs!$B$14))</f>
        <v>10</v>
      </c>
      <c r="O210" s="15" t="n">
        <f aca="false">IF(J210=1,0,Inputs!$B$13)</f>
        <v>20</v>
      </c>
      <c r="P210" s="15" t="n">
        <f aca="false">SUM(M210:N210)</f>
        <v>85</v>
      </c>
      <c r="Q210" s="15" t="n">
        <f aca="false">IF(J210=1,"",L210-P210)</f>
        <v>15</v>
      </c>
      <c r="R210" s="15" t="n">
        <f aca="false">IF(OR(J210=1,M210&lt;=Inputs!$B$12),1,0)</f>
        <v>1</v>
      </c>
      <c r="S210" s="15" t="n">
        <f aca="false">IF(OR(J210=1,N210&lt;=O210),1,0)</f>
        <v>1</v>
      </c>
      <c r="T210" s="15" t="str">
        <f aca="false">IF(J210=1,"OFFLINE",IF(AND(Q210&gt;=Inputs!$B$15,R210=1,S210=1,P210&lt;=L210),"PASS","FAIL"))</f>
        <v>PASS</v>
      </c>
    </row>
    <row r="211" customFormat="false" ht="15" hidden="false" customHeight="false" outlineLevel="0" collapsed="false">
      <c r="A211" s="14" t="s">
        <v>1020</v>
      </c>
      <c r="B211" s="14" t="s">
        <v>1019</v>
      </c>
      <c r="C211" s="14" t="s">
        <v>156</v>
      </c>
      <c r="D211" s="14" t="s">
        <v>202</v>
      </c>
      <c r="E211" s="14" t="s">
        <v>157</v>
      </c>
      <c r="F211" s="14" t="s">
        <v>199</v>
      </c>
      <c r="G211" s="14" t="n">
        <v>2</v>
      </c>
      <c r="H211" s="14" t="s">
        <v>153</v>
      </c>
      <c r="I211" s="14" t="s">
        <v>890</v>
      </c>
      <c r="J211" s="15" t="n">
        <f aca="false">IF(B211="SITE LOSS",IF(D211=C211,1,0),IF(B211="REGION LOSS",IF(E211=C211,1,0),0))</f>
        <v>0</v>
      </c>
      <c r="K211" s="15" t="n">
        <f aca="false">IF(B211="SITE LOSS",IF(COUNTIFS('Site Dockets'!$B$7:$B$24,C211,'Site Dockets'!$C$7:$C$24,F211)&gt;0,1,0),IF(B211="REGION LOSS",IF(COUNTIFS('Site Dockets'!$E$7:$E$24,C211,'Site Dockets'!$C$7:$C$24,F211)&gt;0,1,0),0))</f>
        <v>0</v>
      </c>
      <c r="L211" s="15" t="n">
        <f aca="false">IF(J211=1,0,Inputs!$B$11)</f>
        <v>100</v>
      </c>
      <c r="M211" s="15" t="n">
        <f aca="false">IF(J211=1,0,Inputs!$B$12)</f>
        <v>75</v>
      </c>
      <c r="N211" s="15" t="n">
        <f aca="false">IF(J211=1,0,IF(OR(AND(OR(B211="SITE LOSS",B211="REGION LOSS"),K211=1),AND(B211="ROLE COMPROMISE",H211=C211)),Inputs!$B$13,Inputs!$B$14))</f>
        <v>10</v>
      </c>
      <c r="O211" s="15" t="n">
        <f aca="false">IF(J211=1,0,Inputs!$B$13)</f>
        <v>20</v>
      </c>
      <c r="P211" s="15" t="n">
        <f aca="false">SUM(M211:N211)</f>
        <v>85</v>
      </c>
      <c r="Q211" s="15" t="n">
        <f aca="false">IF(J211=1,"",L211-P211)</f>
        <v>15</v>
      </c>
      <c r="R211" s="15" t="n">
        <f aca="false">IF(OR(J211=1,M211&lt;=Inputs!$B$12),1,0)</f>
        <v>1</v>
      </c>
      <c r="S211" s="15" t="n">
        <f aca="false">IF(OR(J211=1,N211&lt;=O211),1,0)</f>
        <v>1</v>
      </c>
      <c r="T211" s="15" t="str">
        <f aca="false">IF(J211=1,"OFFLINE",IF(AND(Q211&gt;=Inputs!$B$15,R211=1,S211=1,P211&lt;=L211),"PASS","FAIL"))</f>
        <v>PASS</v>
      </c>
    </row>
    <row r="212" customFormat="false" ht="15" hidden="false" customHeight="false" outlineLevel="0" collapsed="false">
      <c r="A212" s="14" t="s">
        <v>1020</v>
      </c>
      <c r="B212" s="14" t="s">
        <v>1019</v>
      </c>
      <c r="C212" s="14" t="s">
        <v>156</v>
      </c>
      <c r="D212" s="14" t="s">
        <v>202</v>
      </c>
      <c r="E212" s="14" t="s">
        <v>157</v>
      </c>
      <c r="F212" s="14" t="s">
        <v>199</v>
      </c>
      <c r="G212" s="14" t="n">
        <v>2</v>
      </c>
      <c r="H212" s="14" t="s">
        <v>153</v>
      </c>
      <c r="I212" s="14" t="s">
        <v>892</v>
      </c>
      <c r="J212" s="15" t="n">
        <f aca="false">IF(B212="SITE LOSS",IF(D212=C212,1,0),IF(B212="REGION LOSS",IF(E212=C212,1,0),0))</f>
        <v>0</v>
      </c>
      <c r="K212" s="15" t="n">
        <f aca="false">IF(B212="SITE LOSS",IF(COUNTIFS('Site Dockets'!$B$7:$B$24,C212,'Site Dockets'!$C$7:$C$24,F212)&gt;0,1,0),IF(B212="REGION LOSS",IF(COUNTIFS('Site Dockets'!$E$7:$E$24,C212,'Site Dockets'!$C$7:$C$24,F212)&gt;0,1,0),0))</f>
        <v>0</v>
      </c>
      <c r="L212" s="15" t="n">
        <f aca="false">IF(J212=1,0,Inputs!$B$11)</f>
        <v>100</v>
      </c>
      <c r="M212" s="15" t="n">
        <f aca="false">IF(J212=1,0,Inputs!$B$12)</f>
        <v>75</v>
      </c>
      <c r="N212" s="15" t="n">
        <f aca="false">IF(J212=1,0,IF(OR(AND(OR(B212="SITE LOSS",B212="REGION LOSS"),K212=1),AND(B212="ROLE COMPROMISE",H212=C212)),Inputs!$B$13,Inputs!$B$14))</f>
        <v>10</v>
      </c>
      <c r="O212" s="15" t="n">
        <f aca="false">IF(J212=1,0,Inputs!$B$13)</f>
        <v>20</v>
      </c>
      <c r="P212" s="15" t="n">
        <f aca="false">SUM(M212:N212)</f>
        <v>85</v>
      </c>
      <c r="Q212" s="15" t="n">
        <f aca="false">IF(J212=1,"",L212-P212)</f>
        <v>15</v>
      </c>
      <c r="R212" s="15" t="n">
        <f aca="false">IF(OR(J212=1,M212&lt;=Inputs!$B$12),1,0)</f>
        <v>1</v>
      </c>
      <c r="S212" s="15" t="n">
        <f aca="false">IF(OR(J212=1,N212&lt;=O212),1,0)</f>
        <v>1</v>
      </c>
      <c r="T212" s="15" t="str">
        <f aca="false">IF(J212=1,"OFFLINE",IF(AND(Q212&gt;=Inputs!$B$15,R212=1,S212=1,P212&lt;=L212),"PASS","FAIL"))</f>
        <v>PASS</v>
      </c>
    </row>
    <row r="213" customFormat="false" ht="15" hidden="false" customHeight="false" outlineLevel="0" collapsed="false">
      <c r="A213" s="14" t="s">
        <v>1020</v>
      </c>
      <c r="B213" s="14" t="s">
        <v>1019</v>
      </c>
      <c r="C213" s="14" t="s">
        <v>156</v>
      </c>
      <c r="D213" s="14" t="s">
        <v>202</v>
      </c>
      <c r="E213" s="14" t="s">
        <v>157</v>
      </c>
      <c r="F213" s="14" t="s">
        <v>199</v>
      </c>
      <c r="G213" s="14" t="n">
        <v>2</v>
      </c>
      <c r="H213" s="14" t="s">
        <v>153</v>
      </c>
      <c r="I213" s="14" t="s">
        <v>811</v>
      </c>
      <c r="J213" s="15" t="n">
        <f aca="false">IF(B213="SITE LOSS",IF(D213=C213,1,0),IF(B213="REGION LOSS",IF(E213=C213,1,0),0))</f>
        <v>0</v>
      </c>
      <c r="K213" s="15" t="n">
        <f aca="false">IF(B213="SITE LOSS",IF(COUNTIFS('Site Dockets'!$B$7:$B$24,C213,'Site Dockets'!$C$7:$C$24,F213)&gt;0,1,0),IF(B213="REGION LOSS",IF(COUNTIFS('Site Dockets'!$E$7:$E$24,C213,'Site Dockets'!$C$7:$C$24,F213)&gt;0,1,0),0))</f>
        <v>0</v>
      </c>
      <c r="L213" s="15" t="n">
        <f aca="false">IF(J213=1,0,Inputs!$B$11)</f>
        <v>100</v>
      </c>
      <c r="M213" s="15" t="n">
        <f aca="false">IF(J213=1,0,Inputs!$B$12)</f>
        <v>75</v>
      </c>
      <c r="N213" s="15" t="n">
        <f aca="false">IF(J213=1,0,IF(OR(AND(OR(B213="SITE LOSS",B213="REGION LOSS"),K213=1),AND(B213="ROLE COMPROMISE",H213=C213)),Inputs!$B$13,Inputs!$B$14))</f>
        <v>10</v>
      </c>
      <c r="O213" s="15" t="n">
        <f aca="false">IF(J213=1,0,Inputs!$B$13)</f>
        <v>20</v>
      </c>
      <c r="P213" s="15" t="n">
        <f aca="false">SUM(M213:N213)</f>
        <v>85</v>
      </c>
      <c r="Q213" s="15" t="n">
        <f aca="false">IF(J213=1,"",L213-P213)</f>
        <v>15</v>
      </c>
      <c r="R213" s="15" t="n">
        <f aca="false">IF(OR(J213=1,M213&lt;=Inputs!$B$12),1,0)</f>
        <v>1</v>
      </c>
      <c r="S213" s="15" t="n">
        <f aca="false">IF(OR(J213=1,N213&lt;=O213),1,0)</f>
        <v>1</v>
      </c>
      <c r="T213" s="15" t="str">
        <f aca="false">IF(J213=1,"OFFLINE",IF(AND(Q213&gt;=Inputs!$B$15,R213=1,S213=1,P213&lt;=L213),"PASS","FAIL"))</f>
        <v>PASS</v>
      </c>
    </row>
    <row r="214" customFormat="false" ht="15" hidden="false" customHeight="false" outlineLevel="0" collapsed="false">
      <c r="A214" s="14" t="s">
        <v>1020</v>
      </c>
      <c r="B214" s="14" t="s">
        <v>1019</v>
      </c>
      <c r="C214" s="14" t="s">
        <v>156</v>
      </c>
      <c r="D214" s="14" t="s">
        <v>202</v>
      </c>
      <c r="E214" s="14" t="s">
        <v>157</v>
      </c>
      <c r="F214" s="14" t="s">
        <v>199</v>
      </c>
      <c r="G214" s="14" t="n">
        <v>2</v>
      </c>
      <c r="H214" s="14" t="s">
        <v>153</v>
      </c>
      <c r="I214" s="14" t="s">
        <v>895</v>
      </c>
      <c r="J214" s="15" t="n">
        <f aca="false">IF(B214="SITE LOSS",IF(D214=C214,1,0),IF(B214="REGION LOSS",IF(E214=C214,1,0),0))</f>
        <v>0</v>
      </c>
      <c r="K214" s="15" t="n">
        <f aca="false">IF(B214="SITE LOSS",IF(COUNTIFS('Site Dockets'!$B$7:$B$24,C214,'Site Dockets'!$C$7:$C$24,F214)&gt;0,1,0),IF(B214="REGION LOSS",IF(COUNTIFS('Site Dockets'!$E$7:$E$24,C214,'Site Dockets'!$C$7:$C$24,F214)&gt;0,1,0),0))</f>
        <v>0</v>
      </c>
      <c r="L214" s="15" t="n">
        <f aca="false">IF(J214=1,0,Inputs!$B$11)</f>
        <v>100</v>
      </c>
      <c r="M214" s="15" t="n">
        <f aca="false">IF(J214=1,0,Inputs!$B$12)</f>
        <v>75</v>
      </c>
      <c r="N214" s="15" t="n">
        <f aca="false">IF(J214=1,0,IF(OR(AND(OR(B214="SITE LOSS",B214="REGION LOSS"),K214=1),AND(B214="ROLE COMPROMISE",H214=C214)),Inputs!$B$13,Inputs!$B$14))</f>
        <v>10</v>
      </c>
      <c r="O214" s="15" t="n">
        <f aca="false">IF(J214=1,0,Inputs!$B$13)</f>
        <v>20</v>
      </c>
      <c r="P214" s="15" t="n">
        <f aca="false">SUM(M214:N214)</f>
        <v>85</v>
      </c>
      <c r="Q214" s="15" t="n">
        <f aca="false">IF(J214=1,"",L214-P214)</f>
        <v>15</v>
      </c>
      <c r="R214" s="15" t="n">
        <f aca="false">IF(OR(J214=1,M214&lt;=Inputs!$B$12),1,0)</f>
        <v>1</v>
      </c>
      <c r="S214" s="15" t="n">
        <f aca="false">IF(OR(J214=1,N214&lt;=O214),1,0)</f>
        <v>1</v>
      </c>
      <c r="T214" s="15" t="str">
        <f aca="false">IF(J214=1,"OFFLINE",IF(AND(Q214&gt;=Inputs!$B$15,R214=1,S214=1,P214&lt;=L214),"PASS","FAIL"))</f>
        <v>PASS</v>
      </c>
    </row>
    <row r="215" customFormat="false" ht="15" hidden="false" customHeight="false" outlineLevel="0" collapsed="false">
      <c r="A215" s="14" t="s">
        <v>1020</v>
      </c>
      <c r="B215" s="14" t="s">
        <v>1019</v>
      </c>
      <c r="C215" s="14" t="s">
        <v>156</v>
      </c>
      <c r="D215" s="14" t="s">
        <v>202</v>
      </c>
      <c r="E215" s="14" t="s">
        <v>157</v>
      </c>
      <c r="F215" s="14" t="s">
        <v>199</v>
      </c>
      <c r="G215" s="14" t="n">
        <v>2</v>
      </c>
      <c r="H215" s="14" t="s">
        <v>153</v>
      </c>
      <c r="I215" s="14" t="s">
        <v>897</v>
      </c>
      <c r="J215" s="15" t="n">
        <f aca="false">IF(B215="SITE LOSS",IF(D215=C215,1,0),IF(B215="REGION LOSS",IF(E215=C215,1,0),0))</f>
        <v>0</v>
      </c>
      <c r="K215" s="15" t="n">
        <f aca="false">IF(B215="SITE LOSS",IF(COUNTIFS('Site Dockets'!$B$7:$B$24,C215,'Site Dockets'!$C$7:$C$24,F215)&gt;0,1,0),IF(B215="REGION LOSS",IF(COUNTIFS('Site Dockets'!$E$7:$E$24,C215,'Site Dockets'!$C$7:$C$24,F215)&gt;0,1,0),0))</f>
        <v>0</v>
      </c>
      <c r="L215" s="15" t="n">
        <f aca="false">IF(J215=1,0,Inputs!$B$11)</f>
        <v>100</v>
      </c>
      <c r="M215" s="15" t="n">
        <f aca="false">IF(J215=1,0,Inputs!$B$12)</f>
        <v>75</v>
      </c>
      <c r="N215" s="15" t="n">
        <f aca="false">IF(J215=1,0,IF(OR(AND(OR(B215="SITE LOSS",B215="REGION LOSS"),K215=1),AND(B215="ROLE COMPROMISE",H215=C215)),Inputs!$B$13,Inputs!$B$14))</f>
        <v>10</v>
      </c>
      <c r="O215" s="15" t="n">
        <f aca="false">IF(J215=1,0,Inputs!$B$13)</f>
        <v>20</v>
      </c>
      <c r="P215" s="15" t="n">
        <f aca="false">SUM(M215:N215)</f>
        <v>85</v>
      </c>
      <c r="Q215" s="15" t="n">
        <f aca="false">IF(J215=1,"",L215-P215)</f>
        <v>15</v>
      </c>
      <c r="R215" s="15" t="n">
        <f aca="false">IF(OR(J215=1,M215&lt;=Inputs!$B$12),1,0)</f>
        <v>1</v>
      </c>
      <c r="S215" s="15" t="n">
        <f aca="false">IF(OR(J215=1,N215&lt;=O215),1,0)</f>
        <v>1</v>
      </c>
      <c r="T215" s="15" t="str">
        <f aca="false">IF(J215=1,"OFFLINE",IF(AND(Q215&gt;=Inputs!$B$15,R215=1,S215=1,P215&lt;=L215),"PASS","FAIL"))</f>
        <v>PASS</v>
      </c>
    </row>
    <row r="216" customFormat="false" ht="15" hidden="false" customHeight="false" outlineLevel="0" collapsed="false">
      <c r="A216" s="14" t="s">
        <v>1020</v>
      </c>
      <c r="B216" s="14" t="s">
        <v>1019</v>
      </c>
      <c r="C216" s="14" t="s">
        <v>156</v>
      </c>
      <c r="D216" s="14" t="s">
        <v>202</v>
      </c>
      <c r="E216" s="14" t="s">
        <v>157</v>
      </c>
      <c r="F216" s="14" t="s">
        <v>199</v>
      </c>
      <c r="G216" s="14" t="n">
        <v>2</v>
      </c>
      <c r="H216" s="14" t="s">
        <v>153</v>
      </c>
      <c r="I216" s="14" t="s">
        <v>899</v>
      </c>
      <c r="J216" s="15" t="n">
        <f aca="false">IF(B216="SITE LOSS",IF(D216=C216,1,0),IF(B216="REGION LOSS",IF(E216=C216,1,0),0))</f>
        <v>0</v>
      </c>
      <c r="K216" s="15" t="n">
        <f aca="false">IF(B216="SITE LOSS",IF(COUNTIFS('Site Dockets'!$B$7:$B$24,C216,'Site Dockets'!$C$7:$C$24,F216)&gt;0,1,0),IF(B216="REGION LOSS",IF(COUNTIFS('Site Dockets'!$E$7:$E$24,C216,'Site Dockets'!$C$7:$C$24,F216)&gt;0,1,0),0))</f>
        <v>0</v>
      </c>
      <c r="L216" s="15" t="n">
        <f aca="false">IF(J216=1,0,Inputs!$B$11)</f>
        <v>100</v>
      </c>
      <c r="M216" s="15" t="n">
        <f aca="false">IF(J216=1,0,Inputs!$B$12)</f>
        <v>75</v>
      </c>
      <c r="N216" s="15" t="n">
        <f aca="false">IF(J216=1,0,IF(OR(AND(OR(B216="SITE LOSS",B216="REGION LOSS"),K216=1),AND(B216="ROLE COMPROMISE",H216=C216)),Inputs!$B$13,Inputs!$B$14))</f>
        <v>10</v>
      </c>
      <c r="O216" s="15" t="n">
        <f aca="false">IF(J216=1,0,Inputs!$B$13)</f>
        <v>20</v>
      </c>
      <c r="P216" s="15" t="n">
        <f aca="false">SUM(M216:N216)</f>
        <v>85</v>
      </c>
      <c r="Q216" s="15" t="n">
        <f aca="false">IF(J216=1,"",L216-P216)</f>
        <v>15</v>
      </c>
      <c r="R216" s="15" t="n">
        <f aca="false">IF(OR(J216=1,M216&lt;=Inputs!$B$12),1,0)</f>
        <v>1</v>
      </c>
      <c r="S216" s="15" t="n">
        <f aca="false">IF(OR(J216=1,N216&lt;=O216),1,0)</f>
        <v>1</v>
      </c>
      <c r="T216" s="15" t="str">
        <f aca="false">IF(J216=1,"OFFLINE",IF(AND(Q216&gt;=Inputs!$B$15,R216=1,S216=1,P216&lt;=L216),"PASS","FAIL"))</f>
        <v>PASS</v>
      </c>
    </row>
    <row r="217" customFormat="false" ht="15" hidden="false" customHeight="false" outlineLevel="0" collapsed="false">
      <c r="A217" s="14" t="s">
        <v>1020</v>
      </c>
      <c r="B217" s="14" t="s">
        <v>1019</v>
      </c>
      <c r="C217" s="14" t="s">
        <v>156</v>
      </c>
      <c r="D217" s="14" t="s">
        <v>204</v>
      </c>
      <c r="E217" s="14" t="s">
        <v>161</v>
      </c>
      <c r="F217" s="14" t="s">
        <v>199</v>
      </c>
      <c r="G217" s="14" t="n">
        <v>3</v>
      </c>
      <c r="H217" s="14" t="s">
        <v>158</v>
      </c>
      <c r="I217" s="14" t="s">
        <v>890</v>
      </c>
      <c r="J217" s="15" t="n">
        <f aca="false">IF(B217="SITE LOSS",IF(D217=C217,1,0),IF(B217="REGION LOSS",IF(E217=C217,1,0),0))</f>
        <v>0</v>
      </c>
      <c r="K217" s="15" t="n">
        <f aca="false">IF(B217="SITE LOSS",IF(COUNTIFS('Site Dockets'!$B$7:$B$24,C217,'Site Dockets'!$C$7:$C$24,F217)&gt;0,1,0),IF(B217="REGION LOSS",IF(COUNTIFS('Site Dockets'!$E$7:$E$24,C217,'Site Dockets'!$C$7:$C$24,F217)&gt;0,1,0),0))</f>
        <v>0</v>
      </c>
      <c r="L217" s="15" t="n">
        <f aca="false">IF(J217=1,0,Inputs!$B$11)</f>
        <v>100</v>
      </c>
      <c r="M217" s="15" t="n">
        <f aca="false">IF(J217=1,0,Inputs!$B$12)</f>
        <v>75</v>
      </c>
      <c r="N217" s="15" t="n">
        <f aca="false">IF(J217=1,0,IF(OR(AND(OR(B217="SITE LOSS",B217="REGION LOSS"),K217=1),AND(B217="ROLE COMPROMISE",H217=C217)),Inputs!$B$13,Inputs!$B$14))</f>
        <v>10</v>
      </c>
      <c r="O217" s="15" t="n">
        <f aca="false">IF(J217=1,0,Inputs!$B$13)</f>
        <v>20</v>
      </c>
      <c r="P217" s="15" t="n">
        <f aca="false">SUM(M217:N217)</f>
        <v>85</v>
      </c>
      <c r="Q217" s="15" t="n">
        <f aca="false">IF(J217=1,"",L217-P217)</f>
        <v>15</v>
      </c>
      <c r="R217" s="15" t="n">
        <f aca="false">IF(OR(J217=1,M217&lt;=Inputs!$B$12),1,0)</f>
        <v>1</v>
      </c>
      <c r="S217" s="15" t="n">
        <f aca="false">IF(OR(J217=1,N217&lt;=O217),1,0)</f>
        <v>1</v>
      </c>
      <c r="T217" s="15" t="str">
        <f aca="false">IF(J217=1,"OFFLINE",IF(AND(Q217&gt;=Inputs!$B$15,R217=1,S217=1,P217&lt;=L217),"PASS","FAIL"))</f>
        <v>PASS</v>
      </c>
    </row>
    <row r="218" customFormat="false" ht="15" hidden="false" customHeight="false" outlineLevel="0" collapsed="false">
      <c r="A218" s="14" t="s">
        <v>1020</v>
      </c>
      <c r="B218" s="14" t="s">
        <v>1019</v>
      </c>
      <c r="C218" s="14" t="s">
        <v>156</v>
      </c>
      <c r="D218" s="14" t="s">
        <v>204</v>
      </c>
      <c r="E218" s="14" t="s">
        <v>161</v>
      </c>
      <c r="F218" s="14" t="s">
        <v>199</v>
      </c>
      <c r="G218" s="14" t="n">
        <v>3</v>
      </c>
      <c r="H218" s="14" t="s">
        <v>158</v>
      </c>
      <c r="I218" s="14" t="s">
        <v>892</v>
      </c>
      <c r="J218" s="15" t="n">
        <f aca="false">IF(B218="SITE LOSS",IF(D218=C218,1,0),IF(B218="REGION LOSS",IF(E218=C218,1,0),0))</f>
        <v>0</v>
      </c>
      <c r="K218" s="15" t="n">
        <f aca="false">IF(B218="SITE LOSS",IF(COUNTIFS('Site Dockets'!$B$7:$B$24,C218,'Site Dockets'!$C$7:$C$24,F218)&gt;0,1,0),IF(B218="REGION LOSS",IF(COUNTIFS('Site Dockets'!$E$7:$E$24,C218,'Site Dockets'!$C$7:$C$24,F218)&gt;0,1,0),0))</f>
        <v>0</v>
      </c>
      <c r="L218" s="15" t="n">
        <f aca="false">IF(J218=1,0,Inputs!$B$11)</f>
        <v>100</v>
      </c>
      <c r="M218" s="15" t="n">
        <f aca="false">IF(J218=1,0,Inputs!$B$12)</f>
        <v>75</v>
      </c>
      <c r="N218" s="15" t="n">
        <f aca="false">IF(J218=1,0,IF(OR(AND(OR(B218="SITE LOSS",B218="REGION LOSS"),K218=1),AND(B218="ROLE COMPROMISE",H218=C218)),Inputs!$B$13,Inputs!$B$14))</f>
        <v>10</v>
      </c>
      <c r="O218" s="15" t="n">
        <f aca="false">IF(J218=1,0,Inputs!$B$13)</f>
        <v>20</v>
      </c>
      <c r="P218" s="15" t="n">
        <f aca="false">SUM(M218:N218)</f>
        <v>85</v>
      </c>
      <c r="Q218" s="15" t="n">
        <f aca="false">IF(J218=1,"",L218-P218)</f>
        <v>15</v>
      </c>
      <c r="R218" s="15" t="n">
        <f aca="false">IF(OR(J218=1,M218&lt;=Inputs!$B$12),1,0)</f>
        <v>1</v>
      </c>
      <c r="S218" s="15" t="n">
        <f aca="false">IF(OR(J218=1,N218&lt;=O218),1,0)</f>
        <v>1</v>
      </c>
      <c r="T218" s="15" t="str">
        <f aca="false">IF(J218=1,"OFFLINE",IF(AND(Q218&gt;=Inputs!$B$15,R218=1,S218=1,P218&lt;=L218),"PASS","FAIL"))</f>
        <v>PASS</v>
      </c>
    </row>
    <row r="219" customFormat="false" ht="15" hidden="false" customHeight="false" outlineLevel="0" collapsed="false">
      <c r="A219" s="14" t="s">
        <v>1020</v>
      </c>
      <c r="B219" s="14" t="s">
        <v>1019</v>
      </c>
      <c r="C219" s="14" t="s">
        <v>156</v>
      </c>
      <c r="D219" s="14" t="s">
        <v>204</v>
      </c>
      <c r="E219" s="14" t="s">
        <v>161</v>
      </c>
      <c r="F219" s="14" t="s">
        <v>199</v>
      </c>
      <c r="G219" s="14" t="n">
        <v>3</v>
      </c>
      <c r="H219" s="14" t="s">
        <v>158</v>
      </c>
      <c r="I219" s="14" t="s">
        <v>811</v>
      </c>
      <c r="J219" s="15" t="n">
        <f aca="false">IF(B219="SITE LOSS",IF(D219=C219,1,0),IF(B219="REGION LOSS",IF(E219=C219,1,0),0))</f>
        <v>0</v>
      </c>
      <c r="K219" s="15" t="n">
        <f aca="false">IF(B219="SITE LOSS",IF(COUNTIFS('Site Dockets'!$B$7:$B$24,C219,'Site Dockets'!$C$7:$C$24,F219)&gt;0,1,0),IF(B219="REGION LOSS",IF(COUNTIFS('Site Dockets'!$E$7:$E$24,C219,'Site Dockets'!$C$7:$C$24,F219)&gt;0,1,0),0))</f>
        <v>0</v>
      </c>
      <c r="L219" s="15" t="n">
        <f aca="false">IF(J219=1,0,Inputs!$B$11)</f>
        <v>100</v>
      </c>
      <c r="M219" s="15" t="n">
        <f aca="false">IF(J219=1,0,Inputs!$B$12)</f>
        <v>75</v>
      </c>
      <c r="N219" s="15" t="n">
        <f aca="false">IF(J219=1,0,IF(OR(AND(OR(B219="SITE LOSS",B219="REGION LOSS"),K219=1),AND(B219="ROLE COMPROMISE",H219=C219)),Inputs!$B$13,Inputs!$B$14))</f>
        <v>10</v>
      </c>
      <c r="O219" s="15" t="n">
        <f aca="false">IF(J219=1,0,Inputs!$B$13)</f>
        <v>20</v>
      </c>
      <c r="P219" s="15" t="n">
        <f aca="false">SUM(M219:N219)</f>
        <v>85</v>
      </c>
      <c r="Q219" s="15" t="n">
        <f aca="false">IF(J219=1,"",L219-P219)</f>
        <v>15</v>
      </c>
      <c r="R219" s="15" t="n">
        <f aca="false">IF(OR(J219=1,M219&lt;=Inputs!$B$12),1,0)</f>
        <v>1</v>
      </c>
      <c r="S219" s="15" t="n">
        <f aca="false">IF(OR(J219=1,N219&lt;=O219),1,0)</f>
        <v>1</v>
      </c>
      <c r="T219" s="15" t="str">
        <f aca="false">IF(J219=1,"OFFLINE",IF(AND(Q219&gt;=Inputs!$B$15,R219=1,S219=1,P219&lt;=L219),"PASS","FAIL"))</f>
        <v>PASS</v>
      </c>
    </row>
    <row r="220" customFormat="false" ht="15" hidden="false" customHeight="false" outlineLevel="0" collapsed="false">
      <c r="A220" s="14" t="s">
        <v>1020</v>
      </c>
      <c r="B220" s="14" t="s">
        <v>1019</v>
      </c>
      <c r="C220" s="14" t="s">
        <v>156</v>
      </c>
      <c r="D220" s="14" t="s">
        <v>204</v>
      </c>
      <c r="E220" s="14" t="s">
        <v>161</v>
      </c>
      <c r="F220" s="14" t="s">
        <v>199</v>
      </c>
      <c r="G220" s="14" t="n">
        <v>3</v>
      </c>
      <c r="H220" s="14" t="s">
        <v>158</v>
      </c>
      <c r="I220" s="14" t="s">
        <v>895</v>
      </c>
      <c r="J220" s="15" t="n">
        <f aca="false">IF(B220="SITE LOSS",IF(D220=C220,1,0),IF(B220="REGION LOSS",IF(E220=C220,1,0),0))</f>
        <v>0</v>
      </c>
      <c r="K220" s="15" t="n">
        <f aca="false">IF(B220="SITE LOSS",IF(COUNTIFS('Site Dockets'!$B$7:$B$24,C220,'Site Dockets'!$C$7:$C$24,F220)&gt;0,1,0),IF(B220="REGION LOSS",IF(COUNTIFS('Site Dockets'!$E$7:$E$24,C220,'Site Dockets'!$C$7:$C$24,F220)&gt;0,1,0),0))</f>
        <v>0</v>
      </c>
      <c r="L220" s="15" t="n">
        <f aca="false">IF(J220=1,0,Inputs!$B$11)</f>
        <v>100</v>
      </c>
      <c r="M220" s="15" t="n">
        <f aca="false">IF(J220=1,0,Inputs!$B$12)</f>
        <v>75</v>
      </c>
      <c r="N220" s="15" t="n">
        <f aca="false">IF(J220=1,0,IF(OR(AND(OR(B220="SITE LOSS",B220="REGION LOSS"),K220=1),AND(B220="ROLE COMPROMISE",H220=C220)),Inputs!$B$13,Inputs!$B$14))</f>
        <v>10</v>
      </c>
      <c r="O220" s="15" t="n">
        <f aca="false">IF(J220=1,0,Inputs!$B$13)</f>
        <v>20</v>
      </c>
      <c r="P220" s="15" t="n">
        <f aca="false">SUM(M220:N220)</f>
        <v>85</v>
      </c>
      <c r="Q220" s="15" t="n">
        <f aca="false">IF(J220=1,"",L220-P220)</f>
        <v>15</v>
      </c>
      <c r="R220" s="15" t="n">
        <f aca="false">IF(OR(J220=1,M220&lt;=Inputs!$B$12),1,0)</f>
        <v>1</v>
      </c>
      <c r="S220" s="15" t="n">
        <f aca="false">IF(OR(J220=1,N220&lt;=O220),1,0)</f>
        <v>1</v>
      </c>
      <c r="T220" s="15" t="str">
        <f aca="false">IF(J220=1,"OFFLINE",IF(AND(Q220&gt;=Inputs!$B$15,R220=1,S220=1,P220&lt;=L220),"PASS","FAIL"))</f>
        <v>PASS</v>
      </c>
    </row>
    <row r="221" customFormat="false" ht="15" hidden="false" customHeight="false" outlineLevel="0" collapsed="false">
      <c r="A221" s="14" t="s">
        <v>1020</v>
      </c>
      <c r="B221" s="14" t="s">
        <v>1019</v>
      </c>
      <c r="C221" s="14" t="s">
        <v>156</v>
      </c>
      <c r="D221" s="14" t="s">
        <v>204</v>
      </c>
      <c r="E221" s="14" t="s">
        <v>161</v>
      </c>
      <c r="F221" s="14" t="s">
        <v>199</v>
      </c>
      <c r="G221" s="14" t="n">
        <v>3</v>
      </c>
      <c r="H221" s="14" t="s">
        <v>158</v>
      </c>
      <c r="I221" s="14" t="s">
        <v>897</v>
      </c>
      <c r="J221" s="15" t="n">
        <f aca="false">IF(B221="SITE LOSS",IF(D221=C221,1,0),IF(B221="REGION LOSS",IF(E221=C221,1,0),0))</f>
        <v>0</v>
      </c>
      <c r="K221" s="15" t="n">
        <f aca="false">IF(B221="SITE LOSS",IF(COUNTIFS('Site Dockets'!$B$7:$B$24,C221,'Site Dockets'!$C$7:$C$24,F221)&gt;0,1,0),IF(B221="REGION LOSS",IF(COUNTIFS('Site Dockets'!$E$7:$E$24,C221,'Site Dockets'!$C$7:$C$24,F221)&gt;0,1,0),0))</f>
        <v>0</v>
      </c>
      <c r="L221" s="15" t="n">
        <f aca="false">IF(J221=1,0,Inputs!$B$11)</f>
        <v>100</v>
      </c>
      <c r="M221" s="15" t="n">
        <f aca="false">IF(J221=1,0,Inputs!$B$12)</f>
        <v>75</v>
      </c>
      <c r="N221" s="15" t="n">
        <f aca="false">IF(J221=1,0,IF(OR(AND(OR(B221="SITE LOSS",B221="REGION LOSS"),K221=1),AND(B221="ROLE COMPROMISE",H221=C221)),Inputs!$B$13,Inputs!$B$14))</f>
        <v>10</v>
      </c>
      <c r="O221" s="15" t="n">
        <f aca="false">IF(J221=1,0,Inputs!$B$13)</f>
        <v>20</v>
      </c>
      <c r="P221" s="15" t="n">
        <f aca="false">SUM(M221:N221)</f>
        <v>85</v>
      </c>
      <c r="Q221" s="15" t="n">
        <f aca="false">IF(J221=1,"",L221-P221)</f>
        <v>15</v>
      </c>
      <c r="R221" s="15" t="n">
        <f aca="false">IF(OR(J221=1,M221&lt;=Inputs!$B$12),1,0)</f>
        <v>1</v>
      </c>
      <c r="S221" s="15" t="n">
        <f aca="false">IF(OR(J221=1,N221&lt;=O221),1,0)</f>
        <v>1</v>
      </c>
      <c r="T221" s="15" t="str">
        <f aca="false">IF(J221=1,"OFFLINE",IF(AND(Q221&gt;=Inputs!$B$15,R221=1,S221=1,P221&lt;=L221),"PASS","FAIL"))</f>
        <v>PASS</v>
      </c>
    </row>
    <row r="222" customFormat="false" ht="15" hidden="false" customHeight="false" outlineLevel="0" collapsed="false">
      <c r="A222" s="14" t="s">
        <v>1020</v>
      </c>
      <c r="B222" s="14" t="s">
        <v>1019</v>
      </c>
      <c r="C222" s="14" t="s">
        <v>156</v>
      </c>
      <c r="D222" s="14" t="s">
        <v>204</v>
      </c>
      <c r="E222" s="14" t="s">
        <v>161</v>
      </c>
      <c r="F222" s="14" t="s">
        <v>199</v>
      </c>
      <c r="G222" s="14" t="n">
        <v>3</v>
      </c>
      <c r="H222" s="14" t="s">
        <v>158</v>
      </c>
      <c r="I222" s="14" t="s">
        <v>899</v>
      </c>
      <c r="J222" s="15" t="n">
        <f aca="false">IF(B222="SITE LOSS",IF(D222=C222,1,0),IF(B222="REGION LOSS",IF(E222=C222,1,0),0))</f>
        <v>0</v>
      </c>
      <c r="K222" s="15" t="n">
        <f aca="false">IF(B222="SITE LOSS",IF(COUNTIFS('Site Dockets'!$B$7:$B$24,C222,'Site Dockets'!$C$7:$C$24,F222)&gt;0,1,0),IF(B222="REGION LOSS",IF(COUNTIFS('Site Dockets'!$E$7:$E$24,C222,'Site Dockets'!$C$7:$C$24,F222)&gt;0,1,0),0))</f>
        <v>0</v>
      </c>
      <c r="L222" s="15" t="n">
        <f aca="false">IF(J222=1,0,Inputs!$B$11)</f>
        <v>100</v>
      </c>
      <c r="M222" s="15" t="n">
        <f aca="false">IF(J222=1,0,Inputs!$B$12)</f>
        <v>75</v>
      </c>
      <c r="N222" s="15" t="n">
        <f aca="false">IF(J222=1,0,IF(OR(AND(OR(B222="SITE LOSS",B222="REGION LOSS"),K222=1),AND(B222="ROLE COMPROMISE",H222=C222)),Inputs!$B$13,Inputs!$B$14))</f>
        <v>10</v>
      </c>
      <c r="O222" s="15" t="n">
        <f aca="false">IF(J222=1,0,Inputs!$B$13)</f>
        <v>20</v>
      </c>
      <c r="P222" s="15" t="n">
        <f aca="false">SUM(M222:N222)</f>
        <v>85</v>
      </c>
      <c r="Q222" s="15" t="n">
        <f aca="false">IF(J222=1,"",L222-P222)</f>
        <v>15</v>
      </c>
      <c r="R222" s="15" t="n">
        <f aca="false">IF(OR(J222=1,M222&lt;=Inputs!$B$12),1,0)</f>
        <v>1</v>
      </c>
      <c r="S222" s="15" t="n">
        <f aca="false">IF(OR(J222=1,N222&lt;=O222),1,0)</f>
        <v>1</v>
      </c>
      <c r="T222" s="15" t="str">
        <f aca="false">IF(J222=1,"OFFLINE",IF(AND(Q222&gt;=Inputs!$B$15,R222=1,S222=1,P222&lt;=L222),"PASS","FAIL"))</f>
        <v>PASS</v>
      </c>
    </row>
    <row r="223" customFormat="false" ht="15" hidden="false" customHeight="false" outlineLevel="0" collapsed="false">
      <c r="A223" s="14" t="s">
        <v>1021</v>
      </c>
      <c r="B223" s="14" t="s">
        <v>1019</v>
      </c>
      <c r="C223" s="14" t="s">
        <v>160</v>
      </c>
      <c r="D223" s="14" t="s">
        <v>149</v>
      </c>
      <c r="E223" s="14" t="s">
        <v>152</v>
      </c>
      <c r="F223" s="14" t="s">
        <v>150</v>
      </c>
      <c r="G223" s="14" t="n">
        <v>1</v>
      </c>
      <c r="H223" s="14" t="s">
        <v>154</v>
      </c>
      <c r="I223" s="14" t="s">
        <v>890</v>
      </c>
      <c r="J223" s="15" t="n">
        <f aca="false">IF(B223="SITE LOSS",IF(D223=C223,1,0),IF(B223="REGION LOSS",IF(E223=C223,1,0),0))</f>
        <v>0</v>
      </c>
      <c r="K223" s="15" t="n">
        <f aca="false">IF(B223="SITE LOSS",IF(COUNTIFS('Site Dockets'!$B$7:$B$24,C223,'Site Dockets'!$C$7:$C$24,F223)&gt;0,1,0),IF(B223="REGION LOSS",IF(COUNTIFS('Site Dockets'!$E$7:$E$24,C223,'Site Dockets'!$C$7:$C$24,F223)&gt;0,1,0),0))</f>
        <v>1</v>
      </c>
      <c r="L223" s="15" t="n">
        <f aca="false">IF(J223=1,0,Inputs!$B$11)</f>
        <v>100</v>
      </c>
      <c r="M223" s="15" t="n">
        <f aca="false">IF(J223=1,0,Inputs!$B$12)</f>
        <v>75</v>
      </c>
      <c r="N223" s="15" t="n">
        <f aca="false">IF(J223=1,0,IF(OR(AND(OR(B223="SITE LOSS",B223="REGION LOSS"),K223=1),AND(B223="ROLE COMPROMISE",H223=C223)),Inputs!$B$13,Inputs!$B$14))</f>
        <v>20</v>
      </c>
      <c r="O223" s="15" t="n">
        <f aca="false">IF(J223=1,0,Inputs!$B$13)</f>
        <v>20</v>
      </c>
      <c r="P223" s="15" t="n">
        <f aca="false">SUM(M223:N223)</f>
        <v>95</v>
      </c>
      <c r="Q223" s="15" t="n">
        <f aca="false">IF(J223=1,"",L223-P223)</f>
        <v>5</v>
      </c>
      <c r="R223" s="15" t="n">
        <f aca="false">IF(OR(J223=1,M223&lt;=Inputs!$B$12),1,0)</f>
        <v>1</v>
      </c>
      <c r="S223" s="15" t="n">
        <f aca="false">IF(OR(J223=1,N223&lt;=O223),1,0)</f>
        <v>1</v>
      </c>
      <c r="T223" s="15" t="str">
        <f aca="false">IF(J223=1,"OFFLINE",IF(AND(Q223&gt;=Inputs!$B$15,R223=1,S223=1,P223&lt;=L223),"PASS","FAIL"))</f>
        <v>PASS</v>
      </c>
    </row>
    <row r="224" customFormat="false" ht="15" hidden="false" customHeight="false" outlineLevel="0" collapsed="false">
      <c r="A224" s="14" t="s">
        <v>1021</v>
      </c>
      <c r="B224" s="14" t="s">
        <v>1019</v>
      </c>
      <c r="C224" s="14" t="s">
        <v>160</v>
      </c>
      <c r="D224" s="14" t="s">
        <v>149</v>
      </c>
      <c r="E224" s="14" t="s">
        <v>152</v>
      </c>
      <c r="F224" s="14" t="s">
        <v>150</v>
      </c>
      <c r="G224" s="14" t="n">
        <v>1</v>
      </c>
      <c r="H224" s="14" t="s">
        <v>154</v>
      </c>
      <c r="I224" s="14" t="s">
        <v>892</v>
      </c>
      <c r="J224" s="15" t="n">
        <f aca="false">IF(B224="SITE LOSS",IF(D224=C224,1,0),IF(B224="REGION LOSS",IF(E224=C224,1,0),0))</f>
        <v>0</v>
      </c>
      <c r="K224" s="15" t="n">
        <f aca="false">IF(B224="SITE LOSS",IF(COUNTIFS('Site Dockets'!$B$7:$B$24,C224,'Site Dockets'!$C$7:$C$24,F224)&gt;0,1,0),IF(B224="REGION LOSS",IF(COUNTIFS('Site Dockets'!$E$7:$E$24,C224,'Site Dockets'!$C$7:$C$24,F224)&gt;0,1,0),0))</f>
        <v>1</v>
      </c>
      <c r="L224" s="15" t="n">
        <f aca="false">IF(J224=1,0,Inputs!$B$11)</f>
        <v>100</v>
      </c>
      <c r="M224" s="15" t="n">
        <f aca="false">IF(J224=1,0,Inputs!$B$12)</f>
        <v>75</v>
      </c>
      <c r="N224" s="15" t="n">
        <f aca="false">IF(J224=1,0,IF(OR(AND(OR(B224="SITE LOSS",B224="REGION LOSS"),K224=1),AND(B224="ROLE COMPROMISE",H224=C224)),Inputs!$B$13,Inputs!$B$14))</f>
        <v>20</v>
      </c>
      <c r="O224" s="15" t="n">
        <f aca="false">IF(J224=1,0,Inputs!$B$13)</f>
        <v>20</v>
      </c>
      <c r="P224" s="15" t="n">
        <f aca="false">SUM(M224:N224)</f>
        <v>95</v>
      </c>
      <c r="Q224" s="15" t="n">
        <f aca="false">IF(J224=1,"",L224-P224)</f>
        <v>5</v>
      </c>
      <c r="R224" s="15" t="n">
        <f aca="false">IF(OR(J224=1,M224&lt;=Inputs!$B$12),1,0)</f>
        <v>1</v>
      </c>
      <c r="S224" s="15" t="n">
        <f aca="false">IF(OR(J224=1,N224&lt;=O224),1,0)</f>
        <v>1</v>
      </c>
      <c r="T224" s="15" t="str">
        <f aca="false">IF(J224=1,"OFFLINE",IF(AND(Q224&gt;=Inputs!$B$15,R224=1,S224=1,P224&lt;=L224),"PASS","FAIL"))</f>
        <v>PASS</v>
      </c>
    </row>
    <row r="225" customFormat="false" ht="15" hidden="false" customHeight="false" outlineLevel="0" collapsed="false">
      <c r="A225" s="14" t="s">
        <v>1021</v>
      </c>
      <c r="B225" s="14" t="s">
        <v>1019</v>
      </c>
      <c r="C225" s="14" t="s">
        <v>160</v>
      </c>
      <c r="D225" s="14" t="s">
        <v>149</v>
      </c>
      <c r="E225" s="14" t="s">
        <v>152</v>
      </c>
      <c r="F225" s="14" t="s">
        <v>150</v>
      </c>
      <c r="G225" s="14" t="n">
        <v>1</v>
      </c>
      <c r="H225" s="14" t="s">
        <v>154</v>
      </c>
      <c r="I225" s="14" t="s">
        <v>811</v>
      </c>
      <c r="J225" s="15" t="n">
        <f aca="false">IF(B225="SITE LOSS",IF(D225=C225,1,0),IF(B225="REGION LOSS",IF(E225=C225,1,0),0))</f>
        <v>0</v>
      </c>
      <c r="K225" s="15" t="n">
        <f aca="false">IF(B225="SITE LOSS",IF(COUNTIFS('Site Dockets'!$B$7:$B$24,C225,'Site Dockets'!$C$7:$C$24,F225)&gt;0,1,0),IF(B225="REGION LOSS",IF(COUNTIFS('Site Dockets'!$E$7:$E$24,C225,'Site Dockets'!$C$7:$C$24,F225)&gt;0,1,0),0))</f>
        <v>1</v>
      </c>
      <c r="L225" s="15" t="n">
        <f aca="false">IF(J225=1,0,Inputs!$B$11)</f>
        <v>100</v>
      </c>
      <c r="M225" s="15" t="n">
        <f aca="false">IF(J225=1,0,Inputs!$B$12)</f>
        <v>75</v>
      </c>
      <c r="N225" s="15" t="n">
        <f aca="false">IF(J225=1,0,IF(OR(AND(OR(B225="SITE LOSS",B225="REGION LOSS"),K225=1),AND(B225="ROLE COMPROMISE",H225=C225)),Inputs!$B$13,Inputs!$B$14))</f>
        <v>20</v>
      </c>
      <c r="O225" s="15" t="n">
        <f aca="false">IF(J225=1,0,Inputs!$B$13)</f>
        <v>20</v>
      </c>
      <c r="P225" s="15" t="n">
        <f aca="false">SUM(M225:N225)</f>
        <v>95</v>
      </c>
      <c r="Q225" s="15" t="n">
        <f aca="false">IF(J225=1,"",L225-P225)</f>
        <v>5</v>
      </c>
      <c r="R225" s="15" t="n">
        <f aca="false">IF(OR(J225=1,M225&lt;=Inputs!$B$12),1,0)</f>
        <v>1</v>
      </c>
      <c r="S225" s="15" t="n">
        <f aca="false">IF(OR(J225=1,N225&lt;=O225),1,0)</f>
        <v>1</v>
      </c>
      <c r="T225" s="15" t="str">
        <f aca="false">IF(J225=1,"OFFLINE",IF(AND(Q225&gt;=Inputs!$B$15,R225=1,S225=1,P225&lt;=L225),"PASS","FAIL"))</f>
        <v>PASS</v>
      </c>
    </row>
    <row r="226" customFormat="false" ht="15" hidden="false" customHeight="false" outlineLevel="0" collapsed="false">
      <c r="A226" s="14" t="s">
        <v>1021</v>
      </c>
      <c r="B226" s="14" t="s">
        <v>1019</v>
      </c>
      <c r="C226" s="14" t="s">
        <v>160</v>
      </c>
      <c r="D226" s="14" t="s">
        <v>149</v>
      </c>
      <c r="E226" s="14" t="s">
        <v>152</v>
      </c>
      <c r="F226" s="14" t="s">
        <v>150</v>
      </c>
      <c r="G226" s="14" t="n">
        <v>1</v>
      </c>
      <c r="H226" s="14" t="s">
        <v>154</v>
      </c>
      <c r="I226" s="14" t="s">
        <v>895</v>
      </c>
      <c r="J226" s="15" t="n">
        <f aca="false">IF(B226="SITE LOSS",IF(D226=C226,1,0),IF(B226="REGION LOSS",IF(E226=C226,1,0),0))</f>
        <v>0</v>
      </c>
      <c r="K226" s="15" t="n">
        <f aca="false">IF(B226="SITE LOSS",IF(COUNTIFS('Site Dockets'!$B$7:$B$24,C226,'Site Dockets'!$C$7:$C$24,F226)&gt;0,1,0),IF(B226="REGION LOSS",IF(COUNTIFS('Site Dockets'!$E$7:$E$24,C226,'Site Dockets'!$C$7:$C$24,F226)&gt;0,1,0),0))</f>
        <v>1</v>
      </c>
      <c r="L226" s="15" t="n">
        <f aca="false">IF(J226=1,0,Inputs!$B$11)</f>
        <v>100</v>
      </c>
      <c r="M226" s="15" t="n">
        <f aca="false">IF(J226=1,0,Inputs!$B$12)</f>
        <v>75</v>
      </c>
      <c r="N226" s="15" t="n">
        <f aca="false">IF(J226=1,0,IF(OR(AND(OR(B226="SITE LOSS",B226="REGION LOSS"),K226=1),AND(B226="ROLE COMPROMISE",H226=C226)),Inputs!$B$13,Inputs!$B$14))</f>
        <v>20</v>
      </c>
      <c r="O226" s="15" t="n">
        <f aca="false">IF(J226=1,0,Inputs!$B$13)</f>
        <v>20</v>
      </c>
      <c r="P226" s="15" t="n">
        <f aca="false">SUM(M226:N226)</f>
        <v>95</v>
      </c>
      <c r="Q226" s="15" t="n">
        <f aca="false">IF(J226=1,"",L226-P226)</f>
        <v>5</v>
      </c>
      <c r="R226" s="15" t="n">
        <f aca="false">IF(OR(J226=1,M226&lt;=Inputs!$B$12),1,0)</f>
        <v>1</v>
      </c>
      <c r="S226" s="15" t="n">
        <f aca="false">IF(OR(J226=1,N226&lt;=O226),1,0)</f>
        <v>1</v>
      </c>
      <c r="T226" s="15" t="str">
        <f aca="false">IF(J226=1,"OFFLINE",IF(AND(Q226&gt;=Inputs!$B$15,R226=1,S226=1,P226&lt;=L226),"PASS","FAIL"))</f>
        <v>PASS</v>
      </c>
    </row>
    <row r="227" customFormat="false" ht="15" hidden="false" customHeight="false" outlineLevel="0" collapsed="false">
      <c r="A227" s="14" t="s">
        <v>1021</v>
      </c>
      <c r="B227" s="14" t="s">
        <v>1019</v>
      </c>
      <c r="C227" s="14" t="s">
        <v>160</v>
      </c>
      <c r="D227" s="14" t="s">
        <v>149</v>
      </c>
      <c r="E227" s="14" t="s">
        <v>152</v>
      </c>
      <c r="F227" s="14" t="s">
        <v>150</v>
      </c>
      <c r="G227" s="14" t="n">
        <v>1</v>
      </c>
      <c r="H227" s="14" t="s">
        <v>154</v>
      </c>
      <c r="I227" s="14" t="s">
        <v>897</v>
      </c>
      <c r="J227" s="15" t="n">
        <f aca="false">IF(B227="SITE LOSS",IF(D227=C227,1,0),IF(B227="REGION LOSS",IF(E227=C227,1,0),0))</f>
        <v>0</v>
      </c>
      <c r="K227" s="15" t="n">
        <f aca="false">IF(B227="SITE LOSS",IF(COUNTIFS('Site Dockets'!$B$7:$B$24,C227,'Site Dockets'!$C$7:$C$24,F227)&gt;0,1,0),IF(B227="REGION LOSS",IF(COUNTIFS('Site Dockets'!$E$7:$E$24,C227,'Site Dockets'!$C$7:$C$24,F227)&gt;0,1,0),0))</f>
        <v>1</v>
      </c>
      <c r="L227" s="15" t="n">
        <f aca="false">IF(J227=1,0,Inputs!$B$11)</f>
        <v>100</v>
      </c>
      <c r="M227" s="15" t="n">
        <f aca="false">IF(J227=1,0,Inputs!$B$12)</f>
        <v>75</v>
      </c>
      <c r="N227" s="15" t="n">
        <f aca="false">IF(J227=1,0,IF(OR(AND(OR(B227="SITE LOSS",B227="REGION LOSS"),K227=1),AND(B227="ROLE COMPROMISE",H227=C227)),Inputs!$B$13,Inputs!$B$14))</f>
        <v>20</v>
      </c>
      <c r="O227" s="15" t="n">
        <f aca="false">IF(J227=1,0,Inputs!$B$13)</f>
        <v>20</v>
      </c>
      <c r="P227" s="15" t="n">
        <f aca="false">SUM(M227:N227)</f>
        <v>95</v>
      </c>
      <c r="Q227" s="15" t="n">
        <f aca="false">IF(J227=1,"",L227-P227)</f>
        <v>5</v>
      </c>
      <c r="R227" s="15" t="n">
        <f aca="false">IF(OR(J227=1,M227&lt;=Inputs!$B$12),1,0)</f>
        <v>1</v>
      </c>
      <c r="S227" s="15" t="n">
        <f aca="false">IF(OR(J227=1,N227&lt;=O227),1,0)</f>
        <v>1</v>
      </c>
      <c r="T227" s="15" t="str">
        <f aca="false">IF(J227=1,"OFFLINE",IF(AND(Q227&gt;=Inputs!$B$15,R227=1,S227=1,P227&lt;=L227),"PASS","FAIL"))</f>
        <v>PASS</v>
      </c>
    </row>
    <row r="228" customFormat="false" ht="15" hidden="false" customHeight="false" outlineLevel="0" collapsed="false">
      <c r="A228" s="14" t="s">
        <v>1021</v>
      </c>
      <c r="B228" s="14" t="s">
        <v>1019</v>
      </c>
      <c r="C228" s="14" t="s">
        <v>160</v>
      </c>
      <c r="D228" s="14" t="s">
        <v>149</v>
      </c>
      <c r="E228" s="14" t="s">
        <v>152</v>
      </c>
      <c r="F228" s="14" t="s">
        <v>150</v>
      </c>
      <c r="G228" s="14" t="n">
        <v>1</v>
      </c>
      <c r="H228" s="14" t="s">
        <v>154</v>
      </c>
      <c r="I228" s="14" t="s">
        <v>899</v>
      </c>
      <c r="J228" s="15" t="n">
        <f aca="false">IF(B228="SITE LOSS",IF(D228=C228,1,0),IF(B228="REGION LOSS",IF(E228=C228,1,0),0))</f>
        <v>0</v>
      </c>
      <c r="K228" s="15" t="n">
        <f aca="false">IF(B228="SITE LOSS",IF(COUNTIFS('Site Dockets'!$B$7:$B$24,C228,'Site Dockets'!$C$7:$C$24,F228)&gt;0,1,0),IF(B228="REGION LOSS",IF(COUNTIFS('Site Dockets'!$E$7:$E$24,C228,'Site Dockets'!$C$7:$C$24,F228)&gt;0,1,0),0))</f>
        <v>1</v>
      </c>
      <c r="L228" s="15" t="n">
        <f aca="false">IF(J228=1,0,Inputs!$B$11)</f>
        <v>100</v>
      </c>
      <c r="M228" s="15" t="n">
        <f aca="false">IF(J228=1,0,Inputs!$B$12)</f>
        <v>75</v>
      </c>
      <c r="N228" s="15" t="n">
        <f aca="false">IF(J228=1,0,IF(OR(AND(OR(B228="SITE LOSS",B228="REGION LOSS"),K228=1),AND(B228="ROLE COMPROMISE",H228=C228)),Inputs!$B$13,Inputs!$B$14))</f>
        <v>20</v>
      </c>
      <c r="O228" s="15" t="n">
        <f aca="false">IF(J228=1,0,Inputs!$B$13)</f>
        <v>20</v>
      </c>
      <c r="P228" s="15" t="n">
        <f aca="false">SUM(M228:N228)</f>
        <v>95</v>
      </c>
      <c r="Q228" s="15" t="n">
        <f aca="false">IF(J228=1,"",L228-P228)</f>
        <v>5</v>
      </c>
      <c r="R228" s="15" t="n">
        <f aca="false">IF(OR(J228=1,M228&lt;=Inputs!$B$12),1,0)</f>
        <v>1</v>
      </c>
      <c r="S228" s="15" t="n">
        <f aca="false">IF(OR(J228=1,N228&lt;=O228),1,0)</f>
        <v>1</v>
      </c>
      <c r="T228" s="15" t="str">
        <f aca="false">IF(J228=1,"OFFLINE",IF(AND(Q228&gt;=Inputs!$B$15,R228=1,S228=1,P228&lt;=L228),"PASS","FAIL"))</f>
        <v>PASS</v>
      </c>
    </row>
    <row r="229" customFormat="false" ht="15" hidden="false" customHeight="false" outlineLevel="0" collapsed="false">
      <c r="A229" s="14" t="s">
        <v>1021</v>
      </c>
      <c r="B229" s="14" t="s">
        <v>1019</v>
      </c>
      <c r="C229" s="14" t="s">
        <v>160</v>
      </c>
      <c r="D229" s="14" t="s">
        <v>156</v>
      </c>
      <c r="E229" s="14" t="s">
        <v>157</v>
      </c>
      <c r="F229" s="14" t="s">
        <v>150</v>
      </c>
      <c r="G229" s="14" t="n">
        <v>2</v>
      </c>
      <c r="H229" s="14" t="s">
        <v>153</v>
      </c>
      <c r="I229" s="14" t="s">
        <v>890</v>
      </c>
      <c r="J229" s="15" t="n">
        <f aca="false">IF(B229="SITE LOSS",IF(D229=C229,1,0),IF(B229="REGION LOSS",IF(E229=C229,1,0),0))</f>
        <v>0</v>
      </c>
      <c r="K229" s="15" t="n">
        <f aca="false">IF(B229="SITE LOSS",IF(COUNTIFS('Site Dockets'!$B$7:$B$24,C229,'Site Dockets'!$C$7:$C$24,F229)&gt;0,1,0),IF(B229="REGION LOSS",IF(COUNTIFS('Site Dockets'!$E$7:$E$24,C229,'Site Dockets'!$C$7:$C$24,F229)&gt;0,1,0),0))</f>
        <v>1</v>
      </c>
      <c r="L229" s="15" t="n">
        <f aca="false">IF(J229=1,0,Inputs!$B$11)</f>
        <v>100</v>
      </c>
      <c r="M229" s="15" t="n">
        <f aca="false">IF(J229=1,0,Inputs!$B$12)</f>
        <v>75</v>
      </c>
      <c r="N229" s="15" t="n">
        <f aca="false">IF(J229=1,0,IF(OR(AND(OR(B229="SITE LOSS",B229="REGION LOSS"),K229=1),AND(B229="ROLE COMPROMISE",H229=C229)),Inputs!$B$13,Inputs!$B$14))</f>
        <v>20</v>
      </c>
      <c r="O229" s="15" t="n">
        <f aca="false">IF(J229=1,0,Inputs!$B$13)</f>
        <v>20</v>
      </c>
      <c r="P229" s="15" t="n">
        <f aca="false">SUM(M229:N229)</f>
        <v>95</v>
      </c>
      <c r="Q229" s="15" t="n">
        <f aca="false">IF(J229=1,"",L229-P229)</f>
        <v>5</v>
      </c>
      <c r="R229" s="15" t="n">
        <f aca="false">IF(OR(J229=1,M229&lt;=Inputs!$B$12),1,0)</f>
        <v>1</v>
      </c>
      <c r="S229" s="15" t="n">
        <f aca="false">IF(OR(J229=1,N229&lt;=O229),1,0)</f>
        <v>1</v>
      </c>
      <c r="T229" s="15" t="str">
        <f aca="false">IF(J229=1,"OFFLINE",IF(AND(Q229&gt;=Inputs!$B$15,R229=1,S229=1,P229&lt;=L229),"PASS","FAIL"))</f>
        <v>PASS</v>
      </c>
    </row>
    <row r="230" customFormat="false" ht="15" hidden="false" customHeight="false" outlineLevel="0" collapsed="false">
      <c r="A230" s="14" t="s">
        <v>1021</v>
      </c>
      <c r="B230" s="14" t="s">
        <v>1019</v>
      </c>
      <c r="C230" s="14" t="s">
        <v>160</v>
      </c>
      <c r="D230" s="14" t="s">
        <v>156</v>
      </c>
      <c r="E230" s="14" t="s">
        <v>157</v>
      </c>
      <c r="F230" s="14" t="s">
        <v>150</v>
      </c>
      <c r="G230" s="14" t="n">
        <v>2</v>
      </c>
      <c r="H230" s="14" t="s">
        <v>153</v>
      </c>
      <c r="I230" s="14" t="s">
        <v>892</v>
      </c>
      <c r="J230" s="15" t="n">
        <f aca="false">IF(B230="SITE LOSS",IF(D230=C230,1,0),IF(B230="REGION LOSS",IF(E230=C230,1,0),0))</f>
        <v>0</v>
      </c>
      <c r="K230" s="15" t="n">
        <f aca="false">IF(B230="SITE LOSS",IF(COUNTIFS('Site Dockets'!$B$7:$B$24,C230,'Site Dockets'!$C$7:$C$24,F230)&gt;0,1,0),IF(B230="REGION LOSS",IF(COUNTIFS('Site Dockets'!$E$7:$E$24,C230,'Site Dockets'!$C$7:$C$24,F230)&gt;0,1,0),0))</f>
        <v>1</v>
      </c>
      <c r="L230" s="15" t="n">
        <f aca="false">IF(J230=1,0,Inputs!$B$11)</f>
        <v>100</v>
      </c>
      <c r="M230" s="15" t="n">
        <f aca="false">IF(J230=1,0,Inputs!$B$12)</f>
        <v>75</v>
      </c>
      <c r="N230" s="15" t="n">
        <f aca="false">IF(J230=1,0,IF(OR(AND(OR(B230="SITE LOSS",B230="REGION LOSS"),K230=1),AND(B230="ROLE COMPROMISE",H230=C230)),Inputs!$B$13,Inputs!$B$14))</f>
        <v>20</v>
      </c>
      <c r="O230" s="15" t="n">
        <f aca="false">IF(J230=1,0,Inputs!$B$13)</f>
        <v>20</v>
      </c>
      <c r="P230" s="15" t="n">
        <f aca="false">SUM(M230:N230)</f>
        <v>95</v>
      </c>
      <c r="Q230" s="15" t="n">
        <f aca="false">IF(J230=1,"",L230-P230)</f>
        <v>5</v>
      </c>
      <c r="R230" s="15" t="n">
        <f aca="false">IF(OR(J230=1,M230&lt;=Inputs!$B$12),1,0)</f>
        <v>1</v>
      </c>
      <c r="S230" s="15" t="n">
        <f aca="false">IF(OR(J230=1,N230&lt;=O230),1,0)</f>
        <v>1</v>
      </c>
      <c r="T230" s="15" t="str">
        <f aca="false">IF(J230=1,"OFFLINE",IF(AND(Q230&gt;=Inputs!$B$15,R230=1,S230=1,P230&lt;=L230),"PASS","FAIL"))</f>
        <v>PASS</v>
      </c>
    </row>
    <row r="231" customFormat="false" ht="15" hidden="false" customHeight="false" outlineLevel="0" collapsed="false">
      <c r="A231" s="14" t="s">
        <v>1021</v>
      </c>
      <c r="B231" s="14" t="s">
        <v>1019</v>
      </c>
      <c r="C231" s="14" t="s">
        <v>160</v>
      </c>
      <c r="D231" s="14" t="s">
        <v>156</v>
      </c>
      <c r="E231" s="14" t="s">
        <v>157</v>
      </c>
      <c r="F231" s="14" t="s">
        <v>150</v>
      </c>
      <c r="G231" s="14" t="n">
        <v>2</v>
      </c>
      <c r="H231" s="14" t="s">
        <v>153</v>
      </c>
      <c r="I231" s="14" t="s">
        <v>811</v>
      </c>
      <c r="J231" s="15" t="n">
        <f aca="false">IF(B231="SITE LOSS",IF(D231=C231,1,0),IF(B231="REGION LOSS",IF(E231=C231,1,0),0))</f>
        <v>0</v>
      </c>
      <c r="K231" s="15" t="n">
        <f aca="false">IF(B231="SITE LOSS",IF(COUNTIFS('Site Dockets'!$B$7:$B$24,C231,'Site Dockets'!$C$7:$C$24,F231)&gt;0,1,0),IF(B231="REGION LOSS",IF(COUNTIFS('Site Dockets'!$E$7:$E$24,C231,'Site Dockets'!$C$7:$C$24,F231)&gt;0,1,0),0))</f>
        <v>1</v>
      </c>
      <c r="L231" s="15" t="n">
        <f aca="false">IF(J231=1,0,Inputs!$B$11)</f>
        <v>100</v>
      </c>
      <c r="M231" s="15" t="n">
        <f aca="false">IF(J231=1,0,Inputs!$B$12)</f>
        <v>75</v>
      </c>
      <c r="N231" s="15" t="n">
        <f aca="false">IF(J231=1,0,IF(OR(AND(OR(B231="SITE LOSS",B231="REGION LOSS"),K231=1),AND(B231="ROLE COMPROMISE",H231=C231)),Inputs!$B$13,Inputs!$B$14))</f>
        <v>20</v>
      </c>
      <c r="O231" s="15" t="n">
        <f aca="false">IF(J231=1,0,Inputs!$B$13)</f>
        <v>20</v>
      </c>
      <c r="P231" s="15" t="n">
        <f aca="false">SUM(M231:N231)</f>
        <v>95</v>
      </c>
      <c r="Q231" s="15" t="n">
        <f aca="false">IF(J231=1,"",L231-P231)</f>
        <v>5</v>
      </c>
      <c r="R231" s="15" t="n">
        <f aca="false">IF(OR(J231=1,M231&lt;=Inputs!$B$12),1,0)</f>
        <v>1</v>
      </c>
      <c r="S231" s="15" t="n">
        <f aca="false">IF(OR(J231=1,N231&lt;=O231),1,0)</f>
        <v>1</v>
      </c>
      <c r="T231" s="15" t="str">
        <f aca="false">IF(J231=1,"OFFLINE",IF(AND(Q231&gt;=Inputs!$B$15,R231=1,S231=1,P231&lt;=L231),"PASS","FAIL"))</f>
        <v>PASS</v>
      </c>
    </row>
    <row r="232" customFormat="false" ht="15" hidden="false" customHeight="false" outlineLevel="0" collapsed="false">
      <c r="A232" s="14" t="s">
        <v>1021</v>
      </c>
      <c r="B232" s="14" t="s">
        <v>1019</v>
      </c>
      <c r="C232" s="14" t="s">
        <v>160</v>
      </c>
      <c r="D232" s="14" t="s">
        <v>156</v>
      </c>
      <c r="E232" s="14" t="s">
        <v>157</v>
      </c>
      <c r="F232" s="14" t="s">
        <v>150</v>
      </c>
      <c r="G232" s="14" t="n">
        <v>2</v>
      </c>
      <c r="H232" s="14" t="s">
        <v>153</v>
      </c>
      <c r="I232" s="14" t="s">
        <v>895</v>
      </c>
      <c r="J232" s="15" t="n">
        <f aca="false">IF(B232="SITE LOSS",IF(D232=C232,1,0),IF(B232="REGION LOSS",IF(E232=C232,1,0),0))</f>
        <v>0</v>
      </c>
      <c r="K232" s="15" t="n">
        <f aca="false">IF(B232="SITE LOSS",IF(COUNTIFS('Site Dockets'!$B$7:$B$24,C232,'Site Dockets'!$C$7:$C$24,F232)&gt;0,1,0),IF(B232="REGION LOSS",IF(COUNTIFS('Site Dockets'!$E$7:$E$24,C232,'Site Dockets'!$C$7:$C$24,F232)&gt;0,1,0),0))</f>
        <v>1</v>
      </c>
      <c r="L232" s="15" t="n">
        <f aca="false">IF(J232=1,0,Inputs!$B$11)</f>
        <v>100</v>
      </c>
      <c r="M232" s="15" t="n">
        <f aca="false">IF(J232=1,0,Inputs!$B$12)</f>
        <v>75</v>
      </c>
      <c r="N232" s="15" t="n">
        <f aca="false">IF(J232=1,0,IF(OR(AND(OR(B232="SITE LOSS",B232="REGION LOSS"),K232=1),AND(B232="ROLE COMPROMISE",H232=C232)),Inputs!$B$13,Inputs!$B$14))</f>
        <v>20</v>
      </c>
      <c r="O232" s="15" t="n">
        <f aca="false">IF(J232=1,0,Inputs!$B$13)</f>
        <v>20</v>
      </c>
      <c r="P232" s="15" t="n">
        <f aca="false">SUM(M232:N232)</f>
        <v>95</v>
      </c>
      <c r="Q232" s="15" t="n">
        <f aca="false">IF(J232=1,"",L232-P232)</f>
        <v>5</v>
      </c>
      <c r="R232" s="15" t="n">
        <f aca="false">IF(OR(J232=1,M232&lt;=Inputs!$B$12),1,0)</f>
        <v>1</v>
      </c>
      <c r="S232" s="15" t="n">
        <f aca="false">IF(OR(J232=1,N232&lt;=O232),1,0)</f>
        <v>1</v>
      </c>
      <c r="T232" s="15" t="str">
        <f aca="false">IF(J232=1,"OFFLINE",IF(AND(Q232&gt;=Inputs!$B$15,R232=1,S232=1,P232&lt;=L232),"PASS","FAIL"))</f>
        <v>PASS</v>
      </c>
    </row>
    <row r="233" customFormat="false" ht="15" hidden="false" customHeight="false" outlineLevel="0" collapsed="false">
      <c r="A233" s="14" t="s">
        <v>1021</v>
      </c>
      <c r="B233" s="14" t="s">
        <v>1019</v>
      </c>
      <c r="C233" s="14" t="s">
        <v>160</v>
      </c>
      <c r="D233" s="14" t="s">
        <v>156</v>
      </c>
      <c r="E233" s="14" t="s">
        <v>157</v>
      </c>
      <c r="F233" s="14" t="s">
        <v>150</v>
      </c>
      <c r="G233" s="14" t="n">
        <v>2</v>
      </c>
      <c r="H233" s="14" t="s">
        <v>153</v>
      </c>
      <c r="I233" s="14" t="s">
        <v>897</v>
      </c>
      <c r="J233" s="15" t="n">
        <f aca="false">IF(B233="SITE LOSS",IF(D233=C233,1,0),IF(B233="REGION LOSS",IF(E233=C233,1,0),0))</f>
        <v>0</v>
      </c>
      <c r="K233" s="15" t="n">
        <f aca="false">IF(B233="SITE LOSS",IF(COUNTIFS('Site Dockets'!$B$7:$B$24,C233,'Site Dockets'!$C$7:$C$24,F233)&gt;0,1,0),IF(B233="REGION LOSS",IF(COUNTIFS('Site Dockets'!$E$7:$E$24,C233,'Site Dockets'!$C$7:$C$24,F233)&gt;0,1,0),0))</f>
        <v>1</v>
      </c>
      <c r="L233" s="15" t="n">
        <f aca="false">IF(J233=1,0,Inputs!$B$11)</f>
        <v>100</v>
      </c>
      <c r="M233" s="15" t="n">
        <f aca="false">IF(J233=1,0,Inputs!$B$12)</f>
        <v>75</v>
      </c>
      <c r="N233" s="15" t="n">
        <f aca="false">IF(J233=1,0,IF(OR(AND(OR(B233="SITE LOSS",B233="REGION LOSS"),K233=1),AND(B233="ROLE COMPROMISE",H233=C233)),Inputs!$B$13,Inputs!$B$14))</f>
        <v>20</v>
      </c>
      <c r="O233" s="15" t="n">
        <f aca="false">IF(J233=1,0,Inputs!$B$13)</f>
        <v>20</v>
      </c>
      <c r="P233" s="15" t="n">
        <f aca="false">SUM(M233:N233)</f>
        <v>95</v>
      </c>
      <c r="Q233" s="15" t="n">
        <f aca="false">IF(J233=1,"",L233-P233)</f>
        <v>5</v>
      </c>
      <c r="R233" s="15" t="n">
        <f aca="false">IF(OR(J233=1,M233&lt;=Inputs!$B$12),1,0)</f>
        <v>1</v>
      </c>
      <c r="S233" s="15" t="n">
        <f aca="false">IF(OR(J233=1,N233&lt;=O233),1,0)</f>
        <v>1</v>
      </c>
      <c r="T233" s="15" t="str">
        <f aca="false">IF(J233=1,"OFFLINE",IF(AND(Q233&gt;=Inputs!$B$15,R233=1,S233=1,P233&lt;=L233),"PASS","FAIL"))</f>
        <v>PASS</v>
      </c>
    </row>
    <row r="234" customFormat="false" ht="15" hidden="false" customHeight="false" outlineLevel="0" collapsed="false">
      <c r="A234" s="14" t="s">
        <v>1021</v>
      </c>
      <c r="B234" s="14" t="s">
        <v>1019</v>
      </c>
      <c r="C234" s="14" t="s">
        <v>160</v>
      </c>
      <c r="D234" s="14" t="s">
        <v>156</v>
      </c>
      <c r="E234" s="14" t="s">
        <v>157</v>
      </c>
      <c r="F234" s="14" t="s">
        <v>150</v>
      </c>
      <c r="G234" s="14" t="n">
        <v>2</v>
      </c>
      <c r="H234" s="14" t="s">
        <v>153</v>
      </c>
      <c r="I234" s="14" t="s">
        <v>899</v>
      </c>
      <c r="J234" s="15" t="n">
        <f aca="false">IF(B234="SITE LOSS",IF(D234=C234,1,0),IF(B234="REGION LOSS",IF(E234=C234,1,0),0))</f>
        <v>0</v>
      </c>
      <c r="K234" s="15" t="n">
        <f aca="false">IF(B234="SITE LOSS",IF(COUNTIFS('Site Dockets'!$B$7:$B$24,C234,'Site Dockets'!$C$7:$C$24,F234)&gt;0,1,0),IF(B234="REGION LOSS",IF(COUNTIFS('Site Dockets'!$E$7:$E$24,C234,'Site Dockets'!$C$7:$C$24,F234)&gt;0,1,0),0))</f>
        <v>1</v>
      </c>
      <c r="L234" s="15" t="n">
        <f aca="false">IF(J234=1,0,Inputs!$B$11)</f>
        <v>100</v>
      </c>
      <c r="M234" s="15" t="n">
        <f aca="false">IF(J234=1,0,Inputs!$B$12)</f>
        <v>75</v>
      </c>
      <c r="N234" s="15" t="n">
        <f aca="false">IF(J234=1,0,IF(OR(AND(OR(B234="SITE LOSS",B234="REGION LOSS"),K234=1),AND(B234="ROLE COMPROMISE",H234=C234)),Inputs!$B$13,Inputs!$B$14))</f>
        <v>20</v>
      </c>
      <c r="O234" s="15" t="n">
        <f aca="false">IF(J234=1,0,Inputs!$B$13)</f>
        <v>20</v>
      </c>
      <c r="P234" s="15" t="n">
        <f aca="false">SUM(M234:N234)</f>
        <v>95</v>
      </c>
      <c r="Q234" s="15" t="n">
        <f aca="false">IF(J234=1,"",L234-P234)</f>
        <v>5</v>
      </c>
      <c r="R234" s="15" t="n">
        <f aca="false">IF(OR(J234=1,M234&lt;=Inputs!$B$12),1,0)</f>
        <v>1</v>
      </c>
      <c r="S234" s="15" t="n">
        <f aca="false">IF(OR(J234=1,N234&lt;=O234),1,0)</f>
        <v>1</v>
      </c>
      <c r="T234" s="15" t="str">
        <f aca="false">IF(J234=1,"OFFLINE",IF(AND(Q234&gt;=Inputs!$B$15,R234=1,S234=1,P234&lt;=L234),"PASS","FAIL"))</f>
        <v>PASS</v>
      </c>
    </row>
    <row r="235" customFormat="false" ht="15" hidden="false" customHeight="false" outlineLevel="0" collapsed="false">
      <c r="A235" s="14" t="s">
        <v>1021</v>
      </c>
      <c r="B235" s="14" t="s">
        <v>1019</v>
      </c>
      <c r="C235" s="14" t="s">
        <v>160</v>
      </c>
      <c r="D235" s="14" t="s">
        <v>160</v>
      </c>
      <c r="E235" s="14" t="s">
        <v>161</v>
      </c>
      <c r="F235" s="14" t="s">
        <v>150</v>
      </c>
      <c r="G235" s="14" t="n">
        <v>3</v>
      </c>
      <c r="H235" s="14" t="s">
        <v>158</v>
      </c>
      <c r="I235" s="14" t="s">
        <v>890</v>
      </c>
      <c r="J235" s="15" t="n">
        <f aca="false">IF(B235="SITE LOSS",IF(D235=C235,1,0),IF(B235="REGION LOSS",IF(E235=C235,1,0),0))</f>
        <v>1</v>
      </c>
      <c r="K235" s="15" t="n">
        <f aca="false">IF(B235="SITE LOSS",IF(COUNTIFS('Site Dockets'!$B$7:$B$24,C235,'Site Dockets'!$C$7:$C$24,F235)&gt;0,1,0),IF(B235="REGION LOSS",IF(COUNTIFS('Site Dockets'!$E$7:$E$24,C235,'Site Dockets'!$C$7:$C$24,F235)&gt;0,1,0),0))</f>
        <v>1</v>
      </c>
      <c r="L235" s="15" t="n">
        <f aca="false">IF(J235=1,0,Inputs!$B$11)</f>
        <v>0</v>
      </c>
      <c r="M235" s="15" t="n">
        <f aca="false">IF(J235=1,0,Inputs!$B$12)</f>
        <v>0</v>
      </c>
      <c r="N235" s="15" t="n">
        <f aca="false">IF(J235=1,0,IF(OR(AND(OR(B235="SITE LOSS",B235="REGION LOSS"),K235=1),AND(B235="ROLE COMPROMISE",H235=C235)),Inputs!$B$13,Inputs!$B$14))</f>
        <v>0</v>
      </c>
      <c r="O235" s="15" t="n">
        <f aca="false">IF(J235=1,0,Inputs!$B$13)</f>
        <v>0</v>
      </c>
      <c r="P235" s="15" t="n">
        <f aca="false">SUM(M235:N235)</f>
        <v>0</v>
      </c>
      <c r="Q235" s="15" t="str">
        <f aca="false">IF(J235=1,"",L235-P235)</f>
        <v/>
      </c>
      <c r="R235" s="15" t="n">
        <f aca="false">IF(OR(J235=1,M235&lt;=Inputs!$B$12),1,0)</f>
        <v>1</v>
      </c>
      <c r="S235" s="15" t="n">
        <f aca="false">IF(OR(J235=1,N235&lt;=O235),1,0)</f>
        <v>1</v>
      </c>
      <c r="T235" s="15" t="str">
        <f aca="false">IF(J235=1,"OFFLINE",IF(AND(Q235&gt;=Inputs!$B$15,R235=1,S235=1,P235&lt;=L235),"PASS","FAIL"))</f>
        <v>OFFLINE</v>
      </c>
    </row>
    <row r="236" customFormat="false" ht="15" hidden="false" customHeight="false" outlineLevel="0" collapsed="false">
      <c r="A236" s="14" t="s">
        <v>1021</v>
      </c>
      <c r="B236" s="14" t="s">
        <v>1019</v>
      </c>
      <c r="C236" s="14" t="s">
        <v>160</v>
      </c>
      <c r="D236" s="14" t="s">
        <v>160</v>
      </c>
      <c r="E236" s="14" t="s">
        <v>161</v>
      </c>
      <c r="F236" s="14" t="s">
        <v>150</v>
      </c>
      <c r="G236" s="14" t="n">
        <v>3</v>
      </c>
      <c r="H236" s="14" t="s">
        <v>158</v>
      </c>
      <c r="I236" s="14" t="s">
        <v>892</v>
      </c>
      <c r="J236" s="15" t="n">
        <f aca="false">IF(B236="SITE LOSS",IF(D236=C236,1,0),IF(B236="REGION LOSS",IF(E236=C236,1,0),0))</f>
        <v>1</v>
      </c>
      <c r="K236" s="15" t="n">
        <f aca="false">IF(B236="SITE LOSS",IF(COUNTIFS('Site Dockets'!$B$7:$B$24,C236,'Site Dockets'!$C$7:$C$24,F236)&gt;0,1,0),IF(B236="REGION LOSS",IF(COUNTIFS('Site Dockets'!$E$7:$E$24,C236,'Site Dockets'!$C$7:$C$24,F236)&gt;0,1,0),0))</f>
        <v>1</v>
      </c>
      <c r="L236" s="15" t="n">
        <f aca="false">IF(J236=1,0,Inputs!$B$11)</f>
        <v>0</v>
      </c>
      <c r="M236" s="15" t="n">
        <f aca="false">IF(J236=1,0,Inputs!$B$12)</f>
        <v>0</v>
      </c>
      <c r="N236" s="15" t="n">
        <f aca="false">IF(J236=1,0,IF(OR(AND(OR(B236="SITE LOSS",B236="REGION LOSS"),K236=1),AND(B236="ROLE COMPROMISE",H236=C236)),Inputs!$B$13,Inputs!$B$14))</f>
        <v>0</v>
      </c>
      <c r="O236" s="15" t="n">
        <f aca="false">IF(J236=1,0,Inputs!$B$13)</f>
        <v>0</v>
      </c>
      <c r="P236" s="15" t="n">
        <f aca="false">SUM(M236:N236)</f>
        <v>0</v>
      </c>
      <c r="Q236" s="15" t="str">
        <f aca="false">IF(J236=1,"",L236-P236)</f>
        <v/>
      </c>
      <c r="R236" s="15" t="n">
        <f aca="false">IF(OR(J236=1,M236&lt;=Inputs!$B$12),1,0)</f>
        <v>1</v>
      </c>
      <c r="S236" s="15" t="n">
        <f aca="false">IF(OR(J236=1,N236&lt;=O236),1,0)</f>
        <v>1</v>
      </c>
      <c r="T236" s="15" t="str">
        <f aca="false">IF(J236=1,"OFFLINE",IF(AND(Q236&gt;=Inputs!$B$15,R236=1,S236=1,P236&lt;=L236),"PASS","FAIL"))</f>
        <v>OFFLINE</v>
      </c>
    </row>
    <row r="237" customFormat="false" ht="15" hidden="false" customHeight="false" outlineLevel="0" collapsed="false">
      <c r="A237" s="14" t="s">
        <v>1021</v>
      </c>
      <c r="B237" s="14" t="s">
        <v>1019</v>
      </c>
      <c r="C237" s="14" t="s">
        <v>160</v>
      </c>
      <c r="D237" s="14" t="s">
        <v>160</v>
      </c>
      <c r="E237" s="14" t="s">
        <v>161</v>
      </c>
      <c r="F237" s="14" t="s">
        <v>150</v>
      </c>
      <c r="G237" s="14" t="n">
        <v>3</v>
      </c>
      <c r="H237" s="14" t="s">
        <v>158</v>
      </c>
      <c r="I237" s="14" t="s">
        <v>811</v>
      </c>
      <c r="J237" s="15" t="n">
        <f aca="false">IF(B237="SITE LOSS",IF(D237=C237,1,0),IF(B237="REGION LOSS",IF(E237=C237,1,0),0))</f>
        <v>1</v>
      </c>
      <c r="K237" s="15" t="n">
        <f aca="false">IF(B237="SITE LOSS",IF(COUNTIFS('Site Dockets'!$B$7:$B$24,C237,'Site Dockets'!$C$7:$C$24,F237)&gt;0,1,0),IF(B237="REGION LOSS",IF(COUNTIFS('Site Dockets'!$E$7:$E$24,C237,'Site Dockets'!$C$7:$C$24,F237)&gt;0,1,0),0))</f>
        <v>1</v>
      </c>
      <c r="L237" s="15" t="n">
        <f aca="false">IF(J237=1,0,Inputs!$B$11)</f>
        <v>0</v>
      </c>
      <c r="M237" s="15" t="n">
        <f aca="false">IF(J237=1,0,Inputs!$B$12)</f>
        <v>0</v>
      </c>
      <c r="N237" s="15" t="n">
        <f aca="false">IF(J237=1,0,IF(OR(AND(OR(B237="SITE LOSS",B237="REGION LOSS"),K237=1),AND(B237="ROLE COMPROMISE",H237=C237)),Inputs!$B$13,Inputs!$B$14))</f>
        <v>0</v>
      </c>
      <c r="O237" s="15" t="n">
        <f aca="false">IF(J237=1,0,Inputs!$B$13)</f>
        <v>0</v>
      </c>
      <c r="P237" s="15" t="n">
        <f aca="false">SUM(M237:N237)</f>
        <v>0</v>
      </c>
      <c r="Q237" s="15" t="str">
        <f aca="false">IF(J237=1,"",L237-P237)</f>
        <v/>
      </c>
      <c r="R237" s="15" t="n">
        <f aca="false">IF(OR(J237=1,M237&lt;=Inputs!$B$12),1,0)</f>
        <v>1</v>
      </c>
      <c r="S237" s="15" t="n">
        <f aca="false">IF(OR(J237=1,N237&lt;=O237),1,0)</f>
        <v>1</v>
      </c>
      <c r="T237" s="15" t="str">
        <f aca="false">IF(J237=1,"OFFLINE",IF(AND(Q237&gt;=Inputs!$B$15,R237=1,S237=1,P237&lt;=L237),"PASS","FAIL"))</f>
        <v>OFFLINE</v>
      </c>
    </row>
    <row r="238" customFormat="false" ht="15" hidden="false" customHeight="false" outlineLevel="0" collapsed="false">
      <c r="A238" s="14" t="s">
        <v>1021</v>
      </c>
      <c r="B238" s="14" t="s">
        <v>1019</v>
      </c>
      <c r="C238" s="14" t="s">
        <v>160</v>
      </c>
      <c r="D238" s="14" t="s">
        <v>160</v>
      </c>
      <c r="E238" s="14" t="s">
        <v>161</v>
      </c>
      <c r="F238" s="14" t="s">
        <v>150</v>
      </c>
      <c r="G238" s="14" t="n">
        <v>3</v>
      </c>
      <c r="H238" s="14" t="s">
        <v>158</v>
      </c>
      <c r="I238" s="14" t="s">
        <v>895</v>
      </c>
      <c r="J238" s="15" t="n">
        <f aca="false">IF(B238="SITE LOSS",IF(D238=C238,1,0),IF(B238="REGION LOSS",IF(E238=C238,1,0),0))</f>
        <v>1</v>
      </c>
      <c r="K238" s="15" t="n">
        <f aca="false">IF(B238="SITE LOSS",IF(COUNTIFS('Site Dockets'!$B$7:$B$24,C238,'Site Dockets'!$C$7:$C$24,F238)&gt;0,1,0),IF(B238="REGION LOSS",IF(COUNTIFS('Site Dockets'!$E$7:$E$24,C238,'Site Dockets'!$C$7:$C$24,F238)&gt;0,1,0),0))</f>
        <v>1</v>
      </c>
      <c r="L238" s="15" t="n">
        <f aca="false">IF(J238=1,0,Inputs!$B$11)</f>
        <v>0</v>
      </c>
      <c r="M238" s="15" t="n">
        <f aca="false">IF(J238=1,0,Inputs!$B$12)</f>
        <v>0</v>
      </c>
      <c r="N238" s="15" t="n">
        <f aca="false">IF(J238=1,0,IF(OR(AND(OR(B238="SITE LOSS",B238="REGION LOSS"),K238=1),AND(B238="ROLE COMPROMISE",H238=C238)),Inputs!$B$13,Inputs!$B$14))</f>
        <v>0</v>
      </c>
      <c r="O238" s="15" t="n">
        <f aca="false">IF(J238=1,0,Inputs!$B$13)</f>
        <v>0</v>
      </c>
      <c r="P238" s="15" t="n">
        <f aca="false">SUM(M238:N238)</f>
        <v>0</v>
      </c>
      <c r="Q238" s="15" t="str">
        <f aca="false">IF(J238=1,"",L238-P238)</f>
        <v/>
      </c>
      <c r="R238" s="15" t="n">
        <f aca="false">IF(OR(J238=1,M238&lt;=Inputs!$B$12),1,0)</f>
        <v>1</v>
      </c>
      <c r="S238" s="15" t="n">
        <f aca="false">IF(OR(J238=1,N238&lt;=O238),1,0)</f>
        <v>1</v>
      </c>
      <c r="T238" s="15" t="str">
        <f aca="false">IF(J238=1,"OFFLINE",IF(AND(Q238&gt;=Inputs!$B$15,R238=1,S238=1,P238&lt;=L238),"PASS","FAIL"))</f>
        <v>OFFLINE</v>
      </c>
    </row>
    <row r="239" customFormat="false" ht="15" hidden="false" customHeight="false" outlineLevel="0" collapsed="false">
      <c r="A239" s="14" t="s">
        <v>1021</v>
      </c>
      <c r="B239" s="14" t="s">
        <v>1019</v>
      </c>
      <c r="C239" s="14" t="s">
        <v>160</v>
      </c>
      <c r="D239" s="14" t="s">
        <v>160</v>
      </c>
      <c r="E239" s="14" t="s">
        <v>161</v>
      </c>
      <c r="F239" s="14" t="s">
        <v>150</v>
      </c>
      <c r="G239" s="14" t="n">
        <v>3</v>
      </c>
      <c r="H239" s="14" t="s">
        <v>158</v>
      </c>
      <c r="I239" s="14" t="s">
        <v>897</v>
      </c>
      <c r="J239" s="15" t="n">
        <f aca="false">IF(B239="SITE LOSS",IF(D239=C239,1,0),IF(B239="REGION LOSS",IF(E239=C239,1,0),0))</f>
        <v>1</v>
      </c>
      <c r="K239" s="15" t="n">
        <f aca="false">IF(B239="SITE LOSS",IF(COUNTIFS('Site Dockets'!$B$7:$B$24,C239,'Site Dockets'!$C$7:$C$24,F239)&gt;0,1,0),IF(B239="REGION LOSS",IF(COUNTIFS('Site Dockets'!$E$7:$E$24,C239,'Site Dockets'!$C$7:$C$24,F239)&gt;0,1,0),0))</f>
        <v>1</v>
      </c>
      <c r="L239" s="15" t="n">
        <f aca="false">IF(J239=1,0,Inputs!$B$11)</f>
        <v>0</v>
      </c>
      <c r="M239" s="15" t="n">
        <f aca="false">IF(J239=1,0,Inputs!$B$12)</f>
        <v>0</v>
      </c>
      <c r="N239" s="15" t="n">
        <f aca="false">IF(J239=1,0,IF(OR(AND(OR(B239="SITE LOSS",B239="REGION LOSS"),K239=1),AND(B239="ROLE COMPROMISE",H239=C239)),Inputs!$B$13,Inputs!$B$14))</f>
        <v>0</v>
      </c>
      <c r="O239" s="15" t="n">
        <f aca="false">IF(J239=1,0,Inputs!$B$13)</f>
        <v>0</v>
      </c>
      <c r="P239" s="15" t="n">
        <f aca="false">SUM(M239:N239)</f>
        <v>0</v>
      </c>
      <c r="Q239" s="15" t="str">
        <f aca="false">IF(J239=1,"",L239-P239)</f>
        <v/>
      </c>
      <c r="R239" s="15" t="n">
        <f aca="false">IF(OR(J239=1,M239&lt;=Inputs!$B$12),1,0)</f>
        <v>1</v>
      </c>
      <c r="S239" s="15" t="n">
        <f aca="false">IF(OR(J239=1,N239&lt;=O239),1,0)</f>
        <v>1</v>
      </c>
      <c r="T239" s="15" t="str">
        <f aca="false">IF(J239=1,"OFFLINE",IF(AND(Q239&gt;=Inputs!$B$15,R239=1,S239=1,P239&lt;=L239),"PASS","FAIL"))</f>
        <v>OFFLINE</v>
      </c>
    </row>
    <row r="240" customFormat="false" ht="15" hidden="false" customHeight="false" outlineLevel="0" collapsed="false">
      <c r="A240" s="14" t="s">
        <v>1021</v>
      </c>
      <c r="B240" s="14" t="s">
        <v>1019</v>
      </c>
      <c r="C240" s="14" t="s">
        <v>160</v>
      </c>
      <c r="D240" s="14" t="s">
        <v>160</v>
      </c>
      <c r="E240" s="14" t="s">
        <v>161</v>
      </c>
      <c r="F240" s="14" t="s">
        <v>150</v>
      </c>
      <c r="G240" s="14" t="n">
        <v>3</v>
      </c>
      <c r="H240" s="14" t="s">
        <v>158</v>
      </c>
      <c r="I240" s="14" t="s">
        <v>899</v>
      </c>
      <c r="J240" s="15" t="n">
        <f aca="false">IF(B240="SITE LOSS",IF(D240=C240,1,0),IF(B240="REGION LOSS",IF(E240=C240,1,0),0))</f>
        <v>1</v>
      </c>
      <c r="K240" s="15" t="n">
        <f aca="false">IF(B240="SITE LOSS",IF(COUNTIFS('Site Dockets'!$B$7:$B$24,C240,'Site Dockets'!$C$7:$C$24,F240)&gt;0,1,0),IF(B240="REGION LOSS",IF(COUNTIFS('Site Dockets'!$E$7:$E$24,C240,'Site Dockets'!$C$7:$C$24,F240)&gt;0,1,0),0))</f>
        <v>1</v>
      </c>
      <c r="L240" s="15" t="n">
        <f aca="false">IF(J240=1,0,Inputs!$B$11)</f>
        <v>0</v>
      </c>
      <c r="M240" s="15" t="n">
        <f aca="false">IF(J240=1,0,Inputs!$B$12)</f>
        <v>0</v>
      </c>
      <c r="N240" s="15" t="n">
        <f aca="false">IF(J240=1,0,IF(OR(AND(OR(B240="SITE LOSS",B240="REGION LOSS"),K240=1),AND(B240="ROLE COMPROMISE",H240=C240)),Inputs!$B$13,Inputs!$B$14))</f>
        <v>0</v>
      </c>
      <c r="O240" s="15" t="n">
        <f aca="false">IF(J240=1,0,Inputs!$B$13)</f>
        <v>0</v>
      </c>
      <c r="P240" s="15" t="n">
        <f aca="false">SUM(M240:N240)</f>
        <v>0</v>
      </c>
      <c r="Q240" s="15" t="str">
        <f aca="false">IF(J240=1,"",L240-P240)</f>
        <v/>
      </c>
      <c r="R240" s="15" t="n">
        <f aca="false">IF(OR(J240=1,M240&lt;=Inputs!$B$12),1,0)</f>
        <v>1</v>
      </c>
      <c r="S240" s="15" t="n">
        <f aca="false">IF(OR(J240=1,N240&lt;=O240),1,0)</f>
        <v>1</v>
      </c>
      <c r="T240" s="15" t="str">
        <f aca="false">IF(J240=1,"OFFLINE",IF(AND(Q240&gt;=Inputs!$B$15,R240=1,S240=1,P240&lt;=L240),"PASS","FAIL"))</f>
        <v>OFFLINE</v>
      </c>
    </row>
    <row r="241" customFormat="false" ht="15" hidden="false" customHeight="false" outlineLevel="0" collapsed="false">
      <c r="A241" s="14" t="s">
        <v>1021</v>
      </c>
      <c r="B241" s="14" t="s">
        <v>1019</v>
      </c>
      <c r="C241" s="14" t="s">
        <v>160</v>
      </c>
      <c r="D241" s="14" t="s">
        <v>163</v>
      </c>
      <c r="E241" s="14" t="s">
        <v>166</v>
      </c>
      <c r="F241" s="14" t="s">
        <v>164</v>
      </c>
      <c r="G241" s="14" t="n">
        <v>1</v>
      </c>
      <c r="H241" s="14" t="s">
        <v>154</v>
      </c>
      <c r="I241" s="14" t="s">
        <v>890</v>
      </c>
      <c r="J241" s="15" t="n">
        <f aca="false">IF(B241="SITE LOSS",IF(D241=C241,1,0),IF(B241="REGION LOSS",IF(E241=C241,1,0),0))</f>
        <v>0</v>
      </c>
      <c r="K241" s="15" t="n">
        <f aca="false">IF(B241="SITE LOSS",IF(COUNTIFS('Site Dockets'!$B$7:$B$24,C241,'Site Dockets'!$C$7:$C$24,F241)&gt;0,1,0),IF(B241="REGION LOSS",IF(COUNTIFS('Site Dockets'!$E$7:$E$24,C241,'Site Dockets'!$C$7:$C$24,F241)&gt;0,1,0),0))</f>
        <v>0</v>
      </c>
      <c r="L241" s="15" t="n">
        <f aca="false">IF(J241=1,0,Inputs!$B$11)</f>
        <v>100</v>
      </c>
      <c r="M241" s="15" t="n">
        <f aca="false">IF(J241=1,0,Inputs!$B$12)</f>
        <v>75</v>
      </c>
      <c r="N241" s="15" t="n">
        <f aca="false">IF(J241=1,0,IF(OR(AND(OR(B241="SITE LOSS",B241="REGION LOSS"),K241=1),AND(B241="ROLE COMPROMISE",H241=C241)),Inputs!$B$13,Inputs!$B$14))</f>
        <v>10</v>
      </c>
      <c r="O241" s="15" t="n">
        <f aca="false">IF(J241=1,0,Inputs!$B$13)</f>
        <v>20</v>
      </c>
      <c r="P241" s="15" t="n">
        <f aca="false">SUM(M241:N241)</f>
        <v>85</v>
      </c>
      <c r="Q241" s="15" t="n">
        <f aca="false">IF(J241=1,"",L241-P241)</f>
        <v>15</v>
      </c>
      <c r="R241" s="15" t="n">
        <f aca="false">IF(OR(J241=1,M241&lt;=Inputs!$B$12),1,0)</f>
        <v>1</v>
      </c>
      <c r="S241" s="15" t="n">
        <f aca="false">IF(OR(J241=1,N241&lt;=O241),1,0)</f>
        <v>1</v>
      </c>
      <c r="T241" s="15" t="str">
        <f aca="false">IF(J241=1,"OFFLINE",IF(AND(Q241&gt;=Inputs!$B$15,R241=1,S241=1,P241&lt;=L241),"PASS","FAIL"))</f>
        <v>PASS</v>
      </c>
    </row>
    <row r="242" customFormat="false" ht="15" hidden="false" customHeight="false" outlineLevel="0" collapsed="false">
      <c r="A242" s="14" t="s">
        <v>1021</v>
      </c>
      <c r="B242" s="14" t="s">
        <v>1019</v>
      </c>
      <c r="C242" s="14" t="s">
        <v>160</v>
      </c>
      <c r="D242" s="14" t="s">
        <v>163</v>
      </c>
      <c r="E242" s="14" t="s">
        <v>166</v>
      </c>
      <c r="F242" s="14" t="s">
        <v>164</v>
      </c>
      <c r="G242" s="14" t="n">
        <v>1</v>
      </c>
      <c r="H242" s="14" t="s">
        <v>154</v>
      </c>
      <c r="I242" s="14" t="s">
        <v>892</v>
      </c>
      <c r="J242" s="15" t="n">
        <f aca="false">IF(B242="SITE LOSS",IF(D242=C242,1,0),IF(B242="REGION LOSS",IF(E242=C242,1,0),0))</f>
        <v>0</v>
      </c>
      <c r="K242" s="15" t="n">
        <f aca="false">IF(B242="SITE LOSS",IF(COUNTIFS('Site Dockets'!$B$7:$B$24,C242,'Site Dockets'!$C$7:$C$24,F242)&gt;0,1,0),IF(B242="REGION LOSS",IF(COUNTIFS('Site Dockets'!$E$7:$E$24,C242,'Site Dockets'!$C$7:$C$24,F242)&gt;0,1,0),0))</f>
        <v>0</v>
      </c>
      <c r="L242" s="15" t="n">
        <f aca="false">IF(J242=1,0,Inputs!$B$11)</f>
        <v>100</v>
      </c>
      <c r="M242" s="15" t="n">
        <f aca="false">IF(J242=1,0,Inputs!$B$12)</f>
        <v>75</v>
      </c>
      <c r="N242" s="15" t="n">
        <f aca="false">IF(J242=1,0,IF(OR(AND(OR(B242="SITE LOSS",B242="REGION LOSS"),K242=1),AND(B242="ROLE COMPROMISE",H242=C242)),Inputs!$B$13,Inputs!$B$14))</f>
        <v>10</v>
      </c>
      <c r="O242" s="15" t="n">
        <f aca="false">IF(J242=1,0,Inputs!$B$13)</f>
        <v>20</v>
      </c>
      <c r="P242" s="15" t="n">
        <f aca="false">SUM(M242:N242)</f>
        <v>85</v>
      </c>
      <c r="Q242" s="15" t="n">
        <f aca="false">IF(J242=1,"",L242-P242)</f>
        <v>15</v>
      </c>
      <c r="R242" s="15" t="n">
        <f aca="false">IF(OR(J242=1,M242&lt;=Inputs!$B$12),1,0)</f>
        <v>1</v>
      </c>
      <c r="S242" s="15" t="n">
        <f aca="false">IF(OR(J242=1,N242&lt;=O242),1,0)</f>
        <v>1</v>
      </c>
      <c r="T242" s="15" t="str">
        <f aca="false">IF(J242=1,"OFFLINE",IF(AND(Q242&gt;=Inputs!$B$15,R242=1,S242=1,P242&lt;=L242),"PASS","FAIL"))</f>
        <v>PASS</v>
      </c>
    </row>
    <row r="243" customFormat="false" ht="15" hidden="false" customHeight="false" outlineLevel="0" collapsed="false">
      <c r="A243" s="14" t="s">
        <v>1021</v>
      </c>
      <c r="B243" s="14" t="s">
        <v>1019</v>
      </c>
      <c r="C243" s="14" t="s">
        <v>160</v>
      </c>
      <c r="D243" s="14" t="s">
        <v>163</v>
      </c>
      <c r="E243" s="14" t="s">
        <v>166</v>
      </c>
      <c r="F243" s="14" t="s">
        <v>164</v>
      </c>
      <c r="G243" s="14" t="n">
        <v>1</v>
      </c>
      <c r="H243" s="14" t="s">
        <v>154</v>
      </c>
      <c r="I243" s="14" t="s">
        <v>811</v>
      </c>
      <c r="J243" s="15" t="n">
        <f aca="false">IF(B243="SITE LOSS",IF(D243=C243,1,0),IF(B243="REGION LOSS",IF(E243=C243,1,0),0))</f>
        <v>0</v>
      </c>
      <c r="K243" s="15" t="n">
        <f aca="false">IF(B243="SITE LOSS",IF(COUNTIFS('Site Dockets'!$B$7:$B$24,C243,'Site Dockets'!$C$7:$C$24,F243)&gt;0,1,0),IF(B243="REGION LOSS",IF(COUNTIFS('Site Dockets'!$E$7:$E$24,C243,'Site Dockets'!$C$7:$C$24,F243)&gt;0,1,0),0))</f>
        <v>0</v>
      </c>
      <c r="L243" s="15" t="n">
        <f aca="false">IF(J243=1,0,Inputs!$B$11)</f>
        <v>100</v>
      </c>
      <c r="M243" s="15" t="n">
        <f aca="false">IF(J243=1,0,Inputs!$B$12)</f>
        <v>75</v>
      </c>
      <c r="N243" s="15" t="n">
        <f aca="false">IF(J243=1,0,IF(OR(AND(OR(B243="SITE LOSS",B243="REGION LOSS"),K243=1),AND(B243="ROLE COMPROMISE",H243=C243)),Inputs!$B$13,Inputs!$B$14))</f>
        <v>10</v>
      </c>
      <c r="O243" s="15" t="n">
        <f aca="false">IF(J243=1,0,Inputs!$B$13)</f>
        <v>20</v>
      </c>
      <c r="P243" s="15" t="n">
        <f aca="false">SUM(M243:N243)</f>
        <v>85</v>
      </c>
      <c r="Q243" s="15" t="n">
        <f aca="false">IF(J243=1,"",L243-P243)</f>
        <v>15</v>
      </c>
      <c r="R243" s="15" t="n">
        <f aca="false">IF(OR(J243=1,M243&lt;=Inputs!$B$12),1,0)</f>
        <v>1</v>
      </c>
      <c r="S243" s="15" t="n">
        <f aca="false">IF(OR(J243=1,N243&lt;=O243),1,0)</f>
        <v>1</v>
      </c>
      <c r="T243" s="15" t="str">
        <f aca="false">IF(J243=1,"OFFLINE",IF(AND(Q243&gt;=Inputs!$B$15,R243=1,S243=1,P243&lt;=L243),"PASS","FAIL"))</f>
        <v>PASS</v>
      </c>
    </row>
    <row r="244" customFormat="false" ht="15" hidden="false" customHeight="false" outlineLevel="0" collapsed="false">
      <c r="A244" s="14" t="s">
        <v>1021</v>
      </c>
      <c r="B244" s="14" t="s">
        <v>1019</v>
      </c>
      <c r="C244" s="14" t="s">
        <v>160</v>
      </c>
      <c r="D244" s="14" t="s">
        <v>163</v>
      </c>
      <c r="E244" s="14" t="s">
        <v>166</v>
      </c>
      <c r="F244" s="14" t="s">
        <v>164</v>
      </c>
      <c r="G244" s="14" t="n">
        <v>1</v>
      </c>
      <c r="H244" s="14" t="s">
        <v>154</v>
      </c>
      <c r="I244" s="14" t="s">
        <v>895</v>
      </c>
      <c r="J244" s="15" t="n">
        <f aca="false">IF(B244="SITE LOSS",IF(D244=C244,1,0),IF(B244="REGION LOSS",IF(E244=C244,1,0),0))</f>
        <v>0</v>
      </c>
      <c r="K244" s="15" t="n">
        <f aca="false">IF(B244="SITE LOSS",IF(COUNTIFS('Site Dockets'!$B$7:$B$24,C244,'Site Dockets'!$C$7:$C$24,F244)&gt;0,1,0),IF(B244="REGION LOSS",IF(COUNTIFS('Site Dockets'!$E$7:$E$24,C244,'Site Dockets'!$C$7:$C$24,F244)&gt;0,1,0),0))</f>
        <v>0</v>
      </c>
      <c r="L244" s="15" t="n">
        <f aca="false">IF(J244=1,0,Inputs!$B$11)</f>
        <v>100</v>
      </c>
      <c r="M244" s="15" t="n">
        <f aca="false">IF(J244=1,0,Inputs!$B$12)</f>
        <v>75</v>
      </c>
      <c r="N244" s="15" t="n">
        <f aca="false">IF(J244=1,0,IF(OR(AND(OR(B244="SITE LOSS",B244="REGION LOSS"),K244=1),AND(B244="ROLE COMPROMISE",H244=C244)),Inputs!$B$13,Inputs!$B$14))</f>
        <v>10</v>
      </c>
      <c r="O244" s="15" t="n">
        <f aca="false">IF(J244=1,0,Inputs!$B$13)</f>
        <v>20</v>
      </c>
      <c r="P244" s="15" t="n">
        <f aca="false">SUM(M244:N244)</f>
        <v>85</v>
      </c>
      <c r="Q244" s="15" t="n">
        <f aca="false">IF(J244=1,"",L244-P244)</f>
        <v>15</v>
      </c>
      <c r="R244" s="15" t="n">
        <f aca="false">IF(OR(J244=1,M244&lt;=Inputs!$B$12),1,0)</f>
        <v>1</v>
      </c>
      <c r="S244" s="15" t="n">
        <f aca="false">IF(OR(J244=1,N244&lt;=O244),1,0)</f>
        <v>1</v>
      </c>
      <c r="T244" s="15" t="str">
        <f aca="false">IF(J244=1,"OFFLINE",IF(AND(Q244&gt;=Inputs!$B$15,R244=1,S244=1,P244&lt;=L244),"PASS","FAIL"))</f>
        <v>PASS</v>
      </c>
    </row>
    <row r="245" customFormat="false" ht="15" hidden="false" customHeight="false" outlineLevel="0" collapsed="false">
      <c r="A245" s="14" t="s">
        <v>1021</v>
      </c>
      <c r="B245" s="14" t="s">
        <v>1019</v>
      </c>
      <c r="C245" s="14" t="s">
        <v>160</v>
      </c>
      <c r="D245" s="14" t="s">
        <v>163</v>
      </c>
      <c r="E245" s="14" t="s">
        <v>166</v>
      </c>
      <c r="F245" s="14" t="s">
        <v>164</v>
      </c>
      <c r="G245" s="14" t="n">
        <v>1</v>
      </c>
      <c r="H245" s="14" t="s">
        <v>154</v>
      </c>
      <c r="I245" s="14" t="s">
        <v>897</v>
      </c>
      <c r="J245" s="15" t="n">
        <f aca="false">IF(B245="SITE LOSS",IF(D245=C245,1,0),IF(B245="REGION LOSS",IF(E245=C245,1,0),0))</f>
        <v>0</v>
      </c>
      <c r="K245" s="15" t="n">
        <f aca="false">IF(B245="SITE LOSS",IF(COUNTIFS('Site Dockets'!$B$7:$B$24,C245,'Site Dockets'!$C$7:$C$24,F245)&gt;0,1,0),IF(B245="REGION LOSS",IF(COUNTIFS('Site Dockets'!$E$7:$E$24,C245,'Site Dockets'!$C$7:$C$24,F245)&gt;0,1,0),0))</f>
        <v>0</v>
      </c>
      <c r="L245" s="15" t="n">
        <f aca="false">IF(J245=1,0,Inputs!$B$11)</f>
        <v>100</v>
      </c>
      <c r="M245" s="15" t="n">
        <f aca="false">IF(J245=1,0,Inputs!$B$12)</f>
        <v>75</v>
      </c>
      <c r="N245" s="15" t="n">
        <f aca="false">IF(J245=1,0,IF(OR(AND(OR(B245="SITE LOSS",B245="REGION LOSS"),K245=1),AND(B245="ROLE COMPROMISE",H245=C245)),Inputs!$B$13,Inputs!$B$14))</f>
        <v>10</v>
      </c>
      <c r="O245" s="15" t="n">
        <f aca="false">IF(J245=1,0,Inputs!$B$13)</f>
        <v>20</v>
      </c>
      <c r="P245" s="15" t="n">
        <f aca="false">SUM(M245:N245)</f>
        <v>85</v>
      </c>
      <c r="Q245" s="15" t="n">
        <f aca="false">IF(J245=1,"",L245-P245)</f>
        <v>15</v>
      </c>
      <c r="R245" s="15" t="n">
        <f aca="false">IF(OR(J245=1,M245&lt;=Inputs!$B$12),1,0)</f>
        <v>1</v>
      </c>
      <c r="S245" s="15" t="n">
        <f aca="false">IF(OR(J245=1,N245&lt;=O245),1,0)</f>
        <v>1</v>
      </c>
      <c r="T245" s="15" t="str">
        <f aca="false">IF(J245=1,"OFFLINE",IF(AND(Q245&gt;=Inputs!$B$15,R245=1,S245=1,P245&lt;=L245),"PASS","FAIL"))</f>
        <v>PASS</v>
      </c>
    </row>
    <row r="246" customFormat="false" ht="15" hidden="false" customHeight="false" outlineLevel="0" collapsed="false">
      <c r="A246" s="14" t="s">
        <v>1021</v>
      </c>
      <c r="B246" s="14" t="s">
        <v>1019</v>
      </c>
      <c r="C246" s="14" t="s">
        <v>160</v>
      </c>
      <c r="D246" s="14" t="s">
        <v>163</v>
      </c>
      <c r="E246" s="14" t="s">
        <v>166</v>
      </c>
      <c r="F246" s="14" t="s">
        <v>164</v>
      </c>
      <c r="G246" s="14" t="n">
        <v>1</v>
      </c>
      <c r="H246" s="14" t="s">
        <v>154</v>
      </c>
      <c r="I246" s="14" t="s">
        <v>899</v>
      </c>
      <c r="J246" s="15" t="n">
        <f aca="false">IF(B246="SITE LOSS",IF(D246=C246,1,0),IF(B246="REGION LOSS",IF(E246=C246,1,0),0))</f>
        <v>0</v>
      </c>
      <c r="K246" s="15" t="n">
        <f aca="false">IF(B246="SITE LOSS",IF(COUNTIFS('Site Dockets'!$B$7:$B$24,C246,'Site Dockets'!$C$7:$C$24,F246)&gt;0,1,0),IF(B246="REGION LOSS",IF(COUNTIFS('Site Dockets'!$E$7:$E$24,C246,'Site Dockets'!$C$7:$C$24,F246)&gt;0,1,0),0))</f>
        <v>0</v>
      </c>
      <c r="L246" s="15" t="n">
        <f aca="false">IF(J246=1,0,Inputs!$B$11)</f>
        <v>100</v>
      </c>
      <c r="M246" s="15" t="n">
        <f aca="false">IF(J246=1,0,Inputs!$B$12)</f>
        <v>75</v>
      </c>
      <c r="N246" s="15" t="n">
        <f aca="false">IF(J246=1,0,IF(OR(AND(OR(B246="SITE LOSS",B246="REGION LOSS"),K246=1),AND(B246="ROLE COMPROMISE",H246=C246)),Inputs!$B$13,Inputs!$B$14))</f>
        <v>10</v>
      </c>
      <c r="O246" s="15" t="n">
        <f aca="false">IF(J246=1,0,Inputs!$B$13)</f>
        <v>20</v>
      </c>
      <c r="P246" s="15" t="n">
        <f aca="false">SUM(M246:N246)</f>
        <v>85</v>
      </c>
      <c r="Q246" s="15" t="n">
        <f aca="false">IF(J246=1,"",L246-P246)</f>
        <v>15</v>
      </c>
      <c r="R246" s="15" t="n">
        <f aca="false">IF(OR(J246=1,M246&lt;=Inputs!$B$12),1,0)</f>
        <v>1</v>
      </c>
      <c r="S246" s="15" t="n">
        <f aca="false">IF(OR(J246=1,N246&lt;=O246),1,0)</f>
        <v>1</v>
      </c>
      <c r="T246" s="15" t="str">
        <f aca="false">IF(J246=1,"OFFLINE",IF(AND(Q246&gt;=Inputs!$B$15,R246=1,S246=1,P246&lt;=L246),"PASS","FAIL"))</f>
        <v>PASS</v>
      </c>
    </row>
    <row r="247" customFormat="false" ht="15" hidden="false" customHeight="false" outlineLevel="0" collapsed="false">
      <c r="A247" s="14" t="s">
        <v>1021</v>
      </c>
      <c r="B247" s="14" t="s">
        <v>1019</v>
      </c>
      <c r="C247" s="14" t="s">
        <v>160</v>
      </c>
      <c r="D247" s="14" t="s">
        <v>168</v>
      </c>
      <c r="E247" s="14" t="s">
        <v>169</v>
      </c>
      <c r="F247" s="14" t="s">
        <v>164</v>
      </c>
      <c r="G247" s="14" t="n">
        <v>2</v>
      </c>
      <c r="H247" s="14" t="s">
        <v>153</v>
      </c>
      <c r="I247" s="14" t="s">
        <v>890</v>
      </c>
      <c r="J247" s="15" t="n">
        <f aca="false">IF(B247="SITE LOSS",IF(D247=C247,1,0),IF(B247="REGION LOSS",IF(E247=C247,1,0),0))</f>
        <v>0</v>
      </c>
      <c r="K247" s="15" t="n">
        <f aca="false">IF(B247="SITE LOSS",IF(COUNTIFS('Site Dockets'!$B$7:$B$24,C247,'Site Dockets'!$C$7:$C$24,F247)&gt;0,1,0),IF(B247="REGION LOSS",IF(COUNTIFS('Site Dockets'!$E$7:$E$24,C247,'Site Dockets'!$C$7:$C$24,F247)&gt;0,1,0),0))</f>
        <v>0</v>
      </c>
      <c r="L247" s="15" t="n">
        <f aca="false">IF(J247=1,0,Inputs!$B$11)</f>
        <v>100</v>
      </c>
      <c r="M247" s="15" t="n">
        <f aca="false">IF(J247=1,0,Inputs!$B$12)</f>
        <v>75</v>
      </c>
      <c r="N247" s="15" t="n">
        <f aca="false">IF(J247=1,0,IF(OR(AND(OR(B247="SITE LOSS",B247="REGION LOSS"),K247=1),AND(B247="ROLE COMPROMISE",H247=C247)),Inputs!$B$13,Inputs!$B$14))</f>
        <v>10</v>
      </c>
      <c r="O247" s="15" t="n">
        <f aca="false">IF(J247=1,0,Inputs!$B$13)</f>
        <v>20</v>
      </c>
      <c r="P247" s="15" t="n">
        <f aca="false">SUM(M247:N247)</f>
        <v>85</v>
      </c>
      <c r="Q247" s="15" t="n">
        <f aca="false">IF(J247=1,"",L247-P247)</f>
        <v>15</v>
      </c>
      <c r="R247" s="15" t="n">
        <f aca="false">IF(OR(J247=1,M247&lt;=Inputs!$B$12),1,0)</f>
        <v>1</v>
      </c>
      <c r="S247" s="15" t="n">
        <f aca="false">IF(OR(J247=1,N247&lt;=O247),1,0)</f>
        <v>1</v>
      </c>
      <c r="T247" s="15" t="str">
        <f aca="false">IF(J247=1,"OFFLINE",IF(AND(Q247&gt;=Inputs!$B$15,R247=1,S247=1,P247&lt;=L247),"PASS","FAIL"))</f>
        <v>PASS</v>
      </c>
    </row>
    <row r="248" customFormat="false" ht="15" hidden="false" customHeight="false" outlineLevel="0" collapsed="false">
      <c r="A248" s="14" t="s">
        <v>1021</v>
      </c>
      <c r="B248" s="14" t="s">
        <v>1019</v>
      </c>
      <c r="C248" s="14" t="s">
        <v>160</v>
      </c>
      <c r="D248" s="14" t="s">
        <v>168</v>
      </c>
      <c r="E248" s="14" t="s">
        <v>169</v>
      </c>
      <c r="F248" s="14" t="s">
        <v>164</v>
      </c>
      <c r="G248" s="14" t="n">
        <v>2</v>
      </c>
      <c r="H248" s="14" t="s">
        <v>153</v>
      </c>
      <c r="I248" s="14" t="s">
        <v>892</v>
      </c>
      <c r="J248" s="15" t="n">
        <f aca="false">IF(B248="SITE LOSS",IF(D248=C248,1,0),IF(B248="REGION LOSS",IF(E248=C248,1,0),0))</f>
        <v>0</v>
      </c>
      <c r="K248" s="15" t="n">
        <f aca="false">IF(B248="SITE LOSS",IF(COUNTIFS('Site Dockets'!$B$7:$B$24,C248,'Site Dockets'!$C$7:$C$24,F248)&gt;0,1,0),IF(B248="REGION LOSS",IF(COUNTIFS('Site Dockets'!$E$7:$E$24,C248,'Site Dockets'!$C$7:$C$24,F248)&gt;0,1,0),0))</f>
        <v>0</v>
      </c>
      <c r="L248" s="15" t="n">
        <f aca="false">IF(J248=1,0,Inputs!$B$11)</f>
        <v>100</v>
      </c>
      <c r="M248" s="15" t="n">
        <f aca="false">IF(J248=1,0,Inputs!$B$12)</f>
        <v>75</v>
      </c>
      <c r="N248" s="15" t="n">
        <f aca="false">IF(J248=1,0,IF(OR(AND(OR(B248="SITE LOSS",B248="REGION LOSS"),K248=1),AND(B248="ROLE COMPROMISE",H248=C248)),Inputs!$B$13,Inputs!$B$14))</f>
        <v>10</v>
      </c>
      <c r="O248" s="15" t="n">
        <f aca="false">IF(J248=1,0,Inputs!$B$13)</f>
        <v>20</v>
      </c>
      <c r="P248" s="15" t="n">
        <f aca="false">SUM(M248:N248)</f>
        <v>85</v>
      </c>
      <c r="Q248" s="15" t="n">
        <f aca="false">IF(J248=1,"",L248-P248)</f>
        <v>15</v>
      </c>
      <c r="R248" s="15" t="n">
        <f aca="false">IF(OR(J248=1,M248&lt;=Inputs!$B$12),1,0)</f>
        <v>1</v>
      </c>
      <c r="S248" s="15" t="n">
        <f aca="false">IF(OR(J248=1,N248&lt;=O248),1,0)</f>
        <v>1</v>
      </c>
      <c r="T248" s="15" t="str">
        <f aca="false">IF(J248=1,"OFFLINE",IF(AND(Q248&gt;=Inputs!$B$15,R248=1,S248=1,P248&lt;=L248),"PASS","FAIL"))</f>
        <v>PASS</v>
      </c>
    </row>
    <row r="249" customFormat="false" ht="15" hidden="false" customHeight="false" outlineLevel="0" collapsed="false">
      <c r="A249" s="14" t="s">
        <v>1021</v>
      </c>
      <c r="B249" s="14" t="s">
        <v>1019</v>
      </c>
      <c r="C249" s="14" t="s">
        <v>160</v>
      </c>
      <c r="D249" s="14" t="s">
        <v>168</v>
      </c>
      <c r="E249" s="14" t="s">
        <v>169</v>
      </c>
      <c r="F249" s="14" t="s">
        <v>164</v>
      </c>
      <c r="G249" s="14" t="n">
        <v>2</v>
      </c>
      <c r="H249" s="14" t="s">
        <v>153</v>
      </c>
      <c r="I249" s="14" t="s">
        <v>811</v>
      </c>
      <c r="J249" s="15" t="n">
        <f aca="false">IF(B249="SITE LOSS",IF(D249=C249,1,0),IF(B249="REGION LOSS",IF(E249=C249,1,0),0))</f>
        <v>0</v>
      </c>
      <c r="K249" s="15" t="n">
        <f aca="false">IF(B249="SITE LOSS",IF(COUNTIFS('Site Dockets'!$B$7:$B$24,C249,'Site Dockets'!$C$7:$C$24,F249)&gt;0,1,0),IF(B249="REGION LOSS",IF(COUNTIFS('Site Dockets'!$E$7:$E$24,C249,'Site Dockets'!$C$7:$C$24,F249)&gt;0,1,0),0))</f>
        <v>0</v>
      </c>
      <c r="L249" s="15" t="n">
        <f aca="false">IF(J249=1,0,Inputs!$B$11)</f>
        <v>100</v>
      </c>
      <c r="M249" s="15" t="n">
        <f aca="false">IF(J249=1,0,Inputs!$B$12)</f>
        <v>75</v>
      </c>
      <c r="N249" s="15" t="n">
        <f aca="false">IF(J249=1,0,IF(OR(AND(OR(B249="SITE LOSS",B249="REGION LOSS"),K249=1),AND(B249="ROLE COMPROMISE",H249=C249)),Inputs!$B$13,Inputs!$B$14))</f>
        <v>10</v>
      </c>
      <c r="O249" s="15" t="n">
        <f aca="false">IF(J249=1,0,Inputs!$B$13)</f>
        <v>20</v>
      </c>
      <c r="P249" s="15" t="n">
        <f aca="false">SUM(M249:N249)</f>
        <v>85</v>
      </c>
      <c r="Q249" s="15" t="n">
        <f aca="false">IF(J249=1,"",L249-P249)</f>
        <v>15</v>
      </c>
      <c r="R249" s="15" t="n">
        <f aca="false">IF(OR(J249=1,M249&lt;=Inputs!$B$12),1,0)</f>
        <v>1</v>
      </c>
      <c r="S249" s="15" t="n">
        <f aca="false">IF(OR(J249=1,N249&lt;=O249),1,0)</f>
        <v>1</v>
      </c>
      <c r="T249" s="15" t="str">
        <f aca="false">IF(J249=1,"OFFLINE",IF(AND(Q249&gt;=Inputs!$B$15,R249=1,S249=1,P249&lt;=L249),"PASS","FAIL"))</f>
        <v>PASS</v>
      </c>
    </row>
    <row r="250" customFormat="false" ht="15" hidden="false" customHeight="false" outlineLevel="0" collapsed="false">
      <c r="A250" s="14" t="s">
        <v>1021</v>
      </c>
      <c r="B250" s="14" t="s">
        <v>1019</v>
      </c>
      <c r="C250" s="14" t="s">
        <v>160</v>
      </c>
      <c r="D250" s="14" t="s">
        <v>168</v>
      </c>
      <c r="E250" s="14" t="s">
        <v>169</v>
      </c>
      <c r="F250" s="14" t="s">
        <v>164</v>
      </c>
      <c r="G250" s="14" t="n">
        <v>2</v>
      </c>
      <c r="H250" s="14" t="s">
        <v>153</v>
      </c>
      <c r="I250" s="14" t="s">
        <v>895</v>
      </c>
      <c r="J250" s="15" t="n">
        <f aca="false">IF(B250="SITE LOSS",IF(D250=C250,1,0),IF(B250="REGION LOSS",IF(E250=C250,1,0),0))</f>
        <v>0</v>
      </c>
      <c r="K250" s="15" t="n">
        <f aca="false">IF(B250="SITE LOSS",IF(COUNTIFS('Site Dockets'!$B$7:$B$24,C250,'Site Dockets'!$C$7:$C$24,F250)&gt;0,1,0),IF(B250="REGION LOSS",IF(COUNTIFS('Site Dockets'!$E$7:$E$24,C250,'Site Dockets'!$C$7:$C$24,F250)&gt;0,1,0),0))</f>
        <v>0</v>
      </c>
      <c r="L250" s="15" t="n">
        <f aca="false">IF(J250=1,0,Inputs!$B$11)</f>
        <v>100</v>
      </c>
      <c r="M250" s="15" t="n">
        <f aca="false">IF(J250=1,0,Inputs!$B$12)</f>
        <v>75</v>
      </c>
      <c r="N250" s="15" t="n">
        <f aca="false">IF(J250=1,0,IF(OR(AND(OR(B250="SITE LOSS",B250="REGION LOSS"),K250=1),AND(B250="ROLE COMPROMISE",H250=C250)),Inputs!$B$13,Inputs!$B$14))</f>
        <v>10</v>
      </c>
      <c r="O250" s="15" t="n">
        <f aca="false">IF(J250=1,0,Inputs!$B$13)</f>
        <v>20</v>
      </c>
      <c r="P250" s="15" t="n">
        <f aca="false">SUM(M250:N250)</f>
        <v>85</v>
      </c>
      <c r="Q250" s="15" t="n">
        <f aca="false">IF(J250=1,"",L250-P250)</f>
        <v>15</v>
      </c>
      <c r="R250" s="15" t="n">
        <f aca="false">IF(OR(J250=1,M250&lt;=Inputs!$B$12),1,0)</f>
        <v>1</v>
      </c>
      <c r="S250" s="15" t="n">
        <f aca="false">IF(OR(J250=1,N250&lt;=O250),1,0)</f>
        <v>1</v>
      </c>
      <c r="T250" s="15" t="str">
        <f aca="false">IF(J250=1,"OFFLINE",IF(AND(Q250&gt;=Inputs!$B$15,R250=1,S250=1,P250&lt;=L250),"PASS","FAIL"))</f>
        <v>PASS</v>
      </c>
    </row>
    <row r="251" customFormat="false" ht="15" hidden="false" customHeight="false" outlineLevel="0" collapsed="false">
      <c r="A251" s="14" t="s">
        <v>1021</v>
      </c>
      <c r="B251" s="14" t="s">
        <v>1019</v>
      </c>
      <c r="C251" s="14" t="s">
        <v>160</v>
      </c>
      <c r="D251" s="14" t="s">
        <v>168</v>
      </c>
      <c r="E251" s="14" t="s">
        <v>169</v>
      </c>
      <c r="F251" s="14" t="s">
        <v>164</v>
      </c>
      <c r="G251" s="14" t="n">
        <v>2</v>
      </c>
      <c r="H251" s="14" t="s">
        <v>153</v>
      </c>
      <c r="I251" s="14" t="s">
        <v>897</v>
      </c>
      <c r="J251" s="15" t="n">
        <f aca="false">IF(B251="SITE LOSS",IF(D251=C251,1,0),IF(B251="REGION LOSS",IF(E251=C251,1,0),0))</f>
        <v>0</v>
      </c>
      <c r="K251" s="15" t="n">
        <f aca="false">IF(B251="SITE LOSS",IF(COUNTIFS('Site Dockets'!$B$7:$B$24,C251,'Site Dockets'!$C$7:$C$24,F251)&gt;0,1,0),IF(B251="REGION LOSS",IF(COUNTIFS('Site Dockets'!$E$7:$E$24,C251,'Site Dockets'!$C$7:$C$24,F251)&gt;0,1,0),0))</f>
        <v>0</v>
      </c>
      <c r="L251" s="15" t="n">
        <f aca="false">IF(J251=1,0,Inputs!$B$11)</f>
        <v>100</v>
      </c>
      <c r="M251" s="15" t="n">
        <f aca="false">IF(J251=1,0,Inputs!$B$12)</f>
        <v>75</v>
      </c>
      <c r="N251" s="15" t="n">
        <f aca="false">IF(J251=1,0,IF(OR(AND(OR(B251="SITE LOSS",B251="REGION LOSS"),K251=1),AND(B251="ROLE COMPROMISE",H251=C251)),Inputs!$B$13,Inputs!$B$14))</f>
        <v>10</v>
      </c>
      <c r="O251" s="15" t="n">
        <f aca="false">IF(J251=1,0,Inputs!$B$13)</f>
        <v>20</v>
      </c>
      <c r="P251" s="15" t="n">
        <f aca="false">SUM(M251:N251)</f>
        <v>85</v>
      </c>
      <c r="Q251" s="15" t="n">
        <f aca="false">IF(J251=1,"",L251-P251)</f>
        <v>15</v>
      </c>
      <c r="R251" s="15" t="n">
        <f aca="false">IF(OR(J251=1,M251&lt;=Inputs!$B$12),1,0)</f>
        <v>1</v>
      </c>
      <c r="S251" s="15" t="n">
        <f aca="false">IF(OR(J251=1,N251&lt;=O251),1,0)</f>
        <v>1</v>
      </c>
      <c r="T251" s="15" t="str">
        <f aca="false">IF(J251=1,"OFFLINE",IF(AND(Q251&gt;=Inputs!$B$15,R251=1,S251=1,P251&lt;=L251),"PASS","FAIL"))</f>
        <v>PASS</v>
      </c>
    </row>
    <row r="252" customFormat="false" ht="15" hidden="false" customHeight="false" outlineLevel="0" collapsed="false">
      <c r="A252" s="14" t="s">
        <v>1021</v>
      </c>
      <c r="B252" s="14" t="s">
        <v>1019</v>
      </c>
      <c r="C252" s="14" t="s">
        <v>160</v>
      </c>
      <c r="D252" s="14" t="s">
        <v>168</v>
      </c>
      <c r="E252" s="14" t="s">
        <v>169</v>
      </c>
      <c r="F252" s="14" t="s">
        <v>164</v>
      </c>
      <c r="G252" s="14" t="n">
        <v>2</v>
      </c>
      <c r="H252" s="14" t="s">
        <v>153</v>
      </c>
      <c r="I252" s="14" t="s">
        <v>899</v>
      </c>
      <c r="J252" s="15" t="n">
        <f aca="false">IF(B252="SITE LOSS",IF(D252=C252,1,0),IF(B252="REGION LOSS",IF(E252=C252,1,0),0))</f>
        <v>0</v>
      </c>
      <c r="K252" s="15" t="n">
        <f aca="false">IF(B252="SITE LOSS",IF(COUNTIFS('Site Dockets'!$B$7:$B$24,C252,'Site Dockets'!$C$7:$C$24,F252)&gt;0,1,0),IF(B252="REGION LOSS",IF(COUNTIFS('Site Dockets'!$E$7:$E$24,C252,'Site Dockets'!$C$7:$C$24,F252)&gt;0,1,0),0))</f>
        <v>0</v>
      </c>
      <c r="L252" s="15" t="n">
        <f aca="false">IF(J252=1,0,Inputs!$B$11)</f>
        <v>100</v>
      </c>
      <c r="M252" s="15" t="n">
        <f aca="false">IF(J252=1,0,Inputs!$B$12)</f>
        <v>75</v>
      </c>
      <c r="N252" s="15" t="n">
        <f aca="false">IF(J252=1,0,IF(OR(AND(OR(B252="SITE LOSS",B252="REGION LOSS"),K252=1),AND(B252="ROLE COMPROMISE",H252=C252)),Inputs!$B$13,Inputs!$B$14))</f>
        <v>10</v>
      </c>
      <c r="O252" s="15" t="n">
        <f aca="false">IF(J252=1,0,Inputs!$B$13)</f>
        <v>20</v>
      </c>
      <c r="P252" s="15" t="n">
        <f aca="false">SUM(M252:N252)</f>
        <v>85</v>
      </c>
      <c r="Q252" s="15" t="n">
        <f aca="false">IF(J252=1,"",L252-P252)</f>
        <v>15</v>
      </c>
      <c r="R252" s="15" t="n">
        <f aca="false">IF(OR(J252=1,M252&lt;=Inputs!$B$12),1,0)</f>
        <v>1</v>
      </c>
      <c r="S252" s="15" t="n">
        <f aca="false">IF(OR(J252=1,N252&lt;=O252),1,0)</f>
        <v>1</v>
      </c>
      <c r="T252" s="15" t="str">
        <f aca="false">IF(J252=1,"OFFLINE",IF(AND(Q252&gt;=Inputs!$B$15,R252=1,S252=1,P252&lt;=L252),"PASS","FAIL"))</f>
        <v>PASS</v>
      </c>
    </row>
    <row r="253" customFormat="false" ht="15" hidden="false" customHeight="false" outlineLevel="0" collapsed="false">
      <c r="A253" s="14" t="s">
        <v>1021</v>
      </c>
      <c r="B253" s="14" t="s">
        <v>1019</v>
      </c>
      <c r="C253" s="14" t="s">
        <v>160</v>
      </c>
      <c r="D253" s="14" t="s">
        <v>171</v>
      </c>
      <c r="E253" s="14" t="s">
        <v>172</v>
      </c>
      <c r="F253" s="14" t="s">
        <v>164</v>
      </c>
      <c r="G253" s="14" t="n">
        <v>3</v>
      </c>
      <c r="H253" s="14" t="s">
        <v>158</v>
      </c>
      <c r="I253" s="14" t="s">
        <v>890</v>
      </c>
      <c r="J253" s="15" t="n">
        <f aca="false">IF(B253="SITE LOSS",IF(D253=C253,1,0),IF(B253="REGION LOSS",IF(E253=C253,1,0),0))</f>
        <v>0</v>
      </c>
      <c r="K253" s="15" t="n">
        <f aca="false">IF(B253="SITE LOSS",IF(COUNTIFS('Site Dockets'!$B$7:$B$24,C253,'Site Dockets'!$C$7:$C$24,F253)&gt;0,1,0),IF(B253="REGION LOSS",IF(COUNTIFS('Site Dockets'!$E$7:$E$24,C253,'Site Dockets'!$C$7:$C$24,F253)&gt;0,1,0),0))</f>
        <v>0</v>
      </c>
      <c r="L253" s="15" t="n">
        <f aca="false">IF(J253=1,0,Inputs!$B$11)</f>
        <v>100</v>
      </c>
      <c r="M253" s="15" t="n">
        <f aca="false">IF(J253=1,0,Inputs!$B$12)</f>
        <v>75</v>
      </c>
      <c r="N253" s="15" t="n">
        <f aca="false">IF(J253=1,0,IF(OR(AND(OR(B253="SITE LOSS",B253="REGION LOSS"),K253=1),AND(B253="ROLE COMPROMISE",H253=C253)),Inputs!$B$13,Inputs!$B$14))</f>
        <v>10</v>
      </c>
      <c r="O253" s="15" t="n">
        <f aca="false">IF(J253=1,0,Inputs!$B$13)</f>
        <v>20</v>
      </c>
      <c r="P253" s="15" t="n">
        <f aca="false">SUM(M253:N253)</f>
        <v>85</v>
      </c>
      <c r="Q253" s="15" t="n">
        <f aca="false">IF(J253=1,"",L253-P253)</f>
        <v>15</v>
      </c>
      <c r="R253" s="15" t="n">
        <f aca="false">IF(OR(J253=1,M253&lt;=Inputs!$B$12),1,0)</f>
        <v>1</v>
      </c>
      <c r="S253" s="15" t="n">
        <f aca="false">IF(OR(J253=1,N253&lt;=O253),1,0)</f>
        <v>1</v>
      </c>
      <c r="T253" s="15" t="str">
        <f aca="false">IF(J253=1,"OFFLINE",IF(AND(Q253&gt;=Inputs!$B$15,R253=1,S253=1,P253&lt;=L253),"PASS","FAIL"))</f>
        <v>PASS</v>
      </c>
    </row>
    <row r="254" customFormat="false" ht="15" hidden="false" customHeight="false" outlineLevel="0" collapsed="false">
      <c r="A254" s="14" t="s">
        <v>1021</v>
      </c>
      <c r="B254" s="14" t="s">
        <v>1019</v>
      </c>
      <c r="C254" s="14" t="s">
        <v>160</v>
      </c>
      <c r="D254" s="14" t="s">
        <v>171</v>
      </c>
      <c r="E254" s="14" t="s">
        <v>172</v>
      </c>
      <c r="F254" s="14" t="s">
        <v>164</v>
      </c>
      <c r="G254" s="14" t="n">
        <v>3</v>
      </c>
      <c r="H254" s="14" t="s">
        <v>158</v>
      </c>
      <c r="I254" s="14" t="s">
        <v>892</v>
      </c>
      <c r="J254" s="15" t="n">
        <f aca="false">IF(B254="SITE LOSS",IF(D254=C254,1,0),IF(B254="REGION LOSS",IF(E254=C254,1,0),0))</f>
        <v>0</v>
      </c>
      <c r="K254" s="15" t="n">
        <f aca="false">IF(B254="SITE LOSS",IF(COUNTIFS('Site Dockets'!$B$7:$B$24,C254,'Site Dockets'!$C$7:$C$24,F254)&gt;0,1,0),IF(B254="REGION LOSS",IF(COUNTIFS('Site Dockets'!$E$7:$E$24,C254,'Site Dockets'!$C$7:$C$24,F254)&gt;0,1,0),0))</f>
        <v>0</v>
      </c>
      <c r="L254" s="15" t="n">
        <f aca="false">IF(J254=1,0,Inputs!$B$11)</f>
        <v>100</v>
      </c>
      <c r="M254" s="15" t="n">
        <f aca="false">IF(J254=1,0,Inputs!$B$12)</f>
        <v>75</v>
      </c>
      <c r="N254" s="15" t="n">
        <f aca="false">IF(J254=1,0,IF(OR(AND(OR(B254="SITE LOSS",B254="REGION LOSS"),K254=1),AND(B254="ROLE COMPROMISE",H254=C254)),Inputs!$B$13,Inputs!$B$14))</f>
        <v>10</v>
      </c>
      <c r="O254" s="15" t="n">
        <f aca="false">IF(J254=1,0,Inputs!$B$13)</f>
        <v>20</v>
      </c>
      <c r="P254" s="15" t="n">
        <f aca="false">SUM(M254:N254)</f>
        <v>85</v>
      </c>
      <c r="Q254" s="15" t="n">
        <f aca="false">IF(J254=1,"",L254-P254)</f>
        <v>15</v>
      </c>
      <c r="R254" s="15" t="n">
        <f aca="false">IF(OR(J254=1,M254&lt;=Inputs!$B$12),1,0)</f>
        <v>1</v>
      </c>
      <c r="S254" s="15" t="n">
        <f aca="false">IF(OR(J254=1,N254&lt;=O254),1,0)</f>
        <v>1</v>
      </c>
      <c r="T254" s="15" t="str">
        <f aca="false">IF(J254=1,"OFFLINE",IF(AND(Q254&gt;=Inputs!$B$15,R254=1,S254=1,P254&lt;=L254),"PASS","FAIL"))</f>
        <v>PASS</v>
      </c>
    </row>
    <row r="255" customFormat="false" ht="15" hidden="false" customHeight="false" outlineLevel="0" collapsed="false">
      <c r="A255" s="14" t="s">
        <v>1021</v>
      </c>
      <c r="B255" s="14" t="s">
        <v>1019</v>
      </c>
      <c r="C255" s="14" t="s">
        <v>160</v>
      </c>
      <c r="D255" s="14" t="s">
        <v>171</v>
      </c>
      <c r="E255" s="14" t="s">
        <v>172</v>
      </c>
      <c r="F255" s="14" t="s">
        <v>164</v>
      </c>
      <c r="G255" s="14" t="n">
        <v>3</v>
      </c>
      <c r="H255" s="14" t="s">
        <v>158</v>
      </c>
      <c r="I255" s="14" t="s">
        <v>811</v>
      </c>
      <c r="J255" s="15" t="n">
        <f aca="false">IF(B255="SITE LOSS",IF(D255=C255,1,0),IF(B255="REGION LOSS",IF(E255=C255,1,0),0))</f>
        <v>0</v>
      </c>
      <c r="K255" s="15" t="n">
        <f aca="false">IF(B255="SITE LOSS",IF(COUNTIFS('Site Dockets'!$B$7:$B$24,C255,'Site Dockets'!$C$7:$C$24,F255)&gt;0,1,0),IF(B255="REGION LOSS",IF(COUNTIFS('Site Dockets'!$E$7:$E$24,C255,'Site Dockets'!$C$7:$C$24,F255)&gt;0,1,0),0))</f>
        <v>0</v>
      </c>
      <c r="L255" s="15" t="n">
        <f aca="false">IF(J255=1,0,Inputs!$B$11)</f>
        <v>100</v>
      </c>
      <c r="M255" s="15" t="n">
        <f aca="false">IF(J255=1,0,Inputs!$B$12)</f>
        <v>75</v>
      </c>
      <c r="N255" s="15" t="n">
        <f aca="false">IF(J255=1,0,IF(OR(AND(OR(B255="SITE LOSS",B255="REGION LOSS"),K255=1),AND(B255="ROLE COMPROMISE",H255=C255)),Inputs!$B$13,Inputs!$B$14))</f>
        <v>10</v>
      </c>
      <c r="O255" s="15" t="n">
        <f aca="false">IF(J255=1,0,Inputs!$B$13)</f>
        <v>20</v>
      </c>
      <c r="P255" s="15" t="n">
        <f aca="false">SUM(M255:N255)</f>
        <v>85</v>
      </c>
      <c r="Q255" s="15" t="n">
        <f aca="false">IF(J255=1,"",L255-P255)</f>
        <v>15</v>
      </c>
      <c r="R255" s="15" t="n">
        <f aca="false">IF(OR(J255=1,M255&lt;=Inputs!$B$12),1,0)</f>
        <v>1</v>
      </c>
      <c r="S255" s="15" t="n">
        <f aca="false">IF(OR(J255=1,N255&lt;=O255),1,0)</f>
        <v>1</v>
      </c>
      <c r="T255" s="15" t="str">
        <f aca="false">IF(J255=1,"OFFLINE",IF(AND(Q255&gt;=Inputs!$B$15,R255=1,S255=1,P255&lt;=L255),"PASS","FAIL"))</f>
        <v>PASS</v>
      </c>
    </row>
    <row r="256" customFormat="false" ht="15" hidden="false" customHeight="false" outlineLevel="0" collapsed="false">
      <c r="A256" s="14" t="s">
        <v>1021</v>
      </c>
      <c r="B256" s="14" t="s">
        <v>1019</v>
      </c>
      <c r="C256" s="14" t="s">
        <v>160</v>
      </c>
      <c r="D256" s="14" t="s">
        <v>171</v>
      </c>
      <c r="E256" s="14" t="s">
        <v>172</v>
      </c>
      <c r="F256" s="14" t="s">
        <v>164</v>
      </c>
      <c r="G256" s="14" t="n">
        <v>3</v>
      </c>
      <c r="H256" s="14" t="s">
        <v>158</v>
      </c>
      <c r="I256" s="14" t="s">
        <v>895</v>
      </c>
      <c r="J256" s="15" t="n">
        <f aca="false">IF(B256="SITE LOSS",IF(D256=C256,1,0),IF(B256="REGION LOSS",IF(E256=C256,1,0),0))</f>
        <v>0</v>
      </c>
      <c r="K256" s="15" t="n">
        <f aca="false">IF(B256="SITE LOSS",IF(COUNTIFS('Site Dockets'!$B$7:$B$24,C256,'Site Dockets'!$C$7:$C$24,F256)&gt;0,1,0),IF(B256="REGION LOSS",IF(COUNTIFS('Site Dockets'!$E$7:$E$24,C256,'Site Dockets'!$C$7:$C$24,F256)&gt;0,1,0),0))</f>
        <v>0</v>
      </c>
      <c r="L256" s="15" t="n">
        <f aca="false">IF(J256=1,0,Inputs!$B$11)</f>
        <v>100</v>
      </c>
      <c r="M256" s="15" t="n">
        <f aca="false">IF(J256=1,0,Inputs!$B$12)</f>
        <v>75</v>
      </c>
      <c r="N256" s="15" t="n">
        <f aca="false">IF(J256=1,0,IF(OR(AND(OR(B256="SITE LOSS",B256="REGION LOSS"),K256=1),AND(B256="ROLE COMPROMISE",H256=C256)),Inputs!$B$13,Inputs!$B$14))</f>
        <v>10</v>
      </c>
      <c r="O256" s="15" t="n">
        <f aca="false">IF(J256=1,0,Inputs!$B$13)</f>
        <v>20</v>
      </c>
      <c r="P256" s="15" t="n">
        <f aca="false">SUM(M256:N256)</f>
        <v>85</v>
      </c>
      <c r="Q256" s="15" t="n">
        <f aca="false">IF(J256=1,"",L256-P256)</f>
        <v>15</v>
      </c>
      <c r="R256" s="15" t="n">
        <f aca="false">IF(OR(J256=1,M256&lt;=Inputs!$B$12),1,0)</f>
        <v>1</v>
      </c>
      <c r="S256" s="15" t="n">
        <f aca="false">IF(OR(J256=1,N256&lt;=O256),1,0)</f>
        <v>1</v>
      </c>
      <c r="T256" s="15" t="str">
        <f aca="false">IF(J256=1,"OFFLINE",IF(AND(Q256&gt;=Inputs!$B$15,R256=1,S256=1,P256&lt;=L256),"PASS","FAIL"))</f>
        <v>PASS</v>
      </c>
    </row>
    <row r="257" customFormat="false" ht="15" hidden="false" customHeight="false" outlineLevel="0" collapsed="false">
      <c r="A257" s="14" t="s">
        <v>1021</v>
      </c>
      <c r="B257" s="14" t="s">
        <v>1019</v>
      </c>
      <c r="C257" s="14" t="s">
        <v>160</v>
      </c>
      <c r="D257" s="14" t="s">
        <v>171</v>
      </c>
      <c r="E257" s="14" t="s">
        <v>172</v>
      </c>
      <c r="F257" s="14" t="s">
        <v>164</v>
      </c>
      <c r="G257" s="14" t="n">
        <v>3</v>
      </c>
      <c r="H257" s="14" t="s">
        <v>158</v>
      </c>
      <c r="I257" s="14" t="s">
        <v>897</v>
      </c>
      <c r="J257" s="15" t="n">
        <f aca="false">IF(B257="SITE LOSS",IF(D257=C257,1,0),IF(B257="REGION LOSS",IF(E257=C257,1,0),0))</f>
        <v>0</v>
      </c>
      <c r="K257" s="15" t="n">
        <f aca="false">IF(B257="SITE LOSS",IF(COUNTIFS('Site Dockets'!$B$7:$B$24,C257,'Site Dockets'!$C$7:$C$24,F257)&gt;0,1,0),IF(B257="REGION LOSS",IF(COUNTIFS('Site Dockets'!$E$7:$E$24,C257,'Site Dockets'!$C$7:$C$24,F257)&gt;0,1,0),0))</f>
        <v>0</v>
      </c>
      <c r="L257" s="15" t="n">
        <f aca="false">IF(J257=1,0,Inputs!$B$11)</f>
        <v>100</v>
      </c>
      <c r="M257" s="15" t="n">
        <f aca="false">IF(J257=1,0,Inputs!$B$12)</f>
        <v>75</v>
      </c>
      <c r="N257" s="15" t="n">
        <f aca="false">IF(J257=1,0,IF(OR(AND(OR(B257="SITE LOSS",B257="REGION LOSS"),K257=1),AND(B257="ROLE COMPROMISE",H257=C257)),Inputs!$B$13,Inputs!$B$14))</f>
        <v>10</v>
      </c>
      <c r="O257" s="15" t="n">
        <f aca="false">IF(J257=1,0,Inputs!$B$13)</f>
        <v>20</v>
      </c>
      <c r="P257" s="15" t="n">
        <f aca="false">SUM(M257:N257)</f>
        <v>85</v>
      </c>
      <c r="Q257" s="15" t="n">
        <f aca="false">IF(J257=1,"",L257-P257)</f>
        <v>15</v>
      </c>
      <c r="R257" s="15" t="n">
        <f aca="false">IF(OR(J257=1,M257&lt;=Inputs!$B$12),1,0)</f>
        <v>1</v>
      </c>
      <c r="S257" s="15" t="n">
        <f aca="false">IF(OR(J257=1,N257&lt;=O257),1,0)</f>
        <v>1</v>
      </c>
      <c r="T257" s="15" t="str">
        <f aca="false">IF(J257=1,"OFFLINE",IF(AND(Q257&gt;=Inputs!$B$15,R257=1,S257=1,P257&lt;=L257),"PASS","FAIL"))</f>
        <v>PASS</v>
      </c>
    </row>
    <row r="258" customFormat="false" ht="15" hidden="false" customHeight="false" outlineLevel="0" collapsed="false">
      <c r="A258" s="14" t="s">
        <v>1021</v>
      </c>
      <c r="B258" s="14" t="s">
        <v>1019</v>
      </c>
      <c r="C258" s="14" t="s">
        <v>160</v>
      </c>
      <c r="D258" s="14" t="s">
        <v>171</v>
      </c>
      <c r="E258" s="14" t="s">
        <v>172</v>
      </c>
      <c r="F258" s="14" t="s">
        <v>164</v>
      </c>
      <c r="G258" s="14" t="n">
        <v>3</v>
      </c>
      <c r="H258" s="14" t="s">
        <v>158</v>
      </c>
      <c r="I258" s="14" t="s">
        <v>899</v>
      </c>
      <c r="J258" s="15" t="n">
        <f aca="false">IF(B258="SITE LOSS",IF(D258=C258,1,0),IF(B258="REGION LOSS",IF(E258=C258,1,0),0))</f>
        <v>0</v>
      </c>
      <c r="K258" s="15" t="n">
        <f aca="false">IF(B258="SITE LOSS",IF(COUNTIFS('Site Dockets'!$B$7:$B$24,C258,'Site Dockets'!$C$7:$C$24,F258)&gt;0,1,0),IF(B258="REGION LOSS",IF(COUNTIFS('Site Dockets'!$E$7:$E$24,C258,'Site Dockets'!$C$7:$C$24,F258)&gt;0,1,0),0))</f>
        <v>0</v>
      </c>
      <c r="L258" s="15" t="n">
        <f aca="false">IF(J258=1,0,Inputs!$B$11)</f>
        <v>100</v>
      </c>
      <c r="M258" s="15" t="n">
        <f aca="false">IF(J258=1,0,Inputs!$B$12)</f>
        <v>75</v>
      </c>
      <c r="N258" s="15" t="n">
        <f aca="false">IF(J258=1,0,IF(OR(AND(OR(B258="SITE LOSS",B258="REGION LOSS"),K258=1),AND(B258="ROLE COMPROMISE",H258=C258)),Inputs!$B$13,Inputs!$B$14))</f>
        <v>10</v>
      </c>
      <c r="O258" s="15" t="n">
        <f aca="false">IF(J258=1,0,Inputs!$B$13)</f>
        <v>20</v>
      </c>
      <c r="P258" s="15" t="n">
        <f aca="false">SUM(M258:N258)</f>
        <v>85</v>
      </c>
      <c r="Q258" s="15" t="n">
        <f aca="false">IF(J258=1,"",L258-P258)</f>
        <v>15</v>
      </c>
      <c r="R258" s="15" t="n">
        <f aca="false">IF(OR(J258=1,M258&lt;=Inputs!$B$12),1,0)</f>
        <v>1</v>
      </c>
      <c r="S258" s="15" t="n">
        <f aca="false">IF(OR(J258=1,N258&lt;=O258),1,0)</f>
        <v>1</v>
      </c>
      <c r="T258" s="15" t="str">
        <f aca="false">IF(J258=1,"OFFLINE",IF(AND(Q258&gt;=Inputs!$B$15,R258=1,S258=1,P258&lt;=L258),"PASS","FAIL"))</f>
        <v>PASS</v>
      </c>
    </row>
    <row r="259" customFormat="false" ht="15" hidden="false" customHeight="false" outlineLevel="0" collapsed="false">
      <c r="A259" s="14" t="s">
        <v>1021</v>
      </c>
      <c r="B259" s="14" t="s">
        <v>1019</v>
      </c>
      <c r="C259" s="14" t="s">
        <v>160</v>
      </c>
      <c r="D259" s="14" t="s">
        <v>174</v>
      </c>
      <c r="E259" s="14" t="s">
        <v>152</v>
      </c>
      <c r="F259" s="14" t="s">
        <v>175</v>
      </c>
      <c r="G259" s="14" t="n">
        <v>1</v>
      </c>
      <c r="H259" s="14" t="s">
        <v>154</v>
      </c>
      <c r="I259" s="14" t="s">
        <v>890</v>
      </c>
      <c r="J259" s="15" t="n">
        <f aca="false">IF(B259="SITE LOSS",IF(D259=C259,1,0),IF(B259="REGION LOSS",IF(E259=C259,1,0),0))</f>
        <v>0</v>
      </c>
      <c r="K259" s="15" t="n">
        <f aca="false">IF(B259="SITE LOSS",IF(COUNTIFS('Site Dockets'!$B$7:$B$24,C259,'Site Dockets'!$C$7:$C$24,F259)&gt;0,1,0),IF(B259="REGION LOSS",IF(COUNTIFS('Site Dockets'!$E$7:$E$24,C259,'Site Dockets'!$C$7:$C$24,F259)&gt;0,1,0),0))</f>
        <v>0</v>
      </c>
      <c r="L259" s="15" t="n">
        <f aca="false">IF(J259=1,0,Inputs!$B$11)</f>
        <v>100</v>
      </c>
      <c r="M259" s="15" t="n">
        <f aca="false">IF(J259=1,0,Inputs!$B$12)</f>
        <v>75</v>
      </c>
      <c r="N259" s="15" t="n">
        <f aca="false">IF(J259=1,0,IF(OR(AND(OR(B259="SITE LOSS",B259="REGION LOSS"),K259=1),AND(B259="ROLE COMPROMISE",H259=C259)),Inputs!$B$13,Inputs!$B$14))</f>
        <v>10</v>
      </c>
      <c r="O259" s="15" t="n">
        <f aca="false">IF(J259=1,0,Inputs!$B$13)</f>
        <v>20</v>
      </c>
      <c r="P259" s="15" t="n">
        <f aca="false">SUM(M259:N259)</f>
        <v>85</v>
      </c>
      <c r="Q259" s="15" t="n">
        <f aca="false">IF(J259=1,"",L259-P259)</f>
        <v>15</v>
      </c>
      <c r="R259" s="15" t="n">
        <f aca="false">IF(OR(J259=1,M259&lt;=Inputs!$B$12),1,0)</f>
        <v>1</v>
      </c>
      <c r="S259" s="15" t="n">
        <f aca="false">IF(OR(J259=1,N259&lt;=O259),1,0)</f>
        <v>1</v>
      </c>
      <c r="T259" s="15" t="str">
        <f aca="false">IF(J259=1,"OFFLINE",IF(AND(Q259&gt;=Inputs!$B$15,R259=1,S259=1,P259&lt;=L259),"PASS","FAIL"))</f>
        <v>PASS</v>
      </c>
    </row>
    <row r="260" customFormat="false" ht="15" hidden="false" customHeight="false" outlineLevel="0" collapsed="false">
      <c r="A260" s="14" t="s">
        <v>1021</v>
      </c>
      <c r="B260" s="14" t="s">
        <v>1019</v>
      </c>
      <c r="C260" s="14" t="s">
        <v>160</v>
      </c>
      <c r="D260" s="14" t="s">
        <v>174</v>
      </c>
      <c r="E260" s="14" t="s">
        <v>152</v>
      </c>
      <c r="F260" s="14" t="s">
        <v>175</v>
      </c>
      <c r="G260" s="14" t="n">
        <v>1</v>
      </c>
      <c r="H260" s="14" t="s">
        <v>154</v>
      </c>
      <c r="I260" s="14" t="s">
        <v>892</v>
      </c>
      <c r="J260" s="15" t="n">
        <f aca="false">IF(B260="SITE LOSS",IF(D260=C260,1,0),IF(B260="REGION LOSS",IF(E260=C260,1,0),0))</f>
        <v>0</v>
      </c>
      <c r="K260" s="15" t="n">
        <f aca="false">IF(B260="SITE LOSS",IF(COUNTIFS('Site Dockets'!$B$7:$B$24,C260,'Site Dockets'!$C$7:$C$24,F260)&gt;0,1,0),IF(B260="REGION LOSS",IF(COUNTIFS('Site Dockets'!$E$7:$E$24,C260,'Site Dockets'!$C$7:$C$24,F260)&gt;0,1,0),0))</f>
        <v>0</v>
      </c>
      <c r="L260" s="15" t="n">
        <f aca="false">IF(J260=1,0,Inputs!$B$11)</f>
        <v>100</v>
      </c>
      <c r="M260" s="15" t="n">
        <f aca="false">IF(J260=1,0,Inputs!$B$12)</f>
        <v>75</v>
      </c>
      <c r="N260" s="15" t="n">
        <f aca="false">IF(J260=1,0,IF(OR(AND(OR(B260="SITE LOSS",B260="REGION LOSS"),K260=1),AND(B260="ROLE COMPROMISE",H260=C260)),Inputs!$B$13,Inputs!$B$14))</f>
        <v>10</v>
      </c>
      <c r="O260" s="15" t="n">
        <f aca="false">IF(J260=1,0,Inputs!$B$13)</f>
        <v>20</v>
      </c>
      <c r="P260" s="15" t="n">
        <f aca="false">SUM(M260:N260)</f>
        <v>85</v>
      </c>
      <c r="Q260" s="15" t="n">
        <f aca="false">IF(J260=1,"",L260-P260)</f>
        <v>15</v>
      </c>
      <c r="R260" s="15" t="n">
        <f aca="false">IF(OR(J260=1,M260&lt;=Inputs!$B$12),1,0)</f>
        <v>1</v>
      </c>
      <c r="S260" s="15" t="n">
        <f aca="false">IF(OR(J260=1,N260&lt;=O260),1,0)</f>
        <v>1</v>
      </c>
      <c r="T260" s="15" t="str">
        <f aca="false">IF(J260=1,"OFFLINE",IF(AND(Q260&gt;=Inputs!$B$15,R260=1,S260=1,P260&lt;=L260),"PASS","FAIL"))</f>
        <v>PASS</v>
      </c>
    </row>
    <row r="261" customFormat="false" ht="15" hidden="false" customHeight="false" outlineLevel="0" collapsed="false">
      <c r="A261" s="14" t="s">
        <v>1021</v>
      </c>
      <c r="B261" s="14" t="s">
        <v>1019</v>
      </c>
      <c r="C261" s="14" t="s">
        <v>160</v>
      </c>
      <c r="D261" s="14" t="s">
        <v>174</v>
      </c>
      <c r="E261" s="14" t="s">
        <v>152</v>
      </c>
      <c r="F261" s="14" t="s">
        <v>175</v>
      </c>
      <c r="G261" s="14" t="n">
        <v>1</v>
      </c>
      <c r="H261" s="14" t="s">
        <v>154</v>
      </c>
      <c r="I261" s="14" t="s">
        <v>811</v>
      </c>
      <c r="J261" s="15" t="n">
        <f aca="false">IF(B261="SITE LOSS",IF(D261=C261,1,0),IF(B261="REGION LOSS",IF(E261=C261,1,0),0))</f>
        <v>0</v>
      </c>
      <c r="K261" s="15" t="n">
        <f aca="false">IF(B261="SITE LOSS",IF(COUNTIFS('Site Dockets'!$B$7:$B$24,C261,'Site Dockets'!$C$7:$C$24,F261)&gt;0,1,0),IF(B261="REGION LOSS",IF(COUNTIFS('Site Dockets'!$E$7:$E$24,C261,'Site Dockets'!$C$7:$C$24,F261)&gt;0,1,0),0))</f>
        <v>0</v>
      </c>
      <c r="L261" s="15" t="n">
        <f aca="false">IF(J261=1,0,Inputs!$B$11)</f>
        <v>100</v>
      </c>
      <c r="M261" s="15" t="n">
        <f aca="false">IF(J261=1,0,Inputs!$B$12)</f>
        <v>75</v>
      </c>
      <c r="N261" s="15" t="n">
        <f aca="false">IF(J261=1,0,IF(OR(AND(OR(B261="SITE LOSS",B261="REGION LOSS"),K261=1),AND(B261="ROLE COMPROMISE",H261=C261)),Inputs!$B$13,Inputs!$B$14))</f>
        <v>10</v>
      </c>
      <c r="O261" s="15" t="n">
        <f aca="false">IF(J261=1,0,Inputs!$B$13)</f>
        <v>20</v>
      </c>
      <c r="P261" s="15" t="n">
        <f aca="false">SUM(M261:N261)</f>
        <v>85</v>
      </c>
      <c r="Q261" s="15" t="n">
        <f aca="false">IF(J261=1,"",L261-P261)</f>
        <v>15</v>
      </c>
      <c r="R261" s="15" t="n">
        <f aca="false">IF(OR(J261=1,M261&lt;=Inputs!$B$12),1,0)</f>
        <v>1</v>
      </c>
      <c r="S261" s="15" t="n">
        <f aca="false">IF(OR(J261=1,N261&lt;=O261),1,0)</f>
        <v>1</v>
      </c>
      <c r="T261" s="15" t="str">
        <f aca="false">IF(J261=1,"OFFLINE",IF(AND(Q261&gt;=Inputs!$B$15,R261=1,S261=1,P261&lt;=L261),"PASS","FAIL"))</f>
        <v>PASS</v>
      </c>
    </row>
    <row r="262" customFormat="false" ht="15" hidden="false" customHeight="false" outlineLevel="0" collapsed="false">
      <c r="A262" s="14" t="s">
        <v>1021</v>
      </c>
      <c r="B262" s="14" t="s">
        <v>1019</v>
      </c>
      <c r="C262" s="14" t="s">
        <v>160</v>
      </c>
      <c r="D262" s="14" t="s">
        <v>174</v>
      </c>
      <c r="E262" s="14" t="s">
        <v>152</v>
      </c>
      <c r="F262" s="14" t="s">
        <v>175</v>
      </c>
      <c r="G262" s="14" t="n">
        <v>1</v>
      </c>
      <c r="H262" s="14" t="s">
        <v>154</v>
      </c>
      <c r="I262" s="14" t="s">
        <v>895</v>
      </c>
      <c r="J262" s="15" t="n">
        <f aca="false">IF(B262="SITE LOSS",IF(D262=C262,1,0),IF(B262="REGION LOSS",IF(E262=C262,1,0),0))</f>
        <v>0</v>
      </c>
      <c r="K262" s="15" t="n">
        <f aca="false">IF(B262="SITE LOSS",IF(COUNTIFS('Site Dockets'!$B$7:$B$24,C262,'Site Dockets'!$C$7:$C$24,F262)&gt;0,1,0),IF(B262="REGION LOSS",IF(COUNTIFS('Site Dockets'!$E$7:$E$24,C262,'Site Dockets'!$C$7:$C$24,F262)&gt;0,1,0),0))</f>
        <v>0</v>
      </c>
      <c r="L262" s="15" t="n">
        <f aca="false">IF(J262=1,0,Inputs!$B$11)</f>
        <v>100</v>
      </c>
      <c r="M262" s="15" t="n">
        <f aca="false">IF(J262=1,0,Inputs!$B$12)</f>
        <v>75</v>
      </c>
      <c r="N262" s="15" t="n">
        <f aca="false">IF(J262=1,0,IF(OR(AND(OR(B262="SITE LOSS",B262="REGION LOSS"),K262=1),AND(B262="ROLE COMPROMISE",H262=C262)),Inputs!$B$13,Inputs!$B$14))</f>
        <v>10</v>
      </c>
      <c r="O262" s="15" t="n">
        <f aca="false">IF(J262=1,0,Inputs!$B$13)</f>
        <v>20</v>
      </c>
      <c r="P262" s="15" t="n">
        <f aca="false">SUM(M262:N262)</f>
        <v>85</v>
      </c>
      <c r="Q262" s="15" t="n">
        <f aca="false">IF(J262=1,"",L262-P262)</f>
        <v>15</v>
      </c>
      <c r="R262" s="15" t="n">
        <f aca="false">IF(OR(J262=1,M262&lt;=Inputs!$B$12),1,0)</f>
        <v>1</v>
      </c>
      <c r="S262" s="15" t="n">
        <f aca="false">IF(OR(J262=1,N262&lt;=O262),1,0)</f>
        <v>1</v>
      </c>
      <c r="T262" s="15" t="str">
        <f aca="false">IF(J262=1,"OFFLINE",IF(AND(Q262&gt;=Inputs!$B$15,R262=1,S262=1,P262&lt;=L262),"PASS","FAIL"))</f>
        <v>PASS</v>
      </c>
    </row>
    <row r="263" customFormat="false" ht="15" hidden="false" customHeight="false" outlineLevel="0" collapsed="false">
      <c r="A263" s="14" t="s">
        <v>1021</v>
      </c>
      <c r="B263" s="14" t="s">
        <v>1019</v>
      </c>
      <c r="C263" s="14" t="s">
        <v>160</v>
      </c>
      <c r="D263" s="14" t="s">
        <v>174</v>
      </c>
      <c r="E263" s="14" t="s">
        <v>152</v>
      </c>
      <c r="F263" s="14" t="s">
        <v>175</v>
      </c>
      <c r="G263" s="14" t="n">
        <v>1</v>
      </c>
      <c r="H263" s="14" t="s">
        <v>154</v>
      </c>
      <c r="I263" s="14" t="s">
        <v>897</v>
      </c>
      <c r="J263" s="15" t="n">
        <f aca="false">IF(B263="SITE LOSS",IF(D263=C263,1,0),IF(B263="REGION LOSS",IF(E263=C263,1,0),0))</f>
        <v>0</v>
      </c>
      <c r="K263" s="15" t="n">
        <f aca="false">IF(B263="SITE LOSS",IF(COUNTIFS('Site Dockets'!$B$7:$B$24,C263,'Site Dockets'!$C$7:$C$24,F263)&gt;0,1,0),IF(B263="REGION LOSS",IF(COUNTIFS('Site Dockets'!$E$7:$E$24,C263,'Site Dockets'!$C$7:$C$24,F263)&gt;0,1,0),0))</f>
        <v>0</v>
      </c>
      <c r="L263" s="15" t="n">
        <f aca="false">IF(J263=1,0,Inputs!$B$11)</f>
        <v>100</v>
      </c>
      <c r="M263" s="15" t="n">
        <f aca="false">IF(J263=1,0,Inputs!$B$12)</f>
        <v>75</v>
      </c>
      <c r="N263" s="15" t="n">
        <f aca="false">IF(J263=1,0,IF(OR(AND(OR(B263="SITE LOSS",B263="REGION LOSS"),K263=1),AND(B263="ROLE COMPROMISE",H263=C263)),Inputs!$B$13,Inputs!$B$14))</f>
        <v>10</v>
      </c>
      <c r="O263" s="15" t="n">
        <f aca="false">IF(J263=1,0,Inputs!$B$13)</f>
        <v>20</v>
      </c>
      <c r="P263" s="15" t="n">
        <f aca="false">SUM(M263:N263)</f>
        <v>85</v>
      </c>
      <c r="Q263" s="15" t="n">
        <f aca="false">IF(J263=1,"",L263-P263)</f>
        <v>15</v>
      </c>
      <c r="R263" s="15" t="n">
        <f aca="false">IF(OR(J263=1,M263&lt;=Inputs!$B$12),1,0)</f>
        <v>1</v>
      </c>
      <c r="S263" s="15" t="n">
        <f aca="false">IF(OR(J263=1,N263&lt;=O263),1,0)</f>
        <v>1</v>
      </c>
      <c r="T263" s="15" t="str">
        <f aca="false">IF(J263=1,"OFFLINE",IF(AND(Q263&gt;=Inputs!$B$15,R263=1,S263=1,P263&lt;=L263),"PASS","FAIL"))</f>
        <v>PASS</v>
      </c>
    </row>
    <row r="264" customFormat="false" ht="15" hidden="false" customHeight="false" outlineLevel="0" collapsed="false">
      <c r="A264" s="14" t="s">
        <v>1021</v>
      </c>
      <c r="B264" s="14" t="s">
        <v>1019</v>
      </c>
      <c r="C264" s="14" t="s">
        <v>160</v>
      </c>
      <c r="D264" s="14" t="s">
        <v>174</v>
      </c>
      <c r="E264" s="14" t="s">
        <v>152</v>
      </c>
      <c r="F264" s="14" t="s">
        <v>175</v>
      </c>
      <c r="G264" s="14" t="n">
        <v>1</v>
      </c>
      <c r="H264" s="14" t="s">
        <v>154</v>
      </c>
      <c r="I264" s="14" t="s">
        <v>899</v>
      </c>
      <c r="J264" s="15" t="n">
        <f aca="false">IF(B264="SITE LOSS",IF(D264=C264,1,0),IF(B264="REGION LOSS",IF(E264=C264,1,0),0))</f>
        <v>0</v>
      </c>
      <c r="K264" s="15" t="n">
        <f aca="false">IF(B264="SITE LOSS",IF(COUNTIFS('Site Dockets'!$B$7:$B$24,C264,'Site Dockets'!$C$7:$C$24,F264)&gt;0,1,0),IF(B264="REGION LOSS",IF(COUNTIFS('Site Dockets'!$E$7:$E$24,C264,'Site Dockets'!$C$7:$C$24,F264)&gt;0,1,0),0))</f>
        <v>0</v>
      </c>
      <c r="L264" s="15" t="n">
        <f aca="false">IF(J264=1,0,Inputs!$B$11)</f>
        <v>100</v>
      </c>
      <c r="M264" s="15" t="n">
        <f aca="false">IF(J264=1,0,Inputs!$B$12)</f>
        <v>75</v>
      </c>
      <c r="N264" s="15" t="n">
        <f aca="false">IF(J264=1,0,IF(OR(AND(OR(B264="SITE LOSS",B264="REGION LOSS"),K264=1),AND(B264="ROLE COMPROMISE",H264=C264)),Inputs!$B$13,Inputs!$B$14))</f>
        <v>10</v>
      </c>
      <c r="O264" s="15" t="n">
        <f aca="false">IF(J264=1,0,Inputs!$B$13)</f>
        <v>20</v>
      </c>
      <c r="P264" s="15" t="n">
        <f aca="false">SUM(M264:N264)</f>
        <v>85</v>
      </c>
      <c r="Q264" s="15" t="n">
        <f aca="false">IF(J264=1,"",L264-P264)</f>
        <v>15</v>
      </c>
      <c r="R264" s="15" t="n">
        <f aca="false">IF(OR(J264=1,M264&lt;=Inputs!$B$12),1,0)</f>
        <v>1</v>
      </c>
      <c r="S264" s="15" t="n">
        <f aca="false">IF(OR(J264=1,N264&lt;=O264),1,0)</f>
        <v>1</v>
      </c>
      <c r="T264" s="15" t="str">
        <f aca="false">IF(J264=1,"OFFLINE",IF(AND(Q264&gt;=Inputs!$B$15,R264=1,S264=1,P264&lt;=L264),"PASS","FAIL"))</f>
        <v>PASS</v>
      </c>
    </row>
    <row r="265" customFormat="false" ht="15" hidden="false" customHeight="false" outlineLevel="0" collapsed="false">
      <c r="A265" s="14" t="s">
        <v>1021</v>
      </c>
      <c r="B265" s="14" t="s">
        <v>1019</v>
      </c>
      <c r="C265" s="14" t="s">
        <v>160</v>
      </c>
      <c r="D265" s="14" t="s">
        <v>178</v>
      </c>
      <c r="E265" s="14" t="s">
        <v>169</v>
      </c>
      <c r="F265" s="14" t="s">
        <v>175</v>
      </c>
      <c r="G265" s="14" t="n">
        <v>2</v>
      </c>
      <c r="H265" s="14" t="s">
        <v>153</v>
      </c>
      <c r="I265" s="14" t="s">
        <v>890</v>
      </c>
      <c r="J265" s="15" t="n">
        <f aca="false">IF(B265="SITE LOSS",IF(D265=C265,1,0),IF(B265="REGION LOSS",IF(E265=C265,1,0),0))</f>
        <v>0</v>
      </c>
      <c r="K265" s="15" t="n">
        <f aca="false">IF(B265="SITE LOSS",IF(COUNTIFS('Site Dockets'!$B$7:$B$24,C265,'Site Dockets'!$C$7:$C$24,F265)&gt;0,1,0),IF(B265="REGION LOSS",IF(COUNTIFS('Site Dockets'!$E$7:$E$24,C265,'Site Dockets'!$C$7:$C$24,F265)&gt;0,1,0),0))</f>
        <v>0</v>
      </c>
      <c r="L265" s="15" t="n">
        <f aca="false">IF(J265=1,0,Inputs!$B$11)</f>
        <v>100</v>
      </c>
      <c r="M265" s="15" t="n">
        <f aca="false">IF(J265=1,0,Inputs!$B$12)</f>
        <v>75</v>
      </c>
      <c r="N265" s="15" t="n">
        <f aca="false">IF(J265=1,0,IF(OR(AND(OR(B265="SITE LOSS",B265="REGION LOSS"),K265=1),AND(B265="ROLE COMPROMISE",H265=C265)),Inputs!$B$13,Inputs!$B$14))</f>
        <v>10</v>
      </c>
      <c r="O265" s="15" t="n">
        <f aca="false">IF(J265=1,0,Inputs!$B$13)</f>
        <v>20</v>
      </c>
      <c r="P265" s="15" t="n">
        <f aca="false">SUM(M265:N265)</f>
        <v>85</v>
      </c>
      <c r="Q265" s="15" t="n">
        <f aca="false">IF(J265=1,"",L265-P265)</f>
        <v>15</v>
      </c>
      <c r="R265" s="15" t="n">
        <f aca="false">IF(OR(J265=1,M265&lt;=Inputs!$B$12),1,0)</f>
        <v>1</v>
      </c>
      <c r="S265" s="15" t="n">
        <f aca="false">IF(OR(J265=1,N265&lt;=O265),1,0)</f>
        <v>1</v>
      </c>
      <c r="T265" s="15" t="str">
        <f aca="false">IF(J265=1,"OFFLINE",IF(AND(Q265&gt;=Inputs!$B$15,R265=1,S265=1,P265&lt;=L265),"PASS","FAIL"))</f>
        <v>PASS</v>
      </c>
    </row>
    <row r="266" customFormat="false" ht="15" hidden="false" customHeight="false" outlineLevel="0" collapsed="false">
      <c r="A266" s="14" t="s">
        <v>1021</v>
      </c>
      <c r="B266" s="14" t="s">
        <v>1019</v>
      </c>
      <c r="C266" s="14" t="s">
        <v>160</v>
      </c>
      <c r="D266" s="14" t="s">
        <v>178</v>
      </c>
      <c r="E266" s="14" t="s">
        <v>169</v>
      </c>
      <c r="F266" s="14" t="s">
        <v>175</v>
      </c>
      <c r="G266" s="14" t="n">
        <v>2</v>
      </c>
      <c r="H266" s="14" t="s">
        <v>153</v>
      </c>
      <c r="I266" s="14" t="s">
        <v>892</v>
      </c>
      <c r="J266" s="15" t="n">
        <f aca="false">IF(B266="SITE LOSS",IF(D266=C266,1,0),IF(B266="REGION LOSS",IF(E266=C266,1,0),0))</f>
        <v>0</v>
      </c>
      <c r="K266" s="15" t="n">
        <f aca="false">IF(B266="SITE LOSS",IF(COUNTIFS('Site Dockets'!$B$7:$B$24,C266,'Site Dockets'!$C$7:$C$24,F266)&gt;0,1,0),IF(B266="REGION LOSS",IF(COUNTIFS('Site Dockets'!$E$7:$E$24,C266,'Site Dockets'!$C$7:$C$24,F266)&gt;0,1,0),0))</f>
        <v>0</v>
      </c>
      <c r="L266" s="15" t="n">
        <f aca="false">IF(J266=1,0,Inputs!$B$11)</f>
        <v>100</v>
      </c>
      <c r="M266" s="15" t="n">
        <f aca="false">IF(J266=1,0,Inputs!$B$12)</f>
        <v>75</v>
      </c>
      <c r="N266" s="15" t="n">
        <f aca="false">IF(J266=1,0,IF(OR(AND(OR(B266="SITE LOSS",B266="REGION LOSS"),K266=1),AND(B266="ROLE COMPROMISE",H266=C266)),Inputs!$B$13,Inputs!$B$14))</f>
        <v>10</v>
      </c>
      <c r="O266" s="15" t="n">
        <f aca="false">IF(J266=1,0,Inputs!$B$13)</f>
        <v>20</v>
      </c>
      <c r="P266" s="15" t="n">
        <f aca="false">SUM(M266:N266)</f>
        <v>85</v>
      </c>
      <c r="Q266" s="15" t="n">
        <f aca="false">IF(J266=1,"",L266-P266)</f>
        <v>15</v>
      </c>
      <c r="R266" s="15" t="n">
        <f aca="false">IF(OR(J266=1,M266&lt;=Inputs!$B$12),1,0)</f>
        <v>1</v>
      </c>
      <c r="S266" s="15" t="n">
        <f aca="false">IF(OR(J266=1,N266&lt;=O266),1,0)</f>
        <v>1</v>
      </c>
      <c r="T266" s="15" t="str">
        <f aca="false">IF(J266=1,"OFFLINE",IF(AND(Q266&gt;=Inputs!$B$15,R266=1,S266=1,P266&lt;=L266),"PASS","FAIL"))</f>
        <v>PASS</v>
      </c>
    </row>
    <row r="267" customFormat="false" ht="15" hidden="false" customHeight="false" outlineLevel="0" collapsed="false">
      <c r="A267" s="14" t="s">
        <v>1021</v>
      </c>
      <c r="B267" s="14" t="s">
        <v>1019</v>
      </c>
      <c r="C267" s="14" t="s">
        <v>160</v>
      </c>
      <c r="D267" s="14" t="s">
        <v>178</v>
      </c>
      <c r="E267" s="14" t="s">
        <v>169</v>
      </c>
      <c r="F267" s="14" t="s">
        <v>175</v>
      </c>
      <c r="G267" s="14" t="n">
        <v>2</v>
      </c>
      <c r="H267" s="14" t="s">
        <v>153</v>
      </c>
      <c r="I267" s="14" t="s">
        <v>811</v>
      </c>
      <c r="J267" s="15" t="n">
        <f aca="false">IF(B267="SITE LOSS",IF(D267=C267,1,0),IF(B267="REGION LOSS",IF(E267=C267,1,0),0))</f>
        <v>0</v>
      </c>
      <c r="K267" s="15" t="n">
        <f aca="false">IF(B267="SITE LOSS",IF(COUNTIFS('Site Dockets'!$B$7:$B$24,C267,'Site Dockets'!$C$7:$C$24,F267)&gt;0,1,0),IF(B267="REGION LOSS",IF(COUNTIFS('Site Dockets'!$E$7:$E$24,C267,'Site Dockets'!$C$7:$C$24,F267)&gt;0,1,0),0))</f>
        <v>0</v>
      </c>
      <c r="L267" s="15" t="n">
        <f aca="false">IF(J267=1,0,Inputs!$B$11)</f>
        <v>100</v>
      </c>
      <c r="M267" s="15" t="n">
        <f aca="false">IF(J267=1,0,Inputs!$B$12)</f>
        <v>75</v>
      </c>
      <c r="N267" s="15" t="n">
        <f aca="false">IF(J267=1,0,IF(OR(AND(OR(B267="SITE LOSS",B267="REGION LOSS"),K267=1),AND(B267="ROLE COMPROMISE",H267=C267)),Inputs!$B$13,Inputs!$B$14))</f>
        <v>10</v>
      </c>
      <c r="O267" s="15" t="n">
        <f aca="false">IF(J267=1,0,Inputs!$B$13)</f>
        <v>20</v>
      </c>
      <c r="P267" s="15" t="n">
        <f aca="false">SUM(M267:N267)</f>
        <v>85</v>
      </c>
      <c r="Q267" s="15" t="n">
        <f aca="false">IF(J267=1,"",L267-P267)</f>
        <v>15</v>
      </c>
      <c r="R267" s="15" t="n">
        <f aca="false">IF(OR(J267=1,M267&lt;=Inputs!$B$12),1,0)</f>
        <v>1</v>
      </c>
      <c r="S267" s="15" t="n">
        <f aca="false">IF(OR(J267=1,N267&lt;=O267),1,0)</f>
        <v>1</v>
      </c>
      <c r="T267" s="15" t="str">
        <f aca="false">IF(J267=1,"OFFLINE",IF(AND(Q267&gt;=Inputs!$B$15,R267=1,S267=1,P267&lt;=L267),"PASS","FAIL"))</f>
        <v>PASS</v>
      </c>
    </row>
    <row r="268" customFormat="false" ht="15" hidden="false" customHeight="false" outlineLevel="0" collapsed="false">
      <c r="A268" s="14" t="s">
        <v>1021</v>
      </c>
      <c r="B268" s="14" t="s">
        <v>1019</v>
      </c>
      <c r="C268" s="14" t="s">
        <v>160</v>
      </c>
      <c r="D268" s="14" t="s">
        <v>178</v>
      </c>
      <c r="E268" s="14" t="s">
        <v>169</v>
      </c>
      <c r="F268" s="14" t="s">
        <v>175</v>
      </c>
      <c r="G268" s="14" t="n">
        <v>2</v>
      </c>
      <c r="H268" s="14" t="s">
        <v>153</v>
      </c>
      <c r="I268" s="14" t="s">
        <v>895</v>
      </c>
      <c r="J268" s="15" t="n">
        <f aca="false">IF(B268="SITE LOSS",IF(D268=C268,1,0),IF(B268="REGION LOSS",IF(E268=C268,1,0),0))</f>
        <v>0</v>
      </c>
      <c r="K268" s="15" t="n">
        <f aca="false">IF(B268="SITE LOSS",IF(COUNTIFS('Site Dockets'!$B$7:$B$24,C268,'Site Dockets'!$C$7:$C$24,F268)&gt;0,1,0),IF(B268="REGION LOSS",IF(COUNTIFS('Site Dockets'!$E$7:$E$24,C268,'Site Dockets'!$C$7:$C$24,F268)&gt;0,1,0),0))</f>
        <v>0</v>
      </c>
      <c r="L268" s="15" t="n">
        <f aca="false">IF(J268=1,0,Inputs!$B$11)</f>
        <v>100</v>
      </c>
      <c r="M268" s="15" t="n">
        <f aca="false">IF(J268=1,0,Inputs!$B$12)</f>
        <v>75</v>
      </c>
      <c r="N268" s="15" t="n">
        <f aca="false">IF(J268=1,0,IF(OR(AND(OR(B268="SITE LOSS",B268="REGION LOSS"),K268=1),AND(B268="ROLE COMPROMISE",H268=C268)),Inputs!$B$13,Inputs!$B$14))</f>
        <v>10</v>
      </c>
      <c r="O268" s="15" t="n">
        <f aca="false">IF(J268=1,0,Inputs!$B$13)</f>
        <v>20</v>
      </c>
      <c r="P268" s="15" t="n">
        <f aca="false">SUM(M268:N268)</f>
        <v>85</v>
      </c>
      <c r="Q268" s="15" t="n">
        <f aca="false">IF(J268=1,"",L268-P268)</f>
        <v>15</v>
      </c>
      <c r="R268" s="15" t="n">
        <f aca="false">IF(OR(J268=1,M268&lt;=Inputs!$B$12),1,0)</f>
        <v>1</v>
      </c>
      <c r="S268" s="15" t="n">
        <f aca="false">IF(OR(J268=1,N268&lt;=O268),1,0)</f>
        <v>1</v>
      </c>
      <c r="T268" s="15" t="str">
        <f aca="false">IF(J268=1,"OFFLINE",IF(AND(Q268&gt;=Inputs!$B$15,R268=1,S268=1,P268&lt;=L268),"PASS","FAIL"))</f>
        <v>PASS</v>
      </c>
    </row>
    <row r="269" customFormat="false" ht="15" hidden="false" customHeight="false" outlineLevel="0" collapsed="false">
      <c r="A269" s="14" t="s">
        <v>1021</v>
      </c>
      <c r="B269" s="14" t="s">
        <v>1019</v>
      </c>
      <c r="C269" s="14" t="s">
        <v>160</v>
      </c>
      <c r="D269" s="14" t="s">
        <v>178</v>
      </c>
      <c r="E269" s="14" t="s">
        <v>169</v>
      </c>
      <c r="F269" s="14" t="s">
        <v>175</v>
      </c>
      <c r="G269" s="14" t="n">
        <v>2</v>
      </c>
      <c r="H269" s="14" t="s">
        <v>153</v>
      </c>
      <c r="I269" s="14" t="s">
        <v>897</v>
      </c>
      <c r="J269" s="15" t="n">
        <f aca="false">IF(B269="SITE LOSS",IF(D269=C269,1,0),IF(B269="REGION LOSS",IF(E269=C269,1,0),0))</f>
        <v>0</v>
      </c>
      <c r="K269" s="15" t="n">
        <f aca="false">IF(B269="SITE LOSS",IF(COUNTIFS('Site Dockets'!$B$7:$B$24,C269,'Site Dockets'!$C$7:$C$24,F269)&gt;0,1,0),IF(B269="REGION LOSS",IF(COUNTIFS('Site Dockets'!$E$7:$E$24,C269,'Site Dockets'!$C$7:$C$24,F269)&gt;0,1,0),0))</f>
        <v>0</v>
      </c>
      <c r="L269" s="15" t="n">
        <f aca="false">IF(J269=1,0,Inputs!$B$11)</f>
        <v>100</v>
      </c>
      <c r="M269" s="15" t="n">
        <f aca="false">IF(J269=1,0,Inputs!$B$12)</f>
        <v>75</v>
      </c>
      <c r="N269" s="15" t="n">
        <f aca="false">IF(J269=1,0,IF(OR(AND(OR(B269="SITE LOSS",B269="REGION LOSS"),K269=1),AND(B269="ROLE COMPROMISE",H269=C269)),Inputs!$B$13,Inputs!$B$14))</f>
        <v>10</v>
      </c>
      <c r="O269" s="15" t="n">
        <f aca="false">IF(J269=1,0,Inputs!$B$13)</f>
        <v>20</v>
      </c>
      <c r="P269" s="15" t="n">
        <f aca="false">SUM(M269:N269)</f>
        <v>85</v>
      </c>
      <c r="Q269" s="15" t="n">
        <f aca="false">IF(J269=1,"",L269-P269)</f>
        <v>15</v>
      </c>
      <c r="R269" s="15" t="n">
        <f aca="false">IF(OR(J269=1,M269&lt;=Inputs!$B$12),1,0)</f>
        <v>1</v>
      </c>
      <c r="S269" s="15" t="n">
        <f aca="false">IF(OR(J269=1,N269&lt;=O269),1,0)</f>
        <v>1</v>
      </c>
      <c r="T269" s="15" t="str">
        <f aca="false">IF(J269=1,"OFFLINE",IF(AND(Q269&gt;=Inputs!$B$15,R269=1,S269=1,P269&lt;=L269),"PASS","FAIL"))</f>
        <v>PASS</v>
      </c>
    </row>
    <row r="270" customFormat="false" ht="15" hidden="false" customHeight="false" outlineLevel="0" collapsed="false">
      <c r="A270" s="14" t="s">
        <v>1021</v>
      </c>
      <c r="B270" s="14" t="s">
        <v>1019</v>
      </c>
      <c r="C270" s="14" t="s">
        <v>160</v>
      </c>
      <c r="D270" s="14" t="s">
        <v>178</v>
      </c>
      <c r="E270" s="14" t="s">
        <v>169</v>
      </c>
      <c r="F270" s="14" t="s">
        <v>175</v>
      </c>
      <c r="G270" s="14" t="n">
        <v>2</v>
      </c>
      <c r="H270" s="14" t="s">
        <v>153</v>
      </c>
      <c r="I270" s="14" t="s">
        <v>899</v>
      </c>
      <c r="J270" s="15" t="n">
        <f aca="false">IF(B270="SITE LOSS",IF(D270=C270,1,0),IF(B270="REGION LOSS",IF(E270=C270,1,0),0))</f>
        <v>0</v>
      </c>
      <c r="K270" s="15" t="n">
        <f aca="false">IF(B270="SITE LOSS",IF(COUNTIFS('Site Dockets'!$B$7:$B$24,C270,'Site Dockets'!$C$7:$C$24,F270)&gt;0,1,0),IF(B270="REGION LOSS",IF(COUNTIFS('Site Dockets'!$E$7:$E$24,C270,'Site Dockets'!$C$7:$C$24,F270)&gt;0,1,0),0))</f>
        <v>0</v>
      </c>
      <c r="L270" s="15" t="n">
        <f aca="false">IF(J270=1,0,Inputs!$B$11)</f>
        <v>100</v>
      </c>
      <c r="M270" s="15" t="n">
        <f aca="false">IF(J270=1,0,Inputs!$B$12)</f>
        <v>75</v>
      </c>
      <c r="N270" s="15" t="n">
        <f aca="false">IF(J270=1,0,IF(OR(AND(OR(B270="SITE LOSS",B270="REGION LOSS"),K270=1),AND(B270="ROLE COMPROMISE",H270=C270)),Inputs!$B$13,Inputs!$B$14))</f>
        <v>10</v>
      </c>
      <c r="O270" s="15" t="n">
        <f aca="false">IF(J270=1,0,Inputs!$B$13)</f>
        <v>20</v>
      </c>
      <c r="P270" s="15" t="n">
        <f aca="false">SUM(M270:N270)</f>
        <v>85</v>
      </c>
      <c r="Q270" s="15" t="n">
        <f aca="false">IF(J270=1,"",L270-P270)</f>
        <v>15</v>
      </c>
      <c r="R270" s="15" t="n">
        <f aca="false">IF(OR(J270=1,M270&lt;=Inputs!$B$12),1,0)</f>
        <v>1</v>
      </c>
      <c r="S270" s="15" t="n">
        <f aca="false">IF(OR(J270=1,N270&lt;=O270),1,0)</f>
        <v>1</v>
      </c>
      <c r="T270" s="15" t="str">
        <f aca="false">IF(J270=1,"OFFLINE",IF(AND(Q270&gt;=Inputs!$B$15,R270=1,S270=1,P270&lt;=L270),"PASS","FAIL"))</f>
        <v>PASS</v>
      </c>
    </row>
    <row r="271" customFormat="false" ht="15" hidden="false" customHeight="false" outlineLevel="0" collapsed="false">
      <c r="A271" s="14" t="s">
        <v>1021</v>
      </c>
      <c r="B271" s="14" t="s">
        <v>1019</v>
      </c>
      <c r="C271" s="14" t="s">
        <v>160</v>
      </c>
      <c r="D271" s="14" t="s">
        <v>180</v>
      </c>
      <c r="E271" s="14" t="s">
        <v>161</v>
      </c>
      <c r="F271" s="14" t="s">
        <v>175</v>
      </c>
      <c r="G271" s="14" t="n">
        <v>3</v>
      </c>
      <c r="H271" s="14" t="s">
        <v>158</v>
      </c>
      <c r="I271" s="14" t="s">
        <v>890</v>
      </c>
      <c r="J271" s="15" t="n">
        <f aca="false">IF(B271="SITE LOSS",IF(D271=C271,1,0),IF(B271="REGION LOSS",IF(E271=C271,1,0),0))</f>
        <v>0</v>
      </c>
      <c r="K271" s="15" t="n">
        <f aca="false">IF(B271="SITE LOSS",IF(COUNTIFS('Site Dockets'!$B$7:$B$24,C271,'Site Dockets'!$C$7:$C$24,F271)&gt;0,1,0),IF(B271="REGION LOSS",IF(COUNTIFS('Site Dockets'!$E$7:$E$24,C271,'Site Dockets'!$C$7:$C$24,F271)&gt;0,1,0),0))</f>
        <v>0</v>
      </c>
      <c r="L271" s="15" t="n">
        <f aca="false">IF(J271=1,0,Inputs!$B$11)</f>
        <v>100</v>
      </c>
      <c r="M271" s="15" t="n">
        <f aca="false">IF(J271=1,0,Inputs!$B$12)</f>
        <v>75</v>
      </c>
      <c r="N271" s="15" t="n">
        <f aca="false">IF(J271=1,0,IF(OR(AND(OR(B271="SITE LOSS",B271="REGION LOSS"),K271=1),AND(B271="ROLE COMPROMISE",H271=C271)),Inputs!$B$13,Inputs!$B$14))</f>
        <v>10</v>
      </c>
      <c r="O271" s="15" t="n">
        <f aca="false">IF(J271=1,0,Inputs!$B$13)</f>
        <v>20</v>
      </c>
      <c r="P271" s="15" t="n">
        <f aca="false">SUM(M271:N271)</f>
        <v>85</v>
      </c>
      <c r="Q271" s="15" t="n">
        <f aca="false">IF(J271=1,"",L271-P271)</f>
        <v>15</v>
      </c>
      <c r="R271" s="15" t="n">
        <f aca="false">IF(OR(J271=1,M271&lt;=Inputs!$B$12),1,0)</f>
        <v>1</v>
      </c>
      <c r="S271" s="15" t="n">
        <f aca="false">IF(OR(J271=1,N271&lt;=O271),1,0)</f>
        <v>1</v>
      </c>
      <c r="T271" s="15" t="str">
        <f aca="false">IF(J271=1,"OFFLINE",IF(AND(Q271&gt;=Inputs!$B$15,R271=1,S271=1,P271&lt;=L271),"PASS","FAIL"))</f>
        <v>PASS</v>
      </c>
    </row>
    <row r="272" customFormat="false" ht="15" hidden="false" customHeight="false" outlineLevel="0" collapsed="false">
      <c r="A272" s="14" t="s">
        <v>1021</v>
      </c>
      <c r="B272" s="14" t="s">
        <v>1019</v>
      </c>
      <c r="C272" s="14" t="s">
        <v>160</v>
      </c>
      <c r="D272" s="14" t="s">
        <v>180</v>
      </c>
      <c r="E272" s="14" t="s">
        <v>161</v>
      </c>
      <c r="F272" s="14" t="s">
        <v>175</v>
      </c>
      <c r="G272" s="14" t="n">
        <v>3</v>
      </c>
      <c r="H272" s="14" t="s">
        <v>158</v>
      </c>
      <c r="I272" s="14" t="s">
        <v>892</v>
      </c>
      <c r="J272" s="15" t="n">
        <f aca="false">IF(B272="SITE LOSS",IF(D272=C272,1,0),IF(B272="REGION LOSS",IF(E272=C272,1,0),0))</f>
        <v>0</v>
      </c>
      <c r="K272" s="15" t="n">
        <f aca="false">IF(B272="SITE LOSS",IF(COUNTIFS('Site Dockets'!$B$7:$B$24,C272,'Site Dockets'!$C$7:$C$24,F272)&gt;0,1,0),IF(B272="REGION LOSS",IF(COUNTIFS('Site Dockets'!$E$7:$E$24,C272,'Site Dockets'!$C$7:$C$24,F272)&gt;0,1,0),0))</f>
        <v>0</v>
      </c>
      <c r="L272" s="15" t="n">
        <f aca="false">IF(J272=1,0,Inputs!$B$11)</f>
        <v>100</v>
      </c>
      <c r="M272" s="15" t="n">
        <f aca="false">IF(J272=1,0,Inputs!$B$12)</f>
        <v>75</v>
      </c>
      <c r="N272" s="15" t="n">
        <f aca="false">IF(J272=1,0,IF(OR(AND(OR(B272="SITE LOSS",B272="REGION LOSS"),K272=1),AND(B272="ROLE COMPROMISE",H272=C272)),Inputs!$B$13,Inputs!$B$14))</f>
        <v>10</v>
      </c>
      <c r="O272" s="15" t="n">
        <f aca="false">IF(J272=1,0,Inputs!$B$13)</f>
        <v>20</v>
      </c>
      <c r="P272" s="15" t="n">
        <f aca="false">SUM(M272:N272)</f>
        <v>85</v>
      </c>
      <c r="Q272" s="15" t="n">
        <f aca="false">IF(J272=1,"",L272-P272)</f>
        <v>15</v>
      </c>
      <c r="R272" s="15" t="n">
        <f aca="false">IF(OR(J272=1,M272&lt;=Inputs!$B$12),1,0)</f>
        <v>1</v>
      </c>
      <c r="S272" s="15" t="n">
        <f aca="false">IF(OR(J272=1,N272&lt;=O272),1,0)</f>
        <v>1</v>
      </c>
      <c r="T272" s="15" t="str">
        <f aca="false">IF(J272=1,"OFFLINE",IF(AND(Q272&gt;=Inputs!$B$15,R272=1,S272=1,P272&lt;=L272),"PASS","FAIL"))</f>
        <v>PASS</v>
      </c>
    </row>
    <row r="273" customFormat="false" ht="15" hidden="false" customHeight="false" outlineLevel="0" collapsed="false">
      <c r="A273" s="14" t="s">
        <v>1021</v>
      </c>
      <c r="B273" s="14" t="s">
        <v>1019</v>
      </c>
      <c r="C273" s="14" t="s">
        <v>160</v>
      </c>
      <c r="D273" s="14" t="s">
        <v>180</v>
      </c>
      <c r="E273" s="14" t="s">
        <v>161</v>
      </c>
      <c r="F273" s="14" t="s">
        <v>175</v>
      </c>
      <c r="G273" s="14" t="n">
        <v>3</v>
      </c>
      <c r="H273" s="14" t="s">
        <v>158</v>
      </c>
      <c r="I273" s="14" t="s">
        <v>811</v>
      </c>
      <c r="J273" s="15" t="n">
        <f aca="false">IF(B273="SITE LOSS",IF(D273=C273,1,0),IF(B273="REGION LOSS",IF(E273=C273,1,0),0))</f>
        <v>0</v>
      </c>
      <c r="K273" s="15" t="n">
        <f aca="false">IF(B273="SITE LOSS",IF(COUNTIFS('Site Dockets'!$B$7:$B$24,C273,'Site Dockets'!$C$7:$C$24,F273)&gt;0,1,0),IF(B273="REGION LOSS",IF(COUNTIFS('Site Dockets'!$E$7:$E$24,C273,'Site Dockets'!$C$7:$C$24,F273)&gt;0,1,0),0))</f>
        <v>0</v>
      </c>
      <c r="L273" s="15" t="n">
        <f aca="false">IF(J273=1,0,Inputs!$B$11)</f>
        <v>100</v>
      </c>
      <c r="M273" s="15" t="n">
        <f aca="false">IF(J273=1,0,Inputs!$B$12)</f>
        <v>75</v>
      </c>
      <c r="N273" s="15" t="n">
        <f aca="false">IF(J273=1,0,IF(OR(AND(OR(B273="SITE LOSS",B273="REGION LOSS"),K273=1),AND(B273="ROLE COMPROMISE",H273=C273)),Inputs!$B$13,Inputs!$B$14))</f>
        <v>10</v>
      </c>
      <c r="O273" s="15" t="n">
        <f aca="false">IF(J273=1,0,Inputs!$B$13)</f>
        <v>20</v>
      </c>
      <c r="P273" s="15" t="n">
        <f aca="false">SUM(M273:N273)</f>
        <v>85</v>
      </c>
      <c r="Q273" s="15" t="n">
        <f aca="false">IF(J273=1,"",L273-P273)</f>
        <v>15</v>
      </c>
      <c r="R273" s="15" t="n">
        <f aca="false">IF(OR(J273=1,M273&lt;=Inputs!$B$12),1,0)</f>
        <v>1</v>
      </c>
      <c r="S273" s="15" t="n">
        <f aca="false">IF(OR(J273=1,N273&lt;=O273),1,0)</f>
        <v>1</v>
      </c>
      <c r="T273" s="15" t="str">
        <f aca="false">IF(J273=1,"OFFLINE",IF(AND(Q273&gt;=Inputs!$B$15,R273=1,S273=1,P273&lt;=L273),"PASS","FAIL"))</f>
        <v>PASS</v>
      </c>
    </row>
    <row r="274" customFormat="false" ht="15" hidden="false" customHeight="false" outlineLevel="0" collapsed="false">
      <c r="A274" s="14" t="s">
        <v>1021</v>
      </c>
      <c r="B274" s="14" t="s">
        <v>1019</v>
      </c>
      <c r="C274" s="14" t="s">
        <v>160</v>
      </c>
      <c r="D274" s="14" t="s">
        <v>180</v>
      </c>
      <c r="E274" s="14" t="s">
        <v>161</v>
      </c>
      <c r="F274" s="14" t="s">
        <v>175</v>
      </c>
      <c r="G274" s="14" t="n">
        <v>3</v>
      </c>
      <c r="H274" s="14" t="s">
        <v>158</v>
      </c>
      <c r="I274" s="14" t="s">
        <v>895</v>
      </c>
      <c r="J274" s="15" t="n">
        <f aca="false">IF(B274="SITE LOSS",IF(D274=C274,1,0),IF(B274="REGION LOSS",IF(E274=C274,1,0),0))</f>
        <v>0</v>
      </c>
      <c r="K274" s="15" t="n">
        <f aca="false">IF(B274="SITE LOSS",IF(COUNTIFS('Site Dockets'!$B$7:$B$24,C274,'Site Dockets'!$C$7:$C$24,F274)&gt;0,1,0),IF(B274="REGION LOSS",IF(COUNTIFS('Site Dockets'!$E$7:$E$24,C274,'Site Dockets'!$C$7:$C$24,F274)&gt;0,1,0),0))</f>
        <v>0</v>
      </c>
      <c r="L274" s="15" t="n">
        <f aca="false">IF(J274=1,0,Inputs!$B$11)</f>
        <v>100</v>
      </c>
      <c r="M274" s="15" t="n">
        <f aca="false">IF(J274=1,0,Inputs!$B$12)</f>
        <v>75</v>
      </c>
      <c r="N274" s="15" t="n">
        <f aca="false">IF(J274=1,0,IF(OR(AND(OR(B274="SITE LOSS",B274="REGION LOSS"),K274=1),AND(B274="ROLE COMPROMISE",H274=C274)),Inputs!$B$13,Inputs!$B$14))</f>
        <v>10</v>
      </c>
      <c r="O274" s="15" t="n">
        <f aca="false">IF(J274=1,0,Inputs!$B$13)</f>
        <v>20</v>
      </c>
      <c r="P274" s="15" t="n">
        <f aca="false">SUM(M274:N274)</f>
        <v>85</v>
      </c>
      <c r="Q274" s="15" t="n">
        <f aca="false">IF(J274=1,"",L274-P274)</f>
        <v>15</v>
      </c>
      <c r="R274" s="15" t="n">
        <f aca="false">IF(OR(J274=1,M274&lt;=Inputs!$B$12),1,0)</f>
        <v>1</v>
      </c>
      <c r="S274" s="15" t="n">
        <f aca="false">IF(OR(J274=1,N274&lt;=O274),1,0)</f>
        <v>1</v>
      </c>
      <c r="T274" s="15" t="str">
        <f aca="false">IF(J274=1,"OFFLINE",IF(AND(Q274&gt;=Inputs!$B$15,R274=1,S274=1,P274&lt;=L274),"PASS","FAIL"))</f>
        <v>PASS</v>
      </c>
    </row>
    <row r="275" customFormat="false" ht="15" hidden="false" customHeight="false" outlineLevel="0" collapsed="false">
      <c r="A275" s="14" t="s">
        <v>1021</v>
      </c>
      <c r="B275" s="14" t="s">
        <v>1019</v>
      </c>
      <c r="C275" s="14" t="s">
        <v>160</v>
      </c>
      <c r="D275" s="14" t="s">
        <v>180</v>
      </c>
      <c r="E275" s="14" t="s">
        <v>161</v>
      </c>
      <c r="F275" s="14" t="s">
        <v>175</v>
      </c>
      <c r="G275" s="14" t="n">
        <v>3</v>
      </c>
      <c r="H275" s="14" t="s">
        <v>158</v>
      </c>
      <c r="I275" s="14" t="s">
        <v>897</v>
      </c>
      <c r="J275" s="15" t="n">
        <f aca="false">IF(B275="SITE LOSS",IF(D275=C275,1,0),IF(B275="REGION LOSS",IF(E275=C275,1,0),0))</f>
        <v>0</v>
      </c>
      <c r="K275" s="15" t="n">
        <f aca="false">IF(B275="SITE LOSS",IF(COUNTIFS('Site Dockets'!$B$7:$B$24,C275,'Site Dockets'!$C$7:$C$24,F275)&gt;0,1,0),IF(B275="REGION LOSS",IF(COUNTIFS('Site Dockets'!$E$7:$E$24,C275,'Site Dockets'!$C$7:$C$24,F275)&gt;0,1,0),0))</f>
        <v>0</v>
      </c>
      <c r="L275" s="15" t="n">
        <f aca="false">IF(J275=1,0,Inputs!$B$11)</f>
        <v>100</v>
      </c>
      <c r="M275" s="15" t="n">
        <f aca="false">IF(J275=1,0,Inputs!$B$12)</f>
        <v>75</v>
      </c>
      <c r="N275" s="15" t="n">
        <f aca="false">IF(J275=1,0,IF(OR(AND(OR(B275="SITE LOSS",B275="REGION LOSS"),K275=1),AND(B275="ROLE COMPROMISE",H275=C275)),Inputs!$B$13,Inputs!$B$14))</f>
        <v>10</v>
      </c>
      <c r="O275" s="15" t="n">
        <f aca="false">IF(J275=1,0,Inputs!$B$13)</f>
        <v>20</v>
      </c>
      <c r="P275" s="15" t="n">
        <f aca="false">SUM(M275:N275)</f>
        <v>85</v>
      </c>
      <c r="Q275" s="15" t="n">
        <f aca="false">IF(J275=1,"",L275-P275)</f>
        <v>15</v>
      </c>
      <c r="R275" s="15" t="n">
        <f aca="false">IF(OR(J275=1,M275&lt;=Inputs!$B$12),1,0)</f>
        <v>1</v>
      </c>
      <c r="S275" s="15" t="n">
        <f aca="false">IF(OR(J275=1,N275&lt;=O275),1,0)</f>
        <v>1</v>
      </c>
      <c r="T275" s="15" t="str">
        <f aca="false">IF(J275=1,"OFFLINE",IF(AND(Q275&gt;=Inputs!$B$15,R275=1,S275=1,P275&lt;=L275),"PASS","FAIL"))</f>
        <v>PASS</v>
      </c>
    </row>
    <row r="276" customFormat="false" ht="15" hidden="false" customHeight="false" outlineLevel="0" collapsed="false">
      <c r="A276" s="14" t="s">
        <v>1021</v>
      </c>
      <c r="B276" s="14" t="s">
        <v>1019</v>
      </c>
      <c r="C276" s="14" t="s">
        <v>160</v>
      </c>
      <c r="D276" s="14" t="s">
        <v>180</v>
      </c>
      <c r="E276" s="14" t="s">
        <v>161</v>
      </c>
      <c r="F276" s="14" t="s">
        <v>175</v>
      </c>
      <c r="G276" s="14" t="n">
        <v>3</v>
      </c>
      <c r="H276" s="14" t="s">
        <v>158</v>
      </c>
      <c r="I276" s="14" t="s">
        <v>899</v>
      </c>
      <c r="J276" s="15" t="n">
        <f aca="false">IF(B276="SITE LOSS",IF(D276=C276,1,0),IF(B276="REGION LOSS",IF(E276=C276,1,0),0))</f>
        <v>0</v>
      </c>
      <c r="K276" s="15" t="n">
        <f aca="false">IF(B276="SITE LOSS",IF(COUNTIFS('Site Dockets'!$B$7:$B$24,C276,'Site Dockets'!$C$7:$C$24,F276)&gt;0,1,0),IF(B276="REGION LOSS",IF(COUNTIFS('Site Dockets'!$E$7:$E$24,C276,'Site Dockets'!$C$7:$C$24,F276)&gt;0,1,0),0))</f>
        <v>0</v>
      </c>
      <c r="L276" s="15" t="n">
        <f aca="false">IF(J276=1,0,Inputs!$B$11)</f>
        <v>100</v>
      </c>
      <c r="M276" s="15" t="n">
        <f aca="false">IF(J276=1,0,Inputs!$B$12)</f>
        <v>75</v>
      </c>
      <c r="N276" s="15" t="n">
        <f aca="false">IF(J276=1,0,IF(OR(AND(OR(B276="SITE LOSS",B276="REGION LOSS"),K276=1),AND(B276="ROLE COMPROMISE",H276=C276)),Inputs!$B$13,Inputs!$B$14))</f>
        <v>10</v>
      </c>
      <c r="O276" s="15" t="n">
        <f aca="false">IF(J276=1,0,Inputs!$B$13)</f>
        <v>20</v>
      </c>
      <c r="P276" s="15" t="n">
        <f aca="false">SUM(M276:N276)</f>
        <v>85</v>
      </c>
      <c r="Q276" s="15" t="n">
        <f aca="false">IF(J276=1,"",L276-P276)</f>
        <v>15</v>
      </c>
      <c r="R276" s="15" t="n">
        <f aca="false">IF(OR(J276=1,M276&lt;=Inputs!$B$12),1,0)</f>
        <v>1</v>
      </c>
      <c r="S276" s="15" t="n">
        <f aca="false">IF(OR(J276=1,N276&lt;=O276),1,0)</f>
        <v>1</v>
      </c>
      <c r="T276" s="15" t="str">
        <f aca="false">IF(J276=1,"OFFLINE",IF(AND(Q276&gt;=Inputs!$B$15,R276=1,S276=1,P276&lt;=L276),"PASS","FAIL"))</f>
        <v>PASS</v>
      </c>
    </row>
    <row r="277" customFormat="false" ht="15" hidden="false" customHeight="false" outlineLevel="0" collapsed="false">
      <c r="A277" s="14" t="s">
        <v>1021</v>
      </c>
      <c r="B277" s="14" t="s">
        <v>1019</v>
      </c>
      <c r="C277" s="14" t="s">
        <v>160</v>
      </c>
      <c r="D277" s="14" t="s">
        <v>182</v>
      </c>
      <c r="E277" s="14" t="s">
        <v>166</v>
      </c>
      <c r="F277" s="14" t="s">
        <v>183</v>
      </c>
      <c r="G277" s="14" t="n">
        <v>1</v>
      </c>
      <c r="H277" s="14" t="s">
        <v>154</v>
      </c>
      <c r="I277" s="14" t="s">
        <v>890</v>
      </c>
      <c r="J277" s="15" t="n">
        <f aca="false">IF(B277="SITE LOSS",IF(D277=C277,1,0),IF(B277="REGION LOSS",IF(E277=C277,1,0),0))</f>
        <v>0</v>
      </c>
      <c r="K277" s="15" t="n">
        <f aca="false">IF(B277="SITE LOSS",IF(COUNTIFS('Site Dockets'!$B$7:$B$24,C277,'Site Dockets'!$C$7:$C$24,F277)&gt;0,1,0),IF(B277="REGION LOSS",IF(COUNTIFS('Site Dockets'!$E$7:$E$24,C277,'Site Dockets'!$C$7:$C$24,F277)&gt;0,1,0),0))</f>
        <v>0</v>
      </c>
      <c r="L277" s="15" t="n">
        <f aca="false">IF(J277=1,0,Inputs!$B$11)</f>
        <v>100</v>
      </c>
      <c r="M277" s="15" t="n">
        <f aca="false">IF(J277=1,0,Inputs!$B$12)</f>
        <v>75</v>
      </c>
      <c r="N277" s="15" t="n">
        <f aca="false">IF(J277=1,0,IF(OR(AND(OR(B277="SITE LOSS",B277="REGION LOSS"),K277=1),AND(B277="ROLE COMPROMISE",H277=C277)),Inputs!$B$13,Inputs!$B$14))</f>
        <v>10</v>
      </c>
      <c r="O277" s="15" t="n">
        <f aca="false">IF(J277=1,0,Inputs!$B$13)</f>
        <v>20</v>
      </c>
      <c r="P277" s="15" t="n">
        <f aca="false">SUM(M277:N277)</f>
        <v>85</v>
      </c>
      <c r="Q277" s="15" t="n">
        <f aca="false">IF(J277=1,"",L277-P277)</f>
        <v>15</v>
      </c>
      <c r="R277" s="15" t="n">
        <f aca="false">IF(OR(J277=1,M277&lt;=Inputs!$B$12),1,0)</f>
        <v>1</v>
      </c>
      <c r="S277" s="15" t="n">
        <f aca="false">IF(OR(J277=1,N277&lt;=O277),1,0)</f>
        <v>1</v>
      </c>
      <c r="T277" s="15" t="str">
        <f aca="false">IF(J277=1,"OFFLINE",IF(AND(Q277&gt;=Inputs!$B$15,R277=1,S277=1,P277&lt;=L277),"PASS","FAIL"))</f>
        <v>PASS</v>
      </c>
    </row>
    <row r="278" customFormat="false" ht="15" hidden="false" customHeight="false" outlineLevel="0" collapsed="false">
      <c r="A278" s="14" t="s">
        <v>1021</v>
      </c>
      <c r="B278" s="14" t="s">
        <v>1019</v>
      </c>
      <c r="C278" s="14" t="s">
        <v>160</v>
      </c>
      <c r="D278" s="14" t="s">
        <v>182</v>
      </c>
      <c r="E278" s="14" t="s">
        <v>166</v>
      </c>
      <c r="F278" s="14" t="s">
        <v>183</v>
      </c>
      <c r="G278" s="14" t="n">
        <v>1</v>
      </c>
      <c r="H278" s="14" t="s">
        <v>154</v>
      </c>
      <c r="I278" s="14" t="s">
        <v>892</v>
      </c>
      <c r="J278" s="15" t="n">
        <f aca="false">IF(B278="SITE LOSS",IF(D278=C278,1,0),IF(B278="REGION LOSS",IF(E278=C278,1,0),0))</f>
        <v>0</v>
      </c>
      <c r="K278" s="15" t="n">
        <f aca="false">IF(B278="SITE LOSS",IF(COUNTIFS('Site Dockets'!$B$7:$B$24,C278,'Site Dockets'!$C$7:$C$24,F278)&gt;0,1,0),IF(B278="REGION LOSS",IF(COUNTIFS('Site Dockets'!$E$7:$E$24,C278,'Site Dockets'!$C$7:$C$24,F278)&gt;0,1,0),0))</f>
        <v>0</v>
      </c>
      <c r="L278" s="15" t="n">
        <f aca="false">IF(J278=1,0,Inputs!$B$11)</f>
        <v>100</v>
      </c>
      <c r="M278" s="15" t="n">
        <f aca="false">IF(J278=1,0,Inputs!$B$12)</f>
        <v>75</v>
      </c>
      <c r="N278" s="15" t="n">
        <f aca="false">IF(J278=1,0,IF(OR(AND(OR(B278="SITE LOSS",B278="REGION LOSS"),K278=1),AND(B278="ROLE COMPROMISE",H278=C278)),Inputs!$B$13,Inputs!$B$14))</f>
        <v>10</v>
      </c>
      <c r="O278" s="15" t="n">
        <f aca="false">IF(J278=1,0,Inputs!$B$13)</f>
        <v>20</v>
      </c>
      <c r="P278" s="15" t="n">
        <f aca="false">SUM(M278:N278)</f>
        <v>85</v>
      </c>
      <c r="Q278" s="15" t="n">
        <f aca="false">IF(J278=1,"",L278-P278)</f>
        <v>15</v>
      </c>
      <c r="R278" s="15" t="n">
        <f aca="false">IF(OR(J278=1,M278&lt;=Inputs!$B$12),1,0)</f>
        <v>1</v>
      </c>
      <c r="S278" s="15" t="n">
        <f aca="false">IF(OR(J278=1,N278&lt;=O278),1,0)</f>
        <v>1</v>
      </c>
      <c r="T278" s="15" t="str">
        <f aca="false">IF(J278=1,"OFFLINE",IF(AND(Q278&gt;=Inputs!$B$15,R278=1,S278=1,P278&lt;=L278),"PASS","FAIL"))</f>
        <v>PASS</v>
      </c>
    </row>
    <row r="279" customFormat="false" ht="15" hidden="false" customHeight="false" outlineLevel="0" collapsed="false">
      <c r="A279" s="14" t="s">
        <v>1021</v>
      </c>
      <c r="B279" s="14" t="s">
        <v>1019</v>
      </c>
      <c r="C279" s="14" t="s">
        <v>160</v>
      </c>
      <c r="D279" s="14" t="s">
        <v>182</v>
      </c>
      <c r="E279" s="14" t="s">
        <v>166</v>
      </c>
      <c r="F279" s="14" t="s">
        <v>183</v>
      </c>
      <c r="G279" s="14" t="n">
        <v>1</v>
      </c>
      <c r="H279" s="14" t="s">
        <v>154</v>
      </c>
      <c r="I279" s="14" t="s">
        <v>811</v>
      </c>
      <c r="J279" s="15" t="n">
        <f aca="false">IF(B279="SITE LOSS",IF(D279=C279,1,0),IF(B279="REGION LOSS",IF(E279=C279,1,0),0))</f>
        <v>0</v>
      </c>
      <c r="K279" s="15" t="n">
        <f aca="false">IF(B279="SITE LOSS",IF(COUNTIFS('Site Dockets'!$B$7:$B$24,C279,'Site Dockets'!$C$7:$C$24,F279)&gt;0,1,0),IF(B279="REGION LOSS",IF(COUNTIFS('Site Dockets'!$E$7:$E$24,C279,'Site Dockets'!$C$7:$C$24,F279)&gt;0,1,0),0))</f>
        <v>0</v>
      </c>
      <c r="L279" s="15" t="n">
        <f aca="false">IF(J279=1,0,Inputs!$B$11)</f>
        <v>100</v>
      </c>
      <c r="M279" s="15" t="n">
        <f aca="false">IF(J279=1,0,Inputs!$B$12)</f>
        <v>75</v>
      </c>
      <c r="N279" s="15" t="n">
        <f aca="false">IF(J279=1,0,IF(OR(AND(OR(B279="SITE LOSS",B279="REGION LOSS"),K279=1),AND(B279="ROLE COMPROMISE",H279=C279)),Inputs!$B$13,Inputs!$B$14))</f>
        <v>10</v>
      </c>
      <c r="O279" s="15" t="n">
        <f aca="false">IF(J279=1,0,Inputs!$B$13)</f>
        <v>20</v>
      </c>
      <c r="P279" s="15" t="n">
        <f aca="false">SUM(M279:N279)</f>
        <v>85</v>
      </c>
      <c r="Q279" s="15" t="n">
        <f aca="false">IF(J279=1,"",L279-P279)</f>
        <v>15</v>
      </c>
      <c r="R279" s="15" t="n">
        <f aca="false">IF(OR(J279=1,M279&lt;=Inputs!$B$12),1,0)</f>
        <v>1</v>
      </c>
      <c r="S279" s="15" t="n">
        <f aca="false">IF(OR(J279=1,N279&lt;=O279),1,0)</f>
        <v>1</v>
      </c>
      <c r="T279" s="15" t="str">
        <f aca="false">IF(J279=1,"OFFLINE",IF(AND(Q279&gt;=Inputs!$B$15,R279=1,S279=1,P279&lt;=L279),"PASS","FAIL"))</f>
        <v>PASS</v>
      </c>
    </row>
    <row r="280" customFormat="false" ht="15" hidden="false" customHeight="false" outlineLevel="0" collapsed="false">
      <c r="A280" s="14" t="s">
        <v>1021</v>
      </c>
      <c r="B280" s="14" t="s">
        <v>1019</v>
      </c>
      <c r="C280" s="14" t="s">
        <v>160</v>
      </c>
      <c r="D280" s="14" t="s">
        <v>182</v>
      </c>
      <c r="E280" s="14" t="s">
        <v>166</v>
      </c>
      <c r="F280" s="14" t="s">
        <v>183</v>
      </c>
      <c r="G280" s="14" t="n">
        <v>1</v>
      </c>
      <c r="H280" s="14" t="s">
        <v>154</v>
      </c>
      <c r="I280" s="14" t="s">
        <v>895</v>
      </c>
      <c r="J280" s="15" t="n">
        <f aca="false">IF(B280="SITE LOSS",IF(D280=C280,1,0),IF(B280="REGION LOSS",IF(E280=C280,1,0),0))</f>
        <v>0</v>
      </c>
      <c r="K280" s="15" t="n">
        <f aca="false">IF(B280="SITE LOSS",IF(COUNTIFS('Site Dockets'!$B$7:$B$24,C280,'Site Dockets'!$C$7:$C$24,F280)&gt;0,1,0),IF(B280="REGION LOSS",IF(COUNTIFS('Site Dockets'!$E$7:$E$24,C280,'Site Dockets'!$C$7:$C$24,F280)&gt;0,1,0),0))</f>
        <v>0</v>
      </c>
      <c r="L280" s="15" t="n">
        <f aca="false">IF(J280=1,0,Inputs!$B$11)</f>
        <v>100</v>
      </c>
      <c r="M280" s="15" t="n">
        <f aca="false">IF(J280=1,0,Inputs!$B$12)</f>
        <v>75</v>
      </c>
      <c r="N280" s="15" t="n">
        <f aca="false">IF(J280=1,0,IF(OR(AND(OR(B280="SITE LOSS",B280="REGION LOSS"),K280=1),AND(B280="ROLE COMPROMISE",H280=C280)),Inputs!$B$13,Inputs!$B$14))</f>
        <v>10</v>
      </c>
      <c r="O280" s="15" t="n">
        <f aca="false">IF(J280=1,0,Inputs!$B$13)</f>
        <v>20</v>
      </c>
      <c r="P280" s="15" t="n">
        <f aca="false">SUM(M280:N280)</f>
        <v>85</v>
      </c>
      <c r="Q280" s="15" t="n">
        <f aca="false">IF(J280=1,"",L280-P280)</f>
        <v>15</v>
      </c>
      <c r="R280" s="15" t="n">
        <f aca="false">IF(OR(J280=1,M280&lt;=Inputs!$B$12),1,0)</f>
        <v>1</v>
      </c>
      <c r="S280" s="15" t="n">
        <f aca="false">IF(OR(J280=1,N280&lt;=O280),1,0)</f>
        <v>1</v>
      </c>
      <c r="T280" s="15" t="str">
        <f aca="false">IF(J280=1,"OFFLINE",IF(AND(Q280&gt;=Inputs!$B$15,R280=1,S280=1,P280&lt;=L280),"PASS","FAIL"))</f>
        <v>PASS</v>
      </c>
    </row>
    <row r="281" customFormat="false" ht="15" hidden="false" customHeight="false" outlineLevel="0" collapsed="false">
      <c r="A281" s="14" t="s">
        <v>1021</v>
      </c>
      <c r="B281" s="14" t="s">
        <v>1019</v>
      </c>
      <c r="C281" s="14" t="s">
        <v>160</v>
      </c>
      <c r="D281" s="14" t="s">
        <v>182</v>
      </c>
      <c r="E281" s="14" t="s">
        <v>166</v>
      </c>
      <c r="F281" s="14" t="s">
        <v>183</v>
      </c>
      <c r="G281" s="14" t="n">
        <v>1</v>
      </c>
      <c r="H281" s="14" t="s">
        <v>154</v>
      </c>
      <c r="I281" s="14" t="s">
        <v>897</v>
      </c>
      <c r="J281" s="15" t="n">
        <f aca="false">IF(B281="SITE LOSS",IF(D281=C281,1,0),IF(B281="REGION LOSS",IF(E281=C281,1,0),0))</f>
        <v>0</v>
      </c>
      <c r="K281" s="15" t="n">
        <f aca="false">IF(B281="SITE LOSS",IF(COUNTIFS('Site Dockets'!$B$7:$B$24,C281,'Site Dockets'!$C$7:$C$24,F281)&gt;0,1,0),IF(B281="REGION LOSS",IF(COUNTIFS('Site Dockets'!$E$7:$E$24,C281,'Site Dockets'!$C$7:$C$24,F281)&gt;0,1,0),0))</f>
        <v>0</v>
      </c>
      <c r="L281" s="15" t="n">
        <f aca="false">IF(J281=1,0,Inputs!$B$11)</f>
        <v>100</v>
      </c>
      <c r="M281" s="15" t="n">
        <f aca="false">IF(J281=1,0,Inputs!$B$12)</f>
        <v>75</v>
      </c>
      <c r="N281" s="15" t="n">
        <f aca="false">IF(J281=1,0,IF(OR(AND(OR(B281="SITE LOSS",B281="REGION LOSS"),K281=1),AND(B281="ROLE COMPROMISE",H281=C281)),Inputs!$B$13,Inputs!$B$14))</f>
        <v>10</v>
      </c>
      <c r="O281" s="15" t="n">
        <f aca="false">IF(J281=1,0,Inputs!$B$13)</f>
        <v>20</v>
      </c>
      <c r="P281" s="15" t="n">
        <f aca="false">SUM(M281:N281)</f>
        <v>85</v>
      </c>
      <c r="Q281" s="15" t="n">
        <f aca="false">IF(J281=1,"",L281-P281)</f>
        <v>15</v>
      </c>
      <c r="R281" s="15" t="n">
        <f aca="false">IF(OR(J281=1,M281&lt;=Inputs!$B$12),1,0)</f>
        <v>1</v>
      </c>
      <c r="S281" s="15" t="n">
        <f aca="false">IF(OR(J281=1,N281&lt;=O281),1,0)</f>
        <v>1</v>
      </c>
      <c r="T281" s="15" t="str">
        <f aca="false">IF(J281=1,"OFFLINE",IF(AND(Q281&gt;=Inputs!$B$15,R281=1,S281=1,P281&lt;=L281),"PASS","FAIL"))</f>
        <v>PASS</v>
      </c>
    </row>
    <row r="282" customFormat="false" ht="15" hidden="false" customHeight="false" outlineLevel="0" collapsed="false">
      <c r="A282" s="14" t="s">
        <v>1021</v>
      </c>
      <c r="B282" s="14" t="s">
        <v>1019</v>
      </c>
      <c r="C282" s="14" t="s">
        <v>160</v>
      </c>
      <c r="D282" s="14" t="s">
        <v>182</v>
      </c>
      <c r="E282" s="14" t="s">
        <v>166</v>
      </c>
      <c r="F282" s="14" t="s">
        <v>183</v>
      </c>
      <c r="G282" s="14" t="n">
        <v>1</v>
      </c>
      <c r="H282" s="14" t="s">
        <v>154</v>
      </c>
      <c r="I282" s="14" t="s">
        <v>899</v>
      </c>
      <c r="J282" s="15" t="n">
        <f aca="false">IF(B282="SITE LOSS",IF(D282=C282,1,0),IF(B282="REGION LOSS",IF(E282=C282,1,0),0))</f>
        <v>0</v>
      </c>
      <c r="K282" s="15" t="n">
        <f aca="false">IF(B282="SITE LOSS",IF(COUNTIFS('Site Dockets'!$B$7:$B$24,C282,'Site Dockets'!$C$7:$C$24,F282)&gt;0,1,0),IF(B282="REGION LOSS",IF(COUNTIFS('Site Dockets'!$E$7:$E$24,C282,'Site Dockets'!$C$7:$C$24,F282)&gt;0,1,0),0))</f>
        <v>0</v>
      </c>
      <c r="L282" s="15" t="n">
        <f aca="false">IF(J282=1,0,Inputs!$B$11)</f>
        <v>100</v>
      </c>
      <c r="M282" s="15" t="n">
        <f aca="false">IF(J282=1,0,Inputs!$B$12)</f>
        <v>75</v>
      </c>
      <c r="N282" s="15" t="n">
        <f aca="false">IF(J282=1,0,IF(OR(AND(OR(B282="SITE LOSS",B282="REGION LOSS"),K282=1),AND(B282="ROLE COMPROMISE",H282=C282)),Inputs!$B$13,Inputs!$B$14))</f>
        <v>10</v>
      </c>
      <c r="O282" s="15" t="n">
        <f aca="false">IF(J282=1,0,Inputs!$B$13)</f>
        <v>20</v>
      </c>
      <c r="P282" s="15" t="n">
        <f aca="false">SUM(M282:N282)</f>
        <v>85</v>
      </c>
      <c r="Q282" s="15" t="n">
        <f aca="false">IF(J282=1,"",L282-P282)</f>
        <v>15</v>
      </c>
      <c r="R282" s="15" t="n">
        <f aca="false">IF(OR(J282=1,M282&lt;=Inputs!$B$12),1,0)</f>
        <v>1</v>
      </c>
      <c r="S282" s="15" t="n">
        <f aca="false">IF(OR(J282=1,N282&lt;=O282),1,0)</f>
        <v>1</v>
      </c>
      <c r="T282" s="15" t="str">
        <f aca="false">IF(J282=1,"OFFLINE",IF(AND(Q282&gt;=Inputs!$B$15,R282=1,S282=1,P282&lt;=L282),"PASS","FAIL"))</f>
        <v>PASS</v>
      </c>
    </row>
    <row r="283" customFormat="false" ht="15" hidden="false" customHeight="false" outlineLevel="0" collapsed="false">
      <c r="A283" s="14" t="s">
        <v>1021</v>
      </c>
      <c r="B283" s="14" t="s">
        <v>1019</v>
      </c>
      <c r="C283" s="14" t="s">
        <v>160</v>
      </c>
      <c r="D283" s="14" t="s">
        <v>186</v>
      </c>
      <c r="E283" s="14" t="s">
        <v>157</v>
      </c>
      <c r="F283" s="14" t="s">
        <v>183</v>
      </c>
      <c r="G283" s="14" t="n">
        <v>2</v>
      </c>
      <c r="H283" s="14" t="s">
        <v>153</v>
      </c>
      <c r="I283" s="14" t="s">
        <v>890</v>
      </c>
      <c r="J283" s="15" t="n">
        <f aca="false">IF(B283="SITE LOSS",IF(D283=C283,1,0),IF(B283="REGION LOSS",IF(E283=C283,1,0),0))</f>
        <v>0</v>
      </c>
      <c r="K283" s="15" t="n">
        <f aca="false">IF(B283="SITE LOSS",IF(COUNTIFS('Site Dockets'!$B$7:$B$24,C283,'Site Dockets'!$C$7:$C$24,F283)&gt;0,1,0),IF(B283="REGION LOSS",IF(COUNTIFS('Site Dockets'!$E$7:$E$24,C283,'Site Dockets'!$C$7:$C$24,F283)&gt;0,1,0),0))</f>
        <v>0</v>
      </c>
      <c r="L283" s="15" t="n">
        <f aca="false">IF(J283=1,0,Inputs!$B$11)</f>
        <v>100</v>
      </c>
      <c r="M283" s="15" t="n">
        <f aca="false">IF(J283=1,0,Inputs!$B$12)</f>
        <v>75</v>
      </c>
      <c r="N283" s="15" t="n">
        <f aca="false">IF(J283=1,0,IF(OR(AND(OR(B283="SITE LOSS",B283="REGION LOSS"),K283=1),AND(B283="ROLE COMPROMISE",H283=C283)),Inputs!$B$13,Inputs!$B$14))</f>
        <v>10</v>
      </c>
      <c r="O283" s="15" t="n">
        <f aca="false">IF(J283=1,0,Inputs!$B$13)</f>
        <v>20</v>
      </c>
      <c r="P283" s="15" t="n">
        <f aca="false">SUM(M283:N283)</f>
        <v>85</v>
      </c>
      <c r="Q283" s="15" t="n">
        <f aca="false">IF(J283=1,"",L283-P283)</f>
        <v>15</v>
      </c>
      <c r="R283" s="15" t="n">
        <f aca="false">IF(OR(J283=1,M283&lt;=Inputs!$B$12),1,0)</f>
        <v>1</v>
      </c>
      <c r="S283" s="15" t="n">
        <f aca="false">IF(OR(J283=1,N283&lt;=O283),1,0)</f>
        <v>1</v>
      </c>
      <c r="T283" s="15" t="str">
        <f aca="false">IF(J283=1,"OFFLINE",IF(AND(Q283&gt;=Inputs!$B$15,R283=1,S283=1,P283&lt;=L283),"PASS","FAIL"))</f>
        <v>PASS</v>
      </c>
    </row>
    <row r="284" customFormat="false" ht="15" hidden="false" customHeight="false" outlineLevel="0" collapsed="false">
      <c r="A284" s="14" t="s">
        <v>1021</v>
      </c>
      <c r="B284" s="14" t="s">
        <v>1019</v>
      </c>
      <c r="C284" s="14" t="s">
        <v>160</v>
      </c>
      <c r="D284" s="14" t="s">
        <v>186</v>
      </c>
      <c r="E284" s="14" t="s">
        <v>157</v>
      </c>
      <c r="F284" s="14" t="s">
        <v>183</v>
      </c>
      <c r="G284" s="14" t="n">
        <v>2</v>
      </c>
      <c r="H284" s="14" t="s">
        <v>153</v>
      </c>
      <c r="I284" s="14" t="s">
        <v>892</v>
      </c>
      <c r="J284" s="15" t="n">
        <f aca="false">IF(B284="SITE LOSS",IF(D284=C284,1,0),IF(B284="REGION LOSS",IF(E284=C284,1,0),0))</f>
        <v>0</v>
      </c>
      <c r="K284" s="15" t="n">
        <f aca="false">IF(B284="SITE LOSS",IF(COUNTIFS('Site Dockets'!$B$7:$B$24,C284,'Site Dockets'!$C$7:$C$24,F284)&gt;0,1,0),IF(B284="REGION LOSS",IF(COUNTIFS('Site Dockets'!$E$7:$E$24,C284,'Site Dockets'!$C$7:$C$24,F284)&gt;0,1,0),0))</f>
        <v>0</v>
      </c>
      <c r="L284" s="15" t="n">
        <f aca="false">IF(J284=1,0,Inputs!$B$11)</f>
        <v>100</v>
      </c>
      <c r="M284" s="15" t="n">
        <f aca="false">IF(J284=1,0,Inputs!$B$12)</f>
        <v>75</v>
      </c>
      <c r="N284" s="15" t="n">
        <f aca="false">IF(J284=1,0,IF(OR(AND(OR(B284="SITE LOSS",B284="REGION LOSS"),K284=1),AND(B284="ROLE COMPROMISE",H284=C284)),Inputs!$B$13,Inputs!$B$14))</f>
        <v>10</v>
      </c>
      <c r="O284" s="15" t="n">
        <f aca="false">IF(J284=1,0,Inputs!$B$13)</f>
        <v>20</v>
      </c>
      <c r="P284" s="15" t="n">
        <f aca="false">SUM(M284:N284)</f>
        <v>85</v>
      </c>
      <c r="Q284" s="15" t="n">
        <f aca="false">IF(J284=1,"",L284-P284)</f>
        <v>15</v>
      </c>
      <c r="R284" s="15" t="n">
        <f aca="false">IF(OR(J284=1,M284&lt;=Inputs!$B$12),1,0)</f>
        <v>1</v>
      </c>
      <c r="S284" s="15" t="n">
        <f aca="false">IF(OR(J284=1,N284&lt;=O284),1,0)</f>
        <v>1</v>
      </c>
      <c r="T284" s="15" t="str">
        <f aca="false">IF(J284=1,"OFFLINE",IF(AND(Q284&gt;=Inputs!$B$15,R284=1,S284=1,P284&lt;=L284),"PASS","FAIL"))</f>
        <v>PASS</v>
      </c>
    </row>
    <row r="285" customFormat="false" ht="15" hidden="false" customHeight="false" outlineLevel="0" collapsed="false">
      <c r="A285" s="14" t="s">
        <v>1021</v>
      </c>
      <c r="B285" s="14" t="s">
        <v>1019</v>
      </c>
      <c r="C285" s="14" t="s">
        <v>160</v>
      </c>
      <c r="D285" s="14" t="s">
        <v>186</v>
      </c>
      <c r="E285" s="14" t="s">
        <v>157</v>
      </c>
      <c r="F285" s="14" t="s">
        <v>183</v>
      </c>
      <c r="G285" s="14" t="n">
        <v>2</v>
      </c>
      <c r="H285" s="14" t="s">
        <v>153</v>
      </c>
      <c r="I285" s="14" t="s">
        <v>811</v>
      </c>
      <c r="J285" s="15" t="n">
        <f aca="false">IF(B285="SITE LOSS",IF(D285=C285,1,0),IF(B285="REGION LOSS",IF(E285=C285,1,0),0))</f>
        <v>0</v>
      </c>
      <c r="K285" s="15" t="n">
        <f aca="false">IF(B285="SITE LOSS",IF(COUNTIFS('Site Dockets'!$B$7:$B$24,C285,'Site Dockets'!$C$7:$C$24,F285)&gt;0,1,0),IF(B285="REGION LOSS",IF(COUNTIFS('Site Dockets'!$E$7:$E$24,C285,'Site Dockets'!$C$7:$C$24,F285)&gt;0,1,0),0))</f>
        <v>0</v>
      </c>
      <c r="L285" s="15" t="n">
        <f aca="false">IF(J285=1,0,Inputs!$B$11)</f>
        <v>100</v>
      </c>
      <c r="M285" s="15" t="n">
        <f aca="false">IF(J285=1,0,Inputs!$B$12)</f>
        <v>75</v>
      </c>
      <c r="N285" s="15" t="n">
        <f aca="false">IF(J285=1,0,IF(OR(AND(OR(B285="SITE LOSS",B285="REGION LOSS"),K285=1),AND(B285="ROLE COMPROMISE",H285=C285)),Inputs!$B$13,Inputs!$B$14))</f>
        <v>10</v>
      </c>
      <c r="O285" s="15" t="n">
        <f aca="false">IF(J285=1,0,Inputs!$B$13)</f>
        <v>20</v>
      </c>
      <c r="P285" s="15" t="n">
        <f aca="false">SUM(M285:N285)</f>
        <v>85</v>
      </c>
      <c r="Q285" s="15" t="n">
        <f aca="false">IF(J285=1,"",L285-P285)</f>
        <v>15</v>
      </c>
      <c r="R285" s="15" t="n">
        <f aca="false">IF(OR(J285=1,M285&lt;=Inputs!$B$12),1,0)</f>
        <v>1</v>
      </c>
      <c r="S285" s="15" t="n">
        <f aca="false">IF(OR(J285=1,N285&lt;=O285),1,0)</f>
        <v>1</v>
      </c>
      <c r="T285" s="15" t="str">
        <f aca="false">IF(J285=1,"OFFLINE",IF(AND(Q285&gt;=Inputs!$B$15,R285=1,S285=1,P285&lt;=L285),"PASS","FAIL"))</f>
        <v>PASS</v>
      </c>
    </row>
    <row r="286" customFormat="false" ht="15" hidden="false" customHeight="false" outlineLevel="0" collapsed="false">
      <c r="A286" s="14" t="s">
        <v>1021</v>
      </c>
      <c r="B286" s="14" t="s">
        <v>1019</v>
      </c>
      <c r="C286" s="14" t="s">
        <v>160</v>
      </c>
      <c r="D286" s="14" t="s">
        <v>186</v>
      </c>
      <c r="E286" s="14" t="s">
        <v>157</v>
      </c>
      <c r="F286" s="14" t="s">
        <v>183</v>
      </c>
      <c r="G286" s="14" t="n">
        <v>2</v>
      </c>
      <c r="H286" s="14" t="s">
        <v>153</v>
      </c>
      <c r="I286" s="14" t="s">
        <v>895</v>
      </c>
      <c r="J286" s="15" t="n">
        <f aca="false">IF(B286="SITE LOSS",IF(D286=C286,1,0),IF(B286="REGION LOSS",IF(E286=C286,1,0),0))</f>
        <v>0</v>
      </c>
      <c r="K286" s="15" t="n">
        <f aca="false">IF(B286="SITE LOSS",IF(COUNTIFS('Site Dockets'!$B$7:$B$24,C286,'Site Dockets'!$C$7:$C$24,F286)&gt;0,1,0),IF(B286="REGION LOSS",IF(COUNTIFS('Site Dockets'!$E$7:$E$24,C286,'Site Dockets'!$C$7:$C$24,F286)&gt;0,1,0),0))</f>
        <v>0</v>
      </c>
      <c r="L286" s="15" t="n">
        <f aca="false">IF(J286=1,0,Inputs!$B$11)</f>
        <v>100</v>
      </c>
      <c r="M286" s="15" t="n">
        <f aca="false">IF(J286=1,0,Inputs!$B$12)</f>
        <v>75</v>
      </c>
      <c r="N286" s="15" t="n">
        <f aca="false">IF(J286=1,0,IF(OR(AND(OR(B286="SITE LOSS",B286="REGION LOSS"),K286=1),AND(B286="ROLE COMPROMISE",H286=C286)),Inputs!$B$13,Inputs!$B$14))</f>
        <v>10</v>
      </c>
      <c r="O286" s="15" t="n">
        <f aca="false">IF(J286=1,0,Inputs!$B$13)</f>
        <v>20</v>
      </c>
      <c r="P286" s="15" t="n">
        <f aca="false">SUM(M286:N286)</f>
        <v>85</v>
      </c>
      <c r="Q286" s="15" t="n">
        <f aca="false">IF(J286=1,"",L286-P286)</f>
        <v>15</v>
      </c>
      <c r="R286" s="15" t="n">
        <f aca="false">IF(OR(J286=1,M286&lt;=Inputs!$B$12),1,0)</f>
        <v>1</v>
      </c>
      <c r="S286" s="15" t="n">
        <f aca="false">IF(OR(J286=1,N286&lt;=O286),1,0)</f>
        <v>1</v>
      </c>
      <c r="T286" s="15" t="str">
        <f aca="false">IF(J286=1,"OFFLINE",IF(AND(Q286&gt;=Inputs!$B$15,R286=1,S286=1,P286&lt;=L286),"PASS","FAIL"))</f>
        <v>PASS</v>
      </c>
    </row>
    <row r="287" customFormat="false" ht="15" hidden="false" customHeight="false" outlineLevel="0" collapsed="false">
      <c r="A287" s="14" t="s">
        <v>1021</v>
      </c>
      <c r="B287" s="14" t="s">
        <v>1019</v>
      </c>
      <c r="C287" s="14" t="s">
        <v>160</v>
      </c>
      <c r="D287" s="14" t="s">
        <v>186</v>
      </c>
      <c r="E287" s="14" t="s">
        <v>157</v>
      </c>
      <c r="F287" s="14" t="s">
        <v>183</v>
      </c>
      <c r="G287" s="14" t="n">
        <v>2</v>
      </c>
      <c r="H287" s="14" t="s">
        <v>153</v>
      </c>
      <c r="I287" s="14" t="s">
        <v>897</v>
      </c>
      <c r="J287" s="15" t="n">
        <f aca="false">IF(B287="SITE LOSS",IF(D287=C287,1,0),IF(B287="REGION LOSS",IF(E287=C287,1,0),0))</f>
        <v>0</v>
      </c>
      <c r="K287" s="15" t="n">
        <f aca="false">IF(B287="SITE LOSS",IF(COUNTIFS('Site Dockets'!$B$7:$B$24,C287,'Site Dockets'!$C$7:$C$24,F287)&gt;0,1,0),IF(B287="REGION LOSS",IF(COUNTIFS('Site Dockets'!$E$7:$E$24,C287,'Site Dockets'!$C$7:$C$24,F287)&gt;0,1,0),0))</f>
        <v>0</v>
      </c>
      <c r="L287" s="15" t="n">
        <f aca="false">IF(J287=1,0,Inputs!$B$11)</f>
        <v>100</v>
      </c>
      <c r="M287" s="15" t="n">
        <f aca="false">IF(J287=1,0,Inputs!$B$12)</f>
        <v>75</v>
      </c>
      <c r="N287" s="15" t="n">
        <f aca="false">IF(J287=1,0,IF(OR(AND(OR(B287="SITE LOSS",B287="REGION LOSS"),K287=1),AND(B287="ROLE COMPROMISE",H287=C287)),Inputs!$B$13,Inputs!$B$14))</f>
        <v>10</v>
      </c>
      <c r="O287" s="15" t="n">
        <f aca="false">IF(J287=1,0,Inputs!$B$13)</f>
        <v>20</v>
      </c>
      <c r="P287" s="15" t="n">
        <f aca="false">SUM(M287:N287)</f>
        <v>85</v>
      </c>
      <c r="Q287" s="15" t="n">
        <f aca="false">IF(J287=1,"",L287-P287)</f>
        <v>15</v>
      </c>
      <c r="R287" s="15" t="n">
        <f aca="false">IF(OR(J287=1,M287&lt;=Inputs!$B$12),1,0)</f>
        <v>1</v>
      </c>
      <c r="S287" s="15" t="n">
        <f aca="false">IF(OR(J287=1,N287&lt;=O287),1,0)</f>
        <v>1</v>
      </c>
      <c r="T287" s="15" t="str">
        <f aca="false">IF(J287=1,"OFFLINE",IF(AND(Q287&gt;=Inputs!$B$15,R287=1,S287=1,P287&lt;=L287),"PASS","FAIL"))</f>
        <v>PASS</v>
      </c>
    </row>
    <row r="288" customFormat="false" ht="15" hidden="false" customHeight="false" outlineLevel="0" collapsed="false">
      <c r="A288" s="14" t="s">
        <v>1021</v>
      </c>
      <c r="B288" s="14" t="s">
        <v>1019</v>
      </c>
      <c r="C288" s="14" t="s">
        <v>160</v>
      </c>
      <c r="D288" s="14" t="s">
        <v>186</v>
      </c>
      <c r="E288" s="14" t="s">
        <v>157</v>
      </c>
      <c r="F288" s="14" t="s">
        <v>183</v>
      </c>
      <c r="G288" s="14" t="n">
        <v>2</v>
      </c>
      <c r="H288" s="14" t="s">
        <v>153</v>
      </c>
      <c r="I288" s="14" t="s">
        <v>899</v>
      </c>
      <c r="J288" s="15" t="n">
        <f aca="false">IF(B288="SITE LOSS",IF(D288=C288,1,0),IF(B288="REGION LOSS",IF(E288=C288,1,0),0))</f>
        <v>0</v>
      </c>
      <c r="K288" s="15" t="n">
        <f aca="false">IF(B288="SITE LOSS",IF(COUNTIFS('Site Dockets'!$B$7:$B$24,C288,'Site Dockets'!$C$7:$C$24,F288)&gt;0,1,0),IF(B288="REGION LOSS",IF(COUNTIFS('Site Dockets'!$E$7:$E$24,C288,'Site Dockets'!$C$7:$C$24,F288)&gt;0,1,0),0))</f>
        <v>0</v>
      </c>
      <c r="L288" s="15" t="n">
        <f aca="false">IF(J288=1,0,Inputs!$B$11)</f>
        <v>100</v>
      </c>
      <c r="M288" s="15" t="n">
        <f aca="false">IF(J288=1,0,Inputs!$B$12)</f>
        <v>75</v>
      </c>
      <c r="N288" s="15" t="n">
        <f aca="false">IF(J288=1,0,IF(OR(AND(OR(B288="SITE LOSS",B288="REGION LOSS"),K288=1),AND(B288="ROLE COMPROMISE",H288=C288)),Inputs!$B$13,Inputs!$B$14))</f>
        <v>10</v>
      </c>
      <c r="O288" s="15" t="n">
        <f aca="false">IF(J288=1,0,Inputs!$B$13)</f>
        <v>20</v>
      </c>
      <c r="P288" s="15" t="n">
        <f aca="false">SUM(M288:N288)</f>
        <v>85</v>
      </c>
      <c r="Q288" s="15" t="n">
        <f aca="false">IF(J288=1,"",L288-P288)</f>
        <v>15</v>
      </c>
      <c r="R288" s="15" t="n">
        <f aca="false">IF(OR(J288=1,M288&lt;=Inputs!$B$12),1,0)</f>
        <v>1</v>
      </c>
      <c r="S288" s="15" t="n">
        <f aca="false">IF(OR(J288=1,N288&lt;=O288),1,0)</f>
        <v>1</v>
      </c>
      <c r="T288" s="15" t="str">
        <f aca="false">IF(J288=1,"OFFLINE",IF(AND(Q288&gt;=Inputs!$B$15,R288=1,S288=1,P288&lt;=L288),"PASS","FAIL"))</f>
        <v>PASS</v>
      </c>
    </row>
    <row r="289" customFormat="false" ht="15" hidden="false" customHeight="false" outlineLevel="0" collapsed="false">
      <c r="A289" s="14" t="s">
        <v>1021</v>
      </c>
      <c r="B289" s="14" t="s">
        <v>1019</v>
      </c>
      <c r="C289" s="14" t="s">
        <v>160</v>
      </c>
      <c r="D289" s="14" t="s">
        <v>188</v>
      </c>
      <c r="E289" s="14" t="s">
        <v>172</v>
      </c>
      <c r="F289" s="14" t="s">
        <v>183</v>
      </c>
      <c r="G289" s="14" t="n">
        <v>3</v>
      </c>
      <c r="H289" s="14" t="s">
        <v>158</v>
      </c>
      <c r="I289" s="14" t="s">
        <v>890</v>
      </c>
      <c r="J289" s="15" t="n">
        <f aca="false">IF(B289="SITE LOSS",IF(D289=C289,1,0),IF(B289="REGION LOSS",IF(E289=C289,1,0),0))</f>
        <v>0</v>
      </c>
      <c r="K289" s="15" t="n">
        <f aca="false">IF(B289="SITE LOSS",IF(COUNTIFS('Site Dockets'!$B$7:$B$24,C289,'Site Dockets'!$C$7:$C$24,F289)&gt;0,1,0),IF(B289="REGION LOSS",IF(COUNTIFS('Site Dockets'!$E$7:$E$24,C289,'Site Dockets'!$C$7:$C$24,F289)&gt;0,1,0),0))</f>
        <v>0</v>
      </c>
      <c r="L289" s="15" t="n">
        <f aca="false">IF(J289=1,0,Inputs!$B$11)</f>
        <v>100</v>
      </c>
      <c r="M289" s="15" t="n">
        <f aca="false">IF(J289=1,0,Inputs!$B$12)</f>
        <v>75</v>
      </c>
      <c r="N289" s="15" t="n">
        <f aca="false">IF(J289=1,0,IF(OR(AND(OR(B289="SITE LOSS",B289="REGION LOSS"),K289=1),AND(B289="ROLE COMPROMISE",H289=C289)),Inputs!$B$13,Inputs!$B$14))</f>
        <v>10</v>
      </c>
      <c r="O289" s="15" t="n">
        <f aca="false">IF(J289=1,0,Inputs!$B$13)</f>
        <v>20</v>
      </c>
      <c r="P289" s="15" t="n">
        <f aca="false">SUM(M289:N289)</f>
        <v>85</v>
      </c>
      <c r="Q289" s="15" t="n">
        <f aca="false">IF(J289=1,"",L289-P289)</f>
        <v>15</v>
      </c>
      <c r="R289" s="15" t="n">
        <f aca="false">IF(OR(J289=1,M289&lt;=Inputs!$B$12),1,0)</f>
        <v>1</v>
      </c>
      <c r="S289" s="15" t="n">
        <f aca="false">IF(OR(J289=1,N289&lt;=O289),1,0)</f>
        <v>1</v>
      </c>
      <c r="T289" s="15" t="str">
        <f aca="false">IF(J289=1,"OFFLINE",IF(AND(Q289&gt;=Inputs!$B$15,R289=1,S289=1,P289&lt;=L289),"PASS","FAIL"))</f>
        <v>PASS</v>
      </c>
    </row>
    <row r="290" customFormat="false" ht="15" hidden="false" customHeight="false" outlineLevel="0" collapsed="false">
      <c r="A290" s="14" t="s">
        <v>1021</v>
      </c>
      <c r="B290" s="14" t="s">
        <v>1019</v>
      </c>
      <c r="C290" s="14" t="s">
        <v>160</v>
      </c>
      <c r="D290" s="14" t="s">
        <v>188</v>
      </c>
      <c r="E290" s="14" t="s">
        <v>172</v>
      </c>
      <c r="F290" s="14" t="s">
        <v>183</v>
      </c>
      <c r="G290" s="14" t="n">
        <v>3</v>
      </c>
      <c r="H290" s="14" t="s">
        <v>158</v>
      </c>
      <c r="I290" s="14" t="s">
        <v>892</v>
      </c>
      <c r="J290" s="15" t="n">
        <f aca="false">IF(B290="SITE LOSS",IF(D290=C290,1,0),IF(B290="REGION LOSS",IF(E290=C290,1,0),0))</f>
        <v>0</v>
      </c>
      <c r="K290" s="15" t="n">
        <f aca="false">IF(B290="SITE LOSS",IF(COUNTIFS('Site Dockets'!$B$7:$B$24,C290,'Site Dockets'!$C$7:$C$24,F290)&gt;0,1,0),IF(B290="REGION LOSS",IF(COUNTIFS('Site Dockets'!$E$7:$E$24,C290,'Site Dockets'!$C$7:$C$24,F290)&gt;0,1,0),0))</f>
        <v>0</v>
      </c>
      <c r="L290" s="15" t="n">
        <f aca="false">IF(J290=1,0,Inputs!$B$11)</f>
        <v>100</v>
      </c>
      <c r="M290" s="15" t="n">
        <f aca="false">IF(J290=1,0,Inputs!$B$12)</f>
        <v>75</v>
      </c>
      <c r="N290" s="15" t="n">
        <f aca="false">IF(J290=1,0,IF(OR(AND(OR(B290="SITE LOSS",B290="REGION LOSS"),K290=1),AND(B290="ROLE COMPROMISE",H290=C290)),Inputs!$B$13,Inputs!$B$14))</f>
        <v>10</v>
      </c>
      <c r="O290" s="15" t="n">
        <f aca="false">IF(J290=1,0,Inputs!$B$13)</f>
        <v>20</v>
      </c>
      <c r="P290" s="15" t="n">
        <f aca="false">SUM(M290:N290)</f>
        <v>85</v>
      </c>
      <c r="Q290" s="15" t="n">
        <f aca="false">IF(J290=1,"",L290-P290)</f>
        <v>15</v>
      </c>
      <c r="R290" s="15" t="n">
        <f aca="false">IF(OR(J290=1,M290&lt;=Inputs!$B$12),1,0)</f>
        <v>1</v>
      </c>
      <c r="S290" s="15" t="n">
        <f aca="false">IF(OR(J290=1,N290&lt;=O290),1,0)</f>
        <v>1</v>
      </c>
      <c r="T290" s="15" t="str">
        <f aca="false">IF(J290=1,"OFFLINE",IF(AND(Q290&gt;=Inputs!$B$15,R290=1,S290=1,P290&lt;=L290),"PASS","FAIL"))</f>
        <v>PASS</v>
      </c>
    </row>
    <row r="291" customFormat="false" ht="15" hidden="false" customHeight="false" outlineLevel="0" collapsed="false">
      <c r="A291" s="14" t="s">
        <v>1021</v>
      </c>
      <c r="B291" s="14" t="s">
        <v>1019</v>
      </c>
      <c r="C291" s="14" t="s">
        <v>160</v>
      </c>
      <c r="D291" s="14" t="s">
        <v>188</v>
      </c>
      <c r="E291" s="14" t="s">
        <v>172</v>
      </c>
      <c r="F291" s="14" t="s">
        <v>183</v>
      </c>
      <c r="G291" s="14" t="n">
        <v>3</v>
      </c>
      <c r="H291" s="14" t="s">
        <v>158</v>
      </c>
      <c r="I291" s="14" t="s">
        <v>811</v>
      </c>
      <c r="J291" s="15" t="n">
        <f aca="false">IF(B291="SITE LOSS",IF(D291=C291,1,0),IF(B291="REGION LOSS",IF(E291=C291,1,0),0))</f>
        <v>0</v>
      </c>
      <c r="K291" s="15" t="n">
        <f aca="false">IF(B291="SITE LOSS",IF(COUNTIFS('Site Dockets'!$B$7:$B$24,C291,'Site Dockets'!$C$7:$C$24,F291)&gt;0,1,0),IF(B291="REGION LOSS",IF(COUNTIFS('Site Dockets'!$E$7:$E$24,C291,'Site Dockets'!$C$7:$C$24,F291)&gt;0,1,0),0))</f>
        <v>0</v>
      </c>
      <c r="L291" s="15" t="n">
        <f aca="false">IF(J291=1,0,Inputs!$B$11)</f>
        <v>100</v>
      </c>
      <c r="M291" s="15" t="n">
        <f aca="false">IF(J291=1,0,Inputs!$B$12)</f>
        <v>75</v>
      </c>
      <c r="N291" s="15" t="n">
        <f aca="false">IF(J291=1,0,IF(OR(AND(OR(B291="SITE LOSS",B291="REGION LOSS"),K291=1),AND(B291="ROLE COMPROMISE",H291=C291)),Inputs!$B$13,Inputs!$B$14))</f>
        <v>10</v>
      </c>
      <c r="O291" s="15" t="n">
        <f aca="false">IF(J291=1,0,Inputs!$B$13)</f>
        <v>20</v>
      </c>
      <c r="P291" s="15" t="n">
        <f aca="false">SUM(M291:N291)</f>
        <v>85</v>
      </c>
      <c r="Q291" s="15" t="n">
        <f aca="false">IF(J291=1,"",L291-P291)</f>
        <v>15</v>
      </c>
      <c r="R291" s="15" t="n">
        <f aca="false">IF(OR(J291=1,M291&lt;=Inputs!$B$12),1,0)</f>
        <v>1</v>
      </c>
      <c r="S291" s="15" t="n">
        <f aca="false">IF(OR(J291=1,N291&lt;=O291),1,0)</f>
        <v>1</v>
      </c>
      <c r="T291" s="15" t="str">
        <f aca="false">IF(J291=1,"OFFLINE",IF(AND(Q291&gt;=Inputs!$B$15,R291=1,S291=1,P291&lt;=L291),"PASS","FAIL"))</f>
        <v>PASS</v>
      </c>
    </row>
    <row r="292" customFormat="false" ht="15" hidden="false" customHeight="false" outlineLevel="0" collapsed="false">
      <c r="A292" s="14" t="s">
        <v>1021</v>
      </c>
      <c r="B292" s="14" t="s">
        <v>1019</v>
      </c>
      <c r="C292" s="14" t="s">
        <v>160</v>
      </c>
      <c r="D292" s="14" t="s">
        <v>188</v>
      </c>
      <c r="E292" s="14" t="s">
        <v>172</v>
      </c>
      <c r="F292" s="14" t="s">
        <v>183</v>
      </c>
      <c r="G292" s="14" t="n">
        <v>3</v>
      </c>
      <c r="H292" s="14" t="s">
        <v>158</v>
      </c>
      <c r="I292" s="14" t="s">
        <v>895</v>
      </c>
      <c r="J292" s="15" t="n">
        <f aca="false">IF(B292="SITE LOSS",IF(D292=C292,1,0),IF(B292="REGION LOSS",IF(E292=C292,1,0),0))</f>
        <v>0</v>
      </c>
      <c r="K292" s="15" t="n">
        <f aca="false">IF(B292="SITE LOSS",IF(COUNTIFS('Site Dockets'!$B$7:$B$24,C292,'Site Dockets'!$C$7:$C$24,F292)&gt;0,1,0),IF(B292="REGION LOSS",IF(COUNTIFS('Site Dockets'!$E$7:$E$24,C292,'Site Dockets'!$C$7:$C$24,F292)&gt;0,1,0),0))</f>
        <v>0</v>
      </c>
      <c r="L292" s="15" t="n">
        <f aca="false">IF(J292=1,0,Inputs!$B$11)</f>
        <v>100</v>
      </c>
      <c r="M292" s="15" t="n">
        <f aca="false">IF(J292=1,0,Inputs!$B$12)</f>
        <v>75</v>
      </c>
      <c r="N292" s="15" t="n">
        <f aca="false">IF(J292=1,0,IF(OR(AND(OR(B292="SITE LOSS",B292="REGION LOSS"),K292=1),AND(B292="ROLE COMPROMISE",H292=C292)),Inputs!$B$13,Inputs!$B$14))</f>
        <v>10</v>
      </c>
      <c r="O292" s="15" t="n">
        <f aca="false">IF(J292=1,0,Inputs!$B$13)</f>
        <v>20</v>
      </c>
      <c r="P292" s="15" t="n">
        <f aca="false">SUM(M292:N292)</f>
        <v>85</v>
      </c>
      <c r="Q292" s="15" t="n">
        <f aca="false">IF(J292=1,"",L292-P292)</f>
        <v>15</v>
      </c>
      <c r="R292" s="15" t="n">
        <f aca="false">IF(OR(J292=1,M292&lt;=Inputs!$B$12),1,0)</f>
        <v>1</v>
      </c>
      <c r="S292" s="15" t="n">
        <f aca="false">IF(OR(J292=1,N292&lt;=O292),1,0)</f>
        <v>1</v>
      </c>
      <c r="T292" s="15" t="str">
        <f aca="false">IF(J292=1,"OFFLINE",IF(AND(Q292&gt;=Inputs!$B$15,R292=1,S292=1,P292&lt;=L292),"PASS","FAIL"))</f>
        <v>PASS</v>
      </c>
    </row>
    <row r="293" customFormat="false" ht="15" hidden="false" customHeight="false" outlineLevel="0" collapsed="false">
      <c r="A293" s="14" t="s">
        <v>1021</v>
      </c>
      <c r="B293" s="14" t="s">
        <v>1019</v>
      </c>
      <c r="C293" s="14" t="s">
        <v>160</v>
      </c>
      <c r="D293" s="14" t="s">
        <v>188</v>
      </c>
      <c r="E293" s="14" t="s">
        <v>172</v>
      </c>
      <c r="F293" s="14" t="s">
        <v>183</v>
      </c>
      <c r="G293" s="14" t="n">
        <v>3</v>
      </c>
      <c r="H293" s="14" t="s">
        <v>158</v>
      </c>
      <c r="I293" s="14" t="s">
        <v>897</v>
      </c>
      <c r="J293" s="15" t="n">
        <f aca="false">IF(B293="SITE LOSS",IF(D293=C293,1,0),IF(B293="REGION LOSS",IF(E293=C293,1,0),0))</f>
        <v>0</v>
      </c>
      <c r="K293" s="15" t="n">
        <f aca="false">IF(B293="SITE LOSS",IF(COUNTIFS('Site Dockets'!$B$7:$B$24,C293,'Site Dockets'!$C$7:$C$24,F293)&gt;0,1,0),IF(B293="REGION LOSS",IF(COUNTIFS('Site Dockets'!$E$7:$E$24,C293,'Site Dockets'!$C$7:$C$24,F293)&gt;0,1,0),0))</f>
        <v>0</v>
      </c>
      <c r="L293" s="15" t="n">
        <f aca="false">IF(J293=1,0,Inputs!$B$11)</f>
        <v>100</v>
      </c>
      <c r="M293" s="15" t="n">
        <f aca="false">IF(J293=1,0,Inputs!$B$12)</f>
        <v>75</v>
      </c>
      <c r="N293" s="15" t="n">
        <f aca="false">IF(J293=1,0,IF(OR(AND(OR(B293="SITE LOSS",B293="REGION LOSS"),K293=1),AND(B293="ROLE COMPROMISE",H293=C293)),Inputs!$B$13,Inputs!$B$14))</f>
        <v>10</v>
      </c>
      <c r="O293" s="15" t="n">
        <f aca="false">IF(J293=1,0,Inputs!$B$13)</f>
        <v>20</v>
      </c>
      <c r="P293" s="15" t="n">
        <f aca="false">SUM(M293:N293)</f>
        <v>85</v>
      </c>
      <c r="Q293" s="15" t="n">
        <f aca="false">IF(J293=1,"",L293-P293)</f>
        <v>15</v>
      </c>
      <c r="R293" s="15" t="n">
        <f aca="false">IF(OR(J293=1,M293&lt;=Inputs!$B$12),1,0)</f>
        <v>1</v>
      </c>
      <c r="S293" s="15" t="n">
        <f aca="false">IF(OR(J293=1,N293&lt;=O293),1,0)</f>
        <v>1</v>
      </c>
      <c r="T293" s="15" t="str">
        <f aca="false">IF(J293=1,"OFFLINE",IF(AND(Q293&gt;=Inputs!$B$15,R293=1,S293=1,P293&lt;=L293),"PASS","FAIL"))</f>
        <v>PASS</v>
      </c>
    </row>
    <row r="294" customFormat="false" ht="15" hidden="false" customHeight="false" outlineLevel="0" collapsed="false">
      <c r="A294" s="14" t="s">
        <v>1021</v>
      </c>
      <c r="B294" s="14" t="s">
        <v>1019</v>
      </c>
      <c r="C294" s="14" t="s">
        <v>160</v>
      </c>
      <c r="D294" s="14" t="s">
        <v>188</v>
      </c>
      <c r="E294" s="14" t="s">
        <v>172</v>
      </c>
      <c r="F294" s="14" t="s">
        <v>183</v>
      </c>
      <c r="G294" s="14" t="n">
        <v>3</v>
      </c>
      <c r="H294" s="14" t="s">
        <v>158</v>
      </c>
      <c r="I294" s="14" t="s">
        <v>899</v>
      </c>
      <c r="J294" s="15" t="n">
        <f aca="false">IF(B294="SITE LOSS",IF(D294=C294,1,0),IF(B294="REGION LOSS",IF(E294=C294,1,0),0))</f>
        <v>0</v>
      </c>
      <c r="K294" s="15" t="n">
        <f aca="false">IF(B294="SITE LOSS",IF(COUNTIFS('Site Dockets'!$B$7:$B$24,C294,'Site Dockets'!$C$7:$C$24,F294)&gt;0,1,0),IF(B294="REGION LOSS",IF(COUNTIFS('Site Dockets'!$E$7:$E$24,C294,'Site Dockets'!$C$7:$C$24,F294)&gt;0,1,0),0))</f>
        <v>0</v>
      </c>
      <c r="L294" s="15" t="n">
        <f aca="false">IF(J294=1,0,Inputs!$B$11)</f>
        <v>100</v>
      </c>
      <c r="M294" s="15" t="n">
        <f aca="false">IF(J294=1,0,Inputs!$B$12)</f>
        <v>75</v>
      </c>
      <c r="N294" s="15" t="n">
        <f aca="false">IF(J294=1,0,IF(OR(AND(OR(B294="SITE LOSS",B294="REGION LOSS"),K294=1),AND(B294="ROLE COMPROMISE",H294=C294)),Inputs!$B$13,Inputs!$B$14))</f>
        <v>10</v>
      </c>
      <c r="O294" s="15" t="n">
        <f aca="false">IF(J294=1,0,Inputs!$B$13)</f>
        <v>20</v>
      </c>
      <c r="P294" s="15" t="n">
        <f aca="false">SUM(M294:N294)</f>
        <v>85</v>
      </c>
      <c r="Q294" s="15" t="n">
        <f aca="false">IF(J294=1,"",L294-P294)</f>
        <v>15</v>
      </c>
      <c r="R294" s="15" t="n">
        <f aca="false">IF(OR(J294=1,M294&lt;=Inputs!$B$12),1,0)</f>
        <v>1</v>
      </c>
      <c r="S294" s="15" t="n">
        <f aca="false">IF(OR(J294=1,N294&lt;=O294),1,0)</f>
        <v>1</v>
      </c>
      <c r="T294" s="15" t="str">
        <f aca="false">IF(J294=1,"OFFLINE",IF(AND(Q294&gt;=Inputs!$B$15,R294=1,S294=1,P294&lt;=L294),"PASS","FAIL"))</f>
        <v>PASS</v>
      </c>
    </row>
    <row r="295" customFormat="false" ht="15" hidden="false" customHeight="false" outlineLevel="0" collapsed="false">
      <c r="A295" s="14" t="s">
        <v>1021</v>
      </c>
      <c r="B295" s="14" t="s">
        <v>1019</v>
      </c>
      <c r="C295" s="14" t="s">
        <v>160</v>
      </c>
      <c r="D295" s="14" t="s">
        <v>190</v>
      </c>
      <c r="E295" s="14" t="s">
        <v>152</v>
      </c>
      <c r="F295" s="14" t="s">
        <v>191</v>
      </c>
      <c r="G295" s="14" t="n">
        <v>1</v>
      </c>
      <c r="H295" s="14" t="s">
        <v>154</v>
      </c>
      <c r="I295" s="14" t="s">
        <v>890</v>
      </c>
      <c r="J295" s="15" t="n">
        <f aca="false">IF(B295="SITE LOSS",IF(D295=C295,1,0),IF(B295="REGION LOSS",IF(E295=C295,1,0),0))</f>
        <v>0</v>
      </c>
      <c r="K295" s="15" t="n">
        <f aca="false">IF(B295="SITE LOSS",IF(COUNTIFS('Site Dockets'!$B$7:$B$24,C295,'Site Dockets'!$C$7:$C$24,F295)&gt;0,1,0),IF(B295="REGION LOSS",IF(COUNTIFS('Site Dockets'!$E$7:$E$24,C295,'Site Dockets'!$C$7:$C$24,F295)&gt;0,1,0),0))</f>
        <v>0</v>
      </c>
      <c r="L295" s="15" t="n">
        <f aca="false">IF(J295=1,0,Inputs!$B$11)</f>
        <v>100</v>
      </c>
      <c r="M295" s="15" t="n">
        <f aca="false">IF(J295=1,0,Inputs!$B$12)</f>
        <v>75</v>
      </c>
      <c r="N295" s="15" t="n">
        <f aca="false">IF(J295=1,0,IF(OR(AND(OR(B295="SITE LOSS",B295="REGION LOSS"),K295=1),AND(B295="ROLE COMPROMISE",H295=C295)),Inputs!$B$13,Inputs!$B$14))</f>
        <v>10</v>
      </c>
      <c r="O295" s="15" t="n">
        <f aca="false">IF(J295=1,0,Inputs!$B$13)</f>
        <v>20</v>
      </c>
      <c r="P295" s="15" t="n">
        <f aca="false">SUM(M295:N295)</f>
        <v>85</v>
      </c>
      <c r="Q295" s="15" t="n">
        <f aca="false">IF(J295=1,"",L295-P295)</f>
        <v>15</v>
      </c>
      <c r="R295" s="15" t="n">
        <f aca="false">IF(OR(J295=1,M295&lt;=Inputs!$B$12),1,0)</f>
        <v>1</v>
      </c>
      <c r="S295" s="15" t="n">
        <f aca="false">IF(OR(J295=1,N295&lt;=O295),1,0)</f>
        <v>1</v>
      </c>
      <c r="T295" s="15" t="str">
        <f aca="false">IF(J295=1,"OFFLINE",IF(AND(Q295&gt;=Inputs!$B$15,R295=1,S295=1,P295&lt;=L295),"PASS","FAIL"))</f>
        <v>PASS</v>
      </c>
    </row>
    <row r="296" customFormat="false" ht="15" hidden="false" customHeight="false" outlineLevel="0" collapsed="false">
      <c r="A296" s="14" t="s">
        <v>1021</v>
      </c>
      <c r="B296" s="14" t="s">
        <v>1019</v>
      </c>
      <c r="C296" s="14" t="s">
        <v>160</v>
      </c>
      <c r="D296" s="14" t="s">
        <v>190</v>
      </c>
      <c r="E296" s="14" t="s">
        <v>152</v>
      </c>
      <c r="F296" s="14" t="s">
        <v>191</v>
      </c>
      <c r="G296" s="14" t="n">
        <v>1</v>
      </c>
      <c r="H296" s="14" t="s">
        <v>154</v>
      </c>
      <c r="I296" s="14" t="s">
        <v>892</v>
      </c>
      <c r="J296" s="15" t="n">
        <f aca="false">IF(B296="SITE LOSS",IF(D296=C296,1,0),IF(B296="REGION LOSS",IF(E296=C296,1,0),0))</f>
        <v>0</v>
      </c>
      <c r="K296" s="15" t="n">
        <f aca="false">IF(B296="SITE LOSS",IF(COUNTIFS('Site Dockets'!$B$7:$B$24,C296,'Site Dockets'!$C$7:$C$24,F296)&gt;0,1,0),IF(B296="REGION LOSS",IF(COUNTIFS('Site Dockets'!$E$7:$E$24,C296,'Site Dockets'!$C$7:$C$24,F296)&gt;0,1,0),0))</f>
        <v>0</v>
      </c>
      <c r="L296" s="15" t="n">
        <f aca="false">IF(J296=1,0,Inputs!$B$11)</f>
        <v>100</v>
      </c>
      <c r="M296" s="15" t="n">
        <f aca="false">IF(J296=1,0,Inputs!$B$12)</f>
        <v>75</v>
      </c>
      <c r="N296" s="15" t="n">
        <f aca="false">IF(J296=1,0,IF(OR(AND(OR(B296="SITE LOSS",B296="REGION LOSS"),K296=1),AND(B296="ROLE COMPROMISE",H296=C296)),Inputs!$B$13,Inputs!$B$14))</f>
        <v>10</v>
      </c>
      <c r="O296" s="15" t="n">
        <f aca="false">IF(J296=1,0,Inputs!$B$13)</f>
        <v>20</v>
      </c>
      <c r="P296" s="15" t="n">
        <f aca="false">SUM(M296:N296)</f>
        <v>85</v>
      </c>
      <c r="Q296" s="15" t="n">
        <f aca="false">IF(J296=1,"",L296-P296)</f>
        <v>15</v>
      </c>
      <c r="R296" s="15" t="n">
        <f aca="false">IF(OR(J296=1,M296&lt;=Inputs!$B$12),1,0)</f>
        <v>1</v>
      </c>
      <c r="S296" s="15" t="n">
        <f aca="false">IF(OR(J296=1,N296&lt;=O296),1,0)</f>
        <v>1</v>
      </c>
      <c r="T296" s="15" t="str">
        <f aca="false">IF(J296=1,"OFFLINE",IF(AND(Q296&gt;=Inputs!$B$15,R296=1,S296=1,P296&lt;=L296),"PASS","FAIL"))</f>
        <v>PASS</v>
      </c>
    </row>
    <row r="297" customFormat="false" ht="15" hidden="false" customHeight="false" outlineLevel="0" collapsed="false">
      <c r="A297" s="14" t="s">
        <v>1021</v>
      </c>
      <c r="B297" s="14" t="s">
        <v>1019</v>
      </c>
      <c r="C297" s="14" t="s">
        <v>160</v>
      </c>
      <c r="D297" s="14" t="s">
        <v>190</v>
      </c>
      <c r="E297" s="14" t="s">
        <v>152</v>
      </c>
      <c r="F297" s="14" t="s">
        <v>191</v>
      </c>
      <c r="G297" s="14" t="n">
        <v>1</v>
      </c>
      <c r="H297" s="14" t="s">
        <v>154</v>
      </c>
      <c r="I297" s="14" t="s">
        <v>811</v>
      </c>
      <c r="J297" s="15" t="n">
        <f aca="false">IF(B297="SITE LOSS",IF(D297=C297,1,0),IF(B297="REGION LOSS",IF(E297=C297,1,0),0))</f>
        <v>0</v>
      </c>
      <c r="K297" s="15" t="n">
        <f aca="false">IF(B297="SITE LOSS",IF(COUNTIFS('Site Dockets'!$B$7:$B$24,C297,'Site Dockets'!$C$7:$C$24,F297)&gt;0,1,0),IF(B297="REGION LOSS",IF(COUNTIFS('Site Dockets'!$E$7:$E$24,C297,'Site Dockets'!$C$7:$C$24,F297)&gt;0,1,0),0))</f>
        <v>0</v>
      </c>
      <c r="L297" s="15" t="n">
        <f aca="false">IF(J297=1,0,Inputs!$B$11)</f>
        <v>100</v>
      </c>
      <c r="M297" s="15" t="n">
        <f aca="false">IF(J297=1,0,Inputs!$B$12)</f>
        <v>75</v>
      </c>
      <c r="N297" s="15" t="n">
        <f aca="false">IF(J297=1,0,IF(OR(AND(OR(B297="SITE LOSS",B297="REGION LOSS"),K297=1),AND(B297="ROLE COMPROMISE",H297=C297)),Inputs!$B$13,Inputs!$B$14))</f>
        <v>10</v>
      </c>
      <c r="O297" s="15" t="n">
        <f aca="false">IF(J297=1,0,Inputs!$B$13)</f>
        <v>20</v>
      </c>
      <c r="P297" s="15" t="n">
        <f aca="false">SUM(M297:N297)</f>
        <v>85</v>
      </c>
      <c r="Q297" s="15" t="n">
        <f aca="false">IF(J297=1,"",L297-P297)</f>
        <v>15</v>
      </c>
      <c r="R297" s="15" t="n">
        <f aca="false">IF(OR(J297=1,M297&lt;=Inputs!$B$12),1,0)</f>
        <v>1</v>
      </c>
      <c r="S297" s="15" t="n">
        <f aca="false">IF(OR(J297=1,N297&lt;=O297),1,0)</f>
        <v>1</v>
      </c>
      <c r="T297" s="15" t="str">
        <f aca="false">IF(J297=1,"OFFLINE",IF(AND(Q297&gt;=Inputs!$B$15,R297=1,S297=1,P297&lt;=L297),"PASS","FAIL"))</f>
        <v>PASS</v>
      </c>
    </row>
    <row r="298" customFormat="false" ht="15" hidden="false" customHeight="false" outlineLevel="0" collapsed="false">
      <c r="A298" s="14" t="s">
        <v>1021</v>
      </c>
      <c r="B298" s="14" t="s">
        <v>1019</v>
      </c>
      <c r="C298" s="14" t="s">
        <v>160</v>
      </c>
      <c r="D298" s="14" t="s">
        <v>190</v>
      </c>
      <c r="E298" s="14" t="s">
        <v>152</v>
      </c>
      <c r="F298" s="14" t="s">
        <v>191</v>
      </c>
      <c r="G298" s="14" t="n">
        <v>1</v>
      </c>
      <c r="H298" s="14" t="s">
        <v>154</v>
      </c>
      <c r="I298" s="14" t="s">
        <v>895</v>
      </c>
      <c r="J298" s="15" t="n">
        <f aca="false">IF(B298="SITE LOSS",IF(D298=C298,1,0),IF(B298="REGION LOSS",IF(E298=C298,1,0),0))</f>
        <v>0</v>
      </c>
      <c r="K298" s="15" t="n">
        <f aca="false">IF(B298="SITE LOSS",IF(COUNTIFS('Site Dockets'!$B$7:$B$24,C298,'Site Dockets'!$C$7:$C$24,F298)&gt;0,1,0),IF(B298="REGION LOSS",IF(COUNTIFS('Site Dockets'!$E$7:$E$24,C298,'Site Dockets'!$C$7:$C$24,F298)&gt;0,1,0),0))</f>
        <v>0</v>
      </c>
      <c r="L298" s="15" t="n">
        <f aca="false">IF(J298=1,0,Inputs!$B$11)</f>
        <v>100</v>
      </c>
      <c r="M298" s="15" t="n">
        <f aca="false">IF(J298=1,0,Inputs!$B$12)</f>
        <v>75</v>
      </c>
      <c r="N298" s="15" t="n">
        <f aca="false">IF(J298=1,0,IF(OR(AND(OR(B298="SITE LOSS",B298="REGION LOSS"),K298=1),AND(B298="ROLE COMPROMISE",H298=C298)),Inputs!$B$13,Inputs!$B$14))</f>
        <v>10</v>
      </c>
      <c r="O298" s="15" t="n">
        <f aca="false">IF(J298=1,0,Inputs!$B$13)</f>
        <v>20</v>
      </c>
      <c r="P298" s="15" t="n">
        <f aca="false">SUM(M298:N298)</f>
        <v>85</v>
      </c>
      <c r="Q298" s="15" t="n">
        <f aca="false">IF(J298=1,"",L298-P298)</f>
        <v>15</v>
      </c>
      <c r="R298" s="15" t="n">
        <f aca="false">IF(OR(J298=1,M298&lt;=Inputs!$B$12),1,0)</f>
        <v>1</v>
      </c>
      <c r="S298" s="15" t="n">
        <f aca="false">IF(OR(J298=1,N298&lt;=O298),1,0)</f>
        <v>1</v>
      </c>
      <c r="T298" s="15" t="str">
        <f aca="false">IF(J298=1,"OFFLINE",IF(AND(Q298&gt;=Inputs!$B$15,R298=1,S298=1,P298&lt;=L298),"PASS","FAIL"))</f>
        <v>PASS</v>
      </c>
    </row>
    <row r="299" customFormat="false" ht="15" hidden="false" customHeight="false" outlineLevel="0" collapsed="false">
      <c r="A299" s="14" t="s">
        <v>1021</v>
      </c>
      <c r="B299" s="14" t="s">
        <v>1019</v>
      </c>
      <c r="C299" s="14" t="s">
        <v>160</v>
      </c>
      <c r="D299" s="14" t="s">
        <v>190</v>
      </c>
      <c r="E299" s="14" t="s">
        <v>152</v>
      </c>
      <c r="F299" s="14" t="s">
        <v>191</v>
      </c>
      <c r="G299" s="14" t="n">
        <v>1</v>
      </c>
      <c r="H299" s="14" t="s">
        <v>154</v>
      </c>
      <c r="I299" s="14" t="s">
        <v>897</v>
      </c>
      <c r="J299" s="15" t="n">
        <f aca="false">IF(B299="SITE LOSS",IF(D299=C299,1,0),IF(B299="REGION LOSS",IF(E299=C299,1,0),0))</f>
        <v>0</v>
      </c>
      <c r="K299" s="15" t="n">
        <f aca="false">IF(B299="SITE LOSS",IF(COUNTIFS('Site Dockets'!$B$7:$B$24,C299,'Site Dockets'!$C$7:$C$24,F299)&gt;0,1,0),IF(B299="REGION LOSS",IF(COUNTIFS('Site Dockets'!$E$7:$E$24,C299,'Site Dockets'!$C$7:$C$24,F299)&gt;0,1,0),0))</f>
        <v>0</v>
      </c>
      <c r="L299" s="15" t="n">
        <f aca="false">IF(J299=1,0,Inputs!$B$11)</f>
        <v>100</v>
      </c>
      <c r="M299" s="15" t="n">
        <f aca="false">IF(J299=1,0,Inputs!$B$12)</f>
        <v>75</v>
      </c>
      <c r="N299" s="15" t="n">
        <f aca="false">IF(J299=1,0,IF(OR(AND(OR(B299="SITE LOSS",B299="REGION LOSS"),K299=1),AND(B299="ROLE COMPROMISE",H299=C299)),Inputs!$B$13,Inputs!$B$14))</f>
        <v>10</v>
      </c>
      <c r="O299" s="15" t="n">
        <f aca="false">IF(J299=1,0,Inputs!$B$13)</f>
        <v>20</v>
      </c>
      <c r="P299" s="15" t="n">
        <f aca="false">SUM(M299:N299)</f>
        <v>85</v>
      </c>
      <c r="Q299" s="15" t="n">
        <f aca="false">IF(J299=1,"",L299-P299)</f>
        <v>15</v>
      </c>
      <c r="R299" s="15" t="n">
        <f aca="false">IF(OR(J299=1,M299&lt;=Inputs!$B$12),1,0)</f>
        <v>1</v>
      </c>
      <c r="S299" s="15" t="n">
        <f aca="false">IF(OR(J299=1,N299&lt;=O299),1,0)</f>
        <v>1</v>
      </c>
      <c r="T299" s="15" t="str">
        <f aca="false">IF(J299=1,"OFFLINE",IF(AND(Q299&gt;=Inputs!$B$15,R299=1,S299=1,P299&lt;=L299),"PASS","FAIL"))</f>
        <v>PASS</v>
      </c>
    </row>
    <row r="300" customFormat="false" ht="15" hidden="false" customHeight="false" outlineLevel="0" collapsed="false">
      <c r="A300" s="14" t="s">
        <v>1021</v>
      </c>
      <c r="B300" s="14" t="s">
        <v>1019</v>
      </c>
      <c r="C300" s="14" t="s">
        <v>160</v>
      </c>
      <c r="D300" s="14" t="s">
        <v>190</v>
      </c>
      <c r="E300" s="14" t="s">
        <v>152</v>
      </c>
      <c r="F300" s="14" t="s">
        <v>191</v>
      </c>
      <c r="G300" s="14" t="n">
        <v>1</v>
      </c>
      <c r="H300" s="14" t="s">
        <v>154</v>
      </c>
      <c r="I300" s="14" t="s">
        <v>899</v>
      </c>
      <c r="J300" s="15" t="n">
        <f aca="false">IF(B300="SITE LOSS",IF(D300=C300,1,0),IF(B300="REGION LOSS",IF(E300=C300,1,0),0))</f>
        <v>0</v>
      </c>
      <c r="K300" s="15" t="n">
        <f aca="false">IF(B300="SITE LOSS",IF(COUNTIFS('Site Dockets'!$B$7:$B$24,C300,'Site Dockets'!$C$7:$C$24,F300)&gt;0,1,0),IF(B300="REGION LOSS",IF(COUNTIFS('Site Dockets'!$E$7:$E$24,C300,'Site Dockets'!$C$7:$C$24,F300)&gt;0,1,0),0))</f>
        <v>0</v>
      </c>
      <c r="L300" s="15" t="n">
        <f aca="false">IF(J300=1,0,Inputs!$B$11)</f>
        <v>100</v>
      </c>
      <c r="M300" s="15" t="n">
        <f aca="false">IF(J300=1,0,Inputs!$B$12)</f>
        <v>75</v>
      </c>
      <c r="N300" s="15" t="n">
        <f aca="false">IF(J300=1,0,IF(OR(AND(OR(B300="SITE LOSS",B300="REGION LOSS"),K300=1),AND(B300="ROLE COMPROMISE",H300=C300)),Inputs!$B$13,Inputs!$B$14))</f>
        <v>10</v>
      </c>
      <c r="O300" s="15" t="n">
        <f aca="false">IF(J300=1,0,Inputs!$B$13)</f>
        <v>20</v>
      </c>
      <c r="P300" s="15" t="n">
        <f aca="false">SUM(M300:N300)</f>
        <v>85</v>
      </c>
      <c r="Q300" s="15" t="n">
        <f aca="false">IF(J300=1,"",L300-P300)</f>
        <v>15</v>
      </c>
      <c r="R300" s="15" t="n">
        <f aca="false">IF(OR(J300=1,M300&lt;=Inputs!$B$12),1,0)</f>
        <v>1</v>
      </c>
      <c r="S300" s="15" t="n">
        <f aca="false">IF(OR(J300=1,N300&lt;=O300),1,0)</f>
        <v>1</v>
      </c>
      <c r="T300" s="15" t="str">
        <f aca="false">IF(J300=1,"OFFLINE",IF(AND(Q300&gt;=Inputs!$B$15,R300=1,S300=1,P300&lt;=L300),"PASS","FAIL"))</f>
        <v>PASS</v>
      </c>
    </row>
    <row r="301" customFormat="false" ht="15" hidden="false" customHeight="false" outlineLevel="0" collapsed="false">
      <c r="A301" s="14" t="s">
        <v>1021</v>
      </c>
      <c r="B301" s="14" t="s">
        <v>1019</v>
      </c>
      <c r="C301" s="14" t="s">
        <v>160</v>
      </c>
      <c r="D301" s="14" t="s">
        <v>194</v>
      </c>
      <c r="E301" s="14" t="s">
        <v>169</v>
      </c>
      <c r="F301" s="14" t="s">
        <v>191</v>
      </c>
      <c r="G301" s="14" t="n">
        <v>2</v>
      </c>
      <c r="H301" s="14" t="s">
        <v>153</v>
      </c>
      <c r="I301" s="14" t="s">
        <v>890</v>
      </c>
      <c r="J301" s="15" t="n">
        <f aca="false">IF(B301="SITE LOSS",IF(D301=C301,1,0),IF(B301="REGION LOSS",IF(E301=C301,1,0),0))</f>
        <v>0</v>
      </c>
      <c r="K301" s="15" t="n">
        <f aca="false">IF(B301="SITE LOSS",IF(COUNTIFS('Site Dockets'!$B$7:$B$24,C301,'Site Dockets'!$C$7:$C$24,F301)&gt;0,1,0),IF(B301="REGION LOSS",IF(COUNTIFS('Site Dockets'!$E$7:$E$24,C301,'Site Dockets'!$C$7:$C$24,F301)&gt;0,1,0),0))</f>
        <v>0</v>
      </c>
      <c r="L301" s="15" t="n">
        <f aca="false">IF(J301=1,0,Inputs!$B$11)</f>
        <v>100</v>
      </c>
      <c r="M301" s="15" t="n">
        <f aca="false">IF(J301=1,0,Inputs!$B$12)</f>
        <v>75</v>
      </c>
      <c r="N301" s="15" t="n">
        <f aca="false">IF(J301=1,0,IF(OR(AND(OR(B301="SITE LOSS",B301="REGION LOSS"),K301=1),AND(B301="ROLE COMPROMISE",H301=C301)),Inputs!$B$13,Inputs!$B$14))</f>
        <v>10</v>
      </c>
      <c r="O301" s="15" t="n">
        <f aca="false">IF(J301=1,0,Inputs!$B$13)</f>
        <v>20</v>
      </c>
      <c r="P301" s="15" t="n">
        <f aca="false">SUM(M301:N301)</f>
        <v>85</v>
      </c>
      <c r="Q301" s="15" t="n">
        <f aca="false">IF(J301=1,"",L301-P301)</f>
        <v>15</v>
      </c>
      <c r="R301" s="15" t="n">
        <f aca="false">IF(OR(J301=1,M301&lt;=Inputs!$B$12),1,0)</f>
        <v>1</v>
      </c>
      <c r="S301" s="15" t="n">
        <f aca="false">IF(OR(J301=1,N301&lt;=O301),1,0)</f>
        <v>1</v>
      </c>
      <c r="T301" s="15" t="str">
        <f aca="false">IF(J301=1,"OFFLINE",IF(AND(Q301&gt;=Inputs!$B$15,R301=1,S301=1,P301&lt;=L301),"PASS","FAIL"))</f>
        <v>PASS</v>
      </c>
    </row>
    <row r="302" customFormat="false" ht="15" hidden="false" customHeight="false" outlineLevel="0" collapsed="false">
      <c r="A302" s="14" t="s">
        <v>1021</v>
      </c>
      <c r="B302" s="14" t="s">
        <v>1019</v>
      </c>
      <c r="C302" s="14" t="s">
        <v>160</v>
      </c>
      <c r="D302" s="14" t="s">
        <v>194</v>
      </c>
      <c r="E302" s="14" t="s">
        <v>169</v>
      </c>
      <c r="F302" s="14" t="s">
        <v>191</v>
      </c>
      <c r="G302" s="14" t="n">
        <v>2</v>
      </c>
      <c r="H302" s="14" t="s">
        <v>153</v>
      </c>
      <c r="I302" s="14" t="s">
        <v>892</v>
      </c>
      <c r="J302" s="15" t="n">
        <f aca="false">IF(B302="SITE LOSS",IF(D302=C302,1,0),IF(B302="REGION LOSS",IF(E302=C302,1,0),0))</f>
        <v>0</v>
      </c>
      <c r="K302" s="15" t="n">
        <f aca="false">IF(B302="SITE LOSS",IF(COUNTIFS('Site Dockets'!$B$7:$B$24,C302,'Site Dockets'!$C$7:$C$24,F302)&gt;0,1,0),IF(B302="REGION LOSS",IF(COUNTIFS('Site Dockets'!$E$7:$E$24,C302,'Site Dockets'!$C$7:$C$24,F302)&gt;0,1,0),0))</f>
        <v>0</v>
      </c>
      <c r="L302" s="15" t="n">
        <f aca="false">IF(J302=1,0,Inputs!$B$11)</f>
        <v>100</v>
      </c>
      <c r="M302" s="15" t="n">
        <f aca="false">IF(J302=1,0,Inputs!$B$12)</f>
        <v>75</v>
      </c>
      <c r="N302" s="15" t="n">
        <f aca="false">IF(J302=1,0,IF(OR(AND(OR(B302="SITE LOSS",B302="REGION LOSS"),K302=1),AND(B302="ROLE COMPROMISE",H302=C302)),Inputs!$B$13,Inputs!$B$14))</f>
        <v>10</v>
      </c>
      <c r="O302" s="15" t="n">
        <f aca="false">IF(J302=1,0,Inputs!$B$13)</f>
        <v>20</v>
      </c>
      <c r="P302" s="15" t="n">
        <f aca="false">SUM(M302:N302)</f>
        <v>85</v>
      </c>
      <c r="Q302" s="15" t="n">
        <f aca="false">IF(J302=1,"",L302-P302)</f>
        <v>15</v>
      </c>
      <c r="R302" s="15" t="n">
        <f aca="false">IF(OR(J302=1,M302&lt;=Inputs!$B$12),1,0)</f>
        <v>1</v>
      </c>
      <c r="S302" s="15" t="n">
        <f aca="false">IF(OR(J302=1,N302&lt;=O302),1,0)</f>
        <v>1</v>
      </c>
      <c r="T302" s="15" t="str">
        <f aca="false">IF(J302=1,"OFFLINE",IF(AND(Q302&gt;=Inputs!$B$15,R302=1,S302=1,P302&lt;=L302),"PASS","FAIL"))</f>
        <v>PASS</v>
      </c>
    </row>
    <row r="303" customFormat="false" ht="15" hidden="false" customHeight="false" outlineLevel="0" collapsed="false">
      <c r="A303" s="14" t="s">
        <v>1021</v>
      </c>
      <c r="B303" s="14" t="s">
        <v>1019</v>
      </c>
      <c r="C303" s="14" t="s">
        <v>160</v>
      </c>
      <c r="D303" s="14" t="s">
        <v>194</v>
      </c>
      <c r="E303" s="14" t="s">
        <v>169</v>
      </c>
      <c r="F303" s="14" t="s">
        <v>191</v>
      </c>
      <c r="G303" s="14" t="n">
        <v>2</v>
      </c>
      <c r="H303" s="14" t="s">
        <v>153</v>
      </c>
      <c r="I303" s="14" t="s">
        <v>811</v>
      </c>
      <c r="J303" s="15" t="n">
        <f aca="false">IF(B303="SITE LOSS",IF(D303=C303,1,0),IF(B303="REGION LOSS",IF(E303=C303,1,0),0))</f>
        <v>0</v>
      </c>
      <c r="K303" s="15" t="n">
        <f aca="false">IF(B303="SITE LOSS",IF(COUNTIFS('Site Dockets'!$B$7:$B$24,C303,'Site Dockets'!$C$7:$C$24,F303)&gt;0,1,0),IF(B303="REGION LOSS",IF(COUNTIFS('Site Dockets'!$E$7:$E$24,C303,'Site Dockets'!$C$7:$C$24,F303)&gt;0,1,0),0))</f>
        <v>0</v>
      </c>
      <c r="L303" s="15" t="n">
        <f aca="false">IF(J303=1,0,Inputs!$B$11)</f>
        <v>100</v>
      </c>
      <c r="M303" s="15" t="n">
        <f aca="false">IF(J303=1,0,Inputs!$B$12)</f>
        <v>75</v>
      </c>
      <c r="N303" s="15" t="n">
        <f aca="false">IF(J303=1,0,IF(OR(AND(OR(B303="SITE LOSS",B303="REGION LOSS"),K303=1),AND(B303="ROLE COMPROMISE",H303=C303)),Inputs!$B$13,Inputs!$B$14))</f>
        <v>10</v>
      </c>
      <c r="O303" s="15" t="n">
        <f aca="false">IF(J303=1,0,Inputs!$B$13)</f>
        <v>20</v>
      </c>
      <c r="P303" s="15" t="n">
        <f aca="false">SUM(M303:N303)</f>
        <v>85</v>
      </c>
      <c r="Q303" s="15" t="n">
        <f aca="false">IF(J303=1,"",L303-P303)</f>
        <v>15</v>
      </c>
      <c r="R303" s="15" t="n">
        <f aca="false">IF(OR(J303=1,M303&lt;=Inputs!$B$12),1,0)</f>
        <v>1</v>
      </c>
      <c r="S303" s="15" t="n">
        <f aca="false">IF(OR(J303=1,N303&lt;=O303),1,0)</f>
        <v>1</v>
      </c>
      <c r="T303" s="15" t="str">
        <f aca="false">IF(J303=1,"OFFLINE",IF(AND(Q303&gt;=Inputs!$B$15,R303=1,S303=1,P303&lt;=L303),"PASS","FAIL"))</f>
        <v>PASS</v>
      </c>
    </row>
    <row r="304" customFormat="false" ht="15" hidden="false" customHeight="false" outlineLevel="0" collapsed="false">
      <c r="A304" s="14" t="s">
        <v>1021</v>
      </c>
      <c r="B304" s="14" t="s">
        <v>1019</v>
      </c>
      <c r="C304" s="14" t="s">
        <v>160</v>
      </c>
      <c r="D304" s="14" t="s">
        <v>194</v>
      </c>
      <c r="E304" s="14" t="s">
        <v>169</v>
      </c>
      <c r="F304" s="14" t="s">
        <v>191</v>
      </c>
      <c r="G304" s="14" t="n">
        <v>2</v>
      </c>
      <c r="H304" s="14" t="s">
        <v>153</v>
      </c>
      <c r="I304" s="14" t="s">
        <v>895</v>
      </c>
      <c r="J304" s="15" t="n">
        <f aca="false">IF(B304="SITE LOSS",IF(D304=C304,1,0),IF(B304="REGION LOSS",IF(E304=C304,1,0),0))</f>
        <v>0</v>
      </c>
      <c r="K304" s="15" t="n">
        <f aca="false">IF(B304="SITE LOSS",IF(COUNTIFS('Site Dockets'!$B$7:$B$24,C304,'Site Dockets'!$C$7:$C$24,F304)&gt;0,1,0),IF(B304="REGION LOSS",IF(COUNTIFS('Site Dockets'!$E$7:$E$24,C304,'Site Dockets'!$C$7:$C$24,F304)&gt;0,1,0),0))</f>
        <v>0</v>
      </c>
      <c r="L304" s="15" t="n">
        <f aca="false">IF(J304=1,0,Inputs!$B$11)</f>
        <v>100</v>
      </c>
      <c r="M304" s="15" t="n">
        <f aca="false">IF(J304=1,0,Inputs!$B$12)</f>
        <v>75</v>
      </c>
      <c r="N304" s="15" t="n">
        <f aca="false">IF(J304=1,0,IF(OR(AND(OR(B304="SITE LOSS",B304="REGION LOSS"),K304=1),AND(B304="ROLE COMPROMISE",H304=C304)),Inputs!$B$13,Inputs!$B$14))</f>
        <v>10</v>
      </c>
      <c r="O304" s="15" t="n">
        <f aca="false">IF(J304=1,0,Inputs!$B$13)</f>
        <v>20</v>
      </c>
      <c r="P304" s="15" t="n">
        <f aca="false">SUM(M304:N304)</f>
        <v>85</v>
      </c>
      <c r="Q304" s="15" t="n">
        <f aca="false">IF(J304=1,"",L304-P304)</f>
        <v>15</v>
      </c>
      <c r="R304" s="15" t="n">
        <f aca="false">IF(OR(J304=1,M304&lt;=Inputs!$B$12),1,0)</f>
        <v>1</v>
      </c>
      <c r="S304" s="15" t="n">
        <f aca="false">IF(OR(J304=1,N304&lt;=O304),1,0)</f>
        <v>1</v>
      </c>
      <c r="T304" s="15" t="str">
        <f aca="false">IF(J304=1,"OFFLINE",IF(AND(Q304&gt;=Inputs!$B$15,R304=1,S304=1,P304&lt;=L304),"PASS","FAIL"))</f>
        <v>PASS</v>
      </c>
    </row>
    <row r="305" customFormat="false" ht="15" hidden="false" customHeight="false" outlineLevel="0" collapsed="false">
      <c r="A305" s="14" t="s">
        <v>1021</v>
      </c>
      <c r="B305" s="14" t="s">
        <v>1019</v>
      </c>
      <c r="C305" s="14" t="s">
        <v>160</v>
      </c>
      <c r="D305" s="14" t="s">
        <v>194</v>
      </c>
      <c r="E305" s="14" t="s">
        <v>169</v>
      </c>
      <c r="F305" s="14" t="s">
        <v>191</v>
      </c>
      <c r="G305" s="14" t="n">
        <v>2</v>
      </c>
      <c r="H305" s="14" t="s">
        <v>153</v>
      </c>
      <c r="I305" s="14" t="s">
        <v>897</v>
      </c>
      <c r="J305" s="15" t="n">
        <f aca="false">IF(B305="SITE LOSS",IF(D305=C305,1,0),IF(B305="REGION LOSS",IF(E305=C305,1,0),0))</f>
        <v>0</v>
      </c>
      <c r="K305" s="15" t="n">
        <f aca="false">IF(B305="SITE LOSS",IF(COUNTIFS('Site Dockets'!$B$7:$B$24,C305,'Site Dockets'!$C$7:$C$24,F305)&gt;0,1,0),IF(B305="REGION LOSS",IF(COUNTIFS('Site Dockets'!$E$7:$E$24,C305,'Site Dockets'!$C$7:$C$24,F305)&gt;0,1,0),0))</f>
        <v>0</v>
      </c>
      <c r="L305" s="15" t="n">
        <f aca="false">IF(J305=1,0,Inputs!$B$11)</f>
        <v>100</v>
      </c>
      <c r="M305" s="15" t="n">
        <f aca="false">IF(J305=1,0,Inputs!$B$12)</f>
        <v>75</v>
      </c>
      <c r="N305" s="15" t="n">
        <f aca="false">IF(J305=1,0,IF(OR(AND(OR(B305="SITE LOSS",B305="REGION LOSS"),K305=1),AND(B305="ROLE COMPROMISE",H305=C305)),Inputs!$B$13,Inputs!$B$14))</f>
        <v>10</v>
      </c>
      <c r="O305" s="15" t="n">
        <f aca="false">IF(J305=1,0,Inputs!$B$13)</f>
        <v>20</v>
      </c>
      <c r="P305" s="15" t="n">
        <f aca="false">SUM(M305:N305)</f>
        <v>85</v>
      </c>
      <c r="Q305" s="15" t="n">
        <f aca="false">IF(J305=1,"",L305-P305)</f>
        <v>15</v>
      </c>
      <c r="R305" s="15" t="n">
        <f aca="false">IF(OR(J305=1,M305&lt;=Inputs!$B$12),1,0)</f>
        <v>1</v>
      </c>
      <c r="S305" s="15" t="n">
        <f aca="false">IF(OR(J305=1,N305&lt;=O305),1,0)</f>
        <v>1</v>
      </c>
      <c r="T305" s="15" t="str">
        <f aca="false">IF(J305=1,"OFFLINE",IF(AND(Q305&gt;=Inputs!$B$15,R305=1,S305=1,P305&lt;=L305),"PASS","FAIL"))</f>
        <v>PASS</v>
      </c>
    </row>
    <row r="306" customFormat="false" ht="15" hidden="false" customHeight="false" outlineLevel="0" collapsed="false">
      <c r="A306" s="14" t="s">
        <v>1021</v>
      </c>
      <c r="B306" s="14" t="s">
        <v>1019</v>
      </c>
      <c r="C306" s="14" t="s">
        <v>160</v>
      </c>
      <c r="D306" s="14" t="s">
        <v>194</v>
      </c>
      <c r="E306" s="14" t="s">
        <v>169</v>
      </c>
      <c r="F306" s="14" t="s">
        <v>191</v>
      </c>
      <c r="G306" s="14" t="n">
        <v>2</v>
      </c>
      <c r="H306" s="14" t="s">
        <v>153</v>
      </c>
      <c r="I306" s="14" t="s">
        <v>899</v>
      </c>
      <c r="J306" s="15" t="n">
        <f aca="false">IF(B306="SITE LOSS",IF(D306=C306,1,0),IF(B306="REGION LOSS",IF(E306=C306,1,0),0))</f>
        <v>0</v>
      </c>
      <c r="K306" s="15" t="n">
        <f aca="false">IF(B306="SITE LOSS",IF(COUNTIFS('Site Dockets'!$B$7:$B$24,C306,'Site Dockets'!$C$7:$C$24,F306)&gt;0,1,0),IF(B306="REGION LOSS",IF(COUNTIFS('Site Dockets'!$E$7:$E$24,C306,'Site Dockets'!$C$7:$C$24,F306)&gt;0,1,0),0))</f>
        <v>0</v>
      </c>
      <c r="L306" s="15" t="n">
        <f aca="false">IF(J306=1,0,Inputs!$B$11)</f>
        <v>100</v>
      </c>
      <c r="M306" s="15" t="n">
        <f aca="false">IF(J306=1,0,Inputs!$B$12)</f>
        <v>75</v>
      </c>
      <c r="N306" s="15" t="n">
        <f aca="false">IF(J306=1,0,IF(OR(AND(OR(B306="SITE LOSS",B306="REGION LOSS"),K306=1),AND(B306="ROLE COMPROMISE",H306=C306)),Inputs!$B$13,Inputs!$B$14))</f>
        <v>10</v>
      </c>
      <c r="O306" s="15" t="n">
        <f aca="false">IF(J306=1,0,Inputs!$B$13)</f>
        <v>20</v>
      </c>
      <c r="P306" s="15" t="n">
        <f aca="false">SUM(M306:N306)</f>
        <v>85</v>
      </c>
      <c r="Q306" s="15" t="n">
        <f aca="false">IF(J306=1,"",L306-P306)</f>
        <v>15</v>
      </c>
      <c r="R306" s="15" t="n">
        <f aca="false">IF(OR(J306=1,M306&lt;=Inputs!$B$12),1,0)</f>
        <v>1</v>
      </c>
      <c r="S306" s="15" t="n">
        <f aca="false">IF(OR(J306=1,N306&lt;=O306),1,0)</f>
        <v>1</v>
      </c>
      <c r="T306" s="15" t="str">
        <f aca="false">IF(J306=1,"OFFLINE",IF(AND(Q306&gt;=Inputs!$B$15,R306=1,S306=1,P306&lt;=L306),"PASS","FAIL"))</f>
        <v>PASS</v>
      </c>
    </row>
    <row r="307" customFormat="false" ht="15" hidden="false" customHeight="false" outlineLevel="0" collapsed="false">
      <c r="A307" s="14" t="s">
        <v>1021</v>
      </c>
      <c r="B307" s="14" t="s">
        <v>1019</v>
      </c>
      <c r="C307" s="14" t="s">
        <v>160</v>
      </c>
      <c r="D307" s="14" t="s">
        <v>196</v>
      </c>
      <c r="E307" s="14" t="s">
        <v>172</v>
      </c>
      <c r="F307" s="14" t="s">
        <v>191</v>
      </c>
      <c r="G307" s="14" t="n">
        <v>3</v>
      </c>
      <c r="H307" s="14" t="s">
        <v>158</v>
      </c>
      <c r="I307" s="14" t="s">
        <v>890</v>
      </c>
      <c r="J307" s="15" t="n">
        <f aca="false">IF(B307="SITE LOSS",IF(D307=C307,1,0),IF(B307="REGION LOSS",IF(E307=C307,1,0),0))</f>
        <v>0</v>
      </c>
      <c r="K307" s="15" t="n">
        <f aca="false">IF(B307="SITE LOSS",IF(COUNTIFS('Site Dockets'!$B$7:$B$24,C307,'Site Dockets'!$C$7:$C$24,F307)&gt;0,1,0),IF(B307="REGION LOSS",IF(COUNTIFS('Site Dockets'!$E$7:$E$24,C307,'Site Dockets'!$C$7:$C$24,F307)&gt;0,1,0),0))</f>
        <v>0</v>
      </c>
      <c r="L307" s="15" t="n">
        <f aca="false">IF(J307=1,0,Inputs!$B$11)</f>
        <v>100</v>
      </c>
      <c r="M307" s="15" t="n">
        <f aca="false">IF(J307=1,0,Inputs!$B$12)</f>
        <v>75</v>
      </c>
      <c r="N307" s="15" t="n">
        <f aca="false">IF(J307=1,0,IF(OR(AND(OR(B307="SITE LOSS",B307="REGION LOSS"),K307=1),AND(B307="ROLE COMPROMISE",H307=C307)),Inputs!$B$13,Inputs!$B$14))</f>
        <v>10</v>
      </c>
      <c r="O307" s="15" t="n">
        <f aca="false">IF(J307=1,0,Inputs!$B$13)</f>
        <v>20</v>
      </c>
      <c r="P307" s="15" t="n">
        <f aca="false">SUM(M307:N307)</f>
        <v>85</v>
      </c>
      <c r="Q307" s="15" t="n">
        <f aca="false">IF(J307=1,"",L307-P307)</f>
        <v>15</v>
      </c>
      <c r="R307" s="15" t="n">
        <f aca="false">IF(OR(J307=1,M307&lt;=Inputs!$B$12),1,0)</f>
        <v>1</v>
      </c>
      <c r="S307" s="15" t="n">
        <f aca="false">IF(OR(J307=1,N307&lt;=O307),1,0)</f>
        <v>1</v>
      </c>
      <c r="T307" s="15" t="str">
        <f aca="false">IF(J307=1,"OFFLINE",IF(AND(Q307&gt;=Inputs!$B$15,R307=1,S307=1,P307&lt;=L307),"PASS","FAIL"))</f>
        <v>PASS</v>
      </c>
    </row>
    <row r="308" customFormat="false" ht="15" hidden="false" customHeight="false" outlineLevel="0" collapsed="false">
      <c r="A308" s="14" t="s">
        <v>1021</v>
      </c>
      <c r="B308" s="14" t="s">
        <v>1019</v>
      </c>
      <c r="C308" s="14" t="s">
        <v>160</v>
      </c>
      <c r="D308" s="14" t="s">
        <v>196</v>
      </c>
      <c r="E308" s="14" t="s">
        <v>172</v>
      </c>
      <c r="F308" s="14" t="s">
        <v>191</v>
      </c>
      <c r="G308" s="14" t="n">
        <v>3</v>
      </c>
      <c r="H308" s="14" t="s">
        <v>158</v>
      </c>
      <c r="I308" s="14" t="s">
        <v>892</v>
      </c>
      <c r="J308" s="15" t="n">
        <f aca="false">IF(B308="SITE LOSS",IF(D308=C308,1,0),IF(B308="REGION LOSS",IF(E308=C308,1,0),0))</f>
        <v>0</v>
      </c>
      <c r="K308" s="15" t="n">
        <f aca="false">IF(B308="SITE LOSS",IF(COUNTIFS('Site Dockets'!$B$7:$B$24,C308,'Site Dockets'!$C$7:$C$24,F308)&gt;0,1,0),IF(B308="REGION LOSS",IF(COUNTIFS('Site Dockets'!$E$7:$E$24,C308,'Site Dockets'!$C$7:$C$24,F308)&gt;0,1,0),0))</f>
        <v>0</v>
      </c>
      <c r="L308" s="15" t="n">
        <f aca="false">IF(J308=1,0,Inputs!$B$11)</f>
        <v>100</v>
      </c>
      <c r="M308" s="15" t="n">
        <f aca="false">IF(J308=1,0,Inputs!$B$12)</f>
        <v>75</v>
      </c>
      <c r="N308" s="15" t="n">
        <f aca="false">IF(J308=1,0,IF(OR(AND(OR(B308="SITE LOSS",B308="REGION LOSS"),K308=1),AND(B308="ROLE COMPROMISE",H308=C308)),Inputs!$B$13,Inputs!$B$14))</f>
        <v>10</v>
      </c>
      <c r="O308" s="15" t="n">
        <f aca="false">IF(J308=1,0,Inputs!$B$13)</f>
        <v>20</v>
      </c>
      <c r="P308" s="15" t="n">
        <f aca="false">SUM(M308:N308)</f>
        <v>85</v>
      </c>
      <c r="Q308" s="15" t="n">
        <f aca="false">IF(J308=1,"",L308-P308)</f>
        <v>15</v>
      </c>
      <c r="R308" s="15" t="n">
        <f aca="false">IF(OR(J308=1,M308&lt;=Inputs!$B$12),1,0)</f>
        <v>1</v>
      </c>
      <c r="S308" s="15" t="n">
        <f aca="false">IF(OR(J308=1,N308&lt;=O308),1,0)</f>
        <v>1</v>
      </c>
      <c r="T308" s="15" t="str">
        <f aca="false">IF(J308=1,"OFFLINE",IF(AND(Q308&gt;=Inputs!$B$15,R308=1,S308=1,P308&lt;=L308),"PASS","FAIL"))</f>
        <v>PASS</v>
      </c>
    </row>
    <row r="309" customFormat="false" ht="15" hidden="false" customHeight="false" outlineLevel="0" collapsed="false">
      <c r="A309" s="14" t="s">
        <v>1021</v>
      </c>
      <c r="B309" s="14" t="s">
        <v>1019</v>
      </c>
      <c r="C309" s="14" t="s">
        <v>160</v>
      </c>
      <c r="D309" s="14" t="s">
        <v>196</v>
      </c>
      <c r="E309" s="14" t="s">
        <v>172</v>
      </c>
      <c r="F309" s="14" t="s">
        <v>191</v>
      </c>
      <c r="G309" s="14" t="n">
        <v>3</v>
      </c>
      <c r="H309" s="14" t="s">
        <v>158</v>
      </c>
      <c r="I309" s="14" t="s">
        <v>811</v>
      </c>
      <c r="J309" s="15" t="n">
        <f aca="false">IF(B309="SITE LOSS",IF(D309=C309,1,0),IF(B309="REGION LOSS",IF(E309=C309,1,0),0))</f>
        <v>0</v>
      </c>
      <c r="K309" s="15" t="n">
        <f aca="false">IF(B309="SITE LOSS",IF(COUNTIFS('Site Dockets'!$B$7:$B$24,C309,'Site Dockets'!$C$7:$C$24,F309)&gt;0,1,0),IF(B309="REGION LOSS",IF(COUNTIFS('Site Dockets'!$E$7:$E$24,C309,'Site Dockets'!$C$7:$C$24,F309)&gt;0,1,0),0))</f>
        <v>0</v>
      </c>
      <c r="L309" s="15" t="n">
        <f aca="false">IF(J309=1,0,Inputs!$B$11)</f>
        <v>100</v>
      </c>
      <c r="M309" s="15" t="n">
        <f aca="false">IF(J309=1,0,Inputs!$B$12)</f>
        <v>75</v>
      </c>
      <c r="N309" s="15" t="n">
        <f aca="false">IF(J309=1,0,IF(OR(AND(OR(B309="SITE LOSS",B309="REGION LOSS"),K309=1),AND(B309="ROLE COMPROMISE",H309=C309)),Inputs!$B$13,Inputs!$B$14))</f>
        <v>10</v>
      </c>
      <c r="O309" s="15" t="n">
        <f aca="false">IF(J309=1,0,Inputs!$B$13)</f>
        <v>20</v>
      </c>
      <c r="P309" s="15" t="n">
        <f aca="false">SUM(M309:N309)</f>
        <v>85</v>
      </c>
      <c r="Q309" s="15" t="n">
        <f aca="false">IF(J309=1,"",L309-P309)</f>
        <v>15</v>
      </c>
      <c r="R309" s="15" t="n">
        <f aca="false">IF(OR(J309=1,M309&lt;=Inputs!$B$12),1,0)</f>
        <v>1</v>
      </c>
      <c r="S309" s="15" t="n">
        <f aca="false">IF(OR(J309=1,N309&lt;=O309),1,0)</f>
        <v>1</v>
      </c>
      <c r="T309" s="15" t="str">
        <f aca="false">IF(J309=1,"OFFLINE",IF(AND(Q309&gt;=Inputs!$B$15,R309=1,S309=1,P309&lt;=L309),"PASS","FAIL"))</f>
        <v>PASS</v>
      </c>
    </row>
    <row r="310" customFormat="false" ht="15" hidden="false" customHeight="false" outlineLevel="0" collapsed="false">
      <c r="A310" s="14" t="s">
        <v>1021</v>
      </c>
      <c r="B310" s="14" t="s">
        <v>1019</v>
      </c>
      <c r="C310" s="14" t="s">
        <v>160</v>
      </c>
      <c r="D310" s="14" t="s">
        <v>196</v>
      </c>
      <c r="E310" s="14" t="s">
        <v>172</v>
      </c>
      <c r="F310" s="14" t="s">
        <v>191</v>
      </c>
      <c r="G310" s="14" t="n">
        <v>3</v>
      </c>
      <c r="H310" s="14" t="s">
        <v>158</v>
      </c>
      <c r="I310" s="14" t="s">
        <v>895</v>
      </c>
      <c r="J310" s="15" t="n">
        <f aca="false">IF(B310="SITE LOSS",IF(D310=C310,1,0),IF(B310="REGION LOSS",IF(E310=C310,1,0),0))</f>
        <v>0</v>
      </c>
      <c r="K310" s="15" t="n">
        <f aca="false">IF(B310="SITE LOSS",IF(COUNTIFS('Site Dockets'!$B$7:$B$24,C310,'Site Dockets'!$C$7:$C$24,F310)&gt;0,1,0),IF(B310="REGION LOSS",IF(COUNTIFS('Site Dockets'!$E$7:$E$24,C310,'Site Dockets'!$C$7:$C$24,F310)&gt;0,1,0),0))</f>
        <v>0</v>
      </c>
      <c r="L310" s="15" t="n">
        <f aca="false">IF(J310=1,0,Inputs!$B$11)</f>
        <v>100</v>
      </c>
      <c r="M310" s="15" t="n">
        <f aca="false">IF(J310=1,0,Inputs!$B$12)</f>
        <v>75</v>
      </c>
      <c r="N310" s="15" t="n">
        <f aca="false">IF(J310=1,0,IF(OR(AND(OR(B310="SITE LOSS",B310="REGION LOSS"),K310=1),AND(B310="ROLE COMPROMISE",H310=C310)),Inputs!$B$13,Inputs!$B$14))</f>
        <v>10</v>
      </c>
      <c r="O310" s="15" t="n">
        <f aca="false">IF(J310=1,0,Inputs!$B$13)</f>
        <v>20</v>
      </c>
      <c r="P310" s="15" t="n">
        <f aca="false">SUM(M310:N310)</f>
        <v>85</v>
      </c>
      <c r="Q310" s="15" t="n">
        <f aca="false">IF(J310=1,"",L310-P310)</f>
        <v>15</v>
      </c>
      <c r="R310" s="15" t="n">
        <f aca="false">IF(OR(J310=1,M310&lt;=Inputs!$B$12),1,0)</f>
        <v>1</v>
      </c>
      <c r="S310" s="15" t="n">
        <f aca="false">IF(OR(J310=1,N310&lt;=O310),1,0)</f>
        <v>1</v>
      </c>
      <c r="T310" s="15" t="str">
        <f aca="false">IF(J310=1,"OFFLINE",IF(AND(Q310&gt;=Inputs!$B$15,R310=1,S310=1,P310&lt;=L310),"PASS","FAIL"))</f>
        <v>PASS</v>
      </c>
    </row>
    <row r="311" customFormat="false" ht="15" hidden="false" customHeight="false" outlineLevel="0" collapsed="false">
      <c r="A311" s="14" t="s">
        <v>1021</v>
      </c>
      <c r="B311" s="14" t="s">
        <v>1019</v>
      </c>
      <c r="C311" s="14" t="s">
        <v>160</v>
      </c>
      <c r="D311" s="14" t="s">
        <v>196</v>
      </c>
      <c r="E311" s="14" t="s">
        <v>172</v>
      </c>
      <c r="F311" s="14" t="s">
        <v>191</v>
      </c>
      <c r="G311" s="14" t="n">
        <v>3</v>
      </c>
      <c r="H311" s="14" t="s">
        <v>158</v>
      </c>
      <c r="I311" s="14" t="s">
        <v>897</v>
      </c>
      <c r="J311" s="15" t="n">
        <f aca="false">IF(B311="SITE LOSS",IF(D311=C311,1,0),IF(B311="REGION LOSS",IF(E311=C311,1,0),0))</f>
        <v>0</v>
      </c>
      <c r="K311" s="15" t="n">
        <f aca="false">IF(B311="SITE LOSS",IF(COUNTIFS('Site Dockets'!$B$7:$B$24,C311,'Site Dockets'!$C$7:$C$24,F311)&gt;0,1,0),IF(B311="REGION LOSS",IF(COUNTIFS('Site Dockets'!$E$7:$E$24,C311,'Site Dockets'!$C$7:$C$24,F311)&gt;0,1,0),0))</f>
        <v>0</v>
      </c>
      <c r="L311" s="15" t="n">
        <f aca="false">IF(J311=1,0,Inputs!$B$11)</f>
        <v>100</v>
      </c>
      <c r="M311" s="15" t="n">
        <f aca="false">IF(J311=1,0,Inputs!$B$12)</f>
        <v>75</v>
      </c>
      <c r="N311" s="15" t="n">
        <f aca="false">IF(J311=1,0,IF(OR(AND(OR(B311="SITE LOSS",B311="REGION LOSS"),K311=1),AND(B311="ROLE COMPROMISE",H311=C311)),Inputs!$B$13,Inputs!$B$14))</f>
        <v>10</v>
      </c>
      <c r="O311" s="15" t="n">
        <f aca="false">IF(J311=1,0,Inputs!$B$13)</f>
        <v>20</v>
      </c>
      <c r="P311" s="15" t="n">
        <f aca="false">SUM(M311:N311)</f>
        <v>85</v>
      </c>
      <c r="Q311" s="15" t="n">
        <f aca="false">IF(J311=1,"",L311-P311)</f>
        <v>15</v>
      </c>
      <c r="R311" s="15" t="n">
        <f aca="false">IF(OR(J311=1,M311&lt;=Inputs!$B$12),1,0)</f>
        <v>1</v>
      </c>
      <c r="S311" s="15" t="n">
        <f aca="false">IF(OR(J311=1,N311&lt;=O311),1,0)</f>
        <v>1</v>
      </c>
      <c r="T311" s="15" t="str">
        <f aca="false">IF(J311=1,"OFFLINE",IF(AND(Q311&gt;=Inputs!$B$15,R311=1,S311=1,P311&lt;=L311),"PASS","FAIL"))</f>
        <v>PASS</v>
      </c>
    </row>
    <row r="312" customFormat="false" ht="15" hidden="false" customHeight="false" outlineLevel="0" collapsed="false">
      <c r="A312" s="14" t="s">
        <v>1021</v>
      </c>
      <c r="B312" s="14" t="s">
        <v>1019</v>
      </c>
      <c r="C312" s="14" t="s">
        <v>160</v>
      </c>
      <c r="D312" s="14" t="s">
        <v>196</v>
      </c>
      <c r="E312" s="14" t="s">
        <v>172</v>
      </c>
      <c r="F312" s="14" t="s">
        <v>191</v>
      </c>
      <c r="G312" s="14" t="n">
        <v>3</v>
      </c>
      <c r="H312" s="14" t="s">
        <v>158</v>
      </c>
      <c r="I312" s="14" t="s">
        <v>899</v>
      </c>
      <c r="J312" s="15" t="n">
        <f aca="false">IF(B312="SITE LOSS",IF(D312=C312,1,0),IF(B312="REGION LOSS",IF(E312=C312,1,0),0))</f>
        <v>0</v>
      </c>
      <c r="K312" s="15" t="n">
        <f aca="false">IF(B312="SITE LOSS",IF(COUNTIFS('Site Dockets'!$B$7:$B$24,C312,'Site Dockets'!$C$7:$C$24,F312)&gt;0,1,0),IF(B312="REGION LOSS",IF(COUNTIFS('Site Dockets'!$E$7:$E$24,C312,'Site Dockets'!$C$7:$C$24,F312)&gt;0,1,0),0))</f>
        <v>0</v>
      </c>
      <c r="L312" s="15" t="n">
        <f aca="false">IF(J312=1,0,Inputs!$B$11)</f>
        <v>100</v>
      </c>
      <c r="M312" s="15" t="n">
        <f aca="false">IF(J312=1,0,Inputs!$B$12)</f>
        <v>75</v>
      </c>
      <c r="N312" s="15" t="n">
        <f aca="false">IF(J312=1,0,IF(OR(AND(OR(B312="SITE LOSS",B312="REGION LOSS"),K312=1),AND(B312="ROLE COMPROMISE",H312=C312)),Inputs!$B$13,Inputs!$B$14))</f>
        <v>10</v>
      </c>
      <c r="O312" s="15" t="n">
        <f aca="false">IF(J312=1,0,Inputs!$B$13)</f>
        <v>20</v>
      </c>
      <c r="P312" s="15" t="n">
        <f aca="false">SUM(M312:N312)</f>
        <v>85</v>
      </c>
      <c r="Q312" s="15" t="n">
        <f aca="false">IF(J312=1,"",L312-P312)</f>
        <v>15</v>
      </c>
      <c r="R312" s="15" t="n">
        <f aca="false">IF(OR(J312=1,M312&lt;=Inputs!$B$12),1,0)</f>
        <v>1</v>
      </c>
      <c r="S312" s="15" t="n">
        <f aca="false">IF(OR(J312=1,N312&lt;=O312),1,0)</f>
        <v>1</v>
      </c>
      <c r="T312" s="15" t="str">
        <f aca="false">IF(J312=1,"OFFLINE",IF(AND(Q312&gt;=Inputs!$B$15,R312=1,S312=1,P312&lt;=L312),"PASS","FAIL"))</f>
        <v>PASS</v>
      </c>
    </row>
    <row r="313" customFormat="false" ht="15" hidden="false" customHeight="false" outlineLevel="0" collapsed="false">
      <c r="A313" s="14" t="s">
        <v>1021</v>
      </c>
      <c r="B313" s="14" t="s">
        <v>1019</v>
      </c>
      <c r="C313" s="14" t="s">
        <v>160</v>
      </c>
      <c r="D313" s="14" t="s">
        <v>198</v>
      </c>
      <c r="E313" s="14" t="s">
        <v>166</v>
      </c>
      <c r="F313" s="14" t="s">
        <v>199</v>
      </c>
      <c r="G313" s="14" t="n">
        <v>1</v>
      </c>
      <c r="H313" s="14" t="s">
        <v>154</v>
      </c>
      <c r="I313" s="14" t="s">
        <v>890</v>
      </c>
      <c r="J313" s="15" t="n">
        <f aca="false">IF(B313="SITE LOSS",IF(D313=C313,1,0),IF(B313="REGION LOSS",IF(E313=C313,1,0),0))</f>
        <v>0</v>
      </c>
      <c r="K313" s="15" t="n">
        <f aca="false">IF(B313="SITE LOSS",IF(COUNTIFS('Site Dockets'!$B$7:$B$24,C313,'Site Dockets'!$C$7:$C$24,F313)&gt;0,1,0),IF(B313="REGION LOSS",IF(COUNTIFS('Site Dockets'!$E$7:$E$24,C313,'Site Dockets'!$C$7:$C$24,F313)&gt;0,1,0),0))</f>
        <v>0</v>
      </c>
      <c r="L313" s="15" t="n">
        <f aca="false">IF(J313=1,0,Inputs!$B$11)</f>
        <v>100</v>
      </c>
      <c r="M313" s="15" t="n">
        <f aca="false">IF(J313=1,0,Inputs!$B$12)</f>
        <v>75</v>
      </c>
      <c r="N313" s="15" t="n">
        <f aca="false">IF(J313=1,0,IF(OR(AND(OR(B313="SITE LOSS",B313="REGION LOSS"),K313=1),AND(B313="ROLE COMPROMISE",H313=C313)),Inputs!$B$13,Inputs!$B$14))</f>
        <v>10</v>
      </c>
      <c r="O313" s="15" t="n">
        <f aca="false">IF(J313=1,0,Inputs!$B$13)</f>
        <v>20</v>
      </c>
      <c r="P313" s="15" t="n">
        <f aca="false">SUM(M313:N313)</f>
        <v>85</v>
      </c>
      <c r="Q313" s="15" t="n">
        <f aca="false">IF(J313=1,"",L313-P313)</f>
        <v>15</v>
      </c>
      <c r="R313" s="15" t="n">
        <f aca="false">IF(OR(J313=1,M313&lt;=Inputs!$B$12),1,0)</f>
        <v>1</v>
      </c>
      <c r="S313" s="15" t="n">
        <f aca="false">IF(OR(J313=1,N313&lt;=O313),1,0)</f>
        <v>1</v>
      </c>
      <c r="T313" s="15" t="str">
        <f aca="false">IF(J313=1,"OFFLINE",IF(AND(Q313&gt;=Inputs!$B$15,R313=1,S313=1,P313&lt;=L313),"PASS","FAIL"))</f>
        <v>PASS</v>
      </c>
    </row>
    <row r="314" customFormat="false" ht="15" hidden="false" customHeight="false" outlineLevel="0" collapsed="false">
      <c r="A314" s="14" t="s">
        <v>1021</v>
      </c>
      <c r="B314" s="14" t="s">
        <v>1019</v>
      </c>
      <c r="C314" s="14" t="s">
        <v>160</v>
      </c>
      <c r="D314" s="14" t="s">
        <v>198</v>
      </c>
      <c r="E314" s="14" t="s">
        <v>166</v>
      </c>
      <c r="F314" s="14" t="s">
        <v>199</v>
      </c>
      <c r="G314" s="14" t="n">
        <v>1</v>
      </c>
      <c r="H314" s="14" t="s">
        <v>154</v>
      </c>
      <c r="I314" s="14" t="s">
        <v>892</v>
      </c>
      <c r="J314" s="15" t="n">
        <f aca="false">IF(B314="SITE LOSS",IF(D314=C314,1,0),IF(B314="REGION LOSS",IF(E314=C314,1,0),0))</f>
        <v>0</v>
      </c>
      <c r="K314" s="15" t="n">
        <f aca="false">IF(B314="SITE LOSS",IF(COUNTIFS('Site Dockets'!$B$7:$B$24,C314,'Site Dockets'!$C$7:$C$24,F314)&gt;0,1,0),IF(B314="REGION LOSS",IF(COUNTIFS('Site Dockets'!$E$7:$E$24,C314,'Site Dockets'!$C$7:$C$24,F314)&gt;0,1,0),0))</f>
        <v>0</v>
      </c>
      <c r="L314" s="15" t="n">
        <f aca="false">IF(J314=1,0,Inputs!$B$11)</f>
        <v>100</v>
      </c>
      <c r="M314" s="15" t="n">
        <f aca="false">IF(J314=1,0,Inputs!$B$12)</f>
        <v>75</v>
      </c>
      <c r="N314" s="15" t="n">
        <f aca="false">IF(J314=1,0,IF(OR(AND(OR(B314="SITE LOSS",B314="REGION LOSS"),K314=1),AND(B314="ROLE COMPROMISE",H314=C314)),Inputs!$B$13,Inputs!$B$14))</f>
        <v>10</v>
      </c>
      <c r="O314" s="15" t="n">
        <f aca="false">IF(J314=1,0,Inputs!$B$13)</f>
        <v>20</v>
      </c>
      <c r="P314" s="15" t="n">
        <f aca="false">SUM(M314:N314)</f>
        <v>85</v>
      </c>
      <c r="Q314" s="15" t="n">
        <f aca="false">IF(J314=1,"",L314-P314)</f>
        <v>15</v>
      </c>
      <c r="R314" s="15" t="n">
        <f aca="false">IF(OR(J314=1,M314&lt;=Inputs!$B$12),1,0)</f>
        <v>1</v>
      </c>
      <c r="S314" s="15" t="n">
        <f aca="false">IF(OR(J314=1,N314&lt;=O314),1,0)</f>
        <v>1</v>
      </c>
      <c r="T314" s="15" t="str">
        <f aca="false">IF(J314=1,"OFFLINE",IF(AND(Q314&gt;=Inputs!$B$15,R314=1,S314=1,P314&lt;=L314),"PASS","FAIL"))</f>
        <v>PASS</v>
      </c>
    </row>
    <row r="315" customFormat="false" ht="15" hidden="false" customHeight="false" outlineLevel="0" collapsed="false">
      <c r="A315" s="14" t="s">
        <v>1021</v>
      </c>
      <c r="B315" s="14" t="s">
        <v>1019</v>
      </c>
      <c r="C315" s="14" t="s">
        <v>160</v>
      </c>
      <c r="D315" s="14" t="s">
        <v>198</v>
      </c>
      <c r="E315" s="14" t="s">
        <v>166</v>
      </c>
      <c r="F315" s="14" t="s">
        <v>199</v>
      </c>
      <c r="G315" s="14" t="n">
        <v>1</v>
      </c>
      <c r="H315" s="14" t="s">
        <v>154</v>
      </c>
      <c r="I315" s="14" t="s">
        <v>811</v>
      </c>
      <c r="J315" s="15" t="n">
        <f aca="false">IF(B315="SITE LOSS",IF(D315=C315,1,0),IF(B315="REGION LOSS",IF(E315=C315,1,0),0))</f>
        <v>0</v>
      </c>
      <c r="K315" s="15" t="n">
        <f aca="false">IF(B315="SITE LOSS",IF(COUNTIFS('Site Dockets'!$B$7:$B$24,C315,'Site Dockets'!$C$7:$C$24,F315)&gt;0,1,0),IF(B315="REGION LOSS",IF(COUNTIFS('Site Dockets'!$E$7:$E$24,C315,'Site Dockets'!$C$7:$C$24,F315)&gt;0,1,0),0))</f>
        <v>0</v>
      </c>
      <c r="L315" s="15" t="n">
        <f aca="false">IF(J315=1,0,Inputs!$B$11)</f>
        <v>100</v>
      </c>
      <c r="M315" s="15" t="n">
        <f aca="false">IF(J315=1,0,Inputs!$B$12)</f>
        <v>75</v>
      </c>
      <c r="N315" s="15" t="n">
        <f aca="false">IF(J315=1,0,IF(OR(AND(OR(B315="SITE LOSS",B315="REGION LOSS"),K315=1),AND(B315="ROLE COMPROMISE",H315=C315)),Inputs!$B$13,Inputs!$B$14))</f>
        <v>10</v>
      </c>
      <c r="O315" s="15" t="n">
        <f aca="false">IF(J315=1,0,Inputs!$B$13)</f>
        <v>20</v>
      </c>
      <c r="P315" s="15" t="n">
        <f aca="false">SUM(M315:N315)</f>
        <v>85</v>
      </c>
      <c r="Q315" s="15" t="n">
        <f aca="false">IF(J315=1,"",L315-P315)</f>
        <v>15</v>
      </c>
      <c r="R315" s="15" t="n">
        <f aca="false">IF(OR(J315=1,M315&lt;=Inputs!$B$12),1,0)</f>
        <v>1</v>
      </c>
      <c r="S315" s="15" t="n">
        <f aca="false">IF(OR(J315=1,N315&lt;=O315),1,0)</f>
        <v>1</v>
      </c>
      <c r="T315" s="15" t="str">
        <f aca="false">IF(J315=1,"OFFLINE",IF(AND(Q315&gt;=Inputs!$B$15,R315=1,S315=1,P315&lt;=L315),"PASS","FAIL"))</f>
        <v>PASS</v>
      </c>
    </row>
    <row r="316" customFormat="false" ht="15" hidden="false" customHeight="false" outlineLevel="0" collapsed="false">
      <c r="A316" s="14" t="s">
        <v>1021</v>
      </c>
      <c r="B316" s="14" t="s">
        <v>1019</v>
      </c>
      <c r="C316" s="14" t="s">
        <v>160</v>
      </c>
      <c r="D316" s="14" t="s">
        <v>198</v>
      </c>
      <c r="E316" s="14" t="s">
        <v>166</v>
      </c>
      <c r="F316" s="14" t="s">
        <v>199</v>
      </c>
      <c r="G316" s="14" t="n">
        <v>1</v>
      </c>
      <c r="H316" s="14" t="s">
        <v>154</v>
      </c>
      <c r="I316" s="14" t="s">
        <v>895</v>
      </c>
      <c r="J316" s="15" t="n">
        <f aca="false">IF(B316="SITE LOSS",IF(D316=C316,1,0),IF(B316="REGION LOSS",IF(E316=C316,1,0),0))</f>
        <v>0</v>
      </c>
      <c r="K316" s="15" t="n">
        <f aca="false">IF(B316="SITE LOSS",IF(COUNTIFS('Site Dockets'!$B$7:$B$24,C316,'Site Dockets'!$C$7:$C$24,F316)&gt;0,1,0),IF(B316="REGION LOSS",IF(COUNTIFS('Site Dockets'!$E$7:$E$24,C316,'Site Dockets'!$C$7:$C$24,F316)&gt;0,1,0),0))</f>
        <v>0</v>
      </c>
      <c r="L316" s="15" t="n">
        <f aca="false">IF(J316=1,0,Inputs!$B$11)</f>
        <v>100</v>
      </c>
      <c r="M316" s="15" t="n">
        <f aca="false">IF(J316=1,0,Inputs!$B$12)</f>
        <v>75</v>
      </c>
      <c r="N316" s="15" t="n">
        <f aca="false">IF(J316=1,0,IF(OR(AND(OR(B316="SITE LOSS",B316="REGION LOSS"),K316=1),AND(B316="ROLE COMPROMISE",H316=C316)),Inputs!$B$13,Inputs!$B$14))</f>
        <v>10</v>
      </c>
      <c r="O316" s="15" t="n">
        <f aca="false">IF(J316=1,0,Inputs!$B$13)</f>
        <v>20</v>
      </c>
      <c r="P316" s="15" t="n">
        <f aca="false">SUM(M316:N316)</f>
        <v>85</v>
      </c>
      <c r="Q316" s="15" t="n">
        <f aca="false">IF(J316=1,"",L316-P316)</f>
        <v>15</v>
      </c>
      <c r="R316" s="15" t="n">
        <f aca="false">IF(OR(J316=1,M316&lt;=Inputs!$B$12),1,0)</f>
        <v>1</v>
      </c>
      <c r="S316" s="15" t="n">
        <f aca="false">IF(OR(J316=1,N316&lt;=O316),1,0)</f>
        <v>1</v>
      </c>
      <c r="T316" s="15" t="str">
        <f aca="false">IF(J316=1,"OFFLINE",IF(AND(Q316&gt;=Inputs!$B$15,R316=1,S316=1,P316&lt;=L316),"PASS","FAIL"))</f>
        <v>PASS</v>
      </c>
    </row>
    <row r="317" customFormat="false" ht="15" hidden="false" customHeight="false" outlineLevel="0" collapsed="false">
      <c r="A317" s="14" t="s">
        <v>1021</v>
      </c>
      <c r="B317" s="14" t="s">
        <v>1019</v>
      </c>
      <c r="C317" s="14" t="s">
        <v>160</v>
      </c>
      <c r="D317" s="14" t="s">
        <v>198</v>
      </c>
      <c r="E317" s="14" t="s">
        <v>166</v>
      </c>
      <c r="F317" s="14" t="s">
        <v>199</v>
      </c>
      <c r="G317" s="14" t="n">
        <v>1</v>
      </c>
      <c r="H317" s="14" t="s">
        <v>154</v>
      </c>
      <c r="I317" s="14" t="s">
        <v>897</v>
      </c>
      <c r="J317" s="15" t="n">
        <f aca="false">IF(B317="SITE LOSS",IF(D317=C317,1,0),IF(B317="REGION LOSS",IF(E317=C317,1,0),0))</f>
        <v>0</v>
      </c>
      <c r="K317" s="15" t="n">
        <f aca="false">IF(B317="SITE LOSS",IF(COUNTIFS('Site Dockets'!$B$7:$B$24,C317,'Site Dockets'!$C$7:$C$24,F317)&gt;0,1,0),IF(B317="REGION LOSS",IF(COUNTIFS('Site Dockets'!$E$7:$E$24,C317,'Site Dockets'!$C$7:$C$24,F317)&gt;0,1,0),0))</f>
        <v>0</v>
      </c>
      <c r="L317" s="15" t="n">
        <f aca="false">IF(J317=1,0,Inputs!$B$11)</f>
        <v>100</v>
      </c>
      <c r="M317" s="15" t="n">
        <f aca="false">IF(J317=1,0,Inputs!$B$12)</f>
        <v>75</v>
      </c>
      <c r="N317" s="15" t="n">
        <f aca="false">IF(J317=1,0,IF(OR(AND(OR(B317="SITE LOSS",B317="REGION LOSS"),K317=1),AND(B317="ROLE COMPROMISE",H317=C317)),Inputs!$B$13,Inputs!$B$14))</f>
        <v>10</v>
      </c>
      <c r="O317" s="15" t="n">
        <f aca="false">IF(J317=1,0,Inputs!$B$13)</f>
        <v>20</v>
      </c>
      <c r="P317" s="15" t="n">
        <f aca="false">SUM(M317:N317)</f>
        <v>85</v>
      </c>
      <c r="Q317" s="15" t="n">
        <f aca="false">IF(J317=1,"",L317-P317)</f>
        <v>15</v>
      </c>
      <c r="R317" s="15" t="n">
        <f aca="false">IF(OR(J317=1,M317&lt;=Inputs!$B$12),1,0)</f>
        <v>1</v>
      </c>
      <c r="S317" s="15" t="n">
        <f aca="false">IF(OR(J317=1,N317&lt;=O317),1,0)</f>
        <v>1</v>
      </c>
      <c r="T317" s="15" t="str">
        <f aca="false">IF(J317=1,"OFFLINE",IF(AND(Q317&gt;=Inputs!$B$15,R317=1,S317=1,P317&lt;=L317),"PASS","FAIL"))</f>
        <v>PASS</v>
      </c>
    </row>
    <row r="318" customFormat="false" ht="15" hidden="false" customHeight="false" outlineLevel="0" collapsed="false">
      <c r="A318" s="14" t="s">
        <v>1021</v>
      </c>
      <c r="B318" s="14" t="s">
        <v>1019</v>
      </c>
      <c r="C318" s="14" t="s">
        <v>160</v>
      </c>
      <c r="D318" s="14" t="s">
        <v>198</v>
      </c>
      <c r="E318" s="14" t="s">
        <v>166</v>
      </c>
      <c r="F318" s="14" t="s">
        <v>199</v>
      </c>
      <c r="G318" s="14" t="n">
        <v>1</v>
      </c>
      <c r="H318" s="14" t="s">
        <v>154</v>
      </c>
      <c r="I318" s="14" t="s">
        <v>899</v>
      </c>
      <c r="J318" s="15" t="n">
        <f aca="false">IF(B318="SITE LOSS",IF(D318=C318,1,0),IF(B318="REGION LOSS",IF(E318=C318,1,0),0))</f>
        <v>0</v>
      </c>
      <c r="K318" s="15" t="n">
        <f aca="false">IF(B318="SITE LOSS",IF(COUNTIFS('Site Dockets'!$B$7:$B$24,C318,'Site Dockets'!$C$7:$C$24,F318)&gt;0,1,0),IF(B318="REGION LOSS",IF(COUNTIFS('Site Dockets'!$E$7:$E$24,C318,'Site Dockets'!$C$7:$C$24,F318)&gt;0,1,0),0))</f>
        <v>0</v>
      </c>
      <c r="L318" s="15" t="n">
        <f aca="false">IF(J318=1,0,Inputs!$B$11)</f>
        <v>100</v>
      </c>
      <c r="M318" s="15" t="n">
        <f aca="false">IF(J318=1,0,Inputs!$B$12)</f>
        <v>75</v>
      </c>
      <c r="N318" s="15" t="n">
        <f aca="false">IF(J318=1,0,IF(OR(AND(OR(B318="SITE LOSS",B318="REGION LOSS"),K318=1),AND(B318="ROLE COMPROMISE",H318=C318)),Inputs!$B$13,Inputs!$B$14))</f>
        <v>10</v>
      </c>
      <c r="O318" s="15" t="n">
        <f aca="false">IF(J318=1,0,Inputs!$B$13)</f>
        <v>20</v>
      </c>
      <c r="P318" s="15" t="n">
        <f aca="false">SUM(M318:N318)</f>
        <v>85</v>
      </c>
      <c r="Q318" s="15" t="n">
        <f aca="false">IF(J318=1,"",L318-P318)</f>
        <v>15</v>
      </c>
      <c r="R318" s="15" t="n">
        <f aca="false">IF(OR(J318=1,M318&lt;=Inputs!$B$12),1,0)</f>
        <v>1</v>
      </c>
      <c r="S318" s="15" t="n">
        <f aca="false">IF(OR(J318=1,N318&lt;=O318),1,0)</f>
        <v>1</v>
      </c>
      <c r="T318" s="15" t="str">
        <f aca="false">IF(J318=1,"OFFLINE",IF(AND(Q318&gt;=Inputs!$B$15,R318=1,S318=1,P318&lt;=L318),"PASS","FAIL"))</f>
        <v>PASS</v>
      </c>
    </row>
    <row r="319" customFormat="false" ht="15" hidden="false" customHeight="false" outlineLevel="0" collapsed="false">
      <c r="A319" s="14" t="s">
        <v>1021</v>
      </c>
      <c r="B319" s="14" t="s">
        <v>1019</v>
      </c>
      <c r="C319" s="14" t="s">
        <v>160</v>
      </c>
      <c r="D319" s="14" t="s">
        <v>202</v>
      </c>
      <c r="E319" s="14" t="s">
        <v>157</v>
      </c>
      <c r="F319" s="14" t="s">
        <v>199</v>
      </c>
      <c r="G319" s="14" t="n">
        <v>2</v>
      </c>
      <c r="H319" s="14" t="s">
        <v>153</v>
      </c>
      <c r="I319" s="14" t="s">
        <v>890</v>
      </c>
      <c r="J319" s="15" t="n">
        <f aca="false">IF(B319="SITE LOSS",IF(D319=C319,1,0),IF(B319="REGION LOSS",IF(E319=C319,1,0),0))</f>
        <v>0</v>
      </c>
      <c r="K319" s="15" t="n">
        <f aca="false">IF(B319="SITE LOSS",IF(COUNTIFS('Site Dockets'!$B$7:$B$24,C319,'Site Dockets'!$C$7:$C$24,F319)&gt;0,1,0),IF(B319="REGION LOSS",IF(COUNTIFS('Site Dockets'!$E$7:$E$24,C319,'Site Dockets'!$C$7:$C$24,F319)&gt;0,1,0),0))</f>
        <v>0</v>
      </c>
      <c r="L319" s="15" t="n">
        <f aca="false">IF(J319=1,0,Inputs!$B$11)</f>
        <v>100</v>
      </c>
      <c r="M319" s="15" t="n">
        <f aca="false">IF(J319=1,0,Inputs!$B$12)</f>
        <v>75</v>
      </c>
      <c r="N319" s="15" t="n">
        <f aca="false">IF(J319=1,0,IF(OR(AND(OR(B319="SITE LOSS",B319="REGION LOSS"),K319=1),AND(B319="ROLE COMPROMISE",H319=C319)),Inputs!$B$13,Inputs!$B$14))</f>
        <v>10</v>
      </c>
      <c r="O319" s="15" t="n">
        <f aca="false">IF(J319=1,0,Inputs!$B$13)</f>
        <v>20</v>
      </c>
      <c r="P319" s="15" t="n">
        <f aca="false">SUM(M319:N319)</f>
        <v>85</v>
      </c>
      <c r="Q319" s="15" t="n">
        <f aca="false">IF(J319=1,"",L319-P319)</f>
        <v>15</v>
      </c>
      <c r="R319" s="15" t="n">
        <f aca="false">IF(OR(J319=1,M319&lt;=Inputs!$B$12),1,0)</f>
        <v>1</v>
      </c>
      <c r="S319" s="15" t="n">
        <f aca="false">IF(OR(J319=1,N319&lt;=O319),1,0)</f>
        <v>1</v>
      </c>
      <c r="T319" s="15" t="str">
        <f aca="false">IF(J319=1,"OFFLINE",IF(AND(Q319&gt;=Inputs!$B$15,R319=1,S319=1,P319&lt;=L319),"PASS","FAIL"))</f>
        <v>PASS</v>
      </c>
    </row>
    <row r="320" customFormat="false" ht="15" hidden="false" customHeight="false" outlineLevel="0" collapsed="false">
      <c r="A320" s="14" t="s">
        <v>1021</v>
      </c>
      <c r="B320" s="14" t="s">
        <v>1019</v>
      </c>
      <c r="C320" s="14" t="s">
        <v>160</v>
      </c>
      <c r="D320" s="14" t="s">
        <v>202</v>
      </c>
      <c r="E320" s="14" t="s">
        <v>157</v>
      </c>
      <c r="F320" s="14" t="s">
        <v>199</v>
      </c>
      <c r="G320" s="14" t="n">
        <v>2</v>
      </c>
      <c r="H320" s="14" t="s">
        <v>153</v>
      </c>
      <c r="I320" s="14" t="s">
        <v>892</v>
      </c>
      <c r="J320" s="15" t="n">
        <f aca="false">IF(B320="SITE LOSS",IF(D320=C320,1,0),IF(B320="REGION LOSS",IF(E320=C320,1,0),0))</f>
        <v>0</v>
      </c>
      <c r="K320" s="15" t="n">
        <f aca="false">IF(B320="SITE LOSS",IF(COUNTIFS('Site Dockets'!$B$7:$B$24,C320,'Site Dockets'!$C$7:$C$24,F320)&gt;0,1,0),IF(B320="REGION LOSS",IF(COUNTIFS('Site Dockets'!$E$7:$E$24,C320,'Site Dockets'!$C$7:$C$24,F320)&gt;0,1,0),0))</f>
        <v>0</v>
      </c>
      <c r="L320" s="15" t="n">
        <f aca="false">IF(J320=1,0,Inputs!$B$11)</f>
        <v>100</v>
      </c>
      <c r="M320" s="15" t="n">
        <f aca="false">IF(J320=1,0,Inputs!$B$12)</f>
        <v>75</v>
      </c>
      <c r="N320" s="15" t="n">
        <f aca="false">IF(J320=1,0,IF(OR(AND(OR(B320="SITE LOSS",B320="REGION LOSS"),K320=1),AND(B320="ROLE COMPROMISE",H320=C320)),Inputs!$B$13,Inputs!$B$14))</f>
        <v>10</v>
      </c>
      <c r="O320" s="15" t="n">
        <f aca="false">IF(J320=1,0,Inputs!$B$13)</f>
        <v>20</v>
      </c>
      <c r="P320" s="15" t="n">
        <f aca="false">SUM(M320:N320)</f>
        <v>85</v>
      </c>
      <c r="Q320" s="15" t="n">
        <f aca="false">IF(J320=1,"",L320-P320)</f>
        <v>15</v>
      </c>
      <c r="R320" s="15" t="n">
        <f aca="false">IF(OR(J320=1,M320&lt;=Inputs!$B$12),1,0)</f>
        <v>1</v>
      </c>
      <c r="S320" s="15" t="n">
        <f aca="false">IF(OR(J320=1,N320&lt;=O320),1,0)</f>
        <v>1</v>
      </c>
      <c r="T320" s="15" t="str">
        <f aca="false">IF(J320=1,"OFFLINE",IF(AND(Q320&gt;=Inputs!$B$15,R320=1,S320=1,P320&lt;=L320),"PASS","FAIL"))</f>
        <v>PASS</v>
      </c>
    </row>
    <row r="321" customFormat="false" ht="15" hidden="false" customHeight="false" outlineLevel="0" collapsed="false">
      <c r="A321" s="14" t="s">
        <v>1021</v>
      </c>
      <c r="B321" s="14" t="s">
        <v>1019</v>
      </c>
      <c r="C321" s="14" t="s">
        <v>160</v>
      </c>
      <c r="D321" s="14" t="s">
        <v>202</v>
      </c>
      <c r="E321" s="14" t="s">
        <v>157</v>
      </c>
      <c r="F321" s="14" t="s">
        <v>199</v>
      </c>
      <c r="G321" s="14" t="n">
        <v>2</v>
      </c>
      <c r="H321" s="14" t="s">
        <v>153</v>
      </c>
      <c r="I321" s="14" t="s">
        <v>811</v>
      </c>
      <c r="J321" s="15" t="n">
        <f aca="false">IF(B321="SITE LOSS",IF(D321=C321,1,0),IF(B321="REGION LOSS",IF(E321=C321,1,0),0))</f>
        <v>0</v>
      </c>
      <c r="K321" s="15" t="n">
        <f aca="false">IF(B321="SITE LOSS",IF(COUNTIFS('Site Dockets'!$B$7:$B$24,C321,'Site Dockets'!$C$7:$C$24,F321)&gt;0,1,0),IF(B321="REGION LOSS",IF(COUNTIFS('Site Dockets'!$E$7:$E$24,C321,'Site Dockets'!$C$7:$C$24,F321)&gt;0,1,0),0))</f>
        <v>0</v>
      </c>
      <c r="L321" s="15" t="n">
        <f aca="false">IF(J321=1,0,Inputs!$B$11)</f>
        <v>100</v>
      </c>
      <c r="M321" s="15" t="n">
        <f aca="false">IF(J321=1,0,Inputs!$B$12)</f>
        <v>75</v>
      </c>
      <c r="N321" s="15" t="n">
        <f aca="false">IF(J321=1,0,IF(OR(AND(OR(B321="SITE LOSS",B321="REGION LOSS"),K321=1),AND(B321="ROLE COMPROMISE",H321=C321)),Inputs!$B$13,Inputs!$B$14))</f>
        <v>10</v>
      </c>
      <c r="O321" s="15" t="n">
        <f aca="false">IF(J321=1,0,Inputs!$B$13)</f>
        <v>20</v>
      </c>
      <c r="P321" s="15" t="n">
        <f aca="false">SUM(M321:N321)</f>
        <v>85</v>
      </c>
      <c r="Q321" s="15" t="n">
        <f aca="false">IF(J321=1,"",L321-P321)</f>
        <v>15</v>
      </c>
      <c r="R321" s="15" t="n">
        <f aca="false">IF(OR(J321=1,M321&lt;=Inputs!$B$12),1,0)</f>
        <v>1</v>
      </c>
      <c r="S321" s="15" t="n">
        <f aca="false">IF(OR(J321=1,N321&lt;=O321),1,0)</f>
        <v>1</v>
      </c>
      <c r="T321" s="15" t="str">
        <f aca="false">IF(J321=1,"OFFLINE",IF(AND(Q321&gt;=Inputs!$B$15,R321=1,S321=1,P321&lt;=L321),"PASS","FAIL"))</f>
        <v>PASS</v>
      </c>
    </row>
    <row r="322" customFormat="false" ht="15" hidden="false" customHeight="false" outlineLevel="0" collapsed="false">
      <c r="A322" s="14" t="s">
        <v>1021</v>
      </c>
      <c r="B322" s="14" t="s">
        <v>1019</v>
      </c>
      <c r="C322" s="14" t="s">
        <v>160</v>
      </c>
      <c r="D322" s="14" t="s">
        <v>202</v>
      </c>
      <c r="E322" s="14" t="s">
        <v>157</v>
      </c>
      <c r="F322" s="14" t="s">
        <v>199</v>
      </c>
      <c r="G322" s="14" t="n">
        <v>2</v>
      </c>
      <c r="H322" s="14" t="s">
        <v>153</v>
      </c>
      <c r="I322" s="14" t="s">
        <v>895</v>
      </c>
      <c r="J322" s="15" t="n">
        <f aca="false">IF(B322="SITE LOSS",IF(D322=C322,1,0),IF(B322="REGION LOSS",IF(E322=C322,1,0),0))</f>
        <v>0</v>
      </c>
      <c r="K322" s="15" t="n">
        <f aca="false">IF(B322="SITE LOSS",IF(COUNTIFS('Site Dockets'!$B$7:$B$24,C322,'Site Dockets'!$C$7:$C$24,F322)&gt;0,1,0),IF(B322="REGION LOSS",IF(COUNTIFS('Site Dockets'!$E$7:$E$24,C322,'Site Dockets'!$C$7:$C$24,F322)&gt;0,1,0),0))</f>
        <v>0</v>
      </c>
      <c r="L322" s="15" t="n">
        <f aca="false">IF(J322=1,0,Inputs!$B$11)</f>
        <v>100</v>
      </c>
      <c r="M322" s="15" t="n">
        <f aca="false">IF(J322=1,0,Inputs!$B$12)</f>
        <v>75</v>
      </c>
      <c r="N322" s="15" t="n">
        <f aca="false">IF(J322=1,0,IF(OR(AND(OR(B322="SITE LOSS",B322="REGION LOSS"),K322=1),AND(B322="ROLE COMPROMISE",H322=C322)),Inputs!$B$13,Inputs!$B$14))</f>
        <v>10</v>
      </c>
      <c r="O322" s="15" t="n">
        <f aca="false">IF(J322=1,0,Inputs!$B$13)</f>
        <v>20</v>
      </c>
      <c r="P322" s="15" t="n">
        <f aca="false">SUM(M322:N322)</f>
        <v>85</v>
      </c>
      <c r="Q322" s="15" t="n">
        <f aca="false">IF(J322=1,"",L322-P322)</f>
        <v>15</v>
      </c>
      <c r="R322" s="15" t="n">
        <f aca="false">IF(OR(J322=1,M322&lt;=Inputs!$B$12),1,0)</f>
        <v>1</v>
      </c>
      <c r="S322" s="15" t="n">
        <f aca="false">IF(OR(J322=1,N322&lt;=O322),1,0)</f>
        <v>1</v>
      </c>
      <c r="T322" s="15" t="str">
        <f aca="false">IF(J322=1,"OFFLINE",IF(AND(Q322&gt;=Inputs!$B$15,R322=1,S322=1,P322&lt;=L322),"PASS","FAIL"))</f>
        <v>PASS</v>
      </c>
    </row>
    <row r="323" customFormat="false" ht="15" hidden="false" customHeight="false" outlineLevel="0" collapsed="false">
      <c r="A323" s="14" t="s">
        <v>1021</v>
      </c>
      <c r="B323" s="14" t="s">
        <v>1019</v>
      </c>
      <c r="C323" s="14" t="s">
        <v>160</v>
      </c>
      <c r="D323" s="14" t="s">
        <v>202</v>
      </c>
      <c r="E323" s="14" t="s">
        <v>157</v>
      </c>
      <c r="F323" s="14" t="s">
        <v>199</v>
      </c>
      <c r="G323" s="14" t="n">
        <v>2</v>
      </c>
      <c r="H323" s="14" t="s">
        <v>153</v>
      </c>
      <c r="I323" s="14" t="s">
        <v>897</v>
      </c>
      <c r="J323" s="15" t="n">
        <f aca="false">IF(B323="SITE LOSS",IF(D323=C323,1,0),IF(B323="REGION LOSS",IF(E323=C323,1,0),0))</f>
        <v>0</v>
      </c>
      <c r="K323" s="15" t="n">
        <f aca="false">IF(B323="SITE LOSS",IF(COUNTIFS('Site Dockets'!$B$7:$B$24,C323,'Site Dockets'!$C$7:$C$24,F323)&gt;0,1,0),IF(B323="REGION LOSS",IF(COUNTIFS('Site Dockets'!$E$7:$E$24,C323,'Site Dockets'!$C$7:$C$24,F323)&gt;0,1,0),0))</f>
        <v>0</v>
      </c>
      <c r="L323" s="15" t="n">
        <f aca="false">IF(J323=1,0,Inputs!$B$11)</f>
        <v>100</v>
      </c>
      <c r="M323" s="15" t="n">
        <f aca="false">IF(J323=1,0,Inputs!$B$12)</f>
        <v>75</v>
      </c>
      <c r="N323" s="15" t="n">
        <f aca="false">IF(J323=1,0,IF(OR(AND(OR(B323="SITE LOSS",B323="REGION LOSS"),K323=1),AND(B323="ROLE COMPROMISE",H323=C323)),Inputs!$B$13,Inputs!$B$14))</f>
        <v>10</v>
      </c>
      <c r="O323" s="15" t="n">
        <f aca="false">IF(J323=1,0,Inputs!$B$13)</f>
        <v>20</v>
      </c>
      <c r="P323" s="15" t="n">
        <f aca="false">SUM(M323:N323)</f>
        <v>85</v>
      </c>
      <c r="Q323" s="15" t="n">
        <f aca="false">IF(J323=1,"",L323-P323)</f>
        <v>15</v>
      </c>
      <c r="R323" s="15" t="n">
        <f aca="false">IF(OR(J323=1,M323&lt;=Inputs!$B$12),1,0)</f>
        <v>1</v>
      </c>
      <c r="S323" s="15" t="n">
        <f aca="false">IF(OR(J323=1,N323&lt;=O323),1,0)</f>
        <v>1</v>
      </c>
      <c r="T323" s="15" t="str">
        <f aca="false">IF(J323=1,"OFFLINE",IF(AND(Q323&gt;=Inputs!$B$15,R323=1,S323=1,P323&lt;=L323),"PASS","FAIL"))</f>
        <v>PASS</v>
      </c>
    </row>
    <row r="324" customFormat="false" ht="15" hidden="false" customHeight="false" outlineLevel="0" collapsed="false">
      <c r="A324" s="14" t="s">
        <v>1021</v>
      </c>
      <c r="B324" s="14" t="s">
        <v>1019</v>
      </c>
      <c r="C324" s="14" t="s">
        <v>160</v>
      </c>
      <c r="D324" s="14" t="s">
        <v>202</v>
      </c>
      <c r="E324" s="14" t="s">
        <v>157</v>
      </c>
      <c r="F324" s="14" t="s">
        <v>199</v>
      </c>
      <c r="G324" s="14" t="n">
        <v>2</v>
      </c>
      <c r="H324" s="14" t="s">
        <v>153</v>
      </c>
      <c r="I324" s="14" t="s">
        <v>899</v>
      </c>
      <c r="J324" s="15" t="n">
        <f aca="false">IF(B324="SITE LOSS",IF(D324=C324,1,0),IF(B324="REGION LOSS",IF(E324=C324,1,0),0))</f>
        <v>0</v>
      </c>
      <c r="K324" s="15" t="n">
        <f aca="false">IF(B324="SITE LOSS",IF(COUNTIFS('Site Dockets'!$B$7:$B$24,C324,'Site Dockets'!$C$7:$C$24,F324)&gt;0,1,0),IF(B324="REGION LOSS",IF(COUNTIFS('Site Dockets'!$E$7:$E$24,C324,'Site Dockets'!$C$7:$C$24,F324)&gt;0,1,0),0))</f>
        <v>0</v>
      </c>
      <c r="L324" s="15" t="n">
        <f aca="false">IF(J324=1,0,Inputs!$B$11)</f>
        <v>100</v>
      </c>
      <c r="M324" s="15" t="n">
        <f aca="false">IF(J324=1,0,Inputs!$B$12)</f>
        <v>75</v>
      </c>
      <c r="N324" s="15" t="n">
        <f aca="false">IF(J324=1,0,IF(OR(AND(OR(B324="SITE LOSS",B324="REGION LOSS"),K324=1),AND(B324="ROLE COMPROMISE",H324=C324)),Inputs!$B$13,Inputs!$B$14))</f>
        <v>10</v>
      </c>
      <c r="O324" s="15" t="n">
        <f aca="false">IF(J324=1,0,Inputs!$B$13)</f>
        <v>20</v>
      </c>
      <c r="P324" s="15" t="n">
        <f aca="false">SUM(M324:N324)</f>
        <v>85</v>
      </c>
      <c r="Q324" s="15" t="n">
        <f aca="false">IF(J324=1,"",L324-P324)</f>
        <v>15</v>
      </c>
      <c r="R324" s="15" t="n">
        <f aca="false">IF(OR(J324=1,M324&lt;=Inputs!$B$12),1,0)</f>
        <v>1</v>
      </c>
      <c r="S324" s="15" t="n">
        <f aca="false">IF(OR(J324=1,N324&lt;=O324),1,0)</f>
        <v>1</v>
      </c>
      <c r="T324" s="15" t="str">
        <f aca="false">IF(J324=1,"OFFLINE",IF(AND(Q324&gt;=Inputs!$B$15,R324=1,S324=1,P324&lt;=L324),"PASS","FAIL"))</f>
        <v>PASS</v>
      </c>
    </row>
    <row r="325" customFormat="false" ht="15" hidden="false" customHeight="false" outlineLevel="0" collapsed="false">
      <c r="A325" s="14" t="s">
        <v>1021</v>
      </c>
      <c r="B325" s="14" t="s">
        <v>1019</v>
      </c>
      <c r="C325" s="14" t="s">
        <v>160</v>
      </c>
      <c r="D325" s="14" t="s">
        <v>204</v>
      </c>
      <c r="E325" s="14" t="s">
        <v>161</v>
      </c>
      <c r="F325" s="14" t="s">
        <v>199</v>
      </c>
      <c r="G325" s="14" t="n">
        <v>3</v>
      </c>
      <c r="H325" s="14" t="s">
        <v>158</v>
      </c>
      <c r="I325" s="14" t="s">
        <v>890</v>
      </c>
      <c r="J325" s="15" t="n">
        <f aca="false">IF(B325="SITE LOSS",IF(D325=C325,1,0),IF(B325="REGION LOSS",IF(E325=C325,1,0),0))</f>
        <v>0</v>
      </c>
      <c r="K325" s="15" t="n">
        <f aca="false">IF(B325="SITE LOSS",IF(COUNTIFS('Site Dockets'!$B$7:$B$24,C325,'Site Dockets'!$C$7:$C$24,F325)&gt;0,1,0),IF(B325="REGION LOSS",IF(COUNTIFS('Site Dockets'!$E$7:$E$24,C325,'Site Dockets'!$C$7:$C$24,F325)&gt;0,1,0),0))</f>
        <v>0</v>
      </c>
      <c r="L325" s="15" t="n">
        <f aca="false">IF(J325=1,0,Inputs!$B$11)</f>
        <v>100</v>
      </c>
      <c r="M325" s="15" t="n">
        <f aca="false">IF(J325=1,0,Inputs!$B$12)</f>
        <v>75</v>
      </c>
      <c r="N325" s="15" t="n">
        <f aca="false">IF(J325=1,0,IF(OR(AND(OR(B325="SITE LOSS",B325="REGION LOSS"),K325=1),AND(B325="ROLE COMPROMISE",H325=C325)),Inputs!$B$13,Inputs!$B$14))</f>
        <v>10</v>
      </c>
      <c r="O325" s="15" t="n">
        <f aca="false">IF(J325=1,0,Inputs!$B$13)</f>
        <v>20</v>
      </c>
      <c r="P325" s="15" t="n">
        <f aca="false">SUM(M325:N325)</f>
        <v>85</v>
      </c>
      <c r="Q325" s="15" t="n">
        <f aca="false">IF(J325=1,"",L325-P325)</f>
        <v>15</v>
      </c>
      <c r="R325" s="15" t="n">
        <f aca="false">IF(OR(J325=1,M325&lt;=Inputs!$B$12),1,0)</f>
        <v>1</v>
      </c>
      <c r="S325" s="15" t="n">
        <f aca="false">IF(OR(J325=1,N325&lt;=O325),1,0)</f>
        <v>1</v>
      </c>
      <c r="T325" s="15" t="str">
        <f aca="false">IF(J325=1,"OFFLINE",IF(AND(Q325&gt;=Inputs!$B$15,R325=1,S325=1,P325&lt;=L325),"PASS","FAIL"))</f>
        <v>PASS</v>
      </c>
    </row>
    <row r="326" customFormat="false" ht="15" hidden="false" customHeight="false" outlineLevel="0" collapsed="false">
      <c r="A326" s="14" t="s">
        <v>1021</v>
      </c>
      <c r="B326" s="14" t="s">
        <v>1019</v>
      </c>
      <c r="C326" s="14" t="s">
        <v>160</v>
      </c>
      <c r="D326" s="14" t="s">
        <v>204</v>
      </c>
      <c r="E326" s="14" t="s">
        <v>161</v>
      </c>
      <c r="F326" s="14" t="s">
        <v>199</v>
      </c>
      <c r="G326" s="14" t="n">
        <v>3</v>
      </c>
      <c r="H326" s="14" t="s">
        <v>158</v>
      </c>
      <c r="I326" s="14" t="s">
        <v>892</v>
      </c>
      <c r="J326" s="15" t="n">
        <f aca="false">IF(B326="SITE LOSS",IF(D326=C326,1,0),IF(B326="REGION LOSS",IF(E326=C326,1,0),0))</f>
        <v>0</v>
      </c>
      <c r="K326" s="15" t="n">
        <f aca="false">IF(B326="SITE LOSS",IF(COUNTIFS('Site Dockets'!$B$7:$B$24,C326,'Site Dockets'!$C$7:$C$24,F326)&gt;0,1,0),IF(B326="REGION LOSS",IF(COUNTIFS('Site Dockets'!$E$7:$E$24,C326,'Site Dockets'!$C$7:$C$24,F326)&gt;0,1,0),0))</f>
        <v>0</v>
      </c>
      <c r="L326" s="15" t="n">
        <f aca="false">IF(J326=1,0,Inputs!$B$11)</f>
        <v>100</v>
      </c>
      <c r="M326" s="15" t="n">
        <f aca="false">IF(J326=1,0,Inputs!$B$12)</f>
        <v>75</v>
      </c>
      <c r="N326" s="15" t="n">
        <f aca="false">IF(J326=1,0,IF(OR(AND(OR(B326="SITE LOSS",B326="REGION LOSS"),K326=1),AND(B326="ROLE COMPROMISE",H326=C326)),Inputs!$B$13,Inputs!$B$14))</f>
        <v>10</v>
      </c>
      <c r="O326" s="15" t="n">
        <f aca="false">IF(J326=1,0,Inputs!$B$13)</f>
        <v>20</v>
      </c>
      <c r="P326" s="15" t="n">
        <f aca="false">SUM(M326:N326)</f>
        <v>85</v>
      </c>
      <c r="Q326" s="15" t="n">
        <f aca="false">IF(J326=1,"",L326-P326)</f>
        <v>15</v>
      </c>
      <c r="R326" s="15" t="n">
        <f aca="false">IF(OR(J326=1,M326&lt;=Inputs!$B$12),1,0)</f>
        <v>1</v>
      </c>
      <c r="S326" s="15" t="n">
        <f aca="false">IF(OR(J326=1,N326&lt;=O326),1,0)</f>
        <v>1</v>
      </c>
      <c r="T326" s="15" t="str">
        <f aca="false">IF(J326=1,"OFFLINE",IF(AND(Q326&gt;=Inputs!$B$15,R326=1,S326=1,P326&lt;=L326),"PASS","FAIL"))</f>
        <v>PASS</v>
      </c>
    </row>
    <row r="327" customFormat="false" ht="15" hidden="false" customHeight="false" outlineLevel="0" collapsed="false">
      <c r="A327" s="14" t="s">
        <v>1021</v>
      </c>
      <c r="B327" s="14" t="s">
        <v>1019</v>
      </c>
      <c r="C327" s="14" t="s">
        <v>160</v>
      </c>
      <c r="D327" s="14" t="s">
        <v>204</v>
      </c>
      <c r="E327" s="14" t="s">
        <v>161</v>
      </c>
      <c r="F327" s="14" t="s">
        <v>199</v>
      </c>
      <c r="G327" s="14" t="n">
        <v>3</v>
      </c>
      <c r="H327" s="14" t="s">
        <v>158</v>
      </c>
      <c r="I327" s="14" t="s">
        <v>811</v>
      </c>
      <c r="J327" s="15" t="n">
        <f aca="false">IF(B327="SITE LOSS",IF(D327=C327,1,0),IF(B327="REGION LOSS",IF(E327=C327,1,0),0))</f>
        <v>0</v>
      </c>
      <c r="K327" s="15" t="n">
        <f aca="false">IF(B327="SITE LOSS",IF(COUNTIFS('Site Dockets'!$B$7:$B$24,C327,'Site Dockets'!$C$7:$C$24,F327)&gt;0,1,0),IF(B327="REGION LOSS",IF(COUNTIFS('Site Dockets'!$E$7:$E$24,C327,'Site Dockets'!$C$7:$C$24,F327)&gt;0,1,0),0))</f>
        <v>0</v>
      </c>
      <c r="L327" s="15" t="n">
        <f aca="false">IF(J327=1,0,Inputs!$B$11)</f>
        <v>100</v>
      </c>
      <c r="M327" s="15" t="n">
        <f aca="false">IF(J327=1,0,Inputs!$B$12)</f>
        <v>75</v>
      </c>
      <c r="N327" s="15" t="n">
        <f aca="false">IF(J327=1,0,IF(OR(AND(OR(B327="SITE LOSS",B327="REGION LOSS"),K327=1),AND(B327="ROLE COMPROMISE",H327=C327)),Inputs!$B$13,Inputs!$B$14))</f>
        <v>10</v>
      </c>
      <c r="O327" s="15" t="n">
        <f aca="false">IF(J327=1,0,Inputs!$B$13)</f>
        <v>20</v>
      </c>
      <c r="P327" s="15" t="n">
        <f aca="false">SUM(M327:N327)</f>
        <v>85</v>
      </c>
      <c r="Q327" s="15" t="n">
        <f aca="false">IF(J327=1,"",L327-P327)</f>
        <v>15</v>
      </c>
      <c r="R327" s="15" t="n">
        <f aca="false">IF(OR(J327=1,M327&lt;=Inputs!$B$12),1,0)</f>
        <v>1</v>
      </c>
      <c r="S327" s="15" t="n">
        <f aca="false">IF(OR(J327=1,N327&lt;=O327),1,0)</f>
        <v>1</v>
      </c>
      <c r="T327" s="15" t="str">
        <f aca="false">IF(J327=1,"OFFLINE",IF(AND(Q327&gt;=Inputs!$B$15,R327=1,S327=1,P327&lt;=L327),"PASS","FAIL"))</f>
        <v>PASS</v>
      </c>
    </row>
    <row r="328" customFormat="false" ht="15" hidden="false" customHeight="false" outlineLevel="0" collapsed="false">
      <c r="A328" s="14" t="s">
        <v>1021</v>
      </c>
      <c r="B328" s="14" t="s">
        <v>1019</v>
      </c>
      <c r="C328" s="14" t="s">
        <v>160</v>
      </c>
      <c r="D328" s="14" t="s">
        <v>204</v>
      </c>
      <c r="E328" s="14" t="s">
        <v>161</v>
      </c>
      <c r="F328" s="14" t="s">
        <v>199</v>
      </c>
      <c r="G328" s="14" t="n">
        <v>3</v>
      </c>
      <c r="H328" s="14" t="s">
        <v>158</v>
      </c>
      <c r="I328" s="14" t="s">
        <v>895</v>
      </c>
      <c r="J328" s="15" t="n">
        <f aca="false">IF(B328="SITE LOSS",IF(D328=C328,1,0),IF(B328="REGION LOSS",IF(E328=C328,1,0),0))</f>
        <v>0</v>
      </c>
      <c r="K328" s="15" t="n">
        <f aca="false">IF(B328="SITE LOSS",IF(COUNTIFS('Site Dockets'!$B$7:$B$24,C328,'Site Dockets'!$C$7:$C$24,F328)&gt;0,1,0),IF(B328="REGION LOSS",IF(COUNTIFS('Site Dockets'!$E$7:$E$24,C328,'Site Dockets'!$C$7:$C$24,F328)&gt;0,1,0),0))</f>
        <v>0</v>
      </c>
      <c r="L328" s="15" t="n">
        <f aca="false">IF(J328=1,0,Inputs!$B$11)</f>
        <v>100</v>
      </c>
      <c r="M328" s="15" t="n">
        <f aca="false">IF(J328=1,0,Inputs!$B$12)</f>
        <v>75</v>
      </c>
      <c r="N328" s="15" t="n">
        <f aca="false">IF(J328=1,0,IF(OR(AND(OR(B328="SITE LOSS",B328="REGION LOSS"),K328=1),AND(B328="ROLE COMPROMISE",H328=C328)),Inputs!$B$13,Inputs!$B$14))</f>
        <v>10</v>
      </c>
      <c r="O328" s="15" t="n">
        <f aca="false">IF(J328=1,0,Inputs!$B$13)</f>
        <v>20</v>
      </c>
      <c r="P328" s="15" t="n">
        <f aca="false">SUM(M328:N328)</f>
        <v>85</v>
      </c>
      <c r="Q328" s="15" t="n">
        <f aca="false">IF(J328=1,"",L328-P328)</f>
        <v>15</v>
      </c>
      <c r="R328" s="15" t="n">
        <f aca="false">IF(OR(J328=1,M328&lt;=Inputs!$B$12),1,0)</f>
        <v>1</v>
      </c>
      <c r="S328" s="15" t="n">
        <f aca="false">IF(OR(J328=1,N328&lt;=O328),1,0)</f>
        <v>1</v>
      </c>
      <c r="T328" s="15" t="str">
        <f aca="false">IF(J328=1,"OFFLINE",IF(AND(Q328&gt;=Inputs!$B$15,R328=1,S328=1,P328&lt;=L328),"PASS","FAIL"))</f>
        <v>PASS</v>
      </c>
    </row>
    <row r="329" customFormat="false" ht="15" hidden="false" customHeight="false" outlineLevel="0" collapsed="false">
      <c r="A329" s="14" t="s">
        <v>1021</v>
      </c>
      <c r="B329" s="14" t="s">
        <v>1019</v>
      </c>
      <c r="C329" s="14" t="s">
        <v>160</v>
      </c>
      <c r="D329" s="14" t="s">
        <v>204</v>
      </c>
      <c r="E329" s="14" t="s">
        <v>161</v>
      </c>
      <c r="F329" s="14" t="s">
        <v>199</v>
      </c>
      <c r="G329" s="14" t="n">
        <v>3</v>
      </c>
      <c r="H329" s="14" t="s">
        <v>158</v>
      </c>
      <c r="I329" s="14" t="s">
        <v>897</v>
      </c>
      <c r="J329" s="15" t="n">
        <f aca="false">IF(B329="SITE LOSS",IF(D329=C329,1,0),IF(B329="REGION LOSS",IF(E329=C329,1,0),0))</f>
        <v>0</v>
      </c>
      <c r="K329" s="15" t="n">
        <f aca="false">IF(B329="SITE LOSS",IF(COUNTIFS('Site Dockets'!$B$7:$B$24,C329,'Site Dockets'!$C$7:$C$24,F329)&gt;0,1,0),IF(B329="REGION LOSS",IF(COUNTIFS('Site Dockets'!$E$7:$E$24,C329,'Site Dockets'!$C$7:$C$24,F329)&gt;0,1,0),0))</f>
        <v>0</v>
      </c>
      <c r="L329" s="15" t="n">
        <f aca="false">IF(J329=1,0,Inputs!$B$11)</f>
        <v>100</v>
      </c>
      <c r="M329" s="15" t="n">
        <f aca="false">IF(J329=1,0,Inputs!$B$12)</f>
        <v>75</v>
      </c>
      <c r="N329" s="15" t="n">
        <f aca="false">IF(J329=1,0,IF(OR(AND(OR(B329="SITE LOSS",B329="REGION LOSS"),K329=1),AND(B329="ROLE COMPROMISE",H329=C329)),Inputs!$B$13,Inputs!$B$14))</f>
        <v>10</v>
      </c>
      <c r="O329" s="15" t="n">
        <f aca="false">IF(J329=1,0,Inputs!$B$13)</f>
        <v>20</v>
      </c>
      <c r="P329" s="15" t="n">
        <f aca="false">SUM(M329:N329)</f>
        <v>85</v>
      </c>
      <c r="Q329" s="15" t="n">
        <f aca="false">IF(J329=1,"",L329-P329)</f>
        <v>15</v>
      </c>
      <c r="R329" s="15" t="n">
        <f aca="false">IF(OR(J329=1,M329&lt;=Inputs!$B$12),1,0)</f>
        <v>1</v>
      </c>
      <c r="S329" s="15" t="n">
        <f aca="false">IF(OR(J329=1,N329&lt;=O329),1,0)</f>
        <v>1</v>
      </c>
      <c r="T329" s="15" t="str">
        <f aca="false">IF(J329=1,"OFFLINE",IF(AND(Q329&gt;=Inputs!$B$15,R329=1,S329=1,P329&lt;=L329),"PASS","FAIL"))</f>
        <v>PASS</v>
      </c>
    </row>
    <row r="330" customFormat="false" ht="15" hidden="false" customHeight="false" outlineLevel="0" collapsed="false">
      <c r="A330" s="14" t="s">
        <v>1021</v>
      </c>
      <c r="B330" s="14" t="s">
        <v>1019</v>
      </c>
      <c r="C330" s="14" t="s">
        <v>160</v>
      </c>
      <c r="D330" s="14" t="s">
        <v>204</v>
      </c>
      <c r="E330" s="14" t="s">
        <v>161</v>
      </c>
      <c r="F330" s="14" t="s">
        <v>199</v>
      </c>
      <c r="G330" s="14" t="n">
        <v>3</v>
      </c>
      <c r="H330" s="14" t="s">
        <v>158</v>
      </c>
      <c r="I330" s="14" t="s">
        <v>899</v>
      </c>
      <c r="J330" s="15" t="n">
        <f aca="false">IF(B330="SITE LOSS",IF(D330=C330,1,0),IF(B330="REGION LOSS",IF(E330=C330,1,0),0))</f>
        <v>0</v>
      </c>
      <c r="K330" s="15" t="n">
        <f aca="false">IF(B330="SITE LOSS",IF(COUNTIFS('Site Dockets'!$B$7:$B$24,C330,'Site Dockets'!$C$7:$C$24,F330)&gt;0,1,0),IF(B330="REGION LOSS",IF(COUNTIFS('Site Dockets'!$E$7:$E$24,C330,'Site Dockets'!$C$7:$C$24,F330)&gt;0,1,0),0))</f>
        <v>0</v>
      </c>
      <c r="L330" s="15" t="n">
        <f aca="false">IF(J330=1,0,Inputs!$B$11)</f>
        <v>100</v>
      </c>
      <c r="M330" s="15" t="n">
        <f aca="false">IF(J330=1,0,Inputs!$B$12)</f>
        <v>75</v>
      </c>
      <c r="N330" s="15" t="n">
        <f aca="false">IF(J330=1,0,IF(OR(AND(OR(B330="SITE LOSS",B330="REGION LOSS"),K330=1),AND(B330="ROLE COMPROMISE",H330=C330)),Inputs!$B$13,Inputs!$B$14))</f>
        <v>10</v>
      </c>
      <c r="O330" s="15" t="n">
        <f aca="false">IF(J330=1,0,Inputs!$B$13)</f>
        <v>20</v>
      </c>
      <c r="P330" s="15" t="n">
        <f aca="false">SUM(M330:N330)</f>
        <v>85</v>
      </c>
      <c r="Q330" s="15" t="n">
        <f aca="false">IF(J330=1,"",L330-P330)</f>
        <v>15</v>
      </c>
      <c r="R330" s="15" t="n">
        <f aca="false">IF(OR(J330=1,M330&lt;=Inputs!$B$12),1,0)</f>
        <v>1</v>
      </c>
      <c r="S330" s="15" t="n">
        <f aca="false">IF(OR(J330=1,N330&lt;=O330),1,0)</f>
        <v>1</v>
      </c>
      <c r="T330" s="15" t="str">
        <f aca="false">IF(J330=1,"OFFLINE",IF(AND(Q330&gt;=Inputs!$B$15,R330=1,S330=1,P330&lt;=L330),"PASS","FAIL"))</f>
        <v>PASS</v>
      </c>
    </row>
    <row r="331" customFormat="false" ht="15" hidden="false" customHeight="false" outlineLevel="0" collapsed="false">
      <c r="A331" s="14" t="s">
        <v>1022</v>
      </c>
      <c r="B331" s="14" t="s">
        <v>1019</v>
      </c>
      <c r="C331" s="14" t="s">
        <v>163</v>
      </c>
      <c r="D331" s="14" t="s">
        <v>149</v>
      </c>
      <c r="E331" s="14" t="s">
        <v>152</v>
      </c>
      <c r="F331" s="14" t="s">
        <v>150</v>
      </c>
      <c r="G331" s="14" t="n">
        <v>1</v>
      </c>
      <c r="H331" s="14" t="s">
        <v>154</v>
      </c>
      <c r="I331" s="14" t="s">
        <v>890</v>
      </c>
      <c r="J331" s="15" t="n">
        <f aca="false">IF(B331="SITE LOSS",IF(D331=C331,1,0),IF(B331="REGION LOSS",IF(E331=C331,1,0),0))</f>
        <v>0</v>
      </c>
      <c r="K331" s="15" t="n">
        <f aca="false">IF(B331="SITE LOSS",IF(COUNTIFS('Site Dockets'!$B$7:$B$24,C331,'Site Dockets'!$C$7:$C$24,F331)&gt;0,1,0),IF(B331="REGION LOSS",IF(COUNTIFS('Site Dockets'!$E$7:$E$24,C331,'Site Dockets'!$C$7:$C$24,F331)&gt;0,1,0),0))</f>
        <v>0</v>
      </c>
      <c r="L331" s="15" t="n">
        <f aca="false">IF(J331=1,0,Inputs!$B$11)</f>
        <v>100</v>
      </c>
      <c r="M331" s="15" t="n">
        <f aca="false">IF(J331=1,0,Inputs!$B$12)</f>
        <v>75</v>
      </c>
      <c r="N331" s="15" t="n">
        <f aca="false">IF(J331=1,0,IF(OR(AND(OR(B331="SITE LOSS",B331="REGION LOSS"),K331=1),AND(B331="ROLE COMPROMISE",H331=C331)),Inputs!$B$13,Inputs!$B$14))</f>
        <v>10</v>
      </c>
      <c r="O331" s="15" t="n">
        <f aca="false">IF(J331=1,0,Inputs!$B$13)</f>
        <v>20</v>
      </c>
      <c r="P331" s="15" t="n">
        <f aca="false">SUM(M331:N331)</f>
        <v>85</v>
      </c>
      <c r="Q331" s="15" t="n">
        <f aca="false">IF(J331=1,"",L331-P331)</f>
        <v>15</v>
      </c>
      <c r="R331" s="15" t="n">
        <f aca="false">IF(OR(J331=1,M331&lt;=Inputs!$B$12),1,0)</f>
        <v>1</v>
      </c>
      <c r="S331" s="15" t="n">
        <f aca="false">IF(OR(J331=1,N331&lt;=O331),1,0)</f>
        <v>1</v>
      </c>
      <c r="T331" s="15" t="str">
        <f aca="false">IF(J331=1,"OFFLINE",IF(AND(Q331&gt;=Inputs!$B$15,R331=1,S331=1,P331&lt;=L331),"PASS","FAIL"))</f>
        <v>PASS</v>
      </c>
    </row>
    <row r="332" customFormat="false" ht="15" hidden="false" customHeight="false" outlineLevel="0" collapsed="false">
      <c r="A332" s="14" t="s">
        <v>1022</v>
      </c>
      <c r="B332" s="14" t="s">
        <v>1019</v>
      </c>
      <c r="C332" s="14" t="s">
        <v>163</v>
      </c>
      <c r="D332" s="14" t="s">
        <v>149</v>
      </c>
      <c r="E332" s="14" t="s">
        <v>152</v>
      </c>
      <c r="F332" s="14" t="s">
        <v>150</v>
      </c>
      <c r="G332" s="14" t="n">
        <v>1</v>
      </c>
      <c r="H332" s="14" t="s">
        <v>154</v>
      </c>
      <c r="I332" s="14" t="s">
        <v>892</v>
      </c>
      <c r="J332" s="15" t="n">
        <f aca="false">IF(B332="SITE LOSS",IF(D332=C332,1,0),IF(B332="REGION LOSS",IF(E332=C332,1,0),0))</f>
        <v>0</v>
      </c>
      <c r="K332" s="15" t="n">
        <f aca="false">IF(B332="SITE LOSS",IF(COUNTIFS('Site Dockets'!$B$7:$B$24,C332,'Site Dockets'!$C$7:$C$24,F332)&gt;0,1,0),IF(B332="REGION LOSS",IF(COUNTIFS('Site Dockets'!$E$7:$E$24,C332,'Site Dockets'!$C$7:$C$24,F332)&gt;0,1,0),0))</f>
        <v>0</v>
      </c>
      <c r="L332" s="15" t="n">
        <f aca="false">IF(J332=1,0,Inputs!$B$11)</f>
        <v>100</v>
      </c>
      <c r="M332" s="15" t="n">
        <f aca="false">IF(J332=1,0,Inputs!$B$12)</f>
        <v>75</v>
      </c>
      <c r="N332" s="15" t="n">
        <f aca="false">IF(J332=1,0,IF(OR(AND(OR(B332="SITE LOSS",B332="REGION LOSS"),K332=1),AND(B332="ROLE COMPROMISE",H332=C332)),Inputs!$B$13,Inputs!$B$14))</f>
        <v>10</v>
      </c>
      <c r="O332" s="15" t="n">
        <f aca="false">IF(J332=1,0,Inputs!$B$13)</f>
        <v>20</v>
      </c>
      <c r="P332" s="15" t="n">
        <f aca="false">SUM(M332:N332)</f>
        <v>85</v>
      </c>
      <c r="Q332" s="15" t="n">
        <f aca="false">IF(J332=1,"",L332-P332)</f>
        <v>15</v>
      </c>
      <c r="R332" s="15" t="n">
        <f aca="false">IF(OR(J332=1,M332&lt;=Inputs!$B$12),1,0)</f>
        <v>1</v>
      </c>
      <c r="S332" s="15" t="n">
        <f aca="false">IF(OR(J332=1,N332&lt;=O332),1,0)</f>
        <v>1</v>
      </c>
      <c r="T332" s="15" t="str">
        <f aca="false">IF(J332=1,"OFFLINE",IF(AND(Q332&gt;=Inputs!$B$15,R332=1,S332=1,P332&lt;=L332),"PASS","FAIL"))</f>
        <v>PASS</v>
      </c>
    </row>
    <row r="333" customFormat="false" ht="15" hidden="false" customHeight="false" outlineLevel="0" collapsed="false">
      <c r="A333" s="14" t="s">
        <v>1022</v>
      </c>
      <c r="B333" s="14" t="s">
        <v>1019</v>
      </c>
      <c r="C333" s="14" t="s">
        <v>163</v>
      </c>
      <c r="D333" s="14" t="s">
        <v>149</v>
      </c>
      <c r="E333" s="14" t="s">
        <v>152</v>
      </c>
      <c r="F333" s="14" t="s">
        <v>150</v>
      </c>
      <c r="G333" s="14" t="n">
        <v>1</v>
      </c>
      <c r="H333" s="14" t="s">
        <v>154</v>
      </c>
      <c r="I333" s="14" t="s">
        <v>811</v>
      </c>
      <c r="J333" s="15" t="n">
        <f aca="false">IF(B333="SITE LOSS",IF(D333=C333,1,0),IF(B333="REGION LOSS",IF(E333=C333,1,0),0))</f>
        <v>0</v>
      </c>
      <c r="K333" s="15" t="n">
        <f aca="false">IF(B333="SITE LOSS",IF(COUNTIFS('Site Dockets'!$B$7:$B$24,C333,'Site Dockets'!$C$7:$C$24,F333)&gt;0,1,0),IF(B333="REGION LOSS",IF(COUNTIFS('Site Dockets'!$E$7:$E$24,C333,'Site Dockets'!$C$7:$C$24,F333)&gt;0,1,0),0))</f>
        <v>0</v>
      </c>
      <c r="L333" s="15" t="n">
        <f aca="false">IF(J333=1,0,Inputs!$B$11)</f>
        <v>100</v>
      </c>
      <c r="M333" s="15" t="n">
        <f aca="false">IF(J333=1,0,Inputs!$B$12)</f>
        <v>75</v>
      </c>
      <c r="N333" s="15" t="n">
        <f aca="false">IF(J333=1,0,IF(OR(AND(OR(B333="SITE LOSS",B333="REGION LOSS"),K333=1),AND(B333="ROLE COMPROMISE",H333=C333)),Inputs!$B$13,Inputs!$B$14))</f>
        <v>10</v>
      </c>
      <c r="O333" s="15" t="n">
        <f aca="false">IF(J333=1,0,Inputs!$B$13)</f>
        <v>20</v>
      </c>
      <c r="P333" s="15" t="n">
        <f aca="false">SUM(M333:N333)</f>
        <v>85</v>
      </c>
      <c r="Q333" s="15" t="n">
        <f aca="false">IF(J333=1,"",L333-P333)</f>
        <v>15</v>
      </c>
      <c r="R333" s="15" t="n">
        <f aca="false">IF(OR(J333=1,M333&lt;=Inputs!$B$12),1,0)</f>
        <v>1</v>
      </c>
      <c r="S333" s="15" t="n">
        <f aca="false">IF(OR(J333=1,N333&lt;=O333),1,0)</f>
        <v>1</v>
      </c>
      <c r="T333" s="15" t="str">
        <f aca="false">IF(J333=1,"OFFLINE",IF(AND(Q333&gt;=Inputs!$B$15,R333=1,S333=1,P333&lt;=L333),"PASS","FAIL"))</f>
        <v>PASS</v>
      </c>
    </row>
    <row r="334" customFormat="false" ht="15" hidden="false" customHeight="false" outlineLevel="0" collapsed="false">
      <c r="A334" s="14" t="s">
        <v>1022</v>
      </c>
      <c r="B334" s="14" t="s">
        <v>1019</v>
      </c>
      <c r="C334" s="14" t="s">
        <v>163</v>
      </c>
      <c r="D334" s="14" t="s">
        <v>149</v>
      </c>
      <c r="E334" s="14" t="s">
        <v>152</v>
      </c>
      <c r="F334" s="14" t="s">
        <v>150</v>
      </c>
      <c r="G334" s="14" t="n">
        <v>1</v>
      </c>
      <c r="H334" s="14" t="s">
        <v>154</v>
      </c>
      <c r="I334" s="14" t="s">
        <v>895</v>
      </c>
      <c r="J334" s="15" t="n">
        <f aca="false">IF(B334="SITE LOSS",IF(D334=C334,1,0),IF(B334="REGION LOSS",IF(E334=C334,1,0),0))</f>
        <v>0</v>
      </c>
      <c r="K334" s="15" t="n">
        <f aca="false">IF(B334="SITE LOSS",IF(COUNTIFS('Site Dockets'!$B$7:$B$24,C334,'Site Dockets'!$C$7:$C$24,F334)&gt;0,1,0),IF(B334="REGION LOSS",IF(COUNTIFS('Site Dockets'!$E$7:$E$24,C334,'Site Dockets'!$C$7:$C$24,F334)&gt;0,1,0),0))</f>
        <v>0</v>
      </c>
      <c r="L334" s="15" t="n">
        <f aca="false">IF(J334=1,0,Inputs!$B$11)</f>
        <v>100</v>
      </c>
      <c r="M334" s="15" t="n">
        <f aca="false">IF(J334=1,0,Inputs!$B$12)</f>
        <v>75</v>
      </c>
      <c r="N334" s="15" t="n">
        <f aca="false">IF(J334=1,0,IF(OR(AND(OR(B334="SITE LOSS",B334="REGION LOSS"),K334=1),AND(B334="ROLE COMPROMISE",H334=C334)),Inputs!$B$13,Inputs!$B$14))</f>
        <v>10</v>
      </c>
      <c r="O334" s="15" t="n">
        <f aca="false">IF(J334=1,0,Inputs!$B$13)</f>
        <v>20</v>
      </c>
      <c r="P334" s="15" t="n">
        <f aca="false">SUM(M334:N334)</f>
        <v>85</v>
      </c>
      <c r="Q334" s="15" t="n">
        <f aca="false">IF(J334=1,"",L334-P334)</f>
        <v>15</v>
      </c>
      <c r="R334" s="15" t="n">
        <f aca="false">IF(OR(J334=1,M334&lt;=Inputs!$B$12),1,0)</f>
        <v>1</v>
      </c>
      <c r="S334" s="15" t="n">
        <f aca="false">IF(OR(J334=1,N334&lt;=O334),1,0)</f>
        <v>1</v>
      </c>
      <c r="T334" s="15" t="str">
        <f aca="false">IF(J334=1,"OFFLINE",IF(AND(Q334&gt;=Inputs!$B$15,R334=1,S334=1,P334&lt;=L334),"PASS","FAIL"))</f>
        <v>PASS</v>
      </c>
    </row>
    <row r="335" customFormat="false" ht="15" hidden="false" customHeight="false" outlineLevel="0" collapsed="false">
      <c r="A335" s="14" t="s">
        <v>1022</v>
      </c>
      <c r="B335" s="14" t="s">
        <v>1019</v>
      </c>
      <c r="C335" s="14" t="s">
        <v>163</v>
      </c>
      <c r="D335" s="14" t="s">
        <v>149</v>
      </c>
      <c r="E335" s="14" t="s">
        <v>152</v>
      </c>
      <c r="F335" s="14" t="s">
        <v>150</v>
      </c>
      <c r="G335" s="14" t="n">
        <v>1</v>
      </c>
      <c r="H335" s="14" t="s">
        <v>154</v>
      </c>
      <c r="I335" s="14" t="s">
        <v>897</v>
      </c>
      <c r="J335" s="15" t="n">
        <f aca="false">IF(B335="SITE LOSS",IF(D335=C335,1,0),IF(B335="REGION LOSS",IF(E335=C335,1,0),0))</f>
        <v>0</v>
      </c>
      <c r="K335" s="15" t="n">
        <f aca="false">IF(B335="SITE LOSS",IF(COUNTIFS('Site Dockets'!$B$7:$B$24,C335,'Site Dockets'!$C$7:$C$24,F335)&gt;0,1,0),IF(B335="REGION LOSS",IF(COUNTIFS('Site Dockets'!$E$7:$E$24,C335,'Site Dockets'!$C$7:$C$24,F335)&gt;0,1,0),0))</f>
        <v>0</v>
      </c>
      <c r="L335" s="15" t="n">
        <f aca="false">IF(J335=1,0,Inputs!$B$11)</f>
        <v>100</v>
      </c>
      <c r="M335" s="15" t="n">
        <f aca="false">IF(J335=1,0,Inputs!$B$12)</f>
        <v>75</v>
      </c>
      <c r="N335" s="15" t="n">
        <f aca="false">IF(J335=1,0,IF(OR(AND(OR(B335="SITE LOSS",B335="REGION LOSS"),K335=1),AND(B335="ROLE COMPROMISE",H335=C335)),Inputs!$B$13,Inputs!$B$14))</f>
        <v>10</v>
      </c>
      <c r="O335" s="15" t="n">
        <f aca="false">IF(J335=1,0,Inputs!$B$13)</f>
        <v>20</v>
      </c>
      <c r="P335" s="15" t="n">
        <f aca="false">SUM(M335:N335)</f>
        <v>85</v>
      </c>
      <c r="Q335" s="15" t="n">
        <f aca="false">IF(J335=1,"",L335-P335)</f>
        <v>15</v>
      </c>
      <c r="R335" s="15" t="n">
        <f aca="false">IF(OR(J335=1,M335&lt;=Inputs!$B$12),1,0)</f>
        <v>1</v>
      </c>
      <c r="S335" s="15" t="n">
        <f aca="false">IF(OR(J335=1,N335&lt;=O335),1,0)</f>
        <v>1</v>
      </c>
      <c r="T335" s="15" t="str">
        <f aca="false">IF(J335=1,"OFFLINE",IF(AND(Q335&gt;=Inputs!$B$15,R335=1,S335=1,P335&lt;=L335),"PASS","FAIL"))</f>
        <v>PASS</v>
      </c>
    </row>
    <row r="336" customFormat="false" ht="15" hidden="false" customHeight="false" outlineLevel="0" collapsed="false">
      <c r="A336" s="14" t="s">
        <v>1022</v>
      </c>
      <c r="B336" s="14" t="s">
        <v>1019</v>
      </c>
      <c r="C336" s="14" t="s">
        <v>163</v>
      </c>
      <c r="D336" s="14" t="s">
        <v>149</v>
      </c>
      <c r="E336" s="14" t="s">
        <v>152</v>
      </c>
      <c r="F336" s="14" t="s">
        <v>150</v>
      </c>
      <c r="G336" s="14" t="n">
        <v>1</v>
      </c>
      <c r="H336" s="14" t="s">
        <v>154</v>
      </c>
      <c r="I336" s="14" t="s">
        <v>899</v>
      </c>
      <c r="J336" s="15" t="n">
        <f aca="false">IF(B336="SITE LOSS",IF(D336=C336,1,0),IF(B336="REGION LOSS",IF(E336=C336,1,0),0))</f>
        <v>0</v>
      </c>
      <c r="K336" s="15" t="n">
        <f aca="false">IF(B336="SITE LOSS",IF(COUNTIFS('Site Dockets'!$B$7:$B$24,C336,'Site Dockets'!$C$7:$C$24,F336)&gt;0,1,0),IF(B336="REGION LOSS",IF(COUNTIFS('Site Dockets'!$E$7:$E$24,C336,'Site Dockets'!$C$7:$C$24,F336)&gt;0,1,0),0))</f>
        <v>0</v>
      </c>
      <c r="L336" s="15" t="n">
        <f aca="false">IF(J336=1,0,Inputs!$B$11)</f>
        <v>100</v>
      </c>
      <c r="M336" s="15" t="n">
        <f aca="false">IF(J336=1,0,Inputs!$B$12)</f>
        <v>75</v>
      </c>
      <c r="N336" s="15" t="n">
        <f aca="false">IF(J336=1,0,IF(OR(AND(OR(B336="SITE LOSS",B336="REGION LOSS"),K336=1),AND(B336="ROLE COMPROMISE",H336=C336)),Inputs!$B$13,Inputs!$B$14))</f>
        <v>10</v>
      </c>
      <c r="O336" s="15" t="n">
        <f aca="false">IF(J336=1,0,Inputs!$B$13)</f>
        <v>20</v>
      </c>
      <c r="P336" s="15" t="n">
        <f aca="false">SUM(M336:N336)</f>
        <v>85</v>
      </c>
      <c r="Q336" s="15" t="n">
        <f aca="false">IF(J336=1,"",L336-P336)</f>
        <v>15</v>
      </c>
      <c r="R336" s="15" t="n">
        <f aca="false">IF(OR(J336=1,M336&lt;=Inputs!$B$12),1,0)</f>
        <v>1</v>
      </c>
      <c r="S336" s="15" t="n">
        <f aca="false">IF(OR(J336=1,N336&lt;=O336),1,0)</f>
        <v>1</v>
      </c>
      <c r="T336" s="15" t="str">
        <f aca="false">IF(J336=1,"OFFLINE",IF(AND(Q336&gt;=Inputs!$B$15,R336=1,S336=1,P336&lt;=L336),"PASS","FAIL"))</f>
        <v>PASS</v>
      </c>
    </row>
    <row r="337" customFormat="false" ht="15" hidden="false" customHeight="false" outlineLevel="0" collapsed="false">
      <c r="A337" s="14" t="s">
        <v>1022</v>
      </c>
      <c r="B337" s="14" t="s">
        <v>1019</v>
      </c>
      <c r="C337" s="14" t="s">
        <v>163</v>
      </c>
      <c r="D337" s="14" t="s">
        <v>156</v>
      </c>
      <c r="E337" s="14" t="s">
        <v>157</v>
      </c>
      <c r="F337" s="14" t="s">
        <v>150</v>
      </c>
      <c r="G337" s="14" t="n">
        <v>2</v>
      </c>
      <c r="H337" s="14" t="s">
        <v>153</v>
      </c>
      <c r="I337" s="14" t="s">
        <v>890</v>
      </c>
      <c r="J337" s="15" t="n">
        <f aca="false">IF(B337="SITE LOSS",IF(D337=C337,1,0),IF(B337="REGION LOSS",IF(E337=C337,1,0),0))</f>
        <v>0</v>
      </c>
      <c r="K337" s="15" t="n">
        <f aca="false">IF(B337="SITE LOSS",IF(COUNTIFS('Site Dockets'!$B$7:$B$24,C337,'Site Dockets'!$C$7:$C$24,F337)&gt;0,1,0),IF(B337="REGION LOSS",IF(COUNTIFS('Site Dockets'!$E$7:$E$24,C337,'Site Dockets'!$C$7:$C$24,F337)&gt;0,1,0),0))</f>
        <v>0</v>
      </c>
      <c r="L337" s="15" t="n">
        <f aca="false">IF(J337=1,0,Inputs!$B$11)</f>
        <v>100</v>
      </c>
      <c r="M337" s="15" t="n">
        <f aca="false">IF(J337=1,0,Inputs!$B$12)</f>
        <v>75</v>
      </c>
      <c r="N337" s="15" t="n">
        <f aca="false">IF(J337=1,0,IF(OR(AND(OR(B337="SITE LOSS",B337="REGION LOSS"),K337=1),AND(B337="ROLE COMPROMISE",H337=C337)),Inputs!$B$13,Inputs!$B$14))</f>
        <v>10</v>
      </c>
      <c r="O337" s="15" t="n">
        <f aca="false">IF(J337=1,0,Inputs!$B$13)</f>
        <v>20</v>
      </c>
      <c r="P337" s="15" t="n">
        <f aca="false">SUM(M337:N337)</f>
        <v>85</v>
      </c>
      <c r="Q337" s="15" t="n">
        <f aca="false">IF(J337=1,"",L337-P337)</f>
        <v>15</v>
      </c>
      <c r="R337" s="15" t="n">
        <f aca="false">IF(OR(J337=1,M337&lt;=Inputs!$B$12),1,0)</f>
        <v>1</v>
      </c>
      <c r="S337" s="15" t="n">
        <f aca="false">IF(OR(J337=1,N337&lt;=O337),1,0)</f>
        <v>1</v>
      </c>
      <c r="T337" s="15" t="str">
        <f aca="false">IF(J337=1,"OFFLINE",IF(AND(Q337&gt;=Inputs!$B$15,R337=1,S337=1,P337&lt;=L337),"PASS","FAIL"))</f>
        <v>PASS</v>
      </c>
    </row>
    <row r="338" customFormat="false" ht="15" hidden="false" customHeight="false" outlineLevel="0" collapsed="false">
      <c r="A338" s="14" t="s">
        <v>1022</v>
      </c>
      <c r="B338" s="14" t="s">
        <v>1019</v>
      </c>
      <c r="C338" s="14" t="s">
        <v>163</v>
      </c>
      <c r="D338" s="14" t="s">
        <v>156</v>
      </c>
      <c r="E338" s="14" t="s">
        <v>157</v>
      </c>
      <c r="F338" s="14" t="s">
        <v>150</v>
      </c>
      <c r="G338" s="14" t="n">
        <v>2</v>
      </c>
      <c r="H338" s="14" t="s">
        <v>153</v>
      </c>
      <c r="I338" s="14" t="s">
        <v>892</v>
      </c>
      <c r="J338" s="15" t="n">
        <f aca="false">IF(B338="SITE LOSS",IF(D338=C338,1,0),IF(B338="REGION LOSS",IF(E338=C338,1,0),0))</f>
        <v>0</v>
      </c>
      <c r="K338" s="15" t="n">
        <f aca="false">IF(B338="SITE LOSS",IF(COUNTIFS('Site Dockets'!$B$7:$B$24,C338,'Site Dockets'!$C$7:$C$24,F338)&gt;0,1,0),IF(B338="REGION LOSS",IF(COUNTIFS('Site Dockets'!$E$7:$E$24,C338,'Site Dockets'!$C$7:$C$24,F338)&gt;0,1,0),0))</f>
        <v>0</v>
      </c>
      <c r="L338" s="15" t="n">
        <f aca="false">IF(J338=1,0,Inputs!$B$11)</f>
        <v>100</v>
      </c>
      <c r="M338" s="15" t="n">
        <f aca="false">IF(J338=1,0,Inputs!$B$12)</f>
        <v>75</v>
      </c>
      <c r="N338" s="15" t="n">
        <f aca="false">IF(J338=1,0,IF(OR(AND(OR(B338="SITE LOSS",B338="REGION LOSS"),K338=1),AND(B338="ROLE COMPROMISE",H338=C338)),Inputs!$B$13,Inputs!$B$14))</f>
        <v>10</v>
      </c>
      <c r="O338" s="15" t="n">
        <f aca="false">IF(J338=1,0,Inputs!$B$13)</f>
        <v>20</v>
      </c>
      <c r="P338" s="15" t="n">
        <f aca="false">SUM(M338:N338)</f>
        <v>85</v>
      </c>
      <c r="Q338" s="15" t="n">
        <f aca="false">IF(J338=1,"",L338-P338)</f>
        <v>15</v>
      </c>
      <c r="R338" s="15" t="n">
        <f aca="false">IF(OR(J338=1,M338&lt;=Inputs!$B$12),1,0)</f>
        <v>1</v>
      </c>
      <c r="S338" s="15" t="n">
        <f aca="false">IF(OR(J338=1,N338&lt;=O338),1,0)</f>
        <v>1</v>
      </c>
      <c r="T338" s="15" t="str">
        <f aca="false">IF(J338=1,"OFFLINE",IF(AND(Q338&gt;=Inputs!$B$15,R338=1,S338=1,P338&lt;=L338),"PASS","FAIL"))</f>
        <v>PASS</v>
      </c>
    </row>
    <row r="339" customFormat="false" ht="15" hidden="false" customHeight="false" outlineLevel="0" collapsed="false">
      <c r="A339" s="14" t="s">
        <v>1022</v>
      </c>
      <c r="B339" s="14" t="s">
        <v>1019</v>
      </c>
      <c r="C339" s="14" t="s">
        <v>163</v>
      </c>
      <c r="D339" s="14" t="s">
        <v>156</v>
      </c>
      <c r="E339" s="14" t="s">
        <v>157</v>
      </c>
      <c r="F339" s="14" t="s">
        <v>150</v>
      </c>
      <c r="G339" s="14" t="n">
        <v>2</v>
      </c>
      <c r="H339" s="14" t="s">
        <v>153</v>
      </c>
      <c r="I339" s="14" t="s">
        <v>811</v>
      </c>
      <c r="J339" s="15" t="n">
        <f aca="false">IF(B339="SITE LOSS",IF(D339=C339,1,0),IF(B339="REGION LOSS",IF(E339=C339,1,0),0))</f>
        <v>0</v>
      </c>
      <c r="K339" s="15" t="n">
        <f aca="false">IF(B339="SITE LOSS",IF(COUNTIFS('Site Dockets'!$B$7:$B$24,C339,'Site Dockets'!$C$7:$C$24,F339)&gt;0,1,0),IF(B339="REGION LOSS",IF(COUNTIFS('Site Dockets'!$E$7:$E$24,C339,'Site Dockets'!$C$7:$C$24,F339)&gt;0,1,0),0))</f>
        <v>0</v>
      </c>
      <c r="L339" s="15" t="n">
        <f aca="false">IF(J339=1,0,Inputs!$B$11)</f>
        <v>100</v>
      </c>
      <c r="M339" s="15" t="n">
        <f aca="false">IF(J339=1,0,Inputs!$B$12)</f>
        <v>75</v>
      </c>
      <c r="N339" s="15" t="n">
        <f aca="false">IF(J339=1,0,IF(OR(AND(OR(B339="SITE LOSS",B339="REGION LOSS"),K339=1),AND(B339="ROLE COMPROMISE",H339=C339)),Inputs!$B$13,Inputs!$B$14))</f>
        <v>10</v>
      </c>
      <c r="O339" s="15" t="n">
        <f aca="false">IF(J339=1,0,Inputs!$B$13)</f>
        <v>20</v>
      </c>
      <c r="P339" s="15" t="n">
        <f aca="false">SUM(M339:N339)</f>
        <v>85</v>
      </c>
      <c r="Q339" s="15" t="n">
        <f aca="false">IF(J339=1,"",L339-P339)</f>
        <v>15</v>
      </c>
      <c r="R339" s="15" t="n">
        <f aca="false">IF(OR(J339=1,M339&lt;=Inputs!$B$12),1,0)</f>
        <v>1</v>
      </c>
      <c r="S339" s="15" t="n">
        <f aca="false">IF(OR(J339=1,N339&lt;=O339),1,0)</f>
        <v>1</v>
      </c>
      <c r="T339" s="15" t="str">
        <f aca="false">IF(J339=1,"OFFLINE",IF(AND(Q339&gt;=Inputs!$B$15,R339=1,S339=1,P339&lt;=L339),"PASS","FAIL"))</f>
        <v>PASS</v>
      </c>
    </row>
    <row r="340" customFormat="false" ht="15" hidden="false" customHeight="false" outlineLevel="0" collapsed="false">
      <c r="A340" s="14" t="s">
        <v>1022</v>
      </c>
      <c r="B340" s="14" t="s">
        <v>1019</v>
      </c>
      <c r="C340" s="14" t="s">
        <v>163</v>
      </c>
      <c r="D340" s="14" t="s">
        <v>156</v>
      </c>
      <c r="E340" s="14" t="s">
        <v>157</v>
      </c>
      <c r="F340" s="14" t="s">
        <v>150</v>
      </c>
      <c r="G340" s="14" t="n">
        <v>2</v>
      </c>
      <c r="H340" s="14" t="s">
        <v>153</v>
      </c>
      <c r="I340" s="14" t="s">
        <v>895</v>
      </c>
      <c r="J340" s="15" t="n">
        <f aca="false">IF(B340="SITE LOSS",IF(D340=C340,1,0),IF(B340="REGION LOSS",IF(E340=C340,1,0),0))</f>
        <v>0</v>
      </c>
      <c r="K340" s="15" t="n">
        <f aca="false">IF(B340="SITE LOSS",IF(COUNTIFS('Site Dockets'!$B$7:$B$24,C340,'Site Dockets'!$C$7:$C$24,F340)&gt;0,1,0),IF(B340="REGION LOSS",IF(COUNTIFS('Site Dockets'!$E$7:$E$24,C340,'Site Dockets'!$C$7:$C$24,F340)&gt;0,1,0),0))</f>
        <v>0</v>
      </c>
      <c r="L340" s="15" t="n">
        <f aca="false">IF(J340=1,0,Inputs!$B$11)</f>
        <v>100</v>
      </c>
      <c r="M340" s="15" t="n">
        <f aca="false">IF(J340=1,0,Inputs!$B$12)</f>
        <v>75</v>
      </c>
      <c r="N340" s="15" t="n">
        <f aca="false">IF(J340=1,0,IF(OR(AND(OR(B340="SITE LOSS",B340="REGION LOSS"),K340=1),AND(B340="ROLE COMPROMISE",H340=C340)),Inputs!$B$13,Inputs!$B$14))</f>
        <v>10</v>
      </c>
      <c r="O340" s="15" t="n">
        <f aca="false">IF(J340=1,0,Inputs!$B$13)</f>
        <v>20</v>
      </c>
      <c r="P340" s="15" t="n">
        <f aca="false">SUM(M340:N340)</f>
        <v>85</v>
      </c>
      <c r="Q340" s="15" t="n">
        <f aca="false">IF(J340=1,"",L340-P340)</f>
        <v>15</v>
      </c>
      <c r="R340" s="15" t="n">
        <f aca="false">IF(OR(J340=1,M340&lt;=Inputs!$B$12),1,0)</f>
        <v>1</v>
      </c>
      <c r="S340" s="15" t="n">
        <f aca="false">IF(OR(J340=1,N340&lt;=O340),1,0)</f>
        <v>1</v>
      </c>
      <c r="T340" s="15" t="str">
        <f aca="false">IF(J340=1,"OFFLINE",IF(AND(Q340&gt;=Inputs!$B$15,R340=1,S340=1,P340&lt;=L340),"PASS","FAIL"))</f>
        <v>PASS</v>
      </c>
    </row>
    <row r="341" customFormat="false" ht="15" hidden="false" customHeight="false" outlineLevel="0" collapsed="false">
      <c r="A341" s="14" t="s">
        <v>1022</v>
      </c>
      <c r="B341" s="14" t="s">
        <v>1019</v>
      </c>
      <c r="C341" s="14" t="s">
        <v>163</v>
      </c>
      <c r="D341" s="14" t="s">
        <v>156</v>
      </c>
      <c r="E341" s="14" t="s">
        <v>157</v>
      </c>
      <c r="F341" s="14" t="s">
        <v>150</v>
      </c>
      <c r="G341" s="14" t="n">
        <v>2</v>
      </c>
      <c r="H341" s="14" t="s">
        <v>153</v>
      </c>
      <c r="I341" s="14" t="s">
        <v>897</v>
      </c>
      <c r="J341" s="15" t="n">
        <f aca="false">IF(B341="SITE LOSS",IF(D341=C341,1,0),IF(B341="REGION LOSS",IF(E341=C341,1,0),0))</f>
        <v>0</v>
      </c>
      <c r="K341" s="15" t="n">
        <f aca="false">IF(B341="SITE LOSS",IF(COUNTIFS('Site Dockets'!$B$7:$B$24,C341,'Site Dockets'!$C$7:$C$24,F341)&gt;0,1,0),IF(B341="REGION LOSS",IF(COUNTIFS('Site Dockets'!$E$7:$E$24,C341,'Site Dockets'!$C$7:$C$24,F341)&gt;0,1,0),0))</f>
        <v>0</v>
      </c>
      <c r="L341" s="15" t="n">
        <f aca="false">IF(J341=1,0,Inputs!$B$11)</f>
        <v>100</v>
      </c>
      <c r="M341" s="15" t="n">
        <f aca="false">IF(J341=1,0,Inputs!$B$12)</f>
        <v>75</v>
      </c>
      <c r="N341" s="15" t="n">
        <f aca="false">IF(J341=1,0,IF(OR(AND(OR(B341="SITE LOSS",B341="REGION LOSS"),K341=1),AND(B341="ROLE COMPROMISE",H341=C341)),Inputs!$B$13,Inputs!$B$14))</f>
        <v>10</v>
      </c>
      <c r="O341" s="15" t="n">
        <f aca="false">IF(J341=1,0,Inputs!$B$13)</f>
        <v>20</v>
      </c>
      <c r="P341" s="15" t="n">
        <f aca="false">SUM(M341:N341)</f>
        <v>85</v>
      </c>
      <c r="Q341" s="15" t="n">
        <f aca="false">IF(J341=1,"",L341-P341)</f>
        <v>15</v>
      </c>
      <c r="R341" s="15" t="n">
        <f aca="false">IF(OR(J341=1,M341&lt;=Inputs!$B$12),1,0)</f>
        <v>1</v>
      </c>
      <c r="S341" s="15" t="n">
        <f aca="false">IF(OR(J341=1,N341&lt;=O341),1,0)</f>
        <v>1</v>
      </c>
      <c r="T341" s="15" t="str">
        <f aca="false">IF(J341=1,"OFFLINE",IF(AND(Q341&gt;=Inputs!$B$15,R341=1,S341=1,P341&lt;=L341),"PASS","FAIL"))</f>
        <v>PASS</v>
      </c>
    </row>
    <row r="342" customFormat="false" ht="15" hidden="false" customHeight="false" outlineLevel="0" collapsed="false">
      <c r="A342" s="14" t="s">
        <v>1022</v>
      </c>
      <c r="B342" s="14" t="s">
        <v>1019</v>
      </c>
      <c r="C342" s="14" t="s">
        <v>163</v>
      </c>
      <c r="D342" s="14" t="s">
        <v>156</v>
      </c>
      <c r="E342" s="14" t="s">
        <v>157</v>
      </c>
      <c r="F342" s="14" t="s">
        <v>150</v>
      </c>
      <c r="G342" s="14" t="n">
        <v>2</v>
      </c>
      <c r="H342" s="14" t="s">
        <v>153</v>
      </c>
      <c r="I342" s="14" t="s">
        <v>899</v>
      </c>
      <c r="J342" s="15" t="n">
        <f aca="false">IF(B342="SITE LOSS",IF(D342=C342,1,0),IF(B342="REGION LOSS",IF(E342=C342,1,0),0))</f>
        <v>0</v>
      </c>
      <c r="K342" s="15" t="n">
        <f aca="false">IF(B342="SITE LOSS",IF(COUNTIFS('Site Dockets'!$B$7:$B$24,C342,'Site Dockets'!$C$7:$C$24,F342)&gt;0,1,0),IF(B342="REGION LOSS",IF(COUNTIFS('Site Dockets'!$E$7:$E$24,C342,'Site Dockets'!$C$7:$C$24,F342)&gt;0,1,0),0))</f>
        <v>0</v>
      </c>
      <c r="L342" s="15" t="n">
        <f aca="false">IF(J342=1,0,Inputs!$B$11)</f>
        <v>100</v>
      </c>
      <c r="M342" s="15" t="n">
        <f aca="false">IF(J342=1,0,Inputs!$B$12)</f>
        <v>75</v>
      </c>
      <c r="N342" s="15" t="n">
        <f aca="false">IF(J342=1,0,IF(OR(AND(OR(B342="SITE LOSS",B342="REGION LOSS"),K342=1),AND(B342="ROLE COMPROMISE",H342=C342)),Inputs!$B$13,Inputs!$B$14))</f>
        <v>10</v>
      </c>
      <c r="O342" s="15" t="n">
        <f aca="false">IF(J342=1,0,Inputs!$B$13)</f>
        <v>20</v>
      </c>
      <c r="P342" s="15" t="n">
        <f aca="false">SUM(M342:N342)</f>
        <v>85</v>
      </c>
      <c r="Q342" s="15" t="n">
        <f aca="false">IF(J342=1,"",L342-P342)</f>
        <v>15</v>
      </c>
      <c r="R342" s="15" t="n">
        <f aca="false">IF(OR(J342=1,M342&lt;=Inputs!$B$12),1,0)</f>
        <v>1</v>
      </c>
      <c r="S342" s="15" t="n">
        <f aca="false">IF(OR(J342=1,N342&lt;=O342),1,0)</f>
        <v>1</v>
      </c>
      <c r="T342" s="15" t="str">
        <f aca="false">IF(J342=1,"OFFLINE",IF(AND(Q342&gt;=Inputs!$B$15,R342=1,S342=1,P342&lt;=L342),"PASS","FAIL"))</f>
        <v>PASS</v>
      </c>
    </row>
    <row r="343" customFormat="false" ht="15" hidden="false" customHeight="false" outlineLevel="0" collapsed="false">
      <c r="A343" s="14" t="s">
        <v>1022</v>
      </c>
      <c r="B343" s="14" t="s">
        <v>1019</v>
      </c>
      <c r="C343" s="14" t="s">
        <v>163</v>
      </c>
      <c r="D343" s="14" t="s">
        <v>160</v>
      </c>
      <c r="E343" s="14" t="s">
        <v>161</v>
      </c>
      <c r="F343" s="14" t="s">
        <v>150</v>
      </c>
      <c r="G343" s="14" t="n">
        <v>3</v>
      </c>
      <c r="H343" s="14" t="s">
        <v>158</v>
      </c>
      <c r="I343" s="14" t="s">
        <v>890</v>
      </c>
      <c r="J343" s="15" t="n">
        <f aca="false">IF(B343="SITE LOSS",IF(D343=C343,1,0),IF(B343="REGION LOSS",IF(E343=C343,1,0),0))</f>
        <v>0</v>
      </c>
      <c r="K343" s="15" t="n">
        <f aca="false">IF(B343="SITE LOSS",IF(COUNTIFS('Site Dockets'!$B$7:$B$24,C343,'Site Dockets'!$C$7:$C$24,F343)&gt;0,1,0),IF(B343="REGION LOSS",IF(COUNTIFS('Site Dockets'!$E$7:$E$24,C343,'Site Dockets'!$C$7:$C$24,F343)&gt;0,1,0),0))</f>
        <v>0</v>
      </c>
      <c r="L343" s="15" t="n">
        <f aca="false">IF(J343=1,0,Inputs!$B$11)</f>
        <v>100</v>
      </c>
      <c r="M343" s="15" t="n">
        <f aca="false">IF(J343=1,0,Inputs!$B$12)</f>
        <v>75</v>
      </c>
      <c r="N343" s="15" t="n">
        <f aca="false">IF(J343=1,0,IF(OR(AND(OR(B343="SITE LOSS",B343="REGION LOSS"),K343=1),AND(B343="ROLE COMPROMISE",H343=C343)),Inputs!$B$13,Inputs!$B$14))</f>
        <v>10</v>
      </c>
      <c r="O343" s="15" t="n">
        <f aca="false">IF(J343=1,0,Inputs!$B$13)</f>
        <v>20</v>
      </c>
      <c r="P343" s="15" t="n">
        <f aca="false">SUM(M343:N343)</f>
        <v>85</v>
      </c>
      <c r="Q343" s="15" t="n">
        <f aca="false">IF(J343=1,"",L343-P343)</f>
        <v>15</v>
      </c>
      <c r="R343" s="15" t="n">
        <f aca="false">IF(OR(J343=1,M343&lt;=Inputs!$B$12),1,0)</f>
        <v>1</v>
      </c>
      <c r="S343" s="15" t="n">
        <f aca="false">IF(OR(J343=1,N343&lt;=O343),1,0)</f>
        <v>1</v>
      </c>
      <c r="T343" s="15" t="str">
        <f aca="false">IF(J343=1,"OFFLINE",IF(AND(Q343&gt;=Inputs!$B$15,R343=1,S343=1,P343&lt;=L343),"PASS","FAIL"))</f>
        <v>PASS</v>
      </c>
    </row>
    <row r="344" customFormat="false" ht="15" hidden="false" customHeight="false" outlineLevel="0" collapsed="false">
      <c r="A344" s="14" t="s">
        <v>1022</v>
      </c>
      <c r="B344" s="14" t="s">
        <v>1019</v>
      </c>
      <c r="C344" s="14" t="s">
        <v>163</v>
      </c>
      <c r="D344" s="14" t="s">
        <v>160</v>
      </c>
      <c r="E344" s="14" t="s">
        <v>161</v>
      </c>
      <c r="F344" s="14" t="s">
        <v>150</v>
      </c>
      <c r="G344" s="14" t="n">
        <v>3</v>
      </c>
      <c r="H344" s="14" t="s">
        <v>158</v>
      </c>
      <c r="I344" s="14" t="s">
        <v>892</v>
      </c>
      <c r="J344" s="15" t="n">
        <f aca="false">IF(B344="SITE LOSS",IF(D344=C344,1,0),IF(B344="REGION LOSS",IF(E344=C344,1,0),0))</f>
        <v>0</v>
      </c>
      <c r="K344" s="15" t="n">
        <f aca="false">IF(B344="SITE LOSS",IF(COUNTIFS('Site Dockets'!$B$7:$B$24,C344,'Site Dockets'!$C$7:$C$24,F344)&gt;0,1,0),IF(B344="REGION LOSS",IF(COUNTIFS('Site Dockets'!$E$7:$E$24,C344,'Site Dockets'!$C$7:$C$24,F344)&gt;0,1,0),0))</f>
        <v>0</v>
      </c>
      <c r="L344" s="15" t="n">
        <f aca="false">IF(J344=1,0,Inputs!$B$11)</f>
        <v>100</v>
      </c>
      <c r="M344" s="15" t="n">
        <f aca="false">IF(J344=1,0,Inputs!$B$12)</f>
        <v>75</v>
      </c>
      <c r="N344" s="15" t="n">
        <f aca="false">IF(J344=1,0,IF(OR(AND(OR(B344="SITE LOSS",B344="REGION LOSS"),K344=1),AND(B344="ROLE COMPROMISE",H344=C344)),Inputs!$B$13,Inputs!$B$14))</f>
        <v>10</v>
      </c>
      <c r="O344" s="15" t="n">
        <f aca="false">IF(J344=1,0,Inputs!$B$13)</f>
        <v>20</v>
      </c>
      <c r="P344" s="15" t="n">
        <f aca="false">SUM(M344:N344)</f>
        <v>85</v>
      </c>
      <c r="Q344" s="15" t="n">
        <f aca="false">IF(J344=1,"",L344-P344)</f>
        <v>15</v>
      </c>
      <c r="R344" s="15" t="n">
        <f aca="false">IF(OR(J344=1,M344&lt;=Inputs!$B$12),1,0)</f>
        <v>1</v>
      </c>
      <c r="S344" s="15" t="n">
        <f aca="false">IF(OR(J344=1,N344&lt;=O344),1,0)</f>
        <v>1</v>
      </c>
      <c r="T344" s="15" t="str">
        <f aca="false">IF(J344=1,"OFFLINE",IF(AND(Q344&gt;=Inputs!$B$15,R344=1,S344=1,P344&lt;=L344),"PASS","FAIL"))</f>
        <v>PASS</v>
      </c>
    </row>
    <row r="345" customFormat="false" ht="15" hidden="false" customHeight="false" outlineLevel="0" collapsed="false">
      <c r="A345" s="14" t="s">
        <v>1022</v>
      </c>
      <c r="B345" s="14" t="s">
        <v>1019</v>
      </c>
      <c r="C345" s="14" t="s">
        <v>163</v>
      </c>
      <c r="D345" s="14" t="s">
        <v>160</v>
      </c>
      <c r="E345" s="14" t="s">
        <v>161</v>
      </c>
      <c r="F345" s="14" t="s">
        <v>150</v>
      </c>
      <c r="G345" s="14" t="n">
        <v>3</v>
      </c>
      <c r="H345" s="14" t="s">
        <v>158</v>
      </c>
      <c r="I345" s="14" t="s">
        <v>811</v>
      </c>
      <c r="J345" s="15" t="n">
        <f aca="false">IF(B345="SITE LOSS",IF(D345=C345,1,0),IF(B345="REGION LOSS",IF(E345=C345,1,0),0))</f>
        <v>0</v>
      </c>
      <c r="K345" s="15" t="n">
        <f aca="false">IF(B345="SITE LOSS",IF(COUNTIFS('Site Dockets'!$B$7:$B$24,C345,'Site Dockets'!$C$7:$C$24,F345)&gt;0,1,0),IF(B345="REGION LOSS",IF(COUNTIFS('Site Dockets'!$E$7:$E$24,C345,'Site Dockets'!$C$7:$C$24,F345)&gt;0,1,0),0))</f>
        <v>0</v>
      </c>
      <c r="L345" s="15" t="n">
        <f aca="false">IF(J345=1,0,Inputs!$B$11)</f>
        <v>100</v>
      </c>
      <c r="M345" s="15" t="n">
        <f aca="false">IF(J345=1,0,Inputs!$B$12)</f>
        <v>75</v>
      </c>
      <c r="N345" s="15" t="n">
        <f aca="false">IF(J345=1,0,IF(OR(AND(OR(B345="SITE LOSS",B345="REGION LOSS"),K345=1),AND(B345="ROLE COMPROMISE",H345=C345)),Inputs!$B$13,Inputs!$B$14))</f>
        <v>10</v>
      </c>
      <c r="O345" s="15" t="n">
        <f aca="false">IF(J345=1,0,Inputs!$B$13)</f>
        <v>20</v>
      </c>
      <c r="P345" s="15" t="n">
        <f aca="false">SUM(M345:N345)</f>
        <v>85</v>
      </c>
      <c r="Q345" s="15" t="n">
        <f aca="false">IF(J345=1,"",L345-P345)</f>
        <v>15</v>
      </c>
      <c r="R345" s="15" t="n">
        <f aca="false">IF(OR(J345=1,M345&lt;=Inputs!$B$12),1,0)</f>
        <v>1</v>
      </c>
      <c r="S345" s="15" t="n">
        <f aca="false">IF(OR(J345=1,N345&lt;=O345),1,0)</f>
        <v>1</v>
      </c>
      <c r="T345" s="15" t="str">
        <f aca="false">IF(J345=1,"OFFLINE",IF(AND(Q345&gt;=Inputs!$B$15,R345=1,S345=1,P345&lt;=L345),"PASS","FAIL"))</f>
        <v>PASS</v>
      </c>
    </row>
    <row r="346" customFormat="false" ht="15" hidden="false" customHeight="false" outlineLevel="0" collapsed="false">
      <c r="A346" s="14" t="s">
        <v>1022</v>
      </c>
      <c r="B346" s="14" t="s">
        <v>1019</v>
      </c>
      <c r="C346" s="14" t="s">
        <v>163</v>
      </c>
      <c r="D346" s="14" t="s">
        <v>160</v>
      </c>
      <c r="E346" s="14" t="s">
        <v>161</v>
      </c>
      <c r="F346" s="14" t="s">
        <v>150</v>
      </c>
      <c r="G346" s="14" t="n">
        <v>3</v>
      </c>
      <c r="H346" s="14" t="s">
        <v>158</v>
      </c>
      <c r="I346" s="14" t="s">
        <v>895</v>
      </c>
      <c r="J346" s="15" t="n">
        <f aca="false">IF(B346="SITE LOSS",IF(D346=C346,1,0),IF(B346="REGION LOSS",IF(E346=C346,1,0),0))</f>
        <v>0</v>
      </c>
      <c r="K346" s="15" t="n">
        <f aca="false">IF(B346="SITE LOSS",IF(COUNTIFS('Site Dockets'!$B$7:$B$24,C346,'Site Dockets'!$C$7:$C$24,F346)&gt;0,1,0),IF(B346="REGION LOSS",IF(COUNTIFS('Site Dockets'!$E$7:$E$24,C346,'Site Dockets'!$C$7:$C$24,F346)&gt;0,1,0),0))</f>
        <v>0</v>
      </c>
      <c r="L346" s="15" t="n">
        <f aca="false">IF(J346=1,0,Inputs!$B$11)</f>
        <v>100</v>
      </c>
      <c r="M346" s="15" t="n">
        <f aca="false">IF(J346=1,0,Inputs!$B$12)</f>
        <v>75</v>
      </c>
      <c r="N346" s="15" t="n">
        <f aca="false">IF(J346=1,0,IF(OR(AND(OR(B346="SITE LOSS",B346="REGION LOSS"),K346=1),AND(B346="ROLE COMPROMISE",H346=C346)),Inputs!$B$13,Inputs!$B$14))</f>
        <v>10</v>
      </c>
      <c r="O346" s="15" t="n">
        <f aca="false">IF(J346=1,0,Inputs!$B$13)</f>
        <v>20</v>
      </c>
      <c r="P346" s="15" t="n">
        <f aca="false">SUM(M346:N346)</f>
        <v>85</v>
      </c>
      <c r="Q346" s="15" t="n">
        <f aca="false">IF(J346=1,"",L346-P346)</f>
        <v>15</v>
      </c>
      <c r="R346" s="15" t="n">
        <f aca="false">IF(OR(J346=1,M346&lt;=Inputs!$B$12),1,0)</f>
        <v>1</v>
      </c>
      <c r="S346" s="15" t="n">
        <f aca="false">IF(OR(J346=1,N346&lt;=O346),1,0)</f>
        <v>1</v>
      </c>
      <c r="T346" s="15" t="str">
        <f aca="false">IF(J346=1,"OFFLINE",IF(AND(Q346&gt;=Inputs!$B$15,R346=1,S346=1,P346&lt;=L346),"PASS","FAIL"))</f>
        <v>PASS</v>
      </c>
    </row>
    <row r="347" customFormat="false" ht="15" hidden="false" customHeight="false" outlineLevel="0" collapsed="false">
      <c r="A347" s="14" t="s">
        <v>1022</v>
      </c>
      <c r="B347" s="14" t="s">
        <v>1019</v>
      </c>
      <c r="C347" s="14" t="s">
        <v>163</v>
      </c>
      <c r="D347" s="14" t="s">
        <v>160</v>
      </c>
      <c r="E347" s="14" t="s">
        <v>161</v>
      </c>
      <c r="F347" s="14" t="s">
        <v>150</v>
      </c>
      <c r="G347" s="14" t="n">
        <v>3</v>
      </c>
      <c r="H347" s="14" t="s">
        <v>158</v>
      </c>
      <c r="I347" s="14" t="s">
        <v>897</v>
      </c>
      <c r="J347" s="15" t="n">
        <f aca="false">IF(B347="SITE LOSS",IF(D347=C347,1,0),IF(B347="REGION LOSS",IF(E347=C347,1,0),0))</f>
        <v>0</v>
      </c>
      <c r="K347" s="15" t="n">
        <f aca="false">IF(B347="SITE LOSS",IF(COUNTIFS('Site Dockets'!$B$7:$B$24,C347,'Site Dockets'!$C$7:$C$24,F347)&gt;0,1,0),IF(B347="REGION LOSS",IF(COUNTIFS('Site Dockets'!$E$7:$E$24,C347,'Site Dockets'!$C$7:$C$24,F347)&gt;0,1,0),0))</f>
        <v>0</v>
      </c>
      <c r="L347" s="15" t="n">
        <f aca="false">IF(J347=1,0,Inputs!$B$11)</f>
        <v>100</v>
      </c>
      <c r="M347" s="15" t="n">
        <f aca="false">IF(J347=1,0,Inputs!$B$12)</f>
        <v>75</v>
      </c>
      <c r="N347" s="15" t="n">
        <f aca="false">IF(J347=1,0,IF(OR(AND(OR(B347="SITE LOSS",B347="REGION LOSS"),K347=1),AND(B347="ROLE COMPROMISE",H347=C347)),Inputs!$B$13,Inputs!$B$14))</f>
        <v>10</v>
      </c>
      <c r="O347" s="15" t="n">
        <f aca="false">IF(J347=1,0,Inputs!$B$13)</f>
        <v>20</v>
      </c>
      <c r="P347" s="15" t="n">
        <f aca="false">SUM(M347:N347)</f>
        <v>85</v>
      </c>
      <c r="Q347" s="15" t="n">
        <f aca="false">IF(J347=1,"",L347-P347)</f>
        <v>15</v>
      </c>
      <c r="R347" s="15" t="n">
        <f aca="false">IF(OR(J347=1,M347&lt;=Inputs!$B$12),1,0)</f>
        <v>1</v>
      </c>
      <c r="S347" s="15" t="n">
        <f aca="false">IF(OR(J347=1,N347&lt;=O347),1,0)</f>
        <v>1</v>
      </c>
      <c r="T347" s="15" t="str">
        <f aca="false">IF(J347=1,"OFFLINE",IF(AND(Q347&gt;=Inputs!$B$15,R347=1,S347=1,P347&lt;=L347),"PASS","FAIL"))</f>
        <v>PASS</v>
      </c>
    </row>
    <row r="348" customFormat="false" ht="15" hidden="false" customHeight="false" outlineLevel="0" collapsed="false">
      <c r="A348" s="14" t="s">
        <v>1022</v>
      </c>
      <c r="B348" s="14" t="s">
        <v>1019</v>
      </c>
      <c r="C348" s="14" t="s">
        <v>163</v>
      </c>
      <c r="D348" s="14" t="s">
        <v>160</v>
      </c>
      <c r="E348" s="14" t="s">
        <v>161</v>
      </c>
      <c r="F348" s="14" t="s">
        <v>150</v>
      </c>
      <c r="G348" s="14" t="n">
        <v>3</v>
      </c>
      <c r="H348" s="14" t="s">
        <v>158</v>
      </c>
      <c r="I348" s="14" t="s">
        <v>899</v>
      </c>
      <c r="J348" s="15" t="n">
        <f aca="false">IF(B348="SITE LOSS",IF(D348=C348,1,0),IF(B348="REGION LOSS",IF(E348=C348,1,0),0))</f>
        <v>0</v>
      </c>
      <c r="K348" s="15" t="n">
        <f aca="false">IF(B348="SITE LOSS",IF(COUNTIFS('Site Dockets'!$B$7:$B$24,C348,'Site Dockets'!$C$7:$C$24,F348)&gt;0,1,0),IF(B348="REGION LOSS",IF(COUNTIFS('Site Dockets'!$E$7:$E$24,C348,'Site Dockets'!$C$7:$C$24,F348)&gt;0,1,0),0))</f>
        <v>0</v>
      </c>
      <c r="L348" s="15" t="n">
        <f aca="false">IF(J348=1,0,Inputs!$B$11)</f>
        <v>100</v>
      </c>
      <c r="M348" s="15" t="n">
        <f aca="false">IF(J348=1,0,Inputs!$B$12)</f>
        <v>75</v>
      </c>
      <c r="N348" s="15" t="n">
        <f aca="false">IF(J348=1,0,IF(OR(AND(OR(B348="SITE LOSS",B348="REGION LOSS"),K348=1),AND(B348="ROLE COMPROMISE",H348=C348)),Inputs!$B$13,Inputs!$B$14))</f>
        <v>10</v>
      </c>
      <c r="O348" s="15" t="n">
        <f aca="false">IF(J348=1,0,Inputs!$B$13)</f>
        <v>20</v>
      </c>
      <c r="P348" s="15" t="n">
        <f aca="false">SUM(M348:N348)</f>
        <v>85</v>
      </c>
      <c r="Q348" s="15" t="n">
        <f aca="false">IF(J348=1,"",L348-P348)</f>
        <v>15</v>
      </c>
      <c r="R348" s="15" t="n">
        <f aca="false">IF(OR(J348=1,M348&lt;=Inputs!$B$12),1,0)</f>
        <v>1</v>
      </c>
      <c r="S348" s="15" t="n">
        <f aca="false">IF(OR(J348=1,N348&lt;=O348),1,0)</f>
        <v>1</v>
      </c>
      <c r="T348" s="15" t="str">
        <f aca="false">IF(J348=1,"OFFLINE",IF(AND(Q348&gt;=Inputs!$B$15,R348=1,S348=1,P348&lt;=L348),"PASS","FAIL"))</f>
        <v>PASS</v>
      </c>
    </row>
    <row r="349" customFormat="false" ht="15" hidden="false" customHeight="false" outlineLevel="0" collapsed="false">
      <c r="A349" s="14" t="s">
        <v>1022</v>
      </c>
      <c r="B349" s="14" t="s">
        <v>1019</v>
      </c>
      <c r="C349" s="14" t="s">
        <v>163</v>
      </c>
      <c r="D349" s="14" t="s">
        <v>163</v>
      </c>
      <c r="E349" s="14" t="s">
        <v>166</v>
      </c>
      <c r="F349" s="14" t="s">
        <v>164</v>
      </c>
      <c r="G349" s="14" t="n">
        <v>1</v>
      </c>
      <c r="H349" s="14" t="s">
        <v>154</v>
      </c>
      <c r="I349" s="14" t="s">
        <v>890</v>
      </c>
      <c r="J349" s="15" t="n">
        <f aca="false">IF(B349="SITE LOSS",IF(D349=C349,1,0),IF(B349="REGION LOSS",IF(E349=C349,1,0),0))</f>
        <v>1</v>
      </c>
      <c r="K349" s="15" t="n">
        <f aca="false">IF(B349="SITE LOSS",IF(COUNTIFS('Site Dockets'!$B$7:$B$24,C349,'Site Dockets'!$C$7:$C$24,F349)&gt;0,1,0),IF(B349="REGION LOSS",IF(COUNTIFS('Site Dockets'!$E$7:$E$24,C349,'Site Dockets'!$C$7:$C$24,F349)&gt;0,1,0),0))</f>
        <v>1</v>
      </c>
      <c r="L349" s="15" t="n">
        <f aca="false">IF(J349=1,0,Inputs!$B$11)</f>
        <v>0</v>
      </c>
      <c r="M349" s="15" t="n">
        <f aca="false">IF(J349=1,0,Inputs!$B$12)</f>
        <v>0</v>
      </c>
      <c r="N349" s="15" t="n">
        <f aca="false">IF(J349=1,0,IF(OR(AND(OR(B349="SITE LOSS",B349="REGION LOSS"),K349=1),AND(B349="ROLE COMPROMISE",H349=C349)),Inputs!$B$13,Inputs!$B$14))</f>
        <v>0</v>
      </c>
      <c r="O349" s="15" t="n">
        <f aca="false">IF(J349=1,0,Inputs!$B$13)</f>
        <v>0</v>
      </c>
      <c r="P349" s="15" t="n">
        <f aca="false">SUM(M349:N349)</f>
        <v>0</v>
      </c>
      <c r="Q349" s="15" t="str">
        <f aca="false">IF(J349=1,"",L349-P349)</f>
        <v/>
      </c>
      <c r="R349" s="15" t="n">
        <f aca="false">IF(OR(J349=1,M349&lt;=Inputs!$B$12),1,0)</f>
        <v>1</v>
      </c>
      <c r="S349" s="15" t="n">
        <f aca="false">IF(OR(J349=1,N349&lt;=O349),1,0)</f>
        <v>1</v>
      </c>
      <c r="T349" s="15" t="str">
        <f aca="false">IF(J349=1,"OFFLINE",IF(AND(Q349&gt;=Inputs!$B$15,R349=1,S349=1,P349&lt;=L349),"PASS","FAIL"))</f>
        <v>OFFLINE</v>
      </c>
    </row>
    <row r="350" customFormat="false" ht="15" hidden="false" customHeight="false" outlineLevel="0" collapsed="false">
      <c r="A350" s="14" t="s">
        <v>1022</v>
      </c>
      <c r="B350" s="14" t="s">
        <v>1019</v>
      </c>
      <c r="C350" s="14" t="s">
        <v>163</v>
      </c>
      <c r="D350" s="14" t="s">
        <v>163</v>
      </c>
      <c r="E350" s="14" t="s">
        <v>166</v>
      </c>
      <c r="F350" s="14" t="s">
        <v>164</v>
      </c>
      <c r="G350" s="14" t="n">
        <v>1</v>
      </c>
      <c r="H350" s="14" t="s">
        <v>154</v>
      </c>
      <c r="I350" s="14" t="s">
        <v>892</v>
      </c>
      <c r="J350" s="15" t="n">
        <f aca="false">IF(B350="SITE LOSS",IF(D350=C350,1,0),IF(B350="REGION LOSS",IF(E350=C350,1,0),0))</f>
        <v>1</v>
      </c>
      <c r="K350" s="15" t="n">
        <f aca="false">IF(B350="SITE LOSS",IF(COUNTIFS('Site Dockets'!$B$7:$B$24,C350,'Site Dockets'!$C$7:$C$24,F350)&gt;0,1,0),IF(B350="REGION LOSS",IF(COUNTIFS('Site Dockets'!$E$7:$E$24,C350,'Site Dockets'!$C$7:$C$24,F350)&gt;0,1,0),0))</f>
        <v>1</v>
      </c>
      <c r="L350" s="15" t="n">
        <f aca="false">IF(J350=1,0,Inputs!$B$11)</f>
        <v>0</v>
      </c>
      <c r="M350" s="15" t="n">
        <f aca="false">IF(J350=1,0,Inputs!$B$12)</f>
        <v>0</v>
      </c>
      <c r="N350" s="15" t="n">
        <f aca="false">IF(J350=1,0,IF(OR(AND(OR(B350="SITE LOSS",B350="REGION LOSS"),K350=1),AND(B350="ROLE COMPROMISE",H350=C350)),Inputs!$B$13,Inputs!$B$14))</f>
        <v>0</v>
      </c>
      <c r="O350" s="15" t="n">
        <f aca="false">IF(J350=1,0,Inputs!$B$13)</f>
        <v>0</v>
      </c>
      <c r="P350" s="15" t="n">
        <f aca="false">SUM(M350:N350)</f>
        <v>0</v>
      </c>
      <c r="Q350" s="15" t="str">
        <f aca="false">IF(J350=1,"",L350-P350)</f>
        <v/>
      </c>
      <c r="R350" s="15" t="n">
        <f aca="false">IF(OR(J350=1,M350&lt;=Inputs!$B$12),1,0)</f>
        <v>1</v>
      </c>
      <c r="S350" s="15" t="n">
        <f aca="false">IF(OR(J350=1,N350&lt;=O350),1,0)</f>
        <v>1</v>
      </c>
      <c r="T350" s="15" t="str">
        <f aca="false">IF(J350=1,"OFFLINE",IF(AND(Q350&gt;=Inputs!$B$15,R350=1,S350=1,P350&lt;=L350),"PASS","FAIL"))</f>
        <v>OFFLINE</v>
      </c>
    </row>
    <row r="351" customFormat="false" ht="15" hidden="false" customHeight="false" outlineLevel="0" collapsed="false">
      <c r="A351" s="14" t="s">
        <v>1022</v>
      </c>
      <c r="B351" s="14" t="s">
        <v>1019</v>
      </c>
      <c r="C351" s="14" t="s">
        <v>163</v>
      </c>
      <c r="D351" s="14" t="s">
        <v>163</v>
      </c>
      <c r="E351" s="14" t="s">
        <v>166</v>
      </c>
      <c r="F351" s="14" t="s">
        <v>164</v>
      </c>
      <c r="G351" s="14" t="n">
        <v>1</v>
      </c>
      <c r="H351" s="14" t="s">
        <v>154</v>
      </c>
      <c r="I351" s="14" t="s">
        <v>811</v>
      </c>
      <c r="J351" s="15" t="n">
        <f aca="false">IF(B351="SITE LOSS",IF(D351=C351,1,0),IF(B351="REGION LOSS",IF(E351=C351,1,0),0))</f>
        <v>1</v>
      </c>
      <c r="K351" s="15" t="n">
        <f aca="false">IF(B351="SITE LOSS",IF(COUNTIFS('Site Dockets'!$B$7:$B$24,C351,'Site Dockets'!$C$7:$C$24,F351)&gt;0,1,0),IF(B351="REGION LOSS",IF(COUNTIFS('Site Dockets'!$E$7:$E$24,C351,'Site Dockets'!$C$7:$C$24,F351)&gt;0,1,0),0))</f>
        <v>1</v>
      </c>
      <c r="L351" s="15" t="n">
        <f aca="false">IF(J351=1,0,Inputs!$B$11)</f>
        <v>0</v>
      </c>
      <c r="M351" s="15" t="n">
        <f aca="false">IF(J351=1,0,Inputs!$B$12)</f>
        <v>0</v>
      </c>
      <c r="N351" s="15" t="n">
        <f aca="false">IF(J351=1,0,IF(OR(AND(OR(B351="SITE LOSS",B351="REGION LOSS"),K351=1),AND(B351="ROLE COMPROMISE",H351=C351)),Inputs!$B$13,Inputs!$B$14))</f>
        <v>0</v>
      </c>
      <c r="O351" s="15" t="n">
        <f aca="false">IF(J351=1,0,Inputs!$B$13)</f>
        <v>0</v>
      </c>
      <c r="P351" s="15" t="n">
        <f aca="false">SUM(M351:N351)</f>
        <v>0</v>
      </c>
      <c r="Q351" s="15" t="str">
        <f aca="false">IF(J351=1,"",L351-P351)</f>
        <v/>
      </c>
      <c r="R351" s="15" t="n">
        <f aca="false">IF(OR(J351=1,M351&lt;=Inputs!$B$12),1,0)</f>
        <v>1</v>
      </c>
      <c r="S351" s="15" t="n">
        <f aca="false">IF(OR(J351=1,N351&lt;=O351),1,0)</f>
        <v>1</v>
      </c>
      <c r="T351" s="15" t="str">
        <f aca="false">IF(J351=1,"OFFLINE",IF(AND(Q351&gt;=Inputs!$B$15,R351=1,S351=1,P351&lt;=L351),"PASS","FAIL"))</f>
        <v>OFFLINE</v>
      </c>
    </row>
    <row r="352" customFormat="false" ht="15" hidden="false" customHeight="false" outlineLevel="0" collapsed="false">
      <c r="A352" s="14" t="s">
        <v>1022</v>
      </c>
      <c r="B352" s="14" t="s">
        <v>1019</v>
      </c>
      <c r="C352" s="14" t="s">
        <v>163</v>
      </c>
      <c r="D352" s="14" t="s">
        <v>163</v>
      </c>
      <c r="E352" s="14" t="s">
        <v>166</v>
      </c>
      <c r="F352" s="14" t="s">
        <v>164</v>
      </c>
      <c r="G352" s="14" t="n">
        <v>1</v>
      </c>
      <c r="H352" s="14" t="s">
        <v>154</v>
      </c>
      <c r="I352" s="14" t="s">
        <v>895</v>
      </c>
      <c r="J352" s="15" t="n">
        <f aca="false">IF(B352="SITE LOSS",IF(D352=C352,1,0),IF(B352="REGION LOSS",IF(E352=C352,1,0),0))</f>
        <v>1</v>
      </c>
      <c r="K352" s="15" t="n">
        <f aca="false">IF(B352="SITE LOSS",IF(COUNTIFS('Site Dockets'!$B$7:$B$24,C352,'Site Dockets'!$C$7:$C$24,F352)&gt;0,1,0),IF(B352="REGION LOSS",IF(COUNTIFS('Site Dockets'!$E$7:$E$24,C352,'Site Dockets'!$C$7:$C$24,F352)&gt;0,1,0),0))</f>
        <v>1</v>
      </c>
      <c r="L352" s="15" t="n">
        <f aca="false">IF(J352=1,0,Inputs!$B$11)</f>
        <v>0</v>
      </c>
      <c r="M352" s="15" t="n">
        <f aca="false">IF(J352=1,0,Inputs!$B$12)</f>
        <v>0</v>
      </c>
      <c r="N352" s="15" t="n">
        <f aca="false">IF(J352=1,0,IF(OR(AND(OR(B352="SITE LOSS",B352="REGION LOSS"),K352=1),AND(B352="ROLE COMPROMISE",H352=C352)),Inputs!$B$13,Inputs!$B$14))</f>
        <v>0</v>
      </c>
      <c r="O352" s="15" t="n">
        <f aca="false">IF(J352=1,0,Inputs!$B$13)</f>
        <v>0</v>
      </c>
      <c r="P352" s="15" t="n">
        <f aca="false">SUM(M352:N352)</f>
        <v>0</v>
      </c>
      <c r="Q352" s="15" t="str">
        <f aca="false">IF(J352=1,"",L352-P352)</f>
        <v/>
      </c>
      <c r="R352" s="15" t="n">
        <f aca="false">IF(OR(J352=1,M352&lt;=Inputs!$B$12),1,0)</f>
        <v>1</v>
      </c>
      <c r="S352" s="15" t="n">
        <f aca="false">IF(OR(J352=1,N352&lt;=O352),1,0)</f>
        <v>1</v>
      </c>
      <c r="T352" s="15" t="str">
        <f aca="false">IF(J352=1,"OFFLINE",IF(AND(Q352&gt;=Inputs!$B$15,R352=1,S352=1,P352&lt;=L352),"PASS","FAIL"))</f>
        <v>OFFLINE</v>
      </c>
    </row>
    <row r="353" customFormat="false" ht="15" hidden="false" customHeight="false" outlineLevel="0" collapsed="false">
      <c r="A353" s="14" t="s">
        <v>1022</v>
      </c>
      <c r="B353" s="14" t="s">
        <v>1019</v>
      </c>
      <c r="C353" s="14" t="s">
        <v>163</v>
      </c>
      <c r="D353" s="14" t="s">
        <v>163</v>
      </c>
      <c r="E353" s="14" t="s">
        <v>166</v>
      </c>
      <c r="F353" s="14" t="s">
        <v>164</v>
      </c>
      <c r="G353" s="14" t="n">
        <v>1</v>
      </c>
      <c r="H353" s="14" t="s">
        <v>154</v>
      </c>
      <c r="I353" s="14" t="s">
        <v>897</v>
      </c>
      <c r="J353" s="15" t="n">
        <f aca="false">IF(B353="SITE LOSS",IF(D353=C353,1,0),IF(B353="REGION LOSS",IF(E353=C353,1,0),0))</f>
        <v>1</v>
      </c>
      <c r="K353" s="15" t="n">
        <f aca="false">IF(B353="SITE LOSS",IF(COUNTIFS('Site Dockets'!$B$7:$B$24,C353,'Site Dockets'!$C$7:$C$24,F353)&gt;0,1,0),IF(B353="REGION LOSS",IF(COUNTIFS('Site Dockets'!$E$7:$E$24,C353,'Site Dockets'!$C$7:$C$24,F353)&gt;0,1,0),0))</f>
        <v>1</v>
      </c>
      <c r="L353" s="15" t="n">
        <f aca="false">IF(J353=1,0,Inputs!$B$11)</f>
        <v>0</v>
      </c>
      <c r="M353" s="15" t="n">
        <f aca="false">IF(J353=1,0,Inputs!$B$12)</f>
        <v>0</v>
      </c>
      <c r="N353" s="15" t="n">
        <f aca="false">IF(J353=1,0,IF(OR(AND(OR(B353="SITE LOSS",B353="REGION LOSS"),K353=1),AND(B353="ROLE COMPROMISE",H353=C353)),Inputs!$B$13,Inputs!$B$14))</f>
        <v>0</v>
      </c>
      <c r="O353" s="15" t="n">
        <f aca="false">IF(J353=1,0,Inputs!$B$13)</f>
        <v>0</v>
      </c>
      <c r="P353" s="15" t="n">
        <f aca="false">SUM(M353:N353)</f>
        <v>0</v>
      </c>
      <c r="Q353" s="15" t="str">
        <f aca="false">IF(J353=1,"",L353-P353)</f>
        <v/>
      </c>
      <c r="R353" s="15" t="n">
        <f aca="false">IF(OR(J353=1,M353&lt;=Inputs!$B$12),1,0)</f>
        <v>1</v>
      </c>
      <c r="S353" s="15" t="n">
        <f aca="false">IF(OR(J353=1,N353&lt;=O353),1,0)</f>
        <v>1</v>
      </c>
      <c r="T353" s="15" t="str">
        <f aca="false">IF(J353=1,"OFFLINE",IF(AND(Q353&gt;=Inputs!$B$15,R353=1,S353=1,P353&lt;=L353),"PASS","FAIL"))</f>
        <v>OFFLINE</v>
      </c>
    </row>
    <row r="354" customFormat="false" ht="15" hidden="false" customHeight="false" outlineLevel="0" collapsed="false">
      <c r="A354" s="14" t="s">
        <v>1022</v>
      </c>
      <c r="B354" s="14" t="s">
        <v>1019</v>
      </c>
      <c r="C354" s="14" t="s">
        <v>163</v>
      </c>
      <c r="D354" s="14" t="s">
        <v>163</v>
      </c>
      <c r="E354" s="14" t="s">
        <v>166</v>
      </c>
      <c r="F354" s="14" t="s">
        <v>164</v>
      </c>
      <c r="G354" s="14" t="n">
        <v>1</v>
      </c>
      <c r="H354" s="14" t="s">
        <v>154</v>
      </c>
      <c r="I354" s="14" t="s">
        <v>899</v>
      </c>
      <c r="J354" s="15" t="n">
        <f aca="false">IF(B354="SITE LOSS",IF(D354=C354,1,0),IF(B354="REGION LOSS",IF(E354=C354,1,0),0))</f>
        <v>1</v>
      </c>
      <c r="K354" s="15" t="n">
        <f aca="false">IF(B354="SITE LOSS",IF(COUNTIFS('Site Dockets'!$B$7:$B$24,C354,'Site Dockets'!$C$7:$C$24,F354)&gt;0,1,0),IF(B354="REGION LOSS",IF(COUNTIFS('Site Dockets'!$E$7:$E$24,C354,'Site Dockets'!$C$7:$C$24,F354)&gt;0,1,0),0))</f>
        <v>1</v>
      </c>
      <c r="L354" s="15" t="n">
        <f aca="false">IF(J354=1,0,Inputs!$B$11)</f>
        <v>0</v>
      </c>
      <c r="M354" s="15" t="n">
        <f aca="false">IF(J354=1,0,Inputs!$B$12)</f>
        <v>0</v>
      </c>
      <c r="N354" s="15" t="n">
        <f aca="false">IF(J354=1,0,IF(OR(AND(OR(B354="SITE LOSS",B354="REGION LOSS"),K354=1),AND(B354="ROLE COMPROMISE",H354=C354)),Inputs!$B$13,Inputs!$B$14))</f>
        <v>0</v>
      </c>
      <c r="O354" s="15" t="n">
        <f aca="false">IF(J354=1,0,Inputs!$B$13)</f>
        <v>0</v>
      </c>
      <c r="P354" s="15" t="n">
        <f aca="false">SUM(M354:N354)</f>
        <v>0</v>
      </c>
      <c r="Q354" s="15" t="str">
        <f aca="false">IF(J354=1,"",L354-P354)</f>
        <v/>
      </c>
      <c r="R354" s="15" t="n">
        <f aca="false">IF(OR(J354=1,M354&lt;=Inputs!$B$12),1,0)</f>
        <v>1</v>
      </c>
      <c r="S354" s="15" t="n">
        <f aca="false">IF(OR(J354=1,N354&lt;=O354),1,0)</f>
        <v>1</v>
      </c>
      <c r="T354" s="15" t="str">
        <f aca="false">IF(J354=1,"OFFLINE",IF(AND(Q354&gt;=Inputs!$B$15,R354=1,S354=1,P354&lt;=L354),"PASS","FAIL"))</f>
        <v>OFFLINE</v>
      </c>
    </row>
    <row r="355" customFormat="false" ht="15" hidden="false" customHeight="false" outlineLevel="0" collapsed="false">
      <c r="A355" s="14" t="s">
        <v>1022</v>
      </c>
      <c r="B355" s="14" t="s">
        <v>1019</v>
      </c>
      <c r="C355" s="14" t="s">
        <v>163</v>
      </c>
      <c r="D355" s="14" t="s">
        <v>168</v>
      </c>
      <c r="E355" s="14" t="s">
        <v>169</v>
      </c>
      <c r="F355" s="14" t="s">
        <v>164</v>
      </c>
      <c r="G355" s="14" t="n">
        <v>2</v>
      </c>
      <c r="H355" s="14" t="s">
        <v>153</v>
      </c>
      <c r="I355" s="14" t="s">
        <v>890</v>
      </c>
      <c r="J355" s="15" t="n">
        <f aca="false">IF(B355="SITE LOSS",IF(D355=C355,1,0),IF(B355="REGION LOSS",IF(E355=C355,1,0),0))</f>
        <v>0</v>
      </c>
      <c r="K355" s="15" t="n">
        <f aca="false">IF(B355="SITE LOSS",IF(COUNTIFS('Site Dockets'!$B$7:$B$24,C355,'Site Dockets'!$C$7:$C$24,F355)&gt;0,1,0),IF(B355="REGION LOSS",IF(COUNTIFS('Site Dockets'!$E$7:$E$24,C355,'Site Dockets'!$C$7:$C$24,F355)&gt;0,1,0),0))</f>
        <v>1</v>
      </c>
      <c r="L355" s="15" t="n">
        <f aca="false">IF(J355=1,0,Inputs!$B$11)</f>
        <v>100</v>
      </c>
      <c r="M355" s="15" t="n">
        <f aca="false">IF(J355=1,0,Inputs!$B$12)</f>
        <v>75</v>
      </c>
      <c r="N355" s="15" t="n">
        <f aca="false">IF(J355=1,0,IF(OR(AND(OR(B355="SITE LOSS",B355="REGION LOSS"),K355=1),AND(B355="ROLE COMPROMISE",H355=C355)),Inputs!$B$13,Inputs!$B$14))</f>
        <v>20</v>
      </c>
      <c r="O355" s="15" t="n">
        <f aca="false">IF(J355=1,0,Inputs!$B$13)</f>
        <v>20</v>
      </c>
      <c r="P355" s="15" t="n">
        <f aca="false">SUM(M355:N355)</f>
        <v>95</v>
      </c>
      <c r="Q355" s="15" t="n">
        <f aca="false">IF(J355=1,"",L355-P355)</f>
        <v>5</v>
      </c>
      <c r="R355" s="15" t="n">
        <f aca="false">IF(OR(J355=1,M355&lt;=Inputs!$B$12),1,0)</f>
        <v>1</v>
      </c>
      <c r="S355" s="15" t="n">
        <f aca="false">IF(OR(J355=1,N355&lt;=O355),1,0)</f>
        <v>1</v>
      </c>
      <c r="T355" s="15" t="str">
        <f aca="false">IF(J355=1,"OFFLINE",IF(AND(Q355&gt;=Inputs!$B$15,R355=1,S355=1,P355&lt;=L355),"PASS","FAIL"))</f>
        <v>PASS</v>
      </c>
    </row>
    <row r="356" customFormat="false" ht="15" hidden="false" customHeight="false" outlineLevel="0" collapsed="false">
      <c r="A356" s="14" t="s">
        <v>1022</v>
      </c>
      <c r="B356" s="14" t="s">
        <v>1019</v>
      </c>
      <c r="C356" s="14" t="s">
        <v>163</v>
      </c>
      <c r="D356" s="14" t="s">
        <v>168</v>
      </c>
      <c r="E356" s="14" t="s">
        <v>169</v>
      </c>
      <c r="F356" s="14" t="s">
        <v>164</v>
      </c>
      <c r="G356" s="14" t="n">
        <v>2</v>
      </c>
      <c r="H356" s="14" t="s">
        <v>153</v>
      </c>
      <c r="I356" s="14" t="s">
        <v>892</v>
      </c>
      <c r="J356" s="15" t="n">
        <f aca="false">IF(B356="SITE LOSS",IF(D356=C356,1,0),IF(B356="REGION LOSS",IF(E356=C356,1,0),0))</f>
        <v>0</v>
      </c>
      <c r="K356" s="15" t="n">
        <f aca="false">IF(B356="SITE LOSS",IF(COUNTIFS('Site Dockets'!$B$7:$B$24,C356,'Site Dockets'!$C$7:$C$24,F356)&gt;0,1,0),IF(B356="REGION LOSS",IF(COUNTIFS('Site Dockets'!$E$7:$E$24,C356,'Site Dockets'!$C$7:$C$24,F356)&gt;0,1,0),0))</f>
        <v>1</v>
      </c>
      <c r="L356" s="15" t="n">
        <f aca="false">IF(J356=1,0,Inputs!$B$11)</f>
        <v>100</v>
      </c>
      <c r="M356" s="15" t="n">
        <f aca="false">IF(J356=1,0,Inputs!$B$12)</f>
        <v>75</v>
      </c>
      <c r="N356" s="15" t="n">
        <f aca="false">IF(J356=1,0,IF(OR(AND(OR(B356="SITE LOSS",B356="REGION LOSS"),K356=1),AND(B356="ROLE COMPROMISE",H356=C356)),Inputs!$B$13,Inputs!$B$14))</f>
        <v>20</v>
      </c>
      <c r="O356" s="15" t="n">
        <f aca="false">IF(J356=1,0,Inputs!$B$13)</f>
        <v>20</v>
      </c>
      <c r="P356" s="15" t="n">
        <f aca="false">SUM(M356:N356)</f>
        <v>95</v>
      </c>
      <c r="Q356" s="15" t="n">
        <f aca="false">IF(J356=1,"",L356-P356)</f>
        <v>5</v>
      </c>
      <c r="R356" s="15" t="n">
        <f aca="false">IF(OR(J356=1,M356&lt;=Inputs!$B$12),1,0)</f>
        <v>1</v>
      </c>
      <c r="S356" s="15" t="n">
        <f aca="false">IF(OR(J356=1,N356&lt;=O356),1,0)</f>
        <v>1</v>
      </c>
      <c r="T356" s="15" t="str">
        <f aca="false">IF(J356=1,"OFFLINE",IF(AND(Q356&gt;=Inputs!$B$15,R356=1,S356=1,P356&lt;=L356),"PASS","FAIL"))</f>
        <v>PASS</v>
      </c>
    </row>
    <row r="357" customFormat="false" ht="15" hidden="false" customHeight="false" outlineLevel="0" collapsed="false">
      <c r="A357" s="14" t="s">
        <v>1022</v>
      </c>
      <c r="B357" s="14" t="s">
        <v>1019</v>
      </c>
      <c r="C357" s="14" t="s">
        <v>163</v>
      </c>
      <c r="D357" s="14" t="s">
        <v>168</v>
      </c>
      <c r="E357" s="14" t="s">
        <v>169</v>
      </c>
      <c r="F357" s="14" t="s">
        <v>164</v>
      </c>
      <c r="G357" s="14" t="n">
        <v>2</v>
      </c>
      <c r="H357" s="14" t="s">
        <v>153</v>
      </c>
      <c r="I357" s="14" t="s">
        <v>811</v>
      </c>
      <c r="J357" s="15" t="n">
        <f aca="false">IF(B357="SITE LOSS",IF(D357=C357,1,0),IF(B357="REGION LOSS",IF(E357=C357,1,0),0))</f>
        <v>0</v>
      </c>
      <c r="K357" s="15" t="n">
        <f aca="false">IF(B357="SITE LOSS",IF(COUNTIFS('Site Dockets'!$B$7:$B$24,C357,'Site Dockets'!$C$7:$C$24,F357)&gt;0,1,0),IF(B357="REGION LOSS",IF(COUNTIFS('Site Dockets'!$E$7:$E$24,C357,'Site Dockets'!$C$7:$C$24,F357)&gt;0,1,0),0))</f>
        <v>1</v>
      </c>
      <c r="L357" s="15" t="n">
        <f aca="false">IF(J357=1,0,Inputs!$B$11)</f>
        <v>100</v>
      </c>
      <c r="M357" s="15" t="n">
        <f aca="false">IF(J357=1,0,Inputs!$B$12)</f>
        <v>75</v>
      </c>
      <c r="N357" s="15" t="n">
        <f aca="false">IF(J357=1,0,IF(OR(AND(OR(B357="SITE LOSS",B357="REGION LOSS"),K357=1),AND(B357="ROLE COMPROMISE",H357=C357)),Inputs!$B$13,Inputs!$B$14))</f>
        <v>20</v>
      </c>
      <c r="O357" s="15" t="n">
        <f aca="false">IF(J357=1,0,Inputs!$B$13)</f>
        <v>20</v>
      </c>
      <c r="P357" s="15" t="n">
        <f aca="false">SUM(M357:N357)</f>
        <v>95</v>
      </c>
      <c r="Q357" s="15" t="n">
        <f aca="false">IF(J357=1,"",L357-P357)</f>
        <v>5</v>
      </c>
      <c r="R357" s="15" t="n">
        <f aca="false">IF(OR(J357=1,M357&lt;=Inputs!$B$12),1,0)</f>
        <v>1</v>
      </c>
      <c r="S357" s="15" t="n">
        <f aca="false">IF(OR(J357=1,N357&lt;=O357),1,0)</f>
        <v>1</v>
      </c>
      <c r="T357" s="15" t="str">
        <f aca="false">IF(J357=1,"OFFLINE",IF(AND(Q357&gt;=Inputs!$B$15,R357=1,S357=1,P357&lt;=L357),"PASS","FAIL"))</f>
        <v>PASS</v>
      </c>
    </row>
    <row r="358" customFormat="false" ht="15" hidden="false" customHeight="false" outlineLevel="0" collapsed="false">
      <c r="A358" s="14" t="s">
        <v>1022</v>
      </c>
      <c r="B358" s="14" t="s">
        <v>1019</v>
      </c>
      <c r="C358" s="14" t="s">
        <v>163</v>
      </c>
      <c r="D358" s="14" t="s">
        <v>168</v>
      </c>
      <c r="E358" s="14" t="s">
        <v>169</v>
      </c>
      <c r="F358" s="14" t="s">
        <v>164</v>
      </c>
      <c r="G358" s="14" t="n">
        <v>2</v>
      </c>
      <c r="H358" s="14" t="s">
        <v>153</v>
      </c>
      <c r="I358" s="14" t="s">
        <v>895</v>
      </c>
      <c r="J358" s="15" t="n">
        <f aca="false">IF(B358="SITE LOSS",IF(D358=C358,1,0),IF(B358="REGION LOSS",IF(E358=C358,1,0),0))</f>
        <v>0</v>
      </c>
      <c r="K358" s="15" t="n">
        <f aca="false">IF(B358="SITE LOSS",IF(COUNTIFS('Site Dockets'!$B$7:$B$24,C358,'Site Dockets'!$C$7:$C$24,F358)&gt;0,1,0),IF(B358="REGION LOSS",IF(COUNTIFS('Site Dockets'!$E$7:$E$24,C358,'Site Dockets'!$C$7:$C$24,F358)&gt;0,1,0),0))</f>
        <v>1</v>
      </c>
      <c r="L358" s="15" t="n">
        <f aca="false">IF(J358=1,0,Inputs!$B$11)</f>
        <v>100</v>
      </c>
      <c r="M358" s="15" t="n">
        <f aca="false">IF(J358=1,0,Inputs!$B$12)</f>
        <v>75</v>
      </c>
      <c r="N358" s="15" t="n">
        <f aca="false">IF(J358=1,0,IF(OR(AND(OR(B358="SITE LOSS",B358="REGION LOSS"),K358=1),AND(B358="ROLE COMPROMISE",H358=C358)),Inputs!$B$13,Inputs!$B$14))</f>
        <v>20</v>
      </c>
      <c r="O358" s="15" t="n">
        <f aca="false">IF(J358=1,0,Inputs!$B$13)</f>
        <v>20</v>
      </c>
      <c r="P358" s="15" t="n">
        <f aca="false">SUM(M358:N358)</f>
        <v>95</v>
      </c>
      <c r="Q358" s="15" t="n">
        <f aca="false">IF(J358=1,"",L358-P358)</f>
        <v>5</v>
      </c>
      <c r="R358" s="15" t="n">
        <f aca="false">IF(OR(J358=1,M358&lt;=Inputs!$B$12),1,0)</f>
        <v>1</v>
      </c>
      <c r="S358" s="15" t="n">
        <f aca="false">IF(OR(J358=1,N358&lt;=O358),1,0)</f>
        <v>1</v>
      </c>
      <c r="T358" s="15" t="str">
        <f aca="false">IF(J358=1,"OFFLINE",IF(AND(Q358&gt;=Inputs!$B$15,R358=1,S358=1,P358&lt;=L358),"PASS","FAIL"))</f>
        <v>PASS</v>
      </c>
    </row>
    <row r="359" customFormat="false" ht="15" hidden="false" customHeight="false" outlineLevel="0" collapsed="false">
      <c r="A359" s="14" t="s">
        <v>1022</v>
      </c>
      <c r="B359" s="14" t="s">
        <v>1019</v>
      </c>
      <c r="C359" s="14" t="s">
        <v>163</v>
      </c>
      <c r="D359" s="14" t="s">
        <v>168</v>
      </c>
      <c r="E359" s="14" t="s">
        <v>169</v>
      </c>
      <c r="F359" s="14" t="s">
        <v>164</v>
      </c>
      <c r="G359" s="14" t="n">
        <v>2</v>
      </c>
      <c r="H359" s="14" t="s">
        <v>153</v>
      </c>
      <c r="I359" s="14" t="s">
        <v>897</v>
      </c>
      <c r="J359" s="15" t="n">
        <f aca="false">IF(B359="SITE LOSS",IF(D359=C359,1,0),IF(B359="REGION LOSS",IF(E359=C359,1,0),0))</f>
        <v>0</v>
      </c>
      <c r="K359" s="15" t="n">
        <f aca="false">IF(B359="SITE LOSS",IF(COUNTIFS('Site Dockets'!$B$7:$B$24,C359,'Site Dockets'!$C$7:$C$24,F359)&gt;0,1,0),IF(B359="REGION LOSS",IF(COUNTIFS('Site Dockets'!$E$7:$E$24,C359,'Site Dockets'!$C$7:$C$24,F359)&gt;0,1,0),0))</f>
        <v>1</v>
      </c>
      <c r="L359" s="15" t="n">
        <f aca="false">IF(J359=1,0,Inputs!$B$11)</f>
        <v>100</v>
      </c>
      <c r="M359" s="15" t="n">
        <f aca="false">IF(J359=1,0,Inputs!$B$12)</f>
        <v>75</v>
      </c>
      <c r="N359" s="15" t="n">
        <f aca="false">IF(J359=1,0,IF(OR(AND(OR(B359="SITE LOSS",B359="REGION LOSS"),K359=1),AND(B359="ROLE COMPROMISE",H359=C359)),Inputs!$B$13,Inputs!$B$14))</f>
        <v>20</v>
      </c>
      <c r="O359" s="15" t="n">
        <f aca="false">IF(J359=1,0,Inputs!$B$13)</f>
        <v>20</v>
      </c>
      <c r="P359" s="15" t="n">
        <f aca="false">SUM(M359:N359)</f>
        <v>95</v>
      </c>
      <c r="Q359" s="15" t="n">
        <f aca="false">IF(J359=1,"",L359-P359)</f>
        <v>5</v>
      </c>
      <c r="R359" s="15" t="n">
        <f aca="false">IF(OR(J359=1,M359&lt;=Inputs!$B$12),1,0)</f>
        <v>1</v>
      </c>
      <c r="S359" s="15" t="n">
        <f aca="false">IF(OR(J359=1,N359&lt;=O359),1,0)</f>
        <v>1</v>
      </c>
      <c r="T359" s="15" t="str">
        <f aca="false">IF(J359=1,"OFFLINE",IF(AND(Q359&gt;=Inputs!$B$15,R359=1,S359=1,P359&lt;=L359),"PASS","FAIL"))</f>
        <v>PASS</v>
      </c>
    </row>
    <row r="360" customFormat="false" ht="15" hidden="false" customHeight="false" outlineLevel="0" collapsed="false">
      <c r="A360" s="14" t="s">
        <v>1022</v>
      </c>
      <c r="B360" s="14" t="s">
        <v>1019</v>
      </c>
      <c r="C360" s="14" t="s">
        <v>163</v>
      </c>
      <c r="D360" s="14" t="s">
        <v>168</v>
      </c>
      <c r="E360" s="14" t="s">
        <v>169</v>
      </c>
      <c r="F360" s="14" t="s">
        <v>164</v>
      </c>
      <c r="G360" s="14" t="n">
        <v>2</v>
      </c>
      <c r="H360" s="14" t="s">
        <v>153</v>
      </c>
      <c r="I360" s="14" t="s">
        <v>899</v>
      </c>
      <c r="J360" s="15" t="n">
        <f aca="false">IF(B360="SITE LOSS",IF(D360=C360,1,0),IF(B360="REGION LOSS",IF(E360=C360,1,0),0))</f>
        <v>0</v>
      </c>
      <c r="K360" s="15" t="n">
        <f aca="false">IF(B360="SITE LOSS",IF(COUNTIFS('Site Dockets'!$B$7:$B$24,C360,'Site Dockets'!$C$7:$C$24,F360)&gt;0,1,0),IF(B360="REGION LOSS",IF(COUNTIFS('Site Dockets'!$E$7:$E$24,C360,'Site Dockets'!$C$7:$C$24,F360)&gt;0,1,0),0))</f>
        <v>1</v>
      </c>
      <c r="L360" s="15" t="n">
        <f aca="false">IF(J360=1,0,Inputs!$B$11)</f>
        <v>100</v>
      </c>
      <c r="M360" s="15" t="n">
        <f aca="false">IF(J360=1,0,Inputs!$B$12)</f>
        <v>75</v>
      </c>
      <c r="N360" s="15" t="n">
        <f aca="false">IF(J360=1,0,IF(OR(AND(OR(B360="SITE LOSS",B360="REGION LOSS"),K360=1),AND(B360="ROLE COMPROMISE",H360=C360)),Inputs!$B$13,Inputs!$B$14))</f>
        <v>20</v>
      </c>
      <c r="O360" s="15" t="n">
        <f aca="false">IF(J360=1,0,Inputs!$B$13)</f>
        <v>20</v>
      </c>
      <c r="P360" s="15" t="n">
        <f aca="false">SUM(M360:N360)</f>
        <v>95</v>
      </c>
      <c r="Q360" s="15" t="n">
        <f aca="false">IF(J360=1,"",L360-P360)</f>
        <v>5</v>
      </c>
      <c r="R360" s="15" t="n">
        <f aca="false">IF(OR(J360=1,M360&lt;=Inputs!$B$12),1,0)</f>
        <v>1</v>
      </c>
      <c r="S360" s="15" t="n">
        <f aca="false">IF(OR(J360=1,N360&lt;=O360),1,0)</f>
        <v>1</v>
      </c>
      <c r="T360" s="15" t="str">
        <f aca="false">IF(J360=1,"OFFLINE",IF(AND(Q360&gt;=Inputs!$B$15,R360=1,S360=1,P360&lt;=L360),"PASS","FAIL"))</f>
        <v>PASS</v>
      </c>
    </row>
    <row r="361" customFormat="false" ht="15" hidden="false" customHeight="false" outlineLevel="0" collapsed="false">
      <c r="A361" s="14" t="s">
        <v>1022</v>
      </c>
      <c r="B361" s="14" t="s">
        <v>1019</v>
      </c>
      <c r="C361" s="14" t="s">
        <v>163</v>
      </c>
      <c r="D361" s="14" t="s">
        <v>171</v>
      </c>
      <c r="E361" s="14" t="s">
        <v>172</v>
      </c>
      <c r="F361" s="14" t="s">
        <v>164</v>
      </c>
      <c r="G361" s="14" t="n">
        <v>3</v>
      </c>
      <c r="H361" s="14" t="s">
        <v>158</v>
      </c>
      <c r="I361" s="14" t="s">
        <v>890</v>
      </c>
      <c r="J361" s="15" t="n">
        <f aca="false">IF(B361="SITE LOSS",IF(D361=C361,1,0),IF(B361="REGION LOSS",IF(E361=C361,1,0),0))</f>
        <v>0</v>
      </c>
      <c r="K361" s="15" t="n">
        <f aca="false">IF(B361="SITE LOSS",IF(COUNTIFS('Site Dockets'!$B$7:$B$24,C361,'Site Dockets'!$C$7:$C$24,F361)&gt;0,1,0),IF(B361="REGION LOSS",IF(COUNTIFS('Site Dockets'!$E$7:$E$24,C361,'Site Dockets'!$C$7:$C$24,F361)&gt;0,1,0),0))</f>
        <v>1</v>
      </c>
      <c r="L361" s="15" t="n">
        <f aca="false">IF(J361=1,0,Inputs!$B$11)</f>
        <v>100</v>
      </c>
      <c r="M361" s="15" t="n">
        <f aca="false">IF(J361=1,0,Inputs!$B$12)</f>
        <v>75</v>
      </c>
      <c r="N361" s="15" t="n">
        <f aca="false">IF(J361=1,0,IF(OR(AND(OR(B361="SITE LOSS",B361="REGION LOSS"),K361=1),AND(B361="ROLE COMPROMISE",H361=C361)),Inputs!$B$13,Inputs!$B$14))</f>
        <v>20</v>
      </c>
      <c r="O361" s="15" t="n">
        <f aca="false">IF(J361=1,0,Inputs!$B$13)</f>
        <v>20</v>
      </c>
      <c r="P361" s="15" t="n">
        <f aca="false">SUM(M361:N361)</f>
        <v>95</v>
      </c>
      <c r="Q361" s="15" t="n">
        <f aca="false">IF(J361=1,"",L361-P361)</f>
        <v>5</v>
      </c>
      <c r="R361" s="15" t="n">
        <f aca="false">IF(OR(J361=1,M361&lt;=Inputs!$B$12),1,0)</f>
        <v>1</v>
      </c>
      <c r="S361" s="15" t="n">
        <f aca="false">IF(OR(J361=1,N361&lt;=O361),1,0)</f>
        <v>1</v>
      </c>
      <c r="T361" s="15" t="str">
        <f aca="false">IF(J361=1,"OFFLINE",IF(AND(Q361&gt;=Inputs!$B$15,R361=1,S361=1,P361&lt;=L361),"PASS","FAIL"))</f>
        <v>PASS</v>
      </c>
    </row>
    <row r="362" customFormat="false" ht="15" hidden="false" customHeight="false" outlineLevel="0" collapsed="false">
      <c r="A362" s="14" t="s">
        <v>1022</v>
      </c>
      <c r="B362" s="14" t="s">
        <v>1019</v>
      </c>
      <c r="C362" s="14" t="s">
        <v>163</v>
      </c>
      <c r="D362" s="14" t="s">
        <v>171</v>
      </c>
      <c r="E362" s="14" t="s">
        <v>172</v>
      </c>
      <c r="F362" s="14" t="s">
        <v>164</v>
      </c>
      <c r="G362" s="14" t="n">
        <v>3</v>
      </c>
      <c r="H362" s="14" t="s">
        <v>158</v>
      </c>
      <c r="I362" s="14" t="s">
        <v>892</v>
      </c>
      <c r="J362" s="15" t="n">
        <f aca="false">IF(B362="SITE LOSS",IF(D362=C362,1,0),IF(B362="REGION LOSS",IF(E362=C362,1,0),0))</f>
        <v>0</v>
      </c>
      <c r="K362" s="15" t="n">
        <f aca="false">IF(B362="SITE LOSS",IF(COUNTIFS('Site Dockets'!$B$7:$B$24,C362,'Site Dockets'!$C$7:$C$24,F362)&gt;0,1,0),IF(B362="REGION LOSS",IF(COUNTIFS('Site Dockets'!$E$7:$E$24,C362,'Site Dockets'!$C$7:$C$24,F362)&gt;0,1,0),0))</f>
        <v>1</v>
      </c>
      <c r="L362" s="15" t="n">
        <f aca="false">IF(J362=1,0,Inputs!$B$11)</f>
        <v>100</v>
      </c>
      <c r="M362" s="15" t="n">
        <f aca="false">IF(J362=1,0,Inputs!$B$12)</f>
        <v>75</v>
      </c>
      <c r="N362" s="15" t="n">
        <f aca="false">IF(J362=1,0,IF(OR(AND(OR(B362="SITE LOSS",B362="REGION LOSS"),K362=1),AND(B362="ROLE COMPROMISE",H362=C362)),Inputs!$B$13,Inputs!$B$14))</f>
        <v>20</v>
      </c>
      <c r="O362" s="15" t="n">
        <f aca="false">IF(J362=1,0,Inputs!$B$13)</f>
        <v>20</v>
      </c>
      <c r="P362" s="15" t="n">
        <f aca="false">SUM(M362:N362)</f>
        <v>95</v>
      </c>
      <c r="Q362" s="15" t="n">
        <f aca="false">IF(J362=1,"",L362-P362)</f>
        <v>5</v>
      </c>
      <c r="R362" s="15" t="n">
        <f aca="false">IF(OR(J362=1,M362&lt;=Inputs!$B$12),1,0)</f>
        <v>1</v>
      </c>
      <c r="S362" s="15" t="n">
        <f aca="false">IF(OR(J362=1,N362&lt;=O362),1,0)</f>
        <v>1</v>
      </c>
      <c r="T362" s="15" t="str">
        <f aca="false">IF(J362=1,"OFFLINE",IF(AND(Q362&gt;=Inputs!$B$15,R362=1,S362=1,P362&lt;=L362),"PASS","FAIL"))</f>
        <v>PASS</v>
      </c>
    </row>
    <row r="363" customFormat="false" ht="15" hidden="false" customHeight="false" outlineLevel="0" collapsed="false">
      <c r="A363" s="14" t="s">
        <v>1022</v>
      </c>
      <c r="B363" s="14" t="s">
        <v>1019</v>
      </c>
      <c r="C363" s="14" t="s">
        <v>163</v>
      </c>
      <c r="D363" s="14" t="s">
        <v>171</v>
      </c>
      <c r="E363" s="14" t="s">
        <v>172</v>
      </c>
      <c r="F363" s="14" t="s">
        <v>164</v>
      </c>
      <c r="G363" s="14" t="n">
        <v>3</v>
      </c>
      <c r="H363" s="14" t="s">
        <v>158</v>
      </c>
      <c r="I363" s="14" t="s">
        <v>811</v>
      </c>
      <c r="J363" s="15" t="n">
        <f aca="false">IF(B363="SITE LOSS",IF(D363=C363,1,0),IF(B363="REGION LOSS",IF(E363=C363,1,0),0))</f>
        <v>0</v>
      </c>
      <c r="K363" s="15" t="n">
        <f aca="false">IF(B363="SITE LOSS",IF(COUNTIFS('Site Dockets'!$B$7:$B$24,C363,'Site Dockets'!$C$7:$C$24,F363)&gt;0,1,0),IF(B363="REGION LOSS",IF(COUNTIFS('Site Dockets'!$E$7:$E$24,C363,'Site Dockets'!$C$7:$C$24,F363)&gt;0,1,0),0))</f>
        <v>1</v>
      </c>
      <c r="L363" s="15" t="n">
        <f aca="false">IF(J363=1,0,Inputs!$B$11)</f>
        <v>100</v>
      </c>
      <c r="M363" s="15" t="n">
        <f aca="false">IF(J363=1,0,Inputs!$B$12)</f>
        <v>75</v>
      </c>
      <c r="N363" s="15" t="n">
        <f aca="false">IF(J363=1,0,IF(OR(AND(OR(B363="SITE LOSS",B363="REGION LOSS"),K363=1),AND(B363="ROLE COMPROMISE",H363=C363)),Inputs!$B$13,Inputs!$B$14))</f>
        <v>20</v>
      </c>
      <c r="O363" s="15" t="n">
        <f aca="false">IF(J363=1,0,Inputs!$B$13)</f>
        <v>20</v>
      </c>
      <c r="P363" s="15" t="n">
        <f aca="false">SUM(M363:N363)</f>
        <v>95</v>
      </c>
      <c r="Q363" s="15" t="n">
        <f aca="false">IF(J363=1,"",L363-P363)</f>
        <v>5</v>
      </c>
      <c r="R363" s="15" t="n">
        <f aca="false">IF(OR(J363=1,M363&lt;=Inputs!$B$12),1,0)</f>
        <v>1</v>
      </c>
      <c r="S363" s="15" t="n">
        <f aca="false">IF(OR(J363=1,N363&lt;=O363),1,0)</f>
        <v>1</v>
      </c>
      <c r="T363" s="15" t="str">
        <f aca="false">IF(J363=1,"OFFLINE",IF(AND(Q363&gt;=Inputs!$B$15,R363=1,S363=1,P363&lt;=L363),"PASS","FAIL"))</f>
        <v>PASS</v>
      </c>
    </row>
    <row r="364" customFormat="false" ht="15" hidden="false" customHeight="false" outlineLevel="0" collapsed="false">
      <c r="A364" s="14" t="s">
        <v>1022</v>
      </c>
      <c r="B364" s="14" t="s">
        <v>1019</v>
      </c>
      <c r="C364" s="14" t="s">
        <v>163</v>
      </c>
      <c r="D364" s="14" t="s">
        <v>171</v>
      </c>
      <c r="E364" s="14" t="s">
        <v>172</v>
      </c>
      <c r="F364" s="14" t="s">
        <v>164</v>
      </c>
      <c r="G364" s="14" t="n">
        <v>3</v>
      </c>
      <c r="H364" s="14" t="s">
        <v>158</v>
      </c>
      <c r="I364" s="14" t="s">
        <v>895</v>
      </c>
      <c r="J364" s="15" t="n">
        <f aca="false">IF(B364="SITE LOSS",IF(D364=C364,1,0),IF(B364="REGION LOSS",IF(E364=C364,1,0),0))</f>
        <v>0</v>
      </c>
      <c r="K364" s="15" t="n">
        <f aca="false">IF(B364="SITE LOSS",IF(COUNTIFS('Site Dockets'!$B$7:$B$24,C364,'Site Dockets'!$C$7:$C$24,F364)&gt;0,1,0),IF(B364="REGION LOSS",IF(COUNTIFS('Site Dockets'!$E$7:$E$24,C364,'Site Dockets'!$C$7:$C$24,F364)&gt;0,1,0),0))</f>
        <v>1</v>
      </c>
      <c r="L364" s="15" t="n">
        <f aca="false">IF(J364=1,0,Inputs!$B$11)</f>
        <v>100</v>
      </c>
      <c r="M364" s="15" t="n">
        <f aca="false">IF(J364=1,0,Inputs!$B$12)</f>
        <v>75</v>
      </c>
      <c r="N364" s="15" t="n">
        <f aca="false">IF(J364=1,0,IF(OR(AND(OR(B364="SITE LOSS",B364="REGION LOSS"),K364=1),AND(B364="ROLE COMPROMISE",H364=C364)),Inputs!$B$13,Inputs!$B$14))</f>
        <v>20</v>
      </c>
      <c r="O364" s="15" t="n">
        <f aca="false">IF(J364=1,0,Inputs!$B$13)</f>
        <v>20</v>
      </c>
      <c r="P364" s="15" t="n">
        <f aca="false">SUM(M364:N364)</f>
        <v>95</v>
      </c>
      <c r="Q364" s="15" t="n">
        <f aca="false">IF(J364=1,"",L364-P364)</f>
        <v>5</v>
      </c>
      <c r="R364" s="15" t="n">
        <f aca="false">IF(OR(J364=1,M364&lt;=Inputs!$B$12),1,0)</f>
        <v>1</v>
      </c>
      <c r="S364" s="15" t="n">
        <f aca="false">IF(OR(J364=1,N364&lt;=O364),1,0)</f>
        <v>1</v>
      </c>
      <c r="T364" s="15" t="str">
        <f aca="false">IF(J364=1,"OFFLINE",IF(AND(Q364&gt;=Inputs!$B$15,R364=1,S364=1,P364&lt;=L364),"PASS","FAIL"))</f>
        <v>PASS</v>
      </c>
    </row>
    <row r="365" customFormat="false" ht="15" hidden="false" customHeight="false" outlineLevel="0" collapsed="false">
      <c r="A365" s="14" t="s">
        <v>1022</v>
      </c>
      <c r="B365" s="14" t="s">
        <v>1019</v>
      </c>
      <c r="C365" s="14" t="s">
        <v>163</v>
      </c>
      <c r="D365" s="14" t="s">
        <v>171</v>
      </c>
      <c r="E365" s="14" t="s">
        <v>172</v>
      </c>
      <c r="F365" s="14" t="s">
        <v>164</v>
      </c>
      <c r="G365" s="14" t="n">
        <v>3</v>
      </c>
      <c r="H365" s="14" t="s">
        <v>158</v>
      </c>
      <c r="I365" s="14" t="s">
        <v>897</v>
      </c>
      <c r="J365" s="15" t="n">
        <f aca="false">IF(B365="SITE LOSS",IF(D365=C365,1,0),IF(B365="REGION LOSS",IF(E365=C365,1,0),0))</f>
        <v>0</v>
      </c>
      <c r="K365" s="15" t="n">
        <f aca="false">IF(B365="SITE LOSS",IF(COUNTIFS('Site Dockets'!$B$7:$B$24,C365,'Site Dockets'!$C$7:$C$24,F365)&gt;0,1,0),IF(B365="REGION LOSS",IF(COUNTIFS('Site Dockets'!$E$7:$E$24,C365,'Site Dockets'!$C$7:$C$24,F365)&gt;0,1,0),0))</f>
        <v>1</v>
      </c>
      <c r="L365" s="15" t="n">
        <f aca="false">IF(J365=1,0,Inputs!$B$11)</f>
        <v>100</v>
      </c>
      <c r="M365" s="15" t="n">
        <f aca="false">IF(J365=1,0,Inputs!$B$12)</f>
        <v>75</v>
      </c>
      <c r="N365" s="15" t="n">
        <f aca="false">IF(J365=1,0,IF(OR(AND(OR(B365="SITE LOSS",B365="REGION LOSS"),K365=1),AND(B365="ROLE COMPROMISE",H365=C365)),Inputs!$B$13,Inputs!$B$14))</f>
        <v>20</v>
      </c>
      <c r="O365" s="15" t="n">
        <f aca="false">IF(J365=1,0,Inputs!$B$13)</f>
        <v>20</v>
      </c>
      <c r="P365" s="15" t="n">
        <f aca="false">SUM(M365:N365)</f>
        <v>95</v>
      </c>
      <c r="Q365" s="15" t="n">
        <f aca="false">IF(J365=1,"",L365-P365)</f>
        <v>5</v>
      </c>
      <c r="R365" s="15" t="n">
        <f aca="false">IF(OR(J365=1,M365&lt;=Inputs!$B$12),1,0)</f>
        <v>1</v>
      </c>
      <c r="S365" s="15" t="n">
        <f aca="false">IF(OR(J365=1,N365&lt;=O365),1,0)</f>
        <v>1</v>
      </c>
      <c r="T365" s="15" t="str">
        <f aca="false">IF(J365=1,"OFFLINE",IF(AND(Q365&gt;=Inputs!$B$15,R365=1,S365=1,P365&lt;=L365),"PASS","FAIL"))</f>
        <v>PASS</v>
      </c>
    </row>
    <row r="366" customFormat="false" ht="15" hidden="false" customHeight="false" outlineLevel="0" collapsed="false">
      <c r="A366" s="14" t="s">
        <v>1022</v>
      </c>
      <c r="B366" s="14" t="s">
        <v>1019</v>
      </c>
      <c r="C366" s="14" t="s">
        <v>163</v>
      </c>
      <c r="D366" s="14" t="s">
        <v>171</v>
      </c>
      <c r="E366" s="14" t="s">
        <v>172</v>
      </c>
      <c r="F366" s="14" t="s">
        <v>164</v>
      </c>
      <c r="G366" s="14" t="n">
        <v>3</v>
      </c>
      <c r="H366" s="14" t="s">
        <v>158</v>
      </c>
      <c r="I366" s="14" t="s">
        <v>899</v>
      </c>
      <c r="J366" s="15" t="n">
        <f aca="false">IF(B366="SITE LOSS",IF(D366=C366,1,0),IF(B366="REGION LOSS",IF(E366=C366,1,0),0))</f>
        <v>0</v>
      </c>
      <c r="K366" s="15" t="n">
        <f aca="false">IF(B366="SITE LOSS",IF(COUNTIFS('Site Dockets'!$B$7:$B$24,C366,'Site Dockets'!$C$7:$C$24,F366)&gt;0,1,0),IF(B366="REGION LOSS",IF(COUNTIFS('Site Dockets'!$E$7:$E$24,C366,'Site Dockets'!$C$7:$C$24,F366)&gt;0,1,0),0))</f>
        <v>1</v>
      </c>
      <c r="L366" s="15" t="n">
        <f aca="false">IF(J366=1,0,Inputs!$B$11)</f>
        <v>100</v>
      </c>
      <c r="M366" s="15" t="n">
        <f aca="false">IF(J366=1,0,Inputs!$B$12)</f>
        <v>75</v>
      </c>
      <c r="N366" s="15" t="n">
        <f aca="false">IF(J366=1,0,IF(OR(AND(OR(B366="SITE LOSS",B366="REGION LOSS"),K366=1),AND(B366="ROLE COMPROMISE",H366=C366)),Inputs!$B$13,Inputs!$B$14))</f>
        <v>20</v>
      </c>
      <c r="O366" s="15" t="n">
        <f aca="false">IF(J366=1,0,Inputs!$B$13)</f>
        <v>20</v>
      </c>
      <c r="P366" s="15" t="n">
        <f aca="false">SUM(M366:N366)</f>
        <v>95</v>
      </c>
      <c r="Q366" s="15" t="n">
        <f aca="false">IF(J366=1,"",L366-P366)</f>
        <v>5</v>
      </c>
      <c r="R366" s="15" t="n">
        <f aca="false">IF(OR(J366=1,M366&lt;=Inputs!$B$12),1,0)</f>
        <v>1</v>
      </c>
      <c r="S366" s="15" t="n">
        <f aca="false">IF(OR(J366=1,N366&lt;=O366),1,0)</f>
        <v>1</v>
      </c>
      <c r="T366" s="15" t="str">
        <f aca="false">IF(J366=1,"OFFLINE",IF(AND(Q366&gt;=Inputs!$B$15,R366=1,S366=1,P366&lt;=L366),"PASS","FAIL"))</f>
        <v>PASS</v>
      </c>
    </row>
    <row r="367" customFormat="false" ht="15" hidden="false" customHeight="false" outlineLevel="0" collapsed="false">
      <c r="A367" s="14" t="s">
        <v>1022</v>
      </c>
      <c r="B367" s="14" t="s">
        <v>1019</v>
      </c>
      <c r="C367" s="14" t="s">
        <v>163</v>
      </c>
      <c r="D367" s="14" t="s">
        <v>174</v>
      </c>
      <c r="E367" s="14" t="s">
        <v>152</v>
      </c>
      <c r="F367" s="14" t="s">
        <v>175</v>
      </c>
      <c r="G367" s="14" t="n">
        <v>1</v>
      </c>
      <c r="H367" s="14" t="s">
        <v>154</v>
      </c>
      <c r="I367" s="14" t="s">
        <v>890</v>
      </c>
      <c r="J367" s="15" t="n">
        <f aca="false">IF(B367="SITE LOSS",IF(D367=C367,1,0),IF(B367="REGION LOSS",IF(E367=C367,1,0),0))</f>
        <v>0</v>
      </c>
      <c r="K367" s="15" t="n">
        <f aca="false">IF(B367="SITE LOSS",IF(COUNTIFS('Site Dockets'!$B$7:$B$24,C367,'Site Dockets'!$C$7:$C$24,F367)&gt;0,1,0),IF(B367="REGION LOSS",IF(COUNTIFS('Site Dockets'!$E$7:$E$24,C367,'Site Dockets'!$C$7:$C$24,F367)&gt;0,1,0),0))</f>
        <v>0</v>
      </c>
      <c r="L367" s="15" t="n">
        <f aca="false">IF(J367=1,0,Inputs!$B$11)</f>
        <v>100</v>
      </c>
      <c r="M367" s="15" t="n">
        <f aca="false">IF(J367=1,0,Inputs!$B$12)</f>
        <v>75</v>
      </c>
      <c r="N367" s="15" t="n">
        <f aca="false">IF(J367=1,0,IF(OR(AND(OR(B367="SITE LOSS",B367="REGION LOSS"),K367=1),AND(B367="ROLE COMPROMISE",H367=C367)),Inputs!$B$13,Inputs!$B$14))</f>
        <v>10</v>
      </c>
      <c r="O367" s="15" t="n">
        <f aca="false">IF(J367=1,0,Inputs!$B$13)</f>
        <v>20</v>
      </c>
      <c r="P367" s="15" t="n">
        <f aca="false">SUM(M367:N367)</f>
        <v>85</v>
      </c>
      <c r="Q367" s="15" t="n">
        <f aca="false">IF(J367=1,"",L367-P367)</f>
        <v>15</v>
      </c>
      <c r="R367" s="15" t="n">
        <f aca="false">IF(OR(J367=1,M367&lt;=Inputs!$B$12),1,0)</f>
        <v>1</v>
      </c>
      <c r="S367" s="15" t="n">
        <f aca="false">IF(OR(J367=1,N367&lt;=O367),1,0)</f>
        <v>1</v>
      </c>
      <c r="T367" s="15" t="str">
        <f aca="false">IF(J367=1,"OFFLINE",IF(AND(Q367&gt;=Inputs!$B$15,R367=1,S367=1,P367&lt;=L367),"PASS","FAIL"))</f>
        <v>PASS</v>
      </c>
    </row>
    <row r="368" customFormat="false" ht="15" hidden="false" customHeight="false" outlineLevel="0" collapsed="false">
      <c r="A368" s="14" t="s">
        <v>1022</v>
      </c>
      <c r="B368" s="14" t="s">
        <v>1019</v>
      </c>
      <c r="C368" s="14" t="s">
        <v>163</v>
      </c>
      <c r="D368" s="14" t="s">
        <v>174</v>
      </c>
      <c r="E368" s="14" t="s">
        <v>152</v>
      </c>
      <c r="F368" s="14" t="s">
        <v>175</v>
      </c>
      <c r="G368" s="14" t="n">
        <v>1</v>
      </c>
      <c r="H368" s="14" t="s">
        <v>154</v>
      </c>
      <c r="I368" s="14" t="s">
        <v>892</v>
      </c>
      <c r="J368" s="15" t="n">
        <f aca="false">IF(B368="SITE LOSS",IF(D368=C368,1,0),IF(B368="REGION LOSS",IF(E368=C368,1,0),0))</f>
        <v>0</v>
      </c>
      <c r="K368" s="15" t="n">
        <f aca="false">IF(B368="SITE LOSS",IF(COUNTIFS('Site Dockets'!$B$7:$B$24,C368,'Site Dockets'!$C$7:$C$24,F368)&gt;0,1,0),IF(B368="REGION LOSS",IF(COUNTIFS('Site Dockets'!$E$7:$E$24,C368,'Site Dockets'!$C$7:$C$24,F368)&gt;0,1,0),0))</f>
        <v>0</v>
      </c>
      <c r="L368" s="15" t="n">
        <f aca="false">IF(J368=1,0,Inputs!$B$11)</f>
        <v>100</v>
      </c>
      <c r="M368" s="15" t="n">
        <f aca="false">IF(J368=1,0,Inputs!$B$12)</f>
        <v>75</v>
      </c>
      <c r="N368" s="15" t="n">
        <f aca="false">IF(J368=1,0,IF(OR(AND(OR(B368="SITE LOSS",B368="REGION LOSS"),K368=1),AND(B368="ROLE COMPROMISE",H368=C368)),Inputs!$B$13,Inputs!$B$14))</f>
        <v>10</v>
      </c>
      <c r="O368" s="15" t="n">
        <f aca="false">IF(J368=1,0,Inputs!$B$13)</f>
        <v>20</v>
      </c>
      <c r="P368" s="15" t="n">
        <f aca="false">SUM(M368:N368)</f>
        <v>85</v>
      </c>
      <c r="Q368" s="15" t="n">
        <f aca="false">IF(J368=1,"",L368-P368)</f>
        <v>15</v>
      </c>
      <c r="R368" s="15" t="n">
        <f aca="false">IF(OR(J368=1,M368&lt;=Inputs!$B$12),1,0)</f>
        <v>1</v>
      </c>
      <c r="S368" s="15" t="n">
        <f aca="false">IF(OR(J368=1,N368&lt;=O368),1,0)</f>
        <v>1</v>
      </c>
      <c r="T368" s="15" t="str">
        <f aca="false">IF(J368=1,"OFFLINE",IF(AND(Q368&gt;=Inputs!$B$15,R368=1,S368=1,P368&lt;=L368),"PASS","FAIL"))</f>
        <v>PASS</v>
      </c>
    </row>
    <row r="369" customFormat="false" ht="15" hidden="false" customHeight="false" outlineLevel="0" collapsed="false">
      <c r="A369" s="14" t="s">
        <v>1022</v>
      </c>
      <c r="B369" s="14" t="s">
        <v>1019</v>
      </c>
      <c r="C369" s="14" t="s">
        <v>163</v>
      </c>
      <c r="D369" s="14" t="s">
        <v>174</v>
      </c>
      <c r="E369" s="14" t="s">
        <v>152</v>
      </c>
      <c r="F369" s="14" t="s">
        <v>175</v>
      </c>
      <c r="G369" s="14" t="n">
        <v>1</v>
      </c>
      <c r="H369" s="14" t="s">
        <v>154</v>
      </c>
      <c r="I369" s="14" t="s">
        <v>811</v>
      </c>
      <c r="J369" s="15" t="n">
        <f aca="false">IF(B369="SITE LOSS",IF(D369=C369,1,0),IF(B369="REGION LOSS",IF(E369=C369,1,0),0))</f>
        <v>0</v>
      </c>
      <c r="K369" s="15" t="n">
        <f aca="false">IF(B369="SITE LOSS",IF(COUNTIFS('Site Dockets'!$B$7:$B$24,C369,'Site Dockets'!$C$7:$C$24,F369)&gt;0,1,0),IF(B369="REGION LOSS",IF(COUNTIFS('Site Dockets'!$E$7:$E$24,C369,'Site Dockets'!$C$7:$C$24,F369)&gt;0,1,0),0))</f>
        <v>0</v>
      </c>
      <c r="L369" s="15" t="n">
        <f aca="false">IF(J369=1,0,Inputs!$B$11)</f>
        <v>100</v>
      </c>
      <c r="M369" s="15" t="n">
        <f aca="false">IF(J369=1,0,Inputs!$B$12)</f>
        <v>75</v>
      </c>
      <c r="N369" s="15" t="n">
        <f aca="false">IF(J369=1,0,IF(OR(AND(OR(B369="SITE LOSS",B369="REGION LOSS"),K369=1),AND(B369="ROLE COMPROMISE",H369=C369)),Inputs!$B$13,Inputs!$B$14))</f>
        <v>10</v>
      </c>
      <c r="O369" s="15" t="n">
        <f aca="false">IF(J369=1,0,Inputs!$B$13)</f>
        <v>20</v>
      </c>
      <c r="P369" s="15" t="n">
        <f aca="false">SUM(M369:N369)</f>
        <v>85</v>
      </c>
      <c r="Q369" s="15" t="n">
        <f aca="false">IF(J369=1,"",L369-P369)</f>
        <v>15</v>
      </c>
      <c r="R369" s="15" t="n">
        <f aca="false">IF(OR(J369=1,M369&lt;=Inputs!$B$12),1,0)</f>
        <v>1</v>
      </c>
      <c r="S369" s="15" t="n">
        <f aca="false">IF(OR(J369=1,N369&lt;=O369),1,0)</f>
        <v>1</v>
      </c>
      <c r="T369" s="15" t="str">
        <f aca="false">IF(J369=1,"OFFLINE",IF(AND(Q369&gt;=Inputs!$B$15,R369=1,S369=1,P369&lt;=L369),"PASS","FAIL"))</f>
        <v>PASS</v>
      </c>
    </row>
    <row r="370" customFormat="false" ht="15" hidden="false" customHeight="false" outlineLevel="0" collapsed="false">
      <c r="A370" s="14" t="s">
        <v>1022</v>
      </c>
      <c r="B370" s="14" t="s">
        <v>1019</v>
      </c>
      <c r="C370" s="14" t="s">
        <v>163</v>
      </c>
      <c r="D370" s="14" t="s">
        <v>174</v>
      </c>
      <c r="E370" s="14" t="s">
        <v>152</v>
      </c>
      <c r="F370" s="14" t="s">
        <v>175</v>
      </c>
      <c r="G370" s="14" t="n">
        <v>1</v>
      </c>
      <c r="H370" s="14" t="s">
        <v>154</v>
      </c>
      <c r="I370" s="14" t="s">
        <v>895</v>
      </c>
      <c r="J370" s="15" t="n">
        <f aca="false">IF(B370="SITE LOSS",IF(D370=C370,1,0),IF(B370="REGION LOSS",IF(E370=C370,1,0),0))</f>
        <v>0</v>
      </c>
      <c r="K370" s="15" t="n">
        <f aca="false">IF(B370="SITE LOSS",IF(COUNTIFS('Site Dockets'!$B$7:$B$24,C370,'Site Dockets'!$C$7:$C$24,F370)&gt;0,1,0),IF(B370="REGION LOSS",IF(COUNTIFS('Site Dockets'!$E$7:$E$24,C370,'Site Dockets'!$C$7:$C$24,F370)&gt;0,1,0),0))</f>
        <v>0</v>
      </c>
      <c r="L370" s="15" t="n">
        <f aca="false">IF(J370=1,0,Inputs!$B$11)</f>
        <v>100</v>
      </c>
      <c r="M370" s="15" t="n">
        <f aca="false">IF(J370=1,0,Inputs!$B$12)</f>
        <v>75</v>
      </c>
      <c r="N370" s="15" t="n">
        <f aca="false">IF(J370=1,0,IF(OR(AND(OR(B370="SITE LOSS",B370="REGION LOSS"),K370=1),AND(B370="ROLE COMPROMISE",H370=C370)),Inputs!$B$13,Inputs!$B$14))</f>
        <v>10</v>
      </c>
      <c r="O370" s="15" t="n">
        <f aca="false">IF(J370=1,0,Inputs!$B$13)</f>
        <v>20</v>
      </c>
      <c r="P370" s="15" t="n">
        <f aca="false">SUM(M370:N370)</f>
        <v>85</v>
      </c>
      <c r="Q370" s="15" t="n">
        <f aca="false">IF(J370=1,"",L370-P370)</f>
        <v>15</v>
      </c>
      <c r="R370" s="15" t="n">
        <f aca="false">IF(OR(J370=1,M370&lt;=Inputs!$B$12),1,0)</f>
        <v>1</v>
      </c>
      <c r="S370" s="15" t="n">
        <f aca="false">IF(OR(J370=1,N370&lt;=O370),1,0)</f>
        <v>1</v>
      </c>
      <c r="T370" s="15" t="str">
        <f aca="false">IF(J370=1,"OFFLINE",IF(AND(Q370&gt;=Inputs!$B$15,R370=1,S370=1,P370&lt;=L370),"PASS","FAIL"))</f>
        <v>PASS</v>
      </c>
    </row>
    <row r="371" customFormat="false" ht="15" hidden="false" customHeight="false" outlineLevel="0" collapsed="false">
      <c r="A371" s="14" t="s">
        <v>1022</v>
      </c>
      <c r="B371" s="14" t="s">
        <v>1019</v>
      </c>
      <c r="C371" s="14" t="s">
        <v>163</v>
      </c>
      <c r="D371" s="14" t="s">
        <v>174</v>
      </c>
      <c r="E371" s="14" t="s">
        <v>152</v>
      </c>
      <c r="F371" s="14" t="s">
        <v>175</v>
      </c>
      <c r="G371" s="14" t="n">
        <v>1</v>
      </c>
      <c r="H371" s="14" t="s">
        <v>154</v>
      </c>
      <c r="I371" s="14" t="s">
        <v>897</v>
      </c>
      <c r="J371" s="15" t="n">
        <f aca="false">IF(B371="SITE LOSS",IF(D371=C371,1,0),IF(B371="REGION LOSS",IF(E371=C371,1,0),0))</f>
        <v>0</v>
      </c>
      <c r="K371" s="15" t="n">
        <f aca="false">IF(B371="SITE LOSS",IF(COUNTIFS('Site Dockets'!$B$7:$B$24,C371,'Site Dockets'!$C$7:$C$24,F371)&gt;0,1,0),IF(B371="REGION LOSS",IF(COUNTIFS('Site Dockets'!$E$7:$E$24,C371,'Site Dockets'!$C$7:$C$24,F371)&gt;0,1,0),0))</f>
        <v>0</v>
      </c>
      <c r="L371" s="15" t="n">
        <f aca="false">IF(J371=1,0,Inputs!$B$11)</f>
        <v>100</v>
      </c>
      <c r="M371" s="15" t="n">
        <f aca="false">IF(J371=1,0,Inputs!$B$12)</f>
        <v>75</v>
      </c>
      <c r="N371" s="15" t="n">
        <f aca="false">IF(J371=1,0,IF(OR(AND(OR(B371="SITE LOSS",B371="REGION LOSS"),K371=1),AND(B371="ROLE COMPROMISE",H371=C371)),Inputs!$B$13,Inputs!$B$14))</f>
        <v>10</v>
      </c>
      <c r="O371" s="15" t="n">
        <f aca="false">IF(J371=1,0,Inputs!$B$13)</f>
        <v>20</v>
      </c>
      <c r="P371" s="15" t="n">
        <f aca="false">SUM(M371:N371)</f>
        <v>85</v>
      </c>
      <c r="Q371" s="15" t="n">
        <f aca="false">IF(J371=1,"",L371-P371)</f>
        <v>15</v>
      </c>
      <c r="R371" s="15" t="n">
        <f aca="false">IF(OR(J371=1,M371&lt;=Inputs!$B$12),1,0)</f>
        <v>1</v>
      </c>
      <c r="S371" s="15" t="n">
        <f aca="false">IF(OR(J371=1,N371&lt;=O371),1,0)</f>
        <v>1</v>
      </c>
      <c r="T371" s="15" t="str">
        <f aca="false">IF(J371=1,"OFFLINE",IF(AND(Q371&gt;=Inputs!$B$15,R371=1,S371=1,P371&lt;=L371),"PASS","FAIL"))</f>
        <v>PASS</v>
      </c>
    </row>
    <row r="372" customFormat="false" ht="15" hidden="false" customHeight="false" outlineLevel="0" collapsed="false">
      <c r="A372" s="14" t="s">
        <v>1022</v>
      </c>
      <c r="B372" s="14" t="s">
        <v>1019</v>
      </c>
      <c r="C372" s="14" t="s">
        <v>163</v>
      </c>
      <c r="D372" s="14" t="s">
        <v>174</v>
      </c>
      <c r="E372" s="14" t="s">
        <v>152</v>
      </c>
      <c r="F372" s="14" t="s">
        <v>175</v>
      </c>
      <c r="G372" s="14" t="n">
        <v>1</v>
      </c>
      <c r="H372" s="14" t="s">
        <v>154</v>
      </c>
      <c r="I372" s="14" t="s">
        <v>899</v>
      </c>
      <c r="J372" s="15" t="n">
        <f aca="false">IF(B372="SITE LOSS",IF(D372=C372,1,0),IF(B372="REGION LOSS",IF(E372=C372,1,0),0))</f>
        <v>0</v>
      </c>
      <c r="K372" s="15" t="n">
        <f aca="false">IF(B372="SITE LOSS",IF(COUNTIFS('Site Dockets'!$B$7:$B$24,C372,'Site Dockets'!$C$7:$C$24,F372)&gt;0,1,0),IF(B372="REGION LOSS",IF(COUNTIFS('Site Dockets'!$E$7:$E$24,C372,'Site Dockets'!$C$7:$C$24,F372)&gt;0,1,0),0))</f>
        <v>0</v>
      </c>
      <c r="L372" s="15" t="n">
        <f aca="false">IF(J372=1,0,Inputs!$B$11)</f>
        <v>100</v>
      </c>
      <c r="M372" s="15" t="n">
        <f aca="false">IF(J372=1,0,Inputs!$B$12)</f>
        <v>75</v>
      </c>
      <c r="N372" s="15" t="n">
        <f aca="false">IF(J372=1,0,IF(OR(AND(OR(B372="SITE LOSS",B372="REGION LOSS"),K372=1),AND(B372="ROLE COMPROMISE",H372=C372)),Inputs!$B$13,Inputs!$B$14))</f>
        <v>10</v>
      </c>
      <c r="O372" s="15" t="n">
        <f aca="false">IF(J372=1,0,Inputs!$B$13)</f>
        <v>20</v>
      </c>
      <c r="P372" s="15" t="n">
        <f aca="false">SUM(M372:N372)</f>
        <v>85</v>
      </c>
      <c r="Q372" s="15" t="n">
        <f aca="false">IF(J372=1,"",L372-P372)</f>
        <v>15</v>
      </c>
      <c r="R372" s="15" t="n">
        <f aca="false">IF(OR(J372=1,M372&lt;=Inputs!$B$12),1,0)</f>
        <v>1</v>
      </c>
      <c r="S372" s="15" t="n">
        <f aca="false">IF(OR(J372=1,N372&lt;=O372),1,0)</f>
        <v>1</v>
      </c>
      <c r="T372" s="15" t="str">
        <f aca="false">IF(J372=1,"OFFLINE",IF(AND(Q372&gt;=Inputs!$B$15,R372=1,S372=1,P372&lt;=L372),"PASS","FAIL"))</f>
        <v>PASS</v>
      </c>
    </row>
    <row r="373" customFormat="false" ht="15" hidden="false" customHeight="false" outlineLevel="0" collapsed="false">
      <c r="A373" s="14" t="s">
        <v>1022</v>
      </c>
      <c r="B373" s="14" t="s">
        <v>1019</v>
      </c>
      <c r="C373" s="14" t="s">
        <v>163</v>
      </c>
      <c r="D373" s="14" t="s">
        <v>178</v>
      </c>
      <c r="E373" s="14" t="s">
        <v>169</v>
      </c>
      <c r="F373" s="14" t="s">
        <v>175</v>
      </c>
      <c r="G373" s="14" t="n">
        <v>2</v>
      </c>
      <c r="H373" s="14" t="s">
        <v>153</v>
      </c>
      <c r="I373" s="14" t="s">
        <v>890</v>
      </c>
      <c r="J373" s="15" t="n">
        <f aca="false">IF(B373="SITE LOSS",IF(D373=C373,1,0),IF(B373="REGION LOSS",IF(E373=C373,1,0),0))</f>
        <v>0</v>
      </c>
      <c r="K373" s="15" t="n">
        <f aca="false">IF(B373="SITE LOSS",IF(COUNTIFS('Site Dockets'!$B$7:$B$24,C373,'Site Dockets'!$C$7:$C$24,F373)&gt;0,1,0),IF(B373="REGION LOSS",IF(COUNTIFS('Site Dockets'!$E$7:$E$24,C373,'Site Dockets'!$C$7:$C$24,F373)&gt;0,1,0),0))</f>
        <v>0</v>
      </c>
      <c r="L373" s="15" t="n">
        <f aca="false">IF(J373=1,0,Inputs!$B$11)</f>
        <v>100</v>
      </c>
      <c r="M373" s="15" t="n">
        <f aca="false">IF(J373=1,0,Inputs!$B$12)</f>
        <v>75</v>
      </c>
      <c r="N373" s="15" t="n">
        <f aca="false">IF(J373=1,0,IF(OR(AND(OR(B373="SITE LOSS",B373="REGION LOSS"),K373=1),AND(B373="ROLE COMPROMISE",H373=C373)),Inputs!$B$13,Inputs!$B$14))</f>
        <v>10</v>
      </c>
      <c r="O373" s="15" t="n">
        <f aca="false">IF(J373=1,0,Inputs!$B$13)</f>
        <v>20</v>
      </c>
      <c r="P373" s="15" t="n">
        <f aca="false">SUM(M373:N373)</f>
        <v>85</v>
      </c>
      <c r="Q373" s="15" t="n">
        <f aca="false">IF(J373=1,"",L373-P373)</f>
        <v>15</v>
      </c>
      <c r="R373" s="15" t="n">
        <f aca="false">IF(OR(J373=1,M373&lt;=Inputs!$B$12),1,0)</f>
        <v>1</v>
      </c>
      <c r="S373" s="15" t="n">
        <f aca="false">IF(OR(J373=1,N373&lt;=O373),1,0)</f>
        <v>1</v>
      </c>
      <c r="T373" s="15" t="str">
        <f aca="false">IF(J373=1,"OFFLINE",IF(AND(Q373&gt;=Inputs!$B$15,R373=1,S373=1,P373&lt;=L373),"PASS","FAIL"))</f>
        <v>PASS</v>
      </c>
    </row>
    <row r="374" customFormat="false" ht="15" hidden="false" customHeight="false" outlineLevel="0" collapsed="false">
      <c r="A374" s="14" t="s">
        <v>1022</v>
      </c>
      <c r="B374" s="14" t="s">
        <v>1019</v>
      </c>
      <c r="C374" s="14" t="s">
        <v>163</v>
      </c>
      <c r="D374" s="14" t="s">
        <v>178</v>
      </c>
      <c r="E374" s="14" t="s">
        <v>169</v>
      </c>
      <c r="F374" s="14" t="s">
        <v>175</v>
      </c>
      <c r="G374" s="14" t="n">
        <v>2</v>
      </c>
      <c r="H374" s="14" t="s">
        <v>153</v>
      </c>
      <c r="I374" s="14" t="s">
        <v>892</v>
      </c>
      <c r="J374" s="15" t="n">
        <f aca="false">IF(B374="SITE LOSS",IF(D374=C374,1,0),IF(B374="REGION LOSS",IF(E374=C374,1,0),0))</f>
        <v>0</v>
      </c>
      <c r="K374" s="15" t="n">
        <f aca="false">IF(B374="SITE LOSS",IF(COUNTIFS('Site Dockets'!$B$7:$B$24,C374,'Site Dockets'!$C$7:$C$24,F374)&gt;0,1,0),IF(B374="REGION LOSS",IF(COUNTIFS('Site Dockets'!$E$7:$E$24,C374,'Site Dockets'!$C$7:$C$24,F374)&gt;0,1,0),0))</f>
        <v>0</v>
      </c>
      <c r="L374" s="15" t="n">
        <f aca="false">IF(J374=1,0,Inputs!$B$11)</f>
        <v>100</v>
      </c>
      <c r="M374" s="15" t="n">
        <f aca="false">IF(J374=1,0,Inputs!$B$12)</f>
        <v>75</v>
      </c>
      <c r="N374" s="15" t="n">
        <f aca="false">IF(J374=1,0,IF(OR(AND(OR(B374="SITE LOSS",B374="REGION LOSS"),K374=1),AND(B374="ROLE COMPROMISE",H374=C374)),Inputs!$B$13,Inputs!$B$14))</f>
        <v>10</v>
      </c>
      <c r="O374" s="15" t="n">
        <f aca="false">IF(J374=1,0,Inputs!$B$13)</f>
        <v>20</v>
      </c>
      <c r="P374" s="15" t="n">
        <f aca="false">SUM(M374:N374)</f>
        <v>85</v>
      </c>
      <c r="Q374" s="15" t="n">
        <f aca="false">IF(J374=1,"",L374-P374)</f>
        <v>15</v>
      </c>
      <c r="R374" s="15" t="n">
        <f aca="false">IF(OR(J374=1,M374&lt;=Inputs!$B$12),1,0)</f>
        <v>1</v>
      </c>
      <c r="S374" s="15" t="n">
        <f aca="false">IF(OR(J374=1,N374&lt;=O374),1,0)</f>
        <v>1</v>
      </c>
      <c r="T374" s="15" t="str">
        <f aca="false">IF(J374=1,"OFFLINE",IF(AND(Q374&gt;=Inputs!$B$15,R374=1,S374=1,P374&lt;=L374),"PASS","FAIL"))</f>
        <v>PASS</v>
      </c>
    </row>
    <row r="375" customFormat="false" ht="15" hidden="false" customHeight="false" outlineLevel="0" collapsed="false">
      <c r="A375" s="14" t="s">
        <v>1022</v>
      </c>
      <c r="B375" s="14" t="s">
        <v>1019</v>
      </c>
      <c r="C375" s="14" t="s">
        <v>163</v>
      </c>
      <c r="D375" s="14" t="s">
        <v>178</v>
      </c>
      <c r="E375" s="14" t="s">
        <v>169</v>
      </c>
      <c r="F375" s="14" t="s">
        <v>175</v>
      </c>
      <c r="G375" s="14" t="n">
        <v>2</v>
      </c>
      <c r="H375" s="14" t="s">
        <v>153</v>
      </c>
      <c r="I375" s="14" t="s">
        <v>811</v>
      </c>
      <c r="J375" s="15" t="n">
        <f aca="false">IF(B375="SITE LOSS",IF(D375=C375,1,0),IF(B375="REGION LOSS",IF(E375=C375,1,0),0))</f>
        <v>0</v>
      </c>
      <c r="K375" s="15" t="n">
        <f aca="false">IF(B375="SITE LOSS",IF(COUNTIFS('Site Dockets'!$B$7:$B$24,C375,'Site Dockets'!$C$7:$C$24,F375)&gt;0,1,0),IF(B375="REGION LOSS",IF(COUNTIFS('Site Dockets'!$E$7:$E$24,C375,'Site Dockets'!$C$7:$C$24,F375)&gt;0,1,0),0))</f>
        <v>0</v>
      </c>
      <c r="L375" s="15" t="n">
        <f aca="false">IF(J375=1,0,Inputs!$B$11)</f>
        <v>100</v>
      </c>
      <c r="M375" s="15" t="n">
        <f aca="false">IF(J375=1,0,Inputs!$B$12)</f>
        <v>75</v>
      </c>
      <c r="N375" s="15" t="n">
        <f aca="false">IF(J375=1,0,IF(OR(AND(OR(B375="SITE LOSS",B375="REGION LOSS"),K375=1),AND(B375="ROLE COMPROMISE",H375=C375)),Inputs!$B$13,Inputs!$B$14))</f>
        <v>10</v>
      </c>
      <c r="O375" s="15" t="n">
        <f aca="false">IF(J375=1,0,Inputs!$B$13)</f>
        <v>20</v>
      </c>
      <c r="P375" s="15" t="n">
        <f aca="false">SUM(M375:N375)</f>
        <v>85</v>
      </c>
      <c r="Q375" s="15" t="n">
        <f aca="false">IF(J375=1,"",L375-P375)</f>
        <v>15</v>
      </c>
      <c r="R375" s="15" t="n">
        <f aca="false">IF(OR(J375=1,M375&lt;=Inputs!$B$12),1,0)</f>
        <v>1</v>
      </c>
      <c r="S375" s="15" t="n">
        <f aca="false">IF(OR(J375=1,N375&lt;=O375),1,0)</f>
        <v>1</v>
      </c>
      <c r="T375" s="15" t="str">
        <f aca="false">IF(J375=1,"OFFLINE",IF(AND(Q375&gt;=Inputs!$B$15,R375=1,S375=1,P375&lt;=L375),"PASS","FAIL"))</f>
        <v>PASS</v>
      </c>
    </row>
    <row r="376" customFormat="false" ht="15" hidden="false" customHeight="false" outlineLevel="0" collapsed="false">
      <c r="A376" s="14" t="s">
        <v>1022</v>
      </c>
      <c r="B376" s="14" t="s">
        <v>1019</v>
      </c>
      <c r="C376" s="14" t="s">
        <v>163</v>
      </c>
      <c r="D376" s="14" t="s">
        <v>178</v>
      </c>
      <c r="E376" s="14" t="s">
        <v>169</v>
      </c>
      <c r="F376" s="14" t="s">
        <v>175</v>
      </c>
      <c r="G376" s="14" t="n">
        <v>2</v>
      </c>
      <c r="H376" s="14" t="s">
        <v>153</v>
      </c>
      <c r="I376" s="14" t="s">
        <v>895</v>
      </c>
      <c r="J376" s="15" t="n">
        <f aca="false">IF(B376="SITE LOSS",IF(D376=C376,1,0),IF(B376="REGION LOSS",IF(E376=C376,1,0),0))</f>
        <v>0</v>
      </c>
      <c r="K376" s="15" t="n">
        <f aca="false">IF(B376="SITE LOSS",IF(COUNTIFS('Site Dockets'!$B$7:$B$24,C376,'Site Dockets'!$C$7:$C$24,F376)&gt;0,1,0),IF(B376="REGION LOSS",IF(COUNTIFS('Site Dockets'!$E$7:$E$24,C376,'Site Dockets'!$C$7:$C$24,F376)&gt;0,1,0),0))</f>
        <v>0</v>
      </c>
      <c r="L376" s="15" t="n">
        <f aca="false">IF(J376=1,0,Inputs!$B$11)</f>
        <v>100</v>
      </c>
      <c r="M376" s="15" t="n">
        <f aca="false">IF(J376=1,0,Inputs!$B$12)</f>
        <v>75</v>
      </c>
      <c r="N376" s="15" t="n">
        <f aca="false">IF(J376=1,0,IF(OR(AND(OR(B376="SITE LOSS",B376="REGION LOSS"),K376=1),AND(B376="ROLE COMPROMISE",H376=C376)),Inputs!$B$13,Inputs!$B$14))</f>
        <v>10</v>
      </c>
      <c r="O376" s="15" t="n">
        <f aca="false">IF(J376=1,0,Inputs!$B$13)</f>
        <v>20</v>
      </c>
      <c r="P376" s="15" t="n">
        <f aca="false">SUM(M376:N376)</f>
        <v>85</v>
      </c>
      <c r="Q376" s="15" t="n">
        <f aca="false">IF(J376=1,"",L376-P376)</f>
        <v>15</v>
      </c>
      <c r="R376" s="15" t="n">
        <f aca="false">IF(OR(J376=1,M376&lt;=Inputs!$B$12),1,0)</f>
        <v>1</v>
      </c>
      <c r="S376" s="15" t="n">
        <f aca="false">IF(OR(J376=1,N376&lt;=O376),1,0)</f>
        <v>1</v>
      </c>
      <c r="T376" s="15" t="str">
        <f aca="false">IF(J376=1,"OFFLINE",IF(AND(Q376&gt;=Inputs!$B$15,R376=1,S376=1,P376&lt;=L376),"PASS","FAIL"))</f>
        <v>PASS</v>
      </c>
    </row>
    <row r="377" customFormat="false" ht="15" hidden="false" customHeight="false" outlineLevel="0" collapsed="false">
      <c r="A377" s="14" t="s">
        <v>1022</v>
      </c>
      <c r="B377" s="14" t="s">
        <v>1019</v>
      </c>
      <c r="C377" s="14" t="s">
        <v>163</v>
      </c>
      <c r="D377" s="14" t="s">
        <v>178</v>
      </c>
      <c r="E377" s="14" t="s">
        <v>169</v>
      </c>
      <c r="F377" s="14" t="s">
        <v>175</v>
      </c>
      <c r="G377" s="14" t="n">
        <v>2</v>
      </c>
      <c r="H377" s="14" t="s">
        <v>153</v>
      </c>
      <c r="I377" s="14" t="s">
        <v>897</v>
      </c>
      <c r="J377" s="15" t="n">
        <f aca="false">IF(B377="SITE LOSS",IF(D377=C377,1,0),IF(B377="REGION LOSS",IF(E377=C377,1,0),0))</f>
        <v>0</v>
      </c>
      <c r="K377" s="15" t="n">
        <f aca="false">IF(B377="SITE LOSS",IF(COUNTIFS('Site Dockets'!$B$7:$B$24,C377,'Site Dockets'!$C$7:$C$24,F377)&gt;0,1,0),IF(B377="REGION LOSS",IF(COUNTIFS('Site Dockets'!$E$7:$E$24,C377,'Site Dockets'!$C$7:$C$24,F377)&gt;0,1,0),0))</f>
        <v>0</v>
      </c>
      <c r="L377" s="15" t="n">
        <f aca="false">IF(J377=1,0,Inputs!$B$11)</f>
        <v>100</v>
      </c>
      <c r="M377" s="15" t="n">
        <f aca="false">IF(J377=1,0,Inputs!$B$12)</f>
        <v>75</v>
      </c>
      <c r="N377" s="15" t="n">
        <f aca="false">IF(J377=1,0,IF(OR(AND(OR(B377="SITE LOSS",B377="REGION LOSS"),K377=1),AND(B377="ROLE COMPROMISE",H377=C377)),Inputs!$B$13,Inputs!$B$14))</f>
        <v>10</v>
      </c>
      <c r="O377" s="15" t="n">
        <f aca="false">IF(J377=1,0,Inputs!$B$13)</f>
        <v>20</v>
      </c>
      <c r="P377" s="15" t="n">
        <f aca="false">SUM(M377:N377)</f>
        <v>85</v>
      </c>
      <c r="Q377" s="15" t="n">
        <f aca="false">IF(J377=1,"",L377-P377)</f>
        <v>15</v>
      </c>
      <c r="R377" s="15" t="n">
        <f aca="false">IF(OR(J377=1,M377&lt;=Inputs!$B$12),1,0)</f>
        <v>1</v>
      </c>
      <c r="S377" s="15" t="n">
        <f aca="false">IF(OR(J377=1,N377&lt;=O377),1,0)</f>
        <v>1</v>
      </c>
      <c r="T377" s="15" t="str">
        <f aca="false">IF(J377=1,"OFFLINE",IF(AND(Q377&gt;=Inputs!$B$15,R377=1,S377=1,P377&lt;=L377),"PASS","FAIL"))</f>
        <v>PASS</v>
      </c>
    </row>
    <row r="378" customFormat="false" ht="15" hidden="false" customHeight="false" outlineLevel="0" collapsed="false">
      <c r="A378" s="14" t="s">
        <v>1022</v>
      </c>
      <c r="B378" s="14" t="s">
        <v>1019</v>
      </c>
      <c r="C378" s="14" t="s">
        <v>163</v>
      </c>
      <c r="D378" s="14" t="s">
        <v>178</v>
      </c>
      <c r="E378" s="14" t="s">
        <v>169</v>
      </c>
      <c r="F378" s="14" t="s">
        <v>175</v>
      </c>
      <c r="G378" s="14" t="n">
        <v>2</v>
      </c>
      <c r="H378" s="14" t="s">
        <v>153</v>
      </c>
      <c r="I378" s="14" t="s">
        <v>899</v>
      </c>
      <c r="J378" s="15" t="n">
        <f aca="false">IF(B378="SITE LOSS",IF(D378=C378,1,0),IF(B378="REGION LOSS",IF(E378=C378,1,0),0))</f>
        <v>0</v>
      </c>
      <c r="K378" s="15" t="n">
        <f aca="false">IF(B378="SITE LOSS",IF(COUNTIFS('Site Dockets'!$B$7:$B$24,C378,'Site Dockets'!$C$7:$C$24,F378)&gt;0,1,0),IF(B378="REGION LOSS",IF(COUNTIFS('Site Dockets'!$E$7:$E$24,C378,'Site Dockets'!$C$7:$C$24,F378)&gt;0,1,0),0))</f>
        <v>0</v>
      </c>
      <c r="L378" s="15" t="n">
        <f aca="false">IF(J378=1,0,Inputs!$B$11)</f>
        <v>100</v>
      </c>
      <c r="M378" s="15" t="n">
        <f aca="false">IF(J378=1,0,Inputs!$B$12)</f>
        <v>75</v>
      </c>
      <c r="N378" s="15" t="n">
        <f aca="false">IF(J378=1,0,IF(OR(AND(OR(B378="SITE LOSS",B378="REGION LOSS"),K378=1),AND(B378="ROLE COMPROMISE",H378=C378)),Inputs!$B$13,Inputs!$B$14))</f>
        <v>10</v>
      </c>
      <c r="O378" s="15" t="n">
        <f aca="false">IF(J378=1,0,Inputs!$B$13)</f>
        <v>20</v>
      </c>
      <c r="P378" s="15" t="n">
        <f aca="false">SUM(M378:N378)</f>
        <v>85</v>
      </c>
      <c r="Q378" s="15" t="n">
        <f aca="false">IF(J378=1,"",L378-P378)</f>
        <v>15</v>
      </c>
      <c r="R378" s="15" t="n">
        <f aca="false">IF(OR(J378=1,M378&lt;=Inputs!$B$12),1,0)</f>
        <v>1</v>
      </c>
      <c r="S378" s="15" t="n">
        <f aca="false">IF(OR(J378=1,N378&lt;=O378),1,0)</f>
        <v>1</v>
      </c>
      <c r="T378" s="15" t="str">
        <f aca="false">IF(J378=1,"OFFLINE",IF(AND(Q378&gt;=Inputs!$B$15,R378=1,S378=1,P378&lt;=L378),"PASS","FAIL"))</f>
        <v>PASS</v>
      </c>
    </row>
    <row r="379" customFormat="false" ht="15" hidden="false" customHeight="false" outlineLevel="0" collapsed="false">
      <c r="A379" s="14" t="s">
        <v>1022</v>
      </c>
      <c r="B379" s="14" t="s">
        <v>1019</v>
      </c>
      <c r="C379" s="14" t="s">
        <v>163</v>
      </c>
      <c r="D379" s="14" t="s">
        <v>180</v>
      </c>
      <c r="E379" s="14" t="s">
        <v>161</v>
      </c>
      <c r="F379" s="14" t="s">
        <v>175</v>
      </c>
      <c r="G379" s="14" t="n">
        <v>3</v>
      </c>
      <c r="H379" s="14" t="s">
        <v>158</v>
      </c>
      <c r="I379" s="14" t="s">
        <v>890</v>
      </c>
      <c r="J379" s="15" t="n">
        <f aca="false">IF(B379="SITE LOSS",IF(D379=C379,1,0),IF(B379="REGION LOSS",IF(E379=C379,1,0),0))</f>
        <v>0</v>
      </c>
      <c r="K379" s="15" t="n">
        <f aca="false">IF(B379="SITE LOSS",IF(COUNTIFS('Site Dockets'!$B$7:$B$24,C379,'Site Dockets'!$C$7:$C$24,F379)&gt;0,1,0),IF(B379="REGION LOSS",IF(COUNTIFS('Site Dockets'!$E$7:$E$24,C379,'Site Dockets'!$C$7:$C$24,F379)&gt;0,1,0),0))</f>
        <v>0</v>
      </c>
      <c r="L379" s="15" t="n">
        <f aca="false">IF(J379=1,0,Inputs!$B$11)</f>
        <v>100</v>
      </c>
      <c r="M379" s="15" t="n">
        <f aca="false">IF(J379=1,0,Inputs!$B$12)</f>
        <v>75</v>
      </c>
      <c r="N379" s="15" t="n">
        <f aca="false">IF(J379=1,0,IF(OR(AND(OR(B379="SITE LOSS",B379="REGION LOSS"),K379=1),AND(B379="ROLE COMPROMISE",H379=C379)),Inputs!$B$13,Inputs!$B$14))</f>
        <v>10</v>
      </c>
      <c r="O379" s="15" t="n">
        <f aca="false">IF(J379=1,0,Inputs!$B$13)</f>
        <v>20</v>
      </c>
      <c r="P379" s="15" t="n">
        <f aca="false">SUM(M379:N379)</f>
        <v>85</v>
      </c>
      <c r="Q379" s="15" t="n">
        <f aca="false">IF(J379=1,"",L379-P379)</f>
        <v>15</v>
      </c>
      <c r="R379" s="15" t="n">
        <f aca="false">IF(OR(J379=1,M379&lt;=Inputs!$B$12),1,0)</f>
        <v>1</v>
      </c>
      <c r="S379" s="15" t="n">
        <f aca="false">IF(OR(J379=1,N379&lt;=O379),1,0)</f>
        <v>1</v>
      </c>
      <c r="T379" s="15" t="str">
        <f aca="false">IF(J379=1,"OFFLINE",IF(AND(Q379&gt;=Inputs!$B$15,R379=1,S379=1,P379&lt;=L379),"PASS","FAIL"))</f>
        <v>PASS</v>
      </c>
    </row>
    <row r="380" customFormat="false" ht="15" hidden="false" customHeight="false" outlineLevel="0" collapsed="false">
      <c r="A380" s="14" t="s">
        <v>1022</v>
      </c>
      <c r="B380" s="14" t="s">
        <v>1019</v>
      </c>
      <c r="C380" s="14" t="s">
        <v>163</v>
      </c>
      <c r="D380" s="14" t="s">
        <v>180</v>
      </c>
      <c r="E380" s="14" t="s">
        <v>161</v>
      </c>
      <c r="F380" s="14" t="s">
        <v>175</v>
      </c>
      <c r="G380" s="14" t="n">
        <v>3</v>
      </c>
      <c r="H380" s="14" t="s">
        <v>158</v>
      </c>
      <c r="I380" s="14" t="s">
        <v>892</v>
      </c>
      <c r="J380" s="15" t="n">
        <f aca="false">IF(B380="SITE LOSS",IF(D380=C380,1,0),IF(B380="REGION LOSS",IF(E380=C380,1,0),0))</f>
        <v>0</v>
      </c>
      <c r="K380" s="15" t="n">
        <f aca="false">IF(B380="SITE LOSS",IF(COUNTIFS('Site Dockets'!$B$7:$B$24,C380,'Site Dockets'!$C$7:$C$24,F380)&gt;0,1,0),IF(B380="REGION LOSS",IF(COUNTIFS('Site Dockets'!$E$7:$E$24,C380,'Site Dockets'!$C$7:$C$24,F380)&gt;0,1,0),0))</f>
        <v>0</v>
      </c>
      <c r="L380" s="15" t="n">
        <f aca="false">IF(J380=1,0,Inputs!$B$11)</f>
        <v>100</v>
      </c>
      <c r="M380" s="15" t="n">
        <f aca="false">IF(J380=1,0,Inputs!$B$12)</f>
        <v>75</v>
      </c>
      <c r="N380" s="15" t="n">
        <f aca="false">IF(J380=1,0,IF(OR(AND(OR(B380="SITE LOSS",B380="REGION LOSS"),K380=1),AND(B380="ROLE COMPROMISE",H380=C380)),Inputs!$B$13,Inputs!$B$14))</f>
        <v>10</v>
      </c>
      <c r="O380" s="15" t="n">
        <f aca="false">IF(J380=1,0,Inputs!$B$13)</f>
        <v>20</v>
      </c>
      <c r="P380" s="15" t="n">
        <f aca="false">SUM(M380:N380)</f>
        <v>85</v>
      </c>
      <c r="Q380" s="15" t="n">
        <f aca="false">IF(J380=1,"",L380-P380)</f>
        <v>15</v>
      </c>
      <c r="R380" s="15" t="n">
        <f aca="false">IF(OR(J380=1,M380&lt;=Inputs!$B$12),1,0)</f>
        <v>1</v>
      </c>
      <c r="S380" s="15" t="n">
        <f aca="false">IF(OR(J380=1,N380&lt;=O380),1,0)</f>
        <v>1</v>
      </c>
      <c r="T380" s="15" t="str">
        <f aca="false">IF(J380=1,"OFFLINE",IF(AND(Q380&gt;=Inputs!$B$15,R380=1,S380=1,P380&lt;=L380),"PASS","FAIL"))</f>
        <v>PASS</v>
      </c>
    </row>
    <row r="381" customFormat="false" ht="15" hidden="false" customHeight="false" outlineLevel="0" collapsed="false">
      <c r="A381" s="14" t="s">
        <v>1022</v>
      </c>
      <c r="B381" s="14" t="s">
        <v>1019</v>
      </c>
      <c r="C381" s="14" t="s">
        <v>163</v>
      </c>
      <c r="D381" s="14" t="s">
        <v>180</v>
      </c>
      <c r="E381" s="14" t="s">
        <v>161</v>
      </c>
      <c r="F381" s="14" t="s">
        <v>175</v>
      </c>
      <c r="G381" s="14" t="n">
        <v>3</v>
      </c>
      <c r="H381" s="14" t="s">
        <v>158</v>
      </c>
      <c r="I381" s="14" t="s">
        <v>811</v>
      </c>
      <c r="J381" s="15" t="n">
        <f aca="false">IF(B381="SITE LOSS",IF(D381=C381,1,0),IF(B381="REGION LOSS",IF(E381=C381,1,0),0))</f>
        <v>0</v>
      </c>
      <c r="K381" s="15" t="n">
        <f aca="false">IF(B381="SITE LOSS",IF(COUNTIFS('Site Dockets'!$B$7:$B$24,C381,'Site Dockets'!$C$7:$C$24,F381)&gt;0,1,0),IF(B381="REGION LOSS",IF(COUNTIFS('Site Dockets'!$E$7:$E$24,C381,'Site Dockets'!$C$7:$C$24,F381)&gt;0,1,0),0))</f>
        <v>0</v>
      </c>
      <c r="L381" s="15" t="n">
        <f aca="false">IF(J381=1,0,Inputs!$B$11)</f>
        <v>100</v>
      </c>
      <c r="M381" s="15" t="n">
        <f aca="false">IF(J381=1,0,Inputs!$B$12)</f>
        <v>75</v>
      </c>
      <c r="N381" s="15" t="n">
        <f aca="false">IF(J381=1,0,IF(OR(AND(OR(B381="SITE LOSS",B381="REGION LOSS"),K381=1),AND(B381="ROLE COMPROMISE",H381=C381)),Inputs!$B$13,Inputs!$B$14))</f>
        <v>10</v>
      </c>
      <c r="O381" s="15" t="n">
        <f aca="false">IF(J381=1,0,Inputs!$B$13)</f>
        <v>20</v>
      </c>
      <c r="P381" s="15" t="n">
        <f aca="false">SUM(M381:N381)</f>
        <v>85</v>
      </c>
      <c r="Q381" s="15" t="n">
        <f aca="false">IF(J381=1,"",L381-P381)</f>
        <v>15</v>
      </c>
      <c r="R381" s="15" t="n">
        <f aca="false">IF(OR(J381=1,M381&lt;=Inputs!$B$12),1,0)</f>
        <v>1</v>
      </c>
      <c r="S381" s="15" t="n">
        <f aca="false">IF(OR(J381=1,N381&lt;=O381),1,0)</f>
        <v>1</v>
      </c>
      <c r="T381" s="15" t="str">
        <f aca="false">IF(J381=1,"OFFLINE",IF(AND(Q381&gt;=Inputs!$B$15,R381=1,S381=1,P381&lt;=L381),"PASS","FAIL"))</f>
        <v>PASS</v>
      </c>
    </row>
    <row r="382" customFormat="false" ht="15" hidden="false" customHeight="false" outlineLevel="0" collapsed="false">
      <c r="A382" s="14" t="s">
        <v>1022</v>
      </c>
      <c r="B382" s="14" t="s">
        <v>1019</v>
      </c>
      <c r="C382" s="14" t="s">
        <v>163</v>
      </c>
      <c r="D382" s="14" t="s">
        <v>180</v>
      </c>
      <c r="E382" s="14" t="s">
        <v>161</v>
      </c>
      <c r="F382" s="14" t="s">
        <v>175</v>
      </c>
      <c r="G382" s="14" t="n">
        <v>3</v>
      </c>
      <c r="H382" s="14" t="s">
        <v>158</v>
      </c>
      <c r="I382" s="14" t="s">
        <v>895</v>
      </c>
      <c r="J382" s="15" t="n">
        <f aca="false">IF(B382="SITE LOSS",IF(D382=C382,1,0),IF(B382="REGION LOSS",IF(E382=C382,1,0),0))</f>
        <v>0</v>
      </c>
      <c r="K382" s="15" t="n">
        <f aca="false">IF(B382="SITE LOSS",IF(COUNTIFS('Site Dockets'!$B$7:$B$24,C382,'Site Dockets'!$C$7:$C$24,F382)&gt;0,1,0),IF(B382="REGION LOSS",IF(COUNTIFS('Site Dockets'!$E$7:$E$24,C382,'Site Dockets'!$C$7:$C$24,F382)&gt;0,1,0),0))</f>
        <v>0</v>
      </c>
      <c r="L382" s="15" t="n">
        <f aca="false">IF(J382=1,0,Inputs!$B$11)</f>
        <v>100</v>
      </c>
      <c r="M382" s="15" t="n">
        <f aca="false">IF(J382=1,0,Inputs!$B$12)</f>
        <v>75</v>
      </c>
      <c r="N382" s="15" t="n">
        <f aca="false">IF(J382=1,0,IF(OR(AND(OR(B382="SITE LOSS",B382="REGION LOSS"),K382=1),AND(B382="ROLE COMPROMISE",H382=C382)),Inputs!$B$13,Inputs!$B$14))</f>
        <v>10</v>
      </c>
      <c r="O382" s="15" t="n">
        <f aca="false">IF(J382=1,0,Inputs!$B$13)</f>
        <v>20</v>
      </c>
      <c r="P382" s="15" t="n">
        <f aca="false">SUM(M382:N382)</f>
        <v>85</v>
      </c>
      <c r="Q382" s="15" t="n">
        <f aca="false">IF(J382=1,"",L382-P382)</f>
        <v>15</v>
      </c>
      <c r="R382" s="15" t="n">
        <f aca="false">IF(OR(J382=1,M382&lt;=Inputs!$B$12),1,0)</f>
        <v>1</v>
      </c>
      <c r="S382" s="15" t="n">
        <f aca="false">IF(OR(J382=1,N382&lt;=O382),1,0)</f>
        <v>1</v>
      </c>
      <c r="T382" s="15" t="str">
        <f aca="false">IF(J382=1,"OFFLINE",IF(AND(Q382&gt;=Inputs!$B$15,R382=1,S382=1,P382&lt;=L382),"PASS","FAIL"))</f>
        <v>PASS</v>
      </c>
    </row>
    <row r="383" customFormat="false" ht="15" hidden="false" customHeight="false" outlineLevel="0" collapsed="false">
      <c r="A383" s="14" t="s">
        <v>1022</v>
      </c>
      <c r="B383" s="14" t="s">
        <v>1019</v>
      </c>
      <c r="C383" s="14" t="s">
        <v>163</v>
      </c>
      <c r="D383" s="14" t="s">
        <v>180</v>
      </c>
      <c r="E383" s="14" t="s">
        <v>161</v>
      </c>
      <c r="F383" s="14" t="s">
        <v>175</v>
      </c>
      <c r="G383" s="14" t="n">
        <v>3</v>
      </c>
      <c r="H383" s="14" t="s">
        <v>158</v>
      </c>
      <c r="I383" s="14" t="s">
        <v>897</v>
      </c>
      <c r="J383" s="15" t="n">
        <f aca="false">IF(B383="SITE LOSS",IF(D383=C383,1,0),IF(B383="REGION LOSS",IF(E383=C383,1,0),0))</f>
        <v>0</v>
      </c>
      <c r="K383" s="15" t="n">
        <f aca="false">IF(B383="SITE LOSS",IF(COUNTIFS('Site Dockets'!$B$7:$B$24,C383,'Site Dockets'!$C$7:$C$24,F383)&gt;0,1,0),IF(B383="REGION LOSS",IF(COUNTIFS('Site Dockets'!$E$7:$E$24,C383,'Site Dockets'!$C$7:$C$24,F383)&gt;0,1,0),0))</f>
        <v>0</v>
      </c>
      <c r="L383" s="15" t="n">
        <f aca="false">IF(J383=1,0,Inputs!$B$11)</f>
        <v>100</v>
      </c>
      <c r="M383" s="15" t="n">
        <f aca="false">IF(J383=1,0,Inputs!$B$12)</f>
        <v>75</v>
      </c>
      <c r="N383" s="15" t="n">
        <f aca="false">IF(J383=1,0,IF(OR(AND(OR(B383="SITE LOSS",B383="REGION LOSS"),K383=1),AND(B383="ROLE COMPROMISE",H383=C383)),Inputs!$B$13,Inputs!$B$14))</f>
        <v>10</v>
      </c>
      <c r="O383" s="15" t="n">
        <f aca="false">IF(J383=1,0,Inputs!$B$13)</f>
        <v>20</v>
      </c>
      <c r="P383" s="15" t="n">
        <f aca="false">SUM(M383:N383)</f>
        <v>85</v>
      </c>
      <c r="Q383" s="15" t="n">
        <f aca="false">IF(J383=1,"",L383-P383)</f>
        <v>15</v>
      </c>
      <c r="R383" s="15" t="n">
        <f aca="false">IF(OR(J383=1,M383&lt;=Inputs!$B$12),1,0)</f>
        <v>1</v>
      </c>
      <c r="S383" s="15" t="n">
        <f aca="false">IF(OR(J383=1,N383&lt;=O383),1,0)</f>
        <v>1</v>
      </c>
      <c r="T383" s="15" t="str">
        <f aca="false">IF(J383=1,"OFFLINE",IF(AND(Q383&gt;=Inputs!$B$15,R383=1,S383=1,P383&lt;=L383),"PASS","FAIL"))</f>
        <v>PASS</v>
      </c>
    </row>
    <row r="384" customFormat="false" ht="15" hidden="false" customHeight="false" outlineLevel="0" collapsed="false">
      <c r="A384" s="14" t="s">
        <v>1022</v>
      </c>
      <c r="B384" s="14" t="s">
        <v>1019</v>
      </c>
      <c r="C384" s="14" t="s">
        <v>163</v>
      </c>
      <c r="D384" s="14" t="s">
        <v>180</v>
      </c>
      <c r="E384" s="14" t="s">
        <v>161</v>
      </c>
      <c r="F384" s="14" t="s">
        <v>175</v>
      </c>
      <c r="G384" s="14" t="n">
        <v>3</v>
      </c>
      <c r="H384" s="14" t="s">
        <v>158</v>
      </c>
      <c r="I384" s="14" t="s">
        <v>899</v>
      </c>
      <c r="J384" s="15" t="n">
        <f aca="false">IF(B384="SITE LOSS",IF(D384=C384,1,0),IF(B384="REGION LOSS",IF(E384=C384,1,0),0))</f>
        <v>0</v>
      </c>
      <c r="K384" s="15" t="n">
        <f aca="false">IF(B384="SITE LOSS",IF(COUNTIFS('Site Dockets'!$B$7:$B$24,C384,'Site Dockets'!$C$7:$C$24,F384)&gt;0,1,0),IF(B384="REGION LOSS",IF(COUNTIFS('Site Dockets'!$E$7:$E$24,C384,'Site Dockets'!$C$7:$C$24,F384)&gt;0,1,0),0))</f>
        <v>0</v>
      </c>
      <c r="L384" s="15" t="n">
        <f aca="false">IF(J384=1,0,Inputs!$B$11)</f>
        <v>100</v>
      </c>
      <c r="M384" s="15" t="n">
        <f aca="false">IF(J384=1,0,Inputs!$B$12)</f>
        <v>75</v>
      </c>
      <c r="N384" s="15" t="n">
        <f aca="false">IF(J384=1,0,IF(OR(AND(OR(B384="SITE LOSS",B384="REGION LOSS"),K384=1),AND(B384="ROLE COMPROMISE",H384=C384)),Inputs!$B$13,Inputs!$B$14))</f>
        <v>10</v>
      </c>
      <c r="O384" s="15" t="n">
        <f aca="false">IF(J384=1,0,Inputs!$B$13)</f>
        <v>20</v>
      </c>
      <c r="P384" s="15" t="n">
        <f aca="false">SUM(M384:N384)</f>
        <v>85</v>
      </c>
      <c r="Q384" s="15" t="n">
        <f aca="false">IF(J384=1,"",L384-P384)</f>
        <v>15</v>
      </c>
      <c r="R384" s="15" t="n">
        <f aca="false">IF(OR(J384=1,M384&lt;=Inputs!$B$12),1,0)</f>
        <v>1</v>
      </c>
      <c r="S384" s="15" t="n">
        <f aca="false">IF(OR(J384=1,N384&lt;=O384),1,0)</f>
        <v>1</v>
      </c>
      <c r="T384" s="15" t="str">
        <f aca="false">IF(J384=1,"OFFLINE",IF(AND(Q384&gt;=Inputs!$B$15,R384=1,S384=1,P384&lt;=L384),"PASS","FAIL"))</f>
        <v>PASS</v>
      </c>
    </row>
    <row r="385" customFormat="false" ht="15" hidden="false" customHeight="false" outlineLevel="0" collapsed="false">
      <c r="A385" s="14" t="s">
        <v>1022</v>
      </c>
      <c r="B385" s="14" t="s">
        <v>1019</v>
      </c>
      <c r="C385" s="14" t="s">
        <v>163</v>
      </c>
      <c r="D385" s="14" t="s">
        <v>182</v>
      </c>
      <c r="E385" s="14" t="s">
        <v>166</v>
      </c>
      <c r="F385" s="14" t="s">
        <v>183</v>
      </c>
      <c r="G385" s="14" t="n">
        <v>1</v>
      </c>
      <c r="H385" s="14" t="s">
        <v>154</v>
      </c>
      <c r="I385" s="14" t="s">
        <v>890</v>
      </c>
      <c r="J385" s="15" t="n">
        <f aca="false">IF(B385="SITE LOSS",IF(D385=C385,1,0),IF(B385="REGION LOSS",IF(E385=C385,1,0),0))</f>
        <v>0</v>
      </c>
      <c r="K385" s="15" t="n">
        <f aca="false">IF(B385="SITE LOSS",IF(COUNTIFS('Site Dockets'!$B$7:$B$24,C385,'Site Dockets'!$C$7:$C$24,F385)&gt;0,1,0),IF(B385="REGION LOSS",IF(COUNTIFS('Site Dockets'!$E$7:$E$24,C385,'Site Dockets'!$C$7:$C$24,F385)&gt;0,1,0),0))</f>
        <v>0</v>
      </c>
      <c r="L385" s="15" t="n">
        <f aca="false">IF(J385=1,0,Inputs!$B$11)</f>
        <v>100</v>
      </c>
      <c r="M385" s="15" t="n">
        <f aca="false">IF(J385=1,0,Inputs!$B$12)</f>
        <v>75</v>
      </c>
      <c r="N385" s="15" t="n">
        <f aca="false">IF(J385=1,0,IF(OR(AND(OR(B385="SITE LOSS",B385="REGION LOSS"),K385=1),AND(B385="ROLE COMPROMISE",H385=C385)),Inputs!$B$13,Inputs!$B$14))</f>
        <v>10</v>
      </c>
      <c r="O385" s="15" t="n">
        <f aca="false">IF(J385=1,0,Inputs!$B$13)</f>
        <v>20</v>
      </c>
      <c r="P385" s="15" t="n">
        <f aca="false">SUM(M385:N385)</f>
        <v>85</v>
      </c>
      <c r="Q385" s="15" t="n">
        <f aca="false">IF(J385=1,"",L385-P385)</f>
        <v>15</v>
      </c>
      <c r="R385" s="15" t="n">
        <f aca="false">IF(OR(J385=1,M385&lt;=Inputs!$B$12),1,0)</f>
        <v>1</v>
      </c>
      <c r="S385" s="15" t="n">
        <f aca="false">IF(OR(J385=1,N385&lt;=O385),1,0)</f>
        <v>1</v>
      </c>
      <c r="T385" s="15" t="str">
        <f aca="false">IF(J385=1,"OFFLINE",IF(AND(Q385&gt;=Inputs!$B$15,R385=1,S385=1,P385&lt;=L385),"PASS","FAIL"))</f>
        <v>PASS</v>
      </c>
    </row>
    <row r="386" customFormat="false" ht="15" hidden="false" customHeight="false" outlineLevel="0" collapsed="false">
      <c r="A386" s="14" t="s">
        <v>1022</v>
      </c>
      <c r="B386" s="14" t="s">
        <v>1019</v>
      </c>
      <c r="C386" s="14" t="s">
        <v>163</v>
      </c>
      <c r="D386" s="14" t="s">
        <v>182</v>
      </c>
      <c r="E386" s="14" t="s">
        <v>166</v>
      </c>
      <c r="F386" s="14" t="s">
        <v>183</v>
      </c>
      <c r="G386" s="14" t="n">
        <v>1</v>
      </c>
      <c r="H386" s="14" t="s">
        <v>154</v>
      </c>
      <c r="I386" s="14" t="s">
        <v>892</v>
      </c>
      <c r="J386" s="15" t="n">
        <f aca="false">IF(B386="SITE LOSS",IF(D386=C386,1,0),IF(B386="REGION LOSS",IF(E386=C386,1,0),0))</f>
        <v>0</v>
      </c>
      <c r="K386" s="15" t="n">
        <f aca="false">IF(B386="SITE LOSS",IF(COUNTIFS('Site Dockets'!$B$7:$B$24,C386,'Site Dockets'!$C$7:$C$24,F386)&gt;0,1,0),IF(B386="REGION LOSS",IF(COUNTIFS('Site Dockets'!$E$7:$E$24,C386,'Site Dockets'!$C$7:$C$24,F386)&gt;0,1,0),0))</f>
        <v>0</v>
      </c>
      <c r="L386" s="15" t="n">
        <f aca="false">IF(J386=1,0,Inputs!$B$11)</f>
        <v>100</v>
      </c>
      <c r="M386" s="15" t="n">
        <f aca="false">IF(J386=1,0,Inputs!$B$12)</f>
        <v>75</v>
      </c>
      <c r="N386" s="15" t="n">
        <f aca="false">IF(J386=1,0,IF(OR(AND(OR(B386="SITE LOSS",B386="REGION LOSS"),K386=1),AND(B386="ROLE COMPROMISE",H386=C386)),Inputs!$B$13,Inputs!$B$14))</f>
        <v>10</v>
      </c>
      <c r="O386" s="15" t="n">
        <f aca="false">IF(J386=1,0,Inputs!$B$13)</f>
        <v>20</v>
      </c>
      <c r="P386" s="15" t="n">
        <f aca="false">SUM(M386:N386)</f>
        <v>85</v>
      </c>
      <c r="Q386" s="15" t="n">
        <f aca="false">IF(J386=1,"",L386-P386)</f>
        <v>15</v>
      </c>
      <c r="R386" s="15" t="n">
        <f aca="false">IF(OR(J386=1,M386&lt;=Inputs!$B$12),1,0)</f>
        <v>1</v>
      </c>
      <c r="S386" s="15" t="n">
        <f aca="false">IF(OR(J386=1,N386&lt;=O386),1,0)</f>
        <v>1</v>
      </c>
      <c r="T386" s="15" t="str">
        <f aca="false">IF(J386=1,"OFFLINE",IF(AND(Q386&gt;=Inputs!$B$15,R386=1,S386=1,P386&lt;=L386),"PASS","FAIL"))</f>
        <v>PASS</v>
      </c>
    </row>
    <row r="387" customFormat="false" ht="15" hidden="false" customHeight="false" outlineLevel="0" collapsed="false">
      <c r="A387" s="14" t="s">
        <v>1022</v>
      </c>
      <c r="B387" s="14" t="s">
        <v>1019</v>
      </c>
      <c r="C387" s="14" t="s">
        <v>163</v>
      </c>
      <c r="D387" s="14" t="s">
        <v>182</v>
      </c>
      <c r="E387" s="14" t="s">
        <v>166</v>
      </c>
      <c r="F387" s="14" t="s">
        <v>183</v>
      </c>
      <c r="G387" s="14" t="n">
        <v>1</v>
      </c>
      <c r="H387" s="14" t="s">
        <v>154</v>
      </c>
      <c r="I387" s="14" t="s">
        <v>811</v>
      </c>
      <c r="J387" s="15" t="n">
        <f aca="false">IF(B387="SITE LOSS",IF(D387=C387,1,0),IF(B387="REGION LOSS",IF(E387=C387,1,0),0))</f>
        <v>0</v>
      </c>
      <c r="K387" s="15" t="n">
        <f aca="false">IF(B387="SITE LOSS",IF(COUNTIFS('Site Dockets'!$B$7:$B$24,C387,'Site Dockets'!$C$7:$C$24,F387)&gt;0,1,0),IF(B387="REGION LOSS",IF(COUNTIFS('Site Dockets'!$E$7:$E$24,C387,'Site Dockets'!$C$7:$C$24,F387)&gt;0,1,0),0))</f>
        <v>0</v>
      </c>
      <c r="L387" s="15" t="n">
        <f aca="false">IF(J387=1,0,Inputs!$B$11)</f>
        <v>100</v>
      </c>
      <c r="M387" s="15" t="n">
        <f aca="false">IF(J387=1,0,Inputs!$B$12)</f>
        <v>75</v>
      </c>
      <c r="N387" s="15" t="n">
        <f aca="false">IF(J387=1,0,IF(OR(AND(OR(B387="SITE LOSS",B387="REGION LOSS"),K387=1),AND(B387="ROLE COMPROMISE",H387=C387)),Inputs!$B$13,Inputs!$B$14))</f>
        <v>10</v>
      </c>
      <c r="O387" s="15" t="n">
        <f aca="false">IF(J387=1,0,Inputs!$B$13)</f>
        <v>20</v>
      </c>
      <c r="P387" s="15" t="n">
        <f aca="false">SUM(M387:N387)</f>
        <v>85</v>
      </c>
      <c r="Q387" s="15" t="n">
        <f aca="false">IF(J387=1,"",L387-P387)</f>
        <v>15</v>
      </c>
      <c r="R387" s="15" t="n">
        <f aca="false">IF(OR(J387=1,M387&lt;=Inputs!$B$12),1,0)</f>
        <v>1</v>
      </c>
      <c r="S387" s="15" t="n">
        <f aca="false">IF(OR(J387=1,N387&lt;=O387),1,0)</f>
        <v>1</v>
      </c>
      <c r="T387" s="15" t="str">
        <f aca="false">IF(J387=1,"OFFLINE",IF(AND(Q387&gt;=Inputs!$B$15,R387=1,S387=1,P387&lt;=L387),"PASS","FAIL"))</f>
        <v>PASS</v>
      </c>
    </row>
    <row r="388" customFormat="false" ht="15" hidden="false" customHeight="false" outlineLevel="0" collapsed="false">
      <c r="A388" s="14" t="s">
        <v>1022</v>
      </c>
      <c r="B388" s="14" t="s">
        <v>1019</v>
      </c>
      <c r="C388" s="14" t="s">
        <v>163</v>
      </c>
      <c r="D388" s="14" t="s">
        <v>182</v>
      </c>
      <c r="E388" s="14" t="s">
        <v>166</v>
      </c>
      <c r="F388" s="14" t="s">
        <v>183</v>
      </c>
      <c r="G388" s="14" t="n">
        <v>1</v>
      </c>
      <c r="H388" s="14" t="s">
        <v>154</v>
      </c>
      <c r="I388" s="14" t="s">
        <v>895</v>
      </c>
      <c r="J388" s="15" t="n">
        <f aca="false">IF(B388="SITE LOSS",IF(D388=C388,1,0),IF(B388="REGION LOSS",IF(E388=C388,1,0),0))</f>
        <v>0</v>
      </c>
      <c r="K388" s="15" t="n">
        <f aca="false">IF(B388="SITE LOSS",IF(COUNTIFS('Site Dockets'!$B$7:$B$24,C388,'Site Dockets'!$C$7:$C$24,F388)&gt;0,1,0),IF(B388="REGION LOSS",IF(COUNTIFS('Site Dockets'!$E$7:$E$24,C388,'Site Dockets'!$C$7:$C$24,F388)&gt;0,1,0),0))</f>
        <v>0</v>
      </c>
      <c r="L388" s="15" t="n">
        <f aca="false">IF(J388=1,0,Inputs!$B$11)</f>
        <v>100</v>
      </c>
      <c r="M388" s="15" t="n">
        <f aca="false">IF(J388=1,0,Inputs!$B$12)</f>
        <v>75</v>
      </c>
      <c r="N388" s="15" t="n">
        <f aca="false">IF(J388=1,0,IF(OR(AND(OR(B388="SITE LOSS",B388="REGION LOSS"),K388=1),AND(B388="ROLE COMPROMISE",H388=C388)),Inputs!$B$13,Inputs!$B$14))</f>
        <v>10</v>
      </c>
      <c r="O388" s="15" t="n">
        <f aca="false">IF(J388=1,0,Inputs!$B$13)</f>
        <v>20</v>
      </c>
      <c r="P388" s="15" t="n">
        <f aca="false">SUM(M388:N388)</f>
        <v>85</v>
      </c>
      <c r="Q388" s="15" t="n">
        <f aca="false">IF(J388=1,"",L388-P388)</f>
        <v>15</v>
      </c>
      <c r="R388" s="15" t="n">
        <f aca="false">IF(OR(J388=1,M388&lt;=Inputs!$B$12),1,0)</f>
        <v>1</v>
      </c>
      <c r="S388" s="15" t="n">
        <f aca="false">IF(OR(J388=1,N388&lt;=O388),1,0)</f>
        <v>1</v>
      </c>
      <c r="T388" s="15" t="str">
        <f aca="false">IF(J388=1,"OFFLINE",IF(AND(Q388&gt;=Inputs!$B$15,R388=1,S388=1,P388&lt;=L388),"PASS","FAIL"))</f>
        <v>PASS</v>
      </c>
    </row>
    <row r="389" customFormat="false" ht="15" hidden="false" customHeight="false" outlineLevel="0" collapsed="false">
      <c r="A389" s="14" t="s">
        <v>1022</v>
      </c>
      <c r="B389" s="14" t="s">
        <v>1019</v>
      </c>
      <c r="C389" s="14" t="s">
        <v>163</v>
      </c>
      <c r="D389" s="14" t="s">
        <v>182</v>
      </c>
      <c r="E389" s="14" t="s">
        <v>166</v>
      </c>
      <c r="F389" s="14" t="s">
        <v>183</v>
      </c>
      <c r="G389" s="14" t="n">
        <v>1</v>
      </c>
      <c r="H389" s="14" t="s">
        <v>154</v>
      </c>
      <c r="I389" s="14" t="s">
        <v>897</v>
      </c>
      <c r="J389" s="15" t="n">
        <f aca="false">IF(B389="SITE LOSS",IF(D389=C389,1,0),IF(B389="REGION LOSS",IF(E389=C389,1,0),0))</f>
        <v>0</v>
      </c>
      <c r="K389" s="15" t="n">
        <f aca="false">IF(B389="SITE LOSS",IF(COUNTIFS('Site Dockets'!$B$7:$B$24,C389,'Site Dockets'!$C$7:$C$24,F389)&gt;0,1,0),IF(B389="REGION LOSS",IF(COUNTIFS('Site Dockets'!$E$7:$E$24,C389,'Site Dockets'!$C$7:$C$24,F389)&gt;0,1,0),0))</f>
        <v>0</v>
      </c>
      <c r="L389" s="15" t="n">
        <f aca="false">IF(J389=1,0,Inputs!$B$11)</f>
        <v>100</v>
      </c>
      <c r="M389" s="15" t="n">
        <f aca="false">IF(J389=1,0,Inputs!$B$12)</f>
        <v>75</v>
      </c>
      <c r="N389" s="15" t="n">
        <f aca="false">IF(J389=1,0,IF(OR(AND(OR(B389="SITE LOSS",B389="REGION LOSS"),K389=1),AND(B389="ROLE COMPROMISE",H389=C389)),Inputs!$B$13,Inputs!$B$14))</f>
        <v>10</v>
      </c>
      <c r="O389" s="15" t="n">
        <f aca="false">IF(J389=1,0,Inputs!$B$13)</f>
        <v>20</v>
      </c>
      <c r="P389" s="15" t="n">
        <f aca="false">SUM(M389:N389)</f>
        <v>85</v>
      </c>
      <c r="Q389" s="15" t="n">
        <f aca="false">IF(J389=1,"",L389-P389)</f>
        <v>15</v>
      </c>
      <c r="R389" s="15" t="n">
        <f aca="false">IF(OR(J389=1,M389&lt;=Inputs!$B$12),1,0)</f>
        <v>1</v>
      </c>
      <c r="S389" s="15" t="n">
        <f aca="false">IF(OR(J389=1,N389&lt;=O389),1,0)</f>
        <v>1</v>
      </c>
      <c r="T389" s="15" t="str">
        <f aca="false">IF(J389=1,"OFFLINE",IF(AND(Q389&gt;=Inputs!$B$15,R389=1,S389=1,P389&lt;=L389),"PASS","FAIL"))</f>
        <v>PASS</v>
      </c>
    </row>
    <row r="390" customFormat="false" ht="15" hidden="false" customHeight="false" outlineLevel="0" collapsed="false">
      <c r="A390" s="14" t="s">
        <v>1022</v>
      </c>
      <c r="B390" s="14" t="s">
        <v>1019</v>
      </c>
      <c r="C390" s="14" t="s">
        <v>163</v>
      </c>
      <c r="D390" s="14" t="s">
        <v>182</v>
      </c>
      <c r="E390" s="14" t="s">
        <v>166</v>
      </c>
      <c r="F390" s="14" t="s">
        <v>183</v>
      </c>
      <c r="G390" s="14" t="n">
        <v>1</v>
      </c>
      <c r="H390" s="14" t="s">
        <v>154</v>
      </c>
      <c r="I390" s="14" t="s">
        <v>899</v>
      </c>
      <c r="J390" s="15" t="n">
        <f aca="false">IF(B390="SITE LOSS",IF(D390=C390,1,0),IF(B390="REGION LOSS",IF(E390=C390,1,0),0))</f>
        <v>0</v>
      </c>
      <c r="K390" s="15" t="n">
        <f aca="false">IF(B390="SITE LOSS",IF(COUNTIFS('Site Dockets'!$B$7:$B$24,C390,'Site Dockets'!$C$7:$C$24,F390)&gt;0,1,0),IF(B390="REGION LOSS",IF(COUNTIFS('Site Dockets'!$E$7:$E$24,C390,'Site Dockets'!$C$7:$C$24,F390)&gt;0,1,0),0))</f>
        <v>0</v>
      </c>
      <c r="L390" s="15" t="n">
        <f aca="false">IF(J390=1,0,Inputs!$B$11)</f>
        <v>100</v>
      </c>
      <c r="M390" s="15" t="n">
        <f aca="false">IF(J390=1,0,Inputs!$B$12)</f>
        <v>75</v>
      </c>
      <c r="N390" s="15" t="n">
        <f aca="false">IF(J390=1,0,IF(OR(AND(OR(B390="SITE LOSS",B390="REGION LOSS"),K390=1),AND(B390="ROLE COMPROMISE",H390=C390)),Inputs!$B$13,Inputs!$B$14))</f>
        <v>10</v>
      </c>
      <c r="O390" s="15" t="n">
        <f aca="false">IF(J390=1,0,Inputs!$B$13)</f>
        <v>20</v>
      </c>
      <c r="P390" s="15" t="n">
        <f aca="false">SUM(M390:N390)</f>
        <v>85</v>
      </c>
      <c r="Q390" s="15" t="n">
        <f aca="false">IF(J390=1,"",L390-P390)</f>
        <v>15</v>
      </c>
      <c r="R390" s="15" t="n">
        <f aca="false">IF(OR(J390=1,M390&lt;=Inputs!$B$12),1,0)</f>
        <v>1</v>
      </c>
      <c r="S390" s="15" t="n">
        <f aca="false">IF(OR(J390=1,N390&lt;=O390),1,0)</f>
        <v>1</v>
      </c>
      <c r="T390" s="15" t="str">
        <f aca="false">IF(J390=1,"OFFLINE",IF(AND(Q390&gt;=Inputs!$B$15,R390=1,S390=1,P390&lt;=L390),"PASS","FAIL"))</f>
        <v>PASS</v>
      </c>
    </row>
    <row r="391" customFormat="false" ht="15" hidden="false" customHeight="false" outlineLevel="0" collapsed="false">
      <c r="A391" s="14" t="s">
        <v>1022</v>
      </c>
      <c r="B391" s="14" t="s">
        <v>1019</v>
      </c>
      <c r="C391" s="14" t="s">
        <v>163</v>
      </c>
      <c r="D391" s="14" t="s">
        <v>186</v>
      </c>
      <c r="E391" s="14" t="s">
        <v>157</v>
      </c>
      <c r="F391" s="14" t="s">
        <v>183</v>
      </c>
      <c r="G391" s="14" t="n">
        <v>2</v>
      </c>
      <c r="H391" s="14" t="s">
        <v>153</v>
      </c>
      <c r="I391" s="14" t="s">
        <v>890</v>
      </c>
      <c r="J391" s="15" t="n">
        <f aca="false">IF(B391="SITE LOSS",IF(D391=C391,1,0),IF(B391="REGION LOSS",IF(E391=C391,1,0),0))</f>
        <v>0</v>
      </c>
      <c r="K391" s="15" t="n">
        <f aca="false">IF(B391="SITE LOSS",IF(COUNTIFS('Site Dockets'!$B$7:$B$24,C391,'Site Dockets'!$C$7:$C$24,F391)&gt;0,1,0),IF(B391="REGION LOSS",IF(COUNTIFS('Site Dockets'!$E$7:$E$24,C391,'Site Dockets'!$C$7:$C$24,F391)&gt;0,1,0),0))</f>
        <v>0</v>
      </c>
      <c r="L391" s="15" t="n">
        <f aca="false">IF(J391=1,0,Inputs!$B$11)</f>
        <v>100</v>
      </c>
      <c r="M391" s="15" t="n">
        <f aca="false">IF(J391=1,0,Inputs!$B$12)</f>
        <v>75</v>
      </c>
      <c r="N391" s="15" t="n">
        <f aca="false">IF(J391=1,0,IF(OR(AND(OR(B391="SITE LOSS",B391="REGION LOSS"),K391=1),AND(B391="ROLE COMPROMISE",H391=C391)),Inputs!$B$13,Inputs!$B$14))</f>
        <v>10</v>
      </c>
      <c r="O391" s="15" t="n">
        <f aca="false">IF(J391=1,0,Inputs!$B$13)</f>
        <v>20</v>
      </c>
      <c r="P391" s="15" t="n">
        <f aca="false">SUM(M391:N391)</f>
        <v>85</v>
      </c>
      <c r="Q391" s="15" t="n">
        <f aca="false">IF(J391=1,"",L391-P391)</f>
        <v>15</v>
      </c>
      <c r="R391" s="15" t="n">
        <f aca="false">IF(OR(J391=1,M391&lt;=Inputs!$B$12),1,0)</f>
        <v>1</v>
      </c>
      <c r="S391" s="15" t="n">
        <f aca="false">IF(OR(J391=1,N391&lt;=O391),1,0)</f>
        <v>1</v>
      </c>
      <c r="T391" s="15" t="str">
        <f aca="false">IF(J391=1,"OFFLINE",IF(AND(Q391&gt;=Inputs!$B$15,R391=1,S391=1,P391&lt;=L391),"PASS","FAIL"))</f>
        <v>PASS</v>
      </c>
    </row>
    <row r="392" customFormat="false" ht="15" hidden="false" customHeight="false" outlineLevel="0" collapsed="false">
      <c r="A392" s="14" t="s">
        <v>1022</v>
      </c>
      <c r="B392" s="14" t="s">
        <v>1019</v>
      </c>
      <c r="C392" s="14" t="s">
        <v>163</v>
      </c>
      <c r="D392" s="14" t="s">
        <v>186</v>
      </c>
      <c r="E392" s="14" t="s">
        <v>157</v>
      </c>
      <c r="F392" s="14" t="s">
        <v>183</v>
      </c>
      <c r="G392" s="14" t="n">
        <v>2</v>
      </c>
      <c r="H392" s="14" t="s">
        <v>153</v>
      </c>
      <c r="I392" s="14" t="s">
        <v>892</v>
      </c>
      <c r="J392" s="15" t="n">
        <f aca="false">IF(B392="SITE LOSS",IF(D392=C392,1,0),IF(B392="REGION LOSS",IF(E392=C392,1,0),0))</f>
        <v>0</v>
      </c>
      <c r="K392" s="15" t="n">
        <f aca="false">IF(B392="SITE LOSS",IF(COUNTIFS('Site Dockets'!$B$7:$B$24,C392,'Site Dockets'!$C$7:$C$24,F392)&gt;0,1,0),IF(B392="REGION LOSS",IF(COUNTIFS('Site Dockets'!$E$7:$E$24,C392,'Site Dockets'!$C$7:$C$24,F392)&gt;0,1,0),0))</f>
        <v>0</v>
      </c>
      <c r="L392" s="15" t="n">
        <f aca="false">IF(J392=1,0,Inputs!$B$11)</f>
        <v>100</v>
      </c>
      <c r="M392" s="15" t="n">
        <f aca="false">IF(J392=1,0,Inputs!$B$12)</f>
        <v>75</v>
      </c>
      <c r="N392" s="15" t="n">
        <f aca="false">IF(J392=1,0,IF(OR(AND(OR(B392="SITE LOSS",B392="REGION LOSS"),K392=1),AND(B392="ROLE COMPROMISE",H392=C392)),Inputs!$B$13,Inputs!$B$14))</f>
        <v>10</v>
      </c>
      <c r="O392" s="15" t="n">
        <f aca="false">IF(J392=1,0,Inputs!$B$13)</f>
        <v>20</v>
      </c>
      <c r="P392" s="15" t="n">
        <f aca="false">SUM(M392:N392)</f>
        <v>85</v>
      </c>
      <c r="Q392" s="15" t="n">
        <f aca="false">IF(J392=1,"",L392-P392)</f>
        <v>15</v>
      </c>
      <c r="R392" s="15" t="n">
        <f aca="false">IF(OR(J392=1,M392&lt;=Inputs!$B$12),1,0)</f>
        <v>1</v>
      </c>
      <c r="S392" s="15" t="n">
        <f aca="false">IF(OR(J392=1,N392&lt;=O392),1,0)</f>
        <v>1</v>
      </c>
      <c r="T392" s="15" t="str">
        <f aca="false">IF(J392=1,"OFFLINE",IF(AND(Q392&gt;=Inputs!$B$15,R392=1,S392=1,P392&lt;=L392),"PASS","FAIL"))</f>
        <v>PASS</v>
      </c>
    </row>
    <row r="393" customFormat="false" ht="15" hidden="false" customHeight="false" outlineLevel="0" collapsed="false">
      <c r="A393" s="14" t="s">
        <v>1022</v>
      </c>
      <c r="B393" s="14" t="s">
        <v>1019</v>
      </c>
      <c r="C393" s="14" t="s">
        <v>163</v>
      </c>
      <c r="D393" s="14" t="s">
        <v>186</v>
      </c>
      <c r="E393" s="14" t="s">
        <v>157</v>
      </c>
      <c r="F393" s="14" t="s">
        <v>183</v>
      </c>
      <c r="G393" s="14" t="n">
        <v>2</v>
      </c>
      <c r="H393" s="14" t="s">
        <v>153</v>
      </c>
      <c r="I393" s="14" t="s">
        <v>811</v>
      </c>
      <c r="J393" s="15" t="n">
        <f aca="false">IF(B393="SITE LOSS",IF(D393=C393,1,0),IF(B393="REGION LOSS",IF(E393=C393,1,0),0))</f>
        <v>0</v>
      </c>
      <c r="K393" s="15" t="n">
        <f aca="false">IF(B393="SITE LOSS",IF(COUNTIFS('Site Dockets'!$B$7:$B$24,C393,'Site Dockets'!$C$7:$C$24,F393)&gt;0,1,0),IF(B393="REGION LOSS",IF(COUNTIFS('Site Dockets'!$E$7:$E$24,C393,'Site Dockets'!$C$7:$C$24,F393)&gt;0,1,0),0))</f>
        <v>0</v>
      </c>
      <c r="L393" s="15" t="n">
        <f aca="false">IF(J393=1,0,Inputs!$B$11)</f>
        <v>100</v>
      </c>
      <c r="M393" s="15" t="n">
        <f aca="false">IF(J393=1,0,Inputs!$B$12)</f>
        <v>75</v>
      </c>
      <c r="N393" s="15" t="n">
        <f aca="false">IF(J393=1,0,IF(OR(AND(OR(B393="SITE LOSS",B393="REGION LOSS"),K393=1),AND(B393="ROLE COMPROMISE",H393=C393)),Inputs!$B$13,Inputs!$B$14))</f>
        <v>10</v>
      </c>
      <c r="O393" s="15" t="n">
        <f aca="false">IF(J393=1,0,Inputs!$B$13)</f>
        <v>20</v>
      </c>
      <c r="P393" s="15" t="n">
        <f aca="false">SUM(M393:N393)</f>
        <v>85</v>
      </c>
      <c r="Q393" s="15" t="n">
        <f aca="false">IF(J393=1,"",L393-P393)</f>
        <v>15</v>
      </c>
      <c r="R393" s="15" t="n">
        <f aca="false">IF(OR(J393=1,M393&lt;=Inputs!$B$12),1,0)</f>
        <v>1</v>
      </c>
      <c r="S393" s="15" t="n">
        <f aca="false">IF(OR(J393=1,N393&lt;=O393),1,0)</f>
        <v>1</v>
      </c>
      <c r="T393" s="15" t="str">
        <f aca="false">IF(J393=1,"OFFLINE",IF(AND(Q393&gt;=Inputs!$B$15,R393=1,S393=1,P393&lt;=L393),"PASS","FAIL"))</f>
        <v>PASS</v>
      </c>
    </row>
    <row r="394" customFormat="false" ht="15" hidden="false" customHeight="false" outlineLevel="0" collapsed="false">
      <c r="A394" s="14" t="s">
        <v>1022</v>
      </c>
      <c r="B394" s="14" t="s">
        <v>1019</v>
      </c>
      <c r="C394" s="14" t="s">
        <v>163</v>
      </c>
      <c r="D394" s="14" t="s">
        <v>186</v>
      </c>
      <c r="E394" s="14" t="s">
        <v>157</v>
      </c>
      <c r="F394" s="14" t="s">
        <v>183</v>
      </c>
      <c r="G394" s="14" t="n">
        <v>2</v>
      </c>
      <c r="H394" s="14" t="s">
        <v>153</v>
      </c>
      <c r="I394" s="14" t="s">
        <v>895</v>
      </c>
      <c r="J394" s="15" t="n">
        <f aca="false">IF(B394="SITE LOSS",IF(D394=C394,1,0),IF(B394="REGION LOSS",IF(E394=C394,1,0),0))</f>
        <v>0</v>
      </c>
      <c r="K394" s="15" t="n">
        <f aca="false">IF(B394="SITE LOSS",IF(COUNTIFS('Site Dockets'!$B$7:$B$24,C394,'Site Dockets'!$C$7:$C$24,F394)&gt;0,1,0),IF(B394="REGION LOSS",IF(COUNTIFS('Site Dockets'!$E$7:$E$24,C394,'Site Dockets'!$C$7:$C$24,F394)&gt;0,1,0),0))</f>
        <v>0</v>
      </c>
      <c r="L394" s="15" t="n">
        <f aca="false">IF(J394=1,0,Inputs!$B$11)</f>
        <v>100</v>
      </c>
      <c r="M394" s="15" t="n">
        <f aca="false">IF(J394=1,0,Inputs!$B$12)</f>
        <v>75</v>
      </c>
      <c r="N394" s="15" t="n">
        <f aca="false">IF(J394=1,0,IF(OR(AND(OR(B394="SITE LOSS",B394="REGION LOSS"),K394=1),AND(B394="ROLE COMPROMISE",H394=C394)),Inputs!$B$13,Inputs!$B$14))</f>
        <v>10</v>
      </c>
      <c r="O394" s="15" t="n">
        <f aca="false">IF(J394=1,0,Inputs!$B$13)</f>
        <v>20</v>
      </c>
      <c r="P394" s="15" t="n">
        <f aca="false">SUM(M394:N394)</f>
        <v>85</v>
      </c>
      <c r="Q394" s="15" t="n">
        <f aca="false">IF(J394=1,"",L394-P394)</f>
        <v>15</v>
      </c>
      <c r="R394" s="15" t="n">
        <f aca="false">IF(OR(J394=1,M394&lt;=Inputs!$B$12),1,0)</f>
        <v>1</v>
      </c>
      <c r="S394" s="15" t="n">
        <f aca="false">IF(OR(J394=1,N394&lt;=O394),1,0)</f>
        <v>1</v>
      </c>
      <c r="T394" s="15" t="str">
        <f aca="false">IF(J394=1,"OFFLINE",IF(AND(Q394&gt;=Inputs!$B$15,R394=1,S394=1,P394&lt;=L394),"PASS","FAIL"))</f>
        <v>PASS</v>
      </c>
    </row>
    <row r="395" customFormat="false" ht="15" hidden="false" customHeight="false" outlineLevel="0" collapsed="false">
      <c r="A395" s="14" t="s">
        <v>1022</v>
      </c>
      <c r="B395" s="14" t="s">
        <v>1019</v>
      </c>
      <c r="C395" s="14" t="s">
        <v>163</v>
      </c>
      <c r="D395" s="14" t="s">
        <v>186</v>
      </c>
      <c r="E395" s="14" t="s">
        <v>157</v>
      </c>
      <c r="F395" s="14" t="s">
        <v>183</v>
      </c>
      <c r="G395" s="14" t="n">
        <v>2</v>
      </c>
      <c r="H395" s="14" t="s">
        <v>153</v>
      </c>
      <c r="I395" s="14" t="s">
        <v>897</v>
      </c>
      <c r="J395" s="15" t="n">
        <f aca="false">IF(B395="SITE LOSS",IF(D395=C395,1,0),IF(B395="REGION LOSS",IF(E395=C395,1,0),0))</f>
        <v>0</v>
      </c>
      <c r="K395" s="15" t="n">
        <f aca="false">IF(B395="SITE LOSS",IF(COUNTIFS('Site Dockets'!$B$7:$B$24,C395,'Site Dockets'!$C$7:$C$24,F395)&gt;0,1,0),IF(B395="REGION LOSS",IF(COUNTIFS('Site Dockets'!$E$7:$E$24,C395,'Site Dockets'!$C$7:$C$24,F395)&gt;0,1,0),0))</f>
        <v>0</v>
      </c>
      <c r="L395" s="15" t="n">
        <f aca="false">IF(J395=1,0,Inputs!$B$11)</f>
        <v>100</v>
      </c>
      <c r="M395" s="15" t="n">
        <f aca="false">IF(J395=1,0,Inputs!$B$12)</f>
        <v>75</v>
      </c>
      <c r="N395" s="15" t="n">
        <f aca="false">IF(J395=1,0,IF(OR(AND(OR(B395="SITE LOSS",B395="REGION LOSS"),K395=1),AND(B395="ROLE COMPROMISE",H395=C395)),Inputs!$B$13,Inputs!$B$14))</f>
        <v>10</v>
      </c>
      <c r="O395" s="15" t="n">
        <f aca="false">IF(J395=1,0,Inputs!$B$13)</f>
        <v>20</v>
      </c>
      <c r="P395" s="15" t="n">
        <f aca="false">SUM(M395:N395)</f>
        <v>85</v>
      </c>
      <c r="Q395" s="15" t="n">
        <f aca="false">IF(J395=1,"",L395-P395)</f>
        <v>15</v>
      </c>
      <c r="R395" s="15" t="n">
        <f aca="false">IF(OR(J395=1,M395&lt;=Inputs!$B$12),1,0)</f>
        <v>1</v>
      </c>
      <c r="S395" s="15" t="n">
        <f aca="false">IF(OR(J395=1,N395&lt;=O395),1,0)</f>
        <v>1</v>
      </c>
      <c r="T395" s="15" t="str">
        <f aca="false">IF(J395=1,"OFFLINE",IF(AND(Q395&gt;=Inputs!$B$15,R395=1,S395=1,P395&lt;=L395),"PASS","FAIL"))</f>
        <v>PASS</v>
      </c>
    </row>
    <row r="396" customFormat="false" ht="15" hidden="false" customHeight="false" outlineLevel="0" collapsed="false">
      <c r="A396" s="14" t="s">
        <v>1022</v>
      </c>
      <c r="B396" s="14" t="s">
        <v>1019</v>
      </c>
      <c r="C396" s="14" t="s">
        <v>163</v>
      </c>
      <c r="D396" s="14" t="s">
        <v>186</v>
      </c>
      <c r="E396" s="14" t="s">
        <v>157</v>
      </c>
      <c r="F396" s="14" t="s">
        <v>183</v>
      </c>
      <c r="G396" s="14" t="n">
        <v>2</v>
      </c>
      <c r="H396" s="14" t="s">
        <v>153</v>
      </c>
      <c r="I396" s="14" t="s">
        <v>899</v>
      </c>
      <c r="J396" s="15" t="n">
        <f aca="false">IF(B396="SITE LOSS",IF(D396=C396,1,0),IF(B396="REGION LOSS",IF(E396=C396,1,0),0))</f>
        <v>0</v>
      </c>
      <c r="K396" s="15" t="n">
        <f aca="false">IF(B396="SITE LOSS",IF(COUNTIFS('Site Dockets'!$B$7:$B$24,C396,'Site Dockets'!$C$7:$C$24,F396)&gt;0,1,0),IF(B396="REGION LOSS",IF(COUNTIFS('Site Dockets'!$E$7:$E$24,C396,'Site Dockets'!$C$7:$C$24,F396)&gt;0,1,0),0))</f>
        <v>0</v>
      </c>
      <c r="L396" s="15" t="n">
        <f aca="false">IF(J396=1,0,Inputs!$B$11)</f>
        <v>100</v>
      </c>
      <c r="M396" s="15" t="n">
        <f aca="false">IF(J396=1,0,Inputs!$B$12)</f>
        <v>75</v>
      </c>
      <c r="N396" s="15" t="n">
        <f aca="false">IF(J396=1,0,IF(OR(AND(OR(B396="SITE LOSS",B396="REGION LOSS"),K396=1),AND(B396="ROLE COMPROMISE",H396=C396)),Inputs!$B$13,Inputs!$B$14))</f>
        <v>10</v>
      </c>
      <c r="O396" s="15" t="n">
        <f aca="false">IF(J396=1,0,Inputs!$B$13)</f>
        <v>20</v>
      </c>
      <c r="P396" s="15" t="n">
        <f aca="false">SUM(M396:N396)</f>
        <v>85</v>
      </c>
      <c r="Q396" s="15" t="n">
        <f aca="false">IF(J396=1,"",L396-P396)</f>
        <v>15</v>
      </c>
      <c r="R396" s="15" t="n">
        <f aca="false">IF(OR(J396=1,M396&lt;=Inputs!$B$12),1,0)</f>
        <v>1</v>
      </c>
      <c r="S396" s="15" t="n">
        <f aca="false">IF(OR(J396=1,N396&lt;=O396),1,0)</f>
        <v>1</v>
      </c>
      <c r="T396" s="15" t="str">
        <f aca="false">IF(J396=1,"OFFLINE",IF(AND(Q396&gt;=Inputs!$B$15,R396=1,S396=1,P396&lt;=L396),"PASS","FAIL"))</f>
        <v>PASS</v>
      </c>
    </row>
    <row r="397" customFormat="false" ht="15" hidden="false" customHeight="false" outlineLevel="0" collapsed="false">
      <c r="A397" s="14" t="s">
        <v>1022</v>
      </c>
      <c r="B397" s="14" t="s">
        <v>1019</v>
      </c>
      <c r="C397" s="14" t="s">
        <v>163</v>
      </c>
      <c r="D397" s="14" t="s">
        <v>188</v>
      </c>
      <c r="E397" s="14" t="s">
        <v>172</v>
      </c>
      <c r="F397" s="14" t="s">
        <v>183</v>
      </c>
      <c r="G397" s="14" t="n">
        <v>3</v>
      </c>
      <c r="H397" s="14" t="s">
        <v>158</v>
      </c>
      <c r="I397" s="14" t="s">
        <v>890</v>
      </c>
      <c r="J397" s="15" t="n">
        <f aca="false">IF(B397="SITE LOSS",IF(D397=C397,1,0),IF(B397="REGION LOSS",IF(E397=C397,1,0),0))</f>
        <v>0</v>
      </c>
      <c r="K397" s="15" t="n">
        <f aca="false">IF(B397="SITE LOSS",IF(COUNTIFS('Site Dockets'!$B$7:$B$24,C397,'Site Dockets'!$C$7:$C$24,F397)&gt;0,1,0),IF(B397="REGION LOSS",IF(COUNTIFS('Site Dockets'!$E$7:$E$24,C397,'Site Dockets'!$C$7:$C$24,F397)&gt;0,1,0),0))</f>
        <v>0</v>
      </c>
      <c r="L397" s="15" t="n">
        <f aca="false">IF(J397=1,0,Inputs!$B$11)</f>
        <v>100</v>
      </c>
      <c r="M397" s="15" t="n">
        <f aca="false">IF(J397=1,0,Inputs!$B$12)</f>
        <v>75</v>
      </c>
      <c r="N397" s="15" t="n">
        <f aca="false">IF(J397=1,0,IF(OR(AND(OR(B397="SITE LOSS",B397="REGION LOSS"),K397=1),AND(B397="ROLE COMPROMISE",H397=C397)),Inputs!$B$13,Inputs!$B$14))</f>
        <v>10</v>
      </c>
      <c r="O397" s="15" t="n">
        <f aca="false">IF(J397=1,0,Inputs!$B$13)</f>
        <v>20</v>
      </c>
      <c r="P397" s="15" t="n">
        <f aca="false">SUM(M397:N397)</f>
        <v>85</v>
      </c>
      <c r="Q397" s="15" t="n">
        <f aca="false">IF(J397=1,"",L397-P397)</f>
        <v>15</v>
      </c>
      <c r="R397" s="15" t="n">
        <f aca="false">IF(OR(J397=1,M397&lt;=Inputs!$B$12),1,0)</f>
        <v>1</v>
      </c>
      <c r="S397" s="15" t="n">
        <f aca="false">IF(OR(J397=1,N397&lt;=O397),1,0)</f>
        <v>1</v>
      </c>
      <c r="T397" s="15" t="str">
        <f aca="false">IF(J397=1,"OFFLINE",IF(AND(Q397&gt;=Inputs!$B$15,R397=1,S397=1,P397&lt;=L397),"PASS","FAIL"))</f>
        <v>PASS</v>
      </c>
    </row>
    <row r="398" customFormat="false" ht="15" hidden="false" customHeight="false" outlineLevel="0" collapsed="false">
      <c r="A398" s="14" t="s">
        <v>1022</v>
      </c>
      <c r="B398" s="14" t="s">
        <v>1019</v>
      </c>
      <c r="C398" s="14" t="s">
        <v>163</v>
      </c>
      <c r="D398" s="14" t="s">
        <v>188</v>
      </c>
      <c r="E398" s="14" t="s">
        <v>172</v>
      </c>
      <c r="F398" s="14" t="s">
        <v>183</v>
      </c>
      <c r="G398" s="14" t="n">
        <v>3</v>
      </c>
      <c r="H398" s="14" t="s">
        <v>158</v>
      </c>
      <c r="I398" s="14" t="s">
        <v>892</v>
      </c>
      <c r="J398" s="15" t="n">
        <f aca="false">IF(B398="SITE LOSS",IF(D398=C398,1,0),IF(B398="REGION LOSS",IF(E398=C398,1,0),0))</f>
        <v>0</v>
      </c>
      <c r="K398" s="15" t="n">
        <f aca="false">IF(B398="SITE LOSS",IF(COUNTIFS('Site Dockets'!$B$7:$B$24,C398,'Site Dockets'!$C$7:$C$24,F398)&gt;0,1,0),IF(B398="REGION LOSS",IF(COUNTIFS('Site Dockets'!$E$7:$E$24,C398,'Site Dockets'!$C$7:$C$24,F398)&gt;0,1,0),0))</f>
        <v>0</v>
      </c>
      <c r="L398" s="15" t="n">
        <f aca="false">IF(J398=1,0,Inputs!$B$11)</f>
        <v>100</v>
      </c>
      <c r="M398" s="15" t="n">
        <f aca="false">IF(J398=1,0,Inputs!$B$12)</f>
        <v>75</v>
      </c>
      <c r="N398" s="15" t="n">
        <f aca="false">IF(J398=1,0,IF(OR(AND(OR(B398="SITE LOSS",B398="REGION LOSS"),K398=1),AND(B398="ROLE COMPROMISE",H398=C398)),Inputs!$B$13,Inputs!$B$14))</f>
        <v>10</v>
      </c>
      <c r="O398" s="15" t="n">
        <f aca="false">IF(J398=1,0,Inputs!$B$13)</f>
        <v>20</v>
      </c>
      <c r="P398" s="15" t="n">
        <f aca="false">SUM(M398:N398)</f>
        <v>85</v>
      </c>
      <c r="Q398" s="15" t="n">
        <f aca="false">IF(J398=1,"",L398-P398)</f>
        <v>15</v>
      </c>
      <c r="R398" s="15" t="n">
        <f aca="false">IF(OR(J398=1,M398&lt;=Inputs!$B$12),1,0)</f>
        <v>1</v>
      </c>
      <c r="S398" s="15" t="n">
        <f aca="false">IF(OR(J398=1,N398&lt;=O398),1,0)</f>
        <v>1</v>
      </c>
      <c r="T398" s="15" t="str">
        <f aca="false">IF(J398=1,"OFFLINE",IF(AND(Q398&gt;=Inputs!$B$15,R398=1,S398=1,P398&lt;=L398),"PASS","FAIL"))</f>
        <v>PASS</v>
      </c>
    </row>
    <row r="399" customFormat="false" ht="15" hidden="false" customHeight="false" outlineLevel="0" collapsed="false">
      <c r="A399" s="14" t="s">
        <v>1022</v>
      </c>
      <c r="B399" s="14" t="s">
        <v>1019</v>
      </c>
      <c r="C399" s="14" t="s">
        <v>163</v>
      </c>
      <c r="D399" s="14" t="s">
        <v>188</v>
      </c>
      <c r="E399" s="14" t="s">
        <v>172</v>
      </c>
      <c r="F399" s="14" t="s">
        <v>183</v>
      </c>
      <c r="G399" s="14" t="n">
        <v>3</v>
      </c>
      <c r="H399" s="14" t="s">
        <v>158</v>
      </c>
      <c r="I399" s="14" t="s">
        <v>811</v>
      </c>
      <c r="J399" s="15" t="n">
        <f aca="false">IF(B399="SITE LOSS",IF(D399=C399,1,0),IF(B399="REGION LOSS",IF(E399=C399,1,0),0))</f>
        <v>0</v>
      </c>
      <c r="K399" s="15" t="n">
        <f aca="false">IF(B399="SITE LOSS",IF(COUNTIFS('Site Dockets'!$B$7:$B$24,C399,'Site Dockets'!$C$7:$C$24,F399)&gt;0,1,0),IF(B399="REGION LOSS",IF(COUNTIFS('Site Dockets'!$E$7:$E$24,C399,'Site Dockets'!$C$7:$C$24,F399)&gt;0,1,0),0))</f>
        <v>0</v>
      </c>
      <c r="L399" s="15" t="n">
        <f aca="false">IF(J399=1,0,Inputs!$B$11)</f>
        <v>100</v>
      </c>
      <c r="M399" s="15" t="n">
        <f aca="false">IF(J399=1,0,Inputs!$B$12)</f>
        <v>75</v>
      </c>
      <c r="N399" s="15" t="n">
        <f aca="false">IF(J399=1,0,IF(OR(AND(OR(B399="SITE LOSS",B399="REGION LOSS"),K399=1),AND(B399="ROLE COMPROMISE",H399=C399)),Inputs!$B$13,Inputs!$B$14))</f>
        <v>10</v>
      </c>
      <c r="O399" s="15" t="n">
        <f aca="false">IF(J399=1,0,Inputs!$B$13)</f>
        <v>20</v>
      </c>
      <c r="P399" s="15" t="n">
        <f aca="false">SUM(M399:N399)</f>
        <v>85</v>
      </c>
      <c r="Q399" s="15" t="n">
        <f aca="false">IF(J399=1,"",L399-P399)</f>
        <v>15</v>
      </c>
      <c r="R399" s="15" t="n">
        <f aca="false">IF(OR(J399=1,M399&lt;=Inputs!$B$12),1,0)</f>
        <v>1</v>
      </c>
      <c r="S399" s="15" t="n">
        <f aca="false">IF(OR(J399=1,N399&lt;=O399),1,0)</f>
        <v>1</v>
      </c>
      <c r="T399" s="15" t="str">
        <f aca="false">IF(J399=1,"OFFLINE",IF(AND(Q399&gt;=Inputs!$B$15,R399=1,S399=1,P399&lt;=L399),"PASS","FAIL"))</f>
        <v>PASS</v>
      </c>
    </row>
    <row r="400" customFormat="false" ht="15" hidden="false" customHeight="false" outlineLevel="0" collapsed="false">
      <c r="A400" s="14" t="s">
        <v>1022</v>
      </c>
      <c r="B400" s="14" t="s">
        <v>1019</v>
      </c>
      <c r="C400" s="14" t="s">
        <v>163</v>
      </c>
      <c r="D400" s="14" t="s">
        <v>188</v>
      </c>
      <c r="E400" s="14" t="s">
        <v>172</v>
      </c>
      <c r="F400" s="14" t="s">
        <v>183</v>
      </c>
      <c r="G400" s="14" t="n">
        <v>3</v>
      </c>
      <c r="H400" s="14" t="s">
        <v>158</v>
      </c>
      <c r="I400" s="14" t="s">
        <v>895</v>
      </c>
      <c r="J400" s="15" t="n">
        <f aca="false">IF(B400="SITE LOSS",IF(D400=C400,1,0),IF(B400="REGION LOSS",IF(E400=C400,1,0),0))</f>
        <v>0</v>
      </c>
      <c r="K400" s="15" t="n">
        <f aca="false">IF(B400="SITE LOSS",IF(COUNTIFS('Site Dockets'!$B$7:$B$24,C400,'Site Dockets'!$C$7:$C$24,F400)&gt;0,1,0),IF(B400="REGION LOSS",IF(COUNTIFS('Site Dockets'!$E$7:$E$24,C400,'Site Dockets'!$C$7:$C$24,F400)&gt;0,1,0),0))</f>
        <v>0</v>
      </c>
      <c r="L400" s="15" t="n">
        <f aca="false">IF(J400=1,0,Inputs!$B$11)</f>
        <v>100</v>
      </c>
      <c r="M400" s="15" t="n">
        <f aca="false">IF(J400=1,0,Inputs!$B$12)</f>
        <v>75</v>
      </c>
      <c r="N400" s="15" t="n">
        <f aca="false">IF(J400=1,0,IF(OR(AND(OR(B400="SITE LOSS",B400="REGION LOSS"),K400=1),AND(B400="ROLE COMPROMISE",H400=C400)),Inputs!$B$13,Inputs!$B$14))</f>
        <v>10</v>
      </c>
      <c r="O400" s="15" t="n">
        <f aca="false">IF(J400=1,0,Inputs!$B$13)</f>
        <v>20</v>
      </c>
      <c r="P400" s="15" t="n">
        <f aca="false">SUM(M400:N400)</f>
        <v>85</v>
      </c>
      <c r="Q400" s="15" t="n">
        <f aca="false">IF(J400=1,"",L400-P400)</f>
        <v>15</v>
      </c>
      <c r="R400" s="15" t="n">
        <f aca="false">IF(OR(J400=1,M400&lt;=Inputs!$B$12),1,0)</f>
        <v>1</v>
      </c>
      <c r="S400" s="15" t="n">
        <f aca="false">IF(OR(J400=1,N400&lt;=O400),1,0)</f>
        <v>1</v>
      </c>
      <c r="T400" s="15" t="str">
        <f aca="false">IF(J400=1,"OFFLINE",IF(AND(Q400&gt;=Inputs!$B$15,R400=1,S400=1,P400&lt;=L400),"PASS","FAIL"))</f>
        <v>PASS</v>
      </c>
    </row>
    <row r="401" customFormat="false" ht="15" hidden="false" customHeight="false" outlineLevel="0" collapsed="false">
      <c r="A401" s="14" t="s">
        <v>1022</v>
      </c>
      <c r="B401" s="14" t="s">
        <v>1019</v>
      </c>
      <c r="C401" s="14" t="s">
        <v>163</v>
      </c>
      <c r="D401" s="14" t="s">
        <v>188</v>
      </c>
      <c r="E401" s="14" t="s">
        <v>172</v>
      </c>
      <c r="F401" s="14" t="s">
        <v>183</v>
      </c>
      <c r="G401" s="14" t="n">
        <v>3</v>
      </c>
      <c r="H401" s="14" t="s">
        <v>158</v>
      </c>
      <c r="I401" s="14" t="s">
        <v>897</v>
      </c>
      <c r="J401" s="15" t="n">
        <f aca="false">IF(B401="SITE LOSS",IF(D401=C401,1,0),IF(B401="REGION LOSS",IF(E401=C401,1,0),0))</f>
        <v>0</v>
      </c>
      <c r="K401" s="15" t="n">
        <f aca="false">IF(B401="SITE LOSS",IF(COUNTIFS('Site Dockets'!$B$7:$B$24,C401,'Site Dockets'!$C$7:$C$24,F401)&gt;0,1,0),IF(B401="REGION LOSS",IF(COUNTIFS('Site Dockets'!$E$7:$E$24,C401,'Site Dockets'!$C$7:$C$24,F401)&gt;0,1,0),0))</f>
        <v>0</v>
      </c>
      <c r="L401" s="15" t="n">
        <f aca="false">IF(J401=1,0,Inputs!$B$11)</f>
        <v>100</v>
      </c>
      <c r="M401" s="15" t="n">
        <f aca="false">IF(J401=1,0,Inputs!$B$12)</f>
        <v>75</v>
      </c>
      <c r="N401" s="15" t="n">
        <f aca="false">IF(J401=1,0,IF(OR(AND(OR(B401="SITE LOSS",B401="REGION LOSS"),K401=1),AND(B401="ROLE COMPROMISE",H401=C401)),Inputs!$B$13,Inputs!$B$14))</f>
        <v>10</v>
      </c>
      <c r="O401" s="15" t="n">
        <f aca="false">IF(J401=1,0,Inputs!$B$13)</f>
        <v>20</v>
      </c>
      <c r="P401" s="15" t="n">
        <f aca="false">SUM(M401:N401)</f>
        <v>85</v>
      </c>
      <c r="Q401" s="15" t="n">
        <f aca="false">IF(J401=1,"",L401-P401)</f>
        <v>15</v>
      </c>
      <c r="R401" s="15" t="n">
        <f aca="false">IF(OR(J401=1,M401&lt;=Inputs!$B$12),1,0)</f>
        <v>1</v>
      </c>
      <c r="S401" s="15" t="n">
        <f aca="false">IF(OR(J401=1,N401&lt;=O401),1,0)</f>
        <v>1</v>
      </c>
      <c r="T401" s="15" t="str">
        <f aca="false">IF(J401=1,"OFFLINE",IF(AND(Q401&gt;=Inputs!$B$15,R401=1,S401=1,P401&lt;=L401),"PASS","FAIL"))</f>
        <v>PASS</v>
      </c>
    </row>
    <row r="402" customFormat="false" ht="15" hidden="false" customHeight="false" outlineLevel="0" collapsed="false">
      <c r="A402" s="14" t="s">
        <v>1022</v>
      </c>
      <c r="B402" s="14" t="s">
        <v>1019</v>
      </c>
      <c r="C402" s="14" t="s">
        <v>163</v>
      </c>
      <c r="D402" s="14" t="s">
        <v>188</v>
      </c>
      <c r="E402" s="14" t="s">
        <v>172</v>
      </c>
      <c r="F402" s="14" t="s">
        <v>183</v>
      </c>
      <c r="G402" s="14" t="n">
        <v>3</v>
      </c>
      <c r="H402" s="14" t="s">
        <v>158</v>
      </c>
      <c r="I402" s="14" t="s">
        <v>899</v>
      </c>
      <c r="J402" s="15" t="n">
        <f aca="false">IF(B402="SITE LOSS",IF(D402=C402,1,0),IF(B402="REGION LOSS",IF(E402=C402,1,0),0))</f>
        <v>0</v>
      </c>
      <c r="K402" s="15" t="n">
        <f aca="false">IF(B402="SITE LOSS",IF(COUNTIFS('Site Dockets'!$B$7:$B$24,C402,'Site Dockets'!$C$7:$C$24,F402)&gt;0,1,0),IF(B402="REGION LOSS",IF(COUNTIFS('Site Dockets'!$E$7:$E$24,C402,'Site Dockets'!$C$7:$C$24,F402)&gt;0,1,0),0))</f>
        <v>0</v>
      </c>
      <c r="L402" s="15" t="n">
        <f aca="false">IF(J402=1,0,Inputs!$B$11)</f>
        <v>100</v>
      </c>
      <c r="M402" s="15" t="n">
        <f aca="false">IF(J402=1,0,Inputs!$B$12)</f>
        <v>75</v>
      </c>
      <c r="N402" s="15" t="n">
        <f aca="false">IF(J402=1,0,IF(OR(AND(OR(B402="SITE LOSS",B402="REGION LOSS"),K402=1),AND(B402="ROLE COMPROMISE",H402=C402)),Inputs!$B$13,Inputs!$B$14))</f>
        <v>10</v>
      </c>
      <c r="O402" s="15" t="n">
        <f aca="false">IF(J402=1,0,Inputs!$B$13)</f>
        <v>20</v>
      </c>
      <c r="P402" s="15" t="n">
        <f aca="false">SUM(M402:N402)</f>
        <v>85</v>
      </c>
      <c r="Q402" s="15" t="n">
        <f aca="false">IF(J402=1,"",L402-P402)</f>
        <v>15</v>
      </c>
      <c r="R402" s="15" t="n">
        <f aca="false">IF(OR(J402=1,M402&lt;=Inputs!$B$12),1,0)</f>
        <v>1</v>
      </c>
      <c r="S402" s="15" t="n">
        <f aca="false">IF(OR(J402=1,N402&lt;=O402),1,0)</f>
        <v>1</v>
      </c>
      <c r="T402" s="15" t="str">
        <f aca="false">IF(J402=1,"OFFLINE",IF(AND(Q402&gt;=Inputs!$B$15,R402=1,S402=1,P402&lt;=L402),"PASS","FAIL"))</f>
        <v>PASS</v>
      </c>
    </row>
    <row r="403" customFormat="false" ht="15" hidden="false" customHeight="false" outlineLevel="0" collapsed="false">
      <c r="A403" s="14" t="s">
        <v>1022</v>
      </c>
      <c r="B403" s="14" t="s">
        <v>1019</v>
      </c>
      <c r="C403" s="14" t="s">
        <v>163</v>
      </c>
      <c r="D403" s="14" t="s">
        <v>190</v>
      </c>
      <c r="E403" s="14" t="s">
        <v>152</v>
      </c>
      <c r="F403" s="14" t="s">
        <v>191</v>
      </c>
      <c r="G403" s="14" t="n">
        <v>1</v>
      </c>
      <c r="H403" s="14" t="s">
        <v>154</v>
      </c>
      <c r="I403" s="14" t="s">
        <v>890</v>
      </c>
      <c r="J403" s="15" t="n">
        <f aca="false">IF(B403="SITE LOSS",IF(D403=C403,1,0),IF(B403="REGION LOSS",IF(E403=C403,1,0),0))</f>
        <v>0</v>
      </c>
      <c r="K403" s="15" t="n">
        <f aca="false">IF(B403="SITE LOSS",IF(COUNTIFS('Site Dockets'!$B$7:$B$24,C403,'Site Dockets'!$C$7:$C$24,F403)&gt;0,1,0),IF(B403="REGION LOSS",IF(COUNTIFS('Site Dockets'!$E$7:$E$24,C403,'Site Dockets'!$C$7:$C$24,F403)&gt;0,1,0),0))</f>
        <v>0</v>
      </c>
      <c r="L403" s="15" t="n">
        <f aca="false">IF(J403=1,0,Inputs!$B$11)</f>
        <v>100</v>
      </c>
      <c r="M403" s="15" t="n">
        <f aca="false">IF(J403=1,0,Inputs!$B$12)</f>
        <v>75</v>
      </c>
      <c r="N403" s="15" t="n">
        <f aca="false">IF(J403=1,0,IF(OR(AND(OR(B403="SITE LOSS",B403="REGION LOSS"),K403=1),AND(B403="ROLE COMPROMISE",H403=C403)),Inputs!$B$13,Inputs!$B$14))</f>
        <v>10</v>
      </c>
      <c r="O403" s="15" t="n">
        <f aca="false">IF(J403=1,0,Inputs!$B$13)</f>
        <v>20</v>
      </c>
      <c r="P403" s="15" t="n">
        <f aca="false">SUM(M403:N403)</f>
        <v>85</v>
      </c>
      <c r="Q403" s="15" t="n">
        <f aca="false">IF(J403=1,"",L403-P403)</f>
        <v>15</v>
      </c>
      <c r="R403" s="15" t="n">
        <f aca="false">IF(OR(J403=1,M403&lt;=Inputs!$B$12),1,0)</f>
        <v>1</v>
      </c>
      <c r="S403" s="15" t="n">
        <f aca="false">IF(OR(J403=1,N403&lt;=O403),1,0)</f>
        <v>1</v>
      </c>
      <c r="T403" s="15" t="str">
        <f aca="false">IF(J403=1,"OFFLINE",IF(AND(Q403&gt;=Inputs!$B$15,R403=1,S403=1,P403&lt;=L403),"PASS","FAIL"))</f>
        <v>PASS</v>
      </c>
    </row>
    <row r="404" customFormat="false" ht="15" hidden="false" customHeight="false" outlineLevel="0" collapsed="false">
      <c r="A404" s="14" t="s">
        <v>1022</v>
      </c>
      <c r="B404" s="14" t="s">
        <v>1019</v>
      </c>
      <c r="C404" s="14" t="s">
        <v>163</v>
      </c>
      <c r="D404" s="14" t="s">
        <v>190</v>
      </c>
      <c r="E404" s="14" t="s">
        <v>152</v>
      </c>
      <c r="F404" s="14" t="s">
        <v>191</v>
      </c>
      <c r="G404" s="14" t="n">
        <v>1</v>
      </c>
      <c r="H404" s="14" t="s">
        <v>154</v>
      </c>
      <c r="I404" s="14" t="s">
        <v>892</v>
      </c>
      <c r="J404" s="15" t="n">
        <f aca="false">IF(B404="SITE LOSS",IF(D404=C404,1,0),IF(B404="REGION LOSS",IF(E404=C404,1,0),0))</f>
        <v>0</v>
      </c>
      <c r="K404" s="15" t="n">
        <f aca="false">IF(B404="SITE LOSS",IF(COUNTIFS('Site Dockets'!$B$7:$B$24,C404,'Site Dockets'!$C$7:$C$24,F404)&gt;0,1,0),IF(B404="REGION LOSS",IF(COUNTIFS('Site Dockets'!$E$7:$E$24,C404,'Site Dockets'!$C$7:$C$24,F404)&gt;0,1,0),0))</f>
        <v>0</v>
      </c>
      <c r="L404" s="15" t="n">
        <f aca="false">IF(J404=1,0,Inputs!$B$11)</f>
        <v>100</v>
      </c>
      <c r="M404" s="15" t="n">
        <f aca="false">IF(J404=1,0,Inputs!$B$12)</f>
        <v>75</v>
      </c>
      <c r="N404" s="15" t="n">
        <f aca="false">IF(J404=1,0,IF(OR(AND(OR(B404="SITE LOSS",B404="REGION LOSS"),K404=1),AND(B404="ROLE COMPROMISE",H404=C404)),Inputs!$B$13,Inputs!$B$14))</f>
        <v>10</v>
      </c>
      <c r="O404" s="15" t="n">
        <f aca="false">IF(J404=1,0,Inputs!$B$13)</f>
        <v>20</v>
      </c>
      <c r="P404" s="15" t="n">
        <f aca="false">SUM(M404:N404)</f>
        <v>85</v>
      </c>
      <c r="Q404" s="15" t="n">
        <f aca="false">IF(J404=1,"",L404-P404)</f>
        <v>15</v>
      </c>
      <c r="R404" s="15" t="n">
        <f aca="false">IF(OR(J404=1,M404&lt;=Inputs!$B$12),1,0)</f>
        <v>1</v>
      </c>
      <c r="S404" s="15" t="n">
        <f aca="false">IF(OR(J404=1,N404&lt;=O404),1,0)</f>
        <v>1</v>
      </c>
      <c r="T404" s="15" t="str">
        <f aca="false">IF(J404=1,"OFFLINE",IF(AND(Q404&gt;=Inputs!$B$15,R404=1,S404=1,P404&lt;=L404),"PASS","FAIL"))</f>
        <v>PASS</v>
      </c>
    </row>
    <row r="405" customFormat="false" ht="15" hidden="false" customHeight="false" outlineLevel="0" collapsed="false">
      <c r="A405" s="14" t="s">
        <v>1022</v>
      </c>
      <c r="B405" s="14" t="s">
        <v>1019</v>
      </c>
      <c r="C405" s="14" t="s">
        <v>163</v>
      </c>
      <c r="D405" s="14" t="s">
        <v>190</v>
      </c>
      <c r="E405" s="14" t="s">
        <v>152</v>
      </c>
      <c r="F405" s="14" t="s">
        <v>191</v>
      </c>
      <c r="G405" s="14" t="n">
        <v>1</v>
      </c>
      <c r="H405" s="14" t="s">
        <v>154</v>
      </c>
      <c r="I405" s="14" t="s">
        <v>811</v>
      </c>
      <c r="J405" s="15" t="n">
        <f aca="false">IF(B405="SITE LOSS",IF(D405=C405,1,0),IF(B405="REGION LOSS",IF(E405=C405,1,0),0))</f>
        <v>0</v>
      </c>
      <c r="K405" s="15" t="n">
        <f aca="false">IF(B405="SITE LOSS",IF(COUNTIFS('Site Dockets'!$B$7:$B$24,C405,'Site Dockets'!$C$7:$C$24,F405)&gt;0,1,0),IF(B405="REGION LOSS",IF(COUNTIFS('Site Dockets'!$E$7:$E$24,C405,'Site Dockets'!$C$7:$C$24,F405)&gt;0,1,0),0))</f>
        <v>0</v>
      </c>
      <c r="L405" s="15" t="n">
        <f aca="false">IF(J405=1,0,Inputs!$B$11)</f>
        <v>100</v>
      </c>
      <c r="M405" s="15" t="n">
        <f aca="false">IF(J405=1,0,Inputs!$B$12)</f>
        <v>75</v>
      </c>
      <c r="N405" s="15" t="n">
        <f aca="false">IF(J405=1,0,IF(OR(AND(OR(B405="SITE LOSS",B405="REGION LOSS"),K405=1),AND(B405="ROLE COMPROMISE",H405=C405)),Inputs!$B$13,Inputs!$B$14))</f>
        <v>10</v>
      </c>
      <c r="O405" s="15" t="n">
        <f aca="false">IF(J405=1,0,Inputs!$B$13)</f>
        <v>20</v>
      </c>
      <c r="P405" s="15" t="n">
        <f aca="false">SUM(M405:N405)</f>
        <v>85</v>
      </c>
      <c r="Q405" s="15" t="n">
        <f aca="false">IF(J405=1,"",L405-P405)</f>
        <v>15</v>
      </c>
      <c r="R405" s="15" t="n">
        <f aca="false">IF(OR(J405=1,M405&lt;=Inputs!$B$12),1,0)</f>
        <v>1</v>
      </c>
      <c r="S405" s="15" t="n">
        <f aca="false">IF(OR(J405=1,N405&lt;=O405),1,0)</f>
        <v>1</v>
      </c>
      <c r="T405" s="15" t="str">
        <f aca="false">IF(J405=1,"OFFLINE",IF(AND(Q405&gt;=Inputs!$B$15,R405=1,S405=1,P405&lt;=L405),"PASS","FAIL"))</f>
        <v>PASS</v>
      </c>
    </row>
    <row r="406" customFormat="false" ht="15" hidden="false" customHeight="false" outlineLevel="0" collapsed="false">
      <c r="A406" s="14" t="s">
        <v>1022</v>
      </c>
      <c r="B406" s="14" t="s">
        <v>1019</v>
      </c>
      <c r="C406" s="14" t="s">
        <v>163</v>
      </c>
      <c r="D406" s="14" t="s">
        <v>190</v>
      </c>
      <c r="E406" s="14" t="s">
        <v>152</v>
      </c>
      <c r="F406" s="14" t="s">
        <v>191</v>
      </c>
      <c r="G406" s="14" t="n">
        <v>1</v>
      </c>
      <c r="H406" s="14" t="s">
        <v>154</v>
      </c>
      <c r="I406" s="14" t="s">
        <v>895</v>
      </c>
      <c r="J406" s="15" t="n">
        <f aca="false">IF(B406="SITE LOSS",IF(D406=C406,1,0),IF(B406="REGION LOSS",IF(E406=C406,1,0),0))</f>
        <v>0</v>
      </c>
      <c r="K406" s="15" t="n">
        <f aca="false">IF(B406="SITE LOSS",IF(COUNTIFS('Site Dockets'!$B$7:$B$24,C406,'Site Dockets'!$C$7:$C$24,F406)&gt;0,1,0),IF(B406="REGION LOSS",IF(COUNTIFS('Site Dockets'!$E$7:$E$24,C406,'Site Dockets'!$C$7:$C$24,F406)&gt;0,1,0),0))</f>
        <v>0</v>
      </c>
      <c r="L406" s="15" t="n">
        <f aca="false">IF(J406=1,0,Inputs!$B$11)</f>
        <v>100</v>
      </c>
      <c r="M406" s="15" t="n">
        <f aca="false">IF(J406=1,0,Inputs!$B$12)</f>
        <v>75</v>
      </c>
      <c r="N406" s="15" t="n">
        <f aca="false">IF(J406=1,0,IF(OR(AND(OR(B406="SITE LOSS",B406="REGION LOSS"),K406=1),AND(B406="ROLE COMPROMISE",H406=C406)),Inputs!$B$13,Inputs!$B$14))</f>
        <v>10</v>
      </c>
      <c r="O406" s="15" t="n">
        <f aca="false">IF(J406=1,0,Inputs!$B$13)</f>
        <v>20</v>
      </c>
      <c r="P406" s="15" t="n">
        <f aca="false">SUM(M406:N406)</f>
        <v>85</v>
      </c>
      <c r="Q406" s="15" t="n">
        <f aca="false">IF(J406=1,"",L406-P406)</f>
        <v>15</v>
      </c>
      <c r="R406" s="15" t="n">
        <f aca="false">IF(OR(J406=1,M406&lt;=Inputs!$B$12),1,0)</f>
        <v>1</v>
      </c>
      <c r="S406" s="15" t="n">
        <f aca="false">IF(OR(J406=1,N406&lt;=O406),1,0)</f>
        <v>1</v>
      </c>
      <c r="T406" s="15" t="str">
        <f aca="false">IF(J406=1,"OFFLINE",IF(AND(Q406&gt;=Inputs!$B$15,R406=1,S406=1,P406&lt;=L406),"PASS","FAIL"))</f>
        <v>PASS</v>
      </c>
    </row>
    <row r="407" customFormat="false" ht="15" hidden="false" customHeight="false" outlineLevel="0" collapsed="false">
      <c r="A407" s="14" t="s">
        <v>1022</v>
      </c>
      <c r="B407" s="14" t="s">
        <v>1019</v>
      </c>
      <c r="C407" s="14" t="s">
        <v>163</v>
      </c>
      <c r="D407" s="14" t="s">
        <v>190</v>
      </c>
      <c r="E407" s="14" t="s">
        <v>152</v>
      </c>
      <c r="F407" s="14" t="s">
        <v>191</v>
      </c>
      <c r="G407" s="14" t="n">
        <v>1</v>
      </c>
      <c r="H407" s="14" t="s">
        <v>154</v>
      </c>
      <c r="I407" s="14" t="s">
        <v>897</v>
      </c>
      <c r="J407" s="15" t="n">
        <f aca="false">IF(B407="SITE LOSS",IF(D407=C407,1,0),IF(B407="REGION LOSS",IF(E407=C407,1,0),0))</f>
        <v>0</v>
      </c>
      <c r="K407" s="15" t="n">
        <f aca="false">IF(B407="SITE LOSS",IF(COUNTIFS('Site Dockets'!$B$7:$B$24,C407,'Site Dockets'!$C$7:$C$24,F407)&gt;0,1,0),IF(B407="REGION LOSS",IF(COUNTIFS('Site Dockets'!$E$7:$E$24,C407,'Site Dockets'!$C$7:$C$24,F407)&gt;0,1,0),0))</f>
        <v>0</v>
      </c>
      <c r="L407" s="15" t="n">
        <f aca="false">IF(J407=1,0,Inputs!$B$11)</f>
        <v>100</v>
      </c>
      <c r="M407" s="15" t="n">
        <f aca="false">IF(J407=1,0,Inputs!$B$12)</f>
        <v>75</v>
      </c>
      <c r="N407" s="15" t="n">
        <f aca="false">IF(J407=1,0,IF(OR(AND(OR(B407="SITE LOSS",B407="REGION LOSS"),K407=1),AND(B407="ROLE COMPROMISE",H407=C407)),Inputs!$B$13,Inputs!$B$14))</f>
        <v>10</v>
      </c>
      <c r="O407" s="15" t="n">
        <f aca="false">IF(J407=1,0,Inputs!$B$13)</f>
        <v>20</v>
      </c>
      <c r="P407" s="15" t="n">
        <f aca="false">SUM(M407:N407)</f>
        <v>85</v>
      </c>
      <c r="Q407" s="15" t="n">
        <f aca="false">IF(J407=1,"",L407-P407)</f>
        <v>15</v>
      </c>
      <c r="R407" s="15" t="n">
        <f aca="false">IF(OR(J407=1,M407&lt;=Inputs!$B$12),1,0)</f>
        <v>1</v>
      </c>
      <c r="S407" s="15" t="n">
        <f aca="false">IF(OR(J407=1,N407&lt;=O407),1,0)</f>
        <v>1</v>
      </c>
      <c r="T407" s="15" t="str">
        <f aca="false">IF(J407=1,"OFFLINE",IF(AND(Q407&gt;=Inputs!$B$15,R407=1,S407=1,P407&lt;=L407),"PASS","FAIL"))</f>
        <v>PASS</v>
      </c>
    </row>
    <row r="408" customFormat="false" ht="15" hidden="false" customHeight="false" outlineLevel="0" collapsed="false">
      <c r="A408" s="14" t="s">
        <v>1022</v>
      </c>
      <c r="B408" s="14" t="s">
        <v>1019</v>
      </c>
      <c r="C408" s="14" t="s">
        <v>163</v>
      </c>
      <c r="D408" s="14" t="s">
        <v>190</v>
      </c>
      <c r="E408" s="14" t="s">
        <v>152</v>
      </c>
      <c r="F408" s="14" t="s">
        <v>191</v>
      </c>
      <c r="G408" s="14" t="n">
        <v>1</v>
      </c>
      <c r="H408" s="14" t="s">
        <v>154</v>
      </c>
      <c r="I408" s="14" t="s">
        <v>899</v>
      </c>
      <c r="J408" s="15" t="n">
        <f aca="false">IF(B408="SITE LOSS",IF(D408=C408,1,0),IF(B408="REGION LOSS",IF(E408=C408,1,0),0))</f>
        <v>0</v>
      </c>
      <c r="K408" s="15" t="n">
        <f aca="false">IF(B408="SITE LOSS",IF(COUNTIFS('Site Dockets'!$B$7:$B$24,C408,'Site Dockets'!$C$7:$C$24,F408)&gt;0,1,0),IF(B408="REGION LOSS",IF(COUNTIFS('Site Dockets'!$E$7:$E$24,C408,'Site Dockets'!$C$7:$C$24,F408)&gt;0,1,0),0))</f>
        <v>0</v>
      </c>
      <c r="L408" s="15" t="n">
        <f aca="false">IF(J408=1,0,Inputs!$B$11)</f>
        <v>100</v>
      </c>
      <c r="M408" s="15" t="n">
        <f aca="false">IF(J408=1,0,Inputs!$B$12)</f>
        <v>75</v>
      </c>
      <c r="N408" s="15" t="n">
        <f aca="false">IF(J408=1,0,IF(OR(AND(OR(B408="SITE LOSS",B408="REGION LOSS"),K408=1),AND(B408="ROLE COMPROMISE",H408=C408)),Inputs!$B$13,Inputs!$B$14))</f>
        <v>10</v>
      </c>
      <c r="O408" s="15" t="n">
        <f aca="false">IF(J408=1,0,Inputs!$B$13)</f>
        <v>20</v>
      </c>
      <c r="P408" s="15" t="n">
        <f aca="false">SUM(M408:N408)</f>
        <v>85</v>
      </c>
      <c r="Q408" s="15" t="n">
        <f aca="false">IF(J408=1,"",L408-P408)</f>
        <v>15</v>
      </c>
      <c r="R408" s="15" t="n">
        <f aca="false">IF(OR(J408=1,M408&lt;=Inputs!$B$12),1,0)</f>
        <v>1</v>
      </c>
      <c r="S408" s="15" t="n">
        <f aca="false">IF(OR(J408=1,N408&lt;=O408),1,0)</f>
        <v>1</v>
      </c>
      <c r="T408" s="15" t="str">
        <f aca="false">IF(J408=1,"OFFLINE",IF(AND(Q408&gt;=Inputs!$B$15,R408=1,S408=1,P408&lt;=L408),"PASS","FAIL"))</f>
        <v>PASS</v>
      </c>
    </row>
    <row r="409" customFormat="false" ht="15" hidden="false" customHeight="false" outlineLevel="0" collapsed="false">
      <c r="A409" s="14" t="s">
        <v>1022</v>
      </c>
      <c r="B409" s="14" t="s">
        <v>1019</v>
      </c>
      <c r="C409" s="14" t="s">
        <v>163</v>
      </c>
      <c r="D409" s="14" t="s">
        <v>194</v>
      </c>
      <c r="E409" s="14" t="s">
        <v>169</v>
      </c>
      <c r="F409" s="14" t="s">
        <v>191</v>
      </c>
      <c r="G409" s="14" t="n">
        <v>2</v>
      </c>
      <c r="H409" s="14" t="s">
        <v>153</v>
      </c>
      <c r="I409" s="14" t="s">
        <v>890</v>
      </c>
      <c r="J409" s="15" t="n">
        <f aca="false">IF(B409="SITE LOSS",IF(D409=C409,1,0),IF(B409="REGION LOSS",IF(E409=C409,1,0),0))</f>
        <v>0</v>
      </c>
      <c r="K409" s="15" t="n">
        <f aca="false">IF(B409="SITE LOSS",IF(COUNTIFS('Site Dockets'!$B$7:$B$24,C409,'Site Dockets'!$C$7:$C$24,F409)&gt;0,1,0),IF(B409="REGION LOSS",IF(COUNTIFS('Site Dockets'!$E$7:$E$24,C409,'Site Dockets'!$C$7:$C$24,F409)&gt;0,1,0),0))</f>
        <v>0</v>
      </c>
      <c r="L409" s="15" t="n">
        <f aca="false">IF(J409=1,0,Inputs!$B$11)</f>
        <v>100</v>
      </c>
      <c r="M409" s="15" t="n">
        <f aca="false">IF(J409=1,0,Inputs!$B$12)</f>
        <v>75</v>
      </c>
      <c r="N409" s="15" t="n">
        <f aca="false">IF(J409=1,0,IF(OR(AND(OR(B409="SITE LOSS",B409="REGION LOSS"),K409=1),AND(B409="ROLE COMPROMISE",H409=C409)),Inputs!$B$13,Inputs!$B$14))</f>
        <v>10</v>
      </c>
      <c r="O409" s="15" t="n">
        <f aca="false">IF(J409=1,0,Inputs!$B$13)</f>
        <v>20</v>
      </c>
      <c r="P409" s="15" t="n">
        <f aca="false">SUM(M409:N409)</f>
        <v>85</v>
      </c>
      <c r="Q409" s="15" t="n">
        <f aca="false">IF(J409=1,"",L409-P409)</f>
        <v>15</v>
      </c>
      <c r="R409" s="15" t="n">
        <f aca="false">IF(OR(J409=1,M409&lt;=Inputs!$B$12),1,0)</f>
        <v>1</v>
      </c>
      <c r="S409" s="15" t="n">
        <f aca="false">IF(OR(J409=1,N409&lt;=O409),1,0)</f>
        <v>1</v>
      </c>
      <c r="T409" s="15" t="str">
        <f aca="false">IF(J409=1,"OFFLINE",IF(AND(Q409&gt;=Inputs!$B$15,R409=1,S409=1,P409&lt;=L409),"PASS","FAIL"))</f>
        <v>PASS</v>
      </c>
    </row>
    <row r="410" customFormat="false" ht="15" hidden="false" customHeight="false" outlineLevel="0" collapsed="false">
      <c r="A410" s="14" t="s">
        <v>1022</v>
      </c>
      <c r="B410" s="14" t="s">
        <v>1019</v>
      </c>
      <c r="C410" s="14" t="s">
        <v>163</v>
      </c>
      <c r="D410" s="14" t="s">
        <v>194</v>
      </c>
      <c r="E410" s="14" t="s">
        <v>169</v>
      </c>
      <c r="F410" s="14" t="s">
        <v>191</v>
      </c>
      <c r="G410" s="14" t="n">
        <v>2</v>
      </c>
      <c r="H410" s="14" t="s">
        <v>153</v>
      </c>
      <c r="I410" s="14" t="s">
        <v>892</v>
      </c>
      <c r="J410" s="15" t="n">
        <f aca="false">IF(B410="SITE LOSS",IF(D410=C410,1,0),IF(B410="REGION LOSS",IF(E410=C410,1,0),0))</f>
        <v>0</v>
      </c>
      <c r="K410" s="15" t="n">
        <f aca="false">IF(B410="SITE LOSS",IF(COUNTIFS('Site Dockets'!$B$7:$B$24,C410,'Site Dockets'!$C$7:$C$24,F410)&gt;0,1,0),IF(B410="REGION LOSS",IF(COUNTIFS('Site Dockets'!$E$7:$E$24,C410,'Site Dockets'!$C$7:$C$24,F410)&gt;0,1,0),0))</f>
        <v>0</v>
      </c>
      <c r="L410" s="15" t="n">
        <f aca="false">IF(J410=1,0,Inputs!$B$11)</f>
        <v>100</v>
      </c>
      <c r="M410" s="15" t="n">
        <f aca="false">IF(J410=1,0,Inputs!$B$12)</f>
        <v>75</v>
      </c>
      <c r="N410" s="15" t="n">
        <f aca="false">IF(J410=1,0,IF(OR(AND(OR(B410="SITE LOSS",B410="REGION LOSS"),K410=1),AND(B410="ROLE COMPROMISE",H410=C410)),Inputs!$B$13,Inputs!$B$14))</f>
        <v>10</v>
      </c>
      <c r="O410" s="15" t="n">
        <f aca="false">IF(J410=1,0,Inputs!$B$13)</f>
        <v>20</v>
      </c>
      <c r="P410" s="15" t="n">
        <f aca="false">SUM(M410:N410)</f>
        <v>85</v>
      </c>
      <c r="Q410" s="15" t="n">
        <f aca="false">IF(J410=1,"",L410-P410)</f>
        <v>15</v>
      </c>
      <c r="R410" s="15" t="n">
        <f aca="false">IF(OR(J410=1,M410&lt;=Inputs!$B$12),1,0)</f>
        <v>1</v>
      </c>
      <c r="S410" s="15" t="n">
        <f aca="false">IF(OR(J410=1,N410&lt;=O410),1,0)</f>
        <v>1</v>
      </c>
      <c r="T410" s="15" t="str">
        <f aca="false">IF(J410=1,"OFFLINE",IF(AND(Q410&gt;=Inputs!$B$15,R410=1,S410=1,P410&lt;=L410),"PASS","FAIL"))</f>
        <v>PASS</v>
      </c>
    </row>
    <row r="411" customFormat="false" ht="15" hidden="false" customHeight="false" outlineLevel="0" collapsed="false">
      <c r="A411" s="14" t="s">
        <v>1022</v>
      </c>
      <c r="B411" s="14" t="s">
        <v>1019</v>
      </c>
      <c r="C411" s="14" t="s">
        <v>163</v>
      </c>
      <c r="D411" s="14" t="s">
        <v>194</v>
      </c>
      <c r="E411" s="14" t="s">
        <v>169</v>
      </c>
      <c r="F411" s="14" t="s">
        <v>191</v>
      </c>
      <c r="G411" s="14" t="n">
        <v>2</v>
      </c>
      <c r="H411" s="14" t="s">
        <v>153</v>
      </c>
      <c r="I411" s="14" t="s">
        <v>811</v>
      </c>
      <c r="J411" s="15" t="n">
        <f aca="false">IF(B411="SITE LOSS",IF(D411=C411,1,0),IF(B411="REGION LOSS",IF(E411=C411,1,0),0))</f>
        <v>0</v>
      </c>
      <c r="K411" s="15" t="n">
        <f aca="false">IF(B411="SITE LOSS",IF(COUNTIFS('Site Dockets'!$B$7:$B$24,C411,'Site Dockets'!$C$7:$C$24,F411)&gt;0,1,0),IF(B411="REGION LOSS",IF(COUNTIFS('Site Dockets'!$E$7:$E$24,C411,'Site Dockets'!$C$7:$C$24,F411)&gt;0,1,0),0))</f>
        <v>0</v>
      </c>
      <c r="L411" s="15" t="n">
        <f aca="false">IF(J411=1,0,Inputs!$B$11)</f>
        <v>100</v>
      </c>
      <c r="M411" s="15" t="n">
        <f aca="false">IF(J411=1,0,Inputs!$B$12)</f>
        <v>75</v>
      </c>
      <c r="N411" s="15" t="n">
        <f aca="false">IF(J411=1,0,IF(OR(AND(OR(B411="SITE LOSS",B411="REGION LOSS"),K411=1),AND(B411="ROLE COMPROMISE",H411=C411)),Inputs!$B$13,Inputs!$B$14))</f>
        <v>10</v>
      </c>
      <c r="O411" s="15" t="n">
        <f aca="false">IF(J411=1,0,Inputs!$B$13)</f>
        <v>20</v>
      </c>
      <c r="P411" s="15" t="n">
        <f aca="false">SUM(M411:N411)</f>
        <v>85</v>
      </c>
      <c r="Q411" s="15" t="n">
        <f aca="false">IF(J411=1,"",L411-P411)</f>
        <v>15</v>
      </c>
      <c r="R411" s="15" t="n">
        <f aca="false">IF(OR(J411=1,M411&lt;=Inputs!$B$12),1,0)</f>
        <v>1</v>
      </c>
      <c r="S411" s="15" t="n">
        <f aca="false">IF(OR(J411=1,N411&lt;=O411),1,0)</f>
        <v>1</v>
      </c>
      <c r="T411" s="15" t="str">
        <f aca="false">IF(J411=1,"OFFLINE",IF(AND(Q411&gt;=Inputs!$B$15,R411=1,S411=1,P411&lt;=L411),"PASS","FAIL"))</f>
        <v>PASS</v>
      </c>
    </row>
    <row r="412" customFormat="false" ht="15" hidden="false" customHeight="false" outlineLevel="0" collapsed="false">
      <c r="A412" s="14" t="s">
        <v>1022</v>
      </c>
      <c r="B412" s="14" t="s">
        <v>1019</v>
      </c>
      <c r="C412" s="14" t="s">
        <v>163</v>
      </c>
      <c r="D412" s="14" t="s">
        <v>194</v>
      </c>
      <c r="E412" s="14" t="s">
        <v>169</v>
      </c>
      <c r="F412" s="14" t="s">
        <v>191</v>
      </c>
      <c r="G412" s="14" t="n">
        <v>2</v>
      </c>
      <c r="H412" s="14" t="s">
        <v>153</v>
      </c>
      <c r="I412" s="14" t="s">
        <v>895</v>
      </c>
      <c r="J412" s="15" t="n">
        <f aca="false">IF(B412="SITE LOSS",IF(D412=C412,1,0),IF(B412="REGION LOSS",IF(E412=C412,1,0),0))</f>
        <v>0</v>
      </c>
      <c r="K412" s="15" t="n">
        <f aca="false">IF(B412="SITE LOSS",IF(COUNTIFS('Site Dockets'!$B$7:$B$24,C412,'Site Dockets'!$C$7:$C$24,F412)&gt;0,1,0),IF(B412="REGION LOSS",IF(COUNTIFS('Site Dockets'!$E$7:$E$24,C412,'Site Dockets'!$C$7:$C$24,F412)&gt;0,1,0),0))</f>
        <v>0</v>
      </c>
      <c r="L412" s="15" t="n">
        <f aca="false">IF(J412=1,0,Inputs!$B$11)</f>
        <v>100</v>
      </c>
      <c r="M412" s="15" t="n">
        <f aca="false">IF(J412=1,0,Inputs!$B$12)</f>
        <v>75</v>
      </c>
      <c r="N412" s="15" t="n">
        <f aca="false">IF(J412=1,0,IF(OR(AND(OR(B412="SITE LOSS",B412="REGION LOSS"),K412=1),AND(B412="ROLE COMPROMISE",H412=C412)),Inputs!$B$13,Inputs!$B$14))</f>
        <v>10</v>
      </c>
      <c r="O412" s="15" t="n">
        <f aca="false">IF(J412=1,0,Inputs!$B$13)</f>
        <v>20</v>
      </c>
      <c r="P412" s="15" t="n">
        <f aca="false">SUM(M412:N412)</f>
        <v>85</v>
      </c>
      <c r="Q412" s="15" t="n">
        <f aca="false">IF(J412=1,"",L412-P412)</f>
        <v>15</v>
      </c>
      <c r="R412" s="15" t="n">
        <f aca="false">IF(OR(J412=1,M412&lt;=Inputs!$B$12),1,0)</f>
        <v>1</v>
      </c>
      <c r="S412" s="15" t="n">
        <f aca="false">IF(OR(J412=1,N412&lt;=O412),1,0)</f>
        <v>1</v>
      </c>
      <c r="T412" s="15" t="str">
        <f aca="false">IF(J412=1,"OFFLINE",IF(AND(Q412&gt;=Inputs!$B$15,R412=1,S412=1,P412&lt;=L412),"PASS","FAIL"))</f>
        <v>PASS</v>
      </c>
    </row>
    <row r="413" customFormat="false" ht="15" hidden="false" customHeight="false" outlineLevel="0" collapsed="false">
      <c r="A413" s="14" t="s">
        <v>1022</v>
      </c>
      <c r="B413" s="14" t="s">
        <v>1019</v>
      </c>
      <c r="C413" s="14" t="s">
        <v>163</v>
      </c>
      <c r="D413" s="14" t="s">
        <v>194</v>
      </c>
      <c r="E413" s="14" t="s">
        <v>169</v>
      </c>
      <c r="F413" s="14" t="s">
        <v>191</v>
      </c>
      <c r="G413" s="14" t="n">
        <v>2</v>
      </c>
      <c r="H413" s="14" t="s">
        <v>153</v>
      </c>
      <c r="I413" s="14" t="s">
        <v>897</v>
      </c>
      <c r="J413" s="15" t="n">
        <f aca="false">IF(B413="SITE LOSS",IF(D413=C413,1,0),IF(B413="REGION LOSS",IF(E413=C413,1,0),0))</f>
        <v>0</v>
      </c>
      <c r="K413" s="15" t="n">
        <f aca="false">IF(B413="SITE LOSS",IF(COUNTIFS('Site Dockets'!$B$7:$B$24,C413,'Site Dockets'!$C$7:$C$24,F413)&gt;0,1,0),IF(B413="REGION LOSS",IF(COUNTIFS('Site Dockets'!$E$7:$E$24,C413,'Site Dockets'!$C$7:$C$24,F413)&gt;0,1,0),0))</f>
        <v>0</v>
      </c>
      <c r="L413" s="15" t="n">
        <f aca="false">IF(J413=1,0,Inputs!$B$11)</f>
        <v>100</v>
      </c>
      <c r="M413" s="15" t="n">
        <f aca="false">IF(J413=1,0,Inputs!$B$12)</f>
        <v>75</v>
      </c>
      <c r="N413" s="15" t="n">
        <f aca="false">IF(J413=1,0,IF(OR(AND(OR(B413="SITE LOSS",B413="REGION LOSS"),K413=1),AND(B413="ROLE COMPROMISE",H413=C413)),Inputs!$B$13,Inputs!$B$14))</f>
        <v>10</v>
      </c>
      <c r="O413" s="15" t="n">
        <f aca="false">IF(J413=1,0,Inputs!$B$13)</f>
        <v>20</v>
      </c>
      <c r="P413" s="15" t="n">
        <f aca="false">SUM(M413:N413)</f>
        <v>85</v>
      </c>
      <c r="Q413" s="15" t="n">
        <f aca="false">IF(J413=1,"",L413-P413)</f>
        <v>15</v>
      </c>
      <c r="R413" s="15" t="n">
        <f aca="false">IF(OR(J413=1,M413&lt;=Inputs!$B$12),1,0)</f>
        <v>1</v>
      </c>
      <c r="S413" s="15" t="n">
        <f aca="false">IF(OR(J413=1,N413&lt;=O413),1,0)</f>
        <v>1</v>
      </c>
      <c r="T413" s="15" t="str">
        <f aca="false">IF(J413=1,"OFFLINE",IF(AND(Q413&gt;=Inputs!$B$15,R413=1,S413=1,P413&lt;=L413),"PASS","FAIL"))</f>
        <v>PASS</v>
      </c>
    </row>
    <row r="414" customFormat="false" ht="15" hidden="false" customHeight="false" outlineLevel="0" collapsed="false">
      <c r="A414" s="14" t="s">
        <v>1022</v>
      </c>
      <c r="B414" s="14" t="s">
        <v>1019</v>
      </c>
      <c r="C414" s="14" t="s">
        <v>163</v>
      </c>
      <c r="D414" s="14" t="s">
        <v>194</v>
      </c>
      <c r="E414" s="14" t="s">
        <v>169</v>
      </c>
      <c r="F414" s="14" t="s">
        <v>191</v>
      </c>
      <c r="G414" s="14" t="n">
        <v>2</v>
      </c>
      <c r="H414" s="14" t="s">
        <v>153</v>
      </c>
      <c r="I414" s="14" t="s">
        <v>899</v>
      </c>
      <c r="J414" s="15" t="n">
        <f aca="false">IF(B414="SITE LOSS",IF(D414=C414,1,0),IF(B414="REGION LOSS",IF(E414=C414,1,0),0))</f>
        <v>0</v>
      </c>
      <c r="K414" s="15" t="n">
        <f aca="false">IF(B414="SITE LOSS",IF(COUNTIFS('Site Dockets'!$B$7:$B$24,C414,'Site Dockets'!$C$7:$C$24,F414)&gt;0,1,0),IF(B414="REGION LOSS",IF(COUNTIFS('Site Dockets'!$E$7:$E$24,C414,'Site Dockets'!$C$7:$C$24,F414)&gt;0,1,0),0))</f>
        <v>0</v>
      </c>
      <c r="L414" s="15" t="n">
        <f aca="false">IF(J414=1,0,Inputs!$B$11)</f>
        <v>100</v>
      </c>
      <c r="M414" s="15" t="n">
        <f aca="false">IF(J414=1,0,Inputs!$B$12)</f>
        <v>75</v>
      </c>
      <c r="N414" s="15" t="n">
        <f aca="false">IF(J414=1,0,IF(OR(AND(OR(B414="SITE LOSS",B414="REGION LOSS"),K414=1),AND(B414="ROLE COMPROMISE",H414=C414)),Inputs!$B$13,Inputs!$B$14))</f>
        <v>10</v>
      </c>
      <c r="O414" s="15" t="n">
        <f aca="false">IF(J414=1,0,Inputs!$B$13)</f>
        <v>20</v>
      </c>
      <c r="P414" s="15" t="n">
        <f aca="false">SUM(M414:N414)</f>
        <v>85</v>
      </c>
      <c r="Q414" s="15" t="n">
        <f aca="false">IF(J414=1,"",L414-P414)</f>
        <v>15</v>
      </c>
      <c r="R414" s="15" t="n">
        <f aca="false">IF(OR(J414=1,M414&lt;=Inputs!$B$12),1,0)</f>
        <v>1</v>
      </c>
      <c r="S414" s="15" t="n">
        <f aca="false">IF(OR(J414=1,N414&lt;=O414),1,0)</f>
        <v>1</v>
      </c>
      <c r="T414" s="15" t="str">
        <f aca="false">IF(J414=1,"OFFLINE",IF(AND(Q414&gt;=Inputs!$B$15,R414=1,S414=1,P414&lt;=L414),"PASS","FAIL"))</f>
        <v>PASS</v>
      </c>
    </row>
    <row r="415" customFormat="false" ht="15" hidden="false" customHeight="false" outlineLevel="0" collapsed="false">
      <c r="A415" s="14" t="s">
        <v>1022</v>
      </c>
      <c r="B415" s="14" t="s">
        <v>1019</v>
      </c>
      <c r="C415" s="14" t="s">
        <v>163</v>
      </c>
      <c r="D415" s="14" t="s">
        <v>196</v>
      </c>
      <c r="E415" s="14" t="s">
        <v>172</v>
      </c>
      <c r="F415" s="14" t="s">
        <v>191</v>
      </c>
      <c r="G415" s="14" t="n">
        <v>3</v>
      </c>
      <c r="H415" s="14" t="s">
        <v>158</v>
      </c>
      <c r="I415" s="14" t="s">
        <v>890</v>
      </c>
      <c r="J415" s="15" t="n">
        <f aca="false">IF(B415="SITE LOSS",IF(D415=C415,1,0),IF(B415="REGION LOSS",IF(E415=C415,1,0),0))</f>
        <v>0</v>
      </c>
      <c r="K415" s="15" t="n">
        <f aca="false">IF(B415="SITE LOSS",IF(COUNTIFS('Site Dockets'!$B$7:$B$24,C415,'Site Dockets'!$C$7:$C$24,F415)&gt;0,1,0),IF(B415="REGION LOSS",IF(COUNTIFS('Site Dockets'!$E$7:$E$24,C415,'Site Dockets'!$C$7:$C$24,F415)&gt;0,1,0),0))</f>
        <v>0</v>
      </c>
      <c r="L415" s="15" t="n">
        <f aca="false">IF(J415=1,0,Inputs!$B$11)</f>
        <v>100</v>
      </c>
      <c r="M415" s="15" t="n">
        <f aca="false">IF(J415=1,0,Inputs!$B$12)</f>
        <v>75</v>
      </c>
      <c r="N415" s="15" t="n">
        <f aca="false">IF(J415=1,0,IF(OR(AND(OR(B415="SITE LOSS",B415="REGION LOSS"),K415=1),AND(B415="ROLE COMPROMISE",H415=C415)),Inputs!$B$13,Inputs!$B$14))</f>
        <v>10</v>
      </c>
      <c r="O415" s="15" t="n">
        <f aca="false">IF(J415=1,0,Inputs!$B$13)</f>
        <v>20</v>
      </c>
      <c r="P415" s="15" t="n">
        <f aca="false">SUM(M415:N415)</f>
        <v>85</v>
      </c>
      <c r="Q415" s="15" t="n">
        <f aca="false">IF(J415=1,"",L415-P415)</f>
        <v>15</v>
      </c>
      <c r="R415" s="15" t="n">
        <f aca="false">IF(OR(J415=1,M415&lt;=Inputs!$B$12),1,0)</f>
        <v>1</v>
      </c>
      <c r="S415" s="15" t="n">
        <f aca="false">IF(OR(J415=1,N415&lt;=O415),1,0)</f>
        <v>1</v>
      </c>
      <c r="T415" s="15" t="str">
        <f aca="false">IF(J415=1,"OFFLINE",IF(AND(Q415&gt;=Inputs!$B$15,R415=1,S415=1,P415&lt;=L415),"PASS","FAIL"))</f>
        <v>PASS</v>
      </c>
    </row>
    <row r="416" customFormat="false" ht="15" hidden="false" customHeight="false" outlineLevel="0" collapsed="false">
      <c r="A416" s="14" t="s">
        <v>1022</v>
      </c>
      <c r="B416" s="14" t="s">
        <v>1019</v>
      </c>
      <c r="C416" s="14" t="s">
        <v>163</v>
      </c>
      <c r="D416" s="14" t="s">
        <v>196</v>
      </c>
      <c r="E416" s="14" t="s">
        <v>172</v>
      </c>
      <c r="F416" s="14" t="s">
        <v>191</v>
      </c>
      <c r="G416" s="14" t="n">
        <v>3</v>
      </c>
      <c r="H416" s="14" t="s">
        <v>158</v>
      </c>
      <c r="I416" s="14" t="s">
        <v>892</v>
      </c>
      <c r="J416" s="15" t="n">
        <f aca="false">IF(B416="SITE LOSS",IF(D416=C416,1,0),IF(B416="REGION LOSS",IF(E416=C416,1,0),0))</f>
        <v>0</v>
      </c>
      <c r="K416" s="15" t="n">
        <f aca="false">IF(B416="SITE LOSS",IF(COUNTIFS('Site Dockets'!$B$7:$B$24,C416,'Site Dockets'!$C$7:$C$24,F416)&gt;0,1,0),IF(B416="REGION LOSS",IF(COUNTIFS('Site Dockets'!$E$7:$E$24,C416,'Site Dockets'!$C$7:$C$24,F416)&gt;0,1,0),0))</f>
        <v>0</v>
      </c>
      <c r="L416" s="15" t="n">
        <f aca="false">IF(J416=1,0,Inputs!$B$11)</f>
        <v>100</v>
      </c>
      <c r="M416" s="15" t="n">
        <f aca="false">IF(J416=1,0,Inputs!$B$12)</f>
        <v>75</v>
      </c>
      <c r="N416" s="15" t="n">
        <f aca="false">IF(J416=1,0,IF(OR(AND(OR(B416="SITE LOSS",B416="REGION LOSS"),K416=1),AND(B416="ROLE COMPROMISE",H416=C416)),Inputs!$B$13,Inputs!$B$14))</f>
        <v>10</v>
      </c>
      <c r="O416" s="15" t="n">
        <f aca="false">IF(J416=1,0,Inputs!$B$13)</f>
        <v>20</v>
      </c>
      <c r="P416" s="15" t="n">
        <f aca="false">SUM(M416:N416)</f>
        <v>85</v>
      </c>
      <c r="Q416" s="15" t="n">
        <f aca="false">IF(J416=1,"",L416-P416)</f>
        <v>15</v>
      </c>
      <c r="R416" s="15" t="n">
        <f aca="false">IF(OR(J416=1,M416&lt;=Inputs!$B$12),1,0)</f>
        <v>1</v>
      </c>
      <c r="S416" s="15" t="n">
        <f aca="false">IF(OR(J416=1,N416&lt;=O416),1,0)</f>
        <v>1</v>
      </c>
      <c r="T416" s="15" t="str">
        <f aca="false">IF(J416=1,"OFFLINE",IF(AND(Q416&gt;=Inputs!$B$15,R416=1,S416=1,P416&lt;=L416),"PASS","FAIL"))</f>
        <v>PASS</v>
      </c>
    </row>
    <row r="417" customFormat="false" ht="15" hidden="false" customHeight="false" outlineLevel="0" collapsed="false">
      <c r="A417" s="14" t="s">
        <v>1022</v>
      </c>
      <c r="B417" s="14" t="s">
        <v>1019</v>
      </c>
      <c r="C417" s="14" t="s">
        <v>163</v>
      </c>
      <c r="D417" s="14" t="s">
        <v>196</v>
      </c>
      <c r="E417" s="14" t="s">
        <v>172</v>
      </c>
      <c r="F417" s="14" t="s">
        <v>191</v>
      </c>
      <c r="G417" s="14" t="n">
        <v>3</v>
      </c>
      <c r="H417" s="14" t="s">
        <v>158</v>
      </c>
      <c r="I417" s="14" t="s">
        <v>811</v>
      </c>
      <c r="J417" s="15" t="n">
        <f aca="false">IF(B417="SITE LOSS",IF(D417=C417,1,0),IF(B417="REGION LOSS",IF(E417=C417,1,0),0))</f>
        <v>0</v>
      </c>
      <c r="K417" s="15" t="n">
        <f aca="false">IF(B417="SITE LOSS",IF(COUNTIFS('Site Dockets'!$B$7:$B$24,C417,'Site Dockets'!$C$7:$C$24,F417)&gt;0,1,0),IF(B417="REGION LOSS",IF(COUNTIFS('Site Dockets'!$E$7:$E$24,C417,'Site Dockets'!$C$7:$C$24,F417)&gt;0,1,0),0))</f>
        <v>0</v>
      </c>
      <c r="L417" s="15" t="n">
        <f aca="false">IF(J417=1,0,Inputs!$B$11)</f>
        <v>100</v>
      </c>
      <c r="M417" s="15" t="n">
        <f aca="false">IF(J417=1,0,Inputs!$B$12)</f>
        <v>75</v>
      </c>
      <c r="N417" s="15" t="n">
        <f aca="false">IF(J417=1,0,IF(OR(AND(OR(B417="SITE LOSS",B417="REGION LOSS"),K417=1),AND(B417="ROLE COMPROMISE",H417=C417)),Inputs!$B$13,Inputs!$B$14))</f>
        <v>10</v>
      </c>
      <c r="O417" s="15" t="n">
        <f aca="false">IF(J417=1,0,Inputs!$B$13)</f>
        <v>20</v>
      </c>
      <c r="P417" s="15" t="n">
        <f aca="false">SUM(M417:N417)</f>
        <v>85</v>
      </c>
      <c r="Q417" s="15" t="n">
        <f aca="false">IF(J417=1,"",L417-P417)</f>
        <v>15</v>
      </c>
      <c r="R417" s="15" t="n">
        <f aca="false">IF(OR(J417=1,M417&lt;=Inputs!$B$12),1,0)</f>
        <v>1</v>
      </c>
      <c r="S417" s="15" t="n">
        <f aca="false">IF(OR(J417=1,N417&lt;=O417),1,0)</f>
        <v>1</v>
      </c>
      <c r="T417" s="15" t="str">
        <f aca="false">IF(J417=1,"OFFLINE",IF(AND(Q417&gt;=Inputs!$B$15,R417=1,S417=1,P417&lt;=L417),"PASS","FAIL"))</f>
        <v>PASS</v>
      </c>
    </row>
    <row r="418" customFormat="false" ht="15" hidden="false" customHeight="false" outlineLevel="0" collapsed="false">
      <c r="A418" s="14" t="s">
        <v>1022</v>
      </c>
      <c r="B418" s="14" t="s">
        <v>1019</v>
      </c>
      <c r="C418" s="14" t="s">
        <v>163</v>
      </c>
      <c r="D418" s="14" t="s">
        <v>196</v>
      </c>
      <c r="E418" s="14" t="s">
        <v>172</v>
      </c>
      <c r="F418" s="14" t="s">
        <v>191</v>
      </c>
      <c r="G418" s="14" t="n">
        <v>3</v>
      </c>
      <c r="H418" s="14" t="s">
        <v>158</v>
      </c>
      <c r="I418" s="14" t="s">
        <v>895</v>
      </c>
      <c r="J418" s="15" t="n">
        <f aca="false">IF(B418="SITE LOSS",IF(D418=C418,1,0),IF(B418="REGION LOSS",IF(E418=C418,1,0),0))</f>
        <v>0</v>
      </c>
      <c r="K418" s="15" t="n">
        <f aca="false">IF(B418="SITE LOSS",IF(COUNTIFS('Site Dockets'!$B$7:$B$24,C418,'Site Dockets'!$C$7:$C$24,F418)&gt;0,1,0),IF(B418="REGION LOSS",IF(COUNTIFS('Site Dockets'!$E$7:$E$24,C418,'Site Dockets'!$C$7:$C$24,F418)&gt;0,1,0),0))</f>
        <v>0</v>
      </c>
      <c r="L418" s="15" t="n">
        <f aca="false">IF(J418=1,0,Inputs!$B$11)</f>
        <v>100</v>
      </c>
      <c r="M418" s="15" t="n">
        <f aca="false">IF(J418=1,0,Inputs!$B$12)</f>
        <v>75</v>
      </c>
      <c r="N418" s="15" t="n">
        <f aca="false">IF(J418=1,0,IF(OR(AND(OR(B418="SITE LOSS",B418="REGION LOSS"),K418=1),AND(B418="ROLE COMPROMISE",H418=C418)),Inputs!$B$13,Inputs!$B$14))</f>
        <v>10</v>
      </c>
      <c r="O418" s="15" t="n">
        <f aca="false">IF(J418=1,0,Inputs!$B$13)</f>
        <v>20</v>
      </c>
      <c r="P418" s="15" t="n">
        <f aca="false">SUM(M418:N418)</f>
        <v>85</v>
      </c>
      <c r="Q418" s="15" t="n">
        <f aca="false">IF(J418=1,"",L418-P418)</f>
        <v>15</v>
      </c>
      <c r="R418" s="15" t="n">
        <f aca="false">IF(OR(J418=1,M418&lt;=Inputs!$B$12),1,0)</f>
        <v>1</v>
      </c>
      <c r="S418" s="15" t="n">
        <f aca="false">IF(OR(J418=1,N418&lt;=O418),1,0)</f>
        <v>1</v>
      </c>
      <c r="T418" s="15" t="str">
        <f aca="false">IF(J418=1,"OFFLINE",IF(AND(Q418&gt;=Inputs!$B$15,R418=1,S418=1,P418&lt;=L418),"PASS","FAIL"))</f>
        <v>PASS</v>
      </c>
    </row>
    <row r="419" customFormat="false" ht="15" hidden="false" customHeight="false" outlineLevel="0" collapsed="false">
      <c r="A419" s="14" t="s">
        <v>1022</v>
      </c>
      <c r="B419" s="14" t="s">
        <v>1019</v>
      </c>
      <c r="C419" s="14" t="s">
        <v>163</v>
      </c>
      <c r="D419" s="14" t="s">
        <v>196</v>
      </c>
      <c r="E419" s="14" t="s">
        <v>172</v>
      </c>
      <c r="F419" s="14" t="s">
        <v>191</v>
      </c>
      <c r="G419" s="14" t="n">
        <v>3</v>
      </c>
      <c r="H419" s="14" t="s">
        <v>158</v>
      </c>
      <c r="I419" s="14" t="s">
        <v>897</v>
      </c>
      <c r="J419" s="15" t="n">
        <f aca="false">IF(B419="SITE LOSS",IF(D419=C419,1,0),IF(B419="REGION LOSS",IF(E419=C419,1,0),0))</f>
        <v>0</v>
      </c>
      <c r="K419" s="15" t="n">
        <f aca="false">IF(B419="SITE LOSS",IF(COUNTIFS('Site Dockets'!$B$7:$B$24,C419,'Site Dockets'!$C$7:$C$24,F419)&gt;0,1,0),IF(B419="REGION LOSS",IF(COUNTIFS('Site Dockets'!$E$7:$E$24,C419,'Site Dockets'!$C$7:$C$24,F419)&gt;0,1,0),0))</f>
        <v>0</v>
      </c>
      <c r="L419" s="15" t="n">
        <f aca="false">IF(J419=1,0,Inputs!$B$11)</f>
        <v>100</v>
      </c>
      <c r="M419" s="15" t="n">
        <f aca="false">IF(J419=1,0,Inputs!$B$12)</f>
        <v>75</v>
      </c>
      <c r="N419" s="15" t="n">
        <f aca="false">IF(J419=1,0,IF(OR(AND(OR(B419="SITE LOSS",B419="REGION LOSS"),K419=1),AND(B419="ROLE COMPROMISE",H419=C419)),Inputs!$B$13,Inputs!$B$14))</f>
        <v>10</v>
      </c>
      <c r="O419" s="15" t="n">
        <f aca="false">IF(J419=1,0,Inputs!$B$13)</f>
        <v>20</v>
      </c>
      <c r="P419" s="15" t="n">
        <f aca="false">SUM(M419:N419)</f>
        <v>85</v>
      </c>
      <c r="Q419" s="15" t="n">
        <f aca="false">IF(J419=1,"",L419-P419)</f>
        <v>15</v>
      </c>
      <c r="R419" s="15" t="n">
        <f aca="false">IF(OR(J419=1,M419&lt;=Inputs!$B$12),1,0)</f>
        <v>1</v>
      </c>
      <c r="S419" s="15" t="n">
        <f aca="false">IF(OR(J419=1,N419&lt;=O419),1,0)</f>
        <v>1</v>
      </c>
      <c r="T419" s="15" t="str">
        <f aca="false">IF(J419=1,"OFFLINE",IF(AND(Q419&gt;=Inputs!$B$15,R419=1,S419=1,P419&lt;=L419),"PASS","FAIL"))</f>
        <v>PASS</v>
      </c>
    </row>
    <row r="420" customFormat="false" ht="15" hidden="false" customHeight="false" outlineLevel="0" collapsed="false">
      <c r="A420" s="14" t="s">
        <v>1022</v>
      </c>
      <c r="B420" s="14" t="s">
        <v>1019</v>
      </c>
      <c r="C420" s="14" t="s">
        <v>163</v>
      </c>
      <c r="D420" s="14" t="s">
        <v>196</v>
      </c>
      <c r="E420" s="14" t="s">
        <v>172</v>
      </c>
      <c r="F420" s="14" t="s">
        <v>191</v>
      </c>
      <c r="G420" s="14" t="n">
        <v>3</v>
      </c>
      <c r="H420" s="14" t="s">
        <v>158</v>
      </c>
      <c r="I420" s="14" t="s">
        <v>899</v>
      </c>
      <c r="J420" s="15" t="n">
        <f aca="false">IF(B420="SITE LOSS",IF(D420=C420,1,0),IF(B420="REGION LOSS",IF(E420=C420,1,0),0))</f>
        <v>0</v>
      </c>
      <c r="K420" s="15" t="n">
        <f aca="false">IF(B420="SITE LOSS",IF(COUNTIFS('Site Dockets'!$B$7:$B$24,C420,'Site Dockets'!$C$7:$C$24,F420)&gt;0,1,0),IF(B420="REGION LOSS",IF(COUNTIFS('Site Dockets'!$E$7:$E$24,C420,'Site Dockets'!$C$7:$C$24,F420)&gt;0,1,0),0))</f>
        <v>0</v>
      </c>
      <c r="L420" s="15" t="n">
        <f aca="false">IF(J420=1,0,Inputs!$B$11)</f>
        <v>100</v>
      </c>
      <c r="M420" s="15" t="n">
        <f aca="false">IF(J420=1,0,Inputs!$B$12)</f>
        <v>75</v>
      </c>
      <c r="N420" s="15" t="n">
        <f aca="false">IF(J420=1,0,IF(OR(AND(OR(B420="SITE LOSS",B420="REGION LOSS"),K420=1),AND(B420="ROLE COMPROMISE",H420=C420)),Inputs!$B$13,Inputs!$B$14))</f>
        <v>10</v>
      </c>
      <c r="O420" s="15" t="n">
        <f aca="false">IF(J420=1,0,Inputs!$B$13)</f>
        <v>20</v>
      </c>
      <c r="P420" s="15" t="n">
        <f aca="false">SUM(M420:N420)</f>
        <v>85</v>
      </c>
      <c r="Q420" s="15" t="n">
        <f aca="false">IF(J420=1,"",L420-P420)</f>
        <v>15</v>
      </c>
      <c r="R420" s="15" t="n">
        <f aca="false">IF(OR(J420=1,M420&lt;=Inputs!$B$12),1,0)</f>
        <v>1</v>
      </c>
      <c r="S420" s="15" t="n">
        <f aca="false">IF(OR(J420=1,N420&lt;=O420),1,0)</f>
        <v>1</v>
      </c>
      <c r="T420" s="15" t="str">
        <f aca="false">IF(J420=1,"OFFLINE",IF(AND(Q420&gt;=Inputs!$B$15,R420=1,S420=1,P420&lt;=L420),"PASS","FAIL"))</f>
        <v>PASS</v>
      </c>
    </row>
    <row r="421" customFormat="false" ht="15" hidden="false" customHeight="false" outlineLevel="0" collapsed="false">
      <c r="A421" s="14" t="s">
        <v>1022</v>
      </c>
      <c r="B421" s="14" t="s">
        <v>1019</v>
      </c>
      <c r="C421" s="14" t="s">
        <v>163</v>
      </c>
      <c r="D421" s="14" t="s">
        <v>198</v>
      </c>
      <c r="E421" s="14" t="s">
        <v>166</v>
      </c>
      <c r="F421" s="14" t="s">
        <v>199</v>
      </c>
      <c r="G421" s="14" t="n">
        <v>1</v>
      </c>
      <c r="H421" s="14" t="s">
        <v>154</v>
      </c>
      <c r="I421" s="14" t="s">
        <v>890</v>
      </c>
      <c r="J421" s="15" t="n">
        <f aca="false">IF(B421="SITE LOSS",IF(D421=C421,1,0),IF(B421="REGION LOSS",IF(E421=C421,1,0),0))</f>
        <v>0</v>
      </c>
      <c r="K421" s="15" t="n">
        <f aca="false">IF(B421="SITE LOSS",IF(COUNTIFS('Site Dockets'!$B$7:$B$24,C421,'Site Dockets'!$C$7:$C$24,F421)&gt;0,1,0),IF(B421="REGION LOSS",IF(COUNTIFS('Site Dockets'!$E$7:$E$24,C421,'Site Dockets'!$C$7:$C$24,F421)&gt;0,1,0),0))</f>
        <v>0</v>
      </c>
      <c r="L421" s="15" t="n">
        <f aca="false">IF(J421=1,0,Inputs!$B$11)</f>
        <v>100</v>
      </c>
      <c r="M421" s="15" t="n">
        <f aca="false">IF(J421=1,0,Inputs!$B$12)</f>
        <v>75</v>
      </c>
      <c r="N421" s="15" t="n">
        <f aca="false">IF(J421=1,0,IF(OR(AND(OR(B421="SITE LOSS",B421="REGION LOSS"),K421=1),AND(B421="ROLE COMPROMISE",H421=C421)),Inputs!$B$13,Inputs!$B$14))</f>
        <v>10</v>
      </c>
      <c r="O421" s="15" t="n">
        <f aca="false">IF(J421=1,0,Inputs!$B$13)</f>
        <v>20</v>
      </c>
      <c r="P421" s="15" t="n">
        <f aca="false">SUM(M421:N421)</f>
        <v>85</v>
      </c>
      <c r="Q421" s="15" t="n">
        <f aca="false">IF(J421=1,"",L421-P421)</f>
        <v>15</v>
      </c>
      <c r="R421" s="15" t="n">
        <f aca="false">IF(OR(J421=1,M421&lt;=Inputs!$B$12),1,0)</f>
        <v>1</v>
      </c>
      <c r="S421" s="15" t="n">
        <f aca="false">IF(OR(J421=1,N421&lt;=O421),1,0)</f>
        <v>1</v>
      </c>
      <c r="T421" s="15" t="str">
        <f aca="false">IF(J421=1,"OFFLINE",IF(AND(Q421&gt;=Inputs!$B$15,R421=1,S421=1,P421&lt;=L421),"PASS","FAIL"))</f>
        <v>PASS</v>
      </c>
    </row>
    <row r="422" customFormat="false" ht="15" hidden="false" customHeight="false" outlineLevel="0" collapsed="false">
      <c r="A422" s="14" t="s">
        <v>1022</v>
      </c>
      <c r="B422" s="14" t="s">
        <v>1019</v>
      </c>
      <c r="C422" s="14" t="s">
        <v>163</v>
      </c>
      <c r="D422" s="14" t="s">
        <v>198</v>
      </c>
      <c r="E422" s="14" t="s">
        <v>166</v>
      </c>
      <c r="F422" s="14" t="s">
        <v>199</v>
      </c>
      <c r="G422" s="14" t="n">
        <v>1</v>
      </c>
      <c r="H422" s="14" t="s">
        <v>154</v>
      </c>
      <c r="I422" s="14" t="s">
        <v>892</v>
      </c>
      <c r="J422" s="15" t="n">
        <f aca="false">IF(B422="SITE LOSS",IF(D422=C422,1,0),IF(B422="REGION LOSS",IF(E422=C422,1,0),0))</f>
        <v>0</v>
      </c>
      <c r="K422" s="15" t="n">
        <f aca="false">IF(B422="SITE LOSS",IF(COUNTIFS('Site Dockets'!$B$7:$B$24,C422,'Site Dockets'!$C$7:$C$24,F422)&gt;0,1,0),IF(B422="REGION LOSS",IF(COUNTIFS('Site Dockets'!$E$7:$E$24,C422,'Site Dockets'!$C$7:$C$24,F422)&gt;0,1,0),0))</f>
        <v>0</v>
      </c>
      <c r="L422" s="15" t="n">
        <f aca="false">IF(J422=1,0,Inputs!$B$11)</f>
        <v>100</v>
      </c>
      <c r="M422" s="15" t="n">
        <f aca="false">IF(J422=1,0,Inputs!$B$12)</f>
        <v>75</v>
      </c>
      <c r="N422" s="15" t="n">
        <f aca="false">IF(J422=1,0,IF(OR(AND(OR(B422="SITE LOSS",B422="REGION LOSS"),K422=1),AND(B422="ROLE COMPROMISE",H422=C422)),Inputs!$B$13,Inputs!$B$14))</f>
        <v>10</v>
      </c>
      <c r="O422" s="15" t="n">
        <f aca="false">IF(J422=1,0,Inputs!$B$13)</f>
        <v>20</v>
      </c>
      <c r="P422" s="15" t="n">
        <f aca="false">SUM(M422:N422)</f>
        <v>85</v>
      </c>
      <c r="Q422" s="15" t="n">
        <f aca="false">IF(J422=1,"",L422-P422)</f>
        <v>15</v>
      </c>
      <c r="R422" s="15" t="n">
        <f aca="false">IF(OR(J422=1,M422&lt;=Inputs!$B$12),1,0)</f>
        <v>1</v>
      </c>
      <c r="S422" s="15" t="n">
        <f aca="false">IF(OR(J422=1,N422&lt;=O422),1,0)</f>
        <v>1</v>
      </c>
      <c r="T422" s="15" t="str">
        <f aca="false">IF(J422=1,"OFFLINE",IF(AND(Q422&gt;=Inputs!$B$15,R422=1,S422=1,P422&lt;=L422),"PASS","FAIL"))</f>
        <v>PASS</v>
      </c>
    </row>
    <row r="423" customFormat="false" ht="15" hidden="false" customHeight="false" outlineLevel="0" collapsed="false">
      <c r="A423" s="14" t="s">
        <v>1022</v>
      </c>
      <c r="B423" s="14" t="s">
        <v>1019</v>
      </c>
      <c r="C423" s="14" t="s">
        <v>163</v>
      </c>
      <c r="D423" s="14" t="s">
        <v>198</v>
      </c>
      <c r="E423" s="14" t="s">
        <v>166</v>
      </c>
      <c r="F423" s="14" t="s">
        <v>199</v>
      </c>
      <c r="G423" s="14" t="n">
        <v>1</v>
      </c>
      <c r="H423" s="14" t="s">
        <v>154</v>
      </c>
      <c r="I423" s="14" t="s">
        <v>811</v>
      </c>
      <c r="J423" s="15" t="n">
        <f aca="false">IF(B423="SITE LOSS",IF(D423=C423,1,0),IF(B423="REGION LOSS",IF(E423=C423,1,0),0))</f>
        <v>0</v>
      </c>
      <c r="K423" s="15" t="n">
        <f aca="false">IF(B423="SITE LOSS",IF(COUNTIFS('Site Dockets'!$B$7:$B$24,C423,'Site Dockets'!$C$7:$C$24,F423)&gt;0,1,0),IF(B423="REGION LOSS",IF(COUNTIFS('Site Dockets'!$E$7:$E$24,C423,'Site Dockets'!$C$7:$C$24,F423)&gt;0,1,0),0))</f>
        <v>0</v>
      </c>
      <c r="L423" s="15" t="n">
        <f aca="false">IF(J423=1,0,Inputs!$B$11)</f>
        <v>100</v>
      </c>
      <c r="M423" s="15" t="n">
        <f aca="false">IF(J423=1,0,Inputs!$B$12)</f>
        <v>75</v>
      </c>
      <c r="N423" s="15" t="n">
        <f aca="false">IF(J423=1,0,IF(OR(AND(OR(B423="SITE LOSS",B423="REGION LOSS"),K423=1),AND(B423="ROLE COMPROMISE",H423=C423)),Inputs!$B$13,Inputs!$B$14))</f>
        <v>10</v>
      </c>
      <c r="O423" s="15" t="n">
        <f aca="false">IF(J423=1,0,Inputs!$B$13)</f>
        <v>20</v>
      </c>
      <c r="P423" s="15" t="n">
        <f aca="false">SUM(M423:N423)</f>
        <v>85</v>
      </c>
      <c r="Q423" s="15" t="n">
        <f aca="false">IF(J423=1,"",L423-P423)</f>
        <v>15</v>
      </c>
      <c r="R423" s="15" t="n">
        <f aca="false">IF(OR(J423=1,M423&lt;=Inputs!$B$12),1,0)</f>
        <v>1</v>
      </c>
      <c r="S423" s="15" t="n">
        <f aca="false">IF(OR(J423=1,N423&lt;=O423),1,0)</f>
        <v>1</v>
      </c>
      <c r="T423" s="15" t="str">
        <f aca="false">IF(J423=1,"OFFLINE",IF(AND(Q423&gt;=Inputs!$B$15,R423=1,S423=1,P423&lt;=L423),"PASS","FAIL"))</f>
        <v>PASS</v>
      </c>
    </row>
    <row r="424" customFormat="false" ht="15" hidden="false" customHeight="false" outlineLevel="0" collapsed="false">
      <c r="A424" s="14" t="s">
        <v>1022</v>
      </c>
      <c r="B424" s="14" t="s">
        <v>1019</v>
      </c>
      <c r="C424" s="14" t="s">
        <v>163</v>
      </c>
      <c r="D424" s="14" t="s">
        <v>198</v>
      </c>
      <c r="E424" s="14" t="s">
        <v>166</v>
      </c>
      <c r="F424" s="14" t="s">
        <v>199</v>
      </c>
      <c r="G424" s="14" t="n">
        <v>1</v>
      </c>
      <c r="H424" s="14" t="s">
        <v>154</v>
      </c>
      <c r="I424" s="14" t="s">
        <v>895</v>
      </c>
      <c r="J424" s="15" t="n">
        <f aca="false">IF(B424="SITE LOSS",IF(D424=C424,1,0),IF(B424="REGION LOSS",IF(E424=C424,1,0),0))</f>
        <v>0</v>
      </c>
      <c r="K424" s="15" t="n">
        <f aca="false">IF(B424="SITE LOSS",IF(COUNTIFS('Site Dockets'!$B$7:$B$24,C424,'Site Dockets'!$C$7:$C$24,F424)&gt;0,1,0),IF(B424="REGION LOSS",IF(COUNTIFS('Site Dockets'!$E$7:$E$24,C424,'Site Dockets'!$C$7:$C$24,F424)&gt;0,1,0),0))</f>
        <v>0</v>
      </c>
      <c r="L424" s="15" t="n">
        <f aca="false">IF(J424=1,0,Inputs!$B$11)</f>
        <v>100</v>
      </c>
      <c r="M424" s="15" t="n">
        <f aca="false">IF(J424=1,0,Inputs!$B$12)</f>
        <v>75</v>
      </c>
      <c r="N424" s="15" t="n">
        <f aca="false">IF(J424=1,0,IF(OR(AND(OR(B424="SITE LOSS",B424="REGION LOSS"),K424=1),AND(B424="ROLE COMPROMISE",H424=C424)),Inputs!$B$13,Inputs!$B$14))</f>
        <v>10</v>
      </c>
      <c r="O424" s="15" t="n">
        <f aca="false">IF(J424=1,0,Inputs!$B$13)</f>
        <v>20</v>
      </c>
      <c r="P424" s="15" t="n">
        <f aca="false">SUM(M424:N424)</f>
        <v>85</v>
      </c>
      <c r="Q424" s="15" t="n">
        <f aca="false">IF(J424=1,"",L424-P424)</f>
        <v>15</v>
      </c>
      <c r="R424" s="15" t="n">
        <f aca="false">IF(OR(J424=1,M424&lt;=Inputs!$B$12),1,0)</f>
        <v>1</v>
      </c>
      <c r="S424" s="15" t="n">
        <f aca="false">IF(OR(J424=1,N424&lt;=O424),1,0)</f>
        <v>1</v>
      </c>
      <c r="T424" s="15" t="str">
        <f aca="false">IF(J424=1,"OFFLINE",IF(AND(Q424&gt;=Inputs!$B$15,R424=1,S424=1,P424&lt;=L424),"PASS","FAIL"))</f>
        <v>PASS</v>
      </c>
    </row>
    <row r="425" customFormat="false" ht="15" hidden="false" customHeight="false" outlineLevel="0" collapsed="false">
      <c r="A425" s="14" t="s">
        <v>1022</v>
      </c>
      <c r="B425" s="14" t="s">
        <v>1019</v>
      </c>
      <c r="C425" s="14" t="s">
        <v>163</v>
      </c>
      <c r="D425" s="14" t="s">
        <v>198</v>
      </c>
      <c r="E425" s="14" t="s">
        <v>166</v>
      </c>
      <c r="F425" s="14" t="s">
        <v>199</v>
      </c>
      <c r="G425" s="14" t="n">
        <v>1</v>
      </c>
      <c r="H425" s="14" t="s">
        <v>154</v>
      </c>
      <c r="I425" s="14" t="s">
        <v>897</v>
      </c>
      <c r="J425" s="15" t="n">
        <f aca="false">IF(B425="SITE LOSS",IF(D425=C425,1,0),IF(B425="REGION LOSS",IF(E425=C425,1,0),0))</f>
        <v>0</v>
      </c>
      <c r="K425" s="15" t="n">
        <f aca="false">IF(B425="SITE LOSS",IF(COUNTIFS('Site Dockets'!$B$7:$B$24,C425,'Site Dockets'!$C$7:$C$24,F425)&gt;0,1,0),IF(B425="REGION LOSS",IF(COUNTIFS('Site Dockets'!$E$7:$E$24,C425,'Site Dockets'!$C$7:$C$24,F425)&gt;0,1,0),0))</f>
        <v>0</v>
      </c>
      <c r="L425" s="15" t="n">
        <f aca="false">IF(J425=1,0,Inputs!$B$11)</f>
        <v>100</v>
      </c>
      <c r="M425" s="15" t="n">
        <f aca="false">IF(J425=1,0,Inputs!$B$12)</f>
        <v>75</v>
      </c>
      <c r="N425" s="15" t="n">
        <f aca="false">IF(J425=1,0,IF(OR(AND(OR(B425="SITE LOSS",B425="REGION LOSS"),K425=1),AND(B425="ROLE COMPROMISE",H425=C425)),Inputs!$B$13,Inputs!$B$14))</f>
        <v>10</v>
      </c>
      <c r="O425" s="15" t="n">
        <f aca="false">IF(J425=1,0,Inputs!$B$13)</f>
        <v>20</v>
      </c>
      <c r="P425" s="15" t="n">
        <f aca="false">SUM(M425:N425)</f>
        <v>85</v>
      </c>
      <c r="Q425" s="15" t="n">
        <f aca="false">IF(J425=1,"",L425-P425)</f>
        <v>15</v>
      </c>
      <c r="R425" s="15" t="n">
        <f aca="false">IF(OR(J425=1,M425&lt;=Inputs!$B$12),1,0)</f>
        <v>1</v>
      </c>
      <c r="S425" s="15" t="n">
        <f aca="false">IF(OR(J425=1,N425&lt;=O425),1,0)</f>
        <v>1</v>
      </c>
      <c r="T425" s="15" t="str">
        <f aca="false">IF(J425=1,"OFFLINE",IF(AND(Q425&gt;=Inputs!$B$15,R425=1,S425=1,P425&lt;=L425),"PASS","FAIL"))</f>
        <v>PASS</v>
      </c>
    </row>
    <row r="426" customFormat="false" ht="15" hidden="false" customHeight="false" outlineLevel="0" collapsed="false">
      <c r="A426" s="14" t="s">
        <v>1022</v>
      </c>
      <c r="B426" s="14" t="s">
        <v>1019</v>
      </c>
      <c r="C426" s="14" t="s">
        <v>163</v>
      </c>
      <c r="D426" s="14" t="s">
        <v>198</v>
      </c>
      <c r="E426" s="14" t="s">
        <v>166</v>
      </c>
      <c r="F426" s="14" t="s">
        <v>199</v>
      </c>
      <c r="G426" s="14" t="n">
        <v>1</v>
      </c>
      <c r="H426" s="14" t="s">
        <v>154</v>
      </c>
      <c r="I426" s="14" t="s">
        <v>899</v>
      </c>
      <c r="J426" s="15" t="n">
        <f aca="false">IF(B426="SITE LOSS",IF(D426=C426,1,0),IF(B426="REGION LOSS",IF(E426=C426,1,0),0))</f>
        <v>0</v>
      </c>
      <c r="K426" s="15" t="n">
        <f aca="false">IF(B426="SITE LOSS",IF(COUNTIFS('Site Dockets'!$B$7:$B$24,C426,'Site Dockets'!$C$7:$C$24,F426)&gt;0,1,0),IF(B426="REGION LOSS",IF(COUNTIFS('Site Dockets'!$E$7:$E$24,C426,'Site Dockets'!$C$7:$C$24,F426)&gt;0,1,0),0))</f>
        <v>0</v>
      </c>
      <c r="L426" s="15" t="n">
        <f aca="false">IF(J426=1,0,Inputs!$B$11)</f>
        <v>100</v>
      </c>
      <c r="M426" s="15" t="n">
        <f aca="false">IF(J426=1,0,Inputs!$B$12)</f>
        <v>75</v>
      </c>
      <c r="N426" s="15" t="n">
        <f aca="false">IF(J426=1,0,IF(OR(AND(OR(B426="SITE LOSS",B426="REGION LOSS"),K426=1),AND(B426="ROLE COMPROMISE",H426=C426)),Inputs!$B$13,Inputs!$B$14))</f>
        <v>10</v>
      </c>
      <c r="O426" s="15" t="n">
        <f aca="false">IF(J426=1,0,Inputs!$B$13)</f>
        <v>20</v>
      </c>
      <c r="P426" s="15" t="n">
        <f aca="false">SUM(M426:N426)</f>
        <v>85</v>
      </c>
      <c r="Q426" s="15" t="n">
        <f aca="false">IF(J426=1,"",L426-P426)</f>
        <v>15</v>
      </c>
      <c r="R426" s="15" t="n">
        <f aca="false">IF(OR(J426=1,M426&lt;=Inputs!$B$12),1,0)</f>
        <v>1</v>
      </c>
      <c r="S426" s="15" t="n">
        <f aca="false">IF(OR(J426=1,N426&lt;=O426),1,0)</f>
        <v>1</v>
      </c>
      <c r="T426" s="15" t="str">
        <f aca="false">IF(J426=1,"OFFLINE",IF(AND(Q426&gt;=Inputs!$B$15,R426=1,S426=1,P426&lt;=L426),"PASS","FAIL"))</f>
        <v>PASS</v>
      </c>
    </row>
    <row r="427" customFormat="false" ht="15" hidden="false" customHeight="false" outlineLevel="0" collapsed="false">
      <c r="A427" s="14" t="s">
        <v>1022</v>
      </c>
      <c r="B427" s="14" t="s">
        <v>1019</v>
      </c>
      <c r="C427" s="14" t="s">
        <v>163</v>
      </c>
      <c r="D427" s="14" t="s">
        <v>202</v>
      </c>
      <c r="E427" s="14" t="s">
        <v>157</v>
      </c>
      <c r="F427" s="14" t="s">
        <v>199</v>
      </c>
      <c r="G427" s="14" t="n">
        <v>2</v>
      </c>
      <c r="H427" s="14" t="s">
        <v>153</v>
      </c>
      <c r="I427" s="14" t="s">
        <v>890</v>
      </c>
      <c r="J427" s="15" t="n">
        <f aca="false">IF(B427="SITE LOSS",IF(D427=C427,1,0),IF(B427="REGION LOSS",IF(E427=C427,1,0),0))</f>
        <v>0</v>
      </c>
      <c r="K427" s="15" t="n">
        <f aca="false">IF(B427="SITE LOSS",IF(COUNTIFS('Site Dockets'!$B$7:$B$24,C427,'Site Dockets'!$C$7:$C$24,F427)&gt;0,1,0),IF(B427="REGION LOSS",IF(COUNTIFS('Site Dockets'!$E$7:$E$24,C427,'Site Dockets'!$C$7:$C$24,F427)&gt;0,1,0),0))</f>
        <v>0</v>
      </c>
      <c r="L427" s="15" t="n">
        <f aca="false">IF(J427=1,0,Inputs!$B$11)</f>
        <v>100</v>
      </c>
      <c r="M427" s="15" t="n">
        <f aca="false">IF(J427=1,0,Inputs!$B$12)</f>
        <v>75</v>
      </c>
      <c r="N427" s="15" t="n">
        <f aca="false">IF(J427=1,0,IF(OR(AND(OR(B427="SITE LOSS",B427="REGION LOSS"),K427=1),AND(B427="ROLE COMPROMISE",H427=C427)),Inputs!$B$13,Inputs!$B$14))</f>
        <v>10</v>
      </c>
      <c r="O427" s="15" t="n">
        <f aca="false">IF(J427=1,0,Inputs!$B$13)</f>
        <v>20</v>
      </c>
      <c r="P427" s="15" t="n">
        <f aca="false">SUM(M427:N427)</f>
        <v>85</v>
      </c>
      <c r="Q427" s="15" t="n">
        <f aca="false">IF(J427=1,"",L427-P427)</f>
        <v>15</v>
      </c>
      <c r="R427" s="15" t="n">
        <f aca="false">IF(OR(J427=1,M427&lt;=Inputs!$B$12),1,0)</f>
        <v>1</v>
      </c>
      <c r="S427" s="15" t="n">
        <f aca="false">IF(OR(J427=1,N427&lt;=O427),1,0)</f>
        <v>1</v>
      </c>
      <c r="T427" s="15" t="str">
        <f aca="false">IF(J427=1,"OFFLINE",IF(AND(Q427&gt;=Inputs!$B$15,R427=1,S427=1,P427&lt;=L427),"PASS","FAIL"))</f>
        <v>PASS</v>
      </c>
    </row>
    <row r="428" customFormat="false" ht="15" hidden="false" customHeight="false" outlineLevel="0" collapsed="false">
      <c r="A428" s="14" t="s">
        <v>1022</v>
      </c>
      <c r="B428" s="14" t="s">
        <v>1019</v>
      </c>
      <c r="C428" s="14" t="s">
        <v>163</v>
      </c>
      <c r="D428" s="14" t="s">
        <v>202</v>
      </c>
      <c r="E428" s="14" t="s">
        <v>157</v>
      </c>
      <c r="F428" s="14" t="s">
        <v>199</v>
      </c>
      <c r="G428" s="14" t="n">
        <v>2</v>
      </c>
      <c r="H428" s="14" t="s">
        <v>153</v>
      </c>
      <c r="I428" s="14" t="s">
        <v>892</v>
      </c>
      <c r="J428" s="15" t="n">
        <f aca="false">IF(B428="SITE LOSS",IF(D428=C428,1,0),IF(B428="REGION LOSS",IF(E428=C428,1,0),0))</f>
        <v>0</v>
      </c>
      <c r="K428" s="15" t="n">
        <f aca="false">IF(B428="SITE LOSS",IF(COUNTIFS('Site Dockets'!$B$7:$B$24,C428,'Site Dockets'!$C$7:$C$24,F428)&gt;0,1,0),IF(B428="REGION LOSS",IF(COUNTIFS('Site Dockets'!$E$7:$E$24,C428,'Site Dockets'!$C$7:$C$24,F428)&gt;0,1,0),0))</f>
        <v>0</v>
      </c>
      <c r="L428" s="15" t="n">
        <f aca="false">IF(J428=1,0,Inputs!$B$11)</f>
        <v>100</v>
      </c>
      <c r="M428" s="15" t="n">
        <f aca="false">IF(J428=1,0,Inputs!$B$12)</f>
        <v>75</v>
      </c>
      <c r="N428" s="15" t="n">
        <f aca="false">IF(J428=1,0,IF(OR(AND(OR(B428="SITE LOSS",B428="REGION LOSS"),K428=1),AND(B428="ROLE COMPROMISE",H428=C428)),Inputs!$B$13,Inputs!$B$14))</f>
        <v>10</v>
      </c>
      <c r="O428" s="15" t="n">
        <f aca="false">IF(J428=1,0,Inputs!$B$13)</f>
        <v>20</v>
      </c>
      <c r="P428" s="15" t="n">
        <f aca="false">SUM(M428:N428)</f>
        <v>85</v>
      </c>
      <c r="Q428" s="15" t="n">
        <f aca="false">IF(J428=1,"",L428-P428)</f>
        <v>15</v>
      </c>
      <c r="R428" s="15" t="n">
        <f aca="false">IF(OR(J428=1,M428&lt;=Inputs!$B$12),1,0)</f>
        <v>1</v>
      </c>
      <c r="S428" s="15" t="n">
        <f aca="false">IF(OR(J428=1,N428&lt;=O428),1,0)</f>
        <v>1</v>
      </c>
      <c r="T428" s="15" t="str">
        <f aca="false">IF(J428=1,"OFFLINE",IF(AND(Q428&gt;=Inputs!$B$15,R428=1,S428=1,P428&lt;=L428),"PASS","FAIL"))</f>
        <v>PASS</v>
      </c>
    </row>
    <row r="429" customFormat="false" ht="15" hidden="false" customHeight="false" outlineLevel="0" collapsed="false">
      <c r="A429" s="14" t="s">
        <v>1022</v>
      </c>
      <c r="B429" s="14" t="s">
        <v>1019</v>
      </c>
      <c r="C429" s="14" t="s">
        <v>163</v>
      </c>
      <c r="D429" s="14" t="s">
        <v>202</v>
      </c>
      <c r="E429" s="14" t="s">
        <v>157</v>
      </c>
      <c r="F429" s="14" t="s">
        <v>199</v>
      </c>
      <c r="G429" s="14" t="n">
        <v>2</v>
      </c>
      <c r="H429" s="14" t="s">
        <v>153</v>
      </c>
      <c r="I429" s="14" t="s">
        <v>811</v>
      </c>
      <c r="J429" s="15" t="n">
        <f aca="false">IF(B429="SITE LOSS",IF(D429=C429,1,0),IF(B429="REGION LOSS",IF(E429=C429,1,0),0))</f>
        <v>0</v>
      </c>
      <c r="K429" s="15" t="n">
        <f aca="false">IF(B429="SITE LOSS",IF(COUNTIFS('Site Dockets'!$B$7:$B$24,C429,'Site Dockets'!$C$7:$C$24,F429)&gt;0,1,0),IF(B429="REGION LOSS",IF(COUNTIFS('Site Dockets'!$E$7:$E$24,C429,'Site Dockets'!$C$7:$C$24,F429)&gt;0,1,0),0))</f>
        <v>0</v>
      </c>
      <c r="L429" s="15" t="n">
        <f aca="false">IF(J429=1,0,Inputs!$B$11)</f>
        <v>100</v>
      </c>
      <c r="M429" s="15" t="n">
        <f aca="false">IF(J429=1,0,Inputs!$B$12)</f>
        <v>75</v>
      </c>
      <c r="N429" s="15" t="n">
        <f aca="false">IF(J429=1,0,IF(OR(AND(OR(B429="SITE LOSS",B429="REGION LOSS"),K429=1),AND(B429="ROLE COMPROMISE",H429=C429)),Inputs!$B$13,Inputs!$B$14))</f>
        <v>10</v>
      </c>
      <c r="O429" s="15" t="n">
        <f aca="false">IF(J429=1,0,Inputs!$B$13)</f>
        <v>20</v>
      </c>
      <c r="P429" s="15" t="n">
        <f aca="false">SUM(M429:N429)</f>
        <v>85</v>
      </c>
      <c r="Q429" s="15" t="n">
        <f aca="false">IF(J429=1,"",L429-P429)</f>
        <v>15</v>
      </c>
      <c r="R429" s="15" t="n">
        <f aca="false">IF(OR(J429=1,M429&lt;=Inputs!$B$12),1,0)</f>
        <v>1</v>
      </c>
      <c r="S429" s="15" t="n">
        <f aca="false">IF(OR(J429=1,N429&lt;=O429),1,0)</f>
        <v>1</v>
      </c>
      <c r="T429" s="15" t="str">
        <f aca="false">IF(J429=1,"OFFLINE",IF(AND(Q429&gt;=Inputs!$B$15,R429=1,S429=1,P429&lt;=L429),"PASS","FAIL"))</f>
        <v>PASS</v>
      </c>
    </row>
    <row r="430" customFormat="false" ht="15" hidden="false" customHeight="false" outlineLevel="0" collapsed="false">
      <c r="A430" s="14" t="s">
        <v>1022</v>
      </c>
      <c r="B430" s="14" t="s">
        <v>1019</v>
      </c>
      <c r="C430" s="14" t="s">
        <v>163</v>
      </c>
      <c r="D430" s="14" t="s">
        <v>202</v>
      </c>
      <c r="E430" s="14" t="s">
        <v>157</v>
      </c>
      <c r="F430" s="14" t="s">
        <v>199</v>
      </c>
      <c r="G430" s="14" t="n">
        <v>2</v>
      </c>
      <c r="H430" s="14" t="s">
        <v>153</v>
      </c>
      <c r="I430" s="14" t="s">
        <v>895</v>
      </c>
      <c r="J430" s="15" t="n">
        <f aca="false">IF(B430="SITE LOSS",IF(D430=C430,1,0),IF(B430="REGION LOSS",IF(E430=C430,1,0),0))</f>
        <v>0</v>
      </c>
      <c r="K430" s="15" t="n">
        <f aca="false">IF(B430="SITE LOSS",IF(COUNTIFS('Site Dockets'!$B$7:$B$24,C430,'Site Dockets'!$C$7:$C$24,F430)&gt;0,1,0),IF(B430="REGION LOSS",IF(COUNTIFS('Site Dockets'!$E$7:$E$24,C430,'Site Dockets'!$C$7:$C$24,F430)&gt;0,1,0),0))</f>
        <v>0</v>
      </c>
      <c r="L430" s="15" t="n">
        <f aca="false">IF(J430=1,0,Inputs!$B$11)</f>
        <v>100</v>
      </c>
      <c r="M430" s="15" t="n">
        <f aca="false">IF(J430=1,0,Inputs!$B$12)</f>
        <v>75</v>
      </c>
      <c r="N430" s="15" t="n">
        <f aca="false">IF(J430=1,0,IF(OR(AND(OR(B430="SITE LOSS",B430="REGION LOSS"),K430=1),AND(B430="ROLE COMPROMISE",H430=C430)),Inputs!$B$13,Inputs!$B$14))</f>
        <v>10</v>
      </c>
      <c r="O430" s="15" t="n">
        <f aca="false">IF(J430=1,0,Inputs!$B$13)</f>
        <v>20</v>
      </c>
      <c r="P430" s="15" t="n">
        <f aca="false">SUM(M430:N430)</f>
        <v>85</v>
      </c>
      <c r="Q430" s="15" t="n">
        <f aca="false">IF(J430=1,"",L430-P430)</f>
        <v>15</v>
      </c>
      <c r="R430" s="15" t="n">
        <f aca="false">IF(OR(J430=1,M430&lt;=Inputs!$B$12),1,0)</f>
        <v>1</v>
      </c>
      <c r="S430" s="15" t="n">
        <f aca="false">IF(OR(J430=1,N430&lt;=O430),1,0)</f>
        <v>1</v>
      </c>
      <c r="T430" s="15" t="str">
        <f aca="false">IF(J430=1,"OFFLINE",IF(AND(Q430&gt;=Inputs!$B$15,R430=1,S430=1,P430&lt;=L430),"PASS","FAIL"))</f>
        <v>PASS</v>
      </c>
    </row>
    <row r="431" customFormat="false" ht="15" hidden="false" customHeight="false" outlineLevel="0" collapsed="false">
      <c r="A431" s="14" t="s">
        <v>1022</v>
      </c>
      <c r="B431" s="14" t="s">
        <v>1019</v>
      </c>
      <c r="C431" s="14" t="s">
        <v>163</v>
      </c>
      <c r="D431" s="14" t="s">
        <v>202</v>
      </c>
      <c r="E431" s="14" t="s">
        <v>157</v>
      </c>
      <c r="F431" s="14" t="s">
        <v>199</v>
      </c>
      <c r="G431" s="14" t="n">
        <v>2</v>
      </c>
      <c r="H431" s="14" t="s">
        <v>153</v>
      </c>
      <c r="I431" s="14" t="s">
        <v>897</v>
      </c>
      <c r="J431" s="15" t="n">
        <f aca="false">IF(B431="SITE LOSS",IF(D431=C431,1,0),IF(B431="REGION LOSS",IF(E431=C431,1,0),0))</f>
        <v>0</v>
      </c>
      <c r="K431" s="15" t="n">
        <f aca="false">IF(B431="SITE LOSS",IF(COUNTIFS('Site Dockets'!$B$7:$B$24,C431,'Site Dockets'!$C$7:$C$24,F431)&gt;0,1,0),IF(B431="REGION LOSS",IF(COUNTIFS('Site Dockets'!$E$7:$E$24,C431,'Site Dockets'!$C$7:$C$24,F431)&gt;0,1,0),0))</f>
        <v>0</v>
      </c>
      <c r="L431" s="15" t="n">
        <f aca="false">IF(J431=1,0,Inputs!$B$11)</f>
        <v>100</v>
      </c>
      <c r="M431" s="15" t="n">
        <f aca="false">IF(J431=1,0,Inputs!$B$12)</f>
        <v>75</v>
      </c>
      <c r="N431" s="15" t="n">
        <f aca="false">IF(J431=1,0,IF(OR(AND(OR(B431="SITE LOSS",B431="REGION LOSS"),K431=1),AND(B431="ROLE COMPROMISE",H431=C431)),Inputs!$B$13,Inputs!$B$14))</f>
        <v>10</v>
      </c>
      <c r="O431" s="15" t="n">
        <f aca="false">IF(J431=1,0,Inputs!$B$13)</f>
        <v>20</v>
      </c>
      <c r="P431" s="15" t="n">
        <f aca="false">SUM(M431:N431)</f>
        <v>85</v>
      </c>
      <c r="Q431" s="15" t="n">
        <f aca="false">IF(J431=1,"",L431-P431)</f>
        <v>15</v>
      </c>
      <c r="R431" s="15" t="n">
        <f aca="false">IF(OR(J431=1,M431&lt;=Inputs!$B$12),1,0)</f>
        <v>1</v>
      </c>
      <c r="S431" s="15" t="n">
        <f aca="false">IF(OR(J431=1,N431&lt;=O431),1,0)</f>
        <v>1</v>
      </c>
      <c r="T431" s="15" t="str">
        <f aca="false">IF(J431=1,"OFFLINE",IF(AND(Q431&gt;=Inputs!$B$15,R431=1,S431=1,P431&lt;=L431),"PASS","FAIL"))</f>
        <v>PASS</v>
      </c>
    </row>
    <row r="432" customFormat="false" ht="15" hidden="false" customHeight="false" outlineLevel="0" collapsed="false">
      <c r="A432" s="14" t="s">
        <v>1022</v>
      </c>
      <c r="B432" s="14" t="s">
        <v>1019</v>
      </c>
      <c r="C432" s="14" t="s">
        <v>163</v>
      </c>
      <c r="D432" s="14" t="s">
        <v>202</v>
      </c>
      <c r="E432" s="14" t="s">
        <v>157</v>
      </c>
      <c r="F432" s="14" t="s">
        <v>199</v>
      </c>
      <c r="G432" s="14" t="n">
        <v>2</v>
      </c>
      <c r="H432" s="14" t="s">
        <v>153</v>
      </c>
      <c r="I432" s="14" t="s">
        <v>899</v>
      </c>
      <c r="J432" s="15" t="n">
        <f aca="false">IF(B432="SITE LOSS",IF(D432=C432,1,0),IF(B432="REGION LOSS",IF(E432=C432,1,0),0))</f>
        <v>0</v>
      </c>
      <c r="K432" s="15" t="n">
        <f aca="false">IF(B432="SITE LOSS",IF(COUNTIFS('Site Dockets'!$B$7:$B$24,C432,'Site Dockets'!$C$7:$C$24,F432)&gt;0,1,0),IF(B432="REGION LOSS",IF(COUNTIFS('Site Dockets'!$E$7:$E$24,C432,'Site Dockets'!$C$7:$C$24,F432)&gt;0,1,0),0))</f>
        <v>0</v>
      </c>
      <c r="L432" s="15" t="n">
        <f aca="false">IF(J432=1,0,Inputs!$B$11)</f>
        <v>100</v>
      </c>
      <c r="M432" s="15" t="n">
        <f aca="false">IF(J432=1,0,Inputs!$B$12)</f>
        <v>75</v>
      </c>
      <c r="N432" s="15" t="n">
        <f aca="false">IF(J432=1,0,IF(OR(AND(OR(B432="SITE LOSS",B432="REGION LOSS"),K432=1),AND(B432="ROLE COMPROMISE",H432=C432)),Inputs!$B$13,Inputs!$B$14))</f>
        <v>10</v>
      </c>
      <c r="O432" s="15" t="n">
        <f aca="false">IF(J432=1,0,Inputs!$B$13)</f>
        <v>20</v>
      </c>
      <c r="P432" s="15" t="n">
        <f aca="false">SUM(M432:N432)</f>
        <v>85</v>
      </c>
      <c r="Q432" s="15" t="n">
        <f aca="false">IF(J432=1,"",L432-P432)</f>
        <v>15</v>
      </c>
      <c r="R432" s="15" t="n">
        <f aca="false">IF(OR(J432=1,M432&lt;=Inputs!$B$12),1,0)</f>
        <v>1</v>
      </c>
      <c r="S432" s="15" t="n">
        <f aca="false">IF(OR(J432=1,N432&lt;=O432),1,0)</f>
        <v>1</v>
      </c>
      <c r="T432" s="15" t="str">
        <f aca="false">IF(J432=1,"OFFLINE",IF(AND(Q432&gt;=Inputs!$B$15,R432=1,S432=1,P432&lt;=L432),"PASS","FAIL"))</f>
        <v>PASS</v>
      </c>
    </row>
    <row r="433" customFormat="false" ht="15" hidden="false" customHeight="false" outlineLevel="0" collapsed="false">
      <c r="A433" s="14" t="s">
        <v>1022</v>
      </c>
      <c r="B433" s="14" t="s">
        <v>1019</v>
      </c>
      <c r="C433" s="14" t="s">
        <v>163</v>
      </c>
      <c r="D433" s="14" t="s">
        <v>204</v>
      </c>
      <c r="E433" s="14" t="s">
        <v>161</v>
      </c>
      <c r="F433" s="14" t="s">
        <v>199</v>
      </c>
      <c r="G433" s="14" t="n">
        <v>3</v>
      </c>
      <c r="H433" s="14" t="s">
        <v>158</v>
      </c>
      <c r="I433" s="14" t="s">
        <v>890</v>
      </c>
      <c r="J433" s="15" t="n">
        <f aca="false">IF(B433="SITE LOSS",IF(D433=C433,1,0),IF(B433="REGION LOSS",IF(E433=C433,1,0),0))</f>
        <v>0</v>
      </c>
      <c r="K433" s="15" t="n">
        <f aca="false">IF(B433="SITE LOSS",IF(COUNTIFS('Site Dockets'!$B$7:$B$24,C433,'Site Dockets'!$C$7:$C$24,F433)&gt;0,1,0),IF(B433="REGION LOSS",IF(COUNTIFS('Site Dockets'!$E$7:$E$24,C433,'Site Dockets'!$C$7:$C$24,F433)&gt;0,1,0),0))</f>
        <v>0</v>
      </c>
      <c r="L433" s="15" t="n">
        <f aca="false">IF(J433=1,0,Inputs!$B$11)</f>
        <v>100</v>
      </c>
      <c r="M433" s="15" t="n">
        <f aca="false">IF(J433=1,0,Inputs!$B$12)</f>
        <v>75</v>
      </c>
      <c r="N433" s="15" t="n">
        <f aca="false">IF(J433=1,0,IF(OR(AND(OR(B433="SITE LOSS",B433="REGION LOSS"),K433=1),AND(B433="ROLE COMPROMISE",H433=C433)),Inputs!$B$13,Inputs!$B$14))</f>
        <v>10</v>
      </c>
      <c r="O433" s="15" t="n">
        <f aca="false">IF(J433=1,0,Inputs!$B$13)</f>
        <v>20</v>
      </c>
      <c r="P433" s="15" t="n">
        <f aca="false">SUM(M433:N433)</f>
        <v>85</v>
      </c>
      <c r="Q433" s="15" t="n">
        <f aca="false">IF(J433=1,"",L433-P433)</f>
        <v>15</v>
      </c>
      <c r="R433" s="15" t="n">
        <f aca="false">IF(OR(J433=1,M433&lt;=Inputs!$B$12),1,0)</f>
        <v>1</v>
      </c>
      <c r="S433" s="15" t="n">
        <f aca="false">IF(OR(J433=1,N433&lt;=O433),1,0)</f>
        <v>1</v>
      </c>
      <c r="T433" s="15" t="str">
        <f aca="false">IF(J433=1,"OFFLINE",IF(AND(Q433&gt;=Inputs!$B$15,R433=1,S433=1,P433&lt;=L433),"PASS","FAIL"))</f>
        <v>PASS</v>
      </c>
    </row>
    <row r="434" customFormat="false" ht="15" hidden="false" customHeight="false" outlineLevel="0" collapsed="false">
      <c r="A434" s="14" t="s">
        <v>1022</v>
      </c>
      <c r="B434" s="14" t="s">
        <v>1019</v>
      </c>
      <c r="C434" s="14" t="s">
        <v>163</v>
      </c>
      <c r="D434" s="14" t="s">
        <v>204</v>
      </c>
      <c r="E434" s="14" t="s">
        <v>161</v>
      </c>
      <c r="F434" s="14" t="s">
        <v>199</v>
      </c>
      <c r="G434" s="14" t="n">
        <v>3</v>
      </c>
      <c r="H434" s="14" t="s">
        <v>158</v>
      </c>
      <c r="I434" s="14" t="s">
        <v>892</v>
      </c>
      <c r="J434" s="15" t="n">
        <f aca="false">IF(B434="SITE LOSS",IF(D434=C434,1,0),IF(B434="REGION LOSS",IF(E434=C434,1,0),0))</f>
        <v>0</v>
      </c>
      <c r="K434" s="15" t="n">
        <f aca="false">IF(B434="SITE LOSS",IF(COUNTIFS('Site Dockets'!$B$7:$B$24,C434,'Site Dockets'!$C$7:$C$24,F434)&gt;0,1,0),IF(B434="REGION LOSS",IF(COUNTIFS('Site Dockets'!$E$7:$E$24,C434,'Site Dockets'!$C$7:$C$24,F434)&gt;0,1,0),0))</f>
        <v>0</v>
      </c>
      <c r="L434" s="15" t="n">
        <f aca="false">IF(J434=1,0,Inputs!$B$11)</f>
        <v>100</v>
      </c>
      <c r="M434" s="15" t="n">
        <f aca="false">IF(J434=1,0,Inputs!$B$12)</f>
        <v>75</v>
      </c>
      <c r="N434" s="15" t="n">
        <f aca="false">IF(J434=1,0,IF(OR(AND(OR(B434="SITE LOSS",B434="REGION LOSS"),K434=1),AND(B434="ROLE COMPROMISE",H434=C434)),Inputs!$B$13,Inputs!$B$14))</f>
        <v>10</v>
      </c>
      <c r="O434" s="15" t="n">
        <f aca="false">IF(J434=1,0,Inputs!$B$13)</f>
        <v>20</v>
      </c>
      <c r="P434" s="15" t="n">
        <f aca="false">SUM(M434:N434)</f>
        <v>85</v>
      </c>
      <c r="Q434" s="15" t="n">
        <f aca="false">IF(J434=1,"",L434-P434)</f>
        <v>15</v>
      </c>
      <c r="R434" s="15" t="n">
        <f aca="false">IF(OR(J434=1,M434&lt;=Inputs!$B$12),1,0)</f>
        <v>1</v>
      </c>
      <c r="S434" s="15" t="n">
        <f aca="false">IF(OR(J434=1,N434&lt;=O434),1,0)</f>
        <v>1</v>
      </c>
      <c r="T434" s="15" t="str">
        <f aca="false">IF(J434=1,"OFFLINE",IF(AND(Q434&gt;=Inputs!$B$15,R434=1,S434=1,P434&lt;=L434),"PASS","FAIL"))</f>
        <v>PASS</v>
      </c>
    </row>
    <row r="435" customFormat="false" ht="15" hidden="false" customHeight="false" outlineLevel="0" collapsed="false">
      <c r="A435" s="14" t="s">
        <v>1022</v>
      </c>
      <c r="B435" s="14" t="s">
        <v>1019</v>
      </c>
      <c r="C435" s="14" t="s">
        <v>163</v>
      </c>
      <c r="D435" s="14" t="s">
        <v>204</v>
      </c>
      <c r="E435" s="14" t="s">
        <v>161</v>
      </c>
      <c r="F435" s="14" t="s">
        <v>199</v>
      </c>
      <c r="G435" s="14" t="n">
        <v>3</v>
      </c>
      <c r="H435" s="14" t="s">
        <v>158</v>
      </c>
      <c r="I435" s="14" t="s">
        <v>811</v>
      </c>
      <c r="J435" s="15" t="n">
        <f aca="false">IF(B435="SITE LOSS",IF(D435=C435,1,0),IF(B435="REGION LOSS",IF(E435=C435,1,0),0))</f>
        <v>0</v>
      </c>
      <c r="K435" s="15" t="n">
        <f aca="false">IF(B435="SITE LOSS",IF(COUNTIFS('Site Dockets'!$B$7:$B$24,C435,'Site Dockets'!$C$7:$C$24,F435)&gt;0,1,0),IF(B435="REGION LOSS",IF(COUNTIFS('Site Dockets'!$E$7:$E$24,C435,'Site Dockets'!$C$7:$C$24,F435)&gt;0,1,0),0))</f>
        <v>0</v>
      </c>
      <c r="L435" s="15" t="n">
        <f aca="false">IF(J435=1,0,Inputs!$B$11)</f>
        <v>100</v>
      </c>
      <c r="M435" s="15" t="n">
        <f aca="false">IF(J435=1,0,Inputs!$B$12)</f>
        <v>75</v>
      </c>
      <c r="N435" s="15" t="n">
        <f aca="false">IF(J435=1,0,IF(OR(AND(OR(B435="SITE LOSS",B435="REGION LOSS"),K435=1),AND(B435="ROLE COMPROMISE",H435=C435)),Inputs!$B$13,Inputs!$B$14))</f>
        <v>10</v>
      </c>
      <c r="O435" s="15" t="n">
        <f aca="false">IF(J435=1,0,Inputs!$B$13)</f>
        <v>20</v>
      </c>
      <c r="P435" s="15" t="n">
        <f aca="false">SUM(M435:N435)</f>
        <v>85</v>
      </c>
      <c r="Q435" s="15" t="n">
        <f aca="false">IF(J435=1,"",L435-P435)</f>
        <v>15</v>
      </c>
      <c r="R435" s="15" t="n">
        <f aca="false">IF(OR(J435=1,M435&lt;=Inputs!$B$12),1,0)</f>
        <v>1</v>
      </c>
      <c r="S435" s="15" t="n">
        <f aca="false">IF(OR(J435=1,N435&lt;=O435),1,0)</f>
        <v>1</v>
      </c>
      <c r="T435" s="15" t="str">
        <f aca="false">IF(J435=1,"OFFLINE",IF(AND(Q435&gt;=Inputs!$B$15,R435=1,S435=1,P435&lt;=L435),"PASS","FAIL"))</f>
        <v>PASS</v>
      </c>
    </row>
    <row r="436" customFormat="false" ht="15" hidden="false" customHeight="false" outlineLevel="0" collapsed="false">
      <c r="A436" s="14" t="s">
        <v>1022</v>
      </c>
      <c r="B436" s="14" t="s">
        <v>1019</v>
      </c>
      <c r="C436" s="14" t="s">
        <v>163</v>
      </c>
      <c r="D436" s="14" t="s">
        <v>204</v>
      </c>
      <c r="E436" s="14" t="s">
        <v>161</v>
      </c>
      <c r="F436" s="14" t="s">
        <v>199</v>
      </c>
      <c r="G436" s="14" t="n">
        <v>3</v>
      </c>
      <c r="H436" s="14" t="s">
        <v>158</v>
      </c>
      <c r="I436" s="14" t="s">
        <v>895</v>
      </c>
      <c r="J436" s="15" t="n">
        <f aca="false">IF(B436="SITE LOSS",IF(D436=C436,1,0),IF(B436="REGION LOSS",IF(E436=C436,1,0),0))</f>
        <v>0</v>
      </c>
      <c r="K436" s="15" t="n">
        <f aca="false">IF(B436="SITE LOSS",IF(COUNTIFS('Site Dockets'!$B$7:$B$24,C436,'Site Dockets'!$C$7:$C$24,F436)&gt;0,1,0),IF(B436="REGION LOSS",IF(COUNTIFS('Site Dockets'!$E$7:$E$24,C436,'Site Dockets'!$C$7:$C$24,F436)&gt;0,1,0),0))</f>
        <v>0</v>
      </c>
      <c r="L436" s="15" t="n">
        <f aca="false">IF(J436=1,0,Inputs!$B$11)</f>
        <v>100</v>
      </c>
      <c r="M436" s="15" t="n">
        <f aca="false">IF(J436=1,0,Inputs!$B$12)</f>
        <v>75</v>
      </c>
      <c r="N436" s="15" t="n">
        <f aca="false">IF(J436=1,0,IF(OR(AND(OR(B436="SITE LOSS",B436="REGION LOSS"),K436=1),AND(B436="ROLE COMPROMISE",H436=C436)),Inputs!$B$13,Inputs!$B$14))</f>
        <v>10</v>
      </c>
      <c r="O436" s="15" t="n">
        <f aca="false">IF(J436=1,0,Inputs!$B$13)</f>
        <v>20</v>
      </c>
      <c r="P436" s="15" t="n">
        <f aca="false">SUM(M436:N436)</f>
        <v>85</v>
      </c>
      <c r="Q436" s="15" t="n">
        <f aca="false">IF(J436=1,"",L436-P436)</f>
        <v>15</v>
      </c>
      <c r="R436" s="15" t="n">
        <f aca="false">IF(OR(J436=1,M436&lt;=Inputs!$B$12),1,0)</f>
        <v>1</v>
      </c>
      <c r="S436" s="15" t="n">
        <f aca="false">IF(OR(J436=1,N436&lt;=O436),1,0)</f>
        <v>1</v>
      </c>
      <c r="T436" s="15" t="str">
        <f aca="false">IF(J436=1,"OFFLINE",IF(AND(Q436&gt;=Inputs!$B$15,R436=1,S436=1,P436&lt;=L436),"PASS","FAIL"))</f>
        <v>PASS</v>
      </c>
    </row>
    <row r="437" customFormat="false" ht="15" hidden="false" customHeight="false" outlineLevel="0" collapsed="false">
      <c r="A437" s="14" t="s">
        <v>1022</v>
      </c>
      <c r="B437" s="14" t="s">
        <v>1019</v>
      </c>
      <c r="C437" s="14" t="s">
        <v>163</v>
      </c>
      <c r="D437" s="14" t="s">
        <v>204</v>
      </c>
      <c r="E437" s="14" t="s">
        <v>161</v>
      </c>
      <c r="F437" s="14" t="s">
        <v>199</v>
      </c>
      <c r="G437" s="14" t="n">
        <v>3</v>
      </c>
      <c r="H437" s="14" t="s">
        <v>158</v>
      </c>
      <c r="I437" s="14" t="s">
        <v>897</v>
      </c>
      <c r="J437" s="15" t="n">
        <f aca="false">IF(B437="SITE LOSS",IF(D437=C437,1,0),IF(B437="REGION LOSS",IF(E437=C437,1,0),0))</f>
        <v>0</v>
      </c>
      <c r="K437" s="15" t="n">
        <f aca="false">IF(B437="SITE LOSS",IF(COUNTIFS('Site Dockets'!$B$7:$B$24,C437,'Site Dockets'!$C$7:$C$24,F437)&gt;0,1,0),IF(B437="REGION LOSS",IF(COUNTIFS('Site Dockets'!$E$7:$E$24,C437,'Site Dockets'!$C$7:$C$24,F437)&gt;0,1,0),0))</f>
        <v>0</v>
      </c>
      <c r="L437" s="15" t="n">
        <f aca="false">IF(J437=1,0,Inputs!$B$11)</f>
        <v>100</v>
      </c>
      <c r="M437" s="15" t="n">
        <f aca="false">IF(J437=1,0,Inputs!$B$12)</f>
        <v>75</v>
      </c>
      <c r="N437" s="15" t="n">
        <f aca="false">IF(J437=1,0,IF(OR(AND(OR(B437="SITE LOSS",B437="REGION LOSS"),K437=1),AND(B437="ROLE COMPROMISE",H437=C437)),Inputs!$B$13,Inputs!$B$14))</f>
        <v>10</v>
      </c>
      <c r="O437" s="15" t="n">
        <f aca="false">IF(J437=1,0,Inputs!$B$13)</f>
        <v>20</v>
      </c>
      <c r="P437" s="15" t="n">
        <f aca="false">SUM(M437:N437)</f>
        <v>85</v>
      </c>
      <c r="Q437" s="15" t="n">
        <f aca="false">IF(J437=1,"",L437-P437)</f>
        <v>15</v>
      </c>
      <c r="R437" s="15" t="n">
        <f aca="false">IF(OR(J437=1,M437&lt;=Inputs!$B$12),1,0)</f>
        <v>1</v>
      </c>
      <c r="S437" s="15" t="n">
        <f aca="false">IF(OR(J437=1,N437&lt;=O437),1,0)</f>
        <v>1</v>
      </c>
      <c r="T437" s="15" t="str">
        <f aca="false">IF(J437=1,"OFFLINE",IF(AND(Q437&gt;=Inputs!$B$15,R437=1,S437=1,P437&lt;=L437),"PASS","FAIL"))</f>
        <v>PASS</v>
      </c>
    </row>
    <row r="438" customFormat="false" ht="15" hidden="false" customHeight="false" outlineLevel="0" collapsed="false">
      <c r="A438" s="14" t="s">
        <v>1022</v>
      </c>
      <c r="B438" s="14" t="s">
        <v>1019</v>
      </c>
      <c r="C438" s="14" t="s">
        <v>163</v>
      </c>
      <c r="D438" s="14" t="s">
        <v>204</v>
      </c>
      <c r="E438" s="14" t="s">
        <v>161</v>
      </c>
      <c r="F438" s="14" t="s">
        <v>199</v>
      </c>
      <c r="G438" s="14" t="n">
        <v>3</v>
      </c>
      <c r="H438" s="14" t="s">
        <v>158</v>
      </c>
      <c r="I438" s="14" t="s">
        <v>899</v>
      </c>
      <c r="J438" s="15" t="n">
        <f aca="false">IF(B438="SITE LOSS",IF(D438=C438,1,0),IF(B438="REGION LOSS",IF(E438=C438,1,0),0))</f>
        <v>0</v>
      </c>
      <c r="K438" s="15" t="n">
        <f aca="false">IF(B438="SITE LOSS",IF(COUNTIFS('Site Dockets'!$B$7:$B$24,C438,'Site Dockets'!$C$7:$C$24,F438)&gt;0,1,0),IF(B438="REGION LOSS",IF(COUNTIFS('Site Dockets'!$E$7:$E$24,C438,'Site Dockets'!$C$7:$C$24,F438)&gt;0,1,0),0))</f>
        <v>0</v>
      </c>
      <c r="L438" s="15" t="n">
        <f aca="false">IF(J438=1,0,Inputs!$B$11)</f>
        <v>100</v>
      </c>
      <c r="M438" s="15" t="n">
        <f aca="false">IF(J438=1,0,Inputs!$B$12)</f>
        <v>75</v>
      </c>
      <c r="N438" s="15" t="n">
        <f aca="false">IF(J438=1,0,IF(OR(AND(OR(B438="SITE LOSS",B438="REGION LOSS"),K438=1),AND(B438="ROLE COMPROMISE",H438=C438)),Inputs!$B$13,Inputs!$B$14))</f>
        <v>10</v>
      </c>
      <c r="O438" s="15" t="n">
        <f aca="false">IF(J438=1,0,Inputs!$B$13)</f>
        <v>20</v>
      </c>
      <c r="P438" s="15" t="n">
        <f aca="false">SUM(M438:N438)</f>
        <v>85</v>
      </c>
      <c r="Q438" s="15" t="n">
        <f aca="false">IF(J438=1,"",L438-P438)</f>
        <v>15</v>
      </c>
      <c r="R438" s="15" t="n">
        <f aca="false">IF(OR(J438=1,M438&lt;=Inputs!$B$12),1,0)</f>
        <v>1</v>
      </c>
      <c r="S438" s="15" t="n">
        <f aca="false">IF(OR(J438=1,N438&lt;=O438),1,0)</f>
        <v>1</v>
      </c>
      <c r="T438" s="15" t="str">
        <f aca="false">IF(J438=1,"OFFLINE",IF(AND(Q438&gt;=Inputs!$B$15,R438=1,S438=1,P438&lt;=L438),"PASS","FAIL"))</f>
        <v>PASS</v>
      </c>
    </row>
    <row r="439" customFormat="false" ht="15" hidden="false" customHeight="false" outlineLevel="0" collapsed="false">
      <c r="A439" s="14" t="s">
        <v>1023</v>
      </c>
      <c r="B439" s="14" t="s">
        <v>1019</v>
      </c>
      <c r="C439" s="14" t="s">
        <v>168</v>
      </c>
      <c r="D439" s="14" t="s">
        <v>149</v>
      </c>
      <c r="E439" s="14" t="s">
        <v>152</v>
      </c>
      <c r="F439" s="14" t="s">
        <v>150</v>
      </c>
      <c r="G439" s="14" t="n">
        <v>1</v>
      </c>
      <c r="H439" s="14" t="s">
        <v>154</v>
      </c>
      <c r="I439" s="14" t="s">
        <v>890</v>
      </c>
      <c r="J439" s="15" t="n">
        <f aca="false">IF(B439="SITE LOSS",IF(D439=C439,1,0),IF(B439="REGION LOSS",IF(E439=C439,1,0),0))</f>
        <v>0</v>
      </c>
      <c r="K439" s="15" t="n">
        <f aca="false">IF(B439="SITE LOSS",IF(COUNTIFS('Site Dockets'!$B$7:$B$24,C439,'Site Dockets'!$C$7:$C$24,F439)&gt;0,1,0),IF(B439="REGION LOSS",IF(COUNTIFS('Site Dockets'!$E$7:$E$24,C439,'Site Dockets'!$C$7:$C$24,F439)&gt;0,1,0),0))</f>
        <v>0</v>
      </c>
      <c r="L439" s="15" t="n">
        <f aca="false">IF(J439=1,0,Inputs!$B$11)</f>
        <v>100</v>
      </c>
      <c r="M439" s="15" t="n">
        <f aca="false">IF(J439=1,0,Inputs!$B$12)</f>
        <v>75</v>
      </c>
      <c r="N439" s="15" t="n">
        <f aca="false">IF(J439=1,0,IF(OR(AND(OR(B439="SITE LOSS",B439="REGION LOSS"),K439=1),AND(B439="ROLE COMPROMISE",H439=C439)),Inputs!$B$13,Inputs!$B$14))</f>
        <v>10</v>
      </c>
      <c r="O439" s="15" t="n">
        <f aca="false">IF(J439=1,0,Inputs!$B$13)</f>
        <v>20</v>
      </c>
      <c r="P439" s="15" t="n">
        <f aca="false">SUM(M439:N439)</f>
        <v>85</v>
      </c>
      <c r="Q439" s="15" t="n">
        <f aca="false">IF(J439=1,"",L439-P439)</f>
        <v>15</v>
      </c>
      <c r="R439" s="15" t="n">
        <f aca="false">IF(OR(J439=1,M439&lt;=Inputs!$B$12),1,0)</f>
        <v>1</v>
      </c>
      <c r="S439" s="15" t="n">
        <f aca="false">IF(OR(J439=1,N439&lt;=O439),1,0)</f>
        <v>1</v>
      </c>
      <c r="T439" s="15" t="str">
        <f aca="false">IF(J439=1,"OFFLINE",IF(AND(Q439&gt;=Inputs!$B$15,R439=1,S439=1,P439&lt;=L439),"PASS","FAIL"))</f>
        <v>PASS</v>
      </c>
    </row>
    <row r="440" customFormat="false" ht="15" hidden="false" customHeight="false" outlineLevel="0" collapsed="false">
      <c r="A440" s="14" t="s">
        <v>1023</v>
      </c>
      <c r="B440" s="14" t="s">
        <v>1019</v>
      </c>
      <c r="C440" s="14" t="s">
        <v>168</v>
      </c>
      <c r="D440" s="14" t="s">
        <v>149</v>
      </c>
      <c r="E440" s="14" t="s">
        <v>152</v>
      </c>
      <c r="F440" s="14" t="s">
        <v>150</v>
      </c>
      <c r="G440" s="14" t="n">
        <v>1</v>
      </c>
      <c r="H440" s="14" t="s">
        <v>154</v>
      </c>
      <c r="I440" s="14" t="s">
        <v>892</v>
      </c>
      <c r="J440" s="15" t="n">
        <f aca="false">IF(B440="SITE LOSS",IF(D440=C440,1,0),IF(B440="REGION LOSS",IF(E440=C440,1,0),0))</f>
        <v>0</v>
      </c>
      <c r="K440" s="15" t="n">
        <f aca="false">IF(B440="SITE LOSS",IF(COUNTIFS('Site Dockets'!$B$7:$B$24,C440,'Site Dockets'!$C$7:$C$24,F440)&gt;0,1,0),IF(B440="REGION LOSS",IF(COUNTIFS('Site Dockets'!$E$7:$E$24,C440,'Site Dockets'!$C$7:$C$24,F440)&gt;0,1,0),0))</f>
        <v>0</v>
      </c>
      <c r="L440" s="15" t="n">
        <f aca="false">IF(J440=1,0,Inputs!$B$11)</f>
        <v>100</v>
      </c>
      <c r="M440" s="15" t="n">
        <f aca="false">IF(J440=1,0,Inputs!$B$12)</f>
        <v>75</v>
      </c>
      <c r="N440" s="15" t="n">
        <f aca="false">IF(J440=1,0,IF(OR(AND(OR(B440="SITE LOSS",B440="REGION LOSS"),K440=1),AND(B440="ROLE COMPROMISE",H440=C440)),Inputs!$B$13,Inputs!$B$14))</f>
        <v>10</v>
      </c>
      <c r="O440" s="15" t="n">
        <f aca="false">IF(J440=1,0,Inputs!$B$13)</f>
        <v>20</v>
      </c>
      <c r="P440" s="15" t="n">
        <f aca="false">SUM(M440:N440)</f>
        <v>85</v>
      </c>
      <c r="Q440" s="15" t="n">
        <f aca="false">IF(J440=1,"",L440-P440)</f>
        <v>15</v>
      </c>
      <c r="R440" s="15" t="n">
        <f aca="false">IF(OR(J440=1,M440&lt;=Inputs!$B$12),1,0)</f>
        <v>1</v>
      </c>
      <c r="S440" s="15" t="n">
        <f aca="false">IF(OR(J440=1,N440&lt;=O440),1,0)</f>
        <v>1</v>
      </c>
      <c r="T440" s="15" t="str">
        <f aca="false">IF(J440=1,"OFFLINE",IF(AND(Q440&gt;=Inputs!$B$15,R440=1,S440=1,P440&lt;=L440),"PASS","FAIL"))</f>
        <v>PASS</v>
      </c>
    </row>
    <row r="441" customFormat="false" ht="15" hidden="false" customHeight="false" outlineLevel="0" collapsed="false">
      <c r="A441" s="14" t="s">
        <v>1023</v>
      </c>
      <c r="B441" s="14" t="s">
        <v>1019</v>
      </c>
      <c r="C441" s="14" t="s">
        <v>168</v>
      </c>
      <c r="D441" s="14" t="s">
        <v>149</v>
      </c>
      <c r="E441" s="14" t="s">
        <v>152</v>
      </c>
      <c r="F441" s="14" t="s">
        <v>150</v>
      </c>
      <c r="G441" s="14" t="n">
        <v>1</v>
      </c>
      <c r="H441" s="14" t="s">
        <v>154</v>
      </c>
      <c r="I441" s="14" t="s">
        <v>811</v>
      </c>
      <c r="J441" s="15" t="n">
        <f aca="false">IF(B441="SITE LOSS",IF(D441=C441,1,0),IF(B441="REGION LOSS",IF(E441=C441,1,0),0))</f>
        <v>0</v>
      </c>
      <c r="K441" s="15" t="n">
        <f aca="false">IF(B441="SITE LOSS",IF(COUNTIFS('Site Dockets'!$B$7:$B$24,C441,'Site Dockets'!$C$7:$C$24,F441)&gt;0,1,0),IF(B441="REGION LOSS",IF(COUNTIFS('Site Dockets'!$E$7:$E$24,C441,'Site Dockets'!$C$7:$C$24,F441)&gt;0,1,0),0))</f>
        <v>0</v>
      </c>
      <c r="L441" s="15" t="n">
        <f aca="false">IF(J441=1,0,Inputs!$B$11)</f>
        <v>100</v>
      </c>
      <c r="M441" s="15" t="n">
        <f aca="false">IF(J441=1,0,Inputs!$B$12)</f>
        <v>75</v>
      </c>
      <c r="N441" s="15" t="n">
        <f aca="false">IF(J441=1,0,IF(OR(AND(OR(B441="SITE LOSS",B441="REGION LOSS"),K441=1),AND(B441="ROLE COMPROMISE",H441=C441)),Inputs!$B$13,Inputs!$B$14))</f>
        <v>10</v>
      </c>
      <c r="O441" s="15" t="n">
        <f aca="false">IF(J441=1,0,Inputs!$B$13)</f>
        <v>20</v>
      </c>
      <c r="P441" s="15" t="n">
        <f aca="false">SUM(M441:N441)</f>
        <v>85</v>
      </c>
      <c r="Q441" s="15" t="n">
        <f aca="false">IF(J441=1,"",L441-P441)</f>
        <v>15</v>
      </c>
      <c r="R441" s="15" t="n">
        <f aca="false">IF(OR(J441=1,M441&lt;=Inputs!$B$12),1,0)</f>
        <v>1</v>
      </c>
      <c r="S441" s="15" t="n">
        <f aca="false">IF(OR(J441=1,N441&lt;=O441),1,0)</f>
        <v>1</v>
      </c>
      <c r="T441" s="15" t="str">
        <f aca="false">IF(J441=1,"OFFLINE",IF(AND(Q441&gt;=Inputs!$B$15,R441=1,S441=1,P441&lt;=L441),"PASS","FAIL"))</f>
        <v>PASS</v>
      </c>
    </row>
    <row r="442" customFormat="false" ht="15" hidden="false" customHeight="false" outlineLevel="0" collapsed="false">
      <c r="A442" s="14" t="s">
        <v>1023</v>
      </c>
      <c r="B442" s="14" t="s">
        <v>1019</v>
      </c>
      <c r="C442" s="14" t="s">
        <v>168</v>
      </c>
      <c r="D442" s="14" t="s">
        <v>149</v>
      </c>
      <c r="E442" s="14" t="s">
        <v>152</v>
      </c>
      <c r="F442" s="14" t="s">
        <v>150</v>
      </c>
      <c r="G442" s="14" t="n">
        <v>1</v>
      </c>
      <c r="H442" s="14" t="s">
        <v>154</v>
      </c>
      <c r="I442" s="14" t="s">
        <v>895</v>
      </c>
      <c r="J442" s="15" t="n">
        <f aca="false">IF(B442="SITE LOSS",IF(D442=C442,1,0),IF(B442="REGION LOSS",IF(E442=C442,1,0),0))</f>
        <v>0</v>
      </c>
      <c r="K442" s="15" t="n">
        <f aca="false">IF(B442="SITE LOSS",IF(COUNTIFS('Site Dockets'!$B$7:$B$24,C442,'Site Dockets'!$C$7:$C$24,F442)&gt;0,1,0),IF(B442="REGION LOSS",IF(COUNTIFS('Site Dockets'!$E$7:$E$24,C442,'Site Dockets'!$C$7:$C$24,F442)&gt;0,1,0),0))</f>
        <v>0</v>
      </c>
      <c r="L442" s="15" t="n">
        <f aca="false">IF(J442=1,0,Inputs!$B$11)</f>
        <v>100</v>
      </c>
      <c r="M442" s="15" t="n">
        <f aca="false">IF(J442=1,0,Inputs!$B$12)</f>
        <v>75</v>
      </c>
      <c r="N442" s="15" t="n">
        <f aca="false">IF(J442=1,0,IF(OR(AND(OR(B442="SITE LOSS",B442="REGION LOSS"),K442=1),AND(B442="ROLE COMPROMISE",H442=C442)),Inputs!$B$13,Inputs!$B$14))</f>
        <v>10</v>
      </c>
      <c r="O442" s="15" t="n">
        <f aca="false">IF(J442=1,0,Inputs!$B$13)</f>
        <v>20</v>
      </c>
      <c r="P442" s="15" t="n">
        <f aca="false">SUM(M442:N442)</f>
        <v>85</v>
      </c>
      <c r="Q442" s="15" t="n">
        <f aca="false">IF(J442=1,"",L442-P442)</f>
        <v>15</v>
      </c>
      <c r="R442" s="15" t="n">
        <f aca="false">IF(OR(J442=1,M442&lt;=Inputs!$B$12),1,0)</f>
        <v>1</v>
      </c>
      <c r="S442" s="15" t="n">
        <f aca="false">IF(OR(J442=1,N442&lt;=O442),1,0)</f>
        <v>1</v>
      </c>
      <c r="T442" s="15" t="str">
        <f aca="false">IF(J442=1,"OFFLINE",IF(AND(Q442&gt;=Inputs!$B$15,R442=1,S442=1,P442&lt;=L442),"PASS","FAIL"))</f>
        <v>PASS</v>
      </c>
    </row>
    <row r="443" customFormat="false" ht="15" hidden="false" customHeight="false" outlineLevel="0" collapsed="false">
      <c r="A443" s="14" t="s">
        <v>1023</v>
      </c>
      <c r="B443" s="14" t="s">
        <v>1019</v>
      </c>
      <c r="C443" s="14" t="s">
        <v>168</v>
      </c>
      <c r="D443" s="14" t="s">
        <v>149</v>
      </c>
      <c r="E443" s="14" t="s">
        <v>152</v>
      </c>
      <c r="F443" s="14" t="s">
        <v>150</v>
      </c>
      <c r="G443" s="14" t="n">
        <v>1</v>
      </c>
      <c r="H443" s="14" t="s">
        <v>154</v>
      </c>
      <c r="I443" s="14" t="s">
        <v>897</v>
      </c>
      <c r="J443" s="15" t="n">
        <f aca="false">IF(B443="SITE LOSS",IF(D443=C443,1,0),IF(B443="REGION LOSS",IF(E443=C443,1,0),0))</f>
        <v>0</v>
      </c>
      <c r="K443" s="15" t="n">
        <f aca="false">IF(B443="SITE LOSS",IF(COUNTIFS('Site Dockets'!$B$7:$B$24,C443,'Site Dockets'!$C$7:$C$24,F443)&gt;0,1,0),IF(B443="REGION LOSS",IF(COUNTIFS('Site Dockets'!$E$7:$E$24,C443,'Site Dockets'!$C$7:$C$24,F443)&gt;0,1,0),0))</f>
        <v>0</v>
      </c>
      <c r="L443" s="15" t="n">
        <f aca="false">IF(J443=1,0,Inputs!$B$11)</f>
        <v>100</v>
      </c>
      <c r="M443" s="15" t="n">
        <f aca="false">IF(J443=1,0,Inputs!$B$12)</f>
        <v>75</v>
      </c>
      <c r="N443" s="15" t="n">
        <f aca="false">IF(J443=1,0,IF(OR(AND(OR(B443="SITE LOSS",B443="REGION LOSS"),K443=1),AND(B443="ROLE COMPROMISE",H443=C443)),Inputs!$B$13,Inputs!$B$14))</f>
        <v>10</v>
      </c>
      <c r="O443" s="15" t="n">
        <f aca="false">IF(J443=1,0,Inputs!$B$13)</f>
        <v>20</v>
      </c>
      <c r="P443" s="15" t="n">
        <f aca="false">SUM(M443:N443)</f>
        <v>85</v>
      </c>
      <c r="Q443" s="15" t="n">
        <f aca="false">IF(J443=1,"",L443-P443)</f>
        <v>15</v>
      </c>
      <c r="R443" s="15" t="n">
        <f aca="false">IF(OR(J443=1,M443&lt;=Inputs!$B$12),1,0)</f>
        <v>1</v>
      </c>
      <c r="S443" s="15" t="n">
        <f aca="false">IF(OR(J443=1,N443&lt;=O443),1,0)</f>
        <v>1</v>
      </c>
      <c r="T443" s="15" t="str">
        <f aca="false">IF(J443=1,"OFFLINE",IF(AND(Q443&gt;=Inputs!$B$15,R443=1,S443=1,P443&lt;=L443),"PASS","FAIL"))</f>
        <v>PASS</v>
      </c>
    </row>
    <row r="444" customFormat="false" ht="15" hidden="false" customHeight="false" outlineLevel="0" collapsed="false">
      <c r="A444" s="14" t="s">
        <v>1023</v>
      </c>
      <c r="B444" s="14" t="s">
        <v>1019</v>
      </c>
      <c r="C444" s="14" t="s">
        <v>168</v>
      </c>
      <c r="D444" s="14" t="s">
        <v>149</v>
      </c>
      <c r="E444" s="14" t="s">
        <v>152</v>
      </c>
      <c r="F444" s="14" t="s">
        <v>150</v>
      </c>
      <c r="G444" s="14" t="n">
        <v>1</v>
      </c>
      <c r="H444" s="14" t="s">
        <v>154</v>
      </c>
      <c r="I444" s="14" t="s">
        <v>899</v>
      </c>
      <c r="J444" s="15" t="n">
        <f aca="false">IF(B444="SITE LOSS",IF(D444=C444,1,0),IF(B444="REGION LOSS",IF(E444=C444,1,0),0))</f>
        <v>0</v>
      </c>
      <c r="K444" s="15" t="n">
        <f aca="false">IF(B444="SITE LOSS",IF(COUNTIFS('Site Dockets'!$B$7:$B$24,C444,'Site Dockets'!$C$7:$C$24,F444)&gt;0,1,0),IF(B444="REGION LOSS",IF(COUNTIFS('Site Dockets'!$E$7:$E$24,C444,'Site Dockets'!$C$7:$C$24,F444)&gt;0,1,0),0))</f>
        <v>0</v>
      </c>
      <c r="L444" s="15" t="n">
        <f aca="false">IF(J444=1,0,Inputs!$B$11)</f>
        <v>100</v>
      </c>
      <c r="M444" s="15" t="n">
        <f aca="false">IF(J444=1,0,Inputs!$B$12)</f>
        <v>75</v>
      </c>
      <c r="N444" s="15" t="n">
        <f aca="false">IF(J444=1,0,IF(OR(AND(OR(B444="SITE LOSS",B444="REGION LOSS"),K444=1),AND(B444="ROLE COMPROMISE",H444=C444)),Inputs!$B$13,Inputs!$B$14))</f>
        <v>10</v>
      </c>
      <c r="O444" s="15" t="n">
        <f aca="false">IF(J444=1,0,Inputs!$B$13)</f>
        <v>20</v>
      </c>
      <c r="P444" s="15" t="n">
        <f aca="false">SUM(M444:N444)</f>
        <v>85</v>
      </c>
      <c r="Q444" s="15" t="n">
        <f aca="false">IF(J444=1,"",L444-P444)</f>
        <v>15</v>
      </c>
      <c r="R444" s="15" t="n">
        <f aca="false">IF(OR(J444=1,M444&lt;=Inputs!$B$12),1,0)</f>
        <v>1</v>
      </c>
      <c r="S444" s="15" t="n">
        <f aca="false">IF(OR(J444=1,N444&lt;=O444),1,0)</f>
        <v>1</v>
      </c>
      <c r="T444" s="15" t="str">
        <f aca="false">IF(J444=1,"OFFLINE",IF(AND(Q444&gt;=Inputs!$B$15,R444=1,S444=1,P444&lt;=L444),"PASS","FAIL"))</f>
        <v>PASS</v>
      </c>
    </row>
    <row r="445" customFormat="false" ht="15" hidden="false" customHeight="false" outlineLevel="0" collapsed="false">
      <c r="A445" s="14" t="s">
        <v>1023</v>
      </c>
      <c r="B445" s="14" t="s">
        <v>1019</v>
      </c>
      <c r="C445" s="14" t="s">
        <v>168</v>
      </c>
      <c r="D445" s="14" t="s">
        <v>156</v>
      </c>
      <c r="E445" s="14" t="s">
        <v>157</v>
      </c>
      <c r="F445" s="14" t="s">
        <v>150</v>
      </c>
      <c r="G445" s="14" t="n">
        <v>2</v>
      </c>
      <c r="H445" s="14" t="s">
        <v>153</v>
      </c>
      <c r="I445" s="14" t="s">
        <v>890</v>
      </c>
      <c r="J445" s="15" t="n">
        <f aca="false">IF(B445="SITE LOSS",IF(D445=C445,1,0),IF(B445="REGION LOSS",IF(E445=C445,1,0),0))</f>
        <v>0</v>
      </c>
      <c r="K445" s="15" t="n">
        <f aca="false">IF(B445="SITE LOSS",IF(COUNTIFS('Site Dockets'!$B$7:$B$24,C445,'Site Dockets'!$C$7:$C$24,F445)&gt;0,1,0),IF(B445="REGION LOSS",IF(COUNTIFS('Site Dockets'!$E$7:$E$24,C445,'Site Dockets'!$C$7:$C$24,F445)&gt;0,1,0),0))</f>
        <v>0</v>
      </c>
      <c r="L445" s="15" t="n">
        <f aca="false">IF(J445=1,0,Inputs!$B$11)</f>
        <v>100</v>
      </c>
      <c r="M445" s="15" t="n">
        <f aca="false">IF(J445=1,0,Inputs!$B$12)</f>
        <v>75</v>
      </c>
      <c r="N445" s="15" t="n">
        <f aca="false">IF(J445=1,0,IF(OR(AND(OR(B445="SITE LOSS",B445="REGION LOSS"),K445=1),AND(B445="ROLE COMPROMISE",H445=C445)),Inputs!$B$13,Inputs!$B$14))</f>
        <v>10</v>
      </c>
      <c r="O445" s="15" t="n">
        <f aca="false">IF(J445=1,0,Inputs!$B$13)</f>
        <v>20</v>
      </c>
      <c r="P445" s="15" t="n">
        <f aca="false">SUM(M445:N445)</f>
        <v>85</v>
      </c>
      <c r="Q445" s="15" t="n">
        <f aca="false">IF(J445=1,"",L445-P445)</f>
        <v>15</v>
      </c>
      <c r="R445" s="15" t="n">
        <f aca="false">IF(OR(J445=1,M445&lt;=Inputs!$B$12),1,0)</f>
        <v>1</v>
      </c>
      <c r="S445" s="15" t="n">
        <f aca="false">IF(OR(J445=1,N445&lt;=O445),1,0)</f>
        <v>1</v>
      </c>
      <c r="T445" s="15" t="str">
        <f aca="false">IF(J445=1,"OFFLINE",IF(AND(Q445&gt;=Inputs!$B$15,R445=1,S445=1,P445&lt;=L445),"PASS","FAIL"))</f>
        <v>PASS</v>
      </c>
    </row>
    <row r="446" customFormat="false" ht="15" hidden="false" customHeight="false" outlineLevel="0" collapsed="false">
      <c r="A446" s="14" t="s">
        <v>1023</v>
      </c>
      <c r="B446" s="14" t="s">
        <v>1019</v>
      </c>
      <c r="C446" s="14" t="s">
        <v>168</v>
      </c>
      <c r="D446" s="14" t="s">
        <v>156</v>
      </c>
      <c r="E446" s="14" t="s">
        <v>157</v>
      </c>
      <c r="F446" s="14" t="s">
        <v>150</v>
      </c>
      <c r="G446" s="14" t="n">
        <v>2</v>
      </c>
      <c r="H446" s="14" t="s">
        <v>153</v>
      </c>
      <c r="I446" s="14" t="s">
        <v>892</v>
      </c>
      <c r="J446" s="15" t="n">
        <f aca="false">IF(B446="SITE LOSS",IF(D446=C446,1,0),IF(B446="REGION LOSS",IF(E446=C446,1,0),0))</f>
        <v>0</v>
      </c>
      <c r="K446" s="15" t="n">
        <f aca="false">IF(B446="SITE LOSS",IF(COUNTIFS('Site Dockets'!$B$7:$B$24,C446,'Site Dockets'!$C$7:$C$24,F446)&gt;0,1,0),IF(B446="REGION LOSS",IF(COUNTIFS('Site Dockets'!$E$7:$E$24,C446,'Site Dockets'!$C$7:$C$24,F446)&gt;0,1,0),0))</f>
        <v>0</v>
      </c>
      <c r="L446" s="15" t="n">
        <f aca="false">IF(J446=1,0,Inputs!$B$11)</f>
        <v>100</v>
      </c>
      <c r="M446" s="15" t="n">
        <f aca="false">IF(J446=1,0,Inputs!$B$12)</f>
        <v>75</v>
      </c>
      <c r="N446" s="15" t="n">
        <f aca="false">IF(J446=1,0,IF(OR(AND(OR(B446="SITE LOSS",B446="REGION LOSS"),K446=1),AND(B446="ROLE COMPROMISE",H446=C446)),Inputs!$B$13,Inputs!$B$14))</f>
        <v>10</v>
      </c>
      <c r="O446" s="15" t="n">
        <f aca="false">IF(J446=1,0,Inputs!$B$13)</f>
        <v>20</v>
      </c>
      <c r="P446" s="15" t="n">
        <f aca="false">SUM(M446:N446)</f>
        <v>85</v>
      </c>
      <c r="Q446" s="15" t="n">
        <f aca="false">IF(J446=1,"",L446-P446)</f>
        <v>15</v>
      </c>
      <c r="R446" s="15" t="n">
        <f aca="false">IF(OR(J446=1,M446&lt;=Inputs!$B$12),1,0)</f>
        <v>1</v>
      </c>
      <c r="S446" s="15" t="n">
        <f aca="false">IF(OR(J446=1,N446&lt;=O446),1,0)</f>
        <v>1</v>
      </c>
      <c r="T446" s="15" t="str">
        <f aca="false">IF(J446=1,"OFFLINE",IF(AND(Q446&gt;=Inputs!$B$15,R446=1,S446=1,P446&lt;=L446),"PASS","FAIL"))</f>
        <v>PASS</v>
      </c>
    </row>
    <row r="447" customFormat="false" ht="15" hidden="false" customHeight="false" outlineLevel="0" collapsed="false">
      <c r="A447" s="14" t="s">
        <v>1023</v>
      </c>
      <c r="B447" s="14" t="s">
        <v>1019</v>
      </c>
      <c r="C447" s="14" t="s">
        <v>168</v>
      </c>
      <c r="D447" s="14" t="s">
        <v>156</v>
      </c>
      <c r="E447" s="14" t="s">
        <v>157</v>
      </c>
      <c r="F447" s="14" t="s">
        <v>150</v>
      </c>
      <c r="G447" s="14" t="n">
        <v>2</v>
      </c>
      <c r="H447" s="14" t="s">
        <v>153</v>
      </c>
      <c r="I447" s="14" t="s">
        <v>811</v>
      </c>
      <c r="J447" s="15" t="n">
        <f aca="false">IF(B447="SITE LOSS",IF(D447=C447,1,0),IF(B447="REGION LOSS",IF(E447=C447,1,0),0))</f>
        <v>0</v>
      </c>
      <c r="K447" s="15" t="n">
        <f aca="false">IF(B447="SITE LOSS",IF(COUNTIFS('Site Dockets'!$B$7:$B$24,C447,'Site Dockets'!$C$7:$C$24,F447)&gt;0,1,0),IF(B447="REGION LOSS",IF(COUNTIFS('Site Dockets'!$E$7:$E$24,C447,'Site Dockets'!$C$7:$C$24,F447)&gt;0,1,0),0))</f>
        <v>0</v>
      </c>
      <c r="L447" s="15" t="n">
        <f aca="false">IF(J447=1,0,Inputs!$B$11)</f>
        <v>100</v>
      </c>
      <c r="M447" s="15" t="n">
        <f aca="false">IF(J447=1,0,Inputs!$B$12)</f>
        <v>75</v>
      </c>
      <c r="N447" s="15" t="n">
        <f aca="false">IF(J447=1,0,IF(OR(AND(OR(B447="SITE LOSS",B447="REGION LOSS"),K447=1),AND(B447="ROLE COMPROMISE",H447=C447)),Inputs!$B$13,Inputs!$B$14))</f>
        <v>10</v>
      </c>
      <c r="O447" s="15" t="n">
        <f aca="false">IF(J447=1,0,Inputs!$B$13)</f>
        <v>20</v>
      </c>
      <c r="P447" s="15" t="n">
        <f aca="false">SUM(M447:N447)</f>
        <v>85</v>
      </c>
      <c r="Q447" s="15" t="n">
        <f aca="false">IF(J447=1,"",L447-P447)</f>
        <v>15</v>
      </c>
      <c r="R447" s="15" t="n">
        <f aca="false">IF(OR(J447=1,M447&lt;=Inputs!$B$12),1,0)</f>
        <v>1</v>
      </c>
      <c r="S447" s="15" t="n">
        <f aca="false">IF(OR(J447=1,N447&lt;=O447),1,0)</f>
        <v>1</v>
      </c>
      <c r="T447" s="15" t="str">
        <f aca="false">IF(J447=1,"OFFLINE",IF(AND(Q447&gt;=Inputs!$B$15,R447=1,S447=1,P447&lt;=L447),"PASS","FAIL"))</f>
        <v>PASS</v>
      </c>
    </row>
    <row r="448" customFormat="false" ht="15" hidden="false" customHeight="false" outlineLevel="0" collapsed="false">
      <c r="A448" s="14" t="s">
        <v>1023</v>
      </c>
      <c r="B448" s="14" t="s">
        <v>1019</v>
      </c>
      <c r="C448" s="14" t="s">
        <v>168</v>
      </c>
      <c r="D448" s="14" t="s">
        <v>156</v>
      </c>
      <c r="E448" s="14" t="s">
        <v>157</v>
      </c>
      <c r="F448" s="14" t="s">
        <v>150</v>
      </c>
      <c r="G448" s="14" t="n">
        <v>2</v>
      </c>
      <c r="H448" s="14" t="s">
        <v>153</v>
      </c>
      <c r="I448" s="14" t="s">
        <v>895</v>
      </c>
      <c r="J448" s="15" t="n">
        <f aca="false">IF(B448="SITE LOSS",IF(D448=C448,1,0),IF(B448="REGION LOSS",IF(E448=C448,1,0),0))</f>
        <v>0</v>
      </c>
      <c r="K448" s="15" t="n">
        <f aca="false">IF(B448="SITE LOSS",IF(COUNTIFS('Site Dockets'!$B$7:$B$24,C448,'Site Dockets'!$C$7:$C$24,F448)&gt;0,1,0),IF(B448="REGION LOSS",IF(COUNTIFS('Site Dockets'!$E$7:$E$24,C448,'Site Dockets'!$C$7:$C$24,F448)&gt;0,1,0),0))</f>
        <v>0</v>
      </c>
      <c r="L448" s="15" t="n">
        <f aca="false">IF(J448=1,0,Inputs!$B$11)</f>
        <v>100</v>
      </c>
      <c r="M448" s="15" t="n">
        <f aca="false">IF(J448=1,0,Inputs!$B$12)</f>
        <v>75</v>
      </c>
      <c r="N448" s="15" t="n">
        <f aca="false">IF(J448=1,0,IF(OR(AND(OR(B448="SITE LOSS",B448="REGION LOSS"),K448=1),AND(B448="ROLE COMPROMISE",H448=C448)),Inputs!$B$13,Inputs!$B$14))</f>
        <v>10</v>
      </c>
      <c r="O448" s="15" t="n">
        <f aca="false">IF(J448=1,0,Inputs!$B$13)</f>
        <v>20</v>
      </c>
      <c r="P448" s="15" t="n">
        <f aca="false">SUM(M448:N448)</f>
        <v>85</v>
      </c>
      <c r="Q448" s="15" t="n">
        <f aca="false">IF(J448=1,"",L448-P448)</f>
        <v>15</v>
      </c>
      <c r="R448" s="15" t="n">
        <f aca="false">IF(OR(J448=1,M448&lt;=Inputs!$B$12),1,0)</f>
        <v>1</v>
      </c>
      <c r="S448" s="15" t="n">
        <f aca="false">IF(OR(J448=1,N448&lt;=O448),1,0)</f>
        <v>1</v>
      </c>
      <c r="T448" s="15" t="str">
        <f aca="false">IF(J448=1,"OFFLINE",IF(AND(Q448&gt;=Inputs!$B$15,R448=1,S448=1,P448&lt;=L448),"PASS","FAIL"))</f>
        <v>PASS</v>
      </c>
    </row>
    <row r="449" customFormat="false" ht="15" hidden="false" customHeight="false" outlineLevel="0" collapsed="false">
      <c r="A449" s="14" t="s">
        <v>1023</v>
      </c>
      <c r="B449" s="14" t="s">
        <v>1019</v>
      </c>
      <c r="C449" s="14" t="s">
        <v>168</v>
      </c>
      <c r="D449" s="14" t="s">
        <v>156</v>
      </c>
      <c r="E449" s="14" t="s">
        <v>157</v>
      </c>
      <c r="F449" s="14" t="s">
        <v>150</v>
      </c>
      <c r="G449" s="14" t="n">
        <v>2</v>
      </c>
      <c r="H449" s="14" t="s">
        <v>153</v>
      </c>
      <c r="I449" s="14" t="s">
        <v>897</v>
      </c>
      <c r="J449" s="15" t="n">
        <f aca="false">IF(B449="SITE LOSS",IF(D449=C449,1,0),IF(B449="REGION LOSS",IF(E449=C449,1,0),0))</f>
        <v>0</v>
      </c>
      <c r="K449" s="15" t="n">
        <f aca="false">IF(B449="SITE LOSS",IF(COUNTIFS('Site Dockets'!$B$7:$B$24,C449,'Site Dockets'!$C$7:$C$24,F449)&gt;0,1,0),IF(B449="REGION LOSS",IF(COUNTIFS('Site Dockets'!$E$7:$E$24,C449,'Site Dockets'!$C$7:$C$24,F449)&gt;0,1,0),0))</f>
        <v>0</v>
      </c>
      <c r="L449" s="15" t="n">
        <f aca="false">IF(J449=1,0,Inputs!$B$11)</f>
        <v>100</v>
      </c>
      <c r="M449" s="15" t="n">
        <f aca="false">IF(J449=1,0,Inputs!$B$12)</f>
        <v>75</v>
      </c>
      <c r="N449" s="15" t="n">
        <f aca="false">IF(J449=1,0,IF(OR(AND(OR(B449="SITE LOSS",B449="REGION LOSS"),K449=1),AND(B449="ROLE COMPROMISE",H449=C449)),Inputs!$B$13,Inputs!$B$14))</f>
        <v>10</v>
      </c>
      <c r="O449" s="15" t="n">
        <f aca="false">IF(J449=1,0,Inputs!$B$13)</f>
        <v>20</v>
      </c>
      <c r="P449" s="15" t="n">
        <f aca="false">SUM(M449:N449)</f>
        <v>85</v>
      </c>
      <c r="Q449" s="15" t="n">
        <f aca="false">IF(J449=1,"",L449-P449)</f>
        <v>15</v>
      </c>
      <c r="R449" s="15" t="n">
        <f aca="false">IF(OR(J449=1,M449&lt;=Inputs!$B$12),1,0)</f>
        <v>1</v>
      </c>
      <c r="S449" s="15" t="n">
        <f aca="false">IF(OR(J449=1,N449&lt;=O449),1,0)</f>
        <v>1</v>
      </c>
      <c r="T449" s="15" t="str">
        <f aca="false">IF(J449=1,"OFFLINE",IF(AND(Q449&gt;=Inputs!$B$15,R449=1,S449=1,P449&lt;=L449),"PASS","FAIL"))</f>
        <v>PASS</v>
      </c>
    </row>
    <row r="450" customFormat="false" ht="15" hidden="false" customHeight="false" outlineLevel="0" collapsed="false">
      <c r="A450" s="14" t="s">
        <v>1023</v>
      </c>
      <c r="B450" s="14" t="s">
        <v>1019</v>
      </c>
      <c r="C450" s="14" t="s">
        <v>168</v>
      </c>
      <c r="D450" s="14" t="s">
        <v>156</v>
      </c>
      <c r="E450" s="14" t="s">
        <v>157</v>
      </c>
      <c r="F450" s="14" t="s">
        <v>150</v>
      </c>
      <c r="G450" s="14" t="n">
        <v>2</v>
      </c>
      <c r="H450" s="14" t="s">
        <v>153</v>
      </c>
      <c r="I450" s="14" t="s">
        <v>899</v>
      </c>
      <c r="J450" s="15" t="n">
        <f aca="false">IF(B450="SITE LOSS",IF(D450=C450,1,0),IF(B450="REGION LOSS",IF(E450=C450,1,0),0))</f>
        <v>0</v>
      </c>
      <c r="K450" s="15" t="n">
        <f aca="false">IF(B450="SITE LOSS",IF(COUNTIFS('Site Dockets'!$B$7:$B$24,C450,'Site Dockets'!$C$7:$C$24,F450)&gt;0,1,0),IF(B450="REGION LOSS",IF(COUNTIFS('Site Dockets'!$E$7:$E$24,C450,'Site Dockets'!$C$7:$C$24,F450)&gt;0,1,0),0))</f>
        <v>0</v>
      </c>
      <c r="L450" s="15" t="n">
        <f aca="false">IF(J450=1,0,Inputs!$B$11)</f>
        <v>100</v>
      </c>
      <c r="M450" s="15" t="n">
        <f aca="false">IF(J450=1,0,Inputs!$B$12)</f>
        <v>75</v>
      </c>
      <c r="N450" s="15" t="n">
        <f aca="false">IF(J450=1,0,IF(OR(AND(OR(B450="SITE LOSS",B450="REGION LOSS"),K450=1),AND(B450="ROLE COMPROMISE",H450=C450)),Inputs!$B$13,Inputs!$B$14))</f>
        <v>10</v>
      </c>
      <c r="O450" s="15" t="n">
        <f aca="false">IF(J450=1,0,Inputs!$B$13)</f>
        <v>20</v>
      </c>
      <c r="P450" s="15" t="n">
        <f aca="false">SUM(M450:N450)</f>
        <v>85</v>
      </c>
      <c r="Q450" s="15" t="n">
        <f aca="false">IF(J450=1,"",L450-P450)</f>
        <v>15</v>
      </c>
      <c r="R450" s="15" t="n">
        <f aca="false">IF(OR(J450=1,M450&lt;=Inputs!$B$12),1,0)</f>
        <v>1</v>
      </c>
      <c r="S450" s="15" t="n">
        <f aca="false">IF(OR(J450=1,N450&lt;=O450),1,0)</f>
        <v>1</v>
      </c>
      <c r="T450" s="15" t="str">
        <f aca="false">IF(J450=1,"OFFLINE",IF(AND(Q450&gt;=Inputs!$B$15,R450=1,S450=1,P450&lt;=L450),"PASS","FAIL"))</f>
        <v>PASS</v>
      </c>
    </row>
    <row r="451" customFormat="false" ht="15" hidden="false" customHeight="false" outlineLevel="0" collapsed="false">
      <c r="A451" s="14" t="s">
        <v>1023</v>
      </c>
      <c r="B451" s="14" t="s">
        <v>1019</v>
      </c>
      <c r="C451" s="14" t="s">
        <v>168</v>
      </c>
      <c r="D451" s="14" t="s">
        <v>160</v>
      </c>
      <c r="E451" s="14" t="s">
        <v>161</v>
      </c>
      <c r="F451" s="14" t="s">
        <v>150</v>
      </c>
      <c r="G451" s="14" t="n">
        <v>3</v>
      </c>
      <c r="H451" s="14" t="s">
        <v>158</v>
      </c>
      <c r="I451" s="14" t="s">
        <v>890</v>
      </c>
      <c r="J451" s="15" t="n">
        <f aca="false">IF(B451="SITE LOSS",IF(D451=C451,1,0),IF(B451="REGION LOSS",IF(E451=C451,1,0),0))</f>
        <v>0</v>
      </c>
      <c r="K451" s="15" t="n">
        <f aca="false">IF(B451="SITE LOSS",IF(COUNTIFS('Site Dockets'!$B$7:$B$24,C451,'Site Dockets'!$C$7:$C$24,F451)&gt;0,1,0),IF(B451="REGION LOSS",IF(COUNTIFS('Site Dockets'!$E$7:$E$24,C451,'Site Dockets'!$C$7:$C$24,F451)&gt;0,1,0),0))</f>
        <v>0</v>
      </c>
      <c r="L451" s="15" t="n">
        <f aca="false">IF(J451=1,0,Inputs!$B$11)</f>
        <v>100</v>
      </c>
      <c r="M451" s="15" t="n">
        <f aca="false">IF(J451=1,0,Inputs!$B$12)</f>
        <v>75</v>
      </c>
      <c r="N451" s="15" t="n">
        <f aca="false">IF(J451=1,0,IF(OR(AND(OR(B451="SITE LOSS",B451="REGION LOSS"),K451=1),AND(B451="ROLE COMPROMISE",H451=C451)),Inputs!$B$13,Inputs!$B$14))</f>
        <v>10</v>
      </c>
      <c r="O451" s="15" t="n">
        <f aca="false">IF(J451=1,0,Inputs!$B$13)</f>
        <v>20</v>
      </c>
      <c r="P451" s="15" t="n">
        <f aca="false">SUM(M451:N451)</f>
        <v>85</v>
      </c>
      <c r="Q451" s="15" t="n">
        <f aca="false">IF(J451=1,"",L451-P451)</f>
        <v>15</v>
      </c>
      <c r="R451" s="15" t="n">
        <f aca="false">IF(OR(J451=1,M451&lt;=Inputs!$B$12),1,0)</f>
        <v>1</v>
      </c>
      <c r="S451" s="15" t="n">
        <f aca="false">IF(OR(J451=1,N451&lt;=O451),1,0)</f>
        <v>1</v>
      </c>
      <c r="T451" s="15" t="str">
        <f aca="false">IF(J451=1,"OFFLINE",IF(AND(Q451&gt;=Inputs!$B$15,R451=1,S451=1,P451&lt;=L451),"PASS","FAIL"))</f>
        <v>PASS</v>
      </c>
    </row>
    <row r="452" customFormat="false" ht="15" hidden="false" customHeight="false" outlineLevel="0" collapsed="false">
      <c r="A452" s="14" t="s">
        <v>1023</v>
      </c>
      <c r="B452" s="14" t="s">
        <v>1019</v>
      </c>
      <c r="C452" s="14" t="s">
        <v>168</v>
      </c>
      <c r="D452" s="14" t="s">
        <v>160</v>
      </c>
      <c r="E452" s="14" t="s">
        <v>161</v>
      </c>
      <c r="F452" s="14" t="s">
        <v>150</v>
      </c>
      <c r="G452" s="14" t="n">
        <v>3</v>
      </c>
      <c r="H452" s="14" t="s">
        <v>158</v>
      </c>
      <c r="I452" s="14" t="s">
        <v>892</v>
      </c>
      <c r="J452" s="15" t="n">
        <f aca="false">IF(B452="SITE LOSS",IF(D452=C452,1,0),IF(B452="REGION LOSS",IF(E452=C452,1,0),0))</f>
        <v>0</v>
      </c>
      <c r="K452" s="15" t="n">
        <f aca="false">IF(B452="SITE LOSS",IF(COUNTIFS('Site Dockets'!$B$7:$B$24,C452,'Site Dockets'!$C$7:$C$24,F452)&gt;0,1,0),IF(B452="REGION LOSS",IF(COUNTIFS('Site Dockets'!$E$7:$E$24,C452,'Site Dockets'!$C$7:$C$24,F452)&gt;0,1,0),0))</f>
        <v>0</v>
      </c>
      <c r="L452" s="15" t="n">
        <f aca="false">IF(J452=1,0,Inputs!$B$11)</f>
        <v>100</v>
      </c>
      <c r="M452" s="15" t="n">
        <f aca="false">IF(J452=1,0,Inputs!$B$12)</f>
        <v>75</v>
      </c>
      <c r="N452" s="15" t="n">
        <f aca="false">IF(J452=1,0,IF(OR(AND(OR(B452="SITE LOSS",B452="REGION LOSS"),K452=1),AND(B452="ROLE COMPROMISE",H452=C452)),Inputs!$B$13,Inputs!$B$14))</f>
        <v>10</v>
      </c>
      <c r="O452" s="15" t="n">
        <f aca="false">IF(J452=1,0,Inputs!$B$13)</f>
        <v>20</v>
      </c>
      <c r="P452" s="15" t="n">
        <f aca="false">SUM(M452:N452)</f>
        <v>85</v>
      </c>
      <c r="Q452" s="15" t="n">
        <f aca="false">IF(J452=1,"",L452-P452)</f>
        <v>15</v>
      </c>
      <c r="R452" s="15" t="n">
        <f aca="false">IF(OR(J452=1,M452&lt;=Inputs!$B$12),1,0)</f>
        <v>1</v>
      </c>
      <c r="S452" s="15" t="n">
        <f aca="false">IF(OR(J452=1,N452&lt;=O452),1,0)</f>
        <v>1</v>
      </c>
      <c r="T452" s="15" t="str">
        <f aca="false">IF(J452=1,"OFFLINE",IF(AND(Q452&gt;=Inputs!$B$15,R452=1,S452=1,P452&lt;=L452),"PASS","FAIL"))</f>
        <v>PASS</v>
      </c>
    </row>
    <row r="453" customFormat="false" ht="15" hidden="false" customHeight="false" outlineLevel="0" collapsed="false">
      <c r="A453" s="14" t="s">
        <v>1023</v>
      </c>
      <c r="B453" s="14" t="s">
        <v>1019</v>
      </c>
      <c r="C453" s="14" t="s">
        <v>168</v>
      </c>
      <c r="D453" s="14" t="s">
        <v>160</v>
      </c>
      <c r="E453" s="14" t="s">
        <v>161</v>
      </c>
      <c r="F453" s="14" t="s">
        <v>150</v>
      </c>
      <c r="G453" s="14" t="n">
        <v>3</v>
      </c>
      <c r="H453" s="14" t="s">
        <v>158</v>
      </c>
      <c r="I453" s="14" t="s">
        <v>811</v>
      </c>
      <c r="J453" s="15" t="n">
        <f aca="false">IF(B453="SITE LOSS",IF(D453=C453,1,0),IF(B453="REGION LOSS",IF(E453=C453,1,0),0))</f>
        <v>0</v>
      </c>
      <c r="K453" s="15" t="n">
        <f aca="false">IF(B453="SITE LOSS",IF(COUNTIFS('Site Dockets'!$B$7:$B$24,C453,'Site Dockets'!$C$7:$C$24,F453)&gt;0,1,0),IF(B453="REGION LOSS",IF(COUNTIFS('Site Dockets'!$E$7:$E$24,C453,'Site Dockets'!$C$7:$C$24,F453)&gt;0,1,0),0))</f>
        <v>0</v>
      </c>
      <c r="L453" s="15" t="n">
        <f aca="false">IF(J453=1,0,Inputs!$B$11)</f>
        <v>100</v>
      </c>
      <c r="M453" s="15" t="n">
        <f aca="false">IF(J453=1,0,Inputs!$B$12)</f>
        <v>75</v>
      </c>
      <c r="N453" s="15" t="n">
        <f aca="false">IF(J453=1,0,IF(OR(AND(OR(B453="SITE LOSS",B453="REGION LOSS"),K453=1),AND(B453="ROLE COMPROMISE",H453=C453)),Inputs!$B$13,Inputs!$B$14))</f>
        <v>10</v>
      </c>
      <c r="O453" s="15" t="n">
        <f aca="false">IF(J453=1,0,Inputs!$B$13)</f>
        <v>20</v>
      </c>
      <c r="P453" s="15" t="n">
        <f aca="false">SUM(M453:N453)</f>
        <v>85</v>
      </c>
      <c r="Q453" s="15" t="n">
        <f aca="false">IF(J453=1,"",L453-P453)</f>
        <v>15</v>
      </c>
      <c r="R453" s="15" t="n">
        <f aca="false">IF(OR(J453=1,M453&lt;=Inputs!$B$12),1,0)</f>
        <v>1</v>
      </c>
      <c r="S453" s="15" t="n">
        <f aca="false">IF(OR(J453=1,N453&lt;=O453),1,0)</f>
        <v>1</v>
      </c>
      <c r="T453" s="15" t="str">
        <f aca="false">IF(J453=1,"OFFLINE",IF(AND(Q453&gt;=Inputs!$B$15,R453=1,S453=1,P453&lt;=L453),"PASS","FAIL"))</f>
        <v>PASS</v>
      </c>
    </row>
    <row r="454" customFormat="false" ht="15" hidden="false" customHeight="false" outlineLevel="0" collapsed="false">
      <c r="A454" s="14" t="s">
        <v>1023</v>
      </c>
      <c r="B454" s="14" t="s">
        <v>1019</v>
      </c>
      <c r="C454" s="14" t="s">
        <v>168</v>
      </c>
      <c r="D454" s="14" t="s">
        <v>160</v>
      </c>
      <c r="E454" s="14" t="s">
        <v>161</v>
      </c>
      <c r="F454" s="14" t="s">
        <v>150</v>
      </c>
      <c r="G454" s="14" t="n">
        <v>3</v>
      </c>
      <c r="H454" s="14" t="s">
        <v>158</v>
      </c>
      <c r="I454" s="14" t="s">
        <v>895</v>
      </c>
      <c r="J454" s="15" t="n">
        <f aca="false">IF(B454="SITE LOSS",IF(D454=C454,1,0),IF(B454="REGION LOSS",IF(E454=C454,1,0),0))</f>
        <v>0</v>
      </c>
      <c r="K454" s="15" t="n">
        <f aca="false">IF(B454="SITE LOSS",IF(COUNTIFS('Site Dockets'!$B$7:$B$24,C454,'Site Dockets'!$C$7:$C$24,F454)&gt;0,1,0),IF(B454="REGION LOSS",IF(COUNTIFS('Site Dockets'!$E$7:$E$24,C454,'Site Dockets'!$C$7:$C$24,F454)&gt;0,1,0),0))</f>
        <v>0</v>
      </c>
      <c r="L454" s="15" t="n">
        <f aca="false">IF(J454=1,0,Inputs!$B$11)</f>
        <v>100</v>
      </c>
      <c r="M454" s="15" t="n">
        <f aca="false">IF(J454=1,0,Inputs!$B$12)</f>
        <v>75</v>
      </c>
      <c r="N454" s="15" t="n">
        <f aca="false">IF(J454=1,0,IF(OR(AND(OR(B454="SITE LOSS",B454="REGION LOSS"),K454=1),AND(B454="ROLE COMPROMISE",H454=C454)),Inputs!$B$13,Inputs!$B$14))</f>
        <v>10</v>
      </c>
      <c r="O454" s="15" t="n">
        <f aca="false">IF(J454=1,0,Inputs!$B$13)</f>
        <v>20</v>
      </c>
      <c r="P454" s="15" t="n">
        <f aca="false">SUM(M454:N454)</f>
        <v>85</v>
      </c>
      <c r="Q454" s="15" t="n">
        <f aca="false">IF(J454=1,"",L454-P454)</f>
        <v>15</v>
      </c>
      <c r="R454" s="15" t="n">
        <f aca="false">IF(OR(J454=1,M454&lt;=Inputs!$B$12),1,0)</f>
        <v>1</v>
      </c>
      <c r="S454" s="15" t="n">
        <f aca="false">IF(OR(J454=1,N454&lt;=O454),1,0)</f>
        <v>1</v>
      </c>
      <c r="T454" s="15" t="str">
        <f aca="false">IF(J454=1,"OFFLINE",IF(AND(Q454&gt;=Inputs!$B$15,R454=1,S454=1,P454&lt;=L454),"PASS","FAIL"))</f>
        <v>PASS</v>
      </c>
    </row>
    <row r="455" customFormat="false" ht="15" hidden="false" customHeight="false" outlineLevel="0" collapsed="false">
      <c r="A455" s="14" t="s">
        <v>1023</v>
      </c>
      <c r="B455" s="14" t="s">
        <v>1019</v>
      </c>
      <c r="C455" s="14" t="s">
        <v>168</v>
      </c>
      <c r="D455" s="14" t="s">
        <v>160</v>
      </c>
      <c r="E455" s="14" t="s">
        <v>161</v>
      </c>
      <c r="F455" s="14" t="s">
        <v>150</v>
      </c>
      <c r="G455" s="14" t="n">
        <v>3</v>
      </c>
      <c r="H455" s="14" t="s">
        <v>158</v>
      </c>
      <c r="I455" s="14" t="s">
        <v>897</v>
      </c>
      <c r="J455" s="15" t="n">
        <f aca="false">IF(B455="SITE LOSS",IF(D455=C455,1,0),IF(B455="REGION LOSS",IF(E455=C455,1,0),0))</f>
        <v>0</v>
      </c>
      <c r="K455" s="15" t="n">
        <f aca="false">IF(B455="SITE LOSS",IF(COUNTIFS('Site Dockets'!$B$7:$B$24,C455,'Site Dockets'!$C$7:$C$24,F455)&gt;0,1,0),IF(B455="REGION LOSS",IF(COUNTIFS('Site Dockets'!$E$7:$E$24,C455,'Site Dockets'!$C$7:$C$24,F455)&gt;0,1,0),0))</f>
        <v>0</v>
      </c>
      <c r="L455" s="15" t="n">
        <f aca="false">IF(J455=1,0,Inputs!$B$11)</f>
        <v>100</v>
      </c>
      <c r="M455" s="15" t="n">
        <f aca="false">IF(J455=1,0,Inputs!$B$12)</f>
        <v>75</v>
      </c>
      <c r="N455" s="15" t="n">
        <f aca="false">IF(J455=1,0,IF(OR(AND(OR(B455="SITE LOSS",B455="REGION LOSS"),K455=1),AND(B455="ROLE COMPROMISE",H455=C455)),Inputs!$B$13,Inputs!$B$14))</f>
        <v>10</v>
      </c>
      <c r="O455" s="15" t="n">
        <f aca="false">IF(J455=1,0,Inputs!$B$13)</f>
        <v>20</v>
      </c>
      <c r="P455" s="15" t="n">
        <f aca="false">SUM(M455:N455)</f>
        <v>85</v>
      </c>
      <c r="Q455" s="15" t="n">
        <f aca="false">IF(J455=1,"",L455-P455)</f>
        <v>15</v>
      </c>
      <c r="R455" s="15" t="n">
        <f aca="false">IF(OR(J455=1,M455&lt;=Inputs!$B$12),1,0)</f>
        <v>1</v>
      </c>
      <c r="S455" s="15" t="n">
        <f aca="false">IF(OR(J455=1,N455&lt;=O455),1,0)</f>
        <v>1</v>
      </c>
      <c r="T455" s="15" t="str">
        <f aca="false">IF(J455=1,"OFFLINE",IF(AND(Q455&gt;=Inputs!$B$15,R455=1,S455=1,P455&lt;=L455),"PASS","FAIL"))</f>
        <v>PASS</v>
      </c>
    </row>
    <row r="456" customFormat="false" ht="15" hidden="false" customHeight="false" outlineLevel="0" collapsed="false">
      <c r="A456" s="14" t="s">
        <v>1023</v>
      </c>
      <c r="B456" s="14" t="s">
        <v>1019</v>
      </c>
      <c r="C456" s="14" t="s">
        <v>168</v>
      </c>
      <c r="D456" s="14" t="s">
        <v>160</v>
      </c>
      <c r="E456" s="14" t="s">
        <v>161</v>
      </c>
      <c r="F456" s="14" t="s">
        <v>150</v>
      </c>
      <c r="G456" s="14" t="n">
        <v>3</v>
      </c>
      <c r="H456" s="14" t="s">
        <v>158</v>
      </c>
      <c r="I456" s="14" t="s">
        <v>899</v>
      </c>
      <c r="J456" s="15" t="n">
        <f aca="false">IF(B456="SITE LOSS",IF(D456=C456,1,0),IF(B456="REGION LOSS",IF(E456=C456,1,0),0))</f>
        <v>0</v>
      </c>
      <c r="K456" s="15" t="n">
        <f aca="false">IF(B456="SITE LOSS",IF(COUNTIFS('Site Dockets'!$B$7:$B$24,C456,'Site Dockets'!$C$7:$C$24,F456)&gt;0,1,0),IF(B456="REGION LOSS",IF(COUNTIFS('Site Dockets'!$E$7:$E$24,C456,'Site Dockets'!$C$7:$C$24,F456)&gt;0,1,0),0))</f>
        <v>0</v>
      </c>
      <c r="L456" s="15" t="n">
        <f aca="false">IF(J456=1,0,Inputs!$B$11)</f>
        <v>100</v>
      </c>
      <c r="M456" s="15" t="n">
        <f aca="false">IF(J456=1,0,Inputs!$B$12)</f>
        <v>75</v>
      </c>
      <c r="N456" s="15" t="n">
        <f aca="false">IF(J456=1,0,IF(OR(AND(OR(B456="SITE LOSS",B456="REGION LOSS"),K456=1),AND(B456="ROLE COMPROMISE",H456=C456)),Inputs!$B$13,Inputs!$B$14))</f>
        <v>10</v>
      </c>
      <c r="O456" s="15" t="n">
        <f aca="false">IF(J456=1,0,Inputs!$B$13)</f>
        <v>20</v>
      </c>
      <c r="P456" s="15" t="n">
        <f aca="false">SUM(M456:N456)</f>
        <v>85</v>
      </c>
      <c r="Q456" s="15" t="n">
        <f aca="false">IF(J456=1,"",L456-P456)</f>
        <v>15</v>
      </c>
      <c r="R456" s="15" t="n">
        <f aca="false">IF(OR(J456=1,M456&lt;=Inputs!$B$12),1,0)</f>
        <v>1</v>
      </c>
      <c r="S456" s="15" t="n">
        <f aca="false">IF(OR(J456=1,N456&lt;=O456),1,0)</f>
        <v>1</v>
      </c>
      <c r="T456" s="15" t="str">
        <f aca="false">IF(J456=1,"OFFLINE",IF(AND(Q456&gt;=Inputs!$B$15,R456=1,S456=1,P456&lt;=L456),"PASS","FAIL"))</f>
        <v>PASS</v>
      </c>
    </row>
    <row r="457" customFormat="false" ht="15" hidden="false" customHeight="false" outlineLevel="0" collapsed="false">
      <c r="A457" s="14" t="s">
        <v>1023</v>
      </c>
      <c r="B457" s="14" t="s">
        <v>1019</v>
      </c>
      <c r="C457" s="14" t="s">
        <v>168</v>
      </c>
      <c r="D457" s="14" t="s">
        <v>163</v>
      </c>
      <c r="E457" s="14" t="s">
        <v>166</v>
      </c>
      <c r="F457" s="14" t="s">
        <v>164</v>
      </c>
      <c r="G457" s="14" t="n">
        <v>1</v>
      </c>
      <c r="H457" s="14" t="s">
        <v>154</v>
      </c>
      <c r="I457" s="14" t="s">
        <v>890</v>
      </c>
      <c r="J457" s="15" t="n">
        <f aca="false">IF(B457="SITE LOSS",IF(D457=C457,1,0),IF(B457="REGION LOSS",IF(E457=C457,1,0),0))</f>
        <v>0</v>
      </c>
      <c r="K457" s="15" t="n">
        <f aca="false">IF(B457="SITE LOSS",IF(COUNTIFS('Site Dockets'!$B$7:$B$24,C457,'Site Dockets'!$C$7:$C$24,F457)&gt;0,1,0),IF(B457="REGION LOSS",IF(COUNTIFS('Site Dockets'!$E$7:$E$24,C457,'Site Dockets'!$C$7:$C$24,F457)&gt;0,1,0),0))</f>
        <v>1</v>
      </c>
      <c r="L457" s="15" t="n">
        <f aca="false">IF(J457=1,0,Inputs!$B$11)</f>
        <v>100</v>
      </c>
      <c r="M457" s="15" t="n">
        <f aca="false">IF(J457=1,0,Inputs!$B$12)</f>
        <v>75</v>
      </c>
      <c r="N457" s="15" t="n">
        <f aca="false">IF(J457=1,0,IF(OR(AND(OR(B457="SITE LOSS",B457="REGION LOSS"),K457=1),AND(B457="ROLE COMPROMISE",H457=C457)),Inputs!$B$13,Inputs!$B$14))</f>
        <v>20</v>
      </c>
      <c r="O457" s="15" t="n">
        <f aca="false">IF(J457=1,0,Inputs!$B$13)</f>
        <v>20</v>
      </c>
      <c r="P457" s="15" t="n">
        <f aca="false">SUM(M457:N457)</f>
        <v>95</v>
      </c>
      <c r="Q457" s="15" t="n">
        <f aca="false">IF(J457=1,"",L457-P457)</f>
        <v>5</v>
      </c>
      <c r="R457" s="15" t="n">
        <f aca="false">IF(OR(J457=1,M457&lt;=Inputs!$B$12),1,0)</f>
        <v>1</v>
      </c>
      <c r="S457" s="15" t="n">
        <f aca="false">IF(OR(J457=1,N457&lt;=O457),1,0)</f>
        <v>1</v>
      </c>
      <c r="T457" s="15" t="str">
        <f aca="false">IF(J457=1,"OFFLINE",IF(AND(Q457&gt;=Inputs!$B$15,R457=1,S457=1,P457&lt;=L457),"PASS","FAIL"))</f>
        <v>PASS</v>
      </c>
    </row>
    <row r="458" customFormat="false" ht="15" hidden="false" customHeight="false" outlineLevel="0" collapsed="false">
      <c r="A458" s="14" t="s">
        <v>1023</v>
      </c>
      <c r="B458" s="14" t="s">
        <v>1019</v>
      </c>
      <c r="C458" s="14" t="s">
        <v>168</v>
      </c>
      <c r="D458" s="14" t="s">
        <v>163</v>
      </c>
      <c r="E458" s="14" t="s">
        <v>166</v>
      </c>
      <c r="F458" s="14" t="s">
        <v>164</v>
      </c>
      <c r="G458" s="14" t="n">
        <v>1</v>
      </c>
      <c r="H458" s="14" t="s">
        <v>154</v>
      </c>
      <c r="I458" s="14" t="s">
        <v>892</v>
      </c>
      <c r="J458" s="15" t="n">
        <f aca="false">IF(B458="SITE LOSS",IF(D458=C458,1,0),IF(B458="REGION LOSS",IF(E458=C458,1,0),0))</f>
        <v>0</v>
      </c>
      <c r="K458" s="15" t="n">
        <f aca="false">IF(B458="SITE LOSS",IF(COUNTIFS('Site Dockets'!$B$7:$B$24,C458,'Site Dockets'!$C$7:$C$24,F458)&gt;0,1,0),IF(B458="REGION LOSS",IF(COUNTIFS('Site Dockets'!$E$7:$E$24,C458,'Site Dockets'!$C$7:$C$24,F458)&gt;0,1,0),0))</f>
        <v>1</v>
      </c>
      <c r="L458" s="15" t="n">
        <f aca="false">IF(J458=1,0,Inputs!$B$11)</f>
        <v>100</v>
      </c>
      <c r="M458" s="15" t="n">
        <f aca="false">IF(J458=1,0,Inputs!$B$12)</f>
        <v>75</v>
      </c>
      <c r="N458" s="15" t="n">
        <f aca="false">IF(J458=1,0,IF(OR(AND(OR(B458="SITE LOSS",B458="REGION LOSS"),K458=1),AND(B458="ROLE COMPROMISE",H458=C458)),Inputs!$B$13,Inputs!$B$14))</f>
        <v>20</v>
      </c>
      <c r="O458" s="15" t="n">
        <f aca="false">IF(J458=1,0,Inputs!$B$13)</f>
        <v>20</v>
      </c>
      <c r="P458" s="15" t="n">
        <f aca="false">SUM(M458:N458)</f>
        <v>95</v>
      </c>
      <c r="Q458" s="15" t="n">
        <f aca="false">IF(J458=1,"",L458-P458)</f>
        <v>5</v>
      </c>
      <c r="R458" s="15" t="n">
        <f aca="false">IF(OR(J458=1,M458&lt;=Inputs!$B$12),1,0)</f>
        <v>1</v>
      </c>
      <c r="S458" s="15" t="n">
        <f aca="false">IF(OR(J458=1,N458&lt;=O458),1,0)</f>
        <v>1</v>
      </c>
      <c r="T458" s="15" t="str">
        <f aca="false">IF(J458=1,"OFFLINE",IF(AND(Q458&gt;=Inputs!$B$15,R458=1,S458=1,P458&lt;=L458),"PASS","FAIL"))</f>
        <v>PASS</v>
      </c>
    </row>
    <row r="459" customFormat="false" ht="15" hidden="false" customHeight="false" outlineLevel="0" collapsed="false">
      <c r="A459" s="14" t="s">
        <v>1023</v>
      </c>
      <c r="B459" s="14" t="s">
        <v>1019</v>
      </c>
      <c r="C459" s="14" t="s">
        <v>168</v>
      </c>
      <c r="D459" s="14" t="s">
        <v>163</v>
      </c>
      <c r="E459" s="14" t="s">
        <v>166</v>
      </c>
      <c r="F459" s="14" t="s">
        <v>164</v>
      </c>
      <c r="G459" s="14" t="n">
        <v>1</v>
      </c>
      <c r="H459" s="14" t="s">
        <v>154</v>
      </c>
      <c r="I459" s="14" t="s">
        <v>811</v>
      </c>
      <c r="J459" s="15" t="n">
        <f aca="false">IF(B459="SITE LOSS",IF(D459=C459,1,0),IF(B459="REGION LOSS",IF(E459=C459,1,0),0))</f>
        <v>0</v>
      </c>
      <c r="K459" s="15" t="n">
        <f aca="false">IF(B459="SITE LOSS",IF(COUNTIFS('Site Dockets'!$B$7:$B$24,C459,'Site Dockets'!$C$7:$C$24,F459)&gt;0,1,0),IF(B459="REGION LOSS",IF(COUNTIFS('Site Dockets'!$E$7:$E$24,C459,'Site Dockets'!$C$7:$C$24,F459)&gt;0,1,0),0))</f>
        <v>1</v>
      </c>
      <c r="L459" s="15" t="n">
        <f aca="false">IF(J459=1,0,Inputs!$B$11)</f>
        <v>100</v>
      </c>
      <c r="M459" s="15" t="n">
        <f aca="false">IF(J459=1,0,Inputs!$B$12)</f>
        <v>75</v>
      </c>
      <c r="N459" s="15" t="n">
        <f aca="false">IF(J459=1,0,IF(OR(AND(OR(B459="SITE LOSS",B459="REGION LOSS"),K459=1),AND(B459="ROLE COMPROMISE",H459=C459)),Inputs!$B$13,Inputs!$B$14))</f>
        <v>20</v>
      </c>
      <c r="O459" s="15" t="n">
        <f aca="false">IF(J459=1,0,Inputs!$B$13)</f>
        <v>20</v>
      </c>
      <c r="P459" s="15" t="n">
        <f aca="false">SUM(M459:N459)</f>
        <v>95</v>
      </c>
      <c r="Q459" s="15" t="n">
        <f aca="false">IF(J459=1,"",L459-P459)</f>
        <v>5</v>
      </c>
      <c r="R459" s="15" t="n">
        <f aca="false">IF(OR(J459=1,M459&lt;=Inputs!$B$12),1,0)</f>
        <v>1</v>
      </c>
      <c r="S459" s="15" t="n">
        <f aca="false">IF(OR(J459=1,N459&lt;=O459),1,0)</f>
        <v>1</v>
      </c>
      <c r="T459" s="15" t="str">
        <f aca="false">IF(J459=1,"OFFLINE",IF(AND(Q459&gt;=Inputs!$B$15,R459=1,S459=1,P459&lt;=L459),"PASS","FAIL"))</f>
        <v>PASS</v>
      </c>
    </row>
    <row r="460" customFormat="false" ht="15" hidden="false" customHeight="false" outlineLevel="0" collapsed="false">
      <c r="A460" s="14" t="s">
        <v>1023</v>
      </c>
      <c r="B460" s="14" t="s">
        <v>1019</v>
      </c>
      <c r="C460" s="14" t="s">
        <v>168</v>
      </c>
      <c r="D460" s="14" t="s">
        <v>163</v>
      </c>
      <c r="E460" s="14" t="s">
        <v>166</v>
      </c>
      <c r="F460" s="14" t="s">
        <v>164</v>
      </c>
      <c r="G460" s="14" t="n">
        <v>1</v>
      </c>
      <c r="H460" s="14" t="s">
        <v>154</v>
      </c>
      <c r="I460" s="14" t="s">
        <v>895</v>
      </c>
      <c r="J460" s="15" t="n">
        <f aca="false">IF(B460="SITE LOSS",IF(D460=C460,1,0),IF(B460="REGION LOSS",IF(E460=C460,1,0),0))</f>
        <v>0</v>
      </c>
      <c r="K460" s="15" t="n">
        <f aca="false">IF(B460="SITE LOSS",IF(COUNTIFS('Site Dockets'!$B$7:$B$24,C460,'Site Dockets'!$C$7:$C$24,F460)&gt;0,1,0),IF(B460="REGION LOSS",IF(COUNTIFS('Site Dockets'!$E$7:$E$24,C460,'Site Dockets'!$C$7:$C$24,F460)&gt;0,1,0),0))</f>
        <v>1</v>
      </c>
      <c r="L460" s="15" t="n">
        <f aca="false">IF(J460=1,0,Inputs!$B$11)</f>
        <v>100</v>
      </c>
      <c r="M460" s="15" t="n">
        <f aca="false">IF(J460=1,0,Inputs!$B$12)</f>
        <v>75</v>
      </c>
      <c r="N460" s="15" t="n">
        <f aca="false">IF(J460=1,0,IF(OR(AND(OR(B460="SITE LOSS",B460="REGION LOSS"),K460=1),AND(B460="ROLE COMPROMISE",H460=C460)),Inputs!$B$13,Inputs!$B$14))</f>
        <v>20</v>
      </c>
      <c r="O460" s="15" t="n">
        <f aca="false">IF(J460=1,0,Inputs!$B$13)</f>
        <v>20</v>
      </c>
      <c r="P460" s="15" t="n">
        <f aca="false">SUM(M460:N460)</f>
        <v>95</v>
      </c>
      <c r="Q460" s="15" t="n">
        <f aca="false">IF(J460=1,"",L460-P460)</f>
        <v>5</v>
      </c>
      <c r="R460" s="15" t="n">
        <f aca="false">IF(OR(J460=1,M460&lt;=Inputs!$B$12),1,0)</f>
        <v>1</v>
      </c>
      <c r="S460" s="15" t="n">
        <f aca="false">IF(OR(J460=1,N460&lt;=O460),1,0)</f>
        <v>1</v>
      </c>
      <c r="T460" s="15" t="str">
        <f aca="false">IF(J460=1,"OFFLINE",IF(AND(Q460&gt;=Inputs!$B$15,R460=1,S460=1,P460&lt;=L460),"PASS","FAIL"))</f>
        <v>PASS</v>
      </c>
    </row>
    <row r="461" customFormat="false" ht="15" hidden="false" customHeight="false" outlineLevel="0" collapsed="false">
      <c r="A461" s="14" t="s">
        <v>1023</v>
      </c>
      <c r="B461" s="14" t="s">
        <v>1019</v>
      </c>
      <c r="C461" s="14" t="s">
        <v>168</v>
      </c>
      <c r="D461" s="14" t="s">
        <v>163</v>
      </c>
      <c r="E461" s="14" t="s">
        <v>166</v>
      </c>
      <c r="F461" s="14" t="s">
        <v>164</v>
      </c>
      <c r="G461" s="14" t="n">
        <v>1</v>
      </c>
      <c r="H461" s="14" t="s">
        <v>154</v>
      </c>
      <c r="I461" s="14" t="s">
        <v>897</v>
      </c>
      <c r="J461" s="15" t="n">
        <f aca="false">IF(B461="SITE LOSS",IF(D461=C461,1,0),IF(B461="REGION LOSS",IF(E461=C461,1,0),0))</f>
        <v>0</v>
      </c>
      <c r="K461" s="15" t="n">
        <f aca="false">IF(B461="SITE LOSS",IF(COUNTIFS('Site Dockets'!$B$7:$B$24,C461,'Site Dockets'!$C$7:$C$24,F461)&gt;0,1,0),IF(B461="REGION LOSS",IF(COUNTIFS('Site Dockets'!$E$7:$E$24,C461,'Site Dockets'!$C$7:$C$24,F461)&gt;0,1,0),0))</f>
        <v>1</v>
      </c>
      <c r="L461" s="15" t="n">
        <f aca="false">IF(J461=1,0,Inputs!$B$11)</f>
        <v>100</v>
      </c>
      <c r="M461" s="15" t="n">
        <f aca="false">IF(J461=1,0,Inputs!$B$12)</f>
        <v>75</v>
      </c>
      <c r="N461" s="15" t="n">
        <f aca="false">IF(J461=1,0,IF(OR(AND(OR(B461="SITE LOSS",B461="REGION LOSS"),K461=1),AND(B461="ROLE COMPROMISE",H461=C461)),Inputs!$B$13,Inputs!$B$14))</f>
        <v>20</v>
      </c>
      <c r="O461" s="15" t="n">
        <f aca="false">IF(J461=1,0,Inputs!$B$13)</f>
        <v>20</v>
      </c>
      <c r="P461" s="15" t="n">
        <f aca="false">SUM(M461:N461)</f>
        <v>95</v>
      </c>
      <c r="Q461" s="15" t="n">
        <f aca="false">IF(J461=1,"",L461-P461)</f>
        <v>5</v>
      </c>
      <c r="R461" s="15" t="n">
        <f aca="false">IF(OR(J461=1,M461&lt;=Inputs!$B$12),1,0)</f>
        <v>1</v>
      </c>
      <c r="S461" s="15" t="n">
        <f aca="false">IF(OR(J461=1,N461&lt;=O461),1,0)</f>
        <v>1</v>
      </c>
      <c r="T461" s="15" t="str">
        <f aca="false">IF(J461=1,"OFFLINE",IF(AND(Q461&gt;=Inputs!$B$15,R461=1,S461=1,P461&lt;=L461),"PASS","FAIL"))</f>
        <v>PASS</v>
      </c>
    </row>
    <row r="462" customFormat="false" ht="15" hidden="false" customHeight="false" outlineLevel="0" collapsed="false">
      <c r="A462" s="14" t="s">
        <v>1023</v>
      </c>
      <c r="B462" s="14" t="s">
        <v>1019</v>
      </c>
      <c r="C462" s="14" t="s">
        <v>168</v>
      </c>
      <c r="D462" s="14" t="s">
        <v>163</v>
      </c>
      <c r="E462" s="14" t="s">
        <v>166</v>
      </c>
      <c r="F462" s="14" t="s">
        <v>164</v>
      </c>
      <c r="G462" s="14" t="n">
        <v>1</v>
      </c>
      <c r="H462" s="14" t="s">
        <v>154</v>
      </c>
      <c r="I462" s="14" t="s">
        <v>899</v>
      </c>
      <c r="J462" s="15" t="n">
        <f aca="false">IF(B462="SITE LOSS",IF(D462=C462,1,0),IF(B462="REGION LOSS",IF(E462=C462,1,0),0))</f>
        <v>0</v>
      </c>
      <c r="K462" s="15" t="n">
        <f aca="false">IF(B462="SITE LOSS",IF(COUNTIFS('Site Dockets'!$B$7:$B$24,C462,'Site Dockets'!$C$7:$C$24,F462)&gt;0,1,0),IF(B462="REGION LOSS",IF(COUNTIFS('Site Dockets'!$E$7:$E$24,C462,'Site Dockets'!$C$7:$C$24,F462)&gt;0,1,0),0))</f>
        <v>1</v>
      </c>
      <c r="L462" s="15" t="n">
        <f aca="false">IF(J462=1,0,Inputs!$B$11)</f>
        <v>100</v>
      </c>
      <c r="M462" s="15" t="n">
        <f aca="false">IF(J462=1,0,Inputs!$B$12)</f>
        <v>75</v>
      </c>
      <c r="N462" s="15" t="n">
        <f aca="false">IF(J462=1,0,IF(OR(AND(OR(B462="SITE LOSS",B462="REGION LOSS"),K462=1),AND(B462="ROLE COMPROMISE",H462=C462)),Inputs!$B$13,Inputs!$B$14))</f>
        <v>20</v>
      </c>
      <c r="O462" s="15" t="n">
        <f aca="false">IF(J462=1,0,Inputs!$B$13)</f>
        <v>20</v>
      </c>
      <c r="P462" s="15" t="n">
        <f aca="false">SUM(M462:N462)</f>
        <v>95</v>
      </c>
      <c r="Q462" s="15" t="n">
        <f aca="false">IF(J462=1,"",L462-P462)</f>
        <v>5</v>
      </c>
      <c r="R462" s="15" t="n">
        <f aca="false">IF(OR(J462=1,M462&lt;=Inputs!$B$12),1,0)</f>
        <v>1</v>
      </c>
      <c r="S462" s="15" t="n">
        <f aca="false">IF(OR(J462=1,N462&lt;=O462),1,0)</f>
        <v>1</v>
      </c>
      <c r="T462" s="15" t="str">
        <f aca="false">IF(J462=1,"OFFLINE",IF(AND(Q462&gt;=Inputs!$B$15,R462=1,S462=1,P462&lt;=L462),"PASS","FAIL"))</f>
        <v>PASS</v>
      </c>
    </row>
    <row r="463" customFormat="false" ht="15" hidden="false" customHeight="false" outlineLevel="0" collapsed="false">
      <c r="A463" s="14" t="s">
        <v>1023</v>
      </c>
      <c r="B463" s="14" t="s">
        <v>1019</v>
      </c>
      <c r="C463" s="14" t="s">
        <v>168</v>
      </c>
      <c r="D463" s="14" t="s">
        <v>168</v>
      </c>
      <c r="E463" s="14" t="s">
        <v>169</v>
      </c>
      <c r="F463" s="14" t="s">
        <v>164</v>
      </c>
      <c r="G463" s="14" t="n">
        <v>2</v>
      </c>
      <c r="H463" s="14" t="s">
        <v>153</v>
      </c>
      <c r="I463" s="14" t="s">
        <v>890</v>
      </c>
      <c r="J463" s="15" t="n">
        <f aca="false">IF(B463="SITE LOSS",IF(D463=C463,1,0),IF(B463="REGION LOSS",IF(E463=C463,1,0),0))</f>
        <v>1</v>
      </c>
      <c r="K463" s="15" t="n">
        <f aca="false">IF(B463="SITE LOSS",IF(COUNTIFS('Site Dockets'!$B$7:$B$24,C463,'Site Dockets'!$C$7:$C$24,F463)&gt;0,1,0),IF(B463="REGION LOSS",IF(COUNTIFS('Site Dockets'!$E$7:$E$24,C463,'Site Dockets'!$C$7:$C$24,F463)&gt;0,1,0),0))</f>
        <v>1</v>
      </c>
      <c r="L463" s="15" t="n">
        <f aca="false">IF(J463=1,0,Inputs!$B$11)</f>
        <v>0</v>
      </c>
      <c r="M463" s="15" t="n">
        <f aca="false">IF(J463=1,0,Inputs!$B$12)</f>
        <v>0</v>
      </c>
      <c r="N463" s="15" t="n">
        <f aca="false">IF(J463=1,0,IF(OR(AND(OR(B463="SITE LOSS",B463="REGION LOSS"),K463=1),AND(B463="ROLE COMPROMISE",H463=C463)),Inputs!$B$13,Inputs!$B$14))</f>
        <v>0</v>
      </c>
      <c r="O463" s="15" t="n">
        <f aca="false">IF(J463=1,0,Inputs!$B$13)</f>
        <v>0</v>
      </c>
      <c r="P463" s="15" t="n">
        <f aca="false">SUM(M463:N463)</f>
        <v>0</v>
      </c>
      <c r="Q463" s="15" t="str">
        <f aca="false">IF(J463=1,"",L463-P463)</f>
        <v/>
      </c>
      <c r="R463" s="15" t="n">
        <f aca="false">IF(OR(J463=1,M463&lt;=Inputs!$B$12),1,0)</f>
        <v>1</v>
      </c>
      <c r="S463" s="15" t="n">
        <f aca="false">IF(OR(J463=1,N463&lt;=O463),1,0)</f>
        <v>1</v>
      </c>
      <c r="T463" s="15" t="str">
        <f aca="false">IF(J463=1,"OFFLINE",IF(AND(Q463&gt;=Inputs!$B$15,R463=1,S463=1,P463&lt;=L463),"PASS","FAIL"))</f>
        <v>OFFLINE</v>
      </c>
    </row>
    <row r="464" customFormat="false" ht="15" hidden="false" customHeight="false" outlineLevel="0" collapsed="false">
      <c r="A464" s="14" t="s">
        <v>1023</v>
      </c>
      <c r="B464" s="14" t="s">
        <v>1019</v>
      </c>
      <c r="C464" s="14" t="s">
        <v>168</v>
      </c>
      <c r="D464" s="14" t="s">
        <v>168</v>
      </c>
      <c r="E464" s="14" t="s">
        <v>169</v>
      </c>
      <c r="F464" s="14" t="s">
        <v>164</v>
      </c>
      <c r="G464" s="14" t="n">
        <v>2</v>
      </c>
      <c r="H464" s="14" t="s">
        <v>153</v>
      </c>
      <c r="I464" s="14" t="s">
        <v>892</v>
      </c>
      <c r="J464" s="15" t="n">
        <f aca="false">IF(B464="SITE LOSS",IF(D464=C464,1,0),IF(B464="REGION LOSS",IF(E464=C464,1,0),0))</f>
        <v>1</v>
      </c>
      <c r="K464" s="15" t="n">
        <f aca="false">IF(B464="SITE LOSS",IF(COUNTIFS('Site Dockets'!$B$7:$B$24,C464,'Site Dockets'!$C$7:$C$24,F464)&gt;0,1,0),IF(B464="REGION LOSS",IF(COUNTIFS('Site Dockets'!$E$7:$E$24,C464,'Site Dockets'!$C$7:$C$24,F464)&gt;0,1,0),0))</f>
        <v>1</v>
      </c>
      <c r="L464" s="15" t="n">
        <f aca="false">IF(J464=1,0,Inputs!$B$11)</f>
        <v>0</v>
      </c>
      <c r="M464" s="15" t="n">
        <f aca="false">IF(J464=1,0,Inputs!$B$12)</f>
        <v>0</v>
      </c>
      <c r="N464" s="15" t="n">
        <f aca="false">IF(J464=1,0,IF(OR(AND(OR(B464="SITE LOSS",B464="REGION LOSS"),K464=1),AND(B464="ROLE COMPROMISE",H464=C464)),Inputs!$B$13,Inputs!$B$14))</f>
        <v>0</v>
      </c>
      <c r="O464" s="15" t="n">
        <f aca="false">IF(J464=1,0,Inputs!$B$13)</f>
        <v>0</v>
      </c>
      <c r="P464" s="15" t="n">
        <f aca="false">SUM(M464:N464)</f>
        <v>0</v>
      </c>
      <c r="Q464" s="15" t="str">
        <f aca="false">IF(J464=1,"",L464-P464)</f>
        <v/>
      </c>
      <c r="R464" s="15" t="n">
        <f aca="false">IF(OR(J464=1,M464&lt;=Inputs!$B$12),1,0)</f>
        <v>1</v>
      </c>
      <c r="S464" s="15" t="n">
        <f aca="false">IF(OR(J464=1,N464&lt;=O464),1,0)</f>
        <v>1</v>
      </c>
      <c r="T464" s="15" t="str">
        <f aca="false">IF(J464=1,"OFFLINE",IF(AND(Q464&gt;=Inputs!$B$15,R464=1,S464=1,P464&lt;=L464),"PASS","FAIL"))</f>
        <v>OFFLINE</v>
      </c>
    </row>
    <row r="465" customFormat="false" ht="15" hidden="false" customHeight="false" outlineLevel="0" collapsed="false">
      <c r="A465" s="14" t="s">
        <v>1023</v>
      </c>
      <c r="B465" s="14" t="s">
        <v>1019</v>
      </c>
      <c r="C465" s="14" t="s">
        <v>168</v>
      </c>
      <c r="D465" s="14" t="s">
        <v>168</v>
      </c>
      <c r="E465" s="14" t="s">
        <v>169</v>
      </c>
      <c r="F465" s="14" t="s">
        <v>164</v>
      </c>
      <c r="G465" s="14" t="n">
        <v>2</v>
      </c>
      <c r="H465" s="14" t="s">
        <v>153</v>
      </c>
      <c r="I465" s="14" t="s">
        <v>811</v>
      </c>
      <c r="J465" s="15" t="n">
        <f aca="false">IF(B465="SITE LOSS",IF(D465=C465,1,0),IF(B465="REGION LOSS",IF(E465=C465,1,0),0))</f>
        <v>1</v>
      </c>
      <c r="K465" s="15" t="n">
        <f aca="false">IF(B465="SITE LOSS",IF(COUNTIFS('Site Dockets'!$B$7:$B$24,C465,'Site Dockets'!$C$7:$C$24,F465)&gt;0,1,0),IF(B465="REGION LOSS",IF(COUNTIFS('Site Dockets'!$E$7:$E$24,C465,'Site Dockets'!$C$7:$C$24,F465)&gt;0,1,0),0))</f>
        <v>1</v>
      </c>
      <c r="L465" s="15" t="n">
        <f aca="false">IF(J465=1,0,Inputs!$B$11)</f>
        <v>0</v>
      </c>
      <c r="M465" s="15" t="n">
        <f aca="false">IF(J465=1,0,Inputs!$B$12)</f>
        <v>0</v>
      </c>
      <c r="N465" s="15" t="n">
        <f aca="false">IF(J465=1,0,IF(OR(AND(OR(B465="SITE LOSS",B465="REGION LOSS"),K465=1),AND(B465="ROLE COMPROMISE",H465=C465)),Inputs!$B$13,Inputs!$B$14))</f>
        <v>0</v>
      </c>
      <c r="O465" s="15" t="n">
        <f aca="false">IF(J465=1,0,Inputs!$B$13)</f>
        <v>0</v>
      </c>
      <c r="P465" s="15" t="n">
        <f aca="false">SUM(M465:N465)</f>
        <v>0</v>
      </c>
      <c r="Q465" s="15" t="str">
        <f aca="false">IF(J465=1,"",L465-P465)</f>
        <v/>
      </c>
      <c r="R465" s="15" t="n">
        <f aca="false">IF(OR(J465=1,M465&lt;=Inputs!$B$12),1,0)</f>
        <v>1</v>
      </c>
      <c r="S465" s="15" t="n">
        <f aca="false">IF(OR(J465=1,N465&lt;=O465),1,0)</f>
        <v>1</v>
      </c>
      <c r="T465" s="15" t="str">
        <f aca="false">IF(J465=1,"OFFLINE",IF(AND(Q465&gt;=Inputs!$B$15,R465=1,S465=1,P465&lt;=L465),"PASS","FAIL"))</f>
        <v>OFFLINE</v>
      </c>
    </row>
    <row r="466" customFormat="false" ht="15" hidden="false" customHeight="false" outlineLevel="0" collapsed="false">
      <c r="A466" s="14" t="s">
        <v>1023</v>
      </c>
      <c r="B466" s="14" t="s">
        <v>1019</v>
      </c>
      <c r="C466" s="14" t="s">
        <v>168</v>
      </c>
      <c r="D466" s="14" t="s">
        <v>168</v>
      </c>
      <c r="E466" s="14" t="s">
        <v>169</v>
      </c>
      <c r="F466" s="14" t="s">
        <v>164</v>
      </c>
      <c r="G466" s="14" t="n">
        <v>2</v>
      </c>
      <c r="H466" s="14" t="s">
        <v>153</v>
      </c>
      <c r="I466" s="14" t="s">
        <v>895</v>
      </c>
      <c r="J466" s="15" t="n">
        <f aca="false">IF(B466="SITE LOSS",IF(D466=C466,1,0),IF(B466="REGION LOSS",IF(E466=C466,1,0),0))</f>
        <v>1</v>
      </c>
      <c r="K466" s="15" t="n">
        <f aca="false">IF(B466="SITE LOSS",IF(COUNTIFS('Site Dockets'!$B$7:$B$24,C466,'Site Dockets'!$C$7:$C$24,F466)&gt;0,1,0),IF(B466="REGION LOSS",IF(COUNTIFS('Site Dockets'!$E$7:$E$24,C466,'Site Dockets'!$C$7:$C$24,F466)&gt;0,1,0),0))</f>
        <v>1</v>
      </c>
      <c r="L466" s="15" t="n">
        <f aca="false">IF(J466=1,0,Inputs!$B$11)</f>
        <v>0</v>
      </c>
      <c r="M466" s="15" t="n">
        <f aca="false">IF(J466=1,0,Inputs!$B$12)</f>
        <v>0</v>
      </c>
      <c r="N466" s="15" t="n">
        <f aca="false">IF(J466=1,0,IF(OR(AND(OR(B466="SITE LOSS",B466="REGION LOSS"),K466=1),AND(B466="ROLE COMPROMISE",H466=C466)),Inputs!$B$13,Inputs!$B$14))</f>
        <v>0</v>
      </c>
      <c r="O466" s="15" t="n">
        <f aca="false">IF(J466=1,0,Inputs!$B$13)</f>
        <v>0</v>
      </c>
      <c r="P466" s="15" t="n">
        <f aca="false">SUM(M466:N466)</f>
        <v>0</v>
      </c>
      <c r="Q466" s="15" t="str">
        <f aca="false">IF(J466=1,"",L466-P466)</f>
        <v/>
      </c>
      <c r="R466" s="15" t="n">
        <f aca="false">IF(OR(J466=1,M466&lt;=Inputs!$B$12),1,0)</f>
        <v>1</v>
      </c>
      <c r="S466" s="15" t="n">
        <f aca="false">IF(OR(J466=1,N466&lt;=O466),1,0)</f>
        <v>1</v>
      </c>
      <c r="T466" s="15" t="str">
        <f aca="false">IF(J466=1,"OFFLINE",IF(AND(Q466&gt;=Inputs!$B$15,R466=1,S466=1,P466&lt;=L466),"PASS","FAIL"))</f>
        <v>OFFLINE</v>
      </c>
    </row>
    <row r="467" customFormat="false" ht="15" hidden="false" customHeight="false" outlineLevel="0" collapsed="false">
      <c r="A467" s="14" t="s">
        <v>1023</v>
      </c>
      <c r="B467" s="14" t="s">
        <v>1019</v>
      </c>
      <c r="C467" s="14" t="s">
        <v>168</v>
      </c>
      <c r="D467" s="14" t="s">
        <v>168</v>
      </c>
      <c r="E467" s="14" t="s">
        <v>169</v>
      </c>
      <c r="F467" s="14" t="s">
        <v>164</v>
      </c>
      <c r="G467" s="14" t="n">
        <v>2</v>
      </c>
      <c r="H467" s="14" t="s">
        <v>153</v>
      </c>
      <c r="I467" s="14" t="s">
        <v>897</v>
      </c>
      <c r="J467" s="15" t="n">
        <f aca="false">IF(B467="SITE LOSS",IF(D467=C467,1,0),IF(B467="REGION LOSS",IF(E467=C467,1,0),0))</f>
        <v>1</v>
      </c>
      <c r="K467" s="15" t="n">
        <f aca="false">IF(B467="SITE LOSS",IF(COUNTIFS('Site Dockets'!$B$7:$B$24,C467,'Site Dockets'!$C$7:$C$24,F467)&gt;0,1,0),IF(B467="REGION LOSS",IF(COUNTIFS('Site Dockets'!$E$7:$E$24,C467,'Site Dockets'!$C$7:$C$24,F467)&gt;0,1,0),0))</f>
        <v>1</v>
      </c>
      <c r="L467" s="15" t="n">
        <f aca="false">IF(J467=1,0,Inputs!$B$11)</f>
        <v>0</v>
      </c>
      <c r="M467" s="15" t="n">
        <f aca="false">IF(J467=1,0,Inputs!$B$12)</f>
        <v>0</v>
      </c>
      <c r="N467" s="15" t="n">
        <f aca="false">IF(J467=1,0,IF(OR(AND(OR(B467="SITE LOSS",B467="REGION LOSS"),K467=1),AND(B467="ROLE COMPROMISE",H467=C467)),Inputs!$B$13,Inputs!$B$14))</f>
        <v>0</v>
      </c>
      <c r="O467" s="15" t="n">
        <f aca="false">IF(J467=1,0,Inputs!$B$13)</f>
        <v>0</v>
      </c>
      <c r="P467" s="15" t="n">
        <f aca="false">SUM(M467:N467)</f>
        <v>0</v>
      </c>
      <c r="Q467" s="15" t="str">
        <f aca="false">IF(J467=1,"",L467-P467)</f>
        <v/>
      </c>
      <c r="R467" s="15" t="n">
        <f aca="false">IF(OR(J467=1,M467&lt;=Inputs!$B$12),1,0)</f>
        <v>1</v>
      </c>
      <c r="S467" s="15" t="n">
        <f aca="false">IF(OR(J467=1,N467&lt;=O467),1,0)</f>
        <v>1</v>
      </c>
      <c r="T467" s="15" t="str">
        <f aca="false">IF(J467=1,"OFFLINE",IF(AND(Q467&gt;=Inputs!$B$15,R467=1,S467=1,P467&lt;=L467),"PASS","FAIL"))</f>
        <v>OFFLINE</v>
      </c>
    </row>
    <row r="468" customFormat="false" ht="15" hidden="false" customHeight="false" outlineLevel="0" collapsed="false">
      <c r="A468" s="14" t="s">
        <v>1023</v>
      </c>
      <c r="B468" s="14" t="s">
        <v>1019</v>
      </c>
      <c r="C468" s="14" t="s">
        <v>168</v>
      </c>
      <c r="D468" s="14" t="s">
        <v>168</v>
      </c>
      <c r="E468" s="14" t="s">
        <v>169</v>
      </c>
      <c r="F468" s="14" t="s">
        <v>164</v>
      </c>
      <c r="G468" s="14" t="n">
        <v>2</v>
      </c>
      <c r="H468" s="14" t="s">
        <v>153</v>
      </c>
      <c r="I468" s="14" t="s">
        <v>899</v>
      </c>
      <c r="J468" s="15" t="n">
        <f aca="false">IF(B468="SITE LOSS",IF(D468=C468,1,0),IF(B468="REGION LOSS",IF(E468=C468,1,0),0))</f>
        <v>1</v>
      </c>
      <c r="K468" s="15" t="n">
        <f aca="false">IF(B468="SITE LOSS",IF(COUNTIFS('Site Dockets'!$B$7:$B$24,C468,'Site Dockets'!$C$7:$C$24,F468)&gt;0,1,0),IF(B468="REGION LOSS",IF(COUNTIFS('Site Dockets'!$E$7:$E$24,C468,'Site Dockets'!$C$7:$C$24,F468)&gt;0,1,0),0))</f>
        <v>1</v>
      </c>
      <c r="L468" s="15" t="n">
        <f aca="false">IF(J468=1,0,Inputs!$B$11)</f>
        <v>0</v>
      </c>
      <c r="M468" s="15" t="n">
        <f aca="false">IF(J468=1,0,Inputs!$B$12)</f>
        <v>0</v>
      </c>
      <c r="N468" s="15" t="n">
        <f aca="false">IF(J468=1,0,IF(OR(AND(OR(B468="SITE LOSS",B468="REGION LOSS"),K468=1),AND(B468="ROLE COMPROMISE",H468=C468)),Inputs!$B$13,Inputs!$B$14))</f>
        <v>0</v>
      </c>
      <c r="O468" s="15" t="n">
        <f aca="false">IF(J468=1,0,Inputs!$B$13)</f>
        <v>0</v>
      </c>
      <c r="P468" s="15" t="n">
        <f aca="false">SUM(M468:N468)</f>
        <v>0</v>
      </c>
      <c r="Q468" s="15" t="str">
        <f aca="false">IF(J468=1,"",L468-P468)</f>
        <v/>
      </c>
      <c r="R468" s="15" t="n">
        <f aca="false">IF(OR(J468=1,M468&lt;=Inputs!$B$12),1,0)</f>
        <v>1</v>
      </c>
      <c r="S468" s="15" t="n">
        <f aca="false">IF(OR(J468=1,N468&lt;=O468),1,0)</f>
        <v>1</v>
      </c>
      <c r="T468" s="15" t="str">
        <f aca="false">IF(J468=1,"OFFLINE",IF(AND(Q468&gt;=Inputs!$B$15,R468=1,S468=1,P468&lt;=L468),"PASS","FAIL"))</f>
        <v>OFFLINE</v>
      </c>
    </row>
    <row r="469" customFormat="false" ht="15" hidden="false" customHeight="false" outlineLevel="0" collapsed="false">
      <c r="A469" s="14" t="s">
        <v>1023</v>
      </c>
      <c r="B469" s="14" t="s">
        <v>1019</v>
      </c>
      <c r="C469" s="14" t="s">
        <v>168</v>
      </c>
      <c r="D469" s="14" t="s">
        <v>171</v>
      </c>
      <c r="E469" s="14" t="s">
        <v>172</v>
      </c>
      <c r="F469" s="14" t="s">
        <v>164</v>
      </c>
      <c r="G469" s="14" t="n">
        <v>3</v>
      </c>
      <c r="H469" s="14" t="s">
        <v>158</v>
      </c>
      <c r="I469" s="14" t="s">
        <v>890</v>
      </c>
      <c r="J469" s="15" t="n">
        <f aca="false">IF(B469="SITE LOSS",IF(D469=C469,1,0),IF(B469="REGION LOSS",IF(E469=C469,1,0),0))</f>
        <v>0</v>
      </c>
      <c r="K469" s="15" t="n">
        <f aca="false">IF(B469="SITE LOSS",IF(COUNTIFS('Site Dockets'!$B$7:$B$24,C469,'Site Dockets'!$C$7:$C$24,F469)&gt;0,1,0),IF(B469="REGION LOSS",IF(COUNTIFS('Site Dockets'!$E$7:$E$24,C469,'Site Dockets'!$C$7:$C$24,F469)&gt;0,1,0),0))</f>
        <v>1</v>
      </c>
      <c r="L469" s="15" t="n">
        <f aca="false">IF(J469=1,0,Inputs!$B$11)</f>
        <v>100</v>
      </c>
      <c r="M469" s="15" t="n">
        <f aca="false">IF(J469=1,0,Inputs!$B$12)</f>
        <v>75</v>
      </c>
      <c r="N469" s="15" t="n">
        <f aca="false">IF(J469=1,0,IF(OR(AND(OR(B469="SITE LOSS",B469="REGION LOSS"),K469=1),AND(B469="ROLE COMPROMISE",H469=C469)),Inputs!$B$13,Inputs!$B$14))</f>
        <v>20</v>
      </c>
      <c r="O469" s="15" t="n">
        <f aca="false">IF(J469=1,0,Inputs!$B$13)</f>
        <v>20</v>
      </c>
      <c r="P469" s="15" t="n">
        <f aca="false">SUM(M469:N469)</f>
        <v>95</v>
      </c>
      <c r="Q469" s="15" t="n">
        <f aca="false">IF(J469=1,"",L469-P469)</f>
        <v>5</v>
      </c>
      <c r="R469" s="15" t="n">
        <f aca="false">IF(OR(J469=1,M469&lt;=Inputs!$B$12),1,0)</f>
        <v>1</v>
      </c>
      <c r="S469" s="15" t="n">
        <f aca="false">IF(OR(J469=1,N469&lt;=O469),1,0)</f>
        <v>1</v>
      </c>
      <c r="T469" s="15" t="str">
        <f aca="false">IF(J469=1,"OFFLINE",IF(AND(Q469&gt;=Inputs!$B$15,R469=1,S469=1,P469&lt;=L469),"PASS","FAIL"))</f>
        <v>PASS</v>
      </c>
    </row>
    <row r="470" customFormat="false" ht="15" hidden="false" customHeight="false" outlineLevel="0" collapsed="false">
      <c r="A470" s="14" t="s">
        <v>1023</v>
      </c>
      <c r="B470" s="14" t="s">
        <v>1019</v>
      </c>
      <c r="C470" s="14" t="s">
        <v>168</v>
      </c>
      <c r="D470" s="14" t="s">
        <v>171</v>
      </c>
      <c r="E470" s="14" t="s">
        <v>172</v>
      </c>
      <c r="F470" s="14" t="s">
        <v>164</v>
      </c>
      <c r="G470" s="14" t="n">
        <v>3</v>
      </c>
      <c r="H470" s="14" t="s">
        <v>158</v>
      </c>
      <c r="I470" s="14" t="s">
        <v>892</v>
      </c>
      <c r="J470" s="15" t="n">
        <f aca="false">IF(B470="SITE LOSS",IF(D470=C470,1,0),IF(B470="REGION LOSS",IF(E470=C470,1,0),0))</f>
        <v>0</v>
      </c>
      <c r="K470" s="15" t="n">
        <f aca="false">IF(B470="SITE LOSS",IF(COUNTIFS('Site Dockets'!$B$7:$B$24,C470,'Site Dockets'!$C$7:$C$24,F470)&gt;0,1,0),IF(B470="REGION LOSS",IF(COUNTIFS('Site Dockets'!$E$7:$E$24,C470,'Site Dockets'!$C$7:$C$24,F470)&gt;0,1,0),0))</f>
        <v>1</v>
      </c>
      <c r="L470" s="15" t="n">
        <f aca="false">IF(J470=1,0,Inputs!$B$11)</f>
        <v>100</v>
      </c>
      <c r="M470" s="15" t="n">
        <f aca="false">IF(J470=1,0,Inputs!$B$12)</f>
        <v>75</v>
      </c>
      <c r="N470" s="15" t="n">
        <f aca="false">IF(J470=1,0,IF(OR(AND(OR(B470="SITE LOSS",B470="REGION LOSS"),K470=1),AND(B470="ROLE COMPROMISE",H470=C470)),Inputs!$B$13,Inputs!$B$14))</f>
        <v>20</v>
      </c>
      <c r="O470" s="15" t="n">
        <f aca="false">IF(J470=1,0,Inputs!$B$13)</f>
        <v>20</v>
      </c>
      <c r="P470" s="15" t="n">
        <f aca="false">SUM(M470:N470)</f>
        <v>95</v>
      </c>
      <c r="Q470" s="15" t="n">
        <f aca="false">IF(J470=1,"",L470-P470)</f>
        <v>5</v>
      </c>
      <c r="R470" s="15" t="n">
        <f aca="false">IF(OR(J470=1,M470&lt;=Inputs!$B$12),1,0)</f>
        <v>1</v>
      </c>
      <c r="S470" s="15" t="n">
        <f aca="false">IF(OR(J470=1,N470&lt;=O470),1,0)</f>
        <v>1</v>
      </c>
      <c r="T470" s="15" t="str">
        <f aca="false">IF(J470=1,"OFFLINE",IF(AND(Q470&gt;=Inputs!$B$15,R470=1,S470=1,P470&lt;=L470),"PASS","FAIL"))</f>
        <v>PASS</v>
      </c>
    </row>
    <row r="471" customFormat="false" ht="15" hidden="false" customHeight="false" outlineLevel="0" collapsed="false">
      <c r="A471" s="14" t="s">
        <v>1023</v>
      </c>
      <c r="B471" s="14" t="s">
        <v>1019</v>
      </c>
      <c r="C471" s="14" t="s">
        <v>168</v>
      </c>
      <c r="D471" s="14" t="s">
        <v>171</v>
      </c>
      <c r="E471" s="14" t="s">
        <v>172</v>
      </c>
      <c r="F471" s="14" t="s">
        <v>164</v>
      </c>
      <c r="G471" s="14" t="n">
        <v>3</v>
      </c>
      <c r="H471" s="14" t="s">
        <v>158</v>
      </c>
      <c r="I471" s="14" t="s">
        <v>811</v>
      </c>
      <c r="J471" s="15" t="n">
        <f aca="false">IF(B471="SITE LOSS",IF(D471=C471,1,0),IF(B471="REGION LOSS",IF(E471=C471,1,0),0))</f>
        <v>0</v>
      </c>
      <c r="K471" s="15" t="n">
        <f aca="false">IF(B471="SITE LOSS",IF(COUNTIFS('Site Dockets'!$B$7:$B$24,C471,'Site Dockets'!$C$7:$C$24,F471)&gt;0,1,0),IF(B471="REGION LOSS",IF(COUNTIFS('Site Dockets'!$E$7:$E$24,C471,'Site Dockets'!$C$7:$C$24,F471)&gt;0,1,0),0))</f>
        <v>1</v>
      </c>
      <c r="L471" s="15" t="n">
        <f aca="false">IF(J471=1,0,Inputs!$B$11)</f>
        <v>100</v>
      </c>
      <c r="M471" s="15" t="n">
        <f aca="false">IF(J471=1,0,Inputs!$B$12)</f>
        <v>75</v>
      </c>
      <c r="N471" s="15" t="n">
        <f aca="false">IF(J471=1,0,IF(OR(AND(OR(B471="SITE LOSS",B471="REGION LOSS"),K471=1),AND(B471="ROLE COMPROMISE",H471=C471)),Inputs!$B$13,Inputs!$B$14))</f>
        <v>20</v>
      </c>
      <c r="O471" s="15" t="n">
        <f aca="false">IF(J471=1,0,Inputs!$B$13)</f>
        <v>20</v>
      </c>
      <c r="P471" s="15" t="n">
        <f aca="false">SUM(M471:N471)</f>
        <v>95</v>
      </c>
      <c r="Q471" s="15" t="n">
        <f aca="false">IF(J471=1,"",L471-P471)</f>
        <v>5</v>
      </c>
      <c r="R471" s="15" t="n">
        <f aca="false">IF(OR(J471=1,M471&lt;=Inputs!$B$12),1,0)</f>
        <v>1</v>
      </c>
      <c r="S471" s="15" t="n">
        <f aca="false">IF(OR(J471=1,N471&lt;=O471),1,0)</f>
        <v>1</v>
      </c>
      <c r="T471" s="15" t="str">
        <f aca="false">IF(J471=1,"OFFLINE",IF(AND(Q471&gt;=Inputs!$B$15,R471=1,S471=1,P471&lt;=L471),"PASS","FAIL"))</f>
        <v>PASS</v>
      </c>
    </row>
    <row r="472" customFormat="false" ht="15" hidden="false" customHeight="false" outlineLevel="0" collapsed="false">
      <c r="A472" s="14" t="s">
        <v>1023</v>
      </c>
      <c r="B472" s="14" t="s">
        <v>1019</v>
      </c>
      <c r="C472" s="14" t="s">
        <v>168</v>
      </c>
      <c r="D472" s="14" t="s">
        <v>171</v>
      </c>
      <c r="E472" s="14" t="s">
        <v>172</v>
      </c>
      <c r="F472" s="14" t="s">
        <v>164</v>
      </c>
      <c r="G472" s="14" t="n">
        <v>3</v>
      </c>
      <c r="H472" s="14" t="s">
        <v>158</v>
      </c>
      <c r="I472" s="14" t="s">
        <v>895</v>
      </c>
      <c r="J472" s="15" t="n">
        <f aca="false">IF(B472="SITE LOSS",IF(D472=C472,1,0),IF(B472="REGION LOSS",IF(E472=C472,1,0),0))</f>
        <v>0</v>
      </c>
      <c r="K472" s="15" t="n">
        <f aca="false">IF(B472="SITE LOSS",IF(COUNTIFS('Site Dockets'!$B$7:$B$24,C472,'Site Dockets'!$C$7:$C$24,F472)&gt;0,1,0),IF(B472="REGION LOSS",IF(COUNTIFS('Site Dockets'!$E$7:$E$24,C472,'Site Dockets'!$C$7:$C$24,F472)&gt;0,1,0),0))</f>
        <v>1</v>
      </c>
      <c r="L472" s="15" t="n">
        <f aca="false">IF(J472=1,0,Inputs!$B$11)</f>
        <v>100</v>
      </c>
      <c r="M472" s="15" t="n">
        <f aca="false">IF(J472=1,0,Inputs!$B$12)</f>
        <v>75</v>
      </c>
      <c r="N472" s="15" t="n">
        <f aca="false">IF(J472=1,0,IF(OR(AND(OR(B472="SITE LOSS",B472="REGION LOSS"),K472=1),AND(B472="ROLE COMPROMISE",H472=C472)),Inputs!$B$13,Inputs!$B$14))</f>
        <v>20</v>
      </c>
      <c r="O472" s="15" t="n">
        <f aca="false">IF(J472=1,0,Inputs!$B$13)</f>
        <v>20</v>
      </c>
      <c r="P472" s="15" t="n">
        <f aca="false">SUM(M472:N472)</f>
        <v>95</v>
      </c>
      <c r="Q472" s="15" t="n">
        <f aca="false">IF(J472=1,"",L472-P472)</f>
        <v>5</v>
      </c>
      <c r="R472" s="15" t="n">
        <f aca="false">IF(OR(J472=1,M472&lt;=Inputs!$B$12),1,0)</f>
        <v>1</v>
      </c>
      <c r="S472" s="15" t="n">
        <f aca="false">IF(OR(J472=1,N472&lt;=O472),1,0)</f>
        <v>1</v>
      </c>
      <c r="T472" s="15" t="str">
        <f aca="false">IF(J472=1,"OFFLINE",IF(AND(Q472&gt;=Inputs!$B$15,R472=1,S472=1,P472&lt;=L472),"PASS","FAIL"))</f>
        <v>PASS</v>
      </c>
    </row>
    <row r="473" customFormat="false" ht="15" hidden="false" customHeight="false" outlineLevel="0" collapsed="false">
      <c r="A473" s="14" t="s">
        <v>1023</v>
      </c>
      <c r="B473" s="14" t="s">
        <v>1019</v>
      </c>
      <c r="C473" s="14" t="s">
        <v>168</v>
      </c>
      <c r="D473" s="14" t="s">
        <v>171</v>
      </c>
      <c r="E473" s="14" t="s">
        <v>172</v>
      </c>
      <c r="F473" s="14" t="s">
        <v>164</v>
      </c>
      <c r="G473" s="14" t="n">
        <v>3</v>
      </c>
      <c r="H473" s="14" t="s">
        <v>158</v>
      </c>
      <c r="I473" s="14" t="s">
        <v>897</v>
      </c>
      <c r="J473" s="15" t="n">
        <f aca="false">IF(B473="SITE LOSS",IF(D473=C473,1,0),IF(B473="REGION LOSS",IF(E473=C473,1,0),0))</f>
        <v>0</v>
      </c>
      <c r="K473" s="15" t="n">
        <f aca="false">IF(B473="SITE LOSS",IF(COUNTIFS('Site Dockets'!$B$7:$B$24,C473,'Site Dockets'!$C$7:$C$24,F473)&gt;0,1,0),IF(B473="REGION LOSS",IF(COUNTIFS('Site Dockets'!$E$7:$E$24,C473,'Site Dockets'!$C$7:$C$24,F473)&gt;0,1,0),0))</f>
        <v>1</v>
      </c>
      <c r="L473" s="15" t="n">
        <f aca="false">IF(J473=1,0,Inputs!$B$11)</f>
        <v>100</v>
      </c>
      <c r="M473" s="15" t="n">
        <f aca="false">IF(J473=1,0,Inputs!$B$12)</f>
        <v>75</v>
      </c>
      <c r="N473" s="15" t="n">
        <f aca="false">IF(J473=1,0,IF(OR(AND(OR(B473="SITE LOSS",B473="REGION LOSS"),K473=1),AND(B473="ROLE COMPROMISE",H473=C473)),Inputs!$B$13,Inputs!$B$14))</f>
        <v>20</v>
      </c>
      <c r="O473" s="15" t="n">
        <f aca="false">IF(J473=1,0,Inputs!$B$13)</f>
        <v>20</v>
      </c>
      <c r="P473" s="15" t="n">
        <f aca="false">SUM(M473:N473)</f>
        <v>95</v>
      </c>
      <c r="Q473" s="15" t="n">
        <f aca="false">IF(J473=1,"",L473-P473)</f>
        <v>5</v>
      </c>
      <c r="R473" s="15" t="n">
        <f aca="false">IF(OR(J473=1,M473&lt;=Inputs!$B$12),1,0)</f>
        <v>1</v>
      </c>
      <c r="S473" s="15" t="n">
        <f aca="false">IF(OR(J473=1,N473&lt;=O473),1,0)</f>
        <v>1</v>
      </c>
      <c r="T473" s="15" t="str">
        <f aca="false">IF(J473=1,"OFFLINE",IF(AND(Q473&gt;=Inputs!$B$15,R473=1,S473=1,P473&lt;=L473),"PASS","FAIL"))</f>
        <v>PASS</v>
      </c>
    </row>
    <row r="474" customFormat="false" ht="15" hidden="false" customHeight="false" outlineLevel="0" collapsed="false">
      <c r="A474" s="14" t="s">
        <v>1023</v>
      </c>
      <c r="B474" s="14" t="s">
        <v>1019</v>
      </c>
      <c r="C474" s="14" t="s">
        <v>168</v>
      </c>
      <c r="D474" s="14" t="s">
        <v>171</v>
      </c>
      <c r="E474" s="14" t="s">
        <v>172</v>
      </c>
      <c r="F474" s="14" t="s">
        <v>164</v>
      </c>
      <c r="G474" s="14" t="n">
        <v>3</v>
      </c>
      <c r="H474" s="14" t="s">
        <v>158</v>
      </c>
      <c r="I474" s="14" t="s">
        <v>899</v>
      </c>
      <c r="J474" s="15" t="n">
        <f aca="false">IF(B474="SITE LOSS",IF(D474=C474,1,0),IF(B474="REGION LOSS",IF(E474=C474,1,0),0))</f>
        <v>0</v>
      </c>
      <c r="K474" s="15" t="n">
        <f aca="false">IF(B474="SITE LOSS",IF(COUNTIFS('Site Dockets'!$B$7:$B$24,C474,'Site Dockets'!$C$7:$C$24,F474)&gt;0,1,0),IF(B474="REGION LOSS",IF(COUNTIFS('Site Dockets'!$E$7:$E$24,C474,'Site Dockets'!$C$7:$C$24,F474)&gt;0,1,0),0))</f>
        <v>1</v>
      </c>
      <c r="L474" s="15" t="n">
        <f aca="false">IF(J474=1,0,Inputs!$B$11)</f>
        <v>100</v>
      </c>
      <c r="M474" s="15" t="n">
        <f aca="false">IF(J474=1,0,Inputs!$B$12)</f>
        <v>75</v>
      </c>
      <c r="N474" s="15" t="n">
        <f aca="false">IF(J474=1,0,IF(OR(AND(OR(B474="SITE LOSS",B474="REGION LOSS"),K474=1),AND(B474="ROLE COMPROMISE",H474=C474)),Inputs!$B$13,Inputs!$B$14))</f>
        <v>20</v>
      </c>
      <c r="O474" s="15" t="n">
        <f aca="false">IF(J474=1,0,Inputs!$B$13)</f>
        <v>20</v>
      </c>
      <c r="P474" s="15" t="n">
        <f aca="false">SUM(M474:N474)</f>
        <v>95</v>
      </c>
      <c r="Q474" s="15" t="n">
        <f aca="false">IF(J474=1,"",L474-P474)</f>
        <v>5</v>
      </c>
      <c r="R474" s="15" t="n">
        <f aca="false">IF(OR(J474=1,M474&lt;=Inputs!$B$12),1,0)</f>
        <v>1</v>
      </c>
      <c r="S474" s="15" t="n">
        <f aca="false">IF(OR(J474=1,N474&lt;=O474),1,0)</f>
        <v>1</v>
      </c>
      <c r="T474" s="15" t="str">
        <f aca="false">IF(J474=1,"OFFLINE",IF(AND(Q474&gt;=Inputs!$B$15,R474=1,S474=1,P474&lt;=L474),"PASS","FAIL"))</f>
        <v>PASS</v>
      </c>
    </row>
    <row r="475" customFormat="false" ht="15" hidden="false" customHeight="false" outlineLevel="0" collapsed="false">
      <c r="A475" s="14" t="s">
        <v>1023</v>
      </c>
      <c r="B475" s="14" t="s">
        <v>1019</v>
      </c>
      <c r="C475" s="14" t="s">
        <v>168</v>
      </c>
      <c r="D475" s="14" t="s">
        <v>174</v>
      </c>
      <c r="E475" s="14" t="s">
        <v>152</v>
      </c>
      <c r="F475" s="14" t="s">
        <v>175</v>
      </c>
      <c r="G475" s="14" t="n">
        <v>1</v>
      </c>
      <c r="H475" s="14" t="s">
        <v>154</v>
      </c>
      <c r="I475" s="14" t="s">
        <v>890</v>
      </c>
      <c r="J475" s="15" t="n">
        <f aca="false">IF(B475="SITE LOSS",IF(D475=C475,1,0),IF(B475="REGION LOSS",IF(E475=C475,1,0),0))</f>
        <v>0</v>
      </c>
      <c r="K475" s="15" t="n">
        <f aca="false">IF(B475="SITE LOSS",IF(COUNTIFS('Site Dockets'!$B$7:$B$24,C475,'Site Dockets'!$C$7:$C$24,F475)&gt;0,1,0),IF(B475="REGION LOSS",IF(COUNTIFS('Site Dockets'!$E$7:$E$24,C475,'Site Dockets'!$C$7:$C$24,F475)&gt;0,1,0),0))</f>
        <v>0</v>
      </c>
      <c r="L475" s="15" t="n">
        <f aca="false">IF(J475=1,0,Inputs!$B$11)</f>
        <v>100</v>
      </c>
      <c r="M475" s="15" t="n">
        <f aca="false">IF(J475=1,0,Inputs!$B$12)</f>
        <v>75</v>
      </c>
      <c r="N475" s="15" t="n">
        <f aca="false">IF(J475=1,0,IF(OR(AND(OR(B475="SITE LOSS",B475="REGION LOSS"),K475=1),AND(B475="ROLE COMPROMISE",H475=C475)),Inputs!$B$13,Inputs!$B$14))</f>
        <v>10</v>
      </c>
      <c r="O475" s="15" t="n">
        <f aca="false">IF(J475=1,0,Inputs!$B$13)</f>
        <v>20</v>
      </c>
      <c r="P475" s="15" t="n">
        <f aca="false">SUM(M475:N475)</f>
        <v>85</v>
      </c>
      <c r="Q475" s="15" t="n">
        <f aca="false">IF(J475=1,"",L475-P475)</f>
        <v>15</v>
      </c>
      <c r="R475" s="15" t="n">
        <f aca="false">IF(OR(J475=1,M475&lt;=Inputs!$B$12),1,0)</f>
        <v>1</v>
      </c>
      <c r="S475" s="15" t="n">
        <f aca="false">IF(OR(J475=1,N475&lt;=O475),1,0)</f>
        <v>1</v>
      </c>
      <c r="T475" s="15" t="str">
        <f aca="false">IF(J475=1,"OFFLINE",IF(AND(Q475&gt;=Inputs!$B$15,R475=1,S475=1,P475&lt;=L475),"PASS","FAIL"))</f>
        <v>PASS</v>
      </c>
    </row>
    <row r="476" customFormat="false" ht="15" hidden="false" customHeight="false" outlineLevel="0" collapsed="false">
      <c r="A476" s="14" t="s">
        <v>1023</v>
      </c>
      <c r="B476" s="14" t="s">
        <v>1019</v>
      </c>
      <c r="C476" s="14" t="s">
        <v>168</v>
      </c>
      <c r="D476" s="14" t="s">
        <v>174</v>
      </c>
      <c r="E476" s="14" t="s">
        <v>152</v>
      </c>
      <c r="F476" s="14" t="s">
        <v>175</v>
      </c>
      <c r="G476" s="14" t="n">
        <v>1</v>
      </c>
      <c r="H476" s="14" t="s">
        <v>154</v>
      </c>
      <c r="I476" s="14" t="s">
        <v>892</v>
      </c>
      <c r="J476" s="15" t="n">
        <f aca="false">IF(B476="SITE LOSS",IF(D476=C476,1,0),IF(B476="REGION LOSS",IF(E476=C476,1,0),0))</f>
        <v>0</v>
      </c>
      <c r="K476" s="15" t="n">
        <f aca="false">IF(B476="SITE LOSS",IF(COUNTIFS('Site Dockets'!$B$7:$B$24,C476,'Site Dockets'!$C$7:$C$24,F476)&gt;0,1,0),IF(B476="REGION LOSS",IF(COUNTIFS('Site Dockets'!$E$7:$E$24,C476,'Site Dockets'!$C$7:$C$24,F476)&gt;0,1,0),0))</f>
        <v>0</v>
      </c>
      <c r="L476" s="15" t="n">
        <f aca="false">IF(J476=1,0,Inputs!$B$11)</f>
        <v>100</v>
      </c>
      <c r="M476" s="15" t="n">
        <f aca="false">IF(J476=1,0,Inputs!$B$12)</f>
        <v>75</v>
      </c>
      <c r="N476" s="15" t="n">
        <f aca="false">IF(J476=1,0,IF(OR(AND(OR(B476="SITE LOSS",B476="REGION LOSS"),K476=1),AND(B476="ROLE COMPROMISE",H476=C476)),Inputs!$B$13,Inputs!$B$14))</f>
        <v>10</v>
      </c>
      <c r="O476" s="15" t="n">
        <f aca="false">IF(J476=1,0,Inputs!$B$13)</f>
        <v>20</v>
      </c>
      <c r="P476" s="15" t="n">
        <f aca="false">SUM(M476:N476)</f>
        <v>85</v>
      </c>
      <c r="Q476" s="15" t="n">
        <f aca="false">IF(J476=1,"",L476-P476)</f>
        <v>15</v>
      </c>
      <c r="R476" s="15" t="n">
        <f aca="false">IF(OR(J476=1,M476&lt;=Inputs!$B$12),1,0)</f>
        <v>1</v>
      </c>
      <c r="S476" s="15" t="n">
        <f aca="false">IF(OR(J476=1,N476&lt;=O476),1,0)</f>
        <v>1</v>
      </c>
      <c r="T476" s="15" t="str">
        <f aca="false">IF(J476=1,"OFFLINE",IF(AND(Q476&gt;=Inputs!$B$15,R476=1,S476=1,P476&lt;=L476),"PASS","FAIL"))</f>
        <v>PASS</v>
      </c>
    </row>
    <row r="477" customFormat="false" ht="15" hidden="false" customHeight="false" outlineLevel="0" collapsed="false">
      <c r="A477" s="14" t="s">
        <v>1023</v>
      </c>
      <c r="B477" s="14" t="s">
        <v>1019</v>
      </c>
      <c r="C477" s="14" t="s">
        <v>168</v>
      </c>
      <c r="D477" s="14" t="s">
        <v>174</v>
      </c>
      <c r="E477" s="14" t="s">
        <v>152</v>
      </c>
      <c r="F477" s="14" t="s">
        <v>175</v>
      </c>
      <c r="G477" s="14" t="n">
        <v>1</v>
      </c>
      <c r="H477" s="14" t="s">
        <v>154</v>
      </c>
      <c r="I477" s="14" t="s">
        <v>811</v>
      </c>
      <c r="J477" s="15" t="n">
        <f aca="false">IF(B477="SITE LOSS",IF(D477=C477,1,0),IF(B477="REGION LOSS",IF(E477=C477,1,0),0))</f>
        <v>0</v>
      </c>
      <c r="K477" s="15" t="n">
        <f aca="false">IF(B477="SITE LOSS",IF(COUNTIFS('Site Dockets'!$B$7:$B$24,C477,'Site Dockets'!$C$7:$C$24,F477)&gt;0,1,0),IF(B477="REGION LOSS",IF(COUNTIFS('Site Dockets'!$E$7:$E$24,C477,'Site Dockets'!$C$7:$C$24,F477)&gt;0,1,0),0))</f>
        <v>0</v>
      </c>
      <c r="L477" s="15" t="n">
        <f aca="false">IF(J477=1,0,Inputs!$B$11)</f>
        <v>100</v>
      </c>
      <c r="M477" s="15" t="n">
        <f aca="false">IF(J477=1,0,Inputs!$B$12)</f>
        <v>75</v>
      </c>
      <c r="N477" s="15" t="n">
        <f aca="false">IF(J477=1,0,IF(OR(AND(OR(B477="SITE LOSS",B477="REGION LOSS"),K477=1),AND(B477="ROLE COMPROMISE",H477=C477)),Inputs!$B$13,Inputs!$B$14))</f>
        <v>10</v>
      </c>
      <c r="O477" s="15" t="n">
        <f aca="false">IF(J477=1,0,Inputs!$B$13)</f>
        <v>20</v>
      </c>
      <c r="P477" s="15" t="n">
        <f aca="false">SUM(M477:N477)</f>
        <v>85</v>
      </c>
      <c r="Q477" s="15" t="n">
        <f aca="false">IF(J477=1,"",L477-P477)</f>
        <v>15</v>
      </c>
      <c r="R477" s="15" t="n">
        <f aca="false">IF(OR(J477=1,M477&lt;=Inputs!$B$12),1,0)</f>
        <v>1</v>
      </c>
      <c r="S477" s="15" t="n">
        <f aca="false">IF(OR(J477=1,N477&lt;=O477),1,0)</f>
        <v>1</v>
      </c>
      <c r="T477" s="15" t="str">
        <f aca="false">IF(J477=1,"OFFLINE",IF(AND(Q477&gt;=Inputs!$B$15,R477=1,S477=1,P477&lt;=L477),"PASS","FAIL"))</f>
        <v>PASS</v>
      </c>
    </row>
    <row r="478" customFormat="false" ht="15" hidden="false" customHeight="false" outlineLevel="0" collapsed="false">
      <c r="A478" s="14" t="s">
        <v>1023</v>
      </c>
      <c r="B478" s="14" t="s">
        <v>1019</v>
      </c>
      <c r="C478" s="14" t="s">
        <v>168</v>
      </c>
      <c r="D478" s="14" t="s">
        <v>174</v>
      </c>
      <c r="E478" s="14" t="s">
        <v>152</v>
      </c>
      <c r="F478" s="14" t="s">
        <v>175</v>
      </c>
      <c r="G478" s="14" t="n">
        <v>1</v>
      </c>
      <c r="H478" s="14" t="s">
        <v>154</v>
      </c>
      <c r="I478" s="14" t="s">
        <v>895</v>
      </c>
      <c r="J478" s="15" t="n">
        <f aca="false">IF(B478="SITE LOSS",IF(D478=C478,1,0),IF(B478="REGION LOSS",IF(E478=C478,1,0),0))</f>
        <v>0</v>
      </c>
      <c r="K478" s="15" t="n">
        <f aca="false">IF(B478="SITE LOSS",IF(COUNTIFS('Site Dockets'!$B$7:$B$24,C478,'Site Dockets'!$C$7:$C$24,F478)&gt;0,1,0),IF(B478="REGION LOSS",IF(COUNTIFS('Site Dockets'!$E$7:$E$24,C478,'Site Dockets'!$C$7:$C$24,F478)&gt;0,1,0),0))</f>
        <v>0</v>
      </c>
      <c r="L478" s="15" t="n">
        <f aca="false">IF(J478=1,0,Inputs!$B$11)</f>
        <v>100</v>
      </c>
      <c r="M478" s="15" t="n">
        <f aca="false">IF(J478=1,0,Inputs!$B$12)</f>
        <v>75</v>
      </c>
      <c r="N478" s="15" t="n">
        <f aca="false">IF(J478=1,0,IF(OR(AND(OR(B478="SITE LOSS",B478="REGION LOSS"),K478=1),AND(B478="ROLE COMPROMISE",H478=C478)),Inputs!$B$13,Inputs!$B$14))</f>
        <v>10</v>
      </c>
      <c r="O478" s="15" t="n">
        <f aca="false">IF(J478=1,0,Inputs!$B$13)</f>
        <v>20</v>
      </c>
      <c r="P478" s="15" t="n">
        <f aca="false">SUM(M478:N478)</f>
        <v>85</v>
      </c>
      <c r="Q478" s="15" t="n">
        <f aca="false">IF(J478=1,"",L478-P478)</f>
        <v>15</v>
      </c>
      <c r="R478" s="15" t="n">
        <f aca="false">IF(OR(J478=1,M478&lt;=Inputs!$B$12),1,0)</f>
        <v>1</v>
      </c>
      <c r="S478" s="15" t="n">
        <f aca="false">IF(OR(J478=1,N478&lt;=O478),1,0)</f>
        <v>1</v>
      </c>
      <c r="T478" s="15" t="str">
        <f aca="false">IF(J478=1,"OFFLINE",IF(AND(Q478&gt;=Inputs!$B$15,R478=1,S478=1,P478&lt;=L478),"PASS","FAIL"))</f>
        <v>PASS</v>
      </c>
    </row>
    <row r="479" customFormat="false" ht="15" hidden="false" customHeight="false" outlineLevel="0" collapsed="false">
      <c r="A479" s="14" t="s">
        <v>1023</v>
      </c>
      <c r="B479" s="14" t="s">
        <v>1019</v>
      </c>
      <c r="C479" s="14" t="s">
        <v>168</v>
      </c>
      <c r="D479" s="14" t="s">
        <v>174</v>
      </c>
      <c r="E479" s="14" t="s">
        <v>152</v>
      </c>
      <c r="F479" s="14" t="s">
        <v>175</v>
      </c>
      <c r="G479" s="14" t="n">
        <v>1</v>
      </c>
      <c r="H479" s="14" t="s">
        <v>154</v>
      </c>
      <c r="I479" s="14" t="s">
        <v>897</v>
      </c>
      <c r="J479" s="15" t="n">
        <f aca="false">IF(B479="SITE LOSS",IF(D479=C479,1,0),IF(B479="REGION LOSS",IF(E479=C479,1,0),0))</f>
        <v>0</v>
      </c>
      <c r="K479" s="15" t="n">
        <f aca="false">IF(B479="SITE LOSS",IF(COUNTIFS('Site Dockets'!$B$7:$B$24,C479,'Site Dockets'!$C$7:$C$24,F479)&gt;0,1,0),IF(B479="REGION LOSS",IF(COUNTIFS('Site Dockets'!$E$7:$E$24,C479,'Site Dockets'!$C$7:$C$24,F479)&gt;0,1,0),0))</f>
        <v>0</v>
      </c>
      <c r="L479" s="15" t="n">
        <f aca="false">IF(J479=1,0,Inputs!$B$11)</f>
        <v>100</v>
      </c>
      <c r="M479" s="15" t="n">
        <f aca="false">IF(J479=1,0,Inputs!$B$12)</f>
        <v>75</v>
      </c>
      <c r="N479" s="15" t="n">
        <f aca="false">IF(J479=1,0,IF(OR(AND(OR(B479="SITE LOSS",B479="REGION LOSS"),K479=1),AND(B479="ROLE COMPROMISE",H479=C479)),Inputs!$B$13,Inputs!$B$14))</f>
        <v>10</v>
      </c>
      <c r="O479" s="15" t="n">
        <f aca="false">IF(J479=1,0,Inputs!$B$13)</f>
        <v>20</v>
      </c>
      <c r="P479" s="15" t="n">
        <f aca="false">SUM(M479:N479)</f>
        <v>85</v>
      </c>
      <c r="Q479" s="15" t="n">
        <f aca="false">IF(J479=1,"",L479-P479)</f>
        <v>15</v>
      </c>
      <c r="R479" s="15" t="n">
        <f aca="false">IF(OR(J479=1,M479&lt;=Inputs!$B$12),1,0)</f>
        <v>1</v>
      </c>
      <c r="S479" s="15" t="n">
        <f aca="false">IF(OR(J479=1,N479&lt;=O479),1,0)</f>
        <v>1</v>
      </c>
      <c r="T479" s="15" t="str">
        <f aca="false">IF(J479=1,"OFFLINE",IF(AND(Q479&gt;=Inputs!$B$15,R479=1,S479=1,P479&lt;=L479),"PASS","FAIL"))</f>
        <v>PASS</v>
      </c>
    </row>
    <row r="480" customFormat="false" ht="15" hidden="false" customHeight="false" outlineLevel="0" collapsed="false">
      <c r="A480" s="14" t="s">
        <v>1023</v>
      </c>
      <c r="B480" s="14" t="s">
        <v>1019</v>
      </c>
      <c r="C480" s="14" t="s">
        <v>168</v>
      </c>
      <c r="D480" s="14" t="s">
        <v>174</v>
      </c>
      <c r="E480" s="14" t="s">
        <v>152</v>
      </c>
      <c r="F480" s="14" t="s">
        <v>175</v>
      </c>
      <c r="G480" s="14" t="n">
        <v>1</v>
      </c>
      <c r="H480" s="14" t="s">
        <v>154</v>
      </c>
      <c r="I480" s="14" t="s">
        <v>899</v>
      </c>
      <c r="J480" s="15" t="n">
        <f aca="false">IF(B480="SITE LOSS",IF(D480=C480,1,0),IF(B480="REGION LOSS",IF(E480=C480,1,0),0))</f>
        <v>0</v>
      </c>
      <c r="K480" s="15" t="n">
        <f aca="false">IF(B480="SITE LOSS",IF(COUNTIFS('Site Dockets'!$B$7:$B$24,C480,'Site Dockets'!$C$7:$C$24,F480)&gt;0,1,0),IF(B480="REGION LOSS",IF(COUNTIFS('Site Dockets'!$E$7:$E$24,C480,'Site Dockets'!$C$7:$C$24,F480)&gt;0,1,0),0))</f>
        <v>0</v>
      </c>
      <c r="L480" s="15" t="n">
        <f aca="false">IF(J480=1,0,Inputs!$B$11)</f>
        <v>100</v>
      </c>
      <c r="M480" s="15" t="n">
        <f aca="false">IF(J480=1,0,Inputs!$B$12)</f>
        <v>75</v>
      </c>
      <c r="N480" s="15" t="n">
        <f aca="false">IF(J480=1,0,IF(OR(AND(OR(B480="SITE LOSS",B480="REGION LOSS"),K480=1),AND(B480="ROLE COMPROMISE",H480=C480)),Inputs!$B$13,Inputs!$B$14))</f>
        <v>10</v>
      </c>
      <c r="O480" s="15" t="n">
        <f aca="false">IF(J480=1,0,Inputs!$B$13)</f>
        <v>20</v>
      </c>
      <c r="P480" s="15" t="n">
        <f aca="false">SUM(M480:N480)</f>
        <v>85</v>
      </c>
      <c r="Q480" s="15" t="n">
        <f aca="false">IF(J480=1,"",L480-P480)</f>
        <v>15</v>
      </c>
      <c r="R480" s="15" t="n">
        <f aca="false">IF(OR(J480=1,M480&lt;=Inputs!$B$12),1,0)</f>
        <v>1</v>
      </c>
      <c r="S480" s="15" t="n">
        <f aca="false">IF(OR(J480=1,N480&lt;=O480),1,0)</f>
        <v>1</v>
      </c>
      <c r="T480" s="15" t="str">
        <f aca="false">IF(J480=1,"OFFLINE",IF(AND(Q480&gt;=Inputs!$B$15,R480=1,S480=1,P480&lt;=L480),"PASS","FAIL"))</f>
        <v>PASS</v>
      </c>
    </row>
    <row r="481" customFormat="false" ht="15" hidden="false" customHeight="false" outlineLevel="0" collapsed="false">
      <c r="A481" s="14" t="s">
        <v>1023</v>
      </c>
      <c r="B481" s="14" t="s">
        <v>1019</v>
      </c>
      <c r="C481" s="14" t="s">
        <v>168</v>
      </c>
      <c r="D481" s="14" t="s">
        <v>178</v>
      </c>
      <c r="E481" s="14" t="s">
        <v>169</v>
      </c>
      <c r="F481" s="14" t="s">
        <v>175</v>
      </c>
      <c r="G481" s="14" t="n">
        <v>2</v>
      </c>
      <c r="H481" s="14" t="s">
        <v>153</v>
      </c>
      <c r="I481" s="14" t="s">
        <v>890</v>
      </c>
      <c r="J481" s="15" t="n">
        <f aca="false">IF(B481="SITE LOSS",IF(D481=C481,1,0),IF(B481="REGION LOSS",IF(E481=C481,1,0),0))</f>
        <v>0</v>
      </c>
      <c r="K481" s="15" t="n">
        <f aca="false">IF(B481="SITE LOSS",IF(COUNTIFS('Site Dockets'!$B$7:$B$24,C481,'Site Dockets'!$C$7:$C$24,F481)&gt;0,1,0),IF(B481="REGION LOSS",IF(COUNTIFS('Site Dockets'!$E$7:$E$24,C481,'Site Dockets'!$C$7:$C$24,F481)&gt;0,1,0),0))</f>
        <v>0</v>
      </c>
      <c r="L481" s="15" t="n">
        <f aca="false">IF(J481=1,0,Inputs!$B$11)</f>
        <v>100</v>
      </c>
      <c r="M481" s="15" t="n">
        <f aca="false">IF(J481=1,0,Inputs!$B$12)</f>
        <v>75</v>
      </c>
      <c r="N481" s="15" t="n">
        <f aca="false">IF(J481=1,0,IF(OR(AND(OR(B481="SITE LOSS",B481="REGION LOSS"),K481=1),AND(B481="ROLE COMPROMISE",H481=C481)),Inputs!$B$13,Inputs!$B$14))</f>
        <v>10</v>
      </c>
      <c r="O481" s="15" t="n">
        <f aca="false">IF(J481=1,0,Inputs!$B$13)</f>
        <v>20</v>
      </c>
      <c r="P481" s="15" t="n">
        <f aca="false">SUM(M481:N481)</f>
        <v>85</v>
      </c>
      <c r="Q481" s="15" t="n">
        <f aca="false">IF(J481=1,"",L481-P481)</f>
        <v>15</v>
      </c>
      <c r="R481" s="15" t="n">
        <f aca="false">IF(OR(J481=1,M481&lt;=Inputs!$B$12),1,0)</f>
        <v>1</v>
      </c>
      <c r="S481" s="15" t="n">
        <f aca="false">IF(OR(J481=1,N481&lt;=O481),1,0)</f>
        <v>1</v>
      </c>
      <c r="T481" s="15" t="str">
        <f aca="false">IF(J481=1,"OFFLINE",IF(AND(Q481&gt;=Inputs!$B$15,R481=1,S481=1,P481&lt;=L481),"PASS","FAIL"))</f>
        <v>PASS</v>
      </c>
    </row>
    <row r="482" customFormat="false" ht="15" hidden="false" customHeight="false" outlineLevel="0" collapsed="false">
      <c r="A482" s="14" t="s">
        <v>1023</v>
      </c>
      <c r="B482" s="14" t="s">
        <v>1019</v>
      </c>
      <c r="C482" s="14" t="s">
        <v>168</v>
      </c>
      <c r="D482" s="14" t="s">
        <v>178</v>
      </c>
      <c r="E482" s="14" t="s">
        <v>169</v>
      </c>
      <c r="F482" s="14" t="s">
        <v>175</v>
      </c>
      <c r="G482" s="14" t="n">
        <v>2</v>
      </c>
      <c r="H482" s="14" t="s">
        <v>153</v>
      </c>
      <c r="I482" s="14" t="s">
        <v>892</v>
      </c>
      <c r="J482" s="15" t="n">
        <f aca="false">IF(B482="SITE LOSS",IF(D482=C482,1,0),IF(B482="REGION LOSS",IF(E482=C482,1,0),0))</f>
        <v>0</v>
      </c>
      <c r="K482" s="15" t="n">
        <f aca="false">IF(B482="SITE LOSS",IF(COUNTIFS('Site Dockets'!$B$7:$B$24,C482,'Site Dockets'!$C$7:$C$24,F482)&gt;0,1,0),IF(B482="REGION LOSS",IF(COUNTIFS('Site Dockets'!$E$7:$E$24,C482,'Site Dockets'!$C$7:$C$24,F482)&gt;0,1,0),0))</f>
        <v>0</v>
      </c>
      <c r="L482" s="15" t="n">
        <f aca="false">IF(J482=1,0,Inputs!$B$11)</f>
        <v>100</v>
      </c>
      <c r="M482" s="15" t="n">
        <f aca="false">IF(J482=1,0,Inputs!$B$12)</f>
        <v>75</v>
      </c>
      <c r="N482" s="15" t="n">
        <f aca="false">IF(J482=1,0,IF(OR(AND(OR(B482="SITE LOSS",B482="REGION LOSS"),K482=1),AND(B482="ROLE COMPROMISE",H482=C482)),Inputs!$B$13,Inputs!$B$14))</f>
        <v>10</v>
      </c>
      <c r="O482" s="15" t="n">
        <f aca="false">IF(J482=1,0,Inputs!$B$13)</f>
        <v>20</v>
      </c>
      <c r="P482" s="15" t="n">
        <f aca="false">SUM(M482:N482)</f>
        <v>85</v>
      </c>
      <c r="Q482" s="15" t="n">
        <f aca="false">IF(J482=1,"",L482-P482)</f>
        <v>15</v>
      </c>
      <c r="R482" s="15" t="n">
        <f aca="false">IF(OR(J482=1,M482&lt;=Inputs!$B$12),1,0)</f>
        <v>1</v>
      </c>
      <c r="S482" s="15" t="n">
        <f aca="false">IF(OR(J482=1,N482&lt;=O482),1,0)</f>
        <v>1</v>
      </c>
      <c r="T482" s="15" t="str">
        <f aca="false">IF(J482=1,"OFFLINE",IF(AND(Q482&gt;=Inputs!$B$15,R482=1,S482=1,P482&lt;=L482),"PASS","FAIL"))</f>
        <v>PASS</v>
      </c>
    </row>
    <row r="483" customFormat="false" ht="15" hidden="false" customHeight="false" outlineLevel="0" collapsed="false">
      <c r="A483" s="14" t="s">
        <v>1023</v>
      </c>
      <c r="B483" s="14" t="s">
        <v>1019</v>
      </c>
      <c r="C483" s="14" t="s">
        <v>168</v>
      </c>
      <c r="D483" s="14" t="s">
        <v>178</v>
      </c>
      <c r="E483" s="14" t="s">
        <v>169</v>
      </c>
      <c r="F483" s="14" t="s">
        <v>175</v>
      </c>
      <c r="G483" s="14" t="n">
        <v>2</v>
      </c>
      <c r="H483" s="14" t="s">
        <v>153</v>
      </c>
      <c r="I483" s="14" t="s">
        <v>811</v>
      </c>
      <c r="J483" s="15" t="n">
        <f aca="false">IF(B483="SITE LOSS",IF(D483=C483,1,0),IF(B483="REGION LOSS",IF(E483=C483,1,0),0))</f>
        <v>0</v>
      </c>
      <c r="K483" s="15" t="n">
        <f aca="false">IF(B483="SITE LOSS",IF(COUNTIFS('Site Dockets'!$B$7:$B$24,C483,'Site Dockets'!$C$7:$C$24,F483)&gt;0,1,0),IF(B483="REGION LOSS",IF(COUNTIFS('Site Dockets'!$E$7:$E$24,C483,'Site Dockets'!$C$7:$C$24,F483)&gt;0,1,0),0))</f>
        <v>0</v>
      </c>
      <c r="L483" s="15" t="n">
        <f aca="false">IF(J483=1,0,Inputs!$B$11)</f>
        <v>100</v>
      </c>
      <c r="M483" s="15" t="n">
        <f aca="false">IF(J483=1,0,Inputs!$B$12)</f>
        <v>75</v>
      </c>
      <c r="N483" s="15" t="n">
        <f aca="false">IF(J483=1,0,IF(OR(AND(OR(B483="SITE LOSS",B483="REGION LOSS"),K483=1),AND(B483="ROLE COMPROMISE",H483=C483)),Inputs!$B$13,Inputs!$B$14))</f>
        <v>10</v>
      </c>
      <c r="O483" s="15" t="n">
        <f aca="false">IF(J483=1,0,Inputs!$B$13)</f>
        <v>20</v>
      </c>
      <c r="P483" s="15" t="n">
        <f aca="false">SUM(M483:N483)</f>
        <v>85</v>
      </c>
      <c r="Q483" s="15" t="n">
        <f aca="false">IF(J483=1,"",L483-P483)</f>
        <v>15</v>
      </c>
      <c r="R483" s="15" t="n">
        <f aca="false">IF(OR(J483=1,M483&lt;=Inputs!$B$12),1,0)</f>
        <v>1</v>
      </c>
      <c r="S483" s="15" t="n">
        <f aca="false">IF(OR(J483=1,N483&lt;=O483),1,0)</f>
        <v>1</v>
      </c>
      <c r="T483" s="15" t="str">
        <f aca="false">IF(J483=1,"OFFLINE",IF(AND(Q483&gt;=Inputs!$B$15,R483=1,S483=1,P483&lt;=L483),"PASS","FAIL"))</f>
        <v>PASS</v>
      </c>
    </row>
    <row r="484" customFormat="false" ht="15" hidden="false" customHeight="false" outlineLevel="0" collapsed="false">
      <c r="A484" s="14" t="s">
        <v>1023</v>
      </c>
      <c r="B484" s="14" t="s">
        <v>1019</v>
      </c>
      <c r="C484" s="14" t="s">
        <v>168</v>
      </c>
      <c r="D484" s="14" t="s">
        <v>178</v>
      </c>
      <c r="E484" s="14" t="s">
        <v>169</v>
      </c>
      <c r="F484" s="14" t="s">
        <v>175</v>
      </c>
      <c r="G484" s="14" t="n">
        <v>2</v>
      </c>
      <c r="H484" s="14" t="s">
        <v>153</v>
      </c>
      <c r="I484" s="14" t="s">
        <v>895</v>
      </c>
      <c r="J484" s="15" t="n">
        <f aca="false">IF(B484="SITE LOSS",IF(D484=C484,1,0),IF(B484="REGION LOSS",IF(E484=C484,1,0),0))</f>
        <v>0</v>
      </c>
      <c r="K484" s="15" t="n">
        <f aca="false">IF(B484="SITE LOSS",IF(COUNTIFS('Site Dockets'!$B$7:$B$24,C484,'Site Dockets'!$C$7:$C$24,F484)&gt;0,1,0),IF(B484="REGION LOSS",IF(COUNTIFS('Site Dockets'!$E$7:$E$24,C484,'Site Dockets'!$C$7:$C$24,F484)&gt;0,1,0),0))</f>
        <v>0</v>
      </c>
      <c r="L484" s="15" t="n">
        <f aca="false">IF(J484=1,0,Inputs!$B$11)</f>
        <v>100</v>
      </c>
      <c r="M484" s="15" t="n">
        <f aca="false">IF(J484=1,0,Inputs!$B$12)</f>
        <v>75</v>
      </c>
      <c r="N484" s="15" t="n">
        <f aca="false">IF(J484=1,0,IF(OR(AND(OR(B484="SITE LOSS",B484="REGION LOSS"),K484=1),AND(B484="ROLE COMPROMISE",H484=C484)),Inputs!$B$13,Inputs!$B$14))</f>
        <v>10</v>
      </c>
      <c r="O484" s="15" t="n">
        <f aca="false">IF(J484=1,0,Inputs!$B$13)</f>
        <v>20</v>
      </c>
      <c r="P484" s="15" t="n">
        <f aca="false">SUM(M484:N484)</f>
        <v>85</v>
      </c>
      <c r="Q484" s="15" t="n">
        <f aca="false">IF(J484=1,"",L484-P484)</f>
        <v>15</v>
      </c>
      <c r="R484" s="15" t="n">
        <f aca="false">IF(OR(J484=1,M484&lt;=Inputs!$B$12),1,0)</f>
        <v>1</v>
      </c>
      <c r="S484" s="15" t="n">
        <f aca="false">IF(OR(J484=1,N484&lt;=O484),1,0)</f>
        <v>1</v>
      </c>
      <c r="T484" s="15" t="str">
        <f aca="false">IF(J484=1,"OFFLINE",IF(AND(Q484&gt;=Inputs!$B$15,R484=1,S484=1,P484&lt;=L484),"PASS","FAIL"))</f>
        <v>PASS</v>
      </c>
    </row>
    <row r="485" customFormat="false" ht="15" hidden="false" customHeight="false" outlineLevel="0" collapsed="false">
      <c r="A485" s="14" t="s">
        <v>1023</v>
      </c>
      <c r="B485" s="14" t="s">
        <v>1019</v>
      </c>
      <c r="C485" s="14" t="s">
        <v>168</v>
      </c>
      <c r="D485" s="14" t="s">
        <v>178</v>
      </c>
      <c r="E485" s="14" t="s">
        <v>169</v>
      </c>
      <c r="F485" s="14" t="s">
        <v>175</v>
      </c>
      <c r="G485" s="14" t="n">
        <v>2</v>
      </c>
      <c r="H485" s="14" t="s">
        <v>153</v>
      </c>
      <c r="I485" s="14" t="s">
        <v>897</v>
      </c>
      <c r="J485" s="15" t="n">
        <f aca="false">IF(B485="SITE LOSS",IF(D485=C485,1,0),IF(B485="REGION LOSS",IF(E485=C485,1,0),0))</f>
        <v>0</v>
      </c>
      <c r="K485" s="15" t="n">
        <f aca="false">IF(B485="SITE LOSS",IF(COUNTIFS('Site Dockets'!$B$7:$B$24,C485,'Site Dockets'!$C$7:$C$24,F485)&gt;0,1,0),IF(B485="REGION LOSS",IF(COUNTIFS('Site Dockets'!$E$7:$E$24,C485,'Site Dockets'!$C$7:$C$24,F485)&gt;0,1,0),0))</f>
        <v>0</v>
      </c>
      <c r="L485" s="15" t="n">
        <f aca="false">IF(J485=1,0,Inputs!$B$11)</f>
        <v>100</v>
      </c>
      <c r="M485" s="15" t="n">
        <f aca="false">IF(J485=1,0,Inputs!$B$12)</f>
        <v>75</v>
      </c>
      <c r="N485" s="15" t="n">
        <f aca="false">IF(J485=1,0,IF(OR(AND(OR(B485="SITE LOSS",B485="REGION LOSS"),K485=1),AND(B485="ROLE COMPROMISE",H485=C485)),Inputs!$B$13,Inputs!$B$14))</f>
        <v>10</v>
      </c>
      <c r="O485" s="15" t="n">
        <f aca="false">IF(J485=1,0,Inputs!$B$13)</f>
        <v>20</v>
      </c>
      <c r="P485" s="15" t="n">
        <f aca="false">SUM(M485:N485)</f>
        <v>85</v>
      </c>
      <c r="Q485" s="15" t="n">
        <f aca="false">IF(J485=1,"",L485-P485)</f>
        <v>15</v>
      </c>
      <c r="R485" s="15" t="n">
        <f aca="false">IF(OR(J485=1,M485&lt;=Inputs!$B$12),1,0)</f>
        <v>1</v>
      </c>
      <c r="S485" s="15" t="n">
        <f aca="false">IF(OR(J485=1,N485&lt;=O485),1,0)</f>
        <v>1</v>
      </c>
      <c r="T485" s="15" t="str">
        <f aca="false">IF(J485=1,"OFFLINE",IF(AND(Q485&gt;=Inputs!$B$15,R485=1,S485=1,P485&lt;=L485),"PASS","FAIL"))</f>
        <v>PASS</v>
      </c>
    </row>
    <row r="486" customFormat="false" ht="15" hidden="false" customHeight="false" outlineLevel="0" collapsed="false">
      <c r="A486" s="14" t="s">
        <v>1023</v>
      </c>
      <c r="B486" s="14" t="s">
        <v>1019</v>
      </c>
      <c r="C486" s="14" t="s">
        <v>168</v>
      </c>
      <c r="D486" s="14" t="s">
        <v>178</v>
      </c>
      <c r="E486" s="14" t="s">
        <v>169</v>
      </c>
      <c r="F486" s="14" t="s">
        <v>175</v>
      </c>
      <c r="G486" s="14" t="n">
        <v>2</v>
      </c>
      <c r="H486" s="14" t="s">
        <v>153</v>
      </c>
      <c r="I486" s="14" t="s">
        <v>899</v>
      </c>
      <c r="J486" s="15" t="n">
        <f aca="false">IF(B486="SITE LOSS",IF(D486=C486,1,0),IF(B486="REGION LOSS",IF(E486=C486,1,0),0))</f>
        <v>0</v>
      </c>
      <c r="K486" s="15" t="n">
        <f aca="false">IF(B486="SITE LOSS",IF(COUNTIFS('Site Dockets'!$B$7:$B$24,C486,'Site Dockets'!$C$7:$C$24,F486)&gt;0,1,0),IF(B486="REGION LOSS",IF(COUNTIFS('Site Dockets'!$E$7:$E$24,C486,'Site Dockets'!$C$7:$C$24,F486)&gt;0,1,0),0))</f>
        <v>0</v>
      </c>
      <c r="L486" s="15" t="n">
        <f aca="false">IF(J486=1,0,Inputs!$B$11)</f>
        <v>100</v>
      </c>
      <c r="M486" s="15" t="n">
        <f aca="false">IF(J486=1,0,Inputs!$B$12)</f>
        <v>75</v>
      </c>
      <c r="N486" s="15" t="n">
        <f aca="false">IF(J486=1,0,IF(OR(AND(OR(B486="SITE LOSS",B486="REGION LOSS"),K486=1),AND(B486="ROLE COMPROMISE",H486=C486)),Inputs!$B$13,Inputs!$B$14))</f>
        <v>10</v>
      </c>
      <c r="O486" s="15" t="n">
        <f aca="false">IF(J486=1,0,Inputs!$B$13)</f>
        <v>20</v>
      </c>
      <c r="P486" s="15" t="n">
        <f aca="false">SUM(M486:N486)</f>
        <v>85</v>
      </c>
      <c r="Q486" s="15" t="n">
        <f aca="false">IF(J486=1,"",L486-P486)</f>
        <v>15</v>
      </c>
      <c r="R486" s="15" t="n">
        <f aca="false">IF(OR(J486=1,M486&lt;=Inputs!$B$12),1,0)</f>
        <v>1</v>
      </c>
      <c r="S486" s="15" t="n">
        <f aca="false">IF(OR(J486=1,N486&lt;=O486),1,0)</f>
        <v>1</v>
      </c>
      <c r="T486" s="15" t="str">
        <f aca="false">IF(J486=1,"OFFLINE",IF(AND(Q486&gt;=Inputs!$B$15,R486=1,S486=1,P486&lt;=L486),"PASS","FAIL"))</f>
        <v>PASS</v>
      </c>
    </row>
    <row r="487" customFormat="false" ht="15" hidden="false" customHeight="false" outlineLevel="0" collapsed="false">
      <c r="A487" s="14" t="s">
        <v>1023</v>
      </c>
      <c r="B487" s="14" t="s">
        <v>1019</v>
      </c>
      <c r="C487" s="14" t="s">
        <v>168</v>
      </c>
      <c r="D487" s="14" t="s">
        <v>180</v>
      </c>
      <c r="E487" s="14" t="s">
        <v>161</v>
      </c>
      <c r="F487" s="14" t="s">
        <v>175</v>
      </c>
      <c r="G487" s="14" t="n">
        <v>3</v>
      </c>
      <c r="H487" s="14" t="s">
        <v>158</v>
      </c>
      <c r="I487" s="14" t="s">
        <v>890</v>
      </c>
      <c r="J487" s="15" t="n">
        <f aca="false">IF(B487="SITE LOSS",IF(D487=C487,1,0),IF(B487="REGION LOSS",IF(E487=C487,1,0),0))</f>
        <v>0</v>
      </c>
      <c r="K487" s="15" t="n">
        <f aca="false">IF(B487="SITE LOSS",IF(COUNTIFS('Site Dockets'!$B$7:$B$24,C487,'Site Dockets'!$C$7:$C$24,F487)&gt;0,1,0),IF(B487="REGION LOSS",IF(COUNTIFS('Site Dockets'!$E$7:$E$24,C487,'Site Dockets'!$C$7:$C$24,F487)&gt;0,1,0),0))</f>
        <v>0</v>
      </c>
      <c r="L487" s="15" t="n">
        <f aca="false">IF(J487=1,0,Inputs!$B$11)</f>
        <v>100</v>
      </c>
      <c r="M487" s="15" t="n">
        <f aca="false">IF(J487=1,0,Inputs!$B$12)</f>
        <v>75</v>
      </c>
      <c r="N487" s="15" t="n">
        <f aca="false">IF(J487=1,0,IF(OR(AND(OR(B487="SITE LOSS",B487="REGION LOSS"),K487=1),AND(B487="ROLE COMPROMISE",H487=C487)),Inputs!$B$13,Inputs!$B$14))</f>
        <v>10</v>
      </c>
      <c r="O487" s="15" t="n">
        <f aca="false">IF(J487=1,0,Inputs!$B$13)</f>
        <v>20</v>
      </c>
      <c r="P487" s="15" t="n">
        <f aca="false">SUM(M487:N487)</f>
        <v>85</v>
      </c>
      <c r="Q487" s="15" t="n">
        <f aca="false">IF(J487=1,"",L487-P487)</f>
        <v>15</v>
      </c>
      <c r="R487" s="15" t="n">
        <f aca="false">IF(OR(J487=1,M487&lt;=Inputs!$B$12),1,0)</f>
        <v>1</v>
      </c>
      <c r="S487" s="15" t="n">
        <f aca="false">IF(OR(J487=1,N487&lt;=O487),1,0)</f>
        <v>1</v>
      </c>
      <c r="T487" s="15" t="str">
        <f aca="false">IF(J487=1,"OFFLINE",IF(AND(Q487&gt;=Inputs!$B$15,R487=1,S487=1,P487&lt;=L487),"PASS","FAIL"))</f>
        <v>PASS</v>
      </c>
    </row>
    <row r="488" customFormat="false" ht="15" hidden="false" customHeight="false" outlineLevel="0" collapsed="false">
      <c r="A488" s="14" t="s">
        <v>1023</v>
      </c>
      <c r="B488" s="14" t="s">
        <v>1019</v>
      </c>
      <c r="C488" s="14" t="s">
        <v>168</v>
      </c>
      <c r="D488" s="14" t="s">
        <v>180</v>
      </c>
      <c r="E488" s="14" t="s">
        <v>161</v>
      </c>
      <c r="F488" s="14" t="s">
        <v>175</v>
      </c>
      <c r="G488" s="14" t="n">
        <v>3</v>
      </c>
      <c r="H488" s="14" t="s">
        <v>158</v>
      </c>
      <c r="I488" s="14" t="s">
        <v>892</v>
      </c>
      <c r="J488" s="15" t="n">
        <f aca="false">IF(B488="SITE LOSS",IF(D488=C488,1,0),IF(B488="REGION LOSS",IF(E488=C488,1,0),0))</f>
        <v>0</v>
      </c>
      <c r="K488" s="15" t="n">
        <f aca="false">IF(B488="SITE LOSS",IF(COUNTIFS('Site Dockets'!$B$7:$B$24,C488,'Site Dockets'!$C$7:$C$24,F488)&gt;0,1,0),IF(B488="REGION LOSS",IF(COUNTIFS('Site Dockets'!$E$7:$E$24,C488,'Site Dockets'!$C$7:$C$24,F488)&gt;0,1,0),0))</f>
        <v>0</v>
      </c>
      <c r="L488" s="15" t="n">
        <f aca="false">IF(J488=1,0,Inputs!$B$11)</f>
        <v>100</v>
      </c>
      <c r="M488" s="15" t="n">
        <f aca="false">IF(J488=1,0,Inputs!$B$12)</f>
        <v>75</v>
      </c>
      <c r="N488" s="15" t="n">
        <f aca="false">IF(J488=1,0,IF(OR(AND(OR(B488="SITE LOSS",B488="REGION LOSS"),K488=1),AND(B488="ROLE COMPROMISE",H488=C488)),Inputs!$B$13,Inputs!$B$14))</f>
        <v>10</v>
      </c>
      <c r="O488" s="15" t="n">
        <f aca="false">IF(J488=1,0,Inputs!$B$13)</f>
        <v>20</v>
      </c>
      <c r="P488" s="15" t="n">
        <f aca="false">SUM(M488:N488)</f>
        <v>85</v>
      </c>
      <c r="Q488" s="15" t="n">
        <f aca="false">IF(J488=1,"",L488-P488)</f>
        <v>15</v>
      </c>
      <c r="R488" s="15" t="n">
        <f aca="false">IF(OR(J488=1,M488&lt;=Inputs!$B$12),1,0)</f>
        <v>1</v>
      </c>
      <c r="S488" s="15" t="n">
        <f aca="false">IF(OR(J488=1,N488&lt;=O488),1,0)</f>
        <v>1</v>
      </c>
      <c r="T488" s="15" t="str">
        <f aca="false">IF(J488=1,"OFFLINE",IF(AND(Q488&gt;=Inputs!$B$15,R488=1,S488=1,P488&lt;=L488),"PASS","FAIL"))</f>
        <v>PASS</v>
      </c>
    </row>
    <row r="489" customFormat="false" ht="15" hidden="false" customHeight="false" outlineLevel="0" collapsed="false">
      <c r="A489" s="14" t="s">
        <v>1023</v>
      </c>
      <c r="B489" s="14" t="s">
        <v>1019</v>
      </c>
      <c r="C489" s="14" t="s">
        <v>168</v>
      </c>
      <c r="D489" s="14" t="s">
        <v>180</v>
      </c>
      <c r="E489" s="14" t="s">
        <v>161</v>
      </c>
      <c r="F489" s="14" t="s">
        <v>175</v>
      </c>
      <c r="G489" s="14" t="n">
        <v>3</v>
      </c>
      <c r="H489" s="14" t="s">
        <v>158</v>
      </c>
      <c r="I489" s="14" t="s">
        <v>811</v>
      </c>
      <c r="J489" s="15" t="n">
        <f aca="false">IF(B489="SITE LOSS",IF(D489=C489,1,0),IF(B489="REGION LOSS",IF(E489=C489,1,0),0))</f>
        <v>0</v>
      </c>
      <c r="K489" s="15" t="n">
        <f aca="false">IF(B489="SITE LOSS",IF(COUNTIFS('Site Dockets'!$B$7:$B$24,C489,'Site Dockets'!$C$7:$C$24,F489)&gt;0,1,0),IF(B489="REGION LOSS",IF(COUNTIFS('Site Dockets'!$E$7:$E$24,C489,'Site Dockets'!$C$7:$C$24,F489)&gt;0,1,0),0))</f>
        <v>0</v>
      </c>
      <c r="L489" s="15" t="n">
        <f aca="false">IF(J489=1,0,Inputs!$B$11)</f>
        <v>100</v>
      </c>
      <c r="M489" s="15" t="n">
        <f aca="false">IF(J489=1,0,Inputs!$B$12)</f>
        <v>75</v>
      </c>
      <c r="N489" s="15" t="n">
        <f aca="false">IF(J489=1,0,IF(OR(AND(OR(B489="SITE LOSS",B489="REGION LOSS"),K489=1),AND(B489="ROLE COMPROMISE",H489=C489)),Inputs!$B$13,Inputs!$B$14))</f>
        <v>10</v>
      </c>
      <c r="O489" s="15" t="n">
        <f aca="false">IF(J489=1,0,Inputs!$B$13)</f>
        <v>20</v>
      </c>
      <c r="P489" s="15" t="n">
        <f aca="false">SUM(M489:N489)</f>
        <v>85</v>
      </c>
      <c r="Q489" s="15" t="n">
        <f aca="false">IF(J489=1,"",L489-P489)</f>
        <v>15</v>
      </c>
      <c r="R489" s="15" t="n">
        <f aca="false">IF(OR(J489=1,M489&lt;=Inputs!$B$12),1,0)</f>
        <v>1</v>
      </c>
      <c r="S489" s="15" t="n">
        <f aca="false">IF(OR(J489=1,N489&lt;=O489),1,0)</f>
        <v>1</v>
      </c>
      <c r="T489" s="15" t="str">
        <f aca="false">IF(J489=1,"OFFLINE",IF(AND(Q489&gt;=Inputs!$B$15,R489=1,S489=1,P489&lt;=L489),"PASS","FAIL"))</f>
        <v>PASS</v>
      </c>
    </row>
    <row r="490" customFormat="false" ht="15" hidden="false" customHeight="false" outlineLevel="0" collapsed="false">
      <c r="A490" s="14" t="s">
        <v>1023</v>
      </c>
      <c r="B490" s="14" t="s">
        <v>1019</v>
      </c>
      <c r="C490" s="14" t="s">
        <v>168</v>
      </c>
      <c r="D490" s="14" t="s">
        <v>180</v>
      </c>
      <c r="E490" s="14" t="s">
        <v>161</v>
      </c>
      <c r="F490" s="14" t="s">
        <v>175</v>
      </c>
      <c r="G490" s="14" t="n">
        <v>3</v>
      </c>
      <c r="H490" s="14" t="s">
        <v>158</v>
      </c>
      <c r="I490" s="14" t="s">
        <v>895</v>
      </c>
      <c r="J490" s="15" t="n">
        <f aca="false">IF(B490="SITE LOSS",IF(D490=C490,1,0),IF(B490="REGION LOSS",IF(E490=C490,1,0),0))</f>
        <v>0</v>
      </c>
      <c r="K490" s="15" t="n">
        <f aca="false">IF(B490="SITE LOSS",IF(COUNTIFS('Site Dockets'!$B$7:$B$24,C490,'Site Dockets'!$C$7:$C$24,F490)&gt;0,1,0),IF(B490="REGION LOSS",IF(COUNTIFS('Site Dockets'!$E$7:$E$24,C490,'Site Dockets'!$C$7:$C$24,F490)&gt;0,1,0),0))</f>
        <v>0</v>
      </c>
      <c r="L490" s="15" t="n">
        <f aca="false">IF(J490=1,0,Inputs!$B$11)</f>
        <v>100</v>
      </c>
      <c r="M490" s="15" t="n">
        <f aca="false">IF(J490=1,0,Inputs!$B$12)</f>
        <v>75</v>
      </c>
      <c r="N490" s="15" t="n">
        <f aca="false">IF(J490=1,0,IF(OR(AND(OR(B490="SITE LOSS",B490="REGION LOSS"),K490=1),AND(B490="ROLE COMPROMISE",H490=C490)),Inputs!$B$13,Inputs!$B$14))</f>
        <v>10</v>
      </c>
      <c r="O490" s="15" t="n">
        <f aca="false">IF(J490=1,0,Inputs!$B$13)</f>
        <v>20</v>
      </c>
      <c r="P490" s="15" t="n">
        <f aca="false">SUM(M490:N490)</f>
        <v>85</v>
      </c>
      <c r="Q490" s="15" t="n">
        <f aca="false">IF(J490=1,"",L490-P490)</f>
        <v>15</v>
      </c>
      <c r="R490" s="15" t="n">
        <f aca="false">IF(OR(J490=1,M490&lt;=Inputs!$B$12),1,0)</f>
        <v>1</v>
      </c>
      <c r="S490" s="15" t="n">
        <f aca="false">IF(OR(J490=1,N490&lt;=O490),1,0)</f>
        <v>1</v>
      </c>
      <c r="T490" s="15" t="str">
        <f aca="false">IF(J490=1,"OFFLINE",IF(AND(Q490&gt;=Inputs!$B$15,R490=1,S490=1,P490&lt;=L490),"PASS","FAIL"))</f>
        <v>PASS</v>
      </c>
    </row>
    <row r="491" customFormat="false" ht="15" hidden="false" customHeight="false" outlineLevel="0" collapsed="false">
      <c r="A491" s="14" t="s">
        <v>1023</v>
      </c>
      <c r="B491" s="14" t="s">
        <v>1019</v>
      </c>
      <c r="C491" s="14" t="s">
        <v>168</v>
      </c>
      <c r="D491" s="14" t="s">
        <v>180</v>
      </c>
      <c r="E491" s="14" t="s">
        <v>161</v>
      </c>
      <c r="F491" s="14" t="s">
        <v>175</v>
      </c>
      <c r="G491" s="14" t="n">
        <v>3</v>
      </c>
      <c r="H491" s="14" t="s">
        <v>158</v>
      </c>
      <c r="I491" s="14" t="s">
        <v>897</v>
      </c>
      <c r="J491" s="15" t="n">
        <f aca="false">IF(B491="SITE LOSS",IF(D491=C491,1,0),IF(B491="REGION LOSS",IF(E491=C491,1,0),0))</f>
        <v>0</v>
      </c>
      <c r="K491" s="15" t="n">
        <f aca="false">IF(B491="SITE LOSS",IF(COUNTIFS('Site Dockets'!$B$7:$B$24,C491,'Site Dockets'!$C$7:$C$24,F491)&gt;0,1,0),IF(B491="REGION LOSS",IF(COUNTIFS('Site Dockets'!$E$7:$E$24,C491,'Site Dockets'!$C$7:$C$24,F491)&gt;0,1,0),0))</f>
        <v>0</v>
      </c>
      <c r="L491" s="15" t="n">
        <f aca="false">IF(J491=1,0,Inputs!$B$11)</f>
        <v>100</v>
      </c>
      <c r="M491" s="15" t="n">
        <f aca="false">IF(J491=1,0,Inputs!$B$12)</f>
        <v>75</v>
      </c>
      <c r="N491" s="15" t="n">
        <f aca="false">IF(J491=1,0,IF(OR(AND(OR(B491="SITE LOSS",B491="REGION LOSS"),K491=1),AND(B491="ROLE COMPROMISE",H491=C491)),Inputs!$B$13,Inputs!$B$14))</f>
        <v>10</v>
      </c>
      <c r="O491" s="15" t="n">
        <f aca="false">IF(J491=1,0,Inputs!$B$13)</f>
        <v>20</v>
      </c>
      <c r="P491" s="15" t="n">
        <f aca="false">SUM(M491:N491)</f>
        <v>85</v>
      </c>
      <c r="Q491" s="15" t="n">
        <f aca="false">IF(J491=1,"",L491-P491)</f>
        <v>15</v>
      </c>
      <c r="R491" s="15" t="n">
        <f aca="false">IF(OR(J491=1,M491&lt;=Inputs!$B$12),1,0)</f>
        <v>1</v>
      </c>
      <c r="S491" s="15" t="n">
        <f aca="false">IF(OR(J491=1,N491&lt;=O491),1,0)</f>
        <v>1</v>
      </c>
      <c r="T491" s="15" t="str">
        <f aca="false">IF(J491=1,"OFFLINE",IF(AND(Q491&gt;=Inputs!$B$15,R491=1,S491=1,P491&lt;=L491),"PASS","FAIL"))</f>
        <v>PASS</v>
      </c>
    </row>
    <row r="492" customFormat="false" ht="15" hidden="false" customHeight="false" outlineLevel="0" collapsed="false">
      <c r="A492" s="14" t="s">
        <v>1023</v>
      </c>
      <c r="B492" s="14" t="s">
        <v>1019</v>
      </c>
      <c r="C492" s="14" t="s">
        <v>168</v>
      </c>
      <c r="D492" s="14" t="s">
        <v>180</v>
      </c>
      <c r="E492" s="14" t="s">
        <v>161</v>
      </c>
      <c r="F492" s="14" t="s">
        <v>175</v>
      </c>
      <c r="G492" s="14" t="n">
        <v>3</v>
      </c>
      <c r="H492" s="14" t="s">
        <v>158</v>
      </c>
      <c r="I492" s="14" t="s">
        <v>899</v>
      </c>
      <c r="J492" s="15" t="n">
        <f aca="false">IF(B492="SITE LOSS",IF(D492=C492,1,0),IF(B492="REGION LOSS",IF(E492=C492,1,0),0))</f>
        <v>0</v>
      </c>
      <c r="K492" s="15" t="n">
        <f aca="false">IF(B492="SITE LOSS",IF(COUNTIFS('Site Dockets'!$B$7:$B$24,C492,'Site Dockets'!$C$7:$C$24,F492)&gt;0,1,0),IF(B492="REGION LOSS",IF(COUNTIFS('Site Dockets'!$E$7:$E$24,C492,'Site Dockets'!$C$7:$C$24,F492)&gt;0,1,0),0))</f>
        <v>0</v>
      </c>
      <c r="L492" s="15" t="n">
        <f aca="false">IF(J492=1,0,Inputs!$B$11)</f>
        <v>100</v>
      </c>
      <c r="M492" s="15" t="n">
        <f aca="false">IF(J492=1,0,Inputs!$B$12)</f>
        <v>75</v>
      </c>
      <c r="N492" s="15" t="n">
        <f aca="false">IF(J492=1,0,IF(OR(AND(OR(B492="SITE LOSS",B492="REGION LOSS"),K492=1),AND(B492="ROLE COMPROMISE",H492=C492)),Inputs!$B$13,Inputs!$B$14))</f>
        <v>10</v>
      </c>
      <c r="O492" s="15" t="n">
        <f aca="false">IF(J492=1,0,Inputs!$B$13)</f>
        <v>20</v>
      </c>
      <c r="P492" s="15" t="n">
        <f aca="false">SUM(M492:N492)</f>
        <v>85</v>
      </c>
      <c r="Q492" s="15" t="n">
        <f aca="false">IF(J492=1,"",L492-P492)</f>
        <v>15</v>
      </c>
      <c r="R492" s="15" t="n">
        <f aca="false">IF(OR(J492=1,M492&lt;=Inputs!$B$12),1,0)</f>
        <v>1</v>
      </c>
      <c r="S492" s="15" t="n">
        <f aca="false">IF(OR(J492=1,N492&lt;=O492),1,0)</f>
        <v>1</v>
      </c>
      <c r="T492" s="15" t="str">
        <f aca="false">IF(J492=1,"OFFLINE",IF(AND(Q492&gt;=Inputs!$B$15,R492=1,S492=1,P492&lt;=L492),"PASS","FAIL"))</f>
        <v>PASS</v>
      </c>
    </row>
    <row r="493" customFormat="false" ht="15" hidden="false" customHeight="false" outlineLevel="0" collapsed="false">
      <c r="A493" s="14" t="s">
        <v>1023</v>
      </c>
      <c r="B493" s="14" t="s">
        <v>1019</v>
      </c>
      <c r="C493" s="14" t="s">
        <v>168</v>
      </c>
      <c r="D493" s="14" t="s">
        <v>182</v>
      </c>
      <c r="E493" s="14" t="s">
        <v>166</v>
      </c>
      <c r="F493" s="14" t="s">
        <v>183</v>
      </c>
      <c r="G493" s="14" t="n">
        <v>1</v>
      </c>
      <c r="H493" s="14" t="s">
        <v>154</v>
      </c>
      <c r="I493" s="14" t="s">
        <v>890</v>
      </c>
      <c r="J493" s="15" t="n">
        <f aca="false">IF(B493="SITE LOSS",IF(D493=C493,1,0),IF(B493="REGION LOSS",IF(E493=C493,1,0),0))</f>
        <v>0</v>
      </c>
      <c r="K493" s="15" t="n">
        <f aca="false">IF(B493="SITE LOSS",IF(COUNTIFS('Site Dockets'!$B$7:$B$24,C493,'Site Dockets'!$C$7:$C$24,F493)&gt;0,1,0),IF(B493="REGION LOSS",IF(COUNTIFS('Site Dockets'!$E$7:$E$24,C493,'Site Dockets'!$C$7:$C$24,F493)&gt;0,1,0),0))</f>
        <v>0</v>
      </c>
      <c r="L493" s="15" t="n">
        <f aca="false">IF(J493=1,0,Inputs!$B$11)</f>
        <v>100</v>
      </c>
      <c r="M493" s="15" t="n">
        <f aca="false">IF(J493=1,0,Inputs!$B$12)</f>
        <v>75</v>
      </c>
      <c r="N493" s="15" t="n">
        <f aca="false">IF(J493=1,0,IF(OR(AND(OR(B493="SITE LOSS",B493="REGION LOSS"),K493=1),AND(B493="ROLE COMPROMISE",H493=C493)),Inputs!$B$13,Inputs!$B$14))</f>
        <v>10</v>
      </c>
      <c r="O493" s="15" t="n">
        <f aca="false">IF(J493=1,0,Inputs!$B$13)</f>
        <v>20</v>
      </c>
      <c r="P493" s="15" t="n">
        <f aca="false">SUM(M493:N493)</f>
        <v>85</v>
      </c>
      <c r="Q493" s="15" t="n">
        <f aca="false">IF(J493=1,"",L493-P493)</f>
        <v>15</v>
      </c>
      <c r="R493" s="15" t="n">
        <f aca="false">IF(OR(J493=1,M493&lt;=Inputs!$B$12),1,0)</f>
        <v>1</v>
      </c>
      <c r="S493" s="15" t="n">
        <f aca="false">IF(OR(J493=1,N493&lt;=O493),1,0)</f>
        <v>1</v>
      </c>
      <c r="T493" s="15" t="str">
        <f aca="false">IF(J493=1,"OFFLINE",IF(AND(Q493&gt;=Inputs!$B$15,R493=1,S493=1,P493&lt;=L493),"PASS","FAIL"))</f>
        <v>PASS</v>
      </c>
    </row>
    <row r="494" customFormat="false" ht="15" hidden="false" customHeight="false" outlineLevel="0" collapsed="false">
      <c r="A494" s="14" t="s">
        <v>1023</v>
      </c>
      <c r="B494" s="14" t="s">
        <v>1019</v>
      </c>
      <c r="C494" s="14" t="s">
        <v>168</v>
      </c>
      <c r="D494" s="14" t="s">
        <v>182</v>
      </c>
      <c r="E494" s="14" t="s">
        <v>166</v>
      </c>
      <c r="F494" s="14" t="s">
        <v>183</v>
      </c>
      <c r="G494" s="14" t="n">
        <v>1</v>
      </c>
      <c r="H494" s="14" t="s">
        <v>154</v>
      </c>
      <c r="I494" s="14" t="s">
        <v>892</v>
      </c>
      <c r="J494" s="15" t="n">
        <f aca="false">IF(B494="SITE LOSS",IF(D494=C494,1,0),IF(B494="REGION LOSS",IF(E494=C494,1,0),0))</f>
        <v>0</v>
      </c>
      <c r="K494" s="15" t="n">
        <f aca="false">IF(B494="SITE LOSS",IF(COUNTIFS('Site Dockets'!$B$7:$B$24,C494,'Site Dockets'!$C$7:$C$24,F494)&gt;0,1,0),IF(B494="REGION LOSS",IF(COUNTIFS('Site Dockets'!$E$7:$E$24,C494,'Site Dockets'!$C$7:$C$24,F494)&gt;0,1,0),0))</f>
        <v>0</v>
      </c>
      <c r="L494" s="15" t="n">
        <f aca="false">IF(J494=1,0,Inputs!$B$11)</f>
        <v>100</v>
      </c>
      <c r="M494" s="15" t="n">
        <f aca="false">IF(J494=1,0,Inputs!$B$12)</f>
        <v>75</v>
      </c>
      <c r="N494" s="15" t="n">
        <f aca="false">IF(J494=1,0,IF(OR(AND(OR(B494="SITE LOSS",B494="REGION LOSS"),K494=1),AND(B494="ROLE COMPROMISE",H494=C494)),Inputs!$B$13,Inputs!$B$14))</f>
        <v>10</v>
      </c>
      <c r="O494" s="15" t="n">
        <f aca="false">IF(J494=1,0,Inputs!$B$13)</f>
        <v>20</v>
      </c>
      <c r="P494" s="15" t="n">
        <f aca="false">SUM(M494:N494)</f>
        <v>85</v>
      </c>
      <c r="Q494" s="15" t="n">
        <f aca="false">IF(J494=1,"",L494-P494)</f>
        <v>15</v>
      </c>
      <c r="R494" s="15" t="n">
        <f aca="false">IF(OR(J494=1,M494&lt;=Inputs!$B$12),1,0)</f>
        <v>1</v>
      </c>
      <c r="S494" s="15" t="n">
        <f aca="false">IF(OR(J494=1,N494&lt;=O494),1,0)</f>
        <v>1</v>
      </c>
      <c r="T494" s="15" t="str">
        <f aca="false">IF(J494=1,"OFFLINE",IF(AND(Q494&gt;=Inputs!$B$15,R494=1,S494=1,P494&lt;=L494),"PASS","FAIL"))</f>
        <v>PASS</v>
      </c>
    </row>
    <row r="495" customFormat="false" ht="15" hidden="false" customHeight="false" outlineLevel="0" collapsed="false">
      <c r="A495" s="14" t="s">
        <v>1023</v>
      </c>
      <c r="B495" s="14" t="s">
        <v>1019</v>
      </c>
      <c r="C495" s="14" t="s">
        <v>168</v>
      </c>
      <c r="D495" s="14" t="s">
        <v>182</v>
      </c>
      <c r="E495" s="14" t="s">
        <v>166</v>
      </c>
      <c r="F495" s="14" t="s">
        <v>183</v>
      </c>
      <c r="G495" s="14" t="n">
        <v>1</v>
      </c>
      <c r="H495" s="14" t="s">
        <v>154</v>
      </c>
      <c r="I495" s="14" t="s">
        <v>811</v>
      </c>
      <c r="J495" s="15" t="n">
        <f aca="false">IF(B495="SITE LOSS",IF(D495=C495,1,0),IF(B495="REGION LOSS",IF(E495=C495,1,0),0))</f>
        <v>0</v>
      </c>
      <c r="K495" s="15" t="n">
        <f aca="false">IF(B495="SITE LOSS",IF(COUNTIFS('Site Dockets'!$B$7:$B$24,C495,'Site Dockets'!$C$7:$C$24,F495)&gt;0,1,0),IF(B495="REGION LOSS",IF(COUNTIFS('Site Dockets'!$E$7:$E$24,C495,'Site Dockets'!$C$7:$C$24,F495)&gt;0,1,0),0))</f>
        <v>0</v>
      </c>
      <c r="L495" s="15" t="n">
        <f aca="false">IF(J495=1,0,Inputs!$B$11)</f>
        <v>100</v>
      </c>
      <c r="M495" s="15" t="n">
        <f aca="false">IF(J495=1,0,Inputs!$B$12)</f>
        <v>75</v>
      </c>
      <c r="N495" s="15" t="n">
        <f aca="false">IF(J495=1,0,IF(OR(AND(OR(B495="SITE LOSS",B495="REGION LOSS"),K495=1),AND(B495="ROLE COMPROMISE",H495=C495)),Inputs!$B$13,Inputs!$B$14))</f>
        <v>10</v>
      </c>
      <c r="O495" s="15" t="n">
        <f aca="false">IF(J495=1,0,Inputs!$B$13)</f>
        <v>20</v>
      </c>
      <c r="P495" s="15" t="n">
        <f aca="false">SUM(M495:N495)</f>
        <v>85</v>
      </c>
      <c r="Q495" s="15" t="n">
        <f aca="false">IF(J495=1,"",L495-P495)</f>
        <v>15</v>
      </c>
      <c r="R495" s="15" t="n">
        <f aca="false">IF(OR(J495=1,M495&lt;=Inputs!$B$12),1,0)</f>
        <v>1</v>
      </c>
      <c r="S495" s="15" t="n">
        <f aca="false">IF(OR(J495=1,N495&lt;=O495),1,0)</f>
        <v>1</v>
      </c>
      <c r="T495" s="15" t="str">
        <f aca="false">IF(J495=1,"OFFLINE",IF(AND(Q495&gt;=Inputs!$B$15,R495=1,S495=1,P495&lt;=L495),"PASS","FAIL"))</f>
        <v>PASS</v>
      </c>
    </row>
    <row r="496" customFormat="false" ht="15" hidden="false" customHeight="false" outlineLevel="0" collapsed="false">
      <c r="A496" s="14" t="s">
        <v>1023</v>
      </c>
      <c r="B496" s="14" t="s">
        <v>1019</v>
      </c>
      <c r="C496" s="14" t="s">
        <v>168</v>
      </c>
      <c r="D496" s="14" t="s">
        <v>182</v>
      </c>
      <c r="E496" s="14" t="s">
        <v>166</v>
      </c>
      <c r="F496" s="14" t="s">
        <v>183</v>
      </c>
      <c r="G496" s="14" t="n">
        <v>1</v>
      </c>
      <c r="H496" s="14" t="s">
        <v>154</v>
      </c>
      <c r="I496" s="14" t="s">
        <v>895</v>
      </c>
      <c r="J496" s="15" t="n">
        <f aca="false">IF(B496="SITE LOSS",IF(D496=C496,1,0),IF(B496="REGION LOSS",IF(E496=C496,1,0),0))</f>
        <v>0</v>
      </c>
      <c r="K496" s="15" t="n">
        <f aca="false">IF(B496="SITE LOSS",IF(COUNTIFS('Site Dockets'!$B$7:$B$24,C496,'Site Dockets'!$C$7:$C$24,F496)&gt;0,1,0),IF(B496="REGION LOSS",IF(COUNTIFS('Site Dockets'!$E$7:$E$24,C496,'Site Dockets'!$C$7:$C$24,F496)&gt;0,1,0),0))</f>
        <v>0</v>
      </c>
      <c r="L496" s="15" t="n">
        <f aca="false">IF(J496=1,0,Inputs!$B$11)</f>
        <v>100</v>
      </c>
      <c r="M496" s="15" t="n">
        <f aca="false">IF(J496=1,0,Inputs!$B$12)</f>
        <v>75</v>
      </c>
      <c r="N496" s="15" t="n">
        <f aca="false">IF(J496=1,0,IF(OR(AND(OR(B496="SITE LOSS",B496="REGION LOSS"),K496=1),AND(B496="ROLE COMPROMISE",H496=C496)),Inputs!$B$13,Inputs!$B$14))</f>
        <v>10</v>
      </c>
      <c r="O496" s="15" t="n">
        <f aca="false">IF(J496=1,0,Inputs!$B$13)</f>
        <v>20</v>
      </c>
      <c r="P496" s="15" t="n">
        <f aca="false">SUM(M496:N496)</f>
        <v>85</v>
      </c>
      <c r="Q496" s="15" t="n">
        <f aca="false">IF(J496=1,"",L496-P496)</f>
        <v>15</v>
      </c>
      <c r="R496" s="15" t="n">
        <f aca="false">IF(OR(J496=1,M496&lt;=Inputs!$B$12),1,0)</f>
        <v>1</v>
      </c>
      <c r="S496" s="15" t="n">
        <f aca="false">IF(OR(J496=1,N496&lt;=O496),1,0)</f>
        <v>1</v>
      </c>
      <c r="T496" s="15" t="str">
        <f aca="false">IF(J496=1,"OFFLINE",IF(AND(Q496&gt;=Inputs!$B$15,R496=1,S496=1,P496&lt;=L496),"PASS","FAIL"))</f>
        <v>PASS</v>
      </c>
    </row>
    <row r="497" customFormat="false" ht="15" hidden="false" customHeight="false" outlineLevel="0" collapsed="false">
      <c r="A497" s="14" t="s">
        <v>1023</v>
      </c>
      <c r="B497" s="14" t="s">
        <v>1019</v>
      </c>
      <c r="C497" s="14" t="s">
        <v>168</v>
      </c>
      <c r="D497" s="14" t="s">
        <v>182</v>
      </c>
      <c r="E497" s="14" t="s">
        <v>166</v>
      </c>
      <c r="F497" s="14" t="s">
        <v>183</v>
      </c>
      <c r="G497" s="14" t="n">
        <v>1</v>
      </c>
      <c r="H497" s="14" t="s">
        <v>154</v>
      </c>
      <c r="I497" s="14" t="s">
        <v>897</v>
      </c>
      <c r="J497" s="15" t="n">
        <f aca="false">IF(B497="SITE LOSS",IF(D497=C497,1,0),IF(B497="REGION LOSS",IF(E497=C497,1,0),0))</f>
        <v>0</v>
      </c>
      <c r="K497" s="15" t="n">
        <f aca="false">IF(B497="SITE LOSS",IF(COUNTIFS('Site Dockets'!$B$7:$B$24,C497,'Site Dockets'!$C$7:$C$24,F497)&gt;0,1,0),IF(B497="REGION LOSS",IF(COUNTIFS('Site Dockets'!$E$7:$E$24,C497,'Site Dockets'!$C$7:$C$24,F497)&gt;0,1,0),0))</f>
        <v>0</v>
      </c>
      <c r="L497" s="15" t="n">
        <f aca="false">IF(J497=1,0,Inputs!$B$11)</f>
        <v>100</v>
      </c>
      <c r="M497" s="15" t="n">
        <f aca="false">IF(J497=1,0,Inputs!$B$12)</f>
        <v>75</v>
      </c>
      <c r="N497" s="15" t="n">
        <f aca="false">IF(J497=1,0,IF(OR(AND(OR(B497="SITE LOSS",B497="REGION LOSS"),K497=1),AND(B497="ROLE COMPROMISE",H497=C497)),Inputs!$B$13,Inputs!$B$14))</f>
        <v>10</v>
      </c>
      <c r="O497" s="15" t="n">
        <f aca="false">IF(J497=1,0,Inputs!$B$13)</f>
        <v>20</v>
      </c>
      <c r="P497" s="15" t="n">
        <f aca="false">SUM(M497:N497)</f>
        <v>85</v>
      </c>
      <c r="Q497" s="15" t="n">
        <f aca="false">IF(J497=1,"",L497-P497)</f>
        <v>15</v>
      </c>
      <c r="R497" s="15" t="n">
        <f aca="false">IF(OR(J497=1,M497&lt;=Inputs!$B$12),1,0)</f>
        <v>1</v>
      </c>
      <c r="S497" s="15" t="n">
        <f aca="false">IF(OR(J497=1,N497&lt;=O497),1,0)</f>
        <v>1</v>
      </c>
      <c r="T497" s="15" t="str">
        <f aca="false">IF(J497=1,"OFFLINE",IF(AND(Q497&gt;=Inputs!$B$15,R497=1,S497=1,P497&lt;=L497),"PASS","FAIL"))</f>
        <v>PASS</v>
      </c>
    </row>
    <row r="498" customFormat="false" ht="15" hidden="false" customHeight="false" outlineLevel="0" collapsed="false">
      <c r="A498" s="14" t="s">
        <v>1023</v>
      </c>
      <c r="B498" s="14" t="s">
        <v>1019</v>
      </c>
      <c r="C498" s="14" t="s">
        <v>168</v>
      </c>
      <c r="D498" s="14" t="s">
        <v>182</v>
      </c>
      <c r="E498" s="14" t="s">
        <v>166</v>
      </c>
      <c r="F498" s="14" t="s">
        <v>183</v>
      </c>
      <c r="G498" s="14" t="n">
        <v>1</v>
      </c>
      <c r="H498" s="14" t="s">
        <v>154</v>
      </c>
      <c r="I498" s="14" t="s">
        <v>899</v>
      </c>
      <c r="J498" s="15" t="n">
        <f aca="false">IF(B498="SITE LOSS",IF(D498=C498,1,0),IF(B498="REGION LOSS",IF(E498=C498,1,0),0))</f>
        <v>0</v>
      </c>
      <c r="K498" s="15" t="n">
        <f aca="false">IF(B498="SITE LOSS",IF(COUNTIFS('Site Dockets'!$B$7:$B$24,C498,'Site Dockets'!$C$7:$C$24,F498)&gt;0,1,0),IF(B498="REGION LOSS",IF(COUNTIFS('Site Dockets'!$E$7:$E$24,C498,'Site Dockets'!$C$7:$C$24,F498)&gt;0,1,0),0))</f>
        <v>0</v>
      </c>
      <c r="L498" s="15" t="n">
        <f aca="false">IF(J498=1,0,Inputs!$B$11)</f>
        <v>100</v>
      </c>
      <c r="M498" s="15" t="n">
        <f aca="false">IF(J498=1,0,Inputs!$B$12)</f>
        <v>75</v>
      </c>
      <c r="N498" s="15" t="n">
        <f aca="false">IF(J498=1,0,IF(OR(AND(OR(B498="SITE LOSS",B498="REGION LOSS"),K498=1),AND(B498="ROLE COMPROMISE",H498=C498)),Inputs!$B$13,Inputs!$B$14))</f>
        <v>10</v>
      </c>
      <c r="O498" s="15" t="n">
        <f aca="false">IF(J498=1,0,Inputs!$B$13)</f>
        <v>20</v>
      </c>
      <c r="P498" s="15" t="n">
        <f aca="false">SUM(M498:N498)</f>
        <v>85</v>
      </c>
      <c r="Q498" s="15" t="n">
        <f aca="false">IF(J498=1,"",L498-P498)</f>
        <v>15</v>
      </c>
      <c r="R498" s="15" t="n">
        <f aca="false">IF(OR(J498=1,M498&lt;=Inputs!$B$12),1,0)</f>
        <v>1</v>
      </c>
      <c r="S498" s="15" t="n">
        <f aca="false">IF(OR(J498=1,N498&lt;=O498),1,0)</f>
        <v>1</v>
      </c>
      <c r="T498" s="15" t="str">
        <f aca="false">IF(J498=1,"OFFLINE",IF(AND(Q498&gt;=Inputs!$B$15,R498=1,S498=1,P498&lt;=L498),"PASS","FAIL"))</f>
        <v>PASS</v>
      </c>
    </row>
    <row r="499" customFormat="false" ht="15" hidden="false" customHeight="false" outlineLevel="0" collapsed="false">
      <c r="A499" s="14" t="s">
        <v>1023</v>
      </c>
      <c r="B499" s="14" t="s">
        <v>1019</v>
      </c>
      <c r="C499" s="14" t="s">
        <v>168</v>
      </c>
      <c r="D499" s="14" t="s">
        <v>186</v>
      </c>
      <c r="E499" s="14" t="s">
        <v>157</v>
      </c>
      <c r="F499" s="14" t="s">
        <v>183</v>
      </c>
      <c r="G499" s="14" t="n">
        <v>2</v>
      </c>
      <c r="H499" s="14" t="s">
        <v>153</v>
      </c>
      <c r="I499" s="14" t="s">
        <v>890</v>
      </c>
      <c r="J499" s="15" t="n">
        <f aca="false">IF(B499="SITE LOSS",IF(D499=C499,1,0),IF(B499="REGION LOSS",IF(E499=C499,1,0),0))</f>
        <v>0</v>
      </c>
      <c r="K499" s="15" t="n">
        <f aca="false">IF(B499="SITE LOSS",IF(COUNTIFS('Site Dockets'!$B$7:$B$24,C499,'Site Dockets'!$C$7:$C$24,F499)&gt;0,1,0),IF(B499="REGION LOSS",IF(COUNTIFS('Site Dockets'!$E$7:$E$24,C499,'Site Dockets'!$C$7:$C$24,F499)&gt;0,1,0),0))</f>
        <v>0</v>
      </c>
      <c r="L499" s="15" t="n">
        <f aca="false">IF(J499=1,0,Inputs!$B$11)</f>
        <v>100</v>
      </c>
      <c r="M499" s="15" t="n">
        <f aca="false">IF(J499=1,0,Inputs!$B$12)</f>
        <v>75</v>
      </c>
      <c r="N499" s="15" t="n">
        <f aca="false">IF(J499=1,0,IF(OR(AND(OR(B499="SITE LOSS",B499="REGION LOSS"),K499=1),AND(B499="ROLE COMPROMISE",H499=C499)),Inputs!$B$13,Inputs!$B$14))</f>
        <v>10</v>
      </c>
      <c r="O499" s="15" t="n">
        <f aca="false">IF(J499=1,0,Inputs!$B$13)</f>
        <v>20</v>
      </c>
      <c r="P499" s="15" t="n">
        <f aca="false">SUM(M499:N499)</f>
        <v>85</v>
      </c>
      <c r="Q499" s="15" t="n">
        <f aca="false">IF(J499=1,"",L499-P499)</f>
        <v>15</v>
      </c>
      <c r="R499" s="15" t="n">
        <f aca="false">IF(OR(J499=1,M499&lt;=Inputs!$B$12),1,0)</f>
        <v>1</v>
      </c>
      <c r="S499" s="15" t="n">
        <f aca="false">IF(OR(J499=1,N499&lt;=O499),1,0)</f>
        <v>1</v>
      </c>
      <c r="T499" s="15" t="str">
        <f aca="false">IF(J499=1,"OFFLINE",IF(AND(Q499&gt;=Inputs!$B$15,R499=1,S499=1,P499&lt;=L499),"PASS","FAIL"))</f>
        <v>PASS</v>
      </c>
    </row>
    <row r="500" customFormat="false" ht="15" hidden="false" customHeight="false" outlineLevel="0" collapsed="false">
      <c r="A500" s="14" t="s">
        <v>1023</v>
      </c>
      <c r="B500" s="14" t="s">
        <v>1019</v>
      </c>
      <c r="C500" s="14" t="s">
        <v>168</v>
      </c>
      <c r="D500" s="14" t="s">
        <v>186</v>
      </c>
      <c r="E500" s="14" t="s">
        <v>157</v>
      </c>
      <c r="F500" s="14" t="s">
        <v>183</v>
      </c>
      <c r="G500" s="14" t="n">
        <v>2</v>
      </c>
      <c r="H500" s="14" t="s">
        <v>153</v>
      </c>
      <c r="I500" s="14" t="s">
        <v>892</v>
      </c>
      <c r="J500" s="15" t="n">
        <f aca="false">IF(B500="SITE LOSS",IF(D500=C500,1,0),IF(B500="REGION LOSS",IF(E500=C500,1,0),0))</f>
        <v>0</v>
      </c>
      <c r="K500" s="15" t="n">
        <f aca="false">IF(B500="SITE LOSS",IF(COUNTIFS('Site Dockets'!$B$7:$B$24,C500,'Site Dockets'!$C$7:$C$24,F500)&gt;0,1,0),IF(B500="REGION LOSS",IF(COUNTIFS('Site Dockets'!$E$7:$E$24,C500,'Site Dockets'!$C$7:$C$24,F500)&gt;0,1,0),0))</f>
        <v>0</v>
      </c>
      <c r="L500" s="15" t="n">
        <f aca="false">IF(J500=1,0,Inputs!$B$11)</f>
        <v>100</v>
      </c>
      <c r="M500" s="15" t="n">
        <f aca="false">IF(J500=1,0,Inputs!$B$12)</f>
        <v>75</v>
      </c>
      <c r="N500" s="15" t="n">
        <f aca="false">IF(J500=1,0,IF(OR(AND(OR(B500="SITE LOSS",B500="REGION LOSS"),K500=1),AND(B500="ROLE COMPROMISE",H500=C500)),Inputs!$B$13,Inputs!$B$14))</f>
        <v>10</v>
      </c>
      <c r="O500" s="15" t="n">
        <f aca="false">IF(J500=1,0,Inputs!$B$13)</f>
        <v>20</v>
      </c>
      <c r="P500" s="15" t="n">
        <f aca="false">SUM(M500:N500)</f>
        <v>85</v>
      </c>
      <c r="Q500" s="15" t="n">
        <f aca="false">IF(J500=1,"",L500-P500)</f>
        <v>15</v>
      </c>
      <c r="R500" s="15" t="n">
        <f aca="false">IF(OR(J500=1,M500&lt;=Inputs!$B$12),1,0)</f>
        <v>1</v>
      </c>
      <c r="S500" s="15" t="n">
        <f aca="false">IF(OR(J500=1,N500&lt;=O500),1,0)</f>
        <v>1</v>
      </c>
      <c r="T500" s="15" t="str">
        <f aca="false">IF(J500=1,"OFFLINE",IF(AND(Q500&gt;=Inputs!$B$15,R500=1,S500=1,P500&lt;=L500),"PASS","FAIL"))</f>
        <v>PASS</v>
      </c>
    </row>
    <row r="501" customFormat="false" ht="15" hidden="false" customHeight="false" outlineLevel="0" collapsed="false">
      <c r="A501" s="14" t="s">
        <v>1023</v>
      </c>
      <c r="B501" s="14" t="s">
        <v>1019</v>
      </c>
      <c r="C501" s="14" t="s">
        <v>168</v>
      </c>
      <c r="D501" s="14" t="s">
        <v>186</v>
      </c>
      <c r="E501" s="14" t="s">
        <v>157</v>
      </c>
      <c r="F501" s="14" t="s">
        <v>183</v>
      </c>
      <c r="G501" s="14" t="n">
        <v>2</v>
      </c>
      <c r="H501" s="14" t="s">
        <v>153</v>
      </c>
      <c r="I501" s="14" t="s">
        <v>811</v>
      </c>
      <c r="J501" s="15" t="n">
        <f aca="false">IF(B501="SITE LOSS",IF(D501=C501,1,0),IF(B501="REGION LOSS",IF(E501=C501,1,0),0))</f>
        <v>0</v>
      </c>
      <c r="K501" s="15" t="n">
        <f aca="false">IF(B501="SITE LOSS",IF(COUNTIFS('Site Dockets'!$B$7:$B$24,C501,'Site Dockets'!$C$7:$C$24,F501)&gt;0,1,0),IF(B501="REGION LOSS",IF(COUNTIFS('Site Dockets'!$E$7:$E$24,C501,'Site Dockets'!$C$7:$C$24,F501)&gt;0,1,0),0))</f>
        <v>0</v>
      </c>
      <c r="L501" s="15" t="n">
        <f aca="false">IF(J501=1,0,Inputs!$B$11)</f>
        <v>100</v>
      </c>
      <c r="M501" s="15" t="n">
        <f aca="false">IF(J501=1,0,Inputs!$B$12)</f>
        <v>75</v>
      </c>
      <c r="N501" s="15" t="n">
        <f aca="false">IF(J501=1,0,IF(OR(AND(OR(B501="SITE LOSS",B501="REGION LOSS"),K501=1),AND(B501="ROLE COMPROMISE",H501=C501)),Inputs!$B$13,Inputs!$B$14))</f>
        <v>10</v>
      </c>
      <c r="O501" s="15" t="n">
        <f aca="false">IF(J501=1,0,Inputs!$B$13)</f>
        <v>20</v>
      </c>
      <c r="P501" s="15" t="n">
        <f aca="false">SUM(M501:N501)</f>
        <v>85</v>
      </c>
      <c r="Q501" s="15" t="n">
        <f aca="false">IF(J501=1,"",L501-P501)</f>
        <v>15</v>
      </c>
      <c r="R501" s="15" t="n">
        <f aca="false">IF(OR(J501=1,M501&lt;=Inputs!$B$12),1,0)</f>
        <v>1</v>
      </c>
      <c r="S501" s="15" t="n">
        <f aca="false">IF(OR(J501=1,N501&lt;=O501),1,0)</f>
        <v>1</v>
      </c>
      <c r="T501" s="15" t="str">
        <f aca="false">IF(J501=1,"OFFLINE",IF(AND(Q501&gt;=Inputs!$B$15,R501=1,S501=1,P501&lt;=L501),"PASS","FAIL"))</f>
        <v>PASS</v>
      </c>
    </row>
    <row r="502" customFormat="false" ht="15" hidden="false" customHeight="false" outlineLevel="0" collapsed="false">
      <c r="A502" s="14" t="s">
        <v>1023</v>
      </c>
      <c r="B502" s="14" t="s">
        <v>1019</v>
      </c>
      <c r="C502" s="14" t="s">
        <v>168</v>
      </c>
      <c r="D502" s="14" t="s">
        <v>186</v>
      </c>
      <c r="E502" s="14" t="s">
        <v>157</v>
      </c>
      <c r="F502" s="14" t="s">
        <v>183</v>
      </c>
      <c r="G502" s="14" t="n">
        <v>2</v>
      </c>
      <c r="H502" s="14" t="s">
        <v>153</v>
      </c>
      <c r="I502" s="14" t="s">
        <v>895</v>
      </c>
      <c r="J502" s="15" t="n">
        <f aca="false">IF(B502="SITE LOSS",IF(D502=C502,1,0),IF(B502="REGION LOSS",IF(E502=C502,1,0),0))</f>
        <v>0</v>
      </c>
      <c r="K502" s="15" t="n">
        <f aca="false">IF(B502="SITE LOSS",IF(COUNTIFS('Site Dockets'!$B$7:$B$24,C502,'Site Dockets'!$C$7:$C$24,F502)&gt;0,1,0),IF(B502="REGION LOSS",IF(COUNTIFS('Site Dockets'!$E$7:$E$24,C502,'Site Dockets'!$C$7:$C$24,F502)&gt;0,1,0),0))</f>
        <v>0</v>
      </c>
      <c r="L502" s="15" t="n">
        <f aca="false">IF(J502=1,0,Inputs!$B$11)</f>
        <v>100</v>
      </c>
      <c r="M502" s="15" t="n">
        <f aca="false">IF(J502=1,0,Inputs!$B$12)</f>
        <v>75</v>
      </c>
      <c r="N502" s="15" t="n">
        <f aca="false">IF(J502=1,0,IF(OR(AND(OR(B502="SITE LOSS",B502="REGION LOSS"),K502=1),AND(B502="ROLE COMPROMISE",H502=C502)),Inputs!$B$13,Inputs!$B$14))</f>
        <v>10</v>
      </c>
      <c r="O502" s="15" t="n">
        <f aca="false">IF(J502=1,0,Inputs!$B$13)</f>
        <v>20</v>
      </c>
      <c r="P502" s="15" t="n">
        <f aca="false">SUM(M502:N502)</f>
        <v>85</v>
      </c>
      <c r="Q502" s="15" t="n">
        <f aca="false">IF(J502=1,"",L502-P502)</f>
        <v>15</v>
      </c>
      <c r="R502" s="15" t="n">
        <f aca="false">IF(OR(J502=1,M502&lt;=Inputs!$B$12),1,0)</f>
        <v>1</v>
      </c>
      <c r="S502" s="15" t="n">
        <f aca="false">IF(OR(J502=1,N502&lt;=O502),1,0)</f>
        <v>1</v>
      </c>
      <c r="T502" s="15" t="str">
        <f aca="false">IF(J502=1,"OFFLINE",IF(AND(Q502&gt;=Inputs!$B$15,R502=1,S502=1,P502&lt;=L502),"PASS","FAIL"))</f>
        <v>PASS</v>
      </c>
    </row>
    <row r="503" customFormat="false" ht="15" hidden="false" customHeight="false" outlineLevel="0" collapsed="false">
      <c r="A503" s="14" t="s">
        <v>1023</v>
      </c>
      <c r="B503" s="14" t="s">
        <v>1019</v>
      </c>
      <c r="C503" s="14" t="s">
        <v>168</v>
      </c>
      <c r="D503" s="14" t="s">
        <v>186</v>
      </c>
      <c r="E503" s="14" t="s">
        <v>157</v>
      </c>
      <c r="F503" s="14" t="s">
        <v>183</v>
      </c>
      <c r="G503" s="14" t="n">
        <v>2</v>
      </c>
      <c r="H503" s="14" t="s">
        <v>153</v>
      </c>
      <c r="I503" s="14" t="s">
        <v>897</v>
      </c>
      <c r="J503" s="15" t="n">
        <f aca="false">IF(B503="SITE LOSS",IF(D503=C503,1,0),IF(B503="REGION LOSS",IF(E503=C503,1,0),0))</f>
        <v>0</v>
      </c>
      <c r="K503" s="15" t="n">
        <f aca="false">IF(B503="SITE LOSS",IF(COUNTIFS('Site Dockets'!$B$7:$B$24,C503,'Site Dockets'!$C$7:$C$24,F503)&gt;0,1,0),IF(B503="REGION LOSS",IF(COUNTIFS('Site Dockets'!$E$7:$E$24,C503,'Site Dockets'!$C$7:$C$24,F503)&gt;0,1,0),0))</f>
        <v>0</v>
      </c>
      <c r="L503" s="15" t="n">
        <f aca="false">IF(J503=1,0,Inputs!$B$11)</f>
        <v>100</v>
      </c>
      <c r="M503" s="15" t="n">
        <f aca="false">IF(J503=1,0,Inputs!$B$12)</f>
        <v>75</v>
      </c>
      <c r="N503" s="15" t="n">
        <f aca="false">IF(J503=1,0,IF(OR(AND(OR(B503="SITE LOSS",B503="REGION LOSS"),K503=1),AND(B503="ROLE COMPROMISE",H503=C503)),Inputs!$B$13,Inputs!$B$14))</f>
        <v>10</v>
      </c>
      <c r="O503" s="15" t="n">
        <f aca="false">IF(J503=1,0,Inputs!$B$13)</f>
        <v>20</v>
      </c>
      <c r="P503" s="15" t="n">
        <f aca="false">SUM(M503:N503)</f>
        <v>85</v>
      </c>
      <c r="Q503" s="15" t="n">
        <f aca="false">IF(J503=1,"",L503-P503)</f>
        <v>15</v>
      </c>
      <c r="R503" s="15" t="n">
        <f aca="false">IF(OR(J503=1,M503&lt;=Inputs!$B$12),1,0)</f>
        <v>1</v>
      </c>
      <c r="S503" s="15" t="n">
        <f aca="false">IF(OR(J503=1,N503&lt;=O503),1,0)</f>
        <v>1</v>
      </c>
      <c r="T503" s="15" t="str">
        <f aca="false">IF(J503=1,"OFFLINE",IF(AND(Q503&gt;=Inputs!$B$15,R503=1,S503=1,P503&lt;=L503),"PASS","FAIL"))</f>
        <v>PASS</v>
      </c>
    </row>
    <row r="504" customFormat="false" ht="15" hidden="false" customHeight="false" outlineLevel="0" collapsed="false">
      <c r="A504" s="14" t="s">
        <v>1023</v>
      </c>
      <c r="B504" s="14" t="s">
        <v>1019</v>
      </c>
      <c r="C504" s="14" t="s">
        <v>168</v>
      </c>
      <c r="D504" s="14" t="s">
        <v>186</v>
      </c>
      <c r="E504" s="14" t="s">
        <v>157</v>
      </c>
      <c r="F504" s="14" t="s">
        <v>183</v>
      </c>
      <c r="G504" s="14" t="n">
        <v>2</v>
      </c>
      <c r="H504" s="14" t="s">
        <v>153</v>
      </c>
      <c r="I504" s="14" t="s">
        <v>899</v>
      </c>
      <c r="J504" s="15" t="n">
        <f aca="false">IF(B504="SITE LOSS",IF(D504=C504,1,0),IF(B504="REGION LOSS",IF(E504=C504,1,0),0))</f>
        <v>0</v>
      </c>
      <c r="K504" s="15" t="n">
        <f aca="false">IF(B504="SITE LOSS",IF(COUNTIFS('Site Dockets'!$B$7:$B$24,C504,'Site Dockets'!$C$7:$C$24,F504)&gt;0,1,0),IF(B504="REGION LOSS",IF(COUNTIFS('Site Dockets'!$E$7:$E$24,C504,'Site Dockets'!$C$7:$C$24,F504)&gt;0,1,0),0))</f>
        <v>0</v>
      </c>
      <c r="L504" s="15" t="n">
        <f aca="false">IF(J504=1,0,Inputs!$B$11)</f>
        <v>100</v>
      </c>
      <c r="M504" s="15" t="n">
        <f aca="false">IF(J504=1,0,Inputs!$B$12)</f>
        <v>75</v>
      </c>
      <c r="N504" s="15" t="n">
        <f aca="false">IF(J504=1,0,IF(OR(AND(OR(B504="SITE LOSS",B504="REGION LOSS"),K504=1),AND(B504="ROLE COMPROMISE",H504=C504)),Inputs!$B$13,Inputs!$B$14))</f>
        <v>10</v>
      </c>
      <c r="O504" s="15" t="n">
        <f aca="false">IF(J504=1,0,Inputs!$B$13)</f>
        <v>20</v>
      </c>
      <c r="P504" s="15" t="n">
        <f aca="false">SUM(M504:N504)</f>
        <v>85</v>
      </c>
      <c r="Q504" s="15" t="n">
        <f aca="false">IF(J504=1,"",L504-P504)</f>
        <v>15</v>
      </c>
      <c r="R504" s="15" t="n">
        <f aca="false">IF(OR(J504=1,M504&lt;=Inputs!$B$12),1,0)</f>
        <v>1</v>
      </c>
      <c r="S504" s="15" t="n">
        <f aca="false">IF(OR(J504=1,N504&lt;=O504),1,0)</f>
        <v>1</v>
      </c>
      <c r="T504" s="15" t="str">
        <f aca="false">IF(J504=1,"OFFLINE",IF(AND(Q504&gt;=Inputs!$B$15,R504=1,S504=1,P504&lt;=L504),"PASS","FAIL"))</f>
        <v>PASS</v>
      </c>
    </row>
    <row r="505" customFormat="false" ht="15" hidden="false" customHeight="false" outlineLevel="0" collapsed="false">
      <c r="A505" s="14" t="s">
        <v>1023</v>
      </c>
      <c r="B505" s="14" t="s">
        <v>1019</v>
      </c>
      <c r="C505" s="14" t="s">
        <v>168</v>
      </c>
      <c r="D505" s="14" t="s">
        <v>188</v>
      </c>
      <c r="E505" s="14" t="s">
        <v>172</v>
      </c>
      <c r="F505" s="14" t="s">
        <v>183</v>
      </c>
      <c r="G505" s="14" t="n">
        <v>3</v>
      </c>
      <c r="H505" s="14" t="s">
        <v>158</v>
      </c>
      <c r="I505" s="14" t="s">
        <v>890</v>
      </c>
      <c r="J505" s="15" t="n">
        <f aca="false">IF(B505="SITE LOSS",IF(D505=C505,1,0),IF(B505="REGION LOSS",IF(E505=C505,1,0),0))</f>
        <v>0</v>
      </c>
      <c r="K505" s="15" t="n">
        <f aca="false">IF(B505="SITE LOSS",IF(COUNTIFS('Site Dockets'!$B$7:$B$24,C505,'Site Dockets'!$C$7:$C$24,F505)&gt;0,1,0),IF(B505="REGION LOSS",IF(COUNTIFS('Site Dockets'!$E$7:$E$24,C505,'Site Dockets'!$C$7:$C$24,F505)&gt;0,1,0),0))</f>
        <v>0</v>
      </c>
      <c r="L505" s="15" t="n">
        <f aca="false">IF(J505=1,0,Inputs!$B$11)</f>
        <v>100</v>
      </c>
      <c r="M505" s="15" t="n">
        <f aca="false">IF(J505=1,0,Inputs!$B$12)</f>
        <v>75</v>
      </c>
      <c r="N505" s="15" t="n">
        <f aca="false">IF(J505=1,0,IF(OR(AND(OR(B505="SITE LOSS",B505="REGION LOSS"),K505=1),AND(B505="ROLE COMPROMISE",H505=C505)),Inputs!$B$13,Inputs!$B$14))</f>
        <v>10</v>
      </c>
      <c r="O505" s="15" t="n">
        <f aca="false">IF(J505=1,0,Inputs!$B$13)</f>
        <v>20</v>
      </c>
      <c r="P505" s="15" t="n">
        <f aca="false">SUM(M505:N505)</f>
        <v>85</v>
      </c>
      <c r="Q505" s="15" t="n">
        <f aca="false">IF(J505=1,"",L505-P505)</f>
        <v>15</v>
      </c>
      <c r="R505" s="15" t="n">
        <f aca="false">IF(OR(J505=1,M505&lt;=Inputs!$B$12),1,0)</f>
        <v>1</v>
      </c>
      <c r="S505" s="15" t="n">
        <f aca="false">IF(OR(J505=1,N505&lt;=O505),1,0)</f>
        <v>1</v>
      </c>
      <c r="T505" s="15" t="str">
        <f aca="false">IF(J505=1,"OFFLINE",IF(AND(Q505&gt;=Inputs!$B$15,R505=1,S505=1,P505&lt;=L505),"PASS","FAIL"))</f>
        <v>PASS</v>
      </c>
    </row>
    <row r="506" customFormat="false" ht="15" hidden="false" customHeight="false" outlineLevel="0" collapsed="false">
      <c r="A506" s="14" t="s">
        <v>1023</v>
      </c>
      <c r="B506" s="14" t="s">
        <v>1019</v>
      </c>
      <c r="C506" s="14" t="s">
        <v>168</v>
      </c>
      <c r="D506" s="14" t="s">
        <v>188</v>
      </c>
      <c r="E506" s="14" t="s">
        <v>172</v>
      </c>
      <c r="F506" s="14" t="s">
        <v>183</v>
      </c>
      <c r="G506" s="14" t="n">
        <v>3</v>
      </c>
      <c r="H506" s="14" t="s">
        <v>158</v>
      </c>
      <c r="I506" s="14" t="s">
        <v>892</v>
      </c>
      <c r="J506" s="15" t="n">
        <f aca="false">IF(B506="SITE LOSS",IF(D506=C506,1,0),IF(B506="REGION LOSS",IF(E506=C506,1,0),0))</f>
        <v>0</v>
      </c>
      <c r="K506" s="15" t="n">
        <f aca="false">IF(B506="SITE LOSS",IF(COUNTIFS('Site Dockets'!$B$7:$B$24,C506,'Site Dockets'!$C$7:$C$24,F506)&gt;0,1,0),IF(B506="REGION LOSS",IF(COUNTIFS('Site Dockets'!$E$7:$E$24,C506,'Site Dockets'!$C$7:$C$24,F506)&gt;0,1,0),0))</f>
        <v>0</v>
      </c>
      <c r="L506" s="15" t="n">
        <f aca="false">IF(J506=1,0,Inputs!$B$11)</f>
        <v>100</v>
      </c>
      <c r="M506" s="15" t="n">
        <f aca="false">IF(J506=1,0,Inputs!$B$12)</f>
        <v>75</v>
      </c>
      <c r="N506" s="15" t="n">
        <f aca="false">IF(J506=1,0,IF(OR(AND(OR(B506="SITE LOSS",B506="REGION LOSS"),K506=1),AND(B506="ROLE COMPROMISE",H506=C506)),Inputs!$B$13,Inputs!$B$14))</f>
        <v>10</v>
      </c>
      <c r="O506" s="15" t="n">
        <f aca="false">IF(J506=1,0,Inputs!$B$13)</f>
        <v>20</v>
      </c>
      <c r="P506" s="15" t="n">
        <f aca="false">SUM(M506:N506)</f>
        <v>85</v>
      </c>
      <c r="Q506" s="15" t="n">
        <f aca="false">IF(J506=1,"",L506-P506)</f>
        <v>15</v>
      </c>
      <c r="R506" s="15" t="n">
        <f aca="false">IF(OR(J506=1,M506&lt;=Inputs!$B$12),1,0)</f>
        <v>1</v>
      </c>
      <c r="S506" s="15" t="n">
        <f aca="false">IF(OR(J506=1,N506&lt;=O506),1,0)</f>
        <v>1</v>
      </c>
      <c r="T506" s="15" t="str">
        <f aca="false">IF(J506=1,"OFFLINE",IF(AND(Q506&gt;=Inputs!$B$15,R506=1,S506=1,P506&lt;=L506),"PASS","FAIL"))</f>
        <v>PASS</v>
      </c>
    </row>
    <row r="507" customFormat="false" ht="15" hidden="false" customHeight="false" outlineLevel="0" collapsed="false">
      <c r="A507" s="14" t="s">
        <v>1023</v>
      </c>
      <c r="B507" s="14" t="s">
        <v>1019</v>
      </c>
      <c r="C507" s="14" t="s">
        <v>168</v>
      </c>
      <c r="D507" s="14" t="s">
        <v>188</v>
      </c>
      <c r="E507" s="14" t="s">
        <v>172</v>
      </c>
      <c r="F507" s="14" t="s">
        <v>183</v>
      </c>
      <c r="G507" s="14" t="n">
        <v>3</v>
      </c>
      <c r="H507" s="14" t="s">
        <v>158</v>
      </c>
      <c r="I507" s="14" t="s">
        <v>811</v>
      </c>
      <c r="J507" s="15" t="n">
        <f aca="false">IF(B507="SITE LOSS",IF(D507=C507,1,0),IF(B507="REGION LOSS",IF(E507=C507,1,0),0))</f>
        <v>0</v>
      </c>
      <c r="K507" s="15" t="n">
        <f aca="false">IF(B507="SITE LOSS",IF(COUNTIFS('Site Dockets'!$B$7:$B$24,C507,'Site Dockets'!$C$7:$C$24,F507)&gt;0,1,0),IF(B507="REGION LOSS",IF(COUNTIFS('Site Dockets'!$E$7:$E$24,C507,'Site Dockets'!$C$7:$C$24,F507)&gt;0,1,0),0))</f>
        <v>0</v>
      </c>
      <c r="L507" s="15" t="n">
        <f aca="false">IF(J507=1,0,Inputs!$B$11)</f>
        <v>100</v>
      </c>
      <c r="M507" s="15" t="n">
        <f aca="false">IF(J507=1,0,Inputs!$B$12)</f>
        <v>75</v>
      </c>
      <c r="N507" s="15" t="n">
        <f aca="false">IF(J507=1,0,IF(OR(AND(OR(B507="SITE LOSS",B507="REGION LOSS"),K507=1),AND(B507="ROLE COMPROMISE",H507=C507)),Inputs!$B$13,Inputs!$B$14))</f>
        <v>10</v>
      </c>
      <c r="O507" s="15" t="n">
        <f aca="false">IF(J507=1,0,Inputs!$B$13)</f>
        <v>20</v>
      </c>
      <c r="P507" s="15" t="n">
        <f aca="false">SUM(M507:N507)</f>
        <v>85</v>
      </c>
      <c r="Q507" s="15" t="n">
        <f aca="false">IF(J507=1,"",L507-P507)</f>
        <v>15</v>
      </c>
      <c r="R507" s="15" t="n">
        <f aca="false">IF(OR(J507=1,M507&lt;=Inputs!$B$12),1,0)</f>
        <v>1</v>
      </c>
      <c r="S507" s="15" t="n">
        <f aca="false">IF(OR(J507=1,N507&lt;=O507),1,0)</f>
        <v>1</v>
      </c>
      <c r="T507" s="15" t="str">
        <f aca="false">IF(J507=1,"OFFLINE",IF(AND(Q507&gt;=Inputs!$B$15,R507=1,S507=1,P507&lt;=L507),"PASS","FAIL"))</f>
        <v>PASS</v>
      </c>
    </row>
    <row r="508" customFormat="false" ht="15" hidden="false" customHeight="false" outlineLevel="0" collapsed="false">
      <c r="A508" s="14" t="s">
        <v>1023</v>
      </c>
      <c r="B508" s="14" t="s">
        <v>1019</v>
      </c>
      <c r="C508" s="14" t="s">
        <v>168</v>
      </c>
      <c r="D508" s="14" t="s">
        <v>188</v>
      </c>
      <c r="E508" s="14" t="s">
        <v>172</v>
      </c>
      <c r="F508" s="14" t="s">
        <v>183</v>
      </c>
      <c r="G508" s="14" t="n">
        <v>3</v>
      </c>
      <c r="H508" s="14" t="s">
        <v>158</v>
      </c>
      <c r="I508" s="14" t="s">
        <v>895</v>
      </c>
      <c r="J508" s="15" t="n">
        <f aca="false">IF(B508="SITE LOSS",IF(D508=C508,1,0),IF(B508="REGION LOSS",IF(E508=C508,1,0),0))</f>
        <v>0</v>
      </c>
      <c r="K508" s="15" t="n">
        <f aca="false">IF(B508="SITE LOSS",IF(COUNTIFS('Site Dockets'!$B$7:$B$24,C508,'Site Dockets'!$C$7:$C$24,F508)&gt;0,1,0),IF(B508="REGION LOSS",IF(COUNTIFS('Site Dockets'!$E$7:$E$24,C508,'Site Dockets'!$C$7:$C$24,F508)&gt;0,1,0),0))</f>
        <v>0</v>
      </c>
      <c r="L508" s="15" t="n">
        <f aca="false">IF(J508=1,0,Inputs!$B$11)</f>
        <v>100</v>
      </c>
      <c r="M508" s="15" t="n">
        <f aca="false">IF(J508=1,0,Inputs!$B$12)</f>
        <v>75</v>
      </c>
      <c r="N508" s="15" t="n">
        <f aca="false">IF(J508=1,0,IF(OR(AND(OR(B508="SITE LOSS",B508="REGION LOSS"),K508=1),AND(B508="ROLE COMPROMISE",H508=C508)),Inputs!$B$13,Inputs!$B$14))</f>
        <v>10</v>
      </c>
      <c r="O508" s="15" t="n">
        <f aca="false">IF(J508=1,0,Inputs!$B$13)</f>
        <v>20</v>
      </c>
      <c r="P508" s="15" t="n">
        <f aca="false">SUM(M508:N508)</f>
        <v>85</v>
      </c>
      <c r="Q508" s="15" t="n">
        <f aca="false">IF(J508=1,"",L508-P508)</f>
        <v>15</v>
      </c>
      <c r="R508" s="15" t="n">
        <f aca="false">IF(OR(J508=1,M508&lt;=Inputs!$B$12),1,0)</f>
        <v>1</v>
      </c>
      <c r="S508" s="15" t="n">
        <f aca="false">IF(OR(J508=1,N508&lt;=O508),1,0)</f>
        <v>1</v>
      </c>
      <c r="T508" s="15" t="str">
        <f aca="false">IF(J508=1,"OFFLINE",IF(AND(Q508&gt;=Inputs!$B$15,R508=1,S508=1,P508&lt;=L508),"PASS","FAIL"))</f>
        <v>PASS</v>
      </c>
    </row>
    <row r="509" customFormat="false" ht="15" hidden="false" customHeight="false" outlineLevel="0" collapsed="false">
      <c r="A509" s="14" t="s">
        <v>1023</v>
      </c>
      <c r="B509" s="14" t="s">
        <v>1019</v>
      </c>
      <c r="C509" s="14" t="s">
        <v>168</v>
      </c>
      <c r="D509" s="14" t="s">
        <v>188</v>
      </c>
      <c r="E509" s="14" t="s">
        <v>172</v>
      </c>
      <c r="F509" s="14" t="s">
        <v>183</v>
      </c>
      <c r="G509" s="14" t="n">
        <v>3</v>
      </c>
      <c r="H509" s="14" t="s">
        <v>158</v>
      </c>
      <c r="I509" s="14" t="s">
        <v>897</v>
      </c>
      <c r="J509" s="15" t="n">
        <f aca="false">IF(B509="SITE LOSS",IF(D509=C509,1,0),IF(B509="REGION LOSS",IF(E509=C509,1,0),0))</f>
        <v>0</v>
      </c>
      <c r="K509" s="15" t="n">
        <f aca="false">IF(B509="SITE LOSS",IF(COUNTIFS('Site Dockets'!$B$7:$B$24,C509,'Site Dockets'!$C$7:$C$24,F509)&gt;0,1,0),IF(B509="REGION LOSS",IF(COUNTIFS('Site Dockets'!$E$7:$E$24,C509,'Site Dockets'!$C$7:$C$24,F509)&gt;0,1,0),0))</f>
        <v>0</v>
      </c>
      <c r="L509" s="15" t="n">
        <f aca="false">IF(J509=1,0,Inputs!$B$11)</f>
        <v>100</v>
      </c>
      <c r="M509" s="15" t="n">
        <f aca="false">IF(J509=1,0,Inputs!$B$12)</f>
        <v>75</v>
      </c>
      <c r="N509" s="15" t="n">
        <f aca="false">IF(J509=1,0,IF(OR(AND(OR(B509="SITE LOSS",B509="REGION LOSS"),K509=1),AND(B509="ROLE COMPROMISE",H509=C509)),Inputs!$B$13,Inputs!$B$14))</f>
        <v>10</v>
      </c>
      <c r="O509" s="15" t="n">
        <f aca="false">IF(J509=1,0,Inputs!$B$13)</f>
        <v>20</v>
      </c>
      <c r="P509" s="15" t="n">
        <f aca="false">SUM(M509:N509)</f>
        <v>85</v>
      </c>
      <c r="Q509" s="15" t="n">
        <f aca="false">IF(J509=1,"",L509-P509)</f>
        <v>15</v>
      </c>
      <c r="R509" s="15" t="n">
        <f aca="false">IF(OR(J509=1,M509&lt;=Inputs!$B$12),1,0)</f>
        <v>1</v>
      </c>
      <c r="S509" s="15" t="n">
        <f aca="false">IF(OR(J509=1,N509&lt;=O509),1,0)</f>
        <v>1</v>
      </c>
      <c r="T509" s="15" t="str">
        <f aca="false">IF(J509=1,"OFFLINE",IF(AND(Q509&gt;=Inputs!$B$15,R509=1,S509=1,P509&lt;=L509),"PASS","FAIL"))</f>
        <v>PASS</v>
      </c>
    </row>
    <row r="510" customFormat="false" ht="15" hidden="false" customHeight="false" outlineLevel="0" collapsed="false">
      <c r="A510" s="14" t="s">
        <v>1023</v>
      </c>
      <c r="B510" s="14" t="s">
        <v>1019</v>
      </c>
      <c r="C510" s="14" t="s">
        <v>168</v>
      </c>
      <c r="D510" s="14" t="s">
        <v>188</v>
      </c>
      <c r="E510" s="14" t="s">
        <v>172</v>
      </c>
      <c r="F510" s="14" t="s">
        <v>183</v>
      </c>
      <c r="G510" s="14" t="n">
        <v>3</v>
      </c>
      <c r="H510" s="14" t="s">
        <v>158</v>
      </c>
      <c r="I510" s="14" t="s">
        <v>899</v>
      </c>
      <c r="J510" s="15" t="n">
        <f aca="false">IF(B510="SITE LOSS",IF(D510=C510,1,0),IF(B510="REGION LOSS",IF(E510=C510,1,0),0))</f>
        <v>0</v>
      </c>
      <c r="K510" s="15" t="n">
        <f aca="false">IF(B510="SITE LOSS",IF(COUNTIFS('Site Dockets'!$B$7:$B$24,C510,'Site Dockets'!$C$7:$C$24,F510)&gt;0,1,0),IF(B510="REGION LOSS",IF(COUNTIFS('Site Dockets'!$E$7:$E$24,C510,'Site Dockets'!$C$7:$C$24,F510)&gt;0,1,0),0))</f>
        <v>0</v>
      </c>
      <c r="L510" s="15" t="n">
        <f aca="false">IF(J510=1,0,Inputs!$B$11)</f>
        <v>100</v>
      </c>
      <c r="M510" s="15" t="n">
        <f aca="false">IF(J510=1,0,Inputs!$B$12)</f>
        <v>75</v>
      </c>
      <c r="N510" s="15" t="n">
        <f aca="false">IF(J510=1,0,IF(OR(AND(OR(B510="SITE LOSS",B510="REGION LOSS"),K510=1),AND(B510="ROLE COMPROMISE",H510=C510)),Inputs!$B$13,Inputs!$B$14))</f>
        <v>10</v>
      </c>
      <c r="O510" s="15" t="n">
        <f aca="false">IF(J510=1,0,Inputs!$B$13)</f>
        <v>20</v>
      </c>
      <c r="P510" s="15" t="n">
        <f aca="false">SUM(M510:N510)</f>
        <v>85</v>
      </c>
      <c r="Q510" s="15" t="n">
        <f aca="false">IF(J510=1,"",L510-P510)</f>
        <v>15</v>
      </c>
      <c r="R510" s="15" t="n">
        <f aca="false">IF(OR(J510=1,M510&lt;=Inputs!$B$12),1,0)</f>
        <v>1</v>
      </c>
      <c r="S510" s="15" t="n">
        <f aca="false">IF(OR(J510=1,N510&lt;=O510),1,0)</f>
        <v>1</v>
      </c>
      <c r="T510" s="15" t="str">
        <f aca="false">IF(J510=1,"OFFLINE",IF(AND(Q510&gt;=Inputs!$B$15,R510=1,S510=1,P510&lt;=L510),"PASS","FAIL"))</f>
        <v>PASS</v>
      </c>
    </row>
    <row r="511" customFormat="false" ht="15" hidden="false" customHeight="false" outlineLevel="0" collapsed="false">
      <c r="A511" s="14" t="s">
        <v>1023</v>
      </c>
      <c r="B511" s="14" t="s">
        <v>1019</v>
      </c>
      <c r="C511" s="14" t="s">
        <v>168</v>
      </c>
      <c r="D511" s="14" t="s">
        <v>190</v>
      </c>
      <c r="E511" s="14" t="s">
        <v>152</v>
      </c>
      <c r="F511" s="14" t="s">
        <v>191</v>
      </c>
      <c r="G511" s="14" t="n">
        <v>1</v>
      </c>
      <c r="H511" s="14" t="s">
        <v>154</v>
      </c>
      <c r="I511" s="14" t="s">
        <v>890</v>
      </c>
      <c r="J511" s="15" t="n">
        <f aca="false">IF(B511="SITE LOSS",IF(D511=C511,1,0),IF(B511="REGION LOSS",IF(E511=C511,1,0),0))</f>
        <v>0</v>
      </c>
      <c r="K511" s="15" t="n">
        <f aca="false">IF(B511="SITE LOSS",IF(COUNTIFS('Site Dockets'!$B$7:$B$24,C511,'Site Dockets'!$C$7:$C$24,F511)&gt;0,1,0),IF(B511="REGION LOSS",IF(COUNTIFS('Site Dockets'!$E$7:$E$24,C511,'Site Dockets'!$C$7:$C$24,F511)&gt;0,1,0),0))</f>
        <v>0</v>
      </c>
      <c r="L511" s="15" t="n">
        <f aca="false">IF(J511=1,0,Inputs!$B$11)</f>
        <v>100</v>
      </c>
      <c r="M511" s="15" t="n">
        <f aca="false">IF(J511=1,0,Inputs!$B$12)</f>
        <v>75</v>
      </c>
      <c r="N511" s="15" t="n">
        <f aca="false">IF(J511=1,0,IF(OR(AND(OR(B511="SITE LOSS",B511="REGION LOSS"),K511=1),AND(B511="ROLE COMPROMISE",H511=C511)),Inputs!$B$13,Inputs!$B$14))</f>
        <v>10</v>
      </c>
      <c r="O511" s="15" t="n">
        <f aca="false">IF(J511=1,0,Inputs!$B$13)</f>
        <v>20</v>
      </c>
      <c r="P511" s="15" t="n">
        <f aca="false">SUM(M511:N511)</f>
        <v>85</v>
      </c>
      <c r="Q511" s="15" t="n">
        <f aca="false">IF(J511=1,"",L511-P511)</f>
        <v>15</v>
      </c>
      <c r="R511" s="15" t="n">
        <f aca="false">IF(OR(J511=1,M511&lt;=Inputs!$B$12),1,0)</f>
        <v>1</v>
      </c>
      <c r="S511" s="15" t="n">
        <f aca="false">IF(OR(J511=1,N511&lt;=O511),1,0)</f>
        <v>1</v>
      </c>
      <c r="T511" s="15" t="str">
        <f aca="false">IF(J511=1,"OFFLINE",IF(AND(Q511&gt;=Inputs!$B$15,R511=1,S511=1,P511&lt;=L511),"PASS","FAIL"))</f>
        <v>PASS</v>
      </c>
    </row>
    <row r="512" customFormat="false" ht="15" hidden="false" customHeight="false" outlineLevel="0" collapsed="false">
      <c r="A512" s="14" t="s">
        <v>1023</v>
      </c>
      <c r="B512" s="14" t="s">
        <v>1019</v>
      </c>
      <c r="C512" s="14" t="s">
        <v>168</v>
      </c>
      <c r="D512" s="14" t="s">
        <v>190</v>
      </c>
      <c r="E512" s="14" t="s">
        <v>152</v>
      </c>
      <c r="F512" s="14" t="s">
        <v>191</v>
      </c>
      <c r="G512" s="14" t="n">
        <v>1</v>
      </c>
      <c r="H512" s="14" t="s">
        <v>154</v>
      </c>
      <c r="I512" s="14" t="s">
        <v>892</v>
      </c>
      <c r="J512" s="15" t="n">
        <f aca="false">IF(B512="SITE LOSS",IF(D512=C512,1,0),IF(B512="REGION LOSS",IF(E512=C512,1,0),0))</f>
        <v>0</v>
      </c>
      <c r="K512" s="15" t="n">
        <f aca="false">IF(B512="SITE LOSS",IF(COUNTIFS('Site Dockets'!$B$7:$B$24,C512,'Site Dockets'!$C$7:$C$24,F512)&gt;0,1,0),IF(B512="REGION LOSS",IF(COUNTIFS('Site Dockets'!$E$7:$E$24,C512,'Site Dockets'!$C$7:$C$24,F512)&gt;0,1,0),0))</f>
        <v>0</v>
      </c>
      <c r="L512" s="15" t="n">
        <f aca="false">IF(J512=1,0,Inputs!$B$11)</f>
        <v>100</v>
      </c>
      <c r="M512" s="15" t="n">
        <f aca="false">IF(J512=1,0,Inputs!$B$12)</f>
        <v>75</v>
      </c>
      <c r="N512" s="15" t="n">
        <f aca="false">IF(J512=1,0,IF(OR(AND(OR(B512="SITE LOSS",B512="REGION LOSS"),K512=1),AND(B512="ROLE COMPROMISE",H512=C512)),Inputs!$B$13,Inputs!$B$14))</f>
        <v>10</v>
      </c>
      <c r="O512" s="15" t="n">
        <f aca="false">IF(J512=1,0,Inputs!$B$13)</f>
        <v>20</v>
      </c>
      <c r="P512" s="15" t="n">
        <f aca="false">SUM(M512:N512)</f>
        <v>85</v>
      </c>
      <c r="Q512" s="15" t="n">
        <f aca="false">IF(J512=1,"",L512-P512)</f>
        <v>15</v>
      </c>
      <c r="R512" s="15" t="n">
        <f aca="false">IF(OR(J512=1,M512&lt;=Inputs!$B$12),1,0)</f>
        <v>1</v>
      </c>
      <c r="S512" s="15" t="n">
        <f aca="false">IF(OR(J512=1,N512&lt;=O512),1,0)</f>
        <v>1</v>
      </c>
      <c r="T512" s="15" t="str">
        <f aca="false">IF(J512=1,"OFFLINE",IF(AND(Q512&gt;=Inputs!$B$15,R512=1,S512=1,P512&lt;=L512),"PASS","FAIL"))</f>
        <v>PASS</v>
      </c>
    </row>
    <row r="513" customFormat="false" ht="15" hidden="false" customHeight="false" outlineLevel="0" collapsed="false">
      <c r="A513" s="14" t="s">
        <v>1023</v>
      </c>
      <c r="B513" s="14" t="s">
        <v>1019</v>
      </c>
      <c r="C513" s="14" t="s">
        <v>168</v>
      </c>
      <c r="D513" s="14" t="s">
        <v>190</v>
      </c>
      <c r="E513" s="14" t="s">
        <v>152</v>
      </c>
      <c r="F513" s="14" t="s">
        <v>191</v>
      </c>
      <c r="G513" s="14" t="n">
        <v>1</v>
      </c>
      <c r="H513" s="14" t="s">
        <v>154</v>
      </c>
      <c r="I513" s="14" t="s">
        <v>811</v>
      </c>
      <c r="J513" s="15" t="n">
        <f aca="false">IF(B513="SITE LOSS",IF(D513=C513,1,0),IF(B513="REGION LOSS",IF(E513=C513,1,0),0))</f>
        <v>0</v>
      </c>
      <c r="K513" s="15" t="n">
        <f aca="false">IF(B513="SITE LOSS",IF(COUNTIFS('Site Dockets'!$B$7:$B$24,C513,'Site Dockets'!$C$7:$C$24,F513)&gt;0,1,0),IF(B513="REGION LOSS",IF(COUNTIFS('Site Dockets'!$E$7:$E$24,C513,'Site Dockets'!$C$7:$C$24,F513)&gt;0,1,0),0))</f>
        <v>0</v>
      </c>
      <c r="L513" s="15" t="n">
        <f aca="false">IF(J513=1,0,Inputs!$B$11)</f>
        <v>100</v>
      </c>
      <c r="M513" s="15" t="n">
        <f aca="false">IF(J513=1,0,Inputs!$B$12)</f>
        <v>75</v>
      </c>
      <c r="N513" s="15" t="n">
        <f aca="false">IF(J513=1,0,IF(OR(AND(OR(B513="SITE LOSS",B513="REGION LOSS"),K513=1),AND(B513="ROLE COMPROMISE",H513=C513)),Inputs!$B$13,Inputs!$B$14))</f>
        <v>10</v>
      </c>
      <c r="O513" s="15" t="n">
        <f aca="false">IF(J513=1,0,Inputs!$B$13)</f>
        <v>20</v>
      </c>
      <c r="P513" s="15" t="n">
        <f aca="false">SUM(M513:N513)</f>
        <v>85</v>
      </c>
      <c r="Q513" s="15" t="n">
        <f aca="false">IF(J513=1,"",L513-P513)</f>
        <v>15</v>
      </c>
      <c r="R513" s="15" t="n">
        <f aca="false">IF(OR(J513=1,M513&lt;=Inputs!$B$12),1,0)</f>
        <v>1</v>
      </c>
      <c r="S513" s="15" t="n">
        <f aca="false">IF(OR(J513=1,N513&lt;=O513),1,0)</f>
        <v>1</v>
      </c>
      <c r="T513" s="15" t="str">
        <f aca="false">IF(J513=1,"OFFLINE",IF(AND(Q513&gt;=Inputs!$B$15,R513=1,S513=1,P513&lt;=L513),"PASS","FAIL"))</f>
        <v>PASS</v>
      </c>
    </row>
    <row r="514" customFormat="false" ht="15" hidden="false" customHeight="false" outlineLevel="0" collapsed="false">
      <c r="A514" s="14" t="s">
        <v>1023</v>
      </c>
      <c r="B514" s="14" t="s">
        <v>1019</v>
      </c>
      <c r="C514" s="14" t="s">
        <v>168</v>
      </c>
      <c r="D514" s="14" t="s">
        <v>190</v>
      </c>
      <c r="E514" s="14" t="s">
        <v>152</v>
      </c>
      <c r="F514" s="14" t="s">
        <v>191</v>
      </c>
      <c r="G514" s="14" t="n">
        <v>1</v>
      </c>
      <c r="H514" s="14" t="s">
        <v>154</v>
      </c>
      <c r="I514" s="14" t="s">
        <v>895</v>
      </c>
      <c r="J514" s="15" t="n">
        <f aca="false">IF(B514="SITE LOSS",IF(D514=C514,1,0),IF(B514="REGION LOSS",IF(E514=C514,1,0),0))</f>
        <v>0</v>
      </c>
      <c r="K514" s="15" t="n">
        <f aca="false">IF(B514="SITE LOSS",IF(COUNTIFS('Site Dockets'!$B$7:$B$24,C514,'Site Dockets'!$C$7:$C$24,F514)&gt;0,1,0),IF(B514="REGION LOSS",IF(COUNTIFS('Site Dockets'!$E$7:$E$24,C514,'Site Dockets'!$C$7:$C$24,F514)&gt;0,1,0),0))</f>
        <v>0</v>
      </c>
      <c r="L514" s="15" t="n">
        <f aca="false">IF(J514=1,0,Inputs!$B$11)</f>
        <v>100</v>
      </c>
      <c r="M514" s="15" t="n">
        <f aca="false">IF(J514=1,0,Inputs!$B$12)</f>
        <v>75</v>
      </c>
      <c r="N514" s="15" t="n">
        <f aca="false">IF(J514=1,0,IF(OR(AND(OR(B514="SITE LOSS",B514="REGION LOSS"),K514=1),AND(B514="ROLE COMPROMISE",H514=C514)),Inputs!$B$13,Inputs!$B$14))</f>
        <v>10</v>
      </c>
      <c r="O514" s="15" t="n">
        <f aca="false">IF(J514=1,0,Inputs!$B$13)</f>
        <v>20</v>
      </c>
      <c r="P514" s="15" t="n">
        <f aca="false">SUM(M514:N514)</f>
        <v>85</v>
      </c>
      <c r="Q514" s="15" t="n">
        <f aca="false">IF(J514=1,"",L514-P514)</f>
        <v>15</v>
      </c>
      <c r="R514" s="15" t="n">
        <f aca="false">IF(OR(J514=1,M514&lt;=Inputs!$B$12),1,0)</f>
        <v>1</v>
      </c>
      <c r="S514" s="15" t="n">
        <f aca="false">IF(OR(J514=1,N514&lt;=O514),1,0)</f>
        <v>1</v>
      </c>
      <c r="T514" s="15" t="str">
        <f aca="false">IF(J514=1,"OFFLINE",IF(AND(Q514&gt;=Inputs!$B$15,R514=1,S514=1,P514&lt;=L514),"PASS","FAIL"))</f>
        <v>PASS</v>
      </c>
    </row>
    <row r="515" customFormat="false" ht="15" hidden="false" customHeight="false" outlineLevel="0" collapsed="false">
      <c r="A515" s="14" t="s">
        <v>1023</v>
      </c>
      <c r="B515" s="14" t="s">
        <v>1019</v>
      </c>
      <c r="C515" s="14" t="s">
        <v>168</v>
      </c>
      <c r="D515" s="14" t="s">
        <v>190</v>
      </c>
      <c r="E515" s="14" t="s">
        <v>152</v>
      </c>
      <c r="F515" s="14" t="s">
        <v>191</v>
      </c>
      <c r="G515" s="14" t="n">
        <v>1</v>
      </c>
      <c r="H515" s="14" t="s">
        <v>154</v>
      </c>
      <c r="I515" s="14" t="s">
        <v>897</v>
      </c>
      <c r="J515" s="15" t="n">
        <f aca="false">IF(B515="SITE LOSS",IF(D515=C515,1,0),IF(B515="REGION LOSS",IF(E515=C515,1,0),0))</f>
        <v>0</v>
      </c>
      <c r="K515" s="15" t="n">
        <f aca="false">IF(B515="SITE LOSS",IF(COUNTIFS('Site Dockets'!$B$7:$B$24,C515,'Site Dockets'!$C$7:$C$24,F515)&gt;0,1,0),IF(B515="REGION LOSS",IF(COUNTIFS('Site Dockets'!$E$7:$E$24,C515,'Site Dockets'!$C$7:$C$24,F515)&gt;0,1,0),0))</f>
        <v>0</v>
      </c>
      <c r="L515" s="15" t="n">
        <f aca="false">IF(J515=1,0,Inputs!$B$11)</f>
        <v>100</v>
      </c>
      <c r="M515" s="15" t="n">
        <f aca="false">IF(J515=1,0,Inputs!$B$12)</f>
        <v>75</v>
      </c>
      <c r="N515" s="15" t="n">
        <f aca="false">IF(J515=1,0,IF(OR(AND(OR(B515="SITE LOSS",B515="REGION LOSS"),K515=1),AND(B515="ROLE COMPROMISE",H515=C515)),Inputs!$B$13,Inputs!$B$14))</f>
        <v>10</v>
      </c>
      <c r="O515" s="15" t="n">
        <f aca="false">IF(J515=1,0,Inputs!$B$13)</f>
        <v>20</v>
      </c>
      <c r="P515" s="15" t="n">
        <f aca="false">SUM(M515:N515)</f>
        <v>85</v>
      </c>
      <c r="Q515" s="15" t="n">
        <f aca="false">IF(J515=1,"",L515-P515)</f>
        <v>15</v>
      </c>
      <c r="R515" s="15" t="n">
        <f aca="false">IF(OR(J515=1,M515&lt;=Inputs!$B$12),1,0)</f>
        <v>1</v>
      </c>
      <c r="S515" s="15" t="n">
        <f aca="false">IF(OR(J515=1,N515&lt;=O515),1,0)</f>
        <v>1</v>
      </c>
      <c r="T515" s="15" t="str">
        <f aca="false">IF(J515=1,"OFFLINE",IF(AND(Q515&gt;=Inputs!$B$15,R515=1,S515=1,P515&lt;=L515),"PASS","FAIL"))</f>
        <v>PASS</v>
      </c>
    </row>
    <row r="516" customFormat="false" ht="15" hidden="false" customHeight="false" outlineLevel="0" collapsed="false">
      <c r="A516" s="14" t="s">
        <v>1023</v>
      </c>
      <c r="B516" s="14" t="s">
        <v>1019</v>
      </c>
      <c r="C516" s="14" t="s">
        <v>168</v>
      </c>
      <c r="D516" s="14" t="s">
        <v>190</v>
      </c>
      <c r="E516" s="14" t="s">
        <v>152</v>
      </c>
      <c r="F516" s="14" t="s">
        <v>191</v>
      </c>
      <c r="G516" s="14" t="n">
        <v>1</v>
      </c>
      <c r="H516" s="14" t="s">
        <v>154</v>
      </c>
      <c r="I516" s="14" t="s">
        <v>899</v>
      </c>
      <c r="J516" s="15" t="n">
        <f aca="false">IF(B516="SITE LOSS",IF(D516=C516,1,0),IF(B516="REGION LOSS",IF(E516=C516,1,0),0))</f>
        <v>0</v>
      </c>
      <c r="K516" s="15" t="n">
        <f aca="false">IF(B516="SITE LOSS",IF(COUNTIFS('Site Dockets'!$B$7:$B$24,C516,'Site Dockets'!$C$7:$C$24,F516)&gt;0,1,0),IF(B516="REGION LOSS",IF(COUNTIFS('Site Dockets'!$E$7:$E$24,C516,'Site Dockets'!$C$7:$C$24,F516)&gt;0,1,0),0))</f>
        <v>0</v>
      </c>
      <c r="L516" s="15" t="n">
        <f aca="false">IF(J516=1,0,Inputs!$B$11)</f>
        <v>100</v>
      </c>
      <c r="M516" s="15" t="n">
        <f aca="false">IF(J516=1,0,Inputs!$B$12)</f>
        <v>75</v>
      </c>
      <c r="N516" s="15" t="n">
        <f aca="false">IF(J516=1,0,IF(OR(AND(OR(B516="SITE LOSS",B516="REGION LOSS"),K516=1),AND(B516="ROLE COMPROMISE",H516=C516)),Inputs!$B$13,Inputs!$B$14))</f>
        <v>10</v>
      </c>
      <c r="O516" s="15" t="n">
        <f aca="false">IF(J516=1,0,Inputs!$B$13)</f>
        <v>20</v>
      </c>
      <c r="P516" s="15" t="n">
        <f aca="false">SUM(M516:N516)</f>
        <v>85</v>
      </c>
      <c r="Q516" s="15" t="n">
        <f aca="false">IF(J516=1,"",L516-P516)</f>
        <v>15</v>
      </c>
      <c r="R516" s="15" t="n">
        <f aca="false">IF(OR(J516=1,M516&lt;=Inputs!$B$12),1,0)</f>
        <v>1</v>
      </c>
      <c r="S516" s="15" t="n">
        <f aca="false">IF(OR(J516=1,N516&lt;=O516),1,0)</f>
        <v>1</v>
      </c>
      <c r="T516" s="15" t="str">
        <f aca="false">IF(J516=1,"OFFLINE",IF(AND(Q516&gt;=Inputs!$B$15,R516=1,S516=1,P516&lt;=L516),"PASS","FAIL"))</f>
        <v>PASS</v>
      </c>
    </row>
    <row r="517" customFormat="false" ht="15" hidden="false" customHeight="false" outlineLevel="0" collapsed="false">
      <c r="A517" s="14" t="s">
        <v>1023</v>
      </c>
      <c r="B517" s="14" t="s">
        <v>1019</v>
      </c>
      <c r="C517" s="14" t="s">
        <v>168</v>
      </c>
      <c r="D517" s="14" t="s">
        <v>194</v>
      </c>
      <c r="E517" s="14" t="s">
        <v>169</v>
      </c>
      <c r="F517" s="14" t="s">
        <v>191</v>
      </c>
      <c r="G517" s="14" t="n">
        <v>2</v>
      </c>
      <c r="H517" s="14" t="s">
        <v>153</v>
      </c>
      <c r="I517" s="14" t="s">
        <v>890</v>
      </c>
      <c r="J517" s="15" t="n">
        <f aca="false">IF(B517="SITE LOSS",IF(D517=C517,1,0),IF(B517="REGION LOSS",IF(E517=C517,1,0),0))</f>
        <v>0</v>
      </c>
      <c r="K517" s="15" t="n">
        <f aca="false">IF(B517="SITE LOSS",IF(COUNTIFS('Site Dockets'!$B$7:$B$24,C517,'Site Dockets'!$C$7:$C$24,F517)&gt;0,1,0),IF(B517="REGION LOSS",IF(COUNTIFS('Site Dockets'!$E$7:$E$24,C517,'Site Dockets'!$C$7:$C$24,F517)&gt;0,1,0),0))</f>
        <v>0</v>
      </c>
      <c r="L517" s="15" t="n">
        <f aca="false">IF(J517=1,0,Inputs!$B$11)</f>
        <v>100</v>
      </c>
      <c r="M517" s="15" t="n">
        <f aca="false">IF(J517=1,0,Inputs!$B$12)</f>
        <v>75</v>
      </c>
      <c r="N517" s="15" t="n">
        <f aca="false">IF(J517=1,0,IF(OR(AND(OR(B517="SITE LOSS",B517="REGION LOSS"),K517=1),AND(B517="ROLE COMPROMISE",H517=C517)),Inputs!$B$13,Inputs!$B$14))</f>
        <v>10</v>
      </c>
      <c r="O517" s="15" t="n">
        <f aca="false">IF(J517=1,0,Inputs!$B$13)</f>
        <v>20</v>
      </c>
      <c r="P517" s="15" t="n">
        <f aca="false">SUM(M517:N517)</f>
        <v>85</v>
      </c>
      <c r="Q517" s="15" t="n">
        <f aca="false">IF(J517=1,"",L517-P517)</f>
        <v>15</v>
      </c>
      <c r="R517" s="15" t="n">
        <f aca="false">IF(OR(J517=1,M517&lt;=Inputs!$B$12),1,0)</f>
        <v>1</v>
      </c>
      <c r="S517" s="15" t="n">
        <f aca="false">IF(OR(J517=1,N517&lt;=O517),1,0)</f>
        <v>1</v>
      </c>
      <c r="T517" s="15" t="str">
        <f aca="false">IF(J517=1,"OFFLINE",IF(AND(Q517&gt;=Inputs!$B$15,R517=1,S517=1,P517&lt;=L517),"PASS","FAIL"))</f>
        <v>PASS</v>
      </c>
    </row>
    <row r="518" customFormat="false" ht="15" hidden="false" customHeight="false" outlineLevel="0" collapsed="false">
      <c r="A518" s="14" t="s">
        <v>1023</v>
      </c>
      <c r="B518" s="14" t="s">
        <v>1019</v>
      </c>
      <c r="C518" s="14" t="s">
        <v>168</v>
      </c>
      <c r="D518" s="14" t="s">
        <v>194</v>
      </c>
      <c r="E518" s="14" t="s">
        <v>169</v>
      </c>
      <c r="F518" s="14" t="s">
        <v>191</v>
      </c>
      <c r="G518" s="14" t="n">
        <v>2</v>
      </c>
      <c r="H518" s="14" t="s">
        <v>153</v>
      </c>
      <c r="I518" s="14" t="s">
        <v>892</v>
      </c>
      <c r="J518" s="15" t="n">
        <f aca="false">IF(B518="SITE LOSS",IF(D518=C518,1,0),IF(B518="REGION LOSS",IF(E518=C518,1,0),0))</f>
        <v>0</v>
      </c>
      <c r="K518" s="15" t="n">
        <f aca="false">IF(B518="SITE LOSS",IF(COUNTIFS('Site Dockets'!$B$7:$B$24,C518,'Site Dockets'!$C$7:$C$24,F518)&gt;0,1,0),IF(B518="REGION LOSS",IF(COUNTIFS('Site Dockets'!$E$7:$E$24,C518,'Site Dockets'!$C$7:$C$24,F518)&gt;0,1,0),0))</f>
        <v>0</v>
      </c>
      <c r="L518" s="15" t="n">
        <f aca="false">IF(J518=1,0,Inputs!$B$11)</f>
        <v>100</v>
      </c>
      <c r="M518" s="15" t="n">
        <f aca="false">IF(J518=1,0,Inputs!$B$12)</f>
        <v>75</v>
      </c>
      <c r="N518" s="15" t="n">
        <f aca="false">IF(J518=1,0,IF(OR(AND(OR(B518="SITE LOSS",B518="REGION LOSS"),K518=1),AND(B518="ROLE COMPROMISE",H518=C518)),Inputs!$B$13,Inputs!$B$14))</f>
        <v>10</v>
      </c>
      <c r="O518" s="15" t="n">
        <f aca="false">IF(J518=1,0,Inputs!$B$13)</f>
        <v>20</v>
      </c>
      <c r="P518" s="15" t="n">
        <f aca="false">SUM(M518:N518)</f>
        <v>85</v>
      </c>
      <c r="Q518" s="15" t="n">
        <f aca="false">IF(J518=1,"",L518-P518)</f>
        <v>15</v>
      </c>
      <c r="R518" s="15" t="n">
        <f aca="false">IF(OR(J518=1,M518&lt;=Inputs!$B$12),1,0)</f>
        <v>1</v>
      </c>
      <c r="S518" s="15" t="n">
        <f aca="false">IF(OR(J518=1,N518&lt;=O518),1,0)</f>
        <v>1</v>
      </c>
      <c r="T518" s="15" t="str">
        <f aca="false">IF(J518=1,"OFFLINE",IF(AND(Q518&gt;=Inputs!$B$15,R518=1,S518=1,P518&lt;=L518),"PASS","FAIL"))</f>
        <v>PASS</v>
      </c>
    </row>
    <row r="519" customFormat="false" ht="15" hidden="false" customHeight="false" outlineLevel="0" collapsed="false">
      <c r="A519" s="14" t="s">
        <v>1023</v>
      </c>
      <c r="B519" s="14" t="s">
        <v>1019</v>
      </c>
      <c r="C519" s="14" t="s">
        <v>168</v>
      </c>
      <c r="D519" s="14" t="s">
        <v>194</v>
      </c>
      <c r="E519" s="14" t="s">
        <v>169</v>
      </c>
      <c r="F519" s="14" t="s">
        <v>191</v>
      </c>
      <c r="G519" s="14" t="n">
        <v>2</v>
      </c>
      <c r="H519" s="14" t="s">
        <v>153</v>
      </c>
      <c r="I519" s="14" t="s">
        <v>811</v>
      </c>
      <c r="J519" s="15" t="n">
        <f aca="false">IF(B519="SITE LOSS",IF(D519=C519,1,0),IF(B519="REGION LOSS",IF(E519=C519,1,0),0))</f>
        <v>0</v>
      </c>
      <c r="K519" s="15" t="n">
        <f aca="false">IF(B519="SITE LOSS",IF(COUNTIFS('Site Dockets'!$B$7:$B$24,C519,'Site Dockets'!$C$7:$C$24,F519)&gt;0,1,0),IF(B519="REGION LOSS",IF(COUNTIFS('Site Dockets'!$E$7:$E$24,C519,'Site Dockets'!$C$7:$C$24,F519)&gt;0,1,0),0))</f>
        <v>0</v>
      </c>
      <c r="L519" s="15" t="n">
        <f aca="false">IF(J519=1,0,Inputs!$B$11)</f>
        <v>100</v>
      </c>
      <c r="M519" s="15" t="n">
        <f aca="false">IF(J519=1,0,Inputs!$B$12)</f>
        <v>75</v>
      </c>
      <c r="N519" s="15" t="n">
        <f aca="false">IF(J519=1,0,IF(OR(AND(OR(B519="SITE LOSS",B519="REGION LOSS"),K519=1),AND(B519="ROLE COMPROMISE",H519=C519)),Inputs!$B$13,Inputs!$B$14))</f>
        <v>10</v>
      </c>
      <c r="O519" s="15" t="n">
        <f aca="false">IF(J519=1,0,Inputs!$B$13)</f>
        <v>20</v>
      </c>
      <c r="P519" s="15" t="n">
        <f aca="false">SUM(M519:N519)</f>
        <v>85</v>
      </c>
      <c r="Q519" s="15" t="n">
        <f aca="false">IF(J519=1,"",L519-P519)</f>
        <v>15</v>
      </c>
      <c r="R519" s="15" t="n">
        <f aca="false">IF(OR(J519=1,M519&lt;=Inputs!$B$12),1,0)</f>
        <v>1</v>
      </c>
      <c r="S519" s="15" t="n">
        <f aca="false">IF(OR(J519=1,N519&lt;=O519),1,0)</f>
        <v>1</v>
      </c>
      <c r="T519" s="15" t="str">
        <f aca="false">IF(J519=1,"OFFLINE",IF(AND(Q519&gt;=Inputs!$B$15,R519=1,S519=1,P519&lt;=L519),"PASS","FAIL"))</f>
        <v>PASS</v>
      </c>
    </row>
    <row r="520" customFormat="false" ht="15" hidden="false" customHeight="false" outlineLevel="0" collapsed="false">
      <c r="A520" s="14" t="s">
        <v>1023</v>
      </c>
      <c r="B520" s="14" t="s">
        <v>1019</v>
      </c>
      <c r="C520" s="14" t="s">
        <v>168</v>
      </c>
      <c r="D520" s="14" t="s">
        <v>194</v>
      </c>
      <c r="E520" s="14" t="s">
        <v>169</v>
      </c>
      <c r="F520" s="14" t="s">
        <v>191</v>
      </c>
      <c r="G520" s="14" t="n">
        <v>2</v>
      </c>
      <c r="H520" s="14" t="s">
        <v>153</v>
      </c>
      <c r="I520" s="14" t="s">
        <v>895</v>
      </c>
      <c r="J520" s="15" t="n">
        <f aca="false">IF(B520="SITE LOSS",IF(D520=C520,1,0),IF(B520="REGION LOSS",IF(E520=C520,1,0),0))</f>
        <v>0</v>
      </c>
      <c r="K520" s="15" t="n">
        <f aca="false">IF(B520="SITE LOSS",IF(COUNTIFS('Site Dockets'!$B$7:$B$24,C520,'Site Dockets'!$C$7:$C$24,F520)&gt;0,1,0),IF(B520="REGION LOSS",IF(COUNTIFS('Site Dockets'!$E$7:$E$24,C520,'Site Dockets'!$C$7:$C$24,F520)&gt;0,1,0),0))</f>
        <v>0</v>
      </c>
      <c r="L520" s="15" t="n">
        <f aca="false">IF(J520=1,0,Inputs!$B$11)</f>
        <v>100</v>
      </c>
      <c r="M520" s="15" t="n">
        <f aca="false">IF(J520=1,0,Inputs!$B$12)</f>
        <v>75</v>
      </c>
      <c r="N520" s="15" t="n">
        <f aca="false">IF(J520=1,0,IF(OR(AND(OR(B520="SITE LOSS",B520="REGION LOSS"),K520=1),AND(B520="ROLE COMPROMISE",H520=C520)),Inputs!$B$13,Inputs!$B$14))</f>
        <v>10</v>
      </c>
      <c r="O520" s="15" t="n">
        <f aca="false">IF(J520=1,0,Inputs!$B$13)</f>
        <v>20</v>
      </c>
      <c r="P520" s="15" t="n">
        <f aca="false">SUM(M520:N520)</f>
        <v>85</v>
      </c>
      <c r="Q520" s="15" t="n">
        <f aca="false">IF(J520=1,"",L520-P520)</f>
        <v>15</v>
      </c>
      <c r="R520" s="15" t="n">
        <f aca="false">IF(OR(J520=1,M520&lt;=Inputs!$B$12),1,0)</f>
        <v>1</v>
      </c>
      <c r="S520" s="15" t="n">
        <f aca="false">IF(OR(J520=1,N520&lt;=O520),1,0)</f>
        <v>1</v>
      </c>
      <c r="T520" s="15" t="str">
        <f aca="false">IF(J520=1,"OFFLINE",IF(AND(Q520&gt;=Inputs!$B$15,R520=1,S520=1,P520&lt;=L520),"PASS","FAIL"))</f>
        <v>PASS</v>
      </c>
    </row>
    <row r="521" customFormat="false" ht="15" hidden="false" customHeight="false" outlineLevel="0" collapsed="false">
      <c r="A521" s="14" t="s">
        <v>1023</v>
      </c>
      <c r="B521" s="14" t="s">
        <v>1019</v>
      </c>
      <c r="C521" s="14" t="s">
        <v>168</v>
      </c>
      <c r="D521" s="14" t="s">
        <v>194</v>
      </c>
      <c r="E521" s="14" t="s">
        <v>169</v>
      </c>
      <c r="F521" s="14" t="s">
        <v>191</v>
      </c>
      <c r="G521" s="14" t="n">
        <v>2</v>
      </c>
      <c r="H521" s="14" t="s">
        <v>153</v>
      </c>
      <c r="I521" s="14" t="s">
        <v>897</v>
      </c>
      <c r="J521" s="15" t="n">
        <f aca="false">IF(B521="SITE LOSS",IF(D521=C521,1,0),IF(B521="REGION LOSS",IF(E521=C521,1,0),0))</f>
        <v>0</v>
      </c>
      <c r="K521" s="15" t="n">
        <f aca="false">IF(B521="SITE LOSS",IF(COUNTIFS('Site Dockets'!$B$7:$B$24,C521,'Site Dockets'!$C$7:$C$24,F521)&gt;0,1,0),IF(B521="REGION LOSS",IF(COUNTIFS('Site Dockets'!$E$7:$E$24,C521,'Site Dockets'!$C$7:$C$24,F521)&gt;0,1,0),0))</f>
        <v>0</v>
      </c>
      <c r="L521" s="15" t="n">
        <f aca="false">IF(J521=1,0,Inputs!$B$11)</f>
        <v>100</v>
      </c>
      <c r="M521" s="15" t="n">
        <f aca="false">IF(J521=1,0,Inputs!$B$12)</f>
        <v>75</v>
      </c>
      <c r="N521" s="15" t="n">
        <f aca="false">IF(J521=1,0,IF(OR(AND(OR(B521="SITE LOSS",B521="REGION LOSS"),K521=1),AND(B521="ROLE COMPROMISE",H521=C521)),Inputs!$B$13,Inputs!$B$14))</f>
        <v>10</v>
      </c>
      <c r="O521" s="15" t="n">
        <f aca="false">IF(J521=1,0,Inputs!$B$13)</f>
        <v>20</v>
      </c>
      <c r="P521" s="15" t="n">
        <f aca="false">SUM(M521:N521)</f>
        <v>85</v>
      </c>
      <c r="Q521" s="15" t="n">
        <f aca="false">IF(J521=1,"",L521-P521)</f>
        <v>15</v>
      </c>
      <c r="R521" s="15" t="n">
        <f aca="false">IF(OR(J521=1,M521&lt;=Inputs!$B$12),1,0)</f>
        <v>1</v>
      </c>
      <c r="S521" s="15" t="n">
        <f aca="false">IF(OR(J521=1,N521&lt;=O521),1,0)</f>
        <v>1</v>
      </c>
      <c r="T521" s="15" t="str">
        <f aca="false">IF(J521=1,"OFFLINE",IF(AND(Q521&gt;=Inputs!$B$15,R521=1,S521=1,P521&lt;=L521),"PASS","FAIL"))</f>
        <v>PASS</v>
      </c>
    </row>
    <row r="522" customFormat="false" ht="15" hidden="false" customHeight="false" outlineLevel="0" collapsed="false">
      <c r="A522" s="14" t="s">
        <v>1023</v>
      </c>
      <c r="B522" s="14" t="s">
        <v>1019</v>
      </c>
      <c r="C522" s="14" t="s">
        <v>168</v>
      </c>
      <c r="D522" s="14" t="s">
        <v>194</v>
      </c>
      <c r="E522" s="14" t="s">
        <v>169</v>
      </c>
      <c r="F522" s="14" t="s">
        <v>191</v>
      </c>
      <c r="G522" s="14" t="n">
        <v>2</v>
      </c>
      <c r="H522" s="14" t="s">
        <v>153</v>
      </c>
      <c r="I522" s="14" t="s">
        <v>899</v>
      </c>
      <c r="J522" s="15" t="n">
        <f aca="false">IF(B522="SITE LOSS",IF(D522=C522,1,0),IF(B522="REGION LOSS",IF(E522=C522,1,0),0))</f>
        <v>0</v>
      </c>
      <c r="K522" s="15" t="n">
        <f aca="false">IF(B522="SITE LOSS",IF(COUNTIFS('Site Dockets'!$B$7:$B$24,C522,'Site Dockets'!$C$7:$C$24,F522)&gt;0,1,0),IF(B522="REGION LOSS",IF(COUNTIFS('Site Dockets'!$E$7:$E$24,C522,'Site Dockets'!$C$7:$C$24,F522)&gt;0,1,0),0))</f>
        <v>0</v>
      </c>
      <c r="L522" s="15" t="n">
        <f aca="false">IF(J522=1,0,Inputs!$B$11)</f>
        <v>100</v>
      </c>
      <c r="M522" s="15" t="n">
        <f aca="false">IF(J522=1,0,Inputs!$B$12)</f>
        <v>75</v>
      </c>
      <c r="N522" s="15" t="n">
        <f aca="false">IF(J522=1,0,IF(OR(AND(OR(B522="SITE LOSS",B522="REGION LOSS"),K522=1),AND(B522="ROLE COMPROMISE",H522=C522)),Inputs!$B$13,Inputs!$B$14))</f>
        <v>10</v>
      </c>
      <c r="O522" s="15" t="n">
        <f aca="false">IF(J522=1,0,Inputs!$B$13)</f>
        <v>20</v>
      </c>
      <c r="P522" s="15" t="n">
        <f aca="false">SUM(M522:N522)</f>
        <v>85</v>
      </c>
      <c r="Q522" s="15" t="n">
        <f aca="false">IF(J522=1,"",L522-P522)</f>
        <v>15</v>
      </c>
      <c r="R522" s="15" t="n">
        <f aca="false">IF(OR(J522=1,M522&lt;=Inputs!$B$12),1,0)</f>
        <v>1</v>
      </c>
      <c r="S522" s="15" t="n">
        <f aca="false">IF(OR(J522=1,N522&lt;=O522),1,0)</f>
        <v>1</v>
      </c>
      <c r="T522" s="15" t="str">
        <f aca="false">IF(J522=1,"OFFLINE",IF(AND(Q522&gt;=Inputs!$B$15,R522=1,S522=1,P522&lt;=L522),"PASS","FAIL"))</f>
        <v>PASS</v>
      </c>
    </row>
    <row r="523" customFormat="false" ht="15" hidden="false" customHeight="false" outlineLevel="0" collapsed="false">
      <c r="A523" s="14" t="s">
        <v>1023</v>
      </c>
      <c r="B523" s="14" t="s">
        <v>1019</v>
      </c>
      <c r="C523" s="14" t="s">
        <v>168</v>
      </c>
      <c r="D523" s="14" t="s">
        <v>196</v>
      </c>
      <c r="E523" s="14" t="s">
        <v>172</v>
      </c>
      <c r="F523" s="14" t="s">
        <v>191</v>
      </c>
      <c r="G523" s="14" t="n">
        <v>3</v>
      </c>
      <c r="H523" s="14" t="s">
        <v>158</v>
      </c>
      <c r="I523" s="14" t="s">
        <v>890</v>
      </c>
      <c r="J523" s="15" t="n">
        <f aca="false">IF(B523="SITE LOSS",IF(D523=C523,1,0),IF(B523="REGION LOSS",IF(E523=C523,1,0),0))</f>
        <v>0</v>
      </c>
      <c r="K523" s="15" t="n">
        <f aca="false">IF(B523="SITE LOSS",IF(COUNTIFS('Site Dockets'!$B$7:$B$24,C523,'Site Dockets'!$C$7:$C$24,F523)&gt;0,1,0),IF(B523="REGION LOSS",IF(COUNTIFS('Site Dockets'!$E$7:$E$24,C523,'Site Dockets'!$C$7:$C$24,F523)&gt;0,1,0),0))</f>
        <v>0</v>
      </c>
      <c r="L523" s="15" t="n">
        <f aca="false">IF(J523=1,0,Inputs!$B$11)</f>
        <v>100</v>
      </c>
      <c r="M523" s="15" t="n">
        <f aca="false">IF(J523=1,0,Inputs!$B$12)</f>
        <v>75</v>
      </c>
      <c r="N523" s="15" t="n">
        <f aca="false">IF(J523=1,0,IF(OR(AND(OR(B523="SITE LOSS",B523="REGION LOSS"),K523=1),AND(B523="ROLE COMPROMISE",H523=C523)),Inputs!$B$13,Inputs!$B$14))</f>
        <v>10</v>
      </c>
      <c r="O523" s="15" t="n">
        <f aca="false">IF(J523=1,0,Inputs!$B$13)</f>
        <v>20</v>
      </c>
      <c r="P523" s="15" t="n">
        <f aca="false">SUM(M523:N523)</f>
        <v>85</v>
      </c>
      <c r="Q523" s="15" t="n">
        <f aca="false">IF(J523=1,"",L523-P523)</f>
        <v>15</v>
      </c>
      <c r="R523" s="15" t="n">
        <f aca="false">IF(OR(J523=1,M523&lt;=Inputs!$B$12),1,0)</f>
        <v>1</v>
      </c>
      <c r="S523" s="15" t="n">
        <f aca="false">IF(OR(J523=1,N523&lt;=O523),1,0)</f>
        <v>1</v>
      </c>
      <c r="T523" s="15" t="str">
        <f aca="false">IF(J523=1,"OFFLINE",IF(AND(Q523&gt;=Inputs!$B$15,R523=1,S523=1,P523&lt;=L523),"PASS","FAIL"))</f>
        <v>PASS</v>
      </c>
    </row>
    <row r="524" customFormat="false" ht="15" hidden="false" customHeight="false" outlineLevel="0" collapsed="false">
      <c r="A524" s="14" t="s">
        <v>1023</v>
      </c>
      <c r="B524" s="14" t="s">
        <v>1019</v>
      </c>
      <c r="C524" s="14" t="s">
        <v>168</v>
      </c>
      <c r="D524" s="14" t="s">
        <v>196</v>
      </c>
      <c r="E524" s="14" t="s">
        <v>172</v>
      </c>
      <c r="F524" s="14" t="s">
        <v>191</v>
      </c>
      <c r="G524" s="14" t="n">
        <v>3</v>
      </c>
      <c r="H524" s="14" t="s">
        <v>158</v>
      </c>
      <c r="I524" s="14" t="s">
        <v>892</v>
      </c>
      <c r="J524" s="15" t="n">
        <f aca="false">IF(B524="SITE LOSS",IF(D524=C524,1,0),IF(B524="REGION LOSS",IF(E524=C524,1,0),0))</f>
        <v>0</v>
      </c>
      <c r="K524" s="15" t="n">
        <f aca="false">IF(B524="SITE LOSS",IF(COUNTIFS('Site Dockets'!$B$7:$B$24,C524,'Site Dockets'!$C$7:$C$24,F524)&gt;0,1,0),IF(B524="REGION LOSS",IF(COUNTIFS('Site Dockets'!$E$7:$E$24,C524,'Site Dockets'!$C$7:$C$24,F524)&gt;0,1,0),0))</f>
        <v>0</v>
      </c>
      <c r="L524" s="15" t="n">
        <f aca="false">IF(J524=1,0,Inputs!$B$11)</f>
        <v>100</v>
      </c>
      <c r="M524" s="15" t="n">
        <f aca="false">IF(J524=1,0,Inputs!$B$12)</f>
        <v>75</v>
      </c>
      <c r="N524" s="15" t="n">
        <f aca="false">IF(J524=1,0,IF(OR(AND(OR(B524="SITE LOSS",B524="REGION LOSS"),K524=1),AND(B524="ROLE COMPROMISE",H524=C524)),Inputs!$B$13,Inputs!$B$14))</f>
        <v>10</v>
      </c>
      <c r="O524" s="15" t="n">
        <f aca="false">IF(J524=1,0,Inputs!$B$13)</f>
        <v>20</v>
      </c>
      <c r="P524" s="15" t="n">
        <f aca="false">SUM(M524:N524)</f>
        <v>85</v>
      </c>
      <c r="Q524" s="15" t="n">
        <f aca="false">IF(J524=1,"",L524-P524)</f>
        <v>15</v>
      </c>
      <c r="R524" s="15" t="n">
        <f aca="false">IF(OR(J524=1,M524&lt;=Inputs!$B$12),1,0)</f>
        <v>1</v>
      </c>
      <c r="S524" s="15" t="n">
        <f aca="false">IF(OR(J524=1,N524&lt;=O524),1,0)</f>
        <v>1</v>
      </c>
      <c r="T524" s="15" t="str">
        <f aca="false">IF(J524=1,"OFFLINE",IF(AND(Q524&gt;=Inputs!$B$15,R524=1,S524=1,P524&lt;=L524),"PASS","FAIL"))</f>
        <v>PASS</v>
      </c>
    </row>
    <row r="525" customFormat="false" ht="15" hidden="false" customHeight="false" outlineLevel="0" collapsed="false">
      <c r="A525" s="14" t="s">
        <v>1023</v>
      </c>
      <c r="B525" s="14" t="s">
        <v>1019</v>
      </c>
      <c r="C525" s="14" t="s">
        <v>168</v>
      </c>
      <c r="D525" s="14" t="s">
        <v>196</v>
      </c>
      <c r="E525" s="14" t="s">
        <v>172</v>
      </c>
      <c r="F525" s="14" t="s">
        <v>191</v>
      </c>
      <c r="G525" s="14" t="n">
        <v>3</v>
      </c>
      <c r="H525" s="14" t="s">
        <v>158</v>
      </c>
      <c r="I525" s="14" t="s">
        <v>811</v>
      </c>
      <c r="J525" s="15" t="n">
        <f aca="false">IF(B525="SITE LOSS",IF(D525=C525,1,0),IF(B525="REGION LOSS",IF(E525=C525,1,0),0))</f>
        <v>0</v>
      </c>
      <c r="K525" s="15" t="n">
        <f aca="false">IF(B525="SITE LOSS",IF(COUNTIFS('Site Dockets'!$B$7:$B$24,C525,'Site Dockets'!$C$7:$C$24,F525)&gt;0,1,0),IF(B525="REGION LOSS",IF(COUNTIFS('Site Dockets'!$E$7:$E$24,C525,'Site Dockets'!$C$7:$C$24,F525)&gt;0,1,0),0))</f>
        <v>0</v>
      </c>
      <c r="L525" s="15" t="n">
        <f aca="false">IF(J525=1,0,Inputs!$B$11)</f>
        <v>100</v>
      </c>
      <c r="M525" s="15" t="n">
        <f aca="false">IF(J525=1,0,Inputs!$B$12)</f>
        <v>75</v>
      </c>
      <c r="N525" s="15" t="n">
        <f aca="false">IF(J525=1,0,IF(OR(AND(OR(B525="SITE LOSS",B525="REGION LOSS"),K525=1),AND(B525="ROLE COMPROMISE",H525=C525)),Inputs!$B$13,Inputs!$B$14))</f>
        <v>10</v>
      </c>
      <c r="O525" s="15" t="n">
        <f aca="false">IF(J525=1,0,Inputs!$B$13)</f>
        <v>20</v>
      </c>
      <c r="P525" s="15" t="n">
        <f aca="false">SUM(M525:N525)</f>
        <v>85</v>
      </c>
      <c r="Q525" s="15" t="n">
        <f aca="false">IF(J525=1,"",L525-P525)</f>
        <v>15</v>
      </c>
      <c r="R525" s="15" t="n">
        <f aca="false">IF(OR(J525=1,M525&lt;=Inputs!$B$12),1,0)</f>
        <v>1</v>
      </c>
      <c r="S525" s="15" t="n">
        <f aca="false">IF(OR(J525=1,N525&lt;=O525),1,0)</f>
        <v>1</v>
      </c>
      <c r="T525" s="15" t="str">
        <f aca="false">IF(J525=1,"OFFLINE",IF(AND(Q525&gt;=Inputs!$B$15,R525=1,S525=1,P525&lt;=L525),"PASS","FAIL"))</f>
        <v>PASS</v>
      </c>
    </row>
    <row r="526" customFormat="false" ht="15" hidden="false" customHeight="false" outlineLevel="0" collapsed="false">
      <c r="A526" s="14" t="s">
        <v>1023</v>
      </c>
      <c r="B526" s="14" t="s">
        <v>1019</v>
      </c>
      <c r="C526" s="14" t="s">
        <v>168</v>
      </c>
      <c r="D526" s="14" t="s">
        <v>196</v>
      </c>
      <c r="E526" s="14" t="s">
        <v>172</v>
      </c>
      <c r="F526" s="14" t="s">
        <v>191</v>
      </c>
      <c r="G526" s="14" t="n">
        <v>3</v>
      </c>
      <c r="H526" s="14" t="s">
        <v>158</v>
      </c>
      <c r="I526" s="14" t="s">
        <v>895</v>
      </c>
      <c r="J526" s="15" t="n">
        <f aca="false">IF(B526="SITE LOSS",IF(D526=C526,1,0),IF(B526="REGION LOSS",IF(E526=C526,1,0),0))</f>
        <v>0</v>
      </c>
      <c r="K526" s="15" t="n">
        <f aca="false">IF(B526="SITE LOSS",IF(COUNTIFS('Site Dockets'!$B$7:$B$24,C526,'Site Dockets'!$C$7:$C$24,F526)&gt;0,1,0),IF(B526="REGION LOSS",IF(COUNTIFS('Site Dockets'!$E$7:$E$24,C526,'Site Dockets'!$C$7:$C$24,F526)&gt;0,1,0),0))</f>
        <v>0</v>
      </c>
      <c r="L526" s="15" t="n">
        <f aca="false">IF(J526=1,0,Inputs!$B$11)</f>
        <v>100</v>
      </c>
      <c r="M526" s="15" t="n">
        <f aca="false">IF(J526=1,0,Inputs!$B$12)</f>
        <v>75</v>
      </c>
      <c r="N526" s="15" t="n">
        <f aca="false">IF(J526=1,0,IF(OR(AND(OR(B526="SITE LOSS",B526="REGION LOSS"),K526=1),AND(B526="ROLE COMPROMISE",H526=C526)),Inputs!$B$13,Inputs!$B$14))</f>
        <v>10</v>
      </c>
      <c r="O526" s="15" t="n">
        <f aca="false">IF(J526=1,0,Inputs!$B$13)</f>
        <v>20</v>
      </c>
      <c r="P526" s="15" t="n">
        <f aca="false">SUM(M526:N526)</f>
        <v>85</v>
      </c>
      <c r="Q526" s="15" t="n">
        <f aca="false">IF(J526=1,"",L526-P526)</f>
        <v>15</v>
      </c>
      <c r="R526" s="15" t="n">
        <f aca="false">IF(OR(J526=1,M526&lt;=Inputs!$B$12),1,0)</f>
        <v>1</v>
      </c>
      <c r="S526" s="15" t="n">
        <f aca="false">IF(OR(J526=1,N526&lt;=O526),1,0)</f>
        <v>1</v>
      </c>
      <c r="T526" s="15" t="str">
        <f aca="false">IF(J526=1,"OFFLINE",IF(AND(Q526&gt;=Inputs!$B$15,R526=1,S526=1,P526&lt;=L526),"PASS","FAIL"))</f>
        <v>PASS</v>
      </c>
    </row>
    <row r="527" customFormat="false" ht="15" hidden="false" customHeight="false" outlineLevel="0" collapsed="false">
      <c r="A527" s="14" t="s">
        <v>1023</v>
      </c>
      <c r="B527" s="14" t="s">
        <v>1019</v>
      </c>
      <c r="C527" s="14" t="s">
        <v>168</v>
      </c>
      <c r="D527" s="14" t="s">
        <v>196</v>
      </c>
      <c r="E527" s="14" t="s">
        <v>172</v>
      </c>
      <c r="F527" s="14" t="s">
        <v>191</v>
      </c>
      <c r="G527" s="14" t="n">
        <v>3</v>
      </c>
      <c r="H527" s="14" t="s">
        <v>158</v>
      </c>
      <c r="I527" s="14" t="s">
        <v>897</v>
      </c>
      <c r="J527" s="15" t="n">
        <f aca="false">IF(B527="SITE LOSS",IF(D527=C527,1,0),IF(B527="REGION LOSS",IF(E527=C527,1,0),0))</f>
        <v>0</v>
      </c>
      <c r="K527" s="15" t="n">
        <f aca="false">IF(B527="SITE LOSS",IF(COUNTIFS('Site Dockets'!$B$7:$B$24,C527,'Site Dockets'!$C$7:$C$24,F527)&gt;0,1,0),IF(B527="REGION LOSS",IF(COUNTIFS('Site Dockets'!$E$7:$E$24,C527,'Site Dockets'!$C$7:$C$24,F527)&gt;0,1,0),0))</f>
        <v>0</v>
      </c>
      <c r="L527" s="15" t="n">
        <f aca="false">IF(J527=1,0,Inputs!$B$11)</f>
        <v>100</v>
      </c>
      <c r="M527" s="15" t="n">
        <f aca="false">IF(J527=1,0,Inputs!$B$12)</f>
        <v>75</v>
      </c>
      <c r="N527" s="15" t="n">
        <f aca="false">IF(J527=1,0,IF(OR(AND(OR(B527="SITE LOSS",B527="REGION LOSS"),K527=1),AND(B527="ROLE COMPROMISE",H527=C527)),Inputs!$B$13,Inputs!$B$14))</f>
        <v>10</v>
      </c>
      <c r="O527" s="15" t="n">
        <f aca="false">IF(J527=1,0,Inputs!$B$13)</f>
        <v>20</v>
      </c>
      <c r="P527" s="15" t="n">
        <f aca="false">SUM(M527:N527)</f>
        <v>85</v>
      </c>
      <c r="Q527" s="15" t="n">
        <f aca="false">IF(J527=1,"",L527-P527)</f>
        <v>15</v>
      </c>
      <c r="R527" s="15" t="n">
        <f aca="false">IF(OR(J527=1,M527&lt;=Inputs!$B$12),1,0)</f>
        <v>1</v>
      </c>
      <c r="S527" s="15" t="n">
        <f aca="false">IF(OR(J527=1,N527&lt;=O527),1,0)</f>
        <v>1</v>
      </c>
      <c r="T527" s="15" t="str">
        <f aca="false">IF(J527=1,"OFFLINE",IF(AND(Q527&gt;=Inputs!$B$15,R527=1,S527=1,P527&lt;=L527),"PASS","FAIL"))</f>
        <v>PASS</v>
      </c>
    </row>
    <row r="528" customFormat="false" ht="15" hidden="false" customHeight="false" outlineLevel="0" collapsed="false">
      <c r="A528" s="14" t="s">
        <v>1023</v>
      </c>
      <c r="B528" s="14" t="s">
        <v>1019</v>
      </c>
      <c r="C528" s="14" t="s">
        <v>168</v>
      </c>
      <c r="D528" s="14" t="s">
        <v>196</v>
      </c>
      <c r="E528" s="14" t="s">
        <v>172</v>
      </c>
      <c r="F528" s="14" t="s">
        <v>191</v>
      </c>
      <c r="G528" s="14" t="n">
        <v>3</v>
      </c>
      <c r="H528" s="14" t="s">
        <v>158</v>
      </c>
      <c r="I528" s="14" t="s">
        <v>899</v>
      </c>
      <c r="J528" s="15" t="n">
        <f aca="false">IF(B528="SITE LOSS",IF(D528=C528,1,0),IF(B528="REGION LOSS",IF(E528=C528,1,0),0))</f>
        <v>0</v>
      </c>
      <c r="K528" s="15" t="n">
        <f aca="false">IF(B528="SITE LOSS",IF(COUNTIFS('Site Dockets'!$B$7:$B$24,C528,'Site Dockets'!$C$7:$C$24,F528)&gt;0,1,0),IF(B528="REGION LOSS",IF(COUNTIFS('Site Dockets'!$E$7:$E$24,C528,'Site Dockets'!$C$7:$C$24,F528)&gt;0,1,0),0))</f>
        <v>0</v>
      </c>
      <c r="L528" s="15" t="n">
        <f aca="false">IF(J528=1,0,Inputs!$B$11)</f>
        <v>100</v>
      </c>
      <c r="M528" s="15" t="n">
        <f aca="false">IF(J528=1,0,Inputs!$B$12)</f>
        <v>75</v>
      </c>
      <c r="N528" s="15" t="n">
        <f aca="false">IF(J528=1,0,IF(OR(AND(OR(B528="SITE LOSS",B528="REGION LOSS"),K528=1),AND(B528="ROLE COMPROMISE",H528=C528)),Inputs!$B$13,Inputs!$B$14))</f>
        <v>10</v>
      </c>
      <c r="O528" s="15" t="n">
        <f aca="false">IF(J528=1,0,Inputs!$B$13)</f>
        <v>20</v>
      </c>
      <c r="P528" s="15" t="n">
        <f aca="false">SUM(M528:N528)</f>
        <v>85</v>
      </c>
      <c r="Q528" s="15" t="n">
        <f aca="false">IF(J528=1,"",L528-P528)</f>
        <v>15</v>
      </c>
      <c r="R528" s="15" t="n">
        <f aca="false">IF(OR(J528=1,M528&lt;=Inputs!$B$12),1,0)</f>
        <v>1</v>
      </c>
      <c r="S528" s="15" t="n">
        <f aca="false">IF(OR(J528=1,N528&lt;=O528),1,0)</f>
        <v>1</v>
      </c>
      <c r="T528" s="15" t="str">
        <f aca="false">IF(J528=1,"OFFLINE",IF(AND(Q528&gt;=Inputs!$B$15,R528=1,S528=1,P528&lt;=L528),"PASS","FAIL"))</f>
        <v>PASS</v>
      </c>
    </row>
    <row r="529" customFormat="false" ht="15" hidden="false" customHeight="false" outlineLevel="0" collapsed="false">
      <c r="A529" s="14" t="s">
        <v>1023</v>
      </c>
      <c r="B529" s="14" t="s">
        <v>1019</v>
      </c>
      <c r="C529" s="14" t="s">
        <v>168</v>
      </c>
      <c r="D529" s="14" t="s">
        <v>198</v>
      </c>
      <c r="E529" s="14" t="s">
        <v>166</v>
      </c>
      <c r="F529" s="14" t="s">
        <v>199</v>
      </c>
      <c r="G529" s="14" t="n">
        <v>1</v>
      </c>
      <c r="H529" s="14" t="s">
        <v>154</v>
      </c>
      <c r="I529" s="14" t="s">
        <v>890</v>
      </c>
      <c r="J529" s="15" t="n">
        <f aca="false">IF(B529="SITE LOSS",IF(D529=C529,1,0),IF(B529="REGION LOSS",IF(E529=C529,1,0),0))</f>
        <v>0</v>
      </c>
      <c r="K529" s="15" t="n">
        <f aca="false">IF(B529="SITE LOSS",IF(COUNTIFS('Site Dockets'!$B$7:$B$24,C529,'Site Dockets'!$C$7:$C$24,F529)&gt;0,1,0),IF(B529="REGION LOSS",IF(COUNTIFS('Site Dockets'!$E$7:$E$24,C529,'Site Dockets'!$C$7:$C$24,F529)&gt;0,1,0),0))</f>
        <v>0</v>
      </c>
      <c r="L529" s="15" t="n">
        <f aca="false">IF(J529=1,0,Inputs!$B$11)</f>
        <v>100</v>
      </c>
      <c r="M529" s="15" t="n">
        <f aca="false">IF(J529=1,0,Inputs!$B$12)</f>
        <v>75</v>
      </c>
      <c r="N529" s="15" t="n">
        <f aca="false">IF(J529=1,0,IF(OR(AND(OR(B529="SITE LOSS",B529="REGION LOSS"),K529=1),AND(B529="ROLE COMPROMISE",H529=C529)),Inputs!$B$13,Inputs!$B$14))</f>
        <v>10</v>
      </c>
      <c r="O529" s="15" t="n">
        <f aca="false">IF(J529=1,0,Inputs!$B$13)</f>
        <v>20</v>
      </c>
      <c r="P529" s="15" t="n">
        <f aca="false">SUM(M529:N529)</f>
        <v>85</v>
      </c>
      <c r="Q529" s="15" t="n">
        <f aca="false">IF(J529=1,"",L529-P529)</f>
        <v>15</v>
      </c>
      <c r="R529" s="15" t="n">
        <f aca="false">IF(OR(J529=1,M529&lt;=Inputs!$B$12),1,0)</f>
        <v>1</v>
      </c>
      <c r="S529" s="15" t="n">
        <f aca="false">IF(OR(J529=1,N529&lt;=O529),1,0)</f>
        <v>1</v>
      </c>
      <c r="T529" s="15" t="str">
        <f aca="false">IF(J529=1,"OFFLINE",IF(AND(Q529&gt;=Inputs!$B$15,R529=1,S529=1,P529&lt;=L529),"PASS","FAIL"))</f>
        <v>PASS</v>
      </c>
    </row>
    <row r="530" customFormat="false" ht="15" hidden="false" customHeight="false" outlineLevel="0" collapsed="false">
      <c r="A530" s="14" t="s">
        <v>1023</v>
      </c>
      <c r="B530" s="14" t="s">
        <v>1019</v>
      </c>
      <c r="C530" s="14" t="s">
        <v>168</v>
      </c>
      <c r="D530" s="14" t="s">
        <v>198</v>
      </c>
      <c r="E530" s="14" t="s">
        <v>166</v>
      </c>
      <c r="F530" s="14" t="s">
        <v>199</v>
      </c>
      <c r="G530" s="14" t="n">
        <v>1</v>
      </c>
      <c r="H530" s="14" t="s">
        <v>154</v>
      </c>
      <c r="I530" s="14" t="s">
        <v>892</v>
      </c>
      <c r="J530" s="15" t="n">
        <f aca="false">IF(B530="SITE LOSS",IF(D530=C530,1,0),IF(B530="REGION LOSS",IF(E530=C530,1,0),0))</f>
        <v>0</v>
      </c>
      <c r="K530" s="15" t="n">
        <f aca="false">IF(B530="SITE LOSS",IF(COUNTIFS('Site Dockets'!$B$7:$B$24,C530,'Site Dockets'!$C$7:$C$24,F530)&gt;0,1,0),IF(B530="REGION LOSS",IF(COUNTIFS('Site Dockets'!$E$7:$E$24,C530,'Site Dockets'!$C$7:$C$24,F530)&gt;0,1,0),0))</f>
        <v>0</v>
      </c>
      <c r="L530" s="15" t="n">
        <f aca="false">IF(J530=1,0,Inputs!$B$11)</f>
        <v>100</v>
      </c>
      <c r="M530" s="15" t="n">
        <f aca="false">IF(J530=1,0,Inputs!$B$12)</f>
        <v>75</v>
      </c>
      <c r="N530" s="15" t="n">
        <f aca="false">IF(J530=1,0,IF(OR(AND(OR(B530="SITE LOSS",B530="REGION LOSS"),K530=1),AND(B530="ROLE COMPROMISE",H530=C530)),Inputs!$B$13,Inputs!$B$14))</f>
        <v>10</v>
      </c>
      <c r="O530" s="15" t="n">
        <f aca="false">IF(J530=1,0,Inputs!$B$13)</f>
        <v>20</v>
      </c>
      <c r="P530" s="15" t="n">
        <f aca="false">SUM(M530:N530)</f>
        <v>85</v>
      </c>
      <c r="Q530" s="15" t="n">
        <f aca="false">IF(J530=1,"",L530-P530)</f>
        <v>15</v>
      </c>
      <c r="R530" s="15" t="n">
        <f aca="false">IF(OR(J530=1,M530&lt;=Inputs!$B$12),1,0)</f>
        <v>1</v>
      </c>
      <c r="S530" s="15" t="n">
        <f aca="false">IF(OR(J530=1,N530&lt;=O530),1,0)</f>
        <v>1</v>
      </c>
      <c r="T530" s="15" t="str">
        <f aca="false">IF(J530=1,"OFFLINE",IF(AND(Q530&gt;=Inputs!$B$15,R530=1,S530=1,P530&lt;=L530),"PASS","FAIL"))</f>
        <v>PASS</v>
      </c>
    </row>
    <row r="531" customFormat="false" ht="15" hidden="false" customHeight="false" outlineLevel="0" collapsed="false">
      <c r="A531" s="14" t="s">
        <v>1023</v>
      </c>
      <c r="B531" s="14" t="s">
        <v>1019</v>
      </c>
      <c r="C531" s="14" t="s">
        <v>168</v>
      </c>
      <c r="D531" s="14" t="s">
        <v>198</v>
      </c>
      <c r="E531" s="14" t="s">
        <v>166</v>
      </c>
      <c r="F531" s="14" t="s">
        <v>199</v>
      </c>
      <c r="G531" s="14" t="n">
        <v>1</v>
      </c>
      <c r="H531" s="14" t="s">
        <v>154</v>
      </c>
      <c r="I531" s="14" t="s">
        <v>811</v>
      </c>
      <c r="J531" s="15" t="n">
        <f aca="false">IF(B531="SITE LOSS",IF(D531=C531,1,0),IF(B531="REGION LOSS",IF(E531=C531,1,0),0))</f>
        <v>0</v>
      </c>
      <c r="K531" s="15" t="n">
        <f aca="false">IF(B531="SITE LOSS",IF(COUNTIFS('Site Dockets'!$B$7:$B$24,C531,'Site Dockets'!$C$7:$C$24,F531)&gt;0,1,0),IF(B531="REGION LOSS",IF(COUNTIFS('Site Dockets'!$E$7:$E$24,C531,'Site Dockets'!$C$7:$C$24,F531)&gt;0,1,0),0))</f>
        <v>0</v>
      </c>
      <c r="L531" s="15" t="n">
        <f aca="false">IF(J531=1,0,Inputs!$B$11)</f>
        <v>100</v>
      </c>
      <c r="M531" s="15" t="n">
        <f aca="false">IF(J531=1,0,Inputs!$B$12)</f>
        <v>75</v>
      </c>
      <c r="N531" s="15" t="n">
        <f aca="false">IF(J531=1,0,IF(OR(AND(OR(B531="SITE LOSS",B531="REGION LOSS"),K531=1),AND(B531="ROLE COMPROMISE",H531=C531)),Inputs!$B$13,Inputs!$B$14))</f>
        <v>10</v>
      </c>
      <c r="O531" s="15" t="n">
        <f aca="false">IF(J531=1,0,Inputs!$B$13)</f>
        <v>20</v>
      </c>
      <c r="P531" s="15" t="n">
        <f aca="false">SUM(M531:N531)</f>
        <v>85</v>
      </c>
      <c r="Q531" s="15" t="n">
        <f aca="false">IF(J531=1,"",L531-P531)</f>
        <v>15</v>
      </c>
      <c r="R531" s="15" t="n">
        <f aca="false">IF(OR(J531=1,M531&lt;=Inputs!$B$12),1,0)</f>
        <v>1</v>
      </c>
      <c r="S531" s="15" t="n">
        <f aca="false">IF(OR(J531=1,N531&lt;=O531),1,0)</f>
        <v>1</v>
      </c>
      <c r="T531" s="15" t="str">
        <f aca="false">IF(J531=1,"OFFLINE",IF(AND(Q531&gt;=Inputs!$B$15,R531=1,S531=1,P531&lt;=L531),"PASS","FAIL"))</f>
        <v>PASS</v>
      </c>
    </row>
    <row r="532" customFormat="false" ht="15" hidden="false" customHeight="false" outlineLevel="0" collapsed="false">
      <c r="A532" s="14" t="s">
        <v>1023</v>
      </c>
      <c r="B532" s="14" t="s">
        <v>1019</v>
      </c>
      <c r="C532" s="14" t="s">
        <v>168</v>
      </c>
      <c r="D532" s="14" t="s">
        <v>198</v>
      </c>
      <c r="E532" s="14" t="s">
        <v>166</v>
      </c>
      <c r="F532" s="14" t="s">
        <v>199</v>
      </c>
      <c r="G532" s="14" t="n">
        <v>1</v>
      </c>
      <c r="H532" s="14" t="s">
        <v>154</v>
      </c>
      <c r="I532" s="14" t="s">
        <v>895</v>
      </c>
      <c r="J532" s="15" t="n">
        <f aca="false">IF(B532="SITE LOSS",IF(D532=C532,1,0),IF(B532="REGION LOSS",IF(E532=C532,1,0),0))</f>
        <v>0</v>
      </c>
      <c r="K532" s="15" t="n">
        <f aca="false">IF(B532="SITE LOSS",IF(COUNTIFS('Site Dockets'!$B$7:$B$24,C532,'Site Dockets'!$C$7:$C$24,F532)&gt;0,1,0),IF(B532="REGION LOSS",IF(COUNTIFS('Site Dockets'!$E$7:$E$24,C532,'Site Dockets'!$C$7:$C$24,F532)&gt;0,1,0),0))</f>
        <v>0</v>
      </c>
      <c r="L532" s="15" t="n">
        <f aca="false">IF(J532=1,0,Inputs!$B$11)</f>
        <v>100</v>
      </c>
      <c r="M532" s="15" t="n">
        <f aca="false">IF(J532=1,0,Inputs!$B$12)</f>
        <v>75</v>
      </c>
      <c r="N532" s="15" t="n">
        <f aca="false">IF(J532=1,0,IF(OR(AND(OR(B532="SITE LOSS",B532="REGION LOSS"),K532=1),AND(B532="ROLE COMPROMISE",H532=C532)),Inputs!$B$13,Inputs!$B$14))</f>
        <v>10</v>
      </c>
      <c r="O532" s="15" t="n">
        <f aca="false">IF(J532=1,0,Inputs!$B$13)</f>
        <v>20</v>
      </c>
      <c r="P532" s="15" t="n">
        <f aca="false">SUM(M532:N532)</f>
        <v>85</v>
      </c>
      <c r="Q532" s="15" t="n">
        <f aca="false">IF(J532=1,"",L532-P532)</f>
        <v>15</v>
      </c>
      <c r="R532" s="15" t="n">
        <f aca="false">IF(OR(J532=1,M532&lt;=Inputs!$B$12),1,0)</f>
        <v>1</v>
      </c>
      <c r="S532" s="15" t="n">
        <f aca="false">IF(OR(J532=1,N532&lt;=O532),1,0)</f>
        <v>1</v>
      </c>
      <c r="T532" s="15" t="str">
        <f aca="false">IF(J532=1,"OFFLINE",IF(AND(Q532&gt;=Inputs!$B$15,R532=1,S532=1,P532&lt;=L532),"PASS","FAIL"))</f>
        <v>PASS</v>
      </c>
    </row>
    <row r="533" customFormat="false" ht="15" hidden="false" customHeight="false" outlineLevel="0" collapsed="false">
      <c r="A533" s="14" t="s">
        <v>1023</v>
      </c>
      <c r="B533" s="14" t="s">
        <v>1019</v>
      </c>
      <c r="C533" s="14" t="s">
        <v>168</v>
      </c>
      <c r="D533" s="14" t="s">
        <v>198</v>
      </c>
      <c r="E533" s="14" t="s">
        <v>166</v>
      </c>
      <c r="F533" s="14" t="s">
        <v>199</v>
      </c>
      <c r="G533" s="14" t="n">
        <v>1</v>
      </c>
      <c r="H533" s="14" t="s">
        <v>154</v>
      </c>
      <c r="I533" s="14" t="s">
        <v>897</v>
      </c>
      <c r="J533" s="15" t="n">
        <f aca="false">IF(B533="SITE LOSS",IF(D533=C533,1,0),IF(B533="REGION LOSS",IF(E533=C533,1,0),0))</f>
        <v>0</v>
      </c>
      <c r="K533" s="15" t="n">
        <f aca="false">IF(B533="SITE LOSS",IF(COUNTIFS('Site Dockets'!$B$7:$B$24,C533,'Site Dockets'!$C$7:$C$24,F533)&gt;0,1,0),IF(B533="REGION LOSS",IF(COUNTIFS('Site Dockets'!$E$7:$E$24,C533,'Site Dockets'!$C$7:$C$24,F533)&gt;0,1,0),0))</f>
        <v>0</v>
      </c>
      <c r="L533" s="15" t="n">
        <f aca="false">IF(J533=1,0,Inputs!$B$11)</f>
        <v>100</v>
      </c>
      <c r="M533" s="15" t="n">
        <f aca="false">IF(J533=1,0,Inputs!$B$12)</f>
        <v>75</v>
      </c>
      <c r="N533" s="15" t="n">
        <f aca="false">IF(J533=1,0,IF(OR(AND(OR(B533="SITE LOSS",B533="REGION LOSS"),K533=1),AND(B533="ROLE COMPROMISE",H533=C533)),Inputs!$B$13,Inputs!$B$14))</f>
        <v>10</v>
      </c>
      <c r="O533" s="15" t="n">
        <f aca="false">IF(J533=1,0,Inputs!$B$13)</f>
        <v>20</v>
      </c>
      <c r="P533" s="15" t="n">
        <f aca="false">SUM(M533:N533)</f>
        <v>85</v>
      </c>
      <c r="Q533" s="15" t="n">
        <f aca="false">IF(J533=1,"",L533-P533)</f>
        <v>15</v>
      </c>
      <c r="R533" s="15" t="n">
        <f aca="false">IF(OR(J533=1,M533&lt;=Inputs!$B$12),1,0)</f>
        <v>1</v>
      </c>
      <c r="S533" s="15" t="n">
        <f aca="false">IF(OR(J533=1,N533&lt;=O533),1,0)</f>
        <v>1</v>
      </c>
      <c r="T533" s="15" t="str">
        <f aca="false">IF(J533=1,"OFFLINE",IF(AND(Q533&gt;=Inputs!$B$15,R533=1,S533=1,P533&lt;=L533),"PASS","FAIL"))</f>
        <v>PASS</v>
      </c>
    </row>
    <row r="534" customFormat="false" ht="15" hidden="false" customHeight="false" outlineLevel="0" collapsed="false">
      <c r="A534" s="14" t="s">
        <v>1023</v>
      </c>
      <c r="B534" s="14" t="s">
        <v>1019</v>
      </c>
      <c r="C534" s="14" t="s">
        <v>168</v>
      </c>
      <c r="D534" s="14" t="s">
        <v>198</v>
      </c>
      <c r="E534" s="14" t="s">
        <v>166</v>
      </c>
      <c r="F534" s="14" t="s">
        <v>199</v>
      </c>
      <c r="G534" s="14" t="n">
        <v>1</v>
      </c>
      <c r="H534" s="14" t="s">
        <v>154</v>
      </c>
      <c r="I534" s="14" t="s">
        <v>899</v>
      </c>
      <c r="J534" s="15" t="n">
        <f aca="false">IF(B534="SITE LOSS",IF(D534=C534,1,0),IF(B534="REGION LOSS",IF(E534=C534,1,0),0))</f>
        <v>0</v>
      </c>
      <c r="K534" s="15" t="n">
        <f aca="false">IF(B534="SITE LOSS",IF(COUNTIFS('Site Dockets'!$B$7:$B$24,C534,'Site Dockets'!$C$7:$C$24,F534)&gt;0,1,0),IF(B534="REGION LOSS",IF(COUNTIFS('Site Dockets'!$E$7:$E$24,C534,'Site Dockets'!$C$7:$C$24,F534)&gt;0,1,0),0))</f>
        <v>0</v>
      </c>
      <c r="L534" s="15" t="n">
        <f aca="false">IF(J534=1,0,Inputs!$B$11)</f>
        <v>100</v>
      </c>
      <c r="M534" s="15" t="n">
        <f aca="false">IF(J534=1,0,Inputs!$B$12)</f>
        <v>75</v>
      </c>
      <c r="N534" s="15" t="n">
        <f aca="false">IF(J534=1,0,IF(OR(AND(OR(B534="SITE LOSS",B534="REGION LOSS"),K534=1),AND(B534="ROLE COMPROMISE",H534=C534)),Inputs!$B$13,Inputs!$B$14))</f>
        <v>10</v>
      </c>
      <c r="O534" s="15" t="n">
        <f aca="false">IF(J534=1,0,Inputs!$B$13)</f>
        <v>20</v>
      </c>
      <c r="P534" s="15" t="n">
        <f aca="false">SUM(M534:N534)</f>
        <v>85</v>
      </c>
      <c r="Q534" s="15" t="n">
        <f aca="false">IF(J534=1,"",L534-P534)</f>
        <v>15</v>
      </c>
      <c r="R534" s="15" t="n">
        <f aca="false">IF(OR(J534=1,M534&lt;=Inputs!$B$12),1,0)</f>
        <v>1</v>
      </c>
      <c r="S534" s="15" t="n">
        <f aca="false">IF(OR(J534=1,N534&lt;=O534),1,0)</f>
        <v>1</v>
      </c>
      <c r="T534" s="15" t="str">
        <f aca="false">IF(J534=1,"OFFLINE",IF(AND(Q534&gt;=Inputs!$B$15,R534=1,S534=1,P534&lt;=L534),"PASS","FAIL"))</f>
        <v>PASS</v>
      </c>
    </row>
    <row r="535" customFormat="false" ht="15" hidden="false" customHeight="false" outlineLevel="0" collapsed="false">
      <c r="A535" s="14" t="s">
        <v>1023</v>
      </c>
      <c r="B535" s="14" t="s">
        <v>1019</v>
      </c>
      <c r="C535" s="14" t="s">
        <v>168</v>
      </c>
      <c r="D535" s="14" t="s">
        <v>202</v>
      </c>
      <c r="E535" s="14" t="s">
        <v>157</v>
      </c>
      <c r="F535" s="14" t="s">
        <v>199</v>
      </c>
      <c r="G535" s="14" t="n">
        <v>2</v>
      </c>
      <c r="H535" s="14" t="s">
        <v>153</v>
      </c>
      <c r="I535" s="14" t="s">
        <v>890</v>
      </c>
      <c r="J535" s="15" t="n">
        <f aca="false">IF(B535="SITE LOSS",IF(D535=C535,1,0),IF(B535="REGION LOSS",IF(E535=C535,1,0),0))</f>
        <v>0</v>
      </c>
      <c r="K535" s="15" t="n">
        <f aca="false">IF(B535="SITE LOSS",IF(COUNTIFS('Site Dockets'!$B$7:$B$24,C535,'Site Dockets'!$C$7:$C$24,F535)&gt;0,1,0),IF(B535="REGION LOSS",IF(COUNTIFS('Site Dockets'!$E$7:$E$24,C535,'Site Dockets'!$C$7:$C$24,F535)&gt;0,1,0),0))</f>
        <v>0</v>
      </c>
      <c r="L535" s="15" t="n">
        <f aca="false">IF(J535=1,0,Inputs!$B$11)</f>
        <v>100</v>
      </c>
      <c r="M535" s="15" t="n">
        <f aca="false">IF(J535=1,0,Inputs!$B$12)</f>
        <v>75</v>
      </c>
      <c r="N535" s="15" t="n">
        <f aca="false">IF(J535=1,0,IF(OR(AND(OR(B535="SITE LOSS",B535="REGION LOSS"),K535=1),AND(B535="ROLE COMPROMISE",H535=C535)),Inputs!$B$13,Inputs!$B$14))</f>
        <v>10</v>
      </c>
      <c r="O535" s="15" t="n">
        <f aca="false">IF(J535=1,0,Inputs!$B$13)</f>
        <v>20</v>
      </c>
      <c r="P535" s="15" t="n">
        <f aca="false">SUM(M535:N535)</f>
        <v>85</v>
      </c>
      <c r="Q535" s="15" t="n">
        <f aca="false">IF(J535=1,"",L535-P535)</f>
        <v>15</v>
      </c>
      <c r="R535" s="15" t="n">
        <f aca="false">IF(OR(J535=1,M535&lt;=Inputs!$B$12),1,0)</f>
        <v>1</v>
      </c>
      <c r="S535" s="15" t="n">
        <f aca="false">IF(OR(J535=1,N535&lt;=O535),1,0)</f>
        <v>1</v>
      </c>
      <c r="T535" s="15" t="str">
        <f aca="false">IF(J535=1,"OFFLINE",IF(AND(Q535&gt;=Inputs!$B$15,R535=1,S535=1,P535&lt;=L535),"PASS","FAIL"))</f>
        <v>PASS</v>
      </c>
    </row>
    <row r="536" customFormat="false" ht="15" hidden="false" customHeight="false" outlineLevel="0" collapsed="false">
      <c r="A536" s="14" t="s">
        <v>1023</v>
      </c>
      <c r="B536" s="14" t="s">
        <v>1019</v>
      </c>
      <c r="C536" s="14" t="s">
        <v>168</v>
      </c>
      <c r="D536" s="14" t="s">
        <v>202</v>
      </c>
      <c r="E536" s="14" t="s">
        <v>157</v>
      </c>
      <c r="F536" s="14" t="s">
        <v>199</v>
      </c>
      <c r="G536" s="14" t="n">
        <v>2</v>
      </c>
      <c r="H536" s="14" t="s">
        <v>153</v>
      </c>
      <c r="I536" s="14" t="s">
        <v>892</v>
      </c>
      <c r="J536" s="15" t="n">
        <f aca="false">IF(B536="SITE LOSS",IF(D536=C536,1,0),IF(B536="REGION LOSS",IF(E536=C536,1,0),0))</f>
        <v>0</v>
      </c>
      <c r="K536" s="15" t="n">
        <f aca="false">IF(B536="SITE LOSS",IF(COUNTIFS('Site Dockets'!$B$7:$B$24,C536,'Site Dockets'!$C$7:$C$24,F536)&gt;0,1,0),IF(B536="REGION LOSS",IF(COUNTIFS('Site Dockets'!$E$7:$E$24,C536,'Site Dockets'!$C$7:$C$24,F536)&gt;0,1,0),0))</f>
        <v>0</v>
      </c>
      <c r="L536" s="15" t="n">
        <f aca="false">IF(J536=1,0,Inputs!$B$11)</f>
        <v>100</v>
      </c>
      <c r="M536" s="15" t="n">
        <f aca="false">IF(J536=1,0,Inputs!$B$12)</f>
        <v>75</v>
      </c>
      <c r="N536" s="15" t="n">
        <f aca="false">IF(J536=1,0,IF(OR(AND(OR(B536="SITE LOSS",B536="REGION LOSS"),K536=1),AND(B536="ROLE COMPROMISE",H536=C536)),Inputs!$B$13,Inputs!$B$14))</f>
        <v>10</v>
      </c>
      <c r="O536" s="15" t="n">
        <f aca="false">IF(J536=1,0,Inputs!$B$13)</f>
        <v>20</v>
      </c>
      <c r="P536" s="15" t="n">
        <f aca="false">SUM(M536:N536)</f>
        <v>85</v>
      </c>
      <c r="Q536" s="15" t="n">
        <f aca="false">IF(J536=1,"",L536-P536)</f>
        <v>15</v>
      </c>
      <c r="R536" s="15" t="n">
        <f aca="false">IF(OR(J536=1,M536&lt;=Inputs!$B$12),1,0)</f>
        <v>1</v>
      </c>
      <c r="S536" s="15" t="n">
        <f aca="false">IF(OR(J536=1,N536&lt;=O536),1,0)</f>
        <v>1</v>
      </c>
      <c r="T536" s="15" t="str">
        <f aca="false">IF(J536=1,"OFFLINE",IF(AND(Q536&gt;=Inputs!$B$15,R536=1,S536=1,P536&lt;=L536),"PASS","FAIL"))</f>
        <v>PASS</v>
      </c>
    </row>
    <row r="537" customFormat="false" ht="15" hidden="false" customHeight="false" outlineLevel="0" collapsed="false">
      <c r="A537" s="14" t="s">
        <v>1023</v>
      </c>
      <c r="B537" s="14" t="s">
        <v>1019</v>
      </c>
      <c r="C537" s="14" t="s">
        <v>168</v>
      </c>
      <c r="D537" s="14" t="s">
        <v>202</v>
      </c>
      <c r="E537" s="14" t="s">
        <v>157</v>
      </c>
      <c r="F537" s="14" t="s">
        <v>199</v>
      </c>
      <c r="G537" s="14" t="n">
        <v>2</v>
      </c>
      <c r="H537" s="14" t="s">
        <v>153</v>
      </c>
      <c r="I537" s="14" t="s">
        <v>811</v>
      </c>
      <c r="J537" s="15" t="n">
        <f aca="false">IF(B537="SITE LOSS",IF(D537=C537,1,0),IF(B537="REGION LOSS",IF(E537=C537,1,0),0))</f>
        <v>0</v>
      </c>
      <c r="K537" s="15" t="n">
        <f aca="false">IF(B537="SITE LOSS",IF(COUNTIFS('Site Dockets'!$B$7:$B$24,C537,'Site Dockets'!$C$7:$C$24,F537)&gt;0,1,0),IF(B537="REGION LOSS",IF(COUNTIFS('Site Dockets'!$E$7:$E$24,C537,'Site Dockets'!$C$7:$C$24,F537)&gt;0,1,0),0))</f>
        <v>0</v>
      </c>
      <c r="L537" s="15" t="n">
        <f aca="false">IF(J537=1,0,Inputs!$B$11)</f>
        <v>100</v>
      </c>
      <c r="M537" s="15" t="n">
        <f aca="false">IF(J537=1,0,Inputs!$B$12)</f>
        <v>75</v>
      </c>
      <c r="N537" s="15" t="n">
        <f aca="false">IF(J537=1,0,IF(OR(AND(OR(B537="SITE LOSS",B537="REGION LOSS"),K537=1),AND(B537="ROLE COMPROMISE",H537=C537)),Inputs!$B$13,Inputs!$B$14))</f>
        <v>10</v>
      </c>
      <c r="O537" s="15" t="n">
        <f aca="false">IF(J537=1,0,Inputs!$B$13)</f>
        <v>20</v>
      </c>
      <c r="P537" s="15" t="n">
        <f aca="false">SUM(M537:N537)</f>
        <v>85</v>
      </c>
      <c r="Q537" s="15" t="n">
        <f aca="false">IF(J537=1,"",L537-P537)</f>
        <v>15</v>
      </c>
      <c r="R537" s="15" t="n">
        <f aca="false">IF(OR(J537=1,M537&lt;=Inputs!$B$12),1,0)</f>
        <v>1</v>
      </c>
      <c r="S537" s="15" t="n">
        <f aca="false">IF(OR(J537=1,N537&lt;=O537),1,0)</f>
        <v>1</v>
      </c>
      <c r="T537" s="15" t="str">
        <f aca="false">IF(J537=1,"OFFLINE",IF(AND(Q537&gt;=Inputs!$B$15,R537=1,S537=1,P537&lt;=L537),"PASS","FAIL"))</f>
        <v>PASS</v>
      </c>
    </row>
    <row r="538" customFormat="false" ht="15" hidden="false" customHeight="false" outlineLevel="0" collapsed="false">
      <c r="A538" s="14" t="s">
        <v>1023</v>
      </c>
      <c r="B538" s="14" t="s">
        <v>1019</v>
      </c>
      <c r="C538" s="14" t="s">
        <v>168</v>
      </c>
      <c r="D538" s="14" t="s">
        <v>202</v>
      </c>
      <c r="E538" s="14" t="s">
        <v>157</v>
      </c>
      <c r="F538" s="14" t="s">
        <v>199</v>
      </c>
      <c r="G538" s="14" t="n">
        <v>2</v>
      </c>
      <c r="H538" s="14" t="s">
        <v>153</v>
      </c>
      <c r="I538" s="14" t="s">
        <v>895</v>
      </c>
      <c r="J538" s="15" t="n">
        <f aca="false">IF(B538="SITE LOSS",IF(D538=C538,1,0),IF(B538="REGION LOSS",IF(E538=C538,1,0),0))</f>
        <v>0</v>
      </c>
      <c r="K538" s="15" t="n">
        <f aca="false">IF(B538="SITE LOSS",IF(COUNTIFS('Site Dockets'!$B$7:$B$24,C538,'Site Dockets'!$C$7:$C$24,F538)&gt;0,1,0),IF(B538="REGION LOSS",IF(COUNTIFS('Site Dockets'!$E$7:$E$24,C538,'Site Dockets'!$C$7:$C$24,F538)&gt;0,1,0),0))</f>
        <v>0</v>
      </c>
      <c r="L538" s="15" t="n">
        <f aca="false">IF(J538=1,0,Inputs!$B$11)</f>
        <v>100</v>
      </c>
      <c r="M538" s="15" t="n">
        <f aca="false">IF(J538=1,0,Inputs!$B$12)</f>
        <v>75</v>
      </c>
      <c r="N538" s="15" t="n">
        <f aca="false">IF(J538=1,0,IF(OR(AND(OR(B538="SITE LOSS",B538="REGION LOSS"),K538=1),AND(B538="ROLE COMPROMISE",H538=C538)),Inputs!$B$13,Inputs!$B$14))</f>
        <v>10</v>
      </c>
      <c r="O538" s="15" t="n">
        <f aca="false">IF(J538=1,0,Inputs!$B$13)</f>
        <v>20</v>
      </c>
      <c r="P538" s="15" t="n">
        <f aca="false">SUM(M538:N538)</f>
        <v>85</v>
      </c>
      <c r="Q538" s="15" t="n">
        <f aca="false">IF(J538=1,"",L538-P538)</f>
        <v>15</v>
      </c>
      <c r="R538" s="15" t="n">
        <f aca="false">IF(OR(J538=1,M538&lt;=Inputs!$B$12),1,0)</f>
        <v>1</v>
      </c>
      <c r="S538" s="15" t="n">
        <f aca="false">IF(OR(J538=1,N538&lt;=O538),1,0)</f>
        <v>1</v>
      </c>
      <c r="T538" s="15" t="str">
        <f aca="false">IF(J538=1,"OFFLINE",IF(AND(Q538&gt;=Inputs!$B$15,R538=1,S538=1,P538&lt;=L538),"PASS","FAIL"))</f>
        <v>PASS</v>
      </c>
    </row>
    <row r="539" customFormat="false" ht="15" hidden="false" customHeight="false" outlineLevel="0" collapsed="false">
      <c r="A539" s="14" t="s">
        <v>1023</v>
      </c>
      <c r="B539" s="14" t="s">
        <v>1019</v>
      </c>
      <c r="C539" s="14" t="s">
        <v>168</v>
      </c>
      <c r="D539" s="14" t="s">
        <v>202</v>
      </c>
      <c r="E539" s="14" t="s">
        <v>157</v>
      </c>
      <c r="F539" s="14" t="s">
        <v>199</v>
      </c>
      <c r="G539" s="14" t="n">
        <v>2</v>
      </c>
      <c r="H539" s="14" t="s">
        <v>153</v>
      </c>
      <c r="I539" s="14" t="s">
        <v>897</v>
      </c>
      <c r="J539" s="15" t="n">
        <f aca="false">IF(B539="SITE LOSS",IF(D539=C539,1,0),IF(B539="REGION LOSS",IF(E539=C539,1,0),0))</f>
        <v>0</v>
      </c>
      <c r="K539" s="15" t="n">
        <f aca="false">IF(B539="SITE LOSS",IF(COUNTIFS('Site Dockets'!$B$7:$B$24,C539,'Site Dockets'!$C$7:$C$24,F539)&gt;0,1,0),IF(B539="REGION LOSS",IF(COUNTIFS('Site Dockets'!$E$7:$E$24,C539,'Site Dockets'!$C$7:$C$24,F539)&gt;0,1,0),0))</f>
        <v>0</v>
      </c>
      <c r="L539" s="15" t="n">
        <f aca="false">IF(J539=1,0,Inputs!$B$11)</f>
        <v>100</v>
      </c>
      <c r="M539" s="15" t="n">
        <f aca="false">IF(J539=1,0,Inputs!$B$12)</f>
        <v>75</v>
      </c>
      <c r="N539" s="15" t="n">
        <f aca="false">IF(J539=1,0,IF(OR(AND(OR(B539="SITE LOSS",B539="REGION LOSS"),K539=1),AND(B539="ROLE COMPROMISE",H539=C539)),Inputs!$B$13,Inputs!$B$14))</f>
        <v>10</v>
      </c>
      <c r="O539" s="15" t="n">
        <f aca="false">IF(J539=1,0,Inputs!$B$13)</f>
        <v>20</v>
      </c>
      <c r="P539" s="15" t="n">
        <f aca="false">SUM(M539:N539)</f>
        <v>85</v>
      </c>
      <c r="Q539" s="15" t="n">
        <f aca="false">IF(J539=1,"",L539-P539)</f>
        <v>15</v>
      </c>
      <c r="R539" s="15" t="n">
        <f aca="false">IF(OR(J539=1,M539&lt;=Inputs!$B$12),1,0)</f>
        <v>1</v>
      </c>
      <c r="S539" s="15" t="n">
        <f aca="false">IF(OR(J539=1,N539&lt;=O539),1,0)</f>
        <v>1</v>
      </c>
      <c r="T539" s="15" t="str">
        <f aca="false">IF(J539=1,"OFFLINE",IF(AND(Q539&gt;=Inputs!$B$15,R539=1,S539=1,P539&lt;=L539),"PASS","FAIL"))</f>
        <v>PASS</v>
      </c>
    </row>
    <row r="540" customFormat="false" ht="15" hidden="false" customHeight="false" outlineLevel="0" collapsed="false">
      <c r="A540" s="14" t="s">
        <v>1023</v>
      </c>
      <c r="B540" s="14" t="s">
        <v>1019</v>
      </c>
      <c r="C540" s="14" t="s">
        <v>168</v>
      </c>
      <c r="D540" s="14" t="s">
        <v>202</v>
      </c>
      <c r="E540" s="14" t="s">
        <v>157</v>
      </c>
      <c r="F540" s="14" t="s">
        <v>199</v>
      </c>
      <c r="G540" s="14" t="n">
        <v>2</v>
      </c>
      <c r="H540" s="14" t="s">
        <v>153</v>
      </c>
      <c r="I540" s="14" t="s">
        <v>899</v>
      </c>
      <c r="J540" s="15" t="n">
        <f aca="false">IF(B540="SITE LOSS",IF(D540=C540,1,0),IF(B540="REGION LOSS",IF(E540=C540,1,0),0))</f>
        <v>0</v>
      </c>
      <c r="K540" s="15" t="n">
        <f aca="false">IF(B540="SITE LOSS",IF(COUNTIFS('Site Dockets'!$B$7:$B$24,C540,'Site Dockets'!$C$7:$C$24,F540)&gt;0,1,0),IF(B540="REGION LOSS",IF(COUNTIFS('Site Dockets'!$E$7:$E$24,C540,'Site Dockets'!$C$7:$C$24,F540)&gt;0,1,0),0))</f>
        <v>0</v>
      </c>
      <c r="L540" s="15" t="n">
        <f aca="false">IF(J540=1,0,Inputs!$B$11)</f>
        <v>100</v>
      </c>
      <c r="M540" s="15" t="n">
        <f aca="false">IF(J540=1,0,Inputs!$B$12)</f>
        <v>75</v>
      </c>
      <c r="N540" s="15" t="n">
        <f aca="false">IF(J540=1,0,IF(OR(AND(OR(B540="SITE LOSS",B540="REGION LOSS"),K540=1),AND(B540="ROLE COMPROMISE",H540=C540)),Inputs!$B$13,Inputs!$B$14))</f>
        <v>10</v>
      </c>
      <c r="O540" s="15" t="n">
        <f aca="false">IF(J540=1,0,Inputs!$B$13)</f>
        <v>20</v>
      </c>
      <c r="P540" s="15" t="n">
        <f aca="false">SUM(M540:N540)</f>
        <v>85</v>
      </c>
      <c r="Q540" s="15" t="n">
        <f aca="false">IF(J540=1,"",L540-P540)</f>
        <v>15</v>
      </c>
      <c r="R540" s="15" t="n">
        <f aca="false">IF(OR(J540=1,M540&lt;=Inputs!$B$12),1,0)</f>
        <v>1</v>
      </c>
      <c r="S540" s="15" t="n">
        <f aca="false">IF(OR(J540=1,N540&lt;=O540),1,0)</f>
        <v>1</v>
      </c>
      <c r="T540" s="15" t="str">
        <f aca="false">IF(J540=1,"OFFLINE",IF(AND(Q540&gt;=Inputs!$B$15,R540=1,S540=1,P540&lt;=L540),"PASS","FAIL"))</f>
        <v>PASS</v>
      </c>
    </row>
    <row r="541" customFormat="false" ht="15" hidden="false" customHeight="false" outlineLevel="0" collapsed="false">
      <c r="A541" s="14" t="s">
        <v>1023</v>
      </c>
      <c r="B541" s="14" t="s">
        <v>1019</v>
      </c>
      <c r="C541" s="14" t="s">
        <v>168</v>
      </c>
      <c r="D541" s="14" t="s">
        <v>204</v>
      </c>
      <c r="E541" s="14" t="s">
        <v>161</v>
      </c>
      <c r="F541" s="14" t="s">
        <v>199</v>
      </c>
      <c r="G541" s="14" t="n">
        <v>3</v>
      </c>
      <c r="H541" s="14" t="s">
        <v>158</v>
      </c>
      <c r="I541" s="14" t="s">
        <v>890</v>
      </c>
      <c r="J541" s="15" t="n">
        <f aca="false">IF(B541="SITE LOSS",IF(D541=C541,1,0),IF(B541="REGION LOSS",IF(E541=C541,1,0),0))</f>
        <v>0</v>
      </c>
      <c r="K541" s="15" t="n">
        <f aca="false">IF(B541="SITE LOSS",IF(COUNTIFS('Site Dockets'!$B$7:$B$24,C541,'Site Dockets'!$C$7:$C$24,F541)&gt;0,1,0),IF(B541="REGION LOSS",IF(COUNTIFS('Site Dockets'!$E$7:$E$24,C541,'Site Dockets'!$C$7:$C$24,F541)&gt;0,1,0),0))</f>
        <v>0</v>
      </c>
      <c r="L541" s="15" t="n">
        <f aca="false">IF(J541=1,0,Inputs!$B$11)</f>
        <v>100</v>
      </c>
      <c r="M541" s="15" t="n">
        <f aca="false">IF(J541=1,0,Inputs!$B$12)</f>
        <v>75</v>
      </c>
      <c r="N541" s="15" t="n">
        <f aca="false">IF(J541=1,0,IF(OR(AND(OR(B541="SITE LOSS",B541="REGION LOSS"),K541=1),AND(B541="ROLE COMPROMISE",H541=C541)),Inputs!$B$13,Inputs!$B$14))</f>
        <v>10</v>
      </c>
      <c r="O541" s="15" t="n">
        <f aca="false">IF(J541=1,0,Inputs!$B$13)</f>
        <v>20</v>
      </c>
      <c r="P541" s="15" t="n">
        <f aca="false">SUM(M541:N541)</f>
        <v>85</v>
      </c>
      <c r="Q541" s="15" t="n">
        <f aca="false">IF(J541=1,"",L541-P541)</f>
        <v>15</v>
      </c>
      <c r="R541" s="15" t="n">
        <f aca="false">IF(OR(J541=1,M541&lt;=Inputs!$B$12),1,0)</f>
        <v>1</v>
      </c>
      <c r="S541" s="15" t="n">
        <f aca="false">IF(OR(J541=1,N541&lt;=O541),1,0)</f>
        <v>1</v>
      </c>
      <c r="T541" s="15" t="str">
        <f aca="false">IF(J541=1,"OFFLINE",IF(AND(Q541&gt;=Inputs!$B$15,R541=1,S541=1,P541&lt;=L541),"PASS","FAIL"))</f>
        <v>PASS</v>
      </c>
    </row>
    <row r="542" customFormat="false" ht="15" hidden="false" customHeight="false" outlineLevel="0" collapsed="false">
      <c r="A542" s="14" t="s">
        <v>1023</v>
      </c>
      <c r="B542" s="14" t="s">
        <v>1019</v>
      </c>
      <c r="C542" s="14" t="s">
        <v>168</v>
      </c>
      <c r="D542" s="14" t="s">
        <v>204</v>
      </c>
      <c r="E542" s="14" t="s">
        <v>161</v>
      </c>
      <c r="F542" s="14" t="s">
        <v>199</v>
      </c>
      <c r="G542" s="14" t="n">
        <v>3</v>
      </c>
      <c r="H542" s="14" t="s">
        <v>158</v>
      </c>
      <c r="I542" s="14" t="s">
        <v>892</v>
      </c>
      <c r="J542" s="15" t="n">
        <f aca="false">IF(B542="SITE LOSS",IF(D542=C542,1,0),IF(B542="REGION LOSS",IF(E542=C542,1,0),0))</f>
        <v>0</v>
      </c>
      <c r="K542" s="15" t="n">
        <f aca="false">IF(B542="SITE LOSS",IF(COUNTIFS('Site Dockets'!$B$7:$B$24,C542,'Site Dockets'!$C$7:$C$24,F542)&gt;0,1,0),IF(B542="REGION LOSS",IF(COUNTIFS('Site Dockets'!$E$7:$E$24,C542,'Site Dockets'!$C$7:$C$24,F542)&gt;0,1,0),0))</f>
        <v>0</v>
      </c>
      <c r="L542" s="15" t="n">
        <f aca="false">IF(J542=1,0,Inputs!$B$11)</f>
        <v>100</v>
      </c>
      <c r="M542" s="15" t="n">
        <f aca="false">IF(J542=1,0,Inputs!$B$12)</f>
        <v>75</v>
      </c>
      <c r="N542" s="15" t="n">
        <f aca="false">IF(J542=1,0,IF(OR(AND(OR(B542="SITE LOSS",B542="REGION LOSS"),K542=1),AND(B542="ROLE COMPROMISE",H542=C542)),Inputs!$B$13,Inputs!$B$14))</f>
        <v>10</v>
      </c>
      <c r="O542" s="15" t="n">
        <f aca="false">IF(J542=1,0,Inputs!$B$13)</f>
        <v>20</v>
      </c>
      <c r="P542" s="15" t="n">
        <f aca="false">SUM(M542:N542)</f>
        <v>85</v>
      </c>
      <c r="Q542" s="15" t="n">
        <f aca="false">IF(J542=1,"",L542-P542)</f>
        <v>15</v>
      </c>
      <c r="R542" s="15" t="n">
        <f aca="false">IF(OR(J542=1,M542&lt;=Inputs!$B$12),1,0)</f>
        <v>1</v>
      </c>
      <c r="S542" s="15" t="n">
        <f aca="false">IF(OR(J542=1,N542&lt;=O542),1,0)</f>
        <v>1</v>
      </c>
      <c r="T542" s="15" t="str">
        <f aca="false">IF(J542=1,"OFFLINE",IF(AND(Q542&gt;=Inputs!$B$15,R542=1,S542=1,P542&lt;=L542),"PASS","FAIL"))</f>
        <v>PASS</v>
      </c>
    </row>
    <row r="543" customFormat="false" ht="15" hidden="false" customHeight="false" outlineLevel="0" collapsed="false">
      <c r="A543" s="14" t="s">
        <v>1023</v>
      </c>
      <c r="B543" s="14" t="s">
        <v>1019</v>
      </c>
      <c r="C543" s="14" t="s">
        <v>168</v>
      </c>
      <c r="D543" s="14" t="s">
        <v>204</v>
      </c>
      <c r="E543" s="14" t="s">
        <v>161</v>
      </c>
      <c r="F543" s="14" t="s">
        <v>199</v>
      </c>
      <c r="G543" s="14" t="n">
        <v>3</v>
      </c>
      <c r="H543" s="14" t="s">
        <v>158</v>
      </c>
      <c r="I543" s="14" t="s">
        <v>811</v>
      </c>
      <c r="J543" s="15" t="n">
        <f aca="false">IF(B543="SITE LOSS",IF(D543=C543,1,0),IF(B543="REGION LOSS",IF(E543=C543,1,0),0))</f>
        <v>0</v>
      </c>
      <c r="K543" s="15" t="n">
        <f aca="false">IF(B543="SITE LOSS",IF(COUNTIFS('Site Dockets'!$B$7:$B$24,C543,'Site Dockets'!$C$7:$C$24,F543)&gt;0,1,0),IF(B543="REGION LOSS",IF(COUNTIFS('Site Dockets'!$E$7:$E$24,C543,'Site Dockets'!$C$7:$C$24,F543)&gt;0,1,0),0))</f>
        <v>0</v>
      </c>
      <c r="L543" s="15" t="n">
        <f aca="false">IF(J543=1,0,Inputs!$B$11)</f>
        <v>100</v>
      </c>
      <c r="M543" s="15" t="n">
        <f aca="false">IF(J543=1,0,Inputs!$B$12)</f>
        <v>75</v>
      </c>
      <c r="N543" s="15" t="n">
        <f aca="false">IF(J543=1,0,IF(OR(AND(OR(B543="SITE LOSS",B543="REGION LOSS"),K543=1),AND(B543="ROLE COMPROMISE",H543=C543)),Inputs!$B$13,Inputs!$B$14))</f>
        <v>10</v>
      </c>
      <c r="O543" s="15" t="n">
        <f aca="false">IF(J543=1,0,Inputs!$B$13)</f>
        <v>20</v>
      </c>
      <c r="P543" s="15" t="n">
        <f aca="false">SUM(M543:N543)</f>
        <v>85</v>
      </c>
      <c r="Q543" s="15" t="n">
        <f aca="false">IF(J543=1,"",L543-P543)</f>
        <v>15</v>
      </c>
      <c r="R543" s="15" t="n">
        <f aca="false">IF(OR(J543=1,M543&lt;=Inputs!$B$12),1,0)</f>
        <v>1</v>
      </c>
      <c r="S543" s="15" t="n">
        <f aca="false">IF(OR(J543=1,N543&lt;=O543),1,0)</f>
        <v>1</v>
      </c>
      <c r="T543" s="15" t="str">
        <f aca="false">IF(J543=1,"OFFLINE",IF(AND(Q543&gt;=Inputs!$B$15,R543=1,S543=1,P543&lt;=L543),"PASS","FAIL"))</f>
        <v>PASS</v>
      </c>
    </row>
    <row r="544" customFormat="false" ht="15" hidden="false" customHeight="false" outlineLevel="0" collapsed="false">
      <c r="A544" s="14" t="s">
        <v>1023</v>
      </c>
      <c r="B544" s="14" t="s">
        <v>1019</v>
      </c>
      <c r="C544" s="14" t="s">
        <v>168</v>
      </c>
      <c r="D544" s="14" t="s">
        <v>204</v>
      </c>
      <c r="E544" s="14" t="s">
        <v>161</v>
      </c>
      <c r="F544" s="14" t="s">
        <v>199</v>
      </c>
      <c r="G544" s="14" t="n">
        <v>3</v>
      </c>
      <c r="H544" s="14" t="s">
        <v>158</v>
      </c>
      <c r="I544" s="14" t="s">
        <v>895</v>
      </c>
      <c r="J544" s="15" t="n">
        <f aca="false">IF(B544="SITE LOSS",IF(D544=C544,1,0),IF(B544="REGION LOSS",IF(E544=C544,1,0),0))</f>
        <v>0</v>
      </c>
      <c r="K544" s="15" t="n">
        <f aca="false">IF(B544="SITE LOSS",IF(COUNTIFS('Site Dockets'!$B$7:$B$24,C544,'Site Dockets'!$C$7:$C$24,F544)&gt;0,1,0),IF(B544="REGION LOSS",IF(COUNTIFS('Site Dockets'!$E$7:$E$24,C544,'Site Dockets'!$C$7:$C$24,F544)&gt;0,1,0),0))</f>
        <v>0</v>
      </c>
      <c r="L544" s="15" t="n">
        <f aca="false">IF(J544=1,0,Inputs!$B$11)</f>
        <v>100</v>
      </c>
      <c r="M544" s="15" t="n">
        <f aca="false">IF(J544=1,0,Inputs!$B$12)</f>
        <v>75</v>
      </c>
      <c r="N544" s="15" t="n">
        <f aca="false">IF(J544=1,0,IF(OR(AND(OR(B544="SITE LOSS",B544="REGION LOSS"),K544=1),AND(B544="ROLE COMPROMISE",H544=C544)),Inputs!$B$13,Inputs!$B$14))</f>
        <v>10</v>
      </c>
      <c r="O544" s="15" t="n">
        <f aca="false">IF(J544=1,0,Inputs!$B$13)</f>
        <v>20</v>
      </c>
      <c r="P544" s="15" t="n">
        <f aca="false">SUM(M544:N544)</f>
        <v>85</v>
      </c>
      <c r="Q544" s="15" t="n">
        <f aca="false">IF(J544=1,"",L544-P544)</f>
        <v>15</v>
      </c>
      <c r="R544" s="15" t="n">
        <f aca="false">IF(OR(J544=1,M544&lt;=Inputs!$B$12),1,0)</f>
        <v>1</v>
      </c>
      <c r="S544" s="15" t="n">
        <f aca="false">IF(OR(J544=1,N544&lt;=O544),1,0)</f>
        <v>1</v>
      </c>
      <c r="T544" s="15" t="str">
        <f aca="false">IF(J544=1,"OFFLINE",IF(AND(Q544&gt;=Inputs!$B$15,R544=1,S544=1,P544&lt;=L544),"PASS","FAIL"))</f>
        <v>PASS</v>
      </c>
    </row>
    <row r="545" customFormat="false" ht="15" hidden="false" customHeight="false" outlineLevel="0" collapsed="false">
      <c r="A545" s="14" t="s">
        <v>1023</v>
      </c>
      <c r="B545" s="14" t="s">
        <v>1019</v>
      </c>
      <c r="C545" s="14" t="s">
        <v>168</v>
      </c>
      <c r="D545" s="14" t="s">
        <v>204</v>
      </c>
      <c r="E545" s="14" t="s">
        <v>161</v>
      </c>
      <c r="F545" s="14" t="s">
        <v>199</v>
      </c>
      <c r="G545" s="14" t="n">
        <v>3</v>
      </c>
      <c r="H545" s="14" t="s">
        <v>158</v>
      </c>
      <c r="I545" s="14" t="s">
        <v>897</v>
      </c>
      <c r="J545" s="15" t="n">
        <f aca="false">IF(B545="SITE LOSS",IF(D545=C545,1,0),IF(B545="REGION LOSS",IF(E545=C545,1,0),0))</f>
        <v>0</v>
      </c>
      <c r="K545" s="15" t="n">
        <f aca="false">IF(B545="SITE LOSS",IF(COUNTIFS('Site Dockets'!$B$7:$B$24,C545,'Site Dockets'!$C$7:$C$24,F545)&gt;0,1,0),IF(B545="REGION LOSS",IF(COUNTIFS('Site Dockets'!$E$7:$E$24,C545,'Site Dockets'!$C$7:$C$24,F545)&gt;0,1,0),0))</f>
        <v>0</v>
      </c>
      <c r="L545" s="15" t="n">
        <f aca="false">IF(J545=1,0,Inputs!$B$11)</f>
        <v>100</v>
      </c>
      <c r="M545" s="15" t="n">
        <f aca="false">IF(J545=1,0,Inputs!$B$12)</f>
        <v>75</v>
      </c>
      <c r="N545" s="15" t="n">
        <f aca="false">IF(J545=1,0,IF(OR(AND(OR(B545="SITE LOSS",B545="REGION LOSS"),K545=1),AND(B545="ROLE COMPROMISE",H545=C545)),Inputs!$B$13,Inputs!$B$14))</f>
        <v>10</v>
      </c>
      <c r="O545" s="15" t="n">
        <f aca="false">IF(J545=1,0,Inputs!$B$13)</f>
        <v>20</v>
      </c>
      <c r="P545" s="15" t="n">
        <f aca="false">SUM(M545:N545)</f>
        <v>85</v>
      </c>
      <c r="Q545" s="15" t="n">
        <f aca="false">IF(J545=1,"",L545-P545)</f>
        <v>15</v>
      </c>
      <c r="R545" s="15" t="n">
        <f aca="false">IF(OR(J545=1,M545&lt;=Inputs!$B$12),1,0)</f>
        <v>1</v>
      </c>
      <c r="S545" s="15" t="n">
        <f aca="false">IF(OR(J545=1,N545&lt;=O545),1,0)</f>
        <v>1</v>
      </c>
      <c r="T545" s="15" t="str">
        <f aca="false">IF(J545=1,"OFFLINE",IF(AND(Q545&gt;=Inputs!$B$15,R545=1,S545=1,P545&lt;=L545),"PASS","FAIL"))</f>
        <v>PASS</v>
      </c>
    </row>
    <row r="546" customFormat="false" ht="15" hidden="false" customHeight="false" outlineLevel="0" collapsed="false">
      <c r="A546" s="14" t="s">
        <v>1023</v>
      </c>
      <c r="B546" s="14" t="s">
        <v>1019</v>
      </c>
      <c r="C546" s="14" t="s">
        <v>168</v>
      </c>
      <c r="D546" s="14" t="s">
        <v>204</v>
      </c>
      <c r="E546" s="14" t="s">
        <v>161</v>
      </c>
      <c r="F546" s="14" t="s">
        <v>199</v>
      </c>
      <c r="G546" s="14" t="n">
        <v>3</v>
      </c>
      <c r="H546" s="14" t="s">
        <v>158</v>
      </c>
      <c r="I546" s="14" t="s">
        <v>899</v>
      </c>
      <c r="J546" s="15" t="n">
        <f aca="false">IF(B546="SITE LOSS",IF(D546=C546,1,0),IF(B546="REGION LOSS",IF(E546=C546,1,0),0))</f>
        <v>0</v>
      </c>
      <c r="K546" s="15" t="n">
        <f aca="false">IF(B546="SITE LOSS",IF(COUNTIFS('Site Dockets'!$B$7:$B$24,C546,'Site Dockets'!$C$7:$C$24,F546)&gt;0,1,0),IF(B546="REGION LOSS",IF(COUNTIFS('Site Dockets'!$E$7:$E$24,C546,'Site Dockets'!$C$7:$C$24,F546)&gt;0,1,0),0))</f>
        <v>0</v>
      </c>
      <c r="L546" s="15" t="n">
        <f aca="false">IF(J546=1,0,Inputs!$B$11)</f>
        <v>100</v>
      </c>
      <c r="M546" s="15" t="n">
        <f aca="false">IF(J546=1,0,Inputs!$B$12)</f>
        <v>75</v>
      </c>
      <c r="N546" s="15" t="n">
        <f aca="false">IF(J546=1,0,IF(OR(AND(OR(B546="SITE LOSS",B546="REGION LOSS"),K546=1),AND(B546="ROLE COMPROMISE",H546=C546)),Inputs!$B$13,Inputs!$B$14))</f>
        <v>10</v>
      </c>
      <c r="O546" s="15" t="n">
        <f aca="false">IF(J546=1,0,Inputs!$B$13)</f>
        <v>20</v>
      </c>
      <c r="P546" s="15" t="n">
        <f aca="false">SUM(M546:N546)</f>
        <v>85</v>
      </c>
      <c r="Q546" s="15" t="n">
        <f aca="false">IF(J546=1,"",L546-P546)</f>
        <v>15</v>
      </c>
      <c r="R546" s="15" t="n">
        <f aca="false">IF(OR(J546=1,M546&lt;=Inputs!$B$12),1,0)</f>
        <v>1</v>
      </c>
      <c r="S546" s="15" t="n">
        <f aca="false">IF(OR(J546=1,N546&lt;=O546),1,0)</f>
        <v>1</v>
      </c>
      <c r="T546" s="15" t="str">
        <f aca="false">IF(J546=1,"OFFLINE",IF(AND(Q546&gt;=Inputs!$B$15,R546=1,S546=1,P546&lt;=L546),"PASS","FAIL"))</f>
        <v>PASS</v>
      </c>
    </row>
    <row r="547" customFormat="false" ht="15" hidden="false" customHeight="false" outlineLevel="0" collapsed="false">
      <c r="A547" s="14" t="s">
        <v>1024</v>
      </c>
      <c r="B547" s="14" t="s">
        <v>1019</v>
      </c>
      <c r="C547" s="14" t="s">
        <v>171</v>
      </c>
      <c r="D547" s="14" t="s">
        <v>149</v>
      </c>
      <c r="E547" s="14" t="s">
        <v>152</v>
      </c>
      <c r="F547" s="14" t="s">
        <v>150</v>
      </c>
      <c r="G547" s="14" t="n">
        <v>1</v>
      </c>
      <c r="H547" s="14" t="s">
        <v>154</v>
      </c>
      <c r="I547" s="14" t="s">
        <v>890</v>
      </c>
      <c r="J547" s="15" t="n">
        <f aca="false">IF(B547="SITE LOSS",IF(D547=C547,1,0),IF(B547="REGION LOSS",IF(E547=C547,1,0),0))</f>
        <v>0</v>
      </c>
      <c r="K547" s="15" t="n">
        <f aca="false">IF(B547="SITE LOSS",IF(COUNTIFS('Site Dockets'!$B$7:$B$24,C547,'Site Dockets'!$C$7:$C$24,F547)&gt;0,1,0),IF(B547="REGION LOSS",IF(COUNTIFS('Site Dockets'!$E$7:$E$24,C547,'Site Dockets'!$C$7:$C$24,F547)&gt;0,1,0),0))</f>
        <v>0</v>
      </c>
      <c r="L547" s="15" t="n">
        <f aca="false">IF(J547=1,0,Inputs!$B$11)</f>
        <v>100</v>
      </c>
      <c r="M547" s="15" t="n">
        <f aca="false">IF(J547=1,0,Inputs!$B$12)</f>
        <v>75</v>
      </c>
      <c r="N547" s="15" t="n">
        <f aca="false">IF(J547=1,0,IF(OR(AND(OR(B547="SITE LOSS",B547="REGION LOSS"),K547=1),AND(B547="ROLE COMPROMISE",H547=C547)),Inputs!$B$13,Inputs!$B$14))</f>
        <v>10</v>
      </c>
      <c r="O547" s="15" t="n">
        <f aca="false">IF(J547=1,0,Inputs!$B$13)</f>
        <v>20</v>
      </c>
      <c r="P547" s="15" t="n">
        <f aca="false">SUM(M547:N547)</f>
        <v>85</v>
      </c>
      <c r="Q547" s="15" t="n">
        <f aca="false">IF(J547=1,"",L547-P547)</f>
        <v>15</v>
      </c>
      <c r="R547" s="15" t="n">
        <f aca="false">IF(OR(J547=1,M547&lt;=Inputs!$B$12),1,0)</f>
        <v>1</v>
      </c>
      <c r="S547" s="15" t="n">
        <f aca="false">IF(OR(J547=1,N547&lt;=O547),1,0)</f>
        <v>1</v>
      </c>
      <c r="T547" s="15" t="str">
        <f aca="false">IF(J547=1,"OFFLINE",IF(AND(Q547&gt;=Inputs!$B$15,R547=1,S547=1,P547&lt;=L547),"PASS","FAIL"))</f>
        <v>PASS</v>
      </c>
    </row>
    <row r="548" customFormat="false" ht="15" hidden="false" customHeight="false" outlineLevel="0" collapsed="false">
      <c r="A548" s="14" t="s">
        <v>1024</v>
      </c>
      <c r="B548" s="14" t="s">
        <v>1019</v>
      </c>
      <c r="C548" s="14" t="s">
        <v>171</v>
      </c>
      <c r="D548" s="14" t="s">
        <v>149</v>
      </c>
      <c r="E548" s="14" t="s">
        <v>152</v>
      </c>
      <c r="F548" s="14" t="s">
        <v>150</v>
      </c>
      <c r="G548" s="14" t="n">
        <v>1</v>
      </c>
      <c r="H548" s="14" t="s">
        <v>154</v>
      </c>
      <c r="I548" s="14" t="s">
        <v>892</v>
      </c>
      <c r="J548" s="15" t="n">
        <f aca="false">IF(B548="SITE LOSS",IF(D548=C548,1,0),IF(B548="REGION LOSS",IF(E548=C548,1,0),0))</f>
        <v>0</v>
      </c>
      <c r="K548" s="15" t="n">
        <f aca="false">IF(B548="SITE LOSS",IF(COUNTIFS('Site Dockets'!$B$7:$B$24,C548,'Site Dockets'!$C$7:$C$24,F548)&gt;0,1,0),IF(B548="REGION LOSS",IF(COUNTIFS('Site Dockets'!$E$7:$E$24,C548,'Site Dockets'!$C$7:$C$24,F548)&gt;0,1,0),0))</f>
        <v>0</v>
      </c>
      <c r="L548" s="15" t="n">
        <f aca="false">IF(J548=1,0,Inputs!$B$11)</f>
        <v>100</v>
      </c>
      <c r="M548" s="15" t="n">
        <f aca="false">IF(J548=1,0,Inputs!$B$12)</f>
        <v>75</v>
      </c>
      <c r="N548" s="15" t="n">
        <f aca="false">IF(J548=1,0,IF(OR(AND(OR(B548="SITE LOSS",B548="REGION LOSS"),K548=1),AND(B548="ROLE COMPROMISE",H548=C548)),Inputs!$B$13,Inputs!$B$14))</f>
        <v>10</v>
      </c>
      <c r="O548" s="15" t="n">
        <f aca="false">IF(J548=1,0,Inputs!$B$13)</f>
        <v>20</v>
      </c>
      <c r="P548" s="15" t="n">
        <f aca="false">SUM(M548:N548)</f>
        <v>85</v>
      </c>
      <c r="Q548" s="15" t="n">
        <f aca="false">IF(J548=1,"",L548-P548)</f>
        <v>15</v>
      </c>
      <c r="R548" s="15" t="n">
        <f aca="false">IF(OR(J548=1,M548&lt;=Inputs!$B$12),1,0)</f>
        <v>1</v>
      </c>
      <c r="S548" s="15" t="n">
        <f aca="false">IF(OR(J548=1,N548&lt;=O548),1,0)</f>
        <v>1</v>
      </c>
      <c r="T548" s="15" t="str">
        <f aca="false">IF(J548=1,"OFFLINE",IF(AND(Q548&gt;=Inputs!$B$15,R548=1,S548=1,P548&lt;=L548),"PASS","FAIL"))</f>
        <v>PASS</v>
      </c>
    </row>
    <row r="549" customFormat="false" ht="15" hidden="false" customHeight="false" outlineLevel="0" collapsed="false">
      <c r="A549" s="14" t="s">
        <v>1024</v>
      </c>
      <c r="B549" s="14" t="s">
        <v>1019</v>
      </c>
      <c r="C549" s="14" t="s">
        <v>171</v>
      </c>
      <c r="D549" s="14" t="s">
        <v>149</v>
      </c>
      <c r="E549" s="14" t="s">
        <v>152</v>
      </c>
      <c r="F549" s="14" t="s">
        <v>150</v>
      </c>
      <c r="G549" s="14" t="n">
        <v>1</v>
      </c>
      <c r="H549" s="14" t="s">
        <v>154</v>
      </c>
      <c r="I549" s="14" t="s">
        <v>811</v>
      </c>
      <c r="J549" s="15" t="n">
        <f aca="false">IF(B549="SITE LOSS",IF(D549=C549,1,0),IF(B549="REGION LOSS",IF(E549=C549,1,0),0))</f>
        <v>0</v>
      </c>
      <c r="K549" s="15" t="n">
        <f aca="false">IF(B549="SITE LOSS",IF(COUNTIFS('Site Dockets'!$B$7:$B$24,C549,'Site Dockets'!$C$7:$C$24,F549)&gt;0,1,0),IF(B549="REGION LOSS",IF(COUNTIFS('Site Dockets'!$E$7:$E$24,C549,'Site Dockets'!$C$7:$C$24,F549)&gt;0,1,0),0))</f>
        <v>0</v>
      </c>
      <c r="L549" s="15" t="n">
        <f aca="false">IF(J549=1,0,Inputs!$B$11)</f>
        <v>100</v>
      </c>
      <c r="M549" s="15" t="n">
        <f aca="false">IF(J549=1,0,Inputs!$B$12)</f>
        <v>75</v>
      </c>
      <c r="N549" s="15" t="n">
        <f aca="false">IF(J549=1,0,IF(OR(AND(OR(B549="SITE LOSS",B549="REGION LOSS"),K549=1),AND(B549="ROLE COMPROMISE",H549=C549)),Inputs!$B$13,Inputs!$B$14))</f>
        <v>10</v>
      </c>
      <c r="O549" s="15" t="n">
        <f aca="false">IF(J549=1,0,Inputs!$B$13)</f>
        <v>20</v>
      </c>
      <c r="P549" s="15" t="n">
        <f aca="false">SUM(M549:N549)</f>
        <v>85</v>
      </c>
      <c r="Q549" s="15" t="n">
        <f aca="false">IF(J549=1,"",L549-P549)</f>
        <v>15</v>
      </c>
      <c r="R549" s="15" t="n">
        <f aca="false">IF(OR(J549=1,M549&lt;=Inputs!$B$12),1,0)</f>
        <v>1</v>
      </c>
      <c r="S549" s="15" t="n">
        <f aca="false">IF(OR(J549=1,N549&lt;=O549),1,0)</f>
        <v>1</v>
      </c>
      <c r="T549" s="15" t="str">
        <f aca="false">IF(J549=1,"OFFLINE",IF(AND(Q549&gt;=Inputs!$B$15,R549=1,S549=1,P549&lt;=L549),"PASS","FAIL"))</f>
        <v>PASS</v>
      </c>
    </row>
    <row r="550" customFormat="false" ht="15" hidden="false" customHeight="false" outlineLevel="0" collapsed="false">
      <c r="A550" s="14" t="s">
        <v>1024</v>
      </c>
      <c r="B550" s="14" t="s">
        <v>1019</v>
      </c>
      <c r="C550" s="14" t="s">
        <v>171</v>
      </c>
      <c r="D550" s="14" t="s">
        <v>149</v>
      </c>
      <c r="E550" s="14" t="s">
        <v>152</v>
      </c>
      <c r="F550" s="14" t="s">
        <v>150</v>
      </c>
      <c r="G550" s="14" t="n">
        <v>1</v>
      </c>
      <c r="H550" s="14" t="s">
        <v>154</v>
      </c>
      <c r="I550" s="14" t="s">
        <v>895</v>
      </c>
      <c r="J550" s="15" t="n">
        <f aca="false">IF(B550="SITE LOSS",IF(D550=C550,1,0),IF(B550="REGION LOSS",IF(E550=C550,1,0),0))</f>
        <v>0</v>
      </c>
      <c r="K550" s="15" t="n">
        <f aca="false">IF(B550="SITE LOSS",IF(COUNTIFS('Site Dockets'!$B$7:$B$24,C550,'Site Dockets'!$C$7:$C$24,F550)&gt;0,1,0),IF(B550="REGION LOSS",IF(COUNTIFS('Site Dockets'!$E$7:$E$24,C550,'Site Dockets'!$C$7:$C$24,F550)&gt;0,1,0),0))</f>
        <v>0</v>
      </c>
      <c r="L550" s="15" t="n">
        <f aca="false">IF(J550=1,0,Inputs!$B$11)</f>
        <v>100</v>
      </c>
      <c r="M550" s="15" t="n">
        <f aca="false">IF(J550=1,0,Inputs!$B$12)</f>
        <v>75</v>
      </c>
      <c r="N550" s="15" t="n">
        <f aca="false">IF(J550=1,0,IF(OR(AND(OR(B550="SITE LOSS",B550="REGION LOSS"),K550=1),AND(B550="ROLE COMPROMISE",H550=C550)),Inputs!$B$13,Inputs!$B$14))</f>
        <v>10</v>
      </c>
      <c r="O550" s="15" t="n">
        <f aca="false">IF(J550=1,0,Inputs!$B$13)</f>
        <v>20</v>
      </c>
      <c r="P550" s="15" t="n">
        <f aca="false">SUM(M550:N550)</f>
        <v>85</v>
      </c>
      <c r="Q550" s="15" t="n">
        <f aca="false">IF(J550=1,"",L550-P550)</f>
        <v>15</v>
      </c>
      <c r="R550" s="15" t="n">
        <f aca="false">IF(OR(J550=1,M550&lt;=Inputs!$B$12),1,0)</f>
        <v>1</v>
      </c>
      <c r="S550" s="15" t="n">
        <f aca="false">IF(OR(J550=1,N550&lt;=O550),1,0)</f>
        <v>1</v>
      </c>
      <c r="T550" s="15" t="str">
        <f aca="false">IF(J550=1,"OFFLINE",IF(AND(Q550&gt;=Inputs!$B$15,R550=1,S550=1,P550&lt;=L550),"PASS","FAIL"))</f>
        <v>PASS</v>
      </c>
    </row>
    <row r="551" customFormat="false" ht="15" hidden="false" customHeight="false" outlineLevel="0" collapsed="false">
      <c r="A551" s="14" t="s">
        <v>1024</v>
      </c>
      <c r="B551" s="14" t="s">
        <v>1019</v>
      </c>
      <c r="C551" s="14" t="s">
        <v>171</v>
      </c>
      <c r="D551" s="14" t="s">
        <v>149</v>
      </c>
      <c r="E551" s="14" t="s">
        <v>152</v>
      </c>
      <c r="F551" s="14" t="s">
        <v>150</v>
      </c>
      <c r="G551" s="14" t="n">
        <v>1</v>
      </c>
      <c r="H551" s="14" t="s">
        <v>154</v>
      </c>
      <c r="I551" s="14" t="s">
        <v>897</v>
      </c>
      <c r="J551" s="15" t="n">
        <f aca="false">IF(B551="SITE LOSS",IF(D551=C551,1,0),IF(B551="REGION LOSS",IF(E551=C551,1,0),0))</f>
        <v>0</v>
      </c>
      <c r="K551" s="15" t="n">
        <f aca="false">IF(B551="SITE LOSS",IF(COUNTIFS('Site Dockets'!$B$7:$B$24,C551,'Site Dockets'!$C$7:$C$24,F551)&gt;0,1,0),IF(B551="REGION LOSS",IF(COUNTIFS('Site Dockets'!$E$7:$E$24,C551,'Site Dockets'!$C$7:$C$24,F551)&gt;0,1,0),0))</f>
        <v>0</v>
      </c>
      <c r="L551" s="15" t="n">
        <f aca="false">IF(J551=1,0,Inputs!$B$11)</f>
        <v>100</v>
      </c>
      <c r="M551" s="15" t="n">
        <f aca="false">IF(J551=1,0,Inputs!$B$12)</f>
        <v>75</v>
      </c>
      <c r="N551" s="15" t="n">
        <f aca="false">IF(J551=1,0,IF(OR(AND(OR(B551="SITE LOSS",B551="REGION LOSS"),K551=1),AND(B551="ROLE COMPROMISE",H551=C551)),Inputs!$B$13,Inputs!$B$14))</f>
        <v>10</v>
      </c>
      <c r="O551" s="15" t="n">
        <f aca="false">IF(J551=1,0,Inputs!$B$13)</f>
        <v>20</v>
      </c>
      <c r="P551" s="15" t="n">
        <f aca="false">SUM(M551:N551)</f>
        <v>85</v>
      </c>
      <c r="Q551" s="15" t="n">
        <f aca="false">IF(J551=1,"",L551-P551)</f>
        <v>15</v>
      </c>
      <c r="R551" s="15" t="n">
        <f aca="false">IF(OR(J551=1,M551&lt;=Inputs!$B$12),1,0)</f>
        <v>1</v>
      </c>
      <c r="S551" s="15" t="n">
        <f aca="false">IF(OR(J551=1,N551&lt;=O551),1,0)</f>
        <v>1</v>
      </c>
      <c r="T551" s="15" t="str">
        <f aca="false">IF(J551=1,"OFFLINE",IF(AND(Q551&gt;=Inputs!$B$15,R551=1,S551=1,P551&lt;=L551),"PASS","FAIL"))</f>
        <v>PASS</v>
      </c>
    </row>
    <row r="552" customFormat="false" ht="15" hidden="false" customHeight="false" outlineLevel="0" collapsed="false">
      <c r="A552" s="14" t="s">
        <v>1024</v>
      </c>
      <c r="B552" s="14" t="s">
        <v>1019</v>
      </c>
      <c r="C552" s="14" t="s">
        <v>171</v>
      </c>
      <c r="D552" s="14" t="s">
        <v>149</v>
      </c>
      <c r="E552" s="14" t="s">
        <v>152</v>
      </c>
      <c r="F552" s="14" t="s">
        <v>150</v>
      </c>
      <c r="G552" s="14" t="n">
        <v>1</v>
      </c>
      <c r="H552" s="14" t="s">
        <v>154</v>
      </c>
      <c r="I552" s="14" t="s">
        <v>899</v>
      </c>
      <c r="J552" s="15" t="n">
        <f aca="false">IF(B552="SITE LOSS",IF(D552=C552,1,0),IF(B552="REGION LOSS",IF(E552=C552,1,0),0))</f>
        <v>0</v>
      </c>
      <c r="K552" s="15" t="n">
        <f aca="false">IF(B552="SITE LOSS",IF(COUNTIFS('Site Dockets'!$B$7:$B$24,C552,'Site Dockets'!$C$7:$C$24,F552)&gt;0,1,0),IF(B552="REGION LOSS",IF(COUNTIFS('Site Dockets'!$E$7:$E$24,C552,'Site Dockets'!$C$7:$C$24,F552)&gt;0,1,0),0))</f>
        <v>0</v>
      </c>
      <c r="L552" s="15" t="n">
        <f aca="false">IF(J552=1,0,Inputs!$B$11)</f>
        <v>100</v>
      </c>
      <c r="M552" s="15" t="n">
        <f aca="false">IF(J552=1,0,Inputs!$B$12)</f>
        <v>75</v>
      </c>
      <c r="N552" s="15" t="n">
        <f aca="false">IF(J552=1,0,IF(OR(AND(OR(B552="SITE LOSS",B552="REGION LOSS"),K552=1),AND(B552="ROLE COMPROMISE",H552=C552)),Inputs!$B$13,Inputs!$B$14))</f>
        <v>10</v>
      </c>
      <c r="O552" s="15" t="n">
        <f aca="false">IF(J552=1,0,Inputs!$B$13)</f>
        <v>20</v>
      </c>
      <c r="P552" s="15" t="n">
        <f aca="false">SUM(M552:N552)</f>
        <v>85</v>
      </c>
      <c r="Q552" s="15" t="n">
        <f aca="false">IF(J552=1,"",L552-P552)</f>
        <v>15</v>
      </c>
      <c r="R552" s="15" t="n">
        <f aca="false">IF(OR(J552=1,M552&lt;=Inputs!$B$12),1,0)</f>
        <v>1</v>
      </c>
      <c r="S552" s="15" t="n">
        <f aca="false">IF(OR(J552=1,N552&lt;=O552),1,0)</f>
        <v>1</v>
      </c>
      <c r="T552" s="15" t="str">
        <f aca="false">IF(J552=1,"OFFLINE",IF(AND(Q552&gt;=Inputs!$B$15,R552=1,S552=1,P552&lt;=L552),"PASS","FAIL"))</f>
        <v>PASS</v>
      </c>
    </row>
    <row r="553" customFormat="false" ht="15" hidden="false" customHeight="false" outlineLevel="0" collapsed="false">
      <c r="A553" s="14" t="s">
        <v>1024</v>
      </c>
      <c r="B553" s="14" t="s">
        <v>1019</v>
      </c>
      <c r="C553" s="14" t="s">
        <v>171</v>
      </c>
      <c r="D553" s="14" t="s">
        <v>156</v>
      </c>
      <c r="E553" s="14" t="s">
        <v>157</v>
      </c>
      <c r="F553" s="14" t="s">
        <v>150</v>
      </c>
      <c r="G553" s="14" t="n">
        <v>2</v>
      </c>
      <c r="H553" s="14" t="s">
        <v>153</v>
      </c>
      <c r="I553" s="14" t="s">
        <v>890</v>
      </c>
      <c r="J553" s="15" t="n">
        <f aca="false">IF(B553="SITE LOSS",IF(D553=C553,1,0),IF(B553="REGION LOSS",IF(E553=C553,1,0),0))</f>
        <v>0</v>
      </c>
      <c r="K553" s="15" t="n">
        <f aca="false">IF(B553="SITE LOSS",IF(COUNTIFS('Site Dockets'!$B$7:$B$24,C553,'Site Dockets'!$C$7:$C$24,F553)&gt;0,1,0),IF(B553="REGION LOSS",IF(COUNTIFS('Site Dockets'!$E$7:$E$24,C553,'Site Dockets'!$C$7:$C$24,F553)&gt;0,1,0),0))</f>
        <v>0</v>
      </c>
      <c r="L553" s="15" t="n">
        <f aca="false">IF(J553=1,0,Inputs!$B$11)</f>
        <v>100</v>
      </c>
      <c r="M553" s="15" t="n">
        <f aca="false">IF(J553=1,0,Inputs!$B$12)</f>
        <v>75</v>
      </c>
      <c r="N553" s="15" t="n">
        <f aca="false">IF(J553=1,0,IF(OR(AND(OR(B553="SITE LOSS",B553="REGION LOSS"),K553=1),AND(B553="ROLE COMPROMISE",H553=C553)),Inputs!$B$13,Inputs!$B$14))</f>
        <v>10</v>
      </c>
      <c r="O553" s="15" t="n">
        <f aca="false">IF(J553=1,0,Inputs!$B$13)</f>
        <v>20</v>
      </c>
      <c r="P553" s="15" t="n">
        <f aca="false">SUM(M553:N553)</f>
        <v>85</v>
      </c>
      <c r="Q553" s="15" t="n">
        <f aca="false">IF(J553=1,"",L553-P553)</f>
        <v>15</v>
      </c>
      <c r="R553" s="15" t="n">
        <f aca="false">IF(OR(J553=1,M553&lt;=Inputs!$B$12),1,0)</f>
        <v>1</v>
      </c>
      <c r="S553" s="15" t="n">
        <f aca="false">IF(OR(J553=1,N553&lt;=O553),1,0)</f>
        <v>1</v>
      </c>
      <c r="T553" s="15" t="str">
        <f aca="false">IF(J553=1,"OFFLINE",IF(AND(Q553&gt;=Inputs!$B$15,R553=1,S553=1,P553&lt;=L553),"PASS","FAIL"))</f>
        <v>PASS</v>
      </c>
    </row>
    <row r="554" customFormat="false" ht="15" hidden="false" customHeight="false" outlineLevel="0" collapsed="false">
      <c r="A554" s="14" t="s">
        <v>1024</v>
      </c>
      <c r="B554" s="14" t="s">
        <v>1019</v>
      </c>
      <c r="C554" s="14" t="s">
        <v>171</v>
      </c>
      <c r="D554" s="14" t="s">
        <v>156</v>
      </c>
      <c r="E554" s="14" t="s">
        <v>157</v>
      </c>
      <c r="F554" s="14" t="s">
        <v>150</v>
      </c>
      <c r="G554" s="14" t="n">
        <v>2</v>
      </c>
      <c r="H554" s="14" t="s">
        <v>153</v>
      </c>
      <c r="I554" s="14" t="s">
        <v>892</v>
      </c>
      <c r="J554" s="15" t="n">
        <f aca="false">IF(B554="SITE LOSS",IF(D554=C554,1,0),IF(B554="REGION LOSS",IF(E554=C554,1,0),0))</f>
        <v>0</v>
      </c>
      <c r="K554" s="15" t="n">
        <f aca="false">IF(B554="SITE LOSS",IF(COUNTIFS('Site Dockets'!$B$7:$B$24,C554,'Site Dockets'!$C$7:$C$24,F554)&gt;0,1,0),IF(B554="REGION LOSS",IF(COUNTIFS('Site Dockets'!$E$7:$E$24,C554,'Site Dockets'!$C$7:$C$24,F554)&gt;0,1,0),0))</f>
        <v>0</v>
      </c>
      <c r="L554" s="15" t="n">
        <f aca="false">IF(J554=1,0,Inputs!$B$11)</f>
        <v>100</v>
      </c>
      <c r="M554" s="15" t="n">
        <f aca="false">IF(J554=1,0,Inputs!$B$12)</f>
        <v>75</v>
      </c>
      <c r="N554" s="15" t="n">
        <f aca="false">IF(J554=1,0,IF(OR(AND(OR(B554="SITE LOSS",B554="REGION LOSS"),K554=1),AND(B554="ROLE COMPROMISE",H554=C554)),Inputs!$B$13,Inputs!$B$14))</f>
        <v>10</v>
      </c>
      <c r="O554" s="15" t="n">
        <f aca="false">IF(J554=1,0,Inputs!$B$13)</f>
        <v>20</v>
      </c>
      <c r="P554" s="15" t="n">
        <f aca="false">SUM(M554:N554)</f>
        <v>85</v>
      </c>
      <c r="Q554" s="15" t="n">
        <f aca="false">IF(J554=1,"",L554-P554)</f>
        <v>15</v>
      </c>
      <c r="R554" s="15" t="n">
        <f aca="false">IF(OR(J554=1,M554&lt;=Inputs!$B$12),1,0)</f>
        <v>1</v>
      </c>
      <c r="S554" s="15" t="n">
        <f aca="false">IF(OR(J554=1,N554&lt;=O554),1,0)</f>
        <v>1</v>
      </c>
      <c r="T554" s="15" t="str">
        <f aca="false">IF(J554=1,"OFFLINE",IF(AND(Q554&gt;=Inputs!$B$15,R554=1,S554=1,P554&lt;=L554),"PASS","FAIL"))</f>
        <v>PASS</v>
      </c>
    </row>
    <row r="555" customFormat="false" ht="15" hidden="false" customHeight="false" outlineLevel="0" collapsed="false">
      <c r="A555" s="14" t="s">
        <v>1024</v>
      </c>
      <c r="B555" s="14" t="s">
        <v>1019</v>
      </c>
      <c r="C555" s="14" t="s">
        <v>171</v>
      </c>
      <c r="D555" s="14" t="s">
        <v>156</v>
      </c>
      <c r="E555" s="14" t="s">
        <v>157</v>
      </c>
      <c r="F555" s="14" t="s">
        <v>150</v>
      </c>
      <c r="G555" s="14" t="n">
        <v>2</v>
      </c>
      <c r="H555" s="14" t="s">
        <v>153</v>
      </c>
      <c r="I555" s="14" t="s">
        <v>811</v>
      </c>
      <c r="J555" s="15" t="n">
        <f aca="false">IF(B555="SITE LOSS",IF(D555=C555,1,0),IF(B555="REGION LOSS",IF(E555=C555,1,0),0))</f>
        <v>0</v>
      </c>
      <c r="K555" s="15" t="n">
        <f aca="false">IF(B555="SITE LOSS",IF(COUNTIFS('Site Dockets'!$B$7:$B$24,C555,'Site Dockets'!$C$7:$C$24,F555)&gt;0,1,0),IF(B555="REGION LOSS",IF(COUNTIFS('Site Dockets'!$E$7:$E$24,C555,'Site Dockets'!$C$7:$C$24,F555)&gt;0,1,0),0))</f>
        <v>0</v>
      </c>
      <c r="L555" s="15" t="n">
        <f aca="false">IF(J555=1,0,Inputs!$B$11)</f>
        <v>100</v>
      </c>
      <c r="M555" s="15" t="n">
        <f aca="false">IF(J555=1,0,Inputs!$B$12)</f>
        <v>75</v>
      </c>
      <c r="N555" s="15" t="n">
        <f aca="false">IF(J555=1,0,IF(OR(AND(OR(B555="SITE LOSS",B555="REGION LOSS"),K555=1),AND(B555="ROLE COMPROMISE",H555=C555)),Inputs!$B$13,Inputs!$B$14))</f>
        <v>10</v>
      </c>
      <c r="O555" s="15" t="n">
        <f aca="false">IF(J555=1,0,Inputs!$B$13)</f>
        <v>20</v>
      </c>
      <c r="P555" s="15" t="n">
        <f aca="false">SUM(M555:N555)</f>
        <v>85</v>
      </c>
      <c r="Q555" s="15" t="n">
        <f aca="false">IF(J555=1,"",L555-P555)</f>
        <v>15</v>
      </c>
      <c r="R555" s="15" t="n">
        <f aca="false">IF(OR(J555=1,M555&lt;=Inputs!$B$12),1,0)</f>
        <v>1</v>
      </c>
      <c r="S555" s="15" t="n">
        <f aca="false">IF(OR(J555=1,N555&lt;=O555),1,0)</f>
        <v>1</v>
      </c>
      <c r="T555" s="15" t="str">
        <f aca="false">IF(J555=1,"OFFLINE",IF(AND(Q555&gt;=Inputs!$B$15,R555=1,S555=1,P555&lt;=L555),"PASS","FAIL"))</f>
        <v>PASS</v>
      </c>
    </row>
    <row r="556" customFormat="false" ht="15" hidden="false" customHeight="false" outlineLevel="0" collapsed="false">
      <c r="A556" s="14" t="s">
        <v>1024</v>
      </c>
      <c r="B556" s="14" t="s">
        <v>1019</v>
      </c>
      <c r="C556" s="14" t="s">
        <v>171</v>
      </c>
      <c r="D556" s="14" t="s">
        <v>156</v>
      </c>
      <c r="E556" s="14" t="s">
        <v>157</v>
      </c>
      <c r="F556" s="14" t="s">
        <v>150</v>
      </c>
      <c r="G556" s="14" t="n">
        <v>2</v>
      </c>
      <c r="H556" s="14" t="s">
        <v>153</v>
      </c>
      <c r="I556" s="14" t="s">
        <v>895</v>
      </c>
      <c r="J556" s="15" t="n">
        <f aca="false">IF(B556="SITE LOSS",IF(D556=C556,1,0),IF(B556="REGION LOSS",IF(E556=C556,1,0),0))</f>
        <v>0</v>
      </c>
      <c r="K556" s="15" t="n">
        <f aca="false">IF(B556="SITE LOSS",IF(COUNTIFS('Site Dockets'!$B$7:$B$24,C556,'Site Dockets'!$C$7:$C$24,F556)&gt;0,1,0),IF(B556="REGION LOSS",IF(COUNTIFS('Site Dockets'!$E$7:$E$24,C556,'Site Dockets'!$C$7:$C$24,F556)&gt;0,1,0),0))</f>
        <v>0</v>
      </c>
      <c r="L556" s="15" t="n">
        <f aca="false">IF(J556=1,0,Inputs!$B$11)</f>
        <v>100</v>
      </c>
      <c r="M556" s="15" t="n">
        <f aca="false">IF(J556=1,0,Inputs!$B$12)</f>
        <v>75</v>
      </c>
      <c r="N556" s="15" t="n">
        <f aca="false">IF(J556=1,0,IF(OR(AND(OR(B556="SITE LOSS",B556="REGION LOSS"),K556=1),AND(B556="ROLE COMPROMISE",H556=C556)),Inputs!$B$13,Inputs!$B$14))</f>
        <v>10</v>
      </c>
      <c r="O556" s="15" t="n">
        <f aca="false">IF(J556=1,0,Inputs!$B$13)</f>
        <v>20</v>
      </c>
      <c r="P556" s="15" t="n">
        <f aca="false">SUM(M556:N556)</f>
        <v>85</v>
      </c>
      <c r="Q556" s="15" t="n">
        <f aca="false">IF(J556=1,"",L556-P556)</f>
        <v>15</v>
      </c>
      <c r="R556" s="15" t="n">
        <f aca="false">IF(OR(J556=1,M556&lt;=Inputs!$B$12),1,0)</f>
        <v>1</v>
      </c>
      <c r="S556" s="15" t="n">
        <f aca="false">IF(OR(J556=1,N556&lt;=O556),1,0)</f>
        <v>1</v>
      </c>
      <c r="T556" s="15" t="str">
        <f aca="false">IF(J556=1,"OFFLINE",IF(AND(Q556&gt;=Inputs!$B$15,R556=1,S556=1,P556&lt;=L556),"PASS","FAIL"))</f>
        <v>PASS</v>
      </c>
    </row>
    <row r="557" customFormat="false" ht="15" hidden="false" customHeight="false" outlineLevel="0" collapsed="false">
      <c r="A557" s="14" t="s">
        <v>1024</v>
      </c>
      <c r="B557" s="14" t="s">
        <v>1019</v>
      </c>
      <c r="C557" s="14" t="s">
        <v>171</v>
      </c>
      <c r="D557" s="14" t="s">
        <v>156</v>
      </c>
      <c r="E557" s="14" t="s">
        <v>157</v>
      </c>
      <c r="F557" s="14" t="s">
        <v>150</v>
      </c>
      <c r="G557" s="14" t="n">
        <v>2</v>
      </c>
      <c r="H557" s="14" t="s">
        <v>153</v>
      </c>
      <c r="I557" s="14" t="s">
        <v>897</v>
      </c>
      <c r="J557" s="15" t="n">
        <f aca="false">IF(B557="SITE LOSS",IF(D557=C557,1,0),IF(B557="REGION LOSS",IF(E557=C557,1,0),0))</f>
        <v>0</v>
      </c>
      <c r="K557" s="15" t="n">
        <f aca="false">IF(B557="SITE LOSS",IF(COUNTIFS('Site Dockets'!$B$7:$B$24,C557,'Site Dockets'!$C$7:$C$24,F557)&gt;0,1,0),IF(B557="REGION LOSS",IF(COUNTIFS('Site Dockets'!$E$7:$E$24,C557,'Site Dockets'!$C$7:$C$24,F557)&gt;0,1,0),0))</f>
        <v>0</v>
      </c>
      <c r="L557" s="15" t="n">
        <f aca="false">IF(J557=1,0,Inputs!$B$11)</f>
        <v>100</v>
      </c>
      <c r="M557" s="15" t="n">
        <f aca="false">IF(J557=1,0,Inputs!$B$12)</f>
        <v>75</v>
      </c>
      <c r="N557" s="15" t="n">
        <f aca="false">IF(J557=1,0,IF(OR(AND(OR(B557="SITE LOSS",B557="REGION LOSS"),K557=1),AND(B557="ROLE COMPROMISE",H557=C557)),Inputs!$B$13,Inputs!$B$14))</f>
        <v>10</v>
      </c>
      <c r="O557" s="15" t="n">
        <f aca="false">IF(J557=1,0,Inputs!$B$13)</f>
        <v>20</v>
      </c>
      <c r="P557" s="15" t="n">
        <f aca="false">SUM(M557:N557)</f>
        <v>85</v>
      </c>
      <c r="Q557" s="15" t="n">
        <f aca="false">IF(J557=1,"",L557-P557)</f>
        <v>15</v>
      </c>
      <c r="R557" s="15" t="n">
        <f aca="false">IF(OR(J557=1,M557&lt;=Inputs!$B$12),1,0)</f>
        <v>1</v>
      </c>
      <c r="S557" s="15" t="n">
        <f aca="false">IF(OR(J557=1,N557&lt;=O557),1,0)</f>
        <v>1</v>
      </c>
      <c r="T557" s="15" t="str">
        <f aca="false">IF(J557=1,"OFFLINE",IF(AND(Q557&gt;=Inputs!$B$15,R557=1,S557=1,P557&lt;=L557),"PASS","FAIL"))</f>
        <v>PASS</v>
      </c>
    </row>
    <row r="558" customFormat="false" ht="15" hidden="false" customHeight="false" outlineLevel="0" collapsed="false">
      <c r="A558" s="14" t="s">
        <v>1024</v>
      </c>
      <c r="B558" s="14" t="s">
        <v>1019</v>
      </c>
      <c r="C558" s="14" t="s">
        <v>171</v>
      </c>
      <c r="D558" s="14" t="s">
        <v>156</v>
      </c>
      <c r="E558" s="14" t="s">
        <v>157</v>
      </c>
      <c r="F558" s="14" t="s">
        <v>150</v>
      </c>
      <c r="G558" s="14" t="n">
        <v>2</v>
      </c>
      <c r="H558" s="14" t="s">
        <v>153</v>
      </c>
      <c r="I558" s="14" t="s">
        <v>899</v>
      </c>
      <c r="J558" s="15" t="n">
        <f aca="false">IF(B558="SITE LOSS",IF(D558=C558,1,0),IF(B558="REGION LOSS",IF(E558=C558,1,0),0))</f>
        <v>0</v>
      </c>
      <c r="K558" s="15" t="n">
        <f aca="false">IF(B558="SITE LOSS",IF(COUNTIFS('Site Dockets'!$B$7:$B$24,C558,'Site Dockets'!$C$7:$C$24,F558)&gt;0,1,0),IF(B558="REGION LOSS",IF(COUNTIFS('Site Dockets'!$E$7:$E$24,C558,'Site Dockets'!$C$7:$C$24,F558)&gt;0,1,0),0))</f>
        <v>0</v>
      </c>
      <c r="L558" s="15" t="n">
        <f aca="false">IF(J558=1,0,Inputs!$B$11)</f>
        <v>100</v>
      </c>
      <c r="M558" s="15" t="n">
        <f aca="false">IF(J558=1,0,Inputs!$B$12)</f>
        <v>75</v>
      </c>
      <c r="N558" s="15" t="n">
        <f aca="false">IF(J558=1,0,IF(OR(AND(OR(B558="SITE LOSS",B558="REGION LOSS"),K558=1),AND(B558="ROLE COMPROMISE",H558=C558)),Inputs!$B$13,Inputs!$B$14))</f>
        <v>10</v>
      </c>
      <c r="O558" s="15" t="n">
        <f aca="false">IF(J558=1,0,Inputs!$B$13)</f>
        <v>20</v>
      </c>
      <c r="P558" s="15" t="n">
        <f aca="false">SUM(M558:N558)</f>
        <v>85</v>
      </c>
      <c r="Q558" s="15" t="n">
        <f aca="false">IF(J558=1,"",L558-P558)</f>
        <v>15</v>
      </c>
      <c r="R558" s="15" t="n">
        <f aca="false">IF(OR(J558=1,M558&lt;=Inputs!$B$12),1,0)</f>
        <v>1</v>
      </c>
      <c r="S558" s="15" t="n">
        <f aca="false">IF(OR(J558=1,N558&lt;=O558),1,0)</f>
        <v>1</v>
      </c>
      <c r="T558" s="15" t="str">
        <f aca="false">IF(J558=1,"OFFLINE",IF(AND(Q558&gt;=Inputs!$B$15,R558=1,S558=1,P558&lt;=L558),"PASS","FAIL"))</f>
        <v>PASS</v>
      </c>
    </row>
    <row r="559" customFormat="false" ht="15" hidden="false" customHeight="false" outlineLevel="0" collapsed="false">
      <c r="A559" s="14" t="s">
        <v>1024</v>
      </c>
      <c r="B559" s="14" t="s">
        <v>1019</v>
      </c>
      <c r="C559" s="14" t="s">
        <v>171</v>
      </c>
      <c r="D559" s="14" t="s">
        <v>160</v>
      </c>
      <c r="E559" s="14" t="s">
        <v>161</v>
      </c>
      <c r="F559" s="14" t="s">
        <v>150</v>
      </c>
      <c r="G559" s="14" t="n">
        <v>3</v>
      </c>
      <c r="H559" s="14" t="s">
        <v>158</v>
      </c>
      <c r="I559" s="14" t="s">
        <v>890</v>
      </c>
      <c r="J559" s="15" t="n">
        <f aca="false">IF(B559="SITE LOSS",IF(D559=C559,1,0),IF(B559="REGION LOSS",IF(E559=C559,1,0),0))</f>
        <v>0</v>
      </c>
      <c r="K559" s="15" t="n">
        <f aca="false">IF(B559="SITE LOSS",IF(COUNTIFS('Site Dockets'!$B$7:$B$24,C559,'Site Dockets'!$C$7:$C$24,F559)&gt;0,1,0),IF(B559="REGION LOSS",IF(COUNTIFS('Site Dockets'!$E$7:$E$24,C559,'Site Dockets'!$C$7:$C$24,F559)&gt;0,1,0),0))</f>
        <v>0</v>
      </c>
      <c r="L559" s="15" t="n">
        <f aca="false">IF(J559=1,0,Inputs!$B$11)</f>
        <v>100</v>
      </c>
      <c r="M559" s="15" t="n">
        <f aca="false">IF(J559=1,0,Inputs!$B$12)</f>
        <v>75</v>
      </c>
      <c r="N559" s="15" t="n">
        <f aca="false">IF(J559=1,0,IF(OR(AND(OR(B559="SITE LOSS",B559="REGION LOSS"),K559=1),AND(B559="ROLE COMPROMISE",H559=C559)),Inputs!$B$13,Inputs!$B$14))</f>
        <v>10</v>
      </c>
      <c r="O559" s="15" t="n">
        <f aca="false">IF(J559=1,0,Inputs!$B$13)</f>
        <v>20</v>
      </c>
      <c r="P559" s="15" t="n">
        <f aca="false">SUM(M559:N559)</f>
        <v>85</v>
      </c>
      <c r="Q559" s="15" t="n">
        <f aca="false">IF(J559=1,"",L559-P559)</f>
        <v>15</v>
      </c>
      <c r="R559" s="15" t="n">
        <f aca="false">IF(OR(J559=1,M559&lt;=Inputs!$B$12),1,0)</f>
        <v>1</v>
      </c>
      <c r="S559" s="15" t="n">
        <f aca="false">IF(OR(J559=1,N559&lt;=O559),1,0)</f>
        <v>1</v>
      </c>
      <c r="T559" s="15" t="str">
        <f aca="false">IF(J559=1,"OFFLINE",IF(AND(Q559&gt;=Inputs!$B$15,R559=1,S559=1,P559&lt;=L559),"PASS","FAIL"))</f>
        <v>PASS</v>
      </c>
    </row>
    <row r="560" customFormat="false" ht="15" hidden="false" customHeight="false" outlineLevel="0" collapsed="false">
      <c r="A560" s="14" t="s">
        <v>1024</v>
      </c>
      <c r="B560" s="14" t="s">
        <v>1019</v>
      </c>
      <c r="C560" s="14" t="s">
        <v>171</v>
      </c>
      <c r="D560" s="14" t="s">
        <v>160</v>
      </c>
      <c r="E560" s="14" t="s">
        <v>161</v>
      </c>
      <c r="F560" s="14" t="s">
        <v>150</v>
      </c>
      <c r="G560" s="14" t="n">
        <v>3</v>
      </c>
      <c r="H560" s="14" t="s">
        <v>158</v>
      </c>
      <c r="I560" s="14" t="s">
        <v>892</v>
      </c>
      <c r="J560" s="15" t="n">
        <f aca="false">IF(B560="SITE LOSS",IF(D560=C560,1,0),IF(B560="REGION LOSS",IF(E560=C560,1,0),0))</f>
        <v>0</v>
      </c>
      <c r="K560" s="15" t="n">
        <f aca="false">IF(B560="SITE LOSS",IF(COUNTIFS('Site Dockets'!$B$7:$B$24,C560,'Site Dockets'!$C$7:$C$24,F560)&gt;0,1,0),IF(B560="REGION LOSS",IF(COUNTIFS('Site Dockets'!$E$7:$E$24,C560,'Site Dockets'!$C$7:$C$24,F560)&gt;0,1,0),0))</f>
        <v>0</v>
      </c>
      <c r="L560" s="15" t="n">
        <f aca="false">IF(J560=1,0,Inputs!$B$11)</f>
        <v>100</v>
      </c>
      <c r="M560" s="15" t="n">
        <f aca="false">IF(J560=1,0,Inputs!$B$12)</f>
        <v>75</v>
      </c>
      <c r="N560" s="15" t="n">
        <f aca="false">IF(J560=1,0,IF(OR(AND(OR(B560="SITE LOSS",B560="REGION LOSS"),K560=1),AND(B560="ROLE COMPROMISE",H560=C560)),Inputs!$B$13,Inputs!$B$14))</f>
        <v>10</v>
      </c>
      <c r="O560" s="15" t="n">
        <f aca="false">IF(J560=1,0,Inputs!$B$13)</f>
        <v>20</v>
      </c>
      <c r="P560" s="15" t="n">
        <f aca="false">SUM(M560:N560)</f>
        <v>85</v>
      </c>
      <c r="Q560" s="15" t="n">
        <f aca="false">IF(J560=1,"",L560-P560)</f>
        <v>15</v>
      </c>
      <c r="R560" s="15" t="n">
        <f aca="false">IF(OR(J560=1,M560&lt;=Inputs!$B$12),1,0)</f>
        <v>1</v>
      </c>
      <c r="S560" s="15" t="n">
        <f aca="false">IF(OR(J560=1,N560&lt;=O560),1,0)</f>
        <v>1</v>
      </c>
      <c r="T560" s="15" t="str">
        <f aca="false">IF(J560=1,"OFFLINE",IF(AND(Q560&gt;=Inputs!$B$15,R560=1,S560=1,P560&lt;=L560),"PASS","FAIL"))</f>
        <v>PASS</v>
      </c>
    </row>
    <row r="561" customFormat="false" ht="15" hidden="false" customHeight="false" outlineLevel="0" collapsed="false">
      <c r="A561" s="14" t="s">
        <v>1024</v>
      </c>
      <c r="B561" s="14" t="s">
        <v>1019</v>
      </c>
      <c r="C561" s="14" t="s">
        <v>171</v>
      </c>
      <c r="D561" s="14" t="s">
        <v>160</v>
      </c>
      <c r="E561" s="14" t="s">
        <v>161</v>
      </c>
      <c r="F561" s="14" t="s">
        <v>150</v>
      </c>
      <c r="G561" s="14" t="n">
        <v>3</v>
      </c>
      <c r="H561" s="14" t="s">
        <v>158</v>
      </c>
      <c r="I561" s="14" t="s">
        <v>811</v>
      </c>
      <c r="J561" s="15" t="n">
        <f aca="false">IF(B561="SITE LOSS",IF(D561=C561,1,0),IF(B561="REGION LOSS",IF(E561=C561,1,0),0))</f>
        <v>0</v>
      </c>
      <c r="K561" s="15" t="n">
        <f aca="false">IF(B561="SITE LOSS",IF(COUNTIFS('Site Dockets'!$B$7:$B$24,C561,'Site Dockets'!$C$7:$C$24,F561)&gt;0,1,0),IF(B561="REGION LOSS",IF(COUNTIFS('Site Dockets'!$E$7:$E$24,C561,'Site Dockets'!$C$7:$C$24,F561)&gt;0,1,0),0))</f>
        <v>0</v>
      </c>
      <c r="L561" s="15" t="n">
        <f aca="false">IF(J561=1,0,Inputs!$B$11)</f>
        <v>100</v>
      </c>
      <c r="M561" s="15" t="n">
        <f aca="false">IF(J561=1,0,Inputs!$B$12)</f>
        <v>75</v>
      </c>
      <c r="N561" s="15" t="n">
        <f aca="false">IF(J561=1,0,IF(OR(AND(OR(B561="SITE LOSS",B561="REGION LOSS"),K561=1),AND(B561="ROLE COMPROMISE",H561=C561)),Inputs!$B$13,Inputs!$B$14))</f>
        <v>10</v>
      </c>
      <c r="O561" s="15" t="n">
        <f aca="false">IF(J561=1,0,Inputs!$B$13)</f>
        <v>20</v>
      </c>
      <c r="P561" s="15" t="n">
        <f aca="false">SUM(M561:N561)</f>
        <v>85</v>
      </c>
      <c r="Q561" s="15" t="n">
        <f aca="false">IF(J561=1,"",L561-P561)</f>
        <v>15</v>
      </c>
      <c r="R561" s="15" t="n">
        <f aca="false">IF(OR(J561=1,M561&lt;=Inputs!$B$12),1,0)</f>
        <v>1</v>
      </c>
      <c r="S561" s="15" t="n">
        <f aca="false">IF(OR(J561=1,N561&lt;=O561),1,0)</f>
        <v>1</v>
      </c>
      <c r="T561" s="15" t="str">
        <f aca="false">IF(J561=1,"OFFLINE",IF(AND(Q561&gt;=Inputs!$B$15,R561=1,S561=1,P561&lt;=L561),"PASS","FAIL"))</f>
        <v>PASS</v>
      </c>
    </row>
    <row r="562" customFormat="false" ht="15" hidden="false" customHeight="false" outlineLevel="0" collapsed="false">
      <c r="A562" s="14" t="s">
        <v>1024</v>
      </c>
      <c r="B562" s="14" t="s">
        <v>1019</v>
      </c>
      <c r="C562" s="14" t="s">
        <v>171</v>
      </c>
      <c r="D562" s="14" t="s">
        <v>160</v>
      </c>
      <c r="E562" s="14" t="s">
        <v>161</v>
      </c>
      <c r="F562" s="14" t="s">
        <v>150</v>
      </c>
      <c r="G562" s="14" t="n">
        <v>3</v>
      </c>
      <c r="H562" s="14" t="s">
        <v>158</v>
      </c>
      <c r="I562" s="14" t="s">
        <v>895</v>
      </c>
      <c r="J562" s="15" t="n">
        <f aca="false">IF(B562="SITE LOSS",IF(D562=C562,1,0),IF(B562="REGION LOSS",IF(E562=C562,1,0),0))</f>
        <v>0</v>
      </c>
      <c r="K562" s="15" t="n">
        <f aca="false">IF(B562="SITE LOSS",IF(COUNTIFS('Site Dockets'!$B$7:$B$24,C562,'Site Dockets'!$C$7:$C$24,F562)&gt;0,1,0),IF(B562="REGION LOSS",IF(COUNTIFS('Site Dockets'!$E$7:$E$24,C562,'Site Dockets'!$C$7:$C$24,F562)&gt;0,1,0),0))</f>
        <v>0</v>
      </c>
      <c r="L562" s="15" t="n">
        <f aca="false">IF(J562=1,0,Inputs!$B$11)</f>
        <v>100</v>
      </c>
      <c r="M562" s="15" t="n">
        <f aca="false">IF(J562=1,0,Inputs!$B$12)</f>
        <v>75</v>
      </c>
      <c r="N562" s="15" t="n">
        <f aca="false">IF(J562=1,0,IF(OR(AND(OR(B562="SITE LOSS",B562="REGION LOSS"),K562=1),AND(B562="ROLE COMPROMISE",H562=C562)),Inputs!$B$13,Inputs!$B$14))</f>
        <v>10</v>
      </c>
      <c r="O562" s="15" t="n">
        <f aca="false">IF(J562=1,0,Inputs!$B$13)</f>
        <v>20</v>
      </c>
      <c r="P562" s="15" t="n">
        <f aca="false">SUM(M562:N562)</f>
        <v>85</v>
      </c>
      <c r="Q562" s="15" t="n">
        <f aca="false">IF(J562=1,"",L562-P562)</f>
        <v>15</v>
      </c>
      <c r="R562" s="15" t="n">
        <f aca="false">IF(OR(J562=1,M562&lt;=Inputs!$B$12),1,0)</f>
        <v>1</v>
      </c>
      <c r="S562" s="15" t="n">
        <f aca="false">IF(OR(J562=1,N562&lt;=O562),1,0)</f>
        <v>1</v>
      </c>
      <c r="T562" s="15" t="str">
        <f aca="false">IF(J562=1,"OFFLINE",IF(AND(Q562&gt;=Inputs!$B$15,R562=1,S562=1,P562&lt;=L562),"PASS","FAIL"))</f>
        <v>PASS</v>
      </c>
    </row>
    <row r="563" customFormat="false" ht="15" hidden="false" customHeight="false" outlineLevel="0" collapsed="false">
      <c r="A563" s="14" t="s">
        <v>1024</v>
      </c>
      <c r="B563" s="14" t="s">
        <v>1019</v>
      </c>
      <c r="C563" s="14" t="s">
        <v>171</v>
      </c>
      <c r="D563" s="14" t="s">
        <v>160</v>
      </c>
      <c r="E563" s="14" t="s">
        <v>161</v>
      </c>
      <c r="F563" s="14" t="s">
        <v>150</v>
      </c>
      <c r="G563" s="14" t="n">
        <v>3</v>
      </c>
      <c r="H563" s="14" t="s">
        <v>158</v>
      </c>
      <c r="I563" s="14" t="s">
        <v>897</v>
      </c>
      <c r="J563" s="15" t="n">
        <f aca="false">IF(B563="SITE LOSS",IF(D563=C563,1,0),IF(B563="REGION LOSS",IF(E563=C563,1,0),0))</f>
        <v>0</v>
      </c>
      <c r="K563" s="15" t="n">
        <f aca="false">IF(B563="SITE LOSS",IF(COUNTIFS('Site Dockets'!$B$7:$B$24,C563,'Site Dockets'!$C$7:$C$24,F563)&gt;0,1,0),IF(B563="REGION LOSS",IF(COUNTIFS('Site Dockets'!$E$7:$E$24,C563,'Site Dockets'!$C$7:$C$24,F563)&gt;0,1,0),0))</f>
        <v>0</v>
      </c>
      <c r="L563" s="15" t="n">
        <f aca="false">IF(J563=1,0,Inputs!$B$11)</f>
        <v>100</v>
      </c>
      <c r="M563" s="15" t="n">
        <f aca="false">IF(J563=1,0,Inputs!$B$12)</f>
        <v>75</v>
      </c>
      <c r="N563" s="15" t="n">
        <f aca="false">IF(J563=1,0,IF(OR(AND(OR(B563="SITE LOSS",B563="REGION LOSS"),K563=1),AND(B563="ROLE COMPROMISE",H563=C563)),Inputs!$B$13,Inputs!$B$14))</f>
        <v>10</v>
      </c>
      <c r="O563" s="15" t="n">
        <f aca="false">IF(J563=1,0,Inputs!$B$13)</f>
        <v>20</v>
      </c>
      <c r="P563" s="15" t="n">
        <f aca="false">SUM(M563:N563)</f>
        <v>85</v>
      </c>
      <c r="Q563" s="15" t="n">
        <f aca="false">IF(J563=1,"",L563-P563)</f>
        <v>15</v>
      </c>
      <c r="R563" s="15" t="n">
        <f aca="false">IF(OR(J563=1,M563&lt;=Inputs!$B$12),1,0)</f>
        <v>1</v>
      </c>
      <c r="S563" s="15" t="n">
        <f aca="false">IF(OR(J563=1,N563&lt;=O563),1,0)</f>
        <v>1</v>
      </c>
      <c r="T563" s="15" t="str">
        <f aca="false">IF(J563=1,"OFFLINE",IF(AND(Q563&gt;=Inputs!$B$15,R563=1,S563=1,P563&lt;=L563),"PASS","FAIL"))</f>
        <v>PASS</v>
      </c>
    </row>
    <row r="564" customFormat="false" ht="15" hidden="false" customHeight="false" outlineLevel="0" collapsed="false">
      <c r="A564" s="14" t="s">
        <v>1024</v>
      </c>
      <c r="B564" s="14" t="s">
        <v>1019</v>
      </c>
      <c r="C564" s="14" t="s">
        <v>171</v>
      </c>
      <c r="D564" s="14" t="s">
        <v>160</v>
      </c>
      <c r="E564" s="14" t="s">
        <v>161</v>
      </c>
      <c r="F564" s="14" t="s">
        <v>150</v>
      </c>
      <c r="G564" s="14" t="n">
        <v>3</v>
      </c>
      <c r="H564" s="14" t="s">
        <v>158</v>
      </c>
      <c r="I564" s="14" t="s">
        <v>899</v>
      </c>
      <c r="J564" s="15" t="n">
        <f aca="false">IF(B564="SITE LOSS",IF(D564=C564,1,0),IF(B564="REGION LOSS",IF(E564=C564,1,0),0))</f>
        <v>0</v>
      </c>
      <c r="K564" s="15" t="n">
        <f aca="false">IF(B564="SITE LOSS",IF(COUNTIFS('Site Dockets'!$B$7:$B$24,C564,'Site Dockets'!$C$7:$C$24,F564)&gt;0,1,0),IF(B564="REGION LOSS",IF(COUNTIFS('Site Dockets'!$E$7:$E$24,C564,'Site Dockets'!$C$7:$C$24,F564)&gt;0,1,0),0))</f>
        <v>0</v>
      </c>
      <c r="L564" s="15" t="n">
        <f aca="false">IF(J564=1,0,Inputs!$B$11)</f>
        <v>100</v>
      </c>
      <c r="M564" s="15" t="n">
        <f aca="false">IF(J564=1,0,Inputs!$B$12)</f>
        <v>75</v>
      </c>
      <c r="N564" s="15" t="n">
        <f aca="false">IF(J564=1,0,IF(OR(AND(OR(B564="SITE LOSS",B564="REGION LOSS"),K564=1),AND(B564="ROLE COMPROMISE",H564=C564)),Inputs!$B$13,Inputs!$B$14))</f>
        <v>10</v>
      </c>
      <c r="O564" s="15" t="n">
        <f aca="false">IF(J564=1,0,Inputs!$B$13)</f>
        <v>20</v>
      </c>
      <c r="P564" s="15" t="n">
        <f aca="false">SUM(M564:N564)</f>
        <v>85</v>
      </c>
      <c r="Q564" s="15" t="n">
        <f aca="false">IF(J564=1,"",L564-P564)</f>
        <v>15</v>
      </c>
      <c r="R564" s="15" t="n">
        <f aca="false">IF(OR(J564=1,M564&lt;=Inputs!$B$12),1,0)</f>
        <v>1</v>
      </c>
      <c r="S564" s="15" t="n">
        <f aca="false">IF(OR(J564=1,N564&lt;=O564),1,0)</f>
        <v>1</v>
      </c>
      <c r="T564" s="15" t="str">
        <f aca="false">IF(J564=1,"OFFLINE",IF(AND(Q564&gt;=Inputs!$B$15,R564=1,S564=1,P564&lt;=L564),"PASS","FAIL"))</f>
        <v>PASS</v>
      </c>
    </row>
    <row r="565" customFormat="false" ht="15" hidden="false" customHeight="false" outlineLevel="0" collapsed="false">
      <c r="A565" s="14" t="s">
        <v>1024</v>
      </c>
      <c r="B565" s="14" t="s">
        <v>1019</v>
      </c>
      <c r="C565" s="14" t="s">
        <v>171</v>
      </c>
      <c r="D565" s="14" t="s">
        <v>163</v>
      </c>
      <c r="E565" s="14" t="s">
        <v>166</v>
      </c>
      <c r="F565" s="14" t="s">
        <v>164</v>
      </c>
      <c r="G565" s="14" t="n">
        <v>1</v>
      </c>
      <c r="H565" s="14" t="s">
        <v>154</v>
      </c>
      <c r="I565" s="14" t="s">
        <v>890</v>
      </c>
      <c r="J565" s="15" t="n">
        <f aca="false">IF(B565="SITE LOSS",IF(D565=C565,1,0),IF(B565="REGION LOSS",IF(E565=C565,1,0),0))</f>
        <v>0</v>
      </c>
      <c r="K565" s="15" t="n">
        <f aca="false">IF(B565="SITE LOSS",IF(COUNTIFS('Site Dockets'!$B$7:$B$24,C565,'Site Dockets'!$C$7:$C$24,F565)&gt;0,1,0),IF(B565="REGION LOSS",IF(COUNTIFS('Site Dockets'!$E$7:$E$24,C565,'Site Dockets'!$C$7:$C$24,F565)&gt;0,1,0),0))</f>
        <v>1</v>
      </c>
      <c r="L565" s="15" t="n">
        <f aca="false">IF(J565=1,0,Inputs!$B$11)</f>
        <v>100</v>
      </c>
      <c r="M565" s="15" t="n">
        <f aca="false">IF(J565=1,0,Inputs!$B$12)</f>
        <v>75</v>
      </c>
      <c r="N565" s="15" t="n">
        <f aca="false">IF(J565=1,0,IF(OR(AND(OR(B565="SITE LOSS",B565="REGION LOSS"),K565=1),AND(B565="ROLE COMPROMISE",H565=C565)),Inputs!$B$13,Inputs!$B$14))</f>
        <v>20</v>
      </c>
      <c r="O565" s="15" t="n">
        <f aca="false">IF(J565=1,0,Inputs!$B$13)</f>
        <v>20</v>
      </c>
      <c r="P565" s="15" t="n">
        <f aca="false">SUM(M565:N565)</f>
        <v>95</v>
      </c>
      <c r="Q565" s="15" t="n">
        <f aca="false">IF(J565=1,"",L565-P565)</f>
        <v>5</v>
      </c>
      <c r="R565" s="15" t="n">
        <f aca="false">IF(OR(J565=1,M565&lt;=Inputs!$B$12),1,0)</f>
        <v>1</v>
      </c>
      <c r="S565" s="15" t="n">
        <f aca="false">IF(OR(J565=1,N565&lt;=O565),1,0)</f>
        <v>1</v>
      </c>
      <c r="T565" s="15" t="str">
        <f aca="false">IF(J565=1,"OFFLINE",IF(AND(Q565&gt;=Inputs!$B$15,R565=1,S565=1,P565&lt;=L565),"PASS","FAIL"))</f>
        <v>PASS</v>
      </c>
    </row>
    <row r="566" customFormat="false" ht="15" hidden="false" customHeight="false" outlineLevel="0" collapsed="false">
      <c r="A566" s="14" t="s">
        <v>1024</v>
      </c>
      <c r="B566" s="14" t="s">
        <v>1019</v>
      </c>
      <c r="C566" s="14" t="s">
        <v>171</v>
      </c>
      <c r="D566" s="14" t="s">
        <v>163</v>
      </c>
      <c r="E566" s="14" t="s">
        <v>166</v>
      </c>
      <c r="F566" s="14" t="s">
        <v>164</v>
      </c>
      <c r="G566" s="14" t="n">
        <v>1</v>
      </c>
      <c r="H566" s="14" t="s">
        <v>154</v>
      </c>
      <c r="I566" s="14" t="s">
        <v>892</v>
      </c>
      <c r="J566" s="15" t="n">
        <f aca="false">IF(B566="SITE LOSS",IF(D566=C566,1,0),IF(B566="REGION LOSS",IF(E566=C566,1,0),0))</f>
        <v>0</v>
      </c>
      <c r="K566" s="15" t="n">
        <f aca="false">IF(B566="SITE LOSS",IF(COUNTIFS('Site Dockets'!$B$7:$B$24,C566,'Site Dockets'!$C$7:$C$24,F566)&gt;0,1,0),IF(B566="REGION LOSS",IF(COUNTIFS('Site Dockets'!$E$7:$E$24,C566,'Site Dockets'!$C$7:$C$24,F566)&gt;0,1,0),0))</f>
        <v>1</v>
      </c>
      <c r="L566" s="15" t="n">
        <f aca="false">IF(J566=1,0,Inputs!$B$11)</f>
        <v>100</v>
      </c>
      <c r="M566" s="15" t="n">
        <f aca="false">IF(J566=1,0,Inputs!$B$12)</f>
        <v>75</v>
      </c>
      <c r="N566" s="15" t="n">
        <f aca="false">IF(J566=1,0,IF(OR(AND(OR(B566="SITE LOSS",B566="REGION LOSS"),K566=1),AND(B566="ROLE COMPROMISE",H566=C566)),Inputs!$B$13,Inputs!$B$14))</f>
        <v>20</v>
      </c>
      <c r="O566" s="15" t="n">
        <f aca="false">IF(J566=1,0,Inputs!$B$13)</f>
        <v>20</v>
      </c>
      <c r="P566" s="15" t="n">
        <f aca="false">SUM(M566:N566)</f>
        <v>95</v>
      </c>
      <c r="Q566" s="15" t="n">
        <f aca="false">IF(J566=1,"",L566-P566)</f>
        <v>5</v>
      </c>
      <c r="R566" s="15" t="n">
        <f aca="false">IF(OR(J566=1,M566&lt;=Inputs!$B$12),1,0)</f>
        <v>1</v>
      </c>
      <c r="S566" s="15" t="n">
        <f aca="false">IF(OR(J566=1,N566&lt;=O566),1,0)</f>
        <v>1</v>
      </c>
      <c r="T566" s="15" t="str">
        <f aca="false">IF(J566=1,"OFFLINE",IF(AND(Q566&gt;=Inputs!$B$15,R566=1,S566=1,P566&lt;=L566),"PASS","FAIL"))</f>
        <v>PASS</v>
      </c>
    </row>
    <row r="567" customFormat="false" ht="15" hidden="false" customHeight="false" outlineLevel="0" collapsed="false">
      <c r="A567" s="14" t="s">
        <v>1024</v>
      </c>
      <c r="B567" s="14" t="s">
        <v>1019</v>
      </c>
      <c r="C567" s="14" t="s">
        <v>171</v>
      </c>
      <c r="D567" s="14" t="s">
        <v>163</v>
      </c>
      <c r="E567" s="14" t="s">
        <v>166</v>
      </c>
      <c r="F567" s="14" t="s">
        <v>164</v>
      </c>
      <c r="G567" s="14" t="n">
        <v>1</v>
      </c>
      <c r="H567" s="14" t="s">
        <v>154</v>
      </c>
      <c r="I567" s="14" t="s">
        <v>811</v>
      </c>
      <c r="J567" s="15" t="n">
        <f aca="false">IF(B567="SITE LOSS",IF(D567=C567,1,0),IF(B567="REGION LOSS",IF(E567=C567,1,0),0))</f>
        <v>0</v>
      </c>
      <c r="K567" s="15" t="n">
        <f aca="false">IF(B567="SITE LOSS",IF(COUNTIFS('Site Dockets'!$B$7:$B$24,C567,'Site Dockets'!$C$7:$C$24,F567)&gt;0,1,0),IF(B567="REGION LOSS",IF(COUNTIFS('Site Dockets'!$E$7:$E$24,C567,'Site Dockets'!$C$7:$C$24,F567)&gt;0,1,0),0))</f>
        <v>1</v>
      </c>
      <c r="L567" s="15" t="n">
        <f aca="false">IF(J567=1,0,Inputs!$B$11)</f>
        <v>100</v>
      </c>
      <c r="M567" s="15" t="n">
        <f aca="false">IF(J567=1,0,Inputs!$B$12)</f>
        <v>75</v>
      </c>
      <c r="N567" s="15" t="n">
        <f aca="false">IF(J567=1,0,IF(OR(AND(OR(B567="SITE LOSS",B567="REGION LOSS"),K567=1),AND(B567="ROLE COMPROMISE",H567=C567)),Inputs!$B$13,Inputs!$B$14))</f>
        <v>20</v>
      </c>
      <c r="O567" s="15" t="n">
        <f aca="false">IF(J567=1,0,Inputs!$B$13)</f>
        <v>20</v>
      </c>
      <c r="P567" s="15" t="n">
        <f aca="false">SUM(M567:N567)</f>
        <v>95</v>
      </c>
      <c r="Q567" s="15" t="n">
        <f aca="false">IF(J567=1,"",L567-P567)</f>
        <v>5</v>
      </c>
      <c r="R567" s="15" t="n">
        <f aca="false">IF(OR(J567=1,M567&lt;=Inputs!$B$12),1,0)</f>
        <v>1</v>
      </c>
      <c r="S567" s="15" t="n">
        <f aca="false">IF(OR(J567=1,N567&lt;=O567),1,0)</f>
        <v>1</v>
      </c>
      <c r="T567" s="15" t="str">
        <f aca="false">IF(J567=1,"OFFLINE",IF(AND(Q567&gt;=Inputs!$B$15,R567=1,S567=1,P567&lt;=L567),"PASS","FAIL"))</f>
        <v>PASS</v>
      </c>
    </row>
    <row r="568" customFormat="false" ht="15" hidden="false" customHeight="false" outlineLevel="0" collapsed="false">
      <c r="A568" s="14" t="s">
        <v>1024</v>
      </c>
      <c r="B568" s="14" t="s">
        <v>1019</v>
      </c>
      <c r="C568" s="14" t="s">
        <v>171</v>
      </c>
      <c r="D568" s="14" t="s">
        <v>163</v>
      </c>
      <c r="E568" s="14" t="s">
        <v>166</v>
      </c>
      <c r="F568" s="14" t="s">
        <v>164</v>
      </c>
      <c r="G568" s="14" t="n">
        <v>1</v>
      </c>
      <c r="H568" s="14" t="s">
        <v>154</v>
      </c>
      <c r="I568" s="14" t="s">
        <v>895</v>
      </c>
      <c r="J568" s="15" t="n">
        <f aca="false">IF(B568="SITE LOSS",IF(D568=C568,1,0),IF(B568="REGION LOSS",IF(E568=C568,1,0),0))</f>
        <v>0</v>
      </c>
      <c r="K568" s="15" t="n">
        <f aca="false">IF(B568="SITE LOSS",IF(COUNTIFS('Site Dockets'!$B$7:$B$24,C568,'Site Dockets'!$C$7:$C$24,F568)&gt;0,1,0),IF(B568="REGION LOSS",IF(COUNTIFS('Site Dockets'!$E$7:$E$24,C568,'Site Dockets'!$C$7:$C$24,F568)&gt;0,1,0),0))</f>
        <v>1</v>
      </c>
      <c r="L568" s="15" t="n">
        <f aca="false">IF(J568=1,0,Inputs!$B$11)</f>
        <v>100</v>
      </c>
      <c r="M568" s="15" t="n">
        <f aca="false">IF(J568=1,0,Inputs!$B$12)</f>
        <v>75</v>
      </c>
      <c r="N568" s="15" t="n">
        <f aca="false">IF(J568=1,0,IF(OR(AND(OR(B568="SITE LOSS",B568="REGION LOSS"),K568=1),AND(B568="ROLE COMPROMISE",H568=C568)),Inputs!$B$13,Inputs!$B$14))</f>
        <v>20</v>
      </c>
      <c r="O568" s="15" t="n">
        <f aca="false">IF(J568=1,0,Inputs!$B$13)</f>
        <v>20</v>
      </c>
      <c r="P568" s="15" t="n">
        <f aca="false">SUM(M568:N568)</f>
        <v>95</v>
      </c>
      <c r="Q568" s="15" t="n">
        <f aca="false">IF(J568=1,"",L568-P568)</f>
        <v>5</v>
      </c>
      <c r="R568" s="15" t="n">
        <f aca="false">IF(OR(J568=1,M568&lt;=Inputs!$B$12),1,0)</f>
        <v>1</v>
      </c>
      <c r="S568" s="15" t="n">
        <f aca="false">IF(OR(J568=1,N568&lt;=O568),1,0)</f>
        <v>1</v>
      </c>
      <c r="T568" s="15" t="str">
        <f aca="false">IF(J568=1,"OFFLINE",IF(AND(Q568&gt;=Inputs!$B$15,R568=1,S568=1,P568&lt;=L568),"PASS","FAIL"))</f>
        <v>PASS</v>
      </c>
    </row>
    <row r="569" customFormat="false" ht="15" hidden="false" customHeight="false" outlineLevel="0" collapsed="false">
      <c r="A569" s="14" t="s">
        <v>1024</v>
      </c>
      <c r="B569" s="14" t="s">
        <v>1019</v>
      </c>
      <c r="C569" s="14" t="s">
        <v>171</v>
      </c>
      <c r="D569" s="14" t="s">
        <v>163</v>
      </c>
      <c r="E569" s="14" t="s">
        <v>166</v>
      </c>
      <c r="F569" s="14" t="s">
        <v>164</v>
      </c>
      <c r="G569" s="14" t="n">
        <v>1</v>
      </c>
      <c r="H569" s="14" t="s">
        <v>154</v>
      </c>
      <c r="I569" s="14" t="s">
        <v>897</v>
      </c>
      <c r="J569" s="15" t="n">
        <f aca="false">IF(B569="SITE LOSS",IF(D569=C569,1,0),IF(B569="REGION LOSS",IF(E569=C569,1,0),0))</f>
        <v>0</v>
      </c>
      <c r="K569" s="15" t="n">
        <f aca="false">IF(B569="SITE LOSS",IF(COUNTIFS('Site Dockets'!$B$7:$B$24,C569,'Site Dockets'!$C$7:$C$24,F569)&gt;0,1,0),IF(B569="REGION LOSS",IF(COUNTIFS('Site Dockets'!$E$7:$E$24,C569,'Site Dockets'!$C$7:$C$24,F569)&gt;0,1,0),0))</f>
        <v>1</v>
      </c>
      <c r="L569" s="15" t="n">
        <f aca="false">IF(J569=1,0,Inputs!$B$11)</f>
        <v>100</v>
      </c>
      <c r="M569" s="15" t="n">
        <f aca="false">IF(J569=1,0,Inputs!$B$12)</f>
        <v>75</v>
      </c>
      <c r="N569" s="15" t="n">
        <f aca="false">IF(J569=1,0,IF(OR(AND(OR(B569="SITE LOSS",B569="REGION LOSS"),K569=1),AND(B569="ROLE COMPROMISE",H569=C569)),Inputs!$B$13,Inputs!$B$14))</f>
        <v>20</v>
      </c>
      <c r="O569" s="15" t="n">
        <f aca="false">IF(J569=1,0,Inputs!$B$13)</f>
        <v>20</v>
      </c>
      <c r="P569" s="15" t="n">
        <f aca="false">SUM(M569:N569)</f>
        <v>95</v>
      </c>
      <c r="Q569" s="15" t="n">
        <f aca="false">IF(J569=1,"",L569-P569)</f>
        <v>5</v>
      </c>
      <c r="R569" s="15" t="n">
        <f aca="false">IF(OR(J569=1,M569&lt;=Inputs!$B$12),1,0)</f>
        <v>1</v>
      </c>
      <c r="S569" s="15" t="n">
        <f aca="false">IF(OR(J569=1,N569&lt;=O569),1,0)</f>
        <v>1</v>
      </c>
      <c r="T569" s="15" t="str">
        <f aca="false">IF(J569=1,"OFFLINE",IF(AND(Q569&gt;=Inputs!$B$15,R569=1,S569=1,P569&lt;=L569),"PASS","FAIL"))</f>
        <v>PASS</v>
      </c>
    </row>
    <row r="570" customFormat="false" ht="15" hidden="false" customHeight="false" outlineLevel="0" collapsed="false">
      <c r="A570" s="14" t="s">
        <v>1024</v>
      </c>
      <c r="B570" s="14" t="s">
        <v>1019</v>
      </c>
      <c r="C570" s="14" t="s">
        <v>171</v>
      </c>
      <c r="D570" s="14" t="s">
        <v>163</v>
      </c>
      <c r="E570" s="14" t="s">
        <v>166</v>
      </c>
      <c r="F570" s="14" t="s">
        <v>164</v>
      </c>
      <c r="G570" s="14" t="n">
        <v>1</v>
      </c>
      <c r="H570" s="14" t="s">
        <v>154</v>
      </c>
      <c r="I570" s="14" t="s">
        <v>899</v>
      </c>
      <c r="J570" s="15" t="n">
        <f aca="false">IF(B570="SITE LOSS",IF(D570=C570,1,0),IF(B570="REGION LOSS",IF(E570=C570,1,0),0))</f>
        <v>0</v>
      </c>
      <c r="K570" s="15" t="n">
        <f aca="false">IF(B570="SITE LOSS",IF(COUNTIFS('Site Dockets'!$B$7:$B$24,C570,'Site Dockets'!$C$7:$C$24,F570)&gt;0,1,0),IF(B570="REGION LOSS",IF(COUNTIFS('Site Dockets'!$E$7:$E$24,C570,'Site Dockets'!$C$7:$C$24,F570)&gt;0,1,0),0))</f>
        <v>1</v>
      </c>
      <c r="L570" s="15" t="n">
        <f aca="false">IF(J570=1,0,Inputs!$B$11)</f>
        <v>100</v>
      </c>
      <c r="M570" s="15" t="n">
        <f aca="false">IF(J570=1,0,Inputs!$B$12)</f>
        <v>75</v>
      </c>
      <c r="N570" s="15" t="n">
        <f aca="false">IF(J570=1,0,IF(OR(AND(OR(B570="SITE LOSS",B570="REGION LOSS"),K570=1),AND(B570="ROLE COMPROMISE",H570=C570)),Inputs!$B$13,Inputs!$B$14))</f>
        <v>20</v>
      </c>
      <c r="O570" s="15" t="n">
        <f aca="false">IF(J570=1,0,Inputs!$B$13)</f>
        <v>20</v>
      </c>
      <c r="P570" s="15" t="n">
        <f aca="false">SUM(M570:N570)</f>
        <v>95</v>
      </c>
      <c r="Q570" s="15" t="n">
        <f aca="false">IF(J570=1,"",L570-P570)</f>
        <v>5</v>
      </c>
      <c r="R570" s="15" t="n">
        <f aca="false">IF(OR(J570=1,M570&lt;=Inputs!$B$12),1,0)</f>
        <v>1</v>
      </c>
      <c r="S570" s="15" t="n">
        <f aca="false">IF(OR(J570=1,N570&lt;=O570),1,0)</f>
        <v>1</v>
      </c>
      <c r="T570" s="15" t="str">
        <f aca="false">IF(J570=1,"OFFLINE",IF(AND(Q570&gt;=Inputs!$B$15,R570=1,S570=1,P570&lt;=L570),"PASS","FAIL"))</f>
        <v>PASS</v>
      </c>
    </row>
    <row r="571" customFormat="false" ht="15" hidden="false" customHeight="false" outlineLevel="0" collapsed="false">
      <c r="A571" s="14" t="s">
        <v>1024</v>
      </c>
      <c r="B571" s="14" t="s">
        <v>1019</v>
      </c>
      <c r="C571" s="14" t="s">
        <v>171</v>
      </c>
      <c r="D571" s="14" t="s">
        <v>168</v>
      </c>
      <c r="E571" s="14" t="s">
        <v>169</v>
      </c>
      <c r="F571" s="14" t="s">
        <v>164</v>
      </c>
      <c r="G571" s="14" t="n">
        <v>2</v>
      </c>
      <c r="H571" s="14" t="s">
        <v>153</v>
      </c>
      <c r="I571" s="14" t="s">
        <v>890</v>
      </c>
      <c r="J571" s="15" t="n">
        <f aca="false">IF(B571="SITE LOSS",IF(D571=C571,1,0),IF(B571="REGION LOSS",IF(E571=C571,1,0),0))</f>
        <v>0</v>
      </c>
      <c r="K571" s="15" t="n">
        <f aca="false">IF(B571="SITE LOSS",IF(COUNTIFS('Site Dockets'!$B$7:$B$24,C571,'Site Dockets'!$C$7:$C$24,F571)&gt;0,1,0),IF(B571="REGION LOSS",IF(COUNTIFS('Site Dockets'!$E$7:$E$24,C571,'Site Dockets'!$C$7:$C$24,F571)&gt;0,1,0),0))</f>
        <v>1</v>
      </c>
      <c r="L571" s="15" t="n">
        <f aca="false">IF(J571=1,0,Inputs!$B$11)</f>
        <v>100</v>
      </c>
      <c r="M571" s="15" t="n">
        <f aca="false">IF(J571=1,0,Inputs!$B$12)</f>
        <v>75</v>
      </c>
      <c r="N571" s="15" t="n">
        <f aca="false">IF(J571=1,0,IF(OR(AND(OR(B571="SITE LOSS",B571="REGION LOSS"),K571=1),AND(B571="ROLE COMPROMISE",H571=C571)),Inputs!$B$13,Inputs!$B$14))</f>
        <v>20</v>
      </c>
      <c r="O571" s="15" t="n">
        <f aca="false">IF(J571=1,0,Inputs!$B$13)</f>
        <v>20</v>
      </c>
      <c r="P571" s="15" t="n">
        <f aca="false">SUM(M571:N571)</f>
        <v>95</v>
      </c>
      <c r="Q571" s="15" t="n">
        <f aca="false">IF(J571=1,"",L571-P571)</f>
        <v>5</v>
      </c>
      <c r="R571" s="15" t="n">
        <f aca="false">IF(OR(J571=1,M571&lt;=Inputs!$B$12),1,0)</f>
        <v>1</v>
      </c>
      <c r="S571" s="15" t="n">
        <f aca="false">IF(OR(J571=1,N571&lt;=O571),1,0)</f>
        <v>1</v>
      </c>
      <c r="T571" s="15" t="str">
        <f aca="false">IF(J571=1,"OFFLINE",IF(AND(Q571&gt;=Inputs!$B$15,R571=1,S571=1,P571&lt;=L571),"PASS","FAIL"))</f>
        <v>PASS</v>
      </c>
    </row>
    <row r="572" customFormat="false" ht="15" hidden="false" customHeight="false" outlineLevel="0" collapsed="false">
      <c r="A572" s="14" t="s">
        <v>1024</v>
      </c>
      <c r="B572" s="14" t="s">
        <v>1019</v>
      </c>
      <c r="C572" s="14" t="s">
        <v>171</v>
      </c>
      <c r="D572" s="14" t="s">
        <v>168</v>
      </c>
      <c r="E572" s="14" t="s">
        <v>169</v>
      </c>
      <c r="F572" s="14" t="s">
        <v>164</v>
      </c>
      <c r="G572" s="14" t="n">
        <v>2</v>
      </c>
      <c r="H572" s="14" t="s">
        <v>153</v>
      </c>
      <c r="I572" s="14" t="s">
        <v>892</v>
      </c>
      <c r="J572" s="15" t="n">
        <f aca="false">IF(B572="SITE LOSS",IF(D572=C572,1,0),IF(B572="REGION LOSS",IF(E572=C572,1,0),0))</f>
        <v>0</v>
      </c>
      <c r="K572" s="15" t="n">
        <f aca="false">IF(B572="SITE LOSS",IF(COUNTIFS('Site Dockets'!$B$7:$B$24,C572,'Site Dockets'!$C$7:$C$24,F572)&gt;0,1,0),IF(B572="REGION LOSS",IF(COUNTIFS('Site Dockets'!$E$7:$E$24,C572,'Site Dockets'!$C$7:$C$24,F572)&gt;0,1,0),0))</f>
        <v>1</v>
      </c>
      <c r="L572" s="15" t="n">
        <f aca="false">IF(J572=1,0,Inputs!$B$11)</f>
        <v>100</v>
      </c>
      <c r="M572" s="15" t="n">
        <f aca="false">IF(J572=1,0,Inputs!$B$12)</f>
        <v>75</v>
      </c>
      <c r="N572" s="15" t="n">
        <f aca="false">IF(J572=1,0,IF(OR(AND(OR(B572="SITE LOSS",B572="REGION LOSS"),K572=1),AND(B572="ROLE COMPROMISE",H572=C572)),Inputs!$B$13,Inputs!$B$14))</f>
        <v>20</v>
      </c>
      <c r="O572" s="15" t="n">
        <f aca="false">IF(J572=1,0,Inputs!$B$13)</f>
        <v>20</v>
      </c>
      <c r="P572" s="15" t="n">
        <f aca="false">SUM(M572:N572)</f>
        <v>95</v>
      </c>
      <c r="Q572" s="15" t="n">
        <f aca="false">IF(J572=1,"",L572-P572)</f>
        <v>5</v>
      </c>
      <c r="R572" s="15" t="n">
        <f aca="false">IF(OR(J572=1,M572&lt;=Inputs!$B$12),1,0)</f>
        <v>1</v>
      </c>
      <c r="S572" s="15" t="n">
        <f aca="false">IF(OR(J572=1,N572&lt;=O572),1,0)</f>
        <v>1</v>
      </c>
      <c r="T572" s="15" t="str">
        <f aca="false">IF(J572=1,"OFFLINE",IF(AND(Q572&gt;=Inputs!$B$15,R572=1,S572=1,P572&lt;=L572),"PASS","FAIL"))</f>
        <v>PASS</v>
      </c>
    </row>
    <row r="573" customFormat="false" ht="15" hidden="false" customHeight="false" outlineLevel="0" collapsed="false">
      <c r="A573" s="14" t="s">
        <v>1024</v>
      </c>
      <c r="B573" s="14" t="s">
        <v>1019</v>
      </c>
      <c r="C573" s="14" t="s">
        <v>171</v>
      </c>
      <c r="D573" s="14" t="s">
        <v>168</v>
      </c>
      <c r="E573" s="14" t="s">
        <v>169</v>
      </c>
      <c r="F573" s="14" t="s">
        <v>164</v>
      </c>
      <c r="G573" s="14" t="n">
        <v>2</v>
      </c>
      <c r="H573" s="14" t="s">
        <v>153</v>
      </c>
      <c r="I573" s="14" t="s">
        <v>811</v>
      </c>
      <c r="J573" s="15" t="n">
        <f aca="false">IF(B573="SITE LOSS",IF(D573=C573,1,0),IF(B573="REGION LOSS",IF(E573=C573,1,0),0))</f>
        <v>0</v>
      </c>
      <c r="K573" s="15" t="n">
        <f aca="false">IF(B573="SITE LOSS",IF(COUNTIFS('Site Dockets'!$B$7:$B$24,C573,'Site Dockets'!$C$7:$C$24,F573)&gt;0,1,0),IF(B573="REGION LOSS",IF(COUNTIFS('Site Dockets'!$E$7:$E$24,C573,'Site Dockets'!$C$7:$C$24,F573)&gt;0,1,0),0))</f>
        <v>1</v>
      </c>
      <c r="L573" s="15" t="n">
        <f aca="false">IF(J573=1,0,Inputs!$B$11)</f>
        <v>100</v>
      </c>
      <c r="M573" s="15" t="n">
        <f aca="false">IF(J573=1,0,Inputs!$B$12)</f>
        <v>75</v>
      </c>
      <c r="N573" s="15" t="n">
        <f aca="false">IF(J573=1,0,IF(OR(AND(OR(B573="SITE LOSS",B573="REGION LOSS"),K573=1),AND(B573="ROLE COMPROMISE",H573=C573)),Inputs!$B$13,Inputs!$B$14))</f>
        <v>20</v>
      </c>
      <c r="O573" s="15" t="n">
        <f aca="false">IF(J573=1,0,Inputs!$B$13)</f>
        <v>20</v>
      </c>
      <c r="P573" s="15" t="n">
        <f aca="false">SUM(M573:N573)</f>
        <v>95</v>
      </c>
      <c r="Q573" s="15" t="n">
        <f aca="false">IF(J573=1,"",L573-P573)</f>
        <v>5</v>
      </c>
      <c r="R573" s="15" t="n">
        <f aca="false">IF(OR(J573=1,M573&lt;=Inputs!$B$12),1,0)</f>
        <v>1</v>
      </c>
      <c r="S573" s="15" t="n">
        <f aca="false">IF(OR(J573=1,N573&lt;=O573),1,0)</f>
        <v>1</v>
      </c>
      <c r="T573" s="15" t="str">
        <f aca="false">IF(J573=1,"OFFLINE",IF(AND(Q573&gt;=Inputs!$B$15,R573=1,S573=1,P573&lt;=L573),"PASS","FAIL"))</f>
        <v>PASS</v>
      </c>
    </row>
    <row r="574" customFormat="false" ht="15" hidden="false" customHeight="false" outlineLevel="0" collapsed="false">
      <c r="A574" s="14" t="s">
        <v>1024</v>
      </c>
      <c r="B574" s="14" t="s">
        <v>1019</v>
      </c>
      <c r="C574" s="14" t="s">
        <v>171</v>
      </c>
      <c r="D574" s="14" t="s">
        <v>168</v>
      </c>
      <c r="E574" s="14" t="s">
        <v>169</v>
      </c>
      <c r="F574" s="14" t="s">
        <v>164</v>
      </c>
      <c r="G574" s="14" t="n">
        <v>2</v>
      </c>
      <c r="H574" s="14" t="s">
        <v>153</v>
      </c>
      <c r="I574" s="14" t="s">
        <v>895</v>
      </c>
      <c r="J574" s="15" t="n">
        <f aca="false">IF(B574="SITE LOSS",IF(D574=C574,1,0),IF(B574="REGION LOSS",IF(E574=C574,1,0),0))</f>
        <v>0</v>
      </c>
      <c r="K574" s="15" t="n">
        <f aca="false">IF(B574="SITE LOSS",IF(COUNTIFS('Site Dockets'!$B$7:$B$24,C574,'Site Dockets'!$C$7:$C$24,F574)&gt;0,1,0),IF(B574="REGION LOSS",IF(COUNTIFS('Site Dockets'!$E$7:$E$24,C574,'Site Dockets'!$C$7:$C$24,F574)&gt;0,1,0),0))</f>
        <v>1</v>
      </c>
      <c r="L574" s="15" t="n">
        <f aca="false">IF(J574=1,0,Inputs!$B$11)</f>
        <v>100</v>
      </c>
      <c r="M574" s="15" t="n">
        <f aca="false">IF(J574=1,0,Inputs!$B$12)</f>
        <v>75</v>
      </c>
      <c r="N574" s="15" t="n">
        <f aca="false">IF(J574=1,0,IF(OR(AND(OR(B574="SITE LOSS",B574="REGION LOSS"),K574=1),AND(B574="ROLE COMPROMISE",H574=C574)),Inputs!$B$13,Inputs!$B$14))</f>
        <v>20</v>
      </c>
      <c r="O574" s="15" t="n">
        <f aca="false">IF(J574=1,0,Inputs!$B$13)</f>
        <v>20</v>
      </c>
      <c r="P574" s="15" t="n">
        <f aca="false">SUM(M574:N574)</f>
        <v>95</v>
      </c>
      <c r="Q574" s="15" t="n">
        <f aca="false">IF(J574=1,"",L574-P574)</f>
        <v>5</v>
      </c>
      <c r="R574" s="15" t="n">
        <f aca="false">IF(OR(J574=1,M574&lt;=Inputs!$B$12),1,0)</f>
        <v>1</v>
      </c>
      <c r="S574" s="15" t="n">
        <f aca="false">IF(OR(J574=1,N574&lt;=O574),1,0)</f>
        <v>1</v>
      </c>
      <c r="T574" s="15" t="str">
        <f aca="false">IF(J574=1,"OFFLINE",IF(AND(Q574&gt;=Inputs!$B$15,R574=1,S574=1,P574&lt;=L574),"PASS","FAIL"))</f>
        <v>PASS</v>
      </c>
    </row>
    <row r="575" customFormat="false" ht="15" hidden="false" customHeight="false" outlineLevel="0" collapsed="false">
      <c r="A575" s="14" t="s">
        <v>1024</v>
      </c>
      <c r="B575" s="14" t="s">
        <v>1019</v>
      </c>
      <c r="C575" s="14" t="s">
        <v>171</v>
      </c>
      <c r="D575" s="14" t="s">
        <v>168</v>
      </c>
      <c r="E575" s="14" t="s">
        <v>169</v>
      </c>
      <c r="F575" s="14" t="s">
        <v>164</v>
      </c>
      <c r="G575" s="14" t="n">
        <v>2</v>
      </c>
      <c r="H575" s="14" t="s">
        <v>153</v>
      </c>
      <c r="I575" s="14" t="s">
        <v>897</v>
      </c>
      <c r="J575" s="15" t="n">
        <f aca="false">IF(B575="SITE LOSS",IF(D575=C575,1,0),IF(B575="REGION LOSS",IF(E575=C575,1,0),0))</f>
        <v>0</v>
      </c>
      <c r="K575" s="15" t="n">
        <f aca="false">IF(B575="SITE LOSS",IF(COUNTIFS('Site Dockets'!$B$7:$B$24,C575,'Site Dockets'!$C$7:$C$24,F575)&gt;0,1,0),IF(B575="REGION LOSS",IF(COUNTIFS('Site Dockets'!$E$7:$E$24,C575,'Site Dockets'!$C$7:$C$24,F575)&gt;0,1,0),0))</f>
        <v>1</v>
      </c>
      <c r="L575" s="15" t="n">
        <f aca="false">IF(J575=1,0,Inputs!$B$11)</f>
        <v>100</v>
      </c>
      <c r="M575" s="15" t="n">
        <f aca="false">IF(J575=1,0,Inputs!$B$12)</f>
        <v>75</v>
      </c>
      <c r="N575" s="15" t="n">
        <f aca="false">IF(J575=1,0,IF(OR(AND(OR(B575="SITE LOSS",B575="REGION LOSS"),K575=1),AND(B575="ROLE COMPROMISE",H575=C575)),Inputs!$B$13,Inputs!$B$14))</f>
        <v>20</v>
      </c>
      <c r="O575" s="15" t="n">
        <f aca="false">IF(J575=1,0,Inputs!$B$13)</f>
        <v>20</v>
      </c>
      <c r="P575" s="15" t="n">
        <f aca="false">SUM(M575:N575)</f>
        <v>95</v>
      </c>
      <c r="Q575" s="15" t="n">
        <f aca="false">IF(J575=1,"",L575-P575)</f>
        <v>5</v>
      </c>
      <c r="R575" s="15" t="n">
        <f aca="false">IF(OR(J575=1,M575&lt;=Inputs!$B$12),1,0)</f>
        <v>1</v>
      </c>
      <c r="S575" s="15" t="n">
        <f aca="false">IF(OR(J575=1,N575&lt;=O575),1,0)</f>
        <v>1</v>
      </c>
      <c r="T575" s="15" t="str">
        <f aca="false">IF(J575=1,"OFFLINE",IF(AND(Q575&gt;=Inputs!$B$15,R575=1,S575=1,P575&lt;=L575),"PASS","FAIL"))</f>
        <v>PASS</v>
      </c>
    </row>
    <row r="576" customFormat="false" ht="15" hidden="false" customHeight="false" outlineLevel="0" collapsed="false">
      <c r="A576" s="14" t="s">
        <v>1024</v>
      </c>
      <c r="B576" s="14" t="s">
        <v>1019</v>
      </c>
      <c r="C576" s="14" t="s">
        <v>171</v>
      </c>
      <c r="D576" s="14" t="s">
        <v>168</v>
      </c>
      <c r="E576" s="14" t="s">
        <v>169</v>
      </c>
      <c r="F576" s="14" t="s">
        <v>164</v>
      </c>
      <c r="G576" s="14" t="n">
        <v>2</v>
      </c>
      <c r="H576" s="14" t="s">
        <v>153</v>
      </c>
      <c r="I576" s="14" t="s">
        <v>899</v>
      </c>
      <c r="J576" s="15" t="n">
        <f aca="false">IF(B576="SITE LOSS",IF(D576=C576,1,0),IF(B576="REGION LOSS",IF(E576=C576,1,0),0))</f>
        <v>0</v>
      </c>
      <c r="K576" s="15" t="n">
        <f aca="false">IF(B576="SITE LOSS",IF(COUNTIFS('Site Dockets'!$B$7:$B$24,C576,'Site Dockets'!$C$7:$C$24,F576)&gt;0,1,0),IF(B576="REGION LOSS",IF(COUNTIFS('Site Dockets'!$E$7:$E$24,C576,'Site Dockets'!$C$7:$C$24,F576)&gt;0,1,0),0))</f>
        <v>1</v>
      </c>
      <c r="L576" s="15" t="n">
        <f aca="false">IF(J576=1,0,Inputs!$B$11)</f>
        <v>100</v>
      </c>
      <c r="M576" s="15" t="n">
        <f aca="false">IF(J576=1,0,Inputs!$B$12)</f>
        <v>75</v>
      </c>
      <c r="N576" s="15" t="n">
        <f aca="false">IF(J576=1,0,IF(OR(AND(OR(B576="SITE LOSS",B576="REGION LOSS"),K576=1),AND(B576="ROLE COMPROMISE",H576=C576)),Inputs!$B$13,Inputs!$B$14))</f>
        <v>20</v>
      </c>
      <c r="O576" s="15" t="n">
        <f aca="false">IF(J576=1,0,Inputs!$B$13)</f>
        <v>20</v>
      </c>
      <c r="P576" s="15" t="n">
        <f aca="false">SUM(M576:N576)</f>
        <v>95</v>
      </c>
      <c r="Q576" s="15" t="n">
        <f aca="false">IF(J576=1,"",L576-P576)</f>
        <v>5</v>
      </c>
      <c r="R576" s="15" t="n">
        <f aca="false">IF(OR(J576=1,M576&lt;=Inputs!$B$12),1,0)</f>
        <v>1</v>
      </c>
      <c r="S576" s="15" t="n">
        <f aca="false">IF(OR(J576=1,N576&lt;=O576),1,0)</f>
        <v>1</v>
      </c>
      <c r="T576" s="15" t="str">
        <f aca="false">IF(J576=1,"OFFLINE",IF(AND(Q576&gt;=Inputs!$B$15,R576=1,S576=1,P576&lt;=L576),"PASS","FAIL"))</f>
        <v>PASS</v>
      </c>
    </row>
    <row r="577" customFormat="false" ht="15" hidden="false" customHeight="false" outlineLevel="0" collapsed="false">
      <c r="A577" s="14" t="s">
        <v>1024</v>
      </c>
      <c r="B577" s="14" t="s">
        <v>1019</v>
      </c>
      <c r="C577" s="14" t="s">
        <v>171</v>
      </c>
      <c r="D577" s="14" t="s">
        <v>171</v>
      </c>
      <c r="E577" s="14" t="s">
        <v>172</v>
      </c>
      <c r="F577" s="14" t="s">
        <v>164</v>
      </c>
      <c r="G577" s="14" t="n">
        <v>3</v>
      </c>
      <c r="H577" s="14" t="s">
        <v>158</v>
      </c>
      <c r="I577" s="14" t="s">
        <v>890</v>
      </c>
      <c r="J577" s="15" t="n">
        <f aca="false">IF(B577="SITE LOSS",IF(D577=C577,1,0),IF(B577="REGION LOSS",IF(E577=C577,1,0),0))</f>
        <v>1</v>
      </c>
      <c r="K577" s="15" t="n">
        <f aca="false">IF(B577="SITE LOSS",IF(COUNTIFS('Site Dockets'!$B$7:$B$24,C577,'Site Dockets'!$C$7:$C$24,F577)&gt;0,1,0),IF(B577="REGION LOSS",IF(COUNTIFS('Site Dockets'!$E$7:$E$24,C577,'Site Dockets'!$C$7:$C$24,F577)&gt;0,1,0),0))</f>
        <v>1</v>
      </c>
      <c r="L577" s="15" t="n">
        <f aca="false">IF(J577=1,0,Inputs!$B$11)</f>
        <v>0</v>
      </c>
      <c r="M577" s="15" t="n">
        <f aca="false">IF(J577=1,0,Inputs!$B$12)</f>
        <v>0</v>
      </c>
      <c r="N577" s="15" t="n">
        <f aca="false">IF(J577=1,0,IF(OR(AND(OR(B577="SITE LOSS",B577="REGION LOSS"),K577=1),AND(B577="ROLE COMPROMISE",H577=C577)),Inputs!$B$13,Inputs!$B$14))</f>
        <v>0</v>
      </c>
      <c r="O577" s="15" t="n">
        <f aca="false">IF(J577=1,0,Inputs!$B$13)</f>
        <v>0</v>
      </c>
      <c r="P577" s="15" t="n">
        <f aca="false">SUM(M577:N577)</f>
        <v>0</v>
      </c>
      <c r="Q577" s="15" t="str">
        <f aca="false">IF(J577=1,"",L577-P577)</f>
        <v/>
      </c>
      <c r="R577" s="15" t="n">
        <f aca="false">IF(OR(J577=1,M577&lt;=Inputs!$B$12),1,0)</f>
        <v>1</v>
      </c>
      <c r="S577" s="15" t="n">
        <f aca="false">IF(OR(J577=1,N577&lt;=O577),1,0)</f>
        <v>1</v>
      </c>
      <c r="T577" s="15" t="str">
        <f aca="false">IF(J577=1,"OFFLINE",IF(AND(Q577&gt;=Inputs!$B$15,R577=1,S577=1,P577&lt;=L577),"PASS","FAIL"))</f>
        <v>OFFLINE</v>
      </c>
    </row>
    <row r="578" customFormat="false" ht="15" hidden="false" customHeight="false" outlineLevel="0" collapsed="false">
      <c r="A578" s="14" t="s">
        <v>1024</v>
      </c>
      <c r="B578" s="14" t="s">
        <v>1019</v>
      </c>
      <c r="C578" s="14" t="s">
        <v>171</v>
      </c>
      <c r="D578" s="14" t="s">
        <v>171</v>
      </c>
      <c r="E578" s="14" t="s">
        <v>172</v>
      </c>
      <c r="F578" s="14" t="s">
        <v>164</v>
      </c>
      <c r="G578" s="14" t="n">
        <v>3</v>
      </c>
      <c r="H578" s="14" t="s">
        <v>158</v>
      </c>
      <c r="I578" s="14" t="s">
        <v>892</v>
      </c>
      <c r="J578" s="15" t="n">
        <f aca="false">IF(B578="SITE LOSS",IF(D578=C578,1,0),IF(B578="REGION LOSS",IF(E578=C578,1,0),0))</f>
        <v>1</v>
      </c>
      <c r="K578" s="15" t="n">
        <f aca="false">IF(B578="SITE LOSS",IF(COUNTIFS('Site Dockets'!$B$7:$B$24,C578,'Site Dockets'!$C$7:$C$24,F578)&gt;0,1,0),IF(B578="REGION LOSS",IF(COUNTIFS('Site Dockets'!$E$7:$E$24,C578,'Site Dockets'!$C$7:$C$24,F578)&gt;0,1,0),0))</f>
        <v>1</v>
      </c>
      <c r="L578" s="15" t="n">
        <f aca="false">IF(J578=1,0,Inputs!$B$11)</f>
        <v>0</v>
      </c>
      <c r="M578" s="15" t="n">
        <f aca="false">IF(J578=1,0,Inputs!$B$12)</f>
        <v>0</v>
      </c>
      <c r="N578" s="15" t="n">
        <f aca="false">IF(J578=1,0,IF(OR(AND(OR(B578="SITE LOSS",B578="REGION LOSS"),K578=1),AND(B578="ROLE COMPROMISE",H578=C578)),Inputs!$B$13,Inputs!$B$14))</f>
        <v>0</v>
      </c>
      <c r="O578" s="15" t="n">
        <f aca="false">IF(J578=1,0,Inputs!$B$13)</f>
        <v>0</v>
      </c>
      <c r="P578" s="15" t="n">
        <f aca="false">SUM(M578:N578)</f>
        <v>0</v>
      </c>
      <c r="Q578" s="15" t="str">
        <f aca="false">IF(J578=1,"",L578-P578)</f>
        <v/>
      </c>
      <c r="R578" s="15" t="n">
        <f aca="false">IF(OR(J578=1,M578&lt;=Inputs!$B$12),1,0)</f>
        <v>1</v>
      </c>
      <c r="S578" s="15" t="n">
        <f aca="false">IF(OR(J578=1,N578&lt;=O578),1,0)</f>
        <v>1</v>
      </c>
      <c r="T578" s="15" t="str">
        <f aca="false">IF(J578=1,"OFFLINE",IF(AND(Q578&gt;=Inputs!$B$15,R578=1,S578=1,P578&lt;=L578),"PASS","FAIL"))</f>
        <v>OFFLINE</v>
      </c>
    </row>
    <row r="579" customFormat="false" ht="15" hidden="false" customHeight="false" outlineLevel="0" collapsed="false">
      <c r="A579" s="14" t="s">
        <v>1024</v>
      </c>
      <c r="B579" s="14" t="s">
        <v>1019</v>
      </c>
      <c r="C579" s="14" t="s">
        <v>171</v>
      </c>
      <c r="D579" s="14" t="s">
        <v>171</v>
      </c>
      <c r="E579" s="14" t="s">
        <v>172</v>
      </c>
      <c r="F579" s="14" t="s">
        <v>164</v>
      </c>
      <c r="G579" s="14" t="n">
        <v>3</v>
      </c>
      <c r="H579" s="14" t="s">
        <v>158</v>
      </c>
      <c r="I579" s="14" t="s">
        <v>811</v>
      </c>
      <c r="J579" s="15" t="n">
        <f aca="false">IF(B579="SITE LOSS",IF(D579=C579,1,0),IF(B579="REGION LOSS",IF(E579=C579,1,0),0))</f>
        <v>1</v>
      </c>
      <c r="K579" s="15" t="n">
        <f aca="false">IF(B579="SITE LOSS",IF(COUNTIFS('Site Dockets'!$B$7:$B$24,C579,'Site Dockets'!$C$7:$C$24,F579)&gt;0,1,0),IF(B579="REGION LOSS",IF(COUNTIFS('Site Dockets'!$E$7:$E$24,C579,'Site Dockets'!$C$7:$C$24,F579)&gt;0,1,0),0))</f>
        <v>1</v>
      </c>
      <c r="L579" s="15" t="n">
        <f aca="false">IF(J579=1,0,Inputs!$B$11)</f>
        <v>0</v>
      </c>
      <c r="M579" s="15" t="n">
        <f aca="false">IF(J579=1,0,Inputs!$B$12)</f>
        <v>0</v>
      </c>
      <c r="N579" s="15" t="n">
        <f aca="false">IF(J579=1,0,IF(OR(AND(OR(B579="SITE LOSS",B579="REGION LOSS"),K579=1),AND(B579="ROLE COMPROMISE",H579=C579)),Inputs!$B$13,Inputs!$B$14))</f>
        <v>0</v>
      </c>
      <c r="O579" s="15" t="n">
        <f aca="false">IF(J579=1,0,Inputs!$B$13)</f>
        <v>0</v>
      </c>
      <c r="P579" s="15" t="n">
        <f aca="false">SUM(M579:N579)</f>
        <v>0</v>
      </c>
      <c r="Q579" s="15" t="str">
        <f aca="false">IF(J579=1,"",L579-P579)</f>
        <v/>
      </c>
      <c r="R579" s="15" t="n">
        <f aca="false">IF(OR(J579=1,M579&lt;=Inputs!$B$12),1,0)</f>
        <v>1</v>
      </c>
      <c r="S579" s="15" t="n">
        <f aca="false">IF(OR(J579=1,N579&lt;=O579),1,0)</f>
        <v>1</v>
      </c>
      <c r="T579" s="15" t="str">
        <f aca="false">IF(J579=1,"OFFLINE",IF(AND(Q579&gt;=Inputs!$B$15,R579=1,S579=1,P579&lt;=L579),"PASS","FAIL"))</f>
        <v>OFFLINE</v>
      </c>
    </row>
    <row r="580" customFormat="false" ht="15" hidden="false" customHeight="false" outlineLevel="0" collapsed="false">
      <c r="A580" s="14" t="s">
        <v>1024</v>
      </c>
      <c r="B580" s="14" t="s">
        <v>1019</v>
      </c>
      <c r="C580" s="14" t="s">
        <v>171</v>
      </c>
      <c r="D580" s="14" t="s">
        <v>171</v>
      </c>
      <c r="E580" s="14" t="s">
        <v>172</v>
      </c>
      <c r="F580" s="14" t="s">
        <v>164</v>
      </c>
      <c r="G580" s="14" t="n">
        <v>3</v>
      </c>
      <c r="H580" s="14" t="s">
        <v>158</v>
      </c>
      <c r="I580" s="14" t="s">
        <v>895</v>
      </c>
      <c r="J580" s="15" t="n">
        <f aca="false">IF(B580="SITE LOSS",IF(D580=C580,1,0),IF(B580="REGION LOSS",IF(E580=C580,1,0),0))</f>
        <v>1</v>
      </c>
      <c r="K580" s="15" t="n">
        <f aca="false">IF(B580="SITE LOSS",IF(COUNTIFS('Site Dockets'!$B$7:$B$24,C580,'Site Dockets'!$C$7:$C$24,F580)&gt;0,1,0),IF(B580="REGION LOSS",IF(COUNTIFS('Site Dockets'!$E$7:$E$24,C580,'Site Dockets'!$C$7:$C$24,F580)&gt;0,1,0),0))</f>
        <v>1</v>
      </c>
      <c r="L580" s="15" t="n">
        <f aca="false">IF(J580=1,0,Inputs!$B$11)</f>
        <v>0</v>
      </c>
      <c r="M580" s="15" t="n">
        <f aca="false">IF(J580=1,0,Inputs!$B$12)</f>
        <v>0</v>
      </c>
      <c r="N580" s="15" t="n">
        <f aca="false">IF(J580=1,0,IF(OR(AND(OR(B580="SITE LOSS",B580="REGION LOSS"),K580=1),AND(B580="ROLE COMPROMISE",H580=C580)),Inputs!$B$13,Inputs!$B$14))</f>
        <v>0</v>
      </c>
      <c r="O580" s="15" t="n">
        <f aca="false">IF(J580=1,0,Inputs!$B$13)</f>
        <v>0</v>
      </c>
      <c r="P580" s="15" t="n">
        <f aca="false">SUM(M580:N580)</f>
        <v>0</v>
      </c>
      <c r="Q580" s="15" t="str">
        <f aca="false">IF(J580=1,"",L580-P580)</f>
        <v/>
      </c>
      <c r="R580" s="15" t="n">
        <f aca="false">IF(OR(J580=1,M580&lt;=Inputs!$B$12),1,0)</f>
        <v>1</v>
      </c>
      <c r="S580" s="15" t="n">
        <f aca="false">IF(OR(J580=1,N580&lt;=O580),1,0)</f>
        <v>1</v>
      </c>
      <c r="T580" s="15" t="str">
        <f aca="false">IF(J580=1,"OFFLINE",IF(AND(Q580&gt;=Inputs!$B$15,R580=1,S580=1,P580&lt;=L580),"PASS","FAIL"))</f>
        <v>OFFLINE</v>
      </c>
    </row>
    <row r="581" customFormat="false" ht="15" hidden="false" customHeight="false" outlineLevel="0" collapsed="false">
      <c r="A581" s="14" t="s">
        <v>1024</v>
      </c>
      <c r="B581" s="14" t="s">
        <v>1019</v>
      </c>
      <c r="C581" s="14" t="s">
        <v>171</v>
      </c>
      <c r="D581" s="14" t="s">
        <v>171</v>
      </c>
      <c r="E581" s="14" t="s">
        <v>172</v>
      </c>
      <c r="F581" s="14" t="s">
        <v>164</v>
      </c>
      <c r="G581" s="14" t="n">
        <v>3</v>
      </c>
      <c r="H581" s="14" t="s">
        <v>158</v>
      </c>
      <c r="I581" s="14" t="s">
        <v>897</v>
      </c>
      <c r="J581" s="15" t="n">
        <f aca="false">IF(B581="SITE LOSS",IF(D581=C581,1,0),IF(B581="REGION LOSS",IF(E581=C581,1,0),0))</f>
        <v>1</v>
      </c>
      <c r="K581" s="15" t="n">
        <f aca="false">IF(B581="SITE LOSS",IF(COUNTIFS('Site Dockets'!$B$7:$B$24,C581,'Site Dockets'!$C$7:$C$24,F581)&gt;0,1,0),IF(B581="REGION LOSS",IF(COUNTIFS('Site Dockets'!$E$7:$E$24,C581,'Site Dockets'!$C$7:$C$24,F581)&gt;0,1,0),0))</f>
        <v>1</v>
      </c>
      <c r="L581" s="15" t="n">
        <f aca="false">IF(J581=1,0,Inputs!$B$11)</f>
        <v>0</v>
      </c>
      <c r="M581" s="15" t="n">
        <f aca="false">IF(J581=1,0,Inputs!$B$12)</f>
        <v>0</v>
      </c>
      <c r="N581" s="15" t="n">
        <f aca="false">IF(J581=1,0,IF(OR(AND(OR(B581="SITE LOSS",B581="REGION LOSS"),K581=1),AND(B581="ROLE COMPROMISE",H581=C581)),Inputs!$B$13,Inputs!$B$14))</f>
        <v>0</v>
      </c>
      <c r="O581" s="15" t="n">
        <f aca="false">IF(J581=1,0,Inputs!$B$13)</f>
        <v>0</v>
      </c>
      <c r="P581" s="15" t="n">
        <f aca="false">SUM(M581:N581)</f>
        <v>0</v>
      </c>
      <c r="Q581" s="15" t="str">
        <f aca="false">IF(J581=1,"",L581-P581)</f>
        <v/>
      </c>
      <c r="R581" s="15" t="n">
        <f aca="false">IF(OR(J581=1,M581&lt;=Inputs!$B$12),1,0)</f>
        <v>1</v>
      </c>
      <c r="S581" s="15" t="n">
        <f aca="false">IF(OR(J581=1,N581&lt;=O581),1,0)</f>
        <v>1</v>
      </c>
      <c r="T581" s="15" t="str">
        <f aca="false">IF(J581=1,"OFFLINE",IF(AND(Q581&gt;=Inputs!$B$15,R581=1,S581=1,P581&lt;=L581),"PASS","FAIL"))</f>
        <v>OFFLINE</v>
      </c>
    </row>
    <row r="582" customFormat="false" ht="15" hidden="false" customHeight="false" outlineLevel="0" collapsed="false">
      <c r="A582" s="14" t="s">
        <v>1024</v>
      </c>
      <c r="B582" s="14" t="s">
        <v>1019</v>
      </c>
      <c r="C582" s="14" t="s">
        <v>171</v>
      </c>
      <c r="D582" s="14" t="s">
        <v>171</v>
      </c>
      <c r="E582" s="14" t="s">
        <v>172</v>
      </c>
      <c r="F582" s="14" t="s">
        <v>164</v>
      </c>
      <c r="G582" s="14" t="n">
        <v>3</v>
      </c>
      <c r="H582" s="14" t="s">
        <v>158</v>
      </c>
      <c r="I582" s="14" t="s">
        <v>899</v>
      </c>
      <c r="J582" s="15" t="n">
        <f aca="false">IF(B582="SITE LOSS",IF(D582=C582,1,0),IF(B582="REGION LOSS",IF(E582=C582,1,0),0))</f>
        <v>1</v>
      </c>
      <c r="K582" s="15" t="n">
        <f aca="false">IF(B582="SITE LOSS",IF(COUNTIFS('Site Dockets'!$B$7:$B$24,C582,'Site Dockets'!$C$7:$C$24,F582)&gt;0,1,0),IF(B582="REGION LOSS",IF(COUNTIFS('Site Dockets'!$E$7:$E$24,C582,'Site Dockets'!$C$7:$C$24,F582)&gt;0,1,0),0))</f>
        <v>1</v>
      </c>
      <c r="L582" s="15" t="n">
        <f aca="false">IF(J582=1,0,Inputs!$B$11)</f>
        <v>0</v>
      </c>
      <c r="M582" s="15" t="n">
        <f aca="false">IF(J582=1,0,Inputs!$B$12)</f>
        <v>0</v>
      </c>
      <c r="N582" s="15" t="n">
        <f aca="false">IF(J582=1,0,IF(OR(AND(OR(B582="SITE LOSS",B582="REGION LOSS"),K582=1),AND(B582="ROLE COMPROMISE",H582=C582)),Inputs!$B$13,Inputs!$B$14))</f>
        <v>0</v>
      </c>
      <c r="O582" s="15" t="n">
        <f aca="false">IF(J582=1,0,Inputs!$B$13)</f>
        <v>0</v>
      </c>
      <c r="P582" s="15" t="n">
        <f aca="false">SUM(M582:N582)</f>
        <v>0</v>
      </c>
      <c r="Q582" s="15" t="str">
        <f aca="false">IF(J582=1,"",L582-P582)</f>
        <v/>
      </c>
      <c r="R582" s="15" t="n">
        <f aca="false">IF(OR(J582=1,M582&lt;=Inputs!$B$12),1,0)</f>
        <v>1</v>
      </c>
      <c r="S582" s="15" t="n">
        <f aca="false">IF(OR(J582=1,N582&lt;=O582),1,0)</f>
        <v>1</v>
      </c>
      <c r="T582" s="15" t="str">
        <f aca="false">IF(J582=1,"OFFLINE",IF(AND(Q582&gt;=Inputs!$B$15,R582=1,S582=1,P582&lt;=L582),"PASS","FAIL"))</f>
        <v>OFFLINE</v>
      </c>
    </row>
    <row r="583" customFormat="false" ht="15" hidden="false" customHeight="false" outlineLevel="0" collapsed="false">
      <c r="A583" s="14" t="s">
        <v>1024</v>
      </c>
      <c r="B583" s="14" t="s">
        <v>1019</v>
      </c>
      <c r="C583" s="14" t="s">
        <v>171</v>
      </c>
      <c r="D583" s="14" t="s">
        <v>174</v>
      </c>
      <c r="E583" s="14" t="s">
        <v>152</v>
      </c>
      <c r="F583" s="14" t="s">
        <v>175</v>
      </c>
      <c r="G583" s="14" t="n">
        <v>1</v>
      </c>
      <c r="H583" s="14" t="s">
        <v>154</v>
      </c>
      <c r="I583" s="14" t="s">
        <v>890</v>
      </c>
      <c r="J583" s="15" t="n">
        <f aca="false">IF(B583="SITE LOSS",IF(D583=C583,1,0),IF(B583="REGION LOSS",IF(E583=C583,1,0),0))</f>
        <v>0</v>
      </c>
      <c r="K583" s="15" t="n">
        <f aca="false">IF(B583="SITE LOSS",IF(COUNTIFS('Site Dockets'!$B$7:$B$24,C583,'Site Dockets'!$C$7:$C$24,F583)&gt;0,1,0),IF(B583="REGION LOSS",IF(COUNTIFS('Site Dockets'!$E$7:$E$24,C583,'Site Dockets'!$C$7:$C$24,F583)&gt;0,1,0),0))</f>
        <v>0</v>
      </c>
      <c r="L583" s="15" t="n">
        <f aca="false">IF(J583=1,0,Inputs!$B$11)</f>
        <v>100</v>
      </c>
      <c r="M583" s="15" t="n">
        <f aca="false">IF(J583=1,0,Inputs!$B$12)</f>
        <v>75</v>
      </c>
      <c r="N583" s="15" t="n">
        <f aca="false">IF(J583=1,0,IF(OR(AND(OR(B583="SITE LOSS",B583="REGION LOSS"),K583=1),AND(B583="ROLE COMPROMISE",H583=C583)),Inputs!$B$13,Inputs!$B$14))</f>
        <v>10</v>
      </c>
      <c r="O583" s="15" t="n">
        <f aca="false">IF(J583=1,0,Inputs!$B$13)</f>
        <v>20</v>
      </c>
      <c r="P583" s="15" t="n">
        <f aca="false">SUM(M583:N583)</f>
        <v>85</v>
      </c>
      <c r="Q583" s="15" t="n">
        <f aca="false">IF(J583=1,"",L583-P583)</f>
        <v>15</v>
      </c>
      <c r="R583" s="15" t="n">
        <f aca="false">IF(OR(J583=1,M583&lt;=Inputs!$B$12),1,0)</f>
        <v>1</v>
      </c>
      <c r="S583" s="15" t="n">
        <f aca="false">IF(OR(J583=1,N583&lt;=O583),1,0)</f>
        <v>1</v>
      </c>
      <c r="T583" s="15" t="str">
        <f aca="false">IF(J583=1,"OFFLINE",IF(AND(Q583&gt;=Inputs!$B$15,R583=1,S583=1,P583&lt;=L583),"PASS","FAIL"))</f>
        <v>PASS</v>
      </c>
    </row>
    <row r="584" customFormat="false" ht="15" hidden="false" customHeight="false" outlineLevel="0" collapsed="false">
      <c r="A584" s="14" t="s">
        <v>1024</v>
      </c>
      <c r="B584" s="14" t="s">
        <v>1019</v>
      </c>
      <c r="C584" s="14" t="s">
        <v>171</v>
      </c>
      <c r="D584" s="14" t="s">
        <v>174</v>
      </c>
      <c r="E584" s="14" t="s">
        <v>152</v>
      </c>
      <c r="F584" s="14" t="s">
        <v>175</v>
      </c>
      <c r="G584" s="14" t="n">
        <v>1</v>
      </c>
      <c r="H584" s="14" t="s">
        <v>154</v>
      </c>
      <c r="I584" s="14" t="s">
        <v>892</v>
      </c>
      <c r="J584" s="15" t="n">
        <f aca="false">IF(B584="SITE LOSS",IF(D584=C584,1,0),IF(B584="REGION LOSS",IF(E584=C584,1,0),0))</f>
        <v>0</v>
      </c>
      <c r="K584" s="15" t="n">
        <f aca="false">IF(B584="SITE LOSS",IF(COUNTIFS('Site Dockets'!$B$7:$B$24,C584,'Site Dockets'!$C$7:$C$24,F584)&gt;0,1,0),IF(B584="REGION LOSS",IF(COUNTIFS('Site Dockets'!$E$7:$E$24,C584,'Site Dockets'!$C$7:$C$24,F584)&gt;0,1,0),0))</f>
        <v>0</v>
      </c>
      <c r="L584" s="15" t="n">
        <f aca="false">IF(J584=1,0,Inputs!$B$11)</f>
        <v>100</v>
      </c>
      <c r="M584" s="15" t="n">
        <f aca="false">IF(J584=1,0,Inputs!$B$12)</f>
        <v>75</v>
      </c>
      <c r="N584" s="15" t="n">
        <f aca="false">IF(J584=1,0,IF(OR(AND(OR(B584="SITE LOSS",B584="REGION LOSS"),K584=1),AND(B584="ROLE COMPROMISE",H584=C584)),Inputs!$B$13,Inputs!$B$14))</f>
        <v>10</v>
      </c>
      <c r="O584" s="15" t="n">
        <f aca="false">IF(J584=1,0,Inputs!$B$13)</f>
        <v>20</v>
      </c>
      <c r="P584" s="15" t="n">
        <f aca="false">SUM(M584:N584)</f>
        <v>85</v>
      </c>
      <c r="Q584" s="15" t="n">
        <f aca="false">IF(J584=1,"",L584-P584)</f>
        <v>15</v>
      </c>
      <c r="R584" s="15" t="n">
        <f aca="false">IF(OR(J584=1,M584&lt;=Inputs!$B$12),1,0)</f>
        <v>1</v>
      </c>
      <c r="S584" s="15" t="n">
        <f aca="false">IF(OR(J584=1,N584&lt;=O584),1,0)</f>
        <v>1</v>
      </c>
      <c r="T584" s="15" t="str">
        <f aca="false">IF(J584=1,"OFFLINE",IF(AND(Q584&gt;=Inputs!$B$15,R584=1,S584=1,P584&lt;=L584),"PASS","FAIL"))</f>
        <v>PASS</v>
      </c>
    </row>
    <row r="585" customFormat="false" ht="15" hidden="false" customHeight="false" outlineLevel="0" collapsed="false">
      <c r="A585" s="14" t="s">
        <v>1024</v>
      </c>
      <c r="B585" s="14" t="s">
        <v>1019</v>
      </c>
      <c r="C585" s="14" t="s">
        <v>171</v>
      </c>
      <c r="D585" s="14" t="s">
        <v>174</v>
      </c>
      <c r="E585" s="14" t="s">
        <v>152</v>
      </c>
      <c r="F585" s="14" t="s">
        <v>175</v>
      </c>
      <c r="G585" s="14" t="n">
        <v>1</v>
      </c>
      <c r="H585" s="14" t="s">
        <v>154</v>
      </c>
      <c r="I585" s="14" t="s">
        <v>811</v>
      </c>
      <c r="J585" s="15" t="n">
        <f aca="false">IF(B585="SITE LOSS",IF(D585=C585,1,0),IF(B585="REGION LOSS",IF(E585=C585,1,0),0))</f>
        <v>0</v>
      </c>
      <c r="K585" s="15" t="n">
        <f aca="false">IF(B585="SITE LOSS",IF(COUNTIFS('Site Dockets'!$B$7:$B$24,C585,'Site Dockets'!$C$7:$C$24,F585)&gt;0,1,0),IF(B585="REGION LOSS",IF(COUNTIFS('Site Dockets'!$E$7:$E$24,C585,'Site Dockets'!$C$7:$C$24,F585)&gt;0,1,0),0))</f>
        <v>0</v>
      </c>
      <c r="L585" s="15" t="n">
        <f aca="false">IF(J585=1,0,Inputs!$B$11)</f>
        <v>100</v>
      </c>
      <c r="M585" s="15" t="n">
        <f aca="false">IF(J585=1,0,Inputs!$B$12)</f>
        <v>75</v>
      </c>
      <c r="N585" s="15" t="n">
        <f aca="false">IF(J585=1,0,IF(OR(AND(OR(B585="SITE LOSS",B585="REGION LOSS"),K585=1),AND(B585="ROLE COMPROMISE",H585=C585)),Inputs!$B$13,Inputs!$B$14))</f>
        <v>10</v>
      </c>
      <c r="O585" s="15" t="n">
        <f aca="false">IF(J585=1,0,Inputs!$B$13)</f>
        <v>20</v>
      </c>
      <c r="P585" s="15" t="n">
        <f aca="false">SUM(M585:N585)</f>
        <v>85</v>
      </c>
      <c r="Q585" s="15" t="n">
        <f aca="false">IF(J585=1,"",L585-P585)</f>
        <v>15</v>
      </c>
      <c r="R585" s="15" t="n">
        <f aca="false">IF(OR(J585=1,M585&lt;=Inputs!$B$12),1,0)</f>
        <v>1</v>
      </c>
      <c r="S585" s="15" t="n">
        <f aca="false">IF(OR(J585=1,N585&lt;=O585),1,0)</f>
        <v>1</v>
      </c>
      <c r="T585" s="15" t="str">
        <f aca="false">IF(J585=1,"OFFLINE",IF(AND(Q585&gt;=Inputs!$B$15,R585=1,S585=1,P585&lt;=L585),"PASS","FAIL"))</f>
        <v>PASS</v>
      </c>
    </row>
    <row r="586" customFormat="false" ht="15" hidden="false" customHeight="false" outlineLevel="0" collapsed="false">
      <c r="A586" s="14" t="s">
        <v>1024</v>
      </c>
      <c r="B586" s="14" t="s">
        <v>1019</v>
      </c>
      <c r="C586" s="14" t="s">
        <v>171</v>
      </c>
      <c r="D586" s="14" t="s">
        <v>174</v>
      </c>
      <c r="E586" s="14" t="s">
        <v>152</v>
      </c>
      <c r="F586" s="14" t="s">
        <v>175</v>
      </c>
      <c r="G586" s="14" t="n">
        <v>1</v>
      </c>
      <c r="H586" s="14" t="s">
        <v>154</v>
      </c>
      <c r="I586" s="14" t="s">
        <v>895</v>
      </c>
      <c r="J586" s="15" t="n">
        <f aca="false">IF(B586="SITE LOSS",IF(D586=C586,1,0),IF(B586="REGION LOSS",IF(E586=C586,1,0),0))</f>
        <v>0</v>
      </c>
      <c r="K586" s="15" t="n">
        <f aca="false">IF(B586="SITE LOSS",IF(COUNTIFS('Site Dockets'!$B$7:$B$24,C586,'Site Dockets'!$C$7:$C$24,F586)&gt;0,1,0),IF(B586="REGION LOSS",IF(COUNTIFS('Site Dockets'!$E$7:$E$24,C586,'Site Dockets'!$C$7:$C$24,F586)&gt;0,1,0),0))</f>
        <v>0</v>
      </c>
      <c r="L586" s="15" t="n">
        <f aca="false">IF(J586=1,0,Inputs!$B$11)</f>
        <v>100</v>
      </c>
      <c r="M586" s="15" t="n">
        <f aca="false">IF(J586=1,0,Inputs!$B$12)</f>
        <v>75</v>
      </c>
      <c r="N586" s="15" t="n">
        <f aca="false">IF(J586=1,0,IF(OR(AND(OR(B586="SITE LOSS",B586="REGION LOSS"),K586=1),AND(B586="ROLE COMPROMISE",H586=C586)),Inputs!$B$13,Inputs!$B$14))</f>
        <v>10</v>
      </c>
      <c r="O586" s="15" t="n">
        <f aca="false">IF(J586=1,0,Inputs!$B$13)</f>
        <v>20</v>
      </c>
      <c r="P586" s="15" t="n">
        <f aca="false">SUM(M586:N586)</f>
        <v>85</v>
      </c>
      <c r="Q586" s="15" t="n">
        <f aca="false">IF(J586=1,"",L586-P586)</f>
        <v>15</v>
      </c>
      <c r="R586" s="15" t="n">
        <f aca="false">IF(OR(J586=1,M586&lt;=Inputs!$B$12),1,0)</f>
        <v>1</v>
      </c>
      <c r="S586" s="15" t="n">
        <f aca="false">IF(OR(J586=1,N586&lt;=O586),1,0)</f>
        <v>1</v>
      </c>
      <c r="T586" s="15" t="str">
        <f aca="false">IF(J586=1,"OFFLINE",IF(AND(Q586&gt;=Inputs!$B$15,R586=1,S586=1,P586&lt;=L586),"PASS","FAIL"))</f>
        <v>PASS</v>
      </c>
    </row>
    <row r="587" customFormat="false" ht="15" hidden="false" customHeight="false" outlineLevel="0" collapsed="false">
      <c r="A587" s="14" t="s">
        <v>1024</v>
      </c>
      <c r="B587" s="14" t="s">
        <v>1019</v>
      </c>
      <c r="C587" s="14" t="s">
        <v>171</v>
      </c>
      <c r="D587" s="14" t="s">
        <v>174</v>
      </c>
      <c r="E587" s="14" t="s">
        <v>152</v>
      </c>
      <c r="F587" s="14" t="s">
        <v>175</v>
      </c>
      <c r="G587" s="14" t="n">
        <v>1</v>
      </c>
      <c r="H587" s="14" t="s">
        <v>154</v>
      </c>
      <c r="I587" s="14" t="s">
        <v>897</v>
      </c>
      <c r="J587" s="15" t="n">
        <f aca="false">IF(B587="SITE LOSS",IF(D587=C587,1,0),IF(B587="REGION LOSS",IF(E587=C587,1,0),0))</f>
        <v>0</v>
      </c>
      <c r="K587" s="15" t="n">
        <f aca="false">IF(B587="SITE LOSS",IF(COUNTIFS('Site Dockets'!$B$7:$B$24,C587,'Site Dockets'!$C$7:$C$24,F587)&gt;0,1,0),IF(B587="REGION LOSS",IF(COUNTIFS('Site Dockets'!$E$7:$E$24,C587,'Site Dockets'!$C$7:$C$24,F587)&gt;0,1,0),0))</f>
        <v>0</v>
      </c>
      <c r="L587" s="15" t="n">
        <f aca="false">IF(J587=1,0,Inputs!$B$11)</f>
        <v>100</v>
      </c>
      <c r="M587" s="15" t="n">
        <f aca="false">IF(J587=1,0,Inputs!$B$12)</f>
        <v>75</v>
      </c>
      <c r="N587" s="15" t="n">
        <f aca="false">IF(J587=1,0,IF(OR(AND(OR(B587="SITE LOSS",B587="REGION LOSS"),K587=1),AND(B587="ROLE COMPROMISE",H587=C587)),Inputs!$B$13,Inputs!$B$14))</f>
        <v>10</v>
      </c>
      <c r="O587" s="15" t="n">
        <f aca="false">IF(J587=1,0,Inputs!$B$13)</f>
        <v>20</v>
      </c>
      <c r="P587" s="15" t="n">
        <f aca="false">SUM(M587:N587)</f>
        <v>85</v>
      </c>
      <c r="Q587" s="15" t="n">
        <f aca="false">IF(J587=1,"",L587-P587)</f>
        <v>15</v>
      </c>
      <c r="R587" s="15" t="n">
        <f aca="false">IF(OR(J587=1,M587&lt;=Inputs!$B$12),1,0)</f>
        <v>1</v>
      </c>
      <c r="S587" s="15" t="n">
        <f aca="false">IF(OR(J587=1,N587&lt;=O587),1,0)</f>
        <v>1</v>
      </c>
      <c r="T587" s="15" t="str">
        <f aca="false">IF(J587=1,"OFFLINE",IF(AND(Q587&gt;=Inputs!$B$15,R587=1,S587=1,P587&lt;=L587),"PASS","FAIL"))</f>
        <v>PASS</v>
      </c>
    </row>
    <row r="588" customFormat="false" ht="15" hidden="false" customHeight="false" outlineLevel="0" collapsed="false">
      <c r="A588" s="14" t="s">
        <v>1024</v>
      </c>
      <c r="B588" s="14" t="s">
        <v>1019</v>
      </c>
      <c r="C588" s="14" t="s">
        <v>171</v>
      </c>
      <c r="D588" s="14" t="s">
        <v>174</v>
      </c>
      <c r="E588" s="14" t="s">
        <v>152</v>
      </c>
      <c r="F588" s="14" t="s">
        <v>175</v>
      </c>
      <c r="G588" s="14" t="n">
        <v>1</v>
      </c>
      <c r="H588" s="14" t="s">
        <v>154</v>
      </c>
      <c r="I588" s="14" t="s">
        <v>899</v>
      </c>
      <c r="J588" s="15" t="n">
        <f aca="false">IF(B588="SITE LOSS",IF(D588=C588,1,0),IF(B588="REGION LOSS",IF(E588=C588,1,0),0))</f>
        <v>0</v>
      </c>
      <c r="K588" s="15" t="n">
        <f aca="false">IF(B588="SITE LOSS",IF(COUNTIFS('Site Dockets'!$B$7:$B$24,C588,'Site Dockets'!$C$7:$C$24,F588)&gt;0,1,0),IF(B588="REGION LOSS",IF(COUNTIFS('Site Dockets'!$E$7:$E$24,C588,'Site Dockets'!$C$7:$C$24,F588)&gt;0,1,0),0))</f>
        <v>0</v>
      </c>
      <c r="L588" s="15" t="n">
        <f aca="false">IF(J588=1,0,Inputs!$B$11)</f>
        <v>100</v>
      </c>
      <c r="M588" s="15" t="n">
        <f aca="false">IF(J588=1,0,Inputs!$B$12)</f>
        <v>75</v>
      </c>
      <c r="N588" s="15" t="n">
        <f aca="false">IF(J588=1,0,IF(OR(AND(OR(B588="SITE LOSS",B588="REGION LOSS"),K588=1),AND(B588="ROLE COMPROMISE",H588=C588)),Inputs!$B$13,Inputs!$B$14))</f>
        <v>10</v>
      </c>
      <c r="O588" s="15" t="n">
        <f aca="false">IF(J588=1,0,Inputs!$B$13)</f>
        <v>20</v>
      </c>
      <c r="P588" s="15" t="n">
        <f aca="false">SUM(M588:N588)</f>
        <v>85</v>
      </c>
      <c r="Q588" s="15" t="n">
        <f aca="false">IF(J588=1,"",L588-P588)</f>
        <v>15</v>
      </c>
      <c r="R588" s="15" t="n">
        <f aca="false">IF(OR(J588=1,M588&lt;=Inputs!$B$12),1,0)</f>
        <v>1</v>
      </c>
      <c r="S588" s="15" t="n">
        <f aca="false">IF(OR(J588=1,N588&lt;=O588),1,0)</f>
        <v>1</v>
      </c>
      <c r="T588" s="15" t="str">
        <f aca="false">IF(J588=1,"OFFLINE",IF(AND(Q588&gt;=Inputs!$B$15,R588=1,S588=1,P588&lt;=L588),"PASS","FAIL"))</f>
        <v>PASS</v>
      </c>
    </row>
    <row r="589" customFormat="false" ht="15" hidden="false" customHeight="false" outlineLevel="0" collapsed="false">
      <c r="A589" s="14" t="s">
        <v>1024</v>
      </c>
      <c r="B589" s="14" t="s">
        <v>1019</v>
      </c>
      <c r="C589" s="14" t="s">
        <v>171</v>
      </c>
      <c r="D589" s="14" t="s">
        <v>178</v>
      </c>
      <c r="E589" s="14" t="s">
        <v>169</v>
      </c>
      <c r="F589" s="14" t="s">
        <v>175</v>
      </c>
      <c r="G589" s="14" t="n">
        <v>2</v>
      </c>
      <c r="H589" s="14" t="s">
        <v>153</v>
      </c>
      <c r="I589" s="14" t="s">
        <v>890</v>
      </c>
      <c r="J589" s="15" t="n">
        <f aca="false">IF(B589="SITE LOSS",IF(D589=C589,1,0),IF(B589="REGION LOSS",IF(E589=C589,1,0),0))</f>
        <v>0</v>
      </c>
      <c r="K589" s="15" t="n">
        <f aca="false">IF(B589="SITE LOSS",IF(COUNTIFS('Site Dockets'!$B$7:$B$24,C589,'Site Dockets'!$C$7:$C$24,F589)&gt;0,1,0),IF(B589="REGION LOSS",IF(COUNTIFS('Site Dockets'!$E$7:$E$24,C589,'Site Dockets'!$C$7:$C$24,F589)&gt;0,1,0),0))</f>
        <v>0</v>
      </c>
      <c r="L589" s="15" t="n">
        <f aca="false">IF(J589=1,0,Inputs!$B$11)</f>
        <v>100</v>
      </c>
      <c r="M589" s="15" t="n">
        <f aca="false">IF(J589=1,0,Inputs!$B$12)</f>
        <v>75</v>
      </c>
      <c r="N589" s="15" t="n">
        <f aca="false">IF(J589=1,0,IF(OR(AND(OR(B589="SITE LOSS",B589="REGION LOSS"),K589=1),AND(B589="ROLE COMPROMISE",H589=C589)),Inputs!$B$13,Inputs!$B$14))</f>
        <v>10</v>
      </c>
      <c r="O589" s="15" t="n">
        <f aca="false">IF(J589=1,0,Inputs!$B$13)</f>
        <v>20</v>
      </c>
      <c r="P589" s="15" t="n">
        <f aca="false">SUM(M589:N589)</f>
        <v>85</v>
      </c>
      <c r="Q589" s="15" t="n">
        <f aca="false">IF(J589=1,"",L589-P589)</f>
        <v>15</v>
      </c>
      <c r="R589" s="15" t="n">
        <f aca="false">IF(OR(J589=1,M589&lt;=Inputs!$B$12),1,0)</f>
        <v>1</v>
      </c>
      <c r="S589" s="15" t="n">
        <f aca="false">IF(OR(J589=1,N589&lt;=O589),1,0)</f>
        <v>1</v>
      </c>
      <c r="T589" s="15" t="str">
        <f aca="false">IF(J589=1,"OFFLINE",IF(AND(Q589&gt;=Inputs!$B$15,R589=1,S589=1,P589&lt;=L589),"PASS","FAIL"))</f>
        <v>PASS</v>
      </c>
    </row>
    <row r="590" customFormat="false" ht="15" hidden="false" customHeight="false" outlineLevel="0" collapsed="false">
      <c r="A590" s="14" t="s">
        <v>1024</v>
      </c>
      <c r="B590" s="14" t="s">
        <v>1019</v>
      </c>
      <c r="C590" s="14" t="s">
        <v>171</v>
      </c>
      <c r="D590" s="14" t="s">
        <v>178</v>
      </c>
      <c r="E590" s="14" t="s">
        <v>169</v>
      </c>
      <c r="F590" s="14" t="s">
        <v>175</v>
      </c>
      <c r="G590" s="14" t="n">
        <v>2</v>
      </c>
      <c r="H590" s="14" t="s">
        <v>153</v>
      </c>
      <c r="I590" s="14" t="s">
        <v>892</v>
      </c>
      <c r="J590" s="15" t="n">
        <f aca="false">IF(B590="SITE LOSS",IF(D590=C590,1,0),IF(B590="REGION LOSS",IF(E590=C590,1,0),0))</f>
        <v>0</v>
      </c>
      <c r="K590" s="15" t="n">
        <f aca="false">IF(B590="SITE LOSS",IF(COUNTIFS('Site Dockets'!$B$7:$B$24,C590,'Site Dockets'!$C$7:$C$24,F590)&gt;0,1,0),IF(B590="REGION LOSS",IF(COUNTIFS('Site Dockets'!$E$7:$E$24,C590,'Site Dockets'!$C$7:$C$24,F590)&gt;0,1,0),0))</f>
        <v>0</v>
      </c>
      <c r="L590" s="15" t="n">
        <f aca="false">IF(J590=1,0,Inputs!$B$11)</f>
        <v>100</v>
      </c>
      <c r="M590" s="15" t="n">
        <f aca="false">IF(J590=1,0,Inputs!$B$12)</f>
        <v>75</v>
      </c>
      <c r="N590" s="15" t="n">
        <f aca="false">IF(J590=1,0,IF(OR(AND(OR(B590="SITE LOSS",B590="REGION LOSS"),K590=1),AND(B590="ROLE COMPROMISE",H590=C590)),Inputs!$B$13,Inputs!$B$14))</f>
        <v>10</v>
      </c>
      <c r="O590" s="15" t="n">
        <f aca="false">IF(J590=1,0,Inputs!$B$13)</f>
        <v>20</v>
      </c>
      <c r="P590" s="15" t="n">
        <f aca="false">SUM(M590:N590)</f>
        <v>85</v>
      </c>
      <c r="Q590" s="15" t="n">
        <f aca="false">IF(J590=1,"",L590-P590)</f>
        <v>15</v>
      </c>
      <c r="R590" s="15" t="n">
        <f aca="false">IF(OR(J590=1,M590&lt;=Inputs!$B$12),1,0)</f>
        <v>1</v>
      </c>
      <c r="S590" s="15" t="n">
        <f aca="false">IF(OR(J590=1,N590&lt;=O590),1,0)</f>
        <v>1</v>
      </c>
      <c r="T590" s="15" t="str">
        <f aca="false">IF(J590=1,"OFFLINE",IF(AND(Q590&gt;=Inputs!$B$15,R590=1,S590=1,P590&lt;=L590),"PASS","FAIL"))</f>
        <v>PASS</v>
      </c>
    </row>
    <row r="591" customFormat="false" ht="15" hidden="false" customHeight="false" outlineLevel="0" collapsed="false">
      <c r="A591" s="14" t="s">
        <v>1024</v>
      </c>
      <c r="B591" s="14" t="s">
        <v>1019</v>
      </c>
      <c r="C591" s="14" t="s">
        <v>171</v>
      </c>
      <c r="D591" s="14" t="s">
        <v>178</v>
      </c>
      <c r="E591" s="14" t="s">
        <v>169</v>
      </c>
      <c r="F591" s="14" t="s">
        <v>175</v>
      </c>
      <c r="G591" s="14" t="n">
        <v>2</v>
      </c>
      <c r="H591" s="14" t="s">
        <v>153</v>
      </c>
      <c r="I591" s="14" t="s">
        <v>811</v>
      </c>
      <c r="J591" s="15" t="n">
        <f aca="false">IF(B591="SITE LOSS",IF(D591=C591,1,0),IF(B591="REGION LOSS",IF(E591=C591,1,0),0))</f>
        <v>0</v>
      </c>
      <c r="K591" s="15" t="n">
        <f aca="false">IF(B591="SITE LOSS",IF(COUNTIFS('Site Dockets'!$B$7:$B$24,C591,'Site Dockets'!$C$7:$C$24,F591)&gt;0,1,0),IF(B591="REGION LOSS",IF(COUNTIFS('Site Dockets'!$E$7:$E$24,C591,'Site Dockets'!$C$7:$C$24,F591)&gt;0,1,0),0))</f>
        <v>0</v>
      </c>
      <c r="L591" s="15" t="n">
        <f aca="false">IF(J591=1,0,Inputs!$B$11)</f>
        <v>100</v>
      </c>
      <c r="M591" s="15" t="n">
        <f aca="false">IF(J591=1,0,Inputs!$B$12)</f>
        <v>75</v>
      </c>
      <c r="N591" s="15" t="n">
        <f aca="false">IF(J591=1,0,IF(OR(AND(OR(B591="SITE LOSS",B591="REGION LOSS"),K591=1),AND(B591="ROLE COMPROMISE",H591=C591)),Inputs!$B$13,Inputs!$B$14))</f>
        <v>10</v>
      </c>
      <c r="O591" s="15" t="n">
        <f aca="false">IF(J591=1,0,Inputs!$B$13)</f>
        <v>20</v>
      </c>
      <c r="P591" s="15" t="n">
        <f aca="false">SUM(M591:N591)</f>
        <v>85</v>
      </c>
      <c r="Q591" s="15" t="n">
        <f aca="false">IF(J591=1,"",L591-P591)</f>
        <v>15</v>
      </c>
      <c r="R591" s="15" t="n">
        <f aca="false">IF(OR(J591=1,M591&lt;=Inputs!$B$12),1,0)</f>
        <v>1</v>
      </c>
      <c r="S591" s="15" t="n">
        <f aca="false">IF(OR(J591=1,N591&lt;=O591),1,0)</f>
        <v>1</v>
      </c>
      <c r="T591" s="15" t="str">
        <f aca="false">IF(J591=1,"OFFLINE",IF(AND(Q591&gt;=Inputs!$B$15,R591=1,S591=1,P591&lt;=L591),"PASS","FAIL"))</f>
        <v>PASS</v>
      </c>
    </row>
    <row r="592" customFormat="false" ht="15" hidden="false" customHeight="false" outlineLevel="0" collapsed="false">
      <c r="A592" s="14" t="s">
        <v>1024</v>
      </c>
      <c r="B592" s="14" t="s">
        <v>1019</v>
      </c>
      <c r="C592" s="14" t="s">
        <v>171</v>
      </c>
      <c r="D592" s="14" t="s">
        <v>178</v>
      </c>
      <c r="E592" s="14" t="s">
        <v>169</v>
      </c>
      <c r="F592" s="14" t="s">
        <v>175</v>
      </c>
      <c r="G592" s="14" t="n">
        <v>2</v>
      </c>
      <c r="H592" s="14" t="s">
        <v>153</v>
      </c>
      <c r="I592" s="14" t="s">
        <v>895</v>
      </c>
      <c r="J592" s="15" t="n">
        <f aca="false">IF(B592="SITE LOSS",IF(D592=C592,1,0),IF(B592="REGION LOSS",IF(E592=C592,1,0),0))</f>
        <v>0</v>
      </c>
      <c r="K592" s="15" t="n">
        <f aca="false">IF(B592="SITE LOSS",IF(COUNTIFS('Site Dockets'!$B$7:$B$24,C592,'Site Dockets'!$C$7:$C$24,F592)&gt;0,1,0),IF(B592="REGION LOSS",IF(COUNTIFS('Site Dockets'!$E$7:$E$24,C592,'Site Dockets'!$C$7:$C$24,F592)&gt;0,1,0),0))</f>
        <v>0</v>
      </c>
      <c r="L592" s="15" t="n">
        <f aca="false">IF(J592=1,0,Inputs!$B$11)</f>
        <v>100</v>
      </c>
      <c r="M592" s="15" t="n">
        <f aca="false">IF(J592=1,0,Inputs!$B$12)</f>
        <v>75</v>
      </c>
      <c r="N592" s="15" t="n">
        <f aca="false">IF(J592=1,0,IF(OR(AND(OR(B592="SITE LOSS",B592="REGION LOSS"),K592=1),AND(B592="ROLE COMPROMISE",H592=C592)),Inputs!$B$13,Inputs!$B$14))</f>
        <v>10</v>
      </c>
      <c r="O592" s="15" t="n">
        <f aca="false">IF(J592=1,0,Inputs!$B$13)</f>
        <v>20</v>
      </c>
      <c r="P592" s="15" t="n">
        <f aca="false">SUM(M592:N592)</f>
        <v>85</v>
      </c>
      <c r="Q592" s="15" t="n">
        <f aca="false">IF(J592=1,"",L592-P592)</f>
        <v>15</v>
      </c>
      <c r="R592" s="15" t="n">
        <f aca="false">IF(OR(J592=1,M592&lt;=Inputs!$B$12),1,0)</f>
        <v>1</v>
      </c>
      <c r="S592" s="15" t="n">
        <f aca="false">IF(OR(J592=1,N592&lt;=O592),1,0)</f>
        <v>1</v>
      </c>
      <c r="T592" s="15" t="str">
        <f aca="false">IF(J592=1,"OFFLINE",IF(AND(Q592&gt;=Inputs!$B$15,R592=1,S592=1,P592&lt;=L592),"PASS","FAIL"))</f>
        <v>PASS</v>
      </c>
    </row>
    <row r="593" customFormat="false" ht="15" hidden="false" customHeight="false" outlineLevel="0" collapsed="false">
      <c r="A593" s="14" t="s">
        <v>1024</v>
      </c>
      <c r="B593" s="14" t="s">
        <v>1019</v>
      </c>
      <c r="C593" s="14" t="s">
        <v>171</v>
      </c>
      <c r="D593" s="14" t="s">
        <v>178</v>
      </c>
      <c r="E593" s="14" t="s">
        <v>169</v>
      </c>
      <c r="F593" s="14" t="s">
        <v>175</v>
      </c>
      <c r="G593" s="14" t="n">
        <v>2</v>
      </c>
      <c r="H593" s="14" t="s">
        <v>153</v>
      </c>
      <c r="I593" s="14" t="s">
        <v>897</v>
      </c>
      <c r="J593" s="15" t="n">
        <f aca="false">IF(B593="SITE LOSS",IF(D593=C593,1,0),IF(B593="REGION LOSS",IF(E593=C593,1,0),0))</f>
        <v>0</v>
      </c>
      <c r="K593" s="15" t="n">
        <f aca="false">IF(B593="SITE LOSS",IF(COUNTIFS('Site Dockets'!$B$7:$B$24,C593,'Site Dockets'!$C$7:$C$24,F593)&gt;0,1,0),IF(B593="REGION LOSS",IF(COUNTIFS('Site Dockets'!$E$7:$E$24,C593,'Site Dockets'!$C$7:$C$24,F593)&gt;0,1,0),0))</f>
        <v>0</v>
      </c>
      <c r="L593" s="15" t="n">
        <f aca="false">IF(J593=1,0,Inputs!$B$11)</f>
        <v>100</v>
      </c>
      <c r="M593" s="15" t="n">
        <f aca="false">IF(J593=1,0,Inputs!$B$12)</f>
        <v>75</v>
      </c>
      <c r="N593" s="15" t="n">
        <f aca="false">IF(J593=1,0,IF(OR(AND(OR(B593="SITE LOSS",B593="REGION LOSS"),K593=1),AND(B593="ROLE COMPROMISE",H593=C593)),Inputs!$B$13,Inputs!$B$14))</f>
        <v>10</v>
      </c>
      <c r="O593" s="15" t="n">
        <f aca="false">IF(J593=1,0,Inputs!$B$13)</f>
        <v>20</v>
      </c>
      <c r="P593" s="15" t="n">
        <f aca="false">SUM(M593:N593)</f>
        <v>85</v>
      </c>
      <c r="Q593" s="15" t="n">
        <f aca="false">IF(J593=1,"",L593-P593)</f>
        <v>15</v>
      </c>
      <c r="R593" s="15" t="n">
        <f aca="false">IF(OR(J593=1,M593&lt;=Inputs!$B$12),1,0)</f>
        <v>1</v>
      </c>
      <c r="S593" s="15" t="n">
        <f aca="false">IF(OR(J593=1,N593&lt;=O593),1,0)</f>
        <v>1</v>
      </c>
      <c r="T593" s="15" t="str">
        <f aca="false">IF(J593=1,"OFFLINE",IF(AND(Q593&gt;=Inputs!$B$15,R593=1,S593=1,P593&lt;=L593),"PASS","FAIL"))</f>
        <v>PASS</v>
      </c>
    </row>
    <row r="594" customFormat="false" ht="15" hidden="false" customHeight="false" outlineLevel="0" collapsed="false">
      <c r="A594" s="14" t="s">
        <v>1024</v>
      </c>
      <c r="B594" s="14" t="s">
        <v>1019</v>
      </c>
      <c r="C594" s="14" t="s">
        <v>171</v>
      </c>
      <c r="D594" s="14" t="s">
        <v>178</v>
      </c>
      <c r="E594" s="14" t="s">
        <v>169</v>
      </c>
      <c r="F594" s="14" t="s">
        <v>175</v>
      </c>
      <c r="G594" s="14" t="n">
        <v>2</v>
      </c>
      <c r="H594" s="14" t="s">
        <v>153</v>
      </c>
      <c r="I594" s="14" t="s">
        <v>899</v>
      </c>
      <c r="J594" s="15" t="n">
        <f aca="false">IF(B594="SITE LOSS",IF(D594=C594,1,0),IF(B594="REGION LOSS",IF(E594=C594,1,0),0))</f>
        <v>0</v>
      </c>
      <c r="K594" s="15" t="n">
        <f aca="false">IF(B594="SITE LOSS",IF(COUNTIFS('Site Dockets'!$B$7:$B$24,C594,'Site Dockets'!$C$7:$C$24,F594)&gt;0,1,0),IF(B594="REGION LOSS",IF(COUNTIFS('Site Dockets'!$E$7:$E$24,C594,'Site Dockets'!$C$7:$C$24,F594)&gt;0,1,0),0))</f>
        <v>0</v>
      </c>
      <c r="L594" s="15" t="n">
        <f aca="false">IF(J594=1,0,Inputs!$B$11)</f>
        <v>100</v>
      </c>
      <c r="M594" s="15" t="n">
        <f aca="false">IF(J594=1,0,Inputs!$B$12)</f>
        <v>75</v>
      </c>
      <c r="N594" s="15" t="n">
        <f aca="false">IF(J594=1,0,IF(OR(AND(OR(B594="SITE LOSS",B594="REGION LOSS"),K594=1),AND(B594="ROLE COMPROMISE",H594=C594)),Inputs!$B$13,Inputs!$B$14))</f>
        <v>10</v>
      </c>
      <c r="O594" s="15" t="n">
        <f aca="false">IF(J594=1,0,Inputs!$B$13)</f>
        <v>20</v>
      </c>
      <c r="P594" s="15" t="n">
        <f aca="false">SUM(M594:N594)</f>
        <v>85</v>
      </c>
      <c r="Q594" s="15" t="n">
        <f aca="false">IF(J594=1,"",L594-P594)</f>
        <v>15</v>
      </c>
      <c r="R594" s="15" t="n">
        <f aca="false">IF(OR(J594=1,M594&lt;=Inputs!$B$12),1,0)</f>
        <v>1</v>
      </c>
      <c r="S594" s="15" t="n">
        <f aca="false">IF(OR(J594=1,N594&lt;=O594),1,0)</f>
        <v>1</v>
      </c>
      <c r="T594" s="15" t="str">
        <f aca="false">IF(J594=1,"OFFLINE",IF(AND(Q594&gt;=Inputs!$B$15,R594=1,S594=1,P594&lt;=L594),"PASS","FAIL"))</f>
        <v>PASS</v>
      </c>
    </row>
    <row r="595" customFormat="false" ht="15" hidden="false" customHeight="false" outlineLevel="0" collapsed="false">
      <c r="A595" s="14" t="s">
        <v>1024</v>
      </c>
      <c r="B595" s="14" t="s">
        <v>1019</v>
      </c>
      <c r="C595" s="14" t="s">
        <v>171</v>
      </c>
      <c r="D595" s="14" t="s">
        <v>180</v>
      </c>
      <c r="E595" s="14" t="s">
        <v>161</v>
      </c>
      <c r="F595" s="14" t="s">
        <v>175</v>
      </c>
      <c r="G595" s="14" t="n">
        <v>3</v>
      </c>
      <c r="H595" s="14" t="s">
        <v>158</v>
      </c>
      <c r="I595" s="14" t="s">
        <v>890</v>
      </c>
      <c r="J595" s="15" t="n">
        <f aca="false">IF(B595="SITE LOSS",IF(D595=C595,1,0),IF(B595="REGION LOSS",IF(E595=C595,1,0),0))</f>
        <v>0</v>
      </c>
      <c r="K595" s="15" t="n">
        <f aca="false">IF(B595="SITE LOSS",IF(COUNTIFS('Site Dockets'!$B$7:$B$24,C595,'Site Dockets'!$C$7:$C$24,F595)&gt;0,1,0),IF(B595="REGION LOSS",IF(COUNTIFS('Site Dockets'!$E$7:$E$24,C595,'Site Dockets'!$C$7:$C$24,F595)&gt;0,1,0),0))</f>
        <v>0</v>
      </c>
      <c r="L595" s="15" t="n">
        <f aca="false">IF(J595=1,0,Inputs!$B$11)</f>
        <v>100</v>
      </c>
      <c r="M595" s="15" t="n">
        <f aca="false">IF(J595=1,0,Inputs!$B$12)</f>
        <v>75</v>
      </c>
      <c r="N595" s="15" t="n">
        <f aca="false">IF(J595=1,0,IF(OR(AND(OR(B595="SITE LOSS",B595="REGION LOSS"),K595=1),AND(B595="ROLE COMPROMISE",H595=C595)),Inputs!$B$13,Inputs!$B$14))</f>
        <v>10</v>
      </c>
      <c r="O595" s="15" t="n">
        <f aca="false">IF(J595=1,0,Inputs!$B$13)</f>
        <v>20</v>
      </c>
      <c r="P595" s="15" t="n">
        <f aca="false">SUM(M595:N595)</f>
        <v>85</v>
      </c>
      <c r="Q595" s="15" t="n">
        <f aca="false">IF(J595=1,"",L595-P595)</f>
        <v>15</v>
      </c>
      <c r="R595" s="15" t="n">
        <f aca="false">IF(OR(J595=1,M595&lt;=Inputs!$B$12),1,0)</f>
        <v>1</v>
      </c>
      <c r="S595" s="15" t="n">
        <f aca="false">IF(OR(J595=1,N595&lt;=O595),1,0)</f>
        <v>1</v>
      </c>
      <c r="T595" s="15" t="str">
        <f aca="false">IF(J595=1,"OFFLINE",IF(AND(Q595&gt;=Inputs!$B$15,R595=1,S595=1,P595&lt;=L595),"PASS","FAIL"))</f>
        <v>PASS</v>
      </c>
    </row>
    <row r="596" customFormat="false" ht="15" hidden="false" customHeight="false" outlineLevel="0" collapsed="false">
      <c r="A596" s="14" t="s">
        <v>1024</v>
      </c>
      <c r="B596" s="14" t="s">
        <v>1019</v>
      </c>
      <c r="C596" s="14" t="s">
        <v>171</v>
      </c>
      <c r="D596" s="14" t="s">
        <v>180</v>
      </c>
      <c r="E596" s="14" t="s">
        <v>161</v>
      </c>
      <c r="F596" s="14" t="s">
        <v>175</v>
      </c>
      <c r="G596" s="14" t="n">
        <v>3</v>
      </c>
      <c r="H596" s="14" t="s">
        <v>158</v>
      </c>
      <c r="I596" s="14" t="s">
        <v>892</v>
      </c>
      <c r="J596" s="15" t="n">
        <f aca="false">IF(B596="SITE LOSS",IF(D596=C596,1,0),IF(B596="REGION LOSS",IF(E596=C596,1,0),0))</f>
        <v>0</v>
      </c>
      <c r="K596" s="15" t="n">
        <f aca="false">IF(B596="SITE LOSS",IF(COUNTIFS('Site Dockets'!$B$7:$B$24,C596,'Site Dockets'!$C$7:$C$24,F596)&gt;0,1,0),IF(B596="REGION LOSS",IF(COUNTIFS('Site Dockets'!$E$7:$E$24,C596,'Site Dockets'!$C$7:$C$24,F596)&gt;0,1,0),0))</f>
        <v>0</v>
      </c>
      <c r="L596" s="15" t="n">
        <f aca="false">IF(J596=1,0,Inputs!$B$11)</f>
        <v>100</v>
      </c>
      <c r="M596" s="15" t="n">
        <f aca="false">IF(J596=1,0,Inputs!$B$12)</f>
        <v>75</v>
      </c>
      <c r="N596" s="15" t="n">
        <f aca="false">IF(J596=1,0,IF(OR(AND(OR(B596="SITE LOSS",B596="REGION LOSS"),K596=1),AND(B596="ROLE COMPROMISE",H596=C596)),Inputs!$B$13,Inputs!$B$14))</f>
        <v>10</v>
      </c>
      <c r="O596" s="15" t="n">
        <f aca="false">IF(J596=1,0,Inputs!$B$13)</f>
        <v>20</v>
      </c>
      <c r="P596" s="15" t="n">
        <f aca="false">SUM(M596:N596)</f>
        <v>85</v>
      </c>
      <c r="Q596" s="15" t="n">
        <f aca="false">IF(J596=1,"",L596-P596)</f>
        <v>15</v>
      </c>
      <c r="R596" s="15" t="n">
        <f aca="false">IF(OR(J596=1,M596&lt;=Inputs!$B$12),1,0)</f>
        <v>1</v>
      </c>
      <c r="S596" s="15" t="n">
        <f aca="false">IF(OR(J596=1,N596&lt;=O596),1,0)</f>
        <v>1</v>
      </c>
      <c r="T596" s="15" t="str">
        <f aca="false">IF(J596=1,"OFFLINE",IF(AND(Q596&gt;=Inputs!$B$15,R596=1,S596=1,P596&lt;=L596),"PASS","FAIL"))</f>
        <v>PASS</v>
      </c>
    </row>
    <row r="597" customFormat="false" ht="15" hidden="false" customHeight="false" outlineLevel="0" collapsed="false">
      <c r="A597" s="14" t="s">
        <v>1024</v>
      </c>
      <c r="B597" s="14" t="s">
        <v>1019</v>
      </c>
      <c r="C597" s="14" t="s">
        <v>171</v>
      </c>
      <c r="D597" s="14" t="s">
        <v>180</v>
      </c>
      <c r="E597" s="14" t="s">
        <v>161</v>
      </c>
      <c r="F597" s="14" t="s">
        <v>175</v>
      </c>
      <c r="G597" s="14" t="n">
        <v>3</v>
      </c>
      <c r="H597" s="14" t="s">
        <v>158</v>
      </c>
      <c r="I597" s="14" t="s">
        <v>811</v>
      </c>
      <c r="J597" s="15" t="n">
        <f aca="false">IF(B597="SITE LOSS",IF(D597=C597,1,0),IF(B597="REGION LOSS",IF(E597=C597,1,0),0))</f>
        <v>0</v>
      </c>
      <c r="K597" s="15" t="n">
        <f aca="false">IF(B597="SITE LOSS",IF(COUNTIFS('Site Dockets'!$B$7:$B$24,C597,'Site Dockets'!$C$7:$C$24,F597)&gt;0,1,0),IF(B597="REGION LOSS",IF(COUNTIFS('Site Dockets'!$E$7:$E$24,C597,'Site Dockets'!$C$7:$C$24,F597)&gt;0,1,0),0))</f>
        <v>0</v>
      </c>
      <c r="L597" s="15" t="n">
        <f aca="false">IF(J597=1,0,Inputs!$B$11)</f>
        <v>100</v>
      </c>
      <c r="M597" s="15" t="n">
        <f aca="false">IF(J597=1,0,Inputs!$B$12)</f>
        <v>75</v>
      </c>
      <c r="N597" s="15" t="n">
        <f aca="false">IF(J597=1,0,IF(OR(AND(OR(B597="SITE LOSS",B597="REGION LOSS"),K597=1),AND(B597="ROLE COMPROMISE",H597=C597)),Inputs!$B$13,Inputs!$B$14))</f>
        <v>10</v>
      </c>
      <c r="O597" s="15" t="n">
        <f aca="false">IF(J597=1,0,Inputs!$B$13)</f>
        <v>20</v>
      </c>
      <c r="P597" s="15" t="n">
        <f aca="false">SUM(M597:N597)</f>
        <v>85</v>
      </c>
      <c r="Q597" s="15" t="n">
        <f aca="false">IF(J597=1,"",L597-P597)</f>
        <v>15</v>
      </c>
      <c r="R597" s="15" t="n">
        <f aca="false">IF(OR(J597=1,M597&lt;=Inputs!$B$12),1,0)</f>
        <v>1</v>
      </c>
      <c r="S597" s="15" t="n">
        <f aca="false">IF(OR(J597=1,N597&lt;=O597),1,0)</f>
        <v>1</v>
      </c>
      <c r="T597" s="15" t="str">
        <f aca="false">IF(J597=1,"OFFLINE",IF(AND(Q597&gt;=Inputs!$B$15,R597=1,S597=1,P597&lt;=L597),"PASS","FAIL"))</f>
        <v>PASS</v>
      </c>
    </row>
    <row r="598" customFormat="false" ht="15" hidden="false" customHeight="false" outlineLevel="0" collapsed="false">
      <c r="A598" s="14" t="s">
        <v>1024</v>
      </c>
      <c r="B598" s="14" t="s">
        <v>1019</v>
      </c>
      <c r="C598" s="14" t="s">
        <v>171</v>
      </c>
      <c r="D598" s="14" t="s">
        <v>180</v>
      </c>
      <c r="E598" s="14" t="s">
        <v>161</v>
      </c>
      <c r="F598" s="14" t="s">
        <v>175</v>
      </c>
      <c r="G598" s="14" t="n">
        <v>3</v>
      </c>
      <c r="H598" s="14" t="s">
        <v>158</v>
      </c>
      <c r="I598" s="14" t="s">
        <v>895</v>
      </c>
      <c r="J598" s="15" t="n">
        <f aca="false">IF(B598="SITE LOSS",IF(D598=C598,1,0),IF(B598="REGION LOSS",IF(E598=C598,1,0),0))</f>
        <v>0</v>
      </c>
      <c r="K598" s="15" t="n">
        <f aca="false">IF(B598="SITE LOSS",IF(COUNTIFS('Site Dockets'!$B$7:$B$24,C598,'Site Dockets'!$C$7:$C$24,F598)&gt;0,1,0),IF(B598="REGION LOSS",IF(COUNTIFS('Site Dockets'!$E$7:$E$24,C598,'Site Dockets'!$C$7:$C$24,F598)&gt;0,1,0),0))</f>
        <v>0</v>
      </c>
      <c r="L598" s="15" t="n">
        <f aca="false">IF(J598=1,0,Inputs!$B$11)</f>
        <v>100</v>
      </c>
      <c r="M598" s="15" t="n">
        <f aca="false">IF(J598=1,0,Inputs!$B$12)</f>
        <v>75</v>
      </c>
      <c r="N598" s="15" t="n">
        <f aca="false">IF(J598=1,0,IF(OR(AND(OR(B598="SITE LOSS",B598="REGION LOSS"),K598=1),AND(B598="ROLE COMPROMISE",H598=C598)),Inputs!$B$13,Inputs!$B$14))</f>
        <v>10</v>
      </c>
      <c r="O598" s="15" t="n">
        <f aca="false">IF(J598=1,0,Inputs!$B$13)</f>
        <v>20</v>
      </c>
      <c r="P598" s="15" t="n">
        <f aca="false">SUM(M598:N598)</f>
        <v>85</v>
      </c>
      <c r="Q598" s="15" t="n">
        <f aca="false">IF(J598=1,"",L598-P598)</f>
        <v>15</v>
      </c>
      <c r="R598" s="15" t="n">
        <f aca="false">IF(OR(J598=1,M598&lt;=Inputs!$B$12),1,0)</f>
        <v>1</v>
      </c>
      <c r="S598" s="15" t="n">
        <f aca="false">IF(OR(J598=1,N598&lt;=O598),1,0)</f>
        <v>1</v>
      </c>
      <c r="T598" s="15" t="str">
        <f aca="false">IF(J598=1,"OFFLINE",IF(AND(Q598&gt;=Inputs!$B$15,R598=1,S598=1,P598&lt;=L598),"PASS","FAIL"))</f>
        <v>PASS</v>
      </c>
    </row>
    <row r="599" customFormat="false" ht="15" hidden="false" customHeight="false" outlineLevel="0" collapsed="false">
      <c r="A599" s="14" t="s">
        <v>1024</v>
      </c>
      <c r="B599" s="14" t="s">
        <v>1019</v>
      </c>
      <c r="C599" s="14" t="s">
        <v>171</v>
      </c>
      <c r="D599" s="14" t="s">
        <v>180</v>
      </c>
      <c r="E599" s="14" t="s">
        <v>161</v>
      </c>
      <c r="F599" s="14" t="s">
        <v>175</v>
      </c>
      <c r="G599" s="14" t="n">
        <v>3</v>
      </c>
      <c r="H599" s="14" t="s">
        <v>158</v>
      </c>
      <c r="I599" s="14" t="s">
        <v>897</v>
      </c>
      <c r="J599" s="15" t="n">
        <f aca="false">IF(B599="SITE LOSS",IF(D599=C599,1,0),IF(B599="REGION LOSS",IF(E599=C599,1,0),0))</f>
        <v>0</v>
      </c>
      <c r="K599" s="15" t="n">
        <f aca="false">IF(B599="SITE LOSS",IF(COUNTIFS('Site Dockets'!$B$7:$B$24,C599,'Site Dockets'!$C$7:$C$24,F599)&gt;0,1,0),IF(B599="REGION LOSS",IF(COUNTIFS('Site Dockets'!$E$7:$E$24,C599,'Site Dockets'!$C$7:$C$24,F599)&gt;0,1,0),0))</f>
        <v>0</v>
      </c>
      <c r="L599" s="15" t="n">
        <f aca="false">IF(J599=1,0,Inputs!$B$11)</f>
        <v>100</v>
      </c>
      <c r="M599" s="15" t="n">
        <f aca="false">IF(J599=1,0,Inputs!$B$12)</f>
        <v>75</v>
      </c>
      <c r="N599" s="15" t="n">
        <f aca="false">IF(J599=1,0,IF(OR(AND(OR(B599="SITE LOSS",B599="REGION LOSS"),K599=1),AND(B599="ROLE COMPROMISE",H599=C599)),Inputs!$B$13,Inputs!$B$14))</f>
        <v>10</v>
      </c>
      <c r="O599" s="15" t="n">
        <f aca="false">IF(J599=1,0,Inputs!$B$13)</f>
        <v>20</v>
      </c>
      <c r="P599" s="15" t="n">
        <f aca="false">SUM(M599:N599)</f>
        <v>85</v>
      </c>
      <c r="Q599" s="15" t="n">
        <f aca="false">IF(J599=1,"",L599-P599)</f>
        <v>15</v>
      </c>
      <c r="R599" s="15" t="n">
        <f aca="false">IF(OR(J599=1,M599&lt;=Inputs!$B$12),1,0)</f>
        <v>1</v>
      </c>
      <c r="S599" s="15" t="n">
        <f aca="false">IF(OR(J599=1,N599&lt;=O599),1,0)</f>
        <v>1</v>
      </c>
      <c r="T599" s="15" t="str">
        <f aca="false">IF(J599=1,"OFFLINE",IF(AND(Q599&gt;=Inputs!$B$15,R599=1,S599=1,P599&lt;=L599),"PASS","FAIL"))</f>
        <v>PASS</v>
      </c>
    </row>
    <row r="600" customFormat="false" ht="15" hidden="false" customHeight="false" outlineLevel="0" collapsed="false">
      <c r="A600" s="14" t="s">
        <v>1024</v>
      </c>
      <c r="B600" s="14" t="s">
        <v>1019</v>
      </c>
      <c r="C600" s="14" t="s">
        <v>171</v>
      </c>
      <c r="D600" s="14" t="s">
        <v>180</v>
      </c>
      <c r="E600" s="14" t="s">
        <v>161</v>
      </c>
      <c r="F600" s="14" t="s">
        <v>175</v>
      </c>
      <c r="G600" s="14" t="n">
        <v>3</v>
      </c>
      <c r="H600" s="14" t="s">
        <v>158</v>
      </c>
      <c r="I600" s="14" t="s">
        <v>899</v>
      </c>
      <c r="J600" s="15" t="n">
        <f aca="false">IF(B600="SITE LOSS",IF(D600=C600,1,0),IF(B600="REGION LOSS",IF(E600=C600,1,0),0))</f>
        <v>0</v>
      </c>
      <c r="K600" s="15" t="n">
        <f aca="false">IF(B600="SITE LOSS",IF(COUNTIFS('Site Dockets'!$B$7:$B$24,C600,'Site Dockets'!$C$7:$C$24,F600)&gt;0,1,0),IF(B600="REGION LOSS",IF(COUNTIFS('Site Dockets'!$E$7:$E$24,C600,'Site Dockets'!$C$7:$C$24,F600)&gt;0,1,0),0))</f>
        <v>0</v>
      </c>
      <c r="L600" s="15" t="n">
        <f aca="false">IF(J600=1,0,Inputs!$B$11)</f>
        <v>100</v>
      </c>
      <c r="M600" s="15" t="n">
        <f aca="false">IF(J600=1,0,Inputs!$B$12)</f>
        <v>75</v>
      </c>
      <c r="N600" s="15" t="n">
        <f aca="false">IF(J600=1,0,IF(OR(AND(OR(B600="SITE LOSS",B600="REGION LOSS"),K600=1),AND(B600="ROLE COMPROMISE",H600=C600)),Inputs!$B$13,Inputs!$B$14))</f>
        <v>10</v>
      </c>
      <c r="O600" s="15" t="n">
        <f aca="false">IF(J600=1,0,Inputs!$B$13)</f>
        <v>20</v>
      </c>
      <c r="P600" s="15" t="n">
        <f aca="false">SUM(M600:N600)</f>
        <v>85</v>
      </c>
      <c r="Q600" s="15" t="n">
        <f aca="false">IF(J600=1,"",L600-P600)</f>
        <v>15</v>
      </c>
      <c r="R600" s="15" t="n">
        <f aca="false">IF(OR(J600=1,M600&lt;=Inputs!$B$12),1,0)</f>
        <v>1</v>
      </c>
      <c r="S600" s="15" t="n">
        <f aca="false">IF(OR(J600=1,N600&lt;=O600),1,0)</f>
        <v>1</v>
      </c>
      <c r="T600" s="15" t="str">
        <f aca="false">IF(J600=1,"OFFLINE",IF(AND(Q600&gt;=Inputs!$B$15,R600=1,S600=1,P600&lt;=L600),"PASS","FAIL"))</f>
        <v>PASS</v>
      </c>
    </row>
    <row r="601" customFormat="false" ht="15" hidden="false" customHeight="false" outlineLevel="0" collapsed="false">
      <c r="A601" s="14" t="s">
        <v>1024</v>
      </c>
      <c r="B601" s="14" t="s">
        <v>1019</v>
      </c>
      <c r="C601" s="14" t="s">
        <v>171</v>
      </c>
      <c r="D601" s="14" t="s">
        <v>182</v>
      </c>
      <c r="E601" s="14" t="s">
        <v>166</v>
      </c>
      <c r="F601" s="14" t="s">
        <v>183</v>
      </c>
      <c r="G601" s="14" t="n">
        <v>1</v>
      </c>
      <c r="H601" s="14" t="s">
        <v>154</v>
      </c>
      <c r="I601" s="14" t="s">
        <v>890</v>
      </c>
      <c r="J601" s="15" t="n">
        <f aca="false">IF(B601="SITE LOSS",IF(D601=C601,1,0),IF(B601="REGION LOSS",IF(E601=C601,1,0),0))</f>
        <v>0</v>
      </c>
      <c r="K601" s="15" t="n">
        <f aca="false">IF(B601="SITE LOSS",IF(COUNTIFS('Site Dockets'!$B$7:$B$24,C601,'Site Dockets'!$C$7:$C$24,F601)&gt;0,1,0),IF(B601="REGION LOSS",IF(COUNTIFS('Site Dockets'!$E$7:$E$24,C601,'Site Dockets'!$C$7:$C$24,F601)&gt;0,1,0),0))</f>
        <v>0</v>
      </c>
      <c r="L601" s="15" t="n">
        <f aca="false">IF(J601=1,0,Inputs!$B$11)</f>
        <v>100</v>
      </c>
      <c r="M601" s="15" t="n">
        <f aca="false">IF(J601=1,0,Inputs!$B$12)</f>
        <v>75</v>
      </c>
      <c r="N601" s="15" t="n">
        <f aca="false">IF(J601=1,0,IF(OR(AND(OR(B601="SITE LOSS",B601="REGION LOSS"),K601=1),AND(B601="ROLE COMPROMISE",H601=C601)),Inputs!$B$13,Inputs!$B$14))</f>
        <v>10</v>
      </c>
      <c r="O601" s="15" t="n">
        <f aca="false">IF(J601=1,0,Inputs!$B$13)</f>
        <v>20</v>
      </c>
      <c r="P601" s="15" t="n">
        <f aca="false">SUM(M601:N601)</f>
        <v>85</v>
      </c>
      <c r="Q601" s="15" t="n">
        <f aca="false">IF(J601=1,"",L601-P601)</f>
        <v>15</v>
      </c>
      <c r="R601" s="15" t="n">
        <f aca="false">IF(OR(J601=1,M601&lt;=Inputs!$B$12),1,0)</f>
        <v>1</v>
      </c>
      <c r="S601" s="15" t="n">
        <f aca="false">IF(OR(J601=1,N601&lt;=O601),1,0)</f>
        <v>1</v>
      </c>
      <c r="T601" s="15" t="str">
        <f aca="false">IF(J601=1,"OFFLINE",IF(AND(Q601&gt;=Inputs!$B$15,R601=1,S601=1,P601&lt;=L601),"PASS","FAIL"))</f>
        <v>PASS</v>
      </c>
    </row>
    <row r="602" customFormat="false" ht="15" hidden="false" customHeight="false" outlineLevel="0" collapsed="false">
      <c r="A602" s="14" t="s">
        <v>1024</v>
      </c>
      <c r="B602" s="14" t="s">
        <v>1019</v>
      </c>
      <c r="C602" s="14" t="s">
        <v>171</v>
      </c>
      <c r="D602" s="14" t="s">
        <v>182</v>
      </c>
      <c r="E602" s="14" t="s">
        <v>166</v>
      </c>
      <c r="F602" s="14" t="s">
        <v>183</v>
      </c>
      <c r="G602" s="14" t="n">
        <v>1</v>
      </c>
      <c r="H602" s="14" t="s">
        <v>154</v>
      </c>
      <c r="I602" s="14" t="s">
        <v>892</v>
      </c>
      <c r="J602" s="15" t="n">
        <f aca="false">IF(B602="SITE LOSS",IF(D602=C602,1,0),IF(B602="REGION LOSS",IF(E602=C602,1,0),0))</f>
        <v>0</v>
      </c>
      <c r="K602" s="15" t="n">
        <f aca="false">IF(B602="SITE LOSS",IF(COUNTIFS('Site Dockets'!$B$7:$B$24,C602,'Site Dockets'!$C$7:$C$24,F602)&gt;0,1,0),IF(B602="REGION LOSS",IF(COUNTIFS('Site Dockets'!$E$7:$E$24,C602,'Site Dockets'!$C$7:$C$24,F602)&gt;0,1,0),0))</f>
        <v>0</v>
      </c>
      <c r="L602" s="15" t="n">
        <f aca="false">IF(J602=1,0,Inputs!$B$11)</f>
        <v>100</v>
      </c>
      <c r="M602" s="15" t="n">
        <f aca="false">IF(J602=1,0,Inputs!$B$12)</f>
        <v>75</v>
      </c>
      <c r="N602" s="15" t="n">
        <f aca="false">IF(J602=1,0,IF(OR(AND(OR(B602="SITE LOSS",B602="REGION LOSS"),K602=1),AND(B602="ROLE COMPROMISE",H602=C602)),Inputs!$B$13,Inputs!$B$14))</f>
        <v>10</v>
      </c>
      <c r="O602" s="15" t="n">
        <f aca="false">IF(J602=1,0,Inputs!$B$13)</f>
        <v>20</v>
      </c>
      <c r="P602" s="15" t="n">
        <f aca="false">SUM(M602:N602)</f>
        <v>85</v>
      </c>
      <c r="Q602" s="15" t="n">
        <f aca="false">IF(J602=1,"",L602-P602)</f>
        <v>15</v>
      </c>
      <c r="R602" s="15" t="n">
        <f aca="false">IF(OR(J602=1,M602&lt;=Inputs!$B$12),1,0)</f>
        <v>1</v>
      </c>
      <c r="S602" s="15" t="n">
        <f aca="false">IF(OR(J602=1,N602&lt;=O602),1,0)</f>
        <v>1</v>
      </c>
      <c r="T602" s="15" t="str">
        <f aca="false">IF(J602=1,"OFFLINE",IF(AND(Q602&gt;=Inputs!$B$15,R602=1,S602=1,P602&lt;=L602),"PASS","FAIL"))</f>
        <v>PASS</v>
      </c>
    </row>
    <row r="603" customFormat="false" ht="15" hidden="false" customHeight="false" outlineLevel="0" collapsed="false">
      <c r="A603" s="14" t="s">
        <v>1024</v>
      </c>
      <c r="B603" s="14" t="s">
        <v>1019</v>
      </c>
      <c r="C603" s="14" t="s">
        <v>171</v>
      </c>
      <c r="D603" s="14" t="s">
        <v>182</v>
      </c>
      <c r="E603" s="14" t="s">
        <v>166</v>
      </c>
      <c r="F603" s="14" t="s">
        <v>183</v>
      </c>
      <c r="G603" s="14" t="n">
        <v>1</v>
      </c>
      <c r="H603" s="14" t="s">
        <v>154</v>
      </c>
      <c r="I603" s="14" t="s">
        <v>811</v>
      </c>
      <c r="J603" s="15" t="n">
        <f aca="false">IF(B603="SITE LOSS",IF(D603=C603,1,0),IF(B603="REGION LOSS",IF(E603=C603,1,0),0))</f>
        <v>0</v>
      </c>
      <c r="K603" s="15" t="n">
        <f aca="false">IF(B603="SITE LOSS",IF(COUNTIFS('Site Dockets'!$B$7:$B$24,C603,'Site Dockets'!$C$7:$C$24,F603)&gt;0,1,0),IF(B603="REGION LOSS",IF(COUNTIFS('Site Dockets'!$E$7:$E$24,C603,'Site Dockets'!$C$7:$C$24,F603)&gt;0,1,0),0))</f>
        <v>0</v>
      </c>
      <c r="L603" s="15" t="n">
        <f aca="false">IF(J603=1,0,Inputs!$B$11)</f>
        <v>100</v>
      </c>
      <c r="M603" s="15" t="n">
        <f aca="false">IF(J603=1,0,Inputs!$B$12)</f>
        <v>75</v>
      </c>
      <c r="N603" s="15" t="n">
        <f aca="false">IF(J603=1,0,IF(OR(AND(OR(B603="SITE LOSS",B603="REGION LOSS"),K603=1),AND(B603="ROLE COMPROMISE",H603=C603)),Inputs!$B$13,Inputs!$B$14))</f>
        <v>10</v>
      </c>
      <c r="O603" s="15" t="n">
        <f aca="false">IF(J603=1,0,Inputs!$B$13)</f>
        <v>20</v>
      </c>
      <c r="P603" s="15" t="n">
        <f aca="false">SUM(M603:N603)</f>
        <v>85</v>
      </c>
      <c r="Q603" s="15" t="n">
        <f aca="false">IF(J603=1,"",L603-P603)</f>
        <v>15</v>
      </c>
      <c r="R603" s="15" t="n">
        <f aca="false">IF(OR(J603=1,M603&lt;=Inputs!$B$12),1,0)</f>
        <v>1</v>
      </c>
      <c r="S603" s="15" t="n">
        <f aca="false">IF(OR(J603=1,N603&lt;=O603),1,0)</f>
        <v>1</v>
      </c>
      <c r="T603" s="15" t="str">
        <f aca="false">IF(J603=1,"OFFLINE",IF(AND(Q603&gt;=Inputs!$B$15,R603=1,S603=1,P603&lt;=L603),"PASS","FAIL"))</f>
        <v>PASS</v>
      </c>
    </row>
    <row r="604" customFormat="false" ht="15" hidden="false" customHeight="false" outlineLevel="0" collapsed="false">
      <c r="A604" s="14" t="s">
        <v>1024</v>
      </c>
      <c r="B604" s="14" t="s">
        <v>1019</v>
      </c>
      <c r="C604" s="14" t="s">
        <v>171</v>
      </c>
      <c r="D604" s="14" t="s">
        <v>182</v>
      </c>
      <c r="E604" s="14" t="s">
        <v>166</v>
      </c>
      <c r="F604" s="14" t="s">
        <v>183</v>
      </c>
      <c r="G604" s="14" t="n">
        <v>1</v>
      </c>
      <c r="H604" s="14" t="s">
        <v>154</v>
      </c>
      <c r="I604" s="14" t="s">
        <v>895</v>
      </c>
      <c r="J604" s="15" t="n">
        <f aca="false">IF(B604="SITE LOSS",IF(D604=C604,1,0),IF(B604="REGION LOSS",IF(E604=C604,1,0),0))</f>
        <v>0</v>
      </c>
      <c r="K604" s="15" t="n">
        <f aca="false">IF(B604="SITE LOSS",IF(COUNTIFS('Site Dockets'!$B$7:$B$24,C604,'Site Dockets'!$C$7:$C$24,F604)&gt;0,1,0),IF(B604="REGION LOSS",IF(COUNTIFS('Site Dockets'!$E$7:$E$24,C604,'Site Dockets'!$C$7:$C$24,F604)&gt;0,1,0),0))</f>
        <v>0</v>
      </c>
      <c r="L604" s="15" t="n">
        <f aca="false">IF(J604=1,0,Inputs!$B$11)</f>
        <v>100</v>
      </c>
      <c r="M604" s="15" t="n">
        <f aca="false">IF(J604=1,0,Inputs!$B$12)</f>
        <v>75</v>
      </c>
      <c r="N604" s="15" t="n">
        <f aca="false">IF(J604=1,0,IF(OR(AND(OR(B604="SITE LOSS",B604="REGION LOSS"),K604=1),AND(B604="ROLE COMPROMISE",H604=C604)),Inputs!$B$13,Inputs!$B$14))</f>
        <v>10</v>
      </c>
      <c r="O604" s="15" t="n">
        <f aca="false">IF(J604=1,0,Inputs!$B$13)</f>
        <v>20</v>
      </c>
      <c r="P604" s="15" t="n">
        <f aca="false">SUM(M604:N604)</f>
        <v>85</v>
      </c>
      <c r="Q604" s="15" t="n">
        <f aca="false">IF(J604=1,"",L604-P604)</f>
        <v>15</v>
      </c>
      <c r="R604" s="15" t="n">
        <f aca="false">IF(OR(J604=1,M604&lt;=Inputs!$B$12),1,0)</f>
        <v>1</v>
      </c>
      <c r="S604" s="15" t="n">
        <f aca="false">IF(OR(J604=1,N604&lt;=O604),1,0)</f>
        <v>1</v>
      </c>
      <c r="T604" s="15" t="str">
        <f aca="false">IF(J604=1,"OFFLINE",IF(AND(Q604&gt;=Inputs!$B$15,R604=1,S604=1,P604&lt;=L604),"PASS","FAIL"))</f>
        <v>PASS</v>
      </c>
    </row>
    <row r="605" customFormat="false" ht="15" hidden="false" customHeight="false" outlineLevel="0" collapsed="false">
      <c r="A605" s="14" t="s">
        <v>1024</v>
      </c>
      <c r="B605" s="14" t="s">
        <v>1019</v>
      </c>
      <c r="C605" s="14" t="s">
        <v>171</v>
      </c>
      <c r="D605" s="14" t="s">
        <v>182</v>
      </c>
      <c r="E605" s="14" t="s">
        <v>166</v>
      </c>
      <c r="F605" s="14" t="s">
        <v>183</v>
      </c>
      <c r="G605" s="14" t="n">
        <v>1</v>
      </c>
      <c r="H605" s="14" t="s">
        <v>154</v>
      </c>
      <c r="I605" s="14" t="s">
        <v>897</v>
      </c>
      <c r="J605" s="15" t="n">
        <f aca="false">IF(B605="SITE LOSS",IF(D605=C605,1,0),IF(B605="REGION LOSS",IF(E605=C605,1,0),0))</f>
        <v>0</v>
      </c>
      <c r="K605" s="15" t="n">
        <f aca="false">IF(B605="SITE LOSS",IF(COUNTIFS('Site Dockets'!$B$7:$B$24,C605,'Site Dockets'!$C$7:$C$24,F605)&gt;0,1,0),IF(B605="REGION LOSS",IF(COUNTIFS('Site Dockets'!$E$7:$E$24,C605,'Site Dockets'!$C$7:$C$24,F605)&gt;0,1,0),0))</f>
        <v>0</v>
      </c>
      <c r="L605" s="15" t="n">
        <f aca="false">IF(J605=1,0,Inputs!$B$11)</f>
        <v>100</v>
      </c>
      <c r="M605" s="15" t="n">
        <f aca="false">IF(J605=1,0,Inputs!$B$12)</f>
        <v>75</v>
      </c>
      <c r="N605" s="15" t="n">
        <f aca="false">IF(J605=1,0,IF(OR(AND(OR(B605="SITE LOSS",B605="REGION LOSS"),K605=1),AND(B605="ROLE COMPROMISE",H605=C605)),Inputs!$B$13,Inputs!$B$14))</f>
        <v>10</v>
      </c>
      <c r="O605" s="15" t="n">
        <f aca="false">IF(J605=1,0,Inputs!$B$13)</f>
        <v>20</v>
      </c>
      <c r="P605" s="15" t="n">
        <f aca="false">SUM(M605:N605)</f>
        <v>85</v>
      </c>
      <c r="Q605" s="15" t="n">
        <f aca="false">IF(J605=1,"",L605-P605)</f>
        <v>15</v>
      </c>
      <c r="R605" s="15" t="n">
        <f aca="false">IF(OR(J605=1,M605&lt;=Inputs!$B$12),1,0)</f>
        <v>1</v>
      </c>
      <c r="S605" s="15" t="n">
        <f aca="false">IF(OR(J605=1,N605&lt;=O605),1,0)</f>
        <v>1</v>
      </c>
      <c r="T605" s="15" t="str">
        <f aca="false">IF(J605=1,"OFFLINE",IF(AND(Q605&gt;=Inputs!$B$15,R605=1,S605=1,P605&lt;=L605),"PASS","FAIL"))</f>
        <v>PASS</v>
      </c>
    </row>
    <row r="606" customFormat="false" ht="15" hidden="false" customHeight="false" outlineLevel="0" collapsed="false">
      <c r="A606" s="14" t="s">
        <v>1024</v>
      </c>
      <c r="B606" s="14" t="s">
        <v>1019</v>
      </c>
      <c r="C606" s="14" t="s">
        <v>171</v>
      </c>
      <c r="D606" s="14" t="s">
        <v>182</v>
      </c>
      <c r="E606" s="14" t="s">
        <v>166</v>
      </c>
      <c r="F606" s="14" t="s">
        <v>183</v>
      </c>
      <c r="G606" s="14" t="n">
        <v>1</v>
      </c>
      <c r="H606" s="14" t="s">
        <v>154</v>
      </c>
      <c r="I606" s="14" t="s">
        <v>899</v>
      </c>
      <c r="J606" s="15" t="n">
        <f aca="false">IF(B606="SITE LOSS",IF(D606=C606,1,0),IF(B606="REGION LOSS",IF(E606=C606,1,0),0))</f>
        <v>0</v>
      </c>
      <c r="K606" s="15" t="n">
        <f aca="false">IF(B606="SITE LOSS",IF(COUNTIFS('Site Dockets'!$B$7:$B$24,C606,'Site Dockets'!$C$7:$C$24,F606)&gt;0,1,0),IF(B606="REGION LOSS",IF(COUNTIFS('Site Dockets'!$E$7:$E$24,C606,'Site Dockets'!$C$7:$C$24,F606)&gt;0,1,0),0))</f>
        <v>0</v>
      </c>
      <c r="L606" s="15" t="n">
        <f aca="false">IF(J606=1,0,Inputs!$B$11)</f>
        <v>100</v>
      </c>
      <c r="M606" s="15" t="n">
        <f aca="false">IF(J606=1,0,Inputs!$B$12)</f>
        <v>75</v>
      </c>
      <c r="N606" s="15" t="n">
        <f aca="false">IF(J606=1,0,IF(OR(AND(OR(B606="SITE LOSS",B606="REGION LOSS"),K606=1),AND(B606="ROLE COMPROMISE",H606=C606)),Inputs!$B$13,Inputs!$B$14))</f>
        <v>10</v>
      </c>
      <c r="O606" s="15" t="n">
        <f aca="false">IF(J606=1,0,Inputs!$B$13)</f>
        <v>20</v>
      </c>
      <c r="P606" s="15" t="n">
        <f aca="false">SUM(M606:N606)</f>
        <v>85</v>
      </c>
      <c r="Q606" s="15" t="n">
        <f aca="false">IF(J606=1,"",L606-P606)</f>
        <v>15</v>
      </c>
      <c r="R606" s="15" t="n">
        <f aca="false">IF(OR(J606=1,M606&lt;=Inputs!$B$12),1,0)</f>
        <v>1</v>
      </c>
      <c r="S606" s="15" t="n">
        <f aca="false">IF(OR(J606=1,N606&lt;=O606),1,0)</f>
        <v>1</v>
      </c>
      <c r="T606" s="15" t="str">
        <f aca="false">IF(J606=1,"OFFLINE",IF(AND(Q606&gt;=Inputs!$B$15,R606=1,S606=1,P606&lt;=L606),"PASS","FAIL"))</f>
        <v>PASS</v>
      </c>
    </row>
    <row r="607" customFormat="false" ht="15" hidden="false" customHeight="false" outlineLevel="0" collapsed="false">
      <c r="A607" s="14" t="s">
        <v>1024</v>
      </c>
      <c r="B607" s="14" t="s">
        <v>1019</v>
      </c>
      <c r="C607" s="14" t="s">
        <v>171</v>
      </c>
      <c r="D607" s="14" t="s">
        <v>186</v>
      </c>
      <c r="E607" s="14" t="s">
        <v>157</v>
      </c>
      <c r="F607" s="14" t="s">
        <v>183</v>
      </c>
      <c r="G607" s="14" t="n">
        <v>2</v>
      </c>
      <c r="H607" s="14" t="s">
        <v>153</v>
      </c>
      <c r="I607" s="14" t="s">
        <v>890</v>
      </c>
      <c r="J607" s="15" t="n">
        <f aca="false">IF(B607="SITE LOSS",IF(D607=C607,1,0),IF(B607="REGION LOSS",IF(E607=C607,1,0),0))</f>
        <v>0</v>
      </c>
      <c r="K607" s="15" t="n">
        <f aca="false">IF(B607="SITE LOSS",IF(COUNTIFS('Site Dockets'!$B$7:$B$24,C607,'Site Dockets'!$C$7:$C$24,F607)&gt;0,1,0),IF(B607="REGION LOSS",IF(COUNTIFS('Site Dockets'!$E$7:$E$24,C607,'Site Dockets'!$C$7:$C$24,F607)&gt;0,1,0),0))</f>
        <v>0</v>
      </c>
      <c r="L607" s="15" t="n">
        <f aca="false">IF(J607=1,0,Inputs!$B$11)</f>
        <v>100</v>
      </c>
      <c r="M607" s="15" t="n">
        <f aca="false">IF(J607=1,0,Inputs!$B$12)</f>
        <v>75</v>
      </c>
      <c r="N607" s="15" t="n">
        <f aca="false">IF(J607=1,0,IF(OR(AND(OR(B607="SITE LOSS",B607="REGION LOSS"),K607=1),AND(B607="ROLE COMPROMISE",H607=C607)),Inputs!$B$13,Inputs!$B$14))</f>
        <v>10</v>
      </c>
      <c r="O607" s="15" t="n">
        <f aca="false">IF(J607=1,0,Inputs!$B$13)</f>
        <v>20</v>
      </c>
      <c r="P607" s="15" t="n">
        <f aca="false">SUM(M607:N607)</f>
        <v>85</v>
      </c>
      <c r="Q607" s="15" t="n">
        <f aca="false">IF(J607=1,"",L607-P607)</f>
        <v>15</v>
      </c>
      <c r="R607" s="15" t="n">
        <f aca="false">IF(OR(J607=1,M607&lt;=Inputs!$B$12),1,0)</f>
        <v>1</v>
      </c>
      <c r="S607" s="15" t="n">
        <f aca="false">IF(OR(J607=1,N607&lt;=O607),1,0)</f>
        <v>1</v>
      </c>
      <c r="T607" s="15" t="str">
        <f aca="false">IF(J607=1,"OFFLINE",IF(AND(Q607&gt;=Inputs!$B$15,R607=1,S607=1,P607&lt;=L607),"PASS","FAIL"))</f>
        <v>PASS</v>
      </c>
    </row>
    <row r="608" customFormat="false" ht="15" hidden="false" customHeight="false" outlineLevel="0" collapsed="false">
      <c r="A608" s="14" t="s">
        <v>1024</v>
      </c>
      <c r="B608" s="14" t="s">
        <v>1019</v>
      </c>
      <c r="C608" s="14" t="s">
        <v>171</v>
      </c>
      <c r="D608" s="14" t="s">
        <v>186</v>
      </c>
      <c r="E608" s="14" t="s">
        <v>157</v>
      </c>
      <c r="F608" s="14" t="s">
        <v>183</v>
      </c>
      <c r="G608" s="14" t="n">
        <v>2</v>
      </c>
      <c r="H608" s="14" t="s">
        <v>153</v>
      </c>
      <c r="I608" s="14" t="s">
        <v>892</v>
      </c>
      <c r="J608" s="15" t="n">
        <f aca="false">IF(B608="SITE LOSS",IF(D608=C608,1,0),IF(B608="REGION LOSS",IF(E608=C608,1,0),0))</f>
        <v>0</v>
      </c>
      <c r="K608" s="15" t="n">
        <f aca="false">IF(B608="SITE LOSS",IF(COUNTIFS('Site Dockets'!$B$7:$B$24,C608,'Site Dockets'!$C$7:$C$24,F608)&gt;0,1,0),IF(B608="REGION LOSS",IF(COUNTIFS('Site Dockets'!$E$7:$E$24,C608,'Site Dockets'!$C$7:$C$24,F608)&gt;0,1,0),0))</f>
        <v>0</v>
      </c>
      <c r="L608" s="15" t="n">
        <f aca="false">IF(J608=1,0,Inputs!$B$11)</f>
        <v>100</v>
      </c>
      <c r="M608" s="15" t="n">
        <f aca="false">IF(J608=1,0,Inputs!$B$12)</f>
        <v>75</v>
      </c>
      <c r="N608" s="15" t="n">
        <f aca="false">IF(J608=1,0,IF(OR(AND(OR(B608="SITE LOSS",B608="REGION LOSS"),K608=1),AND(B608="ROLE COMPROMISE",H608=C608)),Inputs!$B$13,Inputs!$B$14))</f>
        <v>10</v>
      </c>
      <c r="O608" s="15" t="n">
        <f aca="false">IF(J608=1,0,Inputs!$B$13)</f>
        <v>20</v>
      </c>
      <c r="P608" s="15" t="n">
        <f aca="false">SUM(M608:N608)</f>
        <v>85</v>
      </c>
      <c r="Q608" s="15" t="n">
        <f aca="false">IF(J608=1,"",L608-P608)</f>
        <v>15</v>
      </c>
      <c r="R608" s="15" t="n">
        <f aca="false">IF(OR(J608=1,M608&lt;=Inputs!$B$12),1,0)</f>
        <v>1</v>
      </c>
      <c r="S608" s="15" t="n">
        <f aca="false">IF(OR(J608=1,N608&lt;=O608),1,0)</f>
        <v>1</v>
      </c>
      <c r="T608" s="15" t="str">
        <f aca="false">IF(J608=1,"OFFLINE",IF(AND(Q608&gt;=Inputs!$B$15,R608=1,S608=1,P608&lt;=L608),"PASS","FAIL"))</f>
        <v>PASS</v>
      </c>
    </row>
    <row r="609" customFormat="false" ht="15" hidden="false" customHeight="false" outlineLevel="0" collapsed="false">
      <c r="A609" s="14" t="s">
        <v>1024</v>
      </c>
      <c r="B609" s="14" t="s">
        <v>1019</v>
      </c>
      <c r="C609" s="14" t="s">
        <v>171</v>
      </c>
      <c r="D609" s="14" t="s">
        <v>186</v>
      </c>
      <c r="E609" s="14" t="s">
        <v>157</v>
      </c>
      <c r="F609" s="14" t="s">
        <v>183</v>
      </c>
      <c r="G609" s="14" t="n">
        <v>2</v>
      </c>
      <c r="H609" s="14" t="s">
        <v>153</v>
      </c>
      <c r="I609" s="14" t="s">
        <v>811</v>
      </c>
      <c r="J609" s="15" t="n">
        <f aca="false">IF(B609="SITE LOSS",IF(D609=C609,1,0),IF(B609="REGION LOSS",IF(E609=C609,1,0),0))</f>
        <v>0</v>
      </c>
      <c r="K609" s="15" t="n">
        <f aca="false">IF(B609="SITE LOSS",IF(COUNTIFS('Site Dockets'!$B$7:$B$24,C609,'Site Dockets'!$C$7:$C$24,F609)&gt;0,1,0),IF(B609="REGION LOSS",IF(COUNTIFS('Site Dockets'!$E$7:$E$24,C609,'Site Dockets'!$C$7:$C$24,F609)&gt;0,1,0),0))</f>
        <v>0</v>
      </c>
      <c r="L609" s="15" t="n">
        <f aca="false">IF(J609=1,0,Inputs!$B$11)</f>
        <v>100</v>
      </c>
      <c r="M609" s="15" t="n">
        <f aca="false">IF(J609=1,0,Inputs!$B$12)</f>
        <v>75</v>
      </c>
      <c r="N609" s="15" t="n">
        <f aca="false">IF(J609=1,0,IF(OR(AND(OR(B609="SITE LOSS",B609="REGION LOSS"),K609=1),AND(B609="ROLE COMPROMISE",H609=C609)),Inputs!$B$13,Inputs!$B$14))</f>
        <v>10</v>
      </c>
      <c r="O609" s="15" t="n">
        <f aca="false">IF(J609=1,0,Inputs!$B$13)</f>
        <v>20</v>
      </c>
      <c r="P609" s="15" t="n">
        <f aca="false">SUM(M609:N609)</f>
        <v>85</v>
      </c>
      <c r="Q609" s="15" t="n">
        <f aca="false">IF(J609=1,"",L609-P609)</f>
        <v>15</v>
      </c>
      <c r="R609" s="15" t="n">
        <f aca="false">IF(OR(J609=1,M609&lt;=Inputs!$B$12),1,0)</f>
        <v>1</v>
      </c>
      <c r="S609" s="15" t="n">
        <f aca="false">IF(OR(J609=1,N609&lt;=O609),1,0)</f>
        <v>1</v>
      </c>
      <c r="T609" s="15" t="str">
        <f aca="false">IF(J609=1,"OFFLINE",IF(AND(Q609&gt;=Inputs!$B$15,R609=1,S609=1,P609&lt;=L609),"PASS","FAIL"))</f>
        <v>PASS</v>
      </c>
    </row>
    <row r="610" customFormat="false" ht="15" hidden="false" customHeight="false" outlineLevel="0" collapsed="false">
      <c r="A610" s="14" t="s">
        <v>1024</v>
      </c>
      <c r="B610" s="14" t="s">
        <v>1019</v>
      </c>
      <c r="C610" s="14" t="s">
        <v>171</v>
      </c>
      <c r="D610" s="14" t="s">
        <v>186</v>
      </c>
      <c r="E610" s="14" t="s">
        <v>157</v>
      </c>
      <c r="F610" s="14" t="s">
        <v>183</v>
      </c>
      <c r="G610" s="14" t="n">
        <v>2</v>
      </c>
      <c r="H610" s="14" t="s">
        <v>153</v>
      </c>
      <c r="I610" s="14" t="s">
        <v>895</v>
      </c>
      <c r="J610" s="15" t="n">
        <f aca="false">IF(B610="SITE LOSS",IF(D610=C610,1,0),IF(B610="REGION LOSS",IF(E610=C610,1,0),0))</f>
        <v>0</v>
      </c>
      <c r="K610" s="15" t="n">
        <f aca="false">IF(B610="SITE LOSS",IF(COUNTIFS('Site Dockets'!$B$7:$B$24,C610,'Site Dockets'!$C$7:$C$24,F610)&gt;0,1,0),IF(B610="REGION LOSS",IF(COUNTIFS('Site Dockets'!$E$7:$E$24,C610,'Site Dockets'!$C$7:$C$24,F610)&gt;0,1,0),0))</f>
        <v>0</v>
      </c>
      <c r="L610" s="15" t="n">
        <f aca="false">IF(J610=1,0,Inputs!$B$11)</f>
        <v>100</v>
      </c>
      <c r="M610" s="15" t="n">
        <f aca="false">IF(J610=1,0,Inputs!$B$12)</f>
        <v>75</v>
      </c>
      <c r="N610" s="15" t="n">
        <f aca="false">IF(J610=1,0,IF(OR(AND(OR(B610="SITE LOSS",B610="REGION LOSS"),K610=1),AND(B610="ROLE COMPROMISE",H610=C610)),Inputs!$B$13,Inputs!$B$14))</f>
        <v>10</v>
      </c>
      <c r="O610" s="15" t="n">
        <f aca="false">IF(J610=1,0,Inputs!$B$13)</f>
        <v>20</v>
      </c>
      <c r="P610" s="15" t="n">
        <f aca="false">SUM(M610:N610)</f>
        <v>85</v>
      </c>
      <c r="Q610" s="15" t="n">
        <f aca="false">IF(J610=1,"",L610-P610)</f>
        <v>15</v>
      </c>
      <c r="R610" s="15" t="n">
        <f aca="false">IF(OR(J610=1,M610&lt;=Inputs!$B$12),1,0)</f>
        <v>1</v>
      </c>
      <c r="S610" s="15" t="n">
        <f aca="false">IF(OR(J610=1,N610&lt;=O610),1,0)</f>
        <v>1</v>
      </c>
      <c r="T610" s="15" t="str">
        <f aca="false">IF(J610=1,"OFFLINE",IF(AND(Q610&gt;=Inputs!$B$15,R610=1,S610=1,P610&lt;=L610),"PASS","FAIL"))</f>
        <v>PASS</v>
      </c>
    </row>
    <row r="611" customFormat="false" ht="15" hidden="false" customHeight="false" outlineLevel="0" collapsed="false">
      <c r="A611" s="14" t="s">
        <v>1024</v>
      </c>
      <c r="B611" s="14" t="s">
        <v>1019</v>
      </c>
      <c r="C611" s="14" t="s">
        <v>171</v>
      </c>
      <c r="D611" s="14" t="s">
        <v>186</v>
      </c>
      <c r="E611" s="14" t="s">
        <v>157</v>
      </c>
      <c r="F611" s="14" t="s">
        <v>183</v>
      </c>
      <c r="G611" s="14" t="n">
        <v>2</v>
      </c>
      <c r="H611" s="14" t="s">
        <v>153</v>
      </c>
      <c r="I611" s="14" t="s">
        <v>897</v>
      </c>
      <c r="J611" s="15" t="n">
        <f aca="false">IF(B611="SITE LOSS",IF(D611=C611,1,0),IF(B611="REGION LOSS",IF(E611=C611,1,0),0))</f>
        <v>0</v>
      </c>
      <c r="K611" s="15" t="n">
        <f aca="false">IF(B611="SITE LOSS",IF(COUNTIFS('Site Dockets'!$B$7:$B$24,C611,'Site Dockets'!$C$7:$C$24,F611)&gt;0,1,0),IF(B611="REGION LOSS",IF(COUNTIFS('Site Dockets'!$E$7:$E$24,C611,'Site Dockets'!$C$7:$C$24,F611)&gt;0,1,0),0))</f>
        <v>0</v>
      </c>
      <c r="L611" s="15" t="n">
        <f aca="false">IF(J611=1,0,Inputs!$B$11)</f>
        <v>100</v>
      </c>
      <c r="M611" s="15" t="n">
        <f aca="false">IF(J611=1,0,Inputs!$B$12)</f>
        <v>75</v>
      </c>
      <c r="N611" s="15" t="n">
        <f aca="false">IF(J611=1,0,IF(OR(AND(OR(B611="SITE LOSS",B611="REGION LOSS"),K611=1),AND(B611="ROLE COMPROMISE",H611=C611)),Inputs!$B$13,Inputs!$B$14))</f>
        <v>10</v>
      </c>
      <c r="O611" s="15" t="n">
        <f aca="false">IF(J611=1,0,Inputs!$B$13)</f>
        <v>20</v>
      </c>
      <c r="P611" s="15" t="n">
        <f aca="false">SUM(M611:N611)</f>
        <v>85</v>
      </c>
      <c r="Q611" s="15" t="n">
        <f aca="false">IF(J611=1,"",L611-P611)</f>
        <v>15</v>
      </c>
      <c r="R611" s="15" t="n">
        <f aca="false">IF(OR(J611=1,M611&lt;=Inputs!$B$12),1,0)</f>
        <v>1</v>
      </c>
      <c r="S611" s="15" t="n">
        <f aca="false">IF(OR(J611=1,N611&lt;=O611),1,0)</f>
        <v>1</v>
      </c>
      <c r="T611" s="15" t="str">
        <f aca="false">IF(J611=1,"OFFLINE",IF(AND(Q611&gt;=Inputs!$B$15,R611=1,S611=1,P611&lt;=L611),"PASS","FAIL"))</f>
        <v>PASS</v>
      </c>
    </row>
    <row r="612" customFormat="false" ht="15" hidden="false" customHeight="false" outlineLevel="0" collapsed="false">
      <c r="A612" s="14" t="s">
        <v>1024</v>
      </c>
      <c r="B612" s="14" t="s">
        <v>1019</v>
      </c>
      <c r="C612" s="14" t="s">
        <v>171</v>
      </c>
      <c r="D612" s="14" t="s">
        <v>186</v>
      </c>
      <c r="E612" s="14" t="s">
        <v>157</v>
      </c>
      <c r="F612" s="14" t="s">
        <v>183</v>
      </c>
      <c r="G612" s="14" t="n">
        <v>2</v>
      </c>
      <c r="H612" s="14" t="s">
        <v>153</v>
      </c>
      <c r="I612" s="14" t="s">
        <v>899</v>
      </c>
      <c r="J612" s="15" t="n">
        <f aca="false">IF(B612="SITE LOSS",IF(D612=C612,1,0),IF(B612="REGION LOSS",IF(E612=C612,1,0),0))</f>
        <v>0</v>
      </c>
      <c r="K612" s="15" t="n">
        <f aca="false">IF(B612="SITE LOSS",IF(COUNTIFS('Site Dockets'!$B$7:$B$24,C612,'Site Dockets'!$C$7:$C$24,F612)&gt;0,1,0),IF(B612="REGION LOSS",IF(COUNTIFS('Site Dockets'!$E$7:$E$24,C612,'Site Dockets'!$C$7:$C$24,F612)&gt;0,1,0),0))</f>
        <v>0</v>
      </c>
      <c r="L612" s="15" t="n">
        <f aca="false">IF(J612=1,0,Inputs!$B$11)</f>
        <v>100</v>
      </c>
      <c r="M612" s="15" t="n">
        <f aca="false">IF(J612=1,0,Inputs!$B$12)</f>
        <v>75</v>
      </c>
      <c r="N612" s="15" t="n">
        <f aca="false">IF(J612=1,0,IF(OR(AND(OR(B612="SITE LOSS",B612="REGION LOSS"),K612=1),AND(B612="ROLE COMPROMISE",H612=C612)),Inputs!$B$13,Inputs!$B$14))</f>
        <v>10</v>
      </c>
      <c r="O612" s="15" t="n">
        <f aca="false">IF(J612=1,0,Inputs!$B$13)</f>
        <v>20</v>
      </c>
      <c r="P612" s="15" t="n">
        <f aca="false">SUM(M612:N612)</f>
        <v>85</v>
      </c>
      <c r="Q612" s="15" t="n">
        <f aca="false">IF(J612=1,"",L612-P612)</f>
        <v>15</v>
      </c>
      <c r="R612" s="15" t="n">
        <f aca="false">IF(OR(J612=1,M612&lt;=Inputs!$B$12),1,0)</f>
        <v>1</v>
      </c>
      <c r="S612" s="15" t="n">
        <f aca="false">IF(OR(J612=1,N612&lt;=O612),1,0)</f>
        <v>1</v>
      </c>
      <c r="T612" s="15" t="str">
        <f aca="false">IF(J612=1,"OFFLINE",IF(AND(Q612&gt;=Inputs!$B$15,R612=1,S612=1,P612&lt;=L612),"PASS","FAIL"))</f>
        <v>PASS</v>
      </c>
    </row>
    <row r="613" customFormat="false" ht="15" hidden="false" customHeight="false" outlineLevel="0" collapsed="false">
      <c r="A613" s="14" t="s">
        <v>1024</v>
      </c>
      <c r="B613" s="14" t="s">
        <v>1019</v>
      </c>
      <c r="C613" s="14" t="s">
        <v>171</v>
      </c>
      <c r="D613" s="14" t="s">
        <v>188</v>
      </c>
      <c r="E613" s="14" t="s">
        <v>172</v>
      </c>
      <c r="F613" s="14" t="s">
        <v>183</v>
      </c>
      <c r="G613" s="14" t="n">
        <v>3</v>
      </c>
      <c r="H613" s="14" t="s">
        <v>158</v>
      </c>
      <c r="I613" s="14" t="s">
        <v>890</v>
      </c>
      <c r="J613" s="15" t="n">
        <f aca="false">IF(B613="SITE LOSS",IF(D613=C613,1,0),IF(B613="REGION LOSS",IF(E613=C613,1,0),0))</f>
        <v>0</v>
      </c>
      <c r="K613" s="15" t="n">
        <f aca="false">IF(B613="SITE LOSS",IF(COUNTIFS('Site Dockets'!$B$7:$B$24,C613,'Site Dockets'!$C$7:$C$24,F613)&gt;0,1,0),IF(B613="REGION LOSS",IF(COUNTIFS('Site Dockets'!$E$7:$E$24,C613,'Site Dockets'!$C$7:$C$24,F613)&gt;0,1,0),0))</f>
        <v>0</v>
      </c>
      <c r="L613" s="15" t="n">
        <f aca="false">IF(J613=1,0,Inputs!$B$11)</f>
        <v>100</v>
      </c>
      <c r="M613" s="15" t="n">
        <f aca="false">IF(J613=1,0,Inputs!$B$12)</f>
        <v>75</v>
      </c>
      <c r="N613" s="15" t="n">
        <f aca="false">IF(J613=1,0,IF(OR(AND(OR(B613="SITE LOSS",B613="REGION LOSS"),K613=1),AND(B613="ROLE COMPROMISE",H613=C613)),Inputs!$B$13,Inputs!$B$14))</f>
        <v>10</v>
      </c>
      <c r="O613" s="15" t="n">
        <f aca="false">IF(J613=1,0,Inputs!$B$13)</f>
        <v>20</v>
      </c>
      <c r="P613" s="15" t="n">
        <f aca="false">SUM(M613:N613)</f>
        <v>85</v>
      </c>
      <c r="Q613" s="15" t="n">
        <f aca="false">IF(J613=1,"",L613-P613)</f>
        <v>15</v>
      </c>
      <c r="R613" s="15" t="n">
        <f aca="false">IF(OR(J613=1,M613&lt;=Inputs!$B$12),1,0)</f>
        <v>1</v>
      </c>
      <c r="S613" s="15" t="n">
        <f aca="false">IF(OR(J613=1,N613&lt;=O613),1,0)</f>
        <v>1</v>
      </c>
      <c r="T613" s="15" t="str">
        <f aca="false">IF(J613=1,"OFFLINE",IF(AND(Q613&gt;=Inputs!$B$15,R613=1,S613=1,P613&lt;=L613),"PASS","FAIL"))</f>
        <v>PASS</v>
      </c>
    </row>
    <row r="614" customFormat="false" ht="15" hidden="false" customHeight="false" outlineLevel="0" collapsed="false">
      <c r="A614" s="14" t="s">
        <v>1024</v>
      </c>
      <c r="B614" s="14" t="s">
        <v>1019</v>
      </c>
      <c r="C614" s="14" t="s">
        <v>171</v>
      </c>
      <c r="D614" s="14" t="s">
        <v>188</v>
      </c>
      <c r="E614" s="14" t="s">
        <v>172</v>
      </c>
      <c r="F614" s="14" t="s">
        <v>183</v>
      </c>
      <c r="G614" s="14" t="n">
        <v>3</v>
      </c>
      <c r="H614" s="14" t="s">
        <v>158</v>
      </c>
      <c r="I614" s="14" t="s">
        <v>892</v>
      </c>
      <c r="J614" s="15" t="n">
        <f aca="false">IF(B614="SITE LOSS",IF(D614=C614,1,0),IF(B614="REGION LOSS",IF(E614=C614,1,0),0))</f>
        <v>0</v>
      </c>
      <c r="K614" s="15" t="n">
        <f aca="false">IF(B614="SITE LOSS",IF(COUNTIFS('Site Dockets'!$B$7:$B$24,C614,'Site Dockets'!$C$7:$C$24,F614)&gt;0,1,0),IF(B614="REGION LOSS",IF(COUNTIFS('Site Dockets'!$E$7:$E$24,C614,'Site Dockets'!$C$7:$C$24,F614)&gt;0,1,0),0))</f>
        <v>0</v>
      </c>
      <c r="L614" s="15" t="n">
        <f aca="false">IF(J614=1,0,Inputs!$B$11)</f>
        <v>100</v>
      </c>
      <c r="M614" s="15" t="n">
        <f aca="false">IF(J614=1,0,Inputs!$B$12)</f>
        <v>75</v>
      </c>
      <c r="N614" s="15" t="n">
        <f aca="false">IF(J614=1,0,IF(OR(AND(OR(B614="SITE LOSS",B614="REGION LOSS"),K614=1),AND(B614="ROLE COMPROMISE",H614=C614)),Inputs!$B$13,Inputs!$B$14))</f>
        <v>10</v>
      </c>
      <c r="O614" s="15" t="n">
        <f aca="false">IF(J614=1,0,Inputs!$B$13)</f>
        <v>20</v>
      </c>
      <c r="P614" s="15" t="n">
        <f aca="false">SUM(M614:N614)</f>
        <v>85</v>
      </c>
      <c r="Q614" s="15" t="n">
        <f aca="false">IF(J614=1,"",L614-P614)</f>
        <v>15</v>
      </c>
      <c r="R614" s="15" t="n">
        <f aca="false">IF(OR(J614=1,M614&lt;=Inputs!$B$12),1,0)</f>
        <v>1</v>
      </c>
      <c r="S614" s="15" t="n">
        <f aca="false">IF(OR(J614=1,N614&lt;=O614),1,0)</f>
        <v>1</v>
      </c>
      <c r="T614" s="15" t="str">
        <f aca="false">IF(J614=1,"OFFLINE",IF(AND(Q614&gt;=Inputs!$B$15,R614=1,S614=1,P614&lt;=L614),"PASS","FAIL"))</f>
        <v>PASS</v>
      </c>
    </row>
    <row r="615" customFormat="false" ht="15" hidden="false" customHeight="false" outlineLevel="0" collapsed="false">
      <c r="A615" s="14" t="s">
        <v>1024</v>
      </c>
      <c r="B615" s="14" t="s">
        <v>1019</v>
      </c>
      <c r="C615" s="14" t="s">
        <v>171</v>
      </c>
      <c r="D615" s="14" t="s">
        <v>188</v>
      </c>
      <c r="E615" s="14" t="s">
        <v>172</v>
      </c>
      <c r="F615" s="14" t="s">
        <v>183</v>
      </c>
      <c r="G615" s="14" t="n">
        <v>3</v>
      </c>
      <c r="H615" s="14" t="s">
        <v>158</v>
      </c>
      <c r="I615" s="14" t="s">
        <v>811</v>
      </c>
      <c r="J615" s="15" t="n">
        <f aca="false">IF(B615="SITE LOSS",IF(D615=C615,1,0),IF(B615="REGION LOSS",IF(E615=C615,1,0),0))</f>
        <v>0</v>
      </c>
      <c r="K615" s="15" t="n">
        <f aca="false">IF(B615="SITE LOSS",IF(COUNTIFS('Site Dockets'!$B$7:$B$24,C615,'Site Dockets'!$C$7:$C$24,F615)&gt;0,1,0),IF(B615="REGION LOSS",IF(COUNTIFS('Site Dockets'!$E$7:$E$24,C615,'Site Dockets'!$C$7:$C$24,F615)&gt;0,1,0),0))</f>
        <v>0</v>
      </c>
      <c r="L615" s="15" t="n">
        <f aca="false">IF(J615=1,0,Inputs!$B$11)</f>
        <v>100</v>
      </c>
      <c r="M615" s="15" t="n">
        <f aca="false">IF(J615=1,0,Inputs!$B$12)</f>
        <v>75</v>
      </c>
      <c r="N615" s="15" t="n">
        <f aca="false">IF(J615=1,0,IF(OR(AND(OR(B615="SITE LOSS",B615="REGION LOSS"),K615=1),AND(B615="ROLE COMPROMISE",H615=C615)),Inputs!$B$13,Inputs!$B$14))</f>
        <v>10</v>
      </c>
      <c r="O615" s="15" t="n">
        <f aca="false">IF(J615=1,0,Inputs!$B$13)</f>
        <v>20</v>
      </c>
      <c r="P615" s="15" t="n">
        <f aca="false">SUM(M615:N615)</f>
        <v>85</v>
      </c>
      <c r="Q615" s="15" t="n">
        <f aca="false">IF(J615=1,"",L615-P615)</f>
        <v>15</v>
      </c>
      <c r="R615" s="15" t="n">
        <f aca="false">IF(OR(J615=1,M615&lt;=Inputs!$B$12),1,0)</f>
        <v>1</v>
      </c>
      <c r="S615" s="15" t="n">
        <f aca="false">IF(OR(J615=1,N615&lt;=O615),1,0)</f>
        <v>1</v>
      </c>
      <c r="T615" s="15" t="str">
        <f aca="false">IF(J615=1,"OFFLINE",IF(AND(Q615&gt;=Inputs!$B$15,R615=1,S615=1,P615&lt;=L615),"PASS","FAIL"))</f>
        <v>PASS</v>
      </c>
    </row>
    <row r="616" customFormat="false" ht="15" hidden="false" customHeight="false" outlineLevel="0" collapsed="false">
      <c r="A616" s="14" t="s">
        <v>1024</v>
      </c>
      <c r="B616" s="14" t="s">
        <v>1019</v>
      </c>
      <c r="C616" s="14" t="s">
        <v>171</v>
      </c>
      <c r="D616" s="14" t="s">
        <v>188</v>
      </c>
      <c r="E616" s="14" t="s">
        <v>172</v>
      </c>
      <c r="F616" s="14" t="s">
        <v>183</v>
      </c>
      <c r="G616" s="14" t="n">
        <v>3</v>
      </c>
      <c r="H616" s="14" t="s">
        <v>158</v>
      </c>
      <c r="I616" s="14" t="s">
        <v>895</v>
      </c>
      <c r="J616" s="15" t="n">
        <f aca="false">IF(B616="SITE LOSS",IF(D616=C616,1,0),IF(B616="REGION LOSS",IF(E616=C616,1,0),0))</f>
        <v>0</v>
      </c>
      <c r="K616" s="15" t="n">
        <f aca="false">IF(B616="SITE LOSS",IF(COUNTIFS('Site Dockets'!$B$7:$B$24,C616,'Site Dockets'!$C$7:$C$24,F616)&gt;0,1,0),IF(B616="REGION LOSS",IF(COUNTIFS('Site Dockets'!$E$7:$E$24,C616,'Site Dockets'!$C$7:$C$24,F616)&gt;0,1,0),0))</f>
        <v>0</v>
      </c>
      <c r="L616" s="15" t="n">
        <f aca="false">IF(J616=1,0,Inputs!$B$11)</f>
        <v>100</v>
      </c>
      <c r="M616" s="15" t="n">
        <f aca="false">IF(J616=1,0,Inputs!$B$12)</f>
        <v>75</v>
      </c>
      <c r="N616" s="15" t="n">
        <f aca="false">IF(J616=1,0,IF(OR(AND(OR(B616="SITE LOSS",B616="REGION LOSS"),K616=1),AND(B616="ROLE COMPROMISE",H616=C616)),Inputs!$B$13,Inputs!$B$14))</f>
        <v>10</v>
      </c>
      <c r="O616" s="15" t="n">
        <f aca="false">IF(J616=1,0,Inputs!$B$13)</f>
        <v>20</v>
      </c>
      <c r="P616" s="15" t="n">
        <f aca="false">SUM(M616:N616)</f>
        <v>85</v>
      </c>
      <c r="Q616" s="15" t="n">
        <f aca="false">IF(J616=1,"",L616-P616)</f>
        <v>15</v>
      </c>
      <c r="R616" s="15" t="n">
        <f aca="false">IF(OR(J616=1,M616&lt;=Inputs!$B$12),1,0)</f>
        <v>1</v>
      </c>
      <c r="S616" s="15" t="n">
        <f aca="false">IF(OR(J616=1,N616&lt;=O616),1,0)</f>
        <v>1</v>
      </c>
      <c r="T616" s="15" t="str">
        <f aca="false">IF(J616=1,"OFFLINE",IF(AND(Q616&gt;=Inputs!$B$15,R616=1,S616=1,P616&lt;=L616),"PASS","FAIL"))</f>
        <v>PASS</v>
      </c>
    </row>
    <row r="617" customFormat="false" ht="15" hidden="false" customHeight="false" outlineLevel="0" collapsed="false">
      <c r="A617" s="14" t="s">
        <v>1024</v>
      </c>
      <c r="B617" s="14" t="s">
        <v>1019</v>
      </c>
      <c r="C617" s="14" t="s">
        <v>171</v>
      </c>
      <c r="D617" s="14" t="s">
        <v>188</v>
      </c>
      <c r="E617" s="14" t="s">
        <v>172</v>
      </c>
      <c r="F617" s="14" t="s">
        <v>183</v>
      </c>
      <c r="G617" s="14" t="n">
        <v>3</v>
      </c>
      <c r="H617" s="14" t="s">
        <v>158</v>
      </c>
      <c r="I617" s="14" t="s">
        <v>897</v>
      </c>
      <c r="J617" s="15" t="n">
        <f aca="false">IF(B617="SITE LOSS",IF(D617=C617,1,0),IF(B617="REGION LOSS",IF(E617=C617,1,0),0))</f>
        <v>0</v>
      </c>
      <c r="K617" s="15" t="n">
        <f aca="false">IF(B617="SITE LOSS",IF(COUNTIFS('Site Dockets'!$B$7:$B$24,C617,'Site Dockets'!$C$7:$C$24,F617)&gt;0,1,0),IF(B617="REGION LOSS",IF(COUNTIFS('Site Dockets'!$E$7:$E$24,C617,'Site Dockets'!$C$7:$C$24,F617)&gt;0,1,0),0))</f>
        <v>0</v>
      </c>
      <c r="L617" s="15" t="n">
        <f aca="false">IF(J617=1,0,Inputs!$B$11)</f>
        <v>100</v>
      </c>
      <c r="M617" s="15" t="n">
        <f aca="false">IF(J617=1,0,Inputs!$B$12)</f>
        <v>75</v>
      </c>
      <c r="N617" s="15" t="n">
        <f aca="false">IF(J617=1,0,IF(OR(AND(OR(B617="SITE LOSS",B617="REGION LOSS"),K617=1),AND(B617="ROLE COMPROMISE",H617=C617)),Inputs!$B$13,Inputs!$B$14))</f>
        <v>10</v>
      </c>
      <c r="O617" s="15" t="n">
        <f aca="false">IF(J617=1,0,Inputs!$B$13)</f>
        <v>20</v>
      </c>
      <c r="P617" s="15" t="n">
        <f aca="false">SUM(M617:N617)</f>
        <v>85</v>
      </c>
      <c r="Q617" s="15" t="n">
        <f aca="false">IF(J617=1,"",L617-P617)</f>
        <v>15</v>
      </c>
      <c r="R617" s="15" t="n">
        <f aca="false">IF(OR(J617=1,M617&lt;=Inputs!$B$12),1,0)</f>
        <v>1</v>
      </c>
      <c r="S617" s="15" t="n">
        <f aca="false">IF(OR(J617=1,N617&lt;=O617),1,0)</f>
        <v>1</v>
      </c>
      <c r="T617" s="15" t="str">
        <f aca="false">IF(J617=1,"OFFLINE",IF(AND(Q617&gt;=Inputs!$B$15,R617=1,S617=1,P617&lt;=L617),"PASS","FAIL"))</f>
        <v>PASS</v>
      </c>
    </row>
    <row r="618" customFormat="false" ht="15" hidden="false" customHeight="false" outlineLevel="0" collapsed="false">
      <c r="A618" s="14" t="s">
        <v>1024</v>
      </c>
      <c r="B618" s="14" t="s">
        <v>1019</v>
      </c>
      <c r="C618" s="14" t="s">
        <v>171</v>
      </c>
      <c r="D618" s="14" t="s">
        <v>188</v>
      </c>
      <c r="E618" s="14" t="s">
        <v>172</v>
      </c>
      <c r="F618" s="14" t="s">
        <v>183</v>
      </c>
      <c r="G618" s="14" t="n">
        <v>3</v>
      </c>
      <c r="H618" s="14" t="s">
        <v>158</v>
      </c>
      <c r="I618" s="14" t="s">
        <v>899</v>
      </c>
      <c r="J618" s="15" t="n">
        <f aca="false">IF(B618="SITE LOSS",IF(D618=C618,1,0),IF(B618="REGION LOSS",IF(E618=C618,1,0),0))</f>
        <v>0</v>
      </c>
      <c r="K618" s="15" t="n">
        <f aca="false">IF(B618="SITE LOSS",IF(COUNTIFS('Site Dockets'!$B$7:$B$24,C618,'Site Dockets'!$C$7:$C$24,F618)&gt;0,1,0),IF(B618="REGION LOSS",IF(COUNTIFS('Site Dockets'!$E$7:$E$24,C618,'Site Dockets'!$C$7:$C$24,F618)&gt;0,1,0),0))</f>
        <v>0</v>
      </c>
      <c r="L618" s="15" t="n">
        <f aca="false">IF(J618=1,0,Inputs!$B$11)</f>
        <v>100</v>
      </c>
      <c r="M618" s="15" t="n">
        <f aca="false">IF(J618=1,0,Inputs!$B$12)</f>
        <v>75</v>
      </c>
      <c r="N618" s="15" t="n">
        <f aca="false">IF(J618=1,0,IF(OR(AND(OR(B618="SITE LOSS",B618="REGION LOSS"),K618=1),AND(B618="ROLE COMPROMISE",H618=C618)),Inputs!$B$13,Inputs!$B$14))</f>
        <v>10</v>
      </c>
      <c r="O618" s="15" t="n">
        <f aca="false">IF(J618=1,0,Inputs!$B$13)</f>
        <v>20</v>
      </c>
      <c r="P618" s="15" t="n">
        <f aca="false">SUM(M618:N618)</f>
        <v>85</v>
      </c>
      <c r="Q618" s="15" t="n">
        <f aca="false">IF(J618=1,"",L618-P618)</f>
        <v>15</v>
      </c>
      <c r="R618" s="15" t="n">
        <f aca="false">IF(OR(J618=1,M618&lt;=Inputs!$B$12),1,0)</f>
        <v>1</v>
      </c>
      <c r="S618" s="15" t="n">
        <f aca="false">IF(OR(J618=1,N618&lt;=O618),1,0)</f>
        <v>1</v>
      </c>
      <c r="T618" s="15" t="str">
        <f aca="false">IF(J618=1,"OFFLINE",IF(AND(Q618&gt;=Inputs!$B$15,R618=1,S618=1,P618&lt;=L618),"PASS","FAIL"))</f>
        <v>PASS</v>
      </c>
    </row>
    <row r="619" customFormat="false" ht="15" hidden="false" customHeight="false" outlineLevel="0" collapsed="false">
      <c r="A619" s="14" t="s">
        <v>1024</v>
      </c>
      <c r="B619" s="14" t="s">
        <v>1019</v>
      </c>
      <c r="C619" s="14" t="s">
        <v>171</v>
      </c>
      <c r="D619" s="14" t="s">
        <v>190</v>
      </c>
      <c r="E619" s="14" t="s">
        <v>152</v>
      </c>
      <c r="F619" s="14" t="s">
        <v>191</v>
      </c>
      <c r="G619" s="14" t="n">
        <v>1</v>
      </c>
      <c r="H619" s="14" t="s">
        <v>154</v>
      </c>
      <c r="I619" s="14" t="s">
        <v>890</v>
      </c>
      <c r="J619" s="15" t="n">
        <f aca="false">IF(B619="SITE LOSS",IF(D619=C619,1,0),IF(B619="REGION LOSS",IF(E619=C619,1,0),0))</f>
        <v>0</v>
      </c>
      <c r="K619" s="15" t="n">
        <f aca="false">IF(B619="SITE LOSS",IF(COUNTIFS('Site Dockets'!$B$7:$B$24,C619,'Site Dockets'!$C$7:$C$24,F619)&gt;0,1,0),IF(B619="REGION LOSS",IF(COUNTIFS('Site Dockets'!$E$7:$E$24,C619,'Site Dockets'!$C$7:$C$24,F619)&gt;0,1,0),0))</f>
        <v>0</v>
      </c>
      <c r="L619" s="15" t="n">
        <f aca="false">IF(J619=1,0,Inputs!$B$11)</f>
        <v>100</v>
      </c>
      <c r="M619" s="15" t="n">
        <f aca="false">IF(J619=1,0,Inputs!$B$12)</f>
        <v>75</v>
      </c>
      <c r="N619" s="15" t="n">
        <f aca="false">IF(J619=1,0,IF(OR(AND(OR(B619="SITE LOSS",B619="REGION LOSS"),K619=1),AND(B619="ROLE COMPROMISE",H619=C619)),Inputs!$B$13,Inputs!$B$14))</f>
        <v>10</v>
      </c>
      <c r="O619" s="15" t="n">
        <f aca="false">IF(J619=1,0,Inputs!$B$13)</f>
        <v>20</v>
      </c>
      <c r="P619" s="15" t="n">
        <f aca="false">SUM(M619:N619)</f>
        <v>85</v>
      </c>
      <c r="Q619" s="15" t="n">
        <f aca="false">IF(J619=1,"",L619-P619)</f>
        <v>15</v>
      </c>
      <c r="R619" s="15" t="n">
        <f aca="false">IF(OR(J619=1,M619&lt;=Inputs!$B$12),1,0)</f>
        <v>1</v>
      </c>
      <c r="S619" s="15" t="n">
        <f aca="false">IF(OR(J619=1,N619&lt;=O619),1,0)</f>
        <v>1</v>
      </c>
      <c r="T619" s="15" t="str">
        <f aca="false">IF(J619=1,"OFFLINE",IF(AND(Q619&gt;=Inputs!$B$15,R619=1,S619=1,P619&lt;=L619),"PASS","FAIL"))</f>
        <v>PASS</v>
      </c>
    </row>
    <row r="620" customFormat="false" ht="15" hidden="false" customHeight="false" outlineLevel="0" collapsed="false">
      <c r="A620" s="14" t="s">
        <v>1024</v>
      </c>
      <c r="B620" s="14" t="s">
        <v>1019</v>
      </c>
      <c r="C620" s="14" t="s">
        <v>171</v>
      </c>
      <c r="D620" s="14" t="s">
        <v>190</v>
      </c>
      <c r="E620" s="14" t="s">
        <v>152</v>
      </c>
      <c r="F620" s="14" t="s">
        <v>191</v>
      </c>
      <c r="G620" s="14" t="n">
        <v>1</v>
      </c>
      <c r="H620" s="14" t="s">
        <v>154</v>
      </c>
      <c r="I620" s="14" t="s">
        <v>892</v>
      </c>
      <c r="J620" s="15" t="n">
        <f aca="false">IF(B620="SITE LOSS",IF(D620=C620,1,0),IF(B620="REGION LOSS",IF(E620=C620,1,0),0))</f>
        <v>0</v>
      </c>
      <c r="K620" s="15" t="n">
        <f aca="false">IF(B620="SITE LOSS",IF(COUNTIFS('Site Dockets'!$B$7:$B$24,C620,'Site Dockets'!$C$7:$C$24,F620)&gt;0,1,0),IF(B620="REGION LOSS",IF(COUNTIFS('Site Dockets'!$E$7:$E$24,C620,'Site Dockets'!$C$7:$C$24,F620)&gt;0,1,0),0))</f>
        <v>0</v>
      </c>
      <c r="L620" s="15" t="n">
        <f aca="false">IF(J620=1,0,Inputs!$B$11)</f>
        <v>100</v>
      </c>
      <c r="M620" s="15" t="n">
        <f aca="false">IF(J620=1,0,Inputs!$B$12)</f>
        <v>75</v>
      </c>
      <c r="N620" s="15" t="n">
        <f aca="false">IF(J620=1,0,IF(OR(AND(OR(B620="SITE LOSS",B620="REGION LOSS"),K620=1),AND(B620="ROLE COMPROMISE",H620=C620)),Inputs!$B$13,Inputs!$B$14))</f>
        <v>10</v>
      </c>
      <c r="O620" s="15" t="n">
        <f aca="false">IF(J620=1,0,Inputs!$B$13)</f>
        <v>20</v>
      </c>
      <c r="P620" s="15" t="n">
        <f aca="false">SUM(M620:N620)</f>
        <v>85</v>
      </c>
      <c r="Q620" s="15" t="n">
        <f aca="false">IF(J620=1,"",L620-P620)</f>
        <v>15</v>
      </c>
      <c r="R620" s="15" t="n">
        <f aca="false">IF(OR(J620=1,M620&lt;=Inputs!$B$12),1,0)</f>
        <v>1</v>
      </c>
      <c r="S620" s="15" t="n">
        <f aca="false">IF(OR(J620=1,N620&lt;=O620),1,0)</f>
        <v>1</v>
      </c>
      <c r="T620" s="15" t="str">
        <f aca="false">IF(J620=1,"OFFLINE",IF(AND(Q620&gt;=Inputs!$B$15,R620=1,S620=1,P620&lt;=L620),"PASS","FAIL"))</f>
        <v>PASS</v>
      </c>
    </row>
    <row r="621" customFormat="false" ht="15" hidden="false" customHeight="false" outlineLevel="0" collapsed="false">
      <c r="A621" s="14" t="s">
        <v>1024</v>
      </c>
      <c r="B621" s="14" t="s">
        <v>1019</v>
      </c>
      <c r="C621" s="14" t="s">
        <v>171</v>
      </c>
      <c r="D621" s="14" t="s">
        <v>190</v>
      </c>
      <c r="E621" s="14" t="s">
        <v>152</v>
      </c>
      <c r="F621" s="14" t="s">
        <v>191</v>
      </c>
      <c r="G621" s="14" t="n">
        <v>1</v>
      </c>
      <c r="H621" s="14" t="s">
        <v>154</v>
      </c>
      <c r="I621" s="14" t="s">
        <v>811</v>
      </c>
      <c r="J621" s="15" t="n">
        <f aca="false">IF(B621="SITE LOSS",IF(D621=C621,1,0),IF(B621="REGION LOSS",IF(E621=C621,1,0),0))</f>
        <v>0</v>
      </c>
      <c r="K621" s="15" t="n">
        <f aca="false">IF(B621="SITE LOSS",IF(COUNTIFS('Site Dockets'!$B$7:$B$24,C621,'Site Dockets'!$C$7:$C$24,F621)&gt;0,1,0),IF(B621="REGION LOSS",IF(COUNTIFS('Site Dockets'!$E$7:$E$24,C621,'Site Dockets'!$C$7:$C$24,F621)&gt;0,1,0),0))</f>
        <v>0</v>
      </c>
      <c r="L621" s="15" t="n">
        <f aca="false">IF(J621=1,0,Inputs!$B$11)</f>
        <v>100</v>
      </c>
      <c r="M621" s="15" t="n">
        <f aca="false">IF(J621=1,0,Inputs!$B$12)</f>
        <v>75</v>
      </c>
      <c r="N621" s="15" t="n">
        <f aca="false">IF(J621=1,0,IF(OR(AND(OR(B621="SITE LOSS",B621="REGION LOSS"),K621=1),AND(B621="ROLE COMPROMISE",H621=C621)),Inputs!$B$13,Inputs!$B$14))</f>
        <v>10</v>
      </c>
      <c r="O621" s="15" t="n">
        <f aca="false">IF(J621=1,0,Inputs!$B$13)</f>
        <v>20</v>
      </c>
      <c r="P621" s="15" t="n">
        <f aca="false">SUM(M621:N621)</f>
        <v>85</v>
      </c>
      <c r="Q621" s="15" t="n">
        <f aca="false">IF(J621=1,"",L621-P621)</f>
        <v>15</v>
      </c>
      <c r="R621" s="15" t="n">
        <f aca="false">IF(OR(J621=1,M621&lt;=Inputs!$B$12),1,0)</f>
        <v>1</v>
      </c>
      <c r="S621" s="15" t="n">
        <f aca="false">IF(OR(J621=1,N621&lt;=O621),1,0)</f>
        <v>1</v>
      </c>
      <c r="T621" s="15" t="str">
        <f aca="false">IF(J621=1,"OFFLINE",IF(AND(Q621&gt;=Inputs!$B$15,R621=1,S621=1,P621&lt;=L621),"PASS","FAIL"))</f>
        <v>PASS</v>
      </c>
    </row>
    <row r="622" customFormat="false" ht="15" hidden="false" customHeight="false" outlineLevel="0" collapsed="false">
      <c r="A622" s="14" t="s">
        <v>1024</v>
      </c>
      <c r="B622" s="14" t="s">
        <v>1019</v>
      </c>
      <c r="C622" s="14" t="s">
        <v>171</v>
      </c>
      <c r="D622" s="14" t="s">
        <v>190</v>
      </c>
      <c r="E622" s="14" t="s">
        <v>152</v>
      </c>
      <c r="F622" s="14" t="s">
        <v>191</v>
      </c>
      <c r="G622" s="14" t="n">
        <v>1</v>
      </c>
      <c r="H622" s="14" t="s">
        <v>154</v>
      </c>
      <c r="I622" s="14" t="s">
        <v>895</v>
      </c>
      <c r="J622" s="15" t="n">
        <f aca="false">IF(B622="SITE LOSS",IF(D622=C622,1,0),IF(B622="REGION LOSS",IF(E622=C622,1,0),0))</f>
        <v>0</v>
      </c>
      <c r="K622" s="15" t="n">
        <f aca="false">IF(B622="SITE LOSS",IF(COUNTIFS('Site Dockets'!$B$7:$B$24,C622,'Site Dockets'!$C$7:$C$24,F622)&gt;0,1,0),IF(B622="REGION LOSS",IF(COUNTIFS('Site Dockets'!$E$7:$E$24,C622,'Site Dockets'!$C$7:$C$24,F622)&gt;0,1,0),0))</f>
        <v>0</v>
      </c>
      <c r="L622" s="15" t="n">
        <f aca="false">IF(J622=1,0,Inputs!$B$11)</f>
        <v>100</v>
      </c>
      <c r="M622" s="15" t="n">
        <f aca="false">IF(J622=1,0,Inputs!$B$12)</f>
        <v>75</v>
      </c>
      <c r="N622" s="15" t="n">
        <f aca="false">IF(J622=1,0,IF(OR(AND(OR(B622="SITE LOSS",B622="REGION LOSS"),K622=1),AND(B622="ROLE COMPROMISE",H622=C622)),Inputs!$B$13,Inputs!$B$14))</f>
        <v>10</v>
      </c>
      <c r="O622" s="15" t="n">
        <f aca="false">IF(J622=1,0,Inputs!$B$13)</f>
        <v>20</v>
      </c>
      <c r="P622" s="15" t="n">
        <f aca="false">SUM(M622:N622)</f>
        <v>85</v>
      </c>
      <c r="Q622" s="15" t="n">
        <f aca="false">IF(J622=1,"",L622-P622)</f>
        <v>15</v>
      </c>
      <c r="R622" s="15" t="n">
        <f aca="false">IF(OR(J622=1,M622&lt;=Inputs!$B$12),1,0)</f>
        <v>1</v>
      </c>
      <c r="S622" s="15" t="n">
        <f aca="false">IF(OR(J622=1,N622&lt;=O622),1,0)</f>
        <v>1</v>
      </c>
      <c r="T622" s="15" t="str">
        <f aca="false">IF(J622=1,"OFFLINE",IF(AND(Q622&gt;=Inputs!$B$15,R622=1,S622=1,P622&lt;=L622),"PASS","FAIL"))</f>
        <v>PASS</v>
      </c>
    </row>
    <row r="623" customFormat="false" ht="15" hidden="false" customHeight="false" outlineLevel="0" collapsed="false">
      <c r="A623" s="14" t="s">
        <v>1024</v>
      </c>
      <c r="B623" s="14" t="s">
        <v>1019</v>
      </c>
      <c r="C623" s="14" t="s">
        <v>171</v>
      </c>
      <c r="D623" s="14" t="s">
        <v>190</v>
      </c>
      <c r="E623" s="14" t="s">
        <v>152</v>
      </c>
      <c r="F623" s="14" t="s">
        <v>191</v>
      </c>
      <c r="G623" s="14" t="n">
        <v>1</v>
      </c>
      <c r="H623" s="14" t="s">
        <v>154</v>
      </c>
      <c r="I623" s="14" t="s">
        <v>897</v>
      </c>
      <c r="J623" s="15" t="n">
        <f aca="false">IF(B623="SITE LOSS",IF(D623=C623,1,0),IF(B623="REGION LOSS",IF(E623=C623,1,0),0))</f>
        <v>0</v>
      </c>
      <c r="K623" s="15" t="n">
        <f aca="false">IF(B623="SITE LOSS",IF(COUNTIFS('Site Dockets'!$B$7:$B$24,C623,'Site Dockets'!$C$7:$C$24,F623)&gt;0,1,0),IF(B623="REGION LOSS",IF(COUNTIFS('Site Dockets'!$E$7:$E$24,C623,'Site Dockets'!$C$7:$C$24,F623)&gt;0,1,0),0))</f>
        <v>0</v>
      </c>
      <c r="L623" s="15" t="n">
        <f aca="false">IF(J623=1,0,Inputs!$B$11)</f>
        <v>100</v>
      </c>
      <c r="M623" s="15" t="n">
        <f aca="false">IF(J623=1,0,Inputs!$B$12)</f>
        <v>75</v>
      </c>
      <c r="N623" s="15" t="n">
        <f aca="false">IF(J623=1,0,IF(OR(AND(OR(B623="SITE LOSS",B623="REGION LOSS"),K623=1),AND(B623="ROLE COMPROMISE",H623=C623)),Inputs!$B$13,Inputs!$B$14))</f>
        <v>10</v>
      </c>
      <c r="O623" s="15" t="n">
        <f aca="false">IF(J623=1,0,Inputs!$B$13)</f>
        <v>20</v>
      </c>
      <c r="P623" s="15" t="n">
        <f aca="false">SUM(M623:N623)</f>
        <v>85</v>
      </c>
      <c r="Q623" s="15" t="n">
        <f aca="false">IF(J623=1,"",L623-P623)</f>
        <v>15</v>
      </c>
      <c r="R623" s="15" t="n">
        <f aca="false">IF(OR(J623=1,M623&lt;=Inputs!$B$12),1,0)</f>
        <v>1</v>
      </c>
      <c r="S623" s="15" t="n">
        <f aca="false">IF(OR(J623=1,N623&lt;=O623),1,0)</f>
        <v>1</v>
      </c>
      <c r="T623" s="15" t="str">
        <f aca="false">IF(J623=1,"OFFLINE",IF(AND(Q623&gt;=Inputs!$B$15,R623=1,S623=1,P623&lt;=L623),"PASS","FAIL"))</f>
        <v>PASS</v>
      </c>
    </row>
    <row r="624" customFormat="false" ht="15" hidden="false" customHeight="false" outlineLevel="0" collapsed="false">
      <c r="A624" s="14" t="s">
        <v>1024</v>
      </c>
      <c r="B624" s="14" t="s">
        <v>1019</v>
      </c>
      <c r="C624" s="14" t="s">
        <v>171</v>
      </c>
      <c r="D624" s="14" t="s">
        <v>190</v>
      </c>
      <c r="E624" s="14" t="s">
        <v>152</v>
      </c>
      <c r="F624" s="14" t="s">
        <v>191</v>
      </c>
      <c r="G624" s="14" t="n">
        <v>1</v>
      </c>
      <c r="H624" s="14" t="s">
        <v>154</v>
      </c>
      <c r="I624" s="14" t="s">
        <v>899</v>
      </c>
      <c r="J624" s="15" t="n">
        <f aca="false">IF(B624="SITE LOSS",IF(D624=C624,1,0),IF(B624="REGION LOSS",IF(E624=C624,1,0),0))</f>
        <v>0</v>
      </c>
      <c r="K624" s="15" t="n">
        <f aca="false">IF(B624="SITE LOSS",IF(COUNTIFS('Site Dockets'!$B$7:$B$24,C624,'Site Dockets'!$C$7:$C$24,F624)&gt;0,1,0),IF(B624="REGION LOSS",IF(COUNTIFS('Site Dockets'!$E$7:$E$24,C624,'Site Dockets'!$C$7:$C$24,F624)&gt;0,1,0),0))</f>
        <v>0</v>
      </c>
      <c r="L624" s="15" t="n">
        <f aca="false">IF(J624=1,0,Inputs!$B$11)</f>
        <v>100</v>
      </c>
      <c r="M624" s="15" t="n">
        <f aca="false">IF(J624=1,0,Inputs!$B$12)</f>
        <v>75</v>
      </c>
      <c r="N624" s="15" t="n">
        <f aca="false">IF(J624=1,0,IF(OR(AND(OR(B624="SITE LOSS",B624="REGION LOSS"),K624=1),AND(B624="ROLE COMPROMISE",H624=C624)),Inputs!$B$13,Inputs!$B$14))</f>
        <v>10</v>
      </c>
      <c r="O624" s="15" t="n">
        <f aca="false">IF(J624=1,0,Inputs!$B$13)</f>
        <v>20</v>
      </c>
      <c r="P624" s="15" t="n">
        <f aca="false">SUM(M624:N624)</f>
        <v>85</v>
      </c>
      <c r="Q624" s="15" t="n">
        <f aca="false">IF(J624=1,"",L624-P624)</f>
        <v>15</v>
      </c>
      <c r="R624" s="15" t="n">
        <f aca="false">IF(OR(J624=1,M624&lt;=Inputs!$B$12),1,0)</f>
        <v>1</v>
      </c>
      <c r="S624" s="15" t="n">
        <f aca="false">IF(OR(J624=1,N624&lt;=O624),1,0)</f>
        <v>1</v>
      </c>
      <c r="T624" s="15" t="str">
        <f aca="false">IF(J624=1,"OFFLINE",IF(AND(Q624&gt;=Inputs!$B$15,R624=1,S624=1,P624&lt;=L624),"PASS","FAIL"))</f>
        <v>PASS</v>
      </c>
    </row>
    <row r="625" customFormat="false" ht="15" hidden="false" customHeight="false" outlineLevel="0" collapsed="false">
      <c r="A625" s="14" t="s">
        <v>1024</v>
      </c>
      <c r="B625" s="14" t="s">
        <v>1019</v>
      </c>
      <c r="C625" s="14" t="s">
        <v>171</v>
      </c>
      <c r="D625" s="14" t="s">
        <v>194</v>
      </c>
      <c r="E625" s="14" t="s">
        <v>169</v>
      </c>
      <c r="F625" s="14" t="s">
        <v>191</v>
      </c>
      <c r="G625" s="14" t="n">
        <v>2</v>
      </c>
      <c r="H625" s="14" t="s">
        <v>153</v>
      </c>
      <c r="I625" s="14" t="s">
        <v>890</v>
      </c>
      <c r="J625" s="15" t="n">
        <f aca="false">IF(B625="SITE LOSS",IF(D625=C625,1,0),IF(B625="REGION LOSS",IF(E625=C625,1,0),0))</f>
        <v>0</v>
      </c>
      <c r="K625" s="15" t="n">
        <f aca="false">IF(B625="SITE LOSS",IF(COUNTIFS('Site Dockets'!$B$7:$B$24,C625,'Site Dockets'!$C$7:$C$24,F625)&gt;0,1,0),IF(B625="REGION LOSS",IF(COUNTIFS('Site Dockets'!$E$7:$E$24,C625,'Site Dockets'!$C$7:$C$24,F625)&gt;0,1,0),0))</f>
        <v>0</v>
      </c>
      <c r="L625" s="15" t="n">
        <f aca="false">IF(J625=1,0,Inputs!$B$11)</f>
        <v>100</v>
      </c>
      <c r="M625" s="15" t="n">
        <f aca="false">IF(J625=1,0,Inputs!$B$12)</f>
        <v>75</v>
      </c>
      <c r="N625" s="15" t="n">
        <f aca="false">IF(J625=1,0,IF(OR(AND(OR(B625="SITE LOSS",B625="REGION LOSS"),K625=1),AND(B625="ROLE COMPROMISE",H625=C625)),Inputs!$B$13,Inputs!$B$14))</f>
        <v>10</v>
      </c>
      <c r="O625" s="15" t="n">
        <f aca="false">IF(J625=1,0,Inputs!$B$13)</f>
        <v>20</v>
      </c>
      <c r="P625" s="15" t="n">
        <f aca="false">SUM(M625:N625)</f>
        <v>85</v>
      </c>
      <c r="Q625" s="15" t="n">
        <f aca="false">IF(J625=1,"",L625-P625)</f>
        <v>15</v>
      </c>
      <c r="R625" s="15" t="n">
        <f aca="false">IF(OR(J625=1,M625&lt;=Inputs!$B$12),1,0)</f>
        <v>1</v>
      </c>
      <c r="S625" s="15" t="n">
        <f aca="false">IF(OR(J625=1,N625&lt;=O625),1,0)</f>
        <v>1</v>
      </c>
      <c r="T625" s="15" t="str">
        <f aca="false">IF(J625=1,"OFFLINE",IF(AND(Q625&gt;=Inputs!$B$15,R625=1,S625=1,P625&lt;=L625),"PASS","FAIL"))</f>
        <v>PASS</v>
      </c>
    </row>
    <row r="626" customFormat="false" ht="15" hidden="false" customHeight="false" outlineLevel="0" collapsed="false">
      <c r="A626" s="14" t="s">
        <v>1024</v>
      </c>
      <c r="B626" s="14" t="s">
        <v>1019</v>
      </c>
      <c r="C626" s="14" t="s">
        <v>171</v>
      </c>
      <c r="D626" s="14" t="s">
        <v>194</v>
      </c>
      <c r="E626" s="14" t="s">
        <v>169</v>
      </c>
      <c r="F626" s="14" t="s">
        <v>191</v>
      </c>
      <c r="G626" s="14" t="n">
        <v>2</v>
      </c>
      <c r="H626" s="14" t="s">
        <v>153</v>
      </c>
      <c r="I626" s="14" t="s">
        <v>892</v>
      </c>
      <c r="J626" s="15" t="n">
        <f aca="false">IF(B626="SITE LOSS",IF(D626=C626,1,0),IF(B626="REGION LOSS",IF(E626=C626,1,0),0))</f>
        <v>0</v>
      </c>
      <c r="K626" s="15" t="n">
        <f aca="false">IF(B626="SITE LOSS",IF(COUNTIFS('Site Dockets'!$B$7:$B$24,C626,'Site Dockets'!$C$7:$C$24,F626)&gt;0,1,0),IF(B626="REGION LOSS",IF(COUNTIFS('Site Dockets'!$E$7:$E$24,C626,'Site Dockets'!$C$7:$C$24,F626)&gt;0,1,0),0))</f>
        <v>0</v>
      </c>
      <c r="L626" s="15" t="n">
        <f aca="false">IF(J626=1,0,Inputs!$B$11)</f>
        <v>100</v>
      </c>
      <c r="M626" s="15" t="n">
        <f aca="false">IF(J626=1,0,Inputs!$B$12)</f>
        <v>75</v>
      </c>
      <c r="N626" s="15" t="n">
        <f aca="false">IF(J626=1,0,IF(OR(AND(OR(B626="SITE LOSS",B626="REGION LOSS"),K626=1),AND(B626="ROLE COMPROMISE",H626=C626)),Inputs!$B$13,Inputs!$B$14))</f>
        <v>10</v>
      </c>
      <c r="O626" s="15" t="n">
        <f aca="false">IF(J626=1,0,Inputs!$B$13)</f>
        <v>20</v>
      </c>
      <c r="P626" s="15" t="n">
        <f aca="false">SUM(M626:N626)</f>
        <v>85</v>
      </c>
      <c r="Q626" s="15" t="n">
        <f aca="false">IF(J626=1,"",L626-P626)</f>
        <v>15</v>
      </c>
      <c r="R626" s="15" t="n">
        <f aca="false">IF(OR(J626=1,M626&lt;=Inputs!$B$12),1,0)</f>
        <v>1</v>
      </c>
      <c r="S626" s="15" t="n">
        <f aca="false">IF(OR(J626=1,N626&lt;=O626),1,0)</f>
        <v>1</v>
      </c>
      <c r="T626" s="15" t="str">
        <f aca="false">IF(J626=1,"OFFLINE",IF(AND(Q626&gt;=Inputs!$B$15,R626=1,S626=1,P626&lt;=L626),"PASS","FAIL"))</f>
        <v>PASS</v>
      </c>
    </row>
    <row r="627" customFormat="false" ht="15" hidden="false" customHeight="false" outlineLevel="0" collapsed="false">
      <c r="A627" s="14" t="s">
        <v>1024</v>
      </c>
      <c r="B627" s="14" t="s">
        <v>1019</v>
      </c>
      <c r="C627" s="14" t="s">
        <v>171</v>
      </c>
      <c r="D627" s="14" t="s">
        <v>194</v>
      </c>
      <c r="E627" s="14" t="s">
        <v>169</v>
      </c>
      <c r="F627" s="14" t="s">
        <v>191</v>
      </c>
      <c r="G627" s="14" t="n">
        <v>2</v>
      </c>
      <c r="H627" s="14" t="s">
        <v>153</v>
      </c>
      <c r="I627" s="14" t="s">
        <v>811</v>
      </c>
      <c r="J627" s="15" t="n">
        <f aca="false">IF(B627="SITE LOSS",IF(D627=C627,1,0),IF(B627="REGION LOSS",IF(E627=C627,1,0),0))</f>
        <v>0</v>
      </c>
      <c r="K627" s="15" t="n">
        <f aca="false">IF(B627="SITE LOSS",IF(COUNTIFS('Site Dockets'!$B$7:$B$24,C627,'Site Dockets'!$C$7:$C$24,F627)&gt;0,1,0),IF(B627="REGION LOSS",IF(COUNTIFS('Site Dockets'!$E$7:$E$24,C627,'Site Dockets'!$C$7:$C$24,F627)&gt;0,1,0),0))</f>
        <v>0</v>
      </c>
      <c r="L627" s="15" t="n">
        <f aca="false">IF(J627=1,0,Inputs!$B$11)</f>
        <v>100</v>
      </c>
      <c r="M627" s="15" t="n">
        <f aca="false">IF(J627=1,0,Inputs!$B$12)</f>
        <v>75</v>
      </c>
      <c r="N627" s="15" t="n">
        <f aca="false">IF(J627=1,0,IF(OR(AND(OR(B627="SITE LOSS",B627="REGION LOSS"),K627=1),AND(B627="ROLE COMPROMISE",H627=C627)),Inputs!$B$13,Inputs!$B$14))</f>
        <v>10</v>
      </c>
      <c r="O627" s="15" t="n">
        <f aca="false">IF(J627=1,0,Inputs!$B$13)</f>
        <v>20</v>
      </c>
      <c r="P627" s="15" t="n">
        <f aca="false">SUM(M627:N627)</f>
        <v>85</v>
      </c>
      <c r="Q627" s="15" t="n">
        <f aca="false">IF(J627=1,"",L627-P627)</f>
        <v>15</v>
      </c>
      <c r="R627" s="15" t="n">
        <f aca="false">IF(OR(J627=1,M627&lt;=Inputs!$B$12),1,0)</f>
        <v>1</v>
      </c>
      <c r="S627" s="15" t="n">
        <f aca="false">IF(OR(J627=1,N627&lt;=O627),1,0)</f>
        <v>1</v>
      </c>
      <c r="T627" s="15" t="str">
        <f aca="false">IF(J627=1,"OFFLINE",IF(AND(Q627&gt;=Inputs!$B$15,R627=1,S627=1,P627&lt;=L627),"PASS","FAIL"))</f>
        <v>PASS</v>
      </c>
    </row>
    <row r="628" customFormat="false" ht="15" hidden="false" customHeight="false" outlineLevel="0" collapsed="false">
      <c r="A628" s="14" t="s">
        <v>1024</v>
      </c>
      <c r="B628" s="14" t="s">
        <v>1019</v>
      </c>
      <c r="C628" s="14" t="s">
        <v>171</v>
      </c>
      <c r="D628" s="14" t="s">
        <v>194</v>
      </c>
      <c r="E628" s="14" t="s">
        <v>169</v>
      </c>
      <c r="F628" s="14" t="s">
        <v>191</v>
      </c>
      <c r="G628" s="14" t="n">
        <v>2</v>
      </c>
      <c r="H628" s="14" t="s">
        <v>153</v>
      </c>
      <c r="I628" s="14" t="s">
        <v>895</v>
      </c>
      <c r="J628" s="15" t="n">
        <f aca="false">IF(B628="SITE LOSS",IF(D628=C628,1,0),IF(B628="REGION LOSS",IF(E628=C628,1,0),0))</f>
        <v>0</v>
      </c>
      <c r="K628" s="15" t="n">
        <f aca="false">IF(B628="SITE LOSS",IF(COUNTIFS('Site Dockets'!$B$7:$B$24,C628,'Site Dockets'!$C$7:$C$24,F628)&gt;0,1,0),IF(B628="REGION LOSS",IF(COUNTIFS('Site Dockets'!$E$7:$E$24,C628,'Site Dockets'!$C$7:$C$24,F628)&gt;0,1,0),0))</f>
        <v>0</v>
      </c>
      <c r="L628" s="15" t="n">
        <f aca="false">IF(J628=1,0,Inputs!$B$11)</f>
        <v>100</v>
      </c>
      <c r="M628" s="15" t="n">
        <f aca="false">IF(J628=1,0,Inputs!$B$12)</f>
        <v>75</v>
      </c>
      <c r="N628" s="15" t="n">
        <f aca="false">IF(J628=1,0,IF(OR(AND(OR(B628="SITE LOSS",B628="REGION LOSS"),K628=1),AND(B628="ROLE COMPROMISE",H628=C628)),Inputs!$B$13,Inputs!$B$14))</f>
        <v>10</v>
      </c>
      <c r="O628" s="15" t="n">
        <f aca="false">IF(J628=1,0,Inputs!$B$13)</f>
        <v>20</v>
      </c>
      <c r="P628" s="15" t="n">
        <f aca="false">SUM(M628:N628)</f>
        <v>85</v>
      </c>
      <c r="Q628" s="15" t="n">
        <f aca="false">IF(J628=1,"",L628-P628)</f>
        <v>15</v>
      </c>
      <c r="R628" s="15" t="n">
        <f aca="false">IF(OR(J628=1,M628&lt;=Inputs!$B$12),1,0)</f>
        <v>1</v>
      </c>
      <c r="S628" s="15" t="n">
        <f aca="false">IF(OR(J628=1,N628&lt;=O628),1,0)</f>
        <v>1</v>
      </c>
      <c r="T628" s="15" t="str">
        <f aca="false">IF(J628=1,"OFFLINE",IF(AND(Q628&gt;=Inputs!$B$15,R628=1,S628=1,P628&lt;=L628),"PASS","FAIL"))</f>
        <v>PASS</v>
      </c>
    </row>
    <row r="629" customFormat="false" ht="15" hidden="false" customHeight="false" outlineLevel="0" collapsed="false">
      <c r="A629" s="14" t="s">
        <v>1024</v>
      </c>
      <c r="B629" s="14" t="s">
        <v>1019</v>
      </c>
      <c r="C629" s="14" t="s">
        <v>171</v>
      </c>
      <c r="D629" s="14" t="s">
        <v>194</v>
      </c>
      <c r="E629" s="14" t="s">
        <v>169</v>
      </c>
      <c r="F629" s="14" t="s">
        <v>191</v>
      </c>
      <c r="G629" s="14" t="n">
        <v>2</v>
      </c>
      <c r="H629" s="14" t="s">
        <v>153</v>
      </c>
      <c r="I629" s="14" t="s">
        <v>897</v>
      </c>
      <c r="J629" s="15" t="n">
        <f aca="false">IF(B629="SITE LOSS",IF(D629=C629,1,0),IF(B629="REGION LOSS",IF(E629=C629,1,0),0))</f>
        <v>0</v>
      </c>
      <c r="K629" s="15" t="n">
        <f aca="false">IF(B629="SITE LOSS",IF(COUNTIFS('Site Dockets'!$B$7:$B$24,C629,'Site Dockets'!$C$7:$C$24,F629)&gt;0,1,0),IF(B629="REGION LOSS",IF(COUNTIFS('Site Dockets'!$E$7:$E$24,C629,'Site Dockets'!$C$7:$C$24,F629)&gt;0,1,0),0))</f>
        <v>0</v>
      </c>
      <c r="L629" s="15" t="n">
        <f aca="false">IF(J629=1,0,Inputs!$B$11)</f>
        <v>100</v>
      </c>
      <c r="M629" s="15" t="n">
        <f aca="false">IF(J629=1,0,Inputs!$B$12)</f>
        <v>75</v>
      </c>
      <c r="N629" s="15" t="n">
        <f aca="false">IF(J629=1,0,IF(OR(AND(OR(B629="SITE LOSS",B629="REGION LOSS"),K629=1),AND(B629="ROLE COMPROMISE",H629=C629)),Inputs!$B$13,Inputs!$B$14))</f>
        <v>10</v>
      </c>
      <c r="O629" s="15" t="n">
        <f aca="false">IF(J629=1,0,Inputs!$B$13)</f>
        <v>20</v>
      </c>
      <c r="P629" s="15" t="n">
        <f aca="false">SUM(M629:N629)</f>
        <v>85</v>
      </c>
      <c r="Q629" s="15" t="n">
        <f aca="false">IF(J629=1,"",L629-P629)</f>
        <v>15</v>
      </c>
      <c r="R629" s="15" t="n">
        <f aca="false">IF(OR(J629=1,M629&lt;=Inputs!$B$12),1,0)</f>
        <v>1</v>
      </c>
      <c r="S629" s="15" t="n">
        <f aca="false">IF(OR(J629=1,N629&lt;=O629),1,0)</f>
        <v>1</v>
      </c>
      <c r="T629" s="15" t="str">
        <f aca="false">IF(J629=1,"OFFLINE",IF(AND(Q629&gt;=Inputs!$B$15,R629=1,S629=1,P629&lt;=L629),"PASS","FAIL"))</f>
        <v>PASS</v>
      </c>
    </row>
    <row r="630" customFormat="false" ht="15" hidden="false" customHeight="false" outlineLevel="0" collapsed="false">
      <c r="A630" s="14" t="s">
        <v>1024</v>
      </c>
      <c r="B630" s="14" t="s">
        <v>1019</v>
      </c>
      <c r="C630" s="14" t="s">
        <v>171</v>
      </c>
      <c r="D630" s="14" t="s">
        <v>194</v>
      </c>
      <c r="E630" s="14" t="s">
        <v>169</v>
      </c>
      <c r="F630" s="14" t="s">
        <v>191</v>
      </c>
      <c r="G630" s="14" t="n">
        <v>2</v>
      </c>
      <c r="H630" s="14" t="s">
        <v>153</v>
      </c>
      <c r="I630" s="14" t="s">
        <v>899</v>
      </c>
      <c r="J630" s="15" t="n">
        <f aca="false">IF(B630="SITE LOSS",IF(D630=C630,1,0),IF(B630="REGION LOSS",IF(E630=C630,1,0),0))</f>
        <v>0</v>
      </c>
      <c r="K630" s="15" t="n">
        <f aca="false">IF(B630="SITE LOSS",IF(COUNTIFS('Site Dockets'!$B$7:$B$24,C630,'Site Dockets'!$C$7:$C$24,F630)&gt;0,1,0),IF(B630="REGION LOSS",IF(COUNTIFS('Site Dockets'!$E$7:$E$24,C630,'Site Dockets'!$C$7:$C$24,F630)&gt;0,1,0),0))</f>
        <v>0</v>
      </c>
      <c r="L630" s="15" t="n">
        <f aca="false">IF(J630=1,0,Inputs!$B$11)</f>
        <v>100</v>
      </c>
      <c r="M630" s="15" t="n">
        <f aca="false">IF(J630=1,0,Inputs!$B$12)</f>
        <v>75</v>
      </c>
      <c r="N630" s="15" t="n">
        <f aca="false">IF(J630=1,0,IF(OR(AND(OR(B630="SITE LOSS",B630="REGION LOSS"),K630=1),AND(B630="ROLE COMPROMISE",H630=C630)),Inputs!$B$13,Inputs!$B$14))</f>
        <v>10</v>
      </c>
      <c r="O630" s="15" t="n">
        <f aca="false">IF(J630=1,0,Inputs!$B$13)</f>
        <v>20</v>
      </c>
      <c r="P630" s="15" t="n">
        <f aca="false">SUM(M630:N630)</f>
        <v>85</v>
      </c>
      <c r="Q630" s="15" t="n">
        <f aca="false">IF(J630=1,"",L630-P630)</f>
        <v>15</v>
      </c>
      <c r="R630" s="15" t="n">
        <f aca="false">IF(OR(J630=1,M630&lt;=Inputs!$B$12),1,0)</f>
        <v>1</v>
      </c>
      <c r="S630" s="15" t="n">
        <f aca="false">IF(OR(J630=1,N630&lt;=O630),1,0)</f>
        <v>1</v>
      </c>
      <c r="T630" s="15" t="str">
        <f aca="false">IF(J630=1,"OFFLINE",IF(AND(Q630&gt;=Inputs!$B$15,R630=1,S630=1,P630&lt;=L630),"PASS","FAIL"))</f>
        <v>PASS</v>
      </c>
    </row>
    <row r="631" customFormat="false" ht="15" hidden="false" customHeight="false" outlineLevel="0" collapsed="false">
      <c r="A631" s="14" t="s">
        <v>1024</v>
      </c>
      <c r="B631" s="14" t="s">
        <v>1019</v>
      </c>
      <c r="C631" s="14" t="s">
        <v>171</v>
      </c>
      <c r="D631" s="14" t="s">
        <v>196</v>
      </c>
      <c r="E631" s="14" t="s">
        <v>172</v>
      </c>
      <c r="F631" s="14" t="s">
        <v>191</v>
      </c>
      <c r="G631" s="14" t="n">
        <v>3</v>
      </c>
      <c r="H631" s="14" t="s">
        <v>158</v>
      </c>
      <c r="I631" s="14" t="s">
        <v>890</v>
      </c>
      <c r="J631" s="15" t="n">
        <f aca="false">IF(B631="SITE LOSS",IF(D631=C631,1,0),IF(B631="REGION LOSS",IF(E631=C631,1,0),0))</f>
        <v>0</v>
      </c>
      <c r="K631" s="15" t="n">
        <f aca="false">IF(B631="SITE LOSS",IF(COUNTIFS('Site Dockets'!$B$7:$B$24,C631,'Site Dockets'!$C$7:$C$24,F631)&gt;0,1,0),IF(B631="REGION LOSS",IF(COUNTIFS('Site Dockets'!$E$7:$E$24,C631,'Site Dockets'!$C$7:$C$24,F631)&gt;0,1,0),0))</f>
        <v>0</v>
      </c>
      <c r="L631" s="15" t="n">
        <f aca="false">IF(J631=1,0,Inputs!$B$11)</f>
        <v>100</v>
      </c>
      <c r="M631" s="15" t="n">
        <f aca="false">IF(J631=1,0,Inputs!$B$12)</f>
        <v>75</v>
      </c>
      <c r="N631" s="15" t="n">
        <f aca="false">IF(J631=1,0,IF(OR(AND(OR(B631="SITE LOSS",B631="REGION LOSS"),K631=1),AND(B631="ROLE COMPROMISE",H631=C631)),Inputs!$B$13,Inputs!$B$14))</f>
        <v>10</v>
      </c>
      <c r="O631" s="15" t="n">
        <f aca="false">IF(J631=1,0,Inputs!$B$13)</f>
        <v>20</v>
      </c>
      <c r="P631" s="15" t="n">
        <f aca="false">SUM(M631:N631)</f>
        <v>85</v>
      </c>
      <c r="Q631" s="15" t="n">
        <f aca="false">IF(J631=1,"",L631-P631)</f>
        <v>15</v>
      </c>
      <c r="R631" s="15" t="n">
        <f aca="false">IF(OR(J631=1,M631&lt;=Inputs!$B$12),1,0)</f>
        <v>1</v>
      </c>
      <c r="S631" s="15" t="n">
        <f aca="false">IF(OR(J631=1,N631&lt;=O631),1,0)</f>
        <v>1</v>
      </c>
      <c r="T631" s="15" t="str">
        <f aca="false">IF(J631=1,"OFFLINE",IF(AND(Q631&gt;=Inputs!$B$15,R631=1,S631=1,P631&lt;=L631),"PASS","FAIL"))</f>
        <v>PASS</v>
      </c>
    </row>
    <row r="632" customFormat="false" ht="15" hidden="false" customHeight="false" outlineLevel="0" collapsed="false">
      <c r="A632" s="14" t="s">
        <v>1024</v>
      </c>
      <c r="B632" s="14" t="s">
        <v>1019</v>
      </c>
      <c r="C632" s="14" t="s">
        <v>171</v>
      </c>
      <c r="D632" s="14" t="s">
        <v>196</v>
      </c>
      <c r="E632" s="14" t="s">
        <v>172</v>
      </c>
      <c r="F632" s="14" t="s">
        <v>191</v>
      </c>
      <c r="G632" s="14" t="n">
        <v>3</v>
      </c>
      <c r="H632" s="14" t="s">
        <v>158</v>
      </c>
      <c r="I632" s="14" t="s">
        <v>892</v>
      </c>
      <c r="J632" s="15" t="n">
        <f aca="false">IF(B632="SITE LOSS",IF(D632=C632,1,0),IF(B632="REGION LOSS",IF(E632=C632,1,0),0))</f>
        <v>0</v>
      </c>
      <c r="K632" s="15" t="n">
        <f aca="false">IF(B632="SITE LOSS",IF(COUNTIFS('Site Dockets'!$B$7:$B$24,C632,'Site Dockets'!$C$7:$C$24,F632)&gt;0,1,0),IF(B632="REGION LOSS",IF(COUNTIFS('Site Dockets'!$E$7:$E$24,C632,'Site Dockets'!$C$7:$C$24,F632)&gt;0,1,0),0))</f>
        <v>0</v>
      </c>
      <c r="L632" s="15" t="n">
        <f aca="false">IF(J632=1,0,Inputs!$B$11)</f>
        <v>100</v>
      </c>
      <c r="M632" s="15" t="n">
        <f aca="false">IF(J632=1,0,Inputs!$B$12)</f>
        <v>75</v>
      </c>
      <c r="N632" s="15" t="n">
        <f aca="false">IF(J632=1,0,IF(OR(AND(OR(B632="SITE LOSS",B632="REGION LOSS"),K632=1),AND(B632="ROLE COMPROMISE",H632=C632)),Inputs!$B$13,Inputs!$B$14))</f>
        <v>10</v>
      </c>
      <c r="O632" s="15" t="n">
        <f aca="false">IF(J632=1,0,Inputs!$B$13)</f>
        <v>20</v>
      </c>
      <c r="P632" s="15" t="n">
        <f aca="false">SUM(M632:N632)</f>
        <v>85</v>
      </c>
      <c r="Q632" s="15" t="n">
        <f aca="false">IF(J632=1,"",L632-P632)</f>
        <v>15</v>
      </c>
      <c r="R632" s="15" t="n">
        <f aca="false">IF(OR(J632=1,M632&lt;=Inputs!$B$12),1,0)</f>
        <v>1</v>
      </c>
      <c r="S632" s="15" t="n">
        <f aca="false">IF(OR(J632=1,N632&lt;=O632),1,0)</f>
        <v>1</v>
      </c>
      <c r="T632" s="15" t="str">
        <f aca="false">IF(J632=1,"OFFLINE",IF(AND(Q632&gt;=Inputs!$B$15,R632=1,S632=1,P632&lt;=L632),"PASS","FAIL"))</f>
        <v>PASS</v>
      </c>
    </row>
    <row r="633" customFormat="false" ht="15" hidden="false" customHeight="false" outlineLevel="0" collapsed="false">
      <c r="A633" s="14" t="s">
        <v>1024</v>
      </c>
      <c r="B633" s="14" t="s">
        <v>1019</v>
      </c>
      <c r="C633" s="14" t="s">
        <v>171</v>
      </c>
      <c r="D633" s="14" t="s">
        <v>196</v>
      </c>
      <c r="E633" s="14" t="s">
        <v>172</v>
      </c>
      <c r="F633" s="14" t="s">
        <v>191</v>
      </c>
      <c r="G633" s="14" t="n">
        <v>3</v>
      </c>
      <c r="H633" s="14" t="s">
        <v>158</v>
      </c>
      <c r="I633" s="14" t="s">
        <v>811</v>
      </c>
      <c r="J633" s="15" t="n">
        <f aca="false">IF(B633="SITE LOSS",IF(D633=C633,1,0),IF(B633="REGION LOSS",IF(E633=C633,1,0),0))</f>
        <v>0</v>
      </c>
      <c r="K633" s="15" t="n">
        <f aca="false">IF(B633="SITE LOSS",IF(COUNTIFS('Site Dockets'!$B$7:$B$24,C633,'Site Dockets'!$C$7:$C$24,F633)&gt;0,1,0),IF(B633="REGION LOSS",IF(COUNTIFS('Site Dockets'!$E$7:$E$24,C633,'Site Dockets'!$C$7:$C$24,F633)&gt;0,1,0),0))</f>
        <v>0</v>
      </c>
      <c r="L633" s="15" t="n">
        <f aca="false">IF(J633=1,0,Inputs!$B$11)</f>
        <v>100</v>
      </c>
      <c r="M633" s="15" t="n">
        <f aca="false">IF(J633=1,0,Inputs!$B$12)</f>
        <v>75</v>
      </c>
      <c r="N633" s="15" t="n">
        <f aca="false">IF(J633=1,0,IF(OR(AND(OR(B633="SITE LOSS",B633="REGION LOSS"),K633=1),AND(B633="ROLE COMPROMISE",H633=C633)),Inputs!$B$13,Inputs!$B$14))</f>
        <v>10</v>
      </c>
      <c r="O633" s="15" t="n">
        <f aca="false">IF(J633=1,0,Inputs!$B$13)</f>
        <v>20</v>
      </c>
      <c r="P633" s="15" t="n">
        <f aca="false">SUM(M633:N633)</f>
        <v>85</v>
      </c>
      <c r="Q633" s="15" t="n">
        <f aca="false">IF(J633=1,"",L633-P633)</f>
        <v>15</v>
      </c>
      <c r="R633" s="15" t="n">
        <f aca="false">IF(OR(J633=1,M633&lt;=Inputs!$B$12),1,0)</f>
        <v>1</v>
      </c>
      <c r="S633" s="15" t="n">
        <f aca="false">IF(OR(J633=1,N633&lt;=O633),1,0)</f>
        <v>1</v>
      </c>
      <c r="T633" s="15" t="str">
        <f aca="false">IF(J633=1,"OFFLINE",IF(AND(Q633&gt;=Inputs!$B$15,R633=1,S633=1,P633&lt;=L633),"PASS","FAIL"))</f>
        <v>PASS</v>
      </c>
    </row>
    <row r="634" customFormat="false" ht="15" hidden="false" customHeight="false" outlineLevel="0" collapsed="false">
      <c r="A634" s="14" t="s">
        <v>1024</v>
      </c>
      <c r="B634" s="14" t="s">
        <v>1019</v>
      </c>
      <c r="C634" s="14" t="s">
        <v>171</v>
      </c>
      <c r="D634" s="14" t="s">
        <v>196</v>
      </c>
      <c r="E634" s="14" t="s">
        <v>172</v>
      </c>
      <c r="F634" s="14" t="s">
        <v>191</v>
      </c>
      <c r="G634" s="14" t="n">
        <v>3</v>
      </c>
      <c r="H634" s="14" t="s">
        <v>158</v>
      </c>
      <c r="I634" s="14" t="s">
        <v>895</v>
      </c>
      <c r="J634" s="15" t="n">
        <f aca="false">IF(B634="SITE LOSS",IF(D634=C634,1,0),IF(B634="REGION LOSS",IF(E634=C634,1,0),0))</f>
        <v>0</v>
      </c>
      <c r="K634" s="15" t="n">
        <f aca="false">IF(B634="SITE LOSS",IF(COUNTIFS('Site Dockets'!$B$7:$B$24,C634,'Site Dockets'!$C$7:$C$24,F634)&gt;0,1,0),IF(B634="REGION LOSS",IF(COUNTIFS('Site Dockets'!$E$7:$E$24,C634,'Site Dockets'!$C$7:$C$24,F634)&gt;0,1,0),0))</f>
        <v>0</v>
      </c>
      <c r="L634" s="15" t="n">
        <f aca="false">IF(J634=1,0,Inputs!$B$11)</f>
        <v>100</v>
      </c>
      <c r="M634" s="15" t="n">
        <f aca="false">IF(J634=1,0,Inputs!$B$12)</f>
        <v>75</v>
      </c>
      <c r="N634" s="15" t="n">
        <f aca="false">IF(J634=1,0,IF(OR(AND(OR(B634="SITE LOSS",B634="REGION LOSS"),K634=1),AND(B634="ROLE COMPROMISE",H634=C634)),Inputs!$B$13,Inputs!$B$14))</f>
        <v>10</v>
      </c>
      <c r="O634" s="15" t="n">
        <f aca="false">IF(J634=1,0,Inputs!$B$13)</f>
        <v>20</v>
      </c>
      <c r="P634" s="15" t="n">
        <f aca="false">SUM(M634:N634)</f>
        <v>85</v>
      </c>
      <c r="Q634" s="15" t="n">
        <f aca="false">IF(J634=1,"",L634-P634)</f>
        <v>15</v>
      </c>
      <c r="R634" s="15" t="n">
        <f aca="false">IF(OR(J634=1,M634&lt;=Inputs!$B$12),1,0)</f>
        <v>1</v>
      </c>
      <c r="S634" s="15" t="n">
        <f aca="false">IF(OR(J634=1,N634&lt;=O634),1,0)</f>
        <v>1</v>
      </c>
      <c r="T634" s="15" t="str">
        <f aca="false">IF(J634=1,"OFFLINE",IF(AND(Q634&gt;=Inputs!$B$15,R634=1,S634=1,P634&lt;=L634),"PASS","FAIL"))</f>
        <v>PASS</v>
      </c>
    </row>
    <row r="635" customFormat="false" ht="15" hidden="false" customHeight="false" outlineLevel="0" collapsed="false">
      <c r="A635" s="14" t="s">
        <v>1024</v>
      </c>
      <c r="B635" s="14" t="s">
        <v>1019</v>
      </c>
      <c r="C635" s="14" t="s">
        <v>171</v>
      </c>
      <c r="D635" s="14" t="s">
        <v>196</v>
      </c>
      <c r="E635" s="14" t="s">
        <v>172</v>
      </c>
      <c r="F635" s="14" t="s">
        <v>191</v>
      </c>
      <c r="G635" s="14" t="n">
        <v>3</v>
      </c>
      <c r="H635" s="14" t="s">
        <v>158</v>
      </c>
      <c r="I635" s="14" t="s">
        <v>897</v>
      </c>
      <c r="J635" s="15" t="n">
        <f aca="false">IF(B635="SITE LOSS",IF(D635=C635,1,0),IF(B635="REGION LOSS",IF(E635=C635,1,0),0))</f>
        <v>0</v>
      </c>
      <c r="K635" s="15" t="n">
        <f aca="false">IF(B635="SITE LOSS",IF(COUNTIFS('Site Dockets'!$B$7:$B$24,C635,'Site Dockets'!$C$7:$C$24,F635)&gt;0,1,0),IF(B635="REGION LOSS",IF(COUNTIFS('Site Dockets'!$E$7:$E$24,C635,'Site Dockets'!$C$7:$C$24,F635)&gt;0,1,0),0))</f>
        <v>0</v>
      </c>
      <c r="L635" s="15" t="n">
        <f aca="false">IF(J635=1,0,Inputs!$B$11)</f>
        <v>100</v>
      </c>
      <c r="M635" s="15" t="n">
        <f aca="false">IF(J635=1,0,Inputs!$B$12)</f>
        <v>75</v>
      </c>
      <c r="N635" s="15" t="n">
        <f aca="false">IF(J635=1,0,IF(OR(AND(OR(B635="SITE LOSS",B635="REGION LOSS"),K635=1),AND(B635="ROLE COMPROMISE",H635=C635)),Inputs!$B$13,Inputs!$B$14))</f>
        <v>10</v>
      </c>
      <c r="O635" s="15" t="n">
        <f aca="false">IF(J635=1,0,Inputs!$B$13)</f>
        <v>20</v>
      </c>
      <c r="P635" s="15" t="n">
        <f aca="false">SUM(M635:N635)</f>
        <v>85</v>
      </c>
      <c r="Q635" s="15" t="n">
        <f aca="false">IF(J635=1,"",L635-P635)</f>
        <v>15</v>
      </c>
      <c r="R635" s="15" t="n">
        <f aca="false">IF(OR(J635=1,M635&lt;=Inputs!$B$12),1,0)</f>
        <v>1</v>
      </c>
      <c r="S635" s="15" t="n">
        <f aca="false">IF(OR(J635=1,N635&lt;=O635),1,0)</f>
        <v>1</v>
      </c>
      <c r="T635" s="15" t="str">
        <f aca="false">IF(J635=1,"OFFLINE",IF(AND(Q635&gt;=Inputs!$B$15,R635=1,S635=1,P635&lt;=L635),"PASS","FAIL"))</f>
        <v>PASS</v>
      </c>
    </row>
    <row r="636" customFormat="false" ht="15" hidden="false" customHeight="false" outlineLevel="0" collapsed="false">
      <c r="A636" s="14" t="s">
        <v>1024</v>
      </c>
      <c r="B636" s="14" t="s">
        <v>1019</v>
      </c>
      <c r="C636" s="14" t="s">
        <v>171</v>
      </c>
      <c r="D636" s="14" t="s">
        <v>196</v>
      </c>
      <c r="E636" s="14" t="s">
        <v>172</v>
      </c>
      <c r="F636" s="14" t="s">
        <v>191</v>
      </c>
      <c r="G636" s="14" t="n">
        <v>3</v>
      </c>
      <c r="H636" s="14" t="s">
        <v>158</v>
      </c>
      <c r="I636" s="14" t="s">
        <v>899</v>
      </c>
      <c r="J636" s="15" t="n">
        <f aca="false">IF(B636="SITE LOSS",IF(D636=C636,1,0),IF(B636="REGION LOSS",IF(E636=C636,1,0),0))</f>
        <v>0</v>
      </c>
      <c r="K636" s="15" t="n">
        <f aca="false">IF(B636="SITE LOSS",IF(COUNTIFS('Site Dockets'!$B$7:$B$24,C636,'Site Dockets'!$C$7:$C$24,F636)&gt;0,1,0),IF(B636="REGION LOSS",IF(COUNTIFS('Site Dockets'!$E$7:$E$24,C636,'Site Dockets'!$C$7:$C$24,F636)&gt;0,1,0),0))</f>
        <v>0</v>
      </c>
      <c r="L636" s="15" t="n">
        <f aca="false">IF(J636=1,0,Inputs!$B$11)</f>
        <v>100</v>
      </c>
      <c r="M636" s="15" t="n">
        <f aca="false">IF(J636=1,0,Inputs!$B$12)</f>
        <v>75</v>
      </c>
      <c r="N636" s="15" t="n">
        <f aca="false">IF(J636=1,0,IF(OR(AND(OR(B636="SITE LOSS",B636="REGION LOSS"),K636=1),AND(B636="ROLE COMPROMISE",H636=C636)),Inputs!$B$13,Inputs!$B$14))</f>
        <v>10</v>
      </c>
      <c r="O636" s="15" t="n">
        <f aca="false">IF(J636=1,0,Inputs!$B$13)</f>
        <v>20</v>
      </c>
      <c r="P636" s="15" t="n">
        <f aca="false">SUM(M636:N636)</f>
        <v>85</v>
      </c>
      <c r="Q636" s="15" t="n">
        <f aca="false">IF(J636=1,"",L636-P636)</f>
        <v>15</v>
      </c>
      <c r="R636" s="15" t="n">
        <f aca="false">IF(OR(J636=1,M636&lt;=Inputs!$B$12),1,0)</f>
        <v>1</v>
      </c>
      <c r="S636" s="15" t="n">
        <f aca="false">IF(OR(J636=1,N636&lt;=O636),1,0)</f>
        <v>1</v>
      </c>
      <c r="T636" s="15" t="str">
        <f aca="false">IF(J636=1,"OFFLINE",IF(AND(Q636&gt;=Inputs!$B$15,R636=1,S636=1,P636&lt;=L636),"PASS","FAIL"))</f>
        <v>PASS</v>
      </c>
    </row>
    <row r="637" customFormat="false" ht="15" hidden="false" customHeight="false" outlineLevel="0" collapsed="false">
      <c r="A637" s="14" t="s">
        <v>1024</v>
      </c>
      <c r="B637" s="14" t="s">
        <v>1019</v>
      </c>
      <c r="C637" s="14" t="s">
        <v>171</v>
      </c>
      <c r="D637" s="14" t="s">
        <v>198</v>
      </c>
      <c r="E637" s="14" t="s">
        <v>166</v>
      </c>
      <c r="F637" s="14" t="s">
        <v>199</v>
      </c>
      <c r="G637" s="14" t="n">
        <v>1</v>
      </c>
      <c r="H637" s="14" t="s">
        <v>154</v>
      </c>
      <c r="I637" s="14" t="s">
        <v>890</v>
      </c>
      <c r="J637" s="15" t="n">
        <f aca="false">IF(B637="SITE LOSS",IF(D637=C637,1,0),IF(B637="REGION LOSS",IF(E637=C637,1,0),0))</f>
        <v>0</v>
      </c>
      <c r="K637" s="15" t="n">
        <f aca="false">IF(B637="SITE LOSS",IF(COUNTIFS('Site Dockets'!$B$7:$B$24,C637,'Site Dockets'!$C$7:$C$24,F637)&gt;0,1,0),IF(B637="REGION LOSS",IF(COUNTIFS('Site Dockets'!$E$7:$E$24,C637,'Site Dockets'!$C$7:$C$24,F637)&gt;0,1,0),0))</f>
        <v>0</v>
      </c>
      <c r="L637" s="15" t="n">
        <f aca="false">IF(J637=1,0,Inputs!$B$11)</f>
        <v>100</v>
      </c>
      <c r="M637" s="15" t="n">
        <f aca="false">IF(J637=1,0,Inputs!$B$12)</f>
        <v>75</v>
      </c>
      <c r="N637" s="15" t="n">
        <f aca="false">IF(J637=1,0,IF(OR(AND(OR(B637="SITE LOSS",B637="REGION LOSS"),K637=1),AND(B637="ROLE COMPROMISE",H637=C637)),Inputs!$B$13,Inputs!$B$14))</f>
        <v>10</v>
      </c>
      <c r="O637" s="15" t="n">
        <f aca="false">IF(J637=1,0,Inputs!$B$13)</f>
        <v>20</v>
      </c>
      <c r="P637" s="15" t="n">
        <f aca="false">SUM(M637:N637)</f>
        <v>85</v>
      </c>
      <c r="Q637" s="15" t="n">
        <f aca="false">IF(J637=1,"",L637-P637)</f>
        <v>15</v>
      </c>
      <c r="R637" s="15" t="n">
        <f aca="false">IF(OR(J637=1,M637&lt;=Inputs!$B$12),1,0)</f>
        <v>1</v>
      </c>
      <c r="S637" s="15" t="n">
        <f aca="false">IF(OR(J637=1,N637&lt;=O637),1,0)</f>
        <v>1</v>
      </c>
      <c r="T637" s="15" t="str">
        <f aca="false">IF(J637=1,"OFFLINE",IF(AND(Q637&gt;=Inputs!$B$15,R637=1,S637=1,P637&lt;=L637),"PASS","FAIL"))</f>
        <v>PASS</v>
      </c>
    </row>
    <row r="638" customFormat="false" ht="15" hidden="false" customHeight="false" outlineLevel="0" collapsed="false">
      <c r="A638" s="14" t="s">
        <v>1024</v>
      </c>
      <c r="B638" s="14" t="s">
        <v>1019</v>
      </c>
      <c r="C638" s="14" t="s">
        <v>171</v>
      </c>
      <c r="D638" s="14" t="s">
        <v>198</v>
      </c>
      <c r="E638" s="14" t="s">
        <v>166</v>
      </c>
      <c r="F638" s="14" t="s">
        <v>199</v>
      </c>
      <c r="G638" s="14" t="n">
        <v>1</v>
      </c>
      <c r="H638" s="14" t="s">
        <v>154</v>
      </c>
      <c r="I638" s="14" t="s">
        <v>892</v>
      </c>
      <c r="J638" s="15" t="n">
        <f aca="false">IF(B638="SITE LOSS",IF(D638=C638,1,0),IF(B638="REGION LOSS",IF(E638=C638,1,0),0))</f>
        <v>0</v>
      </c>
      <c r="K638" s="15" t="n">
        <f aca="false">IF(B638="SITE LOSS",IF(COUNTIFS('Site Dockets'!$B$7:$B$24,C638,'Site Dockets'!$C$7:$C$24,F638)&gt;0,1,0),IF(B638="REGION LOSS",IF(COUNTIFS('Site Dockets'!$E$7:$E$24,C638,'Site Dockets'!$C$7:$C$24,F638)&gt;0,1,0),0))</f>
        <v>0</v>
      </c>
      <c r="L638" s="15" t="n">
        <f aca="false">IF(J638=1,0,Inputs!$B$11)</f>
        <v>100</v>
      </c>
      <c r="M638" s="15" t="n">
        <f aca="false">IF(J638=1,0,Inputs!$B$12)</f>
        <v>75</v>
      </c>
      <c r="N638" s="15" t="n">
        <f aca="false">IF(J638=1,0,IF(OR(AND(OR(B638="SITE LOSS",B638="REGION LOSS"),K638=1),AND(B638="ROLE COMPROMISE",H638=C638)),Inputs!$B$13,Inputs!$B$14))</f>
        <v>10</v>
      </c>
      <c r="O638" s="15" t="n">
        <f aca="false">IF(J638=1,0,Inputs!$B$13)</f>
        <v>20</v>
      </c>
      <c r="P638" s="15" t="n">
        <f aca="false">SUM(M638:N638)</f>
        <v>85</v>
      </c>
      <c r="Q638" s="15" t="n">
        <f aca="false">IF(J638=1,"",L638-P638)</f>
        <v>15</v>
      </c>
      <c r="R638" s="15" t="n">
        <f aca="false">IF(OR(J638=1,M638&lt;=Inputs!$B$12),1,0)</f>
        <v>1</v>
      </c>
      <c r="S638" s="15" t="n">
        <f aca="false">IF(OR(J638=1,N638&lt;=O638),1,0)</f>
        <v>1</v>
      </c>
      <c r="T638" s="15" t="str">
        <f aca="false">IF(J638=1,"OFFLINE",IF(AND(Q638&gt;=Inputs!$B$15,R638=1,S638=1,P638&lt;=L638),"PASS","FAIL"))</f>
        <v>PASS</v>
      </c>
    </row>
    <row r="639" customFormat="false" ht="15" hidden="false" customHeight="false" outlineLevel="0" collapsed="false">
      <c r="A639" s="14" t="s">
        <v>1024</v>
      </c>
      <c r="B639" s="14" t="s">
        <v>1019</v>
      </c>
      <c r="C639" s="14" t="s">
        <v>171</v>
      </c>
      <c r="D639" s="14" t="s">
        <v>198</v>
      </c>
      <c r="E639" s="14" t="s">
        <v>166</v>
      </c>
      <c r="F639" s="14" t="s">
        <v>199</v>
      </c>
      <c r="G639" s="14" t="n">
        <v>1</v>
      </c>
      <c r="H639" s="14" t="s">
        <v>154</v>
      </c>
      <c r="I639" s="14" t="s">
        <v>811</v>
      </c>
      <c r="J639" s="15" t="n">
        <f aca="false">IF(B639="SITE LOSS",IF(D639=C639,1,0),IF(B639="REGION LOSS",IF(E639=C639,1,0),0))</f>
        <v>0</v>
      </c>
      <c r="K639" s="15" t="n">
        <f aca="false">IF(B639="SITE LOSS",IF(COUNTIFS('Site Dockets'!$B$7:$B$24,C639,'Site Dockets'!$C$7:$C$24,F639)&gt;0,1,0),IF(B639="REGION LOSS",IF(COUNTIFS('Site Dockets'!$E$7:$E$24,C639,'Site Dockets'!$C$7:$C$24,F639)&gt;0,1,0),0))</f>
        <v>0</v>
      </c>
      <c r="L639" s="15" t="n">
        <f aca="false">IF(J639=1,0,Inputs!$B$11)</f>
        <v>100</v>
      </c>
      <c r="M639" s="15" t="n">
        <f aca="false">IF(J639=1,0,Inputs!$B$12)</f>
        <v>75</v>
      </c>
      <c r="N639" s="15" t="n">
        <f aca="false">IF(J639=1,0,IF(OR(AND(OR(B639="SITE LOSS",B639="REGION LOSS"),K639=1),AND(B639="ROLE COMPROMISE",H639=C639)),Inputs!$B$13,Inputs!$B$14))</f>
        <v>10</v>
      </c>
      <c r="O639" s="15" t="n">
        <f aca="false">IF(J639=1,0,Inputs!$B$13)</f>
        <v>20</v>
      </c>
      <c r="P639" s="15" t="n">
        <f aca="false">SUM(M639:N639)</f>
        <v>85</v>
      </c>
      <c r="Q639" s="15" t="n">
        <f aca="false">IF(J639=1,"",L639-P639)</f>
        <v>15</v>
      </c>
      <c r="R639" s="15" t="n">
        <f aca="false">IF(OR(J639=1,M639&lt;=Inputs!$B$12),1,0)</f>
        <v>1</v>
      </c>
      <c r="S639" s="15" t="n">
        <f aca="false">IF(OR(J639=1,N639&lt;=O639),1,0)</f>
        <v>1</v>
      </c>
      <c r="T639" s="15" t="str">
        <f aca="false">IF(J639=1,"OFFLINE",IF(AND(Q639&gt;=Inputs!$B$15,R639=1,S639=1,P639&lt;=L639),"PASS","FAIL"))</f>
        <v>PASS</v>
      </c>
    </row>
    <row r="640" customFormat="false" ht="15" hidden="false" customHeight="false" outlineLevel="0" collapsed="false">
      <c r="A640" s="14" t="s">
        <v>1024</v>
      </c>
      <c r="B640" s="14" t="s">
        <v>1019</v>
      </c>
      <c r="C640" s="14" t="s">
        <v>171</v>
      </c>
      <c r="D640" s="14" t="s">
        <v>198</v>
      </c>
      <c r="E640" s="14" t="s">
        <v>166</v>
      </c>
      <c r="F640" s="14" t="s">
        <v>199</v>
      </c>
      <c r="G640" s="14" t="n">
        <v>1</v>
      </c>
      <c r="H640" s="14" t="s">
        <v>154</v>
      </c>
      <c r="I640" s="14" t="s">
        <v>895</v>
      </c>
      <c r="J640" s="15" t="n">
        <f aca="false">IF(B640="SITE LOSS",IF(D640=C640,1,0),IF(B640="REGION LOSS",IF(E640=C640,1,0),0))</f>
        <v>0</v>
      </c>
      <c r="K640" s="15" t="n">
        <f aca="false">IF(B640="SITE LOSS",IF(COUNTIFS('Site Dockets'!$B$7:$B$24,C640,'Site Dockets'!$C$7:$C$24,F640)&gt;0,1,0),IF(B640="REGION LOSS",IF(COUNTIFS('Site Dockets'!$E$7:$E$24,C640,'Site Dockets'!$C$7:$C$24,F640)&gt;0,1,0),0))</f>
        <v>0</v>
      </c>
      <c r="L640" s="15" t="n">
        <f aca="false">IF(J640=1,0,Inputs!$B$11)</f>
        <v>100</v>
      </c>
      <c r="M640" s="15" t="n">
        <f aca="false">IF(J640=1,0,Inputs!$B$12)</f>
        <v>75</v>
      </c>
      <c r="N640" s="15" t="n">
        <f aca="false">IF(J640=1,0,IF(OR(AND(OR(B640="SITE LOSS",B640="REGION LOSS"),K640=1),AND(B640="ROLE COMPROMISE",H640=C640)),Inputs!$B$13,Inputs!$B$14))</f>
        <v>10</v>
      </c>
      <c r="O640" s="15" t="n">
        <f aca="false">IF(J640=1,0,Inputs!$B$13)</f>
        <v>20</v>
      </c>
      <c r="P640" s="15" t="n">
        <f aca="false">SUM(M640:N640)</f>
        <v>85</v>
      </c>
      <c r="Q640" s="15" t="n">
        <f aca="false">IF(J640=1,"",L640-P640)</f>
        <v>15</v>
      </c>
      <c r="R640" s="15" t="n">
        <f aca="false">IF(OR(J640=1,M640&lt;=Inputs!$B$12),1,0)</f>
        <v>1</v>
      </c>
      <c r="S640" s="15" t="n">
        <f aca="false">IF(OR(J640=1,N640&lt;=O640),1,0)</f>
        <v>1</v>
      </c>
      <c r="T640" s="15" t="str">
        <f aca="false">IF(J640=1,"OFFLINE",IF(AND(Q640&gt;=Inputs!$B$15,R640=1,S640=1,P640&lt;=L640),"PASS","FAIL"))</f>
        <v>PASS</v>
      </c>
    </row>
    <row r="641" customFormat="false" ht="15" hidden="false" customHeight="false" outlineLevel="0" collapsed="false">
      <c r="A641" s="14" t="s">
        <v>1024</v>
      </c>
      <c r="B641" s="14" t="s">
        <v>1019</v>
      </c>
      <c r="C641" s="14" t="s">
        <v>171</v>
      </c>
      <c r="D641" s="14" t="s">
        <v>198</v>
      </c>
      <c r="E641" s="14" t="s">
        <v>166</v>
      </c>
      <c r="F641" s="14" t="s">
        <v>199</v>
      </c>
      <c r="G641" s="14" t="n">
        <v>1</v>
      </c>
      <c r="H641" s="14" t="s">
        <v>154</v>
      </c>
      <c r="I641" s="14" t="s">
        <v>897</v>
      </c>
      <c r="J641" s="15" t="n">
        <f aca="false">IF(B641="SITE LOSS",IF(D641=C641,1,0),IF(B641="REGION LOSS",IF(E641=C641,1,0),0))</f>
        <v>0</v>
      </c>
      <c r="K641" s="15" t="n">
        <f aca="false">IF(B641="SITE LOSS",IF(COUNTIFS('Site Dockets'!$B$7:$B$24,C641,'Site Dockets'!$C$7:$C$24,F641)&gt;0,1,0),IF(B641="REGION LOSS",IF(COUNTIFS('Site Dockets'!$E$7:$E$24,C641,'Site Dockets'!$C$7:$C$24,F641)&gt;0,1,0),0))</f>
        <v>0</v>
      </c>
      <c r="L641" s="15" t="n">
        <f aca="false">IF(J641=1,0,Inputs!$B$11)</f>
        <v>100</v>
      </c>
      <c r="M641" s="15" t="n">
        <f aca="false">IF(J641=1,0,Inputs!$B$12)</f>
        <v>75</v>
      </c>
      <c r="N641" s="15" t="n">
        <f aca="false">IF(J641=1,0,IF(OR(AND(OR(B641="SITE LOSS",B641="REGION LOSS"),K641=1),AND(B641="ROLE COMPROMISE",H641=C641)),Inputs!$B$13,Inputs!$B$14))</f>
        <v>10</v>
      </c>
      <c r="O641" s="15" t="n">
        <f aca="false">IF(J641=1,0,Inputs!$B$13)</f>
        <v>20</v>
      </c>
      <c r="P641" s="15" t="n">
        <f aca="false">SUM(M641:N641)</f>
        <v>85</v>
      </c>
      <c r="Q641" s="15" t="n">
        <f aca="false">IF(J641=1,"",L641-P641)</f>
        <v>15</v>
      </c>
      <c r="R641" s="15" t="n">
        <f aca="false">IF(OR(J641=1,M641&lt;=Inputs!$B$12),1,0)</f>
        <v>1</v>
      </c>
      <c r="S641" s="15" t="n">
        <f aca="false">IF(OR(J641=1,N641&lt;=O641),1,0)</f>
        <v>1</v>
      </c>
      <c r="T641" s="15" t="str">
        <f aca="false">IF(J641=1,"OFFLINE",IF(AND(Q641&gt;=Inputs!$B$15,R641=1,S641=1,P641&lt;=L641),"PASS","FAIL"))</f>
        <v>PASS</v>
      </c>
    </row>
    <row r="642" customFormat="false" ht="15" hidden="false" customHeight="false" outlineLevel="0" collapsed="false">
      <c r="A642" s="14" t="s">
        <v>1024</v>
      </c>
      <c r="B642" s="14" t="s">
        <v>1019</v>
      </c>
      <c r="C642" s="14" t="s">
        <v>171</v>
      </c>
      <c r="D642" s="14" t="s">
        <v>198</v>
      </c>
      <c r="E642" s="14" t="s">
        <v>166</v>
      </c>
      <c r="F642" s="14" t="s">
        <v>199</v>
      </c>
      <c r="G642" s="14" t="n">
        <v>1</v>
      </c>
      <c r="H642" s="14" t="s">
        <v>154</v>
      </c>
      <c r="I642" s="14" t="s">
        <v>899</v>
      </c>
      <c r="J642" s="15" t="n">
        <f aca="false">IF(B642="SITE LOSS",IF(D642=C642,1,0),IF(B642="REGION LOSS",IF(E642=C642,1,0),0))</f>
        <v>0</v>
      </c>
      <c r="K642" s="15" t="n">
        <f aca="false">IF(B642="SITE LOSS",IF(COUNTIFS('Site Dockets'!$B$7:$B$24,C642,'Site Dockets'!$C$7:$C$24,F642)&gt;0,1,0),IF(B642="REGION LOSS",IF(COUNTIFS('Site Dockets'!$E$7:$E$24,C642,'Site Dockets'!$C$7:$C$24,F642)&gt;0,1,0),0))</f>
        <v>0</v>
      </c>
      <c r="L642" s="15" t="n">
        <f aca="false">IF(J642=1,0,Inputs!$B$11)</f>
        <v>100</v>
      </c>
      <c r="M642" s="15" t="n">
        <f aca="false">IF(J642=1,0,Inputs!$B$12)</f>
        <v>75</v>
      </c>
      <c r="N642" s="15" t="n">
        <f aca="false">IF(J642=1,0,IF(OR(AND(OR(B642="SITE LOSS",B642="REGION LOSS"),K642=1),AND(B642="ROLE COMPROMISE",H642=C642)),Inputs!$B$13,Inputs!$B$14))</f>
        <v>10</v>
      </c>
      <c r="O642" s="15" t="n">
        <f aca="false">IF(J642=1,0,Inputs!$B$13)</f>
        <v>20</v>
      </c>
      <c r="P642" s="15" t="n">
        <f aca="false">SUM(M642:N642)</f>
        <v>85</v>
      </c>
      <c r="Q642" s="15" t="n">
        <f aca="false">IF(J642=1,"",L642-P642)</f>
        <v>15</v>
      </c>
      <c r="R642" s="15" t="n">
        <f aca="false">IF(OR(J642=1,M642&lt;=Inputs!$B$12),1,0)</f>
        <v>1</v>
      </c>
      <c r="S642" s="15" t="n">
        <f aca="false">IF(OR(J642=1,N642&lt;=O642),1,0)</f>
        <v>1</v>
      </c>
      <c r="T642" s="15" t="str">
        <f aca="false">IF(J642=1,"OFFLINE",IF(AND(Q642&gt;=Inputs!$B$15,R642=1,S642=1,P642&lt;=L642),"PASS","FAIL"))</f>
        <v>PASS</v>
      </c>
    </row>
    <row r="643" customFormat="false" ht="15" hidden="false" customHeight="false" outlineLevel="0" collapsed="false">
      <c r="A643" s="14" t="s">
        <v>1024</v>
      </c>
      <c r="B643" s="14" t="s">
        <v>1019</v>
      </c>
      <c r="C643" s="14" t="s">
        <v>171</v>
      </c>
      <c r="D643" s="14" t="s">
        <v>202</v>
      </c>
      <c r="E643" s="14" t="s">
        <v>157</v>
      </c>
      <c r="F643" s="14" t="s">
        <v>199</v>
      </c>
      <c r="G643" s="14" t="n">
        <v>2</v>
      </c>
      <c r="H643" s="14" t="s">
        <v>153</v>
      </c>
      <c r="I643" s="14" t="s">
        <v>890</v>
      </c>
      <c r="J643" s="15" t="n">
        <f aca="false">IF(B643="SITE LOSS",IF(D643=C643,1,0),IF(B643="REGION LOSS",IF(E643=C643,1,0),0))</f>
        <v>0</v>
      </c>
      <c r="K643" s="15" t="n">
        <f aca="false">IF(B643="SITE LOSS",IF(COUNTIFS('Site Dockets'!$B$7:$B$24,C643,'Site Dockets'!$C$7:$C$24,F643)&gt;0,1,0),IF(B643="REGION LOSS",IF(COUNTIFS('Site Dockets'!$E$7:$E$24,C643,'Site Dockets'!$C$7:$C$24,F643)&gt;0,1,0),0))</f>
        <v>0</v>
      </c>
      <c r="L643" s="15" t="n">
        <f aca="false">IF(J643=1,0,Inputs!$B$11)</f>
        <v>100</v>
      </c>
      <c r="M643" s="15" t="n">
        <f aca="false">IF(J643=1,0,Inputs!$B$12)</f>
        <v>75</v>
      </c>
      <c r="N643" s="15" t="n">
        <f aca="false">IF(J643=1,0,IF(OR(AND(OR(B643="SITE LOSS",B643="REGION LOSS"),K643=1),AND(B643="ROLE COMPROMISE",H643=C643)),Inputs!$B$13,Inputs!$B$14))</f>
        <v>10</v>
      </c>
      <c r="O643" s="15" t="n">
        <f aca="false">IF(J643=1,0,Inputs!$B$13)</f>
        <v>20</v>
      </c>
      <c r="P643" s="15" t="n">
        <f aca="false">SUM(M643:N643)</f>
        <v>85</v>
      </c>
      <c r="Q643" s="15" t="n">
        <f aca="false">IF(J643=1,"",L643-P643)</f>
        <v>15</v>
      </c>
      <c r="R643" s="15" t="n">
        <f aca="false">IF(OR(J643=1,M643&lt;=Inputs!$B$12),1,0)</f>
        <v>1</v>
      </c>
      <c r="S643" s="15" t="n">
        <f aca="false">IF(OR(J643=1,N643&lt;=O643),1,0)</f>
        <v>1</v>
      </c>
      <c r="T643" s="15" t="str">
        <f aca="false">IF(J643=1,"OFFLINE",IF(AND(Q643&gt;=Inputs!$B$15,R643=1,S643=1,P643&lt;=L643),"PASS","FAIL"))</f>
        <v>PASS</v>
      </c>
    </row>
    <row r="644" customFormat="false" ht="15" hidden="false" customHeight="false" outlineLevel="0" collapsed="false">
      <c r="A644" s="14" t="s">
        <v>1024</v>
      </c>
      <c r="B644" s="14" t="s">
        <v>1019</v>
      </c>
      <c r="C644" s="14" t="s">
        <v>171</v>
      </c>
      <c r="D644" s="14" t="s">
        <v>202</v>
      </c>
      <c r="E644" s="14" t="s">
        <v>157</v>
      </c>
      <c r="F644" s="14" t="s">
        <v>199</v>
      </c>
      <c r="G644" s="14" t="n">
        <v>2</v>
      </c>
      <c r="H644" s="14" t="s">
        <v>153</v>
      </c>
      <c r="I644" s="14" t="s">
        <v>892</v>
      </c>
      <c r="J644" s="15" t="n">
        <f aca="false">IF(B644="SITE LOSS",IF(D644=C644,1,0),IF(B644="REGION LOSS",IF(E644=C644,1,0),0))</f>
        <v>0</v>
      </c>
      <c r="K644" s="15" t="n">
        <f aca="false">IF(B644="SITE LOSS",IF(COUNTIFS('Site Dockets'!$B$7:$B$24,C644,'Site Dockets'!$C$7:$C$24,F644)&gt;0,1,0),IF(B644="REGION LOSS",IF(COUNTIFS('Site Dockets'!$E$7:$E$24,C644,'Site Dockets'!$C$7:$C$24,F644)&gt;0,1,0),0))</f>
        <v>0</v>
      </c>
      <c r="L644" s="15" t="n">
        <f aca="false">IF(J644=1,0,Inputs!$B$11)</f>
        <v>100</v>
      </c>
      <c r="M644" s="15" t="n">
        <f aca="false">IF(J644=1,0,Inputs!$B$12)</f>
        <v>75</v>
      </c>
      <c r="N644" s="15" t="n">
        <f aca="false">IF(J644=1,0,IF(OR(AND(OR(B644="SITE LOSS",B644="REGION LOSS"),K644=1),AND(B644="ROLE COMPROMISE",H644=C644)),Inputs!$B$13,Inputs!$B$14))</f>
        <v>10</v>
      </c>
      <c r="O644" s="15" t="n">
        <f aca="false">IF(J644=1,0,Inputs!$B$13)</f>
        <v>20</v>
      </c>
      <c r="P644" s="15" t="n">
        <f aca="false">SUM(M644:N644)</f>
        <v>85</v>
      </c>
      <c r="Q644" s="15" t="n">
        <f aca="false">IF(J644=1,"",L644-P644)</f>
        <v>15</v>
      </c>
      <c r="R644" s="15" t="n">
        <f aca="false">IF(OR(J644=1,M644&lt;=Inputs!$B$12),1,0)</f>
        <v>1</v>
      </c>
      <c r="S644" s="15" t="n">
        <f aca="false">IF(OR(J644=1,N644&lt;=O644),1,0)</f>
        <v>1</v>
      </c>
      <c r="T644" s="15" t="str">
        <f aca="false">IF(J644=1,"OFFLINE",IF(AND(Q644&gt;=Inputs!$B$15,R644=1,S644=1,P644&lt;=L644),"PASS","FAIL"))</f>
        <v>PASS</v>
      </c>
    </row>
    <row r="645" customFormat="false" ht="15" hidden="false" customHeight="false" outlineLevel="0" collapsed="false">
      <c r="A645" s="14" t="s">
        <v>1024</v>
      </c>
      <c r="B645" s="14" t="s">
        <v>1019</v>
      </c>
      <c r="C645" s="14" t="s">
        <v>171</v>
      </c>
      <c r="D645" s="14" t="s">
        <v>202</v>
      </c>
      <c r="E645" s="14" t="s">
        <v>157</v>
      </c>
      <c r="F645" s="14" t="s">
        <v>199</v>
      </c>
      <c r="G645" s="14" t="n">
        <v>2</v>
      </c>
      <c r="H645" s="14" t="s">
        <v>153</v>
      </c>
      <c r="I645" s="14" t="s">
        <v>811</v>
      </c>
      <c r="J645" s="15" t="n">
        <f aca="false">IF(B645="SITE LOSS",IF(D645=C645,1,0),IF(B645="REGION LOSS",IF(E645=C645,1,0),0))</f>
        <v>0</v>
      </c>
      <c r="K645" s="15" t="n">
        <f aca="false">IF(B645="SITE LOSS",IF(COUNTIFS('Site Dockets'!$B$7:$B$24,C645,'Site Dockets'!$C$7:$C$24,F645)&gt;0,1,0),IF(B645="REGION LOSS",IF(COUNTIFS('Site Dockets'!$E$7:$E$24,C645,'Site Dockets'!$C$7:$C$24,F645)&gt;0,1,0),0))</f>
        <v>0</v>
      </c>
      <c r="L645" s="15" t="n">
        <f aca="false">IF(J645=1,0,Inputs!$B$11)</f>
        <v>100</v>
      </c>
      <c r="M645" s="15" t="n">
        <f aca="false">IF(J645=1,0,Inputs!$B$12)</f>
        <v>75</v>
      </c>
      <c r="N645" s="15" t="n">
        <f aca="false">IF(J645=1,0,IF(OR(AND(OR(B645="SITE LOSS",B645="REGION LOSS"),K645=1),AND(B645="ROLE COMPROMISE",H645=C645)),Inputs!$B$13,Inputs!$B$14))</f>
        <v>10</v>
      </c>
      <c r="O645" s="15" t="n">
        <f aca="false">IF(J645=1,0,Inputs!$B$13)</f>
        <v>20</v>
      </c>
      <c r="P645" s="15" t="n">
        <f aca="false">SUM(M645:N645)</f>
        <v>85</v>
      </c>
      <c r="Q645" s="15" t="n">
        <f aca="false">IF(J645=1,"",L645-P645)</f>
        <v>15</v>
      </c>
      <c r="R645" s="15" t="n">
        <f aca="false">IF(OR(J645=1,M645&lt;=Inputs!$B$12),1,0)</f>
        <v>1</v>
      </c>
      <c r="S645" s="15" t="n">
        <f aca="false">IF(OR(J645=1,N645&lt;=O645),1,0)</f>
        <v>1</v>
      </c>
      <c r="T645" s="15" t="str">
        <f aca="false">IF(J645=1,"OFFLINE",IF(AND(Q645&gt;=Inputs!$B$15,R645=1,S645=1,P645&lt;=L645),"PASS","FAIL"))</f>
        <v>PASS</v>
      </c>
    </row>
    <row r="646" customFormat="false" ht="15" hidden="false" customHeight="false" outlineLevel="0" collapsed="false">
      <c r="A646" s="14" t="s">
        <v>1024</v>
      </c>
      <c r="B646" s="14" t="s">
        <v>1019</v>
      </c>
      <c r="C646" s="14" t="s">
        <v>171</v>
      </c>
      <c r="D646" s="14" t="s">
        <v>202</v>
      </c>
      <c r="E646" s="14" t="s">
        <v>157</v>
      </c>
      <c r="F646" s="14" t="s">
        <v>199</v>
      </c>
      <c r="G646" s="14" t="n">
        <v>2</v>
      </c>
      <c r="H646" s="14" t="s">
        <v>153</v>
      </c>
      <c r="I646" s="14" t="s">
        <v>895</v>
      </c>
      <c r="J646" s="15" t="n">
        <f aca="false">IF(B646="SITE LOSS",IF(D646=C646,1,0),IF(B646="REGION LOSS",IF(E646=C646,1,0),0))</f>
        <v>0</v>
      </c>
      <c r="K646" s="15" t="n">
        <f aca="false">IF(B646="SITE LOSS",IF(COUNTIFS('Site Dockets'!$B$7:$B$24,C646,'Site Dockets'!$C$7:$C$24,F646)&gt;0,1,0),IF(B646="REGION LOSS",IF(COUNTIFS('Site Dockets'!$E$7:$E$24,C646,'Site Dockets'!$C$7:$C$24,F646)&gt;0,1,0),0))</f>
        <v>0</v>
      </c>
      <c r="L646" s="15" t="n">
        <f aca="false">IF(J646=1,0,Inputs!$B$11)</f>
        <v>100</v>
      </c>
      <c r="M646" s="15" t="n">
        <f aca="false">IF(J646=1,0,Inputs!$B$12)</f>
        <v>75</v>
      </c>
      <c r="N646" s="15" t="n">
        <f aca="false">IF(J646=1,0,IF(OR(AND(OR(B646="SITE LOSS",B646="REGION LOSS"),K646=1),AND(B646="ROLE COMPROMISE",H646=C646)),Inputs!$B$13,Inputs!$B$14))</f>
        <v>10</v>
      </c>
      <c r="O646" s="15" t="n">
        <f aca="false">IF(J646=1,0,Inputs!$B$13)</f>
        <v>20</v>
      </c>
      <c r="P646" s="15" t="n">
        <f aca="false">SUM(M646:N646)</f>
        <v>85</v>
      </c>
      <c r="Q646" s="15" t="n">
        <f aca="false">IF(J646=1,"",L646-P646)</f>
        <v>15</v>
      </c>
      <c r="R646" s="15" t="n">
        <f aca="false">IF(OR(J646=1,M646&lt;=Inputs!$B$12),1,0)</f>
        <v>1</v>
      </c>
      <c r="S646" s="15" t="n">
        <f aca="false">IF(OR(J646=1,N646&lt;=O646),1,0)</f>
        <v>1</v>
      </c>
      <c r="T646" s="15" t="str">
        <f aca="false">IF(J646=1,"OFFLINE",IF(AND(Q646&gt;=Inputs!$B$15,R646=1,S646=1,P646&lt;=L646),"PASS","FAIL"))</f>
        <v>PASS</v>
      </c>
    </row>
    <row r="647" customFormat="false" ht="15" hidden="false" customHeight="false" outlineLevel="0" collapsed="false">
      <c r="A647" s="14" t="s">
        <v>1024</v>
      </c>
      <c r="B647" s="14" t="s">
        <v>1019</v>
      </c>
      <c r="C647" s="14" t="s">
        <v>171</v>
      </c>
      <c r="D647" s="14" t="s">
        <v>202</v>
      </c>
      <c r="E647" s="14" t="s">
        <v>157</v>
      </c>
      <c r="F647" s="14" t="s">
        <v>199</v>
      </c>
      <c r="G647" s="14" t="n">
        <v>2</v>
      </c>
      <c r="H647" s="14" t="s">
        <v>153</v>
      </c>
      <c r="I647" s="14" t="s">
        <v>897</v>
      </c>
      <c r="J647" s="15" t="n">
        <f aca="false">IF(B647="SITE LOSS",IF(D647=C647,1,0),IF(B647="REGION LOSS",IF(E647=C647,1,0),0))</f>
        <v>0</v>
      </c>
      <c r="K647" s="15" t="n">
        <f aca="false">IF(B647="SITE LOSS",IF(COUNTIFS('Site Dockets'!$B$7:$B$24,C647,'Site Dockets'!$C$7:$C$24,F647)&gt;0,1,0),IF(B647="REGION LOSS",IF(COUNTIFS('Site Dockets'!$E$7:$E$24,C647,'Site Dockets'!$C$7:$C$24,F647)&gt;0,1,0),0))</f>
        <v>0</v>
      </c>
      <c r="L647" s="15" t="n">
        <f aca="false">IF(J647=1,0,Inputs!$B$11)</f>
        <v>100</v>
      </c>
      <c r="M647" s="15" t="n">
        <f aca="false">IF(J647=1,0,Inputs!$B$12)</f>
        <v>75</v>
      </c>
      <c r="N647" s="15" t="n">
        <f aca="false">IF(J647=1,0,IF(OR(AND(OR(B647="SITE LOSS",B647="REGION LOSS"),K647=1),AND(B647="ROLE COMPROMISE",H647=C647)),Inputs!$B$13,Inputs!$B$14))</f>
        <v>10</v>
      </c>
      <c r="O647" s="15" t="n">
        <f aca="false">IF(J647=1,0,Inputs!$B$13)</f>
        <v>20</v>
      </c>
      <c r="P647" s="15" t="n">
        <f aca="false">SUM(M647:N647)</f>
        <v>85</v>
      </c>
      <c r="Q647" s="15" t="n">
        <f aca="false">IF(J647=1,"",L647-P647)</f>
        <v>15</v>
      </c>
      <c r="R647" s="15" t="n">
        <f aca="false">IF(OR(J647=1,M647&lt;=Inputs!$B$12),1,0)</f>
        <v>1</v>
      </c>
      <c r="S647" s="15" t="n">
        <f aca="false">IF(OR(J647=1,N647&lt;=O647),1,0)</f>
        <v>1</v>
      </c>
      <c r="T647" s="15" t="str">
        <f aca="false">IF(J647=1,"OFFLINE",IF(AND(Q647&gt;=Inputs!$B$15,R647=1,S647=1,P647&lt;=L647),"PASS","FAIL"))</f>
        <v>PASS</v>
      </c>
    </row>
    <row r="648" customFormat="false" ht="15" hidden="false" customHeight="false" outlineLevel="0" collapsed="false">
      <c r="A648" s="14" t="s">
        <v>1024</v>
      </c>
      <c r="B648" s="14" t="s">
        <v>1019</v>
      </c>
      <c r="C648" s="14" t="s">
        <v>171</v>
      </c>
      <c r="D648" s="14" t="s">
        <v>202</v>
      </c>
      <c r="E648" s="14" t="s">
        <v>157</v>
      </c>
      <c r="F648" s="14" t="s">
        <v>199</v>
      </c>
      <c r="G648" s="14" t="n">
        <v>2</v>
      </c>
      <c r="H648" s="14" t="s">
        <v>153</v>
      </c>
      <c r="I648" s="14" t="s">
        <v>899</v>
      </c>
      <c r="J648" s="15" t="n">
        <f aca="false">IF(B648="SITE LOSS",IF(D648=C648,1,0),IF(B648="REGION LOSS",IF(E648=C648,1,0),0))</f>
        <v>0</v>
      </c>
      <c r="K648" s="15" t="n">
        <f aca="false">IF(B648="SITE LOSS",IF(COUNTIFS('Site Dockets'!$B$7:$B$24,C648,'Site Dockets'!$C$7:$C$24,F648)&gt;0,1,0),IF(B648="REGION LOSS",IF(COUNTIFS('Site Dockets'!$E$7:$E$24,C648,'Site Dockets'!$C$7:$C$24,F648)&gt;0,1,0),0))</f>
        <v>0</v>
      </c>
      <c r="L648" s="15" t="n">
        <f aca="false">IF(J648=1,0,Inputs!$B$11)</f>
        <v>100</v>
      </c>
      <c r="M648" s="15" t="n">
        <f aca="false">IF(J648=1,0,Inputs!$B$12)</f>
        <v>75</v>
      </c>
      <c r="N648" s="15" t="n">
        <f aca="false">IF(J648=1,0,IF(OR(AND(OR(B648="SITE LOSS",B648="REGION LOSS"),K648=1),AND(B648="ROLE COMPROMISE",H648=C648)),Inputs!$B$13,Inputs!$B$14))</f>
        <v>10</v>
      </c>
      <c r="O648" s="15" t="n">
        <f aca="false">IF(J648=1,0,Inputs!$B$13)</f>
        <v>20</v>
      </c>
      <c r="P648" s="15" t="n">
        <f aca="false">SUM(M648:N648)</f>
        <v>85</v>
      </c>
      <c r="Q648" s="15" t="n">
        <f aca="false">IF(J648=1,"",L648-P648)</f>
        <v>15</v>
      </c>
      <c r="R648" s="15" t="n">
        <f aca="false">IF(OR(J648=1,M648&lt;=Inputs!$B$12),1,0)</f>
        <v>1</v>
      </c>
      <c r="S648" s="15" t="n">
        <f aca="false">IF(OR(J648=1,N648&lt;=O648),1,0)</f>
        <v>1</v>
      </c>
      <c r="T648" s="15" t="str">
        <f aca="false">IF(J648=1,"OFFLINE",IF(AND(Q648&gt;=Inputs!$B$15,R648=1,S648=1,P648&lt;=L648),"PASS","FAIL"))</f>
        <v>PASS</v>
      </c>
    </row>
    <row r="649" customFormat="false" ht="15" hidden="false" customHeight="false" outlineLevel="0" collapsed="false">
      <c r="A649" s="14" t="s">
        <v>1024</v>
      </c>
      <c r="B649" s="14" t="s">
        <v>1019</v>
      </c>
      <c r="C649" s="14" t="s">
        <v>171</v>
      </c>
      <c r="D649" s="14" t="s">
        <v>204</v>
      </c>
      <c r="E649" s="14" t="s">
        <v>161</v>
      </c>
      <c r="F649" s="14" t="s">
        <v>199</v>
      </c>
      <c r="G649" s="14" t="n">
        <v>3</v>
      </c>
      <c r="H649" s="14" t="s">
        <v>158</v>
      </c>
      <c r="I649" s="14" t="s">
        <v>890</v>
      </c>
      <c r="J649" s="15" t="n">
        <f aca="false">IF(B649="SITE LOSS",IF(D649=C649,1,0),IF(B649="REGION LOSS",IF(E649=C649,1,0),0))</f>
        <v>0</v>
      </c>
      <c r="K649" s="15" t="n">
        <f aca="false">IF(B649="SITE LOSS",IF(COUNTIFS('Site Dockets'!$B$7:$B$24,C649,'Site Dockets'!$C$7:$C$24,F649)&gt;0,1,0),IF(B649="REGION LOSS",IF(COUNTIFS('Site Dockets'!$E$7:$E$24,C649,'Site Dockets'!$C$7:$C$24,F649)&gt;0,1,0),0))</f>
        <v>0</v>
      </c>
      <c r="L649" s="15" t="n">
        <f aca="false">IF(J649=1,0,Inputs!$B$11)</f>
        <v>100</v>
      </c>
      <c r="M649" s="15" t="n">
        <f aca="false">IF(J649=1,0,Inputs!$B$12)</f>
        <v>75</v>
      </c>
      <c r="N649" s="15" t="n">
        <f aca="false">IF(J649=1,0,IF(OR(AND(OR(B649="SITE LOSS",B649="REGION LOSS"),K649=1),AND(B649="ROLE COMPROMISE",H649=C649)),Inputs!$B$13,Inputs!$B$14))</f>
        <v>10</v>
      </c>
      <c r="O649" s="15" t="n">
        <f aca="false">IF(J649=1,0,Inputs!$B$13)</f>
        <v>20</v>
      </c>
      <c r="P649" s="15" t="n">
        <f aca="false">SUM(M649:N649)</f>
        <v>85</v>
      </c>
      <c r="Q649" s="15" t="n">
        <f aca="false">IF(J649=1,"",L649-P649)</f>
        <v>15</v>
      </c>
      <c r="R649" s="15" t="n">
        <f aca="false">IF(OR(J649=1,M649&lt;=Inputs!$B$12),1,0)</f>
        <v>1</v>
      </c>
      <c r="S649" s="15" t="n">
        <f aca="false">IF(OR(J649=1,N649&lt;=O649),1,0)</f>
        <v>1</v>
      </c>
      <c r="T649" s="15" t="str">
        <f aca="false">IF(J649=1,"OFFLINE",IF(AND(Q649&gt;=Inputs!$B$15,R649=1,S649=1,P649&lt;=L649),"PASS","FAIL"))</f>
        <v>PASS</v>
      </c>
    </row>
    <row r="650" customFormat="false" ht="15" hidden="false" customHeight="false" outlineLevel="0" collapsed="false">
      <c r="A650" s="14" t="s">
        <v>1024</v>
      </c>
      <c r="B650" s="14" t="s">
        <v>1019</v>
      </c>
      <c r="C650" s="14" t="s">
        <v>171</v>
      </c>
      <c r="D650" s="14" t="s">
        <v>204</v>
      </c>
      <c r="E650" s="14" t="s">
        <v>161</v>
      </c>
      <c r="F650" s="14" t="s">
        <v>199</v>
      </c>
      <c r="G650" s="14" t="n">
        <v>3</v>
      </c>
      <c r="H650" s="14" t="s">
        <v>158</v>
      </c>
      <c r="I650" s="14" t="s">
        <v>892</v>
      </c>
      <c r="J650" s="15" t="n">
        <f aca="false">IF(B650="SITE LOSS",IF(D650=C650,1,0),IF(B650="REGION LOSS",IF(E650=C650,1,0),0))</f>
        <v>0</v>
      </c>
      <c r="K650" s="15" t="n">
        <f aca="false">IF(B650="SITE LOSS",IF(COUNTIFS('Site Dockets'!$B$7:$B$24,C650,'Site Dockets'!$C$7:$C$24,F650)&gt;0,1,0),IF(B650="REGION LOSS",IF(COUNTIFS('Site Dockets'!$E$7:$E$24,C650,'Site Dockets'!$C$7:$C$24,F650)&gt;0,1,0),0))</f>
        <v>0</v>
      </c>
      <c r="L650" s="15" t="n">
        <f aca="false">IF(J650=1,0,Inputs!$B$11)</f>
        <v>100</v>
      </c>
      <c r="M650" s="15" t="n">
        <f aca="false">IF(J650=1,0,Inputs!$B$12)</f>
        <v>75</v>
      </c>
      <c r="N650" s="15" t="n">
        <f aca="false">IF(J650=1,0,IF(OR(AND(OR(B650="SITE LOSS",B650="REGION LOSS"),K650=1),AND(B650="ROLE COMPROMISE",H650=C650)),Inputs!$B$13,Inputs!$B$14))</f>
        <v>10</v>
      </c>
      <c r="O650" s="15" t="n">
        <f aca="false">IF(J650=1,0,Inputs!$B$13)</f>
        <v>20</v>
      </c>
      <c r="P650" s="15" t="n">
        <f aca="false">SUM(M650:N650)</f>
        <v>85</v>
      </c>
      <c r="Q650" s="15" t="n">
        <f aca="false">IF(J650=1,"",L650-P650)</f>
        <v>15</v>
      </c>
      <c r="R650" s="15" t="n">
        <f aca="false">IF(OR(J650=1,M650&lt;=Inputs!$B$12),1,0)</f>
        <v>1</v>
      </c>
      <c r="S650" s="15" t="n">
        <f aca="false">IF(OR(J650=1,N650&lt;=O650),1,0)</f>
        <v>1</v>
      </c>
      <c r="T650" s="15" t="str">
        <f aca="false">IF(J650=1,"OFFLINE",IF(AND(Q650&gt;=Inputs!$B$15,R650=1,S650=1,P650&lt;=L650),"PASS","FAIL"))</f>
        <v>PASS</v>
      </c>
    </row>
    <row r="651" customFormat="false" ht="15" hidden="false" customHeight="false" outlineLevel="0" collapsed="false">
      <c r="A651" s="14" t="s">
        <v>1024</v>
      </c>
      <c r="B651" s="14" t="s">
        <v>1019</v>
      </c>
      <c r="C651" s="14" t="s">
        <v>171</v>
      </c>
      <c r="D651" s="14" t="s">
        <v>204</v>
      </c>
      <c r="E651" s="14" t="s">
        <v>161</v>
      </c>
      <c r="F651" s="14" t="s">
        <v>199</v>
      </c>
      <c r="G651" s="14" t="n">
        <v>3</v>
      </c>
      <c r="H651" s="14" t="s">
        <v>158</v>
      </c>
      <c r="I651" s="14" t="s">
        <v>811</v>
      </c>
      <c r="J651" s="15" t="n">
        <f aca="false">IF(B651="SITE LOSS",IF(D651=C651,1,0),IF(B651="REGION LOSS",IF(E651=C651,1,0),0))</f>
        <v>0</v>
      </c>
      <c r="K651" s="15" t="n">
        <f aca="false">IF(B651="SITE LOSS",IF(COUNTIFS('Site Dockets'!$B$7:$B$24,C651,'Site Dockets'!$C$7:$C$24,F651)&gt;0,1,0),IF(B651="REGION LOSS",IF(COUNTIFS('Site Dockets'!$E$7:$E$24,C651,'Site Dockets'!$C$7:$C$24,F651)&gt;0,1,0),0))</f>
        <v>0</v>
      </c>
      <c r="L651" s="15" t="n">
        <f aca="false">IF(J651=1,0,Inputs!$B$11)</f>
        <v>100</v>
      </c>
      <c r="M651" s="15" t="n">
        <f aca="false">IF(J651=1,0,Inputs!$B$12)</f>
        <v>75</v>
      </c>
      <c r="N651" s="15" t="n">
        <f aca="false">IF(J651=1,0,IF(OR(AND(OR(B651="SITE LOSS",B651="REGION LOSS"),K651=1),AND(B651="ROLE COMPROMISE",H651=C651)),Inputs!$B$13,Inputs!$B$14))</f>
        <v>10</v>
      </c>
      <c r="O651" s="15" t="n">
        <f aca="false">IF(J651=1,0,Inputs!$B$13)</f>
        <v>20</v>
      </c>
      <c r="P651" s="15" t="n">
        <f aca="false">SUM(M651:N651)</f>
        <v>85</v>
      </c>
      <c r="Q651" s="15" t="n">
        <f aca="false">IF(J651=1,"",L651-P651)</f>
        <v>15</v>
      </c>
      <c r="R651" s="15" t="n">
        <f aca="false">IF(OR(J651=1,M651&lt;=Inputs!$B$12),1,0)</f>
        <v>1</v>
      </c>
      <c r="S651" s="15" t="n">
        <f aca="false">IF(OR(J651=1,N651&lt;=O651),1,0)</f>
        <v>1</v>
      </c>
      <c r="T651" s="15" t="str">
        <f aca="false">IF(J651=1,"OFFLINE",IF(AND(Q651&gt;=Inputs!$B$15,R651=1,S651=1,P651&lt;=L651),"PASS","FAIL"))</f>
        <v>PASS</v>
      </c>
    </row>
    <row r="652" customFormat="false" ht="15" hidden="false" customHeight="false" outlineLevel="0" collapsed="false">
      <c r="A652" s="14" t="s">
        <v>1024</v>
      </c>
      <c r="B652" s="14" t="s">
        <v>1019</v>
      </c>
      <c r="C652" s="14" t="s">
        <v>171</v>
      </c>
      <c r="D652" s="14" t="s">
        <v>204</v>
      </c>
      <c r="E652" s="14" t="s">
        <v>161</v>
      </c>
      <c r="F652" s="14" t="s">
        <v>199</v>
      </c>
      <c r="G652" s="14" t="n">
        <v>3</v>
      </c>
      <c r="H652" s="14" t="s">
        <v>158</v>
      </c>
      <c r="I652" s="14" t="s">
        <v>895</v>
      </c>
      <c r="J652" s="15" t="n">
        <f aca="false">IF(B652="SITE LOSS",IF(D652=C652,1,0),IF(B652="REGION LOSS",IF(E652=C652,1,0),0))</f>
        <v>0</v>
      </c>
      <c r="K652" s="15" t="n">
        <f aca="false">IF(B652="SITE LOSS",IF(COUNTIFS('Site Dockets'!$B$7:$B$24,C652,'Site Dockets'!$C$7:$C$24,F652)&gt;0,1,0),IF(B652="REGION LOSS",IF(COUNTIFS('Site Dockets'!$E$7:$E$24,C652,'Site Dockets'!$C$7:$C$24,F652)&gt;0,1,0),0))</f>
        <v>0</v>
      </c>
      <c r="L652" s="15" t="n">
        <f aca="false">IF(J652=1,0,Inputs!$B$11)</f>
        <v>100</v>
      </c>
      <c r="M652" s="15" t="n">
        <f aca="false">IF(J652=1,0,Inputs!$B$12)</f>
        <v>75</v>
      </c>
      <c r="N652" s="15" t="n">
        <f aca="false">IF(J652=1,0,IF(OR(AND(OR(B652="SITE LOSS",B652="REGION LOSS"),K652=1),AND(B652="ROLE COMPROMISE",H652=C652)),Inputs!$B$13,Inputs!$B$14))</f>
        <v>10</v>
      </c>
      <c r="O652" s="15" t="n">
        <f aca="false">IF(J652=1,0,Inputs!$B$13)</f>
        <v>20</v>
      </c>
      <c r="P652" s="15" t="n">
        <f aca="false">SUM(M652:N652)</f>
        <v>85</v>
      </c>
      <c r="Q652" s="15" t="n">
        <f aca="false">IF(J652=1,"",L652-P652)</f>
        <v>15</v>
      </c>
      <c r="R652" s="15" t="n">
        <f aca="false">IF(OR(J652=1,M652&lt;=Inputs!$B$12),1,0)</f>
        <v>1</v>
      </c>
      <c r="S652" s="15" t="n">
        <f aca="false">IF(OR(J652=1,N652&lt;=O652),1,0)</f>
        <v>1</v>
      </c>
      <c r="T652" s="15" t="str">
        <f aca="false">IF(J652=1,"OFFLINE",IF(AND(Q652&gt;=Inputs!$B$15,R652=1,S652=1,P652&lt;=L652),"PASS","FAIL"))</f>
        <v>PASS</v>
      </c>
    </row>
    <row r="653" customFormat="false" ht="15" hidden="false" customHeight="false" outlineLevel="0" collapsed="false">
      <c r="A653" s="14" t="s">
        <v>1024</v>
      </c>
      <c r="B653" s="14" t="s">
        <v>1019</v>
      </c>
      <c r="C653" s="14" t="s">
        <v>171</v>
      </c>
      <c r="D653" s="14" t="s">
        <v>204</v>
      </c>
      <c r="E653" s="14" t="s">
        <v>161</v>
      </c>
      <c r="F653" s="14" t="s">
        <v>199</v>
      </c>
      <c r="G653" s="14" t="n">
        <v>3</v>
      </c>
      <c r="H653" s="14" t="s">
        <v>158</v>
      </c>
      <c r="I653" s="14" t="s">
        <v>897</v>
      </c>
      <c r="J653" s="15" t="n">
        <f aca="false">IF(B653="SITE LOSS",IF(D653=C653,1,0),IF(B653="REGION LOSS",IF(E653=C653,1,0),0))</f>
        <v>0</v>
      </c>
      <c r="K653" s="15" t="n">
        <f aca="false">IF(B653="SITE LOSS",IF(COUNTIFS('Site Dockets'!$B$7:$B$24,C653,'Site Dockets'!$C$7:$C$24,F653)&gt;0,1,0),IF(B653="REGION LOSS",IF(COUNTIFS('Site Dockets'!$E$7:$E$24,C653,'Site Dockets'!$C$7:$C$24,F653)&gt;0,1,0),0))</f>
        <v>0</v>
      </c>
      <c r="L653" s="15" t="n">
        <f aca="false">IF(J653=1,0,Inputs!$B$11)</f>
        <v>100</v>
      </c>
      <c r="M653" s="15" t="n">
        <f aca="false">IF(J653=1,0,Inputs!$B$12)</f>
        <v>75</v>
      </c>
      <c r="N653" s="15" t="n">
        <f aca="false">IF(J653=1,0,IF(OR(AND(OR(B653="SITE LOSS",B653="REGION LOSS"),K653=1),AND(B653="ROLE COMPROMISE",H653=C653)),Inputs!$B$13,Inputs!$B$14))</f>
        <v>10</v>
      </c>
      <c r="O653" s="15" t="n">
        <f aca="false">IF(J653=1,0,Inputs!$B$13)</f>
        <v>20</v>
      </c>
      <c r="P653" s="15" t="n">
        <f aca="false">SUM(M653:N653)</f>
        <v>85</v>
      </c>
      <c r="Q653" s="15" t="n">
        <f aca="false">IF(J653=1,"",L653-P653)</f>
        <v>15</v>
      </c>
      <c r="R653" s="15" t="n">
        <f aca="false">IF(OR(J653=1,M653&lt;=Inputs!$B$12),1,0)</f>
        <v>1</v>
      </c>
      <c r="S653" s="15" t="n">
        <f aca="false">IF(OR(J653=1,N653&lt;=O653),1,0)</f>
        <v>1</v>
      </c>
      <c r="T653" s="15" t="str">
        <f aca="false">IF(J653=1,"OFFLINE",IF(AND(Q653&gt;=Inputs!$B$15,R653=1,S653=1,P653&lt;=L653),"PASS","FAIL"))</f>
        <v>PASS</v>
      </c>
    </row>
    <row r="654" customFormat="false" ht="15" hidden="false" customHeight="false" outlineLevel="0" collapsed="false">
      <c r="A654" s="14" t="s">
        <v>1024</v>
      </c>
      <c r="B654" s="14" t="s">
        <v>1019</v>
      </c>
      <c r="C654" s="14" t="s">
        <v>171</v>
      </c>
      <c r="D654" s="14" t="s">
        <v>204</v>
      </c>
      <c r="E654" s="14" t="s">
        <v>161</v>
      </c>
      <c r="F654" s="14" t="s">
        <v>199</v>
      </c>
      <c r="G654" s="14" t="n">
        <v>3</v>
      </c>
      <c r="H654" s="14" t="s">
        <v>158</v>
      </c>
      <c r="I654" s="14" t="s">
        <v>899</v>
      </c>
      <c r="J654" s="15" t="n">
        <f aca="false">IF(B654="SITE LOSS",IF(D654=C654,1,0),IF(B654="REGION LOSS",IF(E654=C654,1,0),0))</f>
        <v>0</v>
      </c>
      <c r="K654" s="15" t="n">
        <f aca="false">IF(B654="SITE LOSS",IF(COUNTIFS('Site Dockets'!$B$7:$B$24,C654,'Site Dockets'!$C$7:$C$24,F654)&gt;0,1,0),IF(B654="REGION LOSS",IF(COUNTIFS('Site Dockets'!$E$7:$E$24,C654,'Site Dockets'!$C$7:$C$24,F654)&gt;0,1,0),0))</f>
        <v>0</v>
      </c>
      <c r="L654" s="15" t="n">
        <f aca="false">IF(J654=1,0,Inputs!$B$11)</f>
        <v>100</v>
      </c>
      <c r="M654" s="15" t="n">
        <f aca="false">IF(J654=1,0,Inputs!$B$12)</f>
        <v>75</v>
      </c>
      <c r="N654" s="15" t="n">
        <f aca="false">IF(J654=1,0,IF(OR(AND(OR(B654="SITE LOSS",B654="REGION LOSS"),K654=1),AND(B654="ROLE COMPROMISE",H654=C654)),Inputs!$B$13,Inputs!$B$14))</f>
        <v>10</v>
      </c>
      <c r="O654" s="15" t="n">
        <f aca="false">IF(J654=1,0,Inputs!$B$13)</f>
        <v>20</v>
      </c>
      <c r="P654" s="15" t="n">
        <f aca="false">SUM(M654:N654)</f>
        <v>85</v>
      </c>
      <c r="Q654" s="15" t="n">
        <f aca="false">IF(J654=1,"",L654-P654)</f>
        <v>15</v>
      </c>
      <c r="R654" s="15" t="n">
        <f aca="false">IF(OR(J654=1,M654&lt;=Inputs!$B$12),1,0)</f>
        <v>1</v>
      </c>
      <c r="S654" s="15" t="n">
        <f aca="false">IF(OR(J654=1,N654&lt;=O654),1,0)</f>
        <v>1</v>
      </c>
      <c r="T654" s="15" t="str">
        <f aca="false">IF(J654=1,"OFFLINE",IF(AND(Q654&gt;=Inputs!$B$15,R654=1,S654=1,P654&lt;=L654),"PASS","FAIL"))</f>
        <v>PASS</v>
      </c>
    </row>
    <row r="655" customFormat="false" ht="15" hidden="false" customHeight="false" outlineLevel="0" collapsed="false">
      <c r="A655" s="14" t="s">
        <v>1025</v>
      </c>
      <c r="B655" s="14" t="s">
        <v>1019</v>
      </c>
      <c r="C655" s="14" t="s">
        <v>174</v>
      </c>
      <c r="D655" s="14" t="s">
        <v>149</v>
      </c>
      <c r="E655" s="14" t="s">
        <v>152</v>
      </c>
      <c r="F655" s="14" t="s">
        <v>150</v>
      </c>
      <c r="G655" s="14" t="n">
        <v>1</v>
      </c>
      <c r="H655" s="14" t="s">
        <v>154</v>
      </c>
      <c r="I655" s="14" t="s">
        <v>890</v>
      </c>
      <c r="J655" s="15" t="n">
        <f aca="false">IF(B655="SITE LOSS",IF(D655=C655,1,0),IF(B655="REGION LOSS",IF(E655=C655,1,0),0))</f>
        <v>0</v>
      </c>
      <c r="K655" s="15" t="n">
        <f aca="false">IF(B655="SITE LOSS",IF(COUNTIFS('Site Dockets'!$B$7:$B$24,C655,'Site Dockets'!$C$7:$C$24,F655)&gt;0,1,0),IF(B655="REGION LOSS",IF(COUNTIFS('Site Dockets'!$E$7:$E$24,C655,'Site Dockets'!$C$7:$C$24,F655)&gt;0,1,0),0))</f>
        <v>0</v>
      </c>
      <c r="L655" s="15" t="n">
        <f aca="false">IF(J655=1,0,Inputs!$B$11)</f>
        <v>100</v>
      </c>
      <c r="M655" s="15" t="n">
        <f aca="false">IF(J655=1,0,Inputs!$B$12)</f>
        <v>75</v>
      </c>
      <c r="N655" s="15" t="n">
        <f aca="false">IF(J655=1,0,IF(OR(AND(OR(B655="SITE LOSS",B655="REGION LOSS"),K655=1),AND(B655="ROLE COMPROMISE",H655=C655)),Inputs!$B$13,Inputs!$B$14))</f>
        <v>10</v>
      </c>
      <c r="O655" s="15" t="n">
        <f aca="false">IF(J655=1,0,Inputs!$B$13)</f>
        <v>20</v>
      </c>
      <c r="P655" s="15" t="n">
        <f aca="false">SUM(M655:N655)</f>
        <v>85</v>
      </c>
      <c r="Q655" s="15" t="n">
        <f aca="false">IF(J655=1,"",L655-P655)</f>
        <v>15</v>
      </c>
      <c r="R655" s="15" t="n">
        <f aca="false">IF(OR(J655=1,M655&lt;=Inputs!$B$12),1,0)</f>
        <v>1</v>
      </c>
      <c r="S655" s="15" t="n">
        <f aca="false">IF(OR(J655=1,N655&lt;=O655),1,0)</f>
        <v>1</v>
      </c>
      <c r="T655" s="15" t="str">
        <f aca="false">IF(J655=1,"OFFLINE",IF(AND(Q655&gt;=Inputs!$B$15,R655=1,S655=1,P655&lt;=L655),"PASS","FAIL"))</f>
        <v>PASS</v>
      </c>
    </row>
    <row r="656" customFormat="false" ht="15" hidden="false" customHeight="false" outlineLevel="0" collapsed="false">
      <c r="A656" s="14" t="s">
        <v>1025</v>
      </c>
      <c r="B656" s="14" t="s">
        <v>1019</v>
      </c>
      <c r="C656" s="14" t="s">
        <v>174</v>
      </c>
      <c r="D656" s="14" t="s">
        <v>149</v>
      </c>
      <c r="E656" s="14" t="s">
        <v>152</v>
      </c>
      <c r="F656" s="14" t="s">
        <v>150</v>
      </c>
      <c r="G656" s="14" t="n">
        <v>1</v>
      </c>
      <c r="H656" s="14" t="s">
        <v>154</v>
      </c>
      <c r="I656" s="14" t="s">
        <v>892</v>
      </c>
      <c r="J656" s="15" t="n">
        <f aca="false">IF(B656="SITE LOSS",IF(D656=C656,1,0),IF(B656="REGION LOSS",IF(E656=C656,1,0),0))</f>
        <v>0</v>
      </c>
      <c r="K656" s="15" t="n">
        <f aca="false">IF(B656="SITE LOSS",IF(COUNTIFS('Site Dockets'!$B$7:$B$24,C656,'Site Dockets'!$C$7:$C$24,F656)&gt;0,1,0),IF(B656="REGION LOSS",IF(COUNTIFS('Site Dockets'!$E$7:$E$24,C656,'Site Dockets'!$C$7:$C$24,F656)&gt;0,1,0),0))</f>
        <v>0</v>
      </c>
      <c r="L656" s="15" t="n">
        <f aca="false">IF(J656=1,0,Inputs!$B$11)</f>
        <v>100</v>
      </c>
      <c r="M656" s="15" t="n">
        <f aca="false">IF(J656=1,0,Inputs!$B$12)</f>
        <v>75</v>
      </c>
      <c r="N656" s="15" t="n">
        <f aca="false">IF(J656=1,0,IF(OR(AND(OR(B656="SITE LOSS",B656="REGION LOSS"),K656=1),AND(B656="ROLE COMPROMISE",H656=C656)),Inputs!$B$13,Inputs!$B$14))</f>
        <v>10</v>
      </c>
      <c r="O656" s="15" t="n">
        <f aca="false">IF(J656=1,0,Inputs!$B$13)</f>
        <v>20</v>
      </c>
      <c r="P656" s="15" t="n">
        <f aca="false">SUM(M656:N656)</f>
        <v>85</v>
      </c>
      <c r="Q656" s="15" t="n">
        <f aca="false">IF(J656=1,"",L656-P656)</f>
        <v>15</v>
      </c>
      <c r="R656" s="15" t="n">
        <f aca="false">IF(OR(J656=1,M656&lt;=Inputs!$B$12),1,0)</f>
        <v>1</v>
      </c>
      <c r="S656" s="15" t="n">
        <f aca="false">IF(OR(J656=1,N656&lt;=O656),1,0)</f>
        <v>1</v>
      </c>
      <c r="T656" s="15" t="str">
        <f aca="false">IF(J656=1,"OFFLINE",IF(AND(Q656&gt;=Inputs!$B$15,R656=1,S656=1,P656&lt;=L656),"PASS","FAIL"))</f>
        <v>PASS</v>
      </c>
    </row>
    <row r="657" customFormat="false" ht="15" hidden="false" customHeight="false" outlineLevel="0" collapsed="false">
      <c r="A657" s="14" t="s">
        <v>1025</v>
      </c>
      <c r="B657" s="14" t="s">
        <v>1019</v>
      </c>
      <c r="C657" s="14" t="s">
        <v>174</v>
      </c>
      <c r="D657" s="14" t="s">
        <v>149</v>
      </c>
      <c r="E657" s="14" t="s">
        <v>152</v>
      </c>
      <c r="F657" s="14" t="s">
        <v>150</v>
      </c>
      <c r="G657" s="14" t="n">
        <v>1</v>
      </c>
      <c r="H657" s="14" t="s">
        <v>154</v>
      </c>
      <c r="I657" s="14" t="s">
        <v>811</v>
      </c>
      <c r="J657" s="15" t="n">
        <f aca="false">IF(B657="SITE LOSS",IF(D657=C657,1,0),IF(B657="REGION LOSS",IF(E657=C657,1,0),0))</f>
        <v>0</v>
      </c>
      <c r="K657" s="15" t="n">
        <f aca="false">IF(B657="SITE LOSS",IF(COUNTIFS('Site Dockets'!$B$7:$B$24,C657,'Site Dockets'!$C$7:$C$24,F657)&gt;0,1,0),IF(B657="REGION LOSS",IF(COUNTIFS('Site Dockets'!$E$7:$E$24,C657,'Site Dockets'!$C$7:$C$24,F657)&gt;0,1,0),0))</f>
        <v>0</v>
      </c>
      <c r="L657" s="15" t="n">
        <f aca="false">IF(J657=1,0,Inputs!$B$11)</f>
        <v>100</v>
      </c>
      <c r="M657" s="15" t="n">
        <f aca="false">IF(J657=1,0,Inputs!$B$12)</f>
        <v>75</v>
      </c>
      <c r="N657" s="15" t="n">
        <f aca="false">IF(J657=1,0,IF(OR(AND(OR(B657="SITE LOSS",B657="REGION LOSS"),K657=1),AND(B657="ROLE COMPROMISE",H657=C657)),Inputs!$B$13,Inputs!$B$14))</f>
        <v>10</v>
      </c>
      <c r="O657" s="15" t="n">
        <f aca="false">IF(J657=1,0,Inputs!$B$13)</f>
        <v>20</v>
      </c>
      <c r="P657" s="15" t="n">
        <f aca="false">SUM(M657:N657)</f>
        <v>85</v>
      </c>
      <c r="Q657" s="15" t="n">
        <f aca="false">IF(J657=1,"",L657-P657)</f>
        <v>15</v>
      </c>
      <c r="R657" s="15" t="n">
        <f aca="false">IF(OR(J657=1,M657&lt;=Inputs!$B$12),1,0)</f>
        <v>1</v>
      </c>
      <c r="S657" s="15" t="n">
        <f aca="false">IF(OR(J657=1,N657&lt;=O657),1,0)</f>
        <v>1</v>
      </c>
      <c r="T657" s="15" t="str">
        <f aca="false">IF(J657=1,"OFFLINE",IF(AND(Q657&gt;=Inputs!$B$15,R657=1,S657=1,P657&lt;=L657),"PASS","FAIL"))</f>
        <v>PASS</v>
      </c>
    </row>
    <row r="658" customFormat="false" ht="15" hidden="false" customHeight="false" outlineLevel="0" collapsed="false">
      <c r="A658" s="14" t="s">
        <v>1025</v>
      </c>
      <c r="B658" s="14" t="s">
        <v>1019</v>
      </c>
      <c r="C658" s="14" t="s">
        <v>174</v>
      </c>
      <c r="D658" s="14" t="s">
        <v>149</v>
      </c>
      <c r="E658" s="14" t="s">
        <v>152</v>
      </c>
      <c r="F658" s="14" t="s">
        <v>150</v>
      </c>
      <c r="G658" s="14" t="n">
        <v>1</v>
      </c>
      <c r="H658" s="14" t="s">
        <v>154</v>
      </c>
      <c r="I658" s="14" t="s">
        <v>895</v>
      </c>
      <c r="J658" s="15" t="n">
        <f aca="false">IF(B658="SITE LOSS",IF(D658=C658,1,0),IF(B658="REGION LOSS",IF(E658=C658,1,0),0))</f>
        <v>0</v>
      </c>
      <c r="K658" s="15" t="n">
        <f aca="false">IF(B658="SITE LOSS",IF(COUNTIFS('Site Dockets'!$B$7:$B$24,C658,'Site Dockets'!$C$7:$C$24,F658)&gt;0,1,0),IF(B658="REGION LOSS",IF(COUNTIFS('Site Dockets'!$E$7:$E$24,C658,'Site Dockets'!$C$7:$C$24,F658)&gt;0,1,0),0))</f>
        <v>0</v>
      </c>
      <c r="L658" s="15" t="n">
        <f aca="false">IF(J658=1,0,Inputs!$B$11)</f>
        <v>100</v>
      </c>
      <c r="M658" s="15" t="n">
        <f aca="false">IF(J658=1,0,Inputs!$B$12)</f>
        <v>75</v>
      </c>
      <c r="N658" s="15" t="n">
        <f aca="false">IF(J658=1,0,IF(OR(AND(OR(B658="SITE LOSS",B658="REGION LOSS"),K658=1),AND(B658="ROLE COMPROMISE",H658=C658)),Inputs!$B$13,Inputs!$B$14))</f>
        <v>10</v>
      </c>
      <c r="O658" s="15" t="n">
        <f aca="false">IF(J658=1,0,Inputs!$B$13)</f>
        <v>20</v>
      </c>
      <c r="P658" s="15" t="n">
        <f aca="false">SUM(M658:N658)</f>
        <v>85</v>
      </c>
      <c r="Q658" s="15" t="n">
        <f aca="false">IF(J658=1,"",L658-P658)</f>
        <v>15</v>
      </c>
      <c r="R658" s="15" t="n">
        <f aca="false">IF(OR(J658=1,M658&lt;=Inputs!$B$12),1,0)</f>
        <v>1</v>
      </c>
      <c r="S658" s="15" t="n">
        <f aca="false">IF(OR(J658=1,N658&lt;=O658),1,0)</f>
        <v>1</v>
      </c>
      <c r="T658" s="15" t="str">
        <f aca="false">IF(J658=1,"OFFLINE",IF(AND(Q658&gt;=Inputs!$B$15,R658=1,S658=1,P658&lt;=L658),"PASS","FAIL"))</f>
        <v>PASS</v>
      </c>
    </row>
    <row r="659" customFormat="false" ht="15" hidden="false" customHeight="false" outlineLevel="0" collapsed="false">
      <c r="A659" s="14" t="s">
        <v>1025</v>
      </c>
      <c r="B659" s="14" t="s">
        <v>1019</v>
      </c>
      <c r="C659" s="14" t="s">
        <v>174</v>
      </c>
      <c r="D659" s="14" t="s">
        <v>149</v>
      </c>
      <c r="E659" s="14" t="s">
        <v>152</v>
      </c>
      <c r="F659" s="14" t="s">
        <v>150</v>
      </c>
      <c r="G659" s="14" t="n">
        <v>1</v>
      </c>
      <c r="H659" s="14" t="s">
        <v>154</v>
      </c>
      <c r="I659" s="14" t="s">
        <v>897</v>
      </c>
      <c r="J659" s="15" t="n">
        <f aca="false">IF(B659="SITE LOSS",IF(D659=C659,1,0),IF(B659="REGION LOSS",IF(E659=C659,1,0),0))</f>
        <v>0</v>
      </c>
      <c r="K659" s="15" t="n">
        <f aca="false">IF(B659="SITE LOSS",IF(COUNTIFS('Site Dockets'!$B$7:$B$24,C659,'Site Dockets'!$C$7:$C$24,F659)&gt;0,1,0),IF(B659="REGION LOSS",IF(COUNTIFS('Site Dockets'!$E$7:$E$24,C659,'Site Dockets'!$C$7:$C$24,F659)&gt;0,1,0),0))</f>
        <v>0</v>
      </c>
      <c r="L659" s="15" t="n">
        <f aca="false">IF(J659=1,0,Inputs!$B$11)</f>
        <v>100</v>
      </c>
      <c r="M659" s="15" t="n">
        <f aca="false">IF(J659=1,0,Inputs!$B$12)</f>
        <v>75</v>
      </c>
      <c r="N659" s="15" t="n">
        <f aca="false">IF(J659=1,0,IF(OR(AND(OR(B659="SITE LOSS",B659="REGION LOSS"),K659=1),AND(B659="ROLE COMPROMISE",H659=C659)),Inputs!$B$13,Inputs!$B$14))</f>
        <v>10</v>
      </c>
      <c r="O659" s="15" t="n">
        <f aca="false">IF(J659=1,0,Inputs!$B$13)</f>
        <v>20</v>
      </c>
      <c r="P659" s="15" t="n">
        <f aca="false">SUM(M659:N659)</f>
        <v>85</v>
      </c>
      <c r="Q659" s="15" t="n">
        <f aca="false">IF(J659=1,"",L659-P659)</f>
        <v>15</v>
      </c>
      <c r="R659" s="15" t="n">
        <f aca="false">IF(OR(J659=1,M659&lt;=Inputs!$B$12),1,0)</f>
        <v>1</v>
      </c>
      <c r="S659" s="15" t="n">
        <f aca="false">IF(OR(J659=1,N659&lt;=O659),1,0)</f>
        <v>1</v>
      </c>
      <c r="T659" s="15" t="str">
        <f aca="false">IF(J659=1,"OFFLINE",IF(AND(Q659&gt;=Inputs!$B$15,R659=1,S659=1,P659&lt;=L659),"PASS","FAIL"))</f>
        <v>PASS</v>
      </c>
    </row>
    <row r="660" customFormat="false" ht="15" hidden="false" customHeight="false" outlineLevel="0" collapsed="false">
      <c r="A660" s="14" t="s">
        <v>1025</v>
      </c>
      <c r="B660" s="14" t="s">
        <v>1019</v>
      </c>
      <c r="C660" s="14" t="s">
        <v>174</v>
      </c>
      <c r="D660" s="14" t="s">
        <v>149</v>
      </c>
      <c r="E660" s="14" t="s">
        <v>152</v>
      </c>
      <c r="F660" s="14" t="s">
        <v>150</v>
      </c>
      <c r="G660" s="14" t="n">
        <v>1</v>
      </c>
      <c r="H660" s="14" t="s">
        <v>154</v>
      </c>
      <c r="I660" s="14" t="s">
        <v>899</v>
      </c>
      <c r="J660" s="15" t="n">
        <f aca="false">IF(B660="SITE LOSS",IF(D660=C660,1,0),IF(B660="REGION LOSS",IF(E660=C660,1,0),0))</f>
        <v>0</v>
      </c>
      <c r="K660" s="15" t="n">
        <f aca="false">IF(B660="SITE LOSS",IF(COUNTIFS('Site Dockets'!$B$7:$B$24,C660,'Site Dockets'!$C$7:$C$24,F660)&gt;0,1,0),IF(B660="REGION LOSS",IF(COUNTIFS('Site Dockets'!$E$7:$E$24,C660,'Site Dockets'!$C$7:$C$24,F660)&gt;0,1,0),0))</f>
        <v>0</v>
      </c>
      <c r="L660" s="15" t="n">
        <f aca="false">IF(J660=1,0,Inputs!$B$11)</f>
        <v>100</v>
      </c>
      <c r="M660" s="15" t="n">
        <f aca="false">IF(J660=1,0,Inputs!$B$12)</f>
        <v>75</v>
      </c>
      <c r="N660" s="15" t="n">
        <f aca="false">IF(J660=1,0,IF(OR(AND(OR(B660="SITE LOSS",B660="REGION LOSS"),K660=1),AND(B660="ROLE COMPROMISE",H660=C660)),Inputs!$B$13,Inputs!$B$14))</f>
        <v>10</v>
      </c>
      <c r="O660" s="15" t="n">
        <f aca="false">IF(J660=1,0,Inputs!$B$13)</f>
        <v>20</v>
      </c>
      <c r="P660" s="15" t="n">
        <f aca="false">SUM(M660:N660)</f>
        <v>85</v>
      </c>
      <c r="Q660" s="15" t="n">
        <f aca="false">IF(J660=1,"",L660-P660)</f>
        <v>15</v>
      </c>
      <c r="R660" s="15" t="n">
        <f aca="false">IF(OR(J660=1,M660&lt;=Inputs!$B$12),1,0)</f>
        <v>1</v>
      </c>
      <c r="S660" s="15" t="n">
        <f aca="false">IF(OR(J660=1,N660&lt;=O660),1,0)</f>
        <v>1</v>
      </c>
      <c r="T660" s="15" t="str">
        <f aca="false">IF(J660=1,"OFFLINE",IF(AND(Q660&gt;=Inputs!$B$15,R660=1,S660=1,P660&lt;=L660),"PASS","FAIL"))</f>
        <v>PASS</v>
      </c>
    </row>
    <row r="661" customFormat="false" ht="15" hidden="false" customHeight="false" outlineLevel="0" collapsed="false">
      <c r="A661" s="14" t="s">
        <v>1025</v>
      </c>
      <c r="B661" s="14" t="s">
        <v>1019</v>
      </c>
      <c r="C661" s="14" t="s">
        <v>174</v>
      </c>
      <c r="D661" s="14" t="s">
        <v>156</v>
      </c>
      <c r="E661" s="14" t="s">
        <v>157</v>
      </c>
      <c r="F661" s="14" t="s">
        <v>150</v>
      </c>
      <c r="G661" s="14" t="n">
        <v>2</v>
      </c>
      <c r="H661" s="14" t="s">
        <v>153</v>
      </c>
      <c r="I661" s="14" t="s">
        <v>890</v>
      </c>
      <c r="J661" s="15" t="n">
        <f aca="false">IF(B661="SITE LOSS",IF(D661=C661,1,0),IF(B661="REGION LOSS",IF(E661=C661,1,0),0))</f>
        <v>0</v>
      </c>
      <c r="K661" s="15" t="n">
        <f aca="false">IF(B661="SITE LOSS",IF(COUNTIFS('Site Dockets'!$B$7:$B$24,C661,'Site Dockets'!$C$7:$C$24,F661)&gt;0,1,0),IF(B661="REGION LOSS",IF(COUNTIFS('Site Dockets'!$E$7:$E$24,C661,'Site Dockets'!$C$7:$C$24,F661)&gt;0,1,0),0))</f>
        <v>0</v>
      </c>
      <c r="L661" s="15" t="n">
        <f aca="false">IF(J661=1,0,Inputs!$B$11)</f>
        <v>100</v>
      </c>
      <c r="M661" s="15" t="n">
        <f aca="false">IF(J661=1,0,Inputs!$B$12)</f>
        <v>75</v>
      </c>
      <c r="N661" s="15" t="n">
        <f aca="false">IF(J661=1,0,IF(OR(AND(OR(B661="SITE LOSS",B661="REGION LOSS"),K661=1),AND(B661="ROLE COMPROMISE",H661=C661)),Inputs!$B$13,Inputs!$B$14))</f>
        <v>10</v>
      </c>
      <c r="O661" s="15" t="n">
        <f aca="false">IF(J661=1,0,Inputs!$B$13)</f>
        <v>20</v>
      </c>
      <c r="P661" s="15" t="n">
        <f aca="false">SUM(M661:N661)</f>
        <v>85</v>
      </c>
      <c r="Q661" s="15" t="n">
        <f aca="false">IF(J661=1,"",L661-P661)</f>
        <v>15</v>
      </c>
      <c r="R661" s="15" t="n">
        <f aca="false">IF(OR(J661=1,M661&lt;=Inputs!$B$12),1,0)</f>
        <v>1</v>
      </c>
      <c r="S661" s="15" t="n">
        <f aca="false">IF(OR(J661=1,N661&lt;=O661),1,0)</f>
        <v>1</v>
      </c>
      <c r="T661" s="15" t="str">
        <f aca="false">IF(J661=1,"OFFLINE",IF(AND(Q661&gt;=Inputs!$B$15,R661=1,S661=1,P661&lt;=L661),"PASS","FAIL"))</f>
        <v>PASS</v>
      </c>
    </row>
    <row r="662" customFormat="false" ht="15" hidden="false" customHeight="false" outlineLevel="0" collapsed="false">
      <c r="A662" s="14" t="s">
        <v>1025</v>
      </c>
      <c r="B662" s="14" t="s">
        <v>1019</v>
      </c>
      <c r="C662" s="14" t="s">
        <v>174</v>
      </c>
      <c r="D662" s="14" t="s">
        <v>156</v>
      </c>
      <c r="E662" s="14" t="s">
        <v>157</v>
      </c>
      <c r="F662" s="14" t="s">
        <v>150</v>
      </c>
      <c r="G662" s="14" t="n">
        <v>2</v>
      </c>
      <c r="H662" s="14" t="s">
        <v>153</v>
      </c>
      <c r="I662" s="14" t="s">
        <v>892</v>
      </c>
      <c r="J662" s="15" t="n">
        <f aca="false">IF(B662="SITE LOSS",IF(D662=C662,1,0),IF(B662="REGION LOSS",IF(E662=C662,1,0),0))</f>
        <v>0</v>
      </c>
      <c r="K662" s="15" t="n">
        <f aca="false">IF(B662="SITE LOSS",IF(COUNTIFS('Site Dockets'!$B$7:$B$24,C662,'Site Dockets'!$C$7:$C$24,F662)&gt;0,1,0),IF(B662="REGION LOSS",IF(COUNTIFS('Site Dockets'!$E$7:$E$24,C662,'Site Dockets'!$C$7:$C$24,F662)&gt;0,1,0),0))</f>
        <v>0</v>
      </c>
      <c r="L662" s="15" t="n">
        <f aca="false">IF(J662=1,0,Inputs!$B$11)</f>
        <v>100</v>
      </c>
      <c r="M662" s="15" t="n">
        <f aca="false">IF(J662=1,0,Inputs!$B$12)</f>
        <v>75</v>
      </c>
      <c r="N662" s="15" t="n">
        <f aca="false">IF(J662=1,0,IF(OR(AND(OR(B662="SITE LOSS",B662="REGION LOSS"),K662=1),AND(B662="ROLE COMPROMISE",H662=C662)),Inputs!$B$13,Inputs!$B$14))</f>
        <v>10</v>
      </c>
      <c r="O662" s="15" t="n">
        <f aca="false">IF(J662=1,0,Inputs!$B$13)</f>
        <v>20</v>
      </c>
      <c r="P662" s="15" t="n">
        <f aca="false">SUM(M662:N662)</f>
        <v>85</v>
      </c>
      <c r="Q662" s="15" t="n">
        <f aca="false">IF(J662=1,"",L662-P662)</f>
        <v>15</v>
      </c>
      <c r="R662" s="15" t="n">
        <f aca="false">IF(OR(J662=1,M662&lt;=Inputs!$B$12),1,0)</f>
        <v>1</v>
      </c>
      <c r="S662" s="15" t="n">
        <f aca="false">IF(OR(J662=1,N662&lt;=O662),1,0)</f>
        <v>1</v>
      </c>
      <c r="T662" s="15" t="str">
        <f aca="false">IF(J662=1,"OFFLINE",IF(AND(Q662&gt;=Inputs!$B$15,R662=1,S662=1,P662&lt;=L662),"PASS","FAIL"))</f>
        <v>PASS</v>
      </c>
    </row>
    <row r="663" customFormat="false" ht="15" hidden="false" customHeight="false" outlineLevel="0" collapsed="false">
      <c r="A663" s="14" t="s">
        <v>1025</v>
      </c>
      <c r="B663" s="14" t="s">
        <v>1019</v>
      </c>
      <c r="C663" s="14" t="s">
        <v>174</v>
      </c>
      <c r="D663" s="14" t="s">
        <v>156</v>
      </c>
      <c r="E663" s="14" t="s">
        <v>157</v>
      </c>
      <c r="F663" s="14" t="s">
        <v>150</v>
      </c>
      <c r="G663" s="14" t="n">
        <v>2</v>
      </c>
      <c r="H663" s="14" t="s">
        <v>153</v>
      </c>
      <c r="I663" s="14" t="s">
        <v>811</v>
      </c>
      <c r="J663" s="15" t="n">
        <f aca="false">IF(B663="SITE LOSS",IF(D663=C663,1,0),IF(B663="REGION LOSS",IF(E663=C663,1,0),0))</f>
        <v>0</v>
      </c>
      <c r="K663" s="15" t="n">
        <f aca="false">IF(B663="SITE LOSS",IF(COUNTIFS('Site Dockets'!$B$7:$B$24,C663,'Site Dockets'!$C$7:$C$24,F663)&gt;0,1,0),IF(B663="REGION LOSS",IF(COUNTIFS('Site Dockets'!$E$7:$E$24,C663,'Site Dockets'!$C$7:$C$24,F663)&gt;0,1,0),0))</f>
        <v>0</v>
      </c>
      <c r="L663" s="15" t="n">
        <f aca="false">IF(J663=1,0,Inputs!$B$11)</f>
        <v>100</v>
      </c>
      <c r="M663" s="15" t="n">
        <f aca="false">IF(J663=1,0,Inputs!$B$12)</f>
        <v>75</v>
      </c>
      <c r="N663" s="15" t="n">
        <f aca="false">IF(J663=1,0,IF(OR(AND(OR(B663="SITE LOSS",B663="REGION LOSS"),K663=1),AND(B663="ROLE COMPROMISE",H663=C663)),Inputs!$B$13,Inputs!$B$14))</f>
        <v>10</v>
      </c>
      <c r="O663" s="15" t="n">
        <f aca="false">IF(J663=1,0,Inputs!$B$13)</f>
        <v>20</v>
      </c>
      <c r="P663" s="15" t="n">
        <f aca="false">SUM(M663:N663)</f>
        <v>85</v>
      </c>
      <c r="Q663" s="15" t="n">
        <f aca="false">IF(J663=1,"",L663-P663)</f>
        <v>15</v>
      </c>
      <c r="R663" s="15" t="n">
        <f aca="false">IF(OR(J663=1,M663&lt;=Inputs!$B$12),1,0)</f>
        <v>1</v>
      </c>
      <c r="S663" s="15" t="n">
        <f aca="false">IF(OR(J663=1,N663&lt;=O663),1,0)</f>
        <v>1</v>
      </c>
      <c r="T663" s="15" t="str">
        <f aca="false">IF(J663=1,"OFFLINE",IF(AND(Q663&gt;=Inputs!$B$15,R663=1,S663=1,P663&lt;=L663),"PASS","FAIL"))</f>
        <v>PASS</v>
      </c>
    </row>
    <row r="664" customFormat="false" ht="15" hidden="false" customHeight="false" outlineLevel="0" collapsed="false">
      <c r="A664" s="14" t="s">
        <v>1025</v>
      </c>
      <c r="B664" s="14" t="s">
        <v>1019</v>
      </c>
      <c r="C664" s="14" t="s">
        <v>174</v>
      </c>
      <c r="D664" s="14" t="s">
        <v>156</v>
      </c>
      <c r="E664" s="14" t="s">
        <v>157</v>
      </c>
      <c r="F664" s="14" t="s">
        <v>150</v>
      </c>
      <c r="G664" s="14" t="n">
        <v>2</v>
      </c>
      <c r="H664" s="14" t="s">
        <v>153</v>
      </c>
      <c r="I664" s="14" t="s">
        <v>895</v>
      </c>
      <c r="J664" s="15" t="n">
        <f aca="false">IF(B664="SITE LOSS",IF(D664=C664,1,0),IF(B664="REGION LOSS",IF(E664=C664,1,0),0))</f>
        <v>0</v>
      </c>
      <c r="K664" s="15" t="n">
        <f aca="false">IF(B664="SITE LOSS",IF(COUNTIFS('Site Dockets'!$B$7:$B$24,C664,'Site Dockets'!$C$7:$C$24,F664)&gt;0,1,0),IF(B664="REGION LOSS",IF(COUNTIFS('Site Dockets'!$E$7:$E$24,C664,'Site Dockets'!$C$7:$C$24,F664)&gt;0,1,0),0))</f>
        <v>0</v>
      </c>
      <c r="L664" s="15" t="n">
        <f aca="false">IF(J664=1,0,Inputs!$B$11)</f>
        <v>100</v>
      </c>
      <c r="M664" s="15" t="n">
        <f aca="false">IF(J664=1,0,Inputs!$B$12)</f>
        <v>75</v>
      </c>
      <c r="N664" s="15" t="n">
        <f aca="false">IF(J664=1,0,IF(OR(AND(OR(B664="SITE LOSS",B664="REGION LOSS"),K664=1),AND(B664="ROLE COMPROMISE",H664=C664)),Inputs!$B$13,Inputs!$B$14))</f>
        <v>10</v>
      </c>
      <c r="O664" s="15" t="n">
        <f aca="false">IF(J664=1,0,Inputs!$B$13)</f>
        <v>20</v>
      </c>
      <c r="P664" s="15" t="n">
        <f aca="false">SUM(M664:N664)</f>
        <v>85</v>
      </c>
      <c r="Q664" s="15" t="n">
        <f aca="false">IF(J664=1,"",L664-P664)</f>
        <v>15</v>
      </c>
      <c r="R664" s="15" t="n">
        <f aca="false">IF(OR(J664=1,M664&lt;=Inputs!$B$12),1,0)</f>
        <v>1</v>
      </c>
      <c r="S664" s="15" t="n">
        <f aca="false">IF(OR(J664=1,N664&lt;=O664),1,0)</f>
        <v>1</v>
      </c>
      <c r="T664" s="15" t="str">
        <f aca="false">IF(J664=1,"OFFLINE",IF(AND(Q664&gt;=Inputs!$B$15,R664=1,S664=1,P664&lt;=L664),"PASS","FAIL"))</f>
        <v>PASS</v>
      </c>
    </row>
    <row r="665" customFormat="false" ht="15" hidden="false" customHeight="false" outlineLevel="0" collapsed="false">
      <c r="A665" s="14" t="s">
        <v>1025</v>
      </c>
      <c r="B665" s="14" t="s">
        <v>1019</v>
      </c>
      <c r="C665" s="14" t="s">
        <v>174</v>
      </c>
      <c r="D665" s="14" t="s">
        <v>156</v>
      </c>
      <c r="E665" s="14" t="s">
        <v>157</v>
      </c>
      <c r="F665" s="14" t="s">
        <v>150</v>
      </c>
      <c r="G665" s="14" t="n">
        <v>2</v>
      </c>
      <c r="H665" s="14" t="s">
        <v>153</v>
      </c>
      <c r="I665" s="14" t="s">
        <v>897</v>
      </c>
      <c r="J665" s="15" t="n">
        <f aca="false">IF(B665="SITE LOSS",IF(D665=C665,1,0),IF(B665="REGION LOSS",IF(E665=C665,1,0),0))</f>
        <v>0</v>
      </c>
      <c r="K665" s="15" t="n">
        <f aca="false">IF(B665="SITE LOSS",IF(COUNTIFS('Site Dockets'!$B$7:$B$24,C665,'Site Dockets'!$C$7:$C$24,F665)&gt;0,1,0),IF(B665="REGION LOSS",IF(COUNTIFS('Site Dockets'!$E$7:$E$24,C665,'Site Dockets'!$C$7:$C$24,F665)&gt;0,1,0),0))</f>
        <v>0</v>
      </c>
      <c r="L665" s="15" t="n">
        <f aca="false">IF(J665=1,0,Inputs!$B$11)</f>
        <v>100</v>
      </c>
      <c r="M665" s="15" t="n">
        <f aca="false">IF(J665=1,0,Inputs!$B$12)</f>
        <v>75</v>
      </c>
      <c r="N665" s="15" t="n">
        <f aca="false">IF(J665=1,0,IF(OR(AND(OR(B665="SITE LOSS",B665="REGION LOSS"),K665=1),AND(B665="ROLE COMPROMISE",H665=C665)),Inputs!$B$13,Inputs!$B$14))</f>
        <v>10</v>
      </c>
      <c r="O665" s="15" t="n">
        <f aca="false">IF(J665=1,0,Inputs!$B$13)</f>
        <v>20</v>
      </c>
      <c r="P665" s="15" t="n">
        <f aca="false">SUM(M665:N665)</f>
        <v>85</v>
      </c>
      <c r="Q665" s="15" t="n">
        <f aca="false">IF(J665=1,"",L665-P665)</f>
        <v>15</v>
      </c>
      <c r="R665" s="15" t="n">
        <f aca="false">IF(OR(J665=1,M665&lt;=Inputs!$B$12),1,0)</f>
        <v>1</v>
      </c>
      <c r="S665" s="15" t="n">
        <f aca="false">IF(OR(J665=1,N665&lt;=O665),1,0)</f>
        <v>1</v>
      </c>
      <c r="T665" s="15" t="str">
        <f aca="false">IF(J665=1,"OFFLINE",IF(AND(Q665&gt;=Inputs!$B$15,R665=1,S665=1,P665&lt;=L665),"PASS","FAIL"))</f>
        <v>PASS</v>
      </c>
    </row>
    <row r="666" customFormat="false" ht="15" hidden="false" customHeight="false" outlineLevel="0" collapsed="false">
      <c r="A666" s="14" t="s">
        <v>1025</v>
      </c>
      <c r="B666" s="14" t="s">
        <v>1019</v>
      </c>
      <c r="C666" s="14" t="s">
        <v>174</v>
      </c>
      <c r="D666" s="14" t="s">
        <v>156</v>
      </c>
      <c r="E666" s="14" t="s">
        <v>157</v>
      </c>
      <c r="F666" s="14" t="s">
        <v>150</v>
      </c>
      <c r="G666" s="14" t="n">
        <v>2</v>
      </c>
      <c r="H666" s="14" t="s">
        <v>153</v>
      </c>
      <c r="I666" s="14" t="s">
        <v>899</v>
      </c>
      <c r="J666" s="15" t="n">
        <f aca="false">IF(B666="SITE LOSS",IF(D666=C666,1,0),IF(B666="REGION LOSS",IF(E666=C666,1,0),0))</f>
        <v>0</v>
      </c>
      <c r="K666" s="15" t="n">
        <f aca="false">IF(B666="SITE LOSS",IF(COUNTIFS('Site Dockets'!$B$7:$B$24,C666,'Site Dockets'!$C$7:$C$24,F666)&gt;0,1,0),IF(B666="REGION LOSS",IF(COUNTIFS('Site Dockets'!$E$7:$E$24,C666,'Site Dockets'!$C$7:$C$24,F666)&gt;0,1,0),0))</f>
        <v>0</v>
      </c>
      <c r="L666" s="15" t="n">
        <f aca="false">IF(J666=1,0,Inputs!$B$11)</f>
        <v>100</v>
      </c>
      <c r="M666" s="15" t="n">
        <f aca="false">IF(J666=1,0,Inputs!$B$12)</f>
        <v>75</v>
      </c>
      <c r="N666" s="15" t="n">
        <f aca="false">IF(J666=1,0,IF(OR(AND(OR(B666="SITE LOSS",B666="REGION LOSS"),K666=1),AND(B666="ROLE COMPROMISE",H666=C666)),Inputs!$B$13,Inputs!$B$14))</f>
        <v>10</v>
      </c>
      <c r="O666" s="15" t="n">
        <f aca="false">IF(J666=1,0,Inputs!$B$13)</f>
        <v>20</v>
      </c>
      <c r="P666" s="15" t="n">
        <f aca="false">SUM(M666:N666)</f>
        <v>85</v>
      </c>
      <c r="Q666" s="15" t="n">
        <f aca="false">IF(J666=1,"",L666-P666)</f>
        <v>15</v>
      </c>
      <c r="R666" s="15" t="n">
        <f aca="false">IF(OR(J666=1,M666&lt;=Inputs!$B$12),1,0)</f>
        <v>1</v>
      </c>
      <c r="S666" s="15" t="n">
        <f aca="false">IF(OR(J666=1,N666&lt;=O666),1,0)</f>
        <v>1</v>
      </c>
      <c r="T666" s="15" t="str">
        <f aca="false">IF(J666=1,"OFFLINE",IF(AND(Q666&gt;=Inputs!$B$15,R666=1,S666=1,P666&lt;=L666),"PASS","FAIL"))</f>
        <v>PASS</v>
      </c>
    </row>
    <row r="667" customFormat="false" ht="15" hidden="false" customHeight="false" outlineLevel="0" collapsed="false">
      <c r="A667" s="14" t="s">
        <v>1025</v>
      </c>
      <c r="B667" s="14" t="s">
        <v>1019</v>
      </c>
      <c r="C667" s="14" t="s">
        <v>174</v>
      </c>
      <c r="D667" s="14" t="s">
        <v>160</v>
      </c>
      <c r="E667" s="14" t="s">
        <v>161</v>
      </c>
      <c r="F667" s="14" t="s">
        <v>150</v>
      </c>
      <c r="G667" s="14" t="n">
        <v>3</v>
      </c>
      <c r="H667" s="14" t="s">
        <v>158</v>
      </c>
      <c r="I667" s="14" t="s">
        <v>890</v>
      </c>
      <c r="J667" s="15" t="n">
        <f aca="false">IF(B667="SITE LOSS",IF(D667=C667,1,0),IF(B667="REGION LOSS",IF(E667=C667,1,0),0))</f>
        <v>0</v>
      </c>
      <c r="K667" s="15" t="n">
        <f aca="false">IF(B667="SITE LOSS",IF(COUNTIFS('Site Dockets'!$B$7:$B$24,C667,'Site Dockets'!$C$7:$C$24,F667)&gt;0,1,0),IF(B667="REGION LOSS",IF(COUNTIFS('Site Dockets'!$E$7:$E$24,C667,'Site Dockets'!$C$7:$C$24,F667)&gt;0,1,0),0))</f>
        <v>0</v>
      </c>
      <c r="L667" s="15" t="n">
        <f aca="false">IF(J667=1,0,Inputs!$B$11)</f>
        <v>100</v>
      </c>
      <c r="M667" s="15" t="n">
        <f aca="false">IF(J667=1,0,Inputs!$B$12)</f>
        <v>75</v>
      </c>
      <c r="N667" s="15" t="n">
        <f aca="false">IF(J667=1,0,IF(OR(AND(OR(B667="SITE LOSS",B667="REGION LOSS"),K667=1),AND(B667="ROLE COMPROMISE",H667=C667)),Inputs!$B$13,Inputs!$B$14))</f>
        <v>10</v>
      </c>
      <c r="O667" s="15" t="n">
        <f aca="false">IF(J667=1,0,Inputs!$B$13)</f>
        <v>20</v>
      </c>
      <c r="P667" s="15" t="n">
        <f aca="false">SUM(M667:N667)</f>
        <v>85</v>
      </c>
      <c r="Q667" s="15" t="n">
        <f aca="false">IF(J667=1,"",L667-P667)</f>
        <v>15</v>
      </c>
      <c r="R667" s="15" t="n">
        <f aca="false">IF(OR(J667=1,M667&lt;=Inputs!$B$12),1,0)</f>
        <v>1</v>
      </c>
      <c r="S667" s="15" t="n">
        <f aca="false">IF(OR(J667=1,N667&lt;=O667),1,0)</f>
        <v>1</v>
      </c>
      <c r="T667" s="15" t="str">
        <f aca="false">IF(J667=1,"OFFLINE",IF(AND(Q667&gt;=Inputs!$B$15,R667=1,S667=1,P667&lt;=L667),"PASS","FAIL"))</f>
        <v>PASS</v>
      </c>
    </row>
    <row r="668" customFormat="false" ht="15" hidden="false" customHeight="false" outlineLevel="0" collapsed="false">
      <c r="A668" s="14" t="s">
        <v>1025</v>
      </c>
      <c r="B668" s="14" t="s">
        <v>1019</v>
      </c>
      <c r="C668" s="14" t="s">
        <v>174</v>
      </c>
      <c r="D668" s="14" t="s">
        <v>160</v>
      </c>
      <c r="E668" s="14" t="s">
        <v>161</v>
      </c>
      <c r="F668" s="14" t="s">
        <v>150</v>
      </c>
      <c r="G668" s="14" t="n">
        <v>3</v>
      </c>
      <c r="H668" s="14" t="s">
        <v>158</v>
      </c>
      <c r="I668" s="14" t="s">
        <v>892</v>
      </c>
      <c r="J668" s="15" t="n">
        <f aca="false">IF(B668="SITE LOSS",IF(D668=C668,1,0),IF(B668="REGION LOSS",IF(E668=C668,1,0),0))</f>
        <v>0</v>
      </c>
      <c r="K668" s="15" t="n">
        <f aca="false">IF(B668="SITE LOSS",IF(COUNTIFS('Site Dockets'!$B$7:$B$24,C668,'Site Dockets'!$C$7:$C$24,F668)&gt;0,1,0),IF(B668="REGION LOSS",IF(COUNTIFS('Site Dockets'!$E$7:$E$24,C668,'Site Dockets'!$C$7:$C$24,F668)&gt;0,1,0),0))</f>
        <v>0</v>
      </c>
      <c r="L668" s="15" t="n">
        <f aca="false">IF(J668=1,0,Inputs!$B$11)</f>
        <v>100</v>
      </c>
      <c r="M668" s="15" t="n">
        <f aca="false">IF(J668=1,0,Inputs!$B$12)</f>
        <v>75</v>
      </c>
      <c r="N668" s="15" t="n">
        <f aca="false">IF(J668=1,0,IF(OR(AND(OR(B668="SITE LOSS",B668="REGION LOSS"),K668=1),AND(B668="ROLE COMPROMISE",H668=C668)),Inputs!$B$13,Inputs!$B$14))</f>
        <v>10</v>
      </c>
      <c r="O668" s="15" t="n">
        <f aca="false">IF(J668=1,0,Inputs!$B$13)</f>
        <v>20</v>
      </c>
      <c r="P668" s="15" t="n">
        <f aca="false">SUM(M668:N668)</f>
        <v>85</v>
      </c>
      <c r="Q668" s="15" t="n">
        <f aca="false">IF(J668=1,"",L668-P668)</f>
        <v>15</v>
      </c>
      <c r="R668" s="15" t="n">
        <f aca="false">IF(OR(J668=1,M668&lt;=Inputs!$B$12),1,0)</f>
        <v>1</v>
      </c>
      <c r="S668" s="15" t="n">
        <f aca="false">IF(OR(J668=1,N668&lt;=O668),1,0)</f>
        <v>1</v>
      </c>
      <c r="T668" s="15" t="str">
        <f aca="false">IF(J668=1,"OFFLINE",IF(AND(Q668&gt;=Inputs!$B$15,R668=1,S668=1,P668&lt;=L668),"PASS","FAIL"))</f>
        <v>PASS</v>
      </c>
    </row>
    <row r="669" customFormat="false" ht="15" hidden="false" customHeight="false" outlineLevel="0" collapsed="false">
      <c r="A669" s="14" t="s">
        <v>1025</v>
      </c>
      <c r="B669" s="14" t="s">
        <v>1019</v>
      </c>
      <c r="C669" s="14" t="s">
        <v>174</v>
      </c>
      <c r="D669" s="14" t="s">
        <v>160</v>
      </c>
      <c r="E669" s="14" t="s">
        <v>161</v>
      </c>
      <c r="F669" s="14" t="s">
        <v>150</v>
      </c>
      <c r="G669" s="14" t="n">
        <v>3</v>
      </c>
      <c r="H669" s="14" t="s">
        <v>158</v>
      </c>
      <c r="I669" s="14" t="s">
        <v>811</v>
      </c>
      <c r="J669" s="15" t="n">
        <f aca="false">IF(B669="SITE LOSS",IF(D669=C669,1,0),IF(B669="REGION LOSS",IF(E669=C669,1,0),0))</f>
        <v>0</v>
      </c>
      <c r="K669" s="15" t="n">
        <f aca="false">IF(B669="SITE LOSS",IF(COUNTIFS('Site Dockets'!$B$7:$B$24,C669,'Site Dockets'!$C$7:$C$24,F669)&gt;0,1,0),IF(B669="REGION LOSS",IF(COUNTIFS('Site Dockets'!$E$7:$E$24,C669,'Site Dockets'!$C$7:$C$24,F669)&gt;0,1,0),0))</f>
        <v>0</v>
      </c>
      <c r="L669" s="15" t="n">
        <f aca="false">IF(J669=1,0,Inputs!$B$11)</f>
        <v>100</v>
      </c>
      <c r="M669" s="15" t="n">
        <f aca="false">IF(J669=1,0,Inputs!$B$12)</f>
        <v>75</v>
      </c>
      <c r="N669" s="15" t="n">
        <f aca="false">IF(J669=1,0,IF(OR(AND(OR(B669="SITE LOSS",B669="REGION LOSS"),K669=1),AND(B669="ROLE COMPROMISE",H669=C669)),Inputs!$B$13,Inputs!$B$14))</f>
        <v>10</v>
      </c>
      <c r="O669" s="15" t="n">
        <f aca="false">IF(J669=1,0,Inputs!$B$13)</f>
        <v>20</v>
      </c>
      <c r="P669" s="15" t="n">
        <f aca="false">SUM(M669:N669)</f>
        <v>85</v>
      </c>
      <c r="Q669" s="15" t="n">
        <f aca="false">IF(J669=1,"",L669-P669)</f>
        <v>15</v>
      </c>
      <c r="R669" s="15" t="n">
        <f aca="false">IF(OR(J669=1,M669&lt;=Inputs!$B$12),1,0)</f>
        <v>1</v>
      </c>
      <c r="S669" s="15" t="n">
        <f aca="false">IF(OR(J669=1,N669&lt;=O669),1,0)</f>
        <v>1</v>
      </c>
      <c r="T669" s="15" t="str">
        <f aca="false">IF(J669=1,"OFFLINE",IF(AND(Q669&gt;=Inputs!$B$15,R669=1,S669=1,P669&lt;=L669),"PASS","FAIL"))</f>
        <v>PASS</v>
      </c>
    </row>
    <row r="670" customFormat="false" ht="15" hidden="false" customHeight="false" outlineLevel="0" collapsed="false">
      <c r="A670" s="14" t="s">
        <v>1025</v>
      </c>
      <c r="B670" s="14" t="s">
        <v>1019</v>
      </c>
      <c r="C670" s="14" t="s">
        <v>174</v>
      </c>
      <c r="D670" s="14" t="s">
        <v>160</v>
      </c>
      <c r="E670" s="14" t="s">
        <v>161</v>
      </c>
      <c r="F670" s="14" t="s">
        <v>150</v>
      </c>
      <c r="G670" s="14" t="n">
        <v>3</v>
      </c>
      <c r="H670" s="14" t="s">
        <v>158</v>
      </c>
      <c r="I670" s="14" t="s">
        <v>895</v>
      </c>
      <c r="J670" s="15" t="n">
        <f aca="false">IF(B670="SITE LOSS",IF(D670=C670,1,0),IF(B670="REGION LOSS",IF(E670=C670,1,0),0))</f>
        <v>0</v>
      </c>
      <c r="K670" s="15" t="n">
        <f aca="false">IF(B670="SITE LOSS",IF(COUNTIFS('Site Dockets'!$B$7:$B$24,C670,'Site Dockets'!$C$7:$C$24,F670)&gt;0,1,0),IF(B670="REGION LOSS",IF(COUNTIFS('Site Dockets'!$E$7:$E$24,C670,'Site Dockets'!$C$7:$C$24,F670)&gt;0,1,0),0))</f>
        <v>0</v>
      </c>
      <c r="L670" s="15" t="n">
        <f aca="false">IF(J670=1,0,Inputs!$B$11)</f>
        <v>100</v>
      </c>
      <c r="M670" s="15" t="n">
        <f aca="false">IF(J670=1,0,Inputs!$B$12)</f>
        <v>75</v>
      </c>
      <c r="N670" s="15" t="n">
        <f aca="false">IF(J670=1,0,IF(OR(AND(OR(B670="SITE LOSS",B670="REGION LOSS"),K670=1),AND(B670="ROLE COMPROMISE",H670=C670)),Inputs!$B$13,Inputs!$B$14))</f>
        <v>10</v>
      </c>
      <c r="O670" s="15" t="n">
        <f aca="false">IF(J670=1,0,Inputs!$B$13)</f>
        <v>20</v>
      </c>
      <c r="P670" s="15" t="n">
        <f aca="false">SUM(M670:N670)</f>
        <v>85</v>
      </c>
      <c r="Q670" s="15" t="n">
        <f aca="false">IF(J670=1,"",L670-P670)</f>
        <v>15</v>
      </c>
      <c r="R670" s="15" t="n">
        <f aca="false">IF(OR(J670=1,M670&lt;=Inputs!$B$12),1,0)</f>
        <v>1</v>
      </c>
      <c r="S670" s="15" t="n">
        <f aca="false">IF(OR(J670=1,N670&lt;=O670),1,0)</f>
        <v>1</v>
      </c>
      <c r="T670" s="15" t="str">
        <f aca="false">IF(J670=1,"OFFLINE",IF(AND(Q670&gt;=Inputs!$B$15,R670=1,S670=1,P670&lt;=L670),"PASS","FAIL"))</f>
        <v>PASS</v>
      </c>
    </row>
    <row r="671" customFormat="false" ht="15" hidden="false" customHeight="false" outlineLevel="0" collapsed="false">
      <c r="A671" s="14" t="s">
        <v>1025</v>
      </c>
      <c r="B671" s="14" t="s">
        <v>1019</v>
      </c>
      <c r="C671" s="14" t="s">
        <v>174</v>
      </c>
      <c r="D671" s="14" t="s">
        <v>160</v>
      </c>
      <c r="E671" s="14" t="s">
        <v>161</v>
      </c>
      <c r="F671" s="14" t="s">
        <v>150</v>
      </c>
      <c r="G671" s="14" t="n">
        <v>3</v>
      </c>
      <c r="H671" s="14" t="s">
        <v>158</v>
      </c>
      <c r="I671" s="14" t="s">
        <v>897</v>
      </c>
      <c r="J671" s="15" t="n">
        <f aca="false">IF(B671="SITE LOSS",IF(D671=C671,1,0),IF(B671="REGION LOSS",IF(E671=C671,1,0),0))</f>
        <v>0</v>
      </c>
      <c r="K671" s="15" t="n">
        <f aca="false">IF(B671="SITE LOSS",IF(COUNTIFS('Site Dockets'!$B$7:$B$24,C671,'Site Dockets'!$C$7:$C$24,F671)&gt;0,1,0),IF(B671="REGION LOSS",IF(COUNTIFS('Site Dockets'!$E$7:$E$24,C671,'Site Dockets'!$C$7:$C$24,F671)&gt;0,1,0),0))</f>
        <v>0</v>
      </c>
      <c r="L671" s="15" t="n">
        <f aca="false">IF(J671=1,0,Inputs!$B$11)</f>
        <v>100</v>
      </c>
      <c r="M671" s="15" t="n">
        <f aca="false">IF(J671=1,0,Inputs!$B$12)</f>
        <v>75</v>
      </c>
      <c r="N671" s="15" t="n">
        <f aca="false">IF(J671=1,0,IF(OR(AND(OR(B671="SITE LOSS",B671="REGION LOSS"),K671=1),AND(B671="ROLE COMPROMISE",H671=C671)),Inputs!$B$13,Inputs!$B$14))</f>
        <v>10</v>
      </c>
      <c r="O671" s="15" t="n">
        <f aca="false">IF(J671=1,0,Inputs!$B$13)</f>
        <v>20</v>
      </c>
      <c r="P671" s="15" t="n">
        <f aca="false">SUM(M671:N671)</f>
        <v>85</v>
      </c>
      <c r="Q671" s="15" t="n">
        <f aca="false">IF(J671=1,"",L671-P671)</f>
        <v>15</v>
      </c>
      <c r="R671" s="15" t="n">
        <f aca="false">IF(OR(J671=1,M671&lt;=Inputs!$B$12),1,0)</f>
        <v>1</v>
      </c>
      <c r="S671" s="15" t="n">
        <f aca="false">IF(OR(J671=1,N671&lt;=O671),1,0)</f>
        <v>1</v>
      </c>
      <c r="T671" s="15" t="str">
        <f aca="false">IF(J671=1,"OFFLINE",IF(AND(Q671&gt;=Inputs!$B$15,R671=1,S671=1,P671&lt;=L671),"PASS","FAIL"))</f>
        <v>PASS</v>
      </c>
    </row>
    <row r="672" customFormat="false" ht="15" hidden="false" customHeight="false" outlineLevel="0" collapsed="false">
      <c r="A672" s="14" t="s">
        <v>1025</v>
      </c>
      <c r="B672" s="14" t="s">
        <v>1019</v>
      </c>
      <c r="C672" s="14" t="s">
        <v>174</v>
      </c>
      <c r="D672" s="14" t="s">
        <v>160</v>
      </c>
      <c r="E672" s="14" t="s">
        <v>161</v>
      </c>
      <c r="F672" s="14" t="s">
        <v>150</v>
      </c>
      <c r="G672" s="14" t="n">
        <v>3</v>
      </c>
      <c r="H672" s="14" t="s">
        <v>158</v>
      </c>
      <c r="I672" s="14" t="s">
        <v>899</v>
      </c>
      <c r="J672" s="15" t="n">
        <f aca="false">IF(B672="SITE LOSS",IF(D672=C672,1,0),IF(B672="REGION LOSS",IF(E672=C672,1,0),0))</f>
        <v>0</v>
      </c>
      <c r="K672" s="15" t="n">
        <f aca="false">IF(B672="SITE LOSS",IF(COUNTIFS('Site Dockets'!$B$7:$B$24,C672,'Site Dockets'!$C$7:$C$24,F672)&gt;0,1,0),IF(B672="REGION LOSS",IF(COUNTIFS('Site Dockets'!$E$7:$E$24,C672,'Site Dockets'!$C$7:$C$24,F672)&gt;0,1,0),0))</f>
        <v>0</v>
      </c>
      <c r="L672" s="15" t="n">
        <f aca="false">IF(J672=1,0,Inputs!$B$11)</f>
        <v>100</v>
      </c>
      <c r="M672" s="15" t="n">
        <f aca="false">IF(J672=1,0,Inputs!$B$12)</f>
        <v>75</v>
      </c>
      <c r="N672" s="15" t="n">
        <f aca="false">IF(J672=1,0,IF(OR(AND(OR(B672="SITE LOSS",B672="REGION LOSS"),K672=1),AND(B672="ROLE COMPROMISE",H672=C672)),Inputs!$B$13,Inputs!$B$14))</f>
        <v>10</v>
      </c>
      <c r="O672" s="15" t="n">
        <f aca="false">IF(J672=1,0,Inputs!$B$13)</f>
        <v>20</v>
      </c>
      <c r="P672" s="15" t="n">
        <f aca="false">SUM(M672:N672)</f>
        <v>85</v>
      </c>
      <c r="Q672" s="15" t="n">
        <f aca="false">IF(J672=1,"",L672-P672)</f>
        <v>15</v>
      </c>
      <c r="R672" s="15" t="n">
        <f aca="false">IF(OR(J672=1,M672&lt;=Inputs!$B$12),1,0)</f>
        <v>1</v>
      </c>
      <c r="S672" s="15" t="n">
        <f aca="false">IF(OR(J672=1,N672&lt;=O672),1,0)</f>
        <v>1</v>
      </c>
      <c r="T672" s="15" t="str">
        <f aca="false">IF(J672=1,"OFFLINE",IF(AND(Q672&gt;=Inputs!$B$15,R672=1,S672=1,P672&lt;=L672),"PASS","FAIL"))</f>
        <v>PASS</v>
      </c>
    </row>
    <row r="673" customFormat="false" ht="15" hidden="false" customHeight="false" outlineLevel="0" collapsed="false">
      <c r="A673" s="14" t="s">
        <v>1025</v>
      </c>
      <c r="B673" s="14" t="s">
        <v>1019</v>
      </c>
      <c r="C673" s="14" t="s">
        <v>174</v>
      </c>
      <c r="D673" s="14" t="s">
        <v>163</v>
      </c>
      <c r="E673" s="14" t="s">
        <v>166</v>
      </c>
      <c r="F673" s="14" t="s">
        <v>164</v>
      </c>
      <c r="G673" s="14" t="n">
        <v>1</v>
      </c>
      <c r="H673" s="14" t="s">
        <v>154</v>
      </c>
      <c r="I673" s="14" t="s">
        <v>890</v>
      </c>
      <c r="J673" s="15" t="n">
        <f aca="false">IF(B673="SITE LOSS",IF(D673=C673,1,0),IF(B673="REGION LOSS",IF(E673=C673,1,0),0))</f>
        <v>0</v>
      </c>
      <c r="K673" s="15" t="n">
        <f aca="false">IF(B673="SITE LOSS",IF(COUNTIFS('Site Dockets'!$B$7:$B$24,C673,'Site Dockets'!$C$7:$C$24,F673)&gt;0,1,0),IF(B673="REGION LOSS",IF(COUNTIFS('Site Dockets'!$E$7:$E$24,C673,'Site Dockets'!$C$7:$C$24,F673)&gt;0,1,0),0))</f>
        <v>0</v>
      </c>
      <c r="L673" s="15" t="n">
        <f aca="false">IF(J673=1,0,Inputs!$B$11)</f>
        <v>100</v>
      </c>
      <c r="M673" s="15" t="n">
        <f aca="false">IF(J673=1,0,Inputs!$B$12)</f>
        <v>75</v>
      </c>
      <c r="N673" s="15" t="n">
        <f aca="false">IF(J673=1,0,IF(OR(AND(OR(B673="SITE LOSS",B673="REGION LOSS"),K673=1),AND(B673="ROLE COMPROMISE",H673=C673)),Inputs!$B$13,Inputs!$B$14))</f>
        <v>10</v>
      </c>
      <c r="O673" s="15" t="n">
        <f aca="false">IF(J673=1,0,Inputs!$B$13)</f>
        <v>20</v>
      </c>
      <c r="P673" s="15" t="n">
        <f aca="false">SUM(M673:N673)</f>
        <v>85</v>
      </c>
      <c r="Q673" s="15" t="n">
        <f aca="false">IF(J673=1,"",L673-P673)</f>
        <v>15</v>
      </c>
      <c r="R673" s="15" t="n">
        <f aca="false">IF(OR(J673=1,M673&lt;=Inputs!$B$12),1,0)</f>
        <v>1</v>
      </c>
      <c r="S673" s="15" t="n">
        <f aca="false">IF(OR(J673=1,N673&lt;=O673),1,0)</f>
        <v>1</v>
      </c>
      <c r="T673" s="15" t="str">
        <f aca="false">IF(J673=1,"OFFLINE",IF(AND(Q673&gt;=Inputs!$B$15,R673=1,S673=1,P673&lt;=L673),"PASS","FAIL"))</f>
        <v>PASS</v>
      </c>
    </row>
    <row r="674" customFormat="false" ht="15" hidden="false" customHeight="false" outlineLevel="0" collapsed="false">
      <c r="A674" s="14" t="s">
        <v>1025</v>
      </c>
      <c r="B674" s="14" t="s">
        <v>1019</v>
      </c>
      <c r="C674" s="14" t="s">
        <v>174</v>
      </c>
      <c r="D674" s="14" t="s">
        <v>163</v>
      </c>
      <c r="E674" s="14" t="s">
        <v>166</v>
      </c>
      <c r="F674" s="14" t="s">
        <v>164</v>
      </c>
      <c r="G674" s="14" t="n">
        <v>1</v>
      </c>
      <c r="H674" s="14" t="s">
        <v>154</v>
      </c>
      <c r="I674" s="14" t="s">
        <v>892</v>
      </c>
      <c r="J674" s="15" t="n">
        <f aca="false">IF(B674="SITE LOSS",IF(D674=C674,1,0),IF(B674="REGION LOSS",IF(E674=C674,1,0),0))</f>
        <v>0</v>
      </c>
      <c r="K674" s="15" t="n">
        <f aca="false">IF(B674="SITE LOSS",IF(COUNTIFS('Site Dockets'!$B$7:$B$24,C674,'Site Dockets'!$C$7:$C$24,F674)&gt;0,1,0),IF(B674="REGION LOSS",IF(COUNTIFS('Site Dockets'!$E$7:$E$24,C674,'Site Dockets'!$C$7:$C$24,F674)&gt;0,1,0),0))</f>
        <v>0</v>
      </c>
      <c r="L674" s="15" t="n">
        <f aca="false">IF(J674=1,0,Inputs!$B$11)</f>
        <v>100</v>
      </c>
      <c r="M674" s="15" t="n">
        <f aca="false">IF(J674=1,0,Inputs!$B$12)</f>
        <v>75</v>
      </c>
      <c r="N674" s="15" t="n">
        <f aca="false">IF(J674=1,0,IF(OR(AND(OR(B674="SITE LOSS",B674="REGION LOSS"),K674=1),AND(B674="ROLE COMPROMISE",H674=C674)),Inputs!$B$13,Inputs!$B$14))</f>
        <v>10</v>
      </c>
      <c r="O674" s="15" t="n">
        <f aca="false">IF(J674=1,0,Inputs!$B$13)</f>
        <v>20</v>
      </c>
      <c r="P674" s="15" t="n">
        <f aca="false">SUM(M674:N674)</f>
        <v>85</v>
      </c>
      <c r="Q674" s="15" t="n">
        <f aca="false">IF(J674=1,"",L674-P674)</f>
        <v>15</v>
      </c>
      <c r="R674" s="15" t="n">
        <f aca="false">IF(OR(J674=1,M674&lt;=Inputs!$B$12),1,0)</f>
        <v>1</v>
      </c>
      <c r="S674" s="15" t="n">
        <f aca="false">IF(OR(J674=1,N674&lt;=O674),1,0)</f>
        <v>1</v>
      </c>
      <c r="T674" s="15" t="str">
        <f aca="false">IF(J674=1,"OFFLINE",IF(AND(Q674&gt;=Inputs!$B$15,R674=1,S674=1,P674&lt;=L674),"PASS","FAIL"))</f>
        <v>PASS</v>
      </c>
    </row>
    <row r="675" customFormat="false" ht="15" hidden="false" customHeight="false" outlineLevel="0" collapsed="false">
      <c r="A675" s="14" t="s">
        <v>1025</v>
      </c>
      <c r="B675" s="14" t="s">
        <v>1019</v>
      </c>
      <c r="C675" s="14" t="s">
        <v>174</v>
      </c>
      <c r="D675" s="14" t="s">
        <v>163</v>
      </c>
      <c r="E675" s="14" t="s">
        <v>166</v>
      </c>
      <c r="F675" s="14" t="s">
        <v>164</v>
      </c>
      <c r="G675" s="14" t="n">
        <v>1</v>
      </c>
      <c r="H675" s="14" t="s">
        <v>154</v>
      </c>
      <c r="I675" s="14" t="s">
        <v>811</v>
      </c>
      <c r="J675" s="15" t="n">
        <f aca="false">IF(B675="SITE LOSS",IF(D675=C675,1,0),IF(B675="REGION LOSS",IF(E675=C675,1,0),0))</f>
        <v>0</v>
      </c>
      <c r="K675" s="15" t="n">
        <f aca="false">IF(B675="SITE LOSS",IF(COUNTIFS('Site Dockets'!$B$7:$B$24,C675,'Site Dockets'!$C$7:$C$24,F675)&gt;0,1,0),IF(B675="REGION LOSS",IF(COUNTIFS('Site Dockets'!$E$7:$E$24,C675,'Site Dockets'!$C$7:$C$24,F675)&gt;0,1,0),0))</f>
        <v>0</v>
      </c>
      <c r="L675" s="15" t="n">
        <f aca="false">IF(J675=1,0,Inputs!$B$11)</f>
        <v>100</v>
      </c>
      <c r="M675" s="15" t="n">
        <f aca="false">IF(J675=1,0,Inputs!$B$12)</f>
        <v>75</v>
      </c>
      <c r="N675" s="15" t="n">
        <f aca="false">IF(J675=1,0,IF(OR(AND(OR(B675="SITE LOSS",B675="REGION LOSS"),K675=1),AND(B675="ROLE COMPROMISE",H675=C675)),Inputs!$B$13,Inputs!$B$14))</f>
        <v>10</v>
      </c>
      <c r="O675" s="15" t="n">
        <f aca="false">IF(J675=1,0,Inputs!$B$13)</f>
        <v>20</v>
      </c>
      <c r="P675" s="15" t="n">
        <f aca="false">SUM(M675:N675)</f>
        <v>85</v>
      </c>
      <c r="Q675" s="15" t="n">
        <f aca="false">IF(J675=1,"",L675-P675)</f>
        <v>15</v>
      </c>
      <c r="R675" s="15" t="n">
        <f aca="false">IF(OR(J675=1,M675&lt;=Inputs!$B$12),1,0)</f>
        <v>1</v>
      </c>
      <c r="S675" s="15" t="n">
        <f aca="false">IF(OR(J675=1,N675&lt;=O675),1,0)</f>
        <v>1</v>
      </c>
      <c r="T675" s="15" t="str">
        <f aca="false">IF(J675=1,"OFFLINE",IF(AND(Q675&gt;=Inputs!$B$15,R675=1,S675=1,P675&lt;=L675),"PASS","FAIL"))</f>
        <v>PASS</v>
      </c>
    </row>
    <row r="676" customFormat="false" ht="15" hidden="false" customHeight="false" outlineLevel="0" collapsed="false">
      <c r="A676" s="14" t="s">
        <v>1025</v>
      </c>
      <c r="B676" s="14" t="s">
        <v>1019</v>
      </c>
      <c r="C676" s="14" t="s">
        <v>174</v>
      </c>
      <c r="D676" s="14" t="s">
        <v>163</v>
      </c>
      <c r="E676" s="14" t="s">
        <v>166</v>
      </c>
      <c r="F676" s="14" t="s">
        <v>164</v>
      </c>
      <c r="G676" s="14" t="n">
        <v>1</v>
      </c>
      <c r="H676" s="14" t="s">
        <v>154</v>
      </c>
      <c r="I676" s="14" t="s">
        <v>895</v>
      </c>
      <c r="J676" s="15" t="n">
        <f aca="false">IF(B676="SITE LOSS",IF(D676=C676,1,0),IF(B676="REGION LOSS",IF(E676=C676,1,0),0))</f>
        <v>0</v>
      </c>
      <c r="K676" s="15" t="n">
        <f aca="false">IF(B676="SITE LOSS",IF(COUNTIFS('Site Dockets'!$B$7:$B$24,C676,'Site Dockets'!$C$7:$C$24,F676)&gt;0,1,0),IF(B676="REGION LOSS",IF(COUNTIFS('Site Dockets'!$E$7:$E$24,C676,'Site Dockets'!$C$7:$C$24,F676)&gt;0,1,0),0))</f>
        <v>0</v>
      </c>
      <c r="L676" s="15" t="n">
        <f aca="false">IF(J676=1,0,Inputs!$B$11)</f>
        <v>100</v>
      </c>
      <c r="M676" s="15" t="n">
        <f aca="false">IF(J676=1,0,Inputs!$B$12)</f>
        <v>75</v>
      </c>
      <c r="N676" s="15" t="n">
        <f aca="false">IF(J676=1,0,IF(OR(AND(OR(B676="SITE LOSS",B676="REGION LOSS"),K676=1),AND(B676="ROLE COMPROMISE",H676=C676)),Inputs!$B$13,Inputs!$B$14))</f>
        <v>10</v>
      </c>
      <c r="O676" s="15" t="n">
        <f aca="false">IF(J676=1,0,Inputs!$B$13)</f>
        <v>20</v>
      </c>
      <c r="P676" s="15" t="n">
        <f aca="false">SUM(M676:N676)</f>
        <v>85</v>
      </c>
      <c r="Q676" s="15" t="n">
        <f aca="false">IF(J676=1,"",L676-P676)</f>
        <v>15</v>
      </c>
      <c r="R676" s="15" t="n">
        <f aca="false">IF(OR(J676=1,M676&lt;=Inputs!$B$12),1,0)</f>
        <v>1</v>
      </c>
      <c r="S676" s="15" t="n">
        <f aca="false">IF(OR(J676=1,N676&lt;=O676),1,0)</f>
        <v>1</v>
      </c>
      <c r="T676" s="15" t="str">
        <f aca="false">IF(J676=1,"OFFLINE",IF(AND(Q676&gt;=Inputs!$B$15,R676=1,S676=1,P676&lt;=L676),"PASS","FAIL"))</f>
        <v>PASS</v>
      </c>
    </row>
    <row r="677" customFormat="false" ht="15" hidden="false" customHeight="false" outlineLevel="0" collapsed="false">
      <c r="A677" s="14" t="s">
        <v>1025</v>
      </c>
      <c r="B677" s="14" t="s">
        <v>1019</v>
      </c>
      <c r="C677" s="14" t="s">
        <v>174</v>
      </c>
      <c r="D677" s="14" t="s">
        <v>163</v>
      </c>
      <c r="E677" s="14" t="s">
        <v>166</v>
      </c>
      <c r="F677" s="14" t="s">
        <v>164</v>
      </c>
      <c r="G677" s="14" t="n">
        <v>1</v>
      </c>
      <c r="H677" s="14" t="s">
        <v>154</v>
      </c>
      <c r="I677" s="14" t="s">
        <v>897</v>
      </c>
      <c r="J677" s="15" t="n">
        <f aca="false">IF(B677="SITE LOSS",IF(D677=C677,1,0),IF(B677="REGION LOSS",IF(E677=C677,1,0),0))</f>
        <v>0</v>
      </c>
      <c r="K677" s="15" t="n">
        <f aca="false">IF(B677="SITE LOSS",IF(COUNTIFS('Site Dockets'!$B$7:$B$24,C677,'Site Dockets'!$C$7:$C$24,F677)&gt;0,1,0),IF(B677="REGION LOSS",IF(COUNTIFS('Site Dockets'!$E$7:$E$24,C677,'Site Dockets'!$C$7:$C$24,F677)&gt;0,1,0),0))</f>
        <v>0</v>
      </c>
      <c r="L677" s="15" t="n">
        <f aca="false">IF(J677=1,0,Inputs!$B$11)</f>
        <v>100</v>
      </c>
      <c r="M677" s="15" t="n">
        <f aca="false">IF(J677=1,0,Inputs!$B$12)</f>
        <v>75</v>
      </c>
      <c r="N677" s="15" t="n">
        <f aca="false">IF(J677=1,0,IF(OR(AND(OR(B677="SITE LOSS",B677="REGION LOSS"),K677=1),AND(B677="ROLE COMPROMISE",H677=C677)),Inputs!$B$13,Inputs!$B$14))</f>
        <v>10</v>
      </c>
      <c r="O677" s="15" t="n">
        <f aca="false">IF(J677=1,0,Inputs!$B$13)</f>
        <v>20</v>
      </c>
      <c r="P677" s="15" t="n">
        <f aca="false">SUM(M677:N677)</f>
        <v>85</v>
      </c>
      <c r="Q677" s="15" t="n">
        <f aca="false">IF(J677=1,"",L677-P677)</f>
        <v>15</v>
      </c>
      <c r="R677" s="15" t="n">
        <f aca="false">IF(OR(J677=1,M677&lt;=Inputs!$B$12),1,0)</f>
        <v>1</v>
      </c>
      <c r="S677" s="15" t="n">
        <f aca="false">IF(OR(J677=1,N677&lt;=O677),1,0)</f>
        <v>1</v>
      </c>
      <c r="T677" s="15" t="str">
        <f aca="false">IF(J677=1,"OFFLINE",IF(AND(Q677&gt;=Inputs!$B$15,R677=1,S677=1,P677&lt;=L677),"PASS","FAIL"))</f>
        <v>PASS</v>
      </c>
    </row>
    <row r="678" customFormat="false" ht="15" hidden="false" customHeight="false" outlineLevel="0" collapsed="false">
      <c r="A678" s="14" t="s">
        <v>1025</v>
      </c>
      <c r="B678" s="14" t="s">
        <v>1019</v>
      </c>
      <c r="C678" s="14" t="s">
        <v>174</v>
      </c>
      <c r="D678" s="14" t="s">
        <v>163</v>
      </c>
      <c r="E678" s="14" t="s">
        <v>166</v>
      </c>
      <c r="F678" s="14" t="s">
        <v>164</v>
      </c>
      <c r="G678" s="14" t="n">
        <v>1</v>
      </c>
      <c r="H678" s="14" t="s">
        <v>154</v>
      </c>
      <c r="I678" s="14" t="s">
        <v>899</v>
      </c>
      <c r="J678" s="15" t="n">
        <f aca="false">IF(B678="SITE LOSS",IF(D678=C678,1,0),IF(B678="REGION LOSS",IF(E678=C678,1,0),0))</f>
        <v>0</v>
      </c>
      <c r="K678" s="15" t="n">
        <f aca="false">IF(B678="SITE LOSS",IF(COUNTIFS('Site Dockets'!$B$7:$B$24,C678,'Site Dockets'!$C$7:$C$24,F678)&gt;0,1,0),IF(B678="REGION LOSS",IF(COUNTIFS('Site Dockets'!$E$7:$E$24,C678,'Site Dockets'!$C$7:$C$24,F678)&gt;0,1,0),0))</f>
        <v>0</v>
      </c>
      <c r="L678" s="15" t="n">
        <f aca="false">IF(J678=1,0,Inputs!$B$11)</f>
        <v>100</v>
      </c>
      <c r="M678" s="15" t="n">
        <f aca="false">IF(J678=1,0,Inputs!$B$12)</f>
        <v>75</v>
      </c>
      <c r="N678" s="15" t="n">
        <f aca="false">IF(J678=1,0,IF(OR(AND(OR(B678="SITE LOSS",B678="REGION LOSS"),K678=1),AND(B678="ROLE COMPROMISE",H678=C678)),Inputs!$B$13,Inputs!$B$14))</f>
        <v>10</v>
      </c>
      <c r="O678" s="15" t="n">
        <f aca="false">IF(J678=1,0,Inputs!$B$13)</f>
        <v>20</v>
      </c>
      <c r="P678" s="15" t="n">
        <f aca="false">SUM(M678:N678)</f>
        <v>85</v>
      </c>
      <c r="Q678" s="15" t="n">
        <f aca="false">IF(J678=1,"",L678-P678)</f>
        <v>15</v>
      </c>
      <c r="R678" s="15" t="n">
        <f aca="false">IF(OR(J678=1,M678&lt;=Inputs!$B$12),1,0)</f>
        <v>1</v>
      </c>
      <c r="S678" s="15" t="n">
        <f aca="false">IF(OR(J678=1,N678&lt;=O678),1,0)</f>
        <v>1</v>
      </c>
      <c r="T678" s="15" t="str">
        <f aca="false">IF(J678=1,"OFFLINE",IF(AND(Q678&gt;=Inputs!$B$15,R678=1,S678=1,P678&lt;=L678),"PASS","FAIL"))</f>
        <v>PASS</v>
      </c>
    </row>
    <row r="679" customFormat="false" ht="15" hidden="false" customHeight="false" outlineLevel="0" collapsed="false">
      <c r="A679" s="14" t="s">
        <v>1025</v>
      </c>
      <c r="B679" s="14" t="s">
        <v>1019</v>
      </c>
      <c r="C679" s="14" t="s">
        <v>174</v>
      </c>
      <c r="D679" s="14" t="s">
        <v>168</v>
      </c>
      <c r="E679" s="14" t="s">
        <v>169</v>
      </c>
      <c r="F679" s="14" t="s">
        <v>164</v>
      </c>
      <c r="G679" s="14" t="n">
        <v>2</v>
      </c>
      <c r="H679" s="14" t="s">
        <v>153</v>
      </c>
      <c r="I679" s="14" t="s">
        <v>890</v>
      </c>
      <c r="J679" s="15" t="n">
        <f aca="false">IF(B679="SITE LOSS",IF(D679=C679,1,0),IF(B679="REGION LOSS",IF(E679=C679,1,0),0))</f>
        <v>0</v>
      </c>
      <c r="K679" s="15" t="n">
        <f aca="false">IF(B679="SITE LOSS",IF(COUNTIFS('Site Dockets'!$B$7:$B$24,C679,'Site Dockets'!$C$7:$C$24,F679)&gt;0,1,0),IF(B679="REGION LOSS",IF(COUNTIFS('Site Dockets'!$E$7:$E$24,C679,'Site Dockets'!$C$7:$C$24,F679)&gt;0,1,0),0))</f>
        <v>0</v>
      </c>
      <c r="L679" s="15" t="n">
        <f aca="false">IF(J679=1,0,Inputs!$B$11)</f>
        <v>100</v>
      </c>
      <c r="M679" s="15" t="n">
        <f aca="false">IF(J679=1,0,Inputs!$B$12)</f>
        <v>75</v>
      </c>
      <c r="N679" s="15" t="n">
        <f aca="false">IF(J679=1,0,IF(OR(AND(OR(B679="SITE LOSS",B679="REGION LOSS"),K679=1),AND(B679="ROLE COMPROMISE",H679=C679)),Inputs!$B$13,Inputs!$B$14))</f>
        <v>10</v>
      </c>
      <c r="O679" s="15" t="n">
        <f aca="false">IF(J679=1,0,Inputs!$B$13)</f>
        <v>20</v>
      </c>
      <c r="P679" s="15" t="n">
        <f aca="false">SUM(M679:N679)</f>
        <v>85</v>
      </c>
      <c r="Q679" s="15" t="n">
        <f aca="false">IF(J679=1,"",L679-P679)</f>
        <v>15</v>
      </c>
      <c r="R679" s="15" t="n">
        <f aca="false">IF(OR(J679=1,M679&lt;=Inputs!$B$12),1,0)</f>
        <v>1</v>
      </c>
      <c r="S679" s="15" t="n">
        <f aca="false">IF(OR(J679=1,N679&lt;=O679),1,0)</f>
        <v>1</v>
      </c>
      <c r="T679" s="15" t="str">
        <f aca="false">IF(J679=1,"OFFLINE",IF(AND(Q679&gt;=Inputs!$B$15,R679=1,S679=1,P679&lt;=L679),"PASS","FAIL"))</f>
        <v>PASS</v>
      </c>
    </row>
    <row r="680" customFormat="false" ht="15" hidden="false" customHeight="false" outlineLevel="0" collapsed="false">
      <c r="A680" s="14" t="s">
        <v>1025</v>
      </c>
      <c r="B680" s="14" t="s">
        <v>1019</v>
      </c>
      <c r="C680" s="14" t="s">
        <v>174</v>
      </c>
      <c r="D680" s="14" t="s">
        <v>168</v>
      </c>
      <c r="E680" s="14" t="s">
        <v>169</v>
      </c>
      <c r="F680" s="14" t="s">
        <v>164</v>
      </c>
      <c r="G680" s="14" t="n">
        <v>2</v>
      </c>
      <c r="H680" s="14" t="s">
        <v>153</v>
      </c>
      <c r="I680" s="14" t="s">
        <v>892</v>
      </c>
      <c r="J680" s="15" t="n">
        <f aca="false">IF(B680="SITE LOSS",IF(D680=C680,1,0),IF(B680="REGION LOSS",IF(E680=C680,1,0),0))</f>
        <v>0</v>
      </c>
      <c r="K680" s="15" t="n">
        <f aca="false">IF(B680="SITE LOSS",IF(COUNTIFS('Site Dockets'!$B$7:$B$24,C680,'Site Dockets'!$C$7:$C$24,F680)&gt;0,1,0),IF(B680="REGION LOSS",IF(COUNTIFS('Site Dockets'!$E$7:$E$24,C680,'Site Dockets'!$C$7:$C$24,F680)&gt;0,1,0),0))</f>
        <v>0</v>
      </c>
      <c r="L680" s="15" t="n">
        <f aca="false">IF(J680=1,0,Inputs!$B$11)</f>
        <v>100</v>
      </c>
      <c r="M680" s="15" t="n">
        <f aca="false">IF(J680=1,0,Inputs!$B$12)</f>
        <v>75</v>
      </c>
      <c r="N680" s="15" t="n">
        <f aca="false">IF(J680=1,0,IF(OR(AND(OR(B680="SITE LOSS",B680="REGION LOSS"),K680=1),AND(B680="ROLE COMPROMISE",H680=C680)),Inputs!$B$13,Inputs!$B$14))</f>
        <v>10</v>
      </c>
      <c r="O680" s="15" t="n">
        <f aca="false">IF(J680=1,0,Inputs!$B$13)</f>
        <v>20</v>
      </c>
      <c r="P680" s="15" t="n">
        <f aca="false">SUM(M680:N680)</f>
        <v>85</v>
      </c>
      <c r="Q680" s="15" t="n">
        <f aca="false">IF(J680=1,"",L680-P680)</f>
        <v>15</v>
      </c>
      <c r="R680" s="15" t="n">
        <f aca="false">IF(OR(J680=1,M680&lt;=Inputs!$B$12),1,0)</f>
        <v>1</v>
      </c>
      <c r="S680" s="15" t="n">
        <f aca="false">IF(OR(J680=1,N680&lt;=O680),1,0)</f>
        <v>1</v>
      </c>
      <c r="T680" s="15" t="str">
        <f aca="false">IF(J680=1,"OFFLINE",IF(AND(Q680&gt;=Inputs!$B$15,R680=1,S680=1,P680&lt;=L680),"PASS","FAIL"))</f>
        <v>PASS</v>
      </c>
    </row>
    <row r="681" customFormat="false" ht="15" hidden="false" customHeight="false" outlineLevel="0" collapsed="false">
      <c r="A681" s="14" t="s">
        <v>1025</v>
      </c>
      <c r="B681" s="14" t="s">
        <v>1019</v>
      </c>
      <c r="C681" s="14" t="s">
        <v>174</v>
      </c>
      <c r="D681" s="14" t="s">
        <v>168</v>
      </c>
      <c r="E681" s="14" t="s">
        <v>169</v>
      </c>
      <c r="F681" s="14" t="s">
        <v>164</v>
      </c>
      <c r="G681" s="14" t="n">
        <v>2</v>
      </c>
      <c r="H681" s="14" t="s">
        <v>153</v>
      </c>
      <c r="I681" s="14" t="s">
        <v>811</v>
      </c>
      <c r="J681" s="15" t="n">
        <f aca="false">IF(B681="SITE LOSS",IF(D681=C681,1,0),IF(B681="REGION LOSS",IF(E681=C681,1,0),0))</f>
        <v>0</v>
      </c>
      <c r="K681" s="15" t="n">
        <f aca="false">IF(B681="SITE LOSS",IF(COUNTIFS('Site Dockets'!$B$7:$B$24,C681,'Site Dockets'!$C$7:$C$24,F681)&gt;0,1,0),IF(B681="REGION LOSS",IF(COUNTIFS('Site Dockets'!$E$7:$E$24,C681,'Site Dockets'!$C$7:$C$24,F681)&gt;0,1,0),0))</f>
        <v>0</v>
      </c>
      <c r="L681" s="15" t="n">
        <f aca="false">IF(J681=1,0,Inputs!$B$11)</f>
        <v>100</v>
      </c>
      <c r="M681" s="15" t="n">
        <f aca="false">IF(J681=1,0,Inputs!$B$12)</f>
        <v>75</v>
      </c>
      <c r="N681" s="15" t="n">
        <f aca="false">IF(J681=1,0,IF(OR(AND(OR(B681="SITE LOSS",B681="REGION LOSS"),K681=1),AND(B681="ROLE COMPROMISE",H681=C681)),Inputs!$B$13,Inputs!$B$14))</f>
        <v>10</v>
      </c>
      <c r="O681" s="15" t="n">
        <f aca="false">IF(J681=1,0,Inputs!$B$13)</f>
        <v>20</v>
      </c>
      <c r="P681" s="15" t="n">
        <f aca="false">SUM(M681:N681)</f>
        <v>85</v>
      </c>
      <c r="Q681" s="15" t="n">
        <f aca="false">IF(J681=1,"",L681-P681)</f>
        <v>15</v>
      </c>
      <c r="R681" s="15" t="n">
        <f aca="false">IF(OR(J681=1,M681&lt;=Inputs!$B$12),1,0)</f>
        <v>1</v>
      </c>
      <c r="S681" s="15" t="n">
        <f aca="false">IF(OR(J681=1,N681&lt;=O681),1,0)</f>
        <v>1</v>
      </c>
      <c r="T681" s="15" t="str">
        <f aca="false">IF(J681=1,"OFFLINE",IF(AND(Q681&gt;=Inputs!$B$15,R681=1,S681=1,P681&lt;=L681),"PASS","FAIL"))</f>
        <v>PASS</v>
      </c>
    </row>
    <row r="682" customFormat="false" ht="15" hidden="false" customHeight="false" outlineLevel="0" collapsed="false">
      <c r="A682" s="14" t="s">
        <v>1025</v>
      </c>
      <c r="B682" s="14" t="s">
        <v>1019</v>
      </c>
      <c r="C682" s="14" t="s">
        <v>174</v>
      </c>
      <c r="D682" s="14" t="s">
        <v>168</v>
      </c>
      <c r="E682" s="14" t="s">
        <v>169</v>
      </c>
      <c r="F682" s="14" t="s">
        <v>164</v>
      </c>
      <c r="G682" s="14" t="n">
        <v>2</v>
      </c>
      <c r="H682" s="14" t="s">
        <v>153</v>
      </c>
      <c r="I682" s="14" t="s">
        <v>895</v>
      </c>
      <c r="J682" s="15" t="n">
        <f aca="false">IF(B682="SITE LOSS",IF(D682=C682,1,0),IF(B682="REGION LOSS",IF(E682=C682,1,0),0))</f>
        <v>0</v>
      </c>
      <c r="K682" s="15" t="n">
        <f aca="false">IF(B682="SITE LOSS",IF(COUNTIFS('Site Dockets'!$B$7:$B$24,C682,'Site Dockets'!$C$7:$C$24,F682)&gt;0,1,0),IF(B682="REGION LOSS",IF(COUNTIFS('Site Dockets'!$E$7:$E$24,C682,'Site Dockets'!$C$7:$C$24,F682)&gt;0,1,0),0))</f>
        <v>0</v>
      </c>
      <c r="L682" s="15" t="n">
        <f aca="false">IF(J682=1,0,Inputs!$B$11)</f>
        <v>100</v>
      </c>
      <c r="M682" s="15" t="n">
        <f aca="false">IF(J682=1,0,Inputs!$B$12)</f>
        <v>75</v>
      </c>
      <c r="N682" s="15" t="n">
        <f aca="false">IF(J682=1,0,IF(OR(AND(OR(B682="SITE LOSS",B682="REGION LOSS"),K682=1),AND(B682="ROLE COMPROMISE",H682=C682)),Inputs!$B$13,Inputs!$B$14))</f>
        <v>10</v>
      </c>
      <c r="O682" s="15" t="n">
        <f aca="false">IF(J682=1,0,Inputs!$B$13)</f>
        <v>20</v>
      </c>
      <c r="P682" s="15" t="n">
        <f aca="false">SUM(M682:N682)</f>
        <v>85</v>
      </c>
      <c r="Q682" s="15" t="n">
        <f aca="false">IF(J682=1,"",L682-P682)</f>
        <v>15</v>
      </c>
      <c r="R682" s="15" t="n">
        <f aca="false">IF(OR(J682=1,M682&lt;=Inputs!$B$12),1,0)</f>
        <v>1</v>
      </c>
      <c r="S682" s="15" t="n">
        <f aca="false">IF(OR(J682=1,N682&lt;=O682),1,0)</f>
        <v>1</v>
      </c>
      <c r="T682" s="15" t="str">
        <f aca="false">IF(J682=1,"OFFLINE",IF(AND(Q682&gt;=Inputs!$B$15,R682=1,S682=1,P682&lt;=L682),"PASS","FAIL"))</f>
        <v>PASS</v>
      </c>
    </row>
    <row r="683" customFormat="false" ht="15" hidden="false" customHeight="false" outlineLevel="0" collapsed="false">
      <c r="A683" s="14" t="s">
        <v>1025</v>
      </c>
      <c r="B683" s="14" t="s">
        <v>1019</v>
      </c>
      <c r="C683" s="14" t="s">
        <v>174</v>
      </c>
      <c r="D683" s="14" t="s">
        <v>168</v>
      </c>
      <c r="E683" s="14" t="s">
        <v>169</v>
      </c>
      <c r="F683" s="14" t="s">
        <v>164</v>
      </c>
      <c r="G683" s="14" t="n">
        <v>2</v>
      </c>
      <c r="H683" s="14" t="s">
        <v>153</v>
      </c>
      <c r="I683" s="14" t="s">
        <v>897</v>
      </c>
      <c r="J683" s="15" t="n">
        <f aca="false">IF(B683="SITE LOSS",IF(D683=C683,1,0),IF(B683="REGION LOSS",IF(E683=C683,1,0),0))</f>
        <v>0</v>
      </c>
      <c r="K683" s="15" t="n">
        <f aca="false">IF(B683="SITE LOSS",IF(COUNTIFS('Site Dockets'!$B$7:$B$24,C683,'Site Dockets'!$C$7:$C$24,F683)&gt;0,1,0),IF(B683="REGION LOSS",IF(COUNTIFS('Site Dockets'!$E$7:$E$24,C683,'Site Dockets'!$C$7:$C$24,F683)&gt;0,1,0),0))</f>
        <v>0</v>
      </c>
      <c r="L683" s="15" t="n">
        <f aca="false">IF(J683=1,0,Inputs!$B$11)</f>
        <v>100</v>
      </c>
      <c r="M683" s="15" t="n">
        <f aca="false">IF(J683=1,0,Inputs!$B$12)</f>
        <v>75</v>
      </c>
      <c r="N683" s="15" t="n">
        <f aca="false">IF(J683=1,0,IF(OR(AND(OR(B683="SITE LOSS",B683="REGION LOSS"),K683=1),AND(B683="ROLE COMPROMISE",H683=C683)),Inputs!$B$13,Inputs!$B$14))</f>
        <v>10</v>
      </c>
      <c r="O683" s="15" t="n">
        <f aca="false">IF(J683=1,0,Inputs!$B$13)</f>
        <v>20</v>
      </c>
      <c r="P683" s="15" t="n">
        <f aca="false">SUM(M683:N683)</f>
        <v>85</v>
      </c>
      <c r="Q683" s="15" t="n">
        <f aca="false">IF(J683=1,"",L683-P683)</f>
        <v>15</v>
      </c>
      <c r="R683" s="15" t="n">
        <f aca="false">IF(OR(J683=1,M683&lt;=Inputs!$B$12),1,0)</f>
        <v>1</v>
      </c>
      <c r="S683" s="15" t="n">
        <f aca="false">IF(OR(J683=1,N683&lt;=O683),1,0)</f>
        <v>1</v>
      </c>
      <c r="T683" s="15" t="str">
        <f aca="false">IF(J683=1,"OFFLINE",IF(AND(Q683&gt;=Inputs!$B$15,R683=1,S683=1,P683&lt;=L683),"PASS","FAIL"))</f>
        <v>PASS</v>
      </c>
    </row>
    <row r="684" customFormat="false" ht="15" hidden="false" customHeight="false" outlineLevel="0" collapsed="false">
      <c r="A684" s="14" t="s">
        <v>1025</v>
      </c>
      <c r="B684" s="14" t="s">
        <v>1019</v>
      </c>
      <c r="C684" s="14" t="s">
        <v>174</v>
      </c>
      <c r="D684" s="14" t="s">
        <v>168</v>
      </c>
      <c r="E684" s="14" t="s">
        <v>169</v>
      </c>
      <c r="F684" s="14" t="s">
        <v>164</v>
      </c>
      <c r="G684" s="14" t="n">
        <v>2</v>
      </c>
      <c r="H684" s="14" t="s">
        <v>153</v>
      </c>
      <c r="I684" s="14" t="s">
        <v>899</v>
      </c>
      <c r="J684" s="15" t="n">
        <f aca="false">IF(B684="SITE LOSS",IF(D684=C684,1,0),IF(B684="REGION LOSS",IF(E684=C684,1,0),0))</f>
        <v>0</v>
      </c>
      <c r="K684" s="15" t="n">
        <f aca="false">IF(B684="SITE LOSS",IF(COUNTIFS('Site Dockets'!$B$7:$B$24,C684,'Site Dockets'!$C$7:$C$24,F684)&gt;0,1,0),IF(B684="REGION LOSS",IF(COUNTIFS('Site Dockets'!$E$7:$E$24,C684,'Site Dockets'!$C$7:$C$24,F684)&gt;0,1,0),0))</f>
        <v>0</v>
      </c>
      <c r="L684" s="15" t="n">
        <f aca="false">IF(J684=1,0,Inputs!$B$11)</f>
        <v>100</v>
      </c>
      <c r="M684" s="15" t="n">
        <f aca="false">IF(J684=1,0,Inputs!$B$12)</f>
        <v>75</v>
      </c>
      <c r="N684" s="15" t="n">
        <f aca="false">IF(J684=1,0,IF(OR(AND(OR(B684="SITE LOSS",B684="REGION LOSS"),K684=1),AND(B684="ROLE COMPROMISE",H684=C684)),Inputs!$B$13,Inputs!$B$14))</f>
        <v>10</v>
      </c>
      <c r="O684" s="15" t="n">
        <f aca="false">IF(J684=1,0,Inputs!$B$13)</f>
        <v>20</v>
      </c>
      <c r="P684" s="15" t="n">
        <f aca="false">SUM(M684:N684)</f>
        <v>85</v>
      </c>
      <c r="Q684" s="15" t="n">
        <f aca="false">IF(J684=1,"",L684-P684)</f>
        <v>15</v>
      </c>
      <c r="R684" s="15" t="n">
        <f aca="false">IF(OR(J684=1,M684&lt;=Inputs!$B$12),1,0)</f>
        <v>1</v>
      </c>
      <c r="S684" s="15" t="n">
        <f aca="false">IF(OR(J684=1,N684&lt;=O684),1,0)</f>
        <v>1</v>
      </c>
      <c r="T684" s="15" t="str">
        <f aca="false">IF(J684=1,"OFFLINE",IF(AND(Q684&gt;=Inputs!$B$15,R684=1,S684=1,P684&lt;=L684),"PASS","FAIL"))</f>
        <v>PASS</v>
      </c>
    </row>
    <row r="685" customFormat="false" ht="15" hidden="false" customHeight="false" outlineLevel="0" collapsed="false">
      <c r="A685" s="14" t="s">
        <v>1025</v>
      </c>
      <c r="B685" s="14" t="s">
        <v>1019</v>
      </c>
      <c r="C685" s="14" t="s">
        <v>174</v>
      </c>
      <c r="D685" s="14" t="s">
        <v>171</v>
      </c>
      <c r="E685" s="14" t="s">
        <v>172</v>
      </c>
      <c r="F685" s="14" t="s">
        <v>164</v>
      </c>
      <c r="G685" s="14" t="n">
        <v>3</v>
      </c>
      <c r="H685" s="14" t="s">
        <v>158</v>
      </c>
      <c r="I685" s="14" t="s">
        <v>890</v>
      </c>
      <c r="J685" s="15" t="n">
        <f aca="false">IF(B685="SITE LOSS",IF(D685=C685,1,0),IF(B685="REGION LOSS",IF(E685=C685,1,0),0))</f>
        <v>0</v>
      </c>
      <c r="K685" s="15" t="n">
        <f aca="false">IF(B685="SITE LOSS",IF(COUNTIFS('Site Dockets'!$B$7:$B$24,C685,'Site Dockets'!$C$7:$C$24,F685)&gt;0,1,0),IF(B685="REGION LOSS",IF(COUNTIFS('Site Dockets'!$E$7:$E$24,C685,'Site Dockets'!$C$7:$C$24,F685)&gt;0,1,0),0))</f>
        <v>0</v>
      </c>
      <c r="L685" s="15" t="n">
        <f aca="false">IF(J685=1,0,Inputs!$B$11)</f>
        <v>100</v>
      </c>
      <c r="M685" s="15" t="n">
        <f aca="false">IF(J685=1,0,Inputs!$B$12)</f>
        <v>75</v>
      </c>
      <c r="N685" s="15" t="n">
        <f aca="false">IF(J685=1,0,IF(OR(AND(OR(B685="SITE LOSS",B685="REGION LOSS"),K685=1),AND(B685="ROLE COMPROMISE",H685=C685)),Inputs!$B$13,Inputs!$B$14))</f>
        <v>10</v>
      </c>
      <c r="O685" s="15" t="n">
        <f aca="false">IF(J685=1,0,Inputs!$B$13)</f>
        <v>20</v>
      </c>
      <c r="P685" s="15" t="n">
        <f aca="false">SUM(M685:N685)</f>
        <v>85</v>
      </c>
      <c r="Q685" s="15" t="n">
        <f aca="false">IF(J685=1,"",L685-P685)</f>
        <v>15</v>
      </c>
      <c r="R685" s="15" t="n">
        <f aca="false">IF(OR(J685=1,M685&lt;=Inputs!$B$12),1,0)</f>
        <v>1</v>
      </c>
      <c r="S685" s="15" t="n">
        <f aca="false">IF(OR(J685=1,N685&lt;=O685),1,0)</f>
        <v>1</v>
      </c>
      <c r="T685" s="15" t="str">
        <f aca="false">IF(J685=1,"OFFLINE",IF(AND(Q685&gt;=Inputs!$B$15,R685=1,S685=1,P685&lt;=L685),"PASS","FAIL"))</f>
        <v>PASS</v>
      </c>
    </row>
    <row r="686" customFormat="false" ht="15" hidden="false" customHeight="false" outlineLevel="0" collapsed="false">
      <c r="A686" s="14" t="s">
        <v>1025</v>
      </c>
      <c r="B686" s="14" t="s">
        <v>1019</v>
      </c>
      <c r="C686" s="14" t="s">
        <v>174</v>
      </c>
      <c r="D686" s="14" t="s">
        <v>171</v>
      </c>
      <c r="E686" s="14" t="s">
        <v>172</v>
      </c>
      <c r="F686" s="14" t="s">
        <v>164</v>
      </c>
      <c r="G686" s="14" t="n">
        <v>3</v>
      </c>
      <c r="H686" s="14" t="s">
        <v>158</v>
      </c>
      <c r="I686" s="14" t="s">
        <v>892</v>
      </c>
      <c r="J686" s="15" t="n">
        <f aca="false">IF(B686="SITE LOSS",IF(D686=C686,1,0),IF(B686="REGION LOSS",IF(E686=C686,1,0),0))</f>
        <v>0</v>
      </c>
      <c r="K686" s="15" t="n">
        <f aca="false">IF(B686="SITE LOSS",IF(COUNTIFS('Site Dockets'!$B$7:$B$24,C686,'Site Dockets'!$C$7:$C$24,F686)&gt;0,1,0),IF(B686="REGION LOSS",IF(COUNTIFS('Site Dockets'!$E$7:$E$24,C686,'Site Dockets'!$C$7:$C$24,F686)&gt;0,1,0),0))</f>
        <v>0</v>
      </c>
      <c r="L686" s="15" t="n">
        <f aca="false">IF(J686=1,0,Inputs!$B$11)</f>
        <v>100</v>
      </c>
      <c r="M686" s="15" t="n">
        <f aca="false">IF(J686=1,0,Inputs!$B$12)</f>
        <v>75</v>
      </c>
      <c r="N686" s="15" t="n">
        <f aca="false">IF(J686=1,0,IF(OR(AND(OR(B686="SITE LOSS",B686="REGION LOSS"),K686=1),AND(B686="ROLE COMPROMISE",H686=C686)),Inputs!$B$13,Inputs!$B$14))</f>
        <v>10</v>
      </c>
      <c r="O686" s="15" t="n">
        <f aca="false">IF(J686=1,0,Inputs!$B$13)</f>
        <v>20</v>
      </c>
      <c r="P686" s="15" t="n">
        <f aca="false">SUM(M686:N686)</f>
        <v>85</v>
      </c>
      <c r="Q686" s="15" t="n">
        <f aca="false">IF(J686=1,"",L686-P686)</f>
        <v>15</v>
      </c>
      <c r="R686" s="15" t="n">
        <f aca="false">IF(OR(J686=1,M686&lt;=Inputs!$B$12),1,0)</f>
        <v>1</v>
      </c>
      <c r="S686" s="15" t="n">
        <f aca="false">IF(OR(J686=1,N686&lt;=O686),1,0)</f>
        <v>1</v>
      </c>
      <c r="T686" s="15" t="str">
        <f aca="false">IF(J686=1,"OFFLINE",IF(AND(Q686&gt;=Inputs!$B$15,R686=1,S686=1,P686&lt;=L686),"PASS","FAIL"))</f>
        <v>PASS</v>
      </c>
    </row>
    <row r="687" customFormat="false" ht="15" hidden="false" customHeight="false" outlineLevel="0" collapsed="false">
      <c r="A687" s="14" t="s">
        <v>1025</v>
      </c>
      <c r="B687" s="14" t="s">
        <v>1019</v>
      </c>
      <c r="C687" s="14" t="s">
        <v>174</v>
      </c>
      <c r="D687" s="14" t="s">
        <v>171</v>
      </c>
      <c r="E687" s="14" t="s">
        <v>172</v>
      </c>
      <c r="F687" s="14" t="s">
        <v>164</v>
      </c>
      <c r="G687" s="14" t="n">
        <v>3</v>
      </c>
      <c r="H687" s="14" t="s">
        <v>158</v>
      </c>
      <c r="I687" s="14" t="s">
        <v>811</v>
      </c>
      <c r="J687" s="15" t="n">
        <f aca="false">IF(B687="SITE LOSS",IF(D687=C687,1,0),IF(B687="REGION LOSS",IF(E687=C687,1,0),0))</f>
        <v>0</v>
      </c>
      <c r="K687" s="15" t="n">
        <f aca="false">IF(B687="SITE LOSS",IF(COUNTIFS('Site Dockets'!$B$7:$B$24,C687,'Site Dockets'!$C$7:$C$24,F687)&gt;0,1,0),IF(B687="REGION LOSS",IF(COUNTIFS('Site Dockets'!$E$7:$E$24,C687,'Site Dockets'!$C$7:$C$24,F687)&gt;0,1,0),0))</f>
        <v>0</v>
      </c>
      <c r="L687" s="15" t="n">
        <f aca="false">IF(J687=1,0,Inputs!$B$11)</f>
        <v>100</v>
      </c>
      <c r="M687" s="15" t="n">
        <f aca="false">IF(J687=1,0,Inputs!$B$12)</f>
        <v>75</v>
      </c>
      <c r="N687" s="15" t="n">
        <f aca="false">IF(J687=1,0,IF(OR(AND(OR(B687="SITE LOSS",B687="REGION LOSS"),K687=1),AND(B687="ROLE COMPROMISE",H687=C687)),Inputs!$B$13,Inputs!$B$14))</f>
        <v>10</v>
      </c>
      <c r="O687" s="15" t="n">
        <f aca="false">IF(J687=1,0,Inputs!$B$13)</f>
        <v>20</v>
      </c>
      <c r="P687" s="15" t="n">
        <f aca="false">SUM(M687:N687)</f>
        <v>85</v>
      </c>
      <c r="Q687" s="15" t="n">
        <f aca="false">IF(J687=1,"",L687-P687)</f>
        <v>15</v>
      </c>
      <c r="R687" s="15" t="n">
        <f aca="false">IF(OR(J687=1,M687&lt;=Inputs!$B$12),1,0)</f>
        <v>1</v>
      </c>
      <c r="S687" s="15" t="n">
        <f aca="false">IF(OR(J687=1,N687&lt;=O687),1,0)</f>
        <v>1</v>
      </c>
      <c r="T687" s="15" t="str">
        <f aca="false">IF(J687=1,"OFFLINE",IF(AND(Q687&gt;=Inputs!$B$15,R687=1,S687=1,P687&lt;=L687),"PASS","FAIL"))</f>
        <v>PASS</v>
      </c>
    </row>
    <row r="688" customFormat="false" ht="15" hidden="false" customHeight="false" outlineLevel="0" collapsed="false">
      <c r="A688" s="14" t="s">
        <v>1025</v>
      </c>
      <c r="B688" s="14" t="s">
        <v>1019</v>
      </c>
      <c r="C688" s="14" t="s">
        <v>174</v>
      </c>
      <c r="D688" s="14" t="s">
        <v>171</v>
      </c>
      <c r="E688" s="14" t="s">
        <v>172</v>
      </c>
      <c r="F688" s="14" t="s">
        <v>164</v>
      </c>
      <c r="G688" s="14" t="n">
        <v>3</v>
      </c>
      <c r="H688" s="14" t="s">
        <v>158</v>
      </c>
      <c r="I688" s="14" t="s">
        <v>895</v>
      </c>
      <c r="J688" s="15" t="n">
        <f aca="false">IF(B688="SITE LOSS",IF(D688=C688,1,0),IF(B688="REGION LOSS",IF(E688=C688,1,0),0))</f>
        <v>0</v>
      </c>
      <c r="K688" s="15" t="n">
        <f aca="false">IF(B688="SITE LOSS",IF(COUNTIFS('Site Dockets'!$B$7:$B$24,C688,'Site Dockets'!$C$7:$C$24,F688)&gt;0,1,0),IF(B688="REGION LOSS",IF(COUNTIFS('Site Dockets'!$E$7:$E$24,C688,'Site Dockets'!$C$7:$C$24,F688)&gt;0,1,0),0))</f>
        <v>0</v>
      </c>
      <c r="L688" s="15" t="n">
        <f aca="false">IF(J688=1,0,Inputs!$B$11)</f>
        <v>100</v>
      </c>
      <c r="M688" s="15" t="n">
        <f aca="false">IF(J688=1,0,Inputs!$B$12)</f>
        <v>75</v>
      </c>
      <c r="N688" s="15" t="n">
        <f aca="false">IF(J688=1,0,IF(OR(AND(OR(B688="SITE LOSS",B688="REGION LOSS"),K688=1),AND(B688="ROLE COMPROMISE",H688=C688)),Inputs!$B$13,Inputs!$B$14))</f>
        <v>10</v>
      </c>
      <c r="O688" s="15" t="n">
        <f aca="false">IF(J688=1,0,Inputs!$B$13)</f>
        <v>20</v>
      </c>
      <c r="P688" s="15" t="n">
        <f aca="false">SUM(M688:N688)</f>
        <v>85</v>
      </c>
      <c r="Q688" s="15" t="n">
        <f aca="false">IF(J688=1,"",L688-P688)</f>
        <v>15</v>
      </c>
      <c r="R688" s="15" t="n">
        <f aca="false">IF(OR(J688=1,M688&lt;=Inputs!$B$12),1,0)</f>
        <v>1</v>
      </c>
      <c r="S688" s="15" t="n">
        <f aca="false">IF(OR(J688=1,N688&lt;=O688),1,0)</f>
        <v>1</v>
      </c>
      <c r="T688" s="15" t="str">
        <f aca="false">IF(J688=1,"OFFLINE",IF(AND(Q688&gt;=Inputs!$B$15,R688=1,S688=1,P688&lt;=L688),"PASS","FAIL"))</f>
        <v>PASS</v>
      </c>
    </row>
    <row r="689" customFormat="false" ht="15" hidden="false" customHeight="false" outlineLevel="0" collapsed="false">
      <c r="A689" s="14" t="s">
        <v>1025</v>
      </c>
      <c r="B689" s="14" t="s">
        <v>1019</v>
      </c>
      <c r="C689" s="14" t="s">
        <v>174</v>
      </c>
      <c r="D689" s="14" t="s">
        <v>171</v>
      </c>
      <c r="E689" s="14" t="s">
        <v>172</v>
      </c>
      <c r="F689" s="14" t="s">
        <v>164</v>
      </c>
      <c r="G689" s="14" t="n">
        <v>3</v>
      </c>
      <c r="H689" s="14" t="s">
        <v>158</v>
      </c>
      <c r="I689" s="14" t="s">
        <v>897</v>
      </c>
      <c r="J689" s="15" t="n">
        <f aca="false">IF(B689="SITE LOSS",IF(D689=C689,1,0),IF(B689="REGION LOSS",IF(E689=C689,1,0),0))</f>
        <v>0</v>
      </c>
      <c r="K689" s="15" t="n">
        <f aca="false">IF(B689="SITE LOSS",IF(COUNTIFS('Site Dockets'!$B$7:$B$24,C689,'Site Dockets'!$C$7:$C$24,F689)&gt;0,1,0),IF(B689="REGION LOSS",IF(COUNTIFS('Site Dockets'!$E$7:$E$24,C689,'Site Dockets'!$C$7:$C$24,F689)&gt;0,1,0),0))</f>
        <v>0</v>
      </c>
      <c r="L689" s="15" t="n">
        <f aca="false">IF(J689=1,0,Inputs!$B$11)</f>
        <v>100</v>
      </c>
      <c r="M689" s="15" t="n">
        <f aca="false">IF(J689=1,0,Inputs!$B$12)</f>
        <v>75</v>
      </c>
      <c r="N689" s="15" t="n">
        <f aca="false">IF(J689=1,0,IF(OR(AND(OR(B689="SITE LOSS",B689="REGION LOSS"),K689=1),AND(B689="ROLE COMPROMISE",H689=C689)),Inputs!$B$13,Inputs!$B$14))</f>
        <v>10</v>
      </c>
      <c r="O689" s="15" t="n">
        <f aca="false">IF(J689=1,0,Inputs!$B$13)</f>
        <v>20</v>
      </c>
      <c r="P689" s="15" t="n">
        <f aca="false">SUM(M689:N689)</f>
        <v>85</v>
      </c>
      <c r="Q689" s="15" t="n">
        <f aca="false">IF(J689=1,"",L689-P689)</f>
        <v>15</v>
      </c>
      <c r="R689" s="15" t="n">
        <f aca="false">IF(OR(J689=1,M689&lt;=Inputs!$B$12),1,0)</f>
        <v>1</v>
      </c>
      <c r="S689" s="15" t="n">
        <f aca="false">IF(OR(J689=1,N689&lt;=O689),1,0)</f>
        <v>1</v>
      </c>
      <c r="T689" s="15" t="str">
        <f aca="false">IF(J689=1,"OFFLINE",IF(AND(Q689&gt;=Inputs!$B$15,R689=1,S689=1,P689&lt;=L689),"PASS","FAIL"))</f>
        <v>PASS</v>
      </c>
    </row>
    <row r="690" customFormat="false" ht="15" hidden="false" customHeight="false" outlineLevel="0" collapsed="false">
      <c r="A690" s="14" t="s">
        <v>1025</v>
      </c>
      <c r="B690" s="14" t="s">
        <v>1019</v>
      </c>
      <c r="C690" s="14" t="s">
        <v>174</v>
      </c>
      <c r="D690" s="14" t="s">
        <v>171</v>
      </c>
      <c r="E690" s="14" t="s">
        <v>172</v>
      </c>
      <c r="F690" s="14" t="s">
        <v>164</v>
      </c>
      <c r="G690" s="14" t="n">
        <v>3</v>
      </c>
      <c r="H690" s="14" t="s">
        <v>158</v>
      </c>
      <c r="I690" s="14" t="s">
        <v>899</v>
      </c>
      <c r="J690" s="15" t="n">
        <f aca="false">IF(B690="SITE LOSS",IF(D690=C690,1,0),IF(B690="REGION LOSS",IF(E690=C690,1,0),0))</f>
        <v>0</v>
      </c>
      <c r="K690" s="15" t="n">
        <f aca="false">IF(B690="SITE LOSS",IF(COUNTIFS('Site Dockets'!$B$7:$B$24,C690,'Site Dockets'!$C$7:$C$24,F690)&gt;0,1,0),IF(B690="REGION LOSS",IF(COUNTIFS('Site Dockets'!$E$7:$E$24,C690,'Site Dockets'!$C$7:$C$24,F690)&gt;0,1,0),0))</f>
        <v>0</v>
      </c>
      <c r="L690" s="15" t="n">
        <f aca="false">IF(J690=1,0,Inputs!$B$11)</f>
        <v>100</v>
      </c>
      <c r="M690" s="15" t="n">
        <f aca="false">IF(J690=1,0,Inputs!$B$12)</f>
        <v>75</v>
      </c>
      <c r="N690" s="15" t="n">
        <f aca="false">IF(J690=1,0,IF(OR(AND(OR(B690="SITE LOSS",B690="REGION LOSS"),K690=1),AND(B690="ROLE COMPROMISE",H690=C690)),Inputs!$B$13,Inputs!$B$14))</f>
        <v>10</v>
      </c>
      <c r="O690" s="15" t="n">
        <f aca="false">IF(J690=1,0,Inputs!$B$13)</f>
        <v>20</v>
      </c>
      <c r="P690" s="15" t="n">
        <f aca="false">SUM(M690:N690)</f>
        <v>85</v>
      </c>
      <c r="Q690" s="15" t="n">
        <f aca="false">IF(J690=1,"",L690-P690)</f>
        <v>15</v>
      </c>
      <c r="R690" s="15" t="n">
        <f aca="false">IF(OR(J690=1,M690&lt;=Inputs!$B$12),1,0)</f>
        <v>1</v>
      </c>
      <c r="S690" s="15" t="n">
        <f aca="false">IF(OR(J690=1,N690&lt;=O690),1,0)</f>
        <v>1</v>
      </c>
      <c r="T690" s="15" t="str">
        <f aca="false">IF(J690=1,"OFFLINE",IF(AND(Q690&gt;=Inputs!$B$15,R690=1,S690=1,P690&lt;=L690),"PASS","FAIL"))</f>
        <v>PASS</v>
      </c>
    </row>
    <row r="691" customFormat="false" ht="15" hidden="false" customHeight="false" outlineLevel="0" collapsed="false">
      <c r="A691" s="14" t="s">
        <v>1025</v>
      </c>
      <c r="B691" s="14" t="s">
        <v>1019</v>
      </c>
      <c r="C691" s="14" t="s">
        <v>174</v>
      </c>
      <c r="D691" s="14" t="s">
        <v>174</v>
      </c>
      <c r="E691" s="14" t="s">
        <v>152</v>
      </c>
      <c r="F691" s="14" t="s">
        <v>175</v>
      </c>
      <c r="G691" s="14" t="n">
        <v>1</v>
      </c>
      <c r="H691" s="14" t="s">
        <v>154</v>
      </c>
      <c r="I691" s="14" t="s">
        <v>890</v>
      </c>
      <c r="J691" s="15" t="n">
        <f aca="false">IF(B691="SITE LOSS",IF(D691=C691,1,0),IF(B691="REGION LOSS",IF(E691=C691,1,0),0))</f>
        <v>1</v>
      </c>
      <c r="K691" s="15" t="n">
        <f aca="false">IF(B691="SITE LOSS",IF(COUNTIFS('Site Dockets'!$B$7:$B$24,C691,'Site Dockets'!$C$7:$C$24,F691)&gt;0,1,0),IF(B691="REGION LOSS",IF(COUNTIFS('Site Dockets'!$E$7:$E$24,C691,'Site Dockets'!$C$7:$C$24,F691)&gt;0,1,0),0))</f>
        <v>1</v>
      </c>
      <c r="L691" s="15" t="n">
        <f aca="false">IF(J691=1,0,Inputs!$B$11)</f>
        <v>0</v>
      </c>
      <c r="M691" s="15" t="n">
        <f aca="false">IF(J691=1,0,Inputs!$B$12)</f>
        <v>0</v>
      </c>
      <c r="N691" s="15" t="n">
        <f aca="false">IF(J691=1,0,IF(OR(AND(OR(B691="SITE LOSS",B691="REGION LOSS"),K691=1),AND(B691="ROLE COMPROMISE",H691=C691)),Inputs!$B$13,Inputs!$B$14))</f>
        <v>0</v>
      </c>
      <c r="O691" s="15" t="n">
        <f aca="false">IF(J691=1,0,Inputs!$B$13)</f>
        <v>0</v>
      </c>
      <c r="P691" s="15" t="n">
        <f aca="false">SUM(M691:N691)</f>
        <v>0</v>
      </c>
      <c r="Q691" s="15" t="str">
        <f aca="false">IF(J691=1,"",L691-P691)</f>
        <v/>
      </c>
      <c r="R691" s="15" t="n">
        <f aca="false">IF(OR(J691=1,M691&lt;=Inputs!$B$12),1,0)</f>
        <v>1</v>
      </c>
      <c r="S691" s="15" t="n">
        <f aca="false">IF(OR(J691=1,N691&lt;=O691),1,0)</f>
        <v>1</v>
      </c>
      <c r="T691" s="15" t="str">
        <f aca="false">IF(J691=1,"OFFLINE",IF(AND(Q691&gt;=Inputs!$B$15,R691=1,S691=1,P691&lt;=L691),"PASS","FAIL"))</f>
        <v>OFFLINE</v>
      </c>
    </row>
    <row r="692" customFormat="false" ht="15" hidden="false" customHeight="false" outlineLevel="0" collapsed="false">
      <c r="A692" s="14" t="s">
        <v>1025</v>
      </c>
      <c r="B692" s="14" t="s">
        <v>1019</v>
      </c>
      <c r="C692" s="14" t="s">
        <v>174</v>
      </c>
      <c r="D692" s="14" t="s">
        <v>174</v>
      </c>
      <c r="E692" s="14" t="s">
        <v>152</v>
      </c>
      <c r="F692" s="14" t="s">
        <v>175</v>
      </c>
      <c r="G692" s="14" t="n">
        <v>1</v>
      </c>
      <c r="H692" s="14" t="s">
        <v>154</v>
      </c>
      <c r="I692" s="14" t="s">
        <v>892</v>
      </c>
      <c r="J692" s="15" t="n">
        <f aca="false">IF(B692="SITE LOSS",IF(D692=C692,1,0),IF(B692="REGION LOSS",IF(E692=C692,1,0),0))</f>
        <v>1</v>
      </c>
      <c r="K692" s="15" t="n">
        <f aca="false">IF(B692="SITE LOSS",IF(COUNTIFS('Site Dockets'!$B$7:$B$24,C692,'Site Dockets'!$C$7:$C$24,F692)&gt;0,1,0),IF(B692="REGION LOSS",IF(COUNTIFS('Site Dockets'!$E$7:$E$24,C692,'Site Dockets'!$C$7:$C$24,F692)&gt;0,1,0),0))</f>
        <v>1</v>
      </c>
      <c r="L692" s="15" t="n">
        <f aca="false">IF(J692=1,0,Inputs!$B$11)</f>
        <v>0</v>
      </c>
      <c r="M692" s="15" t="n">
        <f aca="false">IF(J692=1,0,Inputs!$B$12)</f>
        <v>0</v>
      </c>
      <c r="N692" s="15" t="n">
        <f aca="false">IF(J692=1,0,IF(OR(AND(OR(B692="SITE LOSS",B692="REGION LOSS"),K692=1),AND(B692="ROLE COMPROMISE",H692=C692)),Inputs!$B$13,Inputs!$B$14))</f>
        <v>0</v>
      </c>
      <c r="O692" s="15" t="n">
        <f aca="false">IF(J692=1,0,Inputs!$B$13)</f>
        <v>0</v>
      </c>
      <c r="P692" s="15" t="n">
        <f aca="false">SUM(M692:N692)</f>
        <v>0</v>
      </c>
      <c r="Q692" s="15" t="str">
        <f aca="false">IF(J692=1,"",L692-P692)</f>
        <v/>
      </c>
      <c r="R692" s="15" t="n">
        <f aca="false">IF(OR(J692=1,M692&lt;=Inputs!$B$12),1,0)</f>
        <v>1</v>
      </c>
      <c r="S692" s="15" t="n">
        <f aca="false">IF(OR(J692=1,N692&lt;=O692),1,0)</f>
        <v>1</v>
      </c>
      <c r="T692" s="15" t="str">
        <f aca="false">IF(J692=1,"OFFLINE",IF(AND(Q692&gt;=Inputs!$B$15,R692=1,S692=1,P692&lt;=L692),"PASS","FAIL"))</f>
        <v>OFFLINE</v>
      </c>
    </row>
    <row r="693" customFormat="false" ht="15" hidden="false" customHeight="false" outlineLevel="0" collapsed="false">
      <c r="A693" s="14" t="s">
        <v>1025</v>
      </c>
      <c r="B693" s="14" t="s">
        <v>1019</v>
      </c>
      <c r="C693" s="14" t="s">
        <v>174</v>
      </c>
      <c r="D693" s="14" t="s">
        <v>174</v>
      </c>
      <c r="E693" s="14" t="s">
        <v>152</v>
      </c>
      <c r="F693" s="14" t="s">
        <v>175</v>
      </c>
      <c r="G693" s="14" t="n">
        <v>1</v>
      </c>
      <c r="H693" s="14" t="s">
        <v>154</v>
      </c>
      <c r="I693" s="14" t="s">
        <v>811</v>
      </c>
      <c r="J693" s="15" t="n">
        <f aca="false">IF(B693="SITE LOSS",IF(D693=C693,1,0),IF(B693="REGION LOSS",IF(E693=C693,1,0),0))</f>
        <v>1</v>
      </c>
      <c r="K693" s="15" t="n">
        <f aca="false">IF(B693="SITE LOSS",IF(COUNTIFS('Site Dockets'!$B$7:$B$24,C693,'Site Dockets'!$C$7:$C$24,F693)&gt;0,1,0),IF(B693="REGION LOSS",IF(COUNTIFS('Site Dockets'!$E$7:$E$24,C693,'Site Dockets'!$C$7:$C$24,F693)&gt;0,1,0),0))</f>
        <v>1</v>
      </c>
      <c r="L693" s="15" t="n">
        <f aca="false">IF(J693=1,0,Inputs!$B$11)</f>
        <v>0</v>
      </c>
      <c r="M693" s="15" t="n">
        <f aca="false">IF(J693=1,0,Inputs!$B$12)</f>
        <v>0</v>
      </c>
      <c r="N693" s="15" t="n">
        <f aca="false">IF(J693=1,0,IF(OR(AND(OR(B693="SITE LOSS",B693="REGION LOSS"),K693=1),AND(B693="ROLE COMPROMISE",H693=C693)),Inputs!$B$13,Inputs!$B$14))</f>
        <v>0</v>
      </c>
      <c r="O693" s="15" t="n">
        <f aca="false">IF(J693=1,0,Inputs!$B$13)</f>
        <v>0</v>
      </c>
      <c r="P693" s="15" t="n">
        <f aca="false">SUM(M693:N693)</f>
        <v>0</v>
      </c>
      <c r="Q693" s="15" t="str">
        <f aca="false">IF(J693=1,"",L693-P693)</f>
        <v/>
      </c>
      <c r="R693" s="15" t="n">
        <f aca="false">IF(OR(J693=1,M693&lt;=Inputs!$B$12),1,0)</f>
        <v>1</v>
      </c>
      <c r="S693" s="15" t="n">
        <f aca="false">IF(OR(J693=1,N693&lt;=O693),1,0)</f>
        <v>1</v>
      </c>
      <c r="T693" s="15" t="str">
        <f aca="false">IF(J693=1,"OFFLINE",IF(AND(Q693&gt;=Inputs!$B$15,R693=1,S693=1,P693&lt;=L693),"PASS","FAIL"))</f>
        <v>OFFLINE</v>
      </c>
    </row>
    <row r="694" customFormat="false" ht="15" hidden="false" customHeight="false" outlineLevel="0" collapsed="false">
      <c r="A694" s="14" t="s">
        <v>1025</v>
      </c>
      <c r="B694" s="14" t="s">
        <v>1019</v>
      </c>
      <c r="C694" s="14" t="s">
        <v>174</v>
      </c>
      <c r="D694" s="14" t="s">
        <v>174</v>
      </c>
      <c r="E694" s="14" t="s">
        <v>152</v>
      </c>
      <c r="F694" s="14" t="s">
        <v>175</v>
      </c>
      <c r="G694" s="14" t="n">
        <v>1</v>
      </c>
      <c r="H694" s="14" t="s">
        <v>154</v>
      </c>
      <c r="I694" s="14" t="s">
        <v>895</v>
      </c>
      <c r="J694" s="15" t="n">
        <f aca="false">IF(B694="SITE LOSS",IF(D694=C694,1,0),IF(B694="REGION LOSS",IF(E694=C694,1,0),0))</f>
        <v>1</v>
      </c>
      <c r="K694" s="15" t="n">
        <f aca="false">IF(B694="SITE LOSS",IF(COUNTIFS('Site Dockets'!$B$7:$B$24,C694,'Site Dockets'!$C$7:$C$24,F694)&gt;0,1,0),IF(B694="REGION LOSS",IF(COUNTIFS('Site Dockets'!$E$7:$E$24,C694,'Site Dockets'!$C$7:$C$24,F694)&gt;0,1,0),0))</f>
        <v>1</v>
      </c>
      <c r="L694" s="15" t="n">
        <f aca="false">IF(J694=1,0,Inputs!$B$11)</f>
        <v>0</v>
      </c>
      <c r="M694" s="15" t="n">
        <f aca="false">IF(J694=1,0,Inputs!$B$12)</f>
        <v>0</v>
      </c>
      <c r="N694" s="15" t="n">
        <f aca="false">IF(J694=1,0,IF(OR(AND(OR(B694="SITE LOSS",B694="REGION LOSS"),K694=1),AND(B694="ROLE COMPROMISE",H694=C694)),Inputs!$B$13,Inputs!$B$14))</f>
        <v>0</v>
      </c>
      <c r="O694" s="15" t="n">
        <f aca="false">IF(J694=1,0,Inputs!$B$13)</f>
        <v>0</v>
      </c>
      <c r="P694" s="15" t="n">
        <f aca="false">SUM(M694:N694)</f>
        <v>0</v>
      </c>
      <c r="Q694" s="15" t="str">
        <f aca="false">IF(J694=1,"",L694-P694)</f>
        <v/>
      </c>
      <c r="R694" s="15" t="n">
        <f aca="false">IF(OR(J694=1,M694&lt;=Inputs!$B$12),1,0)</f>
        <v>1</v>
      </c>
      <c r="S694" s="15" t="n">
        <f aca="false">IF(OR(J694=1,N694&lt;=O694),1,0)</f>
        <v>1</v>
      </c>
      <c r="T694" s="15" t="str">
        <f aca="false">IF(J694=1,"OFFLINE",IF(AND(Q694&gt;=Inputs!$B$15,R694=1,S694=1,P694&lt;=L694),"PASS","FAIL"))</f>
        <v>OFFLINE</v>
      </c>
    </row>
    <row r="695" customFormat="false" ht="15" hidden="false" customHeight="false" outlineLevel="0" collapsed="false">
      <c r="A695" s="14" t="s">
        <v>1025</v>
      </c>
      <c r="B695" s="14" t="s">
        <v>1019</v>
      </c>
      <c r="C695" s="14" t="s">
        <v>174</v>
      </c>
      <c r="D695" s="14" t="s">
        <v>174</v>
      </c>
      <c r="E695" s="14" t="s">
        <v>152</v>
      </c>
      <c r="F695" s="14" t="s">
        <v>175</v>
      </c>
      <c r="G695" s="14" t="n">
        <v>1</v>
      </c>
      <c r="H695" s="14" t="s">
        <v>154</v>
      </c>
      <c r="I695" s="14" t="s">
        <v>897</v>
      </c>
      <c r="J695" s="15" t="n">
        <f aca="false">IF(B695="SITE LOSS",IF(D695=C695,1,0),IF(B695="REGION LOSS",IF(E695=C695,1,0),0))</f>
        <v>1</v>
      </c>
      <c r="K695" s="15" t="n">
        <f aca="false">IF(B695="SITE LOSS",IF(COUNTIFS('Site Dockets'!$B$7:$B$24,C695,'Site Dockets'!$C$7:$C$24,F695)&gt;0,1,0),IF(B695="REGION LOSS",IF(COUNTIFS('Site Dockets'!$E$7:$E$24,C695,'Site Dockets'!$C$7:$C$24,F695)&gt;0,1,0),0))</f>
        <v>1</v>
      </c>
      <c r="L695" s="15" t="n">
        <f aca="false">IF(J695=1,0,Inputs!$B$11)</f>
        <v>0</v>
      </c>
      <c r="M695" s="15" t="n">
        <f aca="false">IF(J695=1,0,Inputs!$B$12)</f>
        <v>0</v>
      </c>
      <c r="N695" s="15" t="n">
        <f aca="false">IF(J695=1,0,IF(OR(AND(OR(B695="SITE LOSS",B695="REGION LOSS"),K695=1),AND(B695="ROLE COMPROMISE",H695=C695)),Inputs!$B$13,Inputs!$B$14))</f>
        <v>0</v>
      </c>
      <c r="O695" s="15" t="n">
        <f aca="false">IF(J695=1,0,Inputs!$B$13)</f>
        <v>0</v>
      </c>
      <c r="P695" s="15" t="n">
        <f aca="false">SUM(M695:N695)</f>
        <v>0</v>
      </c>
      <c r="Q695" s="15" t="str">
        <f aca="false">IF(J695=1,"",L695-P695)</f>
        <v/>
      </c>
      <c r="R695" s="15" t="n">
        <f aca="false">IF(OR(J695=1,M695&lt;=Inputs!$B$12),1,0)</f>
        <v>1</v>
      </c>
      <c r="S695" s="15" t="n">
        <f aca="false">IF(OR(J695=1,N695&lt;=O695),1,0)</f>
        <v>1</v>
      </c>
      <c r="T695" s="15" t="str">
        <f aca="false">IF(J695=1,"OFFLINE",IF(AND(Q695&gt;=Inputs!$B$15,R695=1,S695=1,P695&lt;=L695),"PASS","FAIL"))</f>
        <v>OFFLINE</v>
      </c>
    </row>
    <row r="696" customFormat="false" ht="15" hidden="false" customHeight="false" outlineLevel="0" collapsed="false">
      <c r="A696" s="14" t="s">
        <v>1025</v>
      </c>
      <c r="B696" s="14" t="s">
        <v>1019</v>
      </c>
      <c r="C696" s="14" t="s">
        <v>174</v>
      </c>
      <c r="D696" s="14" t="s">
        <v>174</v>
      </c>
      <c r="E696" s="14" t="s">
        <v>152</v>
      </c>
      <c r="F696" s="14" t="s">
        <v>175</v>
      </c>
      <c r="G696" s="14" t="n">
        <v>1</v>
      </c>
      <c r="H696" s="14" t="s">
        <v>154</v>
      </c>
      <c r="I696" s="14" t="s">
        <v>899</v>
      </c>
      <c r="J696" s="15" t="n">
        <f aca="false">IF(B696="SITE LOSS",IF(D696=C696,1,0),IF(B696="REGION LOSS",IF(E696=C696,1,0),0))</f>
        <v>1</v>
      </c>
      <c r="K696" s="15" t="n">
        <f aca="false">IF(B696="SITE LOSS",IF(COUNTIFS('Site Dockets'!$B$7:$B$24,C696,'Site Dockets'!$C$7:$C$24,F696)&gt;0,1,0),IF(B696="REGION LOSS",IF(COUNTIFS('Site Dockets'!$E$7:$E$24,C696,'Site Dockets'!$C$7:$C$24,F696)&gt;0,1,0),0))</f>
        <v>1</v>
      </c>
      <c r="L696" s="15" t="n">
        <f aca="false">IF(J696=1,0,Inputs!$B$11)</f>
        <v>0</v>
      </c>
      <c r="M696" s="15" t="n">
        <f aca="false">IF(J696=1,0,Inputs!$B$12)</f>
        <v>0</v>
      </c>
      <c r="N696" s="15" t="n">
        <f aca="false">IF(J696=1,0,IF(OR(AND(OR(B696="SITE LOSS",B696="REGION LOSS"),K696=1),AND(B696="ROLE COMPROMISE",H696=C696)),Inputs!$B$13,Inputs!$B$14))</f>
        <v>0</v>
      </c>
      <c r="O696" s="15" t="n">
        <f aca="false">IF(J696=1,0,Inputs!$B$13)</f>
        <v>0</v>
      </c>
      <c r="P696" s="15" t="n">
        <f aca="false">SUM(M696:N696)</f>
        <v>0</v>
      </c>
      <c r="Q696" s="15" t="str">
        <f aca="false">IF(J696=1,"",L696-P696)</f>
        <v/>
      </c>
      <c r="R696" s="15" t="n">
        <f aca="false">IF(OR(J696=1,M696&lt;=Inputs!$B$12),1,0)</f>
        <v>1</v>
      </c>
      <c r="S696" s="15" t="n">
        <f aca="false">IF(OR(J696=1,N696&lt;=O696),1,0)</f>
        <v>1</v>
      </c>
      <c r="T696" s="15" t="str">
        <f aca="false">IF(J696=1,"OFFLINE",IF(AND(Q696&gt;=Inputs!$B$15,R696=1,S696=1,P696&lt;=L696),"PASS","FAIL"))</f>
        <v>OFFLINE</v>
      </c>
    </row>
    <row r="697" customFormat="false" ht="15" hidden="false" customHeight="false" outlineLevel="0" collapsed="false">
      <c r="A697" s="14" t="s">
        <v>1025</v>
      </c>
      <c r="B697" s="14" t="s">
        <v>1019</v>
      </c>
      <c r="C697" s="14" t="s">
        <v>174</v>
      </c>
      <c r="D697" s="14" t="s">
        <v>178</v>
      </c>
      <c r="E697" s="14" t="s">
        <v>169</v>
      </c>
      <c r="F697" s="14" t="s">
        <v>175</v>
      </c>
      <c r="G697" s="14" t="n">
        <v>2</v>
      </c>
      <c r="H697" s="14" t="s">
        <v>153</v>
      </c>
      <c r="I697" s="14" t="s">
        <v>890</v>
      </c>
      <c r="J697" s="15" t="n">
        <f aca="false">IF(B697="SITE LOSS",IF(D697=C697,1,0),IF(B697="REGION LOSS",IF(E697=C697,1,0),0))</f>
        <v>0</v>
      </c>
      <c r="K697" s="15" t="n">
        <f aca="false">IF(B697="SITE LOSS",IF(COUNTIFS('Site Dockets'!$B$7:$B$24,C697,'Site Dockets'!$C$7:$C$24,F697)&gt;0,1,0),IF(B697="REGION LOSS",IF(COUNTIFS('Site Dockets'!$E$7:$E$24,C697,'Site Dockets'!$C$7:$C$24,F697)&gt;0,1,0),0))</f>
        <v>1</v>
      </c>
      <c r="L697" s="15" t="n">
        <f aca="false">IF(J697=1,0,Inputs!$B$11)</f>
        <v>100</v>
      </c>
      <c r="M697" s="15" t="n">
        <f aca="false">IF(J697=1,0,Inputs!$B$12)</f>
        <v>75</v>
      </c>
      <c r="N697" s="15" t="n">
        <f aca="false">IF(J697=1,0,IF(OR(AND(OR(B697="SITE LOSS",B697="REGION LOSS"),K697=1),AND(B697="ROLE COMPROMISE",H697=C697)),Inputs!$B$13,Inputs!$B$14))</f>
        <v>20</v>
      </c>
      <c r="O697" s="15" t="n">
        <f aca="false">IF(J697=1,0,Inputs!$B$13)</f>
        <v>20</v>
      </c>
      <c r="P697" s="15" t="n">
        <f aca="false">SUM(M697:N697)</f>
        <v>95</v>
      </c>
      <c r="Q697" s="15" t="n">
        <f aca="false">IF(J697=1,"",L697-P697)</f>
        <v>5</v>
      </c>
      <c r="R697" s="15" t="n">
        <f aca="false">IF(OR(J697=1,M697&lt;=Inputs!$B$12),1,0)</f>
        <v>1</v>
      </c>
      <c r="S697" s="15" t="n">
        <f aca="false">IF(OR(J697=1,N697&lt;=O697),1,0)</f>
        <v>1</v>
      </c>
      <c r="T697" s="15" t="str">
        <f aca="false">IF(J697=1,"OFFLINE",IF(AND(Q697&gt;=Inputs!$B$15,R697=1,S697=1,P697&lt;=L697),"PASS","FAIL"))</f>
        <v>PASS</v>
      </c>
    </row>
    <row r="698" customFormat="false" ht="15" hidden="false" customHeight="false" outlineLevel="0" collapsed="false">
      <c r="A698" s="14" t="s">
        <v>1025</v>
      </c>
      <c r="B698" s="14" t="s">
        <v>1019</v>
      </c>
      <c r="C698" s="14" t="s">
        <v>174</v>
      </c>
      <c r="D698" s="14" t="s">
        <v>178</v>
      </c>
      <c r="E698" s="14" t="s">
        <v>169</v>
      </c>
      <c r="F698" s="14" t="s">
        <v>175</v>
      </c>
      <c r="G698" s="14" t="n">
        <v>2</v>
      </c>
      <c r="H698" s="14" t="s">
        <v>153</v>
      </c>
      <c r="I698" s="14" t="s">
        <v>892</v>
      </c>
      <c r="J698" s="15" t="n">
        <f aca="false">IF(B698="SITE LOSS",IF(D698=C698,1,0),IF(B698="REGION LOSS",IF(E698=C698,1,0),0))</f>
        <v>0</v>
      </c>
      <c r="K698" s="15" t="n">
        <f aca="false">IF(B698="SITE LOSS",IF(COUNTIFS('Site Dockets'!$B$7:$B$24,C698,'Site Dockets'!$C$7:$C$24,F698)&gt;0,1,0),IF(B698="REGION LOSS",IF(COUNTIFS('Site Dockets'!$E$7:$E$24,C698,'Site Dockets'!$C$7:$C$24,F698)&gt;0,1,0),0))</f>
        <v>1</v>
      </c>
      <c r="L698" s="15" t="n">
        <f aca="false">IF(J698=1,0,Inputs!$B$11)</f>
        <v>100</v>
      </c>
      <c r="M698" s="15" t="n">
        <f aca="false">IF(J698=1,0,Inputs!$B$12)</f>
        <v>75</v>
      </c>
      <c r="N698" s="15" t="n">
        <f aca="false">IF(J698=1,0,IF(OR(AND(OR(B698="SITE LOSS",B698="REGION LOSS"),K698=1),AND(B698="ROLE COMPROMISE",H698=C698)),Inputs!$B$13,Inputs!$B$14))</f>
        <v>20</v>
      </c>
      <c r="O698" s="15" t="n">
        <f aca="false">IF(J698=1,0,Inputs!$B$13)</f>
        <v>20</v>
      </c>
      <c r="P698" s="15" t="n">
        <f aca="false">SUM(M698:N698)</f>
        <v>95</v>
      </c>
      <c r="Q698" s="15" t="n">
        <f aca="false">IF(J698=1,"",L698-P698)</f>
        <v>5</v>
      </c>
      <c r="R698" s="15" t="n">
        <f aca="false">IF(OR(J698=1,M698&lt;=Inputs!$B$12),1,0)</f>
        <v>1</v>
      </c>
      <c r="S698" s="15" t="n">
        <f aca="false">IF(OR(J698=1,N698&lt;=O698),1,0)</f>
        <v>1</v>
      </c>
      <c r="T698" s="15" t="str">
        <f aca="false">IF(J698=1,"OFFLINE",IF(AND(Q698&gt;=Inputs!$B$15,R698=1,S698=1,P698&lt;=L698),"PASS","FAIL"))</f>
        <v>PASS</v>
      </c>
    </row>
    <row r="699" customFormat="false" ht="15" hidden="false" customHeight="false" outlineLevel="0" collapsed="false">
      <c r="A699" s="14" t="s">
        <v>1025</v>
      </c>
      <c r="B699" s="14" t="s">
        <v>1019</v>
      </c>
      <c r="C699" s="14" t="s">
        <v>174</v>
      </c>
      <c r="D699" s="14" t="s">
        <v>178</v>
      </c>
      <c r="E699" s="14" t="s">
        <v>169</v>
      </c>
      <c r="F699" s="14" t="s">
        <v>175</v>
      </c>
      <c r="G699" s="14" t="n">
        <v>2</v>
      </c>
      <c r="H699" s="14" t="s">
        <v>153</v>
      </c>
      <c r="I699" s="14" t="s">
        <v>811</v>
      </c>
      <c r="J699" s="15" t="n">
        <f aca="false">IF(B699="SITE LOSS",IF(D699=C699,1,0),IF(B699="REGION LOSS",IF(E699=C699,1,0),0))</f>
        <v>0</v>
      </c>
      <c r="K699" s="15" t="n">
        <f aca="false">IF(B699="SITE LOSS",IF(COUNTIFS('Site Dockets'!$B$7:$B$24,C699,'Site Dockets'!$C$7:$C$24,F699)&gt;0,1,0),IF(B699="REGION LOSS",IF(COUNTIFS('Site Dockets'!$E$7:$E$24,C699,'Site Dockets'!$C$7:$C$24,F699)&gt;0,1,0),0))</f>
        <v>1</v>
      </c>
      <c r="L699" s="15" t="n">
        <f aca="false">IF(J699=1,0,Inputs!$B$11)</f>
        <v>100</v>
      </c>
      <c r="M699" s="15" t="n">
        <f aca="false">IF(J699=1,0,Inputs!$B$12)</f>
        <v>75</v>
      </c>
      <c r="N699" s="15" t="n">
        <f aca="false">IF(J699=1,0,IF(OR(AND(OR(B699="SITE LOSS",B699="REGION LOSS"),K699=1),AND(B699="ROLE COMPROMISE",H699=C699)),Inputs!$B$13,Inputs!$B$14))</f>
        <v>20</v>
      </c>
      <c r="O699" s="15" t="n">
        <f aca="false">IF(J699=1,0,Inputs!$B$13)</f>
        <v>20</v>
      </c>
      <c r="P699" s="15" t="n">
        <f aca="false">SUM(M699:N699)</f>
        <v>95</v>
      </c>
      <c r="Q699" s="15" t="n">
        <f aca="false">IF(J699=1,"",L699-P699)</f>
        <v>5</v>
      </c>
      <c r="R699" s="15" t="n">
        <f aca="false">IF(OR(J699=1,M699&lt;=Inputs!$B$12),1,0)</f>
        <v>1</v>
      </c>
      <c r="S699" s="15" t="n">
        <f aca="false">IF(OR(J699=1,N699&lt;=O699),1,0)</f>
        <v>1</v>
      </c>
      <c r="T699" s="15" t="str">
        <f aca="false">IF(J699=1,"OFFLINE",IF(AND(Q699&gt;=Inputs!$B$15,R699=1,S699=1,P699&lt;=L699),"PASS","FAIL"))</f>
        <v>PASS</v>
      </c>
    </row>
    <row r="700" customFormat="false" ht="15" hidden="false" customHeight="false" outlineLevel="0" collapsed="false">
      <c r="A700" s="14" t="s">
        <v>1025</v>
      </c>
      <c r="B700" s="14" t="s">
        <v>1019</v>
      </c>
      <c r="C700" s="14" t="s">
        <v>174</v>
      </c>
      <c r="D700" s="14" t="s">
        <v>178</v>
      </c>
      <c r="E700" s="14" t="s">
        <v>169</v>
      </c>
      <c r="F700" s="14" t="s">
        <v>175</v>
      </c>
      <c r="G700" s="14" t="n">
        <v>2</v>
      </c>
      <c r="H700" s="14" t="s">
        <v>153</v>
      </c>
      <c r="I700" s="14" t="s">
        <v>895</v>
      </c>
      <c r="J700" s="15" t="n">
        <f aca="false">IF(B700="SITE LOSS",IF(D700=C700,1,0),IF(B700="REGION LOSS",IF(E700=C700,1,0),0))</f>
        <v>0</v>
      </c>
      <c r="K700" s="15" t="n">
        <f aca="false">IF(B700="SITE LOSS",IF(COUNTIFS('Site Dockets'!$B$7:$B$24,C700,'Site Dockets'!$C$7:$C$24,F700)&gt;0,1,0),IF(B700="REGION LOSS",IF(COUNTIFS('Site Dockets'!$E$7:$E$24,C700,'Site Dockets'!$C$7:$C$24,F700)&gt;0,1,0),0))</f>
        <v>1</v>
      </c>
      <c r="L700" s="15" t="n">
        <f aca="false">IF(J700=1,0,Inputs!$B$11)</f>
        <v>100</v>
      </c>
      <c r="M700" s="15" t="n">
        <f aca="false">IF(J700=1,0,Inputs!$B$12)</f>
        <v>75</v>
      </c>
      <c r="N700" s="15" t="n">
        <f aca="false">IF(J700=1,0,IF(OR(AND(OR(B700="SITE LOSS",B700="REGION LOSS"),K700=1),AND(B700="ROLE COMPROMISE",H700=C700)),Inputs!$B$13,Inputs!$B$14))</f>
        <v>20</v>
      </c>
      <c r="O700" s="15" t="n">
        <f aca="false">IF(J700=1,0,Inputs!$B$13)</f>
        <v>20</v>
      </c>
      <c r="P700" s="15" t="n">
        <f aca="false">SUM(M700:N700)</f>
        <v>95</v>
      </c>
      <c r="Q700" s="15" t="n">
        <f aca="false">IF(J700=1,"",L700-P700)</f>
        <v>5</v>
      </c>
      <c r="R700" s="15" t="n">
        <f aca="false">IF(OR(J700=1,M700&lt;=Inputs!$B$12),1,0)</f>
        <v>1</v>
      </c>
      <c r="S700" s="15" t="n">
        <f aca="false">IF(OR(J700=1,N700&lt;=O700),1,0)</f>
        <v>1</v>
      </c>
      <c r="T700" s="15" t="str">
        <f aca="false">IF(J700=1,"OFFLINE",IF(AND(Q700&gt;=Inputs!$B$15,R700=1,S700=1,P700&lt;=L700),"PASS","FAIL"))</f>
        <v>PASS</v>
      </c>
    </row>
    <row r="701" customFormat="false" ht="15" hidden="false" customHeight="false" outlineLevel="0" collapsed="false">
      <c r="A701" s="14" t="s">
        <v>1025</v>
      </c>
      <c r="B701" s="14" t="s">
        <v>1019</v>
      </c>
      <c r="C701" s="14" t="s">
        <v>174</v>
      </c>
      <c r="D701" s="14" t="s">
        <v>178</v>
      </c>
      <c r="E701" s="14" t="s">
        <v>169</v>
      </c>
      <c r="F701" s="14" t="s">
        <v>175</v>
      </c>
      <c r="G701" s="14" t="n">
        <v>2</v>
      </c>
      <c r="H701" s="14" t="s">
        <v>153</v>
      </c>
      <c r="I701" s="14" t="s">
        <v>897</v>
      </c>
      <c r="J701" s="15" t="n">
        <f aca="false">IF(B701="SITE LOSS",IF(D701=C701,1,0),IF(B701="REGION LOSS",IF(E701=C701,1,0),0))</f>
        <v>0</v>
      </c>
      <c r="K701" s="15" t="n">
        <f aca="false">IF(B701="SITE LOSS",IF(COUNTIFS('Site Dockets'!$B$7:$B$24,C701,'Site Dockets'!$C$7:$C$24,F701)&gt;0,1,0),IF(B701="REGION LOSS",IF(COUNTIFS('Site Dockets'!$E$7:$E$24,C701,'Site Dockets'!$C$7:$C$24,F701)&gt;0,1,0),0))</f>
        <v>1</v>
      </c>
      <c r="L701" s="15" t="n">
        <f aca="false">IF(J701=1,0,Inputs!$B$11)</f>
        <v>100</v>
      </c>
      <c r="M701" s="15" t="n">
        <f aca="false">IF(J701=1,0,Inputs!$B$12)</f>
        <v>75</v>
      </c>
      <c r="N701" s="15" t="n">
        <f aca="false">IF(J701=1,0,IF(OR(AND(OR(B701="SITE LOSS",B701="REGION LOSS"),K701=1),AND(B701="ROLE COMPROMISE",H701=C701)),Inputs!$B$13,Inputs!$B$14))</f>
        <v>20</v>
      </c>
      <c r="O701" s="15" t="n">
        <f aca="false">IF(J701=1,0,Inputs!$B$13)</f>
        <v>20</v>
      </c>
      <c r="P701" s="15" t="n">
        <f aca="false">SUM(M701:N701)</f>
        <v>95</v>
      </c>
      <c r="Q701" s="15" t="n">
        <f aca="false">IF(J701=1,"",L701-P701)</f>
        <v>5</v>
      </c>
      <c r="R701" s="15" t="n">
        <f aca="false">IF(OR(J701=1,M701&lt;=Inputs!$B$12),1,0)</f>
        <v>1</v>
      </c>
      <c r="S701" s="15" t="n">
        <f aca="false">IF(OR(J701=1,N701&lt;=O701),1,0)</f>
        <v>1</v>
      </c>
      <c r="T701" s="15" t="str">
        <f aca="false">IF(J701=1,"OFFLINE",IF(AND(Q701&gt;=Inputs!$B$15,R701=1,S701=1,P701&lt;=L701),"PASS","FAIL"))</f>
        <v>PASS</v>
      </c>
    </row>
    <row r="702" customFormat="false" ht="15" hidden="false" customHeight="false" outlineLevel="0" collapsed="false">
      <c r="A702" s="14" t="s">
        <v>1025</v>
      </c>
      <c r="B702" s="14" t="s">
        <v>1019</v>
      </c>
      <c r="C702" s="14" t="s">
        <v>174</v>
      </c>
      <c r="D702" s="14" t="s">
        <v>178</v>
      </c>
      <c r="E702" s="14" t="s">
        <v>169</v>
      </c>
      <c r="F702" s="14" t="s">
        <v>175</v>
      </c>
      <c r="G702" s="14" t="n">
        <v>2</v>
      </c>
      <c r="H702" s="14" t="s">
        <v>153</v>
      </c>
      <c r="I702" s="14" t="s">
        <v>899</v>
      </c>
      <c r="J702" s="15" t="n">
        <f aca="false">IF(B702="SITE LOSS",IF(D702=C702,1,0),IF(B702="REGION LOSS",IF(E702=C702,1,0),0))</f>
        <v>0</v>
      </c>
      <c r="K702" s="15" t="n">
        <f aca="false">IF(B702="SITE LOSS",IF(COUNTIFS('Site Dockets'!$B$7:$B$24,C702,'Site Dockets'!$C$7:$C$24,F702)&gt;0,1,0),IF(B702="REGION LOSS",IF(COUNTIFS('Site Dockets'!$E$7:$E$24,C702,'Site Dockets'!$C$7:$C$24,F702)&gt;0,1,0),0))</f>
        <v>1</v>
      </c>
      <c r="L702" s="15" t="n">
        <f aca="false">IF(J702=1,0,Inputs!$B$11)</f>
        <v>100</v>
      </c>
      <c r="M702" s="15" t="n">
        <f aca="false">IF(J702=1,0,Inputs!$B$12)</f>
        <v>75</v>
      </c>
      <c r="N702" s="15" t="n">
        <f aca="false">IF(J702=1,0,IF(OR(AND(OR(B702="SITE LOSS",B702="REGION LOSS"),K702=1),AND(B702="ROLE COMPROMISE",H702=C702)),Inputs!$B$13,Inputs!$B$14))</f>
        <v>20</v>
      </c>
      <c r="O702" s="15" t="n">
        <f aca="false">IF(J702=1,0,Inputs!$B$13)</f>
        <v>20</v>
      </c>
      <c r="P702" s="15" t="n">
        <f aca="false">SUM(M702:N702)</f>
        <v>95</v>
      </c>
      <c r="Q702" s="15" t="n">
        <f aca="false">IF(J702=1,"",L702-P702)</f>
        <v>5</v>
      </c>
      <c r="R702" s="15" t="n">
        <f aca="false">IF(OR(J702=1,M702&lt;=Inputs!$B$12),1,0)</f>
        <v>1</v>
      </c>
      <c r="S702" s="15" t="n">
        <f aca="false">IF(OR(J702=1,N702&lt;=O702),1,0)</f>
        <v>1</v>
      </c>
      <c r="T702" s="15" t="str">
        <f aca="false">IF(J702=1,"OFFLINE",IF(AND(Q702&gt;=Inputs!$B$15,R702=1,S702=1,P702&lt;=L702),"PASS","FAIL"))</f>
        <v>PASS</v>
      </c>
    </row>
    <row r="703" customFormat="false" ht="15" hidden="false" customHeight="false" outlineLevel="0" collapsed="false">
      <c r="A703" s="14" t="s">
        <v>1025</v>
      </c>
      <c r="B703" s="14" t="s">
        <v>1019</v>
      </c>
      <c r="C703" s="14" t="s">
        <v>174</v>
      </c>
      <c r="D703" s="14" t="s">
        <v>180</v>
      </c>
      <c r="E703" s="14" t="s">
        <v>161</v>
      </c>
      <c r="F703" s="14" t="s">
        <v>175</v>
      </c>
      <c r="G703" s="14" t="n">
        <v>3</v>
      </c>
      <c r="H703" s="14" t="s">
        <v>158</v>
      </c>
      <c r="I703" s="14" t="s">
        <v>890</v>
      </c>
      <c r="J703" s="15" t="n">
        <f aca="false">IF(B703="SITE LOSS",IF(D703=C703,1,0),IF(B703="REGION LOSS",IF(E703=C703,1,0),0))</f>
        <v>0</v>
      </c>
      <c r="K703" s="15" t="n">
        <f aca="false">IF(B703="SITE LOSS",IF(COUNTIFS('Site Dockets'!$B$7:$B$24,C703,'Site Dockets'!$C$7:$C$24,F703)&gt;0,1,0),IF(B703="REGION LOSS",IF(COUNTIFS('Site Dockets'!$E$7:$E$24,C703,'Site Dockets'!$C$7:$C$24,F703)&gt;0,1,0),0))</f>
        <v>1</v>
      </c>
      <c r="L703" s="15" t="n">
        <f aca="false">IF(J703=1,0,Inputs!$B$11)</f>
        <v>100</v>
      </c>
      <c r="M703" s="15" t="n">
        <f aca="false">IF(J703=1,0,Inputs!$B$12)</f>
        <v>75</v>
      </c>
      <c r="N703" s="15" t="n">
        <f aca="false">IF(J703=1,0,IF(OR(AND(OR(B703="SITE LOSS",B703="REGION LOSS"),K703=1),AND(B703="ROLE COMPROMISE",H703=C703)),Inputs!$B$13,Inputs!$B$14))</f>
        <v>20</v>
      </c>
      <c r="O703" s="15" t="n">
        <f aca="false">IF(J703=1,0,Inputs!$B$13)</f>
        <v>20</v>
      </c>
      <c r="P703" s="15" t="n">
        <f aca="false">SUM(M703:N703)</f>
        <v>95</v>
      </c>
      <c r="Q703" s="15" t="n">
        <f aca="false">IF(J703=1,"",L703-P703)</f>
        <v>5</v>
      </c>
      <c r="R703" s="15" t="n">
        <f aca="false">IF(OR(J703=1,M703&lt;=Inputs!$B$12),1,0)</f>
        <v>1</v>
      </c>
      <c r="S703" s="15" t="n">
        <f aca="false">IF(OR(J703=1,N703&lt;=O703),1,0)</f>
        <v>1</v>
      </c>
      <c r="T703" s="15" t="str">
        <f aca="false">IF(J703=1,"OFFLINE",IF(AND(Q703&gt;=Inputs!$B$15,R703=1,S703=1,P703&lt;=L703),"PASS","FAIL"))</f>
        <v>PASS</v>
      </c>
    </row>
    <row r="704" customFormat="false" ht="15" hidden="false" customHeight="false" outlineLevel="0" collapsed="false">
      <c r="A704" s="14" t="s">
        <v>1025</v>
      </c>
      <c r="B704" s="14" t="s">
        <v>1019</v>
      </c>
      <c r="C704" s="14" t="s">
        <v>174</v>
      </c>
      <c r="D704" s="14" t="s">
        <v>180</v>
      </c>
      <c r="E704" s="14" t="s">
        <v>161</v>
      </c>
      <c r="F704" s="14" t="s">
        <v>175</v>
      </c>
      <c r="G704" s="14" t="n">
        <v>3</v>
      </c>
      <c r="H704" s="14" t="s">
        <v>158</v>
      </c>
      <c r="I704" s="14" t="s">
        <v>892</v>
      </c>
      <c r="J704" s="15" t="n">
        <f aca="false">IF(B704="SITE LOSS",IF(D704=C704,1,0),IF(B704="REGION LOSS",IF(E704=C704,1,0),0))</f>
        <v>0</v>
      </c>
      <c r="K704" s="15" t="n">
        <f aca="false">IF(B704="SITE LOSS",IF(COUNTIFS('Site Dockets'!$B$7:$B$24,C704,'Site Dockets'!$C$7:$C$24,F704)&gt;0,1,0),IF(B704="REGION LOSS",IF(COUNTIFS('Site Dockets'!$E$7:$E$24,C704,'Site Dockets'!$C$7:$C$24,F704)&gt;0,1,0),0))</f>
        <v>1</v>
      </c>
      <c r="L704" s="15" t="n">
        <f aca="false">IF(J704=1,0,Inputs!$B$11)</f>
        <v>100</v>
      </c>
      <c r="M704" s="15" t="n">
        <f aca="false">IF(J704=1,0,Inputs!$B$12)</f>
        <v>75</v>
      </c>
      <c r="N704" s="15" t="n">
        <f aca="false">IF(J704=1,0,IF(OR(AND(OR(B704="SITE LOSS",B704="REGION LOSS"),K704=1),AND(B704="ROLE COMPROMISE",H704=C704)),Inputs!$B$13,Inputs!$B$14))</f>
        <v>20</v>
      </c>
      <c r="O704" s="15" t="n">
        <f aca="false">IF(J704=1,0,Inputs!$B$13)</f>
        <v>20</v>
      </c>
      <c r="P704" s="15" t="n">
        <f aca="false">SUM(M704:N704)</f>
        <v>95</v>
      </c>
      <c r="Q704" s="15" t="n">
        <f aca="false">IF(J704=1,"",L704-P704)</f>
        <v>5</v>
      </c>
      <c r="R704" s="15" t="n">
        <f aca="false">IF(OR(J704=1,M704&lt;=Inputs!$B$12),1,0)</f>
        <v>1</v>
      </c>
      <c r="S704" s="15" t="n">
        <f aca="false">IF(OR(J704=1,N704&lt;=O704),1,0)</f>
        <v>1</v>
      </c>
      <c r="T704" s="15" t="str">
        <f aca="false">IF(J704=1,"OFFLINE",IF(AND(Q704&gt;=Inputs!$B$15,R704=1,S704=1,P704&lt;=L704),"PASS","FAIL"))</f>
        <v>PASS</v>
      </c>
    </row>
    <row r="705" customFormat="false" ht="15" hidden="false" customHeight="false" outlineLevel="0" collapsed="false">
      <c r="A705" s="14" t="s">
        <v>1025</v>
      </c>
      <c r="B705" s="14" t="s">
        <v>1019</v>
      </c>
      <c r="C705" s="14" t="s">
        <v>174</v>
      </c>
      <c r="D705" s="14" t="s">
        <v>180</v>
      </c>
      <c r="E705" s="14" t="s">
        <v>161</v>
      </c>
      <c r="F705" s="14" t="s">
        <v>175</v>
      </c>
      <c r="G705" s="14" t="n">
        <v>3</v>
      </c>
      <c r="H705" s="14" t="s">
        <v>158</v>
      </c>
      <c r="I705" s="14" t="s">
        <v>811</v>
      </c>
      <c r="J705" s="15" t="n">
        <f aca="false">IF(B705="SITE LOSS",IF(D705=C705,1,0),IF(B705="REGION LOSS",IF(E705=C705,1,0),0))</f>
        <v>0</v>
      </c>
      <c r="K705" s="15" t="n">
        <f aca="false">IF(B705="SITE LOSS",IF(COUNTIFS('Site Dockets'!$B$7:$B$24,C705,'Site Dockets'!$C$7:$C$24,F705)&gt;0,1,0),IF(B705="REGION LOSS",IF(COUNTIFS('Site Dockets'!$E$7:$E$24,C705,'Site Dockets'!$C$7:$C$24,F705)&gt;0,1,0),0))</f>
        <v>1</v>
      </c>
      <c r="L705" s="15" t="n">
        <f aca="false">IF(J705=1,0,Inputs!$B$11)</f>
        <v>100</v>
      </c>
      <c r="M705" s="15" t="n">
        <f aca="false">IF(J705=1,0,Inputs!$B$12)</f>
        <v>75</v>
      </c>
      <c r="N705" s="15" t="n">
        <f aca="false">IF(J705=1,0,IF(OR(AND(OR(B705="SITE LOSS",B705="REGION LOSS"),K705=1),AND(B705="ROLE COMPROMISE",H705=C705)),Inputs!$B$13,Inputs!$B$14))</f>
        <v>20</v>
      </c>
      <c r="O705" s="15" t="n">
        <f aca="false">IF(J705=1,0,Inputs!$B$13)</f>
        <v>20</v>
      </c>
      <c r="P705" s="15" t="n">
        <f aca="false">SUM(M705:N705)</f>
        <v>95</v>
      </c>
      <c r="Q705" s="15" t="n">
        <f aca="false">IF(J705=1,"",L705-P705)</f>
        <v>5</v>
      </c>
      <c r="R705" s="15" t="n">
        <f aca="false">IF(OR(J705=1,M705&lt;=Inputs!$B$12),1,0)</f>
        <v>1</v>
      </c>
      <c r="S705" s="15" t="n">
        <f aca="false">IF(OR(J705=1,N705&lt;=O705),1,0)</f>
        <v>1</v>
      </c>
      <c r="T705" s="15" t="str">
        <f aca="false">IF(J705=1,"OFFLINE",IF(AND(Q705&gt;=Inputs!$B$15,R705=1,S705=1,P705&lt;=L705),"PASS","FAIL"))</f>
        <v>PASS</v>
      </c>
    </row>
    <row r="706" customFormat="false" ht="15" hidden="false" customHeight="false" outlineLevel="0" collapsed="false">
      <c r="A706" s="14" t="s">
        <v>1025</v>
      </c>
      <c r="B706" s="14" t="s">
        <v>1019</v>
      </c>
      <c r="C706" s="14" t="s">
        <v>174</v>
      </c>
      <c r="D706" s="14" t="s">
        <v>180</v>
      </c>
      <c r="E706" s="14" t="s">
        <v>161</v>
      </c>
      <c r="F706" s="14" t="s">
        <v>175</v>
      </c>
      <c r="G706" s="14" t="n">
        <v>3</v>
      </c>
      <c r="H706" s="14" t="s">
        <v>158</v>
      </c>
      <c r="I706" s="14" t="s">
        <v>895</v>
      </c>
      <c r="J706" s="15" t="n">
        <f aca="false">IF(B706="SITE LOSS",IF(D706=C706,1,0),IF(B706="REGION LOSS",IF(E706=C706,1,0),0))</f>
        <v>0</v>
      </c>
      <c r="K706" s="15" t="n">
        <f aca="false">IF(B706="SITE LOSS",IF(COUNTIFS('Site Dockets'!$B$7:$B$24,C706,'Site Dockets'!$C$7:$C$24,F706)&gt;0,1,0),IF(B706="REGION LOSS",IF(COUNTIFS('Site Dockets'!$E$7:$E$24,C706,'Site Dockets'!$C$7:$C$24,F706)&gt;0,1,0),0))</f>
        <v>1</v>
      </c>
      <c r="L706" s="15" t="n">
        <f aca="false">IF(J706=1,0,Inputs!$B$11)</f>
        <v>100</v>
      </c>
      <c r="M706" s="15" t="n">
        <f aca="false">IF(J706=1,0,Inputs!$B$12)</f>
        <v>75</v>
      </c>
      <c r="N706" s="15" t="n">
        <f aca="false">IF(J706=1,0,IF(OR(AND(OR(B706="SITE LOSS",B706="REGION LOSS"),K706=1),AND(B706="ROLE COMPROMISE",H706=C706)),Inputs!$B$13,Inputs!$B$14))</f>
        <v>20</v>
      </c>
      <c r="O706" s="15" t="n">
        <f aca="false">IF(J706=1,0,Inputs!$B$13)</f>
        <v>20</v>
      </c>
      <c r="P706" s="15" t="n">
        <f aca="false">SUM(M706:N706)</f>
        <v>95</v>
      </c>
      <c r="Q706" s="15" t="n">
        <f aca="false">IF(J706=1,"",L706-P706)</f>
        <v>5</v>
      </c>
      <c r="R706" s="15" t="n">
        <f aca="false">IF(OR(J706=1,M706&lt;=Inputs!$B$12),1,0)</f>
        <v>1</v>
      </c>
      <c r="S706" s="15" t="n">
        <f aca="false">IF(OR(J706=1,N706&lt;=O706),1,0)</f>
        <v>1</v>
      </c>
      <c r="T706" s="15" t="str">
        <f aca="false">IF(J706=1,"OFFLINE",IF(AND(Q706&gt;=Inputs!$B$15,R706=1,S706=1,P706&lt;=L706),"PASS","FAIL"))</f>
        <v>PASS</v>
      </c>
    </row>
    <row r="707" customFormat="false" ht="15" hidden="false" customHeight="false" outlineLevel="0" collapsed="false">
      <c r="A707" s="14" t="s">
        <v>1025</v>
      </c>
      <c r="B707" s="14" t="s">
        <v>1019</v>
      </c>
      <c r="C707" s="14" t="s">
        <v>174</v>
      </c>
      <c r="D707" s="14" t="s">
        <v>180</v>
      </c>
      <c r="E707" s="14" t="s">
        <v>161</v>
      </c>
      <c r="F707" s="14" t="s">
        <v>175</v>
      </c>
      <c r="G707" s="14" t="n">
        <v>3</v>
      </c>
      <c r="H707" s="14" t="s">
        <v>158</v>
      </c>
      <c r="I707" s="14" t="s">
        <v>897</v>
      </c>
      <c r="J707" s="15" t="n">
        <f aca="false">IF(B707="SITE LOSS",IF(D707=C707,1,0),IF(B707="REGION LOSS",IF(E707=C707,1,0),0))</f>
        <v>0</v>
      </c>
      <c r="K707" s="15" t="n">
        <f aca="false">IF(B707="SITE LOSS",IF(COUNTIFS('Site Dockets'!$B$7:$B$24,C707,'Site Dockets'!$C$7:$C$24,F707)&gt;0,1,0),IF(B707="REGION LOSS",IF(COUNTIFS('Site Dockets'!$E$7:$E$24,C707,'Site Dockets'!$C$7:$C$24,F707)&gt;0,1,0),0))</f>
        <v>1</v>
      </c>
      <c r="L707" s="15" t="n">
        <f aca="false">IF(J707=1,0,Inputs!$B$11)</f>
        <v>100</v>
      </c>
      <c r="M707" s="15" t="n">
        <f aca="false">IF(J707=1,0,Inputs!$B$12)</f>
        <v>75</v>
      </c>
      <c r="N707" s="15" t="n">
        <f aca="false">IF(J707=1,0,IF(OR(AND(OR(B707="SITE LOSS",B707="REGION LOSS"),K707=1),AND(B707="ROLE COMPROMISE",H707=C707)),Inputs!$B$13,Inputs!$B$14))</f>
        <v>20</v>
      </c>
      <c r="O707" s="15" t="n">
        <f aca="false">IF(J707=1,0,Inputs!$B$13)</f>
        <v>20</v>
      </c>
      <c r="P707" s="15" t="n">
        <f aca="false">SUM(M707:N707)</f>
        <v>95</v>
      </c>
      <c r="Q707" s="15" t="n">
        <f aca="false">IF(J707=1,"",L707-P707)</f>
        <v>5</v>
      </c>
      <c r="R707" s="15" t="n">
        <f aca="false">IF(OR(J707=1,M707&lt;=Inputs!$B$12),1,0)</f>
        <v>1</v>
      </c>
      <c r="S707" s="15" t="n">
        <f aca="false">IF(OR(J707=1,N707&lt;=O707),1,0)</f>
        <v>1</v>
      </c>
      <c r="T707" s="15" t="str">
        <f aca="false">IF(J707=1,"OFFLINE",IF(AND(Q707&gt;=Inputs!$B$15,R707=1,S707=1,P707&lt;=L707),"PASS","FAIL"))</f>
        <v>PASS</v>
      </c>
    </row>
    <row r="708" customFormat="false" ht="15" hidden="false" customHeight="false" outlineLevel="0" collapsed="false">
      <c r="A708" s="14" t="s">
        <v>1025</v>
      </c>
      <c r="B708" s="14" t="s">
        <v>1019</v>
      </c>
      <c r="C708" s="14" t="s">
        <v>174</v>
      </c>
      <c r="D708" s="14" t="s">
        <v>180</v>
      </c>
      <c r="E708" s="14" t="s">
        <v>161</v>
      </c>
      <c r="F708" s="14" t="s">
        <v>175</v>
      </c>
      <c r="G708" s="14" t="n">
        <v>3</v>
      </c>
      <c r="H708" s="14" t="s">
        <v>158</v>
      </c>
      <c r="I708" s="14" t="s">
        <v>899</v>
      </c>
      <c r="J708" s="15" t="n">
        <f aca="false">IF(B708="SITE LOSS",IF(D708=C708,1,0),IF(B708="REGION LOSS",IF(E708=C708,1,0),0))</f>
        <v>0</v>
      </c>
      <c r="K708" s="15" t="n">
        <f aca="false">IF(B708="SITE LOSS",IF(COUNTIFS('Site Dockets'!$B$7:$B$24,C708,'Site Dockets'!$C$7:$C$24,F708)&gt;0,1,0),IF(B708="REGION LOSS",IF(COUNTIFS('Site Dockets'!$E$7:$E$24,C708,'Site Dockets'!$C$7:$C$24,F708)&gt;0,1,0),0))</f>
        <v>1</v>
      </c>
      <c r="L708" s="15" t="n">
        <f aca="false">IF(J708=1,0,Inputs!$B$11)</f>
        <v>100</v>
      </c>
      <c r="M708" s="15" t="n">
        <f aca="false">IF(J708=1,0,Inputs!$B$12)</f>
        <v>75</v>
      </c>
      <c r="N708" s="15" t="n">
        <f aca="false">IF(J708=1,0,IF(OR(AND(OR(B708="SITE LOSS",B708="REGION LOSS"),K708=1),AND(B708="ROLE COMPROMISE",H708=C708)),Inputs!$B$13,Inputs!$B$14))</f>
        <v>20</v>
      </c>
      <c r="O708" s="15" t="n">
        <f aca="false">IF(J708=1,0,Inputs!$B$13)</f>
        <v>20</v>
      </c>
      <c r="P708" s="15" t="n">
        <f aca="false">SUM(M708:N708)</f>
        <v>95</v>
      </c>
      <c r="Q708" s="15" t="n">
        <f aca="false">IF(J708=1,"",L708-P708)</f>
        <v>5</v>
      </c>
      <c r="R708" s="15" t="n">
        <f aca="false">IF(OR(J708=1,M708&lt;=Inputs!$B$12),1,0)</f>
        <v>1</v>
      </c>
      <c r="S708" s="15" t="n">
        <f aca="false">IF(OR(J708=1,N708&lt;=O708),1,0)</f>
        <v>1</v>
      </c>
      <c r="T708" s="15" t="str">
        <f aca="false">IF(J708=1,"OFFLINE",IF(AND(Q708&gt;=Inputs!$B$15,R708=1,S708=1,P708&lt;=L708),"PASS","FAIL"))</f>
        <v>PASS</v>
      </c>
    </row>
    <row r="709" customFormat="false" ht="15" hidden="false" customHeight="false" outlineLevel="0" collapsed="false">
      <c r="A709" s="14" t="s">
        <v>1025</v>
      </c>
      <c r="B709" s="14" t="s">
        <v>1019</v>
      </c>
      <c r="C709" s="14" t="s">
        <v>174</v>
      </c>
      <c r="D709" s="14" t="s">
        <v>182</v>
      </c>
      <c r="E709" s="14" t="s">
        <v>166</v>
      </c>
      <c r="F709" s="14" t="s">
        <v>183</v>
      </c>
      <c r="G709" s="14" t="n">
        <v>1</v>
      </c>
      <c r="H709" s="14" t="s">
        <v>154</v>
      </c>
      <c r="I709" s="14" t="s">
        <v>890</v>
      </c>
      <c r="J709" s="15" t="n">
        <f aca="false">IF(B709="SITE LOSS",IF(D709=C709,1,0),IF(B709="REGION LOSS",IF(E709=C709,1,0),0))</f>
        <v>0</v>
      </c>
      <c r="K709" s="15" t="n">
        <f aca="false">IF(B709="SITE LOSS",IF(COUNTIFS('Site Dockets'!$B$7:$B$24,C709,'Site Dockets'!$C$7:$C$24,F709)&gt;0,1,0),IF(B709="REGION LOSS",IF(COUNTIFS('Site Dockets'!$E$7:$E$24,C709,'Site Dockets'!$C$7:$C$24,F709)&gt;0,1,0),0))</f>
        <v>0</v>
      </c>
      <c r="L709" s="15" t="n">
        <f aca="false">IF(J709=1,0,Inputs!$B$11)</f>
        <v>100</v>
      </c>
      <c r="M709" s="15" t="n">
        <f aca="false">IF(J709=1,0,Inputs!$B$12)</f>
        <v>75</v>
      </c>
      <c r="N709" s="15" t="n">
        <f aca="false">IF(J709=1,0,IF(OR(AND(OR(B709="SITE LOSS",B709="REGION LOSS"),K709=1),AND(B709="ROLE COMPROMISE",H709=C709)),Inputs!$B$13,Inputs!$B$14))</f>
        <v>10</v>
      </c>
      <c r="O709" s="15" t="n">
        <f aca="false">IF(J709=1,0,Inputs!$B$13)</f>
        <v>20</v>
      </c>
      <c r="P709" s="15" t="n">
        <f aca="false">SUM(M709:N709)</f>
        <v>85</v>
      </c>
      <c r="Q709" s="15" t="n">
        <f aca="false">IF(J709=1,"",L709-P709)</f>
        <v>15</v>
      </c>
      <c r="R709" s="15" t="n">
        <f aca="false">IF(OR(J709=1,M709&lt;=Inputs!$B$12),1,0)</f>
        <v>1</v>
      </c>
      <c r="S709" s="15" t="n">
        <f aca="false">IF(OR(J709=1,N709&lt;=O709),1,0)</f>
        <v>1</v>
      </c>
      <c r="T709" s="15" t="str">
        <f aca="false">IF(J709=1,"OFFLINE",IF(AND(Q709&gt;=Inputs!$B$15,R709=1,S709=1,P709&lt;=L709),"PASS","FAIL"))</f>
        <v>PASS</v>
      </c>
    </row>
    <row r="710" customFormat="false" ht="15" hidden="false" customHeight="false" outlineLevel="0" collapsed="false">
      <c r="A710" s="14" t="s">
        <v>1025</v>
      </c>
      <c r="B710" s="14" t="s">
        <v>1019</v>
      </c>
      <c r="C710" s="14" t="s">
        <v>174</v>
      </c>
      <c r="D710" s="14" t="s">
        <v>182</v>
      </c>
      <c r="E710" s="14" t="s">
        <v>166</v>
      </c>
      <c r="F710" s="14" t="s">
        <v>183</v>
      </c>
      <c r="G710" s="14" t="n">
        <v>1</v>
      </c>
      <c r="H710" s="14" t="s">
        <v>154</v>
      </c>
      <c r="I710" s="14" t="s">
        <v>892</v>
      </c>
      <c r="J710" s="15" t="n">
        <f aca="false">IF(B710="SITE LOSS",IF(D710=C710,1,0),IF(B710="REGION LOSS",IF(E710=C710,1,0),0))</f>
        <v>0</v>
      </c>
      <c r="K710" s="15" t="n">
        <f aca="false">IF(B710="SITE LOSS",IF(COUNTIFS('Site Dockets'!$B$7:$B$24,C710,'Site Dockets'!$C$7:$C$24,F710)&gt;0,1,0),IF(B710="REGION LOSS",IF(COUNTIFS('Site Dockets'!$E$7:$E$24,C710,'Site Dockets'!$C$7:$C$24,F710)&gt;0,1,0),0))</f>
        <v>0</v>
      </c>
      <c r="L710" s="15" t="n">
        <f aca="false">IF(J710=1,0,Inputs!$B$11)</f>
        <v>100</v>
      </c>
      <c r="M710" s="15" t="n">
        <f aca="false">IF(J710=1,0,Inputs!$B$12)</f>
        <v>75</v>
      </c>
      <c r="N710" s="15" t="n">
        <f aca="false">IF(J710=1,0,IF(OR(AND(OR(B710="SITE LOSS",B710="REGION LOSS"),K710=1),AND(B710="ROLE COMPROMISE",H710=C710)),Inputs!$B$13,Inputs!$B$14))</f>
        <v>10</v>
      </c>
      <c r="O710" s="15" t="n">
        <f aca="false">IF(J710=1,0,Inputs!$B$13)</f>
        <v>20</v>
      </c>
      <c r="P710" s="15" t="n">
        <f aca="false">SUM(M710:N710)</f>
        <v>85</v>
      </c>
      <c r="Q710" s="15" t="n">
        <f aca="false">IF(J710=1,"",L710-P710)</f>
        <v>15</v>
      </c>
      <c r="R710" s="15" t="n">
        <f aca="false">IF(OR(J710=1,M710&lt;=Inputs!$B$12),1,0)</f>
        <v>1</v>
      </c>
      <c r="S710" s="15" t="n">
        <f aca="false">IF(OR(J710=1,N710&lt;=O710),1,0)</f>
        <v>1</v>
      </c>
      <c r="T710" s="15" t="str">
        <f aca="false">IF(J710=1,"OFFLINE",IF(AND(Q710&gt;=Inputs!$B$15,R710=1,S710=1,P710&lt;=L710),"PASS","FAIL"))</f>
        <v>PASS</v>
      </c>
    </row>
    <row r="711" customFormat="false" ht="15" hidden="false" customHeight="false" outlineLevel="0" collapsed="false">
      <c r="A711" s="14" t="s">
        <v>1025</v>
      </c>
      <c r="B711" s="14" t="s">
        <v>1019</v>
      </c>
      <c r="C711" s="14" t="s">
        <v>174</v>
      </c>
      <c r="D711" s="14" t="s">
        <v>182</v>
      </c>
      <c r="E711" s="14" t="s">
        <v>166</v>
      </c>
      <c r="F711" s="14" t="s">
        <v>183</v>
      </c>
      <c r="G711" s="14" t="n">
        <v>1</v>
      </c>
      <c r="H711" s="14" t="s">
        <v>154</v>
      </c>
      <c r="I711" s="14" t="s">
        <v>811</v>
      </c>
      <c r="J711" s="15" t="n">
        <f aca="false">IF(B711="SITE LOSS",IF(D711=C711,1,0),IF(B711="REGION LOSS",IF(E711=C711,1,0),0))</f>
        <v>0</v>
      </c>
      <c r="K711" s="15" t="n">
        <f aca="false">IF(B711="SITE LOSS",IF(COUNTIFS('Site Dockets'!$B$7:$B$24,C711,'Site Dockets'!$C$7:$C$24,F711)&gt;0,1,0),IF(B711="REGION LOSS",IF(COUNTIFS('Site Dockets'!$E$7:$E$24,C711,'Site Dockets'!$C$7:$C$24,F711)&gt;0,1,0),0))</f>
        <v>0</v>
      </c>
      <c r="L711" s="15" t="n">
        <f aca="false">IF(J711=1,0,Inputs!$B$11)</f>
        <v>100</v>
      </c>
      <c r="M711" s="15" t="n">
        <f aca="false">IF(J711=1,0,Inputs!$B$12)</f>
        <v>75</v>
      </c>
      <c r="N711" s="15" t="n">
        <f aca="false">IF(J711=1,0,IF(OR(AND(OR(B711="SITE LOSS",B711="REGION LOSS"),K711=1),AND(B711="ROLE COMPROMISE",H711=C711)),Inputs!$B$13,Inputs!$B$14))</f>
        <v>10</v>
      </c>
      <c r="O711" s="15" t="n">
        <f aca="false">IF(J711=1,0,Inputs!$B$13)</f>
        <v>20</v>
      </c>
      <c r="P711" s="15" t="n">
        <f aca="false">SUM(M711:N711)</f>
        <v>85</v>
      </c>
      <c r="Q711" s="15" t="n">
        <f aca="false">IF(J711=1,"",L711-P711)</f>
        <v>15</v>
      </c>
      <c r="R711" s="15" t="n">
        <f aca="false">IF(OR(J711=1,M711&lt;=Inputs!$B$12),1,0)</f>
        <v>1</v>
      </c>
      <c r="S711" s="15" t="n">
        <f aca="false">IF(OR(J711=1,N711&lt;=O711),1,0)</f>
        <v>1</v>
      </c>
      <c r="T711" s="15" t="str">
        <f aca="false">IF(J711=1,"OFFLINE",IF(AND(Q711&gt;=Inputs!$B$15,R711=1,S711=1,P711&lt;=L711),"PASS","FAIL"))</f>
        <v>PASS</v>
      </c>
    </row>
    <row r="712" customFormat="false" ht="15" hidden="false" customHeight="false" outlineLevel="0" collapsed="false">
      <c r="A712" s="14" t="s">
        <v>1025</v>
      </c>
      <c r="B712" s="14" t="s">
        <v>1019</v>
      </c>
      <c r="C712" s="14" t="s">
        <v>174</v>
      </c>
      <c r="D712" s="14" t="s">
        <v>182</v>
      </c>
      <c r="E712" s="14" t="s">
        <v>166</v>
      </c>
      <c r="F712" s="14" t="s">
        <v>183</v>
      </c>
      <c r="G712" s="14" t="n">
        <v>1</v>
      </c>
      <c r="H712" s="14" t="s">
        <v>154</v>
      </c>
      <c r="I712" s="14" t="s">
        <v>895</v>
      </c>
      <c r="J712" s="15" t="n">
        <f aca="false">IF(B712="SITE LOSS",IF(D712=C712,1,0),IF(B712="REGION LOSS",IF(E712=C712,1,0),0))</f>
        <v>0</v>
      </c>
      <c r="K712" s="15" t="n">
        <f aca="false">IF(B712="SITE LOSS",IF(COUNTIFS('Site Dockets'!$B$7:$B$24,C712,'Site Dockets'!$C$7:$C$24,F712)&gt;0,1,0),IF(B712="REGION LOSS",IF(COUNTIFS('Site Dockets'!$E$7:$E$24,C712,'Site Dockets'!$C$7:$C$24,F712)&gt;0,1,0),0))</f>
        <v>0</v>
      </c>
      <c r="L712" s="15" t="n">
        <f aca="false">IF(J712=1,0,Inputs!$B$11)</f>
        <v>100</v>
      </c>
      <c r="M712" s="15" t="n">
        <f aca="false">IF(J712=1,0,Inputs!$B$12)</f>
        <v>75</v>
      </c>
      <c r="N712" s="15" t="n">
        <f aca="false">IF(J712=1,0,IF(OR(AND(OR(B712="SITE LOSS",B712="REGION LOSS"),K712=1),AND(B712="ROLE COMPROMISE",H712=C712)),Inputs!$B$13,Inputs!$B$14))</f>
        <v>10</v>
      </c>
      <c r="O712" s="15" t="n">
        <f aca="false">IF(J712=1,0,Inputs!$B$13)</f>
        <v>20</v>
      </c>
      <c r="P712" s="15" t="n">
        <f aca="false">SUM(M712:N712)</f>
        <v>85</v>
      </c>
      <c r="Q712" s="15" t="n">
        <f aca="false">IF(J712=1,"",L712-P712)</f>
        <v>15</v>
      </c>
      <c r="R712" s="15" t="n">
        <f aca="false">IF(OR(J712=1,M712&lt;=Inputs!$B$12),1,0)</f>
        <v>1</v>
      </c>
      <c r="S712" s="15" t="n">
        <f aca="false">IF(OR(J712=1,N712&lt;=O712),1,0)</f>
        <v>1</v>
      </c>
      <c r="T712" s="15" t="str">
        <f aca="false">IF(J712=1,"OFFLINE",IF(AND(Q712&gt;=Inputs!$B$15,R712=1,S712=1,P712&lt;=L712),"PASS","FAIL"))</f>
        <v>PASS</v>
      </c>
    </row>
    <row r="713" customFormat="false" ht="15" hidden="false" customHeight="false" outlineLevel="0" collapsed="false">
      <c r="A713" s="14" t="s">
        <v>1025</v>
      </c>
      <c r="B713" s="14" t="s">
        <v>1019</v>
      </c>
      <c r="C713" s="14" t="s">
        <v>174</v>
      </c>
      <c r="D713" s="14" t="s">
        <v>182</v>
      </c>
      <c r="E713" s="14" t="s">
        <v>166</v>
      </c>
      <c r="F713" s="14" t="s">
        <v>183</v>
      </c>
      <c r="G713" s="14" t="n">
        <v>1</v>
      </c>
      <c r="H713" s="14" t="s">
        <v>154</v>
      </c>
      <c r="I713" s="14" t="s">
        <v>897</v>
      </c>
      <c r="J713" s="15" t="n">
        <f aca="false">IF(B713="SITE LOSS",IF(D713=C713,1,0),IF(B713="REGION LOSS",IF(E713=C713,1,0),0))</f>
        <v>0</v>
      </c>
      <c r="K713" s="15" t="n">
        <f aca="false">IF(B713="SITE LOSS",IF(COUNTIFS('Site Dockets'!$B$7:$B$24,C713,'Site Dockets'!$C$7:$C$24,F713)&gt;0,1,0),IF(B713="REGION LOSS",IF(COUNTIFS('Site Dockets'!$E$7:$E$24,C713,'Site Dockets'!$C$7:$C$24,F713)&gt;0,1,0),0))</f>
        <v>0</v>
      </c>
      <c r="L713" s="15" t="n">
        <f aca="false">IF(J713=1,0,Inputs!$B$11)</f>
        <v>100</v>
      </c>
      <c r="M713" s="15" t="n">
        <f aca="false">IF(J713=1,0,Inputs!$B$12)</f>
        <v>75</v>
      </c>
      <c r="N713" s="15" t="n">
        <f aca="false">IF(J713=1,0,IF(OR(AND(OR(B713="SITE LOSS",B713="REGION LOSS"),K713=1),AND(B713="ROLE COMPROMISE",H713=C713)),Inputs!$B$13,Inputs!$B$14))</f>
        <v>10</v>
      </c>
      <c r="O713" s="15" t="n">
        <f aca="false">IF(J713=1,0,Inputs!$B$13)</f>
        <v>20</v>
      </c>
      <c r="P713" s="15" t="n">
        <f aca="false">SUM(M713:N713)</f>
        <v>85</v>
      </c>
      <c r="Q713" s="15" t="n">
        <f aca="false">IF(J713=1,"",L713-P713)</f>
        <v>15</v>
      </c>
      <c r="R713" s="15" t="n">
        <f aca="false">IF(OR(J713=1,M713&lt;=Inputs!$B$12),1,0)</f>
        <v>1</v>
      </c>
      <c r="S713" s="15" t="n">
        <f aca="false">IF(OR(J713=1,N713&lt;=O713),1,0)</f>
        <v>1</v>
      </c>
      <c r="T713" s="15" t="str">
        <f aca="false">IF(J713=1,"OFFLINE",IF(AND(Q713&gt;=Inputs!$B$15,R713=1,S713=1,P713&lt;=L713),"PASS","FAIL"))</f>
        <v>PASS</v>
      </c>
    </row>
    <row r="714" customFormat="false" ht="15" hidden="false" customHeight="false" outlineLevel="0" collapsed="false">
      <c r="A714" s="14" t="s">
        <v>1025</v>
      </c>
      <c r="B714" s="14" t="s">
        <v>1019</v>
      </c>
      <c r="C714" s="14" t="s">
        <v>174</v>
      </c>
      <c r="D714" s="14" t="s">
        <v>182</v>
      </c>
      <c r="E714" s="14" t="s">
        <v>166</v>
      </c>
      <c r="F714" s="14" t="s">
        <v>183</v>
      </c>
      <c r="G714" s="14" t="n">
        <v>1</v>
      </c>
      <c r="H714" s="14" t="s">
        <v>154</v>
      </c>
      <c r="I714" s="14" t="s">
        <v>899</v>
      </c>
      <c r="J714" s="15" t="n">
        <f aca="false">IF(B714="SITE LOSS",IF(D714=C714,1,0),IF(B714="REGION LOSS",IF(E714=C714,1,0),0))</f>
        <v>0</v>
      </c>
      <c r="K714" s="15" t="n">
        <f aca="false">IF(B714="SITE LOSS",IF(COUNTIFS('Site Dockets'!$B$7:$B$24,C714,'Site Dockets'!$C$7:$C$24,F714)&gt;0,1,0),IF(B714="REGION LOSS",IF(COUNTIFS('Site Dockets'!$E$7:$E$24,C714,'Site Dockets'!$C$7:$C$24,F714)&gt;0,1,0),0))</f>
        <v>0</v>
      </c>
      <c r="L714" s="15" t="n">
        <f aca="false">IF(J714=1,0,Inputs!$B$11)</f>
        <v>100</v>
      </c>
      <c r="M714" s="15" t="n">
        <f aca="false">IF(J714=1,0,Inputs!$B$12)</f>
        <v>75</v>
      </c>
      <c r="N714" s="15" t="n">
        <f aca="false">IF(J714=1,0,IF(OR(AND(OR(B714="SITE LOSS",B714="REGION LOSS"),K714=1),AND(B714="ROLE COMPROMISE",H714=C714)),Inputs!$B$13,Inputs!$B$14))</f>
        <v>10</v>
      </c>
      <c r="O714" s="15" t="n">
        <f aca="false">IF(J714=1,0,Inputs!$B$13)</f>
        <v>20</v>
      </c>
      <c r="P714" s="15" t="n">
        <f aca="false">SUM(M714:N714)</f>
        <v>85</v>
      </c>
      <c r="Q714" s="15" t="n">
        <f aca="false">IF(J714=1,"",L714-P714)</f>
        <v>15</v>
      </c>
      <c r="R714" s="15" t="n">
        <f aca="false">IF(OR(J714=1,M714&lt;=Inputs!$B$12),1,0)</f>
        <v>1</v>
      </c>
      <c r="S714" s="15" t="n">
        <f aca="false">IF(OR(J714=1,N714&lt;=O714),1,0)</f>
        <v>1</v>
      </c>
      <c r="T714" s="15" t="str">
        <f aca="false">IF(J714=1,"OFFLINE",IF(AND(Q714&gt;=Inputs!$B$15,R714=1,S714=1,P714&lt;=L714),"PASS","FAIL"))</f>
        <v>PASS</v>
      </c>
    </row>
    <row r="715" customFormat="false" ht="15" hidden="false" customHeight="false" outlineLevel="0" collapsed="false">
      <c r="A715" s="14" t="s">
        <v>1025</v>
      </c>
      <c r="B715" s="14" t="s">
        <v>1019</v>
      </c>
      <c r="C715" s="14" t="s">
        <v>174</v>
      </c>
      <c r="D715" s="14" t="s">
        <v>186</v>
      </c>
      <c r="E715" s="14" t="s">
        <v>157</v>
      </c>
      <c r="F715" s="14" t="s">
        <v>183</v>
      </c>
      <c r="G715" s="14" t="n">
        <v>2</v>
      </c>
      <c r="H715" s="14" t="s">
        <v>153</v>
      </c>
      <c r="I715" s="14" t="s">
        <v>890</v>
      </c>
      <c r="J715" s="15" t="n">
        <f aca="false">IF(B715="SITE LOSS",IF(D715=C715,1,0),IF(B715="REGION LOSS",IF(E715=C715,1,0),0))</f>
        <v>0</v>
      </c>
      <c r="K715" s="15" t="n">
        <f aca="false">IF(B715="SITE LOSS",IF(COUNTIFS('Site Dockets'!$B$7:$B$24,C715,'Site Dockets'!$C$7:$C$24,F715)&gt;0,1,0),IF(B715="REGION LOSS",IF(COUNTIFS('Site Dockets'!$E$7:$E$24,C715,'Site Dockets'!$C$7:$C$24,F715)&gt;0,1,0),0))</f>
        <v>0</v>
      </c>
      <c r="L715" s="15" t="n">
        <f aca="false">IF(J715=1,0,Inputs!$B$11)</f>
        <v>100</v>
      </c>
      <c r="M715" s="15" t="n">
        <f aca="false">IF(J715=1,0,Inputs!$B$12)</f>
        <v>75</v>
      </c>
      <c r="N715" s="15" t="n">
        <f aca="false">IF(J715=1,0,IF(OR(AND(OR(B715="SITE LOSS",B715="REGION LOSS"),K715=1),AND(B715="ROLE COMPROMISE",H715=C715)),Inputs!$B$13,Inputs!$B$14))</f>
        <v>10</v>
      </c>
      <c r="O715" s="15" t="n">
        <f aca="false">IF(J715=1,0,Inputs!$B$13)</f>
        <v>20</v>
      </c>
      <c r="P715" s="15" t="n">
        <f aca="false">SUM(M715:N715)</f>
        <v>85</v>
      </c>
      <c r="Q715" s="15" t="n">
        <f aca="false">IF(J715=1,"",L715-P715)</f>
        <v>15</v>
      </c>
      <c r="R715" s="15" t="n">
        <f aca="false">IF(OR(J715=1,M715&lt;=Inputs!$B$12),1,0)</f>
        <v>1</v>
      </c>
      <c r="S715" s="15" t="n">
        <f aca="false">IF(OR(J715=1,N715&lt;=O715),1,0)</f>
        <v>1</v>
      </c>
      <c r="T715" s="15" t="str">
        <f aca="false">IF(J715=1,"OFFLINE",IF(AND(Q715&gt;=Inputs!$B$15,R715=1,S715=1,P715&lt;=L715),"PASS","FAIL"))</f>
        <v>PASS</v>
      </c>
    </row>
    <row r="716" customFormat="false" ht="15" hidden="false" customHeight="false" outlineLevel="0" collapsed="false">
      <c r="A716" s="14" t="s">
        <v>1025</v>
      </c>
      <c r="B716" s="14" t="s">
        <v>1019</v>
      </c>
      <c r="C716" s="14" t="s">
        <v>174</v>
      </c>
      <c r="D716" s="14" t="s">
        <v>186</v>
      </c>
      <c r="E716" s="14" t="s">
        <v>157</v>
      </c>
      <c r="F716" s="14" t="s">
        <v>183</v>
      </c>
      <c r="G716" s="14" t="n">
        <v>2</v>
      </c>
      <c r="H716" s="14" t="s">
        <v>153</v>
      </c>
      <c r="I716" s="14" t="s">
        <v>892</v>
      </c>
      <c r="J716" s="15" t="n">
        <f aca="false">IF(B716="SITE LOSS",IF(D716=C716,1,0),IF(B716="REGION LOSS",IF(E716=C716,1,0),0))</f>
        <v>0</v>
      </c>
      <c r="K716" s="15" t="n">
        <f aca="false">IF(B716="SITE LOSS",IF(COUNTIFS('Site Dockets'!$B$7:$B$24,C716,'Site Dockets'!$C$7:$C$24,F716)&gt;0,1,0),IF(B716="REGION LOSS",IF(COUNTIFS('Site Dockets'!$E$7:$E$24,C716,'Site Dockets'!$C$7:$C$24,F716)&gt;0,1,0),0))</f>
        <v>0</v>
      </c>
      <c r="L716" s="15" t="n">
        <f aca="false">IF(J716=1,0,Inputs!$B$11)</f>
        <v>100</v>
      </c>
      <c r="M716" s="15" t="n">
        <f aca="false">IF(J716=1,0,Inputs!$B$12)</f>
        <v>75</v>
      </c>
      <c r="N716" s="15" t="n">
        <f aca="false">IF(J716=1,0,IF(OR(AND(OR(B716="SITE LOSS",B716="REGION LOSS"),K716=1),AND(B716="ROLE COMPROMISE",H716=C716)),Inputs!$B$13,Inputs!$B$14))</f>
        <v>10</v>
      </c>
      <c r="O716" s="15" t="n">
        <f aca="false">IF(J716=1,0,Inputs!$B$13)</f>
        <v>20</v>
      </c>
      <c r="P716" s="15" t="n">
        <f aca="false">SUM(M716:N716)</f>
        <v>85</v>
      </c>
      <c r="Q716" s="15" t="n">
        <f aca="false">IF(J716=1,"",L716-P716)</f>
        <v>15</v>
      </c>
      <c r="R716" s="15" t="n">
        <f aca="false">IF(OR(J716=1,M716&lt;=Inputs!$B$12),1,0)</f>
        <v>1</v>
      </c>
      <c r="S716" s="15" t="n">
        <f aca="false">IF(OR(J716=1,N716&lt;=O716),1,0)</f>
        <v>1</v>
      </c>
      <c r="T716" s="15" t="str">
        <f aca="false">IF(J716=1,"OFFLINE",IF(AND(Q716&gt;=Inputs!$B$15,R716=1,S716=1,P716&lt;=L716),"PASS","FAIL"))</f>
        <v>PASS</v>
      </c>
    </row>
    <row r="717" customFormat="false" ht="15" hidden="false" customHeight="false" outlineLevel="0" collapsed="false">
      <c r="A717" s="14" t="s">
        <v>1025</v>
      </c>
      <c r="B717" s="14" t="s">
        <v>1019</v>
      </c>
      <c r="C717" s="14" t="s">
        <v>174</v>
      </c>
      <c r="D717" s="14" t="s">
        <v>186</v>
      </c>
      <c r="E717" s="14" t="s">
        <v>157</v>
      </c>
      <c r="F717" s="14" t="s">
        <v>183</v>
      </c>
      <c r="G717" s="14" t="n">
        <v>2</v>
      </c>
      <c r="H717" s="14" t="s">
        <v>153</v>
      </c>
      <c r="I717" s="14" t="s">
        <v>811</v>
      </c>
      <c r="J717" s="15" t="n">
        <f aca="false">IF(B717="SITE LOSS",IF(D717=C717,1,0),IF(B717="REGION LOSS",IF(E717=C717,1,0),0))</f>
        <v>0</v>
      </c>
      <c r="K717" s="15" t="n">
        <f aca="false">IF(B717="SITE LOSS",IF(COUNTIFS('Site Dockets'!$B$7:$B$24,C717,'Site Dockets'!$C$7:$C$24,F717)&gt;0,1,0),IF(B717="REGION LOSS",IF(COUNTIFS('Site Dockets'!$E$7:$E$24,C717,'Site Dockets'!$C$7:$C$24,F717)&gt;0,1,0),0))</f>
        <v>0</v>
      </c>
      <c r="L717" s="15" t="n">
        <f aca="false">IF(J717=1,0,Inputs!$B$11)</f>
        <v>100</v>
      </c>
      <c r="M717" s="15" t="n">
        <f aca="false">IF(J717=1,0,Inputs!$B$12)</f>
        <v>75</v>
      </c>
      <c r="N717" s="15" t="n">
        <f aca="false">IF(J717=1,0,IF(OR(AND(OR(B717="SITE LOSS",B717="REGION LOSS"),K717=1),AND(B717="ROLE COMPROMISE",H717=C717)),Inputs!$B$13,Inputs!$B$14))</f>
        <v>10</v>
      </c>
      <c r="O717" s="15" t="n">
        <f aca="false">IF(J717=1,0,Inputs!$B$13)</f>
        <v>20</v>
      </c>
      <c r="P717" s="15" t="n">
        <f aca="false">SUM(M717:N717)</f>
        <v>85</v>
      </c>
      <c r="Q717" s="15" t="n">
        <f aca="false">IF(J717=1,"",L717-P717)</f>
        <v>15</v>
      </c>
      <c r="R717" s="15" t="n">
        <f aca="false">IF(OR(J717=1,M717&lt;=Inputs!$B$12),1,0)</f>
        <v>1</v>
      </c>
      <c r="S717" s="15" t="n">
        <f aca="false">IF(OR(J717=1,N717&lt;=O717),1,0)</f>
        <v>1</v>
      </c>
      <c r="T717" s="15" t="str">
        <f aca="false">IF(J717=1,"OFFLINE",IF(AND(Q717&gt;=Inputs!$B$15,R717=1,S717=1,P717&lt;=L717),"PASS","FAIL"))</f>
        <v>PASS</v>
      </c>
    </row>
    <row r="718" customFormat="false" ht="15" hidden="false" customHeight="false" outlineLevel="0" collapsed="false">
      <c r="A718" s="14" t="s">
        <v>1025</v>
      </c>
      <c r="B718" s="14" t="s">
        <v>1019</v>
      </c>
      <c r="C718" s="14" t="s">
        <v>174</v>
      </c>
      <c r="D718" s="14" t="s">
        <v>186</v>
      </c>
      <c r="E718" s="14" t="s">
        <v>157</v>
      </c>
      <c r="F718" s="14" t="s">
        <v>183</v>
      </c>
      <c r="G718" s="14" t="n">
        <v>2</v>
      </c>
      <c r="H718" s="14" t="s">
        <v>153</v>
      </c>
      <c r="I718" s="14" t="s">
        <v>895</v>
      </c>
      <c r="J718" s="15" t="n">
        <f aca="false">IF(B718="SITE LOSS",IF(D718=C718,1,0),IF(B718="REGION LOSS",IF(E718=C718,1,0),0))</f>
        <v>0</v>
      </c>
      <c r="K718" s="15" t="n">
        <f aca="false">IF(B718="SITE LOSS",IF(COUNTIFS('Site Dockets'!$B$7:$B$24,C718,'Site Dockets'!$C$7:$C$24,F718)&gt;0,1,0),IF(B718="REGION LOSS",IF(COUNTIFS('Site Dockets'!$E$7:$E$24,C718,'Site Dockets'!$C$7:$C$24,F718)&gt;0,1,0),0))</f>
        <v>0</v>
      </c>
      <c r="L718" s="15" t="n">
        <f aca="false">IF(J718=1,0,Inputs!$B$11)</f>
        <v>100</v>
      </c>
      <c r="M718" s="15" t="n">
        <f aca="false">IF(J718=1,0,Inputs!$B$12)</f>
        <v>75</v>
      </c>
      <c r="N718" s="15" t="n">
        <f aca="false">IF(J718=1,0,IF(OR(AND(OR(B718="SITE LOSS",B718="REGION LOSS"),K718=1),AND(B718="ROLE COMPROMISE",H718=C718)),Inputs!$B$13,Inputs!$B$14))</f>
        <v>10</v>
      </c>
      <c r="O718" s="15" t="n">
        <f aca="false">IF(J718=1,0,Inputs!$B$13)</f>
        <v>20</v>
      </c>
      <c r="P718" s="15" t="n">
        <f aca="false">SUM(M718:N718)</f>
        <v>85</v>
      </c>
      <c r="Q718" s="15" t="n">
        <f aca="false">IF(J718=1,"",L718-P718)</f>
        <v>15</v>
      </c>
      <c r="R718" s="15" t="n">
        <f aca="false">IF(OR(J718=1,M718&lt;=Inputs!$B$12),1,0)</f>
        <v>1</v>
      </c>
      <c r="S718" s="15" t="n">
        <f aca="false">IF(OR(J718=1,N718&lt;=O718),1,0)</f>
        <v>1</v>
      </c>
      <c r="T718" s="15" t="str">
        <f aca="false">IF(J718=1,"OFFLINE",IF(AND(Q718&gt;=Inputs!$B$15,R718=1,S718=1,P718&lt;=L718),"PASS","FAIL"))</f>
        <v>PASS</v>
      </c>
    </row>
    <row r="719" customFormat="false" ht="15" hidden="false" customHeight="false" outlineLevel="0" collapsed="false">
      <c r="A719" s="14" t="s">
        <v>1025</v>
      </c>
      <c r="B719" s="14" t="s">
        <v>1019</v>
      </c>
      <c r="C719" s="14" t="s">
        <v>174</v>
      </c>
      <c r="D719" s="14" t="s">
        <v>186</v>
      </c>
      <c r="E719" s="14" t="s">
        <v>157</v>
      </c>
      <c r="F719" s="14" t="s">
        <v>183</v>
      </c>
      <c r="G719" s="14" t="n">
        <v>2</v>
      </c>
      <c r="H719" s="14" t="s">
        <v>153</v>
      </c>
      <c r="I719" s="14" t="s">
        <v>897</v>
      </c>
      <c r="J719" s="15" t="n">
        <f aca="false">IF(B719="SITE LOSS",IF(D719=C719,1,0),IF(B719="REGION LOSS",IF(E719=C719,1,0),0))</f>
        <v>0</v>
      </c>
      <c r="K719" s="15" t="n">
        <f aca="false">IF(B719="SITE LOSS",IF(COUNTIFS('Site Dockets'!$B$7:$B$24,C719,'Site Dockets'!$C$7:$C$24,F719)&gt;0,1,0),IF(B719="REGION LOSS",IF(COUNTIFS('Site Dockets'!$E$7:$E$24,C719,'Site Dockets'!$C$7:$C$24,F719)&gt;0,1,0),0))</f>
        <v>0</v>
      </c>
      <c r="L719" s="15" t="n">
        <f aca="false">IF(J719=1,0,Inputs!$B$11)</f>
        <v>100</v>
      </c>
      <c r="M719" s="15" t="n">
        <f aca="false">IF(J719=1,0,Inputs!$B$12)</f>
        <v>75</v>
      </c>
      <c r="N719" s="15" t="n">
        <f aca="false">IF(J719=1,0,IF(OR(AND(OR(B719="SITE LOSS",B719="REGION LOSS"),K719=1),AND(B719="ROLE COMPROMISE",H719=C719)),Inputs!$B$13,Inputs!$B$14))</f>
        <v>10</v>
      </c>
      <c r="O719" s="15" t="n">
        <f aca="false">IF(J719=1,0,Inputs!$B$13)</f>
        <v>20</v>
      </c>
      <c r="P719" s="15" t="n">
        <f aca="false">SUM(M719:N719)</f>
        <v>85</v>
      </c>
      <c r="Q719" s="15" t="n">
        <f aca="false">IF(J719=1,"",L719-P719)</f>
        <v>15</v>
      </c>
      <c r="R719" s="15" t="n">
        <f aca="false">IF(OR(J719=1,M719&lt;=Inputs!$B$12),1,0)</f>
        <v>1</v>
      </c>
      <c r="S719" s="15" t="n">
        <f aca="false">IF(OR(J719=1,N719&lt;=O719),1,0)</f>
        <v>1</v>
      </c>
      <c r="T719" s="15" t="str">
        <f aca="false">IF(J719=1,"OFFLINE",IF(AND(Q719&gt;=Inputs!$B$15,R719=1,S719=1,P719&lt;=L719),"PASS","FAIL"))</f>
        <v>PASS</v>
      </c>
    </row>
    <row r="720" customFormat="false" ht="15" hidden="false" customHeight="false" outlineLevel="0" collapsed="false">
      <c r="A720" s="14" t="s">
        <v>1025</v>
      </c>
      <c r="B720" s="14" t="s">
        <v>1019</v>
      </c>
      <c r="C720" s="14" t="s">
        <v>174</v>
      </c>
      <c r="D720" s="14" t="s">
        <v>186</v>
      </c>
      <c r="E720" s="14" t="s">
        <v>157</v>
      </c>
      <c r="F720" s="14" t="s">
        <v>183</v>
      </c>
      <c r="G720" s="14" t="n">
        <v>2</v>
      </c>
      <c r="H720" s="14" t="s">
        <v>153</v>
      </c>
      <c r="I720" s="14" t="s">
        <v>899</v>
      </c>
      <c r="J720" s="15" t="n">
        <f aca="false">IF(B720="SITE LOSS",IF(D720=C720,1,0),IF(B720="REGION LOSS",IF(E720=C720,1,0),0))</f>
        <v>0</v>
      </c>
      <c r="K720" s="15" t="n">
        <f aca="false">IF(B720="SITE LOSS",IF(COUNTIFS('Site Dockets'!$B$7:$B$24,C720,'Site Dockets'!$C$7:$C$24,F720)&gt;0,1,0),IF(B720="REGION LOSS",IF(COUNTIFS('Site Dockets'!$E$7:$E$24,C720,'Site Dockets'!$C$7:$C$24,F720)&gt;0,1,0),0))</f>
        <v>0</v>
      </c>
      <c r="L720" s="15" t="n">
        <f aca="false">IF(J720=1,0,Inputs!$B$11)</f>
        <v>100</v>
      </c>
      <c r="M720" s="15" t="n">
        <f aca="false">IF(J720=1,0,Inputs!$B$12)</f>
        <v>75</v>
      </c>
      <c r="N720" s="15" t="n">
        <f aca="false">IF(J720=1,0,IF(OR(AND(OR(B720="SITE LOSS",B720="REGION LOSS"),K720=1),AND(B720="ROLE COMPROMISE",H720=C720)),Inputs!$B$13,Inputs!$B$14))</f>
        <v>10</v>
      </c>
      <c r="O720" s="15" t="n">
        <f aca="false">IF(J720=1,0,Inputs!$B$13)</f>
        <v>20</v>
      </c>
      <c r="P720" s="15" t="n">
        <f aca="false">SUM(M720:N720)</f>
        <v>85</v>
      </c>
      <c r="Q720" s="15" t="n">
        <f aca="false">IF(J720=1,"",L720-P720)</f>
        <v>15</v>
      </c>
      <c r="R720" s="15" t="n">
        <f aca="false">IF(OR(J720=1,M720&lt;=Inputs!$B$12),1,0)</f>
        <v>1</v>
      </c>
      <c r="S720" s="15" t="n">
        <f aca="false">IF(OR(J720=1,N720&lt;=O720),1,0)</f>
        <v>1</v>
      </c>
      <c r="T720" s="15" t="str">
        <f aca="false">IF(J720=1,"OFFLINE",IF(AND(Q720&gt;=Inputs!$B$15,R720=1,S720=1,P720&lt;=L720),"PASS","FAIL"))</f>
        <v>PASS</v>
      </c>
    </row>
    <row r="721" customFormat="false" ht="15" hidden="false" customHeight="false" outlineLevel="0" collapsed="false">
      <c r="A721" s="14" t="s">
        <v>1025</v>
      </c>
      <c r="B721" s="14" t="s">
        <v>1019</v>
      </c>
      <c r="C721" s="14" t="s">
        <v>174</v>
      </c>
      <c r="D721" s="14" t="s">
        <v>188</v>
      </c>
      <c r="E721" s="14" t="s">
        <v>172</v>
      </c>
      <c r="F721" s="14" t="s">
        <v>183</v>
      </c>
      <c r="G721" s="14" t="n">
        <v>3</v>
      </c>
      <c r="H721" s="14" t="s">
        <v>158</v>
      </c>
      <c r="I721" s="14" t="s">
        <v>890</v>
      </c>
      <c r="J721" s="15" t="n">
        <f aca="false">IF(B721="SITE LOSS",IF(D721=C721,1,0),IF(B721="REGION LOSS",IF(E721=C721,1,0),0))</f>
        <v>0</v>
      </c>
      <c r="K721" s="15" t="n">
        <f aca="false">IF(B721="SITE LOSS",IF(COUNTIFS('Site Dockets'!$B$7:$B$24,C721,'Site Dockets'!$C$7:$C$24,F721)&gt;0,1,0),IF(B721="REGION LOSS",IF(COUNTIFS('Site Dockets'!$E$7:$E$24,C721,'Site Dockets'!$C$7:$C$24,F721)&gt;0,1,0),0))</f>
        <v>0</v>
      </c>
      <c r="L721" s="15" t="n">
        <f aca="false">IF(J721=1,0,Inputs!$B$11)</f>
        <v>100</v>
      </c>
      <c r="M721" s="15" t="n">
        <f aca="false">IF(J721=1,0,Inputs!$B$12)</f>
        <v>75</v>
      </c>
      <c r="N721" s="15" t="n">
        <f aca="false">IF(J721=1,0,IF(OR(AND(OR(B721="SITE LOSS",B721="REGION LOSS"),K721=1),AND(B721="ROLE COMPROMISE",H721=C721)),Inputs!$B$13,Inputs!$B$14))</f>
        <v>10</v>
      </c>
      <c r="O721" s="15" t="n">
        <f aca="false">IF(J721=1,0,Inputs!$B$13)</f>
        <v>20</v>
      </c>
      <c r="P721" s="15" t="n">
        <f aca="false">SUM(M721:N721)</f>
        <v>85</v>
      </c>
      <c r="Q721" s="15" t="n">
        <f aca="false">IF(J721=1,"",L721-P721)</f>
        <v>15</v>
      </c>
      <c r="R721" s="15" t="n">
        <f aca="false">IF(OR(J721=1,M721&lt;=Inputs!$B$12),1,0)</f>
        <v>1</v>
      </c>
      <c r="S721" s="15" t="n">
        <f aca="false">IF(OR(J721=1,N721&lt;=O721),1,0)</f>
        <v>1</v>
      </c>
      <c r="T721" s="15" t="str">
        <f aca="false">IF(J721=1,"OFFLINE",IF(AND(Q721&gt;=Inputs!$B$15,R721=1,S721=1,P721&lt;=L721),"PASS","FAIL"))</f>
        <v>PASS</v>
      </c>
    </row>
    <row r="722" customFormat="false" ht="15" hidden="false" customHeight="false" outlineLevel="0" collapsed="false">
      <c r="A722" s="14" t="s">
        <v>1025</v>
      </c>
      <c r="B722" s="14" t="s">
        <v>1019</v>
      </c>
      <c r="C722" s="14" t="s">
        <v>174</v>
      </c>
      <c r="D722" s="14" t="s">
        <v>188</v>
      </c>
      <c r="E722" s="14" t="s">
        <v>172</v>
      </c>
      <c r="F722" s="14" t="s">
        <v>183</v>
      </c>
      <c r="G722" s="14" t="n">
        <v>3</v>
      </c>
      <c r="H722" s="14" t="s">
        <v>158</v>
      </c>
      <c r="I722" s="14" t="s">
        <v>892</v>
      </c>
      <c r="J722" s="15" t="n">
        <f aca="false">IF(B722="SITE LOSS",IF(D722=C722,1,0),IF(B722="REGION LOSS",IF(E722=C722,1,0),0))</f>
        <v>0</v>
      </c>
      <c r="K722" s="15" t="n">
        <f aca="false">IF(B722="SITE LOSS",IF(COUNTIFS('Site Dockets'!$B$7:$B$24,C722,'Site Dockets'!$C$7:$C$24,F722)&gt;0,1,0),IF(B722="REGION LOSS",IF(COUNTIFS('Site Dockets'!$E$7:$E$24,C722,'Site Dockets'!$C$7:$C$24,F722)&gt;0,1,0),0))</f>
        <v>0</v>
      </c>
      <c r="L722" s="15" t="n">
        <f aca="false">IF(J722=1,0,Inputs!$B$11)</f>
        <v>100</v>
      </c>
      <c r="M722" s="15" t="n">
        <f aca="false">IF(J722=1,0,Inputs!$B$12)</f>
        <v>75</v>
      </c>
      <c r="N722" s="15" t="n">
        <f aca="false">IF(J722=1,0,IF(OR(AND(OR(B722="SITE LOSS",B722="REGION LOSS"),K722=1),AND(B722="ROLE COMPROMISE",H722=C722)),Inputs!$B$13,Inputs!$B$14))</f>
        <v>10</v>
      </c>
      <c r="O722" s="15" t="n">
        <f aca="false">IF(J722=1,0,Inputs!$B$13)</f>
        <v>20</v>
      </c>
      <c r="P722" s="15" t="n">
        <f aca="false">SUM(M722:N722)</f>
        <v>85</v>
      </c>
      <c r="Q722" s="15" t="n">
        <f aca="false">IF(J722=1,"",L722-P722)</f>
        <v>15</v>
      </c>
      <c r="R722" s="15" t="n">
        <f aca="false">IF(OR(J722=1,M722&lt;=Inputs!$B$12),1,0)</f>
        <v>1</v>
      </c>
      <c r="S722" s="15" t="n">
        <f aca="false">IF(OR(J722=1,N722&lt;=O722),1,0)</f>
        <v>1</v>
      </c>
      <c r="T722" s="15" t="str">
        <f aca="false">IF(J722=1,"OFFLINE",IF(AND(Q722&gt;=Inputs!$B$15,R722=1,S722=1,P722&lt;=L722),"PASS","FAIL"))</f>
        <v>PASS</v>
      </c>
    </row>
    <row r="723" customFormat="false" ht="15" hidden="false" customHeight="false" outlineLevel="0" collapsed="false">
      <c r="A723" s="14" t="s">
        <v>1025</v>
      </c>
      <c r="B723" s="14" t="s">
        <v>1019</v>
      </c>
      <c r="C723" s="14" t="s">
        <v>174</v>
      </c>
      <c r="D723" s="14" t="s">
        <v>188</v>
      </c>
      <c r="E723" s="14" t="s">
        <v>172</v>
      </c>
      <c r="F723" s="14" t="s">
        <v>183</v>
      </c>
      <c r="G723" s="14" t="n">
        <v>3</v>
      </c>
      <c r="H723" s="14" t="s">
        <v>158</v>
      </c>
      <c r="I723" s="14" t="s">
        <v>811</v>
      </c>
      <c r="J723" s="15" t="n">
        <f aca="false">IF(B723="SITE LOSS",IF(D723=C723,1,0),IF(B723="REGION LOSS",IF(E723=C723,1,0),0))</f>
        <v>0</v>
      </c>
      <c r="K723" s="15" t="n">
        <f aca="false">IF(B723="SITE LOSS",IF(COUNTIFS('Site Dockets'!$B$7:$B$24,C723,'Site Dockets'!$C$7:$C$24,F723)&gt;0,1,0),IF(B723="REGION LOSS",IF(COUNTIFS('Site Dockets'!$E$7:$E$24,C723,'Site Dockets'!$C$7:$C$24,F723)&gt;0,1,0),0))</f>
        <v>0</v>
      </c>
      <c r="L723" s="15" t="n">
        <f aca="false">IF(J723=1,0,Inputs!$B$11)</f>
        <v>100</v>
      </c>
      <c r="M723" s="15" t="n">
        <f aca="false">IF(J723=1,0,Inputs!$B$12)</f>
        <v>75</v>
      </c>
      <c r="N723" s="15" t="n">
        <f aca="false">IF(J723=1,0,IF(OR(AND(OR(B723="SITE LOSS",B723="REGION LOSS"),K723=1),AND(B723="ROLE COMPROMISE",H723=C723)),Inputs!$B$13,Inputs!$B$14))</f>
        <v>10</v>
      </c>
      <c r="O723" s="15" t="n">
        <f aca="false">IF(J723=1,0,Inputs!$B$13)</f>
        <v>20</v>
      </c>
      <c r="P723" s="15" t="n">
        <f aca="false">SUM(M723:N723)</f>
        <v>85</v>
      </c>
      <c r="Q723" s="15" t="n">
        <f aca="false">IF(J723=1,"",L723-P723)</f>
        <v>15</v>
      </c>
      <c r="R723" s="15" t="n">
        <f aca="false">IF(OR(J723=1,M723&lt;=Inputs!$B$12),1,0)</f>
        <v>1</v>
      </c>
      <c r="S723" s="15" t="n">
        <f aca="false">IF(OR(J723=1,N723&lt;=O723),1,0)</f>
        <v>1</v>
      </c>
      <c r="T723" s="15" t="str">
        <f aca="false">IF(J723=1,"OFFLINE",IF(AND(Q723&gt;=Inputs!$B$15,R723=1,S723=1,P723&lt;=L723),"PASS","FAIL"))</f>
        <v>PASS</v>
      </c>
    </row>
    <row r="724" customFormat="false" ht="15" hidden="false" customHeight="false" outlineLevel="0" collapsed="false">
      <c r="A724" s="14" t="s">
        <v>1025</v>
      </c>
      <c r="B724" s="14" t="s">
        <v>1019</v>
      </c>
      <c r="C724" s="14" t="s">
        <v>174</v>
      </c>
      <c r="D724" s="14" t="s">
        <v>188</v>
      </c>
      <c r="E724" s="14" t="s">
        <v>172</v>
      </c>
      <c r="F724" s="14" t="s">
        <v>183</v>
      </c>
      <c r="G724" s="14" t="n">
        <v>3</v>
      </c>
      <c r="H724" s="14" t="s">
        <v>158</v>
      </c>
      <c r="I724" s="14" t="s">
        <v>895</v>
      </c>
      <c r="J724" s="15" t="n">
        <f aca="false">IF(B724="SITE LOSS",IF(D724=C724,1,0),IF(B724="REGION LOSS",IF(E724=C724,1,0),0))</f>
        <v>0</v>
      </c>
      <c r="K724" s="15" t="n">
        <f aca="false">IF(B724="SITE LOSS",IF(COUNTIFS('Site Dockets'!$B$7:$B$24,C724,'Site Dockets'!$C$7:$C$24,F724)&gt;0,1,0),IF(B724="REGION LOSS",IF(COUNTIFS('Site Dockets'!$E$7:$E$24,C724,'Site Dockets'!$C$7:$C$24,F724)&gt;0,1,0),0))</f>
        <v>0</v>
      </c>
      <c r="L724" s="15" t="n">
        <f aca="false">IF(J724=1,0,Inputs!$B$11)</f>
        <v>100</v>
      </c>
      <c r="M724" s="15" t="n">
        <f aca="false">IF(J724=1,0,Inputs!$B$12)</f>
        <v>75</v>
      </c>
      <c r="N724" s="15" t="n">
        <f aca="false">IF(J724=1,0,IF(OR(AND(OR(B724="SITE LOSS",B724="REGION LOSS"),K724=1),AND(B724="ROLE COMPROMISE",H724=C724)),Inputs!$B$13,Inputs!$B$14))</f>
        <v>10</v>
      </c>
      <c r="O724" s="15" t="n">
        <f aca="false">IF(J724=1,0,Inputs!$B$13)</f>
        <v>20</v>
      </c>
      <c r="P724" s="15" t="n">
        <f aca="false">SUM(M724:N724)</f>
        <v>85</v>
      </c>
      <c r="Q724" s="15" t="n">
        <f aca="false">IF(J724=1,"",L724-P724)</f>
        <v>15</v>
      </c>
      <c r="R724" s="15" t="n">
        <f aca="false">IF(OR(J724=1,M724&lt;=Inputs!$B$12),1,0)</f>
        <v>1</v>
      </c>
      <c r="S724" s="15" t="n">
        <f aca="false">IF(OR(J724=1,N724&lt;=O724),1,0)</f>
        <v>1</v>
      </c>
      <c r="T724" s="15" t="str">
        <f aca="false">IF(J724=1,"OFFLINE",IF(AND(Q724&gt;=Inputs!$B$15,R724=1,S724=1,P724&lt;=L724),"PASS","FAIL"))</f>
        <v>PASS</v>
      </c>
    </row>
    <row r="725" customFormat="false" ht="15" hidden="false" customHeight="false" outlineLevel="0" collapsed="false">
      <c r="A725" s="14" t="s">
        <v>1025</v>
      </c>
      <c r="B725" s="14" t="s">
        <v>1019</v>
      </c>
      <c r="C725" s="14" t="s">
        <v>174</v>
      </c>
      <c r="D725" s="14" t="s">
        <v>188</v>
      </c>
      <c r="E725" s="14" t="s">
        <v>172</v>
      </c>
      <c r="F725" s="14" t="s">
        <v>183</v>
      </c>
      <c r="G725" s="14" t="n">
        <v>3</v>
      </c>
      <c r="H725" s="14" t="s">
        <v>158</v>
      </c>
      <c r="I725" s="14" t="s">
        <v>897</v>
      </c>
      <c r="J725" s="15" t="n">
        <f aca="false">IF(B725="SITE LOSS",IF(D725=C725,1,0),IF(B725="REGION LOSS",IF(E725=C725,1,0),0))</f>
        <v>0</v>
      </c>
      <c r="K725" s="15" t="n">
        <f aca="false">IF(B725="SITE LOSS",IF(COUNTIFS('Site Dockets'!$B$7:$B$24,C725,'Site Dockets'!$C$7:$C$24,F725)&gt;0,1,0),IF(B725="REGION LOSS",IF(COUNTIFS('Site Dockets'!$E$7:$E$24,C725,'Site Dockets'!$C$7:$C$24,F725)&gt;0,1,0),0))</f>
        <v>0</v>
      </c>
      <c r="L725" s="15" t="n">
        <f aca="false">IF(J725=1,0,Inputs!$B$11)</f>
        <v>100</v>
      </c>
      <c r="M725" s="15" t="n">
        <f aca="false">IF(J725=1,0,Inputs!$B$12)</f>
        <v>75</v>
      </c>
      <c r="N725" s="15" t="n">
        <f aca="false">IF(J725=1,0,IF(OR(AND(OR(B725="SITE LOSS",B725="REGION LOSS"),K725=1),AND(B725="ROLE COMPROMISE",H725=C725)),Inputs!$B$13,Inputs!$B$14))</f>
        <v>10</v>
      </c>
      <c r="O725" s="15" t="n">
        <f aca="false">IF(J725=1,0,Inputs!$B$13)</f>
        <v>20</v>
      </c>
      <c r="P725" s="15" t="n">
        <f aca="false">SUM(M725:N725)</f>
        <v>85</v>
      </c>
      <c r="Q725" s="15" t="n">
        <f aca="false">IF(J725=1,"",L725-P725)</f>
        <v>15</v>
      </c>
      <c r="R725" s="15" t="n">
        <f aca="false">IF(OR(J725=1,M725&lt;=Inputs!$B$12),1,0)</f>
        <v>1</v>
      </c>
      <c r="S725" s="15" t="n">
        <f aca="false">IF(OR(J725=1,N725&lt;=O725),1,0)</f>
        <v>1</v>
      </c>
      <c r="T725" s="15" t="str">
        <f aca="false">IF(J725=1,"OFFLINE",IF(AND(Q725&gt;=Inputs!$B$15,R725=1,S725=1,P725&lt;=L725),"PASS","FAIL"))</f>
        <v>PASS</v>
      </c>
    </row>
    <row r="726" customFormat="false" ht="15" hidden="false" customHeight="false" outlineLevel="0" collapsed="false">
      <c r="A726" s="14" t="s">
        <v>1025</v>
      </c>
      <c r="B726" s="14" t="s">
        <v>1019</v>
      </c>
      <c r="C726" s="14" t="s">
        <v>174</v>
      </c>
      <c r="D726" s="14" t="s">
        <v>188</v>
      </c>
      <c r="E726" s="14" t="s">
        <v>172</v>
      </c>
      <c r="F726" s="14" t="s">
        <v>183</v>
      </c>
      <c r="G726" s="14" t="n">
        <v>3</v>
      </c>
      <c r="H726" s="14" t="s">
        <v>158</v>
      </c>
      <c r="I726" s="14" t="s">
        <v>899</v>
      </c>
      <c r="J726" s="15" t="n">
        <f aca="false">IF(B726="SITE LOSS",IF(D726=C726,1,0),IF(B726="REGION LOSS",IF(E726=C726,1,0),0))</f>
        <v>0</v>
      </c>
      <c r="K726" s="15" t="n">
        <f aca="false">IF(B726="SITE LOSS",IF(COUNTIFS('Site Dockets'!$B$7:$B$24,C726,'Site Dockets'!$C$7:$C$24,F726)&gt;0,1,0),IF(B726="REGION LOSS",IF(COUNTIFS('Site Dockets'!$E$7:$E$24,C726,'Site Dockets'!$C$7:$C$24,F726)&gt;0,1,0),0))</f>
        <v>0</v>
      </c>
      <c r="L726" s="15" t="n">
        <f aca="false">IF(J726=1,0,Inputs!$B$11)</f>
        <v>100</v>
      </c>
      <c r="M726" s="15" t="n">
        <f aca="false">IF(J726=1,0,Inputs!$B$12)</f>
        <v>75</v>
      </c>
      <c r="N726" s="15" t="n">
        <f aca="false">IF(J726=1,0,IF(OR(AND(OR(B726="SITE LOSS",B726="REGION LOSS"),K726=1),AND(B726="ROLE COMPROMISE",H726=C726)),Inputs!$B$13,Inputs!$B$14))</f>
        <v>10</v>
      </c>
      <c r="O726" s="15" t="n">
        <f aca="false">IF(J726=1,0,Inputs!$B$13)</f>
        <v>20</v>
      </c>
      <c r="P726" s="15" t="n">
        <f aca="false">SUM(M726:N726)</f>
        <v>85</v>
      </c>
      <c r="Q726" s="15" t="n">
        <f aca="false">IF(J726=1,"",L726-P726)</f>
        <v>15</v>
      </c>
      <c r="R726" s="15" t="n">
        <f aca="false">IF(OR(J726=1,M726&lt;=Inputs!$B$12),1,0)</f>
        <v>1</v>
      </c>
      <c r="S726" s="15" t="n">
        <f aca="false">IF(OR(J726=1,N726&lt;=O726),1,0)</f>
        <v>1</v>
      </c>
      <c r="T726" s="15" t="str">
        <f aca="false">IF(J726=1,"OFFLINE",IF(AND(Q726&gt;=Inputs!$B$15,R726=1,S726=1,P726&lt;=L726),"PASS","FAIL"))</f>
        <v>PASS</v>
      </c>
    </row>
    <row r="727" customFormat="false" ht="15" hidden="false" customHeight="false" outlineLevel="0" collapsed="false">
      <c r="A727" s="14" t="s">
        <v>1025</v>
      </c>
      <c r="B727" s="14" t="s">
        <v>1019</v>
      </c>
      <c r="C727" s="14" t="s">
        <v>174</v>
      </c>
      <c r="D727" s="14" t="s">
        <v>190</v>
      </c>
      <c r="E727" s="14" t="s">
        <v>152</v>
      </c>
      <c r="F727" s="14" t="s">
        <v>191</v>
      </c>
      <c r="G727" s="14" t="n">
        <v>1</v>
      </c>
      <c r="H727" s="14" t="s">
        <v>154</v>
      </c>
      <c r="I727" s="14" t="s">
        <v>890</v>
      </c>
      <c r="J727" s="15" t="n">
        <f aca="false">IF(B727="SITE LOSS",IF(D727=C727,1,0),IF(B727="REGION LOSS",IF(E727=C727,1,0),0))</f>
        <v>0</v>
      </c>
      <c r="K727" s="15" t="n">
        <f aca="false">IF(B727="SITE LOSS",IF(COUNTIFS('Site Dockets'!$B$7:$B$24,C727,'Site Dockets'!$C$7:$C$24,F727)&gt;0,1,0),IF(B727="REGION LOSS",IF(COUNTIFS('Site Dockets'!$E$7:$E$24,C727,'Site Dockets'!$C$7:$C$24,F727)&gt;0,1,0),0))</f>
        <v>0</v>
      </c>
      <c r="L727" s="15" t="n">
        <f aca="false">IF(J727=1,0,Inputs!$B$11)</f>
        <v>100</v>
      </c>
      <c r="M727" s="15" t="n">
        <f aca="false">IF(J727=1,0,Inputs!$B$12)</f>
        <v>75</v>
      </c>
      <c r="N727" s="15" t="n">
        <f aca="false">IF(J727=1,0,IF(OR(AND(OR(B727="SITE LOSS",B727="REGION LOSS"),K727=1),AND(B727="ROLE COMPROMISE",H727=C727)),Inputs!$B$13,Inputs!$B$14))</f>
        <v>10</v>
      </c>
      <c r="O727" s="15" t="n">
        <f aca="false">IF(J727=1,0,Inputs!$B$13)</f>
        <v>20</v>
      </c>
      <c r="P727" s="15" t="n">
        <f aca="false">SUM(M727:N727)</f>
        <v>85</v>
      </c>
      <c r="Q727" s="15" t="n">
        <f aca="false">IF(J727=1,"",L727-P727)</f>
        <v>15</v>
      </c>
      <c r="R727" s="15" t="n">
        <f aca="false">IF(OR(J727=1,M727&lt;=Inputs!$B$12),1,0)</f>
        <v>1</v>
      </c>
      <c r="S727" s="15" t="n">
        <f aca="false">IF(OR(J727=1,N727&lt;=O727),1,0)</f>
        <v>1</v>
      </c>
      <c r="T727" s="15" t="str">
        <f aca="false">IF(J727=1,"OFFLINE",IF(AND(Q727&gt;=Inputs!$B$15,R727=1,S727=1,P727&lt;=L727),"PASS","FAIL"))</f>
        <v>PASS</v>
      </c>
    </row>
    <row r="728" customFormat="false" ht="15" hidden="false" customHeight="false" outlineLevel="0" collapsed="false">
      <c r="A728" s="14" t="s">
        <v>1025</v>
      </c>
      <c r="B728" s="14" t="s">
        <v>1019</v>
      </c>
      <c r="C728" s="14" t="s">
        <v>174</v>
      </c>
      <c r="D728" s="14" t="s">
        <v>190</v>
      </c>
      <c r="E728" s="14" t="s">
        <v>152</v>
      </c>
      <c r="F728" s="14" t="s">
        <v>191</v>
      </c>
      <c r="G728" s="14" t="n">
        <v>1</v>
      </c>
      <c r="H728" s="14" t="s">
        <v>154</v>
      </c>
      <c r="I728" s="14" t="s">
        <v>892</v>
      </c>
      <c r="J728" s="15" t="n">
        <f aca="false">IF(B728="SITE LOSS",IF(D728=C728,1,0),IF(B728="REGION LOSS",IF(E728=C728,1,0),0))</f>
        <v>0</v>
      </c>
      <c r="K728" s="15" t="n">
        <f aca="false">IF(B728="SITE LOSS",IF(COUNTIFS('Site Dockets'!$B$7:$B$24,C728,'Site Dockets'!$C$7:$C$24,F728)&gt;0,1,0),IF(B728="REGION LOSS",IF(COUNTIFS('Site Dockets'!$E$7:$E$24,C728,'Site Dockets'!$C$7:$C$24,F728)&gt;0,1,0),0))</f>
        <v>0</v>
      </c>
      <c r="L728" s="15" t="n">
        <f aca="false">IF(J728=1,0,Inputs!$B$11)</f>
        <v>100</v>
      </c>
      <c r="M728" s="15" t="n">
        <f aca="false">IF(J728=1,0,Inputs!$B$12)</f>
        <v>75</v>
      </c>
      <c r="N728" s="15" t="n">
        <f aca="false">IF(J728=1,0,IF(OR(AND(OR(B728="SITE LOSS",B728="REGION LOSS"),K728=1),AND(B728="ROLE COMPROMISE",H728=C728)),Inputs!$B$13,Inputs!$B$14))</f>
        <v>10</v>
      </c>
      <c r="O728" s="15" t="n">
        <f aca="false">IF(J728=1,0,Inputs!$B$13)</f>
        <v>20</v>
      </c>
      <c r="P728" s="15" t="n">
        <f aca="false">SUM(M728:N728)</f>
        <v>85</v>
      </c>
      <c r="Q728" s="15" t="n">
        <f aca="false">IF(J728=1,"",L728-P728)</f>
        <v>15</v>
      </c>
      <c r="R728" s="15" t="n">
        <f aca="false">IF(OR(J728=1,M728&lt;=Inputs!$B$12),1,0)</f>
        <v>1</v>
      </c>
      <c r="S728" s="15" t="n">
        <f aca="false">IF(OR(J728=1,N728&lt;=O728),1,0)</f>
        <v>1</v>
      </c>
      <c r="T728" s="15" t="str">
        <f aca="false">IF(J728=1,"OFFLINE",IF(AND(Q728&gt;=Inputs!$B$15,R728=1,S728=1,P728&lt;=L728),"PASS","FAIL"))</f>
        <v>PASS</v>
      </c>
    </row>
    <row r="729" customFormat="false" ht="15" hidden="false" customHeight="false" outlineLevel="0" collapsed="false">
      <c r="A729" s="14" t="s">
        <v>1025</v>
      </c>
      <c r="B729" s="14" t="s">
        <v>1019</v>
      </c>
      <c r="C729" s="14" t="s">
        <v>174</v>
      </c>
      <c r="D729" s="14" t="s">
        <v>190</v>
      </c>
      <c r="E729" s="14" t="s">
        <v>152</v>
      </c>
      <c r="F729" s="14" t="s">
        <v>191</v>
      </c>
      <c r="G729" s="14" t="n">
        <v>1</v>
      </c>
      <c r="H729" s="14" t="s">
        <v>154</v>
      </c>
      <c r="I729" s="14" t="s">
        <v>811</v>
      </c>
      <c r="J729" s="15" t="n">
        <f aca="false">IF(B729="SITE LOSS",IF(D729=C729,1,0),IF(B729="REGION LOSS",IF(E729=C729,1,0),0))</f>
        <v>0</v>
      </c>
      <c r="K729" s="15" t="n">
        <f aca="false">IF(B729="SITE LOSS",IF(COUNTIFS('Site Dockets'!$B$7:$B$24,C729,'Site Dockets'!$C$7:$C$24,F729)&gt;0,1,0),IF(B729="REGION LOSS",IF(COUNTIFS('Site Dockets'!$E$7:$E$24,C729,'Site Dockets'!$C$7:$C$24,F729)&gt;0,1,0),0))</f>
        <v>0</v>
      </c>
      <c r="L729" s="15" t="n">
        <f aca="false">IF(J729=1,0,Inputs!$B$11)</f>
        <v>100</v>
      </c>
      <c r="M729" s="15" t="n">
        <f aca="false">IF(J729=1,0,Inputs!$B$12)</f>
        <v>75</v>
      </c>
      <c r="N729" s="15" t="n">
        <f aca="false">IF(J729=1,0,IF(OR(AND(OR(B729="SITE LOSS",B729="REGION LOSS"),K729=1),AND(B729="ROLE COMPROMISE",H729=C729)),Inputs!$B$13,Inputs!$B$14))</f>
        <v>10</v>
      </c>
      <c r="O729" s="15" t="n">
        <f aca="false">IF(J729=1,0,Inputs!$B$13)</f>
        <v>20</v>
      </c>
      <c r="P729" s="15" t="n">
        <f aca="false">SUM(M729:N729)</f>
        <v>85</v>
      </c>
      <c r="Q729" s="15" t="n">
        <f aca="false">IF(J729=1,"",L729-P729)</f>
        <v>15</v>
      </c>
      <c r="R729" s="15" t="n">
        <f aca="false">IF(OR(J729=1,M729&lt;=Inputs!$B$12),1,0)</f>
        <v>1</v>
      </c>
      <c r="S729" s="15" t="n">
        <f aca="false">IF(OR(J729=1,N729&lt;=O729),1,0)</f>
        <v>1</v>
      </c>
      <c r="T729" s="15" t="str">
        <f aca="false">IF(J729=1,"OFFLINE",IF(AND(Q729&gt;=Inputs!$B$15,R729=1,S729=1,P729&lt;=L729),"PASS","FAIL"))</f>
        <v>PASS</v>
      </c>
    </row>
    <row r="730" customFormat="false" ht="15" hidden="false" customHeight="false" outlineLevel="0" collapsed="false">
      <c r="A730" s="14" t="s">
        <v>1025</v>
      </c>
      <c r="B730" s="14" t="s">
        <v>1019</v>
      </c>
      <c r="C730" s="14" t="s">
        <v>174</v>
      </c>
      <c r="D730" s="14" t="s">
        <v>190</v>
      </c>
      <c r="E730" s="14" t="s">
        <v>152</v>
      </c>
      <c r="F730" s="14" t="s">
        <v>191</v>
      </c>
      <c r="G730" s="14" t="n">
        <v>1</v>
      </c>
      <c r="H730" s="14" t="s">
        <v>154</v>
      </c>
      <c r="I730" s="14" t="s">
        <v>895</v>
      </c>
      <c r="J730" s="15" t="n">
        <f aca="false">IF(B730="SITE LOSS",IF(D730=C730,1,0),IF(B730="REGION LOSS",IF(E730=C730,1,0),0))</f>
        <v>0</v>
      </c>
      <c r="K730" s="15" t="n">
        <f aca="false">IF(B730="SITE LOSS",IF(COUNTIFS('Site Dockets'!$B$7:$B$24,C730,'Site Dockets'!$C$7:$C$24,F730)&gt;0,1,0),IF(B730="REGION LOSS",IF(COUNTIFS('Site Dockets'!$E$7:$E$24,C730,'Site Dockets'!$C$7:$C$24,F730)&gt;0,1,0),0))</f>
        <v>0</v>
      </c>
      <c r="L730" s="15" t="n">
        <f aca="false">IF(J730=1,0,Inputs!$B$11)</f>
        <v>100</v>
      </c>
      <c r="M730" s="15" t="n">
        <f aca="false">IF(J730=1,0,Inputs!$B$12)</f>
        <v>75</v>
      </c>
      <c r="N730" s="15" t="n">
        <f aca="false">IF(J730=1,0,IF(OR(AND(OR(B730="SITE LOSS",B730="REGION LOSS"),K730=1),AND(B730="ROLE COMPROMISE",H730=C730)),Inputs!$B$13,Inputs!$B$14))</f>
        <v>10</v>
      </c>
      <c r="O730" s="15" t="n">
        <f aca="false">IF(J730=1,0,Inputs!$B$13)</f>
        <v>20</v>
      </c>
      <c r="P730" s="15" t="n">
        <f aca="false">SUM(M730:N730)</f>
        <v>85</v>
      </c>
      <c r="Q730" s="15" t="n">
        <f aca="false">IF(J730=1,"",L730-P730)</f>
        <v>15</v>
      </c>
      <c r="R730" s="15" t="n">
        <f aca="false">IF(OR(J730=1,M730&lt;=Inputs!$B$12),1,0)</f>
        <v>1</v>
      </c>
      <c r="S730" s="15" t="n">
        <f aca="false">IF(OR(J730=1,N730&lt;=O730),1,0)</f>
        <v>1</v>
      </c>
      <c r="T730" s="15" t="str">
        <f aca="false">IF(J730=1,"OFFLINE",IF(AND(Q730&gt;=Inputs!$B$15,R730=1,S730=1,P730&lt;=L730),"PASS","FAIL"))</f>
        <v>PASS</v>
      </c>
    </row>
    <row r="731" customFormat="false" ht="15" hidden="false" customHeight="false" outlineLevel="0" collapsed="false">
      <c r="A731" s="14" t="s">
        <v>1025</v>
      </c>
      <c r="B731" s="14" t="s">
        <v>1019</v>
      </c>
      <c r="C731" s="14" t="s">
        <v>174</v>
      </c>
      <c r="D731" s="14" t="s">
        <v>190</v>
      </c>
      <c r="E731" s="14" t="s">
        <v>152</v>
      </c>
      <c r="F731" s="14" t="s">
        <v>191</v>
      </c>
      <c r="G731" s="14" t="n">
        <v>1</v>
      </c>
      <c r="H731" s="14" t="s">
        <v>154</v>
      </c>
      <c r="I731" s="14" t="s">
        <v>897</v>
      </c>
      <c r="J731" s="15" t="n">
        <f aca="false">IF(B731="SITE LOSS",IF(D731=C731,1,0),IF(B731="REGION LOSS",IF(E731=C731,1,0),0))</f>
        <v>0</v>
      </c>
      <c r="K731" s="15" t="n">
        <f aca="false">IF(B731="SITE LOSS",IF(COUNTIFS('Site Dockets'!$B$7:$B$24,C731,'Site Dockets'!$C$7:$C$24,F731)&gt;0,1,0),IF(B731="REGION LOSS",IF(COUNTIFS('Site Dockets'!$E$7:$E$24,C731,'Site Dockets'!$C$7:$C$24,F731)&gt;0,1,0),0))</f>
        <v>0</v>
      </c>
      <c r="L731" s="15" t="n">
        <f aca="false">IF(J731=1,0,Inputs!$B$11)</f>
        <v>100</v>
      </c>
      <c r="M731" s="15" t="n">
        <f aca="false">IF(J731=1,0,Inputs!$B$12)</f>
        <v>75</v>
      </c>
      <c r="N731" s="15" t="n">
        <f aca="false">IF(J731=1,0,IF(OR(AND(OR(B731="SITE LOSS",B731="REGION LOSS"),K731=1),AND(B731="ROLE COMPROMISE",H731=C731)),Inputs!$B$13,Inputs!$B$14))</f>
        <v>10</v>
      </c>
      <c r="O731" s="15" t="n">
        <f aca="false">IF(J731=1,0,Inputs!$B$13)</f>
        <v>20</v>
      </c>
      <c r="P731" s="15" t="n">
        <f aca="false">SUM(M731:N731)</f>
        <v>85</v>
      </c>
      <c r="Q731" s="15" t="n">
        <f aca="false">IF(J731=1,"",L731-P731)</f>
        <v>15</v>
      </c>
      <c r="R731" s="15" t="n">
        <f aca="false">IF(OR(J731=1,M731&lt;=Inputs!$B$12),1,0)</f>
        <v>1</v>
      </c>
      <c r="S731" s="15" t="n">
        <f aca="false">IF(OR(J731=1,N731&lt;=O731),1,0)</f>
        <v>1</v>
      </c>
      <c r="T731" s="15" t="str">
        <f aca="false">IF(J731=1,"OFFLINE",IF(AND(Q731&gt;=Inputs!$B$15,R731=1,S731=1,P731&lt;=L731),"PASS","FAIL"))</f>
        <v>PASS</v>
      </c>
    </row>
    <row r="732" customFormat="false" ht="15" hidden="false" customHeight="false" outlineLevel="0" collapsed="false">
      <c r="A732" s="14" t="s">
        <v>1025</v>
      </c>
      <c r="B732" s="14" t="s">
        <v>1019</v>
      </c>
      <c r="C732" s="14" t="s">
        <v>174</v>
      </c>
      <c r="D732" s="14" t="s">
        <v>190</v>
      </c>
      <c r="E732" s="14" t="s">
        <v>152</v>
      </c>
      <c r="F732" s="14" t="s">
        <v>191</v>
      </c>
      <c r="G732" s="14" t="n">
        <v>1</v>
      </c>
      <c r="H732" s="14" t="s">
        <v>154</v>
      </c>
      <c r="I732" s="14" t="s">
        <v>899</v>
      </c>
      <c r="J732" s="15" t="n">
        <f aca="false">IF(B732="SITE LOSS",IF(D732=C732,1,0),IF(B732="REGION LOSS",IF(E732=C732,1,0),0))</f>
        <v>0</v>
      </c>
      <c r="K732" s="15" t="n">
        <f aca="false">IF(B732="SITE LOSS",IF(COUNTIFS('Site Dockets'!$B$7:$B$24,C732,'Site Dockets'!$C$7:$C$24,F732)&gt;0,1,0),IF(B732="REGION LOSS",IF(COUNTIFS('Site Dockets'!$E$7:$E$24,C732,'Site Dockets'!$C$7:$C$24,F732)&gt;0,1,0),0))</f>
        <v>0</v>
      </c>
      <c r="L732" s="15" t="n">
        <f aca="false">IF(J732=1,0,Inputs!$B$11)</f>
        <v>100</v>
      </c>
      <c r="M732" s="15" t="n">
        <f aca="false">IF(J732=1,0,Inputs!$B$12)</f>
        <v>75</v>
      </c>
      <c r="N732" s="15" t="n">
        <f aca="false">IF(J732=1,0,IF(OR(AND(OR(B732="SITE LOSS",B732="REGION LOSS"),K732=1),AND(B732="ROLE COMPROMISE",H732=C732)),Inputs!$B$13,Inputs!$B$14))</f>
        <v>10</v>
      </c>
      <c r="O732" s="15" t="n">
        <f aca="false">IF(J732=1,0,Inputs!$B$13)</f>
        <v>20</v>
      </c>
      <c r="P732" s="15" t="n">
        <f aca="false">SUM(M732:N732)</f>
        <v>85</v>
      </c>
      <c r="Q732" s="15" t="n">
        <f aca="false">IF(J732=1,"",L732-P732)</f>
        <v>15</v>
      </c>
      <c r="R732" s="15" t="n">
        <f aca="false">IF(OR(J732=1,M732&lt;=Inputs!$B$12),1,0)</f>
        <v>1</v>
      </c>
      <c r="S732" s="15" t="n">
        <f aca="false">IF(OR(J732=1,N732&lt;=O732),1,0)</f>
        <v>1</v>
      </c>
      <c r="T732" s="15" t="str">
        <f aca="false">IF(J732=1,"OFFLINE",IF(AND(Q732&gt;=Inputs!$B$15,R732=1,S732=1,P732&lt;=L732),"PASS","FAIL"))</f>
        <v>PASS</v>
      </c>
    </row>
    <row r="733" customFormat="false" ht="15" hidden="false" customHeight="false" outlineLevel="0" collapsed="false">
      <c r="A733" s="14" t="s">
        <v>1025</v>
      </c>
      <c r="B733" s="14" t="s">
        <v>1019</v>
      </c>
      <c r="C733" s="14" t="s">
        <v>174</v>
      </c>
      <c r="D733" s="14" t="s">
        <v>194</v>
      </c>
      <c r="E733" s="14" t="s">
        <v>169</v>
      </c>
      <c r="F733" s="14" t="s">
        <v>191</v>
      </c>
      <c r="G733" s="14" t="n">
        <v>2</v>
      </c>
      <c r="H733" s="14" t="s">
        <v>153</v>
      </c>
      <c r="I733" s="14" t="s">
        <v>890</v>
      </c>
      <c r="J733" s="15" t="n">
        <f aca="false">IF(B733="SITE LOSS",IF(D733=C733,1,0),IF(B733="REGION LOSS",IF(E733=C733,1,0),0))</f>
        <v>0</v>
      </c>
      <c r="K733" s="15" t="n">
        <f aca="false">IF(B733="SITE LOSS",IF(COUNTIFS('Site Dockets'!$B$7:$B$24,C733,'Site Dockets'!$C$7:$C$24,F733)&gt;0,1,0),IF(B733="REGION LOSS",IF(COUNTIFS('Site Dockets'!$E$7:$E$24,C733,'Site Dockets'!$C$7:$C$24,F733)&gt;0,1,0),0))</f>
        <v>0</v>
      </c>
      <c r="L733" s="15" t="n">
        <f aca="false">IF(J733=1,0,Inputs!$B$11)</f>
        <v>100</v>
      </c>
      <c r="M733" s="15" t="n">
        <f aca="false">IF(J733=1,0,Inputs!$B$12)</f>
        <v>75</v>
      </c>
      <c r="N733" s="15" t="n">
        <f aca="false">IF(J733=1,0,IF(OR(AND(OR(B733="SITE LOSS",B733="REGION LOSS"),K733=1),AND(B733="ROLE COMPROMISE",H733=C733)),Inputs!$B$13,Inputs!$B$14))</f>
        <v>10</v>
      </c>
      <c r="O733" s="15" t="n">
        <f aca="false">IF(J733=1,0,Inputs!$B$13)</f>
        <v>20</v>
      </c>
      <c r="P733" s="15" t="n">
        <f aca="false">SUM(M733:N733)</f>
        <v>85</v>
      </c>
      <c r="Q733" s="15" t="n">
        <f aca="false">IF(J733=1,"",L733-P733)</f>
        <v>15</v>
      </c>
      <c r="R733" s="15" t="n">
        <f aca="false">IF(OR(J733=1,M733&lt;=Inputs!$B$12),1,0)</f>
        <v>1</v>
      </c>
      <c r="S733" s="15" t="n">
        <f aca="false">IF(OR(J733=1,N733&lt;=O733),1,0)</f>
        <v>1</v>
      </c>
      <c r="T733" s="15" t="str">
        <f aca="false">IF(J733=1,"OFFLINE",IF(AND(Q733&gt;=Inputs!$B$15,R733=1,S733=1,P733&lt;=L733),"PASS","FAIL"))</f>
        <v>PASS</v>
      </c>
    </row>
    <row r="734" customFormat="false" ht="15" hidden="false" customHeight="false" outlineLevel="0" collapsed="false">
      <c r="A734" s="14" t="s">
        <v>1025</v>
      </c>
      <c r="B734" s="14" t="s">
        <v>1019</v>
      </c>
      <c r="C734" s="14" t="s">
        <v>174</v>
      </c>
      <c r="D734" s="14" t="s">
        <v>194</v>
      </c>
      <c r="E734" s="14" t="s">
        <v>169</v>
      </c>
      <c r="F734" s="14" t="s">
        <v>191</v>
      </c>
      <c r="G734" s="14" t="n">
        <v>2</v>
      </c>
      <c r="H734" s="14" t="s">
        <v>153</v>
      </c>
      <c r="I734" s="14" t="s">
        <v>892</v>
      </c>
      <c r="J734" s="15" t="n">
        <f aca="false">IF(B734="SITE LOSS",IF(D734=C734,1,0),IF(B734="REGION LOSS",IF(E734=C734,1,0),0))</f>
        <v>0</v>
      </c>
      <c r="K734" s="15" t="n">
        <f aca="false">IF(B734="SITE LOSS",IF(COUNTIFS('Site Dockets'!$B$7:$B$24,C734,'Site Dockets'!$C$7:$C$24,F734)&gt;0,1,0),IF(B734="REGION LOSS",IF(COUNTIFS('Site Dockets'!$E$7:$E$24,C734,'Site Dockets'!$C$7:$C$24,F734)&gt;0,1,0),0))</f>
        <v>0</v>
      </c>
      <c r="L734" s="15" t="n">
        <f aca="false">IF(J734=1,0,Inputs!$B$11)</f>
        <v>100</v>
      </c>
      <c r="M734" s="15" t="n">
        <f aca="false">IF(J734=1,0,Inputs!$B$12)</f>
        <v>75</v>
      </c>
      <c r="N734" s="15" t="n">
        <f aca="false">IF(J734=1,0,IF(OR(AND(OR(B734="SITE LOSS",B734="REGION LOSS"),K734=1),AND(B734="ROLE COMPROMISE",H734=C734)),Inputs!$B$13,Inputs!$B$14))</f>
        <v>10</v>
      </c>
      <c r="O734" s="15" t="n">
        <f aca="false">IF(J734=1,0,Inputs!$B$13)</f>
        <v>20</v>
      </c>
      <c r="P734" s="15" t="n">
        <f aca="false">SUM(M734:N734)</f>
        <v>85</v>
      </c>
      <c r="Q734" s="15" t="n">
        <f aca="false">IF(J734=1,"",L734-P734)</f>
        <v>15</v>
      </c>
      <c r="R734" s="15" t="n">
        <f aca="false">IF(OR(J734=1,M734&lt;=Inputs!$B$12),1,0)</f>
        <v>1</v>
      </c>
      <c r="S734" s="15" t="n">
        <f aca="false">IF(OR(J734=1,N734&lt;=O734),1,0)</f>
        <v>1</v>
      </c>
      <c r="T734" s="15" t="str">
        <f aca="false">IF(J734=1,"OFFLINE",IF(AND(Q734&gt;=Inputs!$B$15,R734=1,S734=1,P734&lt;=L734),"PASS","FAIL"))</f>
        <v>PASS</v>
      </c>
    </row>
    <row r="735" customFormat="false" ht="15" hidden="false" customHeight="false" outlineLevel="0" collapsed="false">
      <c r="A735" s="14" t="s">
        <v>1025</v>
      </c>
      <c r="B735" s="14" t="s">
        <v>1019</v>
      </c>
      <c r="C735" s="14" t="s">
        <v>174</v>
      </c>
      <c r="D735" s="14" t="s">
        <v>194</v>
      </c>
      <c r="E735" s="14" t="s">
        <v>169</v>
      </c>
      <c r="F735" s="14" t="s">
        <v>191</v>
      </c>
      <c r="G735" s="14" t="n">
        <v>2</v>
      </c>
      <c r="H735" s="14" t="s">
        <v>153</v>
      </c>
      <c r="I735" s="14" t="s">
        <v>811</v>
      </c>
      <c r="J735" s="15" t="n">
        <f aca="false">IF(B735="SITE LOSS",IF(D735=C735,1,0),IF(B735="REGION LOSS",IF(E735=C735,1,0),0))</f>
        <v>0</v>
      </c>
      <c r="K735" s="15" t="n">
        <f aca="false">IF(B735="SITE LOSS",IF(COUNTIFS('Site Dockets'!$B$7:$B$24,C735,'Site Dockets'!$C$7:$C$24,F735)&gt;0,1,0),IF(B735="REGION LOSS",IF(COUNTIFS('Site Dockets'!$E$7:$E$24,C735,'Site Dockets'!$C$7:$C$24,F735)&gt;0,1,0),0))</f>
        <v>0</v>
      </c>
      <c r="L735" s="15" t="n">
        <f aca="false">IF(J735=1,0,Inputs!$B$11)</f>
        <v>100</v>
      </c>
      <c r="M735" s="15" t="n">
        <f aca="false">IF(J735=1,0,Inputs!$B$12)</f>
        <v>75</v>
      </c>
      <c r="N735" s="15" t="n">
        <f aca="false">IF(J735=1,0,IF(OR(AND(OR(B735="SITE LOSS",B735="REGION LOSS"),K735=1),AND(B735="ROLE COMPROMISE",H735=C735)),Inputs!$B$13,Inputs!$B$14))</f>
        <v>10</v>
      </c>
      <c r="O735" s="15" t="n">
        <f aca="false">IF(J735=1,0,Inputs!$B$13)</f>
        <v>20</v>
      </c>
      <c r="P735" s="15" t="n">
        <f aca="false">SUM(M735:N735)</f>
        <v>85</v>
      </c>
      <c r="Q735" s="15" t="n">
        <f aca="false">IF(J735=1,"",L735-P735)</f>
        <v>15</v>
      </c>
      <c r="R735" s="15" t="n">
        <f aca="false">IF(OR(J735=1,M735&lt;=Inputs!$B$12),1,0)</f>
        <v>1</v>
      </c>
      <c r="S735" s="15" t="n">
        <f aca="false">IF(OR(J735=1,N735&lt;=O735),1,0)</f>
        <v>1</v>
      </c>
      <c r="T735" s="15" t="str">
        <f aca="false">IF(J735=1,"OFFLINE",IF(AND(Q735&gt;=Inputs!$B$15,R735=1,S735=1,P735&lt;=L735),"PASS","FAIL"))</f>
        <v>PASS</v>
      </c>
    </row>
    <row r="736" customFormat="false" ht="15" hidden="false" customHeight="false" outlineLevel="0" collapsed="false">
      <c r="A736" s="14" t="s">
        <v>1025</v>
      </c>
      <c r="B736" s="14" t="s">
        <v>1019</v>
      </c>
      <c r="C736" s="14" t="s">
        <v>174</v>
      </c>
      <c r="D736" s="14" t="s">
        <v>194</v>
      </c>
      <c r="E736" s="14" t="s">
        <v>169</v>
      </c>
      <c r="F736" s="14" t="s">
        <v>191</v>
      </c>
      <c r="G736" s="14" t="n">
        <v>2</v>
      </c>
      <c r="H736" s="14" t="s">
        <v>153</v>
      </c>
      <c r="I736" s="14" t="s">
        <v>895</v>
      </c>
      <c r="J736" s="15" t="n">
        <f aca="false">IF(B736="SITE LOSS",IF(D736=C736,1,0),IF(B736="REGION LOSS",IF(E736=C736,1,0),0))</f>
        <v>0</v>
      </c>
      <c r="K736" s="15" t="n">
        <f aca="false">IF(B736="SITE LOSS",IF(COUNTIFS('Site Dockets'!$B$7:$B$24,C736,'Site Dockets'!$C$7:$C$24,F736)&gt;0,1,0),IF(B736="REGION LOSS",IF(COUNTIFS('Site Dockets'!$E$7:$E$24,C736,'Site Dockets'!$C$7:$C$24,F736)&gt;0,1,0),0))</f>
        <v>0</v>
      </c>
      <c r="L736" s="15" t="n">
        <f aca="false">IF(J736=1,0,Inputs!$B$11)</f>
        <v>100</v>
      </c>
      <c r="M736" s="15" t="n">
        <f aca="false">IF(J736=1,0,Inputs!$B$12)</f>
        <v>75</v>
      </c>
      <c r="N736" s="15" t="n">
        <f aca="false">IF(J736=1,0,IF(OR(AND(OR(B736="SITE LOSS",B736="REGION LOSS"),K736=1),AND(B736="ROLE COMPROMISE",H736=C736)),Inputs!$B$13,Inputs!$B$14))</f>
        <v>10</v>
      </c>
      <c r="O736" s="15" t="n">
        <f aca="false">IF(J736=1,0,Inputs!$B$13)</f>
        <v>20</v>
      </c>
      <c r="P736" s="15" t="n">
        <f aca="false">SUM(M736:N736)</f>
        <v>85</v>
      </c>
      <c r="Q736" s="15" t="n">
        <f aca="false">IF(J736=1,"",L736-P736)</f>
        <v>15</v>
      </c>
      <c r="R736" s="15" t="n">
        <f aca="false">IF(OR(J736=1,M736&lt;=Inputs!$B$12),1,0)</f>
        <v>1</v>
      </c>
      <c r="S736" s="15" t="n">
        <f aca="false">IF(OR(J736=1,N736&lt;=O736),1,0)</f>
        <v>1</v>
      </c>
      <c r="T736" s="15" t="str">
        <f aca="false">IF(J736=1,"OFFLINE",IF(AND(Q736&gt;=Inputs!$B$15,R736=1,S736=1,P736&lt;=L736),"PASS","FAIL"))</f>
        <v>PASS</v>
      </c>
    </row>
    <row r="737" customFormat="false" ht="15" hidden="false" customHeight="false" outlineLevel="0" collapsed="false">
      <c r="A737" s="14" t="s">
        <v>1025</v>
      </c>
      <c r="B737" s="14" t="s">
        <v>1019</v>
      </c>
      <c r="C737" s="14" t="s">
        <v>174</v>
      </c>
      <c r="D737" s="14" t="s">
        <v>194</v>
      </c>
      <c r="E737" s="14" t="s">
        <v>169</v>
      </c>
      <c r="F737" s="14" t="s">
        <v>191</v>
      </c>
      <c r="G737" s="14" t="n">
        <v>2</v>
      </c>
      <c r="H737" s="14" t="s">
        <v>153</v>
      </c>
      <c r="I737" s="14" t="s">
        <v>897</v>
      </c>
      <c r="J737" s="15" t="n">
        <f aca="false">IF(B737="SITE LOSS",IF(D737=C737,1,0),IF(B737="REGION LOSS",IF(E737=C737,1,0),0))</f>
        <v>0</v>
      </c>
      <c r="K737" s="15" t="n">
        <f aca="false">IF(B737="SITE LOSS",IF(COUNTIFS('Site Dockets'!$B$7:$B$24,C737,'Site Dockets'!$C$7:$C$24,F737)&gt;0,1,0),IF(B737="REGION LOSS",IF(COUNTIFS('Site Dockets'!$E$7:$E$24,C737,'Site Dockets'!$C$7:$C$24,F737)&gt;0,1,0),0))</f>
        <v>0</v>
      </c>
      <c r="L737" s="15" t="n">
        <f aca="false">IF(J737=1,0,Inputs!$B$11)</f>
        <v>100</v>
      </c>
      <c r="M737" s="15" t="n">
        <f aca="false">IF(J737=1,0,Inputs!$B$12)</f>
        <v>75</v>
      </c>
      <c r="N737" s="15" t="n">
        <f aca="false">IF(J737=1,0,IF(OR(AND(OR(B737="SITE LOSS",B737="REGION LOSS"),K737=1),AND(B737="ROLE COMPROMISE",H737=C737)),Inputs!$B$13,Inputs!$B$14))</f>
        <v>10</v>
      </c>
      <c r="O737" s="15" t="n">
        <f aca="false">IF(J737=1,0,Inputs!$B$13)</f>
        <v>20</v>
      </c>
      <c r="P737" s="15" t="n">
        <f aca="false">SUM(M737:N737)</f>
        <v>85</v>
      </c>
      <c r="Q737" s="15" t="n">
        <f aca="false">IF(J737=1,"",L737-P737)</f>
        <v>15</v>
      </c>
      <c r="R737" s="15" t="n">
        <f aca="false">IF(OR(J737=1,M737&lt;=Inputs!$B$12),1,0)</f>
        <v>1</v>
      </c>
      <c r="S737" s="15" t="n">
        <f aca="false">IF(OR(J737=1,N737&lt;=O737),1,0)</f>
        <v>1</v>
      </c>
      <c r="T737" s="15" t="str">
        <f aca="false">IF(J737=1,"OFFLINE",IF(AND(Q737&gt;=Inputs!$B$15,R737=1,S737=1,P737&lt;=L737),"PASS","FAIL"))</f>
        <v>PASS</v>
      </c>
    </row>
    <row r="738" customFormat="false" ht="15" hidden="false" customHeight="false" outlineLevel="0" collapsed="false">
      <c r="A738" s="14" t="s">
        <v>1025</v>
      </c>
      <c r="B738" s="14" t="s">
        <v>1019</v>
      </c>
      <c r="C738" s="14" t="s">
        <v>174</v>
      </c>
      <c r="D738" s="14" t="s">
        <v>194</v>
      </c>
      <c r="E738" s="14" t="s">
        <v>169</v>
      </c>
      <c r="F738" s="14" t="s">
        <v>191</v>
      </c>
      <c r="G738" s="14" t="n">
        <v>2</v>
      </c>
      <c r="H738" s="14" t="s">
        <v>153</v>
      </c>
      <c r="I738" s="14" t="s">
        <v>899</v>
      </c>
      <c r="J738" s="15" t="n">
        <f aca="false">IF(B738="SITE LOSS",IF(D738=C738,1,0),IF(B738="REGION LOSS",IF(E738=C738,1,0),0))</f>
        <v>0</v>
      </c>
      <c r="K738" s="15" t="n">
        <f aca="false">IF(B738="SITE LOSS",IF(COUNTIFS('Site Dockets'!$B$7:$B$24,C738,'Site Dockets'!$C$7:$C$24,F738)&gt;0,1,0),IF(B738="REGION LOSS",IF(COUNTIFS('Site Dockets'!$E$7:$E$24,C738,'Site Dockets'!$C$7:$C$24,F738)&gt;0,1,0),0))</f>
        <v>0</v>
      </c>
      <c r="L738" s="15" t="n">
        <f aca="false">IF(J738=1,0,Inputs!$B$11)</f>
        <v>100</v>
      </c>
      <c r="M738" s="15" t="n">
        <f aca="false">IF(J738=1,0,Inputs!$B$12)</f>
        <v>75</v>
      </c>
      <c r="N738" s="15" t="n">
        <f aca="false">IF(J738=1,0,IF(OR(AND(OR(B738="SITE LOSS",B738="REGION LOSS"),K738=1),AND(B738="ROLE COMPROMISE",H738=C738)),Inputs!$B$13,Inputs!$B$14))</f>
        <v>10</v>
      </c>
      <c r="O738" s="15" t="n">
        <f aca="false">IF(J738=1,0,Inputs!$B$13)</f>
        <v>20</v>
      </c>
      <c r="P738" s="15" t="n">
        <f aca="false">SUM(M738:N738)</f>
        <v>85</v>
      </c>
      <c r="Q738" s="15" t="n">
        <f aca="false">IF(J738=1,"",L738-P738)</f>
        <v>15</v>
      </c>
      <c r="R738" s="15" t="n">
        <f aca="false">IF(OR(J738=1,M738&lt;=Inputs!$B$12),1,0)</f>
        <v>1</v>
      </c>
      <c r="S738" s="15" t="n">
        <f aca="false">IF(OR(J738=1,N738&lt;=O738),1,0)</f>
        <v>1</v>
      </c>
      <c r="T738" s="15" t="str">
        <f aca="false">IF(J738=1,"OFFLINE",IF(AND(Q738&gt;=Inputs!$B$15,R738=1,S738=1,P738&lt;=L738),"PASS","FAIL"))</f>
        <v>PASS</v>
      </c>
    </row>
    <row r="739" customFormat="false" ht="15" hidden="false" customHeight="false" outlineLevel="0" collapsed="false">
      <c r="A739" s="14" t="s">
        <v>1025</v>
      </c>
      <c r="B739" s="14" t="s">
        <v>1019</v>
      </c>
      <c r="C739" s="14" t="s">
        <v>174</v>
      </c>
      <c r="D739" s="14" t="s">
        <v>196</v>
      </c>
      <c r="E739" s="14" t="s">
        <v>172</v>
      </c>
      <c r="F739" s="14" t="s">
        <v>191</v>
      </c>
      <c r="G739" s="14" t="n">
        <v>3</v>
      </c>
      <c r="H739" s="14" t="s">
        <v>158</v>
      </c>
      <c r="I739" s="14" t="s">
        <v>890</v>
      </c>
      <c r="J739" s="15" t="n">
        <f aca="false">IF(B739="SITE LOSS",IF(D739=C739,1,0),IF(B739="REGION LOSS",IF(E739=C739,1,0),0))</f>
        <v>0</v>
      </c>
      <c r="K739" s="15" t="n">
        <f aca="false">IF(B739="SITE LOSS",IF(COUNTIFS('Site Dockets'!$B$7:$B$24,C739,'Site Dockets'!$C$7:$C$24,F739)&gt;0,1,0),IF(B739="REGION LOSS",IF(COUNTIFS('Site Dockets'!$E$7:$E$24,C739,'Site Dockets'!$C$7:$C$24,F739)&gt;0,1,0),0))</f>
        <v>0</v>
      </c>
      <c r="L739" s="15" t="n">
        <f aca="false">IF(J739=1,0,Inputs!$B$11)</f>
        <v>100</v>
      </c>
      <c r="M739" s="15" t="n">
        <f aca="false">IF(J739=1,0,Inputs!$B$12)</f>
        <v>75</v>
      </c>
      <c r="N739" s="15" t="n">
        <f aca="false">IF(J739=1,0,IF(OR(AND(OR(B739="SITE LOSS",B739="REGION LOSS"),K739=1),AND(B739="ROLE COMPROMISE",H739=C739)),Inputs!$B$13,Inputs!$B$14))</f>
        <v>10</v>
      </c>
      <c r="O739" s="15" t="n">
        <f aca="false">IF(J739=1,0,Inputs!$B$13)</f>
        <v>20</v>
      </c>
      <c r="P739" s="15" t="n">
        <f aca="false">SUM(M739:N739)</f>
        <v>85</v>
      </c>
      <c r="Q739" s="15" t="n">
        <f aca="false">IF(J739=1,"",L739-P739)</f>
        <v>15</v>
      </c>
      <c r="R739" s="15" t="n">
        <f aca="false">IF(OR(J739=1,M739&lt;=Inputs!$B$12),1,0)</f>
        <v>1</v>
      </c>
      <c r="S739" s="15" t="n">
        <f aca="false">IF(OR(J739=1,N739&lt;=O739),1,0)</f>
        <v>1</v>
      </c>
      <c r="T739" s="15" t="str">
        <f aca="false">IF(J739=1,"OFFLINE",IF(AND(Q739&gt;=Inputs!$B$15,R739=1,S739=1,P739&lt;=L739),"PASS","FAIL"))</f>
        <v>PASS</v>
      </c>
    </row>
    <row r="740" customFormat="false" ht="15" hidden="false" customHeight="false" outlineLevel="0" collapsed="false">
      <c r="A740" s="14" t="s">
        <v>1025</v>
      </c>
      <c r="B740" s="14" t="s">
        <v>1019</v>
      </c>
      <c r="C740" s="14" t="s">
        <v>174</v>
      </c>
      <c r="D740" s="14" t="s">
        <v>196</v>
      </c>
      <c r="E740" s="14" t="s">
        <v>172</v>
      </c>
      <c r="F740" s="14" t="s">
        <v>191</v>
      </c>
      <c r="G740" s="14" t="n">
        <v>3</v>
      </c>
      <c r="H740" s="14" t="s">
        <v>158</v>
      </c>
      <c r="I740" s="14" t="s">
        <v>892</v>
      </c>
      <c r="J740" s="15" t="n">
        <f aca="false">IF(B740="SITE LOSS",IF(D740=C740,1,0),IF(B740="REGION LOSS",IF(E740=C740,1,0),0))</f>
        <v>0</v>
      </c>
      <c r="K740" s="15" t="n">
        <f aca="false">IF(B740="SITE LOSS",IF(COUNTIFS('Site Dockets'!$B$7:$B$24,C740,'Site Dockets'!$C$7:$C$24,F740)&gt;0,1,0),IF(B740="REGION LOSS",IF(COUNTIFS('Site Dockets'!$E$7:$E$24,C740,'Site Dockets'!$C$7:$C$24,F740)&gt;0,1,0),0))</f>
        <v>0</v>
      </c>
      <c r="L740" s="15" t="n">
        <f aca="false">IF(J740=1,0,Inputs!$B$11)</f>
        <v>100</v>
      </c>
      <c r="M740" s="15" t="n">
        <f aca="false">IF(J740=1,0,Inputs!$B$12)</f>
        <v>75</v>
      </c>
      <c r="N740" s="15" t="n">
        <f aca="false">IF(J740=1,0,IF(OR(AND(OR(B740="SITE LOSS",B740="REGION LOSS"),K740=1),AND(B740="ROLE COMPROMISE",H740=C740)),Inputs!$B$13,Inputs!$B$14))</f>
        <v>10</v>
      </c>
      <c r="O740" s="15" t="n">
        <f aca="false">IF(J740=1,0,Inputs!$B$13)</f>
        <v>20</v>
      </c>
      <c r="P740" s="15" t="n">
        <f aca="false">SUM(M740:N740)</f>
        <v>85</v>
      </c>
      <c r="Q740" s="15" t="n">
        <f aca="false">IF(J740=1,"",L740-P740)</f>
        <v>15</v>
      </c>
      <c r="R740" s="15" t="n">
        <f aca="false">IF(OR(J740=1,M740&lt;=Inputs!$B$12),1,0)</f>
        <v>1</v>
      </c>
      <c r="S740" s="15" t="n">
        <f aca="false">IF(OR(J740=1,N740&lt;=O740),1,0)</f>
        <v>1</v>
      </c>
      <c r="T740" s="15" t="str">
        <f aca="false">IF(J740=1,"OFFLINE",IF(AND(Q740&gt;=Inputs!$B$15,R740=1,S740=1,P740&lt;=L740),"PASS","FAIL"))</f>
        <v>PASS</v>
      </c>
    </row>
    <row r="741" customFormat="false" ht="15" hidden="false" customHeight="false" outlineLevel="0" collapsed="false">
      <c r="A741" s="14" t="s">
        <v>1025</v>
      </c>
      <c r="B741" s="14" t="s">
        <v>1019</v>
      </c>
      <c r="C741" s="14" t="s">
        <v>174</v>
      </c>
      <c r="D741" s="14" t="s">
        <v>196</v>
      </c>
      <c r="E741" s="14" t="s">
        <v>172</v>
      </c>
      <c r="F741" s="14" t="s">
        <v>191</v>
      </c>
      <c r="G741" s="14" t="n">
        <v>3</v>
      </c>
      <c r="H741" s="14" t="s">
        <v>158</v>
      </c>
      <c r="I741" s="14" t="s">
        <v>811</v>
      </c>
      <c r="J741" s="15" t="n">
        <f aca="false">IF(B741="SITE LOSS",IF(D741=C741,1,0),IF(B741="REGION LOSS",IF(E741=C741,1,0),0))</f>
        <v>0</v>
      </c>
      <c r="K741" s="15" t="n">
        <f aca="false">IF(B741="SITE LOSS",IF(COUNTIFS('Site Dockets'!$B$7:$B$24,C741,'Site Dockets'!$C$7:$C$24,F741)&gt;0,1,0),IF(B741="REGION LOSS",IF(COUNTIFS('Site Dockets'!$E$7:$E$24,C741,'Site Dockets'!$C$7:$C$24,F741)&gt;0,1,0),0))</f>
        <v>0</v>
      </c>
      <c r="L741" s="15" t="n">
        <f aca="false">IF(J741=1,0,Inputs!$B$11)</f>
        <v>100</v>
      </c>
      <c r="M741" s="15" t="n">
        <f aca="false">IF(J741=1,0,Inputs!$B$12)</f>
        <v>75</v>
      </c>
      <c r="N741" s="15" t="n">
        <f aca="false">IF(J741=1,0,IF(OR(AND(OR(B741="SITE LOSS",B741="REGION LOSS"),K741=1),AND(B741="ROLE COMPROMISE",H741=C741)),Inputs!$B$13,Inputs!$B$14))</f>
        <v>10</v>
      </c>
      <c r="O741" s="15" t="n">
        <f aca="false">IF(J741=1,0,Inputs!$B$13)</f>
        <v>20</v>
      </c>
      <c r="P741" s="15" t="n">
        <f aca="false">SUM(M741:N741)</f>
        <v>85</v>
      </c>
      <c r="Q741" s="15" t="n">
        <f aca="false">IF(J741=1,"",L741-P741)</f>
        <v>15</v>
      </c>
      <c r="R741" s="15" t="n">
        <f aca="false">IF(OR(J741=1,M741&lt;=Inputs!$B$12),1,0)</f>
        <v>1</v>
      </c>
      <c r="S741" s="15" t="n">
        <f aca="false">IF(OR(J741=1,N741&lt;=O741),1,0)</f>
        <v>1</v>
      </c>
      <c r="T741" s="15" t="str">
        <f aca="false">IF(J741=1,"OFFLINE",IF(AND(Q741&gt;=Inputs!$B$15,R741=1,S741=1,P741&lt;=L741),"PASS","FAIL"))</f>
        <v>PASS</v>
      </c>
    </row>
    <row r="742" customFormat="false" ht="15" hidden="false" customHeight="false" outlineLevel="0" collapsed="false">
      <c r="A742" s="14" t="s">
        <v>1025</v>
      </c>
      <c r="B742" s="14" t="s">
        <v>1019</v>
      </c>
      <c r="C742" s="14" t="s">
        <v>174</v>
      </c>
      <c r="D742" s="14" t="s">
        <v>196</v>
      </c>
      <c r="E742" s="14" t="s">
        <v>172</v>
      </c>
      <c r="F742" s="14" t="s">
        <v>191</v>
      </c>
      <c r="G742" s="14" t="n">
        <v>3</v>
      </c>
      <c r="H742" s="14" t="s">
        <v>158</v>
      </c>
      <c r="I742" s="14" t="s">
        <v>895</v>
      </c>
      <c r="J742" s="15" t="n">
        <f aca="false">IF(B742="SITE LOSS",IF(D742=C742,1,0),IF(B742="REGION LOSS",IF(E742=C742,1,0),0))</f>
        <v>0</v>
      </c>
      <c r="K742" s="15" t="n">
        <f aca="false">IF(B742="SITE LOSS",IF(COUNTIFS('Site Dockets'!$B$7:$B$24,C742,'Site Dockets'!$C$7:$C$24,F742)&gt;0,1,0),IF(B742="REGION LOSS",IF(COUNTIFS('Site Dockets'!$E$7:$E$24,C742,'Site Dockets'!$C$7:$C$24,F742)&gt;0,1,0),0))</f>
        <v>0</v>
      </c>
      <c r="L742" s="15" t="n">
        <f aca="false">IF(J742=1,0,Inputs!$B$11)</f>
        <v>100</v>
      </c>
      <c r="M742" s="15" t="n">
        <f aca="false">IF(J742=1,0,Inputs!$B$12)</f>
        <v>75</v>
      </c>
      <c r="N742" s="15" t="n">
        <f aca="false">IF(J742=1,0,IF(OR(AND(OR(B742="SITE LOSS",B742="REGION LOSS"),K742=1),AND(B742="ROLE COMPROMISE",H742=C742)),Inputs!$B$13,Inputs!$B$14))</f>
        <v>10</v>
      </c>
      <c r="O742" s="15" t="n">
        <f aca="false">IF(J742=1,0,Inputs!$B$13)</f>
        <v>20</v>
      </c>
      <c r="P742" s="15" t="n">
        <f aca="false">SUM(M742:N742)</f>
        <v>85</v>
      </c>
      <c r="Q742" s="15" t="n">
        <f aca="false">IF(J742=1,"",L742-P742)</f>
        <v>15</v>
      </c>
      <c r="R742" s="15" t="n">
        <f aca="false">IF(OR(J742=1,M742&lt;=Inputs!$B$12),1,0)</f>
        <v>1</v>
      </c>
      <c r="S742" s="15" t="n">
        <f aca="false">IF(OR(J742=1,N742&lt;=O742),1,0)</f>
        <v>1</v>
      </c>
      <c r="T742" s="15" t="str">
        <f aca="false">IF(J742=1,"OFFLINE",IF(AND(Q742&gt;=Inputs!$B$15,R742=1,S742=1,P742&lt;=L742),"PASS","FAIL"))</f>
        <v>PASS</v>
      </c>
    </row>
    <row r="743" customFormat="false" ht="15" hidden="false" customHeight="false" outlineLevel="0" collapsed="false">
      <c r="A743" s="14" t="s">
        <v>1025</v>
      </c>
      <c r="B743" s="14" t="s">
        <v>1019</v>
      </c>
      <c r="C743" s="14" t="s">
        <v>174</v>
      </c>
      <c r="D743" s="14" t="s">
        <v>196</v>
      </c>
      <c r="E743" s="14" t="s">
        <v>172</v>
      </c>
      <c r="F743" s="14" t="s">
        <v>191</v>
      </c>
      <c r="G743" s="14" t="n">
        <v>3</v>
      </c>
      <c r="H743" s="14" t="s">
        <v>158</v>
      </c>
      <c r="I743" s="14" t="s">
        <v>897</v>
      </c>
      <c r="J743" s="15" t="n">
        <f aca="false">IF(B743="SITE LOSS",IF(D743=C743,1,0),IF(B743="REGION LOSS",IF(E743=C743,1,0),0))</f>
        <v>0</v>
      </c>
      <c r="K743" s="15" t="n">
        <f aca="false">IF(B743="SITE LOSS",IF(COUNTIFS('Site Dockets'!$B$7:$B$24,C743,'Site Dockets'!$C$7:$C$24,F743)&gt;0,1,0),IF(B743="REGION LOSS",IF(COUNTIFS('Site Dockets'!$E$7:$E$24,C743,'Site Dockets'!$C$7:$C$24,F743)&gt;0,1,0),0))</f>
        <v>0</v>
      </c>
      <c r="L743" s="15" t="n">
        <f aca="false">IF(J743=1,0,Inputs!$B$11)</f>
        <v>100</v>
      </c>
      <c r="M743" s="15" t="n">
        <f aca="false">IF(J743=1,0,Inputs!$B$12)</f>
        <v>75</v>
      </c>
      <c r="N743" s="15" t="n">
        <f aca="false">IF(J743=1,0,IF(OR(AND(OR(B743="SITE LOSS",B743="REGION LOSS"),K743=1),AND(B743="ROLE COMPROMISE",H743=C743)),Inputs!$B$13,Inputs!$B$14))</f>
        <v>10</v>
      </c>
      <c r="O743" s="15" t="n">
        <f aca="false">IF(J743=1,0,Inputs!$B$13)</f>
        <v>20</v>
      </c>
      <c r="P743" s="15" t="n">
        <f aca="false">SUM(M743:N743)</f>
        <v>85</v>
      </c>
      <c r="Q743" s="15" t="n">
        <f aca="false">IF(J743=1,"",L743-P743)</f>
        <v>15</v>
      </c>
      <c r="R743" s="15" t="n">
        <f aca="false">IF(OR(J743=1,M743&lt;=Inputs!$B$12),1,0)</f>
        <v>1</v>
      </c>
      <c r="S743" s="15" t="n">
        <f aca="false">IF(OR(J743=1,N743&lt;=O743),1,0)</f>
        <v>1</v>
      </c>
      <c r="T743" s="15" t="str">
        <f aca="false">IF(J743=1,"OFFLINE",IF(AND(Q743&gt;=Inputs!$B$15,R743=1,S743=1,P743&lt;=L743),"PASS","FAIL"))</f>
        <v>PASS</v>
      </c>
    </row>
    <row r="744" customFormat="false" ht="15" hidden="false" customHeight="false" outlineLevel="0" collapsed="false">
      <c r="A744" s="14" t="s">
        <v>1025</v>
      </c>
      <c r="B744" s="14" t="s">
        <v>1019</v>
      </c>
      <c r="C744" s="14" t="s">
        <v>174</v>
      </c>
      <c r="D744" s="14" t="s">
        <v>196</v>
      </c>
      <c r="E744" s="14" t="s">
        <v>172</v>
      </c>
      <c r="F744" s="14" t="s">
        <v>191</v>
      </c>
      <c r="G744" s="14" t="n">
        <v>3</v>
      </c>
      <c r="H744" s="14" t="s">
        <v>158</v>
      </c>
      <c r="I744" s="14" t="s">
        <v>899</v>
      </c>
      <c r="J744" s="15" t="n">
        <f aca="false">IF(B744="SITE LOSS",IF(D744=C744,1,0),IF(B744="REGION LOSS",IF(E744=C744,1,0),0))</f>
        <v>0</v>
      </c>
      <c r="K744" s="15" t="n">
        <f aca="false">IF(B744="SITE LOSS",IF(COUNTIFS('Site Dockets'!$B$7:$B$24,C744,'Site Dockets'!$C$7:$C$24,F744)&gt;0,1,0),IF(B744="REGION LOSS",IF(COUNTIFS('Site Dockets'!$E$7:$E$24,C744,'Site Dockets'!$C$7:$C$24,F744)&gt;0,1,0),0))</f>
        <v>0</v>
      </c>
      <c r="L744" s="15" t="n">
        <f aca="false">IF(J744=1,0,Inputs!$B$11)</f>
        <v>100</v>
      </c>
      <c r="M744" s="15" t="n">
        <f aca="false">IF(J744=1,0,Inputs!$B$12)</f>
        <v>75</v>
      </c>
      <c r="N744" s="15" t="n">
        <f aca="false">IF(J744=1,0,IF(OR(AND(OR(B744="SITE LOSS",B744="REGION LOSS"),K744=1),AND(B744="ROLE COMPROMISE",H744=C744)),Inputs!$B$13,Inputs!$B$14))</f>
        <v>10</v>
      </c>
      <c r="O744" s="15" t="n">
        <f aca="false">IF(J744=1,0,Inputs!$B$13)</f>
        <v>20</v>
      </c>
      <c r="P744" s="15" t="n">
        <f aca="false">SUM(M744:N744)</f>
        <v>85</v>
      </c>
      <c r="Q744" s="15" t="n">
        <f aca="false">IF(J744=1,"",L744-P744)</f>
        <v>15</v>
      </c>
      <c r="R744" s="15" t="n">
        <f aca="false">IF(OR(J744=1,M744&lt;=Inputs!$B$12),1,0)</f>
        <v>1</v>
      </c>
      <c r="S744" s="15" t="n">
        <f aca="false">IF(OR(J744=1,N744&lt;=O744),1,0)</f>
        <v>1</v>
      </c>
      <c r="T744" s="15" t="str">
        <f aca="false">IF(J744=1,"OFFLINE",IF(AND(Q744&gt;=Inputs!$B$15,R744=1,S744=1,P744&lt;=L744),"PASS","FAIL"))</f>
        <v>PASS</v>
      </c>
    </row>
    <row r="745" customFormat="false" ht="15" hidden="false" customHeight="false" outlineLevel="0" collapsed="false">
      <c r="A745" s="14" t="s">
        <v>1025</v>
      </c>
      <c r="B745" s="14" t="s">
        <v>1019</v>
      </c>
      <c r="C745" s="14" t="s">
        <v>174</v>
      </c>
      <c r="D745" s="14" t="s">
        <v>198</v>
      </c>
      <c r="E745" s="14" t="s">
        <v>166</v>
      </c>
      <c r="F745" s="14" t="s">
        <v>199</v>
      </c>
      <c r="G745" s="14" t="n">
        <v>1</v>
      </c>
      <c r="H745" s="14" t="s">
        <v>154</v>
      </c>
      <c r="I745" s="14" t="s">
        <v>890</v>
      </c>
      <c r="J745" s="15" t="n">
        <f aca="false">IF(B745="SITE LOSS",IF(D745=C745,1,0),IF(B745="REGION LOSS",IF(E745=C745,1,0),0))</f>
        <v>0</v>
      </c>
      <c r="K745" s="15" t="n">
        <f aca="false">IF(B745="SITE LOSS",IF(COUNTIFS('Site Dockets'!$B$7:$B$24,C745,'Site Dockets'!$C$7:$C$24,F745)&gt;0,1,0),IF(B745="REGION LOSS",IF(COUNTIFS('Site Dockets'!$E$7:$E$24,C745,'Site Dockets'!$C$7:$C$24,F745)&gt;0,1,0),0))</f>
        <v>0</v>
      </c>
      <c r="L745" s="15" t="n">
        <f aca="false">IF(J745=1,0,Inputs!$B$11)</f>
        <v>100</v>
      </c>
      <c r="M745" s="15" t="n">
        <f aca="false">IF(J745=1,0,Inputs!$B$12)</f>
        <v>75</v>
      </c>
      <c r="N745" s="15" t="n">
        <f aca="false">IF(J745=1,0,IF(OR(AND(OR(B745="SITE LOSS",B745="REGION LOSS"),K745=1),AND(B745="ROLE COMPROMISE",H745=C745)),Inputs!$B$13,Inputs!$B$14))</f>
        <v>10</v>
      </c>
      <c r="O745" s="15" t="n">
        <f aca="false">IF(J745=1,0,Inputs!$B$13)</f>
        <v>20</v>
      </c>
      <c r="P745" s="15" t="n">
        <f aca="false">SUM(M745:N745)</f>
        <v>85</v>
      </c>
      <c r="Q745" s="15" t="n">
        <f aca="false">IF(J745=1,"",L745-P745)</f>
        <v>15</v>
      </c>
      <c r="R745" s="15" t="n">
        <f aca="false">IF(OR(J745=1,M745&lt;=Inputs!$B$12),1,0)</f>
        <v>1</v>
      </c>
      <c r="S745" s="15" t="n">
        <f aca="false">IF(OR(J745=1,N745&lt;=O745),1,0)</f>
        <v>1</v>
      </c>
      <c r="T745" s="15" t="str">
        <f aca="false">IF(J745=1,"OFFLINE",IF(AND(Q745&gt;=Inputs!$B$15,R745=1,S745=1,P745&lt;=L745),"PASS","FAIL"))</f>
        <v>PASS</v>
      </c>
    </row>
    <row r="746" customFormat="false" ht="15" hidden="false" customHeight="false" outlineLevel="0" collapsed="false">
      <c r="A746" s="14" t="s">
        <v>1025</v>
      </c>
      <c r="B746" s="14" t="s">
        <v>1019</v>
      </c>
      <c r="C746" s="14" t="s">
        <v>174</v>
      </c>
      <c r="D746" s="14" t="s">
        <v>198</v>
      </c>
      <c r="E746" s="14" t="s">
        <v>166</v>
      </c>
      <c r="F746" s="14" t="s">
        <v>199</v>
      </c>
      <c r="G746" s="14" t="n">
        <v>1</v>
      </c>
      <c r="H746" s="14" t="s">
        <v>154</v>
      </c>
      <c r="I746" s="14" t="s">
        <v>892</v>
      </c>
      <c r="J746" s="15" t="n">
        <f aca="false">IF(B746="SITE LOSS",IF(D746=C746,1,0),IF(B746="REGION LOSS",IF(E746=C746,1,0),0))</f>
        <v>0</v>
      </c>
      <c r="K746" s="15" t="n">
        <f aca="false">IF(B746="SITE LOSS",IF(COUNTIFS('Site Dockets'!$B$7:$B$24,C746,'Site Dockets'!$C$7:$C$24,F746)&gt;0,1,0),IF(B746="REGION LOSS",IF(COUNTIFS('Site Dockets'!$E$7:$E$24,C746,'Site Dockets'!$C$7:$C$24,F746)&gt;0,1,0),0))</f>
        <v>0</v>
      </c>
      <c r="L746" s="15" t="n">
        <f aca="false">IF(J746=1,0,Inputs!$B$11)</f>
        <v>100</v>
      </c>
      <c r="M746" s="15" t="n">
        <f aca="false">IF(J746=1,0,Inputs!$B$12)</f>
        <v>75</v>
      </c>
      <c r="N746" s="15" t="n">
        <f aca="false">IF(J746=1,0,IF(OR(AND(OR(B746="SITE LOSS",B746="REGION LOSS"),K746=1),AND(B746="ROLE COMPROMISE",H746=C746)),Inputs!$B$13,Inputs!$B$14))</f>
        <v>10</v>
      </c>
      <c r="O746" s="15" t="n">
        <f aca="false">IF(J746=1,0,Inputs!$B$13)</f>
        <v>20</v>
      </c>
      <c r="P746" s="15" t="n">
        <f aca="false">SUM(M746:N746)</f>
        <v>85</v>
      </c>
      <c r="Q746" s="15" t="n">
        <f aca="false">IF(J746=1,"",L746-P746)</f>
        <v>15</v>
      </c>
      <c r="R746" s="15" t="n">
        <f aca="false">IF(OR(J746=1,M746&lt;=Inputs!$B$12),1,0)</f>
        <v>1</v>
      </c>
      <c r="S746" s="15" t="n">
        <f aca="false">IF(OR(J746=1,N746&lt;=O746),1,0)</f>
        <v>1</v>
      </c>
      <c r="T746" s="15" t="str">
        <f aca="false">IF(J746=1,"OFFLINE",IF(AND(Q746&gt;=Inputs!$B$15,R746=1,S746=1,P746&lt;=L746),"PASS","FAIL"))</f>
        <v>PASS</v>
      </c>
    </row>
    <row r="747" customFormat="false" ht="15" hidden="false" customHeight="false" outlineLevel="0" collapsed="false">
      <c r="A747" s="14" t="s">
        <v>1025</v>
      </c>
      <c r="B747" s="14" t="s">
        <v>1019</v>
      </c>
      <c r="C747" s="14" t="s">
        <v>174</v>
      </c>
      <c r="D747" s="14" t="s">
        <v>198</v>
      </c>
      <c r="E747" s="14" t="s">
        <v>166</v>
      </c>
      <c r="F747" s="14" t="s">
        <v>199</v>
      </c>
      <c r="G747" s="14" t="n">
        <v>1</v>
      </c>
      <c r="H747" s="14" t="s">
        <v>154</v>
      </c>
      <c r="I747" s="14" t="s">
        <v>811</v>
      </c>
      <c r="J747" s="15" t="n">
        <f aca="false">IF(B747="SITE LOSS",IF(D747=C747,1,0),IF(B747="REGION LOSS",IF(E747=C747,1,0),0))</f>
        <v>0</v>
      </c>
      <c r="K747" s="15" t="n">
        <f aca="false">IF(B747="SITE LOSS",IF(COUNTIFS('Site Dockets'!$B$7:$B$24,C747,'Site Dockets'!$C$7:$C$24,F747)&gt;0,1,0),IF(B747="REGION LOSS",IF(COUNTIFS('Site Dockets'!$E$7:$E$24,C747,'Site Dockets'!$C$7:$C$24,F747)&gt;0,1,0),0))</f>
        <v>0</v>
      </c>
      <c r="L747" s="15" t="n">
        <f aca="false">IF(J747=1,0,Inputs!$B$11)</f>
        <v>100</v>
      </c>
      <c r="M747" s="15" t="n">
        <f aca="false">IF(J747=1,0,Inputs!$B$12)</f>
        <v>75</v>
      </c>
      <c r="N747" s="15" t="n">
        <f aca="false">IF(J747=1,0,IF(OR(AND(OR(B747="SITE LOSS",B747="REGION LOSS"),K747=1),AND(B747="ROLE COMPROMISE",H747=C747)),Inputs!$B$13,Inputs!$B$14))</f>
        <v>10</v>
      </c>
      <c r="O747" s="15" t="n">
        <f aca="false">IF(J747=1,0,Inputs!$B$13)</f>
        <v>20</v>
      </c>
      <c r="P747" s="15" t="n">
        <f aca="false">SUM(M747:N747)</f>
        <v>85</v>
      </c>
      <c r="Q747" s="15" t="n">
        <f aca="false">IF(J747=1,"",L747-P747)</f>
        <v>15</v>
      </c>
      <c r="R747" s="15" t="n">
        <f aca="false">IF(OR(J747=1,M747&lt;=Inputs!$B$12),1,0)</f>
        <v>1</v>
      </c>
      <c r="S747" s="15" t="n">
        <f aca="false">IF(OR(J747=1,N747&lt;=O747),1,0)</f>
        <v>1</v>
      </c>
      <c r="T747" s="15" t="str">
        <f aca="false">IF(J747=1,"OFFLINE",IF(AND(Q747&gt;=Inputs!$B$15,R747=1,S747=1,P747&lt;=L747),"PASS","FAIL"))</f>
        <v>PASS</v>
      </c>
    </row>
    <row r="748" customFormat="false" ht="15" hidden="false" customHeight="false" outlineLevel="0" collapsed="false">
      <c r="A748" s="14" t="s">
        <v>1025</v>
      </c>
      <c r="B748" s="14" t="s">
        <v>1019</v>
      </c>
      <c r="C748" s="14" t="s">
        <v>174</v>
      </c>
      <c r="D748" s="14" t="s">
        <v>198</v>
      </c>
      <c r="E748" s="14" t="s">
        <v>166</v>
      </c>
      <c r="F748" s="14" t="s">
        <v>199</v>
      </c>
      <c r="G748" s="14" t="n">
        <v>1</v>
      </c>
      <c r="H748" s="14" t="s">
        <v>154</v>
      </c>
      <c r="I748" s="14" t="s">
        <v>895</v>
      </c>
      <c r="J748" s="15" t="n">
        <f aca="false">IF(B748="SITE LOSS",IF(D748=C748,1,0),IF(B748="REGION LOSS",IF(E748=C748,1,0),0))</f>
        <v>0</v>
      </c>
      <c r="K748" s="15" t="n">
        <f aca="false">IF(B748="SITE LOSS",IF(COUNTIFS('Site Dockets'!$B$7:$B$24,C748,'Site Dockets'!$C$7:$C$24,F748)&gt;0,1,0),IF(B748="REGION LOSS",IF(COUNTIFS('Site Dockets'!$E$7:$E$24,C748,'Site Dockets'!$C$7:$C$24,F748)&gt;0,1,0),0))</f>
        <v>0</v>
      </c>
      <c r="L748" s="15" t="n">
        <f aca="false">IF(J748=1,0,Inputs!$B$11)</f>
        <v>100</v>
      </c>
      <c r="M748" s="15" t="n">
        <f aca="false">IF(J748=1,0,Inputs!$B$12)</f>
        <v>75</v>
      </c>
      <c r="N748" s="15" t="n">
        <f aca="false">IF(J748=1,0,IF(OR(AND(OR(B748="SITE LOSS",B748="REGION LOSS"),K748=1),AND(B748="ROLE COMPROMISE",H748=C748)),Inputs!$B$13,Inputs!$B$14))</f>
        <v>10</v>
      </c>
      <c r="O748" s="15" t="n">
        <f aca="false">IF(J748=1,0,Inputs!$B$13)</f>
        <v>20</v>
      </c>
      <c r="P748" s="15" t="n">
        <f aca="false">SUM(M748:N748)</f>
        <v>85</v>
      </c>
      <c r="Q748" s="15" t="n">
        <f aca="false">IF(J748=1,"",L748-P748)</f>
        <v>15</v>
      </c>
      <c r="R748" s="15" t="n">
        <f aca="false">IF(OR(J748=1,M748&lt;=Inputs!$B$12),1,0)</f>
        <v>1</v>
      </c>
      <c r="S748" s="15" t="n">
        <f aca="false">IF(OR(J748=1,N748&lt;=O748),1,0)</f>
        <v>1</v>
      </c>
      <c r="T748" s="15" t="str">
        <f aca="false">IF(J748=1,"OFFLINE",IF(AND(Q748&gt;=Inputs!$B$15,R748=1,S748=1,P748&lt;=L748),"PASS","FAIL"))</f>
        <v>PASS</v>
      </c>
    </row>
    <row r="749" customFormat="false" ht="15" hidden="false" customHeight="false" outlineLevel="0" collapsed="false">
      <c r="A749" s="14" t="s">
        <v>1025</v>
      </c>
      <c r="B749" s="14" t="s">
        <v>1019</v>
      </c>
      <c r="C749" s="14" t="s">
        <v>174</v>
      </c>
      <c r="D749" s="14" t="s">
        <v>198</v>
      </c>
      <c r="E749" s="14" t="s">
        <v>166</v>
      </c>
      <c r="F749" s="14" t="s">
        <v>199</v>
      </c>
      <c r="G749" s="14" t="n">
        <v>1</v>
      </c>
      <c r="H749" s="14" t="s">
        <v>154</v>
      </c>
      <c r="I749" s="14" t="s">
        <v>897</v>
      </c>
      <c r="J749" s="15" t="n">
        <f aca="false">IF(B749="SITE LOSS",IF(D749=C749,1,0),IF(B749="REGION LOSS",IF(E749=C749,1,0),0))</f>
        <v>0</v>
      </c>
      <c r="K749" s="15" t="n">
        <f aca="false">IF(B749="SITE LOSS",IF(COUNTIFS('Site Dockets'!$B$7:$B$24,C749,'Site Dockets'!$C$7:$C$24,F749)&gt;0,1,0),IF(B749="REGION LOSS",IF(COUNTIFS('Site Dockets'!$E$7:$E$24,C749,'Site Dockets'!$C$7:$C$24,F749)&gt;0,1,0),0))</f>
        <v>0</v>
      </c>
      <c r="L749" s="15" t="n">
        <f aca="false">IF(J749=1,0,Inputs!$B$11)</f>
        <v>100</v>
      </c>
      <c r="M749" s="15" t="n">
        <f aca="false">IF(J749=1,0,Inputs!$B$12)</f>
        <v>75</v>
      </c>
      <c r="N749" s="15" t="n">
        <f aca="false">IF(J749=1,0,IF(OR(AND(OR(B749="SITE LOSS",B749="REGION LOSS"),K749=1),AND(B749="ROLE COMPROMISE",H749=C749)),Inputs!$B$13,Inputs!$B$14))</f>
        <v>10</v>
      </c>
      <c r="O749" s="15" t="n">
        <f aca="false">IF(J749=1,0,Inputs!$B$13)</f>
        <v>20</v>
      </c>
      <c r="P749" s="15" t="n">
        <f aca="false">SUM(M749:N749)</f>
        <v>85</v>
      </c>
      <c r="Q749" s="15" t="n">
        <f aca="false">IF(J749=1,"",L749-P749)</f>
        <v>15</v>
      </c>
      <c r="R749" s="15" t="n">
        <f aca="false">IF(OR(J749=1,M749&lt;=Inputs!$B$12),1,0)</f>
        <v>1</v>
      </c>
      <c r="S749" s="15" t="n">
        <f aca="false">IF(OR(J749=1,N749&lt;=O749),1,0)</f>
        <v>1</v>
      </c>
      <c r="T749" s="15" t="str">
        <f aca="false">IF(J749=1,"OFFLINE",IF(AND(Q749&gt;=Inputs!$B$15,R749=1,S749=1,P749&lt;=L749),"PASS","FAIL"))</f>
        <v>PASS</v>
      </c>
    </row>
    <row r="750" customFormat="false" ht="15" hidden="false" customHeight="false" outlineLevel="0" collapsed="false">
      <c r="A750" s="14" t="s">
        <v>1025</v>
      </c>
      <c r="B750" s="14" t="s">
        <v>1019</v>
      </c>
      <c r="C750" s="14" t="s">
        <v>174</v>
      </c>
      <c r="D750" s="14" t="s">
        <v>198</v>
      </c>
      <c r="E750" s="14" t="s">
        <v>166</v>
      </c>
      <c r="F750" s="14" t="s">
        <v>199</v>
      </c>
      <c r="G750" s="14" t="n">
        <v>1</v>
      </c>
      <c r="H750" s="14" t="s">
        <v>154</v>
      </c>
      <c r="I750" s="14" t="s">
        <v>899</v>
      </c>
      <c r="J750" s="15" t="n">
        <f aca="false">IF(B750="SITE LOSS",IF(D750=C750,1,0),IF(B750="REGION LOSS",IF(E750=C750,1,0),0))</f>
        <v>0</v>
      </c>
      <c r="K750" s="15" t="n">
        <f aca="false">IF(B750="SITE LOSS",IF(COUNTIFS('Site Dockets'!$B$7:$B$24,C750,'Site Dockets'!$C$7:$C$24,F750)&gt;0,1,0),IF(B750="REGION LOSS",IF(COUNTIFS('Site Dockets'!$E$7:$E$24,C750,'Site Dockets'!$C$7:$C$24,F750)&gt;0,1,0),0))</f>
        <v>0</v>
      </c>
      <c r="L750" s="15" t="n">
        <f aca="false">IF(J750=1,0,Inputs!$B$11)</f>
        <v>100</v>
      </c>
      <c r="M750" s="15" t="n">
        <f aca="false">IF(J750=1,0,Inputs!$B$12)</f>
        <v>75</v>
      </c>
      <c r="N750" s="15" t="n">
        <f aca="false">IF(J750=1,0,IF(OR(AND(OR(B750="SITE LOSS",B750="REGION LOSS"),K750=1),AND(B750="ROLE COMPROMISE",H750=C750)),Inputs!$B$13,Inputs!$B$14))</f>
        <v>10</v>
      </c>
      <c r="O750" s="15" t="n">
        <f aca="false">IF(J750=1,0,Inputs!$B$13)</f>
        <v>20</v>
      </c>
      <c r="P750" s="15" t="n">
        <f aca="false">SUM(M750:N750)</f>
        <v>85</v>
      </c>
      <c r="Q750" s="15" t="n">
        <f aca="false">IF(J750=1,"",L750-P750)</f>
        <v>15</v>
      </c>
      <c r="R750" s="15" t="n">
        <f aca="false">IF(OR(J750=1,M750&lt;=Inputs!$B$12),1,0)</f>
        <v>1</v>
      </c>
      <c r="S750" s="15" t="n">
        <f aca="false">IF(OR(J750=1,N750&lt;=O750),1,0)</f>
        <v>1</v>
      </c>
      <c r="T750" s="15" t="str">
        <f aca="false">IF(J750=1,"OFFLINE",IF(AND(Q750&gt;=Inputs!$B$15,R750=1,S750=1,P750&lt;=L750),"PASS","FAIL"))</f>
        <v>PASS</v>
      </c>
    </row>
    <row r="751" customFormat="false" ht="15" hidden="false" customHeight="false" outlineLevel="0" collapsed="false">
      <c r="A751" s="14" t="s">
        <v>1025</v>
      </c>
      <c r="B751" s="14" t="s">
        <v>1019</v>
      </c>
      <c r="C751" s="14" t="s">
        <v>174</v>
      </c>
      <c r="D751" s="14" t="s">
        <v>202</v>
      </c>
      <c r="E751" s="14" t="s">
        <v>157</v>
      </c>
      <c r="F751" s="14" t="s">
        <v>199</v>
      </c>
      <c r="G751" s="14" t="n">
        <v>2</v>
      </c>
      <c r="H751" s="14" t="s">
        <v>153</v>
      </c>
      <c r="I751" s="14" t="s">
        <v>890</v>
      </c>
      <c r="J751" s="15" t="n">
        <f aca="false">IF(B751="SITE LOSS",IF(D751=C751,1,0),IF(B751="REGION LOSS",IF(E751=C751,1,0),0))</f>
        <v>0</v>
      </c>
      <c r="K751" s="15" t="n">
        <f aca="false">IF(B751="SITE LOSS",IF(COUNTIFS('Site Dockets'!$B$7:$B$24,C751,'Site Dockets'!$C$7:$C$24,F751)&gt;0,1,0),IF(B751="REGION LOSS",IF(COUNTIFS('Site Dockets'!$E$7:$E$24,C751,'Site Dockets'!$C$7:$C$24,F751)&gt;0,1,0),0))</f>
        <v>0</v>
      </c>
      <c r="L751" s="15" t="n">
        <f aca="false">IF(J751=1,0,Inputs!$B$11)</f>
        <v>100</v>
      </c>
      <c r="M751" s="15" t="n">
        <f aca="false">IF(J751=1,0,Inputs!$B$12)</f>
        <v>75</v>
      </c>
      <c r="N751" s="15" t="n">
        <f aca="false">IF(J751=1,0,IF(OR(AND(OR(B751="SITE LOSS",B751="REGION LOSS"),K751=1),AND(B751="ROLE COMPROMISE",H751=C751)),Inputs!$B$13,Inputs!$B$14))</f>
        <v>10</v>
      </c>
      <c r="O751" s="15" t="n">
        <f aca="false">IF(J751=1,0,Inputs!$B$13)</f>
        <v>20</v>
      </c>
      <c r="P751" s="15" t="n">
        <f aca="false">SUM(M751:N751)</f>
        <v>85</v>
      </c>
      <c r="Q751" s="15" t="n">
        <f aca="false">IF(J751=1,"",L751-P751)</f>
        <v>15</v>
      </c>
      <c r="R751" s="15" t="n">
        <f aca="false">IF(OR(J751=1,M751&lt;=Inputs!$B$12),1,0)</f>
        <v>1</v>
      </c>
      <c r="S751" s="15" t="n">
        <f aca="false">IF(OR(J751=1,N751&lt;=O751),1,0)</f>
        <v>1</v>
      </c>
      <c r="T751" s="15" t="str">
        <f aca="false">IF(J751=1,"OFFLINE",IF(AND(Q751&gt;=Inputs!$B$15,R751=1,S751=1,P751&lt;=L751),"PASS","FAIL"))</f>
        <v>PASS</v>
      </c>
    </row>
    <row r="752" customFormat="false" ht="15" hidden="false" customHeight="false" outlineLevel="0" collapsed="false">
      <c r="A752" s="14" t="s">
        <v>1025</v>
      </c>
      <c r="B752" s="14" t="s">
        <v>1019</v>
      </c>
      <c r="C752" s="14" t="s">
        <v>174</v>
      </c>
      <c r="D752" s="14" t="s">
        <v>202</v>
      </c>
      <c r="E752" s="14" t="s">
        <v>157</v>
      </c>
      <c r="F752" s="14" t="s">
        <v>199</v>
      </c>
      <c r="G752" s="14" t="n">
        <v>2</v>
      </c>
      <c r="H752" s="14" t="s">
        <v>153</v>
      </c>
      <c r="I752" s="14" t="s">
        <v>892</v>
      </c>
      <c r="J752" s="15" t="n">
        <f aca="false">IF(B752="SITE LOSS",IF(D752=C752,1,0),IF(B752="REGION LOSS",IF(E752=C752,1,0),0))</f>
        <v>0</v>
      </c>
      <c r="K752" s="15" t="n">
        <f aca="false">IF(B752="SITE LOSS",IF(COUNTIFS('Site Dockets'!$B$7:$B$24,C752,'Site Dockets'!$C$7:$C$24,F752)&gt;0,1,0),IF(B752="REGION LOSS",IF(COUNTIFS('Site Dockets'!$E$7:$E$24,C752,'Site Dockets'!$C$7:$C$24,F752)&gt;0,1,0),0))</f>
        <v>0</v>
      </c>
      <c r="L752" s="15" t="n">
        <f aca="false">IF(J752=1,0,Inputs!$B$11)</f>
        <v>100</v>
      </c>
      <c r="M752" s="15" t="n">
        <f aca="false">IF(J752=1,0,Inputs!$B$12)</f>
        <v>75</v>
      </c>
      <c r="N752" s="15" t="n">
        <f aca="false">IF(J752=1,0,IF(OR(AND(OR(B752="SITE LOSS",B752="REGION LOSS"),K752=1),AND(B752="ROLE COMPROMISE",H752=C752)),Inputs!$B$13,Inputs!$B$14))</f>
        <v>10</v>
      </c>
      <c r="O752" s="15" t="n">
        <f aca="false">IF(J752=1,0,Inputs!$B$13)</f>
        <v>20</v>
      </c>
      <c r="P752" s="15" t="n">
        <f aca="false">SUM(M752:N752)</f>
        <v>85</v>
      </c>
      <c r="Q752" s="15" t="n">
        <f aca="false">IF(J752=1,"",L752-P752)</f>
        <v>15</v>
      </c>
      <c r="R752" s="15" t="n">
        <f aca="false">IF(OR(J752=1,M752&lt;=Inputs!$B$12),1,0)</f>
        <v>1</v>
      </c>
      <c r="S752" s="15" t="n">
        <f aca="false">IF(OR(J752=1,N752&lt;=O752),1,0)</f>
        <v>1</v>
      </c>
      <c r="T752" s="15" t="str">
        <f aca="false">IF(J752=1,"OFFLINE",IF(AND(Q752&gt;=Inputs!$B$15,R752=1,S752=1,P752&lt;=L752),"PASS","FAIL"))</f>
        <v>PASS</v>
      </c>
    </row>
    <row r="753" customFormat="false" ht="15" hidden="false" customHeight="false" outlineLevel="0" collapsed="false">
      <c r="A753" s="14" t="s">
        <v>1025</v>
      </c>
      <c r="B753" s="14" t="s">
        <v>1019</v>
      </c>
      <c r="C753" s="14" t="s">
        <v>174</v>
      </c>
      <c r="D753" s="14" t="s">
        <v>202</v>
      </c>
      <c r="E753" s="14" t="s">
        <v>157</v>
      </c>
      <c r="F753" s="14" t="s">
        <v>199</v>
      </c>
      <c r="G753" s="14" t="n">
        <v>2</v>
      </c>
      <c r="H753" s="14" t="s">
        <v>153</v>
      </c>
      <c r="I753" s="14" t="s">
        <v>811</v>
      </c>
      <c r="J753" s="15" t="n">
        <f aca="false">IF(B753="SITE LOSS",IF(D753=C753,1,0),IF(B753="REGION LOSS",IF(E753=C753,1,0),0))</f>
        <v>0</v>
      </c>
      <c r="K753" s="15" t="n">
        <f aca="false">IF(B753="SITE LOSS",IF(COUNTIFS('Site Dockets'!$B$7:$B$24,C753,'Site Dockets'!$C$7:$C$24,F753)&gt;0,1,0),IF(B753="REGION LOSS",IF(COUNTIFS('Site Dockets'!$E$7:$E$24,C753,'Site Dockets'!$C$7:$C$24,F753)&gt;0,1,0),0))</f>
        <v>0</v>
      </c>
      <c r="L753" s="15" t="n">
        <f aca="false">IF(J753=1,0,Inputs!$B$11)</f>
        <v>100</v>
      </c>
      <c r="M753" s="15" t="n">
        <f aca="false">IF(J753=1,0,Inputs!$B$12)</f>
        <v>75</v>
      </c>
      <c r="N753" s="15" t="n">
        <f aca="false">IF(J753=1,0,IF(OR(AND(OR(B753="SITE LOSS",B753="REGION LOSS"),K753=1),AND(B753="ROLE COMPROMISE",H753=C753)),Inputs!$B$13,Inputs!$B$14))</f>
        <v>10</v>
      </c>
      <c r="O753" s="15" t="n">
        <f aca="false">IF(J753=1,0,Inputs!$B$13)</f>
        <v>20</v>
      </c>
      <c r="P753" s="15" t="n">
        <f aca="false">SUM(M753:N753)</f>
        <v>85</v>
      </c>
      <c r="Q753" s="15" t="n">
        <f aca="false">IF(J753=1,"",L753-P753)</f>
        <v>15</v>
      </c>
      <c r="R753" s="15" t="n">
        <f aca="false">IF(OR(J753=1,M753&lt;=Inputs!$B$12),1,0)</f>
        <v>1</v>
      </c>
      <c r="S753" s="15" t="n">
        <f aca="false">IF(OR(J753=1,N753&lt;=O753),1,0)</f>
        <v>1</v>
      </c>
      <c r="T753" s="15" t="str">
        <f aca="false">IF(J753=1,"OFFLINE",IF(AND(Q753&gt;=Inputs!$B$15,R753=1,S753=1,P753&lt;=L753),"PASS","FAIL"))</f>
        <v>PASS</v>
      </c>
    </row>
    <row r="754" customFormat="false" ht="15" hidden="false" customHeight="false" outlineLevel="0" collapsed="false">
      <c r="A754" s="14" t="s">
        <v>1025</v>
      </c>
      <c r="B754" s="14" t="s">
        <v>1019</v>
      </c>
      <c r="C754" s="14" t="s">
        <v>174</v>
      </c>
      <c r="D754" s="14" t="s">
        <v>202</v>
      </c>
      <c r="E754" s="14" t="s">
        <v>157</v>
      </c>
      <c r="F754" s="14" t="s">
        <v>199</v>
      </c>
      <c r="G754" s="14" t="n">
        <v>2</v>
      </c>
      <c r="H754" s="14" t="s">
        <v>153</v>
      </c>
      <c r="I754" s="14" t="s">
        <v>895</v>
      </c>
      <c r="J754" s="15" t="n">
        <f aca="false">IF(B754="SITE LOSS",IF(D754=C754,1,0),IF(B754="REGION LOSS",IF(E754=C754,1,0),0))</f>
        <v>0</v>
      </c>
      <c r="K754" s="15" t="n">
        <f aca="false">IF(B754="SITE LOSS",IF(COUNTIFS('Site Dockets'!$B$7:$B$24,C754,'Site Dockets'!$C$7:$C$24,F754)&gt;0,1,0),IF(B754="REGION LOSS",IF(COUNTIFS('Site Dockets'!$E$7:$E$24,C754,'Site Dockets'!$C$7:$C$24,F754)&gt;0,1,0),0))</f>
        <v>0</v>
      </c>
      <c r="L754" s="15" t="n">
        <f aca="false">IF(J754=1,0,Inputs!$B$11)</f>
        <v>100</v>
      </c>
      <c r="M754" s="15" t="n">
        <f aca="false">IF(J754=1,0,Inputs!$B$12)</f>
        <v>75</v>
      </c>
      <c r="N754" s="15" t="n">
        <f aca="false">IF(J754=1,0,IF(OR(AND(OR(B754="SITE LOSS",B754="REGION LOSS"),K754=1),AND(B754="ROLE COMPROMISE",H754=C754)),Inputs!$B$13,Inputs!$B$14))</f>
        <v>10</v>
      </c>
      <c r="O754" s="15" t="n">
        <f aca="false">IF(J754=1,0,Inputs!$B$13)</f>
        <v>20</v>
      </c>
      <c r="P754" s="15" t="n">
        <f aca="false">SUM(M754:N754)</f>
        <v>85</v>
      </c>
      <c r="Q754" s="15" t="n">
        <f aca="false">IF(J754=1,"",L754-P754)</f>
        <v>15</v>
      </c>
      <c r="R754" s="15" t="n">
        <f aca="false">IF(OR(J754=1,M754&lt;=Inputs!$B$12),1,0)</f>
        <v>1</v>
      </c>
      <c r="S754" s="15" t="n">
        <f aca="false">IF(OR(J754=1,N754&lt;=O754),1,0)</f>
        <v>1</v>
      </c>
      <c r="T754" s="15" t="str">
        <f aca="false">IF(J754=1,"OFFLINE",IF(AND(Q754&gt;=Inputs!$B$15,R754=1,S754=1,P754&lt;=L754),"PASS","FAIL"))</f>
        <v>PASS</v>
      </c>
    </row>
    <row r="755" customFormat="false" ht="15" hidden="false" customHeight="false" outlineLevel="0" collapsed="false">
      <c r="A755" s="14" t="s">
        <v>1025</v>
      </c>
      <c r="B755" s="14" t="s">
        <v>1019</v>
      </c>
      <c r="C755" s="14" t="s">
        <v>174</v>
      </c>
      <c r="D755" s="14" t="s">
        <v>202</v>
      </c>
      <c r="E755" s="14" t="s">
        <v>157</v>
      </c>
      <c r="F755" s="14" t="s">
        <v>199</v>
      </c>
      <c r="G755" s="14" t="n">
        <v>2</v>
      </c>
      <c r="H755" s="14" t="s">
        <v>153</v>
      </c>
      <c r="I755" s="14" t="s">
        <v>897</v>
      </c>
      <c r="J755" s="15" t="n">
        <f aca="false">IF(B755="SITE LOSS",IF(D755=C755,1,0),IF(B755="REGION LOSS",IF(E755=C755,1,0),0))</f>
        <v>0</v>
      </c>
      <c r="K755" s="15" t="n">
        <f aca="false">IF(B755="SITE LOSS",IF(COUNTIFS('Site Dockets'!$B$7:$B$24,C755,'Site Dockets'!$C$7:$C$24,F755)&gt;0,1,0),IF(B755="REGION LOSS",IF(COUNTIFS('Site Dockets'!$E$7:$E$24,C755,'Site Dockets'!$C$7:$C$24,F755)&gt;0,1,0),0))</f>
        <v>0</v>
      </c>
      <c r="L755" s="15" t="n">
        <f aca="false">IF(J755=1,0,Inputs!$B$11)</f>
        <v>100</v>
      </c>
      <c r="M755" s="15" t="n">
        <f aca="false">IF(J755=1,0,Inputs!$B$12)</f>
        <v>75</v>
      </c>
      <c r="N755" s="15" t="n">
        <f aca="false">IF(J755=1,0,IF(OR(AND(OR(B755="SITE LOSS",B755="REGION LOSS"),K755=1),AND(B755="ROLE COMPROMISE",H755=C755)),Inputs!$B$13,Inputs!$B$14))</f>
        <v>10</v>
      </c>
      <c r="O755" s="15" t="n">
        <f aca="false">IF(J755=1,0,Inputs!$B$13)</f>
        <v>20</v>
      </c>
      <c r="P755" s="15" t="n">
        <f aca="false">SUM(M755:N755)</f>
        <v>85</v>
      </c>
      <c r="Q755" s="15" t="n">
        <f aca="false">IF(J755=1,"",L755-P755)</f>
        <v>15</v>
      </c>
      <c r="R755" s="15" t="n">
        <f aca="false">IF(OR(J755=1,M755&lt;=Inputs!$B$12),1,0)</f>
        <v>1</v>
      </c>
      <c r="S755" s="15" t="n">
        <f aca="false">IF(OR(J755=1,N755&lt;=O755),1,0)</f>
        <v>1</v>
      </c>
      <c r="T755" s="15" t="str">
        <f aca="false">IF(J755=1,"OFFLINE",IF(AND(Q755&gt;=Inputs!$B$15,R755=1,S755=1,P755&lt;=L755),"PASS","FAIL"))</f>
        <v>PASS</v>
      </c>
    </row>
    <row r="756" customFormat="false" ht="15" hidden="false" customHeight="false" outlineLevel="0" collapsed="false">
      <c r="A756" s="14" t="s">
        <v>1025</v>
      </c>
      <c r="B756" s="14" t="s">
        <v>1019</v>
      </c>
      <c r="C756" s="14" t="s">
        <v>174</v>
      </c>
      <c r="D756" s="14" t="s">
        <v>202</v>
      </c>
      <c r="E756" s="14" t="s">
        <v>157</v>
      </c>
      <c r="F756" s="14" t="s">
        <v>199</v>
      </c>
      <c r="G756" s="14" t="n">
        <v>2</v>
      </c>
      <c r="H756" s="14" t="s">
        <v>153</v>
      </c>
      <c r="I756" s="14" t="s">
        <v>899</v>
      </c>
      <c r="J756" s="15" t="n">
        <f aca="false">IF(B756="SITE LOSS",IF(D756=C756,1,0),IF(B756="REGION LOSS",IF(E756=C756,1,0),0))</f>
        <v>0</v>
      </c>
      <c r="K756" s="15" t="n">
        <f aca="false">IF(B756="SITE LOSS",IF(COUNTIFS('Site Dockets'!$B$7:$B$24,C756,'Site Dockets'!$C$7:$C$24,F756)&gt;0,1,0),IF(B756="REGION LOSS",IF(COUNTIFS('Site Dockets'!$E$7:$E$24,C756,'Site Dockets'!$C$7:$C$24,F756)&gt;0,1,0),0))</f>
        <v>0</v>
      </c>
      <c r="L756" s="15" t="n">
        <f aca="false">IF(J756=1,0,Inputs!$B$11)</f>
        <v>100</v>
      </c>
      <c r="M756" s="15" t="n">
        <f aca="false">IF(J756=1,0,Inputs!$B$12)</f>
        <v>75</v>
      </c>
      <c r="N756" s="15" t="n">
        <f aca="false">IF(J756=1,0,IF(OR(AND(OR(B756="SITE LOSS",B756="REGION LOSS"),K756=1),AND(B756="ROLE COMPROMISE",H756=C756)),Inputs!$B$13,Inputs!$B$14))</f>
        <v>10</v>
      </c>
      <c r="O756" s="15" t="n">
        <f aca="false">IF(J756=1,0,Inputs!$B$13)</f>
        <v>20</v>
      </c>
      <c r="P756" s="15" t="n">
        <f aca="false">SUM(M756:N756)</f>
        <v>85</v>
      </c>
      <c r="Q756" s="15" t="n">
        <f aca="false">IF(J756=1,"",L756-P756)</f>
        <v>15</v>
      </c>
      <c r="R756" s="15" t="n">
        <f aca="false">IF(OR(J756=1,M756&lt;=Inputs!$B$12),1,0)</f>
        <v>1</v>
      </c>
      <c r="S756" s="15" t="n">
        <f aca="false">IF(OR(J756=1,N756&lt;=O756),1,0)</f>
        <v>1</v>
      </c>
      <c r="T756" s="15" t="str">
        <f aca="false">IF(J756=1,"OFFLINE",IF(AND(Q756&gt;=Inputs!$B$15,R756=1,S756=1,P756&lt;=L756),"PASS","FAIL"))</f>
        <v>PASS</v>
      </c>
    </row>
    <row r="757" customFormat="false" ht="15" hidden="false" customHeight="false" outlineLevel="0" collapsed="false">
      <c r="A757" s="14" t="s">
        <v>1025</v>
      </c>
      <c r="B757" s="14" t="s">
        <v>1019</v>
      </c>
      <c r="C757" s="14" t="s">
        <v>174</v>
      </c>
      <c r="D757" s="14" t="s">
        <v>204</v>
      </c>
      <c r="E757" s="14" t="s">
        <v>161</v>
      </c>
      <c r="F757" s="14" t="s">
        <v>199</v>
      </c>
      <c r="G757" s="14" t="n">
        <v>3</v>
      </c>
      <c r="H757" s="14" t="s">
        <v>158</v>
      </c>
      <c r="I757" s="14" t="s">
        <v>890</v>
      </c>
      <c r="J757" s="15" t="n">
        <f aca="false">IF(B757="SITE LOSS",IF(D757=C757,1,0),IF(B757="REGION LOSS",IF(E757=C757,1,0),0))</f>
        <v>0</v>
      </c>
      <c r="K757" s="15" t="n">
        <f aca="false">IF(B757="SITE LOSS",IF(COUNTIFS('Site Dockets'!$B$7:$B$24,C757,'Site Dockets'!$C$7:$C$24,F757)&gt;0,1,0),IF(B757="REGION LOSS",IF(COUNTIFS('Site Dockets'!$E$7:$E$24,C757,'Site Dockets'!$C$7:$C$24,F757)&gt;0,1,0),0))</f>
        <v>0</v>
      </c>
      <c r="L757" s="15" t="n">
        <f aca="false">IF(J757=1,0,Inputs!$B$11)</f>
        <v>100</v>
      </c>
      <c r="M757" s="15" t="n">
        <f aca="false">IF(J757=1,0,Inputs!$B$12)</f>
        <v>75</v>
      </c>
      <c r="N757" s="15" t="n">
        <f aca="false">IF(J757=1,0,IF(OR(AND(OR(B757="SITE LOSS",B757="REGION LOSS"),K757=1),AND(B757="ROLE COMPROMISE",H757=C757)),Inputs!$B$13,Inputs!$B$14))</f>
        <v>10</v>
      </c>
      <c r="O757" s="15" t="n">
        <f aca="false">IF(J757=1,0,Inputs!$B$13)</f>
        <v>20</v>
      </c>
      <c r="P757" s="15" t="n">
        <f aca="false">SUM(M757:N757)</f>
        <v>85</v>
      </c>
      <c r="Q757" s="15" t="n">
        <f aca="false">IF(J757=1,"",L757-P757)</f>
        <v>15</v>
      </c>
      <c r="R757" s="15" t="n">
        <f aca="false">IF(OR(J757=1,M757&lt;=Inputs!$B$12),1,0)</f>
        <v>1</v>
      </c>
      <c r="S757" s="15" t="n">
        <f aca="false">IF(OR(J757=1,N757&lt;=O757),1,0)</f>
        <v>1</v>
      </c>
      <c r="T757" s="15" t="str">
        <f aca="false">IF(J757=1,"OFFLINE",IF(AND(Q757&gt;=Inputs!$B$15,R757=1,S757=1,P757&lt;=L757),"PASS","FAIL"))</f>
        <v>PASS</v>
      </c>
    </row>
    <row r="758" customFormat="false" ht="15" hidden="false" customHeight="false" outlineLevel="0" collapsed="false">
      <c r="A758" s="14" t="s">
        <v>1025</v>
      </c>
      <c r="B758" s="14" t="s">
        <v>1019</v>
      </c>
      <c r="C758" s="14" t="s">
        <v>174</v>
      </c>
      <c r="D758" s="14" t="s">
        <v>204</v>
      </c>
      <c r="E758" s="14" t="s">
        <v>161</v>
      </c>
      <c r="F758" s="14" t="s">
        <v>199</v>
      </c>
      <c r="G758" s="14" t="n">
        <v>3</v>
      </c>
      <c r="H758" s="14" t="s">
        <v>158</v>
      </c>
      <c r="I758" s="14" t="s">
        <v>892</v>
      </c>
      <c r="J758" s="15" t="n">
        <f aca="false">IF(B758="SITE LOSS",IF(D758=C758,1,0),IF(B758="REGION LOSS",IF(E758=C758,1,0),0))</f>
        <v>0</v>
      </c>
      <c r="K758" s="15" t="n">
        <f aca="false">IF(B758="SITE LOSS",IF(COUNTIFS('Site Dockets'!$B$7:$B$24,C758,'Site Dockets'!$C$7:$C$24,F758)&gt;0,1,0),IF(B758="REGION LOSS",IF(COUNTIFS('Site Dockets'!$E$7:$E$24,C758,'Site Dockets'!$C$7:$C$24,F758)&gt;0,1,0),0))</f>
        <v>0</v>
      </c>
      <c r="L758" s="15" t="n">
        <f aca="false">IF(J758=1,0,Inputs!$B$11)</f>
        <v>100</v>
      </c>
      <c r="M758" s="15" t="n">
        <f aca="false">IF(J758=1,0,Inputs!$B$12)</f>
        <v>75</v>
      </c>
      <c r="N758" s="15" t="n">
        <f aca="false">IF(J758=1,0,IF(OR(AND(OR(B758="SITE LOSS",B758="REGION LOSS"),K758=1),AND(B758="ROLE COMPROMISE",H758=C758)),Inputs!$B$13,Inputs!$B$14))</f>
        <v>10</v>
      </c>
      <c r="O758" s="15" t="n">
        <f aca="false">IF(J758=1,0,Inputs!$B$13)</f>
        <v>20</v>
      </c>
      <c r="P758" s="15" t="n">
        <f aca="false">SUM(M758:N758)</f>
        <v>85</v>
      </c>
      <c r="Q758" s="15" t="n">
        <f aca="false">IF(J758=1,"",L758-P758)</f>
        <v>15</v>
      </c>
      <c r="R758" s="15" t="n">
        <f aca="false">IF(OR(J758=1,M758&lt;=Inputs!$B$12),1,0)</f>
        <v>1</v>
      </c>
      <c r="S758" s="15" t="n">
        <f aca="false">IF(OR(J758=1,N758&lt;=O758),1,0)</f>
        <v>1</v>
      </c>
      <c r="T758" s="15" t="str">
        <f aca="false">IF(J758=1,"OFFLINE",IF(AND(Q758&gt;=Inputs!$B$15,R758=1,S758=1,P758&lt;=L758),"PASS","FAIL"))</f>
        <v>PASS</v>
      </c>
    </row>
    <row r="759" customFormat="false" ht="15" hidden="false" customHeight="false" outlineLevel="0" collapsed="false">
      <c r="A759" s="14" t="s">
        <v>1025</v>
      </c>
      <c r="B759" s="14" t="s">
        <v>1019</v>
      </c>
      <c r="C759" s="14" t="s">
        <v>174</v>
      </c>
      <c r="D759" s="14" t="s">
        <v>204</v>
      </c>
      <c r="E759" s="14" t="s">
        <v>161</v>
      </c>
      <c r="F759" s="14" t="s">
        <v>199</v>
      </c>
      <c r="G759" s="14" t="n">
        <v>3</v>
      </c>
      <c r="H759" s="14" t="s">
        <v>158</v>
      </c>
      <c r="I759" s="14" t="s">
        <v>811</v>
      </c>
      <c r="J759" s="15" t="n">
        <f aca="false">IF(B759="SITE LOSS",IF(D759=C759,1,0),IF(B759="REGION LOSS",IF(E759=C759,1,0),0))</f>
        <v>0</v>
      </c>
      <c r="K759" s="15" t="n">
        <f aca="false">IF(B759="SITE LOSS",IF(COUNTIFS('Site Dockets'!$B$7:$B$24,C759,'Site Dockets'!$C$7:$C$24,F759)&gt;0,1,0),IF(B759="REGION LOSS",IF(COUNTIFS('Site Dockets'!$E$7:$E$24,C759,'Site Dockets'!$C$7:$C$24,F759)&gt;0,1,0),0))</f>
        <v>0</v>
      </c>
      <c r="L759" s="15" t="n">
        <f aca="false">IF(J759=1,0,Inputs!$B$11)</f>
        <v>100</v>
      </c>
      <c r="M759" s="15" t="n">
        <f aca="false">IF(J759=1,0,Inputs!$B$12)</f>
        <v>75</v>
      </c>
      <c r="N759" s="15" t="n">
        <f aca="false">IF(J759=1,0,IF(OR(AND(OR(B759="SITE LOSS",B759="REGION LOSS"),K759=1),AND(B759="ROLE COMPROMISE",H759=C759)),Inputs!$B$13,Inputs!$B$14))</f>
        <v>10</v>
      </c>
      <c r="O759" s="15" t="n">
        <f aca="false">IF(J759=1,0,Inputs!$B$13)</f>
        <v>20</v>
      </c>
      <c r="P759" s="15" t="n">
        <f aca="false">SUM(M759:N759)</f>
        <v>85</v>
      </c>
      <c r="Q759" s="15" t="n">
        <f aca="false">IF(J759=1,"",L759-P759)</f>
        <v>15</v>
      </c>
      <c r="R759" s="15" t="n">
        <f aca="false">IF(OR(J759=1,M759&lt;=Inputs!$B$12),1,0)</f>
        <v>1</v>
      </c>
      <c r="S759" s="15" t="n">
        <f aca="false">IF(OR(J759=1,N759&lt;=O759),1,0)</f>
        <v>1</v>
      </c>
      <c r="T759" s="15" t="str">
        <f aca="false">IF(J759=1,"OFFLINE",IF(AND(Q759&gt;=Inputs!$B$15,R759=1,S759=1,P759&lt;=L759),"PASS","FAIL"))</f>
        <v>PASS</v>
      </c>
    </row>
    <row r="760" customFormat="false" ht="15" hidden="false" customHeight="false" outlineLevel="0" collapsed="false">
      <c r="A760" s="14" t="s">
        <v>1025</v>
      </c>
      <c r="B760" s="14" t="s">
        <v>1019</v>
      </c>
      <c r="C760" s="14" t="s">
        <v>174</v>
      </c>
      <c r="D760" s="14" t="s">
        <v>204</v>
      </c>
      <c r="E760" s="14" t="s">
        <v>161</v>
      </c>
      <c r="F760" s="14" t="s">
        <v>199</v>
      </c>
      <c r="G760" s="14" t="n">
        <v>3</v>
      </c>
      <c r="H760" s="14" t="s">
        <v>158</v>
      </c>
      <c r="I760" s="14" t="s">
        <v>895</v>
      </c>
      <c r="J760" s="15" t="n">
        <f aca="false">IF(B760="SITE LOSS",IF(D760=C760,1,0),IF(B760="REGION LOSS",IF(E760=C760,1,0),0))</f>
        <v>0</v>
      </c>
      <c r="K760" s="15" t="n">
        <f aca="false">IF(B760="SITE LOSS",IF(COUNTIFS('Site Dockets'!$B$7:$B$24,C760,'Site Dockets'!$C$7:$C$24,F760)&gt;0,1,0),IF(B760="REGION LOSS",IF(COUNTIFS('Site Dockets'!$E$7:$E$24,C760,'Site Dockets'!$C$7:$C$24,F760)&gt;0,1,0),0))</f>
        <v>0</v>
      </c>
      <c r="L760" s="15" t="n">
        <f aca="false">IF(J760=1,0,Inputs!$B$11)</f>
        <v>100</v>
      </c>
      <c r="M760" s="15" t="n">
        <f aca="false">IF(J760=1,0,Inputs!$B$12)</f>
        <v>75</v>
      </c>
      <c r="N760" s="15" t="n">
        <f aca="false">IF(J760=1,0,IF(OR(AND(OR(B760="SITE LOSS",B760="REGION LOSS"),K760=1),AND(B760="ROLE COMPROMISE",H760=C760)),Inputs!$B$13,Inputs!$B$14))</f>
        <v>10</v>
      </c>
      <c r="O760" s="15" t="n">
        <f aca="false">IF(J760=1,0,Inputs!$B$13)</f>
        <v>20</v>
      </c>
      <c r="P760" s="15" t="n">
        <f aca="false">SUM(M760:N760)</f>
        <v>85</v>
      </c>
      <c r="Q760" s="15" t="n">
        <f aca="false">IF(J760=1,"",L760-P760)</f>
        <v>15</v>
      </c>
      <c r="R760" s="15" t="n">
        <f aca="false">IF(OR(J760=1,M760&lt;=Inputs!$B$12),1,0)</f>
        <v>1</v>
      </c>
      <c r="S760" s="15" t="n">
        <f aca="false">IF(OR(J760=1,N760&lt;=O760),1,0)</f>
        <v>1</v>
      </c>
      <c r="T760" s="15" t="str">
        <f aca="false">IF(J760=1,"OFFLINE",IF(AND(Q760&gt;=Inputs!$B$15,R760=1,S760=1,P760&lt;=L760),"PASS","FAIL"))</f>
        <v>PASS</v>
      </c>
    </row>
    <row r="761" customFormat="false" ht="15" hidden="false" customHeight="false" outlineLevel="0" collapsed="false">
      <c r="A761" s="14" t="s">
        <v>1025</v>
      </c>
      <c r="B761" s="14" t="s">
        <v>1019</v>
      </c>
      <c r="C761" s="14" t="s">
        <v>174</v>
      </c>
      <c r="D761" s="14" t="s">
        <v>204</v>
      </c>
      <c r="E761" s="14" t="s">
        <v>161</v>
      </c>
      <c r="F761" s="14" t="s">
        <v>199</v>
      </c>
      <c r="G761" s="14" t="n">
        <v>3</v>
      </c>
      <c r="H761" s="14" t="s">
        <v>158</v>
      </c>
      <c r="I761" s="14" t="s">
        <v>897</v>
      </c>
      <c r="J761" s="15" t="n">
        <f aca="false">IF(B761="SITE LOSS",IF(D761=C761,1,0),IF(B761="REGION LOSS",IF(E761=C761,1,0),0))</f>
        <v>0</v>
      </c>
      <c r="K761" s="15" t="n">
        <f aca="false">IF(B761="SITE LOSS",IF(COUNTIFS('Site Dockets'!$B$7:$B$24,C761,'Site Dockets'!$C$7:$C$24,F761)&gt;0,1,0),IF(B761="REGION LOSS",IF(COUNTIFS('Site Dockets'!$E$7:$E$24,C761,'Site Dockets'!$C$7:$C$24,F761)&gt;0,1,0),0))</f>
        <v>0</v>
      </c>
      <c r="L761" s="15" t="n">
        <f aca="false">IF(J761=1,0,Inputs!$B$11)</f>
        <v>100</v>
      </c>
      <c r="M761" s="15" t="n">
        <f aca="false">IF(J761=1,0,Inputs!$B$12)</f>
        <v>75</v>
      </c>
      <c r="N761" s="15" t="n">
        <f aca="false">IF(J761=1,0,IF(OR(AND(OR(B761="SITE LOSS",B761="REGION LOSS"),K761=1),AND(B761="ROLE COMPROMISE",H761=C761)),Inputs!$B$13,Inputs!$B$14))</f>
        <v>10</v>
      </c>
      <c r="O761" s="15" t="n">
        <f aca="false">IF(J761=1,0,Inputs!$B$13)</f>
        <v>20</v>
      </c>
      <c r="P761" s="15" t="n">
        <f aca="false">SUM(M761:N761)</f>
        <v>85</v>
      </c>
      <c r="Q761" s="15" t="n">
        <f aca="false">IF(J761=1,"",L761-P761)</f>
        <v>15</v>
      </c>
      <c r="R761" s="15" t="n">
        <f aca="false">IF(OR(J761=1,M761&lt;=Inputs!$B$12),1,0)</f>
        <v>1</v>
      </c>
      <c r="S761" s="15" t="n">
        <f aca="false">IF(OR(J761=1,N761&lt;=O761),1,0)</f>
        <v>1</v>
      </c>
      <c r="T761" s="15" t="str">
        <f aca="false">IF(J761=1,"OFFLINE",IF(AND(Q761&gt;=Inputs!$B$15,R761=1,S761=1,P761&lt;=L761),"PASS","FAIL"))</f>
        <v>PASS</v>
      </c>
    </row>
    <row r="762" customFormat="false" ht="15" hidden="false" customHeight="false" outlineLevel="0" collapsed="false">
      <c r="A762" s="14" t="s">
        <v>1025</v>
      </c>
      <c r="B762" s="14" t="s">
        <v>1019</v>
      </c>
      <c r="C762" s="14" t="s">
        <v>174</v>
      </c>
      <c r="D762" s="14" t="s">
        <v>204</v>
      </c>
      <c r="E762" s="14" t="s">
        <v>161</v>
      </c>
      <c r="F762" s="14" t="s">
        <v>199</v>
      </c>
      <c r="G762" s="14" t="n">
        <v>3</v>
      </c>
      <c r="H762" s="14" t="s">
        <v>158</v>
      </c>
      <c r="I762" s="14" t="s">
        <v>899</v>
      </c>
      <c r="J762" s="15" t="n">
        <f aca="false">IF(B762="SITE LOSS",IF(D762=C762,1,0),IF(B762="REGION LOSS",IF(E762=C762,1,0),0))</f>
        <v>0</v>
      </c>
      <c r="K762" s="15" t="n">
        <f aca="false">IF(B762="SITE LOSS",IF(COUNTIFS('Site Dockets'!$B$7:$B$24,C762,'Site Dockets'!$C$7:$C$24,F762)&gt;0,1,0),IF(B762="REGION LOSS",IF(COUNTIFS('Site Dockets'!$E$7:$E$24,C762,'Site Dockets'!$C$7:$C$24,F762)&gt;0,1,0),0))</f>
        <v>0</v>
      </c>
      <c r="L762" s="15" t="n">
        <f aca="false">IF(J762=1,0,Inputs!$B$11)</f>
        <v>100</v>
      </c>
      <c r="M762" s="15" t="n">
        <f aca="false">IF(J762=1,0,Inputs!$B$12)</f>
        <v>75</v>
      </c>
      <c r="N762" s="15" t="n">
        <f aca="false">IF(J762=1,0,IF(OR(AND(OR(B762="SITE LOSS",B762="REGION LOSS"),K762=1),AND(B762="ROLE COMPROMISE",H762=C762)),Inputs!$B$13,Inputs!$B$14))</f>
        <v>10</v>
      </c>
      <c r="O762" s="15" t="n">
        <f aca="false">IF(J762=1,0,Inputs!$B$13)</f>
        <v>20</v>
      </c>
      <c r="P762" s="15" t="n">
        <f aca="false">SUM(M762:N762)</f>
        <v>85</v>
      </c>
      <c r="Q762" s="15" t="n">
        <f aca="false">IF(J762=1,"",L762-P762)</f>
        <v>15</v>
      </c>
      <c r="R762" s="15" t="n">
        <f aca="false">IF(OR(J762=1,M762&lt;=Inputs!$B$12),1,0)</f>
        <v>1</v>
      </c>
      <c r="S762" s="15" t="n">
        <f aca="false">IF(OR(J762=1,N762&lt;=O762),1,0)</f>
        <v>1</v>
      </c>
      <c r="T762" s="15" t="str">
        <f aca="false">IF(J762=1,"OFFLINE",IF(AND(Q762&gt;=Inputs!$B$15,R762=1,S762=1,P762&lt;=L762),"PASS","FAIL"))</f>
        <v>PASS</v>
      </c>
    </row>
    <row r="763" customFormat="false" ht="15" hidden="false" customHeight="false" outlineLevel="0" collapsed="false">
      <c r="A763" s="14" t="s">
        <v>1026</v>
      </c>
      <c r="B763" s="14" t="s">
        <v>1019</v>
      </c>
      <c r="C763" s="14" t="s">
        <v>178</v>
      </c>
      <c r="D763" s="14" t="s">
        <v>149</v>
      </c>
      <c r="E763" s="14" t="s">
        <v>152</v>
      </c>
      <c r="F763" s="14" t="s">
        <v>150</v>
      </c>
      <c r="G763" s="14" t="n">
        <v>1</v>
      </c>
      <c r="H763" s="14" t="s">
        <v>154</v>
      </c>
      <c r="I763" s="14" t="s">
        <v>890</v>
      </c>
      <c r="J763" s="15" t="n">
        <f aca="false">IF(B763="SITE LOSS",IF(D763=C763,1,0),IF(B763="REGION LOSS",IF(E763=C763,1,0),0))</f>
        <v>0</v>
      </c>
      <c r="K763" s="15" t="n">
        <f aca="false">IF(B763="SITE LOSS",IF(COUNTIFS('Site Dockets'!$B$7:$B$24,C763,'Site Dockets'!$C$7:$C$24,F763)&gt;0,1,0),IF(B763="REGION LOSS",IF(COUNTIFS('Site Dockets'!$E$7:$E$24,C763,'Site Dockets'!$C$7:$C$24,F763)&gt;0,1,0),0))</f>
        <v>0</v>
      </c>
      <c r="L763" s="15" t="n">
        <f aca="false">IF(J763=1,0,Inputs!$B$11)</f>
        <v>100</v>
      </c>
      <c r="M763" s="15" t="n">
        <f aca="false">IF(J763=1,0,Inputs!$B$12)</f>
        <v>75</v>
      </c>
      <c r="N763" s="15" t="n">
        <f aca="false">IF(J763=1,0,IF(OR(AND(OR(B763="SITE LOSS",B763="REGION LOSS"),K763=1),AND(B763="ROLE COMPROMISE",H763=C763)),Inputs!$B$13,Inputs!$B$14))</f>
        <v>10</v>
      </c>
      <c r="O763" s="15" t="n">
        <f aca="false">IF(J763=1,0,Inputs!$B$13)</f>
        <v>20</v>
      </c>
      <c r="P763" s="15" t="n">
        <f aca="false">SUM(M763:N763)</f>
        <v>85</v>
      </c>
      <c r="Q763" s="15" t="n">
        <f aca="false">IF(J763=1,"",L763-P763)</f>
        <v>15</v>
      </c>
      <c r="R763" s="15" t="n">
        <f aca="false">IF(OR(J763=1,M763&lt;=Inputs!$B$12),1,0)</f>
        <v>1</v>
      </c>
      <c r="S763" s="15" t="n">
        <f aca="false">IF(OR(J763=1,N763&lt;=O763),1,0)</f>
        <v>1</v>
      </c>
      <c r="T763" s="15" t="str">
        <f aca="false">IF(J763=1,"OFFLINE",IF(AND(Q763&gt;=Inputs!$B$15,R763=1,S763=1,P763&lt;=L763),"PASS","FAIL"))</f>
        <v>PASS</v>
      </c>
    </row>
    <row r="764" customFormat="false" ht="15" hidden="false" customHeight="false" outlineLevel="0" collapsed="false">
      <c r="A764" s="14" t="s">
        <v>1026</v>
      </c>
      <c r="B764" s="14" t="s">
        <v>1019</v>
      </c>
      <c r="C764" s="14" t="s">
        <v>178</v>
      </c>
      <c r="D764" s="14" t="s">
        <v>149</v>
      </c>
      <c r="E764" s="14" t="s">
        <v>152</v>
      </c>
      <c r="F764" s="14" t="s">
        <v>150</v>
      </c>
      <c r="G764" s="14" t="n">
        <v>1</v>
      </c>
      <c r="H764" s="14" t="s">
        <v>154</v>
      </c>
      <c r="I764" s="14" t="s">
        <v>892</v>
      </c>
      <c r="J764" s="15" t="n">
        <f aca="false">IF(B764="SITE LOSS",IF(D764=C764,1,0),IF(B764="REGION LOSS",IF(E764=C764,1,0),0))</f>
        <v>0</v>
      </c>
      <c r="K764" s="15" t="n">
        <f aca="false">IF(B764="SITE LOSS",IF(COUNTIFS('Site Dockets'!$B$7:$B$24,C764,'Site Dockets'!$C$7:$C$24,F764)&gt;0,1,0),IF(B764="REGION LOSS",IF(COUNTIFS('Site Dockets'!$E$7:$E$24,C764,'Site Dockets'!$C$7:$C$24,F764)&gt;0,1,0),0))</f>
        <v>0</v>
      </c>
      <c r="L764" s="15" t="n">
        <f aca="false">IF(J764=1,0,Inputs!$B$11)</f>
        <v>100</v>
      </c>
      <c r="M764" s="15" t="n">
        <f aca="false">IF(J764=1,0,Inputs!$B$12)</f>
        <v>75</v>
      </c>
      <c r="N764" s="15" t="n">
        <f aca="false">IF(J764=1,0,IF(OR(AND(OR(B764="SITE LOSS",B764="REGION LOSS"),K764=1),AND(B764="ROLE COMPROMISE",H764=C764)),Inputs!$B$13,Inputs!$B$14))</f>
        <v>10</v>
      </c>
      <c r="O764" s="15" t="n">
        <f aca="false">IF(J764=1,0,Inputs!$B$13)</f>
        <v>20</v>
      </c>
      <c r="P764" s="15" t="n">
        <f aca="false">SUM(M764:N764)</f>
        <v>85</v>
      </c>
      <c r="Q764" s="15" t="n">
        <f aca="false">IF(J764=1,"",L764-P764)</f>
        <v>15</v>
      </c>
      <c r="R764" s="15" t="n">
        <f aca="false">IF(OR(J764=1,M764&lt;=Inputs!$B$12),1,0)</f>
        <v>1</v>
      </c>
      <c r="S764" s="15" t="n">
        <f aca="false">IF(OR(J764=1,N764&lt;=O764),1,0)</f>
        <v>1</v>
      </c>
      <c r="T764" s="15" t="str">
        <f aca="false">IF(J764=1,"OFFLINE",IF(AND(Q764&gt;=Inputs!$B$15,R764=1,S764=1,P764&lt;=L764),"PASS","FAIL"))</f>
        <v>PASS</v>
      </c>
    </row>
    <row r="765" customFormat="false" ht="15" hidden="false" customHeight="false" outlineLevel="0" collapsed="false">
      <c r="A765" s="14" t="s">
        <v>1026</v>
      </c>
      <c r="B765" s="14" t="s">
        <v>1019</v>
      </c>
      <c r="C765" s="14" t="s">
        <v>178</v>
      </c>
      <c r="D765" s="14" t="s">
        <v>149</v>
      </c>
      <c r="E765" s="14" t="s">
        <v>152</v>
      </c>
      <c r="F765" s="14" t="s">
        <v>150</v>
      </c>
      <c r="G765" s="14" t="n">
        <v>1</v>
      </c>
      <c r="H765" s="14" t="s">
        <v>154</v>
      </c>
      <c r="I765" s="14" t="s">
        <v>811</v>
      </c>
      <c r="J765" s="15" t="n">
        <f aca="false">IF(B765="SITE LOSS",IF(D765=C765,1,0),IF(B765="REGION LOSS",IF(E765=C765,1,0),0))</f>
        <v>0</v>
      </c>
      <c r="K765" s="15" t="n">
        <f aca="false">IF(B765="SITE LOSS",IF(COUNTIFS('Site Dockets'!$B$7:$B$24,C765,'Site Dockets'!$C$7:$C$24,F765)&gt;0,1,0),IF(B765="REGION LOSS",IF(COUNTIFS('Site Dockets'!$E$7:$E$24,C765,'Site Dockets'!$C$7:$C$24,F765)&gt;0,1,0),0))</f>
        <v>0</v>
      </c>
      <c r="L765" s="15" t="n">
        <f aca="false">IF(J765=1,0,Inputs!$B$11)</f>
        <v>100</v>
      </c>
      <c r="M765" s="15" t="n">
        <f aca="false">IF(J765=1,0,Inputs!$B$12)</f>
        <v>75</v>
      </c>
      <c r="N765" s="15" t="n">
        <f aca="false">IF(J765=1,0,IF(OR(AND(OR(B765="SITE LOSS",B765="REGION LOSS"),K765=1),AND(B765="ROLE COMPROMISE",H765=C765)),Inputs!$B$13,Inputs!$B$14))</f>
        <v>10</v>
      </c>
      <c r="O765" s="15" t="n">
        <f aca="false">IF(J765=1,0,Inputs!$B$13)</f>
        <v>20</v>
      </c>
      <c r="P765" s="15" t="n">
        <f aca="false">SUM(M765:N765)</f>
        <v>85</v>
      </c>
      <c r="Q765" s="15" t="n">
        <f aca="false">IF(J765=1,"",L765-P765)</f>
        <v>15</v>
      </c>
      <c r="R765" s="15" t="n">
        <f aca="false">IF(OR(J765=1,M765&lt;=Inputs!$B$12),1,0)</f>
        <v>1</v>
      </c>
      <c r="S765" s="15" t="n">
        <f aca="false">IF(OR(J765=1,N765&lt;=O765),1,0)</f>
        <v>1</v>
      </c>
      <c r="T765" s="15" t="str">
        <f aca="false">IF(J765=1,"OFFLINE",IF(AND(Q765&gt;=Inputs!$B$15,R765=1,S765=1,P765&lt;=L765),"PASS","FAIL"))</f>
        <v>PASS</v>
      </c>
    </row>
    <row r="766" customFormat="false" ht="15" hidden="false" customHeight="false" outlineLevel="0" collapsed="false">
      <c r="A766" s="14" t="s">
        <v>1026</v>
      </c>
      <c r="B766" s="14" t="s">
        <v>1019</v>
      </c>
      <c r="C766" s="14" t="s">
        <v>178</v>
      </c>
      <c r="D766" s="14" t="s">
        <v>149</v>
      </c>
      <c r="E766" s="14" t="s">
        <v>152</v>
      </c>
      <c r="F766" s="14" t="s">
        <v>150</v>
      </c>
      <c r="G766" s="14" t="n">
        <v>1</v>
      </c>
      <c r="H766" s="14" t="s">
        <v>154</v>
      </c>
      <c r="I766" s="14" t="s">
        <v>895</v>
      </c>
      <c r="J766" s="15" t="n">
        <f aca="false">IF(B766="SITE LOSS",IF(D766=C766,1,0),IF(B766="REGION LOSS",IF(E766=C766,1,0),0))</f>
        <v>0</v>
      </c>
      <c r="K766" s="15" t="n">
        <f aca="false">IF(B766="SITE LOSS",IF(COUNTIFS('Site Dockets'!$B$7:$B$24,C766,'Site Dockets'!$C$7:$C$24,F766)&gt;0,1,0),IF(B766="REGION LOSS",IF(COUNTIFS('Site Dockets'!$E$7:$E$24,C766,'Site Dockets'!$C$7:$C$24,F766)&gt;0,1,0),0))</f>
        <v>0</v>
      </c>
      <c r="L766" s="15" t="n">
        <f aca="false">IF(J766=1,0,Inputs!$B$11)</f>
        <v>100</v>
      </c>
      <c r="M766" s="15" t="n">
        <f aca="false">IF(J766=1,0,Inputs!$B$12)</f>
        <v>75</v>
      </c>
      <c r="N766" s="15" t="n">
        <f aca="false">IF(J766=1,0,IF(OR(AND(OR(B766="SITE LOSS",B766="REGION LOSS"),K766=1),AND(B766="ROLE COMPROMISE",H766=C766)),Inputs!$B$13,Inputs!$B$14))</f>
        <v>10</v>
      </c>
      <c r="O766" s="15" t="n">
        <f aca="false">IF(J766=1,0,Inputs!$B$13)</f>
        <v>20</v>
      </c>
      <c r="P766" s="15" t="n">
        <f aca="false">SUM(M766:N766)</f>
        <v>85</v>
      </c>
      <c r="Q766" s="15" t="n">
        <f aca="false">IF(J766=1,"",L766-P766)</f>
        <v>15</v>
      </c>
      <c r="R766" s="15" t="n">
        <f aca="false">IF(OR(J766=1,M766&lt;=Inputs!$B$12),1,0)</f>
        <v>1</v>
      </c>
      <c r="S766" s="15" t="n">
        <f aca="false">IF(OR(J766=1,N766&lt;=O766),1,0)</f>
        <v>1</v>
      </c>
      <c r="T766" s="15" t="str">
        <f aca="false">IF(J766=1,"OFFLINE",IF(AND(Q766&gt;=Inputs!$B$15,R766=1,S766=1,P766&lt;=L766),"PASS","FAIL"))</f>
        <v>PASS</v>
      </c>
    </row>
    <row r="767" customFormat="false" ht="15" hidden="false" customHeight="false" outlineLevel="0" collapsed="false">
      <c r="A767" s="14" t="s">
        <v>1026</v>
      </c>
      <c r="B767" s="14" t="s">
        <v>1019</v>
      </c>
      <c r="C767" s="14" t="s">
        <v>178</v>
      </c>
      <c r="D767" s="14" t="s">
        <v>149</v>
      </c>
      <c r="E767" s="14" t="s">
        <v>152</v>
      </c>
      <c r="F767" s="14" t="s">
        <v>150</v>
      </c>
      <c r="G767" s="14" t="n">
        <v>1</v>
      </c>
      <c r="H767" s="14" t="s">
        <v>154</v>
      </c>
      <c r="I767" s="14" t="s">
        <v>897</v>
      </c>
      <c r="J767" s="15" t="n">
        <f aca="false">IF(B767="SITE LOSS",IF(D767=C767,1,0),IF(B767="REGION LOSS",IF(E767=C767,1,0),0))</f>
        <v>0</v>
      </c>
      <c r="K767" s="15" t="n">
        <f aca="false">IF(B767="SITE LOSS",IF(COUNTIFS('Site Dockets'!$B$7:$B$24,C767,'Site Dockets'!$C$7:$C$24,F767)&gt;0,1,0),IF(B767="REGION LOSS",IF(COUNTIFS('Site Dockets'!$E$7:$E$24,C767,'Site Dockets'!$C$7:$C$24,F767)&gt;0,1,0),0))</f>
        <v>0</v>
      </c>
      <c r="L767" s="15" t="n">
        <f aca="false">IF(J767=1,0,Inputs!$B$11)</f>
        <v>100</v>
      </c>
      <c r="M767" s="15" t="n">
        <f aca="false">IF(J767=1,0,Inputs!$B$12)</f>
        <v>75</v>
      </c>
      <c r="N767" s="15" t="n">
        <f aca="false">IF(J767=1,0,IF(OR(AND(OR(B767="SITE LOSS",B767="REGION LOSS"),K767=1),AND(B767="ROLE COMPROMISE",H767=C767)),Inputs!$B$13,Inputs!$B$14))</f>
        <v>10</v>
      </c>
      <c r="O767" s="15" t="n">
        <f aca="false">IF(J767=1,0,Inputs!$B$13)</f>
        <v>20</v>
      </c>
      <c r="P767" s="15" t="n">
        <f aca="false">SUM(M767:N767)</f>
        <v>85</v>
      </c>
      <c r="Q767" s="15" t="n">
        <f aca="false">IF(J767=1,"",L767-P767)</f>
        <v>15</v>
      </c>
      <c r="R767" s="15" t="n">
        <f aca="false">IF(OR(J767=1,M767&lt;=Inputs!$B$12),1,0)</f>
        <v>1</v>
      </c>
      <c r="S767" s="15" t="n">
        <f aca="false">IF(OR(J767=1,N767&lt;=O767),1,0)</f>
        <v>1</v>
      </c>
      <c r="T767" s="15" t="str">
        <f aca="false">IF(J767=1,"OFFLINE",IF(AND(Q767&gt;=Inputs!$B$15,R767=1,S767=1,P767&lt;=L767),"PASS","FAIL"))</f>
        <v>PASS</v>
      </c>
    </row>
    <row r="768" customFormat="false" ht="15" hidden="false" customHeight="false" outlineLevel="0" collapsed="false">
      <c r="A768" s="14" t="s">
        <v>1026</v>
      </c>
      <c r="B768" s="14" t="s">
        <v>1019</v>
      </c>
      <c r="C768" s="14" t="s">
        <v>178</v>
      </c>
      <c r="D768" s="14" t="s">
        <v>149</v>
      </c>
      <c r="E768" s="14" t="s">
        <v>152</v>
      </c>
      <c r="F768" s="14" t="s">
        <v>150</v>
      </c>
      <c r="G768" s="14" t="n">
        <v>1</v>
      </c>
      <c r="H768" s="14" t="s">
        <v>154</v>
      </c>
      <c r="I768" s="14" t="s">
        <v>899</v>
      </c>
      <c r="J768" s="15" t="n">
        <f aca="false">IF(B768="SITE LOSS",IF(D768=C768,1,0),IF(B768="REGION LOSS",IF(E768=C768,1,0),0))</f>
        <v>0</v>
      </c>
      <c r="K768" s="15" t="n">
        <f aca="false">IF(B768="SITE LOSS",IF(COUNTIFS('Site Dockets'!$B$7:$B$24,C768,'Site Dockets'!$C$7:$C$24,F768)&gt;0,1,0),IF(B768="REGION LOSS",IF(COUNTIFS('Site Dockets'!$E$7:$E$24,C768,'Site Dockets'!$C$7:$C$24,F768)&gt;0,1,0),0))</f>
        <v>0</v>
      </c>
      <c r="L768" s="15" t="n">
        <f aca="false">IF(J768=1,0,Inputs!$B$11)</f>
        <v>100</v>
      </c>
      <c r="M768" s="15" t="n">
        <f aca="false">IF(J768=1,0,Inputs!$B$12)</f>
        <v>75</v>
      </c>
      <c r="N768" s="15" t="n">
        <f aca="false">IF(J768=1,0,IF(OR(AND(OR(B768="SITE LOSS",B768="REGION LOSS"),K768=1),AND(B768="ROLE COMPROMISE",H768=C768)),Inputs!$B$13,Inputs!$B$14))</f>
        <v>10</v>
      </c>
      <c r="O768" s="15" t="n">
        <f aca="false">IF(J768=1,0,Inputs!$B$13)</f>
        <v>20</v>
      </c>
      <c r="P768" s="15" t="n">
        <f aca="false">SUM(M768:N768)</f>
        <v>85</v>
      </c>
      <c r="Q768" s="15" t="n">
        <f aca="false">IF(J768=1,"",L768-P768)</f>
        <v>15</v>
      </c>
      <c r="R768" s="15" t="n">
        <f aca="false">IF(OR(J768=1,M768&lt;=Inputs!$B$12),1,0)</f>
        <v>1</v>
      </c>
      <c r="S768" s="15" t="n">
        <f aca="false">IF(OR(J768=1,N768&lt;=O768),1,0)</f>
        <v>1</v>
      </c>
      <c r="T768" s="15" t="str">
        <f aca="false">IF(J768=1,"OFFLINE",IF(AND(Q768&gt;=Inputs!$B$15,R768=1,S768=1,P768&lt;=L768),"PASS","FAIL"))</f>
        <v>PASS</v>
      </c>
    </row>
    <row r="769" customFormat="false" ht="15" hidden="false" customHeight="false" outlineLevel="0" collapsed="false">
      <c r="A769" s="14" t="s">
        <v>1026</v>
      </c>
      <c r="B769" s="14" t="s">
        <v>1019</v>
      </c>
      <c r="C769" s="14" t="s">
        <v>178</v>
      </c>
      <c r="D769" s="14" t="s">
        <v>156</v>
      </c>
      <c r="E769" s="14" t="s">
        <v>157</v>
      </c>
      <c r="F769" s="14" t="s">
        <v>150</v>
      </c>
      <c r="G769" s="14" t="n">
        <v>2</v>
      </c>
      <c r="H769" s="14" t="s">
        <v>153</v>
      </c>
      <c r="I769" s="14" t="s">
        <v>890</v>
      </c>
      <c r="J769" s="15" t="n">
        <f aca="false">IF(B769="SITE LOSS",IF(D769=C769,1,0),IF(B769="REGION LOSS",IF(E769=C769,1,0),0))</f>
        <v>0</v>
      </c>
      <c r="K769" s="15" t="n">
        <f aca="false">IF(B769="SITE LOSS",IF(COUNTIFS('Site Dockets'!$B$7:$B$24,C769,'Site Dockets'!$C$7:$C$24,F769)&gt;0,1,0),IF(B769="REGION LOSS",IF(COUNTIFS('Site Dockets'!$E$7:$E$24,C769,'Site Dockets'!$C$7:$C$24,F769)&gt;0,1,0),0))</f>
        <v>0</v>
      </c>
      <c r="L769" s="15" t="n">
        <f aca="false">IF(J769=1,0,Inputs!$B$11)</f>
        <v>100</v>
      </c>
      <c r="M769" s="15" t="n">
        <f aca="false">IF(J769=1,0,Inputs!$B$12)</f>
        <v>75</v>
      </c>
      <c r="N769" s="15" t="n">
        <f aca="false">IF(J769=1,0,IF(OR(AND(OR(B769="SITE LOSS",B769="REGION LOSS"),K769=1),AND(B769="ROLE COMPROMISE",H769=C769)),Inputs!$B$13,Inputs!$B$14))</f>
        <v>10</v>
      </c>
      <c r="O769" s="15" t="n">
        <f aca="false">IF(J769=1,0,Inputs!$B$13)</f>
        <v>20</v>
      </c>
      <c r="P769" s="15" t="n">
        <f aca="false">SUM(M769:N769)</f>
        <v>85</v>
      </c>
      <c r="Q769" s="15" t="n">
        <f aca="false">IF(J769=1,"",L769-P769)</f>
        <v>15</v>
      </c>
      <c r="R769" s="15" t="n">
        <f aca="false">IF(OR(J769=1,M769&lt;=Inputs!$B$12),1,0)</f>
        <v>1</v>
      </c>
      <c r="S769" s="15" t="n">
        <f aca="false">IF(OR(J769=1,N769&lt;=O769),1,0)</f>
        <v>1</v>
      </c>
      <c r="T769" s="15" t="str">
        <f aca="false">IF(J769=1,"OFFLINE",IF(AND(Q769&gt;=Inputs!$B$15,R769=1,S769=1,P769&lt;=L769),"PASS","FAIL"))</f>
        <v>PASS</v>
      </c>
    </row>
    <row r="770" customFormat="false" ht="15" hidden="false" customHeight="false" outlineLevel="0" collapsed="false">
      <c r="A770" s="14" t="s">
        <v>1026</v>
      </c>
      <c r="B770" s="14" t="s">
        <v>1019</v>
      </c>
      <c r="C770" s="14" t="s">
        <v>178</v>
      </c>
      <c r="D770" s="14" t="s">
        <v>156</v>
      </c>
      <c r="E770" s="14" t="s">
        <v>157</v>
      </c>
      <c r="F770" s="14" t="s">
        <v>150</v>
      </c>
      <c r="G770" s="14" t="n">
        <v>2</v>
      </c>
      <c r="H770" s="14" t="s">
        <v>153</v>
      </c>
      <c r="I770" s="14" t="s">
        <v>892</v>
      </c>
      <c r="J770" s="15" t="n">
        <f aca="false">IF(B770="SITE LOSS",IF(D770=C770,1,0),IF(B770="REGION LOSS",IF(E770=C770,1,0),0))</f>
        <v>0</v>
      </c>
      <c r="K770" s="15" t="n">
        <f aca="false">IF(B770="SITE LOSS",IF(COUNTIFS('Site Dockets'!$B$7:$B$24,C770,'Site Dockets'!$C$7:$C$24,F770)&gt;0,1,0),IF(B770="REGION LOSS",IF(COUNTIFS('Site Dockets'!$E$7:$E$24,C770,'Site Dockets'!$C$7:$C$24,F770)&gt;0,1,0),0))</f>
        <v>0</v>
      </c>
      <c r="L770" s="15" t="n">
        <f aca="false">IF(J770=1,0,Inputs!$B$11)</f>
        <v>100</v>
      </c>
      <c r="M770" s="15" t="n">
        <f aca="false">IF(J770=1,0,Inputs!$B$12)</f>
        <v>75</v>
      </c>
      <c r="N770" s="15" t="n">
        <f aca="false">IF(J770=1,0,IF(OR(AND(OR(B770="SITE LOSS",B770="REGION LOSS"),K770=1),AND(B770="ROLE COMPROMISE",H770=C770)),Inputs!$B$13,Inputs!$B$14))</f>
        <v>10</v>
      </c>
      <c r="O770" s="15" t="n">
        <f aca="false">IF(J770=1,0,Inputs!$B$13)</f>
        <v>20</v>
      </c>
      <c r="P770" s="15" t="n">
        <f aca="false">SUM(M770:N770)</f>
        <v>85</v>
      </c>
      <c r="Q770" s="15" t="n">
        <f aca="false">IF(J770=1,"",L770-P770)</f>
        <v>15</v>
      </c>
      <c r="R770" s="15" t="n">
        <f aca="false">IF(OR(J770=1,M770&lt;=Inputs!$B$12),1,0)</f>
        <v>1</v>
      </c>
      <c r="S770" s="15" t="n">
        <f aca="false">IF(OR(J770=1,N770&lt;=O770),1,0)</f>
        <v>1</v>
      </c>
      <c r="T770" s="15" t="str">
        <f aca="false">IF(J770=1,"OFFLINE",IF(AND(Q770&gt;=Inputs!$B$15,R770=1,S770=1,P770&lt;=L770),"PASS","FAIL"))</f>
        <v>PASS</v>
      </c>
    </row>
    <row r="771" customFormat="false" ht="15" hidden="false" customHeight="false" outlineLevel="0" collapsed="false">
      <c r="A771" s="14" t="s">
        <v>1026</v>
      </c>
      <c r="B771" s="14" t="s">
        <v>1019</v>
      </c>
      <c r="C771" s="14" t="s">
        <v>178</v>
      </c>
      <c r="D771" s="14" t="s">
        <v>156</v>
      </c>
      <c r="E771" s="14" t="s">
        <v>157</v>
      </c>
      <c r="F771" s="14" t="s">
        <v>150</v>
      </c>
      <c r="G771" s="14" t="n">
        <v>2</v>
      </c>
      <c r="H771" s="14" t="s">
        <v>153</v>
      </c>
      <c r="I771" s="14" t="s">
        <v>811</v>
      </c>
      <c r="J771" s="15" t="n">
        <f aca="false">IF(B771="SITE LOSS",IF(D771=C771,1,0),IF(B771="REGION LOSS",IF(E771=C771,1,0),0))</f>
        <v>0</v>
      </c>
      <c r="K771" s="15" t="n">
        <f aca="false">IF(B771="SITE LOSS",IF(COUNTIFS('Site Dockets'!$B$7:$B$24,C771,'Site Dockets'!$C$7:$C$24,F771)&gt;0,1,0),IF(B771="REGION LOSS",IF(COUNTIFS('Site Dockets'!$E$7:$E$24,C771,'Site Dockets'!$C$7:$C$24,F771)&gt;0,1,0),0))</f>
        <v>0</v>
      </c>
      <c r="L771" s="15" t="n">
        <f aca="false">IF(J771=1,0,Inputs!$B$11)</f>
        <v>100</v>
      </c>
      <c r="M771" s="15" t="n">
        <f aca="false">IF(J771=1,0,Inputs!$B$12)</f>
        <v>75</v>
      </c>
      <c r="N771" s="15" t="n">
        <f aca="false">IF(J771=1,0,IF(OR(AND(OR(B771="SITE LOSS",B771="REGION LOSS"),K771=1),AND(B771="ROLE COMPROMISE",H771=C771)),Inputs!$B$13,Inputs!$B$14))</f>
        <v>10</v>
      </c>
      <c r="O771" s="15" t="n">
        <f aca="false">IF(J771=1,0,Inputs!$B$13)</f>
        <v>20</v>
      </c>
      <c r="P771" s="15" t="n">
        <f aca="false">SUM(M771:N771)</f>
        <v>85</v>
      </c>
      <c r="Q771" s="15" t="n">
        <f aca="false">IF(J771=1,"",L771-P771)</f>
        <v>15</v>
      </c>
      <c r="R771" s="15" t="n">
        <f aca="false">IF(OR(J771=1,M771&lt;=Inputs!$B$12),1,0)</f>
        <v>1</v>
      </c>
      <c r="S771" s="15" t="n">
        <f aca="false">IF(OR(J771=1,N771&lt;=O771),1,0)</f>
        <v>1</v>
      </c>
      <c r="T771" s="15" t="str">
        <f aca="false">IF(J771=1,"OFFLINE",IF(AND(Q771&gt;=Inputs!$B$15,R771=1,S771=1,P771&lt;=L771),"PASS","FAIL"))</f>
        <v>PASS</v>
      </c>
    </row>
    <row r="772" customFormat="false" ht="15" hidden="false" customHeight="false" outlineLevel="0" collapsed="false">
      <c r="A772" s="14" t="s">
        <v>1026</v>
      </c>
      <c r="B772" s="14" t="s">
        <v>1019</v>
      </c>
      <c r="C772" s="14" t="s">
        <v>178</v>
      </c>
      <c r="D772" s="14" t="s">
        <v>156</v>
      </c>
      <c r="E772" s="14" t="s">
        <v>157</v>
      </c>
      <c r="F772" s="14" t="s">
        <v>150</v>
      </c>
      <c r="G772" s="14" t="n">
        <v>2</v>
      </c>
      <c r="H772" s="14" t="s">
        <v>153</v>
      </c>
      <c r="I772" s="14" t="s">
        <v>895</v>
      </c>
      <c r="J772" s="15" t="n">
        <f aca="false">IF(B772="SITE LOSS",IF(D772=C772,1,0),IF(B772="REGION LOSS",IF(E772=C772,1,0),0))</f>
        <v>0</v>
      </c>
      <c r="K772" s="15" t="n">
        <f aca="false">IF(B772="SITE LOSS",IF(COUNTIFS('Site Dockets'!$B$7:$B$24,C772,'Site Dockets'!$C$7:$C$24,F772)&gt;0,1,0),IF(B772="REGION LOSS",IF(COUNTIFS('Site Dockets'!$E$7:$E$24,C772,'Site Dockets'!$C$7:$C$24,F772)&gt;0,1,0),0))</f>
        <v>0</v>
      </c>
      <c r="L772" s="15" t="n">
        <f aca="false">IF(J772=1,0,Inputs!$B$11)</f>
        <v>100</v>
      </c>
      <c r="M772" s="15" t="n">
        <f aca="false">IF(J772=1,0,Inputs!$B$12)</f>
        <v>75</v>
      </c>
      <c r="N772" s="15" t="n">
        <f aca="false">IF(J772=1,0,IF(OR(AND(OR(B772="SITE LOSS",B772="REGION LOSS"),K772=1),AND(B772="ROLE COMPROMISE",H772=C772)),Inputs!$B$13,Inputs!$B$14))</f>
        <v>10</v>
      </c>
      <c r="O772" s="15" t="n">
        <f aca="false">IF(J772=1,0,Inputs!$B$13)</f>
        <v>20</v>
      </c>
      <c r="P772" s="15" t="n">
        <f aca="false">SUM(M772:N772)</f>
        <v>85</v>
      </c>
      <c r="Q772" s="15" t="n">
        <f aca="false">IF(J772=1,"",L772-P772)</f>
        <v>15</v>
      </c>
      <c r="R772" s="15" t="n">
        <f aca="false">IF(OR(J772=1,M772&lt;=Inputs!$B$12),1,0)</f>
        <v>1</v>
      </c>
      <c r="S772" s="15" t="n">
        <f aca="false">IF(OR(J772=1,N772&lt;=O772),1,0)</f>
        <v>1</v>
      </c>
      <c r="T772" s="15" t="str">
        <f aca="false">IF(J772=1,"OFFLINE",IF(AND(Q772&gt;=Inputs!$B$15,R772=1,S772=1,P772&lt;=L772),"PASS","FAIL"))</f>
        <v>PASS</v>
      </c>
    </row>
    <row r="773" customFormat="false" ht="15" hidden="false" customHeight="false" outlineLevel="0" collapsed="false">
      <c r="A773" s="14" t="s">
        <v>1026</v>
      </c>
      <c r="B773" s="14" t="s">
        <v>1019</v>
      </c>
      <c r="C773" s="14" t="s">
        <v>178</v>
      </c>
      <c r="D773" s="14" t="s">
        <v>156</v>
      </c>
      <c r="E773" s="14" t="s">
        <v>157</v>
      </c>
      <c r="F773" s="14" t="s">
        <v>150</v>
      </c>
      <c r="G773" s="14" t="n">
        <v>2</v>
      </c>
      <c r="H773" s="14" t="s">
        <v>153</v>
      </c>
      <c r="I773" s="14" t="s">
        <v>897</v>
      </c>
      <c r="J773" s="15" t="n">
        <f aca="false">IF(B773="SITE LOSS",IF(D773=C773,1,0),IF(B773="REGION LOSS",IF(E773=C773,1,0),0))</f>
        <v>0</v>
      </c>
      <c r="K773" s="15" t="n">
        <f aca="false">IF(B773="SITE LOSS",IF(COUNTIFS('Site Dockets'!$B$7:$B$24,C773,'Site Dockets'!$C$7:$C$24,F773)&gt;0,1,0),IF(B773="REGION LOSS",IF(COUNTIFS('Site Dockets'!$E$7:$E$24,C773,'Site Dockets'!$C$7:$C$24,F773)&gt;0,1,0),0))</f>
        <v>0</v>
      </c>
      <c r="L773" s="15" t="n">
        <f aca="false">IF(J773=1,0,Inputs!$B$11)</f>
        <v>100</v>
      </c>
      <c r="M773" s="15" t="n">
        <f aca="false">IF(J773=1,0,Inputs!$B$12)</f>
        <v>75</v>
      </c>
      <c r="N773" s="15" t="n">
        <f aca="false">IF(J773=1,0,IF(OR(AND(OR(B773="SITE LOSS",B773="REGION LOSS"),K773=1),AND(B773="ROLE COMPROMISE",H773=C773)),Inputs!$B$13,Inputs!$B$14))</f>
        <v>10</v>
      </c>
      <c r="O773" s="15" t="n">
        <f aca="false">IF(J773=1,0,Inputs!$B$13)</f>
        <v>20</v>
      </c>
      <c r="P773" s="15" t="n">
        <f aca="false">SUM(M773:N773)</f>
        <v>85</v>
      </c>
      <c r="Q773" s="15" t="n">
        <f aca="false">IF(J773=1,"",L773-P773)</f>
        <v>15</v>
      </c>
      <c r="R773" s="15" t="n">
        <f aca="false">IF(OR(J773=1,M773&lt;=Inputs!$B$12),1,0)</f>
        <v>1</v>
      </c>
      <c r="S773" s="15" t="n">
        <f aca="false">IF(OR(J773=1,N773&lt;=O773),1,0)</f>
        <v>1</v>
      </c>
      <c r="T773" s="15" t="str">
        <f aca="false">IF(J773=1,"OFFLINE",IF(AND(Q773&gt;=Inputs!$B$15,R773=1,S773=1,P773&lt;=L773),"PASS","FAIL"))</f>
        <v>PASS</v>
      </c>
    </row>
    <row r="774" customFormat="false" ht="15" hidden="false" customHeight="false" outlineLevel="0" collapsed="false">
      <c r="A774" s="14" t="s">
        <v>1026</v>
      </c>
      <c r="B774" s="14" t="s">
        <v>1019</v>
      </c>
      <c r="C774" s="14" t="s">
        <v>178</v>
      </c>
      <c r="D774" s="14" t="s">
        <v>156</v>
      </c>
      <c r="E774" s="14" t="s">
        <v>157</v>
      </c>
      <c r="F774" s="14" t="s">
        <v>150</v>
      </c>
      <c r="G774" s="14" t="n">
        <v>2</v>
      </c>
      <c r="H774" s="14" t="s">
        <v>153</v>
      </c>
      <c r="I774" s="14" t="s">
        <v>899</v>
      </c>
      <c r="J774" s="15" t="n">
        <f aca="false">IF(B774="SITE LOSS",IF(D774=C774,1,0),IF(B774="REGION LOSS",IF(E774=C774,1,0),0))</f>
        <v>0</v>
      </c>
      <c r="K774" s="15" t="n">
        <f aca="false">IF(B774="SITE LOSS",IF(COUNTIFS('Site Dockets'!$B$7:$B$24,C774,'Site Dockets'!$C$7:$C$24,F774)&gt;0,1,0),IF(B774="REGION LOSS",IF(COUNTIFS('Site Dockets'!$E$7:$E$24,C774,'Site Dockets'!$C$7:$C$24,F774)&gt;0,1,0),0))</f>
        <v>0</v>
      </c>
      <c r="L774" s="15" t="n">
        <f aca="false">IF(J774=1,0,Inputs!$B$11)</f>
        <v>100</v>
      </c>
      <c r="M774" s="15" t="n">
        <f aca="false">IF(J774=1,0,Inputs!$B$12)</f>
        <v>75</v>
      </c>
      <c r="N774" s="15" t="n">
        <f aca="false">IF(J774=1,0,IF(OR(AND(OR(B774="SITE LOSS",B774="REGION LOSS"),K774=1),AND(B774="ROLE COMPROMISE",H774=C774)),Inputs!$B$13,Inputs!$B$14))</f>
        <v>10</v>
      </c>
      <c r="O774" s="15" t="n">
        <f aca="false">IF(J774=1,0,Inputs!$B$13)</f>
        <v>20</v>
      </c>
      <c r="P774" s="15" t="n">
        <f aca="false">SUM(M774:N774)</f>
        <v>85</v>
      </c>
      <c r="Q774" s="15" t="n">
        <f aca="false">IF(J774=1,"",L774-P774)</f>
        <v>15</v>
      </c>
      <c r="R774" s="15" t="n">
        <f aca="false">IF(OR(J774=1,M774&lt;=Inputs!$B$12),1,0)</f>
        <v>1</v>
      </c>
      <c r="S774" s="15" t="n">
        <f aca="false">IF(OR(J774=1,N774&lt;=O774),1,0)</f>
        <v>1</v>
      </c>
      <c r="T774" s="15" t="str">
        <f aca="false">IF(J774=1,"OFFLINE",IF(AND(Q774&gt;=Inputs!$B$15,R774=1,S774=1,P774&lt;=L774),"PASS","FAIL"))</f>
        <v>PASS</v>
      </c>
    </row>
    <row r="775" customFormat="false" ht="15" hidden="false" customHeight="false" outlineLevel="0" collapsed="false">
      <c r="A775" s="14" t="s">
        <v>1026</v>
      </c>
      <c r="B775" s="14" t="s">
        <v>1019</v>
      </c>
      <c r="C775" s="14" t="s">
        <v>178</v>
      </c>
      <c r="D775" s="14" t="s">
        <v>160</v>
      </c>
      <c r="E775" s="14" t="s">
        <v>161</v>
      </c>
      <c r="F775" s="14" t="s">
        <v>150</v>
      </c>
      <c r="G775" s="14" t="n">
        <v>3</v>
      </c>
      <c r="H775" s="14" t="s">
        <v>158</v>
      </c>
      <c r="I775" s="14" t="s">
        <v>890</v>
      </c>
      <c r="J775" s="15" t="n">
        <f aca="false">IF(B775="SITE LOSS",IF(D775=C775,1,0),IF(B775="REGION LOSS",IF(E775=C775,1,0),0))</f>
        <v>0</v>
      </c>
      <c r="K775" s="15" t="n">
        <f aca="false">IF(B775="SITE LOSS",IF(COUNTIFS('Site Dockets'!$B$7:$B$24,C775,'Site Dockets'!$C$7:$C$24,F775)&gt;0,1,0),IF(B775="REGION LOSS",IF(COUNTIFS('Site Dockets'!$E$7:$E$24,C775,'Site Dockets'!$C$7:$C$24,F775)&gt;0,1,0),0))</f>
        <v>0</v>
      </c>
      <c r="L775" s="15" t="n">
        <f aca="false">IF(J775=1,0,Inputs!$B$11)</f>
        <v>100</v>
      </c>
      <c r="M775" s="15" t="n">
        <f aca="false">IF(J775=1,0,Inputs!$B$12)</f>
        <v>75</v>
      </c>
      <c r="N775" s="15" t="n">
        <f aca="false">IF(J775=1,0,IF(OR(AND(OR(B775="SITE LOSS",B775="REGION LOSS"),K775=1),AND(B775="ROLE COMPROMISE",H775=C775)),Inputs!$B$13,Inputs!$B$14))</f>
        <v>10</v>
      </c>
      <c r="O775" s="15" t="n">
        <f aca="false">IF(J775=1,0,Inputs!$B$13)</f>
        <v>20</v>
      </c>
      <c r="P775" s="15" t="n">
        <f aca="false">SUM(M775:N775)</f>
        <v>85</v>
      </c>
      <c r="Q775" s="15" t="n">
        <f aca="false">IF(J775=1,"",L775-P775)</f>
        <v>15</v>
      </c>
      <c r="R775" s="15" t="n">
        <f aca="false">IF(OR(J775=1,M775&lt;=Inputs!$B$12),1,0)</f>
        <v>1</v>
      </c>
      <c r="S775" s="15" t="n">
        <f aca="false">IF(OR(J775=1,N775&lt;=O775),1,0)</f>
        <v>1</v>
      </c>
      <c r="T775" s="15" t="str">
        <f aca="false">IF(J775=1,"OFFLINE",IF(AND(Q775&gt;=Inputs!$B$15,R775=1,S775=1,P775&lt;=L775),"PASS","FAIL"))</f>
        <v>PASS</v>
      </c>
    </row>
    <row r="776" customFormat="false" ht="15" hidden="false" customHeight="false" outlineLevel="0" collapsed="false">
      <c r="A776" s="14" t="s">
        <v>1026</v>
      </c>
      <c r="B776" s="14" t="s">
        <v>1019</v>
      </c>
      <c r="C776" s="14" t="s">
        <v>178</v>
      </c>
      <c r="D776" s="14" t="s">
        <v>160</v>
      </c>
      <c r="E776" s="14" t="s">
        <v>161</v>
      </c>
      <c r="F776" s="14" t="s">
        <v>150</v>
      </c>
      <c r="G776" s="14" t="n">
        <v>3</v>
      </c>
      <c r="H776" s="14" t="s">
        <v>158</v>
      </c>
      <c r="I776" s="14" t="s">
        <v>892</v>
      </c>
      <c r="J776" s="15" t="n">
        <f aca="false">IF(B776="SITE LOSS",IF(D776=C776,1,0),IF(B776="REGION LOSS",IF(E776=C776,1,0),0))</f>
        <v>0</v>
      </c>
      <c r="K776" s="15" t="n">
        <f aca="false">IF(B776="SITE LOSS",IF(COUNTIFS('Site Dockets'!$B$7:$B$24,C776,'Site Dockets'!$C$7:$C$24,F776)&gt;0,1,0),IF(B776="REGION LOSS",IF(COUNTIFS('Site Dockets'!$E$7:$E$24,C776,'Site Dockets'!$C$7:$C$24,F776)&gt;0,1,0),0))</f>
        <v>0</v>
      </c>
      <c r="L776" s="15" t="n">
        <f aca="false">IF(J776=1,0,Inputs!$B$11)</f>
        <v>100</v>
      </c>
      <c r="M776" s="15" t="n">
        <f aca="false">IF(J776=1,0,Inputs!$B$12)</f>
        <v>75</v>
      </c>
      <c r="N776" s="15" t="n">
        <f aca="false">IF(J776=1,0,IF(OR(AND(OR(B776="SITE LOSS",B776="REGION LOSS"),K776=1),AND(B776="ROLE COMPROMISE",H776=C776)),Inputs!$B$13,Inputs!$B$14))</f>
        <v>10</v>
      </c>
      <c r="O776" s="15" t="n">
        <f aca="false">IF(J776=1,0,Inputs!$B$13)</f>
        <v>20</v>
      </c>
      <c r="P776" s="15" t="n">
        <f aca="false">SUM(M776:N776)</f>
        <v>85</v>
      </c>
      <c r="Q776" s="15" t="n">
        <f aca="false">IF(J776=1,"",L776-P776)</f>
        <v>15</v>
      </c>
      <c r="R776" s="15" t="n">
        <f aca="false">IF(OR(J776=1,M776&lt;=Inputs!$B$12),1,0)</f>
        <v>1</v>
      </c>
      <c r="S776" s="15" t="n">
        <f aca="false">IF(OR(J776=1,N776&lt;=O776),1,0)</f>
        <v>1</v>
      </c>
      <c r="T776" s="15" t="str">
        <f aca="false">IF(J776=1,"OFFLINE",IF(AND(Q776&gt;=Inputs!$B$15,R776=1,S776=1,P776&lt;=L776),"PASS","FAIL"))</f>
        <v>PASS</v>
      </c>
    </row>
    <row r="777" customFormat="false" ht="15" hidden="false" customHeight="false" outlineLevel="0" collapsed="false">
      <c r="A777" s="14" t="s">
        <v>1026</v>
      </c>
      <c r="B777" s="14" t="s">
        <v>1019</v>
      </c>
      <c r="C777" s="14" t="s">
        <v>178</v>
      </c>
      <c r="D777" s="14" t="s">
        <v>160</v>
      </c>
      <c r="E777" s="14" t="s">
        <v>161</v>
      </c>
      <c r="F777" s="14" t="s">
        <v>150</v>
      </c>
      <c r="G777" s="14" t="n">
        <v>3</v>
      </c>
      <c r="H777" s="14" t="s">
        <v>158</v>
      </c>
      <c r="I777" s="14" t="s">
        <v>811</v>
      </c>
      <c r="J777" s="15" t="n">
        <f aca="false">IF(B777="SITE LOSS",IF(D777=C777,1,0),IF(B777="REGION LOSS",IF(E777=C777,1,0),0))</f>
        <v>0</v>
      </c>
      <c r="K777" s="15" t="n">
        <f aca="false">IF(B777="SITE LOSS",IF(COUNTIFS('Site Dockets'!$B$7:$B$24,C777,'Site Dockets'!$C$7:$C$24,F777)&gt;0,1,0),IF(B777="REGION LOSS",IF(COUNTIFS('Site Dockets'!$E$7:$E$24,C777,'Site Dockets'!$C$7:$C$24,F777)&gt;0,1,0),0))</f>
        <v>0</v>
      </c>
      <c r="L777" s="15" t="n">
        <f aca="false">IF(J777=1,0,Inputs!$B$11)</f>
        <v>100</v>
      </c>
      <c r="M777" s="15" t="n">
        <f aca="false">IF(J777=1,0,Inputs!$B$12)</f>
        <v>75</v>
      </c>
      <c r="N777" s="15" t="n">
        <f aca="false">IF(J777=1,0,IF(OR(AND(OR(B777="SITE LOSS",B777="REGION LOSS"),K777=1),AND(B777="ROLE COMPROMISE",H777=C777)),Inputs!$B$13,Inputs!$B$14))</f>
        <v>10</v>
      </c>
      <c r="O777" s="15" t="n">
        <f aca="false">IF(J777=1,0,Inputs!$B$13)</f>
        <v>20</v>
      </c>
      <c r="P777" s="15" t="n">
        <f aca="false">SUM(M777:N777)</f>
        <v>85</v>
      </c>
      <c r="Q777" s="15" t="n">
        <f aca="false">IF(J777=1,"",L777-P777)</f>
        <v>15</v>
      </c>
      <c r="R777" s="15" t="n">
        <f aca="false">IF(OR(J777=1,M777&lt;=Inputs!$B$12),1,0)</f>
        <v>1</v>
      </c>
      <c r="S777" s="15" t="n">
        <f aca="false">IF(OR(J777=1,N777&lt;=O777),1,0)</f>
        <v>1</v>
      </c>
      <c r="T777" s="15" t="str">
        <f aca="false">IF(J777=1,"OFFLINE",IF(AND(Q777&gt;=Inputs!$B$15,R777=1,S777=1,P777&lt;=L777),"PASS","FAIL"))</f>
        <v>PASS</v>
      </c>
    </row>
    <row r="778" customFormat="false" ht="15" hidden="false" customHeight="false" outlineLevel="0" collapsed="false">
      <c r="A778" s="14" t="s">
        <v>1026</v>
      </c>
      <c r="B778" s="14" t="s">
        <v>1019</v>
      </c>
      <c r="C778" s="14" t="s">
        <v>178</v>
      </c>
      <c r="D778" s="14" t="s">
        <v>160</v>
      </c>
      <c r="E778" s="14" t="s">
        <v>161</v>
      </c>
      <c r="F778" s="14" t="s">
        <v>150</v>
      </c>
      <c r="G778" s="14" t="n">
        <v>3</v>
      </c>
      <c r="H778" s="14" t="s">
        <v>158</v>
      </c>
      <c r="I778" s="14" t="s">
        <v>895</v>
      </c>
      <c r="J778" s="15" t="n">
        <f aca="false">IF(B778="SITE LOSS",IF(D778=C778,1,0),IF(B778="REGION LOSS",IF(E778=C778,1,0),0))</f>
        <v>0</v>
      </c>
      <c r="K778" s="15" t="n">
        <f aca="false">IF(B778="SITE LOSS",IF(COUNTIFS('Site Dockets'!$B$7:$B$24,C778,'Site Dockets'!$C$7:$C$24,F778)&gt;0,1,0),IF(B778="REGION LOSS",IF(COUNTIFS('Site Dockets'!$E$7:$E$24,C778,'Site Dockets'!$C$7:$C$24,F778)&gt;0,1,0),0))</f>
        <v>0</v>
      </c>
      <c r="L778" s="15" t="n">
        <f aca="false">IF(J778=1,0,Inputs!$B$11)</f>
        <v>100</v>
      </c>
      <c r="M778" s="15" t="n">
        <f aca="false">IF(J778=1,0,Inputs!$B$12)</f>
        <v>75</v>
      </c>
      <c r="N778" s="15" t="n">
        <f aca="false">IF(J778=1,0,IF(OR(AND(OR(B778="SITE LOSS",B778="REGION LOSS"),K778=1),AND(B778="ROLE COMPROMISE",H778=C778)),Inputs!$B$13,Inputs!$B$14))</f>
        <v>10</v>
      </c>
      <c r="O778" s="15" t="n">
        <f aca="false">IF(J778=1,0,Inputs!$B$13)</f>
        <v>20</v>
      </c>
      <c r="P778" s="15" t="n">
        <f aca="false">SUM(M778:N778)</f>
        <v>85</v>
      </c>
      <c r="Q778" s="15" t="n">
        <f aca="false">IF(J778=1,"",L778-P778)</f>
        <v>15</v>
      </c>
      <c r="R778" s="15" t="n">
        <f aca="false">IF(OR(J778=1,M778&lt;=Inputs!$B$12),1,0)</f>
        <v>1</v>
      </c>
      <c r="S778" s="15" t="n">
        <f aca="false">IF(OR(J778=1,N778&lt;=O778),1,0)</f>
        <v>1</v>
      </c>
      <c r="T778" s="15" t="str">
        <f aca="false">IF(J778=1,"OFFLINE",IF(AND(Q778&gt;=Inputs!$B$15,R778=1,S778=1,P778&lt;=L778),"PASS","FAIL"))</f>
        <v>PASS</v>
      </c>
    </row>
    <row r="779" customFormat="false" ht="15" hidden="false" customHeight="false" outlineLevel="0" collapsed="false">
      <c r="A779" s="14" t="s">
        <v>1026</v>
      </c>
      <c r="B779" s="14" t="s">
        <v>1019</v>
      </c>
      <c r="C779" s="14" t="s">
        <v>178</v>
      </c>
      <c r="D779" s="14" t="s">
        <v>160</v>
      </c>
      <c r="E779" s="14" t="s">
        <v>161</v>
      </c>
      <c r="F779" s="14" t="s">
        <v>150</v>
      </c>
      <c r="G779" s="14" t="n">
        <v>3</v>
      </c>
      <c r="H779" s="14" t="s">
        <v>158</v>
      </c>
      <c r="I779" s="14" t="s">
        <v>897</v>
      </c>
      <c r="J779" s="15" t="n">
        <f aca="false">IF(B779="SITE LOSS",IF(D779=C779,1,0),IF(B779="REGION LOSS",IF(E779=C779,1,0),0))</f>
        <v>0</v>
      </c>
      <c r="K779" s="15" t="n">
        <f aca="false">IF(B779="SITE LOSS",IF(COUNTIFS('Site Dockets'!$B$7:$B$24,C779,'Site Dockets'!$C$7:$C$24,F779)&gt;0,1,0),IF(B779="REGION LOSS",IF(COUNTIFS('Site Dockets'!$E$7:$E$24,C779,'Site Dockets'!$C$7:$C$24,F779)&gt;0,1,0),0))</f>
        <v>0</v>
      </c>
      <c r="L779" s="15" t="n">
        <f aca="false">IF(J779=1,0,Inputs!$B$11)</f>
        <v>100</v>
      </c>
      <c r="M779" s="15" t="n">
        <f aca="false">IF(J779=1,0,Inputs!$B$12)</f>
        <v>75</v>
      </c>
      <c r="N779" s="15" t="n">
        <f aca="false">IF(J779=1,0,IF(OR(AND(OR(B779="SITE LOSS",B779="REGION LOSS"),K779=1),AND(B779="ROLE COMPROMISE",H779=C779)),Inputs!$B$13,Inputs!$B$14))</f>
        <v>10</v>
      </c>
      <c r="O779" s="15" t="n">
        <f aca="false">IF(J779=1,0,Inputs!$B$13)</f>
        <v>20</v>
      </c>
      <c r="P779" s="15" t="n">
        <f aca="false">SUM(M779:N779)</f>
        <v>85</v>
      </c>
      <c r="Q779" s="15" t="n">
        <f aca="false">IF(J779=1,"",L779-P779)</f>
        <v>15</v>
      </c>
      <c r="R779" s="15" t="n">
        <f aca="false">IF(OR(J779=1,M779&lt;=Inputs!$B$12),1,0)</f>
        <v>1</v>
      </c>
      <c r="S779" s="15" t="n">
        <f aca="false">IF(OR(J779=1,N779&lt;=O779),1,0)</f>
        <v>1</v>
      </c>
      <c r="T779" s="15" t="str">
        <f aca="false">IF(J779=1,"OFFLINE",IF(AND(Q779&gt;=Inputs!$B$15,R779=1,S779=1,P779&lt;=L779),"PASS","FAIL"))</f>
        <v>PASS</v>
      </c>
    </row>
    <row r="780" customFormat="false" ht="15" hidden="false" customHeight="false" outlineLevel="0" collapsed="false">
      <c r="A780" s="14" t="s">
        <v>1026</v>
      </c>
      <c r="B780" s="14" t="s">
        <v>1019</v>
      </c>
      <c r="C780" s="14" t="s">
        <v>178</v>
      </c>
      <c r="D780" s="14" t="s">
        <v>160</v>
      </c>
      <c r="E780" s="14" t="s">
        <v>161</v>
      </c>
      <c r="F780" s="14" t="s">
        <v>150</v>
      </c>
      <c r="G780" s="14" t="n">
        <v>3</v>
      </c>
      <c r="H780" s="14" t="s">
        <v>158</v>
      </c>
      <c r="I780" s="14" t="s">
        <v>899</v>
      </c>
      <c r="J780" s="15" t="n">
        <f aca="false">IF(B780="SITE LOSS",IF(D780=C780,1,0),IF(B780="REGION LOSS",IF(E780=C780,1,0),0))</f>
        <v>0</v>
      </c>
      <c r="K780" s="15" t="n">
        <f aca="false">IF(B780="SITE LOSS",IF(COUNTIFS('Site Dockets'!$B$7:$B$24,C780,'Site Dockets'!$C$7:$C$24,F780)&gt;0,1,0),IF(B780="REGION LOSS",IF(COUNTIFS('Site Dockets'!$E$7:$E$24,C780,'Site Dockets'!$C$7:$C$24,F780)&gt;0,1,0),0))</f>
        <v>0</v>
      </c>
      <c r="L780" s="15" t="n">
        <f aca="false">IF(J780=1,0,Inputs!$B$11)</f>
        <v>100</v>
      </c>
      <c r="M780" s="15" t="n">
        <f aca="false">IF(J780=1,0,Inputs!$B$12)</f>
        <v>75</v>
      </c>
      <c r="N780" s="15" t="n">
        <f aca="false">IF(J780=1,0,IF(OR(AND(OR(B780="SITE LOSS",B780="REGION LOSS"),K780=1),AND(B780="ROLE COMPROMISE",H780=C780)),Inputs!$B$13,Inputs!$B$14))</f>
        <v>10</v>
      </c>
      <c r="O780" s="15" t="n">
        <f aca="false">IF(J780=1,0,Inputs!$B$13)</f>
        <v>20</v>
      </c>
      <c r="P780" s="15" t="n">
        <f aca="false">SUM(M780:N780)</f>
        <v>85</v>
      </c>
      <c r="Q780" s="15" t="n">
        <f aca="false">IF(J780=1,"",L780-P780)</f>
        <v>15</v>
      </c>
      <c r="R780" s="15" t="n">
        <f aca="false">IF(OR(J780=1,M780&lt;=Inputs!$B$12),1,0)</f>
        <v>1</v>
      </c>
      <c r="S780" s="15" t="n">
        <f aca="false">IF(OR(J780=1,N780&lt;=O780),1,0)</f>
        <v>1</v>
      </c>
      <c r="T780" s="15" t="str">
        <f aca="false">IF(J780=1,"OFFLINE",IF(AND(Q780&gt;=Inputs!$B$15,R780=1,S780=1,P780&lt;=L780),"PASS","FAIL"))</f>
        <v>PASS</v>
      </c>
    </row>
    <row r="781" customFormat="false" ht="15" hidden="false" customHeight="false" outlineLevel="0" collapsed="false">
      <c r="A781" s="14" t="s">
        <v>1026</v>
      </c>
      <c r="B781" s="14" t="s">
        <v>1019</v>
      </c>
      <c r="C781" s="14" t="s">
        <v>178</v>
      </c>
      <c r="D781" s="14" t="s">
        <v>163</v>
      </c>
      <c r="E781" s="14" t="s">
        <v>166</v>
      </c>
      <c r="F781" s="14" t="s">
        <v>164</v>
      </c>
      <c r="G781" s="14" t="n">
        <v>1</v>
      </c>
      <c r="H781" s="14" t="s">
        <v>154</v>
      </c>
      <c r="I781" s="14" t="s">
        <v>890</v>
      </c>
      <c r="J781" s="15" t="n">
        <f aca="false">IF(B781="SITE LOSS",IF(D781=C781,1,0),IF(B781="REGION LOSS",IF(E781=C781,1,0),0))</f>
        <v>0</v>
      </c>
      <c r="K781" s="15" t="n">
        <f aca="false">IF(B781="SITE LOSS",IF(COUNTIFS('Site Dockets'!$B$7:$B$24,C781,'Site Dockets'!$C$7:$C$24,F781)&gt;0,1,0),IF(B781="REGION LOSS",IF(COUNTIFS('Site Dockets'!$E$7:$E$24,C781,'Site Dockets'!$C$7:$C$24,F781)&gt;0,1,0),0))</f>
        <v>0</v>
      </c>
      <c r="L781" s="15" t="n">
        <f aca="false">IF(J781=1,0,Inputs!$B$11)</f>
        <v>100</v>
      </c>
      <c r="M781" s="15" t="n">
        <f aca="false">IF(J781=1,0,Inputs!$B$12)</f>
        <v>75</v>
      </c>
      <c r="N781" s="15" t="n">
        <f aca="false">IF(J781=1,0,IF(OR(AND(OR(B781="SITE LOSS",B781="REGION LOSS"),K781=1),AND(B781="ROLE COMPROMISE",H781=C781)),Inputs!$B$13,Inputs!$B$14))</f>
        <v>10</v>
      </c>
      <c r="O781" s="15" t="n">
        <f aca="false">IF(J781=1,0,Inputs!$B$13)</f>
        <v>20</v>
      </c>
      <c r="P781" s="15" t="n">
        <f aca="false">SUM(M781:N781)</f>
        <v>85</v>
      </c>
      <c r="Q781" s="15" t="n">
        <f aca="false">IF(J781=1,"",L781-P781)</f>
        <v>15</v>
      </c>
      <c r="R781" s="15" t="n">
        <f aca="false">IF(OR(J781=1,M781&lt;=Inputs!$B$12),1,0)</f>
        <v>1</v>
      </c>
      <c r="S781" s="15" t="n">
        <f aca="false">IF(OR(J781=1,N781&lt;=O781),1,0)</f>
        <v>1</v>
      </c>
      <c r="T781" s="15" t="str">
        <f aca="false">IF(J781=1,"OFFLINE",IF(AND(Q781&gt;=Inputs!$B$15,R781=1,S781=1,P781&lt;=L781),"PASS","FAIL"))</f>
        <v>PASS</v>
      </c>
    </row>
    <row r="782" customFormat="false" ht="15" hidden="false" customHeight="false" outlineLevel="0" collapsed="false">
      <c r="A782" s="14" t="s">
        <v>1026</v>
      </c>
      <c r="B782" s="14" t="s">
        <v>1019</v>
      </c>
      <c r="C782" s="14" t="s">
        <v>178</v>
      </c>
      <c r="D782" s="14" t="s">
        <v>163</v>
      </c>
      <c r="E782" s="14" t="s">
        <v>166</v>
      </c>
      <c r="F782" s="14" t="s">
        <v>164</v>
      </c>
      <c r="G782" s="14" t="n">
        <v>1</v>
      </c>
      <c r="H782" s="14" t="s">
        <v>154</v>
      </c>
      <c r="I782" s="14" t="s">
        <v>892</v>
      </c>
      <c r="J782" s="15" t="n">
        <f aca="false">IF(B782="SITE LOSS",IF(D782=C782,1,0),IF(B782="REGION LOSS",IF(E782=C782,1,0),0))</f>
        <v>0</v>
      </c>
      <c r="K782" s="15" t="n">
        <f aca="false">IF(B782="SITE LOSS",IF(COUNTIFS('Site Dockets'!$B$7:$B$24,C782,'Site Dockets'!$C$7:$C$24,F782)&gt;0,1,0),IF(B782="REGION LOSS",IF(COUNTIFS('Site Dockets'!$E$7:$E$24,C782,'Site Dockets'!$C$7:$C$24,F782)&gt;0,1,0),0))</f>
        <v>0</v>
      </c>
      <c r="L782" s="15" t="n">
        <f aca="false">IF(J782=1,0,Inputs!$B$11)</f>
        <v>100</v>
      </c>
      <c r="M782" s="15" t="n">
        <f aca="false">IF(J782=1,0,Inputs!$B$12)</f>
        <v>75</v>
      </c>
      <c r="N782" s="15" t="n">
        <f aca="false">IF(J782=1,0,IF(OR(AND(OR(B782="SITE LOSS",B782="REGION LOSS"),K782=1),AND(B782="ROLE COMPROMISE",H782=C782)),Inputs!$B$13,Inputs!$B$14))</f>
        <v>10</v>
      </c>
      <c r="O782" s="15" t="n">
        <f aca="false">IF(J782=1,0,Inputs!$B$13)</f>
        <v>20</v>
      </c>
      <c r="P782" s="15" t="n">
        <f aca="false">SUM(M782:N782)</f>
        <v>85</v>
      </c>
      <c r="Q782" s="15" t="n">
        <f aca="false">IF(J782=1,"",L782-P782)</f>
        <v>15</v>
      </c>
      <c r="R782" s="15" t="n">
        <f aca="false">IF(OR(J782=1,M782&lt;=Inputs!$B$12),1,0)</f>
        <v>1</v>
      </c>
      <c r="S782" s="15" t="n">
        <f aca="false">IF(OR(J782=1,N782&lt;=O782),1,0)</f>
        <v>1</v>
      </c>
      <c r="T782" s="15" t="str">
        <f aca="false">IF(J782=1,"OFFLINE",IF(AND(Q782&gt;=Inputs!$B$15,R782=1,S782=1,P782&lt;=L782),"PASS","FAIL"))</f>
        <v>PASS</v>
      </c>
    </row>
    <row r="783" customFormat="false" ht="15" hidden="false" customHeight="false" outlineLevel="0" collapsed="false">
      <c r="A783" s="14" t="s">
        <v>1026</v>
      </c>
      <c r="B783" s="14" t="s">
        <v>1019</v>
      </c>
      <c r="C783" s="14" t="s">
        <v>178</v>
      </c>
      <c r="D783" s="14" t="s">
        <v>163</v>
      </c>
      <c r="E783" s="14" t="s">
        <v>166</v>
      </c>
      <c r="F783" s="14" t="s">
        <v>164</v>
      </c>
      <c r="G783" s="14" t="n">
        <v>1</v>
      </c>
      <c r="H783" s="14" t="s">
        <v>154</v>
      </c>
      <c r="I783" s="14" t="s">
        <v>811</v>
      </c>
      <c r="J783" s="15" t="n">
        <f aca="false">IF(B783="SITE LOSS",IF(D783=C783,1,0),IF(B783="REGION LOSS",IF(E783=C783,1,0),0))</f>
        <v>0</v>
      </c>
      <c r="K783" s="15" t="n">
        <f aca="false">IF(B783="SITE LOSS",IF(COUNTIFS('Site Dockets'!$B$7:$B$24,C783,'Site Dockets'!$C$7:$C$24,F783)&gt;0,1,0),IF(B783="REGION LOSS",IF(COUNTIFS('Site Dockets'!$E$7:$E$24,C783,'Site Dockets'!$C$7:$C$24,F783)&gt;0,1,0),0))</f>
        <v>0</v>
      </c>
      <c r="L783" s="15" t="n">
        <f aca="false">IF(J783=1,0,Inputs!$B$11)</f>
        <v>100</v>
      </c>
      <c r="M783" s="15" t="n">
        <f aca="false">IF(J783=1,0,Inputs!$B$12)</f>
        <v>75</v>
      </c>
      <c r="N783" s="15" t="n">
        <f aca="false">IF(J783=1,0,IF(OR(AND(OR(B783="SITE LOSS",B783="REGION LOSS"),K783=1),AND(B783="ROLE COMPROMISE",H783=C783)),Inputs!$B$13,Inputs!$B$14))</f>
        <v>10</v>
      </c>
      <c r="O783" s="15" t="n">
        <f aca="false">IF(J783=1,0,Inputs!$B$13)</f>
        <v>20</v>
      </c>
      <c r="P783" s="15" t="n">
        <f aca="false">SUM(M783:N783)</f>
        <v>85</v>
      </c>
      <c r="Q783" s="15" t="n">
        <f aca="false">IF(J783=1,"",L783-P783)</f>
        <v>15</v>
      </c>
      <c r="R783" s="15" t="n">
        <f aca="false">IF(OR(J783=1,M783&lt;=Inputs!$B$12),1,0)</f>
        <v>1</v>
      </c>
      <c r="S783" s="15" t="n">
        <f aca="false">IF(OR(J783=1,N783&lt;=O783),1,0)</f>
        <v>1</v>
      </c>
      <c r="T783" s="15" t="str">
        <f aca="false">IF(J783=1,"OFFLINE",IF(AND(Q783&gt;=Inputs!$B$15,R783=1,S783=1,P783&lt;=L783),"PASS","FAIL"))</f>
        <v>PASS</v>
      </c>
    </row>
    <row r="784" customFormat="false" ht="15" hidden="false" customHeight="false" outlineLevel="0" collapsed="false">
      <c r="A784" s="14" t="s">
        <v>1026</v>
      </c>
      <c r="B784" s="14" t="s">
        <v>1019</v>
      </c>
      <c r="C784" s="14" t="s">
        <v>178</v>
      </c>
      <c r="D784" s="14" t="s">
        <v>163</v>
      </c>
      <c r="E784" s="14" t="s">
        <v>166</v>
      </c>
      <c r="F784" s="14" t="s">
        <v>164</v>
      </c>
      <c r="G784" s="14" t="n">
        <v>1</v>
      </c>
      <c r="H784" s="14" t="s">
        <v>154</v>
      </c>
      <c r="I784" s="14" t="s">
        <v>895</v>
      </c>
      <c r="J784" s="15" t="n">
        <f aca="false">IF(B784="SITE LOSS",IF(D784=C784,1,0),IF(B784="REGION LOSS",IF(E784=C784,1,0),0))</f>
        <v>0</v>
      </c>
      <c r="K784" s="15" t="n">
        <f aca="false">IF(B784="SITE LOSS",IF(COUNTIFS('Site Dockets'!$B$7:$B$24,C784,'Site Dockets'!$C$7:$C$24,F784)&gt;0,1,0),IF(B784="REGION LOSS",IF(COUNTIFS('Site Dockets'!$E$7:$E$24,C784,'Site Dockets'!$C$7:$C$24,F784)&gt;0,1,0),0))</f>
        <v>0</v>
      </c>
      <c r="L784" s="15" t="n">
        <f aca="false">IF(J784=1,0,Inputs!$B$11)</f>
        <v>100</v>
      </c>
      <c r="M784" s="15" t="n">
        <f aca="false">IF(J784=1,0,Inputs!$B$12)</f>
        <v>75</v>
      </c>
      <c r="N784" s="15" t="n">
        <f aca="false">IF(J784=1,0,IF(OR(AND(OR(B784="SITE LOSS",B784="REGION LOSS"),K784=1),AND(B784="ROLE COMPROMISE",H784=C784)),Inputs!$B$13,Inputs!$B$14))</f>
        <v>10</v>
      </c>
      <c r="O784" s="15" t="n">
        <f aca="false">IF(J784=1,0,Inputs!$B$13)</f>
        <v>20</v>
      </c>
      <c r="P784" s="15" t="n">
        <f aca="false">SUM(M784:N784)</f>
        <v>85</v>
      </c>
      <c r="Q784" s="15" t="n">
        <f aca="false">IF(J784=1,"",L784-P784)</f>
        <v>15</v>
      </c>
      <c r="R784" s="15" t="n">
        <f aca="false">IF(OR(J784=1,M784&lt;=Inputs!$B$12),1,0)</f>
        <v>1</v>
      </c>
      <c r="S784" s="15" t="n">
        <f aca="false">IF(OR(J784=1,N784&lt;=O784),1,0)</f>
        <v>1</v>
      </c>
      <c r="T784" s="15" t="str">
        <f aca="false">IF(J784=1,"OFFLINE",IF(AND(Q784&gt;=Inputs!$B$15,R784=1,S784=1,P784&lt;=L784),"PASS","FAIL"))</f>
        <v>PASS</v>
      </c>
    </row>
    <row r="785" customFormat="false" ht="15" hidden="false" customHeight="false" outlineLevel="0" collapsed="false">
      <c r="A785" s="14" t="s">
        <v>1026</v>
      </c>
      <c r="B785" s="14" t="s">
        <v>1019</v>
      </c>
      <c r="C785" s="14" t="s">
        <v>178</v>
      </c>
      <c r="D785" s="14" t="s">
        <v>163</v>
      </c>
      <c r="E785" s="14" t="s">
        <v>166</v>
      </c>
      <c r="F785" s="14" t="s">
        <v>164</v>
      </c>
      <c r="G785" s="14" t="n">
        <v>1</v>
      </c>
      <c r="H785" s="14" t="s">
        <v>154</v>
      </c>
      <c r="I785" s="14" t="s">
        <v>897</v>
      </c>
      <c r="J785" s="15" t="n">
        <f aca="false">IF(B785="SITE LOSS",IF(D785=C785,1,0),IF(B785="REGION LOSS",IF(E785=C785,1,0),0))</f>
        <v>0</v>
      </c>
      <c r="K785" s="15" t="n">
        <f aca="false">IF(B785="SITE LOSS",IF(COUNTIFS('Site Dockets'!$B$7:$B$24,C785,'Site Dockets'!$C$7:$C$24,F785)&gt;0,1,0),IF(B785="REGION LOSS",IF(COUNTIFS('Site Dockets'!$E$7:$E$24,C785,'Site Dockets'!$C$7:$C$24,F785)&gt;0,1,0),0))</f>
        <v>0</v>
      </c>
      <c r="L785" s="15" t="n">
        <f aca="false">IF(J785=1,0,Inputs!$B$11)</f>
        <v>100</v>
      </c>
      <c r="M785" s="15" t="n">
        <f aca="false">IF(J785=1,0,Inputs!$B$12)</f>
        <v>75</v>
      </c>
      <c r="N785" s="15" t="n">
        <f aca="false">IF(J785=1,0,IF(OR(AND(OR(B785="SITE LOSS",B785="REGION LOSS"),K785=1),AND(B785="ROLE COMPROMISE",H785=C785)),Inputs!$B$13,Inputs!$B$14))</f>
        <v>10</v>
      </c>
      <c r="O785" s="15" t="n">
        <f aca="false">IF(J785=1,0,Inputs!$B$13)</f>
        <v>20</v>
      </c>
      <c r="P785" s="15" t="n">
        <f aca="false">SUM(M785:N785)</f>
        <v>85</v>
      </c>
      <c r="Q785" s="15" t="n">
        <f aca="false">IF(J785=1,"",L785-P785)</f>
        <v>15</v>
      </c>
      <c r="R785" s="15" t="n">
        <f aca="false">IF(OR(J785=1,M785&lt;=Inputs!$B$12),1,0)</f>
        <v>1</v>
      </c>
      <c r="S785" s="15" t="n">
        <f aca="false">IF(OR(J785=1,N785&lt;=O785),1,0)</f>
        <v>1</v>
      </c>
      <c r="T785" s="15" t="str">
        <f aca="false">IF(J785=1,"OFFLINE",IF(AND(Q785&gt;=Inputs!$B$15,R785=1,S785=1,P785&lt;=L785),"PASS","FAIL"))</f>
        <v>PASS</v>
      </c>
    </row>
    <row r="786" customFormat="false" ht="15" hidden="false" customHeight="false" outlineLevel="0" collapsed="false">
      <c r="A786" s="14" t="s">
        <v>1026</v>
      </c>
      <c r="B786" s="14" t="s">
        <v>1019</v>
      </c>
      <c r="C786" s="14" t="s">
        <v>178</v>
      </c>
      <c r="D786" s="14" t="s">
        <v>163</v>
      </c>
      <c r="E786" s="14" t="s">
        <v>166</v>
      </c>
      <c r="F786" s="14" t="s">
        <v>164</v>
      </c>
      <c r="G786" s="14" t="n">
        <v>1</v>
      </c>
      <c r="H786" s="14" t="s">
        <v>154</v>
      </c>
      <c r="I786" s="14" t="s">
        <v>899</v>
      </c>
      <c r="J786" s="15" t="n">
        <f aca="false">IF(B786="SITE LOSS",IF(D786=C786,1,0),IF(B786="REGION LOSS",IF(E786=C786,1,0),0))</f>
        <v>0</v>
      </c>
      <c r="K786" s="15" t="n">
        <f aca="false">IF(B786="SITE LOSS",IF(COUNTIFS('Site Dockets'!$B$7:$B$24,C786,'Site Dockets'!$C$7:$C$24,F786)&gt;0,1,0),IF(B786="REGION LOSS",IF(COUNTIFS('Site Dockets'!$E$7:$E$24,C786,'Site Dockets'!$C$7:$C$24,F786)&gt;0,1,0),0))</f>
        <v>0</v>
      </c>
      <c r="L786" s="15" t="n">
        <f aca="false">IF(J786=1,0,Inputs!$B$11)</f>
        <v>100</v>
      </c>
      <c r="M786" s="15" t="n">
        <f aca="false">IF(J786=1,0,Inputs!$B$12)</f>
        <v>75</v>
      </c>
      <c r="N786" s="15" t="n">
        <f aca="false">IF(J786=1,0,IF(OR(AND(OR(B786="SITE LOSS",B786="REGION LOSS"),K786=1),AND(B786="ROLE COMPROMISE",H786=C786)),Inputs!$B$13,Inputs!$B$14))</f>
        <v>10</v>
      </c>
      <c r="O786" s="15" t="n">
        <f aca="false">IF(J786=1,0,Inputs!$B$13)</f>
        <v>20</v>
      </c>
      <c r="P786" s="15" t="n">
        <f aca="false">SUM(M786:N786)</f>
        <v>85</v>
      </c>
      <c r="Q786" s="15" t="n">
        <f aca="false">IF(J786=1,"",L786-P786)</f>
        <v>15</v>
      </c>
      <c r="R786" s="15" t="n">
        <f aca="false">IF(OR(J786=1,M786&lt;=Inputs!$B$12),1,0)</f>
        <v>1</v>
      </c>
      <c r="S786" s="15" t="n">
        <f aca="false">IF(OR(J786=1,N786&lt;=O786),1,0)</f>
        <v>1</v>
      </c>
      <c r="T786" s="15" t="str">
        <f aca="false">IF(J786=1,"OFFLINE",IF(AND(Q786&gt;=Inputs!$B$15,R786=1,S786=1,P786&lt;=L786),"PASS","FAIL"))</f>
        <v>PASS</v>
      </c>
    </row>
    <row r="787" customFormat="false" ht="15" hidden="false" customHeight="false" outlineLevel="0" collapsed="false">
      <c r="A787" s="14" t="s">
        <v>1026</v>
      </c>
      <c r="B787" s="14" t="s">
        <v>1019</v>
      </c>
      <c r="C787" s="14" t="s">
        <v>178</v>
      </c>
      <c r="D787" s="14" t="s">
        <v>168</v>
      </c>
      <c r="E787" s="14" t="s">
        <v>169</v>
      </c>
      <c r="F787" s="14" t="s">
        <v>164</v>
      </c>
      <c r="G787" s="14" t="n">
        <v>2</v>
      </c>
      <c r="H787" s="14" t="s">
        <v>153</v>
      </c>
      <c r="I787" s="14" t="s">
        <v>890</v>
      </c>
      <c r="J787" s="15" t="n">
        <f aca="false">IF(B787="SITE LOSS",IF(D787=C787,1,0),IF(B787="REGION LOSS",IF(E787=C787,1,0),0))</f>
        <v>0</v>
      </c>
      <c r="K787" s="15" t="n">
        <f aca="false">IF(B787="SITE LOSS",IF(COUNTIFS('Site Dockets'!$B$7:$B$24,C787,'Site Dockets'!$C$7:$C$24,F787)&gt;0,1,0),IF(B787="REGION LOSS",IF(COUNTIFS('Site Dockets'!$E$7:$E$24,C787,'Site Dockets'!$C$7:$C$24,F787)&gt;0,1,0),0))</f>
        <v>0</v>
      </c>
      <c r="L787" s="15" t="n">
        <f aca="false">IF(J787=1,0,Inputs!$B$11)</f>
        <v>100</v>
      </c>
      <c r="M787" s="15" t="n">
        <f aca="false">IF(J787=1,0,Inputs!$B$12)</f>
        <v>75</v>
      </c>
      <c r="N787" s="15" t="n">
        <f aca="false">IF(J787=1,0,IF(OR(AND(OR(B787="SITE LOSS",B787="REGION LOSS"),K787=1),AND(B787="ROLE COMPROMISE",H787=C787)),Inputs!$B$13,Inputs!$B$14))</f>
        <v>10</v>
      </c>
      <c r="O787" s="15" t="n">
        <f aca="false">IF(J787=1,0,Inputs!$B$13)</f>
        <v>20</v>
      </c>
      <c r="P787" s="15" t="n">
        <f aca="false">SUM(M787:N787)</f>
        <v>85</v>
      </c>
      <c r="Q787" s="15" t="n">
        <f aca="false">IF(J787=1,"",L787-P787)</f>
        <v>15</v>
      </c>
      <c r="R787" s="15" t="n">
        <f aca="false">IF(OR(J787=1,M787&lt;=Inputs!$B$12),1,0)</f>
        <v>1</v>
      </c>
      <c r="S787" s="15" t="n">
        <f aca="false">IF(OR(J787=1,N787&lt;=O787),1,0)</f>
        <v>1</v>
      </c>
      <c r="T787" s="15" t="str">
        <f aca="false">IF(J787=1,"OFFLINE",IF(AND(Q787&gt;=Inputs!$B$15,R787=1,S787=1,P787&lt;=L787),"PASS","FAIL"))</f>
        <v>PASS</v>
      </c>
    </row>
    <row r="788" customFormat="false" ht="15" hidden="false" customHeight="false" outlineLevel="0" collapsed="false">
      <c r="A788" s="14" t="s">
        <v>1026</v>
      </c>
      <c r="B788" s="14" t="s">
        <v>1019</v>
      </c>
      <c r="C788" s="14" t="s">
        <v>178</v>
      </c>
      <c r="D788" s="14" t="s">
        <v>168</v>
      </c>
      <c r="E788" s="14" t="s">
        <v>169</v>
      </c>
      <c r="F788" s="14" t="s">
        <v>164</v>
      </c>
      <c r="G788" s="14" t="n">
        <v>2</v>
      </c>
      <c r="H788" s="14" t="s">
        <v>153</v>
      </c>
      <c r="I788" s="14" t="s">
        <v>892</v>
      </c>
      <c r="J788" s="15" t="n">
        <f aca="false">IF(B788="SITE LOSS",IF(D788=C788,1,0),IF(B788="REGION LOSS",IF(E788=C788,1,0),0))</f>
        <v>0</v>
      </c>
      <c r="K788" s="15" t="n">
        <f aca="false">IF(B788="SITE LOSS",IF(COUNTIFS('Site Dockets'!$B$7:$B$24,C788,'Site Dockets'!$C$7:$C$24,F788)&gt;0,1,0),IF(B788="REGION LOSS",IF(COUNTIFS('Site Dockets'!$E$7:$E$24,C788,'Site Dockets'!$C$7:$C$24,F788)&gt;0,1,0),0))</f>
        <v>0</v>
      </c>
      <c r="L788" s="15" t="n">
        <f aca="false">IF(J788=1,0,Inputs!$B$11)</f>
        <v>100</v>
      </c>
      <c r="M788" s="15" t="n">
        <f aca="false">IF(J788=1,0,Inputs!$B$12)</f>
        <v>75</v>
      </c>
      <c r="N788" s="15" t="n">
        <f aca="false">IF(J788=1,0,IF(OR(AND(OR(B788="SITE LOSS",B788="REGION LOSS"),K788=1),AND(B788="ROLE COMPROMISE",H788=C788)),Inputs!$B$13,Inputs!$B$14))</f>
        <v>10</v>
      </c>
      <c r="O788" s="15" t="n">
        <f aca="false">IF(J788=1,0,Inputs!$B$13)</f>
        <v>20</v>
      </c>
      <c r="P788" s="15" t="n">
        <f aca="false">SUM(M788:N788)</f>
        <v>85</v>
      </c>
      <c r="Q788" s="15" t="n">
        <f aca="false">IF(J788=1,"",L788-P788)</f>
        <v>15</v>
      </c>
      <c r="R788" s="15" t="n">
        <f aca="false">IF(OR(J788=1,M788&lt;=Inputs!$B$12),1,0)</f>
        <v>1</v>
      </c>
      <c r="S788" s="15" t="n">
        <f aca="false">IF(OR(J788=1,N788&lt;=O788),1,0)</f>
        <v>1</v>
      </c>
      <c r="T788" s="15" t="str">
        <f aca="false">IF(J788=1,"OFFLINE",IF(AND(Q788&gt;=Inputs!$B$15,R788=1,S788=1,P788&lt;=L788),"PASS","FAIL"))</f>
        <v>PASS</v>
      </c>
    </row>
    <row r="789" customFormat="false" ht="15" hidden="false" customHeight="false" outlineLevel="0" collapsed="false">
      <c r="A789" s="14" t="s">
        <v>1026</v>
      </c>
      <c r="B789" s="14" t="s">
        <v>1019</v>
      </c>
      <c r="C789" s="14" t="s">
        <v>178</v>
      </c>
      <c r="D789" s="14" t="s">
        <v>168</v>
      </c>
      <c r="E789" s="14" t="s">
        <v>169</v>
      </c>
      <c r="F789" s="14" t="s">
        <v>164</v>
      </c>
      <c r="G789" s="14" t="n">
        <v>2</v>
      </c>
      <c r="H789" s="14" t="s">
        <v>153</v>
      </c>
      <c r="I789" s="14" t="s">
        <v>811</v>
      </c>
      <c r="J789" s="15" t="n">
        <f aca="false">IF(B789="SITE LOSS",IF(D789=C789,1,0),IF(B789="REGION LOSS",IF(E789=C789,1,0),0))</f>
        <v>0</v>
      </c>
      <c r="K789" s="15" t="n">
        <f aca="false">IF(B789="SITE LOSS",IF(COUNTIFS('Site Dockets'!$B$7:$B$24,C789,'Site Dockets'!$C$7:$C$24,F789)&gt;0,1,0),IF(B789="REGION LOSS",IF(COUNTIFS('Site Dockets'!$E$7:$E$24,C789,'Site Dockets'!$C$7:$C$24,F789)&gt;0,1,0),0))</f>
        <v>0</v>
      </c>
      <c r="L789" s="15" t="n">
        <f aca="false">IF(J789=1,0,Inputs!$B$11)</f>
        <v>100</v>
      </c>
      <c r="M789" s="15" t="n">
        <f aca="false">IF(J789=1,0,Inputs!$B$12)</f>
        <v>75</v>
      </c>
      <c r="N789" s="15" t="n">
        <f aca="false">IF(J789=1,0,IF(OR(AND(OR(B789="SITE LOSS",B789="REGION LOSS"),K789=1),AND(B789="ROLE COMPROMISE",H789=C789)),Inputs!$B$13,Inputs!$B$14))</f>
        <v>10</v>
      </c>
      <c r="O789" s="15" t="n">
        <f aca="false">IF(J789=1,0,Inputs!$B$13)</f>
        <v>20</v>
      </c>
      <c r="P789" s="15" t="n">
        <f aca="false">SUM(M789:N789)</f>
        <v>85</v>
      </c>
      <c r="Q789" s="15" t="n">
        <f aca="false">IF(J789=1,"",L789-P789)</f>
        <v>15</v>
      </c>
      <c r="R789" s="15" t="n">
        <f aca="false">IF(OR(J789=1,M789&lt;=Inputs!$B$12),1,0)</f>
        <v>1</v>
      </c>
      <c r="S789" s="15" t="n">
        <f aca="false">IF(OR(J789=1,N789&lt;=O789),1,0)</f>
        <v>1</v>
      </c>
      <c r="T789" s="15" t="str">
        <f aca="false">IF(J789=1,"OFFLINE",IF(AND(Q789&gt;=Inputs!$B$15,R789=1,S789=1,P789&lt;=L789),"PASS","FAIL"))</f>
        <v>PASS</v>
      </c>
    </row>
    <row r="790" customFormat="false" ht="15" hidden="false" customHeight="false" outlineLevel="0" collapsed="false">
      <c r="A790" s="14" t="s">
        <v>1026</v>
      </c>
      <c r="B790" s="14" t="s">
        <v>1019</v>
      </c>
      <c r="C790" s="14" t="s">
        <v>178</v>
      </c>
      <c r="D790" s="14" t="s">
        <v>168</v>
      </c>
      <c r="E790" s="14" t="s">
        <v>169</v>
      </c>
      <c r="F790" s="14" t="s">
        <v>164</v>
      </c>
      <c r="G790" s="14" t="n">
        <v>2</v>
      </c>
      <c r="H790" s="14" t="s">
        <v>153</v>
      </c>
      <c r="I790" s="14" t="s">
        <v>895</v>
      </c>
      <c r="J790" s="15" t="n">
        <f aca="false">IF(B790="SITE LOSS",IF(D790=C790,1,0),IF(B790="REGION LOSS",IF(E790=C790,1,0),0))</f>
        <v>0</v>
      </c>
      <c r="K790" s="15" t="n">
        <f aca="false">IF(B790="SITE LOSS",IF(COUNTIFS('Site Dockets'!$B$7:$B$24,C790,'Site Dockets'!$C$7:$C$24,F790)&gt;0,1,0),IF(B790="REGION LOSS",IF(COUNTIFS('Site Dockets'!$E$7:$E$24,C790,'Site Dockets'!$C$7:$C$24,F790)&gt;0,1,0),0))</f>
        <v>0</v>
      </c>
      <c r="L790" s="15" t="n">
        <f aca="false">IF(J790=1,0,Inputs!$B$11)</f>
        <v>100</v>
      </c>
      <c r="M790" s="15" t="n">
        <f aca="false">IF(J790=1,0,Inputs!$B$12)</f>
        <v>75</v>
      </c>
      <c r="N790" s="15" t="n">
        <f aca="false">IF(J790=1,0,IF(OR(AND(OR(B790="SITE LOSS",B790="REGION LOSS"),K790=1),AND(B790="ROLE COMPROMISE",H790=C790)),Inputs!$B$13,Inputs!$B$14))</f>
        <v>10</v>
      </c>
      <c r="O790" s="15" t="n">
        <f aca="false">IF(J790=1,0,Inputs!$B$13)</f>
        <v>20</v>
      </c>
      <c r="P790" s="15" t="n">
        <f aca="false">SUM(M790:N790)</f>
        <v>85</v>
      </c>
      <c r="Q790" s="15" t="n">
        <f aca="false">IF(J790=1,"",L790-P790)</f>
        <v>15</v>
      </c>
      <c r="R790" s="15" t="n">
        <f aca="false">IF(OR(J790=1,M790&lt;=Inputs!$B$12),1,0)</f>
        <v>1</v>
      </c>
      <c r="S790" s="15" t="n">
        <f aca="false">IF(OR(J790=1,N790&lt;=O790),1,0)</f>
        <v>1</v>
      </c>
      <c r="T790" s="15" t="str">
        <f aca="false">IF(J790=1,"OFFLINE",IF(AND(Q790&gt;=Inputs!$B$15,R790=1,S790=1,P790&lt;=L790),"PASS","FAIL"))</f>
        <v>PASS</v>
      </c>
    </row>
    <row r="791" customFormat="false" ht="15" hidden="false" customHeight="false" outlineLevel="0" collapsed="false">
      <c r="A791" s="14" t="s">
        <v>1026</v>
      </c>
      <c r="B791" s="14" t="s">
        <v>1019</v>
      </c>
      <c r="C791" s="14" t="s">
        <v>178</v>
      </c>
      <c r="D791" s="14" t="s">
        <v>168</v>
      </c>
      <c r="E791" s="14" t="s">
        <v>169</v>
      </c>
      <c r="F791" s="14" t="s">
        <v>164</v>
      </c>
      <c r="G791" s="14" t="n">
        <v>2</v>
      </c>
      <c r="H791" s="14" t="s">
        <v>153</v>
      </c>
      <c r="I791" s="14" t="s">
        <v>897</v>
      </c>
      <c r="J791" s="15" t="n">
        <f aca="false">IF(B791="SITE LOSS",IF(D791=C791,1,0),IF(B791="REGION LOSS",IF(E791=C791,1,0),0))</f>
        <v>0</v>
      </c>
      <c r="K791" s="15" t="n">
        <f aca="false">IF(B791="SITE LOSS",IF(COUNTIFS('Site Dockets'!$B$7:$B$24,C791,'Site Dockets'!$C$7:$C$24,F791)&gt;0,1,0),IF(B791="REGION LOSS",IF(COUNTIFS('Site Dockets'!$E$7:$E$24,C791,'Site Dockets'!$C$7:$C$24,F791)&gt;0,1,0),0))</f>
        <v>0</v>
      </c>
      <c r="L791" s="15" t="n">
        <f aca="false">IF(J791=1,0,Inputs!$B$11)</f>
        <v>100</v>
      </c>
      <c r="M791" s="15" t="n">
        <f aca="false">IF(J791=1,0,Inputs!$B$12)</f>
        <v>75</v>
      </c>
      <c r="N791" s="15" t="n">
        <f aca="false">IF(J791=1,0,IF(OR(AND(OR(B791="SITE LOSS",B791="REGION LOSS"),K791=1),AND(B791="ROLE COMPROMISE",H791=C791)),Inputs!$B$13,Inputs!$B$14))</f>
        <v>10</v>
      </c>
      <c r="O791" s="15" t="n">
        <f aca="false">IF(J791=1,0,Inputs!$B$13)</f>
        <v>20</v>
      </c>
      <c r="P791" s="15" t="n">
        <f aca="false">SUM(M791:N791)</f>
        <v>85</v>
      </c>
      <c r="Q791" s="15" t="n">
        <f aca="false">IF(J791=1,"",L791-P791)</f>
        <v>15</v>
      </c>
      <c r="R791" s="15" t="n">
        <f aca="false">IF(OR(J791=1,M791&lt;=Inputs!$B$12),1,0)</f>
        <v>1</v>
      </c>
      <c r="S791" s="15" t="n">
        <f aca="false">IF(OR(J791=1,N791&lt;=O791),1,0)</f>
        <v>1</v>
      </c>
      <c r="T791" s="15" t="str">
        <f aca="false">IF(J791=1,"OFFLINE",IF(AND(Q791&gt;=Inputs!$B$15,R791=1,S791=1,P791&lt;=L791),"PASS","FAIL"))</f>
        <v>PASS</v>
      </c>
    </row>
    <row r="792" customFormat="false" ht="15" hidden="false" customHeight="false" outlineLevel="0" collapsed="false">
      <c r="A792" s="14" t="s">
        <v>1026</v>
      </c>
      <c r="B792" s="14" t="s">
        <v>1019</v>
      </c>
      <c r="C792" s="14" t="s">
        <v>178</v>
      </c>
      <c r="D792" s="14" t="s">
        <v>168</v>
      </c>
      <c r="E792" s="14" t="s">
        <v>169</v>
      </c>
      <c r="F792" s="14" t="s">
        <v>164</v>
      </c>
      <c r="G792" s="14" t="n">
        <v>2</v>
      </c>
      <c r="H792" s="14" t="s">
        <v>153</v>
      </c>
      <c r="I792" s="14" t="s">
        <v>899</v>
      </c>
      <c r="J792" s="15" t="n">
        <f aca="false">IF(B792="SITE LOSS",IF(D792=C792,1,0),IF(B792="REGION LOSS",IF(E792=C792,1,0),0))</f>
        <v>0</v>
      </c>
      <c r="K792" s="15" t="n">
        <f aca="false">IF(B792="SITE LOSS",IF(COUNTIFS('Site Dockets'!$B$7:$B$24,C792,'Site Dockets'!$C$7:$C$24,F792)&gt;0,1,0),IF(B792="REGION LOSS",IF(COUNTIFS('Site Dockets'!$E$7:$E$24,C792,'Site Dockets'!$C$7:$C$24,F792)&gt;0,1,0),0))</f>
        <v>0</v>
      </c>
      <c r="L792" s="15" t="n">
        <f aca="false">IF(J792=1,0,Inputs!$B$11)</f>
        <v>100</v>
      </c>
      <c r="M792" s="15" t="n">
        <f aca="false">IF(J792=1,0,Inputs!$B$12)</f>
        <v>75</v>
      </c>
      <c r="N792" s="15" t="n">
        <f aca="false">IF(J792=1,0,IF(OR(AND(OR(B792="SITE LOSS",B792="REGION LOSS"),K792=1),AND(B792="ROLE COMPROMISE",H792=C792)),Inputs!$B$13,Inputs!$B$14))</f>
        <v>10</v>
      </c>
      <c r="O792" s="15" t="n">
        <f aca="false">IF(J792=1,0,Inputs!$B$13)</f>
        <v>20</v>
      </c>
      <c r="P792" s="15" t="n">
        <f aca="false">SUM(M792:N792)</f>
        <v>85</v>
      </c>
      <c r="Q792" s="15" t="n">
        <f aca="false">IF(J792=1,"",L792-P792)</f>
        <v>15</v>
      </c>
      <c r="R792" s="15" t="n">
        <f aca="false">IF(OR(J792=1,M792&lt;=Inputs!$B$12),1,0)</f>
        <v>1</v>
      </c>
      <c r="S792" s="15" t="n">
        <f aca="false">IF(OR(J792=1,N792&lt;=O792),1,0)</f>
        <v>1</v>
      </c>
      <c r="T792" s="15" t="str">
        <f aca="false">IF(J792=1,"OFFLINE",IF(AND(Q792&gt;=Inputs!$B$15,R792=1,S792=1,P792&lt;=L792),"PASS","FAIL"))</f>
        <v>PASS</v>
      </c>
    </row>
    <row r="793" customFormat="false" ht="15" hidden="false" customHeight="false" outlineLevel="0" collapsed="false">
      <c r="A793" s="14" t="s">
        <v>1026</v>
      </c>
      <c r="B793" s="14" t="s">
        <v>1019</v>
      </c>
      <c r="C793" s="14" t="s">
        <v>178</v>
      </c>
      <c r="D793" s="14" t="s">
        <v>171</v>
      </c>
      <c r="E793" s="14" t="s">
        <v>172</v>
      </c>
      <c r="F793" s="14" t="s">
        <v>164</v>
      </c>
      <c r="G793" s="14" t="n">
        <v>3</v>
      </c>
      <c r="H793" s="14" t="s">
        <v>158</v>
      </c>
      <c r="I793" s="14" t="s">
        <v>890</v>
      </c>
      <c r="J793" s="15" t="n">
        <f aca="false">IF(B793="SITE LOSS",IF(D793=C793,1,0),IF(B793="REGION LOSS",IF(E793=C793,1,0),0))</f>
        <v>0</v>
      </c>
      <c r="K793" s="15" t="n">
        <f aca="false">IF(B793="SITE LOSS",IF(COUNTIFS('Site Dockets'!$B$7:$B$24,C793,'Site Dockets'!$C$7:$C$24,F793)&gt;0,1,0),IF(B793="REGION LOSS",IF(COUNTIFS('Site Dockets'!$E$7:$E$24,C793,'Site Dockets'!$C$7:$C$24,F793)&gt;0,1,0),0))</f>
        <v>0</v>
      </c>
      <c r="L793" s="15" t="n">
        <f aca="false">IF(J793=1,0,Inputs!$B$11)</f>
        <v>100</v>
      </c>
      <c r="M793" s="15" t="n">
        <f aca="false">IF(J793=1,0,Inputs!$B$12)</f>
        <v>75</v>
      </c>
      <c r="N793" s="15" t="n">
        <f aca="false">IF(J793=1,0,IF(OR(AND(OR(B793="SITE LOSS",B793="REGION LOSS"),K793=1),AND(B793="ROLE COMPROMISE",H793=C793)),Inputs!$B$13,Inputs!$B$14))</f>
        <v>10</v>
      </c>
      <c r="O793" s="15" t="n">
        <f aca="false">IF(J793=1,0,Inputs!$B$13)</f>
        <v>20</v>
      </c>
      <c r="P793" s="15" t="n">
        <f aca="false">SUM(M793:N793)</f>
        <v>85</v>
      </c>
      <c r="Q793" s="15" t="n">
        <f aca="false">IF(J793=1,"",L793-P793)</f>
        <v>15</v>
      </c>
      <c r="R793" s="15" t="n">
        <f aca="false">IF(OR(J793=1,M793&lt;=Inputs!$B$12),1,0)</f>
        <v>1</v>
      </c>
      <c r="S793" s="15" t="n">
        <f aca="false">IF(OR(J793=1,N793&lt;=O793),1,0)</f>
        <v>1</v>
      </c>
      <c r="T793" s="15" t="str">
        <f aca="false">IF(J793=1,"OFFLINE",IF(AND(Q793&gt;=Inputs!$B$15,R793=1,S793=1,P793&lt;=L793),"PASS","FAIL"))</f>
        <v>PASS</v>
      </c>
    </row>
    <row r="794" customFormat="false" ht="15" hidden="false" customHeight="false" outlineLevel="0" collapsed="false">
      <c r="A794" s="14" t="s">
        <v>1026</v>
      </c>
      <c r="B794" s="14" t="s">
        <v>1019</v>
      </c>
      <c r="C794" s="14" t="s">
        <v>178</v>
      </c>
      <c r="D794" s="14" t="s">
        <v>171</v>
      </c>
      <c r="E794" s="14" t="s">
        <v>172</v>
      </c>
      <c r="F794" s="14" t="s">
        <v>164</v>
      </c>
      <c r="G794" s="14" t="n">
        <v>3</v>
      </c>
      <c r="H794" s="14" t="s">
        <v>158</v>
      </c>
      <c r="I794" s="14" t="s">
        <v>892</v>
      </c>
      <c r="J794" s="15" t="n">
        <f aca="false">IF(B794="SITE LOSS",IF(D794=C794,1,0),IF(B794="REGION LOSS",IF(E794=C794,1,0),0))</f>
        <v>0</v>
      </c>
      <c r="K794" s="15" t="n">
        <f aca="false">IF(B794="SITE LOSS",IF(COUNTIFS('Site Dockets'!$B$7:$B$24,C794,'Site Dockets'!$C$7:$C$24,F794)&gt;0,1,0),IF(B794="REGION LOSS",IF(COUNTIFS('Site Dockets'!$E$7:$E$24,C794,'Site Dockets'!$C$7:$C$24,F794)&gt;0,1,0),0))</f>
        <v>0</v>
      </c>
      <c r="L794" s="15" t="n">
        <f aca="false">IF(J794=1,0,Inputs!$B$11)</f>
        <v>100</v>
      </c>
      <c r="M794" s="15" t="n">
        <f aca="false">IF(J794=1,0,Inputs!$B$12)</f>
        <v>75</v>
      </c>
      <c r="N794" s="15" t="n">
        <f aca="false">IF(J794=1,0,IF(OR(AND(OR(B794="SITE LOSS",B794="REGION LOSS"),K794=1),AND(B794="ROLE COMPROMISE",H794=C794)),Inputs!$B$13,Inputs!$B$14))</f>
        <v>10</v>
      </c>
      <c r="O794" s="15" t="n">
        <f aca="false">IF(J794=1,0,Inputs!$B$13)</f>
        <v>20</v>
      </c>
      <c r="P794" s="15" t="n">
        <f aca="false">SUM(M794:N794)</f>
        <v>85</v>
      </c>
      <c r="Q794" s="15" t="n">
        <f aca="false">IF(J794=1,"",L794-P794)</f>
        <v>15</v>
      </c>
      <c r="R794" s="15" t="n">
        <f aca="false">IF(OR(J794=1,M794&lt;=Inputs!$B$12),1,0)</f>
        <v>1</v>
      </c>
      <c r="S794" s="15" t="n">
        <f aca="false">IF(OR(J794=1,N794&lt;=O794),1,0)</f>
        <v>1</v>
      </c>
      <c r="T794" s="15" t="str">
        <f aca="false">IF(J794=1,"OFFLINE",IF(AND(Q794&gt;=Inputs!$B$15,R794=1,S794=1,P794&lt;=L794),"PASS","FAIL"))</f>
        <v>PASS</v>
      </c>
    </row>
    <row r="795" customFormat="false" ht="15" hidden="false" customHeight="false" outlineLevel="0" collapsed="false">
      <c r="A795" s="14" t="s">
        <v>1026</v>
      </c>
      <c r="B795" s="14" t="s">
        <v>1019</v>
      </c>
      <c r="C795" s="14" t="s">
        <v>178</v>
      </c>
      <c r="D795" s="14" t="s">
        <v>171</v>
      </c>
      <c r="E795" s="14" t="s">
        <v>172</v>
      </c>
      <c r="F795" s="14" t="s">
        <v>164</v>
      </c>
      <c r="G795" s="14" t="n">
        <v>3</v>
      </c>
      <c r="H795" s="14" t="s">
        <v>158</v>
      </c>
      <c r="I795" s="14" t="s">
        <v>811</v>
      </c>
      <c r="J795" s="15" t="n">
        <f aca="false">IF(B795="SITE LOSS",IF(D795=C795,1,0),IF(B795="REGION LOSS",IF(E795=C795,1,0),0))</f>
        <v>0</v>
      </c>
      <c r="K795" s="15" t="n">
        <f aca="false">IF(B795="SITE LOSS",IF(COUNTIFS('Site Dockets'!$B$7:$B$24,C795,'Site Dockets'!$C$7:$C$24,F795)&gt;0,1,0),IF(B795="REGION LOSS",IF(COUNTIFS('Site Dockets'!$E$7:$E$24,C795,'Site Dockets'!$C$7:$C$24,F795)&gt;0,1,0),0))</f>
        <v>0</v>
      </c>
      <c r="L795" s="15" t="n">
        <f aca="false">IF(J795=1,0,Inputs!$B$11)</f>
        <v>100</v>
      </c>
      <c r="M795" s="15" t="n">
        <f aca="false">IF(J795=1,0,Inputs!$B$12)</f>
        <v>75</v>
      </c>
      <c r="N795" s="15" t="n">
        <f aca="false">IF(J795=1,0,IF(OR(AND(OR(B795="SITE LOSS",B795="REGION LOSS"),K795=1),AND(B795="ROLE COMPROMISE",H795=C795)),Inputs!$B$13,Inputs!$B$14))</f>
        <v>10</v>
      </c>
      <c r="O795" s="15" t="n">
        <f aca="false">IF(J795=1,0,Inputs!$B$13)</f>
        <v>20</v>
      </c>
      <c r="P795" s="15" t="n">
        <f aca="false">SUM(M795:N795)</f>
        <v>85</v>
      </c>
      <c r="Q795" s="15" t="n">
        <f aca="false">IF(J795=1,"",L795-P795)</f>
        <v>15</v>
      </c>
      <c r="R795" s="15" t="n">
        <f aca="false">IF(OR(J795=1,M795&lt;=Inputs!$B$12),1,0)</f>
        <v>1</v>
      </c>
      <c r="S795" s="15" t="n">
        <f aca="false">IF(OR(J795=1,N795&lt;=O795),1,0)</f>
        <v>1</v>
      </c>
      <c r="T795" s="15" t="str">
        <f aca="false">IF(J795=1,"OFFLINE",IF(AND(Q795&gt;=Inputs!$B$15,R795=1,S795=1,P795&lt;=L795),"PASS","FAIL"))</f>
        <v>PASS</v>
      </c>
    </row>
    <row r="796" customFormat="false" ht="15" hidden="false" customHeight="false" outlineLevel="0" collapsed="false">
      <c r="A796" s="14" t="s">
        <v>1026</v>
      </c>
      <c r="B796" s="14" t="s">
        <v>1019</v>
      </c>
      <c r="C796" s="14" t="s">
        <v>178</v>
      </c>
      <c r="D796" s="14" t="s">
        <v>171</v>
      </c>
      <c r="E796" s="14" t="s">
        <v>172</v>
      </c>
      <c r="F796" s="14" t="s">
        <v>164</v>
      </c>
      <c r="G796" s="14" t="n">
        <v>3</v>
      </c>
      <c r="H796" s="14" t="s">
        <v>158</v>
      </c>
      <c r="I796" s="14" t="s">
        <v>895</v>
      </c>
      <c r="J796" s="15" t="n">
        <f aca="false">IF(B796="SITE LOSS",IF(D796=C796,1,0),IF(B796="REGION LOSS",IF(E796=C796,1,0),0))</f>
        <v>0</v>
      </c>
      <c r="K796" s="15" t="n">
        <f aca="false">IF(B796="SITE LOSS",IF(COUNTIFS('Site Dockets'!$B$7:$B$24,C796,'Site Dockets'!$C$7:$C$24,F796)&gt;0,1,0),IF(B796="REGION LOSS",IF(COUNTIFS('Site Dockets'!$E$7:$E$24,C796,'Site Dockets'!$C$7:$C$24,F796)&gt;0,1,0),0))</f>
        <v>0</v>
      </c>
      <c r="L796" s="15" t="n">
        <f aca="false">IF(J796=1,0,Inputs!$B$11)</f>
        <v>100</v>
      </c>
      <c r="M796" s="15" t="n">
        <f aca="false">IF(J796=1,0,Inputs!$B$12)</f>
        <v>75</v>
      </c>
      <c r="N796" s="15" t="n">
        <f aca="false">IF(J796=1,0,IF(OR(AND(OR(B796="SITE LOSS",B796="REGION LOSS"),K796=1),AND(B796="ROLE COMPROMISE",H796=C796)),Inputs!$B$13,Inputs!$B$14))</f>
        <v>10</v>
      </c>
      <c r="O796" s="15" t="n">
        <f aca="false">IF(J796=1,0,Inputs!$B$13)</f>
        <v>20</v>
      </c>
      <c r="P796" s="15" t="n">
        <f aca="false">SUM(M796:N796)</f>
        <v>85</v>
      </c>
      <c r="Q796" s="15" t="n">
        <f aca="false">IF(J796=1,"",L796-P796)</f>
        <v>15</v>
      </c>
      <c r="R796" s="15" t="n">
        <f aca="false">IF(OR(J796=1,M796&lt;=Inputs!$B$12),1,0)</f>
        <v>1</v>
      </c>
      <c r="S796" s="15" t="n">
        <f aca="false">IF(OR(J796=1,N796&lt;=O796),1,0)</f>
        <v>1</v>
      </c>
      <c r="T796" s="15" t="str">
        <f aca="false">IF(J796=1,"OFFLINE",IF(AND(Q796&gt;=Inputs!$B$15,R796=1,S796=1,P796&lt;=L796),"PASS","FAIL"))</f>
        <v>PASS</v>
      </c>
    </row>
    <row r="797" customFormat="false" ht="15" hidden="false" customHeight="false" outlineLevel="0" collapsed="false">
      <c r="A797" s="14" t="s">
        <v>1026</v>
      </c>
      <c r="B797" s="14" t="s">
        <v>1019</v>
      </c>
      <c r="C797" s="14" t="s">
        <v>178</v>
      </c>
      <c r="D797" s="14" t="s">
        <v>171</v>
      </c>
      <c r="E797" s="14" t="s">
        <v>172</v>
      </c>
      <c r="F797" s="14" t="s">
        <v>164</v>
      </c>
      <c r="G797" s="14" t="n">
        <v>3</v>
      </c>
      <c r="H797" s="14" t="s">
        <v>158</v>
      </c>
      <c r="I797" s="14" t="s">
        <v>897</v>
      </c>
      <c r="J797" s="15" t="n">
        <f aca="false">IF(B797="SITE LOSS",IF(D797=C797,1,0),IF(B797="REGION LOSS",IF(E797=C797,1,0),0))</f>
        <v>0</v>
      </c>
      <c r="K797" s="15" t="n">
        <f aca="false">IF(B797="SITE LOSS",IF(COUNTIFS('Site Dockets'!$B$7:$B$24,C797,'Site Dockets'!$C$7:$C$24,F797)&gt;0,1,0),IF(B797="REGION LOSS",IF(COUNTIFS('Site Dockets'!$E$7:$E$24,C797,'Site Dockets'!$C$7:$C$24,F797)&gt;0,1,0),0))</f>
        <v>0</v>
      </c>
      <c r="L797" s="15" t="n">
        <f aca="false">IF(J797=1,0,Inputs!$B$11)</f>
        <v>100</v>
      </c>
      <c r="M797" s="15" t="n">
        <f aca="false">IF(J797=1,0,Inputs!$B$12)</f>
        <v>75</v>
      </c>
      <c r="N797" s="15" t="n">
        <f aca="false">IF(J797=1,0,IF(OR(AND(OR(B797="SITE LOSS",B797="REGION LOSS"),K797=1),AND(B797="ROLE COMPROMISE",H797=C797)),Inputs!$B$13,Inputs!$B$14))</f>
        <v>10</v>
      </c>
      <c r="O797" s="15" t="n">
        <f aca="false">IF(J797=1,0,Inputs!$B$13)</f>
        <v>20</v>
      </c>
      <c r="P797" s="15" t="n">
        <f aca="false">SUM(M797:N797)</f>
        <v>85</v>
      </c>
      <c r="Q797" s="15" t="n">
        <f aca="false">IF(J797=1,"",L797-P797)</f>
        <v>15</v>
      </c>
      <c r="R797" s="15" t="n">
        <f aca="false">IF(OR(J797=1,M797&lt;=Inputs!$B$12),1,0)</f>
        <v>1</v>
      </c>
      <c r="S797" s="15" t="n">
        <f aca="false">IF(OR(J797=1,N797&lt;=O797),1,0)</f>
        <v>1</v>
      </c>
      <c r="T797" s="15" t="str">
        <f aca="false">IF(J797=1,"OFFLINE",IF(AND(Q797&gt;=Inputs!$B$15,R797=1,S797=1,P797&lt;=L797),"PASS","FAIL"))</f>
        <v>PASS</v>
      </c>
    </row>
    <row r="798" customFormat="false" ht="15" hidden="false" customHeight="false" outlineLevel="0" collapsed="false">
      <c r="A798" s="14" t="s">
        <v>1026</v>
      </c>
      <c r="B798" s="14" t="s">
        <v>1019</v>
      </c>
      <c r="C798" s="14" t="s">
        <v>178</v>
      </c>
      <c r="D798" s="14" t="s">
        <v>171</v>
      </c>
      <c r="E798" s="14" t="s">
        <v>172</v>
      </c>
      <c r="F798" s="14" t="s">
        <v>164</v>
      </c>
      <c r="G798" s="14" t="n">
        <v>3</v>
      </c>
      <c r="H798" s="14" t="s">
        <v>158</v>
      </c>
      <c r="I798" s="14" t="s">
        <v>899</v>
      </c>
      <c r="J798" s="15" t="n">
        <f aca="false">IF(B798="SITE LOSS",IF(D798=C798,1,0),IF(B798="REGION LOSS",IF(E798=C798,1,0),0))</f>
        <v>0</v>
      </c>
      <c r="K798" s="15" t="n">
        <f aca="false">IF(B798="SITE LOSS",IF(COUNTIFS('Site Dockets'!$B$7:$B$24,C798,'Site Dockets'!$C$7:$C$24,F798)&gt;0,1,0),IF(B798="REGION LOSS",IF(COUNTIFS('Site Dockets'!$E$7:$E$24,C798,'Site Dockets'!$C$7:$C$24,F798)&gt;0,1,0),0))</f>
        <v>0</v>
      </c>
      <c r="L798" s="15" t="n">
        <f aca="false">IF(J798=1,0,Inputs!$B$11)</f>
        <v>100</v>
      </c>
      <c r="M798" s="15" t="n">
        <f aca="false">IF(J798=1,0,Inputs!$B$12)</f>
        <v>75</v>
      </c>
      <c r="N798" s="15" t="n">
        <f aca="false">IF(J798=1,0,IF(OR(AND(OR(B798="SITE LOSS",B798="REGION LOSS"),K798=1),AND(B798="ROLE COMPROMISE",H798=C798)),Inputs!$B$13,Inputs!$B$14))</f>
        <v>10</v>
      </c>
      <c r="O798" s="15" t="n">
        <f aca="false">IF(J798=1,0,Inputs!$B$13)</f>
        <v>20</v>
      </c>
      <c r="P798" s="15" t="n">
        <f aca="false">SUM(M798:N798)</f>
        <v>85</v>
      </c>
      <c r="Q798" s="15" t="n">
        <f aca="false">IF(J798=1,"",L798-P798)</f>
        <v>15</v>
      </c>
      <c r="R798" s="15" t="n">
        <f aca="false">IF(OR(J798=1,M798&lt;=Inputs!$B$12),1,0)</f>
        <v>1</v>
      </c>
      <c r="S798" s="15" t="n">
        <f aca="false">IF(OR(J798=1,N798&lt;=O798),1,0)</f>
        <v>1</v>
      </c>
      <c r="T798" s="15" t="str">
        <f aca="false">IF(J798=1,"OFFLINE",IF(AND(Q798&gt;=Inputs!$B$15,R798=1,S798=1,P798&lt;=L798),"PASS","FAIL"))</f>
        <v>PASS</v>
      </c>
    </row>
    <row r="799" customFormat="false" ht="15" hidden="false" customHeight="false" outlineLevel="0" collapsed="false">
      <c r="A799" s="14" t="s">
        <v>1026</v>
      </c>
      <c r="B799" s="14" t="s">
        <v>1019</v>
      </c>
      <c r="C799" s="14" t="s">
        <v>178</v>
      </c>
      <c r="D799" s="14" t="s">
        <v>174</v>
      </c>
      <c r="E799" s="14" t="s">
        <v>152</v>
      </c>
      <c r="F799" s="14" t="s">
        <v>175</v>
      </c>
      <c r="G799" s="14" t="n">
        <v>1</v>
      </c>
      <c r="H799" s="14" t="s">
        <v>154</v>
      </c>
      <c r="I799" s="14" t="s">
        <v>890</v>
      </c>
      <c r="J799" s="15" t="n">
        <f aca="false">IF(B799="SITE LOSS",IF(D799=C799,1,0),IF(B799="REGION LOSS",IF(E799=C799,1,0),0))</f>
        <v>0</v>
      </c>
      <c r="K799" s="15" t="n">
        <f aca="false">IF(B799="SITE LOSS",IF(COUNTIFS('Site Dockets'!$B$7:$B$24,C799,'Site Dockets'!$C$7:$C$24,F799)&gt;0,1,0),IF(B799="REGION LOSS",IF(COUNTIFS('Site Dockets'!$E$7:$E$24,C799,'Site Dockets'!$C$7:$C$24,F799)&gt;0,1,0),0))</f>
        <v>1</v>
      </c>
      <c r="L799" s="15" t="n">
        <f aca="false">IF(J799=1,0,Inputs!$B$11)</f>
        <v>100</v>
      </c>
      <c r="M799" s="15" t="n">
        <f aca="false">IF(J799=1,0,Inputs!$B$12)</f>
        <v>75</v>
      </c>
      <c r="N799" s="15" t="n">
        <f aca="false">IF(J799=1,0,IF(OR(AND(OR(B799="SITE LOSS",B799="REGION LOSS"),K799=1),AND(B799="ROLE COMPROMISE",H799=C799)),Inputs!$B$13,Inputs!$B$14))</f>
        <v>20</v>
      </c>
      <c r="O799" s="15" t="n">
        <f aca="false">IF(J799=1,0,Inputs!$B$13)</f>
        <v>20</v>
      </c>
      <c r="P799" s="15" t="n">
        <f aca="false">SUM(M799:N799)</f>
        <v>95</v>
      </c>
      <c r="Q799" s="15" t="n">
        <f aca="false">IF(J799=1,"",L799-P799)</f>
        <v>5</v>
      </c>
      <c r="R799" s="15" t="n">
        <f aca="false">IF(OR(J799=1,M799&lt;=Inputs!$B$12),1,0)</f>
        <v>1</v>
      </c>
      <c r="S799" s="15" t="n">
        <f aca="false">IF(OR(J799=1,N799&lt;=O799),1,0)</f>
        <v>1</v>
      </c>
      <c r="T799" s="15" t="str">
        <f aca="false">IF(J799=1,"OFFLINE",IF(AND(Q799&gt;=Inputs!$B$15,R799=1,S799=1,P799&lt;=L799),"PASS","FAIL"))</f>
        <v>PASS</v>
      </c>
    </row>
    <row r="800" customFormat="false" ht="15" hidden="false" customHeight="false" outlineLevel="0" collapsed="false">
      <c r="A800" s="14" t="s">
        <v>1026</v>
      </c>
      <c r="B800" s="14" t="s">
        <v>1019</v>
      </c>
      <c r="C800" s="14" t="s">
        <v>178</v>
      </c>
      <c r="D800" s="14" t="s">
        <v>174</v>
      </c>
      <c r="E800" s="14" t="s">
        <v>152</v>
      </c>
      <c r="F800" s="14" t="s">
        <v>175</v>
      </c>
      <c r="G800" s="14" t="n">
        <v>1</v>
      </c>
      <c r="H800" s="14" t="s">
        <v>154</v>
      </c>
      <c r="I800" s="14" t="s">
        <v>892</v>
      </c>
      <c r="J800" s="15" t="n">
        <f aca="false">IF(B800="SITE LOSS",IF(D800=C800,1,0),IF(B800="REGION LOSS",IF(E800=C800,1,0),0))</f>
        <v>0</v>
      </c>
      <c r="K800" s="15" t="n">
        <f aca="false">IF(B800="SITE LOSS",IF(COUNTIFS('Site Dockets'!$B$7:$B$24,C800,'Site Dockets'!$C$7:$C$24,F800)&gt;0,1,0),IF(B800="REGION LOSS",IF(COUNTIFS('Site Dockets'!$E$7:$E$24,C800,'Site Dockets'!$C$7:$C$24,F800)&gt;0,1,0),0))</f>
        <v>1</v>
      </c>
      <c r="L800" s="15" t="n">
        <f aca="false">IF(J800=1,0,Inputs!$B$11)</f>
        <v>100</v>
      </c>
      <c r="M800" s="15" t="n">
        <f aca="false">IF(J800=1,0,Inputs!$B$12)</f>
        <v>75</v>
      </c>
      <c r="N800" s="15" t="n">
        <f aca="false">IF(J800=1,0,IF(OR(AND(OR(B800="SITE LOSS",B800="REGION LOSS"),K800=1),AND(B800="ROLE COMPROMISE",H800=C800)),Inputs!$B$13,Inputs!$B$14))</f>
        <v>20</v>
      </c>
      <c r="O800" s="15" t="n">
        <f aca="false">IF(J800=1,0,Inputs!$B$13)</f>
        <v>20</v>
      </c>
      <c r="P800" s="15" t="n">
        <f aca="false">SUM(M800:N800)</f>
        <v>95</v>
      </c>
      <c r="Q800" s="15" t="n">
        <f aca="false">IF(J800=1,"",L800-P800)</f>
        <v>5</v>
      </c>
      <c r="R800" s="15" t="n">
        <f aca="false">IF(OR(J800=1,M800&lt;=Inputs!$B$12),1,0)</f>
        <v>1</v>
      </c>
      <c r="S800" s="15" t="n">
        <f aca="false">IF(OR(J800=1,N800&lt;=O800),1,0)</f>
        <v>1</v>
      </c>
      <c r="T800" s="15" t="str">
        <f aca="false">IF(J800=1,"OFFLINE",IF(AND(Q800&gt;=Inputs!$B$15,R800=1,S800=1,P800&lt;=L800),"PASS","FAIL"))</f>
        <v>PASS</v>
      </c>
    </row>
    <row r="801" customFormat="false" ht="15" hidden="false" customHeight="false" outlineLevel="0" collapsed="false">
      <c r="A801" s="14" t="s">
        <v>1026</v>
      </c>
      <c r="B801" s="14" t="s">
        <v>1019</v>
      </c>
      <c r="C801" s="14" t="s">
        <v>178</v>
      </c>
      <c r="D801" s="14" t="s">
        <v>174</v>
      </c>
      <c r="E801" s="14" t="s">
        <v>152</v>
      </c>
      <c r="F801" s="14" t="s">
        <v>175</v>
      </c>
      <c r="G801" s="14" t="n">
        <v>1</v>
      </c>
      <c r="H801" s="14" t="s">
        <v>154</v>
      </c>
      <c r="I801" s="14" t="s">
        <v>811</v>
      </c>
      <c r="J801" s="15" t="n">
        <f aca="false">IF(B801="SITE LOSS",IF(D801=C801,1,0),IF(B801="REGION LOSS",IF(E801=C801,1,0),0))</f>
        <v>0</v>
      </c>
      <c r="K801" s="15" t="n">
        <f aca="false">IF(B801="SITE LOSS",IF(COUNTIFS('Site Dockets'!$B$7:$B$24,C801,'Site Dockets'!$C$7:$C$24,F801)&gt;0,1,0),IF(B801="REGION LOSS",IF(COUNTIFS('Site Dockets'!$E$7:$E$24,C801,'Site Dockets'!$C$7:$C$24,F801)&gt;0,1,0),0))</f>
        <v>1</v>
      </c>
      <c r="L801" s="15" t="n">
        <f aca="false">IF(J801=1,0,Inputs!$B$11)</f>
        <v>100</v>
      </c>
      <c r="M801" s="15" t="n">
        <f aca="false">IF(J801=1,0,Inputs!$B$12)</f>
        <v>75</v>
      </c>
      <c r="N801" s="15" t="n">
        <f aca="false">IF(J801=1,0,IF(OR(AND(OR(B801="SITE LOSS",B801="REGION LOSS"),K801=1),AND(B801="ROLE COMPROMISE",H801=C801)),Inputs!$B$13,Inputs!$B$14))</f>
        <v>20</v>
      </c>
      <c r="O801" s="15" t="n">
        <f aca="false">IF(J801=1,0,Inputs!$B$13)</f>
        <v>20</v>
      </c>
      <c r="P801" s="15" t="n">
        <f aca="false">SUM(M801:N801)</f>
        <v>95</v>
      </c>
      <c r="Q801" s="15" t="n">
        <f aca="false">IF(J801=1,"",L801-P801)</f>
        <v>5</v>
      </c>
      <c r="R801" s="15" t="n">
        <f aca="false">IF(OR(J801=1,M801&lt;=Inputs!$B$12),1,0)</f>
        <v>1</v>
      </c>
      <c r="S801" s="15" t="n">
        <f aca="false">IF(OR(J801=1,N801&lt;=O801),1,0)</f>
        <v>1</v>
      </c>
      <c r="T801" s="15" t="str">
        <f aca="false">IF(J801=1,"OFFLINE",IF(AND(Q801&gt;=Inputs!$B$15,R801=1,S801=1,P801&lt;=L801),"PASS","FAIL"))</f>
        <v>PASS</v>
      </c>
    </row>
    <row r="802" customFormat="false" ht="15" hidden="false" customHeight="false" outlineLevel="0" collapsed="false">
      <c r="A802" s="14" t="s">
        <v>1026</v>
      </c>
      <c r="B802" s="14" t="s">
        <v>1019</v>
      </c>
      <c r="C802" s="14" t="s">
        <v>178</v>
      </c>
      <c r="D802" s="14" t="s">
        <v>174</v>
      </c>
      <c r="E802" s="14" t="s">
        <v>152</v>
      </c>
      <c r="F802" s="14" t="s">
        <v>175</v>
      </c>
      <c r="G802" s="14" t="n">
        <v>1</v>
      </c>
      <c r="H802" s="14" t="s">
        <v>154</v>
      </c>
      <c r="I802" s="14" t="s">
        <v>895</v>
      </c>
      <c r="J802" s="15" t="n">
        <f aca="false">IF(B802="SITE LOSS",IF(D802=C802,1,0),IF(B802="REGION LOSS",IF(E802=C802,1,0),0))</f>
        <v>0</v>
      </c>
      <c r="K802" s="15" t="n">
        <f aca="false">IF(B802="SITE LOSS",IF(COUNTIFS('Site Dockets'!$B$7:$B$24,C802,'Site Dockets'!$C$7:$C$24,F802)&gt;0,1,0),IF(B802="REGION LOSS",IF(COUNTIFS('Site Dockets'!$E$7:$E$24,C802,'Site Dockets'!$C$7:$C$24,F802)&gt;0,1,0),0))</f>
        <v>1</v>
      </c>
      <c r="L802" s="15" t="n">
        <f aca="false">IF(J802=1,0,Inputs!$B$11)</f>
        <v>100</v>
      </c>
      <c r="M802" s="15" t="n">
        <f aca="false">IF(J802=1,0,Inputs!$B$12)</f>
        <v>75</v>
      </c>
      <c r="N802" s="15" t="n">
        <f aca="false">IF(J802=1,0,IF(OR(AND(OR(B802="SITE LOSS",B802="REGION LOSS"),K802=1),AND(B802="ROLE COMPROMISE",H802=C802)),Inputs!$B$13,Inputs!$B$14))</f>
        <v>20</v>
      </c>
      <c r="O802" s="15" t="n">
        <f aca="false">IF(J802=1,0,Inputs!$B$13)</f>
        <v>20</v>
      </c>
      <c r="P802" s="15" t="n">
        <f aca="false">SUM(M802:N802)</f>
        <v>95</v>
      </c>
      <c r="Q802" s="15" t="n">
        <f aca="false">IF(J802=1,"",L802-P802)</f>
        <v>5</v>
      </c>
      <c r="R802" s="15" t="n">
        <f aca="false">IF(OR(J802=1,M802&lt;=Inputs!$B$12),1,0)</f>
        <v>1</v>
      </c>
      <c r="S802" s="15" t="n">
        <f aca="false">IF(OR(J802=1,N802&lt;=O802),1,0)</f>
        <v>1</v>
      </c>
      <c r="T802" s="15" t="str">
        <f aca="false">IF(J802=1,"OFFLINE",IF(AND(Q802&gt;=Inputs!$B$15,R802=1,S802=1,P802&lt;=L802),"PASS","FAIL"))</f>
        <v>PASS</v>
      </c>
    </row>
    <row r="803" customFormat="false" ht="15" hidden="false" customHeight="false" outlineLevel="0" collapsed="false">
      <c r="A803" s="14" t="s">
        <v>1026</v>
      </c>
      <c r="B803" s="14" t="s">
        <v>1019</v>
      </c>
      <c r="C803" s="14" t="s">
        <v>178</v>
      </c>
      <c r="D803" s="14" t="s">
        <v>174</v>
      </c>
      <c r="E803" s="14" t="s">
        <v>152</v>
      </c>
      <c r="F803" s="14" t="s">
        <v>175</v>
      </c>
      <c r="G803" s="14" t="n">
        <v>1</v>
      </c>
      <c r="H803" s="14" t="s">
        <v>154</v>
      </c>
      <c r="I803" s="14" t="s">
        <v>897</v>
      </c>
      <c r="J803" s="15" t="n">
        <f aca="false">IF(B803="SITE LOSS",IF(D803=C803,1,0),IF(B803="REGION LOSS",IF(E803=C803,1,0),0))</f>
        <v>0</v>
      </c>
      <c r="K803" s="15" t="n">
        <f aca="false">IF(B803="SITE LOSS",IF(COUNTIFS('Site Dockets'!$B$7:$B$24,C803,'Site Dockets'!$C$7:$C$24,F803)&gt;0,1,0),IF(B803="REGION LOSS",IF(COUNTIFS('Site Dockets'!$E$7:$E$24,C803,'Site Dockets'!$C$7:$C$24,F803)&gt;0,1,0),0))</f>
        <v>1</v>
      </c>
      <c r="L803" s="15" t="n">
        <f aca="false">IF(J803=1,0,Inputs!$B$11)</f>
        <v>100</v>
      </c>
      <c r="M803" s="15" t="n">
        <f aca="false">IF(J803=1,0,Inputs!$B$12)</f>
        <v>75</v>
      </c>
      <c r="N803" s="15" t="n">
        <f aca="false">IF(J803=1,0,IF(OR(AND(OR(B803="SITE LOSS",B803="REGION LOSS"),K803=1),AND(B803="ROLE COMPROMISE",H803=C803)),Inputs!$B$13,Inputs!$B$14))</f>
        <v>20</v>
      </c>
      <c r="O803" s="15" t="n">
        <f aca="false">IF(J803=1,0,Inputs!$B$13)</f>
        <v>20</v>
      </c>
      <c r="P803" s="15" t="n">
        <f aca="false">SUM(M803:N803)</f>
        <v>95</v>
      </c>
      <c r="Q803" s="15" t="n">
        <f aca="false">IF(J803=1,"",L803-P803)</f>
        <v>5</v>
      </c>
      <c r="R803" s="15" t="n">
        <f aca="false">IF(OR(J803=1,M803&lt;=Inputs!$B$12),1,0)</f>
        <v>1</v>
      </c>
      <c r="S803" s="15" t="n">
        <f aca="false">IF(OR(J803=1,N803&lt;=O803),1,0)</f>
        <v>1</v>
      </c>
      <c r="T803" s="15" t="str">
        <f aca="false">IF(J803=1,"OFFLINE",IF(AND(Q803&gt;=Inputs!$B$15,R803=1,S803=1,P803&lt;=L803),"PASS","FAIL"))</f>
        <v>PASS</v>
      </c>
    </row>
    <row r="804" customFormat="false" ht="15" hidden="false" customHeight="false" outlineLevel="0" collapsed="false">
      <c r="A804" s="14" t="s">
        <v>1026</v>
      </c>
      <c r="B804" s="14" t="s">
        <v>1019</v>
      </c>
      <c r="C804" s="14" t="s">
        <v>178</v>
      </c>
      <c r="D804" s="14" t="s">
        <v>174</v>
      </c>
      <c r="E804" s="14" t="s">
        <v>152</v>
      </c>
      <c r="F804" s="14" t="s">
        <v>175</v>
      </c>
      <c r="G804" s="14" t="n">
        <v>1</v>
      </c>
      <c r="H804" s="14" t="s">
        <v>154</v>
      </c>
      <c r="I804" s="14" t="s">
        <v>899</v>
      </c>
      <c r="J804" s="15" t="n">
        <f aca="false">IF(B804="SITE LOSS",IF(D804=C804,1,0),IF(B804="REGION LOSS",IF(E804=C804,1,0),0))</f>
        <v>0</v>
      </c>
      <c r="K804" s="15" t="n">
        <f aca="false">IF(B804="SITE LOSS",IF(COUNTIFS('Site Dockets'!$B$7:$B$24,C804,'Site Dockets'!$C$7:$C$24,F804)&gt;0,1,0),IF(B804="REGION LOSS",IF(COUNTIFS('Site Dockets'!$E$7:$E$24,C804,'Site Dockets'!$C$7:$C$24,F804)&gt;0,1,0),0))</f>
        <v>1</v>
      </c>
      <c r="L804" s="15" t="n">
        <f aca="false">IF(J804=1,0,Inputs!$B$11)</f>
        <v>100</v>
      </c>
      <c r="M804" s="15" t="n">
        <f aca="false">IF(J804=1,0,Inputs!$B$12)</f>
        <v>75</v>
      </c>
      <c r="N804" s="15" t="n">
        <f aca="false">IF(J804=1,0,IF(OR(AND(OR(B804="SITE LOSS",B804="REGION LOSS"),K804=1),AND(B804="ROLE COMPROMISE",H804=C804)),Inputs!$B$13,Inputs!$B$14))</f>
        <v>20</v>
      </c>
      <c r="O804" s="15" t="n">
        <f aca="false">IF(J804=1,0,Inputs!$B$13)</f>
        <v>20</v>
      </c>
      <c r="P804" s="15" t="n">
        <f aca="false">SUM(M804:N804)</f>
        <v>95</v>
      </c>
      <c r="Q804" s="15" t="n">
        <f aca="false">IF(J804=1,"",L804-P804)</f>
        <v>5</v>
      </c>
      <c r="R804" s="15" t="n">
        <f aca="false">IF(OR(J804=1,M804&lt;=Inputs!$B$12),1,0)</f>
        <v>1</v>
      </c>
      <c r="S804" s="15" t="n">
        <f aca="false">IF(OR(J804=1,N804&lt;=O804),1,0)</f>
        <v>1</v>
      </c>
      <c r="T804" s="15" t="str">
        <f aca="false">IF(J804=1,"OFFLINE",IF(AND(Q804&gt;=Inputs!$B$15,R804=1,S804=1,P804&lt;=L804),"PASS","FAIL"))</f>
        <v>PASS</v>
      </c>
    </row>
    <row r="805" customFormat="false" ht="15" hidden="false" customHeight="false" outlineLevel="0" collapsed="false">
      <c r="A805" s="14" t="s">
        <v>1026</v>
      </c>
      <c r="B805" s="14" t="s">
        <v>1019</v>
      </c>
      <c r="C805" s="14" t="s">
        <v>178</v>
      </c>
      <c r="D805" s="14" t="s">
        <v>178</v>
      </c>
      <c r="E805" s="14" t="s">
        <v>169</v>
      </c>
      <c r="F805" s="14" t="s">
        <v>175</v>
      </c>
      <c r="G805" s="14" t="n">
        <v>2</v>
      </c>
      <c r="H805" s="14" t="s">
        <v>153</v>
      </c>
      <c r="I805" s="14" t="s">
        <v>890</v>
      </c>
      <c r="J805" s="15" t="n">
        <f aca="false">IF(B805="SITE LOSS",IF(D805=C805,1,0),IF(B805="REGION LOSS",IF(E805=C805,1,0),0))</f>
        <v>1</v>
      </c>
      <c r="K805" s="15" t="n">
        <f aca="false">IF(B805="SITE LOSS",IF(COUNTIFS('Site Dockets'!$B$7:$B$24,C805,'Site Dockets'!$C$7:$C$24,F805)&gt;0,1,0),IF(B805="REGION LOSS",IF(COUNTIFS('Site Dockets'!$E$7:$E$24,C805,'Site Dockets'!$C$7:$C$24,F805)&gt;0,1,0),0))</f>
        <v>1</v>
      </c>
      <c r="L805" s="15" t="n">
        <f aca="false">IF(J805=1,0,Inputs!$B$11)</f>
        <v>0</v>
      </c>
      <c r="M805" s="15" t="n">
        <f aca="false">IF(J805=1,0,Inputs!$B$12)</f>
        <v>0</v>
      </c>
      <c r="N805" s="15" t="n">
        <f aca="false">IF(J805=1,0,IF(OR(AND(OR(B805="SITE LOSS",B805="REGION LOSS"),K805=1),AND(B805="ROLE COMPROMISE",H805=C805)),Inputs!$B$13,Inputs!$B$14))</f>
        <v>0</v>
      </c>
      <c r="O805" s="15" t="n">
        <f aca="false">IF(J805=1,0,Inputs!$B$13)</f>
        <v>0</v>
      </c>
      <c r="P805" s="15" t="n">
        <f aca="false">SUM(M805:N805)</f>
        <v>0</v>
      </c>
      <c r="Q805" s="15" t="str">
        <f aca="false">IF(J805=1,"",L805-P805)</f>
        <v/>
      </c>
      <c r="R805" s="15" t="n">
        <f aca="false">IF(OR(J805=1,M805&lt;=Inputs!$B$12),1,0)</f>
        <v>1</v>
      </c>
      <c r="S805" s="15" t="n">
        <f aca="false">IF(OR(J805=1,N805&lt;=O805),1,0)</f>
        <v>1</v>
      </c>
      <c r="T805" s="15" t="str">
        <f aca="false">IF(J805=1,"OFFLINE",IF(AND(Q805&gt;=Inputs!$B$15,R805=1,S805=1,P805&lt;=L805),"PASS","FAIL"))</f>
        <v>OFFLINE</v>
      </c>
    </row>
    <row r="806" customFormat="false" ht="15" hidden="false" customHeight="false" outlineLevel="0" collapsed="false">
      <c r="A806" s="14" t="s">
        <v>1026</v>
      </c>
      <c r="B806" s="14" t="s">
        <v>1019</v>
      </c>
      <c r="C806" s="14" t="s">
        <v>178</v>
      </c>
      <c r="D806" s="14" t="s">
        <v>178</v>
      </c>
      <c r="E806" s="14" t="s">
        <v>169</v>
      </c>
      <c r="F806" s="14" t="s">
        <v>175</v>
      </c>
      <c r="G806" s="14" t="n">
        <v>2</v>
      </c>
      <c r="H806" s="14" t="s">
        <v>153</v>
      </c>
      <c r="I806" s="14" t="s">
        <v>892</v>
      </c>
      <c r="J806" s="15" t="n">
        <f aca="false">IF(B806="SITE LOSS",IF(D806=C806,1,0),IF(B806="REGION LOSS",IF(E806=C806,1,0),0))</f>
        <v>1</v>
      </c>
      <c r="K806" s="15" t="n">
        <f aca="false">IF(B806="SITE LOSS",IF(COUNTIFS('Site Dockets'!$B$7:$B$24,C806,'Site Dockets'!$C$7:$C$24,F806)&gt;0,1,0),IF(B806="REGION LOSS",IF(COUNTIFS('Site Dockets'!$E$7:$E$24,C806,'Site Dockets'!$C$7:$C$24,F806)&gt;0,1,0),0))</f>
        <v>1</v>
      </c>
      <c r="L806" s="15" t="n">
        <f aca="false">IF(J806=1,0,Inputs!$B$11)</f>
        <v>0</v>
      </c>
      <c r="M806" s="15" t="n">
        <f aca="false">IF(J806=1,0,Inputs!$B$12)</f>
        <v>0</v>
      </c>
      <c r="N806" s="15" t="n">
        <f aca="false">IF(J806=1,0,IF(OR(AND(OR(B806="SITE LOSS",B806="REGION LOSS"),K806=1),AND(B806="ROLE COMPROMISE",H806=C806)),Inputs!$B$13,Inputs!$B$14))</f>
        <v>0</v>
      </c>
      <c r="O806" s="15" t="n">
        <f aca="false">IF(J806=1,0,Inputs!$B$13)</f>
        <v>0</v>
      </c>
      <c r="P806" s="15" t="n">
        <f aca="false">SUM(M806:N806)</f>
        <v>0</v>
      </c>
      <c r="Q806" s="15" t="str">
        <f aca="false">IF(J806=1,"",L806-P806)</f>
        <v/>
      </c>
      <c r="R806" s="15" t="n">
        <f aca="false">IF(OR(J806=1,M806&lt;=Inputs!$B$12),1,0)</f>
        <v>1</v>
      </c>
      <c r="S806" s="15" t="n">
        <f aca="false">IF(OR(J806=1,N806&lt;=O806),1,0)</f>
        <v>1</v>
      </c>
      <c r="T806" s="15" t="str">
        <f aca="false">IF(J806=1,"OFFLINE",IF(AND(Q806&gt;=Inputs!$B$15,R806=1,S806=1,P806&lt;=L806),"PASS","FAIL"))</f>
        <v>OFFLINE</v>
      </c>
    </row>
    <row r="807" customFormat="false" ht="15" hidden="false" customHeight="false" outlineLevel="0" collapsed="false">
      <c r="A807" s="14" t="s">
        <v>1026</v>
      </c>
      <c r="B807" s="14" t="s">
        <v>1019</v>
      </c>
      <c r="C807" s="14" t="s">
        <v>178</v>
      </c>
      <c r="D807" s="14" t="s">
        <v>178</v>
      </c>
      <c r="E807" s="14" t="s">
        <v>169</v>
      </c>
      <c r="F807" s="14" t="s">
        <v>175</v>
      </c>
      <c r="G807" s="14" t="n">
        <v>2</v>
      </c>
      <c r="H807" s="14" t="s">
        <v>153</v>
      </c>
      <c r="I807" s="14" t="s">
        <v>811</v>
      </c>
      <c r="J807" s="15" t="n">
        <f aca="false">IF(B807="SITE LOSS",IF(D807=C807,1,0),IF(B807="REGION LOSS",IF(E807=C807,1,0),0))</f>
        <v>1</v>
      </c>
      <c r="K807" s="15" t="n">
        <f aca="false">IF(B807="SITE LOSS",IF(COUNTIFS('Site Dockets'!$B$7:$B$24,C807,'Site Dockets'!$C$7:$C$24,F807)&gt;0,1,0),IF(B807="REGION LOSS",IF(COUNTIFS('Site Dockets'!$E$7:$E$24,C807,'Site Dockets'!$C$7:$C$24,F807)&gt;0,1,0),0))</f>
        <v>1</v>
      </c>
      <c r="L807" s="15" t="n">
        <f aca="false">IF(J807=1,0,Inputs!$B$11)</f>
        <v>0</v>
      </c>
      <c r="M807" s="15" t="n">
        <f aca="false">IF(J807=1,0,Inputs!$B$12)</f>
        <v>0</v>
      </c>
      <c r="N807" s="15" t="n">
        <f aca="false">IF(J807=1,0,IF(OR(AND(OR(B807="SITE LOSS",B807="REGION LOSS"),K807=1),AND(B807="ROLE COMPROMISE",H807=C807)),Inputs!$B$13,Inputs!$B$14))</f>
        <v>0</v>
      </c>
      <c r="O807" s="15" t="n">
        <f aca="false">IF(J807=1,0,Inputs!$B$13)</f>
        <v>0</v>
      </c>
      <c r="P807" s="15" t="n">
        <f aca="false">SUM(M807:N807)</f>
        <v>0</v>
      </c>
      <c r="Q807" s="15" t="str">
        <f aca="false">IF(J807=1,"",L807-P807)</f>
        <v/>
      </c>
      <c r="R807" s="15" t="n">
        <f aca="false">IF(OR(J807=1,M807&lt;=Inputs!$B$12),1,0)</f>
        <v>1</v>
      </c>
      <c r="S807" s="15" t="n">
        <f aca="false">IF(OR(J807=1,N807&lt;=O807),1,0)</f>
        <v>1</v>
      </c>
      <c r="T807" s="15" t="str">
        <f aca="false">IF(J807=1,"OFFLINE",IF(AND(Q807&gt;=Inputs!$B$15,R807=1,S807=1,P807&lt;=L807),"PASS","FAIL"))</f>
        <v>OFFLINE</v>
      </c>
    </row>
    <row r="808" customFormat="false" ht="15" hidden="false" customHeight="false" outlineLevel="0" collapsed="false">
      <c r="A808" s="14" t="s">
        <v>1026</v>
      </c>
      <c r="B808" s="14" t="s">
        <v>1019</v>
      </c>
      <c r="C808" s="14" t="s">
        <v>178</v>
      </c>
      <c r="D808" s="14" t="s">
        <v>178</v>
      </c>
      <c r="E808" s="14" t="s">
        <v>169</v>
      </c>
      <c r="F808" s="14" t="s">
        <v>175</v>
      </c>
      <c r="G808" s="14" t="n">
        <v>2</v>
      </c>
      <c r="H808" s="14" t="s">
        <v>153</v>
      </c>
      <c r="I808" s="14" t="s">
        <v>895</v>
      </c>
      <c r="J808" s="15" t="n">
        <f aca="false">IF(B808="SITE LOSS",IF(D808=C808,1,0),IF(B808="REGION LOSS",IF(E808=C808,1,0),0))</f>
        <v>1</v>
      </c>
      <c r="K808" s="15" t="n">
        <f aca="false">IF(B808="SITE LOSS",IF(COUNTIFS('Site Dockets'!$B$7:$B$24,C808,'Site Dockets'!$C$7:$C$24,F808)&gt;0,1,0),IF(B808="REGION LOSS",IF(COUNTIFS('Site Dockets'!$E$7:$E$24,C808,'Site Dockets'!$C$7:$C$24,F808)&gt;0,1,0),0))</f>
        <v>1</v>
      </c>
      <c r="L808" s="15" t="n">
        <f aca="false">IF(J808=1,0,Inputs!$B$11)</f>
        <v>0</v>
      </c>
      <c r="M808" s="15" t="n">
        <f aca="false">IF(J808=1,0,Inputs!$B$12)</f>
        <v>0</v>
      </c>
      <c r="N808" s="15" t="n">
        <f aca="false">IF(J808=1,0,IF(OR(AND(OR(B808="SITE LOSS",B808="REGION LOSS"),K808=1),AND(B808="ROLE COMPROMISE",H808=C808)),Inputs!$B$13,Inputs!$B$14))</f>
        <v>0</v>
      </c>
      <c r="O808" s="15" t="n">
        <f aca="false">IF(J808=1,0,Inputs!$B$13)</f>
        <v>0</v>
      </c>
      <c r="P808" s="15" t="n">
        <f aca="false">SUM(M808:N808)</f>
        <v>0</v>
      </c>
      <c r="Q808" s="15" t="str">
        <f aca="false">IF(J808=1,"",L808-P808)</f>
        <v/>
      </c>
      <c r="R808" s="15" t="n">
        <f aca="false">IF(OR(J808=1,M808&lt;=Inputs!$B$12),1,0)</f>
        <v>1</v>
      </c>
      <c r="S808" s="15" t="n">
        <f aca="false">IF(OR(J808=1,N808&lt;=O808),1,0)</f>
        <v>1</v>
      </c>
      <c r="T808" s="15" t="str">
        <f aca="false">IF(J808=1,"OFFLINE",IF(AND(Q808&gt;=Inputs!$B$15,R808=1,S808=1,P808&lt;=L808),"PASS","FAIL"))</f>
        <v>OFFLINE</v>
      </c>
    </row>
    <row r="809" customFormat="false" ht="15" hidden="false" customHeight="false" outlineLevel="0" collapsed="false">
      <c r="A809" s="14" t="s">
        <v>1026</v>
      </c>
      <c r="B809" s="14" t="s">
        <v>1019</v>
      </c>
      <c r="C809" s="14" t="s">
        <v>178</v>
      </c>
      <c r="D809" s="14" t="s">
        <v>178</v>
      </c>
      <c r="E809" s="14" t="s">
        <v>169</v>
      </c>
      <c r="F809" s="14" t="s">
        <v>175</v>
      </c>
      <c r="G809" s="14" t="n">
        <v>2</v>
      </c>
      <c r="H809" s="14" t="s">
        <v>153</v>
      </c>
      <c r="I809" s="14" t="s">
        <v>897</v>
      </c>
      <c r="J809" s="15" t="n">
        <f aca="false">IF(B809="SITE LOSS",IF(D809=C809,1,0),IF(B809="REGION LOSS",IF(E809=C809,1,0),0))</f>
        <v>1</v>
      </c>
      <c r="K809" s="15" t="n">
        <f aca="false">IF(B809="SITE LOSS",IF(COUNTIFS('Site Dockets'!$B$7:$B$24,C809,'Site Dockets'!$C$7:$C$24,F809)&gt;0,1,0),IF(B809="REGION LOSS",IF(COUNTIFS('Site Dockets'!$E$7:$E$24,C809,'Site Dockets'!$C$7:$C$24,F809)&gt;0,1,0),0))</f>
        <v>1</v>
      </c>
      <c r="L809" s="15" t="n">
        <f aca="false">IF(J809=1,0,Inputs!$B$11)</f>
        <v>0</v>
      </c>
      <c r="M809" s="15" t="n">
        <f aca="false">IF(J809=1,0,Inputs!$B$12)</f>
        <v>0</v>
      </c>
      <c r="N809" s="15" t="n">
        <f aca="false">IF(J809=1,0,IF(OR(AND(OR(B809="SITE LOSS",B809="REGION LOSS"),K809=1),AND(B809="ROLE COMPROMISE",H809=C809)),Inputs!$B$13,Inputs!$B$14))</f>
        <v>0</v>
      </c>
      <c r="O809" s="15" t="n">
        <f aca="false">IF(J809=1,0,Inputs!$B$13)</f>
        <v>0</v>
      </c>
      <c r="P809" s="15" t="n">
        <f aca="false">SUM(M809:N809)</f>
        <v>0</v>
      </c>
      <c r="Q809" s="15" t="str">
        <f aca="false">IF(J809=1,"",L809-P809)</f>
        <v/>
      </c>
      <c r="R809" s="15" t="n">
        <f aca="false">IF(OR(J809=1,M809&lt;=Inputs!$B$12),1,0)</f>
        <v>1</v>
      </c>
      <c r="S809" s="15" t="n">
        <f aca="false">IF(OR(J809=1,N809&lt;=O809),1,0)</f>
        <v>1</v>
      </c>
      <c r="T809" s="15" t="str">
        <f aca="false">IF(J809=1,"OFFLINE",IF(AND(Q809&gt;=Inputs!$B$15,R809=1,S809=1,P809&lt;=L809),"PASS","FAIL"))</f>
        <v>OFFLINE</v>
      </c>
    </row>
    <row r="810" customFormat="false" ht="15" hidden="false" customHeight="false" outlineLevel="0" collapsed="false">
      <c r="A810" s="14" t="s">
        <v>1026</v>
      </c>
      <c r="B810" s="14" t="s">
        <v>1019</v>
      </c>
      <c r="C810" s="14" t="s">
        <v>178</v>
      </c>
      <c r="D810" s="14" t="s">
        <v>178</v>
      </c>
      <c r="E810" s="14" t="s">
        <v>169</v>
      </c>
      <c r="F810" s="14" t="s">
        <v>175</v>
      </c>
      <c r="G810" s="14" t="n">
        <v>2</v>
      </c>
      <c r="H810" s="14" t="s">
        <v>153</v>
      </c>
      <c r="I810" s="14" t="s">
        <v>899</v>
      </c>
      <c r="J810" s="15" t="n">
        <f aca="false">IF(B810="SITE LOSS",IF(D810=C810,1,0),IF(B810="REGION LOSS",IF(E810=C810,1,0),0))</f>
        <v>1</v>
      </c>
      <c r="K810" s="15" t="n">
        <f aca="false">IF(B810="SITE LOSS",IF(COUNTIFS('Site Dockets'!$B$7:$B$24,C810,'Site Dockets'!$C$7:$C$24,F810)&gt;0,1,0),IF(B810="REGION LOSS",IF(COUNTIFS('Site Dockets'!$E$7:$E$24,C810,'Site Dockets'!$C$7:$C$24,F810)&gt;0,1,0),0))</f>
        <v>1</v>
      </c>
      <c r="L810" s="15" t="n">
        <f aca="false">IF(J810=1,0,Inputs!$B$11)</f>
        <v>0</v>
      </c>
      <c r="M810" s="15" t="n">
        <f aca="false">IF(J810=1,0,Inputs!$B$12)</f>
        <v>0</v>
      </c>
      <c r="N810" s="15" t="n">
        <f aca="false">IF(J810=1,0,IF(OR(AND(OR(B810="SITE LOSS",B810="REGION LOSS"),K810=1),AND(B810="ROLE COMPROMISE",H810=C810)),Inputs!$B$13,Inputs!$B$14))</f>
        <v>0</v>
      </c>
      <c r="O810" s="15" t="n">
        <f aca="false">IF(J810=1,0,Inputs!$B$13)</f>
        <v>0</v>
      </c>
      <c r="P810" s="15" t="n">
        <f aca="false">SUM(M810:N810)</f>
        <v>0</v>
      </c>
      <c r="Q810" s="15" t="str">
        <f aca="false">IF(J810=1,"",L810-P810)</f>
        <v/>
      </c>
      <c r="R810" s="15" t="n">
        <f aca="false">IF(OR(J810=1,M810&lt;=Inputs!$B$12),1,0)</f>
        <v>1</v>
      </c>
      <c r="S810" s="15" t="n">
        <f aca="false">IF(OR(J810=1,N810&lt;=O810),1,0)</f>
        <v>1</v>
      </c>
      <c r="T810" s="15" t="str">
        <f aca="false">IF(J810=1,"OFFLINE",IF(AND(Q810&gt;=Inputs!$B$15,R810=1,S810=1,P810&lt;=L810),"PASS","FAIL"))</f>
        <v>OFFLINE</v>
      </c>
    </row>
    <row r="811" customFormat="false" ht="15" hidden="false" customHeight="false" outlineLevel="0" collapsed="false">
      <c r="A811" s="14" t="s">
        <v>1026</v>
      </c>
      <c r="B811" s="14" t="s">
        <v>1019</v>
      </c>
      <c r="C811" s="14" t="s">
        <v>178</v>
      </c>
      <c r="D811" s="14" t="s">
        <v>180</v>
      </c>
      <c r="E811" s="14" t="s">
        <v>161</v>
      </c>
      <c r="F811" s="14" t="s">
        <v>175</v>
      </c>
      <c r="G811" s="14" t="n">
        <v>3</v>
      </c>
      <c r="H811" s="14" t="s">
        <v>158</v>
      </c>
      <c r="I811" s="14" t="s">
        <v>890</v>
      </c>
      <c r="J811" s="15" t="n">
        <f aca="false">IF(B811="SITE LOSS",IF(D811=C811,1,0),IF(B811="REGION LOSS",IF(E811=C811,1,0),0))</f>
        <v>0</v>
      </c>
      <c r="K811" s="15" t="n">
        <f aca="false">IF(B811="SITE LOSS",IF(COUNTIFS('Site Dockets'!$B$7:$B$24,C811,'Site Dockets'!$C$7:$C$24,F811)&gt;0,1,0),IF(B811="REGION LOSS",IF(COUNTIFS('Site Dockets'!$E$7:$E$24,C811,'Site Dockets'!$C$7:$C$24,F811)&gt;0,1,0),0))</f>
        <v>1</v>
      </c>
      <c r="L811" s="15" t="n">
        <f aca="false">IF(J811=1,0,Inputs!$B$11)</f>
        <v>100</v>
      </c>
      <c r="M811" s="15" t="n">
        <f aca="false">IF(J811=1,0,Inputs!$B$12)</f>
        <v>75</v>
      </c>
      <c r="N811" s="15" t="n">
        <f aca="false">IF(J811=1,0,IF(OR(AND(OR(B811="SITE LOSS",B811="REGION LOSS"),K811=1),AND(B811="ROLE COMPROMISE",H811=C811)),Inputs!$B$13,Inputs!$B$14))</f>
        <v>20</v>
      </c>
      <c r="O811" s="15" t="n">
        <f aca="false">IF(J811=1,0,Inputs!$B$13)</f>
        <v>20</v>
      </c>
      <c r="P811" s="15" t="n">
        <f aca="false">SUM(M811:N811)</f>
        <v>95</v>
      </c>
      <c r="Q811" s="15" t="n">
        <f aca="false">IF(J811=1,"",L811-P811)</f>
        <v>5</v>
      </c>
      <c r="R811" s="15" t="n">
        <f aca="false">IF(OR(J811=1,M811&lt;=Inputs!$B$12),1,0)</f>
        <v>1</v>
      </c>
      <c r="S811" s="15" t="n">
        <f aca="false">IF(OR(J811=1,N811&lt;=O811),1,0)</f>
        <v>1</v>
      </c>
      <c r="T811" s="15" t="str">
        <f aca="false">IF(J811=1,"OFFLINE",IF(AND(Q811&gt;=Inputs!$B$15,R811=1,S811=1,P811&lt;=L811),"PASS","FAIL"))</f>
        <v>PASS</v>
      </c>
    </row>
    <row r="812" customFormat="false" ht="15" hidden="false" customHeight="false" outlineLevel="0" collapsed="false">
      <c r="A812" s="14" t="s">
        <v>1026</v>
      </c>
      <c r="B812" s="14" t="s">
        <v>1019</v>
      </c>
      <c r="C812" s="14" t="s">
        <v>178</v>
      </c>
      <c r="D812" s="14" t="s">
        <v>180</v>
      </c>
      <c r="E812" s="14" t="s">
        <v>161</v>
      </c>
      <c r="F812" s="14" t="s">
        <v>175</v>
      </c>
      <c r="G812" s="14" t="n">
        <v>3</v>
      </c>
      <c r="H812" s="14" t="s">
        <v>158</v>
      </c>
      <c r="I812" s="14" t="s">
        <v>892</v>
      </c>
      <c r="J812" s="15" t="n">
        <f aca="false">IF(B812="SITE LOSS",IF(D812=C812,1,0),IF(B812="REGION LOSS",IF(E812=C812,1,0),0))</f>
        <v>0</v>
      </c>
      <c r="K812" s="15" t="n">
        <f aca="false">IF(B812="SITE LOSS",IF(COUNTIFS('Site Dockets'!$B$7:$B$24,C812,'Site Dockets'!$C$7:$C$24,F812)&gt;0,1,0),IF(B812="REGION LOSS",IF(COUNTIFS('Site Dockets'!$E$7:$E$24,C812,'Site Dockets'!$C$7:$C$24,F812)&gt;0,1,0),0))</f>
        <v>1</v>
      </c>
      <c r="L812" s="15" t="n">
        <f aca="false">IF(J812=1,0,Inputs!$B$11)</f>
        <v>100</v>
      </c>
      <c r="M812" s="15" t="n">
        <f aca="false">IF(J812=1,0,Inputs!$B$12)</f>
        <v>75</v>
      </c>
      <c r="N812" s="15" t="n">
        <f aca="false">IF(J812=1,0,IF(OR(AND(OR(B812="SITE LOSS",B812="REGION LOSS"),K812=1),AND(B812="ROLE COMPROMISE",H812=C812)),Inputs!$B$13,Inputs!$B$14))</f>
        <v>20</v>
      </c>
      <c r="O812" s="15" t="n">
        <f aca="false">IF(J812=1,0,Inputs!$B$13)</f>
        <v>20</v>
      </c>
      <c r="P812" s="15" t="n">
        <f aca="false">SUM(M812:N812)</f>
        <v>95</v>
      </c>
      <c r="Q812" s="15" t="n">
        <f aca="false">IF(J812=1,"",L812-P812)</f>
        <v>5</v>
      </c>
      <c r="R812" s="15" t="n">
        <f aca="false">IF(OR(J812=1,M812&lt;=Inputs!$B$12),1,0)</f>
        <v>1</v>
      </c>
      <c r="S812" s="15" t="n">
        <f aca="false">IF(OR(J812=1,N812&lt;=O812),1,0)</f>
        <v>1</v>
      </c>
      <c r="T812" s="15" t="str">
        <f aca="false">IF(J812=1,"OFFLINE",IF(AND(Q812&gt;=Inputs!$B$15,R812=1,S812=1,P812&lt;=L812),"PASS","FAIL"))</f>
        <v>PASS</v>
      </c>
    </row>
    <row r="813" customFormat="false" ht="15" hidden="false" customHeight="false" outlineLevel="0" collapsed="false">
      <c r="A813" s="14" t="s">
        <v>1026</v>
      </c>
      <c r="B813" s="14" t="s">
        <v>1019</v>
      </c>
      <c r="C813" s="14" t="s">
        <v>178</v>
      </c>
      <c r="D813" s="14" t="s">
        <v>180</v>
      </c>
      <c r="E813" s="14" t="s">
        <v>161</v>
      </c>
      <c r="F813" s="14" t="s">
        <v>175</v>
      </c>
      <c r="G813" s="14" t="n">
        <v>3</v>
      </c>
      <c r="H813" s="14" t="s">
        <v>158</v>
      </c>
      <c r="I813" s="14" t="s">
        <v>811</v>
      </c>
      <c r="J813" s="15" t="n">
        <f aca="false">IF(B813="SITE LOSS",IF(D813=C813,1,0),IF(B813="REGION LOSS",IF(E813=C813,1,0),0))</f>
        <v>0</v>
      </c>
      <c r="K813" s="15" t="n">
        <f aca="false">IF(B813="SITE LOSS",IF(COUNTIFS('Site Dockets'!$B$7:$B$24,C813,'Site Dockets'!$C$7:$C$24,F813)&gt;0,1,0),IF(B813="REGION LOSS",IF(COUNTIFS('Site Dockets'!$E$7:$E$24,C813,'Site Dockets'!$C$7:$C$24,F813)&gt;0,1,0),0))</f>
        <v>1</v>
      </c>
      <c r="L813" s="15" t="n">
        <f aca="false">IF(J813=1,0,Inputs!$B$11)</f>
        <v>100</v>
      </c>
      <c r="M813" s="15" t="n">
        <f aca="false">IF(J813=1,0,Inputs!$B$12)</f>
        <v>75</v>
      </c>
      <c r="N813" s="15" t="n">
        <f aca="false">IF(J813=1,0,IF(OR(AND(OR(B813="SITE LOSS",B813="REGION LOSS"),K813=1),AND(B813="ROLE COMPROMISE",H813=C813)),Inputs!$B$13,Inputs!$B$14))</f>
        <v>20</v>
      </c>
      <c r="O813" s="15" t="n">
        <f aca="false">IF(J813=1,0,Inputs!$B$13)</f>
        <v>20</v>
      </c>
      <c r="P813" s="15" t="n">
        <f aca="false">SUM(M813:N813)</f>
        <v>95</v>
      </c>
      <c r="Q813" s="15" t="n">
        <f aca="false">IF(J813=1,"",L813-P813)</f>
        <v>5</v>
      </c>
      <c r="R813" s="15" t="n">
        <f aca="false">IF(OR(J813=1,M813&lt;=Inputs!$B$12),1,0)</f>
        <v>1</v>
      </c>
      <c r="S813" s="15" t="n">
        <f aca="false">IF(OR(J813=1,N813&lt;=O813),1,0)</f>
        <v>1</v>
      </c>
      <c r="T813" s="15" t="str">
        <f aca="false">IF(J813=1,"OFFLINE",IF(AND(Q813&gt;=Inputs!$B$15,R813=1,S813=1,P813&lt;=L813),"PASS","FAIL"))</f>
        <v>PASS</v>
      </c>
    </row>
    <row r="814" customFormat="false" ht="15" hidden="false" customHeight="false" outlineLevel="0" collapsed="false">
      <c r="A814" s="14" t="s">
        <v>1026</v>
      </c>
      <c r="B814" s="14" t="s">
        <v>1019</v>
      </c>
      <c r="C814" s="14" t="s">
        <v>178</v>
      </c>
      <c r="D814" s="14" t="s">
        <v>180</v>
      </c>
      <c r="E814" s="14" t="s">
        <v>161</v>
      </c>
      <c r="F814" s="14" t="s">
        <v>175</v>
      </c>
      <c r="G814" s="14" t="n">
        <v>3</v>
      </c>
      <c r="H814" s="14" t="s">
        <v>158</v>
      </c>
      <c r="I814" s="14" t="s">
        <v>895</v>
      </c>
      <c r="J814" s="15" t="n">
        <f aca="false">IF(B814="SITE LOSS",IF(D814=C814,1,0),IF(B814="REGION LOSS",IF(E814=C814,1,0),0))</f>
        <v>0</v>
      </c>
      <c r="K814" s="15" t="n">
        <f aca="false">IF(B814="SITE LOSS",IF(COUNTIFS('Site Dockets'!$B$7:$B$24,C814,'Site Dockets'!$C$7:$C$24,F814)&gt;0,1,0),IF(B814="REGION LOSS",IF(COUNTIFS('Site Dockets'!$E$7:$E$24,C814,'Site Dockets'!$C$7:$C$24,F814)&gt;0,1,0),0))</f>
        <v>1</v>
      </c>
      <c r="L814" s="15" t="n">
        <f aca="false">IF(J814=1,0,Inputs!$B$11)</f>
        <v>100</v>
      </c>
      <c r="M814" s="15" t="n">
        <f aca="false">IF(J814=1,0,Inputs!$B$12)</f>
        <v>75</v>
      </c>
      <c r="N814" s="15" t="n">
        <f aca="false">IF(J814=1,0,IF(OR(AND(OR(B814="SITE LOSS",B814="REGION LOSS"),K814=1),AND(B814="ROLE COMPROMISE",H814=C814)),Inputs!$B$13,Inputs!$B$14))</f>
        <v>20</v>
      </c>
      <c r="O814" s="15" t="n">
        <f aca="false">IF(J814=1,0,Inputs!$B$13)</f>
        <v>20</v>
      </c>
      <c r="P814" s="15" t="n">
        <f aca="false">SUM(M814:N814)</f>
        <v>95</v>
      </c>
      <c r="Q814" s="15" t="n">
        <f aca="false">IF(J814=1,"",L814-P814)</f>
        <v>5</v>
      </c>
      <c r="R814" s="15" t="n">
        <f aca="false">IF(OR(J814=1,M814&lt;=Inputs!$B$12),1,0)</f>
        <v>1</v>
      </c>
      <c r="S814" s="15" t="n">
        <f aca="false">IF(OR(J814=1,N814&lt;=O814),1,0)</f>
        <v>1</v>
      </c>
      <c r="T814" s="15" t="str">
        <f aca="false">IF(J814=1,"OFFLINE",IF(AND(Q814&gt;=Inputs!$B$15,R814=1,S814=1,P814&lt;=L814),"PASS","FAIL"))</f>
        <v>PASS</v>
      </c>
    </row>
    <row r="815" customFormat="false" ht="15" hidden="false" customHeight="false" outlineLevel="0" collapsed="false">
      <c r="A815" s="14" t="s">
        <v>1026</v>
      </c>
      <c r="B815" s="14" t="s">
        <v>1019</v>
      </c>
      <c r="C815" s="14" t="s">
        <v>178</v>
      </c>
      <c r="D815" s="14" t="s">
        <v>180</v>
      </c>
      <c r="E815" s="14" t="s">
        <v>161</v>
      </c>
      <c r="F815" s="14" t="s">
        <v>175</v>
      </c>
      <c r="G815" s="14" t="n">
        <v>3</v>
      </c>
      <c r="H815" s="14" t="s">
        <v>158</v>
      </c>
      <c r="I815" s="14" t="s">
        <v>897</v>
      </c>
      <c r="J815" s="15" t="n">
        <f aca="false">IF(B815="SITE LOSS",IF(D815=C815,1,0),IF(B815="REGION LOSS",IF(E815=C815,1,0),0))</f>
        <v>0</v>
      </c>
      <c r="K815" s="15" t="n">
        <f aca="false">IF(B815="SITE LOSS",IF(COUNTIFS('Site Dockets'!$B$7:$B$24,C815,'Site Dockets'!$C$7:$C$24,F815)&gt;0,1,0),IF(B815="REGION LOSS",IF(COUNTIFS('Site Dockets'!$E$7:$E$24,C815,'Site Dockets'!$C$7:$C$24,F815)&gt;0,1,0),0))</f>
        <v>1</v>
      </c>
      <c r="L815" s="15" t="n">
        <f aca="false">IF(J815=1,0,Inputs!$B$11)</f>
        <v>100</v>
      </c>
      <c r="M815" s="15" t="n">
        <f aca="false">IF(J815=1,0,Inputs!$B$12)</f>
        <v>75</v>
      </c>
      <c r="N815" s="15" t="n">
        <f aca="false">IF(J815=1,0,IF(OR(AND(OR(B815="SITE LOSS",B815="REGION LOSS"),K815=1),AND(B815="ROLE COMPROMISE",H815=C815)),Inputs!$B$13,Inputs!$B$14))</f>
        <v>20</v>
      </c>
      <c r="O815" s="15" t="n">
        <f aca="false">IF(J815=1,0,Inputs!$B$13)</f>
        <v>20</v>
      </c>
      <c r="P815" s="15" t="n">
        <f aca="false">SUM(M815:N815)</f>
        <v>95</v>
      </c>
      <c r="Q815" s="15" t="n">
        <f aca="false">IF(J815=1,"",L815-P815)</f>
        <v>5</v>
      </c>
      <c r="R815" s="15" t="n">
        <f aca="false">IF(OR(J815=1,M815&lt;=Inputs!$B$12),1,0)</f>
        <v>1</v>
      </c>
      <c r="S815" s="15" t="n">
        <f aca="false">IF(OR(J815=1,N815&lt;=O815),1,0)</f>
        <v>1</v>
      </c>
      <c r="T815" s="15" t="str">
        <f aca="false">IF(J815=1,"OFFLINE",IF(AND(Q815&gt;=Inputs!$B$15,R815=1,S815=1,P815&lt;=L815),"PASS","FAIL"))</f>
        <v>PASS</v>
      </c>
    </row>
    <row r="816" customFormat="false" ht="15" hidden="false" customHeight="false" outlineLevel="0" collapsed="false">
      <c r="A816" s="14" t="s">
        <v>1026</v>
      </c>
      <c r="B816" s="14" t="s">
        <v>1019</v>
      </c>
      <c r="C816" s="14" t="s">
        <v>178</v>
      </c>
      <c r="D816" s="14" t="s">
        <v>180</v>
      </c>
      <c r="E816" s="14" t="s">
        <v>161</v>
      </c>
      <c r="F816" s="14" t="s">
        <v>175</v>
      </c>
      <c r="G816" s="14" t="n">
        <v>3</v>
      </c>
      <c r="H816" s="14" t="s">
        <v>158</v>
      </c>
      <c r="I816" s="14" t="s">
        <v>899</v>
      </c>
      <c r="J816" s="15" t="n">
        <f aca="false">IF(B816="SITE LOSS",IF(D816=C816,1,0),IF(B816="REGION LOSS",IF(E816=C816,1,0),0))</f>
        <v>0</v>
      </c>
      <c r="K816" s="15" t="n">
        <f aca="false">IF(B816="SITE LOSS",IF(COUNTIFS('Site Dockets'!$B$7:$B$24,C816,'Site Dockets'!$C$7:$C$24,F816)&gt;0,1,0),IF(B816="REGION LOSS",IF(COUNTIFS('Site Dockets'!$E$7:$E$24,C816,'Site Dockets'!$C$7:$C$24,F816)&gt;0,1,0),0))</f>
        <v>1</v>
      </c>
      <c r="L816" s="15" t="n">
        <f aca="false">IF(J816=1,0,Inputs!$B$11)</f>
        <v>100</v>
      </c>
      <c r="M816" s="15" t="n">
        <f aca="false">IF(J816=1,0,Inputs!$B$12)</f>
        <v>75</v>
      </c>
      <c r="N816" s="15" t="n">
        <f aca="false">IF(J816=1,0,IF(OR(AND(OR(B816="SITE LOSS",B816="REGION LOSS"),K816=1),AND(B816="ROLE COMPROMISE",H816=C816)),Inputs!$B$13,Inputs!$B$14))</f>
        <v>20</v>
      </c>
      <c r="O816" s="15" t="n">
        <f aca="false">IF(J816=1,0,Inputs!$B$13)</f>
        <v>20</v>
      </c>
      <c r="P816" s="15" t="n">
        <f aca="false">SUM(M816:N816)</f>
        <v>95</v>
      </c>
      <c r="Q816" s="15" t="n">
        <f aca="false">IF(J816=1,"",L816-P816)</f>
        <v>5</v>
      </c>
      <c r="R816" s="15" t="n">
        <f aca="false">IF(OR(J816=1,M816&lt;=Inputs!$B$12),1,0)</f>
        <v>1</v>
      </c>
      <c r="S816" s="15" t="n">
        <f aca="false">IF(OR(J816=1,N816&lt;=O816),1,0)</f>
        <v>1</v>
      </c>
      <c r="T816" s="15" t="str">
        <f aca="false">IF(J816=1,"OFFLINE",IF(AND(Q816&gt;=Inputs!$B$15,R816=1,S816=1,P816&lt;=L816),"PASS","FAIL"))</f>
        <v>PASS</v>
      </c>
    </row>
    <row r="817" customFormat="false" ht="15" hidden="false" customHeight="false" outlineLevel="0" collapsed="false">
      <c r="A817" s="14" t="s">
        <v>1026</v>
      </c>
      <c r="B817" s="14" t="s">
        <v>1019</v>
      </c>
      <c r="C817" s="14" t="s">
        <v>178</v>
      </c>
      <c r="D817" s="14" t="s">
        <v>182</v>
      </c>
      <c r="E817" s="14" t="s">
        <v>166</v>
      </c>
      <c r="F817" s="14" t="s">
        <v>183</v>
      </c>
      <c r="G817" s="14" t="n">
        <v>1</v>
      </c>
      <c r="H817" s="14" t="s">
        <v>154</v>
      </c>
      <c r="I817" s="14" t="s">
        <v>890</v>
      </c>
      <c r="J817" s="15" t="n">
        <f aca="false">IF(B817="SITE LOSS",IF(D817=C817,1,0),IF(B817="REGION LOSS",IF(E817=C817,1,0),0))</f>
        <v>0</v>
      </c>
      <c r="K817" s="15" t="n">
        <f aca="false">IF(B817="SITE LOSS",IF(COUNTIFS('Site Dockets'!$B$7:$B$24,C817,'Site Dockets'!$C$7:$C$24,F817)&gt;0,1,0),IF(B817="REGION LOSS",IF(COUNTIFS('Site Dockets'!$E$7:$E$24,C817,'Site Dockets'!$C$7:$C$24,F817)&gt;0,1,0),0))</f>
        <v>0</v>
      </c>
      <c r="L817" s="15" t="n">
        <f aca="false">IF(J817=1,0,Inputs!$B$11)</f>
        <v>100</v>
      </c>
      <c r="M817" s="15" t="n">
        <f aca="false">IF(J817=1,0,Inputs!$B$12)</f>
        <v>75</v>
      </c>
      <c r="N817" s="15" t="n">
        <f aca="false">IF(J817=1,0,IF(OR(AND(OR(B817="SITE LOSS",B817="REGION LOSS"),K817=1),AND(B817="ROLE COMPROMISE",H817=C817)),Inputs!$B$13,Inputs!$B$14))</f>
        <v>10</v>
      </c>
      <c r="O817" s="15" t="n">
        <f aca="false">IF(J817=1,0,Inputs!$B$13)</f>
        <v>20</v>
      </c>
      <c r="P817" s="15" t="n">
        <f aca="false">SUM(M817:N817)</f>
        <v>85</v>
      </c>
      <c r="Q817" s="15" t="n">
        <f aca="false">IF(J817=1,"",L817-P817)</f>
        <v>15</v>
      </c>
      <c r="R817" s="15" t="n">
        <f aca="false">IF(OR(J817=1,M817&lt;=Inputs!$B$12),1,0)</f>
        <v>1</v>
      </c>
      <c r="S817" s="15" t="n">
        <f aca="false">IF(OR(J817=1,N817&lt;=O817),1,0)</f>
        <v>1</v>
      </c>
      <c r="T817" s="15" t="str">
        <f aca="false">IF(J817=1,"OFFLINE",IF(AND(Q817&gt;=Inputs!$B$15,R817=1,S817=1,P817&lt;=L817),"PASS","FAIL"))</f>
        <v>PASS</v>
      </c>
    </row>
    <row r="818" customFormat="false" ht="15" hidden="false" customHeight="false" outlineLevel="0" collapsed="false">
      <c r="A818" s="14" t="s">
        <v>1026</v>
      </c>
      <c r="B818" s="14" t="s">
        <v>1019</v>
      </c>
      <c r="C818" s="14" t="s">
        <v>178</v>
      </c>
      <c r="D818" s="14" t="s">
        <v>182</v>
      </c>
      <c r="E818" s="14" t="s">
        <v>166</v>
      </c>
      <c r="F818" s="14" t="s">
        <v>183</v>
      </c>
      <c r="G818" s="14" t="n">
        <v>1</v>
      </c>
      <c r="H818" s="14" t="s">
        <v>154</v>
      </c>
      <c r="I818" s="14" t="s">
        <v>892</v>
      </c>
      <c r="J818" s="15" t="n">
        <f aca="false">IF(B818="SITE LOSS",IF(D818=C818,1,0),IF(B818="REGION LOSS",IF(E818=C818,1,0),0))</f>
        <v>0</v>
      </c>
      <c r="K818" s="15" t="n">
        <f aca="false">IF(B818="SITE LOSS",IF(COUNTIFS('Site Dockets'!$B$7:$B$24,C818,'Site Dockets'!$C$7:$C$24,F818)&gt;0,1,0),IF(B818="REGION LOSS",IF(COUNTIFS('Site Dockets'!$E$7:$E$24,C818,'Site Dockets'!$C$7:$C$24,F818)&gt;0,1,0),0))</f>
        <v>0</v>
      </c>
      <c r="L818" s="15" t="n">
        <f aca="false">IF(J818=1,0,Inputs!$B$11)</f>
        <v>100</v>
      </c>
      <c r="M818" s="15" t="n">
        <f aca="false">IF(J818=1,0,Inputs!$B$12)</f>
        <v>75</v>
      </c>
      <c r="N818" s="15" t="n">
        <f aca="false">IF(J818=1,0,IF(OR(AND(OR(B818="SITE LOSS",B818="REGION LOSS"),K818=1),AND(B818="ROLE COMPROMISE",H818=C818)),Inputs!$B$13,Inputs!$B$14))</f>
        <v>10</v>
      </c>
      <c r="O818" s="15" t="n">
        <f aca="false">IF(J818=1,0,Inputs!$B$13)</f>
        <v>20</v>
      </c>
      <c r="P818" s="15" t="n">
        <f aca="false">SUM(M818:N818)</f>
        <v>85</v>
      </c>
      <c r="Q818" s="15" t="n">
        <f aca="false">IF(J818=1,"",L818-P818)</f>
        <v>15</v>
      </c>
      <c r="R818" s="15" t="n">
        <f aca="false">IF(OR(J818=1,M818&lt;=Inputs!$B$12),1,0)</f>
        <v>1</v>
      </c>
      <c r="S818" s="15" t="n">
        <f aca="false">IF(OR(J818=1,N818&lt;=O818),1,0)</f>
        <v>1</v>
      </c>
      <c r="T818" s="15" t="str">
        <f aca="false">IF(J818=1,"OFFLINE",IF(AND(Q818&gt;=Inputs!$B$15,R818=1,S818=1,P818&lt;=L818),"PASS","FAIL"))</f>
        <v>PASS</v>
      </c>
    </row>
    <row r="819" customFormat="false" ht="15" hidden="false" customHeight="false" outlineLevel="0" collapsed="false">
      <c r="A819" s="14" t="s">
        <v>1026</v>
      </c>
      <c r="B819" s="14" t="s">
        <v>1019</v>
      </c>
      <c r="C819" s="14" t="s">
        <v>178</v>
      </c>
      <c r="D819" s="14" t="s">
        <v>182</v>
      </c>
      <c r="E819" s="14" t="s">
        <v>166</v>
      </c>
      <c r="F819" s="14" t="s">
        <v>183</v>
      </c>
      <c r="G819" s="14" t="n">
        <v>1</v>
      </c>
      <c r="H819" s="14" t="s">
        <v>154</v>
      </c>
      <c r="I819" s="14" t="s">
        <v>811</v>
      </c>
      <c r="J819" s="15" t="n">
        <f aca="false">IF(B819="SITE LOSS",IF(D819=C819,1,0),IF(B819="REGION LOSS",IF(E819=C819,1,0),0))</f>
        <v>0</v>
      </c>
      <c r="K819" s="15" t="n">
        <f aca="false">IF(B819="SITE LOSS",IF(COUNTIFS('Site Dockets'!$B$7:$B$24,C819,'Site Dockets'!$C$7:$C$24,F819)&gt;0,1,0),IF(B819="REGION LOSS",IF(COUNTIFS('Site Dockets'!$E$7:$E$24,C819,'Site Dockets'!$C$7:$C$24,F819)&gt;0,1,0),0))</f>
        <v>0</v>
      </c>
      <c r="L819" s="15" t="n">
        <f aca="false">IF(J819=1,0,Inputs!$B$11)</f>
        <v>100</v>
      </c>
      <c r="M819" s="15" t="n">
        <f aca="false">IF(J819=1,0,Inputs!$B$12)</f>
        <v>75</v>
      </c>
      <c r="N819" s="15" t="n">
        <f aca="false">IF(J819=1,0,IF(OR(AND(OR(B819="SITE LOSS",B819="REGION LOSS"),K819=1),AND(B819="ROLE COMPROMISE",H819=C819)),Inputs!$B$13,Inputs!$B$14))</f>
        <v>10</v>
      </c>
      <c r="O819" s="15" t="n">
        <f aca="false">IF(J819=1,0,Inputs!$B$13)</f>
        <v>20</v>
      </c>
      <c r="P819" s="15" t="n">
        <f aca="false">SUM(M819:N819)</f>
        <v>85</v>
      </c>
      <c r="Q819" s="15" t="n">
        <f aca="false">IF(J819=1,"",L819-P819)</f>
        <v>15</v>
      </c>
      <c r="R819" s="15" t="n">
        <f aca="false">IF(OR(J819=1,M819&lt;=Inputs!$B$12),1,0)</f>
        <v>1</v>
      </c>
      <c r="S819" s="15" t="n">
        <f aca="false">IF(OR(J819=1,N819&lt;=O819),1,0)</f>
        <v>1</v>
      </c>
      <c r="T819" s="15" t="str">
        <f aca="false">IF(J819=1,"OFFLINE",IF(AND(Q819&gt;=Inputs!$B$15,R819=1,S819=1,P819&lt;=L819),"PASS","FAIL"))</f>
        <v>PASS</v>
      </c>
    </row>
    <row r="820" customFormat="false" ht="15" hidden="false" customHeight="false" outlineLevel="0" collapsed="false">
      <c r="A820" s="14" t="s">
        <v>1026</v>
      </c>
      <c r="B820" s="14" t="s">
        <v>1019</v>
      </c>
      <c r="C820" s="14" t="s">
        <v>178</v>
      </c>
      <c r="D820" s="14" t="s">
        <v>182</v>
      </c>
      <c r="E820" s="14" t="s">
        <v>166</v>
      </c>
      <c r="F820" s="14" t="s">
        <v>183</v>
      </c>
      <c r="G820" s="14" t="n">
        <v>1</v>
      </c>
      <c r="H820" s="14" t="s">
        <v>154</v>
      </c>
      <c r="I820" s="14" t="s">
        <v>895</v>
      </c>
      <c r="J820" s="15" t="n">
        <f aca="false">IF(B820="SITE LOSS",IF(D820=C820,1,0),IF(B820="REGION LOSS",IF(E820=C820,1,0),0))</f>
        <v>0</v>
      </c>
      <c r="K820" s="15" t="n">
        <f aca="false">IF(B820="SITE LOSS",IF(COUNTIFS('Site Dockets'!$B$7:$B$24,C820,'Site Dockets'!$C$7:$C$24,F820)&gt;0,1,0),IF(B820="REGION LOSS",IF(COUNTIFS('Site Dockets'!$E$7:$E$24,C820,'Site Dockets'!$C$7:$C$24,F820)&gt;0,1,0),0))</f>
        <v>0</v>
      </c>
      <c r="L820" s="15" t="n">
        <f aca="false">IF(J820=1,0,Inputs!$B$11)</f>
        <v>100</v>
      </c>
      <c r="M820" s="15" t="n">
        <f aca="false">IF(J820=1,0,Inputs!$B$12)</f>
        <v>75</v>
      </c>
      <c r="N820" s="15" t="n">
        <f aca="false">IF(J820=1,0,IF(OR(AND(OR(B820="SITE LOSS",B820="REGION LOSS"),K820=1),AND(B820="ROLE COMPROMISE",H820=C820)),Inputs!$B$13,Inputs!$B$14))</f>
        <v>10</v>
      </c>
      <c r="O820" s="15" t="n">
        <f aca="false">IF(J820=1,0,Inputs!$B$13)</f>
        <v>20</v>
      </c>
      <c r="P820" s="15" t="n">
        <f aca="false">SUM(M820:N820)</f>
        <v>85</v>
      </c>
      <c r="Q820" s="15" t="n">
        <f aca="false">IF(J820=1,"",L820-P820)</f>
        <v>15</v>
      </c>
      <c r="R820" s="15" t="n">
        <f aca="false">IF(OR(J820=1,M820&lt;=Inputs!$B$12),1,0)</f>
        <v>1</v>
      </c>
      <c r="S820" s="15" t="n">
        <f aca="false">IF(OR(J820=1,N820&lt;=O820),1,0)</f>
        <v>1</v>
      </c>
      <c r="T820" s="15" t="str">
        <f aca="false">IF(J820=1,"OFFLINE",IF(AND(Q820&gt;=Inputs!$B$15,R820=1,S820=1,P820&lt;=L820),"PASS","FAIL"))</f>
        <v>PASS</v>
      </c>
    </row>
    <row r="821" customFormat="false" ht="15" hidden="false" customHeight="false" outlineLevel="0" collapsed="false">
      <c r="A821" s="14" t="s">
        <v>1026</v>
      </c>
      <c r="B821" s="14" t="s">
        <v>1019</v>
      </c>
      <c r="C821" s="14" t="s">
        <v>178</v>
      </c>
      <c r="D821" s="14" t="s">
        <v>182</v>
      </c>
      <c r="E821" s="14" t="s">
        <v>166</v>
      </c>
      <c r="F821" s="14" t="s">
        <v>183</v>
      </c>
      <c r="G821" s="14" t="n">
        <v>1</v>
      </c>
      <c r="H821" s="14" t="s">
        <v>154</v>
      </c>
      <c r="I821" s="14" t="s">
        <v>897</v>
      </c>
      <c r="J821" s="15" t="n">
        <f aca="false">IF(B821="SITE LOSS",IF(D821=C821,1,0),IF(B821="REGION LOSS",IF(E821=C821,1,0),0))</f>
        <v>0</v>
      </c>
      <c r="K821" s="15" t="n">
        <f aca="false">IF(B821="SITE LOSS",IF(COUNTIFS('Site Dockets'!$B$7:$B$24,C821,'Site Dockets'!$C$7:$C$24,F821)&gt;0,1,0),IF(B821="REGION LOSS",IF(COUNTIFS('Site Dockets'!$E$7:$E$24,C821,'Site Dockets'!$C$7:$C$24,F821)&gt;0,1,0),0))</f>
        <v>0</v>
      </c>
      <c r="L821" s="15" t="n">
        <f aca="false">IF(J821=1,0,Inputs!$B$11)</f>
        <v>100</v>
      </c>
      <c r="M821" s="15" t="n">
        <f aca="false">IF(J821=1,0,Inputs!$B$12)</f>
        <v>75</v>
      </c>
      <c r="N821" s="15" t="n">
        <f aca="false">IF(J821=1,0,IF(OR(AND(OR(B821="SITE LOSS",B821="REGION LOSS"),K821=1),AND(B821="ROLE COMPROMISE",H821=C821)),Inputs!$B$13,Inputs!$B$14))</f>
        <v>10</v>
      </c>
      <c r="O821" s="15" t="n">
        <f aca="false">IF(J821=1,0,Inputs!$B$13)</f>
        <v>20</v>
      </c>
      <c r="P821" s="15" t="n">
        <f aca="false">SUM(M821:N821)</f>
        <v>85</v>
      </c>
      <c r="Q821" s="15" t="n">
        <f aca="false">IF(J821=1,"",L821-P821)</f>
        <v>15</v>
      </c>
      <c r="R821" s="15" t="n">
        <f aca="false">IF(OR(J821=1,M821&lt;=Inputs!$B$12),1,0)</f>
        <v>1</v>
      </c>
      <c r="S821" s="15" t="n">
        <f aca="false">IF(OR(J821=1,N821&lt;=O821),1,0)</f>
        <v>1</v>
      </c>
      <c r="T821" s="15" t="str">
        <f aca="false">IF(J821=1,"OFFLINE",IF(AND(Q821&gt;=Inputs!$B$15,R821=1,S821=1,P821&lt;=L821),"PASS","FAIL"))</f>
        <v>PASS</v>
      </c>
    </row>
    <row r="822" customFormat="false" ht="15" hidden="false" customHeight="false" outlineLevel="0" collapsed="false">
      <c r="A822" s="14" t="s">
        <v>1026</v>
      </c>
      <c r="B822" s="14" t="s">
        <v>1019</v>
      </c>
      <c r="C822" s="14" t="s">
        <v>178</v>
      </c>
      <c r="D822" s="14" t="s">
        <v>182</v>
      </c>
      <c r="E822" s="14" t="s">
        <v>166</v>
      </c>
      <c r="F822" s="14" t="s">
        <v>183</v>
      </c>
      <c r="G822" s="14" t="n">
        <v>1</v>
      </c>
      <c r="H822" s="14" t="s">
        <v>154</v>
      </c>
      <c r="I822" s="14" t="s">
        <v>899</v>
      </c>
      <c r="J822" s="15" t="n">
        <f aca="false">IF(B822="SITE LOSS",IF(D822=C822,1,0),IF(B822="REGION LOSS",IF(E822=C822,1,0),0))</f>
        <v>0</v>
      </c>
      <c r="K822" s="15" t="n">
        <f aca="false">IF(B822="SITE LOSS",IF(COUNTIFS('Site Dockets'!$B$7:$B$24,C822,'Site Dockets'!$C$7:$C$24,F822)&gt;0,1,0),IF(B822="REGION LOSS",IF(COUNTIFS('Site Dockets'!$E$7:$E$24,C822,'Site Dockets'!$C$7:$C$24,F822)&gt;0,1,0),0))</f>
        <v>0</v>
      </c>
      <c r="L822" s="15" t="n">
        <f aca="false">IF(J822=1,0,Inputs!$B$11)</f>
        <v>100</v>
      </c>
      <c r="M822" s="15" t="n">
        <f aca="false">IF(J822=1,0,Inputs!$B$12)</f>
        <v>75</v>
      </c>
      <c r="N822" s="15" t="n">
        <f aca="false">IF(J822=1,0,IF(OR(AND(OR(B822="SITE LOSS",B822="REGION LOSS"),K822=1),AND(B822="ROLE COMPROMISE",H822=C822)),Inputs!$B$13,Inputs!$B$14))</f>
        <v>10</v>
      </c>
      <c r="O822" s="15" t="n">
        <f aca="false">IF(J822=1,0,Inputs!$B$13)</f>
        <v>20</v>
      </c>
      <c r="P822" s="15" t="n">
        <f aca="false">SUM(M822:N822)</f>
        <v>85</v>
      </c>
      <c r="Q822" s="15" t="n">
        <f aca="false">IF(J822=1,"",L822-P822)</f>
        <v>15</v>
      </c>
      <c r="R822" s="15" t="n">
        <f aca="false">IF(OR(J822=1,M822&lt;=Inputs!$B$12),1,0)</f>
        <v>1</v>
      </c>
      <c r="S822" s="15" t="n">
        <f aca="false">IF(OR(J822=1,N822&lt;=O822),1,0)</f>
        <v>1</v>
      </c>
      <c r="T822" s="15" t="str">
        <f aca="false">IF(J822=1,"OFFLINE",IF(AND(Q822&gt;=Inputs!$B$15,R822=1,S822=1,P822&lt;=L822),"PASS","FAIL"))</f>
        <v>PASS</v>
      </c>
    </row>
    <row r="823" customFormat="false" ht="15" hidden="false" customHeight="false" outlineLevel="0" collapsed="false">
      <c r="A823" s="14" t="s">
        <v>1026</v>
      </c>
      <c r="B823" s="14" t="s">
        <v>1019</v>
      </c>
      <c r="C823" s="14" t="s">
        <v>178</v>
      </c>
      <c r="D823" s="14" t="s">
        <v>186</v>
      </c>
      <c r="E823" s="14" t="s">
        <v>157</v>
      </c>
      <c r="F823" s="14" t="s">
        <v>183</v>
      </c>
      <c r="G823" s="14" t="n">
        <v>2</v>
      </c>
      <c r="H823" s="14" t="s">
        <v>153</v>
      </c>
      <c r="I823" s="14" t="s">
        <v>890</v>
      </c>
      <c r="J823" s="15" t="n">
        <f aca="false">IF(B823="SITE LOSS",IF(D823=C823,1,0),IF(B823="REGION LOSS",IF(E823=C823,1,0),0))</f>
        <v>0</v>
      </c>
      <c r="K823" s="15" t="n">
        <f aca="false">IF(B823="SITE LOSS",IF(COUNTIFS('Site Dockets'!$B$7:$B$24,C823,'Site Dockets'!$C$7:$C$24,F823)&gt;0,1,0),IF(B823="REGION LOSS",IF(COUNTIFS('Site Dockets'!$E$7:$E$24,C823,'Site Dockets'!$C$7:$C$24,F823)&gt;0,1,0),0))</f>
        <v>0</v>
      </c>
      <c r="L823" s="15" t="n">
        <f aca="false">IF(J823=1,0,Inputs!$B$11)</f>
        <v>100</v>
      </c>
      <c r="M823" s="15" t="n">
        <f aca="false">IF(J823=1,0,Inputs!$B$12)</f>
        <v>75</v>
      </c>
      <c r="N823" s="15" t="n">
        <f aca="false">IF(J823=1,0,IF(OR(AND(OR(B823="SITE LOSS",B823="REGION LOSS"),K823=1),AND(B823="ROLE COMPROMISE",H823=C823)),Inputs!$B$13,Inputs!$B$14))</f>
        <v>10</v>
      </c>
      <c r="O823" s="15" t="n">
        <f aca="false">IF(J823=1,0,Inputs!$B$13)</f>
        <v>20</v>
      </c>
      <c r="P823" s="15" t="n">
        <f aca="false">SUM(M823:N823)</f>
        <v>85</v>
      </c>
      <c r="Q823" s="15" t="n">
        <f aca="false">IF(J823=1,"",L823-P823)</f>
        <v>15</v>
      </c>
      <c r="R823" s="15" t="n">
        <f aca="false">IF(OR(J823=1,M823&lt;=Inputs!$B$12),1,0)</f>
        <v>1</v>
      </c>
      <c r="S823" s="15" t="n">
        <f aca="false">IF(OR(J823=1,N823&lt;=O823),1,0)</f>
        <v>1</v>
      </c>
      <c r="T823" s="15" t="str">
        <f aca="false">IF(J823=1,"OFFLINE",IF(AND(Q823&gt;=Inputs!$B$15,R823=1,S823=1,P823&lt;=L823),"PASS","FAIL"))</f>
        <v>PASS</v>
      </c>
    </row>
    <row r="824" customFormat="false" ht="15" hidden="false" customHeight="false" outlineLevel="0" collapsed="false">
      <c r="A824" s="14" t="s">
        <v>1026</v>
      </c>
      <c r="B824" s="14" t="s">
        <v>1019</v>
      </c>
      <c r="C824" s="14" t="s">
        <v>178</v>
      </c>
      <c r="D824" s="14" t="s">
        <v>186</v>
      </c>
      <c r="E824" s="14" t="s">
        <v>157</v>
      </c>
      <c r="F824" s="14" t="s">
        <v>183</v>
      </c>
      <c r="G824" s="14" t="n">
        <v>2</v>
      </c>
      <c r="H824" s="14" t="s">
        <v>153</v>
      </c>
      <c r="I824" s="14" t="s">
        <v>892</v>
      </c>
      <c r="J824" s="15" t="n">
        <f aca="false">IF(B824="SITE LOSS",IF(D824=C824,1,0),IF(B824="REGION LOSS",IF(E824=C824,1,0),0))</f>
        <v>0</v>
      </c>
      <c r="K824" s="15" t="n">
        <f aca="false">IF(B824="SITE LOSS",IF(COUNTIFS('Site Dockets'!$B$7:$B$24,C824,'Site Dockets'!$C$7:$C$24,F824)&gt;0,1,0),IF(B824="REGION LOSS",IF(COUNTIFS('Site Dockets'!$E$7:$E$24,C824,'Site Dockets'!$C$7:$C$24,F824)&gt;0,1,0),0))</f>
        <v>0</v>
      </c>
      <c r="L824" s="15" t="n">
        <f aca="false">IF(J824=1,0,Inputs!$B$11)</f>
        <v>100</v>
      </c>
      <c r="M824" s="15" t="n">
        <f aca="false">IF(J824=1,0,Inputs!$B$12)</f>
        <v>75</v>
      </c>
      <c r="N824" s="15" t="n">
        <f aca="false">IF(J824=1,0,IF(OR(AND(OR(B824="SITE LOSS",B824="REGION LOSS"),K824=1),AND(B824="ROLE COMPROMISE",H824=C824)),Inputs!$B$13,Inputs!$B$14))</f>
        <v>10</v>
      </c>
      <c r="O824" s="15" t="n">
        <f aca="false">IF(J824=1,0,Inputs!$B$13)</f>
        <v>20</v>
      </c>
      <c r="P824" s="15" t="n">
        <f aca="false">SUM(M824:N824)</f>
        <v>85</v>
      </c>
      <c r="Q824" s="15" t="n">
        <f aca="false">IF(J824=1,"",L824-P824)</f>
        <v>15</v>
      </c>
      <c r="R824" s="15" t="n">
        <f aca="false">IF(OR(J824=1,M824&lt;=Inputs!$B$12),1,0)</f>
        <v>1</v>
      </c>
      <c r="S824" s="15" t="n">
        <f aca="false">IF(OR(J824=1,N824&lt;=O824),1,0)</f>
        <v>1</v>
      </c>
      <c r="T824" s="15" t="str">
        <f aca="false">IF(J824=1,"OFFLINE",IF(AND(Q824&gt;=Inputs!$B$15,R824=1,S824=1,P824&lt;=L824),"PASS","FAIL"))</f>
        <v>PASS</v>
      </c>
    </row>
    <row r="825" customFormat="false" ht="15" hidden="false" customHeight="false" outlineLevel="0" collapsed="false">
      <c r="A825" s="14" t="s">
        <v>1026</v>
      </c>
      <c r="B825" s="14" t="s">
        <v>1019</v>
      </c>
      <c r="C825" s="14" t="s">
        <v>178</v>
      </c>
      <c r="D825" s="14" t="s">
        <v>186</v>
      </c>
      <c r="E825" s="14" t="s">
        <v>157</v>
      </c>
      <c r="F825" s="14" t="s">
        <v>183</v>
      </c>
      <c r="G825" s="14" t="n">
        <v>2</v>
      </c>
      <c r="H825" s="14" t="s">
        <v>153</v>
      </c>
      <c r="I825" s="14" t="s">
        <v>811</v>
      </c>
      <c r="J825" s="15" t="n">
        <f aca="false">IF(B825="SITE LOSS",IF(D825=C825,1,0),IF(B825="REGION LOSS",IF(E825=C825,1,0),0))</f>
        <v>0</v>
      </c>
      <c r="K825" s="15" t="n">
        <f aca="false">IF(B825="SITE LOSS",IF(COUNTIFS('Site Dockets'!$B$7:$B$24,C825,'Site Dockets'!$C$7:$C$24,F825)&gt;0,1,0),IF(B825="REGION LOSS",IF(COUNTIFS('Site Dockets'!$E$7:$E$24,C825,'Site Dockets'!$C$7:$C$24,F825)&gt;0,1,0),0))</f>
        <v>0</v>
      </c>
      <c r="L825" s="15" t="n">
        <f aca="false">IF(J825=1,0,Inputs!$B$11)</f>
        <v>100</v>
      </c>
      <c r="M825" s="15" t="n">
        <f aca="false">IF(J825=1,0,Inputs!$B$12)</f>
        <v>75</v>
      </c>
      <c r="N825" s="15" t="n">
        <f aca="false">IF(J825=1,0,IF(OR(AND(OR(B825="SITE LOSS",B825="REGION LOSS"),K825=1),AND(B825="ROLE COMPROMISE",H825=C825)),Inputs!$B$13,Inputs!$B$14))</f>
        <v>10</v>
      </c>
      <c r="O825" s="15" t="n">
        <f aca="false">IF(J825=1,0,Inputs!$B$13)</f>
        <v>20</v>
      </c>
      <c r="P825" s="15" t="n">
        <f aca="false">SUM(M825:N825)</f>
        <v>85</v>
      </c>
      <c r="Q825" s="15" t="n">
        <f aca="false">IF(J825=1,"",L825-P825)</f>
        <v>15</v>
      </c>
      <c r="R825" s="15" t="n">
        <f aca="false">IF(OR(J825=1,M825&lt;=Inputs!$B$12),1,0)</f>
        <v>1</v>
      </c>
      <c r="S825" s="15" t="n">
        <f aca="false">IF(OR(J825=1,N825&lt;=O825),1,0)</f>
        <v>1</v>
      </c>
      <c r="T825" s="15" t="str">
        <f aca="false">IF(J825=1,"OFFLINE",IF(AND(Q825&gt;=Inputs!$B$15,R825=1,S825=1,P825&lt;=L825),"PASS","FAIL"))</f>
        <v>PASS</v>
      </c>
    </row>
    <row r="826" customFormat="false" ht="15" hidden="false" customHeight="false" outlineLevel="0" collapsed="false">
      <c r="A826" s="14" t="s">
        <v>1026</v>
      </c>
      <c r="B826" s="14" t="s">
        <v>1019</v>
      </c>
      <c r="C826" s="14" t="s">
        <v>178</v>
      </c>
      <c r="D826" s="14" t="s">
        <v>186</v>
      </c>
      <c r="E826" s="14" t="s">
        <v>157</v>
      </c>
      <c r="F826" s="14" t="s">
        <v>183</v>
      </c>
      <c r="G826" s="14" t="n">
        <v>2</v>
      </c>
      <c r="H826" s="14" t="s">
        <v>153</v>
      </c>
      <c r="I826" s="14" t="s">
        <v>895</v>
      </c>
      <c r="J826" s="15" t="n">
        <f aca="false">IF(B826="SITE LOSS",IF(D826=C826,1,0),IF(B826="REGION LOSS",IF(E826=C826,1,0),0))</f>
        <v>0</v>
      </c>
      <c r="K826" s="15" t="n">
        <f aca="false">IF(B826="SITE LOSS",IF(COUNTIFS('Site Dockets'!$B$7:$B$24,C826,'Site Dockets'!$C$7:$C$24,F826)&gt;0,1,0),IF(B826="REGION LOSS",IF(COUNTIFS('Site Dockets'!$E$7:$E$24,C826,'Site Dockets'!$C$7:$C$24,F826)&gt;0,1,0),0))</f>
        <v>0</v>
      </c>
      <c r="L826" s="15" t="n">
        <f aca="false">IF(J826=1,0,Inputs!$B$11)</f>
        <v>100</v>
      </c>
      <c r="M826" s="15" t="n">
        <f aca="false">IF(J826=1,0,Inputs!$B$12)</f>
        <v>75</v>
      </c>
      <c r="N826" s="15" t="n">
        <f aca="false">IF(J826=1,0,IF(OR(AND(OR(B826="SITE LOSS",B826="REGION LOSS"),K826=1),AND(B826="ROLE COMPROMISE",H826=C826)),Inputs!$B$13,Inputs!$B$14))</f>
        <v>10</v>
      </c>
      <c r="O826" s="15" t="n">
        <f aca="false">IF(J826=1,0,Inputs!$B$13)</f>
        <v>20</v>
      </c>
      <c r="P826" s="15" t="n">
        <f aca="false">SUM(M826:N826)</f>
        <v>85</v>
      </c>
      <c r="Q826" s="15" t="n">
        <f aca="false">IF(J826=1,"",L826-P826)</f>
        <v>15</v>
      </c>
      <c r="R826" s="15" t="n">
        <f aca="false">IF(OR(J826=1,M826&lt;=Inputs!$B$12),1,0)</f>
        <v>1</v>
      </c>
      <c r="S826" s="15" t="n">
        <f aca="false">IF(OR(J826=1,N826&lt;=O826),1,0)</f>
        <v>1</v>
      </c>
      <c r="T826" s="15" t="str">
        <f aca="false">IF(J826=1,"OFFLINE",IF(AND(Q826&gt;=Inputs!$B$15,R826=1,S826=1,P826&lt;=L826),"PASS","FAIL"))</f>
        <v>PASS</v>
      </c>
    </row>
    <row r="827" customFormat="false" ht="15" hidden="false" customHeight="false" outlineLevel="0" collapsed="false">
      <c r="A827" s="14" t="s">
        <v>1026</v>
      </c>
      <c r="B827" s="14" t="s">
        <v>1019</v>
      </c>
      <c r="C827" s="14" t="s">
        <v>178</v>
      </c>
      <c r="D827" s="14" t="s">
        <v>186</v>
      </c>
      <c r="E827" s="14" t="s">
        <v>157</v>
      </c>
      <c r="F827" s="14" t="s">
        <v>183</v>
      </c>
      <c r="G827" s="14" t="n">
        <v>2</v>
      </c>
      <c r="H827" s="14" t="s">
        <v>153</v>
      </c>
      <c r="I827" s="14" t="s">
        <v>897</v>
      </c>
      <c r="J827" s="15" t="n">
        <f aca="false">IF(B827="SITE LOSS",IF(D827=C827,1,0),IF(B827="REGION LOSS",IF(E827=C827,1,0),0))</f>
        <v>0</v>
      </c>
      <c r="K827" s="15" t="n">
        <f aca="false">IF(B827="SITE LOSS",IF(COUNTIFS('Site Dockets'!$B$7:$B$24,C827,'Site Dockets'!$C$7:$C$24,F827)&gt;0,1,0),IF(B827="REGION LOSS",IF(COUNTIFS('Site Dockets'!$E$7:$E$24,C827,'Site Dockets'!$C$7:$C$24,F827)&gt;0,1,0),0))</f>
        <v>0</v>
      </c>
      <c r="L827" s="15" t="n">
        <f aca="false">IF(J827=1,0,Inputs!$B$11)</f>
        <v>100</v>
      </c>
      <c r="M827" s="15" t="n">
        <f aca="false">IF(J827=1,0,Inputs!$B$12)</f>
        <v>75</v>
      </c>
      <c r="N827" s="15" t="n">
        <f aca="false">IF(J827=1,0,IF(OR(AND(OR(B827="SITE LOSS",B827="REGION LOSS"),K827=1),AND(B827="ROLE COMPROMISE",H827=C827)),Inputs!$B$13,Inputs!$B$14))</f>
        <v>10</v>
      </c>
      <c r="O827" s="15" t="n">
        <f aca="false">IF(J827=1,0,Inputs!$B$13)</f>
        <v>20</v>
      </c>
      <c r="P827" s="15" t="n">
        <f aca="false">SUM(M827:N827)</f>
        <v>85</v>
      </c>
      <c r="Q827" s="15" t="n">
        <f aca="false">IF(J827=1,"",L827-P827)</f>
        <v>15</v>
      </c>
      <c r="R827" s="15" t="n">
        <f aca="false">IF(OR(J827=1,M827&lt;=Inputs!$B$12),1,0)</f>
        <v>1</v>
      </c>
      <c r="S827" s="15" t="n">
        <f aca="false">IF(OR(J827=1,N827&lt;=O827),1,0)</f>
        <v>1</v>
      </c>
      <c r="T827" s="15" t="str">
        <f aca="false">IF(J827=1,"OFFLINE",IF(AND(Q827&gt;=Inputs!$B$15,R827=1,S827=1,P827&lt;=L827),"PASS","FAIL"))</f>
        <v>PASS</v>
      </c>
    </row>
    <row r="828" customFormat="false" ht="15" hidden="false" customHeight="false" outlineLevel="0" collapsed="false">
      <c r="A828" s="14" t="s">
        <v>1026</v>
      </c>
      <c r="B828" s="14" t="s">
        <v>1019</v>
      </c>
      <c r="C828" s="14" t="s">
        <v>178</v>
      </c>
      <c r="D828" s="14" t="s">
        <v>186</v>
      </c>
      <c r="E828" s="14" t="s">
        <v>157</v>
      </c>
      <c r="F828" s="14" t="s">
        <v>183</v>
      </c>
      <c r="G828" s="14" t="n">
        <v>2</v>
      </c>
      <c r="H828" s="14" t="s">
        <v>153</v>
      </c>
      <c r="I828" s="14" t="s">
        <v>899</v>
      </c>
      <c r="J828" s="15" t="n">
        <f aca="false">IF(B828="SITE LOSS",IF(D828=C828,1,0),IF(B828="REGION LOSS",IF(E828=C828,1,0),0))</f>
        <v>0</v>
      </c>
      <c r="K828" s="15" t="n">
        <f aca="false">IF(B828="SITE LOSS",IF(COUNTIFS('Site Dockets'!$B$7:$B$24,C828,'Site Dockets'!$C$7:$C$24,F828)&gt;0,1,0),IF(B828="REGION LOSS",IF(COUNTIFS('Site Dockets'!$E$7:$E$24,C828,'Site Dockets'!$C$7:$C$24,F828)&gt;0,1,0),0))</f>
        <v>0</v>
      </c>
      <c r="L828" s="15" t="n">
        <f aca="false">IF(J828=1,0,Inputs!$B$11)</f>
        <v>100</v>
      </c>
      <c r="M828" s="15" t="n">
        <f aca="false">IF(J828=1,0,Inputs!$B$12)</f>
        <v>75</v>
      </c>
      <c r="N828" s="15" t="n">
        <f aca="false">IF(J828=1,0,IF(OR(AND(OR(B828="SITE LOSS",B828="REGION LOSS"),K828=1),AND(B828="ROLE COMPROMISE",H828=C828)),Inputs!$B$13,Inputs!$B$14))</f>
        <v>10</v>
      </c>
      <c r="O828" s="15" t="n">
        <f aca="false">IF(J828=1,0,Inputs!$B$13)</f>
        <v>20</v>
      </c>
      <c r="P828" s="15" t="n">
        <f aca="false">SUM(M828:N828)</f>
        <v>85</v>
      </c>
      <c r="Q828" s="15" t="n">
        <f aca="false">IF(J828=1,"",L828-P828)</f>
        <v>15</v>
      </c>
      <c r="R828" s="15" t="n">
        <f aca="false">IF(OR(J828=1,M828&lt;=Inputs!$B$12),1,0)</f>
        <v>1</v>
      </c>
      <c r="S828" s="15" t="n">
        <f aca="false">IF(OR(J828=1,N828&lt;=O828),1,0)</f>
        <v>1</v>
      </c>
      <c r="T828" s="15" t="str">
        <f aca="false">IF(J828=1,"OFFLINE",IF(AND(Q828&gt;=Inputs!$B$15,R828=1,S828=1,P828&lt;=L828),"PASS","FAIL"))</f>
        <v>PASS</v>
      </c>
    </row>
    <row r="829" customFormat="false" ht="15" hidden="false" customHeight="false" outlineLevel="0" collapsed="false">
      <c r="A829" s="14" t="s">
        <v>1026</v>
      </c>
      <c r="B829" s="14" t="s">
        <v>1019</v>
      </c>
      <c r="C829" s="14" t="s">
        <v>178</v>
      </c>
      <c r="D829" s="14" t="s">
        <v>188</v>
      </c>
      <c r="E829" s="14" t="s">
        <v>172</v>
      </c>
      <c r="F829" s="14" t="s">
        <v>183</v>
      </c>
      <c r="G829" s="14" t="n">
        <v>3</v>
      </c>
      <c r="H829" s="14" t="s">
        <v>158</v>
      </c>
      <c r="I829" s="14" t="s">
        <v>890</v>
      </c>
      <c r="J829" s="15" t="n">
        <f aca="false">IF(B829="SITE LOSS",IF(D829=C829,1,0),IF(B829="REGION LOSS",IF(E829=C829,1,0),0))</f>
        <v>0</v>
      </c>
      <c r="K829" s="15" t="n">
        <f aca="false">IF(B829="SITE LOSS",IF(COUNTIFS('Site Dockets'!$B$7:$B$24,C829,'Site Dockets'!$C$7:$C$24,F829)&gt;0,1,0),IF(B829="REGION LOSS",IF(COUNTIFS('Site Dockets'!$E$7:$E$24,C829,'Site Dockets'!$C$7:$C$24,F829)&gt;0,1,0),0))</f>
        <v>0</v>
      </c>
      <c r="L829" s="15" t="n">
        <f aca="false">IF(J829=1,0,Inputs!$B$11)</f>
        <v>100</v>
      </c>
      <c r="M829" s="15" t="n">
        <f aca="false">IF(J829=1,0,Inputs!$B$12)</f>
        <v>75</v>
      </c>
      <c r="N829" s="15" t="n">
        <f aca="false">IF(J829=1,0,IF(OR(AND(OR(B829="SITE LOSS",B829="REGION LOSS"),K829=1),AND(B829="ROLE COMPROMISE",H829=C829)),Inputs!$B$13,Inputs!$B$14))</f>
        <v>10</v>
      </c>
      <c r="O829" s="15" t="n">
        <f aca="false">IF(J829=1,0,Inputs!$B$13)</f>
        <v>20</v>
      </c>
      <c r="P829" s="15" t="n">
        <f aca="false">SUM(M829:N829)</f>
        <v>85</v>
      </c>
      <c r="Q829" s="15" t="n">
        <f aca="false">IF(J829=1,"",L829-P829)</f>
        <v>15</v>
      </c>
      <c r="R829" s="15" t="n">
        <f aca="false">IF(OR(J829=1,M829&lt;=Inputs!$B$12),1,0)</f>
        <v>1</v>
      </c>
      <c r="S829" s="15" t="n">
        <f aca="false">IF(OR(J829=1,N829&lt;=O829),1,0)</f>
        <v>1</v>
      </c>
      <c r="T829" s="15" t="str">
        <f aca="false">IF(J829=1,"OFFLINE",IF(AND(Q829&gt;=Inputs!$B$15,R829=1,S829=1,P829&lt;=L829),"PASS","FAIL"))</f>
        <v>PASS</v>
      </c>
    </row>
    <row r="830" customFormat="false" ht="15" hidden="false" customHeight="false" outlineLevel="0" collapsed="false">
      <c r="A830" s="14" t="s">
        <v>1026</v>
      </c>
      <c r="B830" s="14" t="s">
        <v>1019</v>
      </c>
      <c r="C830" s="14" t="s">
        <v>178</v>
      </c>
      <c r="D830" s="14" t="s">
        <v>188</v>
      </c>
      <c r="E830" s="14" t="s">
        <v>172</v>
      </c>
      <c r="F830" s="14" t="s">
        <v>183</v>
      </c>
      <c r="G830" s="14" t="n">
        <v>3</v>
      </c>
      <c r="H830" s="14" t="s">
        <v>158</v>
      </c>
      <c r="I830" s="14" t="s">
        <v>892</v>
      </c>
      <c r="J830" s="15" t="n">
        <f aca="false">IF(B830="SITE LOSS",IF(D830=C830,1,0),IF(B830="REGION LOSS",IF(E830=C830,1,0),0))</f>
        <v>0</v>
      </c>
      <c r="K830" s="15" t="n">
        <f aca="false">IF(B830="SITE LOSS",IF(COUNTIFS('Site Dockets'!$B$7:$B$24,C830,'Site Dockets'!$C$7:$C$24,F830)&gt;0,1,0),IF(B830="REGION LOSS",IF(COUNTIFS('Site Dockets'!$E$7:$E$24,C830,'Site Dockets'!$C$7:$C$24,F830)&gt;0,1,0),0))</f>
        <v>0</v>
      </c>
      <c r="L830" s="15" t="n">
        <f aca="false">IF(J830=1,0,Inputs!$B$11)</f>
        <v>100</v>
      </c>
      <c r="M830" s="15" t="n">
        <f aca="false">IF(J830=1,0,Inputs!$B$12)</f>
        <v>75</v>
      </c>
      <c r="N830" s="15" t="n">
        <f aca="false">IF(J830=1,0,IF(OR(AND(OR(B830="SITE LOSS",B830="REGION LOSS"),K830=1),AND(B830="ROLE COMPROMISE",H830=C830)),Inputs!$B$13,Inputs!$B$14))</f>
        <v>10</v>
      </c>
      <c r="O830" s="15" t="n">
        <f aca="false">IF(J830=1,0,Inputs!$B$13)</f>
        <v>20</v>
      </c>
      <c r="P830" s="15" t="n">
        <f aca="false">SUM(M830:N830)</f>
        <v>85</v>
      </c>
      <c r="Q830" s="15" t="n">
        <f aca="false">IF(J830=1,"",L830-P830)</f>
        <v>15</v>
      </c>
      <c r="R830" s="15" t="n">
        <f aca="false">IF(OR(J830=1,M830&lt;=Inputs!$B$12),1,0)</f>
        <v>1</v>
      </c>
      <c r="S830" s="15" t="n">
        <f aca="false">IF(OR(J830=1,N830&lt;=O830),1,0)</f>
        <v>1</v>
      </c>
      <c r="T830" s="15" t="str">
        <f aca="false">IF(J830=1,"OFFLINE",IF(AND(Q830&gt;=Inputs!$B$15,R830=1,S830=1,P830&lt;=L830),"PASS","FAIL"))</f>
        <v>PASS</v>
      </c>
    </row>
    <row r="831" customFormat="false" ht="15" hidden="false" customHeight="false" outlineLevel="0" collapsed="false">
      <c r="A831" s="14" t="s">
        <v>1026</v>
      </c>
      <c r="B831" s="14" t="s">
        <v>1019</v>
      </c>
      <c r="C831" s="14" t="s">
        <v>178</v>
      </c>
      <c r="D831" s="14" t="s">
        <v>188</v>
      </c>
      <c r="E831" s="14" t="s">
        <v>172</v>
      </c>
      <c r="F831" s="14" t="s">
        <v>183</v>
      </c>
      <c r="G831" s="14" t="n">
        <v>3</v>
      </c>
      <c r="H831" s="14" t="s">
        <v>158</v>
      </c>
      <c r="I831" s="14" t="s">
        <v>811</v>
      </c>
      <c r="J831" s="15" t="n">
        <f aca="false">IF(B831="SITE LOSS",IF(D831=C831,1,0),IF(B831="REGION LOSS",IF(E831=C831,1,0),0))</f>
        <v>0</v>
      </c>
      <c r="K831" s="15" t="n">
        <f aca="false">IF(B831="SITE LOSS",IF(COUNTIFS('Site Dockets'!$B$7:$B$24,C831,'Site Dockets'!$C$7:$C$24,F831)&gt;0,1,0),IF(B831="REGION LOSS",IF(COUNTIFS('Site Dockets'!$E$7:$E$24,C831,'Site Dockets'!$C$7:$C$24,F831)&gt;0,1,0),0))</f>
        <v>0</v>
      </c>
      <c r="L831" s="15" t="n">
        <f aca="false">IF(J831=1,0,Inputs!$B$11)</f>
        <v>100</v>
      </c>
      <c r="M831" s="15" t="n">
        <f aca="false">IF(J831=1,0,Inputs!$B$12)</f>
        <v>75</v>
      </c>
      <c r="N831" s="15" t="n">
        <f aca="false">IF(J831=1,0,IF(OR(AND(OR(B831="SITE LOSS",B831="REGION LOSS"),K831=1),AND(B831="ROLE COMPROMISE",H831=C831)),Inputs!$B$13,Inputs!$B$14))</f>
        <v>10</v>
      </c>
      <c r="O831" s="15" t="n">
        <f aca="false">IF(J831=1,0,Inputs!$B$13)</f>
        <v>20</v>
      </c>
      <c r="P831" s="15" t="n">
        <f aca="false">SUM(M831:N831)</f>
        <v>85</v>
      </c>
      <c r="Q831" s="15" t="n">
        <f aca="false">IF(J831=1,"",L831-P831)</f>
        <v>15</v>
      </c>
      <c r="R831" s="15" t="n">
        <f aca="false">IF(OR(J831=1,M831&lt;=Inputs!$B$12),1,0)</f>
        <v>1</v>
      </c>
      <c r="S831" s="15" t="n">
        <f aca="false">IF(OR(J831=1,N831&lt;=O831),1,0)</f>
        <v>1</v>
      </c>
      <c r="T831" s="15" t="str">
        <f aca="false">IF(J831=1,"OFFLINE",IF(AND(Q831&gt;=Inputs!$B$15,R831=1,S831=1,P831&lt;=L831),"PASS","FAIL"))</f>
        <v>PASS</v>
      </c>
    </row>
    <row r="832" customFormat="false" ht="15" hidden="false" customHeight="false" outlineLevel="0" collapsed="false">
      <c r="A832" s="14" t="s">
        <v>1026</v>
      </c>
      <c r="B832" s="14" t="s">
        <v>1019</v>
      </c>
      <c r="C832" s="14" t="s">
        <v>178</v>
      </c>
      <c r="D832" s="14" t="s">
        <v>188</v>
      </c>
      <c r="E832" s="14" t="s">
        <v>172</v>
      </c>
      <c r="F832" s="14" t="s">
        <v>183</v>
      </c>
      <c r="G832" s="14" t="n">
        <v>3</v>
      </c>
      <c r="H832" s="14" t="s">
        <v>158</v>
      </c>
      <c r="I832" s="14" t="s">
        <v>895</v>
      </c>
      <c r="J832" s="15" t="n">
        <f aca="false">IF(B832="SITE LOSS",IF(D832=C832,1,0),IF(B832="REGION LOSS",IF(E832=C832,1,0),0))</f>
        <v>0</v>
      </c>
      <c r="K832" s="15" t="n">
        <f aca="false">IF(B832="SITE LOSS",IF(COUNTIFS('Site Dockets'!$B$7:$B$24,C832,'Site Dockets'!$C$7:$C$24,F832)&gt;0,1,0),IF(B832="REGION LOSS",IF(COUNTIFS('Site Dockets'!$E$7:$E$24,C832,'Site Dockets'!$C$7:$C$24,F832)&gt;0,1,0),0))</f>
        <v>0</v>
      </c>
      <c r="L832" s="15" t="n">
        <f aca="false">IF(J832=1,0,Inputs!$B$11)</f>
        <v>100</v>
      </c>
      <c r="M832" s="15" t="n">
        <f aca="false">IF(J832=1,0,Inputs!$B$12)</f>
        <v>75</v>
      </c>
      <c r="N832" s="15" t="n">
        <f aca="false">IF(J832=1,0,IF(OR(AND(OR(B832="SITE LOSS",B832="REGION LOSS"),K832=1),AND(B832="ROLE COMPROMISE",H832=C832)),Inputs!$B$13,Inputs!$B$14))</f>
        <v>10</v>
      </c>
      <c r="O832" s="15" t="n">
        <f aca="false">IF(J832=1,0,Inputs!$B$13)</f>
        <v>20</v>
      </c>
      <c r="P832" s="15" t="n">
        <f aca="false">SUM(M832:N832)</f>
        <v>85</v>
      </c>
      <c r="Q832" s="15" t="n">
        <f aca="false">IF(J832=1,"",L832-P832)</f>
        <v>15</v>
      </c>
      <c r="R832" s="15" t="n">
        <f aca="false">IF(OR(J832=1,M832&lt;=Inputs!$B$12),1,0)</f>
        <v>1</v>
      </c>
      <c r="S832" s="15" t="n">
        <f aca="false">IF(OR(J832=1,N832&lt;=O832),1,0)</f>
        <v>1</v>
      </c>
      <c r="T832" s="15" t="str">
        <f aca="false">IF(J832=1,"OFFLINE",IF(AND(Q832&gt;=Inputs!$B$15,R832=1,S832=1,P832&lt;=L832),"PASS","FAIL"))</f>
        <v>PASS</v>
      </c>
    </row>
    <row r="833" customFormat="false" ht="15" hidden="false" customHeight="false" outlineLevel="0" collapsed="false">
      <c r="A833" s="14" t="s">
        <v>1026</v>
      </c>
      <c r="B833" s="14" t="s">
        <v>1019</v>
      </c>
      <c r="C833" s="14" t="s">
        <v>178</v>
      </c>
      <c r="D833" s="14" t="s">
        <v>188</v>
      </c>
      <c r="E833" s="14" t="s">
        <v>172</v>
      </c>
      <c r="F833" s="14" t="s">
        <v>183</v>
      </c>
      <c r="G833" s="14" t="n">
        <v>3</v>
      </c>
      <c r="H833" s="14" t="s">
        <v>158</v>
      </c>
      <c r="I833" s="14" t="s">
        <v>897</v>
      </c>
      <c r="J833" s="15" t="n">
        <f aca="false">IF(B833="SITE LOSS",IF(D833=C833,1,0),IF(B833="REGION LOSS",IF(E833=C833,1,0),0))</f>
        <v>0</v>
      </c>
      <c r="K833" s="15" t="n">
        <f aca="false">IF(B833="SITE LOSS",IF(COUNTIFS('Site Dockets'!$B$7:$B$24,C833,'Site Dockets'!$C$7:$C$24,F833)&gt;0,1,0),IF(B833="REGION LOSS",IF(COUNTIFS('Site Dockets'!$E$7:$E$24,C833,'Site Dockets'!$C$7:$C$24,F833)&gt;0,1,0),0))</f>
        <v>0</v>
      </c>
      <c r="L833" s="15" t="n">
        <f aca="false">IF(J833=1,0,Inputs!$B$11)</f>
        <v>100</v>
      </c>
      <c r="M833" s="15" t="n">
        <f aca="false">IF(J833=1,0,Inputs!$B$12)</f>
        <v>75</v>
      </c>
      <c r="N833" s="15" t="n">
        <f aca="false">IF(J833=1,0,IF(OR(AND(OR(B833="SITE LOSS",B833="REGION LOSS"),K833=1),AND(B833="ROLE COMPROMISE",H833=C833)),Inputs!$B$13,Inputs!$B$14))</f>
        <v>10</v>
      </c>
      <c r="O833" s="15" t="n">
        <f aca="false">IF(J833=1,0,Inputs!$B$13)</f>
        <v>20</v>
      </c>
      <c r="P833" s="15" t="n">
        <f aca="false">SUM(M833:N833)</f>
        <v>85</v>
      </c>
      <c r="Q833" s="15" t="n">
        <f aca="false">IF(J833=1,"",L833-P833)</f>
        <v>15</v>
      </c>
      <c r="R833" s="15" t="n">
        <f aca="false">IF(OR(J833=1,M833&lt;=Inputs!$B$12),1,0)</f>
        <v>1</v>
      </c>
      <c r="S833" s="15" t="n">
        <f aca="false">IF(OR(J833=1,N833&lt;=O833),1,0)</f>
        <v>1</v>
      </c>
      <c r="T833" s="15" t="str">
        <f aca="false">IF(J833=1,"OFFLINE",IF(AND(Q833&gt;=Inputs!$B$15,R833=1,S833=1,P833&lt;=L833),"PASS","FAIL"))</f>
        <v>PASS</v>
      </c>
    </row>
    <row r="834" customFormat="false" ht="15" hidden="false" customHeight="false" outlineLevel="0" collapsed="false">
      <c r="A834" s="14" t="s">
        <v>1026</v>
      </c>
      <c r="B834" s="14" t="s">
        <v>1019</v>
      </c>
      <c r="C834" s="14" t="s">
        <v>178</v>
      </c>
      <c r="D834" s="14" t="s">
        <v>188</v>
      </c>
      <c r="E834" s="14" t="s">
        <v>172</v>
      </c>
      <c r="F834" s="14" t="s">
        <v>183</v>
      </c>
      <c r="G834" s="14" t="n">
        <v>3</v>
      </c>
      <c r="H834" s="14" t="s">
        <v>158</v>
      </c>
      <c r="I834" s="14" t="s">
        <v>899</v>
      </c>
      <c r="J834" s="15" t="n">
        <f aca="false">IF(B834="SITE LOSS",IF(D834=C834,1,0),IF(B834="REGION LOSS",IF(E834=C834,1,0),0))</f>
        <v>0</v>
      </c>
      <c r="K834" s="15" t="n">
        <f aca="false">IF(B834="SITE LOSS",IF(COUNTIFS('Site Dockets'!$B$7:$B$24,C834,'Site Dockets'!$C$7:$C$24,F834)&gt;0,1,0),IF(B834="REGION LOSS",IF(COUNTIFS('Site Dockets'!$E$7:$E$24,C834,'Site Dockets'!$C$7:$C$24,F834)&gt;0,1,0),0))</f>
        <v>0</v>
      </c>
      <c r="L834" s="15" t="n">
        <f aca="false">IF(J834=1,0,Inputs!$B$11)</f>
        <v>100</v>
      </c>
      <c r="M834" s="15" t="n">
        <f aca="false">IF(J834=1,0,Inputs!$B$12)</f>
        <v>75</v>
      </c>
      <c r="N834" s="15" t="n">
        <f aca="false">IF(J834=1,0,IF(OR(AND(OR(B834="SITE LOSS",B834="REGION LOSS"),K834=1),AND(B834="ROLE COMPROMISE",H834=C834)),Inputs!$B$13,Inputs!$B$14))</f>
        <v>10</v>
      </c>
      <c r="O834" s="15" t="n">
        <f aca="false">IF(J834=1,0,Inputs!$B$13)</f>
        <v>20</v>
      </c>
      <c r="P834" s="15" t="n">
        <f aca="false">SUM(M834:N834)</f>
        <v>85</v>
      </c>
      <c r="Q834" s="15" t="n">
        <f aca="false">IF(J834=1,"",L834-P834)</f>
        <v>15</v>
      </c>
      <c r="R834" s="15" t="n">
        <f aca="false">IF(OR(J834=1,M834&lt;=Inputs!$B$12),1,0)</f>
        <v>1</v>
      </c>
      <c r="S834" s="15" t="n">
        <f aca="false">IF(OR(J834=1,N834&lt;=O834),1,0)</f>
        <v>1</v>
      </c>
      <c r="T834" s="15" t="str">
        <f aca="false">IF(J834=1,"OFFLINE",IF(AND(Q834&gt;=Inputs!$B$15,R834=1,S834=1,P834&lt;=L834),"PASS","FAIL"))</f>
        <v>PASS</v>
      </c>
    </row>
    <row r="835" customFormat="false" ht="15" hidden="false" customHeight="false" outlineLevel="0" collapsed="false">
      <c r="A835" s="14" t="s">
        <v>1026</v>
      </c>
      <c r="B835" s="14" t="s">
        <v>1019</v>
      </c>
      <c r="C835" s="14" t="s">
        <v>178</v>
      </c>
      <c r="D835" s="14" t="s">
        <v>190</v>
      </c>
      <c r="E835" s="14" t="s">
        <v>152</v>
      </c>
      <c r="F835" s="14" t="s">
        <v>191</v>
      </c>
      <c r="G835" s="14" t="n">
        <v>1</v>
      </c>
      <c r="H835" s="14" t="s">
        <v>154</v>
      </c>
      <c r="I835" s="14" t="s">
        <v>890</v>
      </c>
      <c r="J835" s="15" t="n">
        <f aca="false">IF(B835="SITE LOSS",IF(D835=C835,1,0),IF(B835="REGION LOSS",IF(E835=C835,1,0),0))</f>
        <v>0</v>
      </c>
      <c r="K835" s="15" t="n">
        <f aca="false">IF(B835="SITE LOSS",IF(COUNTIFS('Site Dockets'!$B$7:$B$24,C835,'Site Dockets'!$C$7:$C$24,F835)&gt;0,1,0),IF(B835="REGION LOSS",IF(COUNTIFS('Site Dockets'!$E$7:$E$24,C835,'Site Dockets'!$C$7:$C$24,F835)&gt;0,1,0),0))</f>
        <v>0</v>
      </c>
      <c r="L835" s="15" t="n">
        <f aca="false">IF(J835=1,0,Inputs!$B$11)</f>
        <v>100</v>
      </c>
      <c r="M835" s="15" t="n">
        <f aca="false">IF(J835=1,0,Inputs!$B$12)</f>
        <v>75</v>
      </c>
      <c r="N835" s="15" t="n">
        <f aca="false">IF(J835=1,0,IF(OR(AND(OR(B835="SITE LOSS",B835="REGION LOSS"),K835=1),AND(B835="ROLE COMPROMISE",H835=C835)),Inputs!$B$13,Inputs!$B$14))</f>
        <v>10</v>
      </c>
      <c r="O835" s="15" t="n">
        <f aca="false">IF(J835=1,0,Inputs!$B$13)</f>
        <v>20</v>
      </c>
      <c r="P835" s="15" t="n">
        <f aca="false">SUM(M835:N835)</f>
        <v>85</v>
      </c>
      <c r="Q835" s="15" t="n">
        <f aca="false">IF(J835=1,"",L835-P835)</f>
        <v>15</v>
      </c>
      <c r="R835" s="15" t="n">
        <f aca="false">IF(OR(J835=1,M835&lt;=Inputs!$B$12),1,0)</f>
        <v>1</v>
      </c>
      <c r="S835" s="15" t="n">
        <f aca="false">IF(OR(J835=1,N835&lt;=O835),1,0)</f>
        <v>1</v>
      </c>
      <c r="T835" s="15" t="str">
        <f aca="false">IF(J835=1,"OFFLINE",IF(AND(Q835&gt;=Inputs!$B$15,R835=1,S835=1,P835&lt;=L835),"PASS","FAIL"))</f>
        <v>PASS</v>
      </c>
    </row>
    <row r="836" customFormat="false" ht="15" hidden="false" customHeight="false" outlineLevel="0" collapsed="false">
      <c r="A836" s="14" t="s">
        <v>1026</v>
      </c>
      <c r="B836" s="14" t="s">
        <v>1019</v>
      </c>
      <c r="C836" s="14" t="s">
        <v>178</v>
      </c>
      <c r="D836" s="14" t="s">
        <v>190</v>
      </c>
      <c r="E836" s="14" t="s">
        <v>152</v>
      </c>
      <c r="F836" s="14" t="s">
        <v>191</v>
      </c>
      <c r="G836" s="14" t="n">
        <v>1</v>
      </c>
      <c r="H836" s="14" t="s">
        <v>154</v>
      </c>
      <c r="I836" s="14" t="s">
        <v>892</v>
      </c>
      <c r="J836" s="15" t="n">
        <f aca="false">IF(B836="SITE LOSS",IF(D836=C836,1,0),IF(B836="REGION LOSS",IF(E836=C836,1,0),0))</f>
        <v>0</v>
      </c>
      <c r="K836" s="15" t="n">
        <f aca="false">IF(B836="SITE LOSS",IF(COUNTIFS('Site Dockets'!$B$7:$B$24,C836,'Site Dockets'!$C$7:$C$24,F836)&gt;0,1,0),IF(B836="REGION LOSS",IF(COUNTIFS('Site Dockets'!$E$7:$E$24,C836,'Site Dockets'!$C$7:$C$24,F836)&gt;0,1,0),0))</f>
        <v>0</v>
      </c>
      <c r="L836" s="15" t="n">
        <f aca="false">IF(J836=1,0,Inputs!$B$11)</f>
        <v>100</v>
      </c>
      <c r="M836" s="15" t="n">
        <f aca="false">IF(J836=1,0,Inputs!$B$12)</f>
        <v>75</v>
      </c>
      <c r="N836" s="15" t="n">
        <f aca="false">IF(J836=1,0,IF(OR(AND(OR(B836="SITE LOSS",B836="REGION LOSS"),K836=1),AND(B836="ROLE COMPROMISE",H836=C836)),Inputs!$B$13,Inputs!$B$14))</f>
        <v>10</v>
      </c>
      <c r="O836" s="15" t="n">
        <f aca="false">IF(J836=1,0,Inputs!$B$13)</f>
        <v>20</v>
      </c>
      <c r="P836" s="15" t="n">
        <f aca="false">SUM(M836:N836)</f>
        <v>85</v>
      </c>
      <c r="Q836" s="15" t="n">
        <f aca="false">IF(J836=1,"",L836-P836)</f>
        <v>15</v>
      </c>
      <c r="R836" s="15" t="n">
        <f aca="false">IF(OR(J836=1,M836&lt;=Inputs!$B$12),1,0)</f>
        <v>1</v>
      </c>
      <c r="S836" s="15" t="n">
        <f aca="false">IF(OR(J836=1,N836&lt;=O836),1,0)</f>
        <v>1</v>
      </c>
      <c r="T836" s="15" t="str">
        <f aca="false">IF(J836=1,"OFFLINE",IF(AND(Q836&gt;=Inputs!$B$15,R836=1,S836=1,P836&lt;=L836),"PASS","FAIL"))</f>
        <v>PASS</v>
      </c>
    </row>
    <row r="837" customFormat="false" ht="15" hidden="false" customHeight="false" outlineLevel="0" collapsed="false">
      <c r="A837" s="14" t="s">
        <v>1026</v>
      </c>
      <c r="B837" s="14" t="s">
        <v>1019</v>
      </c>
      <c r="C837" s="14" t="s">
        <v>178</v>
      </c>
      <c r="D837" s="14" t="s">
        <v>190</v>
      </c>
      <c r="E837" s="14" t="s">
        <v>152</v>
      </c>
      <c r="F837" s="14" t="s">
        <v>191</v>
      </c>
      <c r="G837" s="14" t="n">
        <v>1</v>
      </c>
      <c r="H837" s="14" t="s">
        <v>154</v>
      </c>
      <c r="I837" s="14" t="s">
        <v>811</v>
      </c>
      <c r="J837" s="15" t="n">
        <f aca="false">IF(B837="SITE LOSS",IF(D837=C837,1,0),IF(B837="REGION LOSS",IF(E837=C837,1,0),0))</f>
        <v>0</v>
      </c>
      <c r="K837" s="15" t="n">
        <f aca="false">IF(B837="SITE LOSS",IF(COUNTIFS('Site Dockets'!$B$7:$B$24,C837,'Site Dockets'!$C$7:$C$24,F837)&gt;0,1,0),IF(B837="REGION LOSS",IF(COUNTIFS('Site Dockets'!$E$7:$E$24,C837,'Site Dockets'!$C$7:$C$24,F837)&gt;0,1,0),0))</f>
        <v>0</v>
      </c>
      <c r="L837" s="15" t="n">
        <f aca="false">IF(J837=1,0,Inputs!$B$11)</f>
        <v>100</v>
      </c>
      <c r="M837" s="15" t="n">
        <f aca="false">IF(J837=1,0,Inputs!$B$12)</f>
        <v>75</v>
      </c>
      <c r="N837" s="15" t="n">
        <f aca="false">IF(J837=1,0,IF(OR(AND(OR(B837="SITE LOSS",B837="REGION LOSS"),K837=1),AND(B837="ROLE COMPROMISE",H837=C837)),Inputs!$B$13,Inputs!$B$14))</f>
        <v>10</v>
      </c>
      <c r="O837" s="15" t="n">
        <f aca="false">IF(J837=1,0,Inputs!$B$13)</f>
        <v>20</v>
      </c>
      <c r="P837" s="15" t="n">
        <f aca="false">SUM(M837:N837)</f>
        <v>85</v>
      </c>
      <c r="Q837" s="15" t="n">
        <f aca="false">IF(J837=1,"",L837-P837)</f>
        <v>15</v>
      </c>
      <c r="R837" s="15" t="n">
        <f aca="false">IF(OR(J837=1,M837&lt;=Inputs!$B$12),1,0)</f>
        <v>1</v>
      </c>
      <c r="S837" s="15" t="n">
        <f aca="false">IF(OR(J837=1,N837&lt;=O837),1,0)</f>
        <v>1</v>
      </c>
      <c r="T837" s="15" t="str">
        <f aca="false">IF(J837=1,"OFFLINE",IF(AND(Q837&gt;=Inputs!$B$15,R837=1,S837=1,P837&lt;=L837),"PASS","FAIL"))</f>
        <v>PASS</v>
      </c>
    </row>
    <row r="838" customFormat="false" ht="15" hidden="false" customHeight="false" outlineLevel="0" collapsed="false">
      <c r="A838" s="14" t="s">
        <v>1026</v>
      </c>
      <c r="B838" s="14" t="s">
        <v>1019</v>
      </c>
      <c r="C838" s="14" t="s">
        <v>178</v>
      </c>
      <c r="D838" s="14" t="s">
        <v>190</v>
      </c>
      <c r="E838" s="14" t="s">
        <v>152</v>
      </c>
      <c r="F838" s="14" t="s">
        <v>191</v>
      </c>
      <c r="G838" s="14" t="n">
        <v>1</v>
      </c>
      <c r="H838" s="14" t="s">
        <v>154</v>
      </c>
      <c r="I838" s="14" t="s">
        <v>895</v>
      </c>
      <c r="J838" s="15" t="n">
        <f aca="false">IF(B838="SITE LOSS",IF(D838=C838,1,0),IF(B838="REGION LOSS",IF(E838=C838,1,0),0))</f>
        <v>0</v>
      </c>
      <c r="K838" s="15" t="n">
        <f aca="false">IF(B838="SITE LOSS",IF(COUNTIFS('Site Dockets'!$B$7:$B$24,C838,'Site Dockets'!$C$7:$C$24,F838)&gt;0,1,0),IF(B838="REGION LOSS",IF(COUNTIFS('Site Dockets'!$E$7:$E$24,C838,'Site Dockets'!$C$7:$C$24,F838)&gt;0,1,0),0))</f>
        <v>0</v>
      </c>
      <c r="L838" s="15" t="n">
        <f aca="false">IF(J838=1,0,Inputs!$B$11)</f>
        <v>100</v>
      </c>
      <c r="M838" s="15" t="n">
        <f aca="false">IF(J838=1,0,Inputs!$B$12)</f>
        <v>75</v>
      </c>
      <c r="N838" s="15" t="n">
        <f aca="false">IF(J838=1,0,IF(OR(AND(OR(B838="SITE LOSS",B838="REGION LOSS"),K838=1),AND(B838="ROLE COMPROMISE",H838=C838)),Inputs!$B$13,Inputs!$B$14))</f>
        <v>10</v>
      </c>
      <c r="O838" s="15" t="n">
        <f aca="false">IF(J838=1,0,Inputs!$B$13)</f>
        <v>20</v>
      </c>
      <c r="P838" s="15" t="n">
        <f aca="false">SUM(M838:N838)</f>
        <v>85</v>
      </c>
      <c r="Q838" s="15" t="n">
        <f aca="false">IF(J838=1,"",L838-P838)</f>
        <v>15</v>
      </c>
      <c r="R838" s="15" t="n">
        <f aca="false">IF(OR(J838=1,M838&lt;=Inputs!$B$12),1,0)</f>
        <v>1</v>
      </c>
      <c r="S838" s="15" t="n">
        <f aca="false">IF(OR(J838=1,N838&lt;=O838),1,0)</f>
        <v>1</v>
      </c>
      <c r="T838" s="15" t="str">
        <f aca="false">IF(J838=1,"OFFLINE",IF(AND(Q838&gt;=Inputs!$B$15,R838=1,S838=1,P838&lt;=L838),"PASS","FAIL"))</f>
        <v>PASS</v>
      </c>
    </row>
    <row r="839" customFormat="false" ht="15" hidden="false" customHeight="false" outlineLevel="0" collapsed="false">
      <c r="A839" s="14" t="s">
        <v>1026</v>
      </c>
      <c r="B839" s="14" t="s">
        <v>1019</v>
      </c>
      <c r="C839" s="14" t="s">
        <v>178</v>
      </c>
      <c r="D839" s="14" t="s">
        <v>190</v>
      </c>
      <c r="E839" s="14" t="s">
        <v>152</v>
      </c>
      <c r="F839" s="14" t="s">
        <v>191</v>
      </c>
      <c r="G839" s="14" t="n">
        <v>1</v>
      </c>
      <c r="H839" s="14" t="s">
        <v>154</v>
      </c>
      <c r="I839" s="14" t="s">
        <v>897</v>
      </c>
      <c r="J839" s="15" t="n">
        <f aca="false">IF(B839="SITE LOSS",IF(D839=C839,1,0),IF(B839="REGION LOSS",IF(E839=C839,1,0),0))</f>
        <v>0</v>
      </c>
      <c r="K839" s="15" t="n">
        <f aca="false">IF(B839="SITE LOSS",IF(COUNTIFS('Site Dockets'!$B$7:$B$24,C839,'Site Dockets'!$C$7:$C$24,F839)&gt;0,1,0),IF(B839="REGION LOSS",IF(COUNTIFS('Site Dockets'!$E$7:$E$24,C839,'Site Dockets'!$C$7:$C$24,F839)&gt;0,1,0),0))</f>
        <v>0</v>
      </c>
      <c r="L839" s="15" t="n">
        <f aca="false">IF(J839=1,0,Inputs!$B$11)</f>
        <v>100</v>
      </c>
      <c r="M839" s="15" t="n">
        <f aca="false">IF(J839=1,0,Inputs!$B$12)</f>
        <v>75</v>
      </c>
      <c r="N839" s="15" t="n">
        <f aca="false">IF(J839=1,0,IF(OR(AND(OR(B839="SITE LOSS",B839="REGION LOSS"),K839=1),AND(B839="ROLE COMPROMISE",H839=C839)),Inputs!$B$13,Inputs!$B$14))</f>
        <v>10</v>
      </c>
      <c r="O839" s="15" t="n">
        <f aca="false">IF(J839=1,0,Inputs!$B$13)</f>
        <v>20</v>
      </c>
      <c r="P839" s="15" t="n">
        <f aca="false">SUM(M839:N839)</f>
        <v>85</v>
      </c>
      <c r="Q839" s="15" t="n">
        <f aca="false">IF(J839=1,"",L839-P839)</f>
        <v>15</v>
      </c>
      <c r="R839" s="15" t="n">
        <f aca="false">IF(OR(J839=1,M839&lt;=Inputs!$B$12),1,0)</f>
        <v>1</v>
      </c>
      <c r="S839" s="15" t="n">
        <f aca="false">IF(OR(J839=1,N839&lt;=O839),1,0)</f>
        <v>1</v>
      </c>
      <c r="T839" s="15" t="str">
        <f aca="false">IF(J839=1,"OFFLINE",IF(AND(Q839&gt;=Inputs!$B$15,R839=1,S839=1,P839&lt;=L839),"PASS","FAIL"))</f>
        <v>PASS</v>
      </c>
    </row>
    <row r="840" customFormat="false" ht="15" hidden="false" customHeight="false" outlineLevel="0" collapsed="false">
      <c r="A840" s="14" t="s">
        <v>1026</v>
      </c>
      <c r="B840" s="14" t="s">
        <v>1019</v>
      </c>
      <c r="C840" s="14" t="s">
        <v>178</v>
      </c>
      <c r="D840" s="14" t="s">
        <v>190</v>
      </c>
      <c r="E840" s="14" t="s">
        <v>152</v>
      </c>
      <c r="F840" s="14" t="s">
        <v>191</v>
      </c>
      <c r="G840" s="14" t="n">
        <v>1</v>
      </c>
      <c r="H840" s="14" t="s">
        <v>154</v>
      </c>
      <c r="I840" s="14" t="s">
        <v>899</v>
      </c>
      <c r="J840" s="15" t="n">
        <f aca="false">IF(B840="SITE LOSS",IF(D840=C840,1,0),IF(B840="REGION LOSS",IF(E840=C840,1,0),0))</f>
        <v>0</v>
      </c>
      <c r="K840" s="15" t="n">
        <f aca="false">IF(B840="SITE LOSS",IF(COUNTIFS('Site Dockets'!$B$7:$B$24,C840,'Site Dockets'!$C$7:$C$24,F840)&gt;0,1,0),IF(B840="REGION LOSS",IF(COUNTIFS('Site Dockets'!$E$7:$E$24,C840,'Site Dockets'!$C$7:$C$24,F840)&gt;0,1,0),0))</f>
        <v>0</v>
      </c>
      <c r="L840" s="15" t="n">
        <f aca="false">IF(J840=1,0,Inputs!$B$11)</f>
        <v>100</v>
      </c>
      <c r="M840" s="15" t="n">
        <f aca="false">IF(J840=1,0,Inputs!$B$12)</f>
        <v>75</v>
      </c>
      <c r="N840" s="15" t="n">
        <f aca="false">IF(J840=1,0,IF(OR(AND(OR(B840="SITE LOSS",B840="REGION LOSS"),K840=1),AND(B840="ROLE COMPROMISE",H840=C840)),Inputs!$B$13,Inputs!$B$14))</f>
        <v>10</v>
      </c>
      <c r="O840" s="15" t="n">
        <f aca="false">IF(J840=1,0,Inputs!$B$13)</f>
        <v>20</v>
      </c>
      <c r="P840" s="15" t="n">
        <f aca="false">SUM(M840:N840)</f>
        <v>85</v>
      </c>
      <c r="Q840" s="15" t="n">
        <f aca="false">IF(J840=1,"",L840-P840)</f>
        <v>15</v>
      </c>
      <c r="R840" s="15" t="n">
        <f aca="false">IF(OR(J840=1,M840&lt;=Inputs!$B$12),1,0)</f>
        <v>1</v>
      </c>
      <c r="S840" s="15" t="n">
        <f aca="false">IF(OR(J840=1,N840&lt;=O840),1,0)</f>
        <v>1</v>
      </c>
      <c r="T840" s="15" t="str">
        <f aca="false">IF(J840=1,"OFFLINE",IF(AND(Q840&gt;=Inputs!$B$15,R840=1,S840=1,P840&lt;=L840),"PASS","FAIL"))</f>
        <v>PASS</v>
      </c>
    </row>
    <row r="841" customFormat="false" ht="15" hidden="false" customHeight="false" outlineLevel="0" collapsed="false">
      <c r="A841" s="14" t="s">
        <v>1026</v>
      </c>
      <c r="B841" s="14" t="s">
        <v>1019</v>
      </c>
      <c r="C841" s="14" t="s">
        <v>178</v>
      </c>
      <c r="D841" s="14" t="s">
        <v>194</v>
      </c>
      <c r="E841" s="14" t="s">
        <v>169</v>
      </c>
      <c r="F841" s="14" t="s">
        <v>191</v>
      </c>
      <c r="G841" s="14" t="n">
        <v>2</v>
      </c>
      <c r="H841" s="14" t="s">
        <v>153</v>
      </c>
      <c r="I841" s="14" t="s">
        <v>890</v>
      </c>
      <c r="J841" s="15" t="n">
        <f aca="false">IF(B841="SITE LOSS",IF(D841=C841,1,0),IF(B841="REGION LOSS",IF(E841=C841,1,0),0))</f>
        <v>0</v>
      </c>
      <c r="K841" s="15" t="n">
        <f aca="false">IF(B841="SITE LOSS",IF(COUNTIFS('Site Dockets'!$B$7:$B$24,C841,'Site Dockets'!$C$7:$C$24,F841)&gt;0,1,0),IF(B841="REGION LOSS",IF(COUNTIFS('Site Dockets'!$E$7:$E$24,C841,'Site Dockets'!$C$7:$C$24,F841)&gt;0,1,0),0))</f>
        <v>0</v>
      </c>
      <c r="L841" s="15" t="n">
        <f aca="false">IF(J841=1,0,Inputs!$B$11)</f>
        <v>100</v>
      </c>
      <c r="M841" s="15" t="n">
        <f aca="false">IF(J841=1,0,Inputs!$B$12)</f>
        <v>75</v>
      </c>
      <c r="N841" s="15" t="n">
        <f aca="false">IF(J841=1,0,IF(OR(AND(OR(B841="SITE LOSS",B841="REGION LOSS"),K841=1),AND(B841="ROLE COMPROMISE",H841=C841)),Inputs!$B$13,Inputs!$B$14))</f>
        <v>10</v>
      </c>
      <c r="O841" s="15" t="n">
        <f aca="false">IF(J841=1,0,Inputs!$B$13)</f>
        <v>20</v>
      </c>
      <c r="P841" s="15" t="n">
        <f aca="false">SUM(M841:N841)</f>
        <v>85</v>
      </c>
      <c r="Q841" s="15" t="n">
        <f aca="false">IF(J841=1,"",L841-P841)</f>
        <v>15</v>
      </c>
      <c r="R841" s="15" t="n">
        <f aca="false">IF(OR(J841=1,M841&lt;=Inputs!$B$12),1,0)</f>
        <v>1</v>
      </c>
      <c r="S841" s="15" t="n">
        <f aca="false">IF(OR(J841=1,N841&lt;=O841),1,0)</f>
        <v>1</v>
      </c>
      <c r="T841" s="15" t="str">
        <f aca="false">IF(J841=1,"OFFLINE",IF(AND(Q841&gt;=Inputs!$B$15,R841=1,S841=1,P841&lt;=L841),"PASS","FAIL"))</f>
        <v>PASS</v>
      </c>
    </row>
    <row r="842" customFormat="false" ht="15" hidden="false" customHeight="false" outlineLevel="0" collapsed="false">
      <c r="A842" s="14" t="s">
        <v>1026</v>
      </c>
      <c r="B842" s="14" t="s">
        <v>1019</v>
      </c>
      <c r="C842" s="14" t="s">
        <v>178</v>
      </c>
      <c r="D842" s="14" t="s">
        <v>194</v>
      </c>
      <c r="E842" s="14" t="s">
        <v>169</v>
      </c>
      <c r="F842" s="14" t="s">
        <v>191</v>
      </c>
      <c r="G842" s="14" t="n">
        <v>2</v>
      </c>
      <c r="H842" s="14" t="s">
        <v>153</v>
      </c>
      <c r="I842" s="14" t="s">
        <v>892</v>
      </c>
      <c r="J842" s="15" t="n">
        <f aca="false">IF(B842="SITE LOSS",IF(D842=C842,1,0),IF(B842="REGION LOSS",IF(E842=C842,1,0),0))</f>
        <v>0</v>
      </c>
      <c r="K842" s="15" t="n">
        <f aca="false">IF(B842="SITE LOSS",IF(COUNTIFS('Site Dockets'!$B$7:$B$24,C842,'Site Dockets'!$C$7:$C$24,F842)&gt;0,1,0),IF(B842="REGION LOSS",IF(COUNTIFS('Site Dockets'!$E$7:$E$24,C842,'Site Dockets'!$C$7:$C$24,F842)&gt;0,1,0),0))</f>
        <v>0</v>
      </c>
      <c r="L842" s="15" t="n">
        <f aca="false">IF(J842=1,0,Inputs!$B$11)</f>
        <v>100</v>
      </c>
      <c r="M842" s="15" t="n">
        <f aca="false">IF(J842=1,0,Inputs!$B$12)</f>
        <v>75</v>
      </c>
      <c r="N842" s="15" t="n">
        <f aca="false">IF(J842=1,0,IF(OR(AND(OR(B842="SITE LOSS",B842="REGION LOSS"),K842=1),AND(B842="ROLE COMPROMISE",H842=C842)),Inputs!$B$13,Inputs!$B$14))</f>
        <v>10</v>
      </c>
      <c r="O842" s="15" t="n">
        <f aca="false">IF(J842=1,0,Inputs!$B$13)</f>
        <v>20</v>
      </c>
      <c r="P842" s="15" t="n">
        <f aca="false">SUM(M842:N842)</f>
        <v>85</v>
      </c>
      <c r="Q842" s="15" t="n">
        <f aca="false">IF(J842=1,"",L842-P842)</f>
        <v>15</v>
      </c>
      <c r="R842" s="15" t="n">
        <f aca="false">IF(OR(J842=1,M842&lt;=Inputs!$B$12),1,0)</f>
        <v>1</v>
      </c>
      <c r="S842" s="15" t="n">
        <f aca="false">IF(OR(J842=1,N842&lt;=O842),1,0)</f>
        <v>1</v>
      </c>
      <c r="T842" s="15" t="str">
        <f aca="false">IF(J842=1,"OFFLINE",IF(AND(Q842&gt;=Inputs!$B$15,R842=1,S842=1,P842&lt;=L842),"PASS","FAIL"))</f>
        <v>PASS</v>
      </c>
    </row>
    <row r="843" customFormat="false" ht="15" hidden="false" customHeight="false" outlineLevel="0" collapsed="false">
      <c r="A843" s="14" t="s">
        <v>1026</v>
      </c>
      <c r="B843" s="14" t="s">
        <v>1019</v>
      </c>
      <c r="C843" s="14" t="s">
        <v>178</v>
      </c>
      <c r="D843" s="14" t="s">
        <v>194</v>
      </c>
      <c r="E843" s="14" t="s">
        <v>169</v>
      </c>
      <c r="F843" s="14" t="s">
        <v>191</v>
      </c>
      <c r="G843" s="14" t="n">
        <v>2</v>
      </c>
      <c r="H843" s="14" t="s">
        <v>153</v>
      </c>
      <c r="I843" s="14" t="s">
        <v>811</v>
      </c>
      <c r="J843" s="15" t="n">
        <f aca="false">IF(B843="SITE LOSS",IF(D843=C843,1,0),IF(B843="REGION LOSS",IF(E843=C843,1,0),0))</f>
        <v>0</v>
      </c>
      <c r="K843" s="15" t="n">
        <f aca="false">IF(B843="SITE LOSS",IF(COUNTIFS('Site Dockets'!$B$7:$B$24,C843,'Site Dockets'!$C$7:$C$24,F843)&gt;0,1,0),IF(B843="REGION LOSS",IF(COUNTIFS('Site Dockets'!$E$7:$E$24,C843,'Site Dockets'!$C$7:$C$24,F843)&gt;0,1,0),0))</f>
        <v>0</v>
      </c>
      <c r="L843" s="15" t="n">
        <f aca="false">IF(J843=1,0,Inputs!$B$11)</f>
        <v>100</v>
      </c>
      <c r="M843" s="15" t="n">
        <f aca="false">IF(J843=1,0,Inputs!$B$12)</f>
        <v>75</v>
      </c>
      <c r="N843" s="15" t="n">
        <f aca="false">IF(J843=1,0,IF(OR(AND(OR(B843="SITE LOSS",B843="REGION LOSS"),K843=1),AND(B843="ROLE COMPROMISE",H843=C843)),Inputs!$B$13,Inputs!$B$14))</f>
        <v>10</v>
      </c>
      <c r="O843" s="15" t="n">
        <f aca="false">IF(J843=1,0,Inputs!$B$13)</f>
        <v>20</v>
      </c>
      <c r="P843" s="15" t="n">
        <f aca="false">SUM(M843:N843)</f>
        <v>85</v>
      </c>
      <c r="Q843" s="15" t="n">
        <f aca="false">IF(J843=1,"",L843-P843)</f>
        <v>15</v>
      </c>
      <c r="R843" s="15" t="n">
        <f aca="false">IF(OR(J843=1,M843&lt;=Inputs!$B$12),1,0)</f>
        <v>1</v>
      </c>
      <c r="S843" s="15" t="n">
        <f aca="false">IF(OR(J843=1,N843&lt;=O843),1,0)</f>
        <v>1</v>
      </c>
      <c r="T843" s="15" t="str">
        <f aca="false">IF(J843=1,"OFFLINE",IF(AND(Q843&gt;=Inputs!$B$15,R843=1,S843=1,P843&lt;=L843),"PASS","FAIL"))</f>
        <v>PASS</v>
      </c>
    </row>
    <row r="844" customFormat="false" ht="15" hidden="false" customHeight="false" outlineLevel="0" collapsed="false">
      <c r="A844" s="14" t="s">
        <v>1026</v>
      </c>
      <c r="B844" s="14" t="s">
        <v>1019</v>
      </c>
      <c r="C844" s="14" t="s">
        <v>178</v>
      </c>
      <c r="D844" s="14" t="s">
        <v>194</v>
      </c>
      <c r="E844" s="14" t="s">
        <v>169</v>
      </c>
      <c r="F844" s="14" t="s">
        <v>191</v>
      </c>
      <c r="G844" s="14" t="n">
        <v>2</v>
      </c>
      <c r="H844" s="14" t="s">
        <v>153</v>
      </c>
      <c r="I844" s="14" t="s">
        <v>895</v>
      </c>
      <c r="J844" s="15" t="n">
        <f aca="false">IF(B844="SITE LOSS",IF(D844=C844,1,0),IF(B844="REGION LOSS",IF(E844=C844,1,0),0))</f>
        <v>0</v>
      </c>
      <c r="K844" s="15" t="n">
        <f aca="false">IF(B844="SITE LOSS",IF(COUNTIFS('Site Dockets'!$B$7:$B$24,C844,'Site Dockets'!$C$7:$C$24,F844)&gt;0,1,0),IF(B844="REGION LOSS",IF(COUNTIFS('Site Dockets'!$E$7:$E$24,C844,'Site Dockets'!$C$7:$C$24,F844)&gt;0,1,0),0))</f>
        <v>0</v>
      </c>
      <c r="L844" s="15" t="n">
        <f aca="false">IF(J844=1,0,Inputs!$B$11)</f>
        <v>100</v>
      </c>
      <c r="M844" s="15" t="n">
        <f aca="false">IF(J844=1,0,Inputs!$B$12)</f>
        <v>75</v>
      </c>
      <c r="N844" s="15" t="n">
        <f aca="false">IF(J844=1,0,IF(OR(AND(OR(B844="SITE LOSS",B844="REGION LOSS"),K844=1),AND(B844="ROLE COMPROMISE",H844=C844)),Inputs!$B$13,Inputs!$B$14))</f>
        <v>10</v>
      </c>
      <c r="O844" s="15" t="n">
        <f aca="false">IF(J844=1,0,Inputs!$B$13)</f>
        <v>20</v>
      </c>
      <c r="P844" s="15" t="n">
        <f aca="false">SUM(M844:N844)</f>
        <v>85</v>
      </c>
      <c r="Q844" s="15" t="n">
        <f aca="false">IF(J844=1,"",L844-P844)</f>
        <v>15</v>
      </c>
      <c r="R844" s="15" t="n">
        <f aca="false">IF(OR(J844=1,M844&lt;=Inputs!$B$12),1,0)</f>
        <v>1</v>
      </c>
      <c r="S844" s="15" t="n">
        <f aca="false">IF(OR(J844=1,N844&lt;=O844),1,0)</f>
        <v>1</v>
      </c>
      <c r="T844" s="15" t="str">
        <f aca="false">IF(J844=1,"OFFLINE",IF(AND(Q844&gt;=Inputs!$B$15,R844=1,S844=1,P844&lt;=L844),"PASS","FAIL"))</f>
        <v>PASS</v>
      </c>
    </row>
    <row r="845" customFormat="false" ht="15" hidden="false" customHeight="false" outlineLevel="0" collapsed="false">
      <c r="A845" s="14" t="s">
        <v>1026</v>
      </c>
      <c r="B845" s="14" t="s">
        <v>1019</v>
      </c>
      <c r="C845" s="14" t="s">
        <v>178</v>
      </c>
      <c r="D845" s="14" t="s">
        <v>194</v>
      </c>
      <c r="E845" s="14" t="s">
        <v>169</v>
      </c>
      <c r="F845" s="14" t="s">
        <v>191</v>
      </c>
      <c r="G845" s="14" t="n">
        <v>2</v>
      </c>
      <c r="H845" s="14" t="s">
        <v>153</v>
      </c>
      <c r="I845" s="14" t="s">
        <v>897</v>
      </c>
      <c r="J845" s="15" t="n">
        <f aca="false">IF(B845="SITE LOSS",IF(D845=C845,1,0),IF(B845="REGION LOSS",IF(E845=C845,1,0),0))</f>
        <v>0</v>
      </c>
      <c r="K845" s="15" t="n">
        <f aca="false">IF(B845="SITE LOSS",IF(COUNTIFS('Site Dockets'!$B$7:$B$24,C845,'Site Dockets'!$C$7:$C$24,F845)&gt;0,1,0),IF(B845="REGION LOSS",IF(COUNTIFS('Site Dockets'!$E$7:$E$24,C845,'Site Dockets'!$C$7:$C$24,F845)&gt;0,1,0),0))</f>
        <v>0</v>
      </c>
      <c r="L845" s="15" t="n">
        <f aca="false">IF(J845=1,0,Inputs!$B$11)</f>
        <v>100</v>
      </c>
      <c r="M845" s="15" t="n">
        <f aca="false">IF(J845=1,0,Inputs!$B$12)</f>
        <v>75</v>
      </c>
      <c r="N845" s="15" t="n">
        <f aca="false">IF(J845=1,0,IF(OR(AND(OR(B845="SITE LOSS",B845="REGION LOSS"),K845=1),AND(B845="ROLE COMPROMISE",H845=C845)),Inputs!$B$13,Inputs!$B$14))</f>
        <v>10</v>
      </c>
      <c r="O845" s="15" t="n">
        <f aca="false">IF(J845=1,0,Inputs!$B$13)</f>
        <v>20</v>
      </c>
      <c r="P845" s="15" t="n">
        <f aca="false">SUM(M845:N845)</f>
        <v>85</v>
      </c>
      <c r="Q845" s="15" t="n">
        <f aca="false">IF(J845=1,"",L845-P845)</f>
        <v>15</v>
      </c>
      <c r="R845" s="15" t="n">
        <f aca="false">IF(OR(J845=1,M845&lt;=Inputs!$B$12),1,0)</f>
        <v>1</v>
      </c>
      <c r="S845" s="15" t="n">
        <f aca="false">IF(OR(J845=1,N845&lt;=O845),1,0)</f>
        <v>1</v>
      </c>
      <c r="T845" s="15" t="str">
        <f aca="false">IF(J845=1,"OFFLINE",IF(AND(Q845&gt;=Inputs!$B$15,R845=1,S845=1,P845&lt;=L845),"PASS","FAIL"))</f>
        <v>PASS</v>
      </c>
    </row>
    <row r="846" customFormat="false" ht="15" hidden="false" customHeight="false" outlineLevel="0" collapsed="false">
      <c r="A846" s="14" t="s">
        <v>1026</v>
      </c>
      <c r="B846" s="14" t="s">
        <v>1019</v>
      </c>
      <c r="C846" s="14" t="s">
        <v>178</v>
      </c>
      <c r="D846" s="14" t="s">
        <v>194</v>
      </c>
      <c r="E846" s="14" t="s">
        <v>169</v>
      </c>
      <c r="F846" s="14" t="s">
        <v>191</v>
      </c>
      <c r="G846" s="14" t="n">
        <v>2</v>
      </c>
      <c r="H846" s="14" t="s">
        <v>153</v>
      </c>
      <c r="I846" s="14" t="s">
        <v>899</v>
      </c>
      <c r="J846" s="15" t="n">
        <f aca="false">IF(B846="SITE LOSS",IF(D846=C846,1,0),IF(B846="REGION LOSS",IF(E846=C846,1,0),0))</f>
        <v>0</v>
      </c>
      <c r="K846" s="15" t="n">
        <f aca="false">IF(B846="SITE LOSS",IF(COUNTIFS('Site Dockets'!$B$7:$B$24,C846,'Site Dockets'!$C$7:$C$24,F846)&gt;0,1,0),IF(B846="REGION LOSS",IF(COUNTIFS('Site Dockets'!$E$7:$E$24,C846,'Site Dockets'!$C$7:$C$24,F846)&gt;0,1,0),0))</f>
        <v>0</v>
      </c>
      <c r="L846" s="15" t="n">
        <f aca="false">IF(J846=1,0,Inputs!$B$11)</f>
        <v>100</v>
      </c>
      <c r="M846" s="15" t="n">
        <f aca="false">IF(J846=1,0,Inputs!$B$12)</f>
        <v>75</v>
      </c>
      <c r="N846" s="15" t="n">
        <f aca="false">IF(J846=1,0,IF(OR(AND(OR(B846="SITE LOSS",B846="REGION LOSS"),K846=1),AND(B846="ROLE COMPROMISE",H846=C846)),Inputs!$B$13,Inputs!$B$14))</f>
        <v>10</v>
      </c>
      <c r="O846" s="15" t="n">
        <f aca="false">IF(J846=1,0,Inputs!$B$13)</f>
        <v>20</v>
      </c>
      <c r="P846" s="15" t="n">
        <f aca="false">SUM(M846:N846)</f>
        <v>85</v>
      </c>
      <c r="Q846" s="15" t="n">
        <f aca="false">IF(J846=1,"",L846-P846)</f>
        <v>15</v>
      </c>
      <c r="R846" s="15" t="n">
        <f aca="false">IF(OR(J846=1,M846&lt;=Inputs!$B$12),1,0)</f>
        <v>1</v>
      </c>
      <c r="S846" s="15" t="n">
        <f aca="false">IF(OR(J846=1,N846&lt;=O846),1,0)</f>
        <v>1</v>
      </c>
      <c r="T846" s="15" t="str">
        <f aca="false">IF(J846=1,"OFFLINE",IF(AND(Q846&gt;=Inputs!$B$15,R846=1,S846=1,P846&lt;=L846),"PASS","FAIL"))</f>
        <v>PASS</v>
      </c>
    </row>
    <row r="847" customFormat="false" ht="15" hidden="false" customHeight="false" outlineLevel="0" collapsed="false">
      <c r="A847" s="14" t="s">
        <v>1026</v>
      </c>
      <c r="B847" s="14" t="s">
        <v>1019</v>
      </c>
      <c r="C847" s="14" t="s">
        <v>178</v>
      </c>
      <c r="D847" s="14" t="s">
        <v>196</v>
      </c>
      <c r="E847" s="14" t="s">
        <v>172</v>
      </c>
      <c r="F847" s="14" t="s">
        <v>191</v>
      </c>
      <c r="G847" s="14" t="n">
        <v>3</v>
      </c>
      <c r="H847" s="14" t="s">
        <v>158</v>
      </c>
      <c r="I847" s="14" t="s">
        <v>890</v>
      </c>
      <c r="J847" s="15" t="n">
        <f aca="false">IF(B847="SITE LOSS",IF(D847=C847,1,0),IF(B847="REGION LOSS",IF(E847=C847,1,0),0))</f>
        <v>0</v>
      </c>
      <c r="K847" s="15" t="n">
        <f aca="false">IF(B847="SITE LOSS",IF(COUNTIFS('Site Dockets'!$B$7:$B$24,C847,'Site Dockets'!$C$7:$C$24,F847)&gt;0,1,0),IF(B847="REGION LOSS",IF(COUNTIFS('Site Dockets'!$E$7:$E$24,C847,'Site Dockets'!$C$7:$C$24,F847)&gt;0,1,0),0))</f>
        <v>0</v>
      </c>
      <c r="L847" s="15" t="n">
        <f aca="false">IF(J847=1,0,Inputs!$B$11)</f>
        <v>100</v>
      </c>
      <c r="M847" s="15" t="n">
        <f aca="false">IF(J847=1,0,Inputs!$B$12)</f>
        <v>75</v>
      </c>
      <c r="N847" s="15" t="n">
        <f aca="false">IF(J847=1,0,IF(OR(AND(OR(B847="SITE LOSS",B847="REGION LOSS"),K847=1),AND(B847="ROLE COMPROMISE",H847=C847)),Inputs!$B$13,Inputs!$B$14))</f>
        <v>10</v>
      </c>
      <c r="O847" s="15" t="n">
        <f aca="false">IF(J847=1,0,Inputs!$B$13)</f>
        <v>20</v>
      </c>
      <c r="P847" s="15" t="n">
        <f aca="false">SUM(M847:N847)</f>
        <v>85</v>
      </c>
      <c r="Q847" s="15" t="n">
        <f aca="false">IF(J847=1,"",L847-P847)</f>
        <v>15</v>
      </c>
      <c r="R847" s="15" t="n">
        <f aca="false">IF(OR(J847=1,M847&lt;=Inputs!$B$12),1,0)</f>
        <v>1</v>
      </c>
      <c r="S847" s="15" t="n">
        <f aca="false">IF(OR(J847=1,N847&lt;=O847),1,0)</f>
        <v>1</v>
      </c>
      <c r="T847" s="15" t="str">
        <f aca="false">IF(J847=1,"OFFLINE",IF(AND(Q847&gt;=Inputs!$B$15,R847=1,S847=1,P847&lt;=L847),"PASS","FAIL"))</f>
        <v>PASS</v>
      </c>
    </row>
    <row r="848" customFormat="false" ht="15" hidden="false" customHeight="false" outlineLevel="0" collapsed="false">
      <c r="A848" s="14" t="s">
        <v>1026</v>
      </c>
      <c r="B848" s="14" t="s">
        <v>1019</v>
      </c>
      <c r="C848" s="14" t="s">
        <v>178</v>
      </c>
      <c r="D848" s="14" t="s">
        <v>196</v>
      </c>
      <c r="E848" s="14" t="s">
        <v>172</v>
      </c>
      <c r="F848" s="14" t="s">
        <v>191</v>
      </c>
      <c r="G848" s="14" t="n">
        <v>3</v>
      </c>
      <c r="H848" s="14" t="s">
        <v>158</v>
      </c>
      <c r="I848" s="14" t="s">
        <v>892</v>
      </c>
      <c r="J848" s="15" t="n">
        <f aca="false">IF(B848="SITE LOSS",IF(D848=C848,1,0),IF(B848="REGION LOSS",IF(E848=C848,1,0),0))</f>
        <v>0</v>
      </c>
      <c r="K848" s="15" t="n">
        <f aca="false">IF(B848="SITE LOSS",IF(COUNTIFS('Site Dockets'!$B$7:$B$24,C848,'Site Dockets'!$C$7:$C$24,F848)&gt;0,1,0),IF(B848="REGION LOSS",IF(COUNTIFS('Site Dockets'!$E$7:$E$24,C848,'Site Dockets'!$C$7:$C$24,F848)&gt;0,1,0),0))</f>
        <v>0</v>
      </c>
      <c r="L848" s="15" t="n">
        <f aca="false">IF(J848=1,0,Inputs!$B$11)</f>
        <v>100</v>
      </c>
      <c r="M848" s="15" t="n">
        <f aca="false">IF(J848=1,0,Inputs!$B$12)</f>
        <v>75</v>
      </c>
      <c r="N848" s="15" t="n">
        <f aca="false">IF(J848=1,0,IF(OR(AND(OR(B848="SITE LOSS",B848="REGION LOSS"),K848=1),AND(B848="ROLE COMPROMISE",H848=C848)),Inputs!$B$13,Inputs!$B$14))</f>
        <v>10</v>
      </c>
      <c r="O848" s="15" t="n">
        <f aca="false">IF(J848=1,0,Inputs!$B$13)</f>
        <v>20</v>
      </c>
      <c r="P848" s="15" t="n">
        <f aca="false">SUM(M848:N848)</f>
        <v>85</v>
      </c>
      <c r="Q848" s="15" t="n">
        <f aca="false">IF(J848=1,"",L848-P848)</f>
        <v>15</v>
      </c>
      <c r="R848" s="15" t="n">
        <f aca="false">IF(OR(J848=1,M848&lt;=Inputs!$B$12),1,0)</f>
        <v>1</v>
      </c>
      <c r="S848" s="15" t="n">
        <f aca="false">IF(OR(J848=1,N848&lt;=O848),1,0)</f>
        <v>1</v>
      </c>
      <c r="T848" s="15" t="str">
        <f aca="false">IF(J848=1,"OFFLINE",IF(AND(Q848&gt;=Inputs!$B$15,R848=1,S848=1,P848&lt;=L848),"PASS","FAIL"))</f>
        <v>PASS</v>
      </c>
    </row>
    <row r="849" customFormat="false" ht="15" hidden="false" customHeight="false" outlineLevel="0" collapsed="false">
      <c r="A849" s="14" t="s">
        <v>1026</v>
      </c>
      <c r="B849" s="14" t="s">
        <v>1019</v>
      </c>
      <c r="C849" s="14" t="s">
        <v>178</v>
      </c>
      <c r="D849" s="14" t="s">
        <v>196</v>
      </c>
      <c r="E849" s="14" t="s">
        <v>172</v>
      </c>
      <c r="F849" s="14" t="s">
        <v>191</v>
      </c>
      <c r="G849" s="14" t="n">
        <v>3</v>
      </c>
      <c r="H849" s="14" t="s">
        <v>158</v>
      </c>
      <c r="I849" s="14" t="s">
        <v>811</v>
      </c>
      <c r="J849" s="15" t="n">
        <f aca="false">IF(B849="SITE LOSS",IF(D849=C849,1,0),IF(B849="REGION LOSS",IF(E849=C849,1,0),0))</f>
        <v>0</v>
      </c>
      <c r="K849" s="15" t="n">
        <f aca="false">IF(B849="SITE LOSS",IF(COUNTIFS('Site Dockets'!$B$7:$B$24,C849,'Site Dockets'!$C$7:$C$24,F849)&gt;0,1,0),IF(B849="REGION LOSS",IF(COUNTIFS('Site Dockets'!$E$7:$E$24,C849,'Site Dockets'!$C$7:$C$24,F849)&gt;0,1,0),0))</f>
        <v>0</v>
      </c>
      <c r="L849" s="15" t="n">
        <f aca="false">IF(J849=1,0,Inputs!$B$11)</f>
        <v>100</v>
      </c>
      <c r="M849" s="15" t="n">
        <f aca="false">IF(J849=1,0,Inputs!$B$12)</f>
        <v>75</v>
      </c>
      <c r="N849" s="15" t="n">
        <f aca="false">IF(J849=1,0,IF(OR(AND(OR(B849="SITE LOSS",B849="REGION LOSS"),K849=1),AND(B849="ROLE COMPROMISE",H849=C849)),Inputs!$B$13,Inputs!$B$14))</f>
        <v>10</v>
      </c>
      <c r="O849" s="15" t="n">
        <f aca="false">IF(J849=1,0,Inputs!$B$13)</f>
        <v>20</v>
      </c>
      <c r="P849" s="15" t="n">
        <f aca="false">SUM(M849:N849)</f>
        <v>85</v>
      </c>
      <c r="Q849" s="15" t="n">
        <f aca="false">IF(J849=1,"",L849-P849)</f>
        <v>15</v>
      </c>
      <c r="R849" s="15" t="n">
        <f aca="false">IF(OR(J849=1,M849&lt;=Inputs!$B$12),1,0)</f>
        <v>1</v>
      </c>
      <c r="S849" s="15" t="n">
        <f aca="false">IF(OR(J849=1,N849&lt;=O849),1,0)</f>
        <v>1</v>
      </c>
      <c r="T849" s="15" t="str">
        <f aca="false">IF(J849=1,"OFFLINE",IF(AND(Q849&gt;=Inputs!$B$15,R849=1,S849=1,P849&lt;=L849),"PASS","FAIL"))</f>
        <v>PASS</v>
      </c>
    </row>
    <row r="850" customFormat="false" ht="15" hidden="false" customHeight="false" outlineLevel="0" collapsed="false">
      <c r="A850" s="14" t="s">
        <v>1026</v>
      </c>
      <c r="B850" s="14" t="s">
        <v>1019</v>
      </c>
      <c r="C850" s="14" t="s">
        <v>178</v>
      </c>
      <c r="D850" s="14" t="s">
        <v>196</v>
      </c>
      <c r="E850" s="14" t="s">
        <v>172</v>
      </c>
      <c r="F850" s="14" t="s">
        <v>191</v>
      </c>
      <c r="G850" s="14" t="n">
        <v>3</v>
      </c>
      <c r="H850" s="14" t="s">
        <v>158</v>
      </c>
      <c r="I850" s="14" t="s">
        <v>895</v>
      </c>
      <c r="J850" s="15" t="n">
        <f aca="false">IF(B850="SITE LOSS",IF(D850=C850,1,0),IF(B850="REGION LOSS",IF(E850=C850,1,0),0))</f>
        <v>0</v>
      </c>
      <c r="K850" s="15" t="n">
        <f aca="false">IF(B850="SITE LOSS",IF(COUNTIFS('Site Dockets'!$B$7:$B$24,C850,'Site Dockets'!$C$7:$C$24,F850)&gt;0,1,0),IF(B850="REGION LOSS",IF(COUNTIFS('Site Dockets'!$E$7:$E$24,C850,'Site Dockets'!$C$7:$C$24,F850)&gt;0,1,0),0))</f>
        <v>0</v>
      </c>
      <c r="L850" s="15" t="n">
        <f aca="false">IF(J850=1,0,Inputs!$B$11)</f>
        <v>100</v>
      </c>
      <c r="M850" s="15" t="n">
        <f aca="false">IF(J850=1,0,Inputs!$B$12)</f>
        <v>75</v>
      </c>
      <c r="N850" s="15" t="n">
        <f aca="false">IF(J850=1,0,IF(OR(AND(OR(B850="SITE LOSS",B850="REGION LOSS"),K850=1),AND(B850="ROLE COMPROMISE",H850=C850)),Inputs!$B$13,Inputs!$B$14))</f>
        <v>10</v>
      </c>
      <c r="O850" s="15" t="n">
        <f aca="false">IF(J850=1,0,Inputs!$B$13)</f>
        <v>20</v>
      </c>
      <c r="P850" s="15" t="n">
        <f aca="false">SUM(M850:N850)</f>
        <v>85</v>
      </c>
      <c r="Q850" s="15" t="n">
        <f aca="false">IF(J850=1,"",L850-P850)</f>
        <v>15</v>
      </c>
      <c r="R850" s="15" t="n">
        <f aca="false">IF(OR(J850=1,M850&lt;=Inputs!$B$12),1,0)</f>
        <v>1</v>
      </c>
      <c r="S850" s="15" t="n">
        <f aca="false">IF(OR(J850=1,N850&lt;=O850),1,0)</f>
        <v>1</v>
      </c>
      <c r="T850" s="15" t="str">
        <f aca="false">IF(J850=1,"OFFLINE",IF(AND(Q850&gt;=Inputs!$B$15,R850=1,S850=1,P850&lt;=L850),"PASS","FAIL"))</f>
        <v>PASS</v>
      </c>
    </row>
    <row r="851" customFormat="false" ht="15" hidden="false" customHeight="false" outlineLevel="0" collapsed="false">
      <c r="A851" s="14" t="s">
        <v>1026</v>
      </c>
      <c r="B851" s="14" t="s">
        <v>1019</v>
      </c>
      <c r="C851" s="14" t="s">
        <v>178</v>
      </c>
      <c r="D851" s="14" t="s">
        <v>196</v>
      </c>
      <c r="E851" s="14" t="s">
        <v>172</v>
      </c>
      <c r="F851" s="14" t="s">
        <v>191</v>
      </c>
      <c r="G851" s="14" t="n">
        <v>3</v>
      </c>
      <c r="H851" s="14" t="s">
        <v>158</v>
      </c>
      <c r="I851" s="14" t="s">
        <v>897</v>
      </c>
      <c r="J851" s="15" t="n">
        <f aca="false">IF(B851="SITE LOSS",IF(D851=C851,1,0),IF(B851="REGION LOSS",IF(E851=C851,1,0),0))</f>
        <v>0</v>
      </c>
      <c r="K851" s="15" t="n">
        <f aca="false">IF(B851="SITE LOSS",IF(COUNTIFS('Site Dockets'!$B$7:$B$24,C851,'Site Dockets'!$C$7:$C$24,F851)&gt;0,1,0),IF(B851="REGION LOSS",IF(COUNTIFS('Site Dockets'!$E$7:$E$24,C851,'Site Dockets'!$C$7:$C$24,F851)&gt;0,1,0),0))</f>
        <v>0</v>
      </c>
      <c r="L851" s="15" t="n">
        <f aca="false">IF(J851=1,0,Inputs!$B$11)</f>
        <v>100</v>
      </c>
      <c r="M851" s="15" t="n">
        <f aca="false">IF(J851=1,0,Inputs!$B$12)</f>
        <v>75</v>
      </c>
      <c r="N851" s="15" t="n">
        <f aca="false">IF(J851=1,0,IF(OR(AND(OR(B851="SITE LOSS",B851="REGION LOSS"),K851=1),AND(B851="ROLE COMPROMISE",H851=C851)),Inputs!$B$13,Inputs!$B$14))</f>
        <v>10</v>
      </c>
      <c r="O851" s="15" t="n">
        <f aca="false">IF(J851=1,0,Inputs!$B$13)</f>
        <v>20</v>
      </c>
      <c r="P851" s="15" t="n">
        <f aca="false">SUM(M851:N851)</f>
        <v>85</v>
      </c>
      <c r="Q851" s="15" t="n">
        <f aca="false">IF(J851=1,"",L851-P851)</f>
        <v>15</v>
      </c>
      <c r="R851" s="15" t="n">
        <f aca="false">IF(OR(J851=1,M851&lt;=Inputs!$B$12),1,0)</f>
        <v>1</v>
      </c>
      <c r="S851" s="15" t="n">
        <f aca="false">IF(OR(J851=1,N851&lt;=O851),1,0)</f>
        <v>1</v>
      </c>
      <c r="T851" s="15" t="str">
        <f aca="false">IF(J851=1,"OFFLINE",IF(AND(Q851&gt;=Inputs!$B$15,R851=1,S851=1,P851&lt;=L851),"PASS","FAIL"))</f>
        <v>PASS</v>
      </c>
    </row>
    <row r="852" customFormat="false" ht="15" hidden="false" customHeight="false" outlineLevel="0" collapsed="false">
      <c r="A852" s="14" t="s">
        <v>1026</v>
      </c>
      <c r="B852" s="14" t="s">
        <v>1019</v>
      </c>
      <c r="C852" s="14" t="s">
        <v>178</v>
      </c>
      <c r="D852" s="14" t="s">
        <v>196</v>
      </c>
      <c r="E852" s="14" t="s">
        <v>172</v>
      </c>
      <c r="F852" s="14" t="s">
        <v>191</v>
      </c>
      <c r="G852" s="14" t="n">
        <v>3</v>
      </c>
      <c r="H852" s="14" t="s">
        <v>158</v>
      </c>
      <c r="I852" s="14" t="s">
        <v>899</v>
      </c>
      <c r="J852" s="15" t="n">
        <f aca="false">IF(B852="SITE LOSS",IF(D852=C852,1,0),IF(B852="REGION LOSS",IF(E852=C852,1,0),0))</f>
        <v>0</v>
      </c>
      <c r="K852" s="15" t="n">
        <f aca="false">IF(B852="SITE LOSS",IF(COUNTIFS('Site Dockets'!$B$7:$B$24,C852,'Site Dockets'!$C$7:$C$24,F852)&gt;0,1,0),IF(B852="REGION LOSS",IF(COUNTIFS('Site Dockets'!$E$7:$E$24,C852,'Site Dockets'!$C$7:$C$24,F852)&gt;0,1,0),0))</f>
        <v>0</v>
      </c>
      <c r="L852" s="15" t="n">
        <f aca="false">IF(J852=1,0,Inputs!$B$11)</f>
        <v>100</v>
      </c>
      <c r="M852" s="15" t="n">
        <f aca="false">IF(J852=1,0,Inputs!$B$12)</f>
        <v>75</v>
      </c>
      <c r="N852" s="15" t="n">
        <f aca="false">IF(J852=1,0,IF(OR(AND(OR(B852="SITE LOSS",B852="REGION LOSS"),K852=1),AND(B852="ROLE COMPROMISE",H852=C852)),Inputs!$B$13,Inputs!$B$14))</f>
        <v>10</v>
      </c>
      <c r="O852" s="15" t="n">
        <f aca="false">IF(J852=1,0,Inputs!$B$13)</f>
        <v>20</v>
      </c>
      <c r="P852" s="15" t="n">
        <f aca="false">SUM(M852:N852)</f>
        <v>85</v>
      </c>
      <c r="Q852" s="15" t="n">
        <f aca="false">IF(J852=1,"",L852-P852)</f>
        <v>15</v>
      </c>
      <c r="R852" s="15" t="n">
        <f aca="false">IF(OR(J852=1,M852&lt;=Inputs!$B$12),1,0)</f>
        <v>1</v>
      </c>
      <c r="S852" s="15" t="n">
        <f aca="false">IF(OR(J852=1,N852&lt;=O852),1,0)</f>
        <v>1</v>
      </c>
      <c r="T852" s="15" t="str">
        <f aca="false">IF(J852=1,"OFFLINE",IF(AND(Q852&gt;=Inputs!$B$15,R852=1,S852=1,P852&lt;=L852),"PASS","FAIL"))</f>
        <v>PASS</v>
      </c>
    </row>
    <row r="853" customFormat="false" ht="15" hidden="false" customHeight="false" outlineLevel="0" collapsed="false">
      <c r="A853" s="14" t="s">
        <v>1026</v>
      </c>
      <c r="B853" s="14" t="s">
        <v>1019</v>
      </c>
      <c r="C853" s="14" t="s">
        <v>178</v>
      </c>
      <c r="D853" s="14" t="s">
        <v>198</v>
      </c>
      <c r="E853" s="14" t="s">
        <v>166</v>
      </c>
      <c r="F853" s="14" t="s">
        <v>199</v>
      </c>
      <c r="G853" s="14" t="n">
        <v>1</v>
      </c>
      <c r="H853" s="14" t="s">
        <v>154</v>
      </c>
      <c r="I853" s="14" t="s">
        <v>890</v>
      </c>
      <c r="J853" s="15" t="n">
        <f aca="false">IF(B853="SITE LOSS",IF(D853=C853,1,0),IF(B853="REGION LOSS",IF(E853=C853,1,0),0))</f>
        <v>0</v>
      </c>
      <c r="K853" s="15" t="n">
        <f aca="false">IF(B853="SITE LOSS",IF(COUNTIFS('Site Dockets'!$B$7:$B$24,C853,'Site Dockets'!$C$7:$C$24,F853)&gt;0,1,0),IF(B853="REGION LOSS",IF(COUNTIFS('Site Dockets'!$E$7:$E$24,C853,'Site Dockets'!$C$7:$C$24,F853)&gt;0,1,0),0))</f>
        <v>0</v>
      </c>
      <c r="L853" s="15" t="n">
        <f aca="false">IF(J853=1,0,Inputs!$B$11)</f>
        <v>100</v>
      </c>
      <c r="M853" s="15" t="n">
        <f aca="false">IF(J853=1,0,Inputs!$B$12)</f>
        <v>75</v>
      </c>
      <c r="N853" s="15" t="n">
        <f aca="false">IF(J853=1,0,IF(OR(AND(OR(B853="SITE LOSS",B853="REGION LOSS"),K853=1),AND(B853="ROLE COMPROMISE",H853=C853)),Inputs!$B$13,Inputs!$B$14))</f>
        <v>10</v>
      </c>
      <c r="O853" s="15" t="n">
        <f aca="false">IF(J853=1,0,Inputs!$B$13)</f>
        <v>20</v>
      </c>
      <c r="P853" s="15" t="n">
        <f aca="false">SUM(M853:N853)</f>
        <v>85</v>
      </c>
      <c r="Q853" s="15" t="n">
        <f aca="false">IF(J853=1,"",L853-P853)</f>
        <v>15</v>
      </c>
      <c r="R853" s="15" t="n">
        <f aca="false">IF(OR(J853=1,M853&lt;=Inputs!$B$12),1,0)</f>
        <v>1</v>
      </c>
      <c r="S853" s="15" t="n">
        <f aca="false">IF(OR(J853=1,N853&lt;=O853),1,0)</f>
        <v>1</v>
      </c>
      <c r="T853" s="15" t="str">
        <f aca="false">IF(J853=1,"OFFLINE",IF(AND(Q853&gt;=Inputs!$B$15,R853=1,S853=1,P853&lt;=L853),"PASS","FAIL"))</f>
        <v>PASS</v>
      </c>
    </row>
    <row r="854" customFormat="false" ht="15" hidden="false" customHeight="false" outlineLevel="0" collapsed="false">
      <c r="A854" s="14" t="s">
        <v>1026</v>
      </c>
      <c r="B854" s="14" t="s">
        <v>1019</v>
      </c>
      <c r="C854" s="14" t="s">
        <v>178</v>
      </c>
      <c r="D854" s="14" t="s">
        <v>198</v>
      </c>
      <c r="E854" s="14" t="s">
        <v>166</v>
      </c>
      <c r="F854" s="14" t="s">
        <v>199</v>
      </c>
      <c r="G854" s="14" t="n">
        <v>1</v>
      </c>
      <c r="H854" s="14" t="s">
        <v>154</v>
      </c>
      <c r="I854" s="14" t="s">
        <v>892</v>
      </c>
      <c r="J854" s="15" t="n">
        <f aca="false">IF(B854="SITE LOSS",IF(D854=C854,1,0),IF(B854="REGION LOSS",IF(E854=C854,1,0),0))</f>
        <v>0</v>
      </c>
      <c r="K854" s="15" t="n">
        <f aca="false">IF(B854="SITE LOSS",IF(COUNTIFS('Site Dockets'!$B$7:$B$24,C854,'Site Dockets'!$C$7:$C$24,F854)&gt;0,1,0),IF(B854="REGION LOSS",IF(COUNTIFS('Site Dockets'!$E$7:$E$24,C854,'Site Dockets'!$C$7:$C$24,F854)&gt;0,1,0),0))</f>
        <v>0</v>
      </c>
      <c r="L854" s="15" t="n">
        <f aca="false">IF(J854=1,0,Inputs!$B$11)</f>
        <v>100</v>
      </c>
      <c r="M854" s="15" t="n">
        <f aca="false">IF(J854=1,0,Inputs!$B$12)</f>
        <v>75</v>
      </c>
      <c r="N854" s="15" t="n">
        <f aca="false">IF(J854=1,0,IF(OR(AND(OR(B854="SITE LOSS",B854="REGION LOSS"),K854=1),AND(B854="ROLE COMPROMISE",H854=C854)),Inputs!$B$13,Inputs!$B$14))</f>
        <v>10</v>
      </c>
      <c r="O854" s="15" t="n">
        <f aca="false">IF(J854=1,0,Inputs!$B$13)</f>
        <v>20</v>
      </c>
      <c r="P854" s="15" t="n">
        <f aca="false">SUM(M854:N854)</f>
        <v>85</v>
      </c>
      <c r="Q854" s="15" t="n">
        <f aca="false">IF(J854=1,"",L854-P854)</f>
        <v>15</v>
      </c>
      <c r="R854" s="15" t="n">
        <f aca="false">IF(OR(J854=1,M854&lt;=Inputs!$B$12),1,0)</f>
        <v>1</v>
      </c>
      <c r="S854" s="15" t="n">
        <f aca="false">IF(OR(J854=1,N854&lt;=O854),1,0)</f>
        <v>1</v>
      </c>
      <c r="T854" s="15" t="str">
        <f aca="false">IF(J854=1,"OFFLINE",IF(AND(Q854&gt;=Inputs!$B$15,R854=1,S854=1,P854&lt;=L854),"PASS","FAIL"))</f>
        <v>PASS</v>
      </c>
    </row>
    <row r="855" customFormat="false" ht="15" hidden="false" customHeight="false" outlineLevel="0" collapsed="false">
      <c r="A855" s="14" t="s">
        <v>1026</v>
      </c>
      <c r="B855" s="14" t="s">
        <v>1019</v>
      </c>
      <c r="C855" s="14" t="s">
        <v>178</v>
      </c>
      <c r="D855" s="14" t="s">
        <v>198</v>
      </c>
      <c r="E855" s="14" t="s">
        <v>166</v>
      </c>
      <c r="F855" s="14" t="s">
        <v>199</v>
      </c>
      <c r="G855" s="14" t="n">
        <v>1</v>
      </c>
      <c r="H855" s="14" t="s">
        <v>154</v>
      </c>
      <c r="I855" s="14" t="s">
        <v>811</v>
      </c>
      <c r="J855" s="15" t="n">
        <f aca="false">IF(B855="SITE LOSS",IF(D855=C855,1,0),IF(B855="REGION LOSS",IF(E855=C855,1,0),0))</f>
        <v>0</v>
      </c>
      <c r="K855" s="15" t="n">
        <f aca="false">IF(B855="SITE LOSS",IF(COUNTIFS('Site Dockets'!$B$7:$B$24,C855,'Site Dockets'!$C$7:$C$24,F855)&gt;0,1,0),IF(B855="REGION LOSS",IF(COUNTIFS('Site Dockets'!$E$7:$E$24,C855,'Site Dockets'!$C$7:$C$24,F855)&gt;0,1,0),0))</f>
        <v>0</v>
      </c>
      <c r="L855" s="15" t="n">
        <f aca="false">IF(J855=1,0,Inputs!$B$11)</f>
        <v>100</v>
      </c>
      <c r="M855" s="15" t="n">
        <f aca="false">IF(J855=1,0,Inputs!$B$12)</f>
        <v>75</v>
      </c>
      <c r="N855" s="15" t="n">
        <f aca="false">IF(J855=1,0,IF(OR(AND(OR(B855="SITE LOSS",B855="REGION LOSS"),K855=1),AND(B855="ROLE COMPROMISE",H855=C855)),Inputs!$B$13,Inputs!$B$14))</f>
        <v>10</v>
      </c>
      <c r="O855" s="15" t="n">
        <f aca="false">IF(J855=1,0,Inputs!$B$13)</f>
        <v>20</v>
      </c>
      <c r="P855" s="15" t="n">
        <f aca="false">SUM(M855:N855)</f>
        <v>85</v>
      </c>
      <c r="Q855" s="15" t="n">
        <f aca="false">IF(J855=1,"",L855-P855)</f>
        <v>15</v>
      </c>
      <c r="R855" s="15" t="n">
        <f aca="false">IF(OR(J855=1,M855&lt;=Inputs!$B$12),1,0)</f>
        <v>1</v>
      </c>
      <c r="S855" s="15" t="n">
        <f aca="false">IF(OR(J855=1,N855&lt;=O855),1,0)</f>
        <v>1</v>
      </c>
      <c r="T855" s="15" t="str">
        <f aca="false">IF(J855=1,"OFFLINE",IF(AND(Q855&gt;=Inputs!$B$15,R855=1,S855=1,P855&lt;=L855),"PASS","FAIL"))</f>
        <v>PASS</v>
      </c>
    </row>
    <row r="856" customFormat="false" ht="15" hidden="false" customHeight="false" outlineLevel="0" collapsed="false">
      <c r="A856" s="14" t="s">
        <v>1026</v>
      </c>
      <c r="B856" s="14" t="s">
        <v>1019</v>
      </c>
      <c r="C856" s="14" t="s">
        <v>178</v>
      </c>
      <c r="D856" s="14" t="s">
        <v>198</v>
      </c>
      <c r="E856" s="14" t="s">
        <v>166</v>
      </c>
      <c r="F856" s="14" t="s">
        <v>199</v>
      </c>
      <c r="G856" s="14" t="n">
        <v>1</v>
      </c>
      <c r="H856" s="14" t="s">
        <v>154</v>
      </c>
      <c r="I856" s="14" t="s">
        <v>895</v>
      </c>
      <c r="J856" s="15" t="n">
        <f aca="false">IF(B856="SITE LOSS",IF(D856=C856,1,0),IF(B856="REGION LOSS",IF(E856=C856,1,0),0))</f>
        <v>0</v>
      </c>
      <c r="K856" s="15" t="n">
        <f aca="false">IF(B856="SITE LOSS",IF(COUNTIFS('Site Dockets'!$B$7:$B$24,C856,'Site Dockets'!$C$7:$C$24,F856)&gt;0,1,0),IF(B856="REGION LOSS",IF(COUNTIFS('Site Dockets'!$E$7:$E$24,C856,'Site Dockets'!$C$7:$C$24,F856)&gt;0,1,0),0))</f>
        <v>0</v>
      </c>
      <c r="L856" s="15" t="n">
        <f aca="false">IF(J856=1,0,Inputs!$B$11)</f>
        <v>100</v>
      </c>
      <c r="M856" s="15" t="n">
        <f aca="false">IF(J856=1,0,Inputs!$B$12)</f>
        <v>75</v>
      </c>
      <c r="N856" s="15" t="n">
        <f aca="false">IF(J856=1,0,IF(OR(AND(OR(B856="SITE LOSS",B856="REGION LOSS"),K856=1),AND(B856="ROLE COMPROMISE",H856=C856)),Inputs!$B$13,Inputs!$B$14))</f>
        <v>10</v>
      </c>
      <c r="O856" s="15" t="n">
        <f aca="false">IF(J856=1,0,Inputs!$B$13)</f>
        <v>20</v>
      </c>
      <c r="P856" s="15" t="n">
        <f aca="false">SUM(M856:N856)</f>
        <v>85</v>
      </c>
      <c r="Q856" s="15" t="n">
        <f aca="false">IF(J856=1,"",L856-P856)</f>
        <v>15</v>
      </c>
      <c r="R856" s="15" t="n">
        <f aca="false">IF(OR(J856=1,M856&lt;=Inputs!$B$12),1,0)</f>
        <v>1</v>
      </c>
      <c r="S856" s="15" t="n">
        <f aca="false">IF(OR(J856=1,N856&lt;=O856),1,0)</f>
        <v>1</v>
      </c>
      <c r="T856" s="15" t="str">
        <f aca="false">IF(J856=1,"OFFLINE",IF(AND(Q856&gt;=Inputs!$B$15,R856=1,S856=1,P856&lt;=L856),"PASS","FAIL"))</f>
        <v>PASS</v>
      </c>
    </row>
    <row r="857" customFormat="false" ht="15" hidden="false" customHeight="false" outlineLevel="0" collapsed="false">
      <c r="A857" s="14" t="s">
        <v>1026</v>
      </c>
      <c r="B857" s="14" t="s">
        <v>1019</v>
      </c>
      <c r="C857" s="14" t="s">
        <v>178</v>
      </c>
      <c r="D857" s="14" t="s">
        <v>198</v>
      </c>
      <c r="E857" s="14" t="s">
        <v>166</v>
      </c>
      <c r="F857" s="14" t="s">
        <v>199</v>
      </c>
      <c r="G857" s="14" t="n">
        <v>1</v>
      </c>
      <c r="H857" s="14" t="s">
        <v>154</v>
      </c>
      <c r="I857" s="14" t="s">
        <v>897</v>
      </c>
      <c r="J857" s="15" t="n">
        <f aca="false">IF(B857="SITE LOSS",IF(D857=C857,1,0),IF(B857="REGION LOSS",IF(E857=C857,1,0),0))</f>
        <v>0</v>
      </c>
      <c r="K857" s="15" t="n">
        <f aca="false">IF(B857="SITE LOSS",IF(COUNTIFS('Site Dockets'!$B$7:$B$24,C857,'Site Dockets'!$C$7:$C$24,F857)&gt;0,1,0),IF(B857="REGION LOSS",IF(COUNTIFS('Site Dockets'!$E$7:$E$24,C857,'Site Dockets'!$C$7:$C$24,F857)&gt;0,1,0),0))</f>
        <v>0</v>
      </c>
      <c r="L857" s="15" t="n">
        <f aca="false">IF(J857=1,0,Inputs!$B$11)</f>
        <v>100</v>
      </c>
      <c r="M857" s="15" t="n">
        <f aca="false">IF(J857=1,0,Inputs!$B$12)</f>
        <v>75</v>
      </c>
      <c r="N857" s="15" t="n">
        <f aca="false">IF(J857=1,0,IF(OR(AND(OR(B857="SITE LOSS",B857="REGION LOSS"),K857=1),AND(B857="ROLE COMPROMISE",H857=C857)),Inputs!$B$13,Inputs!$B$14))</f>
        <v>10</v>
      </c>
      <c r="O857" s="15" t="n">
        <f aca="false">IF(J857=1,0,Inputs!$B$13)</f>
        <v>20</v>
      </c>
      <c r="P857" s="15" t="n">
        <f aca="false">SUM(M857:N857)</f>
        <v>85</v>
      </c>
      <c r="Q857" s="15" t="n">
        <f aca="false">IF(J857=1,"",L857-P857)</f>
        <v>15</v>
      </c>
      <c r="R857" s="15" t="n">
        <f aca="false">IF(OR(J857=1,M857&lt;=Inputs!$B$12),1,0)</f>
        <v>1</v>
      </c>
      <c r="S857" s="15" t="n">
        <f aca="false">IF(OR(J857=1,N857&lt;=O857),1,0)</f>
        <v>1</v>
      </c>
      <c r="T857" s="15" t="str">
        <f aca="false">IF(J857=1,"OFFLINE",IF(AND(Q857&gt;=Inputs!$B$15,R857=1,S857=1,P857&lt;=L857),"PASS","FAIL"))</f>
        <v>PASS</v>
      </c>
    </row>
    <row r="858" customFormat="false" ht="15" hidden="false" customHeight="false" outlineLevel="0" collapsed="false">
      <c r="A858" s="14" t="s">
        <v>1026</v>
      </c>
      <c r="B858" s="14" t="s">
        <v>1019</v>
      </c>
      <c r="C858" s="14" t="s">
        <v>178</v>
      </c>
      <c r="D858" s="14" t="s">
        <v>198</v>
      </c>
      <c r="E858" s="14" t="s">
        <v>166</v>
      </c>
      <c r="F858" s="14" t="s">
        <v>199</v>
      </c>
      <c r="G858" s="14" t="n">
        <v>1</v>
      </c>
      <c r="H858" s="14" t="s">
        <v>154</v>
      </c>
      <c r="I858" s="14" t="s">
        <v>899</v>
      </c>
      <c r="J858" s="15" t="n">
        <f aca="false">IF(B858="SITE LOSS",IF(D858=C858,1,0),IF(B858="REGION LOSS",IF(E858=C858,1,0),0))</f>
        <v>0</v>
      </c>
      <c r="K858" s="15" t="n">
        <f aca="false">IF(B858="SITE LOSS",IF(COUNTIFS('Site Dockets'!$B$7:$B$24,C858,'Site Dockets'!$C$7:$C$24,F858)&gt;0,1,0),IF(B858="REGION LOSS",IF(COUNTIFS('Site Dockets'!$E$7:$E$24,C858,'Site Dockets'!$C$7:$C$24,F858)&gt;0,1,0),0))</f>
        <v>0</v>
      </c>
      <c r="L858" s="15" t="n">
        <f aca="false">IF(J858=1,0,Inputs!$B$11)</f>
        <v>100</v>
      </c>
      <c r="M858" s="15" t="n">
        <f aca="false">IF(J858=1,0,Inputs!$B$12)</f>
        <v>75</v>
      </c>
      <c r="N858" s="15" t="n">
        <f aca="false">IF(J858=1,0,IF(OR(AND(OR(B858="SITE LOSS",B858="REGION LOSS"),K858=1),AND(B858="ROLE COMPROMISE",H858=C858)),Inputs!$B$13,Inputs!$B$14))</f>
        <v>10</v>
      </c>
      <c r="O858" s="15" t="n">
        <f aca="false">IF(J858=1,0,Inputs!$B$13)</f>
        <v>20</v>
      </c>
      <c r="P858" s="15" t="n">
        <f aca="false">SUM(M858:N858)</f>
        <v>85</v>
      </c>
      <c r="Q858" s="15" t="n">
        <f aca="false">IF(J858=1,"",L858-P858)</f>
        <v>15</v>
      </c>
      <c r="R858" s="15" t="n">
        <f aca="false">IF(OR(J858=1,M858&lt;=Inputs!$B$12),1,0)</f>
        <v>1</v>
      </c>
      <c r="S858" s="15" t="n">
        <f aca="false">IF(OR(J858=1,N858&lt;=O858),1,0)</f>
        <v>1</v>
      </c>
      <c r="T858" s="15" t="str">
        <f aca="false">IF(J858=1,"OFFLINE",IF(AND(Q858&gt;=Inputs!$B$15,R858=1,S858=1,P858&lt;=L858),"PASS","FAIL"))</f>
        <v>PASS</v>
      </c>
    </row>
    <row r="859" customFormat="false" ht="15" hidden="false" customHeight="false" outlineLevel="0" collapsed="false">
      <c r="A859" s="14" t="s">
        <v>1026</v>
      </c>
      <c r="B859" s="14" t="s">
        <v>1019</v>
      </c>
      <c r="C859" s="14" t="s">
        <v>178</v>
      </c>
      <c r="D859" s="14" t="s">
        <v>202</v>
      </c>
      <c r="E859" s="14" t="s">
        <v>157</v>
      </c>
      <c r="F859" s="14" t="s">
        <v>199</v>
      </c>
      <c r="G859" s="14" t="n">
        <v>2</v>
      </c>
      <c r="H859" s="14" t="s">
        <v>153</v>
      </c>
      <c r="I859" s="14" t="s">
        <v>890</v>
      </c>
      <c r="J859" s="15" t="n">
        <f aca="false">IF(B859="SITE LOSS",IF(D859=C859,1,0),IF(B859="REGION LOSS",IF(E859=C859,1,0),0))</f>
        <v>0</v>
      </c>
      <c r="K859" s="15" t="n">
        <f aca="false">IF(B859="SITE LOSS",IF(COUNTIFS('Site Dockets'!$B$7:$B$24,C859,'Site Dockets'!$C$7:$C$24,F859)&gt;0,1,0),IF(B859="REGION LOSS",IF(COUNTIFS('Site Dockets'!$E$7:$E$24,C859,'Site Dockets'!$C$7:$C$24,F859)&gt;0,1,0),0))</f>
        <v>0</v>
      </c>
      <c r="L859" s="15" t="n">
        <f aca="false">IF(J859=1,0,Inputs!$B$11)</f>
        <v>100</v>
      </c>
      <c r="M859" s="15" t="n">
        <f aca="false">IF(J859=1,0,Inputs!$B$12)</f>
        <v>75</v>
      </c>
      <c r="N859" s="15" t="n">
        <f aca="false">IF(J859=1,0,IF(OR(AND(OR(B859="SITE LOSS",B859="REGION LOSS"),K859=1),AND(B859="ROLE COMPROMISE",H859=C859)),Inputs!$B$13,Inputs!$B$14))</f>
        <v>10</v>
      </c>
      <c r="O859" s="15" t="n">
        <f aca="false">IF(J859=1,0,Inputs!$B$13)</f>
        <v>20</v>
      </c>
      <c r="P859" s="15" t="n">
        <f aca="false">SUM(M859:N859)</f>
        <v>85</v>
      </c>
      <c r="Q859" s="15" t="n">
        <f aca="false">IF(J859=1,"",L859-P859)</f>
        <v>15</v>
      </c>
      <c r="R859" s="15" t="n">
        <f aca="false">IF(OR(J859=1,M859&lt;=Inputs!$B$12),1,0)</f>
        <v>1</v>
      </c>
      <c r="S859" s="15" t="n">
        <f aca="false">IF(OR(J859=1,N859&lt;=O859),1,0)</f>
        <v>1</v>
      </c>
      <c r="T859" s="15" t="str">
        <f aca="false">IF(J859=1,"OFFLINE",IF(AND(Q859&gt;=Inputs!$B$15,R859=1,S859=1,P859&lt;=L859),"PASS","FAIL"))</f>
        <v>PASS</v>
      </c>
    </row>
    <row r="860" customFormat="false" ht="15" hidden="false" customHeight="false" outlineLevel="0" collapsed="false">
      <c r="A860" s="14" t="s">
        <v>1026</v>
      </c>
      <c r="B860" s="14" t="s">
        <v>1019</v>
      </c>
      <c r="C860" s="14" t="s">
        <v>178</v>
      </c>
      <c r="D860" s="14" t="s">
        <v>202</v>
      </c>
      <c r="E860" s="14" t="s">
        <v>157</v>
      </c>
      <c r="F860" s="14" t="s">
        <v>199</v>
      </c>
      <c r="G860" s="14" t="n">
        <v>2</v>
      </c>
      <c r="H860" s="14" t="s">
        <v>153</v>
      </c>
      <c r="I860" s="14" t="s">
        <v>892</v>
      </c>
      <c r="J860" s="15" t="n">
        <f aca="false">IF(B860="SITE LOSS",IF(D860=C860,1,0),IF(B860="REGION LOSS",IF(E860=C860,1,0),0))</f>
        <v>0</v>
      </c>
      <c r="K860" s="15" t="n">
        <f aca="false">IF(B860="SITE LOSS",IF(COUNTIFS('Site Dockets'!$B$7:$B$24,C860,'Site Dockets'!$C$7:$C$24,F860)&gt;0,1,0),IF(B860="REGION LOSS",IF(COUNTIFS('Site Dockets'!$E$7:$E$24,C860,'Site Dockets'!$C$7:$C$24,F860)&gt;0,1,0),0))</f>
        <v>0</v>
      </c>
      <c r="L860" s="15" t="n">
        <f aca="false">IF(J860=1,0,Inputs!$B$11)</f>
        <v>100</v>
      </c>
      <c r="M860" s="15" t="n">
        <f aca="false">IF(J860=1,0,Inputs!$B$12)</f>
        <v>75</v>
      </c>
      <c r="N860" s="15" t="n">
        <f aca="false">IF(J860=1,0,IF(OR(AND(OR(B860="SITE LOSS",B860="REGION LOSS"),K860=1),AND(B860="ROLE COMPROMISE",H860=C860)),Inputs!$B$13,Inputs!$B$14))</f>
        <v>10</v>
      </c>
      <c r="O860" s="15" t="n">
        <f aca="false">IF(J860=1,0,Inputs!$B$13)</f>
        <v>20</v>
      </c>
      <c r="P860" s="15" t="n">
        <f aca="false">SUM(M860:N860)</f>
        <v>85</v>
      </c>
      <c r="Q860" s="15" t="n">
        <f aca="false">IF(J860=1,"",L860-P860)</f>
        <v>15</v>
      </c>
      <c r="R860" s="15" t="n">
        <f aca="false">IF(OR(J860=1,M860&lt;=Inputs!$B$12),1,0)</f>
        <v>1</v>
      </c>
      <c r="S860" s="15" t="n">
        <f aca="false">IF(OR(J860=1,N860&lt;=O860),1,0)</f>
        <v>1</v>
      </c>
      <c r="T860" s="15" t="str">
        <f aca="false">IF(J860=1,"OFFLINE",IF(AND(Q860&gt;=Inputs!$B$15,R860=1,S860=1,P860&lt;=L860),"PASS","FAIL"))</f>
        <v>PASS</v>
      </c>
    </row>
    <row r="861" customFormat="false" ht="15" hidden="false" customHeight="false" outlineLevel="0" collapsed="false">
      <c r="A861" s="14" t="s">
        <v>1026</v>
      </c>
      <c r="B861" s="14" t="s">
        <v>1019</v>
      </c>
      <c r="C861" s="14" t="s">
        <v>178</v>
      </c>
      <c r="D861" s="14" t="s">
        <v>202</v>
      </c>
      <c r="E861" s="14" t="s">
        <v>157</v>
      </c>
      <c r="F861" s="14" t="s">
        <v>199</v>
      </c>
      <c r="G861" s="14" t="n">
        <v>2</v>
      </c>
      <c r="H861" s="14" t="s">
        <v>153</v>
      </c>
      <c r="I861" s="14" t="s">
        <v>811</v>
      </c>
      <c r="J861" s="15" t="n">
        <f aca="false">IF(B861="SITE LOSS",IF(D861=C861,1,0),IF(B861="REGION LOSS",IF(E861=C861,1,0),0))</f>
        <v>0</v>
      </c>
      <c r="K861" s="15" t="n">
        <f aca="false">IF(B861="SITE LOSS",IF(COUNTIFS('Site Dockets'!$B$7:$B$24,C861,'Site Dockets'!$C$7:$C$24,F861)&gt;0,1,0),IF(B861="REGION LOSS",IF(COUNTIFS('Site Dockets'!$E$7:$E$24,C861,'Site Dockets'!$C$7:$C$24,F861)&gt;0,1,0),0))</f>
        <v>0</v>
      </c>
      <c r="L861" s="15" t="n">
        <f aca="false">IF(J861=1,0,Inputs!$B$11)</f>
        <v>100</v>
      </c>
      <c r="M861" s="15" t="n">
        <f aca="false">IF(J861=1,0,Inputs!$B$12)</f>
        <v>75</v>
      </c>
      <c r="N861" s="15" t="n">
        <f aca="false">IF(J861=1,0,IF(OR(AND(OR(B861="SITE LOSS",B861="REGION LOSS"),K861=1),AND(B861="ROLE COMPROMISE",H861=C861)),Inputs!$B$13,Inputs!$B$14))</f>
        <v>10</v>
      </c>
      <c r="O861" s="15" t="n">
        <f aca="false">IF(J861=1,0,Inputs!$B$13)</f>
        <v>20</v>
      </c>
      <c r="P861" s="15" t="n">
        <f aca="false">SUM(M861:N861)</f>
        <v>85</v>
      </c>
      <c r="Q861" s="15" t="n">
        <f aca="false">IF(J861=1,"",L861-P861)</f>
        <v>15</v>
      </c>
      <c r="R861" s="15" t="n">
        <f aca="false">IF(OR(J861=1,M861&lt;=Inputs!$B$12),1,0)</f>
        <v>1</v>
      </c>
      <c r="S861" s="15" t="n">
        <f aca="false">IF(OR(J861=1,N861&lt;=O861),1,0)</f>
        <v>1</v>
      </c>
      <c r="T861" s="15" t="str">
        <f aca="false">IF(J861=1,"OFFLINE",IF(AND(Q861&gt;=Inputs!$B$15,R861=1,S861=1,P861&lt;=L861),"PASS","FAIL"))</f>
        <v>PASS</v>
      </c>
    </row>
    <row r="862" customFormat="false" ht="15" hidden="false" customHeight="false" outlineLevel="0" collapsed="false">
      <c r="A862" s="14" t="s">
        <v>1026</v>
      </c>
      <c r="B862" s="14" t="s">
        <v>1019</v>
      </c>
      <c r="C862" s="14" t="s">
        <v>178</v>
      </c>
      <c r="D862" s="14" t="s">
        <v>202</v>
      </c>
      <c r="E862" s="14" t="s">
        <v>157</v>
      </c>
      <c r="F862" s="14" t="s">
        <v>199</v>
      </c>
      <c r="G862" s="14" t="n">
        <v>2</v>
      </c>
      <c r="H862" s="14" t="s">
        <v>153</v>
      </c>
      <c r="I862" s="14" t="s">
        <v>895</v>
      </c>
      <c r="J862" s="15" t="n">
        <f aca="false">IF(B862="SITE LOSS",IF(D862=C862,1,0),IF(B862="REGION LOSS",IF(E862=C862,1,0),0))</f>
        <v>0</v>
      </c>
      <c r="K862" s="15" t="n">
        <f aca="false">IF(B862="SITE LOSS",IF(COUNTIFS('Site Dockets'!$B$7:$B$24,C862,'Site Dockets'!$C$7:$C$24,F862)&gt;0,1,0),IF(B862="REGION LOSS",IF(COUNTIFS('Site Dockets'!$E$7:$E$24,C862,'Site Dockets'!$C$7:$C$24,F862)&gt;0,1,0),0))</f>
        <v>0</v>
      </c>
      <c r="L862" s="15" t="n">
        <f aca="false">IF(J862=1,0,Inputs!$B$11)</f>
        <v>100</v>
      </c>
      <c r="M862" s="15" t="n">
        <f aca="false">IF(J862=1,0,Inputs!$B$12)</f>
        <v>75</v>
      </c>
      <c r="N862" s="15" t="n">
        <f aca="false">IF(J862=1,0,IF(OR(AND(OR(B862="SITE LOSS",B862="REGION LOSS"),K862=1),AND(B862="ROLE COMPROMISE",H862=C862)),Inputs!$B$13,Inputs!$B$14))</f>
        <v>10</v>
      </c>
      <c r="O862" s="15" t="n">
        <f aca="false">IF(J862=1,0,Inputs!$B$13)</f>
        <v>20</v>
      </c>
      <c r="P862" s="15" t="n">
        <f aca="false">SUM(M862:N862)</f>
        <v>85</v>
      </c>
      <c r="Q862" s="15" t="n">
        <f aca="false">IF(J862=1,"",L862-P862)</f>
        <v>15</v>
      </c>
      <c r="R862" s="15" t="n">
        <f aca="false">IF(OR(J862=1,M862&lt;=Inputs!$B$12),1,0)</f>
        <v>1</v>
      </c>
      <c r="S862" s="15" t="n">
        <f aca="false">IF(OR(J862=1,N862&lt;=O862),1,0)</f>
        <v>1</v>
      </c>
      <c r="T862" s="15" t="str">
        <f aca="false">IF(J862=1,"OFFLINE",IF(AND(Q862&gt;=Inputs!$B$15,R862=1,S862=1,P862&lt;=L862),"PASS","FAIL"))</f>
        <v>PASS</v>
      </c>
    </row>
    <row r="863" customFormat="false" ht="15" hidden="false" customHeight="false" outlineLevel="0" collapsed="false">
      <c r="A863" s="14" t="s">
        <v>1026</v>
      </c>
      <c r="B863" s="14" t="s">
        <v>1019</v>
      </c>
      <c r="C863" s="14" t="s">
        <v>178</v>
      </c>
      <c r="D863" s="14" t="s">
        <v>202</v>
      </c>
      <c r="E863" s="14" t="s">
        <v>157</v>
      </c>
      <c r="F863" s="14" t="s">
        <v>199</v>
      </c>
      <c r="G863" s="14" t="n">
        <v>2</v>
      </c>
      <c r="H863" s="14" t="s">
        <v>153</v>
      </c>
      <c r="I863" s="14" t="s">
        <v>897</v>
      </c>
      <c r="J863" s="15" t="n">
        <f aca="false">IF(B863="SITE LOSS",IF(D863=C863,1,0),IF(B863="REGION LOSS",IF(E863=C863,1,0),0))</f>
        <v>0</v>
      </c>
      <c r="K863" s="15" t="n">
        <f aca="false">IF(B863="SITE LOSS",IF(COUNTIFS('Site Dockets'!$B$7:$B$24,C863,'Site Dockets'!$C$7:$C$24,F863)&gt;0,1,0),IF(B863="REGION LOSS",IF(COUNTIFS('Site Dockets'!$E$7:$E$24,C863,'Site Dockets'!$C$7:$C$24,F863)&gt;0,1,0),0))</f>
        <v>0</v>
      </c>
      <c r="L863" s="15" t="n">
        <f aca="false">IF(J863=1,0,Inputs!$B$11)</f>
        <v>100</v>
      </c>
      <c r="M863" s="15" t="n">
        <f aca="false">IF(J863=1,0,Inputs!$B$12)</f>
        <v>75</v>
      </c>
      <c r="N863" s="15" t="n">
        <f aca="false">IF(J863=1,0,IF(OR(AND(OR(B863="SITE LOSS",B863="REGION LOSS"),K863=1),AND(B863="ROLE COMPROMISE",H863=C863)),Inputs!$B$13,Inputs!$B$14))</f>
        <v>10</v>
      </c>
      <c r="O863" s="15" t="n">
        <f aca="false">IF(J863=1,0,Inputs!$B$13)</f>
        <v>20</v>
      </c>
      <c r="P863" s="15" t="n">
        <f aca="false">SUM(M863:N863)</f>
        <v>85</v>
      </c>
      <c r="Q863" s="15" t="n">
        <f aca="false">IF(J863=1,"",L863-P863)</f>
        <v>15</v>
      </c>
      <c r="R863" s="15" t="n">
        <f aca="false">IF(OR(J863=1,M863&lt;=Inputs!$B$12),1,0)</f>
        <v>1</v>
      </c>
      <c r="S863" s="15" t="n">
        <f aca="false">IF(OR(J863=1,N863&lt;=O863),1,0)</f>
        <v>1</v>
      </c>
      <c r="T863" s="15" t="str">
        <f aca="false">IF(J863=1,"OFFLINE",IF(AND(Q863&gt;=Inputs!$B$15,R863=1,S863=1,P863&lt;=L863),"PASS","FAIL"))</f>
        <v>PASS</v>
      </c>
    </row>
    <row r="864" customFormat="false" ht="15" hidden="false" customHeight="false" outlineLevel="0" collapsed="false">
      <c r="A864" s="14" t="s">
        <v>1026</v>
      </c>
      <c r="B864" s="14" t="s">
        <v>1019</v>
      </c>
      <c r="C864" s="14" t="s">
        <v>178</v>
      </c>
      <c r="D864" s="14" t="s">
        <v>202</v>
      </c>
      <c r="E864" s="14" t="s">
        <v>157</v>
      </c>
      <c r="F864" s="14" t="s">
        <v>199</v>
      </c>
      <c r="G864" s="14" t="n">
        <v>2</v>
      </c>
      <c r="H864" s="14" t="s">
        <v>153</v>
      </c>
      <c r="I864" s="14" t="s">
        <v>899</v>
      </c>
      <c r="J864" s="15" t="n">
        <f aca="false">IF(B864="SITE LOSS",IF(D864=C864,1,0),IF(B864="REGION LOSS",IF(E864=C864,1,0),0))</f>
        <v>0</v>
      </c>
      <c r="K864" s="15" t="n">
        <f aca="false">IF(B864="SITE LOSS",IF(COUNTIFS('Site Dockets'!$B$7:$B$24,C864,'Site Dockets'!$C$7:$C$24,F864)&gt;0,1,0),IF(B864="REGION LOSS",IF(COUNTIFS('Site Dockets'!$E$7:$E$24,C864,'Site Dockets'!$C$7:$C$24,F864)&gt;0,1,0),0))</f>
        <v>0</v>
      </c>
      <c r="L864" s="15" t="n">
        <f aca="false">IF(J864=1,0,Inputs!$B$11)</f>
        <v>100</v>
      </c>
      <c r="M864" s="15" t="n">
        <f aca="false">IF(J864=1,0,Inputs!$B$12)</f>
        <v>75</v>
      </c>
      <c r="N864" s="15" t="n">
        <f aca="false">IF(J864=1,0,IF(OR(AND(OR(B864="SITE LOSS",B864="REGION LOSS"),K864=1),AND(B864="ROLE COMPROMISE",H864=C864)),Inputs!$B$13,Inputs!$B$14))</f>
        <v>10</v>
      </c>
      <c r="O864" s="15" t="n">
        <f aca="false">IF(J864=1,0,Inputs!$B$13)</f>
        <v>20</v>
      </c>
      <c r="P864" s="15" t="n">
        <f aca="false">SUM(M864:N864)</f>
        <v>85</v>
      </c>
      <c r="Q864" s="15" t="n">
        <f aca="false">IF(J864=1,"",L864-P864)</f>
        <v>15</v>
      </c>
      <c r="R864" s="15" t="n">
        <f aca="false">IF(OR(J864=1,M864&lt;=Inputs!$B$12),1,0)</f>
        <v>1</v>
      </c>
      <c r="S864" s="15" t="n">
        <f aca="false">IF(OR(J864=1,N864&lt;=O864),1,0)</f>
        <v>1</v>
      </c>
      <c r="T864" s="15" t="str">
        <f aca="false">IF(J864=1,"OFFLINE",IF(AND(Q864&gt;=Inputs!$B$15,R864=1,S864=1,P864&lt;=L864),"PASS","FAIL"))</f>
        <v>PASS</v>
      </c>
    </row>
    <row r="865" customFormat="false" ht="15" hidden="false" customHeight="false" outlineLevel="0" collapsed="false">
      <c r="A865" s="14" t="s">
        <v>1026</v>
      </c>
      <c r="B865" s="14" t="s">
        <v>1019</v>
      </c>
      <c r="C865" s="14" t="s">
        <v>178</v>
      </c>
      <c r="D865" s="14" t="s">
        <v>204</v>
      </c>
      <c r="E865" s="14" t="s">
        <v>161</v>
      </c>
      <c r="F865" s="14" t="s">
        <v>199</v>
      </c>
      <c r="G865" s="14" t="n">
        <v>3</v>
      </c>
      <c r="H865" s="14" t="s">
        <v>158</v>
      </c>
      <c r="I865" s="14" t="s">
        <v>890</v>
      </c>
      <c r="J865" s="15" t="n">
        <f aca="false">IF(B865="SITE LOSS",IF(D865=C865,1,0),IF(B865="REGION LOSS",IF(E865=C865,1,0),0))</f>
        <v>0</v>
      </c>
      <c r="K865" s="15" t="n">
        <f aca="false">IF(B865="SITE LOSS",IF(COUNTIFS('Site Dockets'!$B$7:$B$24,C865,'Site Dockets'!$C$7:$C$24,F865)&gt;0,1,0),IF(B865="REGION LOSS",IF(COUNTIFS('Site Dockets'!$E$7:$E$24,C865,'Site Dockets'!$C$7:$C$24,F865)&gt;0,1,0),0))</f>
        <v>0</v>
      </c>
      <c r="L865" s="15" t="n">
        <f aca="false">IF(J865=1,0,Inputs!$B$11)</f>
        <v>100</v>
      </c>
      <c r="M865" s="15" t="n">
        <f aca="false">IF(J865=1,0,Inputs!$B$12)</f>
        <v>75</v>
      </c>
      <c r="N865" s="15" t="n">
        <f aca="false">IF(J865=1,0,IF(OR(AND(OR(B865="SITE LOSS",B865="REGION LOSS"),K865=1),AND(B865="ROLE COMPROMISE",H865=C865)),Inputs!$B$13,Inputs!$B$14))</f>
        <v>10</v>
      </c>
      <c r="O865" s="15" t="n">
        <f aca="false">IF(J865=1,0,Inputs!$B$13)</f>
        <v>20</v>
      </c>
      <c r="P865" s="15" t="n">
        <f aca="false">SUM(M865:N865)</f>
        <v>85</v>
      </c>
      <c r="Q865" s="15" t="n">
        <f aca="false">IF(J865=1,"",L865-P865)</f>
        <v>15</v>
      </c>
      <c r="R865" s="15" t="n">
        <f aca="false">IF(OR(J865=1,M865&lt;=Inputs!$B$12),1,0)</f>
        <v>1</v>
      </c>
      <c r="S865" s="15" t="n">
        <f aca="false">IF(OR(J865=1,N865&lt;=O865),1,0)</f>
        <v>1</v>
      </c>
      <c r="T865" s="15" t="str">
        <f aca="false">IF(J865=1,"OFFLINE",IF(AND(Q865&gt;=Inputs!$B$15,R865=1,S865=1,P865&lt;=L865),"PASS","FAIL"))</f>
        <v>PASS</v>
      </c>
    </row>
    <row r="866" customFormat="false" ht="15" hidden="false" customHeight="false" outlineLevel="0" collapsed="false">
      <c r="A866" s="14" t="s">
        <v>1026</v>
      </c>
      <c r="B866" s="14" t="s">
        <v>1019</v>
      </c>
      <c r="C866" s="14" t="s">
        <v>178</v>
      </c>
      <c r="D866" s="14" t="s">
        <v>204</v>
      </c>
      <c r="E866" s="14" t="s">
        <v>161</v>
      </c>
      <c r="F866" s="14" t="s">
        <v>199</v>
      </c>
      <c r="G866" s="14" t="n">
        <v>3</v>
      </c>
      <c r="H866" s="14" t="s">
        <v>158</v>
      </c>
      <c r="I866" s="14" t="s">
        <v>892</v>
      </c>
      <c r="J866" s="15" t="n">
        <f aca="false">IF(B866="SITE LOSS",IF(D866=C866,1,0),IF(B866="REGION LOSS",IF(E866=C866,1,0),0))</f>
        <v>0</v>
      </c>
      <c r="K866" s="15" t="n">
        <f aca="false">IF(B866="SITE LOSS",IF(COUNTIFS('Site Dockets'!$B$7:$B$24,C866,'Site Dockets'!$C$7:$C$24,F866)&gt;0,1,0),IF(B866="REGION LOSS",IF(COUNTIFS('Site Dockets'!$E$7:$E$24,C866,'Site Dockets'!$C$7:$C$24,F866)&gt;0,1,0),0))</f>
        <v>0</v>
      </c>
      <c r="L866" s="15" t="n">
        <f aca="false">IF(J866=1,0,Inputs!$B$11)</f>
        <v>100</v>
      </c>
      <c r="M866" s="15" t="n">
        <f aca="false">IF(J866=1,0,Inputs!$B$12)</f>
        <v>75</v>
      </c>
      <c r="N866" s="15" t="n">
        <f aca="false">IF(J866=1,0,IF(OR(AND(OR(B866="SITE LOSS",B866="REGION LOSS"),K866=1),AND(B866="ROLE COMPROMISE",H866=C866)),Inputs!$B$13,Inputs!$B$14))</f>
        <v>10</v>
      </c>
      <c r="O866" s="15" t="n">
        <f aca="false">IF(J866=1,0,Inputs!$B$13)</f>
        <v>20</v>
      </c>
      <c r="P866" s="15" t="n">
        <f aca="false">SUM(M866:N866)</f>
        <v>85</v>
      </c>
      <c r="Q866" s="15" t="n">
        <f aca="false">IF(J866=1,"",L866-P866)</f>
        <v>15</v>
      </c>
      <c r="R866" s="15" t="n">
        <f aca="false">IF(OR(J866=1,M866&lt;=Inputs!$B$12),1,0)</f>
        <v>1</v>
      </c>
      <c r="S866" s="15" t="n">
        <f aca="false">IF(OR(J866=1,N866&lt;=O866),1,0)</f>
        <v>1</v>
      </c>
      <c r="T866" s="15" t="str">
        <f aca="false">IF(J866=1,"OFFLINE",IF(AND(Q866&gt;=Inputs!$B$15,R866=1,S866=1,P866&lt;=L866),"PASS","FAIL"))</f>
        <v>PASS</v>
      </c>
    </row>
    <row r="867" customFormat="false" ht="15" hidden="false" customHeight="false" outlineLevel="0" collapsed="false">
      <c r="A867" s="14" t="s">
        <v>1026</v>
      </c>
      <c r="B867" s="14" t="s">
        <v>1019</v>
      </c>
      <c r="C867" s="14" t="s">
        <v>178</v>
      </c>
      <c r="D867" s="14" t="s">
        <v>204</v>
      </c>
      <c r="E867" s="14" t="s">
        <v>161</v>
      </c>
      <c r="F867" s="14" t="s">
        <v>199</v>
      </c>
      <c r="G867" s="14" t="n">
        <v>3</v>
      </c>
      <c r="H867" s="14" t="s">
        <v>158</v>
      </c>
      <c r="I867" s="14" t="s">
        <v>811</v>
      </c>
      <c r="J867" s="15" t="n">
        <f aca="false">IF(B867="SITE LOSS",IF(D867=C867,1,0),IF(B867="REGION LOSS",IF(E867=C867,1,0),0))</f>
        <v>0</v>
      </c>
      <c r="K867" s="15" t="n">
        <f aca="false">IF(B867="SITE LOSS",IF(COUNTIFS('Site Dockets'!$B$7:$B$24,C867,'Site Dockets'!$C$7:$C$24,F867)&gt;0,1,0),IF(B867="REGION LOSS",IF(COUNTIFS('Site Dockets'!$E$7:$E$24,C867,'Site Dockets'!$C$7:$C$24,F867)&gt;0,1,0),0))</f>
        <v>0</v>
      </c>
      <c r="L867" s="15" t="n">
        <f aca="false">IF(J867=1,0,Inputs!$B$11)</f>
        <v>100</v>
      </c>
      <c r="M867" s="15" t="n">
        <f aca="false">IF(J867=1,0,Inputs!$B$12)</f>
        <v>75</v>
      </c>
      <c r="N867" s="15" t="n">
        <f aca="false">IF(J867=1,0,IF(OR(AND(OR(B867="SITE LOSS",B867="REGION LOSS"),K867=1),AND(B867="ROLE COMPROMISE",H867=C867)),Inputs!$B$13,Inputs!$B$14))</f>
        <v>10</v>
      </c>
      <c r="O867" s="15" t="n">
        <f aca="false">IF(J867=1,0,Inputs!$B$13)</f>
        <v>20</v>
      </c>
      <c r="P867" s="15" t="n">
        <f aca="false">SUM(M867:N867)</f>
        <v>85</v>
      </c>
      <c r="Q867" s="15" t="n">
        <f aca="false">IF(J867=1,"",L867-P867)</f>
        <v>15</v>
      </c>
      <c r="R867" s="15" t="n">
        <f aca="false">IF(OR(J867=1,M867&lt;=Inputs!$B$12),1,0)</f>
        <v>1</v>
      </c>
      <c r="S867" s="15" t="n">
        <f aca="false">IF(OR(J867=1,N867&lt;=O867),1,0)</f>
        <v>1</v>
      </c>
      <c r="T867" s="15" t="str">
        <f aca="false">IF(J867=1,"OFFLINE",IF(AND(Q867&gt;=Inputs!$B$15,R867=1,S867=1,P867&lt;=L867),"PASS","FAIL"))</f>
        <v>PASS</v>
      </c>
    </row>
    <row r="868" customFormat="false" ht="15" hidden="false" customHeight="false" outlineLevel="0" collapsed="false">
      <c r="A868" s="14" t="s">
        <v>1026</v>
      </c>
      <c r="B868" s="14" t="s">
        <v>1019</v>
      </c>
      <c r="C868" s="14" t="s">
        <v>178</v>
      </c>
      <c r="D868" s="14" t="s">
        <v>204</v>
      </c>
      <c r="E868" s="14" t="s">
        <v>161</v>
      </c>
      <c r="F868" s="14" t="s">
        <v>199</v>
      </c>
      <c r="G868" s="14" t="n">
        <v>3</v>
      </c>
      <c r="H868" s="14" t="s">
        <v>158</v>
      </c>
      <c r="I868" s="14" t="s">
        <v>895</v>
      </c>
      <c r="J868" s="15" t="n">
        <f aca="false">IF(B868="SITE LOSS",IF(D868=C868,1,0),IF(B868="REGION LOSS",IF(E868=C868,1,0),0))</f>
        <v>0</v>
      </c>
      <c r="K868" s="15" t="n">
        <f aca="false">IF(B868="SITE LOSS",IF(COUNTIFS('Site Dockets'!$B$7:$B$24,C868,'Site Dockets'!$C$7:$C$24,F868)&gt;0,1,0),IF(B868="REGION LOSS",IF(COUNTIFS('Site Dockets'!$E$7:$E$24,C868,'Site Dockets'!$C$7:$C$24,F868)&gt;0,1,0),0))</f>
        <v>0</v>
      </c>
      <c r="L868" s="15" t="n">
        <f aca="false">IF(J868=1,0,Inputs!$B$11)</f>
        <v>100</v>
      </c>
      <c r="M868" s="15" t="n">
        <f aca="false">IF(J868=1,0,Inputs!$B$12)</f>
        <v>75</v>
      </c>
      <c r="N868" s="15" t="n">
        <f aca="false">IF(J868=1,0,IF(OR(AND(OR(B868="SITE LOSS",B868="REGION LOSS"),K868=1),AND(B868="ROLE COMPROMISE",H868=C868)),Inputs!$B$13,Inputs!$B$14))</f>
        <v>10</v>
      </c>
      <c r="O868" s="15" t="n">
        <f aca="false">IF(J868=1,0,Inputs!$B$13)</f>
        <v>20</v>
      </c>
      <c r="P868" s="15" t="n">
        <f aca="false">SUM(M868:N868)</f>
        <v>85</v>
      </c>
      <c r="Q868" s="15" t="n">
        <f aca="false">IF(J868=1,"",L868-P868)</f>
        <v>15</v>
      </c>
      <c r="R868" s="15" t="n">
        <f aca="false">IF(OR(J868=1,M868&lt;=Inputs!$B$12),1,0)</f>
        <v>1</v>
      </c>
      <c r="S868" s="15" t="n">
        <f aca="false">IF(OR(J868=1,N868&lt;=O868),1,0)</f>
        <v>1</v>
      </c>
      <c r="T868" s="15" t="str">
        <f aca="false">IF(J868=1,"OFFLINE",IF(AND(Q868&gt;=Inputs!$B$15,R868=1,S868=1,P868&lt;=L868),"PASS","FAIL"))</f>
        <v>PASS</v>
      </c>
    </row>
    <row r="869" customFormat="false" ht="15" hidden="false" customHeight="false" outlineLevel="0" collapsed="false">
      <c r="A869" s="14" t="s">
        <v>1026</v>
      </c>
      <c r="B869" s="14" t="s">
        <v>1019</v>
      </c>
      <c r="C869" s="14" t="s">
        <v>178</v>
      </c>
      <c r="D869" s="14" t="s">
        <v>204</v>
      </c>
      <c r="E869" s="14" t="s">
        <v>161</v>
      </c>
      <c r="F869" s="14" t="s">
        <v>199</v>
      </c>
      <c r="G869" s="14" t="n">
        <v>3</v>
      </c>
      <c r="H869" s="14" t="s">
        <v>158</v>
      </c>
      <c r="I869" s="14" t="s">
        <v>897</v>
      </c>
      <c r="J869" s="15" t="n">
        <f aca="false">IF(B869="SITE LOSS",IF(D869=C869,1,0),IF(B869="REGION LOSS",IF(E869=C869,1,0),0))</f>
        <v>0</v>
      </c>
      <c r="K869" s="15" t="n">
        <f aca="false">IF(B869="SITE LOSS",IF(COUNTIFS('Site Dockets'!$B$7:$B$24,C869,'Site Dockets'!$C$7:$C$24,F869)&gt;0,1,0),IF(B869="REGION LOSS",IF(COUNTIFS('Site Dockets'!$E$7:$E$24,C869,'Site Dockets'!$C$7:$C$24,F869)&gt;0,1,0),0))</f>
        <v>0</v>
      </c>
      <c r="L869" s="15" t="n">
        <f aca="false">IF(J869=1,0,Inputs!$B$11)</f>
        <v>100</v>
      </c>
      <c r="M869" s="15" t="n">
        <f aca="false">IF(J869=1,0,Inputs!$B$12)</f>
        <v>75</v>
      </c>
      <c r="N869" s="15" t="n">
        <f aca="false">IF(J869=1,0,IF(OR(AND(OR(B869="SITE LOSS",B869="REGION LOSS"),K869=1),AND(B869="ROLE COMPROMISE",H869=C869)),Inputs!$B$13,Inputs!$B$14))</f>
        <v>10</v>
      </c>
      <c r="O869" s="15" t="n">
        <f aca="false">IF(J869=1,0,Inputs!$B$13)</f>
        <v>20</v>
      </c>
      <c r="P869" s="15" t="n">
        <f aca="false">SUM(M869:N869)</f>
        <v>85</v>
      </c>
      <c r="Q869" s="15" t="n">
        <f aca="false">IF(J869=1,"",L869-P869)</f>
        <v>15</v>
      </c>
      <c r="R869" s="15" t="n">
        <f aca="false">IF(OR(J869=1,M869&lt;=Inputs!$B$12),1,0)</f>
        <v>1</v>
      </c>
      <c r="S869" s="15" t="n">
        <f aca="false">IF(OR(J869=1,N869&lt;=O869),1,0)</f>
        <v>1</v>
      </c>
      <c r="T869" s="15" t="str">
        <f aca="false">IF(J869=1,"OFFLINE",IF(AND(Q869&gt;=Inputs!$B$15,R869=1,S869=1,P869&lt;=L869),"PASS","FAIL"))</f>
        <v>PASS</v>
      </c>
    </row>
    <row r="870" customFormat="false" ht="15" hidden="false" customHeight="false" outlineLevel="0" collapsed="false">
      <c r="A870" s="14" t="s">
        <v>1026</v>
      </c>
      <c r="B870" s="14" t="s">
        <v>1019</v>
      </c>
      <c r="C870" s="14" t="s">
        <v>178</v>
      </c>
      <c r="D870" s="14" t="s">
        <v>204</v>
      </c>
      <c r="E870" s="14" t="s">
        <v>161</v>
      </c>
      <c r="F870" s="14" t="s">
        <v>199</v>
      </c>
      <c r="G870" s="14" t="n">
        <v>3</v>
      </c>
      <c r="H870" s="14" t="s">
        <v>158</v>
      </c>
      <c r="I870" s="14" t="s">
        <v>899</v>
      </c>
      <c r="J870" s="15" t="n">
        <f aca="false">IF(B870="SITE LOSS",IF(D870=C870,1,0),IF(B870="REGION LOSS",IF(E870=C870,1,0),0))</f>
        <v>0</v>
      </c>
      <c r="K870" s="15" t="n">
        <f aca="false">IF(B870="SITE LOSS",IF(COUNTIFS('Site Dockets'!$B$7:$B$24,C870,'Site Dockets'!$C$7:$C$24,F870)&gt;0,1,0),IF(B870="REGION LOSS",IF(COUNTIFS('Site Dockets'!$E$7:$E$24,C870,'Site Dockets'!$C$7:$C$24,F870)&gt;0,1,0),0))</f>
        <v>0</v>
      </c>
      <c r="L870" s="15" t="n">
        <f aca="false">IF(J870=1,0,Inputs!$B$11)</f>
        <v>100</v>
      </c>
      <c r="M870" s="15" t="n">
        <f aca="false">IF(J870=1,0,Inputs!$B$12)</f>
        <v>75</v>
      </c>
      <c r="N870" s="15" t="n">
        <f aca="false">IF(J870=1,0,IF(OR(AND(OR(B870="SITE LOSS",B870="REGION LOSS"),K870=1),AND(B870="ROLE COMPROMISE",H870=C870)),Inputs!$B$13,Inputs!$B$14))</f>
        <v>10</v>
      </c>
      <c r="O870" s="15" t="n">
        <f aca="false">IF(J870=1,0,Inputs!$B$13)</f>
        <v>20</v>
      </c>
      <c r="P870" s="15" t="n">
        <f aca="false">SUM(M870:N870)</f>
        <v>85</v>
      </c>
      <c r="Q870" s="15" t="n">
        <f aca="false">IF(J870=1,"",L870-P870)</f>
        <v>15</v>
      </c>
      <c r="R870" s="15" t="n">
        <f aca="false">IF(OR(J870=1,M870&lt;=Inputs!$B$12),1,0)</f>
        <v>1</v>
      </c>
      <c r="S870" s="15" t="n">
        <f aca="false">IF(OR(J870=1,N870&lt;=O870),1,0)</f>
        <v>1</v>
      </c>
      <c r="T870" s="15" t="str">
        <f aca="false">IF(J870=1,"OFFLINE",IF(AND(Q870&gt;=Inputs!$B$15,R870=1,S870=1,P870&lt;=L870),"PASS","FAIL"))</f>
        <v>PASS</v>
      </c>
    </row>
    <row r="871" customFormat="false" ht="15" hidden="false" customHeight="false" outlineLevel="0" collapsed="false">
      <c r="A871" s="14" t="s">
        <v>1027</v>
      </c>
      <c r="B871" s="14" t="s">
        <v>1019</v>
      </c>
      <c r="C871" s="14" t="s">
        <v>180</v>
      </c>
      <c r="D871" s="14" t="s">
        <v>149</v>
      </c>
      <c r="E871" s="14" t="s">
        <v>152</v>
      </c>
      <c r="F871" s="14" t="s">
        <v>150</v>
      </c>
      <c r="G871" s="14" t="n">
        <v>1</v>
      </c>
      <c r="H871" s="14" t="s">
        <v>154</v>
      </c>
      <c r="I871" s="14" t="s">
        <v>890</v>
      </c>
      <c r="J871" s="15" t="n">
        <f aca="false">IF(B871="SITE LOSS",IF(D871=C871,1,0),IF(B871="REGION LOSS",IF(E871=C871,1,0),0))</f>
        <v>0</v>
      </c>
      <c r="K871" s="15" t="n">
        <f aca="false">IF(B871="SITE LOSS",IF(COUNTIFS('Site Dockets'!$B$7:$B$24,C871,'Site Dockets'!$C$7:$C$24,F871)&gt;0,1,0),IF(B871="REGION LOSS",IF(COUNTIFS('Site Dockets'!$E$7:$E$24,C871,'Site Dockets'!$C$7:$C$24,F871)&gt;0,1,0),0))</f>
        <v>0</v>
      </c>
      <c r="L871" s="15" t="n">
        <f aca="false">IF(J871=1,0,Inputs!$B$11)</f>
        <v>100</v>
      </c>
      <c r="M871" s="15" t="n">
        <f aca="false">IF(J871=1,0,Inputs!$B$12)</f>
        <v>75</v>
      </c>
      <c r="N871" s="15" t="n">
        <f aca="false">IF(J871=1,0,IF(OR(AND(OR(B871="SITE LOSS",B871="REGION LOSS"),K871=1),AND(B871="ROLE COMPROMISE",H871=C871)),Inputs!$B$13,Inputs!$B$14))</f>
        <v>10</v>
      </c>
      <c r="O871" s="15" t="n">
        <f aca="false">IF(J871=1,0,Inputs!$B$13)</f>
        <v>20</v>
      </c>
      <c r="P871" s="15" t="n">
        <f aca="false">SUM(M871:N871)</f>
        <v>85</v>
      </c>
      <c r="Q871" s="15" t="n">
        <f aca="false">IF(J871=1,"",L871-P871)</f>
        <v>15</v>
      </c>
      <c r="R871" s="15" t="n">
        <f aca="false">IF(OR(J871=1,M871&lt;=Inputs!$B$12),1,0)</f>
        <v>1</v>
      </c>
      <c r="S871" s="15" t="n">
        <f aca="false">IF(OR(J871=1,N871&lt;=O871),1,0)</f>
        <v>1</v>
      </c>
      <c r="T871" s="15" t="str">
        <f aca="false">IF(J871=1,"OFFLINE",IF(AND(Q871&gt;=Inputs!$B$15,R871=1,S871=1,P871&lt;=L871),"PASS","FAIL"))</f>
        <v>PASS</v>
      </c>
    </row>
    <row r="872" customFormat="false" ht="15" hidden="false" customHeight="false" outlineLevel="0" collapsed="false">
      <c r="A872" s="14" t="s">
        <v>1027</v>
      </c>
      <c r="B872" s="14" t="s">
        <v>1019</v>
      </c>
      <c r="C872" s="14" t="s">
        <v>180</v>
      </c>
      <c r="D872" s="14" t="s">
        <v>149</v>
      </c>
      <c r="E872" s="14" t="s">
        <v>152</v>
      </c>
      <c r="F872" s="14" t="s">
        <v>150</v>
      </c>
      <c r="G872" s="14" t="n">
        <v>1</v>
      </c>
      <c r="H872" s="14" t="s">
        <v>154</v>
      </c>
      <c r="I872" s="14" t="s">
        <v>892</v>
      </c>
      <c r="J872" s="15" t="n">
        <f aca="false">IF(B872="SITE LOSS",IF(D872=C872,1,0),IF(B872="REGION LOSS",IF(E872=C872,1,0),0))</f>
        <v>0</v>
      </c>
      <c r="K872" s="15" t="n">
        <f aca="false">IF(B872="SITE LOSS",IF(COUNTIFS('Site Dockets'!$B$7:$B$24,C872,'Site Dockets'!$C$7:$C$24,F872)&gt;0,1,0),IF(B872="REGION LOSS",IF(COUNTIFS('Site Dockets'!$E$7:$E$24,C872,'Site Dockets'!$C$7:$C$24,F872)&gt;0,1,0),0))</f>
        <v>0</v>
      </c>
      <c r="L872" s="15" t="n">
        <f aca="false">IF(J872=1,0,Inputs!$B$11)</f>
        <v>100</v>
      </c>
      <c r="M872" s="15" t="n">
        <f aca="false">IF(J872=1,0,Inputs!$B$12)</f>
        <v>75</v>
      </c>
      <c r="N872" s="15" t="n">
        <f aca="false">IF(J872=1,0,IF(OR(AND(OR(B872="SITE LOSS",B872="REGION LOSS"),K872=1),AND(B872="ROLE COMPROMISE",H872=C872)),Inputs!$B$13,Inputs!$B$14))</f>
        <v>10</v>
      </c>
      <c r="O872" s="15" t="n">
        <f aca="false">IF(J872=1,0,Inputs!$B$13)</f>
        <v>20</v>
      </c>
      <c r="P872" s="15" t="n">
        <f aca="false">SUM(M872:N872)</f>
        <v>85</v>
      </c>
      <c r="Q872" s="15" t="n">
        <f aca="false">IF(J872=1,"",L872-P872)</f>
        <v>15</v>
      </c>
      <c r="R872" s="15" t="n">
        <f aca="false">IF(OR(J872=1,M872&lt;=Inputs!$B$12),1,0)</f>
        <v>1</v>
      </c>
      <c r="S872" s="15" t="n">
        <f aca="false">IF(OR(J872=1,N872&lt;=O872),1,0)</f>
        <v>1</v>
      </c>
      <c r="T872" s="15" t="str">
        <f aca="false">IF(J872=1,"OFFLINE",IF(AND(Q872&gt;=Inputs!$B$15,R872=1,S872=1,P872&lt;=L872),"PASS","FAIL"))</f>
        <v>PASS</v>
      </c>
    </row>
    <row r="873" customFormat="false" ht="15" hidden="false" customHeight="false" outlineLevel="0" collapsed="false">
      <c r="A873" s="14" t="s">
        <v>1027</v>
      </c>
      <c r="B873" s="14" t="s">
        <v>1019</v>
      </c>
      <c r="C873" s="14" t="s">
        <v>180</v>
      </c>
      <c r="D873" s="14" t="s">
        <v>149</v>
      </c>
      <c r="E873" s="14" t="s">
        <v>152</v>
      </c>
      <c r="F873" s="14" t="s">
        <v>150</v>
      </c>
      <c r="G873" s="14" t="n">
        <v>1</v>
      </c>
      <c r="H873" s="14" t="s">
        <v>154</v>
      </c>
      <c r="I873" s="14" t="s">
        <v>811</v>
      </c>
      <c r="J873" s="15" t="n">
        <f aca="false">IF(B873="SITE LOSS",IF(D873=C873,1,0),IF(B873="REGION LOSS",IF(E873=C873,1,0),0))</f>
        <v>0</v>
      </c>
      <c r="K873" s="15" t="n">
        <f aca="false">IF(B873="SITE LOSS",IF(COUNTIFS('Site Dockets'!$B$7:$B$24,C873,'Site Dockets'!$C$7:$C$24,F873)&gt;0,1,0),IF(B873="REGION LOSS",IF(COUNTIFS('Site Dockets'!$E$7:$E$24,C873,'Site Dockets'!$C$7:$C$24,F873)&gt;0,1,0),0))</f>
        <v>0</v>
      </c>
      <c r="L873" s="15" t="n">
        <f aca="false">IF(J873=1,0,Inputs!$B$11)</f>
        <v>100</v>
      </c>
      <c r="M873" s="15" t="n">
        <f aca="false">IF(J873=1,0,Inputs!$B$12)</f>
        <v>75</v>
      </c>
      <c r="N873" s="15" t="n">
        <f aca="false">IF(J873=1,0,IF(OR(AND(OR(B873="SITE LOSS",B873="REGION LOSS"),K873=1),AND(B873="ROLE COMPROMISE",H873=C873)),Inputs!$B$13,Inputs!$B$14))</f>
        <v>10</v>
      </c>
      <c r="O873" s="15" t="n">
        <f aca="false">IF(J873=1,0,Inputs!$B$13)</f>
        <v>20</v>
      </c>
      <c r="P873" s="15" t="n">
        <f aca="false">SUM(M873:N873)</f>
        <v>85</v>
      </c>
      <c r="Q873" s="15" t="n">
        <f aca="false">IF(J873=1,"",L873-P873)</f>
        <v>15</v>
      </c>
      <c r="R873" s="15" t="n">
        <f aca="false">IF(OR(J873=1,M873&lt;=Inputs!$B$12),1,0)</f>
        <v>1</v>
      </c>
      <c r="S873" s="15" t="n">
        <f aca="false">IF(OR(J873=1,N873&lt;=O873),1,0)</f>
        <v>1</v>
      </c>
      <c r="T873" s="15" t="str">
        <f aca="false">IF(J873=1,"OFFLINE",IF(AND(Q873&gt;=Inputs!$B$15,R873=1,S873=1,P873&lt;=L873),"PASS","FAIL"))</f>
        <v>PASS</v>
      </c>
    </row>
    <row r="874" customFormat="false" ht="15" hidden="false" customHeight="false" outlineLevel="0" collapsed="false">
      <c r="A874" s="14" t="s">
        <v>1027</v>
      </c>
      <c r="B874" s="14" t="s">
        <v>1019</v>
      </c>
      <c r="C874" s="14" t="s">
        <v>180</v>
      </c>
      <c r="D874" s="14" t="s">
        <v>149</v>
      </c>
      <c r="E874" s="14" t="s">
        <v>152</v>
      </c>
      <c r="F874" s="14" t="s">
        <v>150</v>
      </c>
      <c r="G874" s="14" t="n">
        <v>1</v>
      </c>
      <c r="H874" s="14" t="s">
        <v>154</v>
      </c>
      <c r="I874" s="14" t="s">
        <v>895</v>
      </c>
      <c r="J874" s="15" t="n">
        <f aca="false">IF(B874="SITE LOSS",IF(D874=C874,1,0),IF(B874="REGION LOSS",IF(E874=C874,1,0),0))</f>
        <v>0</v>
      </c>
      <c r="K874" s="15" t="n">
        <f aca="false">IF(B874="SITE LOSS",IF(COUNTIFS('Site Dockets'!$B$7:$B$24,C874,'Site Dockets'!$C$7:$C$24,F874)&gt;0,1,0),IF(B874="REGION LOSS",IF(COUNTIFS('Site Dockets'!$E$7:$E$24,C874,'Site Dockets'!$C$7:$C$24,F874)&gt;0,1,0),0))</f>
        <v>0</v>
      </c>
      <c r="L874" s="15" t="n">
        <f aca="false">IF(J874=1,0,Inputs!$B$11)</f>
        <v>100</v>
      </c>
      <c r="M874" s="15" t="n">
        <f aca="false">IF(J874=1,0,Inputs!$B$12)</f>
        <v>75</v>
      </c>
      <c r="N874" s="15" t="n">
        <f aca="false">IF(J874=1,0,IF(OR(AND(OR(B874="SITE LOSS",B874="REGION LOSS"),K874=1),AND(B874="ROLE COMPROMISE",H874=C874)),Inputs!$B$13,Inputs!$B$14))</f>
        <v>10</v>
      </c>
      <c r="O874" s="15" t="n">
        <f aca="false">IF(J874=1,0,Inputs!$B$13)</f>
        <v>20</v>
      </c>
      <c r="P874" s="15" t="n">
        <f aca="false">SUM(M874:N874)</f>
        <v>85</v>
      </c>
      <c r="Q874" s="15" t="n">
        <f aca="false">IF(J874=1,"",L874-P874)</f>
        <v>15</v>
      </c>
      <c r="R874" s="15" t="n">
        <f aca="false">IF(OR(J874=1,M874&lt;=Inputs!$B$12),1,0)</f>
        <v>1</v>
      </c>
      <c r="S874" s="15" t="n">
        <f aca="false">IF(OR(J874=1,N874&lt;=O874),1,0)</f>
        <v>1</v>
      </c>
      <c r="T874" s="15" t="str">
        <f aca="false">IF(J874=1,"OFFLINE",IF(AND(Q874&gt;=Inputs!$B$15,R874=1,S874=1,P874&lt;=L874),"PASS","FAIL"))</f>
        <v>PASS</v>
      </c>
    </row>
    <row r="875" customFormat="false" ht="15" hidden="false" customHeight="false" outlineLevel="0" collapsed="false">
      <c r="A875" s="14" t="s">
        <v>1027</v>
      </c>
      <c r="B875" s="14" t="s">
        <v>1019</v>
      </c>
      <c r="C875" s="14" t="s">
        <v>180</v>
      </c>
      <c r="D875" s="14" t="s">
        <v>149</v>
      </c>
      <c r="E875" s="14" t="s">
        <v>152</v>
      </c>
      <c r="F875" s="14" t="s">
        <v>150</v>
      </c>
      <c r="G875" s="14" t="n">
        <v>1</v>
      </c>
      <c r="H875" s="14" t="s">
        <v>154</v>
      </c>
      <c r="I875" s="14" t="s">
        <v>897</v>
      </c>
      <c r="J875" s="15" t="n">
        <f aca="false">IF(B875="SITE LOSS",IF(D875=C875,1,0),IF(B875="REGION LOSS",IF(E875=C875,1,0),0))</f>
        <v>0</v>
      </c>
      <c r="K875" s="15" t="n">
        <f aca="false">IF(B875="SITE LOSS",IF(COUNTIFS('Site Dockets'!$B$7:$B$24,C875,'Site Dockets'!$C$7:$C$24,F875)&gt;0,1,0),IF(B875="REGION LOSS",IF(COUNTIFS('Site Dockets'!$E$7:$E$24,C875,'Site Dockets'!$C$7:$C$24,F875)&gt;0,1,0),0))</f>
        <v>0</v>
      </c>
      <c r="L875" s="15" t="n">
        <f aca="false">IF(J875=1,0,Inputs!$B$11)</f>
        <v>100</v>
      </c>
      <c r="M875" s="15" t="n">
        <f aca="false">IF(J875=1,0,Inputs!$B$12)</f>
        <v>75</v>
      </c>
      <c r="N875" s="15" t="n">
        <f aca="false">IF(J875=1,0,IF(OR(AND(OR(B875="SITE LOSS",B875="REGION LOSS"),K875=1),AND(B875="ROLE COMPROMISE",H875=C875)),Inputs!$B$13,Inputs!$B$14))</f>
        <v>10</v>
      </c>
      <c r="O875" s="15" t="n">
        <f aca="false">IF(J875=1,0,Inputs!$B$13)</f>
        <v>20</v>
      </c>
      <c r="P875" s="15" t="n">
        <f aca="false">SUM(M875:N875)</f>
        <v>85</v>
      </c>
      <c r="Q875" s="15" t="n">
        <f aca="false">IF(J875=1,"",L875-P875)</f>
        <v>15</v>
      </c>
      <c r="R875" s="15" t="n">
        <f aca="false">IF(OR(J875=1,M875&lt;=Inputs!$B$12),1,0)</f>
        <v>1</v>
      </c>
      <c r="S875" s="15" t="n">
        <f aca="false">IF(OR(J875=1,N875&lt;=O875),1,0)</f>
        <v>1</v>
      </c>
      <c r="T875" s="15" t="str">
        <f aca="false">IF(J875=1,"OFFLINE",IF(AND(Q875&gt;=Inputs!$B$15,R875=1,S875=1,P875&lt;=L875),"PASS","FAIL"))</f>
        <v>PASS</v>
      </c>
    </row>
    <row r="876" customFormat="false" ht="15" hidden="false" customHeight="false" outlineLevel="0" collapsed="false">
      <c r="A876" s="14" t="s">
        <v>1027</v>
      </c>
      <c r="B876" s="14" t="s">
        <v>1019</v>
      </c>
      <c r="C876" s="14" t="s">
        <v>180</v>
      </c>
      <c r="D876" s="14" t="s">
        <v>149</v>
      </c>
      <c r="E876" s="14" t="s">
        <v>152</v>
      </c>
      <c r="F876" s="14" t="s">
        <v>150</v>
      </c>
      <c r="G876" s="14" t="n">
        <v>1</v>
      </c>
      <c r="H876" s="14" t="s">
        <v>154</v>
      </c>
      <c r="I876" s="14" t="s">
        <v>899</v>
      </c>
      <c r="J876" s="15" t="n">
        <f aca="false">IF(B876="SITE LOSS",IF(D876=C876,1,0),IF(B876="REGION LOSS",IF(E876=C876,1,0),0))</f>
        <v>0</v>
      </c>
      <c r="K876" s="15" t="n">
        <f aca="false">IF(B876="SITE LOSS",IF(COUNTIFS('Site Dockets'!$B$7:$B$24,C876,'Site Dockets'!$C$7:$C$24,F876)&gt;0,1,0),IF(B876="REGION LOSS",IF(COUNTIFS('Site Dockets'!$E$7:$E$24,C876,'Site Dockets'!$C$7:$C$24,F876)&gt;0,1,0),0))</f>
        <v>0</v>
      </c>
      <c r="L876" s="15" t="n">
        <f aca="false">IF(J876=1,0,Inputs!$B$11)</f>
        <v>100</v>
      </c>
      <c r="M876" s="15" t="n">
        <f aca="false">IF(J876=1,0,Inputs!$B$12)</f>
        <v>75</v>
      </c>
      <c r="N876" s="15" t="n">
        <f aca="false">IF(J876=1,0,IF(OR(AND(OR(B876="SITE LOSS",B876="REGION LOSS"),K876=1),AND(B876="ROLE COMPROMISE",H876=C876)),Inputs!$B$13,Inputs!$B$14))</f>
        <v>10</v>
      </c>
      <c r="O876" s="15" t="n">
        <f aca="false">IF(J876=1,0,Inputs!$B$13)</f>
        <v>20</v>
      </c>
      <c r="P876" s="15" t="n">
        <f aca="false">SUM(M876:N876)</f>
        <v>85</v>
      </c>
      <c r="Q876" s="15" t="n">
        <f aca="false">IF(J876=1,"",L876-P876)</f>
        <v>15</v>
      </c>
      <c r="R876" s="15" t="n">
        <f aca="false">IF(OR(J876=1,M876&lt;=Inputs!$B$12),1,0)</f>
        <v>1</v>
      </c>
      <c r="S876" s="15" t="n">
        <f aca="false">IF(OR(J876=1,N876&lt;=O876),1,0)</f>
        <v>1</v>
      </c>
      <c r="T876" s="15" t="str">
        <f aca="false">IF(J876=1,"OFFLINE",IF(AND(Q876&gt;=Inputs!$B$15,R876=1,S876=1,P876&lt;=L876),"PASS","FAIL"))</f>
        <v>PASS</v>
      </c>
    </row>
    <row r="877" customFormat="false" ht="15" hidden="false" customHeight="false" outlineLevel="0" collapsed="false">
      <c r="A877" s="14" t="s">
        <v>1027</v>
      </c>
      <c r="B877" s="14" t="s">
        <v>1019</v>
      </c>
      <c r="C877" s="14" t="s">
        <v>180</v>
      </c>
      <c r="D877" s="14" t="s">
        <v>156</v>
      </c>
      <c r="E877" s="14" t="s">
        <v>157</v>
      </c>
      <c r="F877" s="14" t="s">
        <v>150</v>
      </c>
      <c r="G877" s="14" t="n">
        <v>2</v>
      </c>
      <c r="H877" s="14" t="s">
        <v>153</v>
      </c>
      <c r="I877" s="14" t="s">
        <v>890</v>
      </c>
      <c r="J877" s="15" t="n">
        <f aca="false">IF(B877="SITE LOSS",IF(D877=C877,1,0),IF(B877="REGION LOSS",IF(E877=C877,1,0),0))</f>
        <v>0</v>
      </c>
      <c r="K877" s="15" t="n">
        <f aca="false">IF(B877="SITE LOSS",IF(COUNTIFS('Site Dockets'!$B$7:$B$24,C877,'Site Dockets'!$C$7:$C$24,F877)&gt;0,1,0),IF(B877="REGION LOSS",IF(COUNTIFS('Site Dockets'!$E$7:$E$24,C877,'Site Dockets'!$C$7:$C$24,F877)&gt;0,1,0),0))</f>
        <v>0</v>
      </c>
      <c r="L877" s="15" t="n">
        <f aca="false">IF(J877=1,0,Inputs!$B$11)</f>
        <v>100</v>
      </c>
      <c r="M877" s="15" t="n">
        <f aca="false">IF(J877=1,0,Inputs!$B$12)</f>
        <v>75</v>
      </c>
      <c r="N877" s="15" t="n">
        <f aca="false">IF(J877=1,0,IF(OR(AND(OR(B877="SITE LOSS",B877="REGION LOSS"),K877=1),AND(B877="ROLE COMPROMISE",H877=C877)),Inputs!$B$13,Inputs!$B$14))</f>
        <v>10</v>
      </c>
      <c r="O877" s="15" t="n">
        <f aca="false">IF(J877=1,0,Inputs!$B$13)</f>
        <v>20</v>
      </c>
      <c r="P877" s="15" t="n">
        <f aca="false">SUM(M877:N877)</f>
        <v>85</v>
      </c>
      <c r="Q877" s="15" t="n">
        <f aca="false">IF(J877=1,"",L877-P877)</f>
        <v>15</v>
      </c>
      <c r="R877" s="15" t="n">
        <f aca="false">IF(OR(J877=1,M877&lt;=Inputs!$B$12),1,0)</f>
        <v>1</v>
      </c>
      <c r="S877" s="15" t="n">
        <f aca="false">IF(OR(J877=1,N877&lt;=O877),1,0)</f>
        <v>1</v>
      </c>
      <c r="T877" s="15" t="str">
        <f aca="false">IF(J877=1,"OFFLINE",IF(AND(Q877&gt;=Inputs!$B$15,R877=1,S877=1,P877&lt;=L877),"PASS","FAIL"))</f>
        <v>PASS</v>
      </c>
    </row>
    <row r="878" customFormat="false" ht="15" hidden="false" customHeight="false" outlineLevel="0" collapsed="false">
      <c r="A878" s="14" t="s">
        <v>1027</v>
      </c>
      <c r="B878" s="14" t="s">
        <v>1019</v>
      </c>
      <c r="C878" s="14" t="s">
        <v>180</v>
      </c>
      <c r="D878" s="14" t="s">
        <v>156</v>
      </c>
      <c r="E878" s="14" t="s">
        <v>157</v>
      </c>
      <c r="F878" s="14" t="s">
        <v>150</v>
      </c>
      <c r="G878" s="14" t="n">
        <v>2</v>
      </c>
      <c r="H878" s="14" t="s">
        <v>153</v>
      </c>
      <c r="I878" s="14" t="s">
        <v>892</v>
      </c>
      <c r="J878" s="15" t="n">
        <f aca="false">IF(B878="SITE LOSS",IF(D878=C878,1,0),IF(B878="REGION LOSS",IF(E878=C878,1,0),0))</f>
        <v>0</v>
      </c>
      <c r="K878" s="15" t="n">
        <f aca="false">IF(B878="SITE LOSS",IF(COUNTIFS('Site Dockets'!$B$7:$B$24,C878,'Site Dockets'!$C$7:$C$24,F878)&gt;0,1,0),IF(B878="REGION LOSS",IF(COUNTIFS('Site Dockets'!$E$7:$E$24,C878,'Site Dockets'!$C$7:$C$24,F878)&gt;0,1,0),0))</f>
        <v>0</v>
      </c>
      <c r="L878" s="15" t="n">
        <f aca="false">IF(J878=1,0,Inputs!$B$11)</f>
        <v>100</v>
      </c>
      <c r="M878" s="15" t="n">
        <f aca="false">IF(J878=1,0,Inputs!$B$12)</f>
        <v>75</v>
      </c>
      <c r="N878" s="15" t="n">
        <f aca="false">IF(J878=1,0,IF(OR(AND(OR(B878="SITE LOSS",B878="REGION LOSS"),K878=1),AND(B878="ROLE COMPROMISE",H878=C878)),Inputs!$B$13,Inputs!$B$14))</f>
        <v>10</v>
      </c>
      <c r="O878" s="15" t="n">
        <f aca="false">IF(J878=1,0,Inputs!$B$13)</f>
        <v>20</v>
      </c>
      <c r="P878" s="15" t="n">
        <f aca="false">SUM(M878:N878)</f>
        <v>85</v>
      </c>
      <c r="Q878" s="15" t="n">
        <f aca="false">IF(J878=1,"",L878-P878)</f>
        <v>15</v>
      </c>
      <c r="R878" s="15" t="n">
        <f aca="false">IF(OR(J878=1,M878&lt;=Inputs!$B$12),1,0)</f>
        <v>1</v>
      </c>
      <c r="S878" s="15" t="n">
        <f aca="false">IF(OR(J878=1,N878&lt;=O878),1,0)</f>
        <v>1</v>
      </c>
      <c r="T878" s="15" t="str">
        <f aca="false">IF(J878=1,"OFFLINE",IF(AND(Q878&gt;=Inputs!$B$15,R878=1,S878=1,P878&lt;=L878),"PASS","FAIL"))</f>
        <v>PASS</v>
      </c>
    </row>
    <row r="879" customFormat="false" ht="15" hidden="false" customHeight="false" outlineLevel="0" collapsed="false">
      <c r="A879" s="14" t="s">
        <v>1027</v>
      </c>
      <c r="B879" s="14" t="s">
        <v>1019</v>
      </c>
      <c r="C879" s="14" t="s">
        <v>180</v>
      </c>
      <c r="D879" s="14" t="s">
        <v>156</v>
      </c>
      <c r="E879" s="14" t="s">
        <v>157</v>
      </c>
      <c r="F879" s="14" t="s">
        <v>150</v>
      </c>
      <c r="G879" s="14" t="n">
        <v>2</v>
      </c>
      <c r="H879" s="14" t="s">
        <v>153</v>
      </c>
      <c r="I879" s="14" t="s">
        <v>811</v>
      </c>
      <c r="J879" s="15" t="n">
        <f aca="false">IF(B879="SITE LOSS",IF(D879=C879,1,0),IF(B879="REGION LOSS",IF(E879=C879,1,0),0))</f>
        <v>0</v>
      </c>
      <c r="K879" s="15" t="n">
        <f aca="false">IF(B879="SITE LOSS",IF(COUNTIFS('Site Dockets'!$B$7:$B$24,C879,'Site Dockets'!$C$7:$C$24,F879)&gt;0,1,0),IF(B879="REGION LOSS",IF(COUNTIFS('Site Dockets'!$E$7:$E$24,C879,'Site Dockets'!$C$7:$C$24,F879)&gt;0,1,0),0))</f>
        <v>0</v>
      </c>
      <c r="L879" s="15" t="n">
        <f aca="false">IF(J879=1,0,Inputs!$B$11)</f>
        <v>100</v>
      </c>
      <c r="M879" s="15" t="n">
        <f aca="false">IF(J879=1,0,Inputs!$B$12)</f>
        <v>75</v>
      </c>
      <c r="N879" s="15" t="n">
        <f aca="false">IF(J879=1,0,IF(OR(AND(OR(B879="SITE LOSS",B879="REGION LOSS"),K879=1),AND(B879="ROLE COMPROMISE",H879=C879)),Inputs!$B$13,Inputs!$B$14))</f>
        <v>10</v>
      </c>
      <c r="O879" s="15" t="n">
        <f aca="false">IF(J879=1,0,Inputs!$B$13)</f>
        <v>20</v>
      </c>
      <c r="P879" s="15" t="n">
        <f aca="false">SUM(M879:N879)</f>
        <v>85</v>
      </c>
      <c r="Q879" s="15" t="n">
        <f aca="false">IF(J879=1,"",L879-P879)</f>
        <v>15</v>
      </c>
      <c r="R879" s="15" t="n">
        <f aca="false">IF(OR(J879=1,M879&lt;=Inputs!$B$12),1,0)</f>
        <v>1</v>
      </c>
      <c r="S879" s="15" t="n">
        <f aca="false">IF(OR(J879=1,N879&lt;=O879),1,0)</f>
        <v>1</v>
      </c>
      <c r="T879" s="15" t="str">
        <f aca="false">IF(J879=1,"OFFLINE",IF(AND(Q879&gt;=Inputs!$B$15,R879=1,S879=1,P879&lt;=L879),"PASS","FAIL"))</f>
        <v>PASS</v>
      </c>
    </row>
    <row r="880" customFormat="false" ht="15" hidden="false" customHeight="false" outlineLevel="0" collapsed="false">
      <c r="A880" s="14" t="s">
        <v>1027</v>
      </c>
      <c r="B880" s="14" t="s">
        <v>1019</v>
      </c>
      <c r="C880" s="14" t="s">
        <v>180</v>
      </c>
      <c r="D880" s="14" t="s">
        <v>156</v>
      </c>
      <c r="E880" s="14" t="s">
        <v>157</v>
      </c>
      <c r="F880" s="14" t="s">
        <v>150</v>
      </c>
      <c r="G880" s="14" t="n">
        <v>2</v>
      </c>
      <c r="H880" s="14" t="s">
        <v>153</v>
      </c>
      <c r="I880" s="14" t="s">
        <v>895</v>
      </c>
      <c r="J880" s="15" t="n">
        <f aca="false">IF(B880="SITE LOSS",IF(D880=C880,1,0),IF(B880="REGION LOSS",IF(E880=C880,1,0),0))</f>
        <v>0</v>
      </c>
      <c r="K880" s="15" t="n">
        <f aca="false">IF(B880="SITE LOSS",IF(COUNTIFS('Site Dockets'!$B$7:$B$24,C880,'Site Dockets'!$C$7:$C$24,F880)&gt;0,1,0),IF(B880="REGION LOSS",IF(COUNTIFS('Site Dockets'!$E$7:$E$24,C880,'Site Dockets'!$C$7:$C$24,F880)&gt;0,1,0),0))</f>
        <v>0</v>
      </c>
      <c r="L880" s="15" t="n">
        <f aca="false">IF(J880=1,0,Inputs!$B$11)</f>
        <v>100</v>
      </c>
      <c r="M880" s="15" t="n">
        <f aca="false">IF(J880=1,0,Inputs!$B$12)</f>
        <v>75</v>
      </c>
      <c r="N880" s="15" t="n">
        <f aca="false">IF(J880=1,0,IF(OR(AND(OR(B880="SITE LOSS",B880="REGION LOSS"),K880=1),AND(B880="ROLE COMPROMISE",H880=C880)),Inputs!$B$13,Inputs!$B$14))</f>
        <v>10</v>
      </c>
      <c r="O880" s="15" t="n">
        <f aca="false">IF(J880=1,0,Inputs!$B$13)</f>
        <v>20</v>
      </c>
      <c r="P880" s="15" t="n">
        <f aca="false">SUM(M880:N880)</f>
        <v>85</v>
      </c>
      <c r="Q880" s="15" t="n">
        <f aca="false">IF(J880=1,"",L880-P880)</f>
        <v>15</v>
      </c>
      <c r="R880" s="15" t="n">
        <f aca="false">IF(OR(J880=1,M880&lt;=Inputs!$B$12),1,0)</f>
        <v>1</v>
      </c>
      <c r="S880" s="15" t="n">
        <f aca="false">IF(OR(J880=1,N880&lt;=O880),1,0)</f>
        <v>1</v>
      </c>
      <c r="T880" s="15" t="str">
        <f aca="false">IF(J880=1,"OFFLINE",IF(AND(Q880&gt;=Inputs!$B$15,R880=1,S880=1,P880&lt;=L880),"PASS","FAIL"))</f>
        <v>PASS</v>
      </c>
    </row>
    <row r="881" customFormat="false" ht="15" hidden="false" customHeight="false" outlineLevel="0" collapsed="false">
      <c r="A881" s="14" t="s">
        <v>1027</v>
      </c>
      <c r="B881" s="14" t="s">
        <v>1019</v>
      </c>
      <c r="C881" s="14" t="s">
        <v>180</v>
      </c>
      <c r="D881" s="14" t="s">
        <v>156</v>
      </c>
      <c r="E881" s="14" t="s">
        <v>157</v>
      </c>
      <c r="F881" s="14" t="s">
        <v>150</v>
      </c>
      <c r="G881" s="14" t="n">
        <v>2</v>
      </c>
      <c r="H881" s="14" t="s">
        <v>153</v>
      </c>
      <c r="I881" s="14" t="s">
        <v>897</v>
      </c>
      <c r="J881" s="15" t="n">
        <f aca="false">IF(B881="SITE LOSS",IF(D881=C881,1,0),IF(B881="REGION LOSS",IF(E881=C881,1,0),0))</f>
        <v>0</v>
      </c>
      <c r="K881" s="15" t="n">
        <f aca="false">IF(B881="SITE LOSS",IF(COUNTIFS('Site Dockets'!$B$7:$B$24,C881,'Site Dockets'!$C$7:$C$24,F881)&gt;0,1,0),IF(B881="REGION LOSS",IF(COUNTIFS('Site Dockets'!$E$7:$E$24,C881,'Site Dockets'!$C$7:$C$24,F881)&gt;0,1,0),0))</f>
        <v>0</v>
      </c>
      <c r="L881" s="15" t="n">
        <f aca="false">IF(J881=1,0,Inputs!$B$11)</f>
        <v>100</v>
      </c>
      <c r="M881" s="15" t="n">
        <f aca="false">IF(J881=1,0,Inputs!$B$12)</f>
        <v>75</v>
      </c>
      <c r="N881" s="15" t="n">
        <f aca="false">IF(J881=1,0,IF(OR(AND(OR(B881="SITE LOSS",B881="REGION LOSS"),K881=1),AND(B881="ROLE COMPROMISE",H881=C881)),Inputs!$B$13,Inputs!$B$14))</f>
        <v>10</v>
      </c>
      <c r="O881" s="15" t="n">
        <f aca="false">IF(J881=1,0,Inputs!$B$13)</f>
        <v>20</v>
      </c>
      <c r="P881" s="15" t="n">
        <f aca="false">SUM(M881:N881)</f>
        <v>85</v>
      </c>
      <c r="Q881" s="15" t="n">
        <f aca="false">IF(J881=1,"",L881-P881)</f>
        <v>15</v>
      </c>
      <c r="R881" s="15" t="n">
        <f aca="false">IF(OR(J881=1,M881&lt;=Inputs!$B$12),1,0)</f>
        <v>1</v>
      </c>
      <c r="S881" s="15" t="n">
        <f aca="false">IF(OR(J881=1,N881&lt;=O881),1,0)</f>
        <v>1</v>
      </c>
      <c r="T881" s="15" t="str">
        <f aca="false">IF(J881=1,"OFFLINE",IF(AND(Q881&gt;=Inputs!$B$15,R881=1,S881=1,P881&lt;=L881),"PASS","FAIL"))</f>
        <v>PASS</v>
      </c>
    </row>
    <row r="882" customFormat="false" ht="15" hidden="false" customHeight="false" outlineLevel="0" collapsed="false">
      <c r="A882" s="14" t="s">
        <v>1027</v>
      </c>
      <c r="B882" s="14" t="s">
        <v>1019</v>
      </c>
      <c r="C882" s="14" t="s">
        <v>180</v>
      </c>
      <c r="D882" s="14" t="s">
        <v>156</v>
      </c>
      <c r="E882" s="14" t="s">
        <v>157</v>
      </c>
      <c r="F882" s="14" t="s">
        <v>150</v>
      </c>
      <c r="G882" s="14" t="n">
        <v>2</v>
      </c>
      <c r="H882" s="14" t="s">
        <v>153</v>
      </c>
      <c r="I882" s="14" t="s">
        <v>899</v>
      </c>
      <c r="J882" s="15" t="n">
        <f aca="false">IF(B882="SITE LOSS",IF(D882=C882,1,0),IF(B882="REGION LOSS",IF(E882=C882,1,0),0))</f>
        <v>0</v>
      </c>
      <c r="K882" s="15" t="n">
        <f aca="false">IF(B882="SITE LOSS",IF(COUNTIFS('Site Dockets'!$B$7:$B$24,C882,'Site Dockets'!$C$7:$C$24,F882)&gt;0,1,0),IF(B882="REGION LOSS",IF(COUNTIFS('Site Dockets'!$E$7:$E$24,C882,'Site Dockets'!$C$7:$C$24,F882)&gt;0,1,0),0))</f>
        <v>0</v>
      </c>
      <c r="L882" s="15" t="n">
        <f aca="false">IF(J882=1,0,Inputs!$B$11)</f>
        <v>100</v>
      </c>
      <c r="M882" s="15" t="n">
        <f aca="false">IF(J882=1,0,Inputs!$B$12)</f>
        <v>75</v>
      </c>
      <c r="N882" s="15" t="n">
        <f aca="false">IF(J882=1,0,IF(OR(AND(OR(B882="SITE LOSS",B882="REGION LOSS"),K882=1),AND(B882="ROLE COMPROMISE",H882=C882)),Inputs!$B$13,Inputs!$B$14))</f>
        <v>10</v>
      </c>
      <c r="O882" s="15" t="n">
        <f aca="false">IF(J882=1,0,Inputs!$B$13)</f>
        <v>20</v>
      </c>
      <c r="P882" s="15" t="n">
        <f aca="false">SUM(M882:N882)</f>
        <v>85</v>
      </c>
      <c r="Q882" s="15" t="n">
        <f aca="false">IF(J882=1,"",L882-P882)</f>
        <v>15</v>
      </c>
      <c r="R882" s="15" t="n">
        <f aca="false">IF(OR(J882=1,M882&lt;=Inputs!$B$12),1,0)</f>
        <v>1</v>
      </c>
      <c r="S882" s="15" t="n">
        <f aca="false">IF(OR(J882=1,N882&lt;=O882),1,0)</f>
        <v>1</v>
      </c>
      <c r="T882" s="15" t="str">
        <f aca="false">IF(J882=1,"OFFLINE",IF(AND(Q882&gt;=Inputs!$B$15,R882=1,S882=1,P882&lt;=L882),"PASS","FAIL"))</f>
        <v>PASS</v>
      </c>
    </row>
    <row r="883" customFormat="false" ht="15" hidden="false" customHeight="false" outlineLevel="0" collapsed="false">
      <c r="A883" s="14" t="s">
        <v>1027</v>
      </c>
      <c r="B883" s="14" t="s">
        <v>1019</v>
      </c>
      <c r="C883" s="14" t="s">
        <v>180</v>
      </c>
      <c r="D883" s="14" t="s">
        <v>160</v>
      </c>
      <c r="E883" s="14" t="s">
        <v>161</v>
      </c>
      <c r="F883" s="14" t="s">
        <v>150</v>
      </c>
      <c r="G883" s="14" t="n">
        <v>3</v>
      </c>
      <c r="H883" s="14" t="s">
        <v>158</v>
      </c>
      <c r="I883" s="14" t="s">
        <v>890</v>
      </c>
      <c r="J883" s="15" t="n">
        <f aca="false">IF(B883="SITE LOSS",IF(D883=C883,1,0),IF(B883="REGION LOSS",IF(E883=C883,1,0),0))</f>
        <v>0</v>
      </c>
      <c r="K883" s="15" t="n">
        <f aca="false">IF(B883="SITE LOSS",IF(COUNTIFS('Site Dockets'!$B$7:$B$24,C883,'Site Dockets'!$C$7:$C$24,F883)&gt;0,1,0),IF(B883="REGION LOSS",IF(COUNTIFS('Site Dockets'!$E$7:$E$24,C883,'Site Dockets'!$C$7:$C$24,F883)&gt;0,1,0),0))</f>
        <v>0</v>
      </c>
      <c r="L883" s="15" t="n">
        <f aca="false">IF(J883=1,0,Inputs!$B$11)</f>
        <v>100</v>
      </c>
      <c r="M883" s="15" t="n">
        <f aca="false">IF(J883=1,0,Inputs!$B$12)</f>
        <v>75</v>
      </c>
      <c r="N883" s="15" t="n">
        <f aca="false">IF(J883=1,0,IF(OR(AND(OR(B883="SITE LOSS",B883="REGION LOSS"),K883=1),AND(B883="ROLE COMPROMISE",H883=C883)),Inputs!$B$13,Inputs!$B$14))</f>
        <v>10</v>
      </c>
      <c r="O883" s="15" t="n">
        <f aca="false">IF(J883=1,0,Inputs!$B$13)</f>
        <v>20</v>
      </c>
      <c r="P883" s="15" t="n">
        <f aca="false">SUM(M883:N883)</f>
        <v>85</v>
      </c>
      <c r="Q883" s="15" t="n">
        <f aca="false">IF(J883=1,"",L883-P883)</f>
        <v>15</v>
      </c>
      <c r="R883" s="15" t="n">
        <f aca="false">IF(OR(J883=1,M883&lt;=Inputs!$B$12),1,0)</f>
        <v>1</v>
      </c>
      <c r="S883" s="15" t="n">
        <f aca="false">IF(OR(J883=1,N883&lt;=O883),1,0)</f>
        <v>1</v>
      </c>
      <c r="T883" s="15" t="str">
        <f aca="false">IF(J883=1,"OFFLINE",IF(AND(Q883&gt;=Inputs!$B$15,R883=1,S883=1,P883&lt;=L883),"PASS","FAIL"))</f>
        <v>PASS</v>
      </c>
    </row>
    <row r="884" customFormat="false" ht="15" hidden="false" customHeight="false" outlineLevel="0" collapsed="false">
      <c r="A884" s="14" t="s">
        <v>1027</v>
      </c>
      <c r="B884" s="14" t="s">
        <v>1019</v>
      </c>
      <c r="C884" s="14" t="s">
        <v>180</v>
      </c>
      <c r="D884" s="14" t="s">
        <v>160</v>
      </c>
      <c r="E884" s="14" t="s">
        <v>161</v>
      </c>
      <c r="F884" s="14" t="s">
        <v>150</v>
      </c>
      <c r="G884" s="14" t="n">
        <v>3</v>
      </c>
      <c r="H884" s="14" t="s">
        <v>158</v>
      </c>
      <c r="I884" s="14" t="s">
        <v>892</v>
      </c>
      <c r="J884" s="15" t="n">
        <f aca="false">IF(B884="SITE LOSS",IF(D884=C884,1,0),IF(B884="REGION LOSS",IF(E884=C884,1,0),0))</f>
        <v>0</v>
      </c>
      <c r="K884" s="15" t="n">
        <f aca="false">IF(B884="SITE LOSS",IF(COUNTIFS('Site Dockets'!$B$7:$B$24,C884,'Site Dockets'!$C$7:$C$24,F884)&gt;0,1,0),IF(B884="REGION LOSS",IF(COUNTIFS('Site Dockets'!$E$7:$E$24,C884,'Site Dockets'!$C$7:$C$24,F884)&gt;0,1,0),0))</f>
        <v>0</v>
      </c>
      <c r="L884" s="15" t="n">
        <f aca="false">IF(J884=1,0,Inputs!$B$11)</f>
        <v>100</v>
      </c>
      <c r="M884" s="15" t="n">
        <f aca="false">IF(J884=1,0,Inputs!$B$12)</f>
        <v>75</v>
      </c>
      <c r="N884" s="15" t="n">
        <f aca="false">IF(J884=1,0,IF(OR(AND(OR(B884="SITE LOSS",B884="REGION LOSS"),K884=1),AND(B884="ROLE COMPROMISE",H884=C884)),Inputs!$B$13,Inputs!$B$14))</f>
        <v>10</v>
      </c>
      <c r="O884" s="15" t="n">
        <f aca="false">IF(J884=1,0,Inputs!$B$13)</f>
        <v>20</v>
      </c>
      <c r="P884" s="15" t="n">
        <f aca="false">SUM(M884:N884)</f>
        <v>85</v>
      </c>
      <c r="Q884" s="15" t="n">
        <f aca="false">IF(J884=1,"",L884-P884)</f>
        <v>15</v>
      </c>
      <c r="R884" s="15" t="n">
        <f aca="false">IF(OR(J884=1,M884&lt;=Inputs!$B$12),1,0)</f>
        <v>1</v>
      </c>
      <c r="S884" s="15" t="n">
        <f aca="false">IF(OR(J884=1,N884&lt;=O884),1,0)</f>
        <v>1</v>
      </c>
      <c r="T884" s="15" t="str">
        <f aca="false">IF(J884=1,"OFFLINE",IF(AND(Q884&gt;=Inputs!$B$15,R884=1,S884=1,P884&lt;=L884),"PASS","FAIL"))</f>
        <v>PASS</v>
      </c>
    </row>
    <row r="885" customFormat="false" ht="15" hidden="false" customHeight="false" outlineLevel="0" collapsed="false">
      <c r="A885" s="14" t="s">
        <v>1027</v>
      </c>
      <c r="B885" s="14" t="s">
        <v>1019</v>
      </c>
      <c r="C885" s="14" t="s">
        <v>180</v>
      </c>
      <c r="D885" s="14" t="s">
        <v>160</v>
      </c>
      <c r="E885" s="14" t="s">
        <v>161</v>
      </c>
      <c r="F885" s="14" t="s">
        <v>150</v>
      </c>
      <c r="G885" s="14" t="n">
        <v>3</v>
      </c>
      <c r="H885" s="14" t="s">
        <v>158</v>
      </c>
      <c r="I885" s="14" t="s">
        <v>811</v>
      </c>
      <c r="J885" s="15" t="n">
        <f aca="false">IF(B885="SITE LOSS",IF(D885=C885,1,0),IF(B885="REGION LOSS",IF(E885=C885,1,0),0))</f>
        <v>0</v>
      </c>
      <c r="K885" s="15" t="n">
        <f aca="false">IF(B885="SITE LOSS",IF(COUNTIFS('Site Dockets'!$B$7:$B$24,C885,'Site Dockets'!$C$7:$C$24,F885)&gt;0,1,0),IF(B885="REGION LOSS",IF(COUNTIFS('Site Dockets'!$E$7:$E$24,C885,'Site Dockets'!$C$7:$C$24,F885)&gt;0,1,0),0))</f>
        <v>0</v>
      </c>
      <c r="L885" s="15" t="n">
        <f aca="false">IF(J885=1,0,Inputs!$B$11)</f>
        <v>100</v>
      </c>
      <c r="M885" s="15" t="n">
        <f aca="false">IF(J885=1,0,Inputs!$B$12)</f>
        <v>75</v>
      </c>
      <c r="N885" s="15" t="n">
        <f aca="false">IF(J885=1,0,IF(OR(AND(OR(B885="SITE LOSS",B885="REGION LOSS"),K885=1),AND(B885="ROLE COMPROMISE",H885=C885)),Inputs!$B$13,Inputs!$B$14))</f>
        <v>10</v>
      </c>
      <c r="O885" s="15" t="n">
        <f aca="false">IF(J885=1,0,Inputs!$B$13)</f>
        <v>20</v>
      </c>
      <c r="P885" s="15" t="n">
        <f aca="false">SUM(M885:N885)</f>
        <v>85</v>
      </c>
      <c r="Q885" s="15" t="n">
        <f aca="false">IF(J885=1,"",L885-P885)</f>
        <v>15</v>
      </c>
      <c r="R885" s="15" t="n">
        <f aca="false">IF(OR(J885=1,M885&lt;=Inputs!$B$12),1,0)</f>
        <v>1</v>
      </c>
      <c r="S885" s="15" t="n">
        <f aca="false">IF(OR(J885=1,N885&lt;=O885),1,0)</f>
        <v>1</v>
      </c>
      <c r="T885" s="15" t="str">
        <f aca="false">IF(J885=1,"OFFLINE",IF(AND(Q885&gt;=Inputs!$B$15,R885=1,S885=1,P885&lt;=L885),"PASS","FAIL"))</f>
        <v>PASS</v>
      </c>
    </row>
    <row r="886" customFormat="false" ht="15" hidden="false" customHeight="false" outlineLevel="0" collapsed="false">
      <c r="A886" s="14" t="s">
        <v>1027</v>
      </c>
      <c r="B886" s="14" t="s">
        <v>1019</v>
      </c>
      <c r="C886" s="14" t="s">
        <v>180</v>
      </c>
      <c r="D886" s="14" t="s">
        <v>160</v>
      </c>
      <c r="E886" s="14" t="s">
        <v>161</v>
      </c>
      <c r="F886" s="14" t="s">
        <v>150</v>
      </c>
      <c r="G886" s="14" t="n">
        <v>3</v>
      </c>
      <c r="H886" s="14" t="s">
        <v>158</v>
      </c>
      <c r="I886" s="14" t="s">
        <v>895</v>
      </c>
      <c r="J886" s="15" t="n">
        <f aca="false">IF(B886="SITE LOSS",IF(D886=C886,1,0),IF(B886="REGION LOSS",IF(E886=C886,1,0),0))</f>
        <v>0</v>
      </c>
      <c r="K886" s="15" t="n">
        <f aca="false">IF(B886="SITE LOSS",IF(COUNTIFS('Site Dockets'!$B$7:$B$24,C886,'Site Dockets'!$C$7:$C$24,F886)&gt;0,1,0),IF(B886="REGION LOSS",IF(COUNTIFS('Site Dockets'!$E$7:$E$24,C886,'Site Dockets'!$C$7:$C$24,F886)&gt;0,1,0),0))</f>
        <v>0</v>
      </c>
      <c r="L886" s="15" t="n">
        <f aca="false">IF(J886=1,0,Inputs!$B$11)</f>
        <v>100</v>
      </c>
      <c r="M886" s="15" t="n">
        <f aca="false">IF(J886=1,0,Inputs!$B$12)</f>
        <v>75</v>
      </c>
      <c r="N886" s="15" t="n">
        <f aca="false">IF(J886=1,0,IF(OR(AND(OR(B886="SITE LOSS",B886="REGION LOSS"),K886=1),AND(B886="ROLE COMPROMISE",H886=C886)),Inputs!$B$13,Inputs!$B$14))</f>
        <v>10</v>
      </c>
      <c r="O886" s="15" t="n">
        <f aca="false">IF(J886=1,0,Inputs!$B$13)</f>
        <v>20</v>
      </c>
      <c r="P886" s="15" t="n">
        <f aca="false">SUM(M886:N886)</f>
        <v>85</v>
      </c>
      <c r="Q886" s="15" t="n">
        <f aca="false">IF(J886=1,"",L886-P886)</f>
        <v>15</v>
      </c>
      <c r="R886" s="15" t="n">
        <f aca="false">IF(OR(J886=1,M886&lt;=Inputs!$B$12),1,0)</f>
        <v>1</v>
      </c>
      <c r="S886" s="15" t="n">
        <f aca="false">IF(OR(J886=1,N886&lt;=O886),1,0)</f>
        <v>1</v>
      </c>
      <c r="T886" s="15" t="str">
        <f aca="false">IF(J886=1,"OFFLINE",IF(AND(Q886&gt;=Inputs!$B$15,R886=1,S886=1,P886&lt;=L886),"PASS","FAIL"))</f>
        <v>PASS</v>
      </c>
    </row>
    <row r="887" customFormat="false" ht="15" hidden="false" customHeight="false" outlineLevel="0" collapsed="false">
      <c r="A887" s="14" t="s">
        <v>1027</v>
      </c>
      <c r="B887" s="14" t="s">
        <v>1019</v>
      </c>
      <c r="C887" s="14" t="s">
        <v>180</v>
      </c>
      <c r="D887" s="14" t="s">
        <v>160</v>
      </c>
      <c r="E887" s="14" t="s">
        <v>161</v>
      </c>
      <c r="F887" s="14" t="s">
        <v>150</v>
      </c>
      <c r="G887" s="14" t="n">
        <v>3</v>
      </c>
      <c r="H887" s="14" t="s">
        <v>158</v>
      </c>
      <c r="I887" s="14" t="s">
        <v>897</v>
      </c>
      <c r="J887" s="15" t="n">
        <f aca="false">IF(B887="SITE LOSS",IF(D887=C887,1,0),IF(B887="REGION LOSS",IF(E887=C887,1,0),0))</f>
        <v>0</v>
      </c>
      <c r="K887" s="15" t="n">
        <f aca="false">IF(B887="SITE LOSS",IF(COUNTIFS('Site Dockets'!$B$7:$B$24,C887,'Site Dockets'!$C$7:$C$24,F887)&gt;0,1,0),IF(B887="REGION LOSS",IF(COUNTIFS('Site Dockets'!$E$7:$E$24,C887,'Site Dockets'!$C$7:$C$24,F887)&gt;0,1,0),0))</f>
        <v>0</v>
      </c>
      <c r="L887" s="15" t="n">
        <f aca="false">IF(J887=1,0,Inputs!$B$11)</f>
        <v>100</v>
      </c>
      <c r="M887" s="15" t="n">
        <f aca="false">IF(J887=1,0,Inputs!$B$12)</f>
        <v>75</v>
      </c>
      <c r="N887" s="15" t="n">
        <f aca="false">IF(J887=1,0,IF(OR(AND(OR(B887="SITE LOSS",B887="REGION LOSS"),K887=1),AND(B887="ROLE COMPROMISE",H887=C887)),Inputs!$B$13,Inputs!$B$14))</f>
        <v>10</v>
      </c>
      <c r="O887" s="15" t="n">
        <f aca="false">IF(J887=1,0,Inputs!$B$13)</f>
        <v>20</v>
      </c>
      <c r="P887" s="15" t="n">
        <f aca="false">SUM(M887:N887)</f>
        <v>85</v>
      </c>
      <c r="Q887" s="15" t="n">
        <f aca="false">IF(J887=1,"",L887-P887)</f>
        <v>15</v>
      </c>
      <c r="R887" s="15" t="n">
        <f aca="false">IF(OR(J887=1,M887&lt;=Inputs!$B$12),1,0)</f>
        <v>1</v>
      </c>
      <c r="S887" s="15" t="n">
        <f aca="false">IF(OR(J887=1,N887&lt;=O887),1,0)</f>
        <v>1</v>
      </c>
      <c r="T887" s="15" t="str">
        <f aca="false">IF(J887=1,"OFFLINE",IF(AND(Q887&gt;=Inputs!$B$15,R887=1,S887=1,P887&lt;=L887),"PASS","FAIL"))</f>
        <v>PASS</v>
      </c>
    </row>
    <row r="888" customFormat="false" ht="15" hidden="false" customHeight="false" outlineLevel="0" collapsed="false">
      <c r="A888" s="14" t="s">
        <v>1027</v>
      </c>
      <c r="B888" s="14" t="s">
        <v>1019</v>
      </c>
      <c r="C888" s="14" t="s">
        <v>180</v>
      </c>
      <c r="D888" s="14" t="s">
        <v>160</v>
      </c>
      <c r="E888" s="14" t="s">
        <v>161</v>
      </c>
      <c r="F888" s="14" t="s">
        <v>150</v>
      </c>
      <c r="G888" s="14" t="n">
        <v>3</v>
      </c>
      <c r="H888" s="14" t="s">
        <v>158</v>
      </c>
      <c r="I888" s="14" t="s">
        <v>899</v>
      </c>
      <c r="J888" s="15" t="n">
        <f aca="false">IF(B888="SITE LOSS",IF(D888=C888,1,0),IF(B888="REGION LOSS",IF(E888=C888,1,0),0))</f>
        <v>0</v>
      </c>
      <c r="K888" s="15" t="n">
        <f aca="false">IF(B888="SITE LOSS",IF(COUNTIFS('Site Dockets'!$B$7:$B$24,C888,'Site Dockets'!$C$7:$C$24,F888)&gt;0,1,0),IF(B888="REGION LOSS",IF(COUNTIFS('Site Dockets'!$E$7:$E$24,C888,'Site Dockets'!$C$7:$C$24,F888)&gt;0,1,0),0))</f>
        <v>0</v>
      </c>
      <c r="L888" s="15" t="n">
        <f aca="false">IF(J888=1,0,Inputs!$B$11)</f>
        <v>100</v>
      </c>
      <c r="M888" s="15" t="n">
        <f aca="false">IF(J888=1,0,Inputs!$B$12)</f>
        <v>75</v>
      </c>
      <c r="N888" s="15" t="n">
        <f aca="false">IF(J888=1,0,IF(OR(AND(OR(B888="SITE LOSS",B888="REGION LOSS"),K888=1),AND(B888="ROLE COMPROMISE",H888=C888)),Inputs!$B$13,Inputs!$B$14))</f>
        <v>10</v>
      </c>
      <c r="O888" s="15" t="n">
        <f aca="false">IF(J888=1,0,Inputs!$B$13)</f>
        <v>20</v>
      </c>
      <c r="P888" s="15" t="n">
        <f aca="false">SUM(M888:N888)</f>
        <v>85</v>
      </c>
      <c r="Q888" s="15" t="n">
        <f aca="false">IF(J888=1,"",L888-P888)</f>
        <v>15</v>
      </c>
      <c r="R888" s="15" t="n">
        <f aca="false">IF(OR(J888=1,M888&lt;=Inputs!$B$12),1,0)</f>
        <v>1</v>
      </c>
      <c r="S888" s="15" t="n">
        <f aca="false">IF(OR(J888=1,N888&lt;=O888),1,0)</f>
        <v>1</v>
      </c>
      <c r="T888" s="15" t="str">
        <f aca="false">IF(J888=1,"OFFLINE",IF(AND(Q888&gt;=Inputs!$B$15,R888=1,S888=1,P888&lt;=L888),"PASS","FAIL"))</f>
        <v>PASS</v>
      </c>
    </row>
    <row r="889" customFormat="false" ht="15" hidden="false" customHeight="false" outlineLevel="0" collapsed="false">
      <c r="A889" s="14" t="s">
        <v>1027</v>
      </c>
      <c r="B889" s="14" t="s">
        <v>1019</v>
      </c>
      <c r="C889" s="14" t="s">
        <v>180</v>
      </c>
      <c r="D889" s="14" t="s">
        <v>163</v>
      </c>
      <c r="E889" s="14" t="s">
        <v>166</v>
      </c>
      <c r="F889" s="14" t="s">
        <v>164</v>
      </c>
      <c r="G889" s="14" t="n">
        <v>1</v>
      </c>
      <c r="H889" s="14" t="s">
        <v>154</v>
      </c>
      <c r="I889" s="14" t="s">
        <v>890</v>
      </c>
      <c r="J889" s="15" t="n">
        <f aca="false">IF(B889="SITE LOSS",IF(D889=C889,1,0),IF(B889="REGION LOSS",IF(E889=C889,1,0),0))</f>
        <v>0</v>
      </c>
      <c r="K889" s="15" t="n">
        <f aca="false">IF(B889="SITE LOSS",IF(COUNTIFS('Site Dockets'!$B$7:$B$24,C889,'Site Dockets'!$C$7:$C$24,F889)&gt;0,1,0),IF(B889="REGION LOSS",IF(COUNTIFS('Site Dockets'!$E$7:$E$24,C889,'Site Dockets'!$C$7:$C$24,F889)&gt;0,1,0),0))</f>
        <v>0</v>
      </c>
      <c r="L889" s="15" t="n">
        <f aca="false">IF(J889=1,0,Inputs!$B$11)</f>
        <v>100</v>
      </c>
      <c r="M889" s="15" t="n">
        <f aca="false">IF(J889=1,0,Inputs!$B$12)</f>
        <v>75</v>
      </c>
      <c r="N889" s="15" t="n">
        <f aca="false">IF(J889=1,0,IF(OR(AND(OR(B889="SITE LOSS",B889="REGION LOSS"),K889=1),AND(B889="ROLE COMPROMISE",H889=C889)),Inputs!$B$13,Inputs!$B$14))</f>
        <v>10</v>
      </c>
      <c r="O889" s="15" t="n">
        <f aca="false">IF(J889=1,0,Inputs!$B$13)</f>
        <v>20</v>
      </c>
      <c r="P889" s="15" t="n">
        <f aca="false">SUM(M889:N889)</f>
        <v>85</v>
      </c>
      <c r="Q889" s="15" t="n">
        <f aca="false">IF(J889=1,"",L889-P889)</f>
        <v>15</v>
      </c>
      <c r="R889" s="15" t="n">
        <f aca="false">IF(OR(J889=1,M889&lt;=Inputs!$B$12),1,0)</f>
        <v>1</v>
      </c>
      <c r="S889" s="15" t="n">
        <f aca="false">IF(OR(J889=1,N889&lt;=O889),1,0)</f>
        <v>1</v>
      </c>
      <c r="T889" s="15" t="str">
        <f aca="false">IF(J889=1,"OFFLINE",IF(AND(Q889&gt;=Inputs!$B$15,R889=1,S889=1,P889&lt;=L889),"PASS","FAIL"))</f>
        <v>PASS</v>
      </c>
    </row>
    <row r="890" customFormat="false" ht="15" hidden="false" customHeight="false" outlineLevel="0" collapsed="false">
      <c r="A890" s="14" t="s">
        <v>1027</v>
      </c>
      <c r="B890" s="14" t="s">
        <v>1019</v>
      </c>
      <c r="C890" s="14" t="s">
        <v>180</v>
      </c>
      <c r="D890" s="14" t="s">
        <v>163</v>
      </c>
      <c r="E890" s="14" t="s">
        <v>166</v>
      </c>
      <c r="F890" s="14" t="s">
        <v>164</v>
      </c>
      <c r="G890" s="14" t="n">
        <v>1</v>
      </c>
      <c r="H890" s="14" t="s">
        <v>154</v>
      </c>
      <c r="I890" s="14" t="s">
        <v>892</v>
      </c>
      <c r="J890" s="15" t="n">
        <f aca="false">IF(B890="SITE LOSS",IF(D890=C890,1,0),IF(B890="REGION LOSS",IF(E890=C890,1,0),0))</f>
        <v>0</v>
      </c>
      <c r="K890" s="15" t="n">
        <f aca="false">IF(B890="SITE LOSS",IF(COUNTIFS('Site Dockets'!$B$7:$B$24,C890,'Site Dockets'!$C$7:$C$24,F890)&gt;0,1,0),IF(B890="REGION LOSS",IF(COUNTIFS('Site Dockets'!$E$7:$E$24,C890,'Site Dockets'!$C$7:$C$24,F890)&gt;0,1,0),0))</f>
        <v>0</v>
      </c>
      <c r="L890" s="15" t="n">
        <f aca="false">IF(J890=1,0,Inputs!$B$11)</f>
        <v>100</v>
      </c>
      <c r="M890" s="15" t="n">
        <f aca="false">IF(J890=1,0,Inputs!$B$12)</f>
        <v>75</v>
      </c>
      <c r="N890" s="15" t="n">
        <f aca="false">IF(J890=1,0,IF(OR(AND(OR(B890="SITE LOSS",B890="REGION LOSS"),K890=1),AND(B890="ROLE COMPROMISE",H890=C890)),Inputs!$B$13,Inputs!$B$14))</f>
        <v>10</v>
      </c>
      <c r="O890" s="15" t="n">
        <f aca="false">IF(J890=1,0,Inputs!$B$13)</f>
        <v>20</v>
      </c>
      <c r="P890" s="15" t="n">
        <f aca="false">SUM(M890:N890)</f>
        <v>85</v>
      </c>
      <c r="Q890" s="15" t="n">
        <f aca="false">IF(J890=1,"",L890-P890)</f>
        <v>15</v>
      </c>
      <c r="R890" s="15" t="n">
        <f aca="false">IF(OR(J890=1,M890&lt;=Inputs!$B$12),1,0)</f>
        <v>1</v>
      </c>
      <c r="S890" s="15" t="n">
        <f aca="false">IF(OR(J890=1,N890&lt;=O890),1,0)</f>
        <v>1</v>
      </c>
      <c r="T890" s="15" t="str">
        <f aca="false">IF(J890=1,"OFFLINE",IF(AND(Q890&gt;=Inputs!$B$15,R890=1,S890=1,P890&lt;=L890),"PASS","FAIL"))</f>
        <v>PASS</v>
      </c>
    </row>
    <row r="891" customFormat="false" ht="15" hidden="false" customHeight="false" outlineLevel="0" collapsed="false">
      <c r="A891" s="14" t="s">
        <v>1027</v>
      </c>
      <c r="B891" s="14" t="s">
        <v>1019</v>
      </c>
      <c r="C891" s="14" t="s">
        <v>180</v>
      </c>
      <c r="D891" s="14" t="s">
        <v>163</v>
      </c>
      <c r="E891" s="14" t="s">
        <v>166</v>
      </c>
      <c r="F891" s="14" t="s">
        <v>164</v>
      </c>
      <c r="G891" s="14" t="n">
        <v>1</v>
      </c>
      <c r="H891" s="14" t="s">
        <v>154</v>
      </c>
      <c r="I891" s="14" t="s">
        <v>811</v>
      </c>
      <c r="J891" s="15" t="n">
        <f aca="false">IF(B891="SITE LOSS",IF(D891=C891,1,0),IF(B891="REGION LOSS",IF(E891=C891,1,0),0))</f>
        <v>0</v>
      </c>
      <c r="K891" s="15" t="n">
        <f aca="false">IF(B891="SITE LOSS",IF(COUNTIFS('Site Dockets'!$B$7:$B$24,C891,'Site Dockets'!$C$7:$C$24,F891)&gt;0,1,0),IF(B891="REGION LOSS",IF(COUNTIFS('Site Dockets'!$E$7:$E$24,C891,'Site Dockets'!$C$7:$C$24,F891)&gt;0,1,0),0))</f>
        <v>0</v>
      </c>
      <c r="L891" s="15" t="n">
        <f aca="false">IF(J891=1,0,Inputs!$B$11)</f>
        <v>100</v>
      </c>
      <c r="M891" s="15" t="n">
        <f aca="false">IF(J891=1,0,Inputs!$B$12)</f>
        <v>75</v>
      </c>
      <c r="N891" s="15" t="n">
        <f aca="false">IF(J891=1,0,IF(OR(AND(OR(B891="SITE LOSS",B891="REGION LOSS"),K891=1),AND(B891="ROLE COMPROMISE",H891=C891)),Inputs!$B$13,Inputs!$B$14))</f>
        <v>10</v>
      </c>
      <c r="O891" s="15" t="n">
        <f aca="false">IF(J891=1,0,Inputs!$B$13)</f>
        <v>20</v>
      </c>
      <c r="P891" s="15" t="n">
        <f aca="false">SUM(M891:N891)</f>
        <v>85</v>
      </c>
      <c r="Q891" s="15" t="n">
        <f aca="false">IF(J891=1,"",L891-P891)</f>
        <v>15</v>
      </c>
      <c r="R891" s="15" t="n">
        <f aca="false">IF(OR(J891=1,M891&lt;=Inputs!$B$12),1,0)</f>
        <v>1</v>
      </c>
      <c r="S891" s="15" t="n">
        <f aca="false">IF(OR(J891=1,N891&lt;=O891),1,0)</f>
        <v>1</v>
      </c>
      <c r="T891" s="15" t="str">
        <f aca="false">IF(J891=1,"OFFLINE",IF(AND(Q891&gt;=Inputs!$B$15,R891=1,S891=1,P891&lt;=L891),"PASS","FAIL"))</f>
        <v>PASS</v>
      </c>
    </row>
    <row r="892" customFormat="false" ht="15" hidden="false" customHeight="false" outlineLevel="0" collapsed="false">
      <c r="A892" s="14" t="s">
        <v>1027</v>
      </c>
      <c r="B892" s="14" t="s">
        <v>1019</v>
      </c>
      <c r="C892" s="14" t="s">
        <v>180</v>
      </c>
      <c r="D892" s="14" t="s">
        <v>163</v>
      </c>
      <c r="E892" s="14" t="s">
        <v>166</v>
      </c>
      <c r="F892" s="14" t="s">
        <v>164</v>
      </c>
      <c r="G892" s="14" t="n">
        <v>1</v>
      </c>
      <c r="H892" s="14" t="s">
        <v>154</v>
      </c>
      <c r="I892" s="14" t="s">
        <v>895</v>
      </c>
      <c r="J892" s="15" t="n">
        <f aca="false">IF(B892="SITE LOSS",IF(D892=C892,1,0),IF(B892="REGION LOSS",IF(E892=C892,1,0),0))</f>
        <v>0</v>
      </c>
      <c r="K892" s="15" t="n">
        <f aca="false">IF(B892="SITE LOSS",IF(COUNTIFS('Site Dockets'!$B$7:$B$24,C892,'Site Dockets'!$C$7:$C$24,F892)&gt;0,1,0),IF(B892="REGION LOSS",IF(COUNTIFS('Site Dockets'!$E$7:$E$24,C892,'Site Dockets'!$C$7:$C$24,F892)&gt;0,1,0),0))</f>
        <v>0</v>
      </c>
      <c r="L892" s="15" t="n">
        <f aca="false">IF(J892=1,0,Inputs!$B$11)</f>
        <v>100</v>
      </c>
      <c r="M892" s="15" t="n">
        <f aca="false">IF(J892=1,0,Inputs!$B$12)</f>
        <v>75</v>
      </c>
      <c r="N892" s="15" t="n">
        <f aca="false">IF(J892=1,0,IF(OR(AND(OR(B892="SITE LOSS",B892="REGION LOSS"),K892=1),AND(B892="ROLE COMPROMISE",H892=C892)),Inputs!$B$13,Inputs!$B$14))</f>
        <v>10</v>
      </c>
      <c r="O892" s="15" t="n">
        <f aca="false">IF(J892=1,0,Inputs!$B$13)</f>
        <v>20</v>
      </c>
      <c r="P892" s="15" t="n">
        <f aca="false">SUM(M892:N892)</f>
        <v>85</v>
      </c>
      <c r="Q892" s="15" t="n">
        <f aca="false">IF(J892=1,"",L892-P892)</f>
        <v>15</v>
      </c>
      <c r="R892" s="15" t="n">
        <f aca="false">IF(OR(J892=1,M892&lt;=Inputs!$B$12),1,0)</f>
        <v>1</v>
      </c>
      <c r="S892" s="15" t="n">
        <f aca="false">IF(OR(J892=1,N892&lt;=O892),1,0)</f>
        <v>1</v>
      </c>
      <c r="T892" s="15" t="str">
        <f aca="false">IF(J892=1,"OFFLINE",IF(AND(Q892&gt;=Inputs!$B$15,R892=1,S892=1,P892&lt;=L892),"PASS","FAIL"))</f>
        <v>PASS</v>
      </c>
    </row>
    <row r="893" customFormat="false" ht="15" hidden="false" customHeight="false" outlineLevel="0" collapsed="false">
      <c r="A893" s="14" t="s">
        <v>1027</v>
      </c>
      <c r="B893" s="14" t="s">
        <v>1019</v>
      </c>
      <c r="C893" s="14" t="s">
        <v>180</v>
      </c>
      <c r="D893" s="14" t="s">
        <v>163</v>
      </c>
      <c r="E893" s="14" t="s">
        <v>166</v>
      </c>
      <c r="F893" s="14" t="s">
        <v>164</v>
      </c>
      <c r="G893" s="14" t="n">
        <v>1</v>
      </c>
      <c r="H893" s="14" t="s">
        <v>154</v>
      </c>
      <c r="I893" s="14" t="s">
        <v>897</v>
      </c>
      <c r="J893" s="15" t="n">
        <f aca="false">IF(B893="SITE LOSS",IF(D893=C893,1,0),IF(B893="REGION LOSS",IF(E893=C893,1,0),0))</f>
        <v>0</v>
      </c>
      <c r="K893" s="15" t="n">
        <f aca="false">IF(B893="SITE LOSS",IF(COUNTIFS('Site Dockets'!$B$7:$B$24,C893,'Site Dockets'!$C$7:$C$24,F893)&gt;0,1,0),IF(B893="REGION LOSS",IF(COUNTIFS('Site Dockets'!$E$7:$E$24,C893,'Site Dockets'!$C$7:$C$24,F893)&gt;0,1,0),0))</f>
        <v>0</v>
      </c>
      <c r="L893" s="15" t="n">
        <f aca="false">IF(J893=1,0,Inputs!$B$11)</f>
        <v>100</v>
      </c>
      <c r="M893" s="15" t="n">
        <f aca="false">IF(J893=1,0,Inputs!$B$12)</f>
        <v>75</v>
      </c>
      <c r="N893" s="15" t="n">
        <f aca="false">IF(J893=1,0,IF(OR(AND(OR(B893="SITE LOSS",B893="REGION LOSS"),K893=1),AND(B893="ROLE COMPROMISE",H893=C893)),Inputs!$B$13,Inputs!$B$14))</f>
        <v>10</v>
      </c>
      <c r="O893" s="15" t="n">
        <f aca="false">IF(J893=1,0,Inputs!$B$13)</f>
        <v>20</v>
      </c>
      <c r="P893" s="15" t="n">
        <f aca="false">SUM(M893:N893)</f>
        <v>85</v>
      </c>
      <c r="Q893" s="15" t="n">
        <f aca="false">IF(J893=1,"",L893-P893)</f>
        <v>15</v>
      </c>
      <c r="R893" s="15" t="n">
        <f aca="false">IF(OR(J893=1,M893&lt;=Inputs!$B$12),1,0)</f>
        <v>1</v>
      </c>
      <c r="S893" s="15" t="n">
        <f aca="false">IF(OR(J893=1,N893&lt;=O893),1,0)</f>
        <v>1</v>
      </c>
      <c r="T893" s="15" t="str">
        <f aca="false">IF(J893=1,"OFFLINE",IF(AND(Q893&gt;=Inputs!$B$15,R893=1,S893=1,P893&lt;=L893),"PASS","FAIL"))</f>
        <v>PASS</v>
      </c>
    </row>
    <row r="894" customFormat="false" ht="15" hidden="false" customHeight="false" outlineLevel="0" collapsed="false">
      <c r="A894" s="14" t="s">
        <v>1027</v>
      </c>
      <c r="B894" s="14" t="s">
        <v>1019</v>
      </c>
      <c r="C894" s="14" t="s">
        <v>180</v>
      </c>
      <c r="D894" s="14" t="s">
        <v>163</v>
      </c>
      <c r="E894" s="14" t="s">
        <v>166</v>
      </c>
      <c r="F894" s="14" t="s">
        <v>164</v>
      </c>
      <c r="G894" s="14" t="n">
        <v>1</v>
      </c>
      <c r="H894" s="14" t="s">
        <v>154</v>
      </c>
      <c r="I894" s="14" t="s">
        <v>899</v>
      </c>
      <c r="J894" s="15" t="n">
        <f aca="false">IF(B894="SITE LOSS",IF(D894=C894,1,0),IF(B894="REGION LOSS",IF(E894=C894,1,0),0))</f>
        <v>0</v>
      </c>
      <c r="K894" s="15" t="n">
        <f aca="false">IF(B894="SITE LOSS",IF(COUNTIFS('Site Dockets'!$B$7:$B$24,C894,'Site Dockets'!$C$7:$C$24,F894)&gt;0,1,0),IF(B894="REGION LOSS",IF(COUNTIFS('Site Dockets'!$E$7:$E$24,C894,'Site Dockets'!$C$7:$C$24,F894)&gt;0,1,0),0))</f>
        <v>0</v>
      </c>
      <c r="L894" s="15" t="n">
        <f aca="false">IF(J894=1,0,Inputs!$B$11)</f>
        <v>100</v>
      </c>
      <c r="M894" s="15" t="n">
        <f aca="false">IF(J894=1,0,Inputs!$B$12)</f>
        <v>75</v>
      </c>
      <c r="N894" s="15" t="n">
        <f aca="false">IF(J894=1,0,IF(OR(AND(OR(B894="SITE LOSS",B894="REGION LOSS"),K894=1),AND(B894="ROLE COMPROMISE",H894=C894)),Inputs!$B$13,Inputs!$B$14))</f>
        <v>10</v>
      </c>
      <c r="O894" s="15" t="n">
        <f aca="false">IF(J894=1,0,Inputs!$B$13)</f>
        <v>20</v>
      </c>
      <c r="P894" s="15" t="n">
        <f aca="false">SUM(M894:N894)</f>
        <v>85</v>
      </c>
      <c r="Q894" s="15" t="n">
        <f aca="false">IF(J894=1,"",L894-P894)</f>
        <v>15</v>
      </c>
      <c r="R894" s="15" t="n">
        <f aca="false">IF(OR(J894=1,M894&lt;=Inputs!$B$12),1,0)</f>
        <v>1</v>
      </c>
      <c r="S894" s="15" t="n">
        <f aca="false">IF(OR(J894=1,N894&lt;=O894),1,0)</f>
        <v>1</v>
      </c>
      <c r="T894" s="15" t="str">
        <f aca="false">IF(J894=1,"OFFLINE",IF(AND(Q894&gt;=Inputs!$B$15,R894=1,S894=1,P894&lt;=L894),"PASS","FAIL"))</f>
        <v>PASS</v>
      </c>
    </row>
    <row r="895" customFormat="false" ht="15" hidden="false" customHeight="false" outlineLevel="0" collapsed="false">
      <c r="A895" s="14" t="s">
        <v>1027</v>
      </c>
      <c r="B895" s="14" t="s">
        <v>1019</v>
      </c>
      <c r="C895" s="14" t="s">
        <v>180</v>
      </c>
      <c r="D895" s="14" t="s">
        <v>168</v>
      </c>
      <c r="E895" s="14" t="s">
        <v>169</v>
      </c>
      <c r="F895" s="14" t="s">
        <v>164</v>
      </c>
      <c r="G895" s="14" t="n">
        <v>2</v>
      </c>
      <c r="H895" s="14" t="s">
        <v>153</v>
      </c>
      <c r="I895" s="14" t="s">
        <v>890</v>
      </c>
      <c r="J895" s="15" t="n">
        <f aca="false">IF(B895="SITE LOSS",IF(D895=C895,1,0),IF(B895="REGION LOSS",IF(E895=C895,1,0),0))</f>
        <v>0</v>
      </c>
      <c r="K895" s="15" t="n">
        <f aca="false">IF(B895="SITE LOSS",IF(COUNTIFS('Site Dockets'!$B$7:$B$24,C895,'Site Dockets'!$C$7:$C$24,F895)&gt;0,1,0),IF(B895="REGION LOSS",IF(COUNTIFS('Site Dockets'!$E$7:$E$24,C895,'Site Dockets'!$C$7:$C$24,F895)&gt;0,1,0),0))</f>
        <v>0</v>
      </c>
      <c r="L895" s="15" t="n">
        <f aca="false">IF(J895=1,0,Inputs!$B$11)</f>
        <v>100</v>
      </c>
      <c r="M895" s="15" t="n">
        <f aca="false">IF(J895=1,0,Inputs!$B$12)</f>
        <v>75</v>
      </c>
      <c r="N895" s="15" t="n">
        <f aca="false">IF(J895=1,0,IF(OR(AND(OR(B895="SITE LOSS",B895="REGION LOSS"),K895=1),AND(B895="ROLE COMPROMISE",H895=C895)),Inputs!$B$13,Inputs!$B$14))</f>
        <v>10</v>
      </c>
      <c r="O895" s="15" t="n">
        <f aca="false">IF(J895=1,0,Inputs!$B$13)</f>
        <v>20</v>
      </c>
      <c r="P895" s="15" t="n">
        <f aca="false">SUM(M895:N895)</f>
        <v>85</v>
      </c>
      <c r="Q895" s="15" t="n">
        <f aca="false">IF(J895=1,"",L895-P895)</f>
        <v>15</v>
      </c>
      <c r="R895" s="15" t="n">
        <f aca="false">IF(OR(J895=1,M895&lt;=Inputs!$B$12),1,0)</f>
        <v>1</v>
      </c>
      <c r="S895" s="15" t="n">
        <f aca="false">IF(OR(J895=1,N895&lt;=O895),1,0)</f>
        <v>1</v>
      </c>
      <c r="T895" s="15" t="str">
        <f aca="false">IF(J895=1,"OFFLINE",IF(AND(Q895&gt;=Inputs!$B$15,R895=1,S895=1,P895&lt;=L895),"PASS","FAIL"))</f>
        <v>PASS</v>
      </c>
    </row>
    <row r="896" customFormat="false" ht="15" hidden="false" customHeight="false" outlineLevel="0" collapsed="false">
      <c r="A896" s="14" t="s">
        <v>1027</v>
      </c>
      <c r="B896" s="14" t="s">
        <v>1019</v>
      </c>
      <c r="C896" s="14" t="s">
        <v>180</v>
      </c>
      <c r="D896" s="14" t="s">
        <v>168</v>
      </c>
      <c r="E896" s="14" t="s">
        <v>169</v>
      </c>
      <c r="F896" s="14" t="s">
        <v>164</v>
      </c>
      <c r="G896" s="14" t="n">
        <v>2</v>
      </c>
      <c r="H896" s="14" t="s">
        <v>153</v>
      </c>
      <c r="I896" s="14" t="s">
        <v>892</v>
      </c>
      <c r="J896" s="15" t="n">
        <f aca="false">IF(B896="SITE LOSS",IF(D896=C896,1,0),IF(B896="REGION LOSS",IF(E896=C896,1,0),0))</f>
        <v>0</v>
      </c>
      <c r="K896" s="15" t="n">
        <f aca="false">IF(B896="SITE LOSS",IF(COUNTIFS('Site Dockets'!$B$7:$B$24,C896,'Site Dockets'!$C$7:$C$24,F896)&gt;0,1,0),IF(B896="REGION LOSS",IF(COUNTIFS('Site Dockets'!$E$7:$E$24,C896,'Site Dockets'!$C$7:$C$24,F896)&gt;0,1,0),0))</f>
        <v>0</v>
      </c>
      <c r="L896" s="15" t="n">
        <f aca="false">IF(J896=1,0,Inputs!$B$11)</f>
        <v>100</v>
      </c>
      <c r="M896" s="15" t="n">
        <f aca="false">IF(J896=1,0,Inputs!$B$12)</f>
        <v>75</v>
      </c>
      <c r="N896" s="15" t="n">
        <f aca="false">IF(J896=1,0,IF(OR(AND(OR(B896="SITE LOSS",B896="REGION LOSS"),K896=1),AND(B896="ROLE COMPROMISE",H896=C896)),Inputs!$B$13,Inputs!$B$14))</f>
        <v>10</v>
      </c>
      <c r="O896" s="15" t="n">
        <f aca="false">IF(J896=1,0,Inputs!$B$13)</f>
        <v>20</v>
      </c>
      <c r="P896" s="15" t="n">
        <f aca="false">SUM(M896:N896)</f>
        <v>85</v>
      </c>
      <c r="Q896" s="15" t="n">
        <f aca="false">IF(J896=1,"",L896-P896)</f>
        <v>15</v>
      </c>
      <c r="R896" s="15" t="n">
        <f aca="false">IF(OR(J896=1,M896&lt;=Inputs!$B$12),1,0)</f>
        <v>1</v>
      </c>
      <c r="S896" s="15" t="n">
        <f aca="false">IF(OR(J896=1,N896&lt;=O896),1,0)</f>
        <v>1</v>
      </c>
      <c r="T896" s="15" t="str">
        <f aca="false">IF(J896=1,"OFFLINE",IF(AND(Q896&gt;=Inputs!$B$15,R896=1,S896=1,P896&lt;=L896),"PASS","FAIL"))</f>
        <v>PASS</v>
      </c>
    </row>
    <row r="897" customFormat="false" ht="15" hidden="false" customHeight="false" outlineLevel="0" collapsed="false">
      <c r="A897" s="14" t="s">
        <v>1027</v>
      </c>
      <c r="B897" s="14" t="s">
        <v>1019</v>
      </c>
      <c r="C897" s="14" t="s">
        <v>180</v>
      </c>
      <c r="D897" s="14" t="s">
        <v>168</v>
      </c>
      <c r="E897" s="14" t="s">
        <v>169</v>
      </c>
      <c r="F897" s="14" t="s">
        <v>164</v>
      </c>
      <c r="G897" s="14" t="n">
        <v>2</v>
      </c>
      <c r="H897" s="14" t="s">
        <v>153</v>
      </c>
      <c r="I897" s="14" t="s">
        <v>811</v>
      </c>
      <c r="J897" s="15" t="n">
        <f aca="false">IF(B897="SITE LOSS",IF(D897=C897,1,0),IF(B897="REGION LOSS",IF(E897=C897,1,0),0))</f>
        <v>0</v>
      </c>
      <c r="K897" s="15" t="n">
        <f aca="false">IF(B897="SITE LOSS",IF(COUNTIFS('Site Dockets'!$B$7:$B$24,C897,'Site Dockets'!$C$7:$C$24,F897)&gt;0,1,0),IF(B897="REGION LOSS",IF(COUNTIFS('Site Dockets'!$E$7:$E$24,C897,'Site Dockets'!$C$7:$C$24,F897)&gt;0,1,0),0))</f>
        <v>0</v>
      </c>
      <c r="L897" s="15" t="n">
        <f aca="false">IF(J897=1,0,Inputs!$B$11)</f>
        <v>100</v>
      </c>
      <c r="M897" s="15" t="n">
        <f aca="false">IF(J897=1,0,Inputs!$B$12)</f>
        <v>75</v>
      </c>
      <c r="N897" s="15" t="n">
        <f aca="false">IF(J897=1,0,IF(OR(AND(OR(B897="SITE LOSS",B897="REGION LOSS"),K897=1),AND(B897="ROLE COMPROMISE",H897=C897)),Inputs!$B$13,Inputs!$B$14))</f>
        <v>10</v>
      </c>
      <c r="O897" s="15" t="n">
        <f aca="false">IF(J897=1,0,Inputs!$B$13)</f>
        <v>20</v>
      </c>
      <c r="P897" s="15" t="n">
        <f aca="false">SUM(M897:N897)</f>
        <v>85</v>
      </c>
      <c r="Q897" s="15" t="n">
        <f aca="false">IF(J897=1,"",L897-P897)</f>
        <v>15</v>
      </c>
      <c r="R897" s="15" t="n">
        <f aca="false">IF(OR(J897=1,M897&lt;=Inputs!$B$12),1,0)</f>
        <v>1</v>
      </c>
      <c r="S897" s="15" t="n">
        <f aca="false">IF(OR(J897=1,N897&lt;=O897),1,0)</f>
        <v>1</v>
      </c>
      <c r="T897" s="15" t="str">
        <f aca="false">IF(J897=1,"OFFLINE",IF(AND(Q897&gt;=Inputs!$B$15,R897=1,S897=1,P897&lt;=L897),"PASS","FAIL"))</f>
        <v>PASS</v>
      </c>
    </row>
    <row r="898" customFormat="false" ht="15" hidden="false" customHeight="false" outlineLevel="0" collapsed="false">
      <c r="A898" s="14" t="s">
        <v>1027</v>
      </c>
      <c r="B898" s="14" t="s">
        <v>1019</v>
      </c>
      <c r="C898" s="14" t="s">
        <v>180</v>
      </c>
      <c r="D898" s="14" t="s">
        <v>168</v>
      </c>
      <c r="E898" s="14" t="s">
        <v>169</v>
      </c>
      <c r="F898" s="14" t="s">
        <v>164</v>
      </c>
      <c r="G898" s="14" t="n">
        <v>2</v>
      </c>
      <c r="H898" s="14" t="s">
        <v>153</v>
      </c>
      <c r="I898" s="14" t="s">
        <v>895</v>
      </c>
      <c r="J898" s="15" t="n">
        <f aca="false">IF(B898="SITE LOSS",IF(D898=C898,1,0),IF(B898="REGION LOSS",IF(E898=C898,1,0),0))</f>
        <v>0</v>
      </c>
      <c r="K898" s="15" t="n">
        <f aca="false">IF(B898="SITE LOSS",IF(COUNTIFS('Site Dockets'!$B$7:$B$24,C898,'Site Dockets'!$C$7:$C$24,F898)&gt;0,1,0),IF(B898="REGION LOSS",IF(COUNTIFS('Site Dockets'!$E$7:$E$24,C898,'Site Dockets'!$C$7:$C$24,F898)&gt;0,1,0),0))</f>
        <v>0</v>
      </c>
      <c r="L898" s="15" t="n">
        <f aca="false">IF(J898=1,0,Inputs!$B$11)</f>
        <v>100</v>
      </c>
      <c r="M898" s="15" t="n">
        <f aca="false">IF(J898=1,0,Inputs!$B$12)</f>
        <v>75</v>
      </c>
      <c r="N898" s="15" t="n">
        <f aca="false">IF(J898=1,0,IF(OR(AND(OR(B898="SITE LOSS",B898="REGION LOSS"),K898=1),AND(B898="ROLE COMPROMISE",H898=C898)),Inputs!$B$13,Inputs!$B$14))</f>
        <v>10</v>
      </c>
      <c r="O898" s="15" t="n">
        <f aca="false">IF(J898=1,0,Inputs!$B$13)</f>
        <v>20</v>
      </c>
      <c r="P898" s="15" t="n">
        <f aca="false">SUM(M898:N898)</f>
        <v>85</v>
      </c>
      <c r="Q898" s="15" t="n">
        <f aca="false">IF(J898=1,"",L898-P898)</f>
        <v>15</v>
      </c>
      <c r="R898" s="15" t="n">
        <f aca="false">IF(OR(J898=1,M898&lt;=Inputs!$B$12),1,0)</f>
        <v>1</v>
      </c>
      <c r="S898" s="15" t="n">
        <f aca="false">IF(OR(J898=1,N898&lt;=O898),1,0)</f>
        <v>1</v>
      </c>
      <c r="T898" s="15" t="str">
        <f aca="false">IF(J898=1,"OFFLINE",IF(AND(Q898&gt;=Inputs!$B$15,R898=1,S898=1,P898&lt;=L898),"PASS","FAIL"))</f>
        <v>PASS</v>
      </c>
    </row>
    <row r="899" customFormat="false" ht="15" hidden="false" customHeight="false" outlineLevel="0" collapsed="false">
      <c r="A899" s="14" t="s">
        <v>1027</v>
      </c>
      <c r="B899" s="14" t="s">
        <v>1019</v>
      </c>
      <c r="C899" s="14" t="s">
        <v>180</v>
      </c>
      <c r="D899" s="14" t="s">
        <v>168</v>
      </c>
      <c r="E899" s="14" t="s">
        <v>169</v>
      </c>
      <c r="F899" s="14" t="s">
        <v>164</v>
      </c>
      <c r="G899" s="14" t="n">
        <v>2</v>
      </c>
      <c r="H899" s="14" t="s">
        <v>153</v>
      </c>
      <c r="I899" s="14" t="s">
        <v>897</v>
      </c>
      <c r="J899" s="15" t="n">
        <f aca="false">IF(B899="SITE LOSS",IF(D899=C899,1,0),IF(B899="REGION LOSS",IF(E899=C899,1,0),0))</f>
        <v>0</v>
      </c>
      <c r="K899" s="15" t="n">
        <f aca="false">IF(B899="SITE LOSS",IF(COUNTIFS('Site Dockets'!$B$7:$B$24,C899,'Site Dockets'!$C$7:$C$24,F899)&gt;0,1,0),IF(B899="REGION LOSS",IF(COUNTIFS('Site Dockets'!$E$7:$E$24,C899,'Site Dockets'!$C$7:$C$24,F899)&gt;0,1,0),0))</f>
        <v>0</v>
      </c>
      <c r="L899" s="15" t="n">
        <f aca="false">IF(J899=1,0,Inputs!$B$11)</f>
        <v>100</v>
      </c>
      <c r="M899" s="15" t="n">
        <f aca="false">IF(J899=1,0,Inputs!$B$12)</f>
        <v>75</v>
      </c>
      <c r="N899" s="15" t="n">
        <f aca="false">IF(J899=1,0,IF(OR(AND(OR(B899="SITE LOSS",B899="REGION LOSS"),K899=1),AND(B899="ROLE COMPROMISE",H899=C899)),Inputs!$B$13,Inputs!$B$14))</f>
        <v>10</v>
      </c>
      <c r="O899" s="15" t="n">
        <f aca="false">IF(J899=1,0,Inputs!$B$13)</f>
        <v>20</v>
      </c>
      <c r="P899" s="15" t="n">
        <f aca="false">SUM(M899:N899)</f>
        <v>85</v>
      </c>
      <c r="Q899" s="15" t="n">
        <f aca="false">IF(J899=1,"",L899-P899)</f>
        <v>15</v>
      </c>
      <c r="R899" s="15" t="n">
        <f aca="false">IF(OR(J899=1,M899&lt;=Inputs!$B$12),1,0)</f>
        <v>1</v>
      </c>
      <c r="S899" s="15" t="n">
        <f aca="false">IF(OR(J899=1,N899&lt;=O899),1,0)</f>
        <v>1</v>
      </c>
      <c r="T899" s="15" t="str">
        <f aca="false">IF(J899=1,"OFFLINE",IF(AND(Q899&gt;=Inputs!$B$15,R899=1,S899=1,P899&lt;=L899),"PASS","FAIL"))</f>
        <v>PASS</v>
      </c>
    </row>
    <row r="900" customFormat="false" ht="15" hidden="false" customHeight="false" outlineLevel="0" collapsed="false">
      <c r="A900" s="14" t="s">
        <v>1027</v>
      </c>
      <c r="B900" s="14" t="s">
        <v>1019</v>
      </c>
      <c r="C900" s="14" t="s">
        <v>180</v>
      </c>
      <c r="D900" s="14" t="s">
        <v>168</v>
      </c>
      <c r="E900" s="14" t="s">
        <v>169</v>
      </c>
      <c r="F900" s="14" t="s">
        <v>164</v>
      </c>
      <c r="G900" s="14" t="n">
        <v>2</v>
      </c>
      <c r="H900" s="14" t="s">
        <v>153</v>
      </c>
      <c r="I900" s="14" t="s">
        <v>899</v>
      </c>
      <c r="J900" s="15" t="n">
        <f aca="false">IF(B900="SITE LOSS",IF(D900=C900,1,0),IF(B900="REGION LOSS",IF(E900=C900,1,0),0))</f>
        <v>0</v>
      </c>
      <c r="K900" s="15" t="n">
        <f aca="false">IF(B900="SITE LOSS",IF(COUNTIFS('Site Dockets'!$B$7:$B$24,C900,'Site Dockets'!$C$7:$C$24,F900)&gt;0,1,0),IF(B900="REGION LOSS",IF(COUNTIFS('Site Dockets'!$E$7:$E$24,C900,'Site Dockets'!$C$7:$C$24,F900)&gt;0,1,0),0))</f>
        <v>0</v>
      </c>
      <c r="L900" s="15" t="n">
        <f aca="false">IF(J900=1,0,Inputs!$B$11)</f>
        <v>100</v>
      </c>
      <c r="M900" s="15" t="n">
        <f aca="false">IF(J900=1,0,Inputs!$B$12)</f>
        <v>75</v>
      </c>
      <c r="N900" s="15" t="n">
        <f aca="false">IF(J900=1,0,IF(OR(AND(OR(B900="SITE LOSS",B900="REGION LOSS"),K900=1),AND(B900="ROLE COMPROMISE",H900=C900)),Inputs!$B$13,Inputs!$B$14))</f>
        <v>10</v>
      </c>
      <c r="O900" s="15" t="n">
        <f aca="false">IF(J900=1,0,Inputs!$B$13)</f>
        <v>20</v>
      </c>
      <c r="P900" s="15" t="n">
        <f aca="false">SUM(M900:N900)</f>
        <v>85</v>
      </c>
      <c r="Q900" s="15" t="n">
        <f aca="false">IF(J900=1,"",L900-P900)</f>
        <v>15</v>
      </c>
      <c r="R900" s="15" t="n">
        <f aca="false">IF(OR(J900=1,M900&lt;=Inputs!$B$12),1,0)</f>
        <v>1</v>
      </c>
      <c r="S900" s="15" t="n">
        <f aca="false">IF(OR(J900=1,N900&lt;=O900),1,0)</f>
        <v>1</v>
      </c>
      <c r="T900" s="15" t="str">
        <f aca="false">IF(J900=1,"OFFLINE",IF(AND(Q900&gt;=Inputs!$B$15,R900=1,S900=1,P900&lt;=L900),"PASS","FAIL"))</f>
        <v>PASS</v>
      </c>
    </row>
    <row r="901" customFormat="false" ht="15" hidden="false" customHeight="false" outlineLevel="0" collapsed="false">
      <c r="A901" s="14" t="s">
        <v>1027</v>
      </c>
      <c r="B901" s="14" t="s">
        <v>1019</v>
      </c>
      <c r="C901" s="14" t="s">
        <v>180</v>
      </c>
      <c r="D901" s="14" t="s">
        <v>171</v>
      </c>
      <c r="E901" s="14" t="s">
        <v>172</v>
      </c>
      <c r="F901" s="14" t="s">
        <v>164</v>
      </c>
      <c r="G901" s="14" t="n">
        <v>3</v>
      </c>
      <c r="H901" s="14" t="s">
        <v>158</v>
      </c>
      <c r="I901" s="14" t="s">
        <v>890</v>
      </c>
      <c r="J901" s="15" t="n">
        <f aca="false">IF(B901="SITE LOSS",IF(D901=C901,1,0),IF(B901="REGION LOSS",IF(E901=C901,1,0),0))</f>
        <v>0</v>
      </c>
      <c r="K901" s="15" t="n">
        <f aca="false">IF(B901="SITE LOSS",IF(COUNTIFS('Site Dockets'!$B$7:$B$24,C901,'Site Dockets'!$C$7:$C$24,F901)&gt;0,1,0),IF(B901="REGION LOSS",IF(COUNTIFS('Site Dockets'!$E$7:$E$24,C901,'Site Dockets'!$C$7:$C$24,F901)&gt;0,1,0),0))</f>
        <v>0</v>
      </c>
      <c r="L901" s="15" t="n">
        <f aca="false">IF(J901=1,0,Inputs!$B$11)</f>
        <v>100</v>
      </c>
      <c r="M901" s="15" t="n">
        <f aca="false">IF(J901=1,0,Inputs!$B$12)</f>
        <v>75</v>
      </c>
      <c r="N901" s="15" t="n">
        <f aca="false">IF(J901=1,0,IF(OR(AND(OR(B901="SITE LOSS",B901="REGION LOSS"),K901=1),AND(B901="ROLE COMPROMISE",H901=C901)),Inputs!$B$13,Inputs!$B$14))</f>
        <v>10</v>
      </c>
      <c r="O901" s="15" t="n">
        <f aca="false">IF(J901=1,0,Inputs!$B$13)</f>
        <v>20</v>
      </c>
      <c r="P901" s="15" t="n">
        <f aca="false">SUM(M901:N901)</f>
        <v>85</v>
      </c>
      <c r="Q901" s="15" t="n">
        <f aca="false">IF(J901=1,"",L901-P901)</f>
        <v>15</v>
      </c>
      <c r="R901" s="15" t="n">
        <f aca="false">IF(OR(J901=1,M901&lt;=Inputs!$B$12),1,0)</f>
        <v>1</v>
      </c>
      <c r="S901" s="15" t="n">
        <f aca="false">IF(OR(J901=1,N901&lt;=O901),1,0)</f>
        <v>1</v>
      </c>
      <c r="T901" s="15" t="str">
        <f aca="false">IF(J901=1,"OFFLINE",IF(AND(Q901&gt;=Inputs!$B$15,R901=1,S901=1,P901&lt;=L901),"PASS","FAIL"))</f>
        <v>PASS</v>
      </c>
    </row>
    <row r="902" customFormat="false" ht="15" hidden="false" customHeight="false" outlineLevel="0" collapsed="false">
      <c r="A902" s="14" t="s">
        <v>1027</v>
      </c>
      <c r="B902" s="14" t="s">
        <v>1019</v>
      </c>
      <c r="C902" s="14" t="s">
        <v>180</v>
      </c>
      <c r="D902" s="14" t="s">
        <v>171</v>
      </c>
      <c r="E902" s="14" t="s">
        <v>172</v>
      </c>
      <c r="F902" s="14" t="s">
        <v>164</v>
      </c>
      <c r="G902" s="14" t="n">
        <v>3</v>
      </c>
      <c r="H902" s="14" t="s">
        <v>158</v>
      </c>
      <c r="I902" s="14" t="s">
        <v>892</v>
      </c>
      <c r="J902" s="15" t="n">
        <f aca="false">IF(B902="SITE LOSS",IF(D902=C902,1,0),IF(B902="REGION LOSS",IF(E902=C902,1,0),0))</f>
        <v>0</v>
      </c>
      <c r="K902" s="15" t="n">
        <f aca="false">IF(B902="SITE LOSS",IF(COUNTIFS('Site Dockets'!$B$7:$B$24,C902,'Site Dockets'!$C$7:$C$24,F902)&gt;0,1,0),IF(B902="REGION LOSS",IF(COUNTIFS('Site Dockets'!$E$7:$E$24,C902,'Site Dockets'!$C$7:$C$24,F902)&gt;0,1,0),0))</f>
        <v>0</v>
      </c>
      <c r="L902" s="15" t="n">
        <f aca="false">IF(J902=1,0,Inputs!$B$11)</f>
        <v>100</v>
      </c>
      <c r="M902" s="15" t="n">
        <f aca="false">IF(J902=1,0,Inputs!$B$12)</f>
        <v>75</v>
      </c>
      <c r="N902" s="15" t="n">
        <f aca="false">IF(J902=1,0,IF(OR(AND(OR(B902="SITE LOSS",B902="REGION LOSS"),K902=1),AND(B902="ROLE COMPROMISE",H902=C902)),Inputs!$B$13,Inputs!$B$14))</f>
        <v>10</v>
      </c>
      <c r="O902" s="15" t="n">
        <f aca="false">IF(J902=1,0,Inputs!$B$13)</f>
        <v>20</v>
      </c>
      <c r="P902" s="15" t="n">
        <f aca="false">SUM(M902:N902)</f>
        <v>85</v>
      </c>
      <c r="Q902" s="15" t="n">
        <f aca="false">IF(J902=1,"",L902-P902)</f>
        <v>15</v>
      </c>
      <c r="R902" s="15" t="n">
        <f aca="false">IF(OR(J902=1,M902&lt;=Inputs!$B$12),1,0)</f>
        <v>1</v>
      </c>
      <c r="S902" s="15" t="n">
        <f aca="false">IF(OR(J902=1,N902&lt;=O902),1,0)</f>
        <v>1</v>
      </c>
      <c r="T902" s="15" t="str">
        <f aca="false">IF(J902=1,"OFFLINE",IF(AND(Q902&gt;=Inputs!$B$15,R902=1,S902=1,P902&lt;=L902),"PASS","FAIL"))</f>
        <v>PASS</v>
      </c>
    </row>
    <row r="903" customFormat="false" ht="15" hidden="false" customHeight="false" outlineLevel="0" collapsed="false">
      <c r="A903" s="14" t="s">
        <v>1027</v>
      </c>
      <c r="B903" s="14" t="s">
        <v>1019</v>
      </c>
      <c r="C903" s="14" t="s">
        <v>180</v>
      </c>
      <c r="D903" s="14" t="s">
        <v>171</v>
      </c>
      <c r="E903" s="14" t="s">
        <v>172</v>
      </c>
      <c r="F903" s="14" t="s">
        <v>164</v>
      </c>
      <c r="G903" s="14" t="n">
        <v>3</v>
      </c>
      <c r="H903" s="14" t="s">
        <v>158</v>
      </c>
      <c r="I903" s="14" t="s">
        <v>811</v>
      </c>
      <c r="J903" s="15" t="n">
        <f aca="false">IF(B903="SITE LOSS",IF(D903=C903,1,0),IF(B903="REGION LOSS",IF(E903=C903,1,0),0))</f>
        <v>0</v>
      </c>
      <c r="K903" s="15" t="n">
        <f aca="false">IF(B903="SITE LOSS",IF(COUNTIFS('Site Dockets'!$B$7:$B$24,C903,'Site Dockets'!$C$7:$C$24,F903)&gt;0,1,0),IF(B903="REGION LOSS",IF(COUNTIFS('Site Dockets'!$E$7:$E$24,C903,'Site Dockets'!$C$7:$C$24,F903)&gt;0,1,0),0))</f>
        <v>0</v>
      </c>
      <c r="L903" s="15" t="n">
        <f aca="false">IF(J903=1,0,Inputs!$B$11)</f>
        <v>100</v>
      </c>
      <c r="M903" s="15" t="n">
        <f aca="false">IF(J903=1,0,Inputs!$B$12)</f>
        <v>75</v>
      </c>
      <c r="N903" s="15" t="n">
        <f aca="false">IF(J903=1,0,IF(OR(AND(OR(B903="SITE LOSS",B903="REGION LOSS"),K903=1),AND(B903="ROLE COMPROMISE",H903=C903)),Inputs!$B$13,Inputs!$B$14))</f>
        <v>10</v>
      </c>
      <c r="O903" s="15" t="n">
        <f aca="false">IF(J903=1,0,Inputs!$B$13)</f>
        <v>20</v>
      </c>
      <c r="P903" s="15" t="n">
        <f aca="false">SUM(M903:N903)</f>
        <v>85</v>
      </c>
      <c r="Q903" s="15" t="n">
        <f aca="false">IF(J903=1,"",L903-P903)</f>
        <v>15</v>
      </c>
      <c r="R903" s="15" t="n">
        <f aca="false">IF(OR(J903=1,M903&lt;=Inputs!$B$12),1,0)</f>
        <v>1</v>
      </c>
      <c r="S903" s="15" t="n">
        <f aca="false">IF(OR(J903=1,N903&lt;=O903),1,0)</f>
        <v>1</v>
      </c>
      <c r="T903" s="15" t="str">
        <f aca="false">IF(J903=1,"OFFLINE",IF(AND(Q903&gt;=Inputs!$B$15,R903=1,S903=1,P903&lt;=L903),"PASS","FAIL"))</f>
        <v>PASS</v>
      </c>
    </row>
    <row r="904" customFormat="false" ht="15" hidden="false" customHeight="false" outlineLevel="0" collapsed="false">
      <c r="A904" s="14" t="s">
        <v>1027</v>
      </c>
      <c r="B904" s="14" t="s">
        <v>1019</v>
      </c>
      <c r="C904" s="14" t="s">
        <v>180</v>
      </c>
      <c r="D904" s="14" t="s">
        <v>171</v>
      </c>
      <c r="E904" s="14" t="s">
        <v>172</v>
      </c>
      <c r="F904" s="14" t="s">
        <v>164</v>
      </c>
      <c r="G904" s="14" t="n">
        <v>3</v>
      </c>
      <c r="H904" s="14" t="s">
        <v>158</v>
      </c>
      <c r="I904" s="14" t="s">
        <v>895</v>
      </c>
      <c r="J904" s="15" t="n">
        <f aca="false">IF(B904="SITE LOSS",IF(D904=C904,1,0),IF(B904="REGION LOSS",IF(E904=C904,1,0),0))</f>
        <v>0</v>
      </c>
      <c r="K904" s="15" t="n">
        <f aca="false">IF(B904="SITE LOSS",IF(COUNTIFS('Site Dockets'!$B$7:$B$24,C904,'Site Dockets'!$C$7:$C$24,F904)&gt;0,1,0),IF(B904="REGION LOSS",IF(COUNTIFS('Site Dockets'!$E$7:$E$24,C904,'Site Dockets'!$C$7:$C$24,F904)&gt;0,1,0),0))</f>
        <v>0</v>
      </c>
      <c r="L904" s="15" t="n">
        <f aca="false">IF(J904=1,0,Inputs!$B$11)</f>
        <v>100</v>
      </c>
      <c r="M904" s="15" t="n">
        <f aca="false">IF(J904=1,0,Inputs!$B$12)</f>
        <v>75</v>
      </c>
      <c r="N904" s="15" t="n">
        <f aca="false">IF(J904=1,0,IF(OR(AND(OR(B904="SITE LOSS",B904="REGION LOSS"),K904=1),AND(B904="ROLE COMPROMISE",H904=C904)),Inputs!$B$13,Inputs!$B$14))</f>
        <v>10</v>
      </c>
      <c r="O904" s="15" t="n">
        <f aca="false">IF(J904=1,0,Inputs!$B$13)</f>
        <v>20</v>
      </c>
      <c r="P904" s="15" t="n">
        <f aca="false">SUM(M904:N904)</f>
        <v>85</v>
      </c>
      <c r="Q904" s="15" t="n">
        <f aca="false">IF(J904=1,"",L904-P904)</f>
        <v>15</v>
      </c>
      <c r="R904" s="15" t="n">
        <f aca="false">IF(OR(J904=1,M904&lt;=Inputs!$B$12),1,0)</f>
        <v>1</v>
      </c>
      <c r="S904" s="15" t="n">
        <f aca="false">IF(OR(J904=1,N904&lt;=O904),1,0)</f>
        <v>1</v>
      </c>
      <c r="T904" s="15" t="str">
        <f aca="false">IF(J904=1,"OFFLINE",IF(AND(Q904&gt;=Inputs!$B$15,R904=1,S904=1,P904&lt;=L904),"PASS","FAIL"))</f>
        <v>PASS</v>
      </c>
    </row>
    <row r="905" customFormat="false" ht="15" hidden="false" customHeight="false" outlineLevel="0" collapsed="false">
      <c r="A905" s="14" t="s">
        <v>1027</v>
      </c>
      <c r="B905" s="14" t="s">
        <v>1019</v>
      </c>
      <c r="C905" s="14" t="s">
        <v>180</v>
      </c>
      <c r="D905" s="14" t="s">
        <v>171</v>
      </c>
      <c r="E905" s="14" t="s">
        <v>172</v>
      </c>
      <c r="F905" s="14" t="s">
        <v>164</v>
      </c>
      <c r="G905" s="14" t="n">
        <v>3</v>
      </c>
      <c r="H905" s="14" t="s">
        <v>158</v>
      </c>
      <c r="I905" s="14" t="s">
        <v>897</v>
      </c>
      <c r="J905" s="15" t="n">
        <f aca="false">IF(B905="SITE LOSS",IF(D905=C905,1,0),IF(B905="REGION LOSS",IF(E905=C905,1,0),0))</f>
        <v>0</v>
      </c>
      <c r="K905" s="15" t="n">
        <f aca="false">IF(B905="SITE LOSS",IF(COUNTIFS('Site Dockets'!$B$7:$B$24,C905,'Site Dockets'!$C$7:$C$24,F905)&gt;0,1,0),IF(B905="REGION LOSS",IF(COUNTIFS('Site Dockets'!$E$7:$E$24,C905,'Site Dockets'!$C$7:$C$24,F905)&gt;0,1,0),0))</f>
        <v>0</v>
      </c>
      <c r="L905" s="15" t="n">
        <f aca="false">IF(J905=1,0,Inputs!$B$11)</f>
        <v>100</v>
      </c>
      <c r="M905" s="15" t="n">
        <f aca="false">IF(J905=1,0,Inputs!$B$12)</f>
        <v>75</v>
      </c>
      <c r="N905" s="15" t="n">
        <f aca="false">IF(J905=1,0,IF(OR(AND(OR(B905="SITE LOSS",B905="REGION LOSS"),K905=1),AND(B905="ROLE COMPROMISE",H905=C905)),Inputs!$B$13,Inputs!$B$14))</f>
        <v>10</v>
      </c>
      <c r="O905" s="15" t="n">
        <f aca="false">IF(J905=1,0,Inputs!$B$13)</f>
        <v>20</v>
      </c>
      <c r="P905" s="15" t="n">
        <f aca="false">SUM(M905:N905)</f>
        <v>85</v>
      </c>
      <c r="Q905" s="15" t="n">
        <f aca="false">IF(J905=1,"",L905-P905)</f>
        <v>15</v>
      </c>
      <c r="R905" s="15" t="n">
        <f aca="false">IF(OR(J905=1,M905&lt;=Inputs!$B$12),1,0)</f>
        <v>1</v>
      </c>
      <c r="S905" s="15" t="n">
        <f aca="false">IF(OR(J905=1,N905&lt;=O905),1,0)</f>
        <v>1</v>
      </c>
      <c r="T905" s="15" t="str">
        <f aca="false">IF(J905=1,"OFFLINE",IF(AND(Q905&gt;=Inputs!$B$15,R905=1,S905=1,P905&lt;=L905),"PASS","FAIL"))</f>
        <v>PASS</v>
      </c>
    </row>
    <row r="906" customFormat="false" ht="15" hidden="false" customHeight="false" outlineLevel="0" collapsed="false">
      <c r="A906" s="14" t="s">
        <v>1027</v>
      </c>
      <c r="B906" s="14" t="s">
        <v>1019</v>
      </c>
      <c r="C906" s="14" t="s">
        <v>180</v>
      </c>
      <c r="D906" s="14" t="s">
        <v>171</v>
      </c>
      <c r="E906" s="14" t="s">
        <v>172</v>
      </c>
      <c r="F906" s="14" t="s">
        <v>164</v>
      </c>
      <c r="G906" s="14" t="n">
        <v>3</v>
      </c>
      <c r="H906" s="14" t="s">
        <v>158</v>
      </c>
      <c r="I906" s="14" t="s">
        <v>899</v>
      </c>
      <c r="J906" s="15" t="n">
        <f aca="false">IF(B906="SITE LOSS",IF(D906=C906,1,0),IF(B906="REGION LOSS",IF(E906=C906,1,0),0))</f>
        <v>0</v>
      </c>
      <c r="K906" s="15" t="n">
        <f aca="false">IF(B906="SITE LOSS",IF(COUNTIFS('Site Dockets'!$B$7:$B$24,C906,'Site Dockets'!$C$7:$C$24,F906)&gt;0,1,0),IF(B906="REGION LOSS",IF(COUNTIFS('Site Dockets'!$E$7:$E$24,C906,'Site Dockets'!$C$7:$C$24,F906)&gt;0,1,0),0))</f>
        <v>0</v>
      </c>
      <c r="L906" s="15" t="n">
        <f aca="false">IF(J906=1,0,Inputs!$B$11)</f>
        <v>100</v>
      </c>
      <c r="M906" s="15" t="n">
        <f aca="false">IF(J906=1,0,Inputs!$B$12)</f>
        <v>75</v>
      </c>
      <c r="N906" s="15" t="n">
        <f aca="false">IF(J906=1,0,IF(OR(AND(OR(B906="SITE LOSS",B906="REGION LOSS"),K906=1),AND(B906="ROLE COMPROMISE",H906=C906)),Inputs!$B$13,Inputs!$B$14))</f>
        <v>10</v>
      </c>
      <c r="O906" s="15" t="n">
        <f aca="false">IF(J906=1,0,Inputs!$B$13)</f>
        <v>20</v>
      </c>
      <c r="P906" s="15" t="n">
        <f aca="false">SUM(M906:N906)</f>
        <v>85</v>
      </c>
      <c r="Q906" s="15" t="n">
        <f aca="false">IF(J906=1,"",L906-P906)</f>
        <v>15</v>
      </c>
      <c r="R906" s="15" t="n">
        <f aca="false">IF(OR(J906=1,M906&lt;=Inputs!$B$12),1,0)</f>
        <v>1</v>
      </c>
      <c r="S906" s="15" t="n">
        <f aca="false">IF(OR(J906=1,N906&lt;=O906),1,0)</f>
        <v>1</v>
      </c>
      <c r="T906" s="15" t="str">
        <f aca="false">IF(J906=1,"OFFLINE",IF(AND(Q906&gt;=Inputs!$B$15,R906=1,S906=1,P906&lt;=L906),"PASS","FAIL"))</f>
        <v>PASS</v>
      </c>
    </row>
    <row r="907" customFormat="false" ht="15" hidden="false" customHeight="false" outlineLevel="0" collapsed="false">
      <c r="A907" s="14" t="s">
        <v>1027</v>
      </c>
      <c r="B907" s="14" t="s">
        <v>1019</v>
      </c>
      <c r="C907" s="14" t="s">
        <v>180</v>
      </c>
      <c r="D907" s="14" t="s">
        <v>174</v>
      </c>
      <c r="E907" s="14" t="s">
        <v>152</v>
      </c>
      <c r="F907" s="14" t="s">
        <v>175</v>
      </c>
      <c r="G907" s="14" t="n">
        <v>1</v>
      </c>
      <c r="H907" s="14" t="s">
        <v>154</v>
      </c>
      <c r="I907" s="14" t="s">
        <v>890</v>
      </c>
      <c r="J907" s="15" t="n">
        <f aca="false">IF(B907="SITE LOSS",IF(D907=C907,1,0),IF(B907="REGION LOSS",IF(E907=C907,1,0),0))</f>
        <v>0</v>
      </c>
      <c r="K907" s="15" t="n">
        <f aca="false">IF(B907="SITE LOSS",IF(COUNTIFS('Site Dockets'!$B$7:$B$24,C907,'Site Dockets'!$C$7:$C$24,F907)&gt;0,1,0),IF(B907="REGION LOSS",IF(COUNTIFS('Site Dockets'!$E$7:$E$24,C907,'Site Dockets'!$C$7:$C$24,F907)&gt;0,1,0),0))</f>
        <v>1</v>
      </c>
      <c r="L907" s="15" t="n">
        <f aca="false">IF(J907=1,0,Inputs!$B$11)</f>
        <v>100</v>
      </c>
      <c r="M907" s="15" t="n">
        <f aca="false">IF(J907=1,0,Inputs!$B$12)</f>
        <v>75</v>
      </c>
      <c r="N907" s="15" t="n">
        <f aca="false">IF(J907=1,0,IF(OR(AND(OR(B907="SITE LOSS",B907="REGION LOSS"),K907=1),AND(B907="ROLE COMPROMISE",H907=C907)),Inputs!$B$13,Inputs!$B$14))</f>
        <v>20</v>
      </c>
      <c r="O907" s="15" t="n">
        <f aca="false">IF(J907=1,0,Inputs!$B$13)</f>
        <v>20</v>
      </c>
      <c r="P907" s="15" t="n">
        <f aca="false">SUM(M907:N907)</f>
        <v>95</v>
      </c>
      <c r="Q907" s="15" t="n">
        <f aca="false">IF(J907=1,"",L907-P907)</f>
        <v>5</v>
      </c>
      <c r="R907" s="15" t="n">
        <f aca="false">IF(OR(J907=1,M907&lt;=Inputs!$B$12),1,0)</f>
        <v>1</v>
      </c>
      <c r="S907" s="15" t="n">
        <f aca="false">IF(OR(J907=1,N907&lt;=O907),1,0)</f>
        <v>1</v>
      </c>
      <c r="T907" s="15" t="str">
        <f aca="false">IF(J907=1,"OFFLINE",IF(AND(Q907&gt;=Inputs!$B$15,R907=1,S907=1,P907&lt;=L907),"PASS","FAIL"))</f>
        <v>PASS</v>
      </c>
    </row>
    <row r="908" customFormat="false" ht="15" hidden="false" customHeight="false" outlineLevel="0" collapsed="false">
      <c r="A908" s="14" t="s">
        <v>1027</v>
      </c>
      <c r="B908" s="14" t="s">
        <v>1019</v>
      </c>
      <c r="C908" s="14" t="s">
        <v>180</v>
      </c>
      <c r="D908" s="14" t="s">
        <v>174</v>
      </c>
      <c r="E908" s="14" t="s">
        <v>152</v>
      </c>
      <c r="F908" s="14" t="s">
        <v>175</v>
      </c>
      <c r="G908" s="14" t="n">
        <v>1</v>
      </c>
      <c r="H908" s="14" t="s">
        <v>154</v>
      </c>
      <c r="I908" s="14" t="s">
        <v>892</v>
      </c>
      <c r="J908" s="15" t="n">
        <f aca="false">IF(B908="SITE LOSS",IF(D908=C908,1,0),IF(B908="REGION LOSS",IF(E908=C908,1,0),0))</f>
        <v>0</v>
      </c>
      <c r="K908" s="15" t="n">
        <f aca="false">IF(B908="SITE LOSS",IF(COUNTIFS('Site Dockets'!$B$7:$B$24,C908,'Site Dockets'!$C$7:$C$24,F908)&gt;0,1,0),IF(B908="REGION LOSS",IF(COUNTIFS('Site Dockets'!$E$7:$E$24,C908,'Site Dockets'!$C$7:$C$24,F908)&gt;0,1,0),0))</f>
        <v>1</v>
      </c>
      <c r="L908" s="15" t="n">
        <f aca="false">IF(J908=1,0,Inputs!$B$11)</f>
        <v>100</v>
      </c>
      <c r="M908" s="15" t="n">
        <f aca="false">IF(J908=1,0,Inputs!$B$12)</f>
        <v>75</v>
      </c>
      <c r="N908" s="15" t="n">
        <f aca="false">IF(J908=1,0,IF(OR(AND(OR(B908="SITE LOSS",B908="REGION LOSS"),K908=1),AND(B908="ROLE COMPROMISE",H908=C908)),Inputs!$B$13,Inputs!$B$14))</f>
        <v>20</v>
      </c>
      <c r="O908" s="15" t="n">
        <f aca="false">IF(J908=1,0,Inputs!$B$13)</f>
        <v>20</v>
      </c>
      <c r="P908" s="15" t="n">
        <f aca="false">SUM(M908:N908)</f>
        <v>95</v>
      </c>
      <c r="Q908" s="15" t="n">
        <f aca="false">IF(J908=1,"",L908-P908)</f>
        <v>5</v>
      </c>
      <c r="R908" s="15" t="n">
        <f aca="false">IF(OR(J908=1,M908&lt;=Inputs!$B$12),1,0)</f>
        <v>1</v>
      </c>
      <c r="S908" s="15" t="n">
        <f aca="false">IF(OR(J908=1,N908&lt;=O908),1,0)</f>
        <v>1</v>
      </c>
      <c r="T908" s="15" t="str">
        <f aca="false">IF(J908=1,"OFFLINE",IF(AND(Q908&gt;=Inputs!$B$15,R908=1,S908=1,P908&lt;=L908),"PASS","FAIL"))</f>
        <v>PASS</v>
      </c>
    </row>
    <row r="909" customFormat="false" ht="15" hidden="false" customHeight="false" outlineLevel="0" collapsed="false">
      <c r="A909" s="14" t="s">
        <v>1027</v>
      </c>
      <c r="B909" s="14" t="s">
        <v>1019</v>
      </c>
      <c r="C909" s="14" t="s">
        <v>180</v>
      </c>
      <c r="D909" s="14" t="s">
        <v>174</v>
      </c>
      <c r="E909" s="14" t="s">
        <v>152</v>
      </c>
      <c r="F909" s="14" t="s">
        <v>175</v>
      </c>
      <c r="G909" s="14" t="n">
        <v>1</v>
      </c>
      <c r="H909" s="14" t="s">
        <v>154</v>
      </c>
      <c r="I909" s="14" t="s">
        <v>811</v>
      </c>
      <c r="J909" s="15" t="n">
        <f aca="false">IF(B909="SITE LOSS",IF(D909=C909,1,0),IF(B909="REGION LOSS",IF(E909=C909,1,0),0))</f>
        <v>0</v>
      </c>
      <c r="K909" s="15" t="n">
        <f aca="false">IF(B909="SITE LOSS",IF(COUNTIFS('Site Dockets'!$B$7:$B$24,C909,'Site Dockets'!$C$7:$C$24,F909)&gt;0,1,0),IF(B909="REGION LOSS",IF(COUNTIFS('Site Dockets'!$E$7:$E$24,C909,'Site Dockets'!$C$7:$C$24,F909)&gt;0,1,0),0))</f>
        <v>1</v>
      </c>
      <c r="L909" s="15" t="n">
        <f aca="false">IF(J909=1,0,Inputs!$B$11)</f>
        <v>100</v>
      </c>
      <c r="M909" s="15" t="n">
        <f aca="false">IF(J909=1,0,Inputs!$B$12)</f>
        <v>75</v>
      </c>
      <c r="N909" s="15" t="n">
        <f aca="false">IF(J909=1,0,IF(OR(AND(OR(B909="SITE LOSS",B909="REGION LOSS"),K909=1),AND(B909="ROLE COMPROMISE",H909=C909)),Inputs!$B$13,Inputs!$B$14))</f>
        <v>20</v>
      </c>
      <c r="O909" s="15" t="n">
        <f aca="false">IF(J909=1,0,Inputs!$B$13)</f>
        <v>20</v>
      </c>
      <c r="P909" s="15" t="n">
        <f aca="false">SUM(M909:N909)</f>
        <v>95</v>
      </c>
      <c r="Q909" s="15" t="n">
        <f aca="false">IF(J909=1,"",L909-P909)</f>
        <v>5</v>
      </c>
      <c r="R909" s="15" t="n">
        <f aca="false">IF(OR(J909=1,M909&lt;=Inputs!$B$12),1,0)</f>
        <v>1</v>
      </c>
      <c r="S909" s="15" t="n">
        <f aca="false">IF(OR(J909=1,N909&lt;=O909),1,0)</f>
        <v>1</v>
      </c>
      <c r="T909" s="15" t="str">
        <f aca="false">IF(J909=1,"OFFLINE",IF(AND(Q909&gt;=Inputs!$B$15,R909=1,S909=1,P909&lt;=L909),"PASS","FAIL"))</f>
        <v>PASS</v>
      </c>
    </row>
    <row r="910" customFormat="false" ht="15" hidden="false" customHeight="false" outlineLevel="0" collapsed="false">
      <c r="A910" s="14" t="s">
        <v>1027</v>
      </c>
      <c r="B910" s="14" t="s">
        <v>1019</v>
      </c>
      <c r="C910" s="14" t="s">
        <v>180</v>
      </c>
      <c r="D910" s="14" t="s">
        <v>174</v>
      </c>
      <c r="E910" s="14" t="s">
        <v>152</v>
      </c>
      <c r="F910" s="14" t="s">
        <v>175</v>
      </c>
      <c r="G910" s="14" t="n">
        <v>1</v>
      </c>
      <c r="H910" s="14" t="s">
        <v>154</v>
      </c>
      <c r="I910" s="14" t="s">
        <v>895</v>
      </c>
      <c r="J910" s="15" t="n">
        <f aca="false">IF(B910="SITE LOSS",IF(D910=C910,1,0),IF(B910="REGION LOSS",IF(E910=C910,1,0),0))</f>
        <v>0</v>
      </c>
      <c r="K910" s="15" t="n">
        <f aca="false">IF(B910="SITE LOSS",IF(COUNTIFS('Site Dockets'!$B$7:$B$24,C910,'Site Dockets'!$C$7:$C$24,F910)&gt;0,1,0),IF(B910="REGION LOSS",IF(COUNTIFS('Site Dockets'!$E$7:$E$24,C910,'Site Dockets'!$C$7:$C$24,F910)&gt;0,1,0),0))</f>
        <v>1</v>
      </c>
      <c r="L910" s="15" t="n">
        <f aca="false">IF(J910=1,0,Inputs!$B$11)</f>
        <v>100</v>
      </c>
      <c r="M910" s="15" t="n">
        <f aca="false">IF(J910=1,0,Inputs!$B$12)</f>
        <v>75</v>
      </c>
      <c r="N910" s="15" t="n">
        <f aca="false">IF(J910=1,0,IF(OR(AND(OR(B910="SITE LOSS",B910="REGION LOSS"),K910=1),AND(B910="ROLE COMPROMISE",H910=C910)),Inputs!$B$13,Inputs!$B$14))</f>
        <v>20</v>
      </c>
      <c r="O910" s="15" t="n">
        <f aca="false">IF(J910=1,0,Inputs!$B$13)</f>
        <v>20</v>
      </c>
      <c r="P910" s="15" t="n">
        <f aca="false">SUM(M910:N910)</f>
        <v>95</v>
      </c>
      <c r="Q910" s="15" t="n">
        <f aca="false">IF(J910=1,"",L910-P910)</f>
        <v>5</v>
      </c>
      <c r="R910" s="15" t="n">
        <f aca="false">IF(OR(J910=1,M910&lt;=Inputs!$B$12),1,0)</f>
        <v>1</v>
      </c>
      <c r="S910" s="15" t="n">
        <f aca="false">IF(OR(J910=1,N910&lt;=O910),1,0)</f>
        <v>1</v>
      </c>
      <c r="T910" s="15" t="str">
        <f aca="false">IF(J910=1,"OFFLINE",IF(AND(Q910&gt;=Inputs!$B$15,R910=1,S910=1,P910&lt;=L910),"PASS","FAIL"))</f>
        <v>PASS</v>
      </c>
    </row>
    <row r="911" customFormat="false" ht="15" hidden="false" customHeight="false" outlineLevel="0" collapsed="false">
      <c r="A911" s="14" t="s">
        <v>1027</v>
      </c>
      <c r="B911" s="14" t="s">
        <v>1019</v>
      </c>
      <c r="C911" s="14" t="s">
        <v>180</v>
      </c>
      <c r="D911" s="14" t="s">
        <v>174</v>
      </c>
      <c r="E911" s="14" t="s">
        <v>152</v>
      </c>
      <c r="F911" s="14" t="s">
        <v>175</v>
      </c>
      <c r="G911" s="14" t="n">
        <v>1</v>
      </c>
      <c r="H911" s="14" t="s">
        <v>154</v>
      </c>
      <c r="I911" s="14" t="s">
        <v>897</v>
      </c>
      <c r="J911" s="15" t="n">
        <f aca="false">IF(B911="SITE LOSS",IF(D911=C911,1,0),IF(B911="REGION LOSS",IF(E911=C911,1,0),0))</f>
        <v>0</v>
      </c>
      <c r="K911" s="15" t="n">
        <f aca="false">IF(B911="SITE LOSS",IF(COUNTIFS('Site Dockets'!$B$7:$B$24,C911,'Site Dockets'!$C$7:$C$24,F911)&gt;0,1,0),IF(B911="REGION LOSS",IF(COUNTIFS('Site Dockets'!$E$7:$E$24,C911,'Site Dockets'!$C$7:$C$24,F911)&gt;0,1,0),0))</f>
        <v>1</v>
      </c>
      <c r="L911" s="15" t="n">
        <f aca="false">IF(J911=1,0,Inputs!$B$11)</f>
        <v>100</v>
      </c>
      <c r="M911" s="15" t="n">
        <f aca="false">IF(J911=1,0,Inputs!$B$12)</f>
        <v>75</v>
      </c>
      <c r="N911" s="15" t="n">
        <f aca="false">IF(J911=1,0,IF(OR(AND(OR(B911="SITE LOSS",B911="REGION LOSS"),K911=1),AND(B911="ROLE COMPROMISE",H911=C911)),Inputs!$B$13,Inputs!$B$14))</f>
        <v>20</v>
      </c>
      <c r="O911" s="15" t="n">
        <f aca="false">IF(J911=1,0,Inputs!$B$13)</f>
        <v>20</v>
      </c>
      <c r="P911" s="15" t="n">
        <f aca="false">SUM(M911:N911)</f>
        <v>95</v>
      </c>
      <c r="Q911" s="15" t="n">
        <f aca="false">IF(J911=1,"",L911-P911)</f>
        <v>5</v>
      </c>
      <c r="R911" s="15" t="n">
        <f aca="false">IF(OR(J911=1,M911&lt;=Inputs!$B$12),1,0)</f>
        <v>1</v>
      </c>
      <c r="S911" s="15" t="n">
        <f aca="false">IF(OR(J911=1,N911&lt;=O911),1,0)</f>
        <v>1</v>
      </c>
      <c r="T911" s="15" t="str">
        <f aca="false">IF(J911=1,"OFFLINE",IF(AND(Q911&gt;=Inputs!$B$15,R911=1,S911=1,P911&lt;=L911),"PASS","FAIL"))</f>
        <v>PASS</v>
      </c>
    </row>
    <row r="912" customFormat="false" ht="15" hidden="false" customHeight="false" outlineLevel="0" collapsed="false">
      <c r="A912" s="14" t="s">
        <v>1027</v>
      </c>
      <c r="B912" s="14" t="s">
        <v>1019</v>
      </c>
      <c r="C912" s="14" t="s">
        <v>180</v>
      </c>
      <c r="D912" s="14" t="s">
        <v>174</v>
      </c>
      <c r="E912" s="14" t="s">
        <v>152</v>
      </c>
      <c r="F912" s="14" t="s">
        <v>175</v>
      </c>
      <c r="G912" s="14" t="n">
        <v>1</v>
      </c>
      <c r="H912" s="14" t="s">
        <v>154</v>
      </c>
      <c r="I912" s="14" t="s">
        <v>899</v>
      </c>
      <c r="J912" s="15" t="n">
        <f aca="false">IF(B912="SITE LOSS",IF(D912=C912,1,0),IF(B912="REGION LOSS",IF(E912=C912,1,0),0))</f>
        <v>0</v>
      </c>
      <c r="K912" s="15" t="n">
        <f aca="false">IF(B912="SITE LOSS",IF(COUNTIFS('Site Dockets'!$B$7:$B$24,C912,'Site Dockets'!$C$7:$C$24,F912)&gt;0,1,0),IF(B912="REGION LOSS",IF(COUNTIFS('Site Dockets'!$E$7:$E$24,C912,'Site Dockets'!$C$7:$C$24,F912)&gt;0,1,0),0))</f>
        <v>1</v>
      </c>
      <c r="L912" s="15" t="n">
        <f aca="false">IF(J912=1,0,Inputs!$B$11)</f>
        <v>100</v>
      </c>
      <c r="M912" s="15" t="n">
        <f aca="false">IF(J912=1,0,Inputs!$B$12)</f>
        <v>75</v>
      </c>
      <c r="N912" s="15" t="n">
        <f aca="false">IF(J912=1,0,IF(OR(AND(OR(B912="SITE LOSS",B912="REGION LOSS"),K912=1),AND(B912="ROLE COMPROMISE",H912=C912)),Inputs!$B$13,Inputs!$B$14))</f>
        <v>20</v>
      </c>
      <c r="O912" s="15" t="n">
        <f aca="false">IF(J912=1,0,Inputs!$B$13)</f>
        <v>20</v>
      </c>
      <c r="P912" s="15" t="n">
        <f aca="false">SUM(M912:N912)</f>
        <v>95</v>
      </c>
      <c r="Q912" s="15" t="n">
        <f aca="false">IF(J912=1,"",L912-P912)</f>
        <v>5</v>
      </c>
      <c r="R912" s="15" t="n">
        <f aca="false">IF(OR(J912=1,M912&lt;=Inputs!$B$12),1,0)</f>
        <v>1</v>
      </c>
      <c r="S912" s="15" t="n">
        <f aca="false">IF(OR(J912=1,N912&lt;=O912),1,0)</f>
        <v>1</v>
      </c>
      <c r="T912" s="15" t="str">
        <f aca="false">IF(J912=1,"OFFLINE",IF(AND(Q912&gt;=Inputs!$B$15,R912=1,S912=1,P912&lt;=L912),"PASS","FAIL"))</f>
        <v>PASS</v>
      </c>
    </row>
    <row r="913" customFormat="false" ht="15" hidden="false" customHeight="false" outlineLevel="0" collapsed="false">
      <c r="A913" s="14" t="s">
        <v>1027</v>
      </c>
      <c r="B913" s="14" t="s">
        <v>1019</v>
      </c>
      <c r="C913" s="14" t="s">
        <v>180</v>
      </c>
      <c r="D913" s="14" t="s">
        <v>178</v>
      </c>
      <c r="E913" s="14" t="s">
        <v>169</v>
      </c>
      <c r="F913" s="14" t="s">
        <v>175</v>
      </c>
      <c r="G913" s="14" t="n">
        <v>2</v>
      </c>
      <c r="H913" s="14" t="s">
        <v>153</v>
      </c>
      <c r="I913" s="14" t="s">
        <v>890</v>
      </c>
      <c r="J913" s="15" t="n">
        <f aca="false">IF(B913="SITE LOSS",IF(D913=C913,1,0),IF(B913="REGION LOSS",IF(E913=C913,1,0),0))</f>
        <v>0</v>
      </c>
      <c r="K913" s="15" t="n">
        <f aca="false">IF(B913="SITE LOSS",IF(COUNTIFS('Site Dockets'!$B$7:$B$24,C913,'Site Dockets'!$C$7:$C$24,F913)&gt;0,1,0),IF(B913="REGION LOSS",IF(COUNTIFS('Site Dockets'!$E$7:$E$24,C913,'Site Dockets'!$C$7:$C$24,F913)&gt;0,1,0),0))</f>
        <v>1</v>
      </c>
      <c r="L913" s="15" t="n">
        <f aca="false">IF(J913=1,0,Inputs!$B$11)</f>
        <v>100</v>
      </c>
      <c r="M913" s="15" t="n">
        <f aca="false">IF(J913=1,0,Inputs!$B$12)</f>
        <v>75</v>
      </c>
      <c r="N913" s="15" t="n">
        <f aca="false">IF(J913=1,0,IF(OR(AND(OR(B913="SITE LOSS",B913="REGION LOSS"),K913=1),AND(B913="ROLE COMPROMISE",H913=C913)),Inputs!$B$13,Inputs!$B$14))</f>
        <v>20</v>
      </c>
      <c r="O913" s="15" t="n">
        <f aca="false">IF(J913=1,0,Inputs!$B$13)</f>
        <v>20</v>
      </c>
      <c r="P913" s="15" t="n">
        <f aca="false">SUM(M913:N913)</f>
        <v>95</v>
      </c>
      <c r="Q913" s="15" t="n">
        <f aca="false">IF(J913=1,"",L913-P913)</f>
        <v>5</v>
      </c>
      <c r="R913" s="15" t="n">
        <f aca="false">IF(OR(J913=1,M913&lt;=Inputs!$B$12),1,0)</f>
        <v>1</v>
      </c>
      <c r="S913" s="15" t="n">
        <f aca="false">IF(OR(J913=1,N913&lt;=O913),1,0)</f>
        <v>1</v>
      </c>
      <c r="T913" s="15" t="str">
        <f aca="false">IF(J913=1,"OFFLINE",IF(AND(Q913&gt;=Inputs!$B$15,R913=1,S913=1,P913&lt;=L913),"PASS","FAIL"))</f>
        <v>PASS</v>
      </c>
    </row>
    <row r="914" customFormat="false" ht="15" hidden="false" customHeight="false" outlineLevel="0" collapsed="false">
      <c r="A914" s="14" t="s">
        <v>1027</v>
      </c>
      <c r="B914" s="14" t="s">
        <v>1019</v>
      </c>
      <c r="C914" s="14" t="s">
        <v>180</v>
      </c>
      <c r="D914" s="14" t="s">
        <v>178</v>
      </c>
      <c r="E914" s="14" t="s">
        <v>169</v>
      </c>
      <c r="F914" s="14" t="s">
        <v>175</v>
      </c>
      <c r="G914" s="14" t="n">
        <v>2</v>
      </c>
      <c r="H914" s="14" t="s">
        <v>153</v>
      </c>
      <c r="I914" s="14" t="s">
        <v>892</v>
      </c>
      <c r="J914" s="15" t="n">
        <f aca="false">IF(B914="SITE LOSS",IF(D914=C914,1,0),IF(B914="REGION LOSS",IF(E914=C914,1,0),0))</f>
        <v>0</v>
      </c>
      <c r="K914" s="15" t="n">
        <f aca="false">IF(B914="SITE LOSS",IF(COUNTIFS('Site Dockets'!$B$7:$B$24,C914,'Site Dockets'!$C$7:$C$24,F914)&gt;0,1,0),IF(B914="REGION LOSS",IF(COUNTIFS('Site Dockets'!$E$7:$E$24,C914,'Site Dockets'!$C$7:$C$24,F914)&gt;0,1,0),0))</f>
        <v>1</v>
      </c>
      <c r="L914" s="15" t="n">
        <f aca="false">IF(J914=1,0,Inputs!$B$11)</f>
        <v>100</v>
      </c>
      <c r="M914" s="15" t="n">
        <f aca="false">IF(J914=1,0,Inputs!$B$12)</f>
        <v>75</v>
      </c>
      <c r="N914" s="15" t="n">
        <f aca="false">IF(J914=1,0,IF(OR(AND(OR(B914="SITE LOSS",B914="REGION LOSS"),K914=1),AND(B914="ROLE COMPROMISE",H914=C914)),Inputs!$B$13,Inputs!$B$14))</f>
        <v>20</v>
      </c>
      <c r="O914" s="15" t="n">
        <f aca="false">IF(J914=1,0,Inputs!$B$13)</f>
        <v>20</v>
      </c>
      <c r="P914" s="15" t="n">
        <f aca="false">SUM(M914:N914)</f>
        <v>95</v>
      </c>
      <c r="Q914" s="15" t="n">
        <f aca="false">IF(J914=1,"",L914-P914)</f>
        <v>5</v>
      </c>
      <c r="R914" s="15" t="n">
        <f aca="false">IF(OR(J914=1,M914&lt;=Inputs!$B$12),1,0)</f>
        <v>1</v>
      </c>
      <c r="S914" s="15" t="n">
        <f aca="false">IF(OR(J914=1,N914&lt;=O914),1,0)</f>
        <v>1</v>
      </c>
      <c r="T914" s="15" t="str">
        <f aca="false">IF(J914=1,"OFFLINE",IF(AND(Q914&gt;=Inputs!$B$15,R914=1,S914=1,P914&lt;=L914),"PASS","FAIL"))</f>
        <v>PASS</v>
      </c>
    </row>
    <row r="915" customFormat="false" ht="15" hidden="false" customHeight="false" outlineLevel="0" collapsed="false">
      <c r="A915" s="14" t="s">
        <v>1027</v>
      </c>
      <c r="B915" s="14" t="s">
        <v>1019</v>
      </c>
      <c r="C915" s="14" t="s">
        <v>180</v>
      </c>
      <c r="D915" s="14" t="s">
        <v>178</v>
      </c>
      <c r="E915" s="14" t="s">
        <v>169</v>
      </c>
      <c r="F915" s="14" t="s">
        <v>175</v>
      </c>
      <c r="G915" s="14" t="n">
        <v>2</v>
      </c>
      <c r="H915" s="14" t="s">
        <v>153</v>
      </c>
      <c r="I915" s="14" t="s">
        <v>811</v>
      </c>
      <c r="J915" s="15" t="n">
        <f aca="false">IF(B915="SITE LOSS",IF(D915=C915,1,0),IF(B915="REGION LOSS",IF(E915=C915,1,0),0))</f>
        <v>0</v>
      </c>
      <c r="K915" s="15" t="n">
        <f aca="false">IF(B915="SITE LOSS",IF(COUNTIFS('Site Dockets'!$B$7:$B$24,C915,'Site Dockets'!$C$7:$C$24,F915)&gt;0,1,0),IF(B915="REGION LOSS",IF(COUNTIFS('Site Dockets'!$E$7:$E$24,C915,'Site Dockets'!$C$7:$C$24,F915)&gt;0,1,0),0))</f>
        <v>1</v>
      </c>
      <c r="L915" s="15" t="n">
        <f aca="false">IF(J915=1,0,Inputs!$B$11)</f>
        <v>100</v>
      </c>
      <c r="M915" s="15" t="n">
        <f aca="false">IF(J915=1,0,Inputs!$B$12)</f>
        <v>75</v>
      </c>
      <c r="N915" s="15" t="n">
        <f aca="false">IF(J915=1,0,IF(OR(AND(OR(B915="SITE LOSS",B915="REGION LOSS"),K915=1),AND(B915="ROLE COMPROMISE",H915=C915)),Inputs!$B$13,Inputs!$B$14))</f>
        <v>20</v>
      </c>
      <c r="O915" s="15" t="n">
        <f aca="false">IF(J915=1,0,Inputs!$B$13)</f>
        <v>20</v>
      </c>
      <c r="P915" s="15" t="n">
        <f aca="false">SUM(M915:N915)</f>
        <v>95</v>
      </c>
      <c r="Q915" s="15" t="n">
        <f aca="false">IF(J915=1,"",L915-P915)</f>
        <v>5</v>
      </c>
      <c r="R915" s="15" t="n">
        <f aca="false">IF(OR(J915=1,M915&lt;=Inputs!$B$12),1,0)</f>
        <v>1</v>
      </c>
      <c r="S915" s="15" t="n">
        <f aca="false">IF(OR(J915=1,N915&lt;=O915),1,0)</f>
        <v>1</v>
      </c>
      <c r="T915" s="15" t="str">
        <f aca="false">IF(J915=1,"OFFLINE",IF(AND(Q915&gt;=Inputs!$B$15,R915=1,S915=1,P915&lt;=L915),"PASS","FAIL"))</f>
        <v>PASS</v>
      </c>
    </row>
    <row r="916" customFormat="false" ht="15" hidden="false" customHeight="false" outlineLevel="0" collapsed="false">
      <c r="A916" s="14" t="s">
        <v>1027</v>
      </c>
      <c r="B916" s="14" t="s">
        <v>1019</v>
      </c>
      <c r="C916" s="14" t="s">
        <v>180</v>
      </c>
      <c r="D916" s="14" t="s">
        <v>178</v>
      </c>
      <c r="E916" s="14" t="s">
        <v>169</v>
      </c>
      <c r="F916" s="14" t="s">
        <v>175</v>
      </c>
      <c r="G916" s="14" t="n">
        <v>2</v>
      </c>
      <c r="H916" s="14" t="s">
        <v>153</v>
      </c>
      <c r="I916" s="14" t="s">
        <v>895</v>
      </c>
      <c r="J916" s="15" t="n">
        <f aca="false">IF(B916="SITE LOSS",IF(D916=C916,1,0),IF(B916="REGION LOSS",IF(E916=C916,1,0),0))</f>
        <v>0</v>
      </c>
      <c r="K916" s="15" t="n">
        <f aca="false">IF(B916="SITE LOSS",IF(COUNTIFS('Site Dockets'!$B$7:$B$24,C916,'Site Dockets'!$C$7:$C$24,F916)&gt;0,1,0),IF(B916="REGION LOSS",IF(COUNTIFS('Site Dockets'!$E$7:$E$24,C916,'Site Dockets'!$C$7:$C$24,F916)&gt;0,1,0),0))</f>
        <v>1</v>
      </c>
      <c r="L916" s="15" t="n">
        <f aca="false">IF(J916=1,0,Inputs!$B$11)</f>
        <v>100</v>
      </c>
      <c r="M916" s="15" t="n">
        <f aca="false">IF(J916=1,0,Inputs!$B$12)</f>
        <v>75</v>
      </c>
      <c r="N916" s="15" t="n">
        <f aca="false">IF(J916=1,0,IF(OR(AND(OR(B916="SITE LOSS",B916="REGION LOSS"),K916=1),AND(B916="ROLE COMPROMISE",H916=C916)),Inputs!$B$13,Inputs!$B$14))</f>
        <v>20</v>
      </c>
      <c r="O916" s="15" t="n">
        <f aca="false">IF(J916=1,0,Inputs!$B$13)</f>
        <v>20</v>
      </c>
      <c r="P916" s="15" t="n">
        <f aca="false">SUM(M916:N916)</f>
        <v>95</v>
      </c>
      <c r="Q916" s="15" t="n">
        <f aca="false">IF(J916=1,"",L916-P916)</f>
        <v>5</v>
      </c>
      <c r="R916" s="15" t="n">
        <f aca="false">IF(OR(J916=1,M916&lt;=Inputs!$B$12),1,0)</f>
        <v>1</v>
      </c>
      <c r="S916" s="15" t="n">
        <f aca="false">IF(OR(J916=1,N916&lt;=O916),1,0)</f>
        <v>1</v>
      </c>
      <c r="T916" s="15" t="str">
        <f aca="false">IF(J916=1,"OFFLINE",IF(AND(Q916&gt;=Inputs!$B$15,R916=1,S916=1,P916&lt;=L916),"PASS","FAIL"))</f>
        <v>PASS</v>
      </c>
    </row>
    <row r="917" customFormat="false" ht="15" hidden="false" customHeight="false" outlineLevel="0" collapsed="false">
      <c r="A917" s="14" t="s">
        <v>1027</v>
      </c>
      <c r="B917" s="14" t="s">
        <v>1019</v>
      </c>
      <c r="C917" s="14" t="s">
        <v>180</v>
      </c>
      <c r="D917" s="14" t="s">
        <v>178</v>
      </c>
      <c r="E917" s="14" t="s">
        <v>169</v>
      </c>
      <c r="F917" s="14" t="s">
        <v>175</v>
      </c>
      <c r="G917" s="14" t="n">
        <v>2</v>
      </c>
      <c r="H917" s="14" t="s">
        <v>153</v>
      </c>
      <c r="I917" s="14" t="s">
        <v>897</v>
      </c>
      <c r="J917" s="15" t="n">
        <f aca="false">IF(B917="SITE LOSS",IF(D917=C917,1,0),IF(B917="REGION LOSS",IF(E917=C917,1,0),0))</f>
        <v>0</v>
      </c>
      <c r="K917" s="15" t="n">
        <f aca="false">IF(B917="SITE LOSS",IF(COUNTIFS('Site Dockets'!$B$7:$B$24,C917,'Site Dockets'!$C$7:$C$24,F917)&gt;0,1,0),IF(B917="REGION LOSS",IF(COUNTIFS('Site Dockets'!$E$7:$E$24,C917,'Site Dockets'!$C$7:$C$24,F917)&gt;0,1,0),0))</f>
        <v>1</v>
      </c>
      <c r="L917" s="15" t="n">
        <f aca="false">IF(J917=1,0,Inputs!$B$11)</f>
        <v>100</v>
      </c>
      <c r="M917" s="15" t="n">
        <f aca="false">IF(J917=1,0,Inputs!$B$12)</f>
        <v>75</v>
      </c>
      <c r="N917" s="15" t="n">
        <f aca="false">IF(J917=1,0,IF(OR(AND(OR(B917="SITE LOSS",B917="REGION LOSS"),K917=1),AND(B917="ROLE COMPROMISE",H917=C917)),Inputs!$B$13,Inputs!$B$14))</f>
        <v>20</v>
      </c>
      <c r="O917" s="15" t="n">
        <f aca="false">IF(J917=1,0,Inputs!$B$13)</f>
        <v>20</v>
      </c>
      <c r="P917" s="15" t="n">
        <f aca="false">SUM(M917:N917)</f>
        <v>95</v>
      </c>
      <c r="Q917" s="15" t="n">
        <f aca="false">IF(J917=1,"",L917-P917)</f>
        <v>5</v>
      </c>
      <c r="R917" s="15" t="n">
        <f aca="false">IF(OR(J917=1,M917&lt;=Inputs!$B$12),1,0)</f>
        <v>1</v>
      </c>
      <c r="S917" s="15" t="n">
        <f aca="false">IF(OR(J917=1,N917&lt;=O917),1,0)</f>
        <v>1</v>
      </c>
      <c r="T917" s="15" t="str">
        <f aca="false">IF(J917=1,"OFFLINE",IF(AND(Q917&gt;=Inputs!$B$15,R917=1,S917=1,P917&lt;=L917),"PASS","FAIL"))</f>
        <v>PASS</v>
      </c>
    </row>
    <row r="918" customFormat="false" ht="15" hidden="false" customHeight="false" outlineLevel="0" collapsed="false">
      <c r="A918" s="14" t="s">
        <v>1027</v>
      </c>
      <c r="B918" s="14" t="s">
        <v>1019</v>
      </c>
      <c r="C918" s="14" t="s">
        <v>180</v>
      </c>
      <c r="D918" s="14" t="s">
        <v>178</v>
      </c>
      <c r="E918" s="14" t="s">
        <v>169</v>
      </c>
      <c r="F918" s="14" t="s">
        <v>175</v>
      </c>
      <c r="G918" s="14" t="n">
        <v>2</v>
      </c>
      <c r="H918" s="14" t="s">
        <v>153</v>
      </c>
      <c r="I918" s="14" t="s">
        <v>899</v>
      </c>
      <c r="J918" s="15" t="n">
        <f aca="false">IF(B918="SITE LOSS",IF(D918=C918,1,0),IF(B918="REGION LOSS",IF(E918=C918,1,0),0))</f>
        <v>0</v>
      </c>
      <c r="K918" s="15" t="n">
        <f aca="false">IF(B918="SITE LOSS",IF(COUNTIFS('Site Dockets'!$B$7:$B$24,C918,'Site Dockets'!$C$7:$C$24,F918)&gt;0,1,0),IF(B918="REGION LOSS",IF(COUNTIFS('Site Dockets'!$E$7:$E$24,C918,'Site Dockets'!$C$7:$C$24,F918)&gt;0,1,0),0))</f>
        <v>1</v>
      </c>
      <c r="L918" s="15" t="n">
        <f aca="false">IF(J918=1,0,Inputs!$B$11)</f>
        <v>100</v>
      </c>
      <c r="M918" s="15" t="n">
        <f aca="false">IF(J918=1,0,Inputs!$B$12)</f>
        <v>75</v>
      </c>
      <c r="N918" s="15" t="n">
        <f aca="false">IF(J918=1,0,IF(OR(AND(OR(B918="SITE LOSS",B918="REGION LOSS"),K918=1),AND(B918="ROLE COMPROMISE",H918=C918)),Inputs!$B$13,Inputs!$B$14))</f>
        <v>20</v>
      </c>
      <c r="O918" s="15" t="n">
        <f aca="false">IF(J918=1,0,Inputs!$B$13)</f>
        <v>20</v>
      </c>
      <c r="P918" s="15" t="n">
        <f aca="false">SUM(M918:N918)</f>
        <v>95</v>
      </c>
      <c r="Q918" s="15" t="n">
        <f aca="false">IF(J918=1,"",L918-P918)</f>
        <v>5</v>
      </c>
      <c r="R918" s="15" t="n">
        <f aca="false">IF(OR(J918=1,M918&lt;=Inputs!$B$12),1,0)</f>
        <v>1</v>
      </c>
      <c r="S918" s="15" t="n">
        <f aca="false">IF(OR(J918=1,N918&lt;=O918),1,0)</f>
        <v>1</v>
      </c>
      <c r="T918" s="15" t="str">
        <f aca="false">IF(J918=1,"OFFLINE",IF(AND(Q918&gt;=Inputs!$B$15,R918=1,S918=1,P918&lt;=L918),"PASS","FAIL"))</f>
        <v>PASS</v>
      </c>
    </row>
    <row r="919" customFormat="false" ht="15" hidden="false" customHeight="false" outlineLevel="0" collapsed="false">
      <c r="A919" s="14" t="s">
        <v>1027</v>
      </c>
      <c r="B919" s="14" t="s">
        <v>1019</v>
      </c>
      <c r="C919" s="14" t="s">
        <v>180</v>
      </c>
      <c r="D919" s="14" t="s">
        <v>180</v>
      </c>
      <c r="E919" s="14" t="s">
        <v>161</v>
      </c>
      <c r="F919" s="14" t="s">
        <v>175</v>
      </c>
      <c r="G919" s="14" t="n">
        <v>3</v>
      </c>
      <c r="H919" s="14" t="s">
        <v>158</v>
      </c>
      <c r="I919" s="14" t="s">
        <v>890</v>
      </c>
      <c r="J919" s="15" t="n">
        <f aca="false">IF(B919="SITE LOSS",IF(D919=C919,1,0),IF(B919="REGION LOSS",IF(E919=C919,1,0),0))</f>
        <v>1</v>
      </c>
      <c r="K919" s="15" t="n">
        <f aca="false">IF(B919="SITE LOSS",IF(COUNTIFS('Site Dockets'!$B$7:$B$24,C919,'Site Dockets'!$C$7:$C$24,F919)&gt;0,1,0),IF(B919="REGION LOSS",IF(COUNTIFS('Site Dockets'!$E$7:$E$24,C919,'Site Dockets'!$C$7:$C$24,F919)&gt;0,1,0),0))</f>
        <v>1</v>
      </c>
      <c r="L919" s="15" t="n">
        <f aca="false">IF(J919=1,0,Inputs!$B$11)</f>
        <v>0</v>
      </c>
      <c r="M919" s="15" t="n">
        <f aca="false">IF(J919=1,0,Inputs!$B$12)</f>
        <v>0</v>
      </c>
      <c r="N919" s="15" t="n">
        <f aca="false">IF(J919=1,0,IF(OR(AND(OR(B919="SITE LOSS",B919="REGION LOSS"),K919=1),AND(B919="ROLE COMPROMISE",H919=C919)),Inputs!$B$13,Inputs!$B$14))</f>
        <v>0</v>
      </c>
      <c r="O919" s="15" t="n">
        <f aca="false">IF(J919=1,0,Inputs!$B$13)</f>
        <v>0</v>
      </c>
      <c r="P919" s="15" t="n">
        <f aca="false">SUM(M919:N919)</f>
        <v>0</v>
      </c>
      <c r="Q919" s="15" t="str">
        <f aca="false">IF(J919=1,"",L919-P919)</f>
        <v/>
      </c>
      <c r="R919" s="15" t="n">
        <f aca="false">IF(OR(J919=1,M919&lt;=Inputs!$B$12),1,0)</f>
        <v>1</v>
      </c>
      <c r="S919" s="15" t="n">
        <f aca="false">IF(OR(J919=1,N919&lt;=O919),1,0)</f>
        <v>1</v>
      </c>
      <c r="T919" s="15" t="str">
        <f aca="false">IF(J919=1,"OFFLINE",IF(AND(Q919&gt;=Inputs!$B$15,R919=1,S919=1,P919&lt;=L919),"PASS","FAIL"))</f>
        <v>OFFLINE</v>
      </c>
    </row>
    <row r="920" customFormat="false" ht="15" hidden="false" customHeight="false" outlineLevel="0" collapsed="false">
      <c r="A920" s="14" t="s">
        <v>1027</v>
      </c>
      <c r="B920" s="14" t="s">
        <v>1019</v>
      </c>
      <c r="C920" s="14" t="s">
        <v>180</v>
      </c>
      <c r="D920" s="14" t="s">
        <v>180</v>
      </c>
      <c r="E920" s="14" t="s">
        <v>161</v>
      </c>
      <c r="F920" s="14" t="s">
        <v>175</v>
      </c>
      <c r="G920" s="14" t="n">
        <v>3</v>
      </c>
      <c r="H920" s="14" t="s">
        <v>158</v>
      </c>
      <c r="I920" s="14" t="s">
        <v>892</v>
      </c>
      <c r="J920" s="15" t="n">
        <f aca="false">IF(B920="SITE LOSS",IF(D920=C920,1,0),IF(B920="REGION LOSS",IF(E920=C920,1,0),0))</f>
        <v>1</v>
      </c>
      <c r="K920" s="15" t="n">
        <f aca="false">IF(B920="SITE LOSS",IF(COUNTIFS('Site Dockets'!$B$7:$B$24,C920,'Site Dockets'!$C$7:$C$24,F920)&gt;0,1,0),IF(B920="REGION LOSS",IF(COUNTIFS('Site Dockets'!$E$7:$E$24,C920,'Site Dockets'!$C$7:$C$24,F920)&gt;0,1,0),0))</f>
        <v>1</v>
      </c>
      <c r="L920" s="15" t="n">
        <f aca="false">IF(J920=1,0,Inputs!$B$11)</f>
        <v>0</v>
      </c>
      <c r="M920" s="15" t="n">
        <f aca="false">IF(J920=1,0,Inputs!$B$12)</f>
        <v>0</v>
      </c>
      <c r="N920" s="15" t="n">
        <f aca="false">IF(J920=1,0,IF(OR(AND(OR(B920="SITE LOSS",B920="REGION LOSS"),K920=1),AND(B920="ROLE COMPROMISE",H920=C920)),Inputs!$B$13,Inputs!$B$14))</f>
        <v>0</v>
      </c>
      <c r="O920" s="15" t="n">
        <f aca="false">IF(J920=1,0,Inputs!$B$13)</f>
        <v>0</v>
      </c>
      <c r="P920" s="15" t="n">
        <f aca="false">SUM(M920:N920)</f>
        <v>0</v>
      </c>
      <c r="Q920" s="15" t="str">
        <f aca="false">IF(J920=1,"",L920-P920)</f>
        <v/>
      </c>
      <c r="R920" s="15" t="n">
        <f aca="false">IF(OR(J920=1,M920&lt;=Inputs!$B$12),1,0)</f>
        <v>1</v>
      </c>
      <c r="S920" s="15" t="n">
        <f aca="false">IF(OR(J920=1,N920&lt;=O920),1,0)</f>
        <v>1</v>
      </c>
      <c r="T920" s="15" t="str">
        <f aca="false">IF(J920=1,"OFFLINE",IF(AND(Q920&gt;=Inputs!$B$15,R920=1,S920=1,P920&lt;=L920),"PASS","FAIL"))</f>
        <v>OFFLINE</v>
      </c>
    </row>
    <row r="921" customFormat="false" ht="15" hidden="false" customHeight="false" outlineLevel="0" collapsed="false">
      <c r="A921" s="14" t="s">
        <v>1027</v>
      </c>
      <c r="B921" s="14" t="s">
        <v>1019</v>
      </c>
      <c r="C921" s="14" t="s">
        <v>180</v>
      </c>
      <c r="D921" s="14" t="s">
        <v>180</v>
      </c>
      <c r="E921" s="14" t="s">
        <v>161</v>
      </c>
      <c r="F921" s="14" t="s">
        <v>175</v>
      </c>
      <c r="G921" s="14" t="n">
        <v>3</v>
      </c>
      <c r="H921" s="14" t="s">
        <v>158</v>
      </c>
      <c r="I921" s="14" t="s">
        <v>811</v>
      </c>
      <c r="J921" s="15" t="n">
        <f aca="false">IF(B921="SITE LOSS",IF(D921=C921,1,0),IF(B921="REGION LOSS",IF(E921=C921,1,0),0))</f>
        <v>1</v>
      </c>
      <c r="K921" s="15" t="n">
        <f aca="false">IF(B921="SITE LOSS",IF(COUNTIFS('Site Dockets'!$B$7:$B$24,C921,'Site Dockets'!$C$7:$C$24,F921)&gt;0,1,0),IF(B921="REGION LOSS",IF(COUNTIFS('Site Dockets'!$E$7:$E$24,C921,'Site Dockets'!$C$7:$C$24,F921)&gt;0,1,0),0))</f>
        <v>1</v>
      </c>
      <c r="L921" s="15" t="n">
        <f aca="false">IF(J921=1,0,Inputs!$B$11)</f>
        <v>0</v>
      </c>
      <c r="M921" s="15" t="n">
        <f aca="false">IF(J921=1,0,Inputs!$B$12)</f>
        <v>0</v>
      </c>
      <c r="N921" s="15" t="n">
        <f aca="false">IF(J921=1,0,IF(OR(AND(OR(B921="SITE LOSS",B921="REGION LOSS"),K921=1),AND(B921="ROLE COMPROMISE",H921=C921)),Inputs!$B$13,Inputs!$B$14))</f>
        <v>0</v>
      </c>
      <c r="O921" s="15" t="n">
        <f aca="false">IF(J921=1,0,Inputs!$B$13)</f>
        <v>0</v>
      </c>
      <c r="P921" s="15" t="n">
        <f aca="false">SUM(M921:N921)</f>
        <v>0</v>
      </c>
      <c r="Q921" s="15" t="str">
        <f aca="false">IF(J921=1,"",L921-P921)</f>
        <v/>
      </c>
      <c r="R921" s="15" t="n">
        <f aca="false">IF(OR(J921=1,M921&lt;=Inputs!$B$12),1,0)</f>
        <v>1</v>
      </c>
      <c r="S921" s="15" t="n">
        <f aca="false">IF(OR(J921=1,N921&lt;=O921),1,0)</f>
        <v>1</v>
      </c>
      <c r="T921" s="15" t="str">
        <f aca="false">IF(J921=1,"OFFLINE",IF(AND(Q921&gt;=Inputs!$B$15,R921=1,S921=1,P921&lt;=L921),"PASS","FAIL"))</f>
        <v>OFFLINE</v>
      </c>
    </row>
    <row r="922" customFormat="false" ht="15" hidden="false" customHeight="false" outlineLevel="0" collapsed="false">
      <c r="A922" s="14" t="s">
        <v>1027</v>
      </c>
      <c r="B922" s="14" t="s">
        <v>1019</v>
      </c>
      <c r="C922" s="14" t="s">
        <v>180</v>
      </c>
      <c r="D922" s="14" t="s">
        <v>180</v>
      </c>
      <c r="E922" s="14" t="s">
        <v>161</v>
      </c>
      <c r="F922" s="14" t="s">
        <v>175</v>
      </c>
      <c r="G922" s="14" t="n">
        <v>3</v>
      </c>
      <c r="H922" s="14" t="s">
        <v>158</v>
      </c>
      <c r="I922" s="14" t="s">
        <v>895</v>
      </c>
      <c r="J922" s="15" t="n">
        <f aca="false">IF(B922="SITE LOSS",IF(D922=C922,1,0),IF(B922="REGION LOSS",IF(E922=C922,1,0),0))</f>
        <v>1</v>
      </c>
      <c r="K922" s="15" t="n">
        <f aca="false">IF(B922="SITE LOSS",IF(COUNTIFS('Site Dockets'!$B$7:$B$24,C922,'Site Dockets'!$C$7:$C$24,F922)&gt;0,1,0),IF(B922="REGION LOSS",IF(COUNTIFS('Site Dockets'!$E$7:$E$24,C922,'Site Dockets'!$C$7:$C$24,F922)&gt;0,1,0),0))</f>
        <v>1</v>
      </c>
      <c r="L922" s="15" t="n">
        <f aca="false">IF(J922=1,0,Inputs!$B$11)</f>
        <v>0</v>
      </c>
      <c r="M922" s="15" t="n">
        <f aca="false">IF(J922=1,0,Inputs!$B$12)</f>
        <v>0</v>
      </c>
      <c r="N922" s="15" t="n">
        <f aca="false">IF(J922=1,0,IF(OR(AND(OR(B922="SITE LOSS",B922="REGION LOSS"),K922=1),AND(B922="ROLE COMPROMISE",H922=C922)),Inputs!$B$13,Inputs!$B$14))</f>
        <v>0</v>
      </c>
      <c r="O922" s="15" t="n">
        <f aca="false">IF(J922=1,0,Inputs!$B$13)</f>
        <v>0</v>
      </c>
      <c r="P922" s="15" t="n">
        <f aca="false">SUM(M922:N922)</f>
        <v>0</v>
      </c>
      <c r="Q922" s="15" t="str">
        <f aca="false">IF(J922=1,"",L922-P922)</f>
        <v/>
      </c>
      <c r="R922" s="15" t="n">
        <f aca="false">IF(OR(J922=1,M922&lt;=Inputs!$B$12),1,0)</f>
        <v>1</v>
      </c>
      <c r="S922" s="15" t="n">
        <f aca="false">IF(OR(J922=1,N922&lt;=O922),1,0)</f>
        <v>1</v>
      </c>
      <c r="T922" s="15" t="str">
        <f aca="false">IF(J922=1,"OFFLINE",IF(AND(Q922&gt;=Inputs!$B$15,R922=1,S922=1,P922&lt;=L922),"PASS","FAIL"))</f>
        <v>OFFLINE</v>
      </c>
    </row>
    <row r="923" customFormat="false" ht="15" hidden="false" customHeight="false" outlineLevel="0" collapsed="false">
      <c r="A923" s="14" t="s">
        <v>1027</v>
      </c>
      <c r="B923" s="14" t="s">
        <v>1019</v>
      </c>
      <c r="C923" s="14" t="s">
        <v>180</v>
      </c>
      <c r="D923" s="14" t="s">
        <v>180</v>
      </c>
      <c r="E923" s="14" t="s">
        <v>161</v>
      </c>
      <c r="F923" s="14" t="s">
        <v>175</v>
      </c>
      <c r="G923" s="14" t="n">
        <v>3</v>
      </c>
      <c r="H923" s="14" t="s">
        <v>158</v>
      </c>
      <c r="I923" s="14" t="s">
        <v>897</v>
      </c>
      <c r="J923" s="15" t="n">
        <f aca="false">IF(B923="SITE LOSS",IF(D923=C923,1,0),IF(B923="REGION LOSS",IF(E923=C923,1,0),0))</f>
        <v>1</v>
      </c>
      <c r="K923" s="15" t="n">
        <f aca="false">IF(B923="SITE LOSS",IF(COUNTIFS('Site Dockets'!$B$7:$B$24,C923,'Site Dockets'!$C$7:$C$24,F923)&gt;0,1,0),IF(B923="REGION LOSS",IF(COUNTIFS('Site Dockets'!$E$7:$E$24,C923,'Site Dockets'!$C$7:$C$24,F923)&gt;0,1,0),0))</f>
        <v>1</v>
      </c>
      <c r="L923" s="15" t="n">
        <f aca="false">IF(J923=1,0,Inputs!$B$11)</f>
        <v>0</v>
      </c>
      <c r="M923" s="15" t="n">
        <f aca="false">IF(J923=1,0,Inputs!$B$12)</f>
        <v>0</v>
      </c>
      <c r="N923" s="15" t="n">
        <f aca="false">IF(J923=1,0,IF(OR(AND(OR(B923="SITE LOSS",B923="REGION LOSS"),K923=1),AND(B923="ROLE COMPROMISE",H923=C923)),Inputs!$B$13,Inputs!$B$14))</f>
        <v>0</v>
      </c>
      <c r="O923" s="15" t="n">
        <f aca="false">IF(J923=1,0,Inputs!$B$13)</f>
        <v>0</v>
      </c>
      <c r="P923" s="15" t="n">
        <f aca="false">SUM(M923:N923)</f>
        <v>0</v>
      </c>
      <c r="Q923" s="15" t="str">
        <f aca="false">IF(J923=1,"",L923-P923)</f>
        <v/>
      </c>
      <c r="R923" s="15" t="n">
        <f aca="false">IF(OR(J923=1,M923&lt;=Inputs!$B$12),1,0)</f>
        <v>1</v>
      </c>
      <c r="S923" s="15" t="n">
        <f aca="false">IF(OR(J923=1,N923&lt;=O923),1,0)</f>
        <v>1</v>
      </c>
      <c r="T923" s="15" t="str">
        <f aca="false">IF(J923=1,"OFFLINE",IF(AND(Q923&gt;=Inputs!$B$15,R923=1,S923=1,P923&lt;=L923),"PASS","FAIL"))</f>
        <v>OFFLINE</v>
      </c>
    </row>
    <row r="924" customFormat="false" ht="15" hidden="false" customHeight="false" outlineLevel="0" collapsed="false">
      <c r="A924" s="14" t="s">
        <v>1027</v>
      </c>
      <c r="B924" s="14" t="s">
        <v>1019</v>
      </c>
      <c r="C924" s="14" t="s">
        <v>180</v>
      </c>
      <c r="D924" s="14" t="s">
        <v>180</v>
      </c>
      <c r="E924" s="14" t="s">
        <v>161</v>
      </c>
      <c r="F924" s="14" t="s">
        <v>175</v>
      </c>
      <c r="G924" s="14" t="n">
        <v>3</v>
      </c>
      <c r="H924" s="14" t="s">
        <v>158</v>
      </c>
      <c r="I924" s="14" t="s">
        <v>899</v>
      </c>
      <c r="J924" s="15" t="n">
        <f aca="false">IF(B924="SITE LOSS",IF(D924=C924,1,0),IF(B924="REGION LOSS",IF(E924=C924,1,0),0))</f>
        <v>1</v>
      </c>
      <c r="K924" s="15" t="n">
        <f aca="false">IF(B924="SITE LOSS",IF(COUNTIFS('Site Dockets'!$B$7:$B$24,C924,'Site Dockets'!$C$7:$C$24,F924)&gt;0,1,0),IF(B924="REGION LOSS",IF(COUNTIFS('Site Dockets'!$E$7:$E$24,C924,'Site Dockets'!$C$7:$C$24,F924)&gt;0,1,0),0))</f>
        <v>1</v>
      </c>
      <c r="L924" s="15" t="n">
        <f aca="false">IF(J924=1,0,Inputs!$B$11)</f>
        <v>0</v>
      </c>
      <c r="M924" s="15" t="n">
        <f aca="false">IF(J924=1,0,Inputs!$B$12)</f>
        <v>0</v>
      </c>
      <c r="N924" s="15" t="n">
        <f aca="false">IF(J924=1,0,IF(OR(AND(OR(B924="SITE LOSS",B924="REGION LOSS"),K924=1),AND(B924="ROLE COMPROMISE",H924=C924)),Inputs!$B$13,Inputs!$B$14))</f>
        <v>0</v>
      </c>
      <c r="O924" s="15" t="n">
        <f aca="false">IF(J924=1,0,Inputs!$B$13)</f>
        <v>0</v>
      </c>
      <c r="P924" s="15" t="n">
        <f aca="false">SUM(M924:N924)</f>
        <v>0</v>
      </c>
      <c r="Q924" s="15" t="str">
        <f aca="false">IF(J924=1,"",L924-P924)</f>
        <v/>
      </c>
      <c r="R924" s="15" t="n">
        <f aca="false">IF(OR(J924=1,M924&lt;=Inputs!$B$12),1,0)</f>
        <v>1</v>
      </c>
      <c r="S924" s="15" t="n">
        <f aca="false">IF(OR(J924=1,N924&lt;=O924),1,0)</f>
        <v>1</v>
      </c>
      <c r="T924" s="15" t="str">
        <f aca="false">IF(J924=1,"OFFLINE",IF(AND(Q924&gt;=Inputs!$B$15,R924=1,S924=1,P924&lt;=L924),"PASS","FAIL"))</f>
        <v>OFFLINE</v>
      </c>
    </row>
    <row r="925" customFormat="false" ht="15" hidden="false" customHeight="false" outlineLevel="0" collapsed="false">
      <c r="A925" s="14" t="s">
        <v>1027</v>
      </c>
      <c r="B925" s="14" t="s">
        <v>1019</v>
      </c>
      <c r="C925" s="14" t="s">
        <v>180</v>
      </c>
      <c r="D925" s="14" t="s">
        <v>182</v>
      </c>
      <c r="E925" s="14" t="s">
        <v>166</v>
      </c>
      <c r="F925" s="14" t="s">
        <v>183</v>
      </c>
      <c r="G925" s="14" t="n">
        <v>1</v>
      </c>
      <c r="H925" s="14" t="s">
        <v>154</v>
      </c>
      <c r="I925" s="14" t="s">
        <v>890</v>
      </c>
      <c r="J925" s="15" t="n">
        <f aca="false">IF(B925="SITE LOSS",IF(D925=C925,1,0),IF(B925="REGION LOSS",IF(E925=C925,1,0),0))</f>
        <v>0</v>
      </c>
      <c r="K925" s="15" t="n">
        <f aca="false">IF(B925="SITE LOSS",IF(COUNTIFS('Site Dockets'!$B$7:$B$24,C925,'Site Dockets'!$C$7:$C$24,F925)&gt;0,1,0),IF(B925="REGION LOSS",IF(COUNTIFS('Site Dockets'!$E$7:$E$24,C925,'Site Dockets'!$C$7:$C$24,F925)&gt;0,1,0),0))</f>
        <v>0</v>
      </c>
      <c r="L925" s="15" t="n">
        <f aca="false">IF(J925=1,0,Inputs!$B$11)</f>
        <v>100</v>
      </c>
      <c r="M925" s="15" t="n">
        <f aca="false">IF(J925=1,0,Inputs!$B$12)</f>
        <v>75</v>
      </c>
      <c r="N925" s="15" t="n">
        <f aca="false">IF(J925=1,0,IF(OR(AND(OR(B925="SITE LOSS",B925="REGION LOSS"),K925=1),AND(B925="ROLE COMPROMISE",H925=C925)),Inputs!$B$13,Inputs!$B$14))</f>
        <v>10</v>
      </c>
      <c r="O925" s="15" t="n">
        <f aca="false">IF(J925=1,0,Inputs!$B$13)</f>
        <v>20</v>
      </c>
      <c r="P925" s="15" t="n">
        <f aca="false">SUM(M925:N925)</f>
        <v>85</v>
      </c>
      <c r="Q925" s="15" t="n">
        <f aca="false">IF(J925=1,"",L925-P925)</f>
        <v>15</v>
      </c>
      <c r="R925" s="15" t="n">
        <f aca="false">IF(OR(J925=1,M925&lt;=Inputs!$B$12),1,0)</f>
        <v>1</v>
      </c>
      <c r="S925" s="15" t="n">
        <f aca="false">IF(OR(J925=1,N925&lt;=O925),1,0)</f>
        <v>1</v>
      </c>
      <c r="T925" s="15" t="str">
        <f aca="false">IF(J925=1,"OFFLINE",IF(AND(Q925&gt;=Inputs!$B$15,R925=1,S925=1,P925&lt;=L925),"PASS","FAIL"))</f>
        <v>PASS</v>
      </c>
    </row>
    <row r="926" customFormat="false" ht="15" hidden="false" customHeight="false" outlineLevel="0" collapsed="false">
      <c r="A926" s="14" t="s">
        <v>1027</v>
      </c>
      <c r="B926" s="14" t="s">
        <v>1019</v>
      </c>
      <c r="C926" s="14" t="s">
        <v>180</v>
      </c>
      <c r="D926" s="14" t="s">
        <v>182</v>
      </c>
      <c r="E926" s="14" t="s">
        <v>166</v>
      </c>
      <c r="F926" s="14" t="s">
        <v>183</v>
      </c>
      <c r="G926" s="14" t="n">
        <v>1</v>
      </c>
      <c r="H926" s="14" t="s">
        <v>154</v>
      </c>
      <c r="I926" s="14" t="s">
        <v>892</v>
      </c>
      <c r="J926" s="15" t="n">
        <f aca="false">IF(B926="SITE LOSS",IF(D926=C926,1,0),IF(B926="REGION LOSS",IF(E926=C926,1,0),0))</f>
        <v>0</v>
      </c>
      <c r="K926" s="15" t="n">
        <f aca="false">IF(B926="SITE LOSS",IF(COUNTIFS('Site Dockets'!$B$7:$B$24,C926,'Site Dockets'!$C$7:$C$24,F926)&gt;0,1,0),IF(B926="REGION LOSS",IF(COUNTIFS('Site Dockets'!$E$7:$E$24,C926,'Site Dockets'!$C$7:$C$24,F926)&gt;0,1,0),0))</f>
        <v>0</v>
      </c>
      <c r="L926" s="15" t="n">
        <f aca="false">IF(J926=1,0,Inputs!$B$11)</f>
        <v>100</v>
      </c>
      <c r="M926" s="15" t="n">
        <f aca="false">IF(J926=1,0,Inputs!$B$12)</f>
        <v>75</v>
      </c>
      <c r="N926" s="15" t="n">
        <f aca="false">IF(J926=1,0,IF(OR(AND(OR(B926="SITE LOSS",B926="REGION LOSS"),K926=1),AND(B926="ROLE COMPROMISE",H926=C926)),Inputs!$B$13,Inputs!$B$14))</f>
        <v>10</v>
      </c>
      <c r="O926" s="15" t="n">
        <f aca="false">IF(J926=1,0,Inputs!$B$13)</f>
        <v>20</v>
      </c>
      <c r="P926" s="15" t="n">
        <f aca="false">SUM(M926:N926)</f>
        <v>85</v>
      </c>
      <c r="Q926" s="15" t="n">
        <f aca="false">IF(J926=1,"",L926-P926)</f>
        <v>15</v>
      </c>
      <c r="R926" s="15" t="n">
        <f aca="false">IF(OR(J926=1,M926&lt;=Inputs!$B$12),1,0)</f>
        <v>1</v>
      </c>
      <c r="S926" s="15" t="n">
        <f aca="false">IF(OR(J926=1,N926&lt;=O926),1,0)</f>
        <v>1</v>
      </c>
      <c r="T926" s="15" t="str">
        <f aca="false">IF(J926=1,"OFFLINE",IF(AND(Q926&gt;=Inputs!$B$15,R926=1,S926=1,P926&lt;=L926),"PASS","FAIL"))</f>
        <v>PASS</v>
      </c>
    </row>
    <row r="927" customFormat="false" ht="15" hidden="false" customHeight="false" outlineLevel="0" collapsed="false">
      <c r="A927" s="14" t="s">
        <v>1027</v>
      </c>
      <c r="B927" s="14" t="s">
        <v>1019</v>
      </c>
      <c r="C927" s="14" t="s">
        <v>180</v>
      </c>
      <c r="D927" s="14" t="s">
        <v>182</v>
      </c>
      <c r="E927" s="14" t="s">
        <v>166</v>
      </c>
      <c r="F927" s="14" t="s">
        <v>183</v>
      </c>
      <c r="G927" s="14" t="n">
        <v>1</v>
      </c>
      <c r="H927" s="14" t="s">
        <v>154</v>
      </c>
      <c r="I927" s="14" t="s">
        <v>811</v>
      </c>
      <c r="J927" s="15" t="n">
        <f aca="false">IF(B927="SITE LOSS",IF(D927=C927,1,0),IF(B927="REGION LOSS",IF(E927=C927,1,0),0))</f>
        <v>0</v>
      </c>
      <c r="K927" s="15" t="n">
        <f aca="false">IF(B927="SITE LOSS",IF(COUNTIFS('Site Dockets'!$B$7:$B$24,C927,'Site Dockets'!$C$7:$C$24,F927)&gt;0,1,0),IF(B927="REGION LOSS",IF(COUNTIFS('Site Dockets'!$E$7:$E$24,C927,'Site Dockets'!$C$7:$C$24,F927)&gt;0,1,0),0))</f>
        <v>0</v>
      </c>
      <c r="L927" s="15" t="n">
        <f aca="false">IF(J927=1,0,Inputs!$B$11)</f>
        <v>100</v>
      </c>
      <c r="M927" s="15" t="n">
        <f aca="false">IF(J927=1,0,Inputs!$B$12)</f>
        <v>75</v>
      </c>
      <c r="N927" s="15" t="n">
        <f aca="false">IF(J927=1,0,IF(OR(AND(OR(B927="SITE LOSS",B927="REGION LOSS"),K927=1),AND(B927="ROLE COMPROMISE",H927=C927)),Inputs!$B$13,Inputs!$B$14))</f>
        <v>10</v>
      </c>
      <c r="O927" s="15" t="n">
        <f aca="false">IF(J927=1,0,Inputs!$B$13)</f>
        <v>20</v>
      </c>
      <c r="P927" s="15" t="n">
        <f aca="false">SUM(M927:N927)</f>
        <v>85</v>
      </c>
      <c r="Q927" s="15" t="n">
        <f aca="false">IF(J927=1,"",L927-P927)</f>
        <v>15</v>
      </c>
      <c r="R927" s="15" t="n">
        <f aca="false">IF(OR(J927=1,M927&lt;=Inputs!$B$12),1,0)</f>
        <v>1</v>
      </c>
      <c r="S927" s="15" t="n">
        <f aca="false">IF(OR(J927=1,N927&lt;=O927),1,0)</f>
        <v>1</v>
      </c>
      <c r="T927" s="15" t="str">
        <f aca="false">IF(J927=1,"OFFLINE",IF(AND(Q927&gt;=Inputs!$B$15,R927=1,S927=1,P927&lt;=L927),"PASS","FAIL"))</f>
        <v>PASS</v>
      </c>
    </row>
    <row r="928" customFormat="false" ht="15" hidden="false" customHeight="false" outlineLevel="0" collapsed="false">
      <c r="A928" s="14" t="s">
        <v>1027</v>
      </c>
      <c r="B928" s="14" t="s">
        <v>1019</v>
      </c>
      <c r="C928" s="14" t="s">
        <v>180</v>
      </c>
      <c r="D928" s="14" t="s">
        <v>182</v>
      </c>
      <c r="E928" s="14" t="s">
        <v>166</v>
      </c>
      <c r="F928" s="14" t="s">
        <v>183</v>
      </c>
      <c r="G928" s="14" t="n">
        <v>1</v>
      </c>
      <c r="H928" s="14" t="s">
        <v>154</v>
      </c>
      <c r="I928" s="14" t="s">
        <v>895</v>
      </c>
      <c r="J928" s="15" t="n">
        <f aca="false">IF(B928="SITE LOSS",IF(D928=C928,1,0),IF(B928="REGION LOSS",IF(E928=C928,1,0),0))</f>
        <v>0</v>
      </c>
      <c r="K928" s="15" t="n">
        <f aca="false">IF(B928="SITE LOSS",IF(COUNTIFS('Site Dockets'!$B$7:$B$24,C928,'Site Dockets'!$C$7:$C$24,F928)&gt;0,1,0),IF(B928="REGION LOSS",IF(COUNTIFS('Site Dockets'!$E$7:$E$24,C928,'Site Dockets'!$C$7:$C$24,F928)&gt;0,1,0),0))</f>
        <v>0</v>
      </c>
      <c r="L928" s="15" t="n">
        <f aca="false">IF(J928=1,0,Inputs!$B$11)</f>
        <v>100</v>
      </c>
      <c r="M928" s="15" t="n">
        <f aca="false">IF(J928=1,0,Inputs!$B$12)</f>
        <v>75</v>
      </c>
      <c r="N928" s="15" t="n">
        <f aca="false">IF(J928=1,0,IF(OR(AND(OR(B928="SITE LOSS",B928="REGION LOSS"),K928=1),AND(B928="ROLE COMPROMISE",H928=C928)),Inputs!$B$13,Inputs!$B$14))</f>
        <v>10</v>
      </c>
      <c r="O928" s="15" t="n">
        <f aca="false">IF(J928=1,0,Inputs!$B$13)</f>
        <v>20</v>
      </c>
      <c r="P928" s="15" t="n">
        <f aca="false">SUM(M928:N928)</f>
        <v>85</v>
      </c>
      <c r="Q928" s="15" t="n">
        <f aca="false">IF(J928=1,"",L928-P928)</f>
        <v>15</v>
      </c>
      <c r="R928" s="15" t="n">
        <f aca="false">IF(OR(J928=1,M928&lt;=Inputs!$B$12),1,0)</f>
        <v>1</v>
      </c>
      <c r="S928" s="15" t="n">
        <f aca="false">IF(OR(J928=1,N928&lt;=O928),1,0)</f>
        <v>1</v>
      </c>
      <c r="T928" s="15" t="str">
        <f aca="false">IF(J928=1,"OFFLINE",IF(AND(Q928&gt;=Inputs!$B$15,R928=1,S928=1,P928&lt;=L928),"PASS","FAIL"))</f>
        <v>PASS</v>
      </c>
    </row>
    <row r="929" customFormat="false" ht="15" hidden="false" customHeight="false" outlineLevel="0" collapsed="false">
      <c r="A929" s="14" t="s">
        <v>1027</v>
      </c>
      <c r="B929" s="14" t="s">
        <v>1019</v>
      </c>
      <c r="C929" s="14" t="s">
        <v>180</v>
      </c>
      <c r="D929" s="14" t="s">
        <v>182</v>
      </c>
      <c r="E929" s="14" t="s">
        <v>166</v>
      </c>
      <c r="F929" s="14" t="s">
        <v>183</v>
      </c>
      <c r="G929" s="14" t="n">
        <v>1</v>
      </c>
      <c r="H929" s="14" t="s">
        <v>154</v>
      </c>
      <c r="I929" s="14" t="s">
        <v>897</v>
      </c>
      <c r="J929" s="15" t="n">
        <f aca="false">IF(B929="SITE LOSS",IF(D929=C929,1,0),IF(B929="REGION LOSS",IF(E929=C929,1,0),0))</f>
        <v>0</v>
      </c>
      <c r="K929" s="15" t="n">
        <f aca="false">IF(B929="SITE LOSS",IF(COUNTIFS('Site Dockets'!$B$7:$B$24,C929,'Site Dockets'!$C$7:$C$24,F929)&gt;0,1,0),IF(B929="REGION LOSS",IF(COUNTIFS('Site Dockets'!$E$7:$E$24,C929,'Site Dockets'!$C$7:$C$24,F929)&gt;0,1,0),0))</f>
        <v>0</v>
      </c>
      <c r="L929" s="15" t="n">
        <f aca="false">IF(J929=1,0,Inputs!$B$11)</f>
        <v>100</v>
      </c>
      <c r="M929" s="15" t="n">
        <f aca="false">IF(J929=1,0,Inputs!$B$12)</f>
        <v>75</v>
      </c>
      <c r="N929" s="15" t="n">
        <f aca="false">IF(J929=1,0,IF(OR(AND(OR(B929="SITE LOSS",B929="REGION LOSS"),K929=1),AND(B929="ROLE COMPROMISE",H929=C929)),Inputs!$B$13,Inputs!$B$14))</f>
        <v>10</v>
      </c>
      <c r="O929" s="15" t="n">
        <f aca="false">IF(J929=1,0,Inputs!$B$13)</f>
        <v>20</v>
      </c>
      <c r="P929" s="15" t="n">
        <f aca="false">SUM(M929:N929)</f>
        <v>85</v>
      </c>
      <c r="Q929" s="15" t="n">
        <f aca="false">IF(J929=1,"",L929-P929)</f>
        <v>15</v>
      </c>
      <c r="R929" s="15" t="n">
        <f aca="false">IF(OR(J929=1,M929&lt;=Inputs!$B$12),1,0)</f>
        <v>1</v>
      </c>
      <c r="S929" s="15" t="n">
        <f aca="false">IF(OR(J929=1,N929&lt;=O929),1,0)</f>
        <v>1</v>
      </c>
      <c r="T929" s="15" t="str">
        <f aca="false">IF(J929=1,"OFFLINE",IF(AND(Q929&gt;=Inputs!$B$15,R929=1,S929=1,P929&lt;=L929),"PASS","FAIL"))</f>
        <v>PASS</v>
      </c>
    </row>
    <row r="930" customFormat="false" ht="15" hidden="false" customHeight="false" outlineLevel="0" collapsed="false">
      <c r="A930" s="14" t="s">
        <v>1027</v>
      </c>
      <c r="B930" s="14" t="s">
        <v>1019</v>
      </c>
      <c r="C930" s="14" t="s">
        <v>180</v>
      </c>
      <c r="D930" s="14" t="s">
        <v>182</v>
      </c>
      <c r="E930" s="14" t="s">
        <v>166</v>
      </c>
      <c r="F930" s="14" t="s">
        <v>183</v>
      </c>
      <c r="G930" s="14" t="n">
        <v>1</v>
      </c>
      <c r="H930" s="14" t="s">
        <v>154</v>
      </c>
      <c r="I930" s="14" t="s">
        <v>899</v>
      </c>
      <c r="J930" s="15" t="n">
        <f aca="false">IF(B930="SITE LOSS",IF(D930=C930,1,0),IF(B930="REGION LOSS",IF(E930=C930,1,0),0))</f>
        <v>0</v>
      </c>
      <c r="K930" s="15" t="n">
        <f aca="false">IF(B930="SITE LOSS",IF(COUNTIFS('Site Dockets'!$B$7:$B$24,C930,'Site Dockets'!$C$7:$C$24,F930)&gt;0,1,0),IF(B930="REGION LOSS",IF(COUNTIFS('Site Dockets'!$E$7:$E$24,C930,'Site Dockets'!$C$7:$C$24,F930)&gt;0,1,0),0))</f>
        <v>0</v>
      </c>
      <c r="L930" s="15" t="n">
        <f aca="false">IF(J930=1,0,Inputs!$B$11)</f>
        <v>100</v>
      </c>
      <c r="M930" s="15" t="n">
        <f aca="false">IF(J930=1,0,Inputs!$B$12)</f>
        <v>75</v>
      </c>
      <c r="N930" s="15" t="n">
        <f aca="false">IF(J930=1,0,IF(OR(AND(OR(B930="SITE LOSS",B930="REGION LOSS"),K930=1),AND(B930="ROLE COMPROMISE",H930=C930)),Inputs!$B$13,Inputs!$B$14))</f>
        <v>10</v>
      </c>
      <c r="O930" s="15" t="n">
        <f aca="false">IF(J930=1,0,Inputs!$B$13)</f>
        <v>20</v>
      </c>
      <c r="P930" s="15" t="n">
        <f aca="false">SUM(M930:N930)</f>
        <v>85</v>
      </c>
      <c r="Q930" s="15" t="n">
        <f aca="false">IF(J930=1,"",L930-P930)</f>
        <v>15</v>
      </c>
      <c r="R930" s="15" t="n">
        <f aca="false">IF(OR(J930=1,M930&lt;=Inputs!$B$12),1,0)</f>
        <v>1</v>
      </c>
      <c r="S930" s="15" t="n">
        <f aca="false">IF(OR(J930=1,N930&lt;=O930),1,0)</f>
        <v>1</v>
      </c>
      <c r="T930" s="15" t="str">
        <f aca="false">IF(J930=1,"OFFLINE",IF(AND(Q930&gt;=Inputs!$B$15,R930=1,S930=1,P930&lt;=L930),"PASS","FAIL"))</f>
        <v>PASS</v>
      </c>
    </row>
    <row r="931" customFormat="false" ht="15" hidden="false" customHeight="false" outlineLevel="0" collapsed="false">
      <c r="A931" s="14" t="s">
        <v>1027</v>
      </c>
      <c r="B931" s="14" t="s">
        <v>1019</v>
      </c>
      <c r="C931" s="14" t="s">
        <v>180</v>
      </c>
      <c r="D931" s="14" t="s">
        <v>186</v>
      </c>
      <c r="E931" s="14" t="s">
        <v>157</v>
      </c>
      <c r="F931" s="14" t="s">
        <v>183</v>
      </c>
      <c r="G931" s="14" t="n">
        <v>2</v>
      </c>
      <c r="H931" s="14" t="s">
        <v>153</v>
      </c>
      <c r="I931" s="14" t="s">
        <v>890</v>
      </c>
      <c r="J931" s="15" t="n">
        <f aca="false">IF(B931="SITE LOSS",IF(D931=C931,1,0),IF(B931="REGION LOSS",IF(E931=C931,1,0),0))</f>
        <v>0</v>
      </c>
      <c r="K931" s="15" t="n">
        <f aca="false">IF(B931="SITE LOSS",IF(COUNTIFS('Site Dockets'!$B$7:$B$24,C931,'Site Dockets'!$C$7:$C$24,F931)&gt;0,1,0),IF(B931="REGION LOSS",IF(COUNTIFS('Site Dockets'!$E$7:$E$24,C931,'Site Dockets'!$C$7:$C$24,F931)&gt;0,1,0),0))</f>
        <v>0</v>
      </c>
      <c r="L931" s="15" t="n">
        <f aca="false">IF(J931=1,0,Inputs!$B$11)</f>
        <v>100</v>
      </c>
      <c r="M931" s="15" t="n">
        <f aca="false">IF(J931=1,0,Inputs!$B$12)</f>
        <v>75</v>
      </c>
      <c r="N931" s="15" t="n">
        <f aca="false">IF(J931=1,0,IF(OR(AND(OR(B931="SITE LOSS",B931="REGION LOSS"),K931=1),AND(B931="ROLE COMPROMISE",H931=C931)),Inputs!$B$13,Inputs!$B$14))</f>
        <v>10</v>
      </c>
      <c r="O931" s="15" t="n">
        <f aca="false">IF(J931=1,0,Inputs!$B$13)</f>
        <v>20</v>
      </c>
      <c r="P931" s="15" t="n">
        <f aca="false">SUM(M931:N931)</f>
        <v>85</v>
      </c>
      <c r="Q931" s="15" t="n">
        <f aca="false">IF(J931=1,"",L931-P931)</f>
        <v>15</v>
      </c>
      <c r="R931" s="15" t="n">
        <f aca="false">IF(OR(J931=1,M931&lt;=Inputs!$B$12),1,0)</f>
        <v>1</v>
      </c>
      <c r="S931" s="15" t="n">
        <f aca="false">IF(OR(J931=1,N931&lt;=O931),1,0)</f>
        <v>1</v>
      </c>
      <c r="T931" s="15" t="str">
        <f aca="false">IF(J931=1,"OFFLINE",IF(AND(Q931&gt;=Inputs!$B$15,R931=1,S931=1,P931&lt;=L931),"PASS","FAIL"))</f>
        <v>PASS</v>
      </c>
    </row>
    <row r="932" customFormat="false" ht="15" hidden="false" customHeight="false" outlineLevel="0" collapsed="false">
      <c r="A932" s="14" t="s">
        <v>1027</v>
      </c>
      <c r="B932" s="14" t="s">
        <v>1019</v>
      </c>
      <c r="C932" s="14" t="s">
        <v>180</v>
      </c>
      <c r="D932" s="14" t="s">
        <v>186</v>
      </c>
      <c r="E932" s="14" t="s">
        <v>157</v>
      </c>
      <c r="F932" s="14" t="s">
        <v>183</v>
      </c>
      <c r="G932" s="14" t="n">
        <v>2</v>
      </c>
      <c r="H932" s="14" t="s">
        <v>153</v>
      </c>
      <c r="I932" s="14" t="s">
        <v>892</v>
      </c>
      <c r="J932" s="15" t="n">
        <f aca="false">IF(B932="SITE LOSS",IF(D932=C932,1,0),IF(B932="REGION LOSS",IF(E932=C932,1,0),0))</f>
        <v>0</v>
      </c>
      <c r="K932" s="15" t="n">
        <f aca="false">IF(B932="SITE LOSS",IF(COUNTIFS('Site Dockets'!$B$7:$B$24,C932,'Site Dockets'!$C$7:$C$24,F932)&gt;0,1,0),IF(B932="REGION LOSS",IF(COUNTIFS('Site Dockets'!$E$7:$E$24,C932,'Site Dockets'!$C$7:$C$24,F932)&gt;0,1,0),0))</f>
        <v>0</v>
      </c>
      <c r="L932" s="15" t="n">
        <f aca="false">IF(J932=1,0,Inputs!$B$11)</f>
        <v>100</v>
      </c>
      <c r="M932" s="15" t="n">
        <f aca="false">IF(J932=1,0,Inputs!$B$12)</f>
        <v>75</v>
      </c>
      <c r="N932" s="15" t="n">
        <f aca="false">IF(J932=1,0,IF(OR(AND(OR(B932="SITE LOSS",B932="REGION LOSS"),K932=1),AND(B932="ROLE COMPROMISE",H932=C932)),Inputs!$B$13,Inputs!$B$14))</f>
        <v>10</v>
      </c>
      <c r="O932" s="15" t="n">
        <f aca="false">IF(J932=1,0,Inputs!$B$13)</f>
        <v>20</v>
      </c>
      <c r="P932" s="15" t="n">
        <f aca="false">SUM(M932:N932)</f>
        <v>85</v>
      </c>
      <c r="Q932" s="15" t="n">
        <f aca="false">IF(J932=1,"",L932-P932)</f>
        <v>15</v>
      </c>
      <c r="R932" s="15" t="n">
        <f aca="false">IF(OR(J932=1,M932&lt;=Inputs!$B$12),1,0)</f>
        <v>1</v>
      </c>
      <c r="S932" s="15" t="n">
        <f aca="false">IF(OR(J932=1,N932&lt;=O932),1,0)</f>
        <v>1</v>
      </c>
      <c r="T932" s="15" t="str">
        <f aca="false">IF(J932=1,"OFFLINE",IF(AND(Q932&gt;=Inputs!$B$15,R932=1,S932=1,P932&lt;=L932),"PASS","FAIL"))</f>
        <v>PASS</v>
      </c>
    </row>
    <row r="933" customFormat="false" ht="15" hidden="false" customHeight="false" outlineLevel="0" collapsed="false">
      <c r="A933" s="14" t="s">
        <v>1027</v>
      </c>
      <c r="B933" s="14" t="s">
        <v>1019</v>
      </c>
      <c r="C933" s="14" t="s">
        <v>180</v>
      </c>
      <c r="D933" s="14" t="s">
        <v>186</v>
      </c>
      <c r="E933" s="14" t="s">
        <v>157</v>
      </c>
      <c r="F933" s="14" t="s">
        <v>183</v>
      </c>
      <c r="G933" s="14" t="n">
        <v>2</v>
      </c>
      <c r="H933" s="14" t="s">
        <v>153</v>
      </c>
      <c r="I933" s="14" t="s">
        <v>811</v>
      </c>
      <c r="J933" s="15" t="n">
        <f aca="false">IF(B933="SITE LOSS",IF(D933=C933,1,0),IF(B933="REGION LOSS",IF(E933=C933,1,0),0))</f>
        <v>0</v>
      </c>
      <c r="K933" s="15" t="n">
        <f aca="false">IF(B933="SITE LOSS",IF(COUNTIFS('Site Dockets'!$B$7:$B$24,C933,'Site Dockets'!$C$7:$C$24,F933)&gt;0,1,0),IF(B933="REGION LOSS",IF(COUNTIFS('Site Dockets'!$E$7:$E$24,C933,'Site Dockets'!$C$7:$C$24,F933)&gt;0,1,0),0))</f>
        <v>0</v>
      </c>
      <c r="L933" s="15" t="n">
        <f aca="false">IF(J933=1,0,Inputs!$B$11)</f>
        <v>100</v>
      </c>
      <c r="M933" s="15" t="n">
        <f aca="false">IF(J933=1,0,Inputs!$B$12)</f>
        <v>75</v>
      </c>
      <c r="N933" s="15" t="n">
        <f aca="false">IF(J933=1,0,IF(OR(AND(OR(B933="SITE LOSS",B933="REGION LOSS"),K933=1),AND(B933="ROLE COMPROMISE",H933=C933)),Inputs!$B$13,Inputs!$B$14))</f>
        <v>10</v>
      </c>
      <c r="O933" s="15" t="n">
        <f aca="false">IF(J933=1,0,Inputs!$B$13)</f>
        <v>20</v>
      </c>
      <c r="P933" s="15" t="n">
        <f aca="false">SUM(M933:N933)</f>
        <v>85</v>
      </c>
      <c r="Q933" s="15" t="n">
        <f aca="false">IF(J933=1,"",L933-P933)</f>
        <v>15</v>
      </c>
      <c r="R933" s="15" t="n">
        <f aca="false">IF(OR(J933=1,M933&lt;=Inputs!$B$12),1,0)</f>
        <v>1</v>
      </c>
      <c r="S933" s="15" t="n">
        <f aca="false">IF(OR(J933=1,N933&lt;=O933),1,0)</f>
        <v>1</v>
      </c>
      <c r="T933" s="15" t="str">
        <f aca="false">IF(J933=1,"OFFLINE",IF(AND(Q933&gt;=Inputs!$B$15,R933=1,S933=1,P933&lt;=L933),"PASS","FAIL"))</f>
        <v>PASS</v>
      </c>
    </row>
    <row r="934" customFormat="false" ht="15" hidden="false" customHeight="false" outlineLevel="0" collapsed="false">
      <c r="A934" s="14" t="s">
        <v>1027</v>
      </c>
      <c r="B934" s="14" t="s">
        <v>1019</v>
      </c>
      <c r="C934" s="14" t="s">
        <v>180</v>
      </c>
      <c r="D934" s="14" t="s">
        <v>186</v>
      </c>
      <c r="E934" s="14" t="s">
        <v>157</v>
      </c>
      <c r="F934" s="14" t="s">
        <v>183</v>
      </c>
      <c r="G934" s="14" t="n">
        <v>2</v>
      </c>
      <c r="H934" s="14" t="s">
        <v>153</v>
      </c>
      <c r="I934" s="14" t="s">
        <v>895</v>
      </c>
      <c r="J934" s="15" t="n">
        <f aca="false">IF(B934="SITE LOSS",IF(D934=C934,1,0),IF(B934="REGION LOSS",IF(E934=C934,1,0),0))</f>
        <v>0</v>
      </c>
      <c r="K934" s="15" t="n">
        <f aca="false">IF(B934="SITE LOSS",IF(COUNTIFS('Site Dockets'!$B$7:$B$24,C934,'Site Dockets'!$C$7:$C$24,F934)&gt;0,1,0),IF(B934="REGION LOSS",IF(COUNTIFS('Site Dockets'!$E$7:$E$24,C934,'Site Dockets'!$C$7:$C$24,F934)&gt;0,1,0),0))</f>
        <v>0</v>
      </c>
      <c r="L934" s="15" t="n">
        <f aca="false">IF(J934=1,0,Inputs!$B$11)</f>
        <v>100</v>
      </c>
      <c r="M934" s="15" t="n">
        <f aca="false">IF(J934=1,0,Inputs!$B$12)</f>
        <v>75</v>
      </c>
      <c r="N934" s="15" t="n">
        <f aca="false">IF(J934=1,0,IF(OR(AND(OR(B934="SITE LOSS",B934="REGION LOSS"),K934=1),AND(B934="ROLE COMPROMISE",H934=C934)),Inputs!$B$13,Inputs!$B$14))</f>
        <v>10</v>
      </c>
      <c r="O934" s="15" t="n">
        <f aca="false">IF(J934=1,0,Inputs!$B$13)</f>
        <v>20</v>
      </c>
      <c r="P934" s="15" t="n">
        <f aca="false">SUM(M934:N934)</f>
        <v>85</v>
      </c>
      <c r="Q934" s="15" t="n">
        <f aca="false">IF(J934=1,"",L934-P934)</f>
        <v>15</v>
      </c>
      <c r="R934" s="15" t="n">
        <f aca="false">IF(OR(J934=1,M934&lt;=Inputs!$B$12),1,0)</f>
        <v>1</v>
      </c>
      <c r="S934" s="15" t="n">
        <f aca="false">IF(OR(J934=1,N934&lt;=O934),1,0)</f>
        <v>1</v>
      </c>
      <c r="T934" s="15" t="str">
        <f aca="false">IF(J934=1,"OFFLINE",IF(AND(Q934&gt;=Inputs!$B$15,R934=1,S934=1,P934&lt;=L934),"PASS","FAIL"))</f>
        <v>PASS</v>
      </c>
    </row>
    <row r="935" customFormat="false" ht="15" hidden="false" customHeight="false" outlineLevel="0" collapsed="false">
      <c r="A935" s="14" t="s">
        <v>1027</v>
      </c>
      <c r="B935" s="14" t="s">
        <v>1019</v>
      </c>
      <c r="C935" s="14" t="s">
        <v>180</v>
      </c>
      <c r="D935" s="14" t="s">
        <v>186</v>
      </c>
      <c r="E935" s="14" t="s">
        <v>157</v>
      </c>
      <c r="F935" s="14" t="s">
        <v>183</v>
      </c>
      <c r="G935" s="14" t="n">
        <v>2</v>
      </c>
      <c r="H935" s="14" t="s">
        <v>153</v>
      </c>
      <c r="I935" s="14" t="s">
        <v>897</v>
      </c>
      <c r="J935" s="15" t="n">
        <f aca="false">IF(B935="SITE LOSS",IF(D935=C935,1,0),IF(B935="REGION LOSS",IF(E935=C935,1,0),0))</f>
        <v>0</v>
      </c>
      <c r="K935" s="15" t="n">
        <f aca="false">IF(B935="SITE LOSS",IF(COUNTIFS('Site Dockets'!$B$7:$B$24,C935,'Site Dockets'!$C$7:$C$24,F935)&gt;0,1,0),IF(B935="REGION LOSS",IF(COUNTIFS('Site Dockets'!$E$7:$E$24,C935,'Site Dockets'!$C$7:$C$24,F935)&gt;0,1,0),0))</f>
        <v>0</v>
      </c>
      <c r="L935" s="15" t="n">
        <f aca="false">IF(J935=1,0,Inputs!$B$11)</f>
        <v>100</v>
      </c>
      <c r="M935" s="15" t="n">
        <f aca="false">IF(J935=1,0,Inputs!$B$12)</f>
        <v>75</v>
      </c>
      <c r="N935" s="15" t="n">
        <f aca="false">IF(J935=1,0,IF(OR(AND(OR(B935="SITE LOSS",B935="REGION LOSS"),K935=1),AND(B935="ROLE COMPROMISE",H935=C935)),Inputs!$B$13,Inputs!$B$14))</f>
        <v>10</v>
      </c>
      <c r="O935" s="15" t="n">
        <f aca="false">IF(J935=1,0,Inputs!$B$13)</f>
        <v>20</v>
      </c>
      <c r="P935" s="15" t="n">
        <f aca="false">SUM(M935:N935)</f>
        <v>85</v>
      </c>
      <c r="Q935" s="15" t="n">
        <f aca="false">IF(J935=1,"",L935-P935)</f>
        <v>15</v>
      </c>
      <c r="R935" s="15" t="n">
        <f aca="false">IF(OR(J935=1,M935&lt;=Inputs!$B$12),1,0)</f>
        <v>1</v>
      </c>
      <c r="S935" s="15" t="n">
        <f aca="false">IF(OR(J935=1,N935&lt;=O935),1,0)</f>
        <v>1</v>
      </c>
      <c r="T935" s="15" t="str">
        <f aca="false">IF(J935=1,"OFFLINE",IF(AND(Q935&gt;=Inputs!$B$15,R935=1,S935=1,P935&lt;=L935),"PASS","FAIL"))</f>
        <v>PASS</v>
      </c>
    </row>
    <row r="936" customFormat="false" ht="15" hidden="false" customHeight="false" outlineLevel="0" collapsed="false">
      <c r="A936" s="14" t="s">
        <v>1027</v>
      </c>
      <c r="B936" s="14" t="s">
        <v>1019</v>
      </c>
      <c r="C936" s="14" t="s">
        <v>180</v>
      </c>
      <c r="D936" s="14" t="s">
        <v>186</v>
      </c>
      <c r="E936" s="14" t="s">
        <v>157</v>
      </c>
      <c r="F936" s="14" t="s">
        <v>183</v>
      </c>
      <c r="G936" s="14" t="n">
        <v>2</v>
      </c>
      <c r="H936" s="14" t="s">
        <v>153</v>
      </c>
      <c r="I936" s="14" t="s">
        <v>899</v>
      </c>
      <c r="J936" s="15" t="n">
        <f aca="false">IF(B936="SITE LOSS",IF(D936=C936,1,0),IF(B936="REGION LOSS",IF(E936=C936,1,0),0))</f>
        <v>0</v>
      </c>
      <c r="K936" s="15" t="n">
        <f aca="false">IF(B936="SITE LOSS",IF(COUNTIFS('Site Dockets'!$B$7:$B$24,C936,'Site Dockets'!$C$7:$C$24,F936)&gt;0,1,0),IF(B936="REGION LOSS",IF(COUNTIFS('Site Dockets'!$E$7:$E$24,C936,'Site Dockets'!$C$7:$C$24,F936)&gt;0,1,0),0))</f>
        <v>0</v>
      </c>
      <c r="L936" s="15" t="n">
        <f aca="false">IF(J936=1,0,Inputs!$B$11)</f>
        <v>100</v>
      </c>
      <c r="M936" s="15" t="n">
        <f aca="false">IF(J936=1,0,Inputs!$B$12)</f>
        <v>75</v>
      </c>
      <c r="N936" s="15" t="n">
        <f aca="false">IF(J936=1,0,IF(OR(AND(OR(B936="SITE LOSS",B936="REGION LOSS"),K936=1),AND(B936="ROLE COMPROMISE",H936=C936)),Inputs!$B$13,Inputs!$B$14))</f>
        <v>10</v>
      </c>
      <c r="O936" s="15" t="n">
        <f aca="false">IF(J936=1,0,Inputs!$B$13)</f>
        <v>20</v>
      </c>
      <c r="P936" s="15" t="n">
        <f aca="false">SUM(M936:N936)</f>
        <v>85</v>
      </c>
      <c r="Q936" s="15" t="n">
        <f aca="false">IF(J936=1,"",L936-P936)</f>
        <v>15</v>
      </c>
      <c r="R936" s="15" t="n">
        <f aca="false">IF(OR(J936=1,M936&lt;=Inputs!$B$12),1,0)</f>
        <v>1</v>
      </c>
      <c r="S936" s="15" t="n">
        <f aca="false">IF(OR(J936=1,N936&lt;=O936),1,0)</f>
        <v>1</v>
      </c>
      <c r="T936" s="15" t="str">
        <f aca="false">IF(J936=1,"OFFLINE",IF(AND(Q936&gt;=Inputs!$B$15,R936=1,S936=1,P936&lt;=L936),"PASS","FAIL"))</f>
        <v>PASS</v>
      </c>
    </row>
    <row r="937" customFormat="false" ht="15" hidden="false" customHeight="false" outlineLevel="0" collapsed="false">
      <c r="A937" s="14" t="s">
        <v>1027</v>
      </c>
      <c r="B937" s="14" t="s">
        <v>1019</v>
      </c>
      <c r="C937" s="14" t="s">
        <v>180</v>
      </c>
      <c r="D937" s="14" t="s">
        <v>188</v>
      </c>
      <c r="E937" s="14" t="s">
        <v>172</v>
      </c>
      <c r="F937" s="14" t="s">
        <v>183</v>
      </c>
      <c r="G937" s="14" t="n">
        <v>3</v>
      </c>
      <c r="H937" s="14" t="s">
        <v>158</v>
      </c>
      <c r="I937" s="14" t="s">
        <v>890</v>
      </c>
      <c r="J937" s="15" t="n">
        <f aca="false">IF(B937="SITE LOSS",IF(D937=C937,1,0),IF(B937="REGION LOSS",IF(E937=C937,1,0),0))</f>
        <v>0</v>
      </c>
      <c r="K937" s="15" t="n">
        <f aca="false">IF(B937="SITE LOSS",IF(COUNTIFS('Site Dockets'!$B$7:$B$24,C937,'Site Dockets'!$C$7:$C$24,F937)&gt;0,1,0),IF(B937="REGION LOSS",IF(COUNTIFS('Site Dockets'!$E$7:$E$24,C937,'Site Dockets'!$C$7:$C$24,F937)&gt;0,1,0),0))</f>
        <v>0</v>
      </c>
      <c r="L937" s="15" t="n">
        <f aca="false">IF(J937=1,0,Inputs!$B$11)</f>
        <v>100</v>
      </c>
      <c r="M937" s="15" t="n">
        <f aca="false">IF(J937=1,0,Inputs!$B$12)</f>
        <v>75</v>
      </c>
      <c r="N937" s="15" t="n">
        <f aca="false">IF(J937=1,0,IF(OR(AND(OR(B937="SITE LOSS",B937="REGION LOSS"),K937=1),AND(B937="ROLE COMPROMISE",H937=C937)),Inputs!$B$13,Inputs!$B$14))</f>
        <v>10</v>
      </c>
      <c r="O937" s="15" t="n">
        <f aca="false">IF(J937=1,0,Inputs!$B$13)</f>
        <v>20</v>
      </c>
      <c r="P937" s="15" t="n">
        <f aca="false">SUM(M937:N937)</f>
        <v>85</v>
      </c>
      <c r="Q937" s="15" t="n">
        <f aca="false">IF(J937=1,"",L937-P937)</f>
        <v>15</v>
      </c>
      <c r="R937" s="15" t="n">
        <f aca="false">IF(OR(J937=1,M937&lt;=Inputs!$B$12),1,0)</f>
        <v>1</v>
      </c>
      <c r="S937" s="15" t="n">
        <f aca="false">IF(OR(J937=1,N937&lt;=O937),1,0)</f>
        <v>1</v>
      </c>
      <c r="T937" s="15" t="str">
        <f aca="false">IF(J937=1,"OFFLINE",IF(AND(Q937&gt;=Inputs!$B$15,R937=1,S937=1,P937&lt;=L937),"PASS","FAIL"))</f>
        <v>PASS</v>
      </c>
    </row>
    <row r="938" customFormat="false" ht="15" hidden="false" customHeight="false" outlineLevel="0" collapsed="false">
      <c r="A938" s="14" t="s">
        <v>1027</v>
      </c>
      <c r="B938" s="14" t="s">
        <v>1019</v>
      </c>
      <c r="C938" s="14" t="s">
        <v>180</v>
      </c>
      <c r="D938" s="14" t="s">
        <v>188</v>
      </c>
      <c r="E938" s="14" t="s">
        <v>172</v>
      </c>
      <c r="F938" s="14" t="s">
        <v>183</v>
      </c>
      <c r="G938" s="14" t="n">
        <v>3</v>
      </c>
      <c r="H938" s="14" t="s">
        <v>158</v>
      </c>
      <c r="I938" s="14" t="s">
        <v>892</v>
      </c>
      <c r="J938" s="15" t="n">
        <f aca="false">IF(B938="SITE LOSS",IF(D938=C938,1,0),IF(B938="REGION LOSS",IF(E938=C938,1,0),0))</f>
        <v>0</v>
      </c>
      <c r="K938" s="15" t="n">
        <f aca="false">IF(B938="SITE LOSS",IF(COUNTIFS('Site Dockets'!$B$7:$B$24,C938,'Site Dockets'!$C$7:$C$24,F938)&gt;0,1,0),IF(B938="REGION LOSS",IF(COUNTIFS('Site Dockets'!$E$7:$E$24,C938,'Site Dockets'!$C$7:$C$24,F938)&gt;0,1,0),0))</f>
        <v>0</v>
      </c>
      <c r="L938" s="15" t="n">
        <f aca="false">IF(J938=1,0,Inputs!$B$11)</f>
        <v>100</v>
      </c>
      <c r="M938" s="15" t="n">
        <f aca="false">IF(J938=1,0,Inputs!$B$12)</f>
        <v>75</v>
      </c>
      <c r="N938" s="15" t="n">
        <f aca="false">IF(J938=1,0,IF(OR(AND(OR(B938="SITE LOSS",B938="REGION LOSS"),K938=1),AND(B938="ROLE COMPROMISE",H938=C938)),Inputs!$B$13,Inputs!$B$14))</f>
        <v>10</v>
      </c>
      <c r="O938" s="15" t="n">
        <f aca="false">IF(J938=1,0,Inputs!$B$13)</f>
        <v>20</v>
      </c>
      <c r="P938" s="15" t="n">
        <f aca="false">SUM(M938:N938)</f>
        <v>85</v>
      </c>
      <c r="Q938" s="15" t="n">
        <f aca="false">IF(J938=1,"",L938-P938)</f>
        <v>15</v>
      </c>
      <c r="R938" s="15" t="n">
        <f aca="false">IF(OR(J938=1,M938&lt;=Inputs!$B$12),1,0)</f>
        <v>1</v>
      </c>
      <c r="S938" s="15" t="n">
        <f aca="false">IF(OR(J938=1,N938&lt;=O938),1,0)</f>
        <v>1</v>
      </c>
      <c r="T938" s="15" t="str">
        <f aca="false">IF(J938=1,"OFFLINE",IF(AND(Q938&gt;=Inputs!$B$15,R938=1,S938=1,P938&lt;=L938),"PASS","FAIL"))</f>
        <v>PASS</v>
      </c>
    </row>
    <row r="939" customFormat="false" ht="15" hidden="false" customHeight="false" outlineLevel="0" collapsed="false">
      <c r="A939" s="14" t="s">
        <v>1027</v>
      </c>
      <c r="B939" s="14" t="s">
        <v>1019</v>
      </c>
      <c r="C939" s="14" t="s">
        <v>180</v>
      </c>
      <c r="D939" s="14" t="s">
        <v>188</v>
      </c>
      <c r="E939" s="14" t="s">
        <v>172</v>
      </c>
      <c r="F939" s="14" t="s">
        <v>183</v>
      </c>
      <c r="G939" s="14" t="n">
        <v>3</v>
      </c>
      <c r="H939" s="14" t="s">
        <v>158</v>
      </c>
      <c r="I939" s="14" t="s">
        <v>811</v>
      </c>
      <c r="J939" s="15" t="n">
        <f aca="false">IF(B939="SITE LOSS",IF(D939=C939,1,0),IF(B939="REGION LOSS",IF(E939=C939,1,0),0))</f>
        <v>0</v>
      </c>
      <c r="K939" s="15" t="n">
        <f aca="false">IF(B939="SITE LOSS",IF(COUNTIFS('Site Dockets'!$B$7:$B$24,C939,'Site Dockets'!$C$7:$C$24,F939)&gt;0,1,0),IF(B939="REGION LOSS",IF(COUNTIFS('Site Dockets'!$E$7:$E$24,C939,'Site Dockets'!$C$7:$C$24,F939)&gt;0,1,0),0))</f>
        <v>0</v>
      </c>
      <c r="L939" s="15" t="n">
        <f aca="false">IF(J939=1,0,Inputs!$B$11)</f>
        <v>100</v>
      </c>
      <c r="M939" s="15" t="n">
        <f aca="false">IF(J939=1,0,Inputs!$B$12)</f>
        <v>75</v>
      </c>
      <c r="N939" s="15" t="n">
        <f aca="false">IF(J939=1,0,IF(OR(AND(OR(B939="SITE LOSS",B939="REGION LOSS"),K939=1),AND(B939="ROLE COMPROMISE",H939=C939)),Inputs!$B$13,Inputs!$B$14))</f>
        <v>10</v>
      </c>
      <c r="O939" s="15" t="n">
        <f aca="false">IF(J939=1,0,Inputs!$B$13)</f>
        <v>20</v>
      </c>
      <c r="P939" s="15" t="n">
        <f aca="false">SUM(M939:N939)</f>
        <v>85</v>
      </c>
      <c r="Q939" s="15" t="n">
        <f aca="false">IF(J939=1,"",L939-P939)</f>
        <v>15</v>
      </c>
      <c r="R939" s="15" t="n">
        <f aca="false">IF(OR(J939=1,M939&lt;=Inputs!$B$12),1,0)</f>
        <v>1</v>
      </c>
      <c r="S939" s="15" t="n">
        <f aca="false">IF(OR(J939=1,N939&lt;=O939),1,0)</f>
        <v>1</v>
      </c>
      <c r="T939" s="15" t="str">
        <f aca="false">IF(J939=1,"OFFLINE",IF(AND(Q939&gt;=Inputs!$B$15,R939=1,S939=1,P939&lt;=L939),"PASS","FAIL"))</f>
        <v>PASS</v>
      </c>
    </row>
    <row r="940" customFormat="false" ht="15" hidden="false" customHeight="false" outlineLevel="0" collapsed="false">
      <c r="A940" s="14" t="s">
        <v>1027</v>
      </c>
      <c r="B940" s="14" t="s">
        <v>1019</v>
      </c>
      <c r="C940" s="14" t="s">
        <v>180</v>
      </c>
      <c r="D940" s="14" t="s">
        <v>188</v>
      </c>
      <c r="E940" s="14" t="s">
        <v>172</v>
      </c>
      <c r="F940" s="14" t="s">
        <v>183</v>
      </c>
      <c r="G940" s="14" t="n">
        <v>3</v>
      </c>
      <c r="H940" s="14" t="s">
        <v>158</v>
      </c>
      <c r="I940" s="14" t="s">
        <v>895</v>
      </c>
      <c r="J940" s="15" t="n">
        <f aca="false">IF(B940="SITE LOSS",IF(D940=C940,1,0),IF(B940="REGION LOSS",IF(E940=C940,1,0),0))</f>
        <v>0</v>
      </c>
      <c r="K940" s="15" t="n">
        <f aca="false">IF(B940="SITE LOSS",IF(COUNTIFS('Site Dockets'!$B$7:$B$24,C940,'Site Dockets'!$C$7:$C$24,F940)&gt;0,1,0),IF(B940="REGION LOSS",IF(COUNTIFS('Site Dockets'!$E$7:$E$24,C940,'Site Dockets'!$C$7:$C$24,F940)&gt;0,1,0),0))</f>
        <v>0</v>
      </c>
      <c r="L940" s="15" t="n">
        <f aca="false">IF(J940=1,0,Inputs!$B$11)</f>
        <v>100</v>
      </c>
      <c r="M940" s="15" t="n">
        <f aca="false">IF(J940=1,0,Inputs!$B$12)</f>
        <v>75</v>
      </c>
      <c r="N940" s="15" t="n">
        <f aca="false">IF(J940=1,0,IF(OR(AND(OR(B940="SITE LOSS",B940="REGION LOSS"),K940=1),AND(B940="ROLE COMPROMISE",H940=C940)),Inputs!$B$13,Inputs!$B$14))</f>
        <v>10</v>
      </c>
      <c r="O940" s="15" t="n">
        <f aca="false">IF(J940=1,0,Inputs!$B$13)</f>
        <v>20</v>
      </c>
      <c r="P940" s="15" t="n">
        <f aca="false">SUM(M940:N940)</f>
        <v>85</v>
      </c>
      <c r="Q940" s="15" t="n">
        <f aca="false">IF(J940=1,"",L940-P940)</f>
        <v>15</v>
      </c>
      <c r="R940" s="15" t="n">
        <f aca="false">IF(OR(J940=1,M940&lt;=Inputs!$B$12),1,0)</f>
        <v>1</v>
      </c>
      <c r="S940" s="15" t="n">
        <f aca="false">IF(OR(J940=1,N940&lt;=O940),1,0)</f>
        <v>1</v>
      </c>
      <c r="T940" s="15" t="str">
        <f aca="false">IF(J940=1,"OFFLINE",IF(AND(Q940&gt;=Inputs!$B$15,R940=1,S940=1,P940&lt;=L940),"PASS","FAIL"))</f>
        <v>PASS</v>
      </c>
    </row>
    <row r="941" customFormat="false" ht="15" hidden="false" customHeight="false" outlineLevel="0" collapsed="false">
      <c r="A941" s="14" t="s">
        <v>1027</v>
      </c>
      <c r="B941" s="14" t="s">
        <v>1019</v>
      </c>
      <c r="C941" s="14" t="s">
        <v>180</v>
      </c>
      <c r="D941" s="14" t="s">
        <v>188</v>
      </c>
      <c r="E941" s="14" t="s">
        <v>172</v>
      </c>
      <c r="F941" s="14" t="s">
        <v>183</v>
      </c>
      <c r="G941" s="14" t="n">
        <v>3</v>
      </c>
      <c r="H941" s="14" t="s">
        <v>158</v>
      </c>
      <c r="I941" s="14" t="s">
        <v>897</v>
      </c>
      <c r="J941" s="15" t="n">
        <f aca="false">IF(B941="SITE LOSS",IF(D941=C941,1,0),IF(B941="REGION LOSS",IF(E941=C941,1,0),0))</f>
        <v>0</v>
      </c>
      <c r="K941" s="15" t="n">
        <f aca="false">IF(B941="SITE LOSS",IF(COUNTIFS('Site Dockets'!$B$7:$B$24,C941,'Site Dockets'!$C$7:$C$24,F941)&gt;0,1,0),IF(B941="REGION LOSS",IF(COUNTIFS('Site Dockets'!$E$7:$E$24,C941,'Site Dockets'!$C$7:$C$24,F941)&gt;0,1,0),0))</f>
        <v>0</v>
      </c>
      <c r="L941" s="15" t="n">
        <f aca="false">IF(J941=1,0,Inputs!$B$11)</f>
        <v>100</v>
      </c>
      <c r="M941" s="15" t="n">
        <f aca="false">IF(J941=1,0,Inputs!$B$12)</f>
        <v>75</v>
      </c>
      <c r="N941" s="15" t="n">
        <f aca="false">IF(J941=1,0,IF(OR(AND(OR(B941="SITE LOSS",B941="REGION LOSS"),K941=1),AND(B941="ROLE COMPROMISE",H941=C941)),Inputs!$B$13,Inputs!$B$14))</f>
        <v>10</v>
      </c>
      <c r="O941" s="15" t="n">
        <f aca="false">IF(J941=1,0,Inputs!$B$13)</f>
        <v>20</v>
      </c>
      <c r="P941" s="15" t="n">
        <f aca="false">SUM(M941:N941)</f>
        <v>85</v>
      </c>
      <c r="Q941" s="15" t="n">
        <f aca="false">IF(J941=1,"",L941-P941)</f>
        <v>15</v>
      </c>
      <c r="R941" s="15" t="n">
        <f aca="false">IF(OR(J941=1,M941&lt;=Inputs!$B$12),1,0)</f>
        <v>1</v>
      </c>
      <c r="S941" s="15" t="n">
        <f aca="false">IF(OR(J941=1,N941&lt;=O941),1,0)</f>
        <v>1</v>
      </c>
      <c r="T941" s="15" t="str">
        <f aca="false">IF(J941=1,"OFFLINE",IF(AND(Q941&gt;=Inputs!$B$15,R941=1,S941=1,P941&lt;=L941),"PASS","FAIL"))</f>
        <v>PASS</v>
      </c>
    </row>
    <row r="942" customFormat="false" ht="15" hidden="false" customHeight="false" outlineLevel="0" collapsed="false">
      <c r="A942" s="14" t="s">
        <v>1027</v>
      </c>
      <c r="B942" s="14" t="s">
        <v>1019</v>
      </c>
      <c r="C942" s="14" t="s">
        <v>180</v>
      </c>
      <c r="D942" s="14" t="s">
        <v>188</v>
      </c>
      <c r="E942" s="14" t="s">
        <v>172</v>
      </c>
      <c r="F942" s="14" t="s">
        <v>183</v>
      </c>
      <c r="G942" s="14" t="n">
        <v>3</v>
      </c>
      <c r="H942" s="14" t="s">
        <v>158</v>
      </c>
      <c r="I942" s="14" t="s">
        <v>899</v>
      </c>
      <c r="J942" s="15" t="n">
        <f aca="false">IF(B942="SITE LOSS",IF(D942=C942,1,0),IF(B942="REGION LOSS",IF(E942=C942,1,0),0))</f>
        <v>0</v>
      </c>
      <c r="K942" s="15" t="n">
        <f aca="false">IF(B942="SITE LOSS",IF(COUNTIFS('Site Dockets'!$B$7:$B$24,C942,'Site Dockets'!$C$7:$C$24,F942)&gt;0,1,0),IF(B942="REGION LOSS",IF(COUNTIFS('Site Dockets'!$E$7:$E$24,C942,'Site Dockets'!$C$7:$C$24,F942)&gt;0,1,0),0))</f>
        <v>0</v>
      </c>
      <c r="L942" s="15" t="n">
        <f aca="false">IF(J942=1,0,Inputs!$B$11)</f>
        <v>100</v>
      </c>
      <c r="M942" s="15" t="n">
        <f aca="false">IF(J942=1,0,Inputs!$B$12)</f>
        <v>75</v>
      </c>
      <c r="N942" s="15" t="n">
        <f aca="false">IF(J942=1,0,IF(OR(AND(OR(B942="SITE LOSS",B942="REGION LOSS"),K942=1),AND(B942="ROLE COMPROMISE",H942=C942)),Inputs!$B$13,Inputs!$B$14))</f>
        <v>10</v>
      </c>
      <c r="O942" s="15" t="n">
        <f aca="false">IF(J942=1,0,Inputs!$B$13)</f>
        <v>20</v>
      </c>
      <c r="P942" s="15" t="n">
        <f aca="false">SUM(M942:N942)</f>
        <v>85</v>
      </c>
      <c r="Q942" s="15" t="n">
        <f aca="false">IF(J942=1,"",L942-P942)</f>
        <v>15</v>
      </c>
      <c r="R942" s="15" t="n">
        <f aca="false">IF(OR(J942=1,M942&lt;=Inputs!$B$12),1,0)</f>
        <v>1</v>
      </c>
      <c r="S942" s="15" t="n">
        <f aca="false">IF(OR(J942=1,N942&lt;=O942),1,0)</f>
        <v>1</v>
      </c>
      <c r="T942" s="15" t="str">
        <f aca="false">IF(J942=1,"OFFLINE",IF(AND(Q942&gt;=Inputs!$B$15,R942=1,S942=1,P942&lt;=L942),"PASS","FAIL"))</f>
        <v>PASS</v>
      </c>
    </row>
    <row r="943" customFormat="false" ht="15" hidden="false" customHeight="false" outlineLevel="0" collapsed="false">
      <c r="A943" s="14" t="s">
        <v>1027</v>
      </c>
      <c r="B943" s="14" t="s">
        <v>1019</v>
      </c>
      <c r="C943" s="14" t="s">
        <v>180</v>
      </c>
      <c r="D943" s="14" t="s">
        <v>190</v>
      </c>
      <c r="E943" s="14" t="s">
        <v>152</v>
      </c>
      <c r="F943" s="14" t="s">
        <v>191</v>
      </c>
      <c r="G943" s="14" t="n">
        <v>1</v>
      </c>
      <c r="H943" s="14" t="s">
        <v>154</v>
      </c>
      <c r="I943" s="14" t="s">
        <v>890</v>
      </c>
      <c r="J943" s="15" t="n">
        <f aca="false">IF(B943="SITE LOSS",IF(D943=C943,1,0),IF(B943="REGION LOSS",IF(E943=C943,1,0),0))</f>
        <v>0</v>
      </c>
      <c r="K943" s="15" t="n">
        <f aca="false">IF(B943="SITE LOSS",IF(COUNTIFS('Site Dockets'!$B$7:$B$24,C943,'Site Dockets'!$C$7:$C$24,F943)&gt;0,1,0),IF(B943="REGION LOSS",IF(COUNTIFS('Site Dockets'!$E$7:$E$24,C943,'Site Dockets'!$C$7:$C$24,F943)&gt;0,1,0),0))</f>
        <v>0</v>
      </c>
      <c r="L943" s="15" t="n">
        <f aca="false">IF(J943=1,0,Inputs!$B$11)</f>
        <v>100</v>
      </c>
      <c r="M943" s="15" t="n">
        <f aca="false">IF(J943=1,0,Inputs!$B$12)</f>
        <v>75</v>
      </c>
      <c r="N943" s="15" t="n">
        <f aca="false">IF(J943=1,0,IF(OR(AND(OR(B943="SITE LOSS",B943="REGION LOSS"),K943=1),AND(B943="ROLE COMPROMISE",H943=C943)),Inputs!$B$13,Inputs!$B$14))</f>
        <v>10</v>
      </c>
      <c r="O943" s="15" t="n">
        <f aca="false">IF(J943=1,0,Inputs!$B$13)</f>
        <v>20</v>
      </c>
      <c r="P943" s="15" t="n">
        <f aca="false">SUM(M943:N943)</f>
        <v>85</v>
      </c>
      <c r="Q943" s="15" t="n">
        <f aca="false">IF(J943=1,"",L943-P943)</f>
        <v>15</v>
      </c>
      <c r="R943" s="15" t="n">
        <f aca="false">IF(OR(J943=1,M943&lt;=Inputs!$B$12),1,0)</f>
        <v>1</v>
      </c>
      <c r="S943" s="15" t="n">
        <f aca="false">IF(OR(J943=1,N943&lt;=O943),1,0)</f>
        <v>1</v>
      </c>
      <c r="T943" s="15" t="str">
        <f aca="false">IF(J943=1,"OFFLINE",IF(AND(Q943&gt;=Inputs!$B$15,R943=1,S943=1,P943&lt;=L943),"PASS","FAIL"))</f>
        <v>PASS</v>
      </c>
    </row>
    <row r="944" customFormat="false" ht="15" hidden="false" customHeight="false" outlineLevel="0" collapsed="false">
      <c r="A944" s="14" t="s">
        <v>1027</v>
      </c>
      <c r="B944" s="14" t="s">
        <v>1019</v>
      </c>
      <c r="C944" s="14" t="s">
        <v>180</v>
      </c>
      <c r="D944" s="14" t="s">
        <v>190</v>
      </c>
      <c r="E944" s="14" t="s">
        <v>152</v>
      </c>
      <c r="F944" s="14" t="s">
        <v>191</v>
      </c>
      <c r="G944" s="14" t="n">
        <v>1</v>
      </c>
      <c r="H944" s="14" t="s">
        <v>154</v>
      </c>
      <c r="I944" s="14" t="s">
        <v>892</v>
      </c>
      <c r="J944" s="15" t="n">
        <f aca="false">IF(B944="SITE LOSS",IF(D944=C944,1,0),IF(B944="REGION LOSS",IF(E944=C944,1,0),0))</f>
        <v>0</v>
      </c>
      <c r="K944" s="15" t="n">
        <f aca="false">IF(B944="SITE LOSS",IF(COUNTIFS('Site Dockets'!$B$7:$B$24,C944,'Site Dockets'!$C$7:$C$24,F944)&gt;0,1,0),IF(B944="REGION LOSS",IF(COUNTIFS('Site Dockets'!$E$7:$E$24,C944,'Site Dockets'!$C$7:$C$24,F944)&gt;0,1,0),0))</f>
        <v>0</v>
      </c>
      <c r="L944" s="15" t="n">
        <f aca="false">IF(J944=1,0,Inputs!$B$11)</f>
        <v>100</v>
      </c>
      <c r="M944" s="15" t="n">
        <f aca="false">IF(J944=1,0,Inputs!$B$12)</f>
        <v>75</v>
      </c>
      <c r="N944" s="15" t="n">
        <f aca="false">IF(J944=1,0,IF(OR(AND(OR(B944="SITE LOSS",B944="REGION LOSS"),K944=1),AND(B944="ROLE COMPROMISE",H944=C944)),Inputs!$B$13,Inputs!$B$14))</f>
        <v>10</v>
      </c>
      <c r="O944" s="15" t="n">
        <f aca="false">IF(J944=1,0,Inputs!$B$13)</f>
        <v>20</v>
      </c>
      <c r="P944" s="15" t="n">
        <f aca="false">SUM(M944:N944)</f>
        <v>85</v>
      </c>
      <c r="Q944" s="15" t="n">
        <f aca="false">IF(J944=1,"",L944-P944)</f>
        <v>15</v>
      </c>
      <c r="R944" s="15" t="n">
        <f aca="false">IF(OR(J944=1,M944&lt;=Inputs!$B$12),1,0)</f>
        <v>1</v>
      </c>
      <c r="S944" s="15" t="n">
        <f aca="false">IF(OR(J944=1,N944&lt;=O944),1,0)</f>
        <v>1</v>
      </c>
      <c r="T944" s="15" t="str">
        <f aca="false">IF(J944=1,"OFFLINE",IF(AND(Q944&gt;=Inputs!$B$15,R944=1,S944=1,P944&lt;=L944),"PASS","FAIL"))</f>
        <v>PASS</v>
      </c>
    </row>
    <row r="945" customFormat="false" ht="15" hidden="false" customHeight="false" outlineLevel="0" collapsed="false">
      <c r="A945" s="14" t="s">
        <v>1027</v>
      </c>
      <c r="B945" s="14" t="s">
        <v>1019</v>
      </c>
      <c r="C945" s="14" t="s">
        <v>180</v>
      </c>
      <c r="D945" s="14" t="s">
        <v>190</v>
      </c>
      <c r="E945" s="14" t="s">
        <v>152</v>
      </c>
      <c r="F945" s="14" t="s">
        <v>191</v>
      </c>
      <c r="G945" s="14" t="n">
        <v>1</v>
      </c>
      <c r="H945" s="14" t="s">
        <v>154</v>
      </c>
      <c r="I945" s="14" t="s">
        <v>811</v>
      </c>
      <c r="J945" s="15" t="n">
        <f aca="false">IF(B945="SITE LOSS",IF(D945=C945,1,0),IF(B945="REGION LOSS",IF(E945=C945,1,0),0))</f>
        <v>0</v>
      </c>
      <c r="K945" s="15" t="n">
        <f aca="false">IF(B945="SITE LOSS",IF(COUNTIFS('Site Dockets'!$B$7:$B$24,C945,'Site Dockets'!$C$7:$C$24,F945)&gt;0,1,0),IF(B945="REGION LOSS",IF(COUNTIFS('Site Dockets'!$E$7:$E$24,C945,'Site Dockets'!$C$7:$C$24,F945)&gt;0,1,0),0))</f>
        <v>0</v>
      </c>
      <c r="L945" s="15" t="n">
        <f aca="false">IF(J945=1,0,Inputs!$B$11)</f>
        <v>100</v>
      </c>
      <c r="M945" s="15" t="n">
        <f aca="false">IF(J945=1,0,Inputs!$B$12)</f>
        <v>75</v>
      </c>
      <c r="N945" s="15" t="n">
        <f aca="false">IF(J945=1,0,IF(OR(AND(OR(B945="SITE LOSS",B945="REGION LOSS"),K945=1),AND(B945="ROLE COMPROMISE",H945=C945)),Inputs!$B$13,Inputs!$B$14))</f>
        <v>10</v>
      </c>
      <c r="O945" s="15" t="n">
        <f aca="false">IF(J945=1,0,Inputs!$B$13)</f>
        <v>20</v>
      </c>
      <c r="P945" s="15" t="n">
        <f aca="false">SUM(M945:N945)</f>
        <v>85</v>
      </c>
      <c r="Q945" s="15" t="n">
        <f aca="false">IF(J945=1,"",L945-P945)</f>
        <v>15</v>
      </c>
      <c r="R945" s="15" t="n">
        <f aca="false">IF(OR(J945=1,M945&lt;=Inputs!$B$12),1,0)</f>
        <v>1</v>
      </c>
      <c r="S945" s="15" t="n">
        <f aca="false">IF(OR(J945=1,N945&lt;=O945),1,0)</f>
        <v>1</v>
      </c>
      <c r="T945" s="15" t="str">
        <f aca="false">IF(J945=1,"OFFLINE",IF(AND(Q945&gt;=Inputs!$B$15,R945=1,S945=1,P945&lt;=L945),"PASS","FAIL"))</f>
        <v>PASS</v>
      </c>
    </row>
    <row r="946" customFormat="false" ht="15" hidden="false" customHeight="false" outlineLevel="0" collapsed="false">
      <c r="A946" s="14" t="s">
        <v>1027</v>
      </c>
      <c r="B946" s="14" t="s">
        <v>1019</v>
      </c>
      <c r="C946" s="14" t="s">
        <v>180</v>
      </c>
      <c r="D946" s="14" t="s">
        <v>190</v>
      </c>
      <c r="E946" s="14" t="s">
        <v>152</v>
      </c>
      <c r="F946" s="14" t="s">
        <v>191</v>
      </c>
      <c r="G946" s="14" t="n">
        <v>1</v>
      </c>
      <c r="H946" s="14" t="s">
        <v>154</v>
      </c>
      <c r="I946" s="14" t="s">
        <v>895</v>
      </c>
      <c r="J946" s="15" t="n">
        <f aca="false">IF(B946="SITE LOSS",IF(D946=C946,1,0),IF(B946="REGION LOSS",IF(E946=C946,1,0),0))</f>
        <v>0</v>
      </c>
      <c r="K946" s="15" t="n">
        <f aca="false">IF(B946="SITE LOSS",IF(COUNTIFS('Site Dockets'!$B$7:$B$24,C946,'Site Dockets'!$C$7:$C$24,F946)&gt;0,1,0),IF(B946="REGION LOSS",IF(COUNTIFS('Site Dockets'!$E$7:$E$24,C946,'Site Dockets'!$C$7:$C$24,F946)&gt;0,1,0),0))</f>
        <v>0</v>
      </c>
      <c r="L946" s="15" t="n">
        <f aca="false">IF(J946=1,0,Inputs!$B$11)</f>
        <v>100</v>
      </c>
      <c r="M946" s="15" t="n">
        <f aca="false">IF(J946=1,0,Inputs!$B$12)</f>
        <v>75</v>
      </c>
      <c r="N946" s="15" t="n">
        <f aca="false">IF(J946=1,0,IF(OR(AND(OR(B946="SITE LOSS",B946="REGION LOSS"),K946=1),AND(B946="ROLE COMPROMISE",H946=C946)),Inputs!$B$13,Inputs!$B$14))</f>
        <v>10</v>
      </c>
      <c r="O946" s="15" t="n">
        <f aca="false">IF(J946=1,0,Inputs!$B$13)</f>
        <v>20</v>
      </c>
      <c r="P946" s="15" t="n">
        <f aca="false">SUM(M946:N946)</f>
        <v>85</v>
      </c>
      <c r="Q946" s="15" t="n">
        <f aca="false">IF(J946=1,"",L946-P946)</f>
        <v>15</v>
      </c>
      <c r="R946" s="15" t="n">
        <f aca="false">IF(OR(J946=1,M946&lt;=Inputs!$B$12),1,0)</f>
        <v>1</v>
      </c>
      <c r="S946" s="15" t="n">
        <f aca="false">IF(OR(J946=1,N946&lt;=O946),1,0)</f>
        <v>1</v>
      </c>
      <c r="T946" s="15" t="str">
        <f aca="false">IF(J946=1,"OFFLINE",IF(AND(Q946&gt;=Inputs!$B$15,R946=1,S946=1,P946&lt;=L946),"PASS","FAIL"))</f>
        <v>PASS</v>
      </c>
    </row>
    <row r="947" customFormat="false" ht="15" hidden="false" customHeight="false" outlineLevel="0" collapsed="false">
      <c r="A947" s="14" t="s">
        <v>1027</v>
      </c>
      <c r="B947" s="14" t="s">
        <v>1019</v>
      </c>
      <c r="C947" s="14" t="s">
        <v>180</v>
      </c>
      <c r="D947" s="14" t="s">
        <v>190</v>
      </c>
      <c r="E947" s="14" t="s">
        <v>152</v>
      </c>
      <c r="F947" s="14" t="s">
        <v>191</v>
      </c>
      <c r="G947" s="14" t="n">
        <v>1</v>
      </c>
      <c r="H947" s="14" t="s">
        <v>154</v>
      </c>
      <c r="I947" s="14" t="s">
        <v>897</v>
      </c>
      <c r="J947" s="15" t="n">
        <f aca="false">IF(B947="SITE LOSS",IF(D947=C947,1,0),IF(B947="REGION LOSS",IF(E947=C947,1,0),0))</f>
        <v>0</v>
      </c>
      <c r="K947" s="15" t="n">
        <f aca="false">IF(B947="SITE LOSS",IF(COUNTIFS('Site Dockets'!$B$7:$B$24,C947,'Site Dockets'!$C$7:$C$24,F947)&gt;0,1,0),IF(B947="REGION LOSS",IF(COUNTIFS('Site Dockets'!$E$7:$E$24,C947,'Site Dockets'!$C$7:$C$24,F947)&gt;0,1,0),0))</f>
        <v>0</v>
      </c>
      <c r="L947" s="15" t="n">
        <f aca="false">IF(J947=1,0,Inputs!$B$11)</f>
        <v>100</v>
      </c>
      <c r="M947" s="15" t="n">
        <f aca="false">IF(J947=1,0,Inputs!$B$12)</f>
        <v>75</v>
      </c>
      <c r="N947" s="15" t="n">
        <f aca="false">IF(J947=1,0,IF(OR(AND(OR(B947="SITE LOSS",B947="REGION LOSS"),K947=1),AND(B947="ROLE COMPROMISE",H947=C947)),Inputs!$B$13,Inputs!$B$14))</f>
        <v>10</v>
      </c>
      <c r="O947" s="15" t="n">
        <f aca="false">IF(J947=1,0,Inputs!$B$13)</f>
        <v>20</v>
      </c>
      <c r="P947" s="15" t="n">
        <f aca="false">SUM(M947:N947)</f>
        <v>85</v>
      </c>
      <c r="Q947" s="15" t="n">
        <f aca="false">IF(J947=1,"",L947-P947)</f>
        <v>15</v>
      </c>
      <c r="R947" s="15" t="n">
        <f aca="false">IF(OR(J947=1,M947&lt;=Inputs!$B$12),1,0)</f>
        <v>1</v>
      </c>
      <c r="S947" s="15" t="n">
        <f aca="false">IF(OR(J947=1,N947&lt;=O947),1,0)</f>
        <v>1</v>
      </c>
      <c r="T947" s="15" t="str">
        <f aca="false">IF(J947=1,"OFFLINE",IF(AND(Q947&gt;=Inputs!$B$15,R947=1,S947=1,P947&lt;=L947),"PASS","FAIL"))</f>
        <v>PASS</v>
      </c>
    </row>
    <row r="948" customFormat="false" ht="15" hidden="false" customHeight="false" outlineLevel="0" collapsed="false">
      <c r="A948" s="14" t="s">
        <v>1027</v>
      </c>
      <c r="B948" s="14" t="s">
        <v>1019</v>
      </c>
      <c r="C948" s="14" t="s">
        <v>180</v>
      </c>
      <c r="D948" s="14" t="s">
        <v>190</v>
      </c>
      <c r="E948" s="14" t="s">
        <v>152</v>
      </c>
      <c r="F948" s="14" t="s">
        <v>191</v>
      </c>
      <c r="G948" s="14" t="n">
        <v>1</v>
      </c>
      <c r="H948" s="14" t="s">
        <v>154</v>
      </c>
      <c r="I948" s="14" t="s">
        <v>899</v>
      </c>
      <c r="J948" s="15" t="n">
        <f aca="false">IF(B948="SITE LOSS",IF(D948=C948,1,0),IF(B948="REGION LOSS",IF(E948=C948,1,0),0))</f>
        <v>0</v>
      </c>
      <c r="K948" s="15" t="n">
        <f aca="false">IF(B948="SITE LOSS",IF(COUNTIFS('Site Dockets'!$B$7:$B$24,C948,'Site Dockets'!$C$7:$C$24,F948)&gt;0,1,0),IF(B948="REGION LOSS",IF(COUNTIFS('Site Dockets'!$E$7:$E$24,C948,'Site Dockets'!$C$7:$C$24,F948)&gt;0,1,0),0))</f>
        <v>0</v>
      </c>
      <c r="L948" s="15" t="n">
        <f aca="false">IF(J948=1,0,Inputs!$B$11)</f>
        <v>100</v>
      </c>
      <c r="M948" s="15" t="n">
        <f aca="false">IF(J948=1,0,Inputs!$B$12)</f>
        <v>75</v>
      </c>
      <c r="N948" s="15" t="n">
        <f aca="false">IF(J948=1,0,IF(OR(AND(OR(B948="SITE LOSS",B948="REGION LOSS"),K948=1),AND(B948="ROLE COMPROMISE",H948=C948)),Inputs!$B$13,Inputs!$B$14))</f>
        <v>10</v>
      </c>
      <c r="O948" s="15" t="n">
        <f aca="false">IF(J948=1,0,Inputs!$B$13)</f>
        <v>20</v>
      </c>
      <c r="P948" s="15" t="n">
        <f aca="false">SUM(M948:N948)</f>
        <v>85</v>
      </c>
      <c r="Q948" s="15" t="n">
        <f aca="false">IF(J948=1,"",L948-P948)</f>
        <v>15</v>
      </c>
      <c r="R948" s="15" t="n">
        <f aca="false">IF(OR(J948=1,M948&lt;=Inputs!$B$12),1,0)</f>
        <v>1</v>
      </c>
      <c r="S948" s="15" t="n">
        <f aca="false">IF(OR(J948=1,N948&lt;=O948),1,0)</f>
        <v>1</v>
      </c>
      <c r="T948" s="15" t="str">
        <f aca="false">IF(J948=1,"OFFLINE",IF(AND(Q948&gt;=Inputs!$B$15,R948=1,S948=1,P948&lt;=L948),"PASS","FAIL"))</f>
        <v>PASS</v>
      </c>
    </row>
    <row r="949" customFormat="false" ht="15" hidden="false" customHeight="false" outlineLevel="0" collapsed="false">
      <c r="A949" s="14" t="s">
        <v>1027</v>
      </c>
      <c r="B949" s="14" t="s">
        <v>1019</v>
      </c>
      <c r="C949" s="14" t="s">
        <v>180</v>
      </c>
      <c r="D949" s="14" t="s">
        <v>194</v>
      </c>
      <c r="E949" s="14" t="s">
        <v>169</v>
      </c>
      <c r="F949" s="14" t="s">
        <v>191</v>
      </c>
      <c r="G949" s="14" t="n">
        <v>2</v>
      </c>
      <c r="H949" s="14" t="s">
        <v>153</v>
      </c>
      <c r="I949" s="14" t="s">
        <v>890</v>
      </c>
      <c r="J949" s="15" t="n">
        <f aca="false">IF(B949="SITE LOSS",IF(D949=C949,1,0),IF(B949="REGION LOSS",IF(E949=C949,1,0),0))</f>
        <v>0</v>
      </c>
      <c r="K949" s="15" t="n">
        <f aca="false">IF(B949="SITE LOSS",IF(COUNTIFS('Site Dockets'!$B$7:$B$24,C949,'Site Dockets'!$C$7:$C$24,F949)&gt;0,1,0),IF(B949="REGION LOSS",IF(COUNTIFS('Site Dockets'!$E$7:$E$24,C949,'Site Dockets'!$C$7:$C$24,F949)&gt;0,1,0),0))</f>
        <v>0</v>
      </c>
      <c r="L949" s="15" t="n">
        <f aca="false">IF(J949=1,0,Inputs!$B$11)</f>
        <v>100</v>
      </c>
      <c r="M949" s="15" t="n">
        <f aca="false">IF(J949=1,0,Inputs!$B$12)</f>
        <v>75</v>
      </c>
      <c r="N949" s="15" t="n">
        <f aca="false">IF(J949=1,0,IF(OR(AND(OR(B949="SITE LOSS",B949="REGION LOSS"),K949=1),AND(B949="ROLE COMPROMISE",H949=C949)),Inputs!$B$13,Inputs!$B$14))</f>
        <v>10</v>
      </c>
      <c r="O949" s="15" t="n">
        <f aca="false">IF(J949=1,0,Inputs!$B$13)</f>
        <v>20</v>
      </c>
      <c r="P949" s="15" t="n">
        <f aca="false">SUM(M949:N949)</f>
        <v>85</v>
      </c>
      <c r="Q949" s="15" t="n">
        <f aca="false">IF(J949=1,"",L949-P949)</f>
        <v>15</v>
      </c>
      <c r="R949" s="15" t="n">
        <f aca="false">IF(OR(J949=1,M949&lt;=Inputs!$B$12),1,0)</f>
        <v>1</v>
      </c>
      <c r="S949" s="15" t="n">
        <f aca="false">IF(OR(J949=1,N949&lt;=O949),1,0)</f>
        <v>1</v>
      </c>
      <c r="T949" s="15" t="str">
        <f aca="false">IF(J949=1,"OFFLINE",IF(AND(Q949&gt;=Inputs!$B$15,R949=1,S949=1,P949&lt;=L949),"PASS","FAIL"))</f>
        <v>PASS</v>
      </c>
    </row>
    <row r="950" customFormat="false" ht="15" hidden="false" customHeight="false" outlineLevel="0" collapsed="false">
      <c r="A950" s="14" t="s">
        <v>1027</v>
      </c>
      <c r="B950" s="14" t="s">
        <v>1019</v>
      </c>
      <c r="C950" s="14" t="s">
        <v>180</v>
      </c>
      <c r="D950" s="14" t="s">
        <v>194</v>
      </c>
      <c r="E950" s="14" t="s">
        <v>169</v>
      </c>
      <c r="F950" s="14" t="s">
        <v>191</v>
      </c>
      <c r="G950" s="14" t="n">
        <v>2</v>
      </c>
      <c r="H950" s="14" t="s">
        <v>153</v>
      </c>
      <c r="I950" s="14" t="s">
        <v>892</v>
      </c>
      <c r="J950" s="15" t="n">
        <f aca="false">IF(B950="SITE LOSS",IF(D950=C950,1,0),IF(B950="REGION LOSS",IF(E950=C950,1,0),0))</f>
        <v>0</v>
      </c>
      <c r="K950" s="15" t="n">
        <f aca="false">IF(B950="SITE LOSS",IF(COUNTIFS('Site Dockets'!$B$7:$B$24,C950,'Site Dockets'!$C$7:$C$24,F950)&gt;0,1,0),IF(B950="REGION LOSS",IF(COUNTIFS('Site Dockets'!$E$7:$E$24,C950,'Site Dockets'!$C$7:$C$24,F950)&gt;0,1,0),0))</f>
        <v>0</v>
      </c>
      <c r="L950" s="15" t="n">
        <f aca="false">IF(J950=1,0,Inputs!$B$11)</f>
        <v>100</v>
      </c>
      <c r="M950" s="15" t="n">
        <f aca="false">IF(J950=1,0,Inputs!$B$12)</f>
        <v>75</v>
      </c>
      <c r="N950" s="15" t="n">
        <f aca="false">IF(J950=1,0,IF(OR(AND(OR(B950="SITE LOSS",B950="REGION LOSS"),K950=1),AND(B950="ROLE COMPROMISE",H950=C950)),Inputs!$B$13,Inputs!$B$14))</f>
        <v>10</v>
      </c>
      <c r="O950" s="15" t="n">
        <f aca="false">IF(J950=1,0,Inputs!$B$13)</f>
        <v>20</v>
      </c>
      <c r="P950" s="15" t="n">
        <f aca="false">SUM(M950:N950)</f>
        <v>85</v>
      </c>
      <c r="Q950" s="15" t="n">
        <f aca="false">IF(J950=1,"",L950-P950)</f>
        <v>15</v>
      </c>
      <c r="R950" s="15" t="n">
        <f aca="false">IF(OR(J950=1,M950&lt;=Inputs!$B$12),1,0)</f>
        <v>1</v>
      </c>
      <c r="S950" s="15" t="n">
        <f aca="false">IF(OR(J950=1,N950&lt;=O950),1,0)</f>
        <v>1</v>
      </c>
      <c r="T950" s="15" t="str">
        <f aca="false">IF(J950=1,"OFFLINE",IF(AND(Q950&gt;=Inputs!$B$15,R950=1,S950=1,P950&lt;=L950),"PASS","FAIL"))</f>
        <v>PASS</v>
      </c>
    </row>
    <row r="951" customFormat="false" ht="15" hidden="false" customHeight="false" outlineLevel="0" collapsed="false">
      <c r="A951" s="14" t="s">
        <v>1027</v>
      </c>
      <c r="B951" s="14" t="s">
        <v>1019</v>
      </c>
      <c r="C951" s="14" t="s">
        <v>180</v>
      </c>
      <c r="D951" s="14" t="s">
        <v>194</v>
      </c>
      <c r="E951" s="14" t="s">
        <v>169</v>
      </c>
      <c r="F951" s="14" t="s">
        <v>191</v>
      </c>
      <c r="G951" s="14" t="n">
        <v>2</v>
      </c>
      <c r="H951" s="14" t="s">
        <v>153</v>
      </c>
      <c r="I951" s="14" t="s">
        <v>811</v>
      </c>
      <c r="J951" s="15" t="n">
        <f aca="false">IF(B951="SITE LOSS",IF(D951=C951,1,0),IF(B951="REGION LOSS",IF(E951=C951,1,0),0))</f>
        <v>0</v>
      </c>
      <c r="K951" s="15" t="n">
        <f aca="false">IF(B951="SITE LOSS",IF(COUNTIFS('Site Dockets'!$B$7:$B$24,C951,'Site Dockets'!$C$7:$C$24,F951)&gt;0,1,0),IF(B951="REGION LOSS",IF(COUNTIFS('Site Dockets'!$E$7:$E$24,C951,'Site Dockets'!$C$7:$C$24,F951)&gt;0,1,0),0))</f>
        <v>0</v>
      </c>
      <c r="L951" s="15" t="n">
        <f aca="false">IF(J951=1,0,Inputs!$B$11)</f>
        <v>100</v>
      </c>
      <c r="M951" s="15" t="n">
        <f aca="false">IF(J951=1,0,Inputs!$B$12)</f>
        <v>75</v>
      </c>
      <c r="N951" s="15" t="n">
        <f aca="false">IF(J951=1,0,IF(OR(AND(OR(B951="SITE LOSS",B951="REGION LOSS"),K951=1),AND(B951="ROLE COMPROMISE",H951=C951)),Inputs!$B$13,Inputs!$B$14))</f>
        <v>10</v>
      </c>
      <c r="O951" s="15" t="n">
        <f aca="false">IF(J951=1,0,Inputs!$B$13)</f>
        <v>20</v>
      </c>
      <c r="P951" s="15" t="n">
        <f aca="false">SUM(M951:N951)</f>
        <v>85</v>
      </c>
      <c r="Q951" s="15" t="n">
        <f aca="false">IF(J951=1,"",L951-P951)</f>
        <v>15</v>
      </c>
      <c r="R951" s="15" t="n">
        <f aca="false">IF(OR(J951=1,M951&lt;=Inputs!$B$12),1,0)</f>
        <v>1</v>
      </c>
      <c r="S951" s="15" t="n">
        <f aca="false">IF(OR(J951=1,N951&lt;=O951),1,0)</f>
        <v>1</v>
      </c>
      <c r="T951" s="15" t="str">
        <f aca="false">IF(J951=1,"OFFLINE",IF(AND(Q951&gt;=Inputs!$B$15,R951=1,S951=1,P951&lt;=L951),"PASS","FAIL"))</f>
        <v>PASS</v>
      </c>
    </row>
    <row r="952" customFormat="false" ht="15" hidden="false" customHeight="false" outlineLevel="0" collapsed="false">
      <c r="A952" s="14" t="s">
        <v>1027</v>
      </c>
      <c r="B952" s="14" t="s">
        <v>1019</v>
      </c>
      <c r="C952" s="14" t="s">
        <v>180</v>
      </c>
      <c r="D952" s="14" t="s">
        <v>194</v>
      </c>
      <c r="E952" s="14" t="s">
        <v>169</v>
      </c>
      <c r="F952" s="14" t="s">
        <v>191</v>
      </c>
      <c r="G952" s="14" t="n">
        <v>2</v>
      </c>
      <c r="H952" s="14" t="s">
        <v>153</v>
      </c>
      <c r="I952" s="14" t="s">
        <v>895</v>
      </c>
      <c r="J952" s="15" t="n">
        <f aca="false">IF(B952="SITE LOSS",IF(D952=C952,1,0),IF(B952="REGION LOSS",IF(E952=C952,1,0),0))</f>
        <v>0</v>
      </c>
      <c r="K952" s="15" t="n">
        <f aca="false">IF(B952="SITE LOSS",IF(COUNTIFS('Site Dockets'!$B$7:$B$24,C952,'Site Dockets'!$C$7:$C$24,F952)&gt;0,1,0),IF(B952="REGION LOSS",IF(COUNTIFS('Site Dockets'!$E$7:$E$24,C952,'Site Dockets'!$C$7:$C$24,F952)&gt;0,1,0),0))</f>
        <v>0</v>
      </c>
      <c r="L952" s="15" t="n">
        <f aca="false">IF(J952=1,0,Inputs!$B$11)</f>
        <v>100</v>
      </c>
      <c r="M952" s="15" t="n">
        <f aca="false">IF(J952=1,0,Inputs!$B$12)</f>
        <v>75</v>
      </c>
      <c r="N952" s="15" t="n">
        <f aca="false">IF(J952=1,0,IF(OR(AND(OR(B952="SITE LOSS",B952="REGION LOSS"),K952=1),AND(B952="ROLE COMPROMISE",H952=C952)),Inputs!$B$13,Inputs!$B$14))</f>
        <v>10</v>
      </c>
      <c r="O952" s="15" t="n">
        <f aca="false">IF(J952=1,0,Inputs!$B$13)</f>
        <v>20</v>
      </c>
      <c r="P952" s="15" t="n">
        <f aca="false">SUM(M952:N952)</f>
        <v>85</v>
      </c>
      <c r="Q952" s="15" t="n">
        <f aca="false">IF(J952=1,"",L952-P952)</f>
        <v>15</v>
      </c>
      <c r="R952" s="15" t="n">
        <f aca="false">IF(OR(J952=1,M952&lt;=Inputs!$B$12),1,0)</f>
        <v>1</v>
      </c>
      <c r="S952" s="15" t="n">
        <f aca="false">IF(OR(J952=1,N952&lt;=O952),1,0)</f>
        <v>1</v>
      </c>
      <c r="T952" s="15" t="str">
        <f aca="false">IF(J952=1,"OFFLINE",IF(AND(Q952&gt;=Inputs!$B$15,R952=1,S952=1,P952&lt;=L952),"PASS","FAIL"))</f>
        <v>PASS</v>
      </c>
    </row>
    <row r="953" customFormat="false" ht="15" hidden="false" customHeight="false" outlineLevel="0" collapsed="false">
      <c r="A953" s="14" t="s">
        <v>1027</v>
      </c>
      <c r="B953" s="14" t="s">
        <v>1019</v>
      </c>
      <c r="C953" s="14" t="s">
        <v>180</v>
      </c>
      <c r="D953" s="14" t="s">
        <v>194</v>
      </c>
      <c r="E953" s="14" t="s">
        <v>169</v>
      </c>
      <c r="F953" s="14" t="s">
        <v>191</v>
      </c>
      <c r="G953" s="14" t="n">
        <v>2</v>
      </c>
      <c r="H953" s="14" t="s">
        <v>153</v>
      </c>
      <c r="I953" s="14" t="s">
        <v>897</v>
      </c>
      <c r="J953" s="15" t="n">
        <f aca="false">IF(B953="SITE LOSS",IF(D953=C953,1,0),IF(B953="REGION LOSS",IF(E953=C953,1,0),0))</f>
        <v>0</v>
      </c>
      <c r="K953" s="15" t="n">
        <f aca="false">IF(B953="SITE LOSS",IF(COUNTIFS('Site Dockets'!$B$7:$B$24,C953,'Site Dockets'!$C$7:$C$24,F953)&gt;0,1,0),IF(B953="REGION LOSS",IF(COUNTIFS('Site Dockets'!$E$7:$E$24,C953,'Site Dockets'!$C$7:$C$24,F953)&gt;0,1,0),0))</f>
        <v>0</v>
      </c>
      <c r="L953" s="15" t="n">
        <f aca="false">IF(J953=1,0,Inputs!$B$11)</f>
        <v>100</v>
      </c>
      <c r="M953" s="15" t="n">
        <f aca="false">IF(J953=1,0,Inputs!$B$12)</f>
        <v>75</v>
      </c>
      <c r="N953" s="15" t="n">
        <f aca="false">IF(J953=1,0,IF(OR(AND(OR(B953="SITE LOSS",B953="REGION LOSS"),K953=1),AND(B953="ROLE COMPROMISE",H953=C953)),Inputs!$B$13,Inputs!$B$14))</f>
        <v>10</v>
      </c>
      <c r="O953" s="15" t="n">
        <f aca="false">IF(J953=1,0,Inputs!$B$13)</f>
        <v>20</v>
      </c>
      <c r="P953" s="15" t="n">
        <f aca="false">SUM(M953:N953)</f>
        <v>85</v>
      </c>
      <c r="Q953" s="15" t="n">
        <f aca="false">IF(J953=1,"",L953-P953)</f>
        <v>15</v>
      </c>
      <c r="R953" s="15" t="n">
        <f aca="false">IF(OR(J953=1,M953&lt;=Inputs!$B$12),1,0)</f>
        <v>1</v>
      </c>
      <c r="S953" s="15" t="n">
        <f aca="false">IF(OR(J953=1,N953&lt;=O953),1,0)</f>
        <v>1</v>
      </c>
      <c r="T953" s="15" t="str">
        <f aca="false">IF(J953=1,"OFFLINE",IF(AND(Q953&gt;=Inputs!$B$15,R953=1,S953=1,P953&lt;=L953),"PASS","FAIL"))</f>
        <v>PASS</v>
      </c>
    </row>
    <row r="954" customFormat="false" ht="15" hidden="false" customHeight="false" outlineLevel="0" collapsed="false">
      <c r="A954" s="14" t="s">
        <v>1027</v>
      </c>
      <c r="B954" s="14" t="s">
        <v>1019</v>
      </c>
      <c r="C954" s="14" t="s">
        <v>180</v>
      </c>
      <c r="D954" s="14" t="s">
        <v>194</v>
      </c>
      <c r="E954" s="14" t="s">
        <v>169</v>
      </c>
      <c r="F954" s="14" t="s">
        <v>191</v>
      </c>
      <c r="G954" s="14" t="n">
        <v>2</v>
      </c>
      <c r="H954" s="14" t="s">
        <v>153</v>
      </c>
      <c r="I954" s="14" t="s">
        <v>899</v>
      </c>
      <c r="J954" s="15" t="n">
        <f aca="false">IF(B954="SITE LOSS",IF(D954=C954,1,0),IF(B954="REGION LOSS",IF(E954=C954,1,0),0))</f>
        <v>0</v>
      </c>
      <c r="K954" s="15" t="n">
        <f aca="false">IF(B954="SITE LOSS",IF(COUNTIFS('Site Dockets'!$B$7:$B$24,C954,'Site Dockets'!$C$7:$C$24,F954)&gt;0,1,0),IF(B954="REGION LOSS",IF(COUNTIFS('Site Dockets'!$E$7:$E$24,C954,'Site Dockets'!$C$7:$C$24,F954)&gt;0,1,0),0))</f>
        <v>0</v>
      </c>
      <c r="L954" s="15" t="n">
        <f aca="false">IF(J954=1,0,Inputs!$B$11)</f>
        <v>100</v>
      </c>
      <c r="M954" s="15" t="n">
        <f aca="false">IF(J954=1,0,Inputs!$B$12)</f>
        <v>75</v>
      </c>
      <c r="N954" s="15" t="n">
        <f aca="false">IF(J954=1,0,IF(OR(AND(OR(B954="SITE LOSS",B954="REGION LOSS"),K954=1),AND(B954="ROLE COMPROMISE",H954=C954)),Inputs!$B$13,Inputs!$B$14))</f>
        <v>10</v>
      </c>
      <c r="O954" s="15" t="n">
        <f aca="false">IF(J954=1,0,Inputs!$B$13)</f>
        <v>20</v>
      </c>
      <c r="P954" s="15" t="n">
        <f aca="false">SUM(M954:N954)</f>
        <v>85</v>
      </c>
      <c r="Q954" s="15" t="n">
        <f aca="false">IF(J954=1,"",L954-P954)</f>
        <v>15</v>
      </c>
      <c r="R954" s="15" t="n">
        <f aca="false">IF(OR(J954=1,M954&lt;=Inputs!$B$12),1,0)</f>
        <v>1</v>
      </c>
      <c r="S954" s="15" t="n">
        <f aca="false">IF(OR(J954=1,N954&lt;=O954),1,0)</f>
        <v>1</v>
      </c>
      <c r="T954" s="15" t="str">
        <f aca="false">IF(J954=1,"OFFLINE",IF(AND(Q954&gt;=Inputs!$B$15,R954=1,S954=1,P954&lt;=L954),"PASS","FAIL"))</f>
        <v>PASS</v>
      </c>
    </row>
    <row r="955" customFormat="false" ht="15" hidden="false" customHeight="false" outlineLevel="0" collapsed="false">
      <c r="A955" s="14" t="s">
        <v>1027</v>
      </c>
      <c r="B955" s="14" t="s">
        <v>1019</v>
      </c>
      <c r="C955" s="14" t="s">
        <v>180</v>
      </c>
      <c r="D955" s="14" t="s">
        <v>196</v>
      </c>
      <c r="E955" s="14" t="s">
        <v>172</v>
      </c>
      <c r="F955" s="14" t="s">
        <v>191</v>
      </c>
      <c r="G955" s="14" t="n">
        <v>3</v>
      </c>
      <c r="H955" s="14" t="s">
        <v>158</v>
      </c>
      <c r="I955" s="14" t="s">
        <v>890</v>
      </c>
      <c r="J955" s="15" t="n">
        <f aca="false">IF(B955="SITE LOSS",IF(D955=C955,1,0),IF(B955="REGION LOSS",IF(E955=C955,1,0),0))</f>
        <v>0</v>
      </c>
      <c r="K955" s="15" t="n">
        <f aca="false">IF(B955="SITE LOSS",IF(COUNTIFS('Site Dockets'!$B$7:$B$24,C955,'Site Dockets'!$C$7:$C$24,F955)&gt;0,1,0),IF(B955="REGION LOSS",IF(COUNTIFS('Site Dockets'!$E$7:$E$24,C955,'Site Dockets'!$C$7:$C$24,F955)&gt;0,1,0),0))</f>
        <v>0</v>
      </c>
      <c r="L955" s="15" t="n">
        <f aca="false">IF(J955=1,0,Inputs!$B$11)</f>
        <v>100</v>
      </c>
      <c r="M955" s="15" t="n">
        <f aca="false">IF(J955=1,0,Inputs!$B$12)</f>
        <v>75</v>
      </c>
      <c r="N955" s="15" t="n">
        <f aca="false">IF(J955=1,0,IF(OR(AND(OR(B955="SITE LOSS",B955="REGION LOSS"),K955=1),AND(B955="ROLE COMPROMISE",H955=C955)),Inputs!$B$13,Inputs!$B$14))</f>
        <v>10</v>
      </c>
      <c r="O955" s="15" t="n">
        <f aca="false">IF(J955=1,0,Inputs!$B$13)</f>
        <v>20</v>
      </c>
      <c r="P955" s="15" t="n">
        <f aca="false">SUM(M955:N955)</f>
        <v>85</v>
      </c>
      <c r="Q955" s="15" t="n">
        <f aca="false">IF(J955=1,"",L955-P955)</f>
        <v>15</v>
      </c>
      <c r="R955" s="15" t="n">
        <f aca="false">IF(OR(J955=1,M955&lt;=Inputs!$B$12),1,0)</f>
        <v>1</v>
      </c>
      <c r="S955" s="15" t="n">
        <f aca="false">IF(OR(J955=1,N955&lt;=O955),1,0)</f>
        <v>1</v>
      </c>
      <c r="T955" s="15" t="str">
        <f aca="false">IF(J955=1,"OFFLINE",IF(AND(Q955&gt;=Inputs!$B$15,R955=1,S955=1,P955&lt;=L955),"PASS","FAIL"))</f>
        <v>PASS</v>
      </c>
    </row>
    <row r="956" customFormat="false" ht="15" hidden="false" customHeight="false" outlineLevel="0" collapsed="false">
      <c r="A956" s="14" t="s">
        <v>1027</v>
      </c>
      <c r="B956" s="14" t="s">
        <v>1019</v>
      </c>
      <c r="C956" s="14" t="s">
        <v>180</v>
      </c>
      <c r="D956" s="14" t="s">
        <v>196</v>
      </c>
      <c r="E956" s="14" t="s">
        <v>172</v>
      </c>
      <c r="F956" s="14" t="s">
        <v>191</v>
      </c>
      <c r="G956" s="14" t="n">
        <v>3</v>
      </c>
      <c r="H956" s="14" t="s">
        <v>158</v>
      </c>
      <c r="I956" s="14" t="s">
        <v>892</v>
      </c>
      <c r="J956" s="15" t="n">
        <f aca="false">IF(B956="SITE LOSS",IF(D956=C956,1,0),IF(B956="REGION LOSS",IF(E956=C956,1,0),0))</f>
        <v>0</v>
      </c>
      <c r="K956" s="15" t="n">
        <f aca="false">IF(B956="SITE LOSS",IF(COUNTIFS('Site Dockets'!$B$7:$B$24,C956,'Site Dockets'!$C$7:$C$24,F956)&gt;0,1,0),IF(B956="REGION LOSS",IF(COUNTIFS('Site Dockets'!$E$7:$E$24,C956,'Site Dockets'!$C$7:$C$24,F956)&gt;0,1,0),0))</f>
        <v>0</v>
      </c>
      <c r="L956" s="15" t="n">
        <f aca="false">IF(J956=1,0,Inputs!$B$11)</f>
        <v>100</v>
      </c>
      <c r="M956" s="15" t="n">
        <f aca="false">IF(J956=1,0,Inputs!$B$12)</f>
        <v>75</v>
      </c>
      <c r="N956" s="15" t="n">
        <f aca="false">IF(J956=1,0,IF(OR(AND(OR(B956="SITE LOSS",B956="REGION LOSS"),K956=1),AND(B956="ROLE COMPROMISE",H956=C956)),Inputs!$B$13,Inputs!$B$14))</f>
        <v>10</v>
      </c>
      <c r="O956" s="15" t="n">
        <f aca="false">IF(J956=1,0,Inputs!$B$13)</f>
        <v>20</v>
      </c>
      <c r="P956" s="15" t="n">
        <f aca="false">SUM(M956:N956)</f>
        <v>85</v>
      </c>
      <c r="Q956" s="15" t="n">
        <f aca="false">IF(J956=1,"",L956-P956)</f>
        <v>15</v>
      </c>
      <c r="R956" s="15" t="n">
        <f aca="false">IF(OR(J956=1,M956&lt;=Inputs!$B$12),1,0)</f>
        <v>1</v>
      </c>
      <c r="S956" s="15" t="n">
        <f aca="false">IF(OR(J956=1,N956&lt;=O956),1,0)</f>
        <v>1</v>
      </c>
      <c r="T956" s="15" t="str">
        <f aca="false">IF(J956=1,"OFFLINE",IF(AND(Q956&gt;=Inputs!$B$15,R956=1,S956=1,P956&lt;=L956),"PASS","FAIL"))</f>
        <v>PASS</v>
      </c>
    </row>
    <row r="957" customFormat="false" ht="15" hidden="false" customHeight="false" outlineLevel="0" collapsed="false">
      <c r="A957" s="14" t="s">
        <v>1027</v>
      </c>
      <c r="B957" s="14" t="s">
        <v>1019</v>
      </c>
      <c r="C957" s="14" t="s">
        <v>180</v>
      </c>
      <c r="D957" s="14" t="s">
        <v>196</v>
      </c>
      <c r="E957" s="14" t="s">
        <v>172</v>
      </c>
      <c r="F957" s="14" t="s">
        <v>191</v>
      </c>
      <c r="G957" s="14" t="n">
        <v>3</v>
      </c>
      <c r="H957" s="14" t="s">
        <v>158</v>
      </c>
      <c r="I957" s="14" t="s">
        <v>811</v>
      </c>
      <c r="J957" s="15" t="n">
        <f aca="false">IF(B957="SITE LOSS",IF(D957=C957,1,0),IF(B957="REGION LOSS",IF(E957=C957,1,0),0))</f>
        <v>0</v>
      </c>
      <c r="K957" s="15" t="n">
        <f aca="false">IF(B957="SITE LOSS",IF(COUNTIFS('Site Dockets'!$B$7:$B$24,C957,'Site Dockets'!$C$7:$C$24,F957)&gt;0,1,0),IF(B957="REGION LOSS",IF(COUNTIFS('Site Dockets'!$E$7:$E$24,C957,'Site Dockets'!$C$7:$C$24,F957)&gt;0,1,0),0))</f>
        <v>0</v>
      </c>
      <c r="L957" s="15" t="n">
        <f aca="false">IF(J957=1,0,Inputs!$B$11)</f>
        <v>100</v>
      </c>
      <c r="M957" s="15" t="n">
        <f aca="false">IF(J957=1,0,Inputs!$B$12)</f>
        <v>75</v>
      </c>
      <c r="N957" s="15" t="n">
        <f aca="false">IF(J957=1,0,IF(OR(AND(OR(B957="SITE LOSS",B957="REGION LOSS"),K957=1),AND(B957="ROLE COMPROMISE",H957=C957)),Inputs!$B$13,Inputs!$B$14))</f>
        <v>10</v>
      </c>
      <c r="O957" s="15" t="n">
        <f aca="false">IF(J957=1,0,Inputs!$B$13)</f>
        <v>20</v>
      </c>
      <c r="P957" s="15" t="n">
        <f aca="false">SUM(M957:N957)</f>
        <v>85</v>
      </c>
      <c r="Q957" s="15" t="n">
        <f aca="false">IF(J957=1,"",L957-P957)</f>
        <v>15</v>
      </c>
      <c r="R957" s="15" t="n">
        <f aca="false">IF(OR(J957=1,M957&lt;=Inputs!$B$12),1,0)</f>
        <v>1</v>
      </c>
      <c r="S957" s="15" t="n">
        <f aca="false">IF(OR(J957=1,N957&lt;=O957),1,0)</f>
        <v>1</v>
      </c>
      <c r="T957" s="15" t="str">
        <f aca="false">IF(J957=1,"OFFLINE",IF(AND(Q957&gt;=Inputs!$B$15,R957=1,S957=1,P957&lt;=L957),"PASS","FAIL"))</f>
        <v>PASS</v>
      </c>
    </row>
    <row r="958" customFormat="false" ht="15" hidden="false" customHeight="false" outlineLevel="0" collapsed="false">
      <c r="A958" s="14" t="s">
        <v>1027</v>
      </c>
      <c r="B958" s="14" t="s">
        <v>1019</v>
      </c>
      <c r="C958" s="14" t="s">
        <v>180</v>
      </c>
      <c r="D958" s="14" t="s">
        <v>196</v>
      </c>
      <c r="E958" s="14" t="s">
        <v>172</v>
      </c>
      <c r="F958" s="14" t="s">
        <v>191</v>
      </c>
      <c r="G958" s="14" t="n">
        <v>3</v>
      </c>
      <c r="H958" s="14" t="s">
        <v>158</v>
      </c>
      <c r="I958" s="14" t="s">
        <v>895</v>
      </c>
      <c r="J958" s="15" t="n">
        <f aca="false">IF(B958="SITE LOSS",IF(D958=C958,1,0),IF(B958="REGION LOSS",IF(E958=C958,1,0),0))</f>
        <v>0</v>
      </c>
      <c r="K958" s="15" t="n">
        <f aca="false">IF(B958="SITE LOSS",IF(COUNTIFS('Site Dockets'!$B$7:$B$24,C958,'Site Dockets'!$C$7:$C$24,F958)&gt;0,1,0),IF(B958="REGION LOSS",IF(COUNTIFS('Site Dockets'!$E$7:$E$24,C958,'Site Dockets'!$C$7:$C$24,F958)&gt;0,1,0),0))</f>
        <v>0</v>
      </c>
      <c r="L958" s="15" t="n">
        <f aca="false">IF(J958=1,0,Inputs!$B$11)</f>
        <v>100</v>
      </c>
      <c r="M958" s="15" t="n">
        <f aca="false">IF(J958=1,0,Inputs!$B$12)</f>
        <v>75</v>
      </c>
      <c r="N958" s="15" t="n">
        <f aca="false">IF(J958=1,0,IF(OR(AND(OR(B958="SITE LOSS",B958="REGION LOSS"),K958=1),AND(B958="ROLE COMPROMISE",H958=C958)),Inputs!$B$13,Inputs!$B$14))</f>
        <v>10</v>
      </c>
      <c r="O958" s="15" t="n">
        <f aca="false">IF(J958=1,0,Inputs!$B$13)</f>
        <v>20</v>
      </c>
      <c r="P958" s="15" t="n">
        <f aca="false">SUM(M958:N958)</f>
        <v>85</v>
      </c>
      <c r="Q958" s="15" t="n">
        <f aca="false">IF(J958=1,"",L958-P958)</f>
        <v>15</v>
      </c>
      <c r="R958" s="15" t="n">
        <f aca="false">IF(OR(J958=1,M958&lt;=Inputs!$B$12),1,0)</f>
        <v>1</v>
      </c>
      <c r="S958" s="15" t="n">
        <f aca="false">IF(OR(J958=1,N958&lt;=O958),1,0)</f>
        <v>1</v>
      </c>
      <c r="T958" s="15" t="str">
        <f aca="false">IF(J958=1,"OFFLINE",IF(AND(Q958&gt;=Inputs!$B$15,R958=1,S958=1,P958&lt;=L958),"PASS","FAIL"))</f>
        <v>PASS</v>
      </c>
    </row>
    <row r="959" customFormat="false" ht="15" hidden="false" customHeight="false" outlineLevel="0" collapsed="false">
      <c r="A959" s="14" t="s">
        <v>1027</v>
      </c>
      <c r="B959" s="14" t="s">
        <v>1019</v>
      </c>
      <c r="C959" s="14" t="s">
        <v>180</v>
      </c>
      <c r="D959" s="14" t="s">
        <v>196</v>
      </c>
      <c r="E959" s="14" t="s">
        <v>172</v>
      </c>
      <c r="F959" s="14" t="s">
        <v>191</v>
      </c>
      <c r="G959" s="14" t="n">
        <v>3</v>
      </c>
      <c r="H959" s="14" t="s">
        <v>158</v>
      </c>
      <c r="I959" s="14" t="s">
        <v>897</v>
      </c>
      <c r="J959" s="15" t="n">
        <f aca="false">IF(B959="SITE LOSS",IF(D959=C959,1,0),IF(B959="REGION LOSS",IF(E959=C959,1,0),0))</f>
        <v>0</v>
      </c>
      <c r="K959" s="15" t="n">
        <f aca="false">IF(B959="SITE LOSS",IF(COUNTIFS('Site Dockets'!$B$7:$B$24,C959,'Site Dockets'!$C$7:$C$24,F959)&gt;0,1,0),IF(B959="REGION LOSS",IF(COUNTIFS('Site Dockets'!$E$7:$E$24,C959,'Site Dockets'!$C$7:$C$24,F959)&gt;0,1,0),0))</f>
        <v>0</v>
      </c>
      <c r="L959" s="15" t="n">
        <f aca="false">IF(J959=1,0,Inputs!$B$11)</f>
        <v>100</v>
      </c>
      <c r="M959" s="15" t="n">
        <f aca="false">IF(J959=1,0,Inputs!$B$12)</f>
        <v>75</v>
      </c>
      <c r="N959" s="15" t="n">
        <f aca="false">IF(J959=1,0,IF(OR(AND(OR(B959="SITE LOSS",B959="REGION LOSS"),K959=1),AND(B959="ROLE COMPROMISE",H959=C959)),Inputs!$B$13,Inputs!$B$14))</f>
        <v>10</v>
      </c>
      <c r="O959" s="15" t="n">
        <f aca="false">IF(J959=1,0,Inputs!$B$13)</f>
        <v>20</v>
      </c>
      <c r="P959" s="15" t="n">
        <f aca="false">SUM(M959:N959)</f>
        <v>85</v>
      </c>
      <c r="Q959" s="15" t="n">
        <f aca="false">IF(J959=1,"",L959-P959)</f>
        <v>15</v>
      </c>
      <c r="R959" s="15" t="n">
        <f aca="false">IF(OR(J959=1,M959&lt;=Inputs!$B$12),1,0)</f>
        <v>1</v>
      </c>
      <c r="S959" s="15" t="n">
        <f aca="false">IF(OR(J959=1,N959&lt;=O959),1,0)</f>
        <v>1</v>
      </c>
      <c r="T959" s="15" t="str">
        <f aca="false">IF(J959=1,"OFFLINE",IF(AND(Q959&gt;=Inputs!$B$15,R959=1,S959=1,P959&lt;=L959),"PASS","FAIL"))</f>
        <v>PASS</v>
      </c>
    </row>
    <row r="960" customFormat="false" ht="15" hidden="false" customHeight="false" outlineLevel="0" collapsed="false">
      <c r="A960" s="14" t="s">
        <v>1027</v>
      </c>
      <c r="B960" s="14" t="s">
        <v>1019</v>
      </c>
      <c r="C960" s="14" t="s">
        <v>180</v>
      </c>
      <c r="D960" s="14" t="s">
        <v>196</v>
      </c>
      <c r="E960" s="14" t="s">
        <v>172</v>
      </c>
      <c r="F960" s="14" t="s">
        <v>191</v>
      </c>
      <c r="G960" s="14" t="n">
        <v>3</v>
      </c>
      <c r="H960" s="14" t="s">
        <v>158</v>
      </c>
      <c r="I960" s="14" t="s">
        <v>899</v>
      </c>
      <c r="J960" s="15" t="n">
        <f aca="false">IF(B960="SITE LOSS",IF(D960=C960,1,0),IF(B960="REGION LOSS",IF(E960=C960,1,0),0))</f>
        <v>0</v>
      </c>
      <c r="K960" s="15" t="n">
        <f aca="false">IF(B960="SITE LOSS",IF(COUNTIFS('Site Dockets'!$B$7:$B$24,C960,'Site Dockets'!$C$7:$C$24,F960)&gt;0,1,0),IF(B960="REGION LOSS",IF(COUNTIFS('Site Dockets'!$E$7:$E$24,C960,'Site Dockets'!$C$7:$C$24,F960)&gt;0,1,0),0))</f>
        <v>0</v>
      </c>
      <c r="L960" s="15" t="n">
        <f aca="false">IF(J960=1,0,Inputs!$B$11)</f>
        <v>100</v>
      </c>
      <c r="M960" s="15" t="n">
        <f aca="false">IF(J960=1,0,Inputs!$B$12)</f>
        <v>75</v>
      </c>
      <c r="N960" s="15" t="n">
        <f aca="false">IF(J960=1,0,IF(OR(AND(OR(B960="SITE LOSS",B960="REGION LOSS"),K960=1),AND(B960="ROLE COMPROMISE",H960=C960)),Inputs!$B$13,Inputs!$B$14))</f>
        <v>10</v>
      </c>
      <c r="O960" s="15" t="n">
        <f aca="false">IF(J960=1,0,Inputs!$B$13)</f>
        <v>20</v>
      </c>
      <c r="P960" s="15" t="n">
        <f aca="false">SUM(M960:N960)</f>
        <v>85</v>
      </c>
      <c r="Q960" s="15" t="n">
        <f aca="false">IF(J960=1,"",L960-P960)</f>
        <v>15</v>
      </c>
      <c r="R960" s="15" t="n">
        <f aca="false">IF(OR(J960=1,M960&lt;=Inputs!$B$12),1,0)</f>
        <v>1</v>
      </c>
      <c r="S960" s="15" t="n">
        <f aca="false">IF(OR(J960=1,N960&lt;=O960),1,0)</f>
        <v>1</v>
      </c>
      <c r="T960" s="15" t="str">
        <f aca="false">IF(J960=1,"OFFLINE",IF(AND(Q960&gt;=Inputs!$B$15,R960=1,S960=1,P960&lt;=L960),"PASS","FAIL"))</f>
        <v>PASS</v>
      </c>
    </row>
    <row r="961" customFormat="false" ht="15" hidden="false" customHeight="false" outlineLevel="0" collapsed="false">
      <c r="A961" s="14" t="s">
        <v>1027</v>
      </c>
      <c r="B961" s="14" t="s">
        <v>1019</v>
      </c>
      <c r="C961" s="14" t="s">
        <v>180</v>
      </c>
      <c r="D961" s="14" t="s">
        <v>198</v>
      </c>
      <c r="E961" s="14" t="s">
        <v>166</v>
      </c>
      <c r="F961" s="14" t="s">
        <v>199</v>
      </c>
      <c r="G961" s="14" t="n">
        <v>1</v>
      </c>
      <c r="H961" s="14" t="s">
        <v>154</v>
      </c>
      <c r="I961" s="14" t="s">
        <v>890</v>
      </c>
      <c r="J961" s="15" t="n">
        <f aca="false">IF(B961="SITE LOSS",IF(D961=C961,1,0),IF(B961="REGION LOSS",IF(E961=C961,1,0),0))</f>
        <v>0</v>
      </c>
      <c r="K961" s="15" t="n">
        <f aca="false">IF(B961="SITE LOSS",IF(COUNTIFS('Site Dockets'!$B$7:$B$24,C961,'Site Dockets'!$C$7:$C$24,F961)&gt;0,1,0),IF(B961="REGION LOSS",IF(COUNTIFS('Site Dockets'!$E$7:$E$24,C961,'Site Dockets'!$C$7:$C$24,F961)&gt;0,1,0),0))</f>
        <v>0</v>
      </c>
      <c r="L961" s="15" t="n">
        <f aca="false">IF(J961=1,0,Inputs!$B$11)</f>
        <v>100</v>
      </c>
      <c r="M961" s="15" t="n">
        <f aca="false">IF(J961=1,0,Inputs!$B$12)</f>
        <v>75</v>
      </c>
      <c r="N961" s="15" t="n">
        <f aca="false">IF(J961=1,0,IF(OR(AND(OR(B961="SITE LOSS",B961="REGION LOSS"),K961=1),AND(B961="ROLE COMPROMISE",H961=C961)),Inputs!$B$13,Inputs!$B$14))</f>
        <v>10</v>
      </c>
      <c r="O961" s="15" t="n">
        <f aca="false">IF(J961=1,0,Inputs!$B$13)</f>
        <v>20</v>
      </c>
      <c r="P961" s="15" t="n">
        <f aca="false">SUM(M961:N961)</f>
        <v>85</v>
      </c>
      <c r="Q961" s="15" t="n">
        <f aca="false">IF(J961=1,"",L961-P961)</f>
        <v>15</v>
      </c>
      <c r="R961" s="15" t="n">
        <f aca="false">IF(OR(J961=1,M961&lt;=Inputs!$B$12),1,0)</f>
        <v>1</v>
      </c>
      <c r="S961" s="15" t="n">
        <f aca="false">IF(OR(J961=1,N961&lt;=O961),1,0)</f>
        <v>1</v>
      </c>
      <c r="T961" s="15" t="str">
        <f aca="false">IF(J961=1,"OFFLINE",IF(AND(Q961&gt;=Inputs!$B$15,R961=1,S961=1,P961&lt;=L961),"PASS","FAIL"))</f>
        <v>PASS</v>
      </c>
    </row>
    <row r="962" customFormat="false" ht="15" hidden="false" customHeight="false" outlineLevel="0" collapsed="false">
      <c r="A962" s="14" t="s">
        <v>1027</v>
      </c>
      <c r="B962" s="14" t="s">
        <v>1019</v>
      </c>
      <c r="C962" s="14" t="s">
        <v>180</v>
      </c>
      <c r="D962" s="14" t="s">
        <v>198</v>
      </c>
      <c r="E962" s="14" t="s">
        <v>166</v>
      </c>
      <c r="F962" s="14" t="s">
        <v>199</v>
      </c>
      <c r="G962" s="14" t="n">
        <v>1</v>
      </c>
      <c r="H962" s="14" t="s">
        <v>154</v>
      </c>
      <c r="I962" s="14" t="s">
        <v>892</v>
      </c>
      <c r="J962" s="15" t="n">
        <f aca="false">IF(B962="SITE LOSS",IF(D962=C962,1,0),IF(B962="REGION LOSS",IF(E962=C962,1,0),0))</f>
        <v>0</v>
      </c>
      <c r="K962" s="15" t="n">
        <f aca="false">IF(B962="SITE LOSS",IF(COUNTIFS('Site Dockets'!$B$7:$B$24,C962,'Site Dockets'!$C$7:$C$24,F962)&gt;0,1,0),IF(B962="REGION LOSS",IF(COUNTIFS('Site Dockets'!$E$7:$E$24,C962,'Site Dockets'!$C$7:$C$24,F962)&gt;0,1,0),0))</f>
        <v>0</v>
      </c>
      <c r="L962" s="15" t="n">
        <f aca="false">IF(J962=1,0,Inputs!$B$11)</f>
        <v>100</v>
      </c>
      <c r="M962" s="15" t="n">
        <f aca="false">IF(J962=1,0,Inputs!$B$12)</f>
        <v>75</v>
      </c>
      <c r="N962" s="15" t="n">
        <f aca="false">IF(J962=1,0,IF(OR(AND(OR(B962="SITE LOSS",B962="REGION LOSS"),K962=1),AND(B962="ROLE COMPROMISE",H962=C962)),Inputs!$B$13,Inputs!$B$14))</f>
        <v>10</v>
      </c>
      <c r="O962" s="15" t="n">
        <f aca="false">IF(J962=1,0,Inputs!$B$13)</f>
        <v>20</v>
      </c>
      <c r="P962" s="15" t="n">
        <f aca="false">SUM(M962:N962)</f>
        <v>85</v>
      </c>
      <c r="Q962" s="15" t="n">
        <f aca="false">IF(J962=1,"",L962-P962)</f>
        <v>15</v>
      </c>
      <c r="R962" s="15" t="n">
        <f aca="false">IF(OR(J962=1,M962&lt;=Inputs!$B$12),1,0)</f>
        <v>1</v>
      </c>
      <c r="S962" s="15" t="n">
        <f aca="false">IF(OR(J962=1,N962&lt;=O962),1,0)</f>
        <v>1</v>
      </c>
      <c r="T962" s="15" t="str">
        <f aca="false">IF(J962=1,"OFFLINE",IF(AND(Q962&gt;=Inputs!$B$15,R962=1,S962=1,P962&lt;=L962),"PASS","FAIL"))</f>
        <v>PASS</v>
      </c>
    </row>
    <row r="963" customFormat="false" ht="15" hidden="false" customHeight="false" outlineLevel="0" collapsed="false">
      <c r="A963" s="14" t="s">
        <v>1027</v>
      </c>
      <c r="B963" s="14" t="s">
        <v>1019</v>
      </c>
      <c r="C963" s="14" t="s">
        <v>180</v>
      </c>
      <c r="D963" s="14" t="s">
        <v>198</v>
      </c>
      <c r="E963" s="14" t="s">
        <v>166</v>
      </c>
      <c r="F963" s="14" t="s">
        <v>199</v>
      </c>
      <c r="G963" s="14" t="n">
        <v>1</v>
      </c>
      <c r="H963" s="14" t="s">
        <v>154</v>
      </c>
      <c r="I963" s="14" t="s">
        <v>811</v>
      </c>
      <c r="J963" s="15" t="n">
        <f aca="false">IF(B963="SITE LOSS",IF(D963=C963,1,0),IF(B963="REGION LOSS",IF(E963=C963,1,0),0))</f>
        <v>0</v>
      </c>
      <c r="K963" s="15" t="n">
        <f aca="false">IF(B963="SITE LOSS",IF(COUNTIFS('Site Dockets'!$B$7:$B$24,C963,'Site Dockets'!$C$7:$C$24,F963)&gt;0,1,0),IF(B963="REGION LOSS",IF(COUNTIFS('Site Dockets'!$E$7:$E$24,C963,'Site Dockets'!$C$7:$C$24,F963)&gt;0,1,0),0))</f>
        <v>0</v>
      </c>
      <c r="L963" s="15" t="n">
        <f aca="false">IF(J963=1,0,Inputs!$B$11)</f>
        <v>100</v>
      </c>
      <c r="M963" s="15" t="n">
        <f aca="false">IF(J963=1,0,Inputs!$B$12)</f>
        <v>75</v>
      </c>
      <c r="N963" s="15" t="n">
        <f aca="false">IF(J963=1,0,IF(OR(AND(OR(B963="SITE LOSS",B963="REGION LOSS"),K963=1),AND(B963="ROLE COMPROMISE",H963=C963)),Inputs!$B$13,Inputs!$B$14))</f>
        <v>10</v>
      </c>
      <c r="O963" s="15" t="n">
        <f aca="false">IF(J963=1,0,Inputs!$B$13)</f>
        <v>20</v>
      </c>
      <c r="P963" s="15" t="n">
        <f aca="false">SUM(M963:N963)</f>
        <v>85</v>
      </c>
      <c r="Q963" s="15" t="n">
        <f aca="false">IF(J963=1,"",L963-P963)</f>
        <v>15</v>
      </c>
      <c r="R963" s="15" t="n">
        <f aca="false">IF(OR(J963=1,M963&lt;=Inputs!$B$12),1,0)</f>
        <v>1</v>
      </c>
      <c r="S963" s="15" t="n">
        <f aca="false">IF(OR(J963=1,N963&lt;=O963),1,0)</f>
        <v>1</v>
      </c>
      <c r="T963" s="15" t="str">
        <f aca="false">IF(J963=1,"OFFLINE",IF(AND(Q963&gt;=Inputs!$B$15,R963=1,S963=1,P963&lt;=L963),"PASS","FAIL"))</f>
        <v>PASS</v>
      </c>
    </row>
    <row r="964" customFormat="false" ht="15" hidden="false" customHeight="false" outlineLevel="0" collapsed="false">
      <c r="A964" s="14" t="s">
        <v>1027</v>
      </c>
      <c r="B964" s="14" t="s">
        <v>1019</v>
      </c>
      <c r="C964" s="14" t="s">
        <v>180</v>
      </c>
      <c r="D964" s="14" t="s">
        <v>198</v>
      </c>
      <c r="E964" s="14" t="s">
        <v>166</v>
      </c>
      <c r="F964" s="14" t="s">
        <v>199</v>
      </c>
      <c r="G964" s="14" t="n">
        <v>1</v>
      </c>
      <c r="H964" s="14" t="s">
        <v>154</v>
      </c>
      <c r="I964" s="14" t="s">
        <v>895</v>
      </c>
      <c r="J964" s="15" t="n">
        <f aca="false">IF(B964="SITE LOSS",IF(D964=C964,1,0),IF(B964="REGION LOSS",IF(E964=C964,1,0),0))</f>
        <v>0</v>
      </c>
      <c r="K964" s="15" t="n">
        <f aca="false">IF(B964="SITE LOSS",IF(COUNTIFS('Site Dockets'!$B$7:$B$24,C964,'Site Dockets'!$C$7:$C$24,F964)&gt;0,1,0),IF(B964="REGION LOSS",IF(COUNTIFS('Site Dockets'!$E$7:$E$24,C964,'Site Dockets'!$C$7:$C$24,F964)&gt;0,1,0),0))</f>
        <v>0</v>
      </c>
      <c r="L964" s="15" t="n">
        <f aca="false">IF(J964=1,0,Inputs!$B$11)</f>
        <v>100</v>
      </c>
      <c r="M964" s="15" t="n">
        <f aca="false">IF(J964=1,0,Inputs!$B$12)</f>
        <v>75</v>
      </c>
      <c r="N964" s="15" t="n">
        <f aca="false">IF(J964=1,0,IF(OR(AND(OR(B964="SITE LOSS",B964="REGION LOSS"),K964=1),AND(B964="ROLE COMPROMISE",H964=C964)),Inputs!$B$13,Inputs!$B$14))</f>
        <v>10</v>
      </c>
      <c r="O964" s="15" t="n">
        <f aca="false">IF(J964=1,0,Inputs!$B$13)</f>
        <v>20</v>
      </c>
      <c r="P964" s="15" t="n">
        <f aca="false">SUM(M964:N964)</f>
        <v>85</v>
      </c>
      <c r="Q964" s="15" t="n">
        <f aca="false">IF(J964=1,"",L964-P964)</f>
        <v>15</v>
      </c>
      <c r="R964" s="15" t="n">
        <f aca="false">IF(OR(J964=1,M964&lt;=Inputs!$B$12),1,0)</f>
        <v>1</v>
      </c>
      <c r="S964" s="15" t="n">
        <f aca="false">IF(OR(J964=1,N964&lt;=O964),1,0)</f>
        <v>1</v>
      </c>
      <c r="T964" s="15" t="str">
        <f aca="false">IF(J964=1,"OFFLINE",IF(AND(Q964&gt;=Inputs!$B$15,R964=1,S964=1,P964&lt;=L964),"PASS","FAIL"))</f>
        <v>PASS</v>
      </c>
    </row>
    <row r="965" customFormat="false" ht="15" hidden="false" customHeight="false" outlineLevel="0" collapsed="false">
      <c r="A965" s="14" t="s">
        <v>1027</v>
      </c>
      <c r="B965" s="14" t="s">
        <v>1019</v>
      </c>
      <c r="C965" s="14" t="s">
        <v>180</v>
      </c>
      <c r="D965" s="14" t="s">
        <v>198</v>
      </c>
      <c r="E965" s="14" t="s">
        <v>166</v>
      </c>
      <c r="F965" s="14" t="s">
        <v>199</v>
      </c>
      <c r="G965" s="14" t="n">
        <v>1</v>
      </c>
      <c r="H965" s="14" t="s">
        <v>154</v>
      </c>
      <c r="I965" s="14" t="s">
        <v>897</v>
      </c>
      <c r="J965" s="15" t="n">
        <f aca="false">IF(B965="SITE LOSS",IF(D965=C965,1,0),IF(B965="REGION LOSS",IF(E965=C965,1,0),0))</f>
        <v>0</v>
      </c>
      <c r="K965" s="15" t="n">
        <f aca="false">IF(B965="SITE LOSS",IF(COUNTIFS('Site Dockets'!$B$7:$B$24,C965,'Site Dockets'!$C$7:$C$24,F965)&gt;0,1,0),IF(B965="REGION LOSS",IF(COUNTIFS('Site Dockets'!$E$7:$E$24,C965,'Site Dockets'!$C$7:$C$24,F965)&gt;0,1,0),0))</f>
        <v>0</v>
      </c>
      <c r="L965" s="15" t="n">
        <f aca="false">IF(J965=1,0,Inputs!$B$11)</f>
        <v>100</v>
      </c>
      <c r="M965" s="15" t="n">
        <f aca="false">IF(J965=1,0,Inputs!$B$12)</f>
        <v>75</v>
      </c>
      <c r="N965" s="15" t="n">
        <f aca="false">IF(J965=1,0,IF(OR(AND(OR(B965="SITE LOSS",B965="REGION LOSS"),K965=1),AND(B965="ROLE COMPROMISE",H965=C965)),Inputs!$B$13,Inputs!$B$14))</f>
        <v>10</v>
      </c>
      <c r="O965" s="15" t="n">
        <f aca="false">IF(J965=1,0,Inputs!$B$13)</f>
        <v>20</v>
      </c>
      <c r="P965" s="15" t="n">
        <f aca="false">SUM(M965:N965)</f>
        <v>85</v>
      </c>
      <c r="Q965" s="15" t="n">
        <f aca="false">IF(J965=1,"",L965-P965)</f>
        <v>15</v>
      </c>
      <c r="R965" s="15" t="n">
        <f aca="false">IF(OR(J965=1,M965&lt;=Inputs!$B$12),1,0)</f>
        <v>1</v>
      </c>
      <c r="S965" s="15" t="n">
        <f aca="false">IF(OR(J965=1,N965&lt;=O965),1,0)</f>
        <v>1</v>
      </c>
      <c r="T965" s="15" t="str">
        <f aca="false">IF(J965=1,"OFFLINE",IF(AND(Q965&gt;=Inputs!$B$15,R965=1,S965=1,P965&lt;=L965),"PASS","FAIL"))</f>
        <v>PASS</v>
      </c>
    </row>
    <row r="966" customFormat="false" ht="15" hidden="false" customHeight="false" outlineLevel="0" collapsed="false">
      <c r="A966" s="14" t="s">
        <v>1027</v>
      </c>
      <c r="B966" s="14" t="s">
        <v>1019</v>
      </c>
      <c r="C966" s="14" t="s">
        <v>180</v>
      </c>
      <c r="D966" s="14" t="s">
        <v>198</v>
      </c>
      <c r="E966" s="14" t="s">
        <v>166</v>
      </c>
      <c r="F966" s="14" t="s">
        <v>199</v>
      </c>
      <c r="G966" s="14" t="n">
        <v>1</v>
      </c>
      <c r="H966" s="14" t="s">
        <v>154</v>
      </c>
      <c r="I966" s="14" t="s">
        <v>899</v>
      </c>
      <c r="J966" s="15" t="n">
        <f aca="false">IF(B966="SITE LOSS",IF(D966=C966,1,0),IF(B966="REGION LOSS",IF(E966=C966,1,0),0))</f>
        <v>0</v>
      </c>
      <c r="K966" s="15" t="n">
        <f aca="false">IF(B966="SITE LOSS",IF(COUNTIFS('Site Dockets'!$B$7:$B$24,C966,'Site Dockets'!$C$7:$C$24,F966)&gt;0,1,0),IF(B966="REGION LOSS",IF(COUNTIFS('Site Dockets'!$E$7:$E$24,C966,'Site Dockets'!$C$7:$C$24,F966)&gt;0,1,0),0))</f>
        <v>0</v>
      </c>
      <c r="L966" s="15" t="n">
        <f aca="false">IF(J966=1,0,Inputs!$B$11)</f>
        <v>100</v>
      </c>
      <c r="M966" s="15" t="n">
        <f aca="false">IF(J966=1,0,Inputs!$B$12)</f>
        <v>75</v>
      </c>
      <c r="N966" s="15" t="n">
        <f aca="false">IF(J966=1,0,IF(OR(AND(OR(B966="SITE LOSS",B966="REGION LOSS"),K966=1),AND(B966="ROLE COMPROMISE",H966=C966)),Inputs!$B$13,Inputs!$B$14))</f>
        <v>10</v>
      </c>
      <c r="O966" s="15" t="n">
        <f aca="false">IF(J966=1,0,Inputs!$B$13)</f>
        <v>20</v>
      </c>
      <c r="P966" s="15" t="n">
        <f aca="false">SUM(M966:N966)</f>
        <v>85</v>
      </c>
      <c r="Q966" s="15" t="n">
        <f aca="false">IF(J966=1,"",L966-P966)</f>
        <v>15</v>
      </c>
      <c r="R966" s="15" t="n">
        <f aca="false">IF(OR(J966=1,M966&lt;=Inputs!$B$12),1,0)</f>
        <v>1</v>
      </c>
      <c r="S966" s="15" t="n">
        <f aca="false">IF(OR(J966=1,N966&lt;=O966),1,0)</f>
        <v>1</v>
      </c>
      <c r="T966" s="15" t="str">
        <f aca="false">IF(J966=1,"OFFLINE",IF(AND(Q966&gt;=Inputs!$B$15,R966=1,S966=1,P966&lt;=L966),"PASS","FAIL"))</f>
        <v>PASS</v>
      </c>
    </row>
    <row r="967" customFormat="false" ht="15" hidden="false" customHeight="false" outlineLevel="0" collapsed="false">
      <c r="A967" s="14" t="s">
        <v>1027</v>
      </c>
      <c r="B967" s="14" t="s">
        <v>1019</v>
      </c>
      <c r="C967" s="14" t="s">
        <v>180</v>
      </c>
      <c r="D967" s="14" t="s">
        <v>202</v>
      </c>
      <c r="E967" s="14" t="s">
        <v>157</v>
      </c>
      <c r="F967" s="14" t="s">
        <v>199</v>
      </c>
      <c r="G967" s="14" t="n">
        <v>2</v>
      </c>
      <c r="H967" s="14" t="s">
        <v>153</v>
      </c>
      <c r="I967" s="14" t="s">
        <v>890</v>
      </c>
      <c r="J967" s="15" t="n">
        <f aca="false">IF(B967="SITE LOSS",IF(D967=C967,1,0),IF(B967="REGION LOSS",IF(E967=C967,1,0),0))</f>
        <v>0</v>
      </c>
      <c r="K967" s="15" t="n">
        <f aca="false">IF(B967="SITE LOSS",IF(COUNTIFS('Site Dockets'!$B$7:$B$24,C967,'Site Dockets'!$C$7:$C$24,F967)&gt;0,1,0),IF(B967="REGION LOSS",IF(COUNTIFS('Site Dockets'!$E$7:$E$24,C967,'Site Dockets'!$C$7:$C$24,F967)&gt;0,1,0),0))</f>
        <v>0</v>
      </c>
      <c r="L967" s="15" t="n">
        <f aca="false">IF(J967=1,0,Inputs!$B$11)</f>
        <v>100</v>
      </c>
      <c r="M967" s="15" t="n">
        <f aca="false">IF(J967=1,0,Inputs!$B$12)</f>
        <v>75</v>
      </c>
      <c r="N967" s="15" t="n">
        <f aca="false">IF(J967=1,0,IF(OR(AND(OR(B967="SITE LOSS",B967="REGION LOSS"),K967=1),AND(B967="ROLE COMPROMISE",H967=C967)),Inputs!$B$13,Inputs!$B$14))</f>
        <v>10</v>
      </c>
      <c r="O967" s="15" t="n">
        <f aca="false">IF(J967=1,0,Inputs!$B$13)</f>
        <v>20</v>
      </c>
      <c r="P967" s="15" t="n">
        <f aca="false">SUM(M967:N967)</f>
        <v>85</v>
      </c>
      <c r="Q967" s="15" t="n">
        <f aca="false">IF(J967=1,"",L967-P967)</f>
        <v>15</v>
      </c>
      <c r="R967" s="15" t="n">
        <f aca="false">IF(OR(J967=1,M967&lt;=Inputs!$B$12),1,0)</f>
        <v>1</v>
      </c>
      <c r="S967" s="15" t="n">
        <f aca="false">IF(OR(J967=1,N967&lt;=O967),1,0)</f>
        <v>1</v>
      </c>
      <c r="T967" s="15" t="str">
        <f aca="false">IF(J967=1,"OFFLINE",IF(AND(Q967&gt;=Inputs!$B$15,R967=1,S967=1,P967&lt;=L967),"PASS","FAIL"))</f>
        <v>PASS</v>
      </c>
    </row>
    <row r="968" customFormat="false" ht="15" hidden="false" customHeight="false" outlineLevel="0" collapsed="false">
      <c r="A968" s="14" t="s">
        <v>1027</v>
      </c>
      <c r="B968" s="14" t="s">
        <v>1019</v>
      </c>
      <c r="C968" s="14" t="s">
        <v>180</v>
      </c>
      <c r="D968" s="14" t="s">
        <v>202</v>
      </c>
      <c r="E968" s="14" t="s">
        <v>157</v>
      </c>
      <c r="F968" s="14" t="s">
        <v>199</v>
      </c>
      <c r="G968" s="14" t="n">
        <v>2</v>
      </c>
      <c r="H968" s="14" t="s">
        <v>153</v>
      </c>
      <c r="I968" s="14" t="s">
        <v>892</v>
      </c>
      <c r="J968" s="15" t="n">
        <f aca="false">IF(B968="SITE LOSS",IF(D968=C968,1,0),IF(B968="REGION LOSS",IF(E968=C968,1,0),0))</f>
        <v>0</v>
      </c>
      <c r="K968" s="15" t="n">
        <f aca="false">IF(B968="SITE LOSS",IF(COUNTIFS('Site Dockets'!$B$7:$B$24,C968,'Site Dockets'!$C$7:$C$24,F968)&gt;0,1,0),IF(B968="REGION LOSS",IF(COUNTIFS('Site Dockets'!$E$7:$E$24,C968,'Site Dockets'!$C$7:$C$24,F968)&gt;0,1,0),0))</f>
        <v>0</v>
      </c>
      <c r="L968" s="15" t="n">
        <f aca="false">IF(J968=1,0,Inputs!$B$11)</f>
        <v>100</v>
      </c>
      <c r="M968" s="15" t="n">
        <f aca="false">IF(J968=1,0,Inputs!$B$12)</f>
        <v>75</v>
      </c>
      <c r="N968" s="15" t="n">
        <f aca="false">IF(J968=1,0,IF(OR(AND(OR(B968="SITE LOSS",B968="REGION LOSS"),K968=1),AND(B968="ROLE COMPROMISE",H968=C968)),Inputs!$B$13,Inputs!$B$14))</f>
        <v>10</v>
      </c>
      <c r="O968" s="15" t="n">
        <f aca="false">IF(J968=1,0,Inputs!$B$13)</f>
        <v>20</v>
      </c>
      <c r="P968" s="15" t="n">
        <f aca="false">SUM(M968:N968)</f>
        <v>85</v>
      </c>
      <c r="Q968" s="15" t="n">
        <f aca="false">IF(J968=1,"",L968-P968)</f>
        <v>15</v>
      </c>
      <c r="R968" s="15" t="n">
        <f aca="false">IF(OR(J968=1,M968&lt;=Inputs!$B$12),1,0)</f>
        <v>1</v>
      </c>
      <c r="S968" s="15" t="n">
        <f aca="false">IF(OR(J968=1,N968&lt;=O968),1,0)</f>
        <v>1</v>
      </c>
      <c r="T968" s="15" t="str">
        <f aca="false">IF(J968=1,"OFFLINE",IF(AND(Q968&gt;=Inputs!$B$15,R968=1,S968=1,P968&lt;=L968),"PASS","FAIL"))</f>
        <v>PASS</v>
      </c>
    </row>
    <row r="969" customFormat="false" ht="15" hidden="false" customHeight="false" outlineLevel="0" collapsed="false">
      <c r="A969" s="14" t="s">
        <v>1027</v>
      </c>
      <c r="B969" s="14" t="s">
        <v>1019</v>
      </c>
      <c r="C969" s="14" t="s">
        <v>180</v>
      </c>
      <c r="D969" s="14" t="s">
        <v>202</v>
      </c>
      <c r="E969" s="14" t="s">
        <v>157</v>
      </c>
      <c r="F969" s="14" t="s">
        <v>199</v>
      </c>
      <c r="G969" s="14" t="n">
        <v>2</v>
      </c>
      <c r="H969" s="14" t="s">
        <v>153</v>
      </c>
      <c r="I969" s="14" t="s">
        <v>811</v>
      </c>
      <c r="J969" s="15" t="n">
        <f aca="false">IF(B969="SITE LOSS",IF(D969=C969,1,0),IF(B969="REGION LOSS",IF(E969=C969,1,0),0))</f>
        <v>0</v>
      </c>
      <c r="K969" s="15" t="n">
        <f aca="false">IF(B969="SITE LOSS",IF(COUNTIFS('Site Dockets'!$B$7:$B$24,C969,'Site Dockets'!$C$7:$C$24,F969)&gt;0,1,0),IF(B969="REGION LOSS",IF(COUNTIFS('Site Dockets'!$E$7:$E$24,C969,'Site Dockets'!$C$7:$C$24,F969)&gt;0,1,0),0))</f>
        <v>0</v>
      </c>
      <c r="L969" s="15" t="n">
        <f aca="false">IF(J969=1,0,Inputs!$B$11)</f>
        <v>100</v>
      </c>
      <c r="M969" s="15" t="n">
        <f aca="false">IF(J969=1,0,Inputs!$B$12)</f>
        <v>75</v>
      </c>
      <c r="N969" s="15" t="n">
        <f aca="false">IF(J969=1,0,IF(OR(AND(OR(B969="SITE LOSS",B969="REGION LOSS"),K969=1),AND(B969="ROLE COMPROMISE",H969=C969)),Inputs!$B$13,Inputs!$B$14))</f>
        <v>10</v>
      </c>
      <c r="O969" s="15" t="n">
        <f aca="false">IF(J969=1,0,Inputs!$B$13)</f>
        <v>20</v>
      </c>
      <c r="P969" s="15" t="n">
        <f aca="false">SUM(M969:N969)</f>
        <v>85</v>
      </c>
      <c r="Q969" s="15" t="n">
        <f aca="false">IF(J969=1,"",L969-P969)</f>
        <v>15</v>
      </c>
      <c r="R969" s="15" t="n">
        <f aca="false">IF(OR(J969=1,M969&lt;=Inputs!$B$12),1,0)</f>
        <v>1</v>
      </c>
      <c r="S969" s="15" t="n">
        <f aca="false">IF(OR(J969=1,N969&lt;=O969),1,0)</f>
        <v>1</v>
      </c>
      <c r="T969" s="15" t="str">
        <f aca="false">IF(J969=1,"OFFLINE",IF(AND(Q969&gt;=Inputs!$B$15,R969=1,S969=1,P969&lt;=L969),"PASS","FAIL"))</f>
        <v>PASS</v>
      </c>
    </row>
    <row r="970" customFormat="false" ht="15" hidden="false" customHeight="false" outlineLevel="0" collapsed="false">
      <c r="A970" s="14" t="s">
        <v>1027</v>
      </c>
      <c r="B970" s="14" t="s">
        <v>1019</v>
      </c>
      <c r="C970" s="14" t="s">
        <v>180</v>
      </c>
      <c r="D970" s="14" t="s">
        <v>202</v>
      </c>
      <c r="E970" s="14" t="s">
        <v>157</v>
      </c>
      <c r="F970" s="14" t="s">
        <v>199</v>
      </c>
      <c r="G970" s="14" t="n">
        <v>2</v>
      </c>
      <c r="H970" s="14" t="s">
        <v>153</v>
      </c>
      <c r="I970" s="14" t="s">
        <v>895</v>
      </c>
      <c r="J970" s="15" t="n">
        <f aca="false">IF(B970="SITE LOSS",IF(D970=C970,1,0),IF(B970="REGION LOSS",IF(E970=C970,1,0),0))</f>
        <v>0</v>
      </c>
      <c r="K970" s="15" t="n">
        <f aca="false">IF(B970="SITE LOSS",IF(COUNTIFS('Site Dockets'!$B$7:$B$24,C970,'Site Dockets'!$C$7:$C$24,F970)&gt;0,1,0),IF(B970="REGION LOSS",IF(COUNTIFS('Site Dockets'!$E$7:$E$24,C970,'Site Dockets'!$C$7:$C$24,F970)&gt;0,1,0),0))</f>
        <v>0</v>
      </c>
      <c r="L970" s="15" t="n">
        <f aca="false">IF(J970=1,0,Inputs!$B$11)</f>
        <v>100</v>
      </c>
      <c r="M970" s="15" t="n">
        <f aca="false">IF(J970=1,0,Inputs!$B$12)</f>
        <v>75</v>
      </c>
      <c r="N970" s="15" t="n">
        <f aca="false">IF(J970=1,0,IF(OR(AND(OR(B970="SITE LOSS",B970="REGION LOSS"),K970=1),AND(B970="ROLE COMPROMISE",H970=C970)),Inputs!$B$13,Inputs!$B$14))</f>
        <v>10</v>
      </c>
      <c r="O970" s="15" t="n">
        <f aca="false">IF(J970=1,0,Inputs!$B$13)</f>
        <v>20</v>
      </c>
      <c r="P970" s="15" t="n">
        <f aca="false">SUM(M970:N970)</f>
        <v>85</v>
      </c>
      <c r="Q970" s="15" t="n">
        <f aca="false">IF(J970=1,"",L970-P970)</f>
        <v>15</v>
      </c>
      <c r="R970" s="15" t="n">
        <f aca="false">IF(OR(J970=1,M970&lt;=Inputs!$B$12),1,0)</f>
        <v>1</v>
      </c>
      <c r="S970" s="15" t="n">
        <f aca="false">IF(OR(J970=1,N970&lt;=O970),1,0)</f>
        <v>1</v>
      </c>
      <c r="T970" s="15" t="str">
        <f aca="false">IF(J970=1,"OFFLINE",IF(AND(Q970&gt;=Inputs!$B$15,R970=1,S970=1,P970&lt;=L970),"PASS","FAIL"))</f>
        <v>PASS</v>
      </c>
    </row>
    <row r="971" customFormat="false" ht="15" hidden="false" customHeight="false" outlineLevel="0" collapsed="false">
      <c r="A971" s="14" t="s">
        <v>1027</v>
      </c>
      <c r="B971" s="14" t="s">
        <v>1019</v>
      </c>
      <c r="C971" s="14" t="s">
        <v>180</v>
      </c>
      <c r="D971" s="14" t="s">
        <v>202</v>
      </c>
      <c r="E971" s="14" t="s">
        <v>157</v>
      </c>
      <c r="F971" s="14" t="s">
        <v>199</v>
      </c>
      <c r="G971" s="14" t="n">
        <v>2</v>
      </c>
      <c r="H971" s="14" t="s">
        <v>153</v>
      </c>
      <c r="I971" s="14" t="s">
        <v>897</v>
      </c>
      <c r="J971" s="15" t="n">
        <f aca="false">IF(B971="SITE LOSS",IF(D971=C971,1,0),IF(B971="REGION LOSS",IF(E971=C971,1,0),0))</f>
        <v>0</v>
      </c>
      <c r="K971" s="15" t="n">
        <f aca="false">IF(B971="SITE LOSS",IF(COUNTIFS('Site Dockets'!$B$7:$B$24,C971,'Site Dockets'!$C$7:$C$24,F971)&gt;0,1,0),IF(B971="REGION LOSS",IF(COUNTIFS('Site Dockets'!$E$7:$E$24,C971,'Site Dockets'!$C$7:$C$24,F971)&gt;0,1,0),0))</f>
        <v>0</v>
      </c>
      <c r="L971" s="15" t="n">
        <f aca="false">IF(J971=1,0,Inputs!$B$11)</f>
        <v>100</v>
      </c>
      <c r="M971" s="15" t="n">
        <f aca="false">IF(J971=1,0,Inputs!$B$12)</f>
        <v>75</v>
      </c>
      <c r="N971" s="15" t="n">
        <f aca="false">IF(J971=1,0,IF(OR(AND(OR(B971="SITE LOSS",B971="REGION LOSS"),K971=1),AND(B971="ROLE COMPROMISE",H971=C971)),Inputs!$B$13,Inputs!$B$14))</f>
        <v>10</v>
      </c>
      <c r="O971" s="15" t="n">
        <f aca="false">IF(J971=1,0,Inputs!$B$13)</f>
        <v>20</v>
      </c>
      <c r="P971" s="15" t="n">
        <f aca="false">SUM(M971:N971)</f>
        <v>85</v>
      </c>
      <c r="Q971" s="15" t="n">
        <f aca="false">IF(J971=1,"",L971-P971)</f>
        <v>15</v>
      </c>
      <c r="R971" s="15" t="n">
        <f aca="false">IF(OR(J971=1,M971&lt;=Inputs!$B$12),1,0)</f>
        <v>1</v>
      </c>
      <c r="S971" s="15" t="n">
        <f aca="false">IF(OR(J971=1,N971&lt;=O971),1,0)</f>
        <v>1</v>
      </c>
      <c r="T971" s="15" t="str">
        <f aca="false">IF(J971=1,"OFFLINE",IF(AND(Q971&gt;=Inputs!$B$15,R971=1,S971=1,P971&lt;=L971),"PASS","FAIL"))</f>
        <v>PASS</v>
      </c>
    </row>
    <row r="972" customFormat="false" ht="15" hidden="false" customHeight="false" outlineLevel="0" collapsed="false">
      <c r="A972" s="14" t="s">
        <v>1027</v>
      </c>
      <c r="B972" s="14" t="s">
        <v>1019</v>
      </c>
      <c r="C972" s="14" t="s">
        <v>180</v>
      </c>
      <c r="D972" s="14" t="s">
        <v>202</v>
      </c>
      <c r="E972" s="14" t="s">
        <v>157</v>
      </c>
      <c r="F972" s="14" t="s">
        <v>199</v>
      </c>
      <c r="G972" s="14" t="n">
        <v>2</v>
      </c>
      <c r="H972" s="14" t="s">
        <v>153</v>
      </c>
      <c r="I972" s="14" t="s">
        <v>899</v>
      </c>
      <c r="J972" s="15" t="n">
        <f aca="false">IF(B972="SITE LOSS",IF(D972=C972,1,0),IF(B972="REGION LOSS",IF(E972=C972,1,0),0))</f>
        <v>0</v>
      </c>
      <c r="K972" s="15" t="n">
        <f aca="false">IF(B972="SITE LOSS",IF(COUNTIFS('Site Dockets'!$B$7:$B$24,C972,'Site Dockets'!$C$7:$C$24,F972)&gt;0,1,0),IF(B972="REGION LOSS",IF(COUNTIFS('Site Dockets'!$E$7:$E$24,C972,'Site Dockets'!$C$7:$C$24,F972)&gt;0,1,0),0))</f>
        <v>0</v>
      </c>
      <c r="L972" s="15" t="n">
        <f aca="false">IF(J972=1,0,Inputs!$B$11)</f>
        <v>100</v>
      </c>
      <c r="M972" s="15" t="n">
        <f aca="false">IF(J972=1,0,Inputs!$B$12)</f>
        <v>75</v>
      </c>
      <c r="N972" s="15" t="n">
        <f aca="false">IF(J972=1,0,IF(OR(AND(OR(B972="SITE LOSS",B972="REGION LOSS"),K972=1),AND(B972="ROLE COMPROMISE",H972=C972)),Inputs!$B$13,Inputs!$B$14))</f>
        <v>10</v>
      </c>
      <c r="O972" s="15" t="n">
        <f aca="false">IF(J972=1,0,Inputs!$B$13)</f>
        <v>20</v>
      </c>
      <c r="P972" s="15" t="n">
        <f aca="false">SUM(M972:N972)</f>
        <v>85</v>
      </c>
      <c r="Q972" s="15" t="n">
        <f aca="false">IF(J972=1,"",L972-P972)</f>
        <v>15</v>
      </c>
      <c r="R972" s="15" t="n">
        <f aca="false">IF(OR(J972=1,M972&lt;=Inputs!$B$12),1,0)</f>
        <v>1</v>
      </c>
      <c r="S972" s="15" t="n">
        <f aca="false">IF(OR(J972=1,N972&lt;=O972),1,0)</f>
        <v>1</v>
      </c>
      <c r="T972" s="15" t="str">
        <f aca="false">IF(J972=1,"OFFLINE",IF(AND(Q972&gt;=Inputs!$B$15,R972=1,S972=1,P972&lt;=L972),"PASS","FAIL"))</f>
        <v>PASS</v>
      </c>
    </row>
    <row r="973" customFormat="false" ht="15" hidden="false" customHeight="false" outlineLevel="0" collapsed="false">
      <c r="A973" s="14" t="s">
        <v>1027</v>
      </c>
      <c r="B973" s="14" t="s">
        <v>1019</v>
      </c>
      <c r="C973" s="14" t="s">
        <v>180</v>
      </c>
      <c r="D973" s="14" t="s">
        <v>204</v>
      </c>
      <c r="E973" s="14" t="s">
        <v>161</v>
      </c>
      <c r="F973" s="14" t="s">
        <v>199</v>
      </c>
      <c r="G973" s="14" t="n">
        <v>3</v>
      </c>
      <c r="H973" s="14" t="s">
        <v>158</v>
      </c>
      <c r="I973" s="14" t="s">
        <v>890</v>
      </c>
      <c r="J973" s="15" t="n">
        <f aca="false">IF(B973="SITE LOSS",IF(D973=C973,1,0),IF(B973="REGION LOSS",IF(E973=C973,1,0),0))</f>
        <v>0</v>
      </c>
      <c r="K973" s="15" t="n">
        <f aca="false">IF(B973="SITE LOSS",IF(COUNTIFS('Site Dockets'!$B$7:$B$24,C973,'Site Dockets'!$C$7:$C$24,F973)&gt;0,1,0),IF(B973="REGION LOSS",IF(COUNTIFS('Site Dockets'!$E$7:$E$24,C973,'Site Dockets'!$C$7:$C$24,F973)&gt;0,1,0),0))</f>
        <v>0</v>
      </c>
      <c r="L973" s="15" t="n">
        <f aca="false">IF(J973=1,0,Inputs!$B$11)</f>
        <v>100</v>
      </c>
      <c r="M973" s="15" t="n">
        <f aca="false">IF(J973=1,0,Inputs!$B$12)</f>
        <v>75</v>
      </c>
      <c r="N973" s="15" t="n">
        <f aca="false">IF(J973=1,0,IF(OR(AND(OR(B973="SITE LOSS",B973="REGION LOSS"),K973=1),AND(B973="ROLE COMPROMISE",H973=C973)),Inputs!$B$13,Inputs!$B$14))</f>
        <v>10</v>
      </c>
      <c r="O973" s="15" t="n">
        <f aca="false">IF(J973=1,0,Inputs!$B$13)</f>
        <v>20</v>
      </c>
      <c r="P973" s="15" t="n">
        <f aca="false">SUM(M973:N973)</f>
        <v>85</v>
      </c>
      <c r="Q973" s="15" t="n">
        <f aca="false">IF(J973=1,"",L973-P973)</f>
        <v>15</v>
      </c>
      <c r="R973" s="15" t="n">
        <f aca="false">IF(OR(J973=1,M973&lt;=Inputs!$B$12),1,0)</f>
        <v>1</v>
      </c>
      <c r="S973" s="15" t="n">
        <f aca="false">IF(OR(J973=1,N973&lt;=O973),1,0)</f>
        <v>1</v>
      </c>
      <c r="T973" s="15" t="str">
        <f aca="false">IF(J973=1,"OFFLINE",IF(AND(Q973&gt;=Inputs!$B$15,R973=1,S973=1,P973&lt;=L973),"PASS","FAIL"))</f>
        <v>PASS</v>
      </c>
    </row>
    <row r="974" customFormat="false" ht="15" hidden="false" customHeight="false" outlineLevel="0" collapsed="false">
      <c r="A974" s="14" t="s">
        <v>1027</v>
      </c>
      <c r="B974" s="14" t="s">
        <v>1019</v>
      </c>
      <c r="C974" s="14" t="s">
        <v>180</v>
      </c>
      <c r="D974" s="14" t="s">
        <v>204</v>
      </c>
      <c r="E974" s="14" t="s">
        <v>161</v>
      </c>
      <c r="F974" s="14" t="s">
        <v>199</v>
      </c>
      <c r="G974" s="14" t="n">
        <v>3</v>
      </c>
      <c r="H974" s="14" t="s">
        <v>158</v>
      </c>
      <c r="I974" s="14" t="s">
        <v>892</v>
      </c>
      <c r="J974" s="15" t="n">
        <f aca="false">IF(B974="SITE LOSS",IF(D974=C974,1,0),IF(B974="REGION LOSS",IF(E974=C974,1,0),0))</f>
        <v>0</v>
      </c>
      <c r="K974" s="15" t="n">
        <f aca="false">IF(B974="SITE LOSS",IF(COUNTIFS('Site Dockets'!$B$7:$B$24,C974,'Site Dockets'!$C$7:$C$24,F974)&gt;0,1,0),IF(B974="REGION LOSS",IF(COUNTIFS('Site Dockets'!$E$7:$E$24,C974,'Site Dockets'!$C$7:$C$24,F974)&gt;0,1,0),0))</f>
        <v>0</v>
      </c>
      <c r="L974" s="15" t="n">
        <f aca="false">IF(J974=1,0,Inputs!$B$11)</f>
        <v>100</v>
      </c>
      <c r="M974" s="15" t="n">
        <f aca="false">IF(J974=1,0,Inputs!$B$12)</f>
        <v>75</v>
      </c>
      <c r="N974" s="15" t="n">
        <f aca="false">IF(J974=1,0,IF(OR(AND(OR(B974="SITE LOSS",B974="REGION LOSS"),K974=1),AND(B974="ROLE COMPROMISE",H974=C974)),Inputs!$B$13,Inputs!$B$14))</f>
        <v>10</v>
      </c>
      <c r="O974" s="15" t="n">
        <f aca="false">IF(J974=1,0,Inputs!$B$13)</f>
        <v>20</v>
      </c>
      <c r="P974" s="15" t="n">
        <f aca="false">SUM(M974:N974)</f>
        <v>85</v>
      </c>
      <c r="Q974" s="15" t="n">
        <f aca="false">IF(J974=1,"",L974-P974)</f>
        <v>15</v>
      </c>
      <c r="R974" s="15" t="n">
        <f aca="false">IF(OR(J974=1,M974&lt;=Inputs!$B$12),1,0)</f>
        <v>1</v>
      </c>
      <c r="S974" s="15" t="n">
        <f aca="false">IF(OR(J974=1,N974&lt;=O974),1,0)</f>
        <v>1</v>
      </c>
      <c r="T974" s="15" t="str">
        <f aca="false">IF(J974=1,"OFFLINE",IF(AND(Q974&gt;=Inputs!$B$15,R974=1,S974=1,P974&lt;=L974),"PASS","FAIL"))</f>
        <v>PASS</v>
      </c>
    </row>
    <row r="975" customFormat="false" ht="15" hidden="false" customHeight="false" outlineLevel="0" collapsed="false">
      <c r="A975" s="14" t="s">
        <v>1027</v>
      </c>
      <c r="B975" s="14" t="s">
        <v>1019</v>
      </c>
      <c r="C975" s="14" t="s">
        <v>180</v>
      </c>
      <c r="D975" s="14" t="s">
        <v>204</v>
      </c>
      <c r="E975" s="14" t="s">
        <v>161</v>
      </c>
      <c r="F975" s="14" t="s">
        <v>199</v>
      </c>
      <c r="G975" s="14" t="n">
        <v>3</v>
      </c>
      <c r="H975" s="14" t="s">
        <v>158</v>
      </c>
      <c r="I975" s="14" t="s">
        <v>811</v>
      </c>
      <c r="J975" s="15" t="n">
        <f aca="false">IF(B975="SITE LOSS",IF(D975=C975,1,0),IF(B975="REGION LOSS",IF(E975=C975,1,0),0))</f>
        <v>0</v>
      </c>
      <c r="K975" s="15" t="n">
        <f aca="false">IF(B975="SITE LOSS",IF(COUNTIFS('Site Dockets'!$B$7:$B$24,C975,'Site Dockets'!$C$7:$C$24,F975)&gt;0,1,0),IF(B975="REGION LOSS",IF(COUNTIFS('Site Dockets'!$E$7:$E$24,C975,'Site Dockets'!$C$7:$C$24,F975)&gt;0,1,0),0))</f>
        <v>0</v>
      </c>
      <c r="L975" s="15" t="n">
        <f aca="false">IF(J975=1,0,Inputs!$B$11)</f>
        <v>100</v>
      </c>
      <c r="M975" s="15" t="n">
        <f aca="false">IF(J975=1,0,Inputs!$B$12)</f>
        <v>75</v>
      </c>
      <c r="N975" s="15" t="n">
        <f aca="false">IF(J975=1,0,IF(OR(AND(OR(B975="SITE LOSS",B975="REGION LOSS"),K975=1),AND(B975="ROLE COMPROMISE",H975=C975)),Inputs!$B$13,Inputs!$B$14))</f>
        <v>10</v>
      </c>
      <c r="O975" s="15" t="n">
        <f aca="false">IF(J975=1,0,Inputs!$B$13)</f>
        <v>20</v>
      </c>
      <c r="P975" s="15" t="n">
        <f aca="false">SUM(M975:N975)</f>
        <v>85</v>
      </c>
      <c r="Q975" s="15" t="n">
        <f aca="false">IF(J975=1,"",L975-P975)</f>
        <v>15</v>
      </c>
      <c r="R975" s="15" t="n">
        <f aca="false">IF(OR(J975=1,M975&lt;=Inputs!$B$12),1,0)</f>
        <v>1</v>
      </c>
      <c r="S975" s="15" t="n">
        <f aca="false">IF(OR(J975=1,N975&lt;=O975),1,0)</f>
        <v>1</v>
      </c>
      <c r="T975" s="15" t="str">
        <f aca="false">IF(J975=1,"OFFLINE",IF(AND(Q975&gt;=Inputs!$B$15,R975=1,S975=1,P975&lt;=L975),"PASS","FAIL"))</f>
        <v>PASS</v>
      </c>
    </row>
    <row r="976" customFormat="false" ht="15" hidden="false" customHeight="false" outlineLevel="0" collapsed="false">
      <c r="A976" s="14" t="s">
        <v>1027</v>
      </c>
      <c r="B976" s="14" t="s">
        <v>1019</v>
      </c>
      <c r="C976" s="14" t="s">
        <v>180</v>
      </c>
      <c r="D976" s="14" t="s">
        <v>204</v>
      </c>
      <c r="E976" s="14" t="s">
        <v>161</v>
      </c>
      <c r="F976" s="14" t="s">
        <v>199</v>
      </c>
      <c r="G976" s="14" t="n">
        <v>3</v>
      </c>
      <c r="H976" s="14" t="s">
        <v>158</v>
      </c>
      <c r="I976" s="14" t="s">
        <v>895</v>
      </c>
      <c r="J976" s="15" t="n">
        <f aca="false">IF(B976="SITE LOSS",IF(D976=C976,1,0),IF(B976="REGION LOSS",IF(E976=C976,1,0),0))</f>
        <v>0</v>
      </c>
      <c r="K976" s="15" t="n">
        <f aca="false">IF(B976="SITE LOSS",IF(COUNTIFS('Site Dockets'!$B$7:$B$24,C976,'Site Dockets'!$C$7:$C$24,F976)&gt;0,1,0),IF(B976="REGION LOSS",IF(COUNTIFS('Site Dockets'!$E$7:$E$24,C976,'Site Dockets'!$C$7:$C$24,F976)&gt;0,1,0),0))</f>
        <v>0</v>
      </c>
      <c r="L976" s="15" t="n">
        <f aca="false">IF(J976=1,0,Inputs!$B$11)</f>
        <v>100</v>
      </c>
      <c r="M976" s="15" t="n">
        <f aca="false">IF(J976=1,0,Inputs!$B$12)</f>
        <v>75</v>
      </c>
      <c r="N976" s="15" t="n">
        <f aca="false">IF(J976=1,0,IF(OR(AND(OR(B976="SITE LOSS",B976="REGION LOSS"),K976=1),AND(B976="ROLE COMPROMISE",H976=C976)),Inputs!$B$13,Inputs!$B$14))</f>
        <v>10</v>
      </c>
      <c r="O976" s="15" t="n">
        <f aca="false">IF(J976=1,0,Inputs!$B$13)</f>
        <v>20</v>
      </c>
      <c r="P976" s="15" t="n">
        <f aca="false">SUM(M976:N976)</f>
        <v>85</v>
      </c>
      <c r="Q976" s="15" t="n">
        <f aca="false">IF(J976=1,"",L976-P976)</f>
        <v>15</v>
      </c>
      <c r="R976" s="15" t="n">
        <f aca="false">IF(OR(J976=1,M976&lt;=Inputs!$B$12),1,0)</f>
        <v>1</v>
      </c>
      <c r="S976" s="15" t="n">
        <f aca="false">IF(OR(J976=1,N976&lt;=O976),1,0)</f>
        <v>1</v>
      </c>
      <c r="T976" s="15" t="str">
        <f aca="false">IF(J976=1,"OFFLINE",IF(AND(Q976&gt;=Inputs!$B$15,R976=1,S976=1,P976&lt;=L976),"PASS","FAIL"))</f>
        <v>PASS</v>
      </c>
    </row>
    <row r="977" customFormat="false" ht="15" hidden="false" customHeight="false" outlineLevel="0" collapsed="false">
      <c r="A977" s="14" t="s">
        <v>1027</v>
      </c>
      <c r="B977" s="14" t="s">
        <v>1019</v>
      </c>
      <c r="C977" s="14" t="s">
        <v>180</v>
      </c>
      <c r="D977" s="14" t="s">
        <v>204</v>
      </c>
      <c r="E977" s="14" t="s">
        <v>161</v>
      </c>
      <c r="F977" s="14" t="s">
        <v>199</v>
      </c>
      <c r="G977" s="14" t="n">
        <v>3</v>
      </c>
      <c r="H977" s="14" t="s">
        <v>158</v>
      </c>
      <c r="I977" s="14" t="s">
        <v>897</v>
      </c>
      <c r="J977" s="15" t="n">
        <f aca="false">IF(B977="SITE LOSS",IF(D977=C977,1,0),IF(B977="REGION LOSS",IF(E977=C977,1,0),0))</f>
        <v>0</v>
      </c>
      <c r="K977" s="15" t="n">
        <f aca="false">IF(B977="SITE LOSS",IF(COUNTIFS('Site Dockets'!$B$7:$B$24,C977,'Site Dockets'!$C$7:$C$24,F977)&gt;0,1,0),IF(B977="REGION LOSS",IF(COUNTIFS('Site Dockets'!$E$7:$E$24,C977,'Site Dockets'!$C$7:$C$24,F977)&gt;0,1,0),0))</f>
        <v>0</v>
      </c>
      <c r="L977" s="15" t="n">
        <f aca="false">IF(J977=1,0,Inputs!$B$11)</f>
        <v>100</v>
      </c>
      <c r="M977" s="15" t="n">
        <f aca="false">IF(J977=1,0,Inputs!$B$12)</f>
        <v>75</v>
      </c>
      <c r="N977" s="15" t="n">
        <f aca="false">IF(J977=1,0,IF(OR(AND(OR(B977="SITE LOSS",B977="REGION LOSS"),K977=1),AND(B977="ROLE COMPROMISE",H977=C977)),Inputs!$B$13,Inputs!$B$14))</f>
        <v>10</v>
      </c>
      <c r="O977" s="15" t="n">
        <f aca="false">IF(J977=1,0,Inputs!$B$13)</f>
        <v>20</v>
      </c>
      <c r="P977" s="15" t="n">
        <f aca="false">SUM(M977:N977)</f>
        <v>85</v>
      </c>
      <c r="Q977" s="15" t="n">
        <f aca="false">IF(J977=1,"",L977-P977)</f>
        <v>15</v>
      </c>
      <c r="R977" s="15" t="n">
        <f aca="false">IF(OR(J977=1,M977&lt;=Inputs!$B$12),1,0)</f>
        <v>1</v>
      </c>
      <c r="S977" s="15" t="n">
        <f aca="false">IF(OR(J977=1,N977&lt;=O977),1,0)</f>
        <v>1</v>
      </c>
      <c r="T977" s="15" t="str">
        <f aca="false">IF(J977=1,"OFFLINE",IF(AND(Q977&gt;=Inputs!$B$15,R977=1,S977=1,P977&lt;=L977),"PASS","FAIL"))</f>
        <v>PASS</v>
      </c>
    </row>
    <row r="978" customFormat="false" ht="15" hidden="false" customHeight="false" outlineLevel="0" collapsed="false">
      <c r="A978" s="14" t="s">
        <v>1027</v>
      </c>
      <c r="B978" s="14" t="s">
        <v>1019</v>
      </c>
      <c r="C978" s="14" t="s">
        <v>180</v>
      </c>
      <c r="D978" s="14" t="s">
        <v>204</v>
      </c>
      <c r="E978" s="14" t="s">
        <v>161</v>
      </c>
      <c r="F978" s="14" t="s">
        <v>199</v>
      </c>
      <c r="G978" s="14" t="n">
        <v>3</v>
      </c>
      <c r="H978" s="14" t="s">
        <v>158</v>
      </c>
      <c r="I978" s="14" t="s">
        <v>899</v>
      </c>
      <c r="J978" s="15" t="n">
        <f aca="false">IF(B978="SITE LOSS",IF(D978=C978,1,0),IF(B978="REGION LOSS",IF(E978=C978,1,0),0))</f>
        <v>0</v>
      </c>
      <c r="K978" s="15" t="n">
        <f aca="false">IF(B978="SITE LOSS",IF(COUNTIFS('Site Dockets'!$B$7:$B$24,C978,'Site Dockets'!$C$7:$C$24,F978)&gt;0,1,0),IF(B978="REGION LOSS",IF(COUNTIFS('Site Dockets'!$E$7:$E$24,C978,'Site Dockets'!$C$7:$C$24,F978)&gt;0,1,0),0))</f>
        <v>0</v>
      </c>
      <c r="L978" s="15" t="n">
        <f aca="false">IF(J978=1,0,Inputs!$B$11)</f>
        <v>100</v>
      </c>
      <c r="M978" s="15" t="n">
        <f aca="false">IF(J978=1,0,Inputs!$B$12)</f>
        <v>75</v>
      </c>
      <c r="N978" s="15" t="n">
        <f aca="false">IF(J978=1,0,IF(OR(AND(OR(B978="SITE LOSS",B978="REGION LOSS"),K978=1),AND(B978="ROLE COMPROMISE",H978=C978)),Inputs!$B$13,Inputs!$B$14))</f>
        <v>10</v>
      </c>
      <c r="O978" s="15" t="n">
        <f aca="false">IF(J978=1,0,Inputs!$B$13)</f>
        <v>20</v>
      </c>
      <c r="P978" s="15" t="n">
        <f aca="false">SUM(M978:N978)</f>
        <v>85</v>
      </c>
      <c r="Q978" s="15" t="n">
        <f aca="false">IF(J978=1,"",L978-P978)</f>
        <v>15</v>
      </c>
      <c r="R978" s="15" t="n">
        <f aca="false">IF(OR(J978=1,M978&lt;=Inputs!$B$12),1,0)</f>
        <v>1</v>
      </c>
      <c r="S978" s="15" t="n">
        <f aca="false">IF(OR(J978=1,N978&lt;=O978),1,0)</f>
        <v>1</v>
      </c>
      <c r="T978" s="15" t="str">
        <f aca="false">IF(J978=1,"OFFLINE",IF(AND(Q978&gt;=Inputs!$B$15,R978=1,S978=1,P978&lt;=L978),"PASS","FAIL"))</f>
        <v>PASS</v>
      </c>
    </row>
    <row r="979" customFormat="false" ht="15" hidden="false" customHeight="false" outlineLevel="0" collapsed="false">
      <c r="A979" s="14" t="s">
        <v>1028</v>
      </c>
      <c r="B979" s="14" t="s">
        <v>1019</v>
      </c>
      <c r="C979" s="14" t="s">
        <v>182</v>
      </c>
      <c r="D979" s="14" t="s">
        <v>149</v>
      </c>
      <c r="E979" s="14" t="s">
        <v>152</v>
      </c>
      <c r="F979" s="14" t="s">
        <v>150</v>
      </c>
      <c r="G979" s="14" t="n">
        <v>1</v>
      </c>
      <c r="H979" s="14" t="s">
        <v>154</v>
      </c>
      <c r="I979" s="14" t="s">
        <v>890</v>
      </c>
      <c r="J979" s="15" t="n">
        <f aca="false">IF(B979="SITE LOSS",IF(D979=C979,1,0),IF(B979="REGION LOSS",IF(E979=C979,1,0),0))</f>
        <v>0</v>
      </c>
      <c r="K979" s="15" t="n">
        <f aca="false">IF(B979="SITE LOSS",IF(COUNTIFS('Site Dockets'!$B$7:$B$24,C979,'Site Dockets'!$C$7:$C$24,F979)&gt;0,1,0),IF(B979="REGION LOSS",IF(COUNTIFS('Site Dockets'!$E$7:$E$24,C979,'Site Dockets'!$C$7:$C$24,F979)&gt;0,1,0),0))</f>
        <v>0</v>
      </c>
      <c r="L979" s="15" t="n">
        <f aca="false">IF(J979=1,0,Inputs!$B$11)</f>
        <v>100</v>
      </c>
      <c r="M979" s="15" t="n">
        <f aca="false">IF(J979=1,0,Inputs!$B$12)</f>
        <v>75</v>
      </c>
      <c r="N979" s="15" t="n">
        <f aca="false">IF(J979=1,0,IF(OR(AND(OR(B979="SITE LOSS",B979="REGION LOSS"),K979=1),AND(B979="ROLE COMPROMISE",H979=C979)),Inputs!$B$13,Inputs!$B$14))</f>
        <v>10</v>
      </c>
      <c r="O979" s="15" t="n">
        <f aca="false">IF(J979=1,0,Inputs!$B$13)</f>
        <v>20</v>
      </c>
      <c r="P979" s="15" t="n">
        <f aca="false">SUM(M979:N979)</f>
        <v>85</v>
      </c>
      <c r="Q979" s="15" t="n">
        <f aca="false">IF(J979=1,"",L979-P979)</f>
        <v>15</v>
      </c>
      <c r="R979" s="15" t="n">
        <f aca="false">IF(OR(J979=1,M979&lt;=Inputs!$B$12),1,0)</f>
        <v>1</v>
      </c>
      <c r="S979" s="15" t="n">
        <f aca="false">IF(OR(J979=1,N979&lt;=O979),1,0)</f>
        <v>1</v>
      </c>
      <c r="T979" s="15" t="str">
        <f aca="false">IF(J979=1,"OFFLINE",IF(AND(Q979&gt;=Inputs!$B$15,R979=1,S979=1,P979&lt;=L979),"PASS","FAIL"))</f>
        <v>PASS</v>
      </c>
    </row>
    <row r="980" customFormat="false" ht="15" hidden="false" customHeight="false" outlineLevel="0" collapsed="false">
      <c r="A980" s="14" t="s">
        <v>1028</v>
      </c>
      <c r="B980" s="14" t="s">
        <v>1019</v>
      </c>
      <c r="C980" s="14" t="s">
        <v>182</v>
      </c>
      <c r="D980" s="14" t="s">
        <v>149</v>
      </c>
      <c r="E980" s="14" t="s">
        <v>152</v>
      </c>
      <c r="F980" s="14" t="s">
        <v>150</v>
      </c>
      <c r="G980" s="14" t="n">
        <v>1</v>
      </c>
      <c r="H980" s="14" t="s">
        <v>154</v>
      </c>
      <c r="I980" s="14" t="s">
        <v>892</v>
      </c>
      <c r="J980" s="15" t="n">
        <f aca="false">IF(B980="SITE LOSS",IF(D980=C980,1,0),IF(B980="REGION LOSS",IF(E980=C980,1,0),0))</f>
        <v>0</v>
      </c>
      <c r="K980" s="15" t="n">
        <f aca="false">IF(B980="SITE LOSS",IF(COUNTIFS('Site Dockets'!$B$7:$B$24,C980,'Site Dockets'!$C$7:$C$24,F980)&gt;0,1,0),IF(B980="REGION LOSS",IF(COUNTIFS('Site Dockets'!$E$7:$E$24,C980,'Site Dockets'!$C$7:$C$24,F980)&gt;0,1,0),0))</f>
        <v>0</v>
      </c>
      <c r="L980" s="15" t="n">
        <f aca="false">IF(J980=1,0,Inputs!$B$11)</f>
        <v>100</v>
      </c>
      <c r="M980" s="15" t="n">
        <f aca="false">IF(J980=1,0,Inputs!$B$12)</f>
        <v>75</v>
      </c>
      <c r="N980" s="15" t="n">
        <f aca="false">IF(J980=1,0,IF(OR(AND(OR(B980="SITE LOSS",B980="REGION LOSS"),K980=1),AND(B980="ROLE COMPROMISE",H980=C980)),Inputs!$B$13,Inputs!$B$14))</f>
        <v>10</v>
      </c>
      <c r="O980" s="15" t="n">
        <f aca="false">IF(J980=1,0,Inputs!$B$13)</f>
        <v>20</v>
      </c>
      <c r="P980" s="15" t="n">
        <f aca="false">SUM(M980:N980)</f>
        <v>85</v>
      </c>
      <c r="Q980" s="15" t="n">
        <f aca="false">IF(J980=1,"",L980-P980)</f>
        <v>15</v>
      </c>
      <c r="R980" s="15" t="n">
        <f aca="false">IF(OR(J980=1,M980&lt;=Inputs!$B$12),1,0)</f>
        <v>1</v>
      </c>
      <c r="S980" s="15" t="n">
        <f aca="false">IF(OR(J980=1,N980&lt;=O980),1,0)</f>
        <v>1</v>
      </c>
      <c r="T980" s="15" t="str">
        <f aca="false">IF(J980=1,"OFFLINE",IF(AND(Q980&gt;=Inputs!$B$15,R980=1,S980=1,P980&lt;=L980),"PASS","FAIL"))</f>
        <v>PASS</v>
      </c>
    </row>
    <row r="981" customFormat="false" ht="15" hidden="false" customHeight="false" outlineLevel="0" collapsed="false">
      <c r="A981" s="14" t="s">
        <v>1028</v>
      </c>
      <c r="B981" s="14" t="s">
        <v>1019</v>
      </c>
      <c r="C981" s="14" t="s">
        <v>182</v>
      </c>
      <c r="D981" s="14" t="s">
        <v>149</v>
      </c>
      <c r="E981" s="14" t="s">
        <v>152</v>
      </c>
      <c r="F981" s="14" t="s">
        <v>150</v>
      </c>
      <c r="G981" s="14" t="n">
        <v>1</v>
      </c>
      <c r="H981" s="14" t="s">
        <v>154</v>
      </c>
      <c r="I981" s="14" t="s">
        <v>811</v>
      </c>
      <c r="J981" s="15" t="n">
        <f aca="false">IF(B981="SITE LOSS",IF(D981=C981,1,0),IF(B981="REGION LOSS",IF(E981=C981,1,0),0))</f>
        <v>0</v>
      </c>
      <c r="K981" s="15" t="n">
        <f aca="false">IF(B981="SITE LOSS",IF(COUNTIFS('Site Dockets'!$B$7:$B$24,C981,'Site Dockets'!$C$7:$C$24,F981)&gt;0,1,0),IF(B981="REGION LOSS",IF(COUNTIFS('Site Dockets'!$E$7:$E$24,C981,'Site Dockets'!$C$7:$C$24,F981)&gt;0,1,0),0))</f>
        <v>0</v>
      </c>
      <c r="L981" s="15" t="n">
        <f aca="false">IF(J981=1,0,Inputs!$B$11)</f>
        <v>100</v>
      </c>
      <c r="M981" s="15" t="n">
        <f aca="false">IF(J981=1,0,Inputs!$B$12)</f>
        <v>75</v>
      </c>
      <c r="N981" s="15" t="n">
        <f aca="false">IF(J981=1,0,IF(OR(AND(OR(B981="SITE LOSS",B981="REGION LOSS"),K981=1),AND(B981="ROLE COMPROMISE",H981=C981)),Inputs!$B$13,Inputs!$B$14))</f>
        <v>10</v>
      </c>
      <c r="O981" s="15" t="n">
        <f aca="false">IF(J981=1,0,Inputs!$B$13)</f>
        <v>20</v>
      </c>
      <c r="P981" s="15" t="n">
        <f aca="false">SUM(M981:N981)</f>
        <v>85</v>
      </c>
      <c r="Q981" s="15" t="n">
        <f aca="false">IF(J981=1,"",L981-P981)</f>
        <v>15</v>
      </c>
      <c r="R981" s="15" t="n">
        <f aca="false">IF(OR(J981=1,M981&lt;=Inputs!$B$12),1,0)</f>
        <v>1</v>
      </c>
      <c r="S981" s="15" t="n">
        <f aca="false">IF(OR(J981=1,N981&lt;=O981),1,0)</f>
        <v>1</v>
      </c>
      <c r="T981" s="15" t="str">
        <f aca="false">IF(J981=1,"OFFLINE",IF(AND(Q981&gt;=Inputs!$B$15,R981=1,S981=1,P981&lt;=L981),"PASS","FAIL"))</f>
        <v>PASS</v>
      </c>
    </row>
    <row r="982" customFormat="false" ht="15" hidden="false" customHeight="false" outlineLevel="0" collapsed="false">
      <c r="A982" s="14" t="s">
        <v>1028</v>
      </c>
      <c r="B982" s="14" t="s">
        <v>1019</v>
      </c>
      <c r="C982" s="14" t="s">
        <v>182</v>
      </c>
      <c r="D982" s="14" t="s">
        <v>149</v>
      </c>
      <c r="E982" s="14" t="s">
        <v>152</v>
      </c>
      <c r="F982" s="14" t="s">
        <v>150</v>
      </c>
      <c r="G982" s="14" t="n">
        <v>1</v>
      </c>
      <c r="H982" s="14" t="s">
        <v>154</v>
      </c>
      <c r="I982" s="14" t="s">
        <v>895</v>
      </c>
      <c r="J982" s="15" t="n">
        <f aca="false">IF(B982="SITE LOSS",IF(D982=C982,1,0),IF(B982="REGION LOSS",IF(E982=C982,1,0),0))</f>
        <v>0</v>
      </c>
      <c r="K982" s="15" t="n">
        <f aca="false">IF(B982="SITE LOSS",IF(COUNTIFS('Site Dockets'!$B$7:$B$24,C982,'Site Dockets'!$C$7:$C$24,F982)&gt;0,1,0),IF(B982="REGION LOSS",IF(COUNTIFS('Site Dockets'!$E$7:$E$24,C982,'Site Dockets'!$C$7:$C$24,F982)&gt;0,1,0),0))</f>
        <v>0</v>
      </c>
      <c r="L982" s="15" t="n">
        <f aca="false">IF(J982=1,0,Inputs!$B$11)</f>
        <v>100</v>
      </c>
      <c r="M982" s="15" t="n">
        <f aca="false">IF(J982=1,0,Inputs!$B$12)</f>
        <v>75</v>
      </c>
      <c r="N982" s="15" t="n">
        <f aca="false">IF(J982=1,0,IF(OR(AND(OR(B982="SITE LOSS",B982="REGION LOSS"),K982=1),AND(B982="ROLE COMPROMISE",H982=C982)),Inputs!$B$13,Inputs!$B$14))</f>
        <v>10</v>
      </c>
      <c r="O982" s="15" t="n">
        <f aca="false">IF(J982=1,0,Inputs!$B$13)</f>
        <v>20</v>
      </c>
      <c r="P982" s="15" t="n">
        <f aca="false">SUM(M982:N982)</f>
        <v>85</v>
      </c>
      <c r="Q982" s="15" t="n">
        <f aca="false">IF(J982=1,"",L982-P982)</f>
        <v>15</v>
      </c>
      <c r="R982" s="15" t="n">
        <f aca="false">IF(OR(J982=1,M982&lt;=Inputs!$B$12),1,0)</f>
        <v>1</v>
      </c>
      <c r="S982" s="15" t="n">
        <f aca="false">IF(OR(J982=1,N982&lt;=O982),1,0)</f>
        <v>1</v>
      </c>
      <c r="T982" s="15" t="str">
        <f aca="false">IF(J982=1,"OFFLINE",IF(AND(Q982&gt;=Inputs!$B$15,R982=1,S982=1,P982&lt;=L982),"PASS","FAIL"))</f>
        <v>PASS</v>
      </c>
    </row>
    <row r="983" customFormat="false" ht="15" hidden="false" customHeight="false" outlineLevel="0" collapsed="false">
      <c r="A983" s="14" t="s">
        <v>1028</v>
      </c>
      <c r="B983" s="14" t="s">
        <v>1019</v>
      </c>
      <c r="C983" s="14" t="s">
        <v>182</v>
      </c>
      <c r="D983" s="14" t="s">
        <v>149</v>
      </c>
      <c r="E983" s="14" t="s">
        <v>152</v>
      </c>
      <c r="F983" s="14" t="s">
        <v>150</v>
      </c>
      <c r="G983" s="14" t="n">
        <v>1</v>
      </c>
      <c r="H983" s="14" t="s">
        <v>154</v>
      </c>
      <c r="I983" s="14" t="s">
        <v>897</v>
      </c>
      <c r="J983" s="15" t="n">
        <f aca="false">IF(B983="SITE LOSS",IF(D983=C983,1,0),IF(B983="REGION LOSS",IF(E983=C983,1,0),0))</f>
        <v>0</v>
      </c>
      <c r="K983" s="15" t="n">
        <f aca="false">IF(B983="SITE LOSS",IF(COUNTIFS('Site Dockets'!$B$7:$B$24,C983,'Site Dockets'!$C$7:$C$24,F983)&gt;0,1,0),IF(B983="REGION LOSS",IF(COUNTIFS('Site Dockets'!$E$7:$E$24,C983,'Site Dockets'!$C$7:$C$24,F983)&gt;0,1,0),0))</f>
        <v>0</v>
      </c>
      <c r="L983" s="15" t="n">
        <f aca="false">IF(J983=1,0,Inputs!$B$11)</f>
        <v>100</v>
      </c>
      <c r="M983" s="15" t="n">
        <f aca="false">IF(J983=1,0,Inputs!$B$12)</f>
        <v>75</v>
      </c>
      <c r="N983" s="15" t="n">
        <f aca="false">IF(J983=1,0,IF(OR(AND(OR(B983="SITE LOSS",B983="REGION LOSS"),K983=1),AND(B983="ROLE COMPROMISE",H983=C983)),Inputs!$B$13,Inputs!$B$14))</f>
        <v>10</v>
      </c>
      <c r="O983" s="15" t="n">
        <f aca="false">IF(J983=1,0,Inputs!$B$13)</f>
        <v>20</v>
      </c>
      <c r="P983" s="15" t="n">
        <f aca="false">SUM(M983:N983)</f>
        <v>85</v>
      </c>
      <c r="Q983" s="15" t="n">
        <f aca="false">IF(J983=1,"",L983-P983)</f>
        <v>15</v>
      </c>
      <c r="R983" s="15" t="n">
        <f aca="false">IF(OR(J983=1,M983&lt;=Inputs!$B$12),1,0)</f>
        <v>1</v>
      </c>
      <c r="S983" s="15" t="n">
        <f aca="false">IF(OR(J983=1,N983&lt;=O983),1,0)</f>
        <v>1</v>
      </c>
      <c r="T983" s="15" t="str">
        <f aca="false">IF(J983=1,"OFFLINE",IF(AND(Q983&gt;=Inputs!$B$15,R983=1,S983=1,P983&lt;=L983),"PASS","FAIL"))</f>
        <v>PASS</v>
      </c>
    </row>
    <row r="984" customFormat="false" ht="15" hidden="false" customHeight="false" outlineLevel="0" collapsed="false">
      <c r="A984" s="14" t="s">
        <v>1028</v>
      </c>
      <c r="B984" s="14" t="s">
        <v>1019</v>
      </c>
      <c r="C984" s="14" t="s">
        <v>182</v>
      </c>
      <c r="D984" s="14" t="s">
        <v>149</v>
      </c>
      <c r="E984" s="14" t="s">
        <v>152</v>
      </c>
      <c r="F984" s="14" t="s">
        <v>150</v>
      </c>
      <c r="G984" s="14" t="n">
        <v>1</v>
      </c>
      <c r="H984" s="14" t="s">
        <v>154</v>
      </c>
      <c r="I984" s="14" t="s">
        <v>899</v>
      </c>
      <c r="J984" s="15" t="n">
        <f aca="false">IF(B984="SITE LOSS",IF(D984=C984,1,0),IF(B984="REGION LOSS",IF(E984=C984,1,0),0))</f>
        <v>0</v>
      </c>
      <c r="K984" s="15" t="n">
        <f aca="false">IF(B984="SITE LOSS",IF(COUNTIFS('Site Dockets'!$B$7:$B$24,C984,'Site Dockets'!$C$7:$C$24,F984)&gt;0,1,0),IF(B984="REGION LOSS",IF(COUNTIFS('Site Dockets'!$E$7:$E$24,C984,'Site Dockets'!$C$7:$C$24,F984)&gt;0,1,0),0))</f>
        <v>0</v>
      </c>
      <c r="L984" s="15" t="n">
        <f aca="false">IF(J984=1,0,Inputs!$B$11)</f>
        <v>100</v>
      </c>
      <c r="M984" s="15" t="n">
        <f aca="false">IF(J984=1,0,Inputs!$B$12)</f>
        <v>75</v>
      </c>
      <c r="N984" s="15" t="n">
        <f aca="false">IF(J984=1,0,IF(OR(AND(OR(B984="SITE LOSS",B984="REGION LOSS"),K984=1),AND(B984="ROLE COMPROMISE",H984=C984)),Inputs!$B$13,Inputs!$B$14))</f>
        <v>10</v>
      </c>
      <c r="O984" s="15" t="n">
        <f aca="false">IF(J984=1,0,Inputs!$B$13)</f>
        <v>20</v>
      </c>
      <c r="P984" s="15" t="n">
        <f aca="false">SUM(M984:N984)</f>
        <v>85</v>
      </c>
      <c r="Q984" s="15" t="n">
        <f aca="false">IF(J984=1,"",L984-P984)</f>
        <v>15</v>
      </c>
      <c r="R984" s="15" t="n">
        <f aca="false">IF(OR(J984=1,M984&lt;=Inputs!$B$12),1,0)</f>
        <v>1</v>
      </c>
      <c r="S984" s="15" t="n">
        <f aca="false">IF(OR(J984=1,N984&lt;=O984),1,0)</f>
        <v>1</v>
      </c>
      <c r="T984" s="15" t="str">
        <f aca="false">IF(J984=1,"OFFLINE",IF(AND(Q984&gt;=Inputs!$B$15,R984=1,S984=1,P984&lt;=L984),"PASS","FAIL"))</f>
        <v>PASS</v>
      </c>
    </row>
    <row r="985" customFormat="false" ht="15" hidden="false" customHeight="false" outlineLevel="0" collapsed="false">
      <c r="A985" s="14" t="s">
        <v>1028</v>
      </c>
      <c r="B985" s="14" t="s">
        <v>1019</v>
      </c>
      <c r="C985" s="14" t="s">
        <v>182</v>
      </c>
      <c r="D985" s="14" t="s">
        <v>156</v>
      </c>
      <c r="E985" s="14" t="s">
        <v>157</v>
      </c>
      <c r="F985" s="14" t="s">
        <v>150</v>
      </c>
      <c r="G985" s="14" t="n">
        <v>2</v>
      </c>
      <c r="H985" s="14" t="s">
        <v>153</v>
      </c>
      <c r="I985" s="14" t="s">
        <v>890</v>
      </c>
      <c r="J985" s="15" t="n">
        <f aca="false">IF(B985="SITE LOSS",IF(D985=C985,1,0),IF(B985="REGION LOSS",IF(E985=C985,1,0),0))</f>
        <v>0</v>
      </c>
      <c r="K985" s="15" t="n">
        <f aca="false">IF(B985="SITE LOSS",IF(COUNTIFS('Site Dockets'!$B$7:$B$24,C985,'Site Dockets'!$C$7:$C$24,F985)&gt;0,1,0),IF(B985="REGION LOSS",IF(COUNTIFS('Site Dockets'!$E$7:$E$24,C985,'Site Dockets'!$C$7:$C$24,F985)&gt;0,1,0),0))</f>
        <v>0</v>
      </c>
      <c r="L985" s="15" t="n">
        <f aca="false">IF(J985=1,0,Inputs!$B$11)</f>
        <v>100</v>
      </c>
      <c r="M985" s="15" t="n">
        <f aca="false">IF(J985=1,0,Inputs!$B$12)</f>
        <v>75</v>
      </c>
      <c r="N985" s="15" t="n">
        <f aca="false">IF(J985=1,0,IF(OR(AND(OR(B985="SITE LOSS",B985="REGION LOSS"),K985=1),AND(B985="ROLE COMPROMISE",H985=C985)),Inputs!$B$13,Inputs!$B$14))</f>
        <v>10</v>
      </c>
      <c r="O985" s="15" t="n">
        <f aca="false">IF(J985=1,0,Inputs!$B$13)</f>
        <v>20</v>
      </c>
      <c r="P985" s="15" t="n">
        <f aca="false">SUM(M985:N985)</f>
        <v>85</v>
      </c>
      <c r="Q985" s="15" t="n">
        <f aca="false">IF(J985=1,"",L985-P985)</f>
        <v>15</v>
      </c>
      <c r="R985" s="15" t="n">
        <f aca="false">IF(OR(J985=1,M985&lt;=Inputs!$B$12),1,0)</f>
        <v>1</v>
      </c>
      <c r="S985" s="15" t="n">
        <f aca="false">IF(OR(J985=1,N985&lt;=O985),1,0)</f>
        <v>1</v>
      </c>
      <c r="T985" s="15" t="str">
        <f aca="false">IF(J985=1,"OFFLINE",IF(AND(Q985&gt;=Inputs!$B$15,R985=1,S985=1,P985&lt;=L985),"PASS","FAIL"))</f>
        <v>PASS</v>
      </c>
    </row>
    <row r="986" customFormat="false" ht="15" hidden="false" customHeight="false" outlineLevel="0" collapsed="false">
      <c r="A986" s="14" t="s">
        <v>1028</v>
      </c>
      <c r="B986" s="14" t="s">
        <v>1019</v>
      </c>
      <c r="C986" s="14" t="s">
        <v>182</v>
      </c>
      <c r="D986" s="14" t="s">
        <v>156</v>
      </c>
      <c r="E986" s="14" t="s">
        <v>157</v>
      </c>
      <c r="F986" s="14" t="s">
        <v>150</v>
      </c>
      <c r="G986" s="14" t="n">
        <v>2</v>
      </c>
      <c r="H986" s="14" t="s">
        <v>153</v>
      </c>
      <c r="I986" s="14" t="s">
        <v>892</v>
      </c>
      <c r="J986" s="15" t="n">
        <f aca="false">IF(B986="SITE LOSS",IF(D986=C986,1,0),IF(B986="REGION LOSS",IF(E986=C986,1,0),0))</f>
        <v>0</v>
      </c>
      <c r="K986" s="15" t="n">
        <f aca="false">IF(B986="SITE LOSS",IF(COUNTIFS('Site Dockets'!$B$7:$B$24,C986,'Site Dockets'!$C$7:$C$24,F986)&gt;0,1,0),IF(B986="REGION LOSS",IF(COUNTIFS('Site Dockets'!$E$7:$E$24,C986,'Site Dockets'!$C$7:$C$24,F986)&gt;0,1,0),0))</f>
        <v>0</v>
      </c>
      <c r="L986" s="15" t="n">
        <f aca="false">IF(J986=1,0,Inputs!$B$11)</f>
        <v>100</v>
      </c>
      <c r="M986" s="15" t="n">
        <f aca="false">IF(J986=1,0,Inputs!$B$12)</f>
        <v>75</v>
      </c>
      <c r="N986" s="15" t="n">
        <f aca="false">IF(J986=1,0,IF(OR(AND(OR(B986="SITE LOSS",B986="REGION LOSS"),K986=1),AND(B986="ROLE COMPROMISE",H986=C986)),Inputs!$B$13,Inputs!$B$14))</f>
        <v>10</v>
      </c>
      <c r="O986" s="15" t="n">
        <f aca="false">IF(J986=1,0,Inputs!$B$13)</f>
        <v>20</v>
      </c>
      <c r="P986" s="15" t="n">
        <f aca="false">SUM(M986:N986)</f>
        <v>85</v>
      </c>
      <c r="Q986" s="15" t="n">
        <f aca="false">IF(J986=1,"",L986-P986)</f>
        <v>15</v>
      </c>
      <c r="R986" s="15" t="n">
        <f aca="false">IF(OR(J986=1,M986&lt;=Inputs!$B$12),1,0)</f>
        <v>1</v>
      </c>
      <c r="S986" s="15" t="n">
        <f aca="false">IF(OR(J986=1,N986&lt;=O986),1,0)</f>
        <v>1</v>
      </c>
      <c r="T986" s="15" t="str">
        <f aca="false">IF(J986=1,"OFFLINE",IF(AND(Q986&gt;=Inputs!$B$15,R986=1,S986=1,P986&lt;=L986),"PASS","FAIL"))</f>
        <v>PASS</v>
      </c>
    </row>
    <row r="987" customFormat="false" ht="15" hidden="false" customHeight="false" outlineLevel="0" collapsed="false">
      <c r="A987" s="14" t="s">
        <v>1028</v>
      </c>
      <c r="B987" s="14" t="s">
        <v>1019</v>
      </c>
      <c r="C987" s="14" t="s">
        <v>182</v>
      </c>
      <c r="D987" s="14" t="s">
        <v>156</v>
      </c>
      <c r="E987" s="14" t="s">
        <v>157</v>
      </c>
      <c r="F987" s="14" t="s">
        <v>150</v>
      </c>
      <c r="G987" s="14" t="n">
        <v>2</v>
      </c>
      <c r="H987" s="14" t="s">
        <v>153</v>
      </c>
      <c r="I987" s="14" t="s">
        <v>811</v>
      </c>
      <c r="J987" s="15" t="n">
        <f aca="false">IF(B987="SITE LOSS",IF(D987=C987,1,0),IF(B987="REGION LOSS",IF(E987=C987,1,0),0))</f>
        <v>0</v>
      </c>
      <c r="K987" s="15" t="n">
        <f aca="false">IF(B987="SITE LOSS",IF(COUNTIFS('Site Dockets'!$B$7:$B$24,C987,'Site Dockets'!$C$7:$C$24,F987)&gt;0,1,0),IF(B987="REGION LOSS",IF(COUNTIFS('Site Dockets'!$E$7:$E$24,C987,'Site Dockets'!$C$7:$C$24,F987)&gt;0,1,0),0))</f>
        <v>0</v>
      </c>
      <c r="L987" s="15" t="n">
        <f aca="false">IF(J987=1,0,Inputs!$B$11)</f>
        <v>100</v>
      </c>
      <c r="M987" s="15" t="n">
        <f aca="false">IF(J987=1,0,Inputs!$B$12)</f>
        <v>75</v>
      </c>
      <c r="N987" s="15" t="n">
        <f aca="false">IF(J987=1,0,IF(OR(AND(OR(B987="SITE LOSS",B987="REGION LOSS"),K987=1),AND(B987="ROLE COMPROMISE",H987=C987)),Inputs!$B$13,Inputs!$B$14))</f>
        <v>10</v>
      </c>
      <c r="O987" s="15" t="n">
        <f aca="false">IF(J987=1,0,Inputs!$B$13)</f>
        <v>20</v>
      </c>
      <c r="P987" s="15" t="n">
        <f aca="false">SUM(M987:N987)</f>
        <v>85</v>
      </c>
      <c r="Q987" s="15" t="n">
        <f aca="false">IF(J987=1,"",L987-P987)</f>
        <v>15</v>
      </c>
      <c r="R987" s="15" t="n">
        <f aca="false">IF(OR(J987=1,M987&lt;=Inputs!$B$12),1,0)</f>
        <v>1</v>
      </c>
      <c r="S987" s="15" t="n">
        <f aca="false">IF(OR(J987=1,N987&lt;=O987),1,0)</f>
        <v>1</v>
      </c>
      <c r="T987" s="15" t="str">
        <f aca="false">IF(J987=1,"OFFLINE",IF(AND(Q987&gt;=Inputs!$B$15,R987=1,S987=1,P987&lt;=L987),"PASS","FAIL"))</f>
        <v>PASS</v>
      </c>
    </row>
    <row r="988" customFormat="false" ht="15" hidden="false" customHeight="false" outlineLevel="0" collapsed="false">
      <c r="A988" s="14" t="s">
        <v>1028</v>
      </c>
      <c r="B988" s="14" t="s">
        <v>1019</v>
      </c>
      <c r="C988" s="14" t="s">
        <v>182</v>
      </c>
      <c r="D988" s="14" t="s">
        <v>156</v>
      </c>
      <c r="E988" s="14" t="s">
        <v>157</v>
      </c>
      <c r="F988" s="14" t="s">
        <v>150</v>
      </c>
      <c r="G988" s="14" t="n">
        <v>2</v>
      </c>
      <c r="H988" s="14" t="s">
        <v>153</v>
      </c>
      <c r="I988" s="14" t="s">
        <v>895</v>
      </c>
      <c r="J988" s="15" t="n">
        <f aca="false">IF(B988="SITE LOSS",IF(D988=C988,1,0),IF(B988="REGION LOSS",IF(E988=C988,1,0),0))</f>
        <v>0</v>
      </c>
      <c r="K988" s="15" t="n">
        <f aca="false">IF(B988="SITE LOSS",IF(COUNTIFS('Site Dockets'!$B$7:$B$24,C988,'Site Dockets'!$C$7:$C$24,F988)&gt;0,1,0),IF(B988="REGION LOSS",IF(COUNTIFS('Site Dockets'!$E$7:$E$24,C988,'Site Dockets'!$C$7:$C$24,F988)&gt;0,1,0),0))</f>
        <v>0</v>
      </c>
      <c r="L988" s="15" t="n">
        <f aca="false">IF(J988=1,0,Inputs!$B$11)</f>
        <v>100</v>
      </c>
      <c r="M988" s="15" t="n">
        <f aca="false">IF(J988=1,0,Inputs!$B$12)</f>
        <v>75</v>
      </c>
      <c r="N988" s="15" t="n">
        <f aca="false">IF(J988=1,0,IF(OR(AND(OR(B988="SITE LOSS",B988="REGION LOSS"),K988=1),AND(B988="ROLE COMPROMISE",H988=C988)),Inputs!$B$13,Inputs!$B$14))</f>
        <v>10</v>
      </c>
      <c r="O988" s="15" t="n">
        <f aca="false">IF(J988=1,0,Inputs!$B$13)</f>
        <v>20</v>
      </c>
      <c r="P988" s="15" t="n">
        <f aca="false">SUM(M988:N988)</f>
        <v>85</v>
      </c>
      <c r="Q988" s="15" t="n">
        <f aca="false">IF(J988=1,"",L988-P988)</f>
        <v>15</v>
      </c>
      <c r="R988" s="15" t="n">
        <f aca="false">IF(OR(J988=1,M988&lt;=Inputs!$B$12),1,0)</f>
        <v>1</v>
      </c>
      <c r="S988" s="15" t="n">
        <f aca="false">IF(OR(J988=1,N988&lt;=O988),1,0)</f>
        <v>1</v>
      </c>
      <c r="T988" s="15" t="str">
        <f aca="false">IF(J988=1,"OFFLINE",IF(AND(Q988&gt;=Inputs!$B$15,R988=1,S988=1,P988&lt;=L988),"PASS","FAIL"))</f>
        <v>PASS</v>
      </c>
    </row>
    <row r="989" customFormat="false" ht="15" hidden="false" customHeight="false" outlineLevel="0" collapsed="false">
      <c r="A989" s="14" t="s">
        <v>1028</v>
      </c>
      <c r="B989" s="14" t="s">
        <v>1019</v>
      </c>
      <c r="C989" s="14" t="s">
        <v>182</v>
      </c>
      <c r="D989" s="14" t="s">
        <v>156</v>
      </c>
      <c r="E989" s="14" t="s">
        <v>157</v>
      </c>
      <c r="F989" s="14" t="s">
        <v>150</v>
      </c>
      <c r="G989" s="14" t="n">
        <v>2</v>
      </c>
      <c r="H989" s="14" t="s">
        <v>153</v>
      </c>
      <c r="I989" s="14" t="s">
        <v>897</v>
      </c>
      <c r="J989" s="15" t="n">
        <f aca="false">IF(B989="SITE LOSS",IF(D989=C989,1,0),IF(B989="REGION LOSS",IF(E989=C989,1,0),0))</f>
        <v>0</v>
      </c>
      <c r="K989" s="15" t="n">
        <f aca="false">IF(B989="SITE LOSS",IF(COUNTIFS('Site Dockets'!$B$7:$B$24,C989,'Site Dockets'!$C$7:$C$24,F989)&gt;0,1,0),IF(B989="REGION LOSS",IF(COUNTIFS('Site Dockets'!$E$7:$E$24,C989,'Site Dockets'!$C$7:$C$24,F989)&gt;0,1,0),0))</f>
        <v>0</v>
      </c>
      <c r="L989" s="15" t="n">
        <f aca="false">IF(J989=1,0,Inputs!$B$11)</f>
        <v>100</v>
      </c>
      <c r="M989" s="15" t="n">
        <f aca="false">IF(J989=1,0,Inputs!$B$12)</f>
        <v>75</v>
      </c>
      <c r="N989" s="15" t="n">
        <f aca="false">IF(J989=1,0,IF(OR(AND(OR(B989="SITE LOSS",B989="REGION LOSS"),K989=1),AND(B989="ROLE COMPROMISE",H989=C989)),Inputs!$B$13,Inputs!$B$14))</f>
        <v>10</v>
      </c>
      <c r="O989" s="15" t="n">
        <f aca="false">IF(J989=1,0,Inputs!$B$13)</f>
        <v>20</v>
      </c>
      <c r="P989" s="15" t="n">
        <f aca="false">SUM(M989:N989)</f>
        <v>85</v>
      </c>
      <c r="Q989" s="15" t="n">
        <f aca="false">IF(J989=1,"",L989-P989)</f>
        <v>15</v>
      </c>
      <c r="R989" s="15" t="n">
        <f aca="false">IF(OR(J989=1,M989&lt;=Inputs!$B$12),1,0)</f>
        <v>1</v>
      </c>
      <c r="S989" s="15" t="n">
        <f aca="false">IF(OR(J989=1,N989&lt;=O989),1,0)</f>
        <v>1</v>
      </c>
      <c r="T989" s="15" t="str">
        <f aca="false">IF(J989=1,"OFFLINE",IF(AND(Q989&gt;=Inputs!$B$15,R989=1,S989=1,P989&lt;=L989),"PASS","FAIL"))</f>
        <v>PASS</v>
      </c>
    </row>
    <row r="990" customFormat="false" ht="15" hidden="false" customHeight="false" outlineLevel="0" collapsed="false">
      <c r="A990" s="14" t="s">
        <v>1028</v>
      </c>
      <c r="B990" s="14" t="s">
        <v>1019</v>
      </c>
      <c r="C990" s="14" t="s">
        <v>182</v>
      </c>
      <c r="D990" s="14" t="s">
        <v>156</v>
      </c>
      <c r="E990" s="14" t="s">
        <v>157</v>
      </c>
      <c r="F990" s="14" t="s">
        <v>150</v>
      </c>
      <c r="G990" s="14" t="n">
        <v>2</v>
      </c>
      <c r="H990" s="14" t="s">
        <v>153</v>
      </c>
      <c r="I990" s="14" t="s">
        <v>899</v>
      </c>
      <c r="J990" s="15" t="n">
        <f aca="false">IF(B990="SITE LOSS",IF(D990=C990,1,0),IF(B990="REGION LOSS",IF(E990=C990,1,0),0))</f>
        <v>0</v>
      </c>
      <c r="K990" s="15" t="n">
        <f aca="false">IF(B990="SITE LOSS",IF(COUNTIFS('Site Dockets'!$B$7:$B$24,C990,'Site Dockets'!$C$7:$C$24,F990)&gt;0,1,0),IF(B990="REGION LOSS",IF(COUNTIFS('Site Dockets'!$E$7:$E$24,C990,'Site Dockets'!$C$7:$C$24,F990)&gt;0,1,0),0))</f>
        <v>0</v>
      </c>
      <c r="L990" s="15" t="n">
        <f aca="false">IF(J990=1,0,Inputs!$B$11)</f>
        <v>100</v>
      </c>
      <c r="M990" s="15" t="n">
        <f aca="false">IF(J990=1,0,Inputs!$B$12)</f>
        <v>75</v>
      </c>
      <c r="N990" s="15" t="n">
        <f aca="false">IF(J990=1,0,IF(OR(AND(OR(B990="SITE LOSS",B990="REGION LOSS"),K990=1),AND(B990="ROLE COMPROMISE",H990=C990)),Inputs!$B$13,Inputs!$B$14))</f>
        <v>10</v>
      </c>
      <c r="O990" s="15" t="n">
        <f aca="false">IF(J990=1,0,Inputs!$B$13)</f>
        <v>20</v>
      </c>
      <c r="P990" s="15" t="n">
        <f aca="false">SUM(M990:N990)</f>
        <v>85</v>
      </c>
      <c r="Q990" s="15" t="n">
        <f aca="false">IF(J990=1,"",L990-P990)</f>
        <v>15</v>
      </c>
      <c r="R990" s="15" t="n">
        <f aca="false">IF(OR(J990=1,M990&lt;=Inputs!$B$12),1,0)</f>
        <v>1</v>
      </c>
      <c r="S990" s="15" t="n">
        <f aca="false">IF(OR(J990=1,N990&lt;=O990),1,0)</f>
        <v>1</v>
      </c>
      <c r="T990" s="15" t="str">
        <f aca="false">IF(J990=1,"OFFLINE",IF(AND(Q990&gt;=Inputs!$B$15,R990=1,S990=1,P990&lt;=L990),"PASS","FAIL"))</f>
        <v>PASS</v>
      </c>
    </row>
    <row r="991" customFormat="false" ht="15" hidden="false" customHeight="false" outlineLevel="0" collapsed="false">
      <c r="A991" s="14" t="s">
        <v>1028</v>
      </c>
      <c r="B991" s="14" t="s">
        <v>1019</v>
      </c>
      <c r="C991" s="14" t="s">
        <v>182</v>
      </c>
      <c r="D991" s="14" t="s">
        <v>160</v>
      </c>
      <c r="E991" s="14" t="s">
        <v>161</v>
      </c>
      <c r="F991" s="14" t="s">
        <v>150</v>
      </c>
      <c r="G991" s="14" t="n">
        <v>3</v>
      </c>
      <c r="H991" s="14" t="s">
        <v>158</v>
      </c>
      <c r="I991" s="14" t="s">
        <v>890</v>
      </c>
      <c r="J991" s="15" t="n">
        <f aca="false">IF(B991="SITE LOSS",IF(D991=C991,1,0),IF(B991="REGION LOSS",IF(E991=C991,1,0),0))</f>
        <v>0</v>
      </c>
      <c r="K991" s="15" t="n">
        <f aca="false">IF(B991="SITE LOSS",IF(COUNTIFS('Site Dockets'!$B$7:$B$24,C991,'Site Dockets'!$C$7:$C$24,F991)&gt;0,1,0),IF(B991="REGION LOSS",IF(COUNTIFS('Site Dockets'!$E$7:$E$24,C991,'Site Dockets'!$C$7:$C$24,F991)&gt;0,1,0),0))</f>
        <v>0</v>
      </c>
      <c r="L991" s="15" t="n">
        <f aca="false">IF(J991=1,0,Inputs!$B$11)</f>
        <v>100</v>
      </c>
      <c r="M991" s="15" t="n">
        <f aca="false">IF(J991=1,0,Inputs!$B$12)</f>
        <v>75</v>
      </c>
      <c r="N991" s="15" t="n">
        <f aca="false">IF(J991=1,0,IF(OR(AND(OR(B991="SITE LOSS",B991="REGION LOSS"),K991=1),AND(B991="ROLE COMPROMISE",H991=C991)),Inputs!$B$13,Inputs!$B$14))</f>
        <v>10</v>
      </c>
      <c r="O991" s="15" t="n">
        <f aca="false">IF(J991=1,0,Inputs!$B$13)</f>
        <v>20</v>
      </c>
      <c r="P991" s="15" t="n">
        <f aca="false">SUM(M991:N991)</f>
        <v>85</v>
      </c>
      <c r="Q991" s="15" t="n">
        <f aca="false">IF(J991=1,"",L991-P991)</f>
        <v>15</v>
      </c>
      <c r="R991" s="15" t="n">
        <f aca="false">IF(OR(J991=1,M991&lt;=Inputs!$B$12),1,0)</f>
        <v>1</v>
      </c>
      <c r="S991" s="15" t="n">
        <f aca="false">IF(OR(J991=1,N991&lt;=O991),1,0)</f>
        <v>1</v>
      </c>
      <c r="T991" s="15" t="str">
        <f aca="false">IF(J991=1,"OFFLINE",IF(AND(Q991&gt;=Inputs!$B$15,R991=1,S991=1,P991&lt;=L991),"PASS","FAIL"))</f>
        <v>PASS</v>
      </c>
    </row>
    <row r="992" customFormat="false" ht="15" hidden="false" customHeight="false" outlineLevel="0" collapsed="false">
      <c r="A992" s="14" t="s">
        <v>1028</v>
      </c>
      <c r="B992" s="14" t="s">
        <v>1019</v>
      </c>
      <c r="C992" s="14" t="s">
        <v>182</v>
      </c>
      <c r="D992" s="14" t="s">
        <v>160</v>
      </c>
      <c r="E992" s="14" t="s">
        <v>161</v>
      </c>
      <c r="F992" s="14" t="s">
        <v>150</v>
      </c>
      <c r="G992" s="14" t="n">
        <v>3</v>
      </c>
      <c r="H992" s="14" t="s">
        <v>158</v>
      </c>
      <c r="I992" s="14" t="s">
        <v>892</v>
      </c>
      <c r="J992" s="15" t="n">
        <f aca="false">IF(B992="SITE LOSS",IF(D992=C992,1,0),IF(B992="REGION LOSS",IF(E992=C992,1,0),0))</f>
        <v>0</v>
      </c>
      <c r="K992" s="15" t="n">
        <f aca="false">IF(B992="SITE LOSS",IF(COUNTIFS('Site Dockets'!$B$7:$B$24,C992,'Site Dockets'!$C$7:$C$24,F992)&gt;0,1,0),IF(B992="REGION LOSS",IF(COUNTIFS('Site Dockets'!$E$7:$E$24,C992,'Site Dockets'!$C$7:$C$24,F992)&gt;0,1,0),0))</f>
        <v>0</v>
      </c>
      <c r="L992" s="15" t="n">
        <f aca="false">IF(J992=1,0,Inputs!$B$11)</f>
        <v>100</v>
      </c>
      <c r="M992" s="15" t="n">
        <f aca="false">IF(J992=1,0,Inputs!$B$12)</f>
        <v>75</v>
      </c>
      <c r="N992" s="15" t="n">
        <f aca="false">IF(J992=1,0,IF(OR(AND(OR(B992="SITE LOSS",B992="REGION LOSS"),K992=1),AND(B992="ROLE COMPROMISE",H992=C992)),Inputs!$B$13,Inputs!$B$14))</f>
        <v>10</v>
      </c>
      <c r="O992" s="15" t="n">
        <f aca="false">IF(J992=1,0,Inputs!$B$13)</f>
        <v>20</v>
      </c>
      <c r="P992" s="15" t="n">
        <f aca="false">SUM(M992:N992)</f>
        <v>85</v>
      </c>
      <c r="Q992" s="15" t="n">
        <f aca="false">IF(J992=1,"",L992-P992)</f>
        <v>15</v>
      </c>
      <c r="R992" s="15" t="n">
        <f aca="false">IF(OR(J992=1,M992&lt;=Inputs!$B$12),1,0)</f>
        <v>1</v>
      </c>
      <c r="S992" s="15" t="n">
        <f aca="false">IF(OR(J992=1,N992&lt;=O992),1,0)</f>
        <v>1</v>
      </c>
      <c r="T992" s="15" t="str">
        <f aca="false">IF(J992=1,"OFFLINE",IF(AND(Q992&gt;=Inputs!$B$15,R992=1,S992=1,P992&lt;=L992),"PASS","FAIL"))</f>
        <v>PASS</v>
      </c>
    </row>
    <row r="993" customFormat="false" ht="15" hidden="false" customHeight="false" outlineLevel="0" collapsed="false">
      <c r="A993" s="14" t="s">
        <v>1028</v>
      </c>
      <c r="B993" s="14" t="s">
        <v>1019</v>
      </c>
      <c r="C993" s="14" t="s">
        <v>182</v>
      </c>
      <c r="D993" s="14" t="s">
        <v>160</v>
      </c>
      <c r="E993" s="14" t="s">
        <v>161</v>
      </c>
      <c r="F993" s="14" t="s">
        <v>150</v>
      </c>
      <c r="G993" s="14" t="n">
        <v>3</v>
      </c>
      <c r="H993" s="14" t="s">
        <v>158</v>
      </c>
      <c r="I993" s="14" t="s">
        <v>811</v>
      </c>
      <c r="J993" s="15" t="n">
        <f aca="false">IF(B993="SITE LOSS",IF(D993=C993,1,0),IF(B993="REGION LOSS",IF(E993=C993,1,0),0))</f>
        <v>0</v>
      </c>
      <c r="K993" s="15" t="n">
        <f aca="false">IF(B993="SITE LOSS",IF(COUNTIFS('Site Dockets'!$B$7:$B$24,C993,'Site Dockets'!$C$7:$C$24,F993)&gt;0,1,0),IF(B993="REGION LOSS",IF(COUNTIFS('Site Dockets'!$E$7:$E$24,C993,'Site Dockets'!$C$7:$C$24,F993)&gt;0,1,0),0))</f>
        <v>0</v>
      </c>
      <c r="L993" s="15" t="n">
        <f aca="false">IF(J993=1,0,Inputs!$B$11)</f>
        <v>100</v>
      </c>
      <c r="M993" s="15" t="n">
        <f aca="false">IF(J993=1,0,Inputs!$B$12)</f>
        <v>75</v>
      </c>
      <c r="N993" s="15" t="n">
        <f aca="false">IF(J993=1,0,IF(OR(AND(OR(B993="SITE LOSS",B993="REGION LOSS"),K993=1),AND(B993="ROLE COMPROMISE",H993=C993)),Inputs!$B$13,Inputs!$B$14))</f>
        <v>10</v>
      </c>
      <c r="O993" s="15" t="n">
        <f aca="false">IF(J993=1,0,Inputs!$B$13)</f>
        <v>20</v>
      </c>
      <c r="P993" s="15" t="n">
        <f aca="false">SUM(M993:N993)</f>
        <v>85</v>
      </c>
      <c r="Q993" s="15" t="n">
        <f aca="false">IF(J993=1,"",L993-P993)</f>
        <v>15</v>
      </c>
      <c r="R993" s="15" t="n">
        <f aca="false">IF(OR(J993=1,M993&lt;=Inputs!$B$12),1,0)</f>
        <v>1</v>
      </c>
      <c r="S993" s="15" t="n">
        <f aca="false">IF(OR(J993=1,N993&lt;=O993),1,0)</f>
        <v>1</v>
      </c>
      <c r="T993" s="15" t="str">
        <f aca="false">IF(J993=1,"OFFLINE",IF(AND(Q993&gt;=Inputs!$B$15,R993=1,S993=1,P993&lt;=L993),"PASS","FAIL"))</f>
        <v>PASS</v>
      </c>
    </row>
    <row r="994" customFormat="false" ht="15" hidden="false" customHeight="false" outlineLevel="0" collapsed="false">
      <c r="A994" s="14" t="s">
        <v>1028</v>
      </c>
      <c r="B994" s="14" t="s">
        <v>1019</v>
      </c>
      <c r="C994" s="14" t="s">
        <v>182</v>
      </c>
      <c r="D994" s="14" t="s">
        <v>160</v>
      </c>
      <c r="E994" s="14" t="s">
        <v>161</v>
      </c>
      <c r="F994" s="14" t="s">
        <v>150</v>
      </c>
      <c r="G994" s="14" t="n">
        <v>3</v>
      </c>
      <c r="H994" s="14" t="s">
        <v>158</v>
      </c>
      <c r="I994" s="14" t="s">
        <v>895</v>
      </c>
      <c r="J994" s="15" t="n">
        <f aca="false">IF(B994="SITE LOSS",IF(D994=C994,1,0),IF(B994="REGION LOSS",IF(E994=C994,1,0),0))</f>
        <v>0</v>
      </c>
      <c r="K994" s="15" t="n">
        <f aca="false">IF(B994="SITE LOSS",IF(COUNTIFS('Site Dockets'!$B$7:$B$24,C994,'Site Dockets'!$C$7:$C$24,F994)&gt;0,1,0),IF(B994="REGION LOSS",IF(COUNTIFS('Site Dockets'!$E$7:$E$24,C994,'Site Dockets'!$C$7:$C$24,F994)&gt;0,1,0),0))</f>
        <v>0</v>
      </c>
      <c r="L994" s="15" t="n">
        <f aca="false">IF(J994=1,0,Inputs!$B$11)</f>
        <v>100</v>
      </c>
      <c r="M994" s="15" t="n">
        <f aca="false">IF(J994=1,0,Inputs!$B$12)</f>
        <v>75</v>
      </c>
      <c r="N994" s="15" t="n">
        <f aca="false">IF(J994=1,0,IF(OR(AND(OR(B994="SITE LOSS",B994="REGION LOSS"),K994=1),AND(B994="ROLE COMPROMISE",H994=C994)),Inputs!$B$13,Inputs!$B$14))</f>
        <v>10</v>
      </c>
      <c r="O994" s="15" t="n">
        <f aca="false">IF(J994=1,0,Inputs!$B$13)</f>
        <v>20</v>
      </c>
      <c r="P994" s="15" t="n">
        <f aca="false">SUM(M994:N994)</f>
        <v>85</v>
      </c>
      <c r="Q994" s="15" t="n">
        <f aca="false">IF(J994=1,"",L994-P994)</f>
        <v>15</v>
      </c>
      <c r="R994" s="15" t="n">
        <f aca="false">IF(OR(J994=1,M994&lt;=Inputs!$B$12),1,0)</f>
        <v>1</v>
      </c>
      <c r="S994" s="15" t="n">
        <f aca="false">IF(OR(J994=1,N994&lt;=O994),1,0)</f>
        <v>1</v>
      </c>
      <c r="T994" s="15" t="str">
        <f aca="false">IF(J994=1,"OFFLINE",IF(AND(Q994&gt;=Inputs!$B$15,R994=1,S994=1,P994&lt;=L994),"PASS","FAIL"))</f>
        <v>PASS</v>
      </c>
    </row>
    <row r="995" customFormat="false" ht="15" hidden="false" customHeight="false" outlineLevel="0" collapsed="false">
      <c r="A995" s="14" t="s">
        <v>1028</v>
      </c>
      <c r="B995" s="14" t="s">
        <v>1019</v>
      </c>
      <c r="C995" s="14" t="s">
        <v>182</v>
      </c>
      <c r="D995" s="14" t="s">
        <v>160</v>
      </c>
      <c r="E995" s="14" t="s">
        <v>161</v>
      </c>
      <c r="F995" s="14" t="s">
        <v>150</v>
      </c>
      <c r="G995" s="14" t="n">
        <v>3</v>
      </c>
      <c r="H995" s="14" t="s">
        <v>158</v>
      </c>
      <c r="I995" s="14" t="s">
        <v>897</v>
      </c>
      <c r="J995" s="15" t="n">
        <f aca="false">IF(B995="SITE LOSS",IF(D995=C995,1,0),IF(B995="REGION LOSS",IF(E995=C995,1,0),0))</f>
        <v>0</v>
      </c>
      <c r="K995" s="15" t="n">
        <f aca="false">IF(B995="SITE LOSS",IF(COUNTIFS('Site Dockets'!$B$7:$B$24,C995,'Site Dockets'!$C$7:$C$24,F995)&gt;0,1,0),IF(B995="REGION LOSS",IF(COUNTIFS('Site Dockets'!$E$7:$E$24,C995,'Site Dockets'!$C$7:$C$24,F995)&gt;0,1,0),0))</f>
        <v>0</v>
      </c>
      <c r="L995" s="15" t="n">
        <f aca="false">IF(J995=1,0,Inputs!$B$11)</f>
        <v>100</v>
      </c>
      <c r="M995" s="15" t="n">
        <f aca="false">IF(J995=1,0,Inputs!$B$12)</f>
        <v>75</v>
      </c>
      <c r="N995" s="15" t="n">
        <f aca="false">IF(J995=1,0,IF(OR(AND(OR(B995="SITE LOSS",B995="REGION LOSS"),K995=1),AND(B995="ROLE COMPROMISE",H995=C995)),Inputs!$B$13,Inputs!$B$14))</f>
        <v>10</v>
      </c>
      <c r="O995" s="15" t="n">
        <f aca="false">IF(J995=1,0,Inputs!$B$13)</f>
        <v>20</v>
      </c>
      <c r="P995" s="15" t="n">
        <f aca="false">SUM(M995:N995)</f>
        <v>85</v>
      </c>
      <c r="Q995" s="15" t="n">
        <f aca="false">IF(J995=1,"",L995-P995)</f>
        <v>15</v>
      </c>
      <c r="R995" s="15" t="n">
        <f aca="false">IF(OR(J995=1,M995&lt;=Inputs!$B$12),1,0)</f>
        <v>1</v>
      </c>
      <c r="S995" s="15" t="n">
        <f aca="false">IF(OR(J995=1,N995&lt;=O995),1,0)</f>
        <v>1</v>
      </c>
      <c r="T995" s="15" t="str">
        <f aca="false">IF(J995=1,"OFFLINE",IF(AND(Q995&gt;=Inputs!$B$15,R995=1,S995=1,P995&lt;=L995),"PASS","FAIL"))</f>
        <v>PASS</v>
      </c>
    </row>
    <row r="996" customFormat="false" ht="15" hidden="false" customHeight="false" outlineLevel="0" collapsed="false">
      <c r="A996" s="14" t="s">
        <v>1028</v>
      </c>
      <c r="B996" s="14" t="s">
        <v>1019</v>
      </c>
      <c r="C996" s="14" t="s">
        <v>182</v>
      </c>
      <c r="D996" s="14" t="s">
        <v>160</v>
      </c>
      <c r="E996" s="14" t="s">
        <v>161</v>
      </c>
      <c r="F996" s="14" t="s">
        <v>150</v>
      </c>
      <c r="G996" s="14" t="n">
        <v>3</v>
      </c>
      <c r="H996" s="14" t="s">
        <v>158</v>
      </c>
      <c r="I996" s="14" t="s">
        <v>899</v>
      </c>
      <c r="J996" s="15" t="n">
        <f aca="false">IF(B996="SITE LOSS",IF(D996=C996,1,0),IF(B996="REGION LOSS",IF(E996=C996,1,0),0))</f>
        <v>0</v>
      </c>
      <c r="K996" s="15" t="n">
        <f aca="false">IF(B996="SITE LOSS",IF(COUNTIFS('Site Dockets'!$B$7:$B$24,C996,'Site Dockets'!$C$7:$C$24,F996)&gt;0,1,0),IF(B996="REGION LOSS",IF(COUNTIFS('Site Dockets'!$E$7:$E$24,C996,'Site Dockets'!$C$7:$C$24,F996)&gt;0,1,0),0))</f>
        <v>0</v>
      </c>
      <c r="L996" s="15" t="n">
        <f aca="false">IF(J996=1,0,Inputs!$B$11)</f>
        <v>100</v>
      </c>
      <c r="M996" s="15" t="n">
        <f aca="false">IF(J996=1,0,Inputs!$B$12)</f>
        <v>75</v>
      </c>
      <c r="N996" s="15" t="n">
        <f aca="false">IF(J996=1,0,IF(OR(AND(OR(B996="SITE LOSS",B996="REGION LOSS"),K996=1),AND(B996="ROLE COMPROMISE",H996=C996)),Inputs!$B$13,Inputs!$B$14))</f>
        <v>10</v>
      </c>
      <c r="O996" s="15" t="n">
        <f aca="false">IF(J996=1,0,Inputs!$B$13)</f>
        <v>20</v>
      </c>
      <c r="P996" s="15" t="n">
        <f aca="false">SUM(M996:N996)</f>
        <v>85</v>
      </c>
      <c r="Q996" s="15" t="n">
        <f aca="false">IF(J996=1,"",L996-P996)</f>
        <v>15</v>
      </c>
      <c r="R996" s="15" t="n">
        <f aca="false">IF(OR(J996=1,M996&lt;=Inputs!$B$12),1,0)</f>
        <v>1</v>
      </c>
      <c r="S996" s="15" t="n">
        <f aca="false">IF(OR(J996=1,N996&lt;=O996),1,0)</f>
        <v>1</v>
      </c>
      <c r="T996" s="15" t="str">
        <f aca="false">IF(J996=1,"OFFLINE",IF(AND(Q996&gt;=Inputs!$B$15,R996=1,S996=1,P996&lt;=L996),"PASS","FAIL"))</f>
        <v>PASS</v>
      </c>
    </row>
    <row r="997" customFormat="false" ht="15" hidden="false" customHeight="false" outlineLevel="0" collapsed="false">
      <c r="A997" s="14" t="s">
        <v>1028</v>
      </c>
      <c r="B997" s="14" t="s">
        <v>1019</v>
      </c>
      <c r="C997" s="14" t="s">
        <v>182</v>
      </c>
      <c r="D997" s="14" t="s">
        <v>163</v>
      </c>
      <c r="E997" s="14" t="s">
        <v>166</v>
      </c>
      <c r="F997" s="14" t="s">
        <v>164</v>
      </c>
      <c r="G997" s="14" t="n">
        <v>1</v>
      </c>
      <c r="H997" s="14" t="s">
        <v>154</v>
      </c>
      <c r="I997" s="14" t="s">
        <v>890</v>
      </c>
      <c r="J997" s="15" t="n">
        <f aca="false">IF(B997="SITE LOSS",IF(D997=C997,1,0),IF(B997="REGION LOSS",IF(E997=C997,1,0),0))</f>
        <v>0</v>
      </c>
      <c r="K997" s="15" t="n">
        <f aca="false">IF(B997="SITE LOSS",IF(COUNTIFS('Site Dockets'!$B$7:$B$24,C997,'Site Dockets'!$C$7:$C$24,F997)&gt;0,1,0),IF(B997="REGION LOSS",IF(COUNTIFS('Site Dockets'!$E$7:$E$24,C997,'Site Dockets'!$C$7:$C$24,F997)&gt;0,1,0),0))</f>
        <v>0</v>
      </c>
      <c r="L997" s="15" t="n">
        <f aca="false">IF(J997=1,0,Inputs!$B$11)</f>
        <v>100</v>
      </c>
      <c r="M997" s="15" t="n">
        <f aca="false">IF(J997=1,0,Inputs!$B$12)</f>
        <v>75</v>
      </c>
      <c r="N997" s="15" t="n">
        <f aca="false">IF(J997=1,0,IF(OR(AND(OR(B997="SITE LOSS",B997="REGION LOSS"),K997=1),AND(B997="ROLE COMPROMISE",H997=C997)),Inputs!$B$13,Inputs!$B$14))</f>
        <v>10</v>
      </c>
      <c r="O997" s="15" t="n">
        <f aca="false">IF(J997=1,0,Inputs!$B$13)</f>
        <v>20</v>
      </c>
      <c r="P997" s="15" t="n">
        <f aca="false">SUM(M997:N997)</f>
        <v>85</v>
      </c>
      <c r="Q997" s="15" t="n">
        <f aca="false">IF(J997=1,"",L997-P997)</f>
        <v>15</v>
      </c>
      <c r="R997" s="15" t="n">
        <f aca="false">IF(OR(J997=1,M997&lt;=Inputs!$B$12),1,0)</f>
        <v>1</v>
      </c>
      <c r="S997" s="15" t="n">
        <f aca="false">IF(OR(J997=1,N997&lt;=O997),1,0)</f>
        <v>1</v>
      </c>
      <c r="T997" s="15" t="str">
        <f aca="false">IF(J997=1,"OFFLINE",IF(AND(Q997&gt;=Inputs!$B$15,R997=1,S997=1,P997&lt;=L997),"PASS","FAIL"))</f>
        <v>PASS</v>
      </c>
    </row>
    <row r="998" customFormat="false" ht="15" hidden="false" customHeight="false" outlineLevel="0" collapsed="false">
      <c r="A998" s="14" t="s">
        <v>1028</v>
      </c>
      <c r="B998" s="14" t="s">
        <v>1019</v>
      </c>
      <c r="C998" s="14" t="s">
        <v>182</v>
      </c>
      <c r="D998" s="14" t="s">
        <v>163</v>
      </c>
      <c r="E998" s="14" t="s">
        <v>166</v>
      </c>
      <c r="F998" s="14" t="s">
        <v>164</v>
      </c>
      <c r="G998" s="14" t="n">
        <v>1</v>
      </c>
      <c r="H998" s="14" t="s">
        <v>154</v>
      </c>
      <c r="I998" s="14" t="s">
        <v>892</v>
      </c>
      <c r="J998" s="15" t="n">
        <f aca="false">IF(B998="SITE LOSS",IF(D998=C998,1,0),IF(B998="REGION LOSS",IF(E998=C998,1,0),0))</f>
        <v>0</v>
      </c>
      <c r="K998" s="15" t="n">
        <f aca="false">IF(B998="SITE LOSS",IF(COUNTIFS('Site Dockets'!$B$7:$B$24,C998,'Site Dockets'!$C$7:$C$24,F998)&gt;0,1,0),IF(B998="REGION LOSS",IF(COUNTIFS('Site Dockets'!$E$7:$E$24,C998,'Site Dockets'!$C$7:$C$24,F998)&gt;0,1,0),0))</f>
        <v>0</v>
      </c>
      <c r="L998" s="15" t="n">
        <f aca="false">IF(J998=1,0,Inputs!$B$11)</f>
        <v>100</v>
      </c>
      <c r="M998" s="15" t="n">
        <f aca="false">IF(J998=1,0,Inputs!$B$12)</f>
        <v>75</v>
      </c>
      <c r="N998" s="15" t="n">
        <f aca="false">IF(J998=1,0,IF(OR(AND(OR(B998="SITE LOSS",B998="REGION LOSS"),K998=1),AND(B998="ROLE COMPROMISE",H998=C998)),Inputs!$B$13,Inputs!$B$14))</f>
        <v>10</v>
      </c>
      <c r="O998" s="15" t="n">
        <f aca="false">IF(J998=1,0,Inputs!$B$13)</f>
        <v>20</v>
      </c>
      <c r="P998" s="15" t="n">
        <f aca="false">SUM(M998:N998)</f>
        <v>85</v>
      </c>
      <c r="Q998" s="15" t="n">
        <f aca="false">IF(J998=1,"",L998-P998)</f>
        <v>15</v>
      </c>
      <c r="R998" s="15" t="n">
        <f aca="false">IF(OR(J998=1,M998&lt;=Inputs!$B$12),1,0)</f>
        <v>1</v>
      </c>
      <c r="S998" s="15" t="n">
        <f aca="false">IF(OR(J998=1,N998&lt;=O998),1,0)</f>
        <v>1</v>
      </c>
      <c r="T998" s="15" t="str">
        <f aca="false">IF(J998=1,"OFFLINE",IF(AND(Q998&gt;=Inputs!$B$15,R998=1,S998=1,P998&lt;=L998),"PASS","FAIL"))</f>
        <v>PASS</v>
      </c>
    </row>
    <row r="999" customFormat="false" ht="15" hidden="false" customHeight="false" outlineLevel="0" collapsed="false">
      <c r="A999" s="14" t="s">
        <v>1028</v>
      </c>
      <c r="B999" s="14" t="s">
        <v>1019</v>
      </c>
      <c r="C999" s="14" t="s">
        <v>182</v>
      </c>
      <c r="D999" s="14" t="s">
        <v>163</v>
      </c>
      <c r="E999" s="14" t="s">
        <v>166</v>
      </c>
      <c r="F999" s="14" t="s">
        <v>164</v>
      </c>
      <c r="G999" s="14" t="n">
        <v>1</v>
      </c>
      <c r="H999" s="14" t="s">
        <v>154</v>
      </c>
      <c r="I999" s="14" t="s">
        <v>811</v>
      </c>
      <c r="J999" s="15" t="n">
        <f aca="false">IF(B999="SITE LOSS",IF(D999=C999,1,0),IF(B999="REGION LOSS",IF(E999=C999,1,0),0))</f>
        <v>0</v>
      </c>
      <c r="K999" s="15" t="n">
        <f aca="false">IF(B999="SITE LOSS",IF(COUNTIFS('Site Dockets'!$B$7:$B$24,C999,'Site Dockets'!$C$7:$C$24,F999)&gt;0,1,0),IF(B999="REGION LOSS",IF(COUNTIFS('Site Dockets'!$E$7:$E$24,C999,'Site Dockets'!$C$7:$C$24,F999)&gt;0,1,0),0))</f>
        <v>0</v>
      </c>
      <c r="L999" s="15" t="n">
        <f aca="false">IF(J999=1,0,Inputs!$B$11)</f>
        <v>100</v>
      </c>
      <c r="M999" s="15" t="n">
        <f aca="false">IF(J999=1,0,Inputs!$B$12)</f>
        <v>75</v>
      </c>
      <c r="N999" s="15" t="n">
        <f aca="false">IF(J999=1,0,IF(OR(AND(OR(B999="SITE LOSS",B999="REGION LOSS"),K999=1),AND(B999="ROLE COMPROMISE",H999=C999)),Inputs!$B$13,Inputs!$B$14))</f>
        <v>10</v>
      </c>
      <c r="O999" s="15" t="n">
        <f aca="false">IF(J999=1,0,Inputs!$B$13)</f>
        <v>20</v>
      </c>
      <c r="P999" s="15" t="n">
        <f aca="false">SUM(M999:N999)</f>
        <v>85</v>
      </c>
      <c r="Q999" s="15" t="n">
        <f aca="false">IF(J999=1,"",L999-P999)</f>
        <v>15</v>
      </c>
      <c r="R999" s="15" t="n">
        <f aca="false">IF(OR(J999=1,M999&lt;=Inputs!$B$12),1,0)</f>
        <v>1</v>
      </c>
      <c r="S999" s="15" t="n">
        <f aca="false">IF(OR(J999=1,N999&lt;=O999),1,0)</f>
        <v>1</v>
      </c>
      <c r="T999" s="15" t="str">
        <f aca="false">IF(J999=1,"OFFLINE",IF(AND(Q999&gt;=Inputs!$B$15,R999=1,S999=1,P999&lt;=L999),"PASS","FAIL"))</f>
        <v>PASS</v>
      </c>
    </row>
    <row r="1000" customFormat="false" ht="15" hidden="false" customHeight="false" outlineLevel="0" collapsed="false">
      <c r="A1000" s="14" t="s">
        <v>1028</v>
      </c>
      <c r="B1000" s="14" t="s">
        <v>1019</v>
      </c>
      <c r="C1000" s="14" t="s">
        <v>182</v>
      </c>
      <c r="D1000" s="14" t="s">
        <v>163</v>
      </c>
      <c r="E1000" s="14" t="s">
        <v>166</v>
      </c>
      <c r="F1000" s="14" t="s">
        <v>164</v>
      </c>
      <c r="G1000" s="14" t="n">
        <v>1</v>
      </c>
      <c r="H1000" s="14" t="s">
        <v>154</v>
      </c>
      <c r="I1000" s="14" t="s">
        <v>895</v>
      </c>
      <c r="J1000" s="15" t="n">
        <f aca="false">IF(B1000="SITE LOSS",IF(D1000=C1000,1,0),IF(B1000="REGION LOSS",IF(E1000=C1000,1,0),0))</f>
        <v>0</v>
      </c>
      <c r="K1000" s="15" t="n">
        <f aca="false">IF(B1000="SITE LOSS",IF(COUNTIFS('Site Dockets'!$B$7:$B$24,C1000,'Site Dockets'!$C$7:$C$24,F1000)&gt;0,1,0),IF(B1000="REGION LOSS",IF(COUNTIFS('Site Dockets'!$E$7:$E$24,C1000,'Site Dockets'!$C$7:$C$24,F1000)&gt;0,1,0),0))</f>
        <v>0</v>
      </c>
      <c r="L1000" s="15" t="n">
        <f aca="false">IF(J1000=1,0,Inputs!$B$11)</f>
        <v>100</v>
      </c>
      <c r="M1000" s="15" t="n">
        <f aca="false">IF(J1000=1,0,Inputs!$B$12)</f>
        <v>75</v>
      </c>
      <c r="N1000" s="15" t="n">
        <f aca="false">IF(J1000=1,0,IF(OR(AND(OR(B1000="SITE LOSS",B1000="REGION LOSS"),K1000=1),AND(B1000="ROLE COMPROMISE",H1000=C1000)),Inputs!$B$13,Inputs!$B$14))</f>
        <v>10</v>
      </c>
      <c r="O1000" s="15" t="n">
        <f aca="false">IF(J1000=1,0,Inputs!$B$13)</f>
        <v>20</v>
      </c>
      <c r="P1000" s="15" t="n">
        <f aca="false">SUM(M1000:N1000)</f>
        <v>85</v>
      </c>
      <c r="Q1000" s="15" t="n">
        <f aca="false">IF(J1000=1,"",L1000-P1000)</f>
        <v>15</v>
      </c>
      <c r="R1000" s="15" t="n">
        <f aca="false">IF(OR(J1000=1,M1000&lt;=Inputs!$B$12),1,0)</f>
        <v>1</v>
      </c>
      <c r="S1000" s="15" t="n">
        <f aca="false">IF(OR(J1000=1,N1000&lt;=O1000),1,0)</f>
        <v>1</v>
      </c>
      <c r="T1000" s="15" t="str">
        <f aca="false">IF(J1000=1,"OFFLINE",IF(AND(Q1000&gt;=Inputs!$B$15,R1000=1,S1000=1,P1000&lt;=L1000),"PASS","FAIL"))</f>
        <v>PASS</v>
      </c>
    </row>
    <row r="1001" customFormat="false" ht="15" hidden="false" customHeight="false" outlineLevel="0" collapsed="false">
      <c r="A1001" s="14" t="s">
        <v>1028</v>
      </c>
      <c r="B1001" s="14" t="s">
        <v>1019</v>
      </c>
      <c r="C1001" s="14" t="s">
        <v>182</v>
      </c>
      <c r="D1001" s="14" t="s">
        <v>163</v>
      </c>
      <c r="E1001" s="14" t="s">
        <v>166</v>
      </c>
      <c r="F1001" s="14" t="s">
        <v>164</v>
      </c>
      <c r="G1001" s="14" t="n">
        <v>1</v>
      </c>
      <c r="H1001" s="14" t="s">
        <v>154</v>
      </c>
      <c r="I1001" s="14" t="s">
        <v>897</v>
      </c>
      <c r="J1001" s="15" t="n">
        <f aca="false">IF(B1001="SITE LOSS",IF(D1001=C1001,1,0),IF(B1001="REGION LOSS",IF(E1001=C1001,1,0),0))</f>
        <v>0</v>
      </c>
      <c r="K1001" s="15" t="n">
        <f aca="false">IF(B1001="SITE LOSS",IF(COUNTIFS('Site Dockets'!$B$7:$B$24,C1001,'Site Dockets'!$C$7:$C$24,F1001)&gt;0,1,0),IF(B1001="REGION LOSS",IF(COUNTIFS('Site Dockets'!$E$7:$E$24,C1001,'Site Dockets'!$C$7:$C$24,F1001)&gt;0,1,0),0))</f>
        <v>0</v>
      </c>
      <c r="L1001" s="15" t="n">
        <f aca="false">IF(J1001=1,0,Inputs!$B$11)</f>
        <v>100</v>
      </c>
      <c r="M1001" s="15" t="n">
        <f aca="false">IF(J1001=1,0,Inputs!$B$12)</f>
        <v>75</v>
      </c>
      <c r="N1001" s="15" t="n">
        <f aca="false">IF(J1001=1,0,IF(OR(AND(OR(B1001="SITE LOSS",B1001="REGION LOSS"),K1001=1),AND(B1001="ROLE COMPROMISE",H1001=C1001)),Inputs!$B$13,Inputs!$B$14))</f>
        <v>10</v>
      </c>
      <c r="O1001" s="15" t="n">
        <f aca="false">IF(J1001=1,0,Inputs!$B$13)</f>
        <v>20</v>
      </c>
      <c r="P1001" s="15" t="n">
        <f aca="false">SUM(M1001:N1001)</f>
        <v>85</v>
      </c>
      <c r="Q1001" s="15" t="n">
        <f aca="false">IF(J1001=1,"",L1001-P1001)</f>
        <v>15</v>
      </c>
      <c r="R1001" s="15" t="n">
        <f aca="false">IF(OR(J1001=1,M1001&lt;=Inputs!$B$12),1,0)</f>
        <v>1</v>
      </c>
      <c r="S1001" s="15" t="n">
        <f aca="false">IF(OR(J1001=1,N1001&lt;=O1001),1,0)</f>
        <v>1</v>
      </c>
      <c r="T1001" s="15" t="str">
        <f aca="false">IF(J1001=1,"OFFLINE",IF(AND(Q1001&gt;=Inputs!$B$15,R1001=1,S1001=1,P1001&lt;=L1001),"PASS","FAIL"))</f>
        <v>PASS</v>
      </c>
    </row>
    <row r="1002" customFormat="false" ht="15" hidden="false" customHeight="false" outlineLevel="0" collapsed="false">
      <c r="A1002" s="14" t="s">
        <v>1028</v>
      </c>
      <c r="B1002" s="14" t="s">
        <v>1019</v>
      </c>
      <c r="C1002" s="14" t="s">
        <v>182</v>
      </c>
      <c r="D1002" s="14" t="s">
        <v>163</v>
      </c>
      <c r="E1002" s="14" t="s">
        <v>166</v>
      </c>
      <c r="F1002" s="14" t="s">
        <v>164</v>
      </c>
      <c r="G1002" s="14" t="n">
        <v>1</v>
      </c>
      <c r="H1002" s="14" t="s">
        <v>154</v>
      </c>
      <c r="I1002" s="14" t="s">
        <v>899</v>
      </c>
      <c r="J1002" s="15" t="n">
        <f aca="false">IF(B1002="SITE LOSS",IF(D1002=C1002,1,0),IF(B1002="REGION LOSS",IF(E1002=C1002,1,0),0))</f>
        <v>0</v>
      </c>
      <c r="K1002" s="15" t="n">
        <f aca="false">IF(B1002="SITE LOSS",IF(COUNTIFS('Site Dockets'!$B$7:$B$24,C1002,'Site Dockets'!$C$7:$C$24,F1002)&gt;0,1,0),IF(B1002="REGION LOSS",IF(COUNTIFS('Site Dockets'!$E$7:$E$24,C1002,'Site Dockets'!$C$7:$C$24,F1002)&gt;0,1,0),0))</f>
        <v>0</v>
      </c>
      <c r="L1002" s="15" t="n">
        <f aca="false">IF(J1002=1,0,Inputs!$B$11)</f>
        <v>100</v>
      </c>
      <c r="M1002" s="15" t="n">
        <f aca="false">IF(J1002=1,0,Inputs!$B$12)</f>
        <v>75</v>
      </c>
      <c r="N1002" s="15" t="n">
        <f aca="false">IF(J1002=1,0,IF(OR(AND(OR(B1002="SITE LOSS",B1002="REGION LOSS"),K1002=1),AND(B1002="ROLE COMPROMISE",H1002=C1002)),Inputs!$B$13,Inputs!$B$14))</f>
        <v>10</v>
      </c>
      <c r="O1002" s="15" t="n">
        <f aca="false">IF(J1002=1,0,Inputs!$B$13)</f>
        <v>20</v>
      </c>
      <c r="P1002" s="15" t="n">
        <f aca="false">SUM(M1002:N1002)</f>
        <v>85</v>
      </c>
      <c r="Q1002" s="15" t="n">
        <f aca="false">IF(J1002=1,"",L1002-P1002)</f>
        <v>15</v>
      </c>
      <c r="R1002" s="15" t="n">
        <f aca="false">IF(OR(J1002=1,M1002&lt;=Inputs!$B$12),1,0)</f>
        <v>1</v>
      </c>
      <c r="S1002" s="15" t="n">
        <f aca="false">IF(OR(J1002=1,N1002&lt;=O1002),1,0)</f>
        <v>1</v>
      </c>
      <c r="T1002" s="15" t="str">
        <f aca="false">IF(J1002=1,"OFFLINE",IF(AND(Q1002&gt;=Inputs!$B$15,R1002=1,S1002=1,P1002&lt;=L1002),"PASS","FAIL"))</f>
        <v>PASS</v>
      </c>
    </row>
    <row r="1003" customFormat="false" ht="15" hidden="false" customHeight="false" outlineLevel="0" collapsed="false">
      <c r="A1003" s="14" t="s">
        <v>1028</v>
      </c>
      <c r="B1003" s="14" t="s">
        <v>1019</v>
      </c>
      <c r="C1003" s="14" t="s">
        <v>182</v>
      </c>
      <c r="D1003" s="14" t="s">
        <v>168</v>
      </c>
      <c r="E1003" s="14" t="s">
        <v>169</v>
      </c>
      <c r="F1003" s="14" t="s">
        <v>164</v>
      </c>
      <c r="G1003" s="14" t="n">
        <v>2</v>
      </c>
      <c r="H1003" s="14" t="s">
        <v>153</v>
      </c>
      <c r="I1003" s="14" t="s">
        <v>890</v>
      </c>
      <c r="J1003" s="15" t="n">
        <f aca="false">IF(B1003="SITE LOSS",IF(D1003=C1003,1,0),IF(B1003="REGION LOSS",IF(E1003=C1003,1,0),0))</f>
        <v>0</v>
      </c>
      <c r="K1003" s="15" t="n">
        <f aca="false">IF(B1003="SITE LOSS",IF(COUNTIFS('Site Dockets'!$B$7:$B$24,C1003,'Site Dockets'!$C$7:$C$24,F1003)&gt;0,1,0),IF(B1003="REGION LOSS",IF(COUNTIFS('Site Dockets'!$E$7:$E$24,C1003,'Site Dockets'!$C$7:$C$24,F1003)&gt;0,1,0),0))</f>
        <v>0</v>
      </c>
      <c r="L1003" s="15" t="n">
        <f aca="false">IF(J1003=1,0,Inputs!$B$11)</f>
        <v>100</v>
      </c>
      <c r="M1003" s="15" t="n">
        <f aca="false">IF(J1003=1,0,Inputs!$B$12)</f>
        <v>75</v>
      </c>
      <c r="N1003" s="15" t="n">
        <f aca="false">IF(J1003=1,0,IF(OR(AND(OR(B1003="SITE LOSS",B1003="REGION LOSS"),K1003=1),AND(B1003="ROLE COMPROMISE",H1003=C1003)),Inputs!$B$13,Inputs!$B$14))</f>
        <v>10</v>
      </c>
      <c r="O1003" s="15" t="n">
        <f aca="false">IF(J1003=1,0,Inputs!$B$13)</f>
        <v>20</v>
      </c>
      <c r="P1003" s="15" t="n">
        <f aca="false">SUM(M1003:N1003)</f>
        <v>85</v>
      </c>
      <c r="Q1003" s="15" t="n">
        <f aca="false">IF(J1003=1,"",L1003-P1003)</f>
        <v>15</v>
      </c>
      <c r="R1003" s="15" t="n">
        <f aca="false">IF(OR(J1003=1,M1003&lt;=Inputs!$B$12),1,0)</f>
        <v>1</v>
      </c>
      <c r="S1003" s="15" t="n">
        <f aca="false">IF(OR(J1003=1,N1003&lt;=O1003),1,0)</f>
        <v>1</v>
      </c>
      <c r="T1003" s="15" t="str">
        <f aca="false">IF(J1003=1,"OFFLINE",IF(AND(Q1003&gt;=Inputs!$B$15,R1003=1,S1003=1,P1003&lt;=L1003),"PASS","FAIL"))</f>
        <v>PASS</v>
      </c>
    </row>
    <row r="1004" customFormat="false" ht="15" hidden="false" customHeight="false" outlineLevel="0" collapsed="false">
      <c r="A1004" s="14" t="s">
        <v>1028</v>
      </c>
      <c r="B1004" s="14" t="s">
        <v>1019</v>
      </c>
      <c r="C1004" s="14" t="s">
        <v>182</v>
      </c>
      <c r="D1004" s="14" t="s">
        <v>168</v>
      </c>
      <c r="E1004" s="14" t="s">
        <v>169</v>
      </c>
      <c r="F1004" s="14" t="s">
        <v>164</v>
      </c>
      <c r="G1004" s="14" t="n">
        <v>2</v>
      </c>
      <c r="H1004" s="14" t="s">
        <v>153</v>
      </c>
      <c r="I1004" s="14" t="s">
        <v>892</v>
      </c>
      <c r="J1004" s="15" t="n">
        <f aca="false">IF(B1004="SITE LOSS",IF(D1004=C1004,1,0),IF(B1004="REGION LOSS",IF(E1004=C1004,1,0),0))</f>
        <v>0</v>
      </c>
      <c r="K1004" s="15" t="n">
        <f aca="false">IF(B1004="SITE LOSS",IF(COUNTIFS('Site Dockets'!$B$7:$B$24,C1004,'Site Dockets'!$C$7:$C$24,F1004)&gt;0,1,0),IF(B1004="REGION LOSS",IF(COUNTIFS('Site Dockets'!$E$7:$E$24,C1004,'Site Dockets'!$C$7:$C$24,F1004)&gt;0,1,0),0))</f>
        <v>0</v>
      </c>
      <c r="L1004" s="15" t="n">
        <f aca="false">IF(J1004=1,0,Inputs!$B$11)</f>
        <v>100</v>
      </c>
      <c r="M1004" s="15" t="n">
        <f aca="false">IF(J1004=1,0,Inputs!$B$12)</f>
        <v>75</v>
      </c>
      <c r="N1004" s="15" t="n">
        <f aca="false">IF(J1004=1,0,IF(OR(AND(OR(B1004="SITE LOSS",B1004="REGION LOSS"),K1004=1),AND(B1004="ROLE COMPROMISE",H1004=C1004)),Inputs!$B$13,Inputs!$B$14))</f>
        <v>10</v>
      </c>
      <c r="O1004" s="15" t="n">
        <f aca="false">IF(J1004=1,0,Inputs!$B$13)</f>
        <v>20</v>
      </c>
      <c r="P1004" s="15" t="n">
        <f aca="false">SUM(M1004:N1004)</f>
        <v>85</v>
      </c>
      <c r="Q1004" s="15" t="n">
        <f aca="false">IF(J1004=1,"",L1004-P1004)</f>
        <v>15</v>
      </c>
      <c r="R1004" s="15" t="n">
        <f aca="false">IF(OR(J1004=1,M1004&lt;=Inputs!$B$12),1,0)</f>
        <v>1</v>
      </c>
      <c r="S1004" s="15" t="n">
        <f aca="false">IF(OR(J1004=1,N1004&lt;=O1004),1,0)</f>
        <v>1</v>
      </c>
      <c r="T1004" s="15" t="str">
        <f aca="false">IF(J1004=1,"OFFLINE",IF(AND(Q1004&gt;=Inputs!$B$15,R1004=1,S1004=1,P1004&lt;=L1004),"PASS","FAIL"))</f>
        <v>PASS</v>
      </c>
    </row>
    <row r="1005" customFormat="false" ht="15" hidden="false" customHeight="false" outlineLevel="0" collapsed="false">
      <c r="A1005" s="14" t="s">
        <v>1028</v>
      </c>
      <c r="B1005" s="14" t="s">
        <v>1019</v>
      </c>
      <c r="C1005" s="14" t="s">
        <v>182</v>
      </c>
      <c r="D1005" s="14" t="s">
        <v>168</v>
      </c>
      <c r="E1005" s="14" t="s">
        <v>169</v>
      </c>
      <c r="F1005" s="14" t="s">
        <v>164</v>
      </c>
      <c r="G1005" s="14" t="n">
        <v>2</v>
      </c>
      <c r="H1005" s="14" t="s">
        <v>153</v>
      </c>
      <c r="I1005" s="14" t="s">
        <v>811</v>
      </c>
      <c r="J1005" s="15" t="n">
        <f aca="false">IF(B1005="SITE LOSS",IF(D1005=C1005,1,0),IF(B1005="REGION LOSS",IF(E1005=C1005,1,0),0))</f>
        <v>0</v>
      </c>
      <c r="K1005" s="15" t="n">
        <f aca="false">IF(B1005="SITE LOSS",IF(COUNTIFS('Site Dockets'!$B$7:$B$24,C1005,'Site Dockets'!$C$7:$C$24,F1005)&gt;0,1,0),IF(B1005="REGION LOSS",IF(COUNTIFS('Site Dockets'!$E$7:$E$24,C1005,'Site Dockets'!$C$7:$C$24,F1005)&gt;0,1,0),0))</f>
        <v>0</v>
      </c>
      <c r="L1005" s="15" t="n">
        <f aca="false">IF(J1005=1,0,Inputs!$B$11)</f>
        <v>100</v>
      </c>
      <c r="M1005" s="15" t="n">
        <f aca="false">IF(J1005=1,0,Inputs!$B$12)</f>
        <v>75</v>
      </c>
      <c r="N1005" s="15" t="n">
        <f aca="false">IF(J1005=1,0,IF(OR(AND(OR(B1005="SITE LOSS",B1005="REGION LOSS"),K1005=1),AND(B1005="ROLE COMPROMISE",H1005=C1005)),Inputs!$B$13,Inputs!$B$14))</f>
        <v>10</v>
      </c>
      <c r="O1005" s="15" t="n">
        <f aca="false">IF(J1005=1,0,Inputs!$B$13)</f>
        <v>20</v>
      </c>
      <c r="P1005" s="15" t="n">
        <f aca="false">SUM(M1005:N1005)</f>
        <v>85</v>
      </c>
      <c r="Q1005" s="15" t="n">
        <f aca="false">IF(J1005=1,"",L1005-P1005)</f>
        <v>15</v>
      </c>
      <c r="R1005" s="15" t="n">
        <f aca="false">IF(OR(J1005=1,M1005&lt;=Inputs!$B$12),1,0)</f>
        <v>1</v>
      </c>
      <c r="S1005" s="15" t="n">
        <f aca="false">IF(OR(J1005=1,N1005&lt;=O1005),1,0)</f>
        <v>1</v>
      </c>
      <c r="T1005" s="15" t="str">
        <f aca="false">IF(J1005=1,"OFFLINE",IF(AND(Q1005&gt;=Inputs!$B$15,R1005=1,S1005=1,P1005&lt;=L1005),"PASS","FAIL"))</f>
        <v>PASS</v>
      </c>
    </row>
    <row r="1006" customFormat="false" ht="15" hidden="false" customHeight="false" outlineLevel="0" collapsed="false">
      <c r="A1006" s="14" t="s">
        <v>1028</v>
      </c>
      <c r="B1006" s="14" t="s">
        <v>1019</v>
      </c>
      <c r="C1006" s="14" t="s">
        <v>182</v>
      </c>
      <c r="D1006" s="14" t="s">
        <v>168</v>
      </c>
      <c r="E1006" s="14" t="s">
        <v>169</v>
      </c>
      <c r="F1006" s="14" t="s">
        <v>164</v>
      </c>
      <c r="G1006" s="14" t="n">
        <v>2</v>
      </c>
      <c r="H1006" s="14" t="s">
        <v>153</v>
      </c>
      <c r="I1006" s="14" t="s">
        <v>895</v>
      </c>
      <c r="J1006" s="15" t="n">
        <f aca="false">IF(B1006="SITE LOSS",IF(D1006=C1006,1,0),IF(B1006="REGION LOSS",IF(E1006=C1006,1,0),0))</f>
        <v>0</v>
      </c>
      <c r="K1006" s="15" t="n">
        <f aca="false">IF(B1006="SITE LOSS",IF(COUNTIFS('Site Dockets'!$B$7:$B$24,C1006,'Site Dockets'!$C$7:$C$24,F1006)&gt;0,1,0),IF(B1006="REGION LOSS",IF(COUNTIFS('Site Dockets'!$E$7:$E$24,C1006,'Site Dockets'!$C$7:$C$24,F1006)&gt;0,1,0),0))</f>
        <v>0</v>
      </c>
      <c r="L1006" s="15" t="n">
        <f aca="false">IF(J1006=1,0,Inputs!$B$11)</f>
        <v>100</v>
      </c>
      <c r="M1006" s="15" t="n">
        <f aca="false">IF(J1006=1,0,Inputs!$B$12)</f>
        <v>75</v>
      </c>
      <c r="N1006" s="15" t="n">
        <f aca="false">IF(J1006=1,0,IF(OR(AND(OR(B1006="SITE LOSS",B1006="REGION LOSS"),K1006=1),AND(B1006="ROLE COMPROMISE",H1006=C1006)),Inputs!$B$13,Inputs!$B$14))</f>
        <v>10</v>
      </c>
      <c r="O1006" s="15" t="n">
        <f aca="false">IF(J1006=1,0,Inputs!$B$13)</f>
        <v>20</v>
      </c>
      <c r="P1006" s="15" t="n">
        <f aca="false">SUM(M1006:N1006)</f>
        <v>85</v>
      </c>
      <c r="Q1006" s="15" t="n">
        <f aca="false">IF(J1006=1,"",L1006-P1006)</f>
        <v>15</v>
      </c>
      <c r="R1006" s="15" t="n">
        <f aca="false">IF(OR(J1006=1,M1006&lt;=Inputs!$B$12),1,0)</f>
        <v>1</v>
      </c>
      <c r="S1006" s="15" t="n">
        <f aca="false">IF(OR(J1006=1,N1006&lt;=O1006),1,0)</f>
        <v>1</v>
      </c>
      <c r="T1006" s="15" t="str">
        <f aca="false">IF(J1006=1,"OFFLINE",IF(AND(Q1006&gt;=Inputs!$B$15,R1006=1,S1006=1,P1006&lt;=L1006),"PASS","FAIL"))</f>
        <v>PASS</v>
      </c>
    </row>
    <row r="1007" customFormat="false" ht="15" hidden="false" customHeight="false" outlineLevel="0" collapsed="false">
      <c r="A1007" s="14" t="s">
        <v>1028</v>
      </c>
      <c r="B1007" s="14" t="s">
        <v>1019</v>
      </c>
      <c r="C1007" s="14" t="s">
        <v>182</v>
      </c>
      <c r="D1007" s="14" t="s">
        <v>168</v>
      </c>
      <c r="E1007" s="14" t="s">
        <v>169</v>
      </c>
      <c r="F1007" s="14" t="s">
        <v>164</v>
      </c>
      <c r="G1007" s="14" t="n">
        <v>2</v>
      </c>
      <c r="H1007" s="14" t="s">
        <v>153</v>
      </c>
      <c r="I1007" s="14" t="s">
        <v>897</v>
      </c>
      <c r="J1007" s="15" t="n">
        <f aca="false">IF(B1007="SITE LOSS",IF(D1007=C1007,1,0),IF(B1007="REGION LOSS",IF(E1007=C1007,1,0),0))</f>
        <v>0</v>
      </c>
      <c r="K1007" s="15" t="n">
        <f aca="false">IF(B1007="SITE LOSS",IF(COUNTIFS('Site Dockets'!$B$7:$B$24,C1007,'Site Dockets'!$C$7:$C$24,F1007)&gt;0,1,0),IF(B1007="REGION LOSS",IF(COUNTIFS('Site Dockets'!$E$7:$E$24,C1007,'Site Dockets'!$C$7:$C$24,F1007)&gt;0,1,0),0))</f>
        <v>0</v>
      </c>
      <c r="L1007" s="15" t="n">
        <f aca="false">IF(J1007=1,0,Inputs!$B$11)</f>
        <v>100</v>
      </c>
      <c r="M1007" s="15" t="n">
        <f aca="false">IF(J1007=1,0,Inputs!$B$12)</f>
        <v>75</v>
      </c>
      <c r="N1007" s="15" t="n">
        <f aca="false">IF(J1007=1,0,IF(OR(AND(OR(B1007="SITE LOSS",B1007="REGION LOSS"),K1007=1),AND(B1007="ROLE COMPROMISE",H1007=C1007)),Inputs!$B$13,Inputs!$B$14))</f>
        <v>10</v>
      </c>
      <c r="O1007" s="15" t="n">
        <f aca="false">IF(J1007=1,0,Inputs!$B$13)</f>
        <v>20</v>
      </c>
      <c r="P1007" s="15" t="n">
        <f aca="false">SUM(M1007:N1007)</f>
        <v>85</v>
      </c>
      <c r="Q1007" s="15" t="n">
        <f aca="false">IF(J1007=1,"",L1007-P1007)</f>
        <v>15</v>
      </c>
      <c r="R1007" s="15" t="n">
        <f aca="false">IF(OR(J1007=1,M1007&lt;=Inputs!$B$12),1,0)</f>
        <v>1</v>
      </c>
      <c r="S1007" s="15" t="n">
        <f aca="false">IF(OR(J1007=1,N1007&lt;=O1007),1,0)</f>
        <v>1</v>
      </c>
      <c r="T1007" s="15" t="str">
        <f aca="false">IF(J1007=1,"OFFLINE",IF(AND(Q1007&gt;=Inputs!$B$15,R1007=1,S1007=1,P1007&lt;=L1007),"PASS","FAIL"))</f>
        <v>PASS</v>
      </c>
    </row>
    <row r="1008" customFormat="false" ht="15" hidden="false" customHeight="false" outlineLevel="0" collapsed="false">
      <c r="A1008" s="14" t="s">
        <v>1028</v>
      </c>
      <c r="B1008" s="14" t="s">
        <v>1019</v>
      </c>
      <c r="C1008" s="14" t="s">
        <v>182</v>
      </c>
      <c r="D1008" s="14" t="s">
        <v>168</v>
      </c>
      <c r="E1008" s="14" t="s">
        <v>169</v>
      </c>
      <c r="F1008" s="14" t="s">
        <v>164</v>
      </c>
      <c r="G1008" s="14" t="n">
        <v>2</v>
      </c>
      <c r="H1008" s="14" t="s">
        <v>153</v>
      </c>
      <c r="I1008" s="14" t="s">
        <v>899</v>
      </c>
      <c r="J1008" s="15" t="n">
        <f aca="false">IF(B1008="SITE LOSS",IF(D1008=C1008,1,0),IF(B1008="REGION LOSS",IF(E1008=C1008,1,0),0))</f>
        <v>0</v>
      </c>
      <c r="K1008" s="15" t="n">
        <f aca="false">IF(B1008="SITE LOSS",IF(COUNTIFS('Site Dockets'!$B$7:$B$24,C1008,'Site Dockets'!$C$7:$C$24,F1008)&gt;0,1,0),IF(B1008="REGION LOSS",IF(COUNTIFS('Site Dockets'!$E$7:$E$24,C1008,'Site Dockets'!$C$7:$C$24,F1008)&gt;0,1,0),0))</f>
        <v>0</v>
      </c>
      <c r="L1008" s="15" t="n">
        <f aca="false">IF(J1008=1,0,Inputs!$B$11)</f>
        <v>100</v>
      </c>
      <c r="M1008" s="15" t="n">
        <f aca="false">IF(J1008=1,0,Inputs!$B$12)</f>
        <v>75</v>
      </c>
      <c r="N1008" s="15" t="n">
        <f aca="false">IF(J1008=1,0,IF(OR(AND(OR(B1008="SITE LOSS",B1008="REGION LOSS"),K1008=1),AND(B1008="ROLE COMPROMISE",H1008=C1008)),Inputs!$B$13,Inputs!$B$14))</f>
        <v>10</v>
      </c>
      <c r="O1008" s="15" t="n">
        <f aca="false">IF(J1008=1,0,Inputs!$B$13)</f>
        <v>20</v>
      </c>
      <c r="P1008" s="15" t="n">
        <f aca="false">SUM(M1008:N1008)</f>
        <v>85</v>
      </c>
      <c r="Q1008" s="15" t="n">
        <f aca="false">IF(J1008=1,"",L1008-P1008)</f>
        <v>15</v>
      </c>
      <c r="R1008" s="15" t="n">
        <f aca="false">IF(OR(J1008=1,M1008&lt;=Inputs!$B$12),1,0)</f>
        <v>1</v>
      </c>
      <c r="S1008" s="15" t="n">
        <f aca="false">IF(OR(J1008=1,N1008&lt;=O1008),1,0)</f>
        <v>1</v>
      </c>
      <c r="T1008" s="15" t="str">
        <f aca="false">IF(J1008=1,"OFFLINE",IF(AND(Q1008&gt;=Inputs!$B$15,R1008=1,S1008=1,P1008&lt;=L1008),"PASS","FAIL"))</f>
        <v>PASS</v>
      </c>
    </row>
    <row r="1009" customFormat="false" ht="15" hidden="false" customHeight="false" outlineLevel="0" collapsed="false">
      <c r="A1009" s="14" t="s">
        <v>1028</v>
      </c>
      <c r="B1009" s="14" t="s">
        <v>1019</v>
      </c>
      <c r="C1009" s="14" t="s">
        <v>182</v>
      </c>
      <c r="D1009" s="14" t="s">
        <v>171</v>
      </c>
      <c r="E1009" s="14" t="s">
        <v>172</v>
      </c>
      <c r="F1009" s="14" t="s">
        <v>164</v>
      </c>
      <c r="G1009" s="14" t="n">
        <v>3</v>
      </c>
      <c r="H1009" s="14" t="s">
        <v>158</v>
      </c>
      <c r="I1009" s="14" t="s">
        <v>890</v>
      </c>
      <c r="J1009" s="15" t="n">
        <f aca="false">IF(B1009="SITE LOSS",IF(D1009=C1009,1,0),IF(B1009="REGION LOSS",IF(E1009=C1009,1,0),0))</f>
        <v>0</v>
      </c>
      <c r="K1009" s="15" t="n">
        <f aca="false">IF(B1009="SITE LOSS",IF(COUNTIFS('Site Dockets'!$B$7:$B$24,C1009,'Site Dockets'!$C$7:$C$24,F1009)&gt;0,1,0),IF(B1009="REGION LOSS",IF(COUNTIFS('Site Dockets'!$E$7:$E$24,C1009,'Site Dockets'!$C$7:$C$24,F1009)&gt;0,1,0),0))</f>
        <v>0</v>
      </c>
      <c r="L1009" s="15" t="n">
        <f aca="false">IF(J1009=1,0,Inputs!$B$11)</f>
        <v>100</v>
      </c>
      <c r="M1009" s="15" t="n">
        <f aca="false">IF(J1009=1,0,Inputs!$B$12)</f>
        <v>75</v>
      </c>
      <c r="N1009" s="15" t="n">
        <f aca="false">IF(J1009=1,0,IF(OR(AND(OR(B1009="SITE LOSS",B1009="REGION LOSS"),K1009=1),AND(B1009="ROLE COMPROMISE",H1009=C1009)),Inputs!$B$13,Inputs!$B$14))</f>
        <v>10</v>
      </c>
      <c r="O1009" s="15" t="n">
        <f aca="false">IF(J1009=1,0,Inputs!$B$13)</f>
        <v>20</v>
      </c>
      <c r="P1009" s="15" t="n">
        <f aca="false">SUM(M1009:N1009)</f>
        <v>85</v>
      </c>
      <c r="Q1009" s="15" t="n">
        <f aca="false">IF(J1009=1,"",L1009-P1009)</f>
        <v>15</v>
      </c>
      <c r="R1009" s="15" t="n">
        <f aca="false">IF(OR(J1009=1,M1009&lt;=Inputs!$B$12),1,0)</f>
        <v>1</v>
      </c>
      <c r="S1009" s="15" t="n">
        <f aca="false">IF(OR(J1009=1,N1009&lt;=O1009),1,0)</f>
        <v>1</v>
      </c>
      <c r="T1009" s="15" t="str">
        <f aca="false">IF(J1009=1,"OFFLINE",IF(AND(Q1009&gt;=Inputs!$B$15,R1009=1,S1009=1,P1009&lt;=L1009),"PASS","FAIL"))</f>
        <v>PASS</v>
      </c>
    </row>
    <row r="1010" customFormat="false" ht="15" hidden="false" customHeight="false" outlineLevel="0" collapsed="false">
      <c r="A1010" s="14" t="s">
        <v>1028</v>
      </c>
      <c r="B1010" s="14" t="s">
        <v>1019</v>
      </c>
      <c r="C1010" s="14" t="s">
        <v>182</v>
      </c>
      <c r="D1010" s="14" t="s">
        <v>171</v>
      </c>
      <c r="E1010" s="14" t="s">
        <v>172</v>
      </c>
      <c r="F1010" s="14" t="s">
        <v>164</v>
      </c>
      <c r="G1010" s="14" t="n">
        <v>3</v>
      </c>
      <c r="H1010" s="14" t="s">
        <v>158</v>
      </c>
      <c r="I1010" s="14" t="s">
        <v>892</v>
      </c>
      <c r="J1010" s="15" t="n">
        <f aca="false">IF(B1010="SITE LOSS",IF(D1010=C1010,1,0),IF(B1010="REGION LOSS",IF(E1010=C1010,1,0),0))</f>
        <v>0</v>
      </c>
      <c r="K1010" s="15" t="n">
        <f aca="false">IF(B1010="SITE LOSS",IF(COUNTIFS('Site Dockets'!$B$7:$B$24,C1010,'Site Dockets'!$C$7:$C$24,F1010)&gt;0,1,0),IF(B1010="REGION LOSS",IF(COUNTIFS('Site Dockets'!$E$7:$E$24,C1010,'Site Dockets'!$C$7:$C$24,F1010)&gt;0,1,0),0))</f>
        <v>0</v>
      </c>
      <c r="L1010" s="15" t="n">
        <f aca="false">IF(J1010=1,0,Inputs!$B$11)</f>
        <v>100</v>
      </c>
      <c r="M1010" s="15" t="n">
        <f aca="false">IF(J1010=1,0,Inputs!$B$12)</f>
        <v>75</v>
      </c>
      <c r="N1010" s="15" t="n">
        <f aca="false">IF(J1010=1,0,IF(OR(AND(OR(B1010="SITE LOSS",B1010="REGION LOSS"),K1010=1),AND(B1010="ROLE COMPROMISE",H1010=C1010)),Inputs!$B$13,Inputs!$B$14))</f>
        <v>10</v>
      </c>
      <c r="O1010" s="15" t="n">
        <f aca="false">IF(J1010=1,0,Inputs!$B$13)</f>
        <v>20</v>
      </c>
      <c r="P1010" s="15" t="n">
        <f aca="false">SUM(M1010:N1010)</f>
        <v>85</v>
      </c>
      <c r="Q1010" s="15" t="n">
        <f aca="false">IF(J1010=1,"",L1010-P1010)</f>
        <v>15</v>
      </c>
      <c r="R1010" s="15" t="n">
        <f aca="false">IF(OR(J1010=1,M1010&lt;=Inputs!$B$12),1,0)</f>
        <v>1</v>
      </c>
      <c r="S1010" s="15" t="n">
        <f aca="false">IF(OR(J1010=1,N1010&lt;=O1010),1,0)</f>
        <v>1</v>
      </c>
      <c r="T1010" s="15" t="str">
        <f aca="false">IF(J1010=1,"OFFLINE",IF(AND(Q1010&gt;=Inputs!$B$15,R1010=1,S1010=1,P1010&lt;=L1010),"PASS","FAIL"))</f>
        <v>PASS</v>
      </c>
    </row>
    <row r="1011" customFormat="false" ht="15" hidden="false" customHeight="false" outlineLevel="0" collapsed="false">
      <c r="A1011" s="14" t="s">
        <v>1028</v>
      </c>
      <c r="B1011" s="14" t="s">
        <v>1019</v>
      </c>
      <c r="C1011" s="14" t="s">
        <v>182</v>
      </c>
      <c r="D1011" s="14" t="s">
        <v>171</v>
      </c>
      <c r="E1011" s="14" t="s">
        <v>172</v>
      </c>
      <c r="F1011" s="14" t="s">
        <v>164</v>
      </c>
      <c r="G1011" s="14" t="n">
        <v>3</v>
      </c>
      <c r="H1011" s="14" t="s">
        <v>158</v>
      </c>
      <c r="I1011" s="14" t="s">
        <v>811</v>
      </c>
      <c r="J1011" s="15" t="n">
        <f aca="false">IF(B1011="SITE LOSS",IF(D1011=C1011,1,0),IF(B1011="REGION LOSS",IF(E1011=C1011,1,0),0))</f>
        <v>0</v>
      </c>
      <c r="K1011" s="15" t="n">
        <f aca="false">IF(B1011="SITE LOSS",IF(COUNTIFS('Site Dockets'!$B$7:$B$24,C1011,'Site Dockets'!$C$7:$C$24,F1011)&gt;0,1,0),IF(B1011="REGION LOSS",IF(COUNTIFS('Site Dockets'!$E$7:$E$24,C1011,'Site Dockets'!$C$7:$C$24,F1011)&gt;0,1,0),0))</f>
        <v>0</v>
      </c>
      <c r="L1011" s="15" t="n">
        <f aca="false">IF(J1011=1,0,Inputs!$B$11)</f>
        <v>100</v>
      </c>
      <c r="M1011" s="15" t="n">
        <f aca="false">IF(J1011=1,0,Inputs!$B$12)</f>
        <v>75</v>
      </c>
      <c r="N1011" s="15" t="n">
        <f aca="false">IF(J1011=1,0,IF(OR(AND(OR(B1011="SITE LOSS",B1011="REGION LOSS"),K1011=1),AND(B1011="ROLE COMPROMISE",H1011=C1011)),Inputs!$B$13,Inputs!$B$14))</f>
        <v>10</v>
      </c>
      <c r="O1011" s="15" t="n">
        <f aca="false">IF(J1011=1,0,Inputs!$B$13)</f>
        <v>20</v>
      </c>
      <c r="P1011" s="15" t="n">
        <f aca="false">SUM(M1011:N1011)</f>
        <v>85</v>
      </c>
      <c r="Q1011" s="15" t="n">
        <f aca="false">IF(J1011=1,"",L1011-P1011)</f>
        <v>15</v>
      </c>
      <c r="R1011" s="15" t="n">
        <f aca="false">IF(OR(J1011=1,M1011&lt;=Inputs!$B$12),1,0)</f>
        <v>1</v>
      </c>
      <c r="S1011" s="15" t="n">
        <f aca="false">IF(OR(J1011=1,N1011&lt;=O1011),1,0)</f>
        <v>1</v>
      </c>
      <c r="T1011" s="15" t="str">
        <f aca="false">IF(J1011=1,"OFFLINE",IF(AND(Q1011&gt;=Inputs!$B$15,R1011=1,S1011=1,P1011&lt;=L1011),"PASS","FAIL"))</f>
        <v>PASS</v>
      </c>
    </row>
    <row r="1012" customFormat="false" ht="15" hidden="false" customHeight="false" outlineLevel="0" collapsed="false">
      <c r="A1012" s="14" t="s">
        <v>1028</v>
      </c>
      <c r="B1012" s="14" t="s">
        <v>1019</v>
      </c>
      <c r="C1012" s="14" t="s">
        <v>182</v>
      </c>
      <c r="D1012" s="14" t="s">
        <v>171</v>
      </c>
      <c r="E1012" s="14" t="s">
        <v>172</v>
      </c>
      <c r="F1012" s="14" t="s">
        <v>164</v>
      </c>
      <c r="G1012" s="14" t="n">
        <v>3</v>
      </c>
      <c r="H1012" s="14" t="s">
        <v>158</v>
      </c>
      <c r="I1012" s="14" t="s">
        <v>895</v>
      </c>
      <c r="J1012" s="15" t="n">
        <f aca="false">IF(B1012="SITE LOSS",IF(D1012=C1012,1,0),IF(B1012="REGION LOSS",IF(E1012=C1012,1,0),0))</f>
        <v>0</v>
      </c>
      <c r="K1012" s="15" t="n">
        <f aca="false">IF(B1012="SITE LOSS",IF(COUNTIFS('Site Dockets'!$B$7:$B$24,C1012,'Site Dockets'!$C$7:$C$24,F1012)&gt;0,1,0),IF(B1012="REGION LOSS",IF(COUNTIFS('Site Dockets'!$E$7:$E$24,C1012,'Site Dockets'!$C$7:$C$24,F1012)&gt;0,1,0),0))</f>
        <v>0</v>
      </c>
      <c r="L1012" s="15" t="n">
        <f aca="false">IF(J1012=1,0,Inputs!$B$11)</f>
        <v>100</v>
      </c>
      <c r="M1012" s="15" t="n">
        <f aca="false">IF(J1012=1,0,Inputs!$B$12)</f>
        <v>75</v>
      </c>
      <c r="N1012" s="15" t="n">
        <f aca="false">IF(J1012=1,0,IF(OR(AND(OR(B1012="SITE LOSS",B1012="REGION LOSS"),K1012=1),AND(B1012="ROLE COMPROMISE",H1012=C1012)),Inputs!$B$13,Inputs!$B$14))</f>
        <v>10</v>
      </c>
      <c r="O1012" s="15" t="n">
        <f aca="false">IF(J1012=1,0,Inputs!$B$13)</f>
        <v>20</v>
      </c>
      <c r="P1012" s="15" t="n">
        <f aca="false">SUM(M1012:N1012)</f>
        <v>85</v>
      </c>
      <c r="Q1012" s="15" t="n">
        <f aca="false">IF(J1012=1,"",L1012-P1012)</f>
        <v>15</v>
      </c>
      <c r="R1012" s="15" t="n">
        <f aca="false">IF(OR(J1012=1,M1012&lt;=Inputs!$B$12),1,0)</f>
        <v>1</v>
      </c>
      <c r="S1012" s="15" t="n">
        <f aca="false">IF(OR(J1012=1,N1012&lt;=O1012),1,0)</f>
        <v>1</v>
      </c>
      <c r="T1012" s="15" t="str">
        <f aca="false">IF(J1012=1,"OFFLINE",IF(AND(Q1012&gt;=Inputs!$B$15,R1012=1,S1012=1,P1012&lt;=L1012),"PASS","FAIL"))</f>
        <v>PASS</v>
      </c>
    </row>
    <row r="1013" customFormat="false" ht="15" hidden="false" customHeight="false" outlineLevel="0" collapsed="false">
      <c r="A1013" s="14" t="s">
        <v>1028</v>
      </c>
      <c r="B1013" s="14" t="s">
        <v>1019</v>
      </c>
      <c r="C1013" s="14" t="s">
        <v>182</v>
      </c>
      <c r="D1013" s="14" t="s">
        <v>171</v>
      </c>
      <c r="E1013" s="14" t="s">
        <v>172</v>
      </c>
      <c r="F1013" s="14" t="s">
        <v>164</v>
      </c>
      <c r="G1013" s="14" t="n">
        <v>3</v>
      </c>
      <c r="H1013" s="14" t="s">
        <v>158</v>
      </c>
      <c r="I1013" s="14" t="s">
        <v>897</v>
      </c>
      <c r="J1013" s="15" t="n">
        <f aca="false">IF(B1013="SITE LOSS",IF(D1013=C1013,1,0),IF(B1013="REGION LOSS",IF(E1013=C1013,1,0),0))</f>
        <v>0</v>
      </c>
      <c r="K1013" s="15" t="n">
        <f aca="false">IF(B1013="SITE LOSS",IF(COUNTIFS('Site Dockets'!$B$7:$B$24,C1013,'Site Dockets'!$C$7:$C$24,F1013)&gt;0,1,0),IF(B1013="REGION LOSS",IF(COUNTIFS('Site Dockets'!$E$7:$E$24,C1013,'Site Dockets'!$C$7:$C$24,F1013)&gt;0,1,0),0))</f>
        <v>0</v>
      </c>
      <c r="L1013" s="15" t="n">
        <f aca="false">IF(J1013=1,0,Inputs!$B$11)</f>
        <v>100</v>
      </c>
      <c r="M1013" s="15" t="n">
        <f aca="false">IF(J1013=1,0,Inputs!$B$12)</f>
        <v>75</v>
      </c>
      <c r="N1013" s="15" t="n">
        <f aca="false">IF(J1013=1,0,IF(OR(AND(OR(B1013="SITE LOSS",B1013="REGION LOSS"),K1013=1),AND(B1013="ROLE COMPROMISE",H1013=C1013)),Inputs!$B$13,Inputs!$B$14))</f>
        <v>10</v>
      </c>
      <c r="O1013" s="15" t="n">
        <f aca="false">IF(J1013=1,0,Inputs!$B$13)</f>
        <v>20</v>
      </c>
      <c r="P1013" s="15" t="n">
        <f aca="false">SUM(M1013:N1013)</f>
        <v>85</v>
      </c>
      <c r="Q1013" s="15" t="n">
        <f aca="false">IF(J1013=1,"",L1013-P1013)</f>
        <v>15</v>
      </c>
      <c r="R1013" s="15" t="n">
        <f aca="false">IF(OR(J1013=1,M1013&lt;=Inputs!$B$12),1,0)</f>
        <v>1</v>
      </c>
      <c r="S1013" s="15" t="n">
        <f aca="false">IF(OR(J1013=1,N1013&lt;=O1013),1,0)</f>
        <v>1</v>
      </c>
      <c r="T1013" s="15" t="str">
        <f aca="false">IF(J1013=1,"OFFLINE",IF(AND(Q1013&gt;=Inputs!$B$15,R1013=1,S1013=1,P1013&lt;=L1013),"PASS","FAIL"))</f>
        <v>PASS</v>
      </c>
    </row>
    <row r="1014" customFormat="false" ht="15" hidden="false" customHeight="false" outlineLevel="0" collapsed="false">
      <c r="A1014" s="14" t="s">
        <v>1028</v>
      </c>
      <c r="B1014" s="14" t="s">
        <v>1019</v>
      </c>
      <c r="C1014" s="14" t="s">
        <v>182</v>
      </c>
      <c r="D1014" s="14" t="s">
        <v>171</v>
      </c>
      <c r="E1014" s="14" t="s">
        <v>172</v>
      </c>
      <c r="F1014" s="14" t="s">
        <v>164</v>
      </c>
      <c r="G1014" s="14" t="n">
        <v>3</v>
      </c>
      <c r="H1014" s="14" t="s">
        <v>158</v>
      </c>
      <c r="I1014" s="14" t="s">
        <v>899</v>
      </c>
      <c r="J1014" s="15" t="n">
        <f aca="false">IF(B1014="SITE LOSS",IF(D1014=C1014,1,0),IF(B1014="REGION LOSS",IF(E1014=C1014,1,0),0))</f>
        <v>0</v>
      </c>
      <c r="K1014" s="15" t="n">
        <f aca="false">IF(B1014="SITE LOSS",IF(COUNTIFS('Site Dockets'!$B$7:$B$24,C1014,'Site Dockets'!$C$7:$C$24,F1014)&gt;0,1,0),IF(B1014="REGION LOSS",IF(COUNTIFS('Site Dockets'!$E$7:$E$24,C1014,'Site Dockets'!$C$7:$C$24,F1014)&gt;0,1,0),0))</f>
        <v>0</v>
      </c>
      <c r="L1014" s="15" t="n">
        <f aca="false">IF(J1014=1,0,Inputs!$B$11)</f>
        <v>100</v>
      </c>
      <c r="M1014" s="15" t="n">
        <f aca="false">IF(J1014=1,0,Inputs!$B$12)</f>
        <v>75</v>
      </c>
      <c r="N1014" s="15" t="n">
        <f aca="false">IF(J1014=1,0,IF(OR(AND(OR(B1014="SITE LOSS",B1014="REGION LOSS"),K1014=1),AND(B1014="ROLE COMPROMISE",H1014=C1014)),Inputs!$B$13,Inputs!$B$14))</f>
        <v>10</v>
      </c>
      <c r="O1014" s="15" t="n">
        <f aca="false">IF(J1014=1,0,Inputs!$B$13)</f>
        <v>20</v>
      </c>
      <c r="P1014" s="15" t="n">
        <f aca="false">SUM(M1014:N1014)</f>
        <v>85</v>
      </c>
      <c r="Q1014" s="15" t="n">
        <f aca="false">IF(J1014=1,"",L1014-P1014)</f>
        <v>15</v>
      </c>
      <c r="R1014" s="15" t="n">
        <f aca="false">IF(OR(J1014=1,M1014&lt;=Inputs!$B$12),1,0)</f>
        <v>1</v>
      </c>
      <c r="S1014" s="15" t="n">
        <f aca="false">IF(OR(J1014=1,N1014&lt;=O1014),1,0)</f>
        <v>1</v>
      </c>
      <c r="T1014" s="15" t="str">
        <f aca="false">IF(J1014=1,"OFFLINE",IF(AND(Q1014&gt;=Inputs!$B$15,R1014=1,S1014=1,P1014&lt;=L1014),"PASS","FAIL"))</f>
        <v>PASS</v>
      </c>
    </row>
    <row r="1015" customFormat="false" ht="15" hidden="false" customHeight="false" outlineLevel="0" collapsed="false">
      <c r="A1015" s="14" t="s">
        <v>1028</v>
      </c>
      <c r="B1015" s="14" t="s">
        <v>1019</v>
      </c>
      <c r="C1015" s="14" t="s">
        <v>182</v>
      </c>
      <c r="D1015" s="14" t="s">
        <v>174</v>
      </c>
      <c r="E1015" s="14" t="s">
        <v>152</v>
      </c>
      <c r="F1015" s="14" t="s">
        <v>175</v>
      </c>
      <c r="G1015" s="14" t="n">
        <v>1</v>
      </c>
      <c r="H1015" s="14" t="s">
        <v>154</v>
      </c>
      <c r="I1015" s="14" t="s">
        <v>890</v>
      </c>
      <c r="J1015" s="15" t="n">
        <f aca="false">IF(B1015="SITE LOSS",IF(D1015=C1015,1,0),IF(B1015="REGION LOSS",IF(E1015=C1015,1,0),0))</f>
        <v>0</v>
      </c>
      <c r="K1015" s="15" t="n">
        <f aca="false">IF(B1015="SITE LOSS",IF(COUNTIFS('Site Dockets'!$B$7:$B$24,C1015,'Site Dockets'!$C$7:$C$24,F1015)&gt;0,1,0),IF(B1015="REGION LOSS",IF(COUNTIFS('Site Dockets'!$E$7:$E$24,C1015,'Site Dockets'!$C$7:$C$24,F1015)&gt;0,1,0),0))</f>
        <v>0</v>
      </c>
      <c r="L1015" s="15" t="n">
        <f aca="false">IF(J1015=1,0,Inputs!$B$11)</f>
        <v>100</v>
      </c>
      <c r="M1015" s="15" t="n">
        <f aca="false">IF(J1015=1,0,Inputs!$B$12)</f>
        <v>75</v>
      </c>
      <c r="N1015" s="15" t="n">
        <f aca="false">IF(J1015=1,0,IF(OR(AND(OR(B1015="SITE LOSS",B1015="REGION LOSS"),K1015=1),AND(B1015="ROLE COMPROMISE",H1015=C1015)),Inputs!$B$13,Inputs!$B$14))</f>
        <v>10</v>
      </c>
      <c r="O1015" s="15" t="n">
        <f aca="false">IF(J1015=1,0,Inputs!$B$13)</f>
        <v>20</v>
      </c>
      <c r="P1015" s="15" t="n">
        <f aca="false">SUM(M1015:N1015)</f>
        <v>85</v>
      </c>
      <c r="Q1015" s="15" t="n">
        <f aca="false">IF(J1015=1,"",L1015-P1015)</f>
        <v>15</v>
      </c>
      <c r="R1015" s="15" t="n">
        <f aca="false">IF(OR(J1015=1,M1015&lt;=Inputs!$B$12),1,0)</f>
        <v>1</v>
      </c>
      <c r="S1015" s="15" t="n">
        <f aca="false">IF(OR(J1015=1,N1015&lt;=O1015),1,0)</f>
        <v>1</v>
      </c>
      <c r="T1015" s="15" t="str">
        <f aca="false">IF(J1015=1,"OFFLINE",IF(AND(Q1015&gt;=Inputs!$B$15,R1015=1,S1015=1,P1015&lt;=L1015),"PASS","FAIL"))</f>
        <v>PASS</v>
      </c>
    </row>
    <row r="1016" customFormat="false" ht="15" hidden="false" customHeight="false" outlineLevel="0" collapsed="false">
      <c r="A1016" s="14" t="s">
        <v>1028</v>
      </c>
      <c r="B1016" s="14" t="s">
        <v>1019</v>
      </c>
      <c r="C1016" s="14" t="s">
        <v>182</v>
      </c>
      <c r="D1016" s="14" t="s">
        <v>174</v>
      </c>
      <c r="E1016" s="14" t="s">
        <v>152</v>
      </c>
      <c r="F1016" s="14" t="s">
        <v>175</v>
      </c>
      <c r="G1016" s="14" t="n">
        <v>1</v>
      </c>
      <c r="H1016" s="14" t="s">
        <v>154</v>
      </c>
      <c r="I1016" s="14" t="s">
        <v>892</v>
      </c>
      <c r="J1016" s="15" t="n">
        <f aca="false">IF(B1016="SITE LOSS",IF(D1016=C1016,1,0),IF(B1016="REGION LOSS",IF(E1016=C1016,1,0),0))</f>
        <v>0</v>
      </c>
      <c r="K1016" s="15" t="n">
        <f aca="false">IF(B1016="SITE LOSS",IF(COUNTIFS('Site Dockets'!$B$7:$B$24,C1016,'Site Dockets'!$C$7:$C$24,F1016)&gt;0,1,0),IF(B1016="REGION LOSS",IF(COUNTIFS('Site Dockets'!$E$7:$E$24,C1016,'Site Dockets'!$C$7:$C$24,F1016)&gt;0,1,0),0))</f>
        <v>0</v>
      </c>
      <c r="L1016" s="15" t="n">
        <f aca="false">IF(J1016=1,0,Inputs!$B$11)</f>
        <v>100</v>
      </c>
      <c r="M1016" s="15" t="n">
        <f aca="false">IF(J1016=1,0,Inputs!$B$12)</f>
        <v>75</v>
      </c>
      <c r="N1016" s="15" t="n">
        <f aca="false">IF(J1016=1,0,IF(OR(AND(OR(B1016="SITE LOSS",B1016="REGION LOSS"),K1016=1),AND(B1016="ROLE COMPROMISE",H1016=C1016)),Inputs!$B$13,Inputs!$B$14))</f>
        <v>10</v>
      </c>
      <c r="O1016" s="15" t="n">
        <f aca="false">IF(J1016=1,0,Inputs!$B$13)</f>
        <v>20</v>
      </c>
      <c r="P1016" s="15" t="n">
        <f aca="false">SUM(M1016:N1016)</f>
        <v>85</v>
      </c>
      <c r="Q1016" s="15" t="n">
        <f aca="false">IF(J1016=1,"",L1016-P1016)</f>
        <v>15</v>
      </c>
      <c r="R1016" s="15" t="n">
        <f aca="false">IF(OR(J1016=1,M1016&lt;=Inputs!$B$12),1,0)</f>
        <v>1</v>
      </c>
      <c r="S1016" s="15" t="n">
        <f aca="false">IF(OR(J1016=1,N1016&lt;=O1016),1,0)</f>
        <v>1</v>
      </c>
      <c r="T1016" s="15" t="str">
        <f aca="false">IF(J1016=1,"OFFLINE",IF(AND(Q1016&gt;=Inputs!$B$15,R1016=1,S1016=1,P1016&lt;=L1016),"PASS","FAIL"))</f>
        <v>PASS</v>
      </c>
    </row>
    <row r="1017" customFormat="false" ht="15" hidden="false" customHeight="false" outlineLevel="0" collapsed="false">
      <c r="A1017" s="14" t="s">
        <v>1028</v>
      </c>
      <c r="B1017" s="14" t="s">
        <v>1019</v>
      </c>
      <c r="C1017" s="14" t="s">
        <v>182</v>
      </c>
      <c r="D1017" s="14" t="s">
        <v>174</v>
      </c>
      <c r="E1017" s="14" t="s">
        <v>152</v>
      </c>
      <c r="F1017" s="14" t="s">
        <v>175</v>
      </c>
      <c r="G1017" s="14" t="n">
        <v>1</v>
      </c>
      <c r="H1017" s="14" t="s">
        <v>154</v>
      </c>
      <c r="I1017" s="14" t="s">
        <v>811</v>
      </c>
      <c r="J1017" s="15" t="n">
        <f aca="false">IF(B1017="SITE LOSS",IF(D1017=C1017,1,0),IF(B1017="REGION LOSS",IF(E1017=C1017,1,0),0))</f>
        <v>0</v>
      </c>
      <c r="K1017" s="15" t="n">
        <f aca="false">IF(B1017="SITE LOSS",IF(COUNTIFS('Site Dockets'!$B$7:$B$24,C1017,'Site Dockets'!$C$7:$C$24,F1017)&gt;0,1,0),IF(B1017="REGION LOSS",IF(COUNTIFS('Site Dockets'!$E$7:$E$24,C1017,'Site Dockets'!$C$7:$C$24,F1017)&gt;0,1,0),0))</f>
        <v>0</v>
      </c>
      <c r="L1017" s="15" t="n">
        <f aca="false">IF(J1017=1,0,Inputs!$B$11)</f>
        <v>100</v>
      </c>
      <c r="M1017" s="15" t="n">
        <f aca="false">IF(J1017=1,0,Inputs!$B$12)</f>
        <v>75</v>
      </c>
      <c r="N1017" s="15" t="n">
        <f aca="false">IF(J1017=1,0,IF(OR(AND(OR(B1017="SITE LOSS",B1017="REGION LOSS"),K1017=1),AND(B1017="ROLE COMPROMISE",H1017=C1017)),Inputs!$B$13,Inputs!$B$14))</f>
        <v>10</v>
      </c>
      <c r="O1017" s="15" t="n">
        <f aca="false">IF(J1017=1,0,Inputs!$B$13)</f>
        <v>20</v>
      </c>
      <c r="P1017" s="15" t="n">
        <f aca="false">SUM(M1017:N1017)</f>
        <v>85</v>
      </c>
      <c r="Q1017" s="15" t="n">
        <f aca="false">IF(J1017=1,"",L1017-P1017)</f>
        <v>15</v>
      </c>
      <c r="R1017" s="15" t="n">
        <f aca="false">IF(OR(J1017=1,M1017&lt;=Inputs!$B$12),1,0)</f>
        <v>1</v>
      </c>
      <c r="S1017" s="15" t="n">
        <f aca="false">IF(OR(J1017=1,N1017&lt;=O1017),1,0)</f>
        <v>1</v>
      </c>
      <c r="T1017" s="15" t="str">
        <f aca="false">IF(J1017=1,"OFFLINE",IF(AND(Q1017&gt;=Inputs!$B$15,R1017=1,S1017=1,P1017&lt;=L1017),"PASS","FAIL"))</f>
        <v>PASS</v>
      </c>
    </row>
    <row r="1018" customFormat="false" ht="15" hidden="false" customHeight="false" outlineLevel="0" collapsed="false">
      <c r="A1018" s="14" t="s">
        <v>1028</v>
      </c>
      <c r="B1018" s="14" t="s">
        <v>1019</v>
      </c>
      <c r="C1018" s="14" t="s">
        <v>182</v>
      </c>
      <c r="D1018" s="14" t="s">
        <v>174</v>
      </c>
      <c r="E1018" s="14" t="s">
        <v>152</v>
      </c>
      <c r="F1018" s="14" t="s">
        <v>175</v>
      </c>
      <c r="G1018" s="14" t="n">
        <v>1</v>
      </c>
      <c r="H1018" s="14" t="s">
        <v>154</v>
      </c>
      <c r="I1018" s="14" t="s">
        <v>895</v>
      </c>
      <c r="J1018" s="15" t="n">
        <f aca="false">IF(B1018="SITE LOSS",IF(D1018=C1018,1,0),IF(B1018="REGION LOSS",IF(E1018=C1018,1,0),0))</f>
        <v>0</v>
      </c>
      <c r="K1018" s="15" t="n">
        <f aca="false">IF(B1018="SITE LOSS",IF(COUNTIFS('Site Dockets'!$B$7:$B$24,C1018,'Site Dockets'!$C$7:$C$24,F1018)&gt;0,1,0),IF(B1018="REGION LOSS",IF(COUNTIFS('Site Dockets'!$E$7:$E$24,C1018,'Site Dockets'!$C$7:$C$24,F1018)&gt;0,1,0),0))</f>
        <v>0</v>
      </c>
      <c r="L1018" s="15" t="n">
        <f aca="false">IF(J1018=1,0,Inputs!$B$11)</f>
        <v>100</v>
      </c>
      <c r="M1018" s="15" t="n">
        <f aca="false">IF(J1018=1,0,Inputs!$B$12)</f>
        <v>75</v>
      </c>
      <c r="N1018" s="15" t="n">
        <f aca="false">IF(J1018=1,0,IF(OR(AND(OR(B1018="SITE LOSS",B1018="REGION LOSS"),K1018=1),AND(B1018="ROLE COMPROMISE",H1018=C1018)),Inputs!$B$13,Inputs!$B$14))</f>
        <v>10</v>
      </c>
      <c r="O1018" s="15" t="n">
        <f aca="false">IF(J1018=1,0,Inputs!$B$13)</f>
        <v>20</v>
      </c>
      <c r="P1018" s="15" t="n">
        <f aca="false">SUM(M1018:N1018)</f>
        <v>85</v>
      </c>
      <c r="Q1018" s="15" t="n">
        <f aca="false">IF(J1018=1,"",L1018-P1018)</f>
        <v>15</v>
      </c>
      <c r="R1018" s="15" t="n">
        <f aca="false">IF(OR(J1018=1,M1018&lt;=Inputs!$B$12),1,0)</f>
        <v>1</v>
      </c>
      <c r="S1018" s="15" t="n">
        <f aca="false">IF(OR(J1018=1,N1018&lt;=O1018),1,0)</f>
        <v>1</v>
      </c>
      <c r="T1018" s="15" t="str">
        <f aca="false">IF(J1018=1,"OFFLINE",IF(AND(Q1018&gt;=Inputs!$B$15,R1018=1,S1018=1,P1018&lt;=L1018),"PASS","FAIL"))</f>
        <v>PASS</v>
      </c>
    </row>
    <row r="1019" customFormat="false" ht="15" hidden="false" customHeight="false" outlineLevel="0" collapsed="false">
      <c r="A1019" s="14" t="s">
        <v>1028</v>
      </c>
      <c r="B1019" s="14" t="s">
        <v>1019</v>
      </c>
      <c r="C1019" s="14" t="s">
        <v>182</v>
      </c>
      <c r="D1019" s="14" t="s">
        <v>174</v>
      </c>
      <c r="E1019" s="14" t="s">
        <v>152</v>
      </c>
      <c r="F1019" s="14" t="s">
        <v>175</v>
      </c>
      <c r="G1019" s="14" t="n">
        <v>1</v>
      </c>
      <c r="H1019" s="14" t="s">
        <v>154</v>
      </c>
      <c r="I1019" s="14" t="s">
        <v>897</v>
      </c>
      <c r="J1019" s="15" t="n">
        <f aca="false">IF(B1019="SITE LOSS",IF(D1019=C1019,1,0),IF(B1019="REGION LOSS",IF(E1019=C1019,1,0),0))</f>
        <v>0</v>
      </c>
      <c r="K1019" s="15" t="n">
        <f aca="false">IF(B1019="SITE LOSS",IF(COUNTIFS('Site Dockets'!$B$7:$B$24,C1019,'Site Dockets'!$C$7:$C$24,F1019)&gt;0,1,0),IF(B1019="REGION LOSS",IF(COUNTIFS('Site Dockets'!$E$7:$E$24,C1019,'Site Dockets'!$C$7:$C$24,F1019)&gt;0,1,0),0))</f>
        <v>0</v>
      </c>
      <c r="L1019" s="15" t="n">
        <f aca="false">IF(J1019=1,0,Inputs!$B$11)</f>
        <v>100</v>
      </c>
      <c r="M1019" s="15" t="n">
        <f aca="false">IF(J1019=1,0,Inputs!$B$12)</f>
        <v>75</v>
      </c>
      <c r="N1019" s="15" t="n">
        <f aca="false">IF(J1019=1,0,IF(OR(AND(OR(B1019="SITE LOSS",B1019="REGION LOSS"),K1019=1),AND(B1019="ROLE COMPROMISE",H1019=C1019)),Inputs!$B$13,Inputs!$B$14))</f>
        <v>10</v>
      </c>
      <c r="O1019" s="15" t="n">
        <f aca="false">IF(J1019=1,0,Inputs!$B$13)</f>
        <v>20</v>
      </c>
      <c r="P1019" s="15" t="n">
        <f aca="false">SUM(M1019:N1019)</f>
        <v>85</v>
      </c>
      <c r="Q1019" s="15" t="n">
        <f aca="false">IF(J1019=1,"",L1019-P1019)</f>
        <v>15</v>
      </c>
      <c r="R1019" s="15" t="n">
        <f aca="false">IF(OR(J1019=1,M1019&lt;=Inputs!$B$12),1,0)</f>
        <v>1</v>
      </c>
      <c r="S1019" s="15" t="n">
        <f aca="false">IF(OR(J1019=1,N1019&lt;=O1019),1,0)</f>
        <v>1</v>
      </c>
      <c r="T1019" s="15" t="str">
        <f aca="false">IF(J1019=1,"OFFLINE",IF(AND(Q1019&gt;=Inputs!$B$15,R1019=1,S1019=1,P1019&lt;=L1019),"PASS","FAIL"))</f>
        <v>PASS</v>
      </c>
    </row>
    <row r="1020" customFormat="false" ht="15" hidden="false" customHeight="false" outlineLevel="0" collapsed="false">
      <c r="A1020" s="14" t="s">
        <v>1028</v>
      </c>
      <c r="B1020" s="14" t="s">
        <v>1019</v>
      </c>
      <c r="C1020" s="14" t="s">
        <v>182</v>
      </c>
      <c r="D1020" s="14" t="s">
        <v>174</v>
      </c>
      <c r="E1020" s="14" t="s">
        <v>152</v>
      </c>
      <c r="F1020" s="14" t="s">
        <v>175</v>
      </c>
      <c r="G1020" s="14" t="n">
        <v>1</v>
      </c>
      <c r="H1020" s="14" t="s">
        <v>154</v>
      </c>
      <c r="I1020" s="14" t="s">
        <v>899</v>
      </c>
      <c r="J1020" s="15" t="n">
        <f aca="false">IF(B1020="SITE LOSS",IF(D1020=C1020,1,0),IF(B1020="REGION LOSS",IF(E1020=C1020,1,0),0))</f>
        <v>0</v>
      </c>
      <c r="K1020" s="15" t="n">
        <f aca="false">IF(B1020="SITE LOSS",IF(COUNTIFS('Site Dockets'!$B$7:$B$24,C1020,'Site Dockets'!$C$7:$C$24,F1020)&gt;0,1,0),IF(B1020="REGION LOSS",IF(COUNTIFS('Site Dockets'!$E$7:$E$24,C1020,'Site Dockets'!$C$7:$C$24,F1020)&gt;0,1,0),0))</f>
        <v>0</v>
      </c>
      <c r="L1020" s="15" t="n">
        <f aca="false">IF(J1020=1,0,Inputs!$B$11)</f>
        <v>100</v>
      </c>
      <c r="M1020" s="15" t="n">
        <f aca="false">IF(J1020=1,0,Inputs!$B$12)</f>
        <v>75</v>
      </c>
      <c r="N1020" s="15" t="n">
        <f aca="false">IF(J1020=1,0,IF(OR(AND(OR(B1020="SITE LOSS",B1020="REGION LOSS"),K1020=1),AND(B1020="ROLE COMPROMISE",H1020=C1020)),Inputs!$B$13,Inputs!$B$14))</f>
        <v>10</v>
      </c>
      <c r="O1020" s="15" t="n">
        <f aca="false">IF(J1020=1,0,Inputs!$B$13)</f>
        <v>20</v>
      </c>
      <c r="P1020" s="15" t="n">
        <f aca="false">SUM(M1020:N1020)</f>
        <v>85</v>
      </c>
      <c r="Q1020" s="15" t="n">
        <f aca="false">IF(J1020=1,"",L1020-P1020)</f>
        <v>15</v>
      </c>
      <c r="R1020" s="15" t="n">
        <f aca="false">IF(OR(J1020=1,M1020&lt;=Inputs!$B$12),1,0)</f>
        <v>1</v>
      </c>
      <c r="S1020" s="15" t="n">
        <f aca="false">IF(OR(J1020=1,N1020&lt;=O1020),1,0)</f>
        <v>1</v>
      </c>
      <c r="T1020" s="15" t="str">
        <f aca="false">IF(J1020=1,"OFFLINE",IF(AND(Q1020&gt;=Inputs!$B$15,R1020=1,S1020=1,P1020&lt;=L1020),"PASS","FAIL"))</f>
        <v>PASS</v>
      </c>
    </row>
    <row r="1021" customFormat="false" ht="15" hidden="false" customHeight="false" outlineLevel="0" collapsed="false">
      <c r="A1021" s="14" t="s">
        <v>1028</v>
      </c>
      <c r="B1021" s="14" t="s">
        <v>1019</v>
      </c>
      <c r="C1021" s="14" t="s">
        <v>182</v>
      </c>
      <c r="D1021" s="14" t="s">
        <v>178</v>
      </c>
      <c r="E1021" s="14" t="s">
        <v>169</v>
      </c>
      <c r="F1021" s="14" t="s">
        <v>175</v>
      </c>
      <c r="G1021" s="14" t="n">
        <v>2</v>
      </c>
      <c r="H1021" s="14" t="s">
        <v>153</v>
      </c>
      <c r="I1021" s="14" t="s">
        <v>890</v>
      </c>
      <c r="J1021" s="15" t="n">
        <f aca="false">IF(B1021="SITE LOSS",IF(D1021=C1021,1,0),IF(B1021="REGION LOSS",IF(E1021=C1021,1,0),0))</f>
        <v>0</v>
      </c>
      <c r="K1021" s="15" t="n">
        <f aca="false">IF(B1021="SITE LOSS",IF(COUNTIFS('Site Dockets'!$B$7:$B$24,C1021,'Site Dockets'!$C$7:$C$24,F1021)&gt;0,1,0),IF(B1021="REGION LOSS",IF(COUNTIFS('Site Dockets'!$E$7:$E$24,C1021,'Site Dockets'!$C$7:$C$24,F1021)&gt;0,1,0),0))</f>
        <v>0</v>
      </c>
      <c r="L1021" s="15" t="n">
        <f aca="false">IF(J1021=1,0,Inputs!$B$11)</f>
        <v>100</v>
      </c>
      <c r="M1021" s="15" t="n">
        <f aca="false">IF(J1021=1,0,Inputs!$B$12)</f>
        <v>75</v>
      </c>
      <c r="N1021" s="15" t="n">
        <f aca="false">IF(J1021=1,0,IF(OR(AND(OR(B1021="SITE LOSS",B1021="REGION LOSS"),K1021=1),AND(B1021="ROLE COMPROMISE",H1021=C1021)),Inputs!$B$13,Inputs!$B$14))</f>
        <v>10</v>
      </c>
      <c r="O1021" s="15" t="n">
        <f aca="false">IF(J1021=1,0,Inputs!$B$13)</f>
        <v>20</v>
      </c>
      <c r="P1021" s="15" t="n">
        <f aca="false">SUM(M1021:N1021)</f>
        <v>85</v>
      </c>
      <c r="Q1021" s="15" t="n">
        <f aca="false">IF(J1021=1,"",L1021-P1021)</f>
        <v>15</v>
      </c>
      <c r="R1021" s="15" t="n">
        <f aca="false">IF(OR(J1021=1,M1021&lt;=Inputs!$B$12),1,0)</f>
        <v>1</v>
      </c>
      <c r="S1021" s="15" t="n">
        <f aca="false">IF(OR(J1021=1,N1021&lt;=O1021),1,0)</f>
        <v>1</v>
      </c>
      <c r="T1021" s="15" t="str">
        <f aca="false">IF(J1021=1,"OFFLINE",IF(AND(Q1021&gt;=Inputs!$B$15,R1021=1,S1021=1,P1021&lt;=L1021),"PASS","FAIL"))</f>
        <v>PASS</v>
      </c>
    </row>
    <row r="1022" customFormat="false" ht="15" hidden="false" customHeight="false" outlineLevel="0" collapsed="false">
      <c r="A1022" s="14" t="s">
        <v>1028</v>
      </c>
      <c r="B1022" s="14" t="s">
        <v>1019</v>
      </c>
      <c r="C1022" s="14" t="s">
        <v>182</v>
      </c>
      <c r="D1022" s="14" t="s">
        <v>178</v>
      </c>
      <c r="E1022" s="14" t="s">
        <v>169</v>
      </c>
      <c r="F1022" s="14" t="s">
        <v>175</v>
      </c>
      <c r="G1022" s="14" t="n">
        <v>2</v>
      </c>
      <c r="H1022" s="14" t="s">
        <v>153</v>
      </c>
      <c r="I1022" s="14" t="s">
        <v>892</v>
      </c>
      <c r="J1022" s="15" t="n">
        <f aca="false">IF(B1022="SITE LOSS",IF(D1022=C1022,1,0),IF(B1022="REGION LOSS",IF(E1022=C1022,1,0),0))</f>
        <v>0</v>
      </c>
      <c r="K1022" s="15" t="n">
        <f aca="false">IF(B1022="SITE LOSS",IF(COUNTIFS('Site Dockets'!$B$7:$B$24,C1022,'Site Dockets'!$C$7:$C$24,F1022)&gt;0,1,0),IF(B1022="REGION LOSS",IF(COUNTIFS('Site Dockets'!$E$7:$E$24,C1022,'Site Dockets'!$C$7:$C$24,F1022)&gt;0,1,0),0))</f>
        <v>0</v>
      </c>
      <c r="L1022" s="15" t="n">
        <f aca="false">IF(J1022=1,0,Inputs!$B$11)</f>
        <v>100</v>
      </c>
      <c r="M1022" s="15" t="n">
        <f aca="false">IF(J1022=1,0,Inputs!$B$12)</f>
        <v>75</v>
      </c>
      <c r="N1022" s="15" t="n">
        <f aca="false">IF(J1022=1,0,IF(OR(AND(OR(B1022="SITE LOSS",B1022="REGION LOSS"),K1022=1),AND(B1022="ROLE COMPROMISE",H1022=C1022)),Inputs!$B$13,Inputs!$B$14))</f>
        <v>10</v>
      </c>
      <c r="O1022" s="15" t="n">
        <f aca="false">IF(J1022=1,0,Inputs!$B$13)</f>
        <v>20</v>
      </c>
      <c r="P1022" s="15" t="n">
        <f aca="false">SUM(M1022:N1022)</f>
        <v>85</v>
      </c>
      <c r="Q1022" s="15" t="n">
        <f aca="false">IF(J1022=1,"",L1022-P1022)</f>
        <v>15</v>
      </c>
      <c r="R1022" s="15" t="n">
        <f aca="false">IF(OR(J1022=1,M1022&lt;=Inputs!$B$12),1,0)</f>
        <v>1</v>
      </c>
      <c r="S1022" s="15" t="n">
        <f aca="false">IF(OR(J1022=1,N1022&lt;=O1022),1,0)</f>
        <v>1</v>
      </c>
      <c r="T1022" s="15" t="str">
        <f aca="false">IF(J1022=1,"OFFLINE",IF(AND(Q1022&gt;=Inputs!$B$15,R1022=1,S1022=1,P1022&lt;=L1022),"PASS","FAIL"))</f>
        <v>PASS</v>
      </c>
    </row>
    <row r="1023" customFormat="false" ht="15" hidden="false" customHeight="false" outlineLevel="0" collapsed="false">
      <c r="A1023" s="14" t="s">
        <v>1028</v>
      </c>
      <c r="B1023" s="14" t="s">
        <v>1019</v>
      </c>
      <c r="C1023" s="14" t="s">
        <v>182</v>
      </c>
      <c r="D1023" s="14" t="s">
        <v>178</v>
      </c>
      <c r="E1023" s="14" t="s">
        <v>169</v>
      </c>
      <c r="F1023" s="14" t="s">
        <v>175</v>
      </c>
      <c r="G1023" s="14" t="n">
        <v>2</v>
      </c>
      <c r="H1023" s="14" t="s">
        <v>153</v>
      </c>
      <c r="I1023" s="14" t="s">
        <v>811</v>
      </c>
      <c r="J1023" s="15" t="n">
        <f aca="false">IF(B1023="SITE LOSS",IF(D1023=C1023,1,0),IF(B1023="REGION LOSS",IF(E1023=C1023,1,0),0))</f>
        <v>0</v>
      </c>
      <c r="K1023" s="15" t="n">
        <f aca="false">IF(B1023="SITE LOSS",IF(COUNTIFS('Site Dockets'!$B$7:$B$24,C1023,'Site Dockets'!$C$7:$C$24,F1023)&gt;0,1,0),IF(B1023="REGION LOSS",IF(COUNTIFS('Site Dockets'!$E$7:$E$24,C1023,'Site Dockets'!$C$7:$C$24,F1023)&gt;0,1,0),0))</f>
        <v>0</v>
      </c>
      <c r="L1023" s="15" t="n">
        <f aca="false">IF(J1023=1,0,Inputs!$B$11)</f>
        <v>100</v>
      </c>
      <c r="M1023" s="15" t="n">
        <f aca="false">IF(J1023=1,0,Inputs!$B$12)</f>
        <v>75</v>
      </c>
      <c r="N1023" s="15" t="n">
        <f aca="false">IF(J1023=1,0,IF(OR(AND(OR(B1023="SITE LOSS",B1023="REGION LOSS"),K1023=1),AND(B1023="ROLE COMPROMISE",H1023=C1023)),Inputs!$B$13,Inputs!$B$14))</f>
        <v>10</v>
      </c>
      <c r="O1023" s="15" t="n">
        <f aca="false">IF(J1023=1,0,Inputs!$B$13)</f>
        <v>20</v>
      </c>
      <c r="P1023" s="15" t="n">
        <f aca="false">SUM(M1023:N1023)</f>
        <v>85</v>
      </c>
      <c r="Q1023" s="15" t="n">
        <f aca="false">IF(J1023=1,"",L1023-P1023)</f>
        <v>15</v>
      </c>
      <c r="R1023" s="15" t="n">
        <f aca="false">IF(OR(J1023=1,M1023&lt;=Inputs!$B$12),1,0)</f>
        <v>1</v>
      </c>
      <c r="S1023" s="15" t="n">
        <f aca="false">IF(OR(J1023=1,N1023&lt;=O1023),1,0)</f>
        <v>1</v>
      </c>
      <c r="T1023" s="15" t="str">
        <f aca="false">IF(J1023=1,"OFFLINE",IF(AND(Q1023&gt;=Inputs!$B$15,R1023=1,S1023=1,P1023&lt;=L1023),"PASS","FAIL"))</f>
        <v>PASS</v>
      </c>
    </row>
    <row r="1024" customFormat="false" ht="15" hidden="false" customHeight="false" outlineLevel="0" collapsed="false">
      <c r="A1024" s="14" t="s">
        <v>1028</v>
      </c>
      <c r="B1024" s="14" t="s">
        <v>1019</v>
      </c>
      <c r="C1024" s="14" t="s">
        <v>182</v>
      </c>
      <c r="D1024" s="14" t="s">
        <v>178</v>
      </c>
      <c r="E1024" s="14" t="s">
        <v>169</v>
      </c>
      <c r="F1024" s="14" t="s">
        <v>175</v>
      </c>
      <c r="G1024" s="14" t="n">
        <v>2</v>
      </c>
      <c r="H1024" s="14" t="s">
        <v>153</v>
      </c>
      <c r="I1024" s="14" t="s">
        <v>895</v>
      </c>
      <c r="J1024" s="15" t="n">
        <f aca="false">IF(B1024="SITE LOSS",IF(D1024=C1024,1,0),IF(B1024="REGION LOSS",IF(E1024=C1024,1,0),0))</f>
        <v>0</v>
      </c>
      <c r="K1024" s="15" t="n">
        <f aca="false">IF(B1024="SITE LOSS",IF(COUNTIFS('Site Dockets'!$B$7:$B$24,C1024,'Site Dockets'!$C$7:$C$24,F1024)&gt;0,1,0),IF(B1024="REGION LOSS",IF(COUNTIFS('Site Dockets'!$E$7:$E$24,C1024,'Site Dockets'!$C$7:$C$24,F1024)&gt;0,1,0),0))</f>
        <v>0</v>
      </c>
      <c r="L1024" s="15" t="n">
        <f aca="false">IF(J1024=1,0,Inputs!$B$11)</f>
        <v>100</v>
      </c>
      <c r="M1024" s="15" t="n">
        <f aca="false">IF(J1024=1,0,Inputs!$B$12)</f>
        <v>75</v>
      </c>
      <c r="N1024" s="15" t="n">
        <f aca="false">IF(J1024=1,0,IF(OR(AND(OR(B1024="SITE LOSS",B1024="REGION LOSS"),K1024=1),AND(B1024="ROLE COMPROMISE",H1024=C1024)),Inputs!$B$13,Inputs!$B$14))</f>
        <v>10</v>
      </c>
      <c r="O1024" s="15" t="n">
        <f aca="false">IF(J1024=1,0,Inputs!$B$13)</f>
        <v>20</v>
      </c>
      <c r="P1024" s="15" t="n">
        <f aca="false">SUM(M1024:N1024)</f>
        <v>85</v>
      </c>
      <c r="Q1024" s="15" t="n">
        <f aca="false">IF(J1024=1,"",L1024-P1024)</f>
        <v>15</v>
      </c>
      <c r="R1024" s="15" t="n">
        <f aca="false">IF(OR(J1024=1,M1024&lt;=Inputs!$B$12),1,0)</f>
        <v>1</v>
      </c>
      <c r="S1024" s="15" t="n">
        <f aca="false">IF(OR(J1024=1,N1024&lt;=O1024),1,0)</f>
        <v>1</v>
      </c>
      <c r="T1024" s="15" t="str">
        <f aca="false">IF(J1024=1,"OFFLINE",IF(AND(Q1024&gt;=Inputs!$B$15,R1024=1,S1024=1,P1024&lt;=L1024),"PASS","FAIL"))</f>
        <v>PASS</v>
      </c>
    </row>
    <row r="1025" customFormat="false" ht="15" hidden="false" customHeight="false" outlineLevel="0" collapsed="false">
      <c r="A1025" s="14" t="s">
        <v>1028</v>
      </c>
      <c r="B1025" s="14" t="s">
        <v>1019</v>
      </c>
      <c r="C1025" s="14" t="s">
        <v>182</v>
      </c>
      <c r="D1025" s="14" t="s">
        <v>178</v>
      </c>
      <c r="E1025" s="14" t="s">
        <v>169</v>
      </c>
      <c r="F1025" s="14" t="s">
        <v>175</v>
      </c>
      <c r="G1025" s="14" t="n">
        <v>2</v>
      </c>
      <c r="H1025" s="14" t="s">
        <v>153</v>
      </c>
      <c r="I1025" s="14" t="s">
        <v>897</v>
      </c>
      <c r="J1025" s="15" t="n">
        <f aca="false">IF(B1025="SITE LOSS",IF(D1025=C1025,1,0),IF(B1025="REGION LOSS",IF(E1025=C1025,1,0),0))</f>
        <v>0</v>
      </c>
      <c r="K1025" s="15" t="n">
        <f aca="false">IF(B1025="SITE LOSS",IF(COUNTIFS('Site Dockets'!$B$7:$B$24,C1025,'Site Dockets'!$C$7:$C$24,F1025)&gt;0,1,0),IF(B1025="REGION LOSS",IF(COUNTIFS('Site Dockets'!$E$7:$E$24,C1025,'Site Dockets'!$C$7:$C$24,F1025)&gt;0,1,0),0))</f>
        <v>0</v>
      </c>
      <c r="L1025" s="15" t="n">
        <f aca="false">IF(J1025=1,0,Inputs!$B$11)</f>
        <v>100</v>
      </c>
      <c r="M1025" s="15" t="n">
        <f aca="false">IF(J1025=1,0,Inputs!$B$12)</f>
        <v>75</v>
      </c>
      <c r="N1025" s="15" t="n">
        <f aca="false">IF(J1025=1,0,IF(OR(AND(OR(B1025="SITE LOSS",B1025="REGION LOSS"),K1025=1),AND(B1025="ROLE COMPROMISE",H1025=C1025)),Inputs!$B$13,Inputs!$B$14))</f>
        <v>10</v>
      </c>
      <c r="O1025" s="15" t="n">
        <f aca="false">IF(J1025=1,0,Inputs!$B$13)</f>
        <v>20</v>
      </c>
      <c r="P1025" s="15" t="n">
        <f aca="false">SUM(M1025:N1025)</f>
        <v>85</v>
      </c>
      <c r="Q1025" s="15" t="n">
        <f aca="false">IF(J1025=1,"",L1025-P1025)</f>
        <v>15</v>
      </c>
      <c r="R1025" s="15" t="n">
        <f aca="false">IF(OR(J1025=1,M1025&lt;=Inputs!$B$12),1,0)</f>
        <v>1</v>
      </c>
      <c r="S1025" s="15" t="n">
        <f aca="false">IF(OR(J1025=1,N1025&lt;=O1025),1,0)</f>
        <v>1</v>
      </c>
      <c r="T1025" s="15" t="str">
        <f aca="false">IF(J1025=1,"OFFLINE",IF(AND(Q1025&gt;=Inputs!$B$15,R1025=1,S1025=1,P1025&lt;=L1025),"PASS","FAIL"))</f>
        <v>PASS</v>
      </c>
    </row>
    <row r="1026" customFormat="false" ht="15" hidden="false" customHeight="false" outlineLevel="0" collapsed="false">
      <c r="A1026" s="14" t="s">
        <v>1028</v>
      </c>
      <c r="B1026" s="14" t="s">
        <v>1019</v>
      </c>
      <c r="C1026" s="14" t="s">
        <v>182</v>
      </c>
      <c r="D1026" s="14" t="s">
        <v>178</v>
      </c>
      <c r="E1026" s="14" t="s">
        <v>169</v>
      </c>
      <c r="F1026" s="14" t="s">
        <v>175</v>
      </c>
      <c r="G1026" s="14" t="n">
        <v>2</v>
      </c>
      <c r="H1026" s="14" t="s">
        <v>153</v>
      </c>
      <c r="I1026" s="14" t="s">
        <v>899</v>
      </c>
      <c r="J1026" s="15" t="n">
        <f aca="false">IF(B1026="SITE LOSS",IF(D1026=C1026,1,0),IF(B1026="REGION LOSS",IF(E1026=C1026,1,0),0))</f>
        <v>0</v>
      </c>
      <c r="K1026" s="15" t="n">
        <f aca="false">IF(B1026="SITE LOSS",IF(COUNTIFS('Site Dockets'!$B$7:$B$24,C1026,'Site Dockets'!$C$7:$C$24,F1026)&gt;0,1,0),IF(B1026="REGION LOSS",IF(COUNTIFS('Site Dockets'!$E$7:$E$24,C1026,'Site Dockets'!$C$7:$C$24,F1026)&gt;0,1,0),0))</f>
        <v>0</v>
      </c>
      <c r="L1026" s="15" t="n">
        <f aca="false">IF(J1026=1,0,Inputs!$B$11)</f>
        <v>100</v>
      </c>
      <c r="M1026" s="15" t="n">
        <f aca="false">IF(J1026=1,0,Inputs!$B$12)</f>
        <v>75</v>
      </c>
      <c r="N1026" s="15" t="n">
        <f aca="false">IF(J1026=1,0,IF(OR(AND(OR(B1026="SITE LOSS",B1026="REGION LOSS"),K1026=1),AND(B1026="ROLE COMPROMISE",H1026=C1026)),Inputs!$B$13,Inputs!$B$14))</f>
        <v>10</v>
      </c>
      <c r="O1026" s="15" t="n">
        <f aca="false">IF(J1026=1,0,Inputs!$B$13)</f>
        <v>20</v>
      </c>
      <c r="P1026" s="15" t="n">
        <f aca="false">SUM(M1026:N1026)</f>
        <v>85</v>
      </c>
      <c r="Q1026" s="15" t="n">
        <f aca="false">IF(J1026=1,"",L1026-P1026)</f>
        <v>15</v>
      </c>
      <c r="R1026" s="15" t="n">
        <f aca="false">IF(OR(J1026=1,M1026&lt;=Inputs!$B$12),1,0)</f>
        <v>1</v>
      </c>
      <c r="S1026" s="15" t="n">
        <f aca="false">IF(OR(J1026=1,N1026&lt;=O1026),1,0)</f>
        <v>1</v>
      </c>
      <c r="T1026" s="15" t="str">
        <f aca="false">IF(J1026=1,"OFFLINE",IF(AND(Q1026&gt;=Inputs!$B$15,R1026=1,S1026=1,P1026&lt;=L1026),"PASS","FAIL"))</f>
        <v>PASS</v>
      </c>
    </row>
    <row r="1027" customFormat="false" ht="15" hidden="false" customHeight="false" outlineLevel="0" collapsed="false">
      <c r="A1027" s="14" t="s">
        <v>1028</v>
      </c>
      <c r="B1027" s="14" t="s">
        <v>1019</v>
      </c>
      <c r="C1027" s="14" t="s">
        <v>182</v>
      </c>
      <c r="D1027" s="14" t="s">
        <v>180</v>
      </c>
      <c r="E1027" s="14" t="s">
        <v>161</v>
      </c>
      <c r="F1027" s="14" t="s">
        <v>175</v>
      </c>
      <c r="G1027" s="14" t="n">
        <v>3</v>
      </c>
      <c r="H1027" s="14" t="s">
        <v>158</v>
      </c>
      <c r="I1027" s="14" t="s">
        <v>890</v>
      </c>
      <c r="J1027" s="15" t="n">
        <f aca="false">IF(B1027="SITE LOSS",IF(D1027=C1027,1,0),IF(B1027="REGION LOSS",IF(E1027=C1027,1,0),0))</f>
        <v>0</v>
      </c>
      <c r="K1027" s="15" t="n">
        <f aca="false">IF(B1027="SITE LOSS",IF(COUNTIFS('Site Dockets'!$B$7:$B$24,C1027,'Site Dockets'!$C$7:$C$24,F1027)&gt;0,1,0),IF(B1027="REGION LOSS",IF(COUNTIFS('Site Dockets'!$E$7:$E$24,C1027,'Site Dockets'!$C$7:$C$24,F1027)&gt;0,1,0),0))</f>
        <v>0</v>
      </c>
      <c r="L1027" s="15" t="n">
        <f aca="false">IF(J1027=1,0,Inputs!$B$11)</f>
        <v>100</v>
      </c>
      <c r="M1027" s="15" t="n">
        <f aca="false">IF(J1027=1,0,Inputs!$B$12)</f>
        <v>75</v>
      </c>
      <c r="N1027" s="15" t="n">
        <f aca="false">IF(J1027=1,0,IF(OR(AND(OR(B1027="SITE LOSS",B1027="REGION LOSS"),K1027=1),AND(B1027="ROLE COMPROMISE",H1027=C1027)),Inputs!$B$13,Inputs!$B$14))</f>
        <v>10</v>
      </c>
      <c r="O1027" s="15" t="n">
        <f aca="false">IF(J1027=1,0,Inputs!$B$13)</f>
        <v>20</v>
      </c>
      <c r="P1027" s="15" t="n">
        <f aca="false">SUM(M1027:N1027)</f>
        <v>85</v>
      </c>
      <c r="Q1027" s="15" t="n">
        <f aca="false">IF(J1027=1,"",L1027-P1027)</f>
        <v>15</v>
      </c>
      <c r="R1027" s="15" t="n">
        <f aca="false">IF(OR(J1027=1,M1027&lt;=Inputs!$B$12),1,0)</f>
        <v>1</v>
      </c>
      <c r="S1027" s="15" t="n">
        <f aca="false">IF(OR(J1027=1,N1027&lt;=O1027),1,0)</f>
        <v>1</v>
      </c>
      <c r="T1027" s="15" t="str">
        <f aca="false">IF(J1027=1,"OFFLINE",IF(AND(Q1027&gt;=Inputs!$B$15,R1027=1,S1027=1,P1027&lt;=L1027),"PASS","FAIL"))</f>
        <v>PASS</v>
      </c>
    </row>
    <row r="1028" customFormat="false" ht="15" hidden="false" customHeight="false" outlineLevel="0" collapsed="false">
      <c r="A1028" s="14" t="s">
        <v>1028</v>
      </c>
      <c r="B1028" s="14" t="s">
        <v>1019</v>
      </c>
      <c r="C1028" s="14" t="s">
        <v>182</v>
      </c>
      <c r="D1028" s="14" t="s">
        <v>180</v>
      </c>
      <c r="E1028" s="14" t="s">
        <v>161</v>
      </c>
      <c r="F1028" s="14" t="s">
        <v>175</v>
      </c>
      <c r="G1028" s="14" t="n">
        <v>3</v>
      </c>
      <c r="H1028" s="14" t="s">
        <v>158</v>
      </c>
      <c r="I1028" s="14" t="s">
        <v>892</v>
      </c>
      <c r="J1028" s="15" t="n">
        <f aca="false">IF(B1028="SITE LOSS",IF(D1028=C1028,1,0),IF(B1028="REGION LOSS",IF(E1028=C1028,1,0),0))</f>
        <v>0</v>
      </c>
      <c r="K1028" s="15" t="n">
        <f aca="false">IF(B1028="SITE LOSS",IF(COUNTIFS('Site Dockets'!$B$7:$B$24,C1028,'Site Dockets'!$C$7:$C$24,F1028)&gt;0,1,0),IF(B1028="REGION LOSS",IF(COUNTIFS('Site Dockets'!$E$7:$E$24,C1028,'Site Dockets'!$C$7:$C$24,F1028)&gt;0,1,0),0))</f>
        <v>0</v>
      </c>
      <c r="L1028" s="15" t="n">
        <f aca="false">IF(J1028=1,0,Inputs!$B$11)</f>
        <v>100</v>
      </c>
      <c r="M1028" s="15" t="n">
        <f aca="false">IF(J1028=1,0,Inputs!$B$12)</f>
        <v>75</v>
      </c>
      <c r="N1028" s="15" t="n">
        <f aca="false">IF(J1028=1,0,IF(OR(AND(OR(B1028="SITE LOSS",B1028="REGION LOSS"),K1028=1),AND(B1028="ROLE COMPROMISE",H1028=C1028)),Inputs!$B$13,Inputs!$B$14))</f>
        <v>10</v>
      </c>
      <c r="O1028" s="15" t="n">
        <f aca="false">IF(J1028=1,0,Inputs!$B$13)</f>
        <v>20</v>
      </c>
      <c r="P1028" s="15" t="n">
        <f aca="false">SUM(M1028:N1028)</f>
        <v>85</v>
      </c>
      <c r="Q1028" s="15" t="n">
        <f aca="false">IF(J1028=1,"",L1028-P1028)</f>
        <v>15</v>
      </c>
      <c r="R1028" s="15" t="n">
        <f aca="false">IF(OR(J1028=1,M1028&lt;=Inputs!$B$12),1,0)</f>
        <v>1</v>
      </c>
      <c r="S1028" s="15" t="n">
        <f aca="false">IF(OR(J1028=1,N1028&lt;=O1028),1,0)</f>
        <v>1</v>
      </c>
      <c r="T1028" s="15" t="str">
        <f aca="false">IF(J1028=1,"OFFLINE",IF(AND(Q1028&gt;=Inputs!$B$15,R1028=1,S1028=1,P1028&lt;=L1028),"PASS","FAIL"))</f>
        <v>PASS</v>
      </c>
    </row>
    <row r="1029" customFormat="false" ht="15" hidden="false" customHeight="false" outlineLevel="0" collapsed="false">
      <c r="A1029" s="14" t="s">
        <v>1028</v>
      </c>
      <c r="B1029" s="14" t="s">
        <v>1019</v>
      </c>
      <c r="C1029" s="14" t="s">
        <v>182</v>
      </c>
      <c r="D1029" s="14" t="s">
        <v>180</v>
      </c>
      <c r="E1029" s="14" t="s">
        <v>161</v>
      </c>
      <c r="F1029" s="14" t="s">
        <v>175</v>
      </c>
      <c r="G1029" s="14" t="n">
        <v>3</v>
      </c>
      <c r="H1029" s="14" t="s">
        <v>158</v>
      </c>
      <c r="I1029" s="14" t="s">
        <v>811</v>
      </c>
      <c r="J1029" s="15" t="n">
        <f aca="false">IF(B1029="SITE LOSS",IF(D1029=C1029,1,0),IF(B1029="REGION LOSS",IF(E1029=C1029,1,0),0))</f>
        <v>0</v>
      </c>
      <c r="K1029" s="15" t="n">
        <f aca="false">IF(B1029="SITE LOSS",IF(COUNTIFS('Site Dockets'!$B$7:$B$24,C1029,'Site Dockets'!$C$7:$C$24,F1029)&gt;0,1,0),IF(B1029="REGION LOSS",IF(COUNTIFS('Site Dockets'!$E$7:$E$24,C1029,'Site Dockets'!$C$7:$C$24,F1029)&gt;0,1,0),0))</f>
        <v>0</v>
      </c>
      <c r="L1029" s="15" t="n">
        <f aca="false">IF(J1029=1,0,Inputs!$B$11)</f>
        <v>100</v>
      </c>
      <c r="M1029" s="15" t="n">
        <f aca="false">IF(J1029=1,0,Inputs!$B$12)</f>
        <v>75</v>
      </c>
      <c r="N1029" s="15" t="n">
        <f aca="false">IF(J1029=1,0,IF(OR(AND(OR(B1029="SITE LOSS",B1029="REGION LOSS"),K1029=1),AND(B1029="ROLE COMPROMISE",H1029=C1029)),Inputs!$B$13,Inputs!$B$14))</f>
        <v>10</v>
      </c>
      <c r="O1029" s="15" t="n">
        <f aca="false">IF(J1029=1,0,Inputs!$B$13)</f>
        <v>20</v>
      </c>
      <c r="P1029" s="15" t="n">
        <f aca="false">SUM(M1029:N1029)</f>
        <v>85</v>
      </c>
      <c r="Q1029" s="15" t="n">
        <f aca="false">IF(J1029=1,"",L1029-P1029)</f>
        <v>15</v>
      </c>
      <c r="R1029" s="15" t="n">
        <f aca="false">IF(OR(J1029=1,M1029&lt;=Inputs!$B$12),1,0)</f>
        <v>1</v>
      </c>
      <c r="S1029" s="15" t="n">
        <f aca="false">IF(OR(J1029=1,N1029&lt;=O1029),1,0)</f>
        <v>1</v>
      </c>
      <c r="T1029" s="15" t="str">
        <f aca="false">IF(J1029=1,"OFFLINE",IF(AND(Q1029&gt;=Inputs!$B$15,R1029=1,S1029=1,P1029&lt;=L1029),"PASS","FAIL"))</f>
        <v>PASS</v>
      </c>
    </row>
    <row r="1030" customFormat="false" ht="15" hidden="false" customHeight="false" outlineLevel="0" collapsed="false">
      <c r="A1030" s="14" t="s">
        <v>1028</v>
      </c>
      <c r="B1030" s="14" t="s">
        <v>1019</v>
      </c>
      <c r="C1030" s="14" t="s">
        <v>182</v>
      </c>
      <c r="D1030" s="14" t="s">
        <v>180</v>
      </c>
      <c r="E1030" s="14" t="s">
        <v>161</v>
      </c>
      <c r="F1030" s="14" t="s">
        <v>175</v>
      </c>
      <c r="G1030" s="14" t="n">
        <v>3</v>
      </c>
      <c r="H1030" s="14" t="s">
        <v>158</v>
      </c>
      <c r="I1030" s="14" t="s">
        <v>895</v>
      </c>
      <c r="J1030" s="15" t="n">
        <f aca="false">IF(B1030="SITE LOSS",IF(D1030=C1030,1,0),IF(B1030="REGION LOSS",IF(E1030=C1030,1,0),0))</f>
        <v>0</v>
      </c>
      <c r="K1030" s="15" t="n">
        <f aca="false">IF(B1030="SITE LOSS",IF(COUNTIFS('Site Dockets'!$B$7:$B$24,C1030,'Site Dockets'!$C$7:$C$24,F1030)&gt;0,1,0),IF(B1030="REGION LOSS",IF(COUNTIFS('Site Dockets'!$E$7:$E$24,C1030,'Site Dockets'!$C$7:$C$24,F1030)&gt;0,1,0),0))</f>
        <v>0</v>
      </c>
      <c r="L1030" s="15" t="n">
        <f aca="false">IF(J1030=1,0,Inputs!$B$11)</f>
        <v>100</v>
      </c>
      <c r="M1030" s="15" t="n">
        <f aca="false">IF(J1030=1,0,Inputs!$B$12)</f>
        <v>75</v>
      </c>
      <c r="N1030" s="15" t="n">
        <f aca="false">IF(J1030=1,0,IF(OR(AND(OR(B1030="SITE LOSS",B1030="REGION LOSS"),K1030=1),AND(B1030="ROLE COMPROMISE",H1030=C1030)),Inputs!$B$13,Inputs!$B$14))</f>
        <v>10</v>
      </c>
      <c r="O1030" s="15" t="n">
        <f aca="false">IF(J1030=1,0,Inputs!$B$13)</f>
        <v>20</v>
      </c>
      <c r="P1030" s="15" t="n">
        <f aca="false">SUM(M1030:N1030)</f>
        <v>85</v>
      </c>
      <c r="Q1030" s="15" t="n">
        <f aca="false">IF(J1030=1,"",L1030-P1030)</f>
        <v>15</v>
      </c>
      <c r="R1030" s="15" t="n">
        <f aca="false">IF(OR(J1030=1,M1030&lt;=Inputs!$B$12),1,0)</f>
        <v>1</v>
      </c>
      <c r="S1030" s="15" t="n">
        <f aca="false">IF(OR(J1030=1,N1030&lt;=O1030),1,0)</f>
        <v>1</v>
      </c>
      <c r="T1030" s="15" t="str">
        <f aca="false">IF(J1030=1,"OFFLINE",IF(AND(Q1030&gt;=Inputs!$B$15,R1030=1,S1030=1,P1030&lt;=L1030),"PASS","FAIL"))</f>
        <v>PASS</v>
      </c>
    </row>
    <row r="1031" customFormat="false" ht="15" hidden="false" customHeight="false" outlineLevel="0" collapsed="false">
      <c r="A1031" s="14" t="s">
        <v>1028</v>
      </c>
      <c r="B1031" s="14" t="s">
        <v>1019</v>
      </c>
      <c r="C1031" s="14" t="s">
        <v>182</v>
      </c>
      <c r="D1031" s="14" t="s">
        <v>180</v>
      </c>
      <c r="E1031" s="14" t="s">
        <v>161</v>
      </c>
      <c r="F1031" s="14" t="s">
        <v>175</v>
      </c>
      <c r="G1031" s="14" t="n">
        <v>3</v>
      </c>
      <c r="H1031" s="14" t="s">
        <v>158</v>
      </c>
      <c r="I1031" s="14" t="s">
        <v>897</v>
      </c>
      <c r="J1031" s="15" t="n">
        <f aca="false">IF(B1031="SITE LOSS",IF(D1031=C1031,1,0),IF(B1031="REGION LOSS",IF(E1031=C1031,1,0),0))</f>
        <v>0</v>
      </c>
      <c r="K1031" s="15" t="n">
        <f aca="false">IF(B1031="SITE LOSS",IF(COUNTIFS('Site Dockets'!$B$7:$B$24,C1031,'Site Dockets'!$C$7:$C$24,F1031)&gt;0,1,0),IF(B1031="REGION LOSS",IF(COUNTIFS('Site Dockets'!$E$7:$E$24,C1031,'Site Dockets'!$C$7:$C$24,F1031)&gt;0,1,0),0))</f>
        <v>0</v>
      </c>
      <c r="L1031" s="15" t="n">
        <f aca="false">IF(J1031=1,0,Inputs!$B$11)</f>
        <v>100</v>
      </c>
      <c r="M1031" s="15" t="n">
        <f aca="false">IF(J1031=1,0,Inputs!$B$12)</f>
        <v>75</v>
      </c>
      <c r="N1031" s="15" t="n">
        <f aca="false">IF(J1031=1,0,IF(OR(AND(OR(B1031="SITE LOSS",B1031="REGION LOSS"),K1031=1),AND(B1031="ROLE COMPROMISE",H1031=C1031)),Inputs!$B$13,Inputs!$B$14))</f>
        <v>10</v>
      </c>
      <c r="O1031" s="15" t="n">
        <f aca="false">IF(J1031=1,0,Inputs!$B$13)</f>
        <v>20</v>
      </c>
      <c r="P1031" s="15" t="n">
        <f aca="false">SUM(M1031:N1031)</f>
        <v>85</v>
      </c>
      <c r="Q1031" s="15" t="n">
        <f aca="false">IF(J1031=1,"",L1031-P1031)</f>
        <v>15</v>
      </c>
      <c r="R1031" s="15" t="n">
        <f aca="false">IF(OR(J1031=1,M1031&lt;=Inputs!$B$12),1,0)</f>
        <v>1</v>
      </c>
      <c r="S1031" s="15" t="n">
        <f aca="false">IF(OR(J1031=1,N1031&lt;=O1031),1,0)</f>
        <v>1</v>
      </c>
      <c r="T1031" s="15" t="str">
        <f aca="false">IF(J1031=1,"OFFLINE",IF(AND(Q1031&gt;=Inputs!$B$15,R1031=1,S1031=1,P1031&lt;=L1031),"PASS","FAIL"))</f>
        <v>PASS</v>
      </c>
    </row>
    <row r="1032" customFormat="false" ht="15" hidden="false" customHeight="false" outlineLevel="0" collapsed="false">
      <c r="A1032" s="14" t="s">
        <v>1028</v>
      </c>
      <c r="B1032" s="14" t="s">
        <v>1019</v>
      </c>
      <c r="C1032" s="14" t="s">
        <v>182</v>
      </c>
      <c r="D1032" s="14" t="s">
        <v>180</v>
      </c>
      <c r="E1032" s="14" t="s">
        <v>161</v>
      </c>
      <c r="F1032" s="14" t="s">
        <v>175</v>
      </c>
      <c r="G1032" s="14" t="n">
        <v>3</v>
      </c>
      <c r="H1032" s="14" t="s">
        <v>158</v>
      </c>
      <c r="I1032" s="14" t="s">
        <v>899</v>
      </c>
      <c r="J1032" s="15" t="n">
        <f aca="false">IF(B1032="SITE LOSS",IF(D1032=C1032,1,0),IF(B1032="REGION LOSS",IF(E1032=C1032,1,0),0))</f>
        <v>0</v>
      </c>
      <c r="K1032" s="15" t="n">
        <f aca="false">IF(B1032="SITE LOSS",IF(COUNTIFS('Site Dockets'!$B$7:$B$24,C1032,'Site Dockets'!$C$7:$C$24,F1032)&gt;0,1,0),IF(B1032="REGION LOSS",IF(COUNTIFS('Site Dockets'!$E$7:$E$24,C1032,'Site Dockets'!$C$7:$C$24,F1032)&gt;0,1,0),0))</f>
        <v>0</v>
      </c>
      <c r="L1032" s="15" t="n">
        <f aca="false">IF(J1032=1,0,Inputs!$B$11)</f>
        <v>100</v>
      </c>
      <c r="M1032" s="15" t="n">
        <f aca="false">IF(J1032=1,0,Inputs!$B$12)</f>
        <v>75</v>
      </c>
      <c r="N1032" s="15" t="n">
        <f aca="false">IF(J1032=1,0,IF(OR(AND(OR(B1032="SITE LOSS",B1032="REGION LOSS"),K1032=1),AND(B1032="ROLE COMPROMISE",H1032=C1032)),Inputs!$B$13,Inputs!$B$14))</f>
        <v>10</v>
      </c>
      <c r="O1032" s="15" t="n">
        <f aca="false">IF(J1032=1,0,Inputs!$B$13)</f>
        <v>20</v>
      </c>
      <c r="P1032" s="15" t="n">
        <f aca="false">SUM(M1032:N1032)</f>
        <v>85</v>
      </c>
      <c r="Q1032" s="15" t="n">
        <f aca="false">IF(J1032=1,"",L1032-P1032)</f>
        <v>15</v>
      </c>
      <c r="R1032" s="15" t="n">
        <f aca="false">IF(OR(J1032=1,M1032&lt;=Inputs!$B$12),1,0)</f>
        <v>1</v>
      </c>
      <c r="S1032" s="15" t="n">
        <f aca="false">IF(OR(J1032=1,N1032&lt;=O1032),1,0)</f>
        <v>1</v>
      </c>
      <c r="T1032" s="15" t="str">
        <f aca="false">IF(J1032=1,"OFFLINE",IF(AND(Q1032&gt;=Inputs!$B$15,R1032=1,S1032=1,P1032&lt;=L1032),"PASS","FAIL"))</f>
        <v>PASS</v>
      </c>
    </row>
    <row r="1033" customFormat="false" ht="15" hidden="false" customHeight="false" outlineLevel="0" collapsed="false">
      <c r="A1033" s="14" t="s">
        <v>1028</v>
      </c>
      <c r="B1033" s="14" t="s">
        <v>1019</v>
      </c>
      <c r="C1033" s="14" t="s">
        <v>182</v>
      </c>
      <c r="D1033" s="14" t="s">
        <v>182</v>
      </c>
      <c r="E1033" s="14" t="s">
        <v>166</v>
      </c>
      <c r="F1033" s="14" t="s">
        <v>183</v>
      </c>
      <c r="G1033" s="14" t="n">
        <v>1</v>
      </c>
      <c r="H1033" s="14" t="s">
        <v>154</v>
      </c>
      <c r="I1033" s="14" t="s">
        <v>890</v>
      </c>
      <c r="J1033" s="15" t="n">
        <f aca="false">IF(B1033="SITE LOSS",IF(D1033=C1033,1,0),IF(B1033="REGION LOSS",IF(E1033=C1033,1,0),0))</f>
        <v>1</v>
      </c>
      <c r="K1033" s="15" t="n">
        <f aca="false">IF(B1033="SITE LOSS",IF(COUNTIFS('Site Dockets'!$B$7:$B$24,C1033,'Site Dockets'!$C$7:$C$24,F1033)&gt;0,1,0),IF(B1033="REGION LOSS",IF(COUNTIFS('Site Dockets'!$E$7:$E$24,C1033,'Site Dockets'!$C$7:$C$24,F1033)&gt;0,1,0),0))</f>
        <v>1</v>
      </c>
      <c r="L1033" s="15" t="n">
        <f aca="false">IF(J1033=1,0,Inputs!$B$11)</f>
        <v>0</v>
      </c>
      <c r="M1033" s="15" t="n">
        <f aca="false">IF(J1033=1,0,Inputs!$B$12)</f>
        <v>0</v>
      </c>
      <c r="N1033" s="15" t="n">
        <f aca="false">IF(J1033=1,0,IF(OR(AND(OR(B1033="SITE LOSS",B1033="REGION LOSS"),K1033=1),AND(B1033="ROLE COMPROMISE",H1033=C1033)),Inputs!$B$13,Inputs!$B$14))</f>
        <v>0</v>
      </c>
      <c r="O1033" s="15" t="n">
        <f aca="false">IF(J1033=1,0,Inputs!$B$13)</f>
        <v>0</v>
      </c>
      <c r="P1033" s="15" t="n">
        <f aca="false">SUM(M1033:N1033)</f>
        <v>0</v>
      </c>
      <c r="Q1033" s="15" t="str">
        <f aca="false">IF(J1033=1,"",L1033-P1033)</f>
        <v/>
      </c>
      <c r="R1033" s="15" t="n">
        <f aca="false">IF(OR(J1033=1,M1033&lt;=Inputs!$B$12),1,0)</f>
        <v>1</v>
      </c>
      <c r="S1033" s="15" t="n">
        <f aca="false">IF(OR(J1033=1,N1033&lt;=O1033),1,0)</f>
        <v>1</v>
      </c>
      <c r="T1033" s="15" t="str">
        <f aca="false">IF(J1033=1,"OFFLINE",IF(AND(Q1033&gt;=Inputs!$B$15,R1033=1,S1033=1,P1033&lt;=L1033),"PASS","FAIL"))</f>
        <v>OFFLINE</v>
      </c>
    </row>
    <row r="1034" customFormat="false" ht="15" hidden="false" customHeight="false" outlineLevel="0" collapsed="false">
      <c r="A1034" s="14" t="s">
        <v>1028</v>
      </c>
      <c r="B1034" s="14" t="s">
        <v>1019</v>
      </c>
      <c r="C1034" s="14" t="s">
        <v>182</v>
      </c>
      <c r="D1034" s="14" t="s">
        <v>182</v>
      </c>
      <c r="E1034" s="14" t="s">
        <v>166</v>
      </c>
      <c r="F1034" s="14" t="s">
        <v>183</v>
      </c>
      <c r="G1034" s="14" t="n">
        <v>1</v>
      </c>
      <c r="H1034" s="14" t="s">
        <v>154</v>
      </c>
      <c r="I1034" s="14" t="s">
        <v>892</v>
      </c>
      <c r="J1034" s="15" t="n">
        <f aca="false">IF(B1034="SITE LOSS",IF(D1034=C1034,1,0),IF(B1034="REGION LOSS",IF(E1034=C1034,1,0),0))</f>
        <v>1</v>
      </c>
      <c r="K1034" s="15" t="n">
        <f aca="false">IF(B1034="SITE LOSS",IF(COUNTIFS('Site Dockets'!$B$7:$B$24,C1034,'Site Dockets'!$C$7:$C$24,F1034)&gt;0,1,0),IF(B1034="REGION LOSS",IF(COUNTIFS('Site Dockets'!$E$7:$E$24,C1034,'Site Dockets'!$C$7:$C$24,F1034)&gt;0,1,0),0))</f>
        <v>1</v>
      </c>
      <c r="L1034" s="15" t="n">
        <f aca="false">IF(J1034=1,0,Inputs!$B$11)</f>
        <v>0</v>
      </c>
      <c r="M1034" s="15" t="n">
        <f aca="false">IF(J1034=1,0,Inputs!$B$12)</f>
        <v>0</v>
      </c>
      <c r="N1034" s="15" t="n">
        <f aca="false">IF(J1034=1,0,IF(OR(AND(OR(B1034="SITE LOSS",B1034="REGION LOSS"),K1034=1),AND(B1034="ROLE COMPROMISE",H1034=C1034)),Inputs!$B$13,Inputs!$B$14))</f>
        <v>0</v>
      </c>
      <c r="O1034" s="15" t="n">
        <f aca="false">IF(J1034=1,0,Inputs!$B$13)</f>
        <v>0</v>
      </c>
      <c r="P1034" s="15" t="n">
        <f aca="false">SUM(M1034:N1034)</f>
        <v>0</v>
      </c>
      <c r="Q1034" s="15" t="str">
        <f aca="false">IF(J1034=1,"",L1034-P1034)</f>
        <v/>
      </c>
      <c r="R1034" s="15" t="n">
        <f aca="false">IF(OR(J1034=1,M1034&lt;=Inputs!$B$12),1,0)</f>
        <v>1</v>
      </c>
      <c r="S1034" s="15" t="n">
        <f aca="false">IF(OR(J1034=1,N1034&lt;=O1034),1,0)</f>
        <v>1</v>
      </c>
      <c r="T1034" s="15" t="str">
        <f aca="false">IF(J1034=1,"OFFLINE",IF(AND(Q1034&gt;=Inputs!$B$15,R1034=1,S1034=1,P1034&lt;=L1034),"PASS","FAIL"))</f>
        <v>OFFLINE</v>
      </c>
    </row>
    <row r="1035" customFormat="false" ht="15" hidden="false" customHeight="false" outlineLevel="0" collapsed="false">
      <c r="A1035" s="14" t="s">
        <v>1028</v>
      </c>
      <c r="B1035" s="14" t="s">
        <v>1019</v>
      </c>
      <c r="C1035" s="14" t="s">
        <v>182</v>
      </c>
      <c r="D1035" s="14" t="s">
        <v>182</v>
      </c>
      <c r="E1035" s="14" t="s">
        <v>166</v>
      </c>
      <c r="F1035" s="14" t="s">
        <v>183</v>
      </c>
      <c r="G1035" s="14" t="n">
        <v>1</v>
      </c>
      <c r="H1035" s="14" t="s">
        <v>154</v>
      </c>
      <c r="I1035" s="14" t="s">
        <v>811</v>
      </c>
      <c r="J1035" s="15" t="n">
        <f aca="false">IF(B1035="SITE LOSS",IF(D1035=C1035,1,0),IF(B1035="REGION LOSS",IF(E1035=C1035,1,0),0))</f>
        <v>1</v>
      </c>
      <c r="K1035" s="15" t="n">
        <f aca="false">IF(B1035="SITE LOSS",IF(COUNTIFS('Site Dockets'!$B$7:$B$24,C1035,'Site Dockets'!$C$7:$C$24,F1035)&gt;0,1,0),IF(B1035="REGION LOSS",IF(COUNTIFS('Site Dockets'!$E$7:$E$24,C1035,'Site Dockets'!$C$7:$C$24,F1035)&gt;0,1,0),0))</f>
        <v>1</v>
      </c>
      <c r="L1035" s="15" t="n">
        <f aca="false">IF(J1035=1,0,Inputs!$B$11)</f>
        <v>0</v>
      </c>
      <c r="M1035" s="15" t="n">
        <f aca="false">IF(J1035=1,0,Inputs!$B$12)</f>
        <v>0</v>
      </c>
      <c r="N1035" s="15" t="n">
        <f aca="false">IF(J1035=1,0,IF(OR(AND(OR(B1035="SITE LOSS",B1035="REGION LOSS"),K1035=1),AND(B1035="ROLE COMPROMISE",H1035=C1035)),Inputs!$B$13,Inputs!$B$14))</f>
        <v>0</v>
      </c>
      <c r="O1035" s="15" t="n">
        <f aca="false">IF(J1035=1,0,Inputs!$B$13)</f>
        <v>0</v>
      </c>
      <c r="P1035" s="15" t="n">
        <f aca="false">SUM(M1035:N1035)</f>
        <v>0</v>
      </c>
      <c r="Q1035" s="15" t="str">
        <f aca="false">IF(J1035=1,"",L1035-P1035)</f>
        <v/>
      </c>
      <c r="R1035" s="15" t="n">
        <f aca="false">IF(OR(J1035=1,M1035&lt;=Inputs!$B$12),1,0)</f>
        <v>1</v>
      </c>
      <c r="S1035" s="15" t="n">
        <f aca="false">IF(OR(J1035=1,N1035&lt;=O1035),1,0)</f>
        <v>1</v>
      </c>
      <c r="T1035" s="15" t="str">
        <f aca="false">IF(J1035=1,"OFFLINE",IF(AND(Q1035&gt;=Inputs!$B$15,R1035=1,S1035=1,P1035&lt;=L1035),"PASS","FAIL"))</f>
        <v>OFFLINE</v>
      </c>
    </row>
    <row r="1036" customFormat="false" ht="15" hidden="false" customHeight="false" outlineLevel="0" collapsed="false">
      <c r="A1036" s="14" t="s">
        <v>1028</v>
      </c>
      <c r="B1036" s="14" t="s">
        <v>1019</v>
      </c>
      <c r="C1036" s="14" t="s">
        <v>182</v>
      </c>
      <c r="D1036" s="14" t="s">
        <v>182</v>
      </c>
      <c r="E1036" s="14" t="s">
        <v>166</v>
      </c>
      <c r="F1036" s="14" t="s">
        <v>183</v>
      </c>
      <c r="G1036" s="14" t="n">
        <v>1</v>
      </c>
      <c r="H1036" s="14" t="s">
        <v>154</v>
      </c>
      <c r="I1036" s="14" t="s">
        <v>895</v>
      </c>
      <c r="J1036" s="15" t="n">
        <f aca="false">IF(B1036="SITE LOSS",IF(D1036=C1036,1,0),IF(B1036="REGION LOSS",IF(E1036=C1036,1,0),0))</f>
        <v>1</v>
      </c>
      <c r="K1036" s="15" t="n">
        <f aca="false">IF(B1036="SITE LOSS",IF(COUNTIFS('Site Dockets'!$B$7:$B$24,C1036,'Site Dockets'!$C$7:$C$24,F1036)&gt;0,1,0),IF(B1036="REGION LOSS",IF(COUNTIFS('Site Dockets'!$E$7:$E$24,C1036,'Site Dockets'!$C$7:$C$24,F1036)&gt;0,1,0),0))</f>
        <v>1</v>
      </c>
      <c r="L1036" s="15" t="n">
        <f aca="false">IF(J1036=1,0,Inputs!$B$11)</f>
        <v>0</v>
      </c>
      <c r="M1036" s="15" t="n">
        <f aca="false">IF(J1036=1,0,Inputs!$B$12)</f>
        <v>0</v>
      </c>
      <c r="N1036" s="15" t="n">
        <f aca="false">IF(J1036=1,0,IF(OR(AND(OR(B1036="SITE LOSS",B1036="REGION LOSS"),K1036=1),AND(B1036="ROLE COMPROMISE",H1036=C1036)),Inputs!$B$13,Inputs!$B$14))</f>
        <v>0</v>
      </c>
      <c r="O1036" s="15" t="n">
        <f aca="false">IF(J1036=1,0,Inputs!$B$13)</f>
        <v>0</v>
      </c>
      <c r="P1036" s="15" t="n">
        <f aca="false">SUM(M1036:N1036)</f>
        <v>0</v>
      </c>
      <c r="Q1036" s="15" t="str">
        <f aca="false">IF(J1036=1,"",L1036-P1036)</f>
        <v/>
      </c>
      <c r="R1036" s="15" t="n">
        <f aca="false">IF(OR(J1036=1,M1036&lt;=Inputs!$B$12),1,0)</f>
        <v>1</v>
      </c>
      <c r="S1036" s="15" t="n">
        <f aca="false">IF(OR(J1036=1,N1036&lt;=O1036),1,0)</f>
        <v>1</v>
      </c>
      <c r="T1036" s="15" t="str">
        <f aca="false">IF(J1036=1,"OFFLINE",IF(AND(Q1036&gt;=Inputs!$B$15,R1036=1,S1036=1,P1036&lt;=L1036),"PASS","FAIL"))</f>
        <v>OFFLINE</v>
      </c>
    </row>
    <row r="1037" customFormat="false" ht="15" hidden="false" customHeight="false" outlineLevel="0" collapsed="false">
      <c r="A1037" s="14" t="s">
        <v>1028</v>
      </c>
      <c r="B1037" s="14" t="s">
        <v>1019</v>
      </c>
      <c r="C1037" s="14" t="s">
        <v>182</v>
      </c>
      <c r="D1037" s="14" t="s">
        <v>182</v>
      </c>
      <c r="E1037" s="14" t="s">
        <v>166</v>
      </c>
      <c r="F1037" s="14" t="s">
        <v>183</v>
      </c>
      <c r="G1037" s="14" t="n">
        <v>1</v>
      </c>
      <c r="H1037" s="14" t="s">
        <v>154</v>
      </c>
      <c r="I1037" s="14" t="s">
        <v>897</v>
      </c>
      <c r="J1037" s="15" t="n">
        <f aca="false">IF(B1037="SITE LOSS",IF(D1037=C1037,1,0),IF(B1037="REGION LOSS",IF(E1037=C1037,1,0),0))</f>
        <v>1</v>
      </c>
      <c r="K1037" s="15" t="n">
        <f aca="false">IF(B1037="SITE LOSS",IF(COUNTIFS('Site Dockets'!$B$7:$B$24,C1037,'Site Dockets'!$C$7:$C$24,F1037)&gt;0,1,0),IF(B1037="REGION LOSS",IF(COUNTIFS('Site Dockets'!$E$7:$E$24,C1037,'Site Dockets'!$C$7:$C$24,F1037)&gt;0,1,0),0))</f>
        <v>1</v>
      </c>
      <c r="L1037" s="15" t="n">
        <f aca="false">IF(J1037=1,0,Inputs!$B$11)</f>
        <v>0</v>
      </c>
      <c r="M1037" s="15" t="n">
        <f aca="false">IF(J1037=1,0,Inputs!$B$12)</f>
        <v>0</v>
      </c>
      <c r="N1037" s="15" t="n">
        <f aca="false">IF(J1037=1,0,IF(OR(AND(OR(B1037="SITE LOSS",B1037="REGION LOSS"),K1037=1),AND(B1037="ROLE COMPROMISE",H1037=C1037)),Inputs!$B$13,Inputs!$B$14))</f>
        <v>0</v>
      </c>
      <c r="O1037" s="15" t="n">
        <f aca="false">IF(J1037=1,0,Inputs!$B$13)</f>
        <v>0</v>
      </c>
      <c r="P1037" s="15" t="n">
        <f aca="false">SUM(M1037:N1037)</f>
        <v>0</v>
      </c>
      <c r="Q1037" s="15" t="str">
        <f aca="false">IF(J1037=1,"",L1037-P1037)</f>
        <v/>
      </c>
      <c r="R1037" s="15" t="n">
        <f aca="false">IF(OR(J1037=1,M1037&lt;=Inputs!$B$12),1,0)</f>
        <v>1</v>
      </c>
      <c r="S1037" s="15" t="n">
        <f aca="false">IF(OR(J1037=1,N1037&lt;=O1037),1,0)</f>
        <v>1</v>
      </c>
      <c r="T1037" s="15" t="str">
        <f aca="false">IF(J1037=1,"OFFLINE",IF(AND(Q1037&gt;=Inputs!$B$15,R1037=1,S1037=1,P1037&lt;=L1037),"PASS","FAIL"))</f>
        <v>OFFLINE</v>
      </c>
    </row>
    <row r="1038" customFormat="false" ht="15" hidden="false" customHeight="false" outlineLevel="0" collapsed="false">
      <c r="A1038" s="14" t="s">
        <v>1028</v>
      </c>
      <c r="B1038" s="14" t="s">
        <v>1019</v>
      </c>
      <c r="C1038" s="14" t="s">
        <v>182</v>
      </c>
      <c r="D1038" s="14" t="s">
        <v>182</v>
      </c>
      <c r="E1038" s="14" t="s">
        <v>166</v>
      </c>
      <c r="F1038" s="14" t="s">
        <v>183</v>
      </c>
      <c r="G1038" s="14" t="n">
        <v>1</v>
      </c>
      <c r="H1038" s="14" t="s">
        <v>154</v>
      </c>
      <c r="I1038" s="14" t="s">
        <v>899</v>
      </c>
      <c r="J1038" s="15" t="n">
        <f aca="false">IF(B1038="SITE LOSS",IF(D1038=C1038,1,0),IF(B1038="REGION LOSS",IF(E1038=C1038,1,0),0))</f>
        <v>1</v>
      </c>
      <c r="K1038" s="15" t="n">
        <f aca="false">IF(B1038="SITE LOSS",IF(COUNTIFS('Site Dockets'!$B$7:$B$24,C1038,'Site Dockets'!$C$7:$C$24,F1038)&gt;0,1,0),IF(B1038="REGION LOSS",IF(COUNTIFS('Site Dockets'!$E$7:$E$24,C1038,'Site Dockets'!$C$7:$C$24,F1038)&gt;0,1,0),0))</f>
        <v>1</v>
      </c>
      <c r="L1038" s="15" t="n">
        <f aca="false">IF(J1038=1,0,Inputs!$B$11)</f>
        <v>0</v>
      </c>
      <c r="M1038" s="15" t="n">
        <f aca="false">IF(J1038=1,0,Inputs!$B$12)</f>
        <v>0</v>
      </c>
      <c r="N1038" s="15" t="n">
        <f aca="false">IF(J1038=1,0,IF(OR(AND(OR(B1038="SITE LOSS",B1038="REGION LOSS"),K1038=1),AND(B1038="ROLE COMPROMISE",H1038=C1038)),Inputs!$B$13,Inputs!$B$14))</f>
        <v>0</v>
      </c>
      <c r="O1038" s="15" t="n">
        <f aca="false">IF(J1038=1,0,Inputs!$B$13)</f>
        <v>0</v>
      </c>
      <c r="P1038" s="15" t="n">
        <f aca="false">SUM(M1038:N1038)</f>
        <v>0</v>
      </c>
      <c r="Q1038" s="15" t="str">
        <f aca="false">IF(J1038=1,"",L1038-P1038)</f>
        <v/>
      </c>
      <c r="R1038" s="15" t="n">
        <f aca="false">IF(OR(J1038=1,M1038&lt;=Inputs!$B$12),1,0)</f>
        <v>1</v>
      </c>
      <c r="S1038" s="15" t="n">
        <f aca="false">IF(OR(J1038=1,N1038&lt;=O1038),1,0)</f>
        <v>1</v>
      </c>
      <c r="T1038" s="15" t="str">
        <f aca="false">IF(J1038=1,"OFFLINE",IF(AND(Q1038&gt;=Inputs!$B$15,R1038=1,S1038=1,P1038&lt;=L1038),"PASS","FAIL"))</f>
        <v>OFFLINE</v>
      </c>
    </row>
    <row r="1039" customFormat="false" ht="15" hidden="false" customHeight="false" outlineLevel="0" collapsed="false">
      <c r="A1039" s="14" t="s">
        <v>1028</v>
      </c>
      <c r="B1039" s="14" t="s">
        <v>1019</v>
      </c>
      <c r="C1039" s="14" t="s">
        <v>182</v>
      </c>
      <c r="D1039" s="14" t="s">
        <v>186</v>
      </c>
      <c r="E1039" s="14" t="s">
        <v>157</v>
      </c>
      <c r="F1039" s="14" t="s">
        <v>183</v>
      </c>
      <c r="G1039" s="14" t="n">
        <v>2</v>
      </c>
      <c r="H1039" s="14" t="s">
        <v>153</v>
      </c>
      <c r="I1039" s="14" t="s">
        <v>890</v>
      </c>
      <c r="J1039" s="15" t="n">
        <f aca="false">IF(B1039="SITE LOSS",IF(D1039=C1039,1,0),IF(B1039="REGION LOSS",IF(E1039=C1039,1,0),0))</f>
        <v>0</v>
      </c>
      <c r="K1039" s="15" t="n">
        <f aca="false">IF(B1039="SITE LOSS",IF(COUNTIFS('Site Dockets'!$B$7:$B$24,C1039,'Site Dockets'!$C$7:$C$24,F1039)&gt;0,1,0),IF(B1039="REGION LOSS",IF(COUNTIFS('Site Dockets'!$E$7:$E$24,C1039,'Site Dockets'!$C$7:$C$24,F1039)&gt;0,1,0),0))</f>
        <v>1</v>
      </c>
      <c r="L1039" s="15" t="n">
        <f aca="false">IF(J1039=1,0,Inputs!$B$11)</f>
        <v>100</v>
      </c>
      <c r="M1039" s="15" t="n">
        <f aca="false">IF(J1039=1,0,Inputs!$B$12)</f>
        <v>75</v>
      </c>
      <c r="N1039" s="15" t="n">
        <f aca="false">IF(J1039=1,0,IF(OR(AND(OR(B1039="SITE LOSS",B1039="REGION LOSS"),K1039=1),AND(B1039="ROLE COMPROMISE",H1039=C1039)),Inputs!$B$13,Inputs!$B$14))</f>
        <v>20</v>
      </c>
      <c r="O1039" s="15" t="n">
        <f aca="false">IF(J1039=1,0,Inputs!$B$13)</f>
        <v>20</v>
      </c>
      <c r="P1039" s="15" t="n">
        <f aca="false">SUM(M1039:N1039)</f>
        <v>95</v>
      </c>
      <c r="Q1039" s="15" t="n">
        <f aca="false">IF(J1039=1,"",L1039-P1039)</f>
        <v>5</v>
      </c>
      <c r="R1039" s="15" t="n">
        <f aca="false">IF(OR(J1039=1,M1039&lt;=Inputs!$B$12),1,0)</f>
        <v>1</v>
      </c>
      <c r="S1039" s="15" t="n">
        <f aca="false">IF(OR(J1039=1,N1039&lt;=O1039),1,0)</f>
        <v>1</v>
      </c>
      <c r="T1039" s="15" t="str">
        <f aca="false">IF(J1039=1,"OFFLINE",IF(AND(Q1039&gt;=Inputs!$B$15,R1039=1,S1039=1,P1039&lt;=L1039),"PASS","FAIL"))</f>
        <v>PASS</v>
      </c>
    </row>
    <row r="1040" customFormat="false" ht="15" hidden="false" customHeight="false" outlineLevel="0" collapsed="false">
      <c r="A1040" s="14" t="s">
        <v>1028</v>
      </c>
      <c r="B1040" s="14" t="s">
        <v>1019</v>
      </c>
      <c r="C1040" s="14" t="s">
        <v>182</v>
      </c>
      <c r="D1040" s="14" t="s">
        <v>186</v>
      </c>
      <c r="E1040" s="14" t="s">
        <v>157</v>
      </c>
      <c r="F1040" s="14" t="s">
        <v>183</v>
      </c>
      <c r="G1040" s="14" t="n">
        <v>2</v>
      </c>
      <c r="H1040" s="14" t="s">
        <v>153</v>
      </c>
      <c r="I1040" s="14" t="s">
        <v>892</v>
      </c>
      <c r="J1040" s="15" t="n">
        <f aca="false">IF(B1040="SITE LOSS",IF(D1040=C1040,1,0),IF(B1040="REGION LOSS",IF(E1040=C1040,1,0),0))</f>
        <v>0</v>
      </c>
      <c r="K1040" s="15" t="n">
        <f aca="false">IF(B1040="SITE LOSS",IF(COUNTIFS('Site Dockets'!$B$7:$B$24,C1040,'Site Dockets'!$C$7:$C$24,F1040)&gt;0,1,0),IF(B1040="REGION LOSS",IF(COUNTIFS('Site Dockets'!$E$7:$E$24,C1040,'Site Dockets'!$C$7:$C$24,F1040)&gt;0,1,0),0))</f>
        <v>1</v>
      </c>
      <c r="L1040" s="15" t="n">
        <f aca="false">IF(J1040=1,0,Inputs!$B$11)</f>
        <v>100</v>
      </c>
      <c r="M1040" s="15" t="n">
        <f aca="false">IF(J1040=1,0,Inputs!$B$12)</f>
        <v>75</v>
      </c>
      <c r="N1040" s="15" t="n">
        <f aca="false">IF(J1040=1,0,IF(OR(AND(OR(B1040="SITE LOSS",B1040="REGION LOSS"),K1040=1),AND(B1040="ROLE COMPROMISE",H1040=C1040)),Inputs!$B$13,Inputs!$B$14))</f>
        <v>20</v>
      </c>
      <c r="O1040" s="15" t="n">
        <f aca="false">IF(J1040=1,0,Inputs!$B$13)</f>
        <v>20</v>
      </c>
      <c r="P1040" s="15" t="n">
        <f aca="false">SUM(M1040:N1040)</f>
        <v>95</v>
      </c>
      <c r="Q1040" s="15" t="n">
        <f aca="false">IF(J1040=1,"",L1040-P1040)</f>
        <v>5</v>
      </c>
      <c r="R1040" s="15" t="n">
        <f aca="false">IF(OR(J1040=1,M1040&lt;=Inputs!$B$12),1,0)</f>
        <v>1</v>
      </c>
      <c r="S1040" s="15" t="n">
        <f aca="false">IF(OR(J1040=1,N1040&lt;=O1040),1,0)</f>
        <v>1</v>
      </c>
      <c r="T1040" s="15" t="str">
        <f aca="false">IF(J1040=1,"OFFLINE",IF(AND(Q1040&gt;=Inputs!$B$15,R1040=1,S1040=1,P1040&lt;=L1040),"PASS","FAIL"))</f>
        <v>PASS</v>
      </c>
    </row>
    <row r="1041" customFormat="false" ht="15" hidden="false" customHeight="false" outlineLevel="0" collapsed="false">
      <c r="A1041" s="14" t="s">
        <v>1028</v>
      </c>
      <c r="B1041" s="14" t="s">
        <v>1019</v>
      </c>
      <c r="C1041" s="14" t="s">
        <v>182</v>
      </c>
      <c r="D1041" s="14" t="s">
        <v>186</v>
      </c>
      <c r="E1041" s="14" t="s">
        <v>157</v>
      </c>
      <c r="F1041" s="14" t="s">
        <v>183</v>
      </c>
      <c r="G1041" s="14" t="n">
        <v>2</v>
      </c>
      <c r="H1041" s="14" t="s">
        <v>153</v>
      </c>
      <c r="I1041" s="14" t="s">
        <v>811</v>
      </c>
      <c r="J1041" s="15" t="n">
        <f aca="false">IF(B1041="SITE LOSS",IF(D1041=C1041,1,0),IF(B1041="REGION LOSS",IF(E1041=C1041,1,0),0))</f>
        <v>0</v>
      </c>
      <c r="K1041" s="15" t="n">
        <f aca="false">IF(B1041="SITE LOSS",IF(COUNTIFS('Site Dockets'!$B$7:$B$24,C1041,'Site Dockets'!$C$7:$C$24,F1041)&gt;0,1,0),IF(B1041="REGION LOSS",IF(COUNTIFS('Site Dockets'!$E$7:$E$24,C1041,'Site Dockets'!$C$7:$C$24,F1041)&gt;0,1,0),0))</f>
        <v>1</v>
      </c>
      <c r="L1041" s="15" t="n">
        <f aca="false">IF(J1041=1,0,Inputs!$B$11)</f>
        <v>100</v>
      </c>
      <c r="M1041" s="15" t="n">
        <f aca="false">IF(J1041=1,0,Inputs!$B$12)</f>
        <v>75</v>
      </c>
      <c r="N1041" s="15" t="n">
        <f aca="false">IF(J1041=1,0,IF(OR(AND(OR(B1041="SITE LOSS",B1041="REGION LOSS"),K1041=1),AND(B1041="ROLE COMPROMISE",H1041=C1041)),Inputs!$B$13,Inputs!$B$14))</f>
        <v>20</v>
      </c>
      <c r="O1041" s="15" t="n">
        <f aca="false">IF(J1041=1,0,Inputs!$B$13)</f>
        <v>20</v>
      </c>
      <c r="P1041" s="15" t="n">
        <f aca="false">SUM(M1041:N1041)</f>
        <v>95</v>
      </c>
      <c r="Q1041" s="15" t="n">
        <f aca="false">IF(J1041=1,"",L1041-P1041)</f>
        <v>5</v>
      </c>
      <c r="R1041" s="15" t="n">
        <f aca="false">IF(OR(J1041=1,M1041&lt;=Inputs!$B$12),1,0)</f>
        <v>1</v>
      </c>
      <c r="S1041" s="15" t="n">
        <f aca="false">IF(OR(J1041=1,N1041&lt;=O1041),1,0)</f>
        <v>1</v>
      </c>
      <c r="T1041" s="15" t="str">
        <f aca="false">IF(J1041=1,"OFFLINE",IF(AND(Q1041&gt;=Inputs!$B$15,R1041=1,S1041=1,P1041&lt;=L1041),"PASS","FAIL"))</f>
        <v>PASS</v>
      </c>
    </row>
    <row r="1042" customFormat="false" ht="15" hidden="false" customHeight="false" outlineLevel="0" collapsed="false">
      <c r="A1042" s="14" t="s">
        <v>1028</v>
      </c>
      <c r="B1042" s="14" t="s">
        <v>1019</v>
      </c>
      <c r="C1042" s="14" t="s">
        <v>182</v>
      </c>
      <c r="D1042" s="14" t="s">
        <v>186</v>
      </c>
      <c r="E1042" s="14" t="s">
        <v>157</v>
      </c>
      <c r="F1042" s="14" t="s">
        <v>183</v>
      </c>
      <c r="G1042" s="14" t="n">
        <v>2</v>
      </c>
      <c r="H1042" s="14" t="s">
        <v>153</v>
      </c>
      <c r="I1042" s="14" t="s">
        <v>895</v>
      </c>
      <c r="J1042" s="15" t="n">
        <f aca="false">IF(B1042="SITE LOSS",IF(D1042=C1042,1,0),IF(B1042="REGION LOSS",IF(E1042=C1042,1,0),0))</f>
        <v>0</v>
      </c>
      <c r="K1042" s="15" t="n">
        <f aca="false">IF(B1042="SITE LOSS",IF(COUNTIFS('Site Dockets'!$B$7:$B$24,C1042,'Site Dockets'!$C$7:$C$24,F1042)&gt;0,1,0),IF(B1042="REGION LOSS",IF(COUNTIFS('Site Dockets'!$E$7:$E$24,C1042,'Site Dockets'!$C$7:$C$24,F1042)&gt;0,1,0),0))</f>
        <v>1</v>
      </c>
      <c r="L1042" s="15" t="n">
        <f aca="false">IF(J1042=1,0,Inputs!$B$11)</f>
        <v>100</v>
      </c>
      <c r="M1042" s="15" t="n">
        <f aca="false">IF(J1042=1,0,Inputs!$B$12)</f>
        <v>75</v>
      </c>
      <c r="N1042" s="15" t="n">
        <f aca="false">IF(J1042=1,0,IF(OR(AND(OR(B1042="SITE LOSS",B1042="REGION LOSS"),K1042=1),AND(B1042="ROLE COMPROMISE",H1042=C1042)),Inputs!$B$13,Inputs!$B$14))</f>
        <v>20</v>
      </c>
      <c r="O1042" s="15" t="n">
        <f aca="false">IF(J1042=1,0,Inputs!$B$13)</f>
        <v>20</v>
      </c>
      <c r="P1042" s="15" t="n">
        <f aca="false">SUM(M1042:N1042)</f>
        <v>95</v>
      </c>
      <c r="Q1042" s="15" t="n">
        <f aca="false">IF(J1042=1,"",L1042-P1042)</f>
        <v>5</v>
      </c>
      <c r="R1042" s="15" t="n">
        <f aca="false">IF(OR(J1042=1,M1042&lt;=Inputs!$B$12),1,0)</f>
        <v>1</v>
      </c>
      <c r="S1042" s="15" t="n">
        <f aca="false">IF(OR(J1042=1,N1042&lt;=O1042),1,0)</f>
        <v>1</v>
      </c>
      <c r="T1042" s="15" t="str">
        <f aca="false">IF(J1042=1,"OFFLINE",IF(AND(Q1042&gt;=Inputs!$B$15,R1042=1,S1042=1,P1042&lt;=L1042),"PASS","FAIL"))</f>
        <v>PASS</v>
      </c>
    </row>
    <row r="1043" customFormat="false" ht="15" hidden="false" customHeight="false" outlineLevel="0" collapsed="false">
      <c r="A1043" s="14" t="s">
        <v>1028</v>
      </c>
      <c r="B1043" s="14" t="s">
        <v>1019</v>
      </c>
      <c r="C1043" s="14" t="s">
        <v>182</v>
      </c>
      <c r="D1043" s="14" t="s">
        <v>186</v>
      </c>
      <c r="E1043" s="14" t="s">
        <v>157</v>
      </c>
      <c r="F1043" s="14" t="s">
        <v>183</v>
      </c>
      <c r="G1043" s="14" t="n">
        <v>2</v>
      </c>
      <c r="H1043" s="14" t="s">
        <v>153</v>
      </c>
      <c r="I1043" s="14" t="s">
        <v>897</v>
      </c>
      <c r="J1043" s="15" t="n">
        <f aca="false">IF(B1043="SITE LOSS",IF(D1043=C1043,1,0),IF(B1043="REGION LOSS",IF(E1043=C1043,1,0),0))</f>
        <v>0</v>
      </c>
      <c r="K1043" s="15" t="n">
        <f aca="false">IF(B1043="SITE LOSS",IF(COUNTIFS('Site Dockets'!$B$7:$B$24,C1043,'Site Dockets'!$C$7:$C$24,F1043)&gt;0,1,0),IF(B1043="REGION LOSS",IF(COUNTIFS('Site Dockets'!$E$7:$E$24,C1043,'Site Dockets'!$C$7:$C$24,F1043)&gt;0,1,0),0))</f>
        <v>1</v>
      </c>
      <c r="L1043" s="15" t="n">
        <f aca="false">IF(J1043=1,0,Inputs!$B$11)</f>
        <v>100</v>
      </c>
      <c r="M1043" s="15" t="n">
        <f aca="false">IF(J1043=1,0,Inputs!$B$12)</f>
        <v>75</v>
      </c>
      <c r="N1043" s="15" t="n">
        <f aca="false">IF(J1043=1,0,IF(OR(AND(OR(B1043="SITE LOSS",B1043="REGION LOSS"),K1043=1),AND(B1043="ROLE COMPROMISE",H1043=C1043)),Inputs!$B$13,Inputs!$B$14))</f>
        <v>20</v>
      </c>
      <c r="O1043" s="15" t="n">
        <f aca="false">IF(J1043=1,0,Inputs!$B$13)</f>
        <v>20</v>
      </c>
      <c r="P1043" s="15" t="n">
        <f aca="false">SUM(M1043:N1043)</f>
        <v>95</v>
      </c>
      <c r="Q1043" s="15" t="n">
        <f aca="false">IF(J1043=1,"",L1043-P1043)</f>
        <v>5</v>
      </c>
      <c r="R1043" s="15" t="n">
        <f aca="false">IF(OR(J1043=1,M1043&lt;=Inputs!$B$12),1,0)</f>
        <v>1</v>
      </c>
      <c r="S1043" s="15" t="n">
        <f aca="false">IF(OR(J1043=1,N1043&lt;=O1043),1,0)</f>
        <v>1</v>
      </c>
      <c r="T1043" s="15" t="str">
        <f aca="false">IF(J1043=1,"OFFLINE",IF(AND(Q1043&gt;=Inputs!$B$15,R1043=1,S1043=1,P1043&lt;=L1043),"PASS","FAIL"))</f>
        <v>PASS</v>
      </c>
    </row>
    <row r="1044" customFormat="false" ht="15" hidden="false" customHeight="false" outlineLevel="0" collapsed="false">
      <c r="A1044" s="14" t="s">
        <v>1028</v>
      </c>
      <c r="B1044" s="14" t="s">
        <v>1019</v>
      </c>
      <c r="C1044" s="14" t="s">
        <v>182</v>
      </c>
      <c r="D1044" s="14" t="s">
        <v>186</v>
      </c>
      <c r="E1044" s="14" t="s">
        <v>157</v>
      </c>
      <c r="F1044" s="14" t="s">
        <v>183</v>
      </c>
      <c r="G1044" s="14" t="n">
        <v>2</v>
      </c>
      <c r="H1044" s="14" t="s">
        <v>153</v>
      </c>
      <c r="I1044" s="14" t="s">
        <v>899</v>
      </c>
      <c r="J1044" s="15" t="n">
        <f aca="false">IF(B1044="SITE LOSS",IF(D1044=C1044,1,0),IF(B1044="REGION LOSS",IF(E1044=C1044,1,0),0))</f>
        <v>0</v>
      </c>
      <c r="K1044" s="15" t="n">
        <f aca="false">IF(B1044="SITE LOSS",IF(COUNTIFS('Site Dockets'!$B$7:$B$24,C1044,'Site Dockets'!$C$7:$C$24,F1044)&gt;0,1,0),IF(B1044="REGION LOSS",IF(COUNTIFS('Site Dockets'!$E$7:$E$24,C1044,'Site Dockets'!$C$7:$C$24,F1044)&gt;0,1,0),0))</f>
        <v>1</v>
      </c>
      <c r="L1044" s="15" t="n">
        <f aca="false">IF(J1044=1,0,Inputs!$B$11)</f>
        <v>100</v>
      </c>
      <c r="M1044" s="15" t="n">
        <f aca="false">IF(J1044=1,0,Inputs!$B$12)</f>
        <v>75</v>
      </c>
      <c r="N1044" s="15" t="n">
        <f aca="false">IF(J1044=1,0,IF(OR(AND(OR(B1044="SITE LOSS",B1044="REGION LOSS"),K1044=1),AND(B1044="ROLE COMPROMISE",H1044=C1044)),Inputs!$B$13,Inputs!$B$14))</f>
        <v>20</v>
      </c>
      <c r="O1044" s="15" t="n">
        <f aca="false">IF(J1044=1,0,Inputs!$B$13)</f>
        <v>20</v>
      </c>
      <c r="P1044" s="15" t="n">
        <f aca="false">SUM(M1044:N1044)</f>
        <v>95</v>
      </c>
      <c r="Q1044" s="15" t="n">
        <f aca="false">IF(J1044=1,"",L1044-P1044)</f>
        <v>5</v>
      </c>
      <c r="R1044" s="15" t="n">
        <f aca="false">IF(OR(J1044=1,M1044&lt;=Inputs!$B$12),1,0)</f>
        <v>1</v>
      </c>
      <c r="S1044" s="15" t="n">
        <f aca="false">IF(OR(J1044=1,N1044&lt;=O1044),1,0)</f>
        <v>1</v>
      </c>
      <c r="T1044" s="15" t="str">
        <f aca="false">IF(J1044=1,"OFFLINE",IF(AND(Q1044&gt;=Inputs!$B$15,R1044=1,S1044=1,P1044&lt;=L1044),"PASS","FAIL"))</f>
        <v>PASS</v>
      </c>
    </row>
    <row r="1045" customFormat="false" ht="15" hidden="false" customHeight="false" outlineLevel="0" collapsed="false">
      <c r="A1045" s="14" t="s">
        <v>1028</v>
      </c>
      <c r="B1045" s="14" t="s">
        <v>1019</v>
      </c>
      <c r="C1045" s="14" t="s">
        <v>182</v>
      </c>
      <c r="D1045" s="14" t="s">
        <v>188</v>
      </c>
      <c r="E1045" s="14" t="s">
        <v>172</v>
      </c>
      <c r="F1045" s="14" t="s">
        <v>183</v>
      </c>
      <c r="G1045" s="14" t="n">
        <v>3</v>
      </c>
      <c r="H1045" s="14" t="s">
        <v>158</v>
      </c>
      <c r="I1045" s="14" t="s">
        <v>890</v>
      </c>
      <c r="J1045" s="15" t="n">
        <f aca="false">IF(B1045="SITE LOSS",IF(D1045=C1045,1,0),IF(B1045="REGION LOSS",IF(E1045=C1045,1,0),0))</f>
        <v>0</v>
      </c>
      <c r="K1045" s="15" t="n">
        <f aca="false">IF(B1045="SITE LOSS",IF(COUNTIFS('Site Dockets'!$B$7:$B$24,C1045,'Site Dockets'!$C$7:$C$24,F1045)&gt;0,1,0),IF(B1045="REGION LOSS",IF(COUNTIFS('Site Dockets'!$E$7:$E$24,C1045,'Site Dockets'!$C$7:$C$24,F1045)&gt;0,1,0),0))</f>
        <v>1</v>
      </c>
      <c r="L1045" s="15" t="n">
        <f aca="false">IF(J1045=1,0,Inputs!$B$11)</f>
        <v>100</v>
      </c>
      <c r="M1045" s="15" t="n">
        <f aca="false">IF(J1045=1,0,Inputs!$B$12)</f>
        <v>75</v>
      </c>
      <c r="N1045" s="15" t="n">
        <f aca="false">IF(J1045=1,0,IF(OR(AND(OR(B1045="SITE LOSS",B1045="REGION LOSS"),K1045=1),AND(B1045="ROLE COMPROMISE",H1045=C1045)),Inputs!$B$13,Inputs!$B$14))</f>
        <v>20</v>
      </c>
      <c r="O1045" s="15" t="n">
        <f aca="false">IF(J1045=1,0,Inputs!$B$13)</f>
        <v>20</v>
      </c>
      <c r="P1045" s="15" t="n">
        <f aca="false">SUM(M1045:N1045)</f>
        <v>95</v>
      </c>
      <c r="Q1045" s="15" t="n">
        <f aca="false">IF(J1045=1,"",L1045-P1045)</f>
        <v>5</v>
      </c>
      <c r="R1045" s="15" t="n">
        <f aca="false">IF(OR(J1045=1,M1045&lt;=Inputs!$B$12),1,0)</f>
        <v>1</v>
      </c>
      <c r="S1045" s="15" t="n">
        <f aca="false">IF(OR(J1045=1,N1045&lt;=O1045),1,0)</f>
        <v>1</v>
      </c>
      <c r="T1045" s="15" t="str">
        <f aca="false">IF(J1045=1,"OFFLINE",IF(AND(Q1045&gt;=Inputs!$B$15,R1045=1,S1045=1,P1045&lt;=L1045),"PASS","FAIL"))</f>
        <v>PASS</v>
      </c>
    </row>
    <row r="1046" customFormat="false" ht="15" hidden="false" customHeight="false" outlineLevel="0" collapsed="false">
      <c r="A1046" s="14" t="s">
        <v>1028</v>
      </c>
      <c r="B1046" s="14" t="s">
        <v>1019</v>
      </c>
      <c r="C1046" s="14" t="s">
        <v>182</v>
      </c>
      <c r="D1046" s="14" t="s">
        <v>188</v>
      </c>
      <c r="E1046" s="14" t="s">
        <v>172</v>
      </c>
      <c r="F1046" s="14" t="s">
        <v>183</v>
      </c>
      <c r="G1046" s="14" t="n">
        <v>3</v>
      </c>
      <c r="H1046" s="14" t="s">
        <v>158</v>
      </c>
      <c r="I1046" s="14" t="s">
        <v>892</v>
      </c>
      <c r="J1046" s="15" t="n">
        <f aca="false">IF(B1046="SITE LOSS",IF(D1046=C1046,1,0),IF(B1046="REGION LOSS",IF(E1046=C1046,1,0),0))</f>
        <v>0</v>
      </c>
      <c r="K1046" s="15" t="n">
        <f aca="false">IF(B1046="SITE LOSS",IF(COUNTIFS('Site Dockets'!$B$7:$B$24,C1046,'Site Dockets'!$C$7:$C$24,F1046)&gt;0,1,0),IF(B1046="REGION LOSS",IF(COUNTIFS('Site Dockets'!$E$7:$E$24,C1046,'Site Dockets'!$C$7:$C$24,F1046)&gt;0,1,0),0))</f>
        <v>1</v>
      </c>
      <c r="L1046" s="15" t="n">
        <f aca="false">IF(J1046=1,0,Inputs!$B$11)</f>
        <v>100</v>
      </c>
      <c r="M1046" s="15" t="n">
        <f aca="false">IF(J1046=1,0,Inputs!$B$12)</f>
        <v>75</v>
      </c>
      <c r="N1046" s="15" t="n">
        <f aca="false">IF(J1046=1,0,IF(OR(AND(OR(B1046="SITE LOSS",B1046="REGION LOSS"),K1046=1),AND(B1046="ROLE COMPROMISE",H1046=C1046)),Inputs!$B$13,Inputs!$B$14))</f>
        <v>20</v>
      </c>
      <c r="O1046" s="15" t="n">
        <f aca="false">IF(J1046=1,0,Inputs!$B$13)</f>
        <v>20</v>
      </c>
      <c r="P1046" s="15" t="n">
        <f aca="false">SUM(M1046:N1046)</f>
        <v>95</v>
      </c>
      <c r="Q1046" s="15" t="n">
        <f aca="false">IF(J1046=1,"",L1046-P1046)</f>
        <v>5</v>
      </c>
      <c r="R1046" s="15" t="n">
        <f aca="false">IF(OR(J1046=1,M1046&lt;=Inputs!$B$12),1,0)</f>
        <v>1</v>
      </c>
      <c r="S1046" s="15" t="n">
        <f aca="false">IF(OR(J1046=1,N1046&lt;=O1046),1,0)</f>
        <v>1</v>
      </c>
      <c r="T1046" s="15" t="str">
        <f aca="false">IF(J1046=1,"OFFLINE",IF(AND(Q1046&gt;=Inputs!$B$15,R1046=1,S1046=1,P1046&lt;=L1046),"PASS","FAIL"))</f>
        <v>PASS</v>
      </c>
    </row>
    <row r="1047" customFormat="false" ht="15" hidden="false" customHeight="false" outlineLevel="0" collapsed="false">
      <c r="A1047" s="14" t="s">
        <v>1028</v>
      </c>
      <c r="B1047" s="14" t="s">
        <v>1019</v>
      </c>
      <c r="C1047" s="14" t="s">
        <v>182</v>
      </c>
      <c r="D1047" s="14" t="s">
        <v>188</v>
      </c>
      <c r="E1047" s="14" t="s">
        <v>172</v>
      </c>
      <c r="F1047" s="14" t="s">
        <v>183</v>
      </c>
      <c r="G1047" s="14" t="n">
        <v>3</v>
      </c>
      <c r="H1047" s="14" t="s">
        <v>158</v>
      </c>
      <c r="I1047" s="14" t="s">
        <v>811</v>
      </c>
      <c r="J1047" s="15" t="n">
        <f aca="false">IF(B1047="SITE LOSS",IF(D1047=C1047,1,0),IF(B1047="REGION LOSS",IF(E1047=C1047,1,0),0))</f>
        <v>0</v>
      </c>
      <c r="K1047" s="15" t="n">
        <f aca="false">IF(B1047="SITE LOSS",IF(COUNTIFS('Site Dockets'!$B$7:$B$24,C1047,'Site Dockets'!$C$7:$C$24,F1047)&gt;0,1,0),IF(B1047="REGION LOSS",IF(COUNTIFS('Site Dockets'!$E$7:$E$24,C1047,'Site Dockets'!$C$7:$C$24,F1047)&gt;0,1,0),0))</f>
        <v>1</v>
      </c>
      <c r="L1047" s="15" t="n">
        <f aca="false">IF(J1047=1,0,Inputs!$B$11)</f>
        <v>100</v>
      </c>
      <c r="M1047" s="15" t="n">
        <f aca="false">IF(J1047=1,0,Inputs!$B$12)</f>
        <v>75</v>
      </c>
      <c r="N1047" s="15" t="n">
        <f aca="false">IF(J1047=1,0,IF(OR(AND(OR(B1047="SITE LOSS",B1047="REGION LOSS"),K1047=1),AND(B1047="ROLE COMPROMISE",H1047=C1047)),Inputs!$B$13,Inputs!$B$14))</f>
        <v>20</v>
      </c>
      <c r="O1047" s="15" t="n">
        <f aca="false">IF(J1047=1,0,Inputs!$B$13)</f>
        <v>20</v>
      </c>
      <c r="P1047" s="15" t="n">
        <f aca="false">SUM(M1047:N1047)</f>
        <v>95</v>
      </c>
      <c r="Q1047" s="15" t="n">
        <f aca="false">IF(J1047=1,"",L1047-P1047)</f>
        <v>5</v>
      </c>
      <c r="R1047" s="15" t="n">
        <f aca="false">IF(OR(J1047=1,M1047&lt;=Inputs!$B$12),1,0)</f>
        <v>1</v>
      </c>
      <c r="S1047" s="15" t="n">
        <f aca="false">IF(OR(J1047=1,N1047&lt;=O1047),1,0)</f>
        <v>1</v>
      </c>
      <c r="T1047" s="15" t="str">
        <f aca="false">IF(J1047=1,"OFFLINE",IF(AND(Q1047&gt;=Inputs!$B$15,R1047=1,S1047=1,P1047&lt;=L1047),"PASS","FAIL"))</f>
        <v>PASS</v>
      </c>
    </row>
    <row r="1048" customFormat="false" ht="15" hidden="false" customHeight="false" outlineLevel="0" collapsed="false">
      <c r="A1048" s="14" t="s">
        <v>1028</v>
      </c>
      <c r="B1048" s="14" t="s">
        <v>1019</v>
      </c>
      <c r="C1048" s="14" t="s">
        <v>182</v>
      </c>
      <c r="D1048" s="14" t="s">
        <v>188</v>
      </c>
      <c r="E1048" s="14" t="s">
        <v>172</v>
      </c>
      <c r="F1048" s="14" t="s">
        <v>183</v>
      </c>
      <c r="G1048" s="14" t="n">
        <v>3</v>
      </c>
      <c r="H1048" s="14" t="s">
        <v>158</v>
      </c>
      <c r="I1048" s="14" t="s">
        <v>895</v>
      </c>
      <c r="J1048" s="15" t="n">
        <f aca="false">IF(B1048="SITE LOSS",IF(D1048=C1048,1,0),IF(B1048="REGION LOSS",IF(E1048=C1048,1,0),0))</f>
        <v>0</v>
      </c>
      <c r="K1048" s="15" t="n">
        <f aca="false">IF(B1048="SITE LOSS",IF(COUNTIFS('Site Dockets'!$B$7:$B$24,C1048,'Site Dockets'!$C$7:$C$24,F1048)&gt;0,1,0),IF(B1048="REGION LOSS",IF(COUNTIFS('Site Dockets'!$E$7:$E$24,C1048,'Site Dockets'!$C$7:$C$24,F1048)&gt;0,1,0),0))</f>
        <v>1</v>
      </c>
      <c r="L1048" s="15" t="n">
        <f aca="false">IF(J1048=1,0,Inputs!$B$11)</f>
        <v>100</v>
      </c>
      <c r="M1048" s="15" t="n">
        <f aca="false">IF(J1048=1,0,Inputs!$B$12)</f>
        <v>75</v>
      </c>
      <c r="N1048" s="15" t="n">
        <f aca="false">IF(J1048=1,0,IF(OR(AND(OR(B1048="SITE LOSS",B1048="REGION LOSS"),K1048=1),AND(B1048="ROLE COMPROMISE",H1048=C1048)),Inputs!$B$13,Inputs!$B$14))</f>
        <v>20</v>
      </c>
      <c r="O1048" s="15" t="n">
        <f aca="false">IF(J1048=1,0,Inputs!$B$13)</f>
        <v>20</v>
      </c>
      <c r="P1048" s="15" t="n">
        <f aca="false">SUM(M1048:N1048)</f>
        <v>95</v>
      </c>
      <c r="Q1048" s="15" t="n">
        <f aca="false">IF(J1048=1,"",L1048-P1048)</f>
        <v>5</v>
      </c>
      <c r="R1048" s="15" t="n">
        <f aca="false">IF(OR(J1048=1,M1048&lt;=Inputs!$B$12),1,0)</f>
        <v>1</v>
      </c>
      <c r="S1048" s="15" t="n">
        <f aca="false">IF(OR(J1048=1,N1048&lt;=O1048),1,0)</f>
        <v>1</v>
      </c>
      <c r="T1048" s="15" t="str">
        <f aca="false">IF(J1048=1,"OFFLINE",IF(AND(Q1048&gt;=Inputs!$B$15,R1048=1,S1048=1,P1048&lt;=L1048),"PASS","FAIL"))</f>
        <v>PASS</v>
      </c>
    </row>
    <row r="1049" customFormat="false" ht="15" hidden="false" customHeight="false" outlineLevel="0" collapsed="false">
      <c r="A1049" s="14" t="s">
        <v>1028</v>
      </c>
      <c r="B1049" s="14" t="s">
        <v>1019</v>
      </c>
      <c r="C1049" s="14" t="s">
        <v>182</v>
      </c>
      <c r="D1049" s="14" t="s">
        <v>188</v>
      </c>
      <c r="E1049" s="14" t="s">
        <v>172</v>
      </c>
      <c r="F1049" s="14" t="s">
        <v>183</v>
      </c>
      <c r="G1049" s="14" t="n">
        <v>3</v>
      </c>
      <c r="H1049" s="14" t="s">
        <v>158</v>
      </c>
      <c r="I1049" s="14" t="s">
        <v>897</v>
      </c>
      <c r="J1049" s="15" t="n">
        <f aca="false">IF(B1049="SITE LOSS",IF(D1049=C1049,1,0),IF(B1049="REGION LOSS",IF(E1049=C1049,1,0),0))</f>
        <v>0</v>
      </c>
      <c r="K1049" s="15" t="n">
        <f aca="false">IF(B1049="SITE LOSS",IF(COUNTIFS('Site Dockets'!$B$7:$B$24,C1049,'Site Dockets'!$C$7:$C$24,F1049)&gt;0,1,0),IF(B1049="REGION LOSS",IF(COUNTIFS('Site Dockets'!$E$7:$E$24,C1049,'Site Dockets'!$C$7:$C$24,F1049)&gt;0,1,0),0))</f>
        <v>1</v>
      </c>
      <c r="L1049" s="15" t="n">
        <f aca="false">IF(J1049=1,0,Inputs!$B$11)</f>
        <v>100</v>
      </c>
      <c r="M1049" s="15" t="n">
        <f aca="false">IF(J1049=1,0,Inputs!$B$12)</f>
        <v>75</v>
      </c>
      <c r="N1049" s="15" t="n">
        <f aca="false">IF(J1049=1,0,IF(OR(AND(OR(B1049="SITE LOSS",B1049="REGION LOSS"),K1049=1),AND(B1049="ROLE COMPROMISE",H1049=C1049)),Inputs!$B$13,Inputs!$B$14))</f>
        <v>20</v>
      </c>
      <c r="O1049" s="15" t="n">
        <f aca="false">IF(J1049=1,0,Inputs!$B$13)</f>
        <v>20</v>
      </c>
      <c r="P1049" s="15" t="n">
        <f aca="false">SUM(M1049:N1049)</f>
        <v>95</v>
      </c>
      <c r="Q1049" s="15" t="n">
        <f aca="false">IF(J1049=1,"",L1049-P1049)</f>
        <v>5</v>
      </c>
      <c r="R1049" s="15" t="n">
        <f aca="false">IF(OR(J1049=1,M1049&lt;=Inputs!$B$12),1,0)</f>
        <v>1</v>
      </c>
      <c r="S1049" s="15" t="n">
        <f aca="false">IF(OR(J1049=1,N1049&lt;=O1049),1,0)</f>
        <v>1</v>
      </c>
      <c r="T1049" s="15" t="str">
        <f aca="false">IF(J1049=1,"OFFLINE",IF(AND(Q1049&gt;=Inputs!$B$15,R1049=1,S1049=1,P1049&lt;=L1049),"PASS","FAIL"))</f>
        <v>PASS</v>
      </c>
    </row>
    <row r="1050" customFormat="false" ht="15" hidden="false" customHeight="false" outlineLevel="0" collapsed="false">
      <c r="A1050" s="14" t="s">
        <v>1028</v>
      </c>
      <c r="B1050" s="14" t="s">
        <v>1019</v>
      </c>
      <c r="C1050" s="14" t="s">
        <v>182</v>
      </c>
      <c r="D1050" s="14" t="s">
        <v>188</v>
      </c>
      <c r="E1050" s="14" t="s">
        <v>172</v>
      </c>
      <c r="F1050" s="14" t="s">
        <v>183</v>
      </c>
      <c r="G1050" s="14" t="n">
        <v>3</v>
      </c>
      <c r="H1050" s="14" t="s">
        <v>158</v>
      </c>
      <c r="I1050" s="14" t="s">
        <v>899</v>
      </c>
      <c r="J1050" s="15" t="n">
        <f aca="false">IF(B1050="SITE LOSS",IF(D1050=C1050,1,0),IF(B1050="REGION LOSS",IF(E1050=C1050,1,0),0))</f>
        <v>0</v>
      </c>
      <c r="K1050" s="15" t="n">
        <f aca="false">IF(B1050="SITE LOSS",IF(COUNTIFS('Site Dockets'!$B$7:$B$24,C1050,'Site Dockets'!$C$7:$C$24,F1050)&gt;0,1,0),IF(B1050="REGION LOSS",IF(COUNTIFS('Site Dockets'!$E$7:$E$24,C1050,'Site Dockets'!$C$7:$C$24,F1050)&gt;0,1,0),0))</f>
        <v>1</v>
      </c>
      <c r="L1050" s="15" t="n">
        <f aca="false">IF(J1050=1,0,Inputs!$B$11)</f>
        <v>100</v>
      </c>
      <c r="M1050" s="15" t="n">
        <f aca="false">IF(J1050=1,0,Inputs!$B$12)</f>
        <v>75</v>
      </c>
      <c r="N1050" s="15" t="n">
        <f aca="false">IF(J1050=1,0,IF(OR(AND(OR(B1050="SITE LOSS",B1050="REGION LOSS"),K1050=1),AND(B1050="ROLE COMPROMISE",H1050=C1050)),Inputs!$B$13,Inputs!$B$14))</f>
        <v>20</v>
      </c>
      <c r="O1050" s="15" t="n">
        <f aca="false">IF(J1050=1,0,Inputs!$B$13)</f>
        <v>20</v>
      </c>
      <c r="P1050" s="15" t="n">
        <f aca="false">SUM(M1050:N1050)</f>
        <v>95</v>
      </c>
      <c r="Q1050" s="15" t="n">
        <f aca="false">IF(J1050=1,"",L1050-P1050)</f>
        <v>5</v>
      </c>
      <c r="R1050" s="15" t="n">
        <f aca="false">IF(OR(J1050=1,M1050&lt;=Inputs!$B$12),1,0)</f>
        <v>1</v>
      </c>
      <c r="S1050" s="15" t="n">
        <f aca="false">IF(OR(J1050=1,N1050&lt;=O1050),1,0)</f>
        <v>1</v>
      </c>
      <c r="T1050" s="15" t="str">
        <f aca="false">IF(J1050=1,"OFFLINE",IF(AND(Q1050&gt;=Inputs!$B$15,R1050=1,S1050=1,P1050&lt;=L1050),"PASS","FAIL"))</f>
        <v>PASS</v>
      </c>
    </row>
    <row r="1051" customFormat="false" ht="15" hidden="false" customHeight="false" outlineLevel="0" collapsed="false">
      <c r="A1051" s="14" t="s">
        <v>1028</v>
      </c>
      <c r="B1051" s="14" t="s">
        <v>1019</v>
      </c>
      <c r="C1051" s="14" t="s">
        <v>182</v>
      </c>
      <c r="D1051" s="14" t="s">
        <v>190</v>
      </c>
      <c r="E1051" s="14" t="s">
        <v>152</v>
      </c>
      <c r="F1051" s="14" t="s">
        <v>191</v>
      </c>
      <c r="G1051" s="14" t="n">
        <v>1</v>
      </c>
      <c r="H1051" s="14" t="s">
        <v>154</v>
      </c>
      <c r="I1051" s="14" t="s">
        <v>890</v>
      </c>
      <c r="J1051" s="15" t="n">
        <f aca="false">IF(B1051="SITE LOSS",IF(D1051=C1051,1,0),IF(B1051="REGION LOSS",IF(E1051=C1051,1,0),0))</f>
        <v>0</v>
      </c>
      <c r="K1051" s="15" t="n">
        <f aca="false">IF(B1051="SITE LOSS",IF(COUNTIFS('Site Dockets'!$B$7:$B$24,C1051,'Site Dockets'!$C$7:$C$24,F1051)&gt;0,1,0),IF(B1051="REGION LOSS",IF(COUNTIFS('Site Dockets'!$E$7:$E$24,C1051,'Site Dockets'!$C$7:$C$24,F1051)&gt;0,1,0),0))</f>
        <v>0</v>
      </c>
      <c r="L1051" s="15" t="n">
        <f aca="false">IF(J1051=1,0,Inputs!$B$11)</f>
        <v>100</v>
      </c>
      <c r="M1051" s="15" t="n">
        <f aca="false">IF(J1051=1,0,Inputs!$B$12)</f>
        <v>75</v>
      </c>
      <c r="N1051" s="15" t="n">
        <f aca="false">IF(J1051=1,0,IF(OR(AND(OR(B1051="SITE LOSS",B1051="REGION LOSS"),K1051=1),AND(B1051="ROLE COMPROMISE",H1051=C1051)),Inputs!$B$13,Inputs!$B$14))</f>
        <v>10</v>
      </c>
      <c r="O1051" s="15" t="n">
        <f aca="false">IF(J1051=1,0,Inputs!$B$13)</f>
        <v>20</v>
      </c>
      <c r="P1051" s="15" t="n">
        <f aca="false">SUM(M1051:N1051)</f>
        <v>85</v>
      </c>
      <c r="Q1051" s="15" t="n">
        <f aca="false">IF(J1051=1,"",L1051-P1051)</f>
        <v>15</v>
      </c>
      <c r="R1051" s="15" t="n">
        <f aca="false">IF(OR(J1051=1,M1051&lt;=Inputs!$B$12),1,0)</f>
        <v>1</v>
      </c>
      <c r="S1051" s="15" t="n">
        <f aca="false">IF(OR(J1051=1,N1051&lt;=O1051),1,0)</f>
        <v>1</v>
      </c>
      <c r="T1051" s="15" t="str">
        <f aca="false">IF(J1051=1,"OFFLINE",IF(AND(Q1051&gt;=Inputs!$B$15,R1051=1,S1051=1,P1051&lt;=L1051),"PASS","FAIL"))</f>
        <v>PASS</v>
      </c>
    </row>
    <row r="1052" customFormat="false" ht="15" hidden="false" customHeight="false" outlineLevel="0" collapsed="false">
      <c r="A1052" s="14" t="s">
        <v>1028</v>
      </c>
      <c r="B1052" s="14" t="s">
        <v>1019</v>
      </c>
      <c r="C1052" s="14" t="s">
        <v>182</v>
      </c>
      <c r="D1052" s="14" t="s">
        <v>190</v>
      </c>
      <c r="E1052" s="14" t="s">
        <v>152</v>
      </c>
      <c r="F1052" s="14" t="s">
        <v>191</v>
      </c>
      <c r="G1052" s="14" t="n">
        <v>1</v>
      </c>
      <c r="H1052" s="14" t="s">
        <v>154</v>
      </c>
      <c r="I1052" s="14" t="s">
        <v>892</v>
      </c>
      <c r="J1052" s="15" t="n">
        <f aca="false">IF(B1052="SITE LOSS",IF(D1052=C1052,1,0),IF(B1052="REGION LOSS",IF(E1052=C1052,1,0),0))</f>
        <v>0</v>
      </c>
      <c r="K1052" s="15" t="n">
        <f aca="false">IF(B1052="SITE LOSS",IF(COUNTIFS('Site Dockets'!$B$7:$B$24,C1052,'Site Dockets'!$C$7:$C$24,F1052)&gt;0,1,0),IF(B1052="REGION LOSS",IF(COUNTIFS('Site Dockets'!$E$7:$E$24,C1052,'Site Dockets'!$C$7:$C$24,F1052)&gt;0,1,0),0))</f>
        <v>0</v>
      </c>
      <c r="L1052" s="15" t="n">
        <f aca="false">IF(J1052=1,0,Inputs!$B$11)</f>
        <v>100</v>
      </c>
      <c r="M1052" s="15" t="n">
        <f aca="false">IF(J1052=1,0,Inputs!$B$12)</f>
        <v>75</v>
      </c>
      <c r="N1052" s="15" t="n">
        <f aca="false">IF(J1052=1,0,IF(OR(AND(OR(B1052="SITE LOSS",B1052="REGION LOSS"),K1052=1),AND(B1052="ROLE COMPROMISE",H1052=C1052)),Inputs!$B$13,Inputs!$B$14))</f>
        <v>10</v>
      </c>
      <c r="O1052" s="15" t="n">
        <f aca="false">IF(J1052=1,0,Inputs!$B$13)</f>
        <v>20</v>
      </c>
      <c r="P1052" s="15" t="n">
        <f aca="false">SUM(M1052:N1052)</f>
        <v>85</v>
      </c>
      <c r="Q1052" s="15" t="n">
        <f aca="false">IF(J1052=1,"",L1052-P1052)</f>
        <v>15</v>
      </c>
      <c r="R1052" s="15" t="n">
        <f aca="false">IF(OR(J1052=1,M1052&lt;=Inputs!$B$12),1,0)</f>
        <v>1</v>
      </c>
      <c r="S1052" s="15" t="n">
        <f aca="false">IF(OR(J1052=1,N1052&lt;=O1052),1,0)</f>
        <v>1</v>
      </c>
      <c r="T1052" s="15" t="str">
        <f aca="false">IF(J1052=1,"OFFLINE",IF(AND(Q1052&gt;=Inputs!$B$15,R1052=1,S1052=1,P1052&lt;=L1052),"PASS","FAIL"))</f>
        <v>PASS</v>
      </c>
    </row>
    <row r="1053" customFormat="false" ht="15" hidden="false" customHeight="false" outlineLevel="0" collapsed="false">
      <c r="A1053" s="14" t="s">
        <v>1028</v>
      </c>
      <c r="B1053" s="14" t="s">
        <v>1019</v>
      </c>
      <c r="C1053" s="14" t="s">
        <v>182</v>
      </c>
      <c r="D1053" s="14" t="s">
        <v>190</v>
      </c>
      <c r="E1053" s="14" t="s">
        <v>152</v>
      </c>
      <c r="F1053" s="14" t="s">
        <v>191</v>
      </c>
      <c r="G1053" s="14" t="n">
        <v>1</v>
      </c>
      <c r="H1053" s="14" t="s">
        <v>154</v>
      </c>
      <c r="I1053" s="14" t="s">
        <v>811</v>
      </c>
      <c r="J1053" s="15" t="n">
        <f aca="false">IF(B1053="SITE LOSS",IF(D1053=C1053,1,0),IF(B1053="REGION LOSS",IF(E1053=C1053,1,0),0))</f>
        <v>0</v>
      </c>
      <c r="K1053" s="15" t="n">
        <f aca="false">IF(B1053="SITE LOSS",IF(COUNTIFS('Site Dockets'!$B$7:$B$24,C1053,'Site Dockets'!$C$7:$C$24,F1053)&gt;0,1,0),IF(B1053="REGION LOSS",IF(COUNTIFS('Site Dockets'!$E$7:$E$24,C1053,'Site Dockets'!$C$7:$C$24,F1053)&gt;0,1,0),0))</f>
        <v>0</v>
      </c>
      <c r="L1053" s="15" t="n">
        <f aca="false">IF(J1053=1,0,Inputs!$B$11)</f>
        <v>100</v>
      </c>
      <c r="M1053" s="15" t="n">
        <f aca="false">IF(J1053=1,0,Inputs!$B$12)</f>
        <v>75</v>
      </c>
      <c r="N1053" s="15" t="n">
        <f aca="false">IF(J1053=1,0,IF(OR(AND(OR(B1053="SITE LOSS",B1053="REGION LOSS"),K1053=1),AND(B1053="ROLE COMPROMISE",H1053=C1053)),Inputs!$B$13,Inputs!$B$14))</f>
        <v>10</v>
      </c>
      <c r="O1053" s="15" t="n">
        <f aca="false">IF(J1053=1,0,Inputs!$B$13)</f>
        <v>20</v>
      </c>
      <c r="P1053" s="15" t="n">
        <f aca="false">SUM(M1053:N1053)</f>
        <v>85</v>
      </c>
      <c r="Q1053" s="15" t="n">
        <f aca="false">IF(J1053=1,"",L1053-P1053)</f>
        <v>15</v>
      </c>
      <c r="R1053" s="15" t="n">
        <f aca="false">IF(OR(J1053=1,M1053&lt;=Inputs!$B$12),1,0)</f>
        <v>1</v>
      </c>
      <c r="S1053" s="15" t="n">
        <f aca="false">IF(OR(J1053=1,N1053&lt;=O1053),1,0)</f>
        <v>1</v>
      </c>
      <c r="T1053" s="15" t="str">
        <f aca="false">IF(J1053=1,"OFFLINE",IF(AND(Q1053&gt;=Inputs!$B$15,R1053=1,S1053=1,P1053&lt;=L1053),"PASS","FAIL"))</f>
        <v>PASS</v>
      </c>
    </row>
    <row r="1054" customFormat="false" ht="15" hidden="false" customHeight="false" outlineLevel="0" collapsed="false">
      <c r="A1054" s="14" t="s">
        <v>1028</v>
      </c>
      <c r="B1054" s="14" t="s">
        <v>1019</v>
      </c>
      <c r="C1054" s="14" t="s">
        <v>182</v>
      </c>
      <c r="D1054" s="14" t="s">
        <v>190</v>
      </c>
      <c r="E1054" s="14" t="s">
        <v>152</v>
      </c>
      <c r="F1054" s="14" t="s">
        <v>191</v>
      </c>
      <c r="G1054" s="14" t="n">
        <v>1</v>
      </c>
      <c r="H1054" s="14" t="s">
        <v>154</v>
      </c>
      <c r="I1054" s="14" t="s">
        <v>895</v>
      </c>
      <c r="J1054" s="15" t="n">
        <f aca="false">IF(B1054="SITE LOSS",IF(D1054=C1054,1,0),IF(B1054="REGION LOSS",IF(E1054=C1054,1,0),0))</f>
        <v>0</v>
      </c>
      <c r="K1054" s="15" t="n">
        <f aca="false">IF(B1054="SITE LOSS",IF(COUNTIFS('Site Dockets'!$B$7:$B$24,C1054,'Site Dockets'!$C$7:$C$24,F1054)&gt;0,1,0),IF(B1054="REGION LOSS",IF(COUNTIFS('Site Dockets'!$E$7:$E$24,C1054,'Site Dockets'!$C$7:$C$24,F1054)&gt;0,1,0),0))</f>
        <v>0</v>
      </c>
      <c r="L1054" s="15" t="n">
        <f aca="false">IF(J1054=1,0,Inputs!$B$11)</f>
        <v>100</v>
      </c>
      <c r="M1054" s="15" t="n">
        <f aca="false">IF(J1054=1,0,Inputs!$B$12)</f>
        <v>75</v>
      </c>
      <c r="N1054" s="15" t="n">
        <f aca="false">IF(J1054=1,0,IF(OR(AND(OR(B1054="SITE LOSS",B1054="REGION LOSS"),K1054=1),AND(B1054="ROLE COMPROMISE",H1054=C1054)),Inputs!$B$13,Inputs!$B$14))</f>
        <v>10</v>
      </c>
      <c r="O1054" s="15" t="n">
        <f aca="false">IF(J1054=1,0,Inputs!$B$13)</f>
        <v>20</v>
      </c>
      <c r="P1054" s="15" t="n">
        <f aca="false">SUM(M1054:N1054)</f>
        <v>85</v>
      </c>
      <c r="Q1054" s="15" t="n">
        <f aca="false">IF(J1054=1,"",L1054-P1054)</f>
        <v>15</v>
      </c>
      <c r="R1054" s="15" t="n">
        <f aca="false">IF(OR(J1054=1,M1054&lt;=Inputs!$B$12),1,0)</f>
        <v>1</v>
      </c>
      <c r="S1054" s="15" t="n">
        <f aca="false">IF(OR(J1054=1,N1054&lt;=O1054),1,0)</f>
        <v>1</v>
      </c>
      <c r="T1054" s="15" t="str">
        <f aca="false">IF(J1054=1,"OFFLINE",IF(AND(Q1054&gt;=Inputs!$B$15,R1054=1,S1054=1,P1054&lt;=L1054),"PASS","FAIL"))</f>
        <v>PASS</v>
      </c>
    </row>
    <row r="1055" customFormat="false" ht="15" hidden="false" customHeight="false" outlineLevel="0" collapsed="false">
      <c r="A1055" s="14" t="s">
        <v>1028</v>
      </c>
      <c r="B1055" s="14" t="s">
        <v>1019</v>
      </c>
      <c r="C1055" s="14" t="s">
        <v>182</v>
      </c>
      <c r="D1055" s="14" t="s">
        <v>190</v>
      </c>
      <c r="E1055" s="14" t="s">
        <v>152</v>
      </c>
      <c r="F1055" s="14" t="s">
        <v>191</v>
      </c>
      <c r="G1055" s="14" t="n">
        <v>1</v>
      </c>
      <c r="H1055" s="14" t="s">
        <v>154</v>
      </c>
      <c r="I1055" s="14" t="s">
        <v>897</v>
      </c>
      <c r="J1055" s="15" t="n">
        <f aca="false">IF(B1055="SITE LOSS",IF(D1055=C1055,1,0),IF(B1055="REGION LOSS",IF(E1055=C1055,1,0),0))</f>
        <v>0</v>
      </c>
      <c r="K1055" s="15" t="n">
        <f aca="false">IF(B1055="SITE LOSS",IF(COUNTIFS('Site Dockets'!$B$7:$B$24,C1055,'Site Dockets'!$C$7:$C$24,F1055)&gt;0,1,0),IF(B1055="REGION LOSS",IF(COUNTIFS('Site Dockets'!$E$7:$E$24,C1055,'Site Dockets'!$C$7:$C$24,F1055)&gt;0,1,0),0))</f>
        <v>0</v>
      </c>
      <c r="L1055" s="15" t="n">
        <f aca="false">IF(J1055=1,0,Inputs!$B$11)</f>
        <v>100</v>
      </c>
      <c r="M1055" s="15" t="n">
        <f aca="false">IF(J1055=1,0,Inputs!$B$12)</f>
        <v>75</v>
      </c>
      <c r="N1055" s="15" t="n">
        <f aca="false">IF(J1055=1,0,IF(OR(AND(OR(B1055="SITE LOSS",B1055="REGION LOSS"),K1055=1),AND(B1055="ROLE COMPROMISE",H1055=C1055)),Inputs!$B$13,Inputs!$B$14))</f>
        <v>10</v>
      </c>
      <c r="O1055" s="15" t="n">
        <f aca="false">IF(J1055=1,0,Inputs!$B$13)</f>
        <v>20</v>
      </c>
      <c r="P1055" s="15" t="n">
        <f aca="false">SUM(M1055:N1055)</f>
        <v>85</v>
      </c>
      <c r="Q1055" s="15" t="n">
        <f aca="false">IF(J1055=1,"",L1055-P1055)</f>
        <v>15</v>
      </c>
      <c r="R1055" s="15" t="n">
        <f aca="false">IF(OR(J1055=1,M1055&lt;=Inputs!$B$12),1,0)</f>
        <v>1</v>
      </c>
      <c r="S1055" s="15" t="n">
        <f aca="false">IF(OR(J1055=1,N1055&lt;=O1055),1,0)</f>
        <v>1</v>
      </c>
      <c r="T1055" s="15" t="str">
        <f aca="false">IF(J1055=1,"OFFLINE",IF(AND(Q1055&gt;=Inputs!$B$15,R1055=1,S1055=1,P1055&lt;=L1055),"PASS","FAIL"))</f>
        <v>PASS</v>
      </c>
    </row>
    <row r="1056" customFormat="false" ht="15" hidden="false" customHeight="false" outlineLevel="0" collapsed="false">
      <c r="A1056" s="14" t="s">
        <v>1028</v>
      </c>
      <c r="B1056" s="14" t="s">
        <v>1019</v>
      </c>
      <c r="C1056" s="14" t="s">
        <v>182</v>
      </c>
      <c r="D1056" s="14" t="s">
        <v>190</v>
      </c>
      <c r="E1056" s="14" t="s">
        <v>152</v>
      </c>
      <c r="F1056" s="14" t="s">
        <v>191</v>
      </c>
      <c r="G1056" s="14" t="n">
        <v>1</v>
      </c>
      <c r="H1056" s="14" t="s">
        <v>154</v>
      </c>
      <c r="I1056" s="14" t="s">
        <v>899</v>
      </c>
      <c r="J1056" s="15" t="n">
        <f aca="false">IF(B1056="SITE LOSS",IF(D1056=C1056,1,0),IF(B1056="REGION LOSS",IF(E1056=C1056,1,0),0))</f>
        <v>0</v>
      </c>
      <c r="K1056" s="15" t="n">
        <f aca="false">IF(B1056="SITE LOSS",IF(COUNTIFS('Site Dockets'!$B$7:$B$24,C1056,'Site Dockets'!$C$7:$C$24,F1056)&gt;0,1,0),IF(B1056="REGION LOSS",IF(COUNTIFS('Site Dockets'!$E$7:$E$24,C1056,'Site Dockets'!$C$7:$C$24,F1056)&gt;0,1,0),0))</f>
        <v>0</v>
      </c>
      <c r="L1056" s="15" t="n">
        <f aca="false">IF(J1056=1,0,Inputs!$B$11)</f>
        <v>100</v>
      </c>
      <c r="M1056" s="15" t="n">
        <f aca="false">IF(J1056=1,0,Inputs!$B$12)</f>
        <v>75</v>
      </c>
      <c r="N1056" s="15" t="n">
        <f aca="false">IF(J1056=1,0,IF(OR(AND(OR(B1056="SITE LOSS",B1056="REGION LOSS"),K1056=1),AND(B1056="ROLE COMPROMISE",H1056=C1056)),Inputs!$B$13,Inputs!$B$14))</f>
        <v>10</v>
      </c>
      <c r="O1056" s="15" t="n">
        <f aca="false">IF(J1056=1,0,Inputs!$B$13)</f>
        <v>20</v>
      </c>
      <c r="P1056" s="15" t="n">
        <f aca="false">SUM(M1056:N1056)</f>
        <v>85</v>
      </c>
      <c r="Q1056" s="15" t="n">
        <f aca="false">IF(J1056=1,"",L1056-P1056)</f>
        <v>15</v>
      </c>
      <c r="R1056" s="15" t="n">
        <f aca="false">IF(OR(J1056=1,M1056&lt;=Inputs!$B$12),1,0)</f>
        <v>1</v>
      </c>
      <c r="S1056" s="15" t="n">
        <f aca="false">IF(OR(J1056=1,N1056&lt;=O1056),1,0)</f>
        <v>1</v>
      </c>
      <c r="T1056" s="15" t="str">
        <f aca="false">IF(J1056=1,"OFFLINE",IF(AND(Q1056&gt;=Inputs!$B$15,R1056=1,S1056=1,P1056&lt;=L1056),"PASS","FAIL"))</f>
        <v>PASS</v>
      </c>
    </row>
    <row r="1057" customFormat="false" ht="15" hidden="false" customHeight="false" outlineLevel="0" collapsed="false">
      <c r="A1057" s="14" t="s">
        <v>1028</v>
      </c>
      <c r="B1057" s="14" t="s">
        <v>1019</v>
      </c>
      <c r="C1057" s="14" t="s">
        <v>182</v>
      </c>
      <c r="D1057" s="14" t="s">
        <v>194</v>
      </c>
      <c r="E1057" s="14" t="s">
        <v>169</v>
      </c>
      <c r="F1057" s="14" t="s">
        <v>191</v>
      </c>
      <c r="G1057" s="14" t="n">
        <v>2</v>
      </c>
      <c r="H1057" s="14" t="s">
        <v>153</v>
      </c>
      <c r="I1057" s="14" t="s">
        <v>890</v>
      </c>
      <c r="J1057" s="15" t="n">
        <f aca="false">IF(B1057="SITE LOSS",IF(D1057=C1057,1,0),IF(B1057="REGION LOSS",IF(E1057=C1057,1,0),0))</f>
        <v>0</v>
      </c>
      <c r="K1057" s="15" t="n">
        <f aca="false">IF(B1057="SITE LOSS",IF(COUNTIFS('Site Dockets'!$B$7:$B$24,C1057,'Site Dockets'!$C$7:$C$24,F1057)&gt;0,1,0),IF(B1057="REGION LOSS",IF(COUNTIFS('Site Dockets'!$E$7:$E$24,C1057,'Site Dockets'!$C$7:$C$24,F1057)&gt;0,1,0),0))</f>
        <v>0</v>
      </c>
      <c r="L1057" s="15" t="n">
        <f aca="false">IF(J1057=1,0,Inputs!$B$11)</f>
        <v>100</v>
      </c>
      <c r="M1057" s="15" t="n">
        <f aca="false">IF(J1057=1,0,Inputs!$B$12)</f>
        <v>75</v>
      </c>
      <c r="N1057" s="15" t="n">
        <f aca="false">IF(J1057=1,0,IF(OR(AND(OR(B1057="SITE LOSS",B1057="REGION LOSS"),K1057=1),AND(B1057="ROLE COMPROMISE",H1057=C1057)),Inputs!$B$13,Inputs!$B$14))</f>
        <v>10</v>
      </c>
      <c r="O1057" s="15" t="n">
        <f aca="false">IF(J1057=1,0,Inputs!$B$13)</f>
        <v>20</v>
      </c>
      <c r="P1057" s="15" t="n">
        <f aca="false">SUM(M1057:N1057)</f>
        <v>85</v>
      </c>
      <c r="Q1057" s="15" t="n">
        <f aca="false">IF(J1057=1,"",L1057-P1057)</f>
        <v>15</v>
      </c>
      <c r="R1057" s="15" t="n">
        <f aca="false">IF(OR(J1057=1,M1057&lt;=Inputs!$B$12),1,0)</f>
        <v>1</v>
      </c>
      <c r="S1057" s="15" t="n">
        <f aca="false">IF(OR(J1057=1,N1057&lt;=O1057),1,0)</f>
        <v>1</v>
      </c>
      <c r="T1057" s="15" t="str">
        <f aca="false">IF(J1057=1,"OFFLINE",IF(AND(Q1057&gt;=Inputs!$B$15,R1057=1,S1057=1,P1057&lt;=L1057),"PASS","FAIL"))</f>
        <v>PASS</v>
      </c>
    </row>
    <row r="1058" customFormat="false" ht="15" hidden="false" customHeight="false" outlineLevel="0" collapsed="false">
      <c r="A1058" s="14" t="s">
        <v>1028</v>
      </c>
      <c r="B1058" s="14" t="s">
        <v>1019</v>
      </c>
      <c r="C1058" s="14" t="s">
        <v>182</v>
      </c>
      <c r="D1058" s="14" t="s">
        <v>194</v>
      </c>
      <c r="E1058" s="14" t="s">
        <v>169</v>
      </c>
      <c r="F1058" s="14" t="s">
        <v>191</v>
      </c>
      <c r="G1058" s="14" t="n">
        <v>2</v>
      </c>
      <c r="H1058" s="14" t="s">
        <v>153</v>
      </c>
      <c r="I1058" s="14" t="s">
        <v>892</v>
      </c>
      <c r="J1058" s="15" t="n">
        <f aca="false">IF(B1058="SITE LOSS",IF(D1058=C1058,1,0),IF(B1058="REGION LOSS",IF(E1058=C1058,1,0),0))</f>
        <v>0</v>
      </c>
      <c r="K1058" s="15" t="n">
        <f aca="false">IF(B1058="SITE LOSS",IF(COUNTIFS('Site Dockets'!$B$7:$B$24,C1058,'Site Dockets'!$C$7:$C$24,F1058)&gt;0,1,0),IF(B1058="REGION LOSS",IF(COUNTIFS('Site Dockets'!$E$7:$E$24,C1058,'Site Dockets'!$C$7:$C$24,F1058)&gt;0,1,0),0))</f>
        <v>0</v>
      </c>
      <c r="L1058" s="15" t="n">
        <f aca="false">IF(J1058=1,0,Inputs!$B$11)</f>
        <v>100</v>
      </c>
      <c r="M1058" s="15" t="n">
        <f aca="false">IF(J1058=1,0,Inputs!$B$12)</f>
        <v>75</v>
      </c>
      <c r="N1058" s="15" t="n">
        <f aca="false">IF(J1058=1,0,IF(OR(AND(OR(B1058="SITE LOSS",B1058="REGION LOSS"),K1058=1),AND(B1058="ROLE COMPROMISE",H1058=C1058)),Inputs!$B$13,Inputs!$B$14))</f>
        <v>10</v>
      </c>
      <c r="O1058" s="15" t="n">
        <f aca="false">IF(J1058=1,0,Inputs!$B$13)</f>
        <v>20</v>
      </c>
      <c r="P1058" s="15" t="n">
        <f aca="false">SUM(M1058:N1058)</f>
        <v>85</v>
      </c>
      <c r="Q1058" s="15" t="n">
        <f aca="false">IF(J1058=1,"",L1058-P1058)</f>
        <v>15</v>
      </c>
      <c r="R1058" s="15" t="n">
        <f aca="false">IF(OR(J1058=1,M1058&lt;=Inputs!$B$12),1,0)</f>
        <v>1</v>
      </c>
      <c r="S1058" s="15" t="n">
        <f aca="false">IF(OR(J1058=1,N1058&lt;=O1058),1,0)</f>
        <v>1</v>
      </c>
      <c r="T1058" s="15" t="str">
        <f aca="false">IF(J1058=1,"OFFLINE",IF(AND(Q1058&gt;=Inputs!$B$15,R1058=1,S1058=1,P1058&lt;=L1058),"PASS","FAIL"))</f>
        <v>PASS</v>
      </c>
    </row>
    <row r="1059" customFormat="false" ht="15" hidden="false" customHeight="false" outlineLevel="0" collapsed="false">
      <c r="A1059" s="14" t="s">
        <v>1028</v>
      </c>
      <c r="B1059" s="14" t="s">
        <v>1019</v>
      </c>
      <c r="C1059" s="14" t="s">
        <v>182</v>
      </c>
      <c r="D1059" s="14" t="s">
        <v>194</v>
      </c>
      <c r="E1059" s="14" t="s">
        <v>169</v>
      </c>
      <c r="F1059" s="14" t="s">
        <v>191</v>
      </c>
      <c r="G1059" s="14" t="n">
        <v>2</v>
      </c>
      <c r="H1059" s="14" t="s">
        <v>153</v>
      </c>
      <c r="I1059" s="14" t="s">
        <v>811</v>
      </c>
      <c r="J1059" s="15" t="n">
        <f aca="false">IF(B1059="SITE LOSS",IF(D1059=C1059,1,0),IF(B1059="REGION LOSS",IF(E1059=C1059,1,0),0))</f>
        <v>0</v>
      </c>
      <c r="K1059" s="15" t="n">
        <f aca="false">IF(B1059="SITE LOSS",IF(COUNTIFS('Site Dockets'!$B$7:$B$24,C1059,'Site Dockets'!$C$7:$C$24,F1059)&gt;0,1,0),IF(B1059="REGION LOSS",IF(COUNTIFS('Site Dockets'!$E$7:$E$24,C1059,'Site Dockets'!$C$7:$C$24,F1059)&gt;0,1,0),0))</f>
        <v>0</v>
      </c>
      <c r="L1059" s="15" t="n">
        <f aca="false">IF(J1059=1,0,Inputs!$B$11)</f>
        <v>100</v>
      </c>
      <c r="M1059" s="15" t="n">
        <f aca="false">IF(J1059=1,0,Inputs!$B$12)</f>
        <v>75</v>
      </c>
      <c r="N1059" s="15" t="n">
        <f aca="false">IF(J1059=1,0,IF(OR(AND(OR(B1059="SITE LOSS",B1059="REGION LOSS"),K1059=1),AND(B1059="ROLE COMPROMISE",H1059=C1059)),Inputs!$B$13,Inputs!$B$14))</f>
        <v>10</v>
      </c>
      <c r="O1059" s="15" t="n">
        <f aca="false">IF(J1059=1,0,Inputs!$B$13)</f>
        <v>20</v>
      </c>
      <c r="P1059" s="15" t="n">
        <f aca="false">SUM(M1059:N1059)</f>
        <v>85</v>
      </c>
      <c r="Q1059" s="15" t="n">
        <f aca="false">IF(J1059=1,"",L1059-P1059)</f>
        <v>15</v>
      </c>
      <c r="R1059" s="15" t="n">
        <f aca="false">IF(OR(J1059=1,M1059&lt;=Inputs!$B$12),1,0)</f>
        <v>1</v>
      </c>
      <c r="S1059" s="15" t="n">
        <f aca="false">IF(OR(J1059=1,N1059&lt;=O1059),1,0)</f>
        <v>1</v>
      </c>
      <c r="T1059" s="15" t="str">
        <f aca="false">IF(J1059=1,"OFFLINE",IF(AND(Q1059&gt;=Inputs!$B$15,R1059=1,S1059=1,P1059&lt;=L1059),"PASS","FAIL"))</f>
        <v>PASS</v>
      </c>
    </row>
    <row r="1060" customFormat="false" ht="15" hidden="false" customHeight="false" outlineLevel="0" collapsed="false">
      <c r="A1060" s="14" t="s">
        <v>1028</v>
      </c>
      <c r="B1060" s="14" t="s">
        <v>1019</v>
      </c>
      <c r="C1060" s="14" t="s">
        <v>182</v>
      </c>
      <c r="D1060" s="14" t="s">
        <v>194</v>
      </c>
      <c r="E1060" s="14" t="s">
        <v>169</v>
      </c>
      <c r="F1060" s="14" t="s">
        <v>191</v>
      </c>
      <c r="G1060" s="14" t="n">
        <v>2</v>
      </c>
      <c r="H1060" s="14" t="s">
        <v>153</v>
      </c>
      <c r="I1060" s="14" t="s">
        <v>895</v>
      </c>
      <c r="J1060" s="15" t="n">
        <f aca="false">IF(B1060="SITE LOSS",IF(D1060=C1060,1,0),IF(B1060="REGION LOSS",IF(E1060=C1060,1,0),0))</f>
        <v>0</v>
      </c>
      <c r="K1060" s="15" t="n">
        <f aca="false">IF(B1060="SITE LOSS",IF(COUNTIFS('Site Dockets'!$B$7:$B$24,C1060,'Site Dockets'!$C$7:$C$24,F1060)&gt;0,1,0),IF(B1060="REGION LOSS",IF(COUNTIFS('Site Dockets'!$E$7:$E$24,C1060,'Site Dockets'!$C$7:$C$24,F1060)&gt;0,1,0),0))</f>
        <v>0</v>
      </c>
      <c r="L1060" s="15" t="n">
        <f aca="false">IF(J1060=1,0,Inputs!$B$11)</f>
        <v>100</v>
      </c>
      <c r="M1060" s="15" t="n">
        <f aca="false">IF(J1060=1,0,Inputs!$B$12)</f>
        <v>75</v>
      </c>
      <c r="N1060" s="15" t="n">
        <f aca="false">IF(J1060=1,0,IF(OR(AND(OR(B1060="SITE LOSS",B1060="REGION LOSS"),K1060=1),AND(B1060="ROLE COMPROMISE",H1060=C1060)),Inputs!$B$13,Inputs!$B$14))</f>
        <v>10</v>
      </c>
      <c r="O1060" s="15" t="n">
        <f aca="false">IF(J1060=1,0,Inputs!$B$13)</f>
        <v>20</v>
      </c>
      <c r="P1060" s="15" t="n">
        <f aca="false">SUM(M1060:N1060)</f>
        <v>85</v>
      </c>
      <c r="Q1060" s="15" t="n">
        <f aca="false">IF(J1060=1,"",L1060-P1060)</f>
        <v>15</v>
      </c>
      <c r="R1060" s="15" t="n">
        <f aca="false">IF(OR(J1060=1,M1060&lt;=Inputs!$B$12),1,0)</f>
        <v>1</v>
      </c>
      <c r="S1060" s="15" t="n">
        <f aca="false">IF(OR(J1060=1,N1060&lt;=O1060),1,0)</f>
        <v>1</v>
      </c>
      <c r="T1060" s="15" t="str">
        <f aca="false">IF(J1060=1,"OFFLINE",IF(AND(Q1060&gt;=Inputs!$B$15,R1060=1,S1060=1,P1060&lt;=L1060),"PASS","FAIL"))</f>
        <v>PASS</v>
      </c>
    </row>
    <row r="1061" customFormat="false" ht="15" hidden="false" customHeight="false" outlineLevel="0" collapsed="false">
      <c r="A1061" s="14" t="s">
        <v>1028</v>
      </c>
      <c r="B1061" s="14" t="s">
        <v>1019</v>
      </c>
      <c r="C1061" s="14" t="s">
        <v>182</v>
      </c>
      <c r="D1061" s="14" t="s">
        <v>194</v>
      </c>
      <c r="E1061" s="14" t="s">
        <v>169</v>
      </c>
      <c r="F1061" s="14" t="s">
        <v>191</v>
      </c>
      <c r="G1061" s="14" t="n">
        <v>2</v>
      </c>
      <c r="H1061" s="14" t="s">
        <v>153</v>
      </c>
      <c r="I1061" s="14" t="s">
        <v>897</v>
      </c>
      <c r="J1061" s="15" t="n">
        <f aca="false">IF(B1061="SITE LOSS",IF(D1061=C1061,1,0),IF(B1061="REGION LOSS",IF(E1061=C1061,1,0),0))</f>
        <v>0</v>
      </c>
      <c r="K1061" s="15" t="n">
        <f aca="false">IF(B1061="SITE LOSS",IF(COUNTIFS('Site Dockets'!$B$7:$B$24,C1061,'Site Dockets'!$C$7:$C$24,F1061)&gt;0,1,0),IF(B1061="REGION LOSS",IF(COUNTIFS('Site Dockets'!$E$7:$E$24,C1061,'Site Dockets'!$C$7:$C$24,F1061)&gt;0,1,0),0))</f>
        <v>0</v>
      </c>
      <c r="L1061" s="15" t="n">
        <f aca="false">IF(J1061=1,0,Inputs!$B$11)</f>
        <v>100</v>
      </c>
      <c r="M1061" s="15" t="n">
        <f aca="false">IF(J1061=1,0,Inputs!$B$12)</f>
        <v>75</v>
      </c>
      <c r="N1061" s="15" t="n">
        <f aca="false">IF(J1061=1,0,IF(OR(AND(OR(B1061="SITE LOSS",B1061="REGION LOSS"),K1061=1),AND(B1061="ROLE COMPROMISE",H1061=C1061)),Inputs!$B$13,Inputs!$B$14))</f>
        <v>10</v>
      </c>
      <c r="O1061" s="15" t="n">
        <f aca="false">IF(J1061=1,0,Inputs!$B$13)</f>
        <v>20</v>
      </c>
      <c r="P1061" s="15" t="n">
        <f aca="false">SUM(M1061:N1061)</f>
        <v>85</v>
      </c>
      <c r="Q1061" s="15" t="n">
        <f aca="false">IF(J1061=1,"",L1061-P1061)</f>
        <v>15</v>
      </c>
      <c r="R1061" s="15" t="n">
        <f aca="false">IF(OR(J1061=1,M1061&lt;=Inputs!$B$12),1,0)</f>
        <v>1</v>
      </c>
      <c r="S1061" s="15" t="n">
        <f aca="false">IF(OR(J1061=1,N1061&lt;=O1061),1,0)</f>
        <v>1</v>
      </c>
      <c r="T1061" s="15" t="str">
        <f aca="false">IF(J1061=1,"OFFLINE",IF(AND(Q1061&gt;=Inputs!$B$15,R1061=1,S1061=1,P1061&lt;=L1061),"PASS","FAIL"))</f>
        <v>PASS</v>
      </c>
    </row>
    <row r="1062" customFormat="false" ht="15" hidden="false" customHeight="false" outlineLevel="0" collapsed="false">
      <c r="A1062" s="14" t="s">
        <v>1028</v>
      </c>
      <c r="B1062" s="14" t="s">
        <v>1019</v>
      </c>
      <c r="C1062" s="14" t="s">
        <v>182</v>
      </c>
      <c r="D1062" s="14" t="s">
        <v>194</v>
      </c>
      <c r="E1062" s="14" t="s">
        <v>169</v>
      </c>
      <c r="F1062" s="14" t="s">
        <v>191</v>
      </c>
      <c r="G1062" s="14" t="n">
        <v>2</v>
      </c>
      <c r="H1062" s="14" t="s">
        <v>153</v>
      </c>
      <c r="I1062" s="14" t="s">
        <v>899</v>
      </c>
      <c r="J1062" s="15" t="n">
        <f aca="false">IF(B1062="SITE LOSS",IF(D1062=C1062,1,0),IF(B1062="REGION LOSS",IF(E1062=C1062,1,0),0))</f>
        <v>0</v>
      </c>
      <c r="K1062" s="15" t="n">
        <f aca="false">IF(B1062="SITE LOSS",IF(COUNTIFS('Site Dockets'!$B$7:$B$24,C1062,'Site Dockets'!$C$7:$C$24,F1062)&gt;0,1,0),IF(B1062="REGION LOSS",IF(COUNTIFS('Site Dockets'!$E$7:$E$24,C1062,'Site Dockets'!$C$7:$C$24,F1062)&gt;0,1,0),0))</f>
        <v>0</v>
      </c>
      <c r="L1062" s="15" t="n">
        <f aca="false">IF(J1062=1,0,Inputs!$B$11)</f>
        <v>100</v>
      </c>
      <c r="M1062" s="15" t="n">
        <f aca="false">IF(J1062=1,0,Inputs!$B$12)</f>
        <v>75</v>
      </c>
      <c r="N1062" s="15" t="n">
        <f aca="false">IF(J1062=1,0,IF(OR(AND(OR(B1062="SITE LOSS",B1062="REGION LOSS"),K1062=1),AND(B1062="ROLE COMPROMISE",H1062=C1062)),Inputs!$B$13,Inputs!$B$14))</f>
        <v>10</v>
      </c>
      <c r="O1062" s="15" t="n">
        <f aca="false">IF(J1062=1,0,Inputs!$B$13)</f>
        <v>20</v>
      </c>
      <c r="P1062" s="15" t="n">
        <f aca="false">SUM(M1062:N1062)</f>
        <v>85</v>
      </c>
      <c r="Q1062" s="15" t="n">
        <f aca="false">IF(J1062=1,"",L1062-P1062)</f>
        <v>15</v>
      </c>
      <c r="R1062" s="15" t="n">
        <f aca="false">IF(OR(J1062=1,M1062&lt;=Inputs!$B$12),1,0)</f>
        <v>1</v>
      </c>
      <c r="S1062" s="15" t="n">
        <f aca="false">IF(OR(J1062=1,N1062&lt;=O1062),1,0)</f>
        <v>1</v>
      </c>
      <c r="T1062" s="15" t="str">
        <f aca="false">IF(J1062=1,"OFFLINE",IF(AND(Q1062&gt;=Inputs!$B$15,R1062=1,S1062=1,P1062&lt;=L1062),"PASS","FAIL"))</f>
        <v>PASS</v>
      </c>
    </row>
    <row r="1063" customFormat="false" ht="15" hidden="false" customHeight="false" outlineLevel="0" collapsed="false">
      <c r="A1063" s="14" t="s">
        <v>1028</v>
      </c>
      <c r="B1063" s="14" t="s">
        <v>1019</v>
      </c>
      <c r="C1063" s="14" t="s">
        <v>182</v>
      </c>
      <c r="D1063" s="14" t="s">
        <v>196</v>
      </c>
      <c r="E1063" s="14" t="s">
        <v>172</v>
      </c>
      <c r="F1063" s="14" t="s">
        <v>191</v>
      </c>
      <c r="G1063" s="14" t="n">
        <v>3</v>
      </c>
      <c r="H1063" s="14" t="s">
        <v>158</v>
      </c>
      <c r="I1063" s="14" t="s">
        <v>890</v>
      </c>
      <c r="J1063" s="15" t="n">
        <f aca="false">IF(B1063="SITE LOSS",IF(D1063=C1063,1,0),IF(B1063="REGION LOSS",IF(E1063=C1063,1,0),0))</f>
        <v>0</v>
      </c>
      <c r="K1063" s="15" t="n">
        <f aca="false">IF(B1063="SITE LOSS",IF(COUNTIFS('Site Dockets'!$B$7:$B$24,C1063,'Site Dockets'!$C$7:$C$24,F1063)&gt;0,1,0),IF(B1063="REGION LOSS",IF(COUNTIFS('Site Dockets'!$E$7:$E$24,C1063,'Site Dockets'!$C$7:$C$24,F1063)&gt;0,1,0),0))</f>
        <v>0</v>
      </c>
      <c r="L1063" s="15" t="n">
        <f aca="false">IF(J1063=1,0,Inputs!$B$11)</f>
        <v>100</v>
      </c>
      <c r="M1063" s="15" t="n">
        <f aca="false">IF(J1063=1,0,Inputs!$B$12)</f>
        <v>75</v>
      </c>
      <c r="N1063" s="15" t="n">
        <f aca="false">IF(J1063=1,0,IF(OR(AND(OR(B1063="SITE LOSS",B1063="REGION LOSS"),K1063=1),AND(B1063="ROLE COMPROMISE",H1063=C1063)),Inputs!$B$13,Inputs!$B$14))</f>
        <v>10</v>
      </c>
      <c r="O1063" s="15" t="n">
        <f aca="false">IF(J1063=1,0,Inputs!$B$13)</f>
        <v>20</v>
      </c>
      <c r="P1063" s="15" t="n">
        <f aca="false">SUM(M1063:N1063)</f>
        <v>85</v>
      </c>
      <c r="Q1063" s="15" t="n">
        <f aca="false">IF(J1063=1,"",L1063-P1063)</f>
        <v>15</v>
      </c>
      <c r="R1063" s="15" t="n">
        <f aca="false">IF(OR(J1063=1,M1063&lt;=Inputs!$B$12),1,0)</f>
        <v>1</v>
      </c>
      <c r="S1063" s="15" t="n">
        <f aca="false">IF(OR(J1063=1,N1063&lt;=O1063),1,0)</f>
        <v>1</v>
      </c>
      <c r="T1063" s="15" t="str">
        <f aca="false">IF(J1063=1,"OFFLINE",IF(AND(Q1063&gt;=Inputs!$B$15,R1063=1,S1063=1,P1063&lt;=L1063),"PASS","FAIL"))</f>
        <v>PASS</v>
      </c>
    </row>
    <row r="1064" customFormat="false" ht="15" hidden="false" customHeight="false" outlineLevel="0" collapsed="false">
      <c r="A1064" s="14" t="s">
        <v>1028</v>
      </c>
      <c r="B1064" s="14" t="s">
        <v>1019</v>
      </c>
      <c r="C1064" s="14" t="s">
        <v>182</v>
      </c>
      <c r="D1064" s="14" t="s">
        <v>196</v>
      </c>
      <c r="E1064" s="14" t="s">
        <v>172</v>
      </c>
      <c r="F1064" s="14" t="s">
        <v>191</v>
      </c>
      <c r="G1064" s="14" t="n">
        <v>3</v>
      </c>
      <c r="H1064" s="14" t="s">
        <v>158</v>
      </c>
      <c r="I1064" s="14" t="s">
        <v>892</v>
      </c>
      <c r="J1064" s="15" t="n">
        <f aca="false">IF(B1064="SITE LOSS",IF(D1064=C1064,1,0),IF(B1064="REGION LOSS",IF(E1064=C1064,1,0),0))</f>
        <v>0</v>
      </c>
      <c r="K1064" s="15" t="n">
        <f aca="false">IF(B1064="SITE LOSS",IF(COUNTIFS('Site Dockets'!$B$7:$B$24,C1064,'Site Dockets'!$C$7:$C$24,F1064)&gt;0,1,0),IF(B1064="REGION LOSS",IF(COUNTIFS('Site Dockets'!$E$7:$E$24,C1064,'Site Dockets'!$C$7:$C$24,F1064)&gt;0,1,0),0))</f>
        <v>0</v>
      </c>
      <c r="L1064" s="15" t="n">
        <f aca="false">IF(J1064=1,0,Inputs!$B$11)</f>
        <v>100</v>
      </c>
      <c r="M1064" s="15" t="n">
        <f aca="false">IF(J1064=1,0,Inputs!$B$12)</f>
        <v>75</v>
      </c>
      <c r="N1064" s="15" t="n">
        <f aca="false">IF(J1064=1,0,IF(OR(AND(OR(B1064="SITE LOSS",B1064="REGION LOSS"),K1064=1),AND(B1064="ROLE COMPROMISE",H1064=C1064)),Inputs!$B$13,Inputs!$B$14))</f>
        <v>10</v>
      </c>
      <c r="O1064" s="15" t="n">
        <f aca="false">IF(J1064=1,0,Inputs!$B$13)</f>
        <v>20</v>
      </c>
      <c r="P1064" s="15" t="n">
        <f aca="false">SUM(M1064:N1064)</f>
        <v>85</v>
      </c>
      <c r="Q1064" s="15" t="n">
        <f aca="false">IF(J1064=1,"",L1064-P1064)</f>
        <v>15</v>
      </c>
      <c r="R1064" s="15" t="n">
        <f aca="false">IF(OR(J1064=1,M1064&lt;=Inputs!$B$12),1,0)</f>
        <v>1</v>
      </c>
      <c r="S1064" s="15" t="n">
        <f aca="false">IF(OR(J1064=1,N1064&lt;=O1064),1,0)</f>
        <v>1</v>
      </c>
      <c r="T1064" s="15" t="str">
        <f aca="false">IF(J1064=1,"OFFLINE",IF(AND(Q1064&gt;=Inputs!$B$15,R1064=1,S1064=1,P1064&lt;=L1064),"PASS","FAIL"))</f>
        <v>PASS</v>
      </c>
    </row>
    <row r="1065" customFormat="false" ht="15" hidden="false" customHeight="false" outlineLevel="0" collapsed="false">
      <c r="A1065" s="14" t="s">
        <v>1028</v>
      </c>
      <c r="B1065" s="14" t="s">
        <v>1019</v>
      </c>
      <c r="C1065" s="14" t="s">
        <v>182</v>
      </c>
      <c r="D1065" s="14" t="s">
        <v>196</v>
      </c>
      <c r="E1065" s="14" t="s">
        <v>172</v>
      </c>
      <c r="F1065" s="14" t="s">
        <v>191</v>
      </c>
      <c r="G1065" s="14" t="n">
        <v>3</v>
      </c>
      <c r="H1065" s="14" t="s">
        <v>158</v>
      </c>
      <c r="I1065" s="14" t="s">
        <v>811</v>
      </c>
      <c r="J1065" s="15" t="n">
        <f aca="false">IF(B1065="SITE LOSS",IF(D1065=C1065,1,0),IF(B1065="REGION LOSS",IF(E1065=C1065,1,0),0))</f>
        <v>0</v>
      </c>
      <c r="K1065" s="15" t="n">
        <f aca="false">IF(B1065="SITE LOSS",IF(COUNTIFS('Site Dockets'!$B$7:$B$24,C1065,'Site Dockets'!$C$7:$C$24,F1065)&gt;0,1,0),IF(B1065="REGION LOSS",IF(COUNTIFS('Site Dockets'!$E$7:$E$24,C1065,'Site Dockets'!$C$7:$C$24,F1065)&gt;0,1,0),0))</f>
        <v>0</v>
      </c>
      <c r="L1065" s="15" t="n">
        <f aca="false">IF(J1065=1,0,Inputs!$B$11)</f>
        <v>100</v>
      </c>
      <c r="M1065" s="15" t="n">
        <f aca="false">IF(J1065=1,0,Inputs!$B$12)</f>
        <v>75</v>
      </c>
      <c r="N1065" s="15" t="n">
        <f aca="false">IF(J1065=1,0,IF(OR(AND(OR(B1065="SITE LOSS",B1065="REGION LOSS"),K1065=1),AND(B1065="ROLE COMPROMISE",H1065=C1065)),Inputs!$B$13,Inputs!$B$14))</f>
        <v>10</v>
      </c>
      <c r="O1065" s="15" t="n">
        <f aca="false">IF(J1065=1,0,Inputs!$B$13)</f>
        <v>20</v>
      </c>
      <c r="P1065" s="15" t="n">
        <f aca="false">SUM(M1065:N1065)</f>
        <v>85</v>
      </c>
      <c r="Q1065" s="15" t="n">
        <f aca="false">IF(J1065=1,"",L1065-P1065)</f>
        <v>15</v>
      </c>
      <c r="R1065" s="15" t="n">
        <f aca="false">IF(OR(J1065=1,M1065&lt;=Inputs!$B$12),1,0)</f>
        <v>1</v>
      </c>
      <c r="S1065" s="15" t="n">
        <f aca="false">IF(OR(J1065=1,N1065&lt;=O1065),1,0)</f>
        <v>1</v>
      </c>
      <c r="T1065" s="15" t="str">
        <f aca="false">IF(J1065=1,"OFFLINE",IF(AND(Q1065&gt;=Inputs!$B$15,R1065=1,S1065=1,P1065&lt;=L1065),"PASS","FAIL"))</f>
        <v>PASS</v>
      </c>
    </row>
    <row r="1066" customFormat="false" ht="15" hidden="false" customHeight="false" outlineLevel="0" collapsed="false">
      <c r="A1066" s="14" t="s">
        <v>1028</v>
      </c>
      <c r="B1066" s="14" t="s">
        <v>1019</v>
      </c>
      <c r="C1066" s="14" t="s">
        <v>182</v>
      </c>
      <c r="D1066" s="14" t="s">
        <v>196</v>
      </c>
      <c r="E1066" s="14" t="s">
        <v>172</v>
      </c>
      <c r="F1066" s="14" t="s">
        <v>191</v>
      </c>
      <c r="G1066" s="14" t="n">
        <v>3</v>
      </c>
      <c r="H1066" s="14" t="s">
        <v>158</v>
      </c>
      <c r="I1066" s="14" t="s">
        <v>895</v>
      </c>
      <c r="J1066" s="15" t="n">
        <f aca="false">IF(B1066="SITE LOSS",IF(D1066=C1066,1,0),IF(B1066="REGION LOSS",IF(E1066=C1066,1,0),0))</f>
        <v>0</v>
      </c>
      <c r="K1066" s="15" t="n">
        <f aca="false">IF(B1066="SITE LOSS",IF(COUNTIFS('Site Dockets'!$B$7:$B$24,C1066,'Site Dockets'!$C$7:$C$24,F1066)&gt;0,1,0),IF(B1066="REGION LOSS",IF(COUNTIFS('Site Dockets'!$E$7:$E$24,C1066,'Site Dockets'!$C$7:$C$24,F1066)&gt;0,1,0),0))</f>
        <v>0</v>
      </c>
      <c r="L1066" s="15" t="n">
        <f aca="false">IF(J1066=1,0,Inputs!$B$11)</f>
        <v>100</v>
      </c>
      <c r="M1066" s="15" t="n">
        <f aca="false">IF(J1066=1,0,Inputs!$B$12)</f>
        <v>75</v>
      </c>
      <c r="N1066" s="15" t="n">
        <f aca="false">IF(J1066=1,0,IF(OR(AND(OR(B1066="SITE LOSS",B1066="REGION LOSS"),K1066=1),AND(B1066="ROLE COMPROMISE",H1066=C1066)),Inputs!$B$13,Inputs!$B$14))</f>
        <v>10</v>
      </c>
      <c r="O1066" s="15" t="n">
        <f aca="false">IF(J1066=1,0,Inputs!$B$13)</f>
        <v>20</v>
      </c>
      <c r="P1066" s="15" t="n">
        <f aca="false">SUM(M1066:N1066)</f>
        <v>85</v>
      </c>
      <c r="Q1066" s="15" t="n">
        <f aca="false">IF(J1066=1,"",L1066-P1066)</f>
        <v>15</v>
      </c>
      <c r="R1066" s="15" t="n">
        <f aca="false">IF(OR(J1066=1,M1066&lt;=Inputs!$B$12),1,0)</f>
        <v>1</v>
      </c>
      <c r="S1066" s="15" t="n">
        <f aca="false">IF(OR(J1066=1,N1066&lt;=O1066),1,0)</f>
        <v>1</v>
      </c>
      <c r="T1066" s="15" t="str">
        <f aca="false">IF(J1066=1,"OFFLINE",IF(AND(Q1066&gt;=Inputs!$B$15,R1066=1,S1066=1,P1066&lt;=L1066),"PASS","FAIL"))</f>
        <v>PASS</v>
      </c>
    </row>
    <row r="1067" customFormat="false" ht="15" hidden="false" customHeight="false" outlineLevel="0" collapsed="false">
      <c r="A1067" s="14" t="s">
        <v>1028</v>
      </c>
      <c r="B1067" s="14" t="s">
        <v>1019</v>
      </c>
      <c r="C1067" s="14" t="s">
        <v>182</v>
      </c>
      <c r="D1067" s="14" t="s">
        <v>196</v>
      </c>
      <c r="E1067" s="14" t="s">
        <v>172</v>
      </c>
      <c r="F1067" s="14" t="s">
        <v>191</v>
      </c>
      <c r="G1067" s="14" t="n">
        <v>3</v>
      </c>
      <c r="H1067" s="14" t="s">
        <v>158</v>
      </c>
      <c r="I1067" s="14" t="s">
        <v>897</v>
      </c>
      <c r="J1067" s="15" t="n">
        <f aca="false">IF(B1067="SITE LOSS",IF(D1067=C1067,1,0),IF(B1067="REGION LOSS",IF(E1067=C1067,1,0),0))</f>
        <v>0</v>
      </c>
      <c r="K1067" s="15" t="n">
        <f aca="false">IF(B1067="SITE LOSS",IF(COUNTIFS('Site Dockets'!$B$7:$B$24,C1067,'Site Dockets'!$C$7:$C$24,F1067)&gt;0,1,0),IF(B1067="REGION LOSS",IF(COUNTIFS('Site Dockets'!$E$7:$E$24,C1067,'Site Dockets'!$C$7:$C$24,F1067)&gt;0,1,0),0))</f>
        <v>0</v>
      </c>
      <c r="L1067" s="15" t="n">
        <f aca="false">IF(J1067=1,0,Inputs!$B$11)</f>
        <v>100</v>
      </c>
      <c r="M1067" s="15" t="n">
        <f aca="false">IF(J1067=1,0,Inputs!$B$12)</f>
        <v>75</v>
      </c>
      <c r="N1067" s="15" t="n">
        <f aca="false">IF(J1067=1,0,IF(OR(AND(OR(B1067="SITE LOSS",B1067="REGION LOSS"),K1067=1),AND(B1067="ROLE COMPROMISE",H1067=C1067)),Inputs!$B$13,Inputs!$B$14))</f>
        <v>10</v>
      </c>
      <c r="O1067" s="15" t="n">
        <f aca="false">IF(J1067=1,0,Inputs!$B$13)</f>
        <v>20</v>
      </c>
      <c r="P1067" s="15" t="n">
        <f aca="false">SUM(M1067:N1067)</f>
        <v>85</v>
      </c>
      <c r="Q1067" s="15" t="n">
        <f aca="false">IF(J1067=1,"",L1067-P1067)</f>
        <v>15</v>
      </c>
      <c r="R1067" s="15" t="n">
        <f aca="false">IF(OR(J1067=1,M1067&lt;=Inputs!$B$12),1,0)</f>
        <v>1</v>
      </c>
      <c r="S1067" s="15" t="n">
        <f aca="false">IF(OR(J1067=1,N1067&lt;=O1067),1,0)</f>
        <v>1</v>
      </c>
      <c r="T1067" s="15" t="str">
        <f aca="false">IF(J1067=1,"OFFLINE",IF(AND(Q1067&gt;=Inputs!$B$15,R1067=1,S1067=1,P1067&lt;=L1067),"PASS","FAIL"))</f>
        <v>PASS</v>
      </c>
    </row>
    <row r="1068" customFormat="false" ht="15" hidden="false" customHeight="false" outlineLevel="0" collapsed="false">
      <c r="A1068" s="14" t="s">
        <v>1028</v>
      </c>
      <c r="B1068" s="14" t="s">
        <v>1019</v>
      </c>
      <c r="C1068" s="14" t="s">
        <v>182</v>
      </c>
      <c r="D1068" s="14" t="s">
        <v>196</v>
      </c>
      <c r="E1068" s="14" t="s">
        <v>172</v>
      </c>
      <c r="F1068" s="14" t="s">
        <v>191</v>
      </c>
      <c r="G1068" s="14" t="n">
        <v>3</v>
      </c>
      <c r="H1068" s="14" t="s">
        <v>158</v>
      </c>
      <c r="I1068" s="14" t="s">
        <v>899</v>
      </c>
      <c r="J1068" s="15" t="n">
        <f aca="false">IF(B1068="SITE LOSS",IF(D1068=C1068,1,0),IF(B1068="REGION LOSS",IF(E1068=C1068,1,0),0))</f>
        <v>0</v>
      </c>
      <c r="K1068" s="15" t="n">
        <f aca="false">IF(B1068="SITE LOSS",IF(COUNTIFS('Site Dockets'!$B$7:$B$24,C1068,'Site Dockets'!$C$7:$C$24,F1068)&gt;0,1,0),IF(B1068="REGION LOSS",IF(COUNTIFS('Site Dockets'!$E$7:$E$24,C1068,'Site Dockets'!$C$7:$C$24,F1068)&gt;0,1,0),0))</f>
        <v>0</v>
      </c>
      <c r="L1068" s="15" t="n">
        <f aca="false">IF(J1068=1,0,Inputs!$B$11)</f>
        <v>100</v>
      </c>
      <c r="M1068" s="15" t="n">
        <f aca="false">IF(J1068=1,0,Inputs!$B$12)</f>
        <v>75</v>
      </c>
      <c r="N1068" s="15" t="n">
        <f aca="false">IF(J1068=1,0,IF(OR(AND(OR(B1068="SITE LOSS",B1068="REGION LOSS"),K1068=1),AND(B1068="ROLE COMPROMISE",H1068=C1068)),Inputs!$B$13,Inputs!$B$14))</f>
        <v>10</v>
      </c>
      <c r="O1068" s="15" t="n">
        <f aca="false">IF(J1068=1,0,Inputs!$B$13)</f>
        <v>20</v>
      </c>
      <c r="P1068" s="15" t="n">
        <f aca="false">SUM(M1068:N1068)</f>
        <v>85</v>
      </c>
      <c r="Q1068" s="15" t="n">
        <f aca="false">IF(J1068=1,"",L1068-P1068)</f>
        <v>15</v>
      </c>
      <c r="R1068" s="15" t="n">
        <f aca="false">IF(OR(J1068=1,M1068&lt;=Inputs!$B$12),1,0)</f>
        <v>1</v>
      </c>
      <c r="S1068" s="15" t="n">
        <f aca="false">IF(OR(J1068=1,N1068&lt;=O1068),1,0)</f>
        <v>1</v>
      </c>
      <c r="T1068" s="15" t="str">
        <f aca="false">IF(J1068=1,"OFFLINE",IF(AND(Q1068&gt;=Inputs!$B$15,R1068=1,S1068=1,P1068&lt;=L1068),"PASS","FAIL"))</f>
        <v>PASS</v>
      </c>
    </row>
    <row r="1069" customFormat="false" ht="15" hidden="false" customHeight="false" outlineLevel="0" collapsed="false">
      <c r="A1069" s="14" t="s">
        <v>1028</v>
      </c>
      <c r="B1069" s="14" t="s">
        <v>1019</v>
      </c>
      <c r="C1069" s="14" t="s">
        <v>182</v>
      </c>
      <c r="D1069" s="14" t="s">
        <v>198</v>
      </c>
      <c r="E1069" s="14" t="s">
        <v>166</v>
      </c>
      <c r="F1069" s="14" t="s">
        <v>199</v>
      </c>
      <c r="G1069" s="14" t="n">
        <v>1</v>
      </c>
      <c r="H1069" s="14" t="s">
        <v>154</v>
      </c>
      <c r="I1069" s="14" t="s">
        <v>890</v>
      </c>
      <c r="J1069" s="15" t="n">
        <f aca="false">IF(B1069="SITE LOSS",IF(D1069=C1069,1,0),IF(B1069="REGION LOSS",IF(E1069=C1069,1,0),0))</f>
        <v>0</v>
      </c>
      <c r="K1069" s="15" t="n">
        <f aca="false">IF(B1069="SITE LOSS",IF(COUNTIFS('Site Dockets'!$B$7:$B$24,C1069,'Site Dockets'!$C$7:$C$24,F1069)&gt;0,1,0),IF(B1069="REGION LOSS",IF(COUNTIFS('Site Dockets'!$E$7:$E$24,C1069,'Site Dockets'!$C$7:$C$24,F1069)&gt;0,1,0),0))</f>
        <v>0</v>
      </c>
      <c r="L1069" s="15" t="n">
        <f aca="false">IF(J1069=1,0,Inputs!$B$11)</f>
        <v>100</v>
      </c>
      <c r="M1069" s="15" t="n">
        <f aca="false">IF(J1069=1,0,Inputs!$B$12)</f>
        <v>75</v>
      </c>
      <c r="N1069" s="15" t="n">
        <f aca="false">IF(J1069=1,0,IF(OR(AND(OR(B1069="SITE LOSS",B1069="REGION LOSS"),K1069=1),AND(B1069="ROLE COMPROMISE",H1069=C1069)),Inputs!$B$13,Inputs!$B$14))</f>
        <v>10</v>
      </c>
      <c r="O1069" s="15" t="n">
        <f aca="false">IF(J1069=1,0,Inputs!$B$13)</f>
        <v>20</v>
      </c>
      <c r="P1069" s="15" t="n">
        <f aca="false">SUM(M1069:N1069)</f>
        <v>85</v>
      </c>
      <c r="Q1069" s="15" t="n">
        <f aca="false">IF(J1069=1,"",L1069-P1069)</f>
        <v>15</v>
      </c>
      <c r="R1069" s="15" t="n">
        <f aca="false">IF(OR(J1069=1,M1069&lt;=Inputs!$B$12),1,0)</f>
        <v>1</v>
      </c>
      <c r="S1069" s="15" t="n">
        <f aca="false">IF(OR(J1069=1,N1069&lt;=O1069),1,0)</f>
        <v>1</v>
      </c>
      <c r="T1069" s="15" t="str">
        <f aca="false">IF(J1069=1,"OFFLINE",IF(AND(Q1069&gt;=Inputs!$B$15,R1069=1,S1069=1,P1069&lt;=L1069),"PASS","FAIL"))</f>
        <v>PASS</v>
      </c>
    </row>
    <row r="1070" customFormat="false" ht="15" hidden="false" customHeight="false" outlineLevel="0" collapsed="false">
      <c r="A1070" s="14" t="s">
        <v>1028</v>
      </c>
      <c r="B1070" s="14" t="s">
        <v>1019</v>
      </c>
      <c r="C1070" s="14" t="s">
        <v>182</v>
      </c>
      <c r="D1070" s="14" t="s">
        <v>198</v>
      </c>
      <c r="E1070" s="14" t="s">
        <v>166</v>
      </c>
      <c r="F1070" s="14" t="s">
        <v>199</v>
      </c>
      <c r="G1070" s="14" t="n">
        <v>1</v>
      </c>
      <c r="H1070" s="14" t="s">
        <v>154</v>
      </c>
      <c r="I1070" s="14" t="s">
        <v>892</v>
      </c>
      <c r="J1070" s="15" t="n">
        <f aca="false">IF(B1070="SITE LOSS",IF(D1070=C1070,1,0),IF(B1070="REGION LOSS",IF(E1070=C1070,1,0),0))</f>
        <v>0</v>
      </c>
      <c r="K1070" s="15" t="n">
        <f aca="false">IF(B1070="SITE LOSS",IF(COUNTIFS('Site Dockets'!$B$7:$B$24,C1070,'Site Dockets'!$C$7:$C$24,F1070)&gt;0,1,0),IF(B1070="REGION LOSS",IF(COUNTIFS('Site Dockets'!$E$7:$E$24,C1070,'Site Dockets'!$C$7:$C$24,F1070)&gt;0,1,0),0))</f>
        <v>0</v>
      </c>
      <c r="L1070" s="15" t="n">
        <f aca="false">IF(J1070=1,0,Inputs!$B$11)</f>
        <v>100</v>
      </c>
      <c r="M1070" s="15" t="n">
        <f aca="false">IF(J1070=1,0,Inputs!$B$12)</f>
        <v>75</v>
      </c>
      <c r="N1070" s="15" t="n">
        <f aca="false">IF(J1070=1,0,IF(OR(AND(OR(B1070="SITE LOSS",B1070="REGION LOSS"),K1070=1),AND(B1070="ROLE COMPROMISE",H1070=C1070)),Inputs!$B$13,Inputs!$B$14))</f>
        <v>10</v>
      </c>
      <c r="O1070" s="15" t="n">
        <f aca="false">IF(J1070=1,0,Inputs!$B$13)</f>
        <v>20</v>
      </c>
      <c r="P1070" s="15" t="n">
        <f aca="false">SUM(M1070:N1070)</f>
        <v>85</v>
      </c>
      <c r="Q1070" s="15" t="n">
        <f aca="false">IF(J1070=1,"",L1070-P1070)</f>
        <v>15</v>
      </c>
      <c r="R1070" s="15" t="n">
        <f aca="false">IF(OR(J1070=1,M1070&lt;=Inputs!$B$12),1,0)</f>
        <v>1</v>
      </c>
      <c r="S1070" s="15" t="n">
        <f aca="false">IF(OR(J1070=1,N1070&lt;=O1070),1,0)</f>
        <v>1</v>
      </c>
      <c r="T1070" s="15" t="str">
        <f aca="false">IF(J1070=1,"OFFLINE",IF(AND(Q1070&gt;=Inputs!$B$15,R1070=1,S1070=1,P1070&lt;=L1070),"PASS","FAIL"))</f>
        <v>PASS</v>
      </c>
    </row>
    <row r="1071" customFormat="false" ht="15" hidden="false" customHeight="false" outlineLevel="0" collapsed="false">
      <c r="A1071" s="14" t="s">
        <v>1028</v>
      </c>
      <c r="B1071" s="14" t="s">
        <v>1019</v>
      </c>
      <c r="C1071" s="14" t="s">
        <v>182</v>
      </c>
      <c r="D1071" s="14" t="s">
        <v>198</v>
      </c>
      <c r="E1071" s="14" t="s">
        <v>166</v>
      </c>
      <c r="F1071" s="14" t="s">
        <v>199</v>
      </c>
      <c r="G1071" s="14" t="n">
        <v>1</v>
      </c>
      <c r="H1071" s="14" t="s">
        <v>154</v>
      </c>
      <c r="I1071" s="14" t="s">
        <v>811</v>
      </c>
      <c r="J1071" s="15" t="n">
        <f aca="false">IF(B1071="SITE LOSS",IF(D1071=C1071,1,0),IF(B1071="REGION LOSS",IF(E1071=C1071,1,0),0))</f>
        <v>0</v>
      </c>
      <c r="K1071" s="15" t="n">
        <f aca="false">IF(B1071="SITE LOSS",IF(COUNTIFS('Site Dockets'!$B$7:$B$24,C1071,'Site Dockets'!$C$7:$C$24,F1071)&gt;0,1,0),IF(B1071="REGION LOSS",IF(COUNTIFS('Site Dockets'!$E$7:$E$24,C1071,'Site Dockets'!$C$7:$C$24,F1071)&gt;0,1,0),0))</f>
        <v>0</v>
      </c>
      <c r="L1071" s="15" t="n">
        <f aca="false">IF(J1071=1,0,Inputs!$B$11)</f>
        <v>100</v>
      </c>
      <c r="M1071" s="15" t="n">
        <f aca="false">IF(J1071=1,0,Inputs!$B$12)</f>
        <v>75</v>
      </c>
      <c r="N1071" s="15" t="n">
        <f aca="false">IF(J1071=1,0,IF(OR(AND(OR(B1071="SITE LOSS",B1071="REGION LOSS"),K1071=1),AND(B1071="ROLE COMPROMISE",H1071=C1071)),Inputs!$B$13,Inputs!$B$14))</f>
        <v>10</v>
      </c>
      <c r="O1071" s="15" t="n">
        <f aca="false">IF(J1071=1,0,Inputs!$B$13)</f>
        <v>20</v>
      </c>
      <c r="P1071" s="15" t="n">
        <f aca="false">SUM(M1071:N1071)</f>
        <v>85</v>
      </c>
      <c r="Q1071" s="15" t="n">
        <f aca="false">IF(J1071=1,"",L1071-P1071)</f>
        <v>15</v>
      </c>
      <c r="R1071" s="15" t="n">
        <f aca="false">IF(OR(J1071=1,M1071&lt;=Inputs!$B$12),1,0)</f>
        <v>1</v>
      </c>
      <c r="S1071" s="15" t="n">
        <f aca="false">IF(OR(J1071=1,N1071&lt;=O1071),1,0)</f>
        <v>1</v>
      </c>
      <c r="T1071" s="15" t="str">
        <f aca="false">IF(J1071=1,"OFFLINE",IF(AND(Q1071&gt;=Inputs!$B$15,R1071=1,S1071=1,P1071&lt;=L1071),"PASS","FAIL"))</f>
        <v>PASS</v>
      </c>
    </row>
    <row r="1072" customFormat="false" ht="15" hidden="false" customHeight="false" outlineLevel="0" collapsed="false">
      <c r="A1072" s="14" t="s">
        <v>1028</v>
      </c>
      <c r="B1072" s="14" t="s">
        <v>1019</v>
      </c>
      <c r="C1072" s="14" t="s">
        <v>182</v>
      </c>
      <c r="D1072" s="14" t="s">
        <v>198</v>
      </c>
      <c r="E1072" s="14" t="s">
        <v>166</v>
      </c>
      <c r="F1072" s="14" t="s">
        <v>199</v>
      </c>
      <c r="G1072" s="14" t="n">
        <v>1</v>
      </c>
      <c r="H1072" s="14" t="s">
        <v>154</v>
      </c>
      <c r="I1072" s="14" t="s">
        <v>895</v>
      </c>
      <c r="J1072" s="15" t="n">
        <f aca="false">IF(B1072="SITE LOSS",IF(D1072=C1072,1,0),IF(B1072="REGION LOSS",IF(E1072=C1072,1,0),0))</f>
        <v>0</v>
      </c>
      <c r="K1072" s="15" t="n">
        <f aca="false">IF(B1072="SITE LOSS",IF(COUNTIFS('Site Dockets'!$B$7:$B$24,C1072,'Site Dockets'!$C$7:$C$24,F1072)&gt;0,1,0),IF(B1072="REGION LOSS",IF(COUNTIFS('Site Dockets'!$E$7:$E$24,C1072,'Site Dockets'!$C$7:$C$24,F1072)&gt;0,1,0),0))</f>
        <v>0</v>
      </c>
      <c r="L1072" s="15" t="n">
        <f aca="false">IF(J1072=1,0,Inputs!$B$11)</f>
        <v>100</v>
      </c>
      <c r="M1072" s="15" t="n">
        <f aca="false">IF(J1072=1,0,Inputs!$B$12)</f>
        <v>75</v>
      </c>
      <c r="N1072" s="15" t="n">
        <f aca="false">IF(J1072=1,0,IF(OR(AND(OR(B1072="SITE LOSS",B1072="REGION LOSS"),K1072=1),AND(B1072="ROLE COMPROMISE",H1072=C1072)),Inputs!$B$13,Inputs!$B$14))</f>
        <v>10</v>
      </c>
      <c r="O1072" s="15" t="n">
        <f aca="false">IF(J1072=1,0,Inputs!$B$13)</f>
        <v>20</v>
      </c>
      <c r="P1072" s="15" t="n">
        <f aca="false">SUM(M1072:N1072)</f>
        <v>85</v>
      </c>
      <c r="Q1072" s="15" t="n">
        <f aca="false">IF(J1072=1,"",L1072-P1072)</f>
        <v>15</v>
      </c>
      <c r="R1072" s="15" t="n">
        <f aca="false">IF(OR(J1072=1,M1072&lt;=Inputs!$B$12),1,0)</f>
        <v>1</v>
      </c>
      <c r="S1072" s="15" t="n">
        <f aca="false">IF(OR(J1072=1,N1072&lt;=O1072),1,0)</f>
        <v>1</v>
      </c>
      <c r="T1072" s="15" t="str">
        <f aca="false">IF(J1072=1,"OFFLINE",IF(AND(Q1072&gt;=Inputs!$B$15,R1072=1,S1072=1,P1072&lt;=L1072),"PASS","FAIL"))</f>
        <v>PASS</v>
      </c>
    </row>
    <row r="1073" customFormat="false" ht="15" hidden="false" customHeight="false" outlineLevel="0" collapsed="false">
      <c r="A1073" s="14" t="s">
        <v>1028</v>
      </c>
      <c r="B1073" s="14" t="s">
        <v>1019</v>
      </c>
      <c r="C1073" s="14" t="s">
        <v>182</v>
      </c>
      <c r="D1073" s="14" t="s">
        <v>198</v>
      </c>
      <c r="E1073" s="14" t="s">
        <v>166</v>
      </c>
      <c r="F1073" s="14" t="s">
        <v>199</v>
      </c>
      <c r="G1073" s="14" t="n">
        <v>1</v>
      </c>
      <c r="H1073" s="14" t="s">
        <v>154</v>
      </c>
      <c r="I1073" s="14" t="s">
        <v>897</v>
      </c>
      <c r="J1073" s="15" t="n">
        <f aca="false">IF(B1073="SITE LOSS",IF(D1073=C1073,1,0),IF(B1073="REGION LOSS",IF(E1073=C1073,1,0),0))</f>
        <v>0</v>
      </c>
      <c r="K1073" s="15" t="n">
        <f aca="false">IF(B1073="SITE LOSS",IF(COUNTIFS('Site Dockets'!$B$7:$B$24,C1073,'Site Dockets'!$C$7:$C$24,F1073)&gt;0,1,0),IF(B1073="REGION LOSS",IF(COUNTIFS('Site Dockets'!$E$7:$E$24,C1073,'Site Dockets'!$C$7:$C$24,F1073)&gt;0,1,0),0))</f>
        <v>0</v>
      </c>
      <c r="L1073" s="15" t="n">
        <f aca="false">IF(J1073=1,0,Inputs!$B$11)</f>
        <v>100</v>
      </c>
      <c r="M1073" s="15" t="n">
        <f aca="false">IF(J1073=1,0,Inputs!$B$12)</f>
        <v>75</v>
      </c>
      <c r="N1073" s="15" t="n">
        <f aca="false">IF(J1073=1,0,IF(OR(AND(OR(B1073="SITE LOSS",B1073="REGION LOSS"),K1073=1),AND(B1073="ROLE COMPROMISE",H1073=C1073)),Inputs!$B$13,Inputs!$B$14))</f>
        <v>10</v>
      </c>
      <c r="O1073" s="15" t="n">
        <f aca="false">IF(J1073=1,0,Inputs!$B$13)</f>
        <v>20</v>
      </c>
      <c r="P1073" s="15" t="n">
        <f aca="false">SUM(M1073:N1073)</f>
        <v>85</v>
      </c>
      <c r="Q1073" s="15" t="n">
        <f aca="false">IF(J1073=1,"",L1073-P1073)</f>
        <v>15</v>
      </c>
      <c r="R1073" s="15" t="n">
        <f aca="false">IF(OR(J1073=1,M1073&lt;=Inputs!$B$12),1,0)</f>
        <v>1</v>
      </c>
      <c r="S1073" s="15" t="n">
        <f aca="false">IF(OR(J1073=1,N1073&lt;=O1073),1,0)</f>
        <v>1</v>
      </c>
      <c r="T1073" s="15" t="str">
        <f aca="false">IF(J1073=1,"OFFLINE",IF(AND(Q1073&gt;=Inputs!$B$15,R1073=1,S1073=1,P1073&lt;=L1073),"PASS","FAIL"))</f>
        <v>PASS</v>
      </c>
    </row>
    <row r="1074" customFormat="false" ht="15" hidden="false" customHeight="false" outlineLevel="0" collapsed="false">
      <c r="A1074" s="14" t="s">
        <v>1028</v>
      </c>
      <c r="B1074" s="14" t="s">
        <v>1019</v>
      </c>
      <c r="C1074" s="14" t="s">
        <v>182</v>
      </c>
      <c r="D1074" s="14" t="s">
        <v>198</v>
      </c>
      <c r="E1074" s="14" t="s">
        <v>166</v>
      </c>
      <c r="F1074" s="14" t="s">
        <v>199</v>
      </c>
      <c r="G1074" s="14" t="n">
        <v>1</v>
      </c>
      <c r="H1074" s="14" t="s">
        <v>154</v>
      </c>
      <c r="I1074" s="14" t="s">
        <v>899</v>
      </c>
      <c r="J1074" s="15" t="n">
        <f aca="false">IF(B1074="SITE LOSS",IF(D1074=C1074,1,0),IF(B1074="REGION LOSS",IF(E1074=C1074,1,0),0))</f>
        <v>0</v>
      </c>
      <c r="K1074" s="15" t="n">
        <f aca="false">IF(B1074="SITE LOSS",IF(COUNTIFS('Site Dockets'!$B$7:$B$24,C1074,'Site Dockets'!$C$7:$C$24,F1074)&gt;0,1,0),IF(B1074="REGION LOSS",IF(COUNTIFS('Site Dockets'!$E$7:$E$24,C1074,'Site Dockets'!$C$7:$C$24,F1074)&gt;0,1,0),0))</f>
        <v>0</v>
      </c>
      <c r="L1074" s="15" t="n">
        <f aca="false">IF(J1074=1,0,Inputs!$B$11)</f>
        <v>100</v>
      </c>
      <c r="M1074" s="15" t="n">
        <f aca="false">IF(J1074=1,0,Inputs!$B$12)</f>
        <v>75</v>
      </c>
      <c r="N1074" s="15" t="n">
        <f aca="false">IF(J1074=1,0,IF(OR(AND(OR(B1074="SITE LOSS",B1074="REGION LOSS"),K1074=1),AND(B1074="ROLE COMPROMISE",H1074=C1074)),Inputs!$B$13,Inputs!$B$14))</f>
        <v>10</v>
      </c>
      <c r="O1074" s="15" t="n">
        <f aca="false">IF(J1074=1,0,Inputs!$B$13)</f>
        <v>20</v>
      </c>
      <c r="P1074" s="15" t="n">
        <f aca="false">SUM(M1074:N1074)</f>
        <v>85</v>
      </c>
      <c r="Q1074" s="15" t="n">
        <f aca="false">IF(J1074=1,"",L1074-P1074)</f>
        <v>15</v>
      </c>
      <c r="R1074" s="15" t="n">
        <f aca="false">IF(OR(J1074=1,M1074&lt;=Inputs!$B$12),1,0)</f>
        <v>1</v>
      </c>
      <c r="S1074" s="15" t="n">
        <f aca="false">IF(OR(J1074=1,N1074&lt;=O1074),1,0)</f>
        <v>1</v>
      </c>
      <c r="T1074" s="15" t="str">
        <f aca="false">IF(J1074=1,"OFFLINE",IF(AND(Q1074&gt;=Inputs!$B$15,R1074=1,S1074=1,P1074&lt;=L1074),"PASS","FAIL"))</f>
        <v>PASS</v>
      </c>
    </row>
    <row r="1075" customFormat="false" ht="15" hidden="false" customHeight="false" outlineLevel="0" collapsed="false">
      <c r="A1075" s="14" t="s">
        <v>1028</v>
      </c>
      <c r="B1075" s="14" t="s">
        <v>1019</v>
      </c>
      <c r="C1075" s="14" t="s">
        <v>182</v>
      </c>
      <c r="D1075" s="14" t="s">
        <v>202</v>
      </c>
      <c r="E1075" s="14" t="s">
        <v>157</v>
      </c>
      <c r="F1075" s="14" t="s">
        <v>199</v>
      </c>
      <c r="G1075" s="14" t="n">
        <v>2</v>
      </c>
      <c r="H1075" s="14" t="s">
        <v>153</v>
      </c>
      <c r="I1075" s="14" t="s">
        <v>890</v>
      </c>
      <c r="J1075" s="15" t="n">
        <f aca="false">IF(B1075="SITE LOSS",IF(D1075=C1075,1,0),IF(B1075="REGION LOSS",IF(E1075=C1075,1,0),0))</f>
        <v>0</v>
      </c>
      <c r="K1075" s="15" t="n">
        <f aca="false">IF(B1075="SITE LOSS",IF(COUNTIFS('Site Dockets'!$B$7:$B$24,C1075,'Site Dockets'!$C$7:$C$24,F1075)&gt;0,1,0),IF(B1075="REGION LOSS",IF(COUNTIFS('Site Dockets'!$E$7:$E$24,C1075,'Site Dockets'!$C$7:$C$24,F1075)&gt;0,1,0),0))</f>
        <v>0</v>
      </c>
      <c r="L1075" s="15" t="n">
        <f aca="false">IF(J1075=1,0,Inputs!$B$11)</f>
        <v>100</v>
      </c>
      <c r="M1075" s="15" t="n">
        <f aca="false">IF(J1075=1,0,Inputs!$B$12)</f>
        <v>75</v>
      </c>
      <c r="N1075" s="15" t="n">
        <f aca="false">IF(J1075=1,0,IF(OR(AND(OR(B1075="SITE LOSS",B1075="REGION LOSS"),K1075=1),AND(B1075="ROLE COMPROMISE",H1075=C1075)),Inputs!$B$13,Inputs!$B$14))</f>
        <v>10</v>
      </c>
      <c r="O1075" s="15" t="n">
        <f aca="false">IF(J1075=1,0,Inputs!$B$13)</f>
        <v>20</v>
      </c>
      <c r="P1075" s="15" t="n">
        <f aca="false">SUM(M1075:N1075)</f>
        <v>85</v>
      </c>
      <c r="Q1075" s="15" t="n">
        <f aca="false">IF(J1075=1,"",L1075-P1075)</f>
        <v>15</v>
      </c>
      <c r="R1075" s="15" t="n">
        <f aca="false">IF(OR(J1075=1,M1075&lt;=Inputs!$B$12),1,0)</f>
        <v>1</v>
      </c>
      <c r="S1075" s="15" t="n">
        <f aca="false">IF(OR(J1075=1,N1075&lt;=O1075),1,0)</f>
        <v>1</v>
      </c>
      <c r="T1075" s="15" t="str">
        <f aca="false">IF(J1075=1,"OFFLINE",IF(AND(Q1075&gt;=Inputs!$B$15,R1075=1,S1075=1,P1075&lt;=L1075),"PASS","FAIL"))</f>
        <v>PASS</v>
      </c>
    </row>
    <row r="1076" customFormat="false" ht="15" hidden="false" customHeight="false" outlineLevel="0" collapsed="false">
      <c r="A1076" s="14" t="s">
        <v>1028</v>
      </c>
      <c r="B1076" s="14" t="s">
        <v>1019</v>
      </c>
      <c r="C1076" s="14" t="s">
        <v>182</v>
      </c>
      <c r="D1076" s="14" t="s">
        <v>202</v>
      </c>
      <c r="E1076" s="14" t="s">
        <v>157</v>
      </c>
      <c r="F1076" s="14" t="s">
        <v>199</v>
      </c>
      <c r="G1076" s="14" t="n">
        <v>2</v>
      </c>
      <c r="H1076" s="14" t="s">
        <v>153</v>
      </c>
      <c r="I1076" s="14" t="s">
        <v>892</v>
      </c>
      <c r="J1076" s="15" t="n">
        <f aca="false">IF(B1076="SITE LOSS",IF(D1076=C1076,1,0),IF(B1076="REGION LOSS",IF(E1076=C1076,1,0),0))</f>
        <v>0</v>
      </c>
      <c r="K1076" s="15" t="n">
        <f aca="false">IF(B1076="SITE LOSS",IF(COUNTIFS('Site Dockets'!$B$7:$B$24,C1076,'Site Dockets'!$C$7:$C$24,F1076)&gt;0,1,0),IF(B1076="REGION LOSS",IF(COUNTIFS('Site Dockets'!$E$7:$E$24,C1076,'Site Dockets'!$C$7:$C$24,F1076)&gt;0,1,0),0))</f>
        <v>0</v>
      </c>
      <c r="L1076" s="15" t="n">
        <f aca="false">IF(J1076=1,0,Inputs!$B$11)</f>
        <v>100</v>
      </c>
      <c r="M1076" s="15" t="n">
        <f aca="false">IF(J1076=1,0,Inputs!$B$12)</f>
        <v>75</v>
      </c>
      <c r="N1076" s="15" t="n">
        <f aca="false">IF(J1076=1,0,IF(OR(AND(OR(B1076="SITE LOSS",B1076="REGION LOSS"),K1076=1),AND(B1076="ROLE COMPROMISE",H1076=C1076)),Inputs!$B$13,Inputs!$B$14))</f>
        <v>10</v>
      </c>
      <c r="O1076" s="15" t="n">
        <f aca="false">IF(J1076=1,0,Inputs!$B$13)</f>
        <v>20</v>
      </c>
      <c r="P1076" s="15" t="n">
        <f aca="false">SUM(M1076:N1076)</f>
        <v>85</v>
      </c>
      <c r="Q1076" s="15" t="n">
        <f aca="false">IF(J1076=1,"",L1076-P1076)</f>
        <v>15</v>
      </c>
      <c r="R1076" s="15" t="n">
        <f aca="false">IF(OR(J1076=1,M1076&lt;=Inputs!$B$12),1,0)</f>
        <v>1</v>
      </c>
      <c r="S1076" s="15" t="n">
        <f aca="false">IF(OR(J1076=1,N1076&lt;=O1076),1,0)</f>
        <v>1</v>
      </c>
      <c r="T1076" s="15" t="str">
        <f aca="false">IF(J1076=1,"OFFLINE",IF(AND(Q1076&gt;=Inputs!$B$15,R1076=1,S1076=1,P1076&lt;=L1076),"PASS","FAIL"))</f>
        <v>PASS</v>
      </c>
    </row>
    <row r="1077" customFormat="false" ht="15" hidden="false" customHeight="false" outlineLevel="0" collapsed="false">
      <c r="A1077" s="14" t="s">
        <v>1028</v>
      </c>
      <c r="B1077" s="14" t="s">
        <v>1019</v>
      </c>
      <c r="C1077" s="14" t="s">
        <v>182</v>
      </c>
      <c r="D1077" s="14" t="s">
        <v>202</v>
      </c>
      <c r="E1077" s="14" t="s">
        <v>157</v>
      </c>
      <c r="F1077" s="14" t="s">
        <v>199</v>
      </c>
      <c r="G1077" s="14" t="n">
        <v>2</v>
      </c>
      <c r="H1077" s="14" t="s">
        <v>153</v>
      </c>
      <c r="I1077" s="14" t="s">
        <v>811</v>
      </c>
      <c r="J1077" s="15" t="n">
        <f aca="false">IF(B1077="SITE LOSS",IF(D1077=C1077,1,0),IF(B1077="REGION LOSS",IF(E1077=C1077,1,0),0))</f>
        <v>0</v>
      </c>
      <c r="K1077" s="15" t="n">
        <f aca="false">IF(B1077="SITE LOSS",IF(COUNTIFS('Site Dockets'!$B$7:$B$24,C1077,'Site Dockets'!$C$7:$C$24,F1077)&gt;0,1,0),IF(B1077="REGION LOSS",IF(COUNTIFS('Site Dockets'!$E$7:$E$24,C1077,'Site Dockets'!$C$7:$C$24,F1077)&gt;0,1,0),0))</f>
        <v>0</v>
      </c>
      <c r="L1077" s="15" t="n">
        <f aca="false">IF(J1077=1,0,Inputs!$B$11)</f>
        <v>100</v>
      </c>
      <c r="M1077" s="15" t="n">
        <f aca="false">IF(J1077=1,0,Inputs!$B$12)</f>
        <v>75</v>
      </c>
      <c r="N1077" s="15" t="n">
        <f aca="false">IF(J1077=1,0,IF(OR(AND(OR(B1077="SITE LOSS",B1077="REGION LOSS"),K1077=1),AND(B1077="ROLE COMPROMISE",H1077=C1077)),Inputs!$B$13,Inputs!$B$14))</f>
        <v>10</v>
      </c>
      <c r="O1077" s="15" t="n">
        <f aca="false">IF(J1077=1,0,Inputs!$B$13)</f>
        <v>20</v>
      </c>
      <c r="P1077" s="15" t="n">
        <f aca="false">SUM(M1077:N1077)</f>
        <v>85</v>
      </c>
      <c r="Q1077" s="15" t="n">
        <f aca="false">IF(J1077=1,"",L1077-P1077)</f>
        <v>15</v>
      </c>
      <c r="R1077" s="15" t="n">
        <f aca="false">IF(OR(J1077=1,M1077&lt;=Inputs!$B$12),1,0)</f>
        <v>1</v>
      </c>
      <c r="S1077" s="15" t="n">
        <f aca="false">IF(OR(J1077=1,N1077&lt;=O1077),1,0)</f>
        <v>1</v>
      </c>
      <c r="T1077" s="15" t="str">
        <f aca="false">IF(J1077=1,"OFFLINE",IF(AND(Q1077&gt;=Inputs!$B$15,R1077=1,S1077=1,P1077&lt;=L1077),"PASS","FAIL"))</f>
        <v>PASS</v>
      </c>
    </row>
    <row r="1078" customFormat="false" ht="15" hidden="false" customHeight="false" outlineLevel="0" collapsed="false">
      <c r="A1078" s="14" t="s">
        <v>1028</v>
      </c>
      <c r="B1078" s="14" t="s">
        <v>1019</v>
      </c>
      <c r="C1078" s="14" t="s">
        <v>182</v>
      </c>
      <c r="D1078" s="14" t="s">
        <v>202</v>
      </c>
      <c r="E1078" s="14" t="s">
        <v>157</v>
      </c>
      <c r="F1078" s="14" t="s">
        <v>199</v>
      </c>
      <c r="G1078" s="14" t="n">
        <v>2</v>
      </c>
      <c r="H1078" s="14" t="s">
        <v>153</v>
      </c>
      <c r="I1078" s="14" t="s">
        <v>895</v>
      </c>
      <c r="J1078" s="15" t="n">
        <f aca="false">IF(B1078="SITE LOSS",IF(D1078=C1078,1,0),IF(B1078="REGION LOSS",IF(E1078=C1078,1,0),0))</f>
        <v>0</v>
      </c>
      <c r="K1078" s="15" t="n">
        <f aca="false">IF(B1078="SITE LOSS",IF(COUNTIFS('Site Dockets'!$B$7:$B$24,C1078,'Site Dockets'!$C$7:$C$24,F1078)&gt;0,1,0),IF(B1078="REGION LOSS",IF(COUNTIFS('Site Dockets'!$E$7:$E$24,C1078,'Site Dockets'!$C$7:$C$24,F1078)&gt;0,1,0),0))</f>
        <v>0</v>
      </c>
      <c r="L1078" s="15" t="n">
        <f aca="false">IF(J1078=1,0,Inputs!$B$11)</f>
        <v>100</v>
      </c>
      <c r="M1078" s="15" t="n">
        <f aca="false">IF(J1078=1,0,Inputs!$B$12)</f>
        <v>75</v>
      </c>
      <c r="N1078" s="15" t="n">
        <f aca="false">IF(J1078=1,0,IF(OR(AND(OR(B1078="SITE LOSS",B1078="REGION LOSS"),K1078=1),AND(B1078="ROLE COMPROMISE",H1078=C1078)),Inputs!$B$13,Inputs!$B$14))</f>
        <v>10</v>
      </c>
      <c r="O1078" s="15" t="n">
        <f aca="false">IF(J1078=1,0,Inputs!$B$13)</f>
        <v>20</v>
      </c>
      <c r="P1078" s="15" t="n">
        <f aca="false">SUM(M1078:N1078)</f>
        <v>85</v>
      </c>
      <c r="Q1078" s="15" t="n">
        <f aca="false">IF(J1078=1,"",L1078-P1078)</f>
        <v>15</v>
      </c>
      <c r="R1078" s="15" t="n">
        <f aca="false">IF(OR(J1078=1,M1078&lt;=Inputs!$B$12),1,0)</f>
        <v>1</v>
      </c>
      <c r="S1078" s="15" t="n">
        <f aca="false">IF(OR(J1078=1,N1078&lt;=O1078),1,0)</f>
        <v>1</v>
      </c>
      <c r="T1078" s="15" t="str">
        <f aca="false">IF(J1078=1,"OFFLINE",IF(AND(Q1078&gt;=Inputs!$B$15,R1078=1,S1078=1,P1078&lt;=L1078),"PASS","FAIL"))</f>
        <v>PASS</v>
      </c>
    </row>
    <row r="1079" customFormat="false" ht="15" hidden="false" customHeight="false" outlineLevel="0" collapsed="false">
      <c r="A1079" s="14" t="s">
        <v>1028</v>
      </c>
      <c r="B1079" s="14" t="s">
        <v>1019</v>
      </c>
      <c r="C1079" s="14" t="s">
        <v>182</v>
      </c>
      <c r="D1079" s="14" t="s">
        <v>202</v>
      </c>
      <c r="E1079" s="14" t="s">
        <v>157</v>
      </c>
      <c r="F1079" s="14" t="s">
        <v>199</v>
      </c>
      <c r="G1079" s="14" t="n">
        <v>2</v>
      </c>
      <c r="H1079" s="14" t="s">
        <v>153</v>
      </c>
      <c r="I1079" s="14" t="s">
        <v>897</v>
      </c>
      <c r="J1079" s="15" t="n">
        <f aca="false">IF(B1079="SITE LOSS",IF(D1079=C1079,1,0),IF(B1079="REGION LOSS",IF(E1079=C1079,1,0),0))</f>
        <v>0</v>
      </c>
      <c r="K1079" s="15" t="n">
        <f aca="false">IF(B1079="SITE LOSS",IF(COUNTIFS('Site Dockets'!$B$7:$B$24,C1079,'Site Dockets'!$C$7:$C$24,F1079)&gt;0,1,0),IF(B1079="REGION LOSS",IF(COUNTIFS('Site Dockets'!$E$7:$E$24,C1079,'Site Dockets'!$C$7:$C$24,F1079)&gt;0,1,0),0))</f>
        <v>0</v>
      </c>
      <c r="L1079" s="15" t="n">
        <f aca="false">IF(J1079=1,0,Inputs!$B$11)</f>
        <v>100</v>
      </c>
      <c r="M1079" s="15" t="n">
        <f aca="false">IF(J1079=1,0,Inputs!$B$12)</f>
        <v>75</v>
      </c>
      <c r="N1079" s="15" t="n">
        <f aca="false">IF(J1079=1,0,IF(OR(AND(OR(B1079="SITE LOSS",B1079="REGION LOSS"),K1079=1),AND(B1079="ROLE COMPROMISE",H1079=C1079)),Inputs!$B$13,Inputs!$B$14))</f>
        <v>10</v>
      </c>
      <c r="O1079" s="15" t="n">
        <f aca="false">IF(J1079=1,0,Inputs!$B$13)</f>
        <v>20</v>
      </c>
      <c r="P1079" s="15" t="n">
        <f aca="false">SUM(M1079:N1079)</f>
        <v>85</v>
      </c>
      <c r="Q1079" s="15" t="n">
        <f aca="false">IF(J1079=1,"",L1079-P1079)</f>
        <v>15</v>
      </c>
      <c r="R1079" s="15" t="n">
        <f aca="false">IF(OR(J1079=1,M1079&lt;=Inputs!$B$12),1,0)</f>
        <v>1</v>
      </c>
      <c r="S1079" s="15" t="n">
        <f aca="false">IF(OR(J1079=1,N1079&lt;=O1079),1,0)</f>
        <v>1</v>
      </c>
      <c r="T1079" s="15" t="str">
        <f aca="false">IF(J1079=1,"OFFLINE",IF(AND(Q1079&gt;=Inputs!$B$15,R1079=1,S1079=1,P1079&lt;=L1079),"PASS","FAIL"))</f>
        <v>PASS</v>
      </c>
    </row>
    <row r="1080" customFormat="false" ht="15" hidden="false" customHeight="false" outlineLevel="0" collapsed="false">
      <c r="A1080" s="14" t="s">
        <v>1028</v>
      </c>
      <c r="B1080" s="14" t="s">
        <v>1019</v>
      </c>
      <c r="C1080" s="14" t="s">
        <v>182</v>
      </c>
      <c r="D1080" s="14" t="s">
        <v>202</v>
      </c>
      <c r="E1080" s="14" t="s">
        <v>157</v>
      </c>
      <c r="F1080" s="14" t="s">
        <v>199</v>
      </c>
      <c r="G1080" s="14" t="n">
        <v>2</v>
      </c>
      <c r="H1080" s="14" t="s">
        <v>153</v>
      </c>
      <c r="I1080" s="14" t="s">
        <v>899</v>
      </c>
      <c r="J1080" s="15" t="n">
        <f aca="false">IF(B1080="SITE LOSS",IF(D1080=C1080,1,0),IF(B1080="REGION LOSS",IF(E1080=C1080,1,0),0))</f>
        <v>0</v>
      </c>
      <c r="K1080" s="15" t="n">
        <f aca="false">IF(B1080="SITE LOSS",IF(COUNTIFS('Site Dockets'!$B$7:$B$24,C1080,'Site Dockets'!$C$7:$C$24,F1080)&gt;0,1,0),IF(B1080="REGION LOSS",IF(COUNTIFS('Site Dockets'!$E$7:$E$24,C1080,'Site Dockets'!$C$7:$C$24,F1080)&gt;0,1,0),0))</f>
        <v>0</v>
      </c>
      <c r="L1080" s="15" t="n">
        <f aca="false">IF(J1080=1,0,Inputs!$B$11)</f>
        <v>100</v>
      </c>
      <c r="M1080" s="15" t="n">
        <f aca="false">IF(J1080=1,0,Inputs!$B$12)</f>
        <v>75</v>
      </c>
      <c r="N1080" s="15" t="n">
        <f aca="false">IF(J1080=1,0,IF(OR(AND(OR(B1080="SITE LOSS",B1080="REGION LOSS"),K1080=1),AND(B1080="ROLE COMPROMISE",H1080=C1080)),Inputs!$B$13,Inputs!$B$14))</f>
        <v>10</v>
      </c>
      <c r="O1080" s="15" t="n">
        <f aca="false">IF(J1080=1,0,Inputs!$B$13)</f>
        <v>20</v>
      </c>
      <c r="P1080" s="15" t="n">
        <f aca="false">SUM(M1080:N1080)</f>
        <v>85</v>
      </c>
      <c r="Q1080" s="15" t="n">
        <f aca="false">IF(J1080=1,"",L1080-P1080)</f>
        <v>15</v>
      </c>
      <c r="R1080" s="15" t="n">
        <f aca="false">IF(OR(J1080=1,M1080&lt;=Inputs!$B$12),1,0)</f>
        <v>1</v>
      </c>
      <c r="S1080" s="15" t="n">
        <f aca="false">IF(OR(J1080=1,N1080&lt;=O1080),1,0)</f>
        <v>1</v>
      </c>
      <c r="T1080" s="15" t="str">
        <f aca="false">IF(J1080=1,"OFFLINE",IF(AND(Q1080&gt;=Inputs!$B$15,R1080=1,S1080=1,P1080&lt;=L1080),"PASS","FAIL"))</f>
        <v>PASS</v>
      </c>
    </row>
    <row r="1081" customFormat="false" ht="15" hidden="false" customHeight="false" outlineLevel="0" collapsed="false">
      <c r="A1081" s="14" t="s">
        <v>1028</v>
      </c>
      <c r="B1081" s="14" t="s">
        <v>1019</v>
      </c>
      <c r="C1081" s="14" t="s">
        <v>182</v>
      </c>
      <c r="D1081" s="14" t="s">
        <v>204</v>
      </c>
      <c r="E1081" s="14" t="s">
        <v>161</v>
      </c>
      <c r="F1081" s="14" t="s">
        <v>199</v>
      </c>
      <c r="G1081" s="14" t="n">
        <v>3</v>
      </c>
      <c r="H1081" s="14" t="s">
        <v>158</v>
      </c>
      <c r="I1081" s="14" t="s">
        <v>890</v>
      </c>
      <c r="J1081" s="15" t="n">
        <f aca="false">IF(B1081="SITE LOSS",IF(D1081=C1081,1,0),IF(B1081="REGION LOSS",IF(E1081=C1081,1,0),0))</f>
        <v>0</v>
      </c>
      <c r="K1081" s="15" t="n">
        <f aca="false">IF(B1081="SITE LOSS",IF(COUNTIFS('Site Dockets'!$B$7:$B$24,C1081,'Site Dockets'!$C$7:$C$24,F1081)&gt;0,1,0),IF(B1081="REGION LOSS",IF(COUNTIFS('Site Dockets'!$E$7:$E$24,C1081,'Site Dockets'!$C$7:$C$24,F1081)&gt;0,1,0),0))</f>
        <v>0</v>
      </c>
      <c r="L1081" s="15" t="n">
        <f aca="false">IF(J1081=1,0,Inputs!$B$11)</f>
        <v>100</v>
      </c>
      <c r="M1081" s="15" t="n">
        <f aca="false">IF(J1081=1,0,Inputs!$B$12)</f>
        <v>75</v>
      </c>
      <c r="N1081" s="15" t="n">
        <f aca="false">IF(J1081=1,0,IF(OR(AND(OR(B1081="SITE LOSS",B1081="REGION LOSS"),K1081=1),AND(B1081="ROLE COMPROMISE",H1081=C1081)),Inputs!$B$13,Inputs!$B$14))</f>
        <v>10</v>
      </c>
      <c r="O1081" s="15" t="n">
        <f aca="false">IF(J1081=1,0,Inputs!$B$13)</f>
        <v>20</v>
      </c>
      <c r="P1081" s="15" t="n">
        <f aca="false">SUM(M1081:N1081)</f>
        <v>85</v>
      </c>
      <c r="Q1081" s="15" t="n">
        <f aca="false">IF(J1081=1,"",L1081-P1081)</f>
        <v>15</v>
      </c>
      <c r="R1081" s="15" t="n">
        <f aca="false">IF(OR(J1081=1,M1081&lt;=Inputs!$B$12),1,0)</f>
        <v>1</v>
      </c>
      <c r="S1081" s="15" t="n">
        <f aca="false">IF(OR(J1081=1,N1081&lt;=O1081),1,0)</f>
        <v>1</v>
      </c>
      <c r="T1081" s="15" t="str">
        <f aca="false">IF(J1081=1,"OFFLINE",IF(AND(Q1081&gt;=Inputs!$B$15,R1081=1,S1081=1,P1081&lt;=L1081),"PASS","FAIL"))</f>
        <v>PASS</v>
      </c>
    </row>
    <row r="1082" customFormat="false" ht="15" hidden="false" customHeight="false" outlineLevel="0" collapsed="false">
      <c r="A1082" s="14" t="s">
        <v>1028</v>
      </c>
      <c r="B1082" s="14" t="s">
        <v>1019</v>
      </c>
      <c r="C1082" s="14" t="s">
        <v>182</v>
      </c>
      <c r="D1082" s="14" t="s">
        <v>204</v>
      </c>
      <c r="E1082" s="14" t="s">
        <v>161</v>
      </c>
      <c r="F1082" s="14" t="s">
        <v>199</v>
      </c>
      <c r="G1082" s="14" t="n">
        <v>3</v>
      </c>
      <c r="H1082" s="14" t="s">
        <v>158</v>
      </c>
      <c r="I1082" s="14" t="s">
        <v>892</v>
      </c>
      <c r="J1082" s="15" t="n">
        <f aca="false">IF(B1082="SITE LOSS",IF(D1082=C1082,1,0),IF(B1082="REGION LOSS",IF(E1082=C1082,1,0),0))</f>
        <v>0</v>
      </c>
      <c r="K1082" s="15" t="n">
        <f aca="false">IF(B1082="SITE LOSS",IF(COUNTIFS('Site Dockets'!$B$7:$B$24,C1082,'Site Dockets'!$C$7:$C$24,F1082)&gt;0,1,0),IF(B1082="REGION LOSS",IF(COUNTIFS('Site Dockets'!$E$7:$E$24,C1082,'Site Dockets'!$C$7:$C$24,F1082)&gt;0,1,0),0))</f>
        <v>0</v>
      </c>
      <c r="L1082" s="15" t="n">
        <f aca="false">IF(J1082=1,0,Inputs!$B$11)</f>
        <v>100</v>
      </c>
      <c r="M1082" s="15" t="n">
        <f aca="false">IF(J1082=1,0,Inputs!$B$12)</f>
        <v>75</v>
      </c>
      <c r="N1082" s="15" t="n">
        <f aca="false">IF(J1082=1,0,IF(OR(AND(OR(B1082="SITE LOSS",B1082="REGION LOSS"),K1082=1),AND(B1082="ROLE COMPROMISE",H1082=C1082)),Inputs!$B$13,Inputs!$B$14))</f>
        <v>10</v>
      </c>
      <c r="O1082" s="15" t="n">
        <f aca="false">IF(J1082=1,0,Inputs!$B$13)</f>
        <v>20</v>
      </c>
      <c r="P1082" s="15" t="n">
        <f aca="false">SUM(M1082:N1082)</f>
        <v>85</v>
      </c>
      <c r="Q1082" s="15" t="n">
        <f aca="false">IF(J1082=1,"",L1082-P1082)</f>
        <v>15</v>
      </c>
      <c r="R1082" s="15" t="n">
        <f aca="false">IF(OR(J1082=1,M1082&lt;=Inputs!$B$12),1,0)</f>
        <v>1</v>
      </c>
      <c r="S1082" s="15" t="n">
        <f aca="false">IF(OR(J1082=1,N1082&lt;=O1082),1,0)</f>
        <v>1</v>
      </c>
      <c r="T1082" s="15" t="str">
        <f aca="false">IF(J1082=1,"OFFLINE",IF(AND(Q1082&gt;=Inputs!$B$15,R1082=1,S1082=1,P1082&lt;=L1082),"PASS","FAIL"))</f>
        <v>PASS</v>
      </c>
    </row>
    <row r="1083" customFormat="false" ht="15" hidden="false" customHeight="false" outlineLevel="0" collapsed="false">
      <c r="A1083" s="14" t="s">
        <v>1028</v>
      </c>
      <c r="B1083" s="14" t="s">
        <v>1019</v>
      </c>
      <c r="C1083" s="14" t="s">
        <v>182</v>
      </c>
      <c r="D1083" s="14" t="s">
        <v>204</v>
      </c>
      <c r="E1083" s="14" t="s">
        <v>161</v>
      </c>
      <c r="F1083" s="14" t="s">
        <v>199</v>
      </c>
      <c r="G1083" s="14" t="n">
        <v>3</v>
      </c>
      <c r="H1083" s="14" t="s">
        <v>158</v>
      </c>
      <c r="I1083" s="14" t="s">
        <v>811</v>
      </c>
      <c r="J1083" s="15" t="n">
        <f aca="false">IF(B1083="SITE LOSS",IF(D1083=C1083,1,0),IF(B1083="REGION LOSS",IF(E1083=C1083,1,0),0))</f>
        <v>0</v>
      </c>
      <c r="K1083" s="15" t="n">
        <f aca="false">IF(B1083="SITE LOSS",IF(COUNTIFS('Site Dockets'!$B$7:$B$24,C1083,'Site Dockets'!$C$7:$C$24,F1083)&gt;0,1,0),IF(B1083="REGION LOSS",IF(COUNTIFS('Site Dockets'!$E$7:$E$24,C1083,'Site Dockets'!$C$7:$C$24,F1083)&gt;0,1,0),0))</f>
        <v>0</v>
      </c>
      <c r="L1083" s="15" t="n">
        <f aca="false">IF(J1083=1,0,Inputs!$B$11)</f>
        <v>100</v>
      </c>
      <c r="M1083" s="15" t="n">
        <f aca="false">IF(J1083=1,0,Inputs!$B$12)</f>
        <v>75</v>
      </c>
      <c r="N1083" s="15" t="n">
        <f aca="false">IF(J1083=1,0,IF(OR(AND(OR(B1083="SITE LOSS",B1083="REGION LOSS"),K1083=1),AND(B1083="ROLE COMPROMISE",H1083=C1083)),Inputs!$B$13,Inputs!$B$14))</f>
        <v>10</v>
      </c>
      <c r="O1083" s="15" t="n">
        <f aca="false">IF(J1083=1,0,Inputs!$B$13)</f>
        <v>20</v>
      </c>
      <c r="P1083" s="15" t="n">
        <f aca="false">SUM(M1083:N1083)</f>
        <v>85</v>
      </c>
      <c r="Q1083" s="15" t="n">
        <f aca="false">IF(J1083=1,"",L1083-P1083)</f>
        <v>15</v>
      </c>
      <c r="R1083" s="15" t="n">
        <f aca="false">IF(OR(J1083=1,M1083&lt;=Inputs!$B$12),1,0)</f>
        <v>1</v>
      </c>
      <c r="S1083" s="15" t="n">
        <f aca="false">IF(OR(J1083=1,N1083&lt;=O1083),1,0)</f>
        <v>1</v>
      </c>
      <c r="T1083" s="15" t="str">
        <f aca="false">IF(J1083=1,"OFFLINE",IF(AND(Q1083&gt;=Inputs!$B$15,R1083=1,S1083=1,P1083&lt;=L1083),"PASS","FAIL"))</f>
        <v>PASS</v>
      </c>
    </row>
    <row r="1084" customFormat="false" ht="15" hidden="false" customHeight="false" outlineLevel="0" collapsed="false">
      <c r="A1084" s="14" t="s">
        <v>1028</v>
      </c>
      <c r="B1084" s="14" t="s">
        <v>1019</v>
      </c>
      <c r="C1084" s="14" t="s">
        <v>182</v>
      </c>
      <c r="D1084" s="14" t="s">
        <v>204</v>
      </c>
      <c r="E1084" s="14" t="s">
        <v>161</v>
      </c>
      <c r="F1084" s="14" t="s">
        <v>199</v>
      </c>
      <c r="G1084" s="14" t="n">
        <v>3</v>
      </c>
      <c r="H1084" s="14" t="s">
        <v>158</v>
      </c>
      <c r="I1084" s="14" t="s">
        <v>895</v>
      </c>
      <c r="J1084" s="15" t="n">
        <f aca="false">IF(B1084="SITE LOSS",IF(D1084=C1084,1,0),IF(B1084="REGION LOSS",IF(E1084=C1084,1,0),0))</f>
        <v>0</v>
      </c>
      <c r="K1084" s="15" t="n">
        <f aca="false">IF(B1084="SITE LOSS",IF(COUNTIFS('Site Dockets'!$B$7:$B$24,C1084,'Site Dockets'!$C$7:$C$24,F1084)&gt;0,1,0),IF(B1084="REGION LOSS",IF(COUNTIFS('Site Dockets'!$E$7:$E$24,C1084,'Site Dockets'!$C$7:$C$24,F1084)&gt;0,1,0),0))</f>
        <v>0</v>
      </c>
      <c r="L1084" s="15" t="n">
        <f aca="false">IF(J1084=1,0,Inputs!$B$11)</f>
        <v>100</v>
      </c>
      <c r="M1084" s="15" t="n">
        <f aca="false">IF(J1084=1,0,Inputs!$B$12)</f>
        <v>75</v>
      </c>
      <c r="N1084" s="15" t="n">
        <f aca="false">IF(J1084=1,0,IF(OR(AND(OR(B1084="SITE LOSS",B1084="REGION LOSS"),K1084=1),AND(B1084="ROLE COMPROMISE",H1084=C1084)),Inputs!$B$13,Inputs!$B$14))</f>
        <v>10</v>
      </c>
      <c r="O1084" s="15" t="n">
        <f aca="false">IF(J1084=1,0,Inputs!$B$13)</f>
        <v>20</v>
      </c>
      <c r="P1084" s="15" t="n">
        <f aca="false">SUM(M1084:N1084)</f>
        <v>85</v>
      </c>
      <c r="Q1084" s="15" t="n">
        <f aca="false">IF(J1084=1,"",L1084-P1084)</f>
        <v>15</v>
      </c>
      <c r="R1084" s="15" t="n">
        <f aca="false">IF(OR(J1084=1,M1084&lt;=Inputs!$B$12),1,0)</f>
        <v>1</v>
      </c>
      <c r="S1084" s="15" t="n">
        <f aca="false">IF(OR(J1084=1,N1084&lt;=O1084),1,0)</f>
        <v>1</v>
      </c>
      <c r="T1084" s="15" t="str">
        <f aca="false">IF(J1084=1,"OFFLINE",IF(AND(Q1084&gt;=Inputs!$B$15,R1084=1,S1084=1,P1084&lt;=L1084),"PASS","FAIL"))</f>
        <v>PASS</v>
      </c>
    </row>
    <row r="1085" customFormat="false" ht="15" hidden="false" customHeight="false" outlineLevel="0" collapsed="false">
      <c r="A1085" s="14" t="s">
        <v>1028</v>
      </c>
      <c r="B1085" s="14" t="s">
        <v>1019</v>
      </c>
      <c r="C1085" s="14" t="s">
        <v>182</v>
      </c>
      <c r="D1085" s="14" t="s">
        <v>204</v>
      </c>
      <c r="E1085" s="14" t="s">
        <v>161</v>
      </c>
      <c r="F1085" s="14" t="s">
        <v>199</v>
      </c>
      <c r="G1085" s="14" t="n">
        <v>3</v>
      </c>
      <c r="H1085" s="14" t="s">
        <v>158</v>
      </c>
      <c r="I1085" s="14" t="s">
        <v>897</v>
      </c>
      <c r="J1085" s="15" t="n">
        <f aca="false">IF(B1085="SITE LOSS",IF(D1085=C1085,1,0),IF(B1085="REGION LOSS",IF(E1085=C1085,1,0),0))</f>
        <v>0</v>
      </c>
      <c r="K1085" s="15" t="n">
        <f aca="false">IF(B1085="SITE LOSS",IF(COUNTIFS('Site Dockets'!$B$7:$B$24,C1085,'Site Dockets'!$C$7:$C$24,F1085)&gt;0,1,0),IF(B1085="REGION LOSS",IF(COUNTIFS('Site Dockets'!$E$7:$E$24,C1085,'Site Dockets'!$C$7:$C$24,F1085)&gt;0,1,0),0))</f>
        <v>0</v>
      </c>
      <c r="L1085" s="15" t="n">
        <f aca="false">IF(J1085=1,0,Inputs!$B$11)</f>
        <v>100</v>
      </c>
      <c r="M1085" s="15" t="n">
        <f aca="false">IF(J1085=1,0,Inputs!$B$12)</f>
        <v>75</v>
      </c>
      <c r="N1085" s="15" t="n">
        <f aca="false">IF(J1085=1,0,IF(OR(AND(OR(B1085="SITE LOSS",B1085="REGION LOSS"),K1085=1),AND(B1085="ROLE COMPROMISE",H1085=C1085)),Inputs!$B$13,Inputs!$B$14))</f>
        <v>10</v>
      </c>
      <c r="O1085" s="15" t="n">
        <f aca="false">IF(J1085=1,0,Inputs!$B$13)</f>
        <v>20</v>
      </c>
      <c r="P1085" s="15" t="n">
        <f aca="false">SUM(M1085:N1085)</f>
        <v>85</v>
      </c>
      <c r="Q1085" s="15" t="n">
        <f aca="false">IF(J1085=1,"",L1085-P1085)</f>
        <v>15</v>
      </c>
      <c r="R1085" s="15" t="n">
        <f aca="false">IF(OR(J1085=1,M1085&lt;=Inputs!$B$12),1,0)</f>
        <v>1</v>
      </c>
      <c r="S1085" s="15" t="n">
        <f aca="false">IF(OR(J1085=1,N1085&lt;=O1085),1,0)</f>
        <v>1</v>
      </c>
      <c r="T1085" s="15" t="str">
        <f aca="false">IF(J1085=1,"OFFLINE",IF(AND(Q1085&gt;=Inputs!$B$15,R1085=1,S1085=1,P1085&lt;=L1085),"PASS","FAIL"))</f>
        <v>PASS</v>
      </c>
    </row>
    <row r="1086" customFormat="false" ht="15" hidden="false" customHeight="false" outlineLevel="0" collapsed="false">
      <c r="A1086" s="14" t="s">
        <v>1028</v>
      </c>
      <c r="B1086" s="14" t="s">
        <v>1019</v>
      </c>
      <c r="C1086" s="14" t="s">
        <v>182</v>
      </c>
      <c r="D1086" s="14" t="s">
        <v>204</v>
      </c>
      <c r="E1086" s="14" t="s">
        <v>161</v>
      </c>
      <c r="F1086" s="14" t="s">
        <v>199</v>
      </c>
      <c r="G1086" s="14" t="n">
        <v>3</v>
      </c>
      <c r="H1086" s="14" t="s">
        <v>158</v>
      </c>
      <c r="I1086" s="14" t="s">
        <v>899</v>
      </c>
      <c r="J1086" s="15" t="n">
        <f aca="false">IF(B1086="SITE LOSS",IF(D1086=C1086,1,0),IF(B1086="REGION LOSS",IF(E1086=C1086,1,0),0))</f>
        <v>0</v>
      </c>
      <c r="K1086" s="15" t="n">
        <f aca="false">IF(B1086="SITE LOSS",IF(COUNTIFS('Site Dockets'!$B$7:$B$24,C1086,'Site Dockets'!$C$7:$C$24,F1086)&gt;0,1,0),IF(B1086="REGION LOSS",IF(COUNTIFS('Site Dockets'!$E$7:$E$24,C1086,'Site Dockets'!$C$7:$C$24,F1086)&gt;0,1,0),0))</f>
        <v>0</v>
      </c>
      <c r="L1086" s="15" t="n">
        <f aca="false">IF(J1086=1,0,Inputs!$B$11)</f>
        <v>100</v>
      </c>
      <c r="M1086" s="15" t="n">
        <f aca="false">IF(J1086=1,0,Inputs!$B$12)</f>
        <v>75</v>
      </c>
      <c r="N1086" s="15" t="n">
        <f aca="false">IF(J1086=1,0,IF(OR(AND(OR(B1086="SITE LOSS",B1086="REGION LOSS"),K1086=1),AND(B1086="ROLE COMPROMISE",H1086=C1086)),Inputs!$B$13,Inputs!$B$14))</f>
        <v>10</v>
      </c>
      <c r="O1086" s="15" t="n">
        <f aca="false">IF(J1086=1,0,Inputs!$B$13)</f>
        <v>20</v>
      </c>
      <c r="P1086" s="15" t="n">
        <f aca="false">SUM(M1086:N1086)</f>
        <v>85</v>
      </c>
      <c r="Q1086" s="15" t="n">
        <f aca="false">IF(J1086=1,"",L1086-P1086)</f>
        <v>15</v>
      </c>
      <c r="R1086" s="15" t="n">
        <f aca="false">IF(OR(J1086=1,M1086&lt;=Inputs!$B$12),1,0)</f>
        <v>1</v>
      </c>
      <c r="S1086" s="15" t="n">
        <f aca="false">IF(OR(J1086=1,N1086&lt;=O1086),1,0)</f>
        <v>1</v>
      </c>
      <c r="T1086" s="15" t="str">
        <f aca="false">IF(J1086=1,"OFFLINE",IF(AND(Q1086&gt;=Inputs!$B$15,R1086=1,S1086=1,P1086&lt;=L1086),"PASS","FAIL"))</f>
        <v>PASS</v>
      </c>
    </row>
    <row r="1087" customFormat="false" ht="15" hidden="false" customHeight="false" outlineLevel="0" collapsed="false">
      <c r="A1087" s="14" t="s">
        <v>1029</v>
      </c>
      <c r="B1087" s="14" t="s">
        <v>1019</v>
      </c>
      <c r="C1087" s="14" t="s">
        <v>186</v>
      </c>
      <c r="D1087" s="14" t="s">
        <v>149</v>
      </c>
      <c r="E1087" s="14" t="s">
        <v>152</v>
      </c>
      <c r="F1087" s="14" t="s">
        <v>150</v>
      </c>
      <c r="G1087" s="14" t="n">
        <v>1</v>
      </c>
      <c r="H1087" s="14" t="s">
        <v>154</v>
      </c>
      <c r="I1087" s="14" t="s">
        <v>890</v>
      </c>
      <c r="J1087" s="15" t="n">
        <f aca="false">IF(B1087="SITE LOSS",IF(D1087=C1087,1,0),IF(B1087="REGION LOSS",IF(E1087=C1087,1,0),0))</f>
        <v>0</v>
      </c>
      <c r="K1087" s="15" t="n">
        <f aca="false">IF(B1087="SITE LOSS",IF(COUNTIFS('Site Dockets'!$B$7:$B$24,C1087,'Site Dockets'!$C$7:$C$24,F1087)&gt;0,1,0),IF(B1087="REGION LOSS",IF(COUNTIFS('Site Dockets'!$E$7:$E$24,C1087,'Site Dockets'!$C$7:$C$24,F1087)&gt;0,1,0),0))</f>
        <v>0</v>
      </c>
      <c r="L1087" s="15" t="n">
        <f aca="false">IF(J1087=1,0,Inputs!$B$11)</f>
        <v>100</v>
      </c>
      <c r="M1087" s="15" t="n">
        <f aca="false">IF(J1087=1,0,Inputs!$B$12)</f>
        <v>75</v>
      </c>
      <c r="N1087" s="15" t="n">
        <f aca="false">IF(J1087=1,0,IF(OR(AND(OR(B1087="SITE LOSS",B1087="REGION LOSS"),K1087=1),AND(B1087="ROLE COMPROMISE",H1087=C1087)),Inputs!$B$13,Inputs!$B$14))</f>
        <v>10</v>
      </c>
      <c r="O1087" s="15" t="n">
        <f aca="false">IF(J1087=1,0,Inputs!$B$13)</f>
        <v>20</v>
      </c>
      <c r="P1087" s="15" t="n">
        <f aca="false">SUM(M1087:N1087)</f>
        <v>85</v>
      </c>
      <c r="Q1087" s="15" t="n">
        <f aca="false">IF(J1087=1,"",L1087-P1087)</f>
        <v>15</v>
      </c>
      <c r="R1087" s="15" t="n">
        <f aca="false">IF(OR(J1087=1,M1087&lt;=Inputs!$B$12),1,0)</f>
        <v>1</v>
      </c>
      <c r="S1087" s="15" t="n">
        <f aca="false">IF(OR(J1087=1,N1087&lt;=O1087),1,0)</f>
        <v>1</v>
      </c>
      <c r="T1087" s="15" t="str">
        <f aca="false">IF(J1087=1,"OFFLINE",IF(AND(Q1087&gt;=Inputs!$B$15,R1087=1,S1087=1,P1087&lt;=L1087),"PASS","FAIL"))</f>
        <v>PASS</v>
      </c>
    </row>
    <row r="1088" customFormat="false" ht="15" hidden="false" customHeight="false" outlineLevel="0" collapsed="false">
      <c r="A1088" s="14" t="s">
        <v>1029</v>
      </c>
      <c r="B1088" s="14" t="s">
        <v>1019</v>
      </c>
      <c r="C1088" s="14" t="s">
        <v>186</v>
      </c>
      <c r="D1088" s="14" t="s">
        <v>149</v>
      </c>
      <c r="E1088" s="14" t="s">
        <v>152</v>
      </c>
      <c r="F1088" s="14" t="s">
        <v>150</v>
      </c>
      <c r="G1088" s="14" t="n">
        <v>1</v>
      </c>
      <c r="H1088" s="14" t="s">
        <v>154</v>
      </c>
      <c r="I1088" s="14" t="s">
        <v>892</v>
      </c>
      <c r="J1088" s="15" t="n">
        <f aca="false">IF(B1088="SITE LOSS",IF(D1088=C1088,1,0),IF(B1088="REGION LOSS",IF(E1088=C1088,1,0),0))</f>
        <v>0</v>
      </c>
      <c r="K1088" s="15" t="n">
        <f aca="false">IF(B1088="SITE LOSS",IF(COUNTIFS('Site Dockets'!$B$7:$B$24,C1088,'Site Dockets'!$C$7:$C$24,F1088)&gt;0,1,0),IF(B1088="REGION LOSS",IF(COUNTIFS('Site Dockets'!$E$7:$E$24,C1088,'Site Dockets'!$C$7:$C$24,F1088)&gt;0,1,0),0))</f>
        <v>0</v>
      </c>
      <c r="L1088" s="15" t="n">
        <f aca="false">IF(J1088=1,0,Inputs!$B$11)</f>
        <v>100</v>
      </c>
      <c r="M1088" s="15" t="n">
        <f aca="false">IF(J1088=1,0,Inputs!$B$12)</f>
        <v>75</v>
      </c>
      <c r="N1088" s="15" t="n">
        <f aca="false">IF(J1088=1,0,IF(OR(AND(OR(B1088="SITE LOSS",B1088="REGION LOSS"),K1088=1),AND(B1088="ROLE COMPROMISE",H1088=C1088)),Inputs!$B$13,Inputs!$B$14))</f>
        <v>10</v>
      </c>
      <c r="O1088" s="15" t="n">
        <f aca="false">IF(J1088=1,0,Inputs!$B$13)</f>
        <v>20</v>
      </c>
      <c r="P1088" s="15" t="n">
        <f aca="false">SUM(M1088:N1088)</f>
        <v>85</v>
      </c>
      <c r="Q1088" s="15" t="n">
        <f aca="false">IF(J1088=1,"",L1088-P1088)</f>
        <v>15</v>
      </c>
      <c r="R1088" s="15" t="n">
        <f aca="false">IF(OR(J1088=1,M1088&lt;=Inputs!$B$12),1,0)</f>
        <v>1</v>
      </c>
      <c r="S1088" s="15" t="n">
        <f aca="false">IF(OR(J1088=1,N1088&lt;=O1088),1,0)</f>
        <v>1</v>
      </c>
      <c r="T1088" s="15" t="str">
        <f aca="false">IF(J1088=1,"OFFLINE",IF(AND(Q1088&gt;=Inputs!$B$15,R1088=1,S1088=1,P1088&lt;=L1088),"PASS","FAIL"))</f>
        <v>PASS</v>
      </c>
    </row>
    <row r="1089" customFormat="false" ht="15" hidden="false" customHeight="false" outlineLevel="0" collapsed="false">
      <c r="A1089" s="14" t="s">
        <v>1029</v>
      </c>
      <c r="B1089" s="14" t="s">
        <v>1019</v>
      </c>
      <c r="C1089" s="14" t="s">
        <v>186</v>
      </c>
      <c r="D1089" s="14" t="s">
        <v>149</v>
      </c>
      <c r="E1089" s="14" t="s">
        <v>152</v>
      </c>
      <c r="F1089" s="14" t="s">
        <v>150</v>
      </c>
      <c r="G1089" s="14" t="n">
        <v>1</v>
      </c>
      <c r="H1089" s="14" t="s">
        <v>154</v>
      </c>
      <c r="I1089" s="14" t="s">
        <v>811</v>
      </c>
      <c r="J1089" s="15" t="n">
        <f aca="false">IF(B1089="SITE LOSS",IF(D1089=C1089,1,0),IF(B1089="REGION LOSS",IF(E1089=C1089,1,0),0))</f>
        <v>0</v>
      </c>
      <c r="K1089" s="15" t="n">
        <f aca="false">IF(B1089="SITE LOSS",IF(COUNTIFS('Site Dockets'!$B$7:$B$24,C1089,'Site Dockets'!$C$7:$C$24,F1089)&gt;0,1,0),IF(B1089="REGION LOSS",IF(COUNTIFS('Site Dockets'!$E$7:$E$24,C1089,'Site Dockets'!$C$7:$C$24,F1089)&gt;0,1,0),0))</f>
        <v>0</v>
      </c>
      <c r="L1089" s="15" t="n">
        <f aca="false">IF(J1089=1,0,Inputs!$B$11)</f>
        <v>100</v>
      </c>
      <c r="M1089" s="15" t="n">
        <f aca="false">IF(J1089=1,0,Inputs!$B$12)</f>
        <v>75</v>
      </c>
      <c r="N1089" s="15" t="n">
        <f aca="false">IF(J1089=1,0,IF(OR(AND(OR(B1089="SITE LOSS",B1089="REGION LOSS"),K1089=1),AND(B1089="ROLE COMPROMISE",H1089=C1089)),Inputs!$B$13,Inputs!$B$14))</f>
        <v>10</v>
      </c>
      <c r="O1089" s="15" t="n">
        <f aca="false">IF(J1089=1,0,Inputs!$B$13)</f>
        <v>20</v>
      </c>
      <c r="P1089" s="15" t="n">
        <f aca="false">SUM(M1089:N1089)</f>
        <v>85</v>
      </c>
      <c r="Q1089" s="15" t="n">
        <f aca="false">IF(J1089=1,"",L1089-P1089)</f>
        <v>15</v>
      </c>
      <c r="R1089" s="15" t="n">
        <f aca="false">IF(OR(J1089=1,M1089&lt;=Inputs!$B$12),1,0)</f>
        <v>1</v>
      </c>
      <c r="S1089" s="15" t="n">
        <f aca="false">IF(OR(J1089=1,N1089&lt;=O1089),1,0)</f>
        <v>1</v>
      </c>
      <c r="T1089" s="15" t="str">
        <f aca="false">IF(J1089=1,"OFFLINE",IF(AND(Q1089&gt;=Inputs!$B$15,R1089=1,S1089=1,P1089&lt;=L1089),"PASS","FAIL"))</f>
        <v>PASS</v>
      </c>
    </row>
    <row r="1090" customFormat="false" ht="15" hidden="false" customHeight="false" outlineLevel="0" collapsed="false">
      <c r="A1090" s="14" t="s">
        <v>1029</v>
      </c>
      <c r="B1090" s="14" t="s">
        <v>1019</v>
      </c>
      <c r="C1090" s="14" t="s">
        <v>186</v>
      </c>
      <c r="D1090" s="14" t="s">
        <v>149</v>
      </c>
      <c r="E1090" s="14" t="s">
        <v>152</v>
      </c>
      <c r="F1090" s="14" t="s">
        <v>150</v>
      </c>
      <c r="G1090" s="14" t="n">
        <v>1</v>
      </c>
      <c r="H1090" s="14" t="s">
        <v>154</v>
      </c>
      <c r="I1090" s="14" t="s">
        <v>895</v>
      </c>
      <c r="J1090" s="15" t="n">
        <f aca="false">IF(B1090="SITE LOSS",IF(D1090=C1090,1,0),IF(B1090="REGION LOSS",IF(E1090=C1090,1,0),0))</f>
        <v>0</v>
      </c>
      <c r="K1090" s="15" t="n">
        <f aca="false">IF(B1090="SITE LOSS",IF(COUNTIFS('Site Dockets'!$B$7:$B$24,C1090,'Site Dockets'!$C$7:$C$24,F1090)&gt;0,1,0),IF(B1090="REGION LOSS",IF(COUNTIFS('Site Dockets'!$E$7:$E$24,C1090,'Site Dockets'!$C$7:$C$24,F1090)&gt;0,1,0),0))</f>
        <v>0</v>
      </c>
      <c r="L1090" s="15" t="n">
        <f aca="false">IF(J1090=1,0,Inputs!$B$11)</f>
        <v>100</v>
      </c>
      <c r="M1090" s="15" t="n">
        <f aca="false">IF(J1090=1,0,Inputs!$B$12)</f>
        <v>75</v>
      </c>
      <c r="N1090" s="15" t="n">
        <f aca="false">IF(J1090=1,0,IF(OR(AND(OR(B1090="SITE LOSS",B1090="REGION LOSS"),K1090=1),AND(B1090="ROLE COMPROMISE",H1090=C1090)),Inputs!$B$13,Inputs!$B$14))</f>
        <v>10</v>
      </c>
      <c r="O1090" s="15" t="n">
        <f aca="false">IF(J1090=1,0,Inputs!$B$13)</f>
        <v>20</v>
      </c>
      <c r="P1090" s="15" t="n">
        <f aca="false">SUM(M1090:N1090)</f>
        <v>85</v>
      </c>
      <c r="Q1090" s="15" t="n">
        <f aca="false">IF(J1090=1,"",L1090-P1090)</f>
        <v>15</v>
      </c>
      <c r="R1090" s="15" t="n">
        <f aca="false">IF(OR(J1090=1,M1090&lt;=Inputs!$B$12),1,0)</f>
        <v>1</v>
      </c>
      <c r="S1090" s="15" t="n">
        <f aca="false">IF(OR(J1090=1,N1090&lt;=O1090),1,0)</f>
        <v>1</v>
      </c>
      <c r="T1090" s="15" t="str">
        <f aca="false">IF(J1090=1,"OFFLINE",IF(AND(Q1090&gt;=Inputs!$B$15,R1090=1,S1090=1,P1090&lt;=L1090),"PASS","FAIL"))</f>
        <v>PASS</v>
      </c>
    </row>
    <row r="1091" customFormat="false" ht="15" hidden="false" customHeight="false" outlineLevel="0" collapsed="false">
      <c r="A1091" s="14" t="s">
        <v>1029</v>
      </c>
      <c r="B1091" s="14" t="s">
        <v>1019</v>
      </c>
      <c r="C1091" s="14" t="s">
        <v>186</v>
      </c>
      <c r="D1091" s="14" t="s">
        <v>149</v>
      </c>
      <c r="E1091" s="14" t="s">
        <v>152</v>
      </c>
      <c r="F1091" s="14" t="s">
        <v>150</v>
      </c>
      <c r="G1091" s="14" t="n">
        <v>1</v>
      </c>
      <c r="H1091" s="14" t="s">
        <v>154</v>
      </c>
      <c r="I1091" s="14" t="s">
        <v>897</v>
      </c>
      <c r="J1091" s="15" t="n">
        <f aca="false">IF(B1091="SITE LOSS",IF(D1091=C1091,1,0),IF(B1091="REGION LOSS",IF(E1091=C1091,1,0),0))</f>
        <v>0</v>
      </c>
      <c r="K1091" s="15" t="n">
        <f aca="false">IF(B1091="SITE LOSS",IF(COUNTIFS('Site Dockets'!$B$7:$B$24,C1091,'Site Dockets'!$C$7:$C$24,F1091)&gt;0,1,0),IF(B1091="REGION LOSS",IF(COUNTIFS('Site Dockets'!$E$7:$E$24,C1091,'Site Dockets'!$C$7:$C$24,F1091)&gt;0,1,0),0))</f>
        <v>0</v>
      </c>
      <c r="L1091" s="15" t="n">
        <f aca="false">IF(J1091=1,0,Inputs!$B$11)</f>
        <v>100</v>
      </c>
      <c r="M1091" s="15" t="n">
        <f aca="false">IF(J1091=1,0,Inputs!$B$12)</f>
        <v>75</v>
      </c>
      <c r="N1091" s="15" t="n">
        <f aca="false">IF(J1091=1,0,IF(OR(AND(OR(B1091="SITE LOSS",B1091="REGION LOSS"),K1091=1),AND(B1091="ROLE COMPROMISE",H1091=C1091)),Inputs!$B$13,Inputs!$B$14))</f>
        <v>10</v>
      </c>
      <c r="O1091" s="15" t="n">
        <f aca="false">IF(J1091=1,0,Inputs!$B$13)</f>
        <v>20</v>
      </c>
      <c r="P1091" s="15" t="n">
        <f aca="false">SUM(M1091:N1091)</f>
        <v>85</v>
      </c>
      <c r="Q1091" s="15" t="n">
        <f aca="false">IF(J1091=1,"",L1091-P1091)</f>
        <v>15</v>
      </c>
      <c r="R1091" s="15" t="n">
        <f aca="false">IF(OR(J1091=1,M1091&lt;=Inputs!$B$12),1,0)</f>
        <v>1</v>
      </c>
      <c r="S1091" s="15" t="n">
        <f aca="false">IF(OR(J1091=1,N1091&lt;=O1091),1,0)</f>
        <v>1</v>
      </c>
      <c r="T1091" s="15" t="str">
        <f aca="false">IF(J1091=1,"OFFLINE",IF(AND(Q1091&gt;=Inputs!$B$15,R1091=1,S1091=1,P1091&lt;=L1091),"PASS","FAIL"))</f>
        <v>PASS</v>
      </c>
    </row>
    <row r="1092" customFormat="false" ht="15" hidden="false" customHeight="false" outlineLevel="0" collapsed="false">
      <c r="A1092" s="14" t="s">
        <v>1029</v>
      </c>
      <c r="B1092" s="14" t="s">
        <v>1019</v>
      </c>
      <c r="C1092" s="14" t="s">
        <v>186</v>
      </c>
      <c r="D1092" s="14" t="s">
        <v>149</v>
      </c>
      <c r="E1092" s="14" t="s">
        <v>152</v>
      </c>
      <c r="F1092" s="14" t="s">
        <v>150</v>
      </c>
      <c r="G1092" s="14" t="n">
        <v>1</v>
      </c>
      <c r="H1092" s="14" t="s">
        <v>154</v>
      </c>
      <c r="I1092" s="14" t="s">
        <v>899</v>
      </c>
      <c r="J1092" s="15" t="n">
        <f aca="false">IF(B1092="SITE LOSS",IF(D1092=C1092,1,0),IF(B1092="REGION LOSS",IF(E1092=C1092,1,0),0))</f>
        <v>0</v>
      </c>
      <c r="K1092" s="15" t="n">
        <f aca="false">IF(B1092="SITE LOSS",IF(COUNTIFS('Site Dockets'!$B$7:$B$24,C1092,'Site Dockets'!$C$7:$C$24,F1092)&gt;0,1,0),IF(B1092="REGION LOSS",IF(COUNTIFS('Site Dockets'!$E$7:$E$24,C1092,'Site Dockets'!$C$7:$C$24,F1092)&gt;0,1,0),0))</f>
        <v>0</v>
      </c>
      <c r="L1092" s="15" t="n">
        <f aca="false">IF(J1092=1,0,Inputs!$B$11)</f>
        <v>100</v>
      </c>
      <c r="M1092" s="15" t="n">
        <f aca="false">IF(J1092=1,0,Inputs!$B$12)</f>
        <v>75</v>
      </c>
      <c r="N1092" s="15" t="n">
        <f aca="false">IF(J1092=1,0,IF(OR(AND(OR(B1092="SITE LOSS",B1092="REGION LOSS"),K1092=1),AND(B1092="ROLE COMPROMISE",H1092=C1092)),Inputs!$B$13,Inputs!$B$14))</f>
        <v>10</v>
      </c>
      <c r="O1092" s="15" t="n">
        <f aca="false">IF(J1092=1,0,Inputs!$B$13)</f>
        <v>20</v>
      </c>
      <c r="P1092" s="15" t="n">
        <f aca="false">SUM(M1092:N1092)</f>
        <v>85</v>
      </c>
      <c r="Q1092" s="15" t="n">
        <f aca="false">IF(J1092=1,"",L1092-P1092)</f>
        <v>15</v>
      </c>
      <c r="R1092" s="15" t="n">
        <f aca="false">IF(OR(J1092=1,M1092&lt;=Inputs!$B$12),1,0)</f>
        <v>1</v>
      </c>
      <c r="S1092" s="15" t="n">
        <f aca="false">IF(OR(J1092=1,N1092&lt;=O1092),1,0)</f>
        <v>1</v>
      </c>
      <c r="T1092" s="15" t="str">
        <f aca="false">IF(J1092=1,"OFFLINE",IF(AND(Q1092&gt;=Inputs!$B$15,R1092=1,S1092=1,P1092&lt;=L1092),"PASS","FAIL"))</f>
        <v>PASS</v>
      </c>
    </row>
    <row r="1093" customFormat="false" ht="15" hidden="false" customHeight="false" outlineLevel="0" collapsed="false">
      <c r="A1093" s="14" t="s">
        <v>1029</v>
      </c>
      <c r="B1093" s="14" t="s">
        <v>1019</v>
      </c>
      <c r="C1093" s="14" t="s">
        <v>186</v>
      </c>
      <c r="D1093" s="14" t="s">
        <v>156</v>
      </c>
      <c r="E1093" s="14" t="s">
        <v>157</v>
      </c>
      <c r="F1093" s="14" t="s">
        <v>150</v>
      </c>
      <c r="G1093" s="14" t="n">
        <v>2</v>
      </c>
      <c r="H1093" s="14" t="s">
        <v>153</v>
      </c>
      <c r="I1093" s="14" t="s">
        <v>890</v>
      </c>
      <c r="J1093" s="15" t="n">
        <f aca="false">IF(B1093="SITE LOSS",IF(D1093=C1093,1,0),IF(B1093="REGION LOSS",IF(E1093=C1093,1,0),0))</f>
        <v>0</v>
      </c>
      <c r="K1093" s="15" t="n">
        <f aca="false">IF(B1093="SITE LOSS",IF(COUNTIFS('Site Dockets'!$B$7:$B$24,C1093,'Site Dockets'!$C$7:$C$24,F1093)&gt;0,1,0),IF(B1093="REGION LOSS",IF(COUNTIFS('Site Dockets'!$E$7:$E$24,C1093,'Site Dockets'!$C$7:$C$24,F1093)&gt;0,1,0),0))</f>
        <v>0</v>
      </c>
      <c r="L1093" s="15" t="n">
        <f aca="false">IF(J1093=1,0,Inputs!$B$11)</f>
        <v>100</v>
      </c>
      <c r="M1093" s="15" t="n">
        <f aca="false">IF(J1093=1,0,Inputs!$B$12)</f>
        <v>75</v>
      </c>
      <c r="N1093" s="15" t="n">
        <f aca="false">IF(J1093=1,0,IF(OR(AND(OR(B1093="SITE LOSS",B1093="REGION LOSS"),K1093=1),AND(B1093="ROLE COMPROMISE",H1093=C1093)),Inputs!$B$13,Inputs!$B$14))</f>
        <v>10</v>
      </c>
      <c r="O1093" s="15" t="n">
        <f aca="false">IF(J1093=1,0,Inputs!$B$13)</f>
        <v>20</v>
      </c>
      <c r="P1093" s="15" t="n">
        <f aca="false">SUM(M1093:N1093)</f>
        <v>85</v>
      </c>
      <c r="Q1093" s="15" t="n">
        <f aca="false">IF(J1093=1,"",L1093-P1093)</f>
        <v>15</v>
      </c>
      <c r="R1093" s="15" t="n">
        <f aca="false">IF(OR(J1093=1,M1093&lt;=Inputs!$B$12),1,0)</f>
        <v>1</v>
      </c>
      <c r="S1093" s="15" t="n">
        <f aca="false">IF(OR(J1093=1,N1093&lt;=O1093),1,0)</f>
        <v>1</v>
      </c>
      <c r="T1093" s="15" t="str">
        <f aca="false">IF(J1093=1,"OFFLINE",IF(AND(Q1093&gt;=Inputs!$B$15,R1093=1,S1093=1,P1093&lt;=L1093),"PASS","FAIL"))</f>
        <v>PASS</v>
      </c>
    </row>
    <row r="1094" customFormat="false" ht="15" hidden="false" customHeight="false" outlineLevel="0" collapsed="false">
      <c r="A1094" s="14" t="s">
        <v>1029</v>
      </c>
      <c r="B1094" s="14" t="s">
        <v>1019</v>
      </c>
      <c r="C1094" s="14" t="s">
        <v>186</v>
      </c>
      <c r="D1094" s="14" t="s">
        <v>156</v>
      </c>
      <c r="E1094" s="14" t="s">
        <v>157</v>
      </c>
      <c r="F1094" s="14" t="s">
        <v>150</v>
      </c>
      <c r="G1094" s="14" t="n">
        <v>2</v>
      </c>
      <c r="H1094" s="14" t="s">
        <v>153</v>
      </c>
      <c r="I1094" s="14" t="s">
        <v>892</v>
      </c>
      <c r="J1094" s="15" t="n">
        <f aca="false">IF(B1094="SITE LOSS",IF(D1094=C1094,1,0),IF(B1094="REGION LOSS",IF(E1094=C1094,1,0),0))</f>
        <v>0</v>
      </c>
      <c r="K1094" s="15" t="n">
        <f aca="false">IF(B1094="SITE LOSS",IF(COUNTIFS('Site Dockets'!$B$7:$B$24,C1094,'Site Dockets'!$C$7:$C$24,F1094)&gt;0,1,0),IF(B1094="REGION LOSS",IF(COUNTIFS('Site Dockets'!$E$7:$E$24,C1094,'Site Dockets'!$C$7:$C$24,F1094)&gt;0,1,0),0))</f>
        <v>0</v>
      </c>
      <c r="L1094" s="15" t="n">
        <f aca="false">IF(J1094=1,0,Inputs!$B$11)</f>
        <v>100</v>
      </c>
      <c r="M1094" s="15" t="n">
        <f aca="false">IF(J1094=1,0,Inputs!$B$12)</f>
        <v>75</v>
      </c>
      <c r="N1094" s="15" t="n">
        <f aca="false">IF(J1094=1,0,IF(OR(AND(OR(B1094="SITE LOSS",B1094="REGION LOSS"),K1094=1),AND(B1094="ROLE COMPROMISE",H1094=C1094)),Inputs!$B$13,Inputs!$B$14))</f>
        <v>10</v>
      </c>
      <c r="O1094" s="15" t="n">
        <f aca="false">IF(J1094=1,0,Inputs!$B$13)</f>
        <v>20</v>
      </c>
      <c r="P1094" s="15" t="n">
        <f aca="false">SUM(M1094:N1094)</f>
        <v>85</v>
      </c>
      <c r="Q1094" s="15" t="n">
        <f aca="false">IF(J1094=1,"",L1094-P1094)</f>
        <v>15</v>
      </c>
      <c r="R1094" s="15" t="n">
        <f aca="false">IF(OR(J1094=1,M1094&lt;=Inputs!$B$12),1,0)</f>
        <v>1</v>
      </c>
      <c r="S1094" s="15" t="n">
        <f aca="false">IF(OR(J1094=1,N1094&lt;=O1094),1,0)</f>
        <v>1</v>
      </c>
      <c r="T1094" s="15" t="str">
        <f aca="false">IF(J1094=1,"OFFLINE",IF(AND(Q1094&gt;=Inputs!$B$15,R1094=1,S1094=1,P1094&lt;=L1094),"PASS","FAIL"))</f>
        <v>PASS</v>
      </c>
    </row>
    <row r="1095" customFormat="false" ht="15" hidden="false" customHeight="false" outlineLevel="0" collapsed="false">
      <c r="A1095" s="14" t="s">
        <v>1029</v>
      </c>
      <c r="B1095" s="14" t="s">
        <v>1019</v>
      </c>
      <c r="C1095" s="14" t="s">
        <v>186</v>
      </c>
      <c r="D1095" s="14" t="s">
        <v>156</v>
      </c>
      <c r="E1095" s="14" t="s">
        <v>157</v>
      </c>
      <c r="F1095" s="14" t="s">
        <v>150</v>
      </c>
      <c r="G1095" s="14" t="n">
        <v>2</v>
      </c>
      <c r="H1095" s="14" t="s">
        <v>153</v>
      </c>
      <c r="I1095" s="14" t="s">
        <v>811</v>
      </c>
      <c r="J1095" s="15" t="n">
        <f aca="false">IF(B1095="SITE LOSS",IF(D1095=C1095,1,0),IF(B1095="REGION LOSS",IF(E1095=C1095,1,0),0))</f>
        <v>0</v>
      </c>
      <c r="K1095" s="15" t="n">
        <f aca="false">IF(B1095="SITE LOSS",IF(COUNTIFS('Site Dockets'!$B$7:$B$24,C1095,'Site Dockets'!$C$7:$C$24,F1095)&gt;0,1,0),IF(B1095="REGION LOSS",IF(COUNTIFS('Site Dockets'!$E$7:$E$24,C1095,'Site Dockets'!$C$7:$C$24,F1095)&gt;0,1,0),0))</f>
        <v>0</v>
      </c>
      <c r="L1095" s="15" t="n">
        <f aca="false">IF(J1095=1,0,Inputs!$B$11)</f>
        <v>100</v>
      </c>
      <c r="M1095" s="15" t="n">
        <f aca="false">IF(J1095=1,0,Inputs!$B$12)</f>
        <v>75</v>
      </c>
      <c r="N1095" s="15" t="n">
        <f aca="false">IF(J1095=1,0,IF(OR(AND(OR(B1095="SITE LOSS",B1095="REGION LOSS"),K1095=1),AND(B1095="ROLE COMPROMISE",H1095=C1095)),Inputs!$B$13,Inputs!$B$14))</f>
        <v>10</v>
      </c>
      <c r="O1095" s="15" t="n">
        <f aca="false">IF(J1095=1,0,Inputs!$B$13)</f>
        <v>20</v>
      </c>
      <c r="P1095" s="15" t="n">
        <f aca="false">SUM(M1095:N1095)</f>
        <v>85</v>
      </c>
      <c r="Q1095" s="15" t="n">
        <f aca="false">IF(J1095=1,"",L1095-P1095)</f>
        <v>15</v>
      </c>
      <c r="R1095" s="15" t="n">
        <f aca="false">IF(OR(J1095=1,M1095&lt;=Inputs!$B$12),1,0)</f>
        <v>1</v>
      </c>
      <c r="S1095" s="15" t="n">
        <f aca="false">IF(OR(J1095=1,N1095&lt;=O1095),1,0)</f>
        <v>1</v>
      </c>
      <c r="T1095" s="15" t="str">
        <f aca="false">IF(J1095=1,"OFFLINE",IF(AND(Q1095&gt;=Inputs!$B$15,R1095=1,S1095=1,P1095&lt;=L1095),"PASS","FAIL"))</f>
        <v>PASS</v>
      </c>
    </row>
    <row r="1096" customFormat="false" ht="15" hidden="false" customHeight="false" outlineLevel="0" collapsed="false">
      <c r="A1096" s="14" t="s">
        <v>1029</v>
      </c>
      <c r="B1096" s="14" t="s">
        <v>1019</v>
      </c>
      <c r="C1096" s="14" t="s">
        <v>186</v>
      </c>
      <c r="D1096" s="14" t="s">
        <v>156</v>
      </c>
      <c r="E1096" s="14" t="s">
        <v>157</v>
      </c>
      <c r="F1096" s="14" t="s">
        <v>150</v>
      </c>
      <c r="G1096" s="14" t="n">
        <v>2</v>
      </c>
      <c r="H1096" s="14" t="s">
        <v>153</v>
      </c>
      <c r="I1096" s="14" t="s">
        <v>895</v>
      </c>
      <c r="J1096" s="15" t="n">
        <f aca="false">IF(B1096="SITE LOSS",IF(D1096=C1096,1,0),IF(B1096="REGION LOSS",IF(E1096=C1096,1,0),0))</f>
        <v>0</v>
      </c>
      <c r="K1096" s="15" t="n">
        <f aca="false">IF(B1096="SITE LOSS",IF(COUNTIFS('Site Dockets'!$B$7:$B$24,C1096,'Site Dockets'!$C$7:$C$24,F1096)&gt;0,1,0),IF(B1096="REGION LOSS",IF(COUNTIFS('Site Dockets'!$E$7:$E$24,C1096,'Site Dockets'!$C$7:$C$24,F1096)&gt;0,1,0),0))</f>
        <v>0</v>
      </c>
      <c r="L1096" s="15" t="n">
        <f aca="false">IF(J1096=1,0,Inputs!$B$11)</f>
        <v>100</v>
      </c>
      <c r="M1096" s="15" t="n">
        <f aca="false">IF(J1096=1,0,Inputs!$B$12)</f>
        <v>75</v>
      </c>
      <c r="N1096" s="15" t="n">
        <f aca="false">IF(J1096=1,0,IF(OR(AND(OR(B1096="SITE LOSS",B1096="REGION LOSS"),K1096=1),AND(B1096="ROLE COMPROMISE",H1096=C1096)),Inputs!$B$13,Inputs!$B$14))</f>
        <v>10</v>
      </c>
      <c r="O1096" s="15" t="n">
        <f aca="false">IF(J1096=1,0,Inputs!$B$13)</f>
        <v>20</v>
      </c>
      <c r="P1096" s="15" t="n">
        <f aca="false">SUM(M1096:N1096)</f>
        <v>85</v>
      </c>
      <c r="Q1096" s="15" t="n">
        <f aca="false">IF(J1096=1,"",L1096-P1096)</f>
        <v>15</v>
      </c>
      <c r="R1096" s="15" t="n">
        <f aca="false">IF(OR(J1096=1,M1096&lt;=Inputs!$B$12),1,0)</f>
        <v>1</v>
      </c>
      <c r="S1096" s="15" t="n">
        <f aca="false">IF(OR(J1096=1,N1096&lt;=O1096),1,0)</f>
        <v>1</v>
      </c>
      <c r="T1096" s="15" t="str">
        <f aca="false">IF(J1096=1,"OFFLINE",IF(AND(Q1096&gt;=Inputs!$B$15,R1096=1,S1096=1,P1096&lt;=L1096),"PASS","FAIL"))</f>
        <v>PASS</v>
      </c>
    </row>
    <row r="1097" customFormat="false" ht="15" hidden="false" customHeight="false" outlineLevel="0" collapsed="false">
      <c r="A1097" s="14" t="s">
        <v>1029</v>
      </c>
      <c r="B1097" s="14" t="s">
        <v>1019</v>
      </c>
      <c r="C1097" s="14" t="s">
        <v>186</v>
      </c>
      <c r="D1097" s="14" t="s">
        <v>156</v>
      </c>
      <c r="E1097" s="14" t="s">
        <v>157</v>
      </c>
      <c r="F1097" s="14" t="s">
        <v>150</v>
      </c>
      <c r="G1097" s="14" t="n">
        <v>2</v>
      </c>
      <c r="H1097" s="14" t="s">
        <v>153</v>
      </c>
      <c r="I1097" s="14" t="s">
        <v>897</v>
      </c>
      <c r="J1097" s="15" t="n">
        <f aca="false">IF(B1097="SITE LOSS",IF(D1097=C1097,1,0),IF(B1097="REGION LOSS",IF(E1097=C1097,1,0),0))</f>
        <v>0</v>
      </c>
      <c r="K1097" s="15" t="n">
        <f aca="false">IF(B1097="SITE LOSS",IF(COUNTIFS('Site Dockets'!$B$7:$B$24,C1097,'Site Dockets'!$C$7:$C$24,F1097)&gt;0,1,0),IF(B1097="REGION LOSS",IF(COUNTIFS('Site Dockets'!$E$7:$E$24,C1097,'Site Dockets'!$C$7:$C$24,F1097)&gt;0,1,0),0))</f>
        <v>0</v>
      </c>
      <c r="L1097" s="15" t="n">
        <f aca="false">IF(J1097=1,0,Inputs!$B$11)</f>
        <v>100</v>
      </c>
      <c r="M1097" s="15" t="n">
        <f aca="false">IF(J1097=1,0,Inputs!$B$12)</f>
        <v>75</v>
      </c>
      <c r="N1097" s="15" t="n">
        <f aca="false">IF(J1097=1,0,IF(OR(AND(OR(B1097="SITE LOSS",B1097="REGION LOSS"),K1097=1),AND(B1097="ROLE COMPROMISE",H1097=C1097)),Inputs!$B$13,Inputs!$B$14))</f>
        <v>10</v>
      </c>
      <c r="O1097" s="15" t="n">
        <f aca="false">IF(J1097=1,0,Inputs!$B$13)</f>
        <v>20</v>
      </c>
      <c r="P1097" s="15" t="n">
        <f aca="false">SUM(M1097:N1097)</f>
        <v>85</v>
      </c>
      <c r="Q1097" s="15" t="n">
        <f aca="false">IF(J1097=1,"",L1097-P1097)</f>
        <v>15</v>
      </c>
      <c r="R1097" s="15" t="n">
        <f aca="false">IF(OR(J1097=1,M1097&lt;=Inputs!$B$12),1,0)</f>
        <v>1</v>
      </c>
      <c r="S1097" s="15" t="n">
        <f aca="false">IF(OR(J1097=1,N1097&lt;=O1097),1,0)</f>
        <v>1</v>
      </c>
      <c r="T1097" s="15" t="str">
        <f aca="false">IF(J1097=1,"OFFLINE",IF(AND(Q1097&gt;=Inputs!$B$15,R1097=1,S1097=1,P1097&lt;=L1097),"PASS","FAIL"))</f>
        <v>PASS</v>
      </c>
    </row>
    <row r="1098" customFormat="false" ht="15" hidden="false" customHeight="false" outlineLevel="0" collapsed="false">
      <c r="A1098" s="14" t="s">
        <v>1029</v>
      </c>
      <c r="B1098" s="14" t="s">
        <v>1019</v>
      </c>
      <c r="C1098" s="14" t="s">
        <v>186</v>
      </c>
      <c r="D1098" s="14" t="s">
        <v>156</v>
      </c>
      <c r="E1098" s="14" t="s">
        <v>157</v>
      </c>
      <c r="F1098" s="14" t="s">
        <v>150</v>
      </c>
      <c r="G1098" s="14" t="n">
        <v>2</v>
      </c>
      <c r="H1098" s="14" t="s">
        <v>153</v>
      </c>
      <c r="I1098" s="14" t="s">
        <v>899</v>
      </c>
      <c r="J1098" s="15" t="n">
        <f aca="false">IF(B1098="SITE LOSS",IF(D1098=C1098,1,0),IF(B1098="REGION LOSS",IF(E1098=C1098,1,0),0))</f>
        <v>0</v>
      </c>
      <c r="K1098" s="15" t="n">
        <f aca="false">IF(B1098="SITE LOSS",IF(COUNTIFS('Site Dockets'!$B$7:$B$24,C1098,'Site Dockets'!$C$7:$C$24,F1098)&gt;0,1,0),IF(B1098="REGION LOSS",IF(COUNTIFS('Site Dockets'!$E$7:$E$24,C1098,'Site Dockets'!$C$7:$C$24,F1098)&gt;0,1,0),0))</f>
        <v>0</v>
      </c>
      <c r="L1098" s="15" t="n">
        <f aca="false">IF(J1098=1,0,Inputs!$B$11)</f>
        <v>100</v>
      </c>
      <c r="M1098" s="15" t="n">
        <f aca="false">IF(J1098=1,0,Inputs!$B$12)</f>
        <v>75</v>
      </c>
      <c r="N1098" s="15" t="n">
        <f aca="false">IF(J1098=1,0,IF(OR(AND(OR(B1098="SITE LOSS",B1098="REGION LOSS"),K1098=1),AND(B1098="ROLE COMPROMISE",H1098=C1098)),Inputs!$B$13,Inputs!$B$14))</f>
        <v>10</v>
      </c>
      <c r="O1098" s="15" t="n">
        <f aca="false">IF(J1098=1,0,Inputs!$B$13)</f>
        <v>20</v>
      </c>
      <c r="P1098" s="15" t="n">
        <f aca="false">SUM(M1098:N1098)</f>
        <v>85</v>
      </c>
      <c r="Q1098" s="15" t="n">
        <f aca="false">IF(J1098=1,"",L1098-P1098)</f>
        <v>15</v>
      </c>
      <c r="R1098" s="15" t="n">
        <f aca="false">IF(OR(J1098=1,M1098&lt;=Inputs!$B$12),1,0)</f>
        <v>1</v>
      </c>
      <c r="S1098" s="15" t="n">
        <f aca="false">IF(OR(J1098=1,N1098&lt;=O1098),1,0)</f>
        <v>1</v>
      </c>
      <c r="T1098" s="15" t="str">
        <f aca="false">IF(J1098=1,"OFFLINE",IF(AND(Q1098&gt;=Inputs!$B$15,R1098=1,S1098=1,P1098&lt;=L1098),"PASS","FAIL"))</f>
        <v>PASS</v>
      </c>
    </row>
    <row r="1099" customFormat="false" ht="15" hidden="false" customHeight="false" outlineLevel="0" collapsed="false">
      <c r="A1099" s="14" t="s">
        <v>1029</v>
      </c>
      <c r="B1099" s="14" t="s">
        <v>1019</v>
      </c>
      <c r="C1099" s="14" t="s">
        <v>186</v>
      </c>
      <c r="D1099" s="14" t="s">
        <v>160</v>
      </c>
      <c r="E1099" s="14" t="s">
        <v>161</v>
      </c>
      <c r="F1099" s="14" t="s">
        <v>150</v>
      </c>
      <c r="G1099" s="14" t="n">
        <v>3</v>
      </c>
      <c r="H1099" s="14" t="s">
        <v>158</v>
      </c>
      <c r="I1099" s="14" t="s">
        <v>890</v>
      </c>
      <c r="J1099" s="15" t="n">
        <f aca="false">IF(B1099="SITE LOSS",IF(D1099=C1099,1,0),IF(B1099="REGION LOSS",IF(E1099=C1099,1,0),0))</f>
        <v>0</v>
      </c>
      <c r="K1099" s="15" t="n">
        <f aca="false">IF(B1099="SITE LOSS",IF(COUNTIFS('Site Dockets'!$B$7:$B$24,C1099,'Site Dockets'!$C$7:$C$24,F1099)&gt;0,1,0),IF(B1099="REGION LOSS",IF(COUNTIFS('Site Dockets'!$E$7:$E$24,C1099,'Site Dockets'!$C$7:$C$24,F1099)&gt;0,1,0),0))</f>
        <v>0</v>
      </c>
      <c r="L1099" s="15" t="n">
        <f aca="false">IF(J1099=1,0,Inputs!$B$11)</f>
        <v>100</v>
      </c>
      <c r="M1099" s="15" t="n">
        <f aca="false">IF(J1099=1,0,Inputs!$B$12)</f>
        <v>75</v>
      </c>
      <c r="N1099" s="15" t="n">
        <f aca="false">IF(J1099=1,0,IF(OR(AND(OR(B1099="SITE LOSS",B1099="REGION LOSS"),K1099=1),AND(B1099="ROLE COMPROMISE",H1099=C1099)),Inputs!$B$13,Inputs!$B$14))</f>
        <v>10</v>
      </c>
      <c r="O1099" s="15" t="n">
        <f aca="false">IF(J1099=1,0,Inputs!$B$13)</f>
        <v>20</v>
      </c>
      <c r="P1099" s="15" t="n">
        <f aca="false">SUM(M1099:N1099)</f>
        <v>85</v>
      </c>
      <c r="Q1099" s="15" t="n">
        <f aca="false">IF(J1099=1,"",L1099-P1099)</f>
        <v>15</v>
      </c>
      <c r="R1099" s="15" t="n">
        <f aca="false">IF(OR(J1099=1,M1099&lt;=Inputs!$B$12),1,0)</f>
        <v>1</v>
      </c>
      <c r="S1099" s="15" t="n">
        <f aca="false">IF(OR(J1099=1,N1099&lt;=O1099),1,0)</f>
        <v>1</v>
      </c>
      <c r="T1099" s="15" t="str">
        <f aca="false">IF(J1099=1,"OFFLINE",IF(AND(Q1099&gt;=Inputs!$B$15,R1099=1,S1099=1,P1099&lt;=L1099),"PASS","FAIL"))</f>
        <v>PASS</v>
      </c>
    </row>
    <row r="1100" customFormat="false" ht="15" hidden="false" customHeight="false" outlineLevel="0" collapsed="false">
      <c r="A1100" s="14" t="s">
        <v>1029</v>
      </c>
      <c r="B1100" s="14" t="s">
        <v>1019</v>
      </c>
      <c r="C1100" s="14" t="s">
        <v>186</v>
      </c>
      <c r="D1100" s="14" t="s">
        <v>160</v>
      </c>
      <c r="E1100" s="14" t="s">
        <v>161</v>
      </c>
      <c r="F1100" s="14" t="s">
        <v>150</v>
      </c>
      <c r="G1100" s="14" t="n">
        <v>3</v>
      </c>
      <c r="H1100" s="14" t="s">
        <v>158</v>
      </c>
      <c r="I1100" s="14" t="s">
        <v>892</v>
      </c>
      <c r="J1100" s="15" t="n">
        <f aca="false">IF(B1100="SITE LOSS",IF(D1100=C1100,1,0),IF(B1100="REGION LOSS",IF(E1100=C1100,1,0),0))</f>
        <v>0</v>
      </c>
      <c r="K1100" s="15" t="n">
        <f aca="false">IF(B1100="SITE LOSS",IF(COUNTIFS('Site Dockets'!$B$7:$B$24,C1100,'Site Dockets'!$C$7:$C$24,F1100)&gt;0,1,0),IF(B1100="REGION LOSS",IF(COUNTIFS('Site Dockets'!$E$7:$E$24,C1100,'Site Dockets'!$C$7:$C$24,F1100)&gt;0,1,0),0))</f>
        <v>0</v>
      </c>
      <c r="L1100" s="15" t="n">
        <f aca="false">IF(J1100=1,0,Inputs!$B$11)</f>
        <v>100</v>
      </c>
      <c r="M1100" s="15" t="n">
        <f aca="false">IF(J1100=1,0,Inputs!$B$12)</f>
        <v>75</v>
      </c>
      <c r="N1100" s="15" t="n">
        <f aca="false">IF(J1100=1,0,IF(OR(AND(OR(B1100="SITE LOSS",B1100="REGION LOSS"),K1100=1),AND(B1100="ROLE COMPROMISE",H1100=C1100)),Inputs!$B$13,Inputs!$B$14))</f>
        <v>10</v>
      </c>
      <c r="O1100" s="15" t="n">
        <f aca="false">IF(J1100=1,0,Inputs!$B$13)</f>
        <v>20</v>
      </c>
      <c r="P1100" s="15" t="n">
        <f aca="false">SUM(M1100:N1100)</f>
        <v>85</v>
      </c>
      <c r="Q1100" s="15" t="n">
        <f aca="false">IF(J1100=1,"",L1100-P1100)</f>
        <v>15</v>
      </c>
      <c r="R1100" s="15" t="n">
        <f aca="false">IF(OR(J1100=1,M1100&lt;=Inputs!$B$12),1,0)</f>
        <v>1</v>
      </c>
      <c r="S1100" s="15" t="n">
        <f aca="false">IF(OR(J1100=1,N1100&lt;=O1100),1,0)</f>
        <v>1</v>
      </c>
      <c r="T1100" s="15" t="str">
        <f aca="false">IF(J1100=1,"OFFLINE",IF(AND(Q1100&gt;=Inputs!$B$15,R1100=1,S1100=1,P1100&lt;=L1100),"PASS","FAIL"))</f>
        <v>PASS</v>
      </c>
    </row>
    <row r="1101" customFormat="false" ht="15" hidden="false" customHeight="false" outlineLevel="0" collapsed="false">
      <c r="A1101" s="14" t="s">
        <v>1029</v>
      </c>
      <c r="B1101" s="14" t="s">
        <v>1019</v>
      </c>
      <c r="C1101" s="14" t="s">
        <v>186</v>
      </c>
      <c r="D1101" s="14" t="s">
        <v>160</v>
      </c>
      <c r="E1101" s="14" t="s">
        <v>161</v>
      </c>
      <c r="F1101" s="14" t="s">
        <v>150</v>
      </c>
      <c r="G1101" s="14" t="n">
        <v>3</v>
      </c>
      <c r="H1101" s="14" t="s">
        <v>158</v>
      </c>
      <c r="I1101" s="14" t="s">
        <v>811</v>
      </c>
      <c r="J1101" s="15" t="n">
        <f aca="false">IF(B1101="SITE LOSS",IF(D1101=C1101,1,0),IF(B1101="REGION LOSS",IF(E1101=C1101,1,0),0))</f>
        <v>0</v>
      </c>
      <c r="K1101" s="15" t="n">
        <f aca="false">IF(B1101="SITE LOSS",IF(COUNTIFS('Site Dockets'!$B$7:$B$24,C1101,'Site Dockets'!$C$7:$C$24,F1101)&gt;0,1,0),IF(B1101="REGION LOSS",IF(COUNTIFS('Site Dockets'!$E$7:$E$24,C1101,'Site Dockets'!$C$7:$C$24,F1101)&gt;0,1,0),0))</f>
        <v>0</v>
      </c>
      <c r="L1101" s="15" t="n">
        <f aca="false">IF(J1101=1,0,Inputs!$B$11)</f>
        <v>100</v>
      </c>
      <c r="M1101" s="15" t="n">
        <f aca="false">IF(J1101=1,0,Inputs!$B$12)</f>
        <v>75</v>
      </c>
      <c r="N1101" s="15" t="n">
        <f aca="false">IF(J1101=1,0,IF(OR(AND(OR(B1101="SITE LOSS",B1101="REGION LOSS"),K1101=1),AND(B1101="ROLE COMPROMISE",H1101=C1101)),Inputs!$B$13,Inputs!$B$14))</f>
        <v>10</v>
      </c>
      <c r="O1101" s="15" t="n">
        <f aca="false">IF(J1101=1,0,Inputs!$B$13)</f>
        <v>20</v>
      </c>
      <c r="P1101" s="15" t="n">
        <f aca="false">SUM(M1101:N1101)</f>
        <v>85</v>
      </c>
      <c r="Q1101" s="15" t="n">
        <f aca="false">IF(J1101=1,"",L1101-P1101)</f>
        <v>15</v>
      </c>
      <c r="R1101" s="15" t="n">
        <f aca="false">IF(OR(J1101=1,M1101&lt;=Inputs!$B$12),1,0)</f>
        <v>1</v>
      </c>
      <c r="S1101" s="15" t="n">
        <f aca="false">IF(OR(J1101=1,N1101&lt;=O1101),1,0)</f>
        <v>1</v>
      </c>
      <c r="T1101" s="15" t="str">
        <f aca="false">IF(J1101=1,"OFFLINE",IF(AND(Q1101&gt;=Inputs!$B$15,R1101=1,S1101=1,P1101&lt;=L1101),"PASS","FAIL"))</f>
        <v>PASS</v>
      </c>
    </row>
    <row r="1102" customFormat="false" ht="15" hidden="false" customHeight="false" outlineLevel="0" collapsed="false">
      <c r="A1102" s="14" t="s">
        <v>1029</v>
      </c>
      <c r="B1102" s="14" t="s">
        <v>1019</v>
      </c>
      <c r="C1102" s="14" t="s">
        <v>186</v>
      </c>
      <c r="D1102" s="14" t="s">
        <v>160</v>
      </c>
      <c r="E1102" s="14" t="s">
        <v>161</v>
      </c>
      <c r="F1102" s="14" t="s">
        <v>150</v>
      </c>
      <c r="G1102" s="14" t="n">
        <v>3</v>
      </c>
      <c r="H1102" s="14" t="s">
        <v>158</v>
      </c>
      <c r="I1102" s="14" t="s">
        <v>895</v>
      </c>
      <c r="J1102" s="15" t="n">
        <f aca="false">IF(B1102="SITE LOSS",IF(D1102=C1102,1,0),IF(B1102="REGION LOSS",IF(E1102=C1102,1,0),0))</f>
        <v>0</v>
      </c>
      <c r="K1102" s="15" t="n">
        <f aca="false">IF(B1102="SITE LOSS",IF(COUNTIFS('Site Dockets'!$B$7:$B$24,C1102,'Site Dockets'!$C$7:$C$24,F1102)&gt;0,1,0),IF(B1102="REGION LOSS",IF(COUNTIFS('Site Dockets'!$E$7:$E$24,C1102,'Site Dockets'!$C$7:$C$24,F1102)&gt;0,1,0),0))</f>
        <v>0</v>
      </c>
      <c r="L1102" s="15" t="n">
        <f aca="false">IF(J1102=1,0,Inputs!$B$11)</f>
        <v>100</v>
      </c>
      <c r="M1102" s="15" t="n">
        <f aca="false">IF(J1102=1,0,Inputs!$B$12)</f>
        <v>75</v>
      </c>
      <c r="N1102" s="15" t="n">
        <f aca="false">IF(J1102=1,0,IF(OR(AND(OR(B1102="SITE LOSS",B1102="REGION LOSS"),K1102=1),AND(B1102="ROLE COMPROMISE",H1102=C1102)),Inputs!$B$13,Inputs!$B$14))</f>
        <v>10</v>
      </c>
      <c r="O1102" s="15" t="n">
        <f aca="false">IF(J1102=1,0,Inputs!$B$13)</f>
        <v>20</v>
      </c>
      <c r="P1102" s="15" t="n">
        <f aca="false">SUM(M1102:N1102)</f>
        <v>85</v>
      </c>
      <c r="Q1102" s="15" t="n">
        <f aca="false">IF(J1102=1,"",L1102-P1102)</f>
        <v>15</v>
      </c>
      <c r="R1102" s="15" t="n">
        <f aca="false">IF(OR(J1102=1,M1102&lt;=Inputs!$B$12),1,0)</f>
        <v>1</v>
      </c>
      <c r="S1102" s="15" t="n">
        <f aca="false">IF(OR(J1102=1,N1102&lt;=O1102),1,0)</f>
        <v>1</v>
      </c>
      <c r="T1102" s="15" t="str">
        <f aca="false">IF(J1102=1,"OFFLINE",IF(AND(Q1102&gt;=Inputs!$B$15,R1102=1,S1102=1,P1102&lt;=L1102),"PASS","FAIL"))</f>
        <v>PASS</v>
      </c>
    </row>
    <row r="1103" customFormat="false" ht="15" hidden="false" customHeight="false" outlineLevel="0" collapsed="false">
      <c r="A1103" s="14" t="s">
        <v>1029</v>
      </c>
      <c r="B1103" s="14" t="s">
        <v>1019</v>
      </c>
      <c r="C1103" s="14" t="s">
        <v>186</v>
      </c>
      <c r="D1103" s="14" t="s">
        <v>160</v>
      </c>
      <c r="E1103" s="14" t="s">
        <v>161</v>
      </c>
      <c r="F1103" s="14" t="s">
        <v>150</v>
      </c>
      <c r="G1103" s="14" t="n">
        <v>3</v>
      </c>
      <c r="H1103" s="14" t="s">
        <v>158</v>
      </c>
      <c r="I1103" s="14" t="s">
        <v>897</v>
      </c>
      <c r="J1103" s="15" t="n">
        <f aca="false">IF(B1103="SITE LOSS",IF(D1103=C1103,1,0),IF(B1103="REGION LOSS",IF(E1103=C1103,1,0),0))</f>
        <v>0</v>
      </c>
      <c r="K1103" s="15" t="n">
        <f aca="false">IF(B1103="SITE LOSS",IF(COUNTIFS('Site Dockets'!$B$7:$B$24,C1103,'Site Dockets'!$C$7:$C$24,F1103)&gt;0,1,0),IF(B1103="REGION LOSS",IF(COUNTIFS('Site Dockets'!$E$7:$E$24,C1103,'Site Dockets'!$C$7:$C$24,F1103)&gt;0,1,0),0))</f>
        <v>0</v>
      </c>
      <c r="L1103" s="15" t="n">
        <f aca="false">IF(J1103=1,0,Inputs!$B$11)</f>
        <v>100</v>
      </c>
      <c r="M1103" s="15" t="n">
        <f aca="false">IF(J1103=1,0,Inputs!$B$12)</f>
        <v>75</v>
      </c>
      <c r="N1103" s="15" t="n">
        <f aca="false">IF(J1103=1,0,IF(OR(AND(OR(B1103="SITE LOSS",B1103="REGION LOSS"),K1103=1),AND(B1103="ROLE COMPROMISE",H1103=C1103)),Inputs!$B$13,Inputs!$B$14))</f>
        <v>10</v>
      </c>
      <c r="O1103" s="15" t="n">
        <f aca="false">IF(J1103=1,0,Inputs!$B$13)</f>
        <v>20</v>
      </c>
      <c r="P1103" s="15" t="n">
        <f aca="false">SUM(M1103:N1103)</f>
        <v>85</v>
      </c>
      <c r="Q1103" s="15" t="n">
        <f aca="false">IF(J1103=1,"",L1103-P1103)</f>
        <v>15</v>
      </c>
      <c r="R1103" s="15" t="n">
        <f aca="false">IF(OR(J1103=1,M1103&lt;=Inputs!$B$12),1,0)</f>
        <v>1</v>
      </c>
      <c r="S1103" s="15" t="n">
        <f aca="false">IF(OR(J1103=1,N1103&lt;=O1103),1,0)</f>
        <v>1</v>
      </c>
      <c r="T1103" s="15" t="str">
        <f aca="false">IF(J1103=1,"OFFLINE",IF(AND(Q1103&gt;=Inputs!$B$15,R1103=1,S1103=1,P1103&lt;=L1103),"PASS","FAIL"))</f>
        <v>PASS</v>
      </c>
    </row>
    <row r="1104" customFormat="false" ht="15" hidden="false" customHeight="false" outlineLevel="0" collapsed="false">
      <c r="A1104" s="14" t="s">
        <v>1029</v>
      </c>
      <c r="B1104" s="14" t="s">
        <v>1019</v>
      </c>
      <c r="C1104" s="14" t="s">
        <v>186</v>
      </c>
      <c r="D1104" s="14" t="s">
        <v>160</v>
      </c>
      <c r="E1104" s="14" t="s">
        <v>161</v>
      </c>
      <c r="F1104" s="14" t="s">
        <v>150</v>
      </c>
      <c r="G1104" s="14" t="n">
        <v>3</v>
      </c>
      <c r="H1104" s="14" t="s">
        <v>158</v>
      </c>
      <c r="I1104" s="14" t="s">
        <v>899</v>
      </c>
      <c r="J1104" s="15" t="n">
        <f aca="false">IF(B1104="SITE LOSS",IF(D1104=C1104,1,0),IF(B1104="REGION LOSS",IF(E1104=C1104,1,0),0))</f>
        <v>0</v>
      </c>
      <c r="K1104" s="15" t="n">
        <f aca="false">IF(B1104="SITE LOSS",IF(COUNTIFS('Site Dockets'!$B$7:$B$24,C1104,'Site Dockets'!$C$7:$C$24,F1104)&gt;0,1,0),IF(B1104="REGION LOSS",IF(COUNTIFS('Site Dockets'!$E$7:$E$24,C1104,'Site Dockets'!$C$7:$C$24,F1104)&gt;0,1,0),0))</f>
        <v>0</v>
      </c>
      <c r="L1104" s="15" t="n">
        <f aca="false">IF(J1104=1,0,Inputs!$B$11)</f>
        <v>100</v>
      </c>
      <c r="M1104" s="15" t="n">
        <f aca="false">IF(J1104=1,0,Inputs!$B$12)</f>
        <v>75</v>
      </c>
      <c r="N1104" s="15" t="n">
        <f aca="false">IF(J1104=1,0,IF(OR(AND(OR(B1104="SITE LOSS",B1104="REGION LOSS"),K1104=1),AND(B1104="ROLE COMPROMISE",H1104=C1104)),Inputs!$B$13,Inputs!$B$14))</f>
        <v>10</v>
      </c>
      <c r="O1104" s="15" t="n">
        <f aca="false">IF(J1104=1,0,Inputs!$B$13)</f>
        <v>20</v>
      </c>
      <c r="P1104" s="15" t="n">
        <f aca="false">SUM(M1104:N1104)</f>
        <v>85</v>
      </c>
      <c r="Q1104" s="15" t="n">
        <f aca="false">IF(J1104=1,"",L1104-P1104)</f>
        <v>15</v>
      </c>
      <c r="R1104" s="15" t="n">
        <f aca="false">IF(OR(J1104=1,M1104&lt;=Inputs!$B$12),1,0)</f>
        <v>1</v>
      </c>
      <c r="S1104" s="15" t="n">
        <f aca="false">IF(OR(J1104=1,N1104&lt;=O1104),1,0)</f>
        <v>1</v>
      </c>
      <c r="T1104" s="15" t="str">
        <f aca="false">IF(J1104=1,"OFFLINE",IF(AND(Q1104&gt;=Inputs!$B$15,R1104=1,S1104=1,P1104&lt;=L1104),"PASS","FAIL"))</f>
        <v>PASS</v>
      </c>
    </row>
    <row r="1105" customFormat="false" ht="15" hidden="false" customHeight="false" outlineLevel="0" collapsed="false">
      <c r="A1105" s="14" t="s">
        <v>1029</v>
      </c>
      <c r="B1105" s="14" t="s">
        <v>1019</v>
      </c>
      <c r="C1105" s="14" t="s">
        <v>186</v>
      </c>
      <c r="D1105" s="14" t="s">
        <v>163</v>
      </c>
      <c r="E1105" s="14" t="s">
        <v>166</v>
      </c>
      <c r="F1105" s="14" t="s">
        <v>164</v>
      </c>
      <c r="G1105" s="14" t="n">
        <v>1</v>
      </c>
      <c r="H1105" s="14" t="s">
        <v>154</v>
      </c>
      <c r="I1105" s="14" t="s">
        <v>890</v>
      </c>
      <c r="J1105" s="15" t="n">
        <f aca="false">IF(B1105="SITE LOSS",IF(D1105=C1105,1,0),IF(B1105="REGION LOSS",IF(E1105=C1105,1,0),0))</f>
        <v>0</v>
      </c>
      <c r="K1105" s="15" t="n">
        <f aca="false">IF(B1105="SITE LOSS",IF(COUNTIFS('Site Dockets'!$B$7:$B$24,C1105,'Site Dockets'!$C$7:$C$24,F1105)&gt;0,1,0),IF(B1105="REGION LOSS",IF(COUNTIFS('Site Dockets'!$E$7:$E$24,C1105,'Site Dockets'!$C$7:$C$24,F1105)&gt;0,1,0),0))</f>
        <v>0</v>
      </c>
      <c r="L1105" s="15" t="n">
        <f aca="false">IF(J1105=1,0,Inputs!$B$11)</f>
        <v>100</v>
      </c>
      <c r="M1105" s="15" t="n">
        <f aca="false">IF(J1105=1,0,Inputs!$B$12)</f>
        <v>75</v>
      </c>
      <c r="N1105" s="15" t="n">
        <f aca="false">IF(J1105=1,0,IF(OR(AND(OR(B1105="SITE LOSS",B1105="REGION LOSS"),K1105=1),AND(B1105="ROLE COMPROMISE",H1105=C1105)),Inputs!$B$13,Inputs!$B$14))</f>
        <v>10</v>
      </c>
      <c r="O1105" s="15" t="n">
        <f aca="false">IF(J1105=1,0,Inputs!$B$13)</f>
        <v>20</v>
      </c>
      <c r="P1105" s="15" t="n">
        <f aca="false">SUM(M1105:N1105)</f>
        <v>85</v>
      </c>
      <c r="Q1105" s="15" t="n">
        <f aca="false">IF(J1105=1,"",L1105-P1105)</f>
        <v>15</v>
      </c>
      <c r="R1105" s="15" t="n">
        <f aca="false">IF(OR(J1105=1,M1105&lt;=Inputs!$B$12),1,0)</f>
        <v>1</v>
      </c>
      <c r="S1105" s="15" t="n">
        <f aca="false">IF(OR(J1105=1,N1105&lt;=O1105),1,0)</f>
        <v>1</v>
      </c>
      <c r="T1105" s="15" t="str">
        <f aca="false">IF(J1105=1,"OFFLINE",IF(AND(Q1105&gt;=Inputs!$B$15,R1105=1,S1105=1,P1105&lt;=L1105),"PASS","FAIL"))</f>
        <v>PASS</v>
      </c>
    </row>
    <row r="1106" customFormat="false" ht="15" hidden="false" customHeight="false" outlineLevel="0" collapsed="false">
      <c r="A1106" s="14" t="s">
        <v>1029</v>
      </c>
      <c r="B1106" s="14" t="s">
        <v>1019</v>
      </c>
      <c r="C1106" s="14" t="s">
        <v>186</v>
      </c>
      <c r="D1106" s="14" t="s">
        <v>163</v>
      </c>
      <c r="E1106" s="14" t="s">
        <v>166</v>
      </c>
      <c r="F1106" s="14" t="s">
        <v>164</v>
      </c>
      <c r="G1106" s="14" t="n">
        <v>1</v>
      </c>
      <c r="H1106" s="14" t="s">
        <v>154</v>
      </c>
      <c r="I1106" s="14" t="s">
        <v>892</v>
      </c>
      <c r="J1106" s="15" t="n">
        <f aca="false">IF(B1106="SITE LOSS",IF(D1106=C1106,1,0),IF(B1106="REGION LOSS",IF(E1106=C1106,1,0),0))</f>
        <v>0</v>
      </c>
      <c r="K1106" s="15" t="n">
        <f aca="false">IF(B1106="SITE LOSS",IF(COUNTIFS('Site Dockets'!$B$7:$B$24,C1106,'Site Dockets'!$C$7:$C$24,F1106)&gt;0,1,0),IF(B1106="REGION LOSS",IF(COUNTIFS('Site Dockets'!$E$7:$E$24,C1106,'Site Dockets'!$C$7:$C$24,F1106)&gt;0,1,0),0))</f>
        <v>0</v>
      </c>
      <c r="L1106" s="15" t="n">
        <f aca="false">IF(J1106=1,0,Inputs!$B$11)</f>
        <v>100</v>
      </c>
      <c r="M1106" s="15" t="n">
        <f aca="false">IF(J1106=1,0,Inputs!$B$12)</f>
        <v>75</v>
      </c>
      <c r="N1106" s="15" t="n">
        <f aca="false">IF(J1106=1,0,IF(OR(AND(OR(B1106="SITE LOSS",B1106="REGION LOSS"),K1106=1),AND(B1106="ROLE COMPROMISE",H1106=C1106)),Inputs!$B$13,Inputs!$B$14))</f>
        <v>10</v>
      </c>
      <c r="O1106" s="15" t="n">
        <f aca="false">IF(J1106=1,0,Inputs!$B$13)</f>
        <v>20</v>
      </c>
      <c r="P1106" s="15" t="n">
        <f aca="false">SUM(M1106:N1106)</f>
        <v>85</v>
      </c>
      <c r="Q1106" s="15" t="n">
        <f aca="false">IF(J1106=1,"",L1106-P1106)</f>
        <v>15</v>
      </c>
      <c r="R1106" s="15" t="n">
        <f aca="false">IF(OR(J1106=1,M1106&lt;=Inputs!$B$12),1,0)</f>
        <v>1</v>
      </c>
      <c r="S1106" s="15" t="n">
        <f aca="false">IF(OR(J1106=1,N1106&lt;=O1106),1,0)</f>
        <v>1</v>
      </c>
      <c r="T1106" s="15" t="str">
        <f aca="false">IF(J1106=1,"OFFLINE",IF(AND(Q1106&gt;=Inputs!$B$15,R1106=1,S1106=1,P1106&lt;=L1106),"PASS","FAIL"))</f>
        <v>PASS</v>
      </c>
    </row>
    <row r="1107" customFormat="false" ht="15" hidden="false" customHeight="false" outlineLevel="0" collapsed="false">
      <c r="A1107" s="14" t="s">
        <v>1029</v>
      </c>
      <c r="B1107" s="14" t="s">
        <v>1019</v>
      </c>
      <c r="C1107" s="14" t="s">
        <v>186</v>
      </c>
      <c r="D1107" s="14" t="s">
        <v>163</v>
      </c>
      <c r="E1107" s="14" t="s">
        <v>166</v>
      </c>
      <c r="F1107" s="14" t="s">
        <v>164</v>
      </c>
      <c r="G1107" s="14" t="n">
        <v>1</v>
      </c>
      <c r="H1107" s="14" t="s">
        <v>154</v>
      </c>
      <c r="I1107" s="14" t="s">
        <v>811</v>
      </c>
      <c r="J1107" s="15" t="n">
        <f aca="false">IF(B1107="SITE LOSS",IF(D1107=C1107,1,0),IF(B1107="REGION LOSS",IF(E1107=C1107,1,0),0))</f>
        <v>0</v>
      </c>
      <c r="K1107" s="15" t="n">
        <f aca="false">IF(B1107="SITE LOSS",IF(COUNTIFS('Site Dockets'!$B$7:$B$24,C1107,'Site Dockets'!$C$7:$C$24,F1107)&gt;0,1,0),IF(B1107="REGION LOSS",IF(COUNTIFS('Site Dockets'!$E$7:$E$24,C1107,'Site Dockets'!$C$7:$C$24,F1107)&gt;0,1,0),0))</f>
        <v>0</v>
      </c>
      <c r="L1107" s="15" t="n">
        <f aca="false">IF(J1107=1,0,Inputs!$B$11)</f>
        <v>100</v>
      </c>
      <c r="M1107" s="15" t="n">
        <f aca="false">IF(J1107=1,0,Inputs!$B$12)</f>
        <v>75</v>
      </c>
      <c r="N1107" s="15" t="n">
        <f aca="false">IF(J1107=1,0,IF(OR(AND(OR(B1107="SITE LOSS",B1107="REGION LOSS"),K1107=1),AND(B1107="ROLE COMPROMISE",H1107=C1107)),Inputs!$B$13,Inputs!$B$14))</f>
        <v>10</v>
      </c>
      <c r="O1107" s="15" t="n">
        <f aca="false">IF(J1107=1,0,Inputs!$B$13)</f>
        <v>20</v>
      </c>
      <c r="P1107" s="15" t="n">
        <f aca="false">SUM(M1107:N1107)</f>
        <v>85</v>
      </c>
      <c r="Q1107" s="15" t="n">
        <f aca="false">IF(J1107=1,"",L1107-P1107)</f>
        <v>15</v>
      </c>
      <c r="R1107" s="15" t="n">
        <f aca="false">IF(OR(J1107=1,M1107&lt;=Inputs!$B$12),1,0)</f>
        <v>1</v>
      </c>
      <c r="S1107" s="15" t="n">
        <f aca="false">IF(OR(J1107=1,N1107&lt;=O1107),1,0)</f>
        <v>1</v>
      </c>
      <c r="T1107" s="15" t="str">
        <f aca="false">IF(J1107=1,"OFFLINE",IF(AND(Q1107&gt;=Inputs!$B$15,R1107=1,S1107=1,P1107&lt;=L1107),"PASS","FAIL"))</f>
        <v>PASS</v>
      </c>
    </row>
    <row r="1108" customFormat="false" ht="15" hidden="false" customHeight="false" outlineLevel="0" collapsed="false">
      <c r="A1108" s="14" t="s">
        <v>1029</v>
      </c>
      <c r="B1108" s="14" t="s">
        <v>1019</v>
      </c>
      <c r="C1108" s="14" t="s">
        <v>186</v>
      </c>
      <c r="D1108" s="14" t="s">
        <v>163</v>
      </c>
      <c r="E1108" s="14" t="s">
        <v>166</v>
      </c>
      <c r="F1108" s="14" t="s">
        <v>164</v>
      </c>
      <c r="G1108" s="14" t="n">
        <v>1</v>
      </c>
      <c r="H1108" s="14" t="s">
        <v>154</v>
      </c>
      <c r="I1108" s="14" t="s">
        <v>895</v>
      </c>
      <c r="J1108" s="15" t="n">
        <f aca="false">IF(B1108="SITE LOSS",IF(D1108=C1108,1,0),IF(B1108="REGION LOSS",IF(E1108=C1108,1,0),0))</f>
        <v>0</v>
      </c>
      <c r="K1108" s="15" t="n">
        <f aca="false">IF(B1108="SITE LOSS",IF(COUNTIFS('Site Dockets'!$B$7:$B$24,C1108,'Site Dockets'!$C$7:$C$24,F1108)&gt;0,1,0),IF(B1108="REGION LOSS",IF(COUNTIFS('Site Dockets'!$E$7:$E$24,C1108,'Site Dockets'!$C$7:$C$24,F1108)&gt;0,1,0),0))</f>
        <v>0</v>
      </c>
      <c r="L1108" s="15" t="n">
        <f aca="false">IF(J1108=1,0,Inputs!$B$11)</f>
        <v>100</v>
      </c>
      <c r="M1108" s="15" t="n">
        <f aca="false">IF(J1108=1,0,Inputs!$B$12)</f>
        <v>75</v>
      </c>
      <c r="N1108" s="15" t="n">
        <f aca="false">IF(J1108=1,0,IF(OR(AND(OR(B1108="SITE LOSS",B1108="REGION LOSS"),K1108=1),AND(B1108="ROLE COMPROMISE",H1108=C1108)),Inputs!$B$13,Inputs!$B$14))</f>
        <v>10</v>
      </c>
      <c r="O1108" s="15" t="n">
        <f aca="false">IF(J1108=1,0,Inputs!$B$13)</f>
        <v>20</v>
      </c>
      <c r="P1108" s="15" t="n">
        <f aca="false">SUM(M1108:N1108)</f>
        <v>85</v>
      </c>
      <c r="Q1108" s="15" t="n">
        <f aca="false">IF(J1108=1,"",L1108-P1108)</f>
        <v>15</v>
      </c>
      <c r="R1108" s="15" t="n">
        <f aca="false">IF(OR(J1108=1,M1108&lt;=Inputs!$B$12),1,0)</f>
        <v>1</v>
      </c>
      <c r="S1108" s="15" t="n">
        <f aca="false">IF(OR(J1108=1,N1108&lt;=O1108),1,0)</f>
        <v>1</v>
      </c>
      <c r="T1108" s="15" t="str">
        <f aca="false">IF(J1108=1,"OFFLINE",IF(AND(Q1108&gt;=Inputs!$B$15,R1108=1,S1108=1,P1108&lt;=L1108),"PASS","FAIL"))</f>
        <v>PASS</v>
      </c>
    </row>
    <row r="1109" customFormat="false" ht="15" hidden="false" customHeight="false" outlineLevel="0" collapsed="false">
      <c r="A1109" s="14" t="s">
        <v>1029</v>
      </c>
      <c r="B1109" s="14" t="s">
        <v>1019</v>
      </c>
      <c r="C1109" s="14" t="s">
        <v>186</v>
      </c>
      <c r="D1109" s="14" t="s">
        <v>163</v>
      </c>
      <c r="E1109" s="14" t="s">
        <v>166</v>
      </c>
      <c r="F1109" s="14" t="s">
        <v>164</v>
      </c>
      <c r="G1109" s="14" t="n">
        <v>1</v>
      </c>
      <c r="H1109" s="14" t="s">
        <v>154</v>
      </c>
      <c r="I1109" s="14" t="s">
        <v>897</v>
      </c>
      <c r="J1109" s="15" t="n">
        <f aca="false">IF(B1109="SITE LOSS",IF(D1109=C1109,1,0),IF(B1109="REGION LOSS",IF(E1109=C1109,1,0),0))</f>
        <v>0</v>
      </c>
      <c r="K1109" s="15" t="n">
        <f aca="false">IF(B1109="SITE LOSS",IF(COUNTIFS('Site Dockets'!$B$7:$B$24,C1109,'Site Dockets'!$C$7:$C$24,F1109)&gt;0,1,0),IF(B1109="REGION LOSS",IF(COUNTIFS('Site Dockets'!$E$7:$E$24,C1109,'Site Dockets'!$C$7:$C$24,F1109)&gt;0,1,0),0))</f>
        <v>0</v>
      </c>
      <c r="L1109" s="15" t="n">
        <f aca="false">IF(J1109=1,0,Inputs!$B$11)</f>
        <v>100</v>
      </c>
      <c r="M1109" s="15" t="n">
        <f aca="false">IF(J1109=1,0,Inputs!$B$12)</f>
        <v>75</v>
      </c>
      <c r="N1109" s="15" t="n">
        <f aca="false">IF(J1109=1,0,IF(OR(AND(OR(B1109="SITE LOSS",B1109="REGION LOSS"),K1109=1),AND(B1109="ROLE COMPROMISE",H1109=C1109)),Inputs!$B$13,Inputs!$B$14))</f>
        <v>10</v>
      </c>
      <c r="O1109" s="15" t="n">
        <f aca="false">IF(J1109=1,0,Inputs!$B$13)</f>
        <v>20</v>
      </c>
      <c r="P1109" s="15" t="n">
        <f aca="false">SUM(M1109:N1109)</f>
        <v>85</v>
      </c>
      <c r="Q1109" s="15" t="n">
        <f aca="false">IF(J1109=1,"",L1109-P1109)</f>
        <v>15</v>
      </c>
      <c r="R1109" s="15" t="n">
        <f aca="false">IF(OR(J1109=1,M1109&lt;=Inputs!$B$12),1,0)</f>
        <v>1</v>
      </c>
      <c r="S1109" s="15" t="n">
        <f aca="false">IF(OR(J1109=1,N1109&lt;=O1109),1,0)</f>
        <v>1</v>
      </c>
      <c r="T1109" s="15" t="str">
        <f aca="false">IF(J1109=1,"OFFLINE",IF(AND(Q1109&gt;=Inputs!$B$15,R1109=1,S1109=1,P1109&lt;=L1109),"PASS","FAIL"))</f>
        <v>PASS</v>
      </c>
    </row>
    <row r="1110" customFormat="false" ht="15" hidden="false" customHeight="false" outlineLevel="0" collapsed="false">
      <c r="A1110" s="14" t="s">
        <v>1029</v>
      </c>
      <c r="B1110" s="14" t="s">
        <v>1019</v>
      </c>
      <c r="C1110" s="14" t="s">
        <v>186</v>
      </c>
      <c r="D1110" s="14" t="s">
        <v>163</v>
      </c>
      <c r="E1110" s="14" t="s">
        <v>166</v>
      </c>
      <c r="F1110" s="14" t="s">
        <v>164</v>
      </c>
      <c r="G1110" s="14" t="n">
        <v>1</v>
      </c>
      <c r="H1110" s="14" t="s">
        <v>154</v>
      </c>
      <c r="I1110" s="14" t="s">
        <v>899</v>
      </c>
      <c r="J1110" s="15" t="n">
        <f aca="false">IF(B1110="SITE LOSS",IF(D1110=C1110,1,0),IF(B1110="REGION LOSS",IF(E1110=C1110,1,0),0))</f>
        <v>0</v>
      </c>
      <c r="K1110" s="15" t="n">
        <f aca="false">IF(B1110="SITE LOSS",IF(COUNTIFS('Site Dockets'!$B$7:$B$24,C1110,'Site Dockets'!$C$7:$C$24,F1110)&gt;0,1,0),IF(B1110="REGION LOSS",IF(COUNTIFS('Site Dockets'!$E$7:$E$24,C1110,'Site Dockets'!$C$7:$C$24,F1110)&gt;0,1,0),0))</f>
        <v>0</v>
      </c>
      <c r="L1110" s="15" t="n">
        <f aca="false">IF(J1110=1,0,Inputs!$B$11)</f>
        <v>100</v>
      </c>
      <c r="M1110" s="15" t="n">
        <f aca="false">IF(J1110=1,0,Inputs!$B$12)</f>
        <v>75</v>
      </c>
      <c r="N1110" s="15" t="n">
        <f aca="false">IF(J1110=1,0,IF(OR(AND(OR(B1110="SITE LOSS",B1110="REGION LOSS"),K1110=1),AND(B1110="ROLE COMPROMISE",H1110=C1110)),Inputs!$B$13,Inputs!$B$14))</f>
        <v>10</v>
      </c>
      <c r="O1110" s="15" t="n">
        <f aca="false">IF(J1110=1,0,Inputs!$B$13)</f>
        <v>20</v>
      </c>
      <c r="P1110" s="15" t="n">
        <f aca="false">SUM(M1110:N1110)</f>
        <v>85</v>
      </c>
      <c r="Q1110" s="15" t="n">
        <f aca="false">IF(J1110=1,"",L1110-P1110)</f>
        <v>15</v>
      </c>
      <c r="R1110" s="15" t="n">
        <f aca="false">IF(OR(J1110=1,M1110&lt;=Inputs!$B$12),1,0)</f>
        <v>1</v>
      </c>
      <c r="S1110" s="15" t="n">
        <f aca="false">IF(OR(J1110=1,N1110&lt;=O1110),1,0)</f>
        <v>1</v>
      </c>
      <c r="T1110" s="15" t="str">
        <f aca="false">IF(J1110=1,"OFFLINE",IF(AND(Q1110&gt;=Inputs!$B$15,R1110=1,S1110=1,P1110&lt;=L1110),"PASS","FAIL"))</f>
        <v>PASS</v>
      </c>
    </row>
    <row r="1111" customFormat="false" ht="15" hidden="false" customHeight="false" outlineLevel="0" collapsed="false">
      <c r="A1111" s="14" t="s">
        <v>1029</v>
      </c>
      <c r="B1111" s="14" t="s">
        <v>1019</v>
      </c>
      <c r="C1111" s="14" t="s">
        <v>186</v>
      </c>
      <c r="D1111" s="14" t="s">
        <v>168</v>
      </c>
      <c r="E1111" s="14" t="s">
        <v>169</v>
      </c>
      <c r="F1111" s="14" t="s">
        <v>164</v>
      </c>
      <c r="G1111" s="14" t="n">
        <v>2</v>
      </c>
      <c r="H1111" s="14" t="s">
        <v>153</v>
      </c>
      <c r="I1111" s="14" t="s">
        <v>890</v>
      </c>
      <c r="J1111" s="15" t="n">
        <f aca="false">IF(B1111="SITE LOSS",IF(D1111=C1111,1,0),IF(B1111="REGION LOSS",IF(E1111=C1111,1,0),0))</f>
        <v>0</v>
      </c>
      <c r="K1111" s="15" t="n">
        <f aca="false">IF(B1111="SITE LOSS",IF(COUNTIFS('Site Dockets'!$B$7:$B$24,C1111,'Site Dockets'!$C$7:$C$24,F1111)&gt;0,1,0),IF(B1111="REGION LOSS",IF(COUNTIFS('Site Dockets'!$E$7:$E$24,C1111,'Site Dockets'!$C$7:$C$24,F1111)&gt;0,1,0),0))</f>
        <v>0</v>
      </c>
      <c r="L1111" s="15" t="n">
        <f aca="false">IF(J1111=1,0,Inputs!$B$11)</f>
        <v>100</v>
      </c>
      <c r="M1111" s="15" t="n">
        <f aca="false">IF(J1111=1,0,Inputs!$B$12)</f>
        <v>75</v>
      </c>
      <c r="N1111" s="15" t="n">
        <f aca="false">IF(J1111=1,0,IF(OR(AND(OR(B1111="SITE LOSS",B1111="REGION LOSS"),K1111=1),AND(B1111="ROLE COMPROMISE",H1111=C1111)),Inputs!$B$13,Inputs!$B$14))</f>
        <v>10</v>
      </c>
      <c r="O1111" s="15" t="n">
        <f aca="false">IF(J1111=1,0,Inputs!$B$13)</f>
        <v>20</v>
      </c>
      <c r="P1111" s="15" t="n">
        <f aca="false">SUM(M1111:N1111)</f>
        <v>85</v>
      </c>
      <c r="Q1111" s="15" t="n">
        <f aca="false">IF(J1111=1,"",L1111-P1111)</f>
        <v>15</v>
      </c>
      <c r="R1111" s="15" t="n">
        <f aca="false">IF(OR(J1111=1,M1111&lt;=Inputs!$B$12),1,0)</f>
        <v>1</v>
      </c>
      <c r="S1111" s="15" t="n">
        <f aca="false">IF(OR(J1111=1,N1111&lt;=O1111),1,0)</f>
        <v>1</v>
      </c>
      <c r="T1111" s="15" t="str">
        <f aca="false">IF(J1111=1,"OFFLINE",IF(AND(Q1111&gt;=Inputs!$B$15,R1111=1,S1111=1,P1111&lt;=L1111),"PASS","FAIL"))</f>
        <v>PASS</v>
      </c>
    </row>
    <row r="1112" customFormat="false" ht="15" hidden="false" customHeight="false" outlineLevel="0" collapsed="false">
      <c r="A1112" s="14" t="s">
        <v>1029</v>
      </c>
      <c r="B1112" s="14" t="s">
        <v>1019</v>
      </c>
      <c r="C1112" s="14" t="s">
        <v>186</v>
      </c>
      <c r="D1112" s="14" t="s">
        <v>168</v>
      </c>
      <c r="E1112" s="14" t="s">
        <v>169</v>
      </c>
      <c r="F1112" s="14" t="s">
        <v>164</v>
      </c>
      <c r="G1112" s="14" t="n">
        <v>2</v>
      </c>
      <c r="H1112" s="14" t="s">
        <v>153</v>
      </c>
      <c r="I1112" s="14" t="s">
        <v>892</v>
      </c>
      <c r="J1112" s="15" t="n">
        <f aca="false">IF(B1112="SITE LOSS",IF(D1112=C1112,1,0),IF(B1112="REGION LOSS",IF(E1112=C1112,1,0),0))</f>
        <v>0</v>
      </c>
      <c r="K1112" s="15" t="n">
        <f aca="false">IF(B1112="SITE LOSS",IF(COUNTIFS('Site Dockets'!$B$7:$B$24,C1112,'Site Dockets'!$C$7:$C$24,F1112)&gt;0,1,0),IF(B1112="REGION LOSS",IF(COUNTIFS('Site Dockets'!$E$7:$E$24,C1112,'Site Dockets'!$C$7:$C$24,F1112)&gt;0,1,0),0))</f>
        <v>0</v>
      </c>
      <c r="L1112" s="15" t="n">
        <f aca="false">IF(J1112=1,0,Inputs!$B$11)</f>
        <v>100</v>
      </c>
      <c r="M1112" s="15" t="n">
        <f aca="false">IF(J1112=1,0,Inputs!$B$12)</f>
        <v>75</v>
      </c>
      <c r="N1112" s="15" t="n">
        <f aca="false">IF(J1112=1,0,IF(OR(AND(OR(B1112="SITE LOSS",B1112="REGION LOSS"),K1112=1),AND(B1112="ROLE COMPROMISE",H1112=C1112)),Inputs!$B$13,Inputs!$B$14))</f>
        <v>10</v>
      </c>
      <c r="O1112" s="15" t="n">
        <f aca="false">IF(J1112=1,0,Inputs!$B$13)</f>
        <v>20</v>
      </c>
      <c r="P1112" s="15" t="n">
        <f aca="false">SUM(M1112:N1112)</f>
        <v>85</v>
      </c>
      <c r="Q1112" s="15" t="n">
        <f aca="false">IF(J1112=1,"",L1112-P1112)</f>
        <v>15</v>
      </c>
      <c r="R1112" s="15" t="n">
        <f aca="false">IF(OR(J1112=1,M1112&lt;=Inputs!$B$12),1,0)</f>
        <v>1</v>
      </c>
      <c r="S1112" s="15" t="n">
        <f aca="false">IF(OR(J1112=1,N1112&lt;=O1112),1,0)</f>
        <v>1</v>
      </c>
      <c r="T1112" s="15" t="str">
        <f aca="false">IF(J1112=1,"OFFLINE",IF(AND(Q1112&gt;=Inputs!$B$15,R1112=1,S1112=1,P1112&lt;=L1112),"PASS","FAIL"))</f>
        <v>PASS</v>
      </c>
    </row>
    <row r="1113" customFormat="false" ht="15" hidden="false" customHeight="false" outlineLevel="0" collapsed="false">
      <c r="A1113" s="14" t="s">
        <v>1029</v>
      </c>
      <c r="B1113" s="14" t="s">
        <v>1019</v>
      </c>
      <c r="C1113" s="14" t="s">
        <v>186</v>
      </c>
      <c r="D1113" s="14" t="s">
        <v>168</v>
      </c>
      <c r="E1113" s="14" t="s">
        <v>169</v>
      </c>
      <c r="F1113" s="14" t="s">
        <v>164</v>
      </c>
      <c r="G1113" s="14" t="n">
        <v>2</v>
      </c>
      <c r="H1113" s="14" t="s">
        <v>153</v>
      </c>
      <c r="I1113" s="14" t="s">
        <v>811</v>
      </c>
      <c r="J1113" s="15" t="n">
        <f aca="false">IF(B1113="SITE LOSS",IF(D1113=C1113,1,0),IF(B1113="REGION LOSS",IF(E1113=C1113,1,0),0))</f>
        <v>0</v>
      </c>
      <c r="K1113" s="15" t="n">
        <f aca="false">IF(B1113="SITE LOSS",IF(COUNTIFS('Site Dockets'!$B$7:$B$24,C1113,'Site Dockets'!$C$7:$C$24,F1113)&gt;0,1,0),IF(B1113="REGION LOSS",IF(COUNTIFS('Site Dockets'!$E$7:$E$24,C1113,'Site Dockets'!$C$7:$C$24,F1113)&gt;0,1,0),0))</f>
        <v>0</v>
      </c>
      <c r="L1113" s="15" t="n">
        <f aca="false">IF(J1113=1,0,Inputs!$B$11)</f>
        <v>100</v>
      </c>
      <c r="M1113" s="15" t="n">
        <f aca="false">IF(J1113=1,0,Inputs!$B$12)</f>
        <v>75</v>
      </c>
      <c r="N1113" s="15" t="n">
        <f aca="false">IF(J1113=1,0,IF(OR(AND(OR(B1113="SITE LOSS",B1113="REGION LOSS"),K1113=1),AND(B1113="ROLE COMPROMISE",H1113=C1113)),Inputs!$B$13,Inputs!$B$14))</f>
        <v>10</v>
      </c>
      <c r="O1113" s="15" t="n">
        <f aca="false">IF(J1113=1,0,Inputs!$B$13)</f>
        <v>20</v>
      </c>
      <c r="P1113" s="15" t="n">
        <f aca="false">SUM(M1113:N1113)</f>
        <v>85</v>
      </c>
      <c r="Q1113" s="15" t="n">
        <f aca="false">IF(J1113=1,"",L1113-P1113)</f>
        <v>15</v>
      </c>
      <c r="R1113" s="15" t="n">
        <f aca="false">IF(OR(J1113=1,M1113&lt;=Inputs!$B$12),1,0)</f>
        <v>1</v>
      </c>
      <c r="S1113" s="15" t="n">
        <f aca="false">IF(OR(J1113=1,N1113&lt;=O1113),1,0)</f>
        <v>1</v>
      </c>
      <c r="T1113" s="15" t="str">
        <f aca="false">IF(J1113=1,"OFFLINE",IF(AND(Q1113&gt;=Inputs!$B$15,R1113=1,S1113=1,P1113&lt;=L1113),"PASS","FAIL"))</f>
        <v>PASS</v>
      </c>
    </row>
    <row r="1114" customFormat="false" ht="15" hidden="false" customHeight="false" outlineLevel="0" collapsed="false">
      <c r="A1114" s="14" t="s">
        <v>1029</v>
      </c>
      <c r="B1114" s="14" t="s">
        <v>1019</v>
      </c>
      <c r="C1114" s="14" t="s">
        <v>186</v>
      </c>
      <c r="D1114" s="14" t="s">
        <v>168</v>
      </c>
      <c r="E1114" s="14" t="s">
        <v>169</v>
      </c>
      <c r="F1114" s="14" t="s">
        <v>164</v>
      </c>
      <c r="G1114" s="14" t="n">
        <v>2</v>
      </c>
      <c r="H1114" s="14" t="s">
        <v>153</v>
      </c>
      <c r="I1114" s="14" t="s">
        <v>895</v>
      </c>
      <c r="J1114" s="15" t="n">
        <f aca="false">IF(B1114="SITE LOSS",IF(D1114=C1114,1,0),IF(B1114="REGION LOSS",IF(E1114=C1114,1,0),0))</f>
        <v>0</v>
      </c>
      <c r="K1114" s="15" t="n">
        <f aca="false">IF(B1114="SITE LOSS",IF(COUNTIFS('Site Dockets'!$B$7:$B$24,C1114,'Site Dockets'!$C$7:$C$24,F1114)&gt;0,1,0),IF(B1114="REGION LOSS",IF(COUNTIFS('Site Dockets'!$E$7:$E$24,C1114,'Site Dockets'!$C$7:$C$24,F1114)&gt;0,1,0),0))</f>
        <v>0</v>
      </c>
      <c r="L1114" s="15" t="n">
        <f aca="false">IF(J1114=1,0,Inputs!$B$11)</f>
        <v>100</v>
      </c>
      <c r="M1114" s="15" t="n">
        <f aca="false">IF(J1114=1,0,Inputs!$B$12)</f>
        <v>75</v>
      </c>
      <c r="N1114" s="15" t="n">
        <f aca="false">IF(J1114=1,0,IF(OR(AND(OR(B1114="SITE LOSS",B1114="REGION LOSS"),K1114=1),AND(B1114="ROLE COMPROMISE",H1114=C1114)),Inputs!$B$13,Inputs!$B$14))</f>
        <v>10</v>
      </c>
      <c r="O1114" s="15" t="n">
        <f aca="false">IF(J1114=1,0,Inputs!$B$13)</f>
        <v>20</v>
      </c>
      <c r="P1114" s="15" t="n">
        <f aca="false">SUM(M1114:N1114)</f>
        <v>85</v>
      </c>
      <c r="Q1114" s="15" t="n">
        <f aca="false">IF(J1114=1,"",L1114-P1114)</f>
        <v>15</v>
      </c>
      <c r="R1114" s="15" t="n">
        <f aca="false">IF(OR(J1114=1,M1114&lt;=Inputs!$B$12),1,0)</f>
        <v>1</v>
      </c>
      <c r="S1114" s="15" t="n">
        <f aca="false">IF(OR(J1114=1,N1114&lt;=O1114),1,0)</f>
        <v>1</v>
      </c>
      <c r="T1114" s="15" t="str">
        <f aca="false">IF(J1114=1,"OFFLINE",IF(AND(Q1114&gt;=Inputs!$B$15,R1114=1,S1114=1,P1114&lt;=L1114),"PASS","FAIL"))</f>
        <v>PASS</v>
      </c>
    </row>
    <row r="1115" customFormat="false" ht="15" hidden="false" customHeight="false" outlineLevel="0" collapsed="false">
      <c r="A1115" s="14" t="s">
        <v>1029</v>
      </c>
      <c r="B1115" s="14" t="s">
        <v>1019</v>
      </c>
      <c r="C1115" s="14" t="s">
        <v>186</v>
      </c>
      <c r="D1115" s="14" t="s">
        <v>168</v>
      </c>
      <c r="E1115" s="14" t="s">
        <v>169</v>
      </c>
      <c r="F1115" s="14" t="s">
        <v>164</v>
      </c>
      <c r="G1115" s="14" t="n">
        <v>2</v>
      </c>
      <c r="H1115" s="14" t="s">
        <v>153</v>
      </c>
      <c r="I1115" s="14" t="s">
        <v>897</v>
      </c>
      <c r="J1115" s="15" t="n">
        <f aca="false">IF(B1115="SITE LOSS",IF(D1115=C1115,1,0),IF(B1115="REGION LOSS",IF(E1115=C1115,1,0),0))</f>
        <v>0</v>
      </c>
      <c r="K1115" s="15" t="n">
        <f aca="false">IF(B1115="SITE LOSS",IF(COUNTIFS('Site Dockets'!$B$7:$B$24,C1115,'Site Dockets'!$C$7:$C$24,F1115)&gt;0,1,0),IF(B1115="REGION LOSS",IF(COUNTIFS('Site Dockets'!$E$7:$E$24,C1115,'Site Dockets'!$C$7:$C$24,F1115)&gt;0,1,0),0))</f>
        <v>0</v>
      </c>
      <c r="L1115" s="15" t="n">
        <f aca="false">IF(J1115=1,0,Inputs!$B$11)</f>
        <v>100</v>
      </c>
      <c r="M1115" s="15" t="n">
        <f aca="false">IF(J1115=1,0,Inputs!$B$12)</f>
        <v>75</v>
      </c>
      <c r="N1115" s="15" t="n">
        <f aca="false">IF(J1115=1,0,IF(OR(AND(OR(B1115="SITE LOSS",B1115="REGION LOSS"),K1115=1),AND(B1115="ROLE COMPROMISE",H1115=C1115)),Inputs!$B$13,Inputs!$B$14))</f>
        <v>10</v>
      </c>
      <c r="O1115" s="15" t="n">
        <f aca="false">IF(J1115=1,0,Inputs!$B$13)</f>
        <v>20</v>
      </c>
      <c r="P1115" s="15" t="n">
        <f aca="false">SUM(M1115:N1115)</f>
        <v>85</v>
      </c>
      <c r="Q1115" s="15" t="n">
        <f aca="false">IF(J1115=1,"",L1115-P1115)</f>
        <v>15</v>
      </c>
      <c r="R1115" s="15" t="n">
        <f aca="false">IF(OR(J1115=1,M1115&lt;=Inputs!$B$12),1,0)</f>
        <v>1</v>
      </c>
      <c r="S1115" s="15" t="n">
        <f aca="false">IF(OR(J1115=1,N1115&lt;=O1115),1,0)</f>
        <v>1</v>
      </c>
      <c r="T1115" s="15" t="str">
        <f aca="false">IF(J1115=1,"OFFLINE",IF(AND(Q1115&gt;=Inputs!$B$15,R1115=1,S1115=1,P1115&lt;=L1115),"PASS","FAIL"))</f>
        <v>PASS</v>
      </c>
    </row>
    <row r="1116" customFormat="false" ht="15" hidden="false" customHeight="false" outlineLevel="0" collapsed="false">
      <c r="A1116" s="14" t="s">
        <v>1029</v>
      </c>
      <c r="B1116" s="14" t="s">
        <v>1019</v>
      </c>
      <c r="C1116" s="14" t="s">
        <v>186</v>
      </c>
      <c r="D1116" s="14" t="s">
        <v>168</v>
      </c>
      <c r="E1116" s="14" t="s">
        <v>169</v>
      </c>
      <c r="F1116" s="14" t="s">
        <v>164</v>
      </c>
      <c r="G1116" s="14" t="n">
        <v>2</v>
      </c>
      <c r="H1116" s="14" t="s">
        <v>153</v>
      </c>
      <c r="I1116" s="14" t="s">
        <v>899</v>
      </c>
      <c r="J1116" s="15" t="n">
        <f aca="false">IF(B1116="SITE LOSS",IF(D1116=C1116,1,0),IF(B1116="REGION LOSS",IF(E1116=C1116,1,0),0))</f>
        <v>0</v>
      </c>
      <c r="K1116" s="15" t="n">
        <f aca="false">IF(B1116="SITE LOSS",IF(COUNTIFS('Site Dockets'!$B$7:$B$24,C1116,'Site Dockets'!$C$7:$C$24,F1116)&gt;0,1,0),IF(B1116="REGION LOSS",IF(COUNTIFS('Site Dockets'!$E$7:$E$24,C1116,'Site Dockets'!$C$7:$C$24,F1116)&gt;0,1,0),0))</f>
        <v>0</v>
      </c>
      <c r="L1116" s="15" t="n">
        <f aca="false">IF(J1116=1,0,Inputs!$B$11)</f>
        <v>100</v>
      </c>
      <c r="M1116" s="15" t="n">
        <f aca="false">IF(J1116=1,0,Inputs!$B$12)</f>
        <v>75</v>
      </c>
      <c r="N1116" s="15" t="n">
        <f aca="false">IF(J1116=1,0,IF(OR(AND(OR(B1116="SITE LOSS",B1116="REGION LOSS"),K1116=1),AND(B1116="ROLE COMPROMISE",H1116=C1116)),Inputs!$B$13,Inputs!$B$14))</f>
        <v>10</v>
      </c>
      <c r="O1116" s="15" t="n">
        <f aca="false">IF(J1116=1,0,Inputs!$B$13)</f>
        <v>20</v>
      </c>
      <c r="P1116" s="15" t="n">
        <f aca="false">SUM(M1116:N1116)</f>
        <v>85</v>
      </c>
      <c r="Q1116" s="15" t="n">
        <f aca="false">IF(J1116=1,"",L1116-P1116)</f>
        <v>15</v>
      </c>
      <c r="R1116" s="15" t="n">
        <f aca="false">IF(OR(J1116=1,M1116&lt;=Inputs!$B$12),1,0)</f>
        <v>1</v>
      </c>
      <c r="S1116" s="15" t="n">
        <f aca="false">IF(OR(J1116=1,N1116&lt;=O1116),1,0)</f>
        <v>1</v>
      </c>
      <c r="T1116" s="15" t="str">
        <f aca="false">IF(J1116=1,"OFFLINE",IF(AND(Q1116&gt;=Inputs!$B$15,R1116=1,S1116=1,P1116&lt;=L1116),"PASS","FAIL"))</f>
        <v>PASS</v>
      </c>
    </row>
    <row r="1117" customFormat="false" ht="15" hidden="false" customHeight="false" outlineLevel="0" collapsed="false">
      <c r="A1117" s="14" t="s">
        <v>1029</v>
      </c>
      <c r="B1117" s="14" t="s">
        <v>1019</v>
      </c>
      <c r="C1117" s="14" t="s">
        <v>186</v>
      </c>
      <c r="D1117" s="14" t="s">
        <v>171</v>
      </c>
      <c r="E1117" s="14" t="s">
        <v>172</v>
      </c>
      <c r="F1117" s="14" t="s">
        <v>164</v>
      </c>
      <c r="G1117" s="14" t="n">
        <v>3</v>
      </c>
      <c r="H1117" s="14" t="s">
        <v>158</v>
      </c>
      <c r="I1117" s="14" t="s">
        <v>890</v>
      </c>
      <c r="J1117" s="15" t="n">
        <f aca="false">IF(B1117="SITE LOSS",IF(D1117=C1117,1,0),IF(B1117="REGION LOSS",IF(E1117=C1117,1,0),0))</f>
        <v>0</v>
      </c>
      <c r="K1117" s="15" t="n">
        <f aca="false">IF(B1117="SITE LOSS",IF(COUNTIFS('Site Dockets'!$B$7:$B$24,C1117,'Site Dockets'!$C$7:$C$24,F1117)&gt;0,1,0),IF(B1117="REGION LOSS",IF(COUNTIFS('Site Dockets'!$E$7:$E$24,C1117,'Site Dockets'!$C$7:$C$24,F1117)&gt;0,1,0),0))</f>
        <v>0</v>
      </c>
      <c r="L1117" s="15" t="n">
        <f aca="false">IF(J1117=1,0,Inputs!$B$11)</f>
        <v>100</v>
      </c>
      <c r="M1117" s="15" t="n">
        <f aca="false">IF(J1117=1,0,Inputs!$B$12)</f>
        <v>75</v>
      </c>
      <c r="N1117" s="15" t="n">
        <f aca="false">IF(J1117=1,0,IF(OR(AND(OR(B1117="SITE LOSS",B1117="REGION LOSS"),K1117=1),AND(B1117="ROLE COMPROMISE",H1117=C1117)),Inputs!$B$13,Inputs!$B$14))</f>
        <v>10</v>
      </c>
      <c r="O1117" s="15" t="n">
        <f aca="false">IF(J1117=1,0,Inputs!$B$13)</f>
        <v>20</v>
      </c>
      <c r="P1117" s="15" t="n">
        <f aca="false">SUM(M1117:N1117)</f>
        <v>85</v>
      </c>
      <c r="Q1117" s="15" t="n">
        <f aca="false">IF(J1117=1,"",L1117-P1117)</f>
        <v>15</v>
      </c>
      <c r="R1117" s="15" t="n">
        <f aca="false">IF(OR(J1117=1,M1117&lt;=Inputs!$B$12),1,0)</f>
        <v>1</v>
      </c>
      <c r="S1117" s="15" t="n">
        <f aca="false">IF(OR(J1117=1,N1117&lt;=O1117),1,0)</f>
        <v>1</v>
      </c>
      <c r="T1117" s="15" t="str">
        <f aca="false">IF(J1117=1,"OFFLINE",IF(AND(Q1117&gt;=Inputs!$B$15,R1117=1,S1117=1,P1117&lt;=L1117),"PASS","FAIL"))</f>
        <v>PASS</v>
      </c>
    </row>
    <row r="1118" customFormat="false" ht="15" hidden="false" customHeight="false" outlineLevel="0" collapsed="false">
      <c r="A1118" s="14" t="s">
        <v>1029</v>
      </c>
      <c r="B1118" s="14" t="s">
        <v>1019</v>
      </c>
      <c r="C1118" s="14" t="s">
        <v>186</v>
      </c>
      <c r="D1118" s="14" t="s">
        <v>171</v>
      </c>
      <c r="E1118" s="14" t="s">
        <v>172</v>
      </c>
      <c r="F1118" s="14" t="s">
        <v>164</v>
      </c>
      <c r="G1118" s="14" t="n">
        <v>3</v>
      </c>
      <c r="H1118" s="14" t="s">
        <v>158</v>
      </c>
      <c r="I1118" s="14" t="s">
        <v>892</v>
      </c>
      <c r="J1118" s="15" t="n">
        <f aca="false">IF(B1118="SITE LOSS",IF(D1118=C1118,1,0),IF(B1118="REGION LOSS",IF(E1118=C1118,1,0),0))</f>
        <v>0</v>
      </c>
      <c r="K1118" s="15" t="n">
        <f aca="false">IF(B1118="SITE LOSS",IF(COUNTIFS('Site Dockets'!$B$7:$B$24,C1118,'Site Dockets'!$C$7:$C$24,F1118)&gt;0,1,0),IF(B1118="REGION LOSS",IF(COUNTIFS('Site Dockets'!$E$7:$E$24,C1118,'Site Dockets'!$C$7:$C$24,F1118)&gt;0,1,0),0))</f>
        <v>0</v>
      </c>
      <c r="L1118" s="15" t="n">
        <f aca="false">IF(J1118=1,0,Inputs!$B$11)</f>
        <v>100</v>
      </c>
      <c r="M1118" s="15" t="n">
        <f aca="false">IF(J1118=1,0,Inputs!$B$12)</f>
        <v>75</v>
      </c>
      <c r="N1118" s="15" t="n">
        <f aca="false">IF(J1118=1,0,IF(OR(AND(OR(B1118="SITE LOSS",B1118="REGION LOSS"),K1118=1),AND(B1118="ROLE COMPROMISE",H1118=C1118)),Inputs!$B$13,Inputs!$B$14))</f>
        <v>10</v>
      </c>
      <c r="O1118" s="15" t="n">
        <f aca="false">IF(J1118=1,0,Inputs!$B$13)</f>
        <v>20</v>
      </c>
      <c r="P1118" s="15" t="n">
        <f aca="false">SUM(M1118:N1118)</f>
        <v>85</v>
      </c>
      <c r="Q1118" s="15" t="n">
        <f aca="false">IF(J1118=1,"",L1118-P1118)</f>
        <v>15</v>
      </c>
      <c r="R1118" s="15" t="n">
        <f aca="false">IF(OR(J1118=1,M1118&lt;=Inputs!$B$12),1,0)</f>
        <v>1</v>
      </c>
      <c r="S1118" s="15" t="n">
        <f aca="false">IF(OR(J1118=1,N1118&lt;=O1118),1,0)</f>
        <v>1</v>
      </c>
      <c r="T1118" s="15" t="str">
        <f aca="false">IF(J1118=1,"OFFLINE",IF(AND(Q1118&gt;=Inputs!$B$15,R1118=1,S1118=1,P1118&lt;=L1118),"PASS","FAIL"))</f>
        <v>PASS</v>
      </c>
    </row>
    <row r="1119" customFormat="false" ht="15" hidden="false" customHeight="false" outlineLevel="0" collapsed="false">
      <c r="A1119" s="14" t="s">
        <v>1029</v>
      </c>
      <c r="B1119" s="14" t="s">
        <v>1019</v>
      </c>
      <c r="C1119" s="14" t="s">
        <v>186</v>
      </c>
      <c r="D1119" s="14" t="s">
        <v>171</v>
      </c>
      <c r="E1119" s="14" t="s">
        <v>172</v>
      </c>
      <c r="F1119" s="14" t="s">
        <v>164</v>
      </c>
      <c r="G1119" s="14" t="n">
        <v>3</v>
      </c>
      <c r="H1119" s="14" t="s">
        <v>158</v>
      </c>
      <c r="I1119" s="14" t="s">
        <v>811</v>
      </c>
      <c r="J1119" s="15" t="n">
        <f aca="false">IF(B1119="SITE LOSS",IF(D1119=C1119,1,0),IF(B1119="REGION LOSS",IF(E1119=C1119,1,0),0))</f>
        <v>0</v>
      </c>
      <c r="K1119" s="15" t="n">
        <f aca="false">IF(B1119="SITE LOSS",IF(COUNTIFS('Site Dockets'!$B$7:$B$24,C1119,'Site Dockets'!$C$7:$C$24,F1119)&gt;0,1,0),IF(B1119="REGION LOSS",IF(COUNTIFS('Site Dockets'!$E$7:$E$24,C1119,'Site Dockets'!$C$7:$C$24,F1119)&gt;0,1,0),0))</f>
        <v>0</v>
      </c>
      <c r="L1119" s="15" t="n">
        <f aca="false">IF(J1119=1,0,Inputs!$B$11)</f>
        <v>100</v>
      </c>
      <c r="M1119" s="15" t="n">
        <f aca="false">IF(J1119=1,0,Inputs!$B$12)</f>
        <v>75</v>
      </c>
      <c r="N1119" s="15" t="n">
        <f aca="false">IF(J1119=1,0,IF(OR(AND(OR(B1119="SITE LOSS",B1119="REGION LOSS"),K1119=1),AND(B1119="ROLE COMPROMISE",H1119=C1119)),Inputs!$B$13,Inputs!$B$14))</f>
        <v>10</v>
      </c>
      <c r="O1119" s="15" t="n">
        <f aca="false">IF(J1119=1,0,Inputs!$B$13)</f>
        <v>20</v>
      </c>
      <c r="P1119" s="15" t="n">
        <f aca="false">SUM(M1119:N1119)</f>
        <v>85</v>
      </c>
      <c r="Q1119" s="15" t="n">
        <f aca="false">IF(J1119=1,"",L1119-P1119)</f>
        <v>15</v>
      </c>
      <c r="R1119" s="15" t="n">
        <f aca="false">IF(OR(J1119=1,M1119&lt;=Inputs!$B$12),1,0)</f>
        <v>1</v>
      </c>
      <c r="S1119" s="15" t="n">
        <f aca="false">IF(OR(J1119=1,N1119&lt;=O1119),1,0)</f>
        <v>1</v>
      </c>
      <c r="T1119" s="15" t="str">
        <f aca="false">IF(J1119=1,"OFFLINE",IF(AND(Q1119&gt;=Inputs!$B$15,R1119=1,S1119=1,P1119&lt;=L1119),"PASS","FAIL"))</f>
        <v>PASS</v>
      </c>
    </row>
    <row r="1120" customFormat="false" ht="15" hidden="false" customHeight="false" outlineLevel="0" collapsed="false">
      <c r="A1120" s="14" t="s">
        <v>1029</v>
      </c>
      <c r="B1120" s="14" t="s">
        <v>1019</v>
      </c>
      <c r="C1120" s="14" t="s">
        <v>186</v>
      </c>
      <c r="D1120" s="14" t="s">
        <v>171</v>
      </c>
      <c r="E1120" s="14" t="s">
        <v>172</v>
      </c>
      <c r="F1120" s="14" t="s">
        <v>164</v>
      </c>
      <c r="G1120" s="14" t="n">
        <v>3</v>
      </c>
      <c r="H1120" s="14" t="s">
        <v>158</v>
      </c>
      <c r="I1120" s="14" t="s">
        <v>895</v>
      </c>
      <c r="J1120" s="15" t="n">
        <f aca="false">IF(B1120="SITE LOSS",IF(D1120=C1120,1,0),IF(B1120="REGION LOSS",IF(E1120=C1120,1,0),0))</f>
        <v>0</v>
      </c>
      <c r="K1120" s="15" t="n">
        <f aca="false">IF(B1120="SITE LOSS",IF(COUNTIFS('Site Dockets'!$B$7:$B$24,C1120,'Site Dockets'!$C$7:$C$24,F1120)&gt;0,1,0),IF(B1120="REGION LOSS",IF(COUNTIFS('Site Dockets'!$E$7:$E$24,C1120,'Site Dockets'!$C$7:$C$24,F1120)&gt;0,1,0),0))</f>
        <v>0</v>
      </c>
      <c r="L1120" s="15" t="n">
        <f aca="false">IF(J1120=1,0,Inputs!$B$11)</f>
        <v>100</v>
      </c>
      <c r="M1120" s="15" t="n">
        <f aca="false">IF(J1120=1,0,Inputs!$B$12)</f>
        <v>75</v>
      </c>
      <c r="N1120" s="15" t="n">
        <f aca="false">IF(J1120=1,0,IF(OR(AND(OR(B1120="SITE LOSS",B1120="REGION LOSS"),K1120=1),AND(B1120="ROLE COMPROMISE",H1120=C1120)),Inputs!$B$13,Inputs!$B$14))</f>
        <v>10</v>
      </c>
      <c r="O1120" s="15" t="n">
        <f aca="false">IF(J1120=1,0,Inputs!$B$13)</f>
        <v>20</v>
      </c>
      <c r="P1120" s="15" t="n">
        <f aca="false">SUM(M1120:N1120)</f>
        <v>85</v>
      </c>
      <c r="Q1120" s="15" t="n">
        <f aca="false">IF(J1120=1,"",L1120-P1120)</f>
        <v>15</v>
      </c>
      <c r="R1120" s="15" t="n">
        <f aca="false">IF(OR(J1120=1,M1120&lt;=Inputs!$B$12),1,0)</f>
        <v>1</v>
      </c>
      <c r="S1120" s="15" t="n">
        <f aca="false">IF(OR(J1120=1,N1120&lt;=O1120),1,0)</f>
        <v>1</v>
      </c>
      <c r="T1120" s="15" t="str">
        <f aca="false">IF(J1120=1,"OFFLINE",IF(AND(Q1120&gt;=Inputs!$B$15,R1120=1,S1120=1,P1120&lt;=L1120),"PASS","FAIL"))</f>
        <v>PASS</v>
      </c>
    </row>
    <row r="1121" customFormat="false" ht="15" hidden="false" customHeight="false" outlineLevel="0" collapsed="false">
      <c r="A1121" s="14" t="s">
        <v>1029</v>
      </c>
      <c r="B1121" s="14" t="s">
        <v>1019</v>
      </c>
      <c r="C1121" s="14" t="s">
        <v>186</v>
      </c>
      <c r="D1121" s="14" t="s">
        <v>171</v>
      </c>
      <c r="E1121" s="14" t="s">
        <v>172</v>
      </c>
      <c r="F1121" s="14" t="s">
        <v>164</v>
      </c>
      <c r="G1121" s="14" t="n">
        <v>3</v>
      </c>
      <c r="H1121" s="14" t="s">
        <v>158</v>
      </c>
      <c r="I1121" s="14" t="s">
        <v>897</v>
      </c>
      <c r="J1121" s="15" t="n">
        <f aca="false">IF(B1121="SITE LOSS",IF(D1121=C1121,1,0),IF(B1121="REGION LOSS",IF(E1121=C1121,1,0),0))</f>
        <v>0</v>
      </c>
      <c r="K1121" s="15" t="n">
        <f aca="false">IF(B1121="SITE LOSS",IF(COUNTIFS('Site Dockets'!$B$7:$B$24,C1121,'Site Dockets'!$C$7:$C$24,F1121)&gt;0,1,0),IF(B1121="REGION LOSS",IF(COUNTIFS('Site Dockets'!$E$7:$E$24,C1121,'Site Dockets'!$C$7:$C$24,F1121)&gt;0,1,0),0))</f>
        <v>0</v>
      </c>
      <c r="L1121" s="15" t="n">
        <f aca="false">IF(J1121=1,0,Inputs!$B$11)</f>
        <v>100</v>
      </c>
      <c r="M1121" s="15" t="n">
        <f aca="false">IF(J1121=1,0,Inputs!$B$12)</f>
        <v>75</v>
      </c>
      <c r="N1121" s="15" t="n">
        <f aca="false">IF(J1121=1,0,IF(OR(AND(OR(B1121="SITE LOSS",B1121="REGION LOSS"),K1121=1),AND(B1121="ROLE COMPROMISE",H1121=C1121)),Inputs!$B$13,Inputs!$B$14))</f>
        <v>10</v>
      </c>
      <c r="O1121" s="15" t="n">
        <f aca="false">IF(J1121=1,0,Inputs!$B$13)</f>
        <v>20</v>
      </c>
      <c r="P1121" s="15" t="n">
        <f aca="false">SUM(M1121:N1121)</f>
        <v>85</v>
      </c>
      <c r="Q1121" s="15" t="n">
        <f aca="false">IF(J1121=1,"",L1121-P1121)</f>
        <v>15</v>
      </c>
      <c r="R1121" s="15" t="n">
        <f aca="false">IF(OR(J1121=1,M1121&lt;=Inputs!$B$12),1,0)</f>
        <v>1</v>
      </c>
      <c r="S1121" s="15" t="n">
        <f aca="false">IF(OR(J1121=1,N1121&lt;=O1121),1,0)</f>
        <v>1</v>
      </c>
      <c r="T1121" s="15" t="str">
        <f aca="false">IF(J1121=1,"OFFLINE",IF(AND(Q1121&gt;=Inputs!$B$15,R1121=1,S1121=1,P1121&lt;=L1121),"PASS","FAIL"))</f>
        <v>PASS</v>
      </c>
    </row>
    <row r="1122" customFormat="false" ht="15" hidden="false" customHeight="false" outlineLevel="0" collapsed="false">
      <c r="A1122" s="14" t="s">
        <v>1029</v>
      </c>
      <c r="B1122" s="14" t="s">
        <v>1019</v>
      </c>
      <c r="C1122" s="14" t="s">
        <v>186</v>
      </c>
      <c r="D1122" s="14" t="s">
        <v>171</v>
      </c>
      <c r="E1122" s="14" t="s">
        <v>172</v>
      </c>
      <c r="F1122" s="14" t="s">
        <v>164</v>
      </c>
      <c r="G1122" s="14" t="n">
        <v>3</v>
      </c>
      <c r="H1122" s="14" t="s">
        <v>158</v>
      </c>
      <c r="I1122" s="14" t="s">
        <v>899</v>
      </c>
      <c r="J1122" s="15" t="n">
        <f aca="false">IF(B1122="SITE LOSS",IF(D1122=C1122,1,0),IF(B1122="REGION LOSS",IF(E1122=C1122,1,0),0))</f>
        <v>0</v>
      </c>
      <c r="K1122" s="15" t="n">
        <f aca="false">IF(B1122="SITE LOSS",IF(COUNTIFS('Site Dockets'!$B$7:$B$24,C1122,'Site Dockets'!$C$7:$C$24,F1122)&gt;0,1,0),IF(B1122="REGION LOSS",IF(COUNTIFS('Site Dockets'!$E$7:$E$24,C1122,'Site Dockets'!$C$7:$C$24,F1122)&gt;0,1,0),0))</f>
        <v>0</v>
      </c>
      <c r="L1122" s="15" t="n">
        <f aca="false">IF(J1122=1,0,Inputs!$B$11)</f>
        <v>100</v>
      </c>
      <c r="M1122" s="15" t="n">
        <f aca="false">IF(J1122=1,0,Inputs!$B$12)</f>
        <v>75</v>
      </c>
      <c r="N1122" s="15" t="n">
        <f aca="false">IF(J1122=1,0,IF(OR(AND(OR(B1122="SITE LOSS",B1122="REGION LOSS"),K1122=1),AND(B1122="ROLE COMPROMISE",H1122=C1122)),Inputs!$B$13,Inputs!$B$14))</f>
        <v>10</v>
      </c>
      <c r="O1122" s="15" t="n">
        <f aca="false">IF(J1122=1,0,Inputs!$B$13)</f>
        <v>20</v>
      </c>
      <c r="P1122" s="15" t="n">
        <f aca="false">SUM(M1122:N1122)</f>
        <v>85</v>
      </c>
      <c r="Q1122" s="15" t="n">
        <f aca="false">IF(J1122=1,"",L1122-P1122)</f>
        <v>15</v>
      </c>
      <c r="R1122" s="15" t="n">
        <f aca="false">IF(OR(J1122=1,M1122&lt;=Inputs!$B$12),1,0)</f>
        <v>1</v>
      </c>
      <c r="S1122" s="15" t="n">
        <f aca="false">IF(OR(J1122=1,N1122&lt;=O1122),1,0)</f>
        <v>1</v>
      </c>
      <c r="T1122" s="15" t="str">
        <f aca="false">IF(J1122=1,"OFFLINE",IF(AND(Q1122&gt;=Inputs!$B$15,R1122=1,S1122=1,P1122&lt;=L1122),"PASS","FAIL"))</f>
        <v>PASS</v>
      </c>
    </row>
    <row r="1123" customFormat="false" ht="15" hidden="false" customHeight="false" outlineLevel="0" collapsed="false">
      <c r="A1123" s="14" t="s">
        <v>1029</v>
      </c>
      <c r="B1123" s="14" t="s">
        <v>1019</v>
      </c>
      <c r="C1123" s="14" t="s">
        <v>186</v>
      </c>
      <c r="D1123" s="14" t="s">
        <v>174</v>
      </c>
      <c r="E1123" s="14" t="s">
        <v>152</v>
      </c>
      <c r="F1123" s="14" t="s">
        <v>175</v>
      </c>
      <c r="G1123" s="14" t="n">
        <v>1</v>
      </c>
      <c r="H1123" s="14" t="s">
        <v>154</v>
      </c>
      <c r="I1123" s="14" t="s">
        <v>890</v>
      </c>
      <c r="J1123" s="15" t="n">
        <f aca="false">IF(B1123="SITE LOSS",IF(D1123=C1123,1,0),IF(B1123="REGION LOSS",IF(E1123=C1123,1,0),0))</f>
        <v>0</v>
      </c>
      <c r="K1123" s="15" t="n">
        <f aca="false">IF(B1123="SITE LOSS",IF(COUNTIFS('Site Dockets'!$B$7:$B$24,C1123,'Site Dockets'!$C$7:$C$24,F1123)&gt;0,1,0),IF(B1123="REGION LOSS",IF(COUNTIFS('Site Dockets'!$E$7:$E$24,C1123,'Site Dockets'!$C$7:$C$24,F1123)&gt;0,1,0),0))</f>
        <v>0</v>
      </c>
      <c r="L1123" s="15" t="n">
        <f aca="false">IF(J1123=1,0,Inputs!$B$11)</f>
        <v>100</v>
      </c>
      <c r="M1123" s="15" t="n">
        <f aca="false">IF(J1123=1,0,Inputs!$B$12)</f>
        <v>75</v>
      </c>
      <c r="N1123" s="15" t="n">
        <f aca="false">IF(J1123=1,0,IF(OR(AND(OR(B1123="SITE LOSS",B1123="REGION LOSS"),K1123=1),AND(B1123="ROLE COMPROMISE",H1123=C1123)),Inputs!$B$13,Inputs!$B$14))</f>
        <v>10</v>
      </c>
      <c r="O1123" s="15" t="n">
        <f aca="false">IF(J1123=1,0,Inputs!$B$13)</f>
        <v>20</v>
      </c>
      <c r="P1123" s="15" t="n">
        <f aca="false">SUM(M1123:N1123)</f>
        <v>85</v>
      </c>
      <c r="Q1123" s="15" t="n">
        <f aca="false">IF(J1123=1,"",L1123-P1123)</f>
        <v>15</v>
      </c>
      <c r="R1123" s="15" t="n">
        <f aca="false">IF(OR(J1123=1,M1123&lt;=Inputs!$B$12),1,0)</f>
        <v>1</v>
      </c>
      <c r="S1123" s="15" t="n">
        <f aca="false">IF(OR(J1123=1,N1123&lt;=O1123),1,0)</f>
        <v>1</v>
      </c>
      <c r="T1123" s="15" t="str">
        <f aca="false">IF(J1123=1,"OFFLINE",IF(AND(Q1123&gt;=Inputs!$B$15,R1123=1,S1123=1,P1123&lt;=L1123),"PASS","FAIL"))</f>
        <v>PASS</v>
      </c>
    </row>
    <row r="1124" customFormat="false" ht="15" hidden="false" customHeight="false" outlineLevel="0" collapsed="false">
      <c r="A1124" s="14" t="s">
        <v>1029</v>
      </c>
      <c r="B1124" s="14" t="s">
        <v>1019</v>
      </c>
      <c r="C1124" s="14" t="s">
        <v>186</v>
      </c>
      <c r="D1124" s="14" t="s">
        <v>174</v>
      </c>
      <c r="E1124" s="14" t="s">
        <v>152</v>
      </c>
      <c r="F1124" s="14" t="s">
        <v>175</v>
      </c>
      <c r="G1124" s="14" t="n">
        <v>1</v>
      </c>
      <c r="H1124" s="14" t="s">
        <v>154</v>
      </c>
      <c r="I1124" s="14" t="s">
        <v>892</v>
      </c>
      <c r="J1124" s="15" t="n">
        <f aca="false">IF(B1124="SITE LOSS",IF(D1124=C1124,1,0),IF(B1124="REGION LOSS",IF(E1124=C1124,1,0),0))</f>
        <v>0</v>
      </c>
      <c r="K1124" s="15" t="n">
        <f aca="false">IF(B1124="SITE LOSS",IF(COUNTIFS('Site Dockets'!$B$7:$B$24,C1124,'Site Dockets'!$C$7:$C$24,F1124)&gt;0,1,0),IF(B1124="REGION LOSS",IF(COUNTIFS('Site Dockets'!$E$7:$E$24,C1124,'Site Dockets'!$C$7:$C$24,F1124)&gt;0,1,0),0))</f>
        <v>0</v>
      </c>
      <c r="L1124" s="15" t="n">
        <f aca="false">IF(J1124=1,0,Inputs!$B$11)</f>
        <v>100</v>
      </c>
      <c r="M1124" s="15" t="n">
        <f aca="false">IF(J1124=1,0,Inputs!$B$12)</f>
        <v>75</v>
      </c>
      <c r="N1124" s="15" t="n">
        <f aca="false">IF(J1124=1,0,IF(OR(AND(OR(B1124="SITE LOSS",B1124="REGION LOSS"),K1124=1),AND(B1124="ROLE COMPROMISE",H1124=C1124)),Inputs!$B$13,Inputs!$B$14))</f>
        <v>10</v>
      </c>
      <c r="O1124" s="15" t="n">
        <f aca="false">IF(J1124=1,0,Inputs!$B$13)</f>
        <v>20</v>
      </c>
      <c r="P1124" s="15" t="n">
        <f aca="false">SUM(M1124:N1124)</f>
        <v>85</v>
      </c>
      <c r="Q1124" s="15" t="n">
        <f aca="false">IF(J1124=1,"",L1124-P1124)</f>
        <v>15</v>
      </c>
      <c r="R1124" s="15" t="n">
        <f aca="false">IF(OR(J1124=1,M1124&lt;=Inputs!$B$12),1,0)</f>
        <v>1</v>
      </c>
      <c r="S1124" s="15" t="n">
        <f aca="false">IF(OR(J1124=1,N1124&lt;=O1124),1,0)</f>
        <v>1</v>
      </c>
      <c r="T1124" s="15" t="str">
        <f aca="false">IF(J1124=1,"OFFLINE",IF(AND(Q1124&gt;=Inputs!$B$15,R1124=1,S1124=1,P1124&lt;=L1124),"PASS","FAIL"))</f>
        <v>PASS</v>
      </c>
    </row>
    <row r="1125" customFormat="false" ht="15" hidden="false" customHeight="false" outlineLevel="0" collapsed="false">
      <c r="A1125" s="14" t="s">
        <v>1029</v>
      </c>
      <c r="B1125" s="14" t="s">
        <v>1019</v>
      </c>
      <c r="C1125" s="14" t="s">
        <v>186</v>
      </c>
      <c r="D1125" s="14" t="s">
        <v>174</v>
      </c>
      <c r="E1125" s="14" t="s">
        <v>152</v>
      </c>
      <c r="F1125" s="14" t="s">
        <v>175</v>
      </c>
      <c r="G1125" s="14" t="n">
        <v>1</v>
      </c>
      <c r="H1125" s="14" t="s">
        <v>154</v>
      </c>
      <c r="I1125" s="14" t="s">
        <v>811</v>
      </c>
      <c r="J1125" s="15" t="n">
        <f aca="false">IF(B1125="SITE LOSS",IF(D1125=C1125,1,0),IF(B1125="REGION LOSS",IF(E1125=C1125,1,0),0))</f>
        <v>0</v>
      </c>
      <c r="K1125" s="15" t="n">
        <f aca="false">IF(B1125="SITE LOSS",IF(COUNTIFS('Site Dockets'!$B$7:$B$24,C1125,'Site Dockets'!$C$7:$C$24,F1125)&gt;0,1,0),IF(B1125="REGION LOSS",IF(COUNTIFS('Site Dockets'!$E$7:$E$24,C1125,'Site Dockets'!$C$7:$C$24,F1125)&gt;0,1,0),0))</f>
        <v>0</v>
      </c>
      <c r="L1125" s="15" t="n">
        <f aca="false">IF(J1125=1,0,Inputs!$B$11)</f>
        <v>100</v>
      </c>
      <c r="M1125" s="15" t="n">
        <f aca="false">IF(J1125=1,0,Inputs!$B$12)</f>
        <v>75</v>
      </c>
      <c r="N1125" s="15" t="n">
        <f aca="false">IF(J1125=1,0,IF(OR(AND(OR(B1125="SITE LOSS",B1125="REGION LOSS"),K1125=1),AND(B1125="ROLE COMPROMISE",H1125=C1125)),Inputs!$B$13,Inputs!$B$14))</f>
        <v>10</v>
      </c>
      <c r="O1125" s="15" t="n">
        <f aca="false">IF(J1125=1,0,Inputs!$B$13)</f>
        <v>20</v>
      </c>
      <c r="P1125" s="15" t="n">
        <f aca="false">SUM(M1125:N1125)</f>
        <v>85</v>
      </c>
      <c r="Q1125" s="15" t="n">
        <f aca="false">IF(J1125=1,"",L1125-P1125)</f>
        <v>15</v>
      </c>
      <c r="R1125" s="15" t="n">
        <f aca="false">IF(OR(J1125=1,M1125&lt;=Inputs!$B$12),1,0)</f>
        <v>1</v>
      </c>
      <c r="S1125" s="15" t="n">
        <f aca="false">IF(OR(J1125=1,N1125&lt;=O1125),1,0)</f>
        <v>1</v>
      </c>
      <c r="T1125" s="15" t="str">
        <f aca="false">IF(J1125=1,"OFFLINE",IF(AND(Q1125&gt;=Inputs!$B$15,R1125=1,S1125=1,P1125&lt;=L1125),"PASS","FAIL"))</f>
        <v>PASS</v>
      </c>
    </row>
    <row r="1126" customFormat="false" ht="15" hidden="false" customHeight="false" outlineLevel="0" collapsed="false">
      <c r="A1126" s="14" t="s">
        <v>1029</v>
      </c>
      <c r="B1126" s="14" t="s">
        <v>1019</v>
      </c>
      <c r="C1126" s="14" t="s">
        <v>186</v>
      </c>
      <c r="D1126" s="14" t="s">
        <v>174</v>
      </c>
      <c r="E1126" s="14" t="s">
        <v>152</v>
      </c>
      <c r="F1126" s="14" t="s">
        <v>175</v>
      </c>
      <c r="G1126" s="14" t="n">
        <v>1</v>
      </c>
      <c r="H1126" s="14" t="s">
        <v>154</v>
      </c>
      <c r="I1126" s="14" t="s">
        <v>895</v>
      </c>
      <c r="J1126" s="15" t="n">
        <f aca="false">IF(B1126="SITE LOSS",IF(D1126=C1126,1,0),IF(B1126="REGION LOSS",IF(E1126=C1126,1,0),0))</f>
        <v>0</v>
      </c>
      <c r="K1126" s="15" t="n">
        <f aca="false">IF(B1126="SITE LOSS",IF(COUNTIFS('Site Dockets'!$B$7:$B$24,C1126,'Site Dockets'!$C$7:$C$24,F1126)&gt;0,1,0),IF(B1126="REGION LOSS",IF(COUNTIFS('Site Dockets'!$E$7:$E$24,C1126,'Site Dockets'!$C$7:$C$24,F1126)&gt;0,1,0),0))</f>
        <v>0</v>
      </c>
      <c r="L1126" s="15" t="n">
        <f aca="false">IF(J1126=1,0,Inputs!$B$11)</f>
        <v>100</v>
      </c>
      <c r="M1126" s="15" t="n">
        <f aca="false">IF(J1126=1,0,Inputs!$B$12)</f>
        <v>75</v>
      </c>
      <c r="N1126" s="15" t="n">
        <f aca="false">IF(J1126=1,0,IF(OR(AND(OR(B1126="SITE LOSS",B1126="REGION LOSS"),K1126=1),AND(B1126="ROLE COMPROMISE",H1126=C1126)),Inputs!$B$13,Inputs!$B$14))</f>
        <v>10</v>
      </c>
      <c r="O1126" s="15" t="n">
        <f aca="false">IF(J1126=1,0,Inputs!$B$13)</f>
        <v>20</v>
      </c>
      <c r="P1126" s="15" t="n">
        <f aca="false">SUM(M1126:N1126)</f>
        <v>85</v>
      </c>
      <c r="Q1126" s="15" t="n">
        <f aca="false">IF(J1126=1,"",L1126-P1126)</f>
        <v>15</v>
      </c>
      <c r="R1126" s="15" t="n">
        <f aca="false">IF(OR(J1126=1,M1126&lt;=Inputs!$B$12),1,0)</f>
        <v>1</v>
      </c>
      <c r="S1126" s="15" t="n">
        <f aca="false">IF(OR(J1126=1,N1126&lt;=O1126),1,0)</f>
        <v>1</v>
      </c>
      <c r="T1126" s="15" t="str">
        <f aca="false">IF(J1126=1,"OFFLINE",IF(AND(Q1126&gt;=Inputs!$B$15,R1126=1,S1126=1,P1126&lt;=L1126),"PASS","FAIL"))</f>
        <v>PASS</v>
      </c>
    </row>
    <row r="1127" customFormat="false" ht="15" hidden="false" customHeight="false" outlineLevel="0" collapsed="false">
      <c r="A1127" s="14" t="s">
        <v>1029</v>
      </c>
      <c r="B1127" s="14" t="s">
        <v>1019</v>
      </c>
      <c r="C1127" s="14" t="s">
        <v>186</v>
      </c>
      <c r="D1127" s="14" t="s">
        <v>174</v>
      </c>
      <c r="E1127" s="14" t="s">
        <v>152</v>
      </c>
      <c r="F1127" s="14" t="s">
        <v>175</v>
      </c>
      <c r="G1127" s="14" t="n">
        <v>1</v>
      </c>
      <c r="H1127" s="14" t="s">
        <v>154</v>
      </c>
      <c r="I1127" s="14" t="s">
        <v>897</v>
      </c>
      <c r="J1127" s="15" t="n">
        <f aca="false">IF(B1127="SITE LOSS",IF(D1127=C1127,1,0),IF(B1127="REGION LOSS",IF(E1127=C1127,1,0),0))</f>
        <v>0</v>
      </c>
      <c r="K1127" s="15" t="n">
        <f aca="false">IF(B1127="SITE LOSS",IF(COUNTIFS('Site Dockets'!$B$7:$B$24,C1127,'Site Dockets'!$C$7:$C$24,F1127)&gt;0,1,0),IF(B1127="REGION LOSS",IF(COUNTIFS('Site Dockets'!$E$7:$E$24,C1127,'Site Dockets'!$C$7:$C$24,F1127)&gt;0,1,0),0))</f>
        <v>0</v>
      </c>
      <c r="L1127" s="15" t="n">
        <f aca="false">IF(J1127=1,0,Inputs!$B$11)</f>
        <v>100</v>
      </c>
      <c r="M1127" s="15" t="n">
        <f aca="false">IF(J1127=1,0,Inputs!$B$12)</f>
        <v>75</v>
      </c>
      <c r="N1127" s="15" t="n">
        <f aca="false">IF(J1127=1,0,IF(OR(AND(OR(B1127="SITE LOSS",B1127="REGION LOSS"),K1127=1),AND(B1127="ROLE COMPROMISE",H1127=C1127)),Inputs!$B$13,Inputs!$B$14))</f>
        <v>10</v>
      </c>
      <c r="O1127" s="15" t="n">
        <f aca="false">IF(J1127=1,0,Inputs!$B$13)</f>
        <v>20</v>
      </c>
      <c r="P1127" s="15" t="n">
        <f aca="false">SUM(M1127:N1127)</f>
        <v>85</v>
      </c>
      <c r="Q1127" s="15" t="n">
        <f aca="false">IF(J1127=1,"",L1127-P1127)</f>
        <v>15</v>
      </c>
      <c r="R1127" s="15" t="n">
        <f aca="false">IF(OR(J1127=1,M1127&lt;=Inputs!$B$12),1,0)</f>
        <v>1</v>
      </c>
      <c r="S1127" s="15" t="n">
        <f aca="false">IF(OR(J1127=1,N1127&lt;=O1127),1,0)</f>
        <v>1</v>
      </c>
      <c r="T1127" s="15" t="str">
        <f aca="false">IF(J1127=1,"OFFLINE",IF(AND(Q1127&gt;=Inputs!$B$15,R1127=1,S1127=1,P1127&lt;=L1127),"PASS","FAIL"))</f>
        <v>PASS</v>
      </c>
    </row>
    <row r="1128" customFormat="false" ht="15" hidden="false" customHeight="false" outlineLevel="0" collapsed="false">
      <c r="A1128" s="14" t="s">
        <v>1029</v>
      </c>
      <c r="B1128" s="14" t="s">
        <v>1019</v>
      </c>
      <c r="C1128" s="14" t="s">
        <v>186</v>
      </c>
      <c r="D1128" s="14" t="s">
        <v>174</v>
      </c>
      <c r="E1128" s="14" t="s">
        <v>152</v>
      </c>
      <c r="F1128" s="14" t="s">
        <v>175</v>
      </c>
      <c r="G1128" s="14" t="n">
        <v>1</v>
      </c>
      <c r="H1128" s="14" t="s">
        <v>154</v>
      </c>
      <c r="I1128" s="14" t="s">
        <v>899</v>
      </c>
      <c r="J1128" s="15" t="n">
        <f aca="false">IF(B1128="SITE LOSS",IF(D1128=C1128,1,0),IF(B1128="REGION LOSS",IF(E1128=C1128,1,0),0))</f>
        <v>0</v>
      </c>
      <c r="K1128" s="15" t="n">
        <f aca="false">IF(B1128="SITE LOSS",IF(COUNTIFS('Site Dockets'!$B$7:$B$24,C1128,'Site Dockets'!$C$7:$C$24,F1128)&gt;0,1,0),IF(B1128="REGION LOSS",IF(COUNTIFS('Site Dockets'!$E$7:$E$24,C1128,'Site Dockets'!$C$7:$C$24,F1128)&gt;0,1,0),0))</f>
        <v>0</v>
      </c>
      <c r="L1128" s="15" t="n">
        <f aca="false">IF(J1128=1,0,Inputs!$B$11)</f>
        <v>100</v>
      </c>
      <c r="M1128" s="15" t="n">
        <f aca="false">IF(J1128=1,0,Inputs!$B$12)</f>
        <v>75</v>
      </c>
      <c r="N1128" s="15" t="n">
        <f aca="false">IF(J1128=1,0,IF(OR(AND(OR(B1128="SITE LOSS",B1128="REGION LOSS"),K1128=1),AND(B1128="ROLE COMPROMISE",H1128=C1128)),Inputs!$B$13,Inputs!$B$14))</f>
        <v>10</v>
      </c>
      <c r="O1128" s="15" t="n">
        <f aca="false">IF(J1128=1,0,Inputs!$B$13)</f>
        <v>20</v>
      </c>
      <c r="P1128" s="15" t="n">
        <f aca="false">SUM(M1128:N1128)</f>
        <v>85</v>
      </c>
      <c r="Q1128" s="15" t="n">
        <f aca="false">IF(J1128=1,"",L1128-P1128)</f>
        <v>15</v>
      </c>
      <c r="R1128" s="15" t="n">
        <f aca="false">IF(OR(J1128=1,M1128&lt;=Inputs!$B$12),1,0)</f>
        <v>1</v>
      </c>
      <c r="S1128" s="15" t="n">
        <f aca="false">IF(OR(J1128=1,N1128&lt;=O1128),1,0)</f>
        <v>1</v>
      </c>
      <c r="T1128" s="15" t="str">
        <f aca="false">IF(J1128=1,"OFFLINE",IF(AND(Q1128&gt;=Inputs!$B$15,R1128=1,S1128=1,P1128&lt;=L1128),"PASS","FAIL"))</f>
        <v>PASS</v>
      </c>
    </row>
    <row r="1129" customFormat="false" ht="15" hidden="false" customHeight="false" outlineLevel="0" collapsed="false">
      <c r="A1129" s="14" t="s">
        <v>1029</v>
      </c>
      <c r="B1129" s="14" t="s">
        <v>1019</v>
      </c>
      <c r="C1129" s="14" t="s">
        <v>186</v>
      </c>
      <c r="D1129" s="14" t="s">
        <v>178</v>
      </c>
      <c r="E1129" s="14" t="s">
        <v>169</v>
      </c>
      <c r="F1129" s="14" t="s">
        <v>175</v>
      </c>
      <c r="G1129" s="14" t="n">
        <v>2</v>
      </c>
      <c r="H1129" s="14" t="s">
        <v>153</v>
      </c>
      <c r="I1129" s="14" t="s">
        <v>890</v>
      </c>
      <c r="J1129" s="15" t="n">
        <f aca="false">IF(B1129="SITE LOSS",IF(D1129=C1129,1,0),IF(B1129="REGION LOSS",IF(E1129=C1129,1,0),0))</f>
        <v>0</v>
      </c>
      <c r="K1129" s="15" t="n">
        <f aca="false">IF(B1129="SITE LOSS",IF(COUNTIFS('Site Dockets'!$B$7:$B$24,C1129,'Site Dockets'!$C$7:$C$24,F1129)&gt;0,1,0),IF(B1129="REGION LOSS",IF(COUNTIFS('Site Dockets'!$E$7:$E$24,C1129,'Site Dockets'!$C$7:$C$24,F1129)&gt;0,1,0),0))</f>
        <v>0</v>
      </c>
      <c r="L1129" s="15" t="n">
        <f aca="false">IF(J1129=1,0,Inputs!$B$11)</f>
        <v>100</v>
      </c>
      <c r="M1129" s="15" t="n">
        <f aca="false">IF(J1129=1,0,Inputs!$B$12)</f>
        <v>75</v>
      </c>
      <c r="N1129" s="15" t="n">
        <f aca="false">IF(J1129=1,0,IF(OR(AND(OR(B1129="SITE LOSS",B1129="REGION LOSS"),K1129=1),AND(B1129="ROLE COMPROMISE",H1129=C1129)),Inputs!$B$13,Inputs!$B$14))</f>
        <v>10</v>
      </c>
      <c r="O1129" s="15" t="n">
        <f aca="false">IF(J1129=1,0,Inputs!$B$13)</f>
        <v>20</v>
      </c>
      <c r="P1129" s="15" t="n">
        <f aca="false">SUM(M1129:N1129)</f>
        <v>85</v>
      </c>
      <c r="Q1129" s="15" t="n">
        <f aca="false">IF(J1129=1,"",L1129-P1129)</f>
        <v>15</v>
      </c>
      <c r="R1129" s="15" t="n">
        <f aca="false">IF(OR(J1129=1,M1129&lt;=Inputs!$B$12),1,0)</f>
        <v>1</v>
      </c>
      <c r="S1129" s="15" t="n">
        <f aca="false">IF(OR(J1129=1,N1129&lt;=O1129),1,0)</f>
        <v>1</v>
      </c>
      <c r="T1129" s="15" t="str">
        <f aca="false">IF(J1129=1,"OFFLINE",IF(AND(Q1129&gt;=Inputs!$B$15,R1129=1,S1129=1,P1129&lt;=L1129),"PASS","FAIL"))</f>
        <v>PASS</v>
      </c>
    </row>
    <row r="1130" customFormat="false" ht="15" hidden="false" customHeight="false" outlineLevel="0" collapsed="false">
      <c r="A1130" s="14" t="s">
        <v>1029</v>
      </c>
      <c r="B1130" s="14" t="s">
        <v>1019</v>
      </c>
      <c r="C1130" s="14" t="s">
        <v>186</v>
      </c>
      <c r="D1130" s="14" t="s">
        <v>178</v>
      </c>
      <c r="E1130" s="14" t="s">
        <v>169</v>
      </c>
      <c r="F1130" s="14" t="s">
        <v>175</v>
      </c>
      <c r="G1130" s="14" t="n">
        <v>2</v>
      </c>
      <c r="H1130" s="14" t="s">
        <v>153</v>
      </c>
      <c r="I1130" s="14" t="s">
        <v>892</v>
      </c>
      <c r="J1130" s="15" t="n">
        <f aca="false">IF(B1130="SITE LOSS",IF(D1130=C1130,1,0),IF(B1130="REGION LOSS",IF(E1130=C1130,1,0),0))</f>
        <v>0</v>
      </c>
      <c r="K1130" s="15" t="n">
        <f aca="false">IF(B1130="SITE LOSS",IF(COUNTIFS('Site Dockets'!$B$7:$B$24,C1130,'Site Dockets'!$C$7:$C$24,F1130)&gt;0,1,0),IF(B1130="REGION LOSS",IF(COUNTIFS('Site Dockets'!$E$7:$E$24,C1130,'Site Dockets'!$C$7:$C$24,F1130)&gt;0,1,0),0))</f>
        <v>0</v>
      </c>
      <c r="L1130" s="15" t="n">
        <f aca="false">IF(J1130=1,0,Inputs!$B$11)</f>
        <v>100</v>
      </c>
      <c r="M1130" s="15" t="n">
        <f aca="false">IF(J1130=1,0,Inputs!$B$12)</f>
        <v>75</v>
      </c>
      <c r="N1130" s="15" t="n">
        <f aca="false">IF(J1130=1,0,IF(OR(AND(OR(B1130="SITE LOSS",B1130="REGION LOSS"),K1130=1),AND(B1130="ROLE COMPROMISE",H1130=C1130)),Inputs!$B$13,Inputs!$B$14))</f>
        <v>10</v>
      </c>
      <c r="O1130" s="15" t="n">
        <f aca="false">IF(J1130=1,0,Inputs!$B$13)</f>
        <v>20</v>
      </c>
      <c r="P1130" s="15" t="n">
        <f aca="false">SUM(M1130:N1130)</f>
        <v>85</v>
      </c>
      <c r="Q1130" s="15" t="n">
        <f aca="false">IF(J1130=1,"",L1130-P1130)</f>
        <v>15</v>
      </c>
      <c r="R1130" s="15" t="n">
        <f aca="false">IF(OR(J1130=1,M1130&lt;=Inputs!$B$12),1,0)</f>
        <v>1</v>
      </c>
      <c r="S1130" s="15" t="n">
        <f aca="false">IF(OR(J1130=1,N1130&lt;=O1130),1,0)</f>
        <v>1</v>
      </c>
      <c r="T1130" s="15" t="str">
        <f aca="false">IF(J1130=1,"OFFLINE",IF(AND(Q1130&gt;=Inputs!$B$15,R1130=1,S1130=1,P1130&lt;=L1130),"PASS","FAIL"))</f>
        <v>PASS</v>
      </c>
    </row>
    <row r="1131" customFormat="false" ht="15" hidden="false" customHeight="false" outlineLevel="0" collapsed="false">
      <c r="A1131" s="14" t="s">
        <v>1029</v>
      </c>
      <c r="B1131" s="14" t="s">
        <v>1019</v>
      </c>
      <c r="C1131" s="14" t="s">
        <v>186</v>
      </c>
      <c r="D1131" s="14" t="s">
        <v>178</v>
      </c>
      <c r="E1131" s="14" t="s">
        <v>169</v>
      </c>
      <c r="F1131" s="14" t="s">
        <v>175</v>
      </c>
      <c r="G1131" s="14" t="n">
        <v>2</v>
      </c>
      <c r="H1131" s="14" t="s">
        <v>153</v>
      </c>
      <c r="I1131" s="14" t="s">
        <v>811</v>
      </c>
      <c r="J1131" s="15" t="n">
        <f aca="false">IF(B1131="SITE LOSS",IF(D1131=C1131,1,0),IF(B1131="REGION LOSS",IF(E1131=C1131,1,0),0))</f>
        <v>0</v>
      </c>
      <c r="K1131" s="15" t="n">
        <f aca="false">IF(B1131="SITE LOSS",IF(COUNTIFS('Site Dockets'!$B$7:$B$24,C1131,'Site Dockets'!$C$7:$C$24,F1131)&gt;0,1,0),IF(B1131="REGION LOSS",IF(COUNTIFS('Site Dockets'!$E$7:$E$24,C1131,'Site Dockets'!$C$7:$C$24,F1131)&gt;0,1,0),0))</f>
        <v>0</v>
      </c>
      <c r="L1131" s="15" t="n">
        <f aca="false">IF(J1131=1,0,Inputs!$B$11)</f>
        <v>100</v>
      </c>
      <c r="M1131" s="15" t="n">
        <f aca="false">IF(J1131=1,0,Inputs!$B$12)</f>
        <v>75</v>
      </c>
      <c r="N1131" s="15" t="n">
        <f aca="false">IF(J1131=1,0,IF(OR(AND(OR(B1131="SITE LOSS",B1131="REGION LOSS"),K1131=1),AND(B1131="ROLE COMPROMISE",H1131=C1131)),Inputs!$B$13,Inputs!$B$14))</f>
        <v>10</v>
      </c>
      <c r="O1131" s="15" t="n">
        <f aca="false">IF(J1131=1,0,Inputs!$B$13)</f>
        <v>20</v>
      </c>
      <c r="P1131" s="15" t="n">
        <f aca="false">SUM(M1131:N1131)</f>
        <v>85</v>
      </c>
      <c r="Q1131" s="15" t="n">
        <f aca="false">IF(J1131=1,"",L1131-P1131)</f>
        <v>15</v>
      </c>
      <c r="R1131" s="15" t="n">
        <f aca="false">IF(OR(J1131=1,M1131&lt;=Inputs!$B$12),1,0)</f>
        <v>1</v>
      </c>
      <c r="S1131" s="15" t="n">
        <f aca="false">IF(OR(J1131=1,N1131&lt;=O1131),1,0)</f>
        <v>1</v>
      </c>
      <c r="T1131" s="15" t="str">
        <f aca="false">IF(J1131=1,"OFFLINE",IF(AND(Q1131&gt;=Inputs!$B$15,R1131=1,S1131=1,P1131&lt;=L1131),"PASS","FAIL"))</f>
        <v>PASS</v>
      </c>
    </row>
    <row r="1132" customFormat="false" ht="15" hidden="false" customHeight="false" outlineLevel="0" collapsed="false">
      <c r="A1132" s="14" t="s">
        <v>1029</v>
      </c>
      <c r="B1132" s="14" t="s">
        <v>1019</v>
      </c>
      <c r="C1132" s="14" t="s">
        <v>186</v>
      </c>
      <c r="D1132" s="14" t="s">
        <v>178</v>
      </c>
      <c r="E1132" s="14" t="s">
        <v>169</v>
      </c>
      <c r="F1132" s="14" t="s">
        <v>175</v>
      </c>
      <c r="G1132" s="14" t="n">
        <v>2</v>
      </c>
      <c r="H1132" s="14" t="s">
        <v>153</v>
      </c>
      <c r="I1132" s="14" t="s">
        <v>895</v>
      </c>
      <c r="J1132" s="15" t="n">
        <f aca="false">IF(B1132="SITE LOSS",IF(D1132=C1132,1,0),IF(B1132="REGION LOSS",IF(E1132=C1132,1,0),0))</f>
        <v>0</v>
      </c>
      <c r="K1132" s="15" t="n">
        <f aca="false">IF(B1132="SITE LOSS",IF(COUNTIFS('Site Dockets'!$B$7:$B$24,C1132,'Site Dockets'!$C$7:$C$24,F1132)&gt;0,1,0),IF(B1132="REGION LOSS",IF(COUNTIFS('Site Dockets'!$E$7:$E$24,C1132,'Site Dockets'!$C$7:$C$24,F1132)&gt;0,1,0),0))</f>
        <v>0</v>
      </c>
      <c r="L1132" s="15" t="n">
        <f aca="false">IF(J1132=1,0,Inputs!$B$11)</f>
        <v>100</v>
      </c>
      <c r="M1132" s="15" t="n">
        <f aca="false">IF(J1132=1,0,Inputs!$B$12)</f>
        <v>75</v>
      </c>
      <c r="N1132" s="15" t="n">
        <f aca="false">IF(J1132=1,0,IF(OR(AND(OR(B1132="SITE LOSS",B1132="REGION LOSS"),K1132=1),AND(B1132="ROLE COMPROMISE",H1132=C1132)),Inputs!$B$13,Inputs!$B$14))</f>
        <v>10</v>
      </c>
      <c r="O1132" s="15" t="n">
        <f aca="false">IF(J1132=1,0,Inputs!$B$13)</f>
        <v>20</v>
      </c>
      <c r="P1132" s="15" t="n">
        <f aca="false">SUM(M1132:N1132)</f>
        <v>85</v>
      </c>
      <c r="Q1132" s="15" t="n">
        <f aca="false">IF(J1132=1,"",L1132-P1132)</f>
        <v>15</v>
      </c>
      <c r="R1132" s="15" t="n">
        <f aca="false">IF(OR(J1132=1,M1132&lt;=Inputs!$B$12),1,0)</f>
        <v>1</v>
      </c>
      <c r="S1132" s="15" t="n">
        <f aca="false">IF(OR(J1132=1,N1132&lt;=O1132),1,0)</f>
        <v>1</v>
      </c>
      <c r="T1132" s="15" t="str">
        <f aca="false">IF(J1132=1,"OFFLINE",IF(AND(Q1132&gt;=Inputs!$B$15,R1132=1,S1132=1,P1132&lt;=L1132),"PASS","FAIL"))</f>
        <v>PASS</v>
      </c>
    </row>
    <row r="1133" customFormat="false" ht="15" hidden="false" customHeight="false" outlineLevel="0" collapsed="false">
      <c r="A1133" s="14" t="s">
        <v>1029</v>
      </c>
      <c r="B1133" s="14" t="s">
        <v>1019</v>
      </c>
      <c r="C1133" s="14" t="s">
        <v>186</v>
      </c>
      <c r="D1133" s="14" t="s">
        <v>178</v>
      </c>
      <c r="E1133" s="14" t="s">
        <v>169</v>
      </c>
      <c r="F1133" s="14" t="s">
        <v>175</v>
      </c>
      <c r="G1133" s="14" t="n">
        <v>2</v>
      </c>
      <c r="H1133" s="14" t="s">
        <v>153</v>
      </c>
      <c r="I1133" s="14" t="s">
        <v>897</v>
      </c>
      <c r="J1133" s="15" t="n">
        <f aca="false">IF(B1133="SITE LOSS",IF(D1133=C1133,1,0),IF(B1133="REGION LOSS",IF(E1133=C1133,1,0),0))</f>
        <v>0</v>
      </c>
      <c r="K1133" s="15" t="n">
        <f aca="false">IF(B1133="SITE LOSS",IF(COUNTIFS('Site Dockets'!$B$7:$B$24,C1133,'Site Dockets'!$C$7:$C$24,F1133)&gt;0,1,0),IF(B1133="REGION LOSS",IF(COUNTIFS('Site Dockets'!$E$7:$E$24,C1133,'Site Dockets'!$C$7:$C$24,F1133)&gt;0,1,0),0))</f>
        <v>0</v>
      </c>
      <c r="L1133" s="15" t="n">
        <f aca="false">IF(J1133=1,0,Inputs!$B$11)</f>
        <v>100</v>
      </c>
      <c r="M1133" s="15" t="n">
        <f aca="false">IF(J1133=1,0,Inputs!$B$12)</f>
        <v>75</v>
      </c>
      <c r="N1133" s="15" t="n">
        <f aca="false">IF(J1133=1,0,IF(OR(AND(OR(B1133="SITE LOSS",B1133="REGION LOSS"),K1133=1),AND(B1133="ROLE COMPROMISE",H1133=C1133)),Inputs!$B$13,Inputs!$B$14))</f>
        <v>10</v>
      </c>
      <c r="O1133" s="15" t="n">
        <f aca="false">IF(J1133=1,0,Inputs!$B$13)</f>
        <v>20</v>
      </c>
      <c r="P1133" s="15" t="n">
        <f aca="false">SUM(M1133:N1133)</f>
        <v>85</v>
      </c>
      <c r="Q1133" s="15" t="n">
        <f aca="false">IF(J1133=1,"",L1133-P1133)</f>
        <v>15</v>
      </c>
      <c r="R1133" s="15" t="n">
        <f aca="false">IF(OR(J1133=1,M1133&lt;=Inputs!$B$12),1,0)</f>
        <v>1</v>
      </c>
      <c r="S1133" s="15" t="n">
        <f aca="false">IF(OR(J1133=1,N1133&lt;=O1133),1,0)</f>
        <v>1</v>
      </c>
      <c r="T1133" s="15" t="str">
        <f aca="false">IF(J1133=1,"OFFLINE",IF(AND(Q1133&gt;=Inputs!$B$15,R1133=1,S1133=1,P1133&lt;=L1133),"PASS","FAIL"))</f>
        <v>PASS</v>
      </c>
    </row>
    <row r="1134" customFormat="false" ht="15" hidden="false" customHeight="false" outlineLevel="0" collapsed="false">
      <c r="A1134" s="14" t="s">
        <v>1029</v>
      </c>
      <c r="B1134" s="14" t="s">
        <v>1019</v>
      </c>
      <c r="C1134" s="14" t="s">
        <v>186</v>
      </c>
      <c r="D1134" s="14" t="s">
        <v>178</v>
      </c>
      <c r="E1134" s="14" t="s">
        <v>169</v>
      </c>
      <c r="F1134" s="14" t="s">
        <v>175</v>
      </c>
      <c r="G1134" s="14" t="n">
        <v>2</v>
      </c>
      <c r="H1134" s="14" t="s">
        <v>153</v>
      </c>
      <c r="I1134" s="14" t="s">
        <v>899</v>
      </c>
      <c r="J1134" s="15" t="n">
        <f aca="false">IF(B1134="SITE LOSS",IF(D1134=C1134,1,0),IF(B1134="REGION LOSS",IF(E1134=C1134,1,0),0))</f>
        <v>0</v>
      </c>
      <c r="K1134" s="15" t="n">
        <f aca="false">IF(B1134="SITE LOSS",IF(COUNTIFS('Site Dockets'!$B$7:$B$24,C1134,'Site Dockets'!$C$7:$C$24,F1134)&gt;0,1,0),IF(B1134="REGION LOSS",IF(COUNTIFS('Site Dockets'!$E$7:$E$24,C1134,'Site Dockets'!$C$7:$C$24,F1134)&gt;0,1,0),0))</f>
        <v>0</v>
      </c>
      <c r="L1134" s="15" t="n">
        <f aca="false">IF(J1134=1,0,Inputs!$B$11)</f>
        <v>100</v>
      </c>
      <c r="M1134" s="15" t="n">
        <f aca="false">IF(J1134=1,0,Inputs!$B$12)</f>
        <v>75</v>
      </c>
      <c r="N1134" s="15" t="n">
        <f aca="false">IF(J1134=1,0,IF(OR(AND(OR(B1134="SITE LOSS",B1134="REGION LOSS"),K1134=1),AND(B1134="ROLE COMPROMISE",H1134=C1134)),Inputs!$B$13,Inputs!$B$14))</f>
        <v>10</v>
      </c>
      <c r="O1134" s="15" t="n">
        <f aca="false">IF(J1134=1,0,Inputs!$B$13)</f>
        <v>20</v>
      </c>
      <c r="P1134" s="15" t="n">
        <f aca="false">SUM(M1134:N1134)</f>
        <v>85</v>
      </c>
      <c r="Q1134" s="15" t="n">
        <f aca="false">IF(J1134=1,"",L1134-P1134)</f>
        <v>15</v>
      </c>
      <c r="R1134" s="15" t="n">
        <f aca="false">IF(OR(J1134=1,M1134&lt;=Inputs!$B$12),1,0)</f>
        <v>1</v>
      </c>
      <c r="S1134" s="15" t="n">
        <f aca="false">IF(OR(J1134=1,N1134&lt;=O1134),1,0)</f>
        <v>1</v>
      </c>
      <c r="T1134" s="15" t="str">
        <f aca="false">IF(J1134=1,"OFFLINE",IF(AND(Q1134&gt;=Inputs!$B$15,R1134=1,S1134=1,P1134&lt;=L1134),"PASS","FAIL"))</f>
        <v>PASS</v>
      </c>
    </row>
    <row r="1135" customFormat="false" ht="15" hidden="false" customHeight="false" outlineLevel="0" collapsed="false">
      <c r="A1135" s="14" t="s">
        <v>1029</v>
      </c>
      <c r="B1135" s="14" t="s">
        <v>1019</v>
      </c>
      <c r="C1135" s="14" t="s">
        <v>186</v>
      </c>
      <c r="D1135" s="14" t="s">
        <v>180</v>
      </c>
      <c r="E1135" s="14" t="s">
        <v>161</v>
      </c>
      <c r="F1135" s="14" t="s">
        <v>175</v>
      </c>
      <c r="G1135" s="14" t="n">
        <v>3</v>
      </c>
      <c r="H1135" s="14" t="s">
        <v>158</v>
      </c>
      <c r="I1135" s="14" t="s">
        <v>890</v>
      </c>
      <c r="J1135" s="15" t="n">
        <f aca="false">IF(B1135="SITE LOSS",IF(D1135=C1135,1,0),IF(B1135="REGION LOSS",IF(E1135=C1135,1,0),0))</f>
        <v>0</v>
      </c>
      <c r="K1135" s="15" t="n">
        <f aca="false">IF(B1135="SITE LOSS",IF(COUNTIFS('Site Dockets'!$B$7:$B$24,C1135,'Site Dockets'!$C$7:$C$24,F1135)&gt;0,1,0),IF(B1135="REGION LOSS",IF(COUNTIFS('Site Dockets'!$E$7:$E$24,C1135,'Site Dockets'!$C$7:$C$24,F1135)&gt;0,1,0),0))</f>
        <v>0</v>
      </c>
      <c r="L1135" s="15" t="n">
        <f aca="false">IF(J1135=1,0,Inputs!$B$11)</f>
        <v>100</v>
      </c>
      <c r="M1135" s="15" t="n">
        <f aca="false">IF(J1135=1,0,Inputs!$B$12)</f>
        <v>75</v>
      </c>
      <c r="N1135" s="15" t="n">
        <f aca="false">IF(J1135=1,0,IF(OR(AND(OR(B1135="SITE LOSS",B1135="REGION LOSS"),K1135=1),AND(B1135="ROLE COMPROMISE",H1135=C1135)),Inputs!$B$13,Inputs!$B$14))</f>
        <v>10</v>
      </c>
      <c r="O1135" s="15" t="n">
        <f aca="false">IF(J1135=1,0,Inputs!$B$13)</f>
        <v>20</v>
      </c>
      <c r="P1135" s="15" t="n">
        <f aca="false">SUM(M1135:N1135)</f>
        <v>85</v>
      </c>
      <c r="Q1135" s="15" t="n">
        <f aca="false">IF(J1135=1,"",L1135-P1135)</f>
        <v>15</v>
      </c>
      <c r="R1135" s="15" t="n">
        <f aca="false">IF(OR(J1135=1,M1135&lt;=Inputs!$B$12),1,0)</f>
        <v>1</v>
      </c>
      <c r="S1135" s="15" t="n">
        <f aca="false">IF(OR(J1135=1,N1135&lt;=O1135),1,0)</f>
        <v>1</v>
      </c>
      <c r="T1135" s="15" t="str">
        <f aca="false">IF(J1135=1,"OFFLINE",IF(AND(Q1135&gt;=Inputs!$B$15,R1135=1,S1135=1,P1135&lt;=L1135),"PASS","FAIL"))</f>
        <v>PASS</v>
      </c>
    </row>
    <row r="1136" customFormat="false" ht="15" hidden="false" customHeight="false" outlineLevel="0" collapsed="false">
      <c r="A1136" s="14" t="s">
        <v>1029</v>
      </c>
      <c r="B1136" s="14" t="s">
        <v>1019</v>
      </c>
      <c r="C1136" s="14" t="s">
        <v>186</v>
      </c>
      <c r="D1136" s="14" t="s">
        <v>180</v>
      </c>
      <c r="E1136" s="14" t="s">
        <v>161</v>
      </c>
      <c r="F1136" s="14" t="s">
        <v>175</v>
      </c>
      <c r="G1136" s="14" t="n">
        <v>3</v>
      </c>
      <c r="H1136" s="14" t="s">
        <v>158</v>
      </c>
      <c r="I1136" s="14" t="s">
        <v>892</v>
      </c>
      <c r="J1136" s="15" t="n">
        <f aca="false">IF(B1136="SITE LOSS",IF(D1136=C1136,1,0),IF(B1136="REGION LOSS",IF(E1136=C1136,1,0),0))</f>
        <v>0</v>
      </c>
      <c r="K1136" s="15" t="n">
        <f aca="false">IF(B1136="SITE LOSS",IF(COUNTIFS('Site Dockets'!$B$7:$B$24,C1136,'Site Dockets'!$C$7:$C$24,F1136)&gt;0,1,0),IF(B1136="REGION LOSS",IF(COUNTIFS('Site Dockets'!$E$7:$E$24,C1136,'Site Dockets'!$C$7:$C$24,F1136)&gt;0,1,0),0))</f>
        <v>0</v>
      </c>
      <c r="L1136" s="15" t="n">
        <f aca="false">IF(J1136=1,0,Inputs!$B$11)</f>
        <v>100</v>
      </c>
      <c r="M1136" s="15" t="n">
        <f aca="false">IF(J1136=1,0,Inputs!$B$12)</f>
        <v>75</v>
      </c>
      <c r="N1136" s="15" t="n">
        <f aca="false">IF(J1136=1,0,IF(OR(AND(OR(B1136="SITE LOSS",B1136="REGION LOSS"),K1136=1),AND(B1136="ROLE COMPROMISE",H1136=C1136)),Inputs!$B$13,Inputs!$B$14))</f>
        <v>10</v>
      </c>
      <c r="O1136" s="15" t="n">
        <f aca="false">IF(J1136=1,0,Inputs!$B$13)</f>
        <v>20</v>
      </c>
      <c r="P1136" s="15" t="n">
        <f aca="false">SUM(M1136:N1136)</f>
        <v>85</v>
      </c>
      <c r="Q1136" s="15" t="n">
        <f aca="false">IF(J1136=1,"",L1136-P1136)</f>
        <v>15</v>
      </c>
      <c r="R1136" s="15" t="n">
        <f aca="false">IF(OR(J1136=1,M1136&lt;=Inputs!$B$12),1,0)</f>
        <v>1</v>
      </c>
      <c r="S1136" s="15" t="n">
        <f aca="false">IF(OR(J1136=1,N1136&lt;=O1136),1,0)</f>
        <v>1</v>
      </c>
      <c r="T1136" s="15" t="str">
        <f aca="false">IF(J1136=1,"OFFLINE",IF(AND(Q1136&gt;=Inputs!$B$15,R1136=1,S1136=1,P1136&lt;=L1136),"PASS","FAIL"))</f>
        <v>PASS</v>
      </c>
    </row>
    <row r="1137" customFormat="false" ht="15" hidden="false" customHeight="false" outlineLevel="0" collapsed="false">
      <c r="A1137" s="14" t="s">
        <v>1029</v>
      </c>
      <c r="B1137" s="14" t="s">
        <v>1019</v>
      </c>
      <c r="C1137" s="14" t="s">
        <v>186</v>
      </c>
      <c r="D1137" s="14" t="s">
        <v>180</v>
      </c>
      <c r="E1137" s="14" t="s">
        <v>161</v>
      </c>
      <c r="F1137" s="14" t="s">
        <v>175</v>
      </c>
      <c r="G1137" s="14" t="n">
        <v>3</v>
      </c>
      <c r="H1137" s="14" t="s">
        <v>158</v>
      </c>
      <c r="I1137" s="14" t="s">
        <v>811</v>
      </c>
      <c r="J1137" s="15" t="n">
        <f aca="false">IF(B1137="SITE LOSS",IF(D1137=C1137,1,0),IF(B1137="REGION LOSS",IF(E1137=C1137,1,0),0))</f>
        <v>0</v>
      </c>
      <c r="K1137" s="15" t="n">
        <f aca="false">IF(B1137="SITE LOSS",IF(COUNTIFS('Site Dockets'!$B$7:$B$24,C1137,'Site Dockets'!$C$7:$C$24,F1137)&gt;0,1,0),IF(B1137="REGION LOSS",IF(COUNTIFS('Site Dockets'!$E$7:$E$24,C1137,'Site Dockets'!$C$7:$C$24,F1137)&gt;0,1,0),0))</f>
        <v>0</v>
      </c>
      <c r="L1137" s="15" t="n">
        <f aca="false">IF(J1137=1,0,Inputs!$B$11)</f>
        <v>100</v>
      </c>
      <c r="M1137" s="15" t="n">
        <f aca="false">IF(J1137=1,0,Inputs!$B$12)</f>
        <v>75</v>
      </c>
      <c r="N1137" s="15" t="n">
        <f aca="false">IF(J1137=1,0,IF(OR(AND(OR(B1137="SITE LOSS",B1137="REGION LOSS"),K1137=1),AND(B1137="ROLE COMPROMISE",H1137=C1137)),Inputs!$B$13,Inputs!$B$14))</f>
        <v>10</v>
      </c>
      <c r="O1137" s="15" t="n">
        <f aca="false">IF(J1137=1,0,Inputs!$B$13)</f>
        <v>20</v>
      </c>
      <c r="P1137" s="15" t="n">
        <f aca="false">SUM(M1137:N1137)</f>
        <v>85</v>
      </c>
      <c r="Q1137" s="15" t="n">
        <f aca="false">IF(J1137=1,"",L1137-P1137)</f>
        <v>15</v>
      </c>
      <c r="R1137" s="15" t="n">
        <f aca="false">IF(OR(J1137=1,M1137&lt;=Inputs!$B$12),1,0)</f>
        <v>1</v>
      </c>
      <c r="S1137" s="15" t="n">
        <f aca="false">IF(OR(J1137=1,N1137&lt;=O1137),1,0)</f>
        <v>1</v>
      </c>
      <c r="T1137" s="15" t="str">
        <f aca="false">IF(J1137=1,"OFFLINE",IF(AND(Q1137&gt;=Inputs!$B$15,R1137=1,S1137=1,P1137&lt;=L1137),"PASS","FAIL"))</f>
        <v>PASS</v>
      </c>
    </row>
    <row r="1138" customFormat="false" ht="15" hidden="false" customHeight="false" outlineLevel="0" collapsed="false">
      <c r="A1138" s="14" t="s">
        <v>1029</v>
      </c>
      <c r="B1138" s="14" t="s">
        <v>1019</v>
      </c>
      <c r="C1138" s="14" t="s">
        <v>186</v>
      </c>
      <c r="D1138" s="14" t="s">
        <v>180</v>
      </c>
      <c r="E1138" s="14" t="s">
        <v>161</v>
      </c>
      <c r="F1138" s="14" t="s">
        <v>175</v>
      </c>
      <c r="G1138" s="14" t="n">
        <v>3</v>
      </c>
      <c r="H1138" s="14" t="s">
        <v>158</v>
      </c>
      <c r="I1138" s="14" t="s">
        <v>895</v>
      </c>
      <c r="J1138" s="15" t="n">
        <f aca="false">IF(B1138="SITE LOSS",IF(D1138=C1138,1,0),IF(B1138="REGION LOSS",IF(E1138=C1138,1,0),0))</f>
        <v>0</v>
      </c>
      <c r="K1138" s="15" t="n">
        <f aca="false">IF(B1138="SITE LOSS",IF(COUNTIFS('Site Dockets'!$B$7:$B$24,C1138,'Site Dockets'!$C$7:$C$24,F1138)&gt;0,1,0),IF(B1138="REGION LOSS",IF(COUNTIFS('Site Dockets'!$E$7:$E$24,C1138,'Site Dockets'!$C$7:$C$24,F1138)&gt;0,1,0),0))</f>
        <v>0</v>
      </c>
      <c r="L1138" s="15" t="n">
        <f aca="false">IF(J1138=1,0,Inputs!$B$11)</f>
        <v>100</v>
      </c>
      <c r="M1138" s="15" t="n">
        <f aca="false">IF(J1138=1,0,Inputs!$B$12)</f>
        <v>75</v>
      </c>
      <c r="N1138" s="15" t="n">
        <f aca="false">IF(J1138=1,0,IF(OR(AND(OR(B1138="SITE LOSS",B1138="REGION LOSS"),K1138=1),AND(B1138="ROLE COMPROMISE",H1138=C1138)),Inputs!$B$13,Inputs!$B$14))</f>
        <v>10</v>
      </c>
      <c r="O1138" s="15" t="n">
        <f aca="false">IF(J1138=1,0,Inputs!$B$13)</f>
        <v>20</v>
      </c>
      <c r="P1138" s="15" t="n">
        <f aca="false">SUM(M1138:N1138)</f>
        <v>85</v>
      </c>
      <c r="Q1138" s="15" t="n">
        <f aca="false">IF(J1138=1,"",L1138-P1138)</f>
        <v>15</v>
      </c>
      <c r="R1138" s="15" t="n">
        <f aca="false">IF(OR(J1138=1,M1138&lt;=Inputs!$B$12),1,0)</f>
        <v>1</v>
      </c>
      <c r="S1138" s="15" t="n">
        <f aca="false">IF(OR(J1138=1,N1138&lt;=O1138),1,0)</f>
        <v>1</v>
      </c>
      <c r="T1138" s="15" t="str">
        <f aca="false">IF(J1138=1,"OFFLINE",IF(AND(Q1138&gt;=Inputs!$B$15,R1138=1,S1138=1,P1138&lt;=L1138),"PASS","FAIL"))</f>
        <v>PASS</v>
      </c>
    </row>
    <row r="1139" customFormat="false" ht="15" hidden="false" customHeight="false" outlineLevel="0" collapsed="false">
      <c r="A1139" s="14" t="s">
        <v>1029</v>
      </c>
      <c r="B1139" s="14" t="s">
        <v>1019</v>
      </c>
      <c r="C1139" s="14" t="s">
        <v>186</v>
      </c>
      <c r="D1139" s="14" t="s">
        <v>180</v>
      </c>
      <c r="E1139" s="14" t="s">
        <v>161</v>
      </c>
      <c r="F1139" s="14" t="s">
        <v>175</v>
      </c>
      <c r="G1139" s="14" t="n">
        <v>3</v>
      </c>
      <c r="H1139" s="14" t="s">
        <v>158</v>
      </c>
      <c r="I1139" s="14" t="s">
        <v>897</v>
      </c>
      <c r="J1139" s="15" t="n">
        <f aca="false">IF(B1139="SITE LOSS",IF(D1139=C1139,1,0),IF(B1139="REGION LOSS",IF(E1139=C1139,1,0),0))</f>
        <v>0</v>
      </c>
      <c r="K1139" s="15" t="n">
        <f aca="false">IF(B1139="SITE LOSS",IF(COUNTIFS('Site Dockets'!$B$7:$B$24,C1139,'Site Dockets'!$C$7:$C$24,F1139)&gt;0,1,0),IF(B1139="REGION LOSS",IF(COUNTIFS('Site Dockets'!$E$7:$E$24,C1139,'Site Dockets'!$C$7:$C$24,F1139)&gt;0,1,0),0))</f>
        <v>0</v>
      </c>
      <c r="L1139" s="15" t="n">
        <f aca="false">IF(J1139=1,0,Inputs!$B$11)</f>
        <v>100</v>
      </c>
      <c r="M1139" s="15" t="n">
        <f aca="false">IF(J1139=1,0,Inputs!$B$12)</f>
        <v>75</v>
      </c>
      <c r="N1139" s="15" t="n">
        <f aca="false">IF(J1139=1,0,IF(OR(AND(OR(B1139="SITE LOSS",B1139="REGION LOSS"),K1139=1),AND(B1139="ROLE COMPROMISE",H1139=C1139)),Inputs!$B$13,Inputs!$B$14))</f>
        <v>10</v>
      </c>
      <c r="O1139" s="15" t="n">
        <f aca="false">IF(J1139=1,0,Inputs!$B$13)</f>
        <v>20</v>
      </c>
      <c r="P1139" s="15" t="n">
        <f aca="false">SUM(M1139:N1139)</f>
        <v>85</v>
      </c>
      <c r="Q1139" s="15" t="n">
        <f aca="false">IF(J1139=1,"",L1139-P1139)</f>
        <v>15</v>
      </c>
      <c r="R1139" s="15" t="n">
        <f aca="false">IF(OR(J1139=1,M1139&lt;=Inputs!$B$12),1,0)</f>
        <v>1</v>
      </c>
      <c r="S1139" s="15" t="n">
        <f aca="false">IF(OR(J1139=1,N1139&lt;=O1139),1,0)</f>
        <v>1</v>
      </c>
      <c r="T1139" s="15" t="str">
        <f aca="false">IF(J1139=1,"OFFLINE",IF(AND(Q1139&gt;=Inputs!$B$15,R1139=1,S1139=1,P1139&lt;=L1139),"PASS","FAIL"))</f>
        <v>PASS</v>
      </c>
    </row>
    <row r="1140" customFormat="false" ht="15" hidden="false" customHeight="false" outlineLevel="0" collapsed="false">
      <c r="A1140" s="14" t="s">
        <v>1029</v>
      </c>
      <c r="B1140" s="14" t="s">
        <v>1019</v>
      </c>
      <c r="C1140" s="14" t="s">
        <v>186</v>
      </c>
      <c r="D1140" s="14" t="s">
        <v>180</v>
      </c>
      <c r="E1140" s="14" t="s">
        <v>161</v>
      </c>
      <c r="F1140" s="14" t="s">
        <v>175</v>
      </c>
      <c r="G1140" s="14" t="n">
        <v>3</v>
      </c>
      <c r="H1140" s="14" t="s">
        <v>158</v>
      </c>
      <c r="I1140" s="14" t="s">
        <v>899</v>
      </c>
      <c r="J1140" s="15" t="n">
        <f aca="false">IF(B1140="SITE LOSS",IF(D1140=C1140,1,0),IF(B1140="REGION LOSS",IF(E1140=C1140,1,0),0))</f>
        <v>0</v>
      </c>
      <c r="K1140" s="15" t="n">
        <f aca="false">IF(B1140="SITE LOSS",IF(COUNTIFS('Site Dockets'!$B$7:$B$24,C1140,'Site Dockets'!$C$7:$C$24,F1140)&gt;0,1,0),IF(B1140="REGION LOSS",IF(COUNTIFS('Site Dockets'!$E$7:$E$24,C1140,'Site Dockets'!$C$7:$C$24,F1140)&gt;0,1,0),0))</f>
        <v>0</v>
      </c>
      <c r="L1140" s="15" t="n">
        <f aca="false">IF(J1140=1,0,Inputs!$B$11)</f>
        <v>100</v>
      </c>
      <c r="M1140" s="15" t="n">
        <f aca="false">IF(J1140=1,0,Inputs!$B$12)</f>
        <v>75</v>
      </c>
      <c r="N1140" s="15" t="n">
        <f aca="false">IF(J1140=1,0,IF(OR(AND(OR(B1140="SITE LOSS",B1140="REGION LOSS"),K1140=1),AND(B1140="ROLE COMPROMISE",H1140=C1140)),Inputs!$B$13,Inputs!$B$14))</f>
        <v>10</v>
      </c>
      <c r="O1140" s="15" t="n">
        <f aca="false">IF(J1140=1,0,Inputs!$B$13)</f>
        <v>20</v>
      </c>
      <c r="P1140" s="15" t="n">
        <f aca="false">SUM(M1140:N1140)</f>
        <v>85</v>
      </c>
      <c r="Q1140" s="15" t="n">
        <f aca="false">IF(J1140=1,"",L1140-P1140)</f>
        <v>15</v>
      </c>
      <c r="R1140" s="15" t="n">
        <f aca="false">IF(OR(J1140=1,M1140&lt;=Inputs!$B$12),1,0)</f>
        <v>1</v>
      </c>
      <c r="S1140" s="15" t="n">
        <f aca="false">IF(OR(J1140=1,N1140&lt;=O1140),1,0)</f>
        <v>1</v>
      </c>
      <c r="T1140" s="15" t="str">
        <f aca="false">IF(J1140=1,"OFFLINE",IF(AND(Q1140&gt;=Inputs!$B$15,R1140=1,S1140=1,P1140&lt;=L1140),"PASS","FAIL"))</f>
        <v>PASS</v>
      </c>
    </row>
    <row r="1141" customFormat="false" ht="15" hidden="false" customHeight="false" outlineLevel="0" collapsed="false">
      <c r="A1141" s="14" t="s">
        <v>1029</v>
      </c>
      <c r="B1141" s="14" t="s">
        <v>1019</v>
      </c>
      <c r="C1141" s="14" t="s">
        <v>186</v>
      </c>
      <c r="D1141" s="14" t="s">
        <v>182</v>
      </c>
      <c r="E1141" s="14" t="s">
        <v>166</v>
      </c>
      <c r="F1141" s="14" t="s">
        <v>183</v>
      </c>
      <c r="G1141" s="14" t="n">
        <v>1</v>
      </c>
      <c r="H1141" s="14" t="s">
        <v>154</v>
      </c>
      <c r="I1141" s="14" t="s">
        <v>890</v>
      </c>
      <c r="J1141" s="15" t="n">
        <f aca="false">IF(B1141="SITE LOSS",IF(D1141=C1141,1,0),IF(B1141="REGION LOSS",IF(E1141=C1141,1,0),0))</f>
        <v>0</v>
      </c>
      <c r="K1141" s="15" t="n">
        <f aca="false">IF(B1141="SITE LOSS",IF(COUNTIFS('Site Dockets'!$B$7:$B$24,C1141,'Site Dockets'!$C$7:$C$24,F1141)&gt;0,1,0),IF(B1141="REGION LOSS",IF(COUNTIFS('Site Dockets'!$E$7:$E$24,C1141,'Site Dockets'!$C$7:$C$24,F1141)&gt;0,1,0),0))</f>
        <v>1</v>
      </c>
      <c r="L1141" s="15" t="n">
        <f aca="false">IF(J1141=1,0,Inputs!$B$11)</f>
        <v>100</v>
      </c>
      <c r="M1141" s="15" t="n">
        <f aca="false">IF(J1141=1,0,Inputs!$B$12)</f>
        <v>75</v>
      </c>
      <c r="N1141" s="15" t="n">
        <f aca="false">IF(J1141=1,0,IF(OR(AND(OR(B1141="SITE LOSS",B1141="REGION LOSS"),K1141=1),AND(B1141="ROLE COMPROMISE",H1141=C1141)),Inputs!$B$13,Inputs!$B$14))</f>
        <v>20</v>
      </c>
      <c r="O1141" s="15" t="n">
        <f aca="false">IF(J1141=1,0,Inputs!$B$13)</f>
        <v>20</v>
      </c>
      <c r="P1141" s="15" t="n">
        <f aca="false">SUM(M1141:N1141)</f>
        <v>95</v>
      </c>
      <c r="Q1141" s="15" t="n">
        <f aca="false">IF(J1141=1,"",L1141-P1141)</f>
        <v>5</v>
      </c>
      <c r="R1141" s="15" t="n">
        <f aca="false">IF(OR(J1141=1,M1141&lt;=Inputs!$B$12),1,0)</f>
        <v>1</v>
      </c>
      <c r="S1141" s="15" t="n">
        <f aca="false">IF(OR(J1141=1,N1141&lt;=O1141),1,0)</f>
        <v>1</v>
      </c>
      <c r="T1141" s="15" t="str">
        <f aca="false">IF(J1141=1,"OFFLINE",IF(AND(Q1141&gt;=Inputs!$B$15,R1141=1,S1141=1,P1141&lt;=L1141),"PASS","FAIL"))</f>
        <v>PASS</v>
      </c>
    </row>
    <row r="1142" customFormat="false" ht="15" hidden="false" customHeight="false" outlineLevel="0" collapsed="false">
      <c r="A1142" s="14" t="s">
        <v>1029</v>
      </c>
      <c r="B1142" s="14" t="s">
        <v>1019</v>
      </c>
      <c r="C1142" s="14" t="s">
        <v>186</v>
      </c>
      <c r="D1142" s="14" t="s">
        <v>182</v>
      </c>
      <c r="E1142" s="14" t="s">
        <v>166</v>
      </c>
      <c r="F1142" s="14" t="s">
        <v>183</v>
      </c>
      <c r="G1142" s="14" t="n">
        <v>1</v>
      </c>
      <c r="H1142" s="14" t="s">
        <v>154</v>
      </c>
      <c r="I1142" s="14" t="s">
        <v>892</v>
      </c>
      <c r="J1142" s="15" t="n">
        <f aca="false">IF(B1142="SITE LOSS",IF(D1142=C1142,1,0),IF(B1142="REGION LOSS",IF(E1142=C1142,1,0),0))</f>
        <v>0</v>
      </c>
      <c r="K1142" s="15" t="n">
        <f aca="false">IF(B1142="SITE LOSS",IF(COUNTIFS('Site Dockets'!$B$7:$B$24,C1142,'Site Dockets'!$C$7:$C$24,F1142)&gt;0,1,0),IF(B1142="REGION LOSS",IF(COUNTIFS('Site Dockets'!$E$7:$E$24,C1142,'Site Dockets'!$C$7:$C$24,F1142)&gt;0,1,0),0))</f>
        <v>1</v>
      </c>
      <c r="L1142" s="15" t="n">
        <f aca="false">IF(J1142=1,0,Inputs!$B$11)</f>
        <v>100</v>
      </c>
      <c r="M1142" s="15" t="n">
        <f aca="false">IF(J1142=1,0,Inputs!$B$12)</f>
        <v>75</v>
      </c>
      <c r="N1142" s="15" t="n">
        <f aca="false">IF(J1142=1,0,IF(OR(AND(OR(B1142="SITE LOSS",B1142="REGION LOSS"),K1142=1),AND(B1142="ROLE COMPROMISE",H1142=C1142)),Inputs!$B$13,Inputs!$B$14))</f>
        <v>20</v>
      </c>
      <c r="O1142" s="15" t="n">
        <f aca="false">IF(J1142=1,0,Inputs!$B$13)</f>
        <v>20</v>
      </c>
      <c r="P1142" s="15" t="n">
        <f aca="false">SUM(M1142:N1142)</f>
        <v>95</v>
      </c>
      <c r="Q1142" s="15" t="n">
        <f aca="false">IF(J1142=1,"",L1142-P1142)</f>
        <v>5</v>
      </c>
      <c r="R1142" s="15" t="n">
        <f aca="false">IF(OR(J1142=1,M1142&lt;=Inputs!$B$12),1,0)</f>
        <v>1</v>
      </c>
      <c r="S1142" s="15" t="n">
        <f aca="false">IF(OR(J1142=1,N1142&lt;=O1142),1,0)</f>
        <v>1</v>
      </c>
      <c r="T1142" s="15" t="str">
        <f aca="false">IF(J1142=1,"OFFLINE",IF(AND(Q1142&gt;=Inputs!$B$15,R1142=1,S1142=1,P1142&lt;=L1142),"PASS","FAIL"))</f>
        <v>PASS</v>
      </c>
    </row>
    <row r="1143" customFormat="false" ht="15" hidden="false" customHeight="false" outlineLevel="0" collapsed="false">
      <c r="A1143" s="14" t="s">
        <v>1029</v>
      </c>
      <c r="B1143" s="14" t="s">
        <v>1019</v>
      </c>
      <c r="C1143" s="14" t="s">
        <v>186</v>
      </c>
      <c r="D1143" s="14" t="s">
        <v>182</v>
      </c>
      <c r="E1143" s="14" t="s">
        <v>166</v>
      </c>
      <c r="F1143" s="14" t="s">
        <v>183</v>
      </c>
      <c r="G1143" s="14" t="n">
        <v>1</v>
      </c>
      <c r="H1143" s="14" t="s">
        <v>154</v>
      </c>
      <c r="I1143" s="14" t="s">
        <v>811</v>
      </c>
      <c r="J1143" s="15" t="n">
        <f aca="false">IF(B1143="SITE LOSS",IF(D1143=C1143,1,0),IF(B1143="REGION LOSS",IF(E1143=C1143,1,0),0))</f>
        <v>0</v>
      </c>
      <c r="K1143" s="15" t="n">
        <f aca="false">IF(B1143="SITE LOSS",IF(COUNTIFS('Site Dockets'!$B$7:$B$24,C1143,'Site Dockets'!$C$7:$C$24,F1143)&gt;0,1,0),IF(B1143="REGION LOSS",IF(COUNTIFS('Site Dockets'!$E$7:$E$24,C1143,'Site Dockets'!$C$7:$C$24,F1143)&gt;0,1,0),0))</f>
        <v>1</v>
      </c>
      <c r="L1143" s="15" t="n">
        <f aca="false">IF(J1143=1,0,Inputs!$B$11)</f>
        <v>100</v>
      </c>
      <c r="M1143" s="15" t="n">
        <f aca="false">IF(J1143=1,0,Inputs!$B$12)</f>
        <v>75</v>
      </c>
      <c r="N1143" s="15" t="n">
        <f aca="false">IF(J1143=1,0,IF(OR(AND(OR(B1143="SITE LOSS",B1143="REGION LOSS"),K1143=1),AND(B1143="ROLE COMPROMISE",H1143=C1143)),Inputs!$B$13,Inputs!$B$14))</f>
        <v>20</v>
      </c>
      <c r="O1143" s="15" t="n">
        <f aca="false">IF(J1143=1,0,Inputs!$B$13)</f>
        <v>20</v>
      </c>
      <c r="P1143" s="15" t="n">
        <f aca="false">SUM(M1143:N1143)</f>
        <v>95</v>
      </c>
      <c r="Q1143" s="15" t="n">
        <f aca="false">IF(J1143=1,"",L1143-P1143)</f>
        <v>5</v>
      </c>
      <c r="R1143" s="15" t="n">
        <f aca="false">IF(OR(J1143=1,M1143&lt;=Inputs!$B$12),1,0)</f>
        <v>1</v>
      </c>
      <c r="S1143" s="15" t="n">
        <f aca="false">IF(OR(J1143=1,N1143&lt;=O1143),1,0)</f>
        <v>1</v>
      </c>
      <c r="T1143" s="15" t="str">
        <f aca="false">IF(J1143=1,"OFFLINE",IF(AND(Q1143&gt;=Inputs!$B$15,R1143=1,S1143=1,P1143&lt;=L1143),"PASS","FAIL"))</f>
        <v>PASS</v>
      </c>
    </row>
    <row r="1144" customFormat="false" ht="15" hidden="false" customHeight="false" outlineLevel="0" collapsed="false">
      <c r="A1144" s="14" t="s">
        <v>1029</v>
      </c>
      <c r="B1144" s="14" t="s">
        <v>1019</v>
      </c>
      <c r="C1144" s="14" t="s">
        <v>186</v>
      </c>
      <c r="D1144" s="14" t="s">
        <v>182</v>
      </c>
      <c r="E1144" s="14" t="s">
        <v>166</v>
      </c>
      <c r="F1144" s="14" t="s">
        <v>183</v>
      </c>
      <c r="G1144" s="14" t="n">
        <v>1</v>
      </c>
      <c r="H1144" s="14" t="s">
        <v>154</v>
      </c>
      <c r="I1144" s="14" t="s">
        <v>895</v>
      </c>
      <c r="J1144" s="15" t="n">
        <f aca="false">IF(B1144="SITE LOSS",IF(D1144=C1144,1,0),IF(B1144="REGION LOSS",IF(E1144=C1144,1,0),0))</f>
        <v>0</v>
      </c>
      <c r="K1144" s="15" t="n">
        <f aca="false">IF(B1144="SITE LOSS",IF(COUNTIFS('Site Dockets'!$B$7:$B$24,C1144,'Site Dockets'!$C$7:$C$24,F1144)&gt;0,1,0),IF(B1144="REGION LOSS",IF(COUNTIFS('Site Dockets'!$E$7:$E$24,C1144,'Site Dockets'!$C$7:$C$24,F1144)&gt;0,1,0),0))</f>
        <v>1</v>
      </c>
      <c r="L1144" s="15" t="n">
        <f aca="false">IF(J1144=1,0,Inputs!$B$11)</f>
        <v>100</v>
      </c>
      <c r="M1144" s="15" t="n">
        <f aca="false">IF(J1144=1,0,Inputs!$B$12)</f>
        <v>75</v>
      </c>
      <c r="N1144" s="15" t="n">
        <f aca="false">IF(J1144=1,0,IF(OR(AND(OR(B1144="SITE LOSS",B1144="REGION LOSS"),K1144=1),AND(B1144="ROLE COMPROMISE",H1144=C1144)),Inputs!$B$13,Inputs!$B$14))</f>
        <v>20</v>
      </c>
      <c r="O1144" s="15" t="n">
        <f aca="false">IF(J1144=1,0,Inputs!$B$13)</f>
        <v>20</v>
      </c>
      <c r="P1144" s="15" t="n">
        <f aca="false">SUM(M1144:N1144)</f>
        <v>95</v>
      </c>
      <c r="Q1144" s="15" t="n">
        <f aca="false">IF(J1144=1,"",L1144-P1144)</f>
        <v>5</v>
      </c>
      <c r="R1144" s="15" t="n">
        <f aca="false">IF(OR(J1144=1,M1144&lt;=Inputs!$B$12),1,0)</f>
        <v>1</v>
      </c>
      <c r="S1144" s="15" t="n">
        <f aca="false">IF(OR(J1144=1,N1144&lt;=O1144),1,0)</f>
        <v>1</v>
      </c>
      <c r="T1144" s="15" t="str">
        <f aca="false">IF(J1144=1,"OFFLINE",IF(AND(Q1144&gt;=Inputs!$B$15,R1144=1,S1144=1,P1144&lt;=L1144),"PASS","FAIL"))</f>
        <v>PASS</v>
      </c>
    </row>
    <row r="1145" customFormat="false" ht="15" hidden="false" customHeight="false" outlineLevel="0" collapsed="false">
      <c r="A1145" s="14" t="s">
        <v>1029</v>
      </c>
      <c r="B1145" s="14" t="s">
        <v>1019</v>
      </c>
      <c r="C1145" s="14" t="s">
        <v>186</v>
      </c>
      <c r="D1145" s="14" t="s">
        <v>182</v>
      </c>
      <c r="E1145" s="14" t="s">
        <v>166</v>
      </c>
      <c r="F1145" s="14" t="s">
        <v>183</v>
      </c>
      <c r="G1145" s="14" t="n">
        <v>1</v>
      </c>
      <c r="H1145" s="14" t="s">
        <v>154</v>
      </c>
      <c r="I1145" s="14" t="s">
        <v>897</v>
      </c>
      <c r="J1145" s="15" t="n">
        <f aca="false">IF(B1145="SITE LOSS",IF(D1145=C1145,1,0),IF(B1145="REGION LOSS",IF(E1145=C1145,1,0),0))</f>
        <v>0</v>
      </c>
      <c r="K1145" s="15" t="n">
        <f aca="false">IF(B1145="SITE LOSS",IF(COUNTIFS('Site Dockets'!$B$7:$B$24,C1145,'Site Dockets'!$C$7:$C$24,F1145)&gt;0,1,0),IF(B1145="REGION LOSS",IF(COUNTIFS('Site Dockets'!$E$7:$E$24,C1145,'Site Dockets'!$C$7:$C$24,F1145)&gt;0,1,0),0))</f>
        <v>1</v>
      </c>
      <c r="L1145" s="15" t="n">
        <f aca="false">IF(J1145=1,0,Inputs!$B$11)</f>
        <v>100</v>
      </c>
      <c r="M1145" s="15" t="n">
        <f aca="false">IF(J1145=1,0,Inputs!$B$12)</f>
        <v>75</v>
      </c>
      <c r="N1145" s="15" t="n">
        <f aca="false">IF(J1145=1,0,IF(OR(AND(OR(B1145="SITE LOSS",B1145="REGION LOSS"),K1145=1),AND(B1145="ROLE COMPROMISE",H1145=C1145)),Inputs!$B$13,Inputs!$B$14))</f>
        <v>20</v>
      </c>
      <c r="O1145" s="15" t="n">
        <f aca="false">IF(J1145=1,0,Inputs!$B$13)</f>
        <v>20</v>
      </c>
      <c r="P1145" s="15" t="n">
        <f aca="false">SUM(M1145:N1145)</f>
        <v>95</v>
      </c>
      <c r="Q1145" s="15" t="n">
        <f aca="false">IF(J1145=1,"",L1145-P1145)</f>
        <v>5</v>
      </c>
      <c r="R1145" s="15" t="n">
        <f aca="false">IF(OR(J1145=1,M1145&lt;=Inputs!$B$12),1,0)</f>
        <v>1</v>
      </c>
      <c r="S1145" s="15" t="n">
        <f aca="false">IF(OR(J1145=1,N1145&lt;=O1145),1,0)</f>
        <v>1</v>
      </c>
      <c r="T1145" s="15" t="str">
        <f aca="false">IF(J1145=1,"OFFLINE",IF(AND(Q1145&gt;=Inputs!$B$15,R1145=1,S1145=1,P1145&lt;=L1145),"PASS","FAIL"))</f>
        <v>PASS</v>
      </c>
    </row>
    <row r="1146" customFormat="false" ht="15" hidden="false" customHeight="false" outlineLevel="0" collapsed="false">
      <c r="A1146" s="14" t="s">
        <v>1029</v>
      </c>
      <c r="B1146" s="14" t="s">
        <v>1019</v>
      </c>
      <c r="C1146" s="14" t="s">
        <v>186</v>
      </c>
      <c r="D1146" s="14" t="s">
        <v>182</v>
      </c>
      <c r="E1146" s="14" t="s">
        <v>166</v>
      </c>
      <c r="F1146" s="14" t="s">
        <v>183</v>
      </c>
      <c r="G1146" s="14" t="n">
        <v>1</v>
      </c>
      <c r="H1146" s="14" t="s">
        <v>154</v>
      </c>
      <c r="I1146" s="14" t="s">
        <v>899</v>
      </c>
      <c r="J1146" s="15" t="n">
        <f aca="false">IF(B1146="SITE LOSS",IF(D1146=C1146,1,0),IF(B1146="REGION LOSS",IF(E1146=C1146,1,0),0))</f>
        <v>0</v>
      </c>
      <c r="K1146" s="15" t="n">
        <f aca="false">IF(B1146="SITE LOSS",IF(COUNTIFS('Site Dockets'!$B$7:$B$24,C1146,'Site Dockets'!$C$7:$C$24,F1146)&gt;0,1,0),IF(B1146="REGION LOSS",IF(COUNTIFS('Site Dockets'!$E$7:$E$24,C1146,'Site Dockets'!$C$7:$C$24,F1146)&gt;0,1,0),0))</f>
        <v>1</v>
      </c>
      <c r="L1146" s="15" t="n">
        <f aca="false">IF(J1146=1,0,Inputs!$B$11)</f>
        <v>100</v>
      </c>
      <c r="M1146" s="15" t="n">
        <f aca="false">IF(J1146=1,0,Inputs!$B$12)</f>
        <v>75</v>
      </c>
      <c r="N1146" s="15" t="n">
        <f aca="false">IF(J1146=1,0,IF(OR(AND(OR(B1146="SITE LOSS",B1146="REGION LOSS"),K1146=1),AND(B1146="ROLE COMPROMISE",H1146=C1146)),Inputs!$B$13,Inputs!$B$14))</f>
        <v>20</v>
      </c>
      <c r="O1146" s="15" t="n">
        <f aca="false">IF(J1146=1,0,Inputs!$B$13)</f>
        <v>20</v>
      </c>
      <c r="P1146" s="15" t="n">
        <f aca="false">SUM(M1146:N1146)</f>
        <v>95</v>
      </c>
      <c r="Q1146" s="15" t="n">
        <f aca="false">IF(J1146=1,"",L1146-P1146)</f>
        <v>5</v>
      </c>
      <c r="R1146" s="15" t="n">
        <f aca="false">IF(OR(J1146=1,M1146&lt;=Inputs!$B$12),1,0)</f>
        <v>1</v>
      </c>
      <c r="S1146" s="15" t="n">
        <f aca="false">IF(OR(J1146=1,N1146&lt;=O1146),1,0)</f>
        <v>1</v>
      </c>
      <c r="T1146" s="15" t="str">
        <f aca="false">IF(J1146=1,"OFFLINE",IF(AND(Q1146&gt;=Inputs!$B$15,R1146=1,S1146=1,P1146&lt;=L1146),"PASS","FAIL"))</f>
        <v>PASS</v>
      </c>
    </row>
    <row r="1147" customFormat="false" ht="15" hidden="false" customHeight="false" outlineLevel="0" collapsed="false">
      <c r="A1147" s="14" t="s">
        <v>1029</v>
      </c>
      <c r="B1147" s="14" t="s">
        <v>1019</v>
      </c>
      <c r="C1147" s="14" t="s">
        <v>186</v>
      </c>
      <c r="D1147" s="14" t="s">
        <v>186</v>
      </c>
      <c r="E1147" s="14" t="s">
        <v>157</v>
      </c>
      <c r="F1147" s="14" t="s">
        <v>183</v>
      </c>
      <c r="G1147" s="14" t="n">
        <v>2</v>
      </c>
      <c r="H1147" s="14" t="s">
        <v>153</v>
      </c>
      <c r="I1147" s="14" t="s">
        <v>890</v>
      </c>
      <c r="J1147" s="15" t="n">
        <f aca="false">IF(B1147="SITE LOSS",IF(D1147=C1147,1,0),IF(B1147="REGION LOSS",IF(E1147=C1147,1,0),0))</f>
        <v>1</v>
      </c>
      <c r="K1147" s="15" t="n">
        <f aca="false">IF(B1147="SITE LOSS",IF(COUNTIFS('Site Dockets'!$B$7:$B$24,C1147,'Site Dockets'!$C$7:$C$24,F1147)&gt;0,1,0),IF(B1147="REGION LOSS",IF(COUNTIFS('Site Dockets'!$E$7:$E$24,C1147,'Site Dockets'!$C$7:$C$24,F1147)&gt;0,1,0),0))</f>
        <v>1</v>
      </c>
      <c r="L1147" s="15" t="n">
        <f aca="false">IF(J1147=1,0,Inputs!$B$11)</f>
        <v>0</v>
      </c>
      <c r="M1147" s="15" t="n">
        <f aca="false">IF(J1147=1,0,Inputs!$B$12)</f>
        <v>0</v>
      </c>
      <c r="N1147" s="15" t="n">
        <f aca="false">IF(J1147=1,0,IF(OR(AND(OR(B1147="SITE LOSS",B1147="REGION LOSS"),K1147=1),AND(B1147="ROLE COMPROMISE",H1147=C1147)),Inputs!$B$13,Inputs!$B$14))</f>
        <v>0</v>
      </c>
      <c r="O1147" s="15" t="n">
        <f aca="false">IF(J1147=1,0,Inputs!$B$13)</f>
        <v>0</v>
      </c>
      <c r="P1147" s="15" t="n">
        <f aca="false">SUM(M1147:N1147)</f>
        <v>0</v>
      </c>
      <c r="Q1147" s="15" t="str">
        <f aca="false">IF(J1147=1,"",L1147-P1147)</f>
        <v/>
      </c>
      <c r="R1147" s="15" t="n">
        <f aca="false">IF(OR(J1147=1,M1147&lt;=Inputs!$B$12),1,0)</f>
        <v>1</v>
      </c>
      <c r="S1147" s="15" t="n">
        <f aca="false">IF(OR(J1147=1,N1147&lt;=O1147),1,0)</f>
        <v>1</v>
      </c>
      <c r="T1147" s="15" t="str">
        <f aca="false">IF(J1147=1,"OFFLINE",IF(AND(Q1147&gt;=Inputs!$B$15,R1147=1,S1147=1,P1147&lt;=L1147),"PASS","FAIL"))</f>
        <v>OFFLINE</v>
      </c>
    </row>
    <row r="1148" customFormat="false" ht="15" hidden="false" customHeight="false" outlineLevel="0" collapsed="false">
      <c r="A1148" s="14" t="s">
        <v>1029</v>
      </c>
      <c r="B1148" s="14" t="s">
        <v>1019</v>
      </c>
      <c r="C1148" s="14" t="s">
        <v>186</v>
      </c>
      <c r="D1148" s="14" t="s">
        <v>186</v>
      </c>
      <c r="E1148" s="14" t="s">
        <v>157</v>
      </c>
      <c r="F1148" s="14" t="s">
        <v>183</v>
      </c>
      <c r="G1148" s="14" t="n">
        <v>2</v>
      </c>
      <c r="H1148" s="14" t="s">
        <v>153</v>
      </c>
      <c r="I1148" s="14" t="s">
        <v>892</v>
      </c>
      <c r="J1148" s="15" t="n">
        <f aca="false">IF(B1148="SITE LOSS",IF(D1148=C1148,1,0),IF(B1148="REGION LOSS",IF(E1148=C1148,1,0),0))</f>
        <v>1</v>
      </c>
      <c r="K1148" s="15" t="n">
        <f aca="false">IF(B1148="SITE LOSS",IF(COUNTIFS('Site Dockets'!$B$7:$B$24,C1148,'Site Dockets'!$C$7:$C$24,F1148)&gt;0,1,0),IF(B1148="REGION LOSS",IF(COUNTIFS('Site Dockets'!$E$7:$E$24,C1148,'Site Dockets'!$C$7:$C$24,F1148)&gt;0,1,0),0))</f>
        <v>1</v>
      </c>
      <c r="L1148" s="15" t="n">
        <f aca="false">IF(J1148=1,0,Inputs!$B$11)</f>
        <v>0</v>
      </c>
      <c r="M1148" s="15" t="n">
        <f aca="false">IF(J1148=1,0,Inputs!$B$12)</f>
        <v>0</v>
      </c>
      <c r="N1148" s="15" t="n">
        <f aca="false">IF(J1148=1,0,IF(OR(AND(OR(B1148="SITE LOSS",B1148="REGION LOSS"),K1148=1),AND(B1148="ROLE COMPROMISE",H1148=C1148)),Inputs!$B$13,Inputs!$B$14))</f>
        <v>0</v>
      </c>
      <c r="O1148" s="15" t="n">
        <f aca="false">IF(J1148=1,0,Inputs!$B$13)</f>
        <v>0</v>
      </c>
      <c r="P1148" s="15" t="n">
        <f aca="false">SUM(M1148:N1148)</f>
        <v>0</v>
      </c>
      <c r="Q1148" s="15" t="str">
        <f aca="false">IF(J1148=1,"",L1148-P1148)</f>
        <v/>
      </c>
      <c r="R1148" s="15" t="n">
        <f aca="false">IF(OR(J1148=1,M1148&lt;=Inputs!$B$12),1,0)</f>
        <v>1</v>
      </c>
      <c r="S1148" s="15" t="n">
        <f aca="false">IF(OR(J1148=1,N1148&lt;=O1148),1,0)</f>
        <v>1</v>
      </c>
      <c r="T1148" s="15" t="str">
        <f aca="false">IF(J1148=1,"OFFLINE",IF(AND(Q1148&gt;=Inputs!$B$15,R1148=1,S1148=1,P1148&lt;=L1148),"PASS","FAIL"))</f>
        <v>OFFLINE</v>
      </c>
    </row>
    <row r="1149" customFormat="false" ht="15" hidden="false" customHeight="false" outlineLevel="0" collapsed="false">
      <c r="A1149" s="14" t="s">
        <v>1029</v>
      </c>
      <c r="B1149" s="14" t="s">
        <v>1019</v>
      </c>
      <c r="C1149" s="14" t="s">
        <v>186</v>
      </c>
      <c r="D1149" s="14" t="s">
        <v>186</v>
      </c>
      <c r="E1149" s="14" t="s">
        <v>157</v>
      </c>
      <c r="F1149" s="14" t="s">
        <v>183</v>
      </c>
      <c r="G1149" s="14" t="n">
        <v>2</v>
      </c>
      <c r="H1149" s="14" t="s">
        <v>153</v>
      </c>
      <c r="I1149" s="14" t="s">
        <v>811</v>
      </c>
      <c r="J1149" s="15" t="n">
        <f aca="false">IF(B1149="SITE LOSS",IF(D1149=C1149,1,0),IF(B1149="REGION LOSS",IF(E1149=C1149,1,0),0))</f>
        <v>1</v>
      </c>
      <c r="K1149" s="15" t="n">
        <f aca="false">IF(B1149="SITE LOSS",IF(COUNTIFS('Site Dockets'!$B$7:$B$24,C1149,'Site Dockets'!$C$7:$C$24,F1149)&gt;0,1,0),IF(B1149="REGION LOSS",IF(COUNTIFS('Site Dockets'!$E$7:$E$24,C1149,'Site Dockets'!$C$7:$C$24,F1149)&gt;0,1,0),0))</f>
        <v>1</v>
      </c>
      <c r="L1149" s="15" t="n">
        <f aca="false">IF(J1149=1,0,Inputs!$B$11)</f>
        <v>0</v>
      </c>
      <c r="M1149" s="15" t="n">
        <f aca="false">IF(J1149=1,0,Inputs!$B$12)</f>
        <v>0</v>
      </c>
      <c r="N1149" s="15" t="n">
        <f aca="false">IF(J1149=1,0,IF(OR(AND(OR(B1149="SITE LOSS",B1149="REGION LOSS"),K1149=1),AND(B1149="ROLE COMPROMISE",H1149=C1149)),Inputs!$B$13,Inputs!$B$14))</f>
        <v>0</v>
      </c>
      <c r="O1149" s="15" t="n">
        <f aca="false">IF(J1149=1,0,Inputs!$B$13)</f>
        <v>0</v>
      </c>
      <c r="P1149" s="15" t="n">
        <f aca="false">SUM(M1149:N1149)</f>
        <v>0</v>
      </c>
      <c r="Q1149" s="15" t="str">
        <f aca="false">IF(J1149=1,"",L1149-P1149)</f>
        <v/>
      </c>
      <c r="R1149" s="15" t="n">
        <f aca="false">IF(OR(J1149=1,M1149&lt;=Inputs!$B$12),1,0)</f>
        <v>1</v>
      </c>
      <c r="S1149" s="15" t="n">
        <f aca="false">IF(OR(J1149=1,N1149&lt;=O1149),1,0)</f>
        <v>1</v>
      </c>
      <c r="T1149" s="15" t="str">
        <f aca="false">IF(J1149=1,"OFFLINE",IF(AND(Q1149&gt;=Inputs!$B$15,R1149=1,S1149=1,P1149&lt;=L1149),"PASS","FAIL"))</f>
        <v>OFFLINE</v>
      </c>
    </row>
    <row r="1150" customFormat="false" ht="15" hidden="false" customHeight="false" outlineLevel="0" collapsed="false">
      <c r="A1150" s="14" t="s">
        <v>1029</v>
      </c>
      <c r="B1150" s="14" t="s">
        <v>1019</v>
      </c>
      <c r="C1150" s="14" t="s">
        <v>186</v>
      </c>
      <c r="D1150" s="14" t="s">
        <v>186</v>
      </c>
      <c r="E1150" s="14" t="s">
        <v>157</v>
      </c>
      <c r="F1150" s="14" t="s">
        <v>183</v>
      </c>
      <c r="G1150" s="14" t="n">
        <v>2</v>
      </c>
      <c r="H1150" s="14" t="s">
        <v>153</v>
      </c>
      <c r="I1150" s="14" t="s">
        <v>895</v>
      </c>
      <c r="J1150" s="15" t="n">
        <f aca="false">IF(B1150="SITE LOSS",IF(D1150=C1150,1,0),IF(B1150="REGION LOSS",IF(E1150=C1150,1,0),0))</f>
        <v>1</v>
      </c>
      <c r="K1150" s="15" t="n">
        <f aca="false">IF(B1150="SITE LOSS",IF(COUNTIFS('Site Dockets'!$B$7:$B$24,C1150,'Site Dockets'!$C$7:$C$24,F1150)&gt;0,1,0),IF(B1150="REGION LOSS",IF(COUNTIFS('Site Dockets'!$E$7:$E$24,C1150,'Site Dockets'!$C$7:$C$24,F1150)&gt;0,1,0),0))</f>
        <v>1</v>
      </c>
      <c r="L1150" s="15" t="n">
        <f aca="false">IF(J1150=1,0,Inputs!$B$11)</f>
        <v>0</v>
      </c>
      <c r="M1150" s="15" t="n">
        <f aca="false">IF(J1150=1,0,Inputs!$B$12)</f>
        <v>0</v>
      </c>
      <c r="N1150" s="15" t="n">
        <f aca="false">IF(J1150=1,0,IF(OR(AND(OR(B1150="SITE LOSS",B1150="REGION LOSS"),K1150=1),AND(B1150="ROLE COMPROMISE",H1150=C1150)),Inputs!$B$13,Inputs!$B$14))</f>
        <v>0</v>
      </c>
      <c r="O1150" s="15" t="n">
        <f aca="false">IF(J1150=1,0,Inputs!$B$13)</f>
        <v>0</v>
      </c>
      <c r="P1150" s="15" t="n">
        <f aca="false">SUM(M1150:N1150)</f>
        <v>0</v>
      </c>
      <c r="Q1150" s="15" t="str">
        <f aca="false">IF(J1150=1,"",L1150-P1150)</f>
        <v/>
      </c>
      <c r="R1150" s="15" t="n">
        <f aca="false">IF(OR(J1150=1,M1150&lt;=Inputs!$B$12),1,0)</f>
        <v>1</v>
      </c>
      <c r="S1150" s="15" t="n">
        <f aca="false">IF(OR(J1150=1,N1150&lt;=O1150),1,0)</f>
        <v>1</v>
      </c>
      <c r="T1150" s="15" t="str">
        <f aca="false">IF(J1150=1,"OFFLINE",IF(AND(Q1150&gt;=Inputs!$B$15,R1150=1,S1150=1,P1150&lt;=L1150),"PASS","FAIL"))</f>
        <v>OFFLINE</v>
      </c>
    </row>
    <row r="1151" customFormat="false" ht="15" hidden="false" customHeight="false" outlineLevel="0" collapsed="false">
      <c r="A1151" s="14" t="s">
        <v>1029</v>
      </c>
      <c r="B1151" s="14" t="s">
        <v>1019</v>
      </c>
      <c r="C1151" s="14" t="s">
        <v>186</v>
      </c>
      <c r="D1151" s="14" t="s">
        <v>186</v>
      </c>
      <c r="E1151" s="14" t="s">
        <v>157</v>
      </c>
      <c r="F1151" s="14" t="s">
        <v>183</v>
      </c>
      <c r="G1151" s="14" t="n">
        <v>2</v>
      </c>
      <c r="H1151" s="14" t="s">
        <v>153</v>
      </c>
      <c r="I1151" s="14" t="s">
        <v>897</v>
      </c>
      <c r="J1151" s="15" t="n">
        <f aca="false">IF(B1151="SITE LOSS",IF(D1151=C1151,1,0),IF(B1151="REGION LOSS",IF(E1151=C1151,1,0),0))</f>
        <v>1</v>
      </c>
      <c r="K1151" s="15" t="n">
        <f aca="false">IF(B1151="SITE LOSS",IF(COUNTIFS('Site Dockets'!$B$7:$B$24,C1151,'Site Dockets'!$C$7:$C$24,F1151)&gt;0,1,0),IF(B1151="REGION LOSS",IF(COUNTIFS('Site Dockets'!$E$7:$E$24,C1151,'Site Dockets'!$C$7:$C$24,F1151)&gt;0,1,0),0))</f>
        <v>1</v>
      </c>
      <c r="L1151" s="15" t="n">
        <f aca="false">IF(J1151=1,0,Inputs!$B$11)</f>
        <v>0</v>
      </c>
      <c r="M1151" s="15" t="n">
        <f aca="false">IF(J1151=1,0,Inputs!$B$12)</f>
        <v>0</v>
      </c>
      <c r="N1151" s="15" t="n">
        <f aca="false">IF(J1151=1,0,IF(OR(AND(OR(B1151="SITE LOSS",B1151="REGION LOSS"),K1151=1),AND(B1151="ROLE COMPROMISE",H1151=C1151)),Inputs!$B$13,Inputs!$B$14))</f>
        <v>0</v>
      </c>
      <c r="O1151" s="15" t="n">
        <f aca="false">IF(J1151=1,0,Inputs!$B$13)</f>
        <v>0</v>
      </c>
      <c r="P1151" s="15" t="n">
        <f aca="false">SUM(M1151:N1151)</f>
        <v>0</v>
      </c>
      <c r="Q1151" s="15" t="str">
        <f aca="false">IF(J1151=1,"",L1151-P1151)</f>
        <v/>
      </c>
      <c r="R1151" s="15" t="n">
        <f aca="false">IF(OR(J1151=1,M1151&lt;=Inputs!$B$12),1,0)</f>
        <v>1</v>
      </c>
      <c r="S1151" s="15" t="n">
        <f aca="false">IF(OR(J1151=1,N1151&lt;=O1151),1,0)</f>
        <v>1</v>
      </c>
      <c r="T1151" s="15" t="str">
        <f aca="false">IF(J1151=1,"OFFLINE",IF(AND(Q1151&gt;=Inputs!$B$15,R1151=1,S1151=1,P1151&lt;=L1151),"PASS","FAIL"))</f>
        <v>OFFLINE</v>
      </c>
    </row>
    <row r="1152" customFormat="false" ht="15" hidden="false" customHeight="false" outlineLevel="0" collapsed="false">
      <c r="A1152" s="14" t="s">
        <v>1029</v>
      </c>
      <c r="B1152" s="14" t="s">
        <v>1019</v>
      </c>
      <c r="C1152" s="14" t="s">
        <v>186</v>
      </c>
      <c r="D1152" s="14" t="s">
        <v>186</v>
      </c>
      <c r="E1152" s="14" t="s">
        <v>157</v>
      </c>
      <c r="F1152" s="14" t="s">
        <v>183</v>
      </c>
      <c r="G1152" s="14" t="n">
        <v>2</v>
      </c>
      <c r="H1152" s="14" t="s">
        <v>153</v>
      </c>
      <c r="I1152" s="14" t="s">
        <v>899</v>
      </c>
      <c r="J1152" s="15" t="n">
        <f aca="false">IF(B1152="SITE LOSS",IF(D1152=C1152,1,0),IF(B1152="REGION LOSS",IF(E1152=C1152,1,0),0))</f>
        <v>1</v>
      </c>
      <c r="K1152" s="15" t="n">
        <f aca="false">IF(B1152="SITE LOSS",IF(COUNTIFS('Site Dockets'!$B$7:$B$24,C1152,'Site Dockets'!$C$7:$C$24,F1152)&gt;0,1,0),IF(B1152="REGION LOSS",IF(COUNTIFS('Site Dockets'!$E$7:$E$24,C1152,'Site Dockets'!$C$7:$C$24,F1152)&gt;0,1,0),0))</f>
        <v>1</v>
      </c>
      <c r="L1152" s="15" t="n">
        <f aca="false">IF(J1152=1,0,Inputs!$B$11)</f>
        <v>0</v>
      </c>
      <c r="M1152" s="15" t="n">
        <f aca="false">IF(J1152=1,0,Inputs!$B$12)</f>
        <v>0</v>
      </c>
      <c r="N1152" s="15" t="n">
        <f aca="false">IF(J1152=1,0,IF(OR(AND(OR(B1152="SITE LOSS",B1152="REGION LOSS"),K1152=1),AND(B1152="ROLE COMPROMISE",H1152=C1152)),Inputs!$B$13,Inputs!$B$14))</f>
        <v>0</v>
      </c>
      <c r="O1152" s="15" t="n">
        <f aca="false">IF(J1152=1,0,Inputs!$B$13)</f>
        <v>0</v>
      </c>
      <c r="P1152" s="15" t="n">
        <f aca="false">SUM(M1152:N1152)</f>
        <v>0</v>
      </c>
      <c r="Q1152" s="15" t="str">
        <f aca="false">IF(J1152=1,"",L1152-P1152)</f>
        <v/>
      </c>
      <c r="R1152" s="15" t="n">
        <f aca="false">IF(OR(J1152=1,M1152&lt;=Inputs!$B$12),1,0)</f>
        <v>1</v>
      </c>
      <c r="S1152" s="15" t="n">
        <f aca="false">IF(OR(J1152=1,N1152&lt;=O1152),1,0)</f>
        <v>1</v>
      </c>
      <c r="T1152" s="15" t="str">
        <f aca="false">IF(J1152=1,"OFFLINE",IF(AND(Q1152&gt;=Inputs!$B$15,R1152=1,S1152=1,P1152&lt;=L1152),"PASS","FAIL"))</f>
        <v>OFFLINE</v>
      </c>
    </row>
    <row r="1153" customFormat="false" ht="15" hidden="false" customHeight="false" outlineLevel="0" collapsed="false">
      <c r="A1153" s="14" t="s">
        <v>1029</v>
      </c>
      <c r="B1153" s="14" t="s">
        <v>1019</v>
      </c>
      <c r="C1153" s="14" t="s">
        <v>186</v>
      </c>
      <c r="D1153" s="14" t="s">
        <v>188</v>
      </c>
      <c r="E1153" s="14" t="s">
        <v>172</v>
      </c>
      <c r="F1153" s="14" t="s">
        <v>183</v>
      </c>
      <c r="G1153" s="14" t="n">
        <v>3</v>
      </c>
      <c r="H1153" s="14" t="s">
        <v>158</v>
      </c>
      <c r="I1153" s="14" t="s">
        <v>890</v>
      </c>
      <c r="J1153" s="15" t="n">
        <f aca="false">IF(B1153="SITE LOSS",IF(D1153=C1153,1,0),IF(B1153="REGION LOSS",IF(E1153=C1153,1,0),0))</f>
        <v>0</v>
      </c>
      <c r="K1153" s="15" t="n">
        <f aca="false">IF(B1153="SITE LOSS",IF(COUNTIFS('Site Dockets'!$B$7:$B$24,C1153,'Site Dockets'!$C$7:$C$24,F1153)&gt;0,1,0),IF(B1153="REGION LOSS",IF(COUNTIFS('Site Dockets'!$E$7:$E$24,C1153,'Site Dockets'!$C$7:$C$24,F1153)&gt;0,1,0),0))</f>
        <v>1</v>
      </c>
      <c r="L1153" s="15" t="n">
        <f aca="false">IF(J1153=1,0,Inputs!$B$11)</f>
        <v>100</v>
      </c>
      <c r="M1153" s="15" t="n">
        <f aca="false">IF(J1153=1,0,Inputs!$B$12)</f>
        <v>75</v>
      </c>
      <c r="N1153" s="15" t="n">
        <f aca="false">IF(J1153=1,0,IF(OR(AND(OR(B1153="SITE LOSS",B1153="REGION LOSS"),K1153=1),AND(B1153="ROLE COMPROMISE",H1153=C1153)),Inputs!$B$13,Inputs!$B$14))</f>
        <v>20</v>
      </c>
      <c r="O1153" s="15" t="n">
        <f aca="false">IF(J1153=1,0,Inputs!$B$13)</f>
        <v>20</v>
      </c>
      <c r="P1153" s="15" t="n">
        <f aca="false">SUM(M1153:N1153)</f>
        <v>95</v>
      </c>
      <c r="Q1153" s="15" t="n">
        <f aca="false">IF(J1153=1,"",L1153-P1153)</f>
        <v>5</v>
      </c>
      <c r="R1153" s="15" t="n">
        <f aca="false">IF(OR(J1153=1,M1153&lt;=Inputs!$B$12),1,0)</f>
        <v>1</v>
      </c>
      <c r="S1153" s="15" t="n">
        <f aca="false">IF(OR(J1153=1,N1153&lt;=O1153),1,0)</f>
        <v>1</v>
      </c>
      <c r="T1153" s="15" t="str">
        <f aca="false">IF(J1153=1,"OFFLINE",IF(AND(Q1153&gt;=Inputs!$B$15,R1153=1,S1153=1,P1153&lt;=L1153),"PASS","FAIL"))</f>
        <v>PASS</v>
      </c>
    </row>
    <row r="1154" customFormat="false" ht="15" hidden="false" customHeight="false" outlineLevel="0" collapsed="false">
      <c r="A1154" s="14" t="s">
        <v>1029</v>
      </c>
      <c r="B1154" s="14" t="s">
        <v>1019</v>
      </c>
      <c r="C1154" s="14" t="s">
        <v>186</v>
      </c>
      <c r="D1154" s="14" t="s">
        <v>188</v>
      </c>
      <c r="E1154" s="14" t="s">
        <v>172</v>
      </c>
      <c r="F1154" s="14" t="s">
        <v>183</v>
      </c>
      <c r="G1154" s="14" t="n">
        <v>3</v>
      </c>
      <c r="H1154" s="14" t="s">
        <v>158</v>
      </c>
      <c r="I1154" s="14" t="s">
        <v>892</v>
      </c>
      <c r="J1154" s="15" t="n">
        <f aca="false">IF(B1154="SITE LOSS",IF(D1154=C1154,1,0),IF(B1154="REGION LOSS",IF(E1154=C1154,1,0),0))</f>
        <v>0</v>
      </c>
      <c r="K1154" s="15" t="n">
        <f aca="false">IF(B1154="SITE LOSS",IF(COUNTIFS('Site Dockets'!$B$7:$B$24,C1154,'Site Dockets'!$C$7:$C$24,F1154)&gt;0,1,0),IF(B1154="REGION LOSS",IF(COUNTIFS('Site Dockets'!$E$7:$E$24,C1154,'Site Dockets'!$C$7:$C$24,F1154)&gt;0,1,0),0))</f>
        <v>1</v>
      </c>
      <c r="L1154" s="15" t="n">
        <f aca="false">IF(J1154=1,0,Inputs!$B$11)</f>
        <v>100</v>
      </c>
      <c r="M1154" s="15" t="n">
        <f aca="false">IF(J1154=1,0,Inputs!$B$12)</f>
        <v>75</v>
      </c>
      <c r="N1154" s="15" t="n">
        <f aca="false">IF(J1154=1,0,IF(OR(AND(OR(B1154="SITE LOSS",B1154="REGION LOSS"),K1154=1),AND(B1154="ROLE COMPROMISE",H1154=C1154)),Inputs!$B$13,Inputs!$B$14))</f>
        <v>20</v>
      </c>
      <c r="O1154" s="15" t="n">
        <f aca="false">IF(J1154=1,0,Inputs!$B$13)</f>
        <v>20</v>
      </c>
      <c r="P1154" s="15" t="n">
        <f aca="false">SUM(M1154:N1154)</f>
        <v>95</v>
      </c>
      <c r="Q1154" s="15" t="n">
        <f aca="false">IF(J1154=1,"",L1154-P1154)</f>
        <v>5</v>
      </c>
      <c r="R1154" s="15" t="n">
        <f aca="false">IF(OR(J1154=1,M1154&lt;=Inputs!$B$12),1,0)</f>
        <v>1</v>
      </c>
      <c r="S1154" s="15" t="n">
        <f aca="false">IF(OR(J1154=1,N1154&lt;=O1154),1,0)</f>
        <v>1</v>
      </c>
      <c r="T1154" s="15" t="str">
        <f aca="false">IF(J1154=1,"OFFLINE",IF(AND(Q1154&gt;=Inputs!$B$15,R1154=1,S1154=1,P1154&lt;=L1154),"PASS","FAIL"))</f>
        <v>PASS</v>
      </c>
    </row>
    <row r="1155" customFormat="false" ht="15" hidden="false" customHeight="false" outlineLevel="0" collapsed="false">
      <c r="A1155" s="14" t="s">
        <v>1029</v>
      </c>
      <c r="B1155" s="14" t="s">
        <v>1019</v>
      </c>
      <c r="C1155" s="14" t="s">
        <v>186</v>
      </c>
      <c r="D1155" s="14" t="s">
        <v>188</v>
      </c>
      <c r="E1155" s="14" t="s">
        <v>172</v>
      </c>
      <c r="F1155" s="14" t="s">
        <v>183</v>
      </c>
      <c r="G1155" s="14" t="n">
        <v>3</v>
      </c>
      <c r="H1155" s="14" t="s">
        <v>158</v>
      </c>
      <c r="I1155" s="14" t="s">
        <v>811</v>
      </c>
      <c r="J1155" s="15" t="n">
        <f aca="false">IF(B1155="SITE LOSS",IF(D1155=C1155,1,0),IF(B1155="REGION LOSS",IF(E1155=C1155,1,0),0))</f>
        <v>0</v>
      </c>
      <c r="K1155" s="15" t="n">
        <f aca="false">IF(B1155="SITE LOSS",IF(COUNTIFS('Site Dockets'!$B$7:$B$24,C1155,'Site Dockets'!$C$7:$C$24,F1155)&gt;0,1,0),IF(B1155="REGION LOSS",IF(COUNTIFS('Site Dockets'!$E$7:$E$24,C1155,'Site Dockets'!$C$7:$C$24,F1155)&gt;0,1,0),0))</f>
        <v>1</v>
      </c>
      <c r="L1155" s="15" t="n">
        <f aca="false">IF(J1155=1,0,Inputs!$B$11)</f>
        <v>100</v>
      </c>
      <c r="M1155" s="15" t="n">
        <f aca="false">IF(J1155=1,0,Inputs!$B$12)</f>
        <v>75</v>
      </c>
      <c r="N1155" s="15" t="n">
        <f aca="false">IF(J1155=1,0,IF(OR(AND(OR(B1155="SITE LOSS",B1155="REGION LOSS"),K1155=1),AND(B1155="ROLE COMPROMISE",H1155=C1155)),Inputs!$B$13,Inputs!$B$14))</f>
        <v>20</v>
      </c>
      <c r="O1155" s="15" t="n">
        <f aca="false">IF(J1155=1,0,Inputs!$B$13)</f>
        <v>20</v>
      </c>
      <c r="P1155" s="15" t="n">
        <f aca="false">SUM(M1155:N1155)</f>
        <v>95</v>
      </c>
      <c r="Q1155" s="15" t="n">
        <f aca="false">IF(J1155=1,"",L1155-P1155)</f>
        <v>5</v>
      </c>
      <c r="R1155" s="15" t="n">
        <f aca="false">IF(OR(J1155=1,M1155&lt;=Inputs!$B$12),1,0)</f>
        <v>1</v>
      </c>
      <c r="S1155" s="15" t="n">
        <f aca="false">IF(OR(J1155=1,N1155&lt;=O1155),1,0)</f>
        <v>1</v>
      </c>
      <c r="T1155" s="15" t="str">
        <f aca="false">IF(J1155=1,"OFFLINE",IF(AND(Q1155&gt;=Inputs!$B$15,R1155=1,S1155=1,P1155&lt;=L1155),"PASS","FAIL"))</f>
        <v>PASS</v>
      </c>
    </row>
    <row r="1156" customFormat="false" ht="15" hidden="false" customHeight="false" outlineLevel="0" collapsed="false">
      <c r="A1156" s="14" t="s">
        <v>1029</v>
      </c>
      <c r="B1156" s="14" t="s">
        <v>1019</v>
      </c>
      <c r="C1156" s="14" t="s">
        <v>186</v>
      </c>
      <c r="D1156" s="14" t="s">
        <v>188</v>
      </c>
      <c r="E1156" s="14" t="s">
        <v>172</v>
      </c>
      <c r="F1156" s="14" t="s">
        <v>183</v>
      </c>
      <c r="G1156" s="14" t="n">
        <v>3</v>
      </c>
      <c r="H1156" s="14" t="s">
        <v>158</v>
      </c>
      <c r="I1156" s="14" t="s">
        <v>895</v>
      </c>
      <c r="J1156" s="15" t="n">
        <f aca="false">IF(B1156="SITE LOSS",IF(D1156=C1156,1,0),IF(B1156="REGION LOSS",IF(E1156=C1156,1,0),0))</f>
        <v>0</v>
      </c>
      <c r="K1156" s="15" t="n">
        <f aca="false">IF(B1156="SITE LOSS",IF(COUNTIFS('Site Dockets'!$B$7:$B$24,C1156,'Site Dockets'!$C$7:$C$24,F1156)&gt;0,1,0),IF(B1156="REGION LOSS",IF(COUNTIFS('Site Dockets'!$E$7:$E$24,C1156,'Site Dockets'!$C$7:$C$24,F1156)&gt;0,1,0),0))</f>
        <v>1</v>
      </c>
      <c r="L1156" s="15" t="n">
        <f aca="false">IF(J1156=1,0,Inputs!$B$11)</f>
        <v>100</v>
      </c>
      <c r="M1156" s="15" t="n">
        <f aca="false">IF(J1156=1,0,Inputs!$B$12)</f>
        <v>75</v>
      </c>
      <c r="N1156" s="15" t="n">
        <f aca="false">IF(J1156=1,0,IF(OR(AND(OR(B1156="SITE LOSS",B1156="REGION LOSS"),K1156=1),AND(B1156="ROLE COMPROMISE",H1156=C1156)),Inputs!$B$13,Inputs!$B$14))</f>
        <v>20</v>
      </c>
      <c r="O1156" s="15" t="n">
        <f aca="false">IF(J1156=1,0,Inputs!$B$13)</f>
        <v>20</v>
      </c>
      <c r="P1156" s="15" t="n">
        <f aca="false">SUM(M1156:N1156)</f>
        <v>95</v>
      </c>
      <c r="Q1156" s="15" t="n">
        <f aca="false">IF(J1156=1,"",L1156-P1156)</f>
        <v>5</v>
      </c>
      <c r="R1156" s="15" t="n">
        <f aca="false">IF(OR(J1156=1,M1156&lt;=Inputs!$B$12),1,0)</f>
        <v>1</v>
      </c>
      <c r="S1156" s="15" t="n">
        <f aca="false">IF(OR(J1156=1,N1156&lt;=O1156),1,0)</f>
        <v>1</v>
      </c>
      <c r="T1156" s="15" t="str">
        <f aca="false">IF(J1156=1,"OFFLINE",IF(AND(Q1156&gt;=Inputs!$B$15,R1156=1,S1156=1,P1156&lt;=L1156),"PASS","FAIL"))</f>
        <v>PASS</v>
      </c>
    </row>
    <row r="1157" customFormat="false" ht="15" hidden="false" customHeight="false" outlineLevel="0" collapsed="false">
      <c r="A1157" s="14" t="s">
        <v>1029</v>
      </c>
      <c r="B1157" s="14" t="s">
        <v>1019</v>
      </c>
      <c r="C1157" s="14" t="s">
        <v>186</v>
      </c>
      <c r="D1157" s="14" t="s">
        <v>188</v>
      </c>
      <c r="E1157" s="14" t="s">
        <v>172</v>
      </c>
      <c r="F1157" s="14" t="s">
        <v>183</v>
      </c>
      <c r="G1157" s="14" t="n">
        <v>3</v>
      </c>
      <c r="H1157" s="14" t="s">
        <v>158</v>
      </c>
      <c r="I1157" s="14" t="s">
        <v>897</v>
      </c>
      <c r="J1157" s="15" t="n">
        <f aca="false">IF(B1157="SITE LOSS",IF(D1157=C1157,1,0),IF(B1157="REGION LOSS",IF(E1157=C1157,1,0),0))</f>
        <v>0</v>
      </c>
      <c r="K1157" s="15" t="n">
        <f aca="false">IF(B1157="SITE LOSS",IF(COUNTIFS('Site Dockets'!$B$7:$B$24,C1157,'Site Dockets'!$C$7:$C$24,F1157)&gt;0,1,0),IF(B1157="REGION LOSS",IF(COUNTIFS('Site Dockets'!$E$7:$E$24,C1157,'Site Dockets'!$C$7:$C$24,F1157)&gt;0,1,0),0))</f>
        <v>1</v>
      </c>
      <c r="L1157" s="15" t="n">
        <f aca="false">IF(J1157=1,0,Inputs!$B$11)</f>
        <v>100</v>
      </c>
      <c r="M1157" s="15" t="n">
        <f aca="false">IF(J1157=1,0,Inputs!$B$12)</f>
        <v>75</v>
      </c>
      <c r="N1157" s="15" t="n">
        <f aca="false">IF(J1157=1,0,IF(OR(AND(OR(B1157="SITE LOSS",B1157="REGION LOSS"),K1157=1),AND(B1157="ROLE COMPROMISE",H1157=C1157)),Inputs!$B$13,Inputs!$B$14))</f>
        <v>20</v>
      </c>
      <c r="O1157" s="15" t="n">
        <f aca="false">IF(J1157=1,0,Inputs!$B$13)</f>
        <v>20</v>
      </c>
      <c r="P1157" s="15" t="n">
        <f aca="false">SUM(M1157:N1157)</f>
        <v>95</v>
      </c>
      <c r="Q1157" s="15" t="n">
        <f aca="false">IF(J1157=1,"",L1157-P1157)</f>
        <v>5</v>
      </c>
      <c r="R1157" s="15" t="n">
        <f aca="false">IF(OR(J1157=1,M1157&lt;=Inputs!$B$12),1,0)</f>
        <v>1</v>
      </c>
      <c r="S1157" s="15" t="n">
        <f aca="false">IF(OR(J1157=1,N1157&lt;=O1157),1,0)</f>
        <v>1</v>
      </c>
      <c r="T1157" s="15" t="str">
        <f aca="false">IF(J1157=1,"OFFLINE",IF(AND(Q1157&gt;=Inputs!$B$15,R1157=1,S1157=1,P1157&lt;=L1157),"PASS","FAIL"))</f>
        <v>PASS</v>
      </c>
    </row>
    <row r="1158" customFormat="false" ht="15" hidden="false" customHeight="false" outlineLevel="0" collapsed="false">
      <c r="A1158" s="14" t="s">
        <v>1029</v>
      </c>
      <c r="B1158" s="14" t="s">
        <v>1019</v>
      </c>
      <c r="C1158" s="14" t="s">
        <v>186</v>
      </c>
      <c r="D1158" s="14" t="s">
        <v>188</v>
      </c>
      <c r="E1158" s="14" t="s">
        <v>172</v>
      </c>
      <c r="F1158" s="14" t="s">
        <v>183</v>
      </c>
      <c r="G1158" s="14" t="n">
        <v>3</v>
      </c>
      <c r="H1158" s="14" t="s">
        <v>158</v>
      </c>
      <c r="I1158" s="14" t="s">
        <v>899</v>
      </c>
      <c r="J1158" s="15" t="n">
        <f aca="false">IF(B1158="SITE LOSS",IF(D1158=C1158,1,0),IF(B1158="REGION LOSS",IF(E1158=C1158,1,0),0))</f>
        <v>0</v>
      </c>
      <c r="K1158" s="15" t="n">
        <f aca="false">IF(B1158="SITE LOSS",IF(COUNTIFS('Site Dockets'!$B$7:$B$24,C1158,'Site Dockets'!$C$7:$C$24,F1158)&gt;0,1,0),IF(B1158="REGION LOSS",IF(COUNTIFS('Site Dockets'!$E$7:$E$24,C1158,'Site Dockets'!$C$7:$C$24,F1158)&gt;0,1,0),0))</f>
        <v>1</v>
      </c>
      <c r="L1158" s="15" t="n">
        <f aca="false">IF(J1158=1,0,Inputs!$B$11)</f>
        <v>100</v>
      </c>
      <c r="M1158" s="15" t="n">
        <f aca="false">IF(J1158=1,0,Inputs!$B$12)</f>
        <v>75</v>
      </c>
      <c r="N1158" s="15" t="n">
        <f aca="false">IF(J1158=1,0,IF(OR(AND(OR(B1158="SITE LOSS",B1158="REGION LOSS"),K1158=1),AND(B1158="ROLE COMPROMISE",H1158=C1158)),Inputs!$B$13,Inputs!$B$14))</f>
        <v>20</v>
      </c>
      <c r="O1158" s="15" t="n">
        <f aca="false">IF(J1158=1,0,Inputs!$B$13)</f>
        <v>20</v>
      </c>
      <c r="P1158" s="15" t="n">
        <f aca="false">SUM(M1158:N1158)</f>
        <v>95</v>
      </c>
      <c r="Q1158" s="15" t="n">
        <f aca="false">IF(J1158=1,"",L1158-P1158)</f>
        <v>5</v>
      </c>
      <c r="R1158" s="15" t="n">
        <f aca="false">IF(OR(J1158=1,M1158&lt;=Inputs!$B$12),1,0)</f>
        <v>1</v>
      </c>
      <c r="S1158" s="15" t="n">
        <f aca="false">IF(OR(J1158=1,N1158&lt;=O1158),1,0)</f>
        <v>1</v>
      </c>
      <c r="T1158" s="15" t="str">
        <f aca="false">IF(J1158=1,"OFFLINE",IF(AND(Q1158&gt;=Inputs!$B$15,R1158=1,S1158=1,P1158&lt;=L1158),"PASS","FAIL"))</f>
        <v>PASS</v>
      </c>
    </row>
    <row r="1159" customFormat="false" ht="15" hidden="false" customHeight="false" outlineLevel="0" collapsed="false">
      <c r="A1159" s="14" t="s">
        <v>1029</v>
      </c>
      <c r="B1159" s="14" t="s">
        <v>1019</v>
      </c>
      <c r="C1159" s="14" t="s">
        <v>186</v>
      </c>
      <c r="D1159" s="14" t="s">
        <v>190</v>
      </c>
      <c r="E1159" s="14" t="s">
        <v>152</v>
      </c>
      <c r="F1159" s="14" t="s">
        <v>191</v>
      </c>
      <c r="G1159" s="14" t="n">
        <v>1</v>
      </c>
      <c r="H1159" s="14" t="s">
        <v>154</v>
      </c>
      <c r="I1159" s="14" t="s">
        <v>890</v>
      </c>
      <c r="J1159" s="15" t="n">
        <f aca="false">IF(B1159="SITE LOSS",IF(D1159=C1159,1,0),IF(B1159="REGION LOSS",IF(E1159=C1159,1,0),0))</f>
        <v>0</v>
      </c>
      <c r="K1159" s="15" t="n">
        <f aca="false">IF(B1159="SITE LOSS",IF(COUNTIFS('Site Dockets'!$B$7:$B$24,C1159,'Site Dockets'!$C$7:$C$24,F1159)&gt;0,1,0),IF(B1159="REGION LOSS",IF(COUNTIFS('Site Dockets'!$E$7:$E$24,C1159,'Site Dockets'!$C$7:$C$24,F1159)&gt;0,1,0),0))</f>
        <v>0</v>
      </c>
      <c r="L1159" s="15" t="n">
        <f aca="false">IF(J1159=1,0,Inputs!$B$11)</f>
        <v>100</v>
      </c>
      <c r="M1159" s="15" t="n">
        <f aca="false">IF(J1159=1,0,Inputs!$B$12)</f>
        <v>75</v>
      </c>
      <c r="N1159" s="15" t="n">
        <f aca="false">IF(J1159=1,0,IF(OR(AND(OR(B1159="SITE LOSS",B1159="REGION LOSS"),K1159=1),AND(B1159="ROLE COMPROMISE",H1159=C1159)),Inputs!$B$13,Inputs!$B$14))</f>
        <v>10</v>
      </c>
      <c r="O1159" s="15" t="n">
        <f aca="false">IF(J1159=1,0,Inputs!$B$13)</f>
        <v>20</v>
      </c>
      <c r="P1159" s="15" t="n">
        <f aca="false">SUM(M1159:N1159)</f>
        <v>85</v>
      </c>
      <c r="Q1159" s="15" t="n">
        <f aca="false">IF(J1159=1,"",L1159-P1159)</f>
        <v>15</v>
      </c>
      <c r="R1159" s="15" t="n">
        <f aca="false">IF(OR(J1159=1,M1159&lt;=Inputs!$B$12),1,0)</f>
        <v>1</v>
      </c>
      <c r="S1159" s="15" t="n">
        <f aca="false">IF(OR(J1159=1,N1159&lt;=O1159),1,0)</f>
        <v>1</v>
      </c>
      <c r="T1159" s="15" t="str">
        <f aca="false">IF(J1159=1,"OFFLINE",IF(AND(Q1159&gt;=Inputs!$B$15,R1159=1,S1159=1,P1159&lt;=L1159),"PASS","FAIL"))</f>
        <v>PASS</v>
      </c>
    </row>
    <row r="1160" customFormat="false" ht="15" hidden="false" customHeight="false" outlineLevel="0" collapsed="false">
      <c r="A1160" s="14" t="s">
        <v>1029</v>
      </c>
      <c r="B1160" s="14" t="s">
        <v>1019</v>
      </c>
      <c r="C1160" s="14" t="s">
        <v>186</v>
      </c>
      <c r="D1160" s="14" t="s">
        <v>190</v>
      </c>
      <c r="E1160" s="14" t="s">
        <v>152</v>
      </c>
      <c r="F1160" s="14" t="s">
        <v>191</v>
      </c>
      <c r="G1160" s="14" t="n">
        <v>1</v>
      </c>
      <c r="H1160" s="14" t="s">
        <v>154</v>
      </c>
      <c r="I1160" s="14" t="s">
        <v>892</v>
      </c>
      <c r="J1160" s="15" t="n">
        <f aca="false">IF(B1160="SITE LOSS",IF(D1160=C1160,1,0),IF(B1160="REGION LOSS",IF(E1160=C1160,1,0),0))</f>
        <v>0</v>
      </c>
      <c r="K1160" s="15" t="n">
        <f aca="false">IF(B1160="SITE LOSS",IF(COUNTIFS('Site Dockets'!$B$7:$B$24,C1160,'Site Dockets'!$C$7:$C$24,F1160)&gt;0,1,0),IF(B1160="REGION LOSS",IF(COUNTIFS('Site Dockets'!$E$7:$E$24,C1160,'Site Dockets'!$C$7:$C$24,F1160)&gt;0,1,0),0))</f>
        <v>0</v>
      </c>
      <c r="L1160" s="15" t="n">
        <f aca="false">IF(J1160=1,0,Inputs!$B$11)</f>
        <v>100</v>
      </c>
      <c r="M1160" s="15" t="n">
        <f aca="false">IF(J1160=1,0,Inputs!$B$12)</f>
        <v>75</v>
      </c>
      <c r="N1160" s="15" t="n">
        <f aca="false">IF(J1160=1,0,IF(OR(AND(OR(B1160="SITE LOSS",B1160="REGION LOSS"),K1160=1),AND(B1160="ROLE COMPROMISE",H1160=C1160)),Inputs!$B$13,Inputs!$B$14))</f>
        <v>10</v>
      </c>
      <c r="O1160" s="15" t="n">
        <f aca="false">IF(J1160=1,0,Inputs!$B$13)</f>
        <v>20</v>
      </c>
      <c r="P1160" s="15" t="n">
        <f aca="false">SUM(M1160:N1160)</f>
        <v>85</v>
      </c>
      <c r="Q1160" s="15" t="n">
        <f aca="false">IF(J1160=1,"",L1160-P1160)</f>
        <v>15</v>
      </c>
      <c r="R1160" s="15" t="n">
        <f aca="false">IF(OR(J1160=1,M1160&lt;=Inputs!$B$12),1,0)</f>
        <v>1</v>
      </c>
      <c r="S1160" s="15" t="n">
        <f aca="false">IF(OR(J1160=1,N1160&lt;=O1160),1,0)</f>
        <v>1</v>
      </c>
      <c r="T1160" s="15" t="str">
        <f aca="false">IF(J1160=1,"OFFLINE",IF(AND(Q1160&gt;=Inputs!$B$15,R1160=1,S1160=1,P1160&lt;=L1160),"PASS","FAIL"))</f>
        <v>PASS</v>
      </c>
    </row>
    <row r="1161" customFormat="false" ht="15" hidden="false" customHeight="false" outlineLevel="0" collapsed="false">
      <c r="A1161" s="14" t="s">
        <v>1029</v>
      </c>
      <c r="B1161" s="14" t="s">
        <v>1019</v>
      </c>
      <c r="C1161" s="14" t="s">
        <v>186</v>
      </c>
      <c r="D1161" s="14" t="s">
        <v>190</v>
      </c>
      <c r="E1161" s="14" t="s">
        <v>152</v>
      </c>
      <c r="F1161" s="14" t="s">
        <v>191</v>
      </c>
      <c r="G1161" s="14" t="n">
        <v>1</v>
      </c>
      <c r="H1161" s="14" t="s">
        <v>154</v>
      </c>
      <c r="I1161" s="14" t="s">
        <v>811</v>
      </c>
      <c r="J1161" s="15" t="n">
        <f aca="false">IF(B1161="SITE LOSS",IF(D1161=C1161,1,0),IF(B1161="REGION LOSS",IF(E1161=C1161,1,0),0))</f>
        <v>0</v>
      </c>
      <c r="K1161" s="15" t="n">
        <f aca="false">IF(B1161="SITE LOSS",IF(COUNTIFS('Site Dockets'!$B$7:$B$24,C1161,'Site Dockets'!$C$7:$C$24,F1161)&gt;0,1,0),IF(B1161="REGION LOSS",IF(COUNTIFS('Site Dockets'!$E$7:$E$24,C1161,'Site Dockets'!$C$7:$C$24,F1161)&gt;0,1,0),0))</f>
        <v>0</v>
      </c>
      <c r="L1161" s="15" t="n">
        <f aca="false">IF(J1161=1,0,Inputs!$B$11)</f>
        <v>100</v>
      </c>
      <c r="M1161" s="15" t="n">
        <f aca="false">IF(J1161=1,0,Inputs!$B$12)</f>
        <v>75</v>
      </c>
      <c r="N1161" s="15" t="n">
        <f aca="false">IF(J1161=1,0,IF(OR(AND(OR(B1161="SITE LOSS",B1161="REGION LOSS"),K1161=1),AND(B1161="ROLE COMPROMISE",H1161=C1161)),Inputs!$B$13,Inputs!$B$14))</f>
        <v>10</v>
      </c>
      <c r="O1161" s="15" t="n">
        <f aca="false">IF(J1161=1,0,Inputs!$B$13)</f>
        <v>20</v>
      </c>
      <c r="P1161" s="15" t="n">
        <f aca="false">SUM(M1161:N1161)</f>
        <v>85</v>
      </c>
      <c r="Q1161" s="15" t="n">
        <f aca="false">IF(J1161=1,"",L1161-P1161)</f>
        <v>15</v>
      </c>
      <c r="R1161" s="15" t="n">
        <f aca="false">IF(OR(J1161=1,M1161&lt;=Inputs!$B$12),1,0)</f>
        <v>1</v>
      </c>
      <c r="S1161" s="15" t="n">
        <f aca="false">IF(OR(J1161=1,N1161&lt;=O1161),1,0)</f>
        <v>1</v>
      </c>
      <c r="T1161" s="15" t="str">
        <f aca="false">IF(J1161=1,"OFFLINE",IF(AND(Q1161&gt;=Inputs!$B$15,R1161=1,S1161=1,P1161&lt;=L1161),"PASS","FAIL"))</f>
        <v>PASS</v>
      </c>
    </row>
    <row r="1162" customFormat="false" ht="15" hidden="false" customHeight="false" outlineLevel="0" collapsed="false">
      <c r="A1162" s="14" t="s">
        <v>1029</v>
      </c>
      <c r="B1162" s="14" t="s">
        <v>1019</v>
      </c>
      <c r="C1162" s="14" t="s">
        <v>186</v>
      </c>
      <c r="D1162" s="14" t="s">
        <v>190</v>
      </c>
      <c r="E1162" s="14" t="s">
        <v>152</v>
      </c>
      <c r="F1162" s="14" t="s">
        <v>191</v>
      </c>
      <c r="G1162" s="14" t="n">
        <v>1</v>
      </c>
      <c r="H1162" s="14" t="s">
        <v>154</v>
      </c>
      <c r="I1162" s="14" t="s">
        <v>895</v>
      </c>
      <c r="J1162" s="15" t="n">
        <f aca="false">IF(B1162="SITE LOSS",IF(D1162=C1162,1,0),IF(B1162="REGION LOSS",IF(E1162=C1162,1,0),0))</f>
        <v>0</v>
      </c>
      <c r="K1162" s="15" t="n">
        <f aca="false">IF(B1162="SITE LOSS",IF(COUNTIFS('Site Dockets'!$B$7:$B$24,C1162,'Site Dockets'!$C$7:$C$24,F1162)&gt;0,1,0),IF(B1162="REGION LOSS",IF(COUNTIFS('Site Dockets'!$E$7:$E$24,C1162,'Site Dockets'!$C$7:$C$24,F1162)&gt;0,1,0),0))</f>
        <v>0</v>
      </c>
      <c r="L1162" s="15" t="n">
        <f aca="false">IF(J1162=1,0,Inputs!$B$11)</f>
        <v>100</v>
      </c>
      <c r="M1162" s="15" t="n">
        <f aca="false">IF(J1162=1,0,Inputs!$B$12)</f>
        <v>75</v>
      </c>
      <c r="N1162" s="15" t="n">
        <f aca="false">IF(J1162=1,0,IF(OR(AND(OR(B1162="SITE LOSS",B1162="REGION LOSS"),K1162=1),AND(B1162="ROLE COMPROMISE",H1162=C1162)),Inputs!$B$13,Inputs!$B$14))</f>
        <v>10</v>
      </c>
      <c r="O1162" s="15" t="n">
        <f aca="false">IF(J1162=1,0,Inputs!$B$13)</f>
        <v>20</v>
      </c>
      <c r="P1162" s="15" t="n">
        <f aca="false">SUM(M1162:N1162)</f>
        <v>85</v>
      </c>
      <c r="Q1162" s="15" t="n">
        <f aca="false">IF(J1162=1,"",L1162-P1162)</f>
        <v>15</v>
      </c>
      <c r="R1162" s="15" t="n">
        <f aca="false">IF(OR(J1162=1,M1162&lt;=Inputs!$B$12),1,0)</f>
        <v>1</v>
      </c>
      <c r="S1162" s="15" t="n">
        <f aca="false">IF(OR(J1162=1,N1162&lt;=O1162),1,0)</f>
        <v>1</v>
      </c>
      <c r="T1162" s="15" t="str">
        <f aca="false">IF(J1162=1,"OFFLINE",IF(AND(Q1162&gt;=Inputs!$B$15,R1162=1,S1162=1,P1162&lt;=L1162),"PASS","FAIL"))</f>
        <v>PASS</v>
      </c>
    </row>
    <row r="1163" customFormat="false" ht="15" hidden="false" customHeight="false" outlineLevel="0" collapsed="false">
      <c r="A1163" s="14" t="s">
        <v>1029</v>
      </c>
      <c r="B1163" s="14" t="s">
        <v>1019</v>
      </c>
      <c r="C1163" s="14" t="s">
        <v>186</v>
      </c>
      <c r="D1163" s="14" t="s">
        <v>190</v>
      </c>
      <c r="E1163" s="14" t="s">
        <v>152</v>
      </c>
      <c r="F1163" s="14" t="s">
        <v>191</v>
      </c>
      <c r="G1163" s="14" t="n">
        <v>1</v>
      </c>
      <c r="H1163" s="14" t="s">
        <v>154</v>
      </c>
      <c r="I1163" s="14" t="s">
        <v>897</v>
      </c>
      <c r="J1163" s="15" t="n">
        <f aca="false">IF(B1163="SITE LOSS",IF(D1163=C1163,1,0),IF(B1163="REGION LOSS",IF(E1163=C1163,1,0),0))</f>
        <v>0</v>
      </c>
      <c r="K1163" s="15" t="n">
        <f aca="false">IF(B1163="SITE LOSS",IF(COUNTIFS('Site Dockets'!$B$7:$B$24,C1163,'Site Dockets'!$C$7:$C$24,F1163)&gt;0,1,0),IF(B1163="REGION LOSS",IF(COUNTIFS('Site Dockets'!$E$7:$E$24,C1163,'Site Dockets'!$C$7:$C$24,F1163)&gt;0,1,0),0))</f>
        <v>0</v>
      </c>
      <c r="L1163" s="15" t="n">
        <f aca="false">IF(J1163=1,0,Inputs!$B$11)</f>
        <v>100</v>
      </c>
      <c r="M1163" s="15" t="n">
        <f aca="false">IF(J1163=1,0,Inputs!$B$12)</f>
        <v>75</v>
      </c>
      <c r="N1163" s="15" t="n">
        <f aca="false">IF(J1163=1,0,IF(OR(AND(OR(B1163="SITE LOSS",B1163="REGION LOSS"),K1163=1),AND(B1163="ROLE COMPROMISE",H1163=C1163)),Inputs!$B$13,Inputs!$B$14))</f>
        <v>10</v>
      </c>
      <c r="O1163" s="15" t="n">
        <f aca="false">IF(J1163=1,0,Inputs!$B$13)</f>
        <v>20</v>
      </c>
      <c r="P1163" s="15" t="n">
        <f aca="false">SUM(M1163:N1163)</f>
        <v>85</v>
      </c>
      <c r="Q1163" s="15" t="n">
        <f aca="false">IF(J1163=1,"",L1163-P1163)</f>
        <v>15</v>
      </c>
      <c r="R1163" s="15" t="n">
        <f aca="false">IF(OR(J1163=1,M1163&lt;=Inputs!$B$12),1,0)</f>
        <v>1</v>
      </c>
      <c r="S1163" s="15" t="n">
        <f aca="false">IF(OR(J1163=1,N1163&lt;=O1163),1,0)</f>
        <v>1</v>
      </c>
      <c r="T1163" s="15" t="str">
        <f aca="false">IF(J1163=1,"OFFLINE",IF(AND(Q1163&gt;=Inputs!$B$15,R1163=1,S1163=1,P1163&lt;=L1163),"PASS","FAIL"))</f>
        <v>PASS</v>
      </c>
    </row>
    <row r="1164" customFormat="false" ht="15" hidden="false" customHeight="false" outlineLevel="0" collapsed="false">
      <c r="A1164" s="14" t="s">
        <v>1029</v>
      </c>
      <c r="B1164" s="14" t="s">
        <v>1019</v>
      </c>
      <c r="C1164" s="14" t="s">
        <v>186</v>
      </c>
      <c r="D1164" s="14" t="s">
        <v>190</v>
      </c>
      <c r="E1164" s="14" t="s">
        <v>152</v>
      </c>
      <c r="F1164" s="14" t="s">
        <v>191</v>
      </c>
      <c r="G1164" s="14" t="n">
        <v>1</v>
      </c>
      <c r="H1164" s="14" t="s">
        <v>154</v>
      </c>
      <c r="I1164" s="14" t="s">
        <v>899</v>
      </c>
      <c r="J1164" s="15" t="n">
        <f aca="false">IF(B1164="SITE LOSS",IF(D1164=C1164,1,0),IF(B1164="REGION LOSS",IF(E1164=C1164,1,0),0))</f>
        <v>0</v>
      </c>
      <c r="K1164" s="15" t="n">
        <f aca="false">IF(B1164="SITE LOSS",IF(COUNTIFS('Site Dockets'!$B$7:$B$24,C1164,'Site Dockets'!$C$7:$C$24,F1164)&gt;0,1,0),IF(B1164="REGION LOSS",IF(COUNTIFS('Site Dockets'!$E$7:$E$24,C1164,'Site Dockets'!$C$7:$C$24,F1164)&gt;0,1,0),0))</f>
        <v>0</v>
      </c>
      <c r="L1164" s="15" t="n">
        <f aca="false">IF(J1164=1,0,Inputs!$B$11)</f>
        <v>100</v>
      </c>
      <c r="M1164" s="15" t="n">
        <f aca="false">IF(J1164=1,0,Inputs!$B$12)</f>
        <v>75</v>
      </c>
      <c r="N1164" s="15" t="n">
        <f aca="false">IF(J1164=1,0,IF(OR(AND(OR(B1164="SITE LOSS",B1164="REGION LOSS"),K1164=1),AND(B1164="ROLE COMPROMISE",H1164=C1164)),Inputs!$B$13,Inputs!$B$14))</f>
        <v>10</v>
      </c>
      <c r="O1164" s="15" t="n">
        <f aca="false">IF(J1164=1,0,Inputs!$B$13)</f>
        <v>20</v>
      </c>
      <c r="P1164" s="15" t="n">
        <f aca="false">SUM(M1164:N1164)</f>
        <v>85</v>
      </c>
      <c r="Q1164" s="15" t="n">
        <f aca="false">IF(J1164=1,"",L1164-P1164)</f>
        <v>15</v>
      </c>
      <c r="R1164" s="15" t="n">
        <f aca="false">IF(OR(J1164=1,M1164&lt;=Inputs!$B$12),1,0)</f>
        <v>1</v>
      </c>
      <c r="S1164" s="15" t="n">
        <f aca="false">IF(OR(J1164=1,N1164&lt;=O1164),1,0)</f>
        <v>1</v>
      </c>
      <c r="T1164" s="15" t="str">
        <f aca="false">IF(J1164=1,"OFFLINE",IF(AND(Q1164&gt;=Inputs!$B$15,R1164=1,S1164=1,P1164&lt;=L1164),"PASS","FAIL"))</f>
        <v>PASS</v>
      </c>
    </row>
    <row r="1165" customFormat="false" ht="15" hidden="false" customHeight="false" outlineLevel="0" collapsed="false">
      <c r="A1165" s="14" t="s">
        <v>1029</v>
      </c>
      <c r="B1165" s="14" t="s">
        <v>1019</v>
      </c>
      <c r="C1165" s="14" t="s">
        <v>186</v>
      </c>
      <c r="D1165" s="14" t="s">
        <v>194</v>
      </c>
      <c r="E1165" s="14" t="s">
        <v>169</v>
      </c>
      <c r="F1165" s="14" t="s">
        <v>191</v>
      </c>
      <c r="G1165" s="14" t="n">
        <v>2</v>
      </c>
      <c r="H1165" s="14" t="s">
        <v>153</v>
      </c>
      <c r="I1165" s="14" t="s">
        <v>890</v>
      </c>
      <c r="J1165" s="15" t="n">
        <f aca="false">IF(B1165="SITE LOSS",IF(D1165=C1165,1,0),IF(B1165="REGION LOSS",IF(E1165=C1165,1,0),0))</f>
        <v>0</v>
      </c>
      <c r="K1165" s="15" t="n">
        <f aca="false">IF(B1165="SITE LOSS",IF(COUNTIFS('Site Dockets'!$B$7:$B$24,C1165,'Site Dockets'!$C$7:$C$24,F1165)&gt;0,1,0),IF(B1165="REGION LOSS",IF(COUNTIFS('Site Dockets'!$E$7:$E$24,C1165,'Site Dockets'!$C$7:$C$24,F1165)&gt;0,1,0),0))</f>
        <v>0</v>
      </c>
      <c r="L1165" s="15" t="n">
        <f aca="false">IF(J1165=1,0,Inputs!$B$11)</f>
        <v>100</v>
      </c>
      <c r="M1165" s="15" t="n">
        <f aca="false">IF(J1165=1,0,Inputs!$B$12)</f>
        <v>75</v>
      </c>
      <c r="N1165" s="15" t="n">
        <f aca="false">IF(J1165=1,0,IF(OR(AND(OR(B1165="SITE LOSS",B1165="REGION LOSS"),K1165=1),AND(B1165="ROLE COMPROMISE",H1165=C1165)),Inputs!$B$13,Inputs!$B$14))</f>
        <v>10</v>
      </c>
      <c r="O1165" s="15" t="n">
        <f aca="false">IF(J1165=1,0,Inputs!$B$13)</f>
        <v>20</v>
      </c>
      <c r="P1165" s="15" t="n">
        <f aca="false">SUM(M1165:N1165)</f>
        <v>85</v>
      </c>
      <c r="Q1165" s="15" t="n">
        <f aca="false">IF(J1165=1,"",L1165-P1165)</f>
        <v>15</v>
      </c>
      <c r="R1165" s="15" t="n">
        <f aca="false">IF(OR(J1165=1,M1165&lt;=Inputs!$B$12),1,0)</f>
        <v>1</v>
      </c>
      <c r="S1165" s="15" t="n">
        <f aca="false">IF(OR(J1165=1,N1165&lt;=O1165),1,0)</f>
        <v>1</v>
      </c>
      <c r="T1165" s="15" t="str">
        <f aca="false">IF(J1165=1,"OFFLINE",IF(AND(Q1165&gt;=Inputs!$B$15,R1165=1,S1165=1,P1165&lt;=L1165),"PASS","FAIL"))</f>
        <v>PASS</v>
      </c>
    </row>
    <row r="1166" customFormat="false" ht="15" hidden="false" customHeight="false" outlineLevel="0" collapsed="false">
      <c r="A1166" s="14" t="s">
        <v>1029</v>
      </c>
      <c r="B1166" s="14" t="s">
        <v>1019</v>
      </c>
      <c r="C1166" s="14" t="s">
        <v>186</v>
      </c>
      <c r="D1166" s="14" t="s">
        <v>194</v>
      </c>
      <c r="E1166" s="14" t="s">
        <v>169</v>
      </c>
      <c r="F1166" s="14" t="s">
        <v>191</v>
      </c>
      <c r="G1166" s="14" t="n">
        <v>2</v>
      </c>
      <c r="H1166" s="14" t="s">
        <v>153</v>
      </c>
      <c r="I1166" s="14" t="s">
        <v>892</v>
      </c>
      <c r="J1166" s="15" t="n">
        <f aca="false">IF(B1166="SITE LOSS",IF(D1166=C1166,1,0),IF(B1166="REGION LOSS",IF(E1166=C1166,1,0),0))</f>
        <v>0</v>
      </c>
      <c r="K1166" s="15" t="n">
        <f aca="false">IF(B1166="SITE LOSS",IF(COUNTIFS('Site Dockets'!$B$7:$B$24,C1166,'Site Dockets'!$C$7:$C$24,F1166)&gt;0,1,0),IF(B1166="REGION LOSS",IF(COUNTIFS('Site Dockets'!$E$7:$E$24,C1166,'Site Dockets'!$C$7:$C$24,F1166)&gt;0,1,0),0))</f>
        <v>0</v>
      </c>
      <c r="L1166" s="15" t="n">
        <f aca="false">IF(J1166=1,0,Inputs!$B$11)</f>
        <v>100</v>
      </c>
      <c r="M1166" s="15" t="n">
        <f aca="false">IF(J1166=1,0,Inputs!$B$12)</f>
        <v>75</v>
      </c>
      <c r="N1166" s="15" t="n">
        <f aca="false">IF(J1166=1,0,IF(OR(AND(OR(B1166="SITE LOSS",B1166="REGION LOSS"),K1166=1),AND(B1166="ROLE COMPROMISE",H1166=C1166)),Inputs!$B$13,Inputs!$B$14))</f>
        <v>10</v>
      </c>
      <c r="O1166" s="15" t="n">
        <f aca="false">IF(J1166=1,0,Inputs!$B$13)</f>
        <v>20</v>
      </c>
      <c r="P1166" s="15" t="n">
        <f aca="false">SUM(M1166:N1166)</f>
        <v>85</v>
      </c>
      <c r="Q1166" s="15" t="n">
        <f aca="false">IF(J1166=1,"",L1166-P1166)</f>
        <v>15</v>
      </c>
      <c r="R1166" s="15" t="n">
        <f aca="false">IF(OR(J1166=1,M1166&lt;=Inputs!$B$12),1,0)</f>
        <v>1</v>
      </c>
      <c r="S1166" s="15" t="n">
        <f aca="false">IF(OR(J1166=1,N1166&lt;=O1166),1,0)</f>
        <v>1</v>
      </c>
      <c r="T1166" s="15" t="str">
        <f aca="false">IF(J1166=1,"OFFLINE",IF(AND(Q1166&gt;=Inputs!$B$15,R1166=1,S1166=1,P1166&lt;=L1166),"PASS","FAIL"))</f>
        <v>PASS</v>
      </c>
    </row>
    <row r="1167" customFormat="false" ht="15" hidden="false" customHeight="false" outlineLevel="0" collapsed="false">
      <c r="A1167" s="14" t="s">
        <v>1029</v>
      </c>
      <c r="B1167" s="14" t="s">
        <v>1019</v>
      </c>
      <c r="C1167" s="14" t="s">
        <v>186</v>
      </c>
      <c r="D1167" s="14" t="s">
        <v>194</v>
      </c>
      <c r="E1167" s="14" t="s">
        <v>169</v>
      </c>
      <c r="F1167" s="14" t="s">
        <v>191</v>
      </c>
      <c r="G1167" s="14" t="n">
        <v>2</v>
      </c>
      <c r="H1167" s="14" t="s">
        <v>153</v>
      </c>
      <c r="I1167" s="14" t="s">
        <v>811</v>
      </c>
      <c r="J1167" s="15" t="n">
        <f aca="false">IF(B1167="SITE LOSS",IF(D1167=C1167,1,0),IF(B1167="REGION LOSS",IF(E1167=C1167,1,0),0))</f>
        <v>0</v>
      </c>
      <c r="K1167" s="15" t="n">
        <f aca="false">IF(B1167="SITE LOSS",IF(COUNTIFS('Site Dockets'!$B$7:$B$24,C1167,'Site Dockets'!$C$7:$C$24,F1167)&gt;0,1,0),IF(B1167="REGION LOSS",IF(COUNTIFS('Site Dockets'!$E$7:$E$24,C1167,'Site Dockets'!$C$7:$C$24,F1167)&gt;0,1,0),0))</f>
        <v>0</v>
      </c>
      <c r="L1167" s="15" t="n">
        <f aca="false">IF(J1167=1,0,Inputs!$B$11)</f>
        <v>100</v>
      </c>
      <c r="M1167" s="15" t="n">
        <f aca="false">IF(J1167=1,0,Inputs!$B$12)</f>
        <v>75</v>
      </c>
      <c r="N1167" s="15" t="n">
        <f aca="false">IF(J1167=1,0,IF(OR(AND(OR(B1167="SITE LOSS",B1167="REGION LOSS"),K1167=1),AND(B1167="ROLE COMPROMISE",H1167=C1167)),Inputs!$B$13,Inputs!$B$14))</f>
        <v>10</v>
      </c>
      <c r="O1167" s="15" t="n">
        <f aca="false">IF(J1167=1,0,Inputs!$B$13)</f>
        <v>20</v>
      </c>
      <c r="P1167" s="15" t="n">
        <f aca="false">SUM(M1167:N1167)</f>
        <v>85</v>
      </c>
      <c r="Q1167" s="15" t="n">
        <f aca="false">IF(J1167=1,"",L1167-P1167)</f>
        <v>15</v>
      </c>
      <c r="R1167" s="15" t="n">
        <f aca="false">IF(OR(J1167=1,M1167&lt;=Inputs!$B$12),1,0)</f>
        <v>1</v>
      </c>
      <c r="S1167" s="15" t="n">
        <f aca="false">IF(OR(J1167=1,N1167&lt;=O1167),1,0)</f>
        <v>1</v>
      </c>
      <c r="T1167" s="15" t="str">
        <f aca="false">IF(J1167=1,"OFFLINE",IF(AND(Q1167&gt;=Inputs!$B$15,R1167=1,S1167=1,P1167&lt;=L1167),"PASS","FAIL"))</f>
        <v>PASS</v>
      </c>
    </row>
    <row r="1168" customFormat="false" ht="15" hidden="false" customHeight="false" outlineLevel="0" collapsed="false">
      <c r="A1168" s="14" t="s">
        <v>1029</v>
      </c>
      <c r="B1168" s="14" t="s">
        <v>1019</v>
      </c>
      <c r="C1168" s="14" t="s">
        <v>186</v>
      </c>
      <c r="D1168" s="14" t="s">
        <v>194</v>
      </c>
      <c r="E1168" s="14" t="s">
        <v>169</v>
      </c>
      <c r="F1168" s="14" t="s">
        <v>191</v>
      </c>
      <c r="G1168" s="14" t="n">
        <v>2</v>
      </c>
      <c r="H1168" s="14" t="s">
        <v>153</v>
      </c>
      <c r="I1168" s="14" t="s">
        <v>895</v>
      </c>
      <c r="J1168" s="15" t="n">
        <f aca="false">IF(B1168="SITE LOSS",IF(D1168=C1168,1,0),IF(B1168="REGION LOSS",IF(E1168=C1168,1,0),0))</f>
        <v>0</v>
      </c>
      <c r="K1168" s="15" t="n">
        <f aca="false">IF(B1168="SITE LOSS",IF(COUNTIFS('Site Dockets'!$B$7:$B$24,C1168,'Site Dockets'!$C$7:$C$24,F1168)&gt;0,1,0),IF(B1168="REGION LOSS",IF(COUNTIFS('Site Dockets'!$E$7:$E$24,C1168,'Site Dockets'!$C$7:$C$24,F1168)&gt;0,1,0),0))</f>
        <v>0</v>
      </c>
      <c r="L1168" s="15" t="n">
        <f aca="false">IF(J1168=1,0,Inputs!$B$11)</f>
        <v>100</v>
      </c>
      <c r="M1168" s="15" t="n">
        <f aca="false">IF(J1168=1,0,Inputs!$B$12)</f>
        <v>75</v>
      </c>
      <c r="N1168" s="15" t="n">
        <f aca="false">IF(J1168=1,0,IF(OR(AND(OR(B1168="SITE LOSS",B1168="REGION LOSS"),K1168=1),AND(B1168="ROLE COMPROMISE",H1168=C1168)),Inputs!$B$13,Inputs!$B$14))</f>
        <v>10</v>
      </c>
      <c r="O1168" s="15" t="n">
        <f aca="false">IF(J1168=1,0,Inputs!$B$13)</f>
        <v>20</v>
      </c>
      <c r="P1168" s="15" t="n">
        <f aca="false">SUM(M1168:N1168)</f>
        <v>85</v>
      </c>
      <c r="Q1168" s="15" t="n">
        <f aca="false">IF(J1168=1,"",L1168-P1168)</f>
        <v>15</v>
      </c>
      <c r="R1168" s="15" t="n">
        <f aca="false">IF(OR(J1168=1,M1168&lt;=Inputs!$B$12),1,0)</f>
        <v>1</v>
      </c>
      <c r="S1168" s="15" t="n">
        <f aca="false">IF(OR(J1168=1,N1168&lt;=O1168),1,0)</f>
        <v>1</v>
      </c>
      <c r="T1168" s="15" t="str">
        <f aca="false">IF(J1168=1,"OFFLINE",IF(AND(Q1168&gt;=Inputs!$B$15,R1168=1,S1168=1,P1168&lt;=L1168),"PASS","FAIL"))</f>
        <v>PASS</v>
      </c>
    </row>
    <row r="1169" customFormat="false" ht="15" hidden="false" customHeight="false" outlineLevel="0" collapsed="false">
      <c r="A1169" s="14" t="s">
        <v>1029</v>
      </c>
      <c r="B1169" s="14" t="s">
        <v>1019</v>
      </c>
      <c r="C1169" s="14" t="s">
        <v>186</v>
      </c>
      <c r="D1169" s="14" t="s">
        <v>194</v>
      </c>
      <c r="E1169" s="14" t="s">
        <v>169</v>
      </c>
      <c r="F1169" s="14" t="s">
        <v>191</v>
      </c>
      <c r="G1169" s="14" t="n">
        <v>2</v>
      </c>
      <c r="H1169" s="14" t="s">
        <v>153</v>
      </c>
      <c r="I1169" s="14" t="s">
        <v>897</v>
      </c>
      <c r="J1169" s="15" t="n">
        <f aca="false">IF(B1169="SITE LOSS",IF(D1169=C1169,1,0),IF(B1169="REGION LOSS",IF(E1169=C1169,1,0),0))</f>
        <v>0</v>
      </c>
      <c r="K1169" s="15" t="n">
        <f aca="false">IF(B1169="SITE LOSS",IF(COUNTIFS('Site Dockets'!$B$7:$B$24,C1169,'Site Dockets'!$C$7:$C$24,F1169)&gt;0,1,0),IF(B1169="REGION LOSS",IF(COUNTIFS('Site Dockets'!$E$7:$E$24,C1169,'Site Dockets'!$C$7:$C$24,F1169)&gt;0,1,0),0))</f>
        <v>0</v>
      </c>
      <c r="L1169" s="15" t="n">
        <f aca="false">IF(J1169=1,0,Inputs!$B$11)</f>
        <v>100</v>
      </c>
      <c r="M1169" s="15" t="n">
        <f aca="false">IF(J1169=1,0,Inputs!$B$12)</f>
        <v>75</v>
      </c>
      <c r="N1169" s="15" t="n">
        <f aca="false">IF(J1169=1,0,IF(OR(AND(OR(B1169="SITE LOSS",B1169="REGION LOSS"),K1169=1),AND(B1169="ROLE COMPROMISE",H1169=C1169)),Inputs!$B$13,Inputs!$B$14))</f>
        <v>10</v>
      </c>
      <c r="O1169" s="15" t="n">
        <f aca="false">IF(J1169=1,0,Inputs!$B$13)</f>
        <v>20</v>
      </c>
      <c r="P1169" s="15" t="n">
        <f aca="false">SUM(M1169:N1169)</f>
        <v>85</v>
      </c>
      <c r="Q1169" s="15" t="n">
        <f aca="false">IF(J1169=1,"",L1169-P1169)</f>
        <v>15</v>
      </c>
      <c r="R1169" s="15" t="n">
        <f aca="false">IF(OR(J1169=1,M1169&lt;=Inputs!$B$12),1,0)</f>
        <v>1</v>
      </c>
      <c r="S1169" s="15" t="n">
        <f aca="false">IF(OR(J1169=1,N1169&lt;=O1169),1,0)</f>
        <v>1</v>
      </c>
      <c r="T1169" s="15" t="str">
        <f aca="false">IF(J1169=1,"OFFLINE",IF(AND(Q1169&gt;=Inputs!$B$15,R1169=1,S1169=1,P1169&lt;=L1169),"PASS","FAIL"))</f>
        <v>PASS</v>
      </c>
    </row>
    <row r="1170" customFormat="false" ht="15" hidden="false" customHeight="false" outlineLevel="0" collapsed="false">
      <c r="A1170" s="14" t="s">
        <v>1029</v>
      </c>
      <c r="B1170" s="14" t="s">
        <v>1019</v>
      </c>
      <c r="C1170" s="14" t="s">
        <v>186</v>
      </c>
      <c r="D1170" s="14" t="s">
        <v>194</v>
      </c>
      <c r="E1170" s="14" t="s">
        <v>169</v>
      </c>
      <c r="F1170" s="14" t="s">
        <v>191</v>
      </c>
      <c r="G1170" s="14" t="n">
        <v>2</v>
      </c>
      <c r="H1170" s="14" t="s">
        <v>153</v>
      </c>
      <c r="I1170" s="14" t="s">
        <v>899</v>
      </c>
      <c r="J1170" s="15" t="n">
        <f aca="false">IF(B1170="SITE LOSS",IF(D1170=C1170,1,0),IF(B1170="REGION LOSS",IF(E1170=C1170,1,0),0))</f>
        <v>0</v>
      </c>
      <c r="K1170" s="15" t="n">
        <f aca="false">IF(B1170="SITE LOSS",IF(COUNTIFS('Site Dockets'!$B$7:$B$24,C1170,'Site Dockets'!$C$7:$C$24,F1170)&gt;0,1,0),IF(B1170="REGION LOSS",IF(COUNTIFS('Site Dockets'!$E$7:$E$24,C1170,'Site Dockets'!$C$7:$C$24,F1170)&gt;0,1,0),0))</f>
        <v>0</v>
      </c>
      <c r="L1170" s="15" t="n">
        <f aca="false">IF(J1170=1,0,Inputs!$B$11)</f>
        <v>100</v>
      </c>
      <c r="M1170" s="15" t="n">
        <f aca="false">IF(J1170=1,0,Inputs!$B$12)</f>
        <v>75</v>
      </c>
      <c r="N1170" s="15" t="n">
        <f aca="false">IF(J1170=1,0,IF(OR(AND(OR(B1170="SITE LOSS",B1170="REGION LOSS"),K1170=1),AND(B1170="ROLE COMPROMISE",H1170=C1170)),Inputs!$B$13,Inputs!$B$14))</f>
        <v>10</v>
      </c>
      <c r="O1170" s="15" t="n">
        <f aca="false">IF(J1170=1,0,Inputs!$B$13)</f>
        <v>20</v>
      </c>
      <c r="P1170" s="15" t="n">
        <f aca="false">SUM(M1170:N1170)</f>
        <v>85</v>
      </c>
      <c r="Q1170" s="15" t="n">
        <f aca="false">IF(J1170=1,"",L1170-P1170)</f>
        <v>15</v>
      </c>
      <c r="R1170" s="15" t="n">
        <f aca="false">IF(OR(J1170=1,M1170&lt;=Inputs!$B$12),1,0)</f>
        <v>1</v>
      </c>
      <c r="S1170" s="15" t="n">
        <f aca="false">IF(OR(J1170=1,N1170&lt;=O1170),1,0)</f>
        <v>1</v>
      </c>
      <c r="T1170" s="15" t="str">
        <f aca="false">IF(J1170=1,"OFFLINE",IF(AND(Q1170&gt;=Inputs!$B$15,R1170=1,S1170=1,P1170&lt;=L1170),"PASS","FAIL"))</f>
        <v>PASS</v>
      </c>
    </row>
    <row r="1171" customFormat="false" ht="15" hidden="false" customHeight="false" outlineLevel="0" collapsed="false">
      <c r="A1171" s="14" t="s">
        <v>1029</v>
      </c>
      <c r="B1171" s="14" t="s">
        <v>1019</v>
      </c>
      <c r="C1171" s="14" t="s">
        <v>186</v>
      </c>
      <c r="D1171" s="14" t="s">
        <v>196</v>
      </c>
      <c r="E1171" s="14" t="s">
        <v>172</v>
      </c>
      <c r="F1171" s="14" t="s">
        <v>191</v>
      </c>
      <c r="G1171" s="14" t="n">
        <v>3</v>
      </c>
      <c r="H1171" s="14" t="s">
        <v>158</v>
      </c>
      <c r="I1171" s="14" t="s">
        <v>890</v>
      </c>
      <c r="J1171" s="15" t="n">
        <f aca="false">IF(B1171="SITE LOSS",IF(D1171=C1171,1,0),IF(B1171="REGION LOSS",IF(E1171=C1171,1,0),0))</f>
        <v>0</v>
      </c>
      <c r="K1171" s="15" t="n">
        <f aca="false">IF(B1171="SITE LOSS",IF(COUNTIFS('Site Dockets'!$B$7:$B$24,C1171,'Site Dockets'!$C$7:$C$24,F1171)&gt;0,1,0),IF(B1171="REGION LOSS",IF(COUNTIFS('Site Dockets'!$E$7:$E$24,C1171,'Site Dockets'!$C$7:$C$24,F1171)&gt;0,1,0),0))</f>
        <v>0</v>
      </c>
      <c r="L1171" s="15" t="n">
        <f aca="false">IF(J1171=1,0,Inputs!$B$11)</f>
        <v>100</v>
      </c>
      <c r="M1171" s="15" t="n">
        <f aca="false">IF(J1171=1,0,Inputs!$B$12)</f>
        <v>75</v>
      </c>
      <c r="N1171" s="15" t="n">
        <f aca="false">IF(J1171=1,0,IF(OR(AND(OR(B1171="SITE LOSS",B1171="REGION LOSS"),K1171=1),AND(B1171="ROLE COMPROMISE",H1171=C1171)),Inputs!$B$13,Inputs!$B$14))</f>
        <v>10</v>
      </c>
      <c r="O1171" s="15" t="n">
        <f aca="false">IF(J1171=1,0,Inputs!$B$13)</f>
        <v>20</v>
      </c>
      <c r="P1171" s="15" t="n">
        <f aca="false">SUM(M1171:N1171)</f>
        <v>85</v>
      </c>
      <c r="Q1171" s="15" t="n">
        <f aca="false">IF(J1171=1,"",L1171-P1171)</f>
        <v>15</v>
      </c>
      <c r="R1171" s="15" t="n">
        <f aca="false">IF(OR(J1171=1,M1171&lt;=Inputs!$B$12),1,0)</f>
        <v>1</v>
      </c>
      <c r="S1171" s="15" t="n">
        <f aca="false">IF(OR(J1171=1,N1171&lt;=O1171),1,0)</f>
        <v>1</v>
      </c>
      <c r="T1171" s="15" t="str">
        <f aca="false">IF(J1171=1,"OFFLINE",IF(AND(Q1171&gt;=Inputs!$B$15,R1171=1,S1171=1,P1171&lt;=L1171),"PASS","FAIL"))</f>
        <v>PASS</v>
      </c>
    </row>
    <row r="1172" customFormat="false" ht="15" hidden="false" customHeight="false" outlineLevel="0" collapsed="false">
      <c r="A1172" s="14" t="s">
        <v>1029</v>
      </c>
      <c r="B1172" s="14" t="s">
        <v>1019</v>
      </c>
      <c r="C1172" s="14" t="s">
        <v>186</v>
      </c>
      <c r="D1172" s="14" t="s">
        <v>196</v>
      </c>
      <c r="E1172" s="14" t="s">
        <v>172</v>
      </c>
      <c r="F1172" s="14" t="s">
        <v>191</v>
      </c>
      <c r="G1172" s="14" t="n">
        <v>3</v>
      </c>
      <c r="H1172" s="14" t="s">
        <v>158</v>
      </c>
      <c r="I1172" s="14" t="s">
        <v>892</v>
      </c>
      <c r="J1172" s="15" t="n">
        <f aca="false">IF(B1172="SITE LOSS",IF(D1172=C1172,1,0),IF(B1172="REGION LOSS",IF(E1172=C1172,1,0),0))</f>
        <v>0</v>
      </c>
      <c r="K1172" s="15" t="n">
        <f aca="false">IF(B1172="SITE LOSS",IF(COUNTIFS('Site Dockets'!$B$7:$B$24,C1172,'Site Dockets'!$C$7:$C$24,F1172)&gt;0,1,0),IF(B1172="REGION LOSS",IF(COUNTIFS('Site Dockets'!$E$7:$E$24,C1172,'Site Dockets'!$C$7:$C$24,F1172)&gt;0,1,0),0))</f>
        <v>0</v>
      </c>
      <c r="L1172" s="15" t="n">
        <f aca="false">IF(J1172=1,0,Inputs!$B$11)</f>
        <v>100</v>
      </c>
      <c r="M1172" s="15" t="n">
        <f aca="false">IF(J1172=1,0,Inputs!$B$12)</f>
        <v>75</v>
      </c>
      <c r="N1172" s="15" t="n">
        <f aca="false">IF(J1172=1,0,IF(OR(AND(OR(B1172="SITE LOSS",B1172="REGION LOSS"),K1172=1),AND(B1172="ROLE COMPROMISE",H1172=C1172)),Inputs!$B$13,Inputs!$B$14))</f>
        <v>10</v>
      </c>
      <c r="O1172" s="15" t="n">
        <f aca="false">IF(J1172=1,0,Inputs!$B$13)</f>
        <v>20</v>
      </c>
      <c r="P1172" s="15" t="n">
        <f aca="false">SUM(M1172:N1172)</f>
        <v>85</v>
      </c>
      <c r="Q1172" s="15" t="n">
        <f aca="false">IF(J1172=1,"",L1172-P1172)</f>
        <v>15</v>
      </c>
      <c r="R1172" s="15" t="n">
        <f aca="false">IF(OR(J1172=1,M1172&lt;=Inputs!$B$12),1,0)</f>
        <v>1</v>
      </c>
      <c r="S1172" s="15" t="n">
        <f aca="false">IF(OR(J1172=1,N1172&lt;=O1172),1,0)</f>
        <v>1</v>
      </c>
      <c r="T1172" s="15" t="str">
        <f aca="false">IF(J1172=1,"OFFLINE",IF(AND(Q1172&gt;=Inputs!$B$15,R1172=1,S1172=1,P1172&lt;=L1172),"PASS","FAIL"))</f>
        <v>PASS</v>
      </c>
    </row>
    <row r="1173" customFormat="false" ht="15" hidden="false" customHeight="false" outlineLevel="0" collapsed="false">
      <c r="A1173" s="14" t="s">
        <v>1029</v>
      </c>
      <c r="B1173" s="14" t="s">
        <v>1019</v>
      </c>
      <c r="C1173" s="14" t="s">
        <v>186</v>
      </c>
      <c r="D1173" s="14" t="s">
        <v>196</v>
      </c>
      <c r="E1173" s="14" t="s">
        <v>172</v>
      </c>
      <c r="F1173" s="14" t="s">
        <v>191</v>
      </c>
      <c r="G1173" s="14" t="n">
        <v>3</v>
      </c>
      <c r="H1173" s="14" t="s">
        <v>158</v>
      </c>
      <c r="I1173" s="14" t="s">
        <v>811</v>
      </c>
      <c r="J1173" s="15" t="n">
        <f aca="false">IF(B1173="SITE LOSS",IF(D1173=C1173,1,0),IF(B1173="REGION LOSS",IF(E1173=C1173,1,0),0))</f>
        <v>0</v>
      </c>
      <c r="K1173" s="15" t="n">
        <f aca="false">IF(B1173="SITE LOSS",IF(COUNTIFS('Site Dockets'!$B$7:$B$24,C1173,'Site Dockets'!$C$7:$C$24,F1173)&gt;0,1,0),IF(B1173="REGION LOSS",IF(COUNTIFS('Site Dockets'!$E$7:$E$24,C1173,'Site Dockets'!$C$7:$C$24,F1173)&gt;0,1,0),0))</f>
        <v>0</v>
      </c>
      <c r="L1173" s="15" t="n">
        <f aca="false">IF(J1173=1,0,Inputs!$B$11)</f>
        <v>100</v>
      </c>
      <c r="M1173" s="15" t="n">
        <f aca="false">IF(J1173=1,0,Inputs!$B$12)</f>
        <v>75</v>
      </c>
      <c r="N1173" s="15" t="n">
        <f aca="false">IF(J1173=1,0,IF(OR(AND(OR(B1173="SITE LOSS",B1173="REGION LOSS"),K1173=1),AND(B1173="ROLE COMPROMISE",H1173=C1173)),Inputs!$B$13,Inputs!$B$14))</f>
        <v>10</v>
      </c>
      <c r="O1173" s="15" t="n">
        <f aca="false">IF(J1173=1,0,Inputs!$B$13)</f>
        <v>20</v>
      </c>
      <c r="P1173" s="15" t="n">
        <f aca="false">SUM(M1173:N1173)</f>
        <v>85</v>
      </c>
      <c r="Q1173" s="15" t="n">
        <f aca="false">IF(J1173=1,"",L1173-P1173)</f>
        <v>15</v>
      </c>
      <c r="R1173" s="15" t="n">
        <f aca="false">IF(OR(J1173=1,M1173&lt;=Inputs!$B$12),1,0)</f>
        <v>1</v>
      </c>
      <c r="S1173" s="15" t="n">
        <f aca="false">IF(OR(J1173=1,N1173&lt;=O1173),1,0)</f>
        <v>1</v>
      </c>
      <c r="T1173" s="15" t="str">
        <f aca="false">IF(J1173=1,"OFFLINE",IF(AND(Q1173&gt;=Inputs!$B$15,R1173=1,S1173=1,P1173&lt;=L1173),"PASS","FAIL"))</f>
        <v>PASS</v>
      </c>
    </row>
    <row r="1174" customFormat="false" ht="15" hidden="false" customHeight="false" outlineLevel="0" collapsed="false">
      <c r="A1174" s="14" t="s">
        <v>1029</v>
      </c>
      <c r="B1174" s="14" t="s">
        <v>1019</v>
      </c>
      <c r="C1174" s="14" t="s">
        <v>186</v>
      </c>
      <c r="D1174" s="14" t="s">
        <v>196</v>
      </c>
      <c r="E1174" s="14" t="s">
        <v>172</v>
      </c>
      <c r="F1174" s="14" t="s">
        <v>191</v>
      </c>
      <c r="G1174" s="14" t="n">
        <v>3</v>
      </c>
      <c r="H1174" s="14" t="s">
        <v>158</v>
      </c>
      <c r="I1174" s="14" t="s">
        <v>895</v>
      </c>
      <c r="J1174" s="15" t="n">
        <f aca="false">IF(B1174="SITE LOSS",IF(D1174=C1174,1,0),IF(B1174="REGION LOSS",IF(E1174=C1174,1,0),0))</f>
        <v>0</v>
      </c>
      <c r="K1174" s="15" t="n">
        <f aca="false">IF(B1174="SITE LOSS",IF(COUNTIFS('Site Dockets'!$B$7:$B$24,C1174,'Site Dockets'!$C$7:$C$24,F1174)&gt;0,1,0),IF(B1174="REGION LOSS",IF(COUNTIFS('Site Dockets'!$E$7:$E$24,C1174,'Site Dockets'!$C$7:$C$24,F1174)&gt;0,1,0),0))</f>
        <v>0</v>
      </c>
      <c r="L1174" s="15" t="n">
        <f aca="false">IF(J1174=1,0,Inputs!$B$11)</f>
        <v>100</v>
      </c>
      <c r="M1174" s="15" t="n">
        <f aca="false">IF(J1174=1,0,Inputs!$B$12)</f>
        <v>75</v>
      </c>
      <c r="N1174" s="15" t="n">
        <f aca="false">IF(J1174=1,0,IF(OR(AND(OR(B1174="SITE LOSS",B1174="REGION LOSS"),K1174=1),AND(B1174="ROLE COMPROMISE",H1174=C1174)),Inputs!$B$13,Inputs!$B$14))</f>
        <v>10</v>
      </c>
      <c r="O1174" s="15" t="n">
        <f aca="false">IF(J1174=1,0,Inputs!$B$13)</f>
        <v>20</v>
      </c>
      <c r="P1174" s="15" t="n">
        <f aca="false">SUM(M1174:N1174)</f>
        <v>85</v>
      </c>
      <c r="Q1174" s="15" t="n">
        <f aca="false">IF(J1174=1,"",L1174-P1174)</f>
        <v>15</v>
      </c>
      <c r="R1174" s="15" t="n">
        <f aca="false">IF(OR(J1174=1,M1174&lt;=Inputs!$B$12),1,0)</f>
        <v>1</v>
      </c>
      <c r="S1174" s="15" t="n">
        <f aca="false">IF(OR(J1174=1,N1174&lt;=O1174),1,0)</f>
        <v>1</v>
      </c>
      <c r="T1174" s="15" t="str">
        <f aca="false">IF(J1174=1,"OFFLINE",IF(AND(Q1174&gt;=Inputs!$B$15,R1174=1,S1174=1,P1174&lt;=L1174),"PASS","FAIL"))</f>
        <v>PASS</v>
      </c>
    </row>
    <row r="1175" customFormat="false" ht="15" hidden="false" customHeight="false" outlineLevel="0" collapsed="false">
      <c r="A1175" s="14" t="s">
        <v>1029</v>
      </c>
      <c r="B1175" s="14" t="s">
        <v>1019</v>
      </c>
      <c r="C1175" s="14" t="s">
        <v>186</v>
      </c>
      <c r="D1175" s="14" t="s">
        <v>196</v>
      </c>
      <c r="E1175" s="14" t="s">
        <v>172</v>
      </c>
      <c r="F1175" s="14" t="s">
        <v>191</v>
      </c>
      <c r="G1175" s="14" t="n">
        <v>3</v>
      </c>
      <c r="H1175" s="14" t="s">
        <v>158</v>
      </c>
      <c r="I1175" s="14" t="s">
        <v>897</v>
      </c>
      <c r="J1175" s="15" t="n">
        <f aca="false">IF(B1175="SITE LOSS",IF(D1175=C1175,1,0),IF(B1175="REGION LOSS",IF(E1175=C1175,1,0),0))</f>
        <v>0</v>
      </c>
      <c r="K1175" s="15" t="n">
        <f aca="false">IF(B1175="SITE LOSS",IF(COUNTIFS('Site Dockets'!$B$7:$B$24,C1175,'Site Dockets'!$C$7:$C$24,F1175)&gt;0,1,0),IF(B1175="REGION LOSS",IF(COUNTIFS('Site Dockets'!$E$7:$E$24,C1175,'Site Dockets'!$C$7:$C$24,F1175)&gt;0,1,0),0))</f>
        <v>0</v>
      </c>
      <c r="L1175" s="15" t="n">
        <f aca="false">IF(J1175=1,0,Inputs!$B$11)</f>
        <v>100</v>
      </c>
      <c r="M1175" s="15" t="n">
        <f aca="false">IF(J1175=1,0,Inputs!$B$12)</f>
        <v>75</v>
      </c>
      <c r="N1175" s="15" t="n">
        <f aca="false">IF(J1175=1,0,IF(OR(AND(OR(B1175="SITE LOSS",B1175="REGION LOSS"),K1175=1),AND(B1175="ROLE COMPROMISE",H1175=C1175)),Inputs!$B$13,Inputs!$B$14))</f>
        <v>10</v>
      </c>
      <c r="O1175" s="15" t="n">
        <f aca="false">IF(J1175=1,0,Inputs!$B$13)</f>
        <v>20</v>
      </c>
      <c r="P1175" s="15" t="n">
        <f aca="false">SUM(M1175:N1175)</f>
        <v>85</v>
      </c>
      <c r="Q1175" s="15" t="n">
        <f aca="false">IF(J1175=1,"",L1175-P1175)</f>
        <v>15</v>
      </c>
      <c r="R1175" s="15" t="n">
        <f aca="false">IF(OR(J1175=1,M1175&lt;=Inputs!$B$12),1,0)</f>
        <v>1</v>
      </c>
      <c r="S1175" s="15" t="n">
        <f aca="false">IF(OR(J1175=1,N1175&lt;=O1175),1,0)</f>
        <v>1</v>
      </c>
      <c r="T1175" s="15" t="str">
        <f aca="false">IF(J1175=1,"OFFLINE",IF(AND(Q1175&gt;=Inputs!$B$15,R1175=1,S1175=1,P1175&lt;=L1175),"PASS","FAIL"))</f>
        <v>PASS</v>
      </c>
    </row>
    <row r="1176" customFormat="false" ht="15" hidden="false" customHeight="false" outlineLevel="0" collapsed="false">
      <c r="A1176" s="14" t="s">
        <v>1029</v>
      </c>
      <c r="B1176" s="14" t="s">
        <v>1019</v>
      </c>
      <c r="C1176" s="14" t="s">
        <v>186</v>
      </c>
      <c r="D1176" s="14" t="s">
        <v>196</v>
      </c>
      <c r="E1176" s="14" t="s">
        <v>172</v>
      </c>
      <c r="F1176" s="14" t="s">
        <v>191</v>
      </c>
      <c r="G1176" s="14" t="n">
        <v>3</v>
      </c>
      <c r="H1176" s="14" t="s">
        <v>158</v>
      </c>
      <c r="I1176" s="14" t="s">
        <v>899</v>
      </c>
      <c r="J1176" s="15" t="n">
        <f aca="false">IF(B1176="SITE LOSS",IF(D1176=C1176,1,0),IF(B1176="REGION LOSS",IF(E1176=C1176,1,0),0))</f>
        <v>0</v>
      </c>
      <c r="K1176" s="15" t="n">
        <f aca="false">IF(B1176="SITE LOSS",IF(COUNTIFS('Site Dockets'!$B$7:$B$24,C1176,'Site Dockets'!$C$7:$C$24,F1176)&gt;0,1,0),IF(B1176="REGION LOSS",IF(COUNTIFS('Site Dockets'!$E$7:$E$24,C1176,'Site Dockets'!$C$7:$C$24,F1176)&gt;0,1,0),0))</f>
        <v>0</v>
      </c>
      <c r="L1176" s="15" t="n">
        <f aca="false">IF(J1176=1,0,Inputs!$B$11)</f>
        <v>100</v>
      </c>
      <c r="M1176" s="15" t="n">
        <f aca="false">IF(J1176=1,0,Inputs!$B$12)</f>
        <v>75</v>
      </c>
      <c r="N1176" s="15" t="n">
        <f aca="false">IF(J1176=1,0,IF(OR(AND(OR(B1176="SITE LOSS",B1176="REGION LOSS"),K1176=1),AND(B1176="ROLE COMPROMISE",H1176=C1176)),Inputs!$B$13,Inputs!$B$14))</f>
        <v>10</v>
      </c>
      <c r="O1176" s="15" t="n">
        <f aca="false">IF(J1176=1,0,Inputs!$B$13)</f>
        <v>20</v>
      </c>
      <c r="P1176" s="15" t="n">
        <f aca="false">SUM(M1176:N1176)</f>
        <v>85</v>
      </c>
      <c r="Q1176" s="15" t="n">
        <f aca="false">IF(J1176=1,"",L1176-P1176)</f>
        <v>15</v>
      </c>
      <c r="R1176" s="15" t="n">
        <f aca="false">IF(OR(J1176=1,M1176&lt;=Inputs!$B$12),1,0)</f>
        <v>1</v>
      </c>
      <c r="S1176" s="15" t="n">
        <f aca="false">IF(OR(J1176=1,N1176&lt;=O1176),1,0)</f>
        <v>1</v>
      </c>
      <c r="T1176" s="15" t="str">
        <f aca="false">IF(J1176=1,"OFFLINE",IF(AND(Q1176&gt;=Inputs!$B$15,R1176=1,S1176=1,P1176&lt;=L1176),"PASS","FAIL"))</f>
        <v>PASS</v>
      </c>
    </row>
    <row r="1177" customFormat="false" ht="15" hidden="false" customHeight="false" outlineLevel="0" collapsed="false">
      <c r="A1177" s="14" t="s">
        <v>1029</v>
      </c>
      <c r="B1177" s="14" t="s">
        <v>1019</v>
      </c>
      <c r="C1177" s="14" t="s">
        <v>186</v>
      </c>
      <c r="D1177" s="14" t="s">
        <v>198</v>
      </c>
      <c r="E1177" s="14" t="s">
        <v>166</v>
      </c>
      <c r="F1177" s="14" t="s">
        <v>199</v>
      </c>
      <c r="G1177" s="14" t="n">
        <v>1</v>
      </c>
      <c r="H1177" s="14" t="s">
        <v>154</v>
      </c>
      <c r="I1177" s="14" t="s">
        <v>890</v>
      </c>
      <c r="J1177" s="15" t="n">
        <f aca="false">IF(B1177="SITE LOSS",IF(D1177=C1177,1,0),IF(B1177="REGION LOSS",IF(E1177=C1177,1,0),0))</f>
        <v>0</v>
      </c>
      <c r="K1177" s="15" t="n">
        <f aca="false">IF(B1177="SITE LOSS",IF(COUNTIFS('Site Dockets'!$B$7:$B$24,C1177,'Site Dockets'!$C$7:$C$24,F1177)&gt;0,1,0),IF(B1177="REGION LOSS",IF(COUNTIFS('Site Dockets'!$E$7:$E$24,C1177,'Site Dockets'!$C$7:$C$24,F1177)&gt;0,1,0),0))</f>
        <v>0</v>
      </c>
      <c r="L1177" s="15" t="n">
        <f aca="false">IF(J1177=1,0,Inputs!$B$11)</f>
        <v>100</v>
      </c>
      <c r="M1177" s="15" t="n">
        <f aca="false">IF(J1177=1,0,Inputs!$B$12)</f>
        <v>75</v>
      </c>
      <c r="N1177" s="15" t="n">
        <f aca="false">IF(J1177=1,0,IF(OR(AND(OR(B1177="SITE LOSS",B1177="REGION LOSS"),K1177=1),AND(B1177="ROLE COMPROMISE",H1177=C1177)),Inputs!$B$13,Inputs!$B$14))</f>
        <v>10</v>
      </c>
      <c r="O1177" s="15" t="n">
        <f aca="false">IF(J1177=1,0,Inputs!$B$13)</f>
        <v>20</v>
      </c>
      <c r="P1177" s="15" t="n">
        <f aca="false">SUM(M1177:N1177)</f>
        <v>85</v>
      </c>
      <c r="Q1177" s="15" t="n">
        <f aca="false">IF(J1177=1,"",L1177-P1177)</f>
        <v>15</v>
      </c>
      <c r="R1177" s="15" t="n">
        <f aca="false">IF(OR(J1177=1,M1177&lt;=Inputs!$B$12),1,0)</f>
        <v>1</v>
      </c>
      <c r="S1177" s="15" t="n">
        <f aca="false">IF(OR(J1177=1,N1177&lt;=O1177),1,0)</f>
        <v>1</v>
      </c>
      <c r="T1177" s="15" t="str">
        <f aca="false">IF(J1177=1,"OFFLINE",IF(AND(Q1177&gt;=Inputs!$B$15,R1177=1,S1177=1,P1177&lt;=L1177),"PASS","FAIL"))</f>
        <v>PASS</v>
      </c>
    </row>
    <row r="1178" customFormat="false" ht="15" hidden="false" customHeight="false" outlineLevel="0" collapsed="false">
      <c r="A1178" s="14" t="s">
        <v>1029</v>
      </c>
      <c r="B1178" s="14" t="s">
        <v>1019</v>
      </c>
      <c r="C1178" s="14" t="s">
        <v>186</v>
      </c>
      <c r="D1178" s="14" t="s">
        <v>198</v>
      </c>
      <c r="E1178" s="14" t="s">
        <v>166</v>
      </c>
      <c r="F1178" s="14" t="s">
        <v>199</v>
      </c>
      <c r="G1178" s="14" t="n">
        <v>1</v>
      </c>
      <c r="H1178" s="14" t="s">
        <v>154</v>
      </c>
      <c r="I1178" s="14" t="s">
        <v>892</v>
      </c>
      <c r="J1178" s="15" t="n">
        <f aca="false">IF(B1178="SITE LOSS",IF(D1178=C1178,1,0),IF(B1178="REGION LOSS",IF(E1178=C1178,1,0),0))</f>
        <v>0</v>
      </c>
      <c r="K1178" s="15" t="n">
        <f aca="false">IF(B1178="SITE LOSS",IF(COUNTIFS('Site Dockets'!$B$7:$B$24,C1178,'Site Dockets'!$C$7:$C$24,F1178)&gt;0,1,0),IF(B1178="REGION LOSS",IF(COUNTIFS('Site Dockets'!$E$7:$E$24,C1178,'Site Dockets'!$C$7:$C$24,F1178)&gt;0,1,0),0))</f>
        <v>0</v>
      </c>
      <c r="L1178" s="15" t="n">
        <f aca="false">IF(J1178=1,0,Inputs!$B$11)</f>
        <v>100</v>
      </c>
      <c r="M1178" s="15" t="n">
        <f aca="false">IF(J1178=1,0,Inputs!$B$12)</f>
        <v>75</v>
      </c>
      <c r="N1178" s="15" t="n">
        <f aca="false">IF(J1178=1,0,IF(OR(AND(OR(B1178="SITE LOSS",B1178="REGION LOSS"),K1178=1),AND(B1178="ROLE COMPROMISE",H1178=C1178)),Inputs!$B$13,Inputs!$B$14))</f>
        <v>10</v>
      </c>
      <c r="O1178" s="15" t="n">
        <f aca="false">IF(J1178=1,0,Inputs!$B$13)</f>
        <v>20</v>
      </c>
      <c r="P1178" s="15" t="n">
        <f aca="false">SUM(M1178:N1178)</f>
        <v>85</v>
      </c>
      <c r="Q1178" s="15" t="n">
        <f aca="false">IF(J1178=1,"",L1178-P1178)</f>
        <v>15</v>
      </c>
      <c r="R1178" s="15" t="n">
        <f aca="false">IF(OR(J1178=1,M1178&lt;=Inputs!$B$12),1,0)</f>
        <v>1</v>
      </c>
      <c r="S1178" s="15" t="n">
        <f aca="false">IF(OR(J1178=1,N1178&lt;=O1178),1,0)</f>
        <v>1</v>
      </c>
      <c r="T1178" s="15" t="str">
        <f aca="false">IF(J1178=1,"OFFLINE",IF(AND(Q1178&gt;=Inputs!$B$15,R1178=1,S1178=1,P1178&lt;=L1178),"PASS","FAIL"))</f>
        <v>PASS</v>
      </c>
    </row>
    <row r="1179" customFormat="false" ht="15" hidden="false" customHeight="false" outlineLevel="0" collapsed="false">
      <c r="A1179" s="14" t="s">
        <v>1029</v>
      </c>
      <c r="B1179" s="14" t="s">
        <v>1019</v>
      </c>
      <c r="C1179" s="14" t="s">
        <v>186</v>
      </c>
      <c r="D1179" s="14" t="s">
        <v>198</v>
      </c>
      <c r="E1179" s="14" t="s">
        <v>166</v>
      </c>
      <c r="F1179" s="14" t="s">
        <v>199</v>
      </c>
      <c r="G1179" s="14" t="n">
        <v>1</v>
      </c>
      <c r="H1179" s="14" t="s">
        <v>154</v>
      </c>
      <c r="I1179" s="14" t="s">
        <v>811</v>
      </c>
      <c r="J1179" s="15" t="n">
        <f aca="false">IF(B1179="SITE LOSS",IF(D1179=C1179,1,0),IF(B1179="REGION LOSS",IF(E1179=C1179,1,0),0))</f>
        <v>0</v>
      </c>
      <c r="K1179" s="15" t="n">
        <f aca="false">IF(B1179="SITE LOSS",IF(COUNTIFS('Site Dockets'!$B$7:$B$24,C1179,'Site Dockets'!$C$7:$C$24,F1179)&gt;0,1,0),IF(B1179="REGION LOSS",IF(COUNTIFS('Site Dockets'!$E$7:$E$24,C1179,'Site Dockets'!$C$7:$C$24,F1179)&gt;0,1,0),0))</f>
        <v>0</v>
      </c>
      <c r="L1179" s="15" t="n">
        <f aca="false">IF(J1179=1,0,Inputs!$B$11)</f>
        <v>100</v>
      </c>
      <c r="M1179" s="15" t="n">
        <f aca="false">IF(J1179=1,0,Inputs!$B$12)</f>
        <v>75</v>
      </c>
      <c r="N1179" s="15" t="n">
        <f aca="false">IF(J1179=1,0,IF(OR(AND(OR(B1179="SITE LOSS",B1179="REGION LOSS"),K1179=1),AND(B1179="ROLE COMPROMISE",H1179=C1179)),Inputs!$B$13,Inputs!$B$14))</f>
        <v>10</v>
      </c>
      <c r="O1179" s="15" t="n">
        <f aca="false">IF(J1179=1,0,Inputs!$B$13)</f>
        <v>20</v>
      </c>
      <c r="P1179" s="15" t="n">
        <f aca="false">SUM(M1179:N1179)</f>
        <v>85</v>
      </c>
      <c r="Q1179" s="15" t="n">
        <f aca="false">IF(J1179=1,"",L1179-P1179)</f>
        <v>15</v>
      </c>
      <c r="R1179" s="15" t="n">
        <f aca="false">IF(OR(J1179=1,M1179&lt;=Inputs!$B$12),1,0)</f>
        <v>1</v>
      </c>
      <c r="S1179" s="15" t="n">
        <f aca="false">IF(OR(J1179=1,N1179&lt;=O1179),1,0)</f>
        <v>1</v>
      </c>
      <c r="T1179" s="15" t="str">
        <f aca="false">IF(J1179=1,"OFFLINE",IF(AND(Q1179&gt;=Inputs!$B$15,R1179=1,S1179=1,P1179&lt;=L1179),"PASS","FAIL"))</f>
        <v>PASS</v>
      </c>
    </row>
    <row r="1180" customFormat="false" ht="15" hidden="false" customHeight="false" outlineLevel="0" collapsed="false">
      <c r="A1180" s="14" t="s">
        <v>1029</v>
      </c>
      <c r="B1180" s="14" t="s">
        <v>1019</v>
      </c>
      <c r="C1180" s="14" t="s">
        <v>186</v>
      </c>
      <c r="D1180" s="14" t="s">
        <v>198</v>
      </c>
      <c r="E1180" s="14" t="s">
        <v>166</v>
      </c>
      <c r="F1180" s="14" t="s">
        <v>199</v>
      </c>
      <c r="G1180" s="14" t="n">
        <v>1</v>
      </c>
      <c r="H1180" s="14" t="s">
        <v>154</v>
      </c>
      <c r="I1180" s="14" t="s">
        <v>895</v>
      </c>
      <c r="J1180" s="15" t="n">
        <f aca="false">IF(B1180="SITE LOSS",IF(D1180=C1180,1,0),IF(B1180="REGION LOSS",IF(E1180=C1180,1,0),0))</f>
        <v>0</v>
      </c>
      <c r="K1180" s="15" t="n">
        <f aca="false">IF(B1180="SITE LOSS",IF(COUNTIFS('Site Dockets'!$B$7:$B$24,C1180,'Site Dockets'!$C$7:$C$24,F1180)&gt;0,1,0),IF(B1180="REGION LOSS",IF(COUNTIFS('Site Dockets'!$E$7:$E$24,C1180,'Site Dockets'!$C$7:$C$24,F1180)&gt;0,1,0),0))</f>
        <v>0</v>
      </c>
      <c r="L1180" s="15" t="n">
        <f aca="false">IF(J1180=1,0,Inputs!$B$11)</f>
        <v>100</v>
      </c>
      <c r="M1180" s="15" t="n">
        <f aca="false">IF(J1180=1,0,Inputs!$B$12)</f>
        <v>75</v>
      </c>
      <c r="N1180" s="15" t="n">
        <f aca="false">IF(J1180=1,0,IF(OR(AND(OR(B1180="SITE LOSS",B1180="REGION LOSS"),K1180=1),AND(B1180="ROLE COMPROMISE",H1180=C1180)),Inputs!$B$13,Inputs!$B$14))</f>
        <v>10</v>
      </c>
      <c r="O1180" s="15" t="n">
        <f aca="false">IF(J1180=1,0,Inputs!$B$13)</f>
        <v>20</v>
      </c>
      <c r="P1180" s="15" t="n">
        <f aca="false">SUM(M1180:N1180)</f>
        <v>85</v>
      </c>
      <c r="Q1180" s="15" t="n">
        <f aca="false">IF(J1180=1,"",L1180-P1180)</f>
        <v>15</v>
      </c>
      <c r="R1180" s="15" t="n">
        <f aca="false">IF(OR(J1180=1,M1180&lt;=Inputs!$B$12),1,0)</f>
        <v>1</v>
      </c>
      <c r="S1180" s="15" t="n">
        <f aca="false">IF(OR(J1180=1,N1180&lt;=O1180),1,0)</f>
        <v>1</v>
      </c>
      <c r="T1180" s="15" t="str">
        <f aca="false">IF(J1180=1,"OFFLINE",IF(AND(Q1180&gt;=Inputs!$B$15,R1180=1,S1180=1,P1180&lt;=L1180),"PASS","FAIL"))</f>
        <v>PASS</v>
      </c>
    </row>
    <row r="1181" customFormat="false" ht="15" hidden="false" customHeight="false" outlineLevel="0" collapsed="false">
      <c r="A1181" s="14" t="s">
        <v>1029</v>
      </c>
      <c r="B1181" s="14" t="s">
        <v>1019</v>
      </c>
      <c r="C1181" s="14" t="s">
        <v>186</v>
      </c>
      <c r="D1181" s="14" t="s">
        <v>198</v>
      </c>
      <c r="E1181" s="14" t="s">
        <v>166</v>
      </c>
      <c r="F1181" s="14" t="s">
        <v>199</v>
      </c>
      <c r="G1181" s="14" t="n">
        <v>1</v>
      </c>
      <c r="H1181" s="14" t="s">
        <v>154</v>
      </c>
      <c r="I1181" s="14" t="s">
        <v>897</v>
      </c>
      <c r="J1181" s="15" t="n">
        <f aca="false">IF(B1181="SITE LOSS",IF(D1181=C1181,1,0),IF(B1181="REGION LOSS",IF(E1181=C1181,1,0),0))</f>
        <v>0</v>
      </c>
      <c r="K1181" s="15" t="n">
        <f aca="false">IF(B1181="SITE LOSS",IF(COUNTIFS('Site Dockets'!$B$7:$B$24,C1181,'Site Dockets'!$C$7:$C$24,F1181)&gt;0,1,0),IF(B1181="REGION LOSS",IF(COUNTIFS('Site Dockets'!$E$7:$E$24,C1181,'Site Dockets'!$C$7:$C$24,F1181)&gt;0,1,0),0))</f>
        <v>0</v>
      </c>
      <c r="L1181" s="15" t="n">
        <f aca="false">IF(J1181=1,0,Inputs!$B$11)</f>
        <v>100</v>
      </c>
      <c r="M1181" s="15" t="n">
        <f aca="false">IF(J1181=1,0,Inputs!$B$12)</f>
        <v>75</v>
      </c>
      <c r="N1181" s="15" t="n">
        <f aca="false">IF(J1181=1,0,IF(OR(AND(OR(B1181="SITE LOSS",B1181="REGION LOSS"),K1181=1),AND(B1181="ROLE COMPROMISE",H1181=C1181)),Inputs!$B$13,Inputs!$B$14))</f>
        <v>10</v>
      </c>
      <c r="O1181" s="15" t="n">
        <f aca="false">IF(J1181=1,0,Inputs!$B$13)</f>
        <v>20</v>
      </c>
      <c r="P1181" s="15" t="n">
        <f aca="false">SUM(M1181:N1181)</f>
        <v>85</v>
      </c>
      <c r="Q1181" s="15" t="n">
        <f aca="false">IF(J1181=1,"",L1181-P1181)</f>
        <v>15</v>
      </c>
      <c r="R1181" s="15" t="n">
        <f aca="false">IF(OR(J1181=1,M1181&lt;=Inputs!$B$12),1,0)</f>
        <v>1</v>
      </c>
      <c r="S1181" s="15" t="n">
        <f aca="false">IF(OR(J1181=1,N1181&lt;=O1181),1,0)</f>
        <v>1</v>
      </c>
      <c r="T1181" s="15" t="str">
        <f aca="false">IF(J1181=1,"OFFLINE",IF(AND(Q1181&gt;=Inputs!$B$15,R1181=1,S1181=1,P1181&lt;=L1181),"PASS","FAIL"))</f>
        <v>PASS</v>
      </c>
    </row>
    <row r="1182" customFormat="false" ht="15" hidden="false" customHeight="false" outlineLevel="0" collapsed="false">
      <c r="A1182" s="14" t="s">
        <v>1029</v>
      </c>
      <c r="B1182" s="14" t="s">
        <v>1019</v>
      </c>
      <c r="C1182" s="14" t="s">
        <v>186</v>
      </c>
      <c r="D1182" s="14" t="s">
        <v>198</v>
      </c>
      <c r="E1182" s="14" t="s">
        <v>166</v>
      </c>
      <c r="F1182" s="14" t="s">
        <v>199</v>
      </c>
      <c r="G1182" s="14" t="n">
        <v>1</v>
      </c>
      <c r="H1182" s="14" t="s">
        <v>154</v>
      </c>
      <c r="I1182" s="14" t="s">
        <v>899</v>
      </c>
      <c r="J1182" s="15" t="n">
        <f aca="false">IF(B1182="SITE LOSS",IF(D1182=C1182,1,0),IF(B1182="REGION LOSS",IF(E1182=C1182,1,0),0))</f>
        <v>0</v>
      </c>
      <c r="K1182" s="15" t="n">
        <f aca="false">IF(B1182="SITE LOSS",IF(COUNTIFS('Site Dockets'!$B$7:$B$24,C1182,'Site Dockets'!$C$7:$C$24,F1182)&gt;0,1,0),IF(B1182="REGION LOSS",IF(COUNTIFS('Site Dockets'!$E$7:$E$24,C1182,'Site Dockets'!$C$7:$C$24,F1182)&gt;0,1,0),0))</f>
        <v>0</v>
      </c>
      <c r="L1182" s="15" t="n">
        <f aca="false">IF(J1182=1,0,Inputs!$B$11)</f>
        <v>100</v>
      </c>
      <c r="M1182" s="15" t="n">
        <f aca="false">IF(J1182=1,0,Inputs!$B$12)</f>
        <v>75</v>
      </c>
      <c r="N1182" s="15" t="n">
        <f aca="false">IF(J1182=1,0,IF(OR(AND(OR(B1182="SITE LOSS",B1182="REGION LOSS"),K1182=1),AND(B1182="ROLE COMPROMISE",H1182=C1182)),Inputs!$B$13,Inputs!$B$14))</f>
        <v>10</v>
      </c>
      <c r="O1182" s="15" t="n">
        <f aca="false">IF(J1182=1,0,Inputs!$B$13)</f>
        <v>20</v>
      </c>
      <c r="P1182" s="15" t="n">
        <f aca="false">SUM(M1182:N1182)</f>
        <v>85</v>
      </c>
      <c r="Q1182" s="15" t="n">
        <f aca="false">IF(J1182=1,"",L1182-P1182)</f>
        <v>15</v>
      </c>
      <c r="R1182" s="15" t="n">
        <f aca="false">IF(OR(J1182=1,M1182&lt;=Inputs!$B$12),1,0)</f>
        <v>1</v>
      </c>
      <c r="S1182" s="15" t="n">
        <f aca="false">IF(OR(J1182=1,N1182&lt;=O1182),1,0)</f>
        <v>1</v>
      </c>
      <c r="T1182" s="15" t="str">
        <f aca="false">IF(J1182=1,"OFFLINE",IF(AND(Q1182&gt;=Inputs!$B$15,R1182=1,S1182=1,P1182&lt;=L1182),"PASS","FAIL"))</f>
        <v>PASS</v>
      </c>
    </row>
    <row r="1183" customFormat="false" ht="15" hidden="false" customHeight="false" outlineLevel="0" collapsed="false">
      <c r="A1183" s="14" t="s">
        <v>1029</v>
      </c>
      <c r="B1183" s="14" t="s">
        <v>1019</v>
      </c>
      <c r="C1183" s="14" t="s">
        <v>186</v>
      </c>
      <c r="D1183" s="14" t="s">
        <v>202</v>
      </c>
      <c r="E1183" s="14" t="s">
        <v>157</v>
      </c>
      <c r="F1183" s="14" t="s">
        <v>199</v>
      </c>
      <c r="G1183" s="14" t="n">
        <v>2</v>
      </c>
      <c r="H1183" s="14" t="s">
        <v>153</v>
      </c>
      <c r="I1183" s="14" t="s">
        <v>890</v>
      </c>
      <c r="J1183" s="15" t="n">
        <f aca="false">IF(B1183="SITE LOSS",IF(D1183=C1183,1,0),IF(B1183="REGION LOSS",IF(E1183=C1183,1,0),0))</f>
        <v>0</v>
      </c>
      <c r="K1183" s="15" t="n">
        <f aca="false">IF(B1183="SITE LOSS",IF(COUNTIFS('Site Dockets'!$B$7:$B$24,C1183,'Site Dockets'!$C$7:$C$24,F1183)&gt;0,1,0),IF(B1183="REGION LOSS",IF(COUNTIFS('Site Dockets'!$E$7:$E$24,C1183,'Site Dockets'!$C$7:$C$24,F1183)&gt;0,1,0),0))</f>
        <v>0</v>
      </c>
      <c r="L1183" s="15" t="n">
        <f aca="false">IF(J1183=1,0,Inputs!$B$11)</f>
        <v>100</v>
      </c>
      <c r="M1183" s="15" t="n">
        <f aca="false">IF(J1183=1,0,Inputs!$B$12)</f>
        <v>75</v>
      </c>
      <c r="N1183" s="15" t="n">
        <f aca="false">IF(J1183=1,0,IF(OR(AND(OR(B1183="SITE LOSS",B1183="REGION LOSS"),K1183=1),AND(B1183="ROLE COMPROMISE",H1183=C1183)),Inputs!$B$13,Inputs!$B$14))</f>
        <v>10</v>
      </c>
      <c r="O1183" s="15" t="n">
        <f aca="false">IF(J1183=1,0,Inputs!$B$13)</f>
        <v>20</v>
      </c>
      <c r="P1183" s="15" t="n">
        <f aca="false">SUM(M1183:N1183)</f>
        <v>85</v>
      </c>
      <c r="Q1183" s="15" t="n">
        <f aca="false">IF(J1183=1,"",L1183-P1183)</f>
        <v>15</v>
      </c>
      <c r="R1183" s="15" t="n">
        <f aca="false">IF(OR(J1183=1,M1183&lt;=Inputs!$B$12),1,0)</f>
        <v>1</v>
      </c>
      <c r="S1183" s="15" t="n">
        <f aca="false">IF(OR(J1183=1,N1183&lt;=O1183),1,0)</f>
        <v>1</v>
      </c>
      <c r="T1183" s="15" t="str">
        <f aca="false">IF(J1183=1,"OFFLINE",IF(AND(Q1183&gt;=Inputs!$B$15,R1183=1,S1183=1,P1183&lt;=L1183),"PASS","FAIL"))</f>
        <v>PASS</v>
      </c>
    </row>
    <row r="1184" customFormat="false" ht="15" hidden="false" customHeight="false" outlineLevel="0" collapsed="false">
      <c r="A1184" s="14" t="s">
        <v>1029</v>
      </c>
      <c r="B1184" s="14" t="s">
        <v>1019</v>
      </c>
      <c r="C1184" s="14" t="s">
        <v>186</v>
      </c>
      <c r="D1184" s="14" t="s">
        <v>202</v>
      </c>
      <c r="E1184" s="14" t="s">
        <v>157</v>
      </c>
      <c r="F1184" s="14" t="s">
        <v>199</v>
      </c>
      <c r="G1184" s="14" t="n">
        <v>2</v>
      </c>
      <c r="H1184" s="14" t="s">
        <v>153</v>
      </c>
      <c r="I1184" s="14" t="s">
        <v>892</v>
      </c>
      <c r="J1184" s="15" t="n">
        <f aca="false">IF(B1184="SITE LOSS",IF(D1184=C1184,1,0),IF(B1184="REGION LOSS",IF(E1184=C1184,1,0),0))</f>
        <v>0</v>
      </c>
      <c r="K1184" s="15" t="n">
        <f aca="false">IF(B1184="SITE LOSS",IF(COUNTIFS('Site Dockets'!$B$7:$B$24,C1184,'Site Dockets'!$C$7:$C$24,F1184)&gt;0,1,0),IF(B1184="REGION LOSS",IF(COUNTIFS('Site Dockets'!$E$7:$E$24,C1184,'Site Dockets'!$C$7:$C$24,F1184)&gt;0,1,0),0))</f>
        <v>0</v>
      </c>
      <c r="L1184" s="15" t="n">
        <f aca="false">IF(J1184=1,0,Inputs!$B$11)</f>
        <v>100</v>
      </c>
      <c r="M1184" s="15" t="n">
        <f aca="false">IF(J1184=1,0,Inputs!$B$12)</f>
        <v>75</v>
      </c>
      <c r="N1184" s="15" t="n">
        <f aca="false">IF(J1184=1,0,IF(OR(AND(OR(B1184="SITE LOSS",B1184="REGION LOSS"),K1184=1),AND(B1184="ROLE COMPROMISE",H1184=C1184)),Inputs!$B$13,Inputs!$B$14))</f>
        <v>10</v>
      </c>
      <c r="O1184" s="15" t="n">
        <f aca="false">IF(J1184=1,0,Inputs!$B$13)</f>
        <v>20</v>
      </c>
      <c r="P1184" s="15" t="n">
        <f aca="false">SUM(M1184:N1184)</f>
        <v>85</v>
      </c>
      <c r="Q1184" s="15" t="n">
        <f aca="false">IF(J1184=1,"",L1184-P1184)</f>
        <v>15</v>
      </c>
      <c r="R1184" s="15" t="n">
        <f aca="false">IF(OR(J1184=1,M1184&lt;=Inputs!$B$12),1,0)</f>
        <v>1</v>
      </c>
      <c r="S1184" s="15" t="n">
        <f aca="false">IF(OR(J1184=1,N1184&lt;=O1184),1,0)</f>
        <v>1</v>
      </c>
      <c r="T1184" s="15" t="str">
        <f aca="false">IF(J1184=1,"OFFLINE",IF(AND(Q1184&gt;=Inputs!$B$15,R1184=1,S1184=1,P1184&lt;=L1184),"PASS","FAIL"))</f>
        <v>PASS</v>
      </c>
    </row>
    <row r="1185" customFormat="false" ht="15" hidden="false" customHeight="false" outlineLevel="0" collapsed="false">
      <c r="A1185" s="14" t="s">
        <v>1029</v>
      </c>
      <c r="B1185" s="14" t="s">
        <v>1019</v>
      </c>
      <c r="C1185" s="14" t="s">
        <v>186</v>
      </c>
      <c r="D1185" s="14" t="s">
        <v>202</v>
      </c>
      <c r="E1185" s="14" t="s">
        <v>157</v>
      </c>
      <c r="F1185" s="14" t="s">
        <v>199</v>
      </c>
      <c r="G1185" s="14" t="n">
        <v>2</v>
      </c>
      <c r="H1185" s="14" t="s">
        <v>153</v>
      </c>
      <c r="I1185" s="14" t="s">
        <v>811</v>
      </c>
      <c r="J1185" s="15" t="n">
        <f aca="false">IF(B1185="SITE LOSS",IF(D1185=C1185,1,0),IF(B1185="REGION LOSS",IF(E1185=C1185,1,0),0))</f>
        <v>0</v>
      </c>
      <c r="K1185" s="15" t="n">
        <f aca="false">IF(B1185="SITE LOSS",IF(COUNTIFS('Site Dockets'!$B$7:$B$24,C1185,'Site Dockets'!$C$7:$C$24,F1185)&gt;0,1,0),IF(B1185="REGION LOSS",IF(COUNTIFS('Site Dockets'!$E$7:$E$24,C1185,'Site Dockets'!$C$7:$C$24,F1185)&gt;0,1,0),0))</f>
        <v>0</v>
      </c>
      <c r="L1185" s="15" t="n">
        <f aca="false">IF(J1185=1,0,Inputs!$B$11)</f>
        <v>100</v>
      </c>
      <c r="M1185" s="15" t="n">
        <f aca="false">IF(J1185=1,0,Inputs!$B$12)</f>
        <v>75</v>
      </c>
      <c r="N1185" s="15" t="n">
        <f aca="false">IF(J1185=1,0,IF(OR(AND(OR(B1185="SITE LOSS",B1185="REGION LOSS"),K1185=1),AND(B1185="ROLE COMPROMISE",H1185=C1185)),Inputs!$B$13,Inputs!$B$14))</f>
        <v>10</v>
      </c>
      <c r="O1185" s="15" t="n">
        <f aca="false">IF(J1185=1,0,Inputs!$B$13)</f>
        <v>20</v>
      </c>
      <c r="P1185" s="15" t="n">
        <f aca="false">SUM(M1185:N1185)</f>
        <v>85</v>
      </c>
      <c r="Q1185" s="15" t="n">
        <f aca="false">IF(J1185=1,"",L1185-P1185)</f>
        <v>15</v>
      </c>
      <c r="R1185" s="15" t="n">
        <f aca="false">IF(OR(J1185=1,M1185&lt;=Inputs!$B$12),1,0)</f>
        <v>1</v>
      </c>
      <c r="S1185" s="15" t="n">
        <f aca="false">IF(OR(J1185=1,N1185&lt;=O1185),1,0)</f>
        <v>1</v>
      </c>
      <c r="T1185" s="15" t="str">
        <f aca="false">IF(J1185=1,"OFFLINE",IF(AND(Q1185&gt;=Inputs!$B$15,R1185=1,S1185=1,P1185&lt;=L1185),"PASS","FAIL"))</f>
        <v>PASS</v>
      </c>
    </row>
    <row r="1186" customFormat="false" ht="15" hidden="false" customHeight="false" outlineLevel="0" collapsed="false">
      <c r="A1186" s="14" t="s">
        <v>1029</v>
      </c>
      <c r="B1186" s="14" t="s">
        <v>1019</v>
      </c>
      <c r="C1186" s="14" t="s">
        <v>186</v>
      </c>
      <c r="D1186" s="14" t="s">
        <v>202</v>
      </c>
      <c r="E1186" s="14" t="s">
        <v>157</v>
      </c>
      <c r="F1186" s="14" t="s">
        <v>199</v>
      </c>
      <c r="G1186" s="14" t="n">
        <v>2</v>
      </c>
      <c r="H1186" s="14" t="s">
        <v>153</v>
      </c>
      <c r="I1186" s="14" t="s">
        <v>895</v>
      </c>
      <c r="J1186" s="15" t="n">
        <f aca="false">IF(B1186="SITE LOSS",IF(D1186=C1186,1,0),IF(B1186="REGION LOSS",IF(E1186=C1186,1,0),0))</f>
        <v>0</v>
      </c>
      <c r="K1186" s="15" t="n">
        <f aca="false">IF(B1186="SITE LOSS",IF(COUNTIFS('Site Dockets'!$B$7:$B$24,C1186,'Site Dockets'!$C$7:$C$24,F1186)&gt;0,1,0),IF(B1186="REGION LOSS",IF(COUNTIFS('Site Dockets'!$E$7:$E$24,C1186,'Site Dockets'!$C$7:$C$24,F1186)&gt;0,1,0),0))</f>
        <v>0</v>
      </c>
      <c r="L1186" s="15" t="n">
        <f aca="false">IF(J1186=1,0,Inputs!$B$11)</f>
        <v>100</v>
      </c>
      <c r="M1186" s="15" t="n">
        <f aca="false">IF(J1186=1,0,Inputs!$B$12)</f>
        <v>75</v>
      </c>
      <c r="N1186" s="15" t="n">
        <f aca="false">IF(J1186=1,0,IF(OR(AND(OR(B1186="SITE LOSS",B1186="REGION LOSS"),K1186=1),AND(B1186="ROLE COMPROMISE",H1186=C1186)),Inputs!$B$13,Inputs!$B$14))</f>
        <v>10</v>
      </c>
      <c r="O1186" s="15" t="n">
        <f aca="false">IF(J1186=1,0,Inputs!$B$13)</f>
        <v>20</v>
      </c>
      <c r="P1186" s="15" t="n">
        <f aca="false">SUM(M1186:N1186)</f>
        <v>85</v>
      </c>
      <c r="Q1186" s="15" t="n">
        <f aca="false">IF(J1186=1,"",L1186-P1186)</f>
        <v>15</v>
      </c>
      <c r="R1186" s="15" t="n">
        <f aca="false">IF(OR(J1186=1,M1186&lt;=Inputs!$B$12),1,0)</f>
        <v>1</v>
      </c>
      <c r="S1186" s="15" t="n">
        <f aca="false">IF(OR(J1186=1,N1186&lt;=O1186),1,0)</f>
        <v>1</v>
      </c>
      <c r="T1186" s="15" t="str">
        <f aca="false">IF(J1186=1,"OFFLINE",IF(AND(Q1186&gt;=Inputs!$B$15,R1186=1,S1186=1,P1186&lt;=L1186),"PASS","FAIL"))</f>
        <v>PASS</v>
      </c>
    </row>
    <row r="1187" customFormat="false" ht="15" hidden="false" customHeight="false" outlineLevel="0" collapsed="false">
      <c r="A1187" s="14" t="s">
        <v>1029</v>
      </c>
      <c r="B1187" s="14" t="s">
        <v>1019</v>
      </c>
      <c r="C1187" s="14" t="s">
        <v>186</v>
      </c>
      <c r="D1187" s="14" t="s">
        <v>202</v>
      </c>
      <c r="E1187" s="14" t="s">
        <v>157</v>
      </c>
      <c r="F1187" s="14" t="s">
        <v>199</v>
      </c>
      <c r="G1187" s="14" t="n">
        <v>2</v>
      </c>
      <c r="H1187" s="14" t="s">
        <v>153</v>
      </c>
      <c r="I1187" s="14" t="s">
        <v>897</v>
      </c>
      <c r="J1187" s="15" t="n">
        <f aca="false">IF(B1187="SITE LOSS",IF(D1187=C1187,1,0),IF(B1187="REGION LOSS",IF(E1187=C1187,1,0),0))</f>
        <v>0</v>
      </c>
      <c r="K1187" s="15" t="n">
        <f aca="false">IF(B1187="SITE LOSS",IF(COUNTIFS('Site Dockets'!$B$7:$B$24,C1187,'Site Dockets'!$C$7:$C$24,F1187)&gt;0,1,0),IF(B1187="REGION LOSS",IF(COUNTIFS('Site Dockets'!$E$7:$E$24,C1187,'Site Dockets'!$C$7:$C$24,F1187)&gt;0,1,0),0))</f>
        <v>0</v>
      </c>
      <c r="L1187" s="15" t="n">
        <f aca="false">IF(J1187=1,0,Inputs!$B$11)</f>
        <v>100</v>
      </c>
      <c r="M1187" s="15" t="n">
        <f aca="false">IF(J1187=1,0,Inputs!$B$12)</f>
        <v>75</v>
      </c>
      <c r="N1187" s="15" t="n">
        <f aca="false">IF(J1187=1,0,IF(OR(AND(OR(B1187="SITE LOSS",B1187="REGION LOSS"),K1187=1),AND(B1187="ROLE COMPROMISE",H1187=C1187)),Inputs!$B$13,Inputs!$B$14))</f>
        <v>10</v>
      </c>
      <c r="O1187" s="15" t="n">
        <f aca="false">IF(J1187=1,0,Inputs!$B$13)</f>
        <v>20</v>
      </c>
      <c r="P1187" s="15" t="n">
        <f aca="false">SUM(M1187:N1187)</f>
        <v>85</v>
      </c>
      <c r="Q1187" s="15" t="n">
        <f aca="false">IF(J1187=1,"",L1187-P1187)</f>
        <v>15</v>
      </c>
      <c r="R1187" s="15" t="n">
        <f aca="false">IF(OR(J1187=1,M1187&lt;=Inputs!$B$12),1,0)</f>
        <v>1</v>
      </c>
      <c r="S1187" s="15" t="n">
        <f aca="false">IF(OR(J1187=1,N1187&lt;=O1187),1,0)</f>
        <v>1</v>
      </c>
      <c r="T1187" s="15" t="str">
        <f aca="false">IF(J1187=1,"OFFLINE",IF(AND(Q1187&gt;=Inputs!$B$15,R1187=1,S1187=1,P1187&lt;=L1187),"PASS","FAIL"))</f>
        <v>PASS</v>
      </c>
    </row>
    <row r="1188" customFormat="false" ht="15" hidden="false" customHeight="false" outlineLevel="0" collapsed="false">
      <c r="A1188" s="14" t="s">
        <v>1029</v>
      </c>
      <c r="B1188" s="14" t="s">
        <v>1019</v>
      </c>
      <c r="C1188" s="14" t="s">
        <v>186</v>
      </c>
      <c r="D1188" s="14" t="s">
        <v>202</v>
      </c>
      <c r="E1188" s="14" t="s">
        <v>157</v>
      </c>
      <c r="F1188" s="14" t="s">
        <v>199</v>
      </c>
      <c r="G1188" s="14" t="n">
        <v>2</v>
      </c>
      <c r="H1188" s="14" t="s">
        <v>153</v>
      </c>
      <c r="I1188" s="14" t="s">
        <v>899</v>
      </c>
      <c r="J1188" s="15" t="n">
        <f aca="false">IF(B1188="SITE LOSS",IF(D1188=C1188,1,0),IF(B1188="REGION LOSS",IF(E1188=C1188,1,0),0))</f>
        <v>0</v>
      </c>
      <c r="K1188" s="15" t="n">
        <f aca="false">IF(B1188="SITE LOSS",IF(COUNTIFS('Site Dockets'!$B$7:$B$24,C1188,'Site Dockets'!$C$7:$C$24,F1188)&gt;0,1,0),IF(B1188="REGION LOSS",IF(COUNTIFS('Site Dockets'!$E$7:$E$24,C1188,'Site Dockets'!$C$7:$C$24,F1188)&gt;0,1,0),0))</f>
        <v>0</v>
      </c>
      <c r="L1188" s="15" t="n">
        <f aca="false">IF(J1188=1,0,Inputs!$B$11)</f>
        <v>100</v>
      </c>
      <c r="M1188" s="15" t="n">
        <f aca="false">IF(J1188=1,0,Inputs!$B$12)</f>
        <v>75</v>
      </c>
      <c r="N1188" s="15" t="n">
        <f aca="false">IF(J1188=1,0,IF(OR(AND(OR(B1188="SITE LOSS",B1188="REGION LOSS"),K1188=1),AND(B1188="ROLE COMPROMISE",H1188=C1188)),Inputs!$B$13,Inputs!$B$14))</f>
        <v>10</v>
      </c>
      <c r="O1188" s="15" t="n">
        <f aca="false">IF(J1188=1,0,Inputs!$B$13)</f>
        <v>20</v>
      </c>
      <c r="P1188" s="15" t="n">
        <f aca="false">SUM(M1188:N1188)</f>
        <v>85</v>
      </c>
      <c r="Q1188" s="15" t="n">
        <f aca="false">IF(J1188=1,"",L1188-P1188)</f>
        <v>15</v>
      </c>
      <c r="R1188" s="15" t="n">
        <f aca="false">IF(OR(J1188=1,M1188&lt;=Inputs!$B$12),1,0)</f>
        <v>1</v>
      </c>
      <c r="S1188" s="15" t="n">
        <f aca="false">IF(OR(J1188=1,N1188&lt;=O1188),1,0)</f>
        <v>1</v>
      </c>
      <c r="T1188" s="15" t="str">
        <f aca="false">IF(J1188=1,"OFFLINE",IF(AND(Q1188&gt;=Inputs!$B$15,R1188=1,S1188=1,P1188&lt;=L1188),"PASS","FAIL"))</f>
        <v>PASS</v>
      </c>
    </row>
    <row r="1189" customFormat="false" ht="15" hidden="false" customHeight="false" outlineLevel="0" collapsed="false">
      <c r="A1189" s="14" t="s">
        <v>1029</v>
      </c>
      <c r="B1189" s="14" t="s">
        <v>1019</v>
      </c>
      <c r="C1189" s="14" t="s">
        <v>186</v>
      </c>
      <c r="D1189" s="14" t="s">
        <v>204</v>
      </c>
      <c r="E1189" s="14" t="s">
        <v>161</v>
      </c>
      <c r="F1189" s="14" t="s">
        <v>199</v>
      </c>
      <c r="G1189" s="14" t="n">
        <v>3</v>
      </c>
      <c r="H1189" s="14" t="s">
        <v>158</v>
      </c>
      <c r="I1189" s="14" t="s">
        <v>890</v>
      </c>
      <c r="J1189" s="15" t="n">
        <f aca="false">IF(B1189="SITE LOSS",IF(D1189=C1189,1,0),IF(B1189="REGION LOSS",IF(E1189=C1189,1,0),0))</f>
        <v>0</v>
      </c>
      <c r="K1189" s="15" t="n">
        <f aca="false">IF(B1189="SITE LOSS",IF(COUNTIFS('Site Dockets'!$B$7:$B$24,C1189,'Site Dockets'!$C$7:$C$24,F1189)&gt;0,1,0),IF(B1189="REGION LOSS",IF(COUNTIFS('Site Dockets'!$E$7:$E$24,C1189,'Site Dockets'!$C$7:$C$24,F1189)&gt;0,1,0),0))</f>
        <v>0</v>
      </c>
      <c r="L1189" s="15" t="n">
        <f aca="false">IF(J1189=1,0,Inputs!$B$11)</f>
        <v>100</v>
      </c>
      <c r="M1189" s="15" t="n">
        <f aca="false">IF(J1189=1,0,Inputs!$B$12)</f>
        <v>75</v>
      </c>
      <c r="N1189" s="15" t="n">
        <f aca="false">IF(J1189=1,0,IF(OR(AND(OR(B1189="SITE LOSS",B1189="REGION LOSS"),K1189=1),AND(B1189="ROLE COMPROMISE",H1189=C1189)),Inputs!$B$13,Inputs!$B$14))</f>
        <v>10</v>
      </c>
      <c r="O1189" s="15" t="n">
        <f aca="false">IF(J1189=1,0,Inputs!$B$13)</f>
        <v>20</v>
      </c>
      <c r="P1189" s="15" t="n">
        <f aca="false">SUM(M1189:N1189)</f>
        <v>85</v>
      </c>
      <c r="Q1189" s="15" t="n">
        <f aca="false">IF(J1189=1,"",L1189-P1189)</f>
        <v>15</v>
      </c>
      <c r="R1189" s="15" t="n">
        <f aca="false">IF(OR(J1189=1,M1189&lt;=Inputs!$B$12),1,0)</f>
        <v>1</v>
      </c>
      <c r="S1189" s="15" t="n">
        <f aca="false">IF(OR(J1189=1,N1189&lt;=O1189),1,0)</f>
        <v>1</v>
      </c>
      <c r="T1189" s="15" t="str">
        <f aca="false">IF(J1189=1,"OFFLINE",IF(AND(Q1189&gt;=Inputs!$B$15,R1189=1,S1189=1,P1189&lt;=L1189),"PASS","FAIL"))</f>
        <v>PASS</v>
      </c>
    </row>
    <row r="1190" customFormat="false" ht="15" hidden="false" customHeight="false" outlineLevel="0" collapsed="false">
      <c r="A1190" s="14" t="s">
        <v>1029</v>
      </c>
      <c r="B1190" s="14" t="s">
        <v>1019</v>
      </c>
      <c r="C1190" s="14" t="s">
        <v>186</v>
      </c>
      <c r="D1190" s="14" t="s">
        <v>204</v>
      </c>
      <c r="E1190" s="14" t="s">
        <v>161</v>
      </c>
      <c r="F1190" s="14" t="s">
        <v>199</v>
      </c>
      <c r="G1190" s="14" t="n">
        <v>3</v>
      </c>
      <c r="H1190" s="14" t="s">
        <v>158</v>
      </c>
      <c r="I1190" s="14" t="s">
        <v>892</v>
      </c>
      <c r="J1190" s="15" t="n">
        <f aca="false">IF(B1190="SITE LOSS",IF(D1190=C1190,1,0),IF(B1190="REGION LOSS",IF(E1190=C1190,1,0),0))</f>
        <v>0</v>
      </c>
      <c r="K1190" s="15" t="n">
        <f aca="false">IF(B1190="SITE LOSS",IF(COUNTIFS('Site Dockets'!$B$7:$B$24,C1190,'Site Dockets'!$C$7:$C$24,F1190)&gt;0,1,0),IF(B1190="REGION LOSS",IF(COUNTIFS('Site Dockets'!$E$7:$E$24,C1190,'Site Dockets'!$C$7:$C$24,F1190)&gt;0,1,0),0))</f>
        <v>0</v>
      </c>
      <c r="L1190" s="15" t="n">
        <f aca="false">IF(J1190=1,0,Inputs!$B$11)</f>
        <v>100</v>
      </c>
      <c r="M1190" s="15" t="n">
        <f aca="false">IF(J1190=1,0,Inputs!$B$12)</f>
        <v>75</v>
      </c>
      <c r="N1190" s="15" t="n">
        <f aca="false">IF(J1190=1,0,IF(OR(AND(OR(B1190="SITE LOSS",B1190="REGION LOSS"),K1190=1),AND(B1190="ROLE COMPROMISE",H1190=C1190)),Inputs!$B$13,Inputs!$B$14))</f>
        <v>10</v>
      </c>
      <c r="O1190" s="15" t="n">
        <f aca="false">IF(J1190=1,0,Inputs!$B$13)</f>
        <v>20</v>
      </c>
      <c r="P1190" s="15" t="n">
        <f aca="false">SUM(M1190:N1190)</f>
        <v>85</v>
      </c>
      <c r="Q1190" s="15" t="n">
        <f aca="false">IF(J1190=1,"",L1190-P1190)</f>
        <v>15</v>
      </c>
      <c r="R1190" s="15" t="n">
        <f aca="false">IF(OR(J1190=1,M1190&lt;=Inputs!$B$12),1,0)</f>
        <v>1</v>
      </c>
      <c r="S1190" s="15" t="n">
        <f aca="false">IF(OR(J1190=1,N1190&lt;=O1190),1,0)</f>
        <v>1</v>
      </c>
      <c r="T1190" s="15" t="str">
        <f aca="false">IF(J1190=1,"OFFLINE",IF(AND(Q1190&gt;=Inputs!$B$15,R1190=1,S1190=1,P1190&lt;=L1190),"PASS","FAIL"))</f>
        <v>PASS</v>
      </c>
    </row>
    <row r="1191" customFormat="false" ht="15" hidden="false" customHeight="false" outlineLevel="0" collapsed="false">
      <c r="A1191" s="14" t="s">
        <v>1029</v>
      </c>
      <c r="B1191" s="14" t="s">
        <v>1019</v>
      </c>
      <c r="C1191" s="14" t="s">
        <v>186</v>
      </c>
      <c r="D1191" s="14" t="s">
        <v>204</v>
      </c>
      <c r="E1191" s="14" t="s">
        <v>161</v>
      </c>
      <c r="F1191" s="14" t="s">
        <v>199</v>
      </c>
      <c r="G1191" s="14" t="n">
        <v>3</v>
      </c>
      <c r="H1191" s="14" t="s">
        <v>158</v>
      </c>
      <c r="I1191" s="14" t="s">
        <v>811</v>
      </c>
      <c r="J1191" s="15" t="n">
        <f aca="false">IF(B1191="SITE LOSS",IF(D1191=C1191,1,0),IF(B1191="REGION LOSS",IF(E1191=C1191,1,0),0))</f>
        <v>0</v>
      </c>
      <c r="K1191" s="15" t="n">
        <f aca="false">IF(B1191="SITE LOSS",IF(COUNTIFS('Site Dockets'!$B$7:$B$24,C1191,'Site Dockets'!$C$7:$C$24,F1191)&gt;0,1,0),IF(B1191="REGION LOSS",IF(COUNTIFS('Site Dockets'!$E$7:$E$24,C1191,'Site Dockets'!$C$7:$C$24,F1191)&gt;0,1,0),0))</f>
        <v>0</v>
      </c>
      <c r="L1191" s="15" t="n">
        <f aca="false">IF(J1191=1,0,Inputs!$B$11)</f>
        <v>100</v>
      </c>
      <c r="M1191" s="15" t="n">
        <f aca="false">IF(J1191=1,0,Inputs!$B$12)</f>
        <v>75</v>
      </c>
      <c r="N1191" s="15" t="n">
        <f aca="false">IF(J1191=1,0,IF(OR(AND(OR(B1191="SITE LOSS",B1191="REGION LOSS"),K1191=1),AND(B1191="ROLE COMPROMISE",H1191=C1191)),Inputs!$B$13,Inputs!$B$14))</f>
        <v>10</v>
      </c>
      <c r="O1191" s="15" t="n">
        <f aca="false">IF(J1191=1,0,Inputs!$B$13)</f>
        <v>20</v>
      </c>
      <c r="P1191" s="15" t="n">
        <f aca="false">SUM(M1191:N1191)</f>
        <v>85</v>
      </c>
      <c r="Q1191" s="15" t="n">
        <f aca="false">IF(J1191=1,"",L1191-P1191)</f>
        <v>15</v>
      </c>
      <c r="R1191" s="15" t="n">
        <f aca="false">IF(OR(J1191=1,M1191&lt;=Inputs!$B$12),1,0)</f>
        <v>1</v>
      </c>
      <c r="S1191" s="15" t="n">
        <f aca="false">IF(OR(J1191=1,N1191&lt;=O1191),1,0)</f>
        <v>1</v>
      </c>
      <c r="T1191" s="15" t="str">
        <f aca="false">IF(J1191=1,"OFFLINE",IF(AND(Q1191&gt;=Inputs!$B$15,R1191=1,S1191=1,P1191&lt;=L1191),"PASS","FAIL"))</f>
        <v>PASS</v>
      </c>
    </row>
    <row r="1192" customFormat="false" ht="15" hidden="false" customHeight="false" outlineLevel="0" collapsed="false">
      <c r="A1192" s="14" t="s">
        <v>1029</v>
      </c>
      <c r="B1192" s="14" t="s">
        <v>1019</v>
      </c>
      <c r="C1192" s="14" t="s">
        <v>186</v>
      </c>
      <c r="D1192" s="14" t="s">
        <v>204</v>
      </c>
      <c r="E1192" s="14" t="s">
        <v>161</v>
      </c>
      <c r="F1192" s="14" t="s">
        <v>199</v>
      </c>
      <c r="G1192" s="14" t="n">
        <v>3</v>
      </c>
      <c r="H1192" s="14" t="s">
        <v>158</v>
      </c>
      <c r="I1192" s="14" t="s">
        <v>895</v>
      </c>
      <c r="J1192" s="15" t="n">
        <f aca="false">IF(B1192="SITE LOSS",IF(D1192=C1192,1,0),IF(B1192="REGION LOSS",IF(E1192=C1192,1,0),0))</f>
        <v>0</v>
      </c>
      <c r="K1192" s="15" t="n">
        <f aca="false">IF(B1192="SITE LOSS",IF(COUNTIFS('Site Dockets'!$B$7:$B$24,C1192,'Site Dockets'!$C$7:$C$24,F1192)&gt;0,1,0),IF(B1192="REGION LOSS",IF(COUNTIFS('Site Dockets'!$E$7:$E$24,C1192,'Site Dockets'!$C$7:$C$24,F1192)&gt;0,1,0),0))</f>
        <v>0</v>
      </c>
      <c r="L1192" s="15" t="n">
        <f aca="false">IF(J1192=1,0,Inputs!$B$11)</f>
        <v>100</v>
      </c>
      <c r="M1192" s="15" t="n">
        <f aca="false">IF(J1192=1,0,Inputs!$B$12)</f>
        <v>75</v>
      </c>
      <c r="N1192" s="15" t="n">
        <f aca="false">IF(J1192=1,0,IF(OR(AND(OR(B1192="SITE LOSS",B1192="REGION LOSS"),K1192=1),AND(B1192="ROLE COMPROMISE",H1192=C1192)),Inputs!$B$13,Inputs!$B$14))</f>
        <v>10</v>
      </c>
      <c r="O1192" s="15" t="n">
        <f aca="false">IF(J1192=1,0,Inputs!$B$13)</f>
        <v>20</v>
      </c>
      <c r="P1192" s="15" t="n">
        <f aca="false">SUM(M1192:N1192)</f>
        <v>85</v>
      </c>
      <c r="Q1192" s="15" t="n">
        <f aca="false">IF(J1192=1,"",L1192-P1192)</f>
        <v>15</v>
      </c>
      <c r="R1192" s="15" t="n">
        <f aca="false">IF(OR(J1192=1,M1192&lt;=Inputs!$B$12),1,0)</f>
        <v>1</v>
      </c>
      <c r="S1192" s="15" t="n">
        <f aca="false">IF(OR(J1192=1,N1192&lt;=O1192),1,0)</f>
        <v>1</v>
      </c>
      <c r="T1192" s="15" t="str">
        <f aca="false">IF(J1192=1,"OFFLINE",IF(AND(Q1192&gt;=Inputs!$B$15,R1192=1,S1192=1,P1192&lt;=L1192),"PASS","FAIL"))</f>
        <v>PASS</v>
      </c>
    </row>
    <row r="1193" customFormat="false" ht="15" hidden="false" customHeight="false" outlineLevel="0" collapsed="false">
      <c r="A1193" s="14" t="s">
        <v>1029</v>
      </c>
      <c r="B1193" s="14" t="s">
        <v>1019</v>
      </c>
      <c r="C1193" s="14" t="s">
        <v>186</v>
      </c>
      <c r="D1193" s="14" t="s">
        <v>204</v>
      </c>
      <c r="E1193" s="14" t="s">
        <v>161</v>
      </c>
      <c r="F1193" s="14" t="s">
        <v>199</v>
      </c>
      <c r="G1193" s="14" t="n">
        <v>3</v>
      </c>
      <c r="H1193" s="14" t="s">
        <v>158</v>
      </c>
      <c r="I1193" s="14" t="s">
        <v>897</v>
      </c>
      <c r="J1193" s="15" t="n">
        <f aca="false">IF(B1193="SITE LOSS",IF(D1193=C1193,1,0),IF(B1193="REGION LOSS",IF(E1193=C1193,1,0),0))</f>
        <v>0</v>
      </c>
      <c r="K1193" s="15" t="n">
        <f aca="false">IF(B1193="SITE LOSS",IF(COUNTIFS('Site Dockets'!$B$7:$B$24,C1193,'Site Dockets'!$C$7:$C$24,F1193)&gt;0,1,0),IF(B1193="REGION LOSS",IF(COUNTIFS('Site Dockets'!$E$7:$E$24,C1193,'Site Dockets'!$C$7:$C$24,F1193)&gt;0,1,0),0))</f>
        <v>0</v>
      </c>
      <c r="L1193" s="15" t="n">
        <f aca="false">IF(J1193=1,0,Inputs!$B$11)</f>
        <v>100</v>
      </c>
      <c r="M1193" s="15" t="n">
        <f aca="false">IF(J1193=1,0,Inputs!$B$12)</f>
        <v>75</v>
      </c>
      <c r="N1193" s="15" t="n">
        <f aca="false">IF(J1193=1,0,IF(OR(AND(OR(B1193="SITE LOSS",B1193="REGION LOSS"),K1193=1),AND(B1193="ROLE COMPROMISE",H1193=C1193)),Inputs!$B$13,Inputs!$B$14))</f>
        <v>10</v>
      </c>
      <c r="O1193" s="15" t="n">
        <f aca="false">IF(J1193=1,0,Inputs!$B$13)</f>
        <v>20</v>
      </c>
      <c r="P1193" s="15" t="n">
        <f aca="false">SUM(M1193:N1193)</f>
        <v>85</v>
      </c>
      <c r="Q1193" s="15" t="n">
        <f aca="false">IF(J1193=1,"",L1193-P1193)</f>
        <v>15</v>
      </c>
      <c r="R1193" s="15" t="n">
        <f aca="false">IF(OR(J1193=1,M1193&lt;=Inputs!$B$12),1,0)</f>
        <v>1</v>
      </c>
      <c r="S1193" s="15" t="n">
        <f aca="false">IF(OR(J1193=1,N1193&lt;=O1193),1,0)</f>
        <v>1</v>
      </c>
      <c r="T1193" s="15" t="str">
        <f aca="false">IF(J1193=1,"OFFLINE",IF(AND(Q1193&gt;=Inputs!$B$15,R1193=1,S1193=1,P1193&lt;=L1193),"PASS","FAIL"))</f>
        <v>PASS</v>
      </c>
    </row>
    <row r="1194" customFormat="false" ht="15" hidden="false" customHeight="false" outlineLevel="0" collapsed="false">
      <c r="A1194" s="14" t="s">
        <v>1029</v>
      </c>
      <c r="B1194" s="14" t="s">
        <v>1019</v>
      </c>
      <c r="C1194" s="14" t="s">
        <v>186</v>
      </c>
      <c r="D1194" s="14" t="s">
        <v>204</v>
      </c>
      <c r="E1194" s="14" t="s">
        <v>161</v>
      </c>
      <c r="F1194" s="14" t="s">
        <v>199</v>
      </c>
      <c r="G1194" s="14" t="n">
        <v>3</v>
      </c>
      <c r="H1194" s="14" t="s">
        <v>158</v>
      </c>
      <c r="I1194" s="14" t="s">
        <v>899</v>
      </c>
      <c r="J1194" s="15" t="n">
        <f aca="false">IF(B1194="SITE LOSS",IF(D1194=C1194,1,0),IF(B1194="REGION LOSS",IF(E1194=C1194,1,0),0))</f>
        <v>0</v>
      </c>
      <c r="K1194" s="15" t="n">
        <f aca="false">IF(B1194="SITE LOSS",IF(COUNTIFS('Site Dockets'!$B$7:$B$24,C1194,'Site Dockets'!$C$7:$C$24,F1194)&gt;0,1,0),IF(B1194="REGION LOSS",IF(COUNTIFS('Site Dockets'!$E$7:$E$24,C1194,'Site Dockets'!$C$7:$C$24,F1194)&gt;0,1,0),0))</f>
        <v>0</v>
      </c>
      <c r="L1194" s="15" t="n">
        <f aca="false">IF(J1194=1,0,Inputs!$B$11)</f>
        <v>100</v>
      </c>
      <c r="M1194" s="15" t="n">
        <f aca="false">IF(J1194=1,0,Inputs!$B$12)</f>
        <v>75</v>
      </c>
      <c r="N1194" s="15" t="n">
        <f aca="false">IF(J1194=1,0,IF(OR(AND(OR(B1194="SITE LOSS",B1194="REGION LOSS"),K1194=1),AND(B1194="ROLE COMPROMISE",H1194=C1194)),Inputs!$B$13,Inputs!$B$14))</f>
        <v>10</v>
      </c>
      <c r="O1194" s="15" t="n">
        <f aca="false">IF(J1194=1,0,Inputs!$B$13)</f>
        <v>20</v>
      </c>
      <c r="P1194" s="15" t="n">
        <f aca="false">SUM(M1194:N1194)</f>
        <v>85</v>
      </c>
      <c r="Q1194" s="15" t="n">
        <f aca="false">IF(J1194=1,"",L1194-P1194)</f>
        <v>15</v>
      </c>
      <c r="R1194" s="15" t="n">
        <f aca="false">IF(OR(J1194=1,M1194&lt;=Inputs!$B$12),1,0)</f>
        <v>1</v>
      </c>
      <c r="S1194" s="15" t="n">
        <f aca="false">IF(OR(J1194=1,N1194&lt;=O1194),1,0)</f>
        <v>1</v>
      </c>
      <c r="T1194" s="15" t="str">
        <f aca="false">IF(J1194=1,"OFFLINE",IF(AND(Q1194&gt;=Inputs!$B$15,R1194=1,S1194=1,P1194&lt;=L1194),"PASS","FAIL"))</f>
        <v>PASS</v>
      </c>
    </row>
    <row r="1195" customFormat="false" ht="15" hidden="false" customHeight="false" outlineLevel="0" collapsed="false">
      <c r="A1195" s="14" t="s">
        <v>1030</v>
      </c>
      <c r="B1195" s="14" t="s">
        <v>1019</v>
      </c>
      <c r="C1195" s="14" t="s">
        <v>188</v>
      </c>
      <c r="D1195" s="14" t="s">
        <v>149</v>
      </c>
      <c r="E1195" s="14" t="s">
        <v>152</v>
      </c>
      <c r="F1195" s="14" t="s">
        <v>150</v>
      </c>
      <c r="G1195" s="14" t="n">
        <v>1</v>
      </c>
      <c r="H1195" s="14" t="s">
        <v>154</v>
      </c>
      <c r="I1195" s="14" t="s">
        <v>890</v>
      </c>
      <c r="J1195" s="15" t="n">
        <f aca="false">IF(B1195="SITE LOSS",IF(D1195=C1195,1,0),IF(B1195="REGION LOSS",IF(E1195=C1195,1,0),0))</f>
        <v>0</v>
      </c>
      <c r="K1195" s="15" t="n">
        <f aca="false">IF(B1195="SITE LOSS",IF(COUNTIFS('Site Dockets'!$B$7:$B$24,C1195,'Site Dockets'!$C$7:$C$24,F1195)&gt;0,1,0),IF(B1195="REGION LOSS",IF(COUNTIFS('Site Dockets'!$E$7:$E$24,C1195,'Site Dockets'!$C$7:$C$24,F1195)&gt;0,1,0),0))</f>
        <v>0</v>
      </c>
      <c r="L1195" s="15" t="n">
        <f aca="false">IF(J1195=1,0,Inputs!$B$11)</f>
        <v>100</v>
      </c>
      <c r="M1195" s="15" t="n">
        <f aca="false">IF(J1195=1,0,Inputs!$B$12)</f>
        <v>75</v>
      </c>
      <c r="N1195" s="15" t="n">
        <f aca="false">IF(J1195=1,0,IF(OR(AND(OR(B1195="SITE LOSS",B1195="REGION LOSS"),K1195=1),AND(B1195="ROLE COMPROMISE",H1195=C1195)),Inputs!$B$13,Inputs!$B$14))</f>
        <v>10</v>
      </c>
      <c r="O1195" s="15" t="n">
        <f aca="false">IF(J1195=1,0,Inputs!$B$13)</f>
        <v>20</v>
      </c>
      <c r="P1195" s="15" t="n">
        <f aca="false">SUM(M1195:N1195)</f>
        <v>85</v>
      </c>
      <c r="Q1195" s="15" t="n">
        <f aca="false">IF(J1195=1,"",L1195-P1195)</f>
        <v>15</v>
      </c>
      <c r="R1195" s="15" t="n">
        <f aca="false">IF(OR(J1195=1,M1195&lt;=Inputs!$B$12),1,0)</f>
        <v>1</v>
      </c>
      <c r="S1195" s="15" t="n">
        <f aca="false">IF(OR(J1195=1,N1195&lt;=O1195),1,0)</f>
        <v>1</v>
      </c>
      <c r="T1195" s="15" t="str">
        <f aca="false">IF(J1195=1,"OFFLINE",IF(AND(Q1195&gt;=Inputs!$B$15,R1195=1,S1195=1,P1195&lt;=L1195),"PASS","FAIL"))</f>
        <v>PASS</v>
      </c>
    </row>
    <row r="1196" customFormat="false" ht="15" hidden="false" customHeight="false" outlineLevel="0" collapsed="false">
      <c r="A1196" s="14" t="s">
        <v>1030</v>
      </c>
      <c r="B1196" s="14" t="s">
        <v>1019</v>
      </c>
      <c r="C1196" s="14" t="s">
        <v>188</v>
      </c>
      <c r="D1196" s="14" t="s">
        <v>149</v>
      </c>
      <c r="E1196" s="14" t="s">
        <v>152</v>
      </c>
      <c r="F1196" s="14" t="s">
        <v>150</v>
      </c>
      <c r="G1196" s="14" t="n">
        <v>1</v>
      </c>
      <c r="H1196" s="14" t="s">
        <v>154</v>
      </c>
      <c r="I1196" s="14" t="s">
        <v>892</v>
      </c>
      <c r="J1196" s="15" t="n">
        <f aca="false">IF(B1196="SITE LOSS",IF(D1196=C1196,1,0),IF(B1196="REGION LOSS",IF(E1196=C1196,1,0),0))</f>
        <v>0</v>
      </c>
      <c r="K1196" s="15" t="n">
        <f aca="false">IF(B1196="SITE LOSS",IF(COUNTIFS('Site Dockets'!$B$7:$B$24,C1196,'Site Dockets'!$C$7:$C$24,F1196)&gt;0,1,0),IF(B1196="REGION LOSS",IF(COUNTIFS('Site Dockets'!$E$7:$E$24,C1196,'Site Dockets'!$C$7:$C$24,F1196)&gt;0,1,0),0))</f>
        <v>0</v>
      </c>
      <c r="L1196" s="15" t="n">
        <f aca="false">IF(J1196=1,0,Inputs!$B$11)</f>
        <v>100</v>
      </c>
      <c r="M1196" s="15" t="n">
        <f aca="false">IF(J1196=1,0,Inputs!$B$12)</f>
        <v>75</v>
      </c>
      <c r="N1196" s="15" t="n">
        <f aca="false">IF(J1196=1,0,IF(OR(AND(OR(B1196="SITE LOSS",B1196="REGION LOSS"),K1196=1),AND(B1196="ROLE COMPROMISE",H1196=C1196)),Inputs!$B$13,Inputs!$B$14))</f>
        <v>10</v>
      </c>
      <c r="O1196" s="15" t="n">
        <f aca="false">IF(J1196=1,0,Inputs!$B$13)</f>
        <v>20</v>
      </c>
      <c r="P1196" s="15" t="n">
        <f aca="false">SUM(M1196:N1196)</f>
        <v>85</v>
      </c>
      <c r="Q1196" s="15" t="n">
        <f aca="false">IF(J1196=1,"",L1196-P1196)</f>
        <v>15</v>
      </c>
      <c r="R1196" s="15" t="n">
        <f aca="false">IF(OR(J1196=1,M1196&lt;=Inputs!$B$12),1,0)</f>
        <v>1</v>
      </c>
      <c r="S1196" s="15" t="n">
        <f aca="false">IF(OR(J1196=1,N1196&lt;=O1196),1,0)</f>
        <v>1</v>
      </c>
      <c r="T1196" s="15" t="str">
        <f aca="false">IF(J1196=1,"OFFLINE",IF(AND(Q1196&gt;=Inputs!$B$15,R1196=1,S1196=1,P1196&lt;=L1196),"PASS","FAIL"))</f>
        <v>PASS</v>
      </c>
    </row>
    <row r="1197" customFormat="false" ht="15" hidden="false" customHeight="false" outlineLevel="0" collapsed="false">
      <c r="A1197" s="14" t="s">
        <v>1030</v>
      </c>
      <c r="B1197" s="14" t="s">
        <v>1019</v>
      </c>
      <c r="C1197" s="14" t="s">
        <v>188</v>
      </c>
      <c r="D1197" s="14" t="s">
        <v>149</v>
      </c>
      <c r="E1197" s="14" t="s">
        <v>152</v>
      </c>
      <c r="F1197" s="14" t="s">
        <v>150</v>
      </c>
      <c r="G1197" s="14" t="n">
        <v>1</v>
      </c>
      <c r="H1197" s="14" t="s">
        <v>154</v>
      </c>
      <c r="I1197" s="14" t="s">
        <v>811</v>
      </c>
      <c r="J1197" s="15" t="n">
        <f aca="false">IF(B1197="SITE LOSS",IF(D1197=C1197,1,0),IF(B1197="REGION LOSS",IF(E1197=C1197,1,0),0))</f>
        <v>0</v>
      </c>
      <c r="K1197" s="15" t="n">
        <f aca="false">IF(B1197="SITE LOSS",IF(COUNTIFS('Site Dockets'!$B$7:$B$24,C1197,'Site Dockets'!$C$7:$C$24,F1197)&gt;0,1,0),IF(B1197="REGION LOSS",IF(COUNTIFS('Site Dockets'!$E$7:$E$24,C1197,'Site Dockets'!$C$7:$C$24,F1197)&gt;0,1,0),0))</f>
        <v>0</v>
      </c>
      <c r="L1197" s="15" t="n">
        <f aca="false">IF(J1197=1,0,Inputs!$B$11)</f>
        <v>100</v>
      </c>
      <c r="M1197" s="15" t="n">
        <f aca="false">IF(J1197=1,0,Inputs!$B$12)</f>
        <v>75</v>
      </c>
      <c r="N1197" s="15" t="n">
        <f aca="false">IF(J1197=1,0,IF(OR(AND(OR(B1197="SITE LOSS",B1197="REGION LOSS"),K1197=1),AND(B1197="ROLE COMPROMISE",H1197=C1197)),Inputs!$B$13,Inputs!$B$14))</f>
        <v>10</v>
      </c>
      <c r="O1197" s="15" t="n">
        <f aca="false">IF(J1197=1,0,Inputs!$B$13)</f>
        <v>20</v>
      </c>
      <c r="P1197" s="15" t="n">
        <f aca="false">SUM(M1197:N1197)</f>
        <v>85</v>
      </c>
      <c r="Q1197" s="15" t="n">
        <f aca="false">IF(J1197=1,"",L1197-P1197)</f>
        <v>15</v>
      </c>
      <c r="R1197" s="15" t="n">
        <f aca="false">IF(OR(J1197=1,M1197&lt;=Inputs!$B$12),1,0)</f>
        <v>1</v>
      </c>
      <c r="S1197" s="15" t="n">
        <f aca="false">IF(OR(J1197=1,N1197&lt;=O1197),1,0)</f>
        <v>1</v>
      </c>
      <c r="T1197" s="15" t="str">
        <f aca="false">IF(J1197=1,"OFFLINE",IF(AND(Q1197&gt;=Inputs!$B$15,R1197=1,S1197=1,P1197&lt;=L1197),"PASS","FAIL"))</f>
        <v>PASS</v>
      </c>
    </row>
    <row r="1198" customFormat="false" ht="15" hidden="false" customHeight="false" outlineLevel="0" collapsed="false">
      <c r="A1198" s="14" t="s">
        <v>1030</v>
      </c>
      <c r="B1198" s="14" t="s">
        <v>1019</v>
      </c>
      <c r="C1198" s="14" t="s">
        <v>188</v>
      </c>
      <c r="D1198" s="14" t="s">
        <v>149</v>
      </c>
      <c r="E1198" s="14" t="s">
        <v>152</v>
      </c>
      <c r="F1198" s="14" t="s">
        <v>150</v>
      </c>
      <c r="G1198" s="14" t="n">
        <v>1</v>
      </c>
      <c r="H1198" s="14" t="s">
        <v>154</v>
      </c>
      <c r="I1198" s="14" t="s">
        <v>895</v>
      </c>
      <c r="J1198" s="15" t="n">
        <f aca="false">IF(B1198="SITE LOSS",IF(D1198=C1198,1,0),IF(B1198="REGION LOSS",IF(E1198=C1198,1,0),0))</f>
        <v>0</v>
      </c>
      <c r="K1198" s="15" t="n">
        <f aca="false">IF(B1198="SITE LOSS",IF(COUNTIFS('Site Dockets'!$B$7:$B$24,C1198,'Site Dockets'!$C$7:$C$24,F1198)&gt;0,1,0),IF(B1198="REGION LOSS",IF(COUNTIFS('Site Dockets'!$E$7:$E$24,C1198,'Site Dockets'!$C$7:$C$24,F1198)&gt;0,1,0),0))</f>
        <v>0</v>
      </c>
      <c r="L1198" s="15" t="n">
        <f aca="false">IF(J1198=1,0,Inputs!$B$11)</f>
        <v>100</v>
      </c>
      <c r="M1198" s="15" t="n">
        <f aca="false">IF(J1198=1,0,Inputs!$B$12)</f>
        <v>75</v>
      </c>
      <c r="N1198" s="15" t="n">
        <f aca="false">IF(J1198=1,0,IF(OR(AND(OR(B1198="SITE LOSS",B1198="REGION LOSS"),K1198=1),AND(B1198="ROLE COMPROMISE",H1198=C1198)),Inputs!$B$13,Inputs!$B$14))</f>
        <v>10</v>
      </c>
      <c r="O1198" s="15" t="n">
        <f aca="false">IF(J1198=1,0,Inputs!$B$13)</f>
        <v>20</v>
      </c>
      <c r="P1198" s="15" t="n">
        <f aca="false">SUM(M1198:N1198)</f>
        <v>85</v>
      </c>
      <c r="Q1198" s="15" t="n">
        <f aca="false">IF(J1198=1,"",L1198-P1198)</f>
        <v>15</v>
      </c>
      <c r="R1198" s="15" t="n">
        <f aca="false">IF(OR(J1198=1,M1198&lt;=Inputs!$B$12),1,0)</f>
        <v>1</v>
      </c>
      <c r="S1198" s="15" t="n">
        <f aca="false">IF(OR(J1198=1,N1198&lt;=O1198),1,0)</f>
        <v>1</v>
      </c>
      <c r="T1198" s="15" t="str">
        <f aca="false">IF(J1198=1,"OFFLINE",IF(AND(Q1198&gt;=Inputs!$B$15,R1198=1,S1198=1,P1198&lt;=L1198),"PASS","FAIL"))</f>
        <v>PASS</v>
      </c>
    </row>
    <row r="1199" customFormat="false" ht="15" hidden="false" customHeight="false" outlineLevel="0" collapsed="false">
      <c r="A1199" s="14" t="s">
        <v>1030</v>
      </c>
      <c r="B1199" s="14" t="s">
        <v>1019</v>
      </c>
      <c r="C1199" s="14" t="s">
        <v>188</v>
      </c>
      <c r="D1199" s="14" t="s">
        <v>149</v>
      </c>
      <c r="E1199" s="14" t="s">
        <v>152</v>
      </c>
      <c r="F1199" s="14" t="s">
        <v>150</v>
      </c>
      <c r="G1199" s="14" t="n">
        <v>1</v>
      </c>
      <c r="H1199" s="14" t="s">
        <v>154</v>
      </c>
      <c r="I1199" s="14" t="s">
        <v>897</v>
      </c>
      <c r="J1199" s="15" t="n">
        <f aca="false">IF(B1199="SITE LOSS",IF(D1199=C1199,1,0),IF(B1199="REGION LOSS",IF(E1199=C1199,1,0),0))</f>
        <v>0</v>
      </c>
      <c r="K1199" s="15" t="n">
        <f aca="false">IF(B1199="SITE LOSS",IF(COUNTIFS('Site Dockets'!$B$7:$B$24,C1199,'Site Dockets'!$C$7:$C$24,F1199)&gt;0,1,0),IF(B1199="REGION LOSS",IF(COUNTIFS('Site Dockets'!$E$7:$E$24,C1199,'Site Dockets'!$C$7:$C$24,F1199)&gt;0,1,0),0))</f>
        <v>0</v>
      </c>
      <c r="L1199" s="15" t="n">
        <f aca="false">IF(J1199=1,0,Inputs!$B$11)</f>
        <v>100</v>
      </c>
      <c r="M1199" s="15" t="n">
        <f aca="false">IF(J1199=1,0,Inputs!$B$12)</f>
        <v>75</v>
      </c>
      <c r="N1199" s="15" t="n">
        <f aca="false">IF(J1199=1,0,IF(OR(AND(OR(B1199="SITE LOSS",B1199="REGION LOSS"),K1199=1),AND(B1199="ROLE COMPROMISE",H1199=C1199)),Inputs!$B$13,Inputs!$B$14))</f>
        <v>10</v>
      </c>
      <c r="O1199" s="15" t="n">
        <f aca="false">IF(J1199=1,0,Inputs!$B$13)</f>
        <v>20</v>
      </c>
      <c r="P1199" s="15" t="n">
        <f aca="false">SUM(M1199:N1199)</f>
        <v>85</v>
      </c>
      <c r="Q1199" s="15" t="n">
        <f aca="false">IF(J1199=1,"",L1199-P1199)</f>
        <v>15</v>
      </c>
      <c r="R1199" s="15" t="n">
        <f aca="false">IF(OR(J1199=1,M1199&lt;=Inputs!$B$12),1,0)</f>
        <v>1</v>
      </c>
      <c r="S1199" s="15" t="n">
        <f aca="false">IF(OR(J1199=1,N1199&lt;=O1199),1,0)</f>
        <v>1</v>
      </c>
      <c r="T1199" s="15" t="str">
        <f aca="false">IF(J1199=1,"OFFLINE",IF(AND(Q1199&gt;=Inputs!$B$15,R1199=1,S1199=1,P1199&lt;=L1199),"PASS","FAIL"))</f>
        <v>PASS</v>
      </c>
    </row>
    <row r="1200" customFormat="false" ht="15" hidden="false" customHeight="false" outlineLevel="0" collapsed="false">
      <c r="A1200" s="14" t="s">
        <v>1030</v>
      </c>
      <c r="B1200" s="14" t="s">
        <v>1019</v>
      </c>
      <c r="C1200" s="14" t="s">
        <v>188</v>
      </c>
      <c r="D1200" s="14" t="s">
        <v>149</v>
      </c>
      <c r="E1200" s="14" t="s">
        <v>152</v>
      </c>
      <c r="F1200" s="14" t="s">
        <v>150</v>
      </c>
      <c r="G1200" s="14" t="n">
        <v>1</v>
      </c>
      <c r="H1200" s="14" t="s">
        <v>154</v>
      </c>
      <c r="I1200" s="14" t="s">
        <v>899</v>
      </c>
      <c r="J1200" s="15" t="n">
        <f aca="false">IF(B1200="SITE LOSS",IF(D1200=C1200,1,0),IF(B1200="REGION LOSS",IF(E1200=C1200,1,0),0))</f>
        <v>0</v>
      </c>
      <c r="K1200" s="15" t="n">
        <f aca="false">IF(B1200="SITE LOSS",IF(COUNTIFS('Site Dockets'!$B$7:$B$24,C1200,'Site Dockets'!$C$7:$C$24,F1200)&gt;0,1,0),IF(B1200="REGION LOSS",IF(COUNTIFS('Site Dockets'!$E$7:$E$24,C1200,'Site Dockets'!$C$7:$C$24,F1200)&gt;0,1,0),0))</f>
        <v>0</v>
      </c>
      <c r="L1200" s="15" t="n">
        <f aca="false">IF(J1200=1,0,Inputs!$B$11)</f>
        <v>100</v>
      </c>
      <c r="M1200" s="15" t="n">
        <f aca="false">IF(J1200=1,0,Inputs!$B$12)</f>
        <v>75</v>
      </c>
      <c r="N1200" s="15" t="n">
        <f aca="false">IF(J1200=1,0,IF(OR(AND(OR(B1200="SITE LOSS",B1200="REGION LOSS"),K1200=1),AND(B1200="ROLE COMPROMISE",H1200=C1200)),Inputs!$B$13,Inputs!$B$14))</f>
        <v>10</v>
      </c>
      <c r="O1200" s="15" t="n">
        <f aca="false">IF(J1200=1,0,Inputs!$B$13)</f>
        <v>20</v>
      </c>
      <c r="P1200" s="15" t="n">
        <f aca="false">SUM(M1200:N1200)</f>
        <v>85</v>
      </c>
      <c r="Q1200" s="15" t="n">
        <f aca="false">IF(J1200=1,"",L1200-P1200)</f>
        <v>15</v>
      </c>
      <c r="R1200" s="15" t="n">
        <f aca="false">IF(OR(J1200=1,M1200&lt;=Inputs!$B$12),1,0)</f>
        <v>1</v>
      </c>
      <c r="S1200" s="15" t="n">
        <f aca="false">IF(OR(J1200=1,N1200&lt;=O1200),1,0)</f>
        <v>1</v>
      </c>
      <c r="T1200" s="15" t="str">
        <f aca="false">IF(J1200=1,"OFFLINE",IF(AND(Q1200&gt;=Inputs!$B$15,R1200=1,S1200=1,P1200&lt;=L1200),"PASS","FAIL"))</f>
        <v>PASS</v>
      </c>
    </row>
    <row r="1201" customFormat="false" ht="15" hidden="false" customHeight="false" outlineLevel="0" collapsed="false">
      <c r="A1201" s="14" t="s">
        <v>1030</v>
      </c>
      <c r="B1201" s="14" t="s">
        <v>1019</v>
      </c>
      <c r="C1201" s="14" t="s">
        <v>188</v>
      </c>
      <c r="D1201" s="14" t="s">
        <v>156</v>
      </c>
      <c r="E1201" s="14" t="s">
        <v>157</v>
      </c>
      <c r="F1201" s="14" t="s">
        <v>150</v>
      </c>
      <c r="G1201" s="14" t="n">
        <v>2</v>
      </c>
      <c r="H1201" s="14" t="s">
        <v>153</v>
      </c>
      <c r="I1201" s="14" t="s">
        <v>890</v>
      </c>
      <c r="J1201" s="15" t="n">
        <f aca="false">IF(B1201="SITE LOSS",IF(D1201=C1201,1,0),IF(B1201="REGION LOSS",IF(E1201=C1201,1,0),0))</f>
        <v>0</v>
      </c>
      <c r="K1201" s="15" t="n">
        <f aca="false">IF(B1201="SITE LOSS",IF(COUNTIFS('Site Dockets'!$B$7:$B$24,C1201,'Site Dockets'!$C$7:$C$24,F1201)&gt;0,1,0),IF(B1201="REGION LOSS",IF(COUNTIFS('Site Dockets'!$E$7:$E$24,C1201,'Site Dockets'!$C$7:$C$24,F1201)&gt;0,1,0),0))</f>
        <v>0</v>
      </c>
      <c r="L1201" s="15" t="n">
        <f aca="false">IF(J1201=1,0,Inputs!$B$11)</f>
        <v>100</v>
      </c>
      <c r="M1201" s="15" t="n">
        <f aca="false">IF(J1201=1,0,Inputs!$B$12)</f>
        <v>75</v>
      </c>
      <c r="N1201" s="15" t="n">
        <f aca="false">IF(J1201=1,0,IF(OR(AND(OR(B1201="SITE LOSS",B1201="REGION LOSS"),K1201=1),AND(B1201="ROLE COMPROMISE",H1201=C1201)),Inputs!$B$13,Inputs!$B$14))</f>
        <v>10</v>
      </c>
      <c r="O1201" s="15" t="n">
        <f aca="false">IF(J1201=1,0,Inputs!$B$13)</f>
        <v>20</v>
      </c>
      <c r="P1201" s="15" t="n">
        <f aca="false">SUM(M1201:N1201)</f>
        <v>85</v>
      </c>
      <c r="Q1201" s="15" t="n">
        <f aca="false">IF(J1201=1,"",L1201-P1201)</f>
        <v>15</v>
      </c>
      <c r="R1201" s="15" t="n">
        <f aca="false">IF(OR(J1201=1,M1201&lt;=Inputs!$B$12),1,0)</f>
        <v>1</v>
      </c>
      <c r="S1201" s="15" t="n">
        <f aca="false">IF(OR(J1201=1,N1201&lt;=O1201),1,0)</f>
        <v>1</v>
      </c>
      <c r="T1201" s="15" t="str">
        <f aca="false">IF(J1201=1,"OFFLINE",IF(AND(Q1201&gt;=Inputs!$B$15,R1201=1,S1201=1,P1201&lt;=L1201),"PASS","FAIL"))</f>
        <v>PASS</v>
      </c>
    </row>
    <row r="1202" customFormat="false" ht="15" hidden="false" customHeight="false" outlineLevel="0" collapsed="false">
      <c r="A1202" s="14" t="s">
        <v>1030</v>
      </c>
      <c r="B1202" s="14" t="s">
        <v>1019</v>
      </c>
      <c r="C1202" s="14" t="s">
        <v>188</v>
      </c>
      <c r="D1202" s="14" t="s">
        <v>156</v>
      </c>
      <c r="E1202" s="14" t="s">
        <v>157</v>
      </c>
      <c r="F1202" s="14" t="s">
        <v>150</v>
      </c>
      <c r="G1202" s="14" t="n">
        <v>2</v>
      </c>
      <c r="H1202" s="14" t="s">
        <v>153</v>
      </c>
      <c r="I1202" s="14" t="s">
        <v>892</v>
      </c>
      <c r="J1202" s="15" t="n">
        <f aca="false">IF(B1202="SITE LOSS",IF(D1202=C1202,1,0),IF(B1202="REGION LOSS",IF(E1202=C1202,1,0),0))</f>
        <v>0</v>
      </c>
      <c r="K1202" s="15" t="n">
        <f aca="false">IF(B1202="SITE LOSS",IF(COUNTIFS('Site Dockets'!$B$7:$B$24,C1202,'Site Dockets'!$C$7:$C$24,F1202)&gt;0,1,0),IF(B1202="REGION LOSS",IF(COUNTIFS('Site Dockets'!$E$7:$E$24,C1202,'Site Dockets'!$C$7:$C$24,F1202)&gt;0,1,0),0))</f>
        <v>0</v>
      </c>
      <c r="L1202" s="15" t="n">
        <f aca="false">IF(J1202=1,0,Inputs!$B$11)</f>
        <v>100</v>
      </c>
      <c r="M1202" s="15" t="n">
        <f aca="false">IF(J1202=1,0,Inputs!$B$12)</f>
        <v>75</v>
      </c>
      <c r="N1202" s="15" t="n">
        <f aca="false">IF(J1202=1,0,IF(OR(AND(OR(B1202="SITE LOSS",B1202="REGION LOSS"),K1202=1),AND(B1202="ROLE COMPROMISE",H1202=C1202)),Inputs!$B$13,Inputs!$B$14))</f>
        <v>10</v>
      </c>
      <c r="O1202" s="15" t="n">
        <f aca="false">IF(J1202=1,0,Inputs!$B$13)</f>
        <v>20</v>
      </c>
      <c r="P1202" s="15" t="n">
        <f aca="false">SUM(M1202:N1202)</f>
        <v>85</v>
      </c>
      <c r="Q1202" s="15" t="n">
        <f aca="false">IF(J1202=1,"",L1202-P1202)</f>
        <v>15</v>
      </c>
      <c r="R1202" s="15" t="n">
        <f aca="false">IF(OR(J1202=1,M1202&lt;=Inputs!$B$12),1,0)</f>
        <v>1</v>
      </c>
      <c r="S1202" s="15" t="n">
        <f aca="false">IF(OR(J1202=1,N1202&lt;=O1202),1,0)</f>
        <v>1</v>
      </c>
      <c r="T1202" s="15" t="str">
        <f aca="false">IF(J1202=1,"OFFLINE",IF(AND(Q1202&gt;=Inputs!$B$15,R1202=1,S1202=1,P1202&lt;=L1202),"PASS","FAIL"))</f>
        <v>PASS</v>
      </c>
    </row>
    <row r="1203" customFormat="false" ht="15" hidden="false" customHeight="false" outlineLevel="0" collapsed="false">
      <c r="A1203" s="14" t="s">
        <v>1030</v>
      </c>
      <c r="B1203" s="14" t="s">
        <v>1019</v>
      </c>
      <c r="C1203" s="14" t="s">
        <v>188</v>
      </c>
      <c r="D1203" s="14" t="s">
        <v>156</v>
      </c>
      <c r="E1203" s="14" t="s">
        <v>157</v>
      </c>
      <c r="F1203" s="14" t="s">
        <v>150</v>
      </c>
      <c r="G1203" s="14" t="n">
        <v>2</v>
      </c>
      <c r="H1203" s="14" t="s">
        <v>153</v>
      </c>
      <c r="I1203" s="14" t="s">
        <v>811</v>
      </c>
      <c r="J1203" s="15" t="n">
        <f aca="false">IF(B1203="SITE LOSS",IF(D1203=C1203,1,0),IF(B1203="REGION LOSS",IF(E1203=C1203,1,0),0))</f>
        <v>0</v>
      </c>
      <c r="K1203" s="15" t="n">
        <f aca="false">IF(B1203="SITE LOSS",IF(COUNTIFS('Site Dockets'!$B$7:$B$24,C1203,'Site Dockets'!$C$7:$C$24,F1203)&gt;0,1,0),IF(B1203="REGION LOSS",IF(COUNTIFS('Site Dockets'!$E$7:$E$24,C1203,'Site Dockets'!$C$7:$C$24,F1203)&gt;0,1,0),0))</f>
        <v>0</v>
      </c>
      <c r="L1203" s="15" t="n">
        <f aca="false">IF(J1203=1,0,Inputs!$B$11)</f>
        <v>100</v>
      </c>
      <c r="M1203" s="15" t="n">
        <f aca="false">IF(J1203=1,0,Inputs!$B$12)</f>
        <v>75</v>
      </c>
      <c r="N1203" s="15" t="n">
        <f aca="false">IF(J1203=1,0,IF(OR(AND(OR(B1203="SITE LOSS",B1203="REGION LOSS"),K1203=1),AND(B1203="ROLE COMPROMISE",H1203=C1203)),Inputs!$B$13,Inputs!$B$14))</f>
        <v>10</v>
      </c>
      <c r="O1203" s="15" t="n">
        <f aca="false">IF(J1203=1,0,Inputs!$B$13)</f>
        <v>20</v>
      </c>
      <c r="P1203" s="15" t="n">
        <f aca="false">SUM(M1203:N1203)</f>
        <v>85</v>
      </c>
      <c r="Q1203" s="15" t="n">
        <f aca="false">IF(J1203=1,"",L1203-P1203)</f>
        <v>15</v>
      </c>
      <c r="R1203" s="15" t="n">
        <f aca="false">IF(OR(J1203=1,M1203&lt;=Inputs!$B$12),1,0)</f>
        <v>1</v>
      </c>
      <c r="S1203" s="15" t="n">
        <f aca="false">IF(OR(J1203=1,N1203&lt;=O1203),1,0)</f>
        <v>1</v>
      </c>
      <c r="T1203" s="15" t="str">
        <f aca="false">IF(J1203=1,"OFFLINE",IF(AND(Q1203&gt;=Inputs!$B$15,R1203=1,S1203=1,P1203&lt;=L1203),"PASS","FAIL"))</f>
        <v>PASS</v>
      </c>
    </row>
    <row r="1204" customFormat="false" ht="15" hidden="false" customHeight="false" outlineLevel="0" collapsed="false">
      <c r="A1204" s="14" t="s">
        <v>1030</v>
      </c>
      <c r="B1204" s="14" t="s">
        <v>1019</v>
      </c>
      <c r="C1204" s="14" t="s">
        <v>188</v>
      </c>
      <c r="D1204" s="14" t="s">
        <v>156</v>
      </c>
      <c r="E1204" s="14" t="s">
        <v>157</v>
      </c>
      <c r="F1204" s="14" t="s">
        <v>150</v>
      </c>
      <c r="G1204" s="14" t="n">
        <v>2</v>
      </c>
      <c r="H1204" s="14" t="s">
        <v>153</v>
      </c>
      <c r="I1204" s="14" t="s">
        <v>895</v>
      </c>
      <c r="J1204" s="15" t="n">
        <f aca="false">IF(B1204="SITE LOSS",IF(D1204=C1204,1,0),IF(B1204="REGION LOSS",IF(E1204=C1204,1,0),0))</f>
        <v>0</v>
      </c>
      <c r="K1204" s="15" t="n">
        <f aca="false">IF(B1204="SITE LOSS",IF(COUNTIFS('Site Dockets'!$B$7:$B$24,C1204,'Site Dockets'!$C$7:$C$24,F1204)&gt;0,1,0),IF(B1204="REGION LOSS",IF(COUNTIFS('Site Dockets'!$E$7:$E$24,C1204,'Site Dockets'!$C$7:$C$24,F1204)&gt;0,1,0),0))</f>
        <v>0</v>
      </c>
      <c r="L1204" s="15" t="n">
        <f aca="false">IF(J1204=1,0,Inputs!$B$11)</f>
        <v>100</v>
      </c>
      <c r="M1204" s="15" t="n">
        <f aca="false">IF(J1204=1,0,Inputs!$B$12)</f>
        <v>75</v>
      </c>
      <c r="N1204" s="15" t="n">
        <f aca="false">IF(J1204=1,0,IF(OR(AND(OR(B1204="SITE LOSS",B1204="REGION LOSS"),K1204=1),AND(B1204="ROLE COMPROMISE",H1204=C1204)),Inputs!$B$13,Inputs!$B$14))</f>
        <v>10</v>
      </c>
      <c r="O1204" s="15" t="n">
        <f aca="false">IF(J1204=1,0,Inputs!$B$13)</f>
        <v>20</v>
      </c>
      <c r="P1204" s="15" t="n">
        <f aca="false">SUM(M1204:N1204)</f>
        <v>85</v>
      </c>
      <c r="Q1204" s="15" t="n">
        <f aca="false">IF(J1204=1,"",L1204-P1204)</f>
        <v>15</v>
      </c>
      <c r="R1204" s="15" t="n">
        <f aca="false">IF(OR(J1204=1,M1204&lt;=Inputs!$B$12),1,0)</f>
        <v>1</v>
      </c>
      <c r="S1204" s="15" t="n">
        <f aca="false">IF(OR(J1204=1,N1204&lt;=O1204),1,0)</f>
        <v>1</v>
      </c>
      <c r="T1204" s="15" t="str">
        <f aca="false">IF(J1204=1,"OFFLINE",IF(AND(Q1204&gt;=Inputs!$B$15,R1204=1,S1204=1,P1204&lt;=L1204),"PASS","FAIL"))</f>
        <v>PASS</v>
      </c>
    </row>
    <row r="1205" customFormat="false" ht="15" hidden="false" customHeight="false" outlineLevel="0" collapsed="false">
      <c r="A1205" s="14" t="s">
        <v>1030</v>
      </c>
      <c r="B1205" s="14" t="s">
        <v>1019</v>
      </c>
      <c r="C1205" s="14" t="s">
        <v>188</v>
      </c>
      <c r="D1205" s="14" t="s">
        <v>156</v>
      </c>
      <c r="E1205" s="14" t="s">
        <v>157</v>
      </c>
      <c r="F1205" s="14" t="s">
        <v>150</v>
      </c>
      <c r="G1205" s="14" t="n">
        <v>2</v>
      </c>
      <c r="H1205" s="14" t="s">
        <v>153</v>
      </c>
      <c r="I1205" s="14" t="s">
        <v>897</v>
      </c>
      <c r="J1205" s="15" t="n">
        <f aca="false">IF(B1205="SITE LOSS",IF(D1205=C1205,1,0),IF(B1205="REGION LOSS",IF(E1205=C1205,1,0),0))</f>
        <v>0</v>
      </c>
      <c r="K1205" s="15" t="n">
        <f aca="false">IF(B1205="SITE LOSS",IF(COUNTIFS('Site Dockets'!$B$7:$B$24,C1205,'Site Dockets'!$C$7:$C$24,F1205)&gt;0,1,0),IF(B1205="REGION LOSS",IF(COUNTIFS('Site Dockets'!$E$7:$E$24,C1205,'Site Dockets'!$C$7:$C$24,F1205)&gt;0,1,0),0))</f>
        <v>0</v>
      </c>
      <c r="L1205" s="15" t="n">
        <f aca="false">IF(J1205=1,0,Inputs!$B$11)</f>
        <v>100</v>
      </c>
      <c r="M1205" s="15" t="n">
        <f aca="false">IF(J1205=1,0,Inputs!$B$12)</f>
        <v>75</v>
      </c>
      <c r="N1205" s="15" t="n">
        <f aca="false">IF(J1205=1,0,IF(OR(AND(OR(B1205="SITE LOSS",B1205="REGION LOSS"),K1205=1),AND(B1205="ROLE COMPROMISE",H1205=C1205)),Inputs!$B$13,Inputs!$B$14))</f>
        <v>10</v>
      </c>
      <c r="O1205" s="15" t="n">
        <f aca="false">IF(J1205=1,0,Inputs!$B$13)</f>
        <v>20</v>
      </c>
      <c r="P1205" s="15" t="n">
        <f aca="false">SUM(M1205:N1205)</f>
        <v>85</v>
      </c>
      <c r="Q1205" s="15" t="n">
        <f aca="false">IF(J1205=1,"",L1205-P1205)</f>
        <v>15</v>
      </c>
      <c r="R1205" s="15" t="n">
        <f aca="false">IF(OR(J1205=1,M1205&lt;=Inputs!$B$12),1,0)</f>
        <v>1</v>
      </c>
      <c r="S1205" s="15" t="n">
        <f aca="false">IF(OR(J1205=1,N1205&lt;=O1205),1,0)</f>
        <v>1</v>
      </c>
      <c r="T1205" s="15" t="str">
        <f aca="false">IF(J1205=1,"OFFLINE",IF(AND(Q1205&gt;=Inputs!$B$15,R1205=1,S1205=1,P1205&lt;=L1205),"PASS","FAIL"))</f>
        <v>PASS</v>
      </c>
    </row>
    <row r="1206" customFormat="false" ht="15" hidden="false" customHeight="false" outlineLevel="0" collapsed="false">
      <c r="A1206" s="14" t="s">
        <v>1030</v>
      </c>
      <c r="B1206" s="14" t="s">
        <v>1019</v>
      </c>
      <c r="C1206" s="14" t="s">
        <v>188</v>
      </c>
      <c r="D1206" s="14" t="s">
        <v>156</v>
      </c>
      <c r="E1206" s="14" t="s">
        <v>157</v>
      </c>
      <c r="F1206" s="14" t="s">
        <v>150</v>
      </c>
      <c r="G1206" s="14" t="n">
        <v>2</v>
      </c>
      <c r="H1206" s="14" t="s">
        <v>153</v>
      </c>
      <c r="I1206" s="14" t="s">
        <v>899</v>
      </c>
      <c r="J1206" s="15" t="n">
        <f aca="false">IF(B1206="SITE LOSS",IF(D1206=C1206,1,0),IF(B1206="REGION LOSS",IF(E1206=C1206,1,0),0))</f>
        <v>0</v>
      </c>
      <c r="K1206" s="15" t="n">
        <f aca="false">IF(B1206="SITE LOSS",IF(COUNTIFS('Site Dockets'!$B$7:$B$24,C1206,'Site Dockets'!$C$7:$C$24,F1206)&gt;0,1,0),IF(B1206="REGION LOSS",IF(COUNTIFS('Site Dockets'!$E$7:$E$24,C1206,'Site Dockets'!$C$7:$C$24,F1206)&gt;0,1,0),0))</f>
        <v>0</v>
      </c>
      <c r="L1206" s="15" t="n">
        <f aca="false">IF(J1206=1,0,Inputs!$B$11)</f>
        <v>100</v>
      </c>
      <c r="M1206" s="15" t="n">
        <f aca="false">IF(J1206=1,0,Inputs!$B$12)</f>
        <v>75</v>
      </c>
      <c r="N1206" s="15" t="n">
        <f aca="false">IF(J1206=1,0,IF(OR(AND(OR(B1206="SITE LOSS",B1206="REGION LOSS"),K1206=1),AND(B1206="ROLE COMPROMISE",H1206=C1206)),Inputs!$B$13,Inputs!$B$14))</f>
        <v>10</v>
      </c>
      <c r="O1206" s="15" t="n">
        <f aca="false">IF(J1206=1,0,Inputs!$B$13)</f>
        <v>20</v>
      </c>
      <c r="P1206" s="15" t="n">
        <f aca="false">SUM(M1206:N1206)</f>
        <v>85</v>
      </c>
      <c r="Q1206" s="15" t="n">
        <f aca="false">IF(J1206=1,"",L1206-P1206)</f>
        <v>15</v>
      </c>
      <c r="R1206" s="15" t="n">
        <f aca="false">IF(OR(J1206=1,M1206&lt;=Inputs!$B$12),1,0)</f>
        <v>1</v>
      </c>
      <c r="S1206" s="15" t="n">
        <f aca="false">IF(OR(J1206=1,N1206&lt;=O1206),1,0)</f>
        <v>1</v>
      </c>
      <c r="T1206" s="15" t="str">
        <f aca="false">IF(J1206=1,"OFFLINE",IF(AND(Q1206&gt;=Inputs!$B$15,R1206=1,S1206=1,P1206&lt;=L1206),"PASS","FAIL"))</f>
        <v>PASS</v>
      </c>
    </row>
    <row r="1207" customFormat="false" ht="15" hidden="false" customHeight="false" outlineLevel="0" collapsed="false">
      <c r="A1207" s="14" t="s">
        <v>1030</v>
      </c>
      <c r="B1207" s="14" t="s">
        <v>1019</v>
      </c>
      <c r="C1207" s="14" t="s">
        <v>188</v>
      </c>
      <c r="D1207" s="14" t="s">
        <v>160</v>
      </c>
      <c r="E1207" s="14" t="s">
        <v>161</v>
      </c>
      <c r="F1207" s="14" t="s">
        <v>150</v>
      </c>
      <c r="G1207" s="14" t="n">
        <v>3</v>
      </c>
      <c r="H1207" s="14" t="s">
        <v>158</v>
      </c>
      <c r="I1207" s="14" t="s">
        <v>890</v>
      </c>
      <c r="J1207" s="15" t="n">
        <f aca="false">IF(B1207="SITE LOSS",IF(D1207=C1207,1,0),IF(B1207="REGION LOSS",IF(E1207=C1207,1,0),0))</f>
        <v>0</v>
      </c>
      <c r="K1207" s="15" t="n">
        <f aca="false">IF(B1207="SITE LOSS",IF(COUNTIFS('Site Dockets'!$B$7:$B$24,C1207,'Site Dockets'!$C$7:$C$24,F1207)&gt;0,1,0),IF(B1207="REGION LOSS",IF(COUNTIFS('Site Dockets'!$E$7:$E$24,C1207,'Site Dockets'!$C$7:$C$24,F1207)&gt;0,1,0),0))</f>
        <v>0</v>
      </c>
      <c r="L1207" s="15" t="n">
        <f aca="false">IF(J1207=1,0,Inputs!$B$11)</f>
        <v>100</v>
      </c>
      <c r="M1207" s="15" t="n">
        <f aca="false">IF(J1207=1,0,Inputs!$B$12)</f>
        <v>75</v>
      </c>
      <c r="N1207" s="15" t="n">
        <f aca="false">IF(J1207=1,0,IF(OR(AND(OR(B1207="SITE LOSS",B1207="REGION LOSS"),K1207=1),AND(B1207="ROLE COMPROMISE",H1207=C1207)),Inputs!$B$13,Inputs!$B$14))</f>
        <v>10</v>
      </c>
      <c r="O1207" s="15" t="n">
        <f aca="false">IF(J1207=1,0,Inputs!$B$13)</f>
        <v>20</v>
      </c>
      <c r="P1207" s="15" t="n">
        <f aca="false">SUM(M1207:N1207)</f>
        <v>85</v>
      </c>
      <c r="Q1207" s="15" t="n">
        <f aca="false">IF(J1207=1,"",L1207-P1207)</f>
        <v>15</v>
      </c>
      <c r="R1207" s="15" t="n">
        <f aca="false">IF(OR(J1207=1,M1207&lt;=Inputs!$B$12),1,0)</f>
        <v>1</v>
      </c>
      <c r="S1207" s="15" t="n">
        <f aca="false">IF(OR(J1207=1,N1207&lt;=O1207),1,0)</f>
        <v>1</v>
      </c>
      <c r="T1207" s="15" t="str">
        <f aca="false">IF(J1207=1,"OFFLINE",IF(AND(Q1207&gt;=Inputs!$B$15,R1207=1,S1207=1,P1207&lt;=L1207),"PASS","FAIL"))</f>
        <v>PASS</v>
      </c>
    </row>
    <row r="1208" customFormat="false" ht="15" hidden="false" customHeight="false" outlineLevel="0" collapsed="false">
      <c r="A1208" s="14" t="s">
        <v>1030</v>
      </c>
      <c r="B1208" s="14" t="s">
        <v>1019</v>
      </c>
      <c r="C1208" s="14" t="s">
        <v>188</v>
      </c>
      <c r="D1208" s="14" t="s">
        <v>160</v>
      </c>
      <c r="E1208" s="14" t="s">
        <v>161</v>
      </c>
      <c r="F1208" s="14" t="s">
        <v>150</v>
      </c>
      <c r="G1208" s="14" t="n">
        <v>3</v>
      </c>
      <c r="H1208" s="14" t="s">
        <v>158</v>
      </c>
      <c r="I1208" s="14" t="s">
        <v>892</v>
      </c>
      <c r="J1208" s="15" t="n">
        <f aca="false">IF(B1208="SITE LOSS",IF(D1208=C1208,1,0),IF(B1208="REGION LOSS",IF(E1208=C1208,1,0),0))</f>
        <v>0</v>
      </c>
      <c r="K1208" s="15" t="n">
        <f aca="false">IF(B1208="SITE LOSS",IF(COUNTIFS('Site Dockets'!$B$7:$B$24,C1208,'Site Dockets'!$C$7:$C$24,F1208)&gt;0,1,0),IF(B1208="REGION LOSS",IF(COUNTIFS('Site Dockets'!$E$7:$E$24,C1208,'Site Dockets'!$C$7:$C$24,F1208)&gt;0,1,0),0))</f>
        <v>0</v>
      </c>
      <c r="L1208" s="15" t="n">
        <f aca="false">IF(J1208=1,0,Inputs!$B$11)</f>
        <v>100</v>
      </c>
      <c r="M1208" s="15" t="n">
        <f aca="false">IF(J1208=1,0,Inputs!$B$12)</f>
        <v>75</v>
      </c>
      <c r="N1208" s="15" t="n">
        <f aca="false">IF(J1208=1,0,IF(OR(AND(OR(B1208="SITE LOSS",B1208="REGION LOSS"),K1208=1),AND(B1208="ROLE COMPROMISE",H1208=C1208)),Inputs!$B$13,Inputs!$B$14))</f>
        <v>10</v>
      </c>
      <c r="O1208" s="15" t="n">
        <f aca="false">IF(J1208=1,0,Inputs!$B$13)</f>
        <v>20</v>
      </c>
      <c r="P1208" s="15" t="n">
        <f aca="false">SUM(M1208:N1208)</f>
        <v>85</v>
      </c>
      <c r="Q1208" s="15" t="n">
        <f aca="false">IF(J1208=1,"",L1208-P1208)</f>
        <v>15</v>
      </c>
      <c r="R1208" s="15" t="n">
        <f aca="false">IF(OR(J1208=1,M1208&lt;=Inputs!$B$12),1,0)</f>
        <v>1</v>
      </c>
      <c r="S1208" s="15" t="n">
        <f aca="false">IF(OR(J1208=1,N1208&lt;=O1208),1,0)</f>
        <v>1</v>
      </c>
      <c r="T1208" s="15" t="str">
        <f aca="false">IF(J1208=1,"OFFLINE",IF(AND(Q1208&gt;=Inputs!$B$15,R1208=1,S1208=1,P1208&lt;=L1208),"PASS","FAIL"))</f>
        <v>PASS</v>
      </c>
    </row>
    <row r="1209" customFormat="false" ht="15" hidden="false" customHeight="false" outlineLevel="0" collapsed="false">
      <c r="A1209" s="14" t="s">
        <v>1030</v>
      </c>
      <c r="B1209" s="14" t="s">
        <v>1019</v>
      </c>
      <c r="C1209" s="14" t="s">
        <v>188</v>
      </c>
      <c r="D1209" s="14" t="s">
        <v>160</v>
      </c>
      <c r="E1209" s="14" t="s">
        <v>161</v>
      </c>
      <c r="F1209" s="14" t="s">
        <v>150</v>
      </c>
      <c r="G1209" s="14" t="n">
        <v>3</v>
      </c>
      <c r="H1209" s="14" t="s">
        <v>158</v>
      </c>
      <c r="I1209" s="14" t="s">
        <v>811</v>
      </c>
      <c r="J1209" s="15" t="n">
        <f aca="false">IF(B1209="SITE LOSS",IF(D1209=C1209,1,0),IF(B1209="REGION LOSS",IF(E1209=C1209,1,0),0))</f>
        <v>0</v>
      </c>
      <c r="K1209" s="15" t="n">
        <f aca="false">IF(B1209="SITE LOSS",IF(COUNTIFS('Site Dockets'!$B$7:$B$24,C1209,'Site Dockets'!$C$7:$C$24,F1209)&gt;0,1,0),IF(B1209="REGION LOSS",IF(COUNTIFS('Site Dockets'!$E$7:$E$24,C1209,'Site Dockets'!$C$7:$C$24,F1209)&gt;0,1,0),0))</f>
        <v>0</v>
      </c>
      <c r="L1209" s="15" t="n">
        <f aca="false">IF(J1209=1,0,Inputs!$B$11)</f>
        <v>100</v>
      </c>
      <c r="M1209" s="15" t="n">
        <f aca="false">IF(J1209=1,0,Inputs!$B$12)</f>
        <v>75</v>
      </c>
      <c r="N1209" s="15" t="n">
        <f aca="false">IF(J1209=1,0,IF(OR(AND(OR(B1209="SITE LOSS",B1209="REGION LOSS"),K1209=1),AND(B1209="ROLE COMPROMISE",H1209=C1209)),Inputs!$B$13,Inputs!$B$14))</f>
        <v>10</v>
      </c>
      <c r="O1209" s="15" t="n">
        <f aca="false">IF(J1209=1,0,Inputs!$B$13)</f>
        <v>20</v>
      </c>
      <c r="P1209" s="15" t="n">
        <f aca="false">SUM(M1209:N1209)</f>
        <v>85</v>
      </c>
      <c r="Q1209" s="15" t="n">
        <f aca="false">IF(J1209=1,"",L1209-P1209)</f>
        <v>15</v>
      </c>
      <c r="R1209" s="15" t="n">
        <f aca="false">IF(OR(J1209=1,M1209&lt;=Inputs!$B$12),1,0)</f>
        <v>1</v>
      </c>
      <c r="S1209" s="15" t="n">
        <f aca="false">IF(OR(J1209=1,N1209&lt;=O1209),1,0)</f>
        <v>1</v>
      </c>
      <c r="T1209" s="15" t="str">
        <f aca="false">IF(J1209=1,"OFFLINE",IF(AND(Q1209&gt;=Inputs!$B$15,R1209=1,S1209=1,P1209&lt;=L1209),"PASS","FAIL"))</f>
        <v>PASS</v>
      </c>
    </row>
    <row r="1210" customFormat="false" ht="15" hidden="false" customHeight="false" outlineLevel="0" collapsed="false">
      <c r="A1210" s="14" t="s">
        <v>1030</v>
      </c>
      <c r="B1210" s="14" t="s">
        <v>1019</v>
      </c>
      <c r="C1210" s="14" t="s">
        <v>188</v>
      </c>
      <c r="D1210" s="14" t="s">
        <v>160</v>
      </c>
      <c r="E1210" s="14" t="s">
        <v>161</v>
      </c>
      <c r="F1210" s="14" t="s">
        <v>150</v>
      </c>
      <c r="G1210" s="14" t="n">
        <v>3</v>
      </c>
      <c r="H1210" s="14" t="s">
        <v>158</v>
      </c>
      <c r="I1210" s="14" t="s">
        <v>895</v>
      </c>
      <c r="J1210" s="15" t="n">
        <f aca="false">IF(B1210="SITE LOSS",IF(D1210=C1210,1,0),IF(B1210="REGION LOSS",IF(E1210=C1210,1,0),0))</f>
        <v>0</v>
      </c>
      <c r="K1210" s="15" t="n">
        <f aca="false">IF(B1210="SITE LOSS",IF(COUNTIFS('Site Dockets'!$B$7:$B$24,C1210,'Site Dockets'!$C$7:$C$24,F1210)&gt;0,1,0),IF(B1210="REGION LOSS",IF(COUNTIFS('Site Dockets'!$E$7:$E$24,C1210,'Site Dockets'!$C$7:$C$24,F1210)&gt;0,1,0),0))</f>
        <v>0</v>
      </c>
      <c r="L1210" s="15" t="n">
        <f aca="false">IF(J1210=1,0,Inputs!$B$11)</f>
        <v>100</v>
      </c>
      <c r="M1210" s="15" t="n">
        <f aca="false">IF(J1210=1,0,Inputs!$B$12)</f>
        <v>75</v>
      </c>
      <c r="N1210" s="15" t="n">
        <f aca="false">IF(J1210=1,0,IF(OR(AND(OR(B1210="SITE LOSS",B1210="REGION LOSS"),K1210=1),AND(B1210="ROLE COMPROMISE",H1210=C1210)),Inputs!$B$13,Inputs!$B$14))</f>
        <v>10</v>
      </c>
      <c r="O1210" s="15" t="n">
        <f aca="false">IF(J1210=1,0,Inputs!$B$13)</f>
        <v>20</v>
      </c>
      <c r="P1210" s="15" t="n">
        <f aca="false">SUM(M1210:N1210)</f>
        <v>85</v>
      </c>
      <c r="Q1210" s="15" t="n">
        <f aca="false">IF(J1210=1,"",L1210-P1210)</f>
        <v>15</v>
      </c>
      <c r="R1210" s="15" t="n">
        <f aca="false">IF(OR(J1210=1,M1210&lt;=Inputs!$B$12),1,0)</f>
        <v>1</v>
      </c>
      <c r="S1210" s="15" t="n">
        <f aca="false">IF(OR(J1210=1,N1210&lt;=O1210),1,0)</f>
        <v>1</v>
      </c>
      <c r="T1210" s="15" t="str">
        <f aca="false">IF(J1210=1,"OFFLINE",IF(AND(Q1210&gt;=Inputs!$B$15,R1210=1,S1210=1,P1210&lt;=L1210),"PASS","FAIL"))</f>
        <v>PASS</v>
      </c>
    </row>
    <row r="1211" customFormat="false" ht="15" hidden="false" customHeight="false" outlineLevel="0" collapsed="false">
      <c r="A1211" s="14" t="s">
        <v>1030</v>
      </c>
      <c r="B1211" s="14" t="s">
        <v>1019</v>
      </c>
      <c r="C1211" s="14" t="s">
        <v>188</v>
      </c>
      <c r="D1211" s="14" t="s">
        <v>160</v>
      </c>
      <c r="E1211" s="14" t="s">
        <v>161</v>
      </c>
      <c r="F1211" s="14" t="s">
        <v>150</v>
      </c>
      <c r="G1211" s="14" t="n">
        <v>3</v>
      </c>
      <c r="H1211" s="14" t="s">
        <v>158</v>
      </c>
      <c r="I1211" s="14" t="s">
        <v>897</v>
      </c>
      <c r="J1211" s="15" t="n">
        <f aca="false">IF(B1211="SITE LOSS",IF(D1211=C1211,1,0),IF(B1211="REGION LOSS",IF(E1211=C1211,1,0),0))</f>
        <v>0</v>
      </c>
      <c r="K1211" s="15" t="n">
        <f aca="false">IF(B1211="SITE LOSS",IF(COUNTIFS('Site Dockets'!$B$7:$B$24,C1211,'Site Dockets'!$C$7:$C$24,F1211)&gt;0,1,0),IF(B1211="REGION LOSS",IF(COUNTIFS('Site Dockets'!$E$7:$E$24,C1211,'Site Dockets'!$C$7:$C$24,F1211)&gt;0,1,0),0))</f>
        <v>0</v>
      </c>
      <c r="L1211" s="15" t="n">
        <f aca="false">IF(J1211=1,0,Inputs!$B$11)</f>
        <v>100</v>
      </c>
      <c r="M1211" s="15" t="n">
        <f aca="false">IF(J1211=1,0,Inputs!$B$12)</f>
        <v>75</v>
      </c>
      <c r="N1211" s="15" t="n">
        <f aca="false">IF(J1211=1,0,IF(OR(AND(OR(B1211="SITE LOSS",B1211="REGION LOSS"),K1211=1),AND(B1211="ROLE COMPROMISE",H1211=C1211)),Inputs!$B$13,Inputs!$B$14))</f>
        <v>10</v>
      </c>
      <c r="O1211" s="15" t="n">
        <f aca="false">IF(J1211=1,0,Inputs!$B$13)</f>
        <v>20</v>
      </c>
      <c r="P1211" s="15" t="n">
        <f aca="false">SUM(M1211:N1211)</f>
        <v>85</v>
      </c>
      <c r="Q1211" s="15" t="n">
        <f aca="false">IF(J1211=1,"",L1211-P1211)</f>
        <v>15</v>
      </c>
      <c r="R1211" s="15" t="n">
        <f aca="false">IF(OR(J1211=1,M1211&lt;=Inputs!$B$12),1,0)</f>
        <v>1</v>
      </c>
      <c r="S1211" s="15" t="n">
        <f aca="false">IF(OR(J1211=1,N1211&lt;=O1211),1,0)</f>
        <v>1</v>
      </c>
      <c r="T1211" s="15" t="str">
        <f aca="false">IF(J1211=1,"OFFLINE",IF(AND(Q1211&gt;=Inputs!$B$15,R1211=1,S1211=1,P1211&lt;=L1211),"PASS","FAIL"))</f>
        <v>PASS</v>
      </c>
    </row>
    <row r="1212" customFormat="false" ht="15" hidden="false" customHeight="false" outlineLevel="0" collapsed="false">
      <c r="A1212" s="14" t="s">
        <v>1030</v>
      </c>
      <c r="B1212" s="14" t="s">
        <v>1019</v>
      </c>
      <c r="C1212" s="14" t="s">
        <v>188</v>
      </c>
      <c r="D1212" s="14" t="s">
        <v>160</v>
      </c>
      <c r="E1212" s="14" t="s">
        <v>161</v>
      </c>
      <c r="F1212" s="14" t="s">
        <v>150</v>
      </c>
      <c r="G1212" s="14" t="n">
        <v>3</v>
      </c>
      <c r="H1212" s="14" t="s">
        <v>158</v>
      </c>
      <c r="I1212" s="14" t="s">
        <v>899</v>
      </c>
      <c r="J1212" s="15" t="n">
        <f aca="false">IF(B1212="SITE LOSS",IF(D1212=C1212,1,0),IF(B1212="REGION LOSS",IF(E1212=C1212,1,0),0))</f>
        <v>0</v>
      </c>
      <c r="K1212" s="15" t="n">
        <f aca="false">IF(B1212="SITE LOSS",IF(COUNTIFS('Site Dockets'!$B$7:$B$24,C1212,'Site Dockets'!$C$7:$C$24,F1212)&gt;0,1,0),IF(B1212="REGION LOSS",IF(COUNTIFS('Site Dockets'!$E$7:$E$24,C1212,'Site Dockets'!$C$7:$C$24,F1212)&gt;0,1,0),0))</f>
        <v>0</v>
      </c>
      <c r="L1212" s="15" t="n">
        <f aca="false">IF(J1212=1,0,Inputs!$B$11)</f>
        <v>100</v>
      </c>
      <c r="M1212" s="15" t="n">
        <f aca="false">IF(J1212=1,0,Inputs!$B$12)</f>
        <v>75</v>
      </c>
      <c r="N1212" s="15" t="n">
        <f aca="false">IF(J1212=1,0,IF(OR(AND(OR(B1212="SITE LOSS",B1212="REGION LOSS"),K1212=1),AND(B1212="ROLE COMPROMISE",H1212=C1212)),Inputs!$B$13,Inputs!$B$14))</f>
        <v>10</v>
      </c>
      <c r="O1212" s="15" t="n">
        <f aca="false">IF(J1212=1,0,Inputs!$B$13)</f>
        <v>20</v>
      </c>
      <c r="P1212" s="15" t="n">
        <f aca="false">SUM(M1212:N1212)</f>
        <v>85</v>
      </c>
      <c r="Q1212" s="15" t="n">
        <f aca="false">IF(J1212=1,"",L1212-P1212)</f>
        <v>15</v>
      </c>
      <c r="R1212" s="15" t="n">
        <f aca="false">IF(OR(J1212=1,M1212&lt;=Inputs!$B$12),1,0)</f>
        <v>1</v>
      </c>
      <c r="S1212" s="15" t="n">
        <f aca="false">IF(OR(J1212=1,N1212&lt;=O1212),1,0)</f>
        <v>1</v>
      </c>
      <c r="T1212" s="15" t="str">
        <f aca="false">IF(J1212=1,"OFFLINE",IF(AND(Q1212&gt;=Inputs!$B$15,R1212=1,S1212=1,P1212&lt;=L1212),"PASS","FAIL"))</f>
        <v>PASS</v>
      </c>
    </row>
    <row r="1213" customFormat="false" ht="15" hidden="false" customHeight="false" outlineLevel="0" collapsed="false">
      <c r="A1213" s="14" t="s">
        <v>1030</v>
      </c>
      <c r="B1213" s="14" t="s">
        <v>1019</v>
      </c>
      <c r="C1213" s="14" t="s">
        <v>188</v>
      </c>
      <c r="D1213" s="14" t="s">
        <v>163</v>
      </c>
      <c r="E1213" s="14" t="s">
        <v>166</v>
      </c>
      <c r="F1213" s="14" t="s">
        <v>164</v>
      </c>
      <c r="G1213" s="14" t="n">
        <v>1</v>
      </c>
      <c r="H1213" s="14" t="s">
        <v>154</v>
      </c>
      <c r="I1213" s="14" t="s">
        <v>890</v>
      </c>
      <c r="J1213" s="15" t="n">
        <f aca="false">IF(B1213="SITE LOSS",IF(D1213=C1213,1,0),IF(B1213="REGION LOSS",IF(E1213=C1213,1,0),0))</f>
        <v>0</v>
      </c>
      <c r="K1213" s="15" t="n">
        <f aca="false">IF(B1213="SITE LOSS",IF(COUNTIFS('Site Dockets'!$B$7:$B$24,C1213,'Site Dockets'!$C$7:$C$24,F1213)&gt;0,1,0),IF(B1213="REGION LOSS",IF(COUNTIFS('Site Dockets'!$E$7:$E$24,C1213,'Site Dockets'!$C$7:$C$24,F1213)&gt;0,1,0),0))</f>
        <v>0</v>
      </c>
      <c r="L1213" s="15" t="n">
        <f aca="false">IF(J1213=1,0,Inputs!$B$11)</f>
        <v>100</v>
      </c>
      <c r="M1213" s="15" t="n">
        <f aca="false">IF(J1213=1,0,Inputs!$B$12)</f>
        <v>75</v>
      </c>
      <c r="N1213" s="15" t="n">
        <f aca="false">IF(J1213=1,0,IF(OR(AND(OR(B1213="SITE LOSS",B1213="REGION LOSS"),K1213=1),AND(B1213="ROLE COMPROMISE",H1213=C1213)),Inputs!$B$13,Inputs!$B$14))</f>
        <v>10</v>
      </c>
      <c r="O1213" s="15" t="n">
        <f aca="false">IF(J1213=1,0,Inputs!$B$13)</f>
        <v>20</v>
      </c>
      <c r="P1213" s="15" t="n">
        <f aca="false">SUM(M1213:N1213)</f>
        <v>85</v>
      </c>
      <c r="Q1213" s="15" t="n">
        <f aca="false">IF(J1213=1,"",L1213-P1213)</f>
        <v>15</v>
      </c>
      <c r="R1213" s="15" t="n">
        <f aca="false">IF(OR(J1213=1,M1213&lt;=Inputs!$B$12),1,0)</f>
        <v>1</v>
      </c>
      <c r="S1213" s="15" t="n">
        <f aca="false">IF(OR(J1213=1,N1213&lt;=O1213),1,0)</f>
        <v>1</v>
      </c>
      <c r="T1213" s="15" t="str">
        <f aca="false">IF(J1213=1,"OFFLINE",IF(AND(Q1213&gt;=Inputs!$B$15,R1213=1,S1213=1,P1213&lt;=L1213),"PASS","FAIL"))</f>
        <v>PASS</v>
      </c>
    </row>
    <row r="1214" customFormat="false" ht="15" hidden="false" customHeight="false" outlineLevel="0" collapsed="false">
      <c r="A1214" s="14" t="s">
        <v>1030</v>
      </c>
      <c r="B1214" s="14" t="s">
        <v>1019</v>
      </c>
      <c r="C1214" s="14" t="s">
        <v>188</v>
      </c>
      <c r="D1214" s="14" t="s">
        <v>163</v>
      </c>
      <c r="E1214" s="14" t="s">
        <v>166</v>
      </c>
      <c r="F1214" s="14" t="s">
        <v>164</v>
      </c>
      <c r="G1214" s="14" t="n">
        <v>1</v>
      </c>
      <c r="H1214" s="14" t="s">
        <v>154</v>
      </c>
      <c r="I1214" s="14" t="s">
        <v>892</v>
      </c>
      <c r="J1214" s="15" t="n">
        <f aca="false">IF(B1214="SITE LOSS",IF(D1214=C1214,1,0),IF(B1214="REGION LOSS",IF(E1214=C1214,1,0),0))</f>
        <v>0</v>
      </c>
      <c r="K1214" s="15" t="n">
        <f aca="false">IF(B1214="SITE LOSS",IF(COUNTIFS('Site Dockets'!$B$7:$B$24,C1214,'Site Dockets'!$C$7:$C$24,F1214)&gt;0,1,0),IF(B1214="REGION LOSS",IF(COUNTIFS('Site Dockets'!$E$7:$E$24,C1214,'Site Dockets'!$C$7:$C$24,F1214)&gt;0,1,0),0))</f>
        <v>0</v>
      </c>
      <c r="L1214" s="15" t="n">
        <f aca="false">IF(J1214=1,0,Inputs!$B$11)</f>
        <v>100</v>
      </c>
      <c r="M1214" s="15" t="n">
        <f aca="false">IF(J1214=1,0,Inputs!$B$12)</f>
        <v>75</v>
      </c>
      <c r="N1214" s="15" t="n">
        <f aca="false">IF(J1214=1,0,IF(OR(AND(OR(B1214="SITE LOSS",B1214="REGION LOSS"),K1214=1),AND(B1214="ROLE COMPROMISE",H1214=C1214)),Inputs!$B$13,Inputs!$B$14))</f>
        <v>10</v>
      </c>
      <c r="O1214" s="15" t="n">
        <f aca="false">IF(J1214=1,0,Inputs!$B$13)</f>
        <v>20</v>
      </c>
      <c r="P1214" s="15" t="n">
        <f aca="false">SUM(M1214:N1214)</f>
        <v>85</v>
      </c>
      <c r="Q1214" s="15" t="n">
        <f aca="false">IF(J1214=1,"",L1214-P1214)</f>
        <v>15</v>
      </c>
      <c r="R1214" s="15" t="n">
        <f aca="false">IF(OR(J1214=1,M1214&lt;=Inputs!$B$12),1,0)</f>
        <v>1</v>
      </c>
      <c r="S1214" s="15" t="n">
        <f aca="false">IF(OR(J1214=1,N1214&lt;=O1214),1,0)</f>
        <v>1</v>
      </c>
      <c r="T1214" s="15" t="str">
        <f aca="false">IF(J1214=1,"OFFLINE",IF(AND(Q1214&gt;=Inputs!$B$15,R1214=1,S1214=1,P1214&lt;=L1214),"PASS","FAIL"))</f>
        <v>PASS</v>
      </c>
    </row>
    <row r="1215" customFormat="false" ht="15" hidden="false" customHeight="false" outlineLevel="0" collapsed="false">
      <c r="A1215" s="14" t="s">
        <v>1030</v>
      </c>
      <c r="B1215" s="14" t="s">
        <v>1019</v>
      </c>
      <c r="C1215" s="14" t="s">
        <v>188</v>
      </c>
      <c r="D1215" s="14" t="s">
        <v>163</v>
      </c>
      <c r="E1215" s="14" t="s">
        <v>166</v>
      </c>
      <c r="F1215" s="14" t="s">
        <v>164</v>
      </c>
      <c r="G1215" s="14" t="n">
        <v>1</v>
      </c>
      <c r="H1215" s="14" t="s">
        <v>154</v>
      </c>
      <c r="I1215" s="14" t="s">
        <v>811</v>
      </c>
      <c r="J1215" s="15" t="n">
        <f aca="false">IF(B1215="SITE LOSS",IF(D1215=C1215,1,0),IF(B1215="REGION LOSS",IF(E1215=C1215,1,0),0))</f>
        <v>0</v>
      </c>
      <c r="K1215" s="15" t="n">
        <f aca="false">IF(B1215="SITE LOSS",IF(COUNTIFS('Site Dockets'!$B$7:$B$24,C1215,'Site Dockets'!$C$7:$C$24,F1215)&gt;0,1,0),IF(B1215="REGION LOSS",IF(COUNTIFS('Site Dockets'!$E$7:$E$24,C1215,'Site Dockets'!$C$7:$C$24,F1215)&gt;0,1,0),0))</f>
        <v>0</v>
      </c>
      <c r="L1215" s="15" t="n">
        <f aca="false">IF(J1215=1,0,Inputs!$B$11)</f>
        <v>100</v>
      </c>
      <c r="M1215" s="15" t="n">
        <f aca="false">IF(J1215=1,0,Inputs!$B$12)</f>
        <v>75</v>
      </c>
      <c r="N1215" s="15" t="n">
        <f aca="false">IF(J1215=1,0,IF(OR(AND(OR(B1215="SITE LOSS",B1215="REGION LOSS"),K1215=1),AND(B1215="ROLE COMPROMISE",H1215=C1215)),Inputs!$B$13,Inputs!$B$14))</f>
        <v>10</v>
      </c>
      <c r="O1215" s="15" t="n">
        <f aca="false">IF(J1215=1,0,Inputs!$B$13)</f>
        <v>20</v>
      </c>
      <c r="P1215" s="15" t="n">
        <f aca="false">SUM(M1215:N1215)</f>
        <v>85</v>
      </c>
      <c r="Q1215" s="15" t="n">
        <f aca="false">IF(J1215=1,"",L1215-P1215)</f>
        <v>15</v>
      </c>
      <c r="R1215" s="15" t="n">
        <f aca="false">IF(OR(J1215=1,M1215&lt;=Inputs!$B$12),1,0)</f>
        <v>1</v>
      </c>
      <c r="S1215" s="15" t="n">
        <f aca="false">IF(OR(J1215=1,N1215&lt;=O1215),1,0)</f>
        <v>1</v>
      </c>
      <c r="T1215" s="15" t="str">
        <f aca="false">IF(J1215=1,"OFFLINE",IF(AND(Q1215&gt;=Inputs!$B$15,R1215=1,S1215=1,P1215&lt;=L1215),"PASS","FAIL"))</f>
        <v>PASS</v>
      </c>
    </row>
    <row r="1216" customFormat="false" ht="15" hidden="false" customHeight="false" outlineLevel="0" collapsed="false">
      <c r="A1216" s="14" t="s">
        <v>1030</v>
      </c>
      <c r="B1216" s="14" t="s">
        <v>1019</v>
      </c>
      <c r="C1216" s="14" t="s">
        <v>188</v>
      </c>
      <c r="D1216" s="14" t="s">
        <v>163</v>
      </c>
      <c r="E1216" s="14" t="s">
        <v>166</v>
      </c>
      <c r="F1216" s="14" t="s">
        <v>164</v>
      </c>
      <c r="G1216" s="14" t="n">
        <v>1</v>
      </c>
      <c r="H1216" s="14" t="s">
        <v>154</v>
      </c>
      <c r="I1216" s="14" t="s">
        <v>895</v>
      </c>
      <c r="J1216" s="15" t="n">
        <f aca="false">IF(B1216="SITE LOSS",IF(D1216=C1216,1,0),IF(B1216="REGION LOSS",IF(E1216=C1216,1,0),0))</f>
        <v>0</v>
      </c>
      <c r="K1216" s="15" t="n">
        <f aca="false">IF(B1216="SITE LOSS",IF(COUNTIFS('Site Dockets'!$B$7:$B$24,C1216,'Site Dockets'!$C$7:$C$24,F1216)&gt;0,1,0),IF(B1216="REGION LOSS",IF(COUNTIFS('Site Dockets'!$E$7:$E$24,C1216,'Site Dockets'!$C$7:$C$24,F1216)&gt;0,1,0),0))</f>
        <v>0</v>
      </c>
      <c r="L1216" s="15" t="n">
        <f aca="false">IF(J1216=1,0,Inputs!$B$11)</f>
        <v>100</v>
      </c>
      <c r="M1216" s="15" t="n">
        <f aca="false">IF(J1216=1,0,Inputs!$B$12)</f>
        <v>75</v>
      </c>
      <c r="N1216" s="15" t="n">
        <f aca="false">IF(J1216=1,0,IF(OR(AND(OR(B1216="SITE LOSS",B1216="REGION LOSS"),K1216=1),AND(B1216="ROLE COMPROMISE",H1216=C1216)),Inputs!$B$13,Inputs!$B$14))</f>
        <v>10</v>
      </c>
      <c r="O1216" s="15" t="n">
        <f aca="false">IF(J1216=1,0,Inputs!$B$13)</f>
        <v>20</v>
      </c>
      <c r="P1216" s="15" t="n">
        <f aca="false">SUM(M1216:N1216)</f>
        <v>85</v>
      </c>
      <c r="Q1216" s="15" t="n">
        <f aca="false">IF(J1216=1,"",L1216-P1216)</f>
        <v>15</v>
      </c>
      <c r="R1216" s="15" t="n">
        <f aca="false">IF(OR(J1216=1,M1216&lt;=Inputs!$B$12),1,0)</f>
        <v>1</v>
      </c>
      <c r="S1216" s="15" t="n">
        <f aca="false">IF(OR(J1216=1,N1216&lt;=O1216),1,0)</f>
        <v>1</v>
      </c>
      <c r="T1216" s="15" t="str">
        <f aca="false">IF(J1216=1,"OFFLINE",IF(AND(Q1216&gt;=Inputs!$B$15,R1216=1,S1216=1,P1216&lt;=L1216),"PASS","FAIL"))</f>
        <v>PASS</v>
      </c>
    </row>
    <row r="1217" customFormat="false" ht="15" hidden="false" customHeight="false" outlineLevel="0" collapsed="false">
      <c r="A1217" s="14" t="s">
        <v>1030</v>
      </c>
      <c r="B1217" s="14" t="s">
        <v>1019</v>
      </c>
      <c r="C1217" s="14" t="s">
        <v>188</v>
      </c>
      <c r="D1217" s="14" t="s">
        <v>163</v>
      </c>
      <c r="E1217" s="14" t="s">
        <v>166</v>
      </c>
      <c r="F1217" s="14" t="s">
        <v>164</v>
      </c>
      <c r="G1217" s="14" t="n">
        <v>1</v>
      </c>
      <c r="H1217" s="14" t="s">
        <v>154</v>
      </c>
      <c r="I1217" s="14" t="s">
        <v>897</v>
      </c>
      <c r="J1217" s="15" t="n">
        <f aca="false">IF(B1217="SITE LOSS",IF(D1217=C1217,1,0),IF(B1217="REGION LOSS",IF(E1217=C1217,1,0),0))</f>
        <v>0</v>
      </c>
      <c r="K1217" s="15" t="n">
        <f aca="false">IF(B1217="SITE LOSS",IF(COUNTIFS('Site Dockets'!$B$7:$B$24,C1217,'Site Dockets'!$C$7:$C$24,F1217)&gt;0,1,0),IF(B1217="REGION LOSS",IF(COUNTIFS('Site Dockets'!$E$7:$E$24,C1217,'Site Dockets'!$C$7:$C$24,F1217)&gt;0,1,0),0))</f>
        <v>0</v>
      </c>
      <c r="L1217" s="15" t="n">
        <f aca="false">IF(J1217=1,0,Inputs!$B$11)</f>
        <v>100</v>
      </c>
      <c r="M1217" s="15" t="n">
        <f aca="false">IF(J1217=1,0,Inputs!$B$12)</f>
        <v>75</v>
      </c>
      <c r="N1217" s="15" t="n">
        <f aca="false">IF(J1217=1,0,IF(OR(AND(OR(B1217="SITE LOSS",B1217="REGION LOSS"),K1217=1),AND(B1217="ROLE COMPROMISE",H1217=C1217)),Inputs!$B$13,Inputs!$B$14))</f>
        <v>10</v>
      </c>
      <c r="O1217" s="15" t="n">
        <f aca="false">IF(J1217=1,0,Inputs!$B$13)</f>
        <v>20</v>
      </c>
      <c r="P1217" s="15" t="n">
        <f aca="false">SUM(M1217:N1217)</f>
        <v>85</v>
      </c>
      <c r="Q1217" s="15" t="n">
        <f aca="false">IF(J1217=1,"",L1217-P1217)</f>
        <v>15</v>
      </c>
      <c r="R1217" s="15" t="n">
        <f aca="false">IF(OR(J1217=1,M1217&lt;=Inputs!$B$12),1,0)</f>
        <v>1</v>
      </c>
      <c r="S1217" s="15" t="n">
        <f aca="false">IF(OR(J1217=1,N1217&lt;=O1217),1,0)</f>
        <v>1</v>
      </c>
      <c r="T1217" s="15" t="str">
        <f aca="false">IF(J1217=1,"OFFLINE",IF(AND(Q1217&gt;=Inputs!$B$15,R1217=1,S1217=1,P1217&lt;=L1217),"PASS","FAIL"))</f>
        <v>PASS</v>
      </c>
    </row>
    <row r="1218" customFormat="false" ht="15" hidden="false" customHeight="false" outlineLevel="0" collapsed="false">
      <c r="A1218" s="14" t="s">
        <v>1030</v>
      </c>
      <c r="B1218" s="14" t="s">
        <v>1019</v>
      </c>
      <c r="C1218" s="14" t="s">
        <v>188</v>
      </c>
      <c r="D1218" s="14" t="s">
        <v>163</v>
      </c>
      <c r="E1218" s="14" t="s">
        <v>166</v>
      </c>
      <c r="F1218" s="14" t="s">
        <v>164</v>
      </c>
      <c r="G1218" s="14" t="n">
        <v>1</v>
      </c>
      <c r="H1218" s="14" t="s">
        <v>154</v>
      </c>
      <c r="I1218" s="14" t="s">
        <v>899</v>
      </c>
      <c r="J1218" s="15" t="n">
        <f aca="false">IF(B1218="SITE LOSS",IF(D1218=C1218,1,0),IF(B1218="REGION LOSS",IF(E1218=C1218,1,0),0))</f>
        <v>0</v>
      </c>
      <c r="K1218" s="15" t="n">
        <f aca="false">IF(B1218="SITE LOSS",IF(COUNTIFS('Site Dockets'!$B$7:$B$24,C1218,'Site Dockets'!$C$7:$C$24,F1218)&gt;0,1,0),IF(B1218="REGION LOSS",IF(COUNTIFS('Site Dockets'!$E$7:$E$24,C1218,'Site Dockets'!$C$7:$C$24,F1218)&gt;0,1,0),0))</f>
        <v>0</v>
      </c>
      <c r="L1218" s="15" t="n">
        <f aca="false">IF(J1218=1,0,Inputs!$B$11)</f>
        <v>100</v>
      </c>
      <c r="M1218" s="15" t="n">
        <f aca="false">IF(J1218=1,0,Inputs!$B$12)</f>
        <v>75</v>
      </c>
      <c r="N1218" s="15" t="n">
        <f aca="false">IF(J1218=1,0,IF(OR(AND(OR(B1218="SITE LOSS",B1218="REGION LOSS"),K1218=1),AND(B1218="ROLE COMPROMISE",H1218=C1218)),Inputs!$B$13,Inputs!$B$14))</f>
        <v>10</v>
      </c>
      <c r="O1218" s="15" t="n">
        <f aca="false">IF(J1218=1,0,Inputs!$B$13)</f>
        <v>20</v>
      </c>
      <c r="P1218" s="15" t="n">
        <f aca="false">SUM(M1218:N1218)</f>
        <v>85</v>
      </c>
      <c r="Q1218" s="15" t="n">
        <f aca="false">IF(J1218=1,"",L1218-P1218)</f>
        <v>15</v>
      </c>
      <c r="R1218" s="15" t="n">
        <f aca="false">IF(OR(J1218=1,M1218&lt;=Inputs!$B$12),1,0)</f>
        <v>1</v>
      </c>
      <c r="S1218" s="15" t="n">
        <f aca="false">IF(OR(J1218=1,N1218&lt;=O1218),1,0)</f>
        <v>1</v>
      </c>
      <c r="T1218" s="15" t="str">
        <f aca="false">IF(J1218=1,"OFFLINE",IF(AND(Q1218&gt;=Inputs!$B$15,R1218=1,S1218=1,P1218&lt;=L1218),"PASS","FAIL"))</f>
        <v>PASS</v>
      </c>
    </row>
    <row r="1219" customFormat="false" ht="15" hidden="false" customHeight="false" outlineLevel="0" collapsed="false">
      <c r="A1219" s="14" t="s">
        <v>1030</v>
      </c>
      <c r="B1219" s="14" t="s">
        <v>1019</v>
      </c>
      <c r="C1219" s="14" t="s">
        <v>188</v>
      </c>
      <c r="D1219" s="14" t="s">
        <v>168</v>
      </c>
      <c r="E1219" s="14" t="s">
        <v>169</v>
      </c>
      <c r="F1219" s="14" t="s">
        <v>164</v>
      </c>
      <c r="G1219" s="14" t="n">
        <v>2</v>
      </c>
      <c r="H1219" s="14" t="s">
        <v>153</v>
      </c>
      <c r="I1219" s="14" t="s">
        <v>890</v>
      </c>
      <c r="J1219" s="15" t="n">
        <f aca="false">IF(B1219="SITE LOSS",IF(D1219=C1219,1,0),IF(B1219="REGION LOSS",IF(E1219=C1219,1,0),0))</f>
        <v>0</v>
      </c>
      <c r="K1219" s="15" t="n">
        <f aca="false">IF(B1219="SITE LOSS",IF(COUNTIFS('Site Dockets'!$B$7:$B$24,C1219,'Site Dockets'!$C$7:$C$24,F1219)&gt;0,1,0),IF(B1219="REGION LOSS",IF(COUNTIFS('Site Dockets'!$E$7:$E$24,C1219,'Site Dockets'!$C$7:$C$24,F1219)&gt;0,1,0),0))</f>
        <v>0</v>
      </c>
      <c r="L1219" s="15" t="n">
        <f aca="false">IF(J1219=1,0,Inputs!$B$11)</f>
        <v>100</v>
      </c>
      <c r="M1219" s="15" t="n">
        <f aca="false">IF(J1219=1,0,Inputs!$B$12)</f>
        <v>75</v>
      </c>
      <c r="N1219" s="15" t="n">
        <f aca="false">IF(J1219=1,0,IF(OR(AND(OR(B1219="SITE LOSS",B1219="REGION LOSS"),K1219=1),AND(B1219="ROLE COMPROMISE",H1219=C1219)),Inputs!$B$13,Inputs!$B$14))</f>
        <v>10</v>
      </c>
      <c r="O1219" s="15" t="n">
        <f aca="false">IF(J1219=1,0,Inputs!$B$13)</f>
        <v>20</v>
      </c>
      <c r="P1219" s="15" t="n">
        <f aca="false">SUM(M1219:N1219)</f>
        <v>85</v>
      </c>
      <c r="Q1219" s="15" t="n">
        <f aca="false">IF(J1219=1,"",L1219-P1219)</f>
        <v>15</v>
      </c>
      <c r="R1219" s="15" t="n">
        <f aca="false">IF(OR(J1219=1,M1219&lt;=Inputs!$B$12),1,0)</f>
        <v>1</v>
      </c>
      <c r="S1219" s="15" t="n">
        <f aca="false">IF(OR(J1219=1,N1219&lt;=O1219),1,0)</f>
        <v>1</v>
      </c>
      <c r="T1219" s="15" t="str">
        <f aca="false">IF(J1219=1,"OFFLINE",IF(AND(Q1219&gt;=Inputs!$B$15,R1219=1,S1219=1,P1219&lt;=L1219),"PASS","FAIL"))</f>
        <v>PASS</v>
      </c>
    </row>
    <row r="1220" customFormat="false" ht="15" hidden="false" customHeight="false" outlineLevel="0" collapsed="false">
      <c r="A1220" s="14" t="s">
        <v>1030</v>
      </c>
      <c r="B1220" s="14" t="s">
        <v>1019</v>
      </c>
      <c r="C1220" s="14" t="s">
        <v>188</v>
      </c>
      <c r="D1220" s="14" t="s">
        <v>168</v>
      </c>
      <c r="E1220" s="14" t="s">
        <v>169</v>
      </c>
      <c r="F1220" s="14" t="s">
        <v>164</v>
      </c>
      <c r="G1220" s="14" t="n">
        <v>2</v>
      </c>
      <c r="H1220" s="14" t="s">
        <v>153</v>
      </c>
      <c r="I1220" s="14" t="s">
        <v>892</v>
      </c>
      <c r="J1220" s="15" t="n">
        <f aca="false">IF(B1220="SITE LOSS",IF(D1220=C1220,1,0),IF(B1220="REGION LOSS",IF(E1220=C1220,1,0),0))</f>
        <v>0</v>
      </c>
      <c r="K1220" s="15" t="n">
        <f aca="false">IF(B1220="SITE LOSS",IF(COUNTIFS('Site Dockets'!$B$7:$B$24,C1220,'Site Dockets'!$C$7:$C$24,F1220)&gt;0,1,0),IF(B1220="REGION LOSS",IF(COUNTIFS('Site Dockets'!$E$7:$E$24,C1220,'Site Dockets'!$C$7:$C$24,F1220)&gt;0,1,0),0))</f>
        <v>0</v>
      </c>
      <c r="L1220" s="15" t="n">
        <f aca="false">IF(J1220=1,0,Inputs!$B$11)</f>
        <v>100</v>
      </c>
      <c r="M1220" s="15" t="n">
        <f aca="false">IF(J1220=1,0,Inputs!$B$12)</f>
        <v>75</v>
      </c>
      <c r="N1220" s="15" t="n">
        <f aca="false">IF(J1220=1,0,IF(OR(AND(OR(B1220="SITE LOSS",B1220="REGION LOSS"),K1220=1),AND(B1220="ROLE COMPROMISE",H1220=C1220)),Inputs!$B$13,Inputs!$B$14))</f>
        <v>10</v>
      </c>
      <c r="O1220" s="15" t="n">
        <f aca="false">IF(J1220=1,0,Inputs!$B$13)</f>
        <v>20</v>
      </c>
      <c r="P1220" s="15" t="n">
        <f aca="false">SUM(M1220:N1220)</f>
        <v>85</v>
      </c>
      <c r="Q1220" s="15" t="n">
        <f aca="false">IF(J1220=1,"",L1220-P1220)</f>
        <v>15</v>
      </c>
      <c r="R1220" s="15" t="n">
        <f aca="false">IF(OR(J1220=1,M1220&lt;=Inputs!$B$12),1,0)</f>
        <v>1</v>
      </c>
      <c r="S1220" s="15" t="n">
        <f aca="false">IF(OR(J1220=1,N1220&lt;=O1220),1,0)</f>
        <v>1</v>
      </c>
      <c r="T1220" s="15" t="str">
        <f aca="false">IF(J1220=1,"OFFLINE",IF(AND(Q1220&gt;=Inputs!$B$15,R1220=1,S1220=1,P1220&lt;=L1220),"PASS","FAIL"))</f>
        <v>PASS</v>
      </c>
    </row>
    <row r="1221" customFormat="false" ht="15" hidden="false" customHeight="false" outlineLevel="0" collapsed="false">
      <c r="A1221" s="14" t="s">
        <v>1030</v>
      </c>
      <c r="B1221" s="14" t="s">
        <v>1019</v>
      </c>
      <c r="C1221" s="14" t="s">
        <v>188</v>
      </c>
      <c r="D1221" s="14" t="s">
        <v>168</v>
      </c>
      <c r="E1221" s="14" t="s">
        <v>169</v>
      </c>
      <c r="F1221" s="14" t="s">
        <v>164</v>
      </c>
      <c r="G1221" s="14" t="n">
        <v>2</v>
      </c>
      <c r="H1221" s="14" t="s">
        <v>153</v>
      </c>
      <c r="I1221" s="14" t="s">
        <v>811</v>
      </c>
      <c r="J1221" s="15" t="n">
        <f aca="false">IF(B1221="SITE LOSS",IF(D1221=C1221,1,0),IF(B1221="REGION LOSS",IF(E1221=C1221,1,0),0))</f>
        <v>0</v>
      </c>
      <c r="K1221" s="15" t="n">
        <f aca="false">IF(B1221="SITE LOSS",IF(COUNTIFS('Site Dockets'!$B$7:$B$24,C1221,'Site Dockets'!$C$7:$C$24,F1221)&gt;0,1,0),IF(B1221="REGION LOSS",IF(COUNTIFS('Site Dockets'!$E$7:$E$24,C1221,'Site Dockets'!$C$7:$C$24,F1221)&gt;0,1,0),0))</f>
        <v>0</v>
      </c>
      <c r="L1221" s="15" t="n">
        <f aca="false">IF(J1221=1,0,Inputs!$B$11)</f>
        <v>100</v>
      </c>
      <c r="M1221" s="15" t="n">
        <f aca="false">IF(J1221=1,0,Inputs!$B$12)</f>
        <v>75</v>
      </c>
      <c r="N1221" s="15" t="n">
        <f aca="false">IF(J1221=1,0,IF(OR(AND(OR(B1221="SITE LOSS",B1221="REGION LOSS"),K1221=1),AND(B1221="ROLE COMPROMISE",H1221=C1221)),Inputs!$B$13,Inputs!$B$14))</f>
        <v>10</v>
      </c>
      <c r="O1221" s="15" t="n">
        <f aca="false">IF(J1221=1,0,Inputs!$B$13)</f>
        <v>20</v>
      </c>
      <c r="P1221" s="15" t="n">
        <f aca="false">SUM(M1221:N1221)</f>
        <v>85</v>
      </c>
      <c r="Q1221" s="15" t="n">
        <f aca="false">IF(J1221=1,"",L1221-P1221)</f>
        <v>15</v>
      </c>
      <c r="R1221" s="15" t="n">
        <f aca="false">IF(OR(J1221=1,M1221&lt;=Inputs!$B$12),1,0)</f>
        <v>1</v>
      </c>
      <c r="S1221" s="15" t="n">
        <f aca="false">IF(OR(J1221=1,N1221&lt;=O1221),1,0)</f>
        <v>1</v>
      </c>
      <c r="T1221" s="15" t="str">
        <f aca="false">IF(J1221=1,"OFFLINE",IF(AND(Q1221&gt;=Inputs!$B$15,R1221=1,S1221=1,P1221&lt;=L1221),"PASS","FAIL"))</f>
        <v>PASS</v>
      </c>
    </row>
    <row r="1222" customFormat="false" ht="15" hidden="false" customHeight="false" outlineLevel="0" collapsed="false">
      <c r="A1222" s="14" t="s">
        <v>1030</v>
      </c>
      <c r="B1222" s="14" t="s">
        <v>1019</v>
      </c>
      <c r="C1222" s="14" t="s">
        <v>188</v>
      </c>
      <c r="D1222" s="14" t="s">
        <v>168</v>
      </c>
      <c r="E1222" s="14" t="s">
        <v>169</v>
      </c>
      <c r="F1222" s="14" t="s">
        <v>164</v>
      </c>
      <c r="G1222" s="14" t="n">
        <v>2</v>
      </c>
      <c r="H1222" s="14" t="s">
        <v>153</v>
      </c>
      <c r="I1222" s="14" t="s">
        <v>895</v>
      </c>
      <c r="J1222" s="15" t="n">
        <f aca="false">IF(B1222="SITE LOSS",IF(D1222=C1222,1,0),IF(B1222="REGION LOSS",IF(E1222=C1222,1,0),0))</f>
        <v>0</v>
      </c>
      <c r="K1222" s="15" t="n">
        <f aca="false">IF(B1222="SITE LOSS",IF(COUNTIFS('Site Dockets'!$B$7:$B$24,C1222,'Site Dockets'!$C$7:$C$24,F1222)&gt;0,1,0),IF(B1222="REGION LOSS",IF(COUNTIFS('Site Dockets'!$E$7:$E$24,C1222,'Site Dockets'!$C$7:$C$24,F1222)&gt;0,1,0),0))</f>
        <v>0</v>
      </c>
      <c r="L1222" s="15" t="n">
        <f aca="false">IF(J1222=1,0,Inputs!$B$11)</f>
        <v>100</v>
      </c>
      <c r="M1222" s="15" t="n">
        <f aca="false">IF(J1222=1,0,Inputs!$B$12)</f>
        <v>75</v>
      </c>
      <c r="N1222" s="15" t="n">
        <f aca="false">IF(J1222=1,0,IF(OR(AND(OR(B1222="SITE LOSS",B1222="REGION LOSS"),K1222=1),AND(B1222="ROLE COMPROMISE",H1222=C1222)),Inputs!$B$13,Inputs!$B$14))</f>
        <v>10</v>
      </c>
      <c r="O1222" s="15" t="n">
        <f aca="false">IF(J1222=1,0,Inputs!$B$13)</f>
        <v>20</v>
      </c>
      <c r="P1222" s="15" t="n">
        <f aca="false">SUM(M1222:N1222)</f>
        <v>85</v>
      </c>
      <c r="Q1222" s="15" t="n">
        <f aca="false">IF(J1222=1,"",L1222-P1222)</f>
        <v>15</v>
      </c>
      <c r="R1222" s="15" t="n">
        <f aca="false">IF(OR(J1222=1,M1222&lt;=Inputs!$B$12),1,0)</f>
        <v>1</v>
      </c>
      <c r="S1222" s="15" t="n">
        <f aca="false">IF(OR(J1222=1,N1222&lt;=O1222),1,0)</f>
        <v>1</v>
      </c>
      <c r="T1222" s="15" t="str">
        <f aca="false">IF(J1222=1,"OFFLINE",IF(AND(Q1222&gt;=Inputs!$B$15,R1222=1,S1222=1,P1222&lt;=L1222),"PASS","FAIL"))</f>
        <v>PASS</v>
      </c>
    </row>
    <row r="1223" customFormat="false" ht="15" hidden="false" customHeight="false" outlineLevel="0" collapsed="false">
      <c r="A1223" s="14" t="s">
        <v>1030</v>
      </c>
      <c r="B1223" s="14" t="s">
        <v>1019</v>
      </c>
      <c r="C1223" s="14" t="s">
        <v>188</v>
      </c>
      <c r="D1223" s="14" t="s">
        <v>168</v>
      </c>
      <c r="E1223" s="14" t="s">
        <v>169</v>
      </c>
      <c r="F1223" s="14" t="s">
        <v>164</v>
      </c>
      <c r="G1223" s="14" t="n">
        <v>2</v>
      </c>
      <c r="H1223" s="14" t="s">
        <v>153</v>
      </c>
      <c r="I1223" s="14" t="s">
        <v>897</v>
      </c>
      <c r="J1223" s="15" t="n">
        <f aca="false">IF(B1223="SITE LOSS",IF(D1223=C1223,1,0),IF(B1223="REGION LOSS",IF(E1223=C1223,1,0),0))</f>
        <v>0</v>
      </c>
      <c r="K1223" s="15" t="n">
        <f aca="false">IF(B1223="SITE LOSS",IF(COUNTIFS('Site Dockets'!$B$7:$B$24,C1223,'Site Dockets'!$C$7:$C$24,F1223)&gt;0,1,0),IF(B1223="REGION LOSS",IF(COUNTIFS('Site Dockets'!$E$7:$E$24,C1223,'Site Dockets'!$C$7:$C$24,F1223)&gt;0,1,0),0))</f>
        <v>0</v>
      </c>
      <c r="L1223" s="15" t="n">
        <f aca="false">IF(J1223=1,0,Inputs!$B$11)</f>
        <v>100</v>
      </c>
      <c r="M1223" s="15" t="n">
        <f aca="false">IF(J1223=1,0,Inputs!$B$12)</f>
        <v>75</v>
      </c>
      <c r="N1223" s="15" t="n">
        <f aca="false">IF(J1223=1,0,IF(OR(AND(OR(B1223="SITE LOSS",B1223="REGION LOSS"),K1223=1),AND(B1223="ROLE COMPROMISE",H1223=C1223)),Inputs!$B$13,Inputs!$B$14))</f>
        <v>10</v>
      </c>
      <c r="O1223" s="15" t="n">
        <f aca="false">IF(J1223=1,0,Inputs!$B$13)</f>
        <v>20</v>
      </c>
      <c r="P1223" s="15" t="n">
        <f aca="false">SUM(M1223:N1223)</f>
        <v>85</v>
      </c>
      <c r="Q1223" s="15" t="n">
        <f aca="false">IF(J1223=1,"",L1223-P1223)</f>
        <v>15</v>
      </c>
      <c r="R1223" s="15" t="n">
        <f aca="false">IF(OR(J1223=1,M1223&lt;=Inputs!$B$12),1,0)</f>
        <v>1</v>
      </c>
      <c r="S1223" s="15" t="n">
        <f aca="false">IF(OR(J1223=1,N1223&lt;=O1223),1,0)</f>
        <v>1</v>
      </c>
      <c r="T1223" s="15" t="str">
        <f aca="false">IF(J1223=1,"OFFLINE",IF(AND(Q1223&gt;=Inputs!$B$15,R1223=1,S1223=1,P1223&lt;=L1223),"PASS","FAIL"))</f>
        <v>PASS</v>
      </c>
    </row>
    <row r="1224" customFormat="false" ht="15" hidden="false" customHeight="false" outlineLevel="0" collapsed="false">
      <c r="A1224" s="14" t="s">
        <v>1030</v>
      </c>
      <c r="B1224" s="14" t="s">
        <v>1019</v>
      </c>
      <c r="C1224" s="14" t="s">
        <v>188</v>
      </c>
      <c r="D1224" s="14" t="s">
        <v>168</v>
      </c>
      <c r="E1224" s="14" t="s">
        <v>169</v>
      </c>
      <c r="F1224" s="14" t="s">
        <v>164</v>
      </c>
      <c r="G1224" s="14" t="n">
        <v>2</v>
      </c>
      <c r="H1224" s="14" t="s">
        <v>153</v>
      </c>
      <c r="I1224" s="14" t="s">
        <v>899</v>
      </c>
      <c r="J1224" s="15" t="n">
        <f aca="false">IF(B1224="SITE LOSS",IF(D1224=C1224,1,0),IF(B1224="REGION LOSS",IF(E1224=C1224,1,0),0))</f>
        <v>0</v>
      </c>
      <c r="K1224" s="15" t="n">
        <f aca="false">IF(B1224="SITE LOSS",IF(COUNTIFS('Site Dockets'!$B$7:$B$24,C1224,'Site Dockets'!$C$7:$C$24,F1224)&gt;0,1,0),IF(B1224="REGION LOSS",IF(COUNTIFS('Site Dockets'!$E$7:$E$24,C1224,'Site Dockets'!$C$7:$C$24,F1224)&gt;0,1,0),0))</f>
        <v>0</v>
      </c>
      <c r="L1224" s="15" t="n">
        <f aca="false">IF(J1224=1,0,Inputs!$B$11)</f>
        <v>100</v>
      </c>
      <c r="M1224" s="15" t="n">
        <f aca="false">IF(J1224=1,0,Inputs!$B$12)</f>
        <v>75</v>
      </c>
      <c r="N1224" s="15" t="n">
        <f aca="false">IF(J1224=1,0,IF(OR(AND(OR(B1224="SITE LOSS",B1224="REGION LOSS"),K1224=1),AND(B1224="ROLE COMPROMISE",H1224=C1224)),Inputs!$B$13,Inputs!$B$14))</f>
        <v>10</v>
      </c>
      <c r="O1224" s="15" t="n">
        <f aca="false">IF(J1224=1,0,Inputs!$B$13)</f>
        <v>20</v>
      </c>
      <c r="P1224" s="15" t="n">
        <f aca="false">SUM(M1224:N1224)</f>
        <v>85</v>
      </c>
      <c r="Q1224" s="15" t="n">
        <f aca="false">IF(J1224=1,"",L1224-P1224)</f>
        <v>15</v>
      </c>
      <c r="R1224" s="15" t="n">
        <f aca="false">IF(OR(J1224=1,M1224&lt;=Inputs!$B$12),1,0)</f>
        <v>1</v>
      </c>
      <c r="S1224" s="15" t="n">
        <f aca="false">IF(OR(J1224=1,N1224&lt;=O1224),1,0)</f>
        <v>1</v>
      </c>
      <c r="T1224" s="15" t="str">
        <f aca="false">IF(J1224=1,"OFFLINE",IF(AND(Q1224&gt;=Inputs!$B$15,R1224=1,S1224=1,P1224&lt;=L1224),"PASS","FAIL"))</f>
        <v>PASS</v>
      </c>
    </row>
    <row r="1225" customFormat="false" ht="15" hidden="false" customHeight="false" outlineLevel="0" collapsed="false">
      <c r="A1225" s="14" t="s">
        <v>1030</v>
      </c>
      <c r="B1225" s="14" t="s">
        <v>1019</v>
      </c>
      <c r="C1225" s="14" t="s">
        <v>188</v>
      </c>
      <c r="D1225" s="14" t="s">
        <v>171</v>
      </c>
      <c r="E1225" s="14" t="s">
        <v>172</v>
      </c>
      <c r="F1225" s="14" t="s">
        <v>164</v>
      </c>
      <c r="G1225" s="14" t="n">
        <v>3</v>
      </c>
      <c r="H1225" s="14" t="s">
        <v>158</v>
      </c>
      <c r="I1225" s="14" t="s">
        <v>890</v>
      </c>
      <c r="J1225" s="15" t="n">
        <f aca="false">IF(B1225="SITE LOSS",IF(D1225=C1225,1,0),IF(B1225="REGION LOSS",IF(E1225=C1225,1,0),0))</f>
        <v>0</v>
      </c>
      <c r="K1225" s="15" t="n">
        <f aca="false">IF(B1225="SITE LOSS",IF(COUNTIFS('Site Dockets'!$B$7:$B$24,C1225,'Site Dockets'!$C$7:$C$24,F1225)&gt;0,1,0),IF(B1225="REGION LOSS",IF(COUNTIFS('Site Dockets'!$E$7:$E$24,C1225,'Site Dockets'!$C$7:$C$24,F1225)&gt;0,1,0),0))</f>
        <v>0</v>
      </c>
      <c r="L1225" s="15" t="n">
        <f aca="false">IF(J1225=1,0,Inputs!$B$11)</f>
        <v>100</v>
      </c>
      <c r="M1225" s="15" t="n">
        <f aca="false">IF(J1225=1,0,Inputs!$B$12)</f>
        <v>75</v>
      </c>
      <c r="N1225" s="15" t="n">
        <f aca="false">IF(J1225=1,0,IF(OR(AND(OR(B1225="SITE LOSS",B1225="REGION LOSS"),K1225=1),AND(B1225="ROLE COMPROMISE",H1225=C1225)),Inputs!$B$13,Inputs!$B$14))</f>
        <v>10</v>
      </c>
      <c r="O1225" s="15" t="n">
        <f aca="false">IF(J1225=1,0,Inputs!$B$13)</f>
        <v>20</v>
      </c>
      <c r="P1225" s="15" t="n">
        <f aca="false">SUM(M1225:N1225)</f>
        <v>85</v>
      </c>
      <c r="Q1225" s="15" t="n">
        <f aca="false">IF(J1225=1,"",L1225-P1225)</f>
        <v>15</v>
      </c>
      <c r="R1225" s="15" t="n">
        <f aca="false">IF(OR(J1225=1,M1225&lt;=Inputs!$B$12),1,0)</f>
        <v>1</v>
      </c>
      <c r="S1225" s="15" t="n">
        <f aca="false">IF(OR(J1225=1,N1225&lt;=O1225),1,0)</f>
        <v>1</v>
      </c>
      <c r="T1225" s="15" t="str">
        <f aca="false">IF(J1225=1,"OFFLINE",IF(AND(Q1225&gt;=Inputs!$B$15,R1225=1,S1225=1,P1225&lt;=L1225),"PASS","FAIL"))</f>
        <v>PASS</v>
      </c>
    </row>
    <row r="1226" customFormat="false" ht="15" hidden="false" customHeight="false" outlineLevel="0" collapsed="false">
      <c r="A1226" s="14" t="s">
        <v>1030</v>
      </c>
      <c r="B1226" s="14" t="s">
        <v>1019</v>
      </c>
      <c r="C1226" s="14" t="s">
        <v>188</v>
      </c>
      <c r="D1226" s="14" t="s">
        <v>171</v>
      </c>
      <c r="E1226" s="14" t="s">
        <v>172</v>
      </c>
      <c r="F1226" s="14" t="s">
        <v>164</v>
      </c>
      <c r="G1226" s="14" t="n">
        <v>3</v>
      </c>
      <c r="H1226" s="14" t="s">
        <v>158</v>
      </c>
      <c r="I1226" s="14" t="s">
        <v>892</v>
      </c>
      <c r="J1226" s="15" t="n">
        <f aca="false">IF(B1226="SITE LOSS",IF(D1226=C1226,1,0),IF(B1226="REGION LOSS",IF(E1226=C1226,1,0),0))</f>
        <v>0</v>
      </c>
      <c r="K1226" s="15" t="n">
        <f aca="false">IF(B1226="SITE LOSS",IF(COUNTIFS('Site Dockets'!$B$7:$B$24,C1226,'Site Dockets'!$C$7:$C$24,F1226)&gt;0,1,0),IF(B1226="REGION LOSS",IF(COUNTIFS('Site Dockets'!$E$7:$E$24,C1226,'Site Dockets'!$C$7:$C$24,F1226)&gt;0,1,0),0))</f>
        <v>0</v>
      </c>
      <c r="L1226" s="15" t="n">
        <f aca="false">IF(J1226=1,0,Inputs!$B$11)</f>
        <v>100</v>
      </c>
      <c r="M1226" s="15" t="n">
        <f aca="false">IF(J1226=1,0,Inputs!$B$12)</f>
        <v>75</v>
      </c>
      <c r="N1226" s="15" t="n">
        <f aca="false">IF(J1226=1,0,IF(OR(AND(OR(B1226="SITE LOSS",B1226="REGION LOSS"),K1226=1),AND(B1226="ROLE COMPROMISE",H1226=C1226)),Inputs!$B$13,Inputs!$B$14))</f>
        <v>10</v>
      </c>
      <c r="O1226" s="15" t="n">
        <f aca="false">IF(J1226=1,0,Inputs!$B$13)</f>
        <v>20</v>
      </c>
      <c r="P1226" s="15" t="n">
        <f aca="false">SUM(M1226:N1226)</f>
        <v>85</v>
      </c>
      <c r="Q1226" s="15" t="n">
        <f aca="false">IF(J1226=1,"",L1226-P1226)</f>
        <v>15</v>
      </c>
      <c r="R1226" s="15" t="n">
        <f aca="false">IF(OR(J1226=1,M1226&lt;=Inputs!$B$12),1,0)</f>
        <v>1</v>
      </c>
      <c r="S1226" s="15" t="n">
        <f aca="false">IF(OR(J1226=1,N1226&lt;=O1226),1,0)</f>
        <v>1</v>
      </c>
      <c r="T1226" s="15" t="str">
        <f aca="false">IF(J1226=1,"OFFLINE",IF(AND(Q1226&gt;=Inputs!$B$15,R1226=1,S1226=1,P1226&lt;=L1226),"PASS","FAIL"))</f>
        <v>PASS</v>
      </c>
    </row>
    <row r="1227" customFormat="false" ht="15" hidden="false" customHeight="false" outlineLevel="0" collapsed="false">
      <c r="A1227" s="14" t="s">
        <v>1030</v>
      </c>
      <c r="B1227" s="14" t="s">
        <v>1019</v>
      </c>
      <c r="C1227" s="14" t="s">
        <v>188</v>
      </c>
      <c r="D1227" s="14" t="s">
        <v>171</v>
      </c>
      <c r="E1227" s="14" t="s">
        <v>172</v>
      </c>
      <c r="F1227" s="14" t="s">
        <v>164</v>
      </c>
      <c r="G1227" s="14" t="n">
        <v>3</v>
      </c>
      <c r="H1227" s="14" t="s">
        <v>158</v>
      </c>
      <c r="I1227" s="14" t="s">
        <v>811</v>
      </c>
      <c r="J1227" s="15" t="n">
        <f aca="false">IF(B1227="SITE LOSS",IF(D1227=C1227,1,0),IF(B1227="REGION LOSS",IF(E1227=C1227,1,0),0))</f>
        <v>0</v>
      </c>
      <c r="K1227" s="15" t="n">
        <f aca="false">IF(B1227="SITE LOSS",IF(COUNTIFS('Site Dockets'!$B$7:$B$24,C1227,'Site Dockets'!$C$7:$C$24,F1227)&gt;0,1,0),IF(B1227="REGION LOSS",IF(COUNTIFS('Site Dockets'!$E$7:$E$24,C1227,'Site Dockets'!$C$7:$C$24,F1227)&gt;0,1,0),0))</f>
        <v>0</v>
      </c>
      <c r="L1227" s="15" t="n">
        <f aca="false">IF(J1227=1,0,Inputs!$B$11)</f>
        <v>100</v>
      </c>
      <c r="M1227" s="15" t="n">
        <f aca="false">IF(J1227=1,0,Inputs!$B$12)</f>
        <v>75</v>
      </c>
      <c r="N1227" s="15" t="n">
        <f aca="false">IF(J1227=1,0,IF(OR(AND(OR(B1227="SITE LOSS",B1227="REGION LOSS"),K1227=1),AND(B1227="ROLE COMPROMISE",H1227=C1227)),Inputs!$B$13,Inputs!$B$14))</f>
        <v>10</v>
      </c>
      <c r="O1227" s="15" t="n">
        <f aca="false">IF(J1227=1,0,Inputs!$B$13)</f>
        <v>20</v>
      </c>
      <c r="P1227" s="15" t="n">
        <f aca="false">SUM(M1227:N1227)</f>
        <v>85</v>
      </c>
      <c r="Q1227" s="15" t="n">
        <f aca="false">IF(J1227=1,"",L1227-P1227)</f>
        <v>15</v>
      </c>
      <c r="R1227" s="15" t="n">
        <f aca="false">IF(OR(J1227=1,M1227&lt;=Inputs!$B$12),1,0)</f>
        <v>1</v>
      </c>
      <c r="S1227" s="15" t="n">
        <f aca="false">IF(OR(J1227=1,N1227&lt;=O1227),1,0)</f>
        <v>1</v>
      </c>
      <c r="T1227" s="15" t="str">
        <f aca="false">IF(J1227=1,"OFFLINE",IF(AND(Q1227&gt;=Inputs!$B$15,R1227=1,S1227=1,P1227&lt;=L1227),"PASS","FAIL"))</f>
        <v>PASS</v>
      </c>
    </row>
    <row r="1228" customFormat="false" ht="15" hidden="false" customHeight="false" outlineLevel="0" collapsed="false">
      <c r="A1228" s="14" t="s">
        <v>1030</v>
      </c>
      <c r="B1228" s="14" t="s">
        <v>1019</v>
      </c>
      <c r="C1228" s="14" t="s">
        <v>188</v>
      </c>
      <c r="D1228" s="14" t="s">
        <v>171</v>
      </c>
      <c r="E1228" s="14" t="s">
        <v>172</v>
      </c>
      <c r="F1228" s="14" t="s">
        <v>164</v>
      </c>
      <c r="G1228" s="14" t="n">
        <v>3</v>
      </c>
      <c r="H1228" s="14" t="s">
        <v>158</v>
      </c>
      <c r="I1228" s="14" t="s">
        <v>895</v>
      </c>
      <c r="J1228" s="15" t="n">
        <f aca="false">IF(B1228="SITE LOSS",IF(D1228=C1228,1,0),IF(B1228="REGION LOSS",IF(E1228=C1228,1,0),0))</f>
        <v>0</v>
      </c>
      <c r="K1228" s="15" t="n">
        <f aca="false">IF(B1228="SITE LOSS",IF(COUNTIFS('Site Dockets'!$B$7:$B$24,C1228,'Site Dockets'!$C$7:$C$24,F1228)&gt;0,1,0),IF(B1228="REGION LOSS",IF(COUNTIFS('Site Dockets'!$E$7:$E$24,C1228,'Site Dockets'!$C$7:$C$24,F1228)&gt;0,1,0),0))</f>
        <v>0</v>
      </c>
      <c r="L1228" s="15" t="n">
        <f aca="false">IF(J1228=1,0,Inputs!$B$11)</f>
        <v>100</v>
      </c>
      <c r="M1228" s="15" t="n">
        <f aca="false">IF(J1228=1,0,Inputs!$B$12)</f>
        <v>75</v>
      </c>
      <c r="N1228" s="15" t="n">
        <f aca="false">IF(J1228=1,0,IF(OR(AND(OR(B1228="SITE LOSS",B1228="REGION LOSS"),K1228=1),AND(B1228="ROLE COMPROMISE",H1228=C1228)),Inputs!$B$13,Inputs!$B$14))</f>
        <v>10</v>
      </c>
      <c r="O1228" s="15" t="n">
        <f aca="false">IF(J1228=1,0,Inputs!$B$13)</f>
        <v>20</v>
      </c>
      <c r="P1228" s="15" t="n">
        <f aca="false">SUM(M1228:N1228)</f>
        <v>85</v>
      </c>
      <c r="Q1228" s="15" t="n">
        <f aca="false">IF(J1228=1,"",L1228-P1228)</f>
        <v>15</v>
      </c>
      <c r="R1228" s="15" t="n">
        <f aca="false">IF(OR(J1228=1,M1228&lt;=Inputs!$B$12),1,0)</f>
        <v>1</v>
      </c>
      <c r="S1228" s="15" t="n">
        <f aca="false">IF(OR(J1228=1,N1228&lt;=O1228),1,0)</f>
        <v>1</v>
      </c>
      <c r="T1228" s="15" t="str">
        <f aca="false">IF(J1228=1,"OFFLINE",IF(AND(Q1228&gt;=Inputs!$B$15,R1228=1,S1228=1,P1228&lt;=L1228),"PASS","FAIL"))</f>
        <v>PASS</v>
      </c>
    </row>
    <row r="1229" customFormat="false" ht="15" hidden="false" customHeight="false" outlineLevel="0" collapsed="false">
      <c r="A1229" s="14" t="s">
        <v>1030</v>
      </c>
      <c r="B1229" s="14" t="s">
        <v>1019</v>
      </c>
      <c r="C1229" s="14" t="s">
        <v>188</v>
      </c>
      <c r="D1229" s="14" t="s">
        <v>171</v>
      </c>
      <c r="E1229" s="14" t="s">
        <v>172</v>
      </c>
      <c r="F1229" s="14" t="s">
        <v>164</v>
      </c>
      <c r="G1229" s="14" t="n">
        <v>3</v>
      </c>
      <c r="H1229" s="14" t="s">
        <v>158</v>
      </c>
      <c r="I1229" s="14" t="s">
        <v>897</v>
      </c>
      <c r="J1229" s="15" t="n">
        <f aca="false">IF(B1229="SITE LOSS",IF(D1229=C1229,1,0),IF(B1229="REGION LOSS",IF(E1229=C1229,1,0),0))</f>
        <v>0</v>
      </c>
      <c r="K1229" s="15" t="n">
        <f aca="false">IF(B1229="SITE LOSS",IF(COUNTIFS('Site Dockets'!$B$7:$B$24,C1229,'Site Dockets'!$C$7:$C$24,F1229)&gt;0,1,0),IF(B1229="REGION LOSS",IF(COUNTIFS('Site Dockets'!$E$7:$E$24,C1229,'Site Dockets'!$C$7:$C$24,F1229)&gt;0,1,0),0))</f>
        <v>0</v>
      </c>
      <c r="L1229" s="15" t="n">
        <f aca="false">IF(J1229=1,0,Inputs!$B$11)</f>
        <v>100</v>
      </c>
      <c r="M1229" s="15" t="n">
        <f aca="false">IF(J1229=1,0,Inputs!$B$12)</f>
        <v>75</v>
      </c>
      <c r="N1229" s="15" t="n">
        <f aca="false">IF(J1229=1,0,IF(OR(AND(OR(B1229="SITE LOSS",B1229="REGION LOSS"),K1229=1),AND(B1229="ROLE COMPROMISE",H1229=C1229)),Inputs!$B$13,Inputs!$B$14))</f>
        <v>10</v>
      </c>
      <c r="O1229" s="15" t="n">
        <f aca="false">IF(J1229=1,0,Inputs!$B$13)</f>
        <v>20</v>
      </c>
      <c r="P1229" s="15" t="n">
        <f aca="false">SUM(M1229:N1229)</f>
        <v>85</v>
      </c>
      <c r="Q1229" s="15" t="n">
        <f aca="false">IF(J1229=1,"",L1229-P1229)</f>
        <v>15</v>
      </c>
      <c r="R1229" s="15" t="n">
        <f aca="false">IF(OR(J1229=1,M1229&lt;=Inputs!$B$12),1,0)</f>
        <v>1</v>
      </c>
      <c r="S1229" s="15" t="n">
        <f aca="false">IF(OR(J1229=1,N1229&lt;=O1229),1,0)</f>
        <v>1</v>
      </c>
      <c r="T1229" s="15" t="str">
        <f aca="false">IF(J1229=1,"OFFLINE",IF(AND(Q1229&gt;=Inputs!$B$15,R1229=1,S1229=1,P1229&lt;=L1229),"PASS","FAIL"))</f>
        <v>PASS</v>
      </c>
    </row>
    <row r="1230" customFormat="false" ht="15" hidden="false" customHeight="false" outlineLevel="0" collapsed="false">
      <c r="A1230" s="14" t="s">
        <v>1030</v>
      </c>
      <c r="B1230" s="14" t="s">
        <v>1019</v>
      </c>
      <c r="C1230" s="14" t="s">
        <v>188</v>
      </c>
      <c r="D1230" s="14" t="s">
        <v>171</v>
      </c>
      <c r="E1230" s="14" t="s">
        <v>172</v>
      </c>
      <c r="F1230" s="14" t="s">
        <v>164</v>
      </c>
      <c r="G1230" s="14" t="n">
        <v>3</v>
      </c>
      <c r="H1230" s="14" t="s">
        <v>158</v>
      </c>
      <c r="I1230" s="14" t="s">
        <v>899</v>
      </c>
      <c r="J1230" s="15" t="n">
        <f aca="false">IF(B1230="SITE LOSS",IF(D1230=C1230,1,0),IF(B1230="REGION LOSS",IF(E1230=C1230,1,0),0))</f>
        <v>0</v>
      </c>
      <c r="K1230" s="15" t="n">
        <f aca="false">IF(B1230="SITE LOSS",IF(COUNTIFS('Site Dockets'!$B$7:$B$24,C1230,'Site Dockets'!$C$7:$C$24,F1230)&gt;0,1,0),IF(B1230="REGION LOSS",IF(COUNTIFS('Site Dockets'!$E$7:$E$24,C1230,'Site Dockets'!$C$7:$C$24,F1230)&gt;0,1,0),0))</f>
        <v>0</v>
      </c>
      <c r="L1230" s="15" t="n">
        <f aca="false">IF(J1230=1,0,Inputs!$B$11)</f>
        <v>100</v>
      </c>
      <c r="M1230" s="15" t="n">
        <f aca="false">IF(J1230=1,0,Inputs!$B$12)</f>
        <v>75</v>
      </c>
      <c r="N1230" s="15" t="n">
        <f aca="false">IF(J1230=1,0,IF(OR(AND(OR(B1230="SITE LOSS",B1230="REGION LOSS"),K1230=1),AND(B1230="ROLE COMPROMISE",H1230=C1230)),Inputs!$B$13,Inputs!$B$14))</f>
        <v>10</v>
      </c>
      <c r="O1230" s="15" t="n">
        <f aca="false">IF(J1230=1,0,Inputs!$B$13)</f>
        <v>20</v>
      </c>
      <c r="P1230" s="15" t="n">
        <f aca="false">SUM(M1230:N1230)</f>
        <v>85</v>
      </c>
      <c r="Q1230" s="15" t="n">
        <f aca="false">IF(J1230=1,"",L1230-P1230)</f>
        <v>15</v>
      </c>
      <c r="R1230" s="15" t="n">
        <f aca="false">IF(OR(J1230=1,M1230&lt;=Inputs!$B$12),1,0)</f>
        <v>1</v>
      </c>
      <c r="S1230" s="15" t="n">
        <f aca="false">IF(OR(J1230=1,N1230&lt;=O1230),1,0)</f>
        <v>1</v>
      </c>
      <c r="T1230" s="15" t="str">
        <f aca="false">IF(J1230=1,"OFFLINE",IF(AND(Q1230&gt;=Inputs!$B$15,R1230=1,S1230=1,P1230&lt;=L1230),"PASS","FAIL"))</f>
        <v>PASS</v>
      </c>
    </row>
    <row r="1231" customFormat="false" ht="15" hidden="false" customHeight="false" outlineLevel="0" collapsed="false">
      <c r="A1231" s="14" t="s">
        <v>1030</v>
      </c>
      <c r="B1231" s="14" t="s">
        <v>1019</v>
      </c>
      <c r="C1231" s="14" t="s">
        <v>188</v>
      </c>
      <c r="D1231" s="14" t="s">
        <v>174</v>
      </c>
      <c r="E1231" s="14" t="s">
        <v>152</v>
      </c>
      <c r="F1231" s="14" t="s">
        <v>175</v>
      </c>
      <c r="G1231" s="14" t="n">
        <v>1</v>
      </c>
      <c r="H1231" s="14" t="s">
        <v>154</v>
      </c>
      <c r="I1231" s="14" t="s">
        <v>890</v>
      </c>
      <c r="J1231" s="15" t="n">
        <f aca="false">IF(B1231="SITE LOSS",IF(D1231=C1231,1,0),IF(B1231="REGION LOSS",IF(E1231=C1231,1,0),0))</f>
        <v>0</v>
      </c>
      <c r="K1231" s="15" t="n">
        <f aca="false">IF(B1231="SITE LOSS",IF(COUNTIFS('Site Dockets'!$B$7:$B$24,C1231,'Site Dockets'!$C$7:$C$24,F1231)&gt;0,1,0),IF(B1231="REGION LOSS",IF(COUNTIFS('Site Dockets'!$E$7:$E$24,C1231,'Site Dockets'!$C$7:$C$24,F1231)&gt;0,1,0),0))</f>
        <v>0</v>
      </c>
      <c r="L1231" s="15" t="n">
        <f aca="false">IF(J1231=1,0,Inputs!$B$11)</f>
        <v>100</v>
      </c>
      <c r="M1231" s="15" t="n">
        <f aca="false">IF(J1231=1,0,Inputs!$B$12)</f>
        <v>75</v>
      </c>
      <c r="N1231" s="15" t="n">
        <f aca="false">IF(J1231=1,0,IF(OR(AND(OR(B1231="SITE LOSS",B1231="REGION LOSS"),K1231=1),AND(B1231="ROLE COMPROMISE",H1231=C1231)),Inputs!$B$13,Inputs!$B$14))</f>
        <v>10</v>
      </c>
      <c r="O1231" s="15" t="n">
        <f aca="false">IF(J1231=1,0,Inputs!$B$13)</f>
        <v>20</v>
      </c>
      <c r="P1231" s="15" t="n">
        <f aca="false">SUM(M1231:N1231)</f>
        <v>85</v>
      </c>
      <c r="Q1231" s="15" t="n">
        <f aca="false">IF(J1231=1,"",L1231-P1231)</f>
        <v>15</v>
      </c>
      <c r="R1231" s="15" t="n">
        <f aca="false">IF(OR(J1231=1,M1231&lt;=Inputs!$B$12),1,0)</f>
        <v>1</v>
      </c>
      <c r="S1231" s="15" t="n">
        <f aca="false">IF(OR(J1231=1,N1231&lt;=O1231),1,0)</f>
        <v>1</v>
      </c>
      <c r="T1231" s="15" t="str">
        <f aca="false">IF(J1231=1,"OFFLINE",IF(AND(Q1231&gt;=Inputs!$B$15,R1231=1,S1231=1,P1231&lt;=L1231),"PASS","FAIL"))</f>
        <v>PASS</v>
      </c>
    </row>
    <row r="1232" customFormat="false" ht="15" hidden="false" customHeight="false" outlineLevel="0" collapsed="false">
      <c r="A1232" s="14" t="s">
        <v>1030</v>
      </c>
      <c r="B1232" s="14" t="s">
        <v>1019</v>
      </c>
      <c r="C1232" s="14" t="s">
        <v>188</v>
      </c>
      <c r="D1232" s="14" t="s">
        <v>174</v>
      </c>
      <c r="E1232" s="14" t="s">
        <v>152</v>
      </c>
      <c r="F1232" s="14" t="s">
        <v>175</v>
      </c>
      <c r="G1232" s="14" t="n">
        <v>1</v>
      </c>
      <c r="H1232" s="14" t="s">
        <v>154</v>
      </c>
      <c r="I1232" s="14" t="s">
        <v>892</v>
      </c>
      <c r="J1232" s="15" t="n">
        <f aca="false">IF(B1232="SITE LOSS",IF(D1232=C1232,1,0),IF(B1232="REGION LOSS",IF(E1232=C1232,1,0),0))</f>
        <v>0</v>
      </c>
      <c r="K1232" s="15" t="n">
        <f aca="false">IF(B1232="SITE LOSS",IF(COUNTIFS('Site Dockets'!$B$7:$B$24,C1232,'Site Dockets'!$C$7:$C$24,F1232)&gt;0,1,0),IF(B1232="REGION LOSS",IF(COUNTIFS('Site Dockets'!$E$7:$E$24,C1232,'Site Dockets'!$C$7:$C$24,F1232)&gt;0,1,0),0))</f>
        <v>0</v>
      </c>
      <c r="L1232" s="15" t="n">
        <f aca="false">IF(J1232=1,0,Inputs!$B$11)</f>
        <v>100</v>
      </c>
      <c r="M1232" s="15" t="n">
        <f aca="false">IF(J1232=1,0,Inputs!$B$12)</f>
        <v>75</v>
      </c>
      <c r="N1232" s="15" t="n">
        <f aca="false">IF(J1232=1,0,IF(OR(AND(OR(B1232="SITE LOSS",B1232="REGION LOSS"),K1232=1),AND(B1232="ROLE COMPROMISE",H1232=C1232)),Inputs!$B$13,Inputs!$B$14))</f>
        <v>10</v>
      </c>
      <c r="O1232" s="15" t="n">
        <f aca="false">IF(J1232=1,0,Inputs!$B$13)</f>
        <v>20</v>
      </c>
      <c r="P1232" s="15" t="n">
        <f aca="false">SUM(M1232:N1232)</f>
        <v>85</v>
      </c>
      <c r="Q1232" s="15" t="n">
        <f aca="false">IF(J1232=1,"",L1232-P1232)</f>
        <v>15</v>
      </c>
      <c r="R1232" s="15" t="n">
        <f aca="false">IF(OR(J1232=1,M1232&lt;=Inputs!$B$12),1,0)</f>
        <v>1</v>
      </c>
      <c r="S1232" s="15" t="n">
        <f aca="false">IF(OR(J1232=1,N1232&lt;=O1232),1,0)</f>
        <v>1</v>
      </c>
      <c r="T1232" s="15" t="str">
        <f aca="false">IF(J1232=1,"OFFLINE",IF(AND(Q1232&gt;=Inputs!$B$15,R1232=1,S1232=1,P1232&lt;=L1232),"PASS","FAIL"))</f>
        <v>PASS</v>
      </c>
    </row>
    <row r="1233" customFormat="false" ht="15" hidden="false" customHeight="false" outlineLevel="0" collapsed="false">
      <c r="A1233" s="14" t="s">
        <v>1030</v>
      </c>
      <c r="B1233" s="14" t="s">
        <v>1019</v>
      </c>
      <c r="C1233" s="14" t="s">
        <v>188</v>
      </c>
      <c r="D1233" s="14" t="s">
        <v>174</v>
      </c>
      <c r="E1233" s="14" t="s">
        <v>152</v>
      </c>
      <c r="F1233" s="14" t="s">
        <v>175</v>
      </c>
      <c r="G1233" s="14" t="n">
        <v>1</v>
      </c>
      <c r="H1233" s="14" t="s">
        <v>154</v>
      </c>
      <c r="I1233" s="14" t="s">
        <v>811</v>
      </c>
      <c r="J1233" s="15" t="n">
        <f aca="false">IF(B1233="SITE LOSS",IF(D1233=C1233,1,0),IF(B1233="REGION LOSS",IF(E1233=C1233,1,0),0))</f>
        <v>0</v>
      </c>
      <c r="K1233" s="15" t="n">
        <f aca="false">IF(B1233="SITE LOSS",IF(COUNTIFS('Site Dockets'!$B$7:$B$24,C1233,'Site Dockets'!$C$7:$C$24,F1233)&gt;0,1,0),IF(B1233="REGION LOSS",IF(COUNTIFS('Site Dockets'!$E$7:$E$24,C1233,'Site Dockets'!$C$7:$C$24,F1233)&gt;0,1,0),0))</f>
        <v>0</v>
      </c>
      <c r="L1233" s="15" t="n">
        <f aca="false">IF(J1233=1,0,Inputs!$B$11)</f>
        <v>100</v>
      </c>
      <c r="M1233" s="15" t="n">
        <f aca="false">IF(J1233=1,0,Inputs!$B$12)</f>
        <v>75</v>
      </c>
      <c r="N1233" s="15" t="n">
        <f aca="false">IF(J1233=1,0,IF(OR(AND(OR(B1233="SITE LOSS",B1233="REGION LOSS"),K1233=1),AND(B1233="ROLE COMPROMISE",H1233=C1233)),Inputs!$B$13,Inputs!$B$14))</f>
        <v>10</v>
      </c>
      <c r="O1233" s="15" t="n">
        <f aca="false">IF(J1233=1,0,Inputs!$B$13)</f>
        <v>20</v>
      </c>
      <c r="P1233" s="15" t="n">
        <f aca="false">SUM(M1233:N1233)</f>
        <v>85</v>
      </c>
      <c r="Q1233" s="15" t="n">
        <f aca="false">IF(J1233=1,"",L1233-P1233)</f>
        <v>15</v>
      </c>
      <c r="R1233" s="15" t="n">
        <f aca="false">IF(OR(J1233=1,M1233&lt;=Inputs!$B$12),1,0)</f>
        <v>1</v>
      </c>
      <c r="S1233" s="15" t="n">
        <f aca="false">IF(OR(J1233=1,N1233&lt;=O1233),1,0)</f>
        <v>1</v>
      </c>
      <c r="T1233" s="15" t="str">
        <f aca="false">IF(J1233=1,"OFFLINE",IF(AND(Q1233&gt;=Inputs!$B$15,R1233=1,S1233=1,P1233&lt;=L1233),"PASS","FAIL"))</f>
        <v>PASS</v>
      </c>
    </row>
    <row r="1234" customFormat="false" ht="15" hidden="false" customHeight="false" outlineLevel="0" collapsed="false">
      <c r="A1234" s="14" t="s">
        <v>1030</v>
      </c>
      <c r="B1234" s="14" t="s">
        <v>1019</v>
      </c>
      <c r="C1234" s="14" t="s">
        <v>188</v>
      </c>
      <c r="D1234" s="14" t="s">
        <v>174</v>
      </c>
      <c r="E1234" s="14" t="s">
        <v>152</v>
      </c>
      <c r="F1234" s="14" t="s">
        <v>175</v>
      </c>
      <c r="G1234" s="14" t="n">
        <v>1</v>
      </c>
      <c r="H1234" s="14" t="s">
        <v>154</v>
      </c>
      <c r="I1234" s="14" t="s">
        <v>895</v>
      </c>
      <c r="J1234" s="15" t="n">
        <f aca="false">IF(B1234="SITE LOSS",IF(D1234=C1234,1,0),IF(B1234="REGION LOSS",IF(E1234=C1234,1,0),0))</f>
        <v>0</v>
      </c>
      <c r="K1234" s="15" t="n">
        <f aca="false">IF(B1234="SITE LOSS",IF(COUNTIFS('Site Dockets'!$B$7:$B$24,C1234,'Site Dockets'!$C$7:$C$24,F1234)&gt;0,1,0),IF(B1234="REGION LOSS",IF(COUNTIFS('Site Dockets'!$E$7:$E$24,C1234,'Site Dockets'!$C$7:$C$24,F1234)&gt;0,1,0),0))</f>
        <v>0</v>
      </c>
      <c r="L1234" s="15" t="n">
        <f aca="false">IF(J1234=1,0,Inputs!$B$11)</f>
        <v>100</v>
      </c>
      <c r="M1234" s="15" t="n">
        <f aca="false">IF(J1234=1,0,Inputs!$B$12)</f>
        <v>75</v>
      </c>
      <c r="N1234" s="15" t="n">
        <f aca="false">IF(J1234=1,0,IF(OR(AND(OR(B1234="SITE LOSS",B1234="REGION LOSS"),K1234=1),AND(B1234="ROLE COMPROMISE",H1234=C1234)),Inputs!$B$13,Inputs!$B$14))</f>
        <v>10</v>
      </c>
      <c r="O1234" s="15" t="n">
        <f aca="false">IF(J1234=1,0,Inputs!$B$13)</f>
        <v>20</v>
      </c>
      <c r="P1234" s="15" t="n">
        <f aca="false">SUM(M1234:N1234)</f>
        <v>85</v>
      </c>
      <c r="Q1234" s="15" t="n">
        <f aca="false">IF(J1234=1,"",L1234-P1234)</f>
        <v>15</v>
      </c>
      <c r="R1234" s="15" t="n">
        <f aca="false">IF(OR(J1234=1,M1234&lt;=Inputs!$B$12),1,0)</f>
        <v>1</v>
      </c>
      <c r="S1234" s="15" t="n">
        <f aca="false">IF(OR(J1234=1,N1234&lt;=O1234),1,0)</f>
        <v>1</v>
      </c>
      <c r="T1234" s="15" t="str">
        <f aca="false">IF(J1234=1,"OFFLINE",IF(AND(Q1234&gt;=Inputs!$B$15,R1234=1,S1234=1,P1234&lt;=L1234),"PASS","FAIL"))</f>
        <v>PASS</v>
      </c>
    </row>
    <row r="1235" customFormat="false" ht="15" hidden="false" customHeight="false" outlineLevel="0" collapsed="false">
      <c r="A1235" s="14" t="s">
        <v>1030</v>
      </c>
      <c r="B1235" s="14" t="s">
        <v>1019</v>
      </c>
      <c r="C1235" s="14" t="s">
        <v>188</v>
      </c>
      <c r="D1235" s="14" t="s">
        <v>174</v>
      </c>
      <c r="E1235" s="14" t="s">
        <v>152</v>
      </c>
      <c r="F1235" s="14" t="s">
        <v>175</v>
      </c>
      <c r="G1235" s="14" t="n">
        <v>1</v>
      </c>
      <c r="H1235" s="14" t="s">
        <v>154</v>
      </c>
      <c r="I1235" s="14" t="s">
        <v>897</v>
      </c>
      <c r="J1235" s="15" t="n">
        <f aca="false">IF(B1235="SITE LOSS",IF(D1235=C1235,1,0),IF(B1235="REGION LOSS",IF(E1235=C1235,1,0),0))</f>
        <v>0</v>
      </c>
      <c r="K1235" s="15" t="n">
        <f aca="false">IF(B1235="SITE LOSS",IF(COUNTIFS('Site Dockets'!$B$7:$B$24,C1235,'Site Dockets'!$C$7:$C$24,F1235)&gt;0,1,0),IF(B1235="REGION LOSS",IF(COUNTIFS('Site Dockets'!$E$7:$E$24,C1235,'Site Dockets'!$C$7:$C$24,F1235)&gt;0,1,0),0))</f>
        <v>0</v>
      </c>
      <c r="L1235" s="15" t="n">
        <f aca="false">IF(J1235=1,0,Inputs!$B$11)</f>
        <v>100</v>
      </c>
      <c r="M1235" s="15" t="n">
        <f aca="false">IF(J1235=1,0,Inputs!$B$12)</f>
        <v>75</v>
      </c>
      <c r="N1235" s="15" t="n">
        <f aca="false">IF(J1235=1,0,IF(OR(AND(OR(B1235="SITE LOSS",B1235="REGION LOSS"),K1235=1),AND(B1235="ROLE COMPROMISE",H1235=C1235)),Inputs!$B$13,Inputs!$B$14))</f>
        <v>10</v>
      </c>
      <c r="O1235" s="15" t="n">
        <f aca="false">IF(J1235=1,0,Inputs!$B$13)</f>
        <v>20</v>
      </c>
      <c r="P1235" s="15" t="n">
        <f aca="false">SUM(M1235:N1235)</f>
        <v>85</v>
      </c>
      <c r="Q1235" s="15" t="n">
        <f aca="false">IF(J1235=1,"",L1235-P1235)</f>
        <v>15</v>
      </c>
      <c r="R1235" s="15" t="n">
        <f aca="false">IF(OR(J1235=1,M1235&lt;=Inputs!$B$12),1,0)</f>
        <v>1</v>
      </c>
      <c r="S1235" s="15" t="n">
        <f aca="false">IF(OR(J1235=1,N1235&lt;=O1235),1,0)</f>
        <v>1</v>
      </c>
      <c r="T1235" s="15" t="str">
        <f aca="false">IF(J1235=1,"OFFLINE",IF(AND(Q1235&gt;=Inputs!$B$15,R1235=1,S1235=1,P1235&lt;=L1235),"PASS","FAIL"))</f>
        <v>PASS</v>
      </c>
    </row>
    <row r="1236" customFormat="false" ht="15" hidden="false" customHeight="false" outlineLevel="0" collapsed="false">
      <c r="A1236" s="14" t="s">
        <v>1030</v>
      </c>
      <c r="B1236" s="14" t="s">
        <v>1019</v>
      </c>
      <c r="C1236" s="14" t="s">
        <v>188</v>
      </c>
      <c r="D1236" s="14" t="s">
        <v>174</v>
      </c>
      <c r="E1236" s="14" t="s">
        <v>152</v>
      </c>
      <c r="F1236" s="14" t="s">
        <v>175</v>
      </c>
      <c r="G1236" s="14" t="n">
        <v>1</v>
      </c>
      <c r="H1236" s="14" t="s">
        <v>154</v>
      </c>
      <c r="I1236" s="14" t="s">
        <v>899</v>
      </c>
      <c r="J1236" s="15" t="n">
        <f aca="false">IF(B1236="SITE LOSS",IF(D1236=C1236,1,0),IF(B1236="REGION LOSS",IF(E1236=C1236,1,0),0))</f>
        <v>0</v>
      </c>
      <c r="K1236" s="15" t="n">
        <f aca="false">IF(B1236="SITE LOSS",IF(COUNTIFS('Site Dockets'!$B$7:$B$24,C1236,'Site Dockets'!$C$7:$C$24,F1236)&gt;0,1,0),IF(B1236="REGION LOSS",IF(COUNTIFS('Site Dockets'!$E$7:$E$24,C1236,'Site Dockets'!$C$7:$C$24,F1236)&gt;0,1,0),0))</f>
        <v>0</v>
      </c>
      <c r="L1236" s="15" t="n">
        <f aca="false">IF(J1236=1,0,Inputs!$B$11)</f>
        <v>100</v>
      </c>
      <c r="M1236" s="15" t="n">
        <f aca="false">IF(J1236=1,0,Inputs!$B$12)</f>
        <v>75</v>
      </c>
      <c r="N1236" s="15" t="n">
        <f aca="false">IF(J1236=1,0,IF(OR(AND(OR(B1236="SITE LOSS",B1236="REGION LOSS"),K1236=1),AND(B1236="ROLE COMPROMISE",H1236=C1236)),Inputs!$B$13,Inputs!$B$14))</f>
        <v>10</v>
      </c>
      <c r="O1236" s="15" t="n">
        <f aca="false">IF(J1236=1,0,Inputs!$B$13)</f>
        <v>20</v>
      </c>
      <c r="P1236" s="15" t="n">
        <f aca="false">SUM(M1236:N1236)</f>
        <v>85</v>
      </c>
      <c r="Q1236" s="15" t="n">
        <f aca="false">IF(J1236=1,"",L1236-P1236)</f>
        <v>15</v>
      </c>
      <c r="R1236" s="15" t="n">
        <f aca="false">IF(OR(J1236=1,M1236&lt;=Inputs!$B$12),1,0)</f>
        <v>1</v>
      </c>
      <c r="S1236" s="15" t="n">
        <f aca="false">IF(OR(J1236=1,N1236&lt;=O1236),1,0)</f>
        <v>1</v>
      </c>
      <c r="T1236" s="15" t="str">
        <f aca="false">IF(J1236=1,"OFFLINE",IF(AND(Q1236&gt;=Inputs!$B$15,R1236=1,S1236=1,P1236&lt;=L1236),"PASS","FAIL"))</f>
        <v>PASS</v>
      </c>
    </row>
    <row r="1237" customFormat="false" ht="15" hidden="false" customHeight="false" outlineLevel="0" collapsed="false">
      <c r="A1237" s="14" t="s">
        <v>1030</v>
      </c>
      <c r="B1237" s="14" t="s">
        <v>1019</v>
      </c>
      <c r="C1237" s="14" t="s">
        <v>188</v>
      </c>
      <c r="D1237" s="14" t="s">
        <v>178</v>
      </c>
      <c r="E1237" s="14" t="s">
        <v>169</v>
      </c>
      <c r="F1237" s="14" t="s">
        <v>175</v>
      </c>
      <c r="G1237" s="14" t="n">
        <v>2</v>
      </c>
      <c r="H1237" s="14" t="s">
        <v>153</v>
      </c>
      <c r="I1237" s="14" t="s">
        <v>890</v>
      </c>
      <c r="J1237" s="15" t="n">
        <f aca="false">IF(B1237="SITE LOSS",IF(D1237=C1237,1,0),IF(B1237="REGION LOSS",IF(E1237=C1237,1,0),0))</f>
        <v>0</v>
      </c>
      <c r="K1237" s="15" t="n">
        <f aca="false">IF(B1237="SITE LOSS",IF(COUNTIFS('Site Dockets'!$B$7:$B$24,C1237,'Site Dockets'!$C$7:$C$24,F1237)&gt;0,1,0),IF(B1237="REGION LOSS",IF(COUNTIFS('Site Dockets'!$E$7:$E$24,C1237,'Site Dockets'!$C$7:$C$24,F1237)&gt;0,1,0),0))</f>
        <v>0</v>
      </c>
      <c r="L1237" s="15" t="n">
        <f aca="false">IF(J1237=1,0,Inputs!$B$11)</f>
        <v>100</v>
      </c>
      <c r="M1237" s="15" t="n">
        <f aca="false">IF(J1237=1,0,Inputs!$B$12)</f>
        <v>75</v>
      </c>
      <c r="N1237" s="15" t="n">
        <f aca="false">IF(J1237=1,0,IF(OR(AND(OR(B1237="SITE LOSS",B1237="REGION LOSS"),K1237=1),AND(B1237="ROLE COMPROMISE",H1237=C1237)),Inputs!$B$13,Inputs!$B$14))</f>
        <v>10</v>
      </c>
      <c r="O1237" s="15" t="n">
        <f aca="false">IF(J1237=1,0,Inputs!$B$13)</f>
        <v>20</v>
      </c>
      <c r="P1237" s="15" t="n">
        <f aca="false">SUM(M1237:N1237)</f>
        <v>85</v>
      </c>
      <c r="Q1237" s="15" t="n">
        <f aca="false">IF(J1237=1,"",L1237-P1237)</f>
        <v>15</v>
      </c>
      <c r="R1237" s="15" t="n">
        <f aca="false">IF(OR(J1237=1,M1237&lt;=Inputs!$B$12),1,0)</f>
        <v>1</v>
      </c>
      <c r="S1237" s="15" t="n">
        <f aca="false">IF(OR(J1237=1,N1237&lt;=O1237),1,0)</f>
        <v>1</v>
      </c>
      <c r="T1237" s="15" t="str">
        <f aca="false">IF(J1237=1,"OFFLINE",IF(AND(Q1237&gt;=Inputs!$B$15,R1237=1,S1237=1,P1237&lt;=L1237),"PASS","FAIL"))</f>
        <v>PASS</v>
      </c>
    </row>
    <row r="1238" customFormat="false" ht="15" hidden="false" customHeight="false" outlineLevel="0" collapsed="false">
      <c r="A1238" s="14" t="s">
        <v>1030</v>
      </c>
      <c r="B1238" s="14" t="s">
        <v>1019</v>
      </c>
      <c r="C1238" s="14" t="s">
        <v>188</v>
      </c>
      <c r="D1238" s="14" t="s">
        <v>178</v>
      </c>
      <c r="E1238" s="14" t="s">
        <v>169</v>
      </c>
      <c r="F1238" s="14" t="s">
        <v>175</v>
      </c>
      <c r="G1238" s="14" t="n">
        <v>2</v>
      </c>
      <c r="H1238" s="14" t="s">
        <v>153</v>
      </c>
      <c r="I1238" s="14" t="s">
        <v>892</v>
      </c>
      <c r="J1238" s="15" t="n">
        <f aca="false">IF(B1238="SITE LOSS",IF(D1238=C1238,1,0),IF(B1238="REGION LOSS",IF(E1238=C1238,1,0),0))</f>
        <v>0</v>
      </c>
      <c r="K1238" s="15" t="n">
        <f aca="false">IF(B1238="SITE LOSS",IF(COUNTIFS('Site Dockets'!$B$7:$B$24,C1238,'Site Dockets'!$C$7:$C$24,F1238)&gt;0,1,0),IF(B1238="REGION LOSS",IF(COUNTIFS('Site Dockets'!$E$7:$E$24,C1238,'Site Dockets'!$C$7:$C$24,F1238)&gt;0,1,0),0))</f>
        <v>0</v>
      </c>
      <c r="L1238" s="15" t="n">
        <f aca="false">IF(J1238=1,0,Inputs!$B$11)</f>
        <v>100</v>
      </c>
      <c r="M1238" s="15" t="n">
        <f aca="false">IF(J1238=1,0,Inputs!$B$12)</f>
        <v>75</v>
      </c>
      <c r="N1238" s="15" t="n">
        <f aca="false">IF(J1238=1,0,IF(OR(AND(OR(B1238="SITE LOSS",B1238="REGION LOSS"),K1238=1),AND(B1238="ROLE COMPROMISE",H1238=C1238)),Inputs!$B$13,Inputs!$B$14))</f>
        <v>10</v>
      </c>
      <c r="O1238" s="15" t="n">
        <f aca="false">IF(J1238=1,0,Inputs!$B$13)</f>
        <v>20</v>
      </c>
      <c r="P1238" s="15" t="n">
        <f aca="false">SUM(M1238:N1238)</f>
        <v>85</v>
      </c>
      <c r="Q1238" s="15" t="n">
        <f aca="false">IF(J1238=1,"",L1238-P1238)</f>
        <v>15</v>
      </c>
      <c r="R1238" s="15" t="n">
        <f aca="false">IF(OR(J1238=1,M1238&lt;=Inputs!$B$12),1,0)</f>
        <v>1</v>
      </c>
      <c r="S1238" s="15" t="n">
        <f aca="false">IF(OR(J1238=1,N1238&lt;=O1238),1,0)</f>
        <v>1</v>
      </c>
      <c r="T1238" s="15" t="str">
        <f aca="false">IF(J1238=1,"OFFLINE",IF(AND(Q1238&gt;=Inputs!$B$15,R1238=1,S1238=1,P1238&lt;=L1238),"PASS","FAIL"))</f>
        <v>PASS</v>
      </c>
    </row>
    <row r="1239" customFormat="false" ht="15" hidden="false" customHeight="false" outlineLevel="0" collapsed="false">
      <c r="A1239" s="14" t="s">
        <v>1030</v>
      </c>
      <c r="B1239" s="14" t="s">
        <v>1019</v>
      </c>
      <c r="C1239" s="14" t="s">
        <v>188</v>
      </c>
      <c r="D1239" s="14" t="s">
        <v>178</v>
      </c>
      <c r="E1239" s="14" t="s">
        <v>169</v>
      </c>
      <c r="F1239" s="14" t="s">
        <v>175</v>
      </c>
      <c r="G1239" s="14" t="n">
        <v>2</v>
      </c>
      <c r="H1239" s="14" t="s">
        <v>153</v>
      </c>
      <c r="I1239" s="14" t="s">
        <v>811</v>
      </c>
      <c r="J1239" s="15" t="n">
        <f aca="false">IF(B1239="SITE LOSS",IF(D1239=C1239,1,0),IF(B1239="REGION LOSS",IF(E1239=C1239,1,0),0))</f>
        <v>0</v>
      </c>
      <c r="K1239" s="15" t="n">
        <f aca="false">IF(B1239="SITE LOSS",IF(COUNTIFS('Site Dockets'!$B$7:$B$24,C1239,'Site Dockets'!$C$7:$C$24,F1239)&gt;0,1,0),IF(B1239="REGION LOSS",IF(COUNTIFS('Site Dockets'!$E$7:$E$24,C1239,'Site Dockets'!$C$7:$C$24,F1239)&gt;0,1,0),0))</f>
        <v>0</v>
      </c>
      <c r="L1239" s="15" t="n">
        <f aca="false">IF(J1239=1,0,Inputs!$B$11)</f>
        <v>100</v>
      </c>
      <c r="M1239" s="15" t="n">
        <f aca="false">IF(J1239=1,0,Inputs!$B$12)</f>
        <v>75</v>
      </c>
      <c r="N1239" s="15" t="n">
        <f aca="false">IF(J1239=1,0,IF(OR(AND(OR(B1239="SITE LOSS",B1239="REGION LOSS"),K1239=1),AND(B1239="ROLE COMPROMISE",H1239=C1239)),Inputs!$B$13,Inputs!$B$14))</f>
        <v>10</v>
      </c>
      <c r="O1239" s="15" t="n">
        <f aca="false">IF(J1239=1,0,Inputs!$B$13)</f>
        <v>20</v>
      </c>
      <c r="P1239" s="15" t="n">
        <f aca="false">SUM(M1239:N1239)</f>
        <v>85</v>
      </c>
      <c r="Q1239" s="15" t="n">
        <f aca="false">IF(J1239=1,"",L1239-P1239)</f>
        <v>15</v>
      </c>
      <c r="R1239" s="15" t="n">
        <f aca="false">IF(OR(J1239=1,M1239&lt;=Inputs!$B$12),1,0)</f>
        <v>1</v>
      </c>
      <c r="S1239" s="15" t="n">
        <f aca="false">IF(OR(J1239=1,N1239&lt;=O1239),1,0)</f>
        <v>1</v>
      </c>
      <c r="T1239" s="15" t="str">
        <f aca="false">IF(J1239=1,"OFFLINE",IF(AND(Q1239&gt;=Inputs!$B$15,R1239=1,S1239=1,P1239&lt;=L1239),"PASS","FAIL"))</f>
        <v>PASS</v>
      </c>
    </row>
    <row r="1240" customFormat="false" ht="15" hidden="false" customHeight="false" outlineLevel="0" collapsed="false">
      <c r="A1240" s="14" t="s">
        <v>1030</v>
      </c>
      <c r="B1240" s="14" t="s">
        <v>1019</v>
      </c>
      <c r="C1240" s="14" t="s">
        <v>188</v>
      </c>
      <c r="D1240" s="14" t="s">
        <v>178</v>
      </c>
      <c r="E1240" s="14" t="s">
        <v>169</v>
      </c>
      <c r="F1240" s="14" t="s">
        <v>175</v>
      </c>
      <c r="G1240" s="14" t="n">
        <v>2</v>
      </c>
      <c r="H1240" s="14" t="s">
        <v>153</v>
      </c>
      <c r="I1240" s="14" t="s">
        <v>895</v>
      </c>
      <c r="J1240" s="15" t="n">
        <f aca="false">IF(B1240="SITE LOSS",IF(D1240=C1240,1,0),IF(B1240="REGION LOSS",IF(E1240=C1240,1,0),0))</f>
        <v>0</v>
      </c>
      <c r="K1240" s="15" t="n">
        <f aca="false">IF(B1240="SITE LOSS",IF(COUNTIFS('Site Dockets'!$B$7:$B$24,C1240,'Site Dockets'!$C$7:$C$24,F1240)&gt;0,1,0),IF(B1240="REGION LOSS",IF(COUNTIFS('Site Dockets'!$E$7:$E$24,C1240,'Site Dockets'!$C$7:$C$24,F1240)&gt;0,1,0),0))</f>
        <v>0</v>
      </c>
      <c r="L1240" s="15" t="n">
        <f aca="false">IF(J1240=1,0,Inputs!$B$11)</f>
        <v>100</v>
      </c>
      <c r="M1240" s="15" t="n">
        <f aca="false">IF(J1240=1,0,Inputs!$B$12)</f>
        <v>75</v>
      </c>
      <c r="N1240" s="15" t="n">
        <f aca="false">IF(J1240=1,0,IF(OR(AND(OR(B1240="SITE LOSS",B1240="REGION LOSS"),K1240=1),AND(B1240="ROLE COMPROMISE",H1240=C1240)),Inputs!$B$13,Inputs!$B$14))</f>
        <v>10</v>
      </c>
      <c r="O1240" s="15" t="n">
        <f aca="false">IF(J1240=1,0,Inputs!$B$13)</f>
        <v>20</v>
      </c>
      <c r="P1240" s="15" t="n">
        <f aca="false">SUM(M1240:N1240)</f>
        <v>85</v>
      </c>
      <c r="Q1240" s="15" t="n">
        <f aca="false">IF(J1240=1,"",L1240-P1240)</f>
        <v>15</v>
      </c>
      <c r="R1240" s="15" t="n">
        <f aca="false">IF(OR(J1240=1,M1240&lt;=Inputs!$B$12),1,0)</f>
        <v>1</v>
      </c>
      <c r="S1240" s="15" t="n">
        <f aca="false">IF(OR(J1240=1,N1240&lt;=O1240),1,0)</f>
        <v>1</v>
      </c>
      <c r="T1240" s="15" t="str">
        <f aca="false">IF(J1240=1,"OFFLINE",IF(AND(Q1240&gt;=Inputs!$B$15,R1240=1,S1240=1,P1240&lt;=L1240),"PASS","FAIL"))</f>
        <v>PASS</v>
      </c>
    </row>
    <row r="1241" customFormat="false" ht="15" hidden="false" customHeight="false" outlineLevel="0" collapsed="false">
      <c r="A1241" s="14" t="s">
        <v>1030</v>
      </c>
      <c r="B1241" s="14" t="s">
        <v>1019</v>
      </c>
      <c r="C1241" s="14" t="s">
        <v>188</v>
      </c>
      <c r="D1241" s="14" t="s">
        <v>178</v>
      </c>
      <c r="E1241" s="14" t="s">
        <v>169</v>
      </c>
      <c r="F1241" s="14" t="s">
        <v>175</v>
      </c>
      <c r="G1241" s="14" t="n">
        <v>2</v>
      </c>
      <c r="H1241" s="14" t="s">
        <v>153</v>
      </c>
      <c r="I1241" s="14" t="s">
        <v>897</v>
      </c>
      <c r="J1241" s="15" t="n">
        <f aca="false">IF(B1241="SITE LOSS",IF(D1241=C1241,1,0),IF(B1241="REGION LOSS",IF(E1241=C1241,1,0),0))</f>
        <v>0</v>
      </c>
      <c r="K1241" s="15" t="n">
        <f aca="false">IF(B1241="SITE LOSS",IF(COUNTIFS('Site Dockets'!$B$7:$B$24,C1241,'Site Dockets'!$C$7:$C$24,F1241)&gt;0,1,0),IF(B1241="REGION LOSS",IF(COUNTIFS('Site Dockets'!$E$7:$E$24,C1241,'Site Dockets'!$C$7:$C$24,F1241)&gt;0,1,0),0))</f>
        <v>0</v>
      </c>
      <c r="L1241" s="15" t="n">
        <f aca="false">IF(J1241=1,0,Inputs!$B$11)</f>
        <v>100</v>
      </c>
      <c r="M1241" s="15" t="n">
        <f aca="false">IF(J1241=1,0,Inputs!$B$12)</f>
        <v>75</v>
      </c>
      <c r="N1241" s="15" t="n">
        <f aca="false">IF(J1241=1,0,IF(OR(AND(OR(B1241="SITE LOSS",B1241="REGION LOSS"),K1241=1),AND(B1241="ROLE COMPROMISE",H1241=C1241)),Inputs!$B$13,Inputs!$B$14))</f>
        <v>10</v>
      </c>
      <c r="O1241" s="15" t="n">
        <f aca="false">IF(J1241=1,0,Inputs!$B$13)</f>
        <v>20</v>
      </c>
      <c r="P1241" s="15" t="n">
        <f aca="false">SUM(M1241:N1241)</f>
        <v>85</v>
      </c>
      <c r="Q1241" s="15" t="n">
        <f aca="false">IF(J1241=1,"",L1241-P1241)</f>
        <v>15</v>
      </c>
      <c r="R1241" s="15" t="n">
        <f aca="false">IF(OR(J1241=1,M1241&lt;=Inputs!$B$12),1,0)</f>
        <v>1</v>
      </c>
      <c r="S1241" s="15" t="n">
        <f aca="false">IF(OR(J1241=1,N1241&lt;=O1241),1,0)</f>
        <v>1</v>
      </c>
      <c r="T1241" s="15" t="str">
        <f aca="false">IF(J1241=1,"OFFLINE",IF(AND(Q1241&gt;=Inputs!$B$15,R1241=1,S1241=1,P1241&lt;=L1241),"PASS","FAIL"))</f>
        <v>PASS</v>
      </c>
    </row>
    <row r="1242" customFormat="false" ht="15" hidden="false" customHeight="false" outlineLevel="0" collapsed="false">
      <c r="A1242" s="14" t="s">
        <v>1030</v>
      </c>
      <c r="B1242" s="14" t="s">
        <v>1019</v>
      </c>
      <c r="C1242" s="14" t="s">
        <v>188</v>
      </c>
      <c r="D1242" s="14" t="s">
        <v>178</v>
      </c>
      <c r="E1242" s="14" t="s">
        <v>169</v>
      </c>
      <c r="F1242" s="14" t="s">
        <v>175</v>
      </c>
      <c r="G1242" s="14" t="n">
        <v>2</v>
      </c>
      <c r="H1242" s="14" t="s">
        <v>153</v>
      </c>
      <c r="I1242" s="14" t="s">
        <v>899</v>
      </c>
      <c r="J1242" s="15" t="n">
        <f aca="false">IF(B1242="SITE LOSS",IF(D1242=C1242,1,0),IF(B1242="REGION LOSS",IF(E1242=C1242,1,0),0))</f>
        <v>0</v>
      </c>
      <c r="K1242" s="15" t="n">
        <f aca="false">IF(B1242="SITE LOSS",IF(COUNTIFS('Site Dockets'!$B$7:$B$24,C1242,'Site Dockets'!$C$7:$C$24,F1242)&gt;0,1,0),IF(B1242="REGION LOSS",IF(COUNTIFS('Site Dockets'!$E$7:$E$24,C1242,'Site Dockets'!$C$7:$C$24,F1242)&gt;0,1,0),0))</f>
        <v>0</v>
      </c>
      <c r="L1242" s="15" t="n">
        <f aca="false">IF(J1242=1,0,Inputs!$B$11)</f>
        <v>100</v>
      </c>
      <c r="M1242" s="15" t="n">
        <f aca="false">IF(J1242=1,0,Inputs!$B$12)</f>
        <v>75</v>
      </c>
      <c r="N1242" s="15" t="n">
        <f aca="false">IF(J1242=1,0,IF(OR(AND(OR(B1242="SITE LOSS",B1242="REGION LOSS"),K1242=1),AND(B1242="ROLE COMPROMISE",H1242=C1242)),Inputs!$B$13,Inputs!$B$14))</f>
        <v>10</v>
      </c>
      <c r="O1242" s="15" t="n">
        <f aca="false">IF(J1242=1,0,Inputs!$B$13)</f>
        <v>20</v>
      </c>
      <c r="P1242" s="15" t="n">
        <f aca="false">SUM(M1242:N1242)</f>
        <v>85</v>
      </c>
      <c r="Q1242" s="15" t="n">
        <f aca="false">IF(J1242=1,"",L1242-P1242)</f>
        <v>15</v>
      </c>
      <c r="R1242" s="15" t="n">
        <f aca="false">IF(OR(J1242=1,M1242&lt;=Inputs!$B$12),1,0)</f>
        <v>1</v>
      </c>
      <c r="S1242" s="15" t="n">
        <f aca="false">IF(OR(J1242=1,N1242&lt;=O1242),1,0)</f>
        <v>1</v>
      </c>
      <c r="T1242" s="15" t="str">
        <f aca="false">IF(J1242=1,"OFFLINE",IF(AND(Q1242&gt;=Inputs!$B$15,R1242=1,S1242=1,P1242&lt;=L1242),"PASS","FAIL"))</f>
        <v>PASS</v>
      </c>
    </row>
    <row r="1243" customFormat="false" ht="15" hidden="false" customHeight="false" outlineLevel="0" collapsed="false">
      <c r="A1243" s="14" t="s">
        <v>1030</v>
      </c>
      <c r="B1243" s="14" t="s">
        <v>1019</v>
      </c>
      <c r="C1243" s="14" t="s">
        <v>188</v>
      </c>
      <c r="D1243" s="14" t="s">
        <v>180</v>
      </c>
      <c r="E1243" s="14" t="s">
        <v>161</v>
      </c>
      <c r="F1243" s="14" t="s">
        <v>175</v>
      </c>
      <c r="G1243" s="14" t="n">
        <v>3</v>
      </c>
      <c r="H1243" s="14" t="s">
        <v>158</v>
      </c>
      <c r="I1243" s="14" t="s">
        <v>890</v>
      </c>
      <c r="J1243" s="15" t="n">
        <f aca="false">IF(B1243="SITE LOSS",IF(D1243=C1243,1,0),IF(B1243="REGION LOSS",IF(E1243=C1243,1,0),0))</f>
        <v>0</v>
      </c>
      <c r="K1243" s="15" t="n">
        <f aca="false">IF(B1243="SITE LOSS",IF(COUNTIFS('Site Dockets'!$B$7:$B$24,C1243,'Site Dockets'!$C$7:$C$24,F1243)&gt;0,1,0),IF(B1243="REGION LOSS",IF(COUNTIFS('Site Dockets'!$E$7:$E$24,C1243,'Site Dockets'!$C$7:$C$24,F1243)&gt;0,1,0),0))</f>
        <v>0</v>
      </c>
      <c r="L1243" s="15" t="n">
        <f aca="false">IF(J1243=1,0,Inputs!$B$11)</f>
        <v>100</v>
      </c>
      <c r="M1243" s="15" t="n">
        <f aca="false">IF(J1243=1,0,Inputs!$B$12)</f>
        <v>75</v>
      </c>
      <c r="N1243" s="15" t="n">
        <f aca="false">IF(J1243=1,0,IF(OR(AND(OR(B1243="SITE LOSS",B1243="REGION LOSS"),K1243=1),AND(B1243="ROLE COMPROMISE",H1243=C1243)),Inputs!$B$13,Inputs!$B$14))</f>
        <v>10</v>
      </c>
      <c r="O1243" s="15" t="n">
        <f aca="false">IF(J1243=1,0,Inputs!$B$13)</f>
        <v>20</v>
      </c>
      <c r="P1243" s="15" t="n">
        <f aca="false">SUM(M1243:N1243)</f>
        <v>85</v>
      </c>
      <c r="Q1243" s="15" t="n">
        <f aca="false">IF(J1243=1,"",L1243-P1243)</f>
        <v>15</v>
      </c>
      <c r="R1243" s="15" t="n">
        <f aca="false">IF(OR(J1243=1,M1243&lt;=Inputs!$B$12),1,0)</f>
        <v>1</v>
      </c>
      <c r="S1243" s="15" t="n">
        <f aca="false">IF(OR(J1243=1,N1243&lt;=O1243),1,0)</f>
        <v>1</v>
      </c>
      <c r="T1243" s="15" t="str">
        <f aca="false">IF(J1243=1,"OFFLINE",IF(AND(Q1243&gt;=Inputs!$B$15,R1243=1,S1243=1,P1243&lt;=L1243),"PASS","FAIL"))</f>
        <v>PASS</v>
      </c>
    </row>
    <row r="1244" customFormat="false" ht="15" hidden="false" customHeight="false" outlineLevel="0" collapsed="false">
      <c r="A1244" s="14" t="s">
        <v>1030</v>
      </c>
      <c r="B1244" s="14" t="s">
        <v>1019</v>
      </c>
      <c r="C1244" s="14" t="s">
        <v>188</v>
      </c>
      <c r="D1244" s="14" t="s">
        <v>180</v>
      </c>
      <c r="E1244" s="14" t="s">
        <v>161</v>
      </c>
      <c r="F1244" s="14" t="s">
        <v>175</v>
      </c>
      <c r="G1244" s="14" t="n">
        <v>3</v>
      </c>
      <c r="H1244" s="14" t="s">
        <v>158</v>
      </c>
      <c r="I1244" s="14" t="s">
        <v>892</v>
      </c>
      <c r="J1244" s="15" t="n">
        <f aca="false">IF(B1244="SITE LOSS",IF(D1244=C1244,1,0),IF(B1244="REGION LOSS",IF(E1244=C1244,1,0),0))</f>
        <v>0</v>
      </c>
      <c r="K1244" s="15" t="n">
        <f aca="false">IF(B1244="SITE LOSS",IF(COUNTIFS('Site Dockets'!$B$7:$B$24,C1244,'Site Dockets'!$C$7:$C$24,F1244)&gt;0,1,0),IF(B1244="REGION LOSS",IF(COUNTIFS('Site Dockets'!$E$7:$E$24,C1244,'Site Dockets'!$C$7:$C$24,F1244)&gt;0,1,0),0))</f>
        <v>0</v>
      </c>
      <c r="L1244" s="15" t="n">
        <f aca="false">IF(J1244=1,0,Inputs!$B$11)</f>
        <v>100</v>
      </c>
      <c r="M1244" s="15" t="n">
        <f aca="false">IF(J1244=1,0,Inputs!$B$12)</f>
        <v>75</v>
      </c>
      <c r="N1244" s="15" t="n">
        <f aca="false">IF(J1244=1,0,IF(OR(AND(OR(B1244="SITE LOSS",B1244="REGION LOSS"),K1244=1),AND(B1244="ROLE COMPROMISE",H1244=C1244)),Inputs!$B$13,Inputs!$B$14))</f>
        <v>10</v>
      </c>
      <c r="O1244" s="15" t="n">
        <f aca="false">IF(J1244=1,0,Inputs!$B$13)</f>
        <v>20</v>
      </c>
      <c r="P1244" s="15" t="n">
        <f aca="false">SUM(M1244:N1244)</f>
        <v>85</v>
      </c>
      <c r="Q1244" s="15" t="n">
        <f aca="false">IF(J1244=1,"",L1244-P1244)</f>
        <v>15</v>
      </c>
      <c r="R1244" s="15" t="n">
        <f aca="false">IF(OR(J1244=1,M1244&lt;=Inputs!$B$12),1,0)</f>
        <v>1</v>
      </c>
      <c r="S1244" s="15" t="n">
        <f aca="false">IF(OR(J1244=1,N1244&lt;=O1244),1,0)</f>
        <v>1</v>
      </c>
      <c r="T1244" s="15" t="str">
        <f aca="false">IF(J1244=1,"OFFLINE",IF(AND(Q1244&gt;=Inputs!$B$15,R1244=1,S1244=1,P1244&lt;=L1244),"PASS","FAIL"))</f>
        <v>PASS</v>
      </c>
    </row>
    <row r="1245" customFormat="false" ht="15" hidden="false" customHeight="false" outlineLevel="0" collapsed="false">
      <c r="A1245" s="14" t="s">
        <v>1030</v>
      </c>
      <c r="B1245" s="14" t="s">
        <v>1019</v>
      </c>
      <c r="C1245" s="14" t="s">
        <v>188</v>
      </c>
      <c r="D1245" s="14" t="s">
        <v>180</v>
      </c>
      <c r="E1245" s="14" t="s">
        <v>161</v>
      </c>
      <c r="F1245" s="14" t="s">
        <v>175</v>
      </c>
      <c r="G1245" s="14" t="n">
        <v>3</v>
      </c>
      <c r="H1245" s="14" t="s">
        <v>158</v>
      </c>
      <c r="I1245" s="14" t="s">
        <v>811</v>
      </c>
      <c r="J1245" s="15" t="n">
        <f aca="false">IF(B1245="SITE LOSS",IF(D1245=C1245,1,0),IF(B1245="REGION LOSS",IF(E1245=C1245,1,0),0))</f>
        <v>0</v>
      </c>
      <c r="K1245" s="15" t="n">
        <f aca="false">IF(B1245="SITE LOSS",IF(COUNTIFS('Site Dockets'!$B$7:$B$24,C1245,'Site Dockets'!$C$7:$C$24,F1245)&gt;0,1,0),IF(B1245="REGION LOSS",IF(COUNTIFS('Site Dockets'!$E$7:$E$24,C1245,'Site Dockets'!$C$7:$C$24,F1245)&gt;0,1,0),0))</f>
        <v>0</v>
      </c>
      <c r="L1245" s="15" t="n">
        <f aca="false">IF(J1245=1,0,Inputs!$B$11)</f>
        <v>100</v>
      </c>
      <c r="M1245" s="15" t="n">
        <f aca="false">IF(J1245=1,0,Inputs!$B$12)</f>
        <v>75</v>
      </c>
      <c r="N1245" s="15" t="n">
        <f aca="false">IF(J1245=1,0,IF(OR(AND(OR(B1245="SITE LOSS",B1245="REGION LOSS"),K1245=1),AND(B1245="ROLE COMPROMISE",H1245=C1245)),Inputs!$B$13,Inputs!$B$14))</f>
        <v>10</v>
      </c>
      <c r="O1245" s="15" t="n">
        <f aca="false">IF(J1245=1,0,Inputs!$B$13)</f>
        <v>20</v>
      </c>
      <c r="P1245" s="15" t="n">
        <f aca="false">SUM(M1245:N1245)</f>
        <v>85</v>
      </c>
      <c r="Q1245" s="15" t="n">
        <f aca="false">IF(J1245=1,"",L1245-P1245)</f>
        <v>15</v>
      </c>
      <c r="R1245" s="15" t="n">
        <f aca="false">IF(OR(J1245=1,M1245&lt;=Inputs!$B$12),1,0)</f>
        <v>1</v>
      </c>
      <c r="S1245" s="15" t="n">
        <f aca="false">IF(OR(J1245=1,N1245&lt;=O1245),1,0)</f>
        <v>1</v>
      </c>
      <c r="T1245" s="15" t="str">
        <f aca="false">IF(J1245=1,"OFFLINE",IF(AND(Q1245&gt;=Inputs!$B$15,R1245=1,S1245=1,P1245&lt;=L1245),"PASS","FAIL"))</f>
        <v>PASS</v>
      </c>
    </row>
    <row r="1246" customFormat="false" ht="15" hidden="false" customHeight="false" outlineLevel="0" collapsed="false">
      <c r="A1246" s="14" t="s">
        <v>1030</v>
      </c>
      <c r="B1246" s="14" t="s">
        <v>1019</v>
      </c>
      <c r="C1246" s="14" t="s">
        <v>188</v>
      </c>
      <c r="D1246" s="14" t="s">
        <v>180</v>
      </c>
      <c r="E1246" s="14" t="s">
        <v>161</v>
      </c>
      <c r="F1246" s="14" t="s">
        <v>175</v>
      </c>
      <c r="G1246" s="14" t="n">
        <v>3</v>
      </c>
      <c r="H1246" s="14" t="s">
        <v>158</v>
      </c>
      <c r="I1246" s="14" t="s">
        <v>895</v>
      </c>
      <c r="J1246" s="15" t="n">
        <f aca="false">IF(B1246="SITE LOSS",IF(D1246=C1246,1,0),IF(B1246="REGION LOSS",IF(E1246=C1246,1,0),0))</f>
        <v>0</v>
      </c>
      <c r="K1246" s="15" t="n">
        <f aca="false">IF(B1246="SITE LOSS",IF(COUNTIFS('Site Dockets'!$B$7:$B$24,C1246,'Site Dockets'!$C$7:$C$24,F1246)&gt;0,1,0),IF(B1246="REGION LOSS",IF(COUNTIFS('Site Dockets'!$E$7:$E$24,C1246,'Site Dockets'!$C$7:$C$24,F1246)&gt;0,1,0),0))</f>
        <v>0</v>
      </c>
      <c r="L1246" s="15" t="n">
        <f aca="false">IF(J1246=1,0,Inputs!$B$11)</f>
        <v>100</v>
      </c>
      <c r="M1246" s="15" t="n">
        <f aca="false">IF(J1246=1,0,Inputs!$B$12)</f>
        <v>75</v>
      </c>
      <c r="N1246" s="15" t="n">
        <f aca="false">IF(J1246=1,0,IF(OR(AND(OR(B1246="SITE LOSS",B1246="REGION LOSS"),K1246=1),AND(B1246="ROLE COMPROMISE",H1246=C1246)),Inputs!$B$13,Inputs!$B$14))</f>
        <v>10</v>
      </c>
      <c r="O1246" s="15" t="n">
        <f aca="false">IF(J1246=1,0,Inputs!$B$13)</f>
        <v>20</v>
      </c>
      <c r="P1246" s="15" t="n">
        <f aca="false">SUM(M1246:N1246)</f>
        <v>85</v>
      </c>
      <c r="Q1246" s="15" t="n">
        <f aca="false">IF(J1246=1,"",L1246-P1246)</f>
        <v>15</v>
      </c>
      <c r="R1246" s="15" t="n">
        <f aca="false">IF(OR(J1246=1,M1246&lt;=Inputs!$B$12),1,0)</f>
        <v>1</v>
      </c>
      <c r="S1246" s="15" t="n">
        <f aca="false">IF(OR(J1246=1,N1246&lt;=O1246),1,0)</f>
        <v>1</v>
      </c>
      <c r="T1246" s="15" t="str">
        <f aca="false">IF(J1246=1,"OFFLINE",IF(AND(Q1246&gt;=Inputs!$B$15,R1246=1,S1246=1,P1246&lt;=L1246),"PASS","FAIL"))</f>
        <v>PASS</v>
      </c>
    </row>
    <row r="1247" customFormat="false" ht="15" hidden="false" customHeight="false" outlineLevel="0" collapsed="false">
      <c r="A1247" s="14" t="s">
        <v>1030</v>
      </c>
      <c r="B1247" s="14" t="s">
        <v>1019</v>
      </c>
      <c r="C1247" s="14" t="s">
        <v>188</v>
      </c>
      <c r="D1247" s="14" t="s">
        <v>180</v>
      </c>
      <c r="E1247" s="14" t="s">
        <v>161</v>
      </c>
      <c r="F1247" s="14" t="s">
        <v>175</v>
      </c>
      <c r="G1247" s="14" t="n">
        <v>3</v>
      </c>
      <c r="H1247" s="14" t="s">
        <v>158</v>
      </c>
      <c r="I1247" s="14" t="s">
        <v>897</v>
      </c>
      <c r="J1247" s="15" t="n">
        <f aca="false">IF(B1247="SITE LOSS",IF(D1247=C1247,1,0),IF(B1247="REGION LOSS",IF(E1247=C1247,1,0),0))</f>
        <v>0</v>
      </c>
      <c r="K1247" s="15" t="n">
        <f aca="false">IF(B1247="SITE LOSS",IF(COUNTIFS('Site Dockets'!$B$7:$B$24,C1247,'Site Dockets'!$C$7:$C$24,F1247)&gt;0,1,0),IF(B1247="REGION LOSS",IF(COUNTIFS('Site Dockets'!$E$7:$E$24,C1247,'Site Dockets'!$C$7:$C$24,F1247)&gt;0,1,0),0))</f>
        <v>0</v>
      </c>
      <c r="L1247" s="15" t="n">
        <f aca="false">IF(J1247=1,0,Inputs!$B$11)</f>
        <v>100</v>
      </c>
      <c r="M1247" s="15" t="n">
        <f aca="false">IF(J1247=1,0,Inputs!$B$12)</f>
        <v>75</v>
      </c>
      <c r="N1247" s="15" t="n">
        <f aca="false">IF(J1247=1,0,IF(OR(AND(OR(B1247="SITE LOSS",B1247="REGION LOSS"),K1247=1),AND(B1247="ROLE COMPROMISE",H1247=C1247)),Inputs!$B$13,Inputs!$B$14))</f>
        <v>10</v>
      </c>
      <c r="O1247" s="15" t="n">
        <f aca="false">IF(J1247=1,0,Inputs!$B$13)</f>
        <v>20</v>
      </c>
      <c r="P1247" s="15" t="n">
        <f aca="false">SUM(M1247:N1247)</f>
        <v>85</v>
      </c>
      <c r="Q1247" s="15" t="n">
        <f aca="false">IF(J1247=1,"",L1247-P1247)</f>
        <v>15</v>
      </c>
      <c r="R1247" s="15" t="n">
        <f aca="false">IF(OR(J1247=1,M1247&lt;=Inputs!$B$12),1,0)</f>
        <v>1</v>
      </c>
      <c r="S1247" s="15" t="n">
        <f aca="false">IF(OR(J1247=1,N1247&lt;=O1247),1,0)</f>
        <v>1</v>
      </c>
      <c r="T1247" s="15" t="str">
        <f aca="false">IF(J1247=1,"OFFLINE",IF(AND(Q1247&gt;=Inputs!$B$15,R1247=1,S1247=1,P1247&lt;=L1247),"PASS","FAIL"))</f>
        <v>PASS</v>
      </c>
    </row>
    <row r="1248" customFormat="false" ht="15" hidden="false" customHeight="false" outlineLevel="0" collapsed="false">
      <c r="A1248" s="14" t="s">
        <v>1030</v>
      </c>
      <c r="B1248" s="14" t="s">
        <v>1019</v>
      </c>
      <c r="C1248" s="14" t="s">
        <v>188</v>
      </c>
      <c r="D1248" s="14" t="s">
        <v>180</v>
      </c>
      <c r="E1248" s="14" t="s">
        <v>161</v>
      </c>
      <c r="F1248" s="14" t="s">
        <v>175</v>
      </c>
      <c r="G1248" s="14" t="n">
        <v>3</v>
      </c>
      <c r="H1248" s="14" t="s">
        <v>158</v>
      </c>
      <c r="I1248" s="14" t="s">
        <v>899</v>
      </c>
      <c r="J1248" s="15" t="n">
        <f aca="false">IF(B1248="SITE LOSS",IF(D1248=C1248,1,0),IF(B1248="REGION LOSS",IF(E1248=C1248,1,0),0))</f>
        <v>0</v>
      </c>
      <c r="K1248" s="15" t="n">
        <f aca="false">IF(B1248="SITE LOSS",IF(COUNTIFS('Site Dockets'!$B$7:$B$24,C1248,'Site Dockets'!$C$7:$C$24,F1248)&gt;0,1,0),IF(B1248="REGION LOSS",IF(COUNTIFS('Site Dockets'!$E$7:$E$24,C1248,'Site Dockets'!$C$7:$C$24,F1248)&gt;0,1,0),0))</f>
        <v>0</v>
      </c>
      <c r="L1248" s="15" t="n">
        <f aca="false">IF(J1248=1,0,Inputs!$B$11)</f>
        <v>100</v>
      </c>
      <c r="M1248" s="15" t="n">
        <f aca="false">IF(J1248=1,0,Inputs!$B$12)</f>
        <v>75</v>
      </c>
      <c r="N1248" s="15" t="n">
        <f aca="false">IF(J1248=1,0,IF(OR(AND(OR(B1248="SITE LOSS",B1248="REGION LOSS"),K1248=1),AND(B1248="ROLE COMPROMISE",H1248=C1248)),Inputs!$B$13,Inputs!$B$14))</f>
        <v>10</v>
      </c>
      <c r="O1248" s="15" t="n">
        <f aca="false">IF(J1248=1,0,Inputs!$B$13)</f>
        <v>20</v>
      </c>
      <c r="P1248" s="15" t="n">
        <f aca="false">SUM(M1248:N1248)</f>
        <v>85</v>
      </c>
      <c r="Q1248" s="15" t="n">
        <f aca="false">IF(J1248=1,"",L1248-P1248)</f>
        <v>15</v>
      </c>
      <c r="R1248" s="15" t="n">
        <f aca="false">IF(OR(J1248=1,M1248&lt;=Inputs!$B$12),1,0)</f>
        <v>1</v>
      </c>
      <c r="S1248" s="15" t="n">
        <f aca="false">IF(OR(J1248=1,N1248&lt;=O1248),1,0)</f>
        <v>1</v>
      </c>
      <c r="T1248" s="15" t="str">
        <f aca="false">IF(J1248=1,"OFFLINE",IF(AND(Q1248&gt;=Inputs!$B$15,R1248=1,S1248=1,P1248&lt;=L1248),"PASS","FAIL"))</f>
        <v>PASS</v>
      </c>
    </row>
    <row r="1249" customFormat="false" ht="15" hidden="false" customHeight="false" outlineLevel="0" collapsed="false">
      <c r="A1249" s="14" t="s">
        <v>1030</v>
      </c>
      <c r="B1249" s="14" t="s">
        <v>1019</v>
      </c>
      <c r="C1249" s="14" t="s">
        <v>188</v>
      </c>
      <c r="D1249" s="14" t="s">
        <v>182</v>
      </c>
      <c r="E1249" s="14" t="s">
        <v>166</v>
      </c>
      <c r="F1249" s="14" t="s">
        <v>183</v>
      </c>
      <c r="G1249" s="14" t="n">
        <v>1</v>
      </c>
      <c r="H1249" s="14" t="s">
        <v>154</v>
      </c>
      <c r="I1249" s="14" t="s">
        <v>890</v>
      </c>
      <c r="J1249" s="15" t="n">
        <f aca="false">IF(B1249="SITE LOSS",IF(D1249=C1249,1,0),IF(B1249="REGION LOSS",IF(E1249=C1249,1,0),0))</f>
        <v>0</v>
      </c>
      <c r="K1249" s="15" t="n">
        <f aca="false">IF(B1249="SITE LOSS",IF(COUNTIFS('Site Dockets'!$B$7:$B$24,C1249,'Site Dockets'!$C$7:$C$24,F1249)&gt;0,1,0),IF(B1249="REGION LOSS",IF(COUNTIFS('Site Dockets'!$E$7:$E$24,C1249,'Site Dockets'!$C$7:$C$24,F1249)&gt;0,1,0),0))</f>
        <v>1</v>
      </c>
      <c r="L1249" s="15" t="n">
        <f aca="false">IF(J1249=1,0,Inputs!$B$11)</f>
        <v>100</v>
      </c>
      <c r="M1249" s="15" t="n">
        <f aca="false">IF(J1249=1,0,Inputs!$B$12)</f>
        <v>75</v>
      </c>
      <c r="N1249" s="15" t="n">
        <f aca="false">IF(J1249=1,0,IF(OR(AND(OR(B1249="SITE LOSS",B1249="REGION LOSS"),K1249=1),AND(B1249="ROLE COMPROMISE",H1249=C1249)),Inputs!$B$13,Inputs!$B$14))</f>
        <v>20</v>
      </c>
      <c r="O1249" s="15" t="n">
        <f aca="false">IF(J1249=1,0,Inputs!$B$13)</f>
        <v>20</v>
      </c>
      <c r="P1249" s="15" t="n">
        <f aca="false">SUM(M1249:N1249)</f>
        <v>95</v>
      </c>
      <c r="Q1249" s="15" t="n">
        <f aca="false">IF(J1249=1,"",L1249-P1249)</f>
        <v>5</v>
      </c>
      <c r="R1249" s="15" t="n">
        <f aca="false">IF(OR(J1249=1,M1249&lt;=Inputs!$B$12),1,0)</f>
        <v>1</v>
      </c>
      <c r="S1249" s="15" t="n">
        <f aca="false">IF(OR(J1249=1,N1249&lt;=O1249),1,0)</f>
        <v>1</v>
      </c>
      <c r="T1249" s="15" t="str">
        <f aca="false">IF(J1249=1,"OFFLINE",IF(AND(Q1249&gt;=Inputs!$B$15,R1249=1,S1249=1,P1249&lt;=L1249),"PASS","FAIL"))</f>
        <v>PASS</v>
      </c>
    </row>
    <row r="1250" customFormat="false" ht="15" hidden="false" customHeight="false" outlineLevel="0" collapsed="false">
      <c r="A1250" s="14" t="s">
        <v>1030</v>
      </c>
      <c r="B1250" s="14" t="s">
        <v>1019</v>
      </c>
      <c r="C1250" s="14" t="s">
        <v>188</v>
      </c>
      <c r="D1250" s="14" t="s">
        <v>182</v>
      </c>
      <c r="E1250" s="14" t="s">
        <v>166</v>
      </c>
      <c r="F1250" s="14" t="s">
        <v>183</v>
      </c>
      <c r="G1250" s="14" t="n">
        <v>1</v>
      </c>
      <c r="H1250" s="14" t="s">
        <v>154</v>
      </c>
      <c r="I1250" s="14" t="s">
        <v>892</v>
      </c>
      <c r="J1250" s="15" t="n">
        <f aca="false">IF(B1250="SITE LOSS",IF(D1250=C1250,1,0),IF(B1250="REGION LOSS",IF(E1250=C1250,1,0),0))</f>
        <v>0</v>
      </c>
      <c r="K1250" s="15" t="n">
        <f aca="false">IF(B1250="SITE LOSS",IF(COUNTIFS('Site Dockets'!$B$7:$B$24,C1250,'Site Dockets'!$C$7:$C$24,F1250)&gt;0,1,0),IF(B1250="REGION LOSS",IF(COUNTIFS('Site Dockets'!$E$7:$E$24,C1250,'Site Dockets'!$C$7:$C$24,F1250)&gt;0,1,0),0))</f>
        <v>1</v>
      </c>
      <c r="L1250" s="15" t="n">
        <f aca="false">IF(J1250=1,0,Inputs!$B$11)</f>
        <v>100</v>
      </c>
      <c r="M1250" s="15" t="n">
        <f aca="false">IF(J1250=1,0,Inputs!$B$12)</f>
        <v>75</v>
      </c>
      <c r="N1250" s="15" t="n">
        <f aca="false">IF(J1250=1,0,IF(OR(AND(OR(B1250="SITE LOSS",B1250="REGION LOSS"),K1250=1),AND(B1250="ROLE COMPROMISE",H1250=C1250)),Inputs!$B$13,Inputs!$B$14))</f>
        <v>20</v>
      </c>
      <c r="O1250" s="15" t="n">
        <f aca="false">IF(J1250=1,0,Inputs!$B$13)</f>
        <v>20</v>
      </c>
      <c r="P1250" s="15" t="n">
        <f aca="false">SUM(M1250:N1250)</f>
        <v>95</v>
      </c>
      <c r="Q1250" s="15" t="n">
        <f aca="false">IF(J1250=1,"",L1250-P1250)</f>
        <v>5</v>
      </c>
      <c r="R1250" s="15" t="n">
        <f aca="false">IF(OR(J1250=1,M1250&lt;=Inputs!$B$12),1,0)</f>
        <v>1</v>
      </c>
      <c r="S1250" s="15" t="n">
        <f aca="false">IF(OR(J1250=1,N1250&lt;=O1250),1,0)</f>
        <v>1</v>
      </c>
      <c r="T1250" s="15" t="str">
        <f aca="false">IF(J1250=1,"OFFLINE",IF(AND(Q1250&gt;=Inputs!$B$15,R1250=1,S1250=1,P1250&lt;=L1250),"PASS","FAIL"))</f>
        <v>PASS</v>
      </c>
    </row>
    <row r="1251" customFormat="false" ht="15" hidden="false" customHeight="false" outlineLevel="0" collapsed="false">
      <c r="A1251" s="14" t="s">
        <v>1030</v>
      </c>
      <c r="B1251" s="14" t="s">
        <v>1019</v>
      </c>
      <c r="C1251" s="14" t="s">
        <v>188</v>
      </c>
      <c r="D1251" s="14" t="s">
        <v>182</v>
      </c>
      <c r="E1251" s="14" t="s">
        <v>166</v>
      </c>
      <c r="F1251" s="14" t="s">
        <v>183</v>
      </c>
      <c r="G1251" s="14" t="n">
        <v>1</v>
      </c>
      <c r="H1251" s="14" t="s">
        <v>154</v>
      </c>
      <c r="I1251" s="14" t="s">
        <v>811</v>
      </c>
      <c r="J1251" s="15" t="n">
        <f aca="false">IF(B1251="SITE LOSS",IF(D1251=C1251,1,0),IF(B1251="REGION LOSS",IF(E1251=C1251,1,0),0))</f>
        <v>0</v>
      </c>
      <c r="K1251" s="15" t="n">
        <f aca="false">IF(B1251="SITE LOSS",IF(COUNTIFS('Site Dockets'!$B$7:$B$24,C1251,'Site Dockets'!$C$7:$C$24,F1251)&gt;0,1,0),IF(B1251="REGION LOSS",IF(COUNTIFS('Site Dockets'!$E$7:$E$24,C1251,'Site Dockets'!$C$7:$C$24,F1251)&gt;0,1,0),0))</f>
        <v>1</v>
      </c>
      <c r="L1251" s="15" t="n">
        <f aca="false">IF(J1251=1,0,Inputs!$B$11)</f>
        <v>100</v>
      </c>
      <c r="M1251" s="15" t="n">
        <f aca="false">IF(J1251=1,0,Inputs!$B$12)</f>
        <v>75</v>
      </c>
      <c r="N1251" s="15" t="n">
        <f aca="false">IF(J1251=1,0,IF(OR(AND(OR(B1251="SITE LOSS",B1251="REGION LOSS"),K1251=1),AND(B1251="ROLE COMPROMISE",H1251=C1251)),Inputs!$B$13,Inputs!$B$14))</f>
        <v>20</v>
      </c>
      <c r="O1251" s="15" t="n">
        <f aca="false">IF(J1251=1,0,Inputs!$B$13)</f>
        <v>20</v>
      </c>
      <c r="P1251" s="15" t="n">
        <f aca="false">SUM(M1251:N1251)</f>
        <v>95</v>
      </c>
      <c r="Q1251" s="15" t="n">
        <f aca="false">IF(J1251=1,"",L1251-P1251)</f>
        <v>5</v>
      </c>
      <c r="R1251" s="15" t="n">
        <f aca="false">IF(OR(J1251=1,M1251&lt;=Inputs!$B$12),1,0)</f>
        <v>1</v>
      </c>
      <c r="S1251" s="15" t="n">
        <f aca="false">IF(OR(J1251=1,N1251&lt;=O1251),1,0)</f>
        <v>1</v>
      </c>
      <c r="T1251" s="15" t="str">
        <f aca="false">IF(J1251=1,"OFFLINE",IF(AND(Q1251&gt;=Inputs!$B$15,R1251=1,S1251=1,P1251&lt;=L1251),"PASS","FAIL"))</f>
        <v>PASS</v>
      </c>
    </row>
    <row r="1252" customFormat="false" ht="15" hidden="false" customHeight="false" outlineLevel="0" collapsed="false">
      <c r="A1252" s="14" t="s">
        <v>1030</v>
      </c>
      <c r="B1252" s="14" t="s">
        <v>1019</v>
      </c>
      <c r="C1252" s="14" t="s">
        <v>188</v>
      </c>
      <c r="D1252" s="14" t="s">
        <v>182</v>
      </c>
      <c r="E1252" s="14" t="s">
        <v>166</v>
      </c>
      <c r="F1252" s="14" t="s">
        <v>183</v>
      </c>
      <c r="G1252" s="14" t="n">
        <v>1</v>
      </c>
      <c r="H1252" s="14" t="s">
        <v>154</v>
      </c>
      <c r="I1252" s="14" t="s">
        <v>895</v>
      </c>
      <c r="J1252" s="15" t="n">
        <f aca="false">IF(B1252="SITE LOSS",IF(D1252=C1252,1,0),IF(B1252="REGION LOSS",IF(E1252=C1252,1,0),0))</f>
        <v>0</v>
      </c>
      <c r="K1252" s="15" t="n">
        <f aca="false">IF(B1252="SITE LOSS",IF(COUNTIFS('Site Dockets'!$B$7:$B$24,C1252,'Site Dockets'!$C$7:$C$24,F1252)&gt;0,1,0),IF(B1252="REGION LOSS",IF(COUNTIFS('Site Dockets'!$E$7:$E$24,C1252,'Site Dockets'!$C$7:$C$24,F1252)&gt;0,1,0),0))</f>
        <v>1</v>
      </c>
      <c r="L1252" s="15" t="n">
        <f aca="false">IF(J1252=1,0,Inputs!$B$11)</f>
        <v>100</v>
      </c>
      <c r="M1252" s="15" t="n">
        <f aca="false">IF(J1252=1,0,Inputs!$B$12)</f>
        <v>75</v>
      </c>
      <c r="N1252" s="15" t="n">
        <f aca="false">IF(J1252=1,0,IF(OR(AND(OR(B1252="SITE LOSS",B1252="REGION LOSS"),K1252=1),AND(B1252="ROLE COMPROMISE",H1252=C1252)),Inputs!$B$13,Inputs!$B$14))</f>
        <v>20</v>
      </c>
      <c r="O1252" s="15" t="n">
        <f aca="false">IF(J1252=1,0,Inputs!$B$13)</f>
        <v>20</v>
      </c>
      <c r="P1252" s="15" t="n">
        <f aca="false">SUM(M1252:N1252)</f>
        <v>95</v>
      </c>
      <c r="Q1252" s="15" t="n">
        <f aca="false">IF(J1252=1,"",L1252-P1252)</f>
        <v>5</v>
      </c>
      <c r="R1252" s="15" t="n">
        <f aca="false">IF(OR(J1252=1,M1252&lt;=Inputs!$B$12),1,0)</f>
        <v>1</v>
      </c>
      <c r="S1252" s="15" t="n">
        <f aca="false">IF(OR(J1252=1,N1252&lt;=O1252),1,0)</f>
        <v>1</v>
      </c>
      <c r="T1252" s="15" t="str">
        <f aca="false">IF(J1252=1,"OFFLINE",IF(AND(Q1252&gt;=Inputs!$B$15,R1252=1,S1252=1,P1252&lt;=L1252),"PASS","FAIL"))</f>
        <v>PASS</v>
      </c>
    </row>
    <row r="1253" customFormat="false" ht="15" hidden="false" customHeight="false" outlineLevel="0" collapsed="false">
      <c r="A1253" s="14" t="s">
        <v>1030</v>
      </c>
      <c r="B1253" s="14" t="s">
        <v>1019</v>
      </c>
      <c r="C1253" s="14" t="s">
        <v>188</v>
      </c>
      <c r="D1253" s="14" t="s">
        <v>182</v>
      </c>
      <c r="E1253" s="14" t="s">
        <v>166</v>
      </c>
      <c r="F1253" s="14" t="s">
        <v>183</v>
      </c>
      <c r="G1253" s="14" t="n">
        <v>1</v>
      </c>
      <c r="H1253" s="14" t="s">
        <v>154</v>
      </c>
      <c r="I1253" s="14" t="s">
        <v>897</v>
      </c>
      <c r="J1253" s="15" t="n">
        <f aca="false">IF(B1253="SITE LOSS",IF(D1253=C1253,1,0),IF(B1253="REGION LOSS",IF(E1253=C1253,1,0),0))</f>
        <v>0</v>
      </c>
      <c r="K1253" s="15" t="n">
        <f aca="false">IF(B1253="SITE LOSS",IF(COUNTIFS('Site Dockets'!$B$7:$B$24,C1253,'Site Dockets'!$C$7:$C$24,F1253)&gt;0,1,0),IF(B1253="REGION LOSS",IF(COUNTIFS('Site Dockets'!$E$7:$E$24,C1253,'Site Dockets'!$C$7:$C$24,F1253)&gt;0,1,0),0))</f>
        <v>1</v>
      </c>
      <c r="L1253" s="15" t="n">
        <f aca="false">IF(J1253=1,0,Inputs!$B$11)</f>
        <v>100</v>
      </c>
      <c r="M1253" s="15" t="n">
        <f aca="false">IF(J1253=1,0,Inputs!$B$12)</f>
        <v>75</v>
      </c>
      <c r="N1253" s="15" t="n">
        <f aca="false">IF(J1253=1,0,IF(OR(AND(OR(B1253="SITE LOSS",B1253="REGION LOSS"),K1253=1),AND(B1253="ROLE COMPROMISE",H1253=C1253)),Inputs!$B$13,Inputs!$B$14))</f>
        <v>20</v>
      </c>
      <c r="O1253" s="15" t="n">
        <f aca="false">IF(J1253=1,0,Inputs!$B$13)</f>
        <v>20</v>
      </c>
      <c r="P1253" s="15" t="n">
        <f aca="false">SUM(M1253:N1253)</f>
        <v>95</v>
      </c>
      <c r="Q1253" s="15" t="n">
        <f aca="false">IF(J1253=1,"",L1253-P1253)</f>
        <v>5</v>
      </c>
      <c r="R1253" s="15" t="n">
        <f aca="false">IF(OR(J1253=1,M1253&lt;=Inputs!$B$12),1,0)</f>
        <v>1</v>
      </c>
      <c r="S1253" s="15" t="n">
        <f aca="false">IF(OR(J1253=1,N1253&lt;=O1253),1,0)</f>
        <v>1</v>
      </c>
      <c r="T1253" s="15" t="str">
        <f aca="false">IF(J1253=1,"OFFLINE",IF(AND(Q1253&gt;=Inputs!$B$15,R1253=1,S1253=1,P1253&lt;=L1253),"PASS","FAIL"))</f>
        <v>PASS</v>
      </c>
    </row>
    <row r="1254" customFormat="false" ht="15" hidden="false" customHeight="false" outlineLevel="0" collapsed="false">
      <c r="A1254" s="14" t="s">
        <v>1030</v>
      </c>
      <c r="B1254" s="14" t="s">
        <v>1019</v>
      </c>
      <c r="C1254" s="14" t="s">
        <v>188</v>
      </c>
      <c r="D1254" s="14" t="s">
        <v>182</v>
      </c>
      <c r="E1254" s="14" t="s">
        <v>166</v>
      </c>
      <c r="F1254" s="14" t="s">
        <v>183</v>
      </c>
      <c r="G1254" s="14" t="n">
        <v>1</v>
      </c>
      <c r="H1254" s="14" t="s">
        <v>154</v>
      </c>
      <c r="I1254" s="14" t="s">
        <v>899</v>
      </c>
      <c r="J1254" s="15" t="n">
        <f aca="false">IF(B1254="SITE LOSS",IF(D1254=C1254,1,0),IF(B1254="REGION LOSS",IF(E1254=C1254,1,0),0))</f>
        <v>0</v>
      </c>
      <c r="K1254" s="15" t="n">
        <f aca="false">IF(B1254="SITE LOSS",IF(COUNTIFS('Site Dockets'!$B$7:$B$24,C1254,'Site Dockets'!$C$7:$C$24,F1254)&gt;0,1,0),IF(B1254="REGION LOSS",IF(COUNTIFS('Site Dockets'!$E$7:$E$24,C1254,'Site Dockets'!$C$7:$C$24,F1254)&gt;0,1,0),0))</f>
        <v>1</v>
      </c>
      <c r="L1254" s="15" t="n">
        <f aca="false">IF(J1254=1,0,Inputs!$B$11)</f>
        <v>100</v>
      </c>
      <c r="M1254" s="15" t="n">
        <f aca="false">IF(J1254=1,0,Inputs!$B$12)</f>
        <v>75</v>
      </c>
      <c r="N1254" s="15" t="n">
        <f aca="false">IF(J1254=1,0,IF(OR(AND(OR(B1254="SITE LOSS",B1254="REGION LOSS"),K1254=1),AND(B1254="ROLE COMPROMISE",H1254=C1254)),Inputs!$B$13,Inputs!$B$14))</f>
        <v>20</v>
      </c>
      <c r="O1254" s="15" t="n">
        <f aca="false">IF(J1254=1,0,Inputs!$B$13)</f>
        <v>20</v>
      </c>
      <c r="P1254" s="15" t="n">
        <f aca="false">SUM(M1254:N1254)</f>
        <v>95</v>
      </c>
      <c r="Q1254" s="15" t="n">
        <f aca="false">IF(J1254=1,"",L1254-P1254)</f>
        <v>5</v>
      </c>
      <c r="R1254" s="15" t="n">
        <f aca="false">IF(OR(J1254=1,M1254&lt;=Inputs!$B$12),1,0)</f>
        <v>1</v>
      </c>
      <c r="S1254" s="15" t="n">
        <f aca="false">IF(OR(J1254=1,N1254&lt;=O1254),1,0)</f>
        <v>1</v>
      </c>
      <c r="T1254" s="15" t="str">
        <f aca="false">IF(J1254=1,"OFFLINE",IF(AND(Q1254&gt;=Inputs!$B$15,R1254=1,S1254=1,P1254&lt;=L1254),"PASS","FAIL"))</f>
        <v>PASS</v>
      </c>
    </row>
    <row r="1255" customFormat="false" ht="15" hidden="false" customHeight="false" outlineLevel="0" collapsed="false">
      <c r="A1255" s="14" t="s">
        <v>1030</v>
      </c>
      <c r="B1255" s="14" t="s">
        <v>1019</v>
      </c>
      <c r="C1255" s="14" t="s">
        <v>188</v>
      </c>
      <c r="D1255" s="14" t="s">
        <v>186</v>
      </c>
      <c r="E1255" s="14" t="s">
        <v>157</v>
      </c>
      <c r="F1255" s="14" t="s">
        <v>183</v>
      </c>
      <c r="G1255" s="14" t="n">
        <v>2</v>
      </c>
      <c r="H1255" s="14" t="s">
        <v>153</v>
      </c>
      <c r="I1255" s="14" t="s">
        <v>890</v>
      </c>
      <c r="J1255" s="15" t="n">
        <f aca="false">IF(B1255="SITE LOSS",IF(D1255=C1255,1,0),IF(B1255="REGION LOSS",IF(E1255=C1255,1,0),0))</f>
        <v>0</v>
      </c>
      <c r="K1255" s="15" t="n">
        <f aca="false">IF(B1255="SITE LOSS",IF(COUNTIFS('Site Dockets'!$B$7:$B$24,C1255,'Site Dockets'!$C$7:$C$24,F1255)&gt;0,1,0),IF(B1255="REGION LOSS",IF(COUNTIFS('Site Dockets'!$E$7:$E$24,C1255,'Site Dockets'!$C$7:$C$24,F1255)&gt;0,1,0),0))</f>
        <v>1</v>
      </c>
      <c r="L1255" s="15" t="n">
        <f aca="false">IF(J1255=1,0,Inputs!$B$11)</f>
        <v>100</v>
      </c>
      <c r="M1255" s="15" t="n">
        <f aca="false">IF(J1255=1,0,Inputs!$B$12)</f>
        <v>75</v>
      </c>
      <c r="N1255" s="15" t="n">
        <f aca="false">IF(J1255=1,0,IF(OR(AND(OR(B1255="SITE LOSS",B1255="REGION LOSS"),K1255=1),AND(B1255="ROLE COMPROMISE",H1255=C1255)),Inputs!$B$13,Inputs!$B$14))</f>
        <v>20</v>
      </c>
      <c r="O1255" s="15" t="n">
        <f aca="false">IF(J1255=1,0,Inputs!$B$13)</f>
        <v>20</v>
      </c>
      <c r="P1255" s="15" t="n">
        <f aca="false">SUM(M1255:N1255)</f>
        <v>95</v>
      </c>
      <c r="Q1255" s="15" t="n">
        <f aca="false">IF(J1255=1,"",L1255-P1255)</f>
        <v>5</v>
      </c>
      <c r="R1255" s="15" t="n">
        <f aca="false">IF(OR(J1255=1,M1255&lt;=Inputs!$B$12),1,0)</f>
        <v>1</v>
      </c>
      <c r="S1255" s="15" t="n">
        <f aca="false">IF(OR(J1255=1,N1255&lt;=O1255),1,0)</f>
        <v>1</v>
      </c>
      <c r="T1255" s="15" t="str">
        <f aca="false">IF(J1255=1,"OFFLINE",IF(AND(Q1255&gt;=Inputs!$B$15,R1255=1,S1255=1,P1255&lt;=L1255),"PASS","FAIL"))</f>
        <v>PASS</v>
      </c>
    </row>
    <row r="1256" customFormat="false" ht="15" hidden="false" customHeight="false" outlineLevel="0" collapsed="false">
      <c r="A1256" s="14" t="s">
        <v>1030</v>
      </c>
      <c r="B1256" s="14" t="s">
        <v>1019</v>
      </c>
      <c r="C1256" s="14" t="s">
        <v>188</v>
      </c>
      <c r="D1256" s="14" t="s">
        <v>186</v>
      </c>
      <c r="E1256" s="14" t="s">
        <v>157</v>
      </c>
      <c r="F1256" s="14" t="s">
        <v>183</v>
      </c>
      <c r="G1256" s="14" t="n">
        <v>2</v>
      </c>
      <c r="H1256" s="14" t="s">
        <v>153</v>
      </c>
      <c r="I1256" s="14" t="s">
        <v>892</v>
      </c>
      <c r="J1256" s="15" t="n">
        <f aca="false">IF(B1256="SITE LOSS",IF(D1256=C1256,1,0),IF(B1256="REGION LOSS",IF(E1256=C1256,1,0),0))</f>
        <v>0</v>
      </c>
      <c r="K1256" s="15" t="n">
        <f aca="false">IF(B1256="SITE LOSS",IF(COUNTIFS('Site Dockets'!$B$7:$B$24,C1256,'Site Dockets'!$C$7:$C$24,F1256)&gt;0,1,0),IF(B1256="REGION LOSS",IF(COUNTIFS('Site Dockets'!$E$7:$E$24,C1256,'Site Dockets'!$C$7:$C$24,F1256)&gt;0,1,0),0))</f>
        <v>1</v>
      </c>
      <c r="L1256" s="15" t="n">
        <f aca="false">IF(J1256=1,0,Inputs!$B$11)</f>
        <v>100</v>
      </c>
      <c r="M1256" s="15" t="n">
        <f aca="false">IF(J1256=1,0,Inputs!$B$12)</f>
        <v>75</v>
      </c>
      <c r="N1256" s="15" t="n">
        <f aca="false">IF(J1256=1,0,IF(OR(AND(OR(B1256="SITE LOSS",B1256="REGION LOSS"),K1256=1),AND(B1256="ROLE COMPROMISE",H1256=C1256)),Inputs!$B$13,Inputs!$B$14))</f>
        <v>20</v>
      </c>
      <c r="O1256" s="15" t="n">
        <f aca="false">IF(J1256=1,0,Inputs!$B$13)</f>
        <v>20</v>
      </c>
      <c r="P1256" s="15" t="n">
        <f aca="false">SUM(M1256:N1256)</f>
        <v>95</v>
      </c>
      <c r="Q1256" s="15" t="n">
        <f aca="false">IF(J1256=1,"",L1256-P1256)</f>
        <v>5</v>
      </c>
      <c r="R1256" s="15" t="n">
        <f aca="false">IF(OR(J1256=1,M1256&lt;=Inputs!$B$12),1,0)</f>
        <v>1</v>
      </c>
      <c r="S1256" s="15" t="n">
        <f aca="false">IF(OR(J1256=1,N1256&lt;=O1256),1,0)</f>
        <v>1</v>
      </c>
      <c r="T1256" s="15" t="str">
        <f aca="false">IF(J1256=1,"OFFLINE",IF(AND(Q1256&gt;=Inputs!$B$15,R1256=1,S1256=1,P1256&lt;=L1256),"PASS","FAIL"))</f>
        <v>PASS</v>
      </c>
    </row>
    <row r="1257" customFormat="false" ht="15" hidden="false" customHeight="false" outlineLevel="0" collapsed="false">
      <c r="A1257" s="14" t="s">
        <v>1030</v>
      </c>
      <c r="B1257" s="14" t="s">
        <v>1019</v>
      </c>
      <c r="C1257" s="14" t="s">
        <v>188</v>
      </c>
      <c r="D1257" s="14" t="s">
        <v>186</v>
      </c>
      <c r="E1257" s="14" t="s">
        <v>157</v>
      </c>
      <c r="F1257" s="14" t="s">
        <v>183</v>
      </c>
      <c r="G1257" s="14" t="n">
        <v>2</v>
      </c>
      <c r="H1257" s="14" t="s">
        <v>153</v>
      </c>
      <c r="I1257" s="14" t="s">
        <v>811</v>
      </c>
      <c r="J1257" s="15" t="n">
        <f aca="false">IF(B1257="SITE LOSS",IF(D1257=C1257,1,0),IF(B1257="REGION LOSS",IF(E1257=C1257,1,0),0))</f>
        <v>0</v>
      </c>
      <c r="K1257" s="15" t="n">
        <f aca="false">IF(B1257="SITE LOSS",IF(COUNTIFS('Site Dockets'!$B$7:$B$24,C1257,'Site Dockets'!$C$7:$C$24,F1257)&gt;0,1,0),IF(B1257="REGION LOSS",IF(COUNTIFS('Site Dockets'!$E$7:$E$24,C1257,'Site Dockets'!$C$7:$C$24,F1257)&gt;0,1,0),0))</f>
        <v>1</v>
      </c>
      <c r="L1257" s="15" t="n">
        <f aca="false">IF(J1257=1,0,Inputs!$B$11)</f>
        <v>100</v>
      </c>
      <c r="M1257" s="15" t="n">
        <f aca="false">IF(J1257=1,0,Inputs!$B$12)</f>
        <v>75</v>
      </c>
      <c r="N1257" s="15" t="n">
        <f aca="false">IF(J1257=1,0,IF(OR(AND(OR(B1257="SITE LOSS",B1257="REGION LOSS"),K1257=1),AND(B1257="ROLE COMPROMISE",H1257=C1257)),Inputs!$B$13,Inputs!$B$14))</f>
        <v>20</v>
      </c>
      <c r="O1257" s="15" t="n">
        <f aca="false">IF(J1257=1,0,Inputs!$B$13)</f>
        <v>20</v>
      </c>
      <c r="P1257" s="15" t="n">
        <f aca="false">SUM(M1257:N1257)</f>
        <v>95</v>
      </c>
      <c r="Q1257" s="15" t="n">
        <f aca="false">IF(J1257=1,"",L1257-P1257)</f>
        <v>5</v>
      </c>
      <c r="R1257" s="15" t="n">
        <f aca="false">IF(OR(J1257=1,M1257&lt;=Inputs!$B$12),1,0)</f>
        <v>1</v>
      </c>
      <c r="S1257" s="15" t="n">
        <f aca="false">IF(OR(J1257=1,N1257&lt;=O1257),1,0)</f>
        <v>1</v>
      </c>
      <c r="T1257" s="15" t="str">
        <f aca="false">IF(J1257=1,"OFFLINE",IF(AND(Q1257&gt;=Inputs!$B$15,R1257=1,S1257=1,P1257&lt;=L1257),"PASS","FAIL"))</f>
        <v>PASS</v>
      </c>
    </row>
    <row r="1258" customFormat="false" ht="15" hidden="false" customHeight="false" outlineLevel="0" collapsed="false">
      <c r="A1258" s="14" t="s">
        <v>1030</v>
      </c>
      <c r="B1258" s="14" t="s">
        <v>1019</v>
      </c>
      <c r="C1258" s="14" t="s">
        <v>188</v>
      </c>
      <c r="D1258" s="14" t="s">
        <v>186</v>
      </c>
      <c r="E1258" s="14" t="s">
        <v>157</v>
      </c>
      <c r="F1258" s="14" t="s">
        <v>183</v>
      </c>
      <c r="G1258" s="14" t="n">
        <v>2</v>
      </c>
      <c r="H1258" s="14" t="s">
        <v>153</v>
      </c>
      <c r="I1258" s="14" t="s">
        <v>895</v>
      </c>
      <c r="J1258" s="15" t="n">
        <f aca="false">IF(B1258="SITE LOSS",IF(D1258=C1258,1,0),IF(B1258="REGION LOSS",IF(E1258=C1258,1,0),0))</f>
        <v>0</v>
      </c>
      <c r="K1258" s="15" t="n">
        <f aca="false">IF(B1258="SITE LOSS",IF(COUNTIFS('Site Dockets'!$B$7:$B$24,C1258,'Site Dockets'!$C$7:$C$24,F1258)&gt;0,1,0),IF(B1258="REGION LOSS",IF(COUNTIFS('Site Dockets'!$E$7:$E$24,C1258,'Site Dockets'!$C$7:$C$24,F1258)&gt;0,1,0),0))</f>
        <v>1</v>
      </c>
      <c r="L1258" s="15" t="n">
        <f aca="false">IF(J1258=1,0,Inputs!$B$11)</f>
        <v>100</v>
      </c>
      <c r="M1258" s="15" t="n">
        <f aca="false">IF(J1258=1,0,Inputs!$B$12)</f>
        <v>75</v>
      </c>
      <c r="N1258" s="15" t="n">
        <f aca="false">IF(J1258=1,0,IF(OR(AND(OR(B1258="SITE LOSS",B1258="REGION LOSS"),K1258=1),AND(B1258="ROLE COMPROMISE",H1258=C1258)),Inputs!$B$13,Inputs!$B$14))</f>
        <v>20</v>
      </c>
      <c r="O1258" s="15" t="n">
        <f aca="false">IF(J1258=1,0,Inputs!$B$13)</f>
        <v>20</v>
      </c>
      <c r="P1258" s="15" t="n">
        <f aca="false">SUM(M1258:N1258)</f>
        <v>95</v>
      </c>
      <c r="Q1258" s="15" t="n">
        <f aca="false">IF(J1258=1,"",L1258-P1258)</f>
        <v>5</v>
      </c>
      <c r="R1258" s="15" t="n">
        <f aca="false">IF(OR(J1258=1,M1258&lt;=Inputs!$B$12),1,0)</f>
        <v>1</v>
      </c>
      <c r="S1258" s="15" t="n">
        <f aca="false">IF(OR(J1258=1,N1258&lt;=O1258),1,0)</f>
        <v>1</v>
      </c>
      <c r="T1258" s="15" t="str">
        <f aca="false">IF(J1258=1,"OFFLINE",IF(AND(Q1258&gt;=Inputs!$B$15,R1258=1,S1258=1,P1258&lt;=L1258),"PASS","FAIL"))</f>
        <v>PASS</v>
      </c>
    </row>
    <row r="1259" customFormat="false" ht="15" hidden="false" customHeight="false" outlineLevel="0" collapsed="false">
      <c r="A1259" s="14" t="s">
        <v>1030</v>
      </c>
      <c r="B1259" s="14" t="s">
        <v>1019</v>
      </c>
      <c r="C1259" s="14" t="s">
        <v>188</v>
      </c>
      <c r="D1259" s="14" t="s">
        <v>186</v>
      </c>
      <c r="E1259" s="14" t="s">
        <v>157</v>
      </c>
      <c r="F1259" s="14" t="s">
        <v>183</v>
      </c>
      <c r="G1259" s="14" t="n">
        <v>2</v>
      </c>
      <c r="H1259" s="14" t="s">
        <v>153</v>
      </c>
      <c r="I1259" s="14" t="s">
        <v>897</v>
      </c>
      <c r="J1259" s="15" t="n">
        <f aca="false">IF(B1259="SITE LOSS",IF(D1259=C1259,1,0),IF(B1259="REGION LOSS",IF(E1259=C1259,1,0),0))</f>
        <v>0</v>
      </c>
      <c r="K1259" s="15" t="n">
        <f aca="false">IF(B1259="SITE LOSS",IF(COUNTIFS('Site Dockets'!$B$7:$B$24,C1259,'Site Dockets'!$C$7:$C$24,F1259)&gt;0,1,0),IF(B1259="REGION LOSS",IF(COUNTIFS('Site Dockets'!$E$7:$E$24,C1259,'Site Dockets'!$C$7:$C$24,F1259)&gt;0,1,0),0))</f>
        <v>1</v>
      </c>
      <c r="L1259" s="15" t="n">
        <f aca="false">IF(J1259=1,0,Inputs!$B$11)</f>
        <v>100</v>
      </c>
      <c r="M1259" s="15" t="n">
        <f aca="false">IF(J1259=1,0,Inputs!$B$12)</f>
        <v>75</v>
      </c>
      <c r="N1259" s="15" t="n">
        <f aca="false">IF(J1259=1,0,IF(OR(AND(OR(B1259="SITE LOSS",B1259="REGION LOSS"),K1259=1),AND(B1259="ROLE COMPROMISE",H1259=C1259)),Inputs!$B$13,Inputs!$B$14))</f>
        <v>20</v>
      </c>
      <c r="O1259" s="15" t="n">
        <f aca="false">IF(J1259=1,0,Inputs!$B$13)</f>
        <v>20</v>
      </c>
      <c r="P1259" s="15" t="n">
        <f aca="false">SUM(M1259:N1259)</f>
        <v>95</v>
      </c>
      <c r="Q1259" s="15" t="n">
        <f aca="false">IF(J1259=1,"",L1259-P1259)</f>
        <v>5</v>
      </c>
      <c r="R1259" s="15" t="n">
        <f aca="false">IF(OR(J1259=1,M1259&lt;=Inputs!$B$12),1,0)</f>
        <v>1</v>
      </c>
      <c r="S1259" s="15" t="n">
        <f aca="false">IF(OR(J1259=1,N1259&lt;=O1259),1,0)</f>
        <v>1</v>
      </c>
      <c r="T1259" s="15" t="str">
        <f aca="false">IF(J1259=1,"OFFLINE",IF(AND(Q1259&gt;=Inputs!$B$15,R1259=1,S1259=1,P1259&lt;=L1259),"PASS","FAIL"))</f>
        <v>PASS</v>
      </c>
    </row>
    <row r="1260" customFormat="false" ht="15" hidden="false" customHeight="false" outlineLevel="0" collapsed="false">
      <c r="A1260" s="14" t="s">
        <v>1030</v>
      </c>
      <c r="B1260" s="14" t="s">
        <v>1019</v>
      </c>
      <c r="C1260" s="14" t="s">
        <v>188</v>
      </c>
      <c r="D1260" s="14" t="s">
        <v>186</v>
      </c>
      <c r="E1260" s="14" t="s">
        <v>157</v>
      </c>
      <c r="F1260" s="14" t="s">
        <v>183</v>
      </c>
      <c r="G1260" s="14" t="n">
        <v>2</v>
      </c>
      <c r="H1260" s="14" t="s">
        <v>153</v>
      </c>
      <c r="I1260" s="14" t="s">
        <v>899</v>
      </c>
      <c r="J1260" s="15" t="n">
        <f aca="false">IF(B1260="SITE LOSS",IF(D1260=C1260,1,0),IF(B1260="REGION LOSS",IF(E1260=C1260,1,0),0))</f>
        <v>0</v>
      </c>
      <c r="K1260" s="15" t="n">
        <f aca="false">IF(B1260="SITE LOSS",IF(COUNTIFS('Site Dockets'!$B$7:$B$24,C1260,'Site Dockets'!$C$7:$C$24,F1260)&gt;0,1,0),IF(B1260="REGION LOSS",IF(COUNTIFS('Site Dockets'!$E$7:$E$24,C1260,'Site Dockets'!$C$7:$C$24,F1260)&gt;0,1,0),0))</f>
        <v>1</v>
      </c>
      <c r="L1260" s="15" t="n">
        <f aca="false">IF(J1260=1,0,Inputs!$B$11)</f>
        <v>100</v>
      </c>
      <c r="M1260" s="15" t="n">
        <f aca="false">IF(J1260=1,0,Inputs!$B$12)</f>
        <v>75</v>
      </c>
      <c r="N1260" s="15" t="n">
        <f aca="false">IF(J1260=1,0,IF(OR(AND(OR(B1260="SITE LOSS",B1260="REGION LOSS"),K1260=1),AND(B1260="ROLE COMPROMISE",H1260=C1260)),Inputs!$B$13,Inputs!$B$14))</f>
        <v>20</v>
      </c>
      <c r="O1260" s="15" t="n">
        <f aca="false">IF(J1260=1,0,Inputs!$B$13)</f>
        <v>20</v>
      </c>
      <c r="P1260" s="15" t="n">
        <f aca="false">SUM(M1260:N1260)</f>
        <v>95</v>
      </c>
      <c r="Q1260" s="15" t="n">
        <f aca="false">IF(J1260=1,"",L1260-P1260)</f>
        <v>5</v>
      </c>
      <c r="R1260" s="15" t="n">
        <f aca="false">IF(OR(J1260=1,M1260&lt;=Inputs!$B$12),1,0)</f>
        <v>1</v>
      </c>
      <c r="S1260" s="15" t="n">
        <f aca="false">IF(OR(J1260=1,N1260&lt;=O1260),1,0)</f>
        <v>1</v>
      </c>
      <c r="T1260" s="15" t="str">
        <f aca="false">IF(J1260=1,"OFFLINE",IF(AND(Q1260&gt;=Inputs!$B$15,R1260=1,S1260=1,P1260&lt;=L1260),"PASS","FAIL"))</f>
        <v>PASS</v>
      </c>
    </row>
    <row r="1261" customFormat="false" ht="15" hidden="false" customHeight="false" outlineLevel="0" collapsed="false">
      <c r="A1261" s="14" t="s">
        <v>1030</v>
      </c>
      <c r="B1261" s="14" t="s">
        <v>1019</v>
      </c>
      <c r="C1261" s="14" t="s">
        <v>188</v>
      </c>
      <c r="D1261" s="14" t="s">
        <v>188</v>
      </c>
      <c r="E1261" s="14" t="s">
        <v>172</v>
      </c>
      <c r="F1261" s="14" t="s">
        <v>183</v>
      </c>
      <c r="G1261" s="14" t="n">
        <v>3</v>
      </c>
      <c r="H1261" s="14" t="s">
        <v>158</v>
      </c>
      <c r="I1261" s="14" t="s">
        <v>890</v>
      </c>
      <c r="J1261" s="15" t="n">
        <f aca="false">IF(B1261="SITE LOSS",IF(D1261=C1261,1,0),IF(B1261="REGION LOSS",IF(E1261=C1261,1,0),0))</f>
        <v>1</v>
      </c>
      <c r="K1261" s="15" t="n">
        <f aca="false">IF(B1261="SITE LOSS",IF(COUNTIFS('Site Dockets'!$B$7:$B$24,C1261,'Site Dockets'!$C$7:$C$24,F1261)&gt;0,1,0),IF(B1261="REGION LOSS",IF(COUNTIFS('Site Dockets'!$E$7:$E$24,C1261,'Site Dockets'!$C$7:$C$24,F1261)&gt;0,1,0),0))</f>
        <v>1</v>
      </c>
      <c r="L1261" s="15" t="n">
        <f aca="false">IF(J1261=1,0,Inputs!$B$11)</f>
        <v>0</v>
      </c>
      <c r="M1261" s="15" t="n">
        <f aca="false">IF(J1261=1,0,Inputs!$B$12)</f>
        <v>0</v>
      </c>
      <c r="N1261" s="15" t="n">
        <f aca="false">IF(J1261=1,0,IF(OR(AND(OR(B1261="SITE LOSS",B1261="REGION LOSS"),K1261=1),AND(B1261="ROLE COMPROMISE",H1261=C1261)),Inputs!$B$13,Inputs!$B$14))</f>
        <v>0</v>
      </c>
      <c r="O1261" s="15" t="n">
        <f aca="false">IF(J1261=1,0,Inputs!$B$13)</f>
        <v>0</v>
      </c>
      <c r="P1261" s="15" t="n">
        <f aca="false">SUM(M1261:N1261)</f>
        <v>0</v>
      </c>
      <c r="Q1261" s="15" t="str">
        <f aca="false">IF(J1261=1,"",L1261-P1261)</f>
        <v/>
      </c>
      <c r="R1261" s="15" t="n">
        <f aca="false">IF(OR(J1261=1,M1261&lt;=Inputs!$B$12),1,0)</f>
        <v>1</v>
      </c>
      <c r="S1261" s="15" t="n">
        <f aca="false">IF(OR(J1261=1,N1261&lt;=O1261),1,0)</f>
        <v>1</v>
      </c>
      <c r="T1261" s="15" t="str">
        <f aca="false">IF(J1261=1,"OFFLINE",IF(AND(Q1261&gt;=Inputs!$B$15,R1261=1,S1261=1,P1261&lt;=L1261),"PASS","FAIL"))</f>
        <v>OFFLINE</v>
      </c>
    </row>
    <row r="1262" customFormat="false" ht="15" hidden="false" customHeight="false" outlineLevel="0" collapsed="false">
      <c r="A1262" s="14" t="s">
        <v>1030</v>
      </c>
      <c r="B1262" s="14" t="s">
        <v>1019</v>
      </c>
      <c r="C1262" s="14" t="s">
        <v>188</v>
      </c>
      <c r="D1262" s="14" t="s">
        <v>188</v>
      </c>
      <c r="E1262" s="14" t="s">
        <v>172</v>
      </c>
      <c r="F1262" s="14" t="s">
        <v>183</v>
      </c>
      <c r="G1262" s="14" t="n">
        <v>3</v>
      </c>
      <c r="H1262" s="14" t="s">
        <v>158</v>
      </c>
      <c r="I1262" s="14" t="s">
        <v>892</v>
      </c>
      <c r="J1262" s="15" t="n">
        <f aca="false">IF(B1262="SITE LOSS",IF(D1262=C1262,1,0),IF(B1262="REGION LOSS",IF(E1262=C1262,1,0),0))</f>
        <v>1</v>
      </c>
      <c r="K1262" s="15" t="n">
        <f aca="false">IF(B1262="SITE LOSS",IF(COUNTIFS('Site Dockets'!$B$7:$B$24,C1262,'Site Dockets'!$C$7:$C$24,F1262)&gt;0,1,0),IF(B1262="REGION LOSS",IF(COUNTIFS('Site Dockets'!$E$7:$E$24,C1262,'Site Dockets'!$C$7:$C$24,F1262)&gt;0,1,0),0))</f>
        <v>1</v>
      </c>
      <c r="L1262" s="15" t="n">
        <f aca="false">IF(J1262=1,0,Inputs!$B$11)</f>
        <v>0</v>
      </c>
      <c r="M1262" s="15" t="n">
        <f aca="false">IF(J1262=1,0,Inputs!$B$12)</f>
        <v>0</v>
      </c>
      <c r="N1262" s="15" t="n">
        <f aca="false">IF(J1262=1,0,IF(OR(AND(OR(B1262="SITE LOSS",B1262="REGION LOSS"),K1262=1),AND(B1262="ROLE COMPROMISE",H1262=C1262)),Inputs!$B$13,Inputs!$B$14))</f>
        <v>0</v>
      </c>
      <c r="O1262" s="15" t="n">
        <f aca="false">IF(J1262=1,0,Inputs!$B$13)</f>
        <v>0</v>
      </c>
      <c r="P1262" s="15" t="n">
        <f aca="false">SUM(M1262:N1262)</f>
        <v>0</v>
      </c>
      <c r="Q1262" s="15" t="str">
        <f aca="false">IF(J1262=1,"",L1262-P1262)</f>
        <v/>
      </c>
      <c r="R1262" s="15" t="n">
        <f aca="false">IF(OR(J1262=1,M1262&lt;=Inputs!$B$12),1,0)</f>
        <v>1</v>
      </c>
      <c r="S1262" s="15" t="n">
        <f aca="false">IF(OR(J1262=1,N1262&lt;=O1262),1,0)</f>
        <v>1</v>
      </c>
      <c r="T1262" s="15" t="str">
        <f aca="false">IF(J1262=1,"OFFLINE",IF(AND(Q1262&gt;=Inputs!$B$15,R1262=1,S1262=1,P1262&lt;=L1262),"PASS","FAIL"))</f>
        <v>OFFLINE</v>
      </c>
    </row>
    <row r="1263" customFormat="false" ht="15" hidden="false" customHeight="false" outlineLevel="0" collapsed="false">
      <c r="A1263" s="14" t="s">
        <v>1030</v>
      </c>
      <c r="B1263" s="14" t="s">
        <v>1019</v>
      </c>
      <c r="C1263" s="14" t="s">
        <v>188</v>
      </c>
      <c r="D1263" s="14" t="s">
        <v>188</v>
      </c>
      <c r="E1263" s="14" t="s">
        <v>172</v>
      </c>
      <c r="F1263" s="14" t="s">
        <v>183</v>
      </c>
      <c r="G1263" s="14" t="n">
        <v>3</v>
      </c>
      <c r="H1263" s="14" t="s">
        <v>158</v>
      </c>
      <c r="I1263" s="14" t="s">
        <v>811</v>
      </c>
      <c r="J1263" s="15" t="n">
        <f aca="false">IF(B1263="SITE LOSS",IF(D1263=C1263,1,0),IF(B1263="REGION LOSS",IF(E1263=C1263,1,0),0))</f>
        <v>1</v>
      </c>
      <c r="K1263" s="15" t="n">
        <f aca="false">IF(B1263="SITE LOSS",IF(COUNTIFS('Site Dockets'!$B$7:$B$24,C1263,'Site Dockets'!$C$7:$C$24,F1263)&gt;0,1,0),IF(B1263="REGION LOSS",IF(COUNTIFS('Site Dockets'!$E$7:$E$24,C1263,'Site Dockets'!$C$7:$C$24,F1263)&gt;0,1,0),0))</f>
        <v>1</v>
      </c>
      <c r="L1263" s="15" t="n">
        <f aca="false">IF(J1263=1,0,Inputs!$B$11)</f>
        <v>0</v>
      </c>
      <c r="M1263" s="15" t="n">
        <f aca="false">IF(J1263=1,0,Inputs!$B$12)</f>
        <v>0</v>
      </c>
      <c r="N1263" s="15" t="n">
        <f aca="false">IF(J1263=1,0,IF(OR(AND(OR(B1263="SITE LOSS",B1263="REGION LOSS"),K1263=1),AND(B1263="ROLE COMPROMISE",H1263=C1263)),Inputs!$B$13,Inputs!$B$14))</f>
        <v>0</v>
      </c>
      <c r="O1263" s="15" t="n">
        <f aca="false">IF(J1263=1,0,Inputs!$B$13)</f>
        <v>0</v>
      </c>
      <c r="P1263" s="15" t="n">
        <f aca="false">SUM(M1263:N1263)</f>
        <v>0</v>
      </c>
      <c r="Q1263" s="15" t="str">
        <f aca="false">IF(J1263=1,"",L1263-P1263)</f>
        <v/>
      </c>
      <c r="R1263" s="15" t="n">
        <f aca="false">IF(OR(J1263=1,M1263&lt;=Inputs!$B$12),1,0)</f>
        <v>1</v>
      </c>
      <c r="S1263" s="15" t="n">
        <f aca="false">IF(OR(J1263=1,N1263&lt;=O1263),1,0)</f>
        <v>1</v>
      </c>
      <c r="T1263" s="15" t="str">
        <f aca="false">IF(J1263=1,"OFFLINE",IF(AND(Q1263&gt;=Inputs!$B$15,R1263=1,S1263=1,P1263&lt;=L1263),"PASS","FAIL"))</f>
        <v>OFFLINE</v>
      </c>
    </row>
    <row r="1264" customFormat="false" ht="15" hidden="false" customHeight="false" outlineLevel="0" collapsed="false">
      <c r="A1264" s="14" t="s">
        <v>1030</v>
      </c>
      <c r="B1264" s="14" t="s">
        <v>1019</v>
      </c>
      <c r="C1264" s="14" t="s">
        <v>188</v>
      </c>
      <c r="D1264" s="14" t="s">
        <v>188</v>
      </c>
      <c r="E1264" s="14" t="s">
        <v>172</v>
      </c>
      <c r="F1264" s="14" t="s">
        <v>183</v>
      </c>
      <c r="G1264" s="14" t="n">
        <v>3</v>
      </c>
      <c r="H1264" s="14" t="s">
        <v>158</v>
      </c>
      <c r="I1264" s="14" t="s">
        <v>895</v>
      </c>
      <c r="J1264" s="15" t="n">
        <f aca="false">IF(B1264="SITE LOSS",IF(D1264=C1264,1,0),IF(B1264="REGION LOSS",IF(E1264=C1264,1,0),0))</f>
        <v>1</v>
      </c>
      <c r="K1264" s="15" t="n">
        <f aca="false">IF(B1264="SITE LOSS",IF(COUNTIFS('Site Dockets'!$B$7:$B$24,C1264,'Site Dockets'!$C$7:$C$24,F1264)&gt;0,1,0),IF(B1264="REGION LOSS",IF(COUNTIFS('Site Dockets'!$E$7:$E$24,C1264,'Site Dockets'!$C$7:$C$24,F1264)&gt;0,1,0),0))</f>
        <v>1</v>
      </c>
      <c r="L1264" s="15" t="n">
        <f aca="false">IF(J1264=1,0,Inputs!$B$11)</f>
        <v>0</v>
      </c>
      <c r="M1264" s="15" t="n">
        <f aca="false">IF(J1264=1,0,Inputs!$B$12)</f>
        <v>0</v>
      </c>
      <c r="N1264" s="15" t="n">
        <f aca="false">IF(J1264=1,0,IF(OR(AND(OR(B1264="SITE LOSS",B1264="REGION LOSS"),K1264=1),AND(B1264="ROLE COMPROMISE",H1264=C1264)),Inputs!$B$13,Inputs!$B$14))</f>
        <v>0</v>
      </c>
      <c r="O1264" s="15" t="n">
        <f aca="false">IF(J1264=1,0,Inputs!$B$13)</f>
        <v>0</v>
      </c>
      <c r="P1264" s="15" t="n">
        <f aca="false">SUM(M1264:N1264)</f>
        <v>0</v>
      </c>
      <c r="Q1264" s="15" t="str">
        <f aca="false">IF(J1264=1,"",L1264-P1264)</f>
        <v/>
      </c>
      <c r="R1264" s="15" t="n">
        <f aca="false">IF(OR(J1264=1,M1264&lt;=Inputs!$B$12),1,0)</f>
        <v>1</v>
      </c>
      <c r="S1264" s="15" t="n">
        <f aca="false">IF(OR(J1264=1,N1264&lt;=O1264),1,0)</f>
        <v>1</v>
      </c>
      <c r="T1264" s="15" t="str">
        <f aca="false">IF(J1264=1,"OFFLINE",IF(AND(Q1264&gt;=Inputs!$B$15,R1264=1,S1264=1,P1264&lt;=L1264),"PASS","FAIL"))</f>
        <v>OFFLINE</v>
      </c>
    </row>
    <row r="1265" customFormat="false" ht="15" hidden="false" customHeight="false" outlineLevel="0" collapsed="false">
      <c r="A1265" s="14" t="s">
        <v>1030</v>
      </c>
      <c r="B1265" s="14" t="s">
        <v>1019</v>
      </c>
      <c r="C1265" s="14" t="s">
        <v>188</v>
      </c>
      <c r="D1265" s="14" t="s">
        <v>188</v>
      </c>
      <c r="E1265" s="14" t="s">
        <v>172</v>
      </c>
      <c r="F1265" s="14" t="s">
        <v>183</v>
      </c>
      <c r="G1265" s="14" t="n">
        <v>3</v>
      </c>
      <c r="H1265" s="14" t="s">
        <v>158</v>
      </c>
      <c r="I1265" s="14" t="s">
        <v>897</v>
      </c>
      <c r="J1265" s="15" t="n">
        <f aca="false">IF(B1265="SITE LOSS",IF(D1265=C1265,1,0),IF(B1265="REGION LOSS",IF(E1265=C1265,1,0),0))</f>
        <v>1</v>
      </c>
      <c r="K1265" s="15" t="n">
        <f aca="false">IF(B1265="SITE LOSS",IF(COUNTIFS('Site Dockets'!$B$7:$B$24,C1265,'Site Dockets'!$C$7:$C$24,F1265)&gt;0,1,0),IF(B1265="REGION LOSS",IF(COUNTIFS('Site Dockets'!$E$7:$E$24,C1265,'Site Dockets'!$C$7:$C$24,F1265)&gt;0,1,0),0))</f>
        <v>1</v>
      </c>
      <c r="L1265" s="15" t="n">
        <f aca="false">IF(J1265=1,0,Inputs!$B$11)</f>
        <v>0</v>
      </c>
      <c r="M1265" s="15" t="n">
        <f aca="false">IF(J1265=1,0,Inputs!$B$12)</f>
        <v>0</v>
      </c>
      <c r="N1265" s="15" t="n">
        <f aca="false">IF(J1265=1,0,IF(OR(AND(OR(B1265="SITE LOSS",B1265="REGION LOSS"),K1265=1),AND(B1265="ROLE COMPROMISE",H1265=C1265)),Inputs!$B$13,Inputs!$B$14))</f>
        <v>0</v>
      </c>
      <c r="O1265" s="15" t="n">
        <f aca="false">IF(J1265=1,0,Inputs!$B$13)</f>
        <v>0</v>
      </c>
      <c r="P1265" s="15" t="n">
        <f aca="false">SUM(M1265:N1265)</f>
        <v>0</v>
      </c>
      <c r="Q1265" s="15" t="str">
        <f aca="false">IF(J1265=1,"",L1265-P1265)</f>
        <v/>
      </c>
      <c r="R1265" s="15" t="n">
        <f aca="false">IF(OR(J1265=1,M1265&lt;=Inputs!$B$12),1,0)</f>
        <v>1</v>
      </c>
      <c r="S1265" s="15" t="n">
        <f aca="false">IF(OR(J1265=1,N1265&lt;=O1265),1,0)</f>
        <v>1</v>
      </c>
      <c r="T1265" s="15" t="str">
        <f aca="false">IF(J1265=1,"OFFLINE",IF(AND(Q1265&gt;=Inputs!$B$15,R1265=1,S1265=1,P1265&lt;=L1265),"PASS","FAIL"))</f>
        <v>OFFLINE</v>
      </c>
    </row>
    <row r="1266" customFormat="false" ht="15" hidden="false" customHeight="false" outlineLevel="0" collapsed="false">
      <c r="A1266" s="14" t="s">
        <v>1030</v>
      </c>
      <c r="B1266" s="14" t="s">
        <v>1019</v>
      </c>
      <c r="C1266" s="14" t="s">
        <v>188</v>
      </c>
      <c r="D1266" s="14" t="s">
        <v>188</v>
      </c>
      <c r="E1266" s="14" t="s">
        <v>172</v>
      </c>
      <c r="F1266" s="14" t="s">
        <v>183</v>
      </c>
      <c r="G1266" s="14" t="n">
        <v>3</v>
      </c>
      <c r="H1266" s="14" t="s">
        <v>158</v>
      </c>
      <c r="I1266" s="14" t="s">
        <v>899</v>
      </c>
      <c r="J1266" s="15" t="n">
        <f aca="false">IF(B1266="SITE LOSS",IF(D1266=C1266,1,0),IF(B1266="REGION LOSS",IF(E1266=C1266,1,0),0))</f>
        <v>1</v>
      </c>
      <c r="K1266" s="15" t="n">
        <f aca="false">IF(B1266="SITE LOSS",IF(COUNTIFS('Site Dockets'!$B$7:$B$24,C1266,'Site Dockets'!$C$7:$C$24,F1266)&gt;0,1,0),IF(B1266="REGION LOSS",IF(COUNTIFS('Site Dockets'!$E$7:$E$24,C1266,'Site Dockets'!$C$7:$C$24,F1266)&gt;0,1,0),0))</f>
        <v>1</v>
      </c>
      <c r="L1266" s="15" t="n">
        <f aca="false">IF(J1266=1,0,Inputs!$B$11)</f>
        <v>0</v>
      </c>
      <c r="M1266" s="15" t="n">
        <f aca="false">IF(J1266=1,0,Inputs!$B$12)</f>
        <v>0</v>
      </c>
      <c r="N1266" s="15" t="n">
        <f aca="false">IF(J1266=1,0,IF(OR(AND(OR(B1266="SITE LOSS",B1266="REGION LOSS"),K1266=1),AND(B1266="ROLE COMPROMISE",H1266=C1266)),Inputs!$B$13,Inputs!$B$14))</f>
        <v>0</v>
      </c>
      <c r="O1266" s="15" t="n">
        <f aca="false">IF(J1266=1,0,Inputs!$B$13)</f>
        <v>0</v>
      </c>
      <c r="P1266" s="15" t="n">
        <f aca="false">SUM(M1266:N1266)</f>
        <v>0</v>
      </c>
      <c r="Q1266" s="15" t="str">
        <f aca="false">IF(J1266=1,"",L1266-P1266)</f>
        <v/>
      </c>
      <c r="R1266" s="15" t="n">
        <f aca="false">IF(OR(J1266=1,M1266&lt;=Inputs!$B$12),1,0)</f>
        <v>1</v>
      </c>
      <c r="S1266" s="15" t="n">
        <f aca="false">IF(OR(J1266=1,N1266&lt;=O1266),1,0)</f>
        <v>1</v>
      </c>
      <c r="T1266" s="15" t="str">
        <f aca="false">IF(J1266=1,"OFFLINE",IF(AND(Q1266&gt;=Inputs!$B$15,R1266=1,S1266=1,P1266&lt;=L1266),"PASS","FAIL"))</f>
        <v>OFFLINE</v>
      </c>
    </row>
    <row r="1267" customFormat="false" ht="15" hidden="false" customHeight="false" outlineLevel="0" collapsed="false">
      <c r="A1267" s="14" t="s">
        <v>1030</v>
      </c>
      <c r="B1267" s="14" t="s">
        <v>1019</v>
      </c>
      <c r="C1267" s="14" t="s">
        <v>188</v>
      </c>
      <c r="D1267" s="14" t="s">
        <v>190</v>
      </c>
      <c r="E1267" s="14" t="s">
        <v>152</v>
      </c>
      <c r="F1267" s="14" t="s">
        <v>191</v>
      </c>
      <c r="G1267" s="14" t="n">
        <v>1</v>
      </c>
      <c r="H1267" s="14" t="s">
        <v>154</v>
      </c>
      <c r="I1267" s="14" t="s">
        <v>890</v>
      </c>
      <c r="J1267" s="15" t="n">
        <f aca="false">IF(B1267="SITE LOSS",IF(D1267=C1267,1,0),IF(B1267="REGION LOSS",IF(E1267=C1267,1,0),0))</f>
        <v>0</v>
      </c>
      <c r="K1267" s="15" t="n">
        <f aca="false">IF(B1267="SITE LOSS",IF(COUNTIFS('Site Dockets'!$B$7:$B$24,C1267,'Site Dockets'!$C$7:$C$24,F1267)&gt;0,1,0),IF(B1267="REGION LOSS",IF(COUNTIFS('Site Dockets'!$E$7:$E$24,C1267,'Site Dockets'!$C$7:$C$24,F1267)&gt;0,1,0),0))</f>
        <v>0</v>
      </c>
      <c r="L1267" s="15" t="n">
        <f aca="false">IF(J1267=1,0,Inputs!$B$11)</f>
        <v>100</v>
      </c>
      <c r="M1267" s="15" t="n">
        <f aca="false">IF(J1267=1,0,Inputs!$B$12)</f>
        <v>75</v>
      </c>
      <c r="N1267" s="15" t="n">
        <f aca="false">IF(J1267=1,0,IF(OR(AND(OR(B1267="SITE LOSS",B1267="REGION LOSS"),K1267=1),AND(B1267="ROLE COMPROMISE",H1267=C1267)),Inputs!$B$13,Inputs!$B$14))</f>
        <v>10</v>
      </c>
      <c r="O1267" s="15" t="n">
        <f aca="false">IF(J1267=1,0,Inputs!$B$13)</f>
        <v>20</v>
      </c>
      <c r="P1267" s="15" t="n">
        <f aca="false">SUM(M1267:N1267)</f>
        <v>85</v>
      </c>
      <c r="Q1267" s="15" t="n">
        <f aca="false">IF(J1267=1,"",L1267-P1267)</f>
        <v>15</v>
      </c>
      <c r="R1267" s="15" t="n">
        <f aca="false">IF(OR(J1267=1,M1267&lt;=Inputs!$B$12),1,0)</f>
        <v>1</v>
      </c>
      <c r="S1267" s="15" t="n">
        <f aca="false">IF(OR(J1267=1,N1267&lt;=O1267),1,0)</f>
        <v>1</v>
      </c>
      <c r="T1267" s="15" t="str">
        <f aca="false">IF(J1267=1,"OFFLINE",IF(AND(Q1267&gt;=Inputs!$B$15,R1267=1,S1267=1,P1267&lt;=L1267),"PASS","FAIL"))</f>
        <v>PASS</v>
      </c>
    </row>
    <row r="1268" customFormat="false" ht="15" hidden="false" customHeight="false" outlineLevel="0" collapsed="false">
      <c r="A1268" s="14" t="s">
        <v>1030</v>
      </c>
      <c r="B1268" s="14" t="s">
        <v>1019</v>
      </c>
      <c r="C1268" s="14" t="s">
        <v>188</v>
      </c>
      <c r="D1268" s="14" t="s">
        <v>190</v>
      </c>
      <c r="E1268" s="14" t="s">
        <v>152</v>
      </c>
      <c r="F1268" s="14" t="s">
        <v>191</v>
      </c>
      <c r="G1268" s="14" t="n">
        <v>1</v>
      </c>
      <c r="H1268" s="14" t="s">
        <v>154</v>
      </c>
      <c r="I1268" s="14" t="s">
        <v>892</v>
      </c>
      <c r="J1268" s="15" t="n">
        <f aca="false">IF(B1268="SITE LOSS",IF(D1268=C1268,1,0),IF(B1268="REGION LOSS",IF(E1268=C1268,1,0),0))</f>
        <v>0</v>
      </c>
      <c r="K1268" s="15" t="n">
        <f aca="false">IF(B1268="SITE LOSS",IF(COUNTIFS('Site Dockets'!$B$7:$B$24,C1268,'Site Dockets'!$C$7:$C$24,F1268)&gt;0,1,0),IF(B1268="REGION LOSS",IF(COUNTIFS('Site Dockets'!$E$7:$E$24,C1268,'Site Dockets'!$C$7:$C$24,F1268)&gt;0,1,0),0))</f>
        <v>0</v>
      </c>
      <c r="L1268" s="15" t="n">
        <f aca="false">IF(J1268=1,0,Inputs!$B$11)</f>
        <v>100</v>
      </c>
      <c r="M1268" s="15" t="n">
        <f aca="false">IF(J1268=1,0,Inputs!$B$12)</f>
        <v>75</v>
      </c>
      <c r="N1268" s="15" t="n">
        <f aca="false">IF(J1268=1,0,IF(OR(AND(OR(B1268="SITE LOSS",B1268="REGION LOSS"),K1268=1),AND(B1268="ROLE COMPROMISE",H1268=C1268)),Inputs!$B$13,Inputs!$B$14))</f>
        <v>10</v>
      </c>
      <c r="O1268" s="15" t="n">
        <f aca="false">IF(J1268=1,0,Inputs!$B$13)</f>
        <v>20</v>
      </c>
      <c r="P1268" s="15" t="n">
        <f aca="false">SUM(M1268:N1268)</f>
        <v>85</v>
      </c>
      <c r="Q1268" s="15" t="n">
        <f aca="false">IF(J1268=1,"",L1268-P1268)</f>
        <v>15</v>
      </c>
      <c r="R1268" s="15" t="n">
        <f aca="false">IF(OR(J1268=1,M1268&lt;=Inputs!$B$12),1,0)</f>
        <v>1</v>
      </c>
      <c r="S1268" s="15" t="n">
        <f aca="false">IF(OR(J1268=1,N1268&lt;=O1268),1,0)</f>
        <v>1</v>
      </c>
      <c r="T1268" s="15" t="str">
        <f aca="false">IF(J1268=1,"OFFLINE",IF(AND(Q1268&gt;=Inputs!$B$15,R1268=1,S1268=1,P1268&lt;=L1268),"PASS","FAIL"))</f>
        <v>PASS</v>
      </c>
    </row>
    <row r="1269" customFormat="false" ht="15" hidden="false" customHeight="false" outlineLevel="0" collapsed="false">
      <c r="A1269" s="14" t="s">
        <v>1030</v>
      </c>
      <c r="B1269" s="14" t="s">
        <v>1019</v>
      </c>
      <c r="C1269" s="14" t="s">
        <v>188</v>
      </c>
      <c r="D1269" s="14" t="s">
        <v>190</v>
      </c>
      <c r="E1269" s="14" t="s">
        <v>152</v>
      </c>
      <c r="F1269" s="14" t="s">
        <v>191</v>
      </c>
      <c r="G1269" s="14" t="n">
        <v>1</v>
      </c>
      <c r="H1269" s="14" t="s">
        <v>154</v>
      </c>
      <c r="I1269" s="14" t="s">
        <v>811</v>
      </c>
      <c r="J1269" s="15" t="n">
        <f aca="false">IF(B1269="SITE LOSS",IF(D1269=C1269,1,0),IF(B1269="REGION LOSS",IF(E1269=C1269,1,0),0))</f>
        <v>0</v>
      </c>
      <c r="K1269" s="15" t="n">
        <f aca="false">IF(B1269="SITE LOSS",IF(COUNTIFS('Site Dockets'!$B$7:$B$24,C1269,'Site Dockets'!$C$7:$C$24,F1269)&gt;0,1,0),IF(B1269="REGION LOSS",IF(COUNTIFS('Site Dockets'!$E$7:$E$24,C1269,'Site Dockets'!$C$7:$C$24,F1269)&gt;0,1,0),0))</f>
        <v>0</v>
      </c>
      <c r="L1269" s="15" t="n">
        <f aca="false">IF(J1269=1,0,Inputs!$B$11)</f>
        <v>100</v>
      </c>
      <c r="M1269" s="15" t="n">
        <f aca="false">IF(J1269=1,0,Inputs!$B$12)</f>
        <v>75</v>
      </c>
      <c r="N1269" s="15" t="n">
        <f aca="false">IF(J1269=1,0,IF(OR(AND(OR(B1269="SITE LOSS",B1269="REGION LOSS"),K1269=1),AND(B1269="ROLE COMPROMISE",H1269=C1269)),Inputs!$B$13,Inputs!$B$14))</f>
        <v>10</v>
      </c>
      <c r="O1269" s="15" t="n">
        <f aca="false">IF(J1269=1,0,Inputs!$B$13)</f>
        <v>20</v>
      </c>
      <c r="P1269" s="15" t="n">
        <f aca="false">SUM(M1269:N1269)</f>
        <v>85</v>
      </c>
      <c r="Q1269" s="15" t="n">
        <f aca="false">IF(J1269=1,"",L1269-P1269)</f>
        <v>15</v>
      </c>
      <c r="R1269" s="15" t="n">
        <f aca="false">IF(OR(J1269=1,M1269&lt;=Inputs!$B$12),1,0)</f>
        <v>1</v>
      </c>
      <c r="S1269" s="15" t="n">
        <f aca="false">IF(OR(J1269=1,N1269&lt;=O1269),1,0)</f>
        <v>1</v>
      </c>
      <c r="T1269" s="15" t="str">
        <f aca="false">IF(J1269=1,"OFFLINE",IF(AND(Q1269&gt;=Inputs!$B$15,R1269=1,S1269=1,P1269&lt;=L1269),"PASS","FAIL"))</f>
        <v>PASS</v>
      </c>
    </row>
    <row r="1270" customFormat="false" ht="15" hidden="false" customHeight="false" outlineLevel="0" collapsed="false">
      <c r="A1270" s="14" t="s">
        <v>1030</v>
      </c>
      <c r="B1270" s="14" t="s">
        <v>1019</v>
      </c>
      <c r="C1270" s="14" t="s">
        <v>188</v>
      </c>
      <c r="D1270" s="14" t="s">
        <v>190</v>
      </c>
      <c r="E1270" s="14" t="s">
        <v>152</v>
      </c>
      <c r="F1270" s="14" t="s">
        <v>191</v>
      </c>
      <c r="G1270" s="14" t="n">
        <v>1</v>
      </c>
      <c r="H1270" s="14" t="s">
        <v>154</v>
      </c>
      <c r="I1270" s="14" t="s">
        <v>895</v>
      </c>
      <c r="J1270" s="15" t="n">
        <f aca="false">IF(B1270="SITE LOSS",IF(D1270=C1270,1,0),IF(B1270="REGION LOSS",IF(E1270=C1270,1,0),0))</f>
        <v>0</v>
      </c>
      <c r="K1270" s="15" t="n">
        <f aca="false">IF(B1270="SITE LOSS",IF(COUNTIFS('Site Dockets'!$B$7:$B$24,C1270,'Site Dockets'!$C$7:$C$24,F1270)&gt;0,1,0),IF(B1270="REGION LOSS",IF(COUNTIFS('Site Dockets'!$E$7:$E$24,C1270,'Site Dockets'!$C$7:$C$24,F1270)&gt;0,1,0),0))</f>
        <v>0</v>
      </c>
      <c r="L1270" s="15" t="n">
        <f aca="false">IF(J1270=1,0,Inputs!$B$11)</f>
        <v>100</v>
      </c>
      <c r="M1270" s="15" t="n">
        <f aca="false">IF(J1270=1,0,Inputs!$B$12)</f>
        <v>75</v>
      </c>
      <c r="N1270" s="15" t="n">
        <f aca="false">IF(J1270=1,0,IF(OR(AND(OR(B1270="SITE LOSS",B1270="REGION LOSS"),K1270=1),AND(B1270="ROLE COMPROMISE",H1270=C1270)),Inputs!$B$13,Inputs!$B$14))</f>
        <v>10</v>
      </c>
      <c r="O1270" s="15" t="n">
        <f aca="false">IF(J1270=1,0,Inputs!$B$13)</f>
        <v>20</v>
      </c>
      <c r="P1270" s="15" t="n">
        <f aca="false">SUM(M1270:N1270)</f>
        <v>85</v>
      </c>
      <c r="Q1270" s="15" t="n">
        <f aca="false">IF(J1270=1,"",L1270-P1270)</f>
        <v>15</v>
      </c>
      <c r="R1270" s="15" t="n">
        <f aca="false">IF(OR(J1270=1,M1270&lt;=Inputs!$B$12),1,0)</f>
        <v>1</v>
      </c>
      <c r="S1270" s="15" t="n">
        <f aca="false">IF(OR(J1270=1,N1270&lt;=O1270),1,0)</f>
        <v>1</v>
      </c>
      <c r="T1270" s="15" t="str">
        <f aca="false">IF(J1270=1,"OFFLINE",IF(AND(Q1270&gt;=Inputs!$B$15,R1270=1,S1270=1,P1270&lt;=L1270),"PASS","FAIL"))</f>
        <v>PASS</v>
      </c>
    </row>
    <row r="1271" customFormat="false" ht="15" hidden="false" customHeight="false" outlineLevel="0" collapsed="false">
      <c r="A1271" s="14" t="s">
        <v>1030</v>
      </c>
      <c r="B1271" s="14" t="s">
        <v>1019</v>
      </c>
      <c r="C1271" s="14" t="s">
        <v>188</v>
      </c>
      <c r="D1271" s="14" t="s">
        <v>190</v>
      </c>
      <c r="E1271" s="14" t="s">
        <v>152</v>
      </c>
      <c r="F1271" s="14" t="s">
        <v>191</v>
      </c>
      <c r="G1271" s="14" t="n">
        <v>1</v>
      </c>
      <c r="H1271" s="14" t="s">
        <v>154</v>
      </c>
      <c r="I1271" s="14" t="s">
        <v>897</v>
      </c>
      <c r="J1271" s="15" t="n">
        <f aca="false">IF(B1271="SITE LOSS",IF(D1271=C1271,1,0),IF(B1271="REGION LOSS",IF(E1271=C1271,1,0),0))</f>
        <v>0</v>
      </c>
      <c r="K1271" s="15" t="n">
        <f aca="false">IF(B1271="SITE LOSS",IF(COUNTIFS('Site Dockets'!$B$7:$B$24,C1271,'Site Dockets'!$C$7:$C$24,F1271)&gt;0,1,0),IF(B1271="REGION LOSS",IF(COUNTIFS('Site Dockets'!$E$7:$E$24,C1271,'Site Dockets'!$C$7:$C$24,F1271)&gt;0,1,0),0))</f>
        <v>0</v>
      </c>
      <c r="L1271" s="15" t="n">
        <f aca="false">IF(J1271=1,0,Inputs!$B$11)</f>
        <v>100</v>
      </c>
      <c r="M1271" s="15" t="n">
        <f aca="false">IF(J1271=1,0,Inputs!$B$12)</f>
        <v>75</v>
      </c>
      <c r="N1271" s="15" t="n">
        <f aca="false">IF(J1271=1,0,IF(OR(AND(OR(B1271="SITE LOSS",B1271="REGION LOSS"),K1271=1),AND(B1271="ROLE COMPROMISE",H1271=C1271)),Inputs!$B$13,Inputs!$B$14))</f>
        <v>10</v>
      </c>
      <c r="O1271" s="15" t="n">
        <f aca="false">IF(J1271=1,0,Inputs!$B$13)</f>
        <v>20</v>
      </c>
      <c r="P1271" s="15" t="n">
        <f aca="false">SUM(M1271:N1271)</f>
        <v>85</v>
      </c>
      <c r="Q1271" s="15" t="n">
        <f aca="false">IF(J1271=1,"",L1271-P1271)</f>
        <v>15</v>
      </c>
      <c r="R1271" s="15" t="n">
        <f aca="false">IF(OR(J1271=1,M1271&lt;=Inputs!$B$12),1,0)</f>
        <v>1</v>
      </c>
      <c r="S1271" s="15" t="n">
        <f aca="false">IF(OR(J1271=1,N1271&lt;=O1271),1,0)</f>
        <v>1</v>
      </c>
      <c r="T1271" s="15" t="str">
        <f aca="false">IF(J1271=1,"OFFLINE",IF(AND(Q1271&gt;=Inputs!$B$15,R1271=1,S1271=1,P1271&lt;=L1271),"PASS","FAIL"))</f>
        <v>PASS</v>
      </c>
    </row>
    <row r="1272" customFormat="false" ht="15" hidden="false" customHeight="false" outlineLevel="0" collapsed="false">
      <c r="A1272" s="14" t="s">
        <v>1030</v>
      </c>
      <c r="B1272" s="14" t="s">
        <v>1019</v>
      </c>
      <c r="C1272" s="14" t="s">
        <v>188</v>
      </c>
      <c r="D1272" s="14" t="s">
        <v>190</v>
      </c>
      <c r="E1272" s="14" t="s">
        <v>152</v>
      </c>
      <c r="F1272" s="14" t="s">
        <v>191</v>
      </c>
      <c r="G1272" s="14" t="n">
        <v>1</v>
      </c>
      <c r="H1272" s="14" t="s">
        <v>154</v>
      </c>
      <c r="I1272" s="14" t="s">
        <v>899</v>
      </c>
      <c r="J1272" s="15" t="n">
        <f aca="false">IF(B1272="SITE LOSS",IF(D1272=C1272,1,0),IF(B1272="REGION LOSS",IF(E1272=C1272,1,0),0))</f>
        <v>0</v>
      </c>
      <c r="K1272" s="15" t="n">
        <f aca="false">IF(B1272="SITE LOSS",IF(COUNTIFS('Site Dockets'!$B$7:$B$24,C1272,'Site Dockets'!$C$7:$C$24,F1272)&gt;0,1,0),IF(B1272="REGION LOSS",IF(COUNTIFS('Site Dockets'!$E$7:$E$24,C1272,'Site Dockets'!$C$7:$C$24,F1272)&gt;0,1,0),0))</f>
        <v>0</v>
      </c>
      <c r="L1272" s="15" t="n">
        <f aca="false">IF(J1272=1,0,Inputs!$B$11)</f>
        <v>100</v>
      </c>
      <c r="M1272" s="15" t="n">
        <f aca="false">IF(J1272=1,0,Inputs!$B$12)</f>
        <v>75</v>
      </c>
      <c r="N1272" s="15" t="n">
        <f aca="false">IF(J1272=1,0,IF(OR(AND(OR(B1272="SITE LOSS",B1272="REGION LOSS"),K1272=1),AND(B1272="ROLE COMPROMISE",H1272=C1272)),Inputs!$B$13,Inputs!$B$14))</f>
        <v>10</v>
      </c>
      <c r="O1272" s="15" t="n">
        <f aca="false">IF(J1272=1,0,Inputs!$B$13)</f>
        <v>20</v>
      </c>
      <c r="P1272" s="15" t="n">
        <f aca="false">SUM(M1272:N1272)</f>
        <v>85</v>
      </c>
      <c r="Q1272" s="15" t="n">
        <f aca="false">IF(J1272=1,"",L1272-P1272)</f>
        <v>15</v>
      </c>
      <c r="R1272" s="15" t="n">
        <f aca="false">IF(OR(J1272=1,M1272&lt;=Inputs!$B$12),1,0)</f>
        <v>1</v>
      </c>
      <c r="S1272" s="15" t="n">
        <f aca="false">IF(OR(J1272=1,N1272&lt;=O1272),1,0)</f>
        <v>1</v>
      </c>
      <c r="T1272" s="15" t="str">
        <f aca="false">IF(J1272=1,"OFFLINE",IF(AND(Q1272&gt;=Inputs!$B$15,R1272=1,S1272=1,P1272&lt;=L1272),"PASS","FAIL"))</f>
        <v>PASS</v>
      </c>
    </row>
    <row r="1273" customFormat="false" ht="15" hidden="false" customHeight="false" outlineLevel="0" collapsed="false">
      <c r="A1273" s="14" t="s">
        <v>1030</v>
      </c>
      <c r="B1273" s="14" t="s">
        <v>1019</v>
      </c>
      <c r="C1273" s="14" t="s">
        <v>188</v>
      </c>
      <c r="D1273" s="14" t="s">
        <v>194</v>
      </c>
      <c r="E1273" s="14" t="s">
        <v>169</v>
      </c>
      <c r="F1273" s="14" t="s">
        <v>191</v>
      </c>
      <c r="G1273" s="14" t="n">
        <v>2</v>
      </c>
      <c r="H1273" s="14" t="s">
        <v>153</v>
      </c>
      <c r="I1273" s="14" t="s">
        <v>890</v>
      </c>
      <c r="J1273" s="15" t="n">
        <f aca="false">IF(B1273="SITE LOSS",IF(D1273=C1273,1,0),IF(B1273="REGION LOSS",IF(E1273=C1273,1,0),0))</f>
        <v>0</v>
      </c>
      <c r="K1273" s="15" t="n">
        <f aca="false">IF(B1273="SITE LOSS",IF(COUNTIFS('Site Dockets'!$B$7:$B$24,C1273,'Site Dockets'!$C$7:$C$24,F1273)&gt;0,1,0),IF(B1273="REGION LOSS",IF(COUNTIFS('Site Dockets'!$E$7:$E$24,C1273,'Site Dockets'!$C$7:$C$24,F1273)&gt;0,1,0),0))</f>
        <v>0</v>
      </c>
      <c r="L1273" s="15" t="n">
        <f aca="false">IF(J1273=1,0,Inputs!$B$11)</f>
        <v>100</v>
      </c>
      <c r="M1273" s="15" t="n">
        <f aca="false">IF(J1273=1,0,Inputs!$B$12)</f>
        <v>75</v>
      </c>
      <c r="N1273" s="15" t="n">
        <f aca="false">IF(J1273=1,0,IF(OR(AND(OR(B1273="SITE LOSS",B1273="REGION LOSS"),K1273=1),AND(B1273="ROLE COMPROMISE",H1273=C1273)),Inputs!$B$13,Inputs!$B$14))</f>
        <v>10</v>
      </c>
      <c r="O1273" s="15" t="n">
        <f aca="false">IF(J1273=1,0,Inputs!$B$13)</f>
        <v>20</v>
      </c>
      <c r="P1273" s="15" t="n">
        <f aca="false">SUM(M1273:N1273)</f>
        <v>85</v>
      </c>
      <c r="Q1273" s="15" t="n">
        <f aca="false">IF(J1273=1,"",L1273-P1273)</f>
        <v>15</v>
      </c>
      <c r="R1273" s="15" t="n">
        <f aca="false">IF(OR(J1273=1,M1273&lt;=Inputs!$B$12),1,0)</f>
        <v>1</v>
      </c>
      <c r="S1273" s="15" t="n">
        <f aca="false">IF(OR(J1273=1,N1273&lt;=O1273),1,0)</f>
        <v>1</v>
      </c>
      <c r="T1273" s="15" t="str">
        <f aca="false">IF(J1273=1,"OFFLINE",IF(AND(Q1273&gt;=Inputs!$B$15,R1273=1,S1273=1,P1273&lt;=L1273),"PASS","FAIL"))</f>
        <v>PASS</v>
      </c>
    </row>
    <row r="1274" customFormat="false" ht="15" hidden="false" customHeight="false" outlineLevel="0" collapsed="false">
      <c r="A1274" s="14" t="s">
        <v>1030</v>
      </c>
      <c r="B1274" s="14" t="s">
        <v>1019</v>
      </c>
      <c r="C1274" s="14" t="s">
        <v>188</v>
      </c>
      <c r="D1274" s="14" t="s">
        <v>194</v>
      </c>
      <c r="E1274" s="14" t="s">
        <v>169</v>
      </c>
      <c r="F1274" s="14" t="s">
        <v>191</v>
      </c>
      <c r="G1274" s="14" t="n">
        <v>2</v>
      </c>
      <c r="H1274" s="14" t="s">
        <v>153</v>
      </c>
      <c r="I1274" s="14" t="s">
        <v>892</v>
      </c>
      <c r="J1274" s="15" t="n">
        <f aca="false">IF(B1274="SITE LOSS",IF(D1274=C1274,1,0),IF(B1274="REGION LOSS",IF(E1274=C1274,1,0),0))</f>
        <v>0</v>
      </c>
      <c r="K1274" s="15" t="n">
        <f aca="false">IF(B1274="SITE LOSS",IF(COUNTIFS('Site Dockets'!$B$7:$B$24,C1274,'Site Dockets'!$C$7:$C$24,F1274)&gt;0,1,0),IF(B1274="REGION LOSS",IF(COUNTIFS('Site Dockets'!$E$7:$E$24,C1274,'Site Dockets'!$C$7:$C$24,F1274)&gt;0,1,0),0))</f>
        <v>0</v>
      </c>
      <c r="L1274" s="15" t="n">
        <f aca="false">IF(J1274=1,0,Inputs!$B$11)</f>
        <v>100</v>
      </c>
      <c r="M1274" s="15" t="n">
        <f aca="false">IF(J1274=1,0,Inputs!$B$12)</f>
        <v>75</v>
      </c>
      <c r="N1274" s="15" t="n">
        <f aca="false">IF(J1274=1,0,IF(OR(AND(OR(B1274="SITE LOSS",B1274="REGION LOSS"),K1274=1),AND(B1274="ROLE COMPROMISE",H1274=C1274)),Inputs!$B$13,Inputs!$B$14))</f>
        <v>10</v>
      </c>
      <c r="O1274" s="15" t="n">
        <f aca="false">IF(J1274=1,0,Inputs!$B$13)</f>
        <v>20</v>
      </c>
      <c r="P1274" s="15" t="n">
        <f aca="false">SUM(M1274:N1274)</f>
        <v>85</v>
      </c>
      <c r="Q1274" s="15" t="n">
        <f aca="false">IF(J1274=1,"",L1274-P1274)</f>
        <v>15</v>
      </c>
      <c r="R1274" s="15" t="n">
        <f aca="false">IF(OR(J1274=1,M1274&lt;=Inputs!$B$12),1,0)</f>
        <v>1</v>
      </c>
      <c r="S1274" s="15" t="n">
        <f aca="false">IF(OR(J1274=1,N1274&lt;=O1274),1,0)</f>
        <v>1</v>
      </c>
      <c r="T1274" s="15" t="str">
        <f aca="false">IF(J1274=1,"OFFLINE",IF(AND(Q1274&gt;=Inputs!$B$15,R1274=1,S1274=1,P1274&lt;=L1274),"PASS","FAIL"))</f>
        <v>PASS</v>
      </c>
    </row>
    <row r="1275" customFormat="false" ht="15" hidden="false" customHeight="false" outlineLevel="0" collapsed="false">
      <c r="A1275" s="14" t="s">
        <v>1030</v>
      </c>
      <c r="B1275" s="14" t="s">
        <v>1019</v>
      </c>
      <c r="C1275" s="14" t="s">
        <v>188</v>
      </c>
      <c r="D1275" s="14" t="s">
        <v>194</v>
      </c>
      <c r="E1275" s="14" t="s">
        <v>169</v>
      </c>
      <c r="F1275" s="14" t="s">
        <v>191</v>
      </c>
      <c r="G1275" s="14" t="n">
        <v>2</v>
      </c>
      <c r="H1275" s="14" t="s">
        <v>153</v>
      </c>
      <c r="I1275" s="14" t="s">
        <v>811</v>
      </c>
      <c r="J1275" s="15" t="n">
        <f aca="false">IF(B1275="SITE LOSS",IF(D1275=C1275,1,0),IF(B1275="REGION LOSS",IF(E1275=C1275,1,0),0))</f>
        <v>0</v>
      </c>
      <c r="K1275" s="15" t="n">
        <f aca="false">IF(B1275="SITE LOSS",IF(COUNTIFS('Site Dockets'!$B$7:$B$24,C1275,'Site Dockets'!$C$7:$C$24,F1275)&gt;0,1,0),IF(B1275="REGION LOSS",IF(COUNTIFS('Site Dockets'!$E$7:$E$24,C1275,'Site Dockets'!$C$7:$C$24,F1275)&gt;0,1,0),0))</f>
        <v>0</v>
      </c>
      <c r="L1275" s="15" t="n">
        <f aca="false">IF(J1275=1,0,Inputs!$B$11)</f>
        <v>100</v>
      </c>
      <c r="M1275" s="15" t="n">
        <f aca="false">IF(J1275=1,0,Inputs!$B$12)</f>
        <v>75</v>
      </c>
      <c r="N1275" s="15" t="n">
        <f aca="false">IF(J1275=1,0,IF(OR(AND(OR(B1275="SITE LOSS",B1275="REGION LOSS"),K1275=1),AND(B1275="ROLE COMPROMISE",H1275=C1275)),Inputs!$B$13,Inputs!$B$14))</f>
        <v>10</v>
      </c>
      <c r="O1275" s="15" t="n">
        <f aca="false">IF(J1275=1,0,Inputs!$B$13)</f>
        <v>20</v>
      </c>
      <c r="P1275" s="15" t="n">
        <f aca="false">SUM(M1275:N1275)</f>
        <v>85</v>
      </c>
      <c r="Q1275" s="15" t="n">
        <f aca="false">IF(J1275=1,"",L1275-P1275)</f>
        <v>15</v>
      </c>
      <c r="R1275" s="15" t="n">
        <f aca="false">IF(OR(J1275=1,M1275&lt;=Inputs!$B$12),1,0)</f>
        <v>1</v>
      </c>
      <c r="S1275" s="15" t="n">
        <f aca="false">IF(OR(J1275=1,N1275&lt;=O1275),1,0)</f>
        <v>1</v>
      </c>
      <c r="T1275" s="15" t="str">
        <f aca="false">IF(J1275=1,"OFFLINE",IF(AND(Q1275&gt;=Inputs!$B$15,R1275=1,S1275=1,P1275&lt;=L1275),"PASS","FAIL"))</f>
        <v>PASS</v>
      </c>
    </row>
    <row r="1276" customFormat="false" ht="15" hidden="false" customHeight="false" outlineLevel="0" collapsed="false">
      <c r="A1276" s="14" t="s">
        <v>1030</v>
      </c>
      <c r="B1276" s="14" t="s">
        <v>1019</v>
      </c>
      <c r="C1276" s="14" t="s">
        <v>188</v>
      </c>
      <c r="D1276" s="14" t="s">
        <v>194</v>
      </c>
      <c r="E1276" s="14" t="s">
        <v>169</v>
      </c>
      <c r="F1276" s="14" t="s">
        <v>191</v>
      </c>
      <c r="G1276" s="14" t="n">
        <v>2</v>
      </c>
      <c r="H1276" s="14" t="s">
        <v>153</v>
      </c>
      <c r="I1276" s="14" t="s">
        <v>895</v>
      </c>
      <c r="J1276" s="15" t="n">
        <f aca="false">IF(B1276="SITE LOSS",IF(D1276=C1276,1,0),IF(B1276="REGION LOSS",IF(E1276=C1276,1,0),0))</f>
        <v>0</v>
      </c>
      <c r="K1276" s="15" t="n">
        <f aca="false">IF(B1276="SITE LOSS",IF(COUNTIFS('Site Dockets'!$B$7:$B$24,C1276,'Site Dockets'!$C$7:$C$24,F1276)&gt;0,1,0),IF(B1276="REGION LOSS",IF(COUNTIFS('Site Dockets'!$E$7:$E$24,C1276,'Site Dockets'!$C$7:$C$24,F1276)&gt;0,1,0),0))</f>
        <v>0</v>
      </c>
      <c r="L1276" s="15" t="n">
        <f aca="false">IF(J1276=1,0,Inputs!$B$11)</f>
        <v>100</v>
      </c>
      <c r="M1276" s="15" t="n">
        <f aca="false">IF(J1276=1,0,Inputs!$B$12)</f>
        <v>75</v>
      </c>
      <c r="N1276" s="15" t="n">
        <f aca="false">IF(J1276=1,0,IF(OR(AND(OR(B1276="SITE LOSS",B1276="REGION LOSS"),K1276=1),AND(B1276="ROLE COMPROMISE",H1276=C1276)),Inputs!$B$13,Inputs!$B$14))</f>
        <v>10</v>
      </c>
      <c r="O1276" s="15" t="n">
        <f aca="false">IF(J1276=1,0,Inputs!$B$13)</f>
        <v>20</v>
      </c>
      <c r="P1276" s="15" t="n">
        <f aca="false">SUM(M1276:N1276)</f>
        <v>85</v>
      </c>
      <c r="Q1276" s="15" t="n">
        <f aca="false">IF(J1276=1,"",L1276-P1276)</f>
        <v>15</v>
      </c>
      <c r="R1276" s="15" t="n">
        <f aca="false">IF(OR(J1276=1,M1276&lt;=Inputs!$B$12),1,0)</f>
        <v>1</v>
      </c>
      <c r="S1276" s="15" t="n">
        <f aca="false">IF(OR(J1276=1,N1276&lt;=O1276),1,0)</f>
        <v>1</v>
      </c>
      <c r="T1276" s="15" t="str">
        <f aca="false">IF(J1276=1,"OFFLINE",IF(AND(Q1276&gt;=Inputs!$B$15,R1276=1,S1276=1,P1276&lt;=L1276),"PASS","FAIL"))</f>
        <v>PASS</v>
      </c>
    </row>
    <row r="1277" customFormat="false" ht="15" hidden="false" customHeight="false" outlineLevel="0" collapsed="false">
      <c r="A1277" s="14" t="s">
        <v>1030</v>
      </c>
      <c r="B1277" s="14" t="s">
        <v>1019</v>
      </c>
      <c r="C1277" s="14" t="s">
        <v>188</v>
      </c>
      <c r="D1277" s="14" t="s">
        <v>194</v>
      </c>
      <c r="E1277" s="14" t="s">
        <v>169</v>
      </c>
      <c r="F1277" s="14" t="s">
        <v>191</v>
      </c>
      <c r="G1277" s="14" t="n">
        <v>2</v>
      </c>
      <c r="H1277" s="14" t="s">
        <v>153</v>
      </c>
      <c r="I1277" s="14" t="s">
        <v>897</v>
      </c>
      <c r="J1277" s="15" t="n">
        <f aca="false">IF(B1277="SITE LOSS",IF(D1277=C1277,1,0),IF(B1277="REGION LOSS",IF(E1277=C1277,1,0),0))</f>
        <v>0</v>
      </c>
      <c r="K1277" s="15" t="n">
        <f aca="false">IF(B1277="SITE LOSS",IF(COUNTIFS('Site Dockets'!$B$7:$B$24,C1277,'Site Dockets'!$C$7:$C$24,F1277)&gt;0,1,0),IF(B1277="REGION LOSS",IF(COUNTIFS('Site Dockets'!$E$7:$E$24,C1277,'Site Dockets'!$C$7:$C$24,F1277)&gt;0,1,0),0))</f>
        <v>0</v>
      </c>
      <c r="L1277" s="15" t="n">
        <f aca="false">IF(J1277=1,0,Inputs!$B$11)</f>
        <v>100</v>
      </c>
      <c r="M1277" s="15" t="n">
        <f aca="false">IF(J1277=1,0,Inputs!$B$12)</f>
        <v>75</v>
      </c>
      <c r="N1277" s="15" t="n">
        <f aca="false">IF(J1277=1,0,IF(OR(AND(OR(B1277="SITE LOSS",B1277="REGION LOSS"),K1277=1),AND(B1277="ROLE COMPROMISE",H1277=C1277)),Inputs!$B$13,Inputs!$B$14))</f>
        <v>10</v>
      </c>
      <c r="O1277" s="15" t="n">
        <f aca="false">IF(J1277=1,0,Inputs!$B$13)</f>
        <v>20</v>
      </c>
      <c r="P1277" s="15" t="n">
        <f aca="false">SUM(M1277:N1277)</f>
        <v>85</v>
      </c>
      <c r="Q1277" s="15" t="n">
        <f aca="false">IF(J1277=1,"",L1277-P1277)</f>
        <v>15</v>
      </c>
      <c r="R1277" s="15" t="n">
        <f aca="false">IF(OR(J1277=1,M1277&lt;=Inputs!$B$12),1,0)</f>
        <v>1</v>
      </c>
      <c r="S1277" s="15" t="n">
        <f aca="false">IF(OR(J1277=1,N1277&lt;=O1277),1,0)</f>
        <v>1</v>
      </c>
      <c r="T1277" s="15" t="str">
        <f aca="false">IF(J1277=1,"OFFLINE",IF(AND(Q1277&gt;=Inputs!$B$15,R1277=1,S1277=1,P1277&lt;=L1277),"PASS","FAIL"))</f>
        <v>PASS</v>
      </c>
    </row>
    <row r="1278" customFormat="false" ht="15" hidden="false" customHeight="false" outlineLevel="0" collapsed="false">
      <c r="A1278" s="14" t="s">
        <v>1030</v>
      </c>
      <c r="B1278" s="14" t="s">
        <v>1019</v>
      </c>
      <c r="C1278" s="14" t="s">
        <v>188</v>
      </c>
      <c r="D1278" s="14" t="s">
        <v>194</v>
      </c>
      <c r="E1278" s="14" t="s">
        <v>169</v>
      </c>
      <c r="F1278" s="14" t="s">
        <v>191</v>
      </c>
      <c r="G1278" s="14" t="n">
        <v>2</v>
      </c>
      <c r="H1278" s="14" t="s">
        <v>153</v>
      </c>
      <c r="I1278" s="14" t="s">
        <v>899</v>
      </c>
      <c r="J1278" s="15" t="n">
        <f aca="false">IF(B1278="SITE LOSS",IF(D1278=C1278,1,0),IF(B1278="REGION LOSS",IF(E1278=C1278,1,0),0))</f>
        <v>0</v>
      </c>
      <c r="K1278" s="15" t="n">
        <f aca="false">IF(B1278="SITE LOSS",IF(COUNTIFS('Site Dockets'!$B$7:$B$24,C1278,'Site Dockets'!$C$7:$C$24,F1278)&gt;0,1,0),IF(B1278="REGION LOSS",IF(COUNTIFS('Site Dockets'!$E$7:$E$24,C1278,'Site Dockets'!$C$7:$C$24,F1278)&gt;0,1,0),0))</f>
        <v>0</v>
      </c>
      <c r="L1278" s="15" t="n">
        <f aca="false">IF(J1278=1,0,Inputs!$B$11)</f>
        <v>100</v>
      </c>
      <c r="M1278" s="15" t="n">
        <f aca="false">IF(J1278=1,0,Inputs!$B$12)</f>
        <v>75</v>
      </c>
      <c r="N1278" s="15" t="n">
        <f aca="false">IF(J1278=1,0,IF(OR(AND(OR(B1278="SITE LOSS",B1278="REGION LOSS"),K1278=1),AND(B1278="ROLE COMPROMISE",H1278=C1278)),Inputs!$B$13,Inputs!$B$14))</f>
        <v>10</v>
      </c>
      <c r="O1278" s="15" t="n">
        <f aca="false">IF(J1278=1,0,Inputs!$B$13)</f>
        <v>20</v>
      </c>
      <c r="P1278" s="15" t="n">
        <f aca="false">SUM(M1278:N1278)</f>
        <v>85</v>
      </c>
      <c r="Q1278" s="15" t="n">
        <f aca="false">IF(J1278=1,"",L1278-P1278)</f>
        <v>15</v>
      </c>
      <c r="R1278" s="15" t="n">
        <f aca="false">IF(OR(J1278=1,M1278&lt;=Inputs!$B$12),1,0)</f>
        <v>1</v>
      </c>
      <c r="S1278" s="15" t="n">
        <f aca="false">IF(OR(J1278=1,N1278&lt;=O1278),1,0)</f>
        <v>1</v>
      </c>
      <c r="T1278" s="15" t="str">
        <f aca="false">IF(J1278=1,"OFFLINE",IF(AND(Q1278&gt;=Inputs!$B$15,R1278=1,S1278=1,P1278&lt;=L1278),"PASS","FAIL"))</f>
        <v>PASS</v>
      </c>
    </row>
    <row r="1279" customFormat="false" ht="15" hidden="false" customHeight="false" outlineLevel="0" collapsed="false">
      <c r="A1279" s="14" t="s">
        <v>1030</v>
      </c>
      <c r="B1279" s="14" t="s">
        <v>1019</v>
      </c>
      <c r="C1279" s="14" t="s">
        <v>188</v>
      </c>
      <c r="D1279" s="14" t="s">
        <v>196</v>
      </c>
      <c r="E1279" s="14" t="s">
        <v>172</v>
      </c>
      <c r="F1279" s="14" t="s">
        <v>191</v>
      </c>
      <c r="G1279" s="14" t="n">
        <v>3</v>
      </c>
      <c r="H1279" s="14" t="s">
        <v>158</v>
      </c>
      <c r="I1279" s="14" t="s">
        <v>890</v>
      </c>
      <c r="J1279" s="15" t="n">
        <f aca="false">IF(B1279="SITE LOSS",IF(D1279=C1279,1,0),IF(B1279="REGION LOSS",IF(E1279=C1279,1,0),0))</f>
        <v>0</v>
      </c>
      <c r="K1279" s="15" t="n">
        <f aca="false">IF(B1279="SITE LOSS",IF(COUNTIFS('Site Dockets'!$B$7:$B$24,C1279,'Site Dockets'!$C$7:$C$24,F1279)&gt;0,1,0),IF(B1279="REGION LOSS",IF(COUNTIFS('Site Dockets'!$E$7:$E$24,C1279,'Site Dockets'!$C$7:$C$24,F1279)&gt;0,1,0),0))</f>
        <v>0</v>
      </c>
      <c r="L1279" s="15" t="n">
        <f aca="false">IF(J1279=1,0,Inputs!$B$11)</f>
        <v>100</v>
      </c>
      <c r="M1279" s="15" t="n">
        <f aca="false">IF(J1279=1,0,Inputs!$B$12)</f>
        <v>75</v>
      </c>
      <c r="N1279" s="15" t="n">
        <f aca="false">IF(J1279=1,0,IF(OR(AND(OR(B1279="SITE LOSS",B1279="REGION LOSS"),K1279=1),AND(B1279="ROLE COMPROMISE",H1279=C1279)),Inputs!$B$13,Inputs!$B$14))</f>
        <v>10</v>
      </c>
      <c r="O1279" s="15" t="n">
        <f aca="false">IF(J1279=1,0,Inputs!$B$13)</f>
        <v>20</v>
      </c>
      <c r="P1279" s="15" t="n">
        <f aca="false">SUM(M1279:N1279)</f>
        <v>85</v>
      </c>
      <c r="Q1279" s="15" t="n">
        <f aca="false">IF(J1279=1,"",L1279-P1279)</f>
        <v>15</v>
      </c>
      <c r="R1279" s="15" t="n">
        <f aca="false">IF(OR(J1279=1,M1279&lt;=Inputs!$B$12),1,0)</f>
        <v>1</v>
      </c>
      <c r="S1279" s="15" t="n">
        <f aca="false">IF(OR(J1279=1,N1279&lt;=O1279),1,0)</f>
        <v>1</v>
      </c>
      <c r="T1279" s="15" t="str">
        <f aca="false">IF(J1279=1,"OFFLINE",IF(AND(Q1279&gt;=Inputs!$B$15,R1279=1,S1279=1,P1279&lt;=L1279),"PASS","FAIL"))</f>
        <v>PASS</v>
      </c>
    </row>
    <row r="1280" customFormat="false" ht="15" hidden="false" customHeight="false" outlineLevel="0" collapsed="false">
      <c r="A1280" s="14" t="s">
        <v>1030</v>
      </c>
      <c r="B1280" s="14" t="s">
        <v>1019</v>
      </c>
      <c r="C1280" s="14" t="s">
        <v>188</v>
      </c>
      <c r="D1280" s="14" t="s">
        <v>196</v>
      </c>
      <c r="E1280" s="14" t="s">
        <v>172</v>
      </c>
      <c r="F1280" s="14" t="s">
        <v>191</v>
      </c>
      <c r="G1280" s="14" t="n">
        <v>3</v>
      </c>
      <c r="H1280" s="14" t="s">
        <v>158</v>
      </c>
      <c r="I1280" s="14" t="s">
        <v>892</v>
      </c>
      <c r="J1280" s="15" t="n">
        <f aca="false">IF(B1280="SITE LOSS",IF(D1280=C1280,1,0),IF(B1280="REGION LOSS",IF(E1280=C1280,1,0),0))</f>
        <v>0</v>
      </c>
      <c r="K1280" s="15" t="n">
        <f aca="false">IF(B1280="SITE LOSS",IF(COUNTIFS('Site Dockets'!$B$7:$B$24,C1280,'Site Dockets'!$C$7:$C$24,F1280)&gt;0,1,0),IF(B1280="REGION LOSS",IF(COUNTIFS('Site Dockets'!$E$7:$E$24,C1280,'Site Dockets'!$C$7:$C$24,F1280)&gt;0,1,0),0))</f>
        <v>0</v>
      </c>
      <c r="L1280" s="15" t="n">
        <f aca="false">IF(J1280=1,0,Inputs!$B$11)</f>
        <v>100</v>
      </c>
      <c r="M1280" s="15" t="n">
        <f aca="false">IF(J1280=1,0,Inputs!$B$12)</f>
        <v>75</v>
      </c>
      <c r="N1280" s="15" t="n">
        <f aca="false">IF(J1280=1,0,IF(OR(AND(OR(B1280="SITE LOSS",B1280="REGION LOSS"),K1280=1),AND(B1280="ROLE COMPROMISE",H1280=C1280)),Inputs!$B$13,Inputs!$B$14))</f>
        <v>10</v>
      </c>
      <c r="O1280" s="15" t="n">
        <f aca="false">IF(J1280=1,0,Inputs!$B$13)</f>
        <v>20</v>
      </c>
      <c r="P1280" s="15" t="n">
        <f aca="false">SUM(M1280:N1280)</f>
        <v>85</v>
      </c>
      <c r="Q1280" s="15" t="n">
        <f aca="false">IF(J1280=1,"",L1280-P1280)</f>
        <v>15</v>
      </c>
      <c r="R1280" s="15" t="n">
        <f aca="false">IF(OR(J1280=1,M1280&lt;=Inputs!$B$12),1,0)</f>
        <v>1</v>
      </c>
      <c r="S1280" s="15" t="n">
        <f aca="false">IF(OR(J1280=1,N1280&lt;=O1280),1,0)</f>
        <v>1</v>
      </c>
      <c r="T1280" s="15" t="str">
        <f aca="false">IF(J1280=1,"OFFLINE",IF(AND(Q1280&gt;=Inputs!$B$15,R1280=1,S1280=1,P1280&lt;=L1280),"PASS","FAIL"))</f>
        <v>PASS</v>
      </c>
    </row>
    <row r="1281" customFormat="false" ht="15" hidden="false" customHeight="false" outlineLevel="0" collapsed="false">
      <c r="A1281" s="14" t="s">
        <v>1030</v>
      </c>
      <c r="B1281" s="14" t="s">
        <v>1019</v>
      </c>
      <c r="C1281" s="14" t="s">
        <v>188</v>
      </c>
      <c r="D1281" s="14" t="s">
        <v>196</v>
      </c>
      <c r="E1281" s="14" t="s">
        <v>172</v>
      </c>
      <c r="F1281" s="14" t="s">
        <v>191</v>
      </c>
      <c r="G1281" s="14" t="n">
        <v>3</v>
      </c>
      <c r="H1281" s="14" t="s">
        <v>158</v>
      </c>
      <c r="I1281" s="14" t="s">
        <v>811</v>
      </c>
      <c r="J1281" s="15" t="n">
        <f aca="false">IF(B1281="SITE LOSS",IF(D1281=C1281,1,0),IF(B1281="REGION LOSS",IF(E1281=C1281,1,0),0))</f>
        <v>0</v>
      </c>
      <c r="K1281" s="15" t="n">
        <f aca="false">IF(B1281="SITE LOSS",IF(COUNTIFS('Site Dockets'!$B$7:$B$24,C1281,'Site Dockets'!$C$7:$C$24,F1281)&gt;0,1,0),IF(B1281="REGION LOSS",IF(COUNTIFS('Site Dockets'!$E$7:$E$24,C1281,'Site Dockets'!$C$7:$C$24,F1281)&gt;0,1,0),0))</f>
        <v>0</v>
      </c>
      <c r="L1281" s="15" t="n">
        <f aca="false">IF(J1281=1,0,Inputs!$B$11)</f>
        <v>100</v>
      </c>
      <c r="M1281" s="15" t="n">
        <f aca="false">IF(J1281=1,0,Inputs!$B$12)</f>
        <v>75</v>
      </c>
      <c r="N1281" s="15" t="n">
        <f aca="false">IF(J1281=1,0,IF(OR(AND(OR(B1281="SITE LOSS",B1281="REGION LOSS"),K1281=1),AND(B1281="ROLE COMPROMISE",H1281=C1281)),Inputs!$B$13,Inputs!$B$14))</f>
        <v>10</v>
      </c>
      <c r="O1281" s="15" t="n">
        <f aca="false">IF(J1281=1,0,Inputs!$B$13)</f>
        <v>20</v>
      </c>
      <c r="P1281" s="15" t="n">
        <f aca="false">SUM(M1281:N1281)</f>
        <v>85</v>
      </c>
      <c r="Q1281" s="15" t="n">
        <f aca="false">IF(J1281=1,"",L1281-P1281)</f>
        <v>15</v>
      </c>
      <c r="R1281" s="15" t="n">
        <f aca="false">IF(OR(J1281=1,M1281&lt;=Inputs!$B$12),1,0)</f>
        <v>1</v>
      </c>
      <c r="S1281" s="15" t="n">
        <f aca="false">IF(OR(J1281=1,N1281&lt;=O1281),1,0)</f>
        <v>1</v>
      </c>
      <c r="T1281" s="15" t="str">
        <f aca="false">IF(J1281=1,"OFFLINE",IF(AND(Q1281&gt;=Inputs!$B$15,R1281=1,S1281=1,P1281&lt;=L1281),"PASS","FAIL"))</f>
        <v>PASS</v>
      </c>
    </row>
    <row r="1282" customFormat="false" ht="15" hidden="false" customHeight="false" outlineLevel="0" collapsed="false">
      <c r="A1282" s="14" t="s">
        <v>1030</v>
      </c>
      <c r="B1282" s="14" t="s">
        <v>1019</v>
      </c>
      <c r="C1282" s="14" t="s">
        <v>188</v>
      </c>
      <c r="D1282" s="14" t="s">
        <v>196</v>
      </c>
      <c r="E1282" s="14" t="s">
        <v>172</v>
      </c>
      <c r="F1282" s="14" t="s">
        <v>191</v>
      </c>
      <c r="G1282" s="14" t="n">
        <v>3</v>
      </c>
      <c r="H1282" s="14" t="s">
        <v>158</v>
      </c>
      <c r="I1282" s="14" t="s">
        <v>895</v>
      </c>
      <c r="J1282" s="15" t="n">
        <f aca="false">IF(B1282="SITE LOSS",IF(D1282=C1282,1,0),IF(B1282="REGION LOSS",IF(E1282=C1282,1,0),0))</f>
        <v>0</v>
      </c>
      <c r="K1282" s="15" t="n">
        <f aca="false">IF(B1282="SITE LOSS",IF(COUNTIFS('Site Dockets'!$B$7:$B$24,C1282,'Site Dockets'!$C$7:$C$24,F1282)&gt;0,1,0),IF(B1282="REGION LOSS",IF(COUNTIFS('Site Dockets'!$E$7:$E$24,C1282,'Site Dockets'!$C$7:$C$24,F1282)&gt;0,1,0),0))</f>
        <v>0</v>
      </c>
      <c r="L1282" s="15" t="n">
        <f aca="false">IF(J1282=1,0,Inputs!$B$11)</f>
        <v>100</v>
      </c>
      <c r="M1282" s="15" t="n">
        <f aca="false">IF(J1282=1,0,Inputs!$B$12)</f>
        <v>75</v>
      </c>
      <c r="N1282" s="15" t="n">
        <f aca="false">IF(J1282=1,0,IF(OR(AND(OR(B1282="SITE LOSS",B1282="REGION LOSS"),K1282=1),AND(B1282="ROLE COMPROMISE",H1282=C1282)),Inputs!$B$13,Inputs!$B$14))</f>
        <v>10</v>
      </c>
      <c r="O1282" s="15" t="n">
        <f aca="false">IF(J1282=1,0,Inputs!$B$13)</f>
        <v>20</v>
      </c>
      <c r="P1282" s="15" t="n">
        <f aca="false">SUM(M1282:N1282)</f>
        <v>85</v>
      </c>
      <c r="Q1282" s="15" t="n">
        <f aca="false">IF(J1282=1,"",L1282-P1282)</f>
        <v>15</v>
      </c>
      <c r="R1282" s="15" t="n">
        <f aca="false">IF(OR(J1282=1,M1282&lt;=Inputs!$B$12),1,0)</f>
        <v>1</v>
      </c>
      <c r="S1282" s="15" t="n">
        <f aca="false">IF(OR(J1282=1,N1282&lt;=O1282),1,0)</f>
        <v>1</v>
      </c>
      <c r="T1282" s="15" t="str">
        <f aca="false">IF(J1282=1,"OFFLINE",IF(AND(Q1282&gt;=Inputs!$B$15,R1282=1,S1282=1,P1282&lt;=L1282),"PASS","FAIL"))</f>
        <v>PASS</v>
      </c>
    </row>
    <row r="1283" customFormat="false" ht="15" hidden="false" customHeight="false" outlineLevel="0" collapsed="false">
      <c r="A1283" s="14" t="s">
        <v>1030</v>
      </c>
      <c r="B1283" s="14" t="s">
        <v>1019</v>
      </c>
      <c r="C1283" s="14" t="s">
        <v>188</v>
      </c>
      <c r="D1283" s="14" t="s">
        <v>196</v>
      </c>
      <c r="E1283" s="14" t="s">
        <v>172</v>
      </c>
      <c r="F1283" s="14" t="s">
        <v>191</v>
      </c>
      <c r="G1283" s="14" t="n">
        <v>3</v>
      </c>
      <c r="H1283" s="14" t="s">
        <v>158</v>
      </c>
      <c r="I1283" s="14" t="s">
        <v>897</v>
      </c>
      <c r="J1283" s="15" t="n">
        <f aca="false">IF(B1283="SITE LOSS",IF(D1283=C1283,1,0),IF(B1283="REGION LOSS",IF(E1283=C1283,1,0),0))</f>
        <v>0</v>
      </c>
      <c r="K1283" s="15" t="n">
        <f aca="false">IF(B1283="SITE LOSS",IF(COUNTIFS('Site Dockets'!$B$7:$B$24,C1283,'Site Dockets'!$C$7:$C$24,F1283)&gt;0,1,0),IF(B1283="REGION LOSS",IF(COUNTIFS('Site Dockets'!$E$7:$E$24,C1283,'Site Dockets'!$C$7:$C$24,F1283)&gt;0,1,0),0))</f>
        <v>0</v>
      </c>
      <c r="L1283" s="15" t="n">
        <f aca="false">IF(J1283=1,0,Inputs!$B$11)</f>
        <v>100</v>
      </c>
      <c r="M1283" s="15" t="n">
        <f aca="false">IF(J1283=1,0,Inputs!$B$12)</f>
        <v>75</v>
      </c>
      <c r="N1283" s="15" t="n">
        <f aca="false">IF(J1283=1,0,IF(OR(AND(OR(B1283="SITE LOSS",B1283="REGION LOSS"),K1283=1),AND(B1283="ROLE COMPROMISE",H1283=C1283)),Inputs!$B$13,Inputs!$B$14))</f>
        <v>10</v>
      </c>
      <c r="O1283" s="15" t="n">
        <f aca="false">IF(J1283=1,0,Inputs!$B$13)</f>
        <v>20</v>
      </c>
      <c r="P1283" s="15" t="n">
        <f aca="false">SUM(M1283:N1283)</f>
        <v>85</v>
      </c>
      <c r="Q1283" s="15" t="n">
        <f aca="false">IF(J1283=1,"",L1283-P1283)</f>
        <v>15</v>
      </c>
      <c r="R1283" s="15" t="n">
        <f aca="false">IF(OR(J1283=1,M1283&lt;=Inputs!$B$12),1,0)</f>
        <v>1</v>
      </c>
      <c r="S1283" s="15" t="n">
        <f aca="false">IF(OR(J1283=1,N1283&lt;=O1283),1,0)</f>
        <v>1</v>
      </c>
      <c r="T1283" s="15" t="str">
        <f aca="false">IF(J1283=1,"OFFLINE",IF(AND(Q1283&gt;=Inputs!$B$15,R1283=1,S1283=1,P1283&lt;=L1283),"PASS","FAIL"))</f>
        <v>PASS</v>
      </c>
    </row>
    <row r="1284" customFormat="false" ht="15" hidden="false" customHeight="false" outlineLevel="0" collapsed="false">
      <c r="A1284" s="14" t="s">
        <v>1030</v>
      </c>
      <c r="B1284" s="14" t="s">
        <v>1019</v>
      </c>
      <c r="C1284" s="14" t="s">
        <v>188</v>
      </c>
      <c r="D1284" s="14" t="s">
        <v>196</v>
      </c>
      <c r="E1284" s="14" t="s">
        <v>172</v>
      </c>
      <c r="F1284" s="14" t="s">
        <v>191</v>
      </c>
      <c r="G1284" s="14" t="n">
        <v>3</v>
      </c>
      <c r="H1284" s="14" t="s">
        <v>158</v>
      </c>
      <c r="I1284" s="14" t="s">
        <v>899</v>
      </c>
      <c r="J1284" s="15" t="n">
        <f aca="false">IF(B1284="SITE LOSS",IF(D1284=C1284,1,0),IF(B1284="REGION LOSS",IF(E1284=C1284,1,0),0))</f>
        <v>0</v>
      </c>
      <c r="K1284" s="15" t="n">
        <f aca="false">IF(B1284="SITE LOSS",IF(COUNTIFS('Site Dockets'!$B$7:$B$24,C1284,'Site Dockets'!$C$7:$C$24,F1284)&gt;0,1,0),IF(B1284="REGION LOSS",IF(COUNTIFS('Site Dockets'!$E$7:$E$24,C1284,'Site Dockets'!$C$7:$C$24,F1284)&gt;0,1,0),0))</f>
        <v>0</v>
      </c>
      <c r="L1284" s="15" t="n">
        <f aca="false">IF(J1284=1,0,Inputs!$B$11)</f>
        <v>100</v>
      </c>
      <c r="M1284" s="15" t="n">
        <f aca="false">IF(J1284=1,0,Inputs!$B$12)</f>
        <v>75</v>
      </c>
      <c r="N1284" s="15" t="n">
        <f aca="false">IF(J1284=1,0,IF(OR(AND(OR(B1284="SITE LOSS",B1284="REGION LOSS"),K1284=1),AND(B1284="ROLE COMPROMISE",H1284=C1284)),Inputs!$B$13,Inputs!$B$14))</f>
        <v>10</v>
      </c>
      <c r="O1284" s="15" t="n">
        <f aca="false">IF(J1284=1,0,Inputs!$B$13)</f>
        <v>20</v>
      </c>
      <c r="P1284" s="15" t="n">
        <f aca="false">SUM(M1284:N1284)</f>
        <v>85</v>
      </c>
      <c r="Q1284" s="15" t="n">
        <f aca="false">IF(J1284=1,"",L1284-P1284)</f>
        <v>15</v>
      </c>
      <c r="R1284" s="15" t="n">
        <f aca="false">IF(OR(J1284=1,M1284&lt;=Inputs!$B$12),1,0)</f>
        <v>1</v>
      </c>
      <c r="S1284" s="15" t="n">
        <f aca="false">IF(OR(J1284=1,N1284&lt;=O1284),1,0)</f>
        <v>1</v>
      </c>
      <c r="T1284" s="15" t="str">
        <f aca="false">IF(J1284=1,"OFFLINE",IF(AND(Q1284&gt;=Inputs!$B$15,R1284=1,S1284=1,P1284&lt;=L1284),"PASS","FAIL"))</f>
        <v>PASS</v>
      </c>
    </row>
    <row r="1285" customFormat="false" ht="15" hidden="false" customHeight="false" outlineLevel="0" collapsed="false">
      <c r="A1285" s="14" t="s">
        <v>1030</v>
      </c>
      <c r="B1285" s="14" t="s">
        <v>1019</v>
      </c>
      <c r="C1285" s="14" t="s">
        <v>188</v>
      </c>
      <c r="D1285" s="14" t="s">
        <v>198</v>
      </c>
      <c r="E1285" s="14" t="s">
        <v>166</v>
      </c>
      <c r="F1285" s="14" t="s">
        <v>199</v>
      </c>
      <c r="G1285" s="14" t="n">
        <v>1</v>
      </c>
      <c r="H1285" s="14" t="s">
        <v>154</v>
      </c>
      <c r="I1285" s="14" t="s">
        <v>890</v>
      </c>
      <c r="J1285" s="15" t="n">
        <f aca="false">IF(B1285="SITE LOSS",IF(D1285=C1285,1,0),IF(B1285="REGION LOSS",IF(E1285=C1285,1,0),0))</f>
        <v>0</v>
      </c>
      <c r="K1285" s="15" t="n">
        <f aca="false">IF(B1285="SITE LOSS",IF(COUNTIFS('Site Dockets'!$B$7:$B$24,C1285,'Site Dockets'!$C$7:$C$24,F1285)&gt;0,1,0),IF(B1285="REGION LOSS",IF(COUNTIFS('Site Dockets'!$E$7:$E$24,C1285,'Site Dockets'!$C$7:$C$24,F1285)&gt;0,1,0),0))</f>
        <v>0</v>
      </c>
      <c r="L1285" s="15" t="n">
        <f aca="false">IF(J1285=1,0,Inputs!$B$11)</f>
        <v>100</v>
      </c>
      <c r="M1285" s="15" t="n">
        <f aca="false">IF(J1285=1,0,Inputs!$B$12)</f>
        <v>75</v>
      </c>
      <c r="N1285" s="15" t="n">
        <f aca="false">IF(J1285=1,0,IF(OR(AND(OR(B1285="SITE LOSS",B1285="REGION LOSS"),K1285=1),AND(B1285="ROLE COMPROMISE",H1285=C1285)),Inputs!$B$13,Inputs!$B$14))</f>
        <v>10</v>
      </c>
      <c r="O1285" s="15" t="n">
        <f aca="false">IF(J1285=1,0,Inputs!$B$13)</f>
        <v>20</v>
      </c>
      <c r="P1285" s="15" t="n">
        <f aca="false">SUM(M1285:N1285)</f>
        <v>85</v>
      </c>
      <c r="Q1285" s="15" t="n">
        <f aca="false">IF(J1285=1,"",L1285-P1285)</f>
        <v>15</v>
      </c>
      <c r="R1285" s="15" t="n">
        <f aca="false">IF(OR(J1285=1,M1285&lt;=Inputs!$B$12),1,0)</f>
        <v>1</v>
      </c>
      <c r="S1285" s="15" t="n">
        <f aca="false">IF(OR(J1285=1,N1285&lt;=O1285),1,0)</f>
        <v>1</v>
      </c>
      <c r="T1285" s="15" t="str">
        <f aca="false">IF(J1285=1,"OFFLINE",IF(AND(Q1285&gt;=Inputs!$B$15,R1285=1,S1285=1,P1285&lt;=L1285),"PASS","FAIL"))</f>
        <v>PASS</v>
      </c>
    </row>
    <row r="1286" customFormat="false" ht="15" hidden="false" customHeight="false" outlineLevel="0" collapsed="false">
      <c r="A1286" s="14" t="s">
        <v>1030</v>
      </c>
      <c r="B1286" s="14" t="s">
        <v>1019</v>
      </c>
      <c r="C1286" s="14" t="s">
        <v>188</v>
      </c>
      <c r="D1286" s="14" t="s">
        <v>198</v>
      </c>
      <c r="E1286" s="14" t="s">
        <v>166</v>
      </c>
      <c r="F1286" s="14" t="s">
        <v>199</v>
      </c>
      <c r="G1286" s="14" t="n">
        <v>1</v>
      </c>
      <c r="H1286" s="14" t="s">
        <v>154</v>
      </c>
      <c r="I1286" s="14" t="s">
        <v>892</v>
      </c>
      <c r="J1286" s="15" t="n">
        <f aca="false">IF(B1286="SITE LOSS",IF(D1286=C1286,1,0),IF(B1286="REGION LOSS",IF(E1286=C1286,1,0),0))</f>
        <v>0</v>
      </c>
      <c r="K1286" s="15" t="n">
        <f aca="false">IF(B1286="SITE LOSS",IF(COUNTIFS('Site Dockets'!$B$7:$B$24,C1286,'Site Dockets'!$C$7:$C$24,F1286)&gt;0,1,0),IF(B1286="REGION LOSS",IF(COUNTIFS('Site Dockets'!$E$7:$E$24,C1286,'Site Dockets'!$C$7:$C$24,F1286)&gt;0,1,0),0))</f>
        <v>0</v>
      </c>
      <c r="L1286" s="15" t="n">
        <f aca="false">IF(J1286=1,0,Inputs!$B$11)</f>
        <v>100</v>
      </c>
      <c r="M1286" s="15" t="n">
        <f aca="false">IF(J1286=1,0,Inputs!$B$12)</f>
        <v>75</v>
      </c>
      <c r="N1286" s="15" t="n">
        <f aca="false">IF(J1286=1,0,IF(OR(AND(OR(B1286="SITE LOSS",B1286="REGION LOSS"),K1286=1),AND(B1286="ROLE COMPROMISE",H1286=C1286)),Inputs!$B$13,Inputs!$B$14))</f>
        <v>10</v>
      </c>
      <c r="O1286" s="15" t="n">
        <f aca="false">IF(J1286=1,0,Inputs!$B$13)</f>
        <v>20</v>
      </c>
      <c r="P1286" s="15" t="n">
        <f aca="false">SUM(M1286:N1286)</f>
        <v>85</v>
      </c>
      <c r="Q1286" s="15" t="n">
        <f aca="false">IF(J1286=1,"",L1286-P1286)</f>
        <v>15</v>
      </c>
      <c r="R1286" s="15" t="n">
        <f aca="false">IF(OR(J1286=1,M1286&lt;=Inputs!$B$12),1,0)</f>
        <v>1</v>
      </c>
      <c r="S1286" s="15" t="n">
        <f aca="false">IF(OR(J1286=1,N1286&lt;=O1286),1,0)</f>
        <v>1</v>
      </c>
      <c r="T1286" s="15" t="str">
        <f aca="false">IF(J1286=1,"OFFLINE",IF(AND(Q1286&gt;=Inputs!$B$15,R1286=1,S1286=1,P1286&lt;=L1286),"PASS","FAIL"))</f>
        <v>PASS</v>
      </c>
    </row>
    <row r="1287" customFormat="false" ht="15" hidden="false" customHeight="false" outlineLevel="0" collapsed="false">
      <c r="A1287" s="14" t="s">
        <v>1030</v>
      </c>
      <c r="B1287" s="14" t="s">
        <v>1019</v>
      </c>
      <c r="C1287" s="14" t="s">
        <v>188</v>
      </c>
      <c r="D1287" s="14" t="s">
        <v>198</v>
      </c>
      <c r="E1287" s="14" t="s">
        <v>166</v>
      </c>
      <c r="F1287" s="14" t="s">
        <v>199</v>
      </c>
      <c r="G1287" s="14" t="n">
        <v>1</v>
      </c>
      <c r="H1287" s="14" t="s">
        <v>154</v>
      </c>
      <c r="I1287" s="14" t="s">
        <v>811</v>
      </c>
      <c r="J1287" s="15" t="n">
        <f aca="false">IF(B1287="SITE LOSS",IF(D1287=C1287,1,0),IF(B1287="REGION LOSS",IF(E1287=C1287,1,0),0))</f>
        <v>0</v>
      </c>
      <c r="K1287" s="15" t="n">
        <f aca="false">IF(B1287="SITE LOSS",IF(COUNTIFS('Site Dockets'!$B$7:$B$24,C1287,'Site Dockets'!$C$7:$C$24,F1287)&gt;0,1,0),IF(B1287="REGION LOSS",IF(COUNTIFS('Site Dockets'!$E$7:$E$24,C1287,'Site Dockets'!$C$7:$C$24,F1287)&gt;0,1,0),0))</f>
        <v>0</v>
      </c>
      <c r="L1287" s="15" t="n">
        <f aca="false">IF(J1287=1,0,Inputs!$B$11)</f>
        <v>100</v>
      </c>
      <c r="M1287" s="15" t="n">
        <f aca="false">IF(J1287=1,0,Inputs!$B$12)</f>
        <v>75</v>
      </c>
      <c r="N1287" s="15" t="n">
        <f aca="false">IF(J1287=1,0,IF(OR(AND(OR(B1287="SITE LOSS",B1287="REGION LOSS"),K1287=1),AND(B1287="ROLE COMPROMISE",H1287=C1287)),Inputs!$B$13,Inputs!$B$14))</f>
        <v>10</v>
      </c>
      <c r="O1287" s="15" t="n">
        <f aca="false">IF(J1287=1,0,Inputs!$B$13)</f>
        <v>20</v>
      </c>
      <c r="P1287" s="15" t="n">
        <f aca="false">SUM(M1287:N1287)</f>
        <v>85</v>
      </c>
      <c r="Q1287" s="15" t="n">
        <f aca="false">IF(J1287=1,"",L1287-P1287)</f>
        <v>15</v>
      </c>
      <c r="R1287" s="15" t="n">
        <f aca="false">IF(OR(J1287=1,M1287&lt;=Inputs!$B$12),1,0)</f>
        <v>1</v>
      </c>
      <c r="S1287" s="15" t="n">
        <f aca="false">IF(OR(J1287=1,N1287&lt;=O1287),1,0)</f>
        <v>1</v>
      </c>
      <c r="T1287" s="15" t="str">
        <f aca="false">IF(J1287=1,"OFFLINE",IF(AND(Q1287&gt;=Inputs!$B$15,R1287=1,S1287=1,P1287&lt;=L1287),"PASS","FAIL"))</f>
        <v>PASS</v>
      </c>
    </row>
    <row r="1288" customFormat="false" ht="15" hidden="false" customHeight="false" outlineLevel="0" collapsed="false">
      <c r="A1288" s="14" t="s">
        <v>1030</v>
      </c>
      <c r="B1288" s="14" t="s">
        <v>1019</v>
      </c>
      <c r="C1288" s="14" t="s">
        <v>188</v>
      </c>
      <c r="D1288" s="14" t="s">
        <v>198</v>
      </c>
      <c r="E1288" s="14" t="s">
        <v>166</v>
      </c>
      <c r="F1288" s="14" t="s">
        <v>199</v>
      </c>
      <c r="G1288" s="14" t="n">
        <v>1</v>
      </c>
      <c r="H1288" s="14" t="s">
        <v>154</v>
      </c>
      <c r="I1288" s="14" t="s">
        <v>895</v>
      </c>
      <c r="J1288" s="15" t="n">
        <f aca="false">IF(B1288="SITE LOSS",IF(D1288=C1288,1,0),IF(B1288="REGION LOSS",IF(E1288=C1288,1,0),0))</f>
        <v>0</v>
      </c>
      <c r="K1288" s="15" t="n">
        <f aca="false">IF(B1288="SITE LOSS",IF(COUNTIFS('Site Dockets'!$B$7:$B$24,C1288,'Site Dockets'!$C$7:$C$24,F1288)&gt;0,1,0),IF(B1288="REGION LOSS",IF(COUNTIFS('Site Dockets'!$E$7:$E$24,C1288,'Site Dockets'!$C$7:$C$24,F1288)&gt;0,1,0),0))</f>
        <v>0</v>
      </c>
      <c r="L1288" s="15" t="n">
        <f aca="false">IF(J1288=1,0,Inputs!$B$11)</f>
        <v>100</v>
      </c>
      <c r="M1288" s="15" t="n">
        <f aca="false">IF(J1288=1,0,Inputs!$B$12)</f>
        <v>75</v>
      </c>
      <c r="N1288" s="15" t="n">
        <f aca="false">IF(J1288=1,0,IF(OR(AND(OR(B1288="SITE LOSS",B1288="REGION LOSS"),K1288=1),AND(B1288="ROLE COMPROMISE",H1288=C1288)),Inputs!$B$13,Inputs!$B$14))</f>
        <v>10</v>
      </c>
      <c r="O1288" s="15" t="n">
        <f aca="false">IF(J1288=1,0,Inputs!$B$13)</f>
        <v>20</v>
      </c>
      <c r="P1288" s="15" t="n">
        <f aca="false">SUM(M1288:N1288)</f>
        <v>85</v>
      </c>
      <c r="Q1288" s="15" t="n">
        <f aca="false">IF(J1288=1,"",L1288-P1288)</f>
        <v>15</v>
      </c>
      <c r="R1288" s="15" t="n">
        <f aca="false">IF(OR(J1288=1,M1288&lt;=Inputs!$B$12),1,0)</f>
        <v>1</v>
      </c>
      <c r="S1288" s="15" t="n">
        <f aca="false">IF(OR(J1288=1,N1288&lt;=O1288),1,0)</f>
        <v>1</v>
      </c>
      <c r="T1288" s="15" t="str">
        <f aca="false">IF(J1288=1,"OFFLINE",IF(AND(Q1288&gt;=Inputs!$B$15,R1288=1,S1288=1,P1288&lt;=L1288),"PASS","FAIL"))</f>
        <v>PASS</v>
      </c>
    </row>
    <row r="1289" customFormat="false" ht="15" hidden="false" customHeight="false" outlineLevel="0" collapsed="false">
      <c r="A1289" s="14" t="s">
        <v>1030</v>
      </c>
      <c r="B1289" s="14" t="s">
        <v>1019</v>
      </c>
      <c r="C1289" s="14" t="s">
        <v>188</v>
      </c>
      <c r="D1289" s="14" t="s">
        <v>198</v>
      </c>
      <c r="E1289" s="14" t="s">
        <v>166</v>
      </c>
      <c r="F1289" s="14" t="s">
        <v>199</v>
      </c>
      <c r="G1289" s="14" t="n">
        <v>1</v>
      </c>
      <c r="H1289" s="14" t="s">
        <v>154</v>
      </c>
      <c r="I1289" s="14" t="s">
        <v>897</v>
      </c>
      <c r="J1289" s="15" t="n">
        <f aca="false">IF(B1289="SITE LOSS",IF(D1289=C1289,1,0),IF(B1289="REGION LOSS",IF(E1289=C1289,1,0),0))</f>
        <v>0</v>
      </c>
      <c r="K1289" s="15" t="n">
        <f aca="false">IF(B1289="SITE LOSS",IF(COUNTIFS('Site Dockets'!$B$7:$B$24,C1289,'Site Dockets'!$C$7:$C$24,F1289)&gt;0,1,0),IF(B1289="REGION LOSS",IF(COUNTIFS('Site Dockets'!$E$7:$E$24,C1289,'Site Dockets'!$C$7:$C$24,F1289)&gt;0,1,0),0))</f>
        <v>0</v>
      </c>
      <c r="L1289" s="15" t="n">
        <f aca="false">IF(J1289=1,0,Inputs!$B$11)</f>
        <v>100</v>
      </c>
      <c r="M1289" s="15" t="n">
        <f aca="false">IF(J1289=1,0,Inputs!$B$12)</f>
        <v>75</v>
      </c>
      <c r="N1289" s="15" t="n">
        <f aca="false">IF(J1289=1,0,IF(OR(AND(OR(B1289="SITE LOSS",B1289="REGION LOSS"),K1289=1),AND(B1289="ROLE COMPROMISE",H1289=C1289)),Inputs!$B$13,Inputs!$B$14))</f>
        <v>10</v>
      </c>
      <c r="O1289" s="15" t="n">
        <f aca="false">IF(J1289=1,0,Inputs!$B$13)</f>
        <v>20</v>
      </c>
      <c r="P1289" s="15" t="n">
        <f aca="false">SUM(M1289:N1289)</f>
        <v>85</v>
      </c>
      <c r="Q1289" s="15" t="n">
        <f aca="false">IF(J1289=1,"",L1289-P1289)</f>
        <v>15</v>
      </c>
      <c r="R1289" s="15" t="n">
        <f aca="false">IF(OR(J1289=1,M1289&lt;=Inputs!$B$12),1,0)</f>
        <v>1</v>
      </c>
      <c r="S1289" s="15" t="n">
        <f aca="false">IF(OR(J1289=1,N1289&lt;=O1289),1,0)</f>
        <v>1</v>
      </c>
      <c r="T1289" s="15" t="str">
        <f aca="false">IF(J1289=1,"OFFLINE",IF(AND(Q1289&gt;=Inputs!$B$15,R1289=1,S1289=1,P1289&lt;=L1289),"PASS","FAIL"))</f>
        <v>PASS</v>
      </c>
    </row>
    <row r="1290" customFormat="false" ht="15" hidden="false" customHeight="false" outlineLevel="0" collapsed="false">
      <c r="A1290" s="14" t="s">
        <v>1030</v>
      </c>
      <c r="B1290" s="14" t="s">
        <v>1019</v>
      </c>
      <c r="C1290" s="14" t="s">
        <v>188</v>
      </c>
      <c r="D1290" s="14" t="s">
        <v>198</v>
      </c>
      <c r="E1290" s="14" t="s">
        <v>166</v>
      </c>
      <c r="F1290" s="14" t="s">
        <v>199</v>
      </c>
      <c r="G1290" s="14" t="n">
        <v>1</v>
      </c>
      <c r="H1290" s="14" t="s">
        <v>154</v>
      </c>
      <c r="I1290" s="14" t="s">
        <v>899</v>
      </c>
      <c r="J1290" s="15" t="n">
        <f aca="false">IF(B1290="SITE LOSS",IF(D1290=C1290,1,0),IF(B1290="REGION LOSS",IF(E1290=C1290,1,0),0))</f>
        <v>0</v>
      </c>
      <c r="K1290" s="15" t="n">
        <f aca="false">IF(B1290="SITE LOSS",IF(COUNTIFS('Site Dockets'!$B$7:$B$24,C1290,'Site Dockets'!$C$7:$C$24,F1290)&gt;0,1,0),IF(B1290="REGION LOSS",IF(COUNTIFS('Site Dockets'!$E$7:$E$24,C1290,'Site Dockets'!$C$7:$C$24,F1290)&gt;0,1,0),0))</f>
        <v>0</v>
      </c>
      <c r="L1290" s="15" t="n">
        <f aca="false">IF(J1290=1,0,Inputs!$B$11)</f>
        <v>100</v>
      </c>
      <c r="M1290" s="15" t="n">
        <f aca="false">IF(J1290=1,0,Inputs!$B$12)</f>
        <v>75</v>
      </c>
      <c r="N1290" s="15" t="n">
        <f aca="false">IF(J1290=1,0,IF(OR(AND(OR(B1290="SITE LOSS",B1290="REGION LOSS"),K1290=1),AND(B1290="ROLE COMPROMISE",H1290=C1290)),Inputs!$B$13,Inputs!$B$14))</f>
        <v>10</v>
      </c>
      <c r="O1290" s="15" t="n">
        <f aca="false">IF(J1290=1,0,Inputs!$B$13)</f>
        <v>20</v>
      </c>
      <c r="P1290" s="15" t="n">
        <f aca="false">SUM(M1290:N1290)</f>
        <v>85</v>
      </c>
      <c r="Q1290" s="15" t="n">
        <f aca="false">IF(J1290=1,"",L1290-P1290)</f>
        <v>15</v>
      </c>
      <c r="R1290" s="15" t="n">
        <f aca="false">IF(OR(J1290=1,M1290&lt;=Inputs!$B$12),1,0)</f>
        <v>1</v>
      </c>
      <c r="S1290" s="15" t="n">
        <f aca="false">IF(OR(J1290=1,N1290&lt;=O1290),1,0)</f>
        <v>1</v>
      </c>
      <c r="T1290" s="15" t="str">
        <f aca="false">IF(J1290=1,"OFFLINE",IF(AND(Q1290&gt;=Inputs!$B$15,R1290=1,S1290=1,P1290&lt;=L1290),"PASS","FAIL"))</f>
        <v>PASS</v>
      </c>
    </row>
    <row r="1291" customFormat="false" ht="15" hidden="false" customHeight="false" outlineLevel="0" collapsed="false">
      <c r="A1291" s="14" t="s">
        <v>1030</v>
      </c>
      <c r="B1291" s="14" t="s">
        <v>1019</v>
      </c>
      <c r="C1291" s="14" t="s">
        <v>188</v>
      </c>
      <c r="D1291" s="14" t="s">
        <v>202</v>
      </c>
      <c r="E1291" s="14" t="s">
        <v>157</v>
      </c>
      <c r="F1291" s="14" t="s">
        <v>199</v>
      </c>
      <c r="G1291" s="14" t="n">
        <v>2</v>
      </c>
      <c r="H1291" s="14" t="s">
        <v>153</v>
      </c>
      <c r="I1291" s="14" t="s">
        <v>890</v>
      </c>
      <c r="J1291" s="15" t="n">
        <f aca="false">IF(B1291="SITE LOSS",IF(D1291=C1291,1,0),IF(B1291="REGION LOSS",IF(E1291=C1291,1,0),0))</f>
        <v>0</v>
      </c>
      <c r="K1291" s="15" t="n">
        <f aca="false">IF(B1291="SITE LOSS",IF(COUNTIFS('Site Dockets'!$B$7:$B$24,C1291,'Site Dockets'!$C$7:$C$24,F1291)&gt;0,1,0),IF(B1291="REGION LOSS",IF(COUNTIFS('Site Dockets'!$E$7:$E$24,C1291,'Site Dockets'!$C$7:$C$24,F1291)&gt;0,1,0),0))</f>
        <v>0</v>
      </c>
      <c r="L1291" s="15" t="n">
        <f aca="false">IF(J1291=1,0,Inputs!$B$11)</f>
        <v>100</v>
      </c>
      <c r="M1291" s="15" t="n">
        <f aca="false">IF(J1291=1,0,Inputs!$B$12)</f>
        <v>75</v>
      </c>
      <c r="N1291" s="15" t="n">
        <f aca="false">IF(J1291=1,0,IF(OR(AND(OR(B1291="SITE LOSS",B1291="REGION LOSS"),K1291=1),AND(B1291="ROLE COMPROMISE",H1291=C1291)),Inputs!$B$13,Inputs!$B$14))</f>
        <v>10</v>
      </c>
      <c r="O1291" s="15" t="n">
        <f aca="false">IF(J1291=1,0,Inputs!$B$13)</f>
        <v>20</v>
      </c>
      <c r="P1291" s="15" t="n">
        <f aca="false">SUM(M1291:N1291)</f>
        <v>85</v>
      </c>
      <c r="Q1291" s="15" t="n">
        <f aca="false">IF(J1291=1,"",L1291-P1291)</f>
        <v>15</v>
      </c>
      <c r="R1291" s="15" t="n">
        <f aca="false">IF(OR(J1291=1,M1291&lt;=Inputs!$B$12),1,0)</f>
        <v>1</v>
      </c>
      <c r="S1291" s="15" t="n">
        <f aca="false">IF(OR(J1291=1,N1291&lt;=O1291),1,0)</f>
        <v>1</v>
      </c>
      <c r="T1291" s="15" t="str">
        <f aca="false">IF(J1291=1,"OFFLINE",IF(AND(Q1291&gt;=Inputs!$B$15,R1291=1,S1291=1,P1291&lt;=L1291),"PASS","FAIL"))</f>
        <v>PASS</v>
      </c>
    </row>
    <row r="1292" customFormat="false" ht="15" hidden="false" customHeight="false" outlineLevel="0" collapsed="false">
      <c r="A1292" s="14" t="s">
        <v>1030</v>
      </c>
      <c r="B1292" s="14" t="s">
        <v>1019</v>
      </c>
      <c r="C1292" s="14" t="s">
        <v>188</v>
      </c>
      <c r="D1292" s="14" t="s">
        <v>202</v>
      </c>
      <c r="E1292" s="14" t="s">
        <v>157</v>
      </c>
      <c r="F1292" s="14" t="s">
        <v>199</v>
      </c>
      <c r="G1292" s="14" t="n">
        <v>2</v>
      </c>
      <c r="H1292" s="14" t="s">
        <v>153</v>
      </c>
      <c r="I1292" s="14" t="s">
        <v>892</v>
      </c>
      <c r="J1292" s="15" t="n">
        <f aca="false">IF(B1292="SITE LOSS",IF(D1292=C1292,1,0),IF(B1292="REGION LOSS",IF(E1292=C1292,1,0),0))</f>
        <v>0</v>
      </c>
      <c r="K1292" s="15" t="n">
        <f aca="false">IF(B1292="SITE LOSS",IF(COUNTIFS('Site Dockets'!$B$7:$B$24,C1292,'Site Dockets'!$C$7:$C$24,F1292)&gt;0,1,0),IF(B1292="REGION LOSS",IF(COUNTIFS('Site Dockets'!$E$7:$E$24,C1292,'Site Dockets'!$C$7:$C$24,F1292)&gt;0,1,0),0))</f>
        <v>0</v>
      </c>
      <c r="L1292" s="15" t="n">
        <f aca="false">IF(J1292=1,0,Inputs!$B$11)</f>
        <v>100</v>
      </c>
      <c r="M1292" s="15" t="n">
        <f aca="false">IF(J1292=1,0,Inputs!$B$12)</f>
        <v>75</v>
      </c>
      <c r="N1292" s="15" t="n">
        <f aca="false">IF(J1292=1,0,IF(OR(AND(OR(B1292="SITE LOSS",B1292="REGION LOSS"),K1292=1),AND(B1292="ROLE COMPROMISE",H1292=C1292)),Inputs!$B$13,Inputs!$B$14))</f>
        <v>10</v>
      </c>
      <c r="O1292" s="15" t="n">
        <f aca="false">IF(J1292=1,0,Inputs!$B$13)</f>
        <v>20</v>
      </c>
      <c r="P1292" s="15" t="n">
        <f aca="false">SUM(M1292:N1292)</f>
        <v>85</v>
      </c>
      <c r="Q1292" s="15" t="n">
        <f aca="false">IF(J1292=1,"",L1292-P1292)</f>
        <v>15</v>
      </c>
      <c r="R1292" s="15" t="n">
        <f aca="false">IF(OR(J1292=1,M1292&lt;=Inputs!$B$12),1,0)</f>
        <v>1</v>
      </c>
      <c r="S1292" s="15" t="n">
        <f aca="false">IF(OR(J1292=1,N1292&lt;=O1292),1,0)</f>
        <v>1</v>
      </c>
      <c r="T1292" s="15" t="str">
        <f aca="false">IF(J1292=1,"OFFLINE",IF(AND(Q1292&gt;=Inputs!$B$15,R1292=1,S1292=1,P1292&lt;=L1292),"PASS","FAIL"))</f>
        <v>PASS</v>
      </c>
    </row>
    <row r="1293" customFormat="false" ht="15" hidden="false" customHeight="false" outlineLevel="0" collapsed="false">
      <c r="A1293" s="14" t="s">
        <v>1030</v>
      </c>
      <c r="B1293" s="14" t="s">
        <v>1019</v>
      </c>
      <c r="C1293" s="14" t="s">
        <v>188</v>
      </c>
      <c r="D1293" s="14" t="s">
        <v>202</v>
      </c>
      <c r="E1293" s="14" t="s">
        <v>157</v>
      </c>
      <c r="F1293" s="14" t="s">
        <v>199</v>
      </c>
      <c r="G1293" s="14" t="n">
        <v>2</v>
      </c>
      <c r="H1293" s="14" t="s">
        <v>153</v>
      </c>
      <c r="I1293" s="14" t="s">
        <v>811</v>
      </c>
      <c r="J1293" s="15" t="n">
        <f aca="false">IF(B1293="SITE LOSS",IF(D1293=C1293,1,0),IF(B1293="REGION LOSS",IF(E1293=C1293,1,0),0))</f>
        <v>0</v>
      </c>
      <c r="K1293" s="15" t="n">
        <f aca="false">IF(B1293="SITE LOSS",IF(COUNTIFS('Site Dockets'!$B$7:$B$24,C1293,'Site Dockets'!$C$7:$C$24,F1293)&gt;0,1,0),IF(B1293="REGION LOSS",IF(COUNTIFS('Site Dockets'!$E$7:$E$24,C1293,'Site Dockets'!$C$7:$C$24,F1293)&gt;0,1,0),0))</f>
        <v>0</v>
      </c>
      <c r="L1293" s="15" t="n">
        <f aca="false">IF(J1293=1,0,Inputs!$B$11)</f>
        <v>100</v>
      </c>
      <c r="M1293" s="15" t="n">
        <f aca="false">IF(J1293=1,0,Inputs!$B$12)</f>
        <v>75</v>
      </c>
      <c r="N1293" s="15" t="n">
        <f aca="false">IF(J1293=1,0,IF(OR(AND(OR(B1293="SITE LOSS",B1293="REGION LOSS"),K1293=1),AND(B1293="ROLE COMPROMISE",H1293=C1293)),Inputs!$B$13,Inputs!$B$14))</f>
        <v>10</v>
      </c>
      <c r="O1293" s="15" t="n">
        <f aca="false">IF(J1293=1,0,Inputs!$B$13)</f>
        <v>20</v>
      </c>
      <c r="P1293" s="15" t="n">
        <f aca="false">SUM(M1293:N1293)</f>
        <v>85</v>
      </c>
      <c r="Q1293" s="15" t="n">
        <f aca="false">IF(J1293=1,"",L1293-P1293)</f>
        <v>15</v>
      </c>
      <c r="R1293" s="15" t="n">
        <f aca="false">IF(OR(J1293=1,M1293&lt;=Inputs!$B$12),1,0)</f>
        <v>1</v>
      </c>
      <c r="S1293" s="15" t="n">
        <f aca="false">IF(OR(J1293=1,N1293&lt;=O1293),1,0)</f>
        <v>1</v>
      </c>
      <c r="T1293" s="15" t="str">
        <f aca="false">IF(J1293=1,"OFFLINE",IF(AND(Q1293&gt;=Inputs!$B$15,R1293=1,S1293=1,P1293&lt;=L1293),"PASS","FAIL"))</f>
        <v>PASS</v>
      </c>
    </row>
    <row r="1294" customFormat="false" ht="15" hidden="false" customHeight="false" outlineLevel="0" collapsed="false">
      <c r="A1294" s="14" t="s">
        <v>1030</v>
      </c>
      <c r="B1294" s="14" t="s">
        <v>1019</v>
      </c>
      <c r="C1294" s="14" t="s">
        <v>188</v>
      </c>
      <c r="D1294" s="14" t="s">
        <v>202</v>
      </c>
      <c r="E1294" s="14" t="s">
        <v>157</v>
      </c>
      <c r="F1294" s="14" t="s">
        <v>199</v>
      </c>
      <c r="G1294" s="14" t="n">
        <v>2</v>
      </c>
      <c r="H1294" s="14" t="s">
        <v>153</v>
      </c>
      <c r="I1294" s="14" t="s">
        <v>895</v>
      </c>
      <c r="J1294" s="15" t="n">
        <f aca="false">IF(B1294="SITE LOSS",IF(D1294=C1294,1,0),IF(B1294="REGION LOSS",IF(E1294=C1294,1,0),0))</f>
        <v>0</v>
      </c>
      <c r="K1294" s="15" t="n">
        <f aca="false">IF(B1294="SITE LOSS",IF(COUNTIFS('Site Dockets'!$B$7:$B$24,C1294,'Site Dockets'!$C$7:$C$24,F1294)&gt;0,1,0),IF(B1294="REGION LOSS",IF(COUNTIFS('Site Dockets'!$E$7:$E$24,C1294,'Site Dockets'!$C$7:$C$24,F1294)&gt;0,1,0),0))</f>
        <v>0</v>
      </c>
      <c r="L1294" s="15" t="n">
        <f aca="false">IF(J1294=1,0,Inputs!$B$11)</f>
        <v>100</v>
      </c>
      <c r="M1294" s="15" t="n">
        <f aca="false">IF(J1294=1,0,Inputs!$B$12)</f>
        <v>75</v>
      </c>
      <c r="N1294" s="15" t="n">
        <f aca="false">IF(J1294=1,0,IF(OR(AND(OR(B1294="SITE LOSS",B1294="REGION LOSS"),K1294=1),AND(B1294="ROLE COMPROMISE",H1294=C1294)),Inputs!$B$13,Inputs!$B$14))</f>
        <v>10</v>
      </c>
      <c r="O1294" s="15" t="n">
        <f aca="false">IF(J1294=1,0,Inputs!$B$13)</f>
        <v>20</v>
      </c>
      <c r="P1294" s="15" t="n">
        <f aca="false">SUM(M1294:N1294)</f>
        <v>85</v>
      </c>
      <c r="Q1294" s="15" t="n">
        <f aca="false">IF(J1294=1,"",L1294-P1294)</f>
        <v>15</v>
      </c>
      <c r="R1294" s="15" t="n">
        <f aca="false">IF(OR(J1294=1,M1294&lt;=Inputs!$B$12),1,0)</f>
        <v>1</v>
      </c>
      <c r="S1294" s="15" t="n">
        <f aca="false">IF(OR(J1294=1,N1294&lt;=O1294),1,0)</f>
        <v>1</v>
      </c>
      <c r="T1294" s="15" t="str">
        <f aca="false">IF(J1294=1,"OFFLINE",IF(AND(Q1294&gt;=Inputs!$B$15,R1294=1,S1294=1,P1294&lt;=L1294),"PASS","FAIL"))</f>
        <v>PASS</v>
      </c>
    </row>
    <row r="1295" customFormat="false" ht="15" hidden="false" customHeight="false" outlineLevel="0" collapsed="false">
      <c r="A1295" s="14" t="s">
        <v>1030</v>
      </c>
      <c r="B1295" s="14" t="s">
        <v>1019</v>
      </c>
      <c r="C1295" s="14" t="s">
        <v>188</v>
      </c>
      <c r="D1295" s="14" t="s">
        <v>202</v>
      </c>
      <c r="E1295" s="14" t="s">
        <v>157</v>
      </c>
      <c r="F1295" s="14" t="s">
        <v>199</v>
      </c>
      <c r="G1295" s="14" t="n">
        <v>2</v>
      </c>
      <c r="H1295" s="14" t="s">
        <v>153</v>
      </c>
      <c r="I1295" s="14" t="s">
        <v>897</v>
      </c>
      <c r="J1295" s="15" t="n">
        <f aca="false">IF(B1295="SITE LOSS",IF(D1295=C1295,1,0),IF(B1295="REGION LOSS",IF(E1295=C1295,1,0),0))</f>
        <v>0</v>
      </c>
      <c r="K1295" s="15" t="n">
        <f aca="false">IF(B1295="SITE LOSS",IF(COUNTIFS('Site Dockets'!$B$7:$B$24,C1295,'Site Dockets'!$C$7:$C$24,F1295)&gt;0,1,0),IF(B1295="REGION LOSS",IF(COUNTIFS('Site Dockets'!$E$7:$E$24,C1295,'Site Dockets'!$C$7:$C$24,F1295)&gt;0,1,0),0))</f>
        <v>0</v>
      </c>
      <c r="L1295" s="15" t="n">
        <f aca="false">IF(J1295=1,0,Inputs!$B$11)</f>
        <v>100</v>
      </c>
      <c r="M1295" s="15" t="n">
        <f aca="false">IF(J1295=1,0,Inputs!$B$12)</f>
        <v>75</v>
      </c>
      <c r="N1295" s="15" t="n">
        <f aca="false">IF(J1295=1,0,IF(OR(AND(OR(B1295="SITE LOSS",B1295="REGION LOSS"),K1295=1),AND(B1295="ROLE COMPROMISE",H1295=C1295)),Inputs!$B$13,Inputs!$B$14))</f>
        <v>10</v>
      </c>
      <c r="O1295" s="15" t="n">
        <f aca="false">IF(J1295=1,0,Inputs!$B$13)</f>
        <v>20</v>
      </c>
      <c r="P1295" s="15" t="n">
        <f aca="false">SUM(M1295:N1295)</f>
        <v>85</v>
      </c>
      <c r="Q1295" s="15" t="n">
        <f aca="false">IF(J1295=1,"",L1295-P1295)</f>
        <v>15</v>
      </c>
      <c r="R1295" s="15" t="n">
        <f aca="false">IF(OR(J1295=1,M1295&lt;=Inputs!$B$12),1,0)</f>
        <v>1</v>
      </c>
      <c r="S1295" s="15" t="n">
        <f aca="false">IF(OR(J1295=1,N1295&lt;=O1295),1,0)</f>
        <v>1</v>
      </c>
      <c r="T1295" s="15" t="str">
        <f aca="false">IF(J1295=1,"OFFLINE",IF(AND(Q1295&gt;=Inputs!$B$15,R1295=1,S1295=1,P1295&lt;=L1295),"PASS","FAIL"))</f>
        <v>PASS</v>
      </c>
    </row>
    <row r="1296" customFormat="false" ht="15" hidden="false" customHeight="false" outlineLevel="0" collapsed="false">
      <c r="A1296" s="14" t="s">
        <v>1030</v>
      </c>
      <c r="B1296" s="14" t="s">
        <v>1019</v>
      </c>
      <c r="C1296" s="14" t="s">
        <v>188</v>
      </c>
      <c r="D1296" s="14" t="s">
        <v>202</v>
      </c>
      <c r="E1296" s="14" t="s">
        <v>157</v>
      </c>
      <c r="F1296" s="14" t="s">
        <v>199</v>
      </c>
      <c r="G1296" s="14" t="n">
        <v>2</v>
      </c>
      <c r="H1296" s="14" t="s">
        <v>153</v>
      </c>
      <c r="I1296" s="14" t="s">
        <v>899</v>
      </c>
      <c r="J1296" s="15" t="n">
        <f aca="false">IF(B1296="SITE LOSS",IF(D1296=C1296,1,0),IF(B1296="REGION LOSS",IF(E1296=C1296,1,0),0))</f>
        <v>0</v>
      </c>
      <c r="K1296" s="15" t="n">
        <f aca="false">IF(B1296="SITE LOSS",IF(COUNTIFS('Site Dockets'!$B$7:$B$24,C1296,'Site Dockets'!$C$7:$C$24,F1296)&gt;0,1,0),IF(B1296="REGION LOSS",IF(COUNTIFS('Site Dockets'!$E$7:$E$24,C1296,'Site Dockets'!$C$7:$C$24,F1296)&gt;0,1,0),0))</f>
        <v>0</v>
      </c>
      <c r="L1296" s="15" t="n">
        <f aca="false">IF(J1296=1,0,Inputs!$B$11)</f>
        <v>100</v>
      </c>
      <c r="M1296" s="15" t="n">
        <f aca="false">IF(J1296=1,0,Inputs!$B$12)</f>
        <v>75</v>
      </c>
      <c r="N1296" s="15" t="n">
        <f aca="false">IF(J1296=1,0,IF(OR(AND(OR(B1296="SITE LOSS",B1296="REGION LOSS"),K1296=1),AND(B1296="ROLE COMPROMISE",H1296=C1296)),Inputs!$B$13,Inputs!$B$14))</f>
        <v>10</v>
      </c>
      <c r="O1296" s="15" t="n">
        <f aca="false">IF(J1296=1,0,Inputs!$B$13)</f>
        <v>20</v>
      </c>
      <c r="P1296" s="15" t="n">
        <f aca="false">SUM(M1296:N1296)</f>
        <v>85</v>
      </c>
      <c r="Q1296" s="15" t="n">
        <f aca="false">IF(J1296=1,"",L1296-P1296)</f>
        <v>15</v>
      </c>
      <c r="R1296" s="15" t="n">
        <f aca="false">IF(OR(J1296=1,M1296&lt;=Inputs!$B$12),1,0)</f>
        <v>1</v>
      </c>
      <c r="S1296" s="15" t="n">
        <f aca="false">IF(OR(J1296=1,N1296&lt;=O1296),1,0)</f>
        <v>1</v>
      </c>
      <c r="T1296" s="15" t="str">
        <f aca="false">IF(J1296=1,"OFFLINE",IF(AND(Q1296&gt;=Inputs!$B$15,R1296=1,S1296=1,P1296&lt;=L1296),"PASS","FAIL"))</f>
        <v>PASS</v>
      </c>
    </row>
    <row r="1297" customFormat="false" ht="15" hidden="false" customHeight="false" outlineLevel="0" collapsed="false">
      <c r="A1297" s="14" t="s">
        <v>1030</v>
      </c>
      <c r="B1297" s="14" t="s">
        <v>1019</v>
      </c>
      <c r="C1297" s="14" t="s">
        <v>188</v>
      </c>
      <c r="D1297" s="14" t="s">
        <v>204</v>
      </c>
      <c r="E1297" s="14" t="s">
        <v>161</v>
      </c>
      <c r="F1297" s="14" t="s">
        <v>199</v>
      </c>
      <c r="G1297" s="14" t="n">
        <v>3</v>
      </c>
      <c r="H1297" s="14" t="s">
        <v>158</v>
      </c>
      <c r="I1297" s="14" t="s">
        <v>890</v>
      </c>
      <c r="J1297" s="15" t="n">
        <f aca="false">IF(B1297="SITE LOSS",IF(D1297=C1297,1,0),IF(B1297="REGION LOSS",IF(E1297=C1297,1,0),0))</f>
        <v>0</v>
      </c>
      <c r="K1297" s="15" t="n">
        <f aca="false">IF(B1297="SITE LOSS",IF(COUNTIFS('Site Dockets'!$B$7:$B$24,C1297,'Site Dockets'!$C$7:$C$24,F1297)&gt;0,1,0),IF(B1297="REGION LOSS",IF(COUNTIFS('Site Dockets'!$E$7:$E$24,C1297,'Site Dockets'!$C$7:$C$24,F1297)&gt;0,1,0),0))</f>
        <v>0</v>
      </c>
      <c r="L1297" s="15" t="n">
        <f aca="false">IF(J1297=1,0,Inputs!$B$11)</f>
        <v>100</v>
      </c>
      <c r="M1297" s="15" t="n">
        <f aca="false">IF(J1297=1,0,Inputs!$B$12)</f>
        <v>75</v>
      </c>
      <c r="N1297" s="15" t="n">
        <f aca="false">IF(J1297=1,0,IF(OR(AND(OR(B1297="SITE LOSS",B1297="REGION LOSS"),K1297=1),AND(B1297="ROLE COMPROMISE",H1297=C1297)),Inputs!$B$13,Inputs!$B$14))</f>
        <v>10</v>
      </c>
      <c r="O1297" s="15" t="n">
        <f aca="false">IF(J1297=1,0,Inputs!$B$13)</f>
        <v>20</v>
      </c>
      <c r="P1297" s="15" t="n">
        <f aca="false">SUM(M1297:N1297)</f>
        <v>85</v>
      </c>
      <c r="Q1297" s="15" t="n">
        <f aca="false">IF(J1297=1,"",L1297-P1297)</f>
        <v>15</v>
      </c>
      <c r="R1297" s="15" t="n">
        <f aca="false">IF(OR(J1297=1,M1297&lt;=Inputs!$B$12),1,0)</f>
        <v>1</v>
      </c>
      <c r="S1297" s="15" t="n">
        <f aca="false">IF(OR(J1297=1,N1297&lt;=O1297),1,0)</f>
        <v>1</v>
      </c>
      <c r="T1297" s="15" t="str">
        <f aca="false">IF(J1297=1,"OFFLINE",IF(AND(Q1297&gt;=Inputs!$B$15,R1297=1,S1297=1,P1297&lt;=L1297),"PASS","FAIL"))</f>
        <v>PASS</v>
      </c>
    </row>
    <row r="1298" customFormat="false" ht="15" hidden="false" customHeight="false" outlineLevel="0" collapsed="false">
      <c r="A1298" s="14" t="s">
        <v>1030</v>
      </c>
      <c r="B1298" s="14" t="s">
        <v>1019</v>
      </c>
      <c r="C1298" s="14" t="s">
        <v>188</v>
      </c>
      <c r="D1298" s="14" t="s">
        <v>204</v>
      </c>
      <c r="E1298" s="14" t="s">
        <v>161</v>
      </c>
      <c r="F1298" s="14" t="s">
        <v>199</v>
      </c>
      <c r="G1298" s="14" t="n">
        <v>3</v>
      </c>
      <c r="H1298" s="14" t="s">
        <v>158</v>
      </c>
      <c r="I1298" s="14" t="s">
        <v>892</v>
      </c>
      <c r="J1298" s="15" t="n">
        <f aca="false">IF(B1298="SITE LOSS",IF(D1298=C1298,1,0),IF(B1298="REGION LOSS",IF(E1298=C1298,1,0),0))</f>
        <v>0</v>
      </c>
      <c r="K1298" s="15" t="n">
        <f aca="false">IF(B1298="SITE LOSS",IF(COUNTIFS('Site Dockets'!$B$7:$B$24,C1298,'Site Dockets'!$C$7:$C$24,F1298)&gt;0,1,0),IF(B1298="REGION LOSS",IF(COUNTIFS('Site Dockets'!$E$7:$E$24,C1298,'Site Dockets'!$C$7:$C$24,F1298)&gt;0,1,0),0))</f>
        <v>0</v>
      </c>
      <c r="L1298" s="15" t="n">
        <f aca="false">IF(J1298=1,0,Inputs!$B$11)</f>
        <v>100</v>
      </c>
      <c r="M1298" s="15" t="n">
        <f aca="false">IF(J1298=1,0,Inputs!$B$12)</f>
        <v>75</v>
      </c>
      <c r="N1298" s="15" t="n">
        <f aca="false">IF(J1298=1,0,IF(OR(AND(OR(B1298="SITE LOSS",B1298="REGION LOSS"),K1298=1),AND(B1298="ROLE COMPROMISE",H1298=C1298)),Inputs!$B$13,Inputs!$B$14))</f>
        <v>10</v>
      </c>
      <c r="O1298" s="15" t="n">
        <f aca="false">IF(J1298=1,0,Inputs!$B$13)</f>
        <v>20</v>
      </c>
      <c r="P1298" s="15" t="n">
        <f aca="false">SUM(M1298:N1298)</f>
        <v>85</v>
      </c>
      <c r="Q1298" s="15" t="n">
        <f aca="false">IF(J1298=1,"",L1298-P1298)</f>
        <v>15</v>
      </c>
      <c r="R1298" s="15" t="n">
        <f aca="false">IF(OR(J1298=1,M1298&lt;=Inputs!$B$12),1,0)</f>
        <v>1</v>
      </c>
      <c r="S1298" s="15" t="n">
        <f aca="false">IF(OR(J1298=1,N1298&lt;=O1298),1,0)</f>
        <v>1</v>
      </c>
      <c r="T1298" s="15" t="str">
        <f aca="false">IF(J1298=1,"OFFLINE",IF(AND(Q1298&gt;=Inputs!$B$15,R1298=1,S1298=1,P1298&lt;=L1298),"PASS","FAIL"))</f>
        <v>PASS</v>
      </c>
    </row>
    <row r="1299" customFormat="false" ht="15" hidden="false" customHeight="false" outlineLevel="0" collapsed="false">
      <c r="A1299" s="14" t="s">
        <v>1030</v>
      </c>
      <c r="B1299" s="14" t="s">
        <v>1019</v>
      </c>
      <c r="C1299" s="14" t="s">
        <v>188</v>
      </c>
      <c r="D1299" s="14" t="s">
        <v>204</v>
      </c>
      <c r="E1299" s="14" t="s">
        <v>161</v>
      </c>
      <c r="F1299" s="14" t="s">
        <v>199</v>
      </c>
      <c r="G1299" s="14" t="n">
        <v>3</v>
      </c>
      <c r="H1299" s="14" t="s">
        <v>158</v>
      </c>
      <c r="I1299" s="14" t="s">
        <v>811</v>
      </c>
      <c r="J1299" s="15" t="n">
        <f aca="false">IF(B1299="SITE LOSS",IF(D1299=C1299,1,0),IF(B1299="REGION LOSS",IF(E1299=C1299,1,0),0))</f>
        <v>0</v>
      </c>
      <c r="K1299" s="15" t="n">
        <f aca="false">IF(B1299="SITE LOSS",IF(COUNTIFS('Site Dockets'!$B$7:$B$24,C1299,'Site Dockets'!$C$7:$C$24,F1299)&gt;0,1,0),IF(B1299="REGION LOSS",IF(COUNTIFS('Site Dockets'!$E$7:$E$24,C1299,'Site Dockets'!$C$7:$C$24,F1299)&gt;0,1,0),0))</f>
        <v>0</v>
      </c>
      <c r="L1299" s="15" t="n">
        <f aca="false">IF(J1299=1,0,Inputs!$B$11)</f>
        <v>100</v>
      </c>
      <c r="M1299" s="15" t="n">
        <f aca="false">IF(J1299=1,0,Inputs!$B$12)</f>
        <v>75</v>
      </c>
      <c r="N1299" s="15" t="n">
        <f aca="false">IF(J1299=1,0,IF(OR(AND(OR(B1299="SITE LOSS",B1299="REGION LOSS"),K1299=1),AND(B1299="ROLE COMPROMISE",H1299=C1299)),Inputs!$B$13,Inputs!$B$14))</f>
        <v>10</v>
      </c>
      <c r="O1299" s="15" t="n">
        <f aca="false">IF(J1299=1,0,Inputs!$B$13)</f>
        <v>20</v>
      </c>
      <c r="P1299" s="15" t="n">
        <f aca="false">SUM(M1299:N1299)</f>
        <v>85</v>
      </c>
      <c r="Q1299" s="15" t="n">
        <f aca="false">IF(J1299=1,"",L1299-P1299)</f>
        <v>15</v>
      </c>
      <c r="R1299" s="15" t="n">
        <f aca="false">IF(OR(J1299=1,M1299&lt;=Inputs!$B$12),1,0)</f>
        <v>1</v>
      </c>
      <c r="S1299" s="15" t="n">
        <f aca="false">IF(OR(J1299=1,N1299&lt;=O1299),1,0)</f>
        <v>1</v>
      </c>
      <c r="T1299" s="15" t="str">
        <f aca="false">IF(J1299=1,"OFFLINE",IF(AND(Q1299&gt;=Inputs!$B$15,R1299=1,S1299=1,P1299&lt;=L1299),"PASS","FAIL"))</f>
        <v>PASS</v>
      </c>
    </row>
    <row r="1300" customFormat="false" ht="15" hidden="false" customHeight="false" outlineLevel="0" collapsed="false">
      <c r="A1300" s="14" t="s">
        <v>1030</v>
      </c>
      <c r="B1300" s="14" t="s">
        <v>1019</v>
      </c>
      <c r="C1300" s="14" t="s">
        <v>188</v>
      </c>
      <c r="D1300" s="14" t="s">
        <v>204</v>
      </c>
      <c r="E1300" s="14" t="s">
        <v>161</v>
      </c>
      <c r="F1300" s="14" t="s">
        <v>199</v>
      </c>
      <c r="G1300" s="14" t="n">
        <v>3</v>
      </c>
      <c r="H1300" s="14" t="s">
        <v>158</v>
      </c>
      <c r="I1300" s="14" t="s">
        <v>895</v>
      </c>
      <c r="J1300" s="15" t="n">
        <f aca="false">IF(B1300="SITE LOSS",IF(D1300=C1300,1,0),IF(B1300="REGION LOSS",IF(E1300=C1300,1,0),0))</f>
        <v>0</v>
      </c>
      <c r="K1300" s="15" t="n">
        <f aca="false">IF(B1300="SITE LOSS",IF(COUNTIFS('Site Dockets'!$B$7:$B$24,C1300,'Site Dockets'!$C$7:$C$24,F1300)&gt;0,1,0),IF(B1300="REGION LOSS",IF(COUNTIFS('Site Dockets'!$E$7:$E$24,C1300,'Site Dockets'!$C$7:$C$24,F1300)&gt;0,1,0),0))</f>
        <v>0</v>
      </c>
      <c r="L1300" s="15" t="n">
        <f aca="false">IF(J1300=1,0,Inputs!$B$11)</f>
        <v>100</v>
      </c>
      <c r="M1300" s="15" t="n">
        <f aca="false">IF(J1300=1,0,Inputs!$B$12)</f>
        <v>75</v>
      </c>
      <c r="N1300" s="15" t="n">
        <f aca="false">IF(J1300=1,0,IF(OR(AND(OR(B1300="SITE LOSS",B1300="REGION LOSS"),K1300=1),AND(B1300="ROLE COMPROMISE",H1300=C1300)),Inputs!$B$13,Inputs!$B$14))</f>
        <v>10</v>
      </c>
      <c r="O1300" s="15" t="n">
        <f aca="false">IF(J1300=1,0,Inputs!$B$13)</f>
        <v>20</v>
      </c>
      <c r="P1300" s="15" t="n">
        <f aca="false">SUM(M1300:N1300)</f>
        <v>85</v>
      </c>
      <c r="Q1300" s="15" t="n">
        <f aca="false">IF(J1300=1,"",L1300-P1300)</f>
        <v>15</v>
      </c>
      <c r="R1300" s="15" t="n">
        <f aca="false">IF(OR(J1300=1,M1300&lt;=Inputs!$B$12),1,0)</f>
        <v>1</v>
      </c>
      <c r="S1300" s="15" t="n">
        <f aca="false">IF(OR(J1300=1,N1300&lt;=O1300),1,0)</f>
        <v>1</v>
      </c>
      <c r="T1300" s="15" t="str">
        <f aca="false">IF(J1300=1,"OFFLINE",IF(AND(Q1300&gt;=Inputs!$B$15,R1300=1,S1300=1,P1300&lt;=L1300),"PASS","FAIL"))</f>
        <v>PASS</v>
      </c>
    </row>
    <row r="1301" customFormat="false" ht="15" hidden="false" customHeight="false" outlineLevel="0" collapsed="false">
      <c r="A1301" s="14" t="s">
        <v>1030</v>
      </c>
      <c r="B1301" s="14" t="s">
        <v>1019</v>
      </c>
      <c r="C1301" s="14" t="s">
        <v>188</v>
      </c>
      <c r="D1301" s="14" t="s">
        <v>204</v>
      </c>
      <c r="E1301" s="14" t="s">
        <v>161</v>
      </c>
      <c r="F1301" s="14" t="s">
        <v>199</v>
      </c>
      <c r="G1301" s="14" t="n">
        <v>3</v>
      </c>
      <c r="H1301" s="14" t="s">
        <v>158</v>
      </c>
      <c r="I1301" s="14" t="s">
        <v>897</v>
      </c>
      <c r="J1301" s="15" t="n">
        <f aca="false">IF(B1301="SITE LOSS",IF(D1301=C1301,1,0),IF(B1301="REGION LOSS",IF(E1301=C1301,1,0),0))</f>
        <v>0</v>
      </c>
      <c r="K1301" s="15" t="n">
        <f aca="false">IF(B1301="SITE LOSS",IF(COUNTIFS('Site Dockets'!$B$7:$B$24,C1301,'Site Dockets'!$C$7:$C$24,F1301)&gt;0,1,0),IF(B1301="REGION LOSS",IF(COUNTIFS('Site Dockets'!$E$7:$E$24,C1301,'Site Dockets'!$C$7:$C$24,F1301)&gt;0,1,0),0))</f>
        <v>0</v>
      </c>
      <c r="L1301" s="15" t="n">
        <f aca="false">IF(J1301=1,0,Inputs!$B$11)</f>
        <v>100</v>
      </c>
      <c r="M1301" s="15" t="n">
        <f aca="false">IF(J1301=1,0,Inputs!$B$12)</f>
        <v>75</v>
      </c>
      <c r="N1301" s="15" t="n">
        <f aca="false">IF(J1301=1,0,IF(OR(AND(OR(B1301="SITE LOSS",B1301="REGION LOSS"),K1301=1),AND(B1301="ROLE COMPROMISE",H1301=C1301)),Inputs!$B$13,Inputs!$B$14))</f>
        <v>10</v>
      </c>
      <c r="O1301" s="15" t="n">
        <f aca="false">IF(J1301=1,0,Inputs!$B$13)</f>
        <v>20</v>
      </c>
      <c r="P1301" s="15" t="n">
        <f aca="false">SUM(M1301:N1301)</f>
        <v>85</v>
      </c>
      <c r="Q1301" s="15" t="n">
        <f aca="false">IF(J1301=1,"",L1301-P1301)</f>
        <v>15</v>
      </c>
      <c r="R1301" s="15" t="n">
        <f aca="false">IF(OR(J1301=1,M1301&lt;=Inputs!$B$12),1,0)</f>
        <v>1</v>
      </c>
      <c r="S1301" s="15" t="n">
        <f aca="false">IF(OR(J1301=1,N1301&lt;=O1301),1,0)</f>
        <v>1</v>
      </c>
      <c r="T1301" s="15" t="str">
        <f aca="false">IF(J1301=1,"OFFLINE",IF(AND(Q1301&gt;=Inputs!$B$15,R1301=1,S1301=1,P1301&lt;=L1301),"PASS","FAIL"))</f>
        <v>PASS</v>
      </c>
    </row>
    <row r="1302" customFormat="false" ht="15" hidden="false" customHeight="false" outlineLevel="0" collapsed="false">
      <c r="A1302" s="14" t="s">
        <v>1030</v>
      </c>
      <c r="B1302" s="14" t="s">
        <v>1019</v>
      </c>
      <c r="C1302" s="14" t="s">
        <v>188</v>
      </c>
      <c r="D1302" s="14" t="s">
        <v>204</v>
      </c>
      <c r="E1302" s="14" t="s">
        <v>161</v>
      </c>
      <c r="F1302" s="14" t="s">
        <v>199</v>
      </c>
      <c r="G1302" s="14" t="n">
        <v>3</v>
      </c>
      <c r="H1302" s="14" t="s">
        <v>158</v>
      </c>
      <c r="I1302" s="14" t="s">
        <v>899</v>
      </c>
      <c r="J1302" s="15" t="n">
        <f aca="false">IF(B1302="SITE LOSS",IF(D1302=C1302,1,0),IF(B1302="REGION LOSS",IF(E1302=C1302,1,0),0))</f>
        <v>0</v>
      </c>
      <c r="K1302" s="15" t="n">
        <f aca="false">IF(B1302="SITE LOSS",IF(COUNTIFS('Site Dockets'!$B$7:$B$24,C1302,'Site Dockets'!$C$7:$C$24,F1302)&gt;0,1,0),IF(B1302="REGION LOSS",IF(COUNTIFS('Site Dockets'!$E$7:$E$24,C1302,'Site Dockets'!$C$7:$C$24,F1302)&gt;0,1,0),0))</f>
        <v>0</v>
      </c>
      <c r="L1302" s="15" t="n">
        <f aca="false">IF(J1302=1,0,Inputs!$B$11)</f>
        <v>100</v>
      </c>
      <c r="M1302" s="15" t="n">
        <f aca="false">IF(J1302=1,0,Inputs!$B$12)</f>
        <v>75</v>
      </c>
      <c r="N1302" s="15" t="n">
        <f aca="false">IF(J1302=1,0,IF(OR(AND(OR(B1302="SITE LOSS",B1302="REGION LOSS"),K1302=1),AND(B1302="ROLE COMPROMISE",H1302=C1302)),Inputs!$B$13,Inputs!$B$14))</f>
        <v>10</v>
      </c>
      <c r="O1302" s="15" t="n">
        <f aca="false">IF(J1302=1,0,Inputs!$B$13)</f>
        <v>20</v>
      </c>
      <c r="P1302" s="15" t="n">
        <f aca="false">SUM(M1302:N1302)</f>
        <v>85</v>
      </c>
      <c r="Q1302" s="15" t="n">
        <f aca="false">IF(J1302=1,"",L1302-P1302)</f>
        <v>15</v>
      </c>
      <c r="R1302" s="15" t="n">
        <f aca="false">IF(OR(J1302=1,M1302&lt;=Inputs!$B$12),1,0)</f>
        <v>1</v>
      </c>
      <c r="S1302" s="15" t="n">
        <f aca="false">IF(OR(J1302=1,N1302&lt;=O1302),1,0)</f>
        <v>1</v>
      </c>
      <c r="T1302" s="15" t="str">
        <f aca="false">IF(J1302=1,"OFFLINE",IF(AND(Q1302&gt;=Inputs!$B$15,R1302=1,S1302=1,P1302&lt;=L1302),"PASS","FAIL"))</f>
        <v>PASS</v>
      </c>
    </row>
    <row r="1303" customFormat="false" ht="15" hidden="false" customHeight="false" outlineLevel="0" collapsed="false">
      <c r="A1303" s="14" t="s">
        <v>1031</v>
      </c>
      <c r="B1303" s="14" t="s">
        <v>1019</v>
      </c>
      <c r="C1303" s="14" t="s">
        <v>190</v>
      </c>
      <c r="D1303" s="14" t="s">
        <v>149</v>
      </c>
      <c r="E1303" s="14" t="s">
        <v>152</v>
      </c>
      <c r="F1303" s="14" t="s">
        <v>150</v>
      </c>
      <c r="G1303" s="14" t="n">
        <v>1</v>
      </c>
      <c r="H1303" s="14" t="s">
        <v>154</v>
      </c>
      <c r="I1303" s="14" t="s">
        <v>890</v>
      </c>
      <c r="J1303" s="15" t="n">
        <f aca="false">IF(B1303="SITE LOSS",IF(D1303=C1303,1,0),IF(B1303="REGION LOSS",IF(E1303=C1303,1,0),0))</f>
        <v>0</v>
      </c>
      <c r="K1303" s="15" t="n">
        <f aca="false">IF(B1303="SITE LOSS",IF(COUNTIFS('Site Dockets'!$B$7:$B$24,C1303,'Site Dockets'!$C$7:$C$24,F1303)&gt;0,1,0),IF(B1303="REGION LOSS",IF(COUNTIFS('Site Dockets'!$E$7:$E$24,C1303,'Site Dockets'!$C$7:$C$24,F1303)&gt;0,1,0),0))</f>
        <v>0</v>
      </c>
      <c r="L1303" s="15" t="n">
        <f aca="false">IF(J1303=1,0,Inputs!$B$11)</f>
        <v>100</v>
      </c>
      <c r="M1303" s="15" t="n">
        <f aca="false">IF(J1303=1,0,Inputs!$B$12)</f>
        <v>75</v>
      </c>
      <c r="N1303" s="15" t="n">
        <f aca="false">IF(J1303=1,0,IF(OR(AND(OR(B1303="SITE LOSS",B1303="REGION LOSS"),K1303=1),AND(B1303="ROLE COMPROMISE",H1303=C1303)),Inputs!$B$13,Inputs!$B$14))</f>
        <v>10</v>
      </c>
      <c r="O1303" s="15" t="n">
        <f aca="false">IF(J1303=1,0,Inputs!$B$13)</f>
        <v>20</v>
      </c>
      <c r="P1303" s="15" t="n">
        <f aca="false">SUM(M1303:N1303)</f>
        <v>85</v>
      </c>
      <c r="Q1303" s="15" t="n">
        <f aca="false">IF(J1303=1,"",L1303-P1303)</f>
        <v>15</v>
      </c>
      <c r="R1303" s="15" t="n">
        <f aca="false">IF(OR(J1303=1,M1303&lt;=Inputs!$B$12),1,0)</f>
        <v>1</v>
      </c>
      <c r="S1303" s="15" t="n">
        <f aca="false">IF(OR(J1303=1,N1303&lt;=O1303),1,0)</f>
        <v>1</v>
      </c>
      <c r="T1303" s="15" t="str">
        <f aca="false">IF(J1303=1,"OFFLINE",IF(AND(Q1303&gt;=Inputs!$B$15,R1303=1,S1303=1,P1303&lt;=L1303),"PASS","FAIL"))</f>
        <v>PASS</v>
      </c>
    </row>
    <row r="1304" customFormat="false" ht="15" hidden="false" customHeight="false" outlineLevel="0" collapsed="false">
      <c r="A1304" s="14" t="s">
        <v>1031</v>
      </c>
      <c r="B1304" s="14" t="s">
        <v>1019</v>
      </c>
      <c r="C1304" s="14" t="s">
        <v>190</v>
      </c>
      <c r="D1304" s="14" t="s">
        <v>149</v>
      </c>
      <c r="E1304" s="14" t="s">
        <v>152</v>
      </c>
      <c r="F1304" s="14" t="s">
        <v>150</v>
      </c>
      <c r="G1304" s="14" t="n">
        <v>1</v>
      </c>
      <c r="H1304" s="14" t="s">
        <v>154</v>
      </c>
      <c r="I1304" s="14" t="s">
        <v>892</v>
      </c>
      <c r="J1304" s="15" t="n">
        <f aca="false">IF(B1304="SITE LOSS",IF(D1304=C1304,1,0),IF(B1304="REGION LOSS",IF(E1304=C1304,1,0),0))</f>
        <v>0</v>
      </c>
      <c r="K1304" s="15" t="n">
        <f aca="false">IF(B1304="SITE LOSS",IF(COUNTIFS('Site Dockets'!$B$7:$B$24,C1304,'Site Dockets'!$C$7:$C$24,F1304)&gt;0,1,0),IF(B1304="REGION LOSS",IF(COUNTIFS('Site Dockets'!$E$7:$E$24,C1304,'Site Dockets'!$C$7:$C$24,F1304)&gt;0,1,0),0))</f>
        <v>0</v>
      </c>
      <c r="L1304" s="15" t="n">
        <f aca="false">IF(J1304=1,0,Inputs!$B$11)</f>
        <v>100</v>
      </c>
      <c r="M1304" s="15" t="n">
        <f aca="false">IF(J1304=1,0,Inputs!$B$12)</f>
        <v>75</v>
      </c>
      <c r="N1304" s="15" t="n">
        <f aca="false">IF(J1304=1,0,IF(OR(AND(OR(B1304="SITE LOSS",B1304="REGION LOSS"),K1304=1),AND(B1304="ROLE COMPROMISE",H1304=C1304)),Inputs!$B$13,Inputs!$B$14))</f>
        <v>10</v>
      </c>
      <c r="O1304" s="15" t="n">
        <f aca="false">IF(J1304=1,0,Inputs!$B$13)</f>
        <v>20</v>
      </c>
      <c r="P1304" s="15" t="n">
        <f aca="false">SUM(M1304:N1304)</f>
        <v>85</v>
      </c>
      <c r="Q1304" s="15" t="n">
        <f aca="false">IF(J1304=1,"",L1304-P1304)</f>
        <v>15</v>
      </c>
      <c r="R1304" s="15" t="n">
        <f aca="false">IF(OR(J1304=1,M1304&lt;=Inputs!$B$12),1,0)</f>
        <v>1</v>
      </c>
      <c r="S1304" s="15" t="n">
        <f aca="false">IF(OR(J1304=1,N1304&lt;=O1304),1,0)</f>
        <v>1</v>
      </c>
      <c r="T1304" s="15" t="str">
        <f aca="false">IF(J1304=1,"OFFLINE",IF(AND(Q1304&gt;=Inputs!$B$15,R1304=1,S1304=1,P1304&lt;=L1304),"PASS","FAIL"))</f>
        <v>PASS</v>
      </c>
    </row>
    <row r="1305" customFormat="false" ht="15" hidden="false" customHeight="false" outlineLevel="0" collapsed="false">
      <c r="A1305" s="14" t="s">
        <v>1031</v>
      </c>
      <c r="B1305" s="14" t="s">
        <v>1019</v>
      </c>
      <c r="C1305" s="14" t="s">
        <v>190</v>
      </c>
      <c r="D1305" s="14" t="s">
        <v>149</v>
      </c>
      <c r="E1305" s="14" t="s">
        <v>152</v>
      </c>
      <c r="F1305" s="14" t="s">
        <v>150</v>
      </c>
      <c r="G1305" s="14" t="n">
        <v>1</v>
      </c>
      <c r="H1305" s="14" t="s">
        <v>154</v>
      </c>
      <c r="I1305" s="14" t="s">
        <v>811</v>
      </c>
      <c r="J1305" s="15" t="n">
        <f aca="false">IF(B1305="SITE LOSS",IF(D1305=C1305,1,0),IF(B1305="REGION LOSS",IF(E1305=C1305,1,0),0))</f>
        <v>0</v>
      </c>
      <c r="K1305" s="15" t="n">
        <f aca="false">IF(B1305="SITE LOSS",IF(COUNTIFS('Site Dockets'!$B$7:$B$24,C1305,'Site Dockets'!$C$7:$C$24,F1305)&gt;0,1,0),IF(B1305="REGION LOSS",IF(COUNTIFS('Site Dockets'!$E$7:$E$24,C1305,'Site Dockets'!$C$7:$C$24,F1305)&gt;0,1,0),0))</f>
        <v>0</v>
      </c>
      <c r="L1305" s="15" t="n">
        <f aca="false">IF(J1305=1,0,Inputs!$B$11)</f>
        <v>100</v>
      </c>
      <c r="M1305" s="15" t="n">
        <f aca="false">IF(J1305=1,0,Inputs!$B$12)</f>
        <v>75</v>
      </c>
      <c r="N1305" s="15" t="n">
        <f aca="false">IF(J1305=1,0,IF(OR(AND(OR(B1305="SITE LOSS",B1305="REGION LOSS"),K1305=1),AND(B1305="ROLE COMPROMISE",H1305=C1305)),Inputs!$B$13,Inputs!$B$14))</f>
        <v>10</v>
      </c>
      <c r="O1305" s="15" t="n">
        <f aca="false">IF(J1305=1,0,Inputs!$B$13)</f>
        <v>20</v>
      </c>
      <c r="P1305" s="15" t="n">
        <f aca="false">SUM(M1305:N1305)</f>
        <v>85</v>
      </c>
      <c r="Q1305" s="15" t="n">
        <f aca="false">IF(J1305=1,"",L1305-P1305)</f>
        <v>15</v>
      </c>
      <c r="R1305" s="15" t="n">
        <f aca="false">IF(OR(J1305=1,M1305&lt;=Inputs!$B$12),1,0)</f>
        <v>1</v>
      </c>
      <c r="S1305" s="15" t="n">
        <f aca="false">IF(OR(J1305=1,N1305&lt;=O1305),1,0)</f>
        <v>1</v>
      </c>
      <c r="T1305" s="15" t="str">
        <f aca="false">IF(J1305=1,"OFFLINE",IF(AND(Q1305&gt;=Inputs!$B$15,R1305=1,S1305=1,P1305&lt;=L1305),"PASS","FAIL"))</f>
        <v>PASS</v>
      </c>
    </row>
    <row r="1306" customFormat="false" ht="15" hidden="false" customHeight="false" outlineLevel="0" collapsed="false">
      <c r="A1306" s="14" t="s">
        <v>1031</v>
      </c>
      <c r="B1306" s="14" t="s">
        <v>1019</v>
      </c>
      <c r="C1306" s="14" t="s">
        <v>190</v>
      </c>
      <c r="D1306" s="14" t="s">
        <v>149</v>
      </c>
      <c r="E1306" s="14" t="s">
        <v>152</v>
      </c>
      <c r="F1306" s="14" t="s">
        <v>150</v>
      </c>
      <c r="G1306" s="14" t="n">
        <v>1</v>
      </c>
      <c r="H1306" s="14" t="s">
        <v>154</v>
      </c>
      <c r="I1306" s="14" t="s">
        <v>895</v>
      </c>
      <c r="J1306" s="15" t="n">
        <f aca="false">IF(B1306="SITE LOSS",IF(D1306=C1306,1,0),IF(B1306="REGION LOSS",IF(E1306=C1306,1,0),0))</f>
        <v>0</v>
      </c>
      <c r="K1306" s="15" t="n">
        <f aca="false">IF(B1306="SITE LOSS",IF(COUNTIFS('Site Dockets'!$B$7:$B$24,C1306,'Site Dockets'!$C$7:$C$24,F1306)&gt;0,1,0),IF(B1306="REGION LOSS",IF(COUNTIFS('Site Dockets'!$E$7:$E$24,C1306,'Site Dockets'!$C$7:$C$24,F1306)&gt;0,1,0),0))</f>
        <v>0</v>
      </c>
      <c r="L1306" s="15" t="n">
        <f aca="false">IF(J1306=1,0,Inputs!$B$11)</f>
        <v>100</v>
      </c>
      <c r="M1306" s="15" t="n">
        <f aca="false">IF(J1306=1,0,Inputs!$B$12)</f>
        <v>75</v>
      </c>
      <c r="N1306" s="15" t="n">
        <f aca="false">IF(J1306=1,0,IF(OR(AND(OR(B1306="SITE LOSS",B1306="REGION LOSS"),K1306=1),AND(B1306="ROLE COMPROMISE",H1306=C1306)),Inputs!$B$13,Inputs!$B$14))</f>
        <v>10</v>
      </c>
      <c r="O1306" s="15" t="n">
        <f aca="false">IF(J1306=1,0,Inputs!$B$13)</f>
        <v>20</v>
      </c>
      <c r="P1306" s="15" t="n">
        <f aca="false">SUM(M1306:N1306)</f>
        <v>85</v>
      </c>
      <c r="Q1306" s="15" t="n">
        <f aca="false">IF(J1306=1,"",L1306-P1306)</f>
        <v>15</v>
      </c>
      <c r="R1306" s="15" t="n">
        <f aca="false">IF(OR(J1306=1,M1306&lt;=Inputs!$B$12),1,0)</f>
        <v>1</v>
      </c>
      <c r="S1306" s="15" t="n">
        <f aca="false">IF(OR(J1306=1,N1306&lt;=O1306),1,0)</f>
        <v>1</v>
      </c>
      <c r="T1306" s="15" t="str">
        <f aca="false">IF(J1306=1,"OFFLINE",IF(AND(Q1306&gt;=Inputs!$B$15,R1306=1,S1306=1,P1306&lt;=L1306),"PASS","FAIL"))</f>
        <v>PASS</v>
      </c>
    </row>
    <row r="1307" customFormat="false" ht="15" hidden="false" customHeight="false" outlineLevel="0" collapsed="false">
      <c r="A1307" s="14" t="s">
        <v>1031</v>
      </c>
      <c r="B1307" s="14" t="s">
        <v>1019</v>
      </c>
      <c r="C1307" s="14" t="s">
        <v>190</v>
      </c>
      <c r="D1307" s="14" t="s">
        <v>149</v>
      </c>
      <c r="E1307" s="14" t="s">
        <v>152</v>
      </c>
      <c r="F1307" s="14" t="s">
        <v>150</v>
      </c>
      <c r="G1307" s="14" t="n">
        <v>1</v>
      </c>
      <c r="H1307" s="14" t="s">
        <v>154</v>
      </c>
      <c r="I1307" s="14" t="s">
        <v>897</v>
      </c>
      <c r="J1307" s="15" t="n">
        <f aca="false">IF(B1307="SITE LOSS",IF(D1307=C1307,1,0),IF(B1307="REGION LOSS",IF(E1307=C1307,1,0),0))</f>
        <v>0</v>
      </c>
      <c r="K1307" s="15" t="n">
        <f aca="false">IF(B1307="SITE LOSS",IF(COUNTIFS('Site Dockets'!$B$7:$B$24,C1307,'Site Dockets'!$C$7:$C$24,F1307)&gt;0,1,0),IF(B1307="REGION LOSS",IF(COUNTIFS('Site Dockets'!$E$7:$E$24,C1307,'Site Dockets'!$C$7:$C$24,F1307)&gt;0,1,0),0))</f>
        <v>0</v>
      </c>
      <c r="L1307" s="15" t="n">
        <f aca="false">IF(J1307=1,0,Inputs!$B$11)</f>
        <v>100</v>
      </c>
      <c r="M1307" s="15" t="n">
        <f aca="false">IF(J1307=1,0,Inputs!$B$12)</f>
        <v>75</v>
      </c>
      <c r="N1307" s="15" t="n">
        <f aca="false">IF(J1307=1,0,IF(OR(AND(OR(B1307="SITE LOSS",B1307="REGION LOSS"),K1307=1),AND(B1307="ROLE COMPROMISE",H1307=C1307)),Inputs!$B$13,Inputs!$B$14))</f>
        <v>10</v>
      </c>
      <c r="O1307" s="15" t="n">
        <f aca="false">IF(J1307=1,0,Inputs!$B$13)</f>
        <v>20</v>
      </c>
      <c r="P1307" s="15" t="n">
        <f aca="false">SUM(M1307:N1307)</f>
        <v>85</v>
      </c>
      <c r="Q1307" s="15" t="n">
        <f aca="false">IF(J1307=1,"",L1307-P1307)</f>
        <v>15</v>
      </c>
      <c r="R1307" s="15" t="n">
        <f aca="false">IF(OR(J1307=1,M1307&lt;=Inputs!$B$12),1,0)</f>
        <v>1</v>
      </c>
      <c r="S1307" s="15" t="n">
        <f aca="false">IF(OR(J1307=1,N1307&lt;=O1307),1,0)</f>
        <v>1</v>
      </c>
      <c r="T1307" s="15" t="str">
        <f aca="false">IF(J1307=1,"OFFLINE",IF(AND(Q1307&gt;=Inputs!$B$15,R1307=1,S1307=1,P1307&lt;=L1307),"PASS","FAIL"))</f>
        <v>PASS</v>
      </c>
    </row>
    <row r="1308" customFormat="false" ht="15" hidden="false" customHeight="false" outlineLevel="0" collapsed="false">
      <c r="A1308" s="14" t="s">
        <v>1031</v>
      </c>
      <c r="B1308" s="14" t="s">
        <v>1019</v>
      </c>
      <c r="C1308" s="14" t="s">
        <v>190</v>
      </c>
      <c r="D1308" s="14" t="s">
        <v>149</v>
      </c>
      <c r="E1308" s="14" t="s">
        <v>152</v>
      </c>
      <c r="F1308" s="14" t="s">
        <v>150</v>
      </c>
      <c r="G1308" s="14" t="n">
        <v>1</v>
      </c>
      <c r="H1308" s="14" t="s">
        <v>154</v>
      </c>
      <c r="I1308" s="14" t="s">
        <v>899</v>
      </c>
      <c r="J1308" s="15" t="n">
        <f aca="false">IF(B1308="SITE LOSS",IF(D1308=C1308,1,0),IF(B1308="REGION LOSS",IF(E1308=C1308,1,0),0))</f>
        <v>0</v>
      </c>
      <c r="K1308" s="15" t="n">
        <f aca="false">IF(B1308="SITE LOSS",IF(COUNTIFS('Site Dockets'!$B$7:$B$24,C1308,'Site Dockets'!$C$7:$C$24,F1308)&gt;0,1,0),IF(B1308="REGION LOSS",IF(COUNTIFS('Site Dockets'!$E$7:$E$24,C1308,'Site Dockets'!$C$7:$C$24,F1308)&gt;0,1,0),0))</f>
        <v>0</v>
      </c>
      <c r="L1308" s="15" t="n">
        <f aca="false">IF(J1308=1,0,Inputs!$B$11)</f>
        <v>100</v>
      </c>
      <c r="M1308" s="15" t="n">
        <f aca="false">IF(J1308=1,0,Inputs!$B$12)</f>
        <v>75</v>
      </c>
      <c r="N1308" s="15" t="n">
        <f aca="false">IF(J1308=1,0,IF(OR(AND(OR(B1308="SITE LOSS",B1308="REGION LOSS"),K1308=1),AND(B1308="ROLE COMPROMISE",H1308=C1308)),Inputs!$B$13,Inputs!$B$14))</f>
        <v>10</v>
      </c>
      <c r="O1308" s="15" t="n">
        <f aca="false">IF(J1308=1,0,Inputs!$B$13)</f>
        <v>20</v>
      </c>
      <c r="P1308" s="15" t="n">
        <f aca="false">SUM(M1308:N1308)</f>
        <v>85</v>
      </c>
      <c r="Q1308" s="15" t="n">
        <f aca="false">IF(J1308=1,"",L1308-P1308)</f>
        <v>15</v>
      </c>
      <c r="R1308" s="15" t="n">
        <f aca="false">IF(OR(J1308=1,M1308&lt;=Inputs!$B$12),1,0)</f>
        <v>1</v>
      </c>
      <c r="S1308" s="15" t="n">
        <f aca="false">IF(OR(J1308=1,N1308&lt;=O1308),1,0)</f>
        <v>1</v>
      </c>
      <c r="T1308" s="15" t="str">
        <f aca="false">IF(J1308=1,"OFFLINE",IF(AND(Q1308&gt;=Inputs!$B$15,R1308=1,S1308=1,P1308&lt;=L1308),"PASS","FAIL"))</f>
        <v>PASS</v>
      </c>
    </row>
    <row r="1309" customFormat="false" ht="15" hidden="false" customHeight="false" outlineLevel="0" collapsed="false">
      <c r="A1309" s="14" t="s">
        <v>1031</v>
      </c>
      <c r="B1309" s="14" t="s">
        <v>1019</v>
      </c>
      <c r="C1309" s="14" t="s">
        <v>190</v>
      </c>
      <c r="D1309" s="14" t="s">
        <v>156</v>
      </c>
      <c r="E1309" s="14" t="s">
        <v>157</v>
      </c>
      <c r="F1309" s="14" t="s">
        <v>150</v>
      </c>
      <c r="G1309" s="14" t="n">
        <v>2</v>
      </c>
      <c r="H1309" s="14" t="s">
        <v>153</v>
      </c>
      <c r="I1309" s="14" t="s">
        <v>890</v>
      </c>
      <c r="J1309" s="15" t="n">
        <f aca="false">IF(B1309="SITE LOSS",IF(D1309=C1309,1,0),IF(B1309="REGION LOSS",IF(E1309=C1309,1,0),0))</f>
        <v>0</v>
      </c>
      <c r="K1309" s="15" t="n">
        <f aca="false">IF(B1309="SITE LOSS",IF(COUNTIFS('Site Dockets'!$B$7:$B$24,C1309,'Site Dockets'!$C$7:$C$24,F1309)&gt;0,1,0),IF(B1309="REGION LOSS",IF(COUNTIFS('Site Dockets'!$E$7:$E$24,C1309,'Site Dockets'!$C$7:$C$24,F1309)&gt;0,1,0),0))</f>
        <v>0</v>
      </c>
      <c r="L1309" s="15" t="n">
        <f aca="false">IF(J1309=1,0,Inputs!$B$11)</f>
        <v>100</v>
      </c>
      <c r="M1309" s="15" t="n">
        <f aca="false">IF(J1309=1,0,Inputs!$B$12)</f>
        <v>75</v>
      </c>
      <c r="N1309" s="15" t="n">
        <f aca="false">IF(J1309=1,0,IF(OR(AND(OR(B1309="SITE LOSS",B1309="REGION LOSS"),K1309=1),AND(B1309="ROLE COMPROMISE",H1309=C1309)),Inputs!$B$13,Inputs!$B$14))</f>
        <v>10</v>
      </c>
      <c r="O1309" s="15" t="n">
        <f aca="false">IF(J1309=1,0,Inputs!$B$13)</f>
        <v>20</v>
      </c>
      <c r="P1309" s="15" t="n">
        <f aca="false">SUM(M1309:N1309)</f>
        <v>85</v>
      </c>
      <c r="Q1309" s="15" t="n">
        <f aca="false">IF(J1309=1,"",L1309-P1309)</f>
        <v>15</v>
      </c>
      <c r="R1309" s="15" t="n">
        <f aca="false">IF(OR(J1309=1,M1309&lt;=Inputs!$B$12),1,0)</f>
        <v>1</v>
      </c>
      <c r="S1309" s="15" t="n">
        <f aca="false">IF(OR(J1309=1,N1309&lt;=O1309),1,0)</f>
        <v>1</v>
      </c>
      <c r="T1309" s="15" t="str">
        <f aca="false">IF(J1309=1,"OFFLINE",IF(AND(Q1309&gt;=Inputs!$B$15,R1309=1,S1309=1,P1309&lt;=L1309),"PASS","FAIL"))</f>
        <v>PASS</v>
      </c>
    </row>
    <row r="1310" customFormat="false" ht="15" hidden="false" customHeight="false" outlineLevel="0" collapsed="false">
      <c r="A1310" s="14" t="s">
        <v>1031</v>
      </c>
      <c r="B1310" s="14" t="s">
        <v>1019</v>
      </c>
      <c r="C1310" s="14" t="s">
        <v>190</v>
      </c>
      <c r="D1310" s="14" t="s">
        <v>156</v>
      </c>
      <c r="E1310" s="14" t="s">
        <v>157</v>
      </c>
      <c r="F1310" s="14" t="s">
        <v>150</v>
      </c>
      <c r="G1310" s="14" t="n">
        <v>2</v>
      </c>
      <c r="H1310" s="14" t="s">
        <v>153</v>
      </c>
      <c r="I1310" s="14" t="s">
        <v>892</v>
      </c>
      <c r="J1310" s="15" t="n">
        <f aca="false">IF(B1310="SITE LOSS",IF(D1310=C1310,1,0),IF(B1310="REGION LOSS",IF(E1310=C1310,1,0),0))</f>
        <v>0</v>
      </c>
      <c r="K1310" s="15" t="n">
        <f aca="false">IF(B1310="SITE LOSS",IF(COUNTIFS('Site Dockets'!$B$7:$B$24,C1310,'Site Dockets'!$C$7:$C$24,F1310)&gt;0,1,0),IF(B1310="REGION LOSS",IF(COUNTIFS('Site Dockets'!$E$7:$E$24,C1310,'Site Dockets'!$C$7:$C$24,F1310)&gt;0,1,0),0))</f>
        <v>0</v>
      </c>
      <c r="L1310" s="15" t="n">
        <f aca="false">IF(J1310=1,0,Inputs!$B$11)</f>
        <v>100</v>
      </c>
      <c r="M1310" s="15" t="n">
        <f aca="false">IF(J1310=1,0,Inputs!$B$12)</f>
        <v>75</v>
      </c>
      <c r="N1310" s="15" t="n">
        <f aca="false">IF(J1310=1,0,IF(OR(AND(OR(B1310="SITE LOSS",B1310="REGION LOSS"),K1310=1),AND(B1310="ROLE COMPROMISE",H1310=C1310)),Inputs!$B$13,Inputs!$B$14))</f>
        <v>10</v>
      </c>
      <c r="O1310" s="15" t="n">
        <f aca="false">IF(J1310=1,0,Inputs!$B$13)</f>
        <v>20</v>
      </c>
      <c r="P1310" s="15" t="n">
        <f aca="false">SUM(M1310:N1310)</f>
        <v>85</v>
      </c>
      <c r="Q1310" s="15" t="n">
        <f aca="false">IF(J1310=1,"",L1310-P1310)</f>
        <v>15</v>
      </c>
      <c r="R1310" s="15" t="n">
        <f aca="false">IF(OR(J1310=1,M1310&lt;=Inputs!$B$12),1,0)</f>
        <v>1</v>
      </c>
      <c r="S1310" s="15" t="n">
        <f aca="false">IF(OR(J1310=1,N1310&lt;=O1310),1,0)</f>
        <v>1</v>
      </c>
      <c r="T1310" s="15" t="str">
        <f aca="false">IF(J1310=1,"OFFLINE",IF(AND(Q1310&gt;=Inputs!$B$15,R1310=1,S1310=1,P1310&lt;=L1310),"PASS","FAIL"))</f>
        <v>PASS</v>
      </c>
    </row>
    <row r="1311" customFormat="false" ht="15" hidden="false" customHeight="false" outlineLevel="0" collapsed="false">
      <c r="A1311" s="14" t="s">
        <v>1031</v>
      </c>
      <c r="B1311" s="14" t="s">
        <v>1019</v>
      </c>
      <c r="C1311" s="14" t="s">
        <v>190</v>
      </c>
      <c r="D1311" s="14" t="s">
        <v>156</v>
      </c>
      <c r="E1311" s="14" t="s">
        <v>157</v>
      </c>
      <c r="F1311" s="14" t="s">
        <v>150</v>
      </c>
      <c r="G1311" s="14" t="n">
        <v>2</v>
      </c>
      <c r="H1311" s="14" t="s">
        <v>153</v>
      </c>
      <c r="I1311" s="14" t="s">
        <v>811</v>
      </c>
      <c r="J1311" s="15" t="n">
        <f aca="false">IF(B1311="SITE LOSS",IF(D1311=C1311,1,0),IF(B1311="REGION LOSS",IF(E1311=C1311,1,0),0))</f>
        <v>0</v>
      </c>
      <c r="K1311" s="15" t="n">
        <f aca="false">IF(B1311="SITE LOSS",IF(COUNTIFS('Site Dockets'!$B$7:$B$24,C1311,'Site Dockets'!$C$7:$C$24,F1311)&gt;0,1,0),IF(B1311="REGION LOSS",IF(COUNTIFS('Site Dockets'!$E$7:$E$24,C1311,'Site Dockets'!$C$7:$C$24,F1311)&gt;0,1,0),0))</f>
        <v>0</v>
      </c>
      <c r="L1311" s="15" t="n">
        <f aca="false">IF(J1311=1,0,Inputs!$B$11)</f>
        <v>100</v>
      </c>
      <c r="M1311" s="15" t="n">
        <f aca="false">IF(J1311=1,0,Inputs!$B$12)</f>
        <v>75</v>
      </c>
      <c r="N1311" s="15" t="n">
        <f aca="false">IF(J1311=1,0,IF(OR(AND(OR(B1311="SITE LOSS",B1311="REGION LOSS"),K1311=1),AND(B1311="ROLE COMPROMISE",H1311=C1311)),Inputs!$B$13,Inputs!$B$14))</f>
        <v>10</v>
      </c>
      <c r="O1311" s="15" t="n">
        <f aca="false">IF(J1311=1,0,Inputs!$B$13)</f>
        <v>20</v>
      </c>
      <c r="P1311" s="15" t="n">
        <f aca="false">SUM(M1311:N1311)</f>
        <v>85</v>
      </c>
      <c r="Q1311" s="15" t="n">
        <f aca="false">IF(J1311=1,"",L1311-P1311)</f>
        <v>15</v>
      </c>
      <c r="R1311" s="15" t="n">
        <f aca="false">IF(OR(J1311=1,M1311&lt;=Inputs!$B$12),1,0)</f>
        <v>1</v>
      </c>
      <c r="S1311" s="15" t="n">
        <f aca="false">IF(OR(J1311=1,N1311&lt;=O1311),1,0)</f>
        <v>1</v>
      </c>
      <c r="T1311" s="15" t="str">
        <f aca="false">IF(J1311=1,"OFFLINE",IF(AND(Q1311&gt;=Inputs!$B$15,R1311=1,S1311=1,P1311&lt;=L1311),"PASS","FAIL"))</f>
        <v>PASS</v>
      </c>
    </row>
    <row r="1312" customFormat="false" ht="15" hidden="false" customHeight="false" outlineLevel="0" collapsed="false">
      <c r="A1312" s="14" t="s">
        <v>1031</v>
      </c>
      <c r="B1312" s="14" t="s">
        <v>1019</v>
      </c>
      <c r="C1312" s="14" t="s">
        <v>190</v>
      </c>
      <c r="D1312" s="14" t="s">
        <v>156</v>
      </c>
      <c r="E1312" s="14" t="s">
        <v>157</v>
      </c>
      <c r="F1312" s="14" t="s">
        <v>150</v>
      </c>
      <c r="G1312" s="14" t="n">
        <v>2</v>
      </c>
      <c r="H1312" s="14" t="s">
        <v>153</v>
      </c>
      <c r="I1312" s="14" t="s">
        <v>895</v>
      </c>
      <c r="J1312" s="15" t="n">
        <f aca="false">IF(B1312="SITE LOSS",IF(D1312=C1312,1,0),IF(B1312="REGION LOSS",IF(E1312=C1312,1,0),0))</f>
        <v>0</v>
      </c>
      <c r="K1312" s="15" t="n">
        <f aca="false">IF(B1312="SITE LOSS",IF(COUNTIFS('Site Dockets'!$B$7:$B$24,C1312,'Site Dockets'!$C$7:$C$24,F1312)&gt;0,1,0),IF(B1312="REGION LOSS",IF(COUNTIFS('Site Dockets'!$E$7:$E$24,C1312,'Site Dockets'!$C$7:$C$24,F1312)&gt;0,1,0),0))</f>
        <v>0</v>
      </c>
      <c r="L1312" s="15" t="n">
        <f aca="false">IF(J1312=1,0,Inputs!$B$11)</f>
        <v>100</v>
      </c>
      <c r="M1312" s="15" t="n">
        <f aca="false">IF(J1312=1,0,Inputs!$B$12)</f>
        <v>75</v>
      </c>
      <c r="N1312" s="15" t="n">
        <f aca="false">IF(J1312=1,0,IF(OR(AND(OR(B1312="SITE LOSS",B1312="REGION LOSS"),K1312=1),AND(B1312="ROLE COMPROMISE",H1312=C1312)),Inputs!$B$13,Inputs!$B$14))</f>
        <v>10</v>
      </c>
      <c r="O1312" s="15" t="n">
        <f aca="false">IF(J1312=1,0,Inputs!$B$13)</f>
        <v>20</v>
      </c>
      <c r="P1312" s="15" t="n">
        <f aca="false">SUM(M1312:N1312)</f>
        <v>85</v>
      </c>
      <c r="Q1312" s="15" t="n">
        <f aca="false">IF(J1312=1,"",L1312-P1312)</f>
        <v>15</v>
      </c>
      <c r="R1312" s="15" t="n">
        <f aca="false">IF(OR(J1312=1,M1312&lt;=Inputs!$B$12),1,0)</f>
        <v>1</v>
      </c>
      <c r="S1312" s="15" t="n">
        <f aca="false">IF(OR(J1312=1,N1312&lt;=O1312),1,0)</f>
        <v>1</v>
      </c>
      <c r="T1312" s="15" t="str">
        <f aca="false">IF(J1312=1,"OFFLINE",IF(AND(Q1312&gt;=Inputs!$B$15,R1312=1,S1312=1,P1312&lt;=L1312),"PASS","FAIL"))</f>
        <v>PASS</v>
      </c>
    </row>
    <row r="1313" customFormat="false" ht="15" hidden="false" customHeight="false" outlineLevel="0" collapsed="false">
      <c r="A1313" s="14" t="s">
        <v>1031</v>
      </c>
      <c r="B1313" s="14" t="s">
        <v>1019</v>
      </c>
      <c r="C1313" s="14" t="s">
        <v>190</v>
      </c>
      <c r="D1313" s="14" t="s">
        <v>156</v>
      </c>
      <c r="E1313" s="14" t="s">
        <v>157</v>
      </c>
      <c r="F1313" s="14" t="s">
        <v>150</v>
      </c>
      <c r="G1313" s="14" t="n">
        <v>2</v>
      </c>
      <c r="H1313" s="14" t="s">
        <v>153</v>
      </c>
      <c r="I1313" s="14" t="s">
        <v>897</v>
      </c>
      <c r="J1313" s="15" t="n">
        <f aca="false">IF(B1313="SITE LOSS",IF(D1313=C1313,1,0),IF(B1313="REGION LOSS",IF(E1313=C1313,1,0),0))</f>
        <v>0</v>
      </c>
      <c r="K1313" s="15" t="n">
        <f aca="false">IF(B1313="SITE LOSS",IF(COUNTIFS('Site Dockets'!$B$7:$B$24,C1313,'Site Dockets'!$C$7:$C$24,F1313)&gt;0,1,0),IF(B1313="REGION LOSS",IF(COUNTIFS('Site Dockets'!$E$7:$E$24,C1313,'Site Dockets'!$C$7:$C$24,F1313)&gt;0,1,0),0))</f>
        <v>0</v>
      </c>
      <c r="L1313" s="15" t="n">
        <f aca="false">IF(J1313=1,0,Inputs!$B$11)</f>
        <v>100</v>
      </c>
      <c r="M1313" s="15" t="n">
        <f aca="false">IF(J1313=1,0,Inputs!$B$12)</f>
        <v>75</v>
      </c>
      <c r="N1313" s="15" t="n">
        <f aca="false">IF(J1313=1,0,IF(OR(AND(OR(B1313="SITE LOSS",B1313="REGION LOSS"),K1313=1),AND(B1313="ROLE COMPROMISE",H1313=C1313)),Inputs!$B$13,Inputs!$B$14))</f>
        <v>10</v>
      </c>
      <c r="O1313" s="15" t="n">
        <f aca="false">IF(J1313=1,0,Inputs!$B$13)</f>
        <v>20</v>
      </c>
      <c r="P1313" s="15" t="n">
        <f aca="false">SUM(M1313:N1313)</f>
        <v>85</v>
      </c>
      <c r="Q1313" s="15" t="n">
        <f aca="false">IF(J1313=1,"",L1313-P1313)</f>
        <v>15</v>
      </c>
      <c r="R1313" s="15" t="n">
        <f aca="false">IF(OR(J1313=1,M1313&lt;=Inputs!$B$12),1,0)</f>
        <v>1</v>
      </c>
      <c r="S1313" s="15" t="n">
        <f aca="false">IF(OR(J1313=1,N1313&lt;=O1313),1,0)</f>
        <v>1</v>
      </c>
      <c r="T1313" s="15" t="str">
        <f aca="false">IF(J1313=1,"OFFLINE",IF(AND(Q1313&gt;=Inputs!$B$15,R1313=1,S1313=1,P1313&lt;=L1313),"PASS","FAIL"))</f>
        <v>PASS</v>
      </c>
    </row>
    <row r="1314" customFormat="false" ht="15" hidden="false" customHeight="false" outlineLevel="0" collapsed="false">
      <c r="A1314" s="14" t="s">
        <v>1031</v>
      </c>
      <c r="B1314" s="14" t="s">
        <v>1019</v>
      </c>
      <c r="C1314" s="14" t="s">
        <v>190</v>
      </c>
      <c r="D1314" s="14" t="s">
        <v>156</v>
      </c>
      <c r="E1314" s="14" t="s">
        <v>157</v>
      </c>
      <c r="F1314" s="14" t="s">
        <v>150</v>
      </c>
      <c r="G1314" s="14" t="n">
        <v>2</v>
      </c>
      <c r="H1314" s="14" t="s">
        <v>153</v>
      </c>
      <c r="I1314" s="14" t="s">
        <v>899</v>
      </c>
      <c r="J1314" s="15" t="n">
        <f aca="false">IF(B1314="SITE LOSS",IF(D1314=C1314,1,0),IF(B1314="REGION LOSS",IF(E1314=C1314,1,0),0))</f>
        <v>0</v>
      </c>
      <c r="K1314" s="15" t="n">
        <f aca="false">IF(B1314="SITE LOSS",IF(COUNTIFS('Site Dockets'!$B$7:$B$24,C1314,'Site Dockets'!$C$7:$C$24,F1314)&gt;0,1,0),IF(B1314="REGION LOSS",IF(COUNTIFS('Site Dockets'!$E$7:$E$24,C1314,'Site Dockets'!$C$7:$C$24,F1314)&gt;0,1,0),0))</f>
        <v>0</v>
      </c>
      <c r="L1314" s="15" t="n">
        <f aca="false">IF(J1314=1,0,Inputs!$B$11)</f>
        <v>100</v>
      </c>
      <c r="M1314" s="15" t="n">
        <f aca="false">IF(J1314=1,0,Inputs!$B$12)</f>
        <v>75</v>
      </c>
      <c r="N1314" s="15" t="n">
        <f aca="false">IF(J1314=1,0,IF(OR(AND(OR(B1314="SITE LOSS",B1314="REGION LOSS"),K1314=1),AND(B1314="ROLE COMPROMISE",H1314=C1314)),Inputs!$B$13,Inputs!$B$14))</f>
        <v>10</v>
      </c>
      <c r="O1314" s="15" t="n">
        <f aca="false">IF(J1314=1,0,Inputs!$B$13)</f>
        <v>20</v>
      </c>
      <c r="P1314" s="15" t="n">
        <f aca="false">SUM(M1314:N1314)</f>
        <v>85</v>
      </c>
      <c r="Q1314" s="15" t="n">
        <f aca="false">IF(J1314=1,"",L1314-P1314)</f>
        <v>15</v>
      </c>
      <c r="R1314" s="15" t="n">
        <f aca="false">IF(OR(J1314=1,M1314&lt;=Inputs!$B$12),1,0)</f>
        <v>1</v>
      </c>
      <c r="S1314" s="15" t="n">
        <f aca="false">IF(OR(J1314=1,N1314&lt;=O1314),1,0)</f>
        <v>1</v>
      </c>
      <c r="T1314" s="15" t="str">
        <f aca="false">IF(J1314=1,"OFFLINE",IF(AND(Q1314&gt;=Inputs!$B$15,R1314=1,S1314=1,P1314&lt;=L1314),"PASS","FAIL"))</f>
        <v>PASS</v>
      </c>
    </row>
    <row r="1315" customFormat="false" ht="15" hidden="false" customHeight="false" outlineLevel="0" collapsed="false">
      <c r="A1315" s="14" t="s">
        <v>1031</v>
      </c>
      <c r="B1315" s="14" t="s">
        <v>1019</v>
      </c>
      <c r="C1315" s="14" t="s">
        <v>190</v>
      </c>
      <c r="D1315" s="14" t="s">
        <v>160</v>
      </c>
      <c r="E1315" s="14" t="s">
        <v>161</v>
      </c>
      <c r="F1315" s="14" t="s">
        <v>150</v>
      </c>
      <c r="G1315" s="14" t="n">
        <v>3</v>
      </c>
      <c r="H1315" s="14" t="s">
        <v>158</v>
      </c>
      <c r="I1315" s="14" t="s">
        <v>890</v>
      </c>
      <c r="J1315" s="15" t="n">
        <f aca="false">IF(B1315="SITE LOSS",IF(D1315=C1315,1,0),IF(B1315="REGION LOSS",IF(E1315=C1315,1,0),0))</f>
        <v>0</v>
      </c>
      <c r="K1315" s="15" t="n">
        <f aca="false">IF(B1315="SITE LOSS",IF(COUNTIFS('Site Dockets'!$B$7:$B$24,C1315,'Site Dockets'!$C$7:$C$24,F1315)&gt;0,1,0),IF(B1315="REGION LOSS",IF(COUNTIFS('Site Dockets'!$E$7:$E$24,C1315,'Site Dockets'!$C$7:$C$24,F1315)&gt;0,1,0),0))</f>
        <v>0</v>
      </c>
      <c r="L1315" s="15" t="n">
        <f aca="false">IF(J1315=1,0,Inputs!$B$11)</f>
        <v>100</v>
      </c>
      <c r="M1315" s="15" t="n">
        <f aca="false">IF(J1315=1,0,Inputs!$B$12)</f>
        <v>75</v>
      </c>
      <c r="N1315" s="15" t="n">
        <f aca="false">IF(J1315=1,0,IF(OR(AND(OR(B1315="SITE LOSS",B1315="REGION LOSS"),K1315=1),AND(B1315="ROLE COMPROMISE",H1315=C1315)),Inputs!$B$13,Inputs!$B$14))</f>
        <v>10</v>
      </c>
      <c r="O1315" s="15" t="n">
        <f aca="false">IF(J1315=1,0,Inputs!$B$13)</f>
        <v>20</v>
      </c>
      <c r="P1315" s="15" t="n">
        <f aca="false">SUM(M1315:N1315)</f>
        <v>85</v>
      </c>
      <c r="Q1315" s="15" t="n">
        <f aca="false">IF(J1315=1,"",L1315-P1315)</f>
        <v>15</v>
      </c>
      <c r="R1315" s="15" t="n">
        <f aca="false">IF(OR(J1315=1,M1315&lt;=Inputs!$B$12),1,0)</f>
        <v>1</v>
      </c>
      <c r="S1315" s="15" t="n">
        <f aca="false">IF(OR(J1315=1,N1315&lt;=O1315),1,0)</f>
        <v>1</v>
      </c>
      <c r="T1315" s="15" t="str">
        <f aca="false">IF(J1315=1,"OFFLINE",IF(AND(Q1315&gt;=Inputs!$B$15,R1315=1,S1315=1,P1315&lt;=L1315),"PASS","FAIL"))</f>
        <v>PASS</v>
      </c>
    </row>
    <row r="1316" customFormat="false" ht="15" hidden="false" customHeight="false" outlineLevel="0" collapsed="false">
      <c r="A1316" s="14" t="s">
        <v>1031</v>
      </c>
      <c r="B1316" s="14" t="s">
        <v>1019</v>
      </c>
      <c r="C1316" s="14" t="s">
        <v>190</v>
      </c>
      <c r="D1316" s="14" t="s">
        <v>160</v>
      </c>
      <c r="E1316" s="14" t="s">
        <v>161</v>
      </c>
      <c r="F1316" s="14" t="s">
        <v>150</v>
      </c>
      <c r="G1316" s="14" t="n">
        <v>3</v>
      </c>
      <c r="H1316" s="14" t="s">
        <v>158</v>
      </c>
      <c r="I1316" s="14" t="s">
        <v>892</v>
      </c>
      <c r="J1316" s="15" t="n">
        <f aca="false">IF(B1316="SITE LOSS",IF(D1316=C1316,1,0),IF(B1316="REGION LOSS",IF(E1316=C1316,1,0),0))</f>
        <v>0</v>
      </c>
      <c r="K1316" s="15" t="n">
        <f aca="false">IF(B1316="SITE LOSS",IF(COUNTIFS('Site Dockets'!$B$7:$B$24,C1316,'Site Dockets'!$C$7:$C$24,F1316)&gt;0,1,0),IF(B1316="REGION LOSS",IF(COUNTIFS('Site Dockets'!$E$7:$E$24,C1316,'Site Dockets'!$C$7:$C$24,F1316)&gt;0,1,0),0))</f>
        <v>0</v>
      </c>
      <c r="L1316" s="15" t="n">
        <f aca="false">IF(J1316=1,0,Inputs!$B$11)</f>
        <v>100</v>
      </c>
      <c r="M1316" s="15" t="n">
        <f aca="false">IF(J1316=1,0,Inputs!$B$12)</f>
        <v>75</v>
      </c>
      <c r="N1316" s="15" t="n">
        <f aca="false">IF(J1316=1,0,IF(OR(AND(OR(B1316="SITE LOSS",B1316="REGION LOSS"),K1316=1),AND(B1316="ROLE COMPROMISE",H1316=C1316)),Inputs!$B$13,Inputs!$B$14))</f>
        <v>10</v>
      </c>
      <c r="O1316" s="15" t="n">
        <f aca="false">IF(J1316=1,0,Inputs!$B$13)</f>
        <v>20</v>
      </c>
      <c r="P1316" s="15" t="n">
        <f aca="false">SUM(M1316:N1316)</f>
        <v>85</v>
      </c>
      <c r="Q1316" s="15" t="n">
        <f aca="false">IF(J1316=1,"",L1316-P1316)</f>
        <v>15</v>
      </c>
      <c r="R1316" s="15" t="n">
        <f aca="false">IF(OR(J1316=1,M1316&lt;=Inputs!$B$12),1,0)</f>
        <v>1</v>
      </c>
      <c r="S1316" s="15" t="n">
        <f aca="false">IF(OR(J1316=1,N1316&lt;=O1316),1,0)</f>
        <v>1</v>
      </c>
      <c r="T1316" s="15" t="str">
        <f aca="false">IF(J1316=1,"OFFLINE",IF(AND(Q1316&gt;=Inputs!$B$15,R1316=1,S1316=1,P1316&lt;=L1316),"PASS","FAIL"))</f>
        <v>PASS</v>
      </c>
    </row>
    <row r="1317" customFormat="false" ht="15" hidden="false" customHeight="false" outlineLevel="0" collapsed="false">
      <c r="A1317" s="14" t="s">
        <v>1031</v>
      </c>
      <c r="B1317" s="14" t="s">
        <v>1019</v>
      </c>
      <c r="C1317" s="14" t="s">
        <v>190</v>
      </c>
      <c r="D1317" s="14" t="s">
        <v>160</v>
      </c>
      <c r="E1317" s="14" t="s">
        <v>161</v>
      </c>
      <c r="F1317" s="14" t="s">
        <v>150</v>
      </c>
      <c r="G1317" s="14" t="n">
        <v>3</v>
      </c>
      <c r="H1317" s="14" t="s">
        <v>158</v>
      </c>
      <c r="I1317" s="14" t="s">
        <v>811</v>
      </c>
      <c r="J1317" s="15" t="n">
        <f aca="false">IF(B1317="SITE LOSS",IF(D1317=C1317,1,0),IF(B1317="REGION LOSS",IF(E1317=C1317,1,0),0))</f>
        <v>0</v>
      </c>
      <c r="K1317" s="15" t="n">
        <f aca="false">IF(B1317="SITE LOSS",IF(COUNTIFS('Site Dockets'!$B$7:$B$24,C1317,'Site Dockets'!$C$7:$C$24,F1317)&gt;0,1,0),IF(B1317="REGION LOSS",IF(COUNTIFS('Site Dockets'!$E$7:$E$24,C1317,'Site Dockets'!$C$7:$C$24,F1317)&gt;0,1,0),0))</f>
        <v>0</v>
      </c>
      <c r="L1317" s="15" t="n">
        <f aca="false">IF(J1317=1,0,Inputs!$B$11)</f>
        <v>100</v>
      </c>
      <c r="M1317" s="15" t="n">
        <f aca="false">IF(J1317=1,0,Inputs!$B$12)</f>
        <v>75</v>
      </c>
      <c r="N1317" s="15" t="n">
        <f aca="false">IF(J1317=1,0,IF(OR(AND(OR(B1317="SITE LOSS",B1317="REGION LOSS"),K1317=1),AND(B1317="ROLE COMPROMISE",H1317=C1317)),Inputs!$B$13,Inputs!$B$14))</f>
        <v>10</v>
      </c>
      <c r="O1317" s="15" t="n">
        <f aca="false">IF(J1317=1,0,Inputs!$B$13)</f>
        <v>20</v>
      </c>
      <c r="P1317" s="15" t="n">
        <f aca="false">SUM(M1317:N1317)</f>
        <v>85</v>
      </c>
      <c r="Q1317" s="15" t="n">
        <f aca="false">IF(J1317=1,"",L1317-P1317)</f>
        <v>15</v>
      </c>
      <c r="R1317" s="15" t="n">
        <f aca="false">IF(OR(J1317=1,M1317&lt;=Inputs!$B$12),1,0)</f>
        <v>1</v>
      </c>
      <c r="S1317" s="15" t="n">
        <f aca="false">IF(OR(J1317=1,N1317&lt;=O1317),1,0)</f>
        <v>1</v>
      </c>
      <c r="T1317" s="15" t="str">
        <f aca="false">IF(J1317=1,"OFFLINE",IF(AND(Q1317&gt;=Inputs!$B$15,R1317=1,S1317=1,P1317&lt;=L1317),"PASS","FAIL"))</f>
        <v>PASS</v>
      </c>
    </row>
    <row r="1318" customFormat="false" ht="15" hidden="false" customHeight="false" outlineLevel="0" collapsed="false">
      <c r="A1318" s="14" t="s">
        <v>1031</v>
      </c>
      <c r="B1318" s="14" t="s">
        <v>1019</v>
      </c>
      <c r="C1318" s="14" t="s">
        <v>190</v>
      </c>
      <c r="D1318" s="14" t="s">
        <v>160</v>
      </c>
      <c r="E1318" s="14" t="s">
        <v>161</v>
      </c>
      <c r="F1318" s="14" t="s">
        <v>150</v>
      </c>
      <c r="G1318" s="14" t="n">
        <v>3</v>
      </c>
      <c r="H1318" s="14" t="s">
        <v>158</v>
      </c>
      <c r="I1318" s="14" t="s">
        <v>895</v>
      </c>
      <c r="J1318" s="15" t="n">
        <f aca="false">IF(B1318="SITE LOSS",IF(D1318=C1318,1,0),IF(B1318="REGION LOSS",IF(E1318=C1318,1,0),0))</f>
        <v>0</v>
      </c>
      <c r="K1318" s="15" t="n">
        <f aca="false">IF(B1318="SITE LOSS",IF(COUNTIFS('Site Dockets'!$B$7:$B$24,C1318,'Site Dockets'!$C$7:$C$24,F1318)&gt;0,1,0),IF(B1318="REGION LOSS",IF(COUNTIFS('Site Dockets'!$E$7:$E$24,C1318,'Site Dockets'!$C$7:$C$24,F1318)&gt;0,1,0),0))</f>
        <v>0</v>
      </c>
      <c r="L1318" s="15" t="n">
        <f aca="false">IF(J1318=1,0,Inputs!$B$11)</f>
        <v>100</v>
      </c>
      <c r="M1318" s="15" t="n">
        <f aca="false">IF(J1318=1,0,Inputs!$B$12)</f>
        <v>75</v>
      </c>
      <c r="N1318" s="15" t="n">
        <f aca="false">IF(J1318=1,0,IF(OR(AND(OR(B1318="SITE LOSS",B1318="REGION LOSS"),K1318=1),AND(B1318="ROLE COMPROMISE",H1318=C1318)),Inputs!$B$13,Inputs!$B$14))</f>
        <v>10</v>
      </c>
      <c r="O1318" s="15" t="n">
        <f aca="false">IF(J1318=1,0,Inputs!$B$13)</f>
        <v>20</v>
      </c>
      <c r="P1318" s="15" t="n">
        <f aca="false">SUM(M1318:N1318)</f>
        <v>85</v>
      </c>
      <c r="Q1318" s="15" t="n">
        <f aca="false">IF(J1318=1,"",L1318-P1318)</f>
        <v>15</v>
      </c>
      <c r="R1318" s="15" t="n">
        <f aca="false">IF(OR(J1318=1,M1318&lt;=Inputs!$B$12),1,0)</f>
        <v>1</v>
      </c>
      <c r="S1318" s="15" t="n">
        <f aca="false">IF(OR(J1318=1,N1318&lt;=O1318),1,0)</f>
        <v>1</v>
      </c>
      <c r="T1318" s="15" t="str">
        <f aca="false">IF(J1318=1,"OFFLINE",IF(AND(Q1318&gt;=Inputs!$B$15,R1318=1,S1318=1,P1318&lt;=L1318),"PASS","FAIL"))</f>
        <v>PASS</v>
      </c>
    </row>
    <row r="1319" customFormat="false" ht="15" hidden="false" customHeight="false" outlineLevel="0" collapsed="false">
      <c r="A1319" s="14" t="s">
        <v>1031</v>
      </c>
      <c r="B1319" s="14" t="s">
        <v>1019</v>
      </c>
      <c r="C1319" s="14" t="s">
        <v>190</v>
      </c>
      <c r="D1319" s="14" t="s">
        <v>160</v>
      </c>
      <c r="E1319" s="14" t="s">
        <v>161</v>
      </c>
      <c r="F1319" s="14" t="s">
        <v>150</v>
      </c>
      <c r="G1319" s="14" t="n">
        <v>3</v>
      </c>
      <c r="H1319" s="14" t="s">
        <v>158</v>
      </c>
      <c r="I1319" s="14" t="s">
        <v>897</v>
      </c>
      <c r="J1319" s="15" t="n">
        <f aca="false">IF(B1319="SITE LOSS",IF(D1319=C1319,1,0),IF(B1319="REGION LOSS",IF(E1319=C1319,1,0),0))</f>
        <v>0</v>
      </c>
      <c r="K1319" s="15" t="n">
        <f aca="false">IF(B1319="SITE LOSS",IF(COUNTIFS('Site Dockets'!$B$7:$B$24,C1319,'Site Dockets'!$C$7:$C$24,F1319)&gt;0,1,0),IF(B1319="REGION LOSS",IF(COUNTIFS('Site Dockets'!$E$7:$E$24,C1319,'Site Dockets'!$C$7:$C$24,F1319)&gt;0,1,0),0))</f>
        <v>0</v>
      </c>
      <c r="L1319" s="15" t="n">
        <f aca="false">IF(J1319=1,0,Inputs!$B$11)</f>
        <v>100</v>
      </c>
      <c r="M1319" s="15" t="n">
        <f aca="false">IF(J1319=1,0,Inputs!$B$12)</f>
        <v>75</v>
      </c>
      <c r="N1319" s="15" t="n">
        <f aca="false">IF(J1319=1,0,IF(OR(AND(OR(B1319="SITE LOSS",B1319="REGION LOSS"),K1319=1),AND(B1319="ROLE COMPROMISE",H1319=C1319)),Inputs!$B$13,Inputs!$B$14))</f>
        <v>10</v>
      </c>
      <c r="O1319" s="15" t="n">
        <f aca="false">IF(J1319=1,0,Inputs!$B$13)</f>
        <v>20</v>
      </c>
      <c r="P1319" s="15" t="n">
        <f aca="false">SUM(M1319:N1319)</f>
        <v>85</v>
      </c>
      <c r="Q1319" s="15" t="n">
        <f aca="false">IF(J1319=1,"",L1319-P1319)</f>
        <v>15</v>
      </c>
      <c r="R1319" s="15" t="n">
        <f aca="false">IF(OR(J1319=1,M1319&lt;=Inputs!$B$12),1,0)</f>
        <v>1</v>
      </c>
      <c r="S1319" s="15" t="n">
        <f aca="false">IF(OR(J1319=1,N1319&lt;=O1319),1,0)</f>
        <v>1</v>
      </c>
      <c r="T1319" s="15" t="str">
        <f aca="false">IF(J1319=1,"OFFLINE",IF(AND(Q1319&gt;=Inputs!$B$15,R1319=1,S1319=1,P1319&lt;=L1319),"PASS","FAIL"))</f>
        <v>PASS</v>
      </c>
    </row>
    <row r="1320" customFormat="false" ht="15" hidden="false" customHeight="false" outlineLevel="0" collapsed="false">
      <c r="A1320" s="14" t="s">
        <v>1031</v>
      </c>
      <c r="B1320" s="14" t="s">
        <v>1019</v>
      </c>
      <c r="C1320" s="14" t="s">
        <v>190</v>
      </c>
      <c r="D1320" s="14" t="s">
        <v>160</v>
      </c>
      <c r="E1320" s="14" t="s">
        <v>161</v>
      </c>
      <c r="F1320" s="14" t="s">
        <v>150</v>
      </c>
      <c r="G1320" s="14" t="n">
        <v>3</v>
      </c>
      <c r="H1320" s="14" t="s">
        <v>158</v>
      </c>
      <c r="I1320" s="14" t="s">
        <v>899</v>
      </c>
      <c r="J1320" s="15" t="n">
        <f aca="false">IF(B1320="SITE LOSS",IF(D1320=C1320,1,0),IF(B1320="REGION LOSS",IF(E1320=C1320,1,0),0))</f>
        <v>0</v>
      </c>
      <c r="K1320" s="15" t="n">
        <f aca="false">IF(B1320="SITE LOSS",IF(COUNTIFS('Site Dockets'!$B$7:$B$24,C1320,'Site Dockets'!$C$7:$C$24,F1320)&gt;0,1,0),IF(B1320="REGION LOSS",IF(COUNTIFS('Site Dockets'!$E$7:$E$24,C1320,'Site Dockets'!$C$7:$C$24,F1320)&gt;0,1,0),0))</f>
        <v>0</v>
      </c>
      <c r="L1320" s="15" t="n">
        <f aca="false">IF(J1320=1,0,Inputs!$B$11)</f>
        <v>100</v>
      </c>
      <c r="M1320" s="15" t="n">
        <f aca="false">IF(J1320=1,0,Inputs!$B$12)</f>
        <v>75</v>
      </c>
      <c r="N1320" s="15" t="n">
        <f aca="false">IF(J1320=1,0,IF(OR(AND(OR(B1320="SITE LOSS",B1320="REGION LOSS"),K1320=1),AND(B1320="ROLE COMPROMISE",H1320=C1320)),Inputs!$B$13,Inputs!$B$14))</f>
        <v>10</v>
      </c>
      <c r="O1320" s="15" t="n">
        <f aca="false">IF(J1320=1,0,Inputs!$B$13)</f>
        <v>20</v>
      </c>
      <c r="P1320" s="15" t="n">
        <f aca="false">SUM(M1320:N1320)</f>
        <v>85</v>
      </c>
      <c r="Q1320" s="15" t="n">
        <f aca="false">IF(J1320=1,"",L1320-P1320)</f>
        <v>15</v>
      </c>
      <c r="R1320" s="15" t="n">
        <f aca="false">IF(OR(J1320=1,M1320&lt;=Inputs!$B$12),1,0)</f>
        <v>1</v>
      </c>
      <c r="S1320" s="15" t="n">
        <f aca="false">IF(OR(J1320=1,N1320&lt;=O1320),1,0)</f>
        <v>1</v>
      </c>
      <c r="T1320" s="15" t="str">
        <f aca="false">IF(J1320=1,"OFFLINE",IF(AND(Q1320&gt;=Inputs!$B$15,R1320=1,S1320=1,P1320&lt;=L1320),"PASS","FAIL"))</f>
        <v>PASS</v>
      </c>
    </row>
    <row r="1321" customFormat="false" ht="15" hidden="false" customHeight="false" outlineLevel="0" collapsed="false">
      <c r="A1321" s="14" t="s">
        <v>1031</v>
      </c>
      <c r="B1321" s="14" t="s">
        <v>1019</v>
      </c>
      <c r="C1321" s="14" t="s">
        <v>190</v>
      </c>
      <c r="D1321" s="14" t="s">
        <v>163</v>
      </c>
      <c r="E1321" s="14" t="s">
        <v>166</v>
      </c>
      <c r="F1321" s="14" t="s">
        <v>164</v>
      </c>
      <c r="G1321" s="14" t="n">
        <v>1</v>
      </c>
      <c r="H1321" s="14" t="s">
        <v>154</v>
      </c>
      <c r="I1321" s="14" t="s">
        <v>890</v>
      </c>
      <c r="J1321" s="15" t="n">
        <f aca="false">IF(B1321="SITE LOSS",IF(D1321=C1321,1,0),IF(B1321="REGION LOSS",IF(E1321=C1321,1,0),0))</f>
        <v>0</v>
      </c>
      <c r="K1321" s="15" t="n">
        <f aca="false">IF(B1321="SITE LOSS",IF(COUNTIFS('Site Dockets'!$B$7:$B$24,C1321,'Site Dockets'!$C$7:$C$24,F1321)&gt;0,1,0),IF(B1321="REGION LOSS",IF(COUNTIFS('Site Dockets'!$E$7:$E$24,C1321,'Site Dockets'!$C$7:$C$24,F1321)&gt;0,1,0),0))</f>
        <v>0</v>
      </c>
      <c r="L1321" s="15" t="n">
        <f aca="false">IF(J1321=1,0,Inputs!$B$11)</f>
        <v>100</v>
      </c>
      <c r="M1321" s="15" t="n">
        <f aca="false">IF(J1321=1,0,Inputs!$B$12)</f>
        <v>75</v>
      </c>
      <c r="N1321" s="15" t="n">
        <f aca="false">IF(J1321=1,0,IF(OR(AND(OR(B1321="SITE LOSS",B1321="REGION LOSS"),K1321=1),AND(B1321="ROLE COMPROMISE",H1321=C1321)),Inputs!$B$13,Inputs!$B$14))</f>
        <v>10</v>
      </c>
      <c r="O1321" s="15" t="n">
        <f aca="false">IF(J1321=1,0,Inputs!$B$13)</f>
        <v>20</v>
      </c>
      <c r="P1321" s="15" t="n">
        <f aca="false">SUM(M1321:N1321)</f>
        <v>85</v>
      </c>
      <c r="Q1321" s="15" t="n">
        <f aca="false">IF(J1321=1,"",L1321-P1321)</f>
        <v>15</v>
      </c>
      <c r="R1321" s="15" t="n">
        <f aca="false">IF(OR(J1321=1,M1321&lt;=Inputs!$B$12),1,0)</f>
        <v>1</v>
      </c>
      <c r="S1321" s="15" t="n">
        <f aca="false">IF(OR(J1321=1,N1321&lt;=O1321),1,0)</f>
        <v>1</v>
      </c>
      <c r="T1321" s="15" t="str">
        <f aca="false">IF(J1321=1,"OFFLINE",IF(AND(Q1321&gt;=Inputs!$B$15,R1321=1,S1321=1,P1321&lt;=L1321),"PASS","FAIL"))</f>
        <v>PASS</v>
      </c>
    </row>
    <row r="1322" customFormat="false" ht="15" hidden="false" customHeight="false" outlineLevel="0" collapsed="false">
      <c r="A1322" s="14" t="s">
        <v>1031</v>
      </c>
      <c r="B1322" s="14" t="s">
        <v>1019</v>
      </c>
      <c r="C1322" s="14" t="s">
        <v>190</v>
      </c>
      <c r="D1322" s="14" t="s">
        <v>163</v>
      </c>
      <c r="E1322" s="14" t="s">
        <v>166</v>
      </c>
      <c r="F1322" s="14" t="s">
        <v>164</v>
      </c>
      <c r="G1322" s="14" t="n">
        <v>1</v>
      </c>
      <c r="H1322" s="14" t="s">
        <v>154</v>
      </c>
      <c r="I1322" s="14" t="s">
        <v>892</v>
      </c>
      <c r="J1322" s="15" t="n">
        <f aca="false">IF(B1322="SITE LOSS",IF(D1322=C1322,1,0),IF(B1322="REGION LOSS",IF(E1322=C1322,1,0),0))</f>
        <v>0</v>
      </c>
      <c r="K1322" s="15" t="n">
        <f aca="false">IF(B1322="SITE LOSS",IF(COUNTIFS('Site Dockets'!$B$7:$B$24,C1322,'Site Dockets'!$C$7:$C$24,F1322)&gt;0,1,0),IF(B1322="REGION LOSS",IF(COUNTIFS('Site Dockets'!$E$7:$E$24,C1322,'Site Dockets'!$C$7:$C$24,F1322)&gt;0,1,0),0))</f>
        <v>0</v>
      </c>
      <c r="L1322" s="15" t="n">
        <f aca="false">IF(J1322=1,0,Inputs!$B$11)</f>
        <v>100</v>
      </c>
      <c r="M1322" s="15" t="n">
        <f aca="false">IF(J1322=1,0,Inputs!$B$12)</f>
        <v>75</v>
      </c>
      <c r="N1322" s="15" t="n">
        <f aca="false">IF(J1322=1,0,IF(OR(AND(OR(B1322="SITE LOSS",B1322="REGION LOSS"),K1322=1),AND(B1322="ROLE COMPROMISE",H1322=C1322)),Inputs!$B$13,Inputs!$B$14))</f>
        <v>10</v>
      </c>
      <c r="O1322" s="15" t="n">
        <f aca="false">IF(J1322=1,0,Inputs!$B$13)</f>
        <v>20</v>
      </c>
      <c r="P1322" s="15" t="n">
        <f aca="false">SUM(M1322:N1322)</f>
        <v>85</v>
      </c>
      <c r="Q1322" s="15" t="n">
        <f aca="false">IF(J1322=1,"",L1322-P1322)</f>
        <v>15</v>
      </c>
      <c r="R1322" s="15" t="n">
        <f aca="false">IF(OR(J1322=1,M1322&lt;=Inputs!$B$12),1,0)</f>
        <v>1</v>
      </c>
      <c r="S1322" s="15" t="n">
        <f aca="false">IF(OR(J1322=1,N1322&lt;=O1322),1,0)</f>
        <v>1</v>
      </c>
      <c r="T1322" s="15" t="str">
        <f aca="false">IF(J1322=1,"OFFLINE",IF(AND(Q1322&gt;=Inputs!$B$15,R1322=1,S1322=1,P1322&lt;=L1322),"PASS","FAIL"))</f>
        <v>PASS</v>
      </c>
    </row>
    <row r="1323" customFormat="false" ht="15" hidden="false" customHeight="false" outlineLevel="0" collapsed="false">
      <c r="A1323" s="14" t="s">
        <v>1031</v>
      </c>
      <c r="B1323" s="14" t="s">
        <v>1019</v>
      </c>
      <c r="C1323" s="14" t="s">
        <v>190</v>
      </c>
      <c r="D1323" s="14" t="s">
        <v>163</v>
      </c>
      <c r="E1323" s="14" t="s">
        <v>166</v>
      </c>
      <c r="F1323" s="14" t="s">
        <v>164</v>
      </c>
      <c r="G1323" s="14" t="n">
        <v>1</v>
      </c>
      <c r="H1323" s="14" t="s">
        <v>154</v>
      </c>
      <c r="I1323" s="14" t="s">
        <v>811</v>
      </c>
      <c r="J1323" s="15" t="n">
        <f aca="false">IF(B1323="SITE LOSS",IF(D1323=C1323,1,0),IF(B1323="REGION LOSS",IF(E1323=C1323,1,0),0))</f>
        <v>0</v>
      </c>
      <c r="K1323" s="15" t="n">
        <f aca="false">IF(B1323="SITE LOSS",IF(COUNTIFS('Site Dockets'!$B$7:$B$24,C1323,'Site Dockets'!$C$7:$C$24,F1323)&gt;0,1,0),IF(B1323="REGION LOSS",IF(COUNTIFS('Site Dockets'!$E$7:$E$24,C1323,'Site Dockets'!$C$7:$C$24,F1323)&gt;0,1,0),0))</f>
        <v>0</v>
      </c>
      <c r="L1323" s="15" t="n">
        <f aca="false">IF(J1323=1,0,Inputs!$B$11)</f>
        <v>100</v>
      </c>
      <c r="M1323" s="15" t="n">
        <f aca="false">IF(J1323=1,0,Inputs!$B$12)</f>
        <v>75</v>
      </c>
      <c r="N1323" s="15" t="n">
        <f aca="false">IF(J1323=1,0,IF(OR(AND(OR(B1323="SITE LOSS",B1323="REGION LOSS"),K1323=1),AND(B1323="ROLE COMPROMISE",H1323=C1323)),Inputs!$B$13,Inputs!$B$14))</f>
        <v>10</v>
      </c>
      <c r="O1323" s="15" t="n">
        <f aca="false">IF(J1323=1,0,Inputs!$B$13)</f>
        <v>20</v>
      </c>
      <c r="P1323" s="15" t="n">
        <f aca="false">SUM(M1323:N1323)</f>
        <v>85</v>
      </c>
      <c r="Q1323" s="15" t="n">
        <f aca="false">IF(J1323=1,"",L1323-P1323)</f>
        <v>15</v>
      </c>
      <c r="R1323" s="15" t="n">
        <f aca="false">IF(OR(J1323=1,M1323&lt;=Inputs!$B$12),1,0)</f>
        <v>1</v>
      </c>
      <c r="S1323" s="15" t="n">
        <f aca="false">IF(OR(J1323=1,N1323&lt;=O1323),1,0)</f>
        <v>1</v>
      </c>
      <c r="T1323" s="15" t="str">
        <f aca="false">IF(J1323=1,"OFFLINE",IF(AND(Q1323&gt;=Inputs!$B$15,R1323=1,S1323=1,P1323&lt;=L1323),"PASS","FAIL"))</f>
        <v>PASS</v>
      </c>
    </row>
    <row r="1324" customFormat="false" ht="15" hidden="false" customHeight="false" outlineLevel="0" collapsed="false">
      <c r="A1324" s="14" t="s">
        <v>1031</v>
      </c>
      <c r="B1324" s="14" t="s">
        <v>1019</v>
      </c>
      <c r="C1324" s="14" t="s">
        <v>190</v>
      </c>
      <c r="D1324" s="14" t="s">
        <v>163</v>
      </c>
      <c r="E1324" s="14" t="s">
        <v>166</v>
      </c>
      <c r="F1324" s="14" t="s">
        <v>164</v>
      </c>
      <c r="G1324" s="14" t="n">
        <v>1</v>
      </c>
      <c r="H1324" s="14" t="s">
        <v>154</v>
      </c>
      <c r="I1324" s="14" t="s">
        <v>895</v>
      </c>
      <c r="J1324" s="15" t="n">
        <f aca="false">IF(B1324="SITE LOSS",IF(D1324=C1324,1,0),IF(B1324="REGION LOSS",IF(E1324=C1324,1,0),0))</f>
        <v>0</v>
      </c>
      <c r="K1324" s="15" t="n">
        <f aca="false">IF(B1324="SITE LOSS",IF(COUNTIFS('Site Dockets'!$B$7:$B$24,C1324,'Site Dockets'!$C$7:$C$24,F1324)&gt;0,1,0),IF(B1324="REGION LOSS",IF(COUNTIFS('Site Dockets'!$E$7:$E$24,C1324,'Site Dockets'!$C$7:$C$24,F1324)&gt;0,1,0),0))</f>
        <v>0</v>
      </c>
      <c r="L1324" s="15" t="n">
        <f aca="false">IF(J1324=1,0,Inputs!$B$11)</f>
        <v>100</v>
      </c>
      <c r="M1324" s="15" t="n">
        <f aca="false">IF(J1324=1,0,Inputs!$B$12)</f>
        <v>75</v>
      </c>
      <c r="N1324" s="15" t="n">
        <f aca="false">IF(J1324=1,0,IF(OR(AND(OR(B1324="SITE LOSS",B1324="REGION LOSS"),K1324=1),AND(B1324="ROLE COMPROMISE",H1324=C1324)),Inputs!$B$13,Inputs!$B$14))</f>
        <v>10</v>
      </c>
      <c r="O1324" s="15" t="n">
        <f aca="false">IF(J1324=1,0,Inputs!$B$13)</f>
        <v>20</v>
      </c>
      <c r="P1324" s="15" t="n">
        <f aca="false">SUM(M1324:N1324)</f>
        <v>85</v>
      </c>
      <c r="Q1324" s="15" t="n">
        <f aca="false">IF(J1324=1,"",L1324-P1324)</f>
        <v>15</v>
      </c>
      <c r="R1324" s="15" t="n">
        <f aca="false">IF(OR(J1324=1,M1324&lt;=Inputs!$B$12),1,0)</f>
        <v>1</v>
      </c>
      <c r="S1324" s="15" t="n">
        <f aca="false">IF(OR(J1324=1,N1324&lt;=O1324),1,0)</f>
        <v>1</v>
      </c>
      <c r="T1324" s="15" t="str">
        <f aca="false">IF(J1324=1,"OFFLINE",IF(AND(Q1324&gt;=Inputs!$B$15,R1324=1,S1324=1,P1324&lt;=L1324),"PASS","FAIL"))</f>
        <v>PASS</v>
      </c>
    </row>
    <row r="1325" customFormat="false" ht="15" hidden="false" customHeight="false" outlineLevel="0" collapsed="false">
      <c r="A1325" s="14" t="s">
        <v>1031</v>
      </c>
      <c r="B1325" s="14" t="s">
        <v>1019</v>
      </c>
      <c r="C1325" s="14" t="s">
        <v>190</v>
      </c>
      <c r="D1325" s="14" t="s">
        <v>163</v>
      </c>
      <c r="E1325" s="14" t="s">
        <v>166</v>
      </c>
      <c r="F1325" s="14" t="s">
        <v>164</v>
      </c>
      <c r="G1325" s="14" t="n">
        <v>1</v>
      </c>
      <c r="H1325" s="14" t="s">
        <v>154</v>
      </c>
      <c r="I1325" s="14" t="s">
        <v>897</v>
      </c>
      <c r="J1325" s="15" t="n">
        <f aca="false">IF(B1325="SITE LOSS",IF(D1325=C1325,1,0),IF(B1325="REGION LOSS",IF(E1325=C1325,1,0),0))</f>
        <v>0</v>
      </c>
      <c r="K1325" s="15" t="n">
        <f aca="false">IF(B1325="SITE LOSS",IF(COUNTIFS('Site Dockets'!$B$7:$B$24,C1325,'Site Dockets'!$C$7:$C$24,F1325)&gt;0,1,0),IF(B1325="REGION LOSS",IF(COUNTIFS('Site Dockets'!$E$7:$E$24,C1325,'Site Dockets'!$C$7:$C$24,F1325)&gt;0,1,0),0))</f>
        <v>0</v>
      </c>
      <c r="L1325" s="15" t="n">
        <f aca="false">IF(J1325=1,0,Inputs!$B$11)</f>
        <v>100</v>
      </c>
      <c r="M1325" s="15" t="n">
        <f aca="false">IF(J1325=1,0,Inputs!$B$12)</f>
        <v>75</v>
      </c>
      <c r="N1325" s="15" t="n">
        <f aca="false">IF(J1325=1,0,IF(OR(AND(OR(B1325="SITE LOSS",B1325="REGION LOSS"),K1325=1),AND(B1325="ROLE COMPROMISE",H1325=C1325)),Inputs!$B$13,Inputs!$B$14))</f>
        <v>10</v>
      </c>
      <c r="O1325" s="15" t="n">
        <f aca="false">IF(J1325=1,0,Inputs!$B$13)</f>
        <v>20</v>
      </c>
      <c r="P1325" s="15" t="n">
        <f aca="false">SUM(M1325:N1325)</f>
        <v>85</v>
      </c>
      <c r="Q1325" s="15" t="n">
        <f aca="false">IF(J1325=1,"",L1325-P1325)</f>
        <v>15</v>
      </c>
      <c r="R1325" s="15" t="n">
        <f aca="false">IF(OR(J1325=1,M1325&lt;=Inputs!$B$12),1,0)</f>
        <v>1</v>
      </c>
      <c r="S1325" s="15" t="n">
        <f aca="false">IF(OR(J1325=1,N1325&lt;=O1325),1,0)</f>
        <v>1</v>
      </c>
      <c r="T1325" s="15" t="str">
        <f aca="false">IF(J1325=1,"OFFLINE",IF(AND(Q1325&gt;=Inputs!$B$15,R1325=1,S1325=1,P1325&lt;=L1325),"PASS","FAIL"))</f>
        <v>PASS</v>
      </c>
    </row>
    <row r="1326" customFormat="false" ht="15" hidden="false" customHeight="false" outlineLevel="0" collapsed="false">
      <c r="A1326" s="14" t="s">
        <v>1031</v>
      </c>
      <c r="B1326" s="14" t="s">
        <v>1019</v>
      </c>
      <c r="C1326" s="14" t="s">
        <v>190</v>
      </c>
      <c r="D1326" s="14" t="s">
        <v>163</v>
      </c>
      <c r="E1326" s="14" t="s">
        <v>166</v>
      </c>
      <c r="F1326" s="14" t="s">
        <v>164</v>
      </c>
      <c r="G1326" s="14" t="n">
        <v>1</v>
      </c>
      <c r="H1326" s="14" t="s">
        <v>154</v>
      </c>
      <c r="I1326" s="14" t="s">
        <v>899</v>
      </c>
      <c r="J1326" s="15" t="n">
        <f aca="false">IF(B1326="SITE LOSS",IF(D1326=C1326,1,0),IF(B1326="REGION LOSS",IF(E1326=C1326,1,0),0))</f>
        <v>0</v>
      </c>
      <c r="K1326" s="15" t="n">
        <f aca="false">IF(B1326="SITE LOSS",IF(COUNTIFS('Site Dockets'!$B$7:$B$24,C1326,'Site Dockets'!$C$7:$C$24,F1326)&gt;0,1,0),IF(B1326="REGION LOSS",IF(COUNTIFS('Site Dockets'!$E$7:$E$24,C1326,'Site Dockets'!$C$7:$C$24,F1326)&gt;0,1,0),0))</f>
        <v>0</v>
      </c>
      <c r="L1326" s="15" t="n">
        <f aca="false">IF(J1326=1,0,Inputs!$B$11)</f>
        <v>100</v>
      </c>
      <c r="M1326" s="15" t="n">
        <f aca="false">IF(J1326=1,0,Inputs!$B$12)</f>
        <v>75</v>
      </c>
      <c r="N1326" s="15" t="n">
        <f aca="false">IF(J1326=1,0,IF(OR(AND(OR(B1326="SITE LOSS",B1326="REGION LOSS"),K1326=1),AND(B1326="ROLE COMPROMISE",H1326=C1326)),Inputs!$B$13,Inputs!$B$14))</f>
        <v>10</v>
      </c>
      <c r="O1326" s="15" t="n">
        <f aca="false">IF(J1326=1,0,Inputs!$B$13)</f>
        <v>20</v>
      </c>
      <c r="P1326" s="15" t="n">
        <f aca="false">SUM(M1326:N1326)</f>
        <v>85</v>
      </c>
      <c r="Q1326" s="15" t="n">
        <f aca="false">IF(J1326=1,"",L1326-P1326)</f>
        <v>15</v>
      </c>
      <c r="R1326" s="15" t="n">
        <f aca="false">IF(OR(J1326=1,M1326&lt;=Inputs!$B$12),1,0)</f>
        <v>1</v>
      </c>
      <c r="S1326" s="15" t="n">
        <f aca="false">IF(OR(J1326=1,N1326&lt;=O1326),1,0)</f>
        <v>1</v>
      </c>
      <c r="T1326" s="15" t="str">
        <f aca="false">IF(J1326=1,"OFFLINE",IF(AND(Q1326&gt;=Inputs!$B$15,R1326=1,S1326=1,P1326&lt;=L1326),"PASS","FAIL"))</f>
        <v>PASS</v>
      </c>
    </row>
    <row r="1327" customFormat="false" ht="15" hidden="false" customHeight="false" outlineLevel="0" collapsed="false">
      <c r="A1327" s="14" t="s">
        <v>1031</v>
      </c>
      <c r="B1327" s="14" t="s">
        <v>1019</v>
      </c>
      <c r="C1327" s="14" t="s">
        <v>190</v>
      </c>
      <c r="D1327" s="14" t="s">
        <v>168</v>
      </c>
      <c r="E1327" s="14" t="s">
        <v>169</v>
      </c>
      <c r="F1327" s="14" t="s">
        <v>164</v>
      </c>
      <c r="G1327" s="14" t="n">
        <v>2</v>
      </c>
      <c r="H1327" s="14" t="s">
        <v>153</v>
      </c>
      <c r="I1327" s="14" t="s">
        <v>890</v>
      </c>
      <c r="J1327" s="15" t="n">
        <f aca="false">IF(B1327="SITE LOSS",IF(D1327=C1327,1,0),IF(B1327="REGION LOSS",IF(E1327=C1327,1,0),0))</f>
        <v>0</v>
      </c>
      <c r="K1327" s="15" t="n">
        <f aca="false">IF(B1327="SITE LOSS",IF(COUNTIFS('Site Dockets'!$B$7:$B$24,C1327,'Site Dockets'!$C$7:$C$24,F1327)&gt;0,1,0),IF(B1327="REGION LOSS",IF(COUNTIFS('Site Dockets'!$E$7:$E$24,C1327,'Site Dockets'!$C$7:$C$24,F1327)&gt;0,1,0),0))</f>
        <v>0</v>
      </c>
      <c r="L1327" s="15" t="n">
        <f aca="false">IF(J1327=1,0,Inputs!$B$11)</f>
        <v>100</v>
      </c>
      <c r="M1327" s="15" t="n">
        <f aca="false">IF(J1327=1,0,Inputs!$B$12)</f>
        <v>75</v>
      </c>
      <c r="N1327" s="15" t="n">
        <f aca="false">IF(J1327=1,0,IF(OR(AND(OR(B1327="SITE LOSS",B1327="REGION LOSS"),K1327=1),AND(B1327="ROLE COMPROMISE",H1327=C1327)),Inputs!$B$13,Inputs!$B$14))</f>
        <v>10</v>
      </c>
      <c r="O1327" s="15" t="n">
        <f aca="false">IF(J1327=1,0,Inputs!$B$13)</f>
        <v>20</v>
      </c>
      <c r="P1327" s="15" t="n">
        <f aca="false">SUM(M1327:N1327)</f>
        <v>85</v>
      </c>
      <c r="Q1327" s="15" t="n">
        <f aca="false">IF(J1327=1,"",L1327-P1327)</f>
        <v>15</v>
      </c>
      <c r="R1327" s="15" t="n">
        <f aca="false">IF(OR(J1327=1,M1327&lt;=Inputs!$B$12),1,0)</f>
        <v>1</v>
      </c>
      <c r="S1327" s="15" t="n">
        <f aca="false">IF(OR(J1327=1,N1327&lt;=O1327),1,0)</f>
        <v>1</v>
      </c>
      <c r="T1327" s="15" t="str">
        <f aca="false">IF(J1327=1,"OFFLINE",IF(AND(Q1327&gt;=Inputs!$B$15,R1327=1,S1327=1,P1327&lt;=L1327),"PASS","FAIL"))</f>
        <v>PASS</v>
      </c>
    </row>
    <row r="1328" customFormat="false" ht="15" hidden="false" customHeight="false" outlineLevel="0" collapsed="false">
      <c r="A1328" s="14" t="s">
        <v>1031</v>
      </c>
      <c r="B1328" s="14" t="s">
        <v>1019</v>
      </c>
      <c r="C1328" s="14" t="s">
        <v>190</v>
      </c>
      <c r="D1328" s="14" t="s">
        <v>168</v>
      </c>
      <c r="E1328" s="14" t="s">
        <v>169</v>
      </c>
      <c r="F1328" s="14" t="s">
        <v>164</v>
      </c>
      <c r="G1328" s="14" t="n">
        <v>2</v>
      </c>
      <c r="H1328" s="14" t="s">
        <v>153</v>
      </c>
      <c r="I1328" s="14" t="s">
        <v>892</v>
      </c>
      <c r="J1328" s="15" t="n">
        <f aca="false">IF(B1328="SITE LOSS",IF(D1328=C1328,1,0),IF(B1328="REGION LOSS",IF(E1328=C1328,1,0),0))</f>
        <v>0</v>
      </c>
      <c r="K1328" s="15" t="n">
        <f aca="false">IF(B1328="SITE LOSS",IF(COUNTIFS('Site Dockets'!$B$7:$B$24,C1328,'Site Dockets'!$C$7:$C$24,F1328)&gt;0,1,0),IF(B1328="REGION LOSS",IF(COUNTIFS('Site Dockets'!$E$7:$E$24,C1328,'Site Dockets'!$C$7:$C$24,F1328)&gt;0,1,0),0))</f>
        <v>0</v>
      </c>
      <c r="L1328" s="15" t="n">
        <f aca="false">IF(J1328=1,0,Inputs!$B$11)</f>
        <v>100</v>
      </c>
      <c r="M1328" s="15" t="n">
        <f aca="false">IF(J1328=1,0,Inputs!$B$12)</f>
        <v>75</v>
      </c>
      <c r="N1328" s="15" t="n">
        <f aca="false">IF(J1328=1,0,IF(OR(AND(OR(B1328="SITE LOSS",B1328="REGION LOSS"),K1328=1),AND(B1328="ROLE COMPROMISE",H1328=C1328)),Inputs!$B$13,Inputs!$B$14))</f>
        <v>10</v>
      </c>
      <c r="O1328" s="15" t="n">
        <f aca="false">IF(J1328=1,0,Inputs!$B$13)</f>
        <v>20</v>
      </c>
      <c r="P1328" s="15" t="n">
        <f aca="false">SUM(M1328:N1328)</f>
        <v>85</v>
      </c>
      <c r="Q1328" s="15" t="n">
        <f aca="false">IF(J1328=1,"",L1328-P1328)</f>
        <v>15</v>
      </c>
      <c r="R1328" s="15" t="n">
        <f aca="false">IF(OR(J1328=1,M1328&lt;=Inputs!$B$12),1,0)</f>
        <v>1</v>
      </c>
      <c r="S1328" s="15" t="n">
        <f aca="false">IF(OR(J1328=1,N1328&lt;=O1328),1,0)</f>
        <v>1</v>
      </c>
      <c r="T1328" s="15" t="str">
        <f aca="false">IF(J1328=1,"OFFLINE",IF(AND(Q1328&gt;=Inputs!$B$15,R1328=1,S1328=1,P1328&lt;=L1328),"PASS","FAIL"))</f>
        <v>PASS</v>
      </c>
    </row>
    <row r="1329" customFormat="false" ht="15" hidden="false" customHeight="false" outlineLevel="0" collapsed="false">
      <c r="A1329" s="14" t="s">
        <v>1031</v>
      </c>
      <c r="B1329" s="14" t="s">
        <v>1019</v>
      </c>
      <c r="C1329" s="14" t="s">
        <v>190</v>
      </c>
      <c r="D1329" s="14" t="s">
        <v>168</v>
      </c>
      <c r="E1329" s="14" t="s">
        <v>169</v>
      </c>
      <c r="F1329" s="14" t="s">
        <v>164</v>
      </c>
      <c r="G1329" s="14" t="n">
        <v>2</v>
      </c>
      <c r="H1329" s="14" t="s">
        <v>153</v>
      </c>
      <c r="I1329" s="14" t="s">
        <v>811</v>
      </c>
      <c r="J1329" s="15" t="n">
        <f aca="false">IF(B1329="SITE LOSS",IF(D1329=C1329,1,0),IF(B1329="REGION LOSS",IF(E1329=C1329,1,0),0))</f>
        <v>0</v>
      </c>
      <c r="K1329" s="15" t="n">
        <f aca="false">IF(B1329="SITE LOSS",IF(COUNTIFS('Site Dockets'!$B$7:$B$24,C1329,'Site Dockets'!$C$7:$C$24,F1329)&gt;0,1,0),IF(B1329="REGION LOSS",IF(COUNTIFS('Site Dockets'!$E$7:$E$24,C1329,'Site Dockets'!$C$7:$C$24,F1329)&gt;0,1,0),0))</f>
        <v>0</v>
      </c>
      <c r="L1329" s="15" t="n">
        <f aca="false">IF(J1329=1,0,Inputs!$B$11)</f>
        <v>100</v>
      </c>
      <c r="M1329" s="15" t="n">
        <f aca="false">IF(J1329=1,0,Inputs!$B$12)</f>
        <v>75</v>
      </c>
      <c r="N1329" s="15" t="n">
        <f aca="false">IF(J1329=1,0,IF(OR(AND(OR(B1329="SITE LOSS",B1329="REGION LOSS"),K1329=1),AND(B1329="ROLE COMPROMISE",H1329=C1329)),Inputs!$B$13,Inputs!$B$14))</f>
        <v>10</v>
      </c>
      <c r="O1329" s="15" t="n">
        <f aca="false">IF(J1329=1,0,Inputs!$B$13)</f>
        <v>20</v>
      </c>
      <c r="P1329" s="15" t="n">
        <f aca="false">SUM(M1329:N1329)</f>
        <v>85</v>
      </c>
      <c r="Q1329" s="15" t="n">
        <f aca="false">IF(J1329=1,"",L1329-P1329)</f>
        <v>15</v>
      </c>
      <c r="R1329" s="15" t="n">
        <f aca="false">IF(OR(J1329=1,M1329&lt;=Inputs!$B$12),1,0)</f>
        <v>1</v>
      </c>
      <c r="S1329" s="15" t="n">
        <f aca="false">IF(OR(J1329=1,N1329&lt;=O1329),1,0)</f>
        <v>1</v>
      </c>
      <c r="T1329" s="15" t="str">
        <f aca="false">IF(J1329=1,"OFFLINE",IF(AND(Q1329&gt;=Inputs!$B$15,R1329=1,S1329=1,P1329&lt;=L1329),"PASS","FAIL"))</f>
        <v>PASS</v>
      </c>
    </row>
    <row r="1330" customFormat="false" ht="15" hidden="false" customHeight="false" outlineLevel="0" collapsed="false">
      <c r="A1330" s="14" t="s">
        <v>1031</v>
      </c>
      <c r="B1330" s="14" t="s">
        <v>1019</v>
      </c>
      <c r="C1330" s="14" t="s">
        <v>190</v>
      </c>
      <c r="D1330" s="14" t="s">
        <v>168</v>
      </c>
      <c r="E1330" s="14" t="s">
        <v>169</v>
      </c>
      <c r="F1330" s="14" t="s">
        <v>164</v>
      </c>
      <c r="G1330" s="14" t="n">
        <v>2</v>
      </c>
      <c r="H1330" s="14" t="s">
        <v>153</v>
      </c>
      <c r="I1330" s="14" t="s">
        <v>895</v>
      </c>
      <c r="J1330" s="15" t="n">
        <f aca="false">IF(B1330="SITE LOSS",IF(D1330=C1330,1,0),IF(B1330="REGION LOSS",IF(E1330=C1330,1,0),0))</f>
        <v>0</v>
      </c>
      <c r="K1330" s="15" t="n">
        <f aca="false">IF(B1330="SITE LOSS",IF(COUNTIFS('Site Dockets'!$B$7:$B$24,C1330,'Site Dockets'!$C$7:$C$24,F1330)&gt;0,1,0),IF(B1330="REGION LOSS",IF(COUNTIFS('Site Dockets'!$E$7:$E$24,C1330,'Site Dockets'!$C$7:$C$24,F1330)&gt;0,1,0),0))</f>
        <v>0</v>
      </c>
      <c r="L1330" s="15" t="n">
        <f aca="false">IF(J1330=1,0,Inputs!$B$11)</f>
        <v>100</v>
      </c>
      <c r="M1330" s="15" t="n">
        <f aca="false">IF(J1330=1,0,Inputs!$B$12)</f>
        <v>75</v>
      </c>
      <c r="N1330" s="15" t="n">
        <f aca="false">IF(J1330=1,0,IF(OR(AND(OR(B1330="SITE LOSS",B1330="REGION LOSS"),K1330=1),AND(B1330="ROLE COMPROMISE",H1330=C1330)),Inputs!$B$13,Inputs!$B$14))</f>
        <v>10</v>
      </c>
      <c r="O1330" s="15" t="n">
        <f aca="false">IF(J1330=1,0,Inputs!$B$13)</f>
        <v>20</v>
      </c>
      <c r="P1330" s="15" t="n">
        <f aca="false">SUM(M1330:N1330)</f>
        <v>85</v>
      </c>
      <c r="Q1330" s="15" t="n">
        <f aca="false">IF(J1330=1,"",L1330-P1330)</f>
        <v>15</v>
      </c>
      <c r="R1330" s="15" t="n">
        <f aca="false">IF(OR(J1330=1,M1330&lt;=Inputs!$B$12),1,0)</f>
        <v>1</v>
      </c>
      <c r="S1330" s="15" t="n">
        <f aca="false">IF(OR(J1330=1,N1330&lt;=O1330),1,0)</f>
        <v>1</v>
      </c>
      <c r="T1330" s="15" t="str">
        <f aca="false">IF(J1330=1,"OFFLINE",IF(AND(Q1330&gt;=Inputs!$B$15,R1330=1,S1330=1,P1330&lt;=L1330),"PASS","FAIL"))</f>
        <v>PASS</v>
      </c>
    </row>
    <row r="1331" customFormat="false" ht="15" hidden="false" customHeight="false" outlineLevel="0" collapsed="false">
      <c r="A1331" s="14" t="s">
        <v>1031</v>
      </c>
      <c r="B1331" s="14" t="s">
        <v>1019</v>
      </c>
      <c r="C1331" s="14" t="s">
        <v>190</v>
      </c>
      <c r="D1331" s="14" t="s">
        <v>168</v>
      </c>
      <c r="E1331" s="14" t="s">
        <v>169</v>
      </c>
      <c r="F1331" s="14" t="s">
        <v>164</v>
      </c>
      <c r="G1331" s="14" t="n">
        <v>2</v>
      </c>
      <c r="H1331" s="14" t="s">
        <v>153</v>
      </c>
      <c r="I1331" s="14" t="s">
        <v>897</v>
      </c>
      <c r="J1331" s="15" t="n">
        <f aca="false">IF(B1331="SITE LOSS",IF(D1331=C1331,1,0),IF(B1331="REGION LOSS",IF(E1331=C1331,1,0),0))</f>
        <v>0</v>
      </c>
      <c r="K1331" s="15" t="n">
        <f aca="false">IF(B1331="SITE LOSS",IF(COUNTIFS('Site Dockets'!$B$7:$B$24,C1331,'Site Dockets'!$C$7:$C$24,F1331)&gt;0,1,0),IF(B1331="REGION LOSS",IF(COUNTIFS('Site Dockets'!$E$7:$E$24,C1331,'Site Dockets'!$C$7:$C$24,F1331)&gt;0,1,0),0))</f>
        <v>0</v>
      </c>
      <c r="L1331" s="15" t="n">
        <f aca="false">IF(J1331=1,0,Inputs!$B$11)</f>
        <v>100</v>
      </c>
      <c r="M1331" s="15" t="n">
        <f aca="false">IF(J1331=1,0,Inputs!$B$12)</f>
        <v>75</v>
      </c>
      <c r="N1331" s="15" t="n">
        <f aca="false">IF(J1331=1,0,IF(OR(AND(OR(B1331="SITE LOSS",B1331="REGION LOSS"),K1331=1),AND(B1331="ROLE COMPROMISE",H1331=C1331)),Inputs!$B$13,Inputs!$B$14))</f>
        <v>10</v>
      </c>
      <c r="O1331" s="15" t="n">
        <f aca="false">IF(J1331=1,0,Inputs!$B$13)</f>
        <v>20</v>
      </c>
      <c r="P1331" s="15" t="n">
        <f aca="false">SUM(M1331:N1331)</f>
        <v>85</v>
      </c>
      <c r="Q1331" s="15" t="n">
        <f aca="false">IF(J1331=1,"",L1331-P1331)</f>
        <v>15</v>
      </c>
      <c r="R1331" s="15" t="n">
        <f aca="false">IF(OR(J1331=1,M1331&lt;=Inputs!$B$12),1,0)</f>
        <v>1</v>
      </c>
      <c r="S1331" s="15" t="n">
        <f aca="false">IF(OR(J1331=1,N1331&lt;=O1331),1,0)</f>
        <v>1</v>
      </c>
      <c r="T1331" s="15" t="str">
        <f aca="false">IF(J1331=1,"OFFLINE",IF(AND(Q1331&gt;=Inputs!$B$15,R1331=1,S1331=1,P1331&lt;=L1331),"PASS","FAIL"))</f>
        <v>PASS</v>
      </c>
    </row>
    <row r="1332" customFormat="false" ht="15" hidden="false" customHeight="false" outlineLevel="0" collapsed="false">
      <c r="A1332" s="14" t="s">
        <v>1031</v>
      </c>
      <c r="B1332" s="14" t="s">
        <v>1019</v>
      </c>
      <c r="C1332" s="14" t="s">
        <v>190</v>
      </c>
      <c r="D1332" s="14" t="s">
        <v>168</v>
      </c>
      <c r="E1332" s="14" t="s">
        <v>169</v>
      </c>
      <c r="F1332" s="14" t="s">
        <v>164</v>
      </c>
      <c r="G1332" s="14" t="n">
        <v>2</v>
      </c>
      <c r="H1332" s="14" t="s">
        <v>153</v>
      </c>
      <c r="I1332" s="14" t="s">
        <v>899</v>
      </c>
      <c r="J1332" s="15" t="n">
        <f aca="false">IF(B1332="SITE LOSS",IF(D1332=C1332,1,0),IF(B1332="REGION LOSS",IF(E1332=C1332,1,0),0))</f>
        <v>0</v>
      </c>
      <c r="K1332" s="15" t="n">
        <f aca="false">IF(B1332="SITE LOSS",IF(COUNTIFS('Site Dockets'!$B$7:$B$24,C1332,'Site Dockets'!$C$7:$C$24,F1332)&gt;0,1,0),IF(B1332="REGION LOSS",IF(COUNTIFS('Site Dockets'!$E$7:$E$24,C1332,'Site Dockets'!$C$7:$C$24,F1332)&gt;0,1,0),0))</f>
        <v>0</v>
      </c>
      <c r="L1332" s="15" t="n">
        <f aca="false">IF(J1332=1,0,Inputs!$B$11)</f>
        <v>100</v>
      </c>
      <c r="M1332" s="15" t="n">
        <f aca="false">IF(J1332=1,0,Inputs!$B$12)</f>
        <v>75</v>
      </c>
      <c r="N1332" s="15" t="n">
        <f aca="false">IF(J1332=1,0,IF(OR(AND(OR(B1332="SITE LOSS",B1332="REGION LOSS"),K1332=1),AND(B1332="ROLE COMPROMISE",H1332=C1332)),Inputs!$B$13,Inputs!$B$14))</f>
        <v>10</v>
      </c>
      <c r="O1332" s="15" t="n">
        <f aca="false">IF(J1332=1,0,Inputs!$B$13)</f>
        <v>20</v>
      </c>
      <c r="P1332" s="15" t="n">
        <f aca="false">SUM(M1332:N1332)</f>
        <v>85</v>
      </c>
      <c r="Q1332" s="15" t="n">
        <f aca="false">IF(J1332=1,"",L1332-P1332)</f>
        <v>15</v>
      </c>
      <c r="R1332" s="15" t="n">
        <f aca="false">IF(OR(J1332=1,M1332&lt;=Inputs!$B$12),1,0)</f>
        <v>1</v>
      </c>
      <c r="S1332" s="15" t="n">
        <f aca="false">IF(OR(J1332=1,N1332&lt;=O1332),1,0)</f>
        <v>1</v>
      </c>
      <c r="T1332" s="15" t="str">
        <f aca="false">IF(J1332=1,"OFFLINE",IF(AND(Q1332&gt;=Inputs!$B$15,R1332=1,S1332=1,P1332&lt;=L1332),"PASS","FAIL"))</f>
        <v>PASS</v>
      </c>
    </row>
    <row r="1333" customFormat="false" ht="15" hidden="false" customHeight="false" outlineLevel="0" collapsed="false">
      <c r="A1333" s="14" t="s">
        <v>1031</v>
      </c>
      <c r="B1333" s="14" t="s">
        <v>1019</v>
      </c>
      <c r="C1333" s="14" t="s">
        <v>190</v>
      </c>
      <c r="D1333" s="14" t="s">
        <v>171</v>
      </c>
      <c r="E1333" s="14" t="s">
        <v>172</v>
      </c>
      <c r="F1333" s="14" t="s">
        <v>164</v>
      </c>
      <c r="G1333" s="14" t="n">
        <v>3</v>
      </c>
      <c r="H1333" s="14" t="s">
        <v>158</v>
      </c>
      <c r="I1333" s="14" t="s">
        <v>890</v>
      </c>
      <c r="J1333" s="15" t="n">
        <f aca="false">IF(B1333="SITE LOSS",IF(D1333=C1333,1,0),IF(B1333="REGION LOSS",IF(E1333=C1333,1,0),0))</f>
        <v>0</v>
      </c>
      <c r="K1333" s="15" t="n">
        <f aca="false">IF(B1333="SITE LOSS",IF(COUNTIFS('Site Dockets'!$B$7:$B$24,C1333,'Site Dockets'!$C$7:$C$24,F1333)&gt;0,1,0),IF(B1333="REGION LOSS",IF(COUNTIFS('Site Dockets'!$E$7:$E$24,C1333,'Site Dockets'!$C$7:$C$24,F1333)&gt;0,1,0),0))</f>
        <v>0</v>
      </c>
      <c r="L1333" s="15" t="n">
        <f aca="false">IF(J1333=1,0,Inputs!$B$11)</f>
        <v>100</v>
      </c>
      <c r="M1333" s="15" t="n">
        <f aca="false">IF(J1333=1,0,Inputs!$B$12)</f>
        <v>75</v>
      </c>
      <c r="N1333" s="15" t="n">
        <f aca="false">IF(J1333=1,0,IF(OR(AND(OR(B1333="SITE LOSS",B1333="REGION LOSS"),K1333=1),AND(B1333="ROLE COMPROMISE",H1333=C1333)),Inputs!$B$13,Inputs!$B$14))</f>
        <v>10</v>
      </c>
      <c r="O1333" s="15" t="n">
        <f aca="false">IF(J1333=1,0,Inputs!$B$13)</f>
        <v>20</v>
      </c>
      <c r="P1333" s="15" t="n">
        <f aca="false">SUM(M1333:N1333)</f>
        <v>85</v>
      </c>
      <c r="Q1333" s="15" t="n">
        <f aca="false">IF(J1333=1,"",L1333-P1333)</f>
        <v>15</v>
      </c>
      <c r="R1333" s="15" t="n">
        <f aca="false">IF(OR(J1333=1,M1333&lt;=Inputs!$B$12),1,0)</f>
        <v>1</v>
      </c>
      <c r="S1333" s="15" t="n">
        <f aca="false">IF(OR(J1333=1,N1333&lt;=O1333),1,0)</f>
        <v>1</v>
      </c>
      <c r="T1333" s="15" t="str">
        <f aca="false">IF(J1333=1,"OFFLINE",IF(AND(Q1333&gt;=Inputs!$B$15,R1333=1,S1333=1,P1333&lt;=L1333),"PASS","FAIL"))</f>
        <v>PASS</v>
      </c>
    </row>
    <row r="1334" customFormat="false" ht="15" hidden="false" customHeight="false" outlineLevel="0" collapsed="false">
      <c r="A1334" s="14" t="s">
        <v>1031</v>
      </c>
      <c r="B1334" s="14" t="s">
        <v>1019</v>
      </c>
      <c r="C1334" s="14" t="s">
        <v>190</v>
      </c>
      <c r="D1334" s="14" t="s">
        <v>171</v>
      </c>
      <c r="E1334" s="14" t="s">
        <v>172</v>
      </c>
      <c r="F1334" s="14" t="s">
        <v>164</v>
      </c>
      <c r="G1334" s="14" t="n">
        <v>3</v>
      </c>
      <c r="H1334" s="14" t="s">
        <v>158</v>
      </c>
      <c r="I1334" s="14" t="s">
        <v>892</v>
      </c>
      <c r="J1334" s="15" t="n">
        <f aca="false">IF(B1334="SITE LOSS",IF(D1334=C1334,1,0),IF(B1334="REGION LOSS",IF(E1334=C1334,1,0),0))</f>
        <v>0</v>
      </c>
      <c r="K1334" s="15" t="n">
        <f aca="false">IF(B1334="SITE LOSS",IF(COUNTIFS('Site Dockets'!$B$7:$B$24,C1334,'Site Dockets'!$C$7:$C$24,F1334)&gt;0,1,0),IF(B1334="REGION LOSS",IF(COUNTIFS('Site Dockets'!$E$7:$E$24,C1334,'Site Dockets'!$C$7:$C$24,F1334)&gt;0,1,0),0))</f>
        <v>0</v>
      </c>
      <c r="L1334" s="15" t="n">
        <f aca="false">IF(J1334=1,0,Inputs!$B$11)</f>
        <v>100</v>
      </c>
      <c r="M1334" s="15" t="n">
        <f aca="false">IF(J1334=1,0,Inputs!$B$12)</f>
        <v>75</v>
      </c>
      <c r="N1334" s="15" t="n">
        <f aca="false">IF(J1334=1,0,IF(OR(AND(OR(B1334="SITE LOSS",B1334="REGION LOSS"),K1334=1),AND(B1334="ROLE COMPROMISE",H1334=C1334)),Inputs!$B$13,Inputs!$B$14))</f>
        <v>10</v>
      </c>
      <c r="O1334" s="15" t="n">
        <f aca="false">IF(J1334=1,0,Inputs!$B$13)</f>
        <v>20</v>
      </c>
      <c r="P1334" s="15" t="n">
        <f aca="false">SUM(M1334:N1334)</f>
        <v>85</v>
      </c>
      <c r="Q1334" s="15" t="n">
        <f aca="false">IF(J1334=1,"",L1334-P1334)</f>
        <v>15</v>
      </c>
      <c r="R1334" s="15" t="n">
        <f aca="false">IF(OR(J1334=1,M1334&lt;=Inputs!$B$12),1,0)</f>
        <v>1</v>
      </c>
      <c r="S1334" s="15" t="n">
        <f aca="false">IF(OR(J1334=1,N1334&lt;=O1334),1,0)</f>
        <v>1</v>
      </c>
      <c r="T1334" s="15" t="str">
        <f aca="false">IF(J1334=1,"OFFLINE",IF(AND(Q1334&gt;=Inputs!$B$15,R1334=1,S1334=1,P1334&lt;=L1334),"PASS","FAIL"))</f>
        <v>PASS</v>
      </c>
    </row>
    <row r="1335" customFormat="false" ht="15" hidden="false" customHeight="false" outlineLevel="0" collapsed="false">
      <c r="A1335" s="14" t="s">
        <v>1031</v>
      </c>
      <c r="B1335" s="14" t="s">
        <v>1019</v>
      </c>
      <c r="C1335" s="14" t="s">
        <v>190</v>
      </c>
      <c r="D1335" s="14" t="s">
        <v>171</v>
      </c>
      <c r="E1335" s="14" t="s">
        <v>172</v>
      </c>
      <c r="F1335" s="14" t="s">
        <v>164</v>
      </c>
      <c r="G1335" s="14" t="n">
        <v>3</v>
      </c>
      <c r="H1335" s="14" t="s">
        <v>158</v>
      </c>
      <c r="I1335" s="14" t="s">
        <v>811</v>
      </c>
      <c r="J1335" s="15" t="n">
        <f aca="false">IF(B1335="SITE LOSS",IF(D1335=C1335,1,0),IF(B1335="REGION LOSS",IF(E1335=C1335,1,0),0))</f>
        <v>0</v>
      </c>
      <c r="K1335" s="15" t="n">
        <f aca="false">IF(B1335="SITE LOSS",IF(COUNTIFS('Site Dockets'!$B$7:$B$24,C1335,'Site Dockets'!$C$7:$C$24,F1335)&gt;0,1,0),IF(B1335="REGION LOSS",IF(COUNTIFS('Site Dockets'!$E$7:$E$24,C1335,'Site Dockets'!$C$7:$C$24,F1335)&gt;0,1,0),0))</f>
        <v>0</v>
      </c>
      <c r="L1335" s="15" t="n">
        <f aca="false">IF(J1335=1,0,Inputs!$B$11)</f>
        <v>100</v>
      </c>
      <c r="M1335" s="15" t="n">
        <f aca="false">IF(J1335=1,0,Inputs!$B$12)</f>
        <v>75</v>
      </c>
      <c r="N1335" s="15" t="n">
        <f aca="false">IF(J1335=1,0,IF(OR(AND(OR(B1335="SITE LOSS",B1335="REGION LOSS"),K1335=1),AND(B1335="ROLE COMPROMISE",H1335=C1335)),Inputs!$B$13,Inputs!$B$14))</f>
        <v>10</v>
      </c>
      <c r="O1335" s="15" t="n">
        <f aca="false">IF(J1335=1,0,Inputs!$B$13)</f>
        <v>20</v>
      </c>
      <c r="P1335" s="15" t="n">
        <f aca="false">SUM(M1335:N1335)</f>
        <v>85</v>
      </c>
      <c r="Q1335" s="15" t="n">
        <f aca="false">IF(J1335=1,"",L1335-P1335)</f>
        <v>15</v>
      </c>
      <c r="R1335" s="15" t="n">
        <f aca="false">IF(OR(J1335=1,M1335&lt;=Inputs!$B$12),1,0)</f>
        <v>1</v>
      </c>
      <c r="S1335" s="15" t="n">
        <f aca="false">IF(OR(J1335=1,N1335&lt;=O1335),1,0)</f>
        <v>1</v>
      </c>
      <c r="T1335" s="15" t="str">
        <f aca="false">IF(J1335=1,"OFFLINE",IF(AND(Q1335&gt;=Inputs!$B$15,R1335=1,S1335=1,P1335&lt;=L1335),"PASS","FAIL"))</f>
        <v>PASS</v>
      </c>
    </row>
    <row r="1336" customFormat="false" ht="15" hidden="false" customHeight="false" outlineLevel="0" collapsed="false">
      <c r="A1336" s="14" t="s">
        <v>1031</v>
      </c>
      <c r="B1336" s="14" t="s">
        <v>1019</v>
      </c>
      <c r="C1336" s="14" t="s">
        <v>190</v>
      </c>
      <c r="D1336" s="14" t="s">
        <v>171</v>
      </c>
      <c r="E1336" s="14" t="s">
        <v>172</v>
      </c>
      <c r="F1336" s="14" t="s">
        <v>164</v>
      </c>
      <c r="G1336" s="14" t="n">
        <v>3</v>
      </c>
      <c r="H1336" s="14" t="s">
        <v>158</v>
      </c>
      <c r="I1336" s="14" t="s">
        <v>895</v>
      </c>
      <c r="J1336" s="15" t="n">
        <f aca="false">IF(B1336="SITE LOSS",IF(D1336=C1336,1,0),IF(B1336="REGION LOSS",IF(E1336=C1336,1,0),0))</f>
        <v>0</v>
      </c>
      <c r="K1336" s="15" t="n">
        <f aca="false">IF(B1336="SITE LOSS",IF(COUNTIFS('Site Dockets'!$B$7:$B$24,C1336,'Site Dockets'!$C$7:$C$24,F1336)&gt;0,1,0),IF(B1336="REGION LOSS",IF(COUNTIFS('Site Dockets'!$E$7:$E$24,C1336,'Site Dockets'!$C$7:$C$24,F1336)&gt;0,1,0),0))</f>
        <v>0</v>
      </c>
      <c r="L1336" s="15" t="n">
        <f aca="false">IF(J1336=1,0,Inputs!$B$11)</f>
        <v>100</v>
      </c>
      <c r="M1336" s="15" t="n">
        <f aca="false">IF(J1336=1,0,Inputs!$B$12)</f>
        <v>75</v>
      </c>
      <c r="N1336" s="15" t="n">
        <f aca="false">IF(J1336=1,0,IF(OR(AND(OR(B1336="SITE LOSS",B1336="REGION LOSS"),K1336=1),AND(B1336="ROLE COMPROMISE",H1336=C1336)),Inputs!$B$13,Inputs!$B$14))</f>
        <v>10</v>
      </c>
      <c r="O1336" s="15" t="n">
        <f aca="false">IF(J1336=1,0,Inputs!$B$13)</f>
        <v>20</v>
      </c>
      <c r="P1336" s="15" t="n">
        <f aca="false">SUM(M1336:N1336)</f>
        <v>85</v>
      </c>
      <c r="Q1336" s="15" t="n">
        <f aca="false">IF(J1336=1,"",L1336-P1336)</f>
        <v>15</v>
      </c>
      <c r="R1336" s="15" t="n">
        <f aca="false">IF(OR(J1336=1,M1336&lt;=Inputs!$B$12),1,0)</f>
        <v>1</v>
      </c>
      <c r="S1336" s="15" t="n">
        <f aca="false">IF(OR(J1336=1,N1336&lt;=O1336),1,0)</f>
        <v>1</v>
      </c>
      <c r="T1336" s="15" t="str">
        <f aca="false">IF(J1336=1,"OFFLINE",IF(AND(Q1336&gt;=Inputs!$B$15,R1336=1,S1336=1,P1336&lt;=L1336),"PASS","FAIL"))</f>
        <v>PASS</v>
      </c>
    </row>
    <row r="1337" customFormat="false" ht="15" hidden="false" customHeight="false" outlineLevel="0" collapsed="false">
      <c r="A1337" s="14" t="s">
        <v>1031</v>
      </c>
      <c r="B1337" s="14" t="s">
        <v>1019</v>
      </c>
      <c r="C1337" s="14" t="s">
        <v>190</v>
      </c>
      <c r="D1337" s="14" t="s">
        <v>171</v>
      </c>
      <c r="E1337" s="14" t="s">
        <v>172</v>
      </c>
      <c r="F1337" s="14" t="s">
        <v>164</v>
      </c>
      <c r="G1337" s="14" t="n">
        <v>3</v>
      </c>
      <c r="H1337" s="14" t="s">
        <v>158</v>
      </c>
      <c r="I1337" s="14" t="s">
        <v>897</v>
      </c>
      <c r="J1337" s="15" t="n">
        <f aca="false">IF(B1337="SITE LOSS",IF(D1337=C1337,1,0),IF(B1337="REGION LOSS",IF(E1337=C1337,1,0),0))</f>
        <v>0</v>
      </c>
      <c r="K1337" s="15" t="n">
        <f aca="false">IF(B1337="SITE LOSS",IF(COUNTIFS('Site Dockets'!$B$7:$B$24,C1337,'Site Dockets'!$C$7:$C$24,F1337)&gt;0,1,0),IF(B1337="REGION LOSS",IF(COUNTIFS('Site Dockets'!$E$7:$E$24,C1337,'Site Dockets'!$C$7:$C$24,F1337)&gt;0,1,0),0))</f>
        <v>0</v>
      </c>
      <c r="L1337" s="15" t="n">
        <f aca="false">IF(J1337=1,0,Inputs!$B$11)</f>
        <v>100</v>
      </c>
      <c r="M1337" s="15" t="n">
        <f aca="false">IF(J1337=1,0,Inputs!$B$12)</f>
        <v>75</v>
      </c>
      <c r="N1337" s="15" t="n">
        <f aca="false">IF(J1337=1,0,IF(OR(AND(OR(B1337="SITE LOSS",B1337="REGION LOSS"),K1337=1),AND(B1337="ROLE COMPROMISE",H1337=C1337)),Inputs!$B$13,Inputs!$B$14))</f>
        <v>10</v>
      </c>
      <c r="O1337" s="15" t="n">
        <f aca="false">IF(J1337=1,0,Inputs!$B$13)</f>
        <v>20</v>
      </c>
      <c r="P1337" s="15" t="n">
        <f aca="false">SUM(M1337:N1337)</f>
        <v>85</v>
      </c>
      <c r="Q1337" s="15" t="n">
        <f aca="false">IF(J1337=1,"",L1337-P1337)</f>
        <v>15</v>
      </c>
      <c r="R1337" s="15" t="n">
        <f aca="false">IF(OR(J1337=1,M1337&lt;=Inputs!$B$12),1,0)</f>
        <v>1</v>
      </c>
      <c r="S1337" s="15" t="n">
        <f aca="false">IF(OR(J1337=1,N1337&lt;=O1337),1,0)</f>
        <v>1</v>
      </c>
      <c r="T1337" s="15" t="str">
        <f aca="false">IF(J1337=1,"OFFLINE",IF(AND(Q1337&gt;=Inputs!$B$15,R1337=1,S1337=1,P1337&lt;=L1337),"PASS","FAIL"))</f>
        <v>PASS</v>
      </c>
    </row>
    <row r="1338" customFormat="false" ht="15" hidden="false" customHeight="false" outlineLevel="0" collapsed="false">
      <c r="A1338" s="14" t="s">
        <v>1031</v>
      </c>
      <c r="B1338" s="14" t="s">
        <v>1019</v>
      </c>
      <c r="C1338" s="14" t="s">
        <v>190</v>
      </c>
      <c r="D1338" s="14" t="s">
        <v>171</v>
      </c>
      <c r="E1338" s="14" t="s">
        <v>172</v>
      </c>
      <c r="F1338" s="14" t="s">
        <v>164</v>
      </c>
      <c r="G1338" s="14" t="n">
        <v>3</v>
      </c>
      <c r="H1338" s="14" t="s">
        <v>158</v>
      </c>
      <c r="I1338" s="14" t="s">
        <v>899</v>
      </c>
      <c r="J1338" s="15" t="n">
        <f aca="false">IF(B1338="SITE LOSS",IF(D1338=C1338,1,0),IF(B1338="REGION LOSS",IF(E1338=C1338,1,0),0))</f>
        <v>0</v>
      </c>
      <c r="K1338" s="15" t="n">
        <f aca="false">IF(B1338="SITE LOSS",IF(COUNTIFS('Site Dockets'!$B$7:$B$24,C1338,'Site Dockets'!$C$7:$C$24,F1338)&gt;0,1,0),IF(B1338="REGION LOSS",IF(COUNTIFS('Site Dockets'!$E$7:$E$24,C1338,'Site Dockets'!$C$7:$C$24,F1338)&gt;0,1,0),0))</f>
        <v>0</v>
      </c>
      <c r="L1338" s="15" t="n">
        <f aca="false">IF(J1338=1,0,Inputs!$B$11)</f>
        <v>100</v>
      </c>
      <c r="M1338" s="15" t="n">
        <f aca="false">IF(J1338=1,0,Inputs!$B$12)</f>
        <v>75</v>
      </c>
      <c r="N1338" s="15" t="n">
        <f aca="false">IF(J1338=1,0,IF(OR(AND(OR(B1338="SITE LOSS",B1338="REGION LOSS"),K1338=1),AND(B1338="ROLE COMPROMISE",H1338=C1338)),Inputs!$B$13,Inputs!$B$14))</f>
        <v>10</v>
      </c>
      <c r="O1338" s="15" t="n">
        <f aca="false">IF(J1338=1,0,Inputs!$B$13)</f>
        <v>20</v>
      </c>
      <c r="P1338" s="15" t="n">
        <f aca="false">SUM(M1338:N1338)</f>
        <v>85</v>
      </c>
      <c r="Q1338" s="15" t="n">
        <f aca="false">IF(J1338=1,"",L1338-P1338)</f>
        <v>15</v>
      </c>
      <c r="R1338" s="15" t="n">
        <f aca="false">IF(OR(J1338=1,M1338&lt;=Inputs!$B$12),1,0)</f>
        <v>1</v>
      </c>
      <c r="S1338" s="15" t="n">
        <f aca="false">IF(OR(J1338=1,N1338&lt;=O1338),1,0)</f>
        <v>1</v>
      </c>
      <c r="T1338" s="15" t="str">
        <f aca="false">IF(J1338=1,"OFFLINE",IF(AND(Q1338&gt;=Inputs!$B$15,R1338=1,S1338=1,P1338&lt;=L1338),"PASS","FAIL"))</f>
        <v>PASS</v>
      </c>
    </row>
    <row r="1339" customFormat="false" ht="15" hidden="false" customHeight="false" outlineLevel="0" collapsed="false">
      <c r="A1339" s="14" t="s">
        <v>1031</v>
      </c>
      <c r="B1339" s="14" t="s">
        <v>1019</v>
      </c>
      <c r="C1339" s="14" t="s">
        <v>190</v>
      </c>
      <c r="D1339" s="14" t="s">
        <v>174</v>
      </c>
      <c r="E1339" s="14" t="s">
        <v>152</v>
      </c>
      <c r="F1339" s="14" t="s">
        <v>175</v>
      </c>
      <c r="G1339" s="14" t="n">
        <v>1</v>
      </c>
      <c r="H1339" s="14" t="s">
        <v>154</v>
      </c>
      <c r="I1339" s="14" t="s">
        <v>890</v>
      </c>
      <c r="J1339" s="15" t="n">
        <f aca="false">IF(B1339="SITE LOSS",IF(D1339=C1339,1,0),IF(B1339="REGION LOSS",IF(E1339=C1339,1,0),0))</f>
        <v>0</v>
      </c>
      <c r="K1339" s="15" t="n">
        <f aca="false">IF(B1339="SITE LOSS",IF(COUNTIFS('Site Dockets'!$B$7:$B$24,C1339,'Site Dockets'!$C$7:$C$24,F1339)&gt;0,1,0),IF(B1339="REGION LOSS",IF(COUNTIFS('Site Dockets'!$E$7:$E$24,C1339,'Site Dockets'!$C$7:$C$24,F1339)&gt;0,1,0),0))</f>
        <v>0</v>
      </c>
      <c r="L1339" s="15" t="n">
        <f aca="false">IF(J1339=1,0,Inputs!$B$11)</f>
        <v>100</v>
      </c>
      <c r="M1339" s="15" t="n">
        <f aca="false">IF(J1339=1,0,Inputs!$B$12)</f>
        <v>75</v>
      </c>
      <c r="N1339" s="15" t="n">
        <f aca="false">IF(J1339=1,0,IF(OR(AND(OR(B1339="SITE LOSS",B1339="REGION LOSS"),K1339=1),AND(B1339="ROLE COMPROMISE",H1339=C1339)),Inputs!$B$13,Inputs!$B$14))</f>
        <v>10</v>
      </c>
      <c r="O1339" s="15" t="n">
        <f aca="false">IF(J1339=1,0,Inputs!$B$13)</f>
        <v>20</v>
      </c>
      <c r="P1339" s="15" t="n">
        <f aca="false">SUM(M1339:N1339)</f>
        <v>85</v>
      </c>
      <c r="Q1339" s="15" t="n">
        <f aca="false">IF(J1339=1,"",L1339-P1339)</f>
        <v>15</v>
      </c>
      <c r="R1339" s="15" t="n">
        <f aca="false">IF(OR(J1339=1,M1339&lt;=Inputs!$B$12),1,0)</f>
        <v>1</v>
      </c>
      <c r="S1339" s="15" t="n">
        <f aca="false">IF(OR(J1339=1,N1339&lt;=O1339),1,0)</f>
        <v>1</v>
      </c>
      <c r="T1339" s="15" t="str">
        <f aca="false">IF(J1339=1,"OFFLINE",IF(AND(Q1339&gt;=Inputs!$B$15,R1339=1,S1339=1,P1339&lt;=L1339),"PASS","FAIL"))</f>
        <v>PASS</v>
      </c>
    </row>
    <row r="1340" customFormat="false" ht="15" hidden="false" customHeight="false" outlineLevel="0" collapsed="false">
      <c r="A1340" s="14" t="s">
        <v>1031</v>
      </c>
      <c r="B1340" s="14" t="s">
        <v>1019</v>
      </c>
      <c r="C1340" s="14" t="s">
        <v>190</v>
      </c>
      <c r="D1340" s="14" t="s">
        <v>174</v>
      </c>
      <c r="E1340" s="14" t="s">
        <v>152</v>
      </c>
      <c r="F1340" s="14" t="s">
        <v>175</v>
      </c>
      <c r="G1340" s="14" t="n">
        <v>1</v>
      </c>
      <c r="H1340" s="14" t="s">
        <v>154</v>
      </c>
      <c r="I1340" s="14" t="s">
        <v>892</v>
      </c>
      <c r="J1340" s="15" t="n">
        <f aca="false">IF(B1340="SITE LOSS",IF(D1340=C1340,1,0),IF(B1340="REGION LOSS",IF(E1340=C1340,1,0),0))</f>
        <v>0</v>
      </c>
      <c r="K1340" s="15" t="n">
        <f aca="false">IF(B1340="SITE LOSS",IF(COUNTIFS('Site Dockets'!$B$7:$B$24,C1340,'Site Dockets'!$C$7:$C$24,F1340)&gt;0,1,0),IF(B1340="REGION LOSS",IF(COUNTIFS('Site Dockets'!$E$7:$E$24,C1340,'Site Dockets'!$C$7:$C$24,F1340)&gt;0,1,0),0))</f>
        <v>0</v>
      </c>
      <c r="L1340" s="15" t="n">
        <f aca="false">IF(J1340=1,0,Inputs!$B$11)</f>
        <v>100</v>
      </c>
      <c r="M1340" s="15" t="n">
        <f aca="false">IF(J1340=1,0,Inputs!$B$12)</f>
        <v>75</v>
      </c>
      <c r="N1340" s="15" t="n">
        <f aca="false">IF(J1340=1,0,IF(OR(AND(OR(B1340="SITE LOSS",B1340="REGION LOSS"),K1340=1),AND(B1340="ROLE COMPROMISE",H1340=C1340)),Inputs!$B$13,Inputs!$B$14))</f>
        <v>10</v>
      </c>
      <c r="O1340" s="15" t="n">
        <f aca="false">IF(J1340=1,0,Inputs!$B$13)</f>
        <v>20</v>
      </c>
      <c r="P1340" s="15" t="n">
        <f aca="false">SUM(M1340:N1340)</f>
        <v>85</v>
      </c>
      <c r="Q1340" s="15" t="n">
        <f aca="false">IF(J1340=1,"",L1340-P1340)</f>
        <v>15</v>
      </c>
      <c r="R1340" s="15" t="n">
        <f aca="false">IF(OR(J1340=1,M1340&lt;=Inputs!$B$12),1,0)</f>
        <v>1</v>
      </c>
      <c r="S1340" s="15" t="n">
        <f aca="false">IF(OR(J1340=1,N1340&lt;=O1340),1,0)</f>
        <v>1</v>
      </c>
      <c r="T1340" s="15" t="str">
        <f aca="false">IF(J1340=1,"OFFLINE",IF(AND(Q1340&gt;=Inputs!$B$15,R1340=1,S1340=1,P1340&lt;=L1340),"PASS","FAIL"))</f>
        <v>PASS</v>
      </c>
    </row>
    <row r="1341" customFormat="false" ht="15" hidden="false" customHeight="false" outlineLevel="0" collapsed="false">
      <c r="A1341" s="14" t="s">
        <v>1031</v>
      </c>
      <c r="B1341" s="14" t="s">
        <v>1019</v>
      </c>
      <c r="C1341" s="14" t="s">
        <v>190</v>
      </c>
      <c r="D1341" s="14" t="s">
        <v>174</v>
      </c>
      <c r="E1341" s="14" t="s">
        <v>152</v>
      </c>
      <c r="F1341" s="14" t="s">
        <v>175</v>
      </c>
      <c r="G1341" s="14" t="n">
        <v>1</v>
      </c>
      <c r="H1341" s="14" t="s">
        <v>154</v>
      </c>
      <c r="I1341" s="14" t="s">
        <v>811</v>
      </c>
      <c r="J1341" s="15" t="n">
        <f aca="false">IF(B1341="SITE LOSS",IF(D1341=C1341,1,0),IF(B1341="REGION LOSS",IF(E1341=C1341,1,0),0))</f>
        <v>0</v>
      </c>
      <c r="K1341" s="15" t="n">
        <f aca="false">IF(B1341="SITE LOSS",IF(COUNTIFS('Site Dockets'!$B$7:$B$24,C1341,'Site Dockets'!$C$7:$C$24,F1341)&gt;0,1,0),IF(B1341="REGION LOSS",IF(COUNTIFS('Site Dockets'!$E$7:$E$24,C1341,'Site Dockets'!$C$7:$C$24,F1341)&gt;0,1,0),0))</f>
        <v>0</v>
      </c>
      <c r="L1341" s="15" t="n">
        <f aca="false">IF(J1341=1,0,Inputs!$B$11)</f>
        <v>100</v>
      </c>
      <c r="M1341" s="15" t="n">
        <f aca="false">IF(J1341=1,0,Inputs!$B$12)</f>
        <v>75</v>
      </c>
      <c r="N1341" s="15" t="n">
        <f aca="false">IF(J1341=1,0,IF(OR(AND(OR(B1341="SITE LOSS",B1341="REGION LOSS"),K1341=1),AND(B1341="ROLE COMPROMISE",H1341=C1341)),Inputs!$B$13,Inputs!$B$14))</f>
        <v>10</v>
      </c>
      <c r="O1341" s="15" t="n">
        <f aca="false">IF(J1341=1,0,Inputs!$B$13)</f>
        <v>20</v>
      </c>
      <c r="P1341" s="15" t="n">
        <f aca="false">SUM(M1341:N1341)</f>
        <v>85</v>
      </c>
      <c r="Q1341" s="15" t="n">
        <f aca="false">IF(J1341=1,"",L1341-P1341)</f>
        <v>15</v>
      </c>
      <c r="R1341" s="15" t="n">
        <f aca="false">IF(OR(J1341=1,M1341&lt;=Inputs!$B$12),1,0)</f>
        <v>1</v>
      </c>
      <c r="S1341" s="15" t="n">
        <f aca="false">IF(OR(J1341=1,N1341&lt;=O1341),1,0)</f>
        <v>1</v>
      </c>
      <c r="T1341" s="15" t="str">
        <f aca="false">IF(J1341=1,"OFFLINE",IF(AND(Q1341&gt;=Inputs!$B$15,R1341=1,S1341=1,P1341&lt;=L1341),"PASS","FAIL"))</f>
        <v>PASS</v>
      </c>
    </row>
    <row r="1342" customFormat="false" ht="15" hidden="false" customHeight="false" outlineLevel="0" collapsed="false">
      <c r="A1342" s="14" t="s">
        <v>1031</v>
      </c>
      <c r="B1342" s="14" t="s">
        <v>1019</v>
      </c>
      <c r="C1342" s="14" t="s">
        <v>190</v>
      </c>
      <c r="D1342" s="14" t="s">
        <v>174</v>
      </c>
      <c r="E1342" s="14" t="s">
        <v>152</v>
      </c>
      <c r="F1342" s="14" t="s">
        <v>175</v>
      </c>
      <c r="G1342" s="14" t="n">
        <v>1</v>
      </c>
      <c r="H1342" s="14" t="s">
        <v>154</v>
      </c>
      <c r="I1342" s="14" t="s">
        <v>895</v>
      </c>
      <c r="J1342" s="15" t="n">
        <f aca="false">IF(B1342="SITE LOSS",IF(D1342=C1342,1,0),IF(B1342="REGION LOSS",IF(E1342=C1342,1,0),0))</f>
        <v>0</v>
      </c>
      <c r="K1342" s="15" t="n">
        <f aca="false">IF(B1342="SITE LOSS",IF(COUNTIFS('Site Dockets'!$B$7:$B$24,C1342,'Site Dockets'!$C$7:$C$24,F1342)&gt;0,1,0),IF(B1342="REGION LOSS",IF(COUNTIFS('Site Dockets'!$E$7:$E$24,C1342,'Site Dockets'!$C$7:$C$24,F1342)&gt;0,1,0),0))</f>
        <v>0</v>
      </c>
      <c r="L1342" s="15" t="n">
        <f aca="false">IF(J1342=1,0,Inputs!$B$11)</f>
        <v>100</v>
      </c>
      <c r="M1342" s="15" t="n">
        <f aca="false">IF(J1342=1,0,Inputs!$B$12)</f>
        <v>75</v>
      </c>
      <c r="N1342" s="15" t="n">
        <f aca="false">IF(J1342=1,0,IF(OR(AND(OR(B1342="SITE LOSS",B1342="REGION LOSS"),K1342=1),AND(B1342="ROLE COMPROMISE",H1342=C1342)),Inputs!$B$13,Inputs!$B$14))</f>
        <v>10</v>
      </c>
      <c r="O1342" s="15" t="n">
        <f aca="false">IF(J1342=1,0,Inputs!$B$13)</f>
        <v>20</v>
      </c>
      <c r="P1342" s="15" t="n">
        <f aca="false">SUM(M1342:N1342)</f>
        <v>85</v>
      </c>
      <c r="Q1342" s="15" t="n">
        <f aca="false">IF(J1342=1,"",L1342-P1342)</f>
        <v>15</v>
      </c>
      <c r="R1342" s="15" t="n">
        <f aca="false">IF(OR(J1342=1,M1342&lt;=Inputs!$B$12),1,0)</f>
        <v>1</v>
      </c>
      <c r="S1342" s="15" t="n">
        <f aca="false">IF(OR(J1342=1,N1342&lt;=O1342),1,0)</f>
        <v>1</v>
      </c>
      <c r="T1342" s="15" t="str">
        <f aca="false">IF(J1342=1,"OFFLINE",IF(AND(Q1342&gt;=Inputs!$B$15,R1342=1,S1342=1,P1342&lt;=L1342),"PASS","FAIL"))</f>
        <v>PASS</v>
      </c>
    </row>
    <row r="1343" customFormat="false" ht="15" hidden="false" customHeight="false" outlineLevel="0" collapsed="false">
      <c r="A1343" s="14" t="s">
        <v>1031</v>
      </c>
      <c r="B1343" s="14" t="s">
        <v>1019</v>
      </c>
      <c r="C1343" s="14" t="s">
        <v>190</v>
      </c>
      <c r="D1343" s="14" t="s">
        <v>174</v>
      </c>
      <c r="E1343" s="14" t="s">
        <v>152</v>
      </c>
      <c r="F1343" s="14" t="s">
        <v>175</v>
      </c>
      <c r="G1343" s="14" t="n">
        <v>1</v>
      </c>
      <c r="H1343" s="14" t="s">
        <v>154</v>
      </c>
      <c r="I1343" s="14" t="s">
        <v>897</v>
      </c>
      <c r="J1343" s="15" t="n">
        <f aca="false">IF(B1343="SITE LOSS",IF(D1343=C1343,1,0),IF(B1343="REGION LOSS",IF(E1343=C1343,1,0),0))</f>
        <v>0</v>
      </c>
      <c r="K1343" s="15" t="n">
        <f aca="false">IF(B1343="SITE LOSS",IF(COUNTIFS('Site Dockets'!$B$7:$B$24,C1343,'Site Dockets'!$C$7:$C$24,F1343)&gt;0,1,0),IF(B1343="REGION LOSS",IF(COUNTIFS('Site Dockets'!$E$7:$E$24,C1343,'Site Dockets'!$C$7:$C$24,F1343)&gt;0,1,0),0))</f>
        <v>0</v>
      </c>
      <c r="L1343" s="15" t="n">
        <f aca="false">IF(J1343=1,0,Inputs!$B$11)</f>
        <v>100</v>
      </c>
      <c r="M1343" s="15" t="n">
        <f aca="false">IF(J1343=1,0,Inputs!$B$12)</f>
        <v>75</v>
      </c>
      <c r="N1343" s="15" t="n">
        <f aca="false">IF(J1343=1,0,IF(OR(AND(OR(B1343="SITE LOSS",B1343="REGION LOSS"),K1343=1),AND(B1343="ROLE COMPROMISE",H1343=C1343)),Inputs!$B$13,Inputs!$B$14))</f>
        <v>10</v>
      </c>
      <c r="O1343" s="15" t="n">
        <f aca="false">IF(J1343=1,0,Inputs!$B$13)</f>
        <v>20</v>
      </c>
      <c r="P1343" s="15" t="n">
        <f aca="false">SUM(M1343:N1343)</f>
        <v>85</v>
      </c>
      <c r="Q1343" s="15" t="n">
        <f aca="false">IF(J1343=1,"",L1343-P1343)</f>
        <v>15</v>
      </c>
      <c r="R1343" s="15" t="n">
        <f aca="false">IF(OR(J1343=1,M1343&lt;=Inputs!$B$12),1,0)</f>
        <v>1</v>
      </c>
      <c r="S1343" s="15" t="n">
        <f aca="false">IF(OR(J1343=1,N1343&lt;=O1343),1,0)</f>
        <v>1</v>
      </c>
      <c r="T1343" s="15" t="str">
        <f aca="false">IF(J1343=1,"OFFLINE",IF(AND(Q1343&gt;=Inputs!$B$15,R1343=1,S1343=1,P1343&lt;=L1343),"PASS","FAIL"))</f>
        <v>PASS</v>
      </c>
    </row>
    <row r="1344" customFormat="false" ht="15" hidden="false" customHeight="false" outlineLevel="0" collapsed="false">
      <c r="A1344" s="14" t="s">
        <v>1031</v>
      </c>
      <c r="B1344" s="14" t="s">
        <v>1019</v>
      </c>
      <c r="C1344" s="14" t="s">
        <v>190</v>
      </c>
      <c r="D1344" s="14" t="s">
        <v>174</v>
      </c>
      <c r="E1344" s="14" t="s">
        <v>152</v>
      </c>
      <c r="F1344" s="14" t="s">
        <v>175</v>
      </c>
      <c r="G1344" s="14" t="n">
        <v>1</v>
      </c>
      <c r="H1344" s="14" t="s">
        <v>154</v>
      </c>
      <c r="I1344" s="14" t="s">
        <v>899</v>
      </c>
      <c r="J1344" s="15" t="n">
        <f aca="false">IF(B1344="SITE LOSS",IF(D1344=C1344,1,0),IF(B1344="REGION LOSS",IF(E1344=C1344,1,0),0))</f>
        <v>0</v>
      </c>
      <c r="K1344" s="15" t="n">
        <f aca="false">IF(B1344="SITE LOSS",IF(COUNTIFS('Site Dockets'!$B$7:$B$24,C1344,'Site Dockets'!$C$7:$C$24,F1344)&gt;0,1,0),IF(B1344="REGION LOSS",IF(COUNTIFS('Site Dockets'!$E$7:$E$24,C1344,'Site Dockets'!$C$7:$C$24,F1344)&gt;0,1,0),0))</f>
        <v>0</v>
      </c>
      <c r="L1344" s="15" t="n">
        <f aca="false">IF(J1344=1,0,Inputs!$B$11)</f>
        <v>100</v>
      </c>
      <c r="M1344" s="15" t="n">
        <f aca="false">IF(J1344=1,0,Inputs!$B$12)</f>
        <v>75</v>
      </c>
      <c r="N1344" s="15" t="n">
        <f aca="false">IF(J1344=1,0,IF(OR(AND(OR(B1344="SITE LOSS",B1344="REGION LOSS"),K1344=1),AND(B1344="ROLE COMPROMISE",H1344=C1344)),Inputs!$B$13,Inputs!$B$14))</f>
        <v>10</v>
      </c>
      <c r="O1344" s="15" t="n">
        <f aca="false">IF(J1344=1,0,Inputs!$B$13)</f>
        <v>20</v>
      </c>
      <c r="P1344" s="15" t="n">
        <f aca="false">SUM(M1344:N1344)</f>
        <v>85</v>
      </c>
      <c r="Q1344" s="15" t="n">
        <f aca="false">IF(J1344=1,"",L1344-P1344)</f>
        <v>15</v>
      </c>
      <c r="R1344" s="15" t="n">
        <f aca="false">IF(OR(J1344=1,M1344&lt;=Inputs!$B$12),1,0)</f>
        <v>1</v>
      </c>
      <c r="S1344" s="15" t="n">
        <f aca="false">IF(OR(J1344=1,N1344&lt;=O1344),1,0)</f>
        <v>1</v>
      </c>
      <c r="T1344" s="15" t="str">
        <f aca="false">IF(J1344=1,"OFFLINE",IF(AND(Q1344&gt;=Inputs!$B$15,R1344=1,S1344=1,P1344&lt;=L1344),"PASS","FAIL"))</f>
        <v>PASS</v>
      </c>
    </row>
    <row r="1345" customFormat="false" ht="15" hidden="false" customHeight="false" outlineLevel="0" collapsed="false">
      <c r="A1345" s="14" t="s">
        <v>1031</v>
      </c>
      <c r="B1345" s="14" t="s">
        <v>1019</v>
      </c>
      <c r="C1345" s="14" t="s">
        <v>190</v>
      </c>
      <c r="D1345" s="14" t="s">
        <v>178</v>
      </c>
      <c r="E1345" s="14" t="s">
        <v>169</v>
      </c>
      <c r="F1345" s="14" t="s">
        <v>175</v>
      </c>
      <c r="G1345" s="14" t="n">
        <v>2</v>
      </c>
      <c r="H1345" s="14" t="s">
        <v>153</v>
      </c>
      <c r="I1345" s="14" t="s">
        <v>890</v>
      </c>
      <c r="J1345" s="15" t="n">
        <f aca="false">IF(B1345="SITE LOSS",IF(D1345=C1345,1,0),IF(B1345="REGION LOSS",IF(E1345=C1345,1,0),0))</f>
        <v>0</v>
      </c>
      <c r="K1345" s="15" t="n">
        <f aca="false">IF(B1345="SITE LOSS",IF(COUNTIFS('Site Dockets'!$B$7:$B$24,C1345,'Site Dockets'!$C$7:$C$24,F1345)&gt;0,1,0),IF(B1345="REGION LOSS",IF(COUNTIFS('Site Dockets'!$E$7:$E$24,C1345,'Site Dockets'!$C$7:$C$24,F1345)&gt;0,1,0),0))</f>
        <v>0</v>
      </c>
      <c r="L1345" s="15" t="n">
        <f aca="false">IF(J1345=1,0,Inputs!$B$11)</f>
        <v>100</v>
      </c>
      <c r="M1345" s="15" t="n">
        <f aca="false">IF(J1345=1,0,Inputs!$B$12)</f>
        <v>75</v>
      </c>
      <c r="N1345" s="15" t="n">
        <f aca="false">IF(J1345=1,0,IF(OR(AND(OR(B1345="SITE LOSS",B1345="REGION LOSS"),K1345=1),AND(B1345="ROLE COMPROMISE",H1345=C1345)),Inputs!$B$13,Inputs!$B$14))</f>
        <v>10</v>
      </c>
      <c r="O1345" s="15" t="n">
        <f aca="false">IF(J1345=1,0,Inputs!$B$13)</f>
        <v>20</v>
      </c>
      <c r="P1345" s="15" t="n">
        <f aca="false">SUM(M1345:N1345)</f>
        <v>85</v>
      </c>
      <c r="Q1345" s="15" t="n">
        <f aca="false">IF(J1345=1,"",L1345-P1345)</f>
        <v>15</v>
      </c>
      <c r="R1345" s="15" t="n">
        <f aca="false">IF(OR(J1345=1,M1345&lt;=Inputs!$B$12),1,0)</f>
        <v>1</v>
      </c>
      <c r="S1345" s="15" t="n">
        <f aca="false">IF(OR(J1345=1,N1345&lt;=O1345),1,0)</f>
        <v>1</v>
      </c>
      <c r="T1345" s="15" t="str">
        <f aca="false">IF(J1345=1,"OFFLINE",IF(AND(Q1345&gt;=Inputs!$B$15,R1345=1,S1345=1,P1345&lt;=L1345),"PASS","FAIL"))</f>
        <v>PASS</v>
      </c>
    </row>
    <row r="1346" customFormat="false" ht="15" hidden="false" customHeight="false" outlineLevel="0" collapsed="false">
      <c r="A1346" s="14" t="s">
        <v>1031</v>
      </c>
      <c r="B1346" s="14" t="s">
        <v>1019</v>
      </c>
      <c r="C1346" s="14" t="s">
        <v>190</v>
      </c>
      <c r="D1346" s="14" t="s">
        <v>178</v>
      </c>
      <c r="E1346" s="14" t="s">
        <v>169</v>
      </c>
      <c r="F1346" s="14" t="s">
        <v>175</v>
      </c>
      <c r="G1346" s="14" t="n">
        <v>2</v>
      </c>
      <c r="H1346" s="14" t="s">
        <v>153</v>
      </c>
      <c r="I1346" s="14" t="s">
        <v>892</v>
      </c>
      <c r="J1346" s="15" t="n">
        <f aca="false">IF(B1346="SITE LOSS",IF(D1346=C1346,1,0),IF(B1346="REGION LOSS",IF(E1346=C1346,1,0),0))</f>
        <v>0</v>
      </c>
      <c r="K1346" s="15" t="n">
        <f aca="false">IF(B1346="SITE LOSS",IF(COUNTIFS('Site Dockets'!$B$7:$B$24,C1346,'Site Dockets'!$C$7:$C$24,F1346)&gt;0,1,0),IF(B1346="REGION LOSS",IF(COUNTIFS('Site Dockets'!$E$7:$E$24,C1346,'Site Dockets'!$C$7:$C$24,F1346)&gt;0,1,0),0))</f>
        <v>0</v>
      </c>
      <c r="L1346" s="15" t="n">
        <f aca="false">IF(J1346=1,0,Inputs!$B$11)</f>
        <v>100</v>
      </c>
      <c r="M1346" s="15" t="n">
        <f aca="false">IF(J1346=1,0,Inputs!$B$12)</f>
        <v>75</v>
      </c>
      <c r="N1346" s="15" t="n">
        <f aca="false">IF(J1346=1,0,IF(OR(AND(OR(B1346="SITE LOSS",B1346="REGION LOSS"),K1346=1),AND(B1346="ROLE COMPROMISE",H1346=C1346)),Inputs!$B$13,Inputs!$B$14))</f>
        <v>10</v>
      </c>
      <c r="O1346" s="15" t="n">
        <f aca="false">IF(J1346=1,0,Inputs!$B$13)</f>
        <v>20</v>
      </c>
      <c r="P1346" s="15" t="n">
        <f aca="false">SUM(M1346:N1346)</f>
        <v>85</v>
      </c>
      <c r="Q1346" s="15" t="n">
        <f aca="false">IF(J1346=1,"",L1346-P1346)</f>
        <v>15</v>
      </c>
      <c r="R1346" s="15" t="n">
        <f aca="false">IF(OR(J1346=1,M1346&lt;=Inputs!$B$12),1,0)</f>
        <v>1</v>
      </c>
      <c r="S1346" s="15" t="n">
        <f aca="false">IF(OR(J1346=1,N1346&lt;=O1346),1,0)</f>
        <v>1</v>
      </c>
      <c r="T1346" s="15" t="str">
        <f aca="false">IF(J1346=1,"OFFLINE",IF(AND(Q1346&gt;=Inputs!$B$15,R1346=1,S1346=1,P1346&lt;=L1346),"PASS","FAIL"))</f>
        <v>PASS</v>
      </c>
    </row>
    <row r="1347" customFormat="false" ht="15" hidden="false" customHeight="false" outlineLevel="0" collapsed="false">
      <c r="A1347" s="14" t="s">
        <v>1031</v>
      </c>
      <c r="B1347" s="14" t="s">
        <v>1019</v>
      </c>
      <c r="C1347" s="14" t="s">
        <v>190</v>
      </c>
      <c r="D1347" s="14" t="s">
        <v>178</v>
      </c>
      <c r="E1347" s="14" t="s">
        <v>169</v>
      </c>
      <c r="F1347" s="14" t="s">
        <v>175</v>
      </c>
      <c r="G1347" s="14" t="n">
        <v>2</v>
      </c>
      <c r="H1347" s="14" t="s">
        <v>153</v>
      </c>
      <c r="I1347" s="14" t="s">
        <v>811</v>
      </c>
      <c r="J1347" s="15" t="n">
        <f aca="false">IF(B1347="SITE LOSS",IF(D1347=C1347,1,0),IF(B1347="REGION LOSS",IF(E1347=C1347,1,0),0))</f>
        <v>0</v>
      </c>
      <c r="K1347" s="15" t="n">
        <f aca="false">IF(B1347="SITE LOSS",IF(COUNTIFS('Site Dockets'!$B$7:$B$24,C1347,'Site Dockets'!$C$7:$C$24,F1347)&gt;0,1,0),IF(B1347="REGION LOSS",IF(COUNTIFS('Site Dockets'!$E$7:$E$24,C1347,'Site Dockets'!$C$7:$C$24,F1347)&gt;0,1,0),0))</f>
        <v>0</v>
      </c>
      <c r="L1347" s="15" t="n">
        <f aca="false">IF(J1347=1,0,Inputs!$B$11)</f>
        <v>100</v>
      </c>
      <c r="M1347" s="15" t="n">
        <f aca="false">IF(J1347=1,0,Inputs!$B$12)</f>
        <v>75</v>
      </c>
      <c r="N1347" s="15" t="n">
        <f aca="false">IF(J1347=1,0,IF(OR(AND(OR(B1347="SITE LOSS",B1347="REGION LOSS"),K1347=1),AND(B1347="ROLE COMPROMISE",H1347=C1347)),Inputs!$B$13,Inputs!$B$14))</f>
        <v>10</v>
      </c>
      <c r="O1347" s="15" t="n">
        <f aca="false">IF(J1347=1,0,Inputs!$B$13)</f>
        <v>20</v>
      </c>
      <c r="P1347" s="15" t="n">
        <f aca="false">SUM(M1347:N1347)</f>
        <v>85</v>
      </c>
      <c r="Q1347" s="15" t="n">
        <f aca="false">IF(J1347=1,"",L1347-P1347)</f>
        <v>15</v>
      </c>
      <c r="R1347" s="15" t="n">
        <f aca="false">IF(OR(J1347=1,M1347&lt;=Inputs!$B$12),1,0)</f>
        <v>1</v>
      </c>
      <c r="S1347" s="15" t="n">
        <f aca="false">IF(OR(J1347=1,N1347&lt;=O1347),1,0)</f>
        <v>1</v>
      </c>
      <c r="T1347" s="15" t="str">
        <f aca="false">IF(J1347=1,"OFFLINE",IF(AND(Q1347&gt;=Inputs!$B$15,R1347=1,S1347=1,P1347&lt;=L1347),"PASS","FAIL"))</f>
        <v>PASS</v>
      </c>
    </row>
    <row r="1348" customFormat="false" ht="15" hidden="false" customHeight="false" outlineLevel="0" collapsed="false">
      <c r="A1348" s="14" t="s">
        <v>1031</v>
      </c>
      <c r="B1348" s="14" t="s">
        <v>1019</v>
      </c>
      <c r="C1348" s="14" t="s">
        <v>190</v>
      </c>
      <c r="D1348" s="14" t="s">
        <v>178</v>
      </c>
      <c r="E1348" s="14" t="s">
        <v>169</v>
      </c>
      <c r="F1348" s="14" t="s">
        <v>175</v>
      </c>
      <c r="G1348" s="14" t="n">
        <v>2</v>
      </c>
      <c r="H1348" s="14" t="s">
        <v>153</v>
      </c>
      <c r="I1348" s="14" t="s">
        <v>895</v>
      </c>
      <c r="J1348" s="15" t="n">
        <f aca="false">IF(B1348="SITE LOSS",IF(D1348=C1348,1,0),IF(B1348="REGION LOSS",IF(E1348=C1348,1,0),0))</f>
        <v>0</v>
      </c>
      <c r="K1348" s="15" t="n">
        <f aca="false">IF(B1348="SITE LOSS",IF(COUNTIFS('Site Dockets'!$B$7:$B$24,C1348,'Site Dockets'!$C$7:$C$24,F1348)&gt;0,1,0),IF(B1348="REGION LOSS",IF(COUNTIFS('Site Dockets'!$E$7:$E$24,C1348,'Site Dockets'!$C$7:$C$24,F1348)&gt;0,1,0),0))</f>
        <v>0</v>
      </c>
      <c r="L1348" s="15" t="n">
        <f aca="false">IF(J1348=1,0,Inputs!$B$11)</f>
        <v>100</v>
      </c>
      <c r="M1348" s="15" t="n">
        <f aca="false">IF(J1348=1,0,Inputs!$B$12)</f>
        <v>75</v>
      </c>
      <c r="N1348" s="15" t="n">
        <f aca="false">IF(J1348=1,0,IF(OR(AND(OR(B1348="SITE LOSS",B1348="REGION LOSS"),K1348=1),AND(B1348="ROLE COMPROMISE",H1348=C1348)),Inputs!$B$13,Inputs!$B$14))</f>
        <v>10</v>
      </c>
      <c r="O1348" s="15" t="n">
        <f aca="false">IF(J1348=1,0,Inputs!$B$13)</f>
        <v>20</v>
      </c>
      <c r="P1348" s="15" t="n">
        <f aca="false">SUM(M1348:N1348)</f>
        <v>85</v>
      </c>
      <c r="Q1348" s="15" t="n">
        <f aca="false">IF(J1348=1,"",L1348-P1348)</f>
        <v>15</v>
      </c>
      <c r="R1348" s="15" t="n">
        <f aca="false">IF(OR(J1348=1,M1348&lt;=Inputs!$B$12),1,0)</f>
        <v>1</v>
      </c>
      <c r="S1348" s="15" t="n">
        <f aca="false">IF(OR(J1348=1,N1348&lt;=O1348),1,0)</f>
        <v>1</v>
      </c>
      <c r="T1348" s="15" t="str">
        <f aca="false">IF(J1348=1,"OFFLINE",IF(AND(Q1348&gt;=Inputs!$B$15,R1348=1,S1348=1,P1348&lt;=L1348),"PASS","FAIL"))</f>
        <v>PASS</v>
      </c>
    </row>
    <row r="1349" customFormat="false" ht="15" hidden="false" customHeight="false" outlineLevel="0" collapsed="false">
      <c r="A1349" s="14" t="s">
        <v>1031</v>
      </c>
      <c r="B1349" s="14" t="s">
        <v>1019</v>
      </c>
      <c r="C1349" s="14" t="s">
        <v>190</v>
      </c>
      <c r="D1349" s="14" t="s">
        <v>178</v>
      </c>
      <c r="E1349" s="14" t="s">
        <v>169</v>
      </c>
      <c r="F1349" s="14" t="s">
        <v>175</v>
      </c>
      <c r="G1349" s="14" t="n">
        <v>2</v>
      </c>
      <c r="H1349" s="14" t="s">
        <v>153</v>
      </c>
      <c r="I1349" s="14" t="s">
        <v>897</v>
      </c>
      <c r="J1349" s="15" t="n">
        <f aca="false">IF(B1349="SITE LOSS",IF(D1349=C1349,1,0),IF(B1349="REGION LOSS",IF(E1349=C1349,1,0),0))</f>
        <v>0</v>
      </c>
      <c r="K1349" s="15" t="n">
        <f aca="false">IF(B1349="SITE LOSS",IF(COUNTIFS('Site Dockets'!$B$7:$B$24,C1349,'Site Dockets'!$C$7:$C$24,F1349)&gt;0,1,0),IF(B1349="REGION LOSS",IF(COUNTIFS('Site Dockets'!$E$7:$E$24,C1349,'Site Dockets'!$C$7:$C$24,F1349)&gt;0,1,0),0))</f>
        <v>0</v>
      </c>
      <c r="L1349" s="15" t="n">
        <f aca="false">IF(J1349=1,0,Inputs!$B$11)</f>
        <v>100</v>
      </c>
      <c r="M1349" s="15" t="n">
        <f aca="false">IF(J1349=1,0,Inputs!$B$12)</f>
        <v>75</v>
      </c>
      <c r="N1349" s="15" t="n">
        <f aca="false">IF(J1349=1,0,IF(OR(AND(OR(B1349="SITE LOSS",B1349="REGION LOSS"),K1349=1),AND(B1349="ROLE COMPROMISE",H1349=C1349)),Inputs!$B$13,Inputs!$B$14))</f>
        <v>10</v>
      </c>
      <c r="O1349" s="15" t="n">
        <f aca="false">IF(J1349=1,0,Inputs!$B$13)</f>
        <v>20</v>
      </c>
      <c r="P1349" s="15" t="n">
        <f aca="false">SUM(M1349:N1349)</f>
        <v>85</v>
      </c>
      <c r="Q1349" s="15" t="n">
        <f aca="false">IF(J1349=1,"",L1349-P1349)</f>
        <v>15</v>
      </c>
      <c r="R1349" s="15" t="n">
        <f aca="false">IF(OR(J1349=1,M1349&lt;=Inputs!$B$12),1,0)</f>
        <v>1</v>
      </c>
      <c r="S1349" s="15" t="n">
        <f aca="false">IF(OR(J1349=1,N1349&lt;=O1349),1,0)</f>
        <v>1</v>
      </c>
      <c r="T1349" s="15" t="str">
        <f aca="false">IF(J1349=1,"OFFLINE",IF(AND(Q1349&gt;=Inputs!$B$15,R1349=1,S1349=1,P1349&lt;=L1349),"PASS","FAIL"))</f>
        <v>PASS</v>
      </c>
    </row>
    <row r="1350" customFormat="false" ht="15" hidden="false" customHeight="false" outlineLevel="0" collapsed="false">
      <c r="A1350" s="14" t="s">
        <v>1031</v>
      </c>
      <c r="B1350" s="14" t="s">
        <v>1019</v>
      </c>
      <c r="C1350" s="14" t="s">
        <v>190</v>
      </c>
      <c r="D1350" s="14" t="s">
        <v>178</v>
      </c>
      <c r="E1350" s="14" t="s">
        <v>169</v>
      </c>
      <c r="F1350" s="14" t="s">
        <v>175</v>
      </c>
      <c r="G1350" s="14" t="n">
        <v>2</v>
      </c>
      <c r="H1350" s="14" t="s">
        <v>153</v>
      </c>
      <c r="I1350" s="14" t="s">
        <v>899</v>
      </c>
      <c r="J1350" s="15" t="n">
        <f aca="false">IF(B1350="SITE LOSS",IF(D1350=C1350,1,0),IF(B1350="REGION LOSS",IF(E1350=C1350,1,0),0))</f>
        <v>0</v>
      </c>
      <c r="K1350" s="15" t="n">
        <f aca="false">IF(B1350="SITE LOSS",IF(COUNTIFS('Site Dockets'!$B$7:$B$24,C1350,'Site Dockets'!$C$7:$C$24,F1350)&gt;0,1,0),IF(B1350="REGION LOSS",IF(COUNTIFS('Site Dockets'!$E$7:$E$24,C1350,'Site Dockets'!$C$7:$C$24,F1350)&gt;0,1,0),0))</f>
        <v>0</v>
      </c>
      <c r="L1350" s="15" t="n">
        <f aca="false">IF(J1350=1,0,Inputs!$B$11)</f>
        <v>100</v>
      </c>
      <c r="M1350" s="15" t="n">
        <f aca="false">IF(J1350=1,0,Inputs!$B$12)</f>
        <v>75</v>
      </c>
      <c r="N1350" s="15" t="n">
        <f aca="false">IF(J1350=1,0,IF(OR(AND(OR(B1350="SITE LOSS",B1350="REGION LOSS"),K1350=1),AND(B1350="ROLE COMPROMISE",H1350=C1350)),Inputs!$B$13,Inputs!$B$14))</f>
        <v>10</v>
      </c>
      <c r="O1350" s="15" t="n">
        <f aca="false">IF(J1350=1,0,Inputs!$B$13)</f>
        <v>20</v>
      </c>
      <c r="P1350" s="15" t="n">
        <f aca="false">SUM(M1350:N1350)</f>
        <v>85</v>
      </c>
      <c r="Q1350" s="15" t="n">
        <f aca="false">IF(J1350=1,"",L1350-P1350)</f>
        <v>15</v>
      </c>
      <c r="R1350" s="15" t="n">
        <f aca="false">IF(OR(J1350=1,M1350&lt;=Inputs!$B$12),1,0)</f>
        <v>1</v>
      </c>
      <c r="S1350" s="15" t="n">
        <f aca="false">IF(OR(J1350=1,N1350&lt;=O1350),1,0)</f>
        <v>1</v>
      </c>
      <c r="T1350" s="15" t="str">
        <f aca="false">IF(J1350=1,"OFFLINE",IF(AND(Q1350&gt;=Inputs!$B$15,R1350=1,S1350=1,P1350&lt;=L1350),"PASS","FAIL"))</f>
        <v>PASS</v>
      </c>
    </row>
    <row r="1351" customFormat="false" ht="15" hidden="false" customHeight="false" outlineLevel="0" collapsed="false">
      <c r="A1351" s="14" t="s">
        <v>1031</v>
      </c>
      <c r="B1351" s="14" t="s">
        <v>1019</v>
      </c>
      <c r="C1351" s="14" t="s">
        <v>190</v>
      </c>
      <c r="D1351" s="14" t="s">
        <v>180</v>
      </c>
      <c r="E1351" s="14" t="s">
        <v>161</v>
      </c>
      <c r="F1351" s="14" t="s">
        <v>175</v>
      </c>
      <c r="G1351" s="14" t="n">
        <v>3</v>
      </c>
      <c r="H1351" s="14" t="s">
        <v>158</v>
      </c>
      <c r="I1351" s="14" t="s">
        <v>890</v>
      </c>
      <c r="J1351" s="15" t="n">
        <f aca="false">IF(B1351="SITE LOSS",IF(D1351=C1351,1,0),IF(B1351="REGION LOSS",IF(E1351=C1351,1,0),0))</f>
        <v>0</v>
      </c>
      <c r="K1351" s="15" t="n">
        <f aca="false">IF(B1351="SITE LOSS",IF(COUNTIFS('Site Dockets'!$B$7:$B$24,C1351,'Site Dockets'!$C$7:$C$24,F1351)&gt;0,1,0),IF(B1351="REGION LOSS",IF(COUNTIFS('Site Dockets'!$E$7:$E$24,C1351,'Site Dockets'!$C$7:$C$24,F1351)&gt;0,1,0),0))</f>
        <v>0</v>
      </c>
      <c r="L1351" s="15" t="n">
        <f aca="false">IF(J1351=1,0,Inputs!$B$11)</f>
        <v>100</v>
      </c>
      <c r="M1351" s="15" t="n">
        <f aca="false">IF(J1351=1,0,Inputs!$B$12)</f>
        <v>75</v>
      </c>
      <c r="N1351" s="15" t="n">
        <f aca="false">IF(J1351=1,0,IF(OR(AND(OR(B1351="SITE LOSS",B1351="REGION LOSS"),K1351=1),AND(B1351="ROLE COMPROMISE",H1351=C1351)),Inputs!$B$13,Inputs!$B$14))</f>
        <v>10</v>
      </c>
      <c r="O1351" s="15" t="n">
        <f aca="false">IF(J1351=1,0,Inputs!$B$13)</f>
        <v>20</v>
      </c>
      <c r="P1351" s="15" t="n">
        <f aca="false">SUM(M1351:N1351)</f>
        <v>85</v>
      </c>
      <c r="Q1351" s="15" t="n">
        <f aca="false">IF(J1351=1,"",L1351-P1351)</f>
        <v>15</v>
      </c>
      <c r="R1351" s="15" t="n">
        <f aca="false">IF(OR(J1351=1,M1351&lt;=Inputs!$B$12),1,0)</f>
        <v>1</v>
      </c>
      <c r="S1351" s="15" t="n">
        <f aca="false">IF(OR(J1351=1,N1351&lt;=O1351),1,0)</f>
        <v>1</v>
      </c>
      <c r="T1351" s="15" t="str">
        <f aca="false">IF(J1351=1,"OFFLINE",IF(AND(Q1351&gt;=Inputs!$B$15,R1351=1,S1351=1,P1351&lt;=L1351),"PASS","FAIL"))</f>
        <v>PASS</v>
      </c>
    </row>
    <row r="1352" customFormat="false" ht="15" hidden="false" customHeight="false" outlineLevel="0" collapsed="false">
      <c r="A1352" s="14" t="s">
        <v>1031</v>
      </c>
      <c r="B1352" s="14" t="s">
        <v>1019</v>
      </c>
      <c r="C1352" s="14" t="s">
        <v>190</v>
      </c>
      <c r="D1352" s="14" t="s">
        <v>180</v>
      </c>
      <c r="E1352" s="14" t="s">
        <v>161</v>
      </c>
      <c r="F1352" s="14" t="s">
        <v>175</v>
      </c>
      <c r="G1352" s="14" t="n">
        <v>3</v>
      </c>
      <c r="H1352" s="14" t="s">
        <v>158</v>
      </c>
      <c r="I1352" s="14" t="s">
        <v>892</v>
      </c>
      <c r="J1352" s="15" t="n">
        <f aca="false">IF(B1352="SITE LOSS",IF(D1352=C1352,1,0),IF(B1352="REGION LOSS",IF(E1352=C1352,1,0),0))</f>
        <v>0</v>
      </c>
      <c r="K1352" s="15" t="n">
        <f aca="false">IF(B1352="SITE LOSS",IF(COUNTIFS('Site Dockets'!$B$7:$B$24,C1352,'Site Dockets'!$C$7:$C$24,F1352)&gt;0,1,0),IF(B1352="REGION LOSS",IF(COUNTIFS('Site Dockets'!$E$7:$E$24,C1352,'Site Dockets'!$C$7:$C$24,F1352)&gt;0,1,0),0))</f>
        <v>0</v>
      </c>
      <c r="L1352" s="15" t="n">
        <f aca="false">IF(J1352=1,0,Inputs!$B$11)</f>
        <v>100</v>
      </c>
      <c r="M1352" s="15" t="n">
        <f aca="false">IF(J1352=1,0,Inputs!$B$12)</f>
        <v>75</v>
      </c>
      <c r="N1352" s="15" t="n">
        <f aca="false">IF(J1352=1,0,IF(OR(AND(OR(B1352="SITE LOSS",B1352="REGION LOSS"),K1352=1),AND(B1352="ROLE COMPROMISE",H1352=C1352)),Inputs!$B$13,Inputs!$B$14))</f>
        <v>10</v>
      </c>
      <c r="O1352" s="15" t="n">
        <f aca="false">IF(J1352=1,0,Inputs!$B$13)</f>
        <v>20</v>
      </c>
      <c r="P1352" s="15" t="n">
        <f aca="false">SUM(M1352:N1352)</f>
        <v>85</v>
      </c>
      <c r="Q1352" s="15" t="n">
        <f aca="false">IF(J1352=1,"",L1352-P1352)</f>
        <v>15</v>
      </c>
      <c r="R1352" s="15" t="n">
        <f aca="false">IF(OR(J1352=1,M1352&lt;=Inputs!$B$12),1,0)</f>
        <v>1</v>
      </c>
      <c r="S1352" s="15" t="n">
        <f aca="false">IF(OR(J1352=1,N1352&lt;=O1352),1,0)</f>
        <v>1</v>
      </c>
      <c r="T1352" s="15" t="str">
        <f aca="false">IF(J1352=1,"OFFLINE",IF(AND(Q1352&gt;=Inputs!$B$15,R1352=1,S1352=1,P1352&lt;=L1352),"PASS","FAIL"))</f>
        <v>PASS</v>
      </c>
    </row>
    <row r="1353" customFormat="false" ht="15" hidden="false" customHeight="false" outlineLevel="0" collapsed="false">
      <c r="A1353" s="14" t="s">
        <v>1031</v>
      </c>
      <c r="B1353" s="14" t="s">
        <v>1019</v>
      </c>
      <c r="C1353" s="14" t="s">
        <v>190</v>
      </c>
      <c r="D1353" s="14" t="s">
        <v>180</v>
      </c>
      <c r="E1353" s="14" t="s">
        <v>161</v>
      </c>
      <c r="F1353" s="14" t="s">
        <v>175</v>
      </c>
      <c r="G1353" s="14" t="n">
        <v>3</v>
      </c>
      <c r="H1353" s="14" t="s">
        <v>158</v>
      </c>
      <c r="I1353" s="14" t="s">
        <v>811</v>
      </c>
      <c r="J1353" s="15" t="n">
        <f aca="false">IF(B1353="SITE LOSS",IF(D1353=C1353,1,0),IF(B1353="REGION LOSS",IF(E1353=C1353,1,0),0))</f>
        <v>0</v>
      </c>
      <c r="K1353" s="15" t="n">
        <f aca="false">IF(B1353="SITE LOSS",IF(COUNTIFS('Site Dockets'!$B$7:$B$24,C1353,'Site Dockets'!$C$7:$C$24,F1353)&gt;0,1,0),IF(B1353="REGION LOSS",IF(COUNTIFS('Site Dockets'!$E$7:$E$24,C1353,'Site Dockets'!$C$7:$C$24,F1353)&gt;0,1,0),0))</f>
        <v>0</v>
      </c>
      <c r="L1353" s="15" t="n">
        <f aca="false">IF(J1353=1,0,Inputs!$B$11)</f>
        <v>100</v>
      </c>
      <c r="M1353" s="15" t="n">
        <f aca="false">IF(J1353=1,0,Inputs!$B$12)</f>
        <v>75</v>
      </c>
      <c r="N1353" s="15" t="n">
        <f aca="false">IF(J1353=1,0,IF(OR(AND(OR(B1353="SITE LOSS",B1353="REGION LOSS"),K1353=1),AND(B1353="ROLE COMPROMISE",H1353=C1353)),Inputs!$B$13,Inputs!$B$14))</f>
        <v>10</v>
      </c>
      <c r="O1353" s="15" t="n">
        <f aca="false">IF(J1353=1,0,Inputs!$B$13)</f>
        <v>20</v>
      </c>
      <c r="P1353" s="15" t="n">
        <f aca="false">SUM(M1353:N1353)</f>
        <v>85</v>
      </c>
      <c r="Q1353" s="15" t="n">
        <f aca="false">IF(J1353=1,"",L1353-P1353)</f>
        <v>15</v>
      </c>
      <c r="R1353" s="15" t="n">
        <f aca="false">IF(OR(J1353=1,M1353&lt;=Inputs!$B$12),1,0)</f>
        <v>1</v>
      </c>
      <c r="S1353" s="15" t="n">
        <f aca="false">IF(OR(J1353=1,N1353&lt;=O1353),1,0)</f>
        <v>1</v>
      </c>
      <c r="T1353" s="15" t="str">
        <f aca="false">IF(J1353=1,"OFFLINE",IF(AND(Q1353&gt;=Inputs!$B$15,R1353=1,S1353=1,P1353&lt;=L1353),"PASS","FAIL"))</f>
        <v>PASS</v>
      </c>
    </row>
    <row r="1354" customFormat="false" ht="15" hidden="false" customHeight="false" outlineLevel="0" collapsed="false">
      <c r="A1354" s="14" t="s">
        <v>1031</v>
      </c>
      <c r="B1354" s="14" t="s">
        <v>1019</v>
      </c>
      <c r="C1354" s="14" t="s">
        <v>190</v>
      </c>
      <c r="D1354" s="14" t="s">
        <v>180</v>
      </c>
      <c r="E1354" s="14" t="s">
        <v>161</v>
      </c>
      <c r="F1354" s="14" t="s">
        <v>175</v>
      </c>
      <c r="G1354" s="14" t="n">
        <v>3</v>
      </c>
      <c r="H1354" s="14" t="s">
        <v>158</v>
      </c>
      <c r="I1354" s="14" t="s">
        <v>895</v>
      </c>
      <c r="J1354" s="15" t="n">
        <f aca="false">IF(B1354="SITE LOSS",IF(D1354=C1354,1,0),IF(B1354="REGION LOSS",IF(E1354=C1354,1,0),0))</f>
        <v>0</v>
      </c>
      <c r="K1354" s="15" t="n">
        <f aca="false">IF(B1354="SITE LOSS",IF(COUNTIFS('Site Dockets'!$B$7:$B$24,C1354,'Site Dockets'!$C$7:$C$24,F1354)&gt;0,1,0),IF(B1354="REGION LOSS",IF(COUNTIFS('Site Dockets'!$E$7:$E$24,C1354,'Site Dockets'!$C$7:$C$24,F1354)&gt;0,1,0),0))</f>
        <v>0</v>
      </c>
      <c r="L1354" s="15" t="n">
        <f aca="false">IF(J1354=1,0,Inputs!$B$11)</f>
        <v>100</v>
      </c>
      <c r="M1354" s="15" t="n">
        <f aca="false">IF(J1354=1,0,Inputs!$B$12)</f>
        <v>75</v>
      </c>
      <c r="N1354" s="15" t="n">
        <f aca="false">IF(J1354=1,0,IF(OR(AND(OR(B1354="SITE LOSS",B1354="REGION LOSS"),K1354=1),AND(B1354="ROLE COMPROMISE",H1354=C1354)),Inputs!$B$13,Inputs!$B$14))</f>
        <v>10</v>
      </c>
      <c r="O1354" s="15" t="n">
        <f aca="false">IF(J1354=1,0,Inputs!$B$13)</f>
        <v>20</v>
      </c>
      <c r="P1354" s="15" t="n">
        <f aca="false">SUM(M1354:N1354)</f>
        <v>85</v>
      </c>
      <c r="Q1354" s="15" t="n">
        <f aca="false">IF(J1354=1,"",L1354-P1354)</f>
        <v>15</v>
      </c>
      <c r="R1354" s="15" t="n">
        <f aca="false">IF(OR(J1354=1,M1354&lt;=Inputs!$B$12),1,0)</f>
        <v>1</v>
      </c>
      <c r="S1354" s="15" t="n">
        <f aca="false">IF(OR(J1354=1,N1354&lt;=O1354),1,0)</f>
        <v>1</v>
      </c>
      <c r="T1354" s="15" t="str">
        <f aca="false">IF(J1354=1,"OFFLINE",IF(AND(Q1354&gt;=Inputs!$B$15,R1354=1,S1354=1,P1354&lt;=L1354),"PASS","FAIL"))</f>
        <v>PASS</v>
      </c>
    </row>
    <row r="1355" customFormat="false" ht="15" hidden="false" customHeight="false" outlineLevel="0" collapsed="false">
      <c r="A1355" s="14" t="s">
        <v>1031</v>
      </c>
      <c r="B1355" s="14" t="s">
        <v>1019</v>
      </c>
      <c r="C1355" s="14" t="s">
        <v>190</v>
      </c>
      <c r="D1355" s="14" t="s">
        <v>180</v>
      </c>
      <c r="E1355" s="14" t="s">
        <v>161</v>
      </c>
      <c r="F1355" s="14" t="s">
        <v>175</v>
      </c>
      <c r="G1355" s="14" t="n">
        <v>3</v>
      </c>
      <c r="H1355" s="14" t="s">
        <v>158</v>
      </c>
      <c r="I1355" s="14" t="s">
        <v>897</v>
      </c>
      <c r="J1355" s="15" t="n">
        <f aca="false">IF(B1355="SITE LOSS",IF(D1355=C1355,1,0),IF(B1355="REGION LOSS",IF(E1355=C1355,1,0),0))</f>
        <v>0</v>
      </c>
      <c r="K1355" s="15" t="n">
        <f aca="false">IF(B1355="SITE LOSS",IF(COUNTIFS('Site Dockets'!$B$7:$B$24,C1355,'Site Dockets'!$C$7:$C$24,F1355)&gt;0,1,0),IF(B1355="REGION LOSS",IF(COUNTIFS('Site Dockets'!$E$7:$E$24,C1355,'Site Dockets'!$C$7:$C$24,F1355)&gt;0,1,0),0))</f>
        <v>0</v>
      </c>
      <c r="L1355" s="15" t="n">
        <f aca="false">IF(J1355=1,0,Inputs!$B$11)</f>
        <v>100</v>
      </c>
      <c r="M1355" s="15" t="n">
        <f aca="false">IF(J1355=1,0,Inputs!$B$12)</f>
        <v>75</v>
      </c>
      <c r="N1355" s="15" t="n">
        <f aca="false">IF(J1355=1,0,IF(OR(AND(OR(B1355="SITE LOSS",B1355="REGION LOSS"),K1355=1),AND(B1355="ROLE COMPROMISE",H1355=C1355)),Inputs!$B$13,Inputs!$B$14))</f>
        <v>10</v>
      </c>
      <c r="O1355" s="15" t="n">
        <f aca="false">IF(J1355=1,0,Inputs!$B$13)</f>
        <v>20</v>
      </c>
      <c r="P1355" s="15" t="n">
        <f aca="false">SUM(M1355:N1355)</f>
        <v>85</v>
      </c>
      <c r="Q1355" s="15" t="n">
        <f aca="false">IF(J1355=1,"",L1355-P1355)</f>
        <v>15</v>
      </c>
      <c r="R1355" s="15" t="n">
        <f aca="false">IF(OR(J1355=1,M1355&lt;=Inputs!$B$12),1,0)</f>
        <v>1</v>
      </c>
      <c r="S1355" s="15" t="n">
        <f aca="false">IF(OR(J1355=1,N1355&lt;=O1355),1,0)</f>
        <v>1</v>
      </c>
      <c r="T1355" s="15" t="str">
        <f aca="false">IF(J1355=1,"OFFLINE",IF(AND(Q1355&gt;=Inputs!$B$15,R1355=1,S1355=1,P1355&lt;=L1355),"PASS","FAIL"))</f>
        <v>PASS</v>
      </c>
    </row>
    <row r="1356" customFormat="false" ht="15" hidden="false" customHeight="false" outlineLevel="0" collapsed="false">
      <c r="A1356" s="14" t="s">
        <v>1031</v>
      </c>
      <c r="B1356" s="14" t="s">
        <v>1019</v>
      </c>
      <c r="C1356" s="14" t="s">
        <v>190</v>
      </c>
      <c r="D1356" s="14" t="s">
        <v>180</v>
      </c>
      <c r="E1356" s="14" t="s">
        <v>161</v>
      </c>
      <c r="F1356" s="14" t="s">
        <v>175</v>
      </c>
      <c r="G1356" s="14" t="n">
        <v>3</v>
      </c>
      <c r="H1356" s="14" t="s">
        <v>158</v>
      </c>
      <c r="I1356" s="14" t="s">
        <v>899</v>
      </c>
      <c r="J1356" s="15" t="n">
        <f aca="false">IF(B1356="SITE LOSS",IF(D1356=C1356,1,0),IF(B1356="REGION LOSS",IF(E1356=C1356,1,0),0))</f>
        <v>0</v>
      </c>
      <c r="K1356" s="15" t="n">
        <f aca="false">IF(B1356="SITE LOSS",IF(COUNTIFS('Site Dockets'!$B$7:$B$24,C1356,'Site Dockets'!$C$7:$C$24,F1356)&gt;0,1,0),IF(B1356="REGION LOSS",IF(COUNTIFS('Site Dockets'!$E$7:$E$24,C1356,'Site Dockets'!$C$7:$C$24,F1356)&gt;0,1,0),0))</f>
        <v>0</v>
      </c>
      <c r="L1356" s="15" t="n">
        <f aca="false">IF(J1356=1,0,Inputs!$B$11)</f>
        <v>100</v>
      </c>
      <c r="M1356" s="15" t="n">
        <f aca="false">IF(J1356=1,0,Inputs!$B$12)</f>
        <v>75</v>
      </c>
      <c r="N1356" s="15" t="n">
        <f aca="false">IF(J1356=1,0,IF(OR(AND(OR(B1356="SITE LOSS",B1356="REGION LOSS"),K1356=1),AND(B1356="ROLE COMPROMISE",H1356=C1356)),Inputs!$B$13,Inputs!$B$14))</f>
        <v>10</v>
      </c>
      <c r="O1356" s="15" t="n">
        <f aca="false">IF(J1356=1,0,Inputs!$B$13)</f>
        <v>20</v>
      </c>
      <c r="P1356" s="15" t="n">
        <f aca="false">SUM(M1356:N1356)</f>
        <v>85</v>
      </c>
      <c r="Q1356" s="15" t="n">
        <f aca="false">IF(J1356=1,"",L1356-P1356)</f>
        <v>15</v>
      </c>
      <c r="R1356" s="15" t="n">
        <f aca="false">IF(OR(J1356=1,M1356&lt;=Inputs!$B$12),1,0)</f>
        <v>1</v>
      </c>
      <c r="S1356" s="15" t="n">
        <f aca="false">IF(OR(J1356=1,N1356&lt;=O1356),1,0)</f>
        <v>1</v>
      </c>
      <c r="T1356" s="15" t="str">
        <f aca="false">IF(J1356=1,"OFFLINE",IF(AND(Q1356&gt;=Inputs!$B$15,R1356=1,S1356=1,P1356&lt;=L1356),"PASS","FAIL"))</f>
        <v>PASS</v>
      </c>
    </row>
    <row r="1357" customFormat="false" ht="15" hidden="false" customHeight="false" outlineLevel="0" collapsed="false">
      <c r="A1357" s="14" t="s">
        <v>1031</v>
      </c>
      <c r="B1357" s="14" t="s">
        <v>1019</v>
      </c>
      <c r="C1357" s="14" t="s">
        <v>190</v>
      </c>
      <c r="D1357" s="14" t="s">
        <v>182</v>
      </c>
      <c r="E1357" s="14" t="s">
        <v>166</v>
      </c>
      <c r="F1357" s="14" t="s">
        <v>183</v>
      </c>
      <c r="G1357" s="14" t="n">
        <v>1</v>
      </c>
      <c r="H1357" s="14" t="s">
        <v>154</v>
      </c>
      <c r="I1357" s="14" t="s">
        <v>890</v>
      </c>
      <c r="J1357" s="15" t="n">
        <f aca="false">IF(B1357="SITE LOSS",IF(D1357=C1357,1,0),IF(B1357="REGION LOSS",IF(E1357=C1357,1,0),0))</f>
        <v>0</v>
      </c>
      <c r="K1357" s="15" t="n">
        <f aca="false">IF(B1357="SITE LOSS",IF(COUNTIFS('Site Dockets'!$B$7:$B$24,C1357,'Site Dockets'!$C$7:$C$24,F1357)&gt;0,1,0),IF(B1357="REGION LOSS",IF(COUNTIFS('Site Dockets'!$E$7:$E$24,C1357,'Site Dockets'!$C$7:$C$24,F1357)&gt;0,1,0),0))</f>
        <v>0</v>
      </c>
      <c r="L1357" s="15" t="n">
        <f aca="false">IF(J1357=1,0,Inputs!$B$11)</f>
        <v>100</v>
      </c>
      <c r="M1357" s="15" t="n">
        <f aca="false">IF(J1357=1,0,Inputs!$B$12)</f>
        <v>75</v>
      </c>
      <c r="N1357" s="15" t="n">
        <f aca="false">IF(J1357=1,0,IF(OR(AND(OR(B1357="SITE LOSS",B1357="REGION LOSS"),K1357=1),AND(B1357="ROLE COMPROMISE",H1357=C1357)),Inputs!$B$13,Inputs!$B$14))</f>
        <v>10</v>
      </c>
      <c r="O1357" s="15" t="n">
        <f aca="false">IF(J1357=1,0,Inputs!$B$13)</f>
        <v>20</v>
      </c>
      <c r="P1357" s="15" t="n">
        <f aca="false">SUM(M1357:N1357)</f>
        <v>85</v>
      </c>
      <c r="Q1357" s="15" t="n">
        <f aca="false">IF(J1357=1,"",L1357-P1357)</f>
        <v>15</v>
      </c>
      <c r="R1357" s="15" t="n">
        <f aca="false">IF(OR(J1357=1,M1357&lt;=Inputs!$B$12),1,0)</f>
        <v>1</v>
      </c>
      <c r="S1357" s="15" t="n">
        <f aca="false">IF(OR(J1357=1,N1357&lt;=O1357),1,0)</f>
        <v>1</v>
      </c>
      <c r="T1357" s="15" t="str">
        <f aca="false">IF(J1357=1,"OFFLINE",IF(AND(Q1357&gt;=Inputs!$B$15,R1357=1,S1357=1,P1357&lt;=L1357),"PASS","FAIL"))</f>
        <v>PASS</v>
      </c>
    </row>
    <row r="1358" customFormat="false" ht="15" hidden="false" customHeight="false" outlineLevel="0" collapsed="false">
      <c r="A1358" s="14" t="s">
        <v>1031</v>
      </c>
      <c r="B1358" s="14" t="s">
        <v>1019</v>
      </c>
      <c r="C1358" s="14" t="s">
        <v>190</v>
      </c>
      <c r="D1358" s="14" t="s">
        <v>182</v>
      </c>
      <c r="E1358" s="14" t="s">
        <v>166</v>
      </c>
      <c r="F1358" s="14" t="s">
        <v>183</v>
      </c>
      <c r="G1358" s="14" t="n">
        <v>1</v>
      </c>
      <c r="H1358" s="14" t="s">
        <v>154</v>
      </c>
      <c r="I1358" s="14" t="s">
        <v>892</v>
      </c>
      <c r="J1358" s="15" t="n">
        <f aca="false">IF(B1358="SITE LOSS",IF(D1358=C1358,1,0),IF(B1358="REGION LOSS",IF(E1358=C1358,1,0),0))</f>
        <v>0</v>
      </c>
      <c r="K1358" s="15" t="n">
        <f aca="false">IF(B1358="SITE LOSS",IF(COUNTIFS('Site Dockets'!$B$7:$B$24,C1358,'Site Dockets'!$C$7:$C$24,F1358)&gt;0,1,0),IF(B1358="REGION LOSS",IF(COUNTIFS('Site Dockets'!$E$7:$E$24,C1358,'Site Dockets'!$C$7:$C$24,F1358)&gt;0,1,0),0))</f>
        <v>0</v>
      </c>
      <c r="L1358" s="15" t="n">
        <f aca="false">IF(J1358=1,0,Inputs!$B$11)</f>
        <v>100</v>
      </c>
      <c r="M1358" s="15" t="n">
        <f aca="false">IF(J1358=1,0,Inputs!$B$12)</f>
        <v>75</v>
      </c>
      <c r="N1358" s="15" t="n">
        <f aca="false">IF(J1358=1,0,IF(OR(AND(OR(B1358="SITE LOSS",B1358="REGION LOSS"),K1358=1),AND(B1358="ROLE COMPROMISE",H1358=C1358)),Inputs!$B$13,Inputs!$B$14))</f>
        <v>10</v>
      </c>
      <c r="O1358" s="15" t="n">
        <f aca="false">IF(J1358=1,0,Inputs!$B$13)</f>
        <v>20</v>
      </c>
      <c r="P1358" s="15" t="n">
        <f aca="false">SUM(M1358:N1358)</f>
        <v>85</v>
      </c>
      <c r="Q1358" s="15" t="n">
        <f aca="false">IF(J1358=1,"",L1358-P1358)</f>
        <v>15</v>
      </c>
      <c r="R1358" s="15" t="n">
        <f aca="false">IF(OR(J1358=1,M1358&lt;=Inputs!$B$12),1,0)</f>
        <v>1</v>
      </c>
      <c r="S1358" s="15" t="n">
        <f aca="false">IF(OR(J1358=1,N1358&lt;=O1358),1,0)</f>
        <v>1</v>
      </c>
      <c r="T1358" s="15" t="str">
        <f aca="false">IF(J1358=1,"OFFLINE",IF(AND(Q1358&gt;=Inputs!$B$15,R1358=1,S1358=1,P1358&lt;=L1358),"PASS","FAIL"))</f>
        <v>PASS</v>
      </c>
    </row>
    <row r="1359" customFormat="false" ht="15" hidden="false" customHeight="false" outlineLevel="0" collapsed="false">
      <c r="A1359" s="14" t="s">
        <v>1031</v>
      </c>
      <c r="B1359" s="14" t="s">
        <v>1019</v>
      </c>
      <c r="C1359" s="14" t="s">
        <v>190</v>
      </c>
      <c r="D1359" s="14" t="s">
        <v>182</v>
      </c>
      <c r="E1359" s="14" t="s">
        <v>166</v>
      </c>
      <c r="F1359" s="14" t="s">
        <v>183</v>
      </c>
      <c r="G1359" s="14" t="n">
        <v>1</v>
      </c>
      <c r="H1359" s="14" t="s">
        <v>154</v>
      </c>
      <c r="I1359" s="14" t="s">
        <v>811</v>
      </c>
      <c r="J1359" s="15" t="n">
        <f aca="false">IF(B1359="SITE LOSS",IF(D1359=C1359,1,0),IF(B1359="REGION LOSS",IF(E1359=C1359,1,0),0))</f>
        <v>0</v>
      </c>
      <c r="K1359" s="15" t="n">
        <f aca="false">IF(B1359="SITE LOSS",IF(COUNTIFS('Site Dockets'!$B$7:$B$24,C1359,'Site Dockets'!$C$7:$C$24,F1359)&gt;0,1,0),IF(B1359="REGION LOSS",IF(COUNTIFS('Site Dockets'!$E$7:$E$24,C1359,'Site Dockets'!$C$7:$C$24,F1359)&gt;0,1,0),0))</f>
        <v>0</v>
      </c>
      <c r="L1359" s="15" t="n">
        <f aca="false">IF(J1359=1,0,Inputs!$B$11)</f>
        <v>100</v>
      </c>
      <c r="M1359" s="15" t="n">
        <f aca="false">IF(J1359=1,0,Inputs!$B$12)</f>
        <v>75</v>
      </c>
      <c r="N1359" s="15" t="n">
        <f aca="false">IF(J1359=1,0,IF(OR(AND(OR(B1359="SITE LOSS",B1359="REGION LOSS"),K1359=1),AND(B1359="ROLE COMPROMISE",H1359=C1359)),Inputs!$B$13,Inputs!$B$14))</f>
        <v>10</v>
      </c>
      <c r="O1359" s="15" t="n">
        <f aca="false">IF(J1359=1,0,Inputs!$B$13)</f>
        <v>20</v>
      </c>
      <c r="P1359" s="15" t="n">
        <f aca="false">SUM(M1359:N1359)</f>
        <v>85</v>
      </c>
      <c r="Q1359" s="15" t="n">
        <f aca="false">IF(J1359=1,"",L1359-P1359)</f>
        <v>15</v>
      </c>
      <c r="R1359" s="15" t="n">
        <f aca="false">IF(OR(J1359=1,M1359&lt;=Inputs!$B$12),1,0)</f>
        <v>1</v>
      </c>
      <c r="S1359" s="15" t="n">
        <f aca="false">IF(OR(J1359=1,N1359&lt;=O1359),1,0)</f>
        <v>1</v>
      </c>
      <c r="T1359" s="15" t="str">
        <f aca="false">IF(J1359=1,"OFFLINE",IF(AND(Q1359&gt;=Inputs!$B$15,R1359=1,S1359=1,P1359&lt;=L1359),"PASS","FAIL"))</f>
        <v>PASS</v>
      </c>
    </row>
    <row r="1360" customFormat="false" ht="15" hidden="false" customHeight="false" outlineLevel="0" collapsed="false">
      <c r="A1360" s="14" t="s">
        <v>1031</v>
      </c>
      <c r="B1360" s="14" t="s">
        <v>1019</v>
      </c>
      <c r="C1360" s="14" t="s">
        <v>190</v>
      </c>
      <c r="D1360" s="14" t="s">
        <v>182</v>
      </c>
      <c r="E1360" s="14" t="s">
        <v>166</v>
      </c>
      <c r="F1360" s="14" t="s">
        <v>183</v>
      </c>
      <c r="G1360" s="14" t="n">
        <v>1</v>
      </c>
      <c r="H1360" s="14" t="s">
        <v>154</v>
      </c>
      <c r="I1360" s="14" t="s">
        <v>895</v>
      </c>
      <c r="J1360" s="15" t="n">
        <f aca="false">IF(B1360="SITE LOSS",IF(D1360=C1360,1,0),IF(B1360="REGION LOSS",IF(E1360=C1360,1,0),0))</f>
        <v>0</v>
      </c>
      <c r="K1360" s="15" t="n">
        <f aca="false">IF(B1360="SITE LOSS",IF(COUNTIFS('Site Dockets'!$B$7:$B$24,C1360,'Site Dockets'!$C$7:$C$24,F1360)&gt;0,1,0),IF(B1360="REGION LOSS",IF(COUNTIFS('Site Dockets'!$E$7:$E$24,C1360,'Site Dockets'!$C$7:$C$24,F1360)&gt;0,1,0),0))</f>
        <v>0</v>
      </c>
      <c r="L1360" s="15" t="n">
        <f aca="false">IF(J1360=1,0,Inputs!$B$11)</f>
        <v>100</v>
      </c>
      <c r="M1360" s="15" t="n">
        <f aca="false">IF(J1360=1,0,Inputs!$B$12)</f>
        <v>75</v>
      </c>
      <c r="N1360" s="15" t="n">
        <f aca="false">IF(J1360=1,0,IF(OR(AND(OR(B1360="SITE LOSS",B1360="REGION LOSS"),K1360=1),AND(B1360="ROLE COMPROMISE",H1360=C1360)),Inputs!$B$13,Inputs!$B$14))</f>
        <v>10</v>
      </c>
      <c r="O1360" s="15" t="n">
        <f aca="false">IF(J1360=1,0,Inputs!$B$13)</f>
        <v>20</v>
      </c>
      <c r="P1360" s="15" t="n">
        <f aca="false">SUM(M1360:N1360)</f>
        <v>85</v>
      </c>
      <c r="Q1360" s="15" t="n">
        <f aca="false">IF(J1360=1,"",L1360-P1360)</f>
        <v>15</v>
      </c>
      <c r="R1360" s="15" t="n">
        <f aca="false">IF(OR(J1360=1,M1360&lt;=Inputs!$B$12),1,0)</f>
        <v>1</v>
      </c>
      <c r="S1360" s="15" t="n">
        <f aca="false">IF(OR(J1360=1,N1360&lt;=O1360),1,0)</f>
        <v>1</v>
      </c>
      <c r="T1360" s="15" t="str">
        <f aca="false">IF(J1360=1,"OFFLINE",IF(AND(Q1360&gt;=Inputs!$B$15,R1360=1,S1360=1,P1360&lt;=L1360),"PASS","FAIL"))</f>
        <v>PASS</v>
      </c>
    </row>
    <row r="1361" customFormat="false" ht="15" hidden="false" customHeight="false" outlineLevel="0" collapsed="false">
      <c r="A1361" s="14" t="s">
        <v>1031</v>
      </c>
      <c r="B1361" s="14" t="s">
        <v>1019</v>
      </c>
      <c r="C1361" s="14" t="s">
        <v>190</v>
      </c>
      <c r="D1361" s="14" t="s">
        <v>182</v>
      </c>
      <c r="E1361" s="14" t="s">
        <v>166</v>
      </c>
      <c r="F1361" s="14" t="s">
        <v>183</v>
      </c>
      <c r="G1361" s="14" t="n">
        <v>1</v>
      </c>
      <c r="H1361" s="14" t="s">
        <v>154</v>
      </c>
      <c r="I1361" s="14" t="s">
        <v>897</v>
      </c>
      <c r="J1361" s="15" t="n">
        <f aca="false">IF(B1361="SITE LOSS",IF(D1361=C1361,1,0),IF(B1361="REGION LOSS",IF(E1361=C1361,1,0),0))</f>
        <v>0</v>
      </c>
      <c r="K1361" s="15" t="n">
        <f aca="false">IF(B1361="SITE LOSS",IF(COUNTIFS('Site Dockets'!$B$7:$B$24,C1361,'Site Dockets'!$C$7:$C$24,F1361)&gt;0,1,0),IF(B1361="REGION LOSS",IF(COUNTIFS('Site Dockets'!$E$7:$E$24,C1361,'Site Dockets'!$C$7:$C$24,F1361)&gt;0,1,0),0))</f>
        <v>0</v>
      </c>
      <c r="L1361" s="15" t="n">
        <f aca="false">IF(J1361=1,0,Inputs!$B$11)</f>
        <v>100</v>
      </c>
      <c r="M1361" s="15" t="n">
        <f aca="false">IF(J1361=1,0,Inputs!$B$12)</f>
        <v>75</v>
      </c>
      <c r="N1361" s="15" t="n">
        <f aca="false">IF(J1361=1,0,IF(OR(AND(OR(B1361="SITE LOSS",B1361="REGION LOSS"),K1361=1),AND(B1361="ROLE COMPROMISE",H1361=C1361)),Inputs!$B$13,Inputs!$B$14))</f>
        <v>10</v>
      </c>
      <c r="O1361" s="15" t="n">
        <f aca="false">IF(J1361=1,0,Inputs!$B$13)</f>
        <v>20</v>
      </c>
      <c r="P1361" s="15" t="n">
        <f aca="false">SUM(M1361:N1361)</f>
        <v>85</v>
      </c>
      <c r="Q1361" s="15" t="n">
        <f aca="false">IF(J1361=1,"",L1361-P1361)</f>
        <v>15</v>
      </c>
      <c r="R1361" s="15" t="n">
        <f aca="false">IF(OR(J1361=1,M1361&lt;=Inputs!$B$12),1,0)</f>
        <v>1</v>
      </c>
      <c r="S1361" s="15" t="n">
        <f aca="false">IF(OR(J1361=1,N1361&lt;=O1361),1,0)</f>
        <v>1</v>
      </c>
      <c r="T1361" s="15" t="str">
        <f aca="false">IF(J1361=1,"OFFLINE",IF(AND(Q1361&gt;=Inputs!$B$15,R1361=1,S1361=1,P1361&lt;=L1361),"PASS","FAIL"))</f>
        <v>PASS</v>
      </c>
    </row>
    <row r="1362" customFormat="false" ht="15" hidden="false" customHeight="false" outlineLevel="0" collapsed="false">
      <c r="A1362" s="14" t="s">
        <v>1031</v>
      </c>
      <c r="B1362" s="14" t="s">
        <v>1019</v>
      </c>
      <c r="C1362" s="14" t="s">
        <v>190</v>
      </c>
      <c r="D1362" s="14" t="s">
        <v>182</v>
      </c>
      <c r="E1362" s="14" t="s">
        <v>166</v>
      </c>
      <c r="F1362" s="14" t="s">
        <v>183</v>
      </c>
      <c r="G1362" s="14" t="n">
        <v>1</v>
      </c>
      <c r="H1362" s="14" t="s">
        <v>154</v>
      </c>
      <c r="I1362" s="14" t="s">
        <v>899</v>
      </c>
      <c r="J1362" s="15" t="n">
        <f aca="false">IF(B1362="SITE LOSS",IF(D1362=C1362,1,0),IF(B1362="REGION LOSS",IF(E1362=C1362,1,0),0))</f>
        <v>0</v>
      </c>
      <c r="K1362" s="15" t="n">
        <f aca="false">IF(B1362="SITE LOSS",IF(COUNTIFS('Site Dockets'!$B$7:$B$24,C1362,'Site Dockets'!$C$7:$C$24,F1362)&gt;0,1,0),IF(B1362="REGION LOSS",IF(COUNTIFS('Site Dockets'!$E$7:$E$24,C1362,'Site Dockets'!$C$7:$C$24,F1362)&gt;0,1,0),0))</f>
        <v>0</v>
      </c>
      <c r="L1362" s="15" t="n">
        <f aca="false">IF(J1362=1,0,Inputs!$B$11)</f>
        <v>100</v>
      </c>
      <c r="M1362" s="15" t="n">
        <f aca="false">IF(J1362=1,0,Inputs!$B$12)</f>
        <v>75</v>
      </c>
      <c r="N1362" s="15" t="n">
        <f aca="false">IF(J1362=1,0,IF(OR(AND(OR(B1362="SITE LOSS",B1362="REGION LOSS"),K1362=1),AND(B1362="ROLE COMPROMISE",H1362=C1362)),Inputs!$B$13,Inputs!$B$14))</f>
        <v>10</v>
      </c>
      <c r="O1362" s="15" t="n">
        <f aca="false">IF(J1362=1,0,Inputs!$B$13)</f>
        <v>20</v>
      </c>
      <c r="P1362" s="15" t="n">
        <f aca="false">SUM(M1362:N1362)</f>
        <v>85</v>
      </c>
      <c r="Q1362" s="15" t="n">
        <f aca="false">IF(J1362=1,"",L1362-P1362)</f>
        <v>15</v>
      </c>
      <c r="R1362" s="15" t="n">
        <f aca="false">IF(OR(J1362=1,M1362&lt;=Inputs!$B$12),1,0)</f>
        <v>1</v>
      </c>
      <c r="S1362" s="15" t="n">
        <f aca="false">IF(OR(J1362=1,N1362&lt;=O1362),1,0)</f>
        <v>1</v>
      </c>
      <c r="T1362" s="15" t="str">
        <f aca="false">IF(J1362=1,"OFFLINE",IF(AND(Q1362&gt;=Inputs!$B$15,R1362=1,S1362=1,P1362&lt;=L1362),"PASS","FAIL"))</f>
        <v>PASS</v>
      </c>
    </row>
    <row r="1363" customFormat="false" ht="15" hidden="false" customHeight="false" outlineLevel="0" collapsed="false">
      <c r="A1363" s="14" t="s">
        <v>1031</v>
      </c>
      <c r="B1363" s="14" t="s">
        <v>1019</v>
      </c>
      <c r="C1363" s="14" t="s">
        <v>190</v>
      </c>
      <c r="D1363" s="14" t="s">
        <v>186</v>
      </c>
      <c r="E1363" s="14" t="s">
        <v>157</v>
      </c>
      <c r="F1363" s="14" t="s">
        <v>183</v>
      </c>
      <c r="G1363" s="14" t="n">
        <v>2</v>
      </c>
      <c r="H1363" s="14" t="s">
        <v>153</v>
      </c>
      <c r="I1363" s="14" t="s">
        <v>890</v>
      </c>
      <c r="J1363" s="15" t="n">
        <f aca="false">IF(B1363="SITE LOSS",IF(D1363=C1363,1,0),IF(B1363="REGION LOSS",IF(E1363=C1363,1,0),0))</f>
        <v>0</v>
      </c>
      <c r="K1363" s="15" t="n">
        <f aca="false">IF(B1363="SITE LOSS",IF(COUNTIFS('Site Dockets'!$B$7:$B$24,C1363,'Site Dockets'!$C$7:$C$24,F1363)&gt;0,1,0),IF(B1363="REGION LOSS",IF(COUNTIFS('Site Dockets'!$E$7:$E$24,C1363,'Site Dockets'!$C$7:$C$24,F1363)&gt;0,1,0),0))</f>
        <v>0</v>
      </c>
      <c r="L1363" s="15" t="n">
        <f aca="false">IF(J1363=1,0,Inputs!$B$11)</f>
        <v>100</v>
      </c>
      <c r="M1363" s="15" t="n">
        <f aca="false">IF(J1363=1,0,Inputs!$B$12)</f>
        <v>75</v>
      </c>
      <c r="N1363" s="15" t="n">
        <f aca="false">IF(J1363=1,0,IF(OR(AND(OR(B1363="SITE LOSS",B1363="REGION LOSS"),K1363=1),AND(B1363="ROLE COMPROMISE",H1363=C1363)),Inputs!$B$13,Inputs!$B$14))</f>
        <v>10</v>
      </c>
      <c r="O1363" s="15" t="n">
        <f aca="false">IF(J1363=1,0,Inputs!$B$13)</f>
        <v>20</v>
      </c>
      <c r="P1363" s="15" t="n">
        <f aca="false">SUM(M1363:N1363)</f>
        <v>85</v>
      </c>
      <c r="Q1363" s="15" t="n">
        <f aca="false">IF(J1363=1,"",L1363-P1363)</f>
        <v>15</v>
      </c>
      <c r="R1363" s="15" t="n">
        <f aca="false">IF(OR(J1363=1,M1363&lt;=Inputs!$B$12),1,0)</f>
        <v>1</v>
      </c>
      <c r="S1363" s="15" t="n">
        <f aca="false">IF(OR(J1363=1,N1363&lt;=O1363),1,0)</f>
        <v>1</v>
      </c>
      <c r="T1363" s="15" t="str">
        <f aca="false">IF(J1363=1,"OFFLINE",IF(AND(Q1363&gt;=Inputs!$B$15,R1363=1,S1363=1,P1363&lt;=L1363),"PASS","FAIL"))</f>
        <v>PASS</v>
      </c>
    </row>
    <row r="1364" customFormat="false" ht="15" hidden="false" customHeight="false" outlineLevel="0" collapsed="false">
      <c r="A1364" s="14" t="s">
        <v>1031</v>
      </c>
      <c r="B1364" s="14" t="s">
        <v>1019</v>
      </c>
      <c r="C1364" s="14" t="s">
        <v>190</v>
      </c>
      <c r="D1364" s="14" t="s">
        <v>186</v>
      </c>
      <c r="E1364" s="14" t="s">
        <v>157</v>
      </c>
      <c r="F1364" s="14" t="s">
        <v>183</v>
      </c>
      <c r="G1364" s="14" t="n">
        <v>2</v>
      </c>
      <c r="H1364" s="14" t="s">
        <v>153</v>
      </c>
      <c r="I1364" s="14" t="s">
        <v>892</v>
      </c>
      <c r="J1364" s="15" t="n">
        <f aca="false">IF(B1364="SITE LOSS",IF(D1364=C1364,1,0),IF(B1364="REGION LOSS",IF(E1364=C1364,1,0),0))</f>
        <v>0</v>
      </c>
      <c r="K1364" s="15" t="n">
        <f aca="false">IF(B1364="SITE LOSS",IF(COUNTIFS('Site Dockets'!$B$7:$B$24,C1364,'Site Dockets'!$C$7:$C$24,F1364)&gt;0,1,0),IF(B1364="REGION LOSS",IF(COUNTIFS('Site Dockets'!$E$7:$E$24,C1364,'Site Dockets'!$C$7:$C$24,F1364)&gt;0,1,0),0))</f>
        <v>0</v>
      </c>
      <c r="L1364" s="15" t="n">
        <f aca="false">IF(J1364=1,0,Inputs!$B$11)</f>
        <v>100</v>
      </c>
      <c r="M1364" s="15" t="n">
        <f aca="false">IF(J1364=1,0,Inputs!$B$12)</f>
        <v>75</v>
      </c>
      <c r="N1364" s="15" t="n">
        <f aca="false">IF(J1364=1,0,IF(OR(AND(OR(B1364="SITE LOSS",B1364="REGION LOSS"),K1364=1),AND(B1364="ROLE COMPROMISE",H1364=C1364)),Inputs!$B$13,Inputs!$B$14))</f>
        <v>10</v>
      </c>
      <c r="O1364" s="15" t="n">
        <f aca="false">IF(J1364=1,0,Inputs!$B$13)</f>
        <v>20</v>
      </c>
      <c r="P1364" s="15" t="n">
        <f aca="false">SUM(M1364:N1364)</f>
        <v>85</v>
      </c>
      <c r="Q1364" s="15" t="n">
        <f aca="false">IF(J1364=1,"",L1364-P1364)</f>
        <v>15</v>
      </c>
      <c r="R1364" s="15" t="n">
        <f aca="false">IF(OR(J1364=1,M1364&lt;=Inputs!$B$12),1,0)</f>
        <v>1</v>
      </c>
      <c r="S1364" s="15" t="n">
        <f aca="false">IF(OR(J1364=1,N1364&lt;=O1364),1,0)</f>
        <v>1</v>
      </c>
      <c r="T1364" s="15" t="str">
        <f aca="false">IF(J1364=1,"OFFLINE",IF(AND(Q1364&gt;=Inputs!$B$15,R1364=1,S1364=1,P1364&lt;=L1364),"PASS","FAIL"))</f>
        <v>PASS</v>
      </c>
    </row>
    <row r="1365" customFormat="false" ht="15" hidden="false" customHeight="false" outlineLevel="0" collapsed="false">
      <c r="A1365" s="14" t="s">
        <v>1031</v>
      </c>
      <c r="B1365" s="14" t="s">
        <v>1019</v>
      </c>
      <c r="C1365" s="14" t="s">
        <v>190</v>
      </c>
      <c r="D1365" s="14" t="s">
        <v>186</v>
      </c>
      <c r="E1365" s="14" t="s">
        <v>157</v>
      </c>
      <c r="F1365" s="14" t="s">
        <v>183</v>
      </c>
      <c r="G1365" s="14" t="n">
        <v>2</v>
      </c>
      <c r="H1365" s="14" t="s">
        <v>153</v>
      </c>
      <c r="I1365" s="14" t="s">
        <v>811</v>
      </c>
      <c r="J1365" s="15" t="n">
        <f aca="false">IF(B1365="SITE LOSS",IF(D1365=C1365,1,0),IF(B1365="REGION LOSS",IF(E1365=C1365,1,0),0))</f>
        <v>0</v>
      </c>
      <c r="K1365" s="15" t="n">
        <f aca="false">IF(B1365="SITE LOSS",IF(COUNTIFS('Site Dockets'!$B$7:$B$24,C1365,'Site Dockets'!$C$7:$C$24,F1365)&gt;0,1,0),IF(B1365="REGION LOSS",IF(COUNTIFS('Site Dockets'!$E$7:$E$24,C1365,'Site Dockets'!$C$7:$C$24,F1365)&gt;0,1,0),0))</f>
        <v>0</v>
      </c>
      <c r="L1365" s="15" t="n">
        <f aca="false">IF(J1365=1,0,Inputs!$B$11)</f>
        <v>100</v>
      </c>
      <c r="M1365" s="15" t="n">
        <f aca="false">IF(J1365=1,0,Inputs!$B$12)</f>
        <v>75</v>
      </c>
      <c r="N1365" s="15" t="n">
        <f aca="false">IF(J1365=1,0,IF(OR(AND(OR(B1365="SITE LOSS",B1365="REGION LOSS"),K1365=1),AND(B1365="ROLE COMPROMISE",H1365=C1365)),Inputs!$B$13,Inputs!$B$14))</f>
        <v>10</v>
      </c>
      <c r="O1365" s="15" t="n">
        <f aca="false">IF(J1365=1,0,Inputs!$B$13)</f>
        <v>20</v>
      </c>
      <c r="P1365" s="15" t="n">
        <f aca="false">SUM(M1365:N1365)</f>
        <v>85</v>
      </c>
      <c r="Q1365" s="15" t="n">
        <f aca="false">IF(J1365=1,"",L1365-P1365)</f>
        <v>15</v>
      </c>
      <c r="R1365" s="15" t="n">
        <f aca="false">IF(OR(J1365=1,M1365&lt;=Inputs!$B$12),1,0)</f>
        <v>1</v>
      </c>
      <c r="S1365" s="15" t="n">
        <f aca="false">IF(OR(J1365=1,N1365&lt;=O1365),1,0)</f>
        <v>1</v>
      </c>
      <c r="T1365" s="15" t="str">
        <f aca="false">IF(J1365=1,"OFFLINE",IF(AND(Q1365&gt;=Inputs!$B$15,R1365=1,S1365=1,P1365&lt;=L1365),"PASS","FAIL"))</f>
        <v>PASS</v>
      </c>
    </row>
    <row r="1366" customFormat="false" ht="15" hidden="false" customHeight="false" outlineLevel="0" collapsed="false">
      <c r="A1366" s="14" t="s">
        <v>1031</v>
      </c>
      <c r="B1366" s="14" t="s">
        <v>1019</v>
      </c>
      <c r="C1366" s="14" t="s">
        <v>190</v>
      </c>
      <c r="D1366" s="14" t="s">
        <v>186</v>
      </c>
      <c r="E1366" s="14" t="s">
        <v>157</v>
      </c>
      <c r="F1366" s="14" t="s">
        <v>183</v>
      </c>
      <c r="G1366" s="14" t="n">
        <v>2</v>
      </c>
      <c r="H1366" s="14" t="s">
        <v>153</v>
      </c>
      <c r="I1366" s="14" t="s">
        <v>895</v>
      </c>
      <c r="J1366" s="15" t="n">
        <f aca="false">IF(B1366="SITE LOSS",IF(D1366=C1366,1,0),IF(B1366="REGION LOSS",IF(E1366=C1366,1,0),0))</f>
        <v>0</v>
      </c>
      <c r="K1366" s="15" t="n">
        <f aca="false">IF(B1366="SITE LOSS",IF(COUNTIFS('Site Dockets'!$B$7:$B$24,C1366,'Site Dockets'!$C$7:$C$24,F1366)&gt;0,1,0),IF(B1366="REGION LOSS",IF(COUNTIFS('Site Dockets'!$E$7:$E$24,C1366,'Site Dockets'!$C$7:$C$24,F1366)&gt;0,1,0),0))</f>
        <v>0</v>
      </c>
      <c r="L1366" s="15" t="n">
        <f aca="false">IF(J1366=1,0,Inputs!$B$11)</f>
        <v>100</v>
      </c>
      <c r="M1366" s="15" t="n">
        <f aca="false">IF(J1366=1,0,Inputs!$B$12)</f>
        <v>75</v>
      </c>
      <c r="N1366" s="15" t="n">
        <f aca="false">IF(J1366=1,0,IF(OR(AND(OR(B1366="SITE LOSS",B1366="REGION LOSS"),K1366=1),AND(B1366="ROLE COMPROMISE",H1366=C1366)),Inputs!$B$13,Inputs!$B$14))</f>
        <v>10</v>
      </c>
      <c r="O1366" s="15" t="n">
        <f aca="false">IF(J1366=1,0,Inputs!$B$13)</f>
        <v>20</v>
      </c>
      <c r="P1366" s="15" t="n">
        <f aca="false">SUM(M1366:N1366)</f>
        <v>85</v>
      </c>
      <c r="Q1366" s="15" t="n">
        <f aca="false">IF(J1366=1,"",L1366-P1366)</f>
        <v>15</v>
      </c>
      <c r="R1366" s="15" t="n">
        <f aca="false">IF(OR(J1366=1,M1366&lt;=Inputs!$B$12),1,0)</f>
        <v>1</v>
      </c>
      <c r="S1366" s="15" t="n">
        <f aca="false">IF(OR(J1366=1,N1366&lt;=O1366),1,0)</f>
        <v>1</v>
      </c>
      <c r="T1366" s="15" t="str">
        <f aca="false">IF(J1366=1,"OFFLINE",IF(AND(Q1366&gt;=Inputs!$B$15,R1366=1,S1366=1,P1366&lt;=L1366),"PASS","FAIL"))</f>
        <v>PASS</v>
      </c>
    </row>
    <row r="1367" customFormat="false" ht="15" hidden="false" customHeight="false" outlineLevel="0" collapsed="false">
      <c r="A1367" s="14" t="s">
        <v>1031</v>
      </c>
      <c r="B1367" s="14" t="s">
        <v>1019</v>
      </c>
      <c r="C1367" s="14" t="s">
        <v>190</v>
      </c>
      <c r="D1367" s="14" t="s">
        <v>186</v>
      </c>
      <c r="E1367" s="14" t="s">
        <v>157</v>
      </c>
      <c r="F1367" s="14" t="s">
        <v>183</v>
      </c>
      <c r="G1367" s="14" t="n">
        <v>2</v>
      </c>
      <c r="H1367" s="14" t="s">
        <v>153</v>
      </c>
      <c r="I1367" s="14" t="s">
        <v>897</v>
      </c>
      <c r="J1367" s="15" t="n">
        <f aca="false">IF(B1367="SITE LOSS",IF(D1367=C1367,1,0),IF(B1367="REGION LOSS",IF(E1367=C1367,1,0),0))</f>
        <v>0</v>
      </c>
      <c r="K1367" s="15" t="n">
        <f aca="false">IF(B1367="SITE LOSS",IF(COUNTIFS('Site Dockets'!$B$7:$B$24,C1367,'Site Dockets'!$C$7:$C$24,F1367)&gt;0,1,0),IF(B1367="REGION LOSS",IF(COUNTIFS('Site Dockets'!$E$7:$E$24,C1367,'Site Dockets'!$C$7:$C$24,F1367)&gt;0,1,0),0))</f>
        <v>0</v>
      </c>
      <c r="L1367" s="15" t="n">
        <f aca="false">IF(J1367=1,0,Inputs!$B$11)</f>
        <v>100</v>
      </c>
      <c r="M1367" s="15" t="n">
        <f aca="false">IF(J1367=1,0,Inputs!$B$12)</f>
        <v>75</v>
      </c>
      <c r="N1367" s="15" t="n">
        <f aca="false">IF(J1367=1,0,IF(OR(AND(OR(B1367="SITE LOSS",B1367="REGION LOSS"),K1367=1),AND(B1367="ROLE COMPROMISE",H1367=C1367)),Inputs!$B$13,Inputs!$B$14))</f>
        <v>10</v>
      </c>
      <c r="O1367" s="15" t="n">
        <f aca="false">IF(J1367=1,0,Inputs!$B$13)</f>
        <v>20</v>
      </c>
      <c r="P1367" s="15" t="n">
        <f aca="false">SUM(M1367:N1367)</f>
        <v>85</v>
      </c>
      <c r="Q1367" s="15" t="n">
        <f aca="false">IF(J1367=1,"",L1367-P1367)</f>
        <v>15</v>
      </c>
      <c r="R1367" s="15" t="n">
        <f aca="false">IF(OR(J1367=1,M1367&lt;=Inputs!$B$12),1,0)</f>
        <v>1</v>
      </c>
      <c r="S1367" s="15" t="n">
        <f aca="false">IF(OR(J1367=1,N1367&lt;=O1367),1,0)</f>
        <v>1</v>
      </c>
      <c r="T1367" s="15" t="str">
        <f aca="false">IF(J1367=1,"OFFLINE",IF(AND(Q1367&gt;=Inputs!$B$15,R1367=1,S1367=1,P1367&lt;=L1367),"PASS","FAIL"))</f>
        <v>PASS</v>
      </c>
    </row>
    <row r="1368" customFormat="false" ht="15" hidden="false" customHeight="false" outlineLevel="0" collapsed="false">
      <c r="A1368" s="14" t="s">
        <v>1031</v>
      </c>
      <c r="B1368" s="14" t="s">
        <v>1019</v>
      </c>
      <c r="C1368" s="14" t="s">
        <v>190</v>
      </c>
      <c r="D1368" s="14" t="s">
        <v>186</v>
      </c>
      <c r="E1368" s="14" t="s">
        <v>157</v>
      </c>
      <c r="F1368" s="14" t="s">
        <v>183</v>
      </c>
      <c r="G1368" s="14" t="n">
        <v>2</v>
      </c>
      <c r="H1368" s="14" t="s">
        <v>153</v>
      </c>
      <c r="I1368" s="14" t="s">
        <v>899</v>
      </c>
      <c r="J1368" s="15" t="n">
        <f aca="false">IF(B1368="SITE LOSS",IF(D1368=C1368,1,0),IF(B1368="REGION LOSS",IF(E1368=C1368,1,0),0))</f>
        <v>0</v>
      </c>
      <c r="K1368" s="15" t="n">
        <f aca="false">IF(B1368="SITE LOSS",IF(COUNTIFS('Site Dockets'!$B$7:$B$24,C1368,'Site Dockets'!$C$7:$C$24,F1368)&gt;0,1,0),IF(B1368="REGION LOSS",IF(COUNTIFS('Site Dockets'!$E$7:$E$24,C1368,'Site Dockets'!$C$7:$C$24,F1368)&gt;0,1,0),0))</f>
        <v>0</v>
      </c>
      <c r="L1368" s="15" t="n">
        <f aca="false">IF(J1368=1,0,Inputs!$B$11)</f>
        <v>100</v>
      </c>
      <c r="M1368" s="15" t="n">
        <f aca="false">IF(J1368=1,0,Inputs!$B$12)</f>
        <v>75</v>
      </c>
      <c r="N1368" s="15" t="n">
        <f aca="false">IF(J1368=1,0,IF(OR(AND(OR(B1368="SITE LOSS",B1368="REGION LOSS"),K1368=1),AND(B1368="ROLE COMPROMISE",H1368=C1368)),Inputs!$B$13,Inputs!$B$14))</f>
        <v>10</v>
      </c>
      <c r="O1368" s="15" t="n">
        <f aca="false">IF(J1368=1,0,Inputs!$B$13)</f>
        <v>20</v>
      </c>
      <c r="P1368" s="15" t="n">
        <f aca="false">SUM(M1368:N1368)</f>
        <v>85</v>
      </c>
      <c r="Q1368" s="15" t="n">
        <f aca="false">IF(J1368=1,"",L1368-P1368)</f>
        <v>15</v>
      </c>
      <c r="R1368" s="15" t="n">
        <f aca="false">IF(OR(J1368=1,M1368&lt;=Inputs!$B$12),1,0)</f>
        <v>1</v>
      </c>
      <c r="S1368" s="15" t="n">
        <f aca="false">IF(OR(J1368=1,N1368&lt;=O1368),1,0)</f>
        <v>1</v>
      </c>
      <c r="T1368" s="15" t="str">
        <f aca="false">IF(J1368=1,"OFFLINE",IF(AND(Q1368&gt;=Inputs!$B$15,R1368=1,S1368=1,P1368&lt;=L1368),"PASS","FAIL"))</f>
        <v>PASS</v>
      </c>
    </row>
    <row r="1369" customFormat="false" ht="15" hidden="false" customHeight="false" outlineLevel="0" collapsed="false">
      <c r="A1369" s="14" t="s">
        <v>1031</v>
      </c>
      <c r="B1369" s="14" t="s">
        <v>1019</v>
      </c>
      <c r="C1369" s="14" t="s">
        <v>190</v>
      </c>
      <c r="D1369" s="14" t="s">
        <v>188</v>
      </c>
      <c r="E1369" s="14" t="s">
        <v>172</v>
      </c>
      <c r="F1369" s="14" t="s">
        <v>183</v>
      </c>
      <c r="G1369" s="14" t="n">
        <v>3</v>
      </c>
      <c r="H1369" s="14" t="s">
        <v>158</v>
      </c>
      <c r="I1369" s="14" t="s">
        <v>890</v>
      </c>
      <c r="J1369" s="15" t="n">
        <f aca="false">IF(B1369="SITE LOSS",IF(D1369=C1369,1,0),IF(B1369="REGION LOSS",IF(E1369=C1369,1,0),0))</f>
        <v>0</v>
      </c>
      <c r="K1369" s="15" t="n">
        <f aca="false">IF(B1369="SITE LOSS",IF(COUNTIFS('Site Dockets'!$B$7:$B$24,C1369,'Site Dockets'!$C$7:$C$24,F1369)&gt;0,1,0),IF(B1369="REGION LOSS",IF(COUNTIFS('Site Dockets'!$E$7:$E$24,C1369,'Site Dockets'!$C$7:$C$24,F1369)&gt;0,1,0),0))</f>
        <v>0</v>
      </c>
      <c r="L1369" s="15" t="n">
        <f aca="false">IF(J1369=1,0,Inputs!$B$11)</f>
        <v>100</v>
      </c>
      <c r="M1369" s="15" t="n">
        <f aca="false">IF(J1369=1,0,Inputs!$B$12)</f>
        <v>75</v>
      </c>
      <c r="N1369" s="15" t="n">
        <f aca="false">IF(J1369=1,0,IF(OR(AND(OR(B1369="SITE LOSS",B1369="REGION LOSS"),K1369=1),AND(B1369="ROLE COMPROMISE",H1369=C1369)),Inputs!$B$13,Inputs!$B$14))</f>
        <v>10</v>
      </c>
      <c r="O1369" s="15" t="n">
        <f aca="false">IF(J1369=1,0,Inputs!$B$13)</f>
        <v>20</v>
      </c>
      <c r="P1369" s="15" t="n">
        <f aca="false">SUM(M1369:N1369)</f>
        <v>85</v>
      </c>
      <c r="Q1369" s="15" t="n">
        <f aca="false">IF(J1369=1,"",L1369-P1369)</f>
        <v>15</v>
      </c>
      <c r="R1369" s="15" t="n">
        <f aca="false">IF(OR(J1369=1,M1369&lt;=Inputs!$B$12),1,0)</f>
        <v>1</v>
      </c>
      <c r="S1369" s="15" t="n">
        <f aca="false">IF(OR(J1369=1,N1369&lt;=O1369),1,0)</f>
        <v>1</v>
      </c>
      <c r="T1369" s="15" t="str">
        <f aca="false">IF(J1369=1,"OFFLINE",IF(AND(Q1369&gt;=Inputs!$B$15,R1369=1,S1369=1,P1369&lt;=L1369),"PASS","FAIL"))</f>
        <v>PASS</v>
      </c>
    </row>
    <row r="1370" customFormat="false" ht="15" hidden="false" customHeight="false" outlineLevel="0" collapsed="false">
      <c r="A1370" s="14" t="s">
        <v>1031</v>
      </c>
      <c r="B1370" s="14" t="s">
        <v>1019</v>
      </c>
      <c r="C1370" s="14" t="s">
        <v>190</v>
      </c>
      <c r="D1370" s="14" t="s">
        <v>188</v>
      </c>
      <c r="E1370" s="14" t="s">
        <v>172</v>
      </c>
      <c r="F1370" s="14" t="s">
        <v>183</v>
      </c>
      <c r="G1370" s="14" t="n">
        <v>3</v>
      </c>
      <c r="H1370" s="14" t="s">
        <v>158</v>
      </c>
      <c r="I1370" s="14" t="s">
        <v>892</v>
      </c>
      <c r="J1370" s="15" t="n">
        <f aca="false">IF(B1370="SITE LOSS",IF(D1370=C1370,1,0),IF(B1370="REGION LOSS",IF(E1370=C1370,1,0),0))</f>
        <v>0</v>
      </c>
      <c r="K1370" s="15" t="n">
        <f aca="false">IF(B1370="SITE LOSS",IF(COUNTIFS('Site Dockets'!$B$7:$B$24,C1370,'Site Dockets'!$C$7:$C$24,F1370)&gt;0,1,0),IF(B1370="REGION LOSS",IF(COUNTIFS('Site Dockets'!$E$7:$E$24,C1370,'Site Dockets'!$C$7:$C$24,F1370)&gt;0,1,0),0))</f>
        <v>0</v>
      </c>
      <c r="L1370" s="15" t="n">
        <f aca="false">IF(J1370=1,0,Inputs!$B$11)</f>
        <v>100</v>
      </c>
      <c r="M1370" s="15" t="n">
        <f aca="false">IF(J1370=1,0,Inputs!$B$12)</f>
        <v>75</v>
      </c>
      <c r="N1370" s="15" t="n">
        <f aca="false">IF(J1370=1,0,IF(OR(AND(OR(B1370="SITE LOSS",B1370="REGION LOSS"),K1370=1),AND(B1370="ROLE COMPROMISE",H1370=C1370)),Inputs!$B$13,Inputs!$B$14))</f>
        <v>10</v>
      </c>
      <c r="O1370" s="15" t="n">
        <f aca="false">IF(J1370=1,0,Inputs!$B$13)</f>
        <v>20</v>
      </c>
      <c r="P1370" s="15" t="n">
        <f aca="false">SUM(M1370:N1370)</f>
        <v>85</v>
      </c>
      <c r="Q1370" s="15" t="n">
        <f aca="false">IF(J1370=1,"",L1370-P1370)</f>
        <v>15</v>
      </c>
      <c r="R1370" s="15" t="n">
        <f aca="false">IF(OR(J1370=1,M1370&lt;=Inputs!$B$12),1,0)</f>
        <v>1</v>
      </c>
      <c r="S1370" s="15" t="n">
        <f aca="false">IF(OR(J1370=1,N1370&lt;=O1370),1,0)</f>
        <v>1</v>
      </c>
      <c r="T1370" s="15" t="str">
        <f aca="false">IF(J1370=1,"OFFLINE",IF(AND(Q1370&gt;=Inputs!$B$15,R1370=1,S1370=1,P1370&lt;=L1370),"PASS","FAIL"))</f>
        <v>PASS</v>
      </c>
    </row>
    <row r="1371" customFormat="false" ht="15" hidden="false" customHeight="false" outlineLevel="0" collapsed="false">
      <c r="A1371" s="14" t="s">
        <v>1031</v>
      </c>
      <c r="B1371" s="14" t="s">
        <v>1019</v>
      </c>
      <c r="C1371" s="14" t="s">
        <v>190</v>
      </c>
      <c r="D1371" s="14" t="s">
        <v>188</v>
      </c>
      <c r="E1371" s="14" t="s">
        <v>172</v>
      </c>
      <c r="F1371" s="14" t="s">
        <v>183</v>
      </c>
      <c r="G1371" s="14" t="n">
        <v>3</v>
      </c>
      <c r="H1371" s="14" t="s">
        <v>158</v>
      </c>
      <c r="I1371" s="14" t="s">
        <v>811</v>
      </c>
      <c r="J1371" s="15" t="n">
        <f aca="false">IF(B1371="SITE LOSS",IF(D1371=C1371,1,0),IF(B1371="REGION LOSS",IF(E1371=C1371,1,0),0))</f>
        <v>0</v>
      </c>
      <c r="K1371" s="15" t="n">
        <f aca="false">IF(B1371="SITE LOSS",IF(COUNTIFS('Site Dockets'!$B$7:$B$24,C1371,'Site Dockets'!$C$7:$C$24,F1371)&gt;0,1,0),IF(B1371="REGION LOSS",IF(COUNTIFS('Site Dockets'!$E$7:$E$24,C1371,'Site Dockets'!$C$7:$C$24,F1371)&gt;0,1,0),0))</f>
        <v>0</v>
      </c>
      <c r="L1371" s="15" t="n">
        <f aca="false">IF(J1371=1,0,Inputs!$B$11)</f>
        <v>100</v>
      </c>
      <c r="M1371" s="15" t="n">
        <f aca="false">IF(J1371=1,0,Inputs!$B$12)</f>
        <v>75</v>
      </c>
      <c r="N1371" s="15" t="n">
        <f aca="false">IF(J1371=1,0,IF(OR(AND(OR(B1371="SITE LOSS",B1371="REGION LOSS"),K1371=1),AND(B1371="ROLE COMPROMISE",H1371=C1371)),Inputs!$B$13,Inputs!$B$14))</f>
        <v>10</v>
      </c>
      <c r="O1371" s="15" t="n">
        <f aca="false">IF(J1371=1,0,Inputs!$B$13)</f>
        <v>20</v>
      </c>
      <c r="P1371" s="15" t="n">
        <f aca="false">SUM(M1371:N1371)</f>
        <v>85</v>
      </c>
      <c r="Q1371" s="15" t="n">
        <f aca="false">IF(J1371=1,"",L1371-P1371)</f>
        <v>15</v>
      </c>
      <c r="R1371" s="15" t="n">
        <f aca="false">IF(OR(J1371=1,M1371&lt;=Inputs!$B$12),1,0)</f>
        <v>1</v>
      </c>
      <c r="S1371" s="15" t="n">
        <f aca="false">IF(OR(J1371=1,N1371&lt;=O1371),1,0)</f>
        <v>1</v>
      </c>
      <c r="T1371" s="15" t="str">
        <f aca="false">IF(J1371=1,"OFFLINE",IF(AND(Q1371&gt;=Inputs!$B$15,R1371=1,S1371=1,P1371&lt;=L1371),"PASS","FAIL"))</f>
        <v>PASS</v>
      </c>
    </row>
    <row r="1372" customFormat="false" ht="15" hidden="false" customHeight="false" outlineLevel="0" collapsed="false">
      <c r="A1372" s="14" t="s">
        <v>1031</v>
      </c>
      <c r="B1372" s="14" t="s">
        <v>1019</v>
      </c>
      <c r="C1372" s="14" t="s">
        <v>190</v>
      </c>
      <c r="D1372" s="14" t="s">
        <v>188</v>
      </c>
      <c r="E1372" s="14" t="s">
        <v>172</v>
      </c>
      <c r="F1372" s="14" t="s">
        <v>183</v>
      </c>
      <c r="G1372" s="14" t="n">
        <v>3</v>
      </c>
      <c r="H1372" s="14" t="s">
        <v>158</v>
      </c>
      <c r="I1372" s="14" t="s">
        <v>895</v>
      </c>
      <c r="J1372" s="15" t="n">
        <f aca="false">IF(B1372="SITE LOSS",IF(D1372=C1372,1,0),IF(B1372="REGION LOSS",IF(E1372=C1372,1,0),0))</f>
        <v>0</v>
      </c>
      <c r="K1372" s="15" t="n">
        <f aca="false">IF(B1372="SITE LOSS",IF(COUNTIFS('Site Dockets'!$B$7:$B$24,C1372,'Site Dockets'!$C$7:$C$24,F1372)&gt;0,1,0),IF(B1372="REGION LOSS",IF(COUNTIFS('Site Dockets'!$E$7:$E$24,C1372,'Site Dockets'!$C$7:$C$24,F1372)&gt;0,1,0),0))</f>
        <v>0</v>
      </c>
      <c r="L1372" s="15" t="n">
        <f aca="false">IF(J1372=1,0,Inputs!$B$11)</f>
        <v>100</v>
      </c>
      <c r="M1372" s="15" t="n">
        <f aca="false">IF(J1372=1,0,Inputs!$B$12)</f>
        <v>75</v>
      </c>
      <c r="N1372" s="15" t="n">
        <f aca="false">IF(J1372=1,0,IF(OR(AND(OR(B1372="SITE LOSS",B1372="REGION LOSS"),K1372=1),AND(B1372="ROLE COMPROMISE",H1372=C1372)),Inputs!$B$13,Inputs!$B$14))</f>
        <v>10</v>
      </c>
      <c r="O1372" s="15" t="n">
        <f aca="false">IF(J1372=1,0,Inputs!$B$13)</f>
        <v>20</v>
      </c>
      <c r="P1372" s="15" t="n">
        <f aca="false">SUM(M1372:N1372)</f>
        <v>85</v>
      </c>
      <c r="Q1372" s="15" t="n">
        <f aca="false">IF(J1372=1,"",L1372-P1372)</f>
        <v>15</v>
      </c>
      <c r="R1372" s="15" t="n">
        <f aca="false">IF(OR(J1372=1,M1372&lt;=Inputs!$B$12),1,0)</f>
        <v>1</v>
      </c>
      <c r="S1372" s="15" t="n">
        <f aca="false">IF(OR(J1372=1,N1372&lt;=O1372),1,0)</f>
        <v>1</v>
      </c>
      <c r="T1372" s="15" t="str">
        <f aca="false">IF(J1372=1,"OFFLINE",IF(AND(Q1372&gt;=Inputs!$B$15,R1372=1,S1372=1,P1372&lt;=L1372),"PASS","FAIL"))</f>
        <v>PASS</v>
      </c>
    </row>
    <row r="1373" customFormat="false" ht="15" hidden="false" customHeight="false" outlineLevel="0" collapsed="false">
      <c r="A1373" s="14" t="s">
        <v>1031</v>
      </c>
      <c r="B1373" s="14" t="s">
        <v>1019</v>
      </c>
      <c r="C1373" s="14" t="s">
        <v>190</v>
      </c>
      <c r="D1373" s="14" t="s">
        <v>188</v>
      </c>
      <c r="E1373" s="14" t="s">
        <v>172</v>
      </c>
      <c r="F1373" s="14" t="s">
        <v>183</v>
      </c>
      <c r="G1373" s="14" t="n">
        <v>3</v>
      </c>
      <c r="H1373" s="14" t="s">
        <v>158</v>
      </c>
      <c r="I1373" s="14" t="s">
        <v>897</v>
      </c>
      <c r="J1373" s="15" t="n">
        <f aca="false">IF(B1373="SITE LOSS",IF(D1373=C1373,1,0),IF(B1373="REGION LOSS",IF(E1373=C1373,1,0),0))</f>
        <v>0</v>
      </c>
      <c r="K1373" s="15" t="n">
        <f aca="false">IF(B1373="SITE LOSS",IF(COUNTIFS('Site Dockets'!$B$7:$B$24,C1373,'Site Dockets'!$C$7:$C$24,F1373)&gt;0,1,0),IF(B1373="REGION LOSS",IF(COUNTIFS('Site Dockets'!$E$7:$E$24,C1373,'Site Dockets'!$C$7:$C$24,F1373)&gt;0,1,0),0))</f>
        <v>0</v>
      </c>
      <c r="L1373" s="15" t="n">
        <f aca="false">IF(J1373=1,0,Inputs!$B$11)</f>
        <v>100</v>
      </c>
      <c r="M1373" s="15" t="n">
        <f aca="false">IF(J1373=1,0,Inputs!$B$12)</f>
        <v>75</v>
      </c>
      <c r="N1373" s="15" t="n">
        <f aca="false">IF(J1373=1,0,IF(OR(AND(OR(B1373="SITE LOSS",B1373="REGION LOSS"),K1373=1),AND(B1373="ROLE COMPROMISE",H1373=C1373)),Inputs!$B$13,Inputs!$B$14))</f>
        <v>10</v>
      </c>
      <c r="O1373" s="15" t="n">
        <f aca="false">IF(J1373=1,0,Inputs!$B$13)</f>
        <v>20</v>
      </c>
      <c r="P1373" s="15" t="n">
        <f aca="false">SUM(M1373:N1373)</f>
        <v>85</v>
      </c>
      <c r="Q1373" s="15" t="n">
        <f aca="false">IF(J1373=1,"",L1373-P1373)</f>
        <v>15</v>
      </c>
      <c r="R1373" s="15" t="n">
        <f aca="false">IF(OR(J1373=1,M1373&lt;=Inputs!$B$12),1,0)</f>
        <v>1</v>
      </c>
      <c r="S1373" s="15" t="n">
        <f aca="false">IF(OR(J1373=1,N1373&lt;=O1373),1,0)</f>
        <v>1</v>
      </c>
      <c r="T1373" s="15" t="str">
        <f aca="false">IF(J1373=1,"OFFLINE",IF(AND(Q1373&gt;=Inputs!$B$15,R1373=1,S1373=1,P1373&lt;=L1373),"PASS","FAIL"))</f>
        <v>PASS</v>
      </c>
    </row>
    <row r="1374" customFormat="false" ht="15" hidden="false" customHeight="false" outlineLevel="0" collapsed="false">
      <c r="A1374" s="14" t="s">
        <v>1031</v>
      </c>
      <c r="B1374" s="14" t="s">
        <v>1019</v>
      </c>
      <c r="C1374" s="14" t="s">
        <v>190</v>
      </c>
      <c r="D1374" s="14" t="s">
        <v>188</v>
      </c>
      <c r="E1374" s="14" t="s">
        <v>172</v>
      </c>
      <c r="F1374" s="14" t="s">
        <v>183</v>
      </c>
      <c r="G1374" s="14" t="n">
        <v>3</v>
      </c>
      <c r="H1374" s="14" t="s">
        <v>158</v>
      </c>
      <c r="I1374" s="14" t="s">
        <v>899</v>
      </c>
      <c r="J1374" s="15" t="n">
        <f aca="false">IF(B1374="SITE LOSS",IF(D1374=C1374,1,0),IF(B1374="REGION LOSS",IF(E1374=C1374,1,0),0))</f>
        <v>0</v>
      </c>
      <c r="K1374" s="15" t="n">
        <f aca="false">IF(B1374="SITE LOSS",IF(COUNTIFS('Site Dockets'!$B$7:$B$24,C1374,'Site Dockets'!$C$7:$C$24,F1374)&gt;0,1,0),IF(B1374="REGION LOSS",IF(COUNTIFS('Site Dockets'!$E$7:$E$24,C1374,'Site Dockets'!$C$7:$C$24,F1374)&gt;0,1,0),0))</f>
        <v>0</v>
      </c>
      <c r="L1374" s="15" t="n">
        <f aca="false">IF(J1374=1,0,Inputs!$B$11)</f>
        <v>100</v>
      </c>
      <c r="M1374" s="15" t="n">
        <f aca="false">IF(J1374=1,0,Inputs!$B$12)</f>
        <v>75</v>
      </c>
      <c r="N1374" s="15" t="n">
        <f aca="false">IF(J1374=1,0,IF(OR(AND(OR(B1374="SITE LOSS",B1374="REGION LOSS"),K1374=1),AND(B1374="ROLE COMPROMISE",H1374=C1374)),Inputs!$B$13,Inputs!$B$14))</f>
        <v>10</v>
      </c>
      <c r="O1374" s="15" t="n">
        <f aca="false">IF(J1374=1,0,Inputs!$B$13)</f>
        <v>20</v>
      </c>
      <c r="P1374" s="15" t="n">
        <f aca="false">SUM(M1374:N1374)</f>
        <v>85</v>
      </c>
      <c r="Q1374" s="15" t="n">
        <f aca="false">IF(J1374=1,"",L1374-P1374)</f>
        <v>15</v>
      </c>
      <c r="R1374" s="15" t="n">
        <f aca="false">IF(OR(J1374=1,M1374&lt;=Inputs!$B$12),1,0)</f>
        <v>1</v>
      </c>
      <c r="S1374" s="15" t="n">
        <f aca="false">IF(OR(J1374=1,N1374&lt;=O1374),1,0)</f>
        <v>1</v>
      </c>
      <c r="T1374" s="15" t="str">
        <f aca="false">IF(J1374=1,"OFFLINE",IF(AND(Q1374&gt;=Inputs!$B$15,R1374=1,S1374=1,P1374&lt;=L1374),"PASS","FAIL"))</f>
        <v>PASS</v>
      </c>
    </row>
    <row r="1375" customFormat="false" ht="15" hidden="false" customHeight="false" outlineLevel="0" collapsed="false">
      <c r="A1375" s="14" t="s">
        <v>1031</v>
      </c>
      <c r="B1375" s="14" t="s">
        <v>1019</v>
      </c>
      <c r="C1375" s="14" t="s">
        <v>190</v>
      </c>
      <c r="D1375" s="14" t="s">
        <v>190</v>
      </c>
      <c r="E1375" s="14" t="s">
        <v>152</v>
      </c>
      <c r="F1375" s="14" t="s">
        <v>191</v>
      </c>
      <c r="G1375" s="14" t="n">
        <v>1</v>
      </c>
      <c r="H1375" s="14" t="s">
        <v>154</v>
      </c>
      <c r="I1375" s="14" t="s">
        <v>890</v>
      </c>
      <c r="J1375" s="15" t="n">
        <f aca="false">IF(B1375="SITE LOSS",IF(D1375=C1375,1,0),IF(B1375="REGION LOSS",IF(E1375=C1375,1,0),0))</f>
        <v>1</v>
      </c>
      <c r="K1375" s="15" t="n">
        <f aca="false">IF(B1375="SITE LOSS",IF(COUNTIFS('Site Dockets'!$B$7:$B$24,C1375,'Site Dockets'!$C$7:$C$24,F1375)&gt;0,1,0),IF(B1375="REGION LOSS",IF(COUNTIFS('Site Dockets'!$E$7:$E$24,C1375,'Site Dockets'!$C$7:$C$24,F1375)&gt;0,1,0),0))</f>
        <v>1</v>
      </c>
      <c r="L1375" s="15" t="n">
        <f aca="false">IF(J1375=1,0,Inputs!$B$11)</f>
        <v>0</v>
      </c>
      <c r="M1375" s="15" t="n">
        <f aca="false">IF(J1375=1,0,Inputs!$B$12)</f>
        <v>0</v>
      </c>
      <c r="N1375" s="15" t="n">
        <f aca="false">IF(J1375=1,0,IF(OR(AND(OR(B1375="SITE LOSS",B1375="REGION LOSS"),K1375=1),AND(B1375="ROLE COMPROMISE",H1375=C1375)),Inputs!$B$13,Inputs!$B$14))</f>
        <v>0</v>
      </c>
      <c r="O1375" s="15" t="n">
        <f aca="false">IF(J1375=1,0,Inputs!$B$13)</f>
        <v>0</v>
      </c>
      <c r="P1375" s="15" t="n">
        <f aca="false">SUM(M1375:N1375)</f>
        <v>0</v>
      </c>
      <c r="Q1375" s="15" t="str">
        <f aca="false">IF(J1375=1,"",L1375-P1375)</f>
        <v/>
      </c>
      <c r="R1375" s="15" t="n">
        <f aca="false">IF(OR(J1375=1,M1375&lt;=Inputs!$B$12),1,0)</f>
        <v>1</v>
      </c>
      <c r="S1375" s="15" t="n">
        <f aca="false">IF(OR(J1375=1,N1375&lt;=O1375),1,0)</f>
        <v>1</v>
      </c>
      <c r="T1375" s="15" t="str">
        <f aca="false">IF(J1375=1,"OFFLINE",IF(AND(Q1375&gt;=Inputs!$B$15,R1375=1,S1375=1,P1375&lt;=L1375),"PASS","FAIL"))</f>
        <v>OFFLINE</v>
      </c>
    </row>
    <row r="1376" customFormat="false" ht="15" hidden="false" customHeight="false" outlineLevel="0" collapsed="false">
      <c r="A1376" s="14" t="s">
        <v>1031</v>
      </c>
      <c r="B1376" s="14" t="s">
        <v>1019</v>
      </c>
      <c r="C1376" s="14" t="s">
        <v>190</v>
      </c>
      <c r="D1376" s="14" t="s">
        <v>190</v>
      </c>
      <c r="E1376" s="14" t="s">
        <v>152</v>
      </c>
      <c r="F1376" s="14" t="s">
        <v>191</v>
      </c>
      <c r="G1376" s="14" t="n">
        <v>1</v>
      </c>
      <c r="H1376" s="14" t="s">
        <v>154</v>
      </c>
      <c r="I1376" s="14" t="s">
        <v>892</v>
      </c>
      <c r="J1376" s="15" t="n">
        <f aca="false">IF(B1376="SITE LOSS",IF(D1376=C1376,1,0),IF(B1376="REGION LOSS",IF(E1376=C1376,1,0),0))</f>
        <v>1</v>
      </c>
      <c r="K1376" s="15" t="n">
        <f aca="false">IF(B1376="SITE LOSS",IF(COUNTIFS('Site Dockets'!$B$7:$B$24,C1376,'Site Dockets'!$C$7:$C$24,F1376)&gt;0,1,0),IF(B1376="REGION LOSS",IF(COUNTIFS('Site Dockets'!$E$7:$E$24,C1376,'Site Dockets'!$C$7:$C$24,F1376)&gt;0,1,0),0))</f>
        <v>1</v>
      </c>
      <c r="L1376" s="15" t="n">
        <f aca="false">IF(J1376=1,0,Inputs!$B$11)</f>
        <v>0</v>
      </c>
      <c r="M1376" s="15" t="n">
        <f aca="false">IF(J1376=1,0,Inputs!$B$12)</f>
        <v>0</v>
      </c>
      <c r="N1376" s="15" t="n">
        <f aca="false">IF(J1376=1,0,IF(OR(AND(OR(B1376="SITE LOSS",B1376="REGION LOSS"),K1376=1),AND(B1376="ROLE COMPROMISE",H1376=C1376)),Inputs!$B$13,Inputs!$B$14))</f>
        <v>0</v>
      </c>
      <c r="O1376" s="15" t="n">
        <f aca="false">IF(J1376=1,0,Inputs!$B$13)</f>
        <v>0</v>
      </c>
      <c r="P1376" s="15" t="n">
        <f aca="false">SUM(M1376:N1376)</f>
        <v>0</v>
      </c>
      <c r="Q1376" s="15" t="str">
        <f aca="false">IF(J1376=1,"",L1376-P1376)</f>
        <v/>
      </c>
      <c r="R1376" s="15" t="n">
        <f aca="false">IF(OR(J1376=1,M1376&lt;=Inputs!$B$12),1,0)</f>
        <v>1</v>
      </c>
      <c r="S1376" s="15" t="n">
        <f aca="false">IF(OR(J1376=1,N1376&lt;=O1376),1,0)</f>
        <v>1</v>
      </c>
      <c r="T1376" s="15" t="str">
        <f aca="false">IF(J1376=1,"OFFLINE",IF(AND(Q1376&gt;=Inputs!$B$15,R1376=1,S1376=1,P1376&lt;=L1376),"PASS","FAIL"))</f>
        <v>OFFLINE</v>
      </c>
    </row>
    <row r="1377" customFormat="false" ht="15" hidden="false" customHeight="false" outlineLevel="0" collapsed="false">
      <c r="A1377" s="14" t="s">
        <v>1031</v>
      </c>
      <c r="B1377" s="14" t="s">
        <v>1019</v>
      </c>
      <c r="C1377" s="14" t="s">
        <v>190</v>
      </c>
      <c r="D1377" s="14" t="s">
        <v>190</v>
      </c>
      <c r="E1377" s="14" t="s">
        <v>152</v>
      </c>
      <c r="F1377" s="14" t="s">
        <v>191</v>
      </c>
      <c r="G1377" s="14" t="n">
        <v>1</v>
      </c>
      <c r="H1377" s="14" t="s">
        <v>154</v>
      </c>
      <c r="I1377" s="14" t="s">
        <v>811</v>
      </c>
      <c r="J1377" s="15" t="n">
        <f aca="false">IF(B1377="SITE LOSS",IF(D1377=C1377,1,0),IF(B1377="REGION LOSS",IF(E1377=C1377,1,0),0))</f>
        <v>1</v>
      </c>
      <c r="K1377" s="15" t="n">
        <f aca="false">IF(B1377="SITE LOSS",IF(COUNTIFS('Site Dockets'!$B$7:$B$24,C1377,'Site Dockets'!$C$7:$C$24,F1377)&gt;0,1,0),IF(B1377="REGION LOSS",IF(COUNTIFS('Site Dockets'!$E$7:$E$24,C1377,'Site Dockets'!$C$7:$C$24,F1377)&gt;0,1,0),0))</f>
        <v>1</v>
      </c>
      <c r="L1377" s="15" t="n">
        <f aca="false">IF(J1377=1,0,Inputs!$B$11)</f>
        <v>0</v>
      </c>
      <c r="M1377" s="15" t="n">
        <f aca="false">IF(J1377=1,0,Inputs!$B$12)</f>
        <v>0</v>
      </c>
      <c r="N1377" s="15" t="n">
        <f aca="false">IF(J1377=1,0,IF(OR(AND(OR(B1377="SITE LOSS",B1377="REGION LOSS"),K1377=1),AND(B1377="ROLE COMPROMISE",H1377=C1377)),Inputs!$B$13,Inputs!$B$14))</f>
        <v>0</v>
      </c>
      <c r="O1377" s="15" t="n">
        <f aca="false">IF(J1377=1,0,Inputs!$B$13)</f>
        <v>0</v>
      </c>
      <c r="P1377" s="15" t="n">
        <f aca="false">SUM(M1377:N1377)</f>
        <v>0</v>
      </c>
      <c r="Q1377" s="15" t="str">
        <f aca="false">IF(J1377=1,"",L1377-P1377)</f>
        <v/>
      </c>
      <c r="R1377" s="15" t="n">
        <f aca="false">IF(OR(J1377=1,M1377&lt;=Inputs!$B$12),1,0)</f>
        <v>1</v>
      </c>
      <c r="S1377" s="15" t="n">
        <f aca="false">IF(OR(J1377=1,N1377&lt;=O1377),1,0)</f>
        <v>1</v>
      </c>
      <c r="T1377" s="15" t="str">
        <f aca="false">IF(J1377=1,"OFFLINE",IF(AND(Q1377&gt;=Inputs!$B$15,R1377=1,S1377=1,P1377&lt;=L1377),"PASS","FAIL"))</f>
        <v>OFFLINE</v>
      </c>
    </row>
    <row r="1378" customFormat="false" ht="15" hidden="false" customHeight="false" outlineLevel="0" collapsed="false">
      <c r="A1378" s="14" t="s">
        <v>1031</v>
      </c>
      <c r="B1378" s="14" t="s">
        <v>1019</v>
      </c>
      <c r="C1378" s="14" t="s">
        <v>190</v>
      </c>
      <c r="D1378" s="14" t="s">
        <v>190</v>
      </c>
      <c r="E1378" s="14" t="s">
        <v>152</v>
      </c>
      <c r="F1378" s="14" t="s">
        <v>191</v>
      </c>
      <c r="G1378" s="14" t="n">
        <v>1</v>
      </c>
      <c r="H1378" s="14" t="s">
        <v>154</v>
      </c>
      <c r="I1378" s="14" t="s">
        <v>895</v>
      </c>
      <c r="J1378" s="15" t="n">
        <f aca="false">IF(B1378="SITE LOSS",IF(D1378=C1378,1,0),IF(B1378="REGION LOSS",IF(E1378=C1378,1,0),0))</f>
        <v>1</v>
      </c>
      <c r="K1378" s="15" t="n">
        <f aca="false">IF(B1378="SITE LOSS",IF(COUNTIFS('Site Dockets'!$B$7:$B$24,C1378,'Site Dockets'!$C$7:$C$24,F1378)&gt;0,1,0),IF(B1378="REGION LOSS",IF(COUNTIFS('Site Dockets'!$E$7:$E$24,C1378,'Site Dockets'!$C$7:$C$24,F1378)&gt;0,1,0),0))</f>
        <v>1</v>
      </c>
      <c r="L1378" s="15" t="n">
        <f aca="false">IF(J1378=1,0,Inputs!$B$11)</f>
        <v>0</v>
      </c>
      <c r="M1378" s="15" t="n">
        <f aca="false">IF(J1378=1,0,Inputs!$B$12)</f>
        <v>0</v>
      </c>
      <c r="N1378" s="15" t="n">
        <f aca="false">IF(J1378=1,0,IF(OR(AND(OR(B1378="SITE LOSS",B1378="REGION LOSS"),K1378=1),AND(B1378="ROLE COMPROMISE",H1378=C1378)),Inputs!$B$13,Inputs!$B$14))</f>
        <v>0</v>
      </c>
      <c r="O1378" s="15" t="n">
        <f aca="false">IF(J1378=1,0,Inputs!$B$13)</f>
        <v>0</v>
      </c>
      <c r="P1378" s="15" t="n">
        <f aca="false">SUM(M1378:N1378)</f>
        <v>0</v>
      </c>
      <c r="Q1378" s="15" t="str">
        <f aca="false">IF(J1378=1,"",L1378-P1378)</f>
        <v/>
      </c>
      <c r="R1378" s="15" t="n">
        <f aca="false">IF(OR(J1378=1,M1378&lt;=Inputs!$B$12),1,0)</f>
        <v>1</v>
      </c>
      <c r="S1378" s="15" t="n">
        <f aca="false">IF(OR(J1378=1,N1378&lt;=O1378),1,0)</f>
        <v>1</v>
      </c>
      <c r="T1378" s="15" t="str">
        <f aca="false">IF(J1378=1,"OFFLINE",IF(AND(Q1378&gt;=Inputs!$B$15,R1378=1,S1378=1,P1378&lt;=L1378),"PASS","FAIL"))</f>
        <v>OFFLINE</v>
      </c>
    </row>
    <row r="1379" customFormat="false" ht="15" hidden="false" customHeight="false" outlineLevel="0" collapsed="false">
      <c r="A1379" s="14" t="s">
        <v>1031</v>
      </c>
      <c r="B1379" s="14" t="s">
        <v>1019</v>
      </c>
      <c r="C1379" s="14" t="s">
        <v>190</v>
      </c>
      <c r="D1379" s="14" t="s">
        <v>190</v>
      </c>
      <c r="E1379" s="14" t="s">
        <v>152</v>
      </c>
      <c r="F1379" s="14" t="s">
        <v>191</v>
      </c>
      <c r="G1379" s="14" t="n">
        <v>1</v>
      </c>
      <c r="H1379" s="14" t="s">
        <v>154</v>
      </c>
      <c r="I1379" s="14" t="s">
        <v>897</v>
      </c>
      <c r="J1379" s="15" t="n">
        <f aca="false">IF(B1379="SITE LOSS",IF(D1379=C1379,1,0),IF(B1379="REGION LOSS",IF(E1379=C1379,1,0),0))</f>
        <v>1</v>
      </c>
      <c r="K1379" s="15" t="n">
        <f aca="false">IF(B1379="SITE LOSS",IF(COUNTIFS('Site Dockets'!$B$7:$B$24,C1379,'Site Dockets'!$C$7:$C$24,F1379)&gt;0,1,0),IF(B1379="REGION LOSS",IF(COUNTIFS('Site Dockets'!$E$7:$E$24,C1379,'Site Dockets'!$C$7:$C$24,F1379)&gt;0,1,0),0))</f>
        <v>1</v>
      </c>
      <c r="L1379" s="15" t="n">
        <f aca="false">IF(J1379=1,0,Inputs!$B$11)</f>
        <v>0</v>
      </c>
      <c r="M1379" s="15" t="n">
        <f aca="false">IF(J1379=1,0,Inputs!$B$12)</f>
        <v>0</v>
      </c>
      <c r="N1379" s="15" t="n">
        <f aca="false">IF(J1379=1,0,IF(OR(AND(OR(B1379="SITE LOSS",B1379="REGION LOSS"),K1379=1),AND(B1379="ROLE COMPROMISE",H1379=C1379)),Inputs!$B$13,Inputs!$B$14))</f>
        <v>0</v>
      </c>
      <c r="O1379" s="15" t="n">
        <f aca="false">IF(J1379=1,0,Inputs!$B$13)</f>
        <v>0</v>
      </c>
      <c r="P1379" s="15" t="n">
        <f aca="false">SUM(M1379:N1379)</f>
        <v>0</v>
      </c>
      <c r="Q1379" s="15" t="str">
        <f aca="false">IF(J1379=1,"",L1379-P1379)</f>
        <v/>
      </c>
      <c r="R1379" s="15" t="n">
        <f aca="false">IF(OR(J1379=1,M1379&lt;=Inputs!$B$12),1,0)</f>
        <v>1</v>
      </c>
      <c r="S1379" s="15" t="n">
        <f aca="false">IF(OR(J1379=1,N1379&lt;=O1379),1,0)</f>
        <v>1</v>
      </c>
      <c r="T1379" s="15" t="str">
        <f aca="false">IF(J1379=1,"OFFLINE",IF(AND(Q1379&gt;=Inputs!$B$15,R1379=1,S1379=1,P1379&lt;=L1379),"PASS","FAIL"))</f>
        <v>OFFLINE</v>
      </c>
    </row>
    <row r="1380" customFormat="false" ht="15" hidden="false" customHeight="false" outlineLevel="0" collapsed="false">
      <c r="A1380" s="14" t="s">
        <v>1031</v>
      </c>
      <c r="B1380" s="14" t="s">
        <v>1019</v>
      </c>
      <c r="C1380" s="14" t="s">
        <v>190</v>
      </c>
      <c r="D1380" s="14" t="s">
        <v>190</v>
      </c>
      <c r="E1380" s="14" t="s">
        <v>152</v>
      </c>
      <c r="F1380" s="14" t="s">
        <v>191</v>
      </c>
      <c r="G1380" s="14" t="n">
        <v>1</v>
      </c>
      <c r="H1380" s="14" t="s">
        <v>154</v>
      </c>
      <c r="I1380" s="14" t="s">
        <v>899</v>
      </c>
      <c r="J1380" s="15" t="n">
        <f aca="false">IF(B1380="SITE LOSS",IF(D1380=C1380,1,0),IF(B1380="REGION LOSS",IF(E1380=C1380,1,0),0))</f>
        <v>1</v>
      </c>
      <c r="K1380" s="15" t="n">
        <f aca="false">IF(B1380="SITE LOSS",IF(COUNTIFS('Site Dockets'!$B$7:$B$24,C1380,'Site Dockets'!$C$7:$C$24,F1380)&gt;0,1,0),IF(B1380="REGION LOSS",IF(COUNTIFS('Site Dockets'!$E$7:$E$24,C1380,'Site Dockets'!$C$7:$C$24,F1380)&gt;0,1,0),0))</f>
        <v>1</v>
      </c>
      <c r="L1380" s="15" t="n">
        <f aca="false">IF(J1380=1,0,Inputs!$B$11)</f>
        <v>0</v>
      </c>
      <c r="M1380" s="15" t="n">
        <f aca="false">IF(J1380=1,0,Inputs!$B$12)</f>
        <v>0</v>
      </c>
      <c r="N1380" s="15" t="n">
        <f aca="false">IF(J1380=1,0,IF(OR(AND(OR(B1380="SITE LOSS",B1380="REGION LOSS"),K1380=1),AND(B1380="ROLE COMPROMISE",H1380=C1380)),Inputs!$B$13,Inputs!$B$14))</f>
        <v>0</v>
      </c>
      <c r="O1380" s="15" t="n">
        <f aca="false">IF(J1380=1,0,Inputs!$B$13)</f>
        <v>0</v>
      </c>
      <c r="P1380" s="15" t="n">
        <f aca="false">SUM(M1380:N1380)</f>
        <v>0</v>
      </c>
      <c r="Q1380" s="15" t="str">
        <f aca="false">IF(J1380=1,"",L1380-P1380)</f>
        <v/>
      </c>
      <c r="R1380" s="15" t="n">
        <f aca="false">IF(OR(J1380=1,M1380&lt;=Inputs!$B$12),1,0)</f>
        <v>1</v>
      </c>
      <c r="S1380" s="15" t="n">
        <f aca="false">IF(OR(J1380=1,N1380&lt;=O1380),1,0)</f>
        <v>1</v>
      </c>
      <c r="T1380" s="15" t="str">
        <f aca="false">IF(J1380=1,"OFFLINE",IF(AND(Q1380&gt;=Inputs!$B$15,R1380=1,S1380=1,P1380&lt;=L1380),"PASS","FAIL"))</f>
        <v>OFFLINE</v>
      </c>
    </row>
    <row r="1381" customFormat="false" ht="15" hidden="false" customHeight="false" outlineLevel="0" collapsed="false">
      <c r="A1381" s="14" t="s">
        <v>1031</v>
      </c>
      <c r="B1381" s="14" t="s">
        <v>1019</v>
      </c>
      <c r="C1381" s="14" t="s">
        <v>190</v>
      </c>
      <c r="D1381" s="14" t="s">
        <v>194</v>
      </c>
      <c r="E1381" s="14" t="s">
        <v>169</v>
      </c>
      <c r="F1381" s="14" t="s">
        <v>191</v>
      </c>
      <c r="G1381" s="14" t="n">
        <v>2</v>
      </c>
      <c r="H1381" s="14" t="s">
        <v>153</v>
      </c>
      <c r="I1381" s="14" t="s">
        <v>890</v>
      </c>
      <c r="J1381" s="15" t="n">
        <f aca="false">IF(B1381="SITE LOSS",IF(D1381=C1381,1,0),IF(B1381="REGION LOSS",IF(E1381=C1381,1,0),0))</f>
        <v>0</v>
      </c>
      <c r="K1381" s="15" t="n">
        <f aca="false">IF(B1381="SITE LOSS",IF(COUNTIFS('Site Dockets'!$B$7:$B$24,C1381,'Site Dockets'!$C$7:$C$24,F1381)&gt;0,1,0),IF(B1381="REGION LOSS",IF(COUNTIFS('Site Dockets'!$E$7:$E$24,C1381,'Site Dockets'!$C$7:$C$24,F1381)&gt;0,1,0),0))</f>
        <v>1</v>
      </c>
      <c r="L1381" s="15" t="n">
        <f aca="false">IF(J1381=1,0,Inputs!$B$11)</f>
        <v>100</v>
      </c>
      <c r="M1381" s="15" t="n">
        <f aca="false">IF(J1381=1,0,Inputs!$B$12)</f>
        <v>75</v>
      </c>
      <c r="N1381" s="15" t="n">
        <f aca="false">IF(J1381=1,0,IF(OR(AND(OR(B1381="SITE LOSS",B1381="REGION LOSS"),K1381=1),AND(B1381="ROLE COMPROMISE",H1381=C1381)),Inputs!$B$13,Inputs!$B$14))</f>
        <v>20</v>
      </c>
      <c r="O1381" s="15" t="n">
        <f aca="false">IF(J1381=1,0,Inputs!$B$13)</f>
        <v>20</v>
      </c>
      <c r="P1381" s="15" t="n">
        <f aca="false">SUM(M1381:N1381)</f>
        <v>95</v>
      </c>
      <c r="Q1381" s="15" t="n">
        <f aca="false">IF(J1381=1,"",L1381-P1381)</f>
        <v>5</v>
      </c>
      <c r="R1381" s="15" t="n">
        <f aca="false">IF(OR(J1381=1,M1381&lt;=Inputs!$B$12),1,0)</f>
        <v>1</v>
      </c>
      <c r="S1381" s="15" t="n">
        <f aca="false">IF(OR(J1381=1,N1381&lt;=O1381),1,0)</f>
        <v>1</v>
      </c>
      <c r="T1381" s="15" t="str">
        <f aca="false">IF(J1381=1,"OFFLINE",IF(AND(Q1381&gt;=Inputs!$B$15,R1381=1,S1381=1,P1381&lt;=L1381),"PASS","FAIL"))</f>
        <v>PASS</v>
      </c>
    </row>
    <row r="1382" customFormat="false" ht="15" hidden="false" customHeight="false" outlineLevel="0" collapsed="false">
      <c r="A1382" s="14" t="s">
        <v>1031</v>
      </c>
      <c r="B1382" s="14" t="s">
        <v>1019</v>
      </c>
      <c r="C1382" s="14" t="s">
        <v>190</v>
      </c>
      <c r="D1382" s="14" t="s">
        <v>194</v>
      </c>
      <c r="E1382" s="14" t="s">
        <v>169</v>
      </c>
      <c r="F1382" s="14" t="s">
        <v>191</v>
      </c>
      <c r="G1382" s="14" t="n">
        <v>2</v>
      </c>
      <c r="H1382" s="14" t="s">
        <v>153</v>
      </c>
      <c r="I1382" s="14" t="s">
        <v>892</v>
      </c>
      <c r="J1382" s="15" t="n">
        <f aca="false">IF(B1382="SITE LOSS",IF(D1382=C1382,1,0),IF(B1382="REGION LOSS",IF(E1382=C1382,1,0),0))</f>
        <v>0</v>
      </c>
      <c r="K1382" s="15" t="n">
        <f aca="false">IF(B1382="SITE LOSS",IF(COUNTIFS('Site Dockets'!$B$7:$B$24,C1382,'Site Dockets'!$C$7:$C$24,F1382)&gt;0,1,0),IF(B1382="REGION LOSS",IF(COUNTIFS('Site Dockets'!$E$7:$E$24,C1382,'Site Dockets'!$C$7:$C$24,F1382)&gt;0,1,0),0))</f>
        <v>1</v>
      </c>
      <c r="L1382" s="15" t="n">
        <f aca="false">IF(J1382=1,0,Inputs!$B$11)</f>
        <v>100</v>
      </c>
      <c r="M1382" s="15" t="n">
        <f aca="false">IF(J1382=1,0,Inputs!$B$12)</f>
        <v>75</v>
      </c>
      <c r="N1382" s="15" t="n">
        <f aca="false">IF(J1382=1,0,IF(OR(AND(OR(B1382="SITE LOSS",B1382="REGION LOSS"),K1382=1),AND(B1382="ROLE COMPROMISE",H1382=C1382)),Inputs!$B$13,Inputs!$B$14))</f>
        <v>20</v>
      </c>
      <c r="O1382" s="15" t="n">
        <f aca="false">IF(J1382=1,0,Inputs!$B$13)</f>
        <v>20</v>
      </c>
      <c r="P1382" s="15" t="n">
        <f aca="false">SUM(M1382:N1382)</f>
        <v>95</v>
      </c>
      <c r="Q1382" s="15" t="n">
        <f aca="false">IF(J1382=1,"",L1382-P1382)</f>
        <v>5</v>
      </c>
      <c r="R1382" s="15" t="n">
        <f aca="false">IF(OR(J1382=1,M1382&lt;=Inputs!$B$12),1,0)</f>
        <v>1</v>
      </c>
      <c r="S1382" s="15" t="n">
        <f aca="false">IF(OR(J1382=1,N1382&lt;=O1382),1,0)</f>
        <v>1</v>
      </c>
      <c r="T1382" s="15" t="str">
        <f aca="false">IF(J1382=1,"OFFLINE",IF(AND(Q1382&gt;=Inputs!$B$15,R1382=1,S1382=1,P1382&lt;=L1382),"PASS","FAIL"))</f>
        <v>PASS</v>
      </c>
    </row>
    <row r="1383" customFormat="false" ht="15" hidden="false" customHeight="false" outlineLevel="0" collapsed="false">
      <c r="A1383" s="14" t="s">
        <v>1031</v>
      </c>
      <c r="B1383" s="14" t="s">
        <v>1019</v>
      </c>
      <c r="C1383" s="14" t="s">
        <v>190</v>
      </c>
      <c r="D1383" s="14" t="s">
        <v>194</v>
      </c>
      <c r="E1383" s="14" t="s">
        <v>169</v>
      </c>
      <c r="F1383" s="14" t="s">
        <v>191</v>
      </c>
      <c r="G1383" s="14" t="n">
        <v>2</v>
      </c>
      <c r="H1383" s="14" t="s">
        <v>153</v>
      </c>
      <c r="I1383" s="14" t="s">
        <v>811</v>
      </c>
      <c r="J1383" s="15" t="n">
        <f aca="false">IF(B1383="SITE LOSS",IF(D1383=C1383,1,0),IF(B1383="REGION LOSS",IF(E1383=C1383,1,0),0))</f>
        <v>0</v>
      </c>
      <c r="K1383" s="15" t="n">
        <f aca="false">IF(B1383="SITE LOSS",IF(COUNTIFS('Site Dockets'!$B$7:$B$24,C1383,'Site Dockets'!$C$7:$C$24,F1383)&gt;0,1,0),IF(B1383="REGION LOSS",IF(COUNTIFS('Site Dockets'!$E$7:$E$24,C1383,'Site Dockets'!$C$7:$C$24,F1383)&gt;0,1,0),0))</f>
        <v>1</v>
      </c>
      <c r="L1383" s="15" t="n">
        <f aca="false">IF(J1383=1,0,Inputs!$B$11)</f>
        <v>100</v>
      </c>
      <c r="M1383" s="15" t="n">
        <f aca="false">IF(J1383=1,0,Inputs!$B$12)</f>
        <v>75</v>
      </c>
      <c r="N1383" s="15" t="n">
        <f aca="false">IF(J1383=1,0,IF(OR(AND(OR(B1383="SITE LOSS",B1383="REGION LOSS"),K1383=1),AND(B1383="ROLE COMPROMISE",H1383=C1383)),Inputs!$B$13,Inputs!$B$14))</f>
        <v>20</v>
      </c>
      <c r="O1383" s="15" t="n">
        <f aca="false">IF(J1383=1,0,Inputs!$B$13)</f>
        <v>20</v>
      </c>
      <c r="P1383" s="15" t="n">
        <f aca="false">SUM(M1383:N1383)</f>
        <v>95</v>
      </c>
      <c r="Q1383" s="15" t="n">
        <f aca="false">IF(J1383=1,"",L1383-P1383)</f>
        <v>5</v>
      </c>
      <c r="R1383" s="15" t="n">
        <f aca="false">IF(OR(J1383=1,M1383&lt;=Inputs!$B$12),1,0)</f>
        <v>1</v>
      </c>
      <c r="S1383" s="15" t="n">
        <f aca="false">IF(OR(J1383=1,N1383&lt;=O1383),1,0)</f>
        <v>1</v>
      </c>
      <c r="T1383" s="15" t="str">
        <f aca="false">IF(J1383=1,"OFFLINE",IF(AND(Q1383&gt;=Inputs!$B$15,R1383=1,S1383=1,P1383&lt;=L1383),"PASS","FAIL"))</f>
        <v>PASS</v>
      </c>
    </row>
    <row r="1384" customFormat="false" ht="15" hidden="false" customHeight="false" outlineLevel="0" collapsed="false">
      <c r="A1384" s="14" t="s">
        <v>1031</v>
      </c>
      <c r="B1384" s="14" t="s">
        <v>1019</v>
      </c>
      <c r="C1384" s="14" t="s">
        <v>190</v>
      </c>
      <c r="D1384" s="14" t="s">
        <v>194</v>
      </c>
      <c r="E1384" s="14" t="s">
        <v>169</v>
      </c>
      <c r="F1384" s="14" t="s">
        <v>191</v>
      </c>
      <c r="G1384" s="14" t="n">
        <v>2</v>
      </c>
      <c r="H1384" s="14" t="s">
        <v>153</v>
      </c>
      <c r="I1384" s="14" t="s">
        <v>895</v>
      </c>
      <c r="J1384" s="15" t="n">
        <f aca="false">IF(B1384="SITE LOSS",IF(D1384=C1384,1,0),IF(B1384="REGION LOSS",IF(E1384=C1384,1,0),0))</f>
        <v>0</v>
      </c>
      <c r="K1384" s="15" t="n">
        <f aca="false">IF(B1384="SITE LOSS",IF(COUNTIFS('Site Dockets'!$B$7:$B$24,C1384,'Site Dockets'!$C$7:$C$24,F1384)&gt;0,1,0),IF(B1384="REGION LOSS",IF(COUNTIFS('Site Dockets'!$E$7:$E$24,C1384,'Site Dockets'!$C$7:$C$24,F1384)&gt;0,1,0),0))</f>
        <v>1</v>
      </c>
      <c r="L1384" s="15" t="n">
        <f aca="false">IF(J1384=1,0,Inputs!$B$11)</f>
        <v>100</v>
      </c>
      <c r="M1384" s="15" t="n">
        <f aca="false">IF(J1384=1,0,Inputs!$B$12)</f>
        <v>75</v>
      </c>
      <c r="N1384" s="15" t="n">
        <f aca="false">IF(J1384=1,0,IF(OR(AND(OR(B1384="SITE LOSS",B1384="REGION LOSS"),K1384=1),AND(B1384="ROLE COMPROMISE",H1384=C1384)),Inputs!$B$13,Inputs!$B$14))</f>
        <v>20</v>
      </c>
      <c r="O1384" s="15" t="n">
        <f aca="false">IF(J1384=1,0,Inputs!$B$13)</f>
        <v>20</v>
      </c>
      <c r="P1384" s="15" t="n">
        <f aca="false">SUM(M1384:N1384)</f>
        <v>95</v>
      </c>
      <c r="Q1384" s="15" t="n">
        <f aca="false">IF(J1384=1,"",L1384-P1384)</f>
        <v>5</v>
      </c>
      <c r="R1384" s="15" t="n">
        <f aca="false">IF(OR(J1384=1,M1384&lt;=Inputs!$B$12),1,0)</f>
        <v>1</v>
      </c>
      <c r="S1384" s="15" t="n">
        <f aca="false">IF(OR(J1384=1,N1384&lt;=O1384),1,0)</f>
        <v>1</v>
      </c>
      <c r="T1384" s="15" t="str">
        <f aca="false">IF(J1384=1,"OFFLINE",IF(AND(Q1384&gt;=Inputs!$B$15,R1384=1,S1384=1,P1384&lt;=L1384),"PASS","FAIL"))</f>
        <v>PASS</v>
      </c>
    </row>
    <row r="1385" customFormat="false" ht="15" hidden="false" customHeight="false" outlineLevel="0" collapsed="false">
      <c r="A1385" s="14" t="s">
        <v>1031</v>
      </c>
      <c r="B1385" s="14" t="s">
        <v>1019</v>
      </c>
      <c r="C1385" s="14" t="s">
        <v>190</v>
      </c>
      <c r="D1385" s="14" t="s">
        <v>194</v>
      </c>
      <c r="E1385" s="14" t="s">
        <v>169</v>
      </c>
      <c r="F1385" s="14" t="s">
        <v>191</v>
      </c>
      <c r="G1385" s="14" t="n">
        <v>2</v>
      </c>
      <c r="H1385" s="14" t="s">
        <v>153</v>
      </c>
      <c r="I1385" s="14" t="s">
        <v>897</v>
      </c>
      <c r="J1385" s="15" t="n">
        <f aca="false">IF(B1385="SITE LOSS",IF(D1385=C1385,1,0),IF(B1385="REGION LOSS",IF(E1385=C1385,1,0),0))</f>
        <v>0</v>
      </c>
      <c r="K1385" s="15" t="n">
        <f aca="false">IF(B1385="SITE LOSS",IF(COUNTIFS('Site Dockets'!$B$7:$B$24,C1385,'Site Dockets'!$C$7:$C$24,F1385)&gt;0,1,0),IF(B1385="REGION LOSS",IF(COUNTIFS('Site Dockets'!$E$7:$E$24,C1385,'Site Dockets'!$C$7:$C$24,F1385)&gt;0,1,0),0))</f>
        <v>1</v>
      </c>
      <c r="L1385" s="15" t="n">
        <f aca="false">IF(J1385=1,0,Inputs!$B$11)</f>
        <v>100</v>
      </c>
      <c r="M1385" s="15" t="n">
        <f aca="false">IF(J1385=1,0,Inputs!$B$12)</f>
        <v>75</v>
      </c>
      <c r="N1385" s="15" t="n">
        <f aca="false">IF(J1385=1,0,IF(OR(AND(OR(B1385="SITE LOSS",B1385="REGION LOSS"),K1385=1),AND(B1385="ROLE COMPROMISE",H1385=C1385)),Inputs!$B$13,Inputs!$B$14))</f>
        <v>20</v>
      </c>
      <c r="O1385" s="15" t="n">
        <f aca="false">IF(J1385=1,0,Inputs!$B$13)</f>
        <v>20</v>
      </c>
      <c r="P1385" s="15" t="n">
        <f aca="false">SUM(M1385:N1385)</f>
        <v>95</v>
      </c>
      <c r="Q1385" s="15" t="n">
        <f aca="false">IF(J1385=1,"",L1385-P1385)</f>
        <v>5</v>
      </c>
      <c r="R1385" s="15" t="n">
        <f aca="false">IF(OR(J1385=1,M1385&lt;=Inputs!$B$12),1,0)</f>
        <v>1</v>
      </c>
      <c r="S1385" s="15" t="n">
        <f aca="false">IF(OR(J1385=1,N1385&lt;=O1385),1,0)</f>
        <v>1</v>
      </c>
      <c r="T1385" s="15" t="str">
        <f aca="false">IF(J1385=1,"OFFLINE",IF(AND(Q1385&gt;=Inputs!$B$15,R1385=1,S1385=1,P1385&lt;=L1385),"PASS","FAIL"))</f>
        <v>PASS</v>
      </c>
    </row>
    <row r="1386" customFormat="false" ht="15" hidden="false" customHeight="false" outlineLevel="0" collapsed="false">
      <c r="A1386" s="14" t="s">
        <v>1031</v>
      </c>
      <c r="B1386" s="14" t="s">
        <v>1019</v>
      </c>
      <c r="C1386" s="14" t="s">
        <v>190</v>
      </c>
      <c r="D1386" s="14" t="s">
        <v>194</v>
      </c>
      <c r="E1386" s="14" t="s">
        <v>169</v>
      </c>
      <c r="F1386" s="14" t="s">
        <v>191</v>
      </c>
      <c r="G1386" s="14" t="n">
        <v>2</v>
      </c>
      <c r="H1386" s="14" t="s">
        <v>153</v>
      </c>
      <c r="I1386" s="14" t="s">
        <v>899</v>
      </c>
      <c r="J1386" s="15" t="n">
        <f aca="false">IF(B1386="SITE LOSS",IF(D1386=C1386,1,0),IF(B1386="REGION LOSS",IF(E1386=C1386,1,0),0))</f>
        <v>0</v>
      </c>
      <c r="K1386" s="15" t="n">
        <f aca="false">IF(B1386="SITE LOSS",IF(COUNTIFS('Site Dockets'!$B$7:$B$24,C1386,'Site Dockets'!$C$7:$C$24,F1386)&gt;0,1,0),IF(B1386="REGION LOSS",IF(COUNTIFS('Site Dockets'!$E$7:$E$24,C1386,'Site Dockets'!$C$7:$C$24,F1386)&gt;0,1,0),0))</f>
        <v>1</v>
      </c>
      <c r="L1386" s="15" t="n">
        <f aca="false">IF(J1386=1,0,Inputs!$B$11)</f>
        <v>100</v>
      </c>
      <c r="M1386" s="15" t="n">
        <f aca="false">IF(J1386=1,0,Inputs!$B$12)</f>
        <v>75</v>
      </c>
      <c r="N1386" s="15" t="n">
        <f aca="false">IF(J1386=1,0,IF(OR(AND(OR(B1386="SITE LOSS",B1386="REGION LOSS"),K1386=1),AND(B1386="ROLE COMPROMISE",H1386=C1386)),Inputs!$B$13,Inputs!$B$14))</f>
        <v>20</v>
      </c>
      <c r="O1386" s="15" t="n">
        <f aca="false">IF(J1386=1,0,Inputs!$B$13)</f>
        <v>20</v>
      </c>
      <c r="P1386" s="15" t="n">
        <f aca="false">SUM(M1386:N1386)</f>
        <v>95</v>
      </c>
      <c r="Q1386" s="15" t="n">
        <f aca="false">IF(J1386=1,"",L1386-P1386)</f>
        <v>5</v>
      </c>
      <c r="R1386" s="15" t="n">
        <f aca="false">IF(OR(J1386=1,M1386&lt;=Inputs!$B$12),1,0)</f>
        <v>1</v>
      </c>
      <c r="S1386" s="15" t="n">
        <f aca="false">IF(OR(J1386=1,N1386&lt;=O1386),1,0)</f>
        <v>1</v>
      </c>
      <c r="T1386" s="15" t="str">
        <f aca="false">IF(J1386=1,"OFFLINE",IF(AND(Q1386&gt;=Inputs!$B$15,R1386=1,S1386=1,P1386&lt;=L1386),"PASS","FAIL"))</f>
        <v>PASS</v>
      </c>
    </row>
    <row r="1387" customFormat="false" ht="15" hidden="false" customHeight="false" outlineLevel="0" collapsed="false">
      <c r="A1387" s="14" t="s">
        <v>1031</v>
      </c>
      <c r="B1387" s="14" t="s">
        <v>1019</v>
      </c>
      <c r="C1387" s="14" t="s">
        <v>190</v>
      </c>
      <c r="D1387" s="14" t="s">
        <v>196</v>
      </c>
      <c r="E1387" s="14" t="s">
        <v>172</v>
      </c>
      <c r="F1387" s="14" t="s">
        <v>191</v>
      </c>
      <c r="G1387" s="14" t="n">
        <v>3</v>
      </c>
      <c r="H1387" s="14" t="s">
        <v>158</v>
      </c>
      <c r="I1387" s="14" t="s">
        <v>890</v>
      </c>
      <c r="J1387" s="15" t="n">
        <f aca="false">IF(B1387="SITE LOSS",IF(D1387=C1387,1,0),IF(B1387="REGION LOSS",IF(E1387=C1387,1,0),0))</f>
        <v>0</v>
      </c>
      <c r="K1387" s="15" t="n">
        <f aca="false">IF(B1387="SITE LOSS",IF(COUNTIFS('Site Dockets'!$B$7:$B$24,C1387,'Site Dockets'!$C$7:$C$24,F1387)&gt;0,1,0),IF(B1387="REGION LOSS",IF(COUNTIFS('Site Dockets'!$E$7:$E$24,C1387,'Site Dockets'!$C$7:$C$24,F1387)&gt;0,1,0),0))</f>
        <v>1</v>
      </c>
      <c r="L1387" s="15" t="n">
        <f aca="false">IF(J1387=1,0,Inputs!$B$11)</f>
        <v>100</v>
      </c>
      <c r="M1387" s="15" t="n">
        <f aca="false">IF(J1387=1,0,Inputs!$B$12)</f>
        <v>75</v>
      </c>
      <c r="N1387" s="15" t="n">
        <f aca="false">IF(J1387=1,0,IF(OR(AND(OR(B1387="SITE LOSS",B1387="REGION LOSS"),K1387=1),AND(B1387="ROLE COMPROMISE",H1387=C1387)),Inputs!$B$13,Inputs!$B$14))</f>
        <v>20</v>
      </c>
      <c r="O1387" s="15" t="n">
        <f aca="false">IF(J1387=1,0,Inputs!$B$13)</f>
        <v>20</v>
      </c>
      <c r="P1387" s="15" t="n">
        <f aca="false">SUM(M1387:N1387)</f>
        <v>95</v>
      </c>
      <c r="Q1387" s="15" t="n">
        <f aca="false">IF(J1387=1,"",L1387-P1387)</f>
        <v>5</v>
      </c>
      <c r="R1387" s="15" t="n">
        <f aca="false">IF(OR(J1387=1,M1387&lt;=Inputs!$B$12),1,0)</f>
        <v>1</v>
      </c>
      <c r="S1387" s="15" t="n">
        <f aca="false">IF(OR(J1387=1,N1387&lt;=O1387),1,0)</f>
        <v>1</v>
      </c>
      <c r="T1387" s="15" t="str">
        <f aca="false">IF(J1387=1,"OFFLINE",IF(AND(Q1387&gt;=Inputs!$B$15,R1387=1,S1387=1,P1387&lt;=L1387),"PASS","FAIL"))</f>
        <v>PASS</v>
      </c>
    </row>
    <row r="1388" customFormat="false" ht="15" hidden="false" customHeight="false" outlineLevel="0" collapsed="false">
      <c r="A1388" s="14" t="s">
        <v>1031</v>
      </c>
      <c r="B1388" s="14" t="s">
        <v>1019</v>
      </c>
      <c r="C1388" s="14" t="s">
        <v>190</v>
      </c>
      <c r="D1388" s="14" t="s">
        <v>196</v>
      </c>
      <c r="E1388" s="14" t="s">
        <v>172</v>
      </c>
      <c r="F1388" s="14" t="s">
        <v>191</v>
      </c>
      <c r="G1388" s="14" t="n">
        <v>3</v>
      </c>
      <c r="H1388" s="14" t="s">
        <v>158</v>
      </c>
      <c r="I1388" s="14" t="s">
        <v>892</v>
      </c>
      <c r="J1388" s="15" t="n">
        <f aca="false">IF(B1388="SITE LOSS",IF(D1388=C1388,1,0),IF(B1388="REGION LOSS",IF(E1388=C1388,1,0),0))</f>
        <v>0</v>
      </c>
      <c r="K1388" s="15" t="n">
        <f aca="false">IF(B1388="SITE LOSS",IF(COUNTIFS('Site Dockets'!$B$7:$B$24,C1388,'Site Dockets'!$C$7:$C$24,F1388)&gt;0,1,0),IF(B1388="REGION LOSS",IF(COUNTIFS('Site Dockets'!$E$7:$E$24,C1388,'Site Dockets'!$C$7:$C$24,F1388)&gt;0,1,0),0))</f>
        <v>1</v>
      </c>
      <c r="L1388" s="15" t="n">
        <f aca="false">IF(J1388=1,0,Inputs!$B$11)</f>
        <v>100</v>
      </c>
      <c r="M1388" s="15" t="n">
        <f aca="false">IF(J1388=1,0,Inputs!$B$12)</f>
        <v>75</v>
      </c>
      <c r="N1388" s="15" t="n">
        <f aca="false">IF(J1388=1,0,IF(OR(AND(OR(B1388="SITE LOSS",B1388="REGION LOSS"),K1388=1),AND(B1388="ROLE COMPROMISE",H1388=C1388)),Inputs!$B$13,Inputs!$B$14))</f>
        <v>20</v>
      </c>
      <c r="O1388" s="15" t="n">
        <f aca="false">IF(J1388=1,0,Inputs!$B$13)</f>
        <v>20</v>
      </c>
      <c r="P1388" s="15" t="n">
        <f aca="false">SUM(M1388:N1388)</f>
        <v>95</v>
      </c>
      <c r="Q1388" s="15" t="n">
        <f aca="false">IF(J1388=1,"",L1388-P1388)</f>
        <v>5</v>
      </c>
      <c r="R1388" s="15" t="n">
        <f aca="false">IF(OR(J1388=1,M1388&lt;=Inputs!$B$12),1,0)</f>
        <v>1</v>
      </c>
      <c r="S1388" s="15" t="n">
        <f aca="false">IF(OR(J1388=1,N1388&lt;=O1388),1,0)</f>
        <v>1</v>
      </c>
      <c r="T1388" s="15" t="str">
        <f aca="false">IF(J1388=1,"OFFLINE",IF(AND(Q1388&gt;=Inputs!$B$15,R1388=1,S1388=1,P1388&lt;=L1388),"PASS","FAIL"))</f>
        <v>PASS</v>
      </c>
    </row>
    <row r="1389" customFormat="false" ht="15" hidden="false" customHeight="false" outlineLevel="0" collapsed="false">
      <c r="A1389" s="14" t="s">
        <v>1031</v>
      </c>
      <c r="B1389" s="14" t="s">
        <v>1019</v>
      </c>
      <c r="C1389" s="14" t="s">
        <v>190</v>
      </c>
      <c r="D1389" s="14" t="s">
        <v>196</v>
      </c>
      <c r="E1389" s="14" t="s">
        <v>172</v>
      </c>
      <c r="F1389" s="14" t="s">
        <v>191</v>
      </c>
      <c r="G1389" s="14" t="n">
        <v>3</v>
      </c>
      <c r="H1389" s="14" t="s">
        <v>158</v>
      </c>
      <c r="I1389" s="14" t="s">
        <v>811</v>
      </c>
      <c r="J1389" s="15" t="n">
        <f aca="false">IF(B1389="SITE LOSS",IF(D1389=C1389,1,0),IF(B1389="REGION LOSS",IF(E1389=C1389,1,0),0))</f>
        <v>0</v>
      </c>
      <c r="K1389" s="15" t="n">
        <f aca="false">IF(B1389="SITE LOSS",IF(COUNTIFS('Site Dockets'!$B$7:$B$24,C1389,'Site Dockets'!$C$7:$C$24,F1389)&gt;0,1,0),IF(B1389="REGION LOSS",IF(COUNTIFS('Site Dockets'!$E$7:$E$24,C1389,'Site Dockets'!$C$7:$C$24,F1389)&gt;0,1,0),0))</f>
        <v>1</v>
      </c>
      <c r="L1389" s="15" t="n">
        <f aca="false">IF(J1389=1,0,Inputs!$B$11)</f>
        <v>100</v>
      </c>
      <c r="M1389" s="15" t="n">
        <f aca="false">IF(J1389=1,0,Inputs!$B$12)</f>
        <v>75</v>
      </c>
      <c r="N1389" s="15" t="n">
        <f aca="false">IF(J1389=1,0,IF(OR(AND(OR(B1389="SITE LOSS",B1389="REGION LOSS"),K1389=1),AND(B1389="ROLE COMPROMISE",H1389=C1389)),Inputs!$B$13,Inputs!$B$14))</f>
        <v>20</v>
      </c>
      <c r="O1389" s="15" t="n">
        <f aca="false">IF(J1389=1,0,Inputs!$B$13)</f>
        <v>20</v>
      </c>
      <c r="P1389" s="15" t="n">
        <f aca="false">SUM(M1389:N1389)</f>
        <v>95</v>
      </c>
      <c r="Q1389" s="15" t="n">
        <f aca="false">IF(J1389=1,"",L1389-P1389)</f>
        <v>5</v>
      </c>
      <c r="R1389" s="15" t="n">
        <f aca="false">IF(OR(J1389=1,M1389&lt;=Inputs!$B$12),1,0)</f>
        <v>1</v>
      </c>
      <c r="S1389" s="15" t="n">
        <f aca="false">IF(OR(J1389=1,N1389&lt;=O1389),1,0)</f>
        <v>1</v>
      </c>
      <c r="T1389" s="15" t="str">
        <f aca="false">IF(J1389=1,"OFFLINE",IF(AND(Q1389&gt;=Inputs!$B$15,R1389=1,S1389=1,P1389&lt;=L1389),"PASS","FAIL"))</f>
        <v>PASS</v>
      </c>
    </row>
    <row r="1390" customFormat="false" ht="15" hidden="false" customHeight="false" outlineLevel="0" collapsed="false">
      <c r="A1390" s="14" t="s">
        <v>1031</v>
      </c>
      <c r="B1390" s="14" t="s">
        <v>1019</v>
      </c>
      <c r="C1390" s="14" t="s">
        <v>190</v>
      </c>
      <c r="D1390" s="14" t="s">
        <v>196</v>
      </c>
      <c r="E1390" s="14" t="s">
        <v>172</v>
      </c>
      <c r="F1390" s="14" t="s">
        <v>191</v>
      </c>
      <c r="G1390" s="14" t="n">
        <v>3</v>
      </c>
      <c r="H1390" s="14" t="s">
        <v>158</v>
      </c>
      <c r="I1390" s="14" t="s">
        <v>895</v>
      </c>
      <c r="J1390" s="15" t="n">
        <f aca="false">IF(B1390="SITE LOSS",IF(D1390=C1390,1,0),IF(B1390="REGION LOSS",IF(E1390=C1390,1,0),0))</f>
        <v>0</v>
      </c>
      <c r="K1390" s="15" t="n">
        <f aca="false">IF(B1390="SITE LOSS",IF(COUNTIFS('Site Dockets'!$B$7:$B$24,C1390,'Site Dockets'!$C$7:$C$24,F1390)&gt;0,1,0),IF(B1390="REGION LOSS",IF(COUNTIFS('Site Dockets'!$E$7:$E$24,C1390,'Site Dockets'!$C$7:$C$24,F1390)&gt;0,1,0),0))</f>
        <v>1</v>
      </c>
      <c r="L1390" s="15" t="n">
        <f aca="false">IF(J1390=1,0,Inputs!$B$11)</f>
        <v>100</v>
      </c>
      <c r="M1390" s="15" t="n">
        <f aca="false">IF(J1390=1,0,Inputs!$B$12)</f>
        <v>75</v>
      </c>
      <c r="N1390" s="15" t="n">
        <f aca="false">IF(J1390=1,0,IF(OR(AND(OR(B1390="SITE LOSS",B1390="REGION LOSS"),K1390=1),AND(B1390="ROLE COMPROMISE",H1390=C1390)),Inputs!$B$13,Inputs!$B$14))</f>
        <v>20</v>
      </c>
      <c r="O1390" s="15" t="n">
        <f aca="false">IF(J1390=1,0,Inputs!$B$13)</f>
        <v>20</v>
      </c>
      <c r="P1390" s="15" t="n">
        <f aca="false">SUM(M1390:N1390)</f>
        <v>95</v>
      </c>
      <c r="Q1390" s="15" t="n">
        <f aca="false">IF(J1390=1,"",L1390-P1390)</f>
        <v>5</v>
      </c>
      <c r="R1390" s="15" t="n">
        <f aca="false">IF(OR(J1390=1,M1390&lt;=Inputs!$B$12),1,0)</f>
        <v>1</v>
      </c>
      <c r="S1390" s="15" t="n">
        <f aca="false">IF(OR(J1390=1,N1390&lt;=O1390),1,0)</f>
        <v>1</v>
      </c>
      <c r="T1390" s="15" t="str">
        <f aca="false">IF(J1390=1,"OFFLINE",IF(AND(Q1390&gt;=Inputs!$B$15,R1390=1,S1390=1,P1390&lt;=L1390),"PASS","FAIL"))</f>
        <v>PASS</v>
      </c>
    </row>
    <row r="1391" customFormat="false" ht="15" hidden="false" customHeight="false" outlineLevel="0" collapsed="false">
      <c r="A1391" s="14" t="s">
        <v>1031</v>
      </c>
      <c r="B1391" s="14" t="s">
        <v>1019</v>
      </c>
      <c r="C1391" s="14" t="s">
        <v>190</v>
      </c>
      <c r="D1391" s="14" t="s">
        <v>196</v>
      </c>
      <c r="E1391" s="14" t="s">
        <v>172</v>
      </c>
      <c r="F1391" s="14" t="s">
        <v>191</v>
      </c>
      <c r="G1391" s="14" t="n">
        <v>3</v>
      </c>
      <c r="H1391" s="14" t="s">
        <v>158</v>
      </c>
      <c r="I1391" s="14" t="s">
        <v>897</v>
      </c>
      <c r="J1391" s="15" t="n">
        <f aca="false">IF(B1391="SITE LOSS",IF(D1391=C1391,1,0),IF(B1391="REGION LOSS",IF(E1391=C1391,1,0),0))</f>
        <v>0</v>
      </c>
      <c r="K1391" s="15" t="n">
        <f aca="false">IF(B1391="SITE LOSS",IF(COUNTIFS('Site Dockets'!$B$7:$B$24,C1391,'Site Dockets'!$C$7:$C$24,F1391)&gt;0,1,0),IF(B1391="REGION LOSS",IF(COUNTIFS('Site Dockets'!$E$7:$E$24,C1391,'Site Dockets'!$C$7:$C$24,F1391)&gt;0,1,0),0))</f>
        <v>1</v>
      </c>
      <c r="L1391" s="15" t="n">
        <f aca="false">IF(J1391=1,0,Inputs!$B$11)</f>
        <v>100</v>
      </c>
      <c r="M1391" s="15" t="n">
        <f aca="false">IF(J1391=1,0,Inputs!$B$12)</f>
        <v>75</v>
      </c>
      <c r="N1391" s="15" t="n">
        <f aca="false">IF(J1391=1,0,IF(OR(AND(OR(B1391="SITE LOSS",B1391="REGION LOSS"),K1391=1),AND(B1391="ROLE COMPROMISE",H1391=C1391)),Inputs!$B$13,Inputs!$B$14))</f>
        <v>20</v>
      </c>
      <c r="O1391" s="15" t="n">
        <f aca="false">IF(J1391=1,0,Inputs!$B$13)</f>
        <v>20</v>
      </c>
      <c r="P1391" s="15" t="n">
        <f aca="false">SUM(M1391:N1391)</f>
        <v>95</v>
      </c>
      <c r="Q1391" s="15" t="n">
        <f aca="false">IF(J1391=1,"",L1391-P1391)</f>
        <v>5</v>
      </c>
      <c r="R1391" s="15" t="n">
        <f aca="false">IF(OR(J1391=1,M1391&lt;=Inputs!$B$12),1,0)</f>
        <v>1</v>
      </c>
      <c r="S1391" s="15" t="n">
        <f aca="false">IF(OR(J1391=1,N1391&lt;=O1391),1,0)</f>
        <v>1</v>
      </c>
      <c r="T1391" s="15" t="str">
        <f aca="false">IF(J1391=1,"OFFLINE",IF(AND(Q1391&gt;=Inputs!$B$15,R1391=1,S1391=1,P1391&lt;=L1391),"PASS","FAIL"))</f>
        <v>PASS</v>
      </c>
    </row>
    <row r="1392" customFormat="false" ht="15" hidden="false" customHeight="false" outlineLevel="0" collapsed="false">
      <c r="A1392" s="14" t="s">
        <v>1031</v>
      </c>
      <c r="B1392" s="14" t="s">
        <v>1019</v>
      </c>
      <c r="C1392" s="14" t="s">
        <v>190</v>
      </c>
      <c r="D1392" s="14" t="s">
        <v>196</v>
      </c>
      <c r="E1392" s="14" t="s">
        <v>172</v>
      </c>
      <c r="F1392" s="14" t="s">
        <v>191</v>
      </c>
      <c r="G1392" s="14" t="n">
        <v>3</v>
      </c>
      <c r="H1392" s="14" t="s">
        <v>158</v>
      </c>
      <c r="I1392" s="14" t="s">
        <v>899</v>
      </c>
      <c r="J1392" s="15" t="n">
        <f aca="false">IF(B1392="SITE LOSS",IF(D1392=C1392,1,0),IF(B1392="REGION LOSS",IF(E1392=C1392,1,0),0))</f>
        <v>0</v>
      </c>
      <c r="K1392" s="15" t="n">
        <f aca="false">IF(B1392="SITE LOSS",IF(COUNTIFS('Site Dockets'!$B$7:$B$24,C1392,'Site Dockets'!$C$7:$C$24,F1392)&gt;0,1,0),IF(B1392="REGION LOSS",IF(COUNTIFS('Site Dockets'!$E$7:$E$24,C1392,'Site Dockets'!$C$7:$C$24,F1392)&gt;0,1,0),0))</f>
        <v>1</v>
      </c>
      <c r="L1392" s="15" t="n">
        <f aca="false">IF(J1392=1,0,Inputs!$B$11)</f>
        <v>100</v>
      </c>
      <c r="M1392" s="15" t="n">
        <f aca="false">IF(J1392=1,0,Inputs!$B$12)</f>
        <v>75</v>
      </c>
      <c r="N1392" s="15" t="n">
        <f aca="false">IF(J1392=1,0,IF(OR(AND(OR(B1392="SITE LOSS",B1392="REGION LOSS"),K1392=1),AND(B1392="ROLE COMPROMISE",H1392=C1392)),Inputs!$B$13,Inputs!$B$14))</f>
        <v>20</v>
      </c>
      <c r="O1392" s="15" t="n">
        <f aca="false">IF(J1392=1,0,Inputs!$B$13)</f>
        <v>20</v>
      </c>
      <c r="P1392" s="15" t="n">
        <f aca="false">SUM(M1392:N1392)</f>
        <v>95</v>
      </c>
      <c r="Q1392" s="15" t="n">
        <f aca="false">IF(J1392=1,"",L1392-P1392)</f>
        <v>5</v>
      </c>
      <c r="R1392" s="15" t="n">
        <f aca="false">IF(OR(J1392=1,M1392&lt;=Inputs!$B$12),1,0)</f>
        <v>1</v>
      </c>
      <c r="S1392" s="15" t="n">
        <f aca="false">IF(OR(J1392=1,N1392&lt;=O1392),1,0)</f>
        <v>1</v>
      </c>
      <c r="T1392" s="15" t="str">
        <f aca="false">IF(J1392=1,"OFFLINE",IF(AND(Q1392&gt;=Inputs!$B$15,R1392=1,S1392=1,P1392&lt;=L1392),"PASS","FAIL"))</f>
        <v>PASS</v>
      </c>
    </row>
    <row r="1393" customFormat="false" ht="15" hidden="false" customHeight="false" outlineLevel="0" collapsed="false">
      <c r="A1393" s="14" t="s">
        <v>1031</v>
      </c>
      <c r="B1393" s="14" t="s">
        <v>1019</v>
      </c>
      <c r="C1393" s="14" t="s">
        <v>190</v>
      </c>
      <c r="D1393" s="14" t="s">
        <v>198</v>
      </c>
      <c r="E1393" s="14" t="s">
        <v>166</v>
      </c>
      <c r="F1393" s="14" t="s">
        <v>199</v>
      </c>
      <c r="G1393" s="14" t="n">
        <v>1</v>
      </c>
      <c r="H1393" s="14" t="s">
        <v>154</v>
      </c>
      <c r="I1393" s="14" t="s">
        <v>890</v>
      </c>
      <c r="J1393" s="15" t="n">
        <f aca="false">IF(B1393="SITE LOSS",IF(D1393=C1393,1,0),IF(B1393="REGION LOSS",IF(E1393=C1393,1,0),0))</f>
        <v>0</v>
      </c>
      <c r="K1393" s="15" t="n">
        <f aca="false">IF(B1393="SITE LOSS",IF(COUNTIFS('Site Dockets'!$B$7:$B$24,C1393,'Site Dockets'!$C$7:$C$24,F1393)&gt;0,1,0),IF(B1393="REGION LOSS",IF(COUNTIFS('Site Dockets'!$E$7:$E$24,C1393,'Site Dockets'!$C$7:$C$24,F1393)&gt;0,1,0),0))</f>
        <v>0</v>
      </c>
      <c r="L1393" s="15" t="n">
        <f aca="false">IF(J1393=1,0,Inputs!$B$11)</f>
        <v>100</v>
      </c>
      <c r="M1393" s="15" t="n">
        <f aca="false">IF(J1393=1,0,Inputs!$B$12)</f>
        <v>75</v>
      </c>
      <c r="N1393" s="15" t="n">
        <f aca="false">IF(J1393=1,0,IF(OR(AND(OR(B1393="SITE LOSS",B1393="REGION LOSS"),K1393=1),AND(B1393="ROLE COMPROMISE",H1393=C1393)),Inputs!$B$13,Inputs!$B$14))</f>
        <v>10</v>
      </c>
      <c r="O1393" s="15" t="n">
        <f aca="false">IF(J1393=1,0,Inputs!$B$13)</f>
        <v>20</v>
      </c>
      <c r="P1393" s="15" t="n">
        <f aca="false">SUM(M1393:N1393)</f>
        <v>85</v>
      </c>
      <c r="Q1393" s="15" t="n">
        <f aca="false">IF(J1393=1,"",L1393-P1393)</f>
        <v>15</v>
      </c>
      <c r="R1393" s="15" t="n">
        <f aca="false">IF(OR(J1393=1,M1393&lt;=Inputs!$B$12),1,0)</f>
        <v>1</v>
      </c>
      <c r="S1393" s="15" t="n">
        <f aca="false">IF(OR(J1393=1,N1393&lt;=O1393),1,0)</f>
        <v>1</v>
      </c>
      <c r="T1393" s="15" t="str">
        <f aca="false">IF(J1393=1,"OFFLINE",IF(AND(Q1393&gt;=Inputs!$B$15,R1393=1,S1393=1,P1393&lt;=L1393),"PASS","FAIL"))</f>
        <v>PASS</v>
      </c>
    </row>
    <row r="1394" customFormat="false" ht="15" hidden="false" customHeight="false" outlineLevel="0" collapsed="false">
      <c r="A1394" s="14" t="s">
        <v>1031</v>
      </c>
      <c r="B1394" s="14" t="s">
        <v>1019</v>
      </c>
      <c r="C1394" s="14" t="s">
        <v>190</v>
      </c>
      <c r="D1394" s="14" t="s">
        <v>198</v>
      </c>
      <c r="E1394" s="14" t="s">
        <v>166</v>
      </c>
      <c r="F1394" s="14" t="s">
        <v>199</v>
      </c>
      <c r="G1394" s="14" t="n">
        <v>1</v>
      </c>
      <c r="H1394" s="14" t="s">
        <v>154</v>
      </c>
      <c r="I1394" s="14" t="s">
        <v>892</v>
      </c>
      <c r="J1394" s="15" t="n">
        <f aca="false">IF(B1394="SITE LOSS",IF(D1394=C1394,1,0),IF(B1394="REGION LOSS",IF(E1394=C1394,1,0),0))</f>
        <v>0</v>
      </c>
      <c r="K1394" s="15" t="n">
        <f aca="false">IF(B1394="SITE LOSS",IF(COUNTIFS('Site Dockets'!$B$7:$B$24,C1394,'Site Dockets'!$C$7:$C$24,F1394)&gt;0,1,0),IF(B1394="REGION LOSS",IF(COUNTIFS('Site Dockets'!$E$7:$E$24,C1394,'Site Dockets'!$C$7:$C$24,F1394)&gt;0,1,0),0))</f>
        <v>0</v>
      </c>
      <c r="L1394" s="15" t="n">
        <f aca="false">IF(J1394=1,0,Inputs!$B$11)</f>
        <v>100</v>
      </c>
      <c r="M1394" s="15" t="n">
        <f aca="false">IF(J1394=1,0,Inputs!$B$12)</f>
        <v>75</v>
      </c>
      <c r="N1394" s="15" t="n">
        <f aca="false">IF(J1394=1,0,IF(OR(AND(OR(B1394="SITE LOSS",B1394="REGION LOSS"),K1394=1),AND(B1394="ROLE COMPROMISE",H1394=C1394)),Inputs!$B$13,Inputs!$B$14))</f>
        <v>10</v>
      </c>
      <c r="O1394" s="15" t="n">
        <f aca="false">IF(J1394=1,0,Inputs!$B$13)</f>
        <v>20</v>
      </c>
      <c r="P1394" s="15" t="n">
        <f aca="false">SUM(M1394:N1394)</f>
        <v>85</v>
      </c>
      <c r="Q1394" s="15" t="n">
        <f aca="false">IF(J1394=1,"",L1394-P1394)</f>
        <v>15</v>
      </c>
      <c r="R1394" s="15" t="n">
        <f aca="false">IF(OR(J1394=1,M1394&lt;=Inputs!$B$12),1,0)</f>
        <v>1</v>
      </c>
      <c r="S1394" s="15" t="n">
        <f aca="false">IF(OR(J1394=1,N1394&lt;=O1394),1,0)</f>
        <v>1</v>
      </c>
      <c r="T1394" s="15" t="str">
        <f aca="false">IF(J1394=1,"OFFLINE",IF(AND(Q1394&gt;=Inputs!$B$15,R1394=1,S1394=1,P1394&lt;=L1394),"PASS","FAIL"))</f>
        <v>PASS</v>
      </c>
    </row>
    <row r="1395" customFormat="false" ht="15" hidden="false" customHeight="false" outlineLevel="0" collapsed="false">
      <c r="A1395" s="14" t="s">
        <v>1031</v>
      </c>
      <c r="B1395" s="14" t="s">
        <v>1019</v>
      </c>
      <c r="C1395" s="14" t="s">
        <v>190</v>
      </c>
      <c r="D1395" s="14" t="s">
        <v>198</v>
      </c>
      <c r="E1395" s="14" t="s">
        <v>166</v>
      </c>
      <c r="F1395" s="14" t="s">
        <v>199</v>
      </c>
      <c r="G1395" s="14" t="n">
        <v>1</v>
      </c>
      <c r="H1395" s="14" t="s">
        <v>154</v>
      </c>
      <c r="I1395" s="14" t="s">
        <v>811</v>
      </c>
      <c r="J1395" s="15" t="n">
        <f aca="false">IF(B1395="SITE LOSS",IF(D1395=C1395,1,0),IF(B1395="REGION LOSS",IF(E1395=C1395,1,0),0))</f>
        <v>0</v>
      </c>
      <c r="K1395" s="15" t="n">
        <f aca="false">IF(B1395="SITE LOSS",IF(COUNTIFS('Site Dockets'!$B$7:$B$24,C1395,'Site Dockets'!$C$7:$C$24,F1395)&gt;0,1,0),IF(B1395="REGION LOSS",IF(COUNTIFS('Site Dockets'!$E$7:$E$24,C1395,'Site Dockets'!$C$7:$C$24,F1395)&gt;0,1,0),0))</f>
        <v>0</v>
      </c>
      <c r="L1395" s="15" t="n">
        <f aca="false">IF(J1395=1,0,Inputs!$B$11)</f>
        <v>100</v>
      </c>
      <c r="M1395" s="15" t="n">
        <f aca="false">IF(J1395=1,0,Inputs!$B$12)</f>
        <v>75</v>
      </c>
      <c r="N1395" s="15" t="n">
        <f aca="false">IF(J1395=1,0,IF(OR(AND(OR(B1395="SITE LOSS",B1395="REGION LOSS"),K1395=1),AND(B1395="ROLE COMPROMISE",H1395=C1395)),Inputs!$B$13,Inputs!$B$14))</f>
        <v>10</v>
      </c>
      <c r="O1395" s="15" t="n">
        <f aca="false">IF(J1395=1,0,Inputs!$B$13)</f>
        <v>20</v>
      </c>
      <c r="P1395" s="15" t="n">
        <f aca="false">SUM(M1395:N1395)</f>
        <v>85</v>
      </c>
      <c r="Q1395" s="15" t="n">
        <f aca="false">IF(J1395=1,"",L1395-P1395)</f>
        <v>15</v>
      </c>
      <c r="R1395" s="15" t="n">
        <f aca="false">IF(OR(J1395=1,M1395&lt;=Inputs!$B$12),1,0)</f>
        <v>1</v>
      </c>
      <c r="S1395" s="15" t="n">
        <f aca="false">IF(OR(J1395=1,N1395&lt;=O1395),1,0)</f>
        <v>1</v>
      </c>
      <c r="T1395" s="15" t="str">
        <f aca="false">IF(J1395=1,"OFFLINE",IF(AND(Q1395&gt;=Inputs!$B$15,R1395=1,S1395=1,P1395&lt;=L1395),"PASS","FAIL"))</f>
        <v>PASS</v>
      </c>
    </row>
    <row r="1396" customFormat="false" ht="15" hidden="false" customHeight="false" outlineLevel="0" collapsed="false">
      <c r="A1396" s="14" t="s">
        <v>1031</v>
      </c>
      <c r="B1396" s="14" t="s">
        <v>1019</v>
      </c>
      <c r="C1396" s="14" t="s">
        <v>190</v>
      </c>
      <c r="D1396" s="14" t="s">
        <v>198</v>
      </c>
      <c r="E1396" s="14" t="s">
        <v>166</v>
      </c>
      <c r="F1396" s="14" t="s">
        <v>199</v>
      </c>
      <c r="G1396" s="14" t="n">
        <v>1</v>
      </c>
      <c r="H1396" s="14" t="s">
        <v>154</v>
      </c>
      <c r="I1396" s="14" t="s">
        <v>895</v>
      </c>
      <c r="J1396" s="15" t="n">
        <f aca="false">IF(B1396="SITE LOSS",IF(D1396=C1396,1,0),IF(B1396="REGION LOSS",IF(E1396=C1396,1,0),0))</f>
        <v>0</v>
      </c>
      <c r="K1396" s="15" t="n">
        <f aca="false">IF(B1396="SITE LOSS",IF(COUNTIFS('Site Dockets'!$B$7:$B$24,C1396,'Site Dockets'!$C$7:$C$24,F1396)&gt;0,1,0),IF(B1396="REGION LOSS",IF(COUNTIFS('Site Dockets'!$E$7:$E$24,C1396,'Site Dockets'!$C$7:$C$24,F1396)&gt;0,1,0),0))</f>
        <v>0</v>
      </c>
      <c r="L1396" s="15" t="n">
        <f aca="false">IF(J1396=1,0,Inputs!$B$11)</f>
        <v>100</v>
      </c>
      <c r="M1396" s="15" t="n">
        <f aca="false">IF(J1396=1,0,Inputs!$B$12)</f>
        <v>75</v>
      </c>
      <c r="N1396" s="15" t="n">
        <f aca="false">IF(J1396=1,0,IF(OR(AND(OR(B1396="SITE LOSS",B1396="REGION LOSS"),K1396=1),AND(B1396="ROLE COMPROMISE",H1396=C1396)),Inputs!$B$13,Inputs!$B$14))</f>
        <v>10</v>
      </c>
      <c r="O1396" s="15" t="n">
        <f aca="false">IF(J1396=1,0,Inputs!$B$13)</f>
        <v>20</v>
      </c>
      <c r="P1396" s="15" t="n">
        <f aca="false">SUM(M1396:N1396)</f>
        <v>85</v>
      </c>
      <c r="Q1396" s="15" t="n">
        <f aca="false">IF(J1396=1,"",L1396-P1396)</f>
        <v>15</v>
      </c>
      <c r="R1396" s="15" t="n">
        <f aca="false">IF(OR(J1396=1,M1396&lt;=Inputs!$B$12),1,0)</f>
        <v>1</v>
      </c>
      <c r="S1396" s="15" t="n">
        <f aca="false">IF(OR(J1396=1,N1396&lt;=O1396),1,0)</f>
        <v>1</v>
      </c>
      <c r="T1396" s="15" t="str">
        <f aca="false">IF(J1396=1,"OFFLINE",IF(AND(Q1396&gt;=Inputs!$B$15,R1396=1,S1396=1,P1396&lt;=L1396),"PASS","FAIL"))</f>
        <v>PASS</v>
      </c>
    </row>
    <row r="1397" customFormat="false" ht="15" hidden="false" customHeight="false" outlineLevel="0" collapsed="false">
      <c r="A1397" s="14" t="s">
        <v>1031</v>
      </c>
      <c r="B1397" s="14" t="s">
        <v>1019</v>
      </c>
      <c r="C1397" s="14" t="s">
        <v>190</v>
      </c>
      <c r="D1397" s="14" t="s">
        <v>198</v>
      </c>
      <c r="E1397" s="14" t="s">
        <v>166</v>
      </c>
      <c r="F1397" s="14" t="s">
        <v>199</v>
      </c>
      <c r="G1397" s="14" t="n">
        <v>1</v>
      </c>
      <c r="H1397" s="14" t="s">
        <v>154</v>
      </c>
      <c r="I1397" s="14" t="s">
        <v>897</v>
      </c>
      <c r="J1397" s="15" t="n">
        <f aca="false">IF(B1397="SITE LOSS",IF(D1397=C1397,1,0),IF(B1397="REGION LOSS",IF(E1397=C1397,1,0),0))</f>
        <v>0</v>
      </c>
      <c r="K1397" s="15" t="n">
        <f aca="false">IF(B1397="SITE LOSS",IF(COUNTIFS('Site Dockets'!$B$7:$B$24,C1397,'Site Dockets'!$C$7:$C$24,F1397)&gt;0,1,0),IF(B1397="REGION LOSS",IF(COUNTIFS('Site Dockets'!$E$7:$E$24,C1397,'Site Dockets'!$C$7:$C$24,F1397)&gt;0,1,0),0))</f>
        <v>0</v>
      </c>
      <c r="L1397" s="15" t="n">
        <f aca="false">IF(J1397=1,0,Inputs!$B$11)</f>
        <v>100</v>
      </c>
      <c r="M1397" s="15" t="n">
        <f aca="false">IF(J1397=1,0,Inputs!$B$12)</f>
        <v>75</v>
      </c>
      <c r="N1397" s="15" t="n">
        <f aca="false">IF(J1397=1,0,IF(OR(AND(OR(B1397="SITE LOSS",B1397="REGION LOSS"),K1397=1),AND(B1397="ROLE COMPROMISE",H1397=C1397)),Inputs!$B$13,Inputs!$B$14))</f>
        <v>10</v>
      </c>
      <c r="O1397" s="15" t="n">
        <f aca="false">IF(J1397=1,0,Inputs!$B$13)</f>
        <v>20</v>
      </c>
      <c r="P1397" s="15" t="n">
        <f aca="false">SUM(M1397:N1397)</f>
        <v>85</v>
      </c>
      <c r="Q1397" s="15" t="n">
        <f aca="false">IF(J1397=1,"",L1397-P1397)</f>
        <v>15</v>
      </c>
      <c r="R1397" s="15" t="n">
        <f aca="false">IF(OR(J1397=1,M1397&lt;=Inputs!$B$12),1,0)</f>
        <v>1</v>
      </c>
      <c r="S1397" s="15" t="n">
        <f aca="false">IF(OR(J1397=1,N1397&lt;=O1397),1,0)</f>
        <v>1</v>
      </c>
      <c r="T1397" s="15" t="str">
        <f aca="false">IF(J1397=1,"OFFLINE",IF(AND(Q1397&gt;=Inputs!$B$15,R1397=1,S1397=1,P1397&lt;=L1397),"PASS","FAIL"))</f>
        <v>PASS</v>
      </c>
    </row>
    <row r="1398" customFormat="false" ht="15" hidden="false" customHeight="false" outlineLevel="0" collapsed="false">
      <c r="A1398" s="14" t="s">
        <v>1031</v>
      </c>
      <c r="B1398" s="14" t="s">
        <v>1019</v>
      </c>
      <c r="C1398" s="14" t="s">
        <v>190</v>
      </c>
      <c r="D1398" s="14" t="s">
        <v>198</v>
      </c>
      <c r="E1398" s="14" t="s">
        <v>166</v>
      </c>
      <c r="F1398" s="14" t="s">
        <v>199</v>
      </c>
      <c r="G1398" s="14" t="n">
        <v>1</v>
      </c>
      <c r="H1398" s="14" t="s">
        <v>154</v>
      </c>
      <c r="I1398" s="14" t="s">
        <v>899</v>
      </c>
      <c r="J1398" s="15" t="n">
        <f aca="false">IF(B1398="SITE LOSS",IF(D1398=C1398,1,0),IF(B1398="REGION LOSS",IF(E1398=C1398,1,0),0))</f>
        <v>0</v>
      </c>
      <c r="K1398" s="15" t="n">
        <f aca="false">IF(B1398="SITE LOSS",IF(COUNTIFS('Site Dockets'!$B$7:$B$24,C1398,'Site Dockets'!$C$7:$C$24,F1398)&gt;0,1,0),IF(B1398="REGION LOSS",IF(COUNTIFS('Site Dockets'!$E$7:$E$24,C1398,'Site Dockets'!$C$7:$C$24,F1398)&gt;0,1,0),0))</f>
        <v>0</v>
      </c>
      <c r="L1398" s="15" t="n">
        <f aca="false">IF(J1398=1,0,Inputs!$B$11)</f>
        <v>100</v>
      </c>
      <c r="M1398" s="15" t="n">
        <f aca="false">IF(J1398=1,0,Inputs!$B$12)</f>
        <v>75</v>
      </c>
      <c r="N1398" s="15" t="n">
        <f aca="false">IF(J1398=1,0,IF(OR(AND(OR(B1398="SITE LOSS",B1398="REGION LOSS"),K1398=1),AND(B1398="ROLE COMPROMISE",H1398=C1398)),Inputs!$B$13,Inputs!$B$14))</f>
        <v>10</v>
      </c>
      <c r="O1398" s="15" t="n">
        <f aca="false">IF(J1398=1,0,Inputs!$B$13)</f>
        <v>20</v>
      </c>
      <c r="P1398" s="15" t="n">
        <f aca="false">SUM(M1398:N1398)</f>
        <v>85</v>
      </c>
      <c r="Q1398" s="15" t="n">
        <f aca="false">IF(J1398=1,"",L1398-P1398)</f>
        <v>15</v>
      </c>
      <c r="R1398" s="15" t="n">
        <f aca="false">IF(OR(J1398=1,M1398&lt;=Inputs!$B$12),1,0)</f>
        <v>1</v>
      </c>
      <c r="S1398" s="15" t="n">
        <f aca="false">IF(OR(J1398=1,N1398&lt;=O1398),1,0)</f>
        <v>1</v>
      </c>
      <c r="T1398" s="15" t="str">
        <f aca="false">IF(J1398=1,"OFFLINE",IF(AND(Q1398&gt;=Inputs!$B$15,R1398=1,S1398=1,P1398&lt;=L1398),"PASS","FAIL"))</f>
        <v>PASS</v>
      </c>
    </row>
    <row r="1399" customFormat="false" ht="15" hidden="false" customHeight="false" outlineLevel="0" collapsed="false">
      <c r="A1399" s="14" t="s">
        <v>1031</v>
      </c>
      <c r="B1399" s="14" t="s">
        <v>1019</v>
      </c>
      <c r="C1399" s="14" t="s">
        <v>190</v>
      </c>
      <c r="D1399" s="14" t="s">
        <v>202</v>
      </c>
      <c r="E1399" s="14" t="s">
        <v>157</v>
      </c>
      <c r="F1399" s="14" t="s">
        <v>199</v>
      </c>
      <c r="G1399" s="14" t="n">
        <v>2</v>
      </c>
      <c r="H1399" s="14" t="s">
        <v>153</v>
      </c>
      <c r="I1399" s="14" t="s">
        <v>890</v>
      </c>
      <c r="J1399" s="15" t="n">
        <f aca="false">IF(B1399="SITE LOSS",IF(D1399=C1399,1,0),IF(B1399="REGION LOSS",IF(E1399=C1399,1,0),0))</f>
        <v>0</v>
      </c>
      <c r="K1399" s="15" t="n">
        <f aca="false">IF(B1399="SITE LOSS",IF(COUNTIFS('Site Dockets'!$B$7:$B$24,C1399,'Site Dockets'!$C$7:$C$24,F1399)&gt;0,1,0),IF(B1399="REGION LOSS",IF(COUNTIFS('Site Dockets'!$E$7:$E$24,C1399,'Site Dockets'!$C$7:$C$24,F1399)&gt;0,1,0),0))</f>
        <v>0</v>
      </c>
      <c r="L1399" s="15" t="n">
        <f aca="false">IF(J1399=1,0,Inputs!$B$11)</f>
        <v>100</v>
      </c>
      <c r="M1399" s="15" t="n">
        <f aca="false">IF(J1399=1,0,Inputs!$B$12)</f>
        <v>75</v>
      </c>
      <c r="N1399" s="15" t="n">
        <f aca="false">IF(J1399=1,0,IF(OR(AND(OR(B1399="SITE LOSS",B1399="REGION LOSS"),K1399=1),AND(B1399="ROLE COMPROMISE",H1399=C1399)),Inputs!$B$13,Inputs!$B$14))</f>
        <v>10</v>
      </c>
      <c r="O1399" s="15" t="n">
        <f aca="false">IF(J1399=1,0,Inputs!$B$13)</f>
        <v>20</v>
      </c>
      <c r="P1399" s="15" t="n">
        <f aca="false">SUM(M1399:N1399)</f>
        <v>85</v>
      </c>
      <c r="Q1399" s="15" t="n">
        <f aca="false">IF(J1399=1,"",L1399-P1399)</f>
        <v>15</v>
      </c>
      <c r="R1399" s="15" t="n">
        <f aca="false">IF(OR(J1399=1,M1399&lt;=Inputs!$B$12),1,0)</f>
        <v>1</v>
      </c>
      <c r="S1399" s="15" t="n">
        <f aca="false">IF(OR(J1399=1,N1399&lt;=O1399),1,0)</f>
        <v>1</v>
      </c>
      <c r="T1399" s="15" t="str">
        <f aca="false">IF(J1399=1,"OFFLINE",IF(AND(Q1399&gt;=Inputs!$B$15,R1399=1,S1399=1,P1399&lt;=L1399),"PASS","FAIL"))</f>
        <v>PASS</v>
      </c>
    </row>
    <row r="1400" customFormat="false" ht="15" hidden="false" customHeight="false" outlineLevel="0" collapsed="false">
      <c r="A1400" s="14" t="s">
        <v>1031</v>
      </c>
      <c r="B1400" s="14" t="s">
        <v>1019</v>
      </c>
      <c r="C1400" s="14" t="s">
        <v>190</v>
      </c>
      <c r="D1400" s="14" t="s">
        <v>202</v>
      </c>
      <c r="E1400" s="14" t="s">
        <v>157</v>
      </c>
      <c r="F1400" s="14" t="s">
        <v>199</v>
      </c>
      <c r="G1400" s="14" t="n">
        <v>2</v>
      </c>
      <c r="H1400" s="14" t="s">
        <v>153</v>
      </c>
      <c r="I1400" s="14" t="s">
        <v>892</v>
      </c>
      <c r="J1400" s="15" t="n">
        <f aca="false">IF(B1400="SITE LOSS",IF(D1400=C1400,1,0),IF(B1400="REGION LOSS",IF(E1400=C1400,1,0),0))</f>
        <v>0</v>
      </c>
      <c r="K1400" s="15" t="n">
        <f aca="false">IF(B1400="SITE LOSS",IF(COUNTIFS('Site Dockets'!$B$7:$B$24,C1400,'Site Dockets'!$C$7:$C$24,F1400)&gt;0,1,0),IF(B1400="REGION LOSS",IF(COUNTIFS('Site Dockets'!$E$7:$E$24,C1400,'Site Dockets'!$C$7:$C$24,F1400)&gt;0,1,0),0))</f>
        <v>0</v>
      </c>
      <c r="L1400" s="15" t="n">
        <f aca="false">IF(J1400=1,0,Inputs!$B$11)</f>
        <v>100</v>
      </c>
      <c r="M1400" s="15" t="n">
        <f aca="false">IF(J1400=1,0,Inputs!$B$12)</f>
        <v>75</v>
      </c>
      <c r="N1400" s="15" t="n">
        <f aca="false">IF(J1400=1,0,IF(OR(AND(OR(B1400="SITE LOSS",B1400="REGION LOSS"),K1400=1),AND(B1400="ROLE COMPROMISE",H1400=C1400)),Inputs!$B$13,Inputs!$B$14))</f>
        <v>10</v>
      </c>
      <c r="O1400" s="15" t="n">
        <f aca="false">IF(J1400=1,0,Inputs!$B$13)</f>
        <v>20</v>
      </c>
      <c r="P1400" s="15" t="n">
        <f aca="false">SUM(M1400:N1400)</f>
        <v>85</v>
      </c>
      <c r="Q1400" s="15" t="n">
        <f aca="false">IF(J1400=1,"",L1400-P1400)</f>
        <v>15</v>
      </c>
      <c r="R1400" s="15" t="n">
        <f aca="false">IF(OR(J1400=1,M1400&lt;=Inputs!$B$12),1,0)</f>
        <v>1</v>
      </c>
      <c r="S1400" s="15" t="n">
        <f aca="false">IF(OR(J1400=1,N1400&lt;=O1400),1,0)</f>
        <v>1</v>
      </c>
      <c r="T1400" s="15" t="str">
        <f aca="false">IF(J1400=1,"OFFLINE",IF(AND(Q1400&gt;=Inputs!$B$15,R1400=1,S1400=1,P1400&lt;=L1400),"PASS","FAIL"))</f>
        <v>PASS</v>
      </c>
    </row>
    <row r="1401" customFormat="false" ht="15" hidden="false" customHeight="false" outlineLevel="0" collapsed="false">
      <c r="A1401" s="14" t="s">
        <v>1031</v>
      </c>
      <c r="B1401" s="14" t="s">
        <v>1019</v>
      </c>
      <c r="C1401" s="14" t="s">
        <v>190</v>
      </c>
      <c r="D1401" s="14" t="s">
        <v>202</v>
      </c>
      <c r="E1401" s="14" t="s">
        <v>157</v>
      </c>
      <c r="F1401" s="14" t="s">
        <v>199</v>
      </c>
      <c r="G1401" s="14" t="n">
        <v>2</v>
      </c>
      <c r="H1401" s="14" t="s">
        <v>153</v>
      </c>
      <c r="I1401" s="14" t="s">
        <v>811</v>
      </c>
      <c r="J1401" s="15" t="n">
        <f aca="false">IF(B1401="SITE LOSS",IF(D1401=C1401,1,0),IF(B1401="REGION LOSS",IF(E1401=C1401,1,0),0))</f>
        <v>0</v>
      </c>
      <c r="K1401" s="15" t="n">
        <f aca="false">IF(B1401="SITE LOSS",IF(COUNTIFS('Site Dockets'!$B$7:$B$24,C1401,'Site Dockets'!$C$7:$C$24,F1401)&gt;0,1,0),IF(B1401="REGION LOSS",IF(COUNTIFS('Site Dockets'!$E$7:$E$24,C1401,'Site Dockets'!$C$7:$C$24,F1401)&gt;0,1,0),0))</f>
        <v>0</v>
      </c>
      <c r="L1401" s="15" t="n">
        <f aca="false">IF(J1401=1,0,Inputs!$B$11)</f>
        <v>100</v>
      </c>
      <c r="M1401" s="15" t="n">
        <f aca="false">IF(J1401=1,0,Inputs!$B$12)</f>
        <v>75</v>
      </c>
      <c r="N1401" s="15" t="n">
        <f aca="false">IF(J1401=1,0,IF(OR(AND(OR(B1401="SITE LOSS",B1401="REGION LOSS"),K1401=1),AND(B1401="ROLE COMPROMISE",H1401=C1401)),Inputs!$B$13,Inputs!$B$14))</f>
        <v>10</v>
      </c>
      <c r="O1401" s="15" t="n">
        <f aca="false">IF(J1401=1,0,Inputs!$B$13)</f>
        <v>20</v>
      </c>
      <c r="P1401" s="15" t="n">
        <f aca="false">SUM(M1401:N1401)</f>
        <v>85</v>
      </c>
      <c r="Q1401" s="15" t="n">
        <f aca="false">IF(J1401=1,"",L1401-P1401)</f>
        <v>15</v>
      </c>
      <c r="R1401" s="15" t="n">
        <f aca="false">IF(OR(J1401=1,M1401&lt;=Inputs!$B$12),1,0)</f>
        <v>1</v>
      </c>
      <c r="S1401" s="15" t="n">
        <f aca="false">IF(OR(J1401=1,N1401&lt;=O1401),1,0)</f>
        <v>1</v>
      </c>
      <c r="T1401" s="15" t="str">
        <f aca="false">IF(J1401=1,"OFFLINE",IF(AND(Q1401&gt;=Inputs!$B$15,R1401=1,S1401=1,P1401&lt;=L1401),"PASS","FAIL"))</f>
        <v>PASS</v>
      </c>
    </row>
    <row r="1402" customFormat="false" ht="15" hidden="false" customHeight="false" outlineLevel="0" collapsed="false">
      <c r="A1402" s="14" t="s">
        <v>1031</v>
      </c>
      <c r="B1402" s="14" t="s">
        <v>1019</v>
      </c>
      <c r="C1402" s="14" t="s">
        <v>190</v>
      </c>
      <c r="D1402" s="14" t="s">
        <v>202</v>
      </c>
      <c r="E1402" s="14" t="s">
        <v>157</v>
      </c>
      <c r="F1402" s="14" t="s">
        <v>199</v>
      </c>
      <c r="G1402" s="14" t="n">
        <v>2</v>
      </c>
      <c r="H1402" s="14" t="s">
        <v>153</v>
      </c>
      <c r="I1402" s="14" t="s">
        <v>895</v>
      </c>
      <c r="J1402" s="15" t="n">
        <f aca="false">IF(B1402="SITE LOSS",IF(D1402=C1402,1,0),IF(B1402="REGION LOSS",IF(E1402=C1402,1,0),0))</f>
        <v>0</v>
      </c>
      <c r="K1402" s="15" t="n">
        <f aca="false">IF(B1402="SITE LOSS",IF(COUNTIFS('Site Dockets'!$B$7:$B$24,C1402,'Site Dockets'!$C$7:$C$24,F1402)&gt;0,1,0),IF(B1402="REGION LOSS",IF(COUNTIFS('Site Dockets'!$E$7:$E$24,C1402,'Site Dockets'!$C$7:$C$24,F1402)&gt;0,1,0),0))</f>
        <v>0</v>
      </c>
      <c r="L1402" s="15" t="n">
        <f aca="false">IF(J1402=1,0,Inputs!$B$11)</f>
        <v>100</v>
      </c>
      <c r="M1402" s="15" t="n">
        <f aca="false">IF(J1402=1,0,Inputs!$B$12)</f>
        <v>75</v>
      </c>
      <c r="N1402" s="15" t="n">
        <f aca="false">IF(J1402=1,0,IF(OR(AND(OR(B1402="SITE LOSS",B1402="REGION LOSS"),K1402=1),AND(B1402="ROLE COMPROMISE",H1402=C1402)),Inputs!$B$13,Inputs!$B$14))</f>
        <v>10</v>
      </c>
      <c r="O1402" s="15" t="n">
        <f aca="false">IF(J1402=1,0,Inputs!$B$13)</f>
        <v>20</v>
      </c>
      <c r="P1402" s="15" t="n">
        <f aca="false">SUM(M1402:N1402)</f>
        <v>85</v>
      </c>
      <c r="Q1402" s="15" t="n">
        <f aca="false">IF(J1402=1,"",L1402-P1402)</f>
        <v>15</v>
      </c>
      <c r="R1402" s="15" t="n">
        <f aca="false">IF(OR(J1402=1,M1402&lt;=Inputs!$B$12),1,0)</f>
        <v>1</v>
      </c>
      <c r="S1402" s="15" t="n">
        <f aca="false">IF(OR(J1402=1,N1402&lt;=O1402),1,0)</f>
        <v>1</v>
      </c>
      <c r="T1402" s="15" t="str">
        <f aca="false">IF(J1402=1,"OFFLINE",IF(AND(Q1402&gt;=Inputs!$B$15,R1402=1,S1402=1,P1402&lt;=L1402),"PASS","FAIL"))</f>
        <v>PASS</v>
      </c>
    </row>
    <row r="1403" customFormat="false" ht="15" hidden="false" customHeight="false" outlineLevel="0" collapsed="false">
      <c r="A1403" s="14" t="s">
        <v>1031</v>
      </c>
      <c r="B1403" s="14" t="s">
        <v>1019</v>
      </c>
      <c r="C1403" s="14" t="s">
        <v>190</v>
      </c>
      <c r="D1403" s="14" t="s">
        <v>202</v>
      </c>
      <c r="E1403" s="14" t="s">
        <v>157</v>
      </c>
      <c r="F1403" s="14" t="s">
        <v>199</v>
      </c>
      <c r="G1403" s="14" t="n">
        <v>2</v>
      </c>
      <c r="H1403" s="14" t="s">
        <v>153</v>
      </c>
      <c r="I1403" s="14" t="s">
        <v>897</v>
      </c>
      <c r="J1403" s="15" t="n">
        <f aca="false">IF(B1403="SITE LOSS",IF(D1403=C1403,1,0),IF(B1403="REGION LOSS",IF(E1403=C1403,1,0),0))</f>
        <v>0</v>
      </c>
      <c r="K1403" s="15" t="n">
        <f aca="false">IF(B1403="SITE LOSS",IF(COUNTIFS('Site Dockets'!$B$7:$B$24,C1403,'Site Dockets'!$C$7:$C$24,F1403)&gt;0,1,0),IF(B1403="REGION LOSS",IF(COUNTIFS('Site Dockets'!$E$7:$E$24,C1403,'Site Dockets'!$C$7:$C$24,F1403)&gt;0,1,0),0))</f>
        <v>0</v>
      </c>
      <c r="L1403" s="15" t="n">
        <f aca="false">IF(J1403=1,0,Inputs!$B$11)</f>
        <v>100</v>
      </c>
      <c r="M1403" s="15" t="n">
        <f aca="false">IF(J1403=1,0,Inputs!$B$12)</f>
        <v>75</v>
      </c>
      <c r="N1403" s="15" t="n">
        <f aca="false">IF(J1403=1,0,IF(OR(AND(OR(B1403="SITE LOSS",B1403="REGION LOSS"),K1403=1),AND(B1403="ROLE COMPROMISE",H1403=C1403)),Inputs!$B$13,Inputs!$B$14))</f>
        <v>10</v>
      </c>
      <c r="O1403" s="15" t="n">
        <f aca="false">IF(J1403=1,0,Inputs!$B$13)</f>
        <v>20</v>
      </c>
      <c r="P1403" s="15" t="n">
        <f aca="false">SUM(M1403:N1403)</f>
        <v>85</v>
      </c>
      <c r="Q1403" s="15" t="n">
        <f aca="false">IF(J1403=1,"",L1403-P1403)</f>
        <v>15</v>
      </c>
      <c r="R1403" s="15" t="n">
        <f aca="false">IF(OR(J1403=1,M1403&lt;=Inputs!$B$12),1,0)</f>
        <v>1</v>
      </c>
      <c r="S1403" s="15" t="n">
        <f aca="false">IF(OR(J1403=1,N1403&lt;=O1403),1,0)</f>
        <v>1</v>
      </c>
      <c r="T1403" s="15" t="str">
        <f aca="false">IF(J1403=1,"OFFLINE",IF(AND(Q1403&gt;=Inputs!$B$15,R1403=1,S1403=1,P1403&lt;=L1403),"PASS","FAIL"))</f>
        <v>PASS</v>
      </c>
    </row>
    <row r="1404" customFormat="false" ht="15" hidden="false" customHeight="false" outlineLevel="0" collapsed="false">
      <c r="A1404" s="14" t="s">
        <v>1031</v>
      </c>
      <c r="B1404" s="14" t="s">
        <v>1019</v>
      </c>
      <c r="C1404" s="14" t="s">
        <v>190</v>
      </c>
      <c r="D1404" s="14" t="s">
        <v>202</v>
      </c>
      <c r="E1404" s="14" t="s">
        <v>157</v>
      </c>
      <c r="F1404" s="14" t="s">
        <v>199</v>
      </c>
      <c r="G1404" s="14" t="n">
        <v>2</v>
      </c>
      <c r="H1404" s="14" t="s">
        <v>153</v>
      </c>
      <c r="I1404" s="14" t="s">
        <v>899</v>
      </c>
      <c r="J1404" s="15" t="n">
        <f aca="false">IF(B1404="SITE LOSS",IF(D1404=C1404,1,0),IF(B1404="REGION LOSS",IF(E1404=C1404,1,0),0))</f>
        <v>0</v>
      </c>
      <c r="K1404" s="15" t="n">
        <f aca="false">IF(B1404="SITE LOSS",IF(COUNTIFS('Site Dockets'!$B$7:$B$24,C1404,'Site Dockets'!$C$7:$C$24,F1404)&gt;0,1,0),IF(B1404="REGION LOSS",IF(COUNTIFS('Site Dockets'!$E$7:$E$24,C1404,'Site Dockets'!$C$7:$C$24,F1404)&gt;0,1,0),0))</f>
        <v>0</v>
      </c>
      <c r="L1404" s="15" t="n">
        <f aca="false">IF(J1404=1,0,Inputs!$B$11)</f>
        <v>100</v>
      </c>
      <c r="M1404" s="15" t="n">
        <f aca="false">IF(J1404=1,0,Inputs!$B$12)</f>
        <v>75</v>
      </c>
      <c r="N1404" s="15" t="n">
        <f aca="false">IF(J1404=1,0,IF(OR(AND(OR(B1404="SITE LOSS",B1404="REGION LOSS"),K1404=1),AND(B1404="ROLE COMPROMISE",H1404=C1404)),Inputs!$B$13,Inputs!$B$14))</f>
        <v>10</v>
      </c>
      <c r="O1404" s="15" t="n">
        <f aca="false">IF(J1404=1,0,Inputs!$B$13)</f>
        <v>20</v>
      </c>
      <c r="P1404" s="15" t="n">
        <f aca="false">SUM(M1404:N1404)</f>
        <v>85</v>
      </c>
      <c r="Q1404" s="15" t="n">
        <f aca="false">IF(J1404=1,"",L1404-P1404)</f>
        <v>15</v>
      </c>
      <c r="R1404" s="15" t="n">
        <f aca="false">IF(OR(J1404=1,M1404&lt;=Inputs!$B$12),1,0)</f>
        <v>1</v>
      </c>
      <c r="S1404" s="15" t="n">
        <f aca="false">IF(OR(J1404=1,N1404&lt;=O1404),1,0)</f>
        <v>1</v>
      </c>
      <c r="T1404" s="15" t="str">
        <f aca="false">IF(J1404=1,"OFFLINE",IF(AND(Q1404&gt;=Inputs!$B$15,R1404=1,S1404=1,P1404&lt;=L1404),"PASS","FAIL"))</f>
        <v>PASS</v>
      </c>
    </row>
    <row r="1405" customFormat="false" ht="15" hidden="false" customHeight="false" outlineLevel="0" collapsed="false">
      <c r="A1405" s="14" t="s">
        <v>1031</v>
      </c>
      <c r="B1405" s="14" t="s">
        <v>1019</v>
      </c>
      <c r="C1405" s="14" t="s">
        <v>190</v>
      </c>
      <c r="D1405" s="14" t="s">
        <v>204</v>
      </c>
      <c r="E1405" s="14" t="s">
        <v>161</v>
      </c>
      <c r="F1405" s="14" t="s">
        <v>199</v>
      </c>
      <c r="G1405" s="14" t="n">
        <v>3</v>
      </c>
      <c r="H1405" s="14" t="s">
        <v>158</v>
      </c>
      <c r="I1405" s="14" t="s">
        <v>890</v>
      </c>
      <c r="J1405" s="15" t="n">
        <f aca="false">IF(B1405="SITE LOSS",IF(D1405=C1405,1,0),IF(B1405="REGION LOSS",IF(E1405=C1405,1,0),0))</f>
        <v>0</v>
      </c>
      <c r="K1405" s="15" t="n">
        <f aca="false">IF(B1405="SITE LOSS",IF(COUNTIFS('Site Dockets'!$B$7:$B$24,C1405,'Site Dockets'!$C$7:$C$24,F1405)&gt;0,1,0),IF(B1405="REGION LOSS",IF(COUNTIFS('Site Dockets'!$E$7:$E$24,C1405,'Site Dockets'!$C$7:$C$24,F1405)&gt;0,1,0),0))</f>
        <v>0</v>
      </c>
      <c r="L1405" s="15" t="n">
        <f aca="false">IF(J1405=1,0,Inputs!$B$11)</f>
        <v>100</v>
      </c>
      <c r="M1405" s="15" t="n">
        <f aca="false">IF(J1405=1,0,Inputs!$B$12)</f>
        <v>75</v>
      </c>
      <c r="N1405" s="15" t="n">
        <f aca="false">IF(J1405=1,0,IF(OR(AND(OR(B1405="SITE LOSS",B1405="REGION LOSS"),K1405=1),AND(B1405="ROLE COMPROMISE",H1405=C1405)),Inputs!$B$13,Inputs!$B$14))</f>
        <v>10</v>
      </c>
      <c r="O1405" s="15" t="n">
        <f aca="false">IF(J1405=1,0,Inputs!$B$13)</f>
        <v>20</v>
      </c>
      <c r="P1405" s="15" t="n">
        <f aca="false">SUM(M1405:N1405)</f>
        <v>85</v>
      </c>
      <c r="Q1405" s="15" t="n">
        <f aca="false">IF(J1405=1,"",L1405-P1405)</f>
        <v>15</v>
      </c>
      <c r="R1405" s="15" t="n">
        <f aca="false">IF(OR(J1405=1,M1405&lt;=Inputs!$B$12),1,0)</f>
        <v>1</v>
      </c>
      <c r="S1405" s="15" t="n">
        <f aca="false">IF(OR(J1405=1,N1405&lt;=O1405),1,0)</f>
        <v>1</v>
      </c>
      <c r="T1405" s="15" t="str">
        <f aca="false">IF(J1405=1,"OFFLINE",IF(AND(Q1405&gt;=Inputs!$B$15,R1405=1,S1405=1,P1405&lt;=L1405),"PASS","FAIL"))</f>
        <v>PASS</v>
      </c>
    </row>
    <row r="1406" customFormat="false" ht="15" hidden="false" customHeight="false" outlineLevel="0" collapsed="false">
      <c r="A1406" s="14" t="s">
        <v>1031</v>
      </c>
      <c r="B1406" s="14" t="s">
        <v>1019</v>
      </c>
      <c r="C1406" s="14" t="s">
        <v>190</v>
      </c>
      <c r="D1406" s="14" t="s">
        <v>204</v>
      </c>
      <c r="E1406" s="14" t="s">
        <v>161</v>
      </c>
      <c r="F1406" s="14" t="s">
        <v>199</v>
      </c>
      <c r="G1406" s="14" t="n">
        <v>3</v>
      </c>
      <c r="H1406" s="14" t="s">
        <v>158</v>
      </c>
      <c r="I1406" s="14" t="s">
        <v>892</v>
      </c>
      <c r="J1406" s="15" t="n">
        <f aca="false">IF(B1406="SITE LOSS",IF(D1406=C1406,1,0),IF(B1406="REGION LOSS",IF(E1406=C1406,1,0),0))</f>
        <v>0</v>
      </c>
      <c r="K1406" s="15" t="n">
        <f aca="false">IF(B1406="SITE LOSS",IF(COUNTIFS('Site Dockets'!$B$7:$B$24,C1406,'Site Dockets'!$C$7:$C$24,F1406)&gt;0,1,0),IF(B1406="REGION LOSS",IF(COUNTIFS('Site Dockets'!$E$7:$E$24,C1406,'Site Dockets'!$C$7:$C$24,F1406)&gt;0,1,0),0))</f>
        <v>0</v>
      </c>
      <c r="L1406" s="15" t="n">
        <f aca="false">IF(J1406=1,0,Inputs!$B$11)</f>
        <v>100</v>
      </c>
      <c r="M1406" s="15" t="n">
        <f aca="false">IF(J1406=1,0,Inputs!$B$12)</f>
        <v>75</v>
      </c>
      <c r="N1406" s="15" t="n">
        <f aca="false">IF(J1406=1,0,IF(OR(AND(OR(B1406="SITE LOSS",B1406="REGION LOSS"),K1406=1),AND(B1406="ROLE COMPROMISE",H1406=C1406)),Inputs!$B$13,Inputs!$B$14))</f>
        <v>10</v>
      </c>
      <c r="O1406" s="15" t="n">
        <f aca="false">IF(J1406=1,0,Inputs!$B$13)</f>
        <v>20</v>
      </c>
      <c r="P1406" s="15" t="n">
        <f aca="false">SUM(M1406:N1406)</f>
        <v>85</v>
      </c>
      <c r="Q1406" s="15" t="n">
        <f aca="false">IF(J1406=1,"",L1406-P1406)</f>
        <v>15</v>
      </c>
      <c r="R1406" s="15" t="n">
        <f aca="false">IF(OR(J1406=1,M1406&lt;=Inputs!$B$12),1,0)</f>
        <v>1</v>
      </c>
      <c r="S1406" s="15" t="n">
        <f aca="false">IF(OR(J1406=1,N1406&lt;=O1406),1,0)</f>
        <v>1</v>
      </c>
      <c r="T1406" s="15" t="str">
        <f aca="false">IF(J1406=1,"OFFLINE",IF(AND(Q1406&gt;=Inputs!$B$15,R1406=1,S1406=1,P1406&lt;=L1406),"PASS","FAIL"))</f>
        <v>PASS</v>
      </c>
    </row>
    <row r="1407" customFormat="false" ht="15" hidden="false" customHeight="false" outlineLevel="0" collapsed="false">
      <c r="A1407" s="14" t="s">
        <v>1031</v>
      </c>
      <c r="B1407" s="14" t="s">
        <v>1019</v>
      </c>
      <c r="C1407" s="14" t="s">
        <v>190</v>
      </c>
      <c r="D1407" s="14" t="s">
        <v>204</v>
      </c>
      <c r="E1407" s="14" t="s">
        <v>161</v>
      </c>
      <c r="F1407" s="14" t="s">
        <v>199</v>
      </c>
      <c r="G1407" s="14" t="n">
        <v>3</v>
      </c>
      <c r="H1407" s="14" t="s">
        <v>158</v>
      </c>
      <c r="I1407" s="14" t="s">
        <v>811</v>
      </c>
      <c r="J1407" s="15" t="n">
        <f aca="false">IF(B1407="SITE LOSS",IF(D1407=C1407,1,0),IF(B1407="REGION LOSS",IF(E1407=C1407,1,0),0))</f>
        <v>0</v>
      </c>
      <c r="K1407" s="15" t="n">
        <f aca="false">IF(B1407="SITE LOSS",IF(COUNTIFS('Site Dockets'!$B$7:$B$24,C1407,'Site Dockets'!$C$7:$C$24,F1407)&gt;0,1,0),IF(B1407="REGION LOSS",IF(COUNTIFS('Site Dockets'!$E$7:$E$24,C1407,'Site Dockets'!$C$7:$C$24,F1407)&gt;0,1,0),0))</f>
        <v>0</v>
      </c>
      <c r="L1407" s="15" t="n">
        <f aca="false">IF(J1407=1,0,Inputs!$B$11)</f>
        <v>100</v>
      </c>
      <c r="M1407" s="15" t="n">
        <f aca="false">IF(J1407=1,0,Inputs!$B$12)</f>
        <v>75</v>
      </c>
      <c r="N1407" s="15" t="n">
        <f aca="false">IF(J1407=1,0,IF(OR(AND(OR(B1407="SITE LOSS",B1407="REGION LOSS"),K1407=1),AND(B1407="ROLE COMPROMISE",H1407=C1407)),Inputs!$B$13,Inputs!$B$14))</f>
        <v>10</v>
      </c>
      <c r="O1407" s="15" t="n">
        <f aca="false">IF(J1407=1,0,Inputs!$B$13)</f>
        <v>20</v>
      </c>
      <c r="P1407" s="15" t="n">
        <f aca="false">SUM(M1407:N1407)</f>
        <v>85</v>
      </c>
      <c r="Q1407" s="15" t="n">
        <f aca="false">IF(J1407=1,"",L1407-P1407)</f>
        <v>15</v>
      </c>
      <c r="R1407" s="15" t="n">
        <f aca="false">IF(OR(J1407=1,M1407&lt;=Inputs!$B$12),1,0)</f>
        <v>1</v>
      </c>
      <c r="S1407" s="15" t="n">
        <f aca="false">IF(OR(J1407=1,N1407&lt;=O1407),1,0)</f>
        <v>1</v>
      </c>
      <c r="T1407" s="15" t="str">
        <f aca="false">IF(J1407=1,"OFFLINE",IF(AND(Q1407&gt;=Inputs!$B$15,R1407=1,S1407=1,P1407&lt;=L1407),"PASS","FAIL"))</f>
        <v>PASS</v>
      </c>
    </row>
    <row r="1408" customFormat="false" ht="15" hidden="false" customHeight="false" outlineLevel="0" collapsed="false">
      <c r="A1408" s="14" t="s">
        <v>1031</v>
      </c>
      <c r="B1408" s="14" t="s">
        <v>1019</v>
      </c>
      <c r="C1408" s="14" t="s">
        <v>190</v>
      </c>
      <c r="D1408" s="14" t="s">
        <v>204</v>
      </c>
      <c r="E1408" s="14" t="s">
        <v>161</v>
      </c>
      <c r="F1408" s="14" t="s">
        <v>199</v>
      </c>
      <c r="G1408" s="14" t="n">
        <v>3</v>
      </c>
      <c r="H1408" s="14" t="s">
        <v>158</v>
      </c>
      <c r="I1408" s="14" t="s">
        <v>895</v>
      </c>
      <c r="J1408" s="15" t="n">
        <f aca="false">IF(B1408="SITE LOSS",IF(D1408=C1408,1,0),IF(B1408="REGION LOSS",IF(E1408=C1408,1,0),0))</f>
        <v>0</v>
      </c>
      <c r="K1408" s="15" t="n">
        <f aca="false">IF(B1408="SITE LOSS",IF(COUNTIFS('Site Dockets'!$B$7:$B$24,C1408,'Site Dockets'!$C$7:$C$24,F1408)&gt;0,1,0),IF(B1408="REGION LOSS",IF(COUNTIFS('Site Dockets'!$E$7:$E$24,C1408,'Site Dockets'!$C$7:$C$24,F1408)&gt;0,1,0),0))</f>
        <v>0</v>
      </c>
      <c r="L1408" s="15" t="n">
        <f aca="false">IF(J1408=1,0,Inputs!$B$11)</f>
        <v>100</v>
      </c>
      <c r="M1408" s="15" t="n">
        <f aca="false">IF(J1408=1,0,Inputs!$B$12)</f>
        <v>75</v>
      </c>
      <c r="N1408" s="15" t="n">
        <f aca="false">IF(J1408=1,0,IF(OR(AND(OR(B1408="SITE LOSS",B1408="REGION LOSS"),K1408=1),AND(B1408="ROLE COMPROMISE",H1408=C1408)),Inputs!$B$13,Inputs!$B$14))</f>
        <v>10</v>
      </c>
      <c r="O1408" s="15" t="n">
        <f aca="false">IF(J1408=1,0,Inputs!$B$13)</f>
        <v>20</v>
      </c>
      <c r="P1408" s="15" t="n">
        <f aca="false">SUM(M1408:N1408)</f>
        <v>85</v>
      </c>
      <c r="Q1408" s="15" t="n">
        <f aca="false">IF(J1408=1,"",L1408-P1408)</f>
        <v>15</v>
      </c>
      <c r="R1408" s="15" t="n">
        <f aca="false">IF(OR(J1408=1,M1408&lt;=Inputs!$B$12),1,0)</f>
        <v>1</v>
      </c>
      <c r="S1408" s="15" t="n">
        <f aca="false">IF(OR(J1408=1,N1408&lt;=O1408),1,0)</f>
        <v>1</v>
      </c>
      <c r="T1408" s="15" t="str">
        <f aca="false">IF(J1408=1,"OFFLINE",IF(AND(Q1408&gt;=Inputs!$B$15,R1408=1,S1408=1,P1408&lt;=L1408),"PASS","FAIL"))</f>
        <v>PASS</v>
      </c>
    </row>
    <row r="1409" customFormat="false" ht="15" hidden="false" customHeight="false" outlineLevel="0" collapsed="false">
      <c r="A1409" s="14" t="s">
        <v>1031</v>
      </c>
      <c r="B1409" s="14" t="s">
        <v>1019</v>
      </c>
      <c r="C1409" s="14" t="s">
        <v>190</v>
      </c>
      <c r="D1409" s="14" t="s">
        <v>204</v>
      </c>
      <c r="E1409" s="14" t="s">
        <v>161</v>
      </c>
      <c r="F1409" s="14" t="s">
        <v>199</v>
      </c>
      <c r="G1409" s="14" t="n">
        <v>3</v>
      </c>
      <c r="H1409" s="14" t="s">
        <v>158</v>
      </c>
      <c r="I1409" s="14" t="s">
        <v>897</v>
      </c>
      <c r="J1409" s="15" t="n">
        <f aca="false">IF(B1409="SITE LOSS",IF(D1409=C1409,1,0),IF(B1409="REGION LOSS",IF(E1409=C1409,1,0),0))</f>
        <v>0</v>
      </c>
      <c r="K1409" s="15" t="n">
        <f aca="false">IF(B1409="SITE LOSS",IF(COUNTIFS('Site Dockets'!$B$7:$B$24,C1409,'Site Dockets'!$C$7:$C$24,F1409)&gt;0,1,0),IF(B1409="REGION LOSS",IF(COUNTIFS('Site Dockets'!$E$7:$E$24,C1409,'Site Dockets'!$C$7:$C$24,F1409)&gt;0,1,0),0))</f>
        <v>0</v>
      </c>
      <c r="L1409" s="15" t="n">
        <f aca="false">IF(J1409=1,0,Inputs!$B$11)</f>
        <v>100</v>
      </c>
      <c r="M1409" s="15" t="n">
        <f aca="false">IF(J1409=1,0,Inputs!$B$12)</f>
        <v>75</v>
      </c>
      <c r="N1409" s="15" t="n">
        <f aca="false">IF(J1409=1,0,IF(OR(AND(OR(B1409="SITE LOSS",B1409="REGION LOSS"),K1409=1),AND(B1409="ROLE COMPROMISE",H1409=C1409)),Inputs!$B$13,Inputs!$B$14))</f>
        <v>10</v>
      </c>
      <c r="O1409" s="15" t="n">
        <f aca="false">IF(J1409=1,0,Inputs!$B$13)</f>
        <v>20</v>
      </c>
      <c r="P1409" s="15" t="n">
        <f aca="false">SUM(M1409:N1409)</f>
        <v>85</v>
      </c>
      <c r="Q1409" s="15" t="n">
        <f aca="false">IF(J1409=1,"",L1409-P1409)</f>
        <v>15</v>
      </c>
      <c r="R1409" s="15" t="n">
        <f aca="false">IF(OR(J1409=1,M1409&lt;=Inputs!$B$12),1,0)</f>
        <v>1</v>
      </c>
      <c r="S1409" s="15" t="n">
        <f aca="false">IF(OR(J1409=1,N1409&lt;=O1409),1,0)</f>
        <v>1</v>
      </c>
      <c r="T1409" s="15" t="str">
        <f aca="false">IF(J1409=1,"OFFLINE",IF(AND(Q1409&gt;=Inputs!$B$15,R1409=1,S1409=1,P1409&lt;=L1409),"PASS","FAIL"))</f>
        <v>PASS</v>
      </c>
    </row>
    <row r="1410" customFormat="false" ht="15" hidden="false" customHeight="false" outlineLevel="0" collapsed="false">
      <c r="A1410" s="14" t="s">
        <v>1031</v>
      </c>
      <c r="B1410" s="14" t="s">
        <v>1019</v>
      </c>
      <c r="C1410" s="14" t="s">
        <v>190</v>
      </c>
      <c r="D1410" s="14" t="s">
        <v>204</v>
      </c>
      <c r="E1410" s="14" t="s">
        <v>161</v>
      </c>
      <c r="F1410" s="14" t="s">
        <v>199</v>
      </c>
      <c r="G1410" s="14" t="n">
        <v>3</v>
      </c>
      <c r="H1410" s="14" t="s">
        <v>158</v>
      </c>
      <c r="I1410" s="14" t="s">
        <v>899</v>
      </c>
      <c r="J1410" s="15" t="n">
        <f aca="false">IF(B1410="SITE LOSS",IF(D1410=C1410,1,0),IF(B1410="REGION LOSS",IF(E1410=C1410,1,0),0))</f>
        <v>0</v>
      </c>
      <c r="K1410" s="15" t="n">
        <f aca="false">IF(B1410="SITE LOSS",IF(COUNTIFS('Site Dockets'!$B$7:$B$24,C1410,'Site Dockets'!$C$7:$C$24,F1410)&gt;0,1,0),IF(B1410="REGION LOSS",IF(COUNTIFS('Site Dockets'!$E$7:$E$24,C1410,'Site Dockets'!$C$7:$C$24,F1410)&gt;0,1,0),0))</f>
        <v>0</v>
      </c>
      <c r="L1410" s="15" t="n">
        <f aca="false">IF(J1410=1,0,Inputs!$B$11)</f>
        <v>100</v>
      </c>
      <c r="M1410" s="15" t="n">
        <f aca="false">IF(J1410=1,0,Inputs!$B$12)</f>
        <v>75</v>
      </c>
      <c r="N1410" s="15" t="n">
        <f aca="false">IF(J1410=1,0,IF(OR(AND(OR(B1410="SITE LOSS",B1410="REGION LOSS"),K1410=1),AND(B1410="ROLE COMPROMISE",H1410=C1410)),Inputs!$B$13,Inputs!$B$14))</f>
        <v>10</v>
      </c>
      <c r="O1410" s="15" t="n">
        <f aca="false">IF(J1410=1,0,Inputs!$B$13)</f>
        <v>20</v>
      </c>
      <c r="P1410" s="15" t="n">
        <f aca="false">SUM(M1410:N1410)</f>
        <v>85</v>
      </c>
      <c r="Q1410" s="15" t="n">
        <f aca="false">IF(J1410=1,"",L1410-P1410)</f>
        <v>15</v>
      </c>
      <c r="R1410" s="15" t="n">
        <f aca="false">IF(OR(J1410=1,M1410&lt;=Inputs!$B$12),1,0)</f>
        <v>1</v>
      </c>
      <c r="S1410" s="15" t="n">
        <f aca="false">IF(OR(J1410=1,N1410&lt;=O1410),1,0)</f>
        <v>1</v>
      </c>
      <c r="T1410" s="15" t="str">
        <f aca="false">IF(J1410=1,"OFFLINE",IF(AND(Q1410&gt;=Inputs!$B$15,R1410=1,S1410=1,P1410&lt;=L1410),"PASS","FAIL"))</f>
        <v>PASS</v>
      </c>
    </row>
    <row r="1411" customFormat="false" ht="15" hidden="false" customHeight="false" outlineLevel="0" collapsed="false">
      <c r="A1411" s="14" t="s">
        <v>1032</v>
      </c>
      <c r="B1411" s="14" t="s">
        <v>1019</v>
      </c>
      <c r="C1411" s="14" t="s">
        <v>194</v>
      </c>
      <c r="D1411" s="14" t="s">
        <v>149</v>
      </c>
      <c r="E1411" s="14" t="s">
        <v>152</v>
      </c>
      <c r="F1411" s="14" t="s">
        <v>150</v>
      </c>
      <c r="G1411" s="14" t="n">
        <v>1</v>
      </c>
      <c r="H1411" s="14" t="s">
        <v>154</v>
      </c>
      <c r="I1411" s="14" t="s">
        <v>890</v>
      </c>
      <c r="J1411" s="15" t="n">
        <f aca="false">IF(B1411="SITE LOSS",IF(D1411=C1411,1,0),IF(B1411="REGION LOSS",IF(E1411=C1411,1,0),0))</f>
        <v>0</v>
      </c>
      <c r="K1411" s="15" t="n">
        <f aca="false">IF(B1411="SITE LOSS",IF(COUNTIFS('Site Dockets'!$B$7:$B$24,C1411,'Site Dockets'!$C$7:$C$24,F1411)&gt;0,1,0),IF(B1411="REGION LOSS",IF(COUNTIFS('Site Dockets'!$E$7:$E$24,C1411,'Site Dockets'!$C$7:$C$24,F1411)&gt;0,1,0),0))</f>
        <v>0</v>
      </c>
      <c r="L1411" s="15" t="n">
        <f aca="false">IF(J1411=1,0,Inputs!$B$11)</f>
        <v>100</v>
      </c>
      <c r="M1411" s="15" t="n">
        <f aca="false">IF(J1411=1,0,Inputs!$B$12)</f>
        <v>75</v>
      </c>
      <c r="N1411" s="15" t="n">
        <f aca="false">IF(J1411=1,0,IF(OR(AND(OR(B1411="SITE LOSS",B1411="REGION LOSS"),K1411=1),AND(B1411="ROLE COMPROMISE",H1411=C1411)),Inputs!$B$13,Inputs!$B$14))</f>
        <v>10</v>
      </c>
      <c r="O1411" s="15" t="n">
        <f aca="false">IF(J1411=1,0,Inputs!$B$13)</f>
        <v>20</v>
      </c>
      <c r="P1411" s="15" t="n">
        <f aca="false">SUM(M1411:N1411)</f>
        <v>85</v>
      </c>
      <c r="Q1411" s="15" t="n">
        <f aca="false">IF(J1411=1,"",L1411-P1411)</f>
        <v>15</v>
      </c>
      <c r="R1411" s="15" t="n">
        <f aca="false">IF(OR(J1411=1,M1411&lt;=Inputs!$B$12),1,0)</f>
        <v>1</v>
      </c>
      <c r="S1411" s="15" t="n">
        <f aca="false">IF(OR(J1411=1,N1411&lt;=O1411),1,0)</f>
        <v>1</v>
      </c>
      <c r="T1411" s="15" t="str">
        <f aca="false">IF(J1411=1,"OFFLINE",IF(AND(Q1411&gt;=Inputs!$B$15,R1411=1,S1411=1,P1411&lt;=L1411),"PASS","FAIL"))</f>
        <v>PASS</v>
      </c>
    </row>
    <row r="1412" customFormat="false" ht="15" hidden="false" customHeight="false" outlineLevel="0" collapsed="false">
      <c r="A1412" s="14" t="s">
        <v>1032</v>
      </c>
      <c r="B1412" s="14" t="s">
        <v>1019</v>
      </c>
      <c r="C1412" s="14" t="s">
        <v>194</v>
      </c>
      <c r="D1412" s="14" t="s">
        <v>149</v>
      </c>
      <c r="E1412" s="14" t="s">
        <v>152</v>
      </c>
      <c r="F1412" s="14" t="s">
        <v>150</v>
      </c>
      <c r="G1412" s="14" t="n">
        <v>1</v>
      </c>
      <c r="H1412" s="14" t="s">
        <v>154</v>
      </c>
      <c r="I1412" s="14" t="s">
        <v>892</v>
      </c>
      <c r="J1412" s="15" t="n">
        <f aca="false">IF(B1412="SITE LOSS",IF(D1412=C1412,1,0),IF(B1412="REGION LOSS",IF(E1412=C1412,1,0),0))</f>
        <v>0</v>
      </c>
      <c r="K1412" s="15" t="n">
        <f aca="false">IF(B1412="SITE LOSS",IF(COUNTIFS('Site Dockets'!$B$7:$B$24,C1412,'Site Dockets'!$C$7:$C$24,F1412)&gt;0,1,0),IF(B1412="REGION LOSS",IF(COUNTIFS('Site Dockets'!$E$7:$E$24,C1412,'Site Dockets'!$C$7:$C$24,F1412)&gt;0,1,0),0))</f>
        <v>0</v>
      </c>
      <c r="L1412" s="15" t="n">
        <f aca="false">IF(J1412=1,0,Inputs!$B$11)</f>
        <v>100</v>
      </c>
      <c r="M1412" s="15" t="n">
        <f aca="false">IF(J1412=1,0,Inputs!$B$12)</f>
        <v>75</v>
      </c>
      <c r="N1412" s="15" t="n">
        <f aca="false">IF(J1412=1,0,IF(OR(AND(OR(B1412="SITE LOSS",B1412="REGION LOSS"),K1412=1),AND(B1412="ROLE COMPROMISE",H1412=C1412)),Inputs!$B$13,Inputs!$B$14))</f>
        <v>10</v>
      </c>
      <c r="O1412" s="15" t="n">
        <f aca="false">IF(J1412=1,0,Inputs!$B$13)</f>
        <v>20</v>
      </c>
      <c r="P1412" s="15" t="n">
        <f aca="false">SUM(M1412:N1412)</f>
        <v>85</v>
      </c>
      <c r="Q1412" s="15" t="n">
        <f aca="false">IF(J1412=1,"",L1412-P1412)</f>
        <v>15</v>
      </c>
      <c r="R1412" s="15" t="n">
        <f aca="false">IF(OR(J1412=1,M1412&lt;=Inputs!$B$12),1,0)</f>
        <v>1</v>
      </c>
      <c r="S1412" s="15" t="n">
        <f aca="false">IF(OR(J1412=1,N1412&lt;=O1412),1,0)</f>
        <v>1</v>
      </c>
      <c r="T1412" s="15" t="str">
        <f aca="false">IF(J1412=1,"OFFLINE",IF(AND(Q1412&gt;=Inputs!$B$15,R1412=1,S1412=1,P1412&lt;=L1412),"PASS","FAIL"))</f>
        <v>PASS</v>
      </c>
    </row>
    <row r="1413" customFormat="false" ht="15" hidden="false" customHeight="false" outlineLevel="0" collapsed="false">
      <c r="A1413" s="14" t="s">
        <v>1032</v>
      </c>
      <c r="B1413" s="14" t="s">
        <v>1019</v>
      </c>
      <c r="C1413" s="14" t="s">
        <v>194</v>
      </c>
      <c r="D1413" s="14" t="s">
        <v>149</v>
      </c>
      <c r="E1413" s="14" t="s">
        <v>152</v>
      </c>
      <c r="F1413" s="14" t="s">
        <v>150</v>
      </c>
      <c r="G1413" s="14" t="n">
        <v>1</v>
      </c>
      <c r="H1413" s="14" t="s">
        <v>154</v>
      </c>
      <c r="I1413" s="14" t="s">
        <v>811</v>
      </c>
      <c r="J1413" s="15" t="n">
        <f aca="false">IF(B1413="SITE LOSS",IF(D1413=C1413,1,0),IF(B1413="REGION LOSS",IF(E1413=C1413,1,0),0))</f>
        <v>0</v>
      </c>
      <c r="K1413" s="15" t="n">
        <f aca="false">IF(B1413="SITE LOSS",IF(COUNTIFS('Site Dockets'!$B$7:$B$24,C1413,'Site Dockets'!$C$7:$C$24,F1413)&gt;0,1,0),IF(B1413="REGION LOSS",IF(COUNTIFS('Site Dockets'!$E$7:$E$24,C1413,'Site Dockets'!$C$7:$C$24,F1413)&gt;0,1,0),0))</f>
        <v>0</v>
      </c>
      <c r="L1413" s="15" t="n">
        <f aca="false">IF(J1413=1,0,Inputs!$B$11)</f>
        <v>100</v>
      </c>
      <c r="M1413" s="15" t="n">
        <f aca="false">IF(J1413=1,0,Inputs!$B$12)</f>
        <v>75</v>
      </c>
      <c r="N1413" s="15" t="n">
        <f aca="false">IF(J1413=1,0,IF(OR(AND(OR(B1413="SITE LOSS",B1413="REGION LOSS"),K1413=1),AND(B1413="ROLE COMPROMISE",H1413=C1413)),Inputs!$B$13,Inputs!$B$14))</f>
        <v>10</v>
      </c>
      <c r="O1413" s="15" t="n">
        <f aca="false">IF(J1413=1,0,Inputs!$B$13)</f>
        <v>20</v>
      </c>
      <c r="P1413" s="15" t="n">
        <f aca="false">SUM(M1413:N1413)</f>
        <v>85</v>
      </c>
      <c r="Q1413" s="15" t="n">
        <f aca="false">IF(J1413=1,"",L1413-P1413)</f>
        <v>15</v>
      </c>
      <c r="R1413" s="15" t="n">
        <f aca="false">IF(OR(J1413=1,M1413&lt;=Inputs!$B$12),1,0)</f>
        <v>1</v>
      </c>
      <c r="S1413" s="15" t="n">
        <f aca="false">IF(OR(J1413=1,N1413&lt;=O1413),1,0)</f>
        <v>1</v>
      </c>
      <c r="T1413" s="15" t="str">
        <f aca="false">IF(J1413=1,"OFFLINE",IF(AND(Q1413&gt;=Inputs!$B$15,R1413=1,S1413=1,P1413&lt;=L1413),"PASS","FAIL"))</f>
        <v>PASS</v>
      </c>
    </row>
    <row r="1414" customFormat="false" ht="15" hidden="false" customHeight="false" outlineLevel="0" collapsed="false">
      <c r="A1414" s="14" t="s">
        <v>1032</v>
      </c>
      <c r="B1414" s="14" t="s">
        <v>1019</v>
      </c>
      <c r="C1414" s="14" t="s">
        <v>194</v>
      </c>
      <c r="D1414" s="14" t="s">
        <v>149</v>
      </c>
      <c r="E1414" s="14" t="s">
        <v>152</v>
      </c>
      <c r="F1414" s="14" t="s">
        <v>150</v>
      </c>
      <c r="G1414" s="14" t="n">
        <v>1</v>
      </c>
      <c r="H1414" s="14" t="s">
        <v>154</v>
      </c>
      <c r="I1414" s="14" t="s">
        <v>895</v>
      </c>
      <c r="J1414" s="15" t="n">
        <f aca="false">IF(B1414="SITE LOSS",IF(D1414=C1414,1,0),IF(B1414="REGION LOSS",IF(E1414=C1414,1,0),0))</f>
        <v>0</v>
      </c>
      <c r="K1414" s="15" t="n">
        <f aca="false">IF(B1414="SITE LOSS",IF(COUNTIFS('Site Dockets'!$B$7:$B$24,C1414,'Site Dockets'!$C$7:$C$24,F1414)&gt;0,1,0),IF(B1414="REGION LOSS",IF(COUNTIFS('Site Dockets'!$E$7:$E$24,C1414,'Site Dockets'!$C$7:$C$24,F1414)&gt;0,1,0),0))</f>
        <v>0</v>
      </c>
      <c r="L1414" s="15" t="n">
        <f aca="false">IF(J1414=1,0,Inputs!$B$11)</f>
        <v>100</v>
      </c>
      <c r="M1414" s="15" t="n">
        <f aca="false">IF(J1414=1,0,Inputs!$B$12)</f>
        <v>75</v>
      </c>
      <c r="N1414" s="15" t="n">
        <f aca="false">IF(J1414=1,0,IF(OR(AND(OR(B1414="SITE LOSS",B1414="REGION LOSS"),K1414=1),AND(B1414="ROLE COMPROMISE",H1414=C1414)),Inputs!$B$13,Inputs!$B$14))</f>
        <v>10</v>
      </c>
      <c r="O1414" s="15" t="n">
        <f aca="false">IF(J1414=1,0,Inputs!$B$13)</f>
        <v>20</v>
      </c>
      <c r="P1414" s="15" t="n">
        <f aca="false">SUM(M1414:N1414)</f>
        <v>85</v>
      </c>
      <c r="Q1414" s="15" t="n">
        <f aca="false">IF(J1414=1,"",L1414-P1414)</f>
        <v>15</v>
      </c>
      <c r="R1414" s="15" t="n">
        <f aca="false">IF(OR(J1414=1,M1414&lt;=Inputs!$B$12),1,0)</f>
        <v>1</v>
      </c>
      <c r="S1414" s="15" t="n">
        <f aca="false">IF(OR(J1414=1,N1414&lt;=O1414),1,0)</f>
        <v>1</v>
      </c>
      <c r="T1414" s="15" t="str">
        <f aca="false">IF(J1414=1,"OFFLINE",IF(AND(Q1414&gt;=Inputs!$B$15,R1414=1,S1414=1,P1414&lt;=L1414),"PASS","FAIL"))</f>
        <v>PASS</v>
      </c>
    </row>
    <row r="1415" customFormat="false" ht="15" hidden="false" customHeight="false" outlineLevel="0" collapsed="false">
      <c r="A1415" s="14" t="s">
        <v>1032</v>
      </c>
      <c r="B1415" s="14" t="s">
        <v>1019</v>
      </c>
      <c r="C1415" s="14" t="s">
        <v>194</v>
      </c>
      <c r="D1415" s="14" t="s">
        <v>149</v>
      </c>
      <c r="E1415" s="14" t="s">
        <v>152</v>
      </c>
      <c r="F1415" s="14" t="s">
        <v>150</v>
      </c>
      <c r="G1415" s="14" t="n">
        <v>1</v>
      </c>
      <c r="H1415" s="14" t="s">
        <v>154</v>
      </c>
      <c r="I1415" s="14" t="s">
        <v>897</v>
      </c>
      <c r="J1415" s="15" t="n">
        <f aca="false">IF(B1415="SITE LOSS",IF(D1415=C1415,1,0),IF(B1415="REGION LOSS",IF(E1415=C1415,1,0),0))</f>
        <v>0</v>
      </c>
      <c r="K1415" s="15" t="n">
        <f aca="false">IF(B1415="SITE LOSS",IF(COUNTIFS('Site Dockets'!$B$7:$B$24,C1415,'Site Dockets'!$C$7:$C$24,F1415)&gt;0,1,0),IF(B1415="REGION LOSS",IF(COUNTIFS('Site Dockets'!$E$7:$E$24,C1415,'Site Dockets'!$C$7:$C$24,F1415)&gt;0,1,0),0))</f>
        <v>0</v>
      </c>
      <c r="L1415" s="15" t="n">
        <f aca="false">IF(J1415=1,0,Inputs!$B$11)</f>
        <v>100</v>
      </c>
      <c r="M1415" s="15" t="n">
        <f aca="false">IF(J1415=1,0,Inputs!$B$12)</f>
        <v>75</v>
      </c>
      <c r="N1415" s="15" t="n">
        <f aca="false">IF(J1415=1,0,IF(OR(AND(OR(B1415="SITE LOSS",B1415="REGION LOSS"),K1415=1),AND(B1415="ROLE COMPROMISE",H1415=C1415)),Inputs!$B$13,Inputs!$B$14))</f>
        <v>10</v>
      </c>
      <c r="O1415" s="15" t="n">
        <f aca="false">IF(J1415=1,0,Inputs!$B$13)</f>
        <v>20</v>
      </c>
      <c r="P1415" s="15" t="n">
        <f aca="false">SUM(M1415:N1415)</f>
        <v>85</v>
      </c>
      <c r="Q1415" s="15" t="n">
        <f aca="false">IF(J1415=1,"",L1415-P1415)</f>
        <v>15</v>
      </c>
      <c r="R1415" s="15" t="n">
        <f aca="false">IF(OR(J1415=1,M1415&lt;=Inputs!$B$12),1,0)</f>
        <v>1</v>
      </c>
      <c r="S1415" s="15" t="n">
        <f aca="false">IF(OR(J1415=1,N1415&lt;=O1415),1,0)</f>
        <v>1</v>
      </c>
      <c r="T1415" s="15" t="str">
        <f aca="false">IF(J1415=1,"OFFLINE",IF(AND(Q1415&gt;=Inputs!$B$15,R1415=1,S1415=1,P1415&lt;=L1415),"PASS","FAIL"))</f>
        <v>PASS</v>
      </c>
    </row>
    <row r="1416" customFormat="false" ht="15" hidden="false" customHeight="false" outlineLevel="0" collapsed="false">
      <c r="A1416" s="14" t="s">
        <v>1032</v>
      </c>
      <c r="B1416" s="14" t="s">
        <v>1019</v>
      </c>
      <c r="C1416" s="14" t="s">
        <v>194</v>
      </c>
      <c r="D1416" s="14" t="s">
        <v>149</v>
      </c>
      <c r="E1416" s="14" t="s">
        <v>152</v>
      </c>
      <c r="F1416" s="14" t="s">
        <v>150</v>
      </c>
      <c r="G1416" s="14" t="n">
        <v>1</v>
      </c>
      <c r="H1416" s="14" t="s">
        <v>154</v>
      </c>
      <c r="I1416" s="14" t="s">
        <v>899</v>
      </c>
      <c r="J1416" s="15" t="n">
        <f aca="false">IF(B1416="SITE LOSS",IF(D1416=C1416,1,0),IF(B1416="REGION LOSS",IF(E1416=C1416,1,0),0))</f>
        <v>0</v>
      </c>
      <c r="K1416" s="15" t="n">
        <f aca="false">IF(B1416="SITE LOSS",IF(COUNTIFS('Site Dockets'!$B$7:$B$24,C1416,'Site Dockets'!$C$7:$C$24,F1416)&gt;0,1,0),IF(B1416="REGION LOSS",IF(COUNTIFS('Site Dockets'!$E$7:$E$24,C1416,'Site Dockets'!$C$7:$C$24,F1416)&gt;0,1,0),0))</f>
        <v>0</v>
      </c>
      <c r="L1416" s="15" t="n">
        <f aca="false">IF(J1416=1,0,Inputs!$B$11)</f>
        <v>100</v>
      </c>
      <c r="M1416" s="15" t="n">
        <f aca="false">IF(J1416=1,0,Inputs!$B$12)</f>
        <v>75</v>
      </c>
      <c r="N1416" s="15" t="n">
        <f aca="false">IF(J1416=1,0,IF(OR(AND(OR(B1416="SITE LOSS",B1416="REGION LOSS"),K1416=1),AND(B1416="ROLE COMPROMISE",H1416=C1416)),Inputs!$B$13,Inputs!$B$14))</f>
        <v>10</v>
      </c>
      <c r="O1416" s="15" t="n">
        <f aca="false">IF(J1416=1,0,Inputs!$B$13)</f>
        <v>20</v>
      </c>
      <c r="P1416" s="15" t="n">
        <f aca="false">SUM(M1416:N1416)</f>
        <v>85</v>
      </c>
      <c r="Q1416" s="15" t="n">
        <f aca="false">IF(J1416=1,"",L1416-P1416)</f>
        <v>15</v>
      </c>
      <c r="R1416" s="15" t="n">
        <f aca="false">IF(OR(J1416=1,M1416&lt;=Inputs!$B$12),1,0)</f>
        <v>1</v>
      </c>
      <c r="S1416" s="15" t="n">
        <f aca="false">IF(OR(J1416=1,N1416&lt;=O1416),1,0)</f>
        <v>1</v>
      </c>
      <c r="T1416" s="15" t="str">
        <f aca="false">IF(J1416=1,"OFFLINE",IF(AND(Q1416&gt;=Inputs!$B$15,R1416=1,S1416=1,P1416&lt;=L1416),"PASS","FAIL"))</f>
        <v>PASS</v>
      </c>
    </row>
    <row r="1417" customFormat="false" ht="15" hidden="false" customHeight="false" outlineLevel="0" collapsed="false">
      <c r="A1417" s="14" t="s">
        <v>1032</v>
      </c>
      <c r="B1417" s="14" t="s">
        <v>1019</v>
      </c>
      <c r="C1417" s="14" t="s">
        <v>194</v>
      </c>
      <c r="D1417" s="14" t="s">
        <v>156</v>
      </c>
      <c r="E1417" s="14" t="s">
        <v>157</v>
      </c>
      <c r="F1417" s="14" t="s">
        <v>150</v>
      </c>
      <c r="G1417" s="14" t="n">
        <v>2</v>
      </c>
      <c r="H1417" s="14" t="s">
        <v>153</v>
      </c>
      <c r="I1417" s="14" t="s">
        <v>890</v>
      </c>
      <c r="J1417" s="15" t="n">
        <f aca="false">IF(B1417="SITE LOSS",IF(D1417=C1417,1,0),IF(B1417="REGION LOSS",IF(E1417=C1417,1,0),0))</f>
        <v>0</v>
      </c>
      <c r="K1417" s="15" t="n">
        <f aca="false">IF(B1417="SITE LOSS",IF(COUNTIFS('Site Dockets'!$B$7:$B$24,C1417,'Site Dockets'!$C$7:$C$24,F1417)&gt;0,1,0),IF(B1417="REGION LOSS",IF(COUNTIFS('Site Dockets'!$E$7:$E$24,C1417,'Site Dockets'!$C$7:$C$24,F1417)&gt;0,1,0),0))</f>
        <v>0</v>
      </c>
      <c r="L1417" s="15" t="n">
        <f aca="false">IF(J1417=1,0,Inputs!$B$11)</f>
        <v>100</v>
      </c>
      <c r="M1417" s="15" t="n">
        <f aca="false">IF(J1417=1,0,Inputs!$B$12)</f>
        <v>75</v>
      </c>
      <c r="N1417" s="15" t="n">
        <f aca="false">IF(J1417=1,0,IF(OR(AND(OR(B1417="SITE LOSS",B1417="REGION LOSS"),K1417=1),AND(B1417="ROLE COMPROMISE",H1417=C1417)),Inputs!$B$13,Inputs!$B$14))</f>
        <v>10</v>
      </c>
      <c r="O1417" s="15" t="n">
        <f aca="false">IF(J1417=1,0,Inputs!$B$13)</f>
        <v>20</v>
      </c>
      <c r="P1417" s="15" t="n">
        <f aca="false">SUM(M1417:N1417)</f>
        <v>85</v>
      </c>
      <c r="Q1417" s="15" t="n">
        <f aca="false">IF(J1417=1,"",L1417-P1417)</f>
        <v>15</v>
      </c>
      <c r="R1417" s="15" t="n">
        <f aca="false">IF(OR(J1417=1,M1417&lt;=Inputs!$B$12),1,0)</f>
        <v>1</v>
      </c>
      <c r="S1417" s="15" t="n">
        <f aca="false">IF(OR(J1417=1,N1417&lt;=O1417),1,0)</f>
        <v>1</v>
      </c>
      <c r="T1417" s="15" t="str">
        <f aca="false">IF(J1417=1,"OFFLINE",IF(AND(Q1417&gt;=Inputs!$B$15,R1417=1,S1417=1,P1417&lt;=L1417),"PASS","FAIL"))</f>
        <v>PASS</v>
      </c>
    </row>
    <row r="1418" customFormat="false" ht="15" hidden="false" customHeight="false" outlineLevel="0" collapsed="false">
      <c r="A1418" s="14" t="s">
        <v>1032</v>
      </c>
      <c r="B1418" s="14" t="s">
        <v>1019</v>
      </c>
      <c r="C1418" s="14" t="s">
        <v>194</v>
      </c>
      <c r="D1418" s="14" t="s">
        <v>156</v>
      </c>
      <c r="E1418" s="14" t="s">
        <v>157</v>
      </c>
      <c r="F1418" s="14" t="s">
        <v>150</v>
      </c>
      <c r="G1418" s="14" t="n">
        <v>2</v>
      </c>
      <c r="H1418" s="14" t="s">
        <v>153</v>
      </c>
      <c r="I1418" s="14" t="s">
        <v>892</v>
      </c>
      <c r="J1418" s="15" t="n">
        <f aca="false">IF(B1418="SITE LOSS",IF(D1418=C1418,1,0),IF(B1418="REGION LOSS",IF(E1418=C1418,1,0),0))</f>
        <v>0</v>
      </c>
      <c r="K1418" s="15" t="n">
        <f aca="false">IF(B1418="SITE LOSS",IF(COUNTIFS('Site Dockets'!$B$7:$B$24,C1418,'Site Dockets'!$C$7:$C$24,F1418)&gt;0,1,0),IF(B1418="REGION LOSS",IF(COUNTIFS('Site Dockets'!$E$7:$E$24,C1418,'Site Dockets'!$C$7:$C$24,F1418)&gt;0,1,0),0))</f>
        <v>0</v>
      </c>
      <c r="L1418" s="15" t="n">
        <f aca="false">IF(J1418=1,0,Inputs!$B$11)</f>
        <v>100</v>
      </c>
      <c r="M1418" s="15" t="n">
        <f aca="false">IF(J1418=1,0,Inputs!$B$12)</f>
        <v>75</v>
      </c>
      <c r="N1418" s="15" t="n">
        <f aca="false">IF(J1418=1,0,IF(OR(AND(OR(B1418="SITE LOSS",B1418="REGION LOSS"),K1418=1),AND(B1418="ROLE COMPROMISE",H1418=C1418)),Inputs!$B$13,Inputs!$B$14))</f>
        <v>10</v>
      </c>
      <c r="O1418" s="15" t="n">
        <f aca="false">IF(J1418=1,0,Inputs!$B$13)</f>
        <v>20</v>
      </c>
      <c r="P1418" s="15" t="n">
        <f aca="false">SUM(M1418:N1418)</f>
        <v>85</v>
      </c>
      <c r="Q1418" s="15" t="n">
        <f aca="false">IF(J1418=1,"",L1418-P1418)</f>
        <v>15</v>
      </c>
      <c r="R1418" s="15" t="n">
        <f aca="false">IF(OR(J1418=1,M1418&lt;=Inputs!$B$12),1,0)</f>
        <v>1</v>
      </c>
      <c r="S1418" s="15" t="n">
        <f aca="false">IF(OR(J1418=1,N1418&lt;=O1418),1,0)</f>
        <v>1</v>
      </c>
      <c r="T1418" s="15" t="str">
        <f aca="false">IF(J1418=1,"OFFLINE",IF(AND(Q1418&gt;=Inputs!$B$15,R1418=1,S1418=1,P1418&lt;=L1418),"PASS","FAIL"))</f>
        <v>PASS</v>
      </c>
    </row>
    <row r="1419" customFormat="false" ht="15" hidden="false" customHeight="false" outlineLevel="0" collapsed="false">
      <c r="A1419" s="14" t="s">
        <v>1032</v>
      </c>
      <c r="B1419" s="14" t="s">
        <v>1019</v>
      </c>
      <c r="C1419" s="14" t="s">
        <v>194</v>
      </c>
      <c r="D1419" s="14" t="s">
        <v>156</v>
      </c>
      <c r="E1419" s="14" t="s">
        <v>157</v>
      </c>
      <c r="F1419" s="14" t="s">
        <v>150</v>
      </c>
      <c r="G1419" s="14" t="n">
        <v>2</v>
      </c>
      <c r="H1419" s="14" t="s">
        <v>153</v>
      </c>
      <c r="I1419" s="14" t="s">
        <v>811</v>
      </c>
      <c r="J1419" s="15" t="n">
        <f aca="false">IF(B1419="SITE LOSS",IF(D1419=C1419,1,0),IF(B1419="REGION LOSS",IF(E1419=C1419,1,0),0))</f>
        <v>0</v>
      </c>
      <c r="K1419" s="15" t="n">
        <f aca="false">IF(B1419="SITE LOSS",IF(COUNTIFS('Site Dockets'!$B$7:$B$24,C1419,'Site Dockets'!$C$7:$C$24,F1419)&gt;0,1,0),IF(B1419="REGION LOSS",IF(COUNTIFS('Site Dockets'!$E$7:$E$24,C1419,'Site Dockets'!$C$7:$C$24,F1419)&gt;0,1,0),0))</f>
        <v>0</v>
      </c>
      <c r="L1419" s="15" t="n">
        <f aca="false">IF(J1419=1,0,Inputs!$B$11)</f>
        <v>100</v>
      </c>
      <c r="M1419" s="15" t="n">
        <f aca="false">IF(J1419=1,0,Inputs!$B$12)</f>
        <v>75</v>
      </c>
      <c r="N1419" s="15" t="n">
        <f aca="false">IF(J1419=1,0,IF(OR(AND(OR(B1419="SITE LOSS",B1419="REGION LOSS"),K1419=1),AND(B1419="ROLE COMPROMISE",H1419=C1419)),Inputs!$B$13,Inputs!$B$14))</f>
        <v>10</v>
      </c>
      <c r="O1419" s="15" t="n">
        <f aca="false">IF(J1419=1,0,Inputs!$B$13)</f>
        <v>20</v>
      </c>
      <c r="P1419" s="15" t="n">
        <f aca="false">SUM(M1419:N1419)</f>
        <v>85</v>
      </c>
      <c r="Q1419" s="15" t="n">
        <f aca="false">IF(J1419=1,"",L1419-P1419)</f>
        <v>15</v>
      </c>
      <c r="R1419" s="15" t="n">
        <f aca="false">IF(OR(J1419=1,M1419&lt;=Inputs!$B$12),1,0)</f>
        <v>1</v>
      </c>
      <c r="S1419" s="15" t="n">
        <f aca="false">IF(OR(J1419=1,N1419&lt;=O1419),1,0)</f>
        <v>1</v>
      </c>
      <c r="T1419" s="15" t="str">
        <f aca="false">IF(J1419=1,"OFFLINE",IF(AND(Q1419&gt;=Inputs!$B$15,R1419=1,S1419=1,P1419&lt;=L1419),"PASS","FAIL"))</f>
        <v>PASS</v>
      </c>
    </row>
    <row r="1420" customFormat="false" ht="15" hidden="false" customHeight="false" outlineLevel="0" collapsed="false">
      <c r="A1420" s="14" t="s">
        <v>1032</v>
      </c>
      <c r="B1420" s="14" t="s">
        <v>1019</v>
      </c>
      <c r="C1420" s="14" t="s">
        <v>194</v>
      </c>
      <c r="D1420" s="14" t="s">
        <v>156</v>
      </c>
      <c r="E1420" s="14" t="s">
        <v>157</v>
      </c>
      <c r="F1420" s="14" t="s">
        <v>150</v>
      </c>
      <c r="G1420" s="14" t="n">
        <v>2</v>
      </c>
      <c r="H1420" s="14" t="s">
        <v>153</v>
      </c>
      <c r="I1420" s="14" t="s">
        <v>895</v>
      </c>
      <c r="J1420" s="15" t="n">
        <f aca="false">IF(B1420="SITE LOSS",IF(D1420=C1420,1,0),IF(B1420="REGION LOSS",IF(E1420=C1420,1,0),0))</f>
        <v>0</v>
      </c>
      <c r="K1420" s="15" t="n">
        <f aca="false">IF(B1420="SITE LOSS",IF(COUNTIFS('Site Dockets'!$B$7:$B$24,C1420,'Site Dockets'!$C$7:$C$24,F1420)&gt;0,1,0),IF(B1420="REGION LOSS",IF(COUNTIFS('Site Dockets'!$E$7:$E$24,C1420,'Site Dockets'!$C$7:$C$24,F1420)&gt;0,1,0),0))</f>
        <v>0</v>
      </c>
      <c r="L1420" s="15" t="n">
        <f aca="false">IF(J1420=1,0,Inputs!$B$11)</f>
        <v>100</v>
      </c>
      <c r="M1420" s="15" t="n">
        <f aca="false">IF(J1420=1,0,Inputs!$B$12)</f>
        <v>75</v>
      </c>
      <c r="N1420" s="15" t="n">
        <f aca="false">IF(J1420=1,0,IF(OR(AND(OR(B1420="SITE LOSS",B1420="REGION LOSS"),K1420=1),AND(B1420="ROLE COMPROMISE",H1420=C1420)),Inputs!$B$13,Inputs!$B$14))</f>
        <v>10</v>
      </c>
      <c r="O1420" s="15" t="n">
        <f aca="false">IF(J1420=1,0,Inputs!$B$13)</f>
        <v>20</v>
      </c>
      <c r="P1420" s="15" t="n">
        <f aca="false">SUM(M1420:N1420)</f>
        <v>85</v>
      </c>
      <c r="Q1420" s="15" t="n">
        <f aca="false">IF(J1420=1,"",L1420-P1420)</f>
        <v>15</v>
      </c>
      <c r="R1420" s="15" t="n">
        <f aca="false">IF(OR(J1420=1,M1420&lt;=Inputs!$B$12),1,0)</f>
        <v>1</v>
      </c>
      <c r="S1420" s="15" t="n">
        <f aca="false">IF(OR(J1420=1,N1420&lt;=O1420),1,0)</f>
        <v>1</v>
      </c>
      <c r="T1420" s="15" t="str">
        <f aca="false">IF(J1420=1,"OFFLINE",IF(AND(Q1420&gt;=Inputs!$B$15,R1420=1,S1420=1,P1420&lt;=L1420),"PASS","FAIL"))</f>
        <v>PASS</v>
      </c>
    </row>
    <row r="1421" customFormat="false" ht="15" hidden="false" customHeight="false" outlineLevel="0" collapsed="false">
      <c r="A1421" s="14" t="s">
        <v>1032</v>
      </c>
      <c r="B1421" s="14" t="s">
        <v>1019</v>
      </c>
      <c r="C1421" s="14" t="s">
        <v>194</v>
      </c>
      <c r="D1421" s="14" t="s">
        <v>156</v>
      </c>
      <c r="E1421" s="14" t="s">
        <v>157</v>
      </c>
      <c r="F1421" s="14" t="s">
        <v>150</v>
      </c>
      <c r="G1421" s="14" t="n">
        <v>2</v>
      </c>
      <c r="H1421" s="14" t="s">
        <v>153</v>
      </c>
      <c r="I1421" s="14" t="s">
        <v>897</v>
      </c>
      <c r="J1421" s="15" t="n">
        <f aca="false">IF(B1421="SITE LOSS",IF(D1421=C1421,1,0),IF(B1421="REGION LOSS",IF(E1421=C1421,1,0),0))</f>
        <v>0</v>
      </c>
      <c r="K1421" s="15" t="n">
        <f aca="false">IF(B1421="SITE LOSS",IF(COUNTIFS('Site Dockets'!$B$7:$B$24,C1421,'Site Dockets'!$C$7:$C$24,F1421)&gt;0,1,0),IF(B1421="REGION LOSS",IF(COUNTIFS('Site Dockets'!$E$7:$E$24,C1421,'Site Dockets'!$C$7:$C$24,F1421)&gt;0,1,0),0))</f>
        <v>0</v>
      </c>
      <c r="L1421" s="15" t="n">
        <f aca="false">IF(J1421=1,0,Inputs!$B$11)</f>
        <v>100</v>
      </c>
      <c r="M1421" s="15" t="n">
        <f aca="false">IF(J1421=1,0,Inputs!$B$12)</f>
        <v>75</v>
      </c>
      <c r="N1421" s="15" t="n">
        <f aca="false">IF(J1421=1,0,IF(OR(AND(OR(B1421="SITE LOSS",B1421="REGION LOSS"),K1421=1),AND(B1421="ROLE COMPROMISE",H1421=C1421)),Inputs!$B$13,Inputs!$B$14))</f>
        <v>10</v>
      </c>
      <c r="O1421" s="15" t="n">
        <f aca="false">IF(J1421=1,0,Inputs!$B$13)</f>
        <v>20</v>
      </c>
      <c r="P1421" s="15" t="n">
        <f aca="false">SUM(M1421:N1421)</f>
        <v>85</v>
      </c>
      <c r="Q1421" s="15" t="n">
        <f aca="false">IF(J1421=1,"",L1421-P1421)</f>
        <v>15</v>
      </c>
      <c r="R1421" s="15" t="n">
        <f aca="false">IF(OR(J1421=1,M1421&lt;=Inputs!$B$12),1,0)</f>
        <v>1</v>
      </c>
      <c r="S1421" s="15" t="n">
        <f aca="false">IF(OR(J1421=1,N1421&lt;=O1421),1,0)</f>
        <v>1</v>
      </c>
      <c r="T1421" s="15" t="str">
        <f aca="false">IF(J1421=1,"OFFLINE",IF(AND(Q1421&gt;=Inputs!$B$15,R1421=1,S1421=1,P1421&lt;=L1421),"PASS","FAIL"))</f>
        <v>PASS</v>
      </c>
    </row>
    <row r="1422" customFormat="false" ht="15" hidden="false" customHeight="false" outlineLevel="0" collapsed="false">
      <c r="A1422" s="14" t="s">
        <v>1032</v>
      </c>
      <c r="B1422" s="14" t="s">
        <v>1019</v>
      </c>
      <c r="C1422" s="14" t="s">
        <v>194</v>
      </c>
      <c r="D1422" s="14" t="s">
        <v>156</v>
      </c>
      <c r="E1422" s="14" t="s">
        <v>157</v>
      </c>
      <c r="F1422" s="14" t="s">
        <v>150</v>
      </c>
      <c r="G1422" s="14" t="n">
        <v>2</v>
      </c>
      <c r="H1422" s="14" t="s">
        <v>153</v>
      </c>
      <c r="I1422" s="14" t="s">
        <v>899</v>
      </c>
      <c r="J1422" s="15" t="n">
        <f aca="false">IF(B1422="SITE LOSS",IF(D1422=C1422,1,0),IF(B1422="REGION LOSS",IF(E1422=C1422,1,0),0))</f>
        <v>0</v>
      </c>
      <c r="K1422" s="15" t="n">
        <f aca="false">IF(B1422="SITE LOSS",IF(COUNTIFS('Site Dockets'!$B$7:$B$24,C1422,'Site Dockets'!$C$7:$C$24,F1422)&gt;0,1,0),IF(B1422="REGION LOSS",IF(COUNTIFS('Site Dockets'!$E$7:$E$24,C1422,'Site Dockets'!$C$7:$C$24,F1422)&gt;0,1,0),0))</f>
        <v>0</v>
      </c>
      <c r="L1422" s="15" t="n">
        <f aca="false">IF(J1422=1,0,Inputs!$B$11)</f>
        <v>100</v>
      </c>
      <c r="M1422" s="15" t="n">
        <f aca="false">IF(J1422=1,0,Inputs!$B$12)</f>
        <v>75</v>
      </c>
      <c r="N1422" s="15" t="n">
        <f aca="false">IF(J1422=1,0,IF(OR(AND(OR(B1422="SITE LOSS",B1422="REGION LOSS"),K1422=1),AND(B1422="ROLE COMPROMISE",H1422=C1422)),Inputs!$B$13,Inputs!$B$14))</f>
        <v>10</v>
      </c>
      <c r="O1422" s="15" t="n">
        <f aca="false">IF(J1422=1,0,Inputs!$B$13)</f>
        <v>20</v>
      </c>
      <c r="P1422" s="15" t="n">
        <f aca="false">SUM(M1422:N1422)</f>
        <v>85</v>
      </c>
      <c r="Q1422" s="15" t="n">
        <f aca="false">IF(J1422=1,"",L1422-P1422)</f>
        <v>15</v>
      </c>
      <c r="R1422" s="15" t="n">
        <f aca="false">IF(OR(J1422=1,M1422&lt;=Inputs!$B$12),1,0)</f>
        <v>1</v>
      </c>
      <c r="S1422" s="15" t="n">
        <f aca="false">IF(OR(J1422=1,N1422&lt;=O1422),1,0)</f>
        <v>1</v>
      </c>
      <c r="T1422" s="15" t="str">
        <f aca="false">IF(J1422=1,"OFFLINE",IF(AND(Q1422&gt;=Inputs!$B$15,R1422=1,S1422=1,P1422&lt;=L1422),"PASS","FAIL"))</f>
        <v>PASS</v>
      </c>
    </row>
    <row r="1423" customFormat="false" ht="15" hidden="false" customHeight="false" outlineLevel="0" collapsed="false">
      <c r="A1423" s="14" t="s">
        <v>1032</v>
      </c>
      <c r="B1423" s="14" t="s">
        <v>1019</v>
      </c>
      <c r="C1423" s="14" t="s">
        <v>194</v>
      </c>
      <c r="D1423" s="14" t="s">
        <v>160</v>
      </c>
      <c r="E1423" s="14" t="s">
        <v>161</v>
      </c>
      <c r="F1423" s="14" t="s">
        <v>150</v>
      </c>
      <c r="G1423" s="14" t="n">
        <v>3</v>
      </c>
      <c r="H1423" s="14" t="s">
        <v>158</v>
      </c>
      <c r="I1423" s="14" t="s">
        <v>890</v>
      </c>
      <c r="J1423" s="15" t="n">
        <f aca="false">IF(B1423="SITE LOSS",IF(D1423=C1423,1,0),IF(B1423="REGION LOSS",IF(E1423=C1423,1,0),0))</f>
        <v>0</v>
      </c>
      <c r="K1423" s="15" t="n">
        <f aca="false">IF(B1423="SITE LOSS",IF(COUNTIFS('Site Dockets'!$B$7:$B$24,C1423,'Site Dockets'!$C$7:$C$24,F1423)&gt;0,1,0),IF(B1423="REGION LOSS",IF(COUNTIFS('Site Dockets'!$E$7:$E$24,C1423,'Site Dockets'!$C$7:$C$24,F1423)&gt;0,1,0),0))</f>
        <v>0</v>
      </c>
      <c r="L1423" s="15" t="n">
        <f aca="false">IF(J1423=1,0,Inputs!$B$11)</f>
        <v>100</v>
      </c>
      <c r="M1423" s="15" t="n">
        <f aca="false">IF(J1423=1,0,Inputs!$B$12)</f>
        <v>75</v>
      </c>
      <c r="N1423" s="15" t="n">
        <f aca="false">IF(J1423=1,0,IF(OR(AND(OR(B1423="SITE LOSS",B1423="REGION LOSS"),K1423=1),AND(B1423="ROLE COMPROMISE",H1423=C1423)),Inputs!$B$13,Inputs!$B$14))</f>
        <v>10</v>
      </c>
      <c r="O1423" s="15" t="n">
        <f aca="false">IF(J1423=1,0,Inputs!$B$13)</f>
        <v>20</v>
      </c>
      <c r="P1423" s="15" t="n">
        <f aca="false">SUM(M1423:N1423)</f>
        <v>85</v>
      </c>
      <c r="Q1423" s="15" t="n">
        <f aca="false">IF(J1423=1,"",L1423-P1423)</f>
        <v>15</v>
      </c>
      <c r="R1423" s="15" t="n">
        <f aca="false">IF(OR(J1423=1,M1423&lt;=Inputs!$B$12),1,0)</f>
        <v>1</v>
      </c>
      <c r="S1423" s="15" t="n">
        <f aca="false">IF(OR(J1423=1,N1423&lt;=O1423),1,0)</f>
        <v>1</v>
      </c>
      <c r="T1423" s="15" t="str">
        <f aca="false">IF(J1423=1,"OFFLINE",IF(AND(Q1423&gt;=Inputs!$B$15,R1423=1,S1423=1,P1423&lt;=L1423),"PASS","FAIL"))</f>
        <v>PASS</v>
      </c>
    </row>
    <row r="1424" customFormat="false" ht="15" hidden="false" customHeight="false" outlineLevel="0" collapsed="false">
      <c r="A1424" s="14" t="s">
        <v>1032</v>
      </c>
      <c r="B1424" s="14" t="s">
        <v>1019</v>
      </c>
      <c r="C1424" s="14" t="s">
        <v>194</v>
      </c>
      <c r="D1424" s="14" t="s">
        <v>160</v>
      </c>
      <c r="E1424" s="14" t="s">
        <v>161</v>
      </c>
      <c r="F1424" s="14" t="s">
        <v>150</v>
      </c>
      <c r="G1424" s="14" t="n">
        <v>3</v>
      </c>
      <c r="H1424" s="14" t="s">
        <v>158</v>
      </c>
      <c r="I1424" s="14" t="s">
        <v>892</v>
      </c>
      <c r="J1424" s="15" t="n">
        <f aca="false">IF(B1424="SITE LOSS",IF(D1424=C1424,1,0),IF(B1424="REGION LOSS",IF(E1424=C1424,1,0),0))</f>
        <v>0</v>
      </c>
      <c r="K1424" s="15" t="n">
        <f aca="false">IF(B1424="SITE LOSS",IF(COUNTIFS('Site Dockets'!$B$7:$B$24,C1424,'Site Dockets'!$C$7:$C$24,F1424)&gt;0,1,0),IF(B1424="REGION LOSS",IF(COUNTIFS('Site Dockets'!$E$7:$E$24,C1424,'Site Dockets'!$C$7:$C$24,F1424)&gt;0,1,0),0))</f>
        <v>0</v>
      </c>
      <c r="L1424" s="15" t="n">
        <f aca="false">IF(J1424=1,0,Inputs!$B$11)</f>
        <v>100</v>
      </c>
      <c r="M1424" s="15" t="n">
        <f aca="false">IF(J1424=1,0,Inputs!$B$12)</f>
        <v>75</v>
      </c>
      <c r="N1424" s="15" t="n">
        <f aca="false">IF(J1424=1,0,IF(OR(AND(OR(B1424="SITE LOSS",B1424="REGION LOSS"),K1424=1),AND(B1424="ROLE COMPROMISE",H1424=C1424)),Inputs!$B$13,Inputs!$B$14))</f>
        <v>10</v>
      </c>
      <c r="O1424" s="15" t="n">
        <f aca="false">IF(J1424=1,0,Inputs!$B$13)</f>
        <v>20</v>
      </c>
      <c r="P1424" s="15" t="n">
        <f aca="false">SUM(M1424:N1424)</f>
        <v>85</v>
      </c>
      <c r="Q1424" s="15" t="n">
        <f aca="false">IF(J1424=1,"",L1424-P1424)</f>
        <v>15</v>
      </c>
      <c r="R1424" s="15" t="n">
        <f aca="false">IF(OR(J1424=1,M1424&lt;=Inputs!$B$12),1,0)</f>
        <v>1</v>
      </c>
      <c r="S1424" s="15" t="n">
        <f aca="false">IF(OR(J1424=1,N1424&lt;=O1424),1,0)</f>
        <v>1</v>
      </c>
      <c r="T1424" s="15" t="str">
        <f aca="false">IF(J1424=1,"OFFLINE",IF(AND(Q1424&gt;=Inputs!$B$15,R1424=1,S1424=1,P1424&lt;=L1424),"PASS","FAIL"))</f>
        <v>PASS</v>
      </c>
    </row>
    <row r="1425" customFormat="false" ht="15" hidden="false" customHeight="false" outlineLevel="0" collapsed="false">
      <c r="A1425" s="14" t="s">
        <v>1032</v>
      </c>
      <c r="B1425" s="14" t="s">
        <v>1019</v>
      </c>
      <c r="C1425" s="14" t="s">
        <v>194</v>
      </c>
      <c r="D1425" s="14" t="s">
        <v>160</v>
      </c>
      <c r="E1425" s="14" t="s">
        <v>161</v>
      </c>
      <c r="F1425" s="14" t="s">
        <v>150</v>
      </c>
      <c r="G1425" s="14" t="n">
        <v>3</v>
      </c>
      <c r="H1425" s="14" t="s">
        <v>158</v>
      </c>
      <c r="I1425" s="14" t="s">
        <v>811</v>
      </c>
      <c r="J1425" s="15" t="n">
        <f aca="false">IF(B1425="SITE LOSS",IF(D1425=C1425,1,0),IF(B1425="REGION LOSS",IF(E1425=C1425,1,0),0))</f>
        <v>0</v>
      </c>
      <c r="K1425" s="15" t="n">
        <f aca="false">IF(B1425="SITE LOSS",IF(COUNTIFS('Site Dockets'!$B$7:$B$24,C1425,'Site Dockets'!$C$7:$C$24,F1425)&gt;0,1,0),IF(B1425="REGION LOSS",IF(COUNTIFS('Site Dockets'!$E$7:$E$24,C1425,'Site Dockets'!$C$7:$C$24,F1425)&gt;0,1,0),0))</f>
        <v>0</v>
      </c>
      <c r="L1425" s="15" t="n">
        <f aca="false">IF(J1425=1,0,Inputs!$B$11)</f>
        <v>100</v>
      </c>
      <c r="M1425" s="15" t="n">
        <f aca="false">IF(J1425=1,0,Inputs!$B$12)</f>
        <v>75</v>
      </c>
      <c r="N1425" s="15" t="n">
        <f aca="false">IF(J1425=1,0,IF(OR(AND(OR(B1425="SITE LOSS",B1425="REGION LOSS"),K1425=1),AND(B1425="ROLE COMPROMISE",H1425=C1425)),Inputs!$B$13,Inputs!$B$14))</f>
        <v>10</v>
      </c>
      <c r="O1425" s="15" t="n">
        <f aca="false">IF(J1425=1,0,Inputs!$B$13)</f>
        <v>20</v>
      </c>
      <c r="P1425" s="15" t="n">
        <f aca="false">SUM(M1425:N1425)</f>
        <v>85</v>
      </c>
      <c r="Q1425" s="15" t="n">
        <f aca="false">IF(J1425=1,"",L1425-P1425)</f>
        <v>15</v>
      </c>
      <c r="R1425" s="15" t="n">
        <f aca="false">IF(OR(J1425=1,M1425&lt;=Inputs!$B$12),1,0)</f>
        <v>1</v>
      </c>
      <c r="S1425" s="15" t="n">
        <f aca="false">IF(OR(J1425=1,N1425&lt;=O1425),1,0)</f>
        <v>1</v>
      </c>
      <c r="T1425" s="15" t="str">
        <f aca="false">IF(J1425=1,"OFFLINE",IF(AND(Q1425&gt;=Inputs!$B$15,R1425=1,S1425=1,P1425&lt;=L1425),"PASS","FAIL"))</f>
        <v>PASS</v>
      </c>
    </row>
    <row r="1426" customFormat="false" ht="15" hidden="false" customHeight="false" outlineLevel="0" collapsed="false">
      <c r="A1426" s="14" t="s">
        <v>1032</v>
      </c>
      <c r="B1426" s="14" t="s">
        <v>1019</v>
      </c>
      <c r="C1426" s="14" t="s">
        <v>194</v>
      </c>
      <c r="D1426" s="14" t="s">
        <v>160</v>
      </c>
      <c r="E1426" s="14" t="s">
        <v>161</v>
      </c>
      <c r="F1426" s="14" t="s">
        <v>150</v>
      </c>
      <c r="G1426" s="14" t="n">
        <v>3</v>
      </c>
      <c r="H1426" s="14" t="s">
        <v>158</v>
      </c>
      <c r="I1426" s="14" t="s">
        <v>895</v>
      </c>
      <c r="J1426" s="15" t="n">
        <f aca="false">IF(B1426="SITE LOSS",IF(D1426=C1426,1,0),IF(B1426="REGION LOSS",IF(E1426=C1426,1,0),0))</f>
        <v>0</v>
      </c>
      <c r="K1426" s="15" t="n">
        <f aca="false">IF(B1426="SITE LOSS",IF(COUNTIFS('Site Dockets'!$B$7:$B$24,C1426,'Site Dockets'!$C$7:$C$24,F1426)&gt;0,1,0),IF(B1426="REGION LOSS",IF(COUNTIFS('Site Dockets'!$E$7:$E$24,C1426,'Site Dockets'!$C$7:$C$24,F1426)&gt;0,1,0),0))</f>
        <v>0</v>
      </c>
      <c r="L1426" s="15" t="n">
        <f aca="false">IF(J1426=1,0,Inputs!$B$11)</f>
        <v>100</v>
      </c>
      <c r="M1426" s="15" t="n">
        <f aca="false">IF(J1426=1,0,Inputs!$B$12)</f>
        <v>75</v>
      </c>
      <c r="N1426" s="15" t="n">
        <f aca="false">IF(J1426=1,0,IF(OR(AND(OR(B1426="SITE LOSS",B1426="REGION LOSS"),K1426=1),AND(B1426="ROLE COMPROMISE",H1426=C1426)),Inputs!$B$13,Inputs!$B$14))</f>
        <v>10</v>
      </c>
      <c r="O1426" s="15" t="n">
        <f aca="false">IF(J1426=1,0,Inputs!$B$13)</f>
        <v>20</v>
      </c>
      <c r="P1426" s="15" t="n">
        <f aca="false">SUM(M1426:N1426)</f>
        <v>85</v>
      </c>
      <c r="Q1426" s="15" t="n">
        <f aca="false">IF(J1426=1,"",L1426-P1426)</f>
        <v>15</v>
      </c>
      <c r="R1426" s="15" t="n">
        <f aca="false">IF(OR(J1426=1,M1426&lt;=Inputs!$B$12),1,0)</f>
        <v>1</v>
      </c>
      <c r="S1426" s="15" t="n">
        <f aca="false">IF(OR(J1426=1,N1426&lt;=O1426),1,0)</f>
        <v>1</v>
      </c>
      <c r="T1426" s="15" t="str">
        <f aca="false">IF(J1426=1,"OFFLINE",IF(AND(Q1426&gt;=Inputs!$B$15,R1426=1,S1426=1,P1426&lt;=L1426),"PASS","FAIL"))</f>
        <v>PASS</v>
      </c>
    </row>
    <row r="1427" customFormat="false" ht="15" hidden="false" customHeight="false" outlineLevel="0" collapsed="false">
      <c r="A1427" s="14" t="s">
        <v>1032</v>
      </c>
      <c r="B1427" s="14" t="s">
        <v>1019</v>
      </c>
      <c r="C1427" s="14" t="s">
        <v>194</v>
      </c>
      <c r="D1427" s="14" t="s">
        <v>160</v>
      </c>
      <c r="E1427" s="14" t="s">
        <v>161</v>
      </c>
      <c r="F1427" s="14" t="s">
        <v>150</v>
      </c>
      <c r="G1427" s="14" t="n">
        <v>3</v>
      </c>
      <c r="H1427" s="14" t="s">
        <v>158</v>
      </c>
      <c r="I1427" s="14" t="s">
        <v>897</v>
      </c>
      <c r="J1427" s="15" t="n">
        <f aca="false">IF(B1427="SITE LOSS",IF(D1427=C1427,1,0),IF(B1427="REGION LOSS",IF(E1427=C1427,1,0),0))</f>
        <v>0</v>
      </c>
      <c r="K1427" s="15" t="n">
        <f aca="false">IF(B1427="SITE LOSS",IF(COUNTIFS('Site Dockets'!$B$7:$B$24,C1427,'Site Dockets'!$C$7:$C$24,F1427)&gt;0,1,0),IF(B1427="REGION LOSS",IF(COUNTIFS('Site Dockets'!$E$7:$E$24,C1427,'Site Dockets'!$C$7:$C$24,F1427)&gt;0,1,0),0))</f>
        <v>0</v>
      </c>
      <c r="L1427" s="15" t="n">
        <f aca="false">IF(J1427=1,0,Inputs!$B$11)</f>
        <v>100</v>
      </c>
      <c r="M1427" s="15" t="n">
        <f aca="false">IF(J1427=1,0,Inputs!$B$12)</f>
        <v>75</v>
      </c>
      <c r="N1427" s="15" t="n">
        <f aca="false">IF(J1427=1,0,IF(OR(AND(OR(B1427="SITE LOSS",B1427="REGION LOSS"),K1427=1),AND(B1427="ROLE COMPROMISE",H1427=C1427)),Inputs!$B$13,Inputs!$B$14))</f>
        <v>10</v>
      </c>
      <c r="O1427" s="15" t="n">
        <f aca="false">IF(J1427=1,0,Inputs!$B$13)</f>
        <v>20</v>
      </c>
      <c r="P1427" s="15" t="n">
        <f aca="false">SUM(M1427:N1427)</f>
        <v>85</v>
      </c>
      <c r="Q1427" s="15" t="n">
        <f aca="false">IF(J1427=1,"",L1427-P1427)</f>
        <v>15</v>
      </c>
      <c r="R1427" s="15" t="n">
        <f aca="false">IF(OR(J1427=1,M1427&lt;=Inputs!$B$12),1,0)</f>
        <v>1</v>
      </c>
      <c r="S1427" s="15" t="n">
        <f aca="false">IF(OR(J1427=1,N1427&lt;=O1427),1,0)</f>
        <v>1</v>
      </c>
      <c r="T1427" s="15" t="str">
        <f aca="false">IF(J1427=1,"OFFLINE",IF(AND(Q1427&gt;=Inputs!$B$15,R1427=1,S1427=1,P1427&lt;=L1427),"PASS","FAIL"))</f>
        <v>PASS</v>
      </c>
    </row>
    <row r="1428" customFormat="false" ht="15" hidden="false" customHeight="false" outlineLevel="0" collapsed="false">
      <c r="A1428" s="14" t="s">
        <v>1032</v>
      </c>
      <c r="B1428" s="14" t="s">
        <v>1019</v>
      </c>
      <c r="C1428" s="14" t="s">
        <v>194</v>
      </c>
      <c r="D1428" s="14" t="s">
        <v>160</v>
      </c>
      <c r="E1428" s="14" t="s">
        <v>161</v>
      </c>
      <c r="F1428" s="14" t="s">
        <v>150</v>
      </c>
      <c r="G1428" s="14" t="n">
        <v>3</v>
      </c>
      <c r="H1428" s="14" t="s">
        <v>158</v>
      </c>
      <c r="I1428" s="14" t="s">
        <v>899</v>
      </c>
      <c r="J1428" s="15" t="n">
        <f aca="false">IF(B1428="SITE LOSS",IF(D1428=C1428,1,0),IF(B1428="REGION LOSS",IF(E1428=C1428,1,0),0))</f>
        <v>0</v>
      </c>
      <c r="K1428" s="15" t="n">
        <f aca="false">IF(B1428="SITE LOSS",IF(COUNTIFS('Site Dockets'!$B$7:$B$24,C1428,'Site Dockets'!$C$7:$C$24,F1428)&gt;0,1,0),IF(B1428="REGION LOSS",IF(COUNTIFS('Site Dockets'!$E$7:$E$24,C1428,'Site Dockets'!$C$7:$C$24,F1428)&gt;0,1,0),0))</f>
        <v>0</v>
      </c>
      <c r="L1428" s="15" t="n">
        <f aca="false">IF(J1428=1,0,Inputs!$B$11)</f>
        <v>100</v>
      </c>
      <c r="M1428" s="15" t="n">
        <f aca="false">IF(J1428=1,0,Inputs!$B$12)</f>
        <v>75</v>
      </c>
      <c r="N1428" s="15" t="n">
        <f aca="false">IF(J1428=1,0,IF(OR(AND(OR(B1428="SITE LOSS",B1428="REGION LOSS"),K1428=1),AND(B1428="ROLE COMPROMISE",H1428=C1428)),Inputs!$B$13,Inputs!$B$14))</f>
        <v>10</v>
      </c>
      <c r="O1428" s="15" t="n">
        <f aca="false">IF(J1428=1,0,Inputs!$B$13)</f>
        <v>20</v>
      </c>
      <c r="P1428" s="15" t="n">
        <f aca="false">SUM(M1428:N1428)</f>
        <v>85</v>
      </c>
      <c r="Q1428" s="15" t="n">
        <f aca="false">IF(J1428=1,"",L1428-P1428)</f>
        <v>15</v>
      </c>
      <c r="R1428" s="15" t="n">
        <f aca="false">IF(OR(J1428=1,M1428&lt;=Inputs!$B$12),1,0)</f>
        <v>1</v>
      </c>
      <c r="S1428" s="15" t="n">
        <f aca="false">IF(OR(J1428=1,N1428&lt;=O1428),1,0)</f>
        <v>1</v>
      </c>
      <c r="T1428" s="15" t="str">
        <f aca="false">IF(J1428=1,"OFFLINE",IF(AND(Q1428&gt;=Inputs!$B$15,R1428=1,S1428=1,P1428&lt;=L1428),"PASS","FAIL"))</f>
        <v>PASS</v>
      </c>
    </row>
    <row r="1429" customFormat="false" ht="15" hidden="false" customHeight="false" outlineLevel="0" collapsed="false">
      <c r="A1429" s="14" t="s">
        <v>1032</v>
      </c>
      <c r="B1429" s="14" t="s">
        <v>1019</v>
      </c>
      <c r="C1429" s="14" t="s">
        <v>194</v>
      </c>
      <c r="D1429" s="14" t="s">
        <v>163</v>
      </c>
      <c r="E1429" s="14" t="s">
        <v>166</v>
      </c>
      <c r="F1429" s="14" t="s">
        <v>164</v>
      </c>
      <c r="G1429" s="14" t="n">
        <v>1</v>
      </c>
      <c r="H1429" s="14" t="s">
        <v>154</v>
      </c>
      <c r="I1429" s="14" t="s">
        <v>890</v>
      </c>
      <c r="J1429" s="15" t="n">
        <f aca="false">IF(B1429="SITE LOSS",IF(D1429=C1429,1,0),IF(B1429="REGION LOSS",IF(E1429=C1429,1,0),0))</f>
        <v>0</v>
      </c>
      <c r="K1429" s="15" t="n">
        <f aca="false">IF(B1429="SITE LOSS",IF(COUNTIFS('Site Dockets'!$B$7:$B$24,C1429,'Site Dockets'!$C$7:$C$24,F1429)&gt;0,1,0),IF(B1429="REGION LOSS",IF(COUNTIFS('Site Dockets'!$E$7:$E$24,C1429,'Site Dockets'!$C$7:$C$24,F1429)&gt;0,1,0),0))</f>
        <v>0</v>
      </c>
      <c r="L1429" s="15" t="n">
        <f aca="false">IF(J1429=1,0,Inputs!$B$11)</f>
        <v>100</v>
      </c>
      <c r="M1429" s="15" t="n">
        <f aca="false">IF(J1429=1,0,Inputs!$B$12)</f>
        <v>75</v>
      </c>
      <c r="N1429" s="15" t="n">
        <f aca="false">IF(J1429=1,0,IF(OR(AND(OR(B1429="SITE LOSS",B1429="REGION LOSS"),K1429=1),AND(B1429="ROLE COMPROMISE",H1429=C1429)),Inputs!$B$13,Inputs!$B$14))</f>
        <v>10</v>
      </c>
      <c r="O1429" s="15" t="n">
        <f aca="false">IF(J1429=1,0,Inputs!$B$13)</f>
        <v>20</v>
      </c>
      <c r="P1429" s="15" t="n">
        <f aca="false">SUM(M1429:N1429)</f>
        <v>85</v>
      </c>
      <c r="Q1429" s="15" t="n">
        <f aca="false">IF(J1429=1,"",L1429-P1429)</f>
        <v>15</v>
      </c>
      <c r="R1429" s="15" t="n">
        <f aca="false">IF(OR(J1429=1,M1429&lt;=Inputs!$B$12),1,0)</f>
        <v>1</v>
      </c>
      <c r="S1429" s="15" t="n">
        <f aca="false">IF(OR(J1429=1,N1429&lt;=O1429),1,0)</f>
        <v>1</v>
      </c>
      <c r="T1429" s="15" t="str">
        <f aca="false">IF(J1429=1,"OFFLINE",IF(AND(Q1429&gt;=Inputs!$B$15,R1429=1,S1429=1,P1429&lt;=L1429),"PASS","FAIL"))</f>
        <v>PASS</v>
      </c>
    </row>
    <row r="1430" customFormat="false" ht="15" hidden="false" customHeight="false" outlineLevel="0" collapsed="false">
      <c r="A1430" s="14" t="s">
        <v>1032</v>
      </c>
      <c r="B1430" s="14" t="s">
        <v>1019</v>
      </c>
      <c r="C1430" s="14" t="s">
        <v>194</v>
      </c>
      <c r="D1430" s="14" t="s">
        <v>163</v>
      </c>
      <c r="E1430" s="14" t="s">
        <v>166</v>
      </c>
      <c r="F1430" s="14" t="s">
        <v>164</v>
      </c>
      <c r="G1430" s="14" t="n">
        <v>1</v>
      </c>
      <c r="H1430" s="14" t="s">
        <v>154</v>
      </c>
      <c r="I1430" s="14" t="s">
        <v>892</v>
      </c>
      <c r="J1430" s="15" t="n">
        <f aca="false">IF(B1430="SITE LOSS",IF(D1430=C1430,1,0),IF(B1430="REGION LOSS",IF(E1430=C1430,1,0),0))</f>
        <v>0</v>
      </c>
      <c r="K1430" s="15" t="n">
        <f aca="false">IF(B1430="SITE LOSS",IF(COUNTIFS('Site Dockets'!$B$7:$B$24,C1430,'Site Dockets'!$C$7:$C$24,F1430)&gt;0,1,0),IF(B1430="REGION LOSS",IF(COUNTIFS('Site Dockets'!$E$7:$E$24,C1430,'Site Dockets'!$C$7:$C$24,F1430)&gt;0,1,0),0))</f>
        <v>0</v>
      </c>
      <c r="L1430" s="15" t="n">
        <f aca="false">IF(J1430=1,0,Inputs!$B$11)</f>
        <v>100</v>
      </c>
      <c r="M1430" s="15" t="n">
        <f aca="false">IF(J1430=1,0,Inputs!$B$12)</f>
        <v>75</v>
      </c>
      <c r="N1430" s="15" t="n">
        <f aca="false">IF(J1430=1,0,IF(OR(AND(OR(B1430="SITE LOSS",B1430="REGION LOSS"),K1430=1),AND(B1430="ROLE COMPROMISE",H1430=C1430)),Inputs!$B$13,Inputs!$B$14))</f>
        <v>10</v>
      </c>
      <c r="O1430" s="15" t="n">
        <f aca="false">IF(J1430=1,0,Inputs!$B$13)</f>
        <v>20</v>
      </c>
      <c r="P1430" s="15" t="n">
        <f aca="false">SUM(M1430:N1430)</f>
        <v>85</v>
      </c>
      <c r="Q1430" s="15" t="n">
        <f aca="false">IF(J1430=1,"",L1430-P1430)</f>
        <v>15</v>
      </c>
      <c r="R1430" s="15" t="n">
        <f aca="false">IF(OR(J1430=1,M1430&lt;=Inputs!$B$12),1,0)</f>
        <v>1</v>
      </c>
      <c r="S1430" s="15" t="n">
        <f aca="false">IF(OR(J1430=1,N1430&lt;=O1430),1,0)</f>
        <v>1</v>
      </c>
      <c r="T1430" s="15" t="str">
        <f aca="false">IF(J1430=1,"OFFLINE",IF(AND(Q1430&gt;=Inputs!$B$15,R1430=1,S1430=1,P1430&lt;=L1430),"PASS","FAIL"))</f>
        <v>PASS</v>
      </c>
    </row>
    <row r="1431" customFormat="false" ht="15" hidden="false" customHeight="false" outlineLevel="0" collapsed="false">
      <c r="A1431" s="14" t="s">
        <v>1032</v>
      </c>
      <c r="B1431" s="14" t="s">
        <v>1019</v>
      </c>
      <c r="C1431" s="14" t="s">
        <v>194</v>
      </c>
      <c r="D1431" s="14" t="s">
        <v>163</v>
      </c>
      <c r="E1431" s="14" t="s">
        <v>166</v>
      </c>
      <c r="F1431" s="14" t="s">
        <v>164</v>
      </c>
      <c r="G1431" s="14" t="n">
        <v>1</v>
      </c>
      <c r="H1431" s="14" t="s">
        <v>154</v>
      </c>
      <c r="I1431" s="14" t="s">
        <v>811</v>
      </c>
      <c r="J1431" s="15" t="n">
        <f aca="false">IF(B1431="SITE LOSS",IF(D1431=C1431,1,0),IF(B1431="REGION LOSS",IF(E1431=C1431,1,0),0))</f>
        <v>0</v>
      </c>
      <c r="K1431" s="15" t="n">
        <f aca="false">IF(B1431="SITE LOSS",IF(COUNTIFS('Site Dockets'!$B$7:$B$24,C1431,'Site Dockets'!$C$7:$C$24,F1431)&gt;0,1,0),IF(B1431="REGION LOSS",IF(COUNTIFS('Site Dockets'!$E$7:$E$24,C1431,'Site Dockets'!$C$7:$C$24,F1431)&gt;0,1,0),0))</f>
        <v>0</v>
      </c>
      <c r="L1431" s="15" t="n">
        <f aca="false">IF(J1431=1,0,Inputs!$B$11)</f>
        <v>100</v>
      </c>
      <c r="M1431" s="15" t="n">
        <f aca="false">IF(J1431=1,0,Inputs!$B$12)</f>
        <v>75</v>
      </c>
      <c r="N1431" s="15" t="n">
        <f aca="false">IF(J1431=1,0,IF(OR(AND(OR(B1431="SITE LOSS",B1431="REGION LOSS"),K1431=1),AND(B1431="ROLE COMPROMISE",H1431=C1431)),Inputs!$B$13,Inputs!$B$14))</f>
        <v>10</v>
      </c>
      <c r="O1431" s="15" t="n">
        <f aca="false">IF(J1431=1,0,Inputs!$B$13)</f>
        <v>20</v>
      </c>
      <c r="P1431" s="15" t="n">
        <f aca="false">SUM(M1431:N1431)</f>
        <v>85</v>
      </c>
      <c r="Q1431" s="15" t="n">
        <f aca="false">IF(J1431=1,"",L1431-P1431)</f>
        <v>15</v>
      </c>
      <c r="R1431" s="15" t="n">
        <f aca="false">IF(OR(J1431=1,M1431&lt;=Inputs!$B$12),1,0)</f>
        <v>1</v>
      </c>
      <c r="S1431" s="15" t="n">
        <f aca="false">IF(OR(J1431=1,N1431&lt;=O1431),1,0)</f>
        <v>1</v>
      </c>
      <c r="T1431" s="15" t="str">
        <f aca="false">IF(J1431=1,"OFFLINE",IF(AND(Q1431&gt;=Inputs!$B$15,R1431=1,S1431=1,P1431&lt;=L1431),"PASS","FAIL"))</f>
        <v>PASS</v>
      </c>
    </row>
    <row r="1432" customFormat="false" ht="15" hidden="false" customHeight="false" outlineLevel="0" collapsed="false">
      <c r="A1432" s="14" t="s">
        <v>1032</v>
      </c>
      <c r="B1432" s="14" t="s">
        <v>1019</v>
      </c>
      <c r="C1432" s="14" t="s">
        <v>194</v>
      </c>
      <c r="D1432" s="14" t="s">
        <v>163</v>
      </c>
      <c r="E1432" s="14" t="s">
        <v>166</v>
      </c>
      <c r="F1432" s="14" t="s">
        <v>164</v>
      </c>
      <c r="G1432" s="14" t="n">
        <v>1</v>
      </c>
      <c r="H1432" s="14" t="s">
        <v>154</v>
      </c>
      <c r="I1432" s="14" t="s">
        <v>895</v>
      </c>
      <c r="J1432" s="15" t="n">
        <f aca="false">IF(B1432="SITE LOSS",IF(D1432=C1432,1,0),IF(B1432="REGION LOSS",IF(E1432=C1432,1,0),0))</f>
        <v>0</v>
      </c>
      <c r="K1432" s="15" t="n">
        <f aca="false">IF(B1432="SITE LOSS",IF(COUNTIFS('Site Dockets'!$B$7:$B$24,C1432,'Site Dockets'!$C$7:$C$24,F1432)&gt;0,1,0),IF(B1432="REGION LOSS",IF(COUNTIFS('Site Dockets'!$E$7:$E$24,C1432,'Site Dockets'!$C$7:$C$24,F1432)&gt;0,1,0),0))</f>
        <v>0</v>
      </c>
      <c r="L1432" s="15" t="n">
        <f aca="false">IF(J1432=1,0,Inputs!$B$11)</f>
        <v>100</v>
      </c>
      <c r="M1432" s="15" t="n">
        <f aca="false">IF(J1432=1,0,Inputs!$B$12)</f>
        <v>75</v>
      </c>
      <c r="N1432" s="15" t="n">
        <f aca="false">IF(J1432=1,0,IF(OR(AND(OR(B1432="SITE LOSS",B1432="REGION LOSS"),K1432=1),AND(B1432="ROLE COMPROMISE",H1432=C1432)),Inputs!$B$13,Inputs!$B$14))</f>
        <v>10</v>
      </c>
      <c r="O1432" s="15" t="n">
        <f aca="false">IF(J1432=1,0,Inputs!$B$13)</f>
        <v>20</v>
      </c>
      <c r="P1432" s="15" t="n">
        <f aca="false">SUM(M1432:N1432)</f>
        <v>85</v>
      </c>
      <c r="Q1432" s="15" t="n">
        <f aca="false">IF(J1432=1,"",L1432-P1432)</f>
        <v>15</v>
      </c>
      <c r="R1432" s="15" t="n">
        <f aca="false">IF(OR(J1432=1,M1432&lt;=Inputs!$B$12),1,0)</f>
        <v>1</v>
      </c>
      <c r="S1432" s="15" t="n">
        <f aca="false">IF(OR(J1432=1,N1432&lt;=O1432),1,0)</f>
        <v>1</v>
      </c>
      <c r="T1432" s="15" t="str">
        <f aca="false">IF(J1432=1,"OFFLINE",IF(AND(Q1432&gt;=Inputs!$B$15,R1432=1,S1432=1,P1432&lt;=L1432),"PASS","FAIL"))</f>
        <v>PASS</v>
      </c>
    </row>
    <row r="1433" customFormat="false" ht="15" hidden="false" customHeight="false" outlineLevel="0" collapsed="false">
      <c r="A1433" s="14" t="s">
        <v>1032</v>
      </c>
      <c r="B1433" s="14" t="s">
        <v>1019</v>
      </c>
      <c r="C1433" s="14" t="s">
        <v>194</v>
      </c>
      <c r="D1433" s="14" t="s">
        <v>163</v>
      </c>
      <c r="E1433" s="14" t="s">
        <v>166</v>
      </c>
      <c r="F1433" s="14" t="s">
        <v>164</v>
      </c>
      <c r="G1433" s="14" t="n">
        <v>1</v>
      </c>
      <c r="H1433" s="14" t="s">
        <v>154</v>
      </c>
      <c r="I1433" s="14" t="s">
        <v>897</v>
      </c>
      <c r="J1433" s="15" t="n">
        <f aca="false">IF(B1433="SITE LOSS",IF(D1433=C1433,1,0),IF(B1433="REGION LOSS",IF(E1433=C1433,1,0),0))</f>
        <v>0</v>
      </c>
      <c r="K1433" s="15" t="n">
        <f aca="false">IF(B1433="SITE LOSS",IF(COUNTIFS('Site Dockets'!$B$7:$B$24,C1433,'Site Dockets'!$C$7:$C$24,F1433)&gt;0,1,0),IF(B1433="REGION LOSS",IF(COUNTIFS('Site Dockets'!$E$7:$E$24,C1433,'Site Dockets'!$C$7:$C$24,F1433)&gt;0,1,0),0))</f>
        <v>0</v>
      </c>
      <c r="L1433" s="15" t="n">
        <f aca="false">IF(J1433=1,0,Inputs!$B$11)</f>
        <v>100</v>
      </c>
      <c r="M1433" s="15" t="n">
        <f aca="false">IF(J1433=1,0,Inputs!$B$12)</f>
        <v>75</v>
      </c>
      <c r="N1433" s="15" t="n">
        <f aca="false">IF(J1433=1,0,IF(OR(AND(OR(B1433="SITE LOSS",B1433="REGION LOSS"),K1433=1),AND(B1433="ROLE COMPROMISE",H1433=C1433)),Inputs!$B$13,Inputs!$B$14))</f>
        <v>10</v>
      </c>
      <c r="O1433" s="15" t="n">
        <f aca="false">IF(J1433=1,0,Inputs!$B$13)</f>
        <v>20</v>
      </c>
      <c r="P1433" s="15" t="n">
        <f aca="false">SUM(M1433:N1433)</f>
        <v>85</v>
      </c>
      <c r="Q1433" s="15" t="n">
        <f aca="false">IF(J1433=1,"",L1433-P1433)</f>
        <v>15</v>
      </c>
      <c r="R1433" s="15" t="n">
        <f aca="false">IF(OR(J1433=1,M1433&lt;=Inputs!$B$12),1,0)</f>
        <v>1</v>
      </c>
      <c r="S1433" s="15" t="n">
        <f aca="false">IF(OR(J1433=1,N1433&lt;=O1433),1,0)</f>
        <v>1</v>
      </c>
      <c r="T1433" s="15" t="str">
        <f aca="false">IF(J1433=1,"OFFLINE",IF(AND(Q1433&gt;=Inputs!$B$15,R1433=1,S1433=1,P1433&lt;=L1433),"PASS","FAIL"))</f>
        <v>PASS</v>
      </c>
    </row>
    <row r="1434" customFormat="false" ht="15" hidden="false" customHeight="false" outlineLevel="0" collapsed="false">
      <c r="A1434" s="14" t="s">
        <v>1032</v>
      </c>
      <c r="B1434" s="14" t="s">
        <v>1019</v>
      </c>
      <c r="C1434" s="14" t="s">
        <v>194</v>
      </c>
      <c r="D1434" s="14" t="s">
        <v>163</v>
      </c>
      <c r="E1434" s="14" t="s">
        <v>166</v>
      </c>
      <c r="F1434" s="14" t="s">
        <v>164</v>
      </c>
      <c r="G1434" s="14" t="n">
        <v>1</v>
      </c>
      <c r="H1434" s="14" t="s">
        <v>154</v>
      </c>
      <c r="I1434" s="14" t="s">
        <v>899</v>
      </c>
      <c r="J1434" s="15" t="n">
        <f aca="false">IF(B1434="SITE LOSS",IF(D1434=C1434,1,0),IF(B1434="REGION LOSS",IF(E1434=C1434,1,0),0))</f>
        <v>0</v>
      </c>
      <c r="K1434" s="15" t="n">
        <f aca="false">IF(B1434="SITE LOSS",IF(COUNTIFS('Site Dockets'!$B$7:$B$24,C1434,'Site Dockets'!$C$7:$C$24,F1434)&gt;0,1,0),IF(B1434="REGION LOSS",IF(COUNTIFS('Site Dockets'!$E$7:$E$24,C1434,'Site Dockets'!$C$7:$C$24,F1434)&gt;0,1,0),0))</f>
        <v>0</v>
      </c>
      <c r="L1434" s="15" t="n">
        <f aca="false">IF(J1434=1,0,Inputs!$B$11)</f>
        <v>100</v>
      </c>
      <c r="M1434" s="15" t="n">
        <f aca="false">IF(J1434=1,0,Inputs!$B$12)</f>
        <v>75</v>
      </c>
      <c r="N1434" s="15" t="n">
        <f aca="false">IF(J1434=1,0,IF(OR(AND(OR(B1434="SITE LOSS",B1434="REGION LOSS"),K1434=1),AND(B1434="ROLE COMPROMISE",H1434=C1434)),Inputs!$B$13,Inputs!$B$14))</f>
        <v>10</v>
      </c>
      <c r="O1434" s="15" t="n">
        <f aca="false">IF(J1434=1,0,Inputs!$B$13)</f>
        <v>20</v>
      </c>
      <c r="P1434" s="15" t="n">
        <f aca="false">SUM(M1434:N1434)</f>
        <v>85</v>
      </c>
      <c r="Q1434" s="15" t="n">
        <f aca="false">IF(J1434=1,"",L1434-P1434)</f>
        <v>15</v>
      </c>
      <c r="R1434" s="15" t="n">
        <f aca="false">IF(OR(J1434=1,M1434&lt;=Inputs!$B$12),1,0)</f>
        <v>1</v>
      </c>
      <c r="S1434" s="15" t="n">
        <f aca="false">IF(OR(J1434=1,N1434&lt;=O1434),1,0)</f>
        <v>1</v>
      </c>
      <c r="T1434" s="15" t="str">
        <f aca="false">IF(J1434=1,"OFFLINE",IF(AND(Q1434&gt;=Inputs!$B$15,R1434=1,S1434=1,P1434&lt;=L1434),"PASS","FAIL"))</f>
        <v>PASS</v>
      </c>
    </row>
    <row r="1435" customFormat="false" ht="15" hidden="false" customHeight="false" outlineLevel="0" collapsed="false">
      <c r="A1435" s="14" t="s">
        <v>1032</v>
      </c>
      <c r="B1435" s="14" t="s">
        <v>1019</v>
      </c>
      <c r="C1435" s="14" t="s">
        <v>194</v>
      </c>
      <c r="D1435" s="14" t="s">
        <v>168</v>
      </c>
      <c r="E1435" s="14" t="s">
        <v>169</v>
      </c>
      <c r="F1435" s="14" t="s">
        <v>164</v>
      </c>
      <c r="G1435" s="14" t="n">
        <v>2</v>
      </c>
      <c r="H1435" s="14" t="s">
        <v>153</v>
      </c>
      <c r="I1435" s="14" t="s">
        <v>890</v>
      </c>
      <c r="J1435" s="15" t="n">
        <f aca="false">IF(B1435="SITE LOSS",IF(D1435=C1435,1,0),IF(B1435="REGION LOSS",IF(E1435=C1435,1,0),0))</f>
        <v>0</v>
      </c>
      <c r="K1435" s="15" t="n">
        <f aca="false">IF(B1435="SITE LOSS",IF(COUNTIFS('Site Dockets'!$B$7:$B$24,C1435,'Site Dockets'!$C$7:$C$24,F1435)&gt;0,1,0),IF(B1435="REGION LOSS",IF(COUNTIFS('Site Dockets'!$E$7:$E$24,C1435,'Site Dockets'!$C$7:$C$24,F1435)&gt;0,1,0),0))</f>
        <v>0</v>
      </c>
      <c r="L1435" s="15" t="n">
        <f aca="false">IF(J1435=1,0,Inputs!$B$11)</f>
        <v>100</v>
      </c>
      <c r="M1435" s="15" t="n">
        <f aca="false">IF(J1435=1,0,Inputs!$B$12)</f>
        <v>75</v>
      </c>
      <c r="N1435" s="15" t="n">
        <f aca="false">IF(J1435=1,0,IF(OR(AND(OR(B1435="SITE LOSS",B1435="REGION LOSS"),K1435=1),AND(B1435="ROLE COMPROMISE",H1435=C1435)),Inputs!$B$13,Inputs!$B$14))</f>
        <v>10</v>
      </c>
      <c r="O1435" s="15" t="n">
        <f aca="false">IF(J1435=1,0,Inputs!$B$13)</f>
        <v>20</v>
      </c>
      <c r="P1435" s="15" t="n">
        <f aca="false">SUM(M1435:N1435)</f>
        <v>85</v>
      </c>
      <c r="Q1435" s="15" t="n">
        <f aca="false">IF(J1435=1,"",L1435-P1435)</f>
        <v>15</v>
      </c>
      <c r="R1435" s="15" t="n">
        <f aca="false">IF(OR(J1435=1,M1435&lt;=Inputs!$B$12),1,0)</f>
        <v>1</v>
      </c>
      <c r="S1435" s="15" t="n">
        <f aca="false">IF(OR(J1435=1,N1435&lt;=O1435),1,0)</f>
        <v>1</v>
      </c>
      <c r="T1435" s="15" t="str">
        <f aca="false">IF(J1435=1,"OFFLINE",IF(AND(Q1435&gt;=Inputs!$B$15,R1435=1,S1435=1,P1435&lt;=L1435),"PASS","FAIL"))</f>
        <v>PASS</v>
      </c>
    </row>
    <row r="1436" customFormat="false" ht="15" hidden="false" customHeight="false" outlineLevel="0" collapsed="false">
      <c r="A1436" s="14" t="s">
        <v>1032</v>
      </c>
      <c r="B1436" s="14" t="s">
        <v>1019</v>
      </c>
      <c r="C1436" s="14" t="s">
        <v>194</v>
      </c>
      <c r="D1436" s="14" t="s">
        <v>168</v>
      </c>
      <c r="E1436" s="14" t="s">
        <v>169</v>
      </c>
      <c r="F1436" s="14" t="s">
        <v>164</v>
      </c>
      <c r="G1436" s="14" t="n">
        <v>2</v>
      </c>
      <c r="H1436" s="14" t="s">
        <v>153</v>
      </c>
      <c r="I1436" s="14" t="s">
        <v>892</v>
      </c>
      <c r="J1436" s="15" t="n">
        <f aca="false">IF(B1436="SITE LOSS",IF(D1436=C1436,1,0),IF(B1436="REGION LOSS",IF(E1436=C1436,1,0),0))</f>
        <v>0</v>
      </c>
      <c r="K1436" s="15" t="n">
        <f aca="false">IF(B1436="SITE LOSS",IF(COUNTIFS('Site Dockets'!$B$7:$B$24,C1436,'Site Dockets'!$C$7:$C$24,F1436)&gt;0,1,0),IF(B1436="REGION LOSS",IF(COUNTIFS('Site Dockets'!$E$7:$E$24,C1436,'Site Dockets'!$C$7:$C$24,F1436)&gt;0,1,0),0))</f>
        <v>0</v>
      </c>
      <c r="L1436" s="15" t="n">
        <f aca="false">IF(J1436=1,0,Inputs!$B$11)</f>
        <v>100</v>
      </c>
      <c r="M1436" s="15" t="n">
        <f aca="false">IF(J1436=1,0,Inputs!$B$12)</f>
        <v>75</v>
      </c>
      <c r="N1436" s="15" t="n">
        <f aca="false">IF(J1436=1,0,IF(OR(AND(OR(B1436="SITE LOSS",B1436="REGION LOSS"),K1436=1),AND(B1436="ROLE COMPROMISE",H1436=C1436)),Inputs!$B$13,Inputs!$B$14))</f>
        <v>10</v>
      </c>
      <c r="O1436" s="15" t="n">
        <f aca="false">IF(J1436=1,0,Inputs!$B$13)</f>
        <v>20</v>
      </c>
      <c r="P1436" s="15" t="n">
        <f aca="false">SUM(M1436:N1436)</f>
        <v>85</v>
      </c>
      <c r="Q1436" s="15" t="n">
        <f aca="false">IF(J1436=1,"",L1436-P1436)</f>
        <v>15</v>
      </c>
      <c r="R1436" s="15" t="n">
        <f aca="false">IF(OR(J1436=1,M1436&lt;=Inputs!$B$12),1,0)</f>
        <v>1</v>
      </c>
      <c r="S1436" s="15" t="n">
        <f aca="false">IF(OR(J1436=1,N1436&lt;=O1436),1,0)</f>
        <v>1</v>
      </c>
      <c r="T1436" s="15" t="str">
        <f aca="false">IF(J1436=1,"OFFLINE",IF(AND(Q1436&gt;=Inputs!$B$15,R1436=1,S1436=1,P1436&lt;=L1436),"PASS","FAIL"))</f>
        <v>PASS</v>
      </c>
    </row>
    <row r="1437" customFormat="false" ht="15" hidden="false" customHeight="false" outlineLevel="0" collapsed="false">
      <c r="A1437" s="14" t="s">
        <v>1032</v>
      </c>
      <c r="B1437" s="14" t="s">
        <v>1019</v>
      </c>
      <c r="C1437" s="14" t="s">
        <v>194</v>
      </c>
      <c r="D1437" s="14" t="s">
        <v>168</v>
      </c>
      <c r="E1437" s="14" t="s">
        <v>169</v>
      </c>
      <c r="F1437" s="14" t="s">
        <v>164</v>
      </c>
      <c r="G1437" s="14" t="n">
        <v>2</v>
      </c>
      <c r="H1437" s="14" t="s">
        <v>153</v>
      </c>
      <c r="I1437" s="14" t="s">
        <v>811</v>
      </c>
      <c r="J1437" s="15" t="n">
        <f aca="false">IF(B1437="SITE LOSS",IF(D1437=C1437,1,0),IF(B1437="REGION LOSS",IF(E1437=C1437,1,0),0))</f>
        <v>0</v>
      </c>
      <c r="K1437" s="15" t="n">
        <f aca="false">IF(B1437="SITE LOSS",IF(COUNTIFS('Site Dockets'!$B$7:$B$24,C1437,'Site Dockets'!$C$7:$C$24,F1437)&gt;0,1,0),IF(B1437="REGION LOSS",IF(COUNTIFS('Site Dockets'!$E$7:$E$24,C1437,'Site Dockets'!$C$7:$C$24,F1437)&gt;0,1,0),0))</f>
        <v>0</v>
      </c>
      <c r="L1437" s="15" t="n">
        <f aca="false">IF(J1437=1,0,Inputs!$B$11)</f>
        <v>100</v>
      </c>
      <c r="M1437" s="15" t="n">
        <f aca="false">IF(J1437=1,0,Inputs!$B$12)</f>
        <v>75</v>
      </c>
      <c r="N1437" s="15" t="n">
        <f aca="false">IF(J1437=1,0,IF(OR(AND(OR(B1437="SITE LOSS",B1437="REGION LOSS"),K1437=1),AND(B1437="ROLE COMPROMISE",H1437=C1437)),Inputs!$B$13,Inputs!$B$14))</f>
        <v>10</v>
      </c>
      <c r="O1437" s="15" t="n">
        <f aca="false">IF(J1437=1,0,Inputs!$B$13)</f>
        <v>20</v>
      </c>
      <c r="P1437" s="15" t="n">
        <f aca="false">SUM(M1437:N1437)</f>
        <v>85</v>
      </c>
      <c r="Q1437" s="15" t="n">
        <f aca="false">IF(J1437=1,"",L1437-P1437)</f>
        <v>15</v>
      </c>
      <c r="R1437" s="15" t="n">
        <f aca="false">IF(OR(J1437=1,M1437&lt;=Inputs!$B$12),1,0)</f>
        <v>1</v>
      </c>
      <c r="S1437" s="15" t="n">
        <f aca="false">IF(OR(J1437=1,N1437&lt;=O1437),1,0)</f>
        <v>1</v>
      </c>
      <c r="T1437" s="15" t="str">
        <f aca="false">IF(J1437=1,"OFFLINE",IF(AND(Q1437&gt;=Inputs!$B$15,R1437=1,S1437=1,P1437&lt;=L1437),"PASS","FAIL"))</f>
        <v>PASS</v>
      </c>
    </row>
    <row r="1438" customFormat="false" ht="15" hidden="false" customHeight="false" outlineLevel="0" collapsed="false">
      <c r="A1438" s="14" t="s">
        <v>1032</v>
      </c>
      <c r="B1438" s="14" t="s">
        <v>1019</v>
      </c>
      <c r="C1438" s="14" t="s">
        <v>194</v>
      </c>
      <c r="D1438" s="14" t="s">
        <v>168</v>
      </c>
      <c r="E1438" s="14" t="s">
        <v>169</v>
      </c>
      <c r="F1438" s="14" t="s">
        <v>164</v>
      </c>
      <c r="G1438" s="14" t="n">
        <v>2</v>
      </c>
      <c r="H1438" s="14" t="s">
        <v>153</v>
      </c>
      <c r="I1438" s="14" t="s">
        <v>895</v>
      </c>
      <c r="J1438" s="15" t="n">
        <f aca="false">IF(B1438="SITE LOSS",IF(D1438=C1438,1,0),IF(B1438="REGION LOSS",IF(E1438=C1438,1,0),0))</f>
        <v>0</v>
      </c>
      <c r="K1438" s="15" t="n">
        <f aca="false">IF(B1438="SITE LOSS",IF(COUNTIFS('Site Dockets'!$B$7:$B$24,C1438,'Site Dockets'!$C$7:$C$24,F1438)&gt;0,1,0),IF(B1438="REGION LOSS",IF(COUNTIFS('Site Dockets'!$E$7:$E$24,C1438,'Site Dockets'!$C$7:$C$24,F1438)&gt;0,1,0),0))</f>
        <v>0</v>
      </c>
      <c r="L1438" s="15" t="n">
        <f aca="false">IF(J1438=1,0,Inputs!$B$11)</f>
        <v>100</v>
      </c>
      <c r="M1438" s="15" t="n">
        <f aca="false">IF(J1438=1,0,Inputs!$B$12)</f>
        <v>75</v>
      </c>
      <c r="N1438" s="15" t="n">
        <f aca="false">IF(J1438=1,0,IF(OR(AND(OR(B1438="SITE LOSS",B1438="REGION LOSS"),K1438=1),AND(B1438="ROLE COMPROMISE",H1438=C1438)),Inputs!$B$13,Inputs!$B$14))</f>
        <v>10</v>
      </c>
      <c r="O1438" s="15" t="n">
        <f aca="false">IF(J1438=1,0,Inputs!$B$13)</f>
        <v>20</v>
      </c>
      <c r="P1438" s="15" t="n">
        <f aca="false">SUM(M1438:N1438)</f>
        <v>85</v>
      </c>
      <c r="Q1438" s="15" t="n">
        <f aca="false">IF(J1438=1,"",L1438-P1438)</f>
        <v>15</v>
      </c>
      <c r="R1438" s="15" t="n">
        <f aca="false">IF(OR(J1438=1,M1438&lt;=Inputs!$B$12),1,0)</f>
        <v>1</v>
      </c>
      <c r="S1438" s="15" t="n">
        <f aca="false">IF(OR(J1438=1,N1438&lt;=O1438),1,0)</f>
        <v>1</v>
      </c>
      <c r="T1438" s="15" t="str">
        <f aca="false">IF(J1438=1,"OFFLINE",IF(AND(Q1438&gt;=Inputs!$B$15,R1438=1,S1438=1,P1438&lt;=L1438),"PASS","FAIL"))</f>
        <v>PASS</v>
      </c>
    </row>
    <row r="1439" customFormat="false" ht="15" hidden="false" customHeight="false" outlineLevel="0" collapsed="false">
      <c r="A1439" s="14" t="s">
        <v>1032</v>
      </c>
      <c r="B1439" s="14" t="s">
        <v>1019</v>
      </c>
      <c r="C1439" s="14" t="s">
        <v>194</v>
      </c>
      <c r="D1439" s="14" t="s">
        <v>168</v>
      </c>
      <c r="E1439" s="14" t="s">
        <v>169</v>
      </c>
      <c r="F1439" s="14" t="s">
        <v>164</v>
      </c>
      <c r="G1439" s="14" t="n">
        <v>2</v>
      </c>
      <c r="H1439" s="14" t="s">
        <v>153</v>
      </c>
      <c r="I1439" s="14" t="s">
        <v>897</v>
      </c>
      <c r="J1439" s="15" t="n">
        <f aca="false">IF(B1439="SITE LOSS",IF(D1439=C1439,1,0),IF(B1439="REGION LOSS",IF(E1439=C1439,1,0),0))</f>
        <v>0</v>
      </c>
      <c r="K1439" s="15" t="n">
        <f aca="false">IF(B1439="SITE LOSS",IF(COUNTIFS('Site Dockets'!$B$7:$B$24,C1439,'Site Dockets'!$C$7:$C$24,F1439)&gt;0,1,0),IF(B1439="REGION LOSS",IF(COUNTIFS('Site Dockets'!$E$7:$E$24,C1439,'Site Dockets'!$C$7:$C$24,F1439)&gt;0,1,0),0))</f>
        <v>0</v>
      </c>
      <c r="L1439" s="15" t="n">
        <f aca="false">IF(J1439=1,0,Inputs!$B$11)</f>
        <v>100</v>
      </c>
      <c r="M1439" s="15" t="n">
        <f aca="false">IF(J1439=1,0,Inputs!$B$12)</f>
        <v>75</v>
      </c>
      <c r="N1439" s="15" t="n">
        <f aca="false">IF(J1439=1,0,IF(OR(AND(OR(B1439="SITE LOSS",B1439="REGION LOSS"),K1439=1),AND(B1439="ROLE COMPROMISE",H1439=C1439)),Inputs!$B$13,Inputs!$B$14))</f>
        <v>10</v>
      </c>
      <c r="O1439" s="15" t="n">
        <f aca="false">IF(J1439=1,0,Inputs!$B$13)</f>
        <v>20</v>
      </c>
      <c r="P1439" s="15" t="n">
        <f aca="false">SUM(M1439:N1439)</f>
        <v>85</v>
      </c>
      <c r="Q1439" s="15" t="n">
        <f aca="false">IF(J1439=1,"",L1439-P1439)</f>
        <v>15</v>
      </c>
      <c r="R1439" s="15" t="n">
        <f aca="false">IF(OR(J1439=1,M1439&lt;=Inputs!$B$12),1,0)</f>
        <v>1</v>
      </c>
      <c r="S1439" s="15" t="n">
        <f aca="false">IF(OR(J1439=1,N1439&lt;=O1439),1,0)</f>
        <v>1</v>
      </c>
      <c r="T1439" s="15" t="str">
        <f aca="false">IF(J1439=1,"OFFLINE",IF(AND(Q1439&gt;=Inputs!$B$15,R1439=1,S1439=1,P1439&lt;=L1439),"PASS","FAIL"))</f>
        <v>PASS</v>
      </c>
    </row>
    <row r="1440" customFormat="false" ht="15" hidden="false" customHeight="false" outlineLevel="0" collapsed="false">
      <c r="A1440" s="14" t="s">
        <v>1032</v>
      </c>
      <c r="B1440" s="14" t="s">
        <v>1019</v>
      </c>
      <c r="C1440" s="14" t="s">
        <v>194</v>
      </c>
      <c r="D1440" s="14" t="s">
        <v>168</v>
      </c>
      <c r="E1440" s="14" t="s">
        <v>169</v>
      </c>
      <c r="F1440" s="14" t="s">
        <v>164</v>
      </c>
      <c r="G1440" s="14" t="n">
        <v>2</v>
      </c>
      <c r="H1440" s="14" t="s">
        <v>153</v>
      </c>
      <c r="I1440" s="14" t="s">
        <v>899</v>
      </c>
      <c r="J1440" s="15" t="n">
        <f aca="false">IF(B1440="SITE LOSS",IF(D1440=C1440,1,0),IF(B1440="REGION LOSS",IF(E1440=C1440,1,0),0))</f>
        <v>0</v>
      </c>
      <c r="K1440" s="15" t="n">
        <f aca="false">IF(B1440="SITE LOSS",IF(COUNTIFS('Site Dockets'!$B$7:$B$24,C1440,'Site Dockets'!$C$7:$C$24,F1440)&gt;0,1,0),IF(B1440="REGION LOSS",IF(COUNTIFS('Site Dockets'!$E$7:$E$24,C1440,'Site Dockets'!$C$7:$C$24,F1440)&gt;0,1,0),0))</f>
        <v>0</v>
      </c>
      <c r="L1440" s="15" t="n">
        <f aca="false">IF(J1440=1,0,Inputs!$B$11)</f>
        <v>100</v>
      </c>
      <c r="M1440" s="15" t="n">
        <f aca="false">IF(J1440=1,0,Inputs!$B$12)</f>
        <v>75</v>
      </c>
      <c r="N1440" s="15" t="n">
        <f aca="false">IF(J1440=1,0,IF(OR(AND(OR(B1440="SITE LOSS",B1440="REGION LOSS"),K1440=1),AND(B1440="ROLE COMPROMISE",H1440=C1440)),Inputs!$B$13,Inputs!$B$14))</f>
        <v>10</v>
      </c>
      <c r="O1440" s="15" t="n">
        <f aca="false">IF(J1440=1,0,Inputs!$B$13)</f>
        <v>20</v>
      </c>
      <c r="P1440" s="15" t="n">
        <f aca="false">SUM(M1440:N1440)</f>
        <v>85</v>
      </c>
      <c r="Q1440" s="15" t="n">
        <f aca="false">IF(J1440=1,"",L1440-P1440)</f>
        <v>15</v>
      </c>
      <c r="R1440" s="15" t="n">
        <f aca="false">IF(OR(J1440=1,M1440&lt;=Inputs!$B$12),1,0)</f>
        <v>1</v>
      </c>
      <c r="S1440" s="15" t="n">
        <f aca="false">IF(OR(J1440=1,N1440&lt;=O1440),1,0)</f>
        <v>1</v>
      </c>
      <c r="T1440" s="15" t="str">
        <f aca="false">IF(J1440=1,"OFFLINE",IF(AND(Q1440&gt;=Inputs!$B$15,R1440=1,S1440=1,P1440&lt;=L1440),"PASS","FAIL"))</f>
        <v>PASS</v>
      </c>
    </row>
    <row r="1441" customFormat="false" ht="15" hidden="false" customHeight="false" outlineLevel="0" collapsed="false">
      <c r="A1441" s="14" t="s">
        <v>1032</v>
      </c>
      <c r="B1441" s="14" t="s">
        <v>1019</v>
      </c>
      <c r="C1441" s="14" t="s">
        <v>194</v>
      </c>
      <c r="D1441" s="14" t="s">
        <v>171</v>
      </c>
      <c r="E1441" s="14" t="s">
        <v>172</v>
      </c>
      <c r="F1441" s="14" t="s">
        <v>164</v>
      </c>
      <c r="G1441" s="14" t="n">
        <v>3</v>
      </c>
      <c r="H1441" s="14" t="s">
        <v>158</v>
      </c>
      <c r="I1441" s="14" t="s">
        <v>890</v>
      </c>
      <c r="J1441" s="15" t="n">
        <f aca="false">IF(B1441="SITE LOSS",IF(D1441=C1441,1,0),IF(B1441="REGION LOSS",IF(E1441=C1441,1,0),0))</f>
        <v>0</v>
      </c>
      <c r="K1441" s="15" t="n">
        <f aca="false">IF(B1441="SITE LOSS",IF(COUNTIFS('Site Dockets'!$B$7:$B$24,C1441,'Site Dockets'!$C$7:$C$24,F1441)&gt;0,1,0),IF(B1441="REGION LOSS",IF(COUNTIFS('Site Dockets'!$E$7:$E$24,C1441,'Site Dockets'!$C$7:$C$24,F1441)&gt;0,1,0),0))</f>
        <v>0</v>
      </c>
      <c r="L1441" s="15" t="n">
        <f aca="false">IF(J1441=1,0,Inputs!$B$11)</f>
        <v>100</v>
      </c>
      <c r="M1441" s="15" t="n">
        <f aca="false">IF(J1441=1,0,Inputs!$B$12)</f>
        <v>75</v>
      </c>
      <c r="N1441" s="15" t="n">
        <f aca="false">IF(J1441=1,0,IF(OR(AND(OR(B1441="SITE LOSS",B1441="REGION LOSS"),K1441=1),AND(B1441="ROLE COMPROMISE",H1441=C1441)),Inputs!$B$13,Inputs!$B$14))</f>
        <v>10</v>
      </c>
      <c r="O1441" s="15" t="n">
        <f aca="false">IF(J1441=1,0,Inputs!$B$13)</f>
        <v>20</v>
      </c>
      <c r="P1441" s="15" t="n">
        <f aca="false">SUM(M1441:N1441)</f>
        <v>85</v>
      </c>
      <c r="Q1441" s="15" t="n">
        <f aca="false">IF(J1441=1,"",L1441-P1441)</f>
        <v>15</v>
      </c>
      <c r="R1441" s="15" t="n">
        <f aca="false">IF(OR(J1441=1,M1441&lt;=Inputs!$B$12),1,0)</f>
        <v>1</v>
      </c>
      <c r="S1441" s="15" t="n">
        <f aca="false">IF(OR(J1441=1,N1441&lt;=O1441),1,0)</f>
        <v>1</v>
      </c>
      <c r="T1441" s="15" t="str">
        <f aca="false">IF(J1441=1,"OFFLINE",IF(AND(Q1441&gt;=Inputs!$B$15,R1441=1,S1441=1,P1441&lt;=L1441),"PASS","FAIL"))</f>
        <v>PASS</v>
      </c>
    </row>
    <row r="1442" customFormat="false" ht="15" hidden="false" customHeight="false" outlineLevel="0" collapsed="false">
      <c r="A1442" s="14" t="s">
        <v>1032</v>
      </c>
      <c r="B1442" s="14" t="s">
        <v>1019</v>
      </c>
      <c r="C1442" s="14" t="s">
        <v>194</v>
      </c>
      <c r="D1442" s="14" t="s">
        <v>171</v>
      </c>
      <c r="E1442" s="14" t="s">
        <v>172</v>
      </c>
      <c r="F1442" s="14" t="s">
        <v>164</v>
      </c>
      <c r="G1442" s="14" t="n">
        <v>3</v>
      </c>
      <c r="H1442" s="14" t="s">
        <v>158</v>
      </c>
      <c r="I1442" s="14" t="s">
        <v>892</v>
      </c>
      <c r="J1442" s="15" t="n">
        <f aca="false">IF(B1442="SITE LOSS",IF(D1442=C1442,1,0),IF(B1442="REGION LOSS",IF(E1442=C1442,1,0),0))</f>
        <v>0</v>
      </c>
      <c r="K1442" s="15" t="n">
        <f aca="false">IF(B1442="SITE LOSS",IF(COUNTIFS('Site Dockets'!$B$7:$B$24,C1442,'Site Dockets'!$C$7:$C$24,F1442)&gt;0,1,0),IF(B1442="REGION LOSS",IF(COUNTIFS('Site Dockets'!$E$7:$E$24,C1442,'Site Dockets'!$C$7:$C$24,F1442)&gt;0,1,0),0))</f>
        <v>0</v>
      </c>
      <c r="L1442" s="15" t="n">
        <f aca="false">IF(J1442=1,0,Inputs!$B$11)</f>
        <v>100</v>
      </c>
      <c r="M1442" s="15" t="n">
        <f aca="false">IF(J1442=1,0,Inputs!$B$12)</f>
        <v>75</v>
      </c>
      <c r="N1442" s="15" t="n">
        <f aca="false">IF(J1442=1,0,IF(OR(AND(OR(B1442="SITE LOSS",B1442="REGION LOSS"),K1442=1),AND(B1442="ROLE COMPROMISE",H1442=C1442)),Inputs!$B$13,Inputs!$B$14))</f>
        <v>10</v>
      </c>
      <c r="O1442" s="15" t="n">
        <f aca="false">IF(J1442=1,0,Inputs!$B$13)</f>
        <v>20</v>
      </c>
      <c r="P1442" s="15" t="n">
        <f aca="false">SUM(M1442:N1442)</f>
        <v>85</v>
      </c>
      <c r="Q1442" s="15" t="n">
        <f aca="false">IF(J1442=1,"",L1442-P1442)</f>
        <v>15</v>
      </c>
      <c r="R1442" s="15" t="n">
        <f aca="false">IF(OR(J1442=1,M1442&lt;=Inputs!$B$12),1,0)</f>
        <v>1</v>
      </c>
      <c r="S1442" s="15" t="n">
        <f aca="false">IF(OR(J1442=1,N1442&lt;=O1442),1,0)</f>
        <v>1</v>
      </c>
      <c r="T1442" s="15" t="str">
        <f aca="false">IF(J1442=1,"OFFLINE",IF(AND(Q1442&gt;=Inputs!$B$15,R1442=1,S1442=1,P1442&lt;=L1442),"PASS","FAIL"))</f>
        <v>PASS</v>
      </c>
    </row>
    <row r="1443" customFormat="false" ht="15" hidden="false" customHeight="false" outlineLevel="0" collapsed="false">
      <c r="A1443" s="14" t="s">
        <v>1032</v>
      </c>
      <c r="B1443" s="14" t="s">
        <v>1019</v>
      </c>
      <c r="C1443" s="14" t="s">
        <v>194</v>
      </c>
      <c r="D1443" s="14" t="s">
        <v>171</v>
      </c>
      <c r="E1443" s="14" t="s">
        <v>172</v>
      </c>
      <c r="F1443" s="14" t="s">
        <v>164</v>
      </c>
      <c r="G1443" s="14" t="n">
        <v>3</v>
      </c>
      <c r="H1443" s="14" t="s">
        <v>158</v>
      </c>
      <c r="I1443" s="14" t="s">
        <v>811</v>
      </c>
      <c r="J1443" s="15" t="n">
        <f aca="false">IF(B1443="SITE LOSS",IF(D1443=C1443,1,0),IF(B1443="REGION LOSS",IF(E1443=C1443,1,0),0))</f>
        <v>0</v>
      </c>
      <c r="K1443" s="15" t="n">
        <f aca="false">IF(B1443="SITE LOSS",IF(COUNTIFS('Site Dockets'!$B$7:$B$24,C1443,'Site Dockets'!$C$7:$C$24,F1443)&gt;0,1,0),IF(B1443="REGION LOSS",IF(COUNTIFS('Site Dockets'!$E$7:$E$24,C1443,'Site Dockets'!$C$7:$C$24,F1443)&gt;0,1,0),0))</f>
        <v>0</v>
      </c>
      <c r="L1443" s="15" t="n">
        <f aca="false">IF(J1443=1,0,Inputs!$B$11)</f>
        <v>100</v>
      </c>
      <c r="M1443" s="15" t="n">
        <f aca="false">IF(J1443=1,0,Inputs!$B$12)</f>
        <v>75</v>
      </c>
      <c r="N1443" s="15" t="n">
        <f aca="false">IF(J1443=1,0,IF(OR(AND(OR(B1443="SITE LOSS",B1443="REGION LOSS"),K1443=1),AND(B1443="ROLE COMPROMISE",H1443=C1443)),Inputs!$B$13,Inputs!$B$14))</f>
        <v>10</v>
      </c>
      <c r="O1443" s="15" t="n">
        <f aca="false">IF(J1443=1,0,Inputs!$B$13)</f>
        <v>20</v>
      </c>
      <c r="P1443" s="15" t="n">
        <f aca="false">SUM(M1443:N1443)</f>
        <v>85</v>
      </c>
      <c r="Q1443" s="15" t="n">
        <f aca="false">IF(J1443=1,"",L1443-P1443)</f>
        <v>15</v>
      </c>
      <c r="R1443" s="15" t="n">
        <f aca="false">IF(OR(J1443=1,M1443&lt;=Inputs!$B$12),1,0)</f>
        <v>1</v>
      </c>
      <c r="S1443" s="15" t="n">
        <f aca="false">IF(OR(J1443=1,N1443&lt;=O1443),1,0)</f>
        <v>1</v>
      </c>
      <c r="T1443" s="15" t="str">
        <f aca="false">IF(J1443=1,"OFFLINE",IF(AND(Q1443&gt;=Inputs!$B$15,R1443=1,S1443=1,P1443&lt;=L1443),"PASS","FAIL"))</f>
        <v>PASS</v>
      </c>
    </row>
    <row r="1444" customFormat="false" ht="15" hidden="false" customHeight="false" outlineLevel="0" collapsed="false">
      <c r="A1444" s="14" t="s">
        <v>1032</v>
      </c>
      <c r="B1444" s="14" t="s">
        <v>1019</v>
      </c>
      <c r="C1444" s="14" t="s">
        <v>194</v>
      </c>
      <c r="D1444" s="14" t="s">
        <v>171</v>
      </c>
      <c r="E1444" s="14" t="s">
        <v>172</v>
      </c>
      <c r="F1444" s="14" t="s">
        <v>164</v>
      </c>
      <c r="G1444" s="14" t="n">
        <v>3</v>
      </c>
      <c r="H1444" s="14" t="s">
        <v>158</v>
      </c>
      <c r="I1444" s="14" t="s">
        <v>895</v>
      </c>
      <c r="J1444" s="15" t="n">
        <f aca="false">IF(B1444="SITE LOSS",IF(D1444=C1444,1,0),IF(B1444="REGION LOSS",IF(E1444=C1444,1,0),0))</f>
        <v>0</v>
      </c>
      <c r="K1444" s="15" t="n">
        <f aca="false">IF(B1444="SITE LOSS",IF(COUNTIFS('Site Dockets'!$B$7:$B$24,C1444,'Site Dockets'!$C$7:$C$24,F1444)&gt;0,1,0),IF(B1444="REGION LOSS",IF(COUNTIFS('Site Dockets'!$E$7:$E$24,C1444,'Site Dockets'!$C$7:$C$24,F1444)&gt;0,1,0),0))</f>
        <v>0</v>
      </c>
      <c r="L1444" s="15" t="n">
        <f aca="false">IF(J1444=1,0,Inputs!$B$11)</f>
        <v>100</v>
      </c>
      <c r="M1444" s="15" t="n">
        <f aca="false">IF(J1444=1,0,Inputs!$B$12)</f>
        <v>75</v>
      </c>
      <c r="N1444" s="15" t="n">
        <f aca="false">IF(J1444=1,0,IF(OR(AND(OR(B1444="SITE LOSS",B1444="REGION LOSS"),K1444=1),AND(B1444="ROLE COMPROMISE",H1444=C1444)),Inputs!$B$13,Inputs!$B$14))</f>
        <v>10</v>
      </c>
      <c r="O1444" s="15" t="n">
        <f aca="false">IF(J1444=1,0,Inputs!$B$13)</f>
        <v>20</v>
      </c>
      <c r="P1444" s="15" t="n">
        <f aca="false">SUM(M1444:N1444)</f>
        <v>85</v>
      </c>
      <c r="Q1444" s="15" t="n">
        <f aca="false">IF(J1444=1,"",L1444-P1444)</f>
        <v>15</v>
      </c>
      <c r="R1444" s="15" t="n">
        <f aca="false">IF(OR(J1444=1,M1444&lt;=Inputs!$B$12),1,0)</f>
        <v>1</v>
      </c>
      <c r="S1444" s="15" t="n">
        <f aca="false">IF(OR(J1444=1,N1444&lt;=O1444),1,0)</f>
        <v>1</v>
      </c>
      <c r="T1444" s="15" t="str">
        <f aca="false">IF(J1444=1,"OFFLINE",IF(AND(Q1444&gt;=Inputs!$B$15,R1444=1,S1444=1,P1444&lt;=L1444),"PASS","FAIL"))</f>
        <v>PASS</v>
      </c>
    </row>
    <row r="1445" customFormat="false" ht="15" hidden="false" customHeight="false" outlineLevel="0" collapsed="false">
      <c r="A1445" s="14" t="s">
        <v>1032</v>
      </c>
      <c r="B1445" s="14" t="s">
        <v>1019</v>
      </c>
      <c r="C1445" s="14" t="s">
        <v>194</v>
      </c>
      <c r="D1445" s="14" t="s">
        <v>171</v>
      </c>
      <c r="E1445" s="14" t="s">
        <v>172</v>
      </c>
      <c r="F1445" s="14" t="s">
        <v>164</v>
      </c>
      <c r="G1445" s="14" t="n">
        <v>3</v>
      </c>
      <c r="H1445" s="14" t="s">
        <v>158</v>
      </c>
      <c r="I1445" s="14" t="s">
        <v>897</v>
      </c>
      <c r="J1445" s="15" t="n">
        <f aca="false">IF(B1445="SITE LOSS",IF(D1445=C1445,1,0),IF(B1445="REGION LOSS",IF(E1445=C1445,1,0),0))</f>
        <v>0</v>
      </c>
      <c r="K1445" s="15" t="n">
        <f aca="false">IF(B1445="SITE LOSS",IF(COUNTIFS('Site Dockets'!$B$7:$B$24,C1445,'Site Dockets'!$C$7:$C$24,F1445)&gt;0,1,0),IF(B1445="REGION LOSS",IF(COUNTIFS('Site Dockets'!$E$7:$E$24,C1445,'Site Dockets'!$C$7:$C$24,F1445)&gt;0,1,0),0))</f>
        <v>0</v>
      </c>
      <c r="L1445" s="15" t="n">
        <f aca="false">IF(J1445=1,0,Inputs!$B$11)</f>
        <v>100</v>
      </c>
      <c r="M1445" s="15" t="n">
        <f aca="false">IF(J1445=1,0,Inputs!$B$12)</f>
        <v>75</v>
      </c>
      <c r="N1445" s="15" t="n">
        <f aca="false">IF(J1445=1,0,IF(OR(AND(OR(B1445="SITE LOSS",B1445="REGION LOSS"),K1445=1),AND(B1445="ROLE COMPROMISE",H1445=C1445)),Inputs!$B$13,Inputs!$B$14))</f>
        <v>10</v>
      </c>
      <c r="O1445" s="15" t="n">
        <f aca="false">IF(J1445=1,0,Inputs!$B$13)</f>
        <v>20</v>
      </c>
      <c r="P1445" s="15" t="n">
        <f aca="false">SUM(M1445:N1445)</f>
        <v>85</v>
      </c>
      <c r="Q1445" s="15" t="n">
        <f aca="false">IF(J1445=1,"",L1445-P1445)</f>
        <v>15</v>
      </c>
      <c r="R1445" s="15" t="n">
        <f aca="false">IF(OR(J1445=1,M1445&lt;=Inputs!$B$12),1,0)</f>
        <v>1</v>
      </c>
      <c r="S1445" s="15" t="n">
        <f aca="false">IF(OR(J1445=1,N1445&lt;=O1445),1,0)</f>
        <v>1</v>
      </c>
      <c r="T1445" s="15" t="str">
        <f aca="false">IF(J1445=1,"OFFLINE",IF(AND(Q1445&gt;=Inputs!$B$15,R1445=1,S1445=1,P1445&lt;=L1445),"PASS","FAIL"))</f>
        <v>PASS</v>
      </c>
    </row>
    <row r="1446" customFormat="false" ht="15" hidden="false" customHeight="false" outlineLevel="0" collapsed="false">
      <c r="A1446" s="14" t="s">
        <v>1032</v>
      </c>
      <c r="B1446" s="14" t="s">
        <v>1019</v>
      </c>
      <c r="C1446" s="14" t="s">
        <v>194</v>
      </c>
      <c r="D1446" s="14" t="s">
        <v>171</v>
      </c>
      <c r="E1446" s="14" t="s">
        <v>172</v>
      </c>
      <c r="F1446" s="14" t="s">
        <v>164</v>
      </c>
      <c r="G1446" s="14" t="n">
        <v>3</v>
      </c>
      <c r="H1446" s="14" t="s">
        <v>158</v>
      </c>
      <c r="I1446" s="14" t="s">
        <v>899</v>
      </c>
      <c r="J1446" s="15" t="n">
        <f aca="false">IF(B1446="SITE LOSS",IF(D1446=C1446,1,0),IF(B1446="REGION LOSS",IF(E1446=C1446,1,0),0))</f>
        <v>0</v>
      </c>
      <c r="K1446" s="15" t="n">
        <f aca="false">IF(B1446="SITE LOSS",IF(COUNTIFS('Site Dockets'!$B$7:$B$24,C1446,'Site Dockets'!$C$7:$C$24,F1446)&gt;0,1,0),IF(B1446="REGION LOSS",IF(COUNTIFS('Site Dockets'!$E$7:$E$24,C1446,'Site Dockets'!$C$7:$C$24,F1446)&gt;0,1,0),0))</f>
        <v>0</v>
      </c>
      <c r="L1446" s="15" t="n">
        <f aca="false">IF(J1446=1,0,Inputs!$B$11)</f>
        <v>100</v>
      </c>
      <c r="M1446" s="15" t="n">
        <f aca="false">IF(J1446=1,0,Inputs!$B$12)</f>
        <v>75</v>
      </c>
      <c r="N1446" s="15" t="n">
        <f aca="false">IF(J1446=1,0,IF(OR(AND(OR(B1446="SITE LOSS",B1446="REGION LOSS"),K1446=1),AND(B1446="ROLE COMPROMISE",H1446=C1446)),Inputs!$B$13,Inputs!$B$14))</f>
        <v>10</v>
      </c>
      <c r="O1446" s="15" t="n">
        <f aca="false">IF(J1446=1,0,Inputs!$B$13)</f>
        <v>20</v>
      </c>
      <c r="P1446" s="15" t="n">
        <f aca="false">SUM(M1446:N1446)</f>
        <v>85</v>
      </c>
      <c r="Q1446" s="15" t="n">
        <f aca="false">IF(J1446=1,"",L1446-P1446)</f>
        <v>15</v>
      </c>
      <c r="R1446" s="15" t="n">
        <f aca="false">IF(OR(J1446=1,M1446&lt;=Inputs!$B$12),1,0)</f>
        <v>1</v>
      </c>
      <c r="S1446" s="15" t="n">
        <f aca="false">IF(OR(J1446=1,N1446&lt;=O1446),1,0)</f>
        <v>1</v>
      </c>
      <c r="T1446" s="15" t="str">
        <f aca="false">IF(J1446=1,"OFFLINE",IF(AND(Q1446&gt;=Inputs!$B$15,R1446=1,S1446=1,P1446&lt;=L1446),"PASS","FAIL"))</f>
        <v>PASS</v>
      </c>
    </row>
    <row r="1447" customFormat="false" ht="15" hidden="false" customHeight="false" outlineLevel="0" collapsed="false">
      <c r="A1447" s="14" t="s">
        <v>1032</v>
      </c>
      <c r="B1447" s="14" t="s">
        <v>1019</v>
      </c>
      <c r="C1447" s="14" t="s">
        <v>194</v>
      </c>
      <c r="D1447" s="14" t="s">
        <v>174</v>
      </c>
      <c r="E1447" s="14" t="s">
        <v>152</v>
      </c>
      <c r="F1447" s="14" t="s">
        <v>175</v>
      </c>
      <c r="G1447" s="14" t="n">
        <v>1</v>
      </c>
      <c r="H1447" s="14" t="s">
        <v>154</v>
      </c>
      <c r="I1447" s="14" t="s">
        <v>890</v>
      </c>
      <c r="J1447" s="15" t="n">
        <f aca="false">IF(B1447="SITE LOSS",IF(D1447=C1447,1,0),IF(B1447="REGION LOSS",IF(E1447=C1447,1,0),0))</f>
        <v>0</v>
      </c>
      <c r="K1447" s="15" t="n">
        <f aca="false">IF(B1447="SITE LOSS",IF(COUNTIFS('Site Dockets'!$B$7:$B$24,C1447,'Site Dockets'!$C$7:$C$24,F1447)&gt;0,1,0),IF(B1447="REGION LOSS",IF(COUNTIFS('Site Dockets'!$E$7:$E$24,C1447,'Site Dockets'!$C$7:$C$24,F1447)&gt;0,1,0),0))</f>
        <v>0</v>
      </c>
      <c r="L1447" s="15" t="n">
        <f aca="false">IF(J1447=1,0,Inputs!$B$11)</f>
        <v>100</v>
      </c>
      <c r="M1447" s="15" t="n">
        <f aca="false">IF(J1447=1,0,Inputs!$B$12)</f>
        <v>75</v>
      </c>
      <c r="N1447" s="15" t="n">
        <f aca="false">IF(J1447=1,0,IF(OR(AND(OR(B1447="SITE LOSS",B1447="REGION LOSS"),K1447=1),AND(B1447="ROLE COMPROMISE",H1447=C1447)),Inputs!$B$13,Inputs!$B$14))</f>
        <v>10</v>
      </c>
      <c r="O1447" s="15" t="n">
        <f aca="false">IF(J1447=1,0,Inputs!$B$13)</f>
        <v>20</v>
      </c>
      <c r="P1447" s="15" t="n">
        <f aca="false">SUM(M1447:N1447)</f>
        <v>85</v>
      </c>
      <c r="Q1447" s="15" t="n">
        <f aca="false">IF(J1447=1,"",L1447-P1447)</f>
        <v>15</v>
      </c>
      <c r="R1447" s="15" t="n">
        <f aca="false">IF(OR(J1447=1,M1447&lt;=Inputs!$B$12),1,0)</f>
        <v>1</v>
      </c>
      <c r="S1447" s="15" t="n">
        <f aca="false">IF(OR(J1447=1,N1447&lt;=O1447),1,0)</f>
        <v>1</v>
      </c>
      <c r="T1447" s="15" t="str">
        <f aca="false">IF(J1447=1,"OFFLINE",IF(AND(Q1447&gt;=Inputs!$B$15,R1447=1,S1447=1,P1447&lt;=L1447),"PASS","FAIL"))</f>
        <v>PASS</v>
      </c>
    </row>
    <row r="1448" customFormat="false" ht="15" hidden="false" customHeight="false" outlineLevel="0" collapsed="false">
      <c r="A1448" s="14" t="s">
        <v>1032</v>
      </c>
      <c r="B1448" s="14" t="s">
        <v>1019</v>
      </c>
      <c r="C1448" s="14" t="s">
        <v>194</v>
      </c>
      <c r="D1448" s="14" t="s">
        <v>174</v>
      </c>
      <c r="E1448" s="14" t="s">
        <v>152</v>
      </c>
      <c r="F1448" s="14" t="s">
        <v>175</v>
      </c>
      <c r="G1448" s="14" t="n">
        <v>1</v>
      </c>
      <c r="H1448" s="14" t="s">
        <v>154</v>
      </c>
      <c r="I1448" s="14" t="s">
        <v>892</v>
      </c>
      <c r="J1448" s="15" t="n">
        <f aca="false">IF(B1448="SITE LOSS",IF(D1448=C1448,1,0),IF(B1448="REGION LOSS",IF(E1448=C1448,1,0),0))</f>
        <v>0</v>
      </c>
      <c r="K1448" s="15" t="n">
        <f aca="false">IF(B1448="SITE LOSS",IF(COUNTIFS('Site Dockets'!$B$7:$B$24,C1448,'Site Dockets'!$C$7:$C$24,F1448)&gt;0,1,0),IF(B1448="REGION LOSS",IF(COUNTIFS('Site Dockets'!$E$7:$E$24,C1448,'Site Dockets'!$C$7:$C$24,F1448)&gt;0,1,0),0))</f>
        <v>0</v>
      </c>
      <c r="L1448" s="15" t="n">
        <f aca="false">IF(J1448=1,0,Inputs!$B$11)</f>
        <v>100</v>
      </c>
      <c r="M1448" s="15" t="n">
        <f aca="false">IF(J1448=1,0,Inputs!$B$12)</f>
        <v>75</v>
      </c>
      <c r="N1448" s="15" t="n">
        <f aca="false">IF(J1448=1,0,IF(OR(AND(OR(B1448="SITE LOSS",B1448="REGION LOSS"),K1448=1),AND(B1448="ROLE COMPROMISE",H1448=C1448)),Inputs!$B$13,Inputs!$B$14))</f>
        <v>10</v>
      </c>
      <c r="O1448" s="15" t="n">
        <f aca="false">IF(J1448=1,0,Inputs!$B$13)</f>
        <v>20</v>
      </c>
      <c r="P1448" s="15" t="n">
        <f aca="false">SUM(M1448:N1448)</f>
        <v>85</v>
      </c>
      <c r="Q1448" s="15" t="n">
        <f aca="false">IF(J1448=1,"",L1448-P1448)</f>
        <v>15</v>
      </c>
      <c r="R1448" s="15" t="n">
        <f aca="false">IF(OR(J1448=1,M1448&lt;=Inputs!$B$12),1,0)</f>
        <v>1</v>
      </c>
      <c r="S1448" s="15" t="n">
        <f aca="false">IF(OR(J1448=1,N1448&lt;=O1448),1,0)</f>
        <v>1</v>
      </c>
      <c r="T1448" s="15" t="str">
        <f aca="false">IF(J1448=1,"OFFLINE",IF(AND(Q1448&gt;=Inputs!$B$15,R1448=1,S1448=1,P1448&lt;=L1448),"PASS","FAIL"))</f>
        <v>PASS</v>
      </c>
    </row>
    <row r="1449" customFormat="false" ht="15" hidden="false" customHeight="false" outlineLevel="0" collapsed="false">
      <c r="A1449" s="14" t="s">
        <v>1032</v>
      </c>
      <c r="B1449" s="14" t="s">
        <v>1019</v>
      </c>
      <c r="C1449" s="14" t="s">
        <v>194</v>
      </c>
      <c r="D1449" s="14" t="s">
        <v>174</v>
      </c>
      <c r="E1449" s="14" t="s">
        <v>152</v>
      </c>
      <c r="F1449" s="14" t="s">
        <v>175</v>
      </c>
      <c r="G1449" s="14" t="n">
        <v>1</v>
      </c>
      <c r="H1449" s="14" t="s">
        <v>154</v>
      </c>
      <c r="I1449" s="14" t="s">
        <v>811</v>
      </c>
      <c r="J1449" s="15" t="n">
        <f aca="false">IF(B1449="SITE LOSS",IF(D1449=C1449,1,0),IF(B1449="REGION LOSS",IF(E1449=C1449,1,0),0))</f>
        <v>0</v>
      </c>
      <c r="K1449" s="15" t="n">
        <f aca="false">IF(B1449="SITE LOSS",IF(COUNTIFS('Site Dockets'!$B$7:$B$24,C1449,'Site Dockets'!$C$7:$C$24,F1449)&gt;0,1,0),IF(B1449="REGION LOSS",IF(COUNTIFS('Site Dockets'!$E$7:$E$24,C1449,'Site Dockets'!$C$7:$C$24,F1449)&gt;0,1,0),0))</f>
        <v>0</v>
      </c>
      <c r="L1449" s="15" t="n">
        <f aca="false">IF(J1449=1,0,Inputs!$B$11)</f>
        <v>100</v>
      </c>
      <c r="M1449" s="15" t="n">
        <f aca="false">IF(J1449=1,0,Inputs!$B$12)</f>
        <v>75</v>
      </c>
      <c r="N1449" s="15" t="n">
        <f aca="false">IF(J1449=1,0,IF(OR(AND(OR(B1449="SITE LOSS",B1449="REGION LOSS"),K1449=1),AND(B1449="ROLE COMPROMISE",H1449=C1449)),Inputs!$B$13,Inputs!$B$14))</f>
        <v>10</v>
      </c>
      <c r="O1449" s="15" t="n">
        <f aca="false">IF(J1449=1,0,Inputs!$B$13)</f>
        <v>20</v>
      </c>
      <c r="P1449" s="15" t="n">
        <f aca="false">SUM(M1449:N1449)</f>
        <v>85</v>
      </c>
      <c r="Q1449" s="15" t="n">
        <f aca="false">IF(J1449=1,"",L1449-P1449)</f>
        <v>15</v>
      </c>
      <c r="R1449" s="15" t="n">
        <f aca="false">IF(OR(J1449=1,M1449&lt;=Inputs!$B$12),1,0)</f>
        <v>1</v>
      </c>
      <c r="S1449" s="15" t="n">
        <f aca="false">IF(OR(J1449=1,N1449&lt;=O1449),1,0)</f>
        <v>1</v>
      </c>
      <c r="T1449" s="15" t="str">
        <f aca="false">IF(J1449=1,"OFFLINE",IF(AND(Q1449&gt;=Inputs!$B$15,R1449=1,S1449=1,P1449&lt;=L1449),"PASS","FAIL"))</f>
        <v>PASS</v>
      </c>
    </row>
    <row r="1450" customFormat="false" ht="15" hidden="false" customHeight="false" outlineLevel="0" collapsed="false">
      <c r="A1450" s="14" t="s">
        <v>1032</v>
      </c>
      <c r="B1450" s="14" t="s">
        <v>1019</v>
      </c>
      <c r="C1450" s="14" t="s">
        <v>194</v>
      </c>
      <c r="D1450" s="14" t="s">
        <v>174</v>
      </c>
      <c r="E1450" s="14" t="s">
        <v>152</v>
      </c>
      <c r="F1450" s="14" t="s">
        <v>175</v>
      </c>
      <c r="G1450" s="14" t="n">
        <v>1</v>
      </c>
      <c r="H1450" s="14" t="s">
        <v>154</v>
      </c>
      <c r="I1450" s="14" t="s">
        <v>895</v>
      </c>
      <c r="J1450" s="15" t="n">
        <f aca="false">IF(B1450="SITE LOSS",IF(D1450=C1450,1,0),IF(B1450="REGION LOSS",IF(E1450=C1450,1,0),0))</f>
        <v>0</v>
      </c>
      <c r="K1450" s="15" t="n">
        <f aca="false">IF(B1450="SITE LOSS",IF(COUNTIFS('Site Dockets'!$B$7:$B$24,C1450,'Site Dockets'!$C$7:$C$24,F1450)&gt;0,1,0),IF(B1450="REGION LOSS",IF(COUNTIFS('Site Dockets'!$E$7:$E$24,C1450,'Site Dockets'!$C$7:$C$24,F1450)&gt;0,1,0),0))</f>
        <v>0</v>
      </c>
      <c r="L1450" s="15" t="n">
        <f aca="false">IF(J1450=1,0,Inputs!$B$11)</f>
        <v>100</v>
      </c>
      <c r="M1450" s="15" t="n">
        <f aca="false">IF(J1450=1,0,Inputs!$B$12)</f>
        <v>75</v>
      </c>
      <c r="N1450" s="15" t="n">
        <f aca="false">IF(J1450=1,0,IF(OR(AND(OR(B1450="SITE LOSS",B1450="REGION LOSS"),K1450=1),AND(B1450="ROLE COMPROMISE",H1450=C1450)),Inputs!$B$13,Inputs!$B$14))</f>
        <v>10</v>
      </c>
      <c r="O1450" s="15" t="n">
        <f aca="false">IF(J1450=1,0,Inputs!$B$13)</f>
        <v>20</v>
      </c>
      <c r="P1450" s="15" t="n">
        <f aca="false">SUM(M1450:N1450)</f>
        <v>85</v>
      </c>
      <c r="Q1450" s="15" t="n">
        <f aca="false">IF(J1450=1,"",L1450-P1450)</f>
        <v>15</v>
      </c>
      <c r="R1450" s="15" t="n">
        <f aca="false">IF(OR(J1450=1,M1450&lt;=Inputs!$B$12),1,0)</f>
        <v>1</v>
      </c>
      <c r="S1450" s="15" t="n">
        <f aca="false">IF(OR(J1450=1,N1450&lt;=O1450),1,0)</f>
        <v>1</v>
      </c>
      <c r="T1450" s="15" t="str">
        <f aca="false">IF(J1450=1,"OFFLINE",IF(AND(Q1450&gt;=Inputs!$B$15,R1450=1,S1450=1,P1450&lt;=L1450),"PASS","FAIL"))</f>
        <v>PASS</v>
      </c>
    </row>
    <row r="1451" customFormat="false" ht="15" hidden="false" customHeight="false" outlineLevel="0" collapsed="false">
      <c r="A1451" s="14" t="s">
        <v>1032</v>
      </c>
      <c r="B1451" s="14" t="s">
        <v>1019</v>
      </c>
      <c r="C1451" s="14" t="s">
        <v>194</v>
      </c>
      <c r="D1451" s="14" t="s">
        <v>174</v>
      </c>
      <c r="E1451" s="14" t="s">
        <v>152</v>
      </c>
      <c r="F1451" s="14" t="s">
        <v>175</v>
      </c>
      <c r="G1451" s="14" t="n">
        <v>1</v>
      </c>
      <c r="H1451" s="14" t="s">
        <v>154</v>
      </c>
      <c r="I1451" s="14" t="s">
        <v>897</v>
      </c>
      <c r="J1451" s="15" t="n">
        <f aca="false">IF(B1451="SITE LOSS",IF(D1451=C1451,1,0),IF(B1451="REGION LOSS",IF(E1451=C1451,1,0),0))</f>
        <v>0</v>
      </c>
      <c r="K1451" s="15" t="n">
        <f aca="false">IF(B1451="SITE LOSS",IF(COUNTIFS('Site Dockets'!$B$7:$B$24,C1451,'Site Dockets'!$C$7:$C$24,F1451)&gt;0,1,0),IF(B1451="REGION LOSS",IF(COUNTIFS('Site Dockets'!$E$7:$E$24,C1451,'Site Dockets'!$C$7:$C$24,F1451)&gt;0,1,0),0))</f>
        <v>0</v>
      </c>
      <c r="L1451" s="15" t="n">
        <f aca="false">IF(J1451=1,0,Inputs!$B$11)</f>
        <v>100</v>
      </c>
      <c r="M1451" s="15" t="n">
        <f aca="false">IF(J1451=1,0,Inputs!$B$12)</f>
        <v>75</v>
      </c>
      <c r="N1451" s="15" t="n">
        <f aca="false">IF(J1451=1,0,IF(OR(AND(OR(B1451="SITE LOSS",B1451="REGION LOSS"),K1451=1),AND(B1451="ROLE COMPROMISE",H1451=C1451)),Inputs!$B$13,Inputs!$B$14))</f>
        <v>10</v>
      </c>
      <c r="O1451" s="15" t="n">
        <f aca="false">IF(J1451=1,0,Inputs!$B$13)</f>
        <v>20</v>
      </c>
      <c r="P1451" s="15" t="n">
        <f aca="false">SUM(M1451:N1451)</f>
        <v>85</v>
      </c>
      <c r="Q1451" s="15" t="n">
        <f aca="false">IF(J1451=1,"",L1451-P1451)</f>
        <v>15</v>
      </c>
      <c r="R1451" s="15" t="n">
        <f aca="false">IF(OR(J1451=1,M1451&lt;=Inputs!$B$12),1,0)</f>
        <v>1</v>
      </c>
      <c r="S1451" s="15" t="n">
        <f aca="false">IF(OR(J1451=1,N1451&lt;=O1451),1,0)</f>
        <v>1</v>
      </c>
      <c r="T1451" s="15" t="str">
        <f aca="false">IF(J1451=1,"OFFLINE",IF(AND(Q1451&gt;=Inputs!$B$15,R1451=1,S1451=1,P1451&lt;=L1451),"PASS","FAIL"))</f>
        <v>PASS</v>
      </c>
    </row>
    <row r="1452" customFormat="false" ht="15" hidden="false" customHeight="false" outlineLevel="0" collapsed="false">
      <c r="A1452" s="14" t="s">
        <v>1032</v>
      </c>
      <c r="B1452" s="14" t="s">
        <v>1019</v>
      </c>
      <c r="C1452" s="14" t="s">
        <v>194</v>
      </c>
      <c r="D1452" s="14" t="s">
        <v>174</v>
      </c>
      <c r="E1452" s="14" t="s">
        <v>152</v>
      </c>
      <c r="F1452" s="14" t="s">
        <v>175</v>
      </c>
      <c r="G1452" s="14" t="n">
        <v>1</v>
      </c>
      <c r="H1452" s="14" t="s">
        <v>154</v>
      </c>
      <c r="I1452" s="14" t="s">
        <v>899</v>
      </c>
      <c r="J1452" s="15" t="n">
        <f aca="false">IF(B1452="SITE LOSS",IF(D1452=C1452,1,0),IF(B1452="REGION LOSS",IF(E1452=C1452,1,0),0))</f>
        <v>0</v>
      </c>
      <c r="K1452" s="15" t="n">
        <f aca="false">IF(B1452="SITE LOSS",IF(COUNTIFS('Site Dockets'!$B$7:$B$24,C1452,'Site Dockets'!$C$7:$C$24,F1452)&gt;0,1,0),IF(B1452="REGION LOSS",IF(COUNTIFS('Site Dockets'!$E$7:$E$24,C1452,'Site Dockets'!$C$7:$C$24,F1452)&gt;0,1,0),0))</f>
        <v>0</v>
      </c>
      <c r="L1452" s="15" t="n">
        <f aca="false">IF(J1452=1,0,Inputs!$B$11)</f>
        <v>100</v>
      </c>
      <c r="M1452" s="15" t="n">
        <f aca="false">IF(J1452=1,0,Inputs!$B$12)</f>
        <v>75</v>
      </c>
      <c r="N1452" s="15" t="n">
        <f aca="false">IF(J1452=1,0,IF(OR(AND(OR(B1452="SITE LOSS",B1452="REGION LOSS"),K1452=1),AND(B1452="ROLE COMPROMISE",H1452=C1452)),Inputs!$B$13,Inputs!$B$14))</f>
        <v>10</v>
      </c>
      <c r="O1452" s="15" t="n">
        <f aca="false">IF(J1452=1,0,Inputs!$B$13)</f>
        <v>20</v>
      </c>
      <c r="P1452" s="15" t="n">
        <f aca="false">SUM(M1452:N1452)</f>
        <v>85</v>
      </c>
      <c r="Q1452" s="15" t="n">
        <f aca="false">IF(J1452=1,"",L1452-P1452)</f>
        <v>15</v>
      </c>
      <c r="R1452" s="15" t="n">
        <f aca="false">IF(OR(J1452=1,M1452&lt;=Inputs!$B$12),1,0)</f>
        <v>1</v>
      </c>
      <c r="S1452" s="15" t="n">
        <f aca="false">IF(OR(J1452=1,N1452&lt;=O1452),1,0)</f>
        <v>1</v>
      </c>
      <c r="T1452" s="15" t="str">
        <f aca="false">IF(J1452=1,"OFFLINE",IF(AND(Q1452&gt;=Inputs!$B$15,R1452=1,S1452=1,P1452&lt;=L1452),"PASS","FAIL"))</f>
        <v>PASS</v>
      </c>
    </row>
    <row r="1453" customFormat="false" ht="15" hidden="false" customHeight="false" outlineLevel="0" collapsed="false">
      <c r="A1453" s="14" t="s">
        <v>1032</v>
      </c>
      <c r="B1453" s="14" t="s">
        <v>1019</v>
      </c>
      <c r="C1453" s="14" t="s">
        <v>194</v>
      </c>
      <c r="D1453" s="14" t="s">
        <v>178</v>
      </c>
      <c r="E1453" s="14" t="s">
        <v>169</v>
      </c>
      <c r="F1453" s="14" t="s">
        <v>175</v>
      </c>
      <c r="G1453" s="14" t="n">
        <v>2</v>
      </c>
      <c r="H1453" s="14" t="s">
        <v>153</v>
      </c>
      <c r="I1453" s="14" t="s">
        <v>890</v>
      </c>
      <c r="J1453" s="15" t="n">
        <f aca="false">IF(B1453="SITE LOSS",IF(D1453=C1453,1,0),IF(B1453="REGION LOSS",IF(E1453=C1453,1,0),0))</f>
        <v>0</v>
      </c>
      <c r="K1453" s="15" t="n">
        <f aca="false">IF(B1453="SITE LOSS",IF(COUNTIFS('Site Dockets'!$B$7:$B$24,C1453,'Site Dockets'!$C$7:$C$24,F1453)&gt;0,1,0),IF(B1453="REGION LOSS",IF(COUNTIFS('Site Dockets'!$E$7:$E$24,C1453,'Site Dockets'!$C$7:$C$24,F1453)&gt;0,1,0),0))</f>
        <v>0</v>
      </c>
      <c r="L1453" s="15" t="n">
        <f aca="false">IF(J1453=1,0,Inputs!$B$11)</f>
        <v>100</v>
      </c>
      <c r="M1453" s="15" t="n">
        <f aca="false">IF(J1453=1,0,Inputs!$B$12)</f>
        <v>75</v>
      </c>
      <c r="N1453" s="15" t="n">
        <f aca="false">IF(J1453=1,0,IF(OR(AND(OR(B1453="SITE LOSS",B1453="REGION LOSS"),K1453=1),AND(B1453="ROLE COMPROMISE",H1453=C1453)),Inputs!$B$13,Inputs!$B$14))</f>
        <v>10</v>
      </c>
      <c r="O1453" s="15" t="n">
        <f aca="false">IF(J1453=1,0,Inputs!$B$13)</f>
        <v>20</v>
      </c>
      <c r="P1453" s="15" t="n">
        <f aca="false">SUM(M1453:N1453)</f>
        <v>85</v>
      </c>
      <c r="Q1453" s="15" t="n">
        <f aca="false">IF(J1453=1,"",L1453-P1453)</f>
        <v>15</v>
      </c>
      <c r="R1453" s="15" t="n">
        <f aca="false">IF(OR(J1453=1,M1453&lt;=Inputs!$B$12),1,0)</f>
        <v>1</v>
      </c>
      <c r="S1453" s="15" t="n">
        <f aca="false">IF(OR(J1453=1,N1453&lt;=O1453),1,0)</f>
        <v>1</v>
      </c>
      <c r="T1453" s="15" t="str">
        <f aca="false">IF(J1453=1,"OFFLINE",IF(AND(Q1453&gt;=Inputs!$B$15,R1453=1,S1453=1,P1453&lt;=L1453),"PASS","FAIL"))</f>
        <v>PASS</v>
      </c>
    </row>
    <row r="1454" customFormat="false" ht="15" hidden="false" customHeight="false" outlineLevel="0" collapsed="false">
      <c r="A1454" s="14" t="s">
        <v>1032</v>
      </c>
      <c r="B1454" s="14" t="s">
        <v>1019</v>
      </c>
      <c r="C1454" s="14" t="s">
        <v>194</v>
      </c>
      <c r="D1454" s="14" t="s">
        <v>178</v>
      </c>
      <c r="E1454" s="14" t="s">
        <v>169</v>
      </c>
      <c r="F1454" s="14" t="s">
        <v>175</v>
      </c>
      <c r="G1454" s="14" t="n">
        <v>2</v>
      </c>
      <c r="H1454" s="14" t="s">
        <v>153</v>
      </c>
      <c r="I1454" s="14" t="s">
        <v>892</v>
      </c>
      <c r="J1454" s="15" t="n">
        <f aca="false">IF(B1454="SITE LOSS",IF(D1454=C1454,1,0),IF(B1454="REGION LOSS",IF(E1454=C1454,1,0),0))</f>
        <v>0</v>
      </c>
      <c r="K1454" s="15" t="n">
        <f aca="false">IF(B1454="SITE LOSS",IF(COUNTIFS('Site Dockets'!$B$7:$B$24,C1454,'Site Dockets'!$C$7:$C$24,F1454)&gt;0,1,0),IF(B1454="REGION LOSS",IF(COUNTIFS('Site Dockets'!$E$7:$E$24,C1454,'Site Dockets'!$C$7:$C$24,F1454)&gt;0,1,0),0))</f>
        <v>0</v>
      </c>
      <c r="L1454" s="15" t="n">
        <f aca="false">IF(J1454=1,0,Inputs!$B$11)</f>
        <v>100</v>
      </c>
      <c r="M1454" s="15" t="n">
        <f aca="false">IF(J1454=1,0,Inputs!$B$12)</f>
        <v>75</v>
      </c>
      <c r="N1454" s="15" t="n">
        <f aca="false">IF(J1454=1,0,IF(OR(AND(OR(B1454="SITE LOSS",B1454="REGION LOSS"),K1454=1),AND(B1454="ROLE COMPROMISE",H1454=C1454)),Inputs!$B$13,Inputs!$B$14))</f>
        <v>10</v>
      </c>
      <c r="O1454" s="15" t="n">
        <f aca="false">IF(J1454=1,0,Inputs!$B$13)</f>
        <v>20</v>
      </c>
      <c r="P1454" s="15" t="n">
        <f aca="false">SUM(M1454:N1454)</f>
        <v>85</v>
      </c>
      <c r="Q1454" s="15" t="n">
        <f aca="false">IF(J1454=1,"",L1454-P1454)</f>
        <v>15</v>
      </c>
      <c r="R1454" s="15" t="n">
        <f aca="false">IF(OR(J1454=1,M1454&lt;=Inputs!$B$12),1,0)</f>
        <v>1</v>
      </c>
      <c r="S1454" s="15" t="n">
        <f aca="false">IF(OR(J1454=1,N1454&lt;=O1454),1,0)</f>
        <v>1</v>
      </c>
      <c r="T1454" s="15" t="str">
        <f aca="false">IF(J1454=1,"OFFLINE",IF(AND(Q1454&gt;=Inputs!$B$15,R1454=1,S1454=1,P1454&lt;=L1454),"PASS","FAIL"))</f>
        <v>PASS</v>
      </c>
    </row>
    <row r="1455" customFormat="false" ht="15" hidden="false" customHeight="false" outlineLevel="0" collapsed="false">
      <c r="A1455" s="14" t="s">
        <v>1032</v>
      </c>
      <c r="B1455" s="14" t="s">
        <v>1019</v>
      </c>
      <c r="C1455" s="14" t="s">
        <v>194</v>
      </c>
      <c r="D1455" s="14" t="s">
        <v>178</v>
      </c>
      <c r="E1455" s="14" t="s">
        <v>169</v>
      </c>
      <c r="F1455" s="14" t="s">
        <v>175</v>
      </c>
      <c r="G1455" s="14" t="n">
        <v>2</v>
      </c>
      <c r="H1455" s="14" t="s">
        <v>153</v>
      </c>
      <c r="I1455" s="14" t="s">
        <v>811</v>
      </c>
      <c r="J1455" s="15" t="n">
        <f aca="false">IF(B1455="SITE LOSS",IF(D1455=C1455,1,0),IF(B1455="REGION LOSS",IF(E1455=C1455,1,0),0))</f>
        <v>0</v>
      </c>
      <c r="K1455" s="15" t="n">
        <f aca="false">IF(B1455="SITE LOSS",IF(COUNTIFS('Site Dockets'!$B$7:$B$24,C1455,'Site Dockets'!$C$7:$C$24,F1455)&gt;0,1,0),IF(B1455="REGION LOSS",IF(COUNTIFS('Site Dockets'!$E$7:$E$24,C1455,'Site Dockets'!$C$7:$C$24,F1455)&gt;0,1,0),0))</f>
        <v>0</v>
      </c>
      <c r="L1455" s="15" t="n">
        <f aca="false">IF(J1455=1,0,Inputs!$B$11)</f>
        <v>100</v>
      </c>
      <c r="M1455" s="15" t="n">
        <f aca="false">IF(J1455=1,0,Inputs!$B$12)</f>
        <v>75</v>
      </c>
      <c r="N1455" s="15" t="n">
        <f aca="false">IF(J1455=1,0,IF(OR(AND(OR(B1455="SITE LOSS",B1455="REGION LOSS"),K1455=1),AND(B1455="ROLE COMPROMISE",H1455=C1455)),Inputs!$B$13,Inputs!$B$14))</f>
        <v>10</v>
      </c>
      <c r="O1455" s="15" t="n">
        <f aca="false">IF(J1455=1,0,Inputs!$B$13)</f>
        <v>20</v>
      </c>
      <c r="P1455" s="15" t="n">
        <f aca="false">SUM(M1455:N1455)</f>
        <v>85</v>
      </c>
      <c r="Q1455" s="15" t="n">
        <f aca="false">IF(J1455=1,"",L1455-P1455)</f>
        <v>15</v>
      </c>
      <c r="R1455" s="15" t="n">
        <f aca="false">IF(OR(J1455=1,M1455&lt;=Inputs!$B$12),1,0)</f>
        <v>1</v>
      </c>
      <c r="S1455" s="15" t="n">
        <f aca="false">IF(OR(J1455=1,N1455&lt;=O1455),1,0)</f>
        <v>1</v>
      </c>
      <c r="T1455" s="15" t="str">
        <f aca="false">IF(J1455=1,"OFFLINE",IF(AND(Q1455&gt;=Inputs!$B$15,R1455=1,S1455=1,P1455&lt;=L1455),"PASS","FAIL"))</f>
        <v>PASS</v>
      </c>
    </row>
    <row r="1456" customFormat="false" ht="15" hidden="false" customHeight="false" outlineLevel="0" collapsed="false">
      <c r="A1456" s="14" t="s">
        <v>1032</v>
      </c>
      <c r="B1456" s="14" t="s">
        <v>1019</v>
      </c>
      <c r="C1456" s="14" t="s">
        <v>194</v>
      </c>
      <c r="D1456" s="14" t="s">
        <v>178</v>
      </c>
      <c r="E1456" s="14" t="s">
        <v>169</v>
      </c>
      <c r="F1456" s="14" t="s">
        <v>175</v>
      </c>
      <c r="G1456" s="14" t="n">
        <v>2</v>
      </c>
      <c r="H1456" s="14" t="s">
        <v>153</v>
      </c>
      <c r="I1456" s="14" t="s">
        <v>895</v>
      </c>
      <c r="J1456" s="15" t="n">
        <f aca="false">IF(B1456="SITE LOSS",IF(D1456=C1456,1,0),IF(B1456="REGION LOSS",IF(E1456=C1456,1,0),0))</f>
        <v>0</v>
      </c>
      <c r="K1456" s="15" t="n">
        <f aca="false">IF(B1456="SITE LOSS",IF(COUNTIFS('Site Dockets'!$B$7:$B$24,C1456,'Site Dockets'!$C$7:$C$24,F1456)&gt;0,1,0),IF(B1456="REGION LOSS",IF(COUNTIFS('Site Dockets'!$E$7:$E$24,C1456,'Site Dockets'!$C$7:$C$24,F1456)&gt;0,1,0),0))</f>
        <v>0</v>
      </c>
      <c r="L1456" s="15" t="n">
        <f aca="false">IF(J1456=1,0,Inputs!$B$11)</f>
        <v>100</v>
      </c>
      <c r="M1456" s="15" t="n">
        <f aca="false">IF(J1456=1,0,Inputs!$B$12)</f>
        <v>75</v>
      </c>
      <c r="N1456" s="15" t="n">
        <f aca="false">IF(J1456=1,0,IF(OR(AND(OR(B1456="SITE LOSS",B1456="REGION LOSS"),K1456=1),AND(B1456="ROLE COMPROMISE",H1456=C1456)),Inputs!$B$13,Inputs!$B$14))</f>
        <v>10</v>
      </c>
      <c r="O1456" s="15" t="n">
        <f aca="false">IF(J1456=1,0,Inputs!$B$13)</f>
        <v>20</v>
      </c>
      <c r="P1456" s="15" t="n">
        <f aca="false">SUM(M1456:N1456)</f>
        <v>85</v>
      </c>
      <c r="Q1456" s="15" t="n">
        <f aca="false">IF(J1456=1,"",L1456-P1456)</f>
        <v>15</v>
      </c>
      <c r="R1456" s="15" t="n">
        <f aca="false">IF(OR(J1456=1,M1456&lt;=Inputs!$B$12),1,0)</f>
        <v>1</v>
      </c>
      <c r="S1456" s="15" t="n">
        <f aca="false">IF(OR(J1456=1,N1456&lt;=O1456),1,0)</f>
        <v>1</v>
      </c>
      <c r="T1456" s="15" t="str">
        <f aca="false">IF(J1456=1,"OFFLINE",IF(AND(Q1456&gt;=Inputs!$B$15,R1456=1,S1456=1,P1456&lt;=L1456),"PASS","FAIL"))</f>
        <v>PASS</v>
      </c>
    </row>
    <row r="1457" customFormat="false" ht="15" hidden="false" customHeight="false" outlineLevel="0" collapsed="false">
      <c r="A1457" s="14" t="s">
        <v>1032</v>
      </c>
      <c r="B1457" s="14" t="s">
        <v>1019</v>
      </c>
      <c r="C1457" s="14" t="s">
        <v>194</v>
      </c>
      <c r="D1457" s="14" t="s">
        <v>178</v>
      </c>
      <c r="E1457" s="14" t="s">
        <v>169</v>
      </c>
      <c r="F1457" s="14" t="s">
        <v>175</v>
      </c>
      <c r="G1457" s="14" t="n">
        <v>2</v>
      </c>
      <c r="H1457" s="14" t="s">
        <v>153</v>
      </c>
      <c r="I1457" s="14" t="s">
        <v>897</v>
      </c>
      <c r="J1457" s="15" t="n">
        <f aca="false">IF(B1457="SITE LOSS",IF(D1457=C1457,1,0),IF(B1457="REGION LOSS",IF(E1457=C1457,1,0),0))</f>
        <v>0</v>
      </c>
      <c r="K1457" s="15" t="n">
        <f aca="false">IF(B1457="SITE LOSS",IF(COUNTIFS('Site Dockets'!$B$7:$B$24,C1457,'Site Dockets'!$C$7:$C$24,F1457)&gt;0,1,0),IF(B1457="REGION LOSS",IF(COUNTIFS('Site Dockets'!$E$7:$E$24,C1457,'Site Dockets'!$C$7:$C$24,F1457)&gt;0,1,0),0))</f>
        <v>0</v>
      </c>
      <c r="L1457" s="15" t="n">
        <f aca="false">IF(J1457=1,0,Inputs!$B$11)</f>
        <v>100</v>
      </c>
      <c r="M1457" s="15" t="n">
        <f aca="false">IF(J1457=1,0,Inputs!$B$12)</f>
        <v>75</v>
      </c>
      <c r="N1457" s="15" t="n">
        <f aca="false">IF(J1457=1,0,IF(OR(AND(OR(B1457="SITE LOSS",B1457="REGION LOSS"),K1457=1),AND(B1457="ROLE COMPROMISE",H1457=C1457)),Inputs!$B$13,Inputs!$B$14))</f>
        <v>10</v>
      </c>
      <c r="O1457" s="15" t="n">
        <f aca="false">IF(J1457=1,0,Inputs!$B$13)</f>
        <v>20</v>
      </c>
      <c r="P1457" s="15" t="n">
        <f aca="false">SUM(M1457:N1457)</f>
        <v>85</v>
      </c>
      <c r="Q1457" s="15" t="n">
        <f aca="false">IF(J1457=1,"",L1457-P1457)</f>
        <v>15</v>
      </c>
      <c r="R1457" s="15" t="n">
        <f aca="false">IF(OR(J1457=1,M1457&lt;=Inputs!$B$12),1,0)</f>
        <v>1</v>
      </c>
      <c r="S1457" s="15" t="n">
        <f aca="false">IF(OR(J1457=1,N1457&lt;=O1457),1,0)</f>
        <v>1</v>
      </c>
      <c r="T1457" s="15" t="str">
        <f aca="false">IF(J1457=1,"OFFLINE",IF(AND(Q1457&gt;=Inputs!$B$15,R1457=1,S1457=1,P1457&lt;=L1457),"PASS","FAIL"))</f>
        <v>PASS</v>
      </c>
    </row>
    <row r="1458" customFormat="false" ht="15" hidden="false" customHeight="false" outlineLevel="0" collapsed="false">
      <c r="A1458" s="14" t="s">
        <v>1032</v>
      </c>
      <c r="B1458" s="14" t="s">
        <v>1019</v>
      </c>
      <c r="C1458" s="14" t="s">
        <v>194</v>
      </c>
      <c r="D1458" s="14" t="s">
        <v>178</v>
      </c>
      <c r="E1458" s="14" t="s">
        <v>169</v>
      </c>
      <c r="F1458" s="14" t="s">
        <v>175</v>
      </c>
      <c r="G1458" s="14" t="n">
        <v>2</v>
      </c>
      <c r="H1458" s="14" t="s">
        <v>153</v>
      </c>
      <c r="I1458" s="14" t="s">
        <v>899</v>
      </c>
      <c r="J1458" s="15" t="n">
        <f aca="false">IF(B1458="SITE LOSS",IF(D1458=C1458,1,0),IF(B1458="REGION LOSS",IF(E1458=C1458,1,0),0))</f>
        <v>0</v>
      </c>
      <c r="K1458" s="15" t="n">
        <f aca="false">IF(B1458="SITE LOSS",IF(COUNTIFS('Site Dockets'!$B$7:$B$24,C1458,'Site Dockets'!$C$7:$C$24,F1458)&gt;0,1,0),IF(B1458="REGION LOSS",IF(COUNTIFS('Site Dockets'!$E$7:$E$24,C1458,'Site Dockets'!$C$7:$C$24,F1458)&gt;0,1,0),0))</f>
        <v>0</v>
      </c>
      <c r="L1458" s="15" t="n">
        <f aca="false">IF(J1458=1,0,Inputs!$B$11)</f>
        <v>100</v>
      </c>
      <c r="M1458" s="15" t="n">
        <f aca="false">IF(J1458=1,0,Inputs!$B$12)</f>
        <v>75</v>
      </c>
      <c r="N1458" s="15" t="n">
        <f aca="false">IF(J1458=1,0,IF(OR(AND(OR(B1458="SITE LOSS",B1458="REGION LOSS"),K1458=1),AND(B1458="ROLE COMPROMISE",H1458=C1458)),Inputs!$B$13,Inputs!$B$14))</f>
        <v>10</v>
      </c>
      <c r="O1458" s="15" t="n">
        <f aca="false">IF(J1458=1,0,Inputs!$B$13)</f>
        <v>20</v>
      </c>
      <c r="P1458" s="15" t="n">
        <f aca="false">SUM(M1458:N1458)</f>
        <v>85</v>
      </c>
      <c r="Q1458" s="15" t="n">
        <f aca="false">IF(J1458=1,"",L1458-P1458)</f>
        <v>15</v>
      </c>
      <c r="R1458" s="15" t="n">
        <f aca="false">IF(OR(J1458=1,M1458&lt;=Inputs!$B$12),1,0)</f>
        <v>1</v>
      </c>
      <c r="S1458" s="15" t="n">
        <f aca="false">IF(OR(J1458=1,N1458&lt;=O1458),1,0)</f>
        <v>1</v>
      </c>
      <c r="T1458" s="15" t="str">
        <f aca="false">IF(J1458=1,"OFFLINE",IF(AND(Q1458&gt;=Inputs!$B$15,R1458=1,S1458=1,P1458&lt;=L1458),"PASS","FAIL"))</f>
        <v>PASS</v>
      </c>
    </row>
    <row r="1459" customFormat="false" ht="15" hidden="false" customHeight="false" outlineLevel="0" collapsed="false">
      <c r="A1459" s="14" t="s">
        <v>1032</v>
      </c>
      <c r="B1459" s="14" t="s">
        <v>1019</v>
      </c>
      <c r="C1459" s="14" t="s">
        <v>194</v>
      </c>
      <c r="D1459" s="14" t="s">
        <v>180</v>
      </c>
      <c r="E1459" s="14" t="s">
        <v>161</v>
      </c>
      <c r="F1459" s="14" t="s">
        <v>175</v>
      </c>
      <c r="G1459" s="14" t="n">
        <v>3</v>
      </c>
      <c r="H1459" s="14" t="s">
        <v>158</v>
      </c>
      <c r="I1459" s="14" t="s">
        <v>890</v>
      </c>
      <c r="J1459" s="15" t="n">
        <f aca="false">IF(B1459="SITE LOSS",IF(D1459=C1459,1,0),IF(B1459="REGION LOSS",IF(E1459=C1459,1,0),0))</f>
        <v>0</v>
      </c>
      <c r="K1459" s="15" t="n">
        <f aca="false">IF(B1459="SITE LOSS",IF(COUNTIFS('Site Dockets'!$B$7:$B$24,C1459,'Site Dockets'!$C$7:$C$24,F1459)&gt;0,1,0),IF(B1459="REGION LOSS",IF(COUNTIFS('Site Dockets'!$E$7:$E$24,C1459,'Site Dockets'!$C$7:$C$24,F1459)&gt;0,1,0),0))</f>
        <v>0</v>
      </c>
      <c r="L1459" s="15" t="n">
        <f aca="false">IF(J1459=1,0,Inputs!$B$11)</f>
        <v>100</v>
      </c>
      <c r="M1459" s="15" t="n">
        <f aca="false">IF(J1459=1,0,Inputs!$B$12)</f>
        <v>75</v>
      </c>
      <c r="N1459" s="15" t="n">
        <f aca="false">IF(J1459=1,0,IF(OR(AND(OR(B1459="SITE LOSS",B1459="REGION LOSS"),K1459=1),AND(B1459="ROLE COMPROMISE",H1459=C1459)),Inputs!$B$13,Inputs!$B$14))</f>
        <v>10</v>
      </c>
      <c r="O1459" s="15" t="n">
        <f aca="false">IF(J1459=1,0,Inputs!$B$13)</f>
        <v>20</v>
      </c>
      <c r="P1459" s="15" t="n">
        <f aca="false">SUM(M1459:N1459)</f>
        <v>85</v>
      </c>
      <c r="Q1459" s="15" t="n">
        <f aca="false">IF(J1459=1,"",L1459-P1459)</f>
        <v>15</v>
      </c>
      <c r="R1459" s="15" t="n">
        <f aca="false">IF(OR(J1459=1,M1459&lt;=Inputs!$B$12),1,0)</f>
        <v>1</v>
      </c>
      <c r="S1459" s="15" t="n">
        <f aca="false">IF(OR(J1459=1,N1459&lt;=O1459),1,0)</f>
        <v>1</v>
      </c>
      <c r="T1459" s="15" t="str">
        <f aca="false">IF(J1459=1,"OFFLINE",IF(AND(Q1459&gt;=Inputs!$B$15,R1459=1,S1459=1,P1459&lt;=L1459),"PASS","FAIL"))</f>
        <v>PASS</v>
      </c>
    </row>
    <row r="1460" customFormat="false" ht="15" hidden="false" customHeight="false" outlineLevel="0" collapsed="false">
      <c r="A1460" s="14" t="s">
        <v>1032</v>
      </c>
      <c r="B1460" s="14" t="s">
        <v>1019</v>
      </c>
      <c r="C1460" s="14" t="s">
        <v>194</v>
      </c>
      <c r="D1460" s="14" t="s">
        <v>180</v>
      </c>
      <c r="E1460" s="14" t="s">
        <v>161</v>
      </c>
      <c r="F1460" s="14" t="s">
        <v>175</v>
      </c>
      <c r="G1460" s="14" t="n">
        <v>3</v>
      </c>
      <c r="H1460" s="14" t="s">
        <v>158</v>
      </c>
      <c r="I1460" s="14" t="s">
        <v>892</v>
      </c>
      <c r="J1460" s="15" t="n">
        <f aca="false">IF(B1460="SITE LOSS",IF(D1460=C1460,1,0),IF(B1460="REGION LOSS",IF(E1460=C1460,1,0),0))</f>
        <v>0</v>
      </c>
      <c r="K1460" s="15" t="n">
        <f aca="false">IF(B1460="SITE LOSS",IF(COUNTIFS('Site Dockets'!$B$7:$B$24,C1460,'Site Dockets'!$C$7:$C$24,F1460)&gt;0,1,0),IF(B1460="REGION LOSS",IF(COUNTIFS('Site Dockets'!$E$7:$E$24,C1460,'Site Dockets'!$C$7:$C$24,F1460)&gt;0,1,0),0))</f>
        <v>0</v>
      </c>
      <c r="L1460" s="15" t="n">
        <f aca="false">IF(J1460=1,0,Inputs!$B$11)</f>
        <v>100</v>
      </c>
      <c r="M1460" s="15" t="n">
        <f aca="false">IF(J1460=1,0,Inputs!$B$12)</f>
        <v>75</v>
      </c>
      <c r="N1460" s="15" t="n">
        <f aca="false">IF(J1460=1,0,IF(OR(AND(OR(B1460="SITE LOSS",B1460="REGION LOSS"),K1460=1),AND(B1460="ROLE COMPROMISE",H1460=C1460)),Inputs!$B$13,Inputs!$B$14))</f>
        <v>10</v>
      </c>
      <c r="O1460" s="15" t="n">
        <f aca="false">IF(J1460=1,0,Inputs!$B$13)</f>
        <v>20</v>
      </c>
      <c r="P1460" s="15" t="n">
        <f aca="false">SUM(M1460:N1460)</f>
        <v>85</v>
      </c>
      <c r="Q1460" s="15" t="n">
        <f aca="false">IF(J1460=1,"",L1460-P1460)</f>
        <v>15</v>
      </c>
      <c r="R1460" s="15" t="n">
        <f aca="false">IF(OR(J1460=1,M1460&lt;=Inputs!$B$12),1,0)</f>
        <v>1</v>
      </c>
      <c r="S1460" s="15" t="n">
        <f aca="false">IF(OR(J1460=1,N1460&lt;=O1460),1,0)</f>
        <v>1</v>
      </c>
      <c r="T1460" s="15" t="str">
        <f aca="false">IF(J1460=1,"OFFLINE",IF(AND(Q1460&gt;=Inputs!$B$15,R1460=1,S1460=1,P1460&lt;=L1460),"PASS","FAIL"))</f>
        <v>PASS</v>
      </c>
    </row>
    <row r="1461" customFormat="false" ht="15" hidden="false" customHeight="false" outlineLevel="0" collapsed="false">
      <c r="A1461" s="14" t="s">
        <v>1032</v>
      </c>
      <c r="B1461" s="14" t="s">
        <v>1019</v>
      </c>
      <c r="C1461" s="14" t="s">
        <v>194</v>
      </c>
      <c r="D1461" s="14" t="s">
        <v>180</v>
      </c>
      <c r="E1461" s="14" t="s">
        <v>161</v>
      </c>
      <c r="F1461" s="14" t="s">
        <v>175</v>
      </c>
      <c r="G1461" s="14" t="n">
        <v>3</v>
      </c>
      <c r="H1461" s="14" t="s">
        <v>158</v>
      </c>
      <c r="I1461" s="14" t="s">
        <v>811</v>
      </c>
      <c r="J1461" s="15" t="n">
        <f aca="false">IF(B1461="SITE LOSS",IF(D1461=C1461,1,0),IF(B1461="REGION LOSS",IF(E1461=C1461,1,0),0))</f>
        <v>0</v>
      </c>
      <c r="K1461" s="15" t="n">
        <f aca="false">IF(B1461="SITE LOSS",IF(COUNTIFS('Site Dockets'!$B$7:$B$24,C1461,'Site Dockets'!$C$7:$C$24,F1461)&gt;0,1,0),IF(B1461="REGION LOSS",IF(COUNTIFS('Site Dockets'!$E$7:$E$24,C1461,'Site Dockets'!$C$7:$C$24,F1461)&gt;0,1,0),0))</f>
        <v>0</v>
      </c>
      <c r="L1461" s="15" t="n">
        <f aca="false">IF(J1461=1,0,Inputs!$B$11)</f>
        <v>100</v>
      </c>
      <c r="M1461" s="15" t="n">
        <f aca="false">IF(J1461=1,0,Inputs!$B$12)</f>
        <v>75</v>
      </c>
      <c r="N1461" s="15" t="n">
        <f aca="false">IF(J1461=1,0,IF(OR(AND(OR(B1461="SITE LOSS",B1461="REGION LOSS"),K1461=1),AND(B1461="ROLE COMPROMISE",H1461=C1461)),Inputs!$B$13,Inputs!$B$14))</f>
        <v>10</v>
      </c>
      <c r="O1461" s="15" t="n">
        <f aca="false">IF(J1461=1,0,Inputs!$B$13)</f>
        <v>20</v>
      </c>
      <c r="P1461" s="15" t="n">
        <f aca="false">SUM(M1461:N1461)</f>
        <v>85</v>
      </c>
      <c r="Q1461" s="15" t="n">
        <f aca="false">IF(J1461=1,"",L1461-P1461)</f>
        <v>15</v>
      </c>
      <c r="R1461" s="15" t="n">
        <f aca="false">IF(OR(J1461=1,M1461&lt;=Inputs!$B$12),1,0)</f>
        <v>1</v>
      </c>
      <c r="S1461" s="15" t="n">
        <f aca="false">IF(OR(J1461=1,N1461&lt;=O1461),1,0)</f>
        <v>1</v>
      </c>
      <c r="T1461" s="15" t="str">
        <f aca="false">IF(J1461=1,"OFFLINE",IF(AND(Q1461&gt;=Inputs!$B$15,R1461=1,S1461=1,P1461&lt;=L1461),"PASS","FAIL"))</f>
        <v>PASS</v>
      </c>
    </row>
    <row r="1462" customFormat="false" ht="15" hidden="false" customHeight="false" outlineLevel="0" collapsed="false">
      <c r="A1462" s="14" t="s">
        <v>1032</v>
      </c>
      <c r="B1462" s="14" t="s">
        <v>1019</v>
      </c>
      <c r="C1462" s="14" t="s">
        <v>194</v>
      </c>
      <c r="D1462" s="14" t="s">
        <v>180</v>
      </c>
      <c r="E1462" s="14" t="s">
        <v>161</v>
      </c>
      <c r="F1462" s="14" t="s">
        <v>175</v>
      </c>
      <c r="G1462" s="14" t="n">
        <v>3</v>
      </c>
      <c r="H1462" s="14" t="s">
        <v>158</v>
      </c>
      <c r="I1462" s="14" t="s">
        <v>895</v>
      </c>
      <c r="J1462" s="15" t="n">
        <f aca="false">IF(B1462="SITE LOSS",IF(D1462=C1462,1,0),IF(B1462="REGION LOSS",IF(E1462=C1462,1,0),0))</f>
        <v>0</v>
      </c>
      <c r="K1462" s="15" t="n">
        <f aca="false">IF(B1462="SITE LOSS",IF(COUNTIFS('Site Dockets'!$B$7:$B$24,C1462,'Site Dockets'!$C$7:$C$24,F1462)&gt;0,1,0),IF(B1462="REGION LOSS",IF(COUNTIFS('Site Dockets'!$E$7:$E$24,C1462,'Site Dockets'!$C$7:$C$24,F1462)&gt;0,1,0),0))</f>
        <v>0</v>
      </c>
      <c r="L1462" s="15" t="n">
        <f aca="false">IF(J1462=1,0,Inputs!$B$11)</f>
        <v>100</v>
      </c>
      <c r="M1462" s="15" t="n">
        <f aca="false">IF(J1462=1,0,Inputs!$B$12)</f>
        <v>75</v>
      </c>
      <c r="N1462" s="15" t="n">
        <f aca="false">IF(J1462=1,0,IF(OR(AND(OR(B1462="SITE LOSS",B1462="REGION LOSS"),K1462=1),AND(B1462="ROLE COMPROMISE",H1462=C1462)),Inputs!$B$13,Inputs!$B$14))</f>
        <v>10</v>
      </c>
      <c r="O1462" s="15" t="n">
        <f aca="false">IF(J1462=1,0,Inputs!$B$13)</f>
        <v>20</v>
      </c>
      <c r="P1462" s="15" t="n">
        <f aca="false">SUM(M1462:N1462)</f>
        <v>85</v>
      </c>
      <c r="Q1462" s="15" t="n">
        <f aca="false">IF(J1462=1,"",L1462-P1462)</f>
        <v>15</v>
      </c>
      <c r="R1462" s="15" t="n">
        <f aca="false">IF(OR(J1462=1,M1462&lt;=Inputs!$B$12),1,0)</f>
        <v>1</v>
      </c>
      <c r="S1462" s="15" t="n">
        <f aca="false">IF(OR(J1462=1,N1462&lt;=O1462),1,0)</f>
        <v>1</v>
      </c>
      <c r="T1462" s="15" t="str">
        <f aca="false">IF(J1462=1,"OFFLINE",IF(AND(Q1462&gt;=Inputs!$B$15,R1462=1,S1462=1,P1462&lt;=L1462),"PASS","FAIL"))</f>
        <v>PASS</v>
      </c>
    </row>
    <row r="1463" customFormat="false" ht="15" hidden="false" customHeight="false" outlineLevel="0" collapsed="false">
      <c r="A1463" s="14" t="s">
        <v>1032</v>
      </c>
      <c r="B1463" s="14" t="s">
        <v>1019</v>
      </c>
      <c r="C1463" s="14" t="s">
        <v>194</v>
      </c>
      <c r="D1463" s="14" t="s">
        <v>180</v>
      </c>
      <c r="E1463" s="14" t="s">
        <v>161</v>
      </c>
      <c r="F1463" s="14" t="s">
        <v>175</v>
      </c>
      <c r="G1463" s="14" t="n">
        <v>3</v>
      </c>
      <c r="H1463" s="14" t="s">
        <v>158</v>
      </c>
      <c r="I1463" s="14" t="s">
        <v>897</v>
      </c>
      <c r="J1463" s="15" t="n">
        <f aca="false">IF(B1463="SITE LOSS",IF(D1463=C1463,1,0),IF(B1463="REGION LOSS",IF(E1463=C1463,1,0),0))</f>
        <v>0</v>
      </c>
      <c r="K1463" s="15" t="n">
        <f aca="false">IF(B1463="SITE LOSS",IF(COUNTIFS('Site Dockets'!$B$7:$B$24,C1463,'Site Dockets'!$C$7:$C$24,F1463)&gt;0,1,0),IF(B1463="REGION LOSS",IF(COUNTIFS('Site Dockets'!$E$7:$E$24,C1463,'Site Dockets'!$C$7:$C$24,F1463)&gt;0,1,0),0))</f>
        <v>0</v>
      </c>
      <c r="L1463" s="15" t="n">
        <f aca="false">IF(J1463=1,0,Inputs!$B$11)</f>
        <v>100</v>
      </c>
      <c r="M1463" s="15" t="n">
        <f aca="false">IF(J1463=1,0,Inputs!$B$12)</f>
        <v>75</v>
      </c>
      <c r="N1463" s="15" t="n">
        <f aca="false">IF(J1463=1,0,IF(OR(AND(OR(B1463="SITE LOSS",B1463="REGION LOSS"),K1463=1),AND(B1463="ROLE COMPROMISE",H1463=C1463)),Inputs!$B$13,Inputs!$B$14))</f>
        <v>10</v>
      </c>
      <c r="O1463" s="15" t="n">
        <f aca="false">IF(J1463=1,0,Inputs!$B$13)</f>
        <v>20</v>
      </c>
      <c r="P1463" s="15" t="n">
        <f aca="false">SUM(M1463:N1463)</f>
        <v>85</v>
      </c>
      <c r="Q1463" s="15" t="n">
        <f aca="false">IF(J1463=1,"",L1463-P1463)</f>
        <v>15</v>
      </c>
      <c r="R1463" s="15" t="n">
        <f aca="false">IF(OR(J1463=1,M1463&lt;=Inputs!$B$12),1,0)</f>
        <v>1</v>
      </c>
      <c r="S1463" s="15" t="n">
        <f aca="false">IF(OR(J1463=1,N1463&lt;=O1463),1,0)</f>
        <v>1</v>
      </c>
      <c r="T1463" s="15" t="str">
        <f aca="false">IF(J1463=1,"OFFLINE",IF(AND(Q1463&gt;=Inputs!$B$15,R1463=1,S1463=1,P1463&lt;=L1463),"PASS","FAIL"))</f>
        <v>PASS</v>
      </c>
    </row>
    <row r="1464" customFormat="false" ht="15" hidden="false" customHeight="false" outlineLevel="0" collapsed="false">
      <c r="A1464" s="14" t="s">
        <v>1032</v>
      </c>
      <c r="B1464" s="14" t="s">
        <v>1019</v>
      </c>
      <c r="C1464" s="14" t="s">
        <v>194</v>
      </c>
      <c r="D1464" s="14" t="s">
        <v>180</v>
      </c>
      <c r="E1464" s="14" t="s">
        <v>161</v>
      </c>
      <c r="F1464" s="14" t="s">
        <v>175</v>
      </c>
      <c r="G1464" s="14" t="n">
        <v>3</v>
      </c>
      <c r="H1464" s="14" t="s">
        <v>158</v>
      </c>
      <c r="I1464" s="14" t="s">
        <v>899</v>
      </c>
      <c r="J1464" s="15" t="n">
        <f aca="false">IF(B1464="SITE LOSS",IF(D1464=C1464,1,0),IF(B1464="REGION LOSS",IF(E1464=C1464,1,0),0))</f>
        <v>0</v>
      </c>
      <c r="K1464" s="15" t="n">
        <f aca="false">IF(B1464="SITE LOSS",IF(COUNTIFS('Site Dockets'!$B$7:$B$24,C1464,'Site Dockets'!$C$7:$C$24,F1464)&gt;0,1,0),IF(B1464="REGION LOSS",IF(COUNTIFS('Site Dockets'!$E$7:$E$24,C1464,'Site Dockets'!$C$7:$C$24,F1464)&gt;0,1,0),0))</f>
        <v>0</v>
      </c>
      <c r="L1464" s="15" t="n">
        <f aca="false">IF(J1464=1,0,Inputs!$B$11)</f>
        <v>100</v>
      </c>
      <c r="M1464" s="15" t="n">
        <f aca="false">IF(J1464=1,0,Inputs!$B$12)</f>
        <v>75</v>
      </c>
      <c r="N1464" s="15" t="n">
        <f aca="false">IF(J1464=1,0,IF(OR(AND(OR(B1464="SITE LOSS",B1464="REGION LOSS"),K1464=1),AND(B1464="ROLE COMPROMISE",H1464=C1464)),Inputs!$B$13,Inputs!$B$14))</f>
        <v>10</v>
      </c>
      <c r="O1464" s="15" t="n">
        <f aca="false">IF(J1464=1,0,Inputs!$B$13)</f>
        <v>20</v>
      </c>
      <c r="P1464" s="15" t="n">
        <f aca="false">SUM(M1464:N1464)</f>
        <v>85</v>
      </c>
      <c r="Q1464" s="15" t="n">
        <f aca="false">IF(J1464=1,"",L1464-P1464)</f>
        <v>15</v>
      </c>
      <c r="R1464" s="15" t="n">
        <f aca="false">IF(OR(J1464=1,M1464&lt;=Inputs!$B$12),1,0)</f>
        <v>1</v>
      </c>
      <c r="S1464" s="15" t="n">
        <f aca="false">IF(OR(J1464=1,N1464&lt;=O1464),1,0)</f>
        <v>1</v>
      </c>
      <c r="T1464" s="15" t="str">
        <f aca="false">IF(J1464=1,"OFFLINE",IF(AND(Q1464&gt;=Inputs!$B$15,R1464=1,S1464=1,P1464&lt;=L1464),"PASS","FAIL"))</f>
        <v>PASS</v>
      </c>
    </row>
    <row r="1465" customFormat="false" ht="15" hidden="false" customHeight="false" outlineLevel="0" collapsed="false">
      <c r="A1465" s="14" t="s">
        <v>1032</v>
      </c>
      <c r="B1465" s="14" t="s">
        <v>1019</v>
      </c>
      <c r="C1465" s="14" t="s">
        <v>194</v>
      </c>
      <c r="D1465" s="14" t="s">
        <v>182</v>
      </c>
      <c r="E1465" s="14" t="s">
        <v>166</v>
      </c>
      <c r="F1465" s="14" t="s">
        <v>183</v>
      </c>
      <c r="G1465" s="14" t="n">
        <v>1</v>
      </c>
      <c r="H1465" s="14" t="s">
        <v>154</v>
      </c>
      <c r="I1465" s="14" t="s">
        <v>890</v>
      </c>
      <c r="J1465" s="15" t="n">
        <f aca="false">IF(B1465="SITE LOSS",IF(D1465=C1465,1,0),IF(B1465="REGION LOSS",IF(E1465=C1465,1,0),0))</f>
        <v>0</v>
      </c>
      <c r="K1465" s="15" t="n">
        <f aca="false">IF(B1465="SITE LOSS",IF(COUNTIFS('Site Dockets'!$B$7:$B$24,C1465,'Site Dockets'!$C$7:$C$24,F1465)&gt;0,1,0),IF(B1465="REGION LOSS",IF(COUNTIFS('Site Dockets'!$E$7:$E$24,C1465,'Site Dockets'!$C$7:$C$24,F1465)&gt;0,1,0),0))</f>
        <v>0</v>
      </c>
      <c r="L1465" s="15" t="n">
        <f aca="false">IF(J1465=1,0,Inputs!$B$11)</f>
        <v>100</v>
      </c>
      <c r="M1465" s="15" t="n">
        <f aca="false">IF(J1465=1,0,Inputs!$B$12)</f>
        <v>75</v>
      </c>
      <c r="N1465" s="15" t="n">
        <f aca="false">IF(J1465=1,0,IF(OR(AND(OR(B1465="SITE LOSS",B1465="REGION LOSS"),K1465=1),AND(B1465="ROLE COMPROMISE",H1465=C1465)),Inputs!$B$13,Inputs!$B$14))</f>
        <v>10</v>
      </c>
      <c r="O1465" s="15" t="n">
        <f aca="false">IF(J1465=1,0,Inputs!$B$13)</f>
        <v>20</v>
      </c>
      <c r="P1465" s="15" t="n">
        <f aca="false">SUM(M1465:N1465)</f>
        <v>85</v>
      </c>
      <c r="Q1465" s="15" t="n">
        <f aca="false">IF(J1465=1,"",L1465-P1465)</f>
        <v>15</v>
      </c>
      <c r="R1465" s="15" t="n">
        <f aca="false">IF(OR(J1465=1,M1465&lt;=Inputs!$B$12),1,0)</f>
        <v>1</v>
      </c>
      <c r="S1465" s="15" t="n">
        <f aca="false">IF(OR(J1465=1,N1465&lt;=O1465),1,0)</f>
        <v>1</v>
      </c>
      <c r="T1465" s="15" t="str">
        <f aca="false">IF(J1465=1,"OFFLINE",IF(AND(Q1465&gt;=Inputs!$B$15,R1465=1,S1465=1,P1465&lt;=L1465),"PASS","FAIL"))</f>
        <v>PASS</v>
      </c>
    </row>
    <row r="1466" customFormat="false" ht="15" hidden="false" customHeight="false" outlineLevel="0" collapsed="false">
      <c r="A1466" s="14" t="s">
        <v>1032</v>
      </c>
      <c r="B1466" s="14" t="s">
        <v>1019</v>
      </c>
      <c r="C1466" s="14" t="s">
        <v>194</v>
      </c>
      <c r="D1466" s="14" t="s">
        <v>182</v>
      </c>
      <c r="E1466" s="14" t="s">
        <v>166</v>
      </c>
      <c r="F1466" s="14" t="s">
        <v>183</v>
      </c>
      <c r="G1466" s="14" t="n">
        <v>1</v>
      </c>
      <c r="H1466" s="14" t="s">
        <v>154</v>
      </c>
      <c r="I1466" s="14" t="s">
        <v>892</v>
      </c>
      <c r="J1466" s="15" t="n">
        <f aca="false">IF(B1466="SITE LOSS",IF(D1466=C1466,1,0),IF(B1466="REGION LOSS",IF(E1466=C1466,1,0),0))</f>
        <v>0</v>
      </c>
      <c r="K1466" s="15" t="n">
        <f aca="false">IF(B1466="SITE LOSS",IF(COUNTIFS('Site Dockets'!$B$7:$B$24,C1466,'Site Dockets'!$C$7:$C$24,F1466)&gt;0,1,0),IF(B1466="REGION LOSS",IF(COUNTIFS('Site Dockets'!$E$7:$E$24,C1466,'Site Dockets'!$C$7:$C$24,F1466)&gt;0,1,0),0))</f>
        <v>0</v>
      </c>
      <c r="L1466" s="15" t="n">
        <f aca="false">IF(J1466=1,0,Inputs!$B$11)</f>
        <v>100</v>
      </c>
      <c r="M1466" s="15" t="n">
        <f aca="false">IF(J1466=1,0,Inputs!$B$12)</f>
        <v>75</v>
      </c>
      <c r="N1466" s="15" t="n">
        <f aca="false">IF(J1466=1,0,IF(OR(AND(OR(B1466="SITE LOSS",B1466="REGION LOSS"),K1466=1),AND(B1466="ROLE COMPROMISE",H1466=C1466)),Inputs!$B$13,Inputs!$B$14))</f>
        <v>10</v>
      </c>
      <c r="O1466" s="15" t="n">
        <f aca="false">IF(J1466=1,0,Inputs!$B$13)</f>
        <v>20</v>
      </c>
      <c r="P1466" s="15" t="n">
        <f aca="false">SUM(M1466:N1466)</f>
        <v>85</v>
      </c>
      <c r="Q1466" s="15" t="n">
        <f aca="false">IF(J1466=1,"",L1466-P1466)</f>
        <v>15</v>
      </c>
      <c r="R1466" s="15" t="n">
        <f aca="false">IF(OR(J1466=1,M1466&lt;=Inputs!$B$12),1,0)</f>
        <v>1</v>
      </c>
      <c r="S1466" s="15" t="n">
        <f aca="false">IF(OR(J1466=1,N1466&lt;=O1466),1,0)</f>
        <v>1</v>
      </c>
      <c r="T1466" s="15" t="str">
        <f aca="false">IF(J1466=1,"OFFLINE",IF(AND(Q1466&gt;=Inputs!$B$15,R1466=1,S1466=1,P1466&lt;=L1466),"PASS","FAIL"))</f>
        <v>PASS</v>
      </c>
    </row>
    <row r="1467" customFormat="false" ht="15" hidden="false" customHeight="false" outlineLevel="0" collapsed="false">
      <c r="A1467" s="14" t="s">
        <v>1032</v>
      </c>
      <c r="B1467" s="14" t="s">
        <v>1019</v>
      </c>
      <c r="C1467" s="14" t="s">
        <v>194</v>
      </c>
      <c r="D1467" s="14" t="s">
        <v>182</v>
      </c>
      <c r="E1467" s="14" t="s">
        <v>166</v>
      </c>
      <c r="F1467" s="14" t="s">
        <v>183</v>
      </c>
      <c r="G1467" s="14" t="n">
        <v>1</v>
      </c>
      <c r="H1467" s="14" t="s">
        <v>154</v>
      </c>
      <c r="I1467" s="14" t="s">
        <v>811</v>
      </c>
      <c r="J1467" s="15" t="n">
        <f aca="false">IF(B1467="SITE LOSS",IF(D1467=C1467,1,0),IF(B1467="REGION LOSS",IF(E1467=C1467,1,0),0))</f>
        <v>0</v>
      </c>
      <c r="K1467" s="15" t="n">
        <f aca="false">IF(B1467="SITE LOSS",IF(COUNTIFS('Site Dockets'!$B$7:$B$24,C1467,'Site Dockets'!$C$7:$C$24,F1467)&gt;0,1,0),IF(B1467="REGION LOSS",IF(COUNTIFS('Site Dockets'!$E$7:$E$24,C1467,'Site Dockets'!$C$7:$C$24,F1467)&gt;0,1,0),0))</f>
        <v>0</v>
      </c>
      <c r="L1467" s="15" t="n">
        <f aca="false">IF(J1467=1,0,Inputs!$B$11)</f>
        <v>100</v>
      </c>
      <c r="M1467" s="15" t="n">
        <f aca="false">IF(J1467=1,0,Inputs!$B$12)</f>
        <v>75</v>
      </c>
      <c r="N1467" s="15" t="n">
        <f aca="false">IF(J1467=1,0,IF(OR(AND(OR(B1467="SITE LOSS",B1467="REGION LOSS"),K1467=1),AND(B1467="ROLE COMPROMISE",H1467=C1467)),Inputs!$B$13,Inputs!$B$14))</f>
        <v>10</v>
      </c>
      <c r="O1467" s="15" t="n">
        <f aca="false">IF(J1467=1,0,Inputs!$B$13)</f>
        <v>20</v>
      </c>
      <c r="P1467" s="15" t="n">
        <f aca="false">SUM(M1467:N1467)</f>
        <v>85</v>
      </c>
      <c r="Q1467" s="15" t="n">
        <f aca="false">IF(J1467=1,"",L1467-P1467)</f>
        <v>15</v>
      </c>
      <c r="R1467" s="15" t="n">
        <f aca="false">IF(OR(J1467=1,M1467&lt;=Inputs!$B$12),1,0)</f>
        <v>1</v>
      </c>
      <c r="S1467" s="15" t="n">
        <f aca="false">IF(OR(J1467=1,N1467&lt;=O1467),1,0)</f>
        <v>1</v>
      </c>
      <c r="T1467" s="15" t="str">
        <f aca="false">IF(J1467=1,"OFFLINE",IF(AND(Q1467&gt;=Inputs!$B$15,R1467=1,S1467=1,P1467&lt;=L1467),"PASS","FAIL"))</f>
        <v>PASS</v>
      </c>
    </row>
    <row r="1468" customFormat="false" ht="15" hidden="false" customHeight="false" outlineLevel="0" collapsed="false">
      <c r="A1468" s="14" t="s">
        <v>1032</v>
      </c>
      <c r="B1468" s="14" t="s">
        <v>1019</v>
      </c>
      <c r="C1468" s="14" t="s">
        <v>194</v>
      </c>
      <c r="D1468" s="14" t="s">
        <v>182</v>
      </c>
      <c r="E1468" s="14" t="s">
        <v>166</v>
      </c>
      <c r="F1468" s="14" t="s">
        <v>183</v>
      </c>
      <c r="G1468" s="14" t="n">
        <v>1</v>
      </c>
      <c r="H1468" s="14" t="s">
        <v>154</v>
      </c>
      <c r="I1468" s="14" t="s">
        <v>895</v>
      </c>
      <c r="J1468" s="15" t="n">
        <f aca="false">IF(B1468="SITE LOSS",IF(D1468=C1468,1,0),IF(B1468="REGION LOSS",IF(E1468=C1468,1,0),0))</f>
        <v>0</v>
      </c>
      <c r="K1468" s="15" t="n">
        <f aca="false">IF(B1468="SITE LOSS",IF(COUNTIFS('Site Dockets'!$B$7:$B$24,C1468,'Site Dockets'!$C$7:$C$24,F1468)&gt;0,1,0),IF(B1468="REGION LOSS",IF(COUNTIFS('Site Dockets'!$E$7:$E$24,C1468,'Site Dockets'!$C$7:$C$24,F1468)&gt;0,1,0),0))</f>
        <v>0</v>
      </c>
      <c r="L1468" s="15" t="n">
        <f aca="false">IF(J1468=1,0,Inputs!$B$11)</f>
        <v>100</v>
      </c>
      <c r="M1468" s="15" t="n">
        <f aca="false">IF(J1468=1,0,Inputs!$B$12)</f>
        <v>75</v>
      </c>
      <c r="N1468" s="15" t="n">
        <f aca="false">IF(J1468=1,0,IF(OR(AND(OR(B1468="SITE LOSS",B1468="REGION LOSS"),K1468=1),AND(B1468="ROLE COMPROMISE",H1468=C1468)),Inputs!$B$13,Inputs!$B$14))</f>
        <v>10</v>
      </c>
      <c r="O1468" s="15" t="n">
        <f aca="false">IF(J1468=1,0,Inputs!$B$13)</f>
        <v>20</v>
      </c>
      <c r="P1468" s="15" t="n">
        <f aca="false">SUM(M1468:N1468)</f>
        <v>85</v>
      </c>
      <c r="Q1468" s="15" t="n">
        <f aca="false">IF(J1468=1,"",L1468-P1468)</f>
        <v>15</v>
      </c>
      <c r="R1468" s="15" t="n">
        <f aca="false">IF(OR(J1468=1,M1468&lt;=Inputs!$B$12),1,0)</f>
        <v>1</v>
      </c>
      <c r="S1468" s="15" t="n">
        <f aca="false">IF(OR(J1468=1,N1468&lt;=O1468),1,0)</f>
        <v>1</v>
      </c>
      <c r="T1468" s="15" t="str">
        <f aca="false">IF(J1468=1,"OFFLINE",IF(AND(Q1468&gt;=Inputs!$B$15,R1468=1,S1468=1,P1468&lt;=L1468),"PASS","FAIL"))</f>
        <v>PASS</v>
      </c>
    </row>
    <row r="1469" customFormat="false" ht="15" hidden="false" customHeight="false" outlineLevel="0" collapsed="false">
      <c r="A1469" s="14" t="s">
        <v>1032</v>
      </c>
      <c r="B1469" s="14" t="s">
        <v>1019</v>
      </c>
      <c r="C1469" s="14" t="s">
        <v>194</v>
      </c>
      <c r="D1469" s="14" t="s">
        <v>182</v>
      </c>
      <c r="E1469" s="14" t="s">
        <v>166</v>
      </c>
      <c r="F1469" s="14" t="s">
        <v>183</v>
      </c>
      <c r="G1469" s="14" t="n">
        <v>1</v>
      </c>
      <c r="H1469" s="14" t="s">
        <v>154</v>
      </c>
      <c r="I1469" s="14" t="s">
        <v>897</v>
      </c>
      <c r="J1469" s="15" t="n">
        <f aca="false">IF(B1469="SITE LOSS",IF(D1469=C1469,1,0),IF(B1469="REGION LOSS",IF(E1469=C1469,1,0),0))</f>
        <v>0</v>
      </c>
      <c r="K1469" s="15" t="n">
        <f aca="false">IF(B1469="SITE LOSS",IF(COUNTIFS('Site Dockets'!$B$7:$B$24,C1469,'Site Dockets'!$C$7:$C$24,F1469)&gt;0,1,0),IF(B1469="REGION LOSS",IF(COUNTIFS('Site Dockets'!$E$7:$E$24,C1469,'Site Dockets'!$C$7:$C$24,F1469)&gt;0,1,0),0))</f>
        <v>0</v>
      </c>
      <c r="L1469" s="15" t="n">
        <f aca="false">IF(J1469=1,0,Inputs!$B$11)</f>
        <v>100</v>
      </c>
      <c r="M1469" s="15" t="n">
        <f aca="false">IF(J1469=1,0,Inputs!$B$12)</f>
        <v>75</v>
      </c>
      <c r="N1469" s="15" t="n">
        <f aca="false">IF(J1469=1,0,IF(OR(AND(OR(B1469="SITE LOSS",B1469="REGION LOSS"),K1469=1),AND(B1469="ROLE COMPROMISE",H1469=C1469)),Inputs!$B$13,Inputs!$B$14))</f>
        <v>10</v>
      </c>
      <c r="O1469" s="15" t="n">
        <f aca="false">IF(J1469=1,0,Inputs!$B$13)</f>
        <v>20</v>
      </c>
      <c r="P1469" s="15" t="n">
        <f aca="false">SUM(M1469:N1469)</f>
        <v>85</v>
      </c>
      <c r="Q1469" s="15" t="n">
        <f aca="false">IF(J1469=1,"",L1469-P1469)</f>
        <v>15</v>
      </c>
      <c r="R1469" s="15" t="n">
        <f aca="false">IF(OR(J1469=1,M1469&lt;=Inputs!$B$12),1,0)</f>
        <v>1</v>
      </c>
      <c r="S1469" s="15" t="n">
        <f aca="false">IF(OR(J1469=1,N1469&lt;=O1469),1,0)</f>
        <v>1</v>
      </c>
      <c r="T1469" s="15" t="str">
        <f aca="false">IF(J1469=1,"OFFLINE",IF(AND(Q1469&gt;=Inputs!$B$15,R1469=1,S1469=1,P1469&lt;=L1469),"PASS","FAIL"))</f>
        <v>PASS</v>
      </c>
    </row>
    <row r="1470" customFormat="false" ht="15" hidden="false" customHeight="false" outlineLevel="0" collapsed="false">
      <c r="A1470" s="14" t="s">
        <v>1032</v>
      </c>
      <c r="B1470" s="14" t="s">
        <v>1019</v>
      </c>
      <c r="C1470" s="14" t="s">
        <v>194</v>
      </c>
      <c r="D1470" s="14" t="s">
        <v>182</v>
      </c>
      <c r="E1470" s="14" t="s">
        <v>166</v>
      </c>
      <c r="F1470" s="14" t="s">
        <v>183</v>
      </c>
      <c r="G1470" s="14" t="n">
        <v>1</v>
      </c>
      <c r="H1470" s="14" t="s">
        <v>154</v>
      </c>
      <c r="I1470" s="14" t="s">
        <v>899</v>
      </c>
      <c r="J1470" s="15" t="n">
        <f aca="false">IF(B1470="SITE LOSS",IF(D1470=C1470,1,0),IF(B1470="REGION LOSS",IF(E1470=C1470,1,0),0))</f>
        <v>0</v>
      </c>
      <c r="K1470" s="15" t="n">
        <f aca="false">IF(B1470="SITE LOSS",IF(COUNTIFS('Site Dockets'!$B$7:$B$24,C1470,'Site Dockets'!$C$7:$C$24,F1470)&gt;0,1,0),IF(B1470="REGION LOSS",IF(COUNTIFS('Site Dockets'!$E$7:$E$24,C1470,'Site Dockets'!$C$7:$C$24,F1470)&gt;0,1,0),0))</f>
        <v>0</v>
      </c>
      <c r="L1470" s="15" t="n">
        <f aca="false">IF(J1470=1,0,Inputs!$B$11)</f>
        <v>100</v>
      </c>
      <c r="M1470" s="15" t="n">
        <f aca="false">IF(J1470=1,0,Inputs!$B$12)</f>
        <v>75</v>
      </c>
      <c r="N1470" s="15" t="n">
        <f aca="false">IF(J1470=1,0,IF(OR(AND(OR(B1470="SITE LOSS",B1470="REGION LOSS"),K1470=1),AND(B1470="ROLE COMPROMISE",H1470=C1470)),Inputs!$B$13,Inputs!$B$14))</f>
        <v>10</v>
      </c>
      <c r="O1470" s="15" t="n">
        <f aca="false">IF(J1470=1,0,Inputs!$B$13)</f>
        <v>20</v>
      </c>
      <c r="P1470" s="15" t="n">
        <f aca="false">SUM(M1470:N1470)</f>
        <v>85</v>
      </c>
      <c r="Q1470" s="15" t="n">
        <f aca="false">IF(J1470=1,"",L1470-P1470)</f>
        <v>15</v>
      </c>
      <c r="R1470" s="15" t="n">
        <f aca="false">IF(OR(J1470=1,M1470&lt;=Inputs!$B$12),1,0)</f>
        <v>1</v>
      </c>
      <c r="S1470" s="15" t="n">
        <f aca="false">IF(OR(J1470=1,N1470&lt;=O1470),1,0)</f>
        <v>1</v>
      </c>
      <c r="T1470" s="15" t="str">
        <f aca="false">IF(J1470=1,"OFFLINE",IF(AND(Q1470&gt;=Inputs!$B$15,R1470=1,S1470=1,P1470&lt;=L1470),"PASS","FAIL"))</f>
        <v>PASS</v>
      </c>
    </row>
    <row r="1471" customFormat="false" ht="15" hidden="false" customHeight="false" outlineLevel="0" collapsed="false">
      <c r="A1471" s="14" t="s">
        <v>1032</v>
      </c>
      <c r="B1471" s="14" t="s">
        <v>1019</v>
      </c>
      <c r="C1471" s="14" t="s">
        <v>194</v>
      </c>
      <c r="D1471" s="14" t="s">
        <v>186</v>
      </c>
      <c r="E1471" s="14" t="s">
        <v>157</v>
      </c>
      <c r="F1471" s="14" t="s">
        <v>183</v>
      </c>
      <c r="G1471" s="14" t="n">
        <v>2</v>
      </c>
      <c r="H1471" s="14" t="s">
        <v>153</v>
      </c>
      <c r="I1471" s="14" t="s">
        <v>890</v>
      </c>
      <c r="J1471" s="15" t="n">
        <f aca="false">IF(B1471="SITE LOSS",IF(D1471=C1471,1,0),IF(B1471="REGION LOSS",IF(E1471=C1471,1,0),0))</f>
        <v>0</v>
      </c>
      <c r="K1471" s="15" t="n">
        <f aca="false">IF(B1471="SITE LOSS",IF(COUNTIFS('Site Dockets'!$B$7:$B$24,C1471,'Site Dockets'!$C$7:$C$24,F1471)&gt;0,1,0),IF(B1471="REGION LOSS",IF(COUNTIFS('Site Dockets'!$E$7:$E$24,C1471,'Site Dockets'!$C$7:$C$24,F1471)&gt;0,1,0),0))</f>
        <v>0</v>
      </c>
      <c r="L1471" s="15" t="n">
        <f aca="false">IF(J1471=1,0,Inputs!$B$11)</f>
        <v>100</v>
      </c>
      <c r="M1471" s="15" t="n">
        <f aca="false">IF(J1471=1,0,Inputs!$B$12)</f>
        <v>75</v>
      </c>
      <c r="N1471" s="15" t="n">
        <f aca="false">IF(J1471=1,0,IF(OR(AND(OR(B1471="SITE LOSS",B1471="REGION LOSS"),K1471=1),AND(B1471="ROLE COMPROMISE",H1471=C1471)),Inputs!$B$13,Inputs!$B$14))</f>
        <v>10</v>
      </c>
      <c r="O1471" s="15" t="n">
        <f aca="false">IF(J1471=1,0,Inputs!$B$13)</f>
        <v>20</v>
      </c>
      <c r="P1471" s="15" t="n">
        <f aca="false">SUM(M1471:N1471)</f>
        <v>85</v>
      </c>
      <c r="Q1471" s="15" t="n">
        <f aca="false">IF(J1471=1,"",L1471-P1471)</f>
        <v>15</v>
      </c>
      <c r="R1471" s="15" t="n">
        <f aca="false">IF(OR(J1471=1,M1471&lt;=Inputs!$B$12),1,0)</f>
        <v>1</v>
      </c>
      <c r="S1471" s="15" t="n">
        <f aca="false">IF(OR(J1471=1,N1471&lt;=O1471),1,0)</f>
        <v>1</v>
      </c>
      <c r="T1471" s="15" t="str">
        <f aca="false">IF(J1471=1,"OFFLINE",IF(AND(Q1471&gt;=Inputs!$B$15,R1471=1,S1471=1,P1471&lt;=L1471),"PASS","FAIL"))</f>
        <v>PASS</v>
      </c>
    </row>
    <row r="1472" customFormat="false" ht="15" hidden="false" customHeight="false" outlineLevel="0" collapsed="false">
      <c r="A1472" s="14" t="s">
        <v>1032</v>
      </c>
      <c r="B1472" s="14" t="s">
        <v>1019</v>
      </c>
      <c r="C1472" s="14" t="s">
        <v>194</v>
      </c>
      <c r="D1472" s="14" t="s">
        <v>186</v>
      </c>
      <c r="E1472" s="14" t="s">
        <v>157</v>
      </c>
      <c r="F1472" s="14" t="s">
        <v>183</v>
      </c>
      <c r="G1472" s="14" t="n">
        <v>2</v>
      </c>
      <c r="H1472" s="14" t="s">
        <v>153</v>
      </c>
      <c r="I1472" s="14" t="s">
        <v>892</v>
      </c>
      <c r="J1472" s="15" t="n">
        <f aca="false">IF(B1472="SITE LOSS",IF(D1472=C1472,1,0),IF(B1472="REGION LOSS",IF(E1472=C1472,1,0),0))</f>
        <v>0</v>
      </c>
      <c r="K1472" s="15" t="n">
        <f aca="false">IF(B1472="SITE LOSS",IF(COUNTIFS('Site Dockets'!$B$7:$B$24,C1472,'Site Dockets'!$C$7:$C$24,F1472)&gt;0,1,0),IF(B1472="REGION LOSS",IF(COUNTIFS('Site Dockets'!$E$7:$E$24,C1472,'Site Dockets'!$C$7:$C$24,F1472)&gt;0,1,0),0))</f>
        <v>0</v>
      </c>
      <c r="L1472" s="15" t="n">
        <f aca="false">IF(J1472=1,0,Inputs!$B$11)</f>
        <v>100</v>
      </c>
      <c r="M1472" s="15" t="n">
        <f aca="false">IF(J1472=1,0,Inputs!$B$12)</f>
        <v>75</v>
      </c>
      <c r="N1472" s="15" t="n">
        <f aca="false">IF(J1472=1,0,IF(OR(AND(OR(B1472="SITE LOSS",B1472="REGION LOSS"),K1472=1),AND(B1472="ROLE COMPROMISE",H1472=C1472)),Inputs!$B$13,Inputs!$B$14))</f>
        <v>10</v>
      </c>
      <c r="O1472" s="15" t="n">
        <f aca="false">IF(J1472=1,0,Inputs!$B$13)</f>
        <v>20</v>
      </c>
      <c r="P1472" s="15" t="n">
        <f aca="false">SUM(M1472:N1472)</f>
        <v>85</v>
      </c>
      <c r="Q1472" s="15" t="n">
        <f aca="false">IF(J1472=1,"",L1472-P1472)</f>
        <v>15</v>
      </c>
      <c r="R1472" s="15" t="n">
        <f aca="false">IF(OR(J1472=1,M1472&lt;=Inputs!$B$12),1,0)</f>
        <v>1</v>
      </c>
      <c r="S1472" s="15" t="n">
        <f aca="false">IF(OR(J1472=1,N1472&lt;=O1472),1,0)</f>
        <v>1</v>
      </c>
      <c r="T1472" s="15" t="str">
        <f aca="false">IF(J1472=1,"OFFLINE",IF(AND(Q1472&gt;=Inputs!$B$15,R1472=1,S1472=1,P1472&lt;=L1472),"PASS","FAIL"))</f>
        <v>PASS</v>
      </c>
    </row>
    <row r="1473" customFormat="false" ht="15" hidden="false" customHeight="false" outlineLevel="0" collapsed="false">
      <c r="A1473" s="14" t="s">
        <v>1032</v>
      </c>
      <c r="B1473" s="14" t="s">
        <v>1019</v>
      </c>
      <c r="C1473" s="14" t="s">
        <v>194</v>
      </c>
      <c r="D1473" s="14" t="s">
        <v>186</v>
      </c>
      <c r="E1473" s="14" t="s">
        <v>157</v>
      </c>
      <c r="F1473" s="14" t="s">
        <v>183</v>
      </c>
      <c r="G1473" s="14" t="n">
        <v>2</v>
      </c>
      <c r="H1473" s="14" t="s">
        <v>153</v>
      </c>
      <c r="I1473" s="14" t="s">
        <v>811</v>
      </c>
      <c r="J1473" s="15" t="n">
        <f aca="false">IF(B1473="SITE LOSS",IF(D1473=C1473,1,0),IF(B1473="REGION LOSS",IF(E1473=C1473,1,0),0))</f>
        <v>0</v>
      </c>
      <c r="K1473" s="15" t="n">
        <f aca="false">IF(B1473="SITE LOSS",IF(COUNTIFS('Site Dockets'!$B$7:$B$24,C1473,'Site Dockets'!$C$7:$C$24,F1473)&gt;0,1,0),IF(B1473="REGION LOSS",IF(COUNTIFS('Site Dockets'!$E$7:$E$24,C1473,'Site Dockets'!$C$7:$C$24,F1473)&gt;0,1,0),0))</f>
        <v>0</v>
      </c>
      <c r="L1473" s="15" t="n">
        <f aca="false">IF(J1473=1,0,Inputs!$B$11)</f>
        <v>100</v>
      </c>
      <c r="M1473" s="15" t="n">
        <f aca="false">IF(J1473=1,0,Inputs!$B$12)</f>
        <v>75</v>
      </c>
      <c r="N1473" s="15" t="n">
        <f aca="false">IF(J1473=1,0,IF(OR(AND(OR(B1473="SITE LOSS",B1473="REGION LOSS"),K1473=1),AND(B1473="ROLE COMPROMISE",H1473=C1473)),Inputs!$B$13,Inputs!$B$14))</f>
        <v>10</v>
      </c>
      <c r="O1473" s="15" t="n">
        <f aca="false">IF(J1473=1,0,Inputs!$B$13)</f>
        <v>20</v>
      </c>
      <c r="P1473" s="15" t="n">
        <f aca="false">SUM(M1473:N1473)</f>
        <v>85</v>
      </c>
      <c r="Q1473" s="15" t="n">
        <f aca="false">IF(J1473=1,"",L1473-P1473)</f>
        <v>15</v>
      </c>
      <c r="R1473" s="15" t="n">
        <f aca="false">IF(OR(J1473=1,M1473&lt;=Inputs!$B$12),1,0)</f>
        <v>1</v>
      </c>
      <c r="S1473" s="15" t="n">
        <f aca="false">IF(OR(J1473=1,N1473&lt;=O1473),1,0)</f>
        <v>1</v>
      </c>
      <c r="T1473" s="15" t="str">
        <f aca="false">IF(J1473=1,"OFFLINE",IF(AND(Q1473&gt;=Inputs!$B$15,R1473=1,S1473=1,P1473&lt;=L1473),"PASS","FAIL"))</f>
        <v>PASS</v>
      </c>
    </row>
    <row r="1474" customFormat="false" ht="15" hidden="false" customHeight="false" outlineLevel="0" collapsed="false">
      <c r="A1474" s="14" t="s">
        <v>1032</v>
      </c>
      <c r="B1474" s="14" t="s">
        <v>1019</v>
      </c>
      <c r="C1474" s="14" t="s">
        <v>194</v>
      </c>
      <c r="D1474" s="14" t="s">
        <v>186</v>
      </c>
      <c r="E1474" s="14" t="s">
        <v>157</v>
      </c>
      <c r="F1474" s="14" t="s">
        <v>183</v>
      </c>
      <c r="G1474" s="14" t="n">
        <v>2</v>
      </c>
      <c r="H1474" s="14" t="s">
        <v>153</v>
      </c>
      <c r="I1474" s="14" t="s">
        <v>895</v>
      </c>
      <c r="J1474" s="15" t="n">
        <f aca="false">IF(B1474="SITE LOSS",IF(D1474=C1474,1,0),IF(B1474="REGION LOSS",IF(E1474=C1474,1,0),0))</f>
        <v>0</v>
      </c>
      <c r="K1474" s="15" t="n">
        <f aca="false">IF(B1474="SITE LOSS",IF(COUNTIFS('Site Dockets'!$B$7:$B$24,C1474,'Site Dockets'!$C$7:$C$24,F1474)&gt;0,1,0),IF(B1474="REGION LOSS",IF(COUNTIFS('Site Dockets'!$E$7:$E$24,C1474,'Site Dockets'!$C$7:$C$24,F1474)&gt;0,1,0),0))</f>
        <v>0</v>
      </c>
      <c r="L1474" s="15" t="n">
        <f aca="false">IF(J1474=1,0,Inputs!$B$11)</f>
        <v>100</v>
      </c>
      <c r="M1474" s="15" t="n">
        <f aca="false">IF(J1474=1,0,Inputs!$B$12)</f>
        <v>75</v>
      </c>
      <c r="N1474" s="15" t="n">
        <f aca="false">IF(J1474=1,0,IF(OR(AND(OR(B1474="SITE LOSS",B1474="REGION LOSS"),K1474=1),AND(B1474="ROLE COMPROMISE",H1474=C1474)),Inputs!$B$13,Inputs!$B$14))</f>
        <v>10</v>
      </c>
      <c r="O1474" s="15" t="n">
        <f aca="false">IF(J1474=1,0,Inputs!$B$13)</f>
        <v>20</v>
      </c>
      <c r="P1474" s="15" t="n">
        <f aca="false">SUM(M1474:N1474)</f>
        <v>85</v>
      </c>
      <c r="Q1474" s="15" t="n">
        <f aca="false">IF(J1474=1,"",L1474-P1474)</f>
        <v>15</v>
      </c>
      <c r="R1474" s="15" t="n">
        <f aca="false">IF(OR(J1474=1,M1474&lt;=Inputs!$B$12),1,0)</f>
        <v>1</v>
      </c>
      <c r="S1474" s="15" t="n">
        <f aca="false">IF(OR(J1474=1,N1474&lt;=O1474),1,0)</f>
        <v>1</v>
      </c>
      <c r="T1474" s="15" t="str">
        <f aca="false">IF(J1474=1,"OFFLINE",IF(AND(Q1474&gt;=Inputs!$B$15,R1474=1,S1474=1,P1474&lt;=L1474),"PASS","FAIL"))</f>
        <v>PASS</v>
      </c>
    </row>
    <row r="1475" customFormat="false" ht="15" hidden="false" customHeight="false" outlineLevel="0" collapsed="false">
      <c r="A1475" s="14" t="s">
        <v>1032</v>
      </c>
      <c r="B1475" s="14" t="s">
        <v>1019</v>
      </c>
      <c r="C1475" s="14" t="s">
        <v>194</v>
      </c>
      <c r="D1475" s="14" t="s">
        <v>186</v>
      </c>
      <c r="E1475" s="14" t="s">
        <v>157</v>
      </c>
      <c r="F1475" s="14" t="s">
        <v>183</v>
      </c>
      <c r="G1475" s="14" t="n">
        <v>2</v>
      </c>
      <c r="H1475" s="14" t="s">
        <v>153</v>
      </c>
      <c r="I1475" s="14" t="s">
        <v>897</v>
      </c>
      <c r="J1475" s="15" t="n">
        <f aca="false">IF(B1475="SITE LOSS",IF(D1475=C1475,1,0),IF(B1475="REGION LOSS",IF(E1475=C1475,1,0),0))</f>
        <v>0</v>
      </c>
      <c r="K1475" s="15" t="n">
        <f aca="false">IF(B1475="SITE LOSS",IF(COUNTIFS('Site Dockets'!$B$7:$B$24,C1475,'Site Dockets'!$C$7:$C$24,F1475)&gt;0,1,0),IF(B1475="REGION LOSS",IF(COUNTIFS('Site Dockets'!$E$7:$E$24,C1475,'Site Dockets'!$C$7:$C$24,F1475)&gt;0,1,0),0))</f>
        <v>0</v>
      </c>
      <c r="L1475" s="15" t="n">
        <f aca="false">IF(J1475=1,0,Inputs!$B$11)</f>
        <v>100</v>
      </c>
      <c r="M1475" s="15" t="n">
        <f aca="false">IF(J1475=1,0,Inputs!$B$12)</f>
        <v>75</v>
      </c>
      <c r="N1475" s="15" t="n">
        <f aca="false">IF(J1475=1,0,IF(OR(AND(OR(B1475="SITE LOSS",B1475="REGION LOSS"),K1475=1),AND(B1475="ROLE COMPROMISE",H1475=C1475)),Inputs!$B$13,Inputs!$B$14))</f>
        <v>10</v>
      </c>
      <c r="O1475" s="15" t="n">
        <f aca="false">IF(J1475=1,0,Inputs!$B$13)</f>
        <v>20</v>
      </c>
      <c r="P1475" s="15" t="n">
        <f aca="false">SUM(M1475:N1475)</f>
        <v>85</v>
      </c>
      <c r="Q1475" s="15" t="n">
        <f aca="false">IF(J1475=1,"",L1475-P1475)</f>
        <v>15</v>
      </c>
      <c r="R1475" s="15" t="n">
        <f aca="false">IF(OR(J1475=1,M1475&lt;=Inputs!$B$12),1,0)</f>
        <v>1</v>
      </c>
      <c r="S1475" s="15" t="n">
        <f aca="false">IF(OR(J1475=1,N1475&lt;=O1475),1,0)</f>
        <v>1</v>
      </c>
      <c r="T1475" s="15" t="str">
        <f aca="false">IF(J1475=1,"OFFLINE",IF(AND(Q1475&gt;=Inputs!$B$15,R1475=1,S1475=1,P1475&lt;=L1475),"PASS","FAIL"))</f>
        <v>PASS</v>
      </c>
    </row>
    <row r="1476" customFormat="false" ht="15" hidden="false" customHeight="false" outlineLevel="0" collapsed="false">
      <c r="A1476" s="14" t="s">
        <v>1032</v>
      </c>
      <c r="B1476" s="14" t="s">
        <v>1019</v>
      </c>
      <c r="C1476" s="14" t="s">
        <v>194</v>
      </c>
      <c r="D1476" s="14" t="s">
        <v>186</v>
      </c>
      <c r="E1476" s="14" t="s">
        <v>157</v>
      </c>
      <c r="F1476" s="14" t="s">
        <v>183</v>
      </c>
      <c r="G1476" s="14" t="n">
        <v>2</v>
      </c>
      <c r="H1476" s="14" t="s">
        <v>153</v>
      </c>
      <c r="I1476" s="14" t="s">
        <v>899</v>
      </c>
      <c r="J1476" s="15" t="n">
        <f aca="false">IF(B1476="SITE LOSS",IF(D1476=C1476,1,0),IF(B1476="REGION LOSS",IF(E1476=C1476,1,0),0))</f>
        <v>0</v>
      </c>
      <c r="K1476" s="15" t="n">
        <f aca="false">IF(B1476="SITE LOSS",IF(COUNTIFS('Site Dockets'!$B$7:$B$24,C1476,'Site Dockets'!$C$7:$C$24,F1476)&gt;0,1,0),IF(B1476="REGION LOSS",IF(COUNTIFS('Site Dockets'!$E$7:$E$24,C1476,'Site Dockets'!$C$7:$C$24,F1476)&gt;0,1,0),0))</f>
        <v>0</v>
      </c>
      <c r="L1476" s="15" t="n">
        <f aca="false">IF(J1476=1,0,Inputs!$B$11)</f>
        <v>100</v>
      </c>
      <c r="M1476" s="15" t="n">
        <f aca="false">IF(J1476=1,0,Inputs!$B$12)</f>
        <v>75</v>
      </c>
      <c r="N1476" s="15" t="n">
        <f aca="false">IF(J1476=1,0,IF(OR(AND(OR(B1476="SITE LOSS",B1476="REGION LOSS"),K1476=1),AND(B1476="ROLE COMPROMISE",H1476=C1476)),Inputs!$B$13,Inputs!$B$14))</f>
        <v>10</v>
      </c>
      <c r="O1476" s="15" t="n">
        <f aca="false">IF(J1476=1,0,Inputs!$B$13)</f>
        <v>20</v>
      </c>
      <c r="P1476" s="15" t="n">
        <f aca="false">SUM(M1476:N1476)</f>
        <v>85</v>
      </c>
      <c r="Q1476" s="15" t="n">
        <f aca="false">IF(J1476=1,"",L1476-P1476)</f>
        <v>15</v>
      </c>
      <c r="R1476" s="15" t="n">
        <f aca="false">IF(OR(J1476=1,M1476&lt;=Inputs!$B$12),1,0)</f>
        <v>1</v>
      </c>
      <c r="S1476" s="15" t="n">
        <f aca="false">IF(OR(J1476=1,N1476&lt;=O1476),1,0)</f>
        <v>1</v>
      </c>
      <c r="T1476" s="15" t="str">
        <f aca="false">IF(J1476=1,"OFFLINE",IF(AND(Q1476&gt;=Inputs!$B$15,R1476=1,S1476=1,P1476&lt;=L1476),"PASS","FAIL"))</f>
        <v>PASS</v>
      </c>
    </row>
    <row r="1477" customFormat="false" ht="15" hidden="false" customHeight="false" outlineLevel="0" collapsed="false">
      <c r="A1477" s="14" t="s">
        <v>1032</v>
      </c>
      <c r="B1477" s="14" t="s">
        <v>1019</v>
      </c>
      <c r="C1477" s="14" t="s">
        <v>194</v>
      </c>
      <c r="D1477" s="14" t="s">
        <v>188</v>
      </c>
      <c r="E1477" s="14" t="s">
        <v>172</v>
      </c>
      <c r="F1477" s="14" t="s">
        <v>183</v>
      </c>
      <c r="G1477" s="14" t="n">
        <v>3</v>
      </c>
      <c r="H1477" s="14" t="s">
        <v>158</v>
      </c>
      <c r="I1477" s="14" t="s">
        <v>890</v>
      </c>
      <c r="J1477" s="15" t="n">
        <f aca="false">IF(B1477="SITE LOSS",IF(D1477=C1477,1,0),IF(B1477="REGION LOSS",IF(E1477=C1477,1,0),0))</f>
        <v>0</v>
      </c>
      <c r="K1477" s="15" t="n">
        <f aca="false">IF(B1477="SITE LOSS",IF(COUNTIFS('Site Dockets'!$B$7:$B$24,C1477,'Site Dockets'!$C$7:$C$24,F1477)&gt;0,1,0),IF(B1477="REGION LOSS",IF(COUNTIFS('Site Dockets'!$E$7:$E$24,C1477,'Site Dockets'!$C$7:$C$24,F1477)&gt;0,1,0),0))</f>
        <v>0</v>
      </c>
      <c r="L1477" s="15" t="n">
        <f aca="false">IF(J1477=1,0,Inputs!$B$11)</f>
        <v>100</v>
      </c>
      <c r="M1477" s="15" t="n">
        <f aca="false">IF(J1477=1,0,Inputs!$B$12)</f>
        <v>75</v>
      </c>
      <c r="N1477" s="15" t="n">
        <f aca="false">IF(J1477=1,0,IF(OR(AND(OR(B1477="SITE LOSS",B1477="REGION LOSS"),K1477=1),AND(B1477="ROLE COMPROMISE",H1477=C1477)),Inputs!$B$13,Inputs!$B$14))</f>
        <v>10</v>
      </c>
      <c r="O1477" s="15" t="n">
        <f aca="false">IF(J1477=1,0,Inputs!$B$13)</f>
        <v>20</v>
      </c>
      <c r="P1477" s="15" t="n">
        <f aca="false">SUM(M1477:N1477)</f>
        <v>85</v>
      </c>
      <c r="Q1477" s="15" t="n">
        <f aca="false">IF(J1477=1,"",L1477-P1477)</f>
        <v>15</v>
      </c>
      <c r="R1477" s="15" t="n">
        <f aca="false">IF(OR(J1477=1,M1477&lt;=Inputs!$B$12),1,0)</f>
        <v>1</v>
      </c>
      <c r="S1477" s="15" t="n">
        <f aca="false">IF(OR(J1477=1,N1477&lt;=O1477),1,0)</f>
        <v>1</v>
      </c>
      <c r="T1477" s="15" t="str">
        <f aca="false">IF(J1477=1,"OFFLINE",IF(AND(Q1477&gt;=Inputs!$B$15,R1477=1,S1477=1,P1477&lt;=L1477),"PASS","FAIL"))</f>
        <v>PASS</v>
      </c>
    </row>
    <row r="1478" customFormat="false" ht="15" hidden="false" customHeight="false" outlineLevel="0" collapsed="false">
      <c r="A1478" s="14" t="s">
        <v>1032</v>
      </c>
      <c r="B1478" s="14" t="s">
        <v>1019</v>
      </c>
      <c r="C1478" s="14" t="s">
        <v>194</v>
      </c>
      <c r="D1478" s="14" t="s">
        <v>188</v>
      </c>
      <c r="E1478" s="14" t="s">
        <v>172</v>
      </c>
      <c r="F1478" s="14" t="s">
        <v>183</v>
      </c>
      <c r="G1478" s="14" t="n">
        <v>3</v>
      </c>
      <c r="H1478" s="14" t="s">
        <v>158</v>
      </c>
      <c r="I1478" s="14" t="s">
        <v>892</v>
      </c>
      <c r="J1478" s="15" t="n">
        <f aca="false">IF(B1478="SITE LOSS",IF(D1478=C1478,1,0),IF(B1478="REGION LOSS",IF(E1478=C1478,1,0),0))</f>
        <v>0</v>
      </c>
      <c r="K1478" s="15" t="n">
        <f aca="false">IF(B1478="SITE LOSS",IF(COUNTIFS('Site Dockets'!$B$7:$B$24,C1478,'Site Dockets'!$C$7:$C$24,F1478)&gt;0,1,0),IF(B1478="REGION LOSS",IF(COUNTIFS('Site Dockets'!$E$7:$E$24,C1478,'Site Dockets'!$C$7:$C$24,F1478)&gt;0,1,0),0))</f>
        <v>0</v>
      </c>
      <c r="L1478" s="15" t="n">
        <f aca="false">IF(J1478=1,0,Inputs!$B$11)</f>
        <v>100</v>
      </c>
      <c r="M1478" s="15" t="n">
        <f aca="false">IF(J1478=1,0,Inputs!$B$12)</f>
        <v>75</v>
      </c>
      <c r="N1478" s="15" t="n">
        <f aca="false">IF(J1478=1,0,IF(OR(AND(OR(B1478="SITE LOSS",B1478="REGION LOSS"),K1478=1),AND(B1478="ROLE COMPROMISE",H1478=C1478)),Inputs!$B$13,Inputs!$B$14))</f>
        <v>10</v>
      </c>
      <c r="O1478" s="15" t="n">
        <f aca="false">IF(J1478=1,0,Inputs!$B$13)</f>
        <v>20</v>
      </c>
      <c r="P1478" s="15" t="n">
        <f aca="false">SUM(M1478:N1478)</f>
        <v>85</v>
      </c>
      <c r="Q1478" s="15" t="n">
        <f aca="false">IF(J1478=1,"",L1478-P1478)</f>
        <v>15</v>
      </c>
      <c r="R1478" s="15" t="n">
        <f aca="false">IF(OR(J1478=1,M1478&lt;=Inputs!$B$12),1,0)</f>
        <v>1</v>
      </c>
      <c r="S1478" s="15" t="n">
        <f aca="false">IF(OR(J1478=1,N1478&lt;=O1478),1,0)</f>
        <v>1</v>
      </c>
      <c r="T1478" s="15" t="str">
        <f aca="false">IF(J1478=1,"OFFLINE",IF(AND(Q1478&gt;=Inputs!$B$15,R1478=1,S1478=1,P1478&lt;=L1478),"PASS","FAIL"))</f>
        <v>PASS</v>
      </c>
    </row>
    <row r="1479" customFormat="false" ht="15" hidden="false" customHeight="false" outlineLevel="0" collapsed="false">
      <c r="A1479" s="14" t="s">
        <v>1032</v>
      </c>
      <c r="B1479" s="14" t="s">
        <v>1019</v>
      </c>
      <c r="C1479" s="14" t="s">
        <v>194</v>
      </c>
      <c r="D1479" s="14" t="s">
        <v>188</v>
      </c>
      <c r="E1479" s="14" t="s">
        <v>172</v>
      </c>
      <c r="F1479" s="14" t="s">
        <v>183</v>
      </c>
      <c r="G1479" s="14" t="n">
        <v>3</v>
      </c>
      <c r="H1479" s="14" t="s">
        <v>158</v>
      </c>
      <c r="I1479" s="14" t="s">
        <v>811</v>
      </c>
      <c r="J1479" s="15" t="n">
        <f aca="false">IF(B1479="SITE LOSS",IF(D1479=C1479,1,0),IF(B1479="REGION LOSS",IF(E1479=C1479,1,0),0))</f>
        <v>0</v>
      </c>
      <c r="K1479" s="15" t="n">
        <f aca="false">IF(B1479="SITE LOSS",IF(COUNTIFS('Site Dockets'!$B$7:$B$24,C1479,'Site Dockets'!$C$7:$C$24,F1479)&gt;0,1,0),IF(B1479="REGION LOSS",IF(COUNTIFS('Site Dockets'!$E$7:$E$24,C1479,'Site Dockets'!$C$7:$C$24,F1479)&gt;0,1,0),0))</f>
        <v>0</v>
      </c>
      <c r="L1479" s="15" t="n">
        <f aca="false">IF(J1479=1,0,Inputs!$B$11)</f>
        <v>100</v>
      </c>
      <c r="M1479" s="15" t="n">
        <f aca="false">IF(J1479=1,0,Inputs!$B$12)</f>
        <v>75</v>
      </c>
      <c r="N1479" s="15" t="n">
        <f aca="false">IF(J1479=1,0,IF(OR(AND(OR(B1479="SITE LOSS",B1479="REGION LOSS"),K1479=1),AND(B1479="ROLE COMPROMISE",H1479=C1479)),Inputs!$B$13,Inputs!$B$14))</f>
        <v>10</v>
      </c>
      <c r="O1479" s="15" t="n">
        <f aca="false">IF(J1479=1,0,Inputs!$B$13)</f>
        <v>20</v>
      </c>
      <c r="P1479" s="15" t="n">
        <f aca="false">SUM(M1479:N1479)</f>
        <v>85</v>
      </c>
      <c r="Q1479" s="15" t="n">
        <f aca="false">IF(J1479=1,"",L1479-P1479)</f>
        <v>15</v>
      </c>
      <c r="R1479" s="15" t="n">
        <f aca="false">IF(OR(J1479=1,M1479&lt;=Inputs!$B$12),1,0)</f>
        <v>1</v>
      </c>
      <c r="S1479" s="15" t="n">
        <f aca="false">IF(OR(J1479=1,N1479&lt;=O1479),1,0)</f>
        <v>1</v>
      </c>
      <c r="T1479" s="15" t="str">
        <f aca="false">IF(J1479=1,"OFFLINE",IF(AND(Q1479&gt;=Inputs!$B$15,R1479=1,S1479=1,P1479&lt;=L1479),"PASS","FAIL"))</f>
        <v>PASS</v>
      </c>
    </row>
    <row r="1480" customFormat="false" ht="15" hidden="false" customHeight="false" outlineLevel="0" collapsed="false">
      <c r="A1480" s="14" t="s">
        <v>1032</v>
      </c>
      <c r="B1480" s="14" t="s">
        <v>1019</v>
      </c>
      <c r="C1480" s="14" t="s">
        <v>194</v>
      </c>
      <c r="D1480" s="14" t="s">
        <v>188</v>
      </c>
      <c r="E1480" s="14" t="s">
        <v>172</v>
      </c>
      <c r="F1480" s="14" t="s">
        <v>183</v>
      </c>
      <c r="G1480" s="14" t="n">
        <v>3</v>
      </c>
      <c r="H1480" s="14" t="s">
        <v>158</v>
      </c>
      <c r="I1480" s="14" t="s">
        <v>895</v>
      </c>
      <c r="J1480" s="15" t="n">
        <f aca="false">IF(B1480="SITE LOSS",IF(D1480=C1480,1,0),IF(B1480="REGION LOSS",IF(E1480=C1480,1,0),0))</f>
        <v>0</v>
      </c>
      <c r="K1480" s="15" t="n">
        <f aca="false">IF(B1480="SITE LOSS",IF(COUNTIFS('Site Dockets'!$B$7:$B$24,C1480,'Site Dockets'!$C$7:$C$24,F1480)&gt;0,1,0),IF(B1480="REGION LOSS",IF(COUNTIFS('Site Dockets'!$E$7:$E$24,C1480,'Site Dockets'!$C$7:$C$24,F1480)&gt;0,1,0),0))</f>
        <v>0</v>
      </c>
      <c r="L1480" s="15" t="n">
        <f aca="false">IF(J1480=1,0,Inputs!$B$11)</f>
        <v>100</v>
      </c>
      <c r="M1480" s="15" t="n">
        <f aca="false">IF(J1480=1,0,Inputs!$B$12)</f>
        <v>75</v>
      </c>
      <c r="N1480" s="15" t="n">
        <f aca="false">IF(J1480=1,0,IF(OR(AND(OR(B1480="SITE LOSS",B1480="REGION LOSS"),K1480=1),AND(B1480="ROLE COMPROMISE",H1480=C1480)),Inputs!$B$13,Inputs!$B$14))</f>
        <v>10</v>
      </c>
      <c r="O1480" s="15" t="n">
        <f aca="false">IF(J1480=1,0,Inputs!$B$13)</f>
        <v>20</v>
      </c>
      <c r="P1480" s="15" t="n">
        <f aca="false">SUM(M1480:N1480)</f>
        <v>85</v>
      </c>
      <c r="Q1480" s="15" t="n">
        <f aca="false">IF(J1480=1,"",L1480-P1480)</f>
        <v>15</v>
      </c>
      <c r="R1480" s="15" t="n">
        <f aca="false">IF(OR(J1480=1,M1480&lt;=Inputs!$B$12),1,0)</f>
        <v>1</v>
      </c>
      <c r="S1480" s="15" t="n">
        <f aca="false">IF(OR(J1480=1,N1480&lt;=O1480),1,0)</f>
        <v>1</v>
      </c>
      <c r="T1480" s="15" t="str">
        <f aca="false">IF(J1480=1,"OFFLINE",IF(AND(Q1480&gt;=Inputs!$B$15,R1480=1,S1480=1,P1480&lt;=L1480),"PASS","FAIL"))</f>
        <v>PASS</v>
      </c>
    </row>
    <row r="1481" customFormat="false" ht="15" hidden="false" customHeight="false" outlineLevel="0" collapsed="false">
      <c r="A1481" s="14" t="s">
        <v>1032</v>
      </c>
      <c r="B1481" s="14" t="s">
        <v>1019</v>
      </c>
      <c r="C1481" s="14" t="s">
        <v>194</v>
      </c>
      <c r="D1481" s="14" t="s">
        <v>188</v>
      </c>
      <c r="E1481" s="14" t="s">
        <v>172</v>
      </c>
      <c r="F1481" s="14" t="s">
        <v>183</v>
      </c>
      <c r="G1481" s="14" t="n">
        <v>3</v>
      </c>
      <c r="H1481" s="14" t="s">
        <v>158</v>
      </c>
      <c r="I1481" s="14" t="s">
        <v>897</v>
      </c>
      <c r="J1481" s="15" t="n">
        <f aca="false">IF(B1481="SITE LOSS",IF(D1481=C1481,1,0),IF(B1481="REGION LOSS",IF(E1481=C1481,1,0),0))</f>
        <v>0</v>
      </c>
      <c r="K1481" s="15" t="n">
        <f aca="false">IF(B1481="SITE LOSS",IF(COUNTIFS('Site Dockets'!$B$7:$B$24,C1481,'Site Dockets'!$C$7:$C$24,F1481)&gt;0,1,0),IF(B1481="REGION LOSS",IF(COUNTIFS('Site Dockets'!$E$7:$E$24,C1481,'Site Dockets'!$C$7:$C$24,F1481)&gt;0,1,0),0))</f>
        <v>0</v>
      </c>
      <c r="L1481" s="15" t="n">
        <f aca="false">IF(J1481=1,0,Inputs!$B$11)</f>
        <v>100</v>
      </c>
      <c r="M1481" s="15" t="n">
        <f aca="false">IF(J1481=1,0,Inputs!$B$12)</f>
        <v>75</v>
      </c>
      <c r="N1481" s="15" t="n">
        <f aca="false">IF(J1481=1,0,IF(OR(AND(OR(B1481="SITE LOSS",B1481="REGION LOSS"),K1481=1),AND(B1481="ROLE COMPROMISE",H1481=C1481)),Inputs!$B$13,Inputs!$B$14))</f>
        <v>10</v>
      </c>
      <c r="O1481" s="15" t="n">
        <f aca="false">IF(J1481=1,0,Inputs!$B$13)</f>
        <v>20</v>
      </c>
      <c r="P1481" s="15" t="n">
        <f aca="false">SUM(M1481:N1481)</f>
        <v>85</v>
      </c>
      <c r="Q1481" s="15" t="n">
        <f aca="false">IF(J1481=1,"",L1481-P1481)</f>
        <v>15</v>
      </c>
      <c r="R1481" s="15" t="n">
        <f aca="false">IF(OR(J1481=1,M1481&lt;=Inputs!$B$12),1,0)</f>
        <v>1</v>
      </c>
      <c r="S1481" s="15" t="n">
        <f aca="false">IF(OR(J1481=1,N1481&lt;=O1481),1,0)</f>
        <v>1</v>
      </c>
      <c r="T1481" s="15" t="str">
        <f aca="false">IF(J1481=1,"OFFLINE",IF(AND(Q1481&gt;=Inputs!$B$15,R1481=1,S1481=1,P1481&lt;=L1481),"PASS","FAIL"))</f>
        <v>PASS</v>
      </c>
    </row>
    <row r="1482" customFormat="false" ht="15" hidden="false" customHeight="false" outlineLevel="0" collapsed="false">
      <c r="A1482" s="14" t="s">
        <v>1032</v>
      </c>
      <c r="B1482" s="14" t="s">
        <v>1019</v>
      </c>
      <c r="C1482" s="14" t="s">
        <v>194</v>
      </c>
      <c r="D1482" s="14" t="s">
        <v>188</v>
      </c>
      <c r="E1482" s="14" t="s">
        <v>172</v>
      </c>
      <c r="F1482" s="14" t="s">
        <v>183</v>
      </c>
      <c r="G1482" s="14" t="n">
        <v>3</v>
      </c>
      <c r="H1482" s="14" t="s">
        <v>158</v>
      </c>
      <c r="I1482" s="14" t="s">
        <v>899</v>
      </c>
      <c r="J1482" s="15" t="n">
        <f aca="false">IF(B1482="SITE LOSS",IF(D1482=C1482,1,0),IF(B1482="REGION LOSS",IF(E1482=C1482,1,0),0))</f>
        <v>0</v>
      </c>
      <c r="K1482" s="15" t="n">
        <f aca="false">IF(B1482="SITE LOSS",IF(COUNTIFS('Site Dockets'!$B$7:$B$24,C1482,'Site Dockets'!$C$7:$C$24,F1482)&gt;0,1,0),IF(B1482="REGION LOSS",IF(COUNTIFS('Site Dockets'!$E$7:$E$24,C1482,'Site Dockets'!$C$7:$C$24,F1482)&gt;0,1,0),0))</f>
        <v>0</v>
      </c>
      <c r="L1482" s="15" t="n">
        <f aca="false">IF(J1482=1,0,Inputs!$B$11)</f>
        <v>100</v>
      </c>
      <c r="M1482" s="15" t="n">
        <f aca="false">IF(J1482=1,0,Inputs!$B$12)</f>
        <v>75</v>
      </c>
      <c r="N1482" s="15" t="n">
        <f aca="false">IF(J1482=1,0,IF(OR(AND(OR(B1482="SITE LOSS",B1482="REGION LOSS"),K1482=1),AND(B1482="ROLE COMPROMISE",H1482=C1482)),Inputs!$B$13,Inputs!$B$14))</f>
        <v>10</v>
      </c>
      <c r="O1482" s="15" t="n">
        <f aca="false">IF(J1482=1,0,Inputs!$B$13)</f>
        <v>20</v>
      </c>
      <c r="P1482" s="15" t="n">
        <f aca="false">SUM(M1482:N1482)</f>
        <v>85</v>
      </c>
      <c r="Q1482" s="15" t="n">
        <f aca="false">IF(J1482=1,"",L1482-P1482)</f>
        <v>15</v>
      </c>
      <c r="R1482" s="15" t="n">
        <f aca="false">IF(OR(J1482=1,M1482&lt;=Inputs!$B$12),1,0)</f>
        <v>1</v>
      </c>
      <c r="S1482" s="15" t="n">
        <f aca="false">IF(OR(J1482=1,N1482&lt;=O1482),1,0)</f>
        <v>1</v>
      </c>
      <c r="T1482" s="15" t="str">
        <f aca="false">IF(J1482=1,"OFFLINE",IF(AND(Q1482&gt;=Inputs!$B$15,R1482=1,S1482=1,P1482&lt;=L1482),"PASS","FAIL"))</f>
        <v>PASS</v>
      </c>
    </row>
    <row r="1483" customFormat="false" ht="15" hidden="false" customHeight="false" outlineLevel="0" collapsed="false">
      <c r="A1483" s="14" t="s">
        <v>1032</v>
      </c>
      <c r="B1483" s="14" t="s">
        <v>1019</v>
      </c>
      <c r="C1483" s="14" t="s">
        <v>194</v>
      </c>
      <c r="D1483" s="14" t="s">
        <v>190</v>
      </c>
      <c r="E1483" s="14" t="s">
        <v>152</v>
      </c>
      <c r="F1483" s="14" t="s">
        <v>191</v>
      </c>
      <c r="G1483" s="14" t="n">
        <v>1</v>
      </c>
      <c r="H1483" s="14" t="s">
        <v>154</v>
      </c>
      <c r="I1483" s="14" t="s">
        <v>890</v>
      </c>
      <c r="J1483" s="15" t="n">
        <f aca="false">IF(B1483="SITE LOSS",IF(D1483=C1483,1,0),IF(B1483="REGION LOSS",IF(E1483=C1483,1,0),0))</f>
        <v>0</v>
      </c>
      <c r="K1483" s="15" t="n">
        <f aca="false">IF(B1483="SITE LOSS",IF(COUNTIFS('Site Dockets'!$B$7:$B$24,C1483,'Site Dockets'!$C$7:$C$24,F1483)&gt;0,1,0),IF(B1483="REGION LOSS",IF(COUNTIFS('Site Dockets'!$E$7:$E$24,C1483,'Site Dockets'!$C$7:$C$24,F1483)&gt;0,1,0),0))</f>
        <v>1</v>
      </c>
      <c r="L1483" s="15" t="n">
        <f aca="false">IF(J1483=1,0,Inputs!$B$11)</f>
        <v>100</v>
      </c>
      <c r="M1483" s="15" t="n">
        <f aca="false">IF(J1483=1,0,Inputs!$B$12)</f>
        <v>75</v>
      </c>
      <c r="N1483" s="15" t="n">
        <f aca="false">IF(J1483=1,0,IF(OR(AND(OR(B1483="SITE LOSS",B1483="REGION LOSS"),K1483=1),AND(B1483="ROLE COMPROMISE",H1483=C1483)),Inputs!$B$13,Inputs!$B$14))</f>
        <v>20</v>
      </c>
      <c r="O1483" s="15" t="n">
        <f aca="false">IF(J1483=1,0,Inputs!$B$13)</f>
        <v>20</v>
      </c>
      <c r="P1483" s="15" t="n">
        <f aca="false">SUM(M1483:N1483)</f>
        <v>95</v>
      </c>
      <c r="Q1483" s="15" t="n">
        <f aca="false">IF(J1483=1,"",L1483-P1483)</f>
        <v>5</v>
      </c>
      <c r="R1483" s="15" t="n">
        <f aca="false">IF(OR(J1483=1,M1483&lt;=Inputs!$B$12),1,0)</f>
        <v>1</v>
      </c>
      <c r="S1483" s="15" t="n">
        <f aca="false">IF(OR(J1483=1,N1483&lt;=O1483),1,0)</f>
        <v>1</v>
      </c>
      <c r="T1483" s="15" t="str">
        <f aca="false">IF(J1483=1,"OFFLINE",IF(AND(Q1483&gt;=Inputs!$B$15,R1483=1,S1483=1,P1483&lt;=L1483),"PASS","FAIL"))</f>
        <v>PASS</v>
      </c>
    </row>
    <row r="1484" customFormat="false" ht="15" hidden="false" customHeight="false" outlineLevel="0" collapsed="false">
      <c r="A1484" s="14" t="s">
        <v>1032</v>
      </c>
      <c r="B1484" s="14" t="s">
        <v>1019</v>
      </c>
      <c r="C1484" s="14" t="s">
        <v>194</v>
      </c>
      <c r="D1484" s="14" t="s">
        <v>190</v>
      </c>
      <c r="E1484" s="14" t="s">
        <v>152</v>
      </c>
      <c r="F1484" s="14" t="s">
        <v>191</v>
      </c>
      <c r="G1484" s="14" t="n">
        <v>1</v>
      </c>
      <c r="H1484" s="14" t="s">
        <v>154</v>
      </c>
      <c r="I1484" s="14" t="s">
        <v>892</v>
      </c>
      <c r="J1484" s="15" t="n">
        <f aca="false">IF(B1484="SITE LOSS",IF(D1484=C1484,1,0),IF(B1484="REGION LOSS",IF(E1484=C1484,1,0),0))</f>
        <v>0</v>
      </c>
      <c r="K1484" s="15" t="n">
        <f aca="false">IF(B1484="SITE LOSS",IF(COUNTIFS('Site Dockets'!$B$7:$B$24,C1484,'Site Dockets'!$C$7:$C$24,F1484)&gt;0,1,0),IF(B1484="REGION LOSS",IF(COUNTIFS('Site Dockets'!$E$7:$E$24,C1484,'Site Dockets'!$C$7:$C$24,F1484)&gt;0,1,0),0))</f>
        <v>1</v>
      </c>
      <c r="L1484" s="15" t="n">
        <f aca="false">IF(J1484=1,0,Inputs!$B$11)</f>
        <v>100</v>
      </c>
      <c r="M1484" s="15" t="n">
        <f aca="false">IF(J1484=1,0,Inputs!$B$12)</f>
        <v>75</v>
      </c>
      <c r="N1484" s="15" t="n">
        <f aca="false">IF(J1484=1,0,IF(OR(AND(OR(B1484="SITE LOSS",B1484="REGION LOSS"),K1484=1),AND(B1484="ROLE COMPROMISE",H1484=C1484)),Inputs!$B$13,Inputs!$B$14))</f>
        <v>20</v>
      </c>
      <c r="O1484" s="15" t="n">
        <f aca="false">IF(J1484=1,0,Inputs!$B$13)</f>
        <v>20</v>
      </c>
      <c r="P1484" s="15" t="n">
        <f aca="false">SUM(M1484:N1484)</f>
        <v>95</v>
      </c>
      <c r="Q1484" s="15" t="n">
        <f aca="false">IF(J1484=1,"",L1484-P1484)</f>
        <v>5</v>
      </c>
      <c r="R1484" s="15" t="n">
        <f aca="false">IF(OR(J1484=1,M1484&lt;=Inputs!$B$12),1,0)</f>
        <v>1</v>
      </c>
      <c r="S1484" s="15" t="n">
        <f aca="false">IF(OR(J1484=1,N1484&lt;=O1484),1,0)</f>
        <v>1</v>
      </c>
      <c r="T1484" s="15" t="str">
        <f aca="false">IF(J1484=1,"OFFLINE",IF(AND(Q1484&gt;=Inputs!$B$15,R1484=1,S1484=1,P1484&lt;=L1484),"PASS","FAIL"))</f>
        <v>PASS</v>
      </c>
    </row>
    <row r="1485" customFormat="false" ht="15" hidden="false" customHeight="false" outlineLevel="0" collapsed="false">
      <c r="A1485" s="14" t="s">
        <v>1032</v>
      </c>
      <c r="B1485" s="14" t="s">
        <v>1019</v>
      </c>
      <c r="C1485" s="14" t="s">
        <v>194</v>
      </c>
      <c r="D1485" s="14" t="s">
        <v>190</v>
      </c>
      <c r="E1485" s="14" t="s">
        <v>152</v>
      </c>
      <c r="F1485" s="14" t="s">
        <v>191</v>
      </c>
      <c r="G1485" s="14" t="n">
        <v>1</v>
      </c>
      <c r="H1485" s="14" t="s">
        <v>154</v>
      </c>
      <c r="I1485" s="14" t="s">
        <v>811</v>
      </c>
      <c r="J1485" s="15" t="n">
        <f aca="false">IF(B1485="SITE LOSS",IF(D1485=C1485,1,0),IF(B1485="REGION LOSS",IF(E1485=C1485,1,0),0))</f>
        <v>0</v>
      </c>
      <c r="K1485" s="15" t="n">
        <f aca="false">IF(B1485="SITE LOSS",IF(COUNTIFS('Site Dockets'!$B$7:$B$24,C1485,'Site Dockets'!$C$7:$C$24,F1485)&gt;0,1,0),IF(B1485="REGION LOSS",IF(COUNTIFS('Site Dockets'!$E$7:$E$24,C1485,'Site Dockets'!$C$7:$C$24,F1485)&gt;0,1,0),0))</f>
        <v>1</v>
      </c>
      <c r="L1485" s="15" t="n">
        <f aca="false">IF(J1485=1,0,Inputs!$B$11)</f>
        <v>100</v>
      </c>
      <c r="M1485" s="15" t="n">
        <f aca="false">IF(J1485=1,0,Inputs!$B$12)</f>
        <v>75</v>
      </c>
      <c r="N1485" s="15" t="n">
        <f aca="false">IF(J1485=1,0,IF(OR(AND(OR(B1485="SITE LOSS",B1485="REGION LOSS"),K1485=1),AND(B1485="ROLE COMPROMISE",H1485=C1485)),Inputs!$B$13,Inputs!$B$14))</f>
        <v>20</v>
      </c>
      <c r="O1485" s="15" t="n">
        <f aca="false">IF(J1485=1,0,Inputs!$B$13)</f>
        <v>20</v>
      </c>
      <c r="P1485" s="15" t="n">
        <f aca="false">SUM(M1485:N1485)</f>
        <v>95</v>
      </c>
      <c r="Q1485" s="15" t="n">
        <f aca="false">IF(J1485=1,"",L1485-P1485)</f>
        <v>5</v>
      </c>
      <c r="R1485" s="15" t="n">
        <f aca="false">IF(OR(J1485=1,M1485&lt;=Inputs!$B$12),1,0)</f>
        <v>1</v>
      </c>
      <c r="S1485" s="15" t="n">
        <f aca="false">IF(OR(J1485=1,N1485&lt;=O1485),1,0)</f>
        <v>1</v>
      </c>
      <c r="T1485" s="15" t="str">
        <f aca="false">IF(J1485=1,"OFFLINE",IF(AND(Q1485&gt;=Inputs!$B$15,R1485=1,S1485=1,P1485&lt;=L1485),"PASS","FAIL"))</f>
        <v>PASS</v>
      </c>
    </row>
    <row r="1486" customFormat="false" ht="15" hidden="false" customHeight="false" outlineLevel="0" collapsed="false">
      <c r="A1486" s="14" t="s">
        <v>1032</v>
      </c>
      <c r="B1486" s="14" t="s">
        <v>1019</v>
      </c>
      <c r="C1486" s="14" t="s">
        <v>194</v>
      </c>
      <c r="D1486" s="14" t="s">
        <v>190</v>
      </c>
      <c r="E1486" s="14" t="s">
        <v>152</v>
      </c>
      <c r="F1486" s="14" t="s">
        <v>191</v>
      </c>
      <c r="G1486" s="14" t="n">
        <v>1</v>
      </c>
      <c r="H1486" s="14" t="s">
        <v>154</v>
      </c>
      <c r="I1486" s="14" t="s">
        <v>895</v>
      </c>
      <c r="J1486" s="15" t="n">
        <f aca="false">IF(B1486="SITE LOSS",IF(D1486=C1486,1,0),IF(B1486="REGION LOSS",IF(E1486=C1486,1,0),0))</f>
        <v>0</v>
      </c>
      <c r="K1486" s="15" t="n">
        <f aca="false">IF(B1486="SITE LOSS",IF(COUNTIFS('Site Dockets'!$B$7:$B$24,C1486,'Site Dockets'!$C$7:$C$24,F1486)&gt;0,1,0),IF(B1486="REGION LOSS",IF(COUNTIFS('Site Dockets'!$E$7:$E$24,C1486,'Site Dockets'!$C$7:$C$24,F1486)&gt;0,1,0),0))</f>
        <v>1</v>
      </c>
      <c r="L1486" s="15" t="n">
        <f aca="false">IF(J1486=1,0,Inputs!$B$11)</f>
        <v>100</v>
      </c>
      <c r="M1486" s="15" t="n">
        <f aca="false">IF(J1486=1,0,Inputs!$B$12)</f>
        <v>75</v>
      </c>
      <c r="N1486" s="15" t="n">
        <f aca="false">IF(J1486=1,0,IF(OR(AND(OR(B1486="SITE LOSS",B1486="REGION LOSS"),K1486=1),AND(B1486="ROLE COMPROMISE",H1486=C1486)),Inputs!$B$13,Inputs!$B$14))</f>
        <v>20</v>
      </c>
      <c r="O1486" s="15" t="n">
        <f aca="false">IF(J1486=1,0,Inputs!$B$13)</f>
        <v>20</v>
      </c>
      <c r="P1486" s="15" t="n">
        <f aca="false">SUM(M1486:N1486)</f>
        <v>95</v>
      </c>
      <c r="Q1486" s="15" t="n">
        <f aca="false">IF(J1486=1,"",L1486-P1486)</f>
        <v>5</v>
      </c>
      <c r="R1486" s="15" t="n">
        <f aca="false">IF(OR(J1486=1,M1486&lt;=Inputs!$B$12),1,0)</f>
        <v>1</v>
      </c>
      <c r="S1486" s="15" t="n">
        <f aca="false">IF(OR(J1486=1,N1486&lt;=O1486),1,0)</f>
        <v>1</v>
      </c>
      <c r="T1486" s="15" t="str">
        <f aca="false">IF(J1486=1,"OFFLINE",IF(AND(Q1486&gt;=Inputs!$B$15,R1486=1,S1486=1,P1486&lt;=L1486),"PASS","FAIL"))</f>
        <v>PASS</v>
      </c>
    </row>
    <row r="1487" customFormat="false" ht="15" hidden="false" customHeight="false" outlineLevel="0" collapsed="false">
      <c r="A1487" s="14" t="s">
        <v>1032</v>
      </c>
      <c r="B1487" s="14" t="s">
        <v>1019</v>
      </c>
      <c r="C1487" s="14" t="s">
        <v>194</v>
      </c>
      <c r="D1487" s="14" t="s">
        <v>190</v>
      </c>
      <c r="E1487" s="14" t="s">
        <v>152</v>
      </c>
      <c r="F1487" s="14" t="s">
        <v>191</v>
      </c>
      <c r="G1487" s="14" t="n">
        <v>1</v>
      </c>
      <c r="H1487" s="14" t="s">
        <v>154</v>
      </c>
      <c r="I1487" s="14" t="s">
        <v>897</v>
      </c>
      <c r="J1487" s="15" t="n">
        <f aca="false">IF(B1487="SITE LOSS",IF(D1487=C1487,1,0),IF(B1487="REGION LOSS",IF(E1487=C1487,1,0),0))</f>
        <v>0</v>
      </c>
      <c r="K1487" s="15" t="n">
        <f aca="false">IF(B1487="SITE LOSS",IF(COUNTIFS('Site Dockets'!$B$7:$B$24,C1487,'Site Dockets'!$C$7:$C$24,F1487)&gt;0,1,0),IF(B1487="REGION LOSS",IF(COUNTIFS('Site Dockets'!$E$7:$E$24,C1487,'Site Dockets'!$C$7:$C$24,F1487)&gt;0,1,0),0))</f>
        <v>1</v>
      </c>
      <c r="L1487" s="15" t="n">
        <f aca="false">IF(J1487=1,0,Inputs!$B$11)</f>
        <v>100</v>
      </c>
      <c r="M1487" s="15" t="n">
        <f aca="false">IF(J1487=1,0,Inputs!$B$12)</f>
        <v>75</v>
      </c>
      <c r="N1487" s="15" t="n">
        <f aca="false">IF(J1487=1,0,IF(OR(AND(OR(B1487="SITE LOSS",B1487="REGION LOSS"),K1487=1),AND(B1487="ROLE COMPROMISE",H1487=C1487)),Inputs!$B$13,Inputs!$B$14))</f>
        <v>20</v>
      </c>
      <c r="O1487" s="15" t="n">
        <f aca="false">IF(J1487=1,0,Inputs!$B$13)</f>
        <v>20</v>
      </c>
      <c r="P1487" s="15" t="n">
        <f aca="false">SUM(M1487:N1487)</f>
        <v>95</v>
      </c>
      <c r="Q1487" s="15" t="n">
        <f aca="false">IF(J1487=1,"",L1487-P1487)</f>
        <v>5</v>
      </c>
      <c r="R1487" s="15" t="n">
        <f aca="false">IF(OR(J1487=1,M1487&lt;=Inputs!$B$12),1,0)</f>
        <v>1</v>
      </c>
      <c r="S1487" s="15" t="n">
        <f aca="false">IF(OR(J1487=1,N1487&lt;=O1487),1,0)</f>
        <v>1</v>
      </c>
      <c r="T1487" s="15" t="str">
        <f aca="false">IF(J1487=1,"OFFLINE",IF(AND(Q1487&gt;=Inputs!$B$15,R1487=1,S1487=1,P1487&lt;=L1487),"PASS","FAIL"))</f>
        <v>PASS</v>
      </c>
    </row>
    <row r="1488" customFormat="false" ht="15" hidden="false" customHeight="false" outlineLevel="0" collapsed="false">
      <c r="A1488" s="14" t="s">
        <v>1032</v>
      </c>
      <c r="B1488" s="14" t="s">
        <v>1019</v>
      </c>
      <c r="C1488" s="14" t="s">
        <v>194</v>
      </c>
      <c r="D1488" s="14" t="s">
        <v>190</v>
      </c>
      <c r="E1488" s="14" t="s">
        <v>152</v>
      </c>
      <c r="F1488" s="14" t="s">
        <v>191</v>
      </c>
      <c r="G1488" s="14" t="n">
        <v>1</v>
      </c>
      <c r="H1488" s="14" t="s">
        <v>154</v>
      </c>
      <c r="I1488" s="14" t="s">
        <v>899</v>
      </c>
      <c r="J1488" s="15" t="n">
        <f aca="false">IF(B1488="SITE LOSS",IF(D1488=C1488,1,0),IF(B1488="REGION LOSS",IF(E1488=C1488,1,0),0))</f>
        <v>0</v>
      </c>
      <c r="K1488" s="15" t="n">
        <f aca="false">IF(B1488="SITE LOSS",IF(COUNTIFS('Site Dockets'!$B$7:$B$24,C1488,'Site Dockets'!$C$7:$C$24,F1488)&gt;0,1,0),IF(B1488="REGION LOSS",IF(COUNTIFS('Site Dockets'!$E$7:$E$24,C1488,'Site Dockets'!$C$7:$C$24,F1488)&gt;0,1,0),0))</f>
        <v>1</v>
      </c>
      <c r="L1488" s="15" t="n">
        <f aca="false">IF(J1488=1,0,Inputs!$B$11)</f>
        <v>100</v>
      </c>
      <c r="M1488" s="15" t="n">
        <f aca="false">IF(J1488=1,0,Inputs!$B$12)</f>
        <v>75</v>
      </c>
      <c r="N1488" s="15" t="n">
        <f aca="false">IF(J1488=1,0,IF(OR(AND(OR(B1488="SITE LOSS",B1488="REGION LOSS"),K1488=1),AND(B1488="ROLE COMPROMISE",H1488=C1488)),Inputs!$B$13,Inputs!$B$14))</f>
        <v>20</v>
      </c>
      <c r="O1488" s="15" t="n">
        <f aca="false">IF(J1488=1,0,Inputs!$B$13)</f>
        <v>20</v>
      </c>
      <c r="P1488" s="15" t="n">
        <f aca="false">SUM(M1488:N1488)</f>
        <v>95</v>
      </c>
      <c r="Q1488" s="15" t="n">
        <f aca="false">IF(J1488=1,"",L1488-P1488)</f>
        <v>5</v>
      </c>
      <c r="R1488" s="15" t="n">
        <f aca="false">IF(OR(J1488=1,M1488&lt;=Inputs!$B$12),1,0)</f>
        <v>1</v>
      </c>
      <c r="S1488" s="15" t="n">
        <f aca="false">IF(OR(J1488=1,N1488&lt;=O1488),1,0)</f>
        <v>1</v>
      </c>
      <c r="T1488" s="15" t="str">
        <f aca="false">IF(J1488=1,"OFFLINE",IF(AND(Q1488&gt;=Inputs!$B$15,R1488=1,S1488=1,P1488&lt;=L1488),"PASS","FAIL"))</f>
        <v>PASS</v>
      </c>
    </row>
    <row r="1489" customFormat="false" ht="15" hidden="false" customHeight="false" outlineLevel="0" collapsed="false">
      <c r="A1489" s="14" t="s">
        <v>1032</v>
      </c>
      <c r="B1489" s="14" t="s">
        <v>1019</v>
      </c>
      <c r="C1489" s="14" t="s">
        <v>194</v>
      </c>
      <c r="D1489" s="14" t="s">
        <v>194</v>
      </c>
      <c r="E1489" s="14" t="s">
        <v>169</v>
      </c>
      <c r="F1489" s="14" t="s">
        <v>191</v>
      </c>
      <c r="G1489" s="14" t="n">
        <v>2</v>
      </c>
      <c r="H1489" s="14" t="s">
        <v>153</v>
      </c>
      <c r="I1489" s="14" t="s">
        <v>890</v>
      </c>
      <c r="J1489" s="15" t="n">
        <f aca="false">IF(B1489="SITE LOSS",IF(D1489=C1489,1,0),IF(B1489="REGION LOSS",IF(E1489=C1489,1,0),0))</f>
        <v>1</v>
      </c>
      <c r="K1489" s="15" t="n">
        <f aca="false">IF(B1489="SITE LOSS",IF(COUNTIFS('Site Dockets'!$B$7:$B$24,C1489,'Site Dockets'!$C$7:$C$24,F1489)&gt;0,1,0),IF(B1489="REGION LOSS",IF(COUNTIFS('Site Dockets'!$E$7:$E$24,C1489,'Site Dockets'!$C$7:$C$24,F1489)&gt;0,1,0),0))</f>
        <v>1</v>
      </c>
      <c r="L1489" s="15" t="n">
        <f aca="false">IF(J1489=1,0,Inputs!$B$11)</f>
        <v>0</v>
      </c>
      <c r="M1489" s="15" t="n">
        <f aca="false">IF(J1489=1,0,Inputs!$B$12)</f>
        <v>0</v>
      </c>
      <c r="N1489" s="15" t="n">
        <f aca="false">IF(J1489=1,0,IF(OR(AND(OR(B1489="SITE LOSS",B1489="REGION LOSS"),K1489=1),AND(B1489="ROLE COMPROMISE",H1489=C1489)),Inputs!$B$13,Inputs!$B$14))</f>
        <v>0</v>
      </c>
      <c r="O1489" s="15" t="n">
        <f aca="false">IF(J1489=1,0,Inputs!$B$13)</f>
        <v>0</v>
      </c>
      <c r="P1489" s="15" t="n">
        <f aca="false">SUM(M1489:N1489)</f>
        <v>0</v>
      </c>
      <c r="Q1489" s="15" t="str">
        <f aca="false">IF(J1489=1,"",L1489-P1489)</f>
        <v/>
      </c>
      <c r="R1489" s="15" t="n">
        <f aca="false">IF(OR(J1489=1,M1489&lt;=Inputs!$B$12),1,0)</f>
        <v>1</v>
      </c>
      <c r="S1489" s="15" t="n">
        <f aca="false">IF(OR(J1489=1,N1489&lt;=O1489),1,0)</f>
        <v>1</v>
      </c>
      <c r="T1489" s="15" t="str">
        <f aca="false">IF(J1489=1,"OFFLINE",IF(AND(Q1489&gt;=Inputs!$B$15,R1489=1,S1489=1,P1489&lt;=L1489),"PASS","FAIL"))</f>
        <v>OFFLINE</v>
      </c>
    </row>
    <row r="1490" customFormat="false" ht="15" hidden="false" customHeight="false" outlineLevel="0" collapsed="false">
      <c r="A1490" s="14" t="s">
        <v>1032</v>
      </c>
      <c r="B1490" s="14" t="s">
        <v>1019</v>
      </c>
      <c r="C1490" s="14" t="s">
        <v>194</v>
      </c>
      <c r="D1490" s="14" t="s">
        <v>194</v>
      </c>
      <c r="E1490" s="14" t="s">
        <v>169</v>
      </c>
      <c r="F1490" s="14" t="s">
        <v>191</v>
      </c>
      <c r="G1490" s="14" t="n">
        <v>2</v>
      </c>
      <c r="H1490" s="14" t="s">
        <v>153</v>
      </c>
      <c r="I1490" s="14" t="s">
        <v>892</v>
      </c>
      <c r="J1490" s="15" t="n">
        <f aca="false">IF(B1490="SITE LOSS",IF(D1490=C1490,1,0),IF(B1490="REGION LOSS",IF(E1490=C1490,1,0),0))</f>
        <v>1</v>
      </c>
      <c r="K1490" s="15" t="n">
        <f aca="false">IF(B1490="SITE LOSS",IF(COUNTIFS('Site Dockets'!$B$7:$B$24,C1490,'Site Dockets'!$C$7:$C$24,F1490)&gt;0,1,0),IF(B1490="REGION LOSS",IF(COUNTIFS('Site Dockets'!$E$7:$E$24,C1490,'Site Dockets'!$C$7:$C$24,F1490)&gt;0,1,0),0))</f>
        <v>1</v>
      </c>
      <c r="L1490" s="15" t="n">
        <f aca="false">IF(J1490=1,0,Inputs!$B$11)</f>
        <v>0</v>
      </c>
      <c r="M1490" s="15" t="n">
        <f aca="false">IF(J1490=1,0,Inputs!$B$12)</f>
        <v>0</v>
      </c>
      <c r="N1490" s="15" t="n">
        <f aca="false">IF(J1490=1,0,IF(OR(AND(OR(B1490="SITE LOSS",B1490="REGION LOSS"),K1490=1),AND(B1490="ROLE COMPROMISE",H1490=C1490)),Inputs!$B$13,Inputs!$B$14))</f>
        <v>0</v>
      </c>
      <c r="O1490" s="15" t="n">
        <f aca="false">IF(J1490=1,0,Inputs!$B$13)</f>
        <v>0</v>
      </c>
      <c r="P1490" s="15" t="n">
        <f aca="false">SUM(M1490:N1490)</f>
        <v>0</v>
      </c>
      <c r="Q1490" s="15" t="str">
        <f aca="false">IF(J1490=1,"",L1490-P1490)</f>
        <v/>
      </c>
      <c r="R1490" s="15" t="n">
        <f aca="false">IF(OR(J1490=1,M1490&lt;=Inputs!$B$12),1,0)</f>
        <v>1</v>
      </c>
      <c r="S1490" s="15" t="n">
        <f aca="false">IF(OR(J1490=1,N1490&lt;=O1490),1,0)</f>
        <v>1</v>
      </c>
      <c r="T1490" s="15" t="str">
        <f aca="false">IF(J1490=1,"OFFLINE",IF(AND(Q1490&gt;=Inputs!$B$15,R1490=1,S1490=1,P1490&lt;=L1490),"PASS","FAIL"))</f>
        <v>OFFLINE</v>
      </c>
    </row>
    <row r="1491" customFormat="false" ht="15" hidden="false" customHeight="false" outlineLevel="0" collapsed="false">
      <c r="A1491" s="14" t="s">
        <v>1032</v>
      </c>
      <c r="B1491" s="14" t="s">
        <v>1019</v>
      </c>
      <c r="C1491" s="14" t="s">
        <v>194</v>
      </c>
      <c r="D1491" s="14" t="s">
        <v>194</v>
      </c>
      <c r="E1491" s="14" t="s">
        <v>169</v>
      </c>
      <c r="F1491" s="14" t="s">
        <v>191</v>
      </c>
      <c r="G1491" s="14" t="n">
        <v>2</v>
      </c>
      <c r="H1491" s="14" t="s">
        <v>153</v>
      </c>
      <c r="I1491" s="14" t="s">
        <v>811</v>
      </c>
      <c r="J1491" s="15" t="n">
        <f aca="false">IF(B1491="SITE LOSS",IF(D1491=C1491,1,0),IF(B1491="REGION LOSS",IF(E1491=C1491,1,0),0))</f>
        <v>1</v>
      </c>
      <c r="K1491" s="15" t="n">
        <f aca="false">IF(B1491="SITE LOSS",IF(COUNTIFS('Site Dockets'!$B$7:$B$24,C1491,'Site Dockets'!$C$7:$C$24,F1491)&gt;0,1,0),IF(B1491="REGION LOSS",IF(COUNTIFS('Site Dockets'!$E$7:$E$24,C1491,'Site Dockets'!$C$7:$C$24,F1491)&gt;0,1,0),0))</f>
        <v>1</v>
      </c>
      <c r="L1491" s="15" t="n">
        <f aca="false">IF(J1491=1,0,Inputs!$B$11)</f>
        <v>0</v>
      </c>
      <c r="M1491" s="15" t="n">
        <f aca="false">IF(J1491=1,0,Inputs!$B$12)</f>
        <v>0</v>
      </c>
      <c r="N1491" s="15" t="n">
        <f aca="false">IF(J1491=1,0,IF(OR(AND(OR(B1491="SITE LOSS",B1491="REGION LOSS"),K1491=1),AND(B1491="ROLE COMPROMISE",H1491=C1491)),Inputs!$B$13,Inputs!$B$14))</f>
        <v>0</v>
      </c>
      <c r="O1491" s="15" t="n">
        <f aca="false">IF(J1491=1,0,Inputs!$B$13)</f>
        <v>0</v>
      </c>
      <c r="P1491" s="15" t="n">
        <f aca="false">SUM(M1491:N1491)</f>
        <v>0</v>
      </c>
      <c r="Q1491" s="15" t="str">
        <f aca="false">IF(J1491=1,"",L1491-P1491)</f>
        <v/>
      </c>
      <c r="R1491" s="15" t="n">
        <f aca="false">IF(OR(J1491=1,M1491&lt;=Inputs!$B$12),1,0)</f>
        <v>1</v>
      </c>
      <c r="S1491" s="15" t="n">
        <f aca="false">IF(OR(J1491=1,N1491&lt;=O1491),1,0)</f>
        <v>1</v>
      </c>
      <c r="T1491" s="15" t="str">
        <f aca="false">IF(J1491=1,"OFFLINE",IF(AND(Q1491&gt;=Inputs!$B$15,R1491=1,S1491=1,P1491&lt;=L1491),"PASS","FAIL"))</f>
        <v>OFFLINE</v>
      </c>
    </row>
    <row r="1492" customFormat="false" ht="15" hidden="false" customHeight="false" outlineLevel="0" collapsed="false">
      <c r="A1492" s="14" t="s">
        <v>1032</v>
      </c>
      <c r="B1492" s="14" t="s">
        <v>1019</v>
      </c>
      <c r="C1492" s="14" t="s">
        <v>194</v>
      </c>
      <c r="D1492" s="14" t="s">
        <v>194</v>
      </c>
      <c r="E1492" s="14" t="s">
        <v>169</v>
      </c>
      <c r="F1492" s="14" t="s">
        <v>191</v>
      </c>
      <c r="G1492" s="14" t="n">
        <v>2</v>
      </c>
      <c r="H1492" s="14" t="s">
        <v>153</v>
      </c>
      <c r="I1492" s="14" t="s">
        <v>895</v>
      </c>
      <c r="J1492" s="15" t="n">
        <f aca="false">IF(B1492="SITE LOSS",IF(D1492=C1492,1,0),IF(B1492="REGION LOSS",IF(E1492=C1492,1,0),0))</f>
        <v>1</v>
      </c>
      <c r="K1492" s="15" t="n">
        <f aca="false">IF(B1492="SITE LOSS",IF(COUNTIFS('Site Dockets'!$B$7:$B$24,C1492,'Site Dockets'!$C$7:$C$24,F1492)&gt;0,1,0),IF(B1492="REGION LOSS",IF(COUNTIFS('Site Dockets'!$E$7:$E$24,C1492,'Site Dockets'!$C$7:$C$24,F1492)&gt;0,1,0),0))</f>
        <v>1</v>
      </c>
      <c r="L1492" s="15" t="n">
        <f aca="false">IF(J1492=1,0,Inputs!$B$11)</f>
        <v>0</v>
      </c>
      <c r="M1492" s="15" t="n">
        <f aca="false">IF(J1492=1,0,Inputs!$B$12)</f>
        <v>0</v>
      </c>
      <c r="N1492" s="15" t="n">
        <f aca="false">IF(J1492=1,0,IF(OR(AND(OR(B1492="SITE LOSS",B1492="REGION LOSS"),K1492=1),AND(B1492="ROLE COMPROMISE",H1492=C1492)),Inputs!$B$13,Inputs!$B$14))</f>
        <v>0</v>
      </c>
      <c r="O1492" s="15" t="n">
        <f aca="false">IF(J1492=1,0,Inputs!$B$13)</f>
        <v>0</v>
      </c>
      <c r="P1492" s="15" t="n">
        <f aca="false">SUM(M1492:N1492)</f>
        <v>0</v>
      </c>
      <c r="Q1492" s="15" t="str">
        <f aca="false">IF(J1492=1,"",L1492-P1492)</f>
        <v/>
      </c>
      <c r="R1492" s="15" t="n">
        <f aca="false">IF(OR(J1492=1,M1492&lt;=Inputs!$B$12),1,0)</f>
        <v>1</v>
      </c>
      <c r="S1492" s="15" t="n">
        <f aca="false">IF(OR(J1492=1,N1492&lt;=O1492),1,0)</f>
        <v>1</v>
      </c>
      <c r="T1492" s="15" t="str">
        <f aca="false">IF(J1492=1,"OFFLINE",IF(AND(Q1492&gt;=Inputs!$B$15,R1492=1,S1492=1,P1492&lt;=L1492),"PASS","FAIL"))</f>
        <v>OFFLINE</v>
      </c>
    </row>
    <row r="1493" customFormat="false" ht="15" hidden="false" customHeight="false" outlineLevel="0" collapsed="false">
      <c r="A1493" s="14" t="s">
        <v>1032</v>
      </c>
      <c r="B1493" s="14" t="s">
        <v>1019</v>
      </c>
      <c r="C1493" s="14" t="s">
        <v>194</v>
      </c>
      <c r="D1493" s="14" t="s">
        <v>194</v>
      </c>
      <c r="E1493" s="14" t="s">
        <v>169</v>
      </c>
      <c r="F1493" s="14" t="s">
        <v>191</v>
      </c>
      <c r="G1493" s="14" t="n">
        <v>2</v>
      </c>
      <c r="H1493" s="14" t="s">
        <v>153</v>
      </c>
      <c r="I1493" s="14" t="s">
        <v>897</v>
      </c>
      <c r="J1493" s="15" t="n">
        <f aca="false">IF(B1493="SITE LOSS",IF(D1493=C1493,1,0),IF(B1493="REGION LOSS",IF(E1493=C1493,1,0),0))</f>
        <v>1</v>
      </c>
      <c r="K1493" s="15" t="n">
        <f aca="false">IF(B1493="SITE LOSS",IF(COUNTIFS('Site Dockets'!$B$7:$B$24,C1493,'Site Dockets'!$C$7:$C$24,F1493)&gt;0,1,0),IF(B1493="REGION LOSS",IF(COUNTIFS('Site Dockets'!$E$7:$E$24,C1493,'Site Dockets'!$C$7:$C$24,F1493)&gt;0,1,0),0))</f>
        <v>1</v>
      </c>
      <c r="L1493" s="15" t="n">
        <f aca="false">IF(J1493=1,0,Inputs!$B$11)</f>
        <v>0</v>
      </c>
      <c r="M1493" s="15" t="n">
        <f aca="false">IF(J1493=1,0,Inputs!$B$12)</f>
        <v>0</v>
      </c>
      <c r="N1493" s="15" t="n">
        <f aca="false">IF(J1493=1,0,IF(OR(AND(OR(B1493="SITE LOSS",B1493="REGION LOSS"),K1493=1),AND(B1493="ROLE COMPROMISE",H1493=C1493)),Inputs!$B$13,Inputs!$B$14))</f>
        <v>0</v>
      </c>
      <c r="O1493" s="15" t="n">
        <f aca="false">IF(J1493=1,0,Inputs!$B$13)</f>
        <v>0</v>
      </c>
      <c r="P1493" s="15" t="n">
        <f aca="false">SUM(M1493:N1493)</f>
        <v>0</v>
      </c>
      <c r="Q1493" s="15" t="str">
        <f aca="false">IF(J1493=1,"",L1493-P1493)</f>
        <v/>
      </c>
      <c r="R1493" s="15" t="n">
        <f aca="false">IF(OR(J1493=1,M1493&lt;=Inputs!$B$12),1,0)</f>
        <v>1</v>
      </c>
      <c r="S1493" s="15" t="n">
        <f aca="false">IF(OR(J1493=1,N1493&lt;=O1493),1,0)</f>
        <v>1</v>
      </c>
      <c r="T1493" s="15" t="str">
        <f aca="false">IF(J1493=1,"OFFLINE",IF(AND(Q1493&gt;=Inputs!$B$15,R1493=1,S1493=1,P1493&lt;=L1493),"PASS","FAIL"))</f>
        <v>OFFLINE</v>
      </c>
    </row>
    <row r="1494" customFormat="false" ht="15" hidden="false" customHeight="false" outlineLevel="0" collapsed="false">
      <c r="A1494" s="14" t="s">
        <v>1032</v>
      </c>
      <c r="B1494" s="14" t="s">
        <v>1019</v>
      </c>
      <c r="C1494" s="14" t="s">
        <v>194</v>
      </c>
      <c r="D1494" s="14" t="s">
        <v>194</v>
      </c>
      <c r="E1494" s="14" t="s">
        <v>169</v>
      </c>
      <c r="F1494" s="14" t="s">
        <v>191</v>
      </c>
      <c r="G1494" s="14" t="n">
        <v>2</v>
      </c>
      <c r="H1494" s="14" t="s">
        <v>153</v>
      </c>
      <c r="I1494" s="14" t="s">
        <v>899</v>
      </c>
      <c r="J1494" s="15" t="n">
        <f aca="false">IF(B1494="SITE LOSS",IF(D1494=C1494,1,0),IF(B1494="REGION LOSS",IF(E1494=C1494,1,0),0))</f>
        <v>1</v>
      </c>
      <c r="K1494" s="15" t="n">
        <f aca="false">IF(B1494="SITE LOSS",IF(COUNTIFS('Site Dockets'!$B$7:$B$24,C1494,'Site Dockets'!$C$7:$C$24,F1494)&gt;0,1,0),IF(B1494="REGION LOSS",IF(COUNTIFS('Site Dockets'!$E$7:$E$24,C1494,'Site Dockets'!$C$7:$C$24,F1494)&gt;0,1,0),0))</f>
        <v>1</v>
      </c>
      <c r="L1494" s="15" t="n">
        <f aca="false">IF(J1494=1,0,Inputs!$B$11)</f>
        <v>0</v>
      </c>
      <c r="M1494" s="15" t="n">
        <f aca="false">IF(J1494=1,0,Inputs!$B$12)</f>
        <v>0</v>
      </c>
      <c r="N1494" s="15" t="n">
        <f aca="false">IF(J1494=1,0,IF(OR(AND(OR(B1494="SITE LOSS",B1494="REGION LOSS"),K1494=1),AND(B1494="ROLE COMPROMISE",H1494=C1494)),Inputs!$B$13,Inputs!$B$14))</f>
        <v>0</v>
      </c>
      <c r="O1494" s="15" t="n">
        <f aca="false">IF(J1494=1,0,Inputs!$B$13)</f>
        <v>0</v>
      </c>
      <c r="P1494" s="15" t="n">
        <f aca="false">SUM(M1494:N1494)</f>
        <v>0</v>
      </c>
      <c r="Q1494" s="15" t="str">
        <f aca="false">IF(J1494=1,"",L1494-P1494)</f>
        <v/>
      </c>
      <c r="R1494" s="15" t="n">
        <f aca="false">IF(OR(J1494=1,M1494&lt;=Inputs!$B$12),1,0)</f>
        <v>1</v>
      </c>
      <c r="S1494" s="15" t="n">
        <f aca="false">IF(OR(J1494=1,N1494&lt;=O1494),1,0)</f>
        <v>1</v>
      </c>
      <c r="T1494" s="15" t="str">
        <f aca="false">IF(J1494=1,"OFFLINE",IF(AND(Q1494&gt;=Inputs!$B$15,R1494=1,S1494=1,P1494&lt;=L1494),"PASS","FAIL"))</f>
        <v>OFFLINE</v>
      </c>
    </row>
    <row r="1495" customFormat="false" ht="15" hidden="false" customHeight="false" outlineLevel="0" collapsed="false">
      <c r="A1495" s="14" t="s">
        <v>1032</v>
      </c>
      <c r="B1495" s="14" t="s">
        <v>1019</v>
      </c>
      <c r="C1495" s="14" t="s">
        <v>194</v>
      </c>
      <c r="D1495" s="14" t="s">
        <v>196</v>
      </c>
      <c r="E1495" s="14" t="s">
        <v>172</v>
      </c>
      <c r="F1495" s="14" t="s">
        <v>191</v>
      </c>
      <c r="G1495" s="14" t="n">
        <v>3</v>
      </c>
      <c r="H1495" s="14" t="s">
        <v>158</v>
      </c>
      <c r="I1495" s="14" t="s">
        <v>890</v>
      </c>
      <c r="J1495" s="15" t="n">
        <f aca="false">IF(B1495="SITE LOSS",IF(D1495=C1495,1,0),IF(B1495="REGION LOSS",IF(E1495=C1495,1,0),0))</f>
        <v>0</v>
      </c>
      <c r="K1495" s="15" t="n">
        <f aca="false">IF(B1495="SITE LOSS",IF(COUNTIFS('Site Dockets'!$B$7:$B$24,C1495,'Site Dockets'!$C$7:$C$24,F1495)&gt;0,1,0),IF(B1495="REGION LOSS",IF(COUNTIFS('Site Dockets'!$E$7:$E$24,C1495,'Site Dockets'!$C$7:$C$24,F1495)&gt;0,1,0),0))</f>
        <v>1</v>
      </c>
      <c r="L1495" s="15" t="n">
        <f aca="false">IF(J1495=1,0,Inputs!$B$11)</f>
        <v>100</v>
      </c>
      <c r="M1495" s="15" t="n">
        <f aca="false">IF(J1495=1,0,Inputs!$B$12)</f>
        <v>75</v>
      </c>
      <c r="N1495" s="15" t="n">
        <f aca="false">IF(J1495=1,0,IF(OR(AND(OR(B1495="SITE LOSS",B1495="REGION LOSS"),K1495=1),AND(B1495="ROLE COMPROMISE",H1495=C1495)),Inputs!$B$13,Inputs!$B$14))</f>
        <v>20</v>
      </c>
      <c r="O1495" s="15" t="n">
        <f aca="false">IF(J1495=1,0,Inputs!$B$13)</f>
        <v>20</v>
      </c>
      <c r="P1495" s="15" t="n">
        <f aca="false">SUM(M1495:N1495)</f>
        <v>95</v>
      </c>
      <c r="Q1495" s="15" t="n">
        <f aca="false">IF(J1495=1,"",L1495-P1495)</f>
        <v>5</v>
      </c>
      <c r="R1495" s="15" t="n">
        <f aca="false">IF(OR(J1495=1,M1495&lt;=Inputs!$B$12),1,0)</f>
        <v>1</v>
      </c>
      <c r="S1495" s="15" t="n">
        <f aca="false">IF(OR(J1495=1,N1495&lt;=O1495),1,0)</f>
        <v>1</v>
      </c>
      <c r="T1495" s="15" t="str">
        <f aca="false">IF(J1495=1,"OFFLINE",IF(AND(Q1495&gt;=Inputs!$B$15,R1495=1,S1495=1,P1495&lt;=L1495),"PASS","FAIL"))</f>
        <v>PASS</v>
      </c>
    </row>
    <row r="1496" customFormat="false" ht="15" hidden="false" customHeight="false" outlineLevel="0" collapsed="false">
      <c r="A1496" s="14" t="s">
        <v>1032</v>
      </c>
      <c r="B1496" s="14" t="s">
        <v>1019</v>
      </c>
      <c r="C1496" s="14" t="s">
        <v>194</v>
      </c>
      <c r="D1496" s="14" t="s">
        <v>196</v>
      </c>
      <c r="E1496" s="14" t="s">
        <v>172</v>
      </c>
      <c r="F1496" s="14" t="s">
        <v>191</v>
      </c>
      <c r="G1496" s="14" t="n">
        <v>3</v>
      </c>
      <c r="H1496" s="14" t="s">
        <v>158</v>
      </c>
      <c r="I1496" s="14" t="s">
        <v>892</v>
      </c>
      <c r="J1496" s="15" t="n">
        <f aca="false">IF(B1496="SITE LOSS",IF(D1496=C1496,1,0),IF(B1496="REGION LOSS",IF(E1496=C1496,1,0),0))</f>
        <v>0</v>
      </c>
      <c r="K1496" s="15" t="n">
        <f aca="false">IF(B1496="SITE LOSS",IF(COUNTIFS('Site Dockets'!$B$7:$B$24,C1496,'Site Dockets'!$C$7:$C$24,F1496)&gt;0,1,0),IF(B1496="REGION LOSS",IF(COUNTIFS('Site Dockets'!$E$7:$E$24,C1496,'Site Dockets'!$C$7:$C$24,F1496)&gt;0,1,0),0))</f>
        <v>1</v>
      </c>
      <c r="L1496" s="15" t="n">
        <f aca="false">IF(J1496=1,0,Inputs!$B$11)</f>
        <v>100</v>
      </c>
      <c r="M1496" s="15" t="n">
        <f aca="false">IF(J1496=1,0,Inputs!$B$12)</f>
        <v>75</v>
      </c>
      <c r="N1496" s="15" t="n">
        <f aca="false">IF(J1496=1,0,IF(OR(AND(OR(B1496="SITE LOSS",B1496="REGION LOSS"),K1496=1),AND(B1496="ROLE COMPROMISE",H1496=C1496)),Inputs!$B$13,Inputs!$B$14))</f>
        <v>20</v>
      </c>
      <c r="O1496" s="15" t="n">
        <f aca="false">IF(J1496=1,0,Inputs!$B$13)</f>
        <v>20</v>
      </c>
      <c r="P1496" s="15" t="n">
        <f aca="false">SUM(M1496:N1496)</f>
        <v>95</v>
      </c>
      <c r="Q1496" s="15" t="n">
        <f aca="false">IF(J1496=1,"",L1496-P1496)</f>
        <v>5</v>
      </c>
      <c r="R1496" s="15" t="n">
        <f aca="false">IF(OR(J1496=1,M1496&lt;=Inputs!$B$12),1,0)</f>
        <v>1</v>
      </c>
      <c r="S1496" s="15" t="n">
        <f aca="false">IF(OR(J1496=1,N1496&lt;=O1496),1,0)</f>
        <v>1</v>
      </c>
      <c r="T1496" s="15" t="str">
        <f aca="false">IF(J1496=1,"OFFLINE",IF(AND(Q1496&gt;=Inputs!$B$15,R1496=1,S1496=1,P1496&lt;=L1496),"PASS","FAIL"))</f>
        <v>PASS</v>
      </c>
    </row>
    <row r="1497" customFormat="false" ht="15" hidden="false" customHeight="false" outlineLevel="0" collapsed="false">
      <c r="A1497" s="14" t="s">
        <v>1032</v>
      </c>
      <c r="B1497" s="14" t="s">
        <v>1019</v>
      </c>
      <c r="C1497" s="14" t="s">
        <v>194</v>
      </c>
      <c r="D1497" s="14" t="s">
        <v>196</v>
      </c>
      <c r="E1497" s="14" t="s">
        <v>172</v>
      </c>
      <c r="F1497" s="14" t="s">
        <v>191</v>
      </c>
      <c r="G1497" s="14" t="n">
        <v>3</v>
      </c>
      <c r="H1497" s="14" t="s">
        <v>158</v>
      </c>
      <c r="I1497" s="14" t="s">
        <v>811</v>
      </c>
      <c r="J1497" s="15" t="n">
        <f aca="false">IF(B1497="SITE LOSS",IF(D1497=C1497,1,0),IF(B1497="REGION LOSS",IF(E1497=C1497,1,0),0))</f>
        <v>0</v>
      </c>
      <c r="K1497" s="15" t="n">
        <f aca="false">IF(B1497="SITE LOSS",IF(COUNTIFS('Site Dockets'!$B$7:$B$24,C1497,'Site Dockets'!$C$7:$C$24,F1497)&gt;0,1,0),IF(B1497="REGION LOSS",IF(COUNTIFS('Site Dockets'!$E$7:$E$24,C1497,'Site Dockets'!$C$7:$C$24,F1497)&gt;0,1,0),0))</f>
        <v>1</v>
      </c>
      <c r="L1497" s="15" t="n">
        <f aca="false">IF(J1497=1,0,Inputs!$B$11)</f>
        <v>100</v>
      </c>
      <c r="M1497" s="15" t="n">
        <f aca="false">IF(J1497=1,0,Inputs!$B$12)</f>
        <v>75</v>
      </c>
      <c r="N1497" s="15" t="n">
        <f aca="false">IF(J1497=1,0,IF(OR(AND(OR(B1497="SITE LOSS",B1497="REGION LOSS"),K1497=1),AND(B1497="ROLE COMPROMISE",H1497=C1497)),Inputs!$B$13,Inputs!$B$14))</f>
        <v>20</v>
      </c>
      <c r="O1497" s="15" t="n">
        <f aca="false">IF(J1497=1,0,Inputs!$B$13)</f>
        <v>20</v>
      </c>
      <c r="P1497" s="15" t="n">
        <f aca="false">SUM(M1497:N1497)</f>
        <v>95</v>
      </c>
      <c r="Q1497" s="15" t="n">
        <f aca="false">IF(J1497=1,"",L1497-P1497)</f>
        <v>5</v>
      </c>
      <c r="R1497" s="15" t="n">
        <f aca="false">IF(OR(J1497=1,M1497&lt;=Inputs!$B$12),1,0)</f>
        <v>1</v>
      </c>
      <c r="S1497" s="15" t="n">
        <f aca="false">IF(OR(J1497=1,N1497&lt;=O1497),1,0)</f>
        <v>1</v>
      </c>
      <c r="T1497" s="15" t="str">
        <f aca="false">IF(J1497=1,"OFFLINE",IF(AND(Q1497&gt;=Inputs!$B$15,R1497=1,S1497=1,P1497&lt;=L1497),"PASS","FAIL"))</f>
        <v>PASS</v>
      </c>
    </row>
    <row r="1498" customFormat="false" ht="15" hidden="false" customHeight="false" outlineLevel="0" collapsed="false">
      <c r="A1498" s="14" t="s">
        <v>1032</v>
      </c>
      <c r="B1498" s="14" t="s">
        <v>1019</v>
      </c>
      <c r="C1498" s="14" t="s">
        <v>194</v>
      </c>
      <c r="D1498" s="14" t="s">
        <v>196</v>
      </c>
      <c r="E1498" s="14" t="s">
        <v>172</v>
      </c>
      <c r="F1498" s="14" t="s">
        <v>191</v>
      </c>
      <c r="G1498" s="14" t="n">
        <v>3</v>
      </c>
      <c r="H1498" s="14" t="s">
        <v>158</v>
      </c>
      <c r="I1498" s="14" t="s">
        <v>895</v>
      </c>
      <c r="J1498" s="15" t="n">
        <f aca="false">IF(B1498="SITE LOSS",IF(D1498=C1498,1,0),IF(B1498="REGION LOSS",IF(E1498=C1498,1,0),0))</f>
        <v>0</v>
      </c>
      <c r="K1498" s="15" t="n">
        <f aca="false">IF(B1498="SITE LOSS",IF(COUNTIFS('Site Dockets'!$B$7:$B$24,C1498,'Site Dockets'!$C$7:$C$24,F1498)&gt;0,1,0),IF(B1498="REGION LOSS",IF(COUNTIFS('Site Dockets'!$E$7:$E$24,C1498,'Site Dockets'!$C$7:$C$24,F1498)&gt;0,1,0),0))</f>
        <v>1</v>
      </c>
      <c r="L1498" s="15" t="n">
        <f aca="false">IF(J1498=1,0,Inputs!$B$11)</f>
        <v>100</v>
      </c>
      <c r="M1498" s="15" t="n">
        <f aca="false">IF(J1498=1,0,Inputs!$B$12)</f>
        <v>75</v>
      </c>
      <c r="N1498" s="15" t="n">
        <f aca="false">IF(J1498=1,0,IF(OR(AND(OR(B1498="SITE LOSS",B1498="REGION LOSS"),K1498=1),AND(B1498="ROLE COMPROMISE",H1498=C1498)),Inputs!$B$13,Inputs!$B$14))</f>
        <v>20</v>
      </c>
      <c r="O1498" s="15" t="n">
        <f aca="false">IF(J1498=1,0,Inputs!$B$13)</f>
        <v>20</v>
      </c>
      <c r="P1498" s="15" t="n">
        <f aca="false">SUM(M1498:N1498)</f>
        <v>95</v>
      </c>
      <c r="Q1498" s="15" t="n">
        <f aca="false">IF(J1498=1,"",L1498-P1498)</f>
        <v>5</v>
      </c>
      <c r="R1498" s="15" t="n">
        <f aca="false">IF(OR(J1498=1,M1498&lt;=Inputs!$B$12),1,0)</f>
        <v>1</v>
      </c>
      <c r="S1498" s="15" t="n">
        <f aca="false">IF(OR(J1498=1,N1498&lt;=O1498),1,0)</f>
        <v>1</v>
      </c>
      <c r="T1498" s="15" t="str">
        <f aca="false">IF(J1498=1,"OFFLINE",IF(AND(Q1498&gt;=Inputs!$B$15,R1498=1,S1498=1,P1498&lt;=L1498),"PASS","FAIL"))</f>
        <v>PASS</v>
      </c>
    </row>
    <row r="1499" customFormat="false" ht="15" hidden="false" customHeight="false" outlineLevel="0" collapsed="false">
      <c r="A1499" s="14" t="s">
        <v>1032</v>
      </c>
      <c r="B1499" s="14" t="s">
        <v>1019</v>
      </c>
      <c r="C1499" s="14" t="s">
        <v>194</v>
      </c>
      <c r="D1499" s="14" t="s">
        <v>196</v>
      </c>
      <c r="E1499" s="14" t="s">
        <v>172</v>
      </c>
      <c r="F1499" s="14" t="s">
        <v>191</v>
      </c>
      <c r="G1499" s="14" t="n">
        <v>3</v>
      </c>
      <c r="H1499" s="14" t="s">
        <v>158</v>
      </c>
      <c r="I1499" s="14" t="s">
        <v>897</v>
      </c>
      <c r="J1499" s="15" t="n">
        <f aca="false">IF(B1499="SITE LOSS",IF(D1499=C1499,1,0),IF(B1499="REGION LOSS",IF(E1499=C1499,1,0),0))</f>
        <v>0</v>
      </c>
      <c r="K1499" s="15" t="n">
        <f aca="false">IF(B1499="SITE LOSS",IF(COUNTIFS('Site Dockets'!$B$7:$B$24,C1499,'Site Dockets'!$C$7:$C$24,F1499)&gt;0,1,0),IF(B1499="REGION LOSS",IF(COUNTIFS('Site Dockets'!$E$7:$E$24,C1499,'Site Dockets'!$C$7:$C$24,F1499)&gt;0,1,0),0))</f>
        <v>1</v>
      </c>
      <c r="L1499" s="15" t="n">
        <f aca="false">IF(J1499=1,0,Inputs!$B$11)</f>
        <v>100</v>
      </c>
      <c r="M1499" s="15" t="n">
        <f aca="false">IF(J1499=1,0,Inputs!$B$12)</f>
        <v>75</v>
      </c>
      <c r="N1499" s="15" t="n">
        <f aca="false">IF(J1499=1,0,IF(OR(AND(OR(B1499="SITE LOSS",B1499="REGION LOSS"),K1499=1),AND(B1499="ROLE COMPROMISE",H1499=C1499)),Inputs!$B$13,Inputs!$B$14))</f>
        <v>20</v>
      </c>
      <c r="O1499" s="15" t="n">
        <f aca="false">IF(J1499=1,0,Inputs!$B$13)</f>
        <v>20</v>
      </c>
      <c r="P1499" s="15" t="n">
        <f aca="false">SUM(M1499:N1499)</f>
        <v>95</v>
      </c>
      <c r="Q1499" s="15" t="n">
        <f aca="false">IF(J1499=1,"",L1499-P1499)</f>
        <v>5</v>
      </c>
      <c r="R1499" s="15" t="n">
        <f aca="false">IF(OR(J1499=1,M1499&lt;=Inputs!$B$12),1,0)</f>
        <v>1</v>
      </c>
      <c r="S1499" s="15" t="n">
        <f aca="false">IF(OR(J1499=1,N1499&lt;=O1499),1,0)</f>
        <v>1</v>
      </c>
      <c r="T1499" s="15" t="str">
        <f aca="false">IF(J1499=1,"OFFLINE",IF(AND(Q1499&gt;=Inputs!$B$15,R1499=1,S1499=1,P1499&lt;=L1499),"PASS","FAIL"))</f>
        <v>PASS</v>
      </c>
    </row>
    <row r="1500" customFormat="false" ht="15" hidden="false" customHeight="false" outlineLevel="0" collapsed="false">
      <c r="A1500" s="14" t="s">
        <v>1032</v>
      </c>
      <c r="B1500" s="14" t="s">
        <v>1019</v>
      </c>
      <c r="C1500" s="14" t="s">
        <v>194</v>
      </c>
      <c r="D1500" s="14" t="s">
        <v>196</v>
      </c>
      <c r="E1500" s="14" t="s">
        <v>172</v>
      </c>
      <c r="F1500" s="14" t="s">
        <v>191</v>
      </c>
      <c r="G1500" s="14" t="n">
        <v>3</v>
      </c>
      <c r="H1500" s="14" t="s">
        <v>158</v>
      </c>
      <c r="I1500" s="14" t="s">
        <v>899</v>
      </c>
      <c r="J1500" s="15" t="n">
        <f aca="false">IF(B1500="SITE LOSS",IF(D1500=C1500,1,0),IF(B1500="REGION LOSS",IF(E1500=C1500,1,0),0))</f>
        <v>0</v>
      </c>
      <c r="K1500" s="15" t="n">
        <f aca="false">IF(B1500="SITE LOSS",IF(COUNTIFS('Site Dockets'!$B$7:$B$24,C1500,'Site Dockets'!$C$7:$C$24,F1500)&gt;0,1,0),IF(B1500="REGION LOSS",IF(COUNTIFS('Site Dockets'!$E$7:$E$24,C1500,'Site Dockets'!$C$7:$C$24,F1500)&gt;0,1,0),0))</f>
        <v>1</v>
      </c>
      <c r="L1500" s="15" t="n">
        <f aca="false">IF(J1500=1,0,Inputs!$B$11)</f>
        <v>100</v>
      </c>
      <c r="M1500" s="15" t="n">
        <f aca="false">IF(J1500=1,0,Inputs!$B$12)</f>
        <v>75</v>
      </c>
      <c r="N1500" s="15" t="n">
        <f aca="false">IF(J1500=1,0,IF(OR(AND(OR(B1500="SITE LOSS",B1500="REGION LOSS"),K1500=1),AND(B1500="ROLE COMPROMISE",H1500=C1500)),Inputs!$B$13,Inputs!$B$14))</f>
        <v>20</v>
      </c>
      <c r="O1500" s="15" t="n">
        <f aca="false">IF(J1500=1,0,Inputs!$B$13)</f>
        <v>20</v>
      </c>
      <c r="P1500" s="15" t="n">
        <f aca="false">SUM(M1500:N1500)</f>
        <v>95</v>
      </c>
      <c r="Q1500" s="15" t="n">
        <f aca="false">IF(J1500=1,"",L1500-P1500)</f>
        <v>5</v>
      </c>
      <c r="R1500" s="15" t="n">
        <f aca="false">IF(OR(J1500=1,M1500&lt;=Inputs!$B$12),1,0)</f>
        <v>1</v>
      </c>
      <c r="S1500" s="15" t="n">
        <f aca="false">IF(OR(J1500=1,N1500&lt;=O1500),1,0)</f>
        <v>1</v>
      </c>
      <c r="T1500" s="15" t="str">
        <f aca="false">IF(J1500=1,"OFFLINE",IF(AND(Q1500&gt;=Inputs!$B$15,R1500=1,S1500=1,P1500&lt;=L1500),"PASS","FAIL"))</f>
        <v>PASS</v>
      </c>
    </row>
    <row r="1501" customFormat="false" ht="15" hidden="false" customHeight="false" outlineLevel="0" collapsed="false">
      <c r="A1501" s="14" t="s">
        <v>1032</v>
      </c>
      <c r="B1501" s="14" t="s">
        <v>1019</v>
      </c>
      <c r="C1501" s="14" t="s">
        <v>194</v>
      </c>
      <c r="D1501" s="14" t="s">
        <v>198</v>
      </c>
      <c r="E1501" s="14" t="s">
        <v>166</v>
      </c>
      <c r="F1501" s="14" t="s">
        <v>199</v>
      </c>
      <c r="G1501" s="14" t="n">
        <v>1</v>
      </c>
      <c r="H1501" s="14" t="s">
        <v>154</v>
      </c>
      <c r="I1501" s="14" t="s">
        <v>890</v>
      </c>
      <c r="J1501" s="15" t="n">
        <f aca="false">IF(B1501="SITE LOSS",IF(D1501=C1501,1,0),IF(B1501="REGION LOSS",IF(E1501=C1501,1,0),0))</f>
        <v>0</v>
      </c>
      <c r="K1501" s="15" t="n">
        <f aca="false">IF(B1501="SITE LOSS",IF(COUNTIFS('Site Dockets'!$B$7:$B$24,C1501,'Site Dockets'!$C$7:$C$24,F1501)&gt;0,1,0),IF(B1501="REGION LOSS",IF(COUNTIFS('Site Dockets'!$E$7:$E$24,C1501,'Site Dockets'!$C$7:$C$24,F1501)&gt;0,1,0),0))</f>
        <v>0</v>
      </c>
      <c r="L1501" s="15" t="n">
        <f aca="false">IF(J1501=1,0,Inputs!$B$11)</f>
        <v>100</v>
      </c>
      <c r="M1501" s="15" t="n">
        <f aca="false">IF(J1501=1,0,Inputs!$B$12)</f>
        <v>75</v>
      </c>
      <c r="N1501" s="15" t="n">
        <f aca="false">IF(J1501=1,0,IF(OR(AND(OR(B1501="SITE LOSS",B1501="REGION LOSS"),K1501=1),AND(B1501="ROLE COMPROMISE",H1501=C1501)),Inputs!$B$13,Inputs!$B$14))</f>
        <v>10</v>
      </c>
      <c r="O1501" s="15" t="n">
        <f aca="false">IF(J1501=1,0,Inputs!$B$13)</f>
        <v>20</v>
      </c>
      <c r="P1501" s="15" t="n">
        <f aca="false">SUM(M1501:N1501)</f>
        <v>85</v>
      </c>
      <c r="Q1501" s="15" t="n">
        <f aca="false">IF(J1501=1,"",L1501-P1501)</f>
        <v>15</v>
      </c>
      <c r="R1501" s="15" t="n">
        <f aca="false">IF(OR(J1501=1,M1501&lt;=Inputs!$B$12),1,0)</f>
        <v>1</v>
      </c>
      <c r="S1501" s="15" t="n">
        <f aca="false">IF(OR(J1501=1,N1501&lt;=O1501),1,0)</f>
        <v>1</v>
      </c>
      <c r="T1501" s="15" t="str">
        <f aca="false">IF(J1501=1,"OFFLINE",IF(AND(Q1501&gt;=Inputs!$B$15,R1501=1,S1501=1,P1501&lt;=L1501),"PASS","FAIL"))</f>
        <v>PASS</v>
      </c>
    </row>
    <row r="1502" customFormat="false" ht="15" hidden="false" customHeight="false" outlineLevel="0" collapsed="false">
      <c r="A1502" s="14" t="s">
        <v>1032</v>
      </c>
      <c r="B1502" s="14" t="s">
        <v>1019</v>
      </c>
      <c r="C1502" s="14" t="s">
        <v>194</v>
      </c>
      <c r="D1502" s="14" t="s">
        <v>198</v>
      </c>
      <c r="E1502" s="14" t="s">
        <v>166</v>
      </c>
      <c r="F1502" s="14" t="s">
        <v>199</v>
      </c>
      <c r="G1502" s="14" t="n">
        <v>1</v>
      </c>
      <c r="H1502" s="14" t="s">
        <v>154</v>
      </c>
      <c r="I1502" s="14" t="s">
        <v>892</v>
      </c>
      <c r="J1502" s="15" t="n">
        <f aca="false">IF(B1502="SITE LOSS",IF(D1502=C1502,1,0),IF(B1502="REGION LOSS",IF(E1502=C1502,1,0),0))</f>
        <v>0</v>
      </c>
      <c r="K1502" s="15" t="n">
        <f aca="false">IF(B1502="SITE LOSS",IF(COUNTIFS('Site Dockets'!$B$7:$B$24,C1502,'Site Dockets'!$C$7:$C$24,F1502)&gt;0,1,0),IF(B1502="REGION LOSS",IF(COUNTIFS('Site Dockets'!$E$7:$E$24,C1502,'Site Dockets'!$C$7:$C$24,F1502)&gt;0,1,0),0))</f>
        <v>0</v>
      </c>
      <c r="L1502" s="15" t="n">
        <f aca="false">IF(J1502=1,0,Inputs!$B$11)</f>
        <v>100</v>
      </c>
      <c r="M1502" s="15" t="n">
        <f aca="false">IF(J1502=1,0,Inputs!$B$12)</f>
        <v>75</v>
      </c>
      <c r="N1502" s="15" t="n">
        <f aca="false">IF(J1502=1,0,IF(OR(AND(OR(B1502="SITE LOSS",B1502="REGION LOSS"),K1502=1),AND(B1502="ROLE COMPROMISE",H1502=C1502)),Inputs!$B$13,Inputs!$B$14))</f>
        <v>10</v>
      </c>
      <c r="O1502" s="15" t="n">
        <f aca="false">IF(J1502=1,0,Inputs!$B$13)</f>
        <v>20</v>
      </c>
      <c r="P1502" s="15" t="n">
        <f aca="false">SUM(M1502:N1502)</f>
        <v>85</v>
      </c>
      <c r="Q1502" s="15" t="n">
        <f aca="false">IF(J1502=1,"",L1502-P1502)</f>
        <v>15</v>
      </c>
      <c r="R1502" s="15" t="n">
        <f aca="false">IF(OR(J1502=1,M1502&lt;=Inputs!$B$12),1,0)</f>
        <v>1</v>
      </c>
      <c r="S1502" s="15" t="n">
        <f aca="false">IF(OR(J1502=1,N1502&lt;=O1502),1,0)</f>
        <v>1</v>
      </c>
      <c r="T1502" s="15" t="str">
        <f aca="false">IF(J1502=1,"OFFLINE",IF(AND(Q1502&gt;=Inputs!$B$15,R1502=1,S1502=1,P1502&lt;=L1502),"PASS","FAIL"))</f>
        <v>PASS</v>
      </c>
    </row>
    <row r="1503" customFormat="false" ht="15" hidden="false" customHeight="false" outlineLevel="0" collapsed="false">
      <c r="A1503" s="14" t="s">
        <v>1032</v>
      </c>
      <c r="B1503" s="14" t="s">
        <v>1019</v>
      </c>
      <c r="C1503" s="14" t="s">
        <v>194</v>
      </c>
      <c r="D1503" s="14" t="s">
        <v>198</v>
      </c>
      <c r="E1503" s="14" t="s">
        <v>166</v>
      </c>
      <c r="F1503" s="14" t="s">
        <v>199</v>
      </c>
      <c r="G1503" s="14" t="n">
        <v>1</v>
      </c>
      <c r="H1503" s="14" t="s">
        <v>154</v>
      </c>
      <c r="I1503" s="14" t="s">
        <v>811</v>
      </c>
      <c r="J1503" s="15" t="n">
        <f aca="false">IF(B1503="SITE LOSS",IF(D1503=C1503,1,0),IF(B1503="REGION LOSS",IF(E1503=C1503,1,0),0))</f>
        <v>0</v>
      </c>
      <c r="K1503" s="15" t="n">
        <f aca="false">IF(B1503="SITE LOSS",IF(COUNTIFS('Site Dockets'!$B$7:$B$24,C1503,'Site Dockets'!$C$7:$C$24,F1503)&gt;0,1,0),IF(B1503="REGION LOSS",IF(COUNTIFS('Site Dockets'!$E$7:$E$24,C1503,'Site Dockets'!$C$7:$C$24,F1503)&gt;0,1,0),0))</f>
        <v>0</v>
      </c>
      <c r="L1503" s="15" t="n">
        <f aca="false">IF(J1503=1,0,Inputs!$B$11)</f>
        <v>100</v>
      </c>
      <c r="M1503" s="15" t="n">
        <f aca="false">IF(J1503=1,0,Inputs!$B$12)</f>
        <v>75</v>
      </c>
      <c r="N1503" s="15" t="n">
        <f aca="false">IF(J1503=1,0,IF(OR(AND(OR(B1503="SITE LOSS",B1503="REGION LOSS"),K1503=1),AND(B1503="ROLE COMPROMISE",H1503=C1503)),Inputs!$B$13,Inputs!$B$14))</f>
        <v>10</v>
      </c>
      <c r="O1503" s="15" t="n">
        <f aca="false">IF(J1503=1,0,Inputs!$B$13)</f>
        <v>20</v>
      </c>
      <c r="P1503" s="15" t="n">
        <f aca="false">SUM(M1503:N1503)</f>
        <v>85</v>
      </c>
      <c r="Q1503" s="15" t="n">
        <f aca="false">IF(J1503=1,"",L1503-P1503)</f>
        <v>15</v>
      </c>
      <c r="R1503" s="15" t="n">
        <f aca="false">IF(OR(J1503=1,M1503&lt;=Inputs!$B$12),1,0)</f>
        <v>1</v>
      </c>
      <c r="S1503" s="15" t="n">
        <f aca="false">IF(OR(J1503=1,N1503&lt;=O1503),1,0)</f>
        <v>1</v>
      </c>
      <c r="T1503" s="15" t="str">
        <f aca="false">IF(J1503=1,"OFFLINE",IF(AND(Q1503&gt;=Inputs!$B$15,R1503=1,S1503=1,P1503&lt;=L1503),"PASS","FAIL"))</f>
        <v>PASS</v>
      </c>
    </row>
    <row r="1504" customFormat="false" ht="15" hidden="false" customHeight="false" outlineLevel="0" collapsed="false">
      <c r="A1504" s="14" t="s">
        <v>1032</v>
      </c>
      <c r="B1504" s="14" t="s">
        <v>1019</v>
      </c>
      <c r="C1504" s="14" t="s">
        <v>194</v>
      </c>
      <c r="D1504" s="14" t="s">
        <v>198</v>
      </c>
      <c r="E1504" s="14" t="s">
        <v>166</v>
      </c>
      <c r="F1504" s="14" t="s">
        <v>199</v>
      </c>
      <c r="G1504" s="14" t="n">
        <v>1</v>
      </c>
      <c r="H1504" s="14" t="s">
        <v>154</v>
      </c>
      <c r="I1504" s="14" t="s">
        <v>895</v>
      </c>
      <c r="J1504" s="15" t="n">
        <f aca="false">IF(B1504="SITE LOSS",IF(D1504=C1504,1,0),IF(B1504="REGION LOSS",IF(E1504=C1504,1,0),0))</f>
        <v>0</v>
      </c>
      <c r="K1504" s="15" t="n">
        <f aca="false">IF(B1504="SITE LOSS",IF(COUNTIFS('Site Dockets'!$B$7:$B$24,C1504,'Site Dockets'!$C$7:$C$24,F1504)&gt;0,1,0),IF(B1504="REGION LOSS",IF(COUNTIFS('Site Dockets'!$E$7:$E$24,C1504,'Site Dockets'!$C$7:$C$24,F1504)&gt;0,1,0),0))</f>
        <v>0</v>
      </c>
      <c r="L1504" s="15" t="n">
        <f aca="false">IF(J1504=1,0,Inputs!$B$11)</f>
        <v>100</v>
      </c>
      <c r="M1504" s="15" t="n">
        <f aca="false">IF(J1504=1,0,Inputs!$B$12)</f>
        <v>75</v>
      </c>
      <c r="N1504" s="15" t="n">
        <f aca="false">IF(J1504=1,0,IF(OR(AND(OR(B1504="SITE LOSS",B1504="REGION LOSS"),K1504=1),AND(B1504="ROLE COMPROMISE",H1504=C1504)),Inputs!$B$13,Inputs!$B$14))</f>
        <v>10</v>
      </c>
      <c r="O1504" s="15" t="n">
        <f aca="false">IF(J1504=1,0,Inputs!$B$13)</f>
        <v>20</v>
      </c>
      <c r="P1504" s="15" t="n">
        <f aca="false">SUM(M1504:N1504)</f>
        <v>85</v>
      </c>
      <c r="Q1504" s="15" t="n">
        <f aca="false">IF(J1504=1,"",L1504-P1504)</f>
        <v>15</v>
      </c>
      <c r="R1504" s="15" t="n">
        <f aca="false">IF(OR(J1504=1,M1504&lt;=Inputs!$B$12),1,0)</f>
        <v>1</v>
      </c>
      <c r="S1504" s="15" t="n">
        <f aca="false">IF(OR(J1504=1,N1504&lt;=O1504),1,0)</f>
        <v>1</v>
      </c>
      <c r="T1504" s="15" t="str">
        <f aca="false">IF(J1504=1,"OFFLINE",IF(AND(Q1504&gt;=Inputs!$B$15,R1504=1,S1504=1,P1504&lt;=L1504),"PASS","FAIL"))</f>
        <v>PASS</v>
      </c>
    </row>
    <row r="1505" customFormat="false" ht="15" hidden="false" customHeight="false" outlineLevel="0" collapsed="false">
      <c r="A1505" s="14" t="s">
        <v>1032</v>
      </c>
      <c r="B1505" s="14" t="s">
        <v>1019</v>
      </c>
      <c r="C1505" s="14" t="s">
        <v>194</v>
      </c>
      <c r="D1505" s="14" t="s">
        <v>198</v>
      </c>
      <c r="E1505" s="14" t="s">
        <v>166</v>
      </c>
      <c r="F1505" s="14" t="s">
        <v>199</v>
      </c>
      <c r="G1505" s="14" t="n">
        <v>1</v>
      </c>
      <c r="H1505" s="14" t="s">
        <v>154</v>
      </c>
      <c r="I1505" s="14" t="s">
        <v>897</v>
      </c>
      <c r="J1505" s="15" t="n">
        <f aca="false">IF(B1505="SITE LOSS",IF(D1505=C1505,1,0),IF(B1505="REGION LOSS",IF(E1505=C1505,1,0),0))</f>
        <v>0</v>
      </c>
      <c r="K1505" s="15" t="n">
        <f aca="false">IF(B1505="SITE LOSS",IF(COUNTIFS('Site Dockets'!$B$7:$B$24,C1505,'Site Dockets'!$C$7:$C$24,F1505)&gt;0,1,0),IF(B1505="REGION LOSS",IF(COUNTIFS('Site Dockets'!$E$7:$E$24,C1505,'Site Dockets'!$C$7:$C$24,F1505)&gt;0,1,0),0))</f>
        <v>0</v>
      </c>
      <c r="L1505" s="15" t="n">
        <f aca="false">IF(J1505=1,0,Inputs!$B$11)</f>
        <v>100</v>
      </c>
      <c r="M1505" s="15" t="n">
        <f aca="false">IF(J1505=1,0,Inputs!$B$12)</f>
        <v>75</v>
      </c>
      <c r="N1505" s="15" t="n">
        <f aca="false">IF(J1505=1,0,IF(OR(AND(OR(B1505="SITE LOSS",B1505="REGION LOSS"),K1505=1),AND(B1505="ROLE COMPROMISE",H1505=C1505)),Inputs!$B$13,Inputs!$B$14))</f>
        <v>10</v>
      </c>
      <c r="O1505" s="15" t="n">
        <f aca="false">IF(J1505=1,0,Inputs!$B$13)</f>
        <v>20</v>
      </c>
      <c r="P1505" s="15" t="n">
        <f aca="false">SUM(M1505:N1505)</f>
        <v>85</v>
      </c>
      <c r="Q1505" s="15" t="n">
        <f aca="false">IF(J1505=1,"",L1505-P1505)</f>
        <v>15</v>
      </c>
      <c r="R1505" s="15" t="n">
        <f aca="false">IF(OR(J1505=1,M1505&lt;=Inputs!$B$12),1,0)</f>
        <v>1</v>
      </c>
      <c r="S1505" s="15" t="n">
        <f aca="false">IF(OR(J1505=1,N1505&lt;=O1505),1,0)</f>
        <v>1</v>
      </c>
      <c r="T1505" s="15" t="str">
        <f aca="false">IF(J1505=1,"OFFLINE",IF(AND(Q1505&gt;=Inputs!$B$15,R1505=1,S1505=1,P1505&lt;=L1505),"PASS","FAIL"))</f>
        <v>PASS</v>
      </c>
    </row>
    <row r="1506" customFormat="false" ht="15" hidden="false" customHeight="false" outlineLevel="0" collapsed="false">
      <c r="A1506" s="14" t="s">
        <v>1032</v>
      </c>
      <c r="B1506" s="14" t="s">
        <v>1019</v>
      </c>
      <c r="C1506" s="14" t="s">
        <v>194</v>
      </c>
      <c r="D1506" s="14" t="s">
        <v>198</v>
      </c>
      <c r="E1506" s="14" t="s">
        <v>166</v>
      </c>
      <c r="F1506" s="14" t="s">
        <v>199</v>
      </c>
      <c r="G1506" s="14" t="n">
        <v>1</v>
      </c>
      <c r="H1506" s="14" t="s">
        <v>154</v>
      </c>
      <c r="I1506" s="14" t="s">
        <v>899</v>
      </c>
      <c r="J1506" s="15" t="n">
        <f aca="false">IF(B1506="SITE LOSS",IF(D1506=C1506,1,0),IF(B1506="REGION LOSS",IF(E1506=C1506,1,0),0))</f>
        <v>0</v>
      </c>
      <c r="K1506" s="15" t="n">
        <f aca="false">IF(B1506="SITE LOSS",IF(COUNTIFS('Site Dockets'!$B$7:$B$24,C1506,'Site Dockets'!$C$7:$C$24,F1506)&gt;0,1,0),IF(B1506="REGION LOSS",IF(COUNTIFS('Site Dockets'!$E$7:$E$24,C1506,'Site Dockets'!$C$7:$C$24,F1506)&gt;0,1,0),0))</f>
        <v>0</v>
      </c>
      <c r="L1506" s="15" t="n">
        <f aca="false">IF(J1506=1,0,Inputs!$B$11)</f>
        <v>100</v>
      </c>
      <c r="M1506" s="15" t="n">
        <f aca="false">IF(J1506=1,0,Inputs!$B$12)</f>
        <v>75</v>
      </c>
      <c r="N1506" s="15" t="n">
        <f aca="false">IF(J1506=1,0,IF(OR(AND(OR(B1506="SITE LOSS",B1506="REGION LOSS"),K1506=1),AND(B1506="ROLE COMPROMISE",H1506=C1506)),Inputs!$B$13,Inputs!$B$14))</f>
        <v>10</v>
      </c>
      <c r="O1506" s="15" t="n">
        <f aca="false">IF(J1506=1,0,Inputs!$B$13)</f>
        <v>20</v>
      </c>
      <c r="P1506" s="15" t="n">
        <f aca="false">SUM(M1506:N1506)</f>
        <v>85</v>
      </c>
      <c r="Q1506" s="15" t="n">
        <f aca="false">IF(J1506=1,"",L1506-P1506)</f>
        <v>15</v>
      </c>
      <c r="R1506" s="15" t="n">
        <f aca="false">IF(OR(J1506=1,M1506&lt;=Inputs!$B$12),1,0)</f>
        <v>1</v>
      </c>
      <c r="S1506" s="15" t="n">
        <f aca="false">IF(OR(J1506=1,N1506&lt;=O1506),1,0)</f>
        <v>1</v>
      </c>
      <c r="T1506" s="15" t="str">
        <f aca="false">IF(J1506=1,"OFFLINE",IF(AND(Q1506&gt;=Inputs!$B$15,R1506=1,S1506=1,P1506&lt;=L1506),"PASS","FAIL"))</f>
        <v>PASS</v>
      </c>
    </row>
    <row r="1507" customFormat="false" ht="15" hidden="false" customHeight="false" outlineLevel="0" collapsed="false">
      <c r="A1507" s="14" t="s">
        <v>1032</v>
      </c>
      <c r="B1507" s="14" t="s">
        <v>1019</v>
      </c>
      <c r="C1507" s="14" t="s">
        <v>194</v>
      </c>
      <c r="D1507" s="14" t="s">
        <v>202</v>
      </c>
      <c r="E1507" s="14" t="s">
        <v>157</v>
      </c>
      <c r="F1507" s="14" t="s">
        <v>199</v>
      </c>
      <c r="G1507" s="14" t="n">
        <v>2</v>
      </c>
      <c r="H1507" s="14" t="s">
        <v>153</v>
      </c>
      <c r="I1507" s="14" t="s">
        <v>890</v>
      </c>
      <c r="J1507" s="15" t="n">
        <f aca="false">IF(B1507="SITE LOSS",IF(D1507=C1507,1,0),IF(B1507="REGION LOSS",IF(E1507=C1507,1,0),0))</f>
        <v>0</v>
      </c>
      <c r="K1507" s="15" t="n">
        <f aca="false">IF(B1507="SITE LOSS",IF(COUNTIFS('Site Dockets'!$B$7:$B$24,C1507,'Site Dockets'!$C$7:$C$24,F1507)&gt;0,1,0),IF(B1507="REGION LOSS",IF(COUNTIFS('Site Dockets'!$E$7:$E$24,C1507,'Site Dockets'!$C$7:$C$24,F1507)&gt;0,1,0),0))</f>
        <v>0</v>
      </c>
      <c r="L1507" s="15" t="n">
        <f aca="false">IF(J1507=1,0,Inputs!$B$11)</f>
        <v>100</v>
      </c>
      <c r="M1507" s="15" t="n">
        <f aca="false">IF(J1507=1,0,Inputs!$B$12)</f>
        <v>75</v>
      </c>
      <c r="N1507" s="15" t="n">
        <f aca="false">IF(J1507=1,0,IF(OR(AND(OR(B1507="SITE LOSS",B1507="REGION LOSS"),K1507=1),AND(B1507="ROLE COMPROMISE",H1507=C1507)),Inputs!$B$13,Inputs!$B$14))</f>
        <v>10</v>
      </c>
      <c r="O1507" s="15" t="n">
        <f aca="false">IF(J1507=1,0,Inputs!$B$13)</f>
        <v>20</v>
      </c>
      <c r="P1507" s="15" t="n">
        <f aca="false">SUM(M1507:N1507)</f>
        <v>85</v>
      </c>
      <c r="Q1507" s="15" t="n">
        <f aca="false">IF(J1507=1,"",L1507-P1507)</f>
        <v>15</v>
      </c>
      <c r="R1507" s="15" t="n">
        <f aca="false">IF(OR(J1507=1,M1507&lt;=Inputs!$B$12),1,0)</f>
        <v>1</v>
      </c>
      <c r="S1507" s="15" t="n">
        <f aca="false">IF(OR(J1507=1,N1507&lt;=O1507),1,0)</f>
        <v>1</v>
      </c>
      <c r="T1507" s="15" t="str">
        <f aca="false">IF(J1507=1,"OFFLINE",IF(AND(Q1507&gt;=Inputs!$B$15,R1507=1,S1507=1,P1507&lt;=L1507),"PASS","FAIL"))</f>
        <v>PASS</v>
      </c>
    </row>
    <row r="1508" customFormat="false" ht="15" hidden="false" customHeight="false" outlineLevel="0" collapsed="false">
      <c r="A1508" s="14" t="s">
        <v>1032</v>
      </c>
      <c r="B1508" s="14" t="s">
        <v>1019</v>
      </c>
      <c r="C1508" s="14" t="s">
        <v>194</v>
      </c>
      <c r="D1508" s="14" t="s">
        <v>202</v>
      </c>
      <c r="E1508" s="14" t="s">
        <v>157</v>
      </c>
      <c r="F1508" s="14" t="s">
        <v>199</v>
      </c>
      <c r="G1508" s="14" t="n">
        <v>2</v>
      </c>
      <c r="H1508" s="14" t="s">
        <v>153</v>
      </c>
      <c r="I1508" s="14" t="s">
        <v>892</v>
      </c>
      <c r="J1508" s="15" t="n">
        <f aca="false">IF(B1508="SITE LOSS",IF(D1508=C1508,1,0),IF(B1508="REGION LOSS",IF(E1508=C1508,1,0),0))</f>
        <v>0</v>
      </c>
      <c r="K1508" s="15" t="n">
        <f aca="false">IF(B1508="SITE LOSS",IF(COUNTIFS('Site Dockets'!$B$7:$B$24,C1508,'Site Dockets'!$C$7:$C$24,F1508)&gt;0,1,0),IF(B1508="REGION LOSS",IF(COUNTIFS('Site Dockets'!$E$7:$E$24,C1508,'Site Dockets'!$C$7:$C$24,F1508)&gt;0,1,0),0))</f>
        <v>0</v>
      </c>
      <c r="L1508" s="15" t="n">
        <f aca="false">IF(J1508=1,0,Inputs!$B$11)</f>
        <v>100</v>
      </c>
      <c r="M1508" s="15" t="n">
        <f aca="false">IF(J1508=1,0,Inputs!$B$12)</f>
        <v>75</v>
      </c>
      <c r="N1508" s="15" t="n">
        <f aca="false">IF(J1508=1,0,IF(OR(AND(OR(B1508="SITE LOSS",B1508="REGION LOSS"),K1508=1),AND(B1508="ROLE COMPROMISE",H1508=C1508)),Inputs!$B$13,Inputs!$B$14))</f>
        <v>10</v>
      </c>
      <c r="O1508" s="15" t="n">
        <f aca="false">IF(J1508=1,0,Inputs!$B$13)</f>
        <v>20</v>
      </c>
      <c r="P1508" s="15" t="n">
        <f aca="false">SUM(M1508:N1508)</f>
        <v>85</v>
      </c>
      <c r="Q1508" s="15" t="n">
        <f aca="false">IF(J1508=1,"",L1508-P1508)</f>
        <v>15</v>
      </c>
      <c r="R1508" s="15" t="n">
        <f aca="false">IF(OR(J1508=1,M1508&lt;=Inputs!$B$12),1,0)</f>
        <v>1</v>
      </c>
      <c r="S1508" s="15" t="n">
        <f aca="false">IF(OR(J1508=1,N1508&lt;=O1508),1,0)</f>
        <v>1</v>
      </c>
      <c r="T1508" s="15" t="str">
        <f aca="false">IF(J1508=1,"OFFLINE",IF(AND(Q1508&gt;=Inputs!$B$15,R1508=1,S1508=1,P1508&lt;=L1508),"PASS","FAIL"))</f>
        <v>PASS</v>
      </c>
    </row>
    <row r="1509" customFormat="false" ht="15" hidden="false" customHeight="false" outlineLevel="0" collapsed="false">
      <c r="A1509" s="14" t="s">
        <v>1032</v>
      </c>
      <c r="B1509" s="14" t="s">
        <v>1019</v>
      </c>
      <c r="C1509" s="14" t="s">
        <v>194</v>
      </c>
      <c r="D1509" s="14" t="s">
        <v>202</v>
      </c>
      <c r="E1509" s="14" t="s">
        <v>157</v>
      </c>
      <c r="F1509" s="14" t="s">
        <v>199</v>
      </c>
      <c r="G1509" s="14" t="n">
        <v>2</v>
      </c>
      <c r="H1509" s="14" t="s">
        <v>153</v>
      </c>
      <c r="I1509" s="14" t="s">
        <v>811</v>
      </c>
      <c r="J1509" s="15" t="n">
        <f aca="false">IF(B1509="SITE LOSS",IF(D1509=C1509,1,0),IF(B1509="REGION LOSS",IF(E1509=C1509,1,0),0))</f>
        <v>0</v>
      </c>
      <c r="K1509" s="15" t="n">
        <f aca="false">IF(B1509="SITE LOSS",IF(COUNTIFS('Site Dockets'!$B$7:$B$24,C1509,'Site Dockets'!$C$7:$C$24,F1509)&gt;0,1,0),IF(B1509="REGION LOSS",IF(COUNTIFS('Site Dockets'!$E$7:$E$24,C1509,'Site Dockets'!$C$7:$C$24,F1509)&gt;0,1,0),0))</f>
        <v>0</v>
      </c>
      <c r="L1509" s="15" t="n">
        <f aca="false">IF(J1509=1,0,Inputs!$B$11)</f>
        <v>100</v>
      </c>
      <c r="M1509" s="15" t="n">
        <f aca="false">IF(J1509=1,0,Inputs!$B$12)</f>
        <v>75</v>
      </c>
      <c r="N1509" s="15" t="n">
        <f aca="false">IF(J1509=1,0,IF(OR(AND(OR(B1509="SITE LOSS",B1509="REGION LOSS"),K1509=1),AND(B1509="ROLE COMPROMISE",H1509=C1509)),Inputs!$B$13,Inputs!$B$14))</f>
        <v>10</v>
      </c>
      <c r="O1509" s="15" t="n">
        <f aca="false">IF(J1509=1,0,Inputs!$B$13)</f>
        <v>20</v>
      </c>
      <c r="P1509" s="15" t="n">
        <f aca="false">SUM(M1509:N1509)</f>
        <v>85</v>
      </c>
      <c r="Q1509" s="15" t="n">
        <f aca="false">IF(J1509=1,"",L1509-P1509)</f>
        <v>15</v>
      </c>
      <c r="R1509" s="15" t="n">
        <f aca="false">IF(OR(J1509=1,M1509&lt;=Inputs!$B$12),1,0)</f>
        <v>1</v>
      </c>
      <c r="S1509" s="15" t="n">
        <f aca="false">IF(OR(J1509=1,N1509&lt;=O1509),1,0)</f>
        <v>1</v>
      </c>
      <c r="T1509" s="15" t="str">
        <f aca="false">IF(J1509=1,"OFFLINE",IF(AND(Q1509&gt;=Inputs!$B$15,R1509=1,S1509=1,P1509&lt;=L1509),"PASS","FAIL"))</f>
        <v>PASS</v>
      </c>
    </row>
    <row r="1510" customFormat="false" ht="15" hidden="false" customHeight="false" outlineLevel="0" collapsed="false">
      <c r="A1510" s="14" t="s">
        <v>1032</v>
      </c>
      <c r="B1510" s="14" t="s">
        <v>1019</v>
      </c>
      <c r="C1510" s="14" t="s">
        <v>194</v>
      </c>
      <c r="D1510" s="14" t="s">
        <v>202</v>
      </c>
      <c r="E1510" s="14" t="s">
        <v>157</v>
      </c>
      <c r="F1510" s="14" t="s">
        <v>199</v>
      </c>
      <c r="G1510" s="14" t="n">
        <v>2</v>
      </c>
      <c r="H1510" s="14" t="s">
        <v>153</v>
      </c>
      <c r="I1510" s="14" t="s">
        <v>895</v>
      </c>
      <c r="J1510" s="15" t="n">
        <f aca="false">IF(B1510="SITE LOSS",IF(D1510=C1510,1,0),IF(B1510="REGION LOSS",IF(E1510=C1510,1,0),0))</f>
        <v>0</v>
      </c>
      <c r="K1510" s="15" t="n">
        <f aca="false">IF(B1510="SITE LOSS",IF(COUNTIFS('Site Dockets'!$B$7:$B$24,C1510,'Site Dockets'!$C$7:$C$24,F1510)&gt;0,1,0),IF(B1510="REGION LOSS",IF(COUNTIFS('Site Dockets'!$E$7:$E$24,C1510,'Site Dockets'!$C$7:$C$24,F1510)&gt;0,1,0),0))</f>
        <v>0</v>
      </c>
      <c r="L1510" s="15" t="n">
        <f aca="false">IF(J1510=1,0,Inputs!$B$11)</f>
        <v>100</v>
      </c>
      <c r="M1510" s="15" t="n">
        <f aca="false">IF(J1510=1,0,Inputs!$B$12)</f>
        <v>75</v>
      </c>
      <c r="N1510" s="15" t="n">
        <f aca="false">IF(J1510=1,0,IF(OR(AND(OR(B1510="SITE LOSS",B1510="REGION LOSS"),K1510=1),AND(B1510="ROLE COMPROMISE",H1510=C1510)),Inputs!$B$13,Inputs!$B$14))</f>
        <v>10</v>
      </c>
      <c r="O1510" s="15" t="n">
        <f aca="false">IF(J1510=1,0,Inputs!$B$13)</f>
        <v>20</v>
      </c>
      <c r="P1510" s="15" t="n">
        <f aca="false">SUM(M1510:N1510)</f>
        <v>85</v>
      </c>
      <c r="Q1510" s="15" t="n">
        <f aca="false">IF(J1510=1,"",L1510-P1510)</f>
        <v>15</v>
      </c>
      <c r="R1510" s="15" t="n">
        <f aca="false">IF(OR(J1510=1,M1510&lt;=Inputs!$B$12),1,0)</f>
        <v>1</v>
      </c>
      <c r="S1510" s="15" t="n">
        <f aca="false">IF(OR(J1510=1,N1510&lt;=O1510),1,0)</f>
        <v>1</v>
      </c>
      <c r="T1510" s="15" t="str">
        <f aca="false">IF(J1510=1,"OFFLINE",IF(AND(Q1510&gt;=Inputs!$B$15,R1510=1,S1510=1,P1510&lt;=L1510),"PASS","FAIL"))</f>
        <v>PASS</v>
      </c>
    </row>
    <row r="1511" customFormat="false" ht="15" hidden="false" customHeight="false" outlineLevel="0" collapsed="false">
      <c r="A1511" s="14" t="s">
        <v>1032</v>
      </c>
      <c r="B1511" s="14" t="s">
        <v>1019</v>
      </c>
      <c r="C1511" s="14" t="s">
        <v>194</v>
      </c>
      <c r="D1511" s="14" t="s">
        <v>202</v>
      </c>
      <c r="E1511" s="14" t="s">
        <v>157</v>
      </c>
      <c r="F1511" s="14" t="s">
        <v>199</v>
      </c>
      <c r="G1511" s="14" t="n">
        <v>2</v>
      </c>
      <c r="H1511" s="14" t="s">
        <v>153</v>
      </c>
      <c r="I1511" s="14" t="s">
        <v>897</v>
      </c>
      <c r="J1511" s="15" t="n">
        <f aca="false">IF(B1511="SITE LOSS",IF(D1511=C1511,1,0),IF(B1511="REGION LOSS",IF(E1511=C1511,1,0),0))</f>
        <v>0</v>
      </c>
      <c r="K1511" s="15" t="n">
        <f aca="false">IF(B1511="SITE LOSS",IF(COUNTIFS('Site Dockets'!$B$7:$B$24,C1511,'Site Dockets'!$C$7:$C$24,F1511)&gt;0,1,0),IF(B1511="REGION LOSS",IF(COUNTIFS('Site Dockets'!$E$7:$E$24,C1511,'Site Dockets'!$C$7:$C$24,F1511)&gt;0,1,0),0))</f>
        <v>0</v>
      </c>
      <c r="L1511" s="15" t="n">
        <f aca="false">IF(J1511=1,0,Inputs!$B$11)</f>
        <v>100</v>
      </c>
      <c r="M1511" s="15" t="n">
        <f aca="false">IF(J1511=1,0,Inputs!$B$12)</f>
        <v>75</v>
      </c>
      <c r="N1511" s="15" t="n">
        <f aca="false">IF(J1511=1,0,IF(OR(AND(OR(B1511="SITE LOSS",B1511="REGION LOSS"),K1511=1),AND(B1511="ROLE COMPROMISE",H1511=C1511)),Inputs!$B$13,Inputs!$B$14))</f>
        <v>10</v>
      </c>
      <c r="O1511" s="15" t="n">
        <f aca="false">IF(J1511=1,0,Inputs!$B$13)</f>
        <v>20</v>
      </c>
      <c r="P1511" s="15" t="n">
        <f aca="false">SUM(M1511:N1511)</f>
        <v>85</v>
      </c>
      <c r="Q1511" s="15" t="n">
        <f aca="false">IF(J1511=1,"",L1511-P1511)</f>
        <v>15</v>
      </c>
      <c r="R1511" s="15" t="n">
        <f aca="false">IF(OR(J1511=1,M1511&lt;=Inputs!$B$12),1,0)</f>
        <v>1</v>
      </c>
      <c r="S1511" s="15" t="n">
        <f aca="false">IF(OR(J1511=1,N1511&lt;=O1511),1,0)</f>
        <v>1</v>
      </c>
      <c r="T1511" s="15" t="str">
        <f aca="false">IF(J1511=1,"OFFLINE",IF(AND(Q1511&gt;=Inputs!$B$15,R1511=1,S1511=1,P1511&lt;=L1511),"PASS","FAIL"))</f>
        <v>PASS</v>
      </c>
    </row>
    <row r="1512" customFormat="false" ht="15" hidden="false" customHeight="false" outlineLevel="0" collapsed="false">
      <c r="A1512" s="14" t="s">
        <v>1032</v>
      </c>
      <c r="B1512" s="14" t="s">
        <v>1019</v>
      </c>
      <c r="C1512" s="14" t="s">
        <v>194</v>
      </c>
      <c r="D1512" s="14" t="s">
        <v>202</v>
      </c>
      <c r="E1512" s="14" t="s">
        <v>157</v>
      </c>
      <c r="F1512" s="14" t="s">
        <v>199</v>
      </c>
      <c r="G1512" s="14" t="n">
        <v>2</v>
      </c>
      <c r="H1512" s="14" t="s">
        <v>153</v>
      </c>
      <c r="I1512" s="14" t="s">
        <v>899</v>
      </c>
      <c r="J1512" s="15" t="n">
        <f aca="false">IF(B1512="SITE LOSS",IF(D1512=C1512,1,0),IF(B1512="REGION LOSS",IF(E1512=C1512,1,0),0))</f>
        <v>0</v>
      </c>
      <c r="K1512" s="15" t="n">
        <f aca="false">IF(B1512="SITE LOSS",IF(COUNTIFS('Site Dockets'!$B$7:$B$24,C1512,'Site Dockets'!$C$7:$C$24,F1512)&gt;0,1,0),IF(B1512="REGION LOSS",IF(COUNTIFS('Site Dockets'!$E$7:$E$24,C1512,'Site Dockets'!$C$7:$C$24,F1512)&gt;0,1,0),0))</f>
        <v>0</v>
      </c>
      <c r="L1512" s="15" t="n">
        <f aca="false">IF(J1512=1,0,Inputs!$B$11)</f>
        <v>100</v>
      </c>
      <c r="M1512" s="15" t="n">
        <f aca="false">IF(J1512=1,0,Inputs!$B$12)</f>
        <v>75</v>
      </c>
      <c r="N1512" s="15" t="n">
        <f aca="false">IF(J1512=1,0,IF(OR(AND(OR(B1512="SITE LOSS",B1512="REGION LOSS"),K1512=1),AND(B1512="ROLE COMPROMISE",H1512=C1512)),Inputs!$B$13,Inputs!$B$14))</f>
        <v>10</v>
      </c>
      <c r="O1512" s="15" t="n">
        <f aca="false">IF(J1512=1,0,Inputs!$B$13)</f>
        <v>20</v>
      </c>
      <c r="P1512" s="15" t="n">
        <f aca="false">SUM(M1512:N1512)</f>
        <v>85</v>
      </c>
      <c r="Q1512" s="15" t="n">
        <f aca="false">IF(J1512=1,"",L1512-P1512)</f>
        <v>15</v>
      </c>
      <c r="R1512" s="15" t="n">
        <f aca="false">IF(OR(J1512=1,M1512&lt;=Inputs!$B$12),1,0)</f>
        <v>1</v>
      </c>
      <c r="S1512" s="15" t="n">
        <f aca="false">IF(OR(J1512=1,N1512&lt;=O1512),1,0)</f>
        <v>1</v>
      </c>
      <c r="T1512" s="15" t="str">
        <f aca="false">IF(J1512=1,"OFFLINE",IF(AND(Q1512&gt;=Inputs!$B$15,R1512=1,S1512=1,P1512&lt;=L1512),"PASS","FAIL"))</f>
        <v>PASS</v>
      </c>
    </row>
    <row r="1513" customFormat="false" ht="15" hidden="false" customHeight="false" outlineLevel="0" collapsed="false">
      <c r="A1513" s="14" t="s">
        <v>1032</v>
      </c>
      <c r="B1513" s="14" t="s">
        <v>1019</v>
      </c>
      <c r="C1513" s="14" t="s">
        <v>194</v>
      </c>
      <c r="D1513" s="14" t="s">
        <v>204</v>
      </c>
      <c r="E1513" s="14" t="s">
        <v>161</v>
      </c>
      <c r="F1513" s="14" t="s">
        <v>199</v>
      </c>
      <c r="G1513" s="14" t="n">
        <v>3</v>
      </c>
      <c r="H1513" s="14" t="s">
        <v>158</v>
      </c>
      <c r="I1513" s="14" t="s">
        <v>890</v>
      </c>
      <c r="J1513" s="15" t="n">
        <f aca="false">IF(B1513="SITE LOSS",IF(D1513=C1513,1,0),IF(B1513="REGION LOSS",IF(E1513=C1513,1,0),0))</f>
        <v>0</v>
      </c>
      <c r="K1513" s="15" t="n">
        <f aca="false">IF(B1513="SITE LOSS",IF(COUNTIFS('Site Dockets'!$B$7:$B$24,C1513,'Site Dockets'!$C$7:$C$24,F1513)&gt;0,1,0),IF(B1513="REGION LOSS",IF(COUNTIFS('Site Dockets'!$E$7:$E$24,C1513,'Site Dockets'!$C$7:$C$24,F1513)&gt;0,1,0),0))</f>
        <v>0</v>
      </c>
      <c r="L1513" s="15" t="n">
        <f aca="false">IF(J1513=1,0,Inputs!$B$11)</f>
        <v>100</v>
      </c>
      <c r="M1513" s="15" t="n">
        <f aca="false">IF(J1513=1,0,Inputs!$B$12)</f>
        <v>75</v>
      </c>
      <c r="N1513" s="15" t="n">
        <f aca="false">IF(J1513=1,0,IF(OR(AND(OR(B1513="SITE LOSS",B1513="REGION LOSS"),K1513=1),AND(B1513="ROLE COMPROMISE",H1513=C1513)),Inputs!$B$13,Inputs!$B$14))</f>
        <v>10</v>
      </c>
      <c r="O1513" s="15" t="n">
        <f aca="false">IF(J1513=1,0,Inputs!$B$13)</f>
        <v>20</v>
      </c>
      <c r="P1513" s="15" t="n">
        <f aca="false">SUM(M1513:N1513)</f>
        <v>85</v>
      </c>
      <c r="Q1513" s="15" t="n">
        <f aca="false">IF(J1513=1,"",L1513-P1513)</f>
        <v>15</v>
      </c>
      <c r="R1513" s="15" t="n">
        <f aca="false">IF(OR(J1513=1,M1513&lt;=Inputs!$B$12),1,0)</f>
        <v>1</v>
      </c>
      <c r="S1513" s="15" t="n">
        <f aca="false">IF(OR(J1513=1,N1513&lt;=O1513),1,0)</f>
        <v>1</v>
      </c>
      <c r="T1513" s="15" t="str">
        <f aca="false">IF(J1513=1,"OFFLINE",IF(AND(Q1513&gt;=Inputs!$B$15,R1513=1,S1513=1,P1513&lt;=L1513),"PASS","FAIL"))</f>
        <v>PASS</v>
      </c>
    </row>
    <row r="1514" customFormat="false" ht="15" hidden="false" customHeight="false" outlineLevel="0" collapsed="false">
      <c r="A1514" s="14" t="s">
        <v>1032</v>
      </c>
      <c r="B1514" s="14" t="s">
        <v>1019</v>
      </c>
      <c r="C1514" s="14" t="s">
        <v>194</v>
      </c>
      <c r="D1514" s="14" t="s">
        <v>204</v>
      </c>
      <c r="E1514" s="14" t="s">
        <v>161</v>
      </c>
      <c r="F1514" s="14" t="s">
        <v>199</v>
      </c>
      <c r="G1514" s="14" t="n">
        <v>3</v>
      </c>
      <c r="H1514" s="14" t="s">
        <v>158</v>
      </c>
      <c r="I1514" s="14" t="s">
        <v>892</v>
      </c>
      <c r="J1514" s="15" t="n">
        <f aca="false">IF(B1514="SITE LOSS",IF(D1514=C1514,1,0),IF(B1514="REGION LOSS",IF(E1514=C1514,1,0),0))</f>
        <v>0</v>
      </c>
      <c r="K1514" s="15" t="n">
        <f aca="false">IF(B1514="SITE LOSS",IF(COUNTIFS('Site Dockets'!$B$7:$B$24,C1514,'Site Dockets'!$C$7:$C$24,F1514)&gt;0,1,0),IF(B1514="REGION LOSS",IF(COUNTIFS('Site Dockets'!$E$7:$E$24,C1514,'Site Dockets'!$C$7:$C$24,F1514)&gt;0,1,0),0))</f>
        <v>0</v>
      </c>
      <c r="L1514" s="15" t="n">
        <f aca="false">IF(J1514=1,0,Inputs!$B$11)</f>
        <v>100</v>
      </c>
      <c r="M1514" s="15" t="n">
        <f aca="false">IF(J1514=1,0,Inputs!$B$12)</f>
        <v>75</v>
      </c>
      <c r="N1514" s="15" t="n">
        <f aca="false">IF(J1514=1,0,IF(OR(AND(OR(B1514="SITE LOSS",B1514="REGION LOSS"),K1514=1),AND(B1514="ROLE COMPROMISE",H1514=C1514)),Inputs!$B$13,Inputs!$B$14))</f>
        <v>10</v>
      </c>
      <c r="O1514" s="15" t="n">
        <f aca="false">IF(J1514=1,0,Inputs!$B$13)</f>
        <v>20</v>
      </c>
      <c r="P1514" s="15" t="n">
        <f aca="false">SUM(M1514:N1514)</f>
        <v>85</v>
      </c>
      <c r="Q1514" s="15" t="n">
        <f aca="false">IF(J1514=1,"",L1514-P1514)</f>
        <v>15</v>
      </c>
      <c r="R1514" s="15" t="n">
        <f aca="false">IF(OR(J1514=1,M1514&lt;=Inputs!$B$12),1,0)</f>
        <v>1</v>
      </c>
      <c r="S1514" s="15" t="n">
        <f aca="false">IF(OR(J1514=1,N1514&lt;=O1514),1,0)</f>
        <v>1</v>
      </c>
      <c r="T1514" s="15" t="str">
        <f aca="false">IF(J1514=1,"OFFLINE",IF(AND(Q1514&gt;=Inputs!$B$15,R1514=1,S1514=1,P1514&lt;=L1514),"PASS","FAIL"))</f>
        <v>PASS</v>
      </c>
    </row>
    <row r="1515" customFormat="false" ht="15" hidden="false" customHeight="false" outlineLevel="0" collapsed="false">
      <c r="A1515" s="14" t="s">
        <v>1032</v>
      </c>
      <c r="B1515" s="14" t="s">
        <v>1019</v>
      </c>
      <c r="C1515" s="14" t="s">
        <v>194</v>
      </c>
      <c r="D1515" s="14" t="s">
        <v>204</v>
      </c>
      <c r="E1515" s="14" t="s">
        <v>161</v>
      </c>
      <c r="F1515" s="14" t="s">
        <v>199</v>
      </c>
      <c r="G1515" s="14" t="n">
        <v>3</v>
      </c>
      <c r="H1515" s="14" t="s">
        <v>158</v>
      </c>
      <c r="I1515" s="14" t="s">
        <v>811</v>
      </c>
      <c r="J1515" s="15" t="n">
        <f aca="false">IF(B1515="SITE LOSS",IF(D1515=C1515,1,0),IF(B1515="REGION LOSS",IF(E1515=C1515,1,0),0))</f>
        <v>0</v>
      </c>
      <c r="K1515" s="15" t="n">
        <f aca="false">IF(B1515="SITE LOSS",IF(COUNTIFS('Site Dockets'!$B$7:$B$24,C1515,'Site Dockets'!$C$7:$C$24,F1515)&gt;0,1,0),IF(B1515="REGION LOSS",IF(COUNTIFS('Site Dockets'!$E$7:$E$24,C1515,'Site Dockets'!$C$7:$C$24,F1515)&gt;0,1,0),0))</f>
        <v>0</v>
      </c>
      <c r="L1515" s="15" t="n">
        <f aca="false">IF(J1515=1,0,Inputs!$B$11)</f>
        <v>100</v>
      </c>
      <c r="M1515" s="15" t="n">
        <f aca="false">IF(J1515=1,0,Inputs!$B$12)</f>
        <v>75</v>
      </c>
      <c r="N1515" s="15" t="n">
        <f aca="false">IF(J1515=1,0,IF(OR(AND(OR(B1515="SITE LOSS",B1515="REGION LOSS"),K1515=1),AND(B1515="ROLE COMPROMISE",H1515=C1515)),Inputs!$B$13,Inputs!$B$14))</f>
        <v>10</v>
      </c>
      <c r="O1515" s="15" t="n">
        <f aca="false">IF(J1515=1,0,Inputs!$B$13)</f>
        <v>20</v>
      </c>
      <c r="P1515" s="15" t="n">
        <f aca="false">SUM(M1515:N1515)</f>
        <v>85</v>
      </c>
      <c r="Q1515" s="15" t="n">
        <f aca="false">IF(J1515=1,"",L1515-P1515)</f>
        <v>15</v>
      </c>
      <c r="R1515" s="15" t="n">
        <f aca="false">IF(OR(J1515=1,M1515&lt;=Inputs!$B$12),1,0)</f>
        <v>1</v>
      </c>
      <c r="S1515" s="15" t="n">
        <f aca="false">IF(OR(J1515=1,N1515&lt;=O1515),1,0)</f>
        <v>1</v>
      </c>
      <c r="T1515" s="15" t="str">
        <f aca="false">IF(J1515=1,"OFFLINE",IF(AND(Q1515&gt;=Inputs!$B$15,R1515=1,S1515=1,P1515&lt;=L1515),"PASS","FAIL"))</f>
        <v>PASS</v>
      </c>
    </row>
    <row r="1516" customFormat="false" ht="15" hidden="false" customHeight="false" outlineLevel="0" collapsed="false">
      <c r="A1516" s="14" t="s">
        <v>1032</v>
      </c>
      <c r="B1516" s="14" t="s">
        <v>1019</v>
      </c>
      <c r="C1516" s="14" t="s">
        <v>194</v>
      </c>
      <c r="D1516" s="14" t="s">
        <v>204</v>
      </c>
      <c r="E1516" s="14" t="s">
        <v>161</v>
      </c>
      <c r="F1516" s="14" t="s">
        <v>199</v>
      </c>
      <c r="G1516" s="14" t="n">
        <v>3</v>
      </c>
      <c r="H1516" s="14" t="s">
        <v>158</v>
      </c>
      <c r="I1516" s="14" t="s">
        <v>895</v>
      </c>
      <c r="J1516" s="15" t="n">
        <f aca="false">IF(B1516="SITE LOSS",IF(D1516=C1516,1,0),IF(B1516="REGION LOSS",IF(E1516=C1516,1,0),0))</f>
        <v>0</v>
      </c>
      <c r="K1516" s="15" t="n">
        <f aca="false">IF(B1516="SITE LOSS",IF(COUNTIFS('Site Dockets'!$B$7:$B$24,C1516,'Site Dockets'!$C$7:$C$24,F1516)&gt;0,1,0),IF(B1516="REGION LOSS",IF(COUNTIFS('Site Dockets'!$E$7:$E$24,C1516,'Site Dockets'!$C$7:$C$24,F1516)&gt;0,1,0),0))</f>
        <v>0</v>
      </c>
      <c r="L1516" s="15" t="n">
        <f aca="false">IF(J1516=1,0,Inputs!$B$11)</f>
        <v>100</v>
      </c>
      <c r="M1516" s="15" t="n">
        <f aca="false">IF(J1516=1,0,Inputs!$B$12)</f>
        <v>75</v>
      </c>
      <c r="N1516" s="15" t="n">
        <f aca="false">IF(J1516=1,0,IF(OR(AND(OR(B1516="SITE LOSS",B1516="REGION LOSS"),K1516=1),AND(B1516="ROLE COMPROMISE",H1516=C1516)),Inputs!$B$13,Inputs!$B$14))</f>
        <v>10</v>
      </c>
      <c r="O1516" s="15" t="n">
        <f aca="false">IF(J1516=1,0,Inputs!$B$13)</f>
        <v>20</v>
      </c>
      <c r="P1516" s="15" t="n">
        <f aca="false">SUM(M1516:N1516)</f>
        <v>85</v>
      </c>
      <c r="Q1516" s="15" t="n">
        <f aca="false">IF(J1516=1,"",L1516-P1516)</f>
        <v>15</v>
      </c>
      <c r="R1516" s="15" t="n">
        <f aca="false">IF(OR(J1516=1,M1516&lt;=Inputs!$B$12),1,0)</f>
        <v>1</v>
      </c>
      <c r="S1516" s="15" t="n">
        <f aca="false">IF(OR(J1516=1,N1516&lt;=O1516),1,0)</f>
        <v>1</v>
      </c>
      <c r="T1516" s="15" t="str">
        <f aca="false">IF(J1516=1,"OFFLINE",IF(AND(Q1516&gt;=Inputs!$B$15,R1516=1,S1516=1,P1516&lt;=L1516),"PASS","FAIL"))</f>
        <v>PASS</v>
      </c>
    </row>
    <row r="1517" customFormat="false" ht="15" hidden="false" customHeight="false" outlineLevel="0" collapsed="false">
      <c r="A1517" s="14" t="s">
        <v>1032</v>
      </c>
      <c r="B1517" s="14" t="s">
        <v>1019</v>
      </c>
      <c r="C1517" s="14" t="s">
        <v>194</v>
      </c>
      <c r="D1517" s="14" t="s">
        <v>204</v>
      </c>
      <c r="E1517" s="14" t="s">
        <v>161</v>
      </c>
      <c r="F1517" s="14" t="s">
        <v>199</v>
      </c>
      <c r="G1517" s="14" t="n">
        <v>3</v>
      </c>
      <c r="H1517" s="14" t="s">
        <v>158</v>
      </c>
      <c r="I1517" s="14" t="s">
        <v>897</v>
      </c>
      <c r="J1517" s="15" t="n">
        <f aca="false">IF(B1517="SITE LOSS",IF(D1517=C1517,1,0),IF(B1517="REGION LOSS",IF(E1517=C1517,1,0),0))</f>
        <v>0</v>
      </c>
      <c r="K1517" s="15" t="n">
        <f aca="false">IF(B1517="SITE LOSS",IF(COUNTIFS('Site Dockets'!$B$7:$B$24,C1517,'Site Dockets'!$C$7:$C$24,F1517)&gt;0,1,0),IF(B1517="REGION LOSS",IF(COUNTIFS('Site Dockets'!$E$7:$E$24,C1517,'Site Dockets'!$C$7:$C$24,F1517)&gt;0,1,0),0))</f>
        <v>0</v>
      </c>
      <c r="L1517" s="15" t="n">
        <f aca="false">IF(J1517=1,0,Inputs!$B$11)</f>
        <v>100</v>
      </c>
      <c r="M1517" s="15" t="n">
        <f aca="false">IF(J1517=1,0,Inputs!$B$12)</f>
        <v>75</v>
      </c>
      <c r="N1517" s="15" t="n">
        <f aca="false">IF(J1517=1,0,IF(OR(AND(OR(B1517="SITE LOSS",B1517="REGION LOSS"),K1517=1),AND(B1517="ROLE COMPROMISE",H1517=C1517)),Inputs!$B$13,Inputs!$B$14))</f>
        <v>10</v>
      </c>
      <c r="O1517" s="15" t="n">
        <f aca="false">IF(J1517=1,0,Inputs!$B$13)</f>
        <v>20</v>
      </c>
      <c r="P1517" s="15" t="n">
        <f aca="false">SUM(M1517:N1517)</f>
        <v>85</v>
      </c>
      <c r="Q1517" s="15" t="n">
        <f aca="false">IF(J1517=1,"",L1517-P1517)</f>
        <v>15</v>
      </c>
      <c r="R1517" s="15" t="n">
        <f aca="false">IF(OR(J1517=1,M1517&lt;=Inputs!$B$12),1,0)</f>
        <v>1</v>
      </c>
      <c r="S1517" s="15" t="n">
        <f aca="false">IF(OR(J1517=1,N1517&lt;=O1517),1,0)</f>
        <v>1</v>
      </c>
      <c r="T1517" s="15" t="str">
        <f aca="false">IF(J1517=1,"OFFLINE",IF(AND(Q1517&gt;=Inputs!$B$15,R1517=1,S1517=1,P1517&lt;=L1517),"PASS","FAIL"))</f>
        <v>PASS</v>
      </c>
    </row>
    <row r="1518" customFormat="false" ht="15" hidden="false" customHeight="false" outlineLevel="0" collapsed="false">
      <c r="A1518" s="14" t="s">
        <v>1032</v>
      </c>
      <c r="B1518" s="14" t="s">
        <v>1019</v>
      </c>
      <c r="C1518" s="14" t="s">
        <v>194</v>
      </c>
      <c r="D1518" s="14" t="s">
        <v>204</v>
      </c>
      <c r="E1518" s="14" t="s">
        <v>161</v>
      </c>
      <c r="F1518" s="14" t="s">
        <v>199</v>
      </c>
      <c r="G1518" s="14" t="n">
        <v>3</v>
      </c>
      <c r="H1518" s="14" t="s">
        <v>158</v>
      </c>
      <c r="I1518" s="14" t="s">
        <v>899</v>
      </c>
      <c r="J1518" s="15" t="n">
        <f aca="false">IF(B1518="SITE LOSS",IF(D1518=C1518,1,0),IF(B1518="REGION LOSS",IF(E1518=C1518,1,0),0))</f>
        <v>0</v>
      </c>
      <c r="K1518" s="15" t="n">
        <f aca="false">IF(B1518="SITE LOSS",IF(COUNTIFS('Site Dockets'!$B$7:$B$24,C1518,'Site Dockets'!$C$7:$C$24,F1518)&gt;0,1,0),IF(B1518="REGION LOSS",IF(COUNTIFS('Site Dockets'!$E$7:$E$24,C1518,'Site Dockets'!$C$7:$C$24,F1518)&gt;0,1,0),0))</f>
        <v>0</v>
      </c>
      <c r="L1518" s="15" t="n">
        <f aca="false">IF(J1518=1,0,Inputs!$B$11)</f>
        <v>100</v>
      </c>
      <c r="M1518" s="15" t="n">
        <f aca="false">IF(J1518=1,0,Inputs!$B$12)</f>
        <v>75</v>
      </c>
      <c r="N1518" s="15" t="n">
        <f aca="false">IF(J1518=1,0,IF(OR(AND(OR(B1518="SITE LOSS",B1518="REGION LOSS"),K1518=1),AND(B1518="ROLE COMPROMISE",H1518=C1518)),Inputs!$B$13,Inputs!$B$14))</f>
        <v>10</v>
      </c>
      <c r="O1518" s="15" t="n">
        <f aca="false">IF(J1518=1,0,Inputs!$B$13)</f>
        <v>20</v>
      </c>
      <c r="P1518" s="15" t="n">
        <f aca="false">SUM(M1518:N1518)</f>
        <v>85</v>
      </c>
      <c r="Q1518" s="15" t="n">
        <f aca="false">IF(J1518=1,"",L1518-P1518)</f>
        <v>15</v>
      </c>
      <c r="R1518" s="15" t="n">
        <f aca="false">IF(OR(J1518=1,M1518&lt;=Inputs!$B$12),1,0)</f>
        <v>1</v>
      </c>
      <c r="S1518" s="15" t="n">
        <f aca="false">IF(OR(J1518=1,N1518&lt;=O1518),1,0)</f>
        <v>1</v>
      </c>
      <c r="T1518" s="15" t="str">
        <f aca="false">IF(J1518=1,"OFFLINE",IF(AND(Q1518&gt;=Inputs!$B$15,R1518=1,S1518=1,P1518&lt;=L1518),"PASS","FAIL"))</f>
        <v>PASS</v>
      </c>
    </row>
    <row r="1519" customFormat="false" ht="15" hidden="false" customHeight="false" outlineLevel="0" collapsed="false">
      <c r="A1519" s="14" t="s">
        <v>1033</v>
      </c>
      <c r="B1519" s="14" t="s">
        <v>1019</v>
      </c>
      <c r="C1519" s="14" t="s">
        <v>196</v>
      </c>
      <c r="D1519" s="14" t="s">
        <v>149</v>
      </c>
      <c r="E1519" s="14" t="s">
        <v>152</v>
      </c>
      <c r="F1519" s="14" t="s">
        <v>150</v>
      </c>
      <c r="G1519" s="14" t="n">
        <v>1</v>
      </c>
      <c r="H1519" s="14" t="s">
        <v>154</v>
      </c>
      <c r="I1519" s="14" t="s">
        <v>890</v>
      </c>
      <c r="J1519" s="15" t="n">
        <f aca="false">IF(B1519="SITE LOSS",IF(D1519=C1519,1,0),IF(B1519="REGION LOSS",IF(E1519=C1519,1,0),0))</f>
        <v>0</v>
      </c>
      <c r="K1519" s="15" t="n">
        <f aca="false">IF(B1519="SITE LOSS",IF(COUNTIFS('Site Dockets'!$B$7:$B$24,C1519,'Site Dockets'!$C$7:$C$24,F1519)&gt;0,1,0),IF(B1519="REGION LOSS",IF(COUNTIFS('Site Dockets'!$E$7:$E$24,C1519,'Site Dockets'!$C$7:$C$24,F1519)&gt;0,1,0),0))</f>
        <v>0</v>
      </c>
      <c r="L1519" s="15" t="n">
        <f aca="false">IF(J1519=1,0,Inputs!$B$11)</f>
        <v>100</v>
      </c>
      <c r="M1519" s="15" t="n">
        <f aca="false">IF(J1519=1,0,Inputs!$B$12)</f>
        <v>75</v>
      </c>
      <c r="N1519" s="15" t="n">
        <f aca="false">IF(J1519=1,0,IF(OR(AND(OR(B1519="SITE LOSS",B1519="REGION LOSS"),K1519=1),AND(B1519="ROLE COMPROMISE",H1519=C1519)),Inputs!$B$13,Inputs!$B$14))</f>
        <v>10</v>
      </c>
      <c r="O1519" s="15" t="n">
        <f aca="false">IF(J1519=1,0,Inputs!$B$13)</f>
        <v>20</v>
      </c>
      <c r="P1519" s="15" t="n">
        <f aca="false">SUM(M1519:N1519)</f>
        <v>85</v>
      </c>
      <c r="Q1519" s="15" t="n">
        <f aca="false">IF(J1519=1,"",L1519-P1519)</f>
        <v>15</v>
      </c>
      <c r="R1519" s="15" t="n">
        <f aca="false">IF(OR(J1519=1,M1519&lt;=Inputs!$B$12),1,0)</f>
        <v>1</v>
      </c>
      <c r="S1519" s="15" t="n">
        <f aca="false">IF(OR(J1519=1,N1519&lt;=O1519),1,0)</f>
        <v>1</v>
      </c>
      <c r="T1519" s="15" t="str">
        <f aca="false">IF(J1519=1,"OFFLINE",IF(AND(Q1519&gt;=Inputs!$B$15,R1519=1,S1519=1,P1519&lt;=L1519),"PASS","FAIL"))</f>
        <v>PASS</v>
      </c>
    </row>
    <row r="1520" customFormat="false" ht="15" hidden="false" customHeight="false" outlineLevel="0" collapsed="false">
      <c r="A1520" s="14" t="s">
        <v>1033</v>
      </c>
      <c r="B1520" s="14" t="s">
        <v>1019</v>
      </c>
      <c r="C1520" s="14" t="s">
        <v>196</v>
      </c>
      <c r="D1520" s="14" t="s">
        <v>149</v>
      </c>
      <c r="E1520" s="14" t="s">
        <v>152</v>
      </c>
      <c r="F1520" s="14" t="s">
        <v>150</v>
      </c>
      <c r="G1520" s="14" t="n">
        <v>1</v>
      </c>
      <c r="H1520" s="14" t="s">
        <v>154</v>
      </c>
      <c r="I1520" s="14" t="s">
        <v>892</v>
      </c>
      <c r="J1520" s="15" t="n">
        <f aca="false">IF(B1520="SITE LOSS",IF(D1520=C1520,1,0),IF(B1520="REGION LOSS",IF(E1520=C1520,1,0),0))</f>
        <v>0</v>
      </c>
      <c r="K1520" s="15" t="n">
        <f aca="false">IF(B1520="SITE LOSS",IF(COUNTIFS('Site Dockets'!$B$7:$B$24,C1520,'Site Dockets'!$C$7:$C$24,F1520)&gt;0,1,0),IF(B1520="REGION LOSS",IF(COUNTIFS('Site Dockets'!$E$7:$E$24,C1520,'Site Dockets'!$C$7:$C$24,F1520)&gt;0,1,0),0))</f>
        <v>0</v>
      </c>
      <c r="L1520" s="15" t="n">
        <f aca="false">IF(J1520=1,0,Inputs!$B$11)</f>
        <v>100</v>
      </c>
      <c r="M1520" s="15" t="n">
        <f aca="false">IF(J1520=1,0,Inputs!$B$12)</f>
        <v>75</v>
      </c>
      <c r="N1520" s="15" t="n">
        <f aca="false">IF(J1520=1,0,IF(OR(AND(OR(B1520="SITE LOSS",B1520="REGION LOSS"),K1520=1),AND(B1520="ROLE COMPROMISE",H1520=C1520)),Inputs!$B$13,Inputs!$B$14))</f>
        <v>10</v>
      </c>
      <c r="O1520" s="15" t="n">
        <f aca="false">IF(J1520=1,0,Inputs!$B$13)</f>
        <v>20</v>
      </c>
      <c r="P1520" s="15" t="n">
        <f aca="false">SUM(M1520:N1520)</f>
        <v>85</v>
      </c>
      <c r="Q1520" s="15" t="n">
        <f aca="false">IF(J1520=1,"",L1520-P1520)</f>
        <v>15</v>
      </c>
      <c r="R1520" s="15" t="n">
        <f aca="false">IF(OR(J1520=1,M1520&lt;=Inputs!$B$12),1,0)</f>
        <v>1</v>
      </c>
      <c r="S1520" s="15" t="n">
        <f aca="false">IF(OR(J1520=1,N1520&lt;=O1520),1,0)</f>
        <v>1</v>
      </c>
      <c r="T1520" s="15" t="str">
        <f aca="false">IF(J1520=1,"OFFLINE",IF(AND(Q1520&gt;=Inputs!$B$15,R1520=1,S1520=1,P1520&lt;=L1520),"PASS","FAIL"))</f>
        <v>PASS</v>
      </c>
    </row>
    <row r="1521" customFormat="false" ht="15" hidden="false" customHeight="false" outlineLevel="0" collapsed="false">
      <c r="A1521" s="14" t="s">
        <v>1033</v>
      </c>
      <c r="B1521" s="14" t="s">
        <v>1019</v>
      </c>
      <c r="C1521" s="14" t="s">
        <v>196</v>
      </c>
      <c r="D1521" s="14" t="s">
        <v>149</v>
      </c>
      <c r="E1521" s="14" t="s">
        <v>152</v>
      </c>
      <c r="F1521" s="14" t="s">
        <v>150</v>
      </c>
      <c r="G1521" s="14" t="n">
        <v>1</v>
      </c>
      <c r="H1521" s="14" t="s">
        <v>154</v>
      </c>
      <c r="I1521" s="14" t="s">
        <v>811</v>
      </c>
      <c r="J1521" s="15" t="n">
        <f aca="false">IF(B1521="SITE LOSS",IF(D1521=C1521,1,0),IF(B1521="REGION LOSS",IF(E1521=C1521,1,0),0))</f>
        <v>0</v>
      </c>
      <c r="K1521" s="15" t="n">
        <f aca="false">IF(B1521="SITE LOSS",IF(COUNTIFS('Site Dockets'!$B$7:$B$24,C1521,'Site Dockets'!$C$7:$C$24,F1521)&gt;0,1,0),IF(B1521="REGION LOSS",IF(COUNTIFS('Site Dockets'!$E$7:$E$24,C1521,'Site Dockets'!$C$7:$C$24,F1521)&gt;0,1,0),0))</f>
        <v>0</v>
      </c>
      <c r="L1521" s="15" t="n">
        <f aca="false">IF(J1521=1,0,Inputs!$B$11)</f>
        <v>100</v>
      </c>
      <c r="M1521" s="15" t="n">
        <f aca="false">IF(J1521=1,0,Inputs!$B$12)</f>
        <v>75</v>
      </c>
      <c r="N1521" s="15" t="n">
        <f aca="false">IF(J1521=1,0,IF(OR(AND(OR(B1521="SITE LOSS",B1521="REGION LOSS"),K1521=1),AND(B1521="ROLE COMPROMISE",H1521=C1521)),Inputs!$B$13,Inputs!$B$14))</f>
        <v>10</v>
      </c>
      <c r="O1521" s="15" t="n">
        <f aca="false">IF(J1521=1,0,Inputs!$B$13)</f>
        <v>20</v>
      </c>
      <c r="P1521" s="15" t="n">
        <f aca="false">SUM(M1521:N1521)</f>
        <v>85</v>
      </c>
      <c r="Q1521" s="15" t="n">
        <f aca="false">IF(J1521=1,"",L1521-P1521)</f>
        <v>15</v>
      </c>
      <c r="R1521" s="15" t="n">
        <f aca="false">IF(OR(J1521=1,M1521&lt;=Inputs!$B$12),1,0)</f>
        <v>1</v>
      </c>
      <c r="S1521" s="15" t="n">
        <f aca="false">IF(OR(J1521=1,N1521&lt;=O1521),1,0)</f>
        <v>1</v>
      </c>
      <c r="T1521" s="15" t="str">
        <f aca="false">IF(J1521=1,"OFFLINE",IF(AND(Q1521&gt;=Inputs!$B$15,R1521=1,S1521=1,P1521&lt;=L1521),"PASS","FAIL"))</f>
        <v>PASS</v>
      </c>
    </row>
    <row r="1522" customFormat="false" ht="15" hidden="false" customHeight="false" outlineLevel="0" collapsed="false">
      <c r="A1522" s="14" t="s">
        <v>1033</v>
      </c>
      <c r="B1522" s="14" t="s">
        <v>1019</v>
      </c>
      <c r="C1522" s="14" t="s">
        <v>196</v>
      </c>
      <c r="D1522" s="14" t="s">
        <v>149</v>
      </c>
      <c r="E1522" s="14" t="s">
        <v>152</v>
      </c>
      <c r="F1522" s="14" t="s">
        <v>150</v>
      </c>
      <c r="G1522" s="14" t="n">
        <v>1</v>
      </c>
      <c r="H1522" s="14" t="s">
        <v>154</v>
      </c>
      <c r="I1522" s="14" t="s">
        <v>895</v>
      </c>
      <c r="J1522" s="15" t="n">
        <f aca="false">IF(B1522="SITE LOSS",IF(D1522=C1522,1,0),IF(B1522="REGION LOSS",IF(E1522=C1522,1,0),0))</f>
        <v>0</v>
      </c>
      <c r="K1522" s="15" t="n">
        <f aca="false">IF(B1522="SITE LOSS",IF(COUNTIFS('Site Dockets'!$B$7:$B$24,C1522,'Site Dockets'!$C$7:$C$24,F1522)&gt;0,1,0),IF(B1522="REGION LOSS",IF(COUNTIFS('Site Dockets'!$E$7:$E$24,C1522,'Site Dockets'!$C$7:$C$24,F1522)&gt;0,1,0),0))</f>
        <v>0</v>
      </c>
      <c r="L1522" s="15" t="n">
        <f aca="false">IF(J1522=1,0,Inputs!$B$11)</f>
        <v>100</v>
      </c>
      <c r="M1522" s="15" t="n">
        <f aca="false">IF(J1522=1,0,Inputs!$B$12)</f>
        <v>75</v>
      </c>
      <c r="N1522" s="15" t="n">
        <f aca="false">IF(J1522=1,0,IF(OR(AND(OR(B1522="SITE LOSS",B1522="REGION LOSS"),K1522=1),AND(B1522="ROLE COMPROMISE",H1522=C1522)),Inputs!$B$13,Inputs!$B$14))</f>
        <v>10</v>
      </c>
      <c r="O1522" s="15" t="n">
        <f aca="false">IF(J1522=1,0,Inputs!$B$13)</f>
        <v>20</v>
      </c>
      <c r="P1522" s="15" t="n">
        <f aca="false">SUM(M1522:N1522)</f>
        <v>85</v>
      </c>
      <c r="Q1522" s="15" t="n">
        <f aca="false">IF(J1522=1,"",L1522-P1522)</f>
        <v>15</v>
      </c>
      <c r="R1522" s="15" t="n">
        <f aca="false">IF(OR(J1522=1,M1522&lt;=Inputs!$B$12),1,0)</f>
        <v>1</v>
      </c>
      <c r="S1522" s="15" t="n">
        <f aca="false">IF(OR(J1522=1,N1522&lt;=O1522),1,0)</f>
        <v>1</v>
      </c>
      <c r="T1522" s="15" t="str">
        <f aca="false">IF(J1522=1,"OFFLINE",IF(AND(Q1522&gt;=Inputs!$B$15,R1522=1,S1522=1,P1522&lt;=L1522),"PASS","FAIL"))</f>
        <v>PASS</v>
      </c>
    </row>
    <row r="1523" customFormat="false" ht="15" hidden="false" customHeight="false" outlineLevel="0" collapsed="false">
      <c r="A1523" s="14" t="s">
        <v>1033</v>
      </c>
      <c r="B1523" s="14" t="s">
        <v>1019</v>
      </c>
      <c r="C1523" s="14" t="s">
        <v>196</v>
      </c>
      <c r="D1523" s="14" t="s">
        <v>149</v>
      </c>
      <c r="E1523" s="14" t="s">
        <v>152</v>
      </c>
      <c r="F1523" s="14" t="s">
        <v>150</v>
      </c>
      <c r="G1523" s="14" t="n">
        <v>1</v>
      </c>
      <c r="H1523" s="14" t="s">
        <v>154</v>
      </c>
      <c r="I1523" s="14" t="s">
        <v>897</v>
      </c>
      <c r="J1523" s="15" t="n">
        <f aca="false">IF(B1523="SITE LOSS",IF(D1523=C1523,1,0),IF(B1523="REGION LOSS",IF(E1523=C1523,1,0),0))</f>
        <v>0</v>
      </c>
      <c r="K1523" s="15" t="n">
        <f aca="false">IF(B1523="SITE LOSS",IF(COUNTIFS('Site Dockets'!$B$7:$B$24,C1523,'Site Dockets'!$C$7:$C$24,F1523)&gt;0,1,0),IF(B1523="REGION LOSS",IF(COUNTIFS('Site Dockets'!$E$7:$E$24,C1523,'Site Dockets'!$C$7:$C$24,F1523)&gt;0,1,0),0))</f>
        <v>0</v>
      </c>
      <c r="L1523" s="15" t="n">
        <f aca="false">IF(J1523=1,0,Inputs!$B$11)</f>
        <v>100</v>
      </c>
      <c r="M1523" s="15" t="n">
        <f aca="false">IF(J1523=1,0,Inputs!$B$12)</f>
        <v>75</v>
      </c>
      <c r="N1523" s="15" t="n">
        <f aca="false">IF(J1523=1,0,IF(OR(AND(OR(B1523="SITE LOSS",B1523="REGION LOSS"),K1523=1),AND(B1523="ROLE COMPROMISE",H1523=C1523)),Inputs!$B$13,Inputs!$B$14))</f>
        <v>10</v>
      </c>
      <c r="O1523" s="15" t="n">
        <f aca="false">IF(J1523=1,0,Inputs!$B$13)</f>
        <v>20</v>
      </c>
      <c r="P1523" s="15" t="n">
        <f aca="false">SUM(M1523:N1523)</f>
        <v>85</v>
      </c>
      <c r="Q1523" s="15" t="n">
        <f aca="false">IF(J1523=1,"",L1523-P1523)</f>
        <v>15</v>
      </c>
      <c r="R1523" s="15" t="n">
        <f aca="false">IF(OR(J1523=1,M1523&lt;=Inputs!$B$12),1,0)</f>
        <v>1</v>
      </c>
      <c r="S1523" s="15" t="n">
        <f aca="false">IF(OR(J1523=1,N1523&lt;=O1523),1,0)</f>
        <v>1</v>
      </c>
      <c r="T1523" s="15" t="str">
        <f aca="false">IF(J1523=1,"OFFLINE",IF(AND(Q1523&gt;=Inputs!$B$15,R1523=1,S1523=1,P1523&lt;=L1523),"PASS","FAIL"))</f>
        <v>PASS</v>
      </c>
    </row>
    <row r="1524" customFormat="false" ht="15" hidden="false" customHeight="false" outlineLevel="0" collapsed="false">
      <c r="A1524" s="14" t="s">
        <v>1033</v>
      </c>
      <c r="B1524" s="14" t="s">
        <v>1019</v>
      </c>
      <c r="C1524" s="14" t="s">
        <v>196</v>
      </c>
      <c r="D1524" s="14" t="s">
        <v>149</v>
      </c>
      <c r="E1524" s="14" t="s">
        <v>152</v>
      </c>
      <c r="F1524" s="14" t="s">
        <v>150</v>
      </c>
      <c r="G1524" s="14" t="n">
        <v>1</v>
      </c>
      <c r="H1524" s="14" t="s">
        <v>154</v>
      </c>
      <c r="I1524" s="14" t="s">
        <v>899</v>
      </c>
      <c r="J1524" s="15" t="n">
        <f aca="false">IF(B1524="SITE LOSS",IF(D1524=C1524,1,0),IF(B1524="REGION LOSS",IF(E1524=C1524,1,0),0))</f>
        <v>0</v>
      </c>
      <c r="K1524" s="15" t="n">
        <f aca="false">IF(B1524="SITE LOSS",IF(COUNTIFS('Site Dockets'!$B$7:$B$24,C1524,'Site Dockets'!$C$7:$C$24,F1524)&gt;0,1,0),IF(B1524="REGION LOSS",IF(COUNTIFS('Site Dockets'!$E$7:$E$24,C1524,'Site Dockets'!$C$7:$C$24,F1524)&gt;0,1,0),0))</f>
        <v>0</v>
      </c>
      <c r="L1524" s="15" t="n">
        <f aca="false">IF(J1524=1,0,Inputs!$B$11)</f>
        <v>100</v>
      </c>
      <c r="M1524" s="15" t="n">
        <f aca="false">IF(J1524=1,0,Inputs!$B$12)</f>
        <v>75</v>
      </c>
      <c r="N1524" s="15" t="n">
        <f aca="false">IF(J1524=1,0,IF(OR(AND(OR(B1524="SITE LOSS",B1524="REGION LOSS"),K1524=1),AND(B1524="ROLE COMPROMISE",H1524=C1524)),Inputs!$B$13,Inputs!$B$14))</f>
        <v>10</v>
      </c>
      <c r="O1524" s="15" t="n">
        <f aca="false">IF(J1524=1,0,Inputs!$B$13)</f>
        <v>20</v>
      </c>
      <c r="P1524" s="15" t="n">
        <f aca="false">SUM(M1524:N1524)</f>
        <v>85</v>
      </c>
      <c r="Q1524" s="15" t="n">
        <f aca="false">IF(J1524=1,"",L1524-P1524)</f>
        <v>15</v>
      </c>
      <c r="R1524" s="15" t="n">
        <f aca="false">IF(OR(J1524=1,M1524&lt;=Inputs!$B$12),1,0)</f>
        <v>1</v>
      </c>
      <c r="S1524" s="15" t="n">
        <f aca="false">IF(OR(J1524=1,N1524&lt;=O1524),1,0)</f>
        <v>1</v>
      </c>
      <c r="T1524" s="15" t="str">
        <f aca="false">IF(J1524=1,"OFFLINE",IF(AND(Q1524&gt;=Inputs!$B$15,R1524=1,S1524=1,P1524&lt;=L1524),"PASS","FAIL"))</f>
        <v>PASS</v>
      </c>
    </row>
    <row r="1525" customFormat="false" ht="15" hidden="false" customHeight="false" outlineLevel="0" collapsed="false">
      <c r="A1525" s="14" t="s">
        <v>1033</v>
      </c>
      <c r="B1525" s="14" t="s">
        <v>1019</v>
      </c>
      <c r="C1525" s="14" t="s">
        <v>196</v>
      </c>
      <c r="D1525" s="14" t="s">
        <v>156</v>
      </c>
      <c r="E1525" s="14" t="s">
        <v>157</v>
      </c>
      <c r="F1525" s="14" t="s">
        <v>150</v>
      </c>
      <c r="G1525" s="14" t="n">
        <v>2</v>
      </c>
      <c r="H1525" s="14" t="s">
        <v>153</v>
      </c>
      <c r="I1525" s="14" t="s">
        <v>890</v>
      </c>
      <c r="J1525" s="15" t="n">
        <f aca="false">IF(B1525="SITE LOSS",IF(D1525=C1525,1,0),IF(B1525="REGION LOSS",IF(E1525=C1525,1,0),0))</f>
        <v>0</v>
      </c>
      <c r="K1525" s="15" t="n">
        <f aca="false">IF(B1525="SITE LOSS",IF(COUNTIFS('Site Dockets'!$B$7:$B$24,C1525,'Site Dockets'!$C$7:$C$24,F1525)&gt;0,1,0),IF(B1525="REGION LOSS",IF(COUNTIFS('Site Dockets'!$E$7:$E$24,C1525,'Site Dockets'!$C$7:$C$24,F1525)&gt;0,1,0),0))</f>
        <v>0</v>
      </c>
      <c r="L1525" s="15" t="n">
        <f aca="false">IF(J1525=1,0,Inputs!$B$11)</f>
        <v>100</v>
      </c>
      <c r="M1525" s="15" t="n">
        <f aca="false">IF(J1525=1,0,Inputs!$B$12)</f>
        <v>75</v>
      </c>
      <c r="N1525" s="15" t="n">
        <f aca="false">IF(J1525=1,0,IF(OR(AND(OR(B1525="SITE LOSS",B1525="REGION LOSS"),K1525=1),AND(B1525="ROLE COMPROMISE",H1525=C1525)),Inputs!$B$13,Inputs!$B$14))</f>
        <v>10</v>
      </c>
      <c r="O1525" s="15" t="n">
        <f aca="false">IF(J1525=1,0,Inputs!$B$13)</f>
        <v>20</v>
      </c>
      <c r="P1525" s="15" t="n">
        <f aca="false">SUM(M1525:N1525)</f>
        <v>85</v>
      </c>
      <c r="Q1525" s="15" t="n">
        <f aca="false">IF(J1525=1,"",L1525-P1525)</f>
        <v>15</v>
      </c>
      <c r="R1525" s="15" t="n">
        <f aca="false">IF(OR(J1525=1,M1525&lt;=Inputs!$B$12),1,0)</f>
        <v>1</v>
      </c>
      <c r="S1525" s="15" t="n">
        <f aca="false">IF(OR(J1525=1,N1525&lt;=O1525),1,0)</f>
        <v>1</v>
      </c>
      <c r="T1525" s="15" t="str">
        <f aca="false">IF(J1525=1,"OFFLINE",IF(AND(Q1525&gt;=Inputs!$B$15,R1525=1,S1525=1,P1525&lt;=L1525),"PASS","FAIL"))</f>
        <v>PASS</v>
      </c>
    </row>
    <row r="1526" customFormat="false" ht="15" hidden="false" customHeight="false" outlineLevel="0" collapsed="false">
      <c r="A1526" s="14" t="s">
        <v>1033</v>
      </c>
      <c r="B1526" s="14" t="s">
        <v>1019</v>
      </c>
      <c r="C1526" s="14" t="s">
        <v>196</v>
      </c>
      <c r="D1526" s="14" t="s">
        <v>156</v>
      </c>
      <c r="E1526" s="14" t="s">
        <v>157</v>
      </c>
      <c r="F1526" s="14" t="s">
        <v>150</v>
      </c>
      <c r="G1526" s="14" t="n">
        <v>2</v>
      </c>
      <c r="H1526" s="14" t="s">
        <v>153</v>
      </c>
      <c r="I1526" s="14" t="s">
        <v>892</v>
      </c>
      <c r="J1526" s="15" t="n">
        <f aca="false">IF(B1526="SITE LOSS",IF(D1526=C1526,1,0),IF(B1526="REGION LOSS",IF(E1526=C1526,1,0),0))</f>
        <v>0</v>
      </c>
      <c r="K1526" s="15" t="n">
        <f aca="false">IF(B1526="SITE LOSS",IF(COUNTIFS('Site Dockets'!$B$7:$B$24,C1526,'Site Dockets'!$C$7:$C$24,F1526)&gt;0,1,0),IF(B1526="REGION LOSS",IF(COUNTIFS('Site Dockets'!$E$7:$E$24,C1526,'Site Dockets'!$C$7:$C$24,F1526)&gt;0,1,0),0))</f>
        <v>0</v>
      </c>
      <c r="L1526" s="15" t="n">
        <f aca="false">IF(J1526=1,0,Inputs!$B$11)</f>
        <v>100</v>
      </c>
      <c r="M1526" s="15" t="n">
        <f aca="false">IF(J1526=1,0,Inputs!$B$12)</f>
        <v>75</v>
      </c>
      <c r="N1526" s="15" t="n">
        <f aca="false">IF(J1526=1,0,IF(OR(AND(OR(B1526="SITE LOSS",B1526="REGION LOSS"),K1526=1),AND(B1526="ROLE COMPROMISE",H1526=C1526)),Inputs!$B$13,Inputs!$B$14))</f>
        <v>10</v>
      </c>
      <c r="O1526" s="15" t="n">
        <f aca="false">IF(J1526=1,0,Inputs!$B$13)</f>
        <v>20</v>
      </c>
      <c r="P1526" s="15" t="n">
        <f aca="false">SUM(M1526:N1526)</f>
        <v>85</v>
      </c>
      <c r="Q1526" s="15" t="n">
        <f aca="false">IF(J1526=1,"",L1526-P1526)</f>
        <v>15</v>
      </c>
      <c r="R1526" s="15" t="n">
        <f aca="false">IF(OR(J1526=1,M1526&lt;=Inputs!$B$12),1,0)</f>
        <v>1</v>
      </c>
      <c r="S1526" s="15" t="n">
        <f aca="false">IF(OR(J1526=1,N1526&lt;=O1526),1,0)</f>
        <v>1</v>
      </c>
      <c r="T1526" s="15" t="str">
        <f aca="false">IF(J1526=1,"OFFLINE",IF(AND(Q1526&gt;=Inputs!$B$15,R1526=1,S1526=1,P1526&lt;=L1526),"PASS","FAIL"))</f>
        <v>PASS</v>
      </c>
    </row>
    <row r="1527" customFormat="false" ht="15" hidden="false" customHeight="false" outlineLevel="0" collapsed="false">
      <c r="A1527" s="14" t="s">
        <v>1033</v>
      </c>
      <c r="B1527" s="14" t="s">
        <v>1019</v>
      </c>
      <c r="C1527" s="14" t="s">
        <v>196</v>
      </c>
      <c r="D1527" s="14" t="s">
        <v>156</v>
      </c>
      <c r="E1527" s="14" t="s">
        <v>157</v>
      </c>
      <c r="F1527" s="14" t="s">
        <v>150</v>
      </c>
      <c r="G1527" s="14" t="n">
        <v>2</v>
      </c>
      <c r="H1527" s="14" t="s">
        <v>153</v>
      </c>
      <c r="I1527" s="14" t="s">
        <v>811</v>
      </c>
      <c r="J1527" s="15" t="n">
        <f aca="false">IF(B1527="SITE LOSS",IF(D1527=C1527,1,0),IF(B1527="REGION LOSS",IF(E1527=C1527,1,0),0))</f>
        <v>0</v>
      </c>
      <c r="K1527" s="15" t="n">
        <f aca="false">IF(B1527="SITE LOSS",IF(COUNTIFS('Site Dockets'!$B$7:$B$24,C1527,'Site Dockets'!$C$7:$C$24,F1527)&gt;0,1,0),IF(B1527="REGION LOSS",IF(COUNTIFS('Site Dockets'!$E$7:$E$24,C1527,'Site Dockets'!$C$7:$C$24,F1527)&gt;0,1,0),0))</f>
        <v>0</v>
      </c>
      <c r="L1527" s="15" t="n">
        <f aca="false">IF(J1527=1,0,Inputs!$B$11)</f>
        <v>100</v>
      </c>
      <c r="M1527" s="15" t="n">
        <f aca="false">IF(J1527=1,0,Inputs!$B$12)</f>
        <v>75</v>
      </c>
      <c r="N1527" s="15" t="n">
        <f aca="false">IF(J1527=1,0,IF(OR(AND(OR(B1527="SITE LOSS",B1527="REGION LOSS"),K1527=1),AND(B1527="ROLE COMPROMISE",H1527=C1527)),Inputs!$B$13,Inputs!$B$14))</f>
        <v>10</v>
      </c>
      <c r="O1527" s="15" t="n">
        <f aca="false">IF(J1527=1,0,Inputs!$B$13)</f>
        <v>20</v>
      </c>
      <c r="P1527" s="15" t="n">
        <f aca="false">SUM(M1527:N1527)</f>
        <v>85</v>
      </c>
      <c r="Q1527" s="15" t="n">
        <f aca="false">IF(J1527=1,"",L1527-P1527)</f>
        <v>15</v>
      </c>
      <c r="R1527" s="15" t="n">
        <f aca="false">IF(OR(J1527=1,M1527&lt;=Inputs!$B$12),1,0)</f>
        <v>1</v>
      </c>
      <c r="S1527" s="15" t="n">
        <f aca="false">IF(OR(J1527=1,N1527&lt;=O1527),1,0)</f>
        <v>1</v>
      </c>
      <c r="T1527" s="15" t="str">
        <f aca="false">IF(J1527=1,"OFFLINE",IF(AND(Q1527&gt;=Inputs!$B$15,R1527=1,S1527=1,P1527&lt;=L1527),"PASS","FAIL"))</f>
        <v>PASS</v>
      </c>
    </row>
    <row r="1528" customFormat="false" ht="15" hidden="false" customHeight="false" outlineLevel="0" collapsed="false">
      <c r="A1528" s="14" t="s">
        <v>1033</v>
      </c>
      <c r="B1528" s="14" t="s">
        <v>1019</v>
      </c>
      <c r="C1528" s="14" t="s">
        <v>196</v>
      </c>
      <c r="D1528" s="14" t="s">
        <v>156</v>
      </c>
      <c r="E1528" s="14" t="s">
        <v>157</v>
      </c>
      <c r="F1528" s="14" t="s">
        <v>150</v>
      </c>
      <c r="G1528" s="14" t="n">
        <v>2</v>
      </c>
      <c r="H1528" s="14" t="s">
        <v>153</v>
      </c>
      <c r="I1528" s="14" t="s">
        <v>895</v>
      </c>
      <c r="J1528" s="15" t="n">
        <f aca="false">IF(B1528="SITE LOSS",IF(D1528=C1528,1,0),IF(B1528="REGION LOSS",IF(E1528=C1528,1,0),0))</f>
        <v>0</v>
      </c>
      <c r="K1528" s="15" t="n">
        <f aca="false">IF(B1528="SITE LOSS",IF(COUNTIFS('Site Dockets'!$B$7:$B$24,C1528,'Site Dockets'!$C$7:$C$24,F1528)&gt;0,1,0),IF(B1528="REGION LOSS",IF(COUNTIFS('Site Dockets'!$E$7:$E$24,C1528,'Site Dockets'!$C$7:$C$24,F1528)&gt;0,1,0),0))</f>
        <v>0</v>
      </c>
      <c r="L1528" s="15" t="n">
        <f aca="false">IF(J1528=1,0,Inputs!$B$11)</f>
        <v>100</v>
      </c>
      <c r="M1528" s="15" t="n">
        <f aca="false">IF(J1528=1,0,Inputs!$B$12)</f>
        <v>75</v>
      </c>
      <c r="N1528" s="15" t="n">
        <f aca="false">IF(J1528=1,0,IF(OR(AND(OR(B1528="SITE LOSS",B1528="REGION LOSS"),K1528=1),AND(B1528="ROLE COMPROMISE",H1528=C1528)),Inputs!$B$13,Inputs!$B$14))</f>
        <v>10</v>
      </c>
      <c r="O1528" s="15" t="n">
        <f aca="false">IF(J1528=1,0,Inputs!$B$13)</f>
        <v>20</v>
      </c>
      <c r="P1528" s="15" t="n">
        <f aca="false">SUM(M1528:N1528)</f>
        <v>85</v>
      </c>
      <c r="Q1528" s="15" t="n">
        <f aca="false">IF(J1528=1,"",L1528-P1528)</f>
        <v>15</v>
      </c>
      <c r="R1528" s="15" t="n">
        <f aca="false">IF(OR(J1528=1,M1528&lt;=Inputs!$B$12),1,0)</f>
        <v>1</v>
      </c>
      <c r="S1528" s="15" t="n">
        <f aca="false">IF(OR(J1528=1,N1528&lt;=O1528),1,0)</f>
        <v>1</v>
      </c>
      <c r="T1528" s="15" t="str">
        <f aca="false">IF(J1528=1,"OFFLINE",IF(AND(Q1528&gt;=Inputs!$B$15,R1528=1,S1528=1,P1528&lt;=L1528),"PASS","FAIL"))</f>
        <v>PASS</v>
      </c>
    </row>
    <row r="1529" customFormat="false" ht="15" hidden="false" customHeight="false" outlineLevel="0" collapsed="false">
      <c r="A1529" s="14" t="s">
        <v>1033</v>
      </c>
      <c r="B1529" s="14" t="s">
        <v>1019</v>
      </c>
      <c r="C1529" s="14" t="s">
        <v>196</v>
      </c>
      <c r="D1529" s="14" t="s">
        <v>156</v>
      </c>
      <c r="E1529" s="14" t="s">
        <v>157</v>
      </c>
      <c r="F1529" s="14" t="s">
        <v>150</v>
      </c>
      <c r="G1529" s="14" t="n">
        <v>2</v>
      </c>
      <c r="H1529" s="14" t="s">
        <v>153</v>
      </c>
      <c r="I1529" s="14" t="s">
        <v>897</v>
      </c>
      <c r="J1529" s="15" t="n">
        <f aca="false">IF(B1529="SITE LOSS",IF(D1529=C1529,1,0),IF(B1529="REGION LOSS",IF(E1529=C1529,1,0),0))</f>
        <v>0</v>
      </c>
      <c r="K1529" s="15" t="n">
        <f aca="false">IF(B1529="SITE LOSS",IF(COUNTIFS('Site Dockets'!$B$7:$B$24,C1529,'Site Dockets'!$C$7:$C$24,F1529)&gt;0,1,0),IF(B1529="REGION LOSS",IF(COUNTIFS('Site Dockets'!$E$7:$E$24,C1529,'Site Dockets'!$C$7:$C$24,F1529)&gt;0,1,0),0))</f>
        <v>0</v>
      </c>
      <c r="L1529" s="15" t="n">
        <f aca="false">IF(J1529=1,0,Inputs!$B$11)</f>
        <v>100</v>
      </c>
      <c r="M1529" s="15" t="n">
        <f aca="false">IF(J1529=1,0,Inputs!$B$12)</f>
        <v>75</v>
      </c>
      <c r="N1529" s="15" t="n">
        <f aca="false">IF(J1529=1,0,IF(OR(AND(OR(B1529="SITE LOSS",B1529="REGION LOSS"),K1529=1),AND(B1529="ROLE COMPROMISE",H1529=C1529)),Inputs!$B$13,Inputs!$B$14))</f>
        <v>10</v>
      </c>
      <c r="O1529" s="15" t="n">
        <f aca="false">IF(J1529=1,0,Inputs!$B$13)</f>
        <v>20</v>
      </c>
      <c r="P1529" s="15" t="n">
        <f aca="false">SUM(M1529:N1529)</f>
        <v>85</v>
      </c>
      <c r="Q1529" s="15" t="n">
        <f aca="false">IF(J1529=1,"",L1529-P1529)</f>
        <v>15</v>
      </c>
      <c r="R1529" s="15" t="n">
        <f aca="false">IF(OR(J1529=1,M1529&lt;=Inputs!$B$12),1,0)</f>
        <v>1</v>
      </c>
      <c r="S1529" s="15" t="n">
        <f aca="false">IF(OR(J1529=1,N1529&lt;=O1529),1,0)</f>
        <v>1</v>
      </c>
      <c r="T1529" s="15" t="str">
        <f aca="false">IF(J1529=1,"OFFLINE",IF(AND(Q1529&gt;=Inputs!$B$15,R1529=1,S1529=1,P1529&lt;=L1529),"PASS","FAIL"))</f>
        <v>PASS</v>
      </c>
    </row>
    <row r="1530" customFormat="false" ht="15" hidden="false" customHeight="false" outlineLevel="0" collapsed="false">
      <c r="A1530" s="14" t="s">
        <v>1033</v>
      </c>
      <c r="B1530" s="14" t="s">
        <v>1019</v>
      </c>
      <c r="C1530" s="14" t="s">
        <v>196</v>
      </c>
      <c r="D1530" s="14" t="s">
        <v>156</v>
      </c>
      <c r="E1530" s="14" t="s">
        <v>157</v>
      </c>
      <c r="F1530" s="14" t="s">
        <v>150</v>
      </c>
      <c r="G1530" s="14" t="n">
        <v>2</v>
      </c>
      <c r="H1530" s="14" t="s">
        <v>153</v>
      </c>
      <c r="I1530" s="14" t="s">
        <v>899</v>
      </c>
      <c r="J1530" s="15" t="n">
        <f aca="false">IF(B1530="SITE LOSS",IF(D1530=C1530,1,0),IF(B1530="REGION LOSS",IF(E1530=C1530,1,0),0))</f>
        <v>0</v>
      </c>
      <c r="K1530" s="15" t="n">
        <f aca="false">IF(B1530="SITE LOSS",IF(COUNTIFS('Site Dockets'!$B$7:$B$24,C1530,'Site Dockets'!$C$7:$C$24,F1530)&gt;0,1,0),IF(B1530="REGION LOSS",IF(COUNTIFS('Site Dockets'!$E$7:$E$24,C1530,'Site Dockets'!$C$7:$C$24,F1530)&gt;0,1,0),0))</f>
        <v>0</v>
      </c>
      <c r="L1530" s="15" t="n">
        <f aca="false">IF(J1530=1,0,Inputs!$B$11)</f>
        <v>100</v>
      </c>
      <c r="M1530" s="15" t="n">
        <f aca="false">IF(J1530=1,0,Inputs!$B$12)</f>
        <v>75</v>
      </c>
      <c r="N1530" s="15" t="n">
        <f aca="false">IF(J1530=1,0,IF(OR(AND(OR(B1530="SITE LOSS",B1530="REGION LOSS"),K1530=1),AND(B1530="ROLE COMPROMISE",H1530=C1530)),Inputs!$B$13,Inputs!$B$14))</f>
        <v>10</v>
      </c>
      <c r="O1530" s="15" t="n">
        <f aca="false">IF(J1530=1,0,Inputs!$B$13)</f>
        <v>20</v>
      </c>
      <c r="P1530" s="15" t="n">
        <f aca="false">SUM(M1530:N1530)</f>
        <v>85</v>
      </c>
      <c r="Q1530" s="15" t="n">
        <f aca="false">IF(J1530=1,"",L1530-P1530)</f>
        <v>15</v>
      </c>
      <c r="R1530" s="15" t="n">
        <f aca="false">IF(OR(J1530=1,M1530&lt;=Inputs!$B$12),1,0)</f>
        <v>1</v>
      </c>
      <c r="S1530" s="15" t="n">
        <f aca="false">IF(OR(J1530=1,N1530&lt;=O1530),1,0)</f>
        <v>1</v>
      </c>
      <c r="T1530" s="15" t="str">
        <f aca="false">IF(J1530=1,"OFFLINE",IF(AND(Q1530&gt;=Inputs!$B$15,R1530=1,S1530=1,P1530&lt;=L1530),"PASS","FAIL"))</f>
        <v>PASS</v>
      </c>
    </row>
    <row r="1531" customFormat="false" ht="15" hidden="false" customHeight="false" outlineLevel="0" collapsed="false">
      <c r="A1531" s="14" t="s">
        <v>1033</v>
      </c>
      <c r="B1531" s="14" t="s">
        <v>1019</v>
      </c>
      <c r="C1531" s="14" t="s">
        <v>196</v>
      </c>
      <c r="D1531" s="14" t="s">
        <v>160</v>
      </c>
      <c r="E1531" s="14" t="s">
        <v>161</v>
      </c>
      <c r="F1531" s="14" t="s">
        <v>150</v>
      </c>
      <c r="G1531" s="14" t="n">
        <v>3</v>
      </c>
      <c r="H1531" s="14" t="s">
        <v>158</v>
      </c>
      <c r="I1531" s="14" t="s">
        <v>890</v>
      </c>
      <c r="J1531" s="15" t="n">
        <f aca="false">IF(B1531="SITE LOSS",IF(D1531=C1531,1,0),IF(B1531="REGION LOSS",IF(E1531=C1531,1,0),0))</f>
        <v>0</v>
      </c>
      <c r="K1531" s="15" t="n">
        <f aca="false">IF(B1531="SITE LOSS",IF(COUNTIFS('Site Dockets'!$B$7:$B$24,C1531,'Site Dockets'!$C$7:$C$24,F1531)&gt;0,1,0),IF(B1531="REGION LOSS",IF(COUNTIFS('Site Dockets'!$E$7:$E$24,C1531,'Site Dockets'!$C$7:$C$24,F1531)&gt;0,1,0),0))</f>
        <v>0</v>
      </c>
      <c r="L1531" s="15" t="n">
        <f aca="false">IF(J1531=1,0,Inputs!$B$11)</f>
        <v>100</v>
      </c>
      <c r="M1531" s="15" t="n">
        <f aca="false">IF(J1531=1,0,Inputs!$B$12)</f>
        <v>75</v>
      </c>
      <c r="N1531" s="15" t="n">
        <f aca="false">IF(J1531=1,0,IF(OR(AND(OR(B1531="SITE LOSS",B1531="REGION LOSS"),K1531=1),AND(B1531="ROLE COMPROMISE",H1531=C1531)),Inputs!$B$13,Inputs!$B$14))</f>
        <v>10</v>
      </c>
      <c r="O1531" s="15" t="n">
        <f aca="false">IF(J1531=1,0,Inputs!$B$13)</f>
        <v>20</v>
      </c>
      <c r="P1531" s="15" t="n">
        <f aca="false">SUM(M1531:N1531)</f>
        <v>85</v>
      </c>
      <c r="Q1531" s="15" t="n">
        <f aca="false">IF(J1531=1,"",L1531-P1531)</f>
        <v>15</v>
      </c>
      <c r="R1531" s="15" t="n">
        <f aca="false">IF(OR(J1531=1,M1531&lt;=Inputs!$B$12),1,0)</f>
        <v>1</v>
      </c>
      <c r="S1531" s="15" t="n">
        <f aca="false">IF(OR(J1531=1,N1531&lt;=O1531),1,0)</f>
        <v>1</v>
      </c>
      <c r="T1531" s="15" t="str">
        <f aca="false">IF(J1531=1,"OFFLINE",IF(AND(Q1531&gt;=Inputs!$B$15,R1531=1,S1531=1,P1531&lt;=L1531),"PASS","FAIL"))</f>
        <v>PASS</v>
      </c>
    </row>
    <row r="1532" customFormat="false" ht="15" hidden="false" customHeight="false" outlineLevel="0" collapsed="false">
      <c r="A1532" s="14" t="s">
        <v>1033</v>
      </c>
      <c r="B1532" s="14" t="s">
        <v>1019</v>
      </c>
      <c r="C1532" s="14" t="s">
        <v>196</v>
      </c>
      <c r="D1532" s="14" t="s">
        <v>160</v>
      </c>
      <c r="E1532" s="14" t="s">
        <v>161</v>
      </c>
      <c r="F1532" s="14" t="s">
        <v>150</v>
      </c>
      <c r="G1532" s="14" t="n">
        <v>3</v>
      </c>
      <c r="H1532" s="14" t="s">
        <v>158</v>
      </c>
      <c r="I1532" s="14" t="s">
        <v>892</v>
      </c>
      <c r="J1532" s="15" t="n">
        <f aca="false">IF(B1532="SITE LOSS",IF(D1532=C1532,1,0),IF(B1532="REGION LOSS",IF(E1532=C1532,1,0),0))</f>
        <v>0</v>
      </c>
      <c r="K1532" s="15" t="n">
        <f aca="false">IF(B1532="SITE LOSS",IF(COUNTIFS('Site Dockets'!$B$7:$B$24,C1532,'Site Dockets'!$C$7:$C$24,F1532)&gt;0,1,0),IF(B1532="REGION LOSS",IF(COUNTIFS('Site Dockets'!$E$7:$E$24,C1532,'Site Dockets'!$C$7:$C$24,F1532)&gt;0,1,0),0))</f>
        <v>0</v>
      </c>
      <c r="L1532" s="15" t="n">
        <f aca="false">IF(J1532=1,0,Inputs!$B$11)</f>
        <v>100</v>
      </c>
      <c r="M1532" s="15" t="n">
        <f aca="false">IF(J1532=1,0,Inputs!$B$12)</f>
        <v>75</v>
      </c>
      <c r="N1532" s="15" t="n">
        <f aca="false">IF(J1532=1,0,IF(OR(AND(OR(B1532="SITE LOSS",B1532="REGION LOSS"),K1532=1),AND(B1532="ROLE COMPROMISE",H1532=C1532)),Inputs!$B$13,Inputs!$B$14))</f>
        <v>10</v>
      </c>
      <c r="O1532" s="15" t="n">
        <f aca="false">IF(J1532=1,0,Inputs!$B$13)</f>
        <v>20</v>
      </c>
      <c r="P1532" s="15" t="n">
        <f aca="false">SUM(M1532:N1532)</f>
        <v>85</v>
      </c>
      <c r="Q1532" s="15" t="n">
        <f aca="false">IF(J1532=1,"",L1532-P1532)</f>
        <v>15</v>
      </c>
      <c r="R1532" s="15" t="n">
        <f aca="false">IF(OR(J1532=1,M1532&lt;=Inputs!$B$12),1,0)</f>
        <v>1</v>
      </c>
      <c r="S1532" s="15" t="n">
        <f aca="false">IF(OR(J1532=1,N1532&lt;=O1532),1,0)</f>
        <v>1</v>
      </c>
      <c r="T1532" s="15" t="str">
        <f aca="false">IF(J1532=1,"OFFLINE",IF(AND(Q1532&gt;=Inputs!$B$15,R1532=1,S1532=1,P1532&lt;=L1532),"PASS","FAIL"))</f>
        <v>PASS</v>
      </c>
    </row>
    <row r="1533" customFormat="false" ht="15" hidden="false" customHeight="false" outlineLevel="0" collapsed="false">
      <c r="A1533" s="14" t="s">
        <v>1033</v>
      </c>
      <c r="B1533" s="14" t="s">
        <v>1019</v>
      </c>
      <c r="C1533" s="14" t="s">
        <v>196</v>
      </c>
      <c r="D1533" s="14" t="s">
        <v>160</v>
      </c>
      <c r="E1533" s="14" t="s">
        <v>161</v>
      </c>
      <c r="F1533" s="14" t="s">
        <v>150</v>
      </c>
      <c r="G1533" s="14" t="n">
        <v>3</v>
      </c>
      <c r="H1533" s="14" t="s">
        <v>158</v>
      </c>
      <c r="I1533" s="14" t="s">
        <v>811</v>
      </c>
      <c r="J1533" s="15" t="n">
        <f aca="false">IF(B1533="SITE LOSS",IF(D1533=C1533,1,0),IF(B1533="REGION LOSS",IF(E1533=C1533,1,0),0))</f>
        <v>0</v>
      </c>
      <c r="K1533" s="15" t="n">
        <f aca="false">IF(B1533="SITE LOSS",IF(COUNTIFS('Site Dockets'!$B$7:$B$24,C1533,'Site Dockets'!$C$7:$C$24,F1533)&gt;0,1,0),IF(B1533="REGION LOSS",IF(COUNTIFS('Site Dockets'!$E$7:$E$24,C1533,'Site Dockets'!$C$7:$C$24,F1533)&gt;0,1,0),0))</f>
        <v>0</v>
      </c>
      <c r="L1533" s="15" t="n">
        <f aca="false">IF(J1533=1,0,Inputs!$B$11)</f>
        <v>100</v>
      </c>
      <c r="M1533" s="15" t="n">
        <f aca="false">IF(J1533=1,0,Inputs!$B$12)</f>
        <v>75</v>
      </c>
      <c r="N1533" s="15" t="n">
        <f aca="false">IF(J1533=1,0,IF(OR(AND(OR(B1533="SITE LOSS",B1533="REGION LOSS"),K1533=1),AND(B1533="ROLE COMPROMISE",H1533=C1533)),Inputs!$B$13,Inputs!$B$14))</f>
        <v>10</v>
      </c>
      <c r="O1533" s="15" t="n">
        <f aca="false">IF(J1533=1,0,Inputs!$B$13)</f>
        <v>20</v>
      </c>
      <c r="P1533" s="15" t="n">
        <f aca="false">SUM(M1533:N1533)</f>
        <v>85</v>
      </c>
      <c r="Q1533" s="15" t="n">
        <f aca="false">IF(J1533=1,"",L1533-P1533)</f>
        <v>15</v>
      </c>
      <c r="R1533" s="15" t="n">
        <f aca="false">IF(OR(J1533=1,M1533&lt;=Inputs!$B$12),1,0)</f>
        <v>1</v>
      </c>
      <c r="S1533" s="15" t="n">
        <f aca="false">IF(OR(J1533=1,N1533&lt;=O1533),1,0)</f>
        <v>1</v>
      </c>
      <c r="T1533" s="15" t="str">
        <f aca="false">IF(J1533=1,"OFFLINE",IF(AND(Q1533&gt;=Inputs!$B$15,R1533=1,S1533=1,P1533&lt;=L1533),"PASS","FAIL"))</f>
        <v>PASS</v>
      </c>
    </row>
    <row r="1534" customFormat="false" ht="15" hidden="false" customHeight="false" outlineLevel="0" collapsed="false">
      <c r="A1534" s="14" t="s">
        <v>1033</v>
      </c>
      <c r="B1534" s="14" t="s">
        <v>1019</v>
      </c>
      <c r="C1534" s="14" t="s">
        <v>196</v>
      </c>
      <c r="D1534" s="14" t="s">
        <v>160</v>
      </c>
      <c r="E1534" s="14" t="s">
        <v>161</v>
      </c>
      <c r="F1534" s="14" t="s">
        <v>150</v>
      </c>
      <c r="G1534" s="14" t="n">
        <v>3</v>
      </c>
      <c r="H1534" s="14" t="s">
        <v>158</v>
      </c>
      <c r="I1534" s="14" t="s">
        <v>895</v>
      </c>
      <c r="J1534" s="15" t="n">
        <f aca="false">IF(B1534="SITE LOSS",IF(D1534=C1534,1,0),IF(B1534="REGION LOSS",IF(E1534=C1534,1,0),0))</f>
        <v>0</v>
      </c>
      <c r="K1534" s="15" t="n">
        <f aca="false">IF(B1534="SITE LOSS",IF(COUNTIFS('Site Dockets'!$B$7:$B$24,C1534,'Site Dockets'!$C$7:$C$24,F1534)&gt;0,1,0),IF(B1534="REGION LOSS",IF(COUNTIFS('Site Dockets'!$E$7:$E$24,C1534,'Site Dockets'!$C$7:$C$24,F1534)&gt;0,1,0),0))</f>
        <v>0</v>
      </c>
      <c r="L1534" s="15" t="n">
        <f aca="false">IF(J1534=1,0,Inputs!$B$11)</f>
        <v>100</v>
      </c>
      <c r="M1534" s="15" t="n">
        <f aca="false">IF(J1534=1,0,Inputs!$B$12)</f>
        <v>75</v>
      </c>
      <c r="N1534" s="15" t="n">
        <f aca="false">IF(J1534=1,0,IF(OR(AND(OR(B1534="SITE LOSS",B1534="REGION LOSS"),K1534=1),AND(B1534="ROLE COMPROMISE",H1534=C1534)),Inputs!$B$13,Inputs!$B$14))</f>
        <v>10</v>
      </c>
      <c r="O1534" s="15" t="n">
        <f aca="false">IF(J1534=1,0,Inputs!$B$13)</f>
        <v>20</v>
      </c>
      <c r="P1534" s="15" t="n">
        <f aca="false">SUM(M1534:N1534)</f>
        <v>85</v>
      </c>
      <c r="Q1534" s="15" t="n">
        <f aca="false">IF(J1534=1,"",L1534-P1534)</f>
        <v>15</v>
      </c>
      <c r="R1534" s="15" t="n">
        <f aca="false">IF(OR(J1534=1,M1534&lt;=Inputs!$B$12),1,0)</f>
        <v>1</v>
      </c>
      <c r="S1534" s="15" t="n">
        <f aca="false">IF(OR(J1534=1,N1534&lt;=O1534),1,0)</f>
        <v>1</v>
      </c>
      <c r="T1534" s="15" t="str">
        <f aca="false">IF(J1534=1,"OFFLINE",IF(AND(Q1534&gt;=Inputs!$B$15,R1534=1,S1534=1,P1534&lt;=L1534),"PASS","FAIL"))</f>
        <v>PASS</v>
      </c>
    </row>
    <row r="1535" customFormat="false" ht="15" hidden="false" customHeight="false" outlineLevel="0" collapsed="false">
      <c r="A1535" s="14" t="s">
        <v>1033</v>
      </c>
      <c r="B1535" s="14" t="s">
        <v>1019</v>
      </c>
      <c r="C1535" s="14" t="s">
        <v>196</v>
      </c>
      <c r="D1535" s="14" t="s">
        <v>160</v>
      </c>
      <c r="E1535" s="14" t="s">
        <v>161</v>
      </c>
      <c r="F1535" s="14" t="s">
        <v>150</v>
      </c>
      <c r="G1535" s="14" t="n">
        <v>3</v>
      </c>
      <c r="H1535" s="14" t="s">
        <v>158</v>
      </c>
      <c r="I1535" s="14" t="s">
        <v>897</v>
      </c>
      <c r="J1535" s="15" t="n">
        <f aca="false">IF(B1535="SITE LOSS",IF(D1535=C1535,1,0),IF(B1535="REGION LOSS",IF(E1535=C1535,1,0),0))</f>
        <v>0</v>
      </c>
      <c r="K1535" s="15" t="n">
        <f aca="false">IF(B1535="SITE LOSS",IF(COUNTIFS('Site Dockets'!$B$7:$B$24,C1535,'Site Dockets'!$C$7:$C$24,F1535)&gt;0,1,0),IF(B1535="REGION LOSS",IF(COUNTIFS('Site Dockets'!$E$7:$E$24,C1535,'Site Dockets'!$C$7:$C$24,F1535)&gt;0,1,0),0))</f>
        <v>0</v>
      </c>
      <c r="L1535" s="15" t="n">
        <f aca="false">IF(J1535=1,0,Inputs!$B$11)</f>
        <v>100</v>
      </c>
      <c r="M1535" s="15" t="n">
        <f aca="false">IF(J1535=1,0,Inputs!$B$12)</f>
        <v>75</v>
      </c>
      <c r="N1535" s="15" t="n">
        <f aca="false">IF(J1535=1,0,IF(OR(AND(OR(B1535="SITE LOSS",B1535="REGION LOSS"),K1535=1),AND(B1535="ROLE COMPROMISE",H1535=C1535)),Inputs!$B$13,Inputs!$B$14))</f>
        <v>10</v>
      </c>
      <c r="O1535" s="15" t="n">
        <f aca="false">IF(J1535=1,0,Inputs!$B$13)</f>
        <v>20</v>
      </c>
      <c r="P1535" s="15" t="n">
        <f aca="false">SUM(M1535:N1535)</f>
        <v>85</v>
      </c>
      <c r="Q1535" s="15" t="n">
        <f aca="false">IF(J1535=1,"",L1535-P1535)</f>
        <v>15</v>
      </c>
      <c r="R1535" s="15" t="n">
        <f aca="false">IF(OR(J1535=1,M1535&lt;=Inputs!$B$12),1,0)</f>
        <v>1</v>
      </c>
      <c r="S1535" s="15" t="n">
        <f aca="false">IF(OR(J1535=1,N1535&lt;=O1535),1,0)</f>
        <v>1</v>
      </c>
      <c r="T1535" s="15" t="str">
        <f aca="false">IF(J1535=1,"OFFLINE",IF(AND(Q1535&gt;=Inputs!$B$15,R1535=1,S1535=1,P1535&lt;=L1535),"PASS","FAIL"))</f>
        <v>PASS</v>
      </c>
    </row>
    <row r="1536" customFormat="false" ht="15" hidden="false" customHeight="false" outlineLevel="0" collapsed="false">
      <c r="A1536" s="14" t="s">
        <v>1033</v>
      </c>
      <c r="B1536" s="14" t="s">
        <v>1019</v>
      </c>
      <c r="C1536" s="14" t="s">
        <v>196</v>
      </c>
      <c r="D1536" s="14" t="s">
        <v>160</v>
      </c>
      <c r="E1536" s="14" t="s">
        <v>161</v>
      </c>
      <c r="F1536" s="14" t="s">
        <v>150</v>
      </c>
      <c r="G1536" s="14" t="n">
        <v>3</v>
      </c>
      <c r="H1536" s="14" t="s">
        <v>158</v>
      </c>
      <c r="I1536" s="14" t="s">
        <v>899</v>
      </c>
      <c r="J1536" s="15" t="n">
        <f aca="false">IF(B1536="SITE LOSS",IF(D1536=C1536,1,0),IF(B1536="REGION LOSS",IF(E1536=C1536,1,0),0))</f>
        <v>0</v>
      </c>
      <c r="K1536" s="15" t="n">
        <f aca="false">IF(B1536="SITE LOSS",IF(COUNTIFS('Site Dockets'!$B$7:$B$24,C1536,'Site Dockets'!$C$7:$C$24,F1536)&gt;0,1,0),IF(B1536="REGION LOSS",IF(COUNTIFS('Site Dockets'!$E$7:$E$24,C1536,'Site Dockets'!$C$7:$C$24,F1536)&gt;0,1,0),0))</f>
        <v>0</v>
      </c>
      <c r="L1536" s="15" t="n">
        <f aca="false">IF(J1536=1,0,Inputs!$B$11)</f>
        <v>100</v>
      </c>
      <c r="M1536" s="15" t="n">
        <f aca="false">IF(J1536=1,0,Inputs!$B$12)</f>
        <v>75</v>
      </c>
      <c r="N1536" s="15" t="n">
        <f aca="false">IF(J1536=1,0,IF(OR(AND(OR(B1536="SITE LOSS",B1536="REGION LOSS"),K1536=1),AND(B1536="ROLE COMPROMISE",H1536=C1536)),Inputs!$B$13,Inputs!$B$14))</f>
        <v>10</v>
      </c>
      <c r="O1536" s="15" t="n">
        <f aca="false">IF(J1536=1,0,Inputs!$B$13)</f>
        <v>20</v>
      </c>
      <c r="P1536" s="15" t="n">
        <f aca="false">SUM(M1536:N1536)</f>
        <v>85</v>
      </c>
      <c r="Q1536" s="15" t="n">
        <f aca="false">IF(J1536=1,"",L1536-P1536)</f>
        <v>15</v>
      </c>
      <c r="R1536" s="15" t="n">
        <f aca="false">IF(OR(J1536=1,M1536&lt;=Inputs!$B$12),1,0)</f>
        <v>1</v>
      </c>
      <c r="S1536" s="15" t="n">
        <f aca="false">IF(OR(J1536=1,N1536&lt;=O1536),1,0)</f>
        <v>1</v>
      </c>
      <c r="T1536" s="15" t="str">
        <f aca="false">IF(J1536=1,"OFFLINE",IF(AND(Q1536&gt;=Inputs!$B$15,R1536=1,S1536=1,P1536&lt;=L1536),"PASS","FAIL"))</f>
        <v>PASS</v>
      </c>
    </row>
    <row r="1537" customFormat="false" ht="15" hidden="false" customHeight="false" outlineLevel="0" collapsed="false">
      <c r="A1537" s="14" t="s">
        <v>1033</v>
      </c>
      <c r="B1537" s="14" t="s">
        <v>1019</v>
      </c>
      <c r="C1537" s="14" t="s">
        <v>196</v>
      </c>
      <c r="D1537" s="14" t="s">
        <v>163</v>
      </c>
      <c r="E1537" s="14" t="s">
        <v>166</v>
      </c>
      <c r="F1537" s="14" t="s">
        <v>164</v>
      </c>
      <c r="G1537" s="14" t="n">
        <v>1</v>
      </c>
      <c r="H1537" s="14" t="s">
        <v>154</v>
      </c>
      <c r="I1537" s="14" t="s">
        <v>890</v>
      </c>
      <c r="J1537" s="15" t="n">
        <f aca="false">IF(B1537="SITE LOSS",IF(D1537=C1537,1,0),IF(B1537="REGION LOSS",IF(E1537=C1537,1,0),0))</f>
        <v>0</v>
      </c>
      <c r="K1537" s="15" t="n">
        <f aca="false">IF(B1537="SITE LOSS",IF(COUNTIFS('Site Dockets'!$B$7:$B$24,C1537,'Site Dockets'!$C$7:$C$24,F1537)&gt;0,1,0),IF(B1537="REGION LOSS",IF(COUNTIFS('Site Dockets'!$E$7:$E$24,C1537,'Site Dockets'!$C$7:$C$24,F1537)&gt;0,1,0),0))</f>
        <v>0</v>
      </c>
      <c r="L1537" s="15" t="n">
        <f aca="false">IF(J1537=1,0,Inputs!$B$11)</f>
        <v>100</v>
      </c>
      <c r="M1537" s="15" t="n">
        <f aca="false">IF(J1537=1,0,Inputs!$B$12)</f>
        <v>75</v>
      </c>
      <c r="N1537" s="15" t="n">
        <f aca="false">IF(J1537=1,0,IF(OR(AND(OR(B1537="SITE LOSS",B1537="REGION LOSS"),K1537=1),AND(B1537="ROLE COMPROMISE",H1537=C1537)),Inputs!$B$13,Inputs!$B$14))</f>
        <v>10</v>
      </c>
      <c r="O1537" s="15" t="n">
        <f aca="false">IF(J1537=1,0,Inputs!$B$13)</f>
        <v>20</v>
      </c>
      <c r="P1537" s="15" t="n">
        <f aca="false">SUM(M1537:N1537)</f>
        <v>85</v>
      </c>
      <c r="Q1537" s="15" t="n">
        <f aca="false">IF(J1537=1,"",L1537-P1537)</f>
        <v>15</v>
      </c>
      <c r="R1537" s="15" t="n">
        <f aca="false">IF(OR(J1537=1,M1537&lt;=Inputs!$B$12),1,0)</f>
        <v>1</v>
      </c>
      <c r="S1537" s="15" t="n">
        <f aca="false">IF(OR(J1537=1,N1537&lt;=O1537),1,0)</f>
        <v>1</v>
      </c>
      <c r="T1537" s="15" t="str">
        <f aca="false">IF(J1537=1,"OFFLINE",IF(AND(Q1537&gt;=Inputs!$B$15,R1537=1,S1537=1,P1537&lt;=L1537),"PASS","FAIL"))</f>
        <v>PASS</v>
      </c>
    </row>
    <row r="1538" customFormat="false" ht="15" hidden="false" customHeight="false" outlineLevel="0" collapsed="false">
      <c r="A1538" s="14" t="s">
        <v>1033</v>
      </c>
      <c r="B1538" s="14" t="s">
        <v>1019</v>
      </c>
      <c r="C1538" s="14" t="s">
        <v>196</v>
      </c>
      <c r="D1538" s="14" t="s">
        <v>163</v>
      </c>
      <c r="E1538" s="14" t="s">
        <v>166</v>
      </c>
      <c r="F1538" s="14" t="s">
        <v>164</v>
      </c>
      <c r="G1538" s="14" t="n">
        <v>1</v>
      </c>
      <c r="H1538" s="14" t="s">
        <v>154</v>
      </c>
      <c r="I1538" s="14" t="s">
        <v>892</v>
      </c>
      <c r="J1538" s="15" t="n">
        <f aca="false">IF(B1538="SITE LOSS",IF(D1538=C1538,1,0),IF(B1538="REGION LOSS",IF(E1538=C1538,1,0),0))</f>
        <v>0</v>
      </c>
      <c r="K1538" s="15" t="n">
        <f aca="false">IF(B1538="SITE LOSS",IF(COUNTIFS('Site Dockets'!$B$7:$B$24,C1538,'Site Dockets'!$C$7:$C$24,F1538)&gt;0,1,0),IF(B1538="REGION LOSS",IF(COUNTIFS('Site Dockets'!$E$7:$E$24,C1538,'Site Dockets'!$C$7:$C$24,F1538)&gt;0,1,0),0))</f>
        <v>0</v>
      </c>
      <c r="L1538" s="15" t="n">
        <f aca="false">IF(J1538=1,0,Inputs!$B$11)</f>
        <v>100</v>
      </c>
      <c r="M1538" s="15" t="n">
        <f aca="false">IF(J1538=1,0,Inputs!$B$12)</f>
        <v>75</v>
      </c>
      <c r="N1538" s="15" t="n">
        <f aca="false">IF(J1538=1,0,IF(OR(AND(OR(B1538="SITE LOSS",B1538="REGION LOSS"),K1538=1),AND(B1538="ROLE COMPROMISE",H1538=C1538)),Inputs!$B$13,Inputs!$B$14))</f>
        <v>10</v>
      </c>
      <c r="O1538" s="15" t="n">
        <f aca="false">IF(J1538=1,0,Inputs!$B$13)</f>
        <v>20</v>
      </c>
      <c r="P1538" s="15" t="n">
        <f aca="false">SUM(M1538:N1538)</f>
        <v>85</v>
      </c>
      <c r="Q1538" s="15" t="n">
        <f aca="false">IF(J1538=1,"",L1538-P1538)</f>
        <v>15</v>
      </c>
      <c r="R1538" s="15" t="n">
        <f aca="false">IF(OR(J1538=1,M1538&lt;=Inputs!$B$12),1,0)</f>
        <v>1</v>
      </c>
      <c r="S1538" s="15" t="n">
        <f aca="false">IF(OR(J1538=1,N1538&lt;=O1538),1,0)</f>
        <v>1</v>
      </c>
      <c r="T1538" s="15" t="str">
        <f aca="false">IF(J1538=1,"OFFLINE",IF(AND(Q1538&gt;=Inputs!$B$15,R1538=1,S1538=1,P1538&lt;=L1538),"PASS","FAIL"))</f>
        <v>PASS</v>
      </c>
    </row>
    <row r="1539" customFormat="false" ht="15" hidden="false" customHeight="false" outlineLevel="0" collapsed="false">
      <c r="A1539" s="14" t="s">
        <v>1033</v>
      </c>
      <c r="B1539" s="14" t="s">
        <v>1019</v>
      </c>
      <c r="C1539" s="14" t="s">
        <v>196</v>
      </c>
      <c r="D1539" s="14" t="s">
        <v>163</v>
      </c>
      <c r="E1539" s="14" t="s">
        <v>166</v>
      </c>
      <c r="F1539" s="14" t="s">
        <v>164</v>
      </c>
      <c r="G1539" s="14" t="n">
        <v>1</v>
      </c>
      <c r="H1539" s="14" t="s">
        <v>154</v>
      </c>
      <c r="I1539" s="14" t="s">
        <v>811</v>
      </c>
      <c r="J1539" s="15" t="n">
        <f aca="false">IF(B1539="SITE LOSS",IF(D1539=C1539,1,0),IF(B1539="REGION LOSS",IF(E1539=C1539,1,0),0))</f>
        <v>0</v>
      </c>
      <c r="K1539" s="15" t="n">
        <f aca="false">IF(B1539="SITE LOSS",IF(COUNTIFS('Site Dockets'!$B$7:$B$24,C1539,'Site Dockets'!$C$7:$C$24,F1539)&gt;0,1,0),IF(B1539="REGION LOSS",IF(COUNTIFS('Site Dockets'!$E$7:$E$24,C1539,'Site Dockets'!$C$7:$C$24,F1539)&gt;0,1,0),0))</f>
        <v>0</v>
      </c>
      <c r="L1539" s="15" t="n">
        <f aca="false">IF(J1539=1,0,Inputs!$B$11)</f>
        <v>100</v>
      </c>
      <c r="M1539" s="15" t="n">
        <f aca="false">IF(J1539=1,0,Inputs!$B$12)</f>
        <v>75</v>
      </c>
      <c r="N1539" s="15" t="n">
        <f aca="false">IF(J1539=1,0,IF(OR(AND(OR(B1539="SITE LOSS",B1539="REGION LOSS"),K1539=1),AND(B1539="ROLE COMPROMISE",H1539=C1539)),Inputs!$B$13,Inputs!$B$14))</f>
        <v>10</v>
      </c>
      <c r="O1539" s="15" t="n">
        <f aca="false">IF(J1539=1,0,Inputs!$B$13)</f>
        <v>20</v>
      </c>
      <c r="P1539" s="15" t="n">
        <f aca="false">SUM(M1539:N1539)</f>
        <v>85</v>
      </c>
      <c r="Q1539" s="15" t="n">
        <f aca="false">IF(J1539=1,"",L1539-P1539)</f>
        <v>15</v>
      </c>
      <c r="R1539" s="15" t="n">
        <f aca="false">IF(OR(J1539=1,M1539&lt;=Inputs!$B$12),1,0)</f>
        <v>1</v>
      </c>
      <c r="S1539" s="15" t="n">
        <f aca="false">IF(OR(J1539=1,N1539&lt;=O1539),1,0)</f>
        <v>1</v>
      </c>
      <c r="T1539" s="15" t="str">
        <f aca="false">IF(J1539=1,"OFFLINE",IF(AND(Q1539&gt;=Inputs!$B$15,R1539=1,S1539=1,P1539&lt;=L1539),"PASS","FAIL"))</f>
        <v>PASS</v>
      </c>
    </row>
    <row r="1540" customFormat="false" ht="15" hidden="false" customHeight="false" outlineLevel="0" collapsed="false">
      <c r="A1540" s="14" t="s">
        <v>1033</v>
      </c>
      <c r="B1540" s="14" t="s">
        <v>1019</v>
      </c>
      <c r="C1540" s="14" t="s">
        <v>196</v>
      </c>
      <c r="D1540" s="14" t="s">
        <v>163</v>
      </c>
      <c r="E1540" s="14" t="s">
        <v>166</v>
      </c>
      <c r="F1540" s="14" t="s">
        <v>164</v>
      </c>
      <c r="G1540" s="14" t="n">
        <v>1</v>
      </c>
      <c r="H1540" s="14" t="s">
        <v>154</v>
      </c>
      <c r="I1540" s="14" t="s">
        <v>895</v>
      </c>
      <c r="J1540" s="15" t="n">
        <f aca="false">IF(B1540="SITE LOSS",IF(D1540=C1540,1,0),IF(B1540="REGION LOSS",IF(E1540=C1540,1,0),0))</f>
        <v>0</v>
      </c>
      <c r="K1540" s="15" t="n">
        <f aca="false">IF(B1540="SITE LOSS",IF(COUNTIFS('Site Dockets'!$B$7:$B$24,C1540,'Site Dockets'!$C$7:$C$24,F1540)&gt;0,1,0),IF(B1540="REGION LOSS",IF(COUNTIFS('Site Dockets'!$E$7:$E$24,C1540,'Site Dockets'!$C$7:$C$24,F1540)&gt;0,1,0),0))</f>
        <v>0</v>
      </c>
      <c r="L1540" s="15" t="n">
        <f aca="false">IF(J1540=1,0,Inputs!$B$11)</f>
        <v>100</v>
      </c>
      <c r="M1540" s="15" t="n">
        <f aca="false">IF(J1540=1,0,Inputs!$B$12)</f>
        <v>75</v>
      </c>
      <c r="N1540" s="15" t="n">
        <f aca="false">IF(J1540=1,0,IF(OR(AND(OR(B1540="SITE LOSS",B1540="REGION LOSS"),K1540=1),AND(B1540="ROLE COMPROMISE",H1540=C1540)),Inputs!$B$13,Inputs!$B$14))</f>
        <v>10</v>
      </c>
      <c r="O1540" s="15" t="n">
        <f aca="false">IF(J1540=1,0,Inputs!$B$13)</f>
        <v>20</v>
      </c>
      <c r="P1540" s="15" t="n">
        <f aca="false">SUM(M1540:N1540)</f>
        <v>85</v>
      </c>
      <c r="Q1540" s="15" t="n">
        <f aca="false">IF(J1540=1,"",L1540-P1540)</f>
        <v>15</v>
      </c>
      <c r="R1540" s="15" t="n">
        <f aca="false">IF(OR(J1540=1,M1540&lt;=Inputs!$B$12),1,0)</f>
        <v>1</v>
      </c>
      <c r="S1540" s="15" t="n">
        <f aca="false">IF(OR(J1540=1,N1540&lt;=O1540),1,0)</f>
        <v>1</v>
      </c>
      <c r="T1540" s="15" t="str">
        <f aca="false">IF(J1540=1,"OFFLINE",IF(AND(Q1540&gt;=Inputs!$B$15,R1540=1,S1540=1,P1540&lt;=L1540),"PASS","FAIL"))</f>
        <v>PASS</v>
      </c>
    </row>
    <row r="1541" customFormat="false" ht="15" hidden="false" customHeight="false" outlineLevel="0" collapsed="false">
      <c r="A1541" s="14" t="s">
        <v>1033</v>
      </c>
      <c r="B1541" s="14" t="s">
        <v>1019</v>
      </c>
      <c r="C1541" s="14" t="s">
        <v>196</v>
      </c>
      <c r="D1541" s="14" t="s">
        <v>163</v>
      </c>
      <c r="E1541" s="14" t="s">
        <v>166</v>
      </c>
      <c r="F1541" s="14" t="s">
        <v>164</v>
      </c>
      <c r="G1541" s="14" t="n">
        <v>1</v>
      </c>
      <c r="H1541" s="14" t="s">
        <v>154</v>
      </c>
      <c r="I1541" s="14" t="s">
        <v>897</v>
      </c>
      <c r="J1541" s="15" t="n">
        <f aca="false">IF(B1541="SITE LOSS",IF(D1541=C1541,1,0),IF(B1541="REGION LOSS",IF(E1541=C1541,1,0),0))</f>
        <v>0</v>
      </c>
      <c r="K1541" s="15" t="n">
        <f aca="false">IF(B1541="SITE LOSS",IF(COUNTIFS('Site Dockets'!$B$7:$B$24,C1541,'Site Dockets'!$C$7:$C$24,F1541)&gt;0,1,0),IF(B1541="REGION LOSS",IF(COUNTIFS('Site Dockets'!$E$7:$E$24,C1541,'Site Dockets'!$C$7:$C$24,F1541)&gt;0,1,0),0))</f>
        <v>0</v>
      </c>
      <c r="L1541" s="15" t="n">
        <f aca="false">IF(J1541=1,0,Inputs!$B$11)</f>
        <v>100</v>
      </c>
      <c r="M1541" s="15" t="n">
        <f aca="false">IF(J1541=1,0,Inputs!$B$12)</f>
        <v>75</v>
      </c>
      <c r="N1541" s="15" t="n">
        <f aca="false">IF(J1541=1,0,IF(OR(AND(OR(B1541="SITE LOSS",B1541="REGION LOSS"),K1541=1),AND(B1541="ROLE COMPROMISE",H1541=C1541)),Inputs!$B$13,Inputs!$B$14))</f>
        <v>10</v>
      </c>
      <c r="O1541" s="15" t="n">
        <f aca="false">IF(J1541=1,0,Inputs!$B$13)</f>
        <v>20</v>
      </c>
      <c r="P1541" s="15" t="n">
        <f aca="false">SUM(M1541:N1541)</f>
        <v>85</v>
      </c>
      <c r="Q1541" s="15" t="n">
        <f aca="false">IF(J1541=1,"",L1541-P1541)</f>
        <v>15</v>
      </c>
      <c r="R1541" s="15" t="n">
        <f aca="false">IF(OR(J1541=1,M1541&lt;=Inputs!$B$12),1,0)</f>
        <v>1</v>
      </c>
      <c r="S1541" s="15" t="n">
        <f aca="false">IF(OR(J1541=1,N1541&lt;=O1541),1,0)</f>
        <v>1</v>
      </c>
      <c r="T1541" s="15" t="str">
        <f aca="false">IF(J1541=1,"OFFLINE",IF(AND(Q1541&gt;=Inputs!$B$15,R1541=1,S1541=1,P1541&lt;=L1541),"PASS","FAIL"))</f>
        <v>PASS</v>
      </c>
    </row>
    <row r="1542" customFormat="false" ht="15" hidden="false" customHeight="false" outlineLevel="0" collapsed="false">
      <c r="A1542" s="14" t="s">
        <v>1033</v>
      </c>
      <c r="B1542" s="14" t="s">
        <v>1019</v>
      </c>
      <c r="C1542" s="14" t="s">
        <v>196</v>
      </c>
      <c r="D1542" s="14" t="s">
        <v>163</v>
      </c>
      <c r="E1542" s="14" t="s">
        <v>166</v>
      </c>
      <c r="F1542" s="14" t="s">
        <v>164</v>
      </c>
      <c r="G1542" s="14" t="n">
        <v>1</v>
      </c>
      <c r="H1542" s="14" t="s">
        <v>154</v>
      </c>
      <c r="I1542" s="14" t="s">
        <v>899</v>
      </c>
      <c r="J1542" s="15" t="n">
        <f aca="false">IF(B1542="SITE LOSS",IF(D1542=C1542,1,0),IF(B1542="REGION LOSS",IF(E1542=C1542,1,0),0))</f>
        <v>0</v>
      </c>
      <c r="K1542" s="15" t="n">
        <f aca="false">IF(B1542="SITE LOSS",IF(COUNTIFS('Site Dockets'!$B$7:$B$24,C1542,'Site Dockets'!$C$7:$C$24,F1542)&gt;0,1,0),IF(B1542="REGION LOSS",IF(COUNTIFS('Site Dockets'!$E$7:$E$24,C1542,'Site Dockets'!$C$7:$C$24,F1542)&gt;0,1,0),0))</f>
        <v>0</v>
      </c>
      <c r="L1542" s="15" t="n">
        <f aca="false">IF(J1542=1,0,Inputs!$B$11)</f>
        <v>100</v>
      </c>
      <c r="M1542" s="15" t="n">
        <f aca="false">IF(J1542=1,0,Inputs!$B$12)</f>
        <v>75</v>
      </c>
      <c r="N1542" s="15" t="n">
        <f aca="false">IF(J1542=1,0,IF(OR(AND(OR(B1542="SITE LOSS",B1542="REGION LOSS"),K1542=1),AND(B1542="ROLE COMPROMISE",H1542=C1542)),Inputs!$B$13,Inputs!$B$14))</f>
        <v>10</v>
      </c>
      <c r="O1542" s="15" t="n">
        <f aca="false">IF(J1542=1,0,Inputs!$B$13)</f>
        <v>20</v>
      </c>
      <c r="P1542" s="15" t="n">
        <f aca="false">SUM(M1542:N1542)</f>
        <v>85</v>
      </c>
      <c r="Q1542" s="15" t="n">
        <f aca="false">IF(J1542=1,"",L1542-P1542)</f>
        <v>15</v>
      </c>
      <c r="R1542" s="15" t="n">
        <f aca="false">IF(OR(J1542=1,M1542&lt;=Inputs!$B$12),1,0)</f>
        <v>1</v>
      </c>
      <c r="S1542" s="15" t="n">
        <f aca="false">IF(OR(J1542=1,N1542&lt;=O1542),1,0)</f>
        <v>1</v>
      </c>
      <c r="T1542" s="15" t="str">
        <f aca="false">IF(J1542=1,"OFFLINE",IF(AND(Q1542&gt;=Inputs!$B$15,R1542=1,S1542=1,P1542&lt;=L1542),"PASS","FAIL"))</f>
        <v>PASS</v>
      </c>
    </row>
    <row r="1543" customFormat="false" ht="15" hidden="false" customHeight="false" outlineLevel="0" collapsed="false">
      <c r="A1543" s="14" t="s">
        <v>1033</v>
      </c>
      <c r="B1543" s="14" t="s">
        <v>1019</v>
      </c>
      <c r="C1543" s="14" t="s">
        <v>196</v>
      </c>
      <c r="D1543" s="14" t="s">
        <v>168</v>
      </c>
      <c r="E1543" s="14" t="s">
        <v>169</v>
      </c>
      <c r="F1543" s="14" t="s">
        <v>164</v>
      </c>
      <c r="G1543" s="14" t="n">
        <v>2</v>
      </c>
      <c r="H1543" s="14" t="s">
        <v>153</v>
      </c>
      <c r="I1543" s="14" t="s">
        <v>890</v>
      </c>
      <c r="J1543" s="15" t="n">
        <f aca="false">IF(B1543="SITE LOSS",IF(D1543=C1543,1,0),IF(B1543="REGION LOSS",IF(E1543=C1543,1,0),0))</f>
        <v>0</v>
      </c>
      <c r="K1543" s="15" t="n">
        <f aca="false">IF(B1543="SITE LOSS",IF(COUNTIFS('Site Dockets'!$B$7:$B$24,C1543,'Site Dockets'!$C$7:$C$24,F1543)&gt;0,1,0),IF(B1543="REGION LOSS",IF(COUNTIFS('Site Dockets'!$E$7:$E$24,C1543,'Site Dockets'!$C$7:$C$24,F1543)&gt;0,1,0),0))</f>
        <v>0</v>
      </c>
      <c r="L1543" s="15" t="n">
        <f aca="false">IF(J1543=1,0,Inputs!$B$11)</f>
        <v>100</v>
      </c>
      <c r="M1543" s="15" t="n">
        <f aca="false">IF(J1543=1,0,Inputs!$B$12)</f>
        <v>75</v>
      </c>
      <c r="N1543" s="15" t="n">
        <f aca="false">IF(J1543=1,0,IF(OR(AND(OR(B1543="SITE LOSS",B1543="REGION LOSS"),K1543=1),AND(B1543="ROLE COMPROMISE",H1543=C1543)),Inputs!$B$13,Inputs!$B$14))</f>
        <v>10</v>
      </c>
      <c r="O1543" s="15" t="n">
        <f aca="false">IF(J1543=1,0,Inputs!$B$13)</f>
        <v>20</v>
      </c>
      <c r="P1543" s="15" t="n">
        <f aca="false">SUM(M1543:N1543)</f>
        <v>85</v>
      </c>
      <c r="Q1543" s="15" t="n">
        <f aca="false">IF(J1543=1,"",L1543-P1543)</f>
        <v>15</v>
      </c>
      <c r="R1543" s="15" t="n">
        <f aca="false">IF(OR(J1543=1,M1543&lt;=Inputs!$B$12),1,0)</f>
        <v>1</v>
      </c>
      <c r="S1543" s="15" t="n">
        <f aca="false">IF(OR(J1543=1,N1543&lt;=O1543),1,0)</f>
        <v>1</v>
      </c>
      <c r="T1543" s="15" t="str">
        <f aca="false">IF(J1543=1,"OFFLINE",IF(AND(Q1543&gt;=Inputs!$B$15,R1543=1,S1543=1,P1543&lt;=L1543),"PASS","FAIL"))</f>
        <v>PASS</v>
      </c>
    </row>
    <row r="1544" customFormat="false" ht="15" hidden="false" customHeight="false" outlineLevel="0" collapsed="false">
      <c r="A1544" s="14" t="s">
        <v>1033</v>
      </c>
      <c r="B1544" s="14" t="s">
        <v>1019</v>
      </c>
      <c r="C1544" s="14" t="s">
        <v>196</v>
      </c>
      <c r="D1544" s="14" t="s">
        <v>168</v>
      </c>
      <c r="E1544" s="14" t="s">
        <v>169</v>
      </c>
      <c r="F1544" s="14" t="s">
        <v>164</v>
      </c>
      <c r="G1544" s="14" t="n">
        <v>2</v>
      </c>
      <c r="H1544" s="14" t="s">
        <v>153</v>
      </c>
      <c r="I1544" s="14" t="s">
        <v>892</v>
      </c>
      <c r="J1544" s="15" t="n">
        <f aca="false">IF(B1544="SITE LOSS",IF(D1544=C1544,1,0),IF(B1544="REGION LOSS",IF(E1544=C1544,1,0),0))</f>
        <v>0</v>
      </c>
      <c r="K1544" s="15" t="n">
        <f aca="false">IF(B1544="SITE LOSS",IF(COUNTIFS('Site Dockets'!$B$7:$B$24,C1544,'Site Dockets'!$C$7:$C$24,F1544)&gt;0,1,0),IF(B1544="REGION LOSS",IF(COUNTIFS('Site Dockets'!$E$7:$E$24,C1544,'Site Dockets'!$C$7:$C$24,F1544)&gt;0,1,0),0))</f>
        <v>0</v>
      </c>
      <c r="L1544" s="15" t="n">
        <f aca="false">IF(J1544=1,0,Inputs!$B$11)</f>
        <v>100</v>
      </c>
      <c r="M1544" s="15" t="n">
        <f aca="false">IF(J1544=1,0,Inputs!$B$12)</f>
        <v>75</v>
      </c>
      <c r="N1544" s="15" t="n">
        <f aca="false">IF(J1544=1,0,IF(OR(AND(OR(B1544="SITE LOSS",B1544="REGION LOSS"),K1544=1),AND(B1544="ROLE COMPROMISE",H1544=C1544)),Inputs!$B$13,Inputs!$B$14))</f>
        <v>10</v>
      </c>
      <c r="O1544" s="15" t="n">
        <f aca="false">IF(J1544=1,0,Inputs!$B$13)</f>
        <v>20</v>
      </c>
      <c r="P1544" s="15" t="n">
        <f aca="false">SUM(M1544:N1544)</f>
        <v>85</v>
      </c>
      <c r="Q1544" s="15" t="n">
        <f aca="false">IF(J1544=1,"",L1544-P1544)</f>
        <v>15</v>
      </c>
      <c r="R1544" s="15" t="n">
        <f aca="false">IF(OR(J1544=1,M1544&lt;=Inputs!$B$12),1,0)</f>
        <v>1</v>
      </c>
      <c r="S1544" s="15" t="n">
        <f aca="false">IF(OR(J1544=1,N1544&lt;=O1544),1,0)</f>
        <v>1</v>
      </c>
      <c r="T1544" s="15" t="str">
        <f aca="false">IF(J1544=1,"OFFLINE",IF(AND(Q1544&gt;=Inputs!$B$15,R1544=1,S1544=1,P1544&lt;=L1544),"PASS","FAIL"))</f>
        <v>PASS</v>
      </c>
    </row>
    <row r="1545" customFormat="false" ht="15" hidden="false" customHeight="false" outlineLevel="0" collapsed="false">
      <c r="A1545" s="14" t="s">
        <v>1033</v>
      </c>
      <c r="B1545" s="14" t="s">
        <v>1019</v>
      </c>
      <c r="C1545" s="14" t="s">
        <v>196</v>
      </c>
      <c r="D1545" s="14" t="s">
        <v>168</v>
      </c>
      <c r="E1545" s="14" t="s">
        <v>169</v>
      </c>
      <c r="F1545" s="14" t="s">
        <v>164</v>
      </c>
      <c r="G1545" s="14" t="n">
        <v>2</v>
      </c>
      <c r="H1545" s="14" t="s">
        <v>153</v>
      </c>
      <c r="I1545" s="14" t="s">
        <v>811</v>
      </c>
      <c r="J1545" s="15" t="n">
        <f aca="false">IF(B1545="SITE LOSS",IF(D1545=C1545,1,0),IF(B1545="REGION LOSS",IF(E1545=C1545,1,0),0))</f>
        <v>0</v>
      </c>
      <c r="K1545" s="15" t="n">
        <f aca="false">IF(B1545="SITE LOSS",IF(COUNTIFS('Site Dockets'!$B$7:$B$24,C1545,'Site Dockets'!$C$7:$C$24,F1545)&gt;0,1,0),IF(B1545="REGION LOSS",IF(COUNTIFS('Site Dockets'!$E$7:$E$24,C1545,'Site Dockets'!$C$7:$C$24,F1545)&gt;0,1,0),0))</f>
        <v>0</v>
      </c>
      <c r="L1545" s="15" t="n">
        <f aca="false">IF(J1545=1,0,Inputs!$B$11)</f>
        <v>100</v>
      </c>
      <c r="M1545" s="15" t="n">
        <f aca="false">IF(J1545=1,0,Inputs!$B$12)</f>
        <v>75</v>
      </c>
      <c r="N1545" s="15" t="n">
        <f aca="false">IF(J1545=1,0,IF(OR(AND(OR(B1545="SITE LOSS",B1545="REGION LOSS"),K1545=1),AND(B1545="ROLE COMPROMISE",H1545=C1545)),Inputs!$B$13,Inputs!$B$14))</f>
        <v>10</v>
      </c>
      <c r="O1545" s="15" t="n">
        <f aca="false">IF(J1545=1,0,Inputs!$B$13)</f>
        <v>20</v>
      </c>
      <c r="P1545" s="15" t="n">
        <f aca="false">SUM(M1545:N1545)</f>
        <v>85</v>
      </c>
      <c r="Q1545" s="15" t="n">
        <f aca="false">IF(J1545=1,"",L1545-P1545)</f>
        <v>15</v>
      </c>
      <c r="R1545" s="15" t="n">
        <f aca="false">IF(OR(J1545=1,M1545&lt;=Inputs!$B$12),1,0)</f>
        <v>1</v>
      </c>
      <c r="S1545" s="15" t="n">
        <f aca="false">IF(OR(J1545=1,N1545&lt;=O1545),1,0)</f>
        <v>1</v>
      </c>
      <c r="T1545" s="15" t="str">
        <f aca="false">IF(J1545=1,"OFFLINE",IF(AND(Q1545&gt;=Inputs!$B$15,R1545=1,S1545=1,P1545&lt;=L1545),"PASS","FAIL"))</f>
        <v>PASS</v>
      </c>
    </row>
    <row r="1546" customFormat="false" ht="15" hidden="false" customHeight="false" outlineLevel="0" collapsed="false">
      <c r="A1546" s="14" t="s">
        <v>1033</v>
      </c>
      <c r="B1546" s="14" t="s">
        <v>1019</v>
      </c>
      <c r="C1546" s="14" t="s">
        <v>196</v>
      </c>
      <c r="D1546" s="14" t="s">
        <v>168</v>
      </c>
      <c r="E1546" s="14" t="s">
        <v>169</v>
      </c>
      <c r="F1546" s="14" t="s">
        <v>164</v>
      </c>
      <c r="G1546" s="14" t="n">
        <v>2</v>
      </c>
      <c r="H1546" s="14" t="s">
        <v>153</v>
      </c>
      <c r="I1546" s="14" t="s">
        <v>895</v>
      </c>
      <c r="J1546" s="15" t="n">
        <f aca="false">IF(B1546="SITE LOSS",IF(D1546=C1546,1,0),IF(B1546="REGION LOSS",IF(E1546=C1546,1,0),0))</f>
        <v>0</v>
      </c>
      <c r="K1546" s="15" t="n">
        <f aca="false">IF(B1546="SITE LOSS",IF(COUNTIFS('Site Dockets'!$B$7:$B$24,C1546,'Site Dockets'!$C$7:$C$24,F1546)&gt;0,1,0),IF(B1546="REGION LOSS",IF(COUNTIFS('Site Dockets'!$E$7:$E$24,C1546,'Site Dockets'!$C$7:$C$24,F1546)&gt;0,1,0),0))</f>
        <v>0</v>
      </c>
      <c r="L1546" s="15" t="n">
        <f aca="false">IF(J1546=1,0,Inputs!$B$11)</f>
        <v>100</v>
      </c>
      <c r="M1546" s="15" t="n">
        <f aca="false">IF(J1546=1,0,Inputs!$B$12)</f>
        <v>75</v>
      </c>
      <c r="N1546" s="15" t="n">
        <f aca="false">IF(J1546=1,0,IF(OR(AND(OR(B1546="SITE LOSS",B1546="REGION LOSS"),K1546=1),AND(B1546="ROLE COMPROMISE",H1546=C1546)),Inputs!$B$13,Inputs!$B$14))</f>
        <v>10</v>
      </c>
      <c r="O1546" s="15" t="n">
        <f aca="false">IF(J1546=1,0,Inputs!$B$13)</f>
        <v>20</v>
      </c>
      <c r="P1546" s="15" t="n">
        <f aca="false">SUM(M1546:N1546)</f>
        <v>85</v>
      </c>
      <c r="Q1546" s="15" t="n">
        <f aca="false">IF(J1546=1,"",L1546-P1546)</f>
        <v>15</v>
      </c>
      <c r="R1546" s="15" t="n">
        <f aca="false">IF(OR(J1546=1,M1546&lt;=Inputs!$B$12),1,0)</f>
        <v>1</v>
      </c>
      <c r="S1546" s="15" t="n">
        <f aca="false">IF(OR(J1546=1,N1546&lt;=O1546),1,0)</f>
        <v>1</v>
      </c>
      <c r="T1546" s="15" t="str">
        <f aca="false">IF(J1546=1,"OFFLINE",IF(AND(Q1546&gt;=Inputs!$B$15,R1546=1,S1546=1,P1546&lt;=L1546),"PASS","FAIL"))</f>
        <v>PASS</v>
      </c>
    </row>
    <row r="1547" customFormat="false" ht="15" hidden="false" customHeight="false" outlineLevel="0" collapsed="false">
      <c r="A1547" s="14" t="s">
        <v>1033</v>
      </c>
      <c r="B1547" s="14" t="s">
        <v>1019</v>
      </c>
      <c r="C1547" s="14" t="s">
        <v>196</v>
      </c>
      <c r="D1547" s="14" t="s">
        <v>168</v>
      </c>
      <c r="E1547" s="14" t="s">
        <v>169</v>
      </c>
      <c r="F1547" s="14" t="s">
        <v>164</v>
      </c>
      <c r="G1547" s="14" t="n">
        <v>2</v>
      </c>
      <c r="H1547" s="14" t="s">
        <v>153</v>
      </c>
      <c r="I1547" s="14" t="s">
        <v>897</v>
      </c>
      <c r="J1547" s="15" t="n">
        <f aca="false">IF(B1547="SITE LOSS",IF(D1547=C1547,1,0),IF(B1547="REGION LOSS",IF(E1547=C1547,1,0),0))</f>
        <v>0</v>
      </c>
      <c r="K1547" s="15" t="n">
        <f aca="false">IF(B1547="SITE LOSS",IF(COUNTIFS('Site Dockets'!$B$7:$B$24,C1547,'Site Dockets'!$C$7:$C$24,F1547)&gt;0,1,0),IF(B1547="REGION LOSS",IF(COUNTIFS('Site Dockets'!$E$7:$E$24,C1547,'Site Dockets'!$C$7:$C$24,F1547)&gt;0,1,0),0))</f>
        <v>0</v>
      </c>
      <c r="L1547" s="15" t="n">
        <f aca="false">IF(J1547=1,0,Inputs!$B$11)</f>
        <v>100</v>
      </c>
      <c r="M1547" s="15" t="n">
        <f aca="false">IF(J1547=1,0,Inputs!$B$12)</f>
        <v>75</v>
      </c>
      <c r="N1547" s="15" t="n">
        <f aca="false">IF(J1547=1,0,IF(OR(AND(OR(B1547="SITE LOSS",B1547="REGION LOSS"),K1547=1),AND(B1547="ROLE COMPROMISE",H1547=C1547)),Inputs!$B$13,Inputs!$B$14))</f>
        <v>10</v>
      </c>
      <c r="O1547" s="15" t="n">
        <f aca="false">IF(J1547=1,0,Inputs!$B$13)</f>
        <v>20</v>
      </c>
      <c r="P1547" s="15" t="n">
        <f aca="false">SUM(M1547:N1547)</f>
        <v>85</v>
      </c>
      <c r="Q1547" s="15" t="n">
        <f aca="false">IF(J1547=1,"",L1547-P1547)</f>
        <v>15</v>
      </c>
      <c r="R1547" s="15" t="n">
        <f aca="false">IF(OR(J1547=1,M1547&lt;=Inputs!$B$12),1,0)</f>
        <v>1</v>
      </c>
      <c r="S1547" s="15" t="n">
        <f aca="false">IF(OR(J1547=1,N1547&lt;=O1547),1,0)</f>
        <v>1</v>
      </c>
      <c r="T1547" s="15" t="str">
        <f aca="false">IF(J1547=1,"OFFLINE",IF(AND(Q1547&gt;=Inputs!$B$15,R1547=1,S1547=1,P1547&lt;=L1547),"PASS","FAIL"))</f>
        <v>PASS</v>
      </c>
    </row>
    <row r="1548" customFormat="false" ht="15" hidden="false" customHeight="false" outlineLevel="0" collapsed="false">
      <c r="A1548" s="14" t="s">
        <v>1033</v>
      </c>
      <c r="B1548" s="14" t="s">
        <v>1019</v>
      </c>
      <c r="C1548" s="14" t="s">
        <v>196</v>
      </c>
      <c r="D1548" s="14" t="s">
        <v>168</v>
      </c>
      <c r="E1548" s="14" t="s">
        <v>169</v>
      </c>
      <c r="F1548" s="14" t="s">
        <v>164</v>
      </c>
      <c r="G1548" s="14" t="n">
        <v>2</v>
      </c>
      <c r="H1548" s="14" t="s">
        <v>153</v>
      </c>
      <c r="I1548" s="14" t="s">
        <v>899</v>
      </c>
      <c r="J1548" s="15" t="n">
        <f aca="false">IF(B1548="SITE LOSS",IF(D1548=C1548,1,0),IF(B1548="REGION LOSS",IF(E1548=C1548,1,0),0))</f>
        <v>0</v>
      </c>
      <c r="K1548" s="15" t="n">
        <f aca="false">IF(B1548="SITE LOSS",IF(COUNTIFS('Site Dockets'!$B$7:$B$24,C1548,'Site Dockets'!$C$7:$C$24,F1548)&gt;0,1,0),IF(B1548="REGION LOSS",IF(COUNTIFS('Site Dockets'!$E$7:$E$24,C1548,'Site Dockets'!$C$7:$C$24,F1548)&gt;0,1,0),0))</f>
        <v>0</v>
      </c>
      <c r="L1548" s="15" t="n">
        <f aca="false">IF(J1548=1,0,Inputs!$B$11)</f>
        <v>100</v>
      </c>
      <c r="M1548" s="15" t="n">
        <f aca="false">IF(J1548=1,0,Inputs!$B$12)</f>
        <v>75</v>
      </c>
      <c r="N1548" s="15" t="n">
        <f aca="false">IF(J1548=1,0,IF(OR(AND(OR(B1548="SITE LOSS",B1548="REGION LOSS"),K1548=1),AND(B1548="ROLE COMPROMISE",H1548=C1548)),Inputs!$B$13,Inputs!$B$14))</f>
        <v>10</v>
      </c>
      <c r="O1548" s="15" t="n">
        <f aca="false">IF(J1548=1,0,Inputs!$B$13)</f>
        <v>20</v>
      </c>
      <c r="P1548" s="15" t="n">
        <f aca="false">SUM(M1548:N1548)</f>
        <v>85</v>
      </c>
      <c r="Q1548" s="15" t="n">
        <f aca="false">IF(J1548=1,"",L1548-P1548)</f>
        <v>15</v>
      </c>
      <c r="R1548" s="15" t="n">
        <f aca="false">IF(OR(J1548=1,M1548&lt;=Inputs!$B$12),1,0)</f>
        <v>1</v>
      </c>
      <c r="S1548" s="15" t="n">
        <f aca="false">IF(OR(J1548=1,N1548&lt;=O1548),1,0)</f>
        <v>1</v>
      </c>
      <c r="T1548" s="15" t="str">
        <f aca="false">IF(J1548=1,"OFFLINE",IF(AND(Q1548&gt;=Inputs!$B$15,R1548=1,S1548=1,P1548&lt;=L1548),"PASS","FAIL"))</f>
        <v>PASS</v>
      </c>
    </row>
    <row r="1549" customFormat="false" ht="15" hidden="false" customHeight="false" outlineLevel="0" collapsed="false">
      <c r="A1549" s="14" t="s">
        <v>1033</v>
      </c>
      <c r="B1549" s="14" t="s">
        <v>1019</v>
      </c>
      <c r="C1549" s="14" t="s">
        <v>196</v>
      </c>
      <c r="D1549" s="14" t="s">
        <v>171</v>
      </c>
      <c r="E1549" s="14" t="s">
        <v>172</v>
      </c>
      <c r="F1549" s="14" t="s">
        <v>164</v>
      </c>
      <c r="G1549" s="14" t="n">
        <v>3</v>
      </c>
      <c r="H1549" s="14" t="s">
        <v>158</v>
      </c>
      <c r="I1549" s="14" t="s">
        <v>890</v>
      </c>
      <c r="J1549" s="15" t="n">
        <f aca="false">IF(B1549="SITE LOSS",IF(D1549=C1549,1,0),IF(B1549="REGION LOSS",IF(E1549=C1549,1,0),0))</f>
        <v>0</v>
      </c>
      <c r="K1549" s="15" t="n">
        <f aca="false">IF(B1549="SITE LOSS",IF(COUNTIFS('Site Dockets'!$B$7:$B$24,C1549,'Site Dockets'!$C$7:$C$24,F1549)&gt;0,1,0),IF(B1549="REGION LOSS",IF(COUNTIFS('Site Dockets'!$E$7:$E$24,C1549,'Site Dockets'!$C$7:$C$24,F1549)&gt;0,1,0),0))</f>
        <v>0</v>
      </c>
      <c r="L1549" s="15" t="n">
        <f aca="false">IF(J1549=1,0,Inputs!$B$11)</f>
        <v>100</v>
      </c>
      <c r="M1549" s="15" t="n">
        <f aca="false">IF(J1549=1,0,Inputs!$B$12)</f>
        <v>75</v>
      </c>
      <c r="N1549" s="15" t="n">
        <f aca="false">IF(J1549=1,0,IF(OR(AND(OR(B1549="SITE LOSS",B1549="REGION LOSS"),K1549=1),AND(B1549="ROLE COMPROMISE",H1549=C1549)),Inputs!$B$13,Inputs!$B$14))</f>
        <v>10</v>
      </c>
      <c r="O1549" s="15" t="n">
        <f aca="false">IF(J1549=1,0,Inputs!$B$13)</f>
        <v>20</v>
      </c>
      <c r="P1549" s="15" t="n">
        <f aca="false">SUM(M1549:N1549)</f>
        <v>85</v>
      </c>
      <c r="Q1549" s="15" t="n">
        <f aca="false">IF(J1549=1,"",L1549-P1549)</f>
        <v>15</v>
      </c>
      <c r="R1549" s="15" t="n">
        <f aca="false">IF(OR(J1549=1,M1549&lt;=Inputs!$B$12),1,0)</f>
        <v>1</v>
      </c>
      <c r="S1549" s="15" t="n">
        <f aca="false">IF(OR(J1549=1,N1549&lt;=O1549),1,0)</f>
        <v>1</v>
      </c>
      <c r="T1549" s="15" t="str">
        <f aca="false">IF(J1549=1,"OFFLINE",IF(AND(Q1549&gt;=Inputs!$B$15,R1549=1,S1549=1,P1549&lt;=L1549),"PASS","FAIL"))</f>
        <v>PASS</v>
      </c>
    </row>
    <row r="1550" customFormat="false" ht="15" hidden="false" customHeight="false" outlineLevel="0" collapsed="false">
      <c r="A1550" s="14" t="s">
        <v>1033</v>
      </c>
      <c r="B1550" s="14" t="s">
        <v>1019</v>
      </c>
      <c r="C1550" s="14" t="s">
        <v>196</v>
      </c>
      <c r="D1550" s="14" t="s">
        <v>171</v>
      </c>
      <c r="E1550" s="14" t="s">
        <v>172</v>
      </c>
      <c r="F1550" s="14" t="s">
        <v>164</v>
      </c>
      <c r="G1550" s="14" t="n">
        <v>3</v>
      </c>
      <c r="H1550" s="14" t="s">
        <v>158</v>
      </c>
      <c r="I1550" s="14" t="s">
        <v>892</v>
      </c>
      <c r="J1550" s="15" t="n">
        <f aca="false">IF(B1550="SITE LOSS",IF(D1550=C1550,1,0),IF(B1550="REGION LOSS",IF(E1550=C1550,1,0),0))</f>
        <v>0</v>
      </c>
      <c r="K1550" s="15" t="n">
        <f aca="false">IF(B1550="SITE LOSS",IF(COUNTIFS('Site Dockets'!$B$7:$B$24,C1550,'Site Dockets'!$C$7:$C$24,F1550)&gt;0,1,0),IF(B1550="REGION LOSS",IF(COUNTIFS('Site Dockets'!$E$7:$E$24,C1550,'Site Dockets'!$C$7:$C$24,F1550)&gt;0,1,0),0))</f>
        <v>0</v>
      </c>
      <c r="L1550" s="15" t="n">
        <f aca="false">IF(J1550=1,0,Inputs!$B$11)</f>
        <v>100</v>
      </c>
      <c r="M1550" s="15" t="n">
        <f aca="false">IF(J1550=1,0,Inputs!$B$12)</f>
        <v>75</v>
      </c>
      <c r="N1550" s="15" t="n">
        <f aca="false">IF(J1550=1,0,IF(OR(AND(OR(B1550="SITE LOSS",B1550="REGION LOSS"),K1550=1),AND(B1550="ROLE COMPROMISE",H1550=C1550)),Inputs!$B$13,Inputs!$B$14))</f>
        <v>10</v>
      </c>
      <c r="O1550" s="15" t="n">
        <f aca="false">IF(J1550=1,0,Inputs!$B$13)</f>
        <v>20</v>
      </c>
      <c r="P1550" s="15" t="n">
        <f aca="false">SUM(M1550:N1550)</f>
        <v>85</v>
      </c>
      <c r="Q1550" s="15" t="n">
        <f aca="false">IF(J1550=1,"",L1550-P1550)</f>
        <v>15</v>
      </c>
      <c r="R1550" s="15" t="n">
        <f aca="false">IF(OR(J1550=1,M1550&lt;=Inputs!$B$12),1,0)</f>
        <v>1</v>
      </c>
      <c r="S1550" s="15" t="n">
        <f aca="false">IF(OR(J1550=1,N1550&lt;=O1550),1,0)</f>
        <v>1</v>
      </c>
      <c r="T1550" s="15" t="str">
        <f aca="false">IF(J1550=1,"OFFLINE",IF(AND(Q1550&gt;=Inputs!$B$15,R1550=1,S1550=1,P1550&lt;=L1550),"PASS","FAIL"))</f>
        <v>PASS</v>
      </c>
    </row>
    <row r="1551" customFormat="false" ht="15" hidden="false" customHeight="false" outlineLevel="0" collapsed="false">
      <c r="A1551" s="14" t="s">
        <v>1033</v>
      </c>
      <c r="B1551" s="14" t="s">
        <v>1019</v>
      </c>
      <c r="C1551" s="14" t="s">
        <v>196</v>
      </c>
      <c r="D1551" s="14" t="s">
        <v>171</v>
      </c>
      <c r="E1551" s="14" t="s">
        <v>172</v>
      </c>
      <c r="F1551" s="14" t="s">
        <v>164</v>
      </c>
      <c r="G1551" s="14" t="n">
        <v>3</v>
      </c>
      <c r="H1551" s="14" t="s">
        <v>158</v>
      </c>
      <c r="I1551" s="14" t="s">
        <v>811</v>
      </c>
      <c r="J1551" s="15" t="n">
        <f aca="false">IF(B1551="SITE LOSS",IF(D1551=C1551,1,0),IF(B1551="REGION LOSS",IF(E1551=C1551,1,0),0))</f>
        <v>0</v>
      </c>
      <c r="K1551" s="15" t="n">
        <f aca="false">IF(B1551="SITE LOSS",IF(COUNTIFS('Site Dockets'!$B$7:$B$24,C1551,'Site Dockets'!$C$7:$C$24,F1551)&gt;0,1,0),IF(B1551="REGION LOSS",IF(COUNTIFS('Site Dockets'!$E$7:$E$24,C1551,'Site Dockets'!$C$7:$C$24,F1551)&gt;0,1,0),0))</f>
        <v>0</v>
      </c>
      <c r="L1551" s="15" t="n">
        <f aca="false">IF(J1551=1,0,Inputs!$B$11)</f>
        <v>100</v>
      </c>
      <c r="M1551" s="15" t="n">
        <f aca="false">IF(J1551=1,0,Inputs!$B$12)</f>
        <v>75</v>
      </c>
      <c r="N1551" s="15" t="n">
        <f aca="false">IF(J1551=1,0,IF(OR(AND(OR(B1551="SITE LOSS",B1551="REGION LOSS"),K1551=1),AND(B1551="ROLE COMPROMISE",H1551=C1551)),Inputs!$B$13,Inputs!$B$14))</f>
        <v>10</v>
      </c>
      <c r="O1551" s="15" t="n">
        <f aca="false">IF(J1551=1,0,Inputs!$B$13)</f>
        <v>20</v>
      </c>
      <c r="P1551" s="15" t="n">
        <f aca="false">SUM(M1551:N1551)</f>
        <v>85</v>
      </c>
      <c r="Q1551" s="15" t="n">
        <f aca="false">IF(J1551=1,"",L1551-P1551)</f>
        <v>15</v>
      </c>
      <c r="R1551" s="15" t="n">
        <f aca="false">IF(OR(J1551=1,M1551&lt;=Inputs!$B$12),1,0)</f>
        <v>1</v>
      </c>
      <c r="S1551" s="15" t="n">
        <f aca="false">IF(OR(J1551=1,N1551&lt;=O1551),1,0)</f>
        <v>1</v>
      </c>
      <c r="T1551" s="15" t="str">
        <f aca="false">IF(J1551=1,"OFFLINE",IF(AND(Q1551&gt;=Inputs!$B$15,R1551=1,S1551=1,P1551&lt;=L1551),"PASS","FAIL"))</f>
        <v>PASS</v>
      </c>
    </row>
    <row r="1552" customFormat="false" ht="15" hidden="false" customHeight="false" outlineLevel="0" collapsed="false">
      <c r="A1552" s="14" t="s">
        <v>1033</v>
      </c>
      <c r="B1552" s="14" t="s">
        <v>1019</v>
      </c>
      <c r="C1552" s="14" t="s">
        <v>196</v>
      </c>
      <c r="D1552" s="14" t="s">
        <v>171</v>
      </c>
      <c r="E1552" s="14" t="s">
        <v>172</v>
      </c>
      <c r="F1552" s="14" t="s">
        <v>164</v>
      </c>
      <c r="G1552" s="14" t="n">
        <v>3</v>
      </c>
      <c r="H1552" s="14" t="s">
        <v>158</v>
      </c>
      <c r="I1552" s="14" t="s">
        <v>895</v>
      </c>
      <c r="J1552" s="15" t="n">
        <f aca="false">IF(B1552="SITE LOSS",IF(D1552=C1552,1,0),IF(B1552="REGION LOSS",IF(E1552=C1552,1,0),0))</f>
        <v>0</v>
      </c>
      <c r="K1552" s="15" t="n">
        <f aca="false">IF(B1552="SITE LOSS",IF(COUNTIFS('Site Dockets'!$B$7:$B$24,C1552,'Site Dockets'!$C$7:$C$24,F1552)&gt;0,1,0),IF(B1552="REGION LOSS",IF(COUNTIFS('Site Dockets'!$E$7:$E$24,C1552,'Site Dockets'!$C$7:$C$24,F1552)&gt;0,1,0),0))</f>
        <v>0</v>
      </c>
      <c r="L1552" s="15" t="n">
        <f aca="false">IF(J1552=1,0,Inputs!$B$11)</f>
        <v>100</v>
      </c>
      <c r="M1552" s="15" t="n">
        <f aca="false">IF(J1552=1,0,Inputs!$B$12)</f>
        <v>75</v>
      </c>
      <c r="N1552" s="15" t="n">
        <f aca="false">IF(J1552=1,0,IF(OR(AND(OR(B1552="SITE LOSS",B1552="REGION LOSS"),K1552=1),AND(B1552="ROLE COMPROMISE",H1552=C1552)),Inputs!$B$13,Inputs!$B$14))</f>
        <v>10</v>
      </c>
      <c r="O1552" s="15" t="n">
        <f aca="false">IF(J1552=1,0,Inputs!$B$13)</f>
        <v>20</v>
      </c>
      <c r="P1552" s="15" t="n">
        <f aca="false">SUM(M1552:N1552)</f>
        <v>85</v>
      </c>
      <c r="Q1552" s="15" t="n">
        <f aca="false">IF(J1552=1,"",L1552-P1552)</f>
        <v>15</v>
      </c>
      <c r="R1552" s="15" t="n">
        <f aca="false">IF(OR(J1552=1,M1552&lt;=Inputs!$B$12),1,0)</f>
        <v>1</v>
      </c>
      <c r="S1552" s="15" t="n">
        <f aca="false">IF(OR(J1552=1,N1552&lt;=O1552),1,0)</f>
        <v>1</v>
      </c>
      <c r="T1552" s="15" t="str">
        <f aca="false">IF(J1552=1,"OFFLINE",IF(AND(Q1552&gt;=Inputs!$B$15,R1552=1,S1552=1,P1552&lt;=L1552),"PASS","FAIL"))</f>
        <v>PASS</v>
      </c>
    </row>
    <row r="1553" customFormat="false" ht="15" hidden="false" customHeight="false" outlineLevel="0" collapsed="false">
      <c r="A1553" s="14" t="s">
        <v>1033</v>
      </c>
      <c r="B1553" s="14" t="s">
        <v>1019</v>
      </c>
      <c r="C1553" s="14" t="s">
        <v>196</v>
      </c>
      <c r="D1553" s="14" t="s">
        <v>171</v>
      </c>
      <c r="E1553" s="14" t="s">
        <v>172</v>
      </c>
      <c r="F1553" s="14" t="s">
        <v>164</v>
      </c>
      <c r="G1553" s="14" t="n">
        <v>3</v>
      </c>
      <c r="H1553" s="14" t="s">
        <v>158</v>
      </c>
      <c r="I1553" s="14" t="s">
        <v>897</v>
      </c>
      <c r="J1553" s="15" t="n">
        <f aca="false">IF(B1553="SITE LOSS",IF(D1553=C1553,1,0),IF(B1553="REGION LOSS",IF(E1553=C1553,1,0),0))</f>
        <v>0</v>
      </c>
      <c r="K1553" s="15" t="n">
        <f aca="false">IF(B1553="SITE LOSS",IF(COUNTIFS('Site Dockets'!$B$7:$B$24,C1553,'Site Dockets'!$C$7:$C$24,F1553)&gt;0,1,0),IF(B1553="REGION LOSS",IF(COUNTIFS('Site Dockets'!$E$7:$E$24,C1553,'Site Dockets'!$C$7:$C$24,F1553)&gt;0,1,0),0))</f>
        <v>0</v>
      </c>
      <c r="L1553" s="15" t="n">
        <f aca="false">IF(J1553=1,0,Inputs!$B$11)</f>
        <v>100</v>
      </c>
      <c r="M1553" s="15" t="n">
        <f aca="false">IF(J1553=1,0,Inputs!$B$12)</f>
        <v>75</v>
      </c>
      <c r="N1553" s="15" t="n">
        <f aca="false">IF(J1553=1,0,IF(OR(AND(OR(B1553="SITE LOSS",B1553="REGION LOSS"),K1553=1),AND(B1553="ROLE COMPROMISE",H1553=C1553)),Inputs!$B$13,Inputs!$B$14))</f>
        <v>10</v>
      </c>
      <c r="O1553" s="15" t="n">
        <f aca="false">IF(J1553=1,0,Inputs!$B$13)</f>
        <v>20</v>
      </c>
      <c r="P1553" s="15" t="n">
        <f aca="false">SUM(M1553:N1553)</f>
        <v>85</v>
      </c>
      <c r="Q1553" s="15" t="n">
        <f aca="false">IF(J1553=1,"",L1553-P1553)</f>
        <v>15</v>
      </c>
      <c r="R1553" s="15" t="n">
        <f aca="false">IF(OR(J1553=1,M1553&lt;=Inputs!$B$12),1,0)</f>
        <v>1</v>
      </c>
      <c r="S1553" s="15" t="n">
        <f aca="false">IF(OR(J1553=1,N1553&lt;=O1553),1,0)</f>
        <v>1</v>
      </c>
      <c r="T1553" s="15" t="str">
        <f aca="false">IF(J1553=1,"OFFLINE",IF(AND(Q1553&gt;=Inputs!$B$15,R1553=1,S1553=1,P1553&lt;=L1553),"PASS","FAIL"))</f>
        <v>PASS</v>
      </c>
    </row>
    <row r="1554" customFormat="false" ht="15" hidden="false" customHeight="false" outlineLevel="0" collapsed="false">
      <c r="A1554" s="14" t="s">
        <v>1033</v>
      </c>
      <c r="B1554" s="14" t="s">
        <v>1019</v>
      </c>
      <c r="C1554" s="14" t="s">
        <v>196</v>
      </c>
      <c r="D1554" s="14" t="s">
        <v>171</v>
      </c>
      <c r="E1554" s="14" t="s">
        <v>172</v>
      </c>
      <c r="F1554" s="14" t="s">
        <v>164</v>
      </c>
      <c r="G1554" s="14" t="n">
        <v>3</v>
      </c>
      <c r="H1554" s="14" t="s">
        <v>158</v>
      </c>
      <c r="I1554" s="14" t="s">
        <v>899</v>
      </c>
      <c r="J1554" s="15" t="n">
        <f aca="false">IF(B1554="SITE LOSS",IF(D1554=C1554,1,0),IF(B1554="REGION LOSS",IF(E1554=C1554,1,0),0))</f>
        <v>0</v>
      </c>
      <c r="K1554" s="15" t="n">
        <f aca="false">IF(B1554="SITE LOSS",IF(COUNTIFS('Site Dockets'!$B$7:$B$24,C1554,'Site Dockets'!$C$7:$C$24,F1554)&gt;0,1,0),IF(B1554="REGION LOSS",IF(COUNTIFS('Site Dockets'!$E$7:$E$24,C1554,'Site Dockets'!$C$7:$C$24,F1554)&gt;0,1,0),0))</f>
        <v>0</v>
      </c>
      <c r="L1554" s="15" t="n">
        <f aca="false">IF(J1554=1,0,Inputs!$B$11)</f>
        <v>100</v>
      </c>
      <c r="M1554" s="15" t="n">
        <f aca="false">IF(J1554=1,0,Inputs!$B$12)</f>
        <v>75</v>
      </c>
      <c r="N1554" s="15" t="n">
        <f aca="false">IF(J1554=1,0,IF(OR(AND(OR(B1554="SITE LOSS",B1554="REGION LOSS"),K1554=1),AND(B1554="ROLE COMPROMISE",H1554=C1554)),Inputs!$B$13,Inputs!$B$14))</f>
        <v>10</v>
      </c>
      <c r="O1554" s="15" t="n">
        <f aca="false">IF(J1554=1,0,Inputs!$B$13)</f>
        <v>20</v>
      </c>
      <c r="P1554" s="15" t="n">
        <f aca="false">SUM(M1554:N1554)</f>
        <v>85</v>
      </c>
      <c r="Q1554" s="15" t="n">
        <f aca="false">IF(J1554=1,"",L1554-P1554)</f>
        <v>15</v>
      </c>
      <c r="R1554" s="15" t="n">
        <f aca="false">IF(OR(J1554=1,M1554&lt;=Inputs!$B$12),1,0)</f>
        <v>1</v>
      </c>
      <c r="S1554" s="15" t="n">
        <f aca="false">IF(OR(J1554=1,N1554&lt;=O1554),1,0)</f>
        <v>1</v>
      </c>
      <c r="T1554" s="15" t="str">
        <f aca="false">IF(J1554=1,"OFFLINE",IF(AND(Q1554&gt;=Inputs!$B$15,R1554=1,S1554=1,P1554&lt;=L1554),"PASS","FAIL"))</f>
        <v>PASS</v>
      </c>
    </row>
    <row r="1555" customFormat="false" ht="15" hidden="false" customHeight="false" outlineLevel="0" collapsed="false">
      <c r="A1555" s="14" t="s">
        <v>1033</v>
      </c>
      <c r="B1555" s="14" t="s">
        <v>1019</v>
      </c>
      <c r="C1555" s="14" t="s">
        <v>196</v>
      </c>
      <c r="D1555" s="14" t="s">
        <v>174</v>
      </c>
      <c r="E1555" s="14" t="s">
        <v>152</v>
      </c>
      <c r="F1555" s="14" t="s">
        <v>175</v>
      </c>
      <c r="G1555" s="14" t="n">
        <v>1</v>
      </c>
      <c r="H1555" s="14" t="s">
        <v>154</v>
      </c>
      <c r="I1555" s="14" t="s">
        <v>890</v>
      </c>
      <c r="J1555" s="15" t="n">
        <f aca="false">IF(B1555="SITE LOSS",IF(D1555=C1555,1,0),IF(B1555="REGION LOSS",IF(E1555=C1555,1,0),0))</f>
        <v>0</v>
      </c>
      <c r="K1555" s="15" t="n">
        <f aca="false">IF(B1555="SITE LOSS",IF(COUNTIFS('Site Dockets'!$B$7:$B$24,C1555,'Site Dockets'!$C$7:$C$24,F1555)&gt;0,1,0),IF(B1555="REGION LOSS",IF(COUNTIFS('Site Dockets'!$E$7:$E$24,C1555,'Site Dockets'!$C$7:$C$24,F1555)&gt;0,1,0),0))</f>
        <v>0</v>
      </c>
      <c r="L1555" s="15" t="n">
        <f aca="false">IF(J1555=1,0,Inputs!$B$11)</f>
        <v>100</v>
      </c>
      <c r="M1555" s="15" t="n">
        <f aca="false">IF(J1555=1,0,Inputs!$B$12)</f>
        <v>75</v>
      </c>
      <c r="N1555" s="15" t="n">
        <f aca="false">IF(J1555=1,0,IF(OR(AND(OR(B1555="SITE LOSS",B1555="REGION LOSS"),K1555=1),AND(B1555="ROLE COMPROMISE",H1555=C1555)),Inputs!$B$13,Inputs!$B$14))</f>
        <v>10</v>
      </c>
      <c r="O1555" s="15" t="n">
        <f aca="false">IF(J1555=1,0,Inputs!$B$13)</f>
        <v>20</v>
      </c>
      <c r="P1555" s="15" t="n">
        <f aca="false">SUM(M1555:N1555)</f>
        <v>85</v>
      </c>
      <c r="Q1555" s="15" t="n">
        <f aca="false">IF(J1555=1,"",L1555-P1555)</f>
        <v>15</v>
      </c>
      <c r="R1555" s="15" t="n">
        <f aca="false">IF(OR(J1555=1,M1555&lt;=Inputs!$B$12),1,0)</f>
        <v>1</v>
      </c>
      <c r="S1555" s="15" t="n">
        <f aca="false">IF(OR(J1555=1,N1555&lt;=O1555),1,0)</f>
        <v>1</v>
      </c>
      <c r="T1555" s="15" t="str">
        <f aca="false">IF(J1555=1,"OFFLINE",IF(AND(Q1555&gt;=Inputs!$B$15,R1555=1,S1555=1,P1555&lt;=L1555),"PASS","FAIL"))</f>
        <v>PASS</v>
      </c>
    </row>
    <row r="1556" customFormat="false" ht="15" hidden="false" customHeight="false" outlineLevel="0" collapsed="false">
      <c r="A1556" s="14" t="s">
        <v>1033</v>
      </c>
      <c r="B1556" s="14" t="s">
        <v>1019</v>
      </c>
      <c r="C1556" s="14" t="s">
        <v>196</v>
      </c>
      <c r="D1556" s="14" t="s">
        <v>174</v>
      </c>
      <c r="E1556" s="14" t="s">
        <v>152</v>
      </c>
      <c r="F1556" s="14" t="s">
        <v>175</v>
      </c>
      <c r="G1556" s="14" t="n">
        <v>1</v>
      </c>
      <c r="H1556" s="14" t="s">
        <v>154</v>
      </c>
      <c r="I1556" s="14" t="s">
        <v>892</v>
      </c>
      <c r="J1556" s="15" t="n">
        <f aca="false">IF(B1556="SITE LOSS",IF(D1556=C1556,1,0),IF(B1556="REGION LOSS",IF(E1556=C1556,1,0),0))</f>
        <v>0</v>
      </c>
      <c r="K1556" s="15" t="n">
        <f aca="false">IF(B1556="SITE LOSS",IF(COUNTIFS('Site Dockets'!$B$7:$B$24,C1556,'Site Dockets'!$C$7:$C$24,F1556)&gt;0,1,0),IF(B1556="REGION LOSS",IF(COUNTIFS('Site Dockets'!$E$7:$E$24,C1556,'Site Dockets'!$C$7:$C$24,F1556)&gt;0,1,0),0))</f>
        <v>0</v>
      </c>
      <c r="L1556" s="15" t="n">
        <f aca="false">IF(J1556=1,0,Inputs!$B$11)</f>
        <v>100</v>
      </c>
      <c r="M1556" s="15" t="n">
        <f aca="false">IF(J1556=1,0,Inputs!$B$12)</f>
        <v>75</v>
      </c>
      <c r="N1556" s="15" t="n">
        <f aca="false">IF(J1556=1,0,IF(OR(AND(OR(B1556="SITE LOSS",B1556="REGION LOSS"),K1556=1),AND(B1556="ROLE COMPROMISE",H1556=C1556)),Inputs!$B$13,Inputs!$B$14))</f>
        <v>10</v>
      </c>
      <c r="O1556" s="15" t="n">
        <f aca="false">IF(J1556=1,0,Inputs!$B$13)</f>
        <v>20</v>
      </c>
      <c r="P1556" s="15" t="n">
        <f aca="false">SUM(M1556:N1556)</f>
        <v>85</v>
      </c>
      <c r="Q1556" s="15" t="n">
        <f aca="false">IF(J1556=1,"",L1556-P1556)</f>
        <v>15</v>
      </c>
      <c r="R1556" s="15" t="n">
        <f aca="false">IF(OR(J1556=1,M1556&lt;=Inputs!$B$12),1,0)</f>
        <v>1</v>
      </c>
      <c r="S1556" s="15" t="n">
        <f aca="false">IF(OR(J1556=1,N1556&lt;=O1556),1,0)</f>
        <v>1</v>
      </c>
      <c r="T1556" s="15" t="str">
        <f aca="false">IF(J1556=1,"OFFLINE",IF(AND(Q1556&gt;=Inputs!$B$15,R1556=1,S1556=1,P1556&lt;=L1556),"PASS","FAIL"))</f>
        <v>PASS</v>
      </c>
    </row>
    <row r="1557" customFormat="false" ht="15" hidden="false" customHeight="false" outlineLevel="0" collapsed="false">
      <c r="A1557" s="14" t="s">
        <v>1033</v>
      </c>
      <c r="B1557" s="14" t="s">
        <v>1019</v>
      </c>
      <c r="C1557" s="14" t="s">
        <v>196</v>
      </c>
      <c r="D1557" s="14" t="s">
        <v>174</v>
      </c>
      <c r="E1557" s="14" t="s">
        <v>152</v>
      </c>
      <c r="F1557" s="14" t="s">
        <v>175</v>
      </c>
      <c r="G1557" s="14" t="n">
        <v>1</v>
      </c>
      <c r="H1557" s="14" t="s">
        <v>154</v>
      </c>
      <c r="I1557" s="14" t="s">
        <v>811</v>
      </c>
      <c r="J1557" s="15" t="n">
        <f aca="false">IF(B1557="SITE LOSS",IF(D1557=C1557,1,0),IF(B1557="REGION LOSS",IF(E1557=C1557,1,0),0))</f>
        <v>0</v>
      </c>
      <c r="K1557" s="15" t="n">
        <f aca="false">IF(B1557="SITE LOSS",IF(COUNTIFS('Site Dockets'!$B$7:$B$24,C1557,'Site Dockets'!$C$7:$C$24,F1557)&gt;0,1,0),IF(B1557="REGION LOSS",IF(COUNTIFS('Site Dockets'!$E$7:$E$24,C1557,'Site Dockets'!$C$7:$C$24,F1557)&gt;0,1,0),0))</f>
        <v>0</v>
      </c>
      <c r="L1557" s="15" t="n">
        <f aca="false">IF(J1557=1,0,Inputs!$B$11)</f>
        <v>100</v>
      </c>
      <c r="M1557" s="15" t="n">
        <f aca="false">IF(J1557=1,0,Inputs!$B$12)</f>
        <v>75</v>
      </c>
      <c r="N1557" s="15" t="n">
        <f aca="false">IF(J1557=1,0,IF(OR(AND(OR(B1557="SITE LOSS",B1557="REGION LOSS"),K1557=1),AND(B1557="ROLE COMPROMISE",H1557=C1557)),Inputs!$B$13,Inputs!$B$14))</f>
        <v>10</v>
      </c>
      <c r="O1557" s="15" t="n">
        <f aca="false">IF(J1557=1,0,Inputs!$B$13)</f>
        <v>20</v>
      </c>
      <c r="P1557" s="15" t="n">
        <f aca="false">SUM(M1557:N1557)</f>
        <v>85</v>
      </c>
      <c r="Q1557" s="15" t="n">
        <f aca="false">IF(J1557=1,"",L1557-P1557)</f>
        <v>15</v>
      </c>
      <c r="R1557" s="15" t="n">
        <f aca="false">IF(OR(J1557=1,M1557&lt;=Inputs!$B$12),1,0)</f>
        <v>1</v>
      </c>
      <c r="S1557" s="15" t="n">
        <f aca="false">IF(OR(J1557=1,N1557&lt;=O1557),1,0)</f>
        <v>1</v>
      </c>
      <c r="T1557" s="15" t="str">
        <f aca="false">IF(J1557=1,"OFFLINE",IF(AND(Q1557&gt;=Inputs!$B$15,R1557=1,S1557=1,P1557&lt;=L1557),"PASS","FAIL"))</f>
        <v>PASS</v>
      </c>
    </row>
    <row r="1558" customFormat="false" ht="15" hidden="false" customHeight="false" outlineLevel="0" collapsed="false">
      <c r="A1558" s="14" t="s">
        <v>1033</v>
      </c>
      <c r="B1558" s="14" t="s">
        <v>1019</v>
      </c>
      <c r="C1558" s="14" t="s">
        <v>196</v>
      </c>
      <c r="D1558" s="14" t="s">
        <v>174</v>
      </c>
      <c r="E1558" s="14" t="s">
        <v>152</v>
      </c>
      <c r="F1558" s="14" t="s">
        <v>175</v>
      </c>
      <c r="G1558" s="14" t="n">
        <v>1</v>
      </c>
      <c r="H1558" s="14" t="s">
        <v>154</v>
      </c>
      <c r="I1558" s="14" t="s">
        <v>895</v>
      </c>
      <c r="J1558" s="15" t="n">
        <f aca="false">IF(B1558="SITE LOSS",IF(D1558=C1558,1,0),IF(B1558="REGION LOSS",IF(E1558=C1558,1,0),0))</f>
        <v>0</v>
      </c>
      <c r="K1558" s="15" t="n">
        <f aca="false">IF(B1558="SITE LOSS",IF(COUNTIFS('Site Dockets'!$B$7:$B$24,C1558,'Site Dockets'!$C$7:$C$24,F1558)&gt;0,1,0),IF(B1558="REGION LOSS",IF(COUNTIFS('Site Dockets'!$E$7:$E$24,C1558,'Site Dockets'!$C$7:$C$24,F1558)&gt;0,1,0),0))</f>
        <v>0</v>
      </c>
      <c r="L1558" s="15" t="n">
        <f aca="false">IF(J1558=1,0,Inputs!$B$11)</f>
        <v>100</v>
      </c>
      <c r="M1558" s="15" t="n">
        <f aca="false">IF(J1558=1,0,Inputs!$B$12)</f>
        <v>75</v>
      </c>
      <c r="N1558" s="15" t="n">
        <f aca="false">IF(J1558=1,0,IF(OR(AND(OR(B1558="SITE LOSS",B1558="REGION LOSS"),K1558=1),AND(B1558="ROLE COMPROMISE",H1558=C1558)),Inputs!$B$13,Inputs!$B$14))</f>
        <v>10</v>
      </c>
      <c r="O1558" s="15" t="n">
        <f aca="false">IF(J1558=1,0,Inputs!$B$13)</f>
        <v>20</v>
      </c>
      <c r="P1558" s="15" t="n">
        <f aca="false">SUM(M1558:N1558)</f>
        <v>85</v>
      </c>
      <c r="Q1558" s="15" t="n">
        <f aca="false">IF(J1558=1,"",L1558-P1558)</f>
        <v>15</v>
      </c>
      <c r="R1558" s="15" t="n">
        <f aca="false">IF(OR(J1558=1,M1558&lt;=Inputs!$B$12),1,0)</f>
        <v>1</v>
      </c>
      <c r="S1558" s="15" t="n">
        <f aca="false">IF(OR(J1558=1,N1558&lt;=O1558),1,0)</f>
        <v>1</v>
      </c>
      <c r="T1558" s="15" t="str">
        <f aca="false">IF(J1558=1,"OFFLINE",IF(AND(Q1558&gt;=Inputs!$B$15,R1558=1,S1558=1,P1558&lt;=L1558),"PASS","FAIL"))</f>
        <v>PASS</v>
      </c>
    </row>
    <row r="1559" customFormat="false" ht="15" hidden="false" customHeight="false" outlineLevel="0" collapsed="false">
      <c r="A1559" s="14" t="s">
        <v>1033</v>
      </c>
      <c r="B1559" s="14" t="s">
        <v>1019</v>
      </c>
      <c r="C1559" s="14" t="s">
        <v>196</v>
      </c>
      <c r="D1559" s="14" t="s">
        <v>174</v>
      </c>
      <c r="E1559" s="14" t="s">
        <v>152</v>
      </c>
      <c r="F1559" s="14" t="s">
        <v>175</v>
      </c>
      <c r="G1559" s="14" t="n">
        <v>1</v>
      </c>
      <c r="H1559" s="14" t="s">
        <v>154</v>
      </c>
      <c r="I1559" s="14" t="s">
        <v>897</v>
      </c>
      <c r="J1559" s="15" t="n">
        <f aca="false">IF(B1559="SITE LOSS",IF(D1559=C1559,1,0),IF(B1559="REGION LOSS",IF(E1559=C1559,1,0),0))</f>
        <v>0</v>
      </c>
      <c r="K1559" s="15" t="n">
        <f aca="false">IF(B1559="SITE LOSS",IF(COUNTIFS('Site Dockets'!$B$7:$B$24,C1559,'Site Dockets'!$C$7:$C$24,F1559)&gt;0,1,0),IF(B1559="REGION LOSS",IF(COUNTIFS('Site Dockets'!$E$7:$E$24,C1559,'Site Dockets'!$C$7:$C$24,F1559)&gt;0,1,0),0))</f>
        <v>0</v>
      </c>
      <c r="L1559" s="15" t="n">
        <f aca="false">IF(J1559=1,0,Inputs!$B$11)</f>
        <v>100</v>
      </c>
      <c r="M1559" s="15" t="n">
        <f aca="false">IF(J1559=1,0,Inputs!$B$12)</f>
        <v>75</v>
      </c>
      <c r="N1559" s="15" t="n">
        <f aca="false">IF(J1559=1,0,IF(OR(AND(OR(B1559="SITE LOSS",B1559="REGION LOSS"),K1559=1),AND(B1559="ROLE COMPROMISE",H1559=C1559)),Inputs!$B$13,Inputs!$B$14))</f>
        <v>10</v>
      </c>
      <c r="O1559" s="15" t="n">
        <f aca="false">IF(J1559=1,0,Inputs!$B$13)</f>
        <v>20</v>
      </c>
      <c r="P1559" s="15" t="n">
        <f aca="false">SUM(M1559:N1559)</f>
        <v>85</v>
      </c>
      <c r="Q1559" s="15" t="n">
        <f aca="false">IF(J1559=1,"",L1559-P1559)</f>
        <v>15</v>
      </c>
      <c r="R1559" s="15" t="n">
        <f aca="false">IF(OR(J1559=1,M1559&lt;=Inputs!$B$12),1,0)</f>
        <v>1</v>
      </c>
      <c r="S1559" s="15" t="n">
        <f aca="false">IF(OR(J1559=1,N1559&lt;=O1559),1,0)</f>
        <v>1</v>
      </c>
      <c r="T1559" s="15" t="str">
        <f aca="false">IF(J1559=1,"OFFLINE",IF(AND(Q1559&gt;=Inputs!$B$15,R1559=1,S1559=1,P1559&lt;=L1559),"PASS","FAIL"))</f>
        <v>PASS</v>
      </c>
    </row>
    <row r="1560" customFormat="false" ht="15" hidden="false" customHeight="false" outlineLevel="0" collapsed="false">
      <c r="A1560" s="14" t="s">
        <v>1033</v>
      </c>
      <c r="B1560" s="14" t="s">
        <v>1019</v>
      </c>
      <c r="C1560" s="14" t="s">
        <v>196</v>
      </c>
      <c r="D1560" s="14" t="s">
        <v>174</v>
      </c>
      <c r="E1560" s="14" t="s">
        <v>152</v>
      </c>
      <c r="F1560" s="14" t="s">
        <v>175</v>
      </c>
      <c r="G1560" s="14" t="n">
        <v>1</v>
      </c>
      <c r="H1560" s="14" t="s">
        <v>154</v>
      </c>
      <c r="I1560" s="14" t="s">
        <v>899</v>
      </c>
      <c r="J1560" s="15" t="n">
        <f aca="false">IF(B1560="SITE LOSS",IF(D1560=C1560,1,0),IF(B1560="REGION LOSS",IF(E1560=C1560,1,0),0))</f>
        <v>0</v>
      </c>
      <c r="K1560" s="15" t="n">
        <f aca="false">IF(B1560="SITE LOSS",IF(COUNTIFS('Site Dockets'!$B$7:$B$24,C1560,'Site Dockets'!$C$7:$C$24,F1560)&gt;0,1,0),IF(B1560="REGION LOSS",IF(COUNTIFS('Site Dockets'!$E$7:$E$24,C1560,'Site Dockets'!$C$7:$C$24,F1560)&gt;0,1,0),0))</f>
        <v>0</v>
      </c>
      <c r="L1560" s="15" t="n">
        <f aca="false">IF(J1560=1,0,Inputs!$B$11)</f>
        <v>100</v>
      </c>
      <c r="M1560" s="15" t="n">
        <f aca="false">IF(J1560=1,0,Inputs!$B$12)</f>
        <v>75</v>
      </c>
      <c r="N1560" s="15" t="n">
        <f aca="false">IF(J1560=1,0,IF(OR(AND(OR(B1560="SITE LOSS",B1560="REGION LOSS"),K1560=1),AND(B1560="ROLE COMPROMISE",H1560=C1560)),Inputs!$B$13,Inputs!$B$14))</f>
        <v>10</v>
      </c>
      <c r="O1560" s="15" t="n">
        <f aca="false">IF(J1560=1,0,Inputs!$B$13)</f>
        <v>20</v>
      </c>
      <c r="P1560" s="15" t="n">
        <f aca="false">SUM(M1560:N1560)</f>
        <v>85</v>
      </c>
      <c r="Q1560" s="15" t="n">
        <f aca="false">IF(J1560=1,"",L1560-P1560)</f>
        <v>15</v>
      </c>
      <c r="R1560" s="15" t="n">
        <f aca="false">IF(OR(J1560=1,M1560&lt;=Inputs!$B$12),1,0)</f>
        <v>1</v>
      </c>
      <c r="S1560" s="15" t="n">
        <f aca="false">IF(OR(J1560=1,N1560&lt;=O1560),1,0)</f>
        <v>1</v>
      </c>
      <c r="T1560" s="15" t="str">
        <f aca="false">IF(J1560=1,"OFFLINE",IF(AND(Q1560&gt;=Inputs!$B$15,R1560=1,S1560=1,P1560&lt;=L1560),"PASS","FAIL"))</f>
        <v>PASS</v>
      </c>
    </row>
    <row r="1561" customFormat="false" ht="15" hidden="false" customHeight="false" outlineLevel="0" collapsed="false">
      <c r="A1561" s="14" t="s">
        <v>1033</v>
      </c>
      <c r="B1561" s="14" t="s">
        <v>1019</v>
      </c>
      <c r="C1561" s="14" t="s">
        <v>196</v>
      </c>
      <c r="D1561" s="14" t="s">
        <v>178</v>
      </c>
      <c r="E1561" s="14" t="s">
        <v>169</v>
      </c>
      <c r="F1561" s="14" t="s">
        <v>175</v>
      </c>
      <c r="G1561" s="14" t="n">
        <v>2</v>
      </c>
      <c r="H1561" s="14" t="s">
        <v>153</v>
      </c>
      <c r="I1561" s="14" t="s">
        <v>890</v>
      </c>
      <c r="J1561" s="15" t="n">
        <f aca="false">IF(B1561="SITE LOSS",IF(D1561=C1561,1,0),IF(B1561="REGION LOSS",IF(E1561=C1561,1,0),0))</f>
        <v>0</v>
      </c>
      <c r="K1561" s="15" t="n">
        <f aca="false">IF(B1561="SITE LOSS",IF(COUNTIFS('Site Dockets'!$B$7:$B$24,C1561,'Site Dockets'!$C$7:$C$24,F1561)&gt;0,1,0),IF(B1561="REGION LOSS",IF(COUNTIFS('Site Dockets'!$E$7:$E$24,C1561,'Site Dockets'!$C$7:$C$24,F1561)&gt;0,1,0),0))</f>
        <v>0</v>
      </c>
      <c r="L1561" s="15" t="n">
        <f aca="false">IF(J1561=1,0,Inputs!$B$11)</f>
        <v>100</v>
      </c>
      <c r="M1561" s="15" t="n">
        <f aca="false">IF(J1561=1,0,Inputs!$B$12)</f>
        <v>75</v>
      </c>
      <c r="N1561" s="15" t="n">
        <f aca="false">IF(J1561=1,0,IF(OR(AND(OR(B1561="SITE LOSS",B1561="REGION LOSS"),K1561=1),AND(B1561="ROLE COMPROMISE",H1561=C1561)),Inputs!$B$13,Inputs!$B$14))</f>
        <v>10</v>
      </c>
      <c r="O1561" s="15" t="n">
        <f aca="false">IF(J1561=1,0,Inputs!$B$13)</f>
        <v>20</v>
      </c>
      <c r="P1561" s="15" t="n">
        <f aca="false">SUM(M1561:N1561)</f>
        <v>85</v>
      </c>
      <c r="Q1561" s="15" t="n">
        <f aca="false">IF(J1561=1,"",L1561-P1561)</f>
        <v>15</v>
      </c>
      <c r="R1561" s="15" t="n">
        <f aca="false">IF(OR(J1561=1,M1561&lt;=Inputs!$B$12),1,0)</f>
        <v>1</v>
      </c>
      <c r="S1561" s="15" t="n">
        <f aca="false">IF(OR(J1561=1,N1561&lt;=O1561),1,0)</f>
        <v>1</v>
      </c>
      <c r="T1561" s="15" t="str">
        <f aca="false">IF(J1561=1,"OFFLINE",IF(AND(Q1561&gt;=Inputs!$B$15,R1561=1,S1561=1,P1561&lt;=L1561),"PASS","FAIL"))</f>
        <v>PASS</v>
      </c>
    </row>
    <row r="1562" customFormat="false" ht="15" hidden="false" customHeight="false" outlineLevel="0" collapsed="false">
      <c r="A1562" s="14" t="s">
        <v>1033</v>
      </c>
      <c r="B1562" s="14" t="s">
        <v>1019</v>
      </c>
      <c r="C1562" s="14" t="s">
        <v>196</v>
      </c>
      <c r="D1562" s="14" t="s">
        <v>178</v>
      </c>
      <c r="E1562" s="14" t="s">
        <v>169</v>
      </c>
      <c r="F1562" s="14" t="s">
        <v>175</v>
      </c>
      <c r="G1562" s="14" t="n">
        <v>2</v>
      </c>
      <c r="H1562" s="14" t="s">
        <v>153</v>
      </c>
      <c r="I1562" s="14" t="s">
        <v>892</v>
      </c>
      <c r="J1562" s="15" t="n">
        <f aca="false">IF(B1562="SITE LOSS",IF(D1562=C1562,1,0),IF(B1562="REGION LOSS",IF(E1562=C1562,1,0),0))</f>
        <v>0</v>
      </c>
      <c r="K1562" s="15" t="n">
        <f aca="false">IF(B1562="SITE LOSS",IF(COUNTIFS('Site Dockets'!$B$7:$B$24,C1562,'Site Dockets'!$C$7:$C$24,F1562)&gt;0,1,0),IF(B1562="REGION LOSS",IF(COUNTIFS('Site Dockets'!$E$7:$E$24,C1562,'Site Dockets'!$C$7:$C$24,F1562)&gt;0,1,0),0))</f>
        <v>0</v>
      </c>
      <c r="L1562" s="15" t="n">
        <f aca="false">IF(J1562=1,0,Inputs!$B$11)</f>
        <v>100</v>
      </c>
      <c r="M1562" s="15" t="n">
        <f aca="false">IF(J1562=1,0,Inputs!$B$12)</f>
        <v>75</v>
      </c>
      <c r="N1562" s="15" t="n">
        <f aca="false">IF(J1562=1,0,IF(OR(AND(OR(B1562="SITE LOSS",B1562="REGION LOSS"),K1562=1),AND(B1562="ROLE COMPROMISE",H1562=C1562)),Inputs!$B$13,Inputs!$B$14))</f>
        <v>10</v>
      </c>
      <c r="O1562" s="15" t="n">
        <f aca="false">IF(J1562=1,0,Inputs!$B$13)</f>
        <v>20</v>
      </c>
      <c r="P1562" s="15" t="n">
        <f aca="false">SUM(M1562:N1562)</f>
        <v>85</v>
      </c>
      <c r="Q1562" s="15" t="n">
        <f aca="false">IF(J1562=1,"",L1562-P1562)</f>
        <v>15</v>
      </c>
      <c r="R1562" s="15" t="n">
        <f aca="false">IF(OR(J1562=1,M1562&lt;=Inputs!$B$12),1,0)</f>
        <v>1</v>
      </c>
      <c r="S1562" s="15" t="n">
        <f aca="false">IF(OR(J1562=1,N1562&lt;=O1562),1,0)</f>
        <v>1</v>
      </c>
      <c r="T1562" s="15" t="str">
        <f aca="false">IF(J1562=1,"OFFLINE",IF(AND(Q1562&gt;=Inputs!$B$15,R1562=1,S1562=1,P1562&lt;=L1562),"PASS","FAIL"))</f>
        <v>PASS</v>
      </c>
    </row>
    <row r="1563" customFormat="false" ht="15" hidden="false" customHeight="false" outlineLevel="0" collapsed="false">
      <c r="A1563" s="14" t="s">
        <v>1033</v>
      </c>
      <c r="B1563" s="14" t="s">
        <v>1019</v>
      </c>
      <c r="C1563" s="14" t="s">
        <v>196</v>
      </c>
      <c r="D1563" s="14" t="s">
        <v>178</v>
      </c>
      <c r="E1563" s="14" t="s">
        <v>169</v>
      </c>
      <c r="F1563" s="14" t="s">
        <v>175</v>
      </c>
      <c r="G1563" s="14" t="n">
        <v>2</v>
      </c>
      <c r="H1563" s="14" t="s">
        <v>153</v>
      </c>
      <c r="I1563" s="14" t="s">
        <v>811</v>
      </c>
      <c r="J1563" s="15" t="n">
        <f aca="false">IF(B1563="SITE LOSS",IF(D1563=C1563,1,0),IF(B1563="REGION LOSS",IF(E1563=C1563,1,0),0))</f>
        <v>0</v>
      </c>
      <c r="K1563" s="15" t="n">
        <f aca="false">IF(B1563="SITE LOSS",IF(COUNTIFS('Site Dockets'!$B$7:$B$24,C1563,'Site Dockets'!$C$7:$C$24,F1563)&gt;0,1,0),IF(B1563="REGION LOSS",IF(COUNTIFS('Site Dockets'!$E$7:$E$24,C1563,'Site Dockets'!$C$7:$C$24,F1563)&gt;0,1,0),0))</f>
        <v>0</v>
      </c>
      <c r="L1563" s="15" t="n">
        <f aca="false">IF(J1563=1,0,Inputs!$B$11)</f>
        <v>100</v>
      </c>
      <c r="M1563" s="15" t="n">
        <f aca="false">IF(J1563=1,0,Inputs!$B$12)</f>
        <v>75</v>
      </c>
      <c r="N1563" s="15" t="n">
        <f aca="false">IF(J1563=1,0,IF(OR(AND(OR(B1563="SITE LOSS",B1563="REGION LOSS"),K1563=1),AND(B1563="ROLE COMPROMISE",H1563=C1563)),Inputs!$B$13,Inputs!$B$14))</f>
        <v>10</v>
      </c>
      <c r="O1563" s="15" t="n">
        <f aca="false">IF(J1563=1,0,Inputs!$B$13)</f>
        <v>20</v>
      </c>
      <c r="P1563" s="15" t="n">
        <f aca="false">SUM(M1563:N1563)</f>
        <v>85</v>
      </c>
      <c r="Q1563" s="15" t="n">
        <f aca="false">IF(J1563=1,"",L1563-P1563)</f>
        <v>15</v>
      </c>
      <c r="R1563" s="15" t="n">
        <f aca="false">IF(OR(J1563=1,M1563&lt;=Inputs!$B$12),1,0)</f>
        <v>1</v>
      </c>
      <c r="S1563" s="15" t="n">
        <f aca="false">IF(OR(J1563=1,N1563&lt;=O1563),1,0)</f>
        <v>1</v>
      </c>
      <c r="T1563" s="15" t="str">
        <f aca="false">IF(J1563=1,"OFFLINE",IF(AND(Q1563&gt;=Inputs!$B$15,R1563=1,S1563=1,P1563&lt;=L1563),"PASS","FAIL"))</f>
        <v>PASS</v>
      </c>
    </row>
    <row r="1564" customFormat="false" ht="15" hidden="false" customHeight="false" outlineLevel="0" collapsed="false">
      <c r="A1564" s="14" t="s">
        <v>1033</v>
      </c>
      <c r="B1564" s="14" t="s">
        <v>1019</v>
      </c>
      <c r="C1564" s="14" t="s">
        <v>196</v>
      </c>
      <c r="D1564" s="14" t="s">
        <v>178</v>
      </c>
      <c r="E1564" s="14" t="s">
        <v>169</v>
      </c>
      <c r="F1564" s="14" t="s">
        <v>175</v>
      </c>
      <c r="G1564" s="14" t="n">
        <v>2</v>
      </c>
      <c r="H1564" s="14" t="s">
        <v>153</v>
      </c>
      <c r="I1564" s="14" t="s">
        <v>895</v>
      </c>
      <c r="J1564" s="15" t="n">
        <f aca="false">IF(B1564="SITE LOSS",IF(D1564=C1564,1,0),IF(B1564="REGION LOSS",IF(E1564=C1564,1,0),0))</f>
        <v>0</v>
      </c>
      <c r="K1564" s="15" t="n">
        <f aca="false">IF(B1564="SITE LOSS",IF(COUNTIFS('Site Dockets'!$B$7:$B$24,C1564,'Site Dockets'!$C$7:$C$24,F1564)&gt;0,1,0),IF(B1564="REGION LOSS",IF(COUNTIFS('Site Dockets'!$E$7:$E$24,C1564,'Site Dockets'!$C$7:$C$24,F1564)&gt;0,1,0),0))</f>
        <v>0</v>
      </c>
      <c r="L1564" s="15" t="n">
        <f aca="false">IF(J1564=1,0,Inputs!$B$11)</f>
        <v>100</v>
      </c>
      <c r="M1564" s="15" t="n">
        <f aca="false">IF(J1564=1,0,Inputs!$B$12)</f>
        <v>75</v>
      </c>
      <c r="N1564" s="15" t="n">
        <f aca="false">IF(J1564=1,0,IF(OR(AND(OR(B1564="SITE LOSS",B1564="REGION LOSS"),K1564=1),AND(B1564="ROLE COMPROMISE",H1564=C1564)),Inputs!$B$13,Inputs!$B$14))</f>
        <v>10</v>
      </c>
      <c r="O1564" s="15" t="n">
        <f aca="false">IF(J1564=1,0,Inputs!$B$13)</f>
        <v>20</v>
      </c>
      <c r="P1564" s="15" t="n">
        <f aca="false">SUM(M1564:N1564)</f>
        <v>85</v>
      </c>
      <c r="Q1564" s="15" t="n">
        <f aca="false">IF(J1564=1,"",L1564-P1564)</f>
        <v>15</v>
      </c>
      <c r="R1564" s="15" t="n">
        <f aca="false">IF(OR(J1564=1,M1564&lt;=Inputs!$B$12),1,0)</f>
        <v>1</v>
      </c>
      <c r="S1564" s="15" t="n">
        <f aca="false">IF(OR(J1564=1,N1564&lt;=O1564),1,0)</f>
        <v>1</v>
      </c>
      <c r="T1564" s="15" t="str">
        <f aca="false">IF(J1564=1,"OFFLINE",IF(AND(Q1564&gt;=Inputs!$B$15,R1564=1,S1564=1,P1564&lt;=L1564),"PASS","FAIL"))</f>
        <v>PASS</v>
      </c>
    </row>
    <row r="1565" customFormat="false" ht="15" hidden="false" customHeight="false" outlineLevel="0" collapsed="false">
      <c r="A1565" s="14" t="s">
        <v>1033</v>
      </c>
      <c r="B1565" s="14" t="s">
        <v>1019</v>
      </c>
      <c r="C1565" s="14" t="s">
        <v>196</v>
      </c>
      <c r="D1565" s="14" t="s">
        <v>178</v>
      </c>
      <c r="E1565" s="14" t="s">
        <v>169</v>
      </c>
      <c r="F1565" s="14" t="s">
        <v>175</v>
      </c>
      <c r="G1565" s="14" t="n">
        <v>2</v>
      </c>
      <c r="H1565" s="14" t="s">
        <v>153</v>
      </c>
      <c r="I1565" s="14" t="s">
        <v>897</v>
      </c>
      <c r="J1565" s="15" t="n">
        <f aca="false">IF(B1565="SITE LOSS",IF(D1565=C1565,1,0),IF(B1565="REGION LOSS",IF(E1565=C1565,1,0),0))</f>
        <v>0</v>
      </c>
      <c r="K1565" s="15" t="n">
        <f aca="false">IF(B1565="SITE LOSS",IF(COUNTIFS('Site Dockets'!$B$7:$B$24,C1565,'Site Dockets'!$C$7:$C$24,F1565)&gt;0,1,0),IF(B1565="REGION LOSS",IF(COUNTIFS('Site Dockets'!$E$7:$E$24,C1565,'Site Dockets'!$C$7:$C$24,F1565)&gt;0,1,0),0))</f>
        <v>0</v>
      </c>
      <c r="L1565" s="15" t="n">
        <f aca="false">IF(J1565=1,0,Inputs!$B$11)</f>
        <v>100</v>
      </c>
      <c r="M1565" s="15" t="n">
        <f aca="false">IF(J1565=1,0,Inputs!$B$12)</f>
        <v>75</v>
      </c>
      <c r="N1565" s="15" t="n">
        <f aca="false">IF(J1565=1,0,IF(OR(AND(OR(B1565="SITE LOSS",B1565="REGION LOSS"),K1565=1),AND(B1565="ROLE COMPROMISE",H1565=C1565)),Inputs!$B$13,Inputs!$B$14))</f>
        <v>10</v>
      </c>
      <c r="O1565" s="15" t="n">
        <f aca="false">IF(J1565=1,0,Inputs!$B$13)</f>
        <v>20</v>
      </c>
      <c r="P1565" s="15" t="n">
        <f aca="false">SUM(M1565:N1565)</f>
        <v>85</v>
      </c>
      <c r="Q1565" s="15" t="n">
        <f aca="false">IF(J1565=1,"",L1565-P1565)</f>
        <v>15</v>
      </c>
      <c r="R1565" s="15" t="n">
        <f aca="false">IF(OR(J1565=1,M1565&lt;=Inputs!$B$12),1,0)</f>
        <v>1</v>
      </c>
      <c r="S1565" s="15" t="n">
        <f aca="false">IF(OR(J1565=1,N1565&lt;=O1565),1,0)</f>
        <v>1</v>
      </c>
      <c r="T1565" s="15" t="str">
        <f aca="false">IF(J1565=1,"OFFLINE",IF(AND(Q1565&gt;=Inputs!$B$15,R1565=1,S1565=1,P1565&lt;=L1565),"PASS","FAIL"))</f>
        <v>PASS</v>
      </c>
    </row>
    <row r="1566" customFormat="false" ht="15" hidden="false" customHeight="false" outlineLevel="0" collapsed="false">
      <c r="A1566" s="14" t="s">
        <v>1033</v>
      </c>
      <c r="B1566" s="14" t="s">
        <v>1019</v>
      </c>
      <c r="C1566" s="14" t="s">
        <v>196</v>
      </c>
      <c r="D1566" s="14" t="s">
        <v>178</v>
      </c>
      <c r="E1566" s="14" t="s">
        <v>169</v>
      </c>
      <c r="F1566" s="14" t="s">
        <v>175</v>
      </c>
      <c r="G1566" s="14" t="n">
        <v>2</v>
      </c>
      <c r="H1566" s="14" t="s">
        <v>153</v>
      </c>
      <c r="I1566" s="14" t="s">
        <v>899</v>
      </c>
      <c r="J1566" s="15" t="n">
        <f aca="false">IF(B1566="SITE LOSS",IF(D1566=C1566,1,0),IF(B1566="REGION LOSS",IF(E1566=C1566,1,0),0))</f>
        <v>0</v>
      </c>
      <c r="K1566" s="15" t="n">
        <f aca="false">IF(B1566="SITE LOSS",IF(COUNTIFS('Site Dockets'!$B$7:$B$24,C1566,'Site Dockets'!$C$7:$C$24,F1566)&gt;0,1,0),IF(B1566="REGION LOSS",IF(COUNTIFS('Site Dockets'!$E$7:$E$24,C1566,'Site Dockets'!$C$7:$C$24,F1566)&gt;0,1,0),0))</f>
        <v>0</v>
      </c>
      <c r="L1566" s="15" t="n">
        <f aca="false">IF(J1566=1,0,Inputs!$B$11)</f>
        <v>100</v>
      </c>
      <c r="M1566" s="15" t="n">
        <f aca="false">IF(J1566=1,0,Inputs!$B$12)</f>
        <v>75</v>
      </c>
      <c r="N1566" s="15" t="n">
        <f aca="false">IF(J1566=1,0,IF(OR(AND(OR(B1566="SITE LOSS",B1566="REGION LOSS"),K1566=1),AND(B1566="ROLE COMPROMISE",H1566=C1566)),Inputs!$B$13,Inputs!$B$14))</f>
        <v>10</v>
      </c>
      <c r="O1566" s="15" t="n">
        <f aca="false">IF(J1566=1,0,Inputs!$B$13)</f>
        <v>20</v>
      </c>
      <c r="P1566" s="15" t="n">
        <f aca="false">SUM(M1566:N1566)</f>
        <v>85</v>
      </c>
      <c r="Q1566" s="15" t="n">
        <f aca="false">IF(J1566=1,"",L1566-P1566)</f>
        <v>15</v>
      </c>
      <c r="R1566" s="15" t="n">
        <f aca="false">IF(OR(J1566=1,M1566&lt;=Inputs!$B$12),1,0)</f>
        <v>1</v>
      </c>
      <c r="S1566" s="15" t="n">
        <f aca="false">IF(OR(J1566=1,N1566&lt;=O1566),1,0)</f>
        <v>1</v>
      </c>
      <c r="T1566" s="15" t="str">
        <f aca="false">IF(J1566=1,"OFFLINE",IF(AND(Q1566&gt;=Inputs!$B$15,R1566=1,S1566=1,P1566&lt;=L1566),"PASS","FAIL"))</f>
        <v>PASS</v>
      </c>
    </row>
    <row r="1567" customFormat="false" ht="15" hidden="false" customHeight="false" outlineLevel="0" collapsed="false">
      <c r="A1567" s="14" t="s">
        <v>1033</v>
      </c>
      <c r="B1567" s="14" t="s">
        <v>1019</v>
      </c>
      <c r="C1567" s="14" t="s">
        <v>196</v>
      </c>
      <c r="D1567" s="14" t="s">
        <v>180</v>
      </c>
      <c r="E1567" s="14" t="s">
        <v>161</v>
      </c>
      <c r="F1567" s="14" t="s">
        <v>175</v>
      </c>
      <c r="G1567" s="14" t="n">
        <v>3</v>
      </c>
      <c r="H1567" s="14" t="s">
        <v>158</v>
      </c>
      <c r="I1567" s="14" t="s">
        <v>890</v>
      </c>
      <c r="J1567" s="15" t="n">
        <f aca="false">IF(B1567="SITE LOSS",IF(D1567=C1567,1,0),IF(B1567="REGION LOSS",IF(E1567=C1567,1,0),0))</f>
        <v>0</v>
      </c>
      <c r="K1567" s="15" t="n">
        <f aca="false">IF(B1567="SITE LOSS",IF(COUNTIFS('Site Dockets'!$B$7:$B$24,C1567,'Site Dockets'!$C$7:$C$24,F1567)&gt;0,1,0),IF(B1567="REGION LOSS",IF(COUNTIFS('Site Dockets'!$E$7:$E$24,C1567,'Site Dockets'!$C$7:$C$24,F1567)&gt;0,1,0),0))</f>
        <v>0</v>
      </c>
      <c r="L1567" s="15" t="n">
        <f aca="false">IF(J1567=1,0,Inputs!$B$11)</f>
        <v>100</v>
      </c>
      <c r="M1567" s="15" t="n">
        <f aca="false">IF(J1567=1,0,Inputs!$B$12)</f>
        <v>75</v>
      </c>
      <c r="N1567" s="15" t="n">
        <f aca="false">IF(J1567=1,0,IF(OR(AND(OR(B1567="SITE LOSS",B1567="REGION LOSS"),K1567=1),AND(B1567="ROLE COMPROMISE",H1567=C1567)),Inputs!$B$13,Inputs!$B$14))</f>
        <v>10</v>
      </c>
      <c r="O1567" s="15" t="n">
        <f aca="false">IF(J1567=1,0,Inputs!$B$13)</f>
        <v>20</v>
      </c>
      <c r="P1567" s="15" t="n">
        <f aca="false">SUM(M1567:N1567)</f>
        <v>85</v>
      </c>
      <c r="Q1567" s="15" t="n">
        <f aca="false">IF(J1567=1,"",L1567-P1567)</f>
        <v>15</v>
      </c>
      <c r="R1567" s="15" t="n">
        <f aca="false">IF(OR(J1567=1,M1567&lt;=Inputs!$B$12),1,0)</f>
        <v>1</v>
      </c>
      <c r="S1567" s="15" t="n">
        <f aca="false">IF(OR(J1567=1,N1567&lt;=O1567),1,0)</f>
        <v>1</v>
      </c>
      <c r="T1567" s="15" t="str">
        <f aca="false">IF(J1567=1,"OFFLINE",IF(AND(Q1567&gt;=Inputs!$B$15,R1567=1,S1567=1,P1567&lt;=L1567),"PASS","FAIL"))</f>
        <v>PASS</v>
      </c>
    </row>
    <row r="1568" customFormat="false" ht="15" hidden="false" customHeight="false" outlineLevel="0" collapsed="false">
      <c r="A1568" s="14" t="s">
        <v>1033</v>
      </c>
      <c r="B1568" s="14" t="s">
        <v>1019</v>
      </c>
      <c r="C1568" s="14" t="s">
        <v>196</v>
      </c>
      <c r="D1568" s="14" t="s">
        <v>180</v>
      </c>
      <c r="E1568" s="14" t="s">
        <v>161</v>
      </c>
      <c r="F1568" s="14" t="s">
        <v>175</v>
      </c>
      <c r="G1568" s="14" t="n">
        <v>3</v>
      </c>
      <c r="H1568" s="14" t="s">
        <v>158</v>
      </c>
      <c r="I1568" s="14" t="s">
        <v>892</v>
      </c>
      <c r="J1568" s="15" t="n">
        <f aca="false">IF(B1568="SITE LOSS",IF(D1568=C1568,1,0),IF(B1568="REGION LOSS",IF(E1568=C1568,1,0),0))</f>
        <v>0</v>
      </c>
      <c r="K1568" s="15" t="n">
        <f aca="false">IF(B1568="SITE LOSS",IF(COUNTIFS('Site Dockets'!$B$7:$B$24,C1568,'Site Dockets'!$C$7:$C$24,F1568)&gt;0,1,0),IF(B1568="REGION LOSS",IF(COUNTIFS('Site Dockets'!$E$7:$E$24,C1568,'Site Dockets'!$C$7:$C$24,F1568)&gt;0,1,0),0))</f>
        <v>0</v>
      </c>
      <c r="L1568" s="15" t="n">
        <f aca="false">IF(J1568=1,0,Inputs!$B$11)</f>
        <v>100</v>
      </c>
      <c r="M1568" s="15" t="n">
        <f aca="false">IF(J1568=1,0,Inputs!$B$12)</f>
        <v>75</v>
      </c>
      <c r="N1568" s="15" t="n">
        <f aca="false">IF(J1568=1,0,IF(OR(AND(OR(B1568="SITE LOSS",B1568="REGION LOSS"),K1568=1),AND(B1568="ROLE COMPROMISE",H1568=C1568)),Inputs!$B$13,Inputs!$B$14))</f>
        <v>10</v>
      </c>
      <c r="O1568" s="15" t="n">
        <f aca="false">IF(J1568=1,0,Inputs!$B$13)</f>
        <v>20</v>
      </c>
      <c r="P1568" s="15" t="n">
        <f aca="false">SUM(M1568:N1568)</f>
        <v>85</v>
      </c>
      <c r="Q1568" s="15" t="n">
        <f aca="false">IF(J1568=1,"",L1568-P1568)</f>
        <v>15</v>
      </c>
      <c r="R1568" s="15" t="n">
        <f aca="false">IF(OR(J1568=1,M1568&lt;=Inputs!$B$12),1,0)</f>
        <v>1</v>
      </c>
      <c r="S1568" s="15" t="n">
        <f aca="false">IF(OR(J1568=1,N1568&lt;=O1568),1,0)</f>
        <v>1</v>
      </c>
      <c r="T1568" s="15" t="str">
        <f aca="false">IF(J1568=1,"OFFLINE",IF(AND(Q1568&gt;=Inputs!$B$15,R1568=1,S1568=1,P1568&lt;=L1568),"PASS","FAIL"))</f>
        <v>PASS</v>
      </c>
    </row>
    <row r="1569" customFormat="false" ht="15" hidden="false" customHeight="false" outlineLevel="0" collapsed="false">
      <c r="A1569" s="14" t="s">
        <v>1033</v>
      </c>
      <c r="B1569" s="14" t="s">
        <v>1019</v>
      </c>
      <c r="C1569" s="14" t="s">
        <v>196</v>
      </c>
      <c r="D1569" s="14" t="s">
        <v>180</v>
      </c>
      <c r="E1569" s="14" t="s">
        <v>161</v>
      </c>
      <c r="F1569" s="14" t="s">
        <v>175</v>
      </c>
      <c r="G1569" s="14" t="n">
        <v>3</v>
      </c>
      <c r="H1569" s="14" t="s">
        <v>158</v>
      </c>
      <c r="I1569" s="14" t="s">
        <v>811</v>
      </c>
      <c r="J1569" s="15" t="n">
        <f aca="false">IF(B1569="SITE LOSS",IF(D1569=C1569,1,0),IF(B1569="REGION LOSS",IF(E1569=C1569,1,0),0))</f>
        <v>0</v>
      </c>
      <c r="K1569" s="15" t="n">
        <f aca="false">IF(B1569="SITE LOSS",IF(COUNTIFS('Site Dockets'!$B$7:$B$24,C1569,'Site Dockets'!$C$7:$C$24,F1569)&gt;0,1,0),IF(B1569="REGION LOSS",IF(COUNTIFS('Site Dockets'!$E$7:$E$24,C1569,'Site Dockets'!$C$7:$C$24,F1569)&gt;0,1,0),0))</f>
        <v>0</v>
      </c>
      <c r="L1569" s="15" t="n">
        <f aca="false">IF(J1569=1,0,Inputs!$B$11)</f>
        <v>100</v>
      </c>
      <c r="M1569" s="15" t="n">
        <f aca="false">IF(J1569=1,0,Inputs!$B$12)</f>
        <v>75</v>
      </c>
      <c r="N1569" s="15" t="n">
        <f aca="false">IF(J1569=1,0,IF(OR(AND(OR(B1569="SITE LOSS",B1569="REGION LOSS"),K1569=1),AND(B1569="ROLE COMPROMISE",H1569=C1569)),Inputs!$B$13,Inputs!$B$14))</f>
        <v>10</v>
      </c>
      <c r="O1569" s="15" t="n">
        <f aca="false">IF(J1569=1,0,Inputs!$B$13)</f>
        <v>20</v>
      </c>
      <c r="P1569" s="15" t="n">
        <f aca="false">SUM(M1569:N1569)</f>
        <v>85</v>
      </c>
      <c r="Q1569" s="15" t="n">
        <f aca="false">IF(J1569=1,"",L1569-P1569)</f>
        <v>15</v>
      </c>
      <c r="R1569" s="15" t="n">
        <f aca="false">IF(OR(J1569=1,M1569&lt;=Inputs!$B$12),1,0)</f>
        <v>1</v>
      </c>
      <c r="S1569" s="15" t="n">
        <f aca="false">IF(OR(J1569=1,N1569&lt;=O1569),1,0)</f>
        <v>1</v>
      </c>
      <c r="T1569" s="15" t="str">
        <f aca="false">IF(J1569=1,"OFFLINE",IF(AND(Q1569&gt;=Inputs!$B$15,R1569=1,S1569=1,P1569&lt;=L1569),"PASS","FAIL"))</f>
        <v>PASS</v>
      </c>
    </row>
    <row r="1570" customFormat="false" ht="15" hidden="false" customHeight="false" outlineLevel="0" collapsed="false">
      <c r="A1570" s="14" t="s">
        <v>1033</v>
      </c>
      <c r="B1570" s="14" t="s">
        <v>1019</v>
      </c>
      <c r="C1570" s="14" t="s">
        <v>196</v>
      </c>
      <c r="D1570" s="14" t="s">
        <v>180</v>
      </c>
      <c r="E1570" s="14" t="s">
        <v>161</v>
      </c>
      <c r="F1570" s="14" t="s">
        <v>175</v>
      </c>
      <c r="G1570" s="14" t="n">
        <v>3</v>
      </c>
      <c r="H1570" s="14" t="s">
        <v>158</v>
      </c>
      <c r="I1570" s="14" t="s">
        <v>895</v>
      </c>
      <c r="J1570" s="15" t="n">
        <f aca="false">IF(B1570="SITE LOSS",IF(D1570=C1570,1,0),IF(B1570="REGION LOSS",IF(E1570=C1570,1,0),0))</f>
        <v>0</v>
      </c>
      <c r="K1570" s="15" t="n">
        <f aca="false">IF(B1570="SITE LOSS",IF(COUNTIFS('Site Dockets'!$B$7:$B$24,C1570,'Site Dockets'!$C$7:$C$24,F1570)&gt;0,1,0),IF(B1570="REGION LOSS",IF(COUNTIFS('Site Dockets'!$E$7:$E$24,C1570,'Site Dockets'!$C$7:$C$24,F1570)&gt;0,1,0),0))</f>
        <v>0</v>
      </c>
      <c r="L1570" s="15" t="n">
        <f aca="false">IF(J1570=1,0,Inputs!$B$11)</f>
        <v>100</v>
      </c>
      <c r="M1570" s="15" t="n">
        <f aca="false">IF(J1570=1,0,Inputs!$B$12)</f>
        <v>75</v>
      </c>
      <c r="N1570" s="15" t="n">
        <f aca="false">IF(J1570=1,0,IF(OR(AND(OR(B1570="SITE LOSS",B1570="REGION LOSS"),K1570=1),AND(B1570="ROLE COMPROMISE",H1570=C1570)),Inputs!$B$13,Inputs!$B$14))</f>
        <v>10</v>
      </c>
      <c r="O1570" s="15" t="n">
        <f aca="false">IF(J1570=1,0,Inputs!$B$13)</f>
        <v>20</v>
      </c>
      <c r="P1570" s="15" t="n">
        <f aca="false">SUM(M1570:N1570)</f>
        <v>85</v>
      </c>
      <c r="Q1570" s="15" t="n">
        <f aca="false">IF(J1570=1,"",L1570-P1570)</f>
        <v>15</v>
      </c>
      <c r="R1570" s="15" t="n">
        <f aca="false">IF(OR(J1570=1,M1570&lt;=Inputs!$B$12),1,0)</f>
        <v>1</v>
      </c>
      <c r="S1570" s="15" t="n">
        <f aca="false">IF(OR(J1570=1,N1570&lt;=O1570),1,0)</f>
        <v>1</v>
      </c>
      <c r="T1570" s="15" t="str">
        <f aca="false">IF(J1570=1,"OFFLINE",IF(AND(Q1570&gt;=Inputs!$B$15,R1570=1,S1570=1,P1570&lt;=L1570),"PASS","FAIL"))</f>
        <v>PASS</v>
      </c>
    </row>
    <row r="1571" customFormat="false" ht="15" hidden="false" customHeight="false" outlineLevel="0" collapsed="false">
      <c r="A1571" s="14" t="s">
        <v>1033</v>
      </c>
      <c r="B1571" s="14" t="s">
        <v>1019</v>
      </c>
      <c r="C1571" s="14" t="s">
        <v>196</v>
      </c>
      <c r="D1571" s="14" t="s">
        <v>180</v>
      </c>
      <c r="E1571" s="14" t="s">
        <v>161</v>
      </c>
      <c r="F1571" s="14" t="s">
        <v>175</v>
      </c>
      <c r="G1571" s="14" t="n">
        <v>3</v>
      </c>
      <c r="H1571" s="14" t="s">
        <v>158</v>
      </c>
      <c r="I1571" s="14" t="s">
        <v>897</v>
      </c>
      <c r="J1571" s="15" t="n">
        <f aca="false">IF(B1571="SITE LOSS",IF(D1571=C1571,1,0),IF(B1571="REGION LOSS",IF(E1571=C1571,1,0),0))</f>
        <v>0</v>
      </c>
      <c r="K1571" s="15" t="n">
        <f aca="false">IF(B1571="SITE LOSS",IF(COUNTIFS('Site Dockets'!$B$7:$B$24,C1571,'Site Dockets'!$C$7:$C$24,F1571)&gt;0,1,0),IF(B1571="REGION LOSS",IF(COUNTIFS('Site Dockets'!$E$7:$E$24,C1571,'Site Dockets'!$C$7:$C$24,F1571)&gt;0,1,0),0))</f>
        <v>0</v>
      </c>
      <c r="L1571" s="15" t="n">
        <f aca="false">IF(J1571=1,0,Inputs!$B$11)</f>
        <v>100</v>
      </c>
      <c r="M1571" s="15" t="n">
        <f aca="false">IF(J1571=1,0,Inputs!$B$12)</f>
        <v>75</v>
      </c>
      <c r="N1571" s="15" t="n">
        <f aca="false">IF(J1571=1,0,IF(OR(AND(OR(B1571="SITE LOSS",B1571="REGION LOSS"),K1571=1),AND(B1571="ROLE COMPROMISE",H1571=C1571)),Inputs!$B$13,Inputs!$B$14))</f>
        <v>10</v>
      </c>
      <c r="O1571" s="15" t="n">
        <f aca="false">IF(J1571=1,0,Inputs!$B$13)</f>
        <v>20</v>
      </c>
      <c r="P1571" s="15" t="n">
        <f aca="false">SUM(M1571:N1571)</f>
        <v>85</v>
      </c>
      <c r="Q1571" s="15" t="n">
        <f aca="false">IF(J1571=1,"",L1571-P1571)</f>
        <v>15</v>
      </c>
      <c r="R1571" s="15" t="n">
        <f aca="false">IF(OR(J1571=1,M1571&lt;=Inputs!$B$12),1,0)</f>
        <v>1</v>
      </c>
      <c r="S1571" s="15" t="n">
        <f aca="false">IF(OR(J1571=1,N1571&lt;=O1571),1,0)</f>
        <v>1</v>
      </c>
      <c r="T1571" s="15" t="str">
        <f aca="false">IF(J1571=1,"OFFLINE",IF(AND(Q1571&gt;=Inputs!$B$15,R1571=1,S1571=1,P1571&lt;=L1571),"PASS","FAIL"))</f>
        <v>PASS</v>
      </c>
    </row>
    <row r="1572" customFormat="false" ht="15" hidden="false" customHeight="false" outlineLevel="0" collapsed="false">
      <c r="A1572" s="14" t="s">
        <v>1033</v>
      </c>
      <c r="B1572" s="14" t="s">
        <v>1019</v>
      </c>
      <c r="C1572" s="14" t="s">
        <v>196</v>
      </c>
      <c r="D1572" s="14" t="s">
        <v>180</v>
      </c>
      <c r="E1572" s="14" t="s">
        <v>161</v>
      </c>
      <c r="F1572" s="14" t="s">
        <v>175</v>
      </c>
      <c r="G1572" s="14" t="n">
        <v>3</v>
      </c>
      <c r="H1572" s="14" t="s">
        <v>158</v>
      </c>
      <c r="I1572" s="14" t="s">
        <v>899</v>
      </c>
      <c r="J1572" s="15" t="n">
        <f aca="false">IF(B1572="SITE LOSS",IF(D1572=C1572,1,0),IF(B1572="REGION LOSS",IF(E1572=C1572,1,0),0))</f>
        <v>0</v>
      </c>
      <c r="K1572" s="15" t="n">
        <f aca="false">IF(B1572="SITE LOSS",IF(COUNTIFS('Site Dockets'!$B$7:$B$24,C1572,'Site Dockets'!$C$7:$C$24,F1572)&gt;0,1,0),IF(B1572="REGION LOSS",IF(COUNTIFS('Site Dockets'!$E$7:$E$24,C1572,'Site Dockets'!$C$7:$C$24,F1572)&gt;0,1,0),0))</f>
        <v>0</v>
      </c>
      <c r="L1572" s="15" t="n">
        <f aca="false">IF(J1572=1,0,Inputs!$B$11)</f>
        <v>100</v>
      </c>
      <c r="M1572" s="15" t="n">
        <f aca="false">IF(J1572=1,0,Inputs!$B$12)</f>
        <v>75</v>
      </c>
      <c r="N1572" s="15" t="n">
        <f aca="false">IF(J1572=1,0,IF(OR(AND(OR(B1572="SITE LOSS",B1572="REGION LOSS"),K1572=1),AND(B1572="ROLE COMPROMISE",H1572=C1572)),Inputs!$B$13,Inputs!$B$14))</f>
        <v>10</v>
      </c>
      <c r="O1572" s="15" t="n">
        <f aca="false">IF(J1572=1,0,Inputs!$B$13)</f>
        <v>20</v>
      </c>
      <c r="P1572" s="15" t="n">
        <f aca="false">SUM(M1572:N1572)</f>
        <v>85</v>
      </c>
      <c r="Q1572" s="15" t="n">
        <f aca="false">IF(J1572=1,"",L1572-P1572)</f>
        <v>15</v>
      </c>
      <c r="R1572" s="15" t="n">
        <f aca="false">IF(OR(J1572=1,M1572&lt;=Inputs!$B$12),1,0)</f>
        <v>1</v>
      </c>
      <c r="S1572" s="15" t="n">
        <f aca="false">IF(OR(J1572=1,N1572&lt;=O1572),1,0)</f>
        <v>1</v>
      </c>
      <c r="T1572" s="15" t="str">
        <f aca="false">IF(J1572=1,"OFFLINE",IF(AND(Q1572&gt;=Inputs!$B$15,R1572=1,S1572=1,P1572&lt;=L1572),"PASS","FAIL"))</f>
        <v>PASS</v>
      </c>
    </row>
    <row r="1573" customFormat="false" ht="15" hidden="false" customHeight="false" outlineLevel="0" collapsed="false">
      <c r="A1573" s="14" t="s">
        <v>1033</v>
      </c>
      <c r="B1573" s="14" t="s">
        <v>1019</v>
      </c>
      <c r="C1573" s="14" t="s">
        <v>196</v>
      </c>
      <c r="D1573" s="14" t="s">
        <v>182</v>
      </c>
      <c r="E1573" s="14" t="s">
        <v>166</v>
      </c>
      <c r="F1573" s="14" t="s">
        <v>183</v>
      </c>
      <c r="G1573" s="14" t="n">
        <v>1</v>
      </c>
      <c r="H1573" s="14" t="s">
        <v>154</v>
      </c>
      <c r="I1573" s="14" t="s">
        <v>890</v>
      </c>
      <c r="J1573" s="15" t="n">
        <f aca="false">IF(B1573="SITE LOSS",IF(D1573=C1573,1,0),IF(B1573="REGION LOSS",IF(E1573=C1573,1,0),0))</f>
        <v>0</v>
      </c>
      <c r="K1573" s="15" t="n">
        <f aca="false">IF(B1573="SITE LOSS",IF(COUNTIFS('Site Dockets'!$B$7:$B$24,C1573,'Site Dockets'!$C$7:$C$24,F1573)&gt;0,1,0),IF(B1573="REGION LOSS",IF(COUNTIFS('Site Dockets'!$E$7:$E$24,C1573,'Site Dockets'!$C$7:$C$24,F1573)&gt;0,1,0),0))</f>
        <v>0</v>
      </c>
      <c r="L1573" s="15" t="n">
        <f aca="false">IF(J1573=1,0,Inputs!$B$11)</f>
        <v>100</v>
      </c>
      <c r="M1573" s="15" t="n">
        <f aca="false">IF(J1573=1,0,Inputs!$B$12)</f>
        <v>75</v>
      </c>
      <c r="N1573" s="15" t="n">
        <f aca="false">IF(J1573=1,0,IF(OR(AND(OR(B1573="SITE LOSS",B1573="REGION LOSS"),K1573=1),AND(B1573="ROLE COMPROMISE",H1573=C1573)),Inputs!$B$13,Inputs!$B$14))</f>
        <v>10</v>
      </c>
      <c r="O1573" s="15" t="n">
        <f aca="false">IF(J1573=1,0,Inputs!$B$13)</f>
        <v>20</v>
      </c>
      <c r="P1573" s="15" t="n">
        <f aca="false">SUM(M1573:N1573)</f>
        <v>85</v>
      </c>
      <c r="Q1573" s="15" t="n">
        <f aca="false">IF(J1573=1,"",L1573-P1573)</f>
        <v>15</v>
      </c>
      <c r="R1573" s="15" t="n">
        <f aca="false">IF(OR(J1573=1,M1573&lt;=Inputs!$B$12),1,0)</f>
        <v>1</v>
      </c>
      <c r="S1573" s="15" t="n">
        <f aca="false">IF(OR(J1573=1,N1573&lt;=O1573),1,0)</f>
        <v>1</v>
      </c>
      <c r="T1573" s="15" t="str">
        <f aca="false">IF(J1573=1,"OFFLINE",IF(AND(Q1573&gt;=Inputs!$B$15,R1573=1,S1573=1,P1573&lt;=L1573),"PASS","FAIL"))</f>
        <v>PASS</v>
      </c>
    </row>
    <row r="1574" customFormat="false" ht="15" hidden="false" customHeight="false" outlineLevel="0" collapsed="false">
      <c r="A1574" s="14" t="s">
        <v>1033</v>
      </c>
      <c r="B1574" s="14" t="s">
        <v>1019</v>
      </c>
      <c r="C1574" s="14" t="s">
        <v>196</v>
      </c>
      <c r="D1574" s="14" t="s">
        <v>182</v>
      </c>
      <c r="E1574" s="14" t="s">
        <v>166</v>
      </c>
      <c r="F1574" s="14" t="s">
        <v>183</v>
      </c>
      <c r="G1574" s="14" t="n">
        <v>1</v>
      </c>
      <c r="H1574" s="14" t="s">
        <v>154</v>
      </c>
      <c r="I1574" s="14" t="s">
        <v>892</v>
      </c>
      <c r="J1574" s="15" t="n">
        <f aca="false">IF(B1574="SITE LOSS",IF(D1574=C1574,1,0),IF(B1574="REGION LOSS",IF(E1574=C1574,1,0),0))</f>
        <v>0</v>
      </c>
      <c r="K1574" s="15" t="n">
        <f aca="false">IF(B1574="SITE LOSS",IF(COUNTIFS('Site Dockets'!$B$7:$B$24,C1574,'Site Dockets'!$C$7:$C$24,F1574)&gt;0,1,0),IF(B1574="REGION LOSS",IF(COUNTIFS('Site Dockets'!$E$7:$E$24,C1574,'Site Dockets'!$C$7:$C$24,F1574)&gt;0,1,0),0))</f>
        <v>0</v>
      </c>
      <c r="L1574" s="15" t="n">
        <f aca="false">IF(J1574=1,0,Inputs!$B$11)</f>
        <v>100</v>
      </c>
      <c r="M1574" s="15" t="n">
        <f aca="false">IF(J1574=1,0,Inputs!$B$12)</f>
        <v>75</v>
      </c>
      <c r="N1574" s="15" t="n">
        <f aca="false">IF(J1574=1,0,IF(OR(AND(OR(B1574="SITE LOSS",B1574="REGION LOSS"),K1574=1),AND(B1574="ROLE COMPROMISE",H1574=C1574)),Inputs!$B$13,Inputs!$B$14))</f>
        <v>10</v>
      </c>
      <c r="O1574" s="15" t="n">
        <f aca="false">IF(J1574=1,0,Inputs!$B$13)</f>
        <v>20</v>
      </c>
      <c r="P1574" s="15" t="n">
        <f aca="false">SUM(M1574:N1574)</f>
        <v>85</v>
      </c>
      <c r="Q1574" s="15" t="n">
        <f aca="false">IF(J1574=1,"",L1574-P1574)</f>
        <v>15</v>
      </c>
      <c r="R1574" s="15" t="n">
        <f aca="false">IF(OR(J1574=1,M1574&lt;=Inputs!$B$12),1,0)</f>
        <v>1</v>
      </c>
      <c r="S1574" s="15" t="n">
        <f aca="false">IF(OR(J1574=1,N1574&lt;=O1574),1,0)</f>
        <v>1</v>
      </c>
      <c r="T1574" s="15" t="str">
        <f aca="false">IF(J1574=1,"OFFLINE",IF(AND(Q1574&gt;=Inputs!$B$15,R1574=1,S1574=1,P1574&lt;=L1574),"PASS","FAIL"))</f>
        <v>PASS</v>
      </c>
    </row>
    <row r="1575" customFormat="false" ht="15" hidden="false" customHeight="false" outlineLevel="0" collapsed="false">
      <c r="A1575" s="14" t="s">
        <v>1033</v>
      </c>
      <c r="B1575" s="14" t="s">
        <v>1019</v>
      </c>
      <c r="C1575" s="14" t="s">
        <v>196</v>
      </c>
      <c r="D1575" s="14" t="s">
        <v>182</v>
      </c>
      <c r="E1575" s="14" t="s">
        <v>166</v>
      </c>
      <c r="F1575" s="14" t="s">
        <v>183</v>
      </c>
      <c r="G1575" s="14" t="n">
        <v>1</v>
      </c>
      <c r="H1575" s="14" t="s">
        <v>154</v>
      </c>
      <c r="I1575" s="14" t="s">
        <v>811</v>
      </c>
      <c r="J1575" s="15" t="n">
        <f aca="false">IF(B1575="SITE LOSS",IF(D1575=C1575,1,0),IF(B1575="REGION LOSS",IF(E1575=C1575,1,0),0))</f>
        <v>0</v>
      </c>
      <c r="K1575" s="15" t="n">
        <f aca="false">IF(B1575="SITE LOSS",IF(COUNTIFS('Site Dockets'!$B$7:$B$24,C1575,'Site Dockets'!$C$7:$C$24,F1575)&gt;0,1,0),IF(B1575="REGION LOSS",IF(COUNTIFS('Site Dockets'!$E$7:$E$24,C1575,'Site Dockets'!$C$7:$C$24,F1575)&gt;0,1,0),0))</f>
        <v>0</v>
      </c>
      <c r="L1575" s="15" t="n">
        <f aca="false">IF(J1575=1,0,Inputs!$B$11)</f>
        <v>100</v>
      </c>
      <c r="M1575" s="15" t="n">
        <f aca="false">IF(J1575=1,0,Inputs!$B$12)</f>
        <v>75</v>
      </c>
      <c r="N1575" s="15" t="n">
        <f aca="false">IF(J1575=1,0,IF(OR(AND(OR(B1575="SITE LOSS",B1575="REGION LOSS"),K1575=1),AND(B1575="ROLE COMPROMISE",H1575=C1575)),Inputs!$B$13,Inputs!$B$14))</f>
        <v>10</v>
      </c>
      <c r="O1575" s="15" t="n">
        <f aca="false">IF(J1575=1,0,Inputs!$B$13)</f>
        <v>20</v>
      </c>
      <c r="P1575" s="15" t="n">
        <f aca="false">SUM(M1575:N1575)</f>
        <v>85</v>
      </c>
      <c r="Q1575" s="15" t="n">
        <f aca="false">IF(J1575=1,"",L1575-P1575)</f>
        <v>15</v>
      </c>
      <c r="R1575" s="15" t="n">
        <f aca="false">IF(OR(J1575=1,M1575&lt;=Inputs!$B$12),1,0)</f>
        <v>1</v>
      </c>
      <c r="S1575" s="15" t="n">
        <f aca="false">IF(OR(J1575=1,N1575&lt;=O1575),1,0)</f>
        <v>1</v>
      </c>
      <c r="T1575" s="15" t="str">
        <f aca="false">IF(J1575=1,"OFFLINE",IF(AND(Q1575&gt;=Inputs!$B$15,R1575=1,S1575=1,P1575&lt;=L1575),"PASS","FAIL"))</f>
        <v>PASS</v>
      </c>
    </row>
    <row r="1576" customFormat="false" ht="15" hidden="false" customHeight="false" outlineLevel="0" collapsed="false">
      <c r="A1576" s="14" t="s">
        <v>1033</v>
      </c>
      <c r="B1576" s="14" t="s">
        <v>1019</v>
      </c>
      <c r="C1576" s="14" t="s">
        <v>196</v>
      </c>
      <c r="D1576" s="14" t="s">
        <v>182</v>
      </c>
      <c r="E1576" s="14" t="s">
        <v>166</v>
      </c>
      <c r="F1576" s="14" t="s">
        <v>183</v>
      </c>
      <c r="G1576" s="14" t="n">
        <v>1</v>
      </c>
      <c r="H1576" s="14" t="s">
        <v>154</v>
      </c>
      <c r="I1576" s="14" t="s">
        <v>895</v>
      </c>
      <c r="J1576" s="15" t="n">
        <f aca="false">IF(B1576="SITE LOSS",IF(D1576=C1576,1,0),IF(B1576="REGION LOSS",IF(E1576=C1576,1,0),0))</f>
        <v>0</v>
      </c>
      <c r="K1576" s="15" t="n">
        <f aca="false">IF(B1576="SITE LOSS",IF(COUNTIFS('Site Dockets'!$B$7:$B$24,C1576,'Site Dockets'!$C$7:$C$24,F1576)&gt;0,1,0),IF(B1576="REGION LOSS",IF(COUNTIFS('Site Dockets'!$E$7:$E$24,C1576,'Site Dockets'!$C$7:$C$24,F1576)&gt;0,1,0),0))</f>
        <v>0</v>
      </c>
      <c r="L1576" s="15" t="n">
        <f aca="false">IF(J1576=1,0,Inputs!$B$11)</f>
        <v>100</v>
      </c>
      <c r="M1576" s="15" t="n">
        <f aca="false">IF(J1576=1,0,Inputs!$B$12)</f>
        <v>75</v>
      </c>
      <c r="N1576" s="15" t="n">
        <f aca="false">IF(J1576=1,0,IF(OR(AND(OR(B1576="SITE LOSS",B1576="REGION LOSS"),K1576=1),AND(B1576="ROLE COMPROMISE",H1576=C1576)),Inputs!$B$13,Inputs!$B$14))</f>
        <v>10</v>
      </c>
      <c r="O1576" s="15" t="n">
        <f aca="false">IF(J1576=1,0,Inputs!$B$13)</f>
        <v>20</v>
      </c>
      <c r="P1576" s="15" t="n">
        <f aca="false">SUM(M1576:N1576)</f>
        <v>85</v>
      </c>
      <c r="Q1576" s="15" t="n">
        <f aca="false">IF(J1576=1,"",L1576-P1576)</f>
        <v>15</v>
      </c>
      <c r="R1576" s="15" t="n">
        <f aca="false">IF(OR(J1576=1,M1576&lt;=Inputs!$B$12),1,0)</f>
        <v>1</v>
      </c>
      <c r="S1576" s="15" t="n">
        <f aca="false">IF(OR(J1576=1,N1576&lt;=O1576),1,0)</f>
        <v>1</v>
      </c>
      <c r="T1576" s="15" t="str">
        <f aca="false">IF(J1576=1,"OFFLINE",IF(AND(Q1576&gt;=Inputs!$B$15,R1576=1,S1576=1,P1576&lt;=L1576),"PASS","FAIL"))</f>
        <v>PASS</v>
      </c>
    </row>
    <row r="1577" customFormat="false" ht="15" hidden="false" customHeight="false" outlineLevel="0" collapsed="false">
      <c r="A1577" s="14" t="s">
        <v>1033</v>
      </c>
      <c r="B1577" s="14" t="s">
        <v>1019</v>
      </c>
      <c r="C1577" s="14" t="s">
        <v>196</v>
      </c>
      <c r="D1577" s="14" t="s">
        <v>182</v>
      </c>
      <c r="E1577" s="14" t="s">
        <v>166</v>
      </c>
      <c r="F1577" s="14" t="s">
        <v>183</v>
      </c>
      <c r="G1577" s="14" t="n">
        <v>1</v>
      </c>
      <c r="H1577" s="14" t="s">
        <v>154</v>
      </c>
      <c r="I1577" s="14" t="s">
        <v>897</v>
      </c>
      <c r="J1577" s="15" t="n">
        <f aca="false">IF(B1577="SITE LOSS",IF(D1577=C1577,1,0),IF(B1577="REGION LOSS",IF(E1577=C1577,1,0),0))</f>
        <v>0</v>
      </c>
      <c r="K1577" s="15" t="n">
        <f aca="false">IF(B1577="SITE LOSS",IF(COUNTIFS('Site Dockets'!$B$7:$B$24,C1577,'Site Dockets'!$C$7:$C$24,F1577)&gt;0,1,0),IF(B1577="REGION LOSS",IF(COUNTIFS('Site Dockets'!$E$7:$E$24,C1577,'Site Dockets'!$C$7:$C$24,F1577)&gt;0,1,0),0))</f>
        <v>0</v>
      </c>
      <c r="L1577" s="15" t="n">
        <f aca="false">IF(J1577=1,0,Inputs!$B$11)</f>
        <v>100</v>
      </c>
      <c r="M1577" s="15" t="n">
        <f aca="false">IF(J1577=1,0,Inputs!$B$12)</f>
        <v>75</v>
      </c>
      <c r="N1577" s="15" t="n">
        <f aca="false">IF(J1577=1,0,IF(OR(AND(OR(B1577="SITE LOSS",B1577="REGION LOSS"),K1577=1),AND(B1577="ROLE COMPROMISE",H1577=C1577)),Inputs!$B$13,Inputs!$B$14))</f>
        <v>10</v>
      </c>
      <c r="O1577" s="15" t="n">
        <f aca="false">IF(J1577=1,0,Inputs!$B$13)</f>
        <v>20</v>
      </c>
      <c r="P1577" s="15" t="n">
        <f aca="false">SUM(M1577:N1577)</f>
        <v>85</v>
      </c>
      <c r="Q1577" s="15" t="n">
        <f aca="false">IF(J1577=1,"",L1577-P1577)</f>
        <v>15</v>
      </c>
      <c r="R1577" s="15" t="n">
        <f aca="false">IF(OR(J1577=1,M1577&lt;=Inputs!$B$12),1,0)</f>
        <v>1</v>
      </c>
      <c r="S1577" s="15" t="n">
        <f aca="false">IF(OR(J1577=1,N1577&lt;=O1577),1,0)</f>
        <v>1</v>
      </c>
      <c r="T1577" s="15" t="str">
        <f aca="false">IF(J1577=1,"OFFLINE",IF(AND(Q1577&gt;=Inputs!$B$15,R1577=1,S1577=1,P1577&lt;=L1577),"PASS","FAIL"))</f>
        <v>PASS</v>
      </c>
    </row>
    <row r="1578" customFormat="false" ht="15" hidden="false" customHeight="false" outlineLevel="0" collapsed="false">
      <c r="A1578" s="14" t="s">
        <v>1033</v>
      </c>
      <c r="B1578" s="14" t="s">
        <v>1019</v>
      </c>
      <c r="C1578" s="14" t="s">
        <v>196</v>
      </c>
      <c r="D1578" s="14" t="s">
        <v>182</v>
      </c>
      <c r="E1578" s="14" t="s">
        <v>166</v>
      </c>
      <c r="F1578" s="14" t="s">
        <v>183</v>
      </c>
      <c r="G1578" s="14" t="n">
        <v>1</v>
      </c>
      <c r="H1578" s="14" t="s">
        <v>154</v>
      </c>
      <c r="I1578" s="14" t="s">
        <v>899</v>
      </c>
      <c r="J1578" s="15" t="n">
        <f aca="false">IF(B1578="SITE LOSS",IF(D1578=C1578,1,0),IF(B1578="REGION LOSS",IF(E1578=C1578,1,0),0))</f>
        <v>0</v>
      </c>
      <c r="K1578" s="15" t="n">
        <f aca="false">IF(B1578="SITE LOSS",IF(COUNTIFS('Site Dockets'!$B$7:$B$24,C1578,'Site Dockets'!$C$7:$C$24,F1578)&gt;0,1,0),IF(B1578="REGION LOSS",IF(COUNTIFS('Site Dockets'!$E$7:$E$24,C1578,'Site Dockets'!$C$7:$C$24,F1578)&gt;0,1,0),0))</f>
        <v>0</v>
      </c>
      <c r="L1578" s="15" t="n">
        <f aca="false">IF(J1578=1,0,Inputs!$B$11)</f>
        <v>100</v>
      </c>
      <c r="M1578" s="15" t="n">
        <f aca="false">IF(J1578=1,0,Inputs!$B$12)</f>
        <v>75</v>
      </c>
      <c r="N1578" s="15" t="n">
        <f aca="false">IF(J1578=1,0,IF(OR(AND(OR(B1578="SITE LOSS",B1578="REGION LOSS"),K1578=1),AND(B1578="ROLE COMPROMISE",H1578=C1578)),Inputs!$B$13,Inputs!$B$14))</f>
        <v>10</v>
      </c>
      <c r="O1578" s="15" t="n">
        <f aca="false">IF(J1578=1,0,Inputs!$B$13)</f>
        <v>20</v>
      </c>
      <c r="P1578" s="15" t="n">
        <f aca="false">SUM(M1578:N1578)</f>
        <v>85</v>
      </c>
      <c r="Q1578" s="15" t="n">
        <f aca="false">IF(J1578=1,"",L1578-P1578)</f>
        <v>15</v>
      </c>
      <c r="R1578" s="15" t="n">
        <f aca="false">IF(OR(J1578=1,M1578&lt;=Inputs!$B$12),1,0)</f>
        <v>1</v>
      </c>
      <c r="S1578" s="15" t="n">
        <f aca="false">IF(OR(J1578=1,N1578&lt;=O1578),1,0)</f>
        <v>1</v>
      </c>
      <c r="T1578" s="15" t="str">
        <f aca="false">IF(J1578=1,"OFFLINE",IF(AND(Q1578&gt;=Inputs!$B$15,R1578=1,S1578=1,P1578&lt;=L1578),"PASS","FAIL"))</f>
        <v>PASS</v>
      </c>
    </row>
    <row r="1579" customFormat="false" ht="15" hidden="false" customHeight="false" outlineLevel="0" collapsed="false">
      <c r="A1579" s="14" t="s">
        <v>1033</v>
      </c>
      <c r="B1579" s="14" t="s">
        <v>1019</v>
      </c>
      <c r="C1579" s="14" t="s">
        <v>196</v>
      </c>
      <c r="D1579" s="14" t="s">
        <v>186</v>
      </c>
      <c r="E1579" s="14" t="s">
        <v>157</v>
      </c>
      <c r="F1579" s="14" t="s">
        <v>183</v>
      </c>
      <c r="G1579" s="14" t="n">
        <v>2</v>
      </c>
      <c r="H1579" s="14" t="s">
        <v>153</v>
      </c>
      <c r="I1579" s="14" t="s">
        <v>890</v>
      </c>
      <c r="J1579" s="15" t="n">
        <f aca="false">IF(B1579="SITE LOSS",IF(D1579=C1579,1,0),IF(B1579="REGION LOSS",IF(E1579=C1579,1,0),0))</f>
        <v>0</v>
      </c>
      <c r="K1579" s="15" t="n">
        <f aca="false">IF(B1579="SITE LOSS",IF(COUNTIFS('Site Dockets'!$B$7:$B$24,C1579,'Site Dockets'!$C$7:$C$24,F1579)&gt;0,1,0),IF(B1579="REGION LOSS",IF(COUNTIFS('Site Dockets'!$E$7:$E$24,C1579,'Site Dockets'!$C$7:$C$24,F1579)&gt;0,1,0),0))</f>
        <v>0</v>
      </c>
      <c r="L1579" s="15" t="n">
        <f aca="false">IF(J1579=1,0,Inputs!$B$11)</f>
        <v>100</v>
      </c>
      <c r="M1579" s="15" t="n">
        <f aca="false">IF(J1579=1,0,Inputs!$B$12)</f>
        <v>75</v>
      </c>
      <c r="N1579" s="15" t="n">
        <f aca="false">IF(J1579=1,0,IF(OR(AND(OR(B1579="SITE LOSS",B1579="REGION LOSS"),K1579=1),AND(B1579="ROLE COMPROMISE",H1579=C1579)),Inputs!$B$13,Inputs!$B$14))</f>
        <v>10</v>
      </c>
      <c r="O1579" s="15" t="n">
        <f aca="false">IF(J1579=1,0,Inputs!$B$13)</f>
        <v>20</v>
      </c>
      <c r="P1579" s="15" t="n">
        <f aca="false">SUM(M1579:N1579)</f>
        <v>85</v>
      </c>
      <c r="Q1579" s="15" t="n">
        <f aca="false">IF(J1579=1,"",L1579-P1579)</f>
        <v>15</v>
      </c>
      <c r="R1579" s="15" t="n">
        <f aca="false">IF(OR(J1579=1,M1579&lt;=Inputs!$B$12),1,0)</f>
        <v>1</v>
      </c>
      <c r="S1579" s="15" t="n">
        <f aca="false">IF(OR(J1579=1,N1579&lt;=O1579),1,0)</f>
        <v>1</v>
      </c>
      <c r="T1579" s="15" t="str">
        <f aca="false">IF(J1579=1,"OFFLINE",IF(AND(Q1579&gt;=Inputs!$B$15,R1579=1,S1579=1,P1579&lt;=L1579),"PASS","FAIL"))</f>
        <v>PASS</v>
      </c>
    </row>
    <row r="1580" customFormat="false" ht="15" hidden="false" customHeight="false" outlineLevel="0" collapsed="false">
      <c r="A1580" s="14" t="s">
        <v>1033</v>
      </c>
      <c r="B1580" s="14" t="s">
        <v>1019</v>
      </c>
      <c r="C1580" s="14" t="s">
        <v>196</v>
      </c>
      <c r="D1580" s="14" t="s">
        <v>186</v>
      </c>
      <c r="E1580" s="14" t="s">
        <v>157</v>
      </c>
      <c r="F1580" s="14" t="s">
        <v>183</v>
      </c>
      <c r="G1580" s="14" t="n">
        <v>2</v>
      </c>
      <c r="H1580" s="14" t="s">
        <v>153</v>
      </c>
      <c r="I1580" s="14" t="s">
        <v>892</v>
      </c>
      <c r="J1580" s="15" t="n">
        <f aca="false">IF(B1580="SITE LOSS",IF(D1580=C1580,1,0),IF(B1580="REGION LOSS",IF(E1580=C1580,1,0),0))</f>
        <v>0</v>
      </c>
      <c r="K1580" s="15" t="n">
        <f aca="false">IF(B1580="SITE LOSS",IF(COUNTIFS('Site Dockets'!$B$7:$B$24,C1580,'Site Dockets'!$C$7:$C$24,F1580)&gt;0,1,0),IF(B1580="REGION LOSS",IF(COUNTIFS('Site Dockets'!$E$7:$E$24,C1580,'Site Dockets'!$C$7:$C$24,F1580)&gt;0,1,0),0))</f>
        <v>0</v>
      </c>
      <c r="L1580" s="15" t="n">
        <f aca="false">IF(J1580=1,0,Inputs!$B$11)</f>
        <v>100</v>
      </c>
      <c r="M1580" s="15" t="n">
        <f aca="false">IF(J1580=1,0,Inputs!$B$12)</f>
        <v>75</v>
      </c>
      <c r="N1580" s="15" t="n">
        <f aca="false">IF(J1580=1,0,IF(OR(AND(OR(B1580="SITE LOSS",B1580="REGION LOSS"),K1580=1),AND(B1580="ROLE COMPROMISE",H1580=C1580)),Inputs!$B$13,Inputs!$B$14))</f>
        <v>10</v>
      </c>
      <c r="O1580" s="15" t="n">
        <f aca="false">IF(J1580=1,0,Inputs!$B$13)</f>
        <v>20</v>
      </c>
      <c r="P1580" s="15" t="n">
        <f aca="false">SUM(M1580:N1580)</f>
        <v>85</v>
      </c>
      <c r="Q1580" s="15" t="n">
        <f aca="false">IF(J1580=1,"",L1580-P1580)</f>
        <v>15</v>
      </c>
      <c r="R1580" s="15" t="n">
        <f aca="false">IF(OR(J1580=1,M1580&lt;=Inputs!$B$12),1,0)</f>
        <v>1</v>
      </c>
      <c r="S1580" s="15" t="n">
        <f aca="false">IF(OR(J1580=1,N1580&lt;=O1580),1,0)</f>
        <v>1</v>
      </c>
      <c r="T1580" s="15" t="str">
        <f aca="false">IF(J1580=1,"OFFLINE",IF(AND(Q1580&gt;=Inputs!$B$15,R1580=1,S1580=1,P1580&lt;=L1580),"PASS","FAIL"))</f>
        <v>PASS</v>
      </c>
    </row>
    <row r="1581" customFormat="false" ht="15" hidden="false" customHeight="false" outlineLevel="0" collapsed="false">
      <c r="A1581" s="14" t="s">
        <v>1033</v>
      </c>
      <c r="B1581" s="14" t="s">
        <v>1019</v>
      </c>
      <c r="C1581" s="14" t="s">
        <v>196</v>
      </c>
      <c r="D1581" s="14" t="s">
        <v>186</v>
      </c>
      <c r="E1581" s="14" t="s">
        <v>157</v>
      </c>
      <c r="F1581" s="14" t="s">
        <v>183</v>
      </c>
      <c r="G1581" s="14" t="n">
        <v>2</v>
      </c>
      <c r="H1581" s="14" t="s">
        <v>153</v>
      </c>
      <c r="I1581" s="14" t="s">
        <v>811</v>
      </c>
      <c r="J1581" s="15" t="n">
        <f aca="false">IF(B1581="SITE LOSS",IF(D1581=C1581,1,0),IF(B1581="REGION LOSS",IF(E1581=C1581,1,0),0))</f>
        <v>0</v>
      </c>
      <c r="K1581" s="15" t="n">
        <f aca="false">IF(B1581="SITE LOSS",IF(COUNTIFS('Site Dockets'!$B$7:$B$24,C1581,'Site Dockets'!$C$7:$C$24,F1581)&gt;0,1,0),IF(B1581="REGION LOSS",IF(COUNTIFS('Site Dockets'!$E$7:$E$24,C1581,'Site Dockets'!$C$7:$C$24,F1581)&gt;0,1,0),0))</f>
        <v>0</v>
      </c>
      <c r="L1581" s="15" t="n">
        <f aca="false">IF(J1581=1,0,Inputs!$B$11)</f>
        <v>100</v>
      </c>
      <c r="M1581" s="15" t="n">
        <f aca="false">IF(J1581=1,0,Inputs!$B$12)</f>
        <v>75</v>
      </c>
      <c r="N1581" s="15" t="n">
        <f aca="false">IF(J1581=1,0,IF(OR(AND(OR(B1581="SITE LOSS",B1581="REGION LOSS"),K1581=1),AND(B1581="ROLE COMPROMISE",H1581=C1581)),Inputs!$B$13,Inputs!$B$14))</f>
        <v>10</v>
      </c>
      <c r="O1581" s="15" t="n">
        <f aca="false">IF(J1581=1,0,Inputs!$B$13)</f>
        <v>20</v>
      </c>
      <c r="P1581" s="15" t="n">
        <f aca="false">SUM(M1581:N1581)</f>
        <v>85</v>
      </c>
      <c r="Q1581" s="15" t="n">
        <f aca="false">IF(J1581=1,"",L1581-P1581)</f>
        <v>15</v>
      </c>
      <c r="R1581" s="15" t="n">
        <f aca="false">IF(OR(J1581=1,M1581&lt;=Inputs!$B$12),1,0)</f>
        <v>1</v>
      </c>
      <c r="S1581" s="15" t="n">
        <f aca="false">IF(OR(J1581=1,N1581&lt;=O1581),1,0)</f>
        <v>1</v>
      </c>
      <c r="T1581" s="15" t="str">
        <f aca="false">IF(J1581=1,"OFFLINE",IF(AND(Q1581&gt;=Inputs!$B$15,R1581=1,S1581=1,P1581&lt;=L1581),"PASS","FAIL"))</f>
        <v>PASS</v>
      </c>
    </row>
    <row r="1582" customFormat="false" ht="15" hidden="false" customHeight="false" outlineLevel="0" collapsed="false">
      <c r="A1582" s="14" t="s">
        <v>1033</v>
      </c>
      <c r="B1582" s="14" t="s">
        <v>1019</v>
      </c>
      <c r="C1582" s="14" t="s">
        <v>196</v>
      </c>
      <c r="D1582" s="14" t="s">
        <v>186</v>
      </c>
      <c r="E1582" s="14" t="s">
        <v>157</v>
      </c>
      <c r="F1582" s="14" t="s">
        <v>183</v>
      </c>
      <c r="G1582" s="14" t="n">
        <v>2</v>
      </c>
      <c r="H1582" s="14" t="s">
        <v>153</v>
      </c>
      <c r="I1582" s="14" t="s">
        <v>895</v>
      </c>
      <c r="J1582" s="15" t="n">
        <f aca="false">IF(B1582="SITE LOSS",IF(D1582=C1582,1,0),IF(B1582="REGION LOSS",IF(E1582=C1582,1,0),0))</f>
        <v>0</v>
      </c>
      <c r="K1582" s="15" t="n">
        <f aca="false">IF(B1582="SITE LOSS",IF(COUNTIFS('Site Dockets'!$B$7:$B$24,C1582,'Site Dockets'!$C$7:$C$24,F1582)&gt;0,1,0),IF(B1582="REGION LOSS",IF(COUNTIFS('Site Dockets'!$E$7:$E$24,C1582,'Site Dockets'!$C$7:$C$24,F1582)&gt;0,1,0),0))</f>
        <v>0</v>
      </c>
      <c r="L1582" s="15" t="n">
        <f aca="false">IF(J1582=1,0,Inputs!$B$11)</f>
        <v>100</v>
      </c>
      <c r="M1582" s="15" t="n">
        <f aca="false">IF(J1582=1,0,Inputs!$B$12)</f>
        <v>75</v>
      </c>
      <c r="N1582" s="15" t="n">
        <f aca="false">IF(J1582=1,0,IF(OR(AND(OR(B1582="SITE LOSS",B1582="REGION LOSS"),K1582=1),AND(B1582="ROLE COMPROMISE",H1582=C1582)),Inputs!$B$13,Inputs!$B$14))</f>
        <v>10</v>
      </c>
      <c r="O1582" s="15" t="n">
        <f aca="false">IF(J1582=1,0,Inputs!$B$13)</f>
        <v>20</v>
      </c>
      <c r="P1582" s="15" t="n">
        <f aca="false">SUM(M1582:N1582)</f>
        <v>85</v>
      </c>
      <c r="Q1582" s="15" t="n">
        <f aca="false">IF(J1582=1,"",L1582-P1582)</f>
        <v>15</v>
      </c>
      <c r="R1582" s="15" t="n">
        <f aca="false">IF(OR(J1582=1,M1582&lt;=Inputs!$B$12),1,0)</f>
        <v>1</v>
      </c>
      <c r="S1582" s="15" t="n">
        <f aca="false">IF(OR(J1582=1,N1582&lt;=O1582),1,0)</f>
        <v>1</v>
      </c>
      <c r="T1582" s="15" t="str">
        <f aca="false">IF(J1582=1,"OFFLINE",IF(AND(Q1582&gt;=Inputs!$B$15,R1582=1,S1582=1,P1582&lt;=L1582),"PASS","FAIL"))</f>
        <v>PASS</v>
      </c>
    </row>
    <row r="1583" customFormat="false" ht="15" hidden="false" customHeight="false" outlineLevel="0" collapsed="false">
      <c r="A1583" s="14" t="s">
        <v>1033</v>
      </c>
      <c r="B1583" s="14" t="s">
        <v>1019</v>
      </c>
      <c r="C1583" s="14" t="s">
        <v>196</v>
      </c>
      <c r="D1583" s="14" t="s">
        <v>186</v>
      </c>
      <c r="E1583" s="14" t="s">
        <v>157</v>
      </c>
      <c r="F1583" s="14" t="s">
        <v>183</v>
      </c>
      <c r="G1583" s="14" t="n">
        <v>2</v>
      </c>
      <c r="H1583" s="14" t="s">
        <v>153</v>
      </c>
      <c r="I1583" s="14" t="s">
        <v>897</v>
      </c>
      <c r="J1583" s="15" t="n">
        <f aca="false">IF(B1583="SITE LOSS",IF(D1583=C1583,1,0),IF(B1583="REGION LOSS",IF(E1583=C1583,1,0),0))</f>
        <v>0</v>
      </c>
      <c r="K1583" s="15" t="n">
        <f aca="false">IF(B1583="SITE LOSS",IF(COUNTIFS('Site Dockets'!$B$7:$B$24,C1583,'Site Dockets'!$C$7:$C$24,F1583)&gt;0,1,0),IF(B1583="REGION LOSS",IF(COUNTIFS('Site Dockets'!$E$7:$E$24,C1583,'Site Dockets'!$C$7:$C$24,F1583)&gt;0,1,0),0))</f>
        <v>0</v>
      </c>
      <c r="L1583" s="15" t="n">
        <f aca="false">IF(J1583=1,0,Inputs!$B$11)</f>
        <v>100</v>
      </c>
      <c r="M1583" s="15" t="n">
        <f aca="false">IF(J1583=1,0,Inputs!$B$12)</f>
        <v>75</v>
      </c>
      <c r="N1583" s="15" t="n">
        <f aca="false">IF(J1583=1,0,IF(OR(AND(OR(B1583="SITE LOSS",B1583="REGION LOSS"),K1583=1),AND(B1583="ROLE COMPROMISE",H1583=C1583)),Inputs!$B$13,Inputs!$B$14))</f>
        <v>10</v>
      </c>
      <c r="O1583" s="15" t="n">
        <f aca="false">IF(J1583=1,0,Inputs!$B$13)</f>
        <v>20</v>
      </c>
      <c r="P1583" s="15" t="n">
        <f aca="false">SUM(M1583:N1583)</f>
        <v>85</v>
      </c>
      <c r="Q1583" s="15" t="n">
        <f aca="false">IF(J1583=1,"",L1583-P1583)</f>
        <v>15</v>
      </c>
      <c r="R1583" s="15" t="n">
        <f aca="false">IF(OR(J1583=1,M1583&lt;=Inputs!$B$12),1,0)</f>
        <v>1</v>
      </c>
      <c r="S1583" s="15" t="n">
        <f aca="false">IF(OR(J1583=1,N1583&lt;=O1583),1,0)</f>
        <v>1</v>
      </c>
      <c r="T1583" s="15" t="str">
        <f aca="false">IF(J1583=1,"OFFLINE",IF(AND(Q1583&gt;=Inputs!$B$15,R1583=1,S1583=1,P1583&lt;=L1583),"PASS","FAIL"))</f>
        <v>PASS</v>
      </c>
    </row>
    <row r="1584" customFormat="false" ht="15" hidden="false" customHeight="false" outlineLevel="0" collapsed="false">
      <c r="A1584" s="14" t="s">
        <v>1033</v>
      </c>
      <c r="B1584" s="14" t="s">
        <v>1019</v>
      </c>
      <c r="C1584" s="14" t="s">
        <v>196</v>
      </c>
      <c r="D1584" s="14" t="s">
        <v>186</v>
      </c>
      <c r="E1584" s="14" t="s">
        <v>157</v>
      </c>
      <c r="F1584" s="14" t="s">
        <v>183</v>
      </c>
      <c r="G1584" s="14" t="n">
        <v>2</v>
      </c>
      <c r="H1584" s="14" t="s">
        <v>153</v>
      </c>
      <c r="I1584" s="14" t="s">
        <v>899</v>
      </c>
      <c r="J1584" s="15" t="n">
        <f aca="false">IF(B1584="SITE LOSS",IF(D1584=C1584,1,0),IF(B1584="REGION LOSS",IF(E1584=C1584,1,0),0))</f>
        <v>0</v>
      </c>
      <c r="K1584" s="15" t="n">
        <f aca="false">IF(B1584="SITE LOSS",IF(COUNTIFS('Site Dockets'!$B$7:$B$24,C1584,'Site Dockets'!$C$7:$C$24,F1584)&gt;0,1,0),IF(B1584="REGION LOSS",IF(COUNTIFS('Site Dockets'!$E$7:$E$24,C1584,'Site Dockets'!$C$7:$C$24,F1584)&gt;0,1,0),0))</f>
        <v>0</v>
      </c>
      <c r="L1584" s="15" t="n">
        <f aca="false">IF(J1584=1,0,Inputs!$B$11)</f>
        <v>100</v>
      </c>
      <c r="M1584" s="15" t="n">
        <f aca="false">IF(J1584=1,0,Inputs!$B$12)</f>
        <v>75</v>
      </c>
      <c r="N1584" s="15" t="n">
        <f aca="false">IF(J1584=1,0,IF(OR(AND(OR(B1584="SITE LOSS",B1584="REGION LOSS"),K1584=1),AND(B1584="ROLE COMPROMISE",H1584=C1584)),Inputs!$B$13,Inputs!$B$14))</f>
        <v>10</v>
      </c>
      <c r="O1584" s="15" t="n">
        <f aca="false">IF(J1584=1,0,Inputs!$B$13)</f>
        <v>20</v>
      </c>
      <c r="P1584" s="15" t="n">
        <f aca="false">SUM(M1584:N1584)</f>
        <v>85</v>
      </c>
      <c r="Q1584" s="15" t="n">
        <f aca="false">IF(J1584=1,"",L1584-P1584)</f>
        <v>15</v>
      </c>
      <c r="R1584" s="15" t="n">
        <f aca="false">IF(OR(J1584=1,M1584&lt;=Inputs!$B$12),1,0)</f>
        <v>1</v>
      </c>
      <c r="S1584" s="15" t="n">
        <f aca="false">IF(OR(J1584=1,N1584&lt;=O1584),1,0)</f>
        <v>1</v>
      </c>
      <c r="T1584" s="15" t="str">
        <f aca="false">IF(J1584=1,"OFFLINE",IF(AND(Q1584&gt;=Inputs!$B$15,R1584=1,S1584=1,P1584&lt;=L1584),"PASS","FAIL"))</f>
        <v>PASS</v>
      </c>
    </row>
    <row r="1585" customFormat="false" ht="15" hidden="false" customHeight="false" outlineLevel="0" collapsed="false">
      <c r="A1585" s="14" t="s">
        <v>1033</v>
      </c>
      <c r="B1585" s="14" t="s">
        <v>1019</v>
      </c>
      <c r="C1585" s="14" t="s">
        <v>196</v>
      </c>
      <c r="D1585" s="14" t="s">
        <v>188</v>
      </c>
      <c r="E1585" s="14" t="s">
        <v>172</v>
      </c>
      <c r="F1585" s="14" t="s">
        <v>183</v>
      </c>
      <c r="G1585" s="14" t="n">
        <v>3</v>
      </c>
      <c r="H1585" s="14" t="s">
        <v>158</v>
      </c>
      <c r="I1585" s="14" t="s">
        <v>890</v>
      </c>
      <c r="J1585" s="15" t="n">
        <f aca="false">IF(B1585="SITE LOSS",IF(D1585=C1585,1,0),IF(B1585="REGION LOSS",IF(E1585=C1585,1,0),0))</f>
        <v>0</v>
      </c>
      <c r="K1585" s="15" t="n">
        <f aca="false">IF(B1585="SITE LOSS",IF(COUNTIFS('Site Dockets'!$B$7:$B$24,C1585,'Site Dockets'!$C$7:$C$24,F1585)&gt;0,1,0),IF(B1585="REGION LOSS",IF(COUNTIFS('Site Dockets'!$E$7:$E$24,C1585,'Site Dockets'!$C$7:$C$24,F1585)&gt;0,1,0),0))</f>
        <v>0</v>
      </c>
      <c r="L1585" s="15" t="n">
        <f aca="false">IF(J1585=1,0,Inputs!$B$11)</f>
        <v>100</v>
      </c>
      <c r="M1585" s="15" t="n">
        <f aca="false">IF(J1585=1,0,Inputs!$B$12)</f>
        <v>75</v>
      </c>
      <c r="N1585" s="15" t="n">
        <f aca="false">IF(J1585=1,0,IF(OR(AND(OR(B1585="SITE LOSS",B1585="REGION LOSS"),K1585=1),AND(B1585="ROLE COMPROMISE",H1585=C1585)),Inputs!$B$13,Inputs!$B$14))</f>
        <v>10</v>
      </c>
      <c r="O1585" s="15" t="n">
        <f aca="false">IF(J1585=1,0,Inputs!$B$13)</f>
        <v>20</v>
      </c>
      <c r="P1585" s="15" t="n">
        <f aca="false">SUM(M1585:N1585)</f>
        <v>85</v>
      </c>
      <c r="Q1585" s="15" t="n">
        <f aca="false">IF(J1585=1,"",L1585-P1585)</f>
        <v>15</v>
      </c>
      <c r="R1585" s="15" t="n">
        <f aca="false">IF(OR(J1585=1,M1585&lt;=Inputs!$B$12),1,0)</f>
        <v>1</v>
      </c>
      <c r="S1585" s="15" t="n">
        <f aca="false">IF(OR(J1585=1,N1585&lt;=O1585),1,0)</f>
        <v>1</v>
      </c>
      <c r="T1585" s="15" t="str">
        <f aca="false">IF(J1585=1,"OFFLINE",IF(AND(Q1585&gt;=Inputs!$B$15,R1585=1,S1585=1,P1585&lt;=L1585),"PASS","FAIL"))</f>
        <v>PASS</v>
      </c>
    </row>
    <row r="1586" customFormat="false" ht="15" hidden="false" customHeight="false" outlineLevel="0" collapsed="false">
      <c r="A1586" s="14" t="s">
        <v>1033</v>
      </c>
      <c r="B1586" s="14" t="s">
        <v>1019</v>
      </c>
      <c r="C1586" s="14" t="s">
        <v>196</v>
      </c>
      <c r="D1586" s="14" t="s">
        <v>188</v>
      </c>
      <c r="E1586" s="14" t="s">
        <v>172</v>
      </c>
      <c r="F1586" s="14" t="s">
        <v>183</v>
      </c>
      <c r="G1586" s="14" t="n">
        <v>3</v>
      </c>
      <c r="H1586" s="14" t="s">
        <v>158</v>
      </c>
      <c r="I1586" s="14" t="s">
        <v>892</v>
      </c>
      <c r="J1586" s="15" t="n">
        <f aca="false">IF(B1586="SITE LOSS",IF(D1586=C1586,1,0),IF(B1586="REGION LOSS",IF(E1586=C1586,1,0),0))</f>
        <v>0</v>
      </c>
      <c r="K1586" s="15" t="n">
        <f aca="false">IF(B1586="SITE LOSS",IF(COUNTIFS('Site Dockets'!$B$7:$B$24,C1586,'Site Dockets'!$C$7:$C$24,F1586)&gt;0,1,0),IF(B1586="REGION LOSS",IF(COUNTIFS('Site Dockets'!$E$7:$E$24,C1586,'Site Dockets'!$C$7:$C$24,F1586)&gt;0,1,0),0))</f>
        <v>0</v>
      </c>
      <c r="L1586" s="15" t="n">
        <f aca="false">IF(J1586=1,0,Inputs!$B$11)</f>
        <v>100</v>
      </c>
      <c r="M1586" s="15" t="n">
        <f aca="false">IF(J1586=1,0,Inputs!$B$12)</f>
        <v>75</v>
      </c>
      <c r="N1586" s="15" t="n">
        <f aca="false">IF(J1586=1,0,IF(OR(AND(OR(B1586="SITE LOSS",B1586="REGION LOSS"),K1586=1),AND(B1586="ROLE COMPROMISE",H1586=C1586)),Inputs!$B$13,Inputs!$B$14))</f>
        <v>10</v>
      </c>
      <c r="O1586" s="15" t="n">
        <f aca="false">IF(J1586=1,0,Inputs!$B$13)</f>
        <v>20</v>
      </c>
      <c r="P1586" s="15" t="n">
        <f aca="false">SUM(M1586:N1586)</f>
        <v>85</v>
      </c>
      <c r="Q1586" s="15" t="n">
        <f aca="false">IF(J1586=1,"",L1586-P1586)</f>
        <v>15</v>
      </c>
      <c r="R1586" s="15" t="n">
        <f aca="false">IF(OR(J1586=1,M1586&lt;=Inputs!$B$12),1,0)</f>
        <v>1</v>
      </c>
      <c r="S1586" s="15" t="n">
        <f aca="false">IF(OR(J1586=1,N1586&lt;=O1586),1,0)</f>
        <v>1</v>
      </c>
      <c r="T1586" s="15" t="str">
        <f aca="false">IF(J1586=1,"OFFLINE",IF(AND(Q1586&gt;=Inputs!$B$15,R1586=1,S1586=1,P1586&lt;=L1586),"PASS","FAIL"))</f>
        <v>PASS</v>
      </c>
    </row>
    <row r="1587" customFormat="false" ht="15" hidden="false" customHeight="false" outlineLevel="0" collapsed="false">
      <c r="A1587" s="14" t="s">
        <v>1033</v>
      </c>
      <c r="B1587" s="14" t="s">
        <v>1019</v>
      </c>
      <c r="C1587" s="14" t="s">
        <v>196</v>
      </c>
      <c r="D1587" s="14" t="s">
        <v>188</v>
      </c>
      <c r="E1587" s="14" t="s">
        <v>172</v>
      </c>
      <c r="F1587" s="14" t="s">
        <v>183</v>
      </c>
      <c r="G1587" s="14" t="n">
        <v>3</v>
      </c>
      <c r="H1587" s="14" t="s">
        <v>158</v>
      </c>
      <c r="I1587" s="14" t="s">
        <v>811</v>
      </c>
      <c r="J1587" s="15" t="n">
        <f aca="false">IF(B1587="SITE LOSS",IF(D1587=C1587,1,0),IF(B1587="REGION LOSS",IF(E1587=C1587,1,0),0))</f>
        <v>0</v>
      </c>
      <c r="K1587" s="15" t="n">
        <f aca="false">IF(B1587="SITE LOSS",IF(COUNTIFS('Site Dockets'!$B$7:$B$24,C1587,'Site Dockets'!$C$7:$C$24,F1587)&gt;0,1,0),IF(B1587="REGION LOSS",IF(COUNTIFS('Site Dockets'!$E$7:$E$24,C1587,'Site Dockets'!$C$7:$C$24,F1587)&gt;0,1,0),0))</f>
        <v>0</v>
      </c>
      <c r="L1587" s="15" t="n">
        <f aca="false">IF(J1587=1,0,Inputs!$B$11)</f>
        <v>100</v>
      </c>
      <c r="M1587" s="15" t="n">
        <f aca="false">IF(J1587=1,0,Inputs!$B$12)</f>
        <v>75</v>
      </c>
      <c r="N1587" s="15" t="n">
        <f aca="false">IF(J1587=1,0,IF(OR(AND(OR(B1587="SITE LOSS",B1587="REGION LOSS"),K1587=1),AND(B1587="ROLE COMPROMISE",H1587=C1587)),Inputs!$B$13,Inputs!$B$14))</f>
        <v>10</v>
      </c>
      <c r="O1587" s="15" t="n">
        <f aca="false">IF(J1587=1,0,Inputs!$B$13)</f>
        <v>20</v>
      </c>
      <c r="P1587" s="15" t="n">
        <f aca="false">SUM(M1587:N1587)</f>
        <v>85</v>
      </c>
      <c r="Q1587" s="15" t="n">
        <f aca="false">IF(J1587=1,"",L1587-P1587)</f>
        <v>15</v>
      </c>
      <c r="R1587" s="15" t="n">
        <f aca="false">IF(OR(J1587=1,M1587&lt;=Inputs!$B$12),1,0)</f>
        <v>1</v>
      </c>
      <c r="S1587" s="15" t="n">
        <f aca="false">IF(OR(J1587=1,N1587&lt;=O1587),1,0)</f>
        <v>1</v>
      </c>
      <c r="T1587" s="15" t="str">
        <f aca="false">IF(J1587=1,"OFFLINE",IF(AND(Q1587&gt;=Inputs!$B$15,R1587=1,S1587=1,P1587&lt;=L1587),"PASS","FAIL"))</f>
        <v>PASS</v>
      </c>
    </row>
    <row r="1588" customFormat="false" ht="15" hidden="false" customHeight="false" outlineLevel="0" collapsed="false">
      <c r="A1588" s="14" t="s">
        <v>1033</v>
      </c>
      <c r="B1588" s="14" t="s">
        <v>1019</v>
      </c>
      <c r="C1588" s="14" t="s">
        <v>196</v>
      </c>
      <c r="D1588" s="14" t="s">
        <v>188</v>
      </c>
      <c r="E1588" s="14" t="s">
        <v>172</v>
      </c>
      <c r="F1588" s="14" t="s">
        <v>183</v>
      </c>
      <c r="G1588" s="14" t="n">
        <v>3</v>
      </c>
      <c r="H1588" s="14" t="s">
        <v>158</v>
      </c>
      <c r="I1588" s="14" t="s">
        <v>895</v>
      </c>
      <c r="J1588" s="15" t="n">
        <f aca="false">IF(B1588="SITE LOSS",IF(D1588=C1588,1,0),IF(B1588="REGION LOSS",IF(E1588=C1588,1,0),0))</f>
        <v>0</v>
      </c>
      <c r="K1588" s="15" t="n">
        <f aca="false">IF(B1588="SITE LOSS",IF(COUNTIFS('Site Dockets'!$B$7:$B$24,C1588,'Site Dockets'!$C$7:$C$24,F1588)&gt;0,1,0),IF(B1588="REGION LOSS",IF(COUNTIFS('Site Dockets'!$E$7:$E$24,C1588,'Site Dockets'!$C$7:$C$24,F1588)&gt;0,1,0),0))</f>
        <v>0</v>
      </c>
      <c r="L1588" s="15" t="n">
        <f aca="false">IF(J1588=1,0,Inputs!$B$11)</f>
        <v>100</v>
      </c>
      <c r="M1588" s="15" t="n">
        <f aca="false">IF(J1588=1,0,Inputs!$B$12)</f>
        <v>75</v>
      </c>
      <c r="N1588" s="15" t="n">
        <f aca="false">IF(J1588=1,0,IF(OR(AND(OR(B1588="SITE LOSS",B1588="REGION LOSS"),K1588=1),AND(B1588="ROLE COMPROMISE",H1588=C1588)),Inputs!$B$13,Inputs!$B$14))</f>
        <v>10</v>
      </c>
      <c r="O1588" s="15" t="n">
        <f aca="false">IF(J1588=1,0,Inputs!$B$13)</f>
        <v>20</v>
      </c>
      <c r="P1588" s="15" t="n">
        <f aca="false">SUM(M1588:N1588)</f>
        <v>85</v>
      </c>
      <c r="Q1588" s="15" t="n">
        <f aca="false">IF(J1588=1,"",L1588-P1588)</f>
        <v>15</v>
      </c>
      <c r="R1588" s="15" t="n">
        <f aca="false">IF(OR(J1588=1,M1588&lt;=Inputs!$B$12),1,0)</f>
        <v>1</v>
      </c>
      <c r="S1588" s="15" t="n">
        <f aca="false">IF(OR(J1588=1,N1588&lt;=O1588),1,0)</f>
        <v>1</v>
      </c>
      <c r="T1588" s="15" t="str">
        <f aca="false">IF(J1588=1,"OFFLINE",IF(AND(Q1588&gt;=Inputs!$B$15,R1588=1,S1588=1,P1588&lt;=L1588),"PASS","FAIL"))</f>
        <v>PASS</v>
      </c>
    </row>
    <row r="1589" customFormat="false" ht="15" hidden="false" customHeight="false" outlineLevel="0" collapsed="false">
      <c r="A1589" s="14" t="s">
        <v>1033</v>
      </c>
      <c r="B1589" s="14" t="s">
        <v>1019</v>
      </c>
      <c r="C1589" s="14" t="s">
        <v>196</v>
      </c>
      <c r="D1589" s="14" t="s">
        <v>188</v>
      </c>
      <c r="E1589" s="14" t="s">
        <v>172</v>
      </c>
      <c r="F1589" s="14" t="s">
        <v>183</v>
      </c>
      <c r="G1589" s="14" t="n">
        <v>3</v>
      </c>
      <c r="H1589" s="14" t="s">
        <v>158</v>
      </c>
      <c r="I1589" s="14" t="s">
        <v>897</v>
      </c>
      <c r="J1589" s="15" t="n">
        <f aca="false">IF(B1589="SITE LOSS",IF(D1589=C1589,1,0),IF(B1589="REGION LOSS",IF(E1589=C1589,1,0),0))</f>
        <v>0</v>
      </c>
      <c r="K1589" s="15" t="n">
        <f aca="false">IF(B1589="SITE LOSS",IF(COUNTIFS('Site Dockets'!$B$7:$B$24,C1589,'Site Dockets'!$C$7:$C$24,F1589)&gt;0,1,0),IF(B1589="REGION LOSS",IF(COUNTIFS('Site Dockets'!$E$7:$E$24,C1589,'Site Dockets'!$C$7:$C$24,F1589)&gt;0,1,0),0))</f>
        <v>0</v>
      </c>
      <c r="L1589" s="15" t="n">
        <f aca="false">IF(J1589=1,0,Inputs!$B$11)</f>
        <v>100</v>
      </c>
      <c r="M1589" s="15" t="n">
        <f aca="false">IF(J1589=1,0,Inputs!$B$12)</f>
        <v>75</v>
      </c>
      <c r="N1589" s="15" t="n">
        <f aca="false">IF(J1589=1,0,IF(OR(AND(OR(B1589="SITE LOSS",B1589="REGION LOSS"),K1589=1),AND(B1589="ROLE COMPROMISE",H1589=C1589)),Inputs!$B$13,Inputs!$B$14))</f>
        <v>10</v>
      </c>
      <c r="O1589" s="15" t="n">
        <f aca="false">IF(J1589=1,0,Inputs!$B$13)</f>
        <v>20</v>
      </c>
      <c r="P1589" s="15" t="n">
        <f aca="false">SUM(M1589:N1589)</f>
        <v>85</v>
      </c>
      <c r="Q1589" s="15" t="n">
        <f aca="false">IF(J1589=1,"",L1589-P1589)</f>
        <v>15</v>
      </c>
      <c r="R1589" s="15" t="n">
        <f aca="false">IF(OR(J1589=1,M1589&lt;=Inputs!$B$12),1,0)</f>
        <v>1</v>
      </c>
      <c r="S1589" s="15" t="n">
        <f aca="false">IF(OR(J1589=1,N1589&lt;=O1589),1,0)</f>
        <v>1</v>
      </c>
      <c r="T1589" s="15" t="str">
        <f aca="false">IF(J1589=1,"OFFLINE",IF(AND(Q1589&gt;=Inputs!$B$15,R1589=1,S1589=1,P1589&lt;=L1589),"PASS","FAIL"))</f>
        <v>PASS</v>
      </c>
    </row>
    <row r="1590" customFormat="false" ht="15" hidden="false" customHeight="false" outlineLevel="0" collapsed="false">
      <c r="A1590" s="14" t="s">
        <v>1033</v>
      </c>
      <c r="B1590" s="14" t="s">
        <v>1019</v>
      </c>
      <c r="C1590" s="14" t="s">
        <v>196</v>
      </c>
      <c r="D1590" s="14" t="s">
        <v>188</v>
      </c>
      <c r="E1590" s="14" t="s">
        <v>172</v>
      </c>
      <c r="F1590" s="14" t="s">
        <v>183</v>
      </c>
      <c r="G1590" s="14" t="n">
        <v>3</v>
      </c>
      <c r="H1590" s="14" t="s">
        <v>158</v>
      </c>
      <c r="I1590" s="14" t="s">
        <v>899</v>
      </c>
      <c r="J1590" s="15" t="n">
        <f aca="false">IF(B1590="SITE LOSS",IF(D1590=C1590,1,0),IF(B1590="REGION LOSS",IF(E1590=C1590,1,0),0))</f>
        <v>0</v>
      </c>
      <c r="K1590" s="15" t="n">
        <f aca="false">IF(B1590="SITE LOSS",IF(COUNTIFS('Site Dockets'!$B$7:$B$24,C1590,'Site Dockets'!$C$7:$C$24,F1590)&gt;0,1,0),IF(B1590="REGION LOSS",IF(COUNTIFS('Site Dockets'!$E$7:$E$24,C1590,'Site Dockets'!$C$7:$C$24,F1590)&gt;0,1,0),0))</f>
        <v>0</v>
      </c>
      <c r="L1590" s="15" t="n">
        <f aca="false">IF(J1590=1,0,Inputs!$B$11)</f>
        <v>100</v>
      </c>
      <c r="M1590" s="15" t="n">
        <f aca="false">IF(J1590=1,0,Inputs!$B$12)</f>
        <v>75</v>
      </c>
      <c r="N1590" s="15" t="n">
        <f aca="false">IF(J1590=1,0,IF(OR(AND(OR(B1590="SITE LOSS",B1590="REGION LOSS"),K1590=1),AND(B1590="ROLE COMPROMISE",H1590=C1590)),Inputs!$B$13,Inputs!$B$14))</f>
        <v>10</v>
      </c>
      <c r="O1590" s="15" t="n">
        <f aca="false">IF(J1590=1,0,Inputs!$B$13)</f>
        <v>20</v>
      </c>
      <c r="P1590" s="15" t="n">
        <f aca="false">SUM(M1590:N1590)</f>
        <v>85</v>
      </c>
      <c r="Q1590" s="15" t="n">
        <f aca="false">IF(J1590=1,"",L1590-P1590)</f>
        <v>15</v>
      </c>
      <c r="R1590" s="15" t="n">
        <f aca="false">IF(OR(J1590=1,M1590&lt;=Inputs!$B$12),1,0)</f>
        <v>1</v>
      </c>
      <c r="S1590" s="15" t="n">
        <f aca="false">IF(OR(J1590=1,N1590&lt;=O1590),1,0)</f>
        <v>1</v>
      </c>
      <c r="T1590" s="15" t="str">
        <f aca="false">IF(J1590=1,"OFFLINE",IF(AND(Q1590&gt;=Inputs!$B$15,R1590=1,S1590=1,P1590&lt;=L1590),"PASS","FAIL"))</f>
        <v>PASS</v>
      </c>
    </row>
    <row r="1591" customFormat="false" ht="15" hidden="false" customHeight="false" outlineLevel="0" collapsed="false">
      <c r="A1591" s="14" t="s">
        <v>1033</v>
      </c>
      <c r="B1591" s="14" t="s">
        <v>1019</v>
      </c>
      <c r="C1591" s="14" t="s">
        <v>196</v>
      </c>
      <c r="D1591" s="14" t="s">
        <v>190</v>
      </c>
      <c r="E1591" s="14" t="s">
        <v>152</v>
      </c>
      <c r="F1591" s="14" t="s">
        <v>191</v>
      </c>
      <c r="G1591" s="14" t="n">
        <v>1</v>
      </c>
      <c r="H1591" s="14" t="s">
        <v>154</v>
      </c>
      <c r="I1591" s="14" t="s">
        <v>890</v>
      </c>
      <c r="J1591" s="15" t="n">
        <f aca="false">IF(B1591="SITE LOSS",IF(D1591=C1591,1,0),IF(B1591="REGION LOSS",IF(E1591=C1591,1,0),0))</f>
        <v>0</v>
      </c>
      <c r="K1591" s="15" t="n">
        <f aca="false">IF(B1591="SITE LOSS",IF(COUNTIFS('Site Dockets'!$B$7:$B$24,C1591,'Site Dockets'!$C$7:$C$24,F1591)&gt;0,1,0),IF(B1591="REGION LOSS",IF(COUNTIFS('Site Dockets'!$E$7:$E$24,C1591,'Site Dockets'!$C$7:$C$24,F1591)&gt;0,1,0),0))</f>
        <v>1</v>
      </c>
      <c r="L1591" s="15" t="n">
        <f aca="false">IF(J1591=1,0,Inputs!$B$11)</f>
        <v>100</v>
      </c>
      <c r="M1591" s="15" t="n">
        <f aca="false">IF(J1591=1,0,Inputs!$B$12)</f>
        <v>75</v>
      </c>
      <c r="N1591" s="15" t="n">
        <f aca="false">IF(J1591=1,0,IF(OR(AND(OR(B1591="SITE LOSS",B1591="REGION LOSS"),K1591=1),AND(B1591="ROLE COMPROMISE",H1591=C1591)),Inputs!$B$13,Inputs!$B$14))</f>
        <v>20</v>
      </c>
      <c r="O1591" s="15" t="n">
        <f aca="false">IF(J1591=1,0,Inputs!$B$13)</f>
        <v>20</v>
      </c>
      <c r="P1591" s="15" t="n">
        <f aca="false">SUM(M1591:N1591)</f>
        <v>95</v>
      </c>
      <c r="Q1591" s="15" t="n">
        <f aca="false">IF(J1591=1,"",L1591-P1591)</f>
        <v>5</v>
      </c>
      <c r="R1591" s="15" t="n">
        <f aca="false">IF(OR(J1591=1,M1591&lt;=Inputs!$B$12),1,0)</f>
        <v>1</v>
      </c>
      <c r="S1591" s="15" t="n">
        <f aca="false">IF(OR(J1591=1,N1591&lt;=O1591),1,0)</f>
        <v>1</v>
      </c>
      <c r="T1591" s="15" t="str">
        <f aca="false">IF(J1591=1,"OFFLINE",IF(AND(Q1591&gt;=Inputs!$B$15,R1591=1,S1591=1,P1591&lt;=L1591),"PASS","FAIL"))</f>
        <v>PASS</v>
      </c>
    </row>
    <row r="1592" customFormat="false" ht="15" hidden="false" customHeight="false" outlineLevel="0" collapsed="false">
      <c r="A1592" s="14" t="s">
        <v>1033</v>
      </c>
      <c r="B1592" s="14" t="s">
        <v>1019</v>
      </c>
      <c r="C1592" s="14" t="s">
        <v>196</v>
      </c>
      <c r="D1592" s="14" t="s">
        <v>190</v>
      </c>
      <c r="E1592" s="14" t="s">
        <v>152</v>
      </c>
      <c r="F1592" s="14" t="s">
        <v>191</v>
      </c>
      <c r="G1592" s="14" t="n">
        <v>1</v>
      </c>
      <c r="H1592" s="14" t="s">
        <v>154</v>
      </c>
      <c r="I1592" s="14" t="s">
        <v>892</v>
      </c>
      <c r="J1592" s="15" t="n">
        <f aca="false">IF(B1592="SITE LOSS",IF(D1592=C1592,1,0),IF(B1592="REGION LOSS",IF(E1592=C1592,1,0),0))</f>
        <v>0</v>
      </c>
      <c r="K1592" s="15" t="n">
        <f aca="false">IF(B1592="SITE LOSS",IF(COUNTIFS('Site Dockets'!$B$7:$B$24,C1592,'Site Dockets'!$C$7:$C$24,F1592)&gt;0,1,0),IF(B1592="REGION LOSS",IF(COUNTIFS('Site Dockets'!$E$7:$E$24,C1592,'Site Dockets'!$C$7:$C$24,F1592)&gt;0,1,0),0))</f>
        <v>1</v>
      </c>
      <c r="L1592" s="15" t="n">
        <f aca="false">IF(J1592=1,0,Inputs!$B$11)</f>
        <v>100</v>
      </c>
      <c r="M1592" s="15" t="n">
        <f aca="false">IF(J1592=1,0,Inputs!$B$12)</f>
        <v>75</v>
      </c>
      <c r="N1592" s="15" t="n">
        <f aca="false">IF(J1592=1,0,IF(OR(AND(OR(B1592="SITE LOSS",B1592="REGION LOSS"),K1592=1),AND(B1592="ROLE COMPROMISE",H1592=C1592)),Inputs!$B$13,Inputs!$B$14))</f>
        <v>20</v>
      </c>
      <c r="O1592" s="15" t="n">
        <f aca="false">IF(J1592=1,0,Inputs!$B$13)</f>
        <v>20</v>
      </c>
      <c r="P1592" s="15" t="n">
        <f aca="false">SUM(M1592:N1592)</f>
        <v>95</v>
      </c>
      <c r="Q1592" s="15" t="n">
        <f aca="false">IF(J1592=1,"",L1592-P1592)</f>
        <v>5</v>
      </c>
      <c r="R1592" s="15" t="n">
        <f aca="false">IF(OR(J1592=1,M1592&lt;=Inputs!$B$12),1,0)</f>
        <v>1</v>
      </c>
      <c r="S1592" s="15" t="n">
        <f aca="false">IF(OR(J1592=1,N1592&lt;=O1592),1,0)</f>
        <v>1</v>
      </c>
      <c r="T1592" s="15" t="str">
        <f aca="false">IF(J1592=1,"OFFLINE",IF(AND(Q1592&gt;=Inputs!$B$15,R1592=1,S1592=1,P1592&lt;=L1592),"PASS","FAIL"))</f>
        <v>PASS</v>
      </c>
    </row>
    <row r="1593" customFormat="false" ht="15" hidden="false" customHeight="false" outlineLevel="0" collapsed="false">
      <c r="A1593" s="14" t="s">
        <v>1033</v>
      </c>
      <c r="B1593" s="14" t="s">
        <v>1019</v>
      </c>
      <c r="C1593" s="14" t="s">
        <v>196</v>
      </c>
      <c r="D1593" s="14" t="s">
        <v>190</v>
      </c>
      <c r="E1593" s="14" t="s">
        <v>152</v>
      </c>
      <c r="F1593" s="14" t="s">
        <v>191</v>
      </c>
      <c r="G1593" s="14" t="n">
        <v>1</v>
      </c>
      <c r="H1593" s="14" t="s">
        <v>154</v>
      </c>
      <c r="I1593" s="14" t="s">
        <v>811</v>
      </c>
      <c r="J1593" s="15" t="n">
        <f aca="false">IF(B1593="SITE LOSS",IF(D1593=C1593,1,0),IF(B1593="REGION LOSS",IF(E1593=C1593,1,0),0))</f>
        <v>0</v>
      </c>
      <c r="K1593" s="15" t="n">
        <f aca="false">IF(B1593="SITE LOSS",IF(COUNTIFS('Site Dockets'!$B$7:$B$24,C1593,'Site Dockets'!$C$7:$C$24,F1593)&gt;0,1,0),IF(B1593="REGION LOSS",IF(COUNTIFS('Site Dockets'!$E$7:$E$24,C1593,'Site Dockets'!$C$7:$C$24,F1593)&gt;0,1,0),0))</f>
        <v>1</v>
      </c>
      <c r="L1593" s="15" t="n">
        <f aca="false">IF(J1593=1,0,Inputs!$B$11)</f>
        <v>100</v>
      </c>
      <c r="M1593" s="15" t="n">
        <f aca="false">IF(J1593=1,0,Inputs!$B$12)</f>
        <v>75</v>
      </c>
      <c r="N1593" s="15" t="n">
        <f aca="false">IF(J1593=1,0,IF(OR(AND(OR(B1593="SITE LOSS",B1593="REGION LOSS"),K1593=1),AND(B1593="ROLE COMPROMISE",H1593=C1593)),Inputs!$B$13,Inputs!$B$14))</f>
        <v>20</v>
      </c>
      <c r="O1593" s="15" t="n">
        <f aca="false">IF(J1593=1,0,Inputs!$B$13)</f>
        <v>20</v>
      </c>
      <c r="P1593" s="15" t="n">
        <f aca="false">SUM(M1593:N1593)</f>
        <v>95</v>
      </c>
      <c r="Q1593" s="15" t="n">
        <f aca="false">IF(J1593=1,"",L1593-P1593)</f>
        <v>5</v>
      </c>
      <c r="R1593" s="15" t="n">
        <f aca="false">IF(OR(J1593=1,M1593&lt;=Inputs!$B$12),1,0)</f>
        <v>1</v>
      </c>
      <c r="S1593" s="15" t="n">
        <f aca="false">IF(OR(J1593=1,N1593&lt;=O1593),1,0)</f>
        <v>1</v>
      </c>
      <c r="T1593" s="15" t="str">
        <f aca="false">IF(J1593=1,"OFFLINE",IF(AND(Q1593&gt;=Inputs!$B$15,R1593=1,S1593=1,P1593&lt;=L1593),"PASS","FAIL"))</f>
        <v>PASS</v>
      </c>
    </row>
    <row r="1594" customFormat="false" ht="15" hidden="false" customHeight="false" outlineLevel="0" collapsed="false">
      <c r="A1594" s="14" t="s">
        <v>1033</v>
      </c>
      <c r="B1594" s="14" t="s">
        <v>1019</v>
      </c>
      <c r="C1594" s="14" t="s">
        <v>196</v>
      </c>
      <c r="D1594" s="14" t="s">
        <v>190</v>
      </c>
      <c r="E1594" s="14" t="s">
        <v>152</v>
      </c>
      <c r="F1594" s="14" t="s">
        <v>191</v>
      </c>
      <c r="G1594" s="14" t="n">
        <v>1</v>
      </c>
      <c r="H1594" s="14" t="s">
        <v>154</v>
      </c>
      <c r="I1594" s="14" t="s">
        <v>895</v>
      </c>
      <c r="J1594" s="15" t="n">
        <f aca="false">IF(B1594="SITE LOSS",IF(D1594=C1594,1,0),IF(B1594="REGION LOSS",IF(E1594=C1594,1,0),0))</f>
        <v>0</v>
      </c>
      <c r="K1594" s="15" t="n">
        <f aca="false">IF(B1594="SITE LOSS",IF(COUNTIFS('Site Dockets'!$B$7:$B$24,C1594,'Site Dockets'!$C$7:$C$24,F1594)&gt;0,1,0),IF(B1594="REGION LOSS",IF(COUNTIFS('Site Dockets'!$E$7:$E$24,C1594,'Site Dockets'!$C$7:$C$24,F1594)&gt;0,1,0),0))</f>
        <v>1</v>
      </c>
      <c r="L1594" s="15" t="n">
        <f aca="false">IF(J1594=1,0,Inputs!$B$11)</f>
        <v>100</v>
      </c>
      <c r="M1594" s="15" t="n">
        <f aca="false">IF(J1594=1,0,Inputs!$B$12)</f>
        <v>75</v>
      </c>
      <c r="N1594" s="15" t="n">
        <f aca="false">IF(J1594=1,0,IF(OR(AND(OR(B1594="SITE LOSS",B1594="REGION LOSS"),K1594=1),AND(B1594="ROLE COMPROMISE",H1594=C1594)),Inputs!$B$13,Inputs!$B$14))</f>
        <v>20</v>
      </c>
      <c r="O1594" s="15" t="n">
        <f aca="false">IF(J1594=1,0,Inputs!$B$13)</f>
        <v>20</v>
      </c>
      <c r="P1594" s="15" t="n">
        <f aca="false">SUM(M1594:N1594)</f>
        <v>95</v>
      </c>
      <c r="Q1594" s="15" t="n">
        <f aca="false">IF(J1594=1,"",L1594-P1594)</f>
        <v>5</v>
      </c>
      <c r="R1594" s="15" t="n">
        <f aca="false">IF(OR(J1594=1,M1594&lt;=Inputs!$B$12),1,0)</f>
        <v>1</v>
      </c>
      <c r="S1594" s="15" t="n">
        <f aca="false">IF(OR(J1594=1,N1594&lt;=O1594),1,0)</f>
        <v>1</v>
      </c>
      <c r="T1594" s="15" t="str">
        <f aca="false">IF(J1594=1,"OFFLINE",IF(AND(Q1594&gt;=Inputs!$B$15,R1594=1,S1594=1,P1594&lt;=L1594),"PASS","FAIL"))</f>
        <v>PASS</v>
      </c>
    </row>
    <row r="1595" customFormat="false" ht="15" hidden="false" customHeight="false" outlineLevel="0" collapsed="false">
      <c r="A1595" s="14" t="s">
        <v>1033</v>
      </c>
      <c r="B1595" s="14" t="s">
        <v>1019</v>
      </c>
      <c r="C1595" s="14" t="s">
        <v>196</v>
      </c>
      <c r="D1595" s="14" t="s">
        <v>190</v>
      </c>
      <c r="E1595" s="14" t="s">
        <v>152</v>
      </c>
      <c r="F1595" s="14" t="s">
        <v>191</v>
      </c>
      <c r="G1595" s="14" t="n">
        <v>1</v>
      </c>
      <c r="H1595" s="14" t="s">
        <v>154</v>
      </c>
      <c r="I1595" s="14" t="s">
        <v>897</v>
      </c>
      <c r="J1595" s="15" t="n">
        <f aca="false">IF(B1595="SITE LOSS",IF(D1595=C1595,1,0),IF(B1595="REGION LOSS",IF(E1595=C1595,1,0),0))</f>
        <v>0</v>
      </c>
      <c r="K1595" s="15" t="n">
        <f aca="false">IF(B1595="SITE LOSS",IF(COUNTIFS('Site Dockets'!$B$7:$B$24,C1595,'Site Dockets'!$C$7:$C$24,F1595)&gt;0,1,0),IF(B1595="REGION LOSS",IF(COUNTIFS('Site Dockets'!$E$7:$E$24,C1595,'Site Dockets'!$C$7:$C$24,F1595)&gt;0,1,0),0))</f>
        <v>1</v>
      </c>
      <c r="L1595" s="15" t="n">
        <f aca="false">IF(J1595=1,0,Inputs!$B$11)</f>
        <v>100</v>
      </c>
      <c r="M1595" s="15" t="n">
        <f aca="false">IF(J1595=1,0,Inputs!$B$12)</f>
        <v>75</v>
      </c>
      <c r="N1595" s="15" t="n">
        <f aca="false">IF(J1595=1,0,IF(OR(AND(OR(B1595="SITE LOSS",B1595="REGION LOSS"),K1595=1),AND(B1595="ROLE COMPROMISE",H1595=C1595)),Inputs!$B$13,Inputs!$B$14))</f>
        <v>20</v>
      </c>
      <c r="O1595" s="15" t="n">
        <f aca="false">IF(J1595=1,0,Inputs!$B$13)</f>
        <v>20</v>
      </c>
      <c r="P1595" s="15" t="n">
        <f aca="false">SUM(M1595:N1595)</f>
        <v>95</v>
      </c>
      <c r="Q1595" s="15" t="n">
        <f aca="false">IF(J1595=1,"",L1595-P1595)</f>
        <v>5</v>
      </c>
      <c r="R1595" s="15" t="n">
        <f aca="false">IF(OR(J1595=1,M1595&lt;=Inputs!$B$12),1,0)</f>
        <v>1</v>
      </c>
      <c r="S1595" s="15" t="n">
        <f aca="false">IF(OR(J1595=1,N1595&lt;=O1595),1,0)</f>
        <v>1</v>
      </c>
      <c r="T1595" s="15" t="str">
        <f aca="false">IF(J1595=1,"OFFLINE",IF(AND(Q1595&gt;=Inputs!$B$15,R1595=1,S1595=1,P1595&lt;=L1595),"PASS","FAIL"))</f>
        <v>PASS</v>
      </c>
    </row>
    <row r="1596" customFormat="false" ht="15" hidden="false" customHeight="false" outlineLevel="0" collapsed="false">
      <c r="A1596" s="14" t="s">
        <v>1033</v>
      </c>
      <c r="B1596" s="14" t="s">
        <v>1019</v>
      </c>
      <c r="C1596" s="14" t="s">
        <v>196</v>
      </c>
      <c r="D1596" s="14" t="s">
        <v>190</v>
      </c>
      <c r="E1596" s="14" t="s">
        <v>152</v>
      </c>
      <c r="F1596" s="14" t="s">
        <v>191</v>
      </c>
      <c r="G1596" s="14" t="n">
        <v>1</v>
      </c>
      <c r="H1596" s="14" t="s">
        <v>154</v>
      </c>
      <c r="I1596" s="14" t="s">
        <v>899</v>
      </c>
      <c r="J1596" s="15" t="n">
        <f aca="false">IF(B1596="SITE LOSS",IF(D1596=C1596,1,0),IF(B1596="REGION LOSS",IF(E1596=C1596,1,0),0))</f>
        <v>0</v>
      </c>
      <c r="K1596" s="15" t="n">
        <f aca="false">IF(B1596="SITE LOSS",IF(COUNTIFS('Site Dockets'!$B$7:$B$24,C1596,'Site Dockets'!$C$7:$C$24,F1596)&gt;0,1,0),IF(B1596="REGION LOSS",IF(COUNTIFS('Site Dockets'!$E$7:$E$24,C1596,'Site Dockets'!$C$7:$C$24,F1596)&gt;0,1,0),0))</f>
        <v>1</v>
      </c>
      <c r="L1596" s="15" t="n">
        <f aca="false">IF(J1596=1,0,Inputs!$B$11)</f>
        <v>100</v>
      </c>
      <c r="M1596" s="15" t="n">
        <f aca="false">IF(J1596=1,0,Inputs!$B$12)</f>
        <v>75</v>
      </c>
      <c r="N1596" s="15" t="n">
        <f aca="false">IF(J1596=1,0,IF(OR(AND(OR(B1596="SITE LOSS",B1596="REGION LOSS"),K1596=1),AND(B1596="ROLE COMPROMISE",H1596=C1596)),Inputs!$B$13,Inputs!$B$14))</f>
        <v>20</v>
      </c>
      <c r="O1596" s="15" t="n">
        <f aca="false">IF(J1596=1,0,Inputs!$B$13)</f>
        <v>20</v>
      </c>
      <c r="P1596" s="15" t="n">
        <f aca="false">SUM(M1596:N1596)</f>
        <v>95</v>
      </c>
      <c r="Q1596" s="15" t="n">
        <f aca="false">IF(J1596=1,"",L1596-P1596)</f>
        <v>5</v>
      </c>
      <c r="R1596" s="15" t="n">
        <f aca="false">IF(OR(J1596=1,M1596&lt;=Inputs!$B$12),1,0)</f>
        <v>1</v>
      </c>
      <c r="S1596" s="15" t="n">
        <f aca="false">IF(OR(J1596=1,N1596&lt;=O1596),1,0)</f>
        <v>1</v>
      </c>
      <c r="T1596" s="15" t="str">
        <f aca="false">IF(J1596=1,"OFFLINE",IF(AND(Q1596&gt;=Inputs!$B$15,R1596=1,S1596=1,P1596&lt;=L1596),"PASS","FAIL"))</f>
        <v>PASS</v>
      </c>
    </row>
    <row r="1597" customFormat="false" ht="15" hidden="false" customHeight="false" outlineLevel="0" collapsed="false">
      <c r="A1597" s="14" t="s">
        <v>1033</v>
      </c>
      <c r="B1597" s="14" t="s">
        <v>1019</v>
      </c>
      <c r="C1597" s="14" t="s">
        <v>196</v>
      </c>
      <c r="D1597" s="14" t="s">
        <v>194</v>
      </c>
      <c r="E1597" s="14" t="s">
        <v>169</v>
      </c>
      <c r="F1597" s="14" t="s">
        <v>191</v>
      </c>
      <c r="G1597" s="14" t="n">
        <v>2</v>
      </c>
      <c r="H1597" s="14" t="s">
        <v>153</v>
      </c>
      <c r="I1597" s="14" t="s">
        <v>890</v>
      </c>
      <c r="J1597" s="15" t="n">
        <f aca="false">IF(B1597="SITE LOSS",IF(D1597=C1597,1,0),IF(B1597="REGION LOSS",IF(E1597=C1597,1,0),0))</f>
        <v>0</v>
      </c>
      <c r="K1597" s="15" t="n">
        <f aca="false">IF(B1597="SITE LOSS",IF(COUNTIFS('Site Dockets'!$B$7:$B$24,C1597,'Site Dockets'!$C$7:$C$24,F1597)&gt;0,1,0),IF(B1597="REGION LOSS",IF(COUNTIFS('Site Dockets'!$E$7:$E$24,C1597,'Site Dockets'!$C$7:$C$24,F1597)&gt;0,1,0),0))</f>
        <v>1</v>
      </c>
      <c r="L1597" s="15" t="n">
        <f aca="false">IF(J1597=1,0,Inputs!$B$11)</f>
        <v>100</v>
      </c>
      <c r="M1597" s="15" t="n">
        <f aca="false">IF(J1597=1,0,Inputs!$B$12)</f>
        <v>75</v>
      </c>
      <c r="N1597" s="15" t="n">
        <f aca="false">IF(J1597=1,0,IF(OR(AND(OR(B1597="SITE LOSS",B1597="REGION LOSS"),K1597=1),AND(B1597="ROLE COMPROMISE",H1597=C1597)),Inputs!$B$13,Inputs!$B$14))</f>
        <v>20</v>
      </c>
      <c r="O1597" s="15" t="n">
        <f aca="false">IF(J1597=1,0,Inputs!$B$13)</f>
        <v>20</v>
      </c>
      <c r="P1597" s="15" t="n">
        <f aca="false">SUM(M1597:N1597)</f>
        <v>95</v>
      </c>
      <c r="Q1597" s="15" t="n">
        <f aca="false">IF(J1597=1,"",L1597-P1597)</f>
        <v>5</v>
      </c>
      <c r="R1597" s="15" t="n">
        <f aca="false">IF(OR(J1597=1,M1597&lt;=Inputs!$B$12),1,0)</f>
        <v>1</v>
      </c>
      <c r="S1597" s="15" t="n">
        <f aca="false">IF(OR(J1597=1,N1597&lt;=O1597),1,0)</f>
        <v>1</v>
      </c>
      <c r="T1597" s="15" t="str">
        <f aca="false">IF(J1597=1,"OFFLINE",IF(AND(Q1597&gt;=Inputs!$B$15,R1597=1,S1597=1,P1597&lt;=L1597),"PASS","FAIL"))</f>
        <v>PASS</v>
      </c>
    </row>
    <row r="1598" customFormat="false" ht="15" hidden="false" customHeight="false" outlineLevel="0" collapsed="false">
      <c r="A1598" s="14" t="s">
        <v>1033</v>
      </c>
      <c r="B1598" s="14" t="s">
        <v>1019</v>
      </c>
      <c r="C1598" s="14" t="s">
        <v>196</v>
      </c>
      <c r="D1598" s="14" t="s">
        <v>194</v>
      </c>
      <c r="E1598" s="14" t="s">
        <v>169</v>
      </c>
      <c r="F1598" s="14" t="s">
        <v>191</v>
      </c>
      <c r="G1598" s="14" t="n">
        <v>2</v>
      </c>
      <c r="H1598" s="14" t="s">
        <v>153</v>
      </c>
      <c r="I1598" s="14" t="s">
        <v>892</v>
      </c>
      <c r="J1598" s="15" t="n">
        <f aca="false">IF(B1598="SITE LOSS",IF(D1598=C1598,1,0),IF(B1598="REGION LOSS",IF(E1598=C1598,1,0),0))</f>
        <v>0</v>
      </c>
      <c r="K1598" s="15" t="n">
        <f aca="false">IF(B1598="SITE LOSS",IF(COUNTIFS('Site Dockets'!$B$7:$B$24,C1598,'Site Dockets'!$C$7:$C$24,F1598)&gt;0,1,0),IF(B1598="REGION LOSS",IF(COUNTIFS('Site Dockets'!$E$7:$E$24,C1598,'Site Dockets'!$C$7:$C$24,F1598)&gt;0,1,0),0))</f>
        <v>1</v>
      </c>
      <c r="L1598" s="15" t="n">
        <f aca="false">IF(J1598=1,0,Inputs!$B$11)</f>
        <v>100</v>
      </c>
      <c r="M1598" s="15" t="n">
        <f aca="false">IF(J1598=1,0,Inputs!$B$12)</f>
        <v>75</v>
      </c>
      <c r="N1598" s="15" t="n">
        <f aca="false">IF(J1598=1,0,IF(OR(AND(OR(B1598="SITE LOSS",B1598="REGION LOSS"),K1598=1),AND(B1598="ROLE COMPROMISE",H1598=C1598)),Inputs!$B$13,Inputs!$B$14))</f>
        <v>20</v>
      </c>
      <c r="O1598" s="15" t="n">
        <f aca="false">IF(J1598=1,0,Inputs!$B$13)</f>
        <v>20</v>
      </c>
      <c r="P1598" s="15" t="n">
        <f aca="false">SUM(M1598:N1598)</f>
        <v>95</v>
      </c>
      <c r="Q1598" s="15" t="n">
        <f aca="false">IF(J1598=1,"",L1598-P1598)</f>
        <v>5</v>
      </c>
      <c r="R1598" s="15" t="n">
        <f aca="false">IF(OR(J1598=1,M1598&lt;=Inputs!$B$12),1,0)</f>
        <v>1</v>
      </c>
      <c r="S1598" s="15" t="n">
        <f aca="false">IF(OR(J1598=1,N1598&lt;=O1598),1,0)</f>
        <v>1</v>
      </c>
      <c r="T1598" s="15" t="str">
        <f aca="false">IF(J1598=1,"OFFLINE",IF(AND(Q1598&gt;=Inputs!$B$15,R1598=1,S1598=1,P1598&lt;=L1598),"PASS","FAIL"))</f>
        <v>PASS</v>
      </c>
    </row>
    <row r="1599" customFormat="false" ht="15" hidden="false" customHeight="false" outlineLevel="0" collapsed="false">
      <c r="A1599" s="14" t="s">
        <v>1033</v>
      </c>
      <c r="B1599" s="14" t="s">
        <v>1019</v>
      </c>
      <c r="C1599" s="14" t="s">
        <v>196</v>
      </c>
      <c r="D1599" s="14" t="s">
        <v>194</v>
      </c>
      <c r="E1599" s="14" t="s">
        <v>169</v>
      </c>
      <c r="F1599" s="14" t="s">
        <v>191</v>
      </c>
      <c r="G1599" s="14" t="n">
        <v>2</v>
      </c>
      <c r="H1599" s="14" t="s">
        <v>153</v>
      </c>
      <c r="I1599" s="14" t="s">
        <v>811</v>
      </c>
      <c r="J1599" s="15" t="n">
        <f aca="false">IF(B1599="SITE LOSS",IF(D1599=C1599,1,0),IF(B1599="REGION LOSS",IF(E1599=C1599,1,0),0))</f>
        <v>0</v>
      </c>
      <c r="K1599" s="15" t="n">
        <f aca="false">IF(B1599="SITE LOSS",IF(COUNTIFS('Site Dockets'!$B$7:$B$24,C1599,'Site Dockets'!$C$7:$C$24,F1599)&gt;0,1,0),IF(B1599="REGION LOSS",IF(COUNTIFS('Site Dockets'!$E$7:$E$24,C1599,'Site Dockets'!$C$7:$C$24,F1599)&gt;0,1,0),0))</f>
        <v>1</v>
      </c>
      <c r="L1599" s="15" t="n">
        <f aca="false">IF(J1599=1,0,Inputs!$B$11)</f>
        <v>100</v>
      </c>
      <c r="M1599" s="15" t="n">
        <f aca="false">IF(J1599=1,0,Inputs!$B$12)</f>
        <v>75</v>
      </c>
      <c r="N1599" s="15" t="n">
        <f aca="false">IF(J1599=1,0,IF(OR(AND(OR(B1599="SITE LOSS",B1599="REGION LOSS"),K1599=1),AND(B1599="ROLE COMPROMISE",H1599=C1599)),Inputs!$B$13,Inputs!$B$14))</f>
        <v>20</v>
      </c>
      <c r="O1599" s="15" t="n">
        <f aca="false">IF(J1599=1,0,Inputs!$B$13)</f>
        <v>20</v>
      </c>
      <c r="P1599" s="15" t="n">
        <f aca="false">SUM(M1599:N1599)</f>
        <v>95</v>
      </c>
      <c r="Q1599" s="15" t="n">
        <f aca="false">IF(J1599=1,"",L1599-P1599)</f>
        <v>5</v>
      </c>
      <c r="R1599" s="15" t="n">
        <f aca="false">IF(OR(J1599=1,M1599&lt;=Inputs!$B$12),1,0)</f>
        <v>1</v>
      </c>
      <c r="S1599" s="15" t="n">
        <f aca="false">IF(OR(J1599=1,N1599&lt;=O1599),1,0)</f>
        <v>1</v>
      </c>
      <c r="T1599" s="15" t="str">
        <f aca="false">IF(J1599=1,"OFFLINE",IF(AND(Q1599&gt;=Inputs!$B$15,R1599=1,S1599=1,P1599&lt;=L1599),"PASS","FAIL"))</f>
        <v>PASS</v>
      </c>
    </row>
    <row r="1600" customFormat="false" ht="15" hidden="false" customHeight="false" outlineLevel="0" collapsed="false">
      <c r="A1600" s="14" t="s">
        <v>1033</v>
      </c>
      <c r="B1600" s="14" t="s">
        <v>1019</v>
      </c>
      <c r="C1600" s="14" t="s">
        <v>196</v>
      </c>
      <c r="D1600" s="14" t="s">
        <v>194</v>
      </c>
      <c r="E1600" s="14" t="s">
        <v>169</v>
      </c>
      <c r="F1600" s="14" t="s">
        <v>191</v>
      </c>
      <c r="G1600" s="14" t="n">
        <v>2</v>
      </c>
      <c r="H1600" s="14" t="s">
        <v>153</v>
      </c>
      <c r="I1600" s="14" t="s">
        <v>895</v>
      </c>
      <c r="J1600" s="15" t="n">
        <f aca="false">IF(B1600="SITE LOSS",IF(D1600=C1600,1,0),IF(B1600="REGION LOSS",IF(E1600=C1600,1,0),0))</f>
        <v>0</v>
      </c>
      <c r="K1600" s="15" t="n">
        <f aca="false">IF(B1600="SITE LOSS",IF(COUNTIFS('Site Dockets'!$B$7:$B$24,C1600,'Site Dockets'!$C$7:$C$24,F1600)&gt;0,1,0),IF(B1600="REGION LOSS",IF(COUNTIFS('Site Dockets'!$E$7:$E$24,C1600,'Site Dockets'!$C$7:$C$24,F1600)&gt;0,1,0),0))</f>
        <v>1</v>
      </c>
      <c r="L1600" s="15" t="n">
        <f aca="false">IF(J1600=1,0,Inputs!$B$11)</f>
        <v>100</v>
      </c>
      <c r="M1600" s="15" t="n">
        <f aca="false">IF(J1600=1,0,Inputs!$B$12)</f>
        <v>75</v>
      </c>
      <c r="N1600" s="15" t="n">
        <f aca="false">IF(J1600=1,0,IF(OR(AND(OR(B1600="SITE LOSS",B1600="REGION LOSS"),K1600=1),AND(B1600="ROLE COMPROMISE",H1600=C1600)),Inputs!$B$13,Inputs!$B$14))</f>
        <v>20</v>
      </c>
      <c r="O1600" s="15" t="n">
        <f aca="false">IF(J1600=1,0,Inputs!$B$13)</f>
        <v>20</v>
      </c>
      <c r="P1600" s="15" t="n">
        <f aca="false">SUM(M1600:N1600)</f>
        <v>95</v>
      </c>
      <c r="Q1600" s="15" t="n">
        <f aca="false">IF(J1600=1,"",L1600-P1600)</f>
        <v>5</v>
      </c>
      <c r="R1600" s="15" t="n">
        <f aca="false">IF(OR(J1600=1,M1600&lt;=Inputs!$B$12),1,0)</f>
        <v>1</v>
      </c>
      <c r="S1600" s="15" t="n">
        <f aca="false">IF(OR(J1600=1,N1600&lt;=O1600),1,0)</f>
        <v>1</v>
      </c>
      <c r="T1600" s="15" t="str">
        <f aca="false">IF(J1600=1,"OFFLINE",IF(AND(Q1600&gt;=Inputs!$B$15,R1600=1,S1600=1,P1600&lt;=L1600),"PASS","FAIL"))</f>
        <v>PASS</v>
      </c>
    </row>
    <row r="1601" customFormat="false" ht="15" hidden="false" customHeight="false" outlineLevel="0" collapsed="false">
      <c r="A1601" s="14" t="s">
        <v>1033</v>
      </c>
      <c r="B1601" s="14" t="s">
        <v>1019</v>
      </c>
      <c r="C1601" s="14" t="s">
        <v>196</v>
      </c>
      <c r="D1601" s="14" t="s">
        <v>194</v>
      </c>
      <c r="E1601" s="14" t="s">
        <v>169</v>
      </c>
      <c r="F1601" s="14" t="s">
        <v>191</v>
      </c>
      <c r="G1601" s="14" t="n">
        <v>2</v>
      </c>
      <c r="H1601" s="14" t="s">
        <v>153</v>
      </c>
      <c r="I1601" s="14" t="s">
        <v>897</v>
      </c>
      <c r="J1601" s="15" t="n">
        <f aca="false">IF(B1601="SITE LOSS",IF(D1601=C1601,1,0),IF(B1601="REGION LOSS",IF(E1601=C1601,1,0),0))</f>
        <v>0</v>
      </c>
      <c r="K1601" s="15" t="n">
        <f aca="false">IF(B1601="SITE LOSS",IF(COUNTIFS('Site Dockets'!$B$7:$B$24,C1601,'Site Dockets'!$C$7:$C$24,F1601)&gt;0,1,0),IF(B1601="REGION LOSS",IF(COUNTIFS('Site Dockets'!$E$7:$E$24,C1601,'Site Dockets'!$C$7:$C$24,F1601)&gt;0,1,0),0))</f>
        <v>1</v>
      </c>
      <c r="L1601" s="15" t="n">
        <f aca="false">IF(J1601=1,0,Inputs!$B$11)</f>
        <v>100</v>
      </c>
      <c r="M1601" s="15" t="n">
        <f aca="false">IF(J1601=1,0,Inputs!$B$12)</f>
        <v>75</v>
      </c>
      <c r="N1601" s="15" t="n">
        <f aca="false">IF(J1601=1,0,IF(OR(AND(OR(B1601="SITE LOSS",B1601="REGION LOSS"),K1601=1),AND(B1601="ROLE COMPROMISE",H1601=C1601)),Inputs!$B$13,Inputs!$B$14))</f>
        <v>20</v>
      </c>
      <c r="O1601" s="15" t="n">
        <f aca="false">IF(J1601=1,0,Inputs!$B$13)</f>
        <v>20</v>
      </c>
      <c r="P1601" s="15" t="n">
        <f aca="false">SUM(M1601:N1601)</f>
        <v>95</v>
      </c>
      <c r="Q1601" s="15" t="n">
        <f aca="false">IF(J1601=1,"",L1601-P1601)</f>
        <v>5</v>
      </c>
      <c r="R1601" s="15" t="n">
        <f aca="false">IF(OR(J1601=1,M1601&lt;=Inputs!$B$12),1,0)</f>
        <v>1</v>
      </c>
      <c r="S1601" s="15" t="n">
        <f aca="false">IF(OR(J1601=1,N1601&lt;=O1601),1,0)</f>
        <v>1</v>
      </c>
      <c r="T1601" s="15" t="str">
        <f aca="false">IF(J1601=1,"OFFLINE",IF(AND(Q1601&gt;=Inputs!$B$15,R1601=1,S1601=1,P1601&lt;=L1601),"PASS","FAIL"))</f>
        <v>PASS</v>
      </c>
    </row>
    <row r="1602" customFormat="false" ht="15" hidden="false" customHeight="false" outlineLevel="0" collapsed="false">
      <c r="A1602" s="14" t="s">
        <v>1033</v>
      </c>
      <c r="B1602" s="14" t="s">
        <v>1019</v>
      </c>
      <c r="C1602" s="14" t="s">
        <v>196</v>
      </c>
      <c r="D1602" s="14" t="s">
        <v>194</v>
      </c>
      <c r="E1602" s="14" t="s">
        <v>169</v>
      </c>
      <c r="F1602" s="14" t="s">
        <v>191</v>
      </c>
      <c r="G1602" s="14" t="n">
        <v>2</v>
      </c>
      <c r="H1602" s="14" t="s">
        <v>153</v>
      </c>
      <c r="I1602" s="14" t="s">
        <v>899</v>
      </c>
      <c r="J1602" s="15" t="n">
        <f aca="false">IF(B1602="SITE LOSS",IF(D1602=C1602,1,0),IF(B1602="REGION LOSS",IF(E1602=C1602,1,0),0))</f>
        <v>0</v>
      </c>
      <c r="K1602" s="15" t="n">
        <f aca="false">IF(B1602="SITE LOSS",IF(COUNTIFS('Site Dockets'!$B$7:$B$24,C1602,'Site Dockets'!$C$7:$C$24,F1602)&gt;0,1,0),IF(B1602="REGION LOSS",IF(COUNTIFS('Site Dockets'!$E$7:$E$24,C1602,'Site Dockets'!$C$7:$C$24,F1602)&gt;0,1,0),0))</f>
        <v>1</v>
      </c>
      <c r="L1602" s="15" t="n">
        <f aca="false">IF(J1602=1,0,Inputs!$B$11)</f>
        <v>100</v>
      </c>
      <c r="M1602" s="15" t="n">
        <f aca="false">IF(J1602=1,0,Inputs!$B$12)</f>
        <v>75</v>
      </c>
      <c r="N1602" s="15" t="n">
        <f aca="false">IF(J1602=1,0,IF(OR(AND(OR(B1602="SITE LOSS",B1602="REGION LOSS"),K1602=1),AND(B1602="ROLE COMPROMISE",H1602=C1602)),Inputs!$B$13,Inputs!$B$14))</f>
        <v>20</v>
      </c>
      <c r="O1602" s="15" t="n">
        <f aca="false">IF(J1602=1,0,Inputs!$B$13)</f>
        <v>20</v>
      </c>
      <c r="P1602" s="15" t="n">
        <f aca="false">SUM(M1602:N1602)</f>
        <v>95</v>
      </c>
      <c r="Q1602" s="15" t="n">
        <f aca="false">IF(J1602=1,"",L1602-P1602)</f>
        <v>5</v>
      </c>
      <c r="R1602" s="15" t="n">
        <f aca="false">IF(OR(J1602=1,M1602&lt;=Inputs!$B$12),1,0)</f>
        <v>1</v>
      </c>
      <c r="S1602" s="15" t="n">
        <f aca="false">IF(OR(J1602=1,N1602&lt;=O1602),1,0)</f>
        <v>1</v>
      </c>
      <c r="T1602" s="15" t="str">
        <f aca="false">IF(J1602=1,"OFFLINE",IF(AND(Q1602&gt;=Inputs!$B$15,R1602=1,S1602=1,P1602&lt;=L1602),"PASS","FAIL"))</f>
        <v>PASS</v>
      </c>
    </row>
    <row r="1603" customFormat="false" ht="15" hidden="false" customHeight="false" outlineLevel="0" collapsed="false">
      <c r="A1603" s="14" t="s">
        <v>1033</v>
      </c>
      <c r="B1603" s="14" t="s">
        <v>1019</v>
      </c>
      <c r="C1603" s="14" t="s">
        <v>196</v>
      </c>
      <c r="D1603" s="14" t="s">
        <v>196</v>
      </c>
      <c r="E1603" s="14" t="s">
        <v>172</v>
      </c>
      <c r="F1603" s="14" t="s">
        <v>191</v>
      </c>
      <c r="G1603" s="14" t="n">
        <v>3</v>
      </c>
      <c r="H1603" s="14" t="s">
        <v>158</v>
      </c>
      <c r="I1603" s="14" t="s">
        <v>890</v>
      </c>
      <c r="J1603" s="15" t="n">
        <f aca="false">IF(B1603="SITE LOSS",IF(D1603=C1603,1,0),IF(B1603="REGION LOSS",IF(E1603=C1603,1,0),0))</f>
        <v>1</v>
      </c>
      <c r="K1603" s="15" t="n">
        <f aca="false">IF(B1603="SITE LOSS",IF(COUNTIFS('Site Dockets'!$B$7:$B$24,C1603,'Site Dockets'!$C$7:$C$24,F1603)&gt;0,1,0),IF(B1603="REGION LOSS",IF(COUNTIFS('Site Dockets'!$E$7:$E$24,C1603,'Site Dockets'!$C$7:$C$24,F1603)&gt;0,1,0),0))</f>
        <v>1</v>
      </c>
      <c r="L1603" s="15" t="n">
        <f aca="false">IF(J1603=1,0,Inputs!$B$11)</f>
        <v>0</v>
      </c>
      <c r="M1603" s="15" t="n">
        <f aca="false">IF(J1603=1,0,Inputs!$B$12)</f>
        <v>0</v>
      </c>
      <c r="N1603" s="15" t="n">
        <f aca="false">IF(J1603=1,0,IF(OR(AND(OR(B1603="SITE LOSS",B1603="REGION LOSS"),K1603=1),AND(B1603="ROLE COMPROMISE",H1603=C1603)),Inputs!$B$13,Inputs!$B$14))</f>
        <v>0</v>
      </c>
      <c r="O1603" s="15" t="n">
        <f aca="false">IF(J1603=1,0,Inputs!$B$13)</f>
        <v>0</v>
      </c>
      <c r="P1603" s="15" t="n">
        <f aca="false">SUM(M1603:N1603)</f>
        <v>0</v>
      </c>
      <c r="Q1603" s="15" t="str">
        <f aca="false">IF(J1603=1,"",L1603-P1603)</f>
        <v/>
      </c>
      <c r="R1603" s="15" t="n">
        <f aca="false">IF(OR(J1603=1,M1603&lt;=Inputs!$B$12),1,0)</f>
        <v>1</v>
      </c>
      <c r="S1603" s="15" t="n">
        <f aca="false">IF(OR(J1603=1,N1603&lt;=O1603),1,0)</f>
        <v>1</v>
      </c>
      <c r="T1603" s="15" t="str">
        <f aca="false">IF(J1603=1,"OFFLINE",IF(AND(Q1603&gt;=Inputs!$B$15,R1603=1,S1603=1,P1603&lt;=L1603),"PASS","FAIL"))</f>
        <v>OFFLINE</v>
      </c>
    </row>
    <row r="1604" customFormat="false" ht="15" hidden="false" customHeight="false" outlineLevel="0" collapsed="false">
      <c r="A1604" s="14" t="s">
        <v>1033</v>
      </c>
      <c r="B1604" s="14" t="s">
        <v>1019</v>
      </c>
      <c r="C1604" s="14" t="s">
        <v>196</v>
      </c>
      <c r="D1604" s="14" t="s">
        <v>196</v>
      </c>
      <c r="E1604" s="14" t="s">
        <v>172</v>
      </c>
      <c r="F1604" s="14" t="s">
        <v>191</v>
      </c>
      <c r="G1604" s="14" t="n">
        <v>3</v>
      </c>
      <c r="H1604" s="14" t="s">
        <v>158</v>
      </c>
      <c r="I1604" s="14" t="s">
        <v>892</v>
      </c>
      <c r="J1604" s="15" t="n">
        <f aca="false">IF(B1604="SITE LOSS",IF(D1604=C1604,1,0),IF(B1604="REGION LOSS",IF(E1604=C1604,1,0),0))</f>
        <v>1</v>
      </c>
      <c r="K1604" s="15" t="n">
        <f aca="false">IF(B1604="SITE LOSS",IF(COUNTIFS('Site Dockets'!$B$7:$B$24,C1604,'Site Dockets'!$C$7:$C$24,F1604)&gt;0,1,0),IF(B1604="REGION LOSS",IF(COUNTIFS('Site Dockets'!$E$7:$E$24,C1604,'Site Dockets'!$C$7:$C$24,F1604)&gt;0,1,0),0))</f>
        <v>1</v>
      </c>
      <c r="L1604" s="15" t="n">
        <f aca="false">IF(J1604=1,0,Inputs!$B$11)</f>
        <v>0</v>
      </c>
      <c r="M1604" s="15" t="n">
        <f aca="false">IF(J1604=1,0,Inputs!$B$12)</f>
        <v>0</v>
      </c>
      <c r="N1604" s="15" t="n">
        <f aca="false">IF(J1604=1,0,IF(OR(AND(OR(B1604="SITE LOSS",B1604="REGION LOSS"),K1604=1),AND(B1604="ROLE COMPROMISE",H1604=C1604)),Inputs!$B$13,Inputs!$B$14))</f>
        <v>0</v>
      </c>
      <c r="O1604" s="15" t="n">
        <f aca="false">IF(J1604=1,0,Inputs!$B$13)</f>
        <v>0</v>
      </c>
      <c r="P1604" s="15" t="n">
        <f aca="false">SUM(M1604:N1604)</f>
        <v>0</v>
      </c>
      <c r="Q1604" s="15" t="str">
        <f aca="false">IF(J1604=1,"",L1604-P1604)</f>
        <v/>
      </c>
      <c r="R1604" s="15" t="n">
        <f aca="false">IF(OR(J1604=1,M1604&lt;=Inputs!$B$12),1,0)</f>
        <v>1</v>
      </c>
      <c r="S1604" s="15" t="n">
        <f aca="false">IF(OR(J1604=1,N1604&lt;=O1604),1,0)</f>
        <v>1</v>
      </c>
      <c r="T1604" s="15" t="str">
        <f aca="false">IF(J1604=1,"OFFLINE",IF(AND(Q1604&gt;=Inputs!$B$15,R1604=1,S1604=1,P1604&lt;=L1604),"PASS","FAIL"))</f>
        <v>OFFLINE</v>
      </c>
    </row>
    <row r="1605" customFormat="false" ht="15" hidden="false" customHeight="false" outlineLevel="0" collapsed="false">
      <c r="A1605" s="14" t="s">
        <v>1033</v>
      </c>
      <c r="B1605" s="14" t="s">
        <v>1019</v>
      </c>
      <c r="C1605" s="14" t="s">
        <v>196</v>
      </c>
      <c r="D1605" s="14" t="s">
        <v>196</v>
      </c>
      <c r="E1605" s="14" t="s">
        <v>172</v>
      </c>
      <c r="F1605" s="14" t="s">
        <v>191</v>
      </c>
      <c r="G1605" s="14" t="n">
        <v>3</v>
      </c>
      <c r="H1605" s="14" t="s">
        <v>158</v>
      </c>
      <c r="I1605" s="14" t="s">
        <v>811</v>
      </c>
      <c r="J1605" s="15" t="n">
        <f aca="false">IF(B1605="SITE LOSS",IF(D1605=C1605,1,0),IF(B1605="REGION LOSS",IF(E1605=C1605,1,0),0))</f>
        <v>1</v>
      </c>
      <c r="K1605" s="15" t="n">
        <f aca="false">IF(B1605="SITE LOSS",IF(COUNTIFS('Site Dockets'!$B$7:$B$24,C1605,'Site Dockets'!$C$7:$C$24,F1605)&gt;0,1,0),IF(B1605="REGION LOSS",IF(COUNTIFS('Site Dockets'!$E$7:$E$24,C1605,'Site Dockets'!$C$7:$C$24,F1605)&gt;0,1,0),0))</f>
        <v>1</v>
      </c>
      <c r="L1605" s="15" t="n">
        <f aca="false">IF(J1605=1,0,Inputs!$B$11)</f>
        <v>0</v>
      </c>
      <c r="M1605" s="15" t="n">
        <f aca="false">IF(J1605=1,0,Inputs!$B$12)</f>
        <v>0</v>
      </c>
      <c r="N1605" s="15" t="n">
        <f aca="false">IF(J1605=1,0,IF(OR(AND(OR(B1605="SITE LOSS",B1605="REGION LOSS"),K1605=1),AND(B1605="ROLE COMPROMISE",H1605=C1605)),Inputs!$B$13,Inputs!$B$14))</f>
        <v>0</v>
      </c>
      <c r="O1605" s="15" t="n">
        <f aca="false">IF(J1605=1,0,Inputs!$B$13)</f>
        <v>0</v>
      </c>
      <c r="P1605" s="15" t="n">
        <f aca="false">SUM(M1605:N1605)</f>
        <v>0</v>
      </c>
      <c r="Q1605" s="15" t="str">
        <f aca="false">IF(J1605=1,"",L1605-P1605)</f>
        <v/>
      </c>
      <c r="R1605" s="15" t="n">
        <f aca="false">IF(OR(J1605=1,M1605&lt;=Inputs!$B$12),1,0)</f>
        <v>1</v>
      </c>
      <c r="S1605" s="15" t="n">
        <f aca="false">IF(OR(J1605=1,N1605&lt;=O1605),1,0)</f>
        <v>1</v>
      </c>
      <c r="T1605" s="15" t="str">
        <f aca="false">IF(J1605=1,"OFFLINE",IF(AND(Q1605&gt;=Inputs!$B$15,R1605=1,S1605=1,P1605&lt;=L1605),"PASS","FAIL"))</f>
        <v>OFFLINE</v>
      </c>
    </row>
    <row r="1606" customFormat="false" ht="15" hidden="false" customHeight="false" outlineLevel="0" collapsed="false">
      <c r="A1606" s="14" t="s">
        <v>1033</v>
      </c>
      <c r="B1606" s="14" t="s">
        <v>1019</v>
      </c>
      <c r="C1606" s="14" t="s">
        <v>196</v>
      </c>
      <c r="D1606" s="14" t="s">
        <v>196</v>
      </c>
      <c r="E1606" s="14" t="s">
        <v>172</v>
      </c>
      <c r="F1606" s="14" t="s">
        <v>191</v>
      </c>
      <c r="G1606" s="14" t="n">
        <v>3</v>
      </c>
      <c r="H1606" s="14" t="s">
        <v>158</v>
      </c>
      <c r="I1606" s="14" t="s">
        <v>895</v>
      </c>
      <c r="J1606" s="15" t="n">
        <f aca="false">IF(B1606="SITE LOSS",IF(D1606=C1606,1,0),IF(B1606="REGION LOSS",IF(E1606=C1606,1,0),0))</f>
        <v>1</v>
      </c>
      <c r="K1606" s="15" t="n">
        <f aca="false">IF(B1606="SITE LOSS",IF(COUNTIFS('Site Dockets'!$B$7:$B$24,C1606,'Site Dockets'!$C$7:$C$24,F1606)&gt;0,1,0),IF(B1606="REGION LOSS",IF(COUNTIFS('Site Dockets'!$E$7:$E$24,C1606,'Site Dockets'!$C$7:$C$24,F1606)&gt;0,1,0),0))</f>
        <v>1</v>
      </c>
      <c r="L1606" s="15" t="n">
        <f aca="false">IF(J1606=1,0,Inputs!$B$11)</f>
        <v>0</v>
      </c>
      <c r="M1606" s="15" t="n">
        <f aca="false">IF(J1606=1,0,Inputs!$B$12)</f>
        <v>0</v>
      </c>
      <c r="N1606" s="15" t="n">
        <f aca="false">IF(J1606=1,0,IF(OR(AND(OR(B1606="SITE LOSS",B1606="REGION LOSS"),K1606=1),AND(B1606="ROLE COMPROMISE",H1606=C1606)),Inputs!$B$13,Inputs!$B$14))</f>
        <v>0</v>
      </c>
      <c r="O1606" s="15" t="n">
        <f aca="false">IF(J1606=1,0,Inputs!$B$13)</f>
        <v>0</v>
      </c>
      <c r="P1606" s="15" t="n">
        <f aca="false">SUM(M1606:N1606)</f>
        <v>0</v>
      </c>
      <c r="Q1606" s="15" t="str">
        <f aca="false">IF(J1606=1,"",L1606-P1606)</f>
        <v/>
      </c>
      <c r="R1606" s="15" t="n">
        <f aca="false">IF(OR(J1606=1,M1606&lt;=Inputs!$B$12),1,0)</f>
        <v>1</v>
      </c>
      <c r="S1606" s="15" t="n">
        <f aca="false">IF(OR(J1606=1,N1606&lt;=O1606),1,0)</f>
        <v>1</v>
      </c>
      <c r="T1606" s="15" t="str">
        <f aca="false">IF(J1606=1,"OFFLINE",IF(AND(Q1606&gt;=Inputs!$B$15,R1606=1,S1606=1,P1606&lt;=L1606),"PASS","FAIL"))</f>
        <v>OFFLINE</v>
      </c>
    </row>
    <row r="1607" customFormat="false" ht="15" hidden="false" customHeight="false" outlineLevel="0" collapsed="false">
      <c r="A1607" s="14" t="s">
        <v>1033</v>
      </c>
      <c r="B1607" s="14" t="s">
        <v>1019</v>
      </c>
      <c r="C1607" s="14" t="s">
        <v>196</v>
      </c>
      <c r="D1607" s="14" t="s">
        <v>196</v>
      </c>
      <c r="E1607" s="14" t="s">
        <v>172</v>
      </c>
      <c r="F1607" s="14" t="s">
        <v>191</v>
      </c>
      <c r="G1607" s="14" t="n">
        <v>3</v>
      </c>
      <c r="H1607" s="14" t="s">
        <v>158</v>
      </c>
      <c r="I1607" s="14" t="s">
        <v>897</v>
      </c>
      <c r="J1607" s="15" t="n">
        <f aca="false">IF(B1607="SITE LOSS",IF(D1607=C1607,1,0),IF(B1607="REGION LOSS",IF(E1607=C1607,1,0),0))</f>
        <v>1</v>
      </c>
      <c r="K1607" s="15" t="n">
        <f aca="false">IF(B1607="SITE LOSS",IF(COUNTIFS('Site Dockets'!$B$7:$B$24,C1607,'Site Dockets'!$C$7:$C$24,F1607)&gt;0,1,0),IF(B1607="REGION LOSS",IF(COUNTIFS('Site Dockets'!$E$7:$E$24,C1607,'Site Dockets'!$C$7:$C$24,F1607)&gt;0,1,0),0))</f>
        <v>1</v>
      </c>
      <c r="L1607" s="15" t="n">
        <f aca="false">IF(J1607=1,0,Inputs!$B$11)</f>
        <v>0</v>
      </c>
      <c r="M1607" s="15" t="n">
        <f aca="false">IF(J1607=1,0,Inputs!$B$12)</f>
        <v>0</v>
      </c>
      <c r="N1607" s="15" t="n">
        <f aca="false">IF(J1607=1,0,IF(OR(AND(OR(B1607="SITE LOSS",B1607="REGION LOSS"),K1607=1),AND(B1607="ROLE COMPROMISE",H1607=C1607)),Inputs!$B$13,Inputs!$B$14))</f>
        <v>0</v>
      </c>
      <c r="O1607" s="15" t="n">
        <f aca="false">IF(J1607=1,0,Inputs!$B$13)</f>
        <v>0</v>
      </c>
      <c r="P1607" s="15" t="n">
        <f aca="false">SUM(M1607:N1607)</f>
        <v>0</v>
      </c>
      <c r="Q1607" s="15" t="str">
        <f aca="false">IF(J1607=1,"",L1607-P1607)</f>
        <v/>
      </c>
      <c r="R1607" s="15" t="n">
        <f aca="false">IF(OR(J1607=1,M1607&lt;=Inputs!$B$12),1,0)</f>
        <v>1</v>
      </c>
      <c r="S1607" s="15" t="n">
        <f aca="false">IF(OR(J1607=1,N1607&lt;=O1607),1,0)</f>
        <v>1</v>
      </c>
      <c r="T1607" s="15" t="str">
        <f aca="false">IF(J1607=1,"OFFLINE",IF(AND(Q1607&gt;=Inputs!$B$15,R1607=1,S1607=1,P1607&lt;=L1607),"PASS","FAIL"))</f>
        <v>OFFLINE</v>
      </c>
    </row>
    <row r="1608" customFormat="false" ht="15" hidden="false" customHeight="false" outlineLevel="0" collapsed="false">
      <c r="A1608" s="14" t="s">
        <v>1033</v>
      </c>
      <c r="B1608" s="14" t="s">
        <v>1019</v>
      </c>
      <c r="C1608" s="14" t="s">
        <v>196</v>
      </c>
      <c r="D1608" s="14" t="s">
        <v>196</v>
      </c>
      <c r="E1608" s="14" t="s">
        <v>172</v>
      </c>
      <c r="F1608" s="14" t="s">
        <v>191</v>
      </c>
      <c r="G1608" s="14" t="n">
        <v>3</v>
      </c>
      <c r="H1608" s="14" t="s">
        <v>158</v>
      </c>
      <c r="I1608" s="14" t="s">
        <v>899</v>
      </c>
      <c r="J1608" s="15" t="n">
        <f aca="false">IF(B1608="SITE LOSS",IF(D1608=C1608,1,0),IF(B1608="REGION LOSS",IF(E1608=C1608,1,0),0))</f>
        <v>1</v>
      </c>
      <c r="K1608" s="15" t="n">
        <f aca="false">IF(B1608="SITE LOSS",IF(COUNTIFS('Site Dockets'!$B$7:$B$24,C1608,'Site Dockets'!$C$7:$C$24,F1608)&gt;0,1,0),IF(B1608="REGION LOSS",IF(COUNTIFS('Site Dockets'!$E$7:$E$24,C1608,'Site Dockets'!$C$7:$C$24,F1608)&gt;0,1,0),0))</f>
        <v>1</v>
      </c>
      <c r="L1608" s="15" t="n">
        <f aca="false">IF(J1608=1,0,Inputs!$B$11)</f>
        <v>0</v>
      </c>
      <c r="M1608" s="15" t="n">
        <f aca="false">IF(J1608=1,0,Inputs!$B$12)</f>
        <v>0</v>
      </c>
      <c r="N1608" s="15" t="n">
        <f aca="false">IF(J1608=1,0,IF(OR(AND(OR(B1608="SITE LOSS",B1608="REGION LOSS"),K1608=1),AND(B1608="ROLE COMPROMISE",H1608=C1608)),Inputs!$B$13,Inputs!$B$14))</f>
        <v>0</v>
      </c>
      <c r="O1608" s="15" t="n">
        <f aca="false">IF(J1608=1,0,Inputs!$B$13)</f>
        <v>0</v>
      </c>
      <c r="P1608" s="15" t="n">
        <f aca="false">SUM(M1608:N1608)</f>
        <v>0</v>
      </c>
      <c r="Q1608" s="15" t="str">
        <f aca="false">IF(J1608=1,"",L1608-P1608)</f>
        <v/>
      </c>
      <c r="R1608" s="15" t="n">
        <f aca="false">IF(OR(J1608=1,M1608&lt;=Inputs!$B$12),1,0)</f>
        <v>1</v>
      </c>
      <c r="S1608" s="15" t="n">
        <f aca="false">IF(OR(J1608=1,N1608&lt;=O1608),1,0)</f>
        <v>1</v>
      </c>
      <c r="T1608" s="15" t="str">
        <f aca="false">IF(J1608=1,"OFFLINE",IF(AND(Q1608&gt;=Inputs!$B$15,R1608=1,S1608=1,P1608&lt;=L1608),"PASS","FAIL"))</f>
        <v>OFFLINE</v>
      </c>
    </row>
    <row r="1609" customFormat="false" ht="15" hidden="false" customHeight="false" outlineLevel="0" collapsed="false">
      <c r="A1609" s="14" t="s">
        <v>1033</v>
      </c>
      <c r="B1609" s="14" t="s">
        <v>1019</v>
      </c>
      <c r="C1609" s="14" t="s">
        <v>196</v>
      </c>
      <c r="D1609" s="14" t="s">
        <v>198</v>
      </c>
      <c r="E1609" s="14" t="s">
        <v>166</v>
      </c>
      <c r="F1609" s="14" t="s">
        <v>199</v>
      </c>
      <c r="G1609" s="14" t="n">
        <v>1</v>
      </c>
      <c r="H1609" s="14" t="s">
        <v>154</v>
      </c>
      <c r="I1609" s="14" t="s">
        <v>890</v>
      </c>
      <c r="J1609" s="15" t="n">
        <f aca="false">IF(B1609="SITE LOSS",IF(D1609=C1609,1,0),IF(B1609="REGION LOSS",IF(E1609=C1609,1,0),0))</f>
        <v>0</v>
      </c>
      <c r="K1609" s="15" t="n">
        <f aca="false">IF(B1609="SITE LOSS",IF(COUNTIFS('Site Dockets'!$B$7:$B$24,C1609,'Site Dockets'!$C$7:$C$24,F1609)&gt;0,1,0),IF(B1609="REGION LOSS",IF(COUNTIFS('Site Dockets'!$E$7:$E$24,C1609,'Site Dockets'!$C$7:$C$24,F1609)&gt;0,1,0),0))</f>
        <v>0</v>
      </c>
      <c r="L1609" s="15" t="n">
        <f aca="false">IF(J1609=1,0,Inputs!$B$11)</f>
        <v>100</v>
      </c>
      <c r="M1609" s="15" t="n">
        <f aca="false">IF(J1609=1,0,Inputs!$B$12)</f>
        <v>75</v>
      </c>
      <c r="N1609" s="15" t="n">
        <f aca="false">IF(J1609=1,0,IF(OR(AND(OR(B1609="SITE LOSS",B1609="REGION LOSS"),K1609=1),AND(B1609="ROLE COMPROMISE",H1609=C1609)),Inputs!$B$13,Inputs!$B$14))</f>
        <v>10</v>
      </c>
      <c r="O1609" s="15" t="n">
        <f aca="false">IF(J1609=1,0,Inputs!$B$13)</f>
        <v>20</v>
      </c>
      <c r="P1609" s="15" t="n">
        <f aca="false">SUM(M1609:N1609)</f>
        <v>85</v>
      </c>
      <c r="Q1609" s="15" t="n">
        <f aca="false">IF(J1609=1,"",L1609-P1609)</f>
        <v>15</v>
      </c>
      <c r="R1609" s="15" t="n">
        <f aca="false">IF(OR(J1609=1,M1609&lt;=Inputs!$B$12),1,0)</f>
        <v>1</v>
      </c>
      <c r="S1609" s="15" t="n">
        <f aca="false">IF(OR(J1609=1,N1609&lt;=O1609),1,0)</f>
        <v>1</v>
      </c>
      <c r="T1609" s="15" t="str">
        <f aca="false">IF(J1609=1,"OFFLINE",IF(AND(Q1609&gt;=Inputs!$B$15,R1609=1,S1609=1,P1609&lt;=L1609),"PASS","FAIL"))</f>
        <v>PASS</v>
      </c>
    </row>
    <row r="1610" customFormat="false" ht="15" hidden="false" customHeight="false" outlineLevel="0" collapsed="false">
      <c r="A1610" s="14" t="s">
        <v>1033</v>
      </c>
      <c r="B1610" s="14" t="s">
        <v>1019</v>
      </c>
      <c r="C1610" s="14" t="s">
        <v>196</v>
      </c>
      <c r="D1610" s="14" t="s">
        <v>198</v>
      </c>
      <c r="E1610" s="14" t="s">
        <v>166</v>
      </c>
      <c r="F1610" s="14" t="s">
        <v>199</v>
      </c>
      <c r="G1610" s="14" t="n">
        <v>1</v>
      </c>
      <c r="H1610" s="14" t="s">
        <v>154</v>
      </c>
      <c r="I1610" s="14" t="s">
        <v>892</v>
      </c>
      <c r="J1610" s="15" t="n">
        <f aca="false">IF(B1610="SITE LOSS",IF(D1610=C1610,1,0),IF(B1610="REGION LOSS",IF(E1610=C1610,1,0),0))</f>
        <v>0</v>
      </c>
      <c r="K1610" s="15" t="n">
        <f aca="false">IF(B1610="SITE LOSS",IF(COUNTIFS('Site Dockets'!$B$7:$B$24,C1610,'Site Dockets'!$C$7:$C$24,F1610)&gt;0,1,0),IF(B1610="REGION LOSS",IF(COUNTIFS('Site Dockets'!$E$7:$E$24,C1610,'Site Dockets'!$C$7:$C$24,F1610)&gt;0,1,0),0))</f>
        <v>0</v>
      </c>
      <c r="L1610" s="15" t="n">
        <f aca="false">IF(J1610=1,0,Inputs!$B$11)</f>
        <v>100</v>
      </c>
      <c r="M1610" s="15" t="n">
        <f aca="false">IF(J1610=1,0,Inputs!$B$12)</f>
        <v>75</v>
      </c>
      <c r="N1610" s="15" t="n">
        <f aca="false">IF(J1610=1,0,IF(OR(AND(OR(B1610="SITE LOSS",B1610="REGION LOSS"),K1610=1),AND(B1610="ROLE COMPROMISE",H1610=C1610)),Inputs!$B$13,Inputs!$B$14))</f>
        <v>10</v>
      </c>
      <c r="O1610" s="15" t="n">
        <f aca="false">IF(J1610=1,0,Inputs!$B$13)</f>
        <v>20</v>
      </c>
      <c r="P1610" s="15" t="n">
        <f aca="false">SUM(M1610:N1610)</f>
        <v>85</v>
      </c>
      <c r="Q1610" s="15" t="n">
        <f aca="false">IF(J1610=1,"",L1610-P1610)</f>
        <v>15</v>
      </c>
      <c r="R1610" s="15" t="n">
        <f aca="false">IF(OR(J1610=1,M1610&lt;=Inputs!$B$12),1,0)</f>
        <v>1</v>
      </c>
      <c r="S1610" s="15" t="n">
        <f aca="false">IF(OR(J1610=1,N1610&lt;=O1610),1,0)</f>
        <v>1</v>
      </c>
      <c r="T1610" s="15" t="str">
        <f aca="false">IF(J1610=1,"OFFLINE",IF(AND(Q1610&gt;=Inputs!$B$15,R1610=1,S1610=1,P1610&lt;=L1610),"PASS","FAIL"))</f>
        <v>PASS</v>
      </c>
    </row>
    <row r="1611" customFormat="false" ht="15" hidden="false" customHeight="false" outlineLevel="0" collapsed="false">
      <c r="A1611" s="14" t="s">
        <v>1033</v>
      </c>
      <c r="B1611" s="14" t="s">
        <v>1019</v>
      </c>
      <c r="C1611" s="14" t="s">
        <v>196</v>
      </c>
      <c r="D1611" s="14" t="s">
        <v>198</v>
      </c>
      <c r="E1611" s="14" t="s">
        <v>166</v>
      </c>
      <c r="F1611" s="14" t="s">
        <v>199</v>
      </c>
      <c r="G1611" s="14" t="n">
        <v>1</v>
      </c>
      <c r="H1611" s="14" t="s">
        <v>154</v>
      </c>
      <c r="I1611" s="14" t="s">
        <v>811</v>
      </c>
      <c r="J1611" s="15" t="n">
        <f aca="false">IF(B1611="SITE LOSS",IF(D1611=C1611,1,0),IF(B1611="REGION LOSS",IF(E1611=C1611,1,0),0))</f>
        <v>0</v>
      </c>
      <c r="K1611" s="15" t="n">
        <f aca="false">IF(B1611="SITE LOSS",IF(COUNTIFS('Site Dockets'!$B$7:$B$24,C1611,'Site Dockets'!$C$7:$C$24,F1611)&gt;0,1,0),IF(B1611="REGION LOSS",IF(COUNTIFS('Site Dockets'!$E$7:$E$24,C1611,'Site Dockets'!$C$7:$C$24,F1611)&gt;0,1,0),0))</f>
        <v>0</v>
      </c>
      <c r="L1611" s="15" t="n">
        <f aca="false">IF(J1611=1,0,Inputs!$B$11)</f>
        <v>100</v>
      </c>
      <c r="M1611" s="15" t="n">
        <f aca="false">IF(J1611=1,0,Inputs!$B$12)</f>
        <v>75</v>
      </c>
      <c r="N1611" s="15" t="n">
        <f aca="false">IF(J1611=1,0,IF(OR(AND(OR(B1611="SITE LOSS",B1611="REGION LOSS"),K1611=1),AND(B1611="ROLE COMPROMISE",H1611=C1611)),Inputs!$B$13,Inputs!$B$14))</f>
        <v>10</v>
      </c>
      <c r="O1611" s="15" t="n">
        <f aca="false">IF(J1611=1,0,Inputs!$B$13)</f>
        <v>20</v>
      </c>
      <c r="P1611" s="15" t="n">
        <f aca="false">SUM(M1611:N1611)</f>
        <v>85</v>
      </c>
      <c r="Q1611" s="15" t="n">
        <f aca="false">IF(J1611=1,"",L1611-P1611)</f>
        <v>15</v>
      </c>
      <c r="R1611" s="15" t="n">
        <f aca="false">IF(OR(J1611=1,M1611&lt;=Inputs!$B$12),1,0)</f>
        <v>1</v>
      </c>
      <c r="S1611" s="15" t="n">
        <f aca="false">IF(OR(J1611=1,N1611&lt;=O1611),1,0)</f>
        <v>1</v>
      </c>
      <c r="T1611" s="15" t="str">
        <f aca="false">IF(J1611=1,"OFFLINE",IF(AND(Q1611&gt;=Inputs!$B$15,R1611=1,S1611=1,P1611&lt;=L1611),"PASS","FAIL"))</f>
        <v>PASS</v>
      </c>
    </row>
    <row r="1612" customFormat="false" ht="15" hidden="false" customHeight="false" outlineLevel="0" collapsed="false">
      <c r="A1612" s="14" t="s">
        <v>1033</v>
      </c>
      <c r="B1612" s="14" t="s">
        <v>1019</v>
      </c>
      <c r="C1612" s="14" t="s">
        <v>196</v>
      </c>
      <c r="D1612" s="14" t="s">
        <v>198</v>
      </c>
      <c r="E1612" s="14" t="s">
        <v>166</v>
      </c>
      <c r="F1612" s="14" t="s">
        <v>199</v>
      </c>
      <c r="G1612" s="14" t="n">
        <v>1</v>
      </c>
      <c r="H1612" s="14" t="s">
        <v>154</v>
      </c>
      <c r="I1612" s="14" t="s">
        <v>895</v>
      </c>
      <c r="J1612" s="15" t="n">
        <f aca="false">IF(B1612="SITE LOSS",IF(D1612=C1612,1,0),IF(B1612="REGION LOSS",IF(E1612=C1612,1,0),0))</f>
        <v>0</v>
      </c>
      <c r="K1612" s="15" t="n">
        <f aca="false">IF(B1612="SITE LOSS",IF(COUNTIFS('Site Dockets'!$B$7:$B$24,C1612,'Site Dockets'!$C$7:$C$24,F1612)&gt;0,1,0),IF(B1612="REGION LOSS",IF(COUNTIFS('Site Dockets'!$E$7:$E$24,C1612,'Site Dockets'!$C$7:$C$24,F1612)&gt;0,1,0),0))</f>
        <v>0</v>
      </c>
      <c r="L1612" s="15" t="n">
        <f aca="false">IF(J1612=1,0,Inputs!$B$11)</f>
        <v>100</v>
      </c>
      <c r="M1612" s="15" t="n">
        <f aca="false">IF(J1612=1,0,Inputs!$B$12)</f>
        <v>75</v>
      </c>
      <c r="N1612" s="15" t="n">
        <f aca="false">IF(J1612=1,0,IF(OR(AND(OR(B1612="SITE LOSS",B1612="REGION LOSS"),K1612=1),AND(B1612="ROLE COMPROMISE",H1612=C1612)),Inputs!$B$13,Inputs!$B$14))</f>
        <v>10</v>
      </c>
      <c r="O1612" s="15" t="n">
        <f aca="false">IF(J1612=1,0,Inputs!$B$13)</f>
        <v>20</v>
      </c>
      <c r="P1612" s="15" t="n">
        <f aca="false">SUM(M1612:N1612)</f>
        <v>85</v>
      </c>
      <c r="Q1612" s="15" t="n">
        <f aca="false">IF(J1612=1,"",L1612-P1612)</f>
        <v>15</v>
      </c>
      <c r="R1612" s="15" t="n">
        <f aca="false">IF(OR(J1612=1,M1612&lt;=Inputs!$B$12),1,0)</f>
        <v>1</v>
      </c>
      <c r="S1612" s="15" t="n">
        <f aca="false">IF(OR(J1612=1,N1612&lt;=O1612),1,0)</f>
        <v>1</v>
      </c>
      <c r="T1612" s="15" t="str">
        <f aca="false">IF(J1612=1,"OFFLINE",IF(AND(Q1612&gt;=Inputs!$B$15,R1612=1,S1612=1,P1612&lt;=L1612),"PASS","FAIL"))</f>
        <v>PASS</v>
      </c>
    </row>
    <row r="1613" customFormat="false" ht="15" hidden="false" customHeight="false" outlineLevel="0" collapsed="false">
      <c r="A1613" s="14" t="s">
        <v>1033</v>
      </c>
      <c r="B1613" s="14" t="s">
        <v>1019</v>
      </c>
      <c r="C1613" s="14" t="s">
        <v>196</v>
      </c>
      <c r="D1613" s="14" t="s">
        <v>198</v>
      </c>
      <c r="E1613" s="14" t="s">
        <v>166</v>
      </c>
      <c r="F1613" s="14" t="s">
        <v>199</v>
      </c>
      <c r="G1613" s="14" t="n">
        <v>1</v>
      </c>
      <c r="H1613" s="14" t="s">
        <v>154</v>
      </c>
      <c r="I1613" s="14" t="s">
        <v>897</v>
      </c>
      <c r="J1613" s="15" t="n">
        <f aca="false">IF(B1613="SITE LOSS",IF(D1613=C1613,1,0),IF(B1613="REGION LOSS",IF(E1613=C1613,1,0),0))</f>
        <v>0</v>
      </c>
      <c r="K1613" s="15" t="n">
        <f aca="false">IF(B1613="SITE LOSS",IF(COUNTIFS('Site Dockets'!$B$7:$B$24,C1613,'Site Dockets'!$C$7:$C$24,F1613)&gt;0,1,0),IF(B1613="REGION LOSS",IF(COUNTIFS('Site Dockets'!$E$7:$E$24,C1613,'Site Dockets'!$C$7:$C$24,F1613)&gt;0,1,0),0))</f>
        <v>0</v>
      </c>
      <c r="L1613" s="15" t="n">
        <f aca="false">IF(J1613=1,0,Inputs!$B$11)</f>
        <v>100</v>
      </c>
      <c r="M1613" s="15" t="n">
        <f aca="false">IF(J1613=1,0,Inputs!$B$12)</f>
        <v>75</v>
      </c>
      <c r="N1613" s="15" t="n">
        <f aca="false">IF(J1613=1,0,IF(OR(AND(OR(B1613="SITE LOSS",B1613="REGION LOSS"),K1613=1),AND(B1613="ROLE COMPROMISE",H1613=C1613)),Inputs!$B$13,Inputs!$B$14))</f>
        <v>10</v>
      </c>
      <c r="O1613" s="15" t="n">
        <f aca="false">IF(J1613=1,0,Inputs!$B$13)</f>
        <v>20</v>
      </c>
      <c r="P1613" s="15" t="n">
        <f aca="false">SUM(M1613:N1613)</f>
        <v>85</v>
      </c>
      <c r="Q1613" s="15" t="n">
        <f aca="false">IF(J1613=1,"",L1613-P1613)</f>
        <v>15</v>
      </c>
      <c r="R1613" s="15" t="n">
        <f aca="false">IF(OR(J1613=1,M1613&lt;=Inputs!$B$12),1,0)</f>
        <v>1</v>
      </c>
      <c r="S1613" s="15" t="n">
        <f aca="false">IF(OR(J1613=1,N1613&lt;=O1613),1,0)</f>
        <v>1</v>
      </c>
      <c r="T1613" s="15" t="str">
        <f aca="false">IF(J1613=1,"OFFLINE",IF(AND(Q1613&gt;=Inputs!$B$15,R1613=1,S1613=1,P1613&lt;=L1613),"PASS","FAIL"))</f>
        <v>PASS</v>
      </c>
    </row>
    <row r="1614" customFormat="false" ht="15" hidden="false" customHeight="false" outlineLevel="0" collapsed="false">
      <c r="A1614" s="14" t="s">
        <v>1033</v>
      </c>
      <c r="B1614" s="14" t="s">
        <v>1019</v>
      </c>
      <c r="C1614" s="14" t="s">
        <v>196</v>
      </c>
      <c r="D1614" s="14" t="s">
        <v>198</v>
      </c>
      <c r="E1614" s="14" t="s">
        <v>166</v>
      </c>
      <c r="F1614" s="14" t="s">
        <v>199</v>
      </c>
      <c r="G1614" s="14" t="n">
        <v>1</v>
      </c>
      <c r="H1614" s="14" t="s">
        <v>154</v>
      </c>
      <c r="I1614" s="14" t="s">
        <v>899</v>
      </c>
      <c r="J1614" s="15" t="n">
        <f aca="false">IF(B1614="SITE LOSS",IF(D1614=C1614,1,0),IF(B1614="REGION LOSS",IF(E1614=C1614,1,0),0))</f>
        <v>0</v>
      </c>
      <c r="K1614" s="15" t="n">
        <f aca="false">IF(B1614="SITE LOSS",IF(COUNTIFS('Site Dockets'!$B$7:$B$24,C1614,'Site Dockets'!$C$7:$C$24,F1614)&gt;0,1,0),IF(B1614="REGION LOSS",IF(COUNTIFS('Site Dockets'!$E$7:$E$24,C1614,'Site Dockets'!$C$7:$C$24,F1614)&gt;0,1,0),0))</f>
        <v>0</v>
      </c>
      <c r="L1614" s="15" t="n">
        <f aca="false">IF(J1614=1,0,Inputs!$B$11)</f>
        <v>100</v>
      </c>
      <c r="M1614" s="15" t="n">
        <f aca="false">IF(J1614=1,0,Inputs!$B$12)</f>
        <v>75</v>
      </c>
      <c r="N1614" s="15" t="n">
        <f aca="false">IF(J1614=1,0,IF(OR(AND(OR(B1614="SITE LOSS",B1614="REGION LOSS"),K1614=1),AND(B1614="ROLE COMPROMISE",H1614=C1614)),Inputs!$B$13,Inputs!$B$14))</f>
        <v>10</v>
      </c>
      <c r="O1614" s="15" t="n">
        <f aca="false">IF(J1614=1,0,Inputs!$B$13)</f>
        <v>20</v>
      </c>
      <c r="P1614" s="15" t="n">
        <f aca="false">SUM(M1614:N1614)</f>
        <v>85</v>
      </c>
      <c r="Q1614" s="15" t="n">
        <f aca="false">IF(J1614=1,"",L1614-P1614)</f>
        <v>15</v>
      </c>
      <c r="R1614" s="15" t="n">
        <f aca="false">IF(OR(J1614=1,M1614&lt;=Inputs!$B$12),1,0)</f>
        <v>1</v>
      </c>
      <c r="S1614" s="15" t="n">
        <f aca="false">IF(OR(J1614=1,N1614&lt;=O1614),1,0)</f>
        <v>1</v>
      </c>
      <c r="T1614" s="15" t="str">
        <f aca="false">IF(J1614=1,"OFFLINE",IF(AND(Q1614&gt;=Inputs!$B$15,R1614=1,S1614=1,P1614&lt;=L1614),"PASS","FAIL"))</f>
        <v>PASS</v>
      </c>
    </row>
    <row r="1615" customFormat="false" ht="15" hidden="false" customHeight="false" outlineLevel="0" collapsed="false">
      <c r="A1615" s="14" t="s">
        <v>1033</v>
      </c>
      <c r="B1615" s="14" t="s">
        <v>1019</v>
      </c>
      <c r="C1615" s="14" t="s">
        <v>196</v>
      </c>
      <c r="D1615" s="14" t="s">
        <v>202</v>
      </c>
      <c r="E1615" s="14" t="s">
        <v>157</v>
      </c>
      <c r="F1615" s="14" t="s">
        <v>199</v>
      </c>
      <c r="G1615" s="14" t="n">
        <v>2</v>
      </c>
      <c r="H1615" s="14" t="s">
        <v>153</v>
      </c>
      <c r="I1615" s="14" t="s">
        <v>890</v>
      </c>
      <c r="J1615" s="15" t="n">
        <f aca="false">IF(B1615="SITE LOSS",IF(D1615=C1615,1,0),IF(B1615="REGION LOSS",IF(E1615=C1615,1,0),0))</f>
        <v>0</v>
      </c>
      <c r="K1615" s="15" t="n">
        <f aca="false">IF(B1615="SITE LOSS",IF(COUNTIFS('Site Dockets'!$B$7:$B$24,C1615,'Site Dockets'!$C$7:$C$24,F1615)&gt;0,1,0),IF(B1615="REGION LOSS",IF(COUNTIFS('Site Dockets'!$E$7:$E$24,C1615,'Site Dockets'!$C$7:$C$24,F1615)&gt;0,1,0),0))</f>
        <v>0</v>
      </c>
      <c r="L1615" s="15" t="n">
        <f aca="false">IF(J1615=1,0,Inputs!$B$11)</f>
        <v>100</v>
      </c>
      <c r="M1615" s="15" t="n">
        <f aca="false">IF(J1615=1,0,Inputs!$B$12)</f>
        <v>75</v>
      </c>
      <c r="N1615" s="15" t="n">
        <f aca="false">IF(J1615=1,0,IF(OR(AND(OR(B1615="SITE LOSS",B1615="REGION LOSS"),K1615=1),AND(B1615="ROLE COMPROMISE",H1615=C1615)),Inputs!$B$13,Inputs!$B$14))</f>
        <v>10</v>
      </c>
      <c r="O1615" s="15" t="n">
        <f aca="false">IF(J1615=1,0,Inputs!$B$13)</f>
        <v>20</v>
      </c>
      <c r="P1615" s="15" t="n">
        <f aca="false">SUM(M1615:N1615)</f>
        <v>85</v>
      </c>
      <c r="Q1615" s="15" t="n">
        <f aca="false">IF(J1615=1,"",L1615-P1615)</f>
        <v>15</v>
      </c>
      <c r="R1615" s="15" t="n">
        <f aca="false">IF(OR(J1615=1,M1615&lt;=Inputs!$B$12),1,0)</f>
        <v>1</v>
      </c>
      <c r="S1615" s="15" t="n">
        <f aca="false">IF(OR(J1615=1,N1615&lt;=O1615),1,0)</f>
        <v>1</v>
      </c>
      <c r="T1615" s="15" t="str">
        <f aca="false">IF(J1615=1,"OFFLINE",IF(AND(Q1615&gt;=Inputs!$B$15,R1615=1,S1615=1,P1615&lt;=L1615),"PASS","FAIL"))</f>
        <v>PASS</v>
      </c>
    </row>
    <row r="1616" customFormat="false" ht="15" hidden="false" customHeight="false" outlineLevel="0" collapsed="false">
      <c r="A1616" s="14" t="s">
        <v>1033</v>
      </c>
      <c r="B1616" s="14" t="s">
        <v>1019</v>
      </c>
      <c r="C1616" s="14" t="s">
        <v>196</v>
      </c>
      <c r="D1616" s="14" t="s">
        <v>202</v>
      </c>
      <c r="E1616" s="14" t="s">
        <v>157</v>
      </c>
      <c r="F1616" s="14" t="s">
        <v>199</v>
      </c>
      <c r="G1616" s="14" t="n">
        <v>2</v>
      </c>
      <c r="H1616" s="14" t="s">
        <v>153</v>
      </c>
      <c r="I1616" s="14" t="s">
        <v>892</v>
      </c>
      <c r="J1616" s="15" t="n">
        <f aca="false">IF(B1616="SITE LOSS",IF(D1616=C1616,1,0),IF(B1616="REGION LOSS",IF(E1616=C1616,1,0),0))</f>
        <v>0</v>
      </c>
      <c r="K1616" s="15" t="n">
        <f aca="false">IF(B1616="SITE LOSS",IF(COUNTIFS('Site Dockets'!$B$7:$B$24,C1616,'Site Dockets'!$C$7:$C$24,F1616)&gt;0,1,0),IF(B1616="REGION LOSS",IF(COUNTIFS('Site Dockets'!$E$7:$E$24,C1616,'Site Dockets'!$C$7:$C$24,F1616)&gt;0,1,0),0))</f>
        <v>0</v>
      </c>
      <c r="L1616" s="15" t="n">
        <f aca="false">IF(J1616=1,0,Inputs!$B$11)</f>
        <v>100</v>
      </c>
      <c r="M1616" s="15" t="n">
        <f aca="false">IF(J1616=1,0,Inputs!$B$12)</f>
        <v>75</v>
      </c>
      <c r="N1616" s="15" t="n">
        <f aca="false">IF(J1616=1,0,IF(OR(AND(OR(B1616="SITE LOSS",B1616="REGION LOSS"),K1616=1),AND(B1616="ROLE COMPROMISE",H1616=C1616)),Inputs!$B$13,Inputs!$B$14))</f>
        <v>10</v>
      </c>
      <c r="O1616" s="15" t="n">
        <f aca="false">IF(J1616=1,0,Inputs!$B$13)</f>
        <v>20</v>
      </c>
      <c r="P1616" s="15" t="n">
        <f aca="false">SUM(M1616:N1616)</f>
        <v>85</v>
      </c>
      <c r="Q1616" s="15" t="n">
        <f aca="false">IF(J1616=1,"",L1616-P1616)</f>
        <v>15</v>
      </c>
      <c r="R1616" s="15" t="n">
        <f aca="false">IF(OR(J1616=1,M1616&lt;=Inputs!$B$12),1,0)</f>
        <v>1</v>
      </c>
      <c r="S1616" s="15" t="n">
        <f aca="false">IF(OR(J1616=1,N1616&lt;=O1616),1,0)</f>
        <v>1</v>
      </c>
      <c r="T1616" s="15" t="str">
        <f aca="false">IF(J1616=1,"OFFLINE",IF(AND(Q1616&gt;=Inputs!$B$15,R1616=1,S1616=1,P1616&lt;=L1616),"PASS","FAIL"))</f>
        <v>PASS</v>
      </c>
    </row>
    <row r="1617" customFormat="false" ht="15" hidden="false" customHeight="false" outlineLevel="0" collapsed="false">
      <c r="A1617" s="14" t="s">
        <v>1033</v>
      </c>
      <c r="B1617" s="14" t="s">
        <v>1019</v>
      </c>
      <c r="C1617" s="14" t="s">
        <v>196</v>
      </c>
      <c r="D1617" s="14" t="s">
        <v>202</v>
      </c>
      <c r="E1617" s="14" t="s">
        <v>157</v>
      </c>
      <c r="F1617" s="14" t="s">
        <v>199</v>
      </c>
      <c r="G1617" s="14" t="n">
        <v>2</v>
      </c>
      <c r="H1617" s="14" t="s">
        <v>153</v>
      </c>
      <c r="I1617" s="14" t="s">
        <v>811</v>
      </c>
      <c r="J1617" s="15" t="n">
        <f aca="false">IF(B1617="SITE LOSS",IF(D1617=C1617,1,0),IF(B1617="REGION LOSS",IF(E1617=C1617,1,0),0))</f>
        <v>0</v>
      </c>
      <c r="K1617" s="15" t="n">
        <f aca="false">IF(B1617="SITE LOSS",IF(COUNTIFS('Site Dockets'!$B$7:$B$24,C1617,'Site Dockets'!$C$7:$C$24,F1617)&gt;0,1,0),IF(B1617="REGION LOSS",IF(COUNTIFS('Site Dockets'!$E$7:$E$24,C1617,'Site Dockets'!$C$7:$C$24,F1617)&gt;0,1,0),0))</f>
        <v>0</v>
      </c>
      <c r="L1617" s="15" t="n">
        <f aca="false">IF(J1617=1,0,Inputs!$B$11)</f>
        <v>100</v>
      </c>
      <c r="M1617" s="15" t="n">
        <f aca="false">IF(J1617=1,0,Inputs!$B$12)</f>
        <v>75</v>
      </c>
      <c r="N1617" s="15" t="n">
        <f aca="false">IF(J1617=1,0,IF(OR(AND(OR(B1617="SITE LOSS",B1617="REGION LOSS"),K1617=1),AND(B1617="ROLE COMPROMISE",H1617=C1617)),Inputs!$B$13,Inputs!$B$14))</f>
        <v>10</v>
      </c>
      <c r="O1617" s="15" t="n">
        <f aca="false">IF(J1617=1,0,Inputs!$B$13)</f>
        <v>20</v>
      </c>
      <c r="P1617" s="15" t="n">
        <f aca="false">SUM(M1617:N1617)</f>
        <v>85</v>
      </c>
      <c r="Q1617" s="15" t="n">
        <f aca="false">IF(J1617=1,"",L1617-P1617)</f>
        <v>15</v>
      </c>
      <c r="R1617" s="15" t="n">
        <f aca="false">IF(OR(J1617=1,M1617&lt;=Inputs!$B$12),1,0)</f>
        <v>1</v>
      </c>
      <c r="S1617" s="15" t="n">
        <f aca="false">IF(OR(J1617=1,N1617&lt;=O1617),1,0)</f>
        <v>1</v>
      </c>
      <c r="T1617" s="15" t="str">
        <f aca="false">IF(J1617=1,"OFFLINE",IF(AND(Q1617&gt;=Inputs!$B$15,R1617=1,S1617=1,P1617&lt;=L1617),"PASS","FAIL"))</f>
        <v>PASS</v>
      </c>
    </row>
    <row r="1618" customFormat="false" ht="15" hidden="false" customHeight="false" outlineLevel="0" collapsed="false">
      <c r="A1618" s="14" t="s">
        <v>1033</v>
      </c>
      <c r="B1618" s="14" t="s">
        <v>1019</v>
      </c>
      <c r="C1618" s="14" t="s">
        <v>196</v>
      </c>
      <c r="D1618" s="14" t="s">
        <v>202</v>
      </c>
      <c r="E1618" s="14" t="s">
        <v>157</v>
      </c>
      <c r="F1618" s="14" t="s">
        <v>199</v>
      </c>
      <c r="G1618" s="14" t="n">
        <v>2</v>
      </c>
      <c r="H1618" s="14" t="s">
        <v>153</v>
      </c>
      <c r="I1618" s="14" t="s">
        <v>895</v>
      </c>
      <c r="J1618" s="15" t="n">
        <f aca="false">IF(B1618="SITE LOSS",IF(D1618=C1618,1,0),IF(B1618="REGION LOSS",IF(E1618=C1618,1,0),0))</f>
        <v>0</v>
      </c>
      <c r="K1618" s="15" t="n">
        <f aca="false">IF(B1618="SITE LOSS",IF(COUNTIFS('Site Dockets'!$B$7:$B$24,C1618,'Site Dockets'!$C$7:$C$24,F1618)&gt;0,1,0),IF(B1618="REGION LOSS",IF(COUNTIFS('Site Dockets'!$E$7:$E$24,C1618,'Site Dockets'!$C$7:$C$24,F1618)&gt;0,1,0),0))</f>
        <v>0</v>
      </c>
      <c r="L1618" s="15" t="n">
        <f aca="false">IF(J1618=1,0,Inputs!$B$11)</f>
        <v>100</v>
      </c>
      <c r="M1618" s="15" t="n">
        <f aca="false">IF(J1618=1,0,Inputs!$B$12)</f>
        <v>75</v>
      </c>
      <c r="N1618" s="15" t="n">
        <f aca="false">IF(J1618=1,0,IF(OR(AND(OR(B1618="SITE LOSS",B1618="REGION LOSS"),K1618=1),AND(B1618="ROLE COMPROMISE",H1618=C1618)),Inputs!$B$13,Inputs!$B$14))</f>
        <v>10</v>
      </c>
      <c r="O1618" s="15" t="n">
        <f aca="false">IF(J1618=1,0,Inputs!$B$13)</f>
        <v>20</v>
      </c>
      <c r="P1618" s="15" t="n">
        <f aca="false">SUM(M1618:N1618)</f>
        <v>85</v>
      </c>
      <c r="Q1618" s="15" t="n">
        <f aca="false">IF(J1618=1,"",L1618-P1618)</f>
        <v>15</v>
      </c>
      <c r="R1618" s="15" t="n">
        <f aca="false">IF(OR(J1618=1,M1618&lt;=Inputs!$B$12),1,0)</f>
        <v>1</v>
      </c>
      <c r="S1618" s="15" t="n">
        <f aca="false">IF(OR(J1618=1,N1618&lt;=O1618),1,0)</f>
        <v>1</v>
      </c>
      <c r="T1618" s="15" t="str">
        <f aca="false">IF(J1618=1,"OFFLINE",IF(AND(Q1618&gt;=Inputs!$B$15,R1618=1,S1618=1,P1618&lt;=L1618),"PASS","FAIL"))</f>
        <v>PASS</v>
      </c>
    </row>
    <row r="1619" customFormat="false" ht="15" hidden="false" customHeight="false" outlineLevel="0" collapsed="false">
      <c r="A1619" s="14" t="s">
        <v>1033</v>
      </c>
      <c r="B1619" s="14" t="s">
        <v>1019</v>
      </c>
      <c r="C1619" s="14" t="s">
        <v>196</v>
      </c>
      <c r="D1619" s="14" t="s">
        <v>202</v>
      </c>
      <c r="E1619" s="14" t="s">
        <v>157</v>
      </c>
      <c r="F1619" s="14" t="s">
        <v>199</v>
      </c>
      <c r="G1619" s="14" t="n">
        <v>2</v>
      </c>
      <c r="H1619" s="14" t="s">
        <v>153</v>
      </c>
      <c r="I1619" s="14" t="s">
        <v>897</v>
      </c>
      <c r="J1619" s="15" t="n">
        <f aca="false">IF(B1619="SITE LOSS",IF(D1619=C1619,1,0),IF(B1619="REGION LOSS",IF(E1619=C1619,1,0),0))</f>
        <v>0</v>
      </c>
      <c r="K1619" s="15" t="n">
        <f aca="false">IF(B1619="SITE LOSS",IF(COUNTIFS('Site Dockets'!$B$7:$B$24,C1619,'Site Dockets'!$C$7:$C$24,F1619)&gt;0,1,0),IF(B1619="REGION LOSS",IF(COUNTIFS('Site Dockets'!$E$7:$E$24,C1619,'Site Dockets'!$C$7:$C$24,F1619)&gt;0,1,0),0))</f>
        <v>0</v>
      </c>
      <c r="L1619" s="15" t="n">
        <f aca="false">IF(J1619=1,0,Inputs!$B$11)</f>
        <v>100</v>
      </c>
      <c r="M1619" s="15" t="n">
        <f aca="false">IF(J1619=1,0,Inputs!$B$12)</f>
        <v>75</v>
      </c>
      <c r="N1619" s="15" t="n">
        <f aca="false">IF(J1619=1,0,IF(OR(AND(OR(B1619="SITE LOSS",B1619="REGION LOSS"),K1619=1),AND(B1619="ROLE COMPROMISE",H1619=C1619)),Inputs!$B$13,Inputs!$B$14))</f>
        <v>10</v>
      </c>
      <c r="O1619" s="15" t="n">
        <f aca="false">IF(J1619=1,0,Inputs!$B$13)</f>
        <v>20</v>
      </c>
      <c r="P1619" s="15" t="n">
        <f aca="false">SUM(M1619:N1619)</f>
        <v>85</v>
      </c>
      <c r="Q1619" s="15" t="n">
        <f aca="false">IF(J1619=1,"",L1619-P1619)</f>
        <v>15</v>
      </c>
      <c r="R1619" s="15" t="n">
        <f aca="false">IF(OR(J1619=1,M1619&lt;=Inputs!$B$12),1,0)</f>
        <v>1</v>
      </c>
      <c r="S1619" s="15" t="n">
        <f aca="false">IF(OR(J1619=1,N1619&lt;=O1619),1,0)</f>
        <v>1</v>
      </c>
      <c r="T1619" s="15" t="str">
        <f aca="false">IF(J1619=1,"OFFLINE",IF(AND(Q1619&gt;=Inputs!$B$15,R1619=1,S1619=1,P1619&lt;=L1619),"PASS","FAIL"))</f>
        <v>PASS</v>
      </c>
    </row>
    <row r="1620" customFormat="false" ht="15" hidden="false" customHeight="false" outlineLevel="0" collapsed="false">
      <c r="A1620" s="14" t="s">
        <v>1033</v>
      </c>
      <c r="B1620" s="14" t="s">
        <v>1019</v>
      </c>
      <c r="C1620" s="14" t="s">
        <v>196</v>
      </c>
      <c r="D1620" s="14" t="s">
        <v>202</v>
      </c>
      <c r="E1620" s="14" t="s">
        <v>157</v>
      </c>
      <c r="F1620" s="14" t="s">
        <v>199</v>
      </c>
      <c r="G1620" s="14" t="n">
        <v>2</v>
      </c>
      <c r="H1620" s="14" t="s">
        <v>153</v>
      </c>
      <c r="I1620" s="14" t="s">
        <v>899</v>
      </c>
      <c r="J1620" s="15" t="n">
        <f aca="false">IF(B1620="SITE LOSS",IF(D1620=C1620,1,0),IF(B1620="REGION LOSS",IF(E1620=C1620,1,0),0))</f>
        <v>0</v>
      </c>
      <c r="K1620" s="15" t="n">
        <f aca="false">IF(B1620="SITE LOSS",IF(COUNTIFS('Site Dockets'!$B$7:$B$24,C1620,'Site Dockets'!$C$7:$C$24,F1620)&gt;0,1,0),IF(B1620="REGION LOSS",IF(COUNTIFS('Site Dockets'!$E$7:$E$24,C1620,'Site Dockets'!$C$7:$C$24,F1620)&gt;0,1,0),0))</f>
        <v>0</v>
      </c>
      <c r="L1620" s="15" t="n">
        <f aca="false">IF(J1620=1,0,Inputs!$B$11)</f>
        <v>100</v>
      </c>
      <c r="M1620" s="15" t="n">
        <f aca="false">IF(J1620=1,0,Inputs!$B$12)</f>
        <v>75</v>
      </c>
      <c r="N1620" s="15" t="n">
        <f aca="false">IF(J1620=1,0,IF(OR(AND(OR(B1620="SITE LOSS",B1620="REGION LOSS"),K1620=1),AND(B1620="ROLE COMPROMISE",H1620=C1620)),Inputs!$B$13,Inputs!$B$14))</f>
        <v>10</v>
      </c>
      <c r="O1620" s="15" t="n">
        <f aca="false">IF(J1620=1,0,Inputs!$B$13)</f>
        <v>20</v>
      </c>
      <c r="P1620" s="15" t="n">
        <f aca="false">SUM(M1620:N1620)</f>
        <v>85</v>
      </c>
      <c r="Q1620" s="15" t="n">
        <f aca="false">IF(J1620=1,"",L1620-P1620)</f>
        <v>15</v>
      </c>
      <c r="R1620" s="15" t="n">
        <f aca="false">IF(OR(J1620=1,M1620&lt;=Inputs!$B$12),1,0)</f>
        <v>1</v>
      </c>
      <c r="S1620" s="15" t="n">
        <f aca="false">IF(OR(J1620=1,N1620&lt;=O1620),1,0)</f>
        <v>1</v>
      </c>
      <c r="T1620" s="15" t="str">
        <f aca="false">IF(J1620=1,"OFFLINE",IF(AND(Q1620&gt;=Inputs!$B$15,R1620=1,S1620=1,P1620&lt;=L1620),"PASS","FAIL"))</f>
        <v>PASS</v>
      </c>
    </row>
    <row r="1621" customFormat="false" ht="15" hidden="false" customHeight="false" outlineLevel="0" collapsed="false">
      <c r="A1621" s="14" t="s">
        <v>1033</v>
      </c>
      <c r="B1621" s="14" t="s">
        <v>1019</v>
      </c>
      <c r="C1621" s="14" t="s">
        <v>196</v>
      </c>
      <c r="D1621" s="14" t="s">
        <v>204</v>
      </c>
      <c r="E1621" s="14" t="s">
        <v>161</v>
      </c>
      <c r="F1621" s="14" t="s">
        <v>199</v>
      </c>
      <c r="G1621" s="14" t="n">
        <v>3</v>
      </c>
      <c r="H1621" s="14" t="s">
        <v>158</v>
      </c>
      <c r="I1621" s="14" t="s">
        <v>890</v>
      </c>
      <c r="J1621" s="15" t="n">
        <f aca="false">IF(B1621="SITE LOSS",IF(D1621=C1621,1,0),IF(B1621="REGION LOSS",IF(E1621=C1621,1,0),0))</f>
        <v>0</v>
      </c>
      <c r="K1621" s="15" t="n">
        <f aca="false">IF(B1621="SITE LOSS",IF(COUNTIFS('Site Dockets'!$B$7:$B$24,C1621,'Site Dockets'!$C$7:$C$24,F1621)&gt;0,1,0),IF(B1621="REGION LOSS",IF(COUNTIFS('Site Dockets'!$E$7:$E$24,C1621,'Site Dockets'!$C$7:$C$24,F1621)&gt;0,1,0),0))</f>
        <v>0</v>
      </c>
      <c r="L1621" s="15" t="n">
        <f aca="false">IF(J1621=1,0,Inputs!$B$11)</f>
        <v>100</v>
      </c>
      <c r="M1621" s="15" t="n">
        <f aca="false">IF(J1621=1,0,Inputs!$B$12)</f>
        <v>75</v>
      </c>
      <c r="N1621" s="15" t="n">
        <f aca="false">IF(J1621=1,0,IF(OR(AND(OR(B1621="SITE LOSS",B1621="REGION LOSS"),K1621=1),AND(B1621="ROLE COMPROMISE",H1621=C1621)),Inputs!$B$13,Inputs!$B$14))</f>
        <v>10</v>
      </c>
      <c r="O1621" s="15" t="n">
        <f aca="false">IF(J1621=1,0,Inputs!$B$13)</f>
        <v>20</v>
      </c>
      <c r="P1621" s="15" t="n">
        <f aca="false">SUM(M1621:N1621)</f>
        <v>85</v>
      </c>
      <c r="Q1621" s="15" t="n">
        <f aca="false">IF(J1621=1,"",L1621-P1621)</f>
        <v>15</v>
      </c>
      <c r="R1621" s="15" t="n">
        <f aca="false">IF(OR(J1621=1,M1621&lt;=Inputs!$B$12),1,0)</f>
        <v>1</v>
      </c>
      <c r="S1621" s="15" t="n">
        <f aca="false">IF(OR(J1621=1,N1621&lt;=O1621),1,0)</f>
        <v>1</v>
      </c>
      <c r="T1621" s="15" t="str">
        <f aca="false">IF(J1621=1,"OFFLINE",IF(AND(Q1621&gt;=Inputs!$B$15,R1621=1,S1621=1,P1621&lt;=L1621),"PASS","FAIL"))</f>
        <v>PASS</v>
      </c>
    </row>
    <row r="1622" customFormat="false" ht="15" hidden="false" customHeight="false" outlineLevel="0" collapsed="false">
      <c r="A1622" s="14" t="s">
        <v>1033</v>
      </c>
      <c r="B1622" s="14" t="s">
        <v>1019</v>
      </c>
      <c r="C1622" s="14" t="s">
        <v>196</v>
      </c>
      <c r="D1622" s="14" t="s">
        <v>204</v>
      </c>
      <c r="E1622" s="14" t="s">
        <v>161</v>
      </c>
      <c r="F1622" s="14" t="s">
        <v>199</v>
      </c>
      <c r="G1622" s="14" t="n">
        <v>3</v>
      </c>
      <c r="H1622" s="14" t="s">
        <v>158</v>
      </c>
      <c r="I1622" s="14" t="s">
        <v>892</v>
      </c>
      <c r="J1622" s="15" t="n">
        <f aca="false">IF(B1622="SITE LOSS",IF(D1622=C1622,1,0),IF(B1622="REGION LOSS",IF(E1622=C1622,1,0),0))</f>
        <v>0</v>
      </c>
      <c r="K1622" s="15" t="n">
        <f aca="false">IF(B1622="SITE LOSS",IF(COUNTIFS('Site Dockets'!$B$7:$B$24,C1622,'Site Dockets'!$C$7:$C$24,F1622)&gt;0,1,0),IF(B1622="REGION LOSS",IF(COUNTIFS('Site Dockets'!$E$7:$E$24,C1622,'Site Dockets'!$C$7:$C$24,F1622)&gt;0,1,0),0))</f>
        <v>0</v>
      </c>
      <c r="L1622" s="15" t="n">
        <f aca="false">IF(J1622=1,0,Inputs!$B$11)</f>
        <v>100</v>
      </c>
      <c r="M1622" s="15" t="n">
        <f aca="false">IF(J1622=1,0,Inputs!$B$12)</f>
        <v>75</v>
      </c>
      <c r="N1622" s="15" t="n">
        <f aca="false">IF(J1622=1,0,IF(OR(AND(OR(B1622="SITE LOSS",B1622="REGION LOSS"),K1622=1),AND(B1622="ROLE COMPROMISE",H1622=C1622)),Inputs!$B$13,Inputs!$B$14))</f>
        <v>10</v>
      </c>
      <c r="O1622" s="15" t="n">
        <f aca="false">IF(J1622=1,0,Inputs!$B$13)</f>
        <v>20</v>
      </c>
      <c r="P1622" s="15" t="n">
        <f aca="false">SUM(M1622:N1622)</f>
        <v>85</v>
      </c>
      <c r="Q1622" s="15" t="n">
        <f aca="false">IF(J1622=1,"",L1622-P1622)</f>
        <v>15</v>
      </c>
      <c r="R1622" s="15" t="n">
        <f aca="false">IF(OR(J1622=1,M1622&lt;=Inputs!$B$12),1,0)</f>
        <v>1</v>
      </c>
      <c r="S1622" s="15" t="n">
        <f aca="false">IF(OR(J1622=1,N1622&lt;=O1622),1,0)</f>
        <v>1</v>
      </c>
      <c r="T1622" s="15" t="str">
        <f aca="false">IF(J1622=1,"OFFLINE",IF(AND(Q1622&gt;=Inputs!$B$15,R1622=1,S1622=1,P1622&lt;=L1622),"PASS","FAIL"))</f>
        <v>PASS</v>
      </c>
    </row>
    <row r="1623" customFormat="false" ht="15" hidden="false" customHeight="false" outlineLevel="0" collapsed="false">
      <c r="A1623" s="14" t="s">
        <v>1033</v>
      </c>
      <c r="B1623" s="14" t="s">
        <v>1019</v>
      </c>
      <c r="C1623" s="14" t="s">
        <v>196</v>
      </c>
      <c r="D1623" s="14" t="s">
        <v>204</v>
      </c>
      <c r="E1623" s="14" t="s">
        <v>161</v>
      </c>
      <c r="F1623" s="14" t="s">
        <v>199</v>
      </c>
      <c r="G1623" s="14" t="n">
        <v>3</v>
      </c>
      <c r="H1623" s="14" t="s">
        <v>158</v>
      </c>
      <c r="I1623" s="14" t="s">
        <v>811</v>
      </c>
      <c r="J1623" s="15" t="n">
        <f aca="false">IF(B1623="SITE LOSS",IF(D1623=C1623,1,0),IF(B1623="REGION LOSS",IF(E1623=C1623,1,0),0))</f>
        <v>0</v>
      </c>
      <c r="K1623" s="15" t="n">
        <f aca="false">IF(B1623="SITE LOSS",IF(COUNTIFS('Site Dockets'!$B$7:$B$24,C1623,'Site Dockets'!$C$7:$C$24,F1623)&gt;0,1,0),IF(B1623="REGION LOSS",IF(COUNTIFS('Site Dockets'!$E$7:$E$24,C1623,'Site Dockets'!$C$7:$C$24,F1623)&gt;0,1,0),0))</f>
        <v>0</v>
      </c>
      <c r="L1623" s="15" t="n">
        <f aca="false">IF(J1623=1,0,Inputs!$B$11)</f>
        <v>100</v>
      </c>
      <c r="M1623" s="15" t="n">
        <f aca="false">IF(J1623=1,0,Inputs!$B$12)</f>
        <v>75</v>
      </c>
      <c r="N1623" s="15" t="n">
        <f aca="false">IF(J1623=1,0,IF(OR(AND(OR(B1623="SITE LOSS",B1623="REGION LOSS"),K1623=1),AND(B1623="ROLE COMPROMISE",H1623=C1623)),Inputs!$B$13,Inputs!$B$14))</f>
        <v>10</v>
      </c>
      <c r="O1623" s="15" t="n">
        <f aca="false">IF(J1623=1,0,Inputs!$B$13)</f>
        <v>20</v>
      </c>
      <c r="P1623" s="15" t="n">
        <f aca="false">SUM(M1623:N1623)</f>
        <v>85</v>
      </c>
      <c r="Q1623" s="15" t="n">
        <f aca="false">IF(J1623=1,"",L1623-P1623)</f>
        <v>15</v>
      </c>
      <c r="R1623" s="15" t="n">
        <f aca="false">IF(OR(J1623=1,M1623&lt;=Inputs!$B$12),1,0)</f>
        <v>1</v>
      </c>
      <c r="S1623" s="15" t="n">
        <f aca="false">IF(OR(J1623=1,N1623&lt;=O1623),1,0)</f>
        <v>1</v>
      </c>
      <c r="T1623" s="15" t="str">
        <f aca="false">IF(J1623=1,"OFFLINE",IF(AND(Q1623&gt;=Inputs!$B$15,R1623=1,S1623=1,P1623&lt;=L1623),"PASS","FAIL"))</f>
        <v>PASS</v>
      </c>
    </row>
    <row r="1624" customFormat="false" ht="15" hidden="false" customHeight="false" outlineLevel="0" collapsed="false">
      <c r="A1624" s="14" t="s">
        <v>1033</v>
      </c>
      <c r="B1624" s="14" t="s">
        <v>1019</v>
      </c>
      <c r="C1624" s="14" t="s">
        <v>196</v>
      </c>
      <c r="D1624" s="14" t="s">
        <v>204</v>
      </c>
      <c r="E1624" s="14" t="s">
        <v>161</v>
      </c>
      <c r="F1624" s="14" t="s">
        <v>199</v>
      </c>
      <c r="G1624" s="14" t="n">
        <v>3</v>
      </c>
      <c r="H1624" s="14" t="s">
        <v>158</v>
      </c>
      <c r="I1624" s="14" t="s">
        <v>895</v>
      </c>
      <c r="J1624" s="15" t="n">
        <f aca="false">IF(B1624="SITE LOSS",IF(D1624=C1624,1,0),IF(B1624="REGION LOSS",IF(E1624=C1624,1,0),0))</f>
        <v>0</v>
      </c>
      <c r="K1624" s="15" t="n">
        <f aca="false">IF(B1624="SITE LOSS",IF(COUNTIFS('Site Dockets'!$B$7:$B$24,C1624,'Site Dockets'!$C$7:$C$24,F1624)&gt;0,1,0),IF(B1624="REGION LOSS",IF(COUNTIFS('Site Dockets'!$E$7:$E$24,C1624,'Site Dockets'!$C$7:$C$24,F1624)&gt;0,1,0),0))</f>
        <v>0</v>
      </c>
      <c r="L1624" s="15" t="n">
        <f aca="false">IF(J1624=1,0,Inputs!$B$11)</f>
        <v>100</v>
      </c>
      <c r="M1624" s="15" t="n">
        <f aca="false">IF(J1624=1,0,Inputs!$B$12)</f>
        <v>75</v>
      </c>
      <c r="N1624" s="15" t="n">
        <f aca="false">IF(J1624=1,0,IF(OR(AND(OR(B1624="SITE LOSS",B1624="REGION LOSS"),K1624=1),AND(B1624="ROLE COMPROMISE",H1624=C1624)),Inputs!$B$13,Inputs!$B$14))</f>
        <v>10</v>
      </c>
      <c r="O1624" s="15" t="n">
        <f aca="false">IF(J1624=1,0,Inputs!$B$13)</f>
        <v>20</v>
      </c>
      <c r="P1624" s="15" t="n">
        <f aca="false">SUM(M1624:N1624)</f>
        <v>85</v>
      </c>
      <c r="Q1624" s="15" t="n">
        <f aca="false">IF(J1624=1,"",L1624-P1624)</f>
        <v>15</v>
      </c>
      <c r="R1624" s="15" t="n">
        <f aca="false">IF(OR(J1624=1,M1624&lt;=Inputs!$B$12),1,0)</f>
        <v>1</v>
      </c>
      <c r="S1624" s="15" t="n">
        <f aca="false">IF(OR(J1624=1,N1624&lt;=O1624),1,0)</f>
        <v>1</v>
      </c>
      <c r="T1624" s="15" t="str">
        <f aca="false">IF(J1624=1,"OFFLINE",IF(AND(Q1624&gt;=Inputs!$B$15,R1624=1,S1624=1,P1624&lt;=L1624),"PASS","FAIL"))</f>
        <v>PASS</v>
      </c>
    </row>
    <row r="1625" customFormat="false" ht="15" hidden="false" customHeight="false" outlineLevel="0" collapsed="false">
      <c r="A1625" s="14" t="s">
        <v>1033</v>
      </c>
      <c r="B1625" s="14" t="s">
        <v>1019</v>
      </c>
      <c r="C1625" s="14" t="s">
        <v>196</v>
      </c>
      <c r="D1625" s="14" t="s">
        <v>204</v>
      </c>
      <c r="E1625" s="14" t="s">
        <v>161</v>
      </c>
      <c r="F1625" s="14" t="s">
        <v>199</v>
      </c>
      <c r="G1625" s="14" t="n">
        <v>3</v>
      </c>
      <c r="H1625" s="14" t="s">
        <v>158</v>
      </c>
      <c r="I1625" s="14" t="s">
        <v>897</v>
      </c>
      <c r="J1625" s="15" t="n">
        <f aca="false">IF(B1625="SITE LOSS",IF(D1625=C1625,1,0),IF(B1625="REGION LOSS",IF(E1625=C1625,1,0),0))</f>
        <v>0</v>
      </c>
      <c r="K1625" s="15" t="n">
        <f aca="false">IF(B1625="SITE LOSS",IF(COUNTIFS('Site Dockets'!$B$7:$B$24,C1625,'Site Dockets'!$C$7:$C$24,F1625)&gt;0,1,0),IF(B1625="REGION LOSS",IF(COUNTIFS('Site Dockets'!$E$7:$E$24,C1625,'Site Dockets'!$C$7:$C$24,F1625)&gt;0,1,0),0))</f>
        <v>0</v>
      </c>
      <c r="L1625" s="15" t="n">
        <f aca="false">IF(J1625=1,0,Inputs!$B$11)</f>
        <v>100</v>
      </c>
      <c r="M1625" s="15" t="n">
        <f aca="false">IF(J1625=1,0,Inputs!$B$12)</f>
        <v>75</v>
      </c>
      <c r="N1625" s="15" t="n">
        <f aca="false">IF(J1625=1,0,IF(OR(AND(OR(B1625="SITE LOSS",B1625="REGION LOSS"),K1625=1),AND(B1625="ROLE COMPROMISE",H1625=C1625)),Inputs!$B$13,Inputs!$B$14))</f>
        <v>10</v>
      </c>
      <c r="O1625" s="15" t="n">
        <f aca="false">IF(J1625=1,0,Inputs!$B$13)</f>
        <v>20</v>
      </c>
      <c r="P1625" s="15" t="n">
        <f aca="false">SUM(M1625:N1625)</f>
        <v>85</v>
      </c>
      <c r="Q1625" s="15" t="n">
        <f aca="false">IF(J1625=1,"",L1625-P1625)</f>
        <v>15</v>
      </c>
      <c r="R1625" s="15" t="n">
        <f aca="false">IF(OR(J1625=1,M1625&lt;=Inputs!$B$12),1,0)</f>
        <v>1</v>
      </c>
      <c r="S1625" s="15" t="n">
        <f aca="false">IF(OR(J1625=1,N1625&lt;=O1625),1,0)</f>
        <v>1</v>
      </c>
      <c r="T1625" s="15" t="str">
        <f aca="false">IF(J1625=1,"OFFLINE",IF(AND(Q1625&gt;=Inputs!$B$15,R1625=1,S1625=1,P1625&lt;=L1625),"PASS","FAIL"))</f>
        <v>PASS</v>
      </c>
    </row>
    <row r="1626" customFormat="false" ht="15" hidden="false" customHeight="false" outlineLevel="0" collapsed="false">
      <c r="A1626" s="14" t="s">
        <v>1033</v>
      </c>
      <c r="B1626" s="14" t="s">
        <v>1019</v>
      </c>
      <c r="C1626" s="14" t="s">
        <v>196</v>
      </c>
      <c r="D1626" s="14" t="s">
        <v>204</v>
      </c>
      <c r="E1626" s="14" t="s">
        <v>161</v>
      </c>
      <c r="F1626" s="14" t="s">
        <v>199</v>
      </c>
      <c r="G1626" s="14" t="n">
        <v>3</v>
      </c>
      <c r="H1626" s="14" t="s">
        <v>158</v>
      </c>
      <c r="I1626" s="14" t="s">
        <v>899</v>
      </c>
      <c r="J1626" s="15" t="n">
        <f aca="false">IF(B1626="SITE LOSS",IF(D1626=C1626,1,0),IF(B1626="REGION LOSS",IF(E1626=C1626,1,0),0))</f>
        <v>0</v>
      </c>
      <c r="K1626" s="15" t="n">
        <f aca="false">IF(B1626="SITE LOSS",IF(COUNTIFS('Site Dockets'!$B$7:$B$24,C1626,'Site Dockets'!$C$7:$C$24,F1626)&gt;0,1,0),IF(B1626="REGION LOSS",IF(COUNTIFS('Site Dockets'!$E$7:$E$24,C1626,'Site Dockets'!$C$7:$C$24,F1626)&gt;0,1,0),0))</f>
        <v>0</v>
      </c>
      <c r="L1626" s="15" t="n">
        <f aca="false">IF(J1626=1,0,Inputs!$B$11)</f>
        <v>100</v>
      </c>
      <c r="M1626" s="15" t="n">
        <f aca="false">IF(J1626=1,0,Inputs!$B$12)</f>
        <v>75</v>
      </c>
      <c r="N1626" s="15" t="n">
        <f aca="false">IF(J1626=1,0,IF(OR(AND(OR(B1626="SITE LOSS",B1626="REGION LOSS"),K1626=1),AND(B1626="ROLE COMPROMISE",H1626=C1626)),Inputs!$B$13,Inputs!$B$14))</f>
        <v>10</v>
      </c>
      <c r="O1626" s="15" t="n">
        <f aca="false">IF(J1626=1,0,Inputs!$B$13)</f>
        <v>20</v>
      </c>
      <c r="P1626" s="15" t="n">
        <f aca="false">SUM(M1626:N1626)</f>
        <v>85</v>
      </c>
      <c r="Q1626" s="15" t="n">
        <f aca="false">IF(J1626=1,"",L1626-P1626)</f>
        <v>15</v>
      </c>
      <c r="R1626" s="15" t="n">
        <f aca="false">IF(OR(J1626=1,M1626&lt;=Inputs!$B$12),1,0)</f>
        <v>1</v>
      </c>
      <c r="S1626" s="15" t="n">
        <f aca="false">IF(OR(J1626=1,N1626&lt;=O1626),1,0)</f>
        <v>1</v>
      </c>
      <c r="T1626" s="15" t="str">
        <f aca="false">IF(J1626=1,"OFFLINE",IF(AND(Q1626&gt;=Inputs!$B$15,R1626=1,S1626=1,P1626&lt;=L1626),"PASS","FAIL"))</f>
        <v>PASS</v>
      </c>
    </row>
    <row r="1627" customFormat="false" ht="15" hidden="false" customHeight="false" outlineLevel="0" collapsed="false">
      <c r="A1627" s="14" t="s">
        <v>1034</v>
      </c>
      <c r="B1627" s="14" t="s">
        <v>1019</v>
      </c>
      <c r="C1627" s="14" t="s">
        <v>198</v>
      </c>
      <c r="D1627" s="14" t="s">
        <v>149</v>
      </c>
      <c r="E1627" s="14" t="s">
        <v>152</v>
      </c>
      <c r="F1627" s="14" t="s">
        <v>150</v>
      </c>
      <c r="G1627" s="14" t="n">
        <v>1</v>
      </c>
      <c r="H1627" s="14" t="s">
        <v>154</v>
      </c>
      <c r="I1627" s="14" t="s">
        <v>890</v>
      </c>
      <c r="J1627" s="15" t="n">
        <f aca="false">IF(B1627="SITE LOSS",IF(D1627=C1627,1,0),IF(B1627="REGION LOSS",IF(E1627=C1627,1,0),0))</f>
        <v>0</v>
      </c>
      <c r="K1627" s="15" t="n">
        <f aca="false">IF(B1627="SITE LOSS",IF(COUNTIFS('Site Dockets'!$B$7:$B$24,C1627,'Site Dockets'!$C$7:$C$24,F1627)&gt;0,1,0),IF(B1627="REGION LOSS",IF(COUNTIFS('Site Dockets'!$E$7:$E$24,C1627,'Site Dockets'!$C$7:$C$24,F1627)&gt;0,1,0),0))</f>
        <v>0</v>
      </c>
      <c r="L1627" s="15" t="n">
        <f aca="false">IF(J1627=1,0,Inputs!$B$11)</f>
        <v>100</v>
      </c>
      <c r="M1627" s="15" t="n">
        <f aca="false">IF(J1627=1,0,Inputs!$B$12)</f>
        <v>75</v>
      </c>
      <c r="N1627" s="15" t="n">
        <f aca="false">IF(J1627=1,0,IF(OR(AND(OR(B1627="SITE LOSS",B1627="REGION LOSS"),K1627=1),AND(B1627="ROLE COMPROMISE",H1627=C1627)),Inputs!$B$13,Inputs!$B$14))</f>
        <v>10</v>
      </c>
      <c r="O1627" s="15" t="n">
        <f aca="false">IF(J1627=1,0,Inputs!$B$13)</f>
        <v>20</v>
      </c>
      <c r="P1627" s="15" t="n">
        <f aca="false">SUM(M1627:N1627)</f>
        <v>85</v>
      </c>
      <c r="Q1627" s="15" t="n">
        <f aca="false">IF(J1627=1,"",L1627-P1627)</f>
        <v>15</v>
      </c>
      <c r="R1627" s="15" t="n">
        <f aca="false">IF(OR(J1627=1,M1627&lt;=Inputs!$B$12),1,0)</f>
        <v>1</v>
      </c>
      <c r="S1627" s="15" t="n">
        <f aca="false">IF(OR(J1627=1,N1627&lt;=O1627),1,0)</f>
        <v>1</v>
      </c>
      <c r="T1627" s="15" t="str">
        <f aca="false">IF(J1627=1,"OFFLINE",IF(AND(Q1627&gt;=Inputs!$B$15,R1627=1,S1627=1,P1627&lt;=L1627),"PASS","FAIL"))</f>
        <v>PASS</v>
      </c>
    </row>
    <row r="1628" customFormat="false" ht="15" hidden="false" customHeight="false" outlineLevel="0" collapsed="false">
      <c r="A1628" s="14" t="s">
        <v>1034</v>
      </c>
      <c r="B1628" s="14" t="s">
        <v>1019</v>
      </c>
      <c r="C1628" s="14" t="s">
        <v>198</v>
      </c>
      <c r="D1628" s="14" t="s">
        <v>149</v>
      </c>
      <c r="E1628" s="14" t="s">
        <v>152</v>
      </c>
      <c r="F1628" s="14" t="s">
        <v>150</v>
      </c>
      <c r="G1628" s="14" t="n">
        <v>1</v>
      </c>
      <c r="H1628" s="14" t="s">
        <v>154</v>
      </c>
      <c r="I1628" s="14" t="s">
        <v>892</v>
      </c>
      <c r="J1628" s="15" t="n">
        <f aca="false">IF(B1628="SITE LOSS",IF(D1628=C1628,1,0),IF(B1628="REGION LOSS",IF(E1628=C1628,1,0),0))</f>
        <v>0</v>
      </c>
      <c r="K1628" s="15" t="n">
        <f aca="false">IF(B1628="SITE LOSS",IF(COUNTIFS('Site Dockets'!$B$7:$B$24,C1628,'Site Dockets'!$C$7:$C$24,F1628)&gt;0,1,0),IF(B1628="REGION LOSS",IF(COUNTIFS('Site Dockets'!$E$7:$E$24,C1628,'Site Dockets'!$C$7:$C$24,F1628)&gt;0,1,0),0))</f>
        <v>0</v>
      </c>
      <c r="L1628" s="15" t="n">
        <f aca="false">IF(J1628=1,0,Inputs!$B$11)</f>
        <v>100</v>
      </c>
      <c r="M1628" s="15" t="n">
        <f aca="false">IF(J1628=1,0,Inputs!$B$12)</f>
        <v>75</v>
      </c>
      <c r="N1628" s="15" t="n">
        <f aca="false">IF(J1628=1,0,IF(OR(AND(OR(B1628="SITE LOSS",B1628="REGION LOSS"),K1628=1),AND(B1628="ROLE COMPROMISE",H1628=C1628)),Inputs!$B$13,Inputs!$B$14))</f>
        <v>10</v>
      </c>
      <c r="O1628" s="15" t="n">
        <f aca="false">IF(J1628=1,0,Inputs!$B$13)</f>
        <v>20</v>
      </c>
      <c r="P1628" s="15" t="n">
        <f aca="false">SUM(M1628:N1628)</f>
        <v>85</v>
      </c>
      <c r="Q1628" s="15" t="n">
        <f aca="false">IF(J1628=1,"",L1628-P1628)</f>
        <v>15</v>
      </c>
      <c r="R1628" s="15" t="n">
        <f aca="false">IF(OR(J1628=1,M1628&lt;=Inputs!$B$12),1,0)</f>
        <v>1</v>
      </c>
      <c r="S1628" s="15" t="n">
        <f aca="false">IF(OR(J1628=1,N1628&lt;=O1628),1,0)</f>
        <v>1</v>
      </c>
      <c r="T1628" s="15" t="str">
        <f aca="false">IF(J1628=1,"OFFLINE",IF(AND(Q1628&gt;=Inputs!$B$15,R1628=1,S1628=1,P1628&lt;=L1628),"PASS","FAIL"))</f>
        <v>PASS</v>
      </c>
    </row>
    <row r="1629" customFormat="false" ht="15" hidden="false" customHeight="false" outlineLevel="0" collapsed="false">
      <c r="A1629" s="14" t="s">
        <v>1034</v>
      </c>
      <c r="B1629" s="14" t="s">
        <v>1019</v>
      </c>
      <c r="C1629" s="14" t="s">
        <v>198</v>
      </c>
      <c r="D1629" s="14" t="s">
        <v>149</v>
      </c>
      <c r="E1629" s="14" t="s">
        <v>152</v>
      </c>
      <c r="F1629" s="14" t="s">
        <v>150</v>
      </c>
      <c r="G1629" s="14" t="n">
        <v>1</v>
      </c>
      <c r="H1629" s="14" t="s">
        <v>154</v>
      </c>
      <c r="I1629" s="14" t="s">
        <v>811</v>
      </c>
      <c r="J1629" s="15" t="n">
        <f aca="false">IF(B1629="SITE LOSS",IF(D1629=C1629,1,0),IF(B1629="REGION LOSS",IF(E1629=C1629,1,0),0))</f>
        <v>0</v>
      </c>
      <c r="K1629" s="15" t="n">
        <f aca="false">IF(B1629="SITE LOSS",IF(COUNTIFS('Site Dockets'!$B$7:$B$24,C1629,'Site Dockets'!$C$7:$C$24,F1629)&gt;0,1,0),IF(B1629="REGION LOSS",IF(COUNTIFS('Site Dockets'!$E$7:$E$24,C1629,'Site Dockets'!$C$7:$C$24,F1629)&gt;0,1,0),0))</f>
        <v>0</v>
      </c>
      <c r="L1629" s="15" t="n">
        <f aca="false">IF(J1629=1,0,Inputs!$B$11)</f>
        <v>100</v>
      </c>
      <c r="M1629" s="15" t="n">
        <f aca="false">IF(J1629=1,0,Inputs!$B$12)</f>
        <v>75</v>
      </c>
      <c r="N1629" s="15" t="n">
        <f aca="false">IF(J1629=1,0,IF(OR(AND(OR(B1629="SITE LOSS",B1629="REGION LOSS"),K1629=1),AND(B1629="ROLE COMPROMISE",H1629=C1629)),Inputs!$B$13,Inputs!$B$14))</f>
        <v>10</v>
      </c>
      <c r="O1629" s="15" t="n">
        <f aca="false">IF(J1629=1,0,Inputs!$B$13)</f>
        <v>20</v>
      </c>
      <c r="P1629" s="15" t="n">
        <f aca="false">SUM(M1629:N1629)</f>
        <v>85</v>
      </c>
      <c r="Q1629" s="15" t="n">
        <f aca="false">IF(J1629=1,"",L1629-P1629)</f>
        <v>15</v>
      </c>
      <c r="R1629" s="15" t="n">
        <f aca="false">IF(OR(J1629=1,M1629&lt;=Inputs!$B$12),1,0)</f>
        <v>1</v>
      </c>
      <c r="S1629" s="15" t="n">
        <f aca="false">IF(OR(J1629=1,N1629&lt;=O1629),1,0)</f>
        <v>1</v>
      </c>
      <c r="T1629" s="15" t="str">
        <f aca="false">IF(J1629=1,"OFFLINE",IF(AND(Q1629&gt;=Inputs!$B$15,R1629=1,S1629=1,P1629&lt;=L1629),"PASS","FAIL"))</f>
        <v>PASS</v>
      </c>
    </row>
    <row r="1630" customFormat="false" ht="15" hidden="false" customHeight="false" outlineLevel="0" collapsed="false">
      <c r="A1630" s="14" t="s">
        <v>1034</v>
      </c>
      <c r="B1630" s="14" t="s">
        <v>1019</v>
      </c>
      <c r="C1630" s="14" t="s">
        <v>198</v>
      </c>
      <c r="D1630" s="14" t="s">
        <v>149</v>
      </c>
      <c r="E1630" s="14" t="s">
        <v>152</v>
      </c>
      <c r="F1630" s="14" t="s">
        <v>150</v>
      </c>
      <c r="G1630" s="14" t="n">
        <v>1</v>
      </c>
      <c r="H1630" s="14" t="s">
        <v>154</v>
      </c>
      <c r="I1630" s="14" t="s">
        <v>895</v>
      </c>
      <c r="J1630" s="15" t="n">
        <f aca="false">IF(B1630="SITE LOSS",IF(D1630=C1630,1,0),IF(B1630="REGION LOSS",IF(E1630=C1630,1,0),0))</f>
        <v>0</v>
      </c>
      <c r="K1630" s="15" t="n">
        <f aca="false">IF(B1630="SITE LOSS",IF(COUNTIFS('Site Dockets'!$B$7:$B$24,C1630,'Site Dockets'!$C$7:$C$24,F1630)&gt;0,1,0),IF(B1630="REGION LOSS",IF(COUNTIFS('Site Dockets'!$E$7:$E$24,C1630,'Site Dockets'!$C$7:$C$24,F1630)&gt;0,1,0),0))</f>
        <v>0</v>
      </c>
      <c r="L1630" s="15" t="n">
        <f aca="false">IF(J1630=1,0,Inputs!$B$11)</f>
        <v>100</v>
      </c>
      <c r="M1630" s="15" t="n">
        <f aca="false">IF(J1630=1,0,Inputs!$B$12)</f>
        <v>75</v>
      </c>
      <c r="N1630" s="15" t="n">
        <f aca="false">IF(J1630=1,0,IF(OR(AND(OR(B1630="SITE LOSS",B1630="REGION LOSS"),K1630=1),AND(B1630="ROLE COMPROMISE",H1630=C1630)),Inputs!$B$13,Inputs!$B$14))</f>
        <v>10</v>
      </c>
      <c r="O1630" s="15" t="n">
        <f aca="false">IF(J1630=1,0,Inputs!$B$13)</f>
        <v>20</v>
      </c>
      <c r="P1630" s="15" t="n">
        <f aca="false">SUM(M1630:N1630)</f>
        <v>85</v>
      </c>
      <c r="Q1630" s="15" t="n">
        <f aca="false">IF(J1630=1,"",L1630-P1630)</f>
        <v>15</v>
      </c>
      <c r="R1630" s="15" t="n">
        <f aca="false">IF(OR(J1630=1,M1630&lt;=Inputs!$B$12),1,0)</f>
        <v>1</v>
      </c>
      <c r="S1630" s="15" t="n">
        <f aca="false">IF(OR(J1630=1,N1630&lt;=O1630),1,0)</f>
        <v>1</v>
      </c>
      <c r="T1630" s="15" t="str">
        <f aca="false">IF(J1630=1,"OFFLINE",IF(AND(Q1630&gt;=Inputs!$B$15,R1630=1,S1630=1,P1630&lt;=L1630),"PASS","FAIL"))</f>
        <v>PASS</v>
      </c>
    </row>
    <row r="1631" customFormat="false" ht="15" hidden="false" customHeight="false" outlineLevel="0" collapsed="false">
      <c r="A1631" s="14" t="s">
        <v>1034</v>
      </c>
      <c r="B1631" s="14" t="s">
        <v>1019</v>
      </c>
      <c r="C1631" s="14" t="s">
        <v>198</v>
      </c>
      <c r="D1631" s="14" t="s">
        <v>149</v>
      </c>
      <c r="E1631" s="14" t="s">
        <v>152</v>
      </c>
      <c r="F1631" s="14" t="s">
        <v>150</v>
      </c>
      <c r="G1631" s="14" t="n">
        <v>1</v>
      </c>
      <c r="H1631" s="14" t="s">
        <v>154</v>
      </c>
      <c r="I1631" s="14" t="s">
        <v>897</v>
      </c>
      <c r="J1631" s="15" t="n">
        <f aca="false">IF(B1631="SITE LOSS",IF(D1631=C1631,1,0),IF(B1631="REGION LOSS",IF(E1631=C1631,1,0),0))</f>
        <v>0</v>
      </c>
      <c r="K1631" s="15" t="n">
        <f aca="false">IF(B1631="SITE LOSS",IF(COUNTIFS('Site Dockets'!$B$7:$B$24,C1631,'Site Dockets'!$C$7:$C$24,F1631)&gt;0,1,0),IF(B1631="REGION LOSS",IF(COUNTIFS('Site Dockets'!$E$7:$E$24,C1631,'Site Dockets'!$C$7:$C$24,F1631)&gt;0,1,0),0))</f>
        <v>0</v>
      </c>
      <c r="L1631" s="15" t="n">
        <f aca="false">IF(J1631=1,0,Inputs!$B$11)</f>
        <v>100</v>
      </c>
      <c r="M1631" s="15" t="n">
        <f aca="false">IF(J1631=1,0,Inputs!$B$12)</f>
        <v>75</v>
      </c>
      <c r="N1631" s="15" t="n">
        <f aca="false">IF(J1631=1,0,IF(OR(AND(OR(B1631="SITE LOSS",B1631="REGION LOSS"),K1631=1),AND(B1631="ROLE COMPROMISE",H1631=C1631)),Inputs!$B$13,Inputs!$B$14))</f>
        <v>10</v>
      </c>
      <c r="O1631" s="15" t="n">
        <f aca="false">IF(J1631=1,0,Inputs!$B$13)</f>
        <v>20</v>
      </c>
      <c r="P1631" s="15" t="n">
        <f aca="false">SUM(M1631:N1631)</f>
        <v>85</v>
      </c>
      <c r="Q1631" s="15" t="n">
        <f aca="false">IF(J1631=1,"",L1631-P1631)</f>
        <v>15</v>
      </c>
      <c r="R1631" s="15" t="n">
        <f aca="false">IF(OR(J1631=1,M1631&lt;=Inputs!$B$12),1,0)</f>
        <v>1</v>
      </c>
      <c r="S1631" s="15" t="n">
        <f aca="false">IF(OR(J1631=1,N1631&lt;=O1631),1,0)</f>
        <v>1</v>
      </c>
      <c r="T1631" s="15" t="str">
        <f aca="false">IF(J1631=1,"OFFLINE",IF(AND(Q1631&gt;=Inputs!$B$15,R1631=1,S1631=1,P1631&lt;=L1631),"PASS","FAIL"))</f>
        <v>PASS</v>
      </c>
    </row>
    <row r="1632" customFormat="false" ht="15" hidden="false" customHeight="false" outlineLevel="0" collapsed="false">
      <c r="A1632" s="14" t="s">
        <v>1034</v>
      </c>
      <c r="B1632" s="14" t="s">
        <v>1019</v>
      </c>
      <c r="C1632" s="14" t="s">
        <v>198</v>
      </c>
      <c r="D1632" s="14" t="s">
        <v>149</v>
      </c>
      <c r="E1632" s="14" t="s">
        <v>152</v>
      </c>
      <c r="F1632" s="14" t="s">
        <v>150</v>
      </c>
      <c r="G1632" s="14" t="n">
        <v>1</v>
      </c>
      <c r="H1632" s="14" t="s">
        <v>154</v>
      </c>
      <c r="I1632" s="14" t="s">
        <v>899</v>
      </c>
      <c r="J1632" s="15" t="n">
        <f aca="false">IF(B1632="SITE LOSS",IF(D1632=C1632,1,0),IF(B1632="REGION LOSS",IF(E1632=C1632,1,0),0))</f>
        <v>0</v>
      </c>
      <c r="K1632" s="15" t="n">
        <f aca="false">IF(B1632="SITE LOSS",IF(COUNTIFS('Site Dockets'!$B$7:$B$24,C1632,'Site Dockets'!$C$7:$C$24,F1632)&gt;0,1,0),IF(B1632="REGION LOSS",IF(COUNTIFS('Site Dockets'!$E$7:$E$24,C1632,'Site Dockets'!$C$7:$C$24,F1632)&gt;0,1,0),0))</f>
        <v>0</v>
      </c>
      <c r="L1632" s="15" t="n">
        <f aca="false">IF(J1632=1,0,Inputs!$B$11)</f>
        <v>100</v>
      </c>
      <c r="M1632" s="15" t="n">
        <f aca="false">IF(J1632=1,0,Inputs!$B$12)</f>
        <v>75</v>
      </c>
      <c r="N1632" s="15" t="n">
        <f aca="false">IF(J1632=1,0,IF(OR(AND(OR(B1632="SITE LOSS",B1632="REGION LOSS"),K1632=1),AND(B1632="ROLE COMPROMISE",H1632=C1632)),Inputs!$B$13,Inputs!$B$14))</f>
        <v>10</v>
      </c>
      <c r="O1632" s="15" t="n">
        <f aca="false">IF(J1632=1,0,Inputs!$B$13)</f>
        <v>20</v>
      </c>
      <c r="P1632" s="15" t="n">
        <f aca="false">SUM(M1632:N1632)</f>
        <v>85</v>
      </c>
      <c r="Q1632" s="15" t="n">
        <f aca="false">IF(J1632=1,"",L1632-P1632)</f>
        <v>15</v>
      </c>
      <c r="R1632" s="15" t="n">
        <f aca="false">IF(OR(J1632=1,M1632&lt;=Inputs!$B$12),1,0)</f>
        <v>1</v>
      </c>
      <c r="S1632" s="15" t="n">
        <f aca="false">IF(OR(J1632=1,N1632&lt;=O1632),1,0)</f>
        <v>1</v>
      </c>
      <c r="T1632" s="15" t="str">
        <f aca="false">IF(J1632=1,"OFFLINE",IF(AND(Q1632&gt;=Inputs!$B$15,R1632=1,S1632=1,P1632&lt;=L1632),"PASS","FAIL"))</f>
        <v>PASS</v>
      </c>
    </row>
    <row r="1633" customFormat="false" ht="15" hidden="false" customHeight="false" outlineLevel="0" collapsed="false">
      <c r="A1633" s="14" t="s">
        <v>1034</v>
      </c>
      <c r="B1633" s="14" t="s">
        <v>1019</v>
      </c>
      <c r="C1633" s="14" t="s">
        <v>198</v>
      </c>
      <c r="D1633" s="14" t="s">
        <v>156</v>
      </c>
      <c r="E1633" s="14" t="s">
        <v>157</v>
      </c>
      <c r="F1633" s="14" t="s">
        <v>150</v>
      </c>
      <c r="G1633" s="14" t="n">
        <v>2</v>
      </c>
      <c r="H1633" s="14" t="s">
        <v>153</v>
      </c>
      <c r="I1633" s="14" t="s">
        <v>890</v>
      </c>
      <c r="J1633" s="15" t="n">
        <f aca="false">IF(B1633="SITE LOSS",IF(D1633=C1633,1,0),IF(B1633="REGION LOSS",IF(E1633=C1633,1,0),0))</f>
        <v>0</v>
      </c>
      <c r="K1633" s="15" t="n">
        <f aca="false">IF(B1633="SITE LOSS",IF(COUNTIFS('Site Dockets'!$B$7:$B$24,C1633,'Site Dockets'!$C$7:$C$24,F1633)&gt;0,1,0),IF(B1633="REGION LOSS",IF(COUNTIFS('Site Dockets'!$E$7:$E$24,C1633,'Site Dockets'!$C$7:$C$24,F1633)&gt;0,1,0),0))</f>
        <v>0</v>
      </c>
      <c r="L1633" s="15" t="n">
        <f aca="false">IF(J1633=1,0,Inputs!$B$11)</f>
        <v>100</v>
      </c>
      <c r="M1633" s="15" t="n">
        <f aca="false">IF(J1633=1,0,Inputs!$B$12)</f>
        <v>75</v>
      </c>
      <c r="N1633" s="15" t="n">
        <f aca="false">IF(J1633=1,0,IF(OR(AND(OR(B1633="SITE LOSS",B1633="REGION LOSS"),K1633=1),AND(B1633="ROLE COMPROMISE",H1633=C1633)),Inputs!$B$13,Inputs!$B$14))</f>
        <v>10</v>
      </c>
      <c r="O1633" s="15" t="n">
        <f aca="false">IF(J1633=1,0,Inputs!$B$13)</f>
        <v>20</v>
      </c>
      <c r="P1633" s="15" t="n">
        <f aca="false">SUM(M1633:N1633)</f>
        <v>85</v>
      </c>
      <c r="Q1633" s="15" t="n">
        <f aca="false">IF(J1633=1,"",L1633-P1633)</f>
        <v>15</v>
      </c>
      <c r="R1633" s="15" t="n">
        <f aca="false">IF(OR(J1633=1,M1633&lt;=Inputs!$B$12),1,0)</f>
        <v>1</v>
      </c>
      <c r="S1633" s="15" t="n">
        <f aca="false">IF(OR(J1633=1,N1633&lt;=O1633),1,0)</f>
        <v>1</v>
      </c>
      <c r="T1633" s="15" t="str">
        <f aca="false">IF(J1633=1,"OFFLINE",IF(AND(Q1633&gt;=Inputs!$B$15,R1633=1,S1633=1,P1633&lt;=L1633),"PASS","FAIL"))</f>
        <v>PASS</v>
      </c>
    </row>
    <row r="1634" customFormat="false" ht="15" hidden="false" customHeight="false" outlineLevel="0" collapsed="false">
      <c r="A1634" s="14" t="s">
        <v>1034</v>
      </c>
      <c r="B1634" s="14" t="s">
        <v>1019</v>
      </c>
      <c r="C1634" s="14" t="s">
        <v>198</v>
      </c>
      <c r="D1634" s="14" t="s">
        <v>156</v>
      </c>
      <c r="E1634" s="14" t="s">
        <v>157</v>
      </c>
      <c r="F1634" s="14" t="s">
        <v>150</v>
      </c>
      <c r="G1634" s="14" t="n">
        <v>2</v>
      </c>
      <c r="H1634" s="14" t="s">
        <v>153</v>
      </c>
      <c r="I1634" s="14" t="s">
        <v>892</v>
      </c>
      <c r="J1634" s="15" t="n">
        <f aca="false">IF(B1634="SITE LOSS",IF(D1634=C1634,1,0),IF(B1634="REGION LOSS",IF(E1634=C1634,1,0),0))</f>
        <v>0</v>
      </c>
      <c r="K1634" s="15" t="n">
        <f aca="false">IF(B1634="SITE LOSS",IF(COUNTIFS('Site Dockets'!$B$7:$B$24,C1634,'Site Dockets'!$C$7:$C$24,F1634)&gt;0,1,0),IF(B1634="REGION LOSS",IF(COUNTIFS('Site Dockets'!$E$7:$E$24,C1634,'Site Dockets'!$C$7:$C$24,F1634)&gt;0,1,0),0))</f>
        <v>0</v>
      </c>
      <c r="L1634" s="15" t="n">
        <f aca="false">IF(J1634=1,0,Inputs!$B$11)</f>
        <v>100</v>
      </c>
      <c r="M1634" s="15" t="n">
        <f aca="false">IF(J1634=1,0,Inputs!$B$12)</f>
        <v>75</v>
      </c>
      <c r="N1634" s="15" t="n">
        <f aca="false">IF(J1634=1,0,IF(OR(AND(OR(B1634="SITE LOSS",B1634="REGION LOSS"),K1634=1),AND(B1634="ROLE COMPROMISE",H1634=C1634)),Inputs!$B$13,Inputs!$B$14))</f>
        <v>10</v>
      </c>
      <c r="O1634" s="15" t="n">
        <f aca="false">IF(J1634=1,0,Inputs!$B$13)</f>
        <v>20</v>
      </c>
      <c r="P1634" s="15" t="n">
        <f aca="false">SUM(M1634:N1634)</f>
        <v>85</v>
      </c>
      <c r="Q1634" s="15" t="n">
        <f aca="false">IF(J1634=1,"",L1634-P1634)</f>
        <v>15</v>
      </c>
      <c r="R1634" s="15" t="n">
        <f aca="false">IF(OR(J1634=1,M1634&lt;=Inputs!$B$12),1,0)</f>
        <v>1</v>
      </c>
      <c r="S1634" s="15" t="n">
        <f aca="false">IF(OR(J1634=1,N1634&lt;=O1634),1,0)</f>
        <v>1</v>
      </c>
      <c r="T1634" s="15" t="str">
        <f aca="false">IF(J1634=1,"OFFLINE",IF(AND(Q1634&gt;=Inputs!$B$15,R1634=1,S1634=1,P1634&lt;=L1634),"PASS","FAIL"))</f>
        <v>PASS</v>
      </c>
    </row>
    <row r="1635" customFormat="false" ht="15" hidden="false" customHeight="false" outlineLevel="0" collapsed="false">
      <c r="A1635" s="14" t="s">
        <v>1034</v>
      </c>
      <c r="B1635" s="14" t="s">
        <v>1019</v>
      </c>
      <c r="C1635" s="14" t="s">
        <v>198</v>
      </c>
      <c r="D1635" s="14" t="s">
        <v>156</v>
      </c>
      <c r="E1635" s="14" t="s">
        <v>157</v>
      </c>
      <c r="F1635" s="14" t="s">
        <v>150</v>
      </c>
      <c r="G1635" s="14" t="n">
        <v>2</v>
      </c>
      <c r="H1635" s="14" t="s">
        <v>153</v>
      </c>
      <c r="I1635" s="14" t="s">
        <v>811</v>
      </c>
      <c r="J1635" s="15" t="n">
        <f aca="false">IF(B1635="SITE LOSS",IF(D1635=C1635,1,0),IF(B1635="REGION LOSS",IF(E1635=C1635,1,0),0))</f>
        <v>0</v>
      </c>
      <c r="K1635" s="15" t="n">
        <f aca="false">IF(B1635="SITE LOSS",IF(COUNTIFS('Site Dockets'!$B$7:$B$24,C1635,'Site Dockets'!$C$7:$C$24,F1635)&gt;0,1,0),IF(B1635="REGION LOSS",IF(COUNTIFS('Site Dockets'!$E$7:$E$24,C1635,'Site Dockets'!$C$7:$C$24,F1635)&gt;0,1,0),0))</f>
        <v>0</v>
      </c>
      <c r="L1635" s="15" t="n">
        <f aca="false">IF(J1635=1,0,Inputs!$B$11)</f>
        <v>100</v>
      </c>
      <c r="M1635" s="15" t="n">
        <f aca="false">IF(J1635=1,0,Inputs!$B$12)</f>
        <v>75</v>
      </c>
      <c r="N1635" s="15" t="n">
        <f aca="false">IF(J1635=1,0,IF(OR(AND(OR(B1635="SITE LOSS",B1635="REGION LOSS"),K1635=1),AND(B1635="ROLE COMPROMISE",H1635=C1635)),Inputs!$B$13,Inputs!$B$14))</f>
        <v>10</v>
      </c>
      <c r="O1635" s="15" t="n">
        <f aca="false">IF(J1635=1,0,Inputs!$B$13)</f>
        <v>20</v>
      </c>
      <c r="P1635" s="15" t="n">
        <f aca="false">SUM(M1635:N1635)</f>
        <v>85</v>
      </c>
      <c r="Q1635" s="15" t="n">
        <f aca="false">IF(J1635=1,"",L1635-P1635)</f>
        <v>15</v>
      </c>
      <c r="R1635" s="15" t="n">
        <f aca="false">IF(OR(J1635=1,M1635&lt;=Inputs!$B$12),1,0)</f>
        <v>1</v>
      </c>
      <c r="S1635" s="15" t="n">
        <f aca="false">IF(OR(J1635=1,N1635&lt;=O1635),1,0)</f>
        <v>1</v>
      </c>
      <c r="T1635" s="15" t="str">
        <f aca="false">IF(J1635=1,"OFFLINE",IF(AND(Q1635&gt;=Inputs!$B$15,R1635=1,S1635=1,P1635&lt;=L1635),"PASS","FAIL"))</f>
        <v>PASS</v>
      </c>
    </row>
    <row r="1636" customFormat="false" ht="15" hidden="false" customHeight="false" outlineLevel="0" collapsed="false">
      <c r="A1636" s="14" t="s">
        <v>1034</v>
      </c>
      <c r="B1636" s="14" t="s">
        <v>1019</v>
      </c>
      <c r="C1636" s="14" t="s">
        <v>198</v>
      </c>
      <c r="D1636" s="14" t="s">
        <v>156</v>
      </c>
      <c r="E1636" s="14" t="s">
        <v>157</v>
      </c>
      <c r="F1636" s="14" t="s">
        <v>150</v>
      </c>
      <c r="G1636" s="14" t="n">
        <v>2</v>
      </c>
      <c r="H1636" s="14" t="s">
        <v>153</v>
      </c>
      <c r="I1636" s="14" t="s">
        <v>895</v>
      </c>
      <c r="J1636" s="15" t="n">
        <f aca="false">IF(B1636="SITE LOSS",IF(D1636=C1636,1,0),IF(B1636="REGION LOSS",IF(E1636=C1636,1,0),0))</f>
        <v>0</v>
      </c>
      <c r="K1636" s="15" t="n">
        <f aca="false">IF(B1636="SITE LOSS",IF(COUNTIFS('Site Dockets'!$B$7:$B$24,C1636,'Site Dockets'!$C$7:$C$24,F1636)&gt;0,1,0),IF(B1636="REGION LOSS",IF(COUNTIFS('Site Dockets'!$E$7:$E$24,C1636,'Site Dockets'!$C$7:$C$24,F1636)&gt;0,1,0),0))</f>
        <v>0</v>
      </c>
      <c r="L1636" s="15" t="n">
        <f aca="false">IF(J1636=1,0,Inputs!$B$11)</f>
        <v>100</v>
      </c>
      <c r="M1636" s="15" t="n">
        <f aca="false">IF(J1636=1,0,Inputs!$B$12)</f>
        <v>75</v>
      </c>
      <c r="N1636" s="15" t="n">
        <f aca="false">IF(J1636=1,0,IF(OR(AND(OR(B1636="SITE LOSS",B1636="REGION LOSS"),K1636=1),AND(B1636="ROLE COMPROMISE",H1636=C1636)),Inputs!$B$13,Inputs!$B$14))</f>
        <v>10</v>
      </c>
      <c r="O1636" s="15" t="n">
        <f aca="false">IF(J1636=1,0,Inputs!$B$13)</f>
        <v>20</v>
      </c>
      <c r="P1636" s="15" t="n">
        <f aca="false">SUM(M1636:N1636)</f>
        <v>85</v>
      </c>
      <c r="Q1636" s="15" t="n">
        <f aca="false">IF(J1636=1,"",L1636-P1636)</f>
        <v>15</v>
      </c>
      <c r="R1636" s="15" t="n">
        <f aca="false">IF(OR(J1636=1,M1636&lt;=Inputs!$B$12),1,0)</f>
        <v>1</v>
      </c>
      <c r="S1636" s="15" t="n">
        <f aca="false">IF(OR(J1636=1,N1636&lt;=O1636),1,0)</f>
        <v>1</v>
      </c>
      <c r="T1636" s="15" t="str">
        <f aca="false">IF(J1636=1,"OFFLINE",IF(AND(Q1636&gt;=Inputs!$B$15,R1636=1,S1636=1,P1636&lt;=L1636),"PASS","FAIL"))</f>
        <v>PASS</v>
      </c>
    </row>
    <row r="1637" customFormat="false" ht="15" hidden="false" customHeight="false" outlineLevel="0" collapsed="false">
      <c r="A1637" s="14" t="s">
        <v>1034</v>
      </c>
      <c r="B1637" s="14" t="s">
        <v>1019</v>
      </c>
      <c r="C1637" s="14" t="s">
        <v>198</v>
      </c>
      <c r="D1637" s="14" t="s">
        <v>156</v>
      </c>
      <c r="E1637" s="14" t="s">
        <v>157</v>
      </c>
      <c r="F1637" s="14" t="s">
        <v>150</v>
      </c>
      <c r="G1637" s="14" t="n">
        <v>2</v>
      </c>
      <c r="H1637" s="14" t="s">
        <v>153</v>
      </c>
      <c r="I1637" s="14" t="s">
        <v>897</v>
      </c>
      <c r="J1637" s="15" t="n">
        <f aca="false">IF(B1637="SITE LOSS",IF(D1637=C1637,1,0),IF(B1637="REGION LOSS",IF(E1637=C1637,1,0),0))</f>
        <v>0</v>
      </c>
      <c r="K1637" s="15" t="n">
        <f aca="false">IF(B1637="SITE LOSS",IF(COUNTIFS('Site Dockets'!$B$7:$B$24,C1637,'Site Dockets'!$C$7:$C$24,F1637)&gt;0,1,0),IF(B1637="REGION LOSS",IF(COUNTIFS('Site Dockets'!$E$7:$E$24,C1637,'Site Dockets'!$C$7:$C$24,F1637)&gt;0,1,0),0))</f>
        <v>0</v>
      </c>
      <c r="L1637" s="15" t="n">
        <f aca="false">IF(J1637=1,0,Inputs!$B$11)</f>
        <v>100</v>
      </c>
      <c r="M1637" s="15" t="n">
        <f aca="false">IF(J1637=1,0,Inputs!$B$12)</f>
        <v>75</v>
      </c>
      <c r="N1637" s="15" t="n">
        <f aca="false">IF(J1637=1,0,IF(OR(AND(OR(B1637="SITE LOSS",B1637="REGION LOSS"),K1637=1),AND(B1637="ROLE COMPROMISE",H1637=C1637)),Inputs!$B$13,Inputs!$B$14))</f>
        <v>10</v>
      </c>
      <c r="O1637" s="15" t="n">
        <f aca="false">IF(J1637=1,0,Inputs!$B$13)</f>
        <v>20</v>
      </c>
      <c r="P1637" s="15" t="n">
        <f aca="false">SUM(M1637:N1637)</f>
        <v>85</v>
      </c>
      <c r="Q1637" s="15" t="n">
        <f aca="false">IF(J1637=1,"",L1637-P1637)</f>
        <v>15</v>
      </c>
      <c r="R1637" s="15" t="n">
        <f aca="false">IF(OR(J1637=1,M1637&lt;=Inputs!$B$12),1,0)</f>
        <v>1</v>
      </c>
      <c r="S1637" s="15" t="n">
        <f aca="false">IF(OR(J1637=1,N1637&lt;=O1637),1,0)</f>
        <v>1</v>
      </c>
      <c r="T1637" s="15" t="str">
        <f aca="false">IF(J1637=1,"OFFLINE",IF(AND(Q1637&gt;=Inputs!$B$15,R1637=1,S1637=1,P1637&lt;=L1637),"PASS","FAIL"))</f>
        <v>PASS</v>
      </c>
    </row>
    <row r="1638" customFormat="false" ht="15" hidden="false" customHeight="false" outlineLevel="0" collapsed="false">
      <c r="A1638" s="14" t="s">
        <v>1034</v>
      </c>
      <c r="B1638" s="14" t="s">
        <v>1019</v>
      </c>
      <c r="C1638" s="14" t="s">
        <v>198</v>
      </c>
      <c r="D1638" s="14" t="s">
        <v>156</v>
      </c>
      <c r="E1638" s="14" t="s">
        <v>157</v>
      </c>
      <c r="F1638" s="14" t="s">
        <v>150</v>
      </c>
      <c r="G1638" s="14" t="n">
        <v>2</v>
      </c>
      <c r="H1638" s="14" t="s">
        <v>153</v>
      </c>
      <c r="I1638" s="14" t="s">
        <v>899</v>
      </c>
      <c r="J1638" s="15" t="n">
        <f aca="false">IF(B1638="SITE LOSS",IF(D1638=C1638,1,0),IF(B1638="REGION LOSS",IF(E1638=C1638,1,0),0))</f>
        <v>0</v>
      </c>
      <c r="K1638" s="15" t="n">
        <f aca="false">IF(B1638="SITE LOSS",IF(COUNTIFS('Site Dockets'!$B$7:$B$24,C1638,'Site Dockets'!$C$7:$C$24,F1638)&gt;0,1,0),IF(B1638="REGION LOSS",IF(COUNTIFS('Site Dockets'!$E$7:$E$24,C1638,'Site Dockets'!$C$7:$C$24,F1638)&gt;0,1,0),0))</f>
        <v>0</v>
      </c>
      <c r="L1638" s="15" t="n">
        <f aca="false">IF(J1638=1,0,Inputs!$B$11)</f>
        <v>100</v>
      </c>
      <c r="M1638" s="15" t="n">
        <f aca="false">IF(J1638=1,0,Inputs!$B$12)</f>
        <v>75</v>
      </c>
      <c r="N1638" s="15" t="n">
        <f aca="false">IF(J1638=1,0,IF(OR(AND(OR(B1638="SITE LOSS",B1638="REGION LOSS"),K1638=1),AND(B1638="ROLE COMPROMISE",H1638=C1638)),Inputs!$B$13,Inputs!$B$14))</f>
        <v>10</v>
      </c>
      <c r="O1638" s="15" t="n">
        <f aca="false">IF(J1638=1,0,Inputs!$B$13)</f>
        <v>20</v>
      </c>
      <c r="P1638" s="15" t="n">
        <f aca="false">SUM(M1638:N1638)</f>
        <v>85</v>
      </c>
      <c r="Q1638" s="15" t="n">
        <f aca="false">IF(J1638=1,"",L1638-P1638)</f>
        <v>15</v>
      </c>
      <c r="R1638" s="15" t="n">
        <f aca="false">IF(OR(J1638=1,M1638&lt;=Inputs!$B$12),1,0)</f>
        <v>1</v>
      </c>
      <c r="S1638" s="15" t="n">
        <f aca="false">IF(OR(J1638=1,N1638&lt;=O1638),1,0)</f>
        <v>1</v>
      </c>
      <c r="T1638" s="15" t="str">
        <f aca="false">IF(J1638=1,"OFFLINE",IF(AND(Q1638&gt;=Inputs!$B$15,R1638=1,S1638=1,P1638&lt;=L1638),"PASS","FAIL"))</f>
        <v>PASS</v>
      </c>
    </row>
    <row r="1639" customFormat="false" ht="15" hidden="false" customHeight="false" outlineLevel="0" collapsed="false">
      <c r="A1639" s="14" t="s">
        <v>1034</v>
      </c>
      <c r="B1639" s="14" t="s">
        <v>1019</v>
      </c>
      <c r="C1639" s="14" t="s">
        <v>198</v>
      </c>
      <c r="D1639" s="14" t="s">
        <v>160</v>
      </c>
      <c r="E1639" s="14" t="s">
        <v>161</v>
      </c>
      <c r="F1639" s="14" t="s">
        <v>150</v>
      </c>
      <c r="G1639" s="14" t="n">
        <v>3</v>
      </c>
      <c r="H1639" s="14" t="s">
        <v>158</v>
      </c>
      <c r="I1639" s="14" t="s">
        <v>890</v>
      </c>
      <c r="J1639" s="15" t="n">
        <f aca="false">IF(B1639="SITE LOSS",IF(D1639=C1639,1,0),IF(B1639="REGION LOSS",IF(E1639=C1639,1,0),0))</f>
        <v>0</v>
      </c>
      <c r="K1639" s="15" t="n">
        <f aca="false">IF(B1639="SITE LOSS",IF(COUNTIFS('Site Dockets'!$B$7:$B$24,C1639,'Site Dockets'!$C$7:$C$24,F1639)&gt;0,1,0),IF(B1639="REGION LOSS",IF(COUNTIFS('Site Dockets'!$E$7:$E$24,C1639,'Site Dockets'!$C$7:$C$24,F1639)&gt;0,1,0),0))</f>
        <v>0</v>
      </c>
      <c r="L1639" s="15" t="n">
        <f aca="false">IF(J1639=1,0,Inputs!$B$11)</f>
        <v>100</v>
      </c>
      <c r="M1639" s="15" t="n">
        <f aca="false">IF(J1639=1,0,Inputs!$B$12)</f>
        <v>75</v>
      </c>
      <c r="N1639" s="15" t="n">
        <f aca="false">IF(J1639=1,0,IF(OR(AND(OR(B1639="SITE LOSS",B1639="REGION LOSS"),K1639=1),AND(B1639="ROLE COMPROMISE",H1639=C1639)),Inputs!$B$13,Inputs!$B$14))</f>
        <v>10</v>
      </c>
      <c r="O1639" s="15" t="n">
        <f aca="false">IF(J1639=1,0,Inputs!$B$13)</f>
        <v>20</v>
      </c>
      <c r="P1639" s="15" t="n">
        <f aca="false">SUM(M1639:N1639)</f>
        <v>85</v>
      </c>
      <c r="Q1639" s="15" t="n">
        <f aca="false">IF(J1639=1,"",L1639-P1639)</f>
        <v>15</v>
      </c>
      <c r="R1639" s="15" t="n">
        <f aca="false">IF(OR(J1639=1,M1639&lt;=Inputs!$B$12),1,0)</f>
        <v>1</v>
      </c>
      <c r="S1639" s="15" t="n">
        <f aca="false">IF(OR(J1639=1,N1639&lt;=O1639),1,0)</f>
        <v>1</v>
      </c>
      <c r="T1639" s="15" t="str">
        <f aca="false">IF(J1639=1,"OFFLINE",IF(AND(Q1639&gt;=Inputs!$B$15,R1639=1,S1639=1,P1639&lt;=L1639),"PASS","FAIL"))</f>
        <v>PASS</v>
      </c>
    </row>
    <row r="1640" customFormat="false" ht="15" hidden="false" customHeight="false" outlineLevel="0" collapsed="false">
      <c r="A1640" s="14" t="s">
        <v>1034</v>
      </c>
      <c r="B1640" s="14" t="s">
        <v>1019</v>
      </c>
      <c r="C1640" s="14" t="s">
        <v>198</v>
      </c>
      <c r="D1640" s="14" t="s">
        <v>160</v>
      </c>
      <c r="E1640" s="14" t="s">
        <v>161</v>
      </c>
      <c r="F1640" s="14" t="s">
        <v>150</v>
      </c>
      <c r="G1640" s="14" t="n">
        <v>3</v>
      </c>
      <c r="H1640" s="14" t="s">
        <v>158</v>
      </c>
      <c r="I1640" s="14" t="s">
        <v>892</v>
      </c>
      <c r="J1640" s="15" t="n">
        <f aca="false">IF(B1640="SITE LOSS",IF(D1640=C1640,1,0),IF(B1640="REGION LOSS",IF(E1640=C1640,1,0),0))</f>
        <v>0</v>
      </c>
      <c r="K1640" s="15" t="n">
        <f aca="false">IF(B1640="SITE LOSS",IF(COUNTIFS('Site Dockets'!$B$7:$B$24,C1640,'Site Dockets'!$C$7:$C$24,F1640)&gt;0,1,0),IF(B1640="REGION LOSS",IF(COUNTIFS('Site Dockets'!$E$7:$E$24,C1640,'Site Dockets'!$C$7:$C$24,F1640)&gt;0,1,0),0))</f>
        <v>0</v>
      </c>
      <c r="L1640" s="15" t="n">
        <f aca="false">IF(J1640=1,0,Inputs!$B$11)</f>
        <v>100</v>
      </c>
      <c r="M1640" s="15" t="n">
        <f aca="false">IF(J1640=1,0,Inputs!$B$12)</f>
        <v>75</v>
      </c>
      <c r="N1640" s="15" t="n">
        <f aca="false">IF(J1640=1,0,IF(OR(AND(OR(B1640="SITE LOSS",B1640="REGION LOSS"),K1640=1),AND(B1640="ROLE COMPROMISE",H1640=C1640)),Inputs!$B$13,Inputs!$B$14))</f>
        <v>10</v>
      </c>
      <c r="O1640" s="15" t="n">
        <f aca="false">IF(J1640=1,0,Inputs!$B$13)</f>
        <v>20</v>
      </c>
      <c r="P1640" s="15" t="n">
        <f aca="false">SUM(M1640:N1640)</f>
        <v>85</v>
      </c>
      <c r="Q1640" s="15" t="n">
        <f aca="false">IF(J1640=1,"",L1640-P1640)</f>
        <v>15</v>
      </c>
      <c r="R1640" s="15" t="n">
        <f aca="false">IF(OR(J1640=1,M1640&lt;=Inputs!$B$12),1,0)</f>
        <v>1</v>
      </c>
      <c r="S1640" s="15" t="n">
        <f aca="false">IF(OR(J1640=1,N1640&lt;=O1640),1,0)</f>
        <v>1</v>
      </c>
      <c r="T1640" s="15" t="str">
        <f aca="false">IF(J1640=1,"OFFLINE",IF(AND(Q1640&gt;=Inputs!$B$15,R1640=1,S1640=1,P1640&lt;=L1640),"PASS","FAIL"))</f>
        <v>PASS</v>
      </c>
    </row>
    <row r="1641" customFormat="false" ht="15" hidden="false" customHeight="false" outlineLevel="0" collapsed="false">
      <c r="A1641" s="14" t="s">
        <v>1034</v>
      </c>
      <c r="B1641" s="14" t="s">
        <v>1019</v>
      </c>
      <c r="C1641" s="14" t="s">
        <v>198</v>
      </c>
      <c r="D1641" s="14" t="s">
        <v>160</v>
      </c>
      <c r="E1641" s="14" t="s">
        <v>161</v>
      </c>
      <c r="F1641" s="14" t="s">
        <v>150</v>
      </c>
      <c r="G1641" s="14" t="n">
        <v>3</v>
      </c>
      <c r="H1641" s="14" t="s">
        <v>158</v>
      </c>
      <c r="I1641" s="14" t="s">
        <v>811</v>
      </c>
      <c r="J1641" s="15" t="n">
        <f aca="false">IF(B1641="SITE LOSS",IF(D1641=C1641,1,0),IF(B1641="REGION LOSS",IF(E1641=C1641,1,0),0))</f>
        <v>0</v>
      </c>
      <c r="K1641" s="15" t="n">
        <f aca="false">IF(B1641="SITE LOSS",IF(COUNTIFS('Site Dockets'!$B$7:$B$24,C1641,'Site Dockets'!$C$7:$C$24,F1641)&gt;0,1,0),IF(B1641="REGION LOSS",IF(COUNTIFS('Site Dockets'!$E$7:$E$24,C1641,'Site Dockets'!$C$7:$C$24,F1641)&gt;0,1,0),0))</f>
        <v>0</v>
      </c>
      <c r="L1641" s="15" t="n">
        <f aca="false">IF(J1641=1,0,Inputs!$B$11)</f>
        <v>100</v>
      </c>
      <c r="M1641" s="15" t="n">
        <f aca="false">IF(J1641=1,0,Inputs!$B$12)</f>
        <v>75</v>
      </c>
      <c r="N1641" s="15" t="n">
        <f aca="false">IF(J1641=1,0,IF(OR(AND(OR(B1641="SITE LOSS",B1641="REGION LOSS"),K1641=1),AND(B1641="ROLE COMPROMISE",H1641=C1641)),Inputs!$B$13,Inputs!$B$14))</f>
        <v>10</v>
      </c>
      <c r="O1641" s="15" t="n">
        <f aca="false">IF(J1641=1,0,Inputs!$B$13)</f>
        <v>20</v>
      </c>
      <c r="P1641" s="15" t="n">
        <f aca="false">SUM(M1641:N1641)</f>
        <v>85</v>
      </c>
      <c r="Q1641" s="15" t="n">
        <f aca="false">IF(J1641=1,"",L1641-P1641)</f>
        <v>15</v>
      </c>
      <c r="R1641" s="15" t="n">
        <f aca="false">IF(OR(J1641=1,M1641&lt;=Inputs!$B$12),1,0)</f>
        <v>1</v>
      </c>
      <c r="S1641" s="15" t="n">
        <f aca="false">IF(OR(J1641=1,N1641&lt;=O1641),1,0)</f>
        <v>1</v>
      </c>
      <c r="T1641" s="15" t="str">
        <f aca="false">IF(J1641=1,"OFFLINE",IF(AND(Q1641&gt;=Inputs!$B$15,R1641=1,S1641=1,P1641&lt;=L1641),"PASS","FAIL"))</f>
        <v>PASS</v>
      </c>
    </row>
    <row r="1642" customFormat="false" ht="15" hidden="false" customHeight="false" outlineLevel="0" collapsed="false">
      <c r="A1642" s="14" t="s">
        <v>1034</v>
      </c>
      <c r="B1642" s="14" t="s">
        <v>1019</v>
      </c>
      <c r="C1642" s="14" t="s">
        <v>198</v>
      </c>
      <c r="D1642" s="14" t="s">
        <v>160</v>
      </c>
      <c r="E1642" s="14" t="s">
        <v>161</v>
      </c>
      <c r="F1642" s="14" t="s">
        <v>150</v>
      </c>
      <c r="G1642" s="14" t="n">
        <v>3</v>
      </c>
      <c r="H1642" s="14" t="s">
        <v>158</v>
      </c>
      <c r="I1642" s="14" t="s">
        <v>895</v>
      </c>
      <c r="J1642" s="15" t="n">
        <f aca="false">IF(B1642="SITE LOSS",IF(D1642=C1642,1,0),IF(B1642="REGION LOSS",IF(E1642=C1642,1,0),0))</f>
        <v>0</v>
      </c>
      <c r="K1642" s="15" t="n">
        <f aca="false">IF(B1642="SITE LOSS",IF(COUNTIFS('Site Dockets'!$B$7:$B$24,C1642,'Site Dockets'!$C$7:$C$24,F1642)&gt;0,1,0),IF(B1642="REGION LOSS",IF(COUNTIFS('Site Dockets'!$E$7:$E$24,C1642,'Site Dockets'!$C$7:$C$24,F1642)&gt;0,1,0),0))</f>
        <v>0</v>
      </c>
      <c r="L1642" s="15" t="n">
        <f aca="false">IF(J1642=1,0,Inputs!$B$11)</f>
        <v>100</v>
      </c>
      <c r="M1642" s="15" t="n">
        <f aca="false">IF(J1642=1,0,Inputs!$B$12)</f>
        <v>75</v>
      </c>
      <c r="N1642" s="15" t="n">
        <f aca="false">IF(J1642=1,0,IF(OR(AND(OR(B1642="SITE LOSS",B1642="REGION LOSS"),K1642=1),AND(B1642="ROLE COMPROMISE",H1642=C1642)),Inputs!$B$13,Inputs!$B$14))</f>
        <v>10</v>
      </c>
      <c r="O1642" s="15" t="n">
        <f aca="false">IF(J1642=1,0,Inputs!$B$13)</f>
        <v>20</v>
      </c>
      <c r="P1642" s="15" t="n">
        <f aca="false">SUM(M1642:N1642)</f>
        <v>85</v>
      </c>
      <c r="Q1642" s="15" t="n">
        <f aca="false">IF(J1642=1,"",L1642-P1642)</f>
        <v>15</v>
      </c>
      <c r="R1642" s="15" t="n">
        <f aca="false">IF(OR(J1642=1,M1642&lt;=Inputs!$B$12),1,0)</f>
        <v>1</v>
      </c>
      <c r="S1642" s="15" t="n">
        <f aca="false">IF(OR(J1642=1,N1642&lt;=O1642),1,0)</f>
        <v>1</v>
      </c>
      <c r="T1642" s="15" t="str">
        <f aca="false">IF(J1642=1,"OFFLINE",IF(AND(Q1642&gt;=Inputs!$B$15,R1642=1,S1642=1,P1642&lt;=L1642),"PASS","FAIL"))</f>
        <v>PASS</v>
      </c>
    </row>
    <row r="1643" customFormat="false" ht="15" hidden="false" customHeight="false" outlineLevel="0" collapsed="false">
      <c r="A1643" s="14" t="s">
        <v>1034</v>
      </c>
      <c r="B1643" s="14" t="s">
        <v>1019</v>
      </c>
      <c r="C1643" s="14" t="s">
        <v>198</v>
      </c>
      <c r="D1643" s="14" t="s">
        <v>160</v>
      </c>
      <c r="E1643" s="14" t="s">
        <v>161</v>
      </c>
      <c r="F1643" s="14" t="s">
        <v>150</v>
      </c>
      <c r="G1643" s="14" t="n">
        <v>3</v>
      </c>
      <c r="H1643" s="14" t="s">
        <v>158</v>
      </c>
      <c r="I1643" s="14" t="s">
        <v>897</v>
      </c>
      <c r="J1643" s="15" t="n">
        <f aca="false">IF(B1643="SITE LOSS",IF(D1643=C1643,1,0),IF(B1643="REGION LOSS",IF(E1643=C1643,1,0),0))</f>
        <v>0</v>
      </c>
      <c r="K1643" s="15" t="n">
        <f aca="false">IF(B1643="SITE LOSS",IF(COUNTIFS('Site Dockets'!$B$7:$B$24,C1643,'Site Dockets'!$C$7:$C$24,F1643)&gt;0,1,0),IF(B1643="REGION LOSS",IF(COUNTIFS('Site Dockets'!$E$7:$E$24,C1643,'Site Dockets'!$C$7:$C$24,F1643)&gt;0,1,0),0))</f>
        <v>0</v>
      </c>
      <c r="L1643" s="15" t="n">
        <f aca="false">IF(J1643=1,0,Inputs!$B$11)</f>
        <v>100</v>
      </c>
      <c r="M1643" s="15" t="n">
        <f aca="false">IF(J1643=1,0,Inputs!$B$12)</f>
        <v>75</v>
      </c>
      <c r="N1643" s="15" t="n">
        <f aca="false">IF(J1643=1,0,IF(OR(AND(OR(B1643="SITE LOSS",B1643="REGION LOSS"),K1643=1),AND(B1643="ROLE COMPROMISE",H1643=C1643)),Inputs!$B$13,Inputs!$B$14))</f>
        <v>10</v>
      </c>
      <c r="O1643" s="15" t="n">
        <f aca="false">IF(J1643=1,0,Inputs!$B$13)</f>
        <v>20</v>
      </c>
      <c r="P1643" s="15" t="n">
        <f aca="false">SUM(M1643:N1643)</f>
        <v>85</v>
      </c>
      <c r="Q1643" s="15" t="n">
        <f aca="false">IF(J1643=1,"",L1643-P1643)</f>
        <v>15</v>
      </c>
      <c r="R1643" s="15" t="n">
        <f aca="false">IF(OR(J1643=1,M1643&lt;=Inputs!$B$12),1,0)</f>
        <v>1</v>
      </c>
      <c r="S1643" s="15" t="n">
        <f aca="false">IF(OR(J1643=1,N1643&lt;=O1643),1,0)</f>
        <v>1</v>
      </c>
      <c r="T1643" s="15" t="str">
        <f aca="false">IF(J1643=1,"OFFLINE",IF(AND(Q1643&gt;=Inputs!$B$15,R1643=1,S1643=1,P1643&lt;=L1643),"PASS","FAIL"))</f>
        <v>PASS</v>
      </c>
    </row>
    <row r="1644" customFormat="false" ht="15" hidden="false" customHeight="false" outlineLevel="0" collapsed="false">
      <c r="A1644" s="14" t="s">
        <v>1034</v>
      </c>
      <c r="B1644" s="14" t="s">
        <v>1019</v>
      </c>
      <c r="C1644" s="14" t="s">
        <v>198</v>
      </c>
      <c r="D1644" s="14" t="s">
        <v>160</v>
      </c>
      <c r="E1644" s="14" t="s">
        <v>161</v>
      </c>
      <c r="F1644" s="14" t="s">
        <v>150</v>
      </c>
      <c r="G1644" s="14" t="n">
        <v>3</v>
      </c>
      <c r="H1644" s="14" t="s">
        <v>158</v>
      </c>
      <c r="I1644" s="14" t="s">
        <v>899</v>
      </c>
      <c r="J1644" s="15" t="n">
        <f aca="false">IF(B1644="SITE LOSS",IF(D1644=C1644,1,0),IF(B1644="REGION LOSS",IF(E1644=C1644,1,0),0))</f>
        <v>0</v>
      </c>
      <c r="K1644" s="15" t="n">
        <f aca="false">IF(B1644="SITE LOSS",IF(COUNTIFS('Site Dockets'!$B$7:$B$24,C1644,'Site Dockets'!$C$7:$C$24,F1644)&gt;0,1,0),IF(B1644="REGION LOSS",IF(COUNTIFS('Site Dockets'!$E$7:$E$24,C1644,'Site Dockets'!$C$7:$C$24,F1644)&gt;0,1,0),0))</f>
        <v>0</v>
      </c>
      <c r="L1644" s="15" t="n">
        <f aca="false">IF(J1644=1,0,Inputs!$B$11)</f>
        <v>100</v>
      </c>
      <c r="M1644" s="15" t="n">
        <f aca="false">IF(J1644=1,0,Inputs!$B$12)</f>
        <v>75</v>
      </c>
      <c r="N1644" s="15" t="n">
        <f aca="false">IF(J1644=1,0,IF(OR(AND(OR(B1644="SITE LOSS",B1644="REGION LOSS"),K1644=1),AND(B1644="ROLE COMPROMISE",H1644=C1644)),Inputs!$B$13,Inputs!$B$14))</f>
        <v>10</v>
      </c>
      <c r="O1644" s="15" t="n">
        <f aca="false">IF(J1644=1,0,Inputs!$B$13)</f>
        <v>20</v>
      </c>
      <c r="P1644" s="15" t="n">
        <f aca="false">SUM(M1644:N1644)</f>
        <v>85</v>
      </c>
      <c r="Q1644" s="15" t="n">
        <f aca="false">IF(J1644=1,"",L1644-P1644)</f>
        <v>15</v>
      </c>
      <c r="R1644" s="15" t="n">
        <f aca="false">IF(OR(J1644=1,M1644&lt;=Inputs!$B$12),1,0)</f>
        <v>1</v>
      </c>
      <c r="S1644" s="15" t="n">
        <f aca="false">IF(OR(J1644=1,N1644&lt;=O1644),1,0)</f>
        <v>1</v>
      </c>
      <c r="T1644" s="15" t="str">
        <f aca="false">IF(J1644=1,"OFFLINE",IF(AND(Q1644&gt;=Inputs!$B$15,R1644=1,S1644=1,P1644&lt;=L1644),"PASS","FAIL"))</f>
        <v>PASS</v>
      </c>
    </row>
    <row r="1645" customFormat="false" ht="15" hidden="false" customHeight="false" outlineLevel="0" collapsed="false">
      <c r="A1645" s="14" t="s">
        <v>1034</v>
      </c>
      <c r="B1645" s="14" t="s">
        <v>1019</v>
      </c>
      <c r="C1645" s="14" t="s">
        <v>198</v>
      </c>
      <c r="D1645" s="14" t="s">
        <v>163</v>
      </c>
      <c r="E1645" s="14" t="s">
        <v>166</v>
      </c>
      <c r="F1645" s="14" t="s">
        <v>164</v>
      </c>
      <c r="G1645" s="14" t="n">
        <v>1</v>
      </c>
      <c r="H1645" s="14" t="s">
        <v>154</v>
      </c>
      <c r="I1645" s="14" t="s">
        <v>890</v>
      </c>
      <c r="J1645" s="15" t="n">
        <f aca="false">IF(B1645="SITE LOSS",IF(D1645=C1645,1,0),IF(B1645="REGION LOSS",IF(E1645=C1645,1,0),0))</f>
        <v>0</v>
      </c>
      <c r="K1645" s="15" t="n">
        <f aca="false">IF(B1645="SITE LOSS",IF(COUNTIFS('Site Dockets'!$B$7:$B$24,C1645,'Site Dockets'!$C$7:$C$24,F1645)&gt;0,1,0),IF(B1645="REGION LOSS",IF(COUNTIFS('Site Dockets'!$E$7:$E$24,C1645,'Site Dockets'!$C$7:$C$24,F1645)&gt;0,1,0),0))</f>
        <v>0</v>
      </c>
      <c r="L1645" s="15" t="n">
        <f aca="false">IF(J1645=1,0,Inputs!$B$11)</f>
        <v>100</v>
      </c>
      <c r="M1645" s="15" t="n">
        <f aca="false">IF(J1645=1,0,Inputs!$B$12)</f>
        <v>75</v>
      </c>
      <c r="N1645" s="15" t="n">
        <f aca="false">IF(J1645=1,0,IF(OR(AND(OR(B1645="SITE LOSS",B1645="REGION LOSS"),K1645=1),AND(B1645="ROLE COMPROMISE",H1645=C1645)),Inputs!$B$13,Inputs!$B$14))</f>
        <v>10</v>
      </c>
      <c r="O1645" s="15" t="n">
        <f aca="false">IF(J1645=1,0,Inputs!$B$13)</f>
        <v>20</v>
      </c>
      <c r="P1645" s="15" t="n">
        <f aca="false">SUM(M1645:N1645)</f>
        <v>85</v>
      </c>
      <c r="Q1645" s="15" t="n">
        <f aca="false">IF(J1645=1,"",L1645-P1645)</f>
        <v>15</v>
      </c>
      <c r="R1645" s="15" t="n">
        <f aca="false">IF(OR(J1645=1,M1645&lt;=Inputs!$B$12),1,0)</f>
        <v>1</v>
      </c>
      <c r="S1645" s="15" t="n">
        <f aca="false">IF(OR(J1645=1,N1645&lt;=O1645),1,0)</f>
        <v>1</v>
      </c>
      <c r="T1645" s="15" t="str">
        <f aca="false">IF(J1645=1,"OFFLINE",IF(AND(Q1645&gt;=Inputs!$B$15,R1645=1,S1645=1,P1645&lt;=L1645),"PASS","FAIL"))</f>
        <v>PASS</v>
      </c>
    </row>
    <row r="1646" customFormat="false" ht="15" hidden="false" customHeight="false" outlineLevel="0" collapsed="false">
      <c r="A1646" s="14" t="s">
        <v>1034</v>
      </c>
      <c r="B1646" s="14" t="s">
        <v>1019</v>
      </c>
      <c r="C1646" s="14" t="s">
        <v>198</v>
      </c>
      <c r="D1646" s="14" t="s">
        <v>163</v>
      </c>
      <c r="E1646" s="14" t="s">
        <v>166</v>
      </c>
      <c r="F1646" s="14" t="s">
        <v>164</v>
      </c>
      <c r="G1646" s="14" t="n">
        <v>1</v>
      </c>
      <c r="H1646" s="14" t="s">
        <v>154</v>
      </c>
      <c r="I1646" s="14" t="s">
        <v>892</v>
      </c>
      <c r="J1646" s="15" t="n">
        <f aca="false">IF(B1646="SITE LOSS",IF(D1646=C1646,1,0),IF(B1646="REGION LOSS",IF(E1646=C1646,1,0),0))</f>
        <v>0</v>
      </c>
      <c r="K1646" s="15" t="n">
        <f aca="false">IF(B1646="SITE LOSS",IF(COUNTIFS('Site Dockets'!$B$7:$B$24,C1646,'Site Dockets'!$C$7:$C$24,F1646)&gt;0,1,0),IF(B1646="REGION LOSS",IF(COUNTIFS('Site Dockets'!$E$7:$E$24,C1646,'Site Dockets'!$C$7:$C$24,F1646)&gt;0,1,0),0))</f>
        <v>0</v>
      </c>
      <c r="L1646" s="15" t="n">
        <f aca="false">IF(J1646=1,0,Inputs!$B$11)</f>
        <v>100</v>
      </c>
      <c r="M1646" s="15" t="n">
        <f aca="false">IF(J1646=1,0,Inputs!$B$12)</f>
        <v>75</v>
      </c>
      <c r="N1646" s="15" t="n">
        <f aca="false">IF(J1646=1,0,IF(OR(AND(OR(B1646="SITE LOSS",B1646="REGION LOSS"),K1646=1),AND(B1646="ROLE COMPROMISE",H1646=C1646)),Inputs!$B$13,Inputs!$B$14))</f>
        <v>10</v>
      </c>
      <c r="O1646" s="15" t="n">
        <f aca="false">IF(J1646=1,0,Inputs!$B$13)</f>
        <v>20</v>
      </c>
      <c r="P1646" s="15" t="n">
        <f aca="false">SUM(M1646:N1646)</f>
        <v>85</v>
      </c>
      <c r="Q1646" s="15" t="n">
        <f aca="false">IF(J1646=1,"",L1646-P1646)</f>
        <v>15</v>
      </c>
      <c r="R1646" s="15" t="n">
        <f aca="false">IF(OR(J1646=1,M1646&lt;=Inputs!$B$12),1,0)</f>
        <v>1</v>
      </c>
      <c r="S1646" s="15" t="n">
        <f aca="false">IF(OR(J1646=1,N1646&lt;=O1646),1,0)</f>
        <v>1</v>
      </c>
      <c r="T1646" s="15" t="str">
        <f aca="false">IF(J1646=1,"OFFLINE",IF(AND(Q1646&gt;=Inputs!$B$15,R1646=1,S1646=1,P1646&lt;=L1646),"PASS","FAIL"))</f>
        <v>PASS</v>
      </c>
    </row>
    <row r="1647" customFormat="false" ht="15" hidden="false" customHeight="false" outlineLevel="0" collapsed="false">
      <c r="A1647" s="14" t="s">
        <v>1034</v>
      </c>
      <c r="B1647" s="14" t="s">
        <v>1019</v>
      </c>
      <c r="C1647" s="14" t="s">
        <v>198</v>
      </c>
      <c r="D1647" s="14" t="s">
        <v>163</v>
      </c>
      <c r="E1647" s="14" t="s">
        <v>166</v>
      </c>
      <c r="F1647" s="14" t="s">
        <v>164</v>
      </c>
      <c r="G1647" s="14" t="n">
        <v>1</v>
      </c>
      <c r="H1647" s="14" t="s">
        <v>154</v>
      </c>
      <c r="I1647" s="14" t="s">
        <v>811</v>
      </c>
      <c r="J1647" s="15" t="n">
        <f aca="false">IF(B1647="SITE LOSS",IF(D1647=C1647,1,0),IF(B1647="REGION LOSS",IF(E1647=C1647,1,0),0))</f>
        <v>0</v>
      </c>
      <c r="K1647" s="15" t="n">
        <f aca="false">IF(B1647="SITE LOSS",IF(COUNTIFS('Site Dockets'!$B$7:$B$24,C1647,'Site Dockets'!$C$7:$C$24,F1647)&gt;0,1,0),IF(B1647="REGION LOSS",IF(COUNTIFS('Site Dockets'!$E$7:$E$24,C1647,'Site Dockets'!$C$7:$C$24,F1647)&gt;0,1,0),0))</f>
        <v>0</v>
      </c>
      <c r="L1647" s="15" t="n">
        <f aca="false">IF(J1647=1,0,Inputs!$B$11)</f>
        <v>100</v>
      </c>
      <c r="M1647" s="15" t="n">
        <f aca="false">IF(J1647=1,0,Inputs!$B$12)</f>
        <v>75</v>
      </c>
      <c r="N1647" s="15" t="n">
        <f aca="false">IF(J1647=1,0,IF(OR(AND(OR(B1647="SITE LOSS",B1647="REGION LOSS"),K1647=1),AND(B1647="ROLE COMPROMISE",H1647=C1647)),Inputs!$B$13,Inputs!$B$14))</f>
        <v>10</v>
      </c>
      <c r="O1647" s="15" t="n">
        <f aca="false">IF(J1647=1,0,Inputs!$B$13)</f>
        <v>20</v>
      </c>
      <c r="P1647" s="15" t="n">
        <f aca="false">SUM(M1647:N1647)</f>
        <v>85</v>
      </c>
      <c r="Q1647" s="15" t="n">
        <f aca="false">IF(J1647=1,"",L1647-P1647)</f>
        <v>15</v>
      </c>
      <c r="R1647" s="15" t="n">
        <f aca="false">IF(OR(J1647=1,M1647&lt;=Inputs!$B$12),1,0)</f>
        <v>1</v>
      </c>
      <c r="S1647" s="15" t="n">
        <f aca="false">IF(OR(J1647=1,N1647&lt;=O1647),1,0)</f>
        <v>1</v>
      </c>
      <c r="T1647" s="15" t="str">
        <f aca="false">IF(J1647=1,"OFFLINE",IF(AND(Q1647&gt;=Inputs!$B$15,R1647=1,S1647=1,P1647&lt;=L1647),"PASS","FAIL"))</f>
        <v>PASS</v>
      </c>
    </row>
    <row r="1648" customFormat="false" ht="15" hidden="false" customHeight="false" outlineLevel="0" collapsed="false">
      <c r="A1648" s="14" t="s">
        <v>1034</v>
      </c>
      <c r="B1648" s="14" t="s">
        <v>1019</v>
      </c>
      <c r="C1648" s="14" t="s">
        <v>198</v>
      </c>
      <c r="D1648" s="14" t="s">
        <v>163</v>
      </c>
      <c r="E1648" s="14" t="s">
        <v>166</v>
      </c>
      <c r="F1648" s="14" t="s">
        <v>164</v>
      </c>
      <c r="G1648" s="14" t="n">
        <v>1</v>
      </c>
      <c r="H1648" s="14" t="s">
        <v>154</v>
      </c>
      <c r="I1648" s="14" t="s">
        <v>895</v>
      </c>
      <c r="J1648" s="15" t="n">
        <f aca="false">IF(B1648="SITE LOSS",IF(D1648=C1648,1,0),IF(B1648="REGION LOSS",IF(E1648=C1648,1,0),0))</f>
        <v>0</v>
      </c>
      <c r="K1648" s="15" t="n">
        <f aca="false">IF(B1648="SITE LOSS",IF(COUNTIFS('Site Dockets'!$B$7:$B$24,C1648,'Site Dockets'!$C$7:$C$24,F1648)&gt;0,1,0),IF(B1648="REGION LOSS",IF(COUNTIFS('Site Dockets'!$E$7:$E$24,C1648,'Site Dockets'!$C$7:$C$24,F1648)&gt;0,1,0),0))</f>
        <v>0</v>
      </c>
      <c r="L1648" s="15" t="n">
        <f aca="false">IF(J1648=1,0,Inputs!$B$11)</f>
        <v>100</v>
      </c>
      <c r="M1648" s="15" t="n">
        <f aca="false">IF(J1648=1,0,Inputs!$B$12)</f>
        <v>75</v>
      </c>
      <c r="N1648" s="15" t="n">
        <f aca="false">IF(J1648=1,0,IF(OR(AND(OR(B1648="SITE LOSS",B1648="REGION LOSS"),K1648=1),AND(B1648="ROLE COMPROMISE",H1648=C1648)),Inputs!$B$13,Inputs!$B$14))</f>
        <v>10</v>
      </c>
      <c r="O1648" s="15" t="n">
        <f aca="false">IF(J1648=1,0,Inputs!$B$13)</f>
        <v>20</v>
      </c>
      <c r="P1648" s="15" t="n">
        <f aca="false">SUM(M1648:N1648)</f>
        <v>85</v>
      </c>
      <c r="Q1648" s="15" t="n">
        <f aca="false">IF(J1648=1,"",L1648-P1648)</f>
        <v>15</v>
      </c>
      <c r="R1648" s="15" t="n">
        <f aca="false">IF(OR(J1648=1,M1648&lt;=Inputs!$B$12),1,0)</f>
        <v>1</v>
      </c>
      <c r="S1648" s="15" t="n">
        <f aca="false">IF(OR(J1648=1,N1648&lt;=O1648),1,0)</f>
        <v>1</v>
      </c>
      <c r="T1648" s="15" t="str">
        <f aca="false">IF(J1648=1,"OFFLINE",IF(AND(Q1648&gt;=Inputs!$B$15,R1648=1,S1648=1,P1648&lt;=L1648),"PASS","FAIL"))</f>
        <v>PASS</v>
      </c>
    </row>
    <row r="1649" customFormat="false" ht="15" hidden="false" customHeight="false" outlineLevel="0" collapsed="false">
      <c r="A1649" s="14" t="s">
        <v>1034</v>
      </c>
      <c r="B1649" s="14" t="s">
        <v>1019</v>
      </c>
      <c r="C1649" s="14" t="s">
        <v>198</v>
      </c>
      <c r="D1649" s="14" t="s">
        <v>163</v>
      </c>
      <c r="E1649" s="14" t="s">
        <v>166</v>
      </c>
      <c r="F1649" s="14" t="s">
        <v>164</v>
      </c>
      <c r="G1649" s="14" t="n">
        <v>1</v>
      </c>
      <c r="H1649" s="14" t="s">
        <v>154</v>
      </c>
      <c r="I1649" s="14" t="s">
        <v>897</v>
      </c>
      <c r="J1649" s="15" t="n">
        <f aca="false">IF(B1649="SITE LOSS",IF(D1649=C1649,1,0),IF(B1649="REGION LOSS",IF(E1649=C1649,1,0),0))</f>
        <v>0</v>
      </c>
      <c r="K1649" s="15" t="n">
        <f aca="false">IF(B1649="SITE LOSS",IF(COUNTIFS('Site Dockets'!$B$7:$B$24,C1649,'Site Dockets'!$C$7:$C$24,F1649)&gt;0,1,0),IF(B1649="REGION LOSS",IF(COUNTIFS('Site Dockets'!$E$7:$E$24,C1649,'Site Dockets'!$C$7:$C$24,F1649)&gt;0,1,0),0))</f>
        <v>0</v>
      </c>
      <c r="L1649" s="15" t="n">
        <f aca="false">IF(J1649=1,0,Inputs!$B$11)</f>
        <v>100</v>
      </c>
      <c r="M1649" s="15" t="n">
        <f aca="false">IF(J1649=1,0,Inputs!$B$12)</f>
        <v>75</v>
      </c>
      <c r="N1649" s="15" t="n">
        <f aca="false">IF(J1649=1,0,IF(OR(AND(OR(B1649="SITE LOSS",B1649="REGION LOSS"),K1649=1),AND(B1649="ROLE COMPROMISE",H1649=C1649)),Inputs!$B$13,Inputs!$B$14))</f>
        <v>10</v>
      </c>
      <c r="O1649" s="15" t="n">
        <f aca="false">IF(J1649=1,0,Inputs!$B$13)</f>
        <v>20</v>
      </c>
      <c r="P1649" s="15" t="n">
        <f aca="false">SUM(M1649:N1649)</f>
        <v>85</v>
      </c>
      <c r="Q1649" s="15" t="n">
        <f aca="false">IF(J1649=1,"",L1649-P1649)</f>
        <v>15</v>
      </c>
      <c r="R1649" s="15" t="n">
        <f aca="false">IF(OR(J1649=1,M1649&lt;=Inputs!$B$12),1,0)</f>
        <v>1</v>
      </c>
      <c r="S1649" s="15" t="n">
        <f aca="false">IF(OR(J1649=1,N1649&lt;=O1649),1,0)</f>
        <v>1</v>
      </c>
      <c r="T1649" s="15" t="str">
        <f aca="false">IF(J1649=1,"OFFLINE",IF(AND(Q1649&gt;=Inputs!$B$15,R1649=1,S1649=1,P1649&lt;=L1649),"PASS","FAIL"))</f>
        <v>PASS</v>
      </c>
    </row>
    <row r="1650" customFormat="false" ht="15" hidden="false" customHeight="false" outlineLevel="0" collapsed="false">
      <c r="A1650" s="14" t="s">
        <v>1034</v>
      </c>
      <c r="B1650" s="14" t="s">
        <v>1019</v>
      </c>
      <c r="C1650" s="14" t="s">
        <v>198</v>
      </c>
      <c r="D1650" s="14" t="s">
        <v>163</v>
      </c>
      <c r="E1650" s="14" t="s">
        <v>166</v>
      </c>
      <c r="F1650" s="14" t="s">
        <v>164</v>
      </c>
      <c r="G1650" s="14" t="n">
        <v>1</v>
      </c>
      <c r="H1650" s="14" t="s">
        <v>154</v>
      </c>
      <c r="I1650" s="14" t="s">
        <v>899</v>
      </c>
      <c r="J1650" s="15" t="n">
        <f aca="false">IF(B1650="SITE LOSS",IF(D1650=C1650,1,0),IF(B1650="REGION LOSS",IF(E1650=C1650,1,0),0))</f>
        <v>0</v>
      </c>
      <c r="K1650" s="15" t="n">
        <f aca="false">IF(B1650="SITE LOSS",IF(COUNTIFS('Site Dockets'!$B$7:$B$24,C1650,'Site Dockets'!$C$7:$C$24,F1650)&gt;0,1,0),IF(B1650="REGION LOSS",IF(COUNTIFS('Site Dockets'!$E$7:$E$24,C1650,'Site Dockets'!$C$7:$C$24,F1650)&gt;0,1,0),0))</f>
        <v>0</v>
      </c>
      <c r="L1650" s="15" t="n">
        <f aca="false">IF(J1650=1,0,Inputs!$B$11)</f>
        <v>100</v>
      </c>
      <c r="M1650" s="15" t="n">
        <f aca="false">IF(J1650=1,0,Inputs!$B$12)</f>
        <v>75</v>
      </c>
      <c r="N1650" s="15" t="n">
        <f aca="false">IF(J1650=1,0,IF(OR(AND(OR(B1650="SITE LOSS",B1650="REGION LOSS"),K1650=1),AND(B1650="ROLE COMPROMISE",H1650=C1650)),Inputs!$B$13,Inputs!$B$14))</f>
        <v>10</v>
      </c>
      <c r="O1650" s="15" t="n">
        <f aca="false">IF(J1650=1,0,Inputs!$B$13)</f>
        <v>20</v>
      </c>
      <c r="P1650" s="15" t="n">
        <f aca="false">SUM(M1650:N1650)</f>
        <v>85</v>
      </c>
      <c r="Q1650" s="15" t="n">
        <f aca="false">IF(J1650=1,"",L1650-P1650)</f>
        <v>15</v>
      </c>
      <c r="R1650" s="15" t="n">
        <f aca="false">IF(OR(J1650=1,M1650&lt;=Inputs!$B$12),1,0)</f>
        <v>1</v>
      </c>
      <c r="S1650" s="15" t="n">
        <f aca="false">IF(OR(J1650=1,N1650&lt;=O1650),1,0)</f>
        <v>1</v>
      </c>
      <c r="T1650" s="15" t="str">
        <f aca="false">IF(J1650=1,"OFFLINE",IF(AND(Q1650&gt;=Inputs!$B$15,R1650=1,S1650=1,P1650&lt;=L1650),"PASS","FAIL"))</f>
        <v>PASS</v>
      </c>
    </row>
    <row r="1651" customFormat="false" ht="15" hidden="false" customHeight="false" outlineLevel="0" collapsed="false">
      <c r="A1651" s="14" t="s">
        <v>1034</v>
      </c>
      <c r="B1651" s="14" t="s">
        <v>1019</v>
      </c>
      <c r="C1651" s="14" t="s">
        <v>198</v>
      </c>
      <c r="D1651" s="14" t="s">
        <v>168</v>
      </c>
      <c r="E1651" s="14" t="s">
        <v>169</v>
      </c>
      <c r="F1651" s="14" t="s">
        <v>164</v>
      </c>
      <c r="G1651" s="14" t="n">
        <v>2</v>
      </c>
      <c r="H1651" s="14" t="s">
        <v>153</v>
      </c>
      <c r="I1651" s="14" t="s">
        <v>890</v>
      </c>
      <c r="J1651" s="15" t="n">
        <f aca="false">IF(B1651="SITE LOSS",IF(D1651=C1651,1,0),IF(B1651="REGION LOSS",IF(E1651=C1651,1,0),0))</f>
        <v>0</v>
      </c>
      <c r="K1651" s="15" t="n">
        <f aca="false">IF(B1651="SITE LOSS",IF(COUNTIFS('Site Dockets'!$B$7:$B$24,C1651,'Site Dockets'!$C$7:$C$24,F1651)&gt;0,1,0),IF(B1651="REGION LOSS",IF(COUNTIFS('Site Dockets'!$E$7:$E$24,C1651,'Site Dockets'!$C$7:$C$24,F1651)&gt;0,1,0),0))</f>
        <v>0</v>
      </c>
      <c r="L1651" s="15" t="n">
        <f aca="false">IF(J1651=1,0,Inputs!$B$11)</f>
        <v>100</v>
      </c>
      <c r="M1651" s="15" t="n">
        <f aca="false">IF(J1651=1,0,Inputs!$B$12)</f>
        <v>75</v>
      </c>
      <c r="N1651" s="15" t="n">
        <f aca="false">IF(J1651=1,0,IF(OR(AND(OR(B1651="SITE LOSS",B1651="REGION LOSS"),K1651=1),AND(B1651="ROLE COMPROMISE",H1651=C1651)),Inputs!$B$13,Inputs!$B$14))</f>
        <v>10</v>
      </c>
      <c r="O1651" s="15" t="n">
        <f aca="false">IF(J1651=1,0,Inputs!$B$13)</f>
        <v>20</v>
      </c>
      <c r="P1651" s="15" t="n">
        <f aca="false">SUM(M1651:N1651)</f>
        <v>85</v>
      </c>
      <c r="Q1651" s="15" t="n">
        <f aca="false">IF(J1651=1,"",L1651-P1651)</f>
        <v>15</v>
      </c>
      <c r="R1651" s="15" t="n">
        <f aca="false">IF(OR(J1651=1,M1651&lt;=Inputs!$B$12),1,0)</f>
        <v>1</v>
      </c>
      <c r="S1651" s="15" t="n">
        <f aca="false">IF(OR(J1651=1,N1651&lt;=O1651),1,0)</f>
        <v>1</v>
      </c>
      <c r="T1651" s="15" t="str">
        <f aca="false">IF(J1651=1,"OFFLINE",IF(AND(Q1651&gt;=Inputs!$B$15,R1651=1,S1651=1,P1651&lt;=L1651),"PASS","FAIL"))</f>
        <v>PASS</v>
      </c>
    </row>
    <row r="1652" customFormat="false" ht="15" hidden="false" customHeight="false" outlineLevel="0" collapsed="false">
      <c r="A1652" s="14" t="s">
        <v>1034</v>
      </c>
      <c r="B1652" s="14" t="s">
        <v>1019</v>
      </c>
      <c r="C1652" s="14" t="s">
        <v>198</v>
      </c>
      <c r="D1652" s="14" t="s">
        <v>168</v>
      </c>
      <c r="E1652" s="14" t="s">
        <v>169</v>
      </c>
      <c r="F1652" s="14" t="s">
        <v>164</v>
      </c>
      <c r="G1652" s="14" t="n">
        <v>2</v>
      </c>
      <c r="H1652" s="14" t="s">
        <v>153</v>
      </c>
      <c r="I1652" s="14" t="s">
        <v>892</v>
      </c>
      <c r="J1652" s="15" t="n">
        <f aca="false">IF(B1652="SITE LOSS",IF(D1652=C1652,1,0),IF(B1652="REGION LOSS",IF(E1652=C1652,1,0),0))</f>
        <v>0</v>
      </c>
      <c r="K1652" s="15" t="n">
        <f aca="false">IF(B1652="SITE LOSS",IF(COUNTIFS('Site Dockets'!$B$7:$B$24,C1652,'Site Dockets'!$C$7:$C$24,F1652)&gt;0,1,0),IF(B1652="REGION LOSS",IF(COUNTIFS('Site Dockets'!$E$7:$E$24,C1652,'Site Dockets'!$C$7:$C$24,F1652)&gt;0,1,0),0))</f>
        <v>0</v>
      </c>
      <c r="L1652" s="15" t="n">
        <f aca="false">IF(J1652=1,0,Inputs!$B$11)</f>
        <v>100</v>
      </c>
      <c r="M1652" s="15" t="n">
        <f aca="false">IF(J1652=1,0,Inputs!$B$12)</f>
        <v>75</v>
      </c>
      <c r="N1652" s="15" t="n">
        <f aca="false">IF(J1652=1,0,IF(OR(AND(OR(B1652="SITE LOSS",B1652="REGION LOSS"),K1652=1),AND(B1652="ROLE COMPROMISE",H1652=C1652)),Inputs!$B$13,Inputs!$B$14))</f>
        <v>10</v>
      </c>
      <c r="O1652" s="15" t="n">
        <f aca="false">IF(J1652=1,0,Inputs!$B$13)</f>
        <v>20</v>
      </c>
      <c r="P1652" s="15" t="n">
        <f aca="false">SUM(M1652:N1652)</f>
        <v>85</v>
      </c>
      <c r="Q1652" s="15" t="n">
        <f aca="false">IF(J1652=1,"",L1652-P1652)</f>
        <v>15</v>
      </c>
      <c r="R1652" s="15" t="n">
        <f aca="false">IF(OR(J1652=1,M1652&lt;=Inputs!$B$12),1,0)</f>
        <v>1</v>
      </c>
      <c r="S1652" s="15" t="n">
        <f aca="false">IF(OR(J1652=1,N1652&lt;=O1652),1,0)</f>
        <v>1</v>
      </c>
      <c r="T1652" s="15" t="str">
        <f aca="false">IF(J1652=1,"OFFLINE",IF(AND(Q1652&gt;=Inputs!$B$15,R1652=1,S1652=1,P1652&lt;=L1652),"PASS","FAIL"))</f>
        <v>PASS</v>
      </c>
    </row>
    <row r="1653" customFormat="false" ht="15" hidden="false" customHeight="false" outlineLevel="0" collapsed="false">
      <c r="A1653" s="14" t="s">
        <v>1034</v>
      </c>
      <c r="B1653" s="14" t="s">
        <v>1019</v>
      </c>
      <c r="C1653" s="14" t="s">
        <v>198</v>
      </c>
      <c r="D1653" s="14" t="s">
        <v>168</v>
      </c>
      <c r="E1653" s="14" t="s">
        <v>169</v>
      </c>
      <c r="F1653" s="14" t="s">
        <v>164</v>
      </c>
      <c r="G1653" s="14" t="n">
        <v>2</v>
      </c>
      <c r="H1653" s="14" t="s">
        <v>153</v>
      </c>
      <c r="I1653" s="14" t="s">
        <v>811</v>
      </c>
      <c r="J1653" s="15" t="n">
        <f aca="false">IF(B1653="SITE LOSS",IF(D1653=C1653,1,0),IF(B1653="REGION LOSS",IF(E1653=C1653,1,0),0))</f>
        <v>0</v>
      </c>
      <c r="K1653" s="15" t="n">
        <f aca="false">IF(B1653="SITE LOSS",IF(COUNTIFS('Site Dockets'!$B$7:$B$24,C1653,'Site Dockets'!$C$7:$C$24,F1653)&gt;0,1,0),IF(B1653="REGION LOSS",IF(COUNTIFS('Site Dockets'!$E$7:$E$24,C1653,'Site Dockets'!$C$7:$C$24,F1653)&gt;0,1,0),0))</f>
        <v>0</v>
      </c>
      <c r="L1653" s="15" t="n">
        <f aca="false">IF(J1653=1,0,Inputs!$B$11)</f>
        <v>100</v>
      </c>
      <c r="M1653" s="15" t="n">
        <f aca="false">IF(J1653=1,0,Inputs!$B$12)</f>
        <v>75</v>
      </c>
      <c r="N1653" s="15" t="n">
        <f aca="false">IF(J1653=1,0,IF(OR(AND(OR(B1653="SITE LOSS",B1653="REGION LOSS"),K1653=1),AND(B1653="ROLE COMPROMISE",H1653=C1653)),Inputs!$B$13,Inputs!$B$14))</f>
        <v>10</v>
      </c>
      <c r="O1653" s="15" t="n">
        <f aca="false">IF(J1653=1,0,Inputs!$B$13)</f>
        <v>20</v>
      </c>
      <c r="P1653" s="15" t="n">
        <f aca="false">SUM(M1653:N1653)</f>
        <v>85</v>
      </c>
      <c r="Q1653" s="15" t="n">
        <f aca="false">IF(J1653=1,"",L1653-P1653)</f>
        <v>15</v>
      </c>
      <c r="R1653" s="15" t="n">
        <f aca="false">IF(OR(J1653=1,M1653&lt;=Inputs!$B$12),1,0)</f>
        <v>1</v>
      </c>
      <c r="S1653" s="15" t="n">
        <f aca="false">IF(OR(J1653=1,N1653&lt;=O1653),1,0)</f>
        <v>1</v>
      </c>
      <c r="T1653" s="15" t="str">
        <f aca="false">IF(J1653=1,"OFFLINE",IF(AND(Q1653&gt;=Inputs!$B$15,R1653=1,S1653=1,P1653&lt;=L1653),"PASS","FAIL"))</f>
        <v>PASS</v>
      </c>
    </row>
    <row r="1654" customFormat="false" ht="15" hidden="false" customHeight="false" outlineLevel="0" collapsed="false">
      <c r="A1654" s="14" t="s">
        <v>1034</v>
      </c>
      <c r="B1654" s="14" t="s">
        <v>1019</v>
      </c>
      <c r="C1654" s="14" t="s">
        <v>198</v>
      </c>
      <c r="D1654" s="14" t="s">
        <v>168</v>
      </c>
      <c r="E1654" s="14" t="s">
        <v>169</v>
      </c>
      <c r="F1654" s="14" t="s">
        <v>164</v>
      </c>
      <c r="G1654" s="14" t="n">
        <v>2</v>
      </c>
      <c r="H1654" s="14" t="s">
        <v>153</v>
      </c>
      <c r="I1654" s="14" t="s">
        <v>895</v>
      </c>
      <c r="J1654" s="15" t="n">
        <f aca="false">IF(B1654="SITE LOSS",IF(D1654=C1654,1,0),IF(B1654="REGION LOSS",IF(E1654=C1654,1,0),0))</f>
        <v>0</v>
      </c>
      <c r="K1654" s="15" t="n">
        <f aca="false">IF(B1654="SITE LOSS",IF(COUNTIFS('Site Dockets'!$B$7:$B$24,C1654,'Site Dockets'!$C$7:$C$24,F1654)&gt;0,1,0),IF(B1654="REGION LOSS",IF(COUNTIFS('Site Dockets'!$E$7:$E$24,C1654,'Site Dockets'!$C$7:$C$24,F1654)&gt;0,1,0),0))</f>
        <v>0</v>
      </c>
      <c r="L1654" s="15" t="n">
        <f aca="false">IF(J1654=1,0,Inputs!$B$11)</f>
        <v>100</v>
      </c>
      <c r="M1654" s="15" t="n">
        <f aca="false">IF(J1654=1,0,Inputs!$B$12)</f>
        <v>75</v>
      </c>
      <c r="N1654" s="15" t="n">
        <f aca="false">IF(J1654=1,0,IF(OR(AND(OR(B1654="SITE LOSS",B1654="REGION LOSS"),K1654=1),AND(B1654="ROLE COMPROMISE",H1654=C1654)),Inputs!$B$13,Inputs!$B$14))</f>
        <v>10</v>
      </c>
      <c r="O1654" s="15" t="n">
        <f aca="false">IF(J1654=1,0,Inputs!$B$13)</f>
        <v>20</v>
      </c>
      <c r="P1654" s="15" t="n">
        <f aca="false">SUM(M1654:N1654)</f>
        <v>85</v>
      </c>
      <c r="Q1654" s="15" t="n">
        <f aca="false">IF(J1654=1,"",L1654-P1654)</f>
        <v>15</v>
      </c>
      <c r="R1654" s="15" t="n">
        <f aca="false">IF(OR(J1654=1,M1654&lt;=Inputs!$B$12),1,0)</f>
        <v>1</v>
      </c>
      <c r="S1654" s="15" t="n">
        <f aca="false">IF(OR(J1654=1,N1654&lt;=O1654),1,0)</f>
        <v>1</v>
      </c>
      <c r="T1654" s="15" t="str">
        <f aca="false">IF(J1654=1,"OFFLINE",IF(AND(Q1654&gt;=Inputs!$B$15,R1654=1,S1654=1,P1654&lt;=L1654),"PASS","FAIL"))</f>
        <v>PASS</v>
      </c>
    </row>
    <row r="1655" customFormat="false" ht="15" hidden="false" customHeight="false" outlineLevel="0" collapsed="false">
      <c r="A1655" s="14" t="s">
        <v>1034</v>
      </c>
      <c r="B1655" s="14" t="s">
        <v>1019</v>
      </c>
      <c r="C1655" s="14" t="s">
        <v>198</v>
      </c>
      <c r="D1655" s="14" t="s">
        <v>168</v>
      </c>
      <c r="E1655" s="14" t="s">
        <v>169</v>
      </c>
      <c r="F1655" s="14" t="s">
        <v>164</v>
      </c>
      <c r="G1655" s="14" t="n">
        <v>2</v>
      </c>
      <c r="H1655" s="14" t="s">
        <v>153</v>
      </c>
      <c r="I1655" s="14" t="s">
        <v>897</v>
      </c>
      <c r="J1655" s="15" t="n">
        <f aca="false">IF(B1655="SITE LOSS",IF(D1655=C1655,1,0),IF(B1655="REGION LOSS",IF(E1655=C1655,1,0),0))</f>
        <v>0</v>
      </c>
      <c r="K1655" s="15" t="n">
        <f aca="false">IF(B1655="SITE LOSS",IF(COUNTIFS('Site Dockets'!$B$7:$B$24,C1655,'Site Dockets'!$C$7:$C$24,F1655)&gt;0,1,0),IF(B1655="REGION LOSS",IF(COUNTIFS('Site Dockets'!$E$7:$E$24,C1655,'Site Dockets'!$C$7:$C$24,F1655)&gt;0,1,0),0))</f>
        <v>0</v>
      </c>
      <c r="L1655" s="15" t="n">
        <f aca="false">IF(J1655=1,0,Inputs!$B$11)</f>
        <v>100</v>
      </c>
      <c r="M1655" s="15" t="n">
        <f aca="false">IF(J1655=1,0,Inputs!$B$12)</f>
        <v>75</v>
      </c>
      <c r="N1655" s="15" t="n">
        <f aca="false">IF(J1655=1,0,IF(OR(AND(OR(B1655="SITE LOSS",B1655="REGION LOSS"),K1655=1),AND(B1655="ROLE COMPROMISE",H1655=C1655)),Inputs!$B$13,Inputs!$B$14))</f>
        <v>10</v>
      </c>
      <c r="O1655" s="15" t="n">
        <f aca="false">IF(J1655=1,0,Inputs!$B$13)</f>
        <v>20</v>
      </c>
      <c r="P1655" s="15" t="n">
        <f aca="false">SUM(M1655:N1655)</f>
        <v>85</v>
      </c>
      <c r="Q1655" s="15" t="n">
        <f aca="false">IF(J1655=1,"",L1655-P1655)</f>
        <v>15</v>
      </c>
      <c r="R1655" s="15" t="n">
        <f aca="false">IF(OR(J1655=1,M1655&lt;=Inputs!$B$12),1,0)</f>
        <v>1</v>
      </c>
      <c r="S1655" s="15" t="n">
        <f aca="false">IF(OR(J1655=1,N1655&lt;=O1655),1,0)</f>
        <v>1</v>
      </c>
      <c r="T1655" s="15" t="str">
        <f aca="false">IF(J1655=1,"OFFLINE",IF(AND(Q1655&gt;=Inputs!$B$15,R1655=1,S1655=1,P1655&lt;=L1655),"PASS","FAIL"))</f>
        <v>PASS</v>
      </c>
    </row>
    <row r="1656" customFormat="false" ht="15" hidden="false" customHeight="false" outlineLevel="0" collapsed="false">
      <c r="A1656" s="14" t="s">
        <v>1034</v>
      </c>
      <c r="B1656" s="14" t="s">
        <v>1019</v>
      </c>
      <c r="C1656" s="14" t="s">
        <v>198</v>
      </c>
      <c r="D1656" s="14" t="s">
        <v>168</v>
      </c>
      <c r="E1656" s="14" t="s">
        <v>169</v>
      </c>
      <c r="F1656" s="14" t="s">
        <v>164</v>
      </c>
      <c r="G1656" s="14" t="n">
        <v>2</v>
      </c>
      <c r="H1656" s="14" t="s">
        <v>153</v>
      </c>
      <c r="I1656" s="14" t="s">
        <v>899</v>
      </c>
      <c r="J1656" s="15" t="n">
        <f aca="false">IF(B1656="SITE LOSS",IF(D1656=C1656,1,0),IF(B1656="REGION LOSS",IF(E1656=C1656,1,0),0))</f>
        <v>0</v>
      </c>
      <c r="K1656" s="15" t="n">
        <f aca="false">IF(B1656="SITE LOSS",IF(COUNTIFS('Site Dockets'!$B$7:$B$24,C1656,'Site Dockets'!$C$7:$C$24,F1656)&gt;0,1,0),IF(B1656="REGION LOSS",IF(COUNTIFS('Site Dockets'!$E$7:$E$24,C1656,'Site Dockets'!$C$7:$C$24,F1656)&gt;0,1,0),0))</f>
        <v>0</v>
      </c>
      <c r="L1656" s="15" t="n">
        <f aca="false">IF(J1656=1,0,Inputs!$B$11)</f>
        <v>100</v>
      </c>
      <c r="M1656" s="15" t="n">
        <f aca="false">IF(J1656=1,0,Inputs!$B$12)</f>
        <v>75</v>
      </c>
      <c r="N1656" s="15" t="n">
        <f aca="false">IF(J1656=1,0,IF(OR(AND(OR(B1656="SITE LOSS",B1656="REGION LOSS"),K1656=1),AND(B1656="ROLE COMPROMISE",H1656=C1656)),Inputs!$B$13,Inputs!$B$14))</f>
        <v>10</v>
      </c>
      <c r="O1656" s="15" t="n">
        <f aca="false">IF(J1656=1,0,Inputs!$B$13)</f>
        <v>20</v>
      </c>
      <c r="P1656" s="15" t="n">
        <f aca="false">SUM(M1656:N1656)</f>
        <v>85</v>
      </c>
      <c r="Q1656" s="15" t="n">
        <f aca="false">IF(J1656=1,"",L1656-P1656)</f>
        <v>15</v>
      </c>
      <c r="R1656" s="15" t="n">
        <f aca="false">IF(OR(J1656=1,M1656&lt;=Inputs!$B$12),1,0)</f>
        <v>1</v>
      </c>
      <c r="S1656" s="15" t="n">
        <f aca="false">IF(OR(J1656=1,N1656&lt;=O1656),1,0)</f>
        <v>1</v>
      </c>
      <c r="T1656" s="15" t="str">
        <f aca="false">IF(J1656=1,"OFFLINE",IF(AND(Q1656&gt;=Inputs!$B$15,R1656=1,S1656=1,P1656&lt;=L1656),"PASS","FAIL"))</f>
        <v>PASS</v>
      </c>
    </row>
    <row r="1657" customFormat="false" ht="15" hidden="false" customHeight="false" outlineLevel="0" collapsed="false">
      <c r="A1657" s="14" t="s">
        <v>1034</v>
      </c>
      <c r="B1657" s="14" t="s">
        <v>1019</v>
      </c>
      <c r="C1657" s="14" t="s">
        <v>198</v>
      </c>
      <c r="D1657" s="14" t="s">
        <v>171</v>
      </c>
      <c r="E1657" s="14" t="s">
        <v>172</v>
      </c>
      <c r="F1657" s="14" t="s">
        <v>164</v>
      </c>
      <c r="G1657" s="14" t="n">
        <v>3</v>
      </c>
      <c r="H1657" s="14" t="s">
        <v>158</v>
      </c>
      <c r="I1657" s="14" t="s">
        <v>890</v>
      </c>
      <c r="J1657" s="15" t="n">
        <f aca="false">IF(B1657="SITE LOSS",IF(D1657=C1657,1,0),IF(B1657="REGION LOSS",IF(E1657=C1657,1,0),0))</f>
        <v>0</v>
      </c>
      <c r="K1657" s="15" t="n">
        <f aca="false">IF(B1657="SITE LOSS",IF(COUNTIFS('Site Dockets'!$B$7:$B$24,C1657,'Site Dockets'!$C$7:$C$24,F1657)&gt;0,1,0),IF(B1657="REGION LOSS",IF(COUNTIFS('Site Dockets'!$E$7:$E$24,C1657,'Site Dockets'!$C$7:$C$24,F1657)&gt;0,1,0),0))</f>
        <v>0</v>
      </c>
      <c r="L1657" s="15" t="n">
        <f aca="false">IF(J1657=1,0,Inputs!$B$11)</f>
        <v>100</v>
      </c>
      <c r="M1657" s="15" t="n">
        <f aca="false">IF(J1657=1,0,Inputs!$B$12)</f>
        <v>75</v>
      </c>
      <c r="N1657" s="15" t="n">
        <f aca="false">IF(J1657=1,0,IF(OR(AND(OR(B1657="SITE LOSS",B1657="REGION LOSS"),K1657=1),AND(B1657="ROLE COMPROMISE",H1657=C1657)),Inputs!$B$13,Inputs!$B$14))</f>
        <v>10</v>
      </c>
      <c r="O1657" s="15" t="n">
        <f aca="false">IF(J1657=1,0,Inputs!$B$13)</f>
        <v>20</v>
      </c>
      <c r="P1657" s="15" t="n">
        <f aca="false">SUM(M1657:N1657)</f>
        <v>85</v>
      </c>
      <c r="Q1657" s="15" t="n">
        <f aca="false">IF(J1657=1,"",L1657-P1657)</f>
        <v>15</v>
      </c>
      <c r="R1657" s="15" t="n">
        <f aca="false">IF(OR(J1657=1,M1657&lt;=Inputs!$B$12),1,0)</f>
        <v>1</v>
      </c>
      <c r="S1657" s="15" t="n">
        <f aca="false">IF(OR(J1657=1,N1657&lt;=O1657),1,0)</f>
        <v>1</v>
      </c>
      <c r="T1657" s="15" t="str">
        <f aca="false">IF(J1657=1,"OFFLINE",IF(AND(Q1657&gt;=Inputs!$B$15,R1657=1,S1657=1,P1657&lt;=L1657),"PASS","FAIL"))</f>
        <v>PASS</v>
      </c>
    </row>
    <row r="1658" customFormat="false" ht="15" hidden="false" customHeight="false" outlineLevel="0" collapsed="false">
      <c r="A1658" s="14" t="s">
        <v>1034</v>
      </c>
      <c r="B1658" s="14" t="s">
        <v>1019</v>
      </c>
      <c r="C1658" s="14" t="s">
        <v>198</v>
      </c>
      <c r="D1658" s="14" t="s">
        <v>171</v>
      </c>
      <c r="E1658" s="14" t="s">
        <v>172</v>
      </c>
      <c r="F1658" s="14" t="s">
        <v>164</v>
      </c>
      <c r="G1658" s="14" t="n">
        <v>3</v>
      </c>
      <c r="H1658" s="14" t="s">
        <v>158</v>
      </c>
      <c r="I1658" s="14" t="s">
        <v>892</v>
      </c>
      <c r="J1658" s="15" t="n">
        <f aca="false">IF(B1658="SITE LOSS",IF(D1658=C1658,1,0),IF(B1658="REGION LOSS",IF(E1658=C1658,1,0),0))</f>
        <v>0</v>
      </c>
      <c r="K1658" s="15" t="n">
        <f aca="false">IF(B1658="SITE LOSS",IF(COUNTIFS('Site Dockets'!$B$7:$B$24,C1658,'Site Dockets'!$C$7:$C$24,F1658)&gt;0,1,0),IF(B1658="REGION LOSS",IF(COUNTIFS('Site Dockets'!$E$7:$E$24,C1658,'Site Dockets'!$C$7:$C$24,F1658)&gt;0,1,0),0))</f>
        <v>0</v>
      </c>
      <c r="L1658" s="15" t="n">
        <f aca="false">IF(J1658=1,0,Inputs!$B$11)</f>
        <v>100</v>
      </c>
      <c r="M1658" s="15" t="n">
        <f aca="false">IF(J1658=1,0,Inputs!$B$12)</f>
        <v>75</v>
      </c>
      <c r="N1658" s="15" t="n">
        <f aca="false">IF(J1658=1,0,IF(OR(AND(OR(B1658="SITE LOSS",B1658="REGION LOSS"),K1658=1),AND(B1658="ROLE COMPROMISE",H1658=C1658)),Inputs!$B$13,Inputs!$B$14))</f>
        <v>10</v>
      </c>
      <c r="O1658" s="15" t="n">
        <f aca="false">IF(J1658=1,0,Inputs!$B$13)</f>
        <v>20</v>
      </c>
      <c r="P1658" s="15" t="n">
        <f aca="false">SUM(M1658:N1658)</f>
        <v>85</v>
      </c>
      <c r="Q1658" s="15" t="n">
        <f aca="false">IF(J1658=1,"",L1658-P1658)</f>
        <v>15</v>
      </c>
      <c r="R1658" s="15" t="n">
        <f aca="false">IF(OR(J1658=1,M1658&lt;=Inputs!$B$12),1,0)</f>
        <v>1</v>
      </c>
      <c r="S1658" s="15" t="n">
        <f aca="false">IF(OR(J1658=1,N1658&lt;=O1658),1,0)</f>
        <v>1</v>
      </c>
      <c r="T1658" s="15" t="str">
        <f aca="false">IF(J1658=1,"OFFLINE",IF(AND(Q1658&gt;=Inputs!$B$15,R1658=1,S1658=1,P1658&lt;=L1658),"PASS","FAIL"))</f>
        <v>PASS</v>
      </c>
    </row>
    <row r="1659" customFormat="false" ht="15" hidden="false" customHeight="false" outlineLevel="0" collapsed="false">
      <c r="A1659" s="14" t="s">
        <v>1034</v>
      </c>
      <c r="B1659" s="14" t="s">
        <v>1019</v>
      </c>
      <c r="C1659" s="14" t="s">
        <v>198</v>
      </c>
      <c r="D1659" s="14" t="s">
        <v>171</v>
      </c>
      <c r="E1659" s="14" t="s">
        <v>172</v>
      </c>
      <c r="F1659" s="14" t="s">
        <v>164</v>
      </c>
      <c r="G1659" s="14" t="n">
        <v>3</v>
      </c>
      <c r="H1659" s="14" t="s">
        <v>158</v>
      </c>
      <c r="I1659" s="14" t="s">
        <v>811</v>
      </c>
      <c r="J1659" s="15" t="n">
        <f aca="false">IF(B1659="SITE LOSS",IF(D1659=C1659,1,0),IF(B1659="REGION LOSS",IF(E1659=C1659,1,0),0))</f>
        <v>0</v>
      </c>
      <c r="K1659" s="15" t="n">
        <f aca="false">IF(B1659="SITE LOSS",IF(COUNTIFS('Site Dockets'!$B$7:$B$24,C1659,'Site Dockets'!$C$7:$C$24,F1659)&gt;0,1,0),IF(B1659="REGION LOSS",IF(COUNTIFS('Site Dockets'!$E$7:$E$24,C1659,'Site Dockets'!$C$7:$C$24,F1659)&gt;0,1,0),0))</f>
        <v>0</v>
      </c>
      <c r="L1659" s="15" t="n">
        <f aca="false">IF(J1659=1,0,Inputs!$B$11)</f>
        <v>100</v>
      </c>
      <c r="M1659" s="15" t="n">
        <f aca="false">IF(J1659=1,0,Inputs!$B$12)</f>
        <v>75</v>
      </c>
      <c r="N1659" s="15" t="n">
        <f aca="false">IF(J1659=1,0,IF(OR(AND(OR(B1659="SITE LOSS",B1659="REGION LOSS"),K1659=1),AND(B1659="ROLE COMPROMISE",H1659=C1659)),Inputs!$B$13,Inputs!$B$14))</f>
        <v>10</v>
      </c>
      <c r="O1659" s="15" t="n">
        <f aca="false">IF(J1659=1,0,Inputs!$B$13)</f>
        <v>20</v>
      </c>
      <c r="P1659" s="15" t="n">
        <f aca="false">SUM(M1659:N1659)</f>
        <v>85</v>
      </c>
      <c r="Q1659" s="15" t="n">
        <f aca="false">IF(J1659=1,"",L1659-P1659)</f>
        <v>15</v>
      </c>
      <c r="R1659" s="15" t="n">
        <f aca="false">IF(OR(J1659=1,M1659&lt;=Inputs!$B$12),1,0)</f>
        <v>1</v>
      </c>
      <c r="S1659" s="15" t="n">
        <f aca="false">IF(OR(J1659=1,N1659&lt;=O1659),1,0)</f>
        <v>1</v>
      </c>
      <c r="T1659" s="15" t="str">
        <f aca="false">IF(J1659=1,"OFFLINE",IF(AND(Q1659&gt;=Inputs!$B$15,R1659=1,S1659=1,P1659&lt;=L1659),"PASS","FAIL"))</f>
        <v>PASS</v>
      </c>
    </row>
    <row r="1660" customFormat="false" ht="15" hidden="false" customHeight="false" outlineLevel="0" collapsed="false">
      <c r="A1660" s="14" t="s">
        <v>1034</v>
      </c>
      <c r="B1660" s="14" t="s">
        <v>1019</v>
      </c>
      <c r="C1660" s="14" t="s">
        <v>198</v>
      </c>
      <c r="D1660" s="14" t="s">
        <v>171</v>
      </c>
      <c r="E1660" s="14" t="s">
        <v>172</v>
      </c>
      <c r="F1660" s="14" t="s">
        <v>164</v>
      </c>
      <c r="G1660" s="14" t="n">
        <v>3</v>
      </c>
      <c r="H1660" s="14" t="s">
        <v>158</v>
      </c>
      <c r="I1660" s="14" t="s">
        <v>895</v>
      </c>
      <c r="J1660" s="15" t="n">
        <f aca="false">IF(B1660="SITE LOSS",IF(D1660=C1660,1,0),IF(B1660="REGION LOSS",IF(E1660=C1660,1,0),0))</f>
        <v>0</v>
      </c>
      <c r="K1660" s="15" t="n">
        <f aca="false">IF(B1660="SITE LOSS",IF(COUNTIFS('Site Dockets'!$B$7:$B$24,C1660,'Site Dockets'!$C$7:$C$24,F1660)&gt;0,1,0),IF(B1660="REGION LOSS",IF(COUNTIFS('Site Dockets'!$E$7:$E$24,C1660,'Site Dockets'!$C$7:$C$24,F1660)&gt;0,1,0),0))</f>
        <v>0</v>
      </c>
      <c r="L1660" s="15" t="n">
        <f aca="false">IF(J1660=1,0,Inputs!$B$11)</f>
        <v>100</v>
      </c>
      <c r="M1660" s="15" t="n">
        <f aca="false">IF(J1660=1,0,Inputs!$B$12)</f>
        <v>75</v>
      </c>
      <c r="N1660" s="15" t="n">
        <f aca="false">IF(J1660=1,0,IF(OR(AND(OR(B1660="SITE LOSS",B1660="REGION LOSS"),K1660=1),AND(B1660="ROLE COMPROMISE",H1660=C1660)),Inputs!$B$13,Inputs!$B$14))</f>
        <v>10</v>
      </c>
      <c r="O1660" s="15" t="n">
        <f aca="false">IF(J1660=1,0,Inputs!$B$13)</f>
        <v>20</v>
      </c>
      <c r="P1660" s="15" t="n">
        <f aca="false">SUM(M1660:N1660)</f>
        <v>85</v>
      </c>
      <c r="Q1660" s="15" t="n">
        <f aca="false">IF(J1660=1,"",L1660-P1660)</f>
        <v>15</v>
      </c>
      <c r="R1660" s="15" t="n">
        <f aca="false">IF(OR(J1660=1,M1660&lt;=Inputs!$B$12),1,0)</f>
        <v>1</v>
      </c>
      <c r="S1660" s="15" t="n">
        <f aca="false">IF(OR(J1660=1,N1660&lt;=O1660),1,0)</f>
        <v>1</v>
      </c>
      <c r="T1660" s="15" t="str">
        <f aca="false">IF(J1660=1,"OFFLINE",IF(AND(Q1660&gt;=Inputs!$B$15,R1660=1,S1660=1,P1660&lt;=L1660),"PASS","FAIL"))</f>
        <v>PASS</v>
      </c>
    </row>
    <row r="1661" customFormat="false" ht="15" hidden="false" customHeight="false" outlineLevel="0" collapsed="false">
      <c r="A1661" s="14" t="s">
        <v>1034</v>
      </c>
      <c r="B1661" s="14" t="s">
        <v>1019</v>
      </c>
      <c r="C1661" s="14" t="s">
        <v>198</v>
      </c>
      <c r="D1661" s="14" t="s">
        <v>171</v>
      </c>
      <c r="E1661" s="14" t="s">
        <v>172</v>
      </c>
      <c r="F1661" s="14" t="s">
        <v>164</v>
      </c>
      <c r="G1661" s="14" t="n">
        <v>3</v>
      </c>
      <c r="H1661" s="14" t="s">
        <v>158</v>
      </c>
      <c r="I1661" s="14" t="s">
        <v>897</v>
      </c>
      <c r="J1661" s="15" t="n">
        <f aca="false">IF(B1661="SITE LOSS",IF(D1661=C1661,1,0),IF(B1661="REGION LOSS",IF(E1661=C1661,1,0),0))</f>
        <v>0</v>
      </c>
      <c r="K1661" s="15" t="n">
        <f aca="false">IF(B1661="SITE LOSS",IF(COUNTIFS('Site Dockets'!$B$7:$B$24,C1661,'Site Dockets'!$C$7:$C$24,F1661)&gt;0,1,0),IF(B1661="REGION LOSS",IF(COUNTIFS('Site Dockets'!$E$7:$E$24,C1661,'Site Dockets'!$C$7:$C$24,F1661)&gt;0,1,0),0))</f>
        <v>0</v>
      </c>
      <c r="L1661" s="15" t="n">
        <f aca="false">IF(J1661=1,0,Inputs!$B$11)</f>
        <v>100</v>
      </c>
      <c r="M1661" s="15" t="n">
        <f aca="false">IF(J1661=1,0,Inputs!$B$12)</f>
        <v>75</v>
      </c>
      <c r="N1661" s="15" t="n">
        <f aca="false">IF(J1661=1,0,IF(OR(AND(OR(B1661="SITE LOSS",B1661="REGION LOSS"),K1661=1),AND(B1661="ROLE COMPROMISE",H1661=C1661)),Inputs!$B$13,Inputs!$B$14))</f>
        <v>10</v>
      </c>
      <c r="O1661" s="15" t="n">
        <f aca="false">IF(J1661=1,0,Inputs!$B$13)</f>
        <v>20</v>
      </c>
      <c r="P1661" s="15" t="n">
        <f aca="false">SUM(M1661:N1661)</f>
        <v>85</v>
      </c>
      <c r="Q1661" s="15" t="n">
        <f aca="false">IF(J1661=1,"",L1661-P1661)</f>
        <v>15</v>
      </c>
      <c r="R1661" s="15" t="n">
        <f aca="false">IF(OR(J1661=1,M1661&lt;=Inputs!$B$12),1,0)</f>
        <v>1</v>
      </c>
      <c r="S1661" s="15" t="n">
        <f aca="false">IF(OR(J1661=1,N1661&lt;=O1661),1,0)</f>
        <v>1</v>
      </c>
      <c r="T1661" s="15" t="str">
        <f aca="false">IF(J1661=1,"OFFLINE",IF(AND(Q1661&gt;=Inputs!$B$15,R1661=1,S1661=1,P1661&lt;=L1661),"PASS","FAIL"))</f>
        <v>PASS</v>
      </c>
    </row>
    <row r="1662" customFormat="false" ht="15" hidden="false" customHeight="false" outlineLevel="0" collapsed="false">
      <c r="A1662" s="14" t="s">
        <v>1034</v>
      </c>
      <c r="B1662" s="14" t="s">
        <v>1019</v>
      </c>
      <c r="C1662" s="14" t="s">
        <v>198</v>
      </c>
      <c r="D1662" s="14" t="s">
        <v>171</v>
      </c>
      <c r="E1662" s="14" t="s">
        <v>172</v>
      </c>
      <c r="F1662" s="14" t="s">
        <v>164</v>
      </c>
      <c r="G1662" s="14" t="n">
        <v>3</v>
      </c>
      <c r="H1662" s="14" t="s">
        <v>158</v>
      </c>
      <c r="I1662" s="14" t="s">
        <v>899</v>
      </c>
      <c r="J1662" s="15" t="n">
        <f aca="false">IF(B1662="SITE LOSS",IF(D1662=C1662,1,0),IF(B1662="REGION LOSS",IF(E1662=C1662,1,0),0))</f>
        <v>0</v>
      </c>
      <c r="K1662" s="15" t="n">
        <f aca="false">IF(B1662="SITE LOSS",IF(COUNTIFS('Site Dockets'!$B$7:$B$24,C1662,'Site Dockets'!$C$7:$C$24,F1662)&gt;0,1,0),IF(B1662="REGION LOSS",IF(COUNTIFS('Site Dockets'!$E$7:$E$24,C1662,'Site Dockets'!$C$7:$C$24,F1662)&gt;0,1,0),0))</f>
        <v>0</v>
      </c>
      <c r="L1662" s="15" t="n">
        <f aca="false">IF(J1662=1,0,Inputs!$B$11)</f>
        <v>100</v>
      </c>
      <c r="M1662" s="15" t="n">
        <f aca="false">IF(J1662=1,0,Inputs!$B$12)</f>
        <v>75</v>
      </c>
      <c r="N1662" s="15" t="n">
        <f aca="false">IF(J1662=1,0,IF(OR(AND(OR(B1662="SITE LOSS",B1662="REGION LOSS"),K1662=1),AND(B1662="ROLE COMPROMISE",H1662=C1662)),Inputs!$B$13,Inputs!$B$14))</f>
        <v>10</v>
      </c>
      <c r="O1662" s="15" t="n">
        <f aca="false">IF(J1662=1,0,Inputs!$B$13)</f>
        <v>20</v>
      </c>
      <c r="P1662" s="15" t="n">
        <f aca="false">SUM(M1662:N1662)</f>
        <v>85</v>
      </c>
      <c r="Q1662" s="15" t="n">
        <f aca="false">IF(J1662=1,"",L1662-P1662)</f>
        <v>15</v>
      </c>
      <c r="R1662" s="15" t="n">
        <f aca="false">IF(OR(J1662=1,M1662&lt;=Inputs!$B$12),1,0)</f>
        <v>1</v>
      </c>
      <c r="S1662" s="15" t="n">
        <f aca="false">IF(OR(J1662=1,N1662&lt;=O1662),1,0)</f>
        <v>1</v>
      </c>
      <c r="T1662" s="15" t="str">
        <f aca="false">IF(J1662=1,"OFFLINE",IF(AND(Q1662&gt;=Inputs!$B$15,R1662=1,S1662=1,P1662&lt;=L1662),"PASS","FAIL"))</f>
        <v>PASS</v>
      </c>
    </row>
    <row r="1663" customFormat="false" ht="15" hidden="false" customHeight="false" outlineLevel="0" collapsed="false">
      <c r="A1663" s="14" t="s">
        <v>1034</v>
      </c>
      <c r="B1663" s="14" t="s">
        <v>1019</v>
      </c>
      <c r="C1663" s="14" t="s">
        <v>198</v>
      </c>
      <c r="D1663" s="14" t="s">
        <v>174</v>
      </c>
      <c r="E1663" s="14" t="s">
        <v>152</v>
      </c>
      <c r="F1663" s="14" t="s">
        <v>175</v>
      </c>
      <c r="G1663" s="14" t="n">
        <v>1</v>
      </c>
      <c r="H1663" s="14" t="s">
        <v>154</v>
      </c>
      <c r="I1663" s="14" t="s">
        <v>890</v>
      </c>
      <c r="J1663" s="15" t="n">
        <f aca="false">IF(B1663="SITE LOSS",IF(D1663=C1663,1,0),IF(B1663="REGION LOSS",IF(E1663=C1663,1,0),0))</f>
        <v>0</v>
      </c>
      <c r="K1663" s="15" t="n">
        <f aca="false">IF(B1663="SITE LOSS",IF(COUNTIFS('Site Dockets'!$B$7:$B$24,C1663,'Site Dockets'!$C$7:$C$24,F1663)&gt;0,1,0),IF(B1663="REGION LOSS",IF(COUNTIFS('Site Dockets'!$E$7:$E$24,C1663,'Site Dockets'!$C$7:$C$24,F1663)&gt;0,1,0),0))</f>
        <v>0</v>
      </c>
      <c r="L1663" s="15" t="n">
        <f aca="false">IF(J1663=1,0,Inputs!$B$11)</f>
        <v>100</v>
      </c>
      <c r="M1663" s="15" t="n">
        <f aca="false">IF(J1663=1,0,Inputs!$B$12)</f>
        <v>75</v>
      </c>
      <c r="N1663" s="15" t="n">
        <f aca="false">IF(J1663=1,0,IF(OR(AND(OR(B1663="SITE LOSS",B1663="REGION LOSS"),K1663=1),AND(B1663="ROLE COMPROMISE",H1663=C1663)),Inputs!$B$13,Inputs!$B$14))</f>
        <v>10</v>
      </c>
      <c r="O1663" s="15" t="n">
        <f aca="false">IF(J1663=1,0,Inputs!$B$13)</f>
        <v>20</v>
      </c>
      <c r="P1663" s="15" t="n">
        <f aca="false">SUM(M1663:N1663)</f>
        <v>85</v>
      </c>
      <c r="Q1663" s="15" t="n">
        <f aca="false">IF(J1663=1,"",L1663-P1663)</f>
        <v>15</v>
      </c>
      <c r="R1663" s="15" t="n">
        <f aca="false">IF(OR(J1663=1,M1663&lt;=Inputs!$B$12),1,0)</f>
        <v>1</v>
      </c>
      <c r="S1663" s="15" t="n">
        <f aca="false">IF(OR(J1663=1,N1663&lt;=O1663),1,0)</f>
        <v>1</v>
      </c>
      <c r="T1663" s="15" t="str">
        <f aca="false">IF(J1663=1,"OFFLINE",IF(AND(Q1663&gt;=Inputs!$B$15,R1663=1,S1663=1,P1663&lt;=L1663),"PASS","FAIL"))</f>
        <v>PASS</v>
      </c>
    </row>
    <row r="1664" customFormat="false" ht="15" hidden="false" customHeight="false" outlineLevel="0" collapsed="false">
      <c r="A1664" s="14" t="s">
        <v>1034</v>
      </c>
      <c r="B1664" s="14" t="s">
        <v>1019</v>
      </c>
      <c r="C1664" s="14" t="s">
        <v>198</v>
      </c>
      <c r="D1664" s="14" t="s">
        <v>174</v>
      </c>
      <c r="E1664" s="14" t="s">
        <v>152</v>
      </c>
      <c r="F1664" s="14" t="s">
        <v>175</v>
      </c>
      <c r="G1664" s="14" t="n">
        <v>1</v>
      </c>
      <c r="H1664" s="14" t="s">
        <v>154</v>
      </c>
      <c r="I1664" s="14" t="s">
        <v>892</v>
      </c>
      <c r="J1664" s="15" t="n">
        <f aca="false">IF(B1664="SITE LOSS",IF(D1664=C1664,1,0),IF(B1664="REGION LOSS",IF(E1664=C1664,1,0),0))</f>
        <v>0</v>
      </c>
      <c r="K1664" s="15" t="n">
        <f aca="false">IF(B1664="SITE LOSS",IF(COUNTIFS('Site Dockets'!$B$7:$B$24,C1664,'Site Dockets'!$C$7:$C$24,F1664)&gt;0,1,0),IF(B1664="REGION LOSS",IF(COUNTIFS('Site Dockets'!$E$7:$E$24,C1664,'Site Dockets'!$C$7:$C$24,F1664)&gt;0,1,0),0))</f>
        <v>0</v>
      </c>
      <c r="L1664" s="15" t="n">
        <f aca="false">IF(J1664=1,0,Inputs!$B$11)</f>
        <v>100</v>
      </c>
      <c r="M1664" s="15" t="n">
        <f aca="false">IF(J1664=1,0,Inputs!$B$12)</f>
        <v>75</v>
      </c>
      <c r="N1664" s="15" t="n">
        <f aca="false">IF(J1664=1,0,IF(OR(AND(OR(B1664="SITE LOSS",B1664="REGION LOSS"),K1664=1),AND(B1664="ROLE COMPROMISE",H1664=C1664)),Inputs!$B$13,Inputs!$B$14))</f>
        <v>10</v>
      </c>
      <c r="O1664" s="15" t="n">
        <f aca="false">IF(J1664=1,0,Inputs!$B$13)</f>
        <v>20</v>
      </c>
      <c r="P1664" s="15" t="n">
        <f aca="false">SUM(M1664:N1664)</f>
        <v>85</v>
      </c>
      <c r="Q1664" s="15" t="n">
        <f aca="false">IF(J1664=1,"",L1664-P1664)</f>
        <v>15</v>
      </c>
      <c r="R1664" s="15" t="n">
        <f aca="false">IF(OR(J1664=1,M1664&lt;=Inputs!$B$12),1,0)</f>
        <v>1</v>
      </c>
      <c r="S1664" s="15" t="n">
        <f aca="false">IF(OR(J1664=1,N1664&lt;=O1664),1,0)</f>
        <v>1</v>
      </c>
      <c r="T1664" s="15" t="str">
        <f aca="false">IF(J1664=1,"OFFLINE",IF(AND(Q1664&gt;=Inputs!$B$15,R1664=1,S1664=1,P1664&lt;=L1664),"PASS","FAIL"))</f>
        <v>PASS</v>
      </c>
    </row>
    <row r="1665" customFormat="false" ht="15" hidden="false" customHeight="false" outlineLevel="0" collapsed="false">
      <c r="A1665" s="14" t="s">
        <v>1034</v>
      </c>
      <c r="B1665" s="14" t="s">
        <v>1019</v>
      </c>
      <c r="C1665" s="14" t="s">
        <v>198</v>
      </c>
      <c r="D1665" s="14" t="s">
        <v>174</v>
      </c>
      <c r="E1665" s="14" t="s">
        <v>152</v>
      </c>
      <c r="F1665" s="14" t="s">
        <v>175</v>
      </c>
      <c r="G1665" s="14" t="n">
        <v>1</v>
      </c>
      <c r="H1665" s="14" t="s">
        <v>154</v>
      </c>
      <c r="I1665" s="14" t="s">
        <v>811</v>
      </c>
      <c r="J1665" s="15" t="n">
        <f aca="false">IF(B1665="SITE LOSS",IF(D1665=C1665,1,0),IF(B1665="REGION LOSS",IF(E1665=C1665,1,0),0))</f>
        <v>0</v>
      </c>
      <c r="K1665" s="15" t="n">
        <f aca="false">IF(B1665="SITE LOSS",IF(COUNTIFS('Site Dockets'!$B$7:$B$24,C1665,'Site Dockets'!$C$7:$C$24,F1665)&gt;0,1,0),IF(B1665="REGION LOSS",IF(COUNTIFS('Site Dockets'!$E$7:$E$24,C1665,'Site Dockets'!$C$7:$C$24,F1665)&gt;0,1,0),0))</f>
        <v>0</v>
      </c>
      <c r="L1665" s="15" t="n">
        <f aca="false">IF(J1665=1,0,Inputs!$B$11)</f>
        <v>100</v>
      </c>
      <c r="M1665" s="15" t="n">
        <f aca="false">IF(J1665=1,0,Inputs!$B$12)</f>
        <v>75</v>
      </c>
      <c r="N1665" s="15" t="n">
        <f aca="false">IF(J1665=1,0,IF(OR(AND(OR(B1665="SITE LOSS",B1665="REGION LOSS"),K1665=1),AND(B1665="ROLE COMPROMISE",H1665=C1665)),Inputs!$B$13,Inputs!$B$14))</f>
        <v>10</v>
      </c>
      <c r="O1665" s="15" t="n">
        <f aca="false">IF(J1665=1,0,Inputs!$B$13)</f>
        <v>20</v>
      </c>
      <c r="P1665" s="15" t="n">
        <f aca="false">SUM(M1665:N1665)</f>
        <v>85</v>
      </c>
      <c r="Q1665" s="15" t="n">
        <f aca="false">IF(J1665=1,"",L1665-P1665)</f>
        <v>15</v>
      </c>
      <c r="R1665" s="15" t="n">
        <f aca="false">IF(OR(J1665=1,M1665&lt;=Inputs!$B$12),1,0)</f>
        <v>1</v>
      </c>
      <c r="S1665" s="15" t="n">
        <f aca="false">IF(OR(J1665=1,N1665&lt;=O1665),1,0)</f>
        <v>1</v>
      </c>
      <c r="T1665" s="15" t="str">
        <f aca="false">IF(J1665=1,"OFFLINE",IF(AND(Q1665&gt;=Inputs!$B$15,R1665=1,S1665=1,P1665&lt;=L1665),"PASS","FAIL"))</f>
        <v>PASS</v>
      </c>
    </row>
    <row r="1666" customFormat="false" ht="15" hidden="false" customHeight="false" outlineLevel="0" collapsed="false">
      <c r="A1666" s="14" t="s">
        <v>1034</v>
      </c>
      <c r="B1666" s="14" t="s">
        <v>1019</v>
      </c>
      <c r="C1666" s="14" t="s">
        <v>198</v>
      </c>
      <c r="D1666" s="14" t="s">
        <v>174</v>
      </c>
      <c r="E1666" s="14" t="s">
        <v>152</v>
      </c>
      <c r="F1666" s="14" t="s">
        <v>175</v>
      </c>
      <c r="G1666" s="14" t="n">
        <v>1</v>
      </c>
      <c r="H1666" s="14" t="s">
        <v>154</v>
      </c>
      <c r="I1666" s="14" t="s">
        <v>895</v>
      </c>
      <c r="J1666" s="15" t="n">
        <f aca="false">IF(B1666="SITE LOSS",IF(D1666=C1666,1,0),IF(B1666="REGION LOSS",IF(E1666=C1666,1,0),0))</f>
        <v>0</v>
      </c>
      <c r="K1666" s="15" t="n">
        <f aca="false">IF(B1666="SITE LOSS",IF(COUNTIFS('Site Dockets'!$B$7:$B$24,C1666,'Site Dockets'!$C$7:$C$24,F1666)&gt;0,1,0),IF(B1666="REGION LOSS",IF(COUNTIFS('Site Dockets'!$E$7:$E$24,C1666,'Site Dockets'!$C$7:$C$24,F1666)&gt;0,1,0),0))</f>
        <v>0</v>
      </c>
      <c r="L1666" s="15" t="n">
        <f aca="false">IF(J1666=1,0,Inputs!$B$11)</f>
        <v>100</v>
      </c>
      <c r="M1666" s="15" t="n">
        <f aca="false">IF(J1666=1,0,Inputs!$B$12)</f>
        <v>75</v>
      </c>
      <c r="N1666" s="15" t="n">
        <f aca="false">IF(J1666=1,0,IF(OR(AND(OR(B1666="SITE LOSS",B1666="REGION LOSS"),K1666=1),AND(B1666="ROLE COMPROMISE",H1666=C1666)),Inputs!$B$13,Inputs!$B$14))</f>
        <v>10</v>
      </c>
      <c r="O1666" s="15" t="n">
        <f aca="false">IF(J1666=1,0,Inputs!$B$13)</f>
        <v>20</v>
      </c>
      <c r="P1666" s="15" t="n">
        <f aca="false">SUM(M1666:N1666)</f>
        <v>85</v>
      </c>
      <c r="Q1666" s="15" t="n">
        <f aca="false">IF(J1666=1,"",L1666-P1666)</f>
        <v>15</v>
      </c>
      <c r="R1666" s="15" t="n">
        <f aca="false">IF(OR(J1666=1,M1666&lt;=Inputs!$B$12),1,0)</f>
        <v>1</v>
      </c>
      <c r="S1666" s="15" t="n">
        <f aca="false">IF(OR(J1666=1,N1666&lt;=O1666),1,0)</f>
        <v>1</v>
      </c>
      <c r="T1666" s="15" t="str">
        <f aca="false">IF(J1666=1,"OFFLINE",IF(AND(Q1666&gt;=Inputs!$B$15,R1666=1,S1666=1,P1666&lt;=L1666),"PASS","FAIL"))</f>
        <v>PASS</v>
      </c>
    </row>
    <row r="1667" customFormat="false" ht="15" hidden="false" customHeight="false" outlineLevel="0" collapsed="false">
      <c r="A1667" s="14" t="s">
        <v>1034</v>
      </c>
      <c r="B1667" s="14" t="s">
        <v>1019</v>
      </c>
      <c r="C1667" s="14" t="s">
        <v>198</v>
      </c>
      <c r="D1667" s="14" t="s">
        <v>174</v>
      </c>
      <c r="E1667" s="14" t="s">
        <v>152</v>
      </c>
      <c r="F1667" s="14" t="s">
        <v>175</v>
      </c>
      <c r="G1667" s="14" t="n">
        <v>1</v>
      </c>
      <c r="H1667" s="14" t="s">
        <v>154</v>
      </c>
      <c r="I1667" s="14" t="s">
        <v>897</v>
      </c>
      <c r="J1667" s="15" t="n">
        <f aca="false">IF(B1667="SITE LOSS",IF(D1667=C1667,1,0),IF(B1667="REGION LOSS",IF(E1667=C1667,1,0),0))</f>
        <v>0</v>
      </c>
      <c r="K1667" s="15" t="n">
        <f aca="false">IF(B1667="SITE LOSS",IF(COUNTIFS('Site Dockets'!$B$7:$B$24,C1667,'Site Dockets'!$C$7:$C$24,F1667)&gt;0,1,0),IF(B1667="REGION LOSS",IF(COUNTIFS('Site Dockets'!$E$7:$E$24,C1667,'Site Dockets'!$C$7:$C$24,F1667)&gt;0,1,0),0))</f>
        <v>0</v>
      </c>
      <c r="L1667" s="15" t="n">
        <f aca="false">IF(J1667=1,0,Inputs!$B$11)</f>
        <v>100</v>
      </c>
      <c r="M1667" s="15" t="n">
        <f aca="false">IF(J1667=1,0,Inputs!$B$12)</f>
        <v>75</v>
      </c>
      <c r="N1667" s="15" t="n">
        <f aca="false">IF(J1667=1,0,IF(OR(AND(OR(B1667="SITE LOSS",B1667="REGION LOSS"),K1667=1),AND(B1667="ROLE COMPROMISE",H1667=C1667)),Inputs!$B$13,Inputs!$B$14))</f>
        <v>10</v>
      </c>
      <c r="O1667" s="15" t="n">
        <f aca="false">IF(J1667=1,0,Inputs!$B$13)</f>
        <v>20</v>
      </c>
      <c r="P1667" s="15" t="n">
        <f aca="false">SUM(M1667:N1667)</f>
        <v>85</v>
      </c>
      <c r="Q1667" s="15" t="n">
        <f aca="false">IF(J1667=1,"",L1667-P1667)</f>
        <v>15</v>
      </c>
      <c r="R1667" s="15" t="n">
        <f aca="false">IF(OR(J1667=1,M1667&lt;=Inputs!$B$12),1,0)</f>
        <v>1</v>
      </c>
      <c r="S1667" s="15" t="n">
        <f aca="false">IF(OR(J1667=1,N1667&lt;=O1667),1,0)</f>
        <v>1</v>
      </c>
      <c r="T1667" s="15" t="str">
        <f aca="false">IF(J1667=1,"OFFLINE",IF(AND(Q1667&gt;=Inputs!$B$15,R1667=1,S1667=1,P1667&lt;=L1667),"PASS","FAIL"))</f>
        <v>PASS</v>
      </c>
    </row>
    <row r="1668" customFormat="false" ht="15" hidden="false" customHeight="false" outlineLevel="0" collapsed="false">
      <c r="A1668" s="14" t="s">
        <v>1034</v>
      </c>
      <c r="B1668" s="14" t="s">
        <v>1019</v>
      </c>
      <c r="C1668" s="14" t="s">
        <v>198</v>
      </c>
      <c r="D1668" s="14" t="s">
        <v>174</v>
      </c>
      <c r="E1668" s="14" t="s">
        <v>152</v>
      </c>
      <c r="F1668" s="14" t="s">
        <v>175</v>
      </c>
      <c r="G1668" s="14" t="n">
        <v>1</v>
      </c>
      <c r="H1668" s="14" t="s">
        <v>154</v>
      </c>
      <c r="I1668" s="14" t="s">
        <v>899</v>
      </c>
      <c r="J1668" s="15" t="n">
        <f aca="false">IF(B1668="SITE LOSS",IF(D1668=C1668,1,0),IF(B1668="REGION LOSS",IF(E1668=C1668,1,0),0))</f>
        <v>0</v>
      </c>
      <c r="K1668" s="15" t="n">
        <f aca="false">IF(B1668="SITE LOSS",IF(COUNTIFS('Site Dockets'!$B$7:$B$24,C1668,'Site Dockets'!$C$7:$C$24,F1668)&gt;0,1,0),IF(B1668="REGION LOSS",IF(COUNTIFS('Site Dockets'!$E$7:$E$24,C1668,'Site Dockets'!$C$7:$C$24,F1668)&gt;0,1,0),0))</f>
        <v>0</v>
      </c>
      <c r="L1668" s="15" t="n">
        <f aca="false">IF(J1668=1,0,Inputs!$B$11)</f>
        <v>100</v>
      </c>
      <c r="M1668" s="15" t="n">
        <f aca="false">IF(J1668=1,0,Inputs!$B$12)</f>
        <v>75</v>
      </c>
      <c r="N1668" s="15" t="n">
        <f aca="false">IF(J1668=1,0,IF(OR(AND(OR(B1668="SITE LOSS",B1668="REGION LOSS"),K1668=1),AND(B1668="ROLE COMPROMISE",H1668=C1668)),Inputs!$B$13,Inputs!$B$14))</f>
        <v>10</v>
      </c>
      <c r="O1668" s="15" t="n">
        <f aca="false">IF(J1668=1,0,Inputs!$B$13)</f>
        <v>20</v>
      </c>
      <c r="P1668" s="15" t="n">
        <f aca="false">SUM(M1668:N1668)</f>
        <v>85</v>
      </c>
      <c r="Q1668" s="15" t="n">
        <f aca="false">IF(J1668=1,"",L1668-P1668)</f>
        <v>15</v>
      </c>
      <c r="R1668" s="15" t="n">
        <f aca="false">IF(OR(J1668=1,M1668&lt;=Inputs!$B$12),1,0)</f>
        <v>1</v>
      </c>
      <c r="S1668" s="15" t="n">
        <f aca="false">IF(OR(J1668=1,N1668&lt;=O1668),1,0)</f>
        <v>1</v>
      </c>
      <c r="T1668" s="15" t="str">
        <f aca="false">IF(J1668=1,"OFFLINE",IF(AND(Q1668&gt;=Inputs!$B$15,R1668=1,S1668=1,P1668&lt;=L1668),"PASS","FAIL"))</f>
        <v>PASS</v>
      </c>
    </row>
    <row r="1669" customFormat="false" ht="15" hidden="false" customHeight="false" outlineLevel="0" collapsed="false">
      <c r="A1669" s="14" t="s">
        <v>1034</v>
      </c>
      <c r="B1669" s="14" t="s">
        <v>1019</v>
      </c>
      <c r="C1669" s="14" t="s">
        <v>198</v>
      </c>
      <c r="D1669" s="14" t="s">
        <v>178</v>
      </c>
      <c r="E1669" s="14" t="s">
        <v>169</v>
      </c>
      <c r="F1669" s="14" t="s">
        <v>175</v>
      </c>
      <c r="G1669" s="14" t="n">
        <v>2</v>
      </c>
      <c r="H1669" s="14" t="s">
        <v>153</v>
      </c>
      <c r="I1669" s="14" t="s">
        <v>890</v>
      </c>
      <c r="J1669" s="15" t="n">
        <f aca="false">IF(B1669="SITE LOSS",IF(D1669=C1669,1,0),IF(B1669="REGION LOSS",IF(E1669=C1669,1,0),0))</f>
        <v>0</v>
      </c>
      <c r="K1669" s="15" t="n">
        <f aca="false">IF(B1669="SITE LOSS",IF(COUNTIFS('Site Dockets'!$B$7:$B$24,C1669,'Site Dockets'!$C$7:$C$24,F1669)&gt;0,1,0),IF(B1669="REGION LOSS",IF(COUNTIFS('Site Dockets'!$E$7:$E$24,C1669,'Site Dockets'!$C$7:$C$24,F1669)&gt;0,1,0),0))</f>
        <v>0</v>
      </c>
      <c r="L1669" s="15" t="n">
        <f aca="false">IF(J1669=1,0,Inputs!$B$11)</f>
        <v>100</v>
      </c>
      <c r="M1669" s="15" t="n">
        <f aca="false">IF(J1669=1,0,Inputs!$B$12)</f>
        <v>75</v>
      </c>
      <c r="N1669" s="15" t="n">
        <f aca="false">IF(J1669=1,0,IF(OR(AND(OR(B1669="SITE LOSS",B1669="REGION LOSS"),K1669=1),AND(B1669="ROLE COMPROMISE",H1669=C1669)),Inputs!$B$13,Inputs!$B$14))</f>
        <v>10</v>
      </c>
      <c r="O1669" s="15" t="n">
        <f aca="false">IF(J1669=1,0,Inputs!$B$13)</f>
        <v>20</v>
      </c>
      <c r="P1669" s="15" t="n">
        <f aca="false">SUM(M1669:N1669)</f>
        <v>85</v>
      </c>
      <c r="Q1669" s="15" t="n">
        <f aca="false">IF(J1669=1,"",L1669-P1669)</f>
        <v>15</v>
      </c>
      <c r="R1669" s="15" t="n">
        <f aca="false">IF(OR(J1669=1,M1669&lt;=Inputs!$B$12),1,0)</f>
        <v>1</v>
      </c>
      <c r="S1669" s="15" t="n">
        <f aca="false">IF(OR(J1669=1,N1669&lt;=O1669),1,0)</f>
        <v>1</v>
      </c>
      <c r="T1669" s="15" t="str">
        <f aca="false">IF(J1669=1,"OFFLINE",IF(AND(Q1669&gt;=Inputs!$B$15,R1669=1,S1669=1,P1669&lt;=L1669),"PASS","FAIL"))</f>
        <v>PASS</v>
      </c>
    </row>
    <row r="1670" customFormat="false" ht="15" hidden="false" customHeight="false" outlineLevel="0" collapsed="false">
      <c r="A1670" s="14" t="s">
        <v>1034</v>
      </c>
      <c r="B1670" s="14" t="s">
        <v>1019</v>
      </c>
      <c r="C1670" s="14" t="s">
        <v>198</v>
      </c>
      <c r="D1670" s="14" t="s">
        <v>178</v>
      </c>
      <c r="E1670" s="14" t="s">
        <v>169</v>
      </c>
      <c r="F1670" s="14" t="s">
        <v>175</v>
      </c>
      <c r="G1670" s="14" t="n">
        <v>2</v>
      </c>
      <c r="H1670" s="14" t="s">
        <v>153</v>
      </c>
      <c r="I1670" s="14" t="s">
        <v>892</v>
      </c>
      <c r="J1670" s="15" t="n">
        <f aca="false">IF(B1670="SITE LOSS",IF(D1670=C1670,1,0),IF(B1670="REGION LOSS",IF(E1670=C1670,1,0),0))</f>
        <v>0</v>
      </c>
      <c r="K1670" s="15" t="n">
        <f aca="false">IF(B1670="SITE LOSS",IF(COUNTIFS('Site Dockets'!$B$7:$B$24,C1670,'Site Dockets'!$C$7:$C$24,F1670)&gt;0,1,0),IF(B1670="REGION LOSS",IF(COUNTIFS('Site Dockets'!$E$7:$E$24,C1670,'Site Dockets'!$C$7:$C$24,F1670)&gt;0,1,0),0))</f>
        <v>0</v>
      </c>
      <c r="L1670" s="15" t="n">
        <f aca="false">IF(J1670=1,0,Inputs!$B$11)</f>
        <v>100</v>
      </c>
      <c r="M1670" s="15" t="n">
        <f aca="false">IF(J1670=1,0,Inputs!$B$12)</f>
        <v>75</v>
      </c>
      <c r="N1670" s="15" t="n">
        <f aca="false">IF(J1670=1,0,IF(OR(AND(OR(B1670="SITE LOSS",B1670="REGION LOSS"),K1670=1),AND(B1670="ROLE COMPROMISE",H1670=C1670)),Inputs!$B$13,Inputs!$B$14))</f>
        <v>10</v>
      </c>
      <c r="O1670" s="15" t="n">
        <f aca="false">IF(J1670=1,0,Inputs!$B$13)</f>
        <v>20</v>
      </c>
      <c r="P1670" s="15" t="n">
        <f aca="false">SUM(M1670:N1670)</f>
        <v>85</v>
      </c>
      <c r="Q1670" s="15" t="n">
        <f aca="false">IF(J1670=1,"",L1670-P1670)</f>
        <v>15</v>
      </c>
      <c r="R1670" s="15" t="n">
        <f aca="false">IF(OR(J1670=1,M1670&lt;=Inputs!$B$12),1,0)</f>
        <v>1</v>
      </c>
      <c r="S1670" s="15" t="n">
        <f aca="false">IF(OR(J1670=1,N1670&lt;=O1670),1,0)</f>
        <v>1</v>
      </c>
      <c r="T1670" s="15" t="str">
        <f aca="false">IF(J1670=1,"OFFLINE",IF(AND(Q1670&gt;=Inputs!$B$15,R1670=1,S1670=1,P1670&lt;=L1670),"PASS","FAIL"))</f>
        <v>PASS</v>
      </c>
    </row>
    <row r="1671" customFormat="false" ht="15" hidden="false" customHeight="false" outlineLevel="0" collapsed="false">
      <c r="A1671" s="14" t="s">
        <v>1034</v>
      </c>
      <c r="B1671" s="14" t="s">
        <v>1019</v>
      </c>
      <c r="C1671" s="14" t="s">
        <v>198</v>
      </c>
      <c r="D1671" s="14" t="s">
        <v>178</v>
      </c>
      <c r="E1671" s="14" t="s">
        <v>169</v>
      </c>
      <c r="F1671" s="14" t="s">
        <v>175</v>
      </c>
      <c r="G1671" s="14" t="n">
        <v>2</v>
      </c>
      <c r="H1671" s="14" t="s">
        <v>153</v>
      </c>
      <c r="I1671" s="14" t="s">
        <v>811</v>
      </c>
      <c r="J1671" s="15" t="n">
        <f aca="false">IF(B1671="SITE LOSS",IF(D1671=C1671,1,0),IF(B1671="REGION LOSS",IF(E1671=C1671,1,0),0))</f>
        <v>0</v>
      </c>
      <c r="K1671" s="15" t="n">
        <f aca="false">IF(B1671="SITE LOSS",IF(COUNTIFS('Site Dockets'!$B$7:$B$24,C1671,'Site Dockets'!$C$7:$C$24,F1671)&gt;0,1,0),IF(B1671="REGION LOSS",IF(COUNTIFS('Site Dockets'!$E$7:$E$24,C1671,'Site Dockets'!$C$7:$C$24,F1671)&gt;0,1,0),0))</f>
        <v>0</v>
      </c>
      <c r="L1671" s="15" t="n">
        <f aca="false">IF(J1671=1,0,Inputs!$B$11)</f>
        <v>100</v>
      </c>
      <c r="M1671" s="15" t="n">
        <f aca="false">IF(J1671=1,0,Inputs!$B$12)</f>
        <v>75</v>
      </c>
      <c r="N1671" s="15" t="n">
        <f aca="false">IF(J1671=1,0,IF(OR(AND(OR(B1671="SITE LOSS",B1671="REGION LOSS"),K1671=1),AND(B1671="ROLE COMPROMISE",H1671=C1671)),Inputs!$B$13,Inputs!$B$14))</f>
        <v>10</v>
      </c>
      <c r="O1671" s="15" t="n">
        <f aca="false">IF(J1671=1,0,Inputs!$B$13)</f>
        <v>20</v>
      </c>
      <c r="P1671" s="15" t="n">
        <f aca="false">SUM(M1671:N1671)</f>
        <v>85</v>
      </c>
      <c r="Q1671" s="15" t="n">
        <f aca="false">IF(J1671=1,"",L1671-P1671)</f>
        <v>15</v>
      </c>
      <c r="R1671" s="15" t="n">
        <f aca="false">IF(OR(J1671=1,M1671&lt;=Inputs!$B$12),1,0)</f>
        <v>1</v>
      </c>
      <c r="S1671" s="15" t="n">
        <f aca="false">IF(OR(J1671=1,N1671&lt;=O1671),1,0)</f>
        <v>1</v>
      </c>
      <c r="T1671" s="15" t="str">
        <f aca="false">IF(J1671=1,"OFFLINE",IF(AND(Q1671&gt;=Inputs!$B$15,R1671=1,S1671=1,P1671&lt;=L1671),"PASS","FAIL"))</f>
        <v>PASS</v>
      </c>
    </row>
    <row r="1672" customFormat="false" ht="15" hidden="false" customHeight="false" outlineLevel="0" collapsed="false">
      <c r="A1672" s="14" t="s">
        <v>1034</v>
      </c>
      <c r="B1672" s="14" t="s">
        <v>1019</v>
      </c>
      <c r="C1672" s="14" t="s">
        <v>198</v>
      </c>
      <c r="D1672" s="14" t="s">
        <v>178</v>
      </c>
      <c r="E1672" s="14" t="s">
        <v>169</v>
      </c>
      <c r="F1672" s="14" t="s">
        <v>175</v>
      </c>
      <c r="G1672" s="14" t="n">
        <v>2</v>
      </c>
      <c r="H1672" s="14" t="s">
        <v>153</v>
      </c>
      <c r="I1672" s="14" t="s">
        <v>895</v>
      </c>
      <c r="J1672" s="15" t="n">
        <f aca="false">IF(B1672="SITE LOSS",IF(D1672=C1672,1,0),IF(B1672="REGION LOSS",IF(E1672=C1672,1,0),0))</f>
        <v>0</v>
      </c>
      <c r="K1672" s="15" t="n">
        <f aca="false">IF(B1672="SITE LOSS",IF(COUNTIFS('Site Dockets'!$B$7:$B$24,C1672,'Site Dockets'!$C$7:$C$24,F1672)&gt;0,1,0),IF(B1672="REGION LOSS",IF(COUNTIFS('Site Dockets'!$E$7:$E$24,C1672,'Site Dockets'!$C$7:$C$24,F1672)&gt;0,1,0),0))</f>
        <v>0</v>
      </c>
      <c r="L1672" s="15" t="n">
        <f aca="false">IF(J1672=1,0,Inputs!$B$11)</f>
        <v>100</v>
      </c>
      <c r="M1672" s="15" t="n">
        <f aca="false">IF(J1672=1,0,Inputs!$B$12)</f>
        <v>75</v>
      </c>
      <c r="N1672" s="15" t="n">
        <f aca="false">IF(J1672=1,0,IF(OR(AND(OR(B1672="SITE LOSS",B1672="REGION LOSS"),K1672=1),AND(B1672="ROLE COMPROMISE",H1672=C1672)),Inputs!$B$13,Inputs!$B$14))</f>
        <v>10</v>
      </c>
      <c r="O1672" s="15" t="n">
        <f aca="false">IF(J1672=1,0,Inputs!$B$13)</f>
        <v>20</v>
      </c>
      <c r="P1672" s="15" t="n">
        <f aca="false">SUM(M1672:N1672)</f>
        <v>85</v>
      </c>
      <c r="Q1672" s="15" t="n">
        <f aca="false">IF(J1672=1,"",L1672-P1672)</f>
        <v>15</v>
      </c>
      <c r="R1672" s="15" t="n">
        <f aca="false">IF(OR(J1672=1,M1672&lt;=Inputs!$B$12),1,0)</f>
        <v>1</v>
      </c>
      <c r="S1672" s="15" t="n">
        <f aca="false">IF(OR(J1672=1,N1672&lt;=O1672),1,0)</f>
        <v>1</v>
      </c>
      <c r="T1672" s="15" t="str">
        <f aca="false">IF(J1672=1,"OFFLINE",IF(AND(Q1672&gt;=Inputs!$B$15,R1672=1,S1672=1,P1672&lt;=L1672),"PASS","FAIL"))</f>
        <v>PASS</v>
      </c>
    </row>
    <row r="1673" customFormat="false" ht="15" hidden="false" customHeight="false" outlineLevel="0" collapsed="false">
      <c r="A1673" s="14" t="s">
        <v>1034</v>
      </c>
      <c r="B1673" s="14" t="s">
        <v>1019</v>
      </c>
      <c r="C1673" s="14" t="s">
        <v>198</v>
      </c>
      <c r="D1673" s="14" t="s">
        <v>178</v>
      </c>
      <c r="E1673" s="14" t="s">
        <v>169</v>
      </c>
      <c r="F1673" s="14" t="s">
        <v>175</v>
      </c>
      <c r="G1673" s="14" t="n">
        <v>2</v>
      </c>
      <c r="H1673" s="14" t="s">
        <v>153</v>
      </c>
      <c r="I1673" s="14" t="s">
        <v>897</v>
      </c>
      <c r="J1673" s="15" t="n">
        <f aca="false">IF(B1673="SITE LOSS",IF(D1673=C1673,1,0),IF(B1673="REGION LOSS",IF(E1673=C1673,1,0),0))</f>
        <v>0</v>
      </c>
      <c r="K1673" s="15" t="n">
        <f aca="false">IF(B1673="SITE LOSS",IF(COUNTIFS('Site Dockets'!$B$7:$B$24,C1673,'Site Dockets'!$C$7:$C$24,F1673)&gt;0,1,0),IF(B1673="REGION LOSS",IF(COUNTIFS('Site Dockets'!$E$7:$E$24,C1673,'Site Dockets'!$C$7:$C$24,F1673)&gt;0,1,0),0))</f>
        <v>0</v>
      </c>
      <c r="L1673" s="15" t="n">
        <f aca="false">IF(J1673=1,0,Inputs!$B$11)</f>
        <v>100</v>
      </c>
      <c r="M1673" s="15" t="n">
        <f aca="false">IF(J1673=1,0,Inputs!$B$12)</f>
        <v>75</v>
      </c>
      <c r="N1673" s="15" t="n">
        <f aca="false">IF(J1673=1,0,IF(OR(AND(OR(B1673="SITE LOSS",B1673="REGION LOSS"),K1673=1),AND(B1673="ROLE COMPROMISE",H1673=C1673)),Inputs!$B$13,Inputs!$B$14))</f>
        <v>10</v>
      </c>
      <c r="O1673" s="15" t="n">
        <f aca="false">IF(J1673=1,0,Inputs!$B$13)</f>
        <v>20</v>
      </c>
      <c r="P1673" s="15" t="n">
        <f aca="false">SUM(M1673:N1673)</f>
        <v>85</v>
      </c>
      <c r="Q1673" s="15" t="n">
        <f aca="false">IF(J1673=1,"",L1673-P1673)</f>
        <v>15</v>
      </c>
      <c r="R1673" s="15" t="n">
        <f aca="false">IF(OR(J1673=1,M1673&lt;=Inputs!$B$12),1,0)</f>
        <v>1</v>
      </c>
      <c r="S1673" s="15" t="n">
        <f aca="false">IF(OR(J1673=1,N1673&lt;=O1673),1,0)</f>
        <v>1</v>
      </c>
      <c r="T1673" s="15" t="str">
        <f aca="false">IF(J1673=1,"OFFLINE",IF(AND(Q1673&gt;=Inputs!$B$15,R1673=1,S1673=1,P1673&lt;=L1673),"PASS","FAIL"))</f>
        <v>PASS</v>
      </c>
    </row>
    <row r="1674" customFormat="false" ht="15" hidden="false" customHeight="false" outlineLevel="0" collapsed="false">
      <c r="A1674" s="14" t="s">
        <v>1034</v>
      </c>
      <c r="B1674" s="14" t="s">
        <v>1019</v>
      </c>
      <c r="C1674" s="14" t="s">
        <v>198</v>
      </c>
      <c r="D1674" s="14" t="s">
        <v>178</v>
      </c>
      <c r="E1674" s="14" t="s">
        <v>169</v>
      </c>
      <c r="F1674" s="14" t="s">
        <v>175</v>
      </c>
      <c r="G1674" s="14" t="n">
        <v>2</v>
      </c>
      <c r="H1674" s="14" t="s">
        <v>153</v>
      </c>
      <c r="I1674" s="14" t="s">
        <v>899</v>
      </c>
      <c r="J1674" s="15" t="n">
        <f aca="false">IF(B1674="SITE LOSS",IF(D1674=C1674,1,0),IF(B1674="REGION LOSS",IF(E1674=C1674,1,0),0))</f>
        <v>0</v>
      </c>
      <c r="K1674" s="15" t="n">
        <f aca="false">IF(B1674="SITE LOSS",IF(COUNTIFS('Site Dockets'!$B$7:$B$24,C1674,'Site Dockets'!$C$7:$C$24,F1674)&gt;0,1,0),IF(B1674="REGION LOSS",IF(COUNTIFS('Site Dockets'!$E$7:$E$24,C1674,'Site Dockets'!$C$7:$C$24,F1674)&gt;0,1,0),0))</f>
        <v>0</v>
      </c>
      <c r="L1674" s="15" t="n">
        <f aca="false">IF(J1674=1,0,Inputs!$B$11)</f>
        <v>100</v>
      </c>
      <c r="M1674" s="15" t="n">
        <f aca="false">IF(J1674=1,0,Inputs!$B$12)</f>
        <v>75</v>
      </c>
      <c r="N1674" s="15" t="n">
        <f aca="false">IF(J1674=1,0,IF(OR(AND(OR(B1674="SITE LOSS",B1674="REGION LOSS"),K1674=1),AND(B1674="ROLE COMPROMISE",H1674=C1674)),Inputs!$B$13,Inputs!$B$14))</f>
        <v>10</v>
      </c>
      <c r="O1674" s="15" t="n">
        <f aca="false">IF(J1674=1,0,Inputs!$B$13)</f>
        <v>20</v>
      </c>
      <c r="P1674" s="15" t="n">
        <f aca="false">SUM(M1674:N1674)</f>
        <v>85</v>
      </c>
      <c r="Q1674" s="15" t="n">
        <f aca="false">IF(J1674=1,"",L1674-P1674)</f>
        <v>15</v>
      </c>
      <c r="R1674" s="15" t="n">
        <f aca="false">IF(OR(J1674=1,M1674&lt;=Inputs!$B$12),1,0)</f>
        <v>1</v>
      </c>
      <c r="S1674" s="15" t="n">
        <f aca="false">IF(OR(J1674=1,N1674&lt;=O1674),1,0)</f>
        <v>1</v>
      </c>
      <c r="T1674" s="15" t="str">
        <f aca="false">IF(J1674=1,"OFFLINE",IF(AND(Q1674&gt;=Inputs!$B$15,R1674=1,S1674=1,P1674&lt;=L1674),"PASS","FAIL"))</f>
        <v>PASS</v>
      </c>
    </row>
    <row r="1675" customFormat="false" ht="15" hidden="false" customHeight="false" outlineLevel="0" collapsed="false">
      <c r="A1675" s="14" t="s">
        <v>1034</v>
      </c>
      <c r="B1675" s="14" t="s">
        <v>1019</v>
      </c>
      <c r="C1675" s="14" t="s">
        <v>198</v>
      </c>
      <c r="D1675" s="14" t="s">
        <v>180</v>
      </c>
      <c r="E1675" s="14" t="s">
        <v>161</v>
      </c>
      <c r="F1675" s="14" t="s">
        <v>175</v>
      </c>
      <c r="G1675" s="14" t="n">
        <v>3</v>
      </c>
      <c r="H1675" s="14" t="s">
        <v>158</v>
      </c>
      <c r="I1675" s="14" t="s">
        <v>890</v>
      </c>
      <c r="J1675" s="15" t="n">
        <f aca="false">IF(B1675="SITE LOSS",IF(D1675=C1675,1,0),IF(B1675="REGION LOSS",IF(E1675=C1675,1,0),0))</f>
        <v>0</v>
      </c>
      <c r="K1675" s="15" t="n">
        <f aca="false">IF(B1675="SITE LOSS",IF(COUNTIFS('Site Dockets'!$B$7:$B$24,C1675,'Site Dockets'!$C$7:$C$24,F1675)&gt;0,1,0),IF(B1675="REGION LOSS",IF(COUNTIFS('Site Dockets'!$E$7:$E$24,C1675,'Site Dockets'!$C$7:$C$24,F1675)&gt;0,1,0),0))</f>
        <v>0</v>
      </c>
      <c r="L1675" s="15" t="n">
        <f aca="false">IF(J1675=1,0,Inputs!$B$11)</f>
        <v>100</v>
      </c>
      <c r="M1675" s="15" t="n">
        <f aca="false">IF(J1675=1,0,Inputs!$B$12)</f>
        <v>75</v>
      </c>
      <c r="N1675" s="15" t="n">
        <f aca="false">IF(J1675=1,0,IF(OR(AND(OR(B1675="SITE LOSS",B1675="REGION LOSS"),K1675=1),AND(B1675="ROLE COMPROMISE",H1675=C1675)),Inputs!$B$13,Inputs!$B$14))</f>
        <v>10</v>
      </c>
      <c r="O1675" s="15" t="n">
        <f aca="false">IF(J1675=1,0,Inputs!$B$13)</f>
        <v>20</v>
      </c>
      <c r="P1675" s="15" t="n">
        <f aca="false">SUM(M1675:N1675)</f>
        <v>85</v>
      </c>
      <c r="Q1675" s="15" t="n">
        <f aca="false">IF(J1675=1,"",L1675-P1675)</f>
        <v>15</v>
      </c>
      <c r="R1675" s="15" t="n">
        <f aca="false">IF(OR(J1675=1,M1675&lt;=Inputs!$B$12),1,0)</f>
        <v>1</v>
      </c>
      <c r="S1675" s="15" t="n">
        <f aca="false">IF(OR(J1675=1,N1675&lt;=O1675),1,0)</f>
        <v>1</v>
      </c>
      <c r="T1675" s="15" t="str">
        <f aca="false">IF(J1675=1,"OFFLINE",IF(AND(Q1675&gt;=Inputs!$B$15,R1675=1,S1675=1,P1675&lt;=L1675),"PASS","FAIL"))</f>
        <v>PASS</v>
      </c>
    </row>
    <row r="1676" customFormat="false" ht="15" hidden="false" customHeight="false" outlineLevel="0" collapsed="false">
      <c r="A1676" s="14" t="s">
        <v>1034</v>
      </c>
      <c r="B1676" s="14" t="s">
        <v>1019</v>
      </c>
      <c r="C1676" s="14" t="s">
        <v>198</v>
      </c>
      <c r="D1676" s="14" t="s">
        <v>180</v>
      </c>
      <c r="E1676" s="14" t="s">
        <v>161</v>
      </c>
      <c r="F1676" s="14" t="s">
        <v>175</v>
      </c>
      <c r="G1676" s="14" t="n">
        <v>3</v>
      </c>
      <c r="H1676" s="14" t="s">
        <v>158</v>
      </c>
      <c r="I1676" s="14" t="s">
        <v>892</v>
      </c>
      <c r="J1676" s="15" t="n">
        <f aca="false">IF(B1676="SITE LOSS",IF(D1676=C1676,1,0),IF(B1676="REGION LOSS",IF(E1676=C1676,1,0),0))</f>
        <v>0</v>
      </c>
      <c r="K1676" s="15" t="n">
        <f aca="false">IF(B1676="SITE LOSS",IF(COUNTIFS('Site Dockets'!$B$7:$B$24,C1676,'Site Dockets'!$C$7:$C$24,F1676)&gt;0,1,0),IF(B1676="REGION LOSS",IF(COUNTIFS('Site Dockets'!$E$7:$E$24,C1676,'Site Dockets'!$C$7:$C$24,F1676)&gt;0,1,0),0))</f>
        <v>0</v>
      </c>
      <c r="L1676" s="15" t="n">
        <f aca="false">IF(J1676=1,0,Inputs!$B$11)</f>
        <v>100</v>
      </c>
      <c r="M1676" s="15" t="n">
        <f aca="false">IF(J1676=1,0,Inputs!$B$12)</f>
        <v>75</v>
      </c>
      <c r="N1676" s="15" t="n">
        <f aca="false">IF(J1676=1,0,IF(OR(AND(OR(B1676="SITE LOSS",B1676="REGION LOSS"),K1676=1),AND(B1676="ROLE COMPROMISE",H1676=C1676)),Inputs!$B$13,Inputs!$B$14))</f>
        <v>10</v>
      </c>
      <c r="O1676" s="15" t="n">
        <f aca="false">IF(J1676=1,0,Inputs!$B$13)</f>
        <v>20</v>
      </c>
      <c r="P1676" s="15" t="n">
        <f aca="false">SUM(M1676:N1676)</f>
        <v>85</v>
      </c>
      <c r="Q1676" s="15" t="n">
        <f aca="false">IF(J1676=1,"",L1676-P1676)</f>
        <v>15</v>
      </c>
      <c r="R1676" s="15" t="n">
        <f aca="false">IF(OR(J1676=1,M1676&lt;=Inputs!$B$12),1,0)</f>
        <v>1</v>
      </c>
      <c r="S1676" s="15" t="n">
        <f aca="false">IF(OR(J1676=1,N1676&lt;=O1676),1,0)</f>
        <v>1</v>
      </c>
      <c r="T1676" s="15" t="str">
        <f aca="false">IF(J1676=1,"OFFLINE",IF(AND(Q1676&gt;=Inputs!$B$15,R1676=1,S1676=1,P1676&lt;=L1676),"PASS","FAIL"))</f>
        <v>PASS</v>
      </c>
    </row>
    <row r="1677" customFormat="false" ht="15" hidden="false" customHeight="false" outlineLevel="0" collapsed="false">
      <c r="A1677" s="14" t="s">
        <v>1034</v>
      </c>
      <c r="B1677" s="14" t="s">
        <v>1019</v>
      </c>
      <c r="C1677" s="14" t="s">
        <v>198</v>
      </c>
      <c r="D1677" s="14" t="s">
        <v>180</v>
      </c>
      <c r="E1677" s="14" t="s">
        <v>161</v>
      </c>
      <c r="F1677" s="14" t="s">
        <v>175</v>
      </c>
      <c r="G1677" s="14" t="n">
        <v>3</v>
      </c>
      <c r="H1677" s="14" t="s">
        <v>158</v>
      </c>
      <c r="I1677" s="14" t="s">
        <v>811</v>
      </c>
      <c r="J1677" s="15" t="n">
        <f aca="false">IF(B1677="SITE LOSS",IF(D1677=C1677,1,0),IF(B1677="REGION LOSS",IF(E1677=C1677,1,0),0))</f>
        <v>0</v>
      </c>
      <c r="K1677" s="15" t="n">
        <f aca="false">IF(B1677="SITE LOSS",IF(COUNTIFS('Site Dockets'!$B$7:$B$24,C1677,'Site Dockets'!$C$7:$C$24,F1677)&gt;0,1,0),IF(B1677="REGION LOSS",IF(COUNTIFS('Site Dockets'!$E$7:$E$24,C1677,'Site Dockets'!$C$7:$C$24,F1677)&gt;0,1,0),0))</f>
        <v>0</v>
      </c>
      <c r="L1677" s="15" t="n">
        <f aca="false">IF(J1677=1,0,Inputs!$B$11)</f>
        <v>100</v>
      </c>
      <c r="M1677" s="15" t="n">
        <f aca="false">IF(J1677=1,0,Inputs!$B$12)</f>
        <v>75</v>
      </c>
      <c r="N1677" s="15" t="n">
        <f aca="false">IF(J1677=1,0,IF(OR(AND(OR(B1677="SITE LOSS",B1677="REGION LOSS"),K1677=1),AND(B1677="ROLE COMPROMISE",H1677=C1677)),Inputs!$B$13,Inputs!$B$14))</f>
        <v>10</v>
      </c>
      <c r="O1677" s="15" t="n">
        <f aca="false">IF(J1677=1,0,Inputs!$B$13)</f>
        <v>20</v>
      </c>
      <c r="P1677" s="15" t="n">
        <f aca="false">SUM(M1677:N1677)</f>
        <v>85</v>
      </c>
      <c r="Q1677" s="15" t="n">
        <f aca="false">IF(J1677=1,"",L1677-P1677)</f>
        <v>15</v>
      </c>
      <c r="R1677" s="15" t="n">
        <f aca="false">IF(OR(J1677=1,M1677&lt;=Inputs!$B$12),1,0)</f>
        <v>1</v>
      </c>
      <c r="S1677" s="15" t="n">
        <f aca="false">IF(OR(J1677=1,N1677&lt;=O1677),1,0)</f>
        <v>1</v>
      </c>
      <c r="T1677" s="15" t="str">
        <f aca="false">IF(J1677=1,"OFFLINE",IF(AND(Q1677&gt;=Inputs!$B$15,R1677=1,S1677=1,P1677&lt;=L1677),"PASS","FAIL"))</f>
        <v>PASS</v>
      </c>
    </row>
    <row r="1678" customFormat="false" ht="15" hidden="false" customHeight="false" outlineLevel="0" collapsed="false">
      <c r="A1678" s="14" t="s">
        <v>1034</v>
      </c>
      <c r="B1678" s="14" t="s">
        <v>1019</v>
      </c>
      <c r="C1678" s="14" t="s">
        <v>198</v>
      </c>
      <c r="D1678" s="14" t="s">
        <v>180</v>
      </c>
      <c r="E1678" s="14" t="s">
        <v>161</v>
      </c>
      <c r="F1678" s="14" t="s">
        <v>175</v>
      </c>
      <c r="G1678" s="14" t="n">
        <v>3</v>
      </c>
      <c r="H1678" s="14" t="s">
        <v>158</v>
      </c>
      <c r="I1678" s="14" t="s">
        <v>895</v>
      </c>
      <c r="J1678" s="15" t="n">
        <f aca="false">IF(B1678="SITE LOSS",IF(D1678=C1678,1,0),IF(B1678="REGION LOSS",IF(E1678=C1678,1,0),0))</f>
        <v>0</v>
      </c>
      <c r="K1678" s="15" t="n">
        <f aca="false">IF(B1678="SITE LOSS",IF(COUNTIFS('Site Dockets'!$B$7:$B$24,C1678,'Site Dockets'!$C$7:$C$24,F1678)&gt;0,1,0),IF(B1678="REGION LOSS",IF(COUNTIFS('Site Dockets'!$E$7:$E$24,C1678,'Site Dockets'!$C$7:$C$24,F1678)&gt;0,1,0),0))</f>
        <v>0</v>
      </c>
      <c r="L1678" s="15" t="n">
        <f aca="false">IF(J1678=1,0,Inputs!$B$11)</f>
        <v>100</v>
      </c>
      <c r="M1678" s="15" t="n">
        <f aca="false">IF(J1678=1,0,Inputs!$B$12)</f>
        <v>75</v>
      </c>
      <c r="N1678" s="15" t="n">
        <f aca="false">IF(J1678=1,0,IF(OR(AND(OR(B1678="SITE LOSS",B1678="REGION LOSS"),K1678=1),AND(B1678="ROLE COMPROMISE",H1678=C1678)),Inputs!$B$13,Inputs!$B$14))</f>
        <v>10</v>
      </c>
      <c r="O1678" s="15" t="n">
        <f aca="false">IF(J1678=1,0,Inputs!$B$13)</f>
        <v>20</v>
      </c>
      <c r="P1678" s="15" t="n">
        <f aca="false">SUM(M1678:N1678)</f>
        <v>85</v>
      </c>
      <c r="Q1678" s="15" t="n">
        <f aca="false">IF(J1678=1,"",L1678-P1678)</f>
        <v>15</v>
      </c>
      <c r="R1678" s="15" t="n">
        <f aca="false">IF(OR(J1678=1,M1678&lt;=Inputs!$B$12),1,0)</f>
        <v>1</v>
      </c>
      <c r="S1678" s="15" t="n">
        <f aca="false">IF(OR(J1678=1,N1678&lt;=O1678),1,0)</f>
        <v>1</v>
      </c>
      <c r="T1678" s="15" t="str">
        <f aca="false">IF(J1678=1,"OFFLINE",IF(AND(Q1678&gt;=Inputs!$B$15,R1678=1,S1678=1,P1678&lt;=L1678),"PASS","FAIL"))</f>
        <v>PASS</v>
      </c>
    </row>
    <row r="1679" customFormat="false" ht="15" hidden="false" customHeight="false" outlineLevel="0" collapsed="false">
      <c r="A1679" s="14" t="s">
        <v>1034</v>
      </c>
      <c r="B1679" s="14" t="s">
        <v>1019</v>
      </c>
      <c r="C1679" s="14" t="s">
        <v>198</v>
      </c>
      <c r="D1679" s="14" t="s">
        <v>180</v>
      </c>
      <c r="E1679" s="14" t="s">
        <v>161</v>
      </c>
      <c r="F1679" s="14" t="s">
        <v>175</v>
      </c>
      <c r="G1679" s="14" t="n">
        <v>3</v>
      </c>
      <c r="H1679" s="14" t="s">
        <v>158</v>
      </c>
      <c r="I1679" s="14" t="s">
        <v>897</v>
      </c>
      <c r="J1679" s="15" t="n">
        <f aca="false">IF(B1679="SITE LOSS",IF(D1679=C1679,1,0),IF(B1679="REGION LOSS",IF(E1679=C1679,1,0),0))</f>
        <v>0</v>
      </c>
      <c r="K1679" s="15" t="n">
        <f aca="false">IF(B1679="SITE LOSS",IF(COUNTIFS('Site Dockets'!$B$7:$B$24,C1679,'Site Dockets'!$C$7:$C$24,F1679)&gt;0,1,0),IF(B1679="REGION LOSS",IF(COUNTIFS('Site Dockets'!$E$7:$E$24,C1679,'Site Dockets'!$C$7:$C$24,F1679)&gt;0,1,0),0))</f>
        <v>0</v>
      </c>
      <c r="L1679" s="15" t="n">
        <f aca="false">IF(J1679=1,0,Inputs!$B$11)</f>
        <v>100</v>
      </c>
      <c r="M1679" s="15" t="n">
        <f aca="false">IF(J1679=1,0,Inputs!$B$12)</f>
        <v>75</v>
      </c>
      <c r="N1679" s="15" t="n">
        <f aca="false">IF(J1679=1,0,IF(OR(AND(OR(B1679="SITE LOSS",B1679="REGION LOSS"),K1679=1),AND(B1679="ROLE COMPROMISE",H1679=C1679)),Inputs!$B$13,Inputs!$B$14))</f>
        <v>10</v>
      </c>
      <c r="O1679" s="15" t="n">
        <f aca="false">IF(J1679=1,0,Inputs!$B$13)</f>
        <v>20</v>
      </c>
      <c r="P1679" s="15" t="n">
        <f aca="false">SUM(M1679:N1679)</f>
        <v>85</v>
      </c>
      <c r="Q1679" s="15" t="n">
        <f aca="false">IF(J1679=1,"",L1679-P1679)</f>
        <v>15</v>
      </c>
      <c r="R1679" s="15" t="n">
        <f aca="false">IF(OR(J1679=1,M1679&lt;=Inputs!$B$12),1,0)</f>
        <v>1</v>
      </c>
      <c r="S1679" s="15" t="n">
        <f aca="false">IF(OR(J1679=1,N1679&lt;=O1679),1,0)</f>
        <v>1</v>
      </c>
      <c r="T1679" s="15" t="str">
        <f aca="false">IF(J1679=1,"OFFLINE",IF(AND(Q1679&gt;=Inputs!$B$15,R1679=1,S1679=1,P1679&lt;=L1679),"PASS","FAIL"))</f>
        <v>PASS</v>
      </c>
    </row>
    <row r="1680" customFormat="false" ht="15" hidden="false" customHeight="false" outlineLevel="0" collapsed="false">
      <c r="A1680" s="14" t="s">
        <v>1034</v>
      </c>
      <c r="B1680" s="14" t="s">
        <v>1019</v>
      </c>
      <c r="C1680" s="14" t="s">
        <v>198</v>
      </c>
      <c r="D1680" s="14" t="s">
        <v>180</v>
      </c>
      <c r="E1680" s="14" t="s">
        <v>161</v>
      </c>
      <c r="F1680" s="14" t="s">
        <v>175</v>
      </c>
      <c r="G1680" s="14" t="n">
        <v>3</v>
      </c>
      <c r="H1680" s="14" t="s">
        <v>158</v>
      </c>
      <c r="I1680" s="14" t="s">
        <v>899</v>
      </c>
      <c r="J1680" s="15" t="n">
        <f aca="false">IF(B1680="SITE LOSS",IF(D1680=C1680,1,0),IF(B1680="REGION LOSS",IF(E1680=C1680,1,0),0))</f>
        <v>0</v>
      </c>
      <c r="K1680" s="15" t="n">
        <f aca="false">IF(B1680="SITE LOSS",IF(COUNTIFS('Site Dockets'!$B$7:$B$24,C1680,'Site Dockets'!$C$7:$C$24,F1680)&gt;0,1,0),IF(B1680="REGION LOSS",IF(COUNTIFS('Site Dockets'!$E$7:$E$24,C1680,'Site Dockets'!$C$7:$C$24,F1680)&gt;0,1,0),0))</f>
        <v>0</v>
      </c>
      <c r="L1680" s="15" t="n">
        <f aca="false">IF(J1680=1,0,Inputs!$B$11)</f>
        <v>100</v>
      </c>
      <c r="M1680" s="15" t="n">
        <f aca="false">IF(J1680=1,0,Inputs!$B$12)</f>
        <v>75</v>
      </c>
      <c r="N1680" s="15" t="n">
        <f aca="false">IF(J1680=1,0,IF(OR(AND(OR(B1680="SITE LOSS",B1680="REGION LOSS"),K1680=1),AND(B1680="ROLE COMPROMISE",H1680=C1680)),Inputs!$B$13,Inputs!$B$14))</f>
        <v>10</v>
      </c>
      <c r="O1680" s="15" t="n">
        <f aca="false">IF(J1680=1,0,Inputs!$B$13)</f>
        <v>20</v>
      </c>
      <c r="P1680" s="15" t="n">
        <f aca="false">SUM(M1680:N1680)</f>
        <v>85</v>
      </c>
      <c r="Q1680" s="15" t="n">
        <f aca="false">IF(J1680=1,"",L1680-P1680)</f>
        <v>15</v>
      </c>
      <c r="R1680" s="15" t="n">
        <f aca="false">IF(OR(J1680=1,M1680&lt;=Inputs!$B$12),1,0)</f>
        <v>1</v>
      </c>
      <c r="S1680" s="15" t="n">
        <f aca="false">IF(OR(J1680=1,N1680&lt;=O1680),1,0)</f>
        <v>1</v>
      </c>
      <c r="T1680" s="15" t="str">
        <f aca="false">IF(J1680=1,"OFFLINE",IF(AND(Q1680&gt;=Inputs!$B$15,R1680=1,S1680=1,P1680&lt;=L1680),"PASS","FAIL"))</f>
        <v>PASS</v>
      </c>
    </row>
    <row r="1681" customFormat="false" ht="15" hidden="false" customHeight="false" outlineLevel="0" collapsed="false">
      <c r="A1681" s="14" t="s">
        <v>1034</v>
      </c>
      <c r="B1681" s="14" t="s">
        <v>1019</v>
      </c>
      <c r="C1681" s="14" t="s">
        <v>198</v>
      </c>
      <c r="D1681" s="14" t="s">
        <v>182</v>
      </c>
      <c r="E1681" s="14" t="s">
        <v>166</v>
      </c>
      <c r="F1681" s="14" t="s">
        <v>183</v>
      </c>
      <c r="G1681" s="14" t="n">
        <v>1</v>
      </c>
      <c r="H1681" s="14" t="s">
        <v>154</v>
      </c>
      <c r="I1681" s="14" t="s">
        <v>890</v>
      </c>
      <c r="J1681" s="15" t="n">
        <f aca="false">IF(B1681="SITE LOSS",IF(D1681=C1681,1,0),IF(B1681="REGION LOSS",IF(E1681=C1681,1,0),0))</f>
        <v>0</v>
      </c>
      <c r="K1681" s="15" t="n">
        <f aca="false">IF(B1681="SITE LOSS",IF(COUNTIFS('Site Dockets'!$B$7:$B$24,C1681,'Site Dockets'!$C$7:$C$24,F1681)&gt;0,1,0),IF(B1681="REGION LOSS",IF(COUNTIFS('Site Dockets'!$E$7:$E$24,C1681,'Site Dockets'!$C$7:$C$24,F1681)&gt;0,1,0),0))</f>
        <v>0</v>
      </c>
      <c r="L1681" s="15" t="n">
        <f aca="false">IF(J1681=1,0,Inputs!$B$11)</f>
        <v>100</v>
      </c>
      <c r="M1681" s="15" t="n">
        <f aca="false">IF(J1681=1,0,Inputs!$B$12)</f>
        <v>75</v>
      </c>
      <c r="N1681" s="15" t="n">
        <f aca="false">IF(J1681=1,0,IF(OR(AND(OR(B1681="SITE LOSS",B1681="REGION LOSS"),K1681=1),AND(B1681="ROLE COMPROMISE",H1681=C1681)),Inputs!$B$13,Inputs!$B$14))</f>
        <v>10</v>
      </c>
      <c r="O1681" s="15" t="n">
        <f aca="false">IF(J1681=1,0,Inputs!$B$13)</f>
        <v>20</v>
      </c>
      <c r="P1681" s="15" t="n">
        <f aca="false">SUM(M1681:N1681)</f>
        <v>85</v>
      </c>
      <c r="Q1681" s="15" t="n">
        <f aca="false">IF(J1681=1,"",L1681-P1681)</f>
        <v>15</v>
      </c>
      <c r="R1681" s="15" t="n">
        <f aca="false">IF(OR(J1681=1,M1681&lt;=Inputs!$B$12),1,0)</f>
        <v>1</v>
      </c>
      <c r="S1681" s="15" t="n">
        <f aca="false">IF(OR(J1681=1,N1681&lt;=O1681),1,0)</f>
        <v>1</v>
      </c>
      <c r="T1681" s="15" t="str">
        <f aca="false">IF(J1681=1,"OFFLINE",IF(AND(Q1681&gt;=Inputs!$B$15,R1681=1,S1681=1,P1681&lt;=L1681),"PASS","FAIL"))</f>
        <v>PASS</v>
      </c>
    </row>
    <row r="1682" customFormat="false" ht="15" hidden="false" customHeight="false" outlineLevel="0" collapsed="false">
      <c r="A1682" s="14" t="s">
        <v>1034</v>
      </c>
      <c r="B1682" s="14" t="s">
        <v>1019</v>
      </c>
      <c r="C1682" s="14" t="s">
        <v>198</v>
      </c>
      <c r="D1682" s="14" t="s">
        <v>182</v>
      </c>
      <c r="E1682" s="14" t="s">
        <v>166</v>
      </c>
      <c r="F1682" s="14" t="s">
        <v>183</v>
      </c>
      <c r="G1682" s="14" t="n">
        <v>1</v>
      </c>
      <c r="H1682" s="14" t="s">
        <v>154</v>
      </c>
      <c r="I1682" s="14" t="s">
        <v>892</v>
      </c>
      <c r="J1682" s="15" t="n">
        <f aca="false">IF(B1682="SITE LOSS",IF(D1682=C1682,1,0),IF(B1682="REGION LOSS",IF(E1682=C1682,1,0),0))</f>
        <v>0</v>
      </c>
      <c r="K1682" s="15" t="n">
        <f aca="false">IF(B1682="SITE LOSS",IF(COUNTIFS('Site Dockets'!$B$7:$B$24,C1682,'Site Dockets'!$C$7:$C$24,F1682)&gt;0,1,0),IF(B1682="REGION LOSS",IF(COUNTIFS('Site Dockets'!$E$7:$E$24,C1682,'Site Dockets'!$C$7:$C$24,F1682)&gt;0,1,0),0))</f>
        <v>0</v>
      </c>
      <c r="L1682" s="15" t="n">
        <f aca="false">IF(J1682=1,0,Inputs!$B$11)</f>
        <v>100</v>
      </c>
      <c r="M1682" s="15" t="n">
        <f aca="false">IF(J1682=1,0,Inputs!$B$12)</f>
        <v>75</v>
      </c>
      <c r="N1682" s="15" t="n">
        <f aca="false">IF(J1682=1,0,IF(OR(AND(OR(B1682="SITE LOSS",B1682="REGION LOSS"),K1682=1),AND(B1682="ROLE COMPROMISE",H1682=C1682)),Inputs!$B$13,Inputs!$B$14))</f>
        <v>10</v>
      </c>
      <c r="O1682" s="15" t="n">
        <f aca="false">IF(J1682=1,0,Inputs!$B$13)</f>
        <v>20</v>
      </c>
      <c r="P1682" s="15" t="n">
        <f aca="false">SUM(M1682:N1682)</f>
        <v>85</v>
      </c>
      <c r="Q1682" s="15" t="n">
        <f aca="false">IF(J1682=1,"",L1682-P1682)</f>
        <v>15</v>
      </c>
      <c r="R1682" s="15" t="n">
        <f aca="false">IF(OR(J1682=1,M1682&lt;=Inputs!$B$12),1,0)</f>
        <v>1</v>
      </c>
      <c r="S1682" s="15" t="n">
        <f aca="false">IF(OR(J1682=1,N1682&lt;=O1682),1,0)</f>
        <v>1</v>
      </c>
      <c r="T1682" s="15" t="str">
        <f aca="false">IF(J1682=1,"OFFLINE",IF(AND(Q1682&gt;=Inputs!$B$15,R1682=1,S1682=1,P1682&lt;=L1682),"PASS","FAIL"))</f>
        <v>PASS</v>
      </c>
    </row>
    <row r="1683" customFormat="false" ht="15" hidden="false" customHeight="false" outlineLevel="0" collapsed="false">
      <c r="A1683" s="14" t="s">
        <v>1034</v>
      </c>
      <c r="B1683" s="14" t="s">
        <v>1019</v>
      </c>
      <c r="C1683" s="14" t="s">
        <v>198</v>
      </c>
      <c r="D1683" s="14" t="s">
        <v>182</v>
      </c>
      <c r="E1683" s="14" t="s">
        <v>166</v>
      </c>
      <c r="F1683" s="14" t="s">
        <v>183</v>
      </c>
      <c r="G1683" s="14" t="n">
        <v>1</v>
      </c>
      <c r="H1683" s="14" t="s">
        <v>154</v>
      </c>
      <c r="I1683" s="14" t="s">
        <v>811</v>
      </c>
      <c r="J1683" s="15" t="n">
        <f aca="false">IF(B1683="SITE LOSS",IF(D1683=C1683,1,0),IF(B1683="REGION LOSS",IF(E1683=C1683,1,0),0))</f>
        <v>0</v>
      </c>
      <c r="K1683" s="15" t="n">
        <f aca="false">IF(B1683="SITE LOSS",IF(COUNTIFS('Site Dockets'!$B$7:$B$24,C1683,'Site Dockets'!$C$7:$C$24,F1683)&gt;0,1,0),IF(B1683="REGION LOSS",IF(COUNTIFS('Site Dockets'!$E$7:$E$24,C1683,'Site Dockets'!$C$7:$C$24,F1683)&gt;0,1,0),0))</f>
        <v>0</v>
      </c>
      <c r="L1683" s="15" t="n">
        <f aca="false">IF(J1683=1,0,Inputs!$B$11)</f>
        <v>100</v>
      </c>
      <c r="M1683" s="15" t="n">
        <f aca="false">IF(J1683=1,0,Inputs!$B$12)</f>
        <v>75</v>
      </c>
      <c r="N1683" s="15" t="n">
        <f aca="false">IF(J1683=1,0,IF(OR(AND(OR(B1683="SITE LOSS",B1683="REGION LOSS"),K1683=1),AND(B1683="ROLE COMPROMISE",H1683=C1683)),Inputs!$B$13,Inputs!$B$14))</f>
        <v>10</v>
      </c>
      <c r="O1683" s="15" t="n">
        <f aca="false">IF(J1683=1,0,Inputs!$B$13)</f>
        <v>20</v>
      </c>
      <c r="P1683" s="15" t="n">
        <f aca="false">SUM(M1683:N1683)</f>
        <v>85</v>
      </c>
      <c r="Q1683" s="15" t="n">
        <f aca="false">IF(J1683=1,"",L1683-P1683)</f>
        <v>15</v>
      </c>
      <c r="R1683" s="15" t="n">
        <f aca="false">IF(OR(J1683=1,M1683&lt;=Inputs!$B$12),1,0)</f>
        <v>1</v>
      </c>
      <c r="S1683" s="15" t="n">
        <f aca="false">IF(OR(J1683=1,N1683&lt;=O1683),1,0)</f>
        <v>1</v>
      </c>
      <c r="T1683" s="15" t="str">
        <f aca="false">IF(J1683=1,"OFFLINE",IF(AND(Q1683&gt;=Inputs!$B$15,R1683=1,S1683=1,P1683&lt;=L1683),"PASS","FAIL"))</f>
        <v>PASS</v>
      </c>
    </row>
    <row r="1684" customFormat="false" ht="15" hidden="false" customHeight="false" outlineLevel="0" collapsed="false">
      <c r="A1684" s="14" t="s">
        <v>1034</v>
      </c>
      <c r="B1684" s="14" t="s">
        <v>1019</v>
      </c>
      <c r="C1684" s="14" t="s">
        <v>198</v>
      </c>
      <c r="D1684" s="14" t="s">
        <v>182</v>
      </c>
      <c r="E1684" s="14" t="s">
        <v>166</v>
      </c>
      <c r="F1684" s="14" t="s">
        <v>183</v>
      </c>
      <c r="G1684" s="14" t="n">
        <v>1</v>
      </c>
      <c r="H1684" s="14" t="s">
        <v>154</v>
      </c>
      <c r="I1684" s="14" t="s">
        <v>895</v>
      </c>
      <c r="J1684" s="15" t="n">
        <f aca="false">IF(B1684="SITE LOSS",IF(D1684=C1684,1,0),IF(B1684="REGION LOSS",IF(E1684=C1684,1,0),0))</f>
        <v>0</v>
      </c>
      <c r="K1684" s="15" t="n">
        <f aca="false">IF(B1684="SITE LOSS",IF(COUNTIFS('Site Dockets'!$B$7:$B$24,C1684,'Site Dockets'!$C$7:$C$24,F1684)&gt;0,1,0),IF(B1684="REGION LOSS",IF(COUNTIFS('Site Dockets'!$E$7:$E$24,C1684,'Site Dockets'!$C$7:$C$24,F1684)&gt;0,1,0),0))</f>
        <v>0</v>
      </c>
      <c r="L1684" s="15" t="n">
        <f aca="false">IF(J1684=1,0,Inputs!$B$11)</f>
        <v>100</v>
      </c>
      <c r="M1684" s="15" t="n">
        <f aca="false">IF(J1684=1,0,Inputs!$B$12)</f>
        <v>75</v>
      </c>
      <c r="N1684" s="15" t="n">
        <f aca="false">IF(J1684=1,0,IF(OR(AND(OR(B1684="SITE LOSS",B1684="REGION LOSS"),K1684=1),AND(B1684="ROLE COMPROMISE",H1684=C1684)),Inputs!$B$13,Inputs!$B$14))</f>
        <v>10</v>
      </c>
      <c r="O1684" s="15" t="n">
        <f aca="false">IF(J1684=1,0,Inputs!$B$13)</f>
        <v>20</v>
      </c>
      <c r="P1684" s="15" t="n">
        <f aca="false">SUM(M1684:N1684)</f>
        <v>85</v>
      </c>
      <c r="Q1684" s="15" t="n">
        <f aca="false">IF(J1684=1,"",L1684-P1684)</f>
        <v>15</v>
      </c>
      <c r="R1684" s="15" t="n">
        <f aca="false">IF(OR(J1684=1,M1684&lt;=Inputs!$B$12),1,0)</f>
        <v>1</v>
      </c>
      <c r="S1684" s="15" t="n">
        <f aca="false">IF(OR(J1684=1,N1684&lt;=O1684),1,0)</f>
        <v>1</v>
      </c>
      <c r="T1684" s="15" t="str">
        <f aca="false">IF(J1684=1,"OFFLINE",IF(AND(Q1684&gt;=Inputs!$B$15,R1684=1,S1684=1,P1684&lt;=L1684),"PASS","FAIL"))</f>
        <v>PASS</v>
      </c>
    </row>
    <row r="1685" customFormat="false" ht="15" hidden="false" customHeight="false" outlineLevel="0" collapsed="false">
      <c r="A1685" s="14" t="s">
        <v>1034</v>
      </c>
      <c r="B1685" s="14" t="s">
        <v>1019</v>
      </c>
      <c r="C1685" s="14" t="s">
        <v>198</v>
      </c>
      <c r="D1685" s="14" t="s">
        <v>182</v>
      </c>
      <c r="E1685" s="14" t="s">
        <v>166</v>
      </c>
      <c r="F1685" s="14" t="s">
        <v>183</v>
      </c>
      <c r="G1685" s="14" t="n">
        <v>1</v>
      </c>
      <c r="H1685" s="14" t="s">
        <v>154</v>
      </c>
      <c r="I1685" s="14" t="s">
        <v>897</v>
      </c>
      <c r="J1685" s="15" t="n">
        <f aca="false">IF(B1685="SITE LOSS",IF(D1685=C1685,1,0),IF(B1685="REGION LOSS",IF(E1685=C1685,1,0),0))</f>
        <v>0</v>
      </c>
      <c r="K1685" s="15" t="n">
        <f aca="false">IF(B1685="SITE LOSS",IF(COUNTIFS('Site Dockets'!$B$7:$B$24,C1685,'Site Dockets'!$C$7:$C$24,F1685)&gt;0,1,0),IF(B1685="REGION LOSS",IF(COUNTIFS('Site Dockets'!$E$7:$E$24,C1685,'Site Dockets'!$C$7:$C$24,F1685)&gt;0,1,0),0))</f>
        <v>0</v>
      </c>
      <c r="L1685" s="15" t="n">
        <f aca="false">IF(J1685=1,0,Inputs!$B$11)</f>
        <v>100</v>
      </c>
      <c r="M1685" s="15" t="n">
        <f aca="false">IF(J1685=1,0,Inputs!$B$12)</f>
        <v>75</v>
      </c>
      <c r="N1685" s="15" t="n">
        <f aca="false">IF(J1685=1,0,IF(OR(AND(OR(B1685="SITE LOSS",B1685="REGION LOSS"),K1685=1),AND(B1685="ROLE COMPROMISE",H1685=C1685)),Inputs!$B$13,Inputs!$B$14))</f>
        <v>10</v>
      </c>
      <c r="O1685" s="15" t="n">
        <f aca="false">IF(J1685=1,0,Inputs!$B$13)</f>
        <v>20</v>
      </c>
      <c r="P1685" s="15" t="n">
        <f aca="false">SUM(M1685:N1685)</f>
        <v>85</v>
      </c>
      <c r="Q1685" s="15" t="n">
        <f aca="false">IF(J1685=1,"",L1685-P1685)</f>
        <v>15</v>
      </c>
      <c r="R1685" s="15" t="n">
        <f aca="false">IF(OR(J1685=1,M1685&lt;=Inputs!$B$12),1,0)</f>
        <v>1</v>
      </c>
      <c r="S1685" s="15" t="n">
        <f aca="false">IF(OR(J1685=1,N1685&lt;=O1685),1,0)</f>
        <v>1</v>
      </c>
      <c r="T1685" s="15" t="str">
        <f aca="false">IF(J1685=1,"OFFLINE",IF(AND(Q1685&gt;=Inputs!$B$15,R1685=1,S1685=1,P1685&lt;=L1685),"PASS","FAIL"))</f>
        <v>PASS</v>
      </c>
    </row>
    <row r="1686" customFormat="false" ht="15" hidden="false" customHeight="false" outlineLevel="0" collapsed="false">
      <c r="A1686" s="14" t="s">
        <v>1034</v>
      </c>
      <c r="B1686" s="14" t="s">
        <v>1019</v>
      </c>
      <c r="C1686" s="14" t="s">
        <v>198</v>
      </c>
      <c r="D1686" s="14" t="s">
        <v>182</v>
      </c>
      <c r="E1686" s="14" t="s">
        <v>166</v>
      </c>
      <c r="F1686" s="14" t="s">
        <v>183</v>
      </c>
      <c r="G1686" s="14" t="n">
        <v>1</v>
      </c>
      <c r="H1686" s="14" t="s">
        <v>154</v>
      </c>
      <c r="I1686" s="14" t="s">
        <v>899</v>
      </c>
      <c r="J1686" s="15" t="n">
        <f aca="false">IF(B1686="SITE LOSS",IF(D1686=C1686,1,0),IF(B1686="REGION LOSS",IF(E1686=C1686,1,0),0))</f>
        <v>0</v>
      </c>
      <c r="K1686" s="15" t="n">
        <f aca="false">IF(B1686="SITE LOSS",IF(COUNTIFS('Site Dockets'!$B$7:$B$24,C1686,'Site Dockets'!$C$7:$C$24,F1686)&gt;0,1,0),IF(B1686="REGION LOSS",IF(COUNTIFS('Site Dockets'!$E$7:$E$24,C1686,'Site Dockets'!$C$7:$C$24,F1686)&gt;0,1,0),0))</f>
        <v>0</v>
      </c>
      <c r="L1686" s="15" t="n">
        <f aca="false">IF(J1686=1,0,Inputs!$B$11)</f>
        <v>100</v>
      </c>
      <c r="M1686" s="15" t="n">
        <f aca="false">IF(J1686=1,0,Inputs!$B$12)</f>
        <v>75</v>
      </c>
      <c r="N1686" s="15" t="n">
        <f aca="false">IF(J1686=1,0,IF(OR(AND(OR(B1686="SITE LOSS",B1686="REGION LOSS"),K1686=1),AND(B1686="ROLE COMPROMISE",H1686=C1686)),Inputs!$B$13,Inputs!$B$14))</f>
        <v>10</v>
      </c>
      <c r="O1686" s="15" t="n">
        <f aca="false">IF(J1686=1,0,Inputs!$B$13)</f>
        <v>20</v>
      </c>
      <c r="P1686" s="15" t="n">
        <f aca="false">SUM(M1686:N1686)</f>
        <v>85</v>
      </c>
      <c r="Q1686" s="15" t="n">
        <f aca="false">IF(J1686=1,"",L1686-P1686)</f>
        <v>15</v>
      </c>
      <c r="R1686" s="15" t="n">
        <f aca="false">IF(OR(J1686=1,M1686&lt;=Inputs!$B$12),1,0)</f>
        <v>1</v>
      </c>
      <c r="S1686" s="15" t="n">
        <f aca="false">IF(OR(J1686=1,N1686&lt;=O1686),1,0)</f>
        <v>1</v>
      </c>
      <c r="T1686" s="15" t="str">
        <f aca="false">IF(J1686=1,"OFFLINE",IF(AND(Q1686&gt;=Inputs!$B$15,R1686=1,S1686=1,P1686&lt;=L1686),"PASS","FAIL"))</f>
        <v>PASS</v>
      </c>
    </row>
    <row r="1687" customFormat="false" ht="15" hidden="false" customHeight="false" outlineLevel="0" collapsed="false">
      <c r="A1687" s="14" t="s">
        <v>1034</v>
      </c>
      <c r="B1687" s="14" t="s">
        <v>1019</v>
      </c>
      <c r="C1687" s="14" t="s">
        <v>198</v>
      </c>
      <c r="D1687" s="14" t="s">
        <v>186</v>
      </c>
      <c r="E1687" s="14" t="s">
        <v>157</v>
      </c>
      <c r="F1687" s="14" t="s">
        <v>183</v>
      </c>
      <c r="G1687" s="14" t="n">
        <v>2</v>
      </c>
      <c r="H1687" s="14" t="s">
        <v>153</v>
      </c>
      <c r="I1687" s="14" t="s">
        <v>890</v>
      </c>
      <c r="J1687" s="15" t="n">
        <f aca="false">IF(B1687="SITE LOSS",IF(D1687=C1687,1,0),IF(B1687="REGION LOSS",IF(E1687=C1687,1,0),0))</f>
        <v>0</v>
      </c>
      <c r="K1687" s="15" t="n">
        <f aca="false">IF(B1687="SITE LOSS",IF(COUNTIFS('Site Dockets'!$B$7:$B$24,C1687,'Site Dockets'!$C$7:$C$24,F1687)&gt;0,1,0),IF(B1687="REGION LOSS",IF(COUNTIFS('Site Dockets'!$E$7:$E$24,C1687,'Site Dockets'!$C$7:$C$24,F1687)&gt;0,1,0),0))</f>
        <v>0</v>
      </c>
      <c r="L1687" s="15" t="n">
        <f aca="false">IF(J1687=1,0,Inputs!$B$11)</f>
        <v>100</v>
      </c>
      <c r="M1687" s="15" t="n">
        <f aca="false">IF(J1687=1,0,Inputs!$B$12)</f>
        <v>75</v>
      </c>
      <c r="N1687" s="15" t="n">
        <f aca="false">IF(J1687=1,0,IF(OR(AND(OR(B1687="SITE LOSS",B1687="REGION LOSS"),K1687=1),AND(B1687="ROLE COMPROMISE",H1687=C1687)),Inputs!$B$13,Inputs!$B$14))</f>
        <v>10</v>
      </c>
      <c r="O1687" s="15" t="n">
        <f aca="false">IF(J1687=1,0,Inputs!$B$13)</f>
        <v>20</v>
      </c>
      <c r="P1687" s="15" t="n">
        <f aca="false">SUM(M1687:N1687)</f>
        <v>85</v>
      </c>
      <c r="Q1687" s="15" t="n">
        <f aca="false">IF(J1687=1,"",L1687-P1687)</f>
        <v>15</v>
      </c>
      <c r="R1687" s="15" t="n">
        <f aca="false">IF(OR(J1687=1,M1687&lt;=Inputs!$B$12),1,0)</f>
        <v>1</v>
      </c>
      <c r="S1687" s="15" t="n">
        <f aca="false">IF(OR(J1687=1,N1687&lt;=O1687),1,0)</f>
        <v>1</v>
      </c>
      <c r="T1687" s="15" t="str">
        <f aca="false">IF(J1687=1,"OFFLINE",IF(AND(Q1687&gt;=Inputs!$B$15,R1687=1,S1687=1,P1687&lt;=L1687),"PASS","FAIL"))</f>
        <v>PASS</v>
      </c>
    </row>
    <row r="1688" customFormat="false" ht="15" hidden="false" customHeight="false" outlineLevel="0" collapsed="false">
      <c r="A1688" s="14" t="s">
        <v>1034</v>
      </c>
      <c r="B1688" s="14" t="s">
        <v>1019</v>
      </c>
      <c r="C1688" s="14" t="s">
        <v>198</v>
      </c>
      <c r="D1688" s="14" t="s">
        <v>186</v>
      </c>
      <c r="E1688" s="14" t="s">
        <v>157</v>
      </c>
      <c r="F1688" s="14" t="s">
        <v>183</v>
      </c>
      <c r="G1688" s="14" t="n">
        <v>2</v>
      </c>
      <c r="H1688" s="14" t="s">
        <v>153</v>
      </c>
      <c r="I1688" s="14" t="s">
        <v>892</v>
      </c>
      <c r="J1688" s="15" t="n">
        <f aca="false">IF(B1688="SITE LOSS",IF(D1688=C1688,1,0),IF(B1688="REGION LOSS",IF(E1688=C1688,1,0),0))</f>
        <v>0</v>
      </c>
      <c r="K1688" s="15" t="n">
        <f aca="false">IF(B1688="SITE LOSS",IF(COUNTIFS('Site Dockets'!$B$7:$B$24,C1688,'Site Dockets'!$C$7:$C$24,F1688)&gt;0,1,0),IF(B1688="REGION LOSS",IF(COUNTIFS('Site Dockets'!$E$7:$E$24,C1688,'Site Dockets'!$C$7:$C$24,F1688)&gt;0,1,0),0))</f>
        <v>0</v>
      </c>
      <c r="L1688" s="15" t="n">
        <f aca="false">IF(J1688=1,0,Inputs!$B$11)</f>
        <v>100</v>
      </c>
      <c r="M1688" s="15" t="n">
        <f aca="false">IF(J1688=1,0,Inputs!$B$12)</f>
        <v>75</v>
      </c>
      <c r="N1688" s="15" t="n">
        <f aca="false">IF(J1688=1,0,IF(OR(AND(OR(B1688="SITE LOSS",B1688="REGION LOSS"),K1688=1),AND(B1688="ROLE COMPROMISE",H1688=C1688)),Inputs!$B$13,Inputs!$B$14))</f>
        <v>10</v>
      </c>
      <c r="O1688" s="15" t="n">
        <f aca="false">IF(J1688=1,0,Inputs!$B$13)</f>
        <v>20</v>
      </c>
      <c r="P1688" s="15" t="n">
        <f aca="false">SUM(M1688:N1688)</f>
        <v>85</v>
      </c>
      <c r="Q1688" s="15" t="n">
        <f aca="false">IF(J1688=1,"",L1688-P1688)</f>
        <v>15</v>
      </c>
      <c r="R1688" s="15" t="n">
        <f aca="false">IF(OR(J1688=1,M1688&lt;=Inputs!$B$12),1,0)</f>
        <v>1</v>
      </c>
      <c r="S1688" s="15" t="n">
        <f aca="false">IF(OR(J1688=1,N1688&lt;=O1688),1,0)</f>
        <v>1</v>
      </c>
      <c r="T1688" s="15" t="str">
        <f aca="false">IF(J1688=1,"OFFLINE",IF(AND(Q1688&gt;=Inputs!$B$15,R1688=1,S1688=1,P1688&lt;=L1688),"PASS","FAIL"))</f>
        <v>PASS</v>
      </c>
    </row>
    <row r="1689" customFormat="false" ht="15" hidden="false" customHeight="false" outlineLevel="0" collapsed="false">
      <c r="A1689" s="14" t="s">
        <v>1034</v>
      </c>
      <c r="B1689" s="14" t="s">
        <v>1019</v>
      </c>
      <c r="C1689" s="14" t="s">
        <v>198</v>
      </c>
      <c r="D1689" s="14" t="s">
        <v>186</v>
      </c>
      <c r="E1689" s="14" t="s">
        <v>157</v>
      </c>
      <c r="F1689" s="14" t="s">
        <v>183</v>
      </c>
      <c r="G1689" s="14" t="n">
        <v>2</v>
      </c>
      <c r="H1689" s="14" t="s">
        <v>153</v>
      </c>
      <c r="I1689" s="14" t="s">
        <v>811</v>
      </c>
      <c r="J1689" s="15" t="n">
        <f aca="false">IF(B1689="SITE LOSS",IF(D1689=C1689,1,0),IF(B1689="REGION LOSS",IF(E1689=C1689,1,0),0))</f>
        <v>0</v>
      </c>
      <c r="K1689" s="15" t="n">
        <f aca="false">IF(B1689="SITE LOSS",IF(COUNTIFS('Site Dockets'!$B$7:$B$24,C1689,'Site Dockets'!$C$7:$C$24,F1689)&gt;0,1,0),IF(B1689="REGION LOSS",IF(COUNTIFS('Site Dockets'!$E$7:$E$24,C1689,'Site Dockets'!$C$7:$C$24,F1689)&gt;0,1,0),0))</f>
        <v>0</v>
      </c>
      <c r="L1689" s="15" t="n">
        <f aca="false">IF(J1689=1,0,Inputs!$B$11)</f>
        <v>100</v>
      </c>
      <c r="M1689" s="15" t="n">
        <f aca="false">IF(J1689=1,0,Inputs!$B$12)</f>
        <v>75</v>
      </c>
      <c r="N1689" s="15" t="n">
        <f aca="false">IF(J1689=1,0,IF(OR(AND(OR(B1689="SITE LOSS",B1689="REGION LOSS"),K1689=1),AND(B1689="ROLE COMPROMISE",H1689=C1689)),Inputs!$B$13,Inputs!$B$14))</f>
        <v>10</v>
      </c>
      <c r="O1689" s="15" t="n">
        <f aca="false">IF(J1689=1,0,Inputs!$B$13)</f>
        <v>20</v>
      </c>
      <c r="P1689" s="15" t="n">
        <f aca="false">SUM(M1689:N1689)</f>
        <v>85</v>
      </c>
      <c r="Q1689" s="15" t="n">
        <f aca="false">IF(J1689=1,"",L1689-P1689)</f>
        <v>15</v>
      </c>
      <c r="R1689" s="15" t="n">
        <f aca="false">IF(OR(J1689=1,M1689&lt;=Inputs!$B$12),1,0)</f>
        <v>1</v>
      </c>
      <c r="S1689" s="15" t="n">
        <f aca="false">IF(OR(J1689=1,N1689&lt;=O1689),1,0)</f>
        <v>1</v>
      </c>
      <c r="T1689" s="15" t="str">
        <f aca="false">IF(J1689=1,"OFFLINE",IF(AND(Q1689&gt;=Inputs!$B$15,R1689=1,S1689=1,P1689&lt;=L1689),"PASS","FAIL"))</f>
        <v>PASS</v>
      </c>
    </row>
    <row r="1690" customFormat="false" ht="15" hidden="false" customHeight="false" outlineLevel="0" collapsed="false">
      <c r="A1690" s="14" t="s">
        <v>1034</v>
      </c>
      <c r="B1690" s="14" t="s">
        <v>1019</v>
      </c>
      <c r="C1690" s="14" t="s">
        <v>198</v>
      </c>
      <c r="D1690" s="14" t="s">
        <v>186</v>
      </c>
      <c r="E1690" s="14" t="s">
        <v>157</v>
      </c>
      <c r="F1690" s="14" t="s">
        <v>183</v>
      </c>
      <c r="G1690" s="14" t="n">
        <v>2</v>
      </c>
      <c r="H1690" s="14" t="s">
        <v>153</v>
      </c>
      <c r="I1690" s="14" t="s">
        <v>895</v>
      </c>
      <c r="J1690" s="15" t="n">
        <f aca="false">IF(B1690="SITE LOSS",IF(D1690=C1690,1,0),IF(B1690="REGION LOSS",IF(E1690=C1690,1,0),0))</f>
        <v>0</v>
      </c>
      <c r="K1690" s="15" t="n">
        <f aca="false">IF(B1690="SITE LOSS",IF(COUNTIFS('Site Dockets'!$B$7:$B$24,C1690,'Site Dockets'!$C$7:$C$24,F1690)&gt;0,1,0),IF(B1690="REGION LOSS",IF(COUNTIFS('Site Dockets'!$E$7:$E$24,C1690,'Site Dockets'!$C$7:$C$24,F1690)&gt;0,1,0),0))</f>
        <v>0</v>
      </c>
      <c r="L1690" s="15" t="n">
        <f aca="false">IF(J1690=1,0,Inputs!$B$11)</f>
        <v>100</v>
      </c>
      <c r="M1690" s="15" t="n">
        <f aca="false">IF(J1690=1,0,Inputs!$B$12)</f>
        <v>75</v>
      </c>
      <c r="N1690" s="15" t="n">
        <f aca="false">IF(J1690=1,0,IF(OR(AND(OR(B1690="SITE LOSS",B1690="REGION LOSS"),K1690=1),AND(B1690="ROLE COMPROMISE",H1690=C1690)),Inputs!$B$13,Inputs!$B$14))</f>
        <v>10</v>
      </c>
      <c r="O1690" s="15" t="n">
        <f aca="false">IF(J1690=1,0,Inputs!$B$13)</f>
        <v>20</v>
      </c>
      <c r="P1690" s="15" t="n">
        <f aca="false">SUM(M1690:N1690)</f>
        <v>85</v>
      </c>
      <c r="Q1690" s="15" t="n">
        <f aca="false">IF(J1690=1,"",L1690-P1690)</f>
        <v>15</v>
      </c>
      <c r="R1690" s="15" t="n">
        <f aca="false">IF(OR(J1690=1,M1690&lt;=Inputs!$B$12),1,0)</f>
        <v>1</v>
      </c>
      <c r="S1690" s="15" t="n">
        <f aca="false">IF(OR(J1690=1,N1690&lt;=O1690),1,0)</f>
        <v>1</v>
      </c>
      <c r="T1690" s="15" t="str">
        <f aca="false">IF(J1690=1,"OFFLINE",IF(AND(Q1690&gt;=Inputs!$B$15,R1690=1,S1690=1,P1690&lt;=L1690),"PASS","FAIL"))</f>
        <v>PASS</v>
      </c>
    </row>
    <row r="1691" customFormat="false" ht="15" hidden="false" customHeight="false" outlineLevel="0" collapsed="false">
      <c r="A1691" s="14" t="s">
        <v>1034</v>
      </c>
      <c r="B1691" s="14" t="s">
        <v>1019</v>
      </c>
      <c r="C1691" s="14" t="s">
        <v>198</v>
      </c>
      <c r="D1691" s="14" t="s">
        <v>186</v>
      </c>
      <c r="E1691" s="14" t="s">
        <v>157</v>
      </c>
      <c r="F1691" s="14" t="s">
        <v>183</v>
      </c>
      <c r="G1691" s="14" t="n">
        <v>2</v>
      </c>
      <c r="H1691" s="14" t="s">
        <v>153</v>
      </c>
      <c r="I1691" s="14" t="s">
        <v>897</v>
      </c>
      <c r="J1691" s="15" t="n">
        <f aca="false">IF(B1691="SITE LOSS",IF(D1691=C1691,1,0),IF(B1691="REGION LOSS",IF(E1691=C1691,1,0),0))</f>
        <v>0</v>
      </c>
      <c r="K1691" s="15" t="n">
        <f aca="false">IF(B1691="SITE LOSS",IF(COUNTIFS('Site Dockets'!$B$7:$B$24,C1691,'Site Dockets'!$C$7:$C$24,F1691)&gt;0,1,0),IF(B1691="REGION LOSS",IF(COUNTIFS('Site Dockets'!$E$7:$E$24,C1691,'Site Dockets'!$C$7:$C$24,F1691)&gt;0,1,0),0))</f>
        <v>0</v>
      </c>
      <c r="L1691" s="15" t="n">
        <f aca="false">IF(J1691=1,0,Inputs!$B$11)</f>
        <v>100</v>
      </c>
      <c r="M1691" s="15" t="n">
        <f aca="false">IF(J1691=1,0,Inputs!$B$12)</f>
        <v>75</v>
      </c>
      <c r="N1691" s="15" t="n">
        <f aca="false">IF(J1691=1,0,IF(OR(AND(OR(B1691="SITE LOSS",B1691="REGION LOSS"),K1691=1),AND(B1691="ROLE COMPROMISE",H1691=C1691)),Inputs!$B$13,Inputs!$B$14))</f>
        <v>10</v>
      </c>
      <c r="O1691" s="15" t="n">
        <f aca="false">IF(J1691=1,0,Inputs!$B$13)</f>
        <v>20</v>
      </c>
      <c r="P1691" s="15" t="n">
        <f aca="false">SUM(M1691:N1691)</f>
        <v>85</v>
      </c>
      <c r="Q1691" s="15" t="n">
        <f aca="false">IF(J1691=1,"",L1691-P1691)</f>
        <v>15</v>
      </c>
      <c r="R1691" s="15" t="n">
        <f aca="false">IF(OR(J1691=1,M1691&lt;=Inputs!$B$12),1,0)</f>
        <v>1</v>
      </c>
      <c r="S1691" s="15" t="n">
        <f aca="false">IF(OR(J1691=1,N1691&lt;=O1691),1,0)</f>
        <v>1</v>
      </c>
      <c r="T1691" s="15" t="str">
        <f aca="false">IF(J1691=1,"OFFLINE",IF(AND(Q1691&gt;=Inputs!$B$15,R1691=1,S1691=1,P1691&lt;=L1691),"PASS","FAIL"))</f>
        <v>PASS</v>
      </c>
    </row>
    <row r="1692" customFormat="false" ht="15" hidden="false" customHeight="false" outlineLevel="0" collapsed="false">
      <c r="A1692" s="14" t="s">
        <v>1034</v>
      </c>
      <c r="B1692" s="14" t="s">
        <v>1019</v>
      </c>
      <c r="C1692" s="14" t="s">
        <v>198</v>
      </c>
      <c r="D1692" s="14" t="s">
        <v>186</v>
      </c>
      <c r="E1692" s="14" t="s">
        <v>157</v>
      </c>
      <c r="F1692" s="14" t="s">
        <v>183</v>
      </c>
      <c r="G1692" s="14" t="n">
        <v>2</v>
      </c>
      <c r="H1692" s="14" t="s">
        <v>153</v>
      </c>
      <c r="I1692" s="14" t="s">
        <v>899</v>
      </c>
      <c r="J1692" s="15" t="n">
        <f aca="false">IF(B1692="SITE LOSS",IF(D1692=C1692,1,0),IF(B1692="REGION LOSS",IF(E1692=C1692,1,0),0))</f>
        <v>0</v>
      </c>
      <c r="K1692" s="15" t="n">
        <f aca="false">IF(B1692="SITE LOSS",IF(COUNTIFS('Site Dockets'!$B$7:$B$24,C1692,'Site Dockets'!$C$7:$C$24,F1692)&gt;0,1,0),IF(B1692="REGION LOSS",IF(COUNTIFS('Site Dockets'!$E$7:$E$24,C1692,'Site Dockets'!$C$7:$C$24,F1692)&gt;0,1,0),0))</f>
        <v>0</v>
      </c>
      <c r="L1692" s="15" t="n">
        <f aca="false">IF(J1692=1,0,Inputs!$B$11)</f>
        <v>100</v>
      </c>
      <c r="M1692" s="15" t="n">
        <f aca="false">IF(J1692=1,0,Inputs!$B$12)</f>
        <v>75</v>
      </c>
      <c r="N1692" s="15" t="n">
        <f aca="false">IF(J1692=1,0,IF(OR(AND(OR(B1692="SITE LOSS",B1692="REGION LOSS"),K1692=1),AND(B1692="ROLE COMPROMISE",H1692=C1692)),Inputs!$B$13,Inputs!$B$14))</f>
        <v>10</v>
      </c>
      <c r="O1692" s="15" t="n">
        <f aca="false">IF(J1692=1,0,Inputs!$B$13)</f>
        <v>20</v>
      </c>
      <c r="P1692" s="15" t="n">
        <f aca="false">SUM(M1692:N1692)</f>
        <v>85</v>
      </c>
      <c r="Q1692" s="15" t="n">
        <f aca="false">IF(J1692=1,"",L1692-P1692)</f>
        <v>15</v>
      </c>
      <c r="R1692" s="15" t="n">
        <f aca="false">IF(OR(J1692=1,M1692&lt;=Inputs!$B$12),1,0)</f>
        <v>1</v>
      </c>
      <c r="S1692" s="15" t="n">
        <f aca="false">IF(OR(J1692=1,N1692&lt;=O1692),1,0)</f>
        <v>1</v>
      </c>
      <c r="T1692" s="15" t="str">
        <f aca="false">IF(J1692=1,"OFFLINE",IF(AND(Q1692&gt;=Inputs!$B$15,R1692=1,S1692=1,P1692&lt;=L1692),"PASS","FAIL"))</f>
        <v>PASS</v>
      </c>
    </row>
    <row r="1693" customFormat="false" ht="15" hidden="false" customHeight="false" outlineLevel="0" collapsed="false">
      <c r="A1693" s="14" t="s">
        <v>1034</v>
      </c>
      <c r="B1693" s="14" t="s">
        <v>1019</v>
      </c>
      <c r="C1693" s="14" t="s">
        <v>198</v>
      </c>
      <c r="D1693" s="14" t="s">
        <v>188</v>
      </c>
      <c r="E1693" s="14" t="s">
        <v>172</v>
      </c>
      <c r="F1693" s="14" t="s">
        <v>183</v>
      </c>
      <c r="G1693" s="14" t="n">
        <v>3</v>
      </c>
      <c r="H1693" s="14" t="s">
        <v>158</v>
      </c>
      <c r="I1693" s="14" t="s">
        <v>890</v>
      </c>
      <c r="J1693" s="15" t="n">
        <f aca="false">IF(B1693="SITE LOSS",IF(D1693=C1693,1,0),IF(B1693="REGION LOSS",IF(E1693=C1693,1,0),0))</f>
        <v>0</v>
      </c>
      <c r="K1693" s="15" t="n">
        <f aca="false">IF(B1693="SITE LOSS",IF(COUNTIFS('Site Dockets'!$B$7:$B$24,C1693,'Site Dockets'!$C$7:$C$24,F1693)&gt;0,1,0),IF(B1693="REGION LOSS",IF(COUNTIFS('Site Dockets'!$E$7:$E$24,C1693,'Site Dockets'!$C$7:$C$24,F1693)&gt;0,1,0),0))</f>
        <v>0</v>
      </c>
      <c r="L1693" s="15" t="n">
        <f aca="false">IF(J1693=1,0,Inputs!$B$11)</f>
        <v>100</v>
      </c>
      <c r="M1693" s="15" t="n">
        <f aca="false">IF(J1693=1,0,Inputs!$B$12)</f>
        <v>75</v>
      </c>
      <c r="N1693" s="15" t="n">
        <f aca="false">IF(J1693=1,0,IF(OR(AND(OR(B1693="SITE LOSS",B1693="REGION LOSS"),K1693=1),AND(B1693="ROLE COMPROMISE",H1693=C1693)),Inputs!$B$13,Inputs!$B$14))</f>
        <v>10</v>
      </c>
      <c r="O1693" s="15" t="n">
        <f aca="false">IF(J1693=1,0,Inputs!$B$13)</f>
        <v>20</v>
      </c>
      <c r="P1693" s="15" t="n">
        <f aca="false">SUM(M1693:N1693)</f>
        <v>85</v>
      </c>
      <c r="Q1693" s="15" t="n">
        <f aca="false">IF(J1693=1,"",L1693-P1693)</f>
        <v>15</v>
      </c>
      <c r="R1693" s="15" t="n">
        <f aca="false">IF(OR(J1693=1,M1693&lt;=Inputs!$B$12),1,0)</f>
        <v>1</v>
      </c>
      <c r="S1693" s="15" t="n">
        <f aca="false">IF(OR(J1693=1,N1693&lt;=O1693),1,0)</f>
        <v>1</v>
      </c>
      <c r="T1693" s="15" t="str">
        <f aca="false">IF(J1693=1,"OFFLINE",IF(AND(Q1693&gt;=Inputs!$B$15,R1693=1,S1693=1,P1693&lt;=L1693),"PASS","FAIL"))</f>
        <v>PASS</v>
      </c>
    </row>
    <row r="1694" customFormat="false" ht="15" hidden="false" customHeight="false" outlineLevel="0" collapsed="false">
      <c r="A1694" s="14" t="s">
        <v>1034</v>
      </c>
      <c r="B1694" s="14" t="s">
        <v>1019</v>
      </c>
      <c r="C1694" s="14" t="s">
        <v>198</v>
      </c>
      <c r="D1694" s="14" t="s">
        <v>188</v>
      </c>
      <c r="E1694" s="14" t="s">
        <v>172</v>
      </c>
      <c r="F1694" s="14" t="s">
        <v>183</v>
      </c>
      <c r="G1694" s="14" t="n">
        <v>3</v>
      </c>
      <c r="H1694" s="14" t="s">
        <v>158</v>
      </c>
      <c r="I1694" s="14" t="s">
        <v>892</v>
      </c>
      <c r="J1694" s="15" t="n">
        <f aca="false">IF(B1694="SITE LOSS",IF(D1694=C1694,1,0),IF(B1694="REGION LOSS",IF(E1694=C1694,1,0),0))</f>
        <v>0</v>
      </c>
      <c r="K1694" s="15" t="n">
        <f aca="false">IF(B1694="SITE LOSS",IF(COUNTIFS('Site Dockets'!$B$7:$B$24,C1694,'Site Dockets'!$C$7:$C$24,F1694)&gt;0,1,0),IF(B1694="REGION LOSS",IF(COUNTIFS('Site Dockets'!$E$7:$E$24,C1694,'Site Dockets'!$C$7:$C$24,F1694)&gt;0,1,0),0))</f>
        <v>0</v>
      </c>
      <c r="L1694" s="15" t="n">
        <f aca="false">IF(J1694=1,0,Inputs!$B$11)</f>
        <v>100</v>
      </c>
      <c r="M1694" s="15" t="n">
        <f aca="false">IF(J1694=1,0,Inputs!$B$12)</f>
        <v>75</v>
      </c>
      <c r="N1694" s="15" t="n">
        <f aca="false">IF(J1694=1,0,IF(OR(AND(OR(B1694="SITE LOSS",B1694="REGION LOSS"),K1694=1),AND(B1694="ROLE COMPROMISE",H1694=C1694)),Inputs!$B$13,Inputs!$B$14))</f>
        <v>10</v>
      </c>
      <c r="O1694" s="15" t="n">
        <f aca="false">IF(J1694=1,0,Inputs!$B$13)</f>
        <v>20</v>
      </c>
      <c r="P1694" s="15" t="n">
        <f aca="false">SUM(M1694:N1694)</f>
        <v>85</v>
      </c>
      <c r="Q1694" s="15" t="n">
        <f aca="false">IF(J1694=1,"",L1694-P1694)</f>
        <v>15</v>
      </c>
      <c r="R1694" s="15" t="n">
        <f aca="false">IF(OR(J1694=1,M1694&lt;=Inputs!$B$12),1,0)</f>
        <v>1</v>
      </c>
      <c r="S1694" s="15" t="n">
        <f aca="false">IF(OR(J1694=1,N1694&lt;=O1694),1,0)</f>
        <v>1</v>
      </c>
      <c r="T1694" s="15" t="str">
        <f aca="false">IF(J1694=1,"OFFLINE",IF(AND(Q1694&gt;=Inputs!$B$15,R1694=1,S1694=1,P1694&lt;=L1694),"PASS","FAIL"))</f>
        <v>PASS</v>
      </c>
    </row>
    <row r="1695" customFormat="false" ht="15" hidden="false" customHeight="false" outlineLevel="0" collapsed="false">
      <c r="A1695" s="14" t="s">
        <v>1034</v>
      </c>
      <c r="B1695" s="14" t="s">
        <v>1019</v>
      </c>
      <c r="C1695" s="14" t="s">
        <v>198</v>
      </c>
      <c r="D1695" s="14" t="s">
        <v>188</v>
      </c>
      <c r="E1695" s="14" t="s">
        <v>172</v>
      </c>
      <c r="F1695" s="14" t="s">
        <v>183</v>
      </c>
      <c r="G1695" s="14" t="n">
        <v>3</v>
      </c>
      <c r="H1695" s="14" t="s">
        <v>158</v>
      </c>
      <c r="I1695" s="14" t="s">
        <v>811</v>
      </c>
      <c r="J1695" s="15" t="n">
        <f aca="false">IF(B1695="SITE LOSS",IF(D1695=C1695,1,0),IF(B1695="REGION LOSS",IF(E1695=C1695,1,0),0))</f>
        <v>0</v>
      </c>
      <c r="K1695" s="15" t="n">
        <f aca="false">IF(B1695="SITE LOSS",IF(COUNTIFS('Site Dockets'!$B$7:$B$24,C1695,'Site Dockets'!$C$7:$C$24,F1695)&gt;0,1,0),IF(B1695="REGION LOSS",IF(COUNTIFS('Site Dockets'!$E$7:$E$24,C1695,'Site Dockets'!$C$7:$C$24,F1695)&gt;0,1,0),0))</f>
        <v>0</v>
      </c>
      <c r="L1695" s="15" t="n">
        <f aca="false">IF(J1695=1,0,Inputs!$B$11)</f>
        <v>100</v>
      </c>
      <c r="M1695" s="15" t="n">
        <f aca="false">IF(J1695=1,0,Inputs!$B$12)</f>
        <v>75</v>
      </c>
      <c r="N1695" s="15" t="n">
        <f aca="false">IF(J1695=1,0,IF(OR(AND(OR(B1695="SITE LOSS",B1695="REGION LOSS"),K1695=1),AND(B1695="ROLE COMPROMISE",H1695=C1695)),Inputs!$B$13,Inputs!$B$14))</f>
        <v>10</v>
      </c>
      <c r="O1695" s="15" t="n">
        <f aca="false">IF(J1695=1,0,Inputs!$B$13)</f>
        <v>20</v>
      </c>
      <c r="P1695" s="15" t="n">
        <f aca="false">SUM(M1695:N1695)</f>
        <v>85</v>
      </c>
      <c r="Q1695" s="15" t="n">
        <f aca="false">IF(J1695=1,"",L1695-P1695)</f>
        <v>15</v>
      </c>
      <c r="R1695" s="15" t="n">
        <f aca="false">IF(OR(J1695=1,M1695&lt;=Inputs!$B$12),1,0)</f>
        <v>1</v>
      </c>
      <c r="S1695" s="15" t="n">
        <f aca="false">IF(OR(J1695=1,N1695&lt;=O1695),1,0)</f>
        <v>1</v>
      </c>
      <c r="T1695" s="15" t="str">
        <f aca="false">IF(J1695=1,"OFFLINE",IF(AND(Q1695&gt;=Inputs!$B$15,R1695=1,S1695=1,P1695&lt;=L1695),"PASS","FAIL"))</f>
        <v>PASS</v>
      </c>
    </row>
    <row r="1696" customFormat="false" ht="15" hidden="false" customHeight="false" outlineLevel="0" collapsed="false">
      <c r="A1696" s="14" t="s">
        <v>1034</v>
      </c>
      <c r="B1696" s="14" t="s">
        <v>1019</v>
      </c>
      <c r="C1696" s="14" t="s">
        <v>198</v>
      </c>
      <c r="D1696" s="14" t="s">
        <v>188</v>
      </c>
      <c r="E1696" s="14" t="s">
        <v>172</v>
      </c>
      <c r="F1696" s="14" t="s">
        <v>183</v>
      </c>
      <c r="G1696" s="14" t="n">
        <v>3</v>
      </c>
      <c r="H1696" s="14" t="s">
        <v>158</v>
      </c>
      <c r="I1696" s="14" t="s">
        <v>895</v>
      </c>
      <c r="J1696" s="15" t="n">
        <f aca="false">IF(B1696="SITE LOSS",IF(D1696=C1696,1,0),IF(B1696="REGION LOSS",IF(E1696=C1696,1,0),0))</f>
        <v>0</v>
      </c>
      <c r="K1696" s="15" t="n">
        <f aca="false">IF(B1696="SITE LOSS",IF(COUNTIFS('Site Dockets'!$B$7:$B$24,C1696,'Site Dockets'!$C$7:$C$24,F1696)&gt;0,1,0),IF(B1696="REGION LOSS",IF(COUNTIFS('Site Dockets'!$E$7:$E$24,C1696,'Site Dockets'!$C$7:$C$24,F1696)&gt;0,1,0),0))</f>
        <v>0</v>
      </c>
      <c r="L1696" s="15" t="n">
        <f aca="false">IF(J1696=1,0,Inputs!$B$11)</f>
        <v>100</v>
      </c>
      <c r="M1696" s="15" t="n">
        <f aca="false">IF(J1696=1,0,Inputs!$B$12)</f>
        <v>75</v>
      </c>
      <c r="N1696" s="15" t="n">
        <f aca="false">IF(J1696=1,0,IF(OR(AND(OR(B1696="SITE LOSS",B1696="REGION LOSS"),K1696=1),AND(B1696="ROLE COMPROMISE",H1696=C1696)),Inputs!$B$13,Inputs!$B$14))</f>
        <v>10</v>
      </c>
      <c r="O1696" s="15" t="n">
        <f aca="false">IF(J1696=1,0,Inputs!$B$13)</f>
        <v>20</v>
      </c>
      <c r="P1696" s="15" t="n">
        <f aca="false">SUM(M1696:N1696)</f>
        <v>85</v>
      </c>
      <c r="Q1696" s="15" t="n">
        <f aca="false">IF(J1696=1,"",L1696-P1696)</f>
        <v>15</v>
      </c>
      <c r="R1696" s="15" t="n">
        <f aca="false">IF(OR(J1696=1,M1696&lt;=Inputs!$B$12),1,0)</f>
        <v>1</v>
      </c>
      <c r="S1696" s="15" t="n">
        <f aca="false">IF(OR(J1696=1,N1696&lt;=O1696),1,0)</f>
        <v>1</v>
      </c>
      <c r="T1696" s="15" t="str">
        <f aca="false">IF(J1696=1,"OFFLINE",IF(AND(Q1696&gt;=Inputs!$B$15,R1696=1,S1696=1,P1696&lt;=L1696),"PASS","FAIL"))</f>
        <v>PASS</v>
      </c>
    </row>
    <row r="1697" customFormat="false" ht="15" hidden="false" customHeight="false" outlineLevel="0" collapsed="false">
      <c r="A1697" s="14" t="s">
        <v>1034</v>
      </c>
      <c r="B1697" s="14" t="s">
        <v>1019</v>
      </c>
      <c r="C1697" s="14" t="s">
        <v>198</v>
      </c>
      <c r="D1697" s="14" t="s">
        <v>188</v>
      </c>
      <c r="E1697" s="14" t="s">
        <v>172</v>
      </c>
      <c r="F1697" s="14" t="s">
        <v>183</v>
      </c>
      <c r="G1697" s="14" t="n">
        <v>3</v>
      </c>
      <c r="H1697" s="14" t="s">
        <v>158</v>
      </c>
      <c r="I1697" s="14" t="s">
        <v>897</v>
      </c>
      <c r="J1697" s="15" t="n">
        <f aca="false">IF(B1697="SITE LOSS",IF(D1697=C1697,1,0),IF(B1697="REGION LOSS",IF(E1697=C1697,1,0),0))</f>
        <v>0</v>
      </c>
      <c r="K1697" s="15" t="n">
        <f aca="false">IF(B1697="SITE LOSS",IF(COUNTIFS('Site Dockets'!$B$7:$B$24,C1697,'Site Dockets'!$C$7:$C$24,F1697)&gt;0,1,0),IF(B1697="REGION LOSS",IF(COUNTIFS('Site Dockets'!$E$7:$E$24,C1697,'Site Dockets'!$C$7:$C$24,F1697)&gt;0,1,0),0))</f>
        <v>0</v>
      </c>
      <c r="L1697" s="15" t="n">
        <f aca="false">IF(J1697=1,0,Inputs!$B$11)</f>
        <v>100</v>
      </c>
      <c r="M1697" s="15" t="n">
        <f aca="false">IF(J1697=1,0,Inputs!$B$12)</f>
        <v>75</v>
      </c>
      <c r="N1697" s="15" t="n">
        <f aca="false">IF(J1697=1,0,IF(OR(AND(OR(B1697="SITE LOSS",B1697="REGION LOSS"),K1697=1),AND(B1697="ROLE COMPROMISE",H1697=C1697)),Inputs!$B$13,Inputs!$B$14))</f>
        <v>10</v>
      </c>
      <c r="O1697" s="15" t="n">
        <f aca="false">IF(J1697=1,0,Inputs!$B$13)</f>
        <v>20</v>
      </c>
      <c r="P1697" s="15" t="n">
        <f aca="false">SUM(M1697:N1697)</f>
        <v>85</v>
      </c>
      <c r="Q1697" s="15" t="n">
        <f aca="false">IF(J1697=1,"",L1697-P1697)</f>
        <v>15</v>
      </c>
      <c r="R1697" s="15" t="n">
        <f aca="false">IF(OR(J1697=1,M1697&lt;=Inputs!$B$12),1,0)</f>
        <v>1</v>
      </c>
      <c r="S1697" s="15" t="n">
        <f aca="false">IF(OR(J1697=1,N1697&lt;=O1697),1,0)</f>
        <v>1</v>
      </c>
      <c r="T1697" s="15" t="str">
        <f aca="false">IF(J1697=1,"OFFLINE",IF(AND(Q1697&gt;=Inputs!$B$15,R1697=1,S1697=1,P1697&lt;=L1697),"PASS","FAIL"))</f>
        <v>PASS</v>
      </c>
    </row>
    <row r="1698" customFormat="false" ht="15" hidden="false" customHeight="false" outlineLevel="0" collapsed="false">
      <c r="A1698" s="14" t="s">
        <v>1034</v>
      </c>
      <c r="B1698" s="14" t="s">
        <v>1019</v>
      </c>
      <c r="C1698" s="14" t="s">
        <v>198</v>
      </c>
      <c r="D1698" s="14" t="s">
        <v>188</v>
      </c>
      <c r="E1698" s="14" t="s">
        <v>172</v>
      </c>
      <c r="F1698" s="14" t="s">
        <v>183</v>
      </c>
      <c r="G1698" s="14" t="n">
        <v>3</v>
      </c>
      <c r="H1698" s="14" t="s">
        <v>158</v>
      </c>
      <c r="I1698" s="14" t="s">
        <v>899</v>
      </c>
      <c r="J1698" s="15" t="n">
        <f aca="false">IF(B1698="SITE LOSS",IF(D1698=C1698,1,0),IF(B1698="REGION LOSS",IF(E1698=C1698,1,0),0))</f>
        <v>0</v>
      </c>
      <c r="K1698" s="15" t="n">
        <f aca="false">IF(B1698="SITE LOSS",IF(COUNTIFS('Site Dockets'!$B$7:$B$24,C1698,'Site Dockets'!$C$7:$C$24,F1698)&gt;0,1,0),IF(B1698="REGION LOSS",IF(COUNTIFS('Site Dockets'!$E$7:$E$24,C1698,'Site Dockets'!$C$7:$C$24,F1698)&gt;0,1,0),0))</f>
        <v>0</v>
      </c>
      <c r="L1698" s="15" t="n">
        <f aca="false">IF(J1698=1,0,Inputs!$B$11)</f>
        <v>100</v>
      </c>
      <c r="M1698" s="15" t="n">
        <f aca="false">IF(J1698=1,0,Inputs!$B$12)</f>
        <v>75</v>
      </c>
      <c r="N1698" s="15" t="n">
        <f aca="false">IF(J1698=1,0,IF(OR(AND(OR(B1698="SITE LOSS",B1698="REGION LOSS"),K1698=1),AND(B1698="ROLE COMPROMISE",H1698=C1698)),Inputs!$B$13,Inputs!$B$14))</f>
        <v>10</v>
      </c>
      <c r="O1698" s="15" t="n">
        <f aca="false">IF(J1698=1,0,Inputs!$B$13)</f>
        <v>20</v>
      </c>
      <c r="P1698" s="15" t="n">
        <f aca="false">SUM(M1698:N1698)</f>
        <v>85</v>
      </c>
      <c r="Q1698" s="15" t="n">
        <f aca="false">IF(J1698=1,"",L1698-P1698)</f>
        <v>15</v>
      </c>
      <c r="R1698" s="15" t="n">
        <f aca="false">IF(OR(J1698=1,M1698&lt;=Inputs!$B$12),1,0)</f>
        <v>1</v>
      </c>
      <c r="S1698" s="15" t="n">
        <f aca="false">IF(OR(J1698=1,N1698&lt;=O1698),1,0)</f>
        <v>1</v>
      </c>
      <c r="T1698" s="15" t="str">
        <f aca="false">IF(J1698=1,"OFFLINE",IF(AND(Q1698&gt;=Inputs!$B$15,R1698=1,S1698=1,P1698&lt;=L1698),"PASS","FAIL"))</f>
        <v>PASS</v>
      </c>
    </row>
    <row r="1699" customFormat="false" ht="15" hidden="false" customHeight="false" outlineLevel="0" collapsed="false">
      <c r="A1699" s="14" t="s">
        <v>1034</v>
      </c>
      <c r="B1699" s="14" t="s">
        <v>1019</v>
      </c>
      <c r="C1699" s="14" t="s">
        <v>198</v>
      </c>
      <c r="D1699" s="14" t="s">
        <v>190</v>
      </c>
      <c r="E1699" s="14" t="s">
        <v>152</v>
      </c>
      <c r="F1699" s="14" t="s">
        <v>191</v>
      </c>
      <c r="G1699" s="14" t="n">
        <v>1</v>
      </c>
      <c r="H1699" s="14" t="s">
        <v>154</v>
      </c>
      <c r="I1699" s="14" t="s">
        <v>890</v>
      </c>
      <c r="J1699" s="15" t="n">
        <f aca="false">IF(B1699="SITE LOSS",IF(D1699=C1699,1,0),IF(B1699="REGION LOSS",IF(E1699=C1699,1,0),0))</f>
        <v>0</v>
      </c>
      <c r="K1699" s="15" t="n">
        <f aca="false">IF(B1699="SITE LOSS",IF(COUNTIFS('Site Dockets'!$B$7:$B$24,C1699,'Site Dockets'!$C$7:$C$24,F1699)&gt;0,1,0),IF(B1699="REGION LOSS",IF(COUNTIFS('Site Dockets'!$E$7:$E$24,C1699,'Site Dockets'!$C$7:$C$24,F1699)&gt;0,1,0),0))</f>
        <v>0</v>
      </c>
      <c r="L1699" s="15" t="n">
        <f aca="false">IF(J1699=1,0,Inputs!$B$11)</f>
        <v>100</v>
      </c>
      <c r="M1699" s="15" t="n">
        <f aca="false">IF(J1699=1,0,Inputs!$B$12)</f>
        <v>75</v>
      </c>
      <c r="N1699" s="15" t="n">
        <f aca="false">IF(J1699=1,0,IF(OR(AND(OR(B1699="SITE LOSS",B1699="REGION LOSS"),K1699=1),AND(B1699="ROLE COMPROMISE",H1699=C1699)),Inputs!$B$13,Inputs!$B$14))</f>
        <v>10</v>
      </c>
      <c r="O1699" s="15" t="n">
        <f aca="false">IF(J1699=1,0,Inputs!$B$13)</f>
        <v>20</v>
      </c>
      <c r="P1699" s="15" t="n">
        <f aca="false">SUM(M1699:N1699)</f>
        <v>85</v>
      </c>
      <c r="Q1699" s="15" t="n">
        <f aca="false">IF(J1699=1,"",L1699-P1699)</f>
        <v>15</v>
      </c>
      <c r="R1699" s="15" t="n">
        <f aca="false">IF(OR(J1699=1,M1699&lt;=Inputs!$B$12),1,0)</f>
        <v>1</v>
      </c>
      <c r="S1699" s="15" t="n">
        <f aca="false">IF(OR(J1699=1,N1699&lt;=O1699),1,0)</f>
        <v>1</v>
      </c>
      <c r="T1699" s="15" t="str">
        <f aca="false">IF(J1699=1,"OFFLINE",IF(AND(Q1699&gt;=Inputs!$B$15,R1699=1,S1699=1,P1699&lt;=L1699),"PASS","FAIL"))</f>
        <v>PASS</v>
      </c>
    </row>
    <row r="1700" customFormat="false" ht="15" hidden="false" customHeight="false" outlineLevel="0" collapsed="false">
      <c r="A1700" s="14" t="s">
        <v>1034</v>
      </c>
      <c r="B1700" s="14" t="s">
        <v>1019</v>
      </c>
      <c r="C1700" s="14" t="s">
        <v>198</v>
      </c>
      <c r="D1700" s="14" t="s">
        <v>190</v>
      </c>
      <c r="E1700" s="14" t="s">
        <v>152</v>
      </c>
      <c r="F1700" s="14" t="s">
        <v>191</v>
      </c>
      <c r="G1700" s="14" t="n">
        <v>1</v>
      </c>
      <c r="H1700" s="14" t="s">
        <v>154</v>
      </c>
      <c r="I1700" s="14" t="s">
        <v>892</v>
      </c>
      <c r="J1700" s="15" t="n">
        <f aca="false">IF(B1700="SITE LOSS",IF(D1700=C1700,1,0),IF(B1700="REGION LOSS",IF(E1700=C1700,1,0),0))</f>
        <v>0</v>
      </c>
      <c r="K1700" s="15" t="n">
        <f aca="false">IF(B1700="SITE LOSS",IF(COUNTIFS('Site Dockets'!$B$7:$B$24,C1700,'Site Dockets'!$C$7:$C$24,F1700)&gt;0,1,0),IF(B1700="REGION LOSS",IF(COUNTIFS('Site Dockets'!$E$7:$E$24,C1700,'Site Dockets'!$C$7:$C$24,F1700)&gt;0,1,0),0))</f>
        <v>0</v>
      </c>
      <c r="L1700" s="15" t="n">
        <f aca="false">IF(J1700=1,0,Inputs!$B$11)</f>
        <v>100</v>
      </c>
      <c r="M1700" s="15" t="n">
        <f aca="false">IF(J1700=1,0,Inputs!$B$12)</f>
        <v>75</v>
      </c>
      <c r="N1700" s="15" t="n">
        <f aca="false">IF(J1700=1,0,IF(OR(AND(OR(B1700="SITE LOSS",B1700="REGION LOSS"),K1700=1),AND(B1700="ROLE COMPROMISE",H1700=C1700)),Inputs!$B$13,Inputs!$B$14))</f>
        <v>10</v>
      </c>
      <c r="O1700" s="15" t="n">
        <f aca="false">IF(J1700=1,0,Inputs!$B$13)</f>
        <v>20</v>
      </c>
      <c r="P1700" s="15" t="n">
        <f aca="false">SUM(M1700:N1700)</f>
        <v>85</v>
      </c>
      <c r="Q1700" s="15" t="n">
        <f aca="false">IF(J1700=1,"",L1700-P1700)</f>
        <v>15</v>
      </c>
      <c r="R1700" s="15" t="n">
        <f aca="false">IF(OR(J1700=1,M1700&lt;=Inputs!$B$12),1,0)</f>
        <v>1</v>
      </c>
      <c r="S1700" s="15" t="n">
        <f aca="false">IF(OR(J1700=1,N1700&lt;=O1700),1,0)</f>
        <v>1</v>
      </c>
      <c r="T1700" s="15" t="str">
        <f aca="false">IF(J1700=1,"OFFLINE",IF(AND(Q1700&gt;=Inputs!$B$15,R1700=1,S1700=1,P1700&lt;=L1700),"PASS","FAIL"))</f>
        <v>PASS</v>
      </c>
    </row>
    <row r="1701" customFormat="false" ht="15" hidden="false" customHeight="false" outlineLevel="0" collapsed="false">
      <c r="A1701" s="14" t="s">
        <v>1034</v>
      </c>
      <c r="B1701" s="14" t="s">
        <v>1019</v>
      </c>
      <c r="C1701" s="14" t="s">
        <v>198</v>
      </c>
      <c r="D1701" s="14" t="s">
        <v>190</v>
      </c>
      <c r="E1701" s="14" t="s">
        <v>152</v>
      </c>
      <c r="F1701" s="14" t="s">
        <v>191</v>
      </c>
      <c r="G1701" s="14" t="n">
        <v>1</v>
      </c>
      <c r="H1701" s="14" t="s">
        <v>154</v>
      </c>
      <c r="I1701" s="14" t="s">
        <v>811</v>
      </c>
      <c r="J1701" s="15" t="n">
        <f aca="false">IF(B1701="SITE LOSS",IF(D1701=C1701,1,0),IF(B1701="REGION LOSS",IF(E1701=C1701,1,0),0))</f>
        <v>0</v>
      </c>
      <c r="K1701" s="15" t="n">
        <f aca="false">IF(B1701="SITE LOSS",IF(COUNTIFS('Site Dockets'!$B$7:$B$24,C1701,'Site Dockets'!$C$7:$C$24,F1701)&gt;0,1,0),IF(B1701="REGION LOSS",IF(COUNTIFS('Site Dockets'!$E$7:$E$24,C1701,'Site Dockets'!$C$7:$C$24,F1701)&gt;0,1,0),0))</f>
        <v>0</v>
      </c>
      <c r="L1701" s="15" t="n">
        <f aca="false">IF(J1701=1,0,Inputs!$B$11)</f>
        <v>100</v>
      </c>
      <c r="M1701" s="15" t="n">
        <f aca="false">IF(J1701=1,0,Inputs!$B$12)</f>
        <v>75</v>
      </c>
      <c r="N1701" s="15" t="n">
        <f aca="false">IF(J1701=1,0,IF(OR(AND(OR(B1701="SITE LOSS",B1701="REGION LOSS"),K1701=1),AND(B1701="ROLE COMPROMISE",H1701=C1701)),Inputs!$B$13,Inputs!$B$14))</f>
        <v>10</v>
      </c>
      <c r="O1701" s="15" t="n">
        <f aca="false">IF(J1701=1,0,Inputs!$B$13)</f>
        <v>20</v>
      </c>
      <c r="P1701" s="15" t="n">
        <f aca="false">SUM(M1701:N1701)</f>
        <v>85</v>
      </c>
      <c r="Q1701" s="15" t="n">
        <f aca="false">IF(J1701=1,"",L1701-P1701)</f>
        <v>15</v>
      </c>
      <c r="R1701" s="15" t="n">
        <f aca="false">IF(OR(J1701=1,M1701&lt;=Inputs!$B$12),1,0)</f>
        <v>1</v>
      </c>
      <c r="S1701" s="15" t="n">
        <f aca="false">IF(OR(J1701=1,N1701&lt;=O1701),1,0)</f>
        <v>1</v>
      </c>
      <c r="T1701" s="15" t="str">
        <f aca="false">IF(J1701=1,"OFFLINE",IF(AND(Q1701&gt;=Inputs!$B$15,R1701=1,S1701=1,P1701&lt;=L1701),"PASS","FAIL"))</f>
        <v>PASS</v>
      </c>
    </row>
    <row r="1702" customFormat="false" ht="15" hidden="false" customHeight="false" outlineLevel="0" collapsed="false">
      <c r="A1702" s="14" t="s">
        <v>1034</v>
      </c>
      <c r="B1702" s="14" t="s">
        <v>1019</v>
      </c>
      <c r="C1702" s="14" t="s">
        <v>198</v>
      </c>
      <c r="D1702" s="14" t="s">
        <v>190</v>
      </c>
      <c r="E1702" s="14" t="s">
        <v>152</v>
      </c>
      <c r="F1702" s="14" t="s">
        <v>191</v>
      </c>
      <c r="G1702" s="14" t="n">
        <v>1</v>
      </c>
      <c r="H1702" s="14" t="s">
        <v>154</v>
      </c>
      <c r="I1702" s="14" t="s">
        <v>895</v>
      </c>
      <c r="J1702" s="15" t="n">
        <f aca="false">IF(B1702="SITE LOSS",IF(D1702=C1702,1,0),IF(B1702="REGION LOSS",IF(E1702=C1702,1,0),0))</f>
        <v>0</v>
      </c>
      <c r="K1702" s="15" t="n">
        <f aca="false">IF(B1702="SITE LOSS",IF(COUNTIFS('Site Dockets'!$B$7:$B$24,C1702,'Site Dockets'!$C$7:$C$24,F1702)&gt;0,1,0),IF(B1702="REGION LOSS",IF(COUNTIFS('Site Dockets'!$E$7:$E$24,C1702,'Site Dockets'!$C$7:$C$24,F1702)&gt;0,1,0),0))</f>
        <v>0</v>
      </c>
      <c r="L1702" s="15" t="n">
        <f aca="false">IF(J1702=1,0,Inputs!$B$11)</f>
        <v>100</v>
      </c>
      <c r="M1702" s="15" t="n">
        <f aca="false">IF(J1702=1,0,Inputs!$B$12)</f>
        <v>75</v>
      </c>
      <c r="N1702" s="15" t="n">
        <f aca="false">IF(J1702=1,0,IF(OR(AND(OR(B1702="SITE LOSS",B1702="REGION LOSS"),K1702=1),AND(B1702="ROLE COMPROMISE",H1702=C1702)),Inputs!$B$13,Inputs!$B$14))</f>
        <v>10</v>
      </c>
      <c r="O1702" s="15" t="n">
        <f aca="false">IF(J1702=1,0,Inputs!$B$13)</f>
        <v>20</v>
      </c>
      <c r="P1702" s="15" t="n">
        <f aca="false">SUM(M1702:N1702)</f>
        <v>85</v>
      </c>
      <c r="Q1702" s="15" t="n">
        <f aca="false">IF(J1702=1,"",L1702-P1702)</f>
        <v>15</v>
      </c>
      <c r="R1702" s="15" t="n">
        <f aca="false">IF(OR(J1702=1,M1702&lt;=Inputs!$B$12),1,0)</f>
        <v>1</v>
      </c>
      <c r="S1702" s="15" t="n">
        <f aca="false">IF(OR(J1702=1,N1702&lt;=O1702),1,0)</f>
        <v>1</v>
      </c>
      <c r="T1702" s="15" t="str">
        <f aca="false">IF(J1702=1,"OFFLINE",IF(AND(Q1702&gt;=Inputs!$B$15,R1702=1,S1702=1,P1702&lt;=L1702),"PASS","FAIL"))</f>
        <v>PASS</v>
      </c>
    </row>
    <row r="1703" customFormat="false" ht="15" hidden="false" customHeight="false" outlineLevel="0" collapsed="false">
      <c r="A1703" s="14" t="s">
        <v>1034</v>
      </c>
      <c r="B1703" s="14" t="s">
        <v>1019</v>
      </c>
      <c r="C1703" s="14" t="s">
        <v>198</v>
      </c>
      <c r="D1703" s="14" t="s">
        <v>190</v>
      </c>
      <c r="E1703" s="14" t="s">
        <v>152</v>
      </c>
      <c r="F1703" s="14" t="s">
        <v>191</v>
      </c>
      <c r="G1703" s="14" t="n">
        <v>1</v>
      </c>
      <c r="H1703" s="14" t="s">
        <v>154</v>
      </c>
      <c r="I1703" s="14" t="s">
        <v>897</v>
      </c>
      <c r="J1703" s="15" t="n">
        <f aca="false">IF(B1703="SITE LOSS",IF(D1703=C1703,1,0),IF(B1703="REGION LOSS",IF(E1703=C1703,1,0),0))</f>
        <v>0</v>
      </c>
      <c r="K1703" s="15" t="n">
        <f aca="false">IF(B1703="SITE LOSS",IF(COUNTIFS('Site Dockets'!$B$7:$B$24,C1703,'Site Dockets'!$C$7:$C$24,F1703)&gt;0,1,0),IF(B1703="REGION LOSS",IF(COUNTIFS('Site Dockets'!$E$7:$E$24,C1703,'Site Dockets'!$C$7:$C$24,F1703)&gt;0,1,0),0))</f>
        <v>0</v>
      </c>
      <c r="L1703" s="15" t="n">
        <f aca="false">IF(J1703=1,0,Inputs!$B$11)</f>
        <v>100</v>
      </c>
      <c r="M1703" s="15" t="n">
        <f aca="false">IF(J1703=1,0,Inputs!$B$12)</f>
        <v>75</v>
      </c>
      <c r="N1703" s="15" t="n">
        <f aca="false">IF(J1703=1,0,IF(OR(AND(OR(B1703="SITE LOSS",B1703="REGION LOSS"),K1703=1),AND(B1703="ROLE COMPROMISE",H1703=C1703)),Inputs!$B$13,Inputs!$B$14))</f>
        <v>10</v>
      </c>
      <c r="O1703" s="15" t="n">
        <f aca="false">IF(J1703=1,0,Inputs!$B$13)</f>
        <v>20</v>
      </c>
      <c r="P1703" s="15" t="n">
        <f aca="false">SUM(M1703:N1703)</f>
        <v>85</v>
      </c>
      <c r="Q1703" s="15" t="n">
        <f aca="false">IF(J1703=1,"",L1703-P1703)</f>
        <v>15</v>
      </c>
      <c r="R1703" s="15" t="n">
        <f aca="false">IF(OR(J1703=1,M1703&lt;=Inputs!$B$12),1,0)</f>
        <v>1</v>
      </c>
      <c r="S1703" s="15" t="n">
        <f aca="false">IF(OR(J1703=1,N1703&lt;=O1703),1,0)</f>
        <v>1</v>
      </c>
      <c r="T1703" s="15" t="str">
        <f aca="false">IF(J1703=1,"OFFLINE",IF(AND(Q1703&gt;=Inputs!$B$15,R1703=1,S1703=1,P1703&lt;=L1703),"PASS","FAIL"))</f>
        <v>PASS</v>
      </c>
    </row>
    <row r="1704" customFormat="false" ht="15" hidden="false" customHeight="false" outlineLevel="0" collapsed="false">
      <c r="A1704" s="14" t="s">
        <v>1034</v>
      </c>
      <c r="B1704" s="14" t="s">
        <v>1019</v>
      </c>
      <c r="C1704" s="14" t="s">
        <v>198</v>
      </c>
      <c r="D1704" s="14" t="s">
        <v>190</v>
      </c>
      <c r="E1704" s="14" t="s">
        <v>152</v>
      </c>
      <c r="F1704" s="14" t="s">
        <v>191</v>
      </c>
      <c r="G1704" s="14" t="n">
        <v>1</v>
      </c>
      <c r="H1704" s="14" t="s">
        <v>154</v>
      </c>
      <c r="I1704" s="14" t="s">
        <v>899</v>
      </c>
      <c r="J1704" s="15" t="n">
        <f aca="false">IF(B1704="SITE LOSS",IF(D1704=C1704,1,0),IF(B1704="REGION LOSS",IF(E1704=C1704,1,0),0))</f>
        <v>0</v>
      </c>
      <c r="K1704" s="15" t="n">
        <f aca="false">IF(B1704="SITE LOSS",IF(COUNTIFS('Site Dockets'!$B$7:$B$24,C1704,'Site Dockets'!$C$7:$C$24,F1704)&gt;0,1,0),IF(B1704="REGION LOSS",IF(COUNTIFS('Site Dockets'!$E$7:$E$24,C1704,'Site Dockets'!$C$7:$C$24,F1704)&gt;0,1,0),0))</f>
        <v>0</v>
      </c>
      <c r="L1704" s="15" t="n">
        <f aca="false">IF(J1704=1,0,Inputs!$B$11)</f>
        <v>100</v>
      </c>
      <c r="M1704" s="15" t="n">
        <f aca="false">IF(J1704=1,0,Inputs!$B$12)</f>
        <v>75</v>
      </c>
      <c r="N1704" s="15" t="n">
        <f aca="false">IF(J1704=1,0,IF(OR(AND(OR(B1704="SITE LOSS",B1704="REGION LOSS"),K1704=1),AND(B1704="ROLE COMPROMISE",H1704=C1704)),Inputs!$B$13,Inputs!$B$14))</f>
        <v>10</v>
      </c>
      <c r="O1704" s="15" t="n">
        <f aca="false">IF(J1704=1,0,Inputs!$B$13)</f>
        <v>20</v>
      </c>
      <c r="P1704" s="15" t="n">
        <f aca="false">SUM(M1704:N1704)</f>
        <v>85</v>
      </c>
      <c r="Q1704" s="15" t="n">
        <f aca="false">IF(J1704=1,"",L1704-P1704)</f>
        <v>15</v>
      </c>
      <c r="R1704" s="15" t="n">
        <f aca="false">IF(OR(J1704=1,M1704&lt;=Inputs!$B$12),1,0)</f>
        <v>1</v>
      </c>
      <c r="S1704" s="15" t="n">
        <f aca="false">IF(OR(J1704=1,N1704&lt;=O1704),1,0)</f>
        <v>1</v>
      </c>
      <c r="T1704" s="15" t="str">
        <f aca="false">IF(J1704=1,"OFFLINE",IF(AND(Q1704&gt;=Inputs!$B$15,R1704=1,S1704=1,P1704&lt;=L1704),"PASS","FAIL"))</f>
        <v>PASS</v>
      </c>
    </row>
    <row r="1705" customFormat="false" ht="15" hidden="false" customHeight="false" outlineLevel="0" collapsed="false">
      <c r="A1705" s="14" t="s">
        <v>1034</v>
      </c>
      <c r="B1705" s="14" t="s">
        <v>1019</v>
      </c>
      <c r="C1705" s="14" t="s">
        <v>198</v>
      </c>
      <c r="D1705" s="14" t="s">
        <v>194</v>
      </c>
      <c r="E1705" s="14" t="s">
        <v>169</v>
      </c>
      <c r="F1705" s="14" t="s">
        <v>191</v>
      </c>
      <c r="G1705" s="14" t="n">
        <v>2</v>
      </c>
      <c r="H1705" s="14" t="s">
        <v>153</v>
      </c>
      <c r="I1705" s="14" t="s">
        <v>890</v>
      </c>
      <c r="J1705" s="15" t="n">
        <f aca="false">IF(B1705="SITE LOSS",IF(D1705=C1705,1,0),IF(B1705="REGION LOSS",IF(E1705=C1705,1,0),0))</f>
        <v>0</v>
      </c>
      <c r="K1705" s="15" t="n">
        <f aca="false">IF(B1705="SITE LOSS",IF(COUNTIFS('Site Dockets'!$B$7:$B$24,C1705,'Site Dockets'!$C$7:$C$24,F1705)&gt;0,1,0),IF(B1705="REGION LOSS",IF(COUNTIFS('Site Dockets'!$E$7:$E$24,C1705,'Site Dockets'!$C$7:$C$24,F1705)&gt;0,1,0),0))</f>
        <v>0</v>
      </c>
      <c r="L1705" s="15" t="n">
        <f aca="false">IF(J1705=1,0,Inputs!$B$11)</f>
        <v>100</v>
      </c>
      <c r="M1705" s="15" t="n">
        <f aca="false">IF(J1705=1,0,Inputs!$B$12)</f>
        <v>75</v>
      </c>
      <c r="N1705" s="15" t="n">
        <f aca="false">IF(J1705=1,0,IF(OR(AND(OR(B1705="SITE LOSS",B1705="REGION LOSS"),K1705=1),AND(B1705="ROLE COMPROMISE",H1705=C1705)),Inputs!$B$13,Inputs!$B$14))</f>
        <v>10</v>
      </c>
      <c r="O1705" s="15" t="n">
        <f aca="false">IF(J1705=1,0,Inputs!$B$13)</f>
        <v>20</v>
      </c>
      <c r="P1705" s="15" t="n">
        <f aca="false">SUM(M1705:N1705)</f>
        <v>85</v>
      </c>
      <c r="Q1705" s="15" t="n">
        <f aca="false">IF(J1705=1,"",L1705-P1705)</f>
        <v>15</v>
      </c>
      <c r="R1705" s="15" t="n">
        <f aca="false">IF(OR(J1705=1,M1705&lt;=Inputs!$B$12),1,0)</f>
        <v>1</v>
      </c>
      <c r="S1705" s="15" t="n">
        <f aca="false">IF(OR(J1705=1,N1705&lt;=O1705),1,0)</f>
        <v>1</v>
      </c>
      <c r="T1705" s="15" t="str">
        <f aca="false">IF(J1705=1,"OFFLINE",IF(AND(Q1705&gt;=Inputs!$B$15,R1705=1,S1705=1,P1705&lt;=L1705),"PASS","FAIL"))</f>
        <v>PASS</v>
      </c>
    </row>
    <row r="1706" customFormat="false" ht="15" hidden="false" customHeight="false" outlineLevel="0" collapsed="false">
      <c r="A1706" s="14" t="s">
        <v>1034</v>
      </c>
      <c r="B1706" s="14" t="s">
        <v>1019</v>
      </c>
      <c r="C1706" s="14" t="s">
        <v>198</v>
      </c>
      <c r="D1706" s="14" t="s">
        <v>194</v>
      </c>
      <c r="E1706" s="14" t="s">
        <v>169</v>
      </c>
      <c r="F1706" s="14" t="s">
        <v>191</v>
      </c>
      <c r="G1706" s="14" t="n">
        <v>2</v>
      </c>
      <c r="H1706" s="14" t="s">
        <v>153</v>
      </c>
      <c r="I1706" s="14" t="s">
        <v>892</v>
      </c>
      <c r="J1706" s="15" t="n">
        <f aca="false">IF(B1706="SITE LOSS",IF(D1706=C1706,1,0),IF(B1706="REGION LOSS",IF(E1706=C1706,1,0),0))</f>
        <v>0</v>
      </c>
      <c r="K1706" s="15" t="n">
        <f aca="false">IF(B1706="SITE LOSS",IF(COUNTIFS('Site Dockets'!$B$7:$B$24,C1706,'Site Dockets'!$C$7:$C$24,F1706)&gt;0,1,0),IF(B1706="REGION LOSS",IF(COUNTIFS('Site Dockets'!$E$7:$E$24,C1706,'Site Dockets'!$C$7:$C$24,F1706)&gt;0,1,0),0))</f>
        <v>0</v>
      </c>
      <c r="L1706" s="15" t="n">
        <f aca="false">IF(J1706=1,0,Inputs!$B$11)</f>
        <v>100</v>
      </c>
      <c r="M1706" s="15" t="n">
        <f aca="false">IF(J1706=1,0,Inputs!$B$12)</f>
        <v>75</v>
      </c>
      <c r="N1706" s="15" t="n">
        <f aca="false">IF(J1706=1,0,IF(OR(AND(OR(B1706="SITE LOSS",B1706="REGION LOSS"),K1706=1),AND(B1706="ROLE COMPROMISE",H1706=C1706)),Inputs!$B$13,Inputs!$B$14))</f>
        <v>10</v>
      </c>
      <c r="O1706" s="15" t="n">
        <f aca="false">IF(J1706=1,0,Inputs!$B$13)</f>
        <v>20</v>
      </c>
      <c r="P1706" s="15" t="n">
        <f aca="false">SUM(M1706:N1706)</f>
        <v>85</v>
      </c>
      <c r="Q1706" s="15" t="n">
        <f aca="false">IF(J1706=1,"",L1706-P1706)</f>
        <v>15</v>
      </c>
      <c r="R1706" s="15" t="n">
        <f aca="false">IF(OR(J1706=1,M1706&lt;=Inputs!$B$12),1,0)</f>
        <v>1</v>
      </c>
      <c r="S1706" s="15" t="n">
        <f aca="false">IF(OR(J1706=1,N1706&lt;=O1706),1,0)</f>
        <v>1</v>
      </c>
      <c r="T1706" s="15" t="str">
        <f aca="false">IF(J1706=1,"OFFLINE",IF(AND(Q1706&gt;=Inputs!$B$15,R1706=1,S1706=1,P1706&lt;=L1706),"PASS","FAIL"))</f>
        <v>PASS</v>
      </c>
    </row>
    <row r="1707" customFormat="false" ht="15" hidden="false" customHeight="false" outlineLevel="0" collapsed="false">
      <c r="A1707" s="14" t="s">
        <v>1034</v>
      </c>
      <c r="B1707" s="14" t="s">
        <v>1019</v>
      </c>
      <c r="C1707" s="14" t="s">
        <v>198</v>
      </c>
      <c r="D1707" s="14" t="s">
        <v>194</v>
      </c>
      <c r="E1707" s="14" t="s">
        <v>169</v>
      </c>
      <c r="F1707" s="14" t="s">
        <v>191</v>
      </c>
      <c r="G1707" s="14" t="n">
        <v>2</v>
      </c>
      <c r="H1707" s="14" t="s">
        <v>153</v>
      </c>
      <c r="I1707" s="14" t="s">
        <v>811</v>
      </c>
      <c r="J1707" s="15" t="n">
        <f aca="false">IF(B1707="SITE LOSS",IF(D1707=C1707,1,0),IF(B1707="REGION LOSS",IF(E1707=C1707,1,0),0))</f>
        <v>0</v>
      </c>
      <c r="K1707" s="15" t="n">
        <f aca="false">IF(B1707="SITE LOSS",IF(COUNTIFS('Site Dockets'!$B$7:$B$24,C1707,'Site Dockets'!$C$7:$C$24,F1707)&gt;0,1,0),IF(B1707="REGION LOSS",IF(COUNTIFS('Site Dockets'!$E$7:$E$24,C1707,'Site Dockets'!$C$7:$C$24,F1707)&gt;0,1,0),0))</f>
        <v>0</v>
      </c>
      <c r="L1707" s="15" t="n">
        <f aca="false">IF(J1707=1,0,Inputs!$B$11)</f>
        <v>100</v>
      </c>
      <c r="M1707" s="15" t="n">
        <f aca="false">IF(J1707=1,0,Inputs!$B$12)</f>
        <v>75</v>
      </c>
      <c r="N1707" s="15" t="n">
        <f aca="false">IF(J1707=1,0,IF(OR(AND(OR(B1707="SITE LOSS",B1707="REGION LOSS"),K1707=1),AND(B1707="ROLE COMPROMISE",H1707=C1707)),Inputs!$B$13,Inputs!$B$14))</f>
        <v>10</v>
      </c>
      <c r="O1707" s="15" t="n">
        <f aca="false">IF(J1707=1,0,Inputs!$B$13)</f>
        <v>20</v>
      </c>
      <c r="P1707" s="15" t="n">
        <f aca="false">SUM(M1707:N1707)</f>
        <v>85</v>
      </c>
      <c r="Q1707" s="15" t="n">
        <f aca="false">IF(J1707=1,"",L1707-P1707)</f>
        <v>15</v>
      </c>
      <c r="R1707" s="15" t="n">
        <f aca="false">IF(OR(J1707=1,M1707&lt;=Inputs!$B$12),1,0)</f>
        <v>1</v>
      </c>
      <c r="S1707" s="15" t="n">
        <f aca="false">IF(OR(J1707=1,N1707&lt;=O1707),1,0)</f>
        <v>1</v>
      </c>
      <c r="T1707" s="15" t="str">
        <f aca="false">IF(J1707=1,"OFFLINE",IF(AND(Q1707&gt;=Inputs!$B$15,R1707=1,S1707=1,P1707&lt;=L1707),"PASS","FAIL"))</f>
        <v>PASS</v>
      </c>
    </row>
    <row r="1708" customFormat="false" ht="15" hidden="false" customHeight="false" outlineLevel="0" collapsed="false">
      <c r="A1708" s="14" t="s">
        <v>1034</v>
      </c>
      <c r="B1708" s="14" t="s">
        <v>1019</v>
      </c>
      <c r="C1708" s="14" t="s">
        <v>198</v>
      </c>
      <c r="D1708" s="14" t="s">
        <v>194</v>
      </c>
      <c r="E1708" s="14" t="s">
        <v>169</v>
      </c>
      <c r="F1708" s="14" t="s">
        <v>191</v>
      </c>
      <c r="G1708" s="14" t="n">
        <v>2</v>
      </c>
      <c r="H1708" s="14" t="s">
        <v>153</v>
      </c>
      <c r="I1708" s="14" t="s">
        <v>895</v>
      </c>
      <c r="J1708" s="15" t="n">
        <f aca="false">IF(B1708="SITE LOSS",IF(D1708=C1708,1,0),IF(B1708="REGION LOSS",IF(E1708=C1708,1,0),0))</f>
        <v>0</v>
      </c>
      <c r="K1708" s="15" t="n">
        <f aca="false">IF(B1708="SITE LOSS",IF(COUNTIFS('Site Dockets'!$B$7:$B$24,C1708,'Site Dockets'!$C$7:$C$24,F1708)&gt;0,1,0),IF(B1708="REGION LOSS",IF(COUNTIFS('Site Dockets'!$E$7:$E$24,C1708,'Site Dockets'!$C$7:$C$24,F1708)&gt;0,1,0),0))</f>
        <v>0</v>
      </c>
      <c r="L1708" s="15" t="n">
        <f aca="false">IF(J1708=1,0,Inputs!$B$11)</f>
        <v>100</v>
      </c>
      <c r="M1708" s="15" t="n">
        <f aca="false">IF(J1708=1,0,Inputs!$B$12)</f>
        <v>75</v>
      </c>
      <c r="N1708" s="15" t="n">
        <f aca="false">IF(J1708=1,0,IF(OR(AND(OR(B1708="SITE LOSS",B1708="REGION LOSS"),K1708=1),AND(B1708="ROLE COMPROMISE",H1708=C1708)),Inputs!$B$13,Inputs!$B$14))</f>
        <v>10</v>
      </c>
      <c r="O1708" s="15" t="n">
        <f aca="false">IF(J1708=1,0,Inputs!$B$13)</f>
        <v>20</v>
      </c>
      <c r="P1708" s="15" t="n">
        <f aca="false">SUM(M1708:N1708)</f>
        <v>85</v>
      </c>
      <c r="Q1708" s="15" t="n">
        <f aca="false">IF(J1708=1,"",L1708-P1708)</f>
        <v>15</v>
      </c>
      <c r="R1708" s="15" t="n">
        <f aca="false">IF(OR(J1708=1,M1708&lt;=Inputs!$B$12),1,0)</f>
        <v>1</v>
      </c>
      <c r="S1708" s="15" t="n">
        <f aca="false">IF(OR(J1708=1,N1708&lt;=O1708),1,0)</f>
        <v>1</v>
      </c>
      <c r="T1708" s="15" t="str">
        <f aca="false">IF(J1708=1,"OFFLINE",IF(AND(Q1708&gt;=Inputs!$B$15,R1708=1,S1708=1,P1708&lt;=L1708),"PASS","FAIL"))</f>
        <v>PASS</v>
      </c>
    </row>
    <row r="1709" customFormat="false" ht="15" hidden="false" customHeight="false" outlineLevel="0" collapsed="false">
      <c r="A1709" s="14" t="s">
        <v>1034</v>
      </c>
      <c r="B1709" s="14" t="s">
        <v>1019</v>
      </c>
      <c r="C1709" s="14" t="s">
        <v>198</v>
      </c>
      <c r="D1709" s="14" t="s">
        <v>194</v>
      </c>
      <c r="E1709" s="14" t="s">
        <v>169</v>
      </c>
      <c r="F1709" s="14" t="s">
        <v>191</v>
      </c>
      <c r="G1709" s="14" t="n">
        <v>2</v>
      </c>
      <c r="H1709" s="14" t="s">
        <v>153</v>
      </c>
      <c r="I1709" s="14" t="s">
        <v>897</v>
      </c>
      <c r="J1709" s="15" t="n">
        <f aca="false">IF(B1709="SITE LOSS",IF(D1709=C1709,1,0),IF(B1709="REGION LOSS",IF(E1709=C1709,1,0),0))</f>
        <v>0</v>
      </c>
      <c r="K1709" s="15" t="n">
        <f aca="false">IF(B1709="SITE LOSS",IF(COUNTIFS('Site Dockets'!$B$7:$B$24,C1709,'Site Dockets'!$C$7:$C$24,F1709)&gt;0,1,0),IF(B1709="REGION LOSS",IF(COUNTIFS('Site Dockets'!$E$7:$E$24,C1709,'Site Dockets'!$C$7:$C$24,F1709)&gt;0,1,0),0))</f>
        <v>0</v>
      </c>
      <c r="L1709" s="15" t="n">
        <f aca="false">IF(J1709=1,0,Inputs!$B$11)</f>
        <v>100</v>
      </c>
      <c r="M1709" s="15" t="n">
        <f aca="false">IF(J1709=1,0,Inputs!$B$12)</f>
        <v>75</v>
      </c>
      <c r="N1709" s="15" t="n">
        <f aca="false">IF(J1709=1,0,IF(OR(AND(OR(B1709="SITE LOSS",B1709="REGION LOSS"),K1709=1),AND(B1709="ROLE COMPROMISE",H1709=C1709)),Inputs!$B$13,Inputs!$B$14))</f>
        <v>10</v>
      </c>
      <c r="O1709" s="15" t="n">
        <f aca="false">IF(J1709=1,0,Inputs!$B$13)</f>
        <v>20</v>
      </c>
      <c r="P1709" s="15" t="n">
        <f aca="false">SUM(M1709:N1709)</f>
        <v>85</v>
      </c>
      <c r="Q1709" s="15" t="n">
        <f aca="false">IF(J1709=1,"",L1709-P1709)</f>
        <v>15</v>
      </c>
      <c r="R1709" s="15" t="n">
        <f aca="false">IF(OR(J1709=1,M1709&lt;=Inputs!$B$12),1,0)</f>
        <v>1</v>
      </c>
      <c r="S1709" s="15" t="n">
        <f aca="false">IF(OR(J1709=1,N1709&lt;=O1709),1,0)</f>
        <v>1</v>
      </c>
      <c r="T1709" s="15" t="str">
        <f aca="false">IF(J1709=1,"OFFLINE",IF(AND(Q1709&gt;=Inputs!$B$15,R1709=1,S1709=1,P1709&lt;=L1709),"PASS","FAIL"))</f>
        <v>PASS</v>
      </c>
    </row>
    <row r="1710" customFormat="false" ht="15" hidden="false" customHeight="false" outlineLevel="0" collapsed="false">
      <c r="A1710" s="14" t="s">
        <v>1034</v>
      </c>
      <c r="B1710" s="14" t="s">
        <v>1019</v>
      </c>
      <c r="C1710" s="14" t="s">
        <v>198</v>
      </c>
      <c r="D1710" s="14" t="s">
        <v>194</v>
      </c>
      <c r="E1710" s="14" t="s">
        <v>169</v>
      </c>
      <c r="F1710" s="14" t="s">
        <v>191</v>
      </c>
      <c r="G1710" s="14" t="n">
        <v>2</v>
      </c>
      <c r="H1710" s="14" t="s">
        <v>153</v>
      </c>
      <c r="I1710" s="14" t="s">
        <v>899</v>
      </c>
      <c r="J1710" s="15" t="n">
        <f aca="false">IF(B1710="SITE LOSS",IF(D1710=C1710,1,0),IF(B1710="REGION LOSS",IF(E1710=C1710,1,0),0))</f>
        <v>0</v>
      </c>
      <c r="K1710" s="15" t="n">
        <f aca="false">IF(B1710="SITE LOSS",IF(COUNTIFS('Site Dockets'!$B$7:$B$24,C1710,'Site Dockets'!$C$7:$C$24,F1710)&gt;0,1,0),IF(B1710="REGION LOSS",IF(COUNTIFS('Site Dockets'!$E$7:$E$24,C1710,'Site Dockets'!$C$7:$C$24,F1710)&gt;0,1,0),0))</f>
        <v>0</v>
      </c>
      <c r="L1710" s="15" t="n">
        <f aca="false">IF(J1710=1,0,Inputs!$B$11)</f>
        <v>100</v>
      </c>
      <c r="M1710" s="15" t="n">
        <f aca="false">IF(J1710=1,0,Inputs!$B$12)</f>
        <v>75</v>
      </c>
      <c r="N1710" s="15" t="n">
        <f aca="false">IF(J1710=1,0,IF(OR(AND(OR(B1710="SITE LOSS",B1710="REGION LOSS"),K1710=1),AND(B1710="ROLE COMPROMISE",H1710=C1710)),Inputs!$B$13,Inputs!$B$14))</f>
        <v>10</v>
      </c>
      <c r="O1710" s="15" t="n">
        <f aca="false">IF(J1710=1,0,Inputs!$B$13)</f>
        <v>20</v>
      </c>
      <c r="P1710" s="15" t="n">
        <f aca="false">SUM(M1710:N1710)</f>
        <v>85</v>
      </c>
      <c r="Q1710" s="15" t="n">
        <f aca="false">IF(J1710=1,"",L1710-P1710)</f>
        <v>15</v>
      </c>
      <c r="R1710" s="15" t="n">
        <f aca="false">IF(OR(J1710=1,M1710&lt;=Inputs!$B$12),1,0)</f>
        <v>1</v>
      </c>
      <c r="S1710" s="15" t="n">
        <f aca="false">IF(OR(J1710=1,N1710&lt;=O1710),1,0)</f>
        <v>1</v>
      </c>
      <c r="T1710" s="15" t="str">
        <f aca="false">IF(J1710=1,"OFFLINE",IF(AND(Q1710&gt;=Inputs!$B$15,R1710=1,S1710=1,P1710&lt;=L1710),"PASS","FAIL"))</f>
        <v>PASS</v>
      </c>
    </row>
    <row r="1711" customFormat="false" ht="15" hidden="false" customHeight="false" outlineLevel="0" collapsed="false">
      <c r="A1711" s="14" t="s">
        <v>1034</v>
      </c>
      <c r="B1711" s="14" t="s">
        <v>1019</v>
      </c>
      <c r="C1711" s="14" t="s">
        <v>198</v>
      </c>
      <c r="D1711" s="14" t="s">
        <v>196</v>
      </c>
      <c r="E1711" s="14" t="s">
        <v>172</v>
      </c>
      <c r="F1711" s="14" t="s">
        <v>191</v>
      </c>
      <c r="G1711" s="14" t="n">
        <v>3</v>
      </c>
      <c r="H1711" s="14" t="s">
        <v>158</v>
      </c>
      <c r="I1711" s="14" t="s">
        <v>890</v>
      </c>
      <c r="J1711" s="15" t="n">
        <f aca="false">IF(B1711="SITE LOSS",IF(D1711=C1711,1,0),IF(B1711="REGION LOSS",IF(E1711=C1711,1,0),0))</f>
        <v>0</v>
      </c>
      <c r="K1711" s="15" t="n">
        <f aca="false">IF(B1711="SITE LOSS",IF(COUNTIFS('Site Dockets'!$B$7:$B$24,C1711,'Site Dockets'!$C$7:$C$24,F1711)&gt;0,1,0),IF(B1711="REGION LOSS",IF(COUNTIFS('Site Dockets'!$E$7:$E$24,C1711,'Site Dockets'!$C$7:$C$24,F1711)&gt;0,1,0),0))</f>
        <v>0</v>
      </c>
      <c r="L1711" s="15" t="n">
        <f aca="false">IF(J1711=1,0,Inputs!$B$11)</f>
        <v>100</v>
      </c>
      <c r="M1711" s="15" t="n">
        <f aca="false">IF(J1711=1,0,Inputs!$B$12)</f>
        <v>75</v>
      </c>
      <c r="N1711" s="15" t="n">
        <f aca="false">IF(J1711=1,0,IF(OR(AND(OR(B1711="SITE LOSS",B1711="REGION LOSS"),K1711=1),AND(B1711="ROLE COMPROMISE",H1711=C1711)),Inputs!$B$13,Inputs!$B$14))</f>
        <v>10</v>
      </c>
      <c r="O1711" s="15" t="n">
        <f aca="false">IF(J1711=1,0,Inputs!$B$13)</f>
        <v>20</v>
      </c>
      <c r="P1711" s="15" t="n">
        <f aca="false">SUM(M1711:N1711)</f>
        <v>85</v>
      </c>
      <c r="Q1711" s="15" t="n">
        <f aca="false">IF(J1711=1,"",L1711-P1711)</f>
        <v>15</v>
      </c>
      <c r="R1711" s="15" t="n">
        <f aca="false">IF(OR(J1711=1,M1711&lt;=Inputs!$B$12),1,0)</f>
        <v>1</v>
      </c>
      <c r="S1711" s="15" t="n">
        <f aca="false">IF(OR(J1711=1,N1711&lt;=O1711),1,0)</f>
        <v>1</v>
      </c>
      <c r="T1711" s="15" t="str">
        <f aca="false">IF(J1711=1,"OFFLINE",IF(AND(Q1711&gt;=Inputs!$B$15,R1711=1,S1711=1,P1711&lt;=L1711),"PASS","FAIL"))</f>
        <v>PASS</v>
      </c>
    </row>
    <row r="1712" customFormat="false" ht="15" hidden="false" customHeight="false" outlineLevel="0" collapsed="false">
      <c r="A1712" s="14" t="s">
        <v>1034</v>
      </c>
      <c r="B1712" s="14" t="s">
        <v>1019</v>
      </c>
      <c r="C1712" s="14" t="s">
        <v>198</v>
      </c>
      <c r="D1712" s="14" t="s">
        <v>196</v>
      </c>
      <c r="E1712" s="14" t="s">
        <v>172</v>
      </c>
      <c r="F1712" s="14" t="s">
        <v>191</v>
      </c>
      <c r="G1712" s="14" t="n">
        <v>3</v>
      </c>
      <c r="H1712" s="14" t="s">
        <v>158</v>
      </c>
      <c r="I1712" s="14" t="s">
        <v>892</v>
      </c>
      <c r="J1712" s="15" t="n">
        <f aca="false">IF(B1712="SITE LOSS",IF(D1712=C1712,1,0),IF(B1712="REGION LOSS",IF(E1712=C1712,1,0),0))</f>
        <v>0</v>
      </c>
      <c r="K1712" s="15" t="n">
        <f aca="false">IF(B1712="SITE LOSS",IF(COUNTIFS('Site Dockets'!$B$7:$B$24,C1712,'Site Dockets'!$C$7:$C$24,F1712)&gt;0,1,0),IF(B1712="REGION LOSS",IF(COUNTIFS('Site Dockets'!$E$7:$E$24,C1712,'Site Dockets'!$C$7:$C$24,F1712)&gt;0,1,0),0))</f>
        <v>0</v>
      </c>
      <c r="L1712" s="15" t="n">
        <f aca="false">IF(J1712=1,0,Inputs!$B$11)</f>
        <v>100</v>
      </c>
      <c r="M1712" s="15" t="n">
        <f aca="false">IF(J1712=1,0,Inputs!$B$12)</f>
        <v>75</v>
      </c>
      <c r="N1712" s="15" t="n">
        <f aca="false">IF(J1712=1,0,IF(OR(AND(OR(B1712="SITE LOSS",B1712="REGION LOSS"),K1712=1),AND(B1712="ROLE COMPROMISE",H1712=C1712)),Inputs!$B$13,Inputs!$B$14))</f>
        <v>10</v>
      </c>
      <c r="O1712" s="15" t="n">
        <f aca="false">IF(J1712=1,0,Inputs!$B$13)</f>
        <v>20</v>
      </c>
      <c r="P1712" s="15" t="n">
        <f aca="false">SUM(M1712:N1712)</f>
        <v>85</v>
      </c>
      <c r="Q1712" s="15" t="n">
        <f aca="false">IF(J1712=1,"",L1712-P1712)</f>
        <v>15</v>
      </c>
      <c r="R1712" s="15" t="n">
        <f aca="false">IF(OR(J1712=1,M1712&lt;=Inputs!$B$12),1,0)</f>
        <v>1</v>
      </c>
      <c r="S1712" s="15" t="n">
        <f aca="false">IF(OR(J1712=1,N1712&lt;=O1712),1,0)</f>
        <v>1</v>
      </c>
      <c r="T1712" s="15" t="str">
        <f aca="false">IF(J1712=1,"OFFLINE",IF(AND(Q1712&gt;=Inputs!$B$15,R1712=1,S1712=1,P1712&lt;=L1712),"PASS","FAIL"))</f>
        <v>PASS</v>
      </c>
    </row>
    <row r="1713" customFormat="false" ht="15" hidden="false" customHeight="false" outlineLevel="0" collapsed="false">
      <c r="A1713" s="14" t="s">
        <v>1034</v>
      </c>
      <c r="B1713" s="14" t="s">
        <v>1019</v>
      </c>
      <c r="C1713" s="14" t="s">
        <v>198</v>
      </c>
      <c r="D1713" s="14" t="s">
        <v>196</v>
      </c>
      <c r="E1713" s="14" t="s">
        <v>172</v>
      </c>
      <c r="F1713" s="14" t="s">
        <v>191</v>
      </c>
      <c r="G1713" s="14" t="n">
        <v>3</v>
      </c>
      <c r="H1713" s="14" t="s">
        <v>158</v>
      </c>
      <c r="I1713" s="14" t="s">
        <v>811</v>
      </c>
      <c r="J1713" s="15" t="n">
        <f aca="false">IF(B1713="SITE LOSS",IF(D1713=C1713,1,0),IF(B1713="REGION LOSS",IF(E1713=C1713,1,0),0))</f>
        <v>0</v>
      </c>
      <c r="K1713" s="15" t="n">
        <f aca="false">IF(B1713="SITE LOSS",IF(COUNTIFS('Site Dockets'!$B$7:$B$24,C1713,'Site Dockets'!$C$7:$C$24,F1713)&gt;0,1,0),IF(B1713="REGION LOSS",IF(COUNTIFS('Site Dockets'!$E$7:$E$24,C1713,'Site Dockets'!$C$7:$C$24,F1713)&gt;0,1,0),0))</f>
        <v>0</v>
      </c>
      <c r="L1713" s="15" t="n">
        <f aca="false">IF(J1713=1,0,Inputs!$B$11)</f>
        <v>100</v>
      </c>
      <c r="M1713" s="15" t="n">
        <f aca="false">IF(J1713=1,0,Inputs!$B$12)</f>
        <v>75</v>
      </c>
      <c r="N1713" s="15" t="n">
        <f aca="false">IF(J1713=1,0,IF(OR(AND(OR(B1713="SITE LOSS",B1713="REGION LOSS"),K1713=1),AND(B1713="ROLE COMPROMISE",H1713=C1713)),Inputs!$B$13,Inputs!$B$14))</f>
        <v>10</v>
      </c>
      <c r="O1713" s="15" t="n">
        <f aca="false">IF(J1713=1,0,Inputs!$B$13)</f>
        <v>20</v>
      </c>
      <c r="P1713" s="15" t="n">
        <f aca="false">SUM(M1713:N1713)</f>
        <v>85</v>
      </c>
      <c r="Q1713" s="15" t="n">
        <f aca="false">IF(J1713=1,"",L1713-P1713)</f>
        <v>15</v>
      </c>
      <c r="R1713" s="15" t="n">
        <f aca="false">IF(OR(J1713=1,M1713&lt;=Inputs!$B$12),1,0)</f>
        <v>1</v>
      </c>
      <c r="S1713" s="15" t="n">
        <f aca="false">IF(OR(J1713=1,N1713&lt;=O1713),1,0)</f>
        <v>1</v>
      </c>
      <c r="T1713" s="15" t="str">
        <f aca="false">IF(J1713=1,"OFFLINE",IF(AND(Q1713&gt;=Inputs!$B$15,R1713=1,S1713=1,P1713&lt;=L1713),"PASS","FAIL"))</f>
        <v>PASS</v>
      </c>
    </row>
    <row r="1714" customFormat="false" ht="15" hidden="false" customHeight="false" outlineLevel="0" collapsed="false">
      <c r="A1714" s="14" t="s">
        <v>1034</v>
      </c>
      <c r="B1714" s="14" t="s">
        <v>1019</v>
      </c>
      <c r="C1714" s="14" t="s">
        <v>198</v>
      </c>
      <c r="D1714" s="14" t="s">
        <v>196</v>
      </c>
      <c r="E1714" s="14" t="s">
        <v>172</v>
      </c>
      <c r="F1714" s="14" t="s">
        <v>191</v>
      </c>
      <c r="G1714" s="14" t="n">
        <v>3</v>
      </c>
      <c r="H1714" s="14" t="s">
        <v>158</v>
      </c>
      <c r="I1714" s="14" t="s">
        <v>895</v>
      </c>
      <c r="J1714" s="15" t="n">
        <f aca="false">IF(B1714="SITE LOSS",IF(D1714=C1714,1,0),IF(B1714="REGION LOSS",IF(E1714=C1714,1,0),0))</f>
        <v>0</v>
      </c>
      <c r="K1714" s="15" t="n">
        <f aca="false">IF(B1714="SITE LOSS",IF(COUNTIFS('Site Dockets'!$B$7:$B$24,C1714,'Site Dockets'!$C$7:$C$24,F1714)&gt;0,1,0),IF(B1714="REGION LOSS",IF(COUNTIFS('Site Dockets'!$E$7:$E$24,C1714,'Site Dockets'!$C$7:$C$24,F1714)&gt;0,1,0),0))</f>
        <v>0</v>
      </c>
      <c r="L1714" s="15" t="n">
        <f aca="false">IF(J1714=1,0,Inputs!$B$11)</f>
        <v>100</v>
      </c>
      <c r="M1714" s="15" t="n">
        <f aca="false">IF(J1714=1,0,Inputs!$B$12)</f>
        <v>75</v>
      </c>
      <c r="N1714" s="15" t="n">
        <f aca="false">IF(J1714=1,0,IF(OR(AND(OR(B1714="SITE LOSS",B1714="REGION LOSS"),K1714=1),AND(B1714="ROLE COMPROMISE",H1714=C1714)),Inputs!$B$13,Inputs!$B$14))</f>
        <v>10</v>
      </c>
      <c r="O1714" s="15" t="n">
        <f aca="false">IF(J1714=1,0,Inputs!$B$13)</f>
        <v>20</v>
      </c>
      <c r="P1714" s="15" t="n">
        <f aca="false">SUM(M1714:N1714)</f>
        <v>85</v>
      </c>
      <c r="Q1714" s="15" t="n">
        <f aca="false">IF(J1714=1,"",L1714-P1714)</f>
        <v>15</v>
      </c>
      <c r="R1714" s="15" t="n">
        <f aca="false">IF(OR(J1714=1,M1714&lt;=Inputs!$B$12),1,0)</f>
        <v>1</v>
      </c>
      <c r="S1714" s="15" t="n">
        <f aca="false">IF(OR(J1714=1,N1714&lt;=O1714),1,0)</f>
        <v>1</v>
      </c>
      <c r="T1714" s="15" t="str">
        <f aca="false">IF(J1714=1,"OFFLINE",IF(AND(Q1714&gt;=Inputs!$B$15,R1714=1,S1714=1,P1714&lt;=L1714),"PASS","FAIL"))</f>
        <v>PASS</v>
      </c>
    </row>
    <row r="1715" customFormat="false" ht="15" hidden="false" customHeight="false" outlineLevel="0" collapsed="false">
      <c r="A1715" s="14" t="s">
        <v>1034</v>
      </c>
      <c r="B1715" s="14" t="s">
        <v>1019</v>
      </c>
      <c r="C1715" s="14" t="s">
        <v>198</v>
      </c>
      <c r="D1715" s="14" t="s">
        <v>196</v>
      </c>
      <c r="E1715" s="14" t="s">
        <v>172</v>
      </c>
      <c r="F1715" s="14" t="s">
        <v>191</v>
      </c>
      <c r="G1715" s="14" t="n">
        <v>3</v>
      </c>
      <c r="H1715" s="14" t="s">
        <v>158</v>
      </c>
      <c r="I1715" s="14" t="s">
        <v>897</v>
      </c>
      <c r="J1715" s="15" t="n">
        <f aca="false">IF(B1715="SITE LOSS",IF(D1715=C1715,1,0),IF(B1715="REGION LOSS",IF(E1715=C1715,1,0),0))</f>
        <v>0</v>
      </c>
      <c r="K1715" s="15" t="n">
        <f aca="false">IF(B1715="SITE LOSS",IF(COUNTIFS('Site Dockets'!$B$7:$B$24,C1715,'Site Dockets'!$C$7:$C$24,F1715)&gt;0,1,0),IF(B1715="REGION LOSS",IF(COUNTIFS('Site Dockets'!$E$7:$E$24,C1715,'Site Dockets'!$C$7:$C$24,F1715)&gt;0,1,0),0))</f>
        <v>0</v>
      </c>
      <c r="L1715" s="15" t="n">
        <f aca="false">IF(J1715=1,0,Inputs!$B$11)</f>
        <v>100</v>
      </c>
      <c r="M1715" s="15" t="n">
        <f aca="false">IF(J1715=1,0,Inputs!$B$12)</f>
        <v>75</v>
      </c>
      <c r="N1715" s="15" t="n">
        <f aca="false">IF(J1715=1,0,IF(OR(AND(OR(B1715="SITE LOSS",B1715="REGION LOSS"),K1715=1),AND(B1715="ROLE COMPROMISE",H1715=C1715)),Inputs!$B$13,Inputs!$B$14))</f>
        <v>10</v>
      </c>
      <c r="O1715" s="15" t="n">
        <f aca="false">IF(J1715=1,0,Inputs!$B$13)</f>
        <v>20</v>
      </c>
      <c r="P1715" s="15" t="n">
        <f aca="false">SUM(M1715:N1715)</f>
        <v>85</v>
      </c>
      <c r="Q1715" s="15" t="n">
        <f aca="false">IF(J1715=1,"",L1715-P1715)</f>
        <v>15</v>
      </c>
      <c r="R1715" s="15" t="n">
        <f aca="false">IF(OR(J1715=1,M1715&lt;=Inputs!$B$12),1,0)</f>
        <v>1</v>
      </c>
      <c r="S1715" s="15" t="n">
        <f aca="false">IF(OR(J1715=1,N1715&lt;=O1715),1,0)</f>
        <v>1</v>
      </c>
      <c r="T1715" s="15" t="str">
        <f aca="false">IF(J1715=1,"OFFLINE",IF(AND(Q1715&gt;=Inputs!$B$15,R1715=1,S1715=1,P1715&lt;=L1715),"PASS","FAIL"))</f>
        <v>PASS</v>
      </c>
    </row>
    <row r="1716" customFormat="false" ht="15" hidden="false" customHeight="false" outlineLevel="0" collapsed="false">
      <c r="A1716" s="14" t="s">
        <v>1034</v>
      </c>
      <c r="B1716" s="14" t="s">
        <v>1019</v>
      </c>
      <c r="C1716" s="14" t="s">
        <v>198</v>
      </c>
      <c r="D1716" s="14" t="s">
        <v>196</v>
      </c>
      <c r="E1716" s="14" t="s">
        <v>172</v>
      </c>
      <c r="F1716" s="14" t="s">
        <v>191</v>
      </c>
      <c r="G1716" s="14" t="n">
        <v>3</v>
      </c>
      <c r="H1716" s="14" t="s">
        <v>158</v>
      </c>
      <c r="I1716" s="14" t="s">
        <v>899</v>
      </c>
      <c r="J1716" s="15" t="n">
        <f aca="false">IF(B1716="SITE LOSS",IF(D1716=C1716,1,0),IF(B1716="REGION LOSS",IF(E1716=C1716,1,0),0))</f>
        <v>0</v>
      </c>
      <c r="K1716" s="15" t="n">
        <f aca="false">IF(B1716="SITE LOSS",IF(COUNTIFS('Site Dockets'!$B$7:$B$24,C1716,'Site Dockets'!$C$7:$C$24,F1716)&gt;0,1,0),IF(B1716="REGION LOSS",IF(COUNTIFS('Site Dockets'!$E$7:$E$24,C1716,'Site Dockets'!$C$7:$C$24,F1716)&gt;0,1,0),0))</f>
        <v>0</v>
      </c>
      <c r="L1716" s="15" t="n">
        <f aca="false">IF(J1716=1,0,Inputs!$B$11)</f>
        <v>100</v>
      </c>
      <c r="M1716" s="15" t="n">
        <f aca="false">IF(J1716=1,0,Inputs!$B$12)</f>
        <v>75</v>
      </c>
      <c r="N1716" s="15" t="n">
        <f aca="false">IF(J1716=1,0,IF(OR(AND(OR(B1716="SITE LOSS",B1716="REGION LOSS"),K1716=1),AND(B1716="ROLE COMPROMISE",H1716=C1716)),Inputs!$B$13,Inputs!$B$14))</f>
        <v>10</v>
      </c>
      <c r="O1716" s="15" t="n">
        <f aca="false">IF(J1716=1,0,Inputs!$B$13)</f>
        <v>20</v>
      </c>
      <c r="P1716" s="15" t="n">
        <f aca="false">SUM(M1716:N1716)</f>
        <v>85</v>
      </c>
      <c r="Q1716" s="15" t="n">
        <f aca="false">IF(J1716=1,"",L1716-P1716)</f>
        <v>15</v>
      </c>
      <c r="R1716" s="15" t="n">
        <f aca="false">IF(OR(J1716=1,M1716&lt;=Inputs!$B$12),1,0)</f>
        <v>1</v>
      </c>
      <c r="S1716" s="15" t="n">
        <f aca="false">IF(OR(J1716=1,N1716&lt;=O1716),1,0)</f>
        <v>1</v>
      </c>
      <c r="T1716" s="15" t="str">
        <f aca="false">IF(J1716=1,"OFFLINE",IF(AND(Q1716&gt;=Inputs!$B$15,R1716=1,S1716=1,P1716&lt;=L1716),"PASS","FAIL"))</f>
        <v>PASS</v>
      </c>
    </row>
    <row r="1717" customFormat="false" ht="15" hidden="false" customHeight="false" outlineLevel="0" collapsed="false">
      <c r="A1717" s="14" t="s">
        <v>1034</v>
      </c>
      <c r="B1717" s="14" t="s">
        <v>1019</v>
      </c>
      <c r="C1717" s="14" t="s">
        <v>198</v>
      </c>
      <c r="D1717" s="14" t="s">
        <v>198</v>
      </c>
      <c r="E1717" s="14" t="s">
        <v>166</v>
      </c>
      <c r="F1717" s="14" t="s">
        <v>199</v>
      </c>
      <c r="G1717" s="14" t="n">
        <v>1</v>
      </c>
      <c r="H1717" s="14" t="s">
        <v>154</v>
      </c>
      <c r="I1717" s="14" t="s">
        <v>890</v>
      </c>
      <c r="J1717" s="15" t="n">
        <f aca="false">IF(B1717="SITE LOSS",IF(D1717=C1717,1,0),IF(B1717="REGION LOSS",IF(E1717=C1717,1,0),0))</f>
        <v>1</v>
      </c>
      <c r="K1717" s="15" t="n">
        <f aca="false">IF(B1717="SITE LOSS",IF(COUNTIFS('Site Dockets'!$B$7:$B$24,C1717,'Site Dockets'!$C$7:$C$24,F1717)&gt;0,1,0),IF(B1717="REGION LOSS",IF(COUNTIFS('Site Dockets'!$E$7:$E$24,C1717,'Site Dockets'!$C$7:$C$24,F1717)&gt;0,1,0),0))</f>
        <v>1</v>
      </c>
      <c r="L1717" s="15" t="n">
        <f aca="false">IF(J1717=1,0,Inputs!$B$11)</f>
        <v>0</v>
      </c>
      <c r="M1717" s="15" t="n">
        <f aca="false">IF(J1717=1,0,Inputs!$B$12)</f>
        <v>0</v>
      </c>
      <c r="N1717" s="15" t="n">
        <f aca="false">IF(J1717=1,0,IF(OR(AND(OR(B1717="SITE LOSS",B1717="REGION LOSS"),K1717=1),AND(B1717="ROLE COMPROMISE",H1717=C1717)),Inputs!$B$13,Inputs!$B$14))</f>
        <v>0</v>
      </c>
      <c r="O1717" s="15" t="n">
        <f aca="false">IF(J1717=1,0,Inputs!$B$13)</f>
        <v>0</v>
      </c>
      <c r="P1717" s="15" t="n">
        <f aca="false">SUM(M1717:N1717)</f>
        <v>0</v>
      </c>
      <c r="Q1717" s="15" t="str">
        <f aca="false">IF(J1717=1,"",L1717-P1717)</f>
        <v/>
      </c>
      <c r="R1717" s="15" t="n">
        <f aca="false">IF(OR(J1717=1,M1717&lt;=Inputs!$B$12),1,0)</f>
        <v>1</v>
      </c>
      <c r="S1717" s="15" t="n">
        <f aca="false">IF(OR(J1717=1,N1717&lt;=O1717),1,0)</f>
        <v>1</v>
      </c>
      <c r="T1717" s="15" t="str">
        <f aca="false">IF(J1717=1,"OFFLINE",IF(AND(Q1717&gt;=Inputs!$B$15,R1717=1,S1717=1,P1717&lt;=L1717),"PASS","FAIL"))</f>
        <v>OFFLINE</v>
      </c>
    </row>
    <row r="1718" customFormat="false" ht="15" hidden="false" customHeight="false" outlineLevel="0" collapsed="false">
      <c r="A1718" s="14" t="s">
        <v>1034</v>
      </c>
      <c r="B1718" s="14" t="s">
        <v>1019</v>
      </c>
      <c r="C1718" s="14" t="s">
        <v>198</v>
      </c>
      <c r="D1718" s="14" t="s">
        <v>198</v>
      </c>
      <c r="E1718" s="14" t="s">
        <v>166</v>
      </c>
      <c r="F1718" s="14" t="s">
        <v>199</v>
      </c>
      <c r="G1718" s="14" t="n">
        <v>1</v>
      </c>
      <c r="H1718" s="14" t="s">
        <v>154</v>
      </c>
      <c r="I1718" s="14" t="s">
        <v>892</v>
      </c>
      <c r="J1718" s="15" t="n">
        <f aca="false">IF(B1718="SITE LOSS",IF(D1718=C1718,1,0),IF(B1718="REGION LOSS",IF(E1718=C1718,1,0),0))</f>
        <v>1</v>
      </c>
      <c r="K1718" s="15" t="n">
        <f aca="false">IF(B1718="SITE LOSS",IF(COUNTIFS('Site Dockets'!$B$7:$B$24,C1718,'Site Dockets'!$C$7:$C$24,F1718)&gt;0,1,0),IF(B1718="REGION LOSS",IF(COUNTIFS('Site Dockets'!$E$7:$E$24,C1718,'Site Dockets'!$C$7:$C$24,F1718)&gt;0,1,0),0))</f>
        <v>1</v>
      </c>
      <c r="L1718" s="15" t="n">
        <f aca="false">IF(J1718=1,0,Inputs!$B$11)</f>
        <v>0</v>
      </c>
      <c r="M1718" s="15" t="n">
        <f aca="false">IF(J1718=1,0,Inputs!$B$12)</f>
        <v>0</v>
      </c>
      <c r="N1718" s="15" t="n">
        <f aca="false">IF(J1718=1,0,IF(OR(AND(OR(B1718="SITE LOSS",B1718="REGION LOSS"),K1718=1),AND(B1718="ROLE COMPROMISE",H1718=C1718)),Inputs!$B$13,Inputs!$B$14))</f>
        <v>0</v>
      </c>
      <c r="O1718" s="15" t="n">
        <f aca="false">IF(J1718=1,0,Inputs!$B$13)</f>
        <v>0</v>
      </c>
      <c r="P1718" s="15" t="n">
        <f aca="false">SUM(M1718:N1718)</f>
        <v>0</v>
      </c>
      <c r="Q1718" s="15" t="str">
        <f aca="false">IF(J1718=1,"",L1718-P1718)</f>
        <v/>
      </c>
      <c r="R1718" s="15" t="n">
        <f aca="false">IF(OR(J1718=1,M1718&lt;=Inputs!$B$12),1,0)</f>
        <v>1</v>
      </c>
      <c r="S1718" s="15" t="n">
        <f aca="false">IF(OR(J1718=1,N1718&lt;=O1718),1,0)</f>
        <v>1</v>
      </c>
      <c r="T1718" s="15" t="str">
        <f aca="false">IF(J1718=1,"OFFLINE",IF(AND(Q1718&gt;=Inputs!$B$15,R1718=1,S1718=1,P1718&lt;=L1718),"PASS","FAIL"))</f>
        <v>OFFLINE</v>
      </c>
    </row>
    <row r="1719" customFormat="false" ht="15" hidden="false" customHeight="false" outlineLevel="0" collapsed="false">
      <c r="A1719" s="14" t="s">
        <v>1034</v>
      </c>
      <c r="B1719" s="14" t="s">
        <v>1019</v>
      </c>
      <c r="C1719" s="14" t="s">
        <v>198</v>
      </c>
      <c r="D1719" s="14" t="s">
        <v>198</v>
      </c>
      <c r="E1719" s="14" t="s">
        <v>166</v>
      </c>
      <c r="F1719" s="14" t="s">
        <v>199</v>
      </c>
      <c r="G1719" s="14" t="n">
        <v>1</v>
      </c>
      <c r="H1719" s="14" t="s">
        <v>154</v>
      </c>
      <c r="I1719" s="14" t="s">
        <v>811</v>
      </c>
      <c r="J1719" s="15" t="n">
        <f aca="false">IF(B1719="SITE LOSS",IF(D1719=C1719,1,0),IF(B1719="REGION LOSS",IF(E1719=C1719,1,0),0))</f>
        <v>1</v>
      </c>
      <c r="K1719" s="15" t="n">
        <f aca="false">IF(B1719="SITE LOSS",IF(COUNTIFS('Site Dockets'!$B$7:$B$24,C1719,'Site Dockets'!$C$7:$C$24,F1719)&gt;0,1,0),IF(B1719="REGION LOSS",IF(COUNTIFS('Site Dockets'!$E$7:$E$24,C1719,'Site Dockets'!$C$7:$C$24,F1719)&gt;0,1,0),0))</f>
        <v>1</v>
      </c>
      <c r="L1719" s="15" t="n">
        <f aca="false">IF(J1719=1,0,Inputs!$B$11)</f>
        <v>0</v>
      </c>
      <c r="M1719" s="15" t="n">
        <f aca="false">IF(J1719=1,0,Inputs!$B$12)</f>
        <v>0</v>
      </c>
      <c r="N1719" s="15" t="n">
        <f aca="false">IF(J1719=1,0,IF(OR(AND(OR(B1719="SITE LOSS",B1719="REGION LOSS"),K1719=1),AND(B1719="ROLE COMPROMISE",H1719=C1719)),Inputs!$B$13,Inputs!$B$14))</f>
        <v>0</v>
      </c>
      <c r="O1719" s="15" t="n">
        <f aca="false">IF(J1719=1,0,Inputs!$B$13)</f>
        <v>0</v>
      </c>
      <c r="P1719" s="15" t="n">
        <f aca="false">SUM(M1719:N1719)</f>
        <v>0</v>
      </c>
      <c r="Q1719" s="15" t="str">
        <f aca="false">IF(J1719=1,"",L1719-P1719)</f>
        <v/>
      </c>
      <c r="R1719" s="15" t="n">
        <f aca="false">IF(OR(J1719=1,M1719&lt;=Inputs!$B$12),1,0)</f>
        <v>1</v>
      </c>
      <c r="S1719" s="15" t="n">
        <f aca="false">IF(OR(J1719=1,N1719&lt;=O1719),1,0)</f>
        <v>1</v>
      </c>
      <c r="T1719" s="15" t="str">
        <f aca="false">IF(J1719=1,"OFFLINE",IF(AND(Q1719&gt;=Inputs!$B$15,R1719=1,S1719=1,P1719&lt;=L1719),"PASS","FAIL"))</f>
        <v>OFFLINE</v>
      </c>
    </row>
    <row r="1720" customFormat="false" ht="15" hidden="false" customHeight="false" outlineLevel="0" collapsed="false">
      <c r="A1720" s="14" t="s">
        <v>1034</v>
      </c>
      <c r="B1720" s="14" t="s">
        <v>1019</v>
      </c>
      <c r="C1720" s="14" t="s">
        <v>198</v>
      </c>
      <c r="D1720" s="14" t="s">
        <v>198</v>
      </c>
      <c r="E1720" s="14" t="s">
        <v>166</v>
      </c>
      <c r="F1720" s="14" t="s">
        <v>199</v>
      </c>
      <c r="G1720" s="14" t="n">
        <v>1</v>
      </c>
      <c r="H1720" s="14" t="s">
        <v>154</v>
      </c>
      <c r="I1720" s="14" t="s">
        <v>895</v>
      </c>
      <c r="J1720" s="15" t="n">
        <f aca="false">IF(B1720="SITE LOSS",IF(D1720=C1720,1,0),IF(B1720="REGION LOSS",IF(E1720=C1720,1,0),0))</f>
        <v>1</v>
      </c>
      <c r="K1720" s="15" t="n">
        <f aca="false">IF(B1720="SITE LOSS",IF(COUNTIFS('Site Dockets'!$B$7:$B$24,C1720,'Site Dockets'!$C$7:$C$24,F1720)&gt;0,1,0),IF(B1720="REGION LOSS",IF(COUNTIFS('Site Dockets'!$E$7:$E$24,C1720,'Site Dockets'!$C$7:$C$24,F1720)&gt;0,1,0),0))</f>
        <v>1</v>
      </c>
      <c r="L1720" s="15" t="n">
        <f aca="false">IF(J1720=1,0,Inputs!$B$11)</f>
        <v>0</v>
      </c>
      <c r="M1720" s="15" t="n">
        <f aca="false">IF(J1720=1,0,Inputs!$B$12)</f>
        <v>0</v>
      </c>
      <c r="N1720" s="15" t="n">
        <f aca="false">IF(J1720=1,0,IF(OR(AND(OR(B1720="SITE LOSS",B1720="REGION LOSS"),K1720=1),AND(B1720="ROLE COMPROMISE",H1720=C1720)),Inputs!$B$13,Inputs!$B$14))</f>
        <v>0</v>
      </c>
      <c r="O1720" s="15" t="n">
        <f aca="false">IF(J1720=1,0,Inputs!$B$13)</f>
        <v>0</v>
      </c>
      <c r="P1720" s="15" t="n">
        <f aca="false">SUM(M1720:N1720)</f>
        <v>0</v>
      </c>
      <c r="Q1720" s="15" t="str">
        <f aca="false">IF(J1720=1,"",L1720-P1720)</f>
        <v/>
      </c>
      <c r="R1720" s="15" t="n">
        <f aca="false">IF(OR(J1720=1,M1720&lt;=Inputs!$B$12),1,0)</f>
        <v>1</v>
      </c>
      <c r="S1720" s="15" t="n">
        <f aca="false">IF(OR(J1720=1,N1720&lt;=O1720),1,0)</f>
        <v>1</v>
      </c>
      <c r="T1720" s="15" t="str">
        <f aca="false">IF(J1720=1,"OFFLINE",IF(AND(Q1720&gt;=Inputs!$B$15,R1720=1,S1720=1,P1720&lt;=L1720),"PASS","FAIL"))</f>
        <v>OFFLINE</v>
      </c>
    </row>
    <row r="1721" customFormat="false" ht="15" hidden="false" customHeight="false" outlineLevel="0" collapsed="false">
      <c r="A1721" s="14" t="s">
        <v>1034</v>
      </c>
      <c r="B1721" s="14" t="s">
        <v>1019</v>
      </c>
      <c r="C1721" s="14" t="s">
        <v>198</v>
      </c>
      <c r="D1721" s="14" t="s">
        <v>198</v>
      </c>
      <c r="E1721" s="14" t="s">
        <v>166</v>
      </c>
      <c r="F1721" s="14" t="s">
        <v>199</v>
      </c>
      <c r="G1721" s="14" t="n">
        <v>1</v>
      </c>
      <c r="H1721" s="14" t="s">
        <v>154</v>
      </c>
      <c r="I1721" s="14" t="s">
        <v>897</v>
      </c>
      <c r="J1721" s="15" t="n">
        <f aca="false">IF(B1721="SITE LOSS",IF(D1721=C1721,1,0),IF(B1721="REGION LOSS",IF(E1721=C1721,1,0),0))</f>
        <v>1</v>
      </c>
      <c r="K1721" s="15" t="n">
        <f aca="false">IF(B1721="SITE LOSS",IF(COUNTIFS('Site Dockets'!$B$7:$B$24,C1721,'Site Dockets'!$C$7:$C$24,F1721)&gt;0,1,0),IF(B1721="REGION LOSS",IF(COUNTIFS('Site Dockets'!$E$7:$E$24,C1721,'Site Dockets'!$C$7:$C$24,F1721)&gt;0,1,0),0))</f>
        <v>1</v>
      </c>
      <c r="L1721" s="15" t="n">
        <f aca="false">IF(J1721=1,0,Inputs!$B$11)</f>
        <v>0</v>
      </c>
      <c r="M1721" s="15" t="n">
        <f aca="false">IF(J1721=1,0,Inputs!$B$12)</f>
        <v>0</v>
      </c>
      <c r="N1721" s="15" t="n">
        <f aca="false">IF(J1721=1,0,IF(OR(AND(OR(B1721="SITE LOSS",B1721="REGION LOSS"),K1721=1),AND(B1721="ROLE COMPROMISE",H1721=C1721)),Inputs!$B$13,Inputs!$B$14))</f>
        <v>0</v>
      </c>
      <c r="O1721" s="15" t="n">
        <f aca="false">IF(J1721=1,0,Inputs!$B$13)</f>
        <v>0</v>
      </c>
      <c r="P1721" s="15" t="n">
        <f aca="false">SUM(M1721:N1721)</f>
        <v>0</v>
      </c>
      <c r="Q1721" s="15" t="str">
        <f aca="false">IF(J1721=1,"",L1721-P1721)</f>
        <v/>
      </c>
      <c r="R1721" s="15" t="n">
        <f aca="false">IF(OR(J1721=1,M1721&lt;=Inputs!$B$12),1,0)</f>
        <v>1</v>
      </c>
      <c r="S1721" s="15" t="n">
        <f aca="false">IF(OR(J1721=1,N1721&lt;=O1721),1,0)</f>
        <v>1</v>
      </c>
      <c r="T1721" s="15" t="str">
        <f aca="false">IF(J1721=1,"OFFLINE",IF(AND(Q1721&gt;=Inputs!$B$15,R1721=1,S1721=1,P1721&lt;=L1721),"PASS","FAIL"))</f>
        <v>OFFLINE</v>
      </c>
    </row>
    <row r="1722" customFormat="false" ht="15" hidden="false" customHeight="false" outlineLevel="0" collapsed="false">
      <c r="A1722" s="14" t="s">
        <v>1034</v>
      </c>
      <c r="B1722" s="14" t="s">
        <v>1019</v>
      </c>
      <c r="C1722" s="14" t="s">
        <v>198</v>
      </c>
      <c r="D1722" s="14" t="s">
        <v>198</v>
      </c>
      <c r="E1722" s="14" t="s">
        <v>166</v>
      </c>
      <c r="F1722" s="14" t="s">
        <v>199</v>
      </c>
      <c r="G1722" s="14" t="n">
        <v>1</v>
      </c>
      <c r="H1722" s="14" t="s">
        <v>154</v>
      </c>
      <c r="I1722" s="14" t="s">
        <v>899</v>
      </c>
      <c r="J1722" s="15" t="n">
        <f aca="false">IF(B1722="SITE LOSS",IF(D1722=C1722,1,0),IF(B1722="REGION LOSS",IF(E1722=C1722,1,0),0))</f>
        <v>1</v>
      </c>
      <c r="K1722" s="15" t="n">
        <f aca="false">IF(B1722="SITE LOSS",IF(COUNTIFS('Site Dockets'!$B$7:$B$24,C1722,'Site Dockets'!$C$7:$C$24,F1722)&gt;0,1,0),IF(B1722="REGION LOSS",IF(COUNTIFS('Site Dockets'!$E$7:$E$24,C1722,'Site Dockets'!$C$7:$C$24,F1722)&gt;0,1,0),0))</f>
        <v>1</v>
      </c>
      <c r="L1722" s="15" t="n">
        <f aca="false">IF(J1722=1,0,Inputs!$B$11)</f>
        <v>0</v>
      </c>
      <c r="M1722" s="15" t="n">
        <f aca="false">IF(J1722=1,0,Inputs!$B$12)</f>
        <v>0</v>
      </c>
      <c r="N1722" s="15" t="n">
        <f aca="false">IF(J1722=1,0,IF(OR(AND(OR(B1722="SITE LOSS",B1722="REGION LOSS"),K1722=1),AND(B1722="ROLE COMPROMISE",H1722=C1722)),Inputs!$B$13,Inputs!$B$14))</f>
        <v>0</v>
      </c>
      <c r="O1722" s="15" t="n">
        <f aca="false">IF(J1722=1,0,Inputs!$B$13)</f>
        <v>0</v>
      </c>
      <c r="P1722" s="15" t="n">
        <f aca="false">SUM(M1722:N1722)</f>
        <v>0</v>
      </c>
      <c r="Q1722" s="15" t="str">
        <f aca="false">IF(J1722=1,"",L1722-P1722)</f>
        <v/>
      </c>
      <c r="R1722" s="15" t="n">
        <f aca="false">IF(OR(J1722=1,M1722&lt;=Inputs!$B$12),1,0)</f>
        <v>1</v>
      </c>
      <c r="S1722" s="15" t="n">
        <f aca="false">IF(OR(J1722=1,N1722&lt;=O1722),1,0)</f>
        <v>1</v>
      </c>
      <c r="T1722" s="15" t="str">
        <f aca="false">IF(J1722=1,"OFFLINE",IF(AND(Q1722&gt;=Inputs!$B$15,R1722=1,S1722=1,P1722&lt;=L1722),"PASS","FAIL"))</f>
        <v>OFFLINE</v>
      </c>
    </row>
    <row r="1723" customFormat="false" ht="15" hidden="false" customHeight="false" outlineLevel="0" collapsed="false">
      <c r="A1723" s="14" t="s">
        <v>1034</v>
      </c>
      <c r="B1723" s="14" t="s">
        <v>1019</v>
      </c>
      <c r="C1723" s="14" t="s">
        <v>198</v>
      </c>
      <c r="D1723" s="14" t="s">
        <v>202</v>
      </c>
      <c r="E1723" s="14" t="s">
        <v>157</v>
      </c>
      <c r="F1723" s="14" t="s">
        <v>199</v>
      </c>
      <c r="G1723" s="14" t="n">
        <v>2</v>
      </c>
      <c r="H1723" s="14" t="s">
        <v>153</v>
      </c>
      <c r="I1723" s="14" t="s">
        <v>890</v>
      </c>
      <c r="J1723" s="15" t="n">
        <f aca="false">IF(B1723="SITE LOSS",IF(D1723=C1723,1,0),IF(B1723="REGION LOSS",IF(E1723=C1723,1,0),0))</f>
        <v>0</v>
      </c>
      <c r="K1723" s="15" t="n">
        <f aca="false">IF(B1723="SITE LOSS",IF(COUNTIFS('Site Dockets'!$B$7:$B$24,C1723,'Site Dockets'!$C$7:$C$24,F1723)&gt;0,1,0),IF(B1723="REGION LOSS",IF(COUNTIFS('Site Dockets'!$E$7:$E$24,C1723,'Site Dockets'!$C$7:$C$24,F1723)&gt;0,1,0),0))</f>
        <v>1</v>
      </c>
      <c r="L1723" s="15" t="n">
        <f aca="false">IF(J1723=1,0,Inputs!$B$11)</f>
        <v>100</v>
      </c>
      <c r="M1723" s="15" t="n">
        <f aca="false">IF(J1723=1,0,Inputs!$B$12)</f>
        <v>75</v>
      </c>
      <c r="N1723" s="15" t="n">
        <f aca="false">IF(J1723=1,0,IF(OR(AND(OR(B1723="SITE LOSS",B1723="REGION LOSS"),K1723=1),AND(B1723="ROLE COMPROMISE",H1723=C1723)),Inputs!$B$13,Inputs!$B$14))</f>
        <v>20</v>
      </c>
      <c r="O1723" s="15" t="n">
        <f aca="false">IF(J1723=1,0,Inputs!$B$13)</f>
        <v>20</v>
      </c>
      <c r="P1723" s="15" t="n">
        <f aca="false">SUM(M1723:N1723)</f>
        <v>95</v>
      </c>
      <c r="Q1723" s="15" t="n">
        <f aca="false">IF(J1723=1,"",L1723-P1723)</f>
        <v>5</v>
      </c>
      <c r="R1723" s="15" t="n">
        <f aca="false">IF(OR(J1723=1,M1723&lt;=Inputs!$B$12),1,0)</f>
        <v>1</v>
      </c>
      <c r="S1723" s="15" t="n">
        <f aca="false">IF(OR(J1723=1,N1723&lt;=O1723),1,0)</f>
        <v>1</v>
      </c>
      <c r="T1723" s="15" t="str">
        <f aca="false">IF(J1723=1,"OFFLINE",IF(AND(Q1723&gt;=Inputs!$B$15,R1723=1,S1723=1,P1723&lt;=L1723),"PASS","FAIL"))</f>
        <v>PASS</v>
      </c>
    </row>
    <row r="1724" customFormat="false" ht="15" hidden="false" customHeight="false" outlineLevel="0" collapsed="false">
      <c r="A1724" s="14" t="s">
        <v>1034</v>
      </c>
      <c r="B1724" s="14" t="s">
        <v>1019</v>
      </c>
      <c r="C1724" s="14" t="s">
        <v>198</v>
      </c>
      <c r="D1724" s="14" t="s">
        <v>202</v>
      </c>
      <c r="E1724" s="14" t="s">
        <v>157</v>
      </c>
      <c r="F1724" s="14" t="s">
        <v>199</v>
      </c>
      <c r="G1724" s="14" t="n">
        <v>2</v>
      </c>
      <c r="H1724" s="14" t="s">
        <v>153</v>
      </c>
      <c r="I1724" s="14" t="s">
        <v>892</v>
      </c>
      <c r="J1724" s="15" t="n">
        <f aca="false">IF(B1724="SITE LOSS",IF(D1724=C1724,1,0),IF(B1724="REGION LOSS",IF(E1724=C1724,1,0),0))</f>
        <v>0</v>
      </c>
      <c r="K1724" s="15" t="n">
        <f aca="false">IF(B1724="SITE LOSS",IF(COUNTIFS('Site Dockets'!$B$7:$B$24,C1724,'Site Dockets'!$C$7:$C$24,F1724)&gt;0,1,0),IF(B1724="REGION LOSS",IF(COUNTIFS('Site Dockets'!$E$7:$E$24,C1724,'Site Dockets'!$C$7:$C$24,F1724)&gt;0,1,0),0))</f>
        <v>1</v>
      </c>
      <c r="L1724" s="15" t="n">
        <f aca="false">IF(J1724=1,0,Inputs!$B$11)</f>
        <v>100</v>
      </c>
      <c r="M1724" s="15" t="n">
        <f aca="false">IF(J1724=1,0,Inputs!$B$12)</f>
        <v>75</v>
      </c>
      <c r="N1724" s="15" t="n">
        <f aca="false">IF(J1724=1,0,IF(OR(AND(OR(B1724="SITE LOSS",B1724="REGION LOSS"),K1724=1),AND(B1724="ROLE COMPROMISE",H1724=C1724)),Inputs!$B$13,Inputs!$B$14))</f>
        <v>20</v>
      </c>
      <c r="O1724" s="15" t="n">
        <f aca="false">IF(J1724=1,0,Inputs!$B$13)</f>
        <v>20</v>
      </c>
      <c r="P1724" s="15" t="n">
        <f aca="false">SUM(M1724:N1724)</f>
        <v>95</v>
      </c>
      <c r="Q1724" s="15" t="n">
        <f aca="false">IF(J1724=1,"",L1724-P1724)</f>
        <v>5</v>
      </c>
      <c r="R1724" s="15" t="n">
        <f aca="false">IF(OR(J1724=1,M1724&lt;=Inputs!$B$12),1,0)</f>
        <v>1</v>
      </c>
      <c r="S1724" s="15" t="n">
        <f aca="false">IF(OR(J1724=1,N1724&lt;=O1724),1,0)</f>
        <v>1</v>
      </c>
      <c r="T1724" s="15" t="str">
        <f aca="false">IF(J1724=1,"OFFLINE",IF(AND(Q1724&gt;=Inputs!$B$15,R1724=1,S1724=1,P1724&lt;=L1724),"PASS","FAIL"))</f>
        <v>PASS</v>
      </c>
    </row>
    <row r="1725" customFormat="false" ht="15" hidden="false" customHeight="false" outlineLevel="0" collapsed="false">
      <c r="A1725" s="14" t="s">
        <v>1034</v>
      </c>
      <c r="B1725" s="14" t="s">
        <v>1019</v>
      </c>
      <c r="C1725" s="14" t="s">
        <v>198</v>
      </c>
      <c r="D1725" s="14" t="s">
        <v>202</v>
      </c>
      <c r="E1725" s="14" t="s">
        <v>157</v>
      </c>
      <c r="F1725" s="14" t="s">
        <v>199</v>
      </c>
      <c r="G1725" s="14" t="n">
        <v>2</v>
      </c>
      <c r="H1725" s="14" t="s">
        <v>153</v>
      </c>
      <c r="I1725" s="14" t="s">
        <v>811</v>
      </c>
      <c r="J1725" s="15" t="n">
        <f aca="false">IF(B1725="SITE LOSS",IF(D1725=C1725,1,0),IF(B1725="REGION LOSS",IF(E1725=C1725,1,0),0))</f>
        <v>0</v>
      </c>
      <c r="K1725" s="15" t="n">
        <f aca="false">IF(B1725="SITE LOSS",IF(COUNTIFS('Site Dockets'!$B$7:$B$24,C1725,'Site Dockets'!$C$7:$C$24,F1725)&gt;0,1,0),IF(B1725="REGION LOSS",IF(COUNTIFS('Site Dockets'!$E$7:$E$24,C1725,'Site Dockets'!$C$7:$C$24,F1725)&gt;0,1,0),0))</f>
        <v>1</v>
      </c>
      <c r="L1725" s="15" t="n">
        <f aca="false">IF(J1725=1,0,Inputs!$B$11)</f>
        <v>100</v>
      </c>
      <c r="M1725" s="15" t="n">
        <f aca="false">IF(J1725=1,0,Inputs!$B$12)</f>
        <v>75</v>
      </c>
      <c r="N1725" s="15" t="n">
        <f aca="false">IF(J1725=1,0,IF(OR(AND(OR(B1725="SITE LOSS",B1725="REGION LOSS"),K1725=1),AND(B1725="ROLE COMPROMISE",H1725=C1725)),Inputs!$B$13,Inputs!$B$14))</f>
        <v>20</v>
      </c>
      <c r="O1725" s="15" t="n">
        <f aca="false">IF(J1725=1,0,Inputs!$B$13)</f>
        <v>20</v>
      </c>
      <c r="P1725" s="15" t="n">
        <f aca="false">SUM(M1725:N1725)</f>
        <v>95</v>
      </c>
      <c r="Q1725" s="15" t="n">
        <f aca="false">IF(J1725=1,"",L1725-P1725)</f>
        <v>5</v>
      </c>
      <c r="R1725" s="15" t="n">
        <f aca="false">IF(OR(J1725=1,M1725&lt;=Inputs!$B$12),1,0)</f>
        <v>1</v>
      </c>
      <c r="S1725" s="15" t="n">
        <f aca="false">IF(OR(J1725=1,N1725&lt;=O1725),1,0)</f>
        <v>1</v>
      </c>
      <c r="T1725" s="15" t="str">
        <f aca="false">IF(J1725=1,"OFFLINE",IF(AND(Q1725&gt;=Inputs!$B$15,R1725=1,S1725=1,P1725&lt;=L1725),"PASS","FAIL"))</f>
        <v>PASS</v>
      </c>
    </row>
    <row r="1726" customFormat="false" ht="15" hidden="false" customHeight="false" outlineLevel="0" collapsed="false">
      <c r="A1726" s="14" t="s">
        <v>1034</v>
      </c>
      <c r="B1726" s="14" t="s">
        <v>1019</v>
      </c>
      <c r="C1726" s="14" t="s">
        <v>198</v>
      </c>
      <c r="D1726" s="14" t="s">
        <v>202</v>
      </c>
      <c r="E1726" s="14" t="s">
        <v>157</v>
      </c>
      <c r="F1726" s="14" t="s">
        <v>199</v>
      </c>
      <c r="G1726" s="14" t="n">
        <v>2</v>
      </c>
      <c r="H1726" s="14" t="s">
        <v>153</v>
      </c>
      <c r="I1726" s="14" t="s">
        <v>895</v>
      </c>
      <c r="J1726" s="15" t="n">
        <f aca="false">IF(B1726="SITE LOSS",IF(D1726=C1726,1,0),IF(B1726="REGION LOSS",IF(E1726=C1726,1,0),0))</f>
        <v>0</v>
      </c>
      <c r="K1726" s="15" t="n">
        <f aca="false">IF(B1726="SITE LOSS",IF(COUNTIFS('Site Dockets'!$B$7:$B$24,C1726,'Site Dockets'!$C$7:$C$24,F1726)&gt;0,1,0),IF(B1726="REGION LOSS",IF(COUNTIFS('Site Dockets'!$E$7:$E$24,C1726,'Site Dockets'!$C$7:$C$24,F1726)&gt;0,1,0),0))</f>
        <v>1</v>
      </c>
      <c r="L1726" s="15" t="n">
        <f aca="false">IF(J1726=1,0,Inputs!$B$11)</f>
        <v>100</v>
      </c>
      <c r="M1726" s="15" t="n">
        <f aca="false">IF(J1726=1,0,Inputs!$B$12)</f>
        <v>75</v>
      </c>
      <c r="N1726" s="15" t="n">
        <f aca="false">IF(J1726=1,0,IF(OR(AND(OR(B1726="SITE LOSS",B1726="REGION LOSS"),K1726=1),AND(B1726="ROLE COMPROMISE",H1726=C1726)),Inputs!$B$13,Inputs!$B$14))</f>
        <v>20</v>
      </c>
      <c r="O1726" s="15" t="n">
        <f aca="false">IF(J1726=1,0,Inputs!$B$13)</f>
        <v>20</v>
      </c>
      <c r="P1726" s="15" t="n">
        <f aca="false">SUM(M1726:N1726)</f>
        <v>95</v>
      </c>
      <c r="Q1726" s="15" t="n">
        <f aca="false">IF(J1726=1,"",L1726-P1726)</f>
        <v>5</v>
      </c>
      <c r="R1726" s="15" t="n">
        <f aca="false">IF(OR(J1726=1,M1726&lt;=Inputs!$B$12),1,0)</f>
        <v>1</v>
      </c>
      <c r="S1726" s="15" t="n">
        <f aca="false">IF(OR(J1726=1,N1726&lt;=O1726),1,0)</f>
        <v>1</v>
      </c>
      <c r="T1726" s="15" t="str">
        <f aca="false">IF(J1726=1,"OFFLINE",IF(AND(Q1726&gt;=Inputs!$B$15,R1726=1,S1726=1,P1726&lt;=L1726),"PASS","FAIL"))</f>
        <v>PASS</v>
      </c>
    </row>
    <row r="1727" customFormat="false" ht="15" hidden="false" customHeight="false" outlineLevel="0" collapsed="false">
      <c r="A1727" s="14" t="s">
        <v>1034</v>
      </c>
      <c r="B1727" s="14" t="s">
        <v>1019</v>
      </c>
      <c r="C1727" s="14" t="s">
        <v>198</v>
      </c>
      <c r="D1727" s="14" t="s">
        <v>202</v>
      </c>
      <c r="E1727" s="14" t="s">
        <v>157</v>
      </c>
      <c r="F1727" s="14" t="s">
        <v>199</v>
      </c>
      <c r="G1727" s="14" t="n">
        <v>2</v>
      </c>
      <c r="H1727" s="14" t="s">
        <v>153</v>
      </c>
      <c r="I1727" s="14" t="s">
        <v>897</v>
      </c>
      <c r="J1727" s="15" t="n">
        <f aca="false">IF(B1727="SITE LOSS",IF(D1727=C1727,1,0),IF(B1727="REGION LOSS",IF(E1727=C1727,1,0),0))</f>
        <v>0</v>
      </c>
      <c r="K1727" s="15" t="n">
        <f aca="false">IF(B1727="SITE LOSS",IF(COUNTIFS('Site Dockets'!$B$7:$B$24,C1727,'Site Dockets'!$C$7:$C$24,F1727)&gt;0,1,0),IF(B1727="REGION LOSS",IF(COUNTIFS('Site Dockets'!$E$7:$E$24,C1727,'Site Dockets'!$C$7:$C$24,F1727)&gt;0,1,0),0))</f>
        <v>1</v>
      </c>
      <c r="L1727" s="15" t="n">
        <f aca="false">IF(J1727=1,0,Inputs!$B$11)</f>
        <v>100</v>
      </c>
      <c r="M1727" s="15" t="n">
        <f aca="false">IF(J1727=1,0,Inputs!$B$12)</f>
        <v>75</v>
      </c>
      <c r="N1727" s="15" t="n">
        <f aca="false">IF(J1727=1,0,IF(OR(AND(OR(B1727="SITE LOSS",B1727="REGION LOSS"),K1727=1),AND(B1727="ROLE COMPROMISE",H1727=C1727)),Inputs!$B$13,Inputs!$B$14))</f>
        <v>20</v>
      </c>
      <c r="O1727" s="15" t="n">
        <f aca="false">IF(J1727=1,0,Inputs!$B$13)</f>
        <v>20</v>
      </c>
      <c r="P1727" s="15" t="n">
        <f aca="false">SUM(M1727:N1727)</f>
        <v>95</v>
      </c>
      <c r="Q1727" s="15" t="n">
        <f aca="false">IF(J1727=1,"",L1727-P1727)</f>
        <v>5</v>
      </c>
      <c r="R1727" s="15" t="n">
        <f aca="false">IF(OR(J1727=1,M1727&lt;=Inputs!$B$12),1,0)</f>
        <v>1</v>
      </c>
      <c r="S1727" s="15" t="n">
        <f aca="false">IF(OR(J1727=1,N1727&lt;=O1727),1,0)</f>
        <v>1</v>
      </c>
      <c r="T1727" s="15" t="str">
        <f aca="false">IF(J1727=1,"OFFLINE",IF(AND(Q1727&gt;=Inputs!$B$15,R1727=1,S1727=1,P1727&lt;=L1727),"PASS","FAIL"))</f>
        <v>PASS</v>
      </c>
    </row>
    <row r="1728" customFormat="false" ht="15" hidden="false" customHeight="false" outlineLevel="0" collapsed="false">
      <c r="A1728" s="14" t="s">
        <v>1034</v>
      </c>
      <c r="B1728" s="14" t="s">
        <v>1019</v>
      </c>
      <c r="C1728" s="14" t="s">
        <v>198</v>
      </c>
      <c r="D1728" s="14" t="s">
        <v>202</v>
      </c>
      <c r="E1728" s="14" t="s">
        <v>157</v>
      </c>
      <c r="F1728" s="14" t="s">
        <v>199</v>
      </c>
      <c r="G1728" s="14" t="n">
        <v>2</v>
      </c>
      <c r="H1728" s="14" t="s">
        <v>153</v>
      </c>
      <c r="I1728" s="14" t="s">
        <v>899</v>
      </c>
      <c r="J1728" s="15" t="n">
        <f aca="false">IF(B1728="SITE LOSS",IF(D1728=C1728,1,0),IF(B1728="REGION LOSS",IF(E1728=C1728,1,0),0))</f>
        <v>0</v>
      </c>
      <c r="K1728" s="15" t="n">
        <f aca="false">IF(B1728="SITE LOSS",IF(COUNTIFS('Site Dockets'!$B$7:$B$24,C1728,'Site Dockets'!$C$7:$C$24,F1728)&gt;0,1,0),IF(B1728="REGION LOSS",IF(COUNTIFS('Site Dockets'!$E$7:$E$24,C1728,'Site Dockets'!$C$7:$C$24,F1728)&gt;0,1,0),0))</f>
        <v>1</v>
      </c>
      <c r="L1728" s="15" t="n">
        <f aca="false">IF(J1728=1,0,Inputs!$B$11)</f>
        <v>100</v>
      </c>
      <c r="M1728" s="15" t="n">
        <f aca="false">IF(J1728=1,0,Inputs!$B$12)</f>
        <v>75</v>
      </c>
      <c r="N1728" s="15" t="n">
        <f aca="false">IF(J1728=1,0,IF(OR(AND(OR(B1728="SITE LOSS",B1728="REGION LOSS"),K1728=1),AND(B1728="ROLE COMPROMISE",H1728=C1728)),Inputs!$B$13,Inputs!$B$14))</f>
        <v>20</v>
      </c>
      <c r="O1728" s="15" t="n">
        <f aca="false">IF(J1728=1,0,Inputs!$B$13)</f>
        <v>20</v>
      </c>
      <c r="P1728" s="15" t="n">
        <f aca="false">SUM(M1728:N1728)</f>
        <v>95</v>
      </c>
      <c r="Q1728" s="15" t="n">
        <f aca="false">IF(J1728=1,"",L1728-P1728)</f>
        <v>5</v>
      </c>
      <c r="R1728" s="15" t="n">
        <f aca="false">IF(OR(J1728=1,M1728&lt;=Inputs!$B$12),1,0)</f>
        <v>1</v>
      </c>
      <c r="S1728" s="15" t="n">
        <f aca="false">IF(OR(J1728=1,N1728&lt;=O1728),1,0)</f>
        <v>1</v>
      </c>
      <c r="T1728" s="15" t="str">
        <f aca="false">IF(J1728=1,"OFFLINE",IF(AND(Q1728&gt;=Inputs!$B$15,R1728=1,S1728=1,P1728&lt;=L1728),"PASS","FAIL"))</f>
        <v>PASS</v>
      </c>
    </row>
    <row r="1729" customFormat="false" ht="15" hidden="false" customHeight="false" outlineLevel="0" collapsed="false">
      <c r="A1729" s="14" t="s">
        <v>1034</v>
      </c>
      <c r="B1729" s="14" t="s">
        <v>1019</v>
      </c>
      <c r="C1729" s="14" t="s">
        <v>198</v>
      </c>
      <c r="D1729" s="14" t="s">
        <v>204</v>
      </c>
      <c r="E1729" s="14" t="s">
        <v>161</v>
      </c>
      <c r="F1729" s="14" t="s">
        <v>199</v>
      </c>
      <c r="G1729" s="14" t="n">
        <v>3</v>
      </c>
      <c r="H1729" s="14" t="s">
        <v>158</v>
      </c>
      <c r="I1729" s="14" t="s">
        <v>890</v>
      </c>
      <c r="J1729" s="15" t="n">
        <f aca="false">IF(B1729="SITE LOSS",IF(D1729=C1729,1,0),IF(B1729="REGION LOSS",IF(E1729=C1729,1,0),0))</f>
        <v>0</v>
      </c>
      <c r="K1729" s="15" t="n">
        <f aca="false">IF(B1729="SITE LOSS",IF(COUNTIFS('Site Dockets'!$B$7:$B$24,C1729,'Site Dockets'!$C$7:$C$24,F1729)&gt;0,1,0),IF(B1729="REGION LOSS",IF(COUNTIFS('Site Dockets'!$E$7:$E$24,C1729,'Site Dockets'!$C$7:$C$24,F1729)&gt;0,1,0),0))</f>
        <v>1</v>
      </c>
      <c r="L1729" s="15" t="n">
        <f aca="false">IF(J1729=1,0,Inputs!$B$11)</f>
        <v>100</v>
      </c>
      <c r="M1729" s="15" t="n">
        <f aca="false">IF(J1729=1,0,Inputs!$B$12)</f>
        <v>75</v>
      </c>
      <c r="N1729" s="15" t="n">
        <f aca="false">IF(J1729=1,0,IF(OR(AND(OR(B1729="SITE LOSS",B1729="REGION LOSS"),K1729=1),AND(B1729="ROLE COMPROMISE",H1729=C1729)),Inputs!$B$13,Inputs!$B$14))</f>
        <v>20</v>
      </c>
      <c r="O1729" s="15" t="n">
        <f aca="false">IF(J1729=1,0,Inputs!$B$13)</f>
        <v>20</v>
      </c>
      <c r="P1729" s="15" t="n">
        <f aca="false">SUM(M1729:N1729)</f>
        <v>95</v>
      </c>
      <c r="Q1729" s="15" t="n">
        <f aca="false">IF(J1729=1,"",L1729-P1729)</f>
        <v>5</v>
      </c>
      <c r="R1729" s="15" t="n">
        <f aca="false">IF(OR(J1729=1,M1729&lt;=Inputs!$B$12),1,0)</f>
        <v>1</v>
      </c>
      <c r="S1729" s="15" t="n">
        <f aca="false">IF(OR(J1729=1,N1729&lt;=O1729),1,0)</f>
        <v>1</v>
      </c>
      <c r="T1729" s="15" t="str">
        <f aca="false">IF(J1729=1,"OFFLINE",IF(AND(Q1729&gt;=Inputs!$B$15,R1729=1,S1729=1,P1729&lt;=L1729),"PASS","FAIL"))</f>
        <v>PASS</v>
      </c>
    </row>
    <row r="1730" customFormat="false" ht="15" hidden="false" customHeight="false" outlineLevel="0" collapsed="false">
      <c r="A1730" s="14" t="s">
        <v>1034</v>
      </c>
      <c r="B1730" s="14" t="s">
        <v>1019</v>
      </c>
      <c r="C1730" s="14" t="s">
        <v>198</v>
      </c>
      <c r="D1730" s="14" t="s">
        <v>204</v>
      </c>
      <c r="E1730" s="14" t="s">
        <v>161</v>
      </c>
      <c r="F1730" s="14" t="s">
        <v>199</v>
      </c>
      <c r="G1730" s="14" t="n">
        <v>3</v>
      </c>
      <c r="H1730" s="14" t="s">
        <v>158</v>
      </c>
      <c r="I1730" s="14" t="s">
        <v>892</v>
      </c>
      <c r="J1730" s="15" t="n">
        <f aca="false">IF(B1730="SITE LOSS",IF(D1730=C1730,1,0),IF(B1730="REGION LOSS",IF(E1730=C1730,1,0),0))</f>
        <v>0</v>
      </c>
      <c r="K1730" s="15" t="n">
        <f aca="false">IF(B1730="SITE LOSS",IF(COUNTIFS('Site Dockets'!$B$7:$B$24,C1730,'Site Dockets'!$C$7:$C$24,F1730)&gt;0,1,0),IF(B1730="REGION LOSS",IF(COUNTIFS('Site Dockets'!$E$7:$E$24,C1730,'Site Dockets'!$C$7:$C$24,F1730)&gt;0,1,0),0))</f>
        <v>1</v>
      </c>
      <c r="L1730" s="15" t="n">
        <f aca="false">IF(J1730=1,0,Inputs!$B$11)</f>
        <v>100</v>
      </c>
      <c r="M1730" s="15" t="n">
        <f aca="false">IF(J1730=1,0,Inputs!$B$12)</f>
        <v>75</v>
      </c>
      <c r="N1730" s="15" t="n">
        <f aca="false">IF(J1730=1,0,IF(OR(AND(OR(B1730="SITE LOSS",B1730="REGION LOSS"),K1730=1),AND(B1730="ROLE COMPROMISE",H1730=C1730)),Inputs!$B$13,Inputs!$B$14))</f>
        <v>20</v>
      </c>
      <c r="O1730" s="15" t="n">
        <f aca="false">IF(J1730=1,0,Inputs!$B$13)</f>
        <v>20</v>
      </c>
      <c r="P1730" s="15" t="n">
        <f aca="false">SUM(M1730:N1730)</f>
        <v>95</v>
      </c>
      <c r="Q1730" s="15" t="n">
        <f aca="false">IF(J1730=1,"",L1730-P1730)</f>
        <v>5</v>
      </c>
      <c r="R1730" s="15" t="n">
        <f aca="false">IF(OR(J1730=1,M1730&lt;=Inputs!$B$12),1,0)</f>
        <v>1</v>
      </c>
      <c r="S1730" s="15" t="n">
        <f aca="false">IF(OR(J1730=1,N1730&lt;=O1730),1,0)</f>
        <v>1</v>
      </c>
      <c r="T1730" s="15" t="str">
        <f aca="false">IF(J1730=1,"OFFLINE",IF(AND(Q1730&gt;=Inputs!$B$15,R1730=1,S1730=1,P1730&lt;=L1730),"PASS","FAIL"))</f>
        <v>PASS</v>
      </c>
    </row>
    <row r="1731" customFormat="false" ht="15" hidden="false" customHeight="false" outlineLevel="0" collapsed="false">
      <c r="A1731" s="14" t="s">
        <v>1034</v>
      </c>
      <c r="B1731" s="14" t="s">
        <v>1019</v>
      </c>
      <c r="C1731" s="14" t="s">
        <v>198</v>
      </c>
      <c r="D1731" s="14" t="s">
        <v>204</v>
      </c>
      <c r="E1731" s="14" t="s">
        <v>161</v>
      </c>
      <c r="F1731" s="14" t="s">
        <v>199</v>
      </c>
      <c r="G1731" s="14" t="n">
        <v>3</v>
      </c>
      <c r="H1731" s="14" t="s">
        <v>158</v>
      </c>
      <c r="I1731" s="14" t="s">
        <v>811</v>
      </c>
      <c r="J1731" s="15" t="n">
        <f aca="false">IF(B1731="SITE LOSS",IF(D1731=C1731,1,0),IF(B1731="REGION LOSS",IF(E1731=C1731,1,0),0))</f>
        <v>0</v>
      </c>
      <c r="K1731" s="15" t="n">
        <f aca="false">IF(B1731="SITE LOSS",IF(COUNTIFS('Site Dockets'!$B$7:$B$24,C1731,'Site Dockets'!$C$7:$C$24,F1731)&gt;0,1,0),IF(B1731="REGION LOSS",IF(COUNTIFS('Site Dockets'!$E$7:$E$24,C1731,'Site Dockets'!$C$7:$C$24,F1731)&gt;0,1,0),0))</f>
        <v>1</v>
      </c>
      <c r="L1731" s="15" t="n">
        <f aca="false">IF(J1731=1,0,Inputs!$B$11)</f>
        <v>100</v>
      </c>
      <c r="M1731" s="15" t="n">
        <f aca="false">IF(J1731=1,0,Inputs!$B$12)</f>
        <v>75</v>
      </c>
      <c r="N1731" s="15" t="n">
        <f aca="false">IF(J1731=1,0,IF(OR(AND(OR(B1731="SITE LOSS",B1731="REGION LOSS"),K1731=1),AND(B1731="ROLE COMPROMISE",H1731=C1731)),Inputs!$B$13,Inputs!$B$14))</f>
        <v>20</v>
      </c>
      <c r="O1731" s="15" t="n">
        <f aca="false">IF(J1731=1,0,Inputs!$B$13)</f>
        <v>20</v>
      </c>
      <c r="P1731" s="15" t="n">
        <f aca="false">SUM(M1731:N1731)</f>
        <v>95</v>
      </c>
      <c r="Q1731" s="15" t="n">
        <f aca="false">IF(J1731=1,"",L1731-P1731)</f>
        <v>5</v>
      </c>
      <c r="R1731" s="15" t="n">
        <f aca="false">IF(OR(J1731=1,M1731&lt;=Inputs!$B$12),1,0)</f>
        <v>1</v>
      </c>
      <c r="S1731" s="15" t="n">
        <f aca="false">IF(OR(J1731=1,N1731&lt;=O1731),1,0)</f>
        <v>1</v>
      </c>
      <c r="T1731" s="15" t="str">
        <f aca="false">IF(J1731=1,"OFFLINE",IF(AND(Q1731&gt;=Inputs!$B$15,R1731=1,S1731=1,P1731&lt;=L1731),"PASS","FAIL"))</f>
        <v>PASS</v>
      </c>
    </row>
    <row r="1732" customFormat="false" ht="15" hidden="false" customHeight="false" outlineLevel="0" collapsed="false">
      <c r="A1732" s="14" t="s">
        <v>1034</v>
      </c>
      <c r="B1732" s="14" t="s">
        <v>1019</v>
      </c>
      <c r="C1732" s="14" t="s">
        <v>198</v>
      </c>
      <c r="D1732" s="14" t="s">
        <v>204</v>
      </c>
      <c r="E1732" s="14" t="s">
        <v>161</v>
      </c>
      <c r="F1732" s="14" t="s">
        <v>199</v>
      </c>
      <c r="G1732" s="14" t="n">
        <v>3</v>
      </c>
      <c r="H1732" s="14" t="s">
        <v>158</v>
      </c>
      <c r="I1732" s="14" t="s">
        <v>895</v>
      </c>
      <c r="J1732" s="15" t="n">
        <f aca="false">IF(B1732="SITE LOSS",IF(D1732=C1732,1,0),IF(B1732="REGION LOSS",IF(E1732=C1732,1,0),0))</f>
        <v>0</v>
      </c>
      <c r="K1732" s="15" t="n">
        <f aca="false">IF(B1732="SITE LOSS",IF(COUNTIFS('Site Dockets'!$B$7:$B$24,C1732,'Site Dockets'!$C$7:$C$24,F1732)&gt;0,1,0),IF(B1732="REGION LOSS",IF(COUNTIFS('Site Dockets'!$E$7:$E$24,C1732,'Site Dockets'!$C$7:$C$24,F1732)&gt;0,1,0),0))</f>
        <v>1</v>
      </c>
      <c r="L1732" s="15" t="n">
        <f aca="false">IF(J1732=1,0,Inputs!$B$11)</f>
        <v>100</v>
      </c>
      <c r="M1732" s="15" t="n">
        <f aca="false">IF(J1732=1,0,Inputs!$B$12)</f>
        <v>75</v>
      </c>
      <c r="N1732" s="15" t="n">
        <f aca="false">IF(J1732=1,0,IF(OR(AND(OR(B1732="SITE LOSS",B1732="REGION LOSS"),K1732=1),AND(B1732="ROLE COMPROMISE",H1732=C1732)),Inputs!$B$13,Inputs!$B$14))</f>
        <v>20</v>
      </c>
      <c r="O1732" s="15" t="n">
        <f aca="false">IF(J1732=1,0,Inputs!$B$13)</f>
        <v>20</v>
      </c>
      <c r="P1732" s="15" t="n">
        <f aca="false">SUM(M1732:N1732)</f>
        <v>95</v>
      </c>
      <c r="Q1732" s="15" t="n">
        <f aca="false">IF(J1732=1,"",L1732-P1732)</f>
        <v>5</v>
      </c>
      <c r="R1732" s="15" t="n">
        <f aca="false">IF(OR(J1732=1,M1732&lt;=Inputs!$B$12),1,0)</f>
        <v>1</v>
      </c>
      <c r="S1732" s="15" t="n">
        <f aca="false">IF(OR(J1732=1,N1732&lt;=O1732),1,0)</f>
        <v>1</v>
      </c>
      <c r="T1732" s="15" t="str">
        <f aca="false">IF(J1732=1,"OFFLINE",IF(AND(Q1732&gt;=Inputs!$B$15,R1732=1,S1732=1,P1732&lt;=L1732),"PASS","FAIL"))</f>
        <v>PASS</v>
      </c>
    </row>
    <row r="1733" customFormat="false" ht="15" hidden="false" customHeight="false" outlineLevel="0" collapsed="false">
      <c r="A1733" s="14" t="s">
        <v>1034</v>
      </c>
      <c r="B1733" s="14" t="s">
        <v>1019</v>
      </c>
      <c r="C1733" s="14" t="s">
        <v>198</v>
      </c>
      <c r="D1733" s="14" t="s">
        <v>204</v>
      </c>
      <c r="E1733" s="14" t="s">
        <v>161</v>
      </c>
      <c r="F1733" s="14" t="s">
        <v>199</v>
      </c>
      <c r="G1733" s="14" t="n">
        <v>3</v>
      </c>
      <c r="H1733" s="14" t="s">
        <v>158</v>
      </c>
      <c r="I1733" s="14" t="s">
        <v>897</v>
      </c>
      <c r="J1733" s="15" t="n">
        <f aca="false">IF(B1733="SITE LOSS",IF(D1733=C1733,1,0),IF(B1733="REGION LOSS",IF(E1733=C1733,1,0),0))</f>
        <v>0</v>
      </c>
      <c r="K1733" s="15" t="n">
        <f aca="false">IF(B1733="SITE LOSS",IF(COUNTIFS('Site Dockets'!$B$7:$B$24,C1733,'Site Dockets'!$C$7:$C$24,F1733)&gt;0,1,0),IF(B1733="REGION LOSS",IF(COUNTIFS('Site Dockets'!$E$7:$E$24,C1733,'Site Dockets'!$C$7:$C$24,F1733)&gt;0,1,0),0))</f>
        <v>1</v>
      </c>
      <c r="L1733" s="15" t="n">
        <f aca="false">IF(J1733=1,0,Inputs!$B$11)</f>
        <v>100</v>
      </c>
      <c r="M1733" s="15" t="n">
        <f aca="false">IF(J1733=1,0,Inputs!$B$12)</f>
        <v>75</v>
      </c>
      <c r="N1733" s="15" t="n">
        <f aca="false">IF(J1733=1,0,IF(OR(AND(OR(B1733="SITE LOSS",B1733="REGION LOSS"),K1733=1),AND(B1733="ROLE COMPROMISE",H1733=C1733)),Inputs!$B$13,Inputs!$B$14))</f>
        <v>20</v>
      </c>
      <c r="O1733" s="15" t="n">
        <f aca="false">IF(J1733=1,0,Inputs!$B$13)</f>
        <v>20</v>
      </c>
      <c r="P1733" s="15" t="n">
        <f aca="false">SUM(M1733:N1733)</f>
        <v>95</v>
      </c>
      <c r="Q1733" s="15" t="n">
        <f aca="false">IF(J1733=1,"",L1733-P1733)</f>
        <v>5</v>
      </c>
      <c r="R1733" s="15" t="n">
        <f aca="false">IF(OR(J1733=1,M1733&lt;=Inputs!$B$12),1,0)</f>
        <v>1</v>
      </c>
      <c r="S1733" s="15" t="n">
        <f aca="false">IF(OR(J1733=1,N1733&lt;=O1733),1,0)</f>
        <v>1</v>
      </c>
      <c r="T1733" s="15" t="str">
        <f aca="false">IF(J1733=1,"OFFLINE",IF(AND(Q1733&gt;=Inputs!$B$15,R1733=1,S1733=1,P1733&lt;=L1733),"PASS","FAIL"))</f>
        <v>PASS</v>
      </c>
    </row>
    <row r="1734" customFormat="false" ht="15" hidden="false" customHeight="false" outlineLevel="0" collapsed="false">
      <c r="A1734" s="14" t="s">
        <v>1034</v>
      </c>
      <c r="B1734" s="14" t="s">
        <v>1019</v>
      </c>
      <c r="C1734" s="14" t="s">
        <v>198</v>
      </c>
      <c r="D1734" s="14" t="s">
        <v>204</v>
      </c>
      <c r="E1734" s="14" t="s">
        <v>161</v>
      </c>
      <c r="F1734" s="14" t="s">
        <v>199</v>
      </c>
      <c r="G1734" s="14" t="n">
        <v>3</v>
      </c>
      <c r="H1734" s="14" t="s">
        <v>158</v>
      </c>
      <c r="I1734" s="14" t="s">
        <v>899</v>
      </c>
      <c r="J1734" s="15" t="n">
        <f aca="false">IF(B1734="SITE LOSS",IF(D1734=C1734,1,0),IF(B1734="REGION LOSS",IF(E1734=C1734,1,0),0))</f>
        <v>0</v>
      </c>
      <c r="K1734" s="15" t="n">
        <f aca="false">IF(B1734="SITE LOSS",IF(COUNTIFS('Site Dockets'!$B$7:$B$24,C1734,'Site Dockets'!$C$7:$C$24,F1734)&gt;0,1,0),IF(B1734="REGION LOSS",IF(COUNTIFS('Site Dockets'!$E$7:$E$24,C1734,'Site Dockets'!$C$7:$C$24,F1734)&gt;0,1,0),0))</f>
        <v>1</v>
      </c>
      <c r="L1734" s="15" t="n">
        <f aca="false">IF(J1734=1,0,Inputs!$B$11)</f>
        <v>100</v>
      </c>
      <c r="M1734" s="15" t="n">
        <f aca="false">IF(J1734=1,0,Inputs!$B$12)</f>
        <v>75</v>
      </c>
      <c r="N1734" s="15" t="n">
        <f aca="false">IF(J1734=1,0,IF(OR(AND(OR(B1734="SITE LOSS",B1734="REGION LOSS"),K1734=1),AND(B1734="ROLE COMPROMISE",H1734=C1734)),Inputs!$B$13,Inputs!$B$14))</f>
        <v>20</v>
      </c>
      <c r="O1734" s="15" t="n">
        <f aca="false">IF(J1734=1,0,Inputs!$B$13)</f>
        <v>20</v>
      </c>
      <c r="P1734" s="15" t="n">
        <f aca="false">SUM(M1734:N1734)</f>
        <v>95</v>
      </c>
      <c r="Q1734" s="15" t="n">
        <f aca="false">IF(J1734=1,"",L1734-P1734)</f>
        <v>5</v>
      </c>
      <c r="R1734" s="15" t="n">
        <f aca="false">IF(OR(J1734=1,M1734&lt;=Inputs!$B$12),1,0)</f>
        <v>1</v>
      </c>
      <c r="S1734" s="15" t="n">
        <f aca="false">IF(OR(J1734=1,N1734&lt;=O1734),1,0)</f>
        <v>1</v>
      </c>
      <c r="T1734" s="15" t="str">
        <f aca="false">IF(J1734=1,"OFFLINE",IF(AND(Q1734&gt;=Inputs!$B$15,R1734=1,S1734=1,P1734&lt;=L1734),"PASS","FAIL"))</f>
        <v>PASS</v>
      </c>
    </row>
    <row r="1735" customFormat="false" ht="15" hidden="false" customHeight="false" outlineLevel="0" collapsed="false">
      <c r="A1735" s="14" t="s">
        <v>1035</v>
      </c>
      <c r="B1735" s="14" t="s">
        <v>1019</v>
      </c>
      <c r="C1735" s="14" t="s">
        <v>202</v>
      </c>
      <c r="D1735" s="14" t="s">
        <v>149</v>
      </c>
      <c r="E1735" s="14" t="s">
        <v>152</v>
      </c>
      <c r="F1735" s="14" t="s">
        <v>150</v>
      </c>
      <c r="G1735" s="14" t="n">
        <v>1</v>
      </c>
      <c r="H1735" s="14" t="s">
        <v>154</v>
      </c>
      <c r="I1735" s="14" t="s">
        <v>890</v>
      </c>
      <c r="J1735" s="15" t="n">
        <f aca="false">IF(B1735="SITE LOSS",IF(D1735=C1735,1,0),IF(B1735="REGION LOSS",IF(E1735=C1735,1,0),0))</f>
        <v>0</v>
      </c>
      <c r="K1735" s="15" t="n">
        <f aca="false">IF(B1735="SITE LOSS",IF(COUNTIFS('Site Dockets'!$B$7:$B$24,C1735,'Site Dockets'!$C$7:$C$24,F1735)&gt;0,1,0),IF(B1735="REGION LOSS",IF(COUNTIFS('Site Dockets'!$E$7:$E$24,C1735,'Site Dockets'!$C$7:$C$24,F1735)&gt;0,1,0),0))</f>
        <v>0</v>
      </c>
      <c r="L1735" s="15" t="n">
        <f aca="false">IF(J1735=1,0,Inputs!$B$11)</f>
        <v>100</v>
      </c>
      <c r="M1735" s="15" t="n">
        <f aca="false">IF(J1735=1,0,Inputs!$B$12)</f>
        <v>75</v>
      </c>
      <c r="N1735" s="15" t="n">
        <f aca="false">IF(J1735=1,0,IF(OR(AND(OR(B1735="SITE LOSS",B1735="REGION LOSS"),K1735=1),AND(B1735="ROLE COMPROMISE",H1735=C1735)),Inputs!$B$13,Inputs!$B$14))</f>
        <v>10</v>
      </c>
      <c r="O1735" s="15" t="n">
        <f aca="false">IF(J1735=1,0,Inputs!$B$13)</f>
        <v>20</v>
      </c>
      <c r="P1735" s="15" t="n">
        <f aca="false">SUM(M1735:N1735)</f>
        <v>85</v>
      </c>
      <c r="Q1735" s="15" t="n">
        <f aca="false">IF(J1735=1,"",L1735-P1735)</f>
        <v>15</v>
      </c>
      <c r="R1735" s="15" t="n">
        <f aca="false">IF(OR(J1735=1,M1735&lt;=Inputs!$B$12),1,0)</f>
        <v>1</v>
      </c>
      <c r="S1735" s="15" t="n">
        <f aca="false">IF(OR(J1735=1,N1735&lt;=O1735),1,0)</f>
        <v>1</v>
      </c>
      <c r="T1735" s="15" t="str">
        <f aca="false">IF(J1735=1,"OFFLINE",IF(AND(Q1735&gt;=Inputs!$B$15,R1735=1,S1735=1,P1735&lt;=L1735),"PASS","FAIL"))</f>
        <v>PASS</v>
      </c>
    </row>
    <row r="1736" customFormat="false" ht="15" hidden="false" customHeight="false" outlineLevel="0" collapsed="false">
      <c r="A1736" s="14" t="s">
        <v>1035</v>
      </c>
      <c r="B1736" s="14" t="s">
        <v>1019</v>
      </c>
      <c r="C1736" s="14" t="s">
        <v>202</v>
      </c>
      <c r="D1736" s="14" t="s">
        <v>149</v>
      </c>
      <c r="E1736" s="14" t="s">
        <v>152</v>
      </c>
      <c r="F1736" s="14" t="s">
        <v>150</v>
      </c>
      <c r="G1736" s="14" t="n">
        <v>1</v>
      </c>
      <c r="H1736" s="14" t="s">
        <v>154</v>
      </c>
      <c r="I1736" s="14" t="s">
        <v>892</v>
      </c>
      <c r="J1736" s="15" t="n">
        <f aca="false">IF(B1736="SITE LOSS",IF(D1736=C1736,1,0),IF(B1736="REGION LOSS",IF(E1736=C1736,1,0),0))</f>
        <v>0</v>
      </c>
      <c r="K1736" s="15" t="n">
        <f aca="false">IF(B1736="SITE LOSS",IF(COUNTIFS('Site Dockets'!$B$7:$B$24,C1736,'Site Dockets'!$C$7:$C$24,F1736)&gt;0,1,0),IF(B1736="REGION LOSS",IF(COUNTIFS('Site Dockets'!$E$7:$E$24,C1736,'Site Dockets'!$C$7:$C$24,F1736)&gt;0,1,0),0))</f>
        <v>0</v>
      </c>
      <c r="L1736" s="15" t="n">
        <f aca="false">IF(J1736=1,0,Inputs!$B$11)</f>
        <v>100</v>
      </c>
      <c r="M1736" s="15" t="n">
        <f aca="false">IF(J1736=1,0,Inputs!$B$12)</f>
        <v>75</v>
      </c>
      <c r="N1736" s="15" t="n">
        <f aca="false">IF(J1736=1,0,IF(OR(AND(OR(B1736="SITE LOSS",B1736="REGION LOSS"),K1736=1),AND(B1736="ROLE COMPROMISE",H1736=C1736)),Inputs!$B$13,Inputs!$B$14))</f>
        <v>10</v>
      </c>
      <c r="O1736" s="15" t="n">
        <f aca="false">IF(J1736=1,0,Inputs!$B$13)</f>
        <v>20</v>
      </c>
      <c r="P1736" s="15" t="n">
        <f aca="false">SUM(M1736:N1736)</f>
        <v>85</v>
      </c>
      <c r="Q1736" s="15" t="n">
        <f aca="false">IF(J1736=1,"",L1736-P1736)</f>
        <v>15</v>
      </c>
      <c r="R1736" s="15" t="n">
        <f aca="false">IF(OR(J1736=1,M1736&lt;=Inputs!$B$12),1,0)</f>
        <v>1</v>
      </c>
      <c r="S1736" s="15" t="n">
        <f aca="false">IF(OR(J1736=1,N1736&lt;=O1736),1,0)</f>
        <v>1</v>
      </c>
      <c r="T1736" s="15" t="str">
        <f aca="false">IF(J1736=1,"OFFLINE",IF(AND(Q1736&gt;=Inputs!$B$15,R1736=1,S1736=1,P1736&lt;=L1736),"PASS","FAIL"))</f>
        <v>PASS</v>
      </c>
    </row>
    <row r="1737" customFormat="false" ht="15" hidden="false" customHeight="false" outlineLevel="0" collapsed="false">
      <c r="A1737" s="14" t="s">
        <v>1035</v>
      </c>
      <c r="B1737" s="14" t="s">
        <v>1019</v>
      </c>
      <c r="C1737" s="14" t="s">
        <v>202</v>
      </c>
      <c r="D1737" s="14" t="s">
        <v>149</v>
      </c>
      <c r="E1737" s="14" t="s">
        <v>152</v>
      </c>
      <c r="F1737" s="14" t="s">
        <v>150</v>
      </c>
      <c r="G1737" s="14" t="n">
        <v>1</v>
      </c>
      <c r="H1737" s="14" t="s">
        <v>154</v>
      </c>
      <c r="I1737" s="14" t="s">
        <v>811</v>
      </c>
      <c r="J1737" s="15" t="n">
        <f aca="false">IF(B1737="SITE LOSS",IF(D1737=C1737,1,0),IF(B1737="REGION LOSS",IF(E1737=C1737,1,0),0))</f>
        <v>0</v>
      </c>
      <c r="K1737" s="15" t="n">
        <f aca="false">IF(B1737="SITE LOSS",IF(COUNTIFS('Site Dockets'!$B$7:$B$24,C1737,'Site Dockets'!$C$7:$C$24,F1737)&gt;0,1,0),IF(B1737="REGION LOSS",IF(COUNTIFS('Site Dockets'!$E$7:$E$24,C1737,'Site Dockets'!$C$7:$C$24,F1737)&gt;0,1,0),0))</f>
        <v>0</v>
      </c>
      <c r="L1737" s="15" t="n">
        <f aca="false">IF(J1737=1,0,Inputs!$B$11)</f>
        <v>100</v>
      </c>
      <c r="M1737" s="15" t="n">
        <f aca="false">IF(J1737=1,0,Inputs!$B$12)</f>
        <v>75</v>
      </c>
      <c r="N1737" s="15" t="n">
        <f aca="false">IF(J1737=1,0,IF(OR(AND(OR(B1737="SITE LOSS",B1737="REGION LOSS"),K1737=1),AND(B1737="ROLE COMPROMISE",H1737=C1737)),Inputs!$B$13,Inputs!$B$14))</f>
        <v>10</v>
      </c>
      <c r="O1737" s="15" t="n">
        <f aca="false">IF(J1737=1,0,Inputs!$B$13)</f>
        <v>20</v>
      </c>
      <c r="P1737" s="15" t="n">
        <f aca="false">SUM(M1737:N1737)</f>
        <v>85</v>
      </c>
      <c r="Q1737" s="15" t="n">
        <f aca="false">IF(J1737=1,"",L1737-P1737)</f>
        <v>15</v>
      </c>
      <c r="R1737" s="15" t="n">
        <f aca="false">IF(OR(J1737=1,M1737&lt;=Inputs!$B$12),1,0)</f>
        <v>1</v>
      </c>
      <c r="S1737" s="15" t="n">
        <f aca="false">IF(OR(J1737=1,N1737&lt;=O1737),1,0)</f>
        <v>1</v>
      </c>
      <c r="T1737" s="15" t="str">
        <f aca="false">IF(J1737=1,"OFFLINE",IF(AND(Q1737&gt;=Inputs!$B$15,R1737=1,S1737=1,P1737&lt;=L1737),"PASS","FAIL"))</f>
        <v>PASS</v>
      </c>
    </row>
    <row r="1738" customFormat="false" ht="15" hidden="false" customHeight="false" outlineLevel="0" collapsed="false">
      <c r="A1738" s="14" t="s">
        <v>1035</v>
      </c>
      <c r="B1738" s="14" t="s">
        <v>1019</v>
      </c>
      <c r="C1738" s="14" t="s">
        <v>202</v>
      </c>
      <c r="D1738" s="14" t="s">
        <v>149</v>
      </c>
      <c r="E1738" s="14" t="s">
        <v>152</v>
      </c>
      <c r="F1738" s="14" t="s">
        <v>150</v>
      </c>
      <c r="G1738" s="14" t="n">
        <v>1</v>
      </c>
      <c r="H1738" s="14" t="s">
        <v>154</v>
      </c>
      <c r="I1738" s="14" t="s">
        <v>895</v>
      </c>
      <c r="J1738" s="15" t="n">
        <f aca="false">IF(B1738="SITE LOSS",IF(D1738=C1738,1,0),IF(B1738="REGION LOSS",IF(E1738=C1738,1,0),0))</f>
        <v>0</v>
      </c>
      <c r="K1738" s="15" t="n">
        <f aca="false">IF(B1738="SITE LOSS",IF(COUNTIFS('Site Dockets'!$B$7:$B$24,C1738,'Site Dockets'!$C$7:$C$24,F1738)&gt;0,1,0),IF(B1738="REGION LOSS",IF(COUNTIFS('Site Dockets'!$E$7:$E$24,C1738,'Site Dockets'!$C$7:$C$24,F1738)&gt;0,1,0),0))</f>
        <v>0</v>
      </c>
      <c r="L1738" s="15" t="n">
        <f aca="false">IF(J1738=1,0,Inputs!$B$11)</f>
        <v>100</v>
      </c>
      <c r="M1738" s="15" t="n">
        <f aca="false">IF(J1738=1,0,Inputs!$B$12)</f>
        <v>75</v>
      </c>
      <c r="N1738" s="15" t="n">
        <f aca="false">IF(J1738=1,0,IF(OR(AND(OR(B1738="SITE LOSS",B1738="REGION LOSS"),K1738=1),AND(B1738="ROLE COMPROMISE",H1738=C1738)),Inputs!$B$13,Inputs!$B$14))</f>
        <v>10</v>
      </c>
      <c r="O1738" s="15" t="n">
        <f aca="false">IF(J1738=1,0,Inputs!$B$13)</f>
        <v>20</v>
      </c>
      <c r="P1738" s="15" t="n">
        <f aca="false">SUM(M1738:N1738)</f>
        <v>85</v>
      </c>
      <c r="Q1738" s="15" t="n">
        <f aca="false">IF(J1738=1,"",L1738-P1738)</f>
        <v>15</v>
      </c>
      <c r="R1738" s="15" t="n">
        <f aca="false">IF(OR(J1738=1,M1738&lt;=Inputs!$B$12),1,0)</f>
        <v>1</v>
      </c>
      <c r="S1738" s="15" t="n">
        <f aca="false">IF(OR(J1738=1,N1738&lt;=O1738),1,0)</f>
        <v>1</v>
      </c>
      <c r="T1738" s="15" t="str">
        <f aca="false">IF(J1738=1,"OFFLINE",IF(AND(Q1738&gt;=Inputs!$B$15,R1738=1,S1738=1,P1738&lt;=L1738),"PASS","FAIL"))</f>
        <v>PASS</v>
      </c>
    </row>
    <row r="1739" customFormat="false" ht="15" hidden="false" customHeight="false" outlineLevel="0" collapsed="false">
      <c r="A1739" s="14" t="s">
        <v>1035</v>
      </c>
      <c r="B1739" s="14" t="s">
        <v>1019</v>
      </c>
      <c r="C1739" s="14" t="s">
        <v>202</v>
      </c>
      <c r="D1739" s="14" t="s">
        <v>149</v>
      </c>
      <c r="E1739" s="14" t="s">
        <v>152</v>
      </c>
      <c r="F1739" s="14" t="s">
        <v>150</v>
      </c>
      <c r="G1739" s="14" t="n">
        <v>1</v>
      </c>
      <c r="H1739" s="14" t="s">
        <v>154</v>
      </c>
      <c r="I1739" s="14" t="s">
        <v>897</v>
      </c>
      <c r="J1739" s="15" t="n">
        <f aca="false">IF(B1739="SITE LOSS",IF(D1739=C1739,1,0),IF(B1739="REGION LOSS",IF(E1739=C1739,1,0),0))</f>
        <v>0</v>
      </c>
      <c r="K1739" s="15" t="n">
        <f aca="false">IF(B1739="SITE LOSS",IF(COUNTIFS('Site Dockets'!$B$7:$B$24,C1739,'Site Dockets'!$C$7:$C$24,F1739)&gt;0,1,0),IF(B1739="REGION LOSS",IF(COUNTIFS('Site Dockets'!$E$7:$E$24,C1739,'Site Dockets'!$C$7:$C$24,F1739)&gt;0,1,0),0))</f>
        <v>0</v>
      </c>
      <c r="L1739" s="15" t="n">
        <f aca="false">IF(J1739=1,0,Inputs!$B$11)</f>
        <v>100</v>
      </c>
      <c r="M1739" s="15" t="n">
        <f aca="false">IF(J1739=1,0,Inputs!$B$12)</f>
        <v>75</v>
      </c>
      <c r="N1739" s="15" t="n">
        <f aca="false">IF(J1739=1,0,IF(OR(AND(OR(B1739="SITE LOSS",B1739="REGION LOSS"),K1739=1),AND(B1739="ROLE COMPROMISE",H1739=C1739)),Inputs!$B$13,Inputs!$B$14))</f>
        <v>10</v>
      </c>
      <c r="O1739" s="15" t="n">
        <f aca="false">IF(J1739=1,0,Inputs!$B$13)</f>
        <v>20</v>
      </c>
      <c r="P1739" s="15" t="n">
        <f aca="false">SUM(M1739:N1739)</f>
        <v>85</v>
      </c>
      <c r="Q1739" s="15" t="n">
        <f aca="false">IF(J1739=1,"",L1739-P1739)</f>
        <v>15</v>
      </c>
      <c r="R1739" s="15" t="n">
        <f aca="false">IF(OR(J1739=1,M1739&lt;=Inputs!$B$12),1,0)</f>
        <v>1</v>
      </c>
      <c r="S1739" s="15" t="n">
        <f aca="false">IF(OR(J1739=1,N1739&lt;=O1739),1,0)</f>
        <v>1</v>
      </c>
      <c r="T1739" s="15" t="str">
        <f aca="false">IF(J1739=1,"OFFLINE",IF(AND(Q1739&gt;=Inputs!$B$15,R1739=1,S1739=1,P1739&lt;=L1739),"PASS","FAIL"))</f>
        <v>PASS</v>
      </c>
    </row>
    <row r="1740" customFormat="false" ht="15" hidden="false" customHeight="false" outlineLevel="0" collapsed="false">
      <c r="A1740" s="14" t="s">
        <v>1035</v>
      </c>
      <c r="B1740" s="14" t="s">
        <v>1019</v>
      </c>
      <c r="C1740" s="14" t="s">
        <v>202</v>
      </c>
      <c r="D1740" s="14" t="s">
        <v>149</v>
      </c>
      <c r="E1740" s="14" t="s">
        <v>152</v>
      </c>
      <c r="F1740" s="14" t="s">
        <v>150</v>
      </c>
      <c r="G1740" s="14" t="n">
        <v>1</v>
      </c>
      <c r="H1740" s="14" t="s">
        <v>154</v>
      </c>
      <c r="I1740" s="14" t="s">
        <v>899</v>
      </c>
      <c r="J1740" s="15" t="n">
        <f aca="false">IF(B1740="SITE LOSS",IF(D1740=C1740,1,0),IF(B1740="REGION LOSS",IF(E1740=C1740,1,0),0))</f>
        <v>0</v>
      </c>
      <c r="K1740" s="15" t="n">
        <f aca="false">IF(B1740="SITE LOSS",IF(COUNTIFS('Site Dockets'!$B$7:$B$24,C1740,'Site Dockets'!$C$7:$C$24,F1740)&gt;0,1,0),IF(B1740="REGION LOSS",IF(COUNTIFS('Site Dockets'!$E$7:$E$24,C1740,'Site Dockets'!$C$7:$C$24,F1740)&gt;0,1,0),0))</f>
        <v>0</v>
      </c>
      <c r="L1740" s="15" t="n">
        <f aca="false">IF(J1740=1,0,Inputs!$B$11)</f>
        <v>100</v>
      </c>
      <c r="M1740" s="15" t="n">
        <f aca="false">IF(J1740=1,0,Inputs!$B$12)</f>
        <v>75</v>
      </c>
      <c r="N1740" s="15" t="n">
        <f aca="false">IF(J1740=1,0,IF(OR(AND(OR(B1740="SITE LOSS",B1740="REGION LOSS"),K1740=1),AND(B1740="ROLE COMPROMISE",H1740=C1740)),Inputs!$B$13,Inputs!$B$14))</f>
        <v>10</v>
      </c>
      <c r="O1740" s="15" t="n">
        <f aca="false">IF(J1740=1,0,Inputs!$B$13)</f>
        <v>20</v>
      </c>
      <c r="P1740" s="15" t="n">
        <f aca="false">SUM(M1740:N1740)</f>
        <v>85</v>
      </c>
      <c r="Q1740" s="15" t="n">
        <f aca="false">IF(J1740=1,"",L1740-P1740)</f>
        <v>15</v>
      </c>
      <c r="R1740" s="15" t="n">
        <f aca="false">IF(OR(J1740=1,M1740&lt;=Inputs!$B$12),1,0)</f>
        <v>1</v>
      </c>
      <c r="S1740" s="15" t="n">
        <f aca="false">IF(OR(J1740=1,N1740&lt;=O1740),1,0)</f>
        <v>1</v>
      </c>
      <c r="T1740" s="15" t="str">
        <f aca="false">IF(J1740=1,"OFFLINE",IF(AND(Q1740&gt;=Inputs!$B$15,R1740=1,S1740=1,P1740&lt;=L1740),"PASS","FAIL"))</f>
        <v>PASS</v>
      </c>
    </row>
    <row r="1741" customFormat="false" ht="15" hidden="false" customHeight="false" outlineLevel="0" collapsed="false">
      <c r="A1741" s="14" t="s">
        <v>1035</v>
      </c>
      <c r="B1741" s="14" t="s">
        <v>1019</v>
      </c>
      <c r="C1741" s="14" t="s">
        <v>202</v>
      </c>
      <c r="D1741" s="14" t="s">
        <v>156</v>
      </c>
      <c r="E1741" s="14" t="s">
        <v>157</v>
      </c>
      <c r="F1741" s="14" t="s">
        <v>150</v>
      </c>
      <c r="G1741" s="14" t="n">
        <v>2</v>
      </c>
      <c r="H1741" s="14" t="s">
        <v>153</v>
      </c>
      <c r="I1741" s="14" t="s">
        <v>890</v>
      </c>
      <c r="J1741" s="15" t="n">
        <f aca="false">IF(B1741="SITE LOSS",IF(D1741=C1741,1,0),IF(B1741="REGION LOSS",IF(E1741=C1741,1,0),0))</f>
        <v>0</v>
      </c>
      <c r="K1741" s="15" t="n">
        <f aca="false">IF(B1741="SITE LOSS",IF(COUNTIFS('Site Dockets'!$B$7:$B$24,C1741,'Site Dockets'!$C$7:$C$24,F1741)&gt;0,1,0),IF(B1741="REGION LOSS",IF(COUNTIFS('Site Dockets'!$E$7:$E$24,C1741,'Site Dockets'!$C$7:$C$24,F1741)&gt;0,1,0),0))</f>
        <v>0</v>
      </c>
      <c r="L1741" s="15" t="n">
        <f aca="false">IF(J1741=1,0,Inputs!$B$11)</f>
        <v>100</v>
      </c>
      <c r="M1741" s="15" t="n">
        <f aca="false">IF(J1741=1,0,Inputs!$B$12)</f>
        <v>75</v>
      </c>
      <c r="N1741" s="15" t="n">
        <f aca="false">IF(J1741=1,0,IF(OR(AND(OR(B1741="SITE LOSS",B1741="REGION LOSS"),K1741=1),AND(B1741="ROLE COMPROMISE",H1741=C1741)),Inputs!$B$13,Inputs!$B$14))</f>
        <v>10</v>
      </c>
      <c r="O1741" s="15" t="n">
        <f aca="false">IF(J1741=1,0,Inputs!$B$13)</f>
        <v>20</v>
      </c>
      <c r="P1741" s="15" t="n">
        <f aca="false">SUM(M1741:N1741)</f>
        <v>85</v>
      </c>
      <c r="Q1741" s="15" t="n">
        <f aca="false">IF(J1741=1,"",L1741-P1741)</f>
        <v>15</v>
      </c>
      <c r="R1741" s="15" t="n">
        <f aca="false">IF(OR(J1741=1,M1741&lt;=Inputs!$B$12),1,0)</f>
        <v>1</v>
      </c>
      <c r="S1741" s="15" t="n">
        <f aca="false">IF(OR(J1741=1,N1741&lt;=O1741),1,0)</f>
        <v>1</v>
      </c>
      <c r="T1741" s="15" t="str">
        <f aca="false">IF(J1741=1,"OFFLINE",IF(AND(Q1741&gt;=Inputs!$B$15,R1741=1,S1741=1,P1741&lt;=L1741),"PASS","FAIL"))</f>
        <v>PASS</v>
      </c>
    </row>
    <row r="1742" customFormat="false" ht="15" hidden="false" customHeight="false" outlineLevel="0" collapsed="false">
      <c r="A1742" s="14" t="s">
        <v>1035</v>
      </c>
      <c r="B1742" s="14" t="s">
        <v>1019</v>
      </c>
      <c r="C1742" s="14" t="s">
        <v>202</v>
      </c>
      <c r="D1742" s="14" t="s">
        <v>156</v>
      </c>
      <c r="E1742" s="14" t="s">
        <v>157</v>
      </c>
      <c r="F1742" s="14" t="s">
        <v>150</v>
      </c>
      <c r="G1742" s="14" t="n">
        <v>2</v>
      </c>
      <c r="H1742" s="14" t="s">
        <v>153</v>
      </c>
      <c r="I1742" s="14" t="s">
        <v>892</v>
      </c>
      <c r="J1742" s="15" t="n">
        <f aca="false">IF(B1742="SITE LOSS",IF(D1742=C1742,1,0),IF(B1742="REGION LOSS",IF(E1742=C1742,1,0),0))</f>
        <v>0</v>
      </c>
      <c r="K1742" s="15" t="n">
        <f aca="false">IF(B1742="SITE LOSS",IF(COUNTIFS('Site Dockets'!$B$7:$B$24,C1742,'Site Dockets'!$C$7:$C$24,F1742)&gt;0,1,0),IF(B1742="REGION LOSS",IF(COUNTIFS('Site Dockets'!$E$7:$E$24,C1742,'Site Dockets'!$C$7:$C$24,F1742)&gt;0,1,0),0))</f>
        <v>0</v>
      </c>
      <c r="L1742" s="15" t="n">
        <f aca="false">IF(J1742=1,0,Inputs!$B$11)</f>
        <v>100</v>
      </c>
      <c r="M1742" s="15" t="n">
        <f aca="false">IF(J1742=1,0,Inputs!$B$12)</f>
        <v>75</v>
      </c>
      <c r="N1742" s="15" t="n">
        <f aca="false">IF(J1742=1,0,IF(OR(AND(OR(B1742="SITE LOSS",B1742="REGION LOSS"),K1742=1),AND(B1742="ROLE COMPROMISE",H1742=C1742)),Inputs!$B$13,Inputs!$B$14))</f>
        <v>10</v>
      </c>
      <c r="O1742" s="15" t="n">
        <f aca="false">IF(J1742=1,0,Inputs!$B$13)</f>
        <v>20</v>
      </c>
      <c r="P1742" s="15" t="n">
        <f aca="false">SUM(M1742:N1742)</f>
        <v>85</v>
      </c>
      <c r="Q1742" s="15" t="n">
        <f aca="false">IF(J1742=1,"",L1742-P1742)</f>
        <v>15</v>
      </c>
      <c r="R1742" s="15" t="n">
        <f aca="false">IF(OR(J1742=1,M1742&lt;=Inputs!$B$12),1,0)</f>
        <v>1</v>
      </c>
      <c r="S1742" s="15" t="n">
        <f aca="false">IF(OR(J1742=1,N1742&lt;=O1742),1,0)</f>
        <v>1</v>
      </c>
      <c r="T1742" s="15" t="str">
        <f aca="false">IF(J1742=1,"OFFLINE",IF(AND(Q1742&gt;=Inputs!$B$15,R1742=1,S1742=1,P1742&lt;=L1742),"PASS","FAIL"))</f>
        <v>PASS</v>
      </c>
    </row>
    <row r="1743" customFormat="false" ht="15" hidden="false" customHeight="false" outlineLevel="0" collapsed="false">
      <c r="A1743" s="14" t="s">
        <v>1035</v>
      </c>
      <c r="B1743" s="14" t="s">
        <v>1019</v>
      </c>
      <c r="C1743" s="14" t="s">
        <v>202</v>
      </c>
      <c r="D1743" s="14" t="s">
        <v>156</v>
      </c>
      <c r="E1743" s="14" t="s">
        <v>157</v>
      </c>
      <c r="F1743" s="14" t="s">
        <v>150</v>
      </c>
      <c r="G1743" s="14" t="n">
        <v>2</v>
      </c>
      <c r="H1743" s="14" t="s">
        <v>153</v>
      </c>
      <c r="I1743" s="14" t="s">
        <v>811</v>
      </c>
      <c r="J1743" s="15" t="n">
        <f aca="false">IF(B1743="SITE LOSS",IF(D1743=C1743,1,0),IF(B1743="REGION LOSS",IF(E1743=C1743,1,0),0))</f>
        <v>0</v>
      </c>
      <c r="K1743" s="15" t="n">
        <f aca="false">IF(B1743="SITE LOSS",IF(COUNTIFS('Site Dockets'!$B$7:$B$24,C1743,'Site Dockets'!$C$7:$C$24,F1743)&gt;0,1,0),IF(B1743="REGION LOSS",IF(COUNTIFS('Site Dockets'!$E$7:$E$24,C1743,'Site Dockets'!$C$7:$C$24,F1743)&gt;0,1,0),0))</f>
        <v>0</v>
      </c>
      <c r="L1743" s="15" t="n">
        <f aca="false">IF(J1743=1,0,Inputs!$B$11)</f>
        <v>100</v>
      </c>
      <c r="M1743" s="15" t="n">
        <f aca="false">IF(J1743=1,0,Inputs!$B$12)</f>
        <v>75</v>
      </c>
      <c r="N1743" s="15" t="n">
        <f aca="false">IF(J1743=1,0,IF(OR(AND(OR(B1743="SITE LOSS",B1743="REGION LOSS"),K1743=1),AND(B1743="ROLE COMPROMISE",H1743=C1743)),Inputs!$B$13,Inputs!$B$14))</f>
        <v>10</v>
      </c>
      <c r="O1743" s="15" t="n">
        <f aca="false">IF(J1743=1,0,Inputs!$B$13)</f>
        <v>20</v>
      </c>
      <c r="P1743" s="15" t="n">
        <f aca="false">SUM(M1743:N1743)</f>
        <v>85</v>
      </c>
      <c r="Q1743" s="15" t="n">
        <f aca="false">IF(J1743=1,"",L1743-P1743)</f>
        <v>15</v>
      </c>
      <c r="R1743" s="15" t="n">
        <f aca="false">IF(OR(J1743=1,M1743&lt;=Inputs!$B$12),1,0)</f>
        <v>1</v>
      </c>
      <c r="S1743" s="15" t="n">
        <f aca="false">IF(OR(J1743=1,N1743&lt;=O1743),1,0)</f>
        <v>1</v>
      </c>
      <c r="T1743" s="15" t="str">
        <f aca="false">IF(J1743=1,"OFFLINE",IF(AND(Q1743&gt;=Inputs!$B$15,R1743=1,S1743=1,P1743&lt;=L1743),"PASS","FAIL"))</f>
        <v>PASS</v>
      </c>
    </row>
    <row r="1744" customFormat="false" ht="15" hidden="false" customHeight="false" outlineLevel="0" collapsed="false">
      <c r="A1744" s="14" t="s">
        <v>1035</v>
      </c>
      <c r="B1744" s="14" t="s">
        <v>1019</v>
      </c>
      <c r="C1744" s="14" t="s">
        <v>202</v>
      </c>
      <c r="D1744" s="14" t="s">
        <v>156</v>
      </c>
      <c r="E1744" s="14" t="s">
        <v>157</v>
      </c>
      <c r="F1744" s="14" t="s">
        <v>150</v>
      </c>
      <c r="G1744" s="14" t="n">
        <v>2</v>
      </c>
      <c r="H1744" s="14" t="s">
        <v>153</v>
      </c>
      <c r="I1744" s="14" t="s">
        <v>895</v>
      </c>
      <c r="J1744" s="15" t="n">
        <f aca="false">IF(B1744="SITE LOSS",IF(D1744=C1744,1,0),IF(B1744="REGION LOSS",IF(E1744=C1744,1,0),0))</f>
        <v>0</v>
      </c>
      <c r="K1744" s="15" t="n">
        <f aca="false">IF(B1744="SITE LOSS",IF(COUNTIFS('Site Dockets'!$B$7:$B$24,C1744,'Site Dockets'!$C$7:$C$24,F1744)&gt;0,1,0),IF(B1744="REGION LOSS",IF(COUNTIFS('Site Dockets'!$E$7:$E$24,C1744,'Site Dockets'!$C$7:$C$24,F1744)&gt;0,1,0),0))</f>
        <v>0</v>
      </c>
      <c r="L1744" s="15" t="n">
        <f aca="false">IF(J1744=1,0,Inputs!$B$11)</f>
        <v>100</v>
      </c>
      <c r="M1744" s="15" t="n">
        <f aca="false">IF(J1744=1,0,Inputs!$B$12)</f>
        <v>75</v>
      </c>
      <c r="N1744" s="15" t="n">
        <f aca="false">IF(J1744=1,0,IF(OR(AND(OR(B1744="SITE LOSS",B1744="REGION LOSS"),K1744=1),AND(B1744="ROLE COMPROMISE",H1744=C1744)),Inputs!$B$13,Inputs!$B$14))</f>
        <v>10</v>
      </c>
      <c r="O1744" s="15" t="n">
        <f aca="false">IF(J1744=1,0,Inputs!$B$13)</f>
        <v>20</v>
      </c>
      <c r="P1744" s="15" t="n">
        <f aca="false">SUM(M1744:N1744)</f>
        <v>85</v>
      </c>
      <c r="Q1744" s="15" t="n">
        <f aca="false">IF(J1744=1,"",L1744-P1744)</f>
        <v>15</v>
      </c>
      <c r="R1744" s="15" t="n">
        <f aca="false">IF(OR(J1744=1,M1744&lt;=Inputs!$B$12),1,0)</f>
        <v>1</v>
      </c>
      <c r="S1744" s="15" t="n">
        <f aca="false">IF(OR(J1744=1,N1744&lt;=O1744),1,0)</f>
        <v>1</v>
      </c>
      <c r="T1744" s="15" t="str">
        <f aca="false">IF(J1744=1,"OFFLINE",IF(AND(Q1744&gt;=Inputs!$B$15,R1744=1,S1744=1,P1744&lt;=L1744),"PASS","FAIL"))</f>
        <v>PASS</v>
      </c>
    </row>
    <row r="1745" customFormat="false" ht="15" hidden="false" customHeight="false" outlineLevel="0" collapsed="false">
      <c r="A1745" s="14" t="s">
        <v>1035</v>
      </c>
      <c r="B1745" s="14" t="s">
        <v>1019</v>
      </c>
      <c r="C1745" s="14" t="s">
        <v>202</v>
      </c>
      <c r="D1745" s="14" t="s">
        <v>156</v>
      </c>
      <c r="E1745" s="14" t="s">
        <v>157</v>
      </c>
      <c r="F1745" s="14" t="s">
        <v>150</v>
      </c>
      <c r="G1745" s="14" t="n">
        <v>2</v>
      </c>
      <c r="H1745" s="14" t="s">
        <v>153</v>
      </c>
      <c r="I1745" s="14" t="s">
        <v>897</v>
      </c>
      <c r="J1745" s="15" t="n">
        <f aca="false">IF(B1745="SITE LOSS",IF(D1745=C1745,1,0),IF(B1745="REGION LOSS",IF(E1745=C1745,1,0),0))</f>
        <v>0</v>
      </c>
      <c r="K1745" s="15" t="n">
        <f aca="false">IF(B1745="SITE LOSS",IF(COUNTIFS('Site Dockets'!$B$7:$B$24,C1745,'Site Dockets'!$C$7:$C$24,F1745)&gt;0,1,0),IF(B1745="REGION LOSS",IF(COUNTIFS('Site Dockets'!$E$7:$E$24,C1745,'Site Dockets'!$C$7:$C$24,F1745)&gt;0,1,0),0))</f>
        <v>0</v>
      </c>
      <c r="L1745" s="15" t="n">
        <f aca="false">IF(J1745=1,0,Inputs!$B$11)</f>
        <v>100</v>
      </c>
      <c r="M1745" s="15" t="n">
        <f aca="false">IF(J1745=1,0,Inputs!$B$12)</f>
        <v>75</v>
      </c>
      <c r="N1745" s="15" t="n">
        <f aca="false">IF(J1745=1,0,IF(OR(AND(OR(B1745="SITE LOSS",B1745="REGION LOSS"),K1745=1),AND(B1745="ROLE COMPROMISE",H1745=C1745)),Inputs!$B$13,Inputs!$B$14))</f>
        <v>10</v>
      </c>
      <c r="O1745" s="15" t="n">
        <f aca="false">IF(J1745=1,0,Inputs!$B$13)</f>
        <v>20</v>
      </c>
      <c r="P1745" s="15" t="n">
        <f aca="false">SUM(M1745:N1745)</f>
        <v>85</v>
      </c>
      <c r="Q1745" s="15" t="n">
        <f aca="false">IF(J1745=1,"",L1745-P1745)</f>
        <v>15</v>
      </c>
      <c r="R1745" s="15" t="n">
        <f aca="false">IF(OR(J1745=1,M1745&lt;=Inputs!$B$12),1,0)</f>
        <v>1</v>
      </c>
      <c r="S1745" s="15" t="n">
        <f aca="false">IF(OR(J1745=1,N1745&lt;=O1745),1,0)</f>
        <v>1</v>
      </c>
      <c r="T1745" s="15" t="str">
        <f aca="false">IF(J1745=1,"OFFLINE",IF(AND(Q1745&gt;=Inputs!$B$15,R1745=1,S1745=1,P1745&lt;=L1745),"PASS","FAIL"))</f>
        <v>PASS</v>
      </c>
    </row>
    <row r="1746" customFormat="false" ht="15" hidden="false" customHeight="false" outlineLevel="0" collapsed="false">
      <c r="A1746" s="14" t="s">
        <v>1035</v>
      </c>
      <c r="B1746" s="14" t="s">
        <v>1019</v>
      </c>
      <c r="C1746" s="14" t="s">
        <v>202</v>
      </c>
      <c r="D1746" s="14" t="s">
        <v>156</v>
      </c>
      <c r="E1746" s="14" t="s">
        <v>157</v>
      </c>
      <c r="F1746" s="14" t="s">
        <v>150</v>
      </c>
      <c r="G1746" s="14" t="n">
        <v>2</v>
      </c>
      <c r="H1746" s="14" t="s">
        <v>153</v>
      </c>
      <c r="I1746" s="14" t="s">
        <v>899</v>
      </c>
      <c r="J1746" s="15" t="n">
        <f aca="false">IF(B1746="SITE LOSS",IF(D1746=C1746,1,0),IF(B1746="REGION LOSS",IF(E1746=C1746,1,0),0))</f>
        <v>0</v>
      </c>
      <c r="K1746" s="15" t="n">
        <f aca="false">IF(B1746="SITE LOSS",IF(COUNTIFS('Site Dockets'!$B$7:$B$24,C1746,'Site Dockets'!$C$7:$C$24,F1746)&gt;0,1,0),IF(B1746="REGION LOSS",IF(COUNTIFS('Site Dockets'!$E$7:$E$24,C1746,'Site Dockets'!$C$7:$C$24,F1746)&gt;0,1,0),0))</f>
        <v>0</v>
      </c>
      <c r="L1746" s="15" t="n">
        <f aca="false">IF(J1746=1,0,Inputs!$B$11)</f>
        <v>100</v>
      </c>
      <c r="M1746" s="15" t="n">
        <f aca="false">IF(J1746=1,0,Inputs!$B$12)</f>
        <v>75</v>
      </c>
      <c r="N1746" s="15" t="n">
        <f aca="false">IF(J1746=1,0,IF(OR(AND(OR(B1746="SITE LOSS",B1746="REGION LOSS"),K1746=1),AND(B1746="ROLE COMPROMISE",H1746=C1746)),Inputs!$B$13,Inputs!$B$14))</f>
        <v>10</v>
      </c>
      <c r="O1746" s="15" t="n">
        <f aca="false">IF(J1746=1,0,Inputs!$B$13)</f>
        <v>20</v>
      </c>
      <c r="P1746" s="15" t="n">
        <f aca="false">SUM(M1746:N1746)</f>
        <v>85</v>
      </c>
      <c r="Q1746" s="15" t="n">
        <f aca="false">IF(J1746=1,"",L1746-P1746)</f>
        <v>15</v>
      </c>
      <c r="R1746" s="15" t="n">
        <f aca="false">IF(OR(J1746=1,M1746&lt;=Inputs!$B$12),1,0)</f>
        <v>1</v>
      </c>
      <c r="S1746" s="15" t="n">
        <f aca="false">IF(OR(J1746=1,N1746&lt;=O1746),1,0)</f>
        <v>1</v>
      </c>
      <c r="T1746" s="15" t="str">
        <f aca="false">IF(J1746=1,"OFFLINE",IF(AND(Q1746&gt;=Inputs!$B$15,R1746=1,S1746=1,P1746&lt;=L1746),"PASS","FAIL"))</f>
        <v>PASS</v>
      </c>
    </row>
    <row r="1747" customFormat="false" ht="15" hidden="false" customHeight="false" outlineLevel="0" collapsed="false">
      <c r="A1747" s="14" t="s">
        <v>1035</v>
      </c>
      <c r="B1747" s="14" t="s">
        <v>1019</v>
      </c>
      <c r="C1747" s="14" t="s">
        <v>202</v>
      </c>
      <c r="D1747" s="14" t="s">
        <v>160</v>
      </c>
      <c r="E1747" s="14" t="s">
        <v>161</v>
      </c>
      <c r="F1747" s="14" t="s">
        <v>150</v>
      </c>
      <c r="G1747" s="14" t="n">
        <v>3</v>
      </c>
      <c r="H1747" s="14" t="s">
        <v>158</v>
      </c>
      <c r="I1747" s="14" t="s">
        <v>890</v>
      </c>
      <c r="J1747" s="15" t="n">
        <f aca="false">IF(B1747="SITE LOSS",IF(D1747=C1747,1,0),IF(B1747="REGION LOSS",IF(E1747=C1747,1,0),0))</f>
        <v>0</v>
      </c>
      <c r="K1747" s="15" t="n">
        <f aca="false">IF(B1747="SITE LOSS",IF(COUNTIFS('Site Dockets'!$B$7:$B$24,C1747,'Site Dockets'!$C$7:$C$24,F1747)&gt;0,1,0),IF(B1747="REGION LOSS",IF(COUNTIFS('Site Dockets'!$E$7:$E$24,C1747,'Site Dockets'!$C$7:$C$24,F1747)&gt;0,1,0),0))</f>
        <v>0</v>
      </c>
      <c r="L1747" s="15" t="n">
        <f aca="false">IF(J1747=1,0,Inputs!$B$11)</f>
        <v>100</v>
      </c>
      <c r="M1747" s="15" t="n">
        <f aca="false">IF(J1747=1,0,Inputs!$B$12)</f>
        <v>75</v>
      </c>
      <c r="N1747" s="15" t="n">
        <f aca="false">IF(J1747=1,0,IF(OR(AND(OR(B1747="SITE LOSS",B1747="REGION LOSS"),K1747=1),AND(B1747="ROLE COMPROMISE",H1747=C1747)),Inputs!$B$13,Inputs!$B$14))</f>
        <v>10</v>
      </c>
      <c r="O1747" s="15" t="n">
        <f aca="false">IF(J1747=1,0,Inputs!$B$13)</f>
        <v>20</v>
      </c>
      <c r="P1747" s="15" t="n">
        <f aca="false">SUM(M1747:N1747)</f>
        <v>85</v>
      </c>
      <c r="Q1747" s="15" t="n">
        <f aca="false">IF(J1747=1,"",L1747-P1747)</f>
        <v>15</v>
      </c>
      <c r="R1747" s="15" t="n">
        <f aca="false">IF(OR(J1747=1,M1747&lt;=Inputs!$B$12),1,0)</f>
        <v>1</v>
      </c>
      <c r="S1747" s="15" t="n">
        <f aca="false">IF(OR(J1747=1,N1747&lt;=O1747),1,0)</f>
        <v>1</v>
      </c>
      <c r="T1747" s="15" t="str">
        <f aca="false">IF(J1747=1,"OFFLINE",IF(AND(Q1747&gt;=Inputs!$B$15,R1747=1,S1747=1,P1747&lt;=L1747),"PASS","FAIL"))</f>
        <v>PASS</v>
      </c>
    </row>
    <row r="1748" customFormat="false" ht="15" hidden="false" customHeight="false" outlineLevel="0" collapsed="false">
      <c r="A1748" s="14" t="s">
        <v>1035</v>
      </c>
      <c r="B1748" s="14" t="s">
        <v>1019</v>
      </c>
      <c r="C1748" s="14" t="s">
        <v>202</v>
      </c>
      <c r="D1748" s="14" t="s">
        <v>160</v>
      </c>
      <c r="E1748" s="14" t="s">
        <v>161</v>
      </c>
      <c r="F1748" s="14" t="s">
        <v>150</v>
      </c>
      <c r="G1748" s="14" t="n">
        <v>3</v>
      </c>
      <c r="H1748" s="14" t="s">
        <v>158</v>
      </c>
      <c r="I1748" s="14" t="s">
        <v>892</v>
      </c>
      <c r="J1748" s="15" t="n">
        <f aca="false">IF(B1748="SITE LOSS",IF(D1748=C1748,1,0),IF(B1748="REGION LOSS",IF(E1748=C1748,1,0),0))</f>
        <v>0</v>
      </c>
      <c r="K1748" s="15" t="n">
        <f aca="false">IF(B1748="SITE LOSS",IF(COUNTIFS('Site Dockets'!$B$7:$B$24,C1748,'Site Dockets'!$C$7:$C$24,F1748)&gt;0,1,0),IF(B1748="REGION LOSS",IF(COUNTIFS('Site Dockets'!$E$7:$E$24,C1748,'Site Dockets'!$C$7:$C$24,F1748)&gt;0,1,0),0))</f>
        <v>0</v>
      </c>
      <c r="L1748" s="15" t="n">
        <f aca="false">IF(J1748=1,0,Inputs!$B$11)</f>
        <v>100</v>
      </c>
      <c r="M1748" s="15" t="n">
        <f aca="false">IF(J1748=1,0,Inputs!$B$12)</f>
        <v>75</v>
      </c>
      <c r="N1748" s="15" t="n">
        <f aca="false">IF(J1748=1,0,IF(OR(AND(OR(B1748="SITE LOSS",B1748="REGION LOSS"),K1748=1),AND(B1748="ROLE COMPROMISE",H1748=C1748)),Inputs!$B$13,Inputs!$B$14))</f>
        <v>10</v>
      </c>
      <c r="O1748" s="15" t="n">
        <f aca="false">IF(J1748=1,0,Inputs!$B$13)</f>
        <v>20</v>
      </c>
      <c r="P1748" s="15" t="n">
        <f aca="false">SUM(M1748:N1748)</f>
        <v>85</v>
      </c>
      <c r="Q1748" s="15" t="n">
        <f aca="false">IF(J1748=1,"",L1748-P1748)</f>
        <v>15</v>
      </c>
      <c r="R1748" s="15" t="n">
        <f aca="false">IF(OR(J1748=1,M1748&lt;=Inputs!$B$12),1,0)</f>
        <v>1</v>
      </c>
      <c r="S1748" s="15" t="n">
        <f aca="false">IF(OR(J1748=1,N1748&lt;=O1748),1,0)</f>
        <v>1</v>
      </c>
      <c r="T1748" s="15" t="str">
        <f aca="false">IF(J1748=1,"OFFLINE",IF(AND(Q1748&gt;=Inputs!$B$15,R1748=1,S1748=1,P1748&lt;=L1748),"PASS","FAIL"))</f>
        <v>PASS</v>
      </c>
    </row>
    <row r="1749" customFormat="false" ht="15" hidden="false" customHeight="false" outlineLevel="0" collapsed="false">
      <c r="A1749" s="14" t="s">
        <v>1035</v>
      </c>
      <c r="B1749" s="14" t="s">
        <v>1019</v>
      </c>
      <c r="C1749" s="14" t="s">
        <v>202</v>
      </c>
      <c r="D1749" s="14" t="s">
        <v>160</v>
      </c>
      <c r="E1749" s="14" t="s">
        <v>161</v>
      </c>
      <c r="F1749" s="14" t="s">
        <v>150</v>
      </c>
      <c r="G1749" s="14" t="n">
        <v>3</v>
      </c>
      <c r="H1749" s="14" t="s">
        <v>158</v>
      </c>
      <c r="I1749" s="14" t="s">
        <v>811</v>
      </c>
      <c r="J1749" s="15" t="n">
        <f aca="false">IF(B1749="SITE LOSS",IF(D1749=C1749,1,0),IF(B1749="REGION LOSS",IF(E1749=C1749,1,0),0))</f>
        <v>0</v>
      </c>
      <c r="K1749" s="15" t="n">
        <f aca="false">IF(B1749="SITE LOSS",IF(COUNTIFS('Site Dockets'!$B$7:$B$24,C1749,'Site Dockets'!$C$7:$C$24,F1749)&gt;0,1,0),IF(B1749="REGION LOSS",IF(COUNTIFS('Site Dockets'!$E$7:$E$24,C1749,'Site Dockets'!$C$7:$C$24,F1749)&gt;0,1,0),0))</f>
        <v>0</v>
      </c>
      <c r="L1749" s="15" t="n">
        <f aca="false">IF(J1749=1,0,Inputs!$B$11)</f>
        <v>100</v>
      </c>
      <c r="M1749" s="15" t="n">
        <f aca="false">IF(J1749=1,0,Inputs!$B$12)</f>
        <v>75</v>
      </c>
      <c r="N1749" s="15" t="n">
        <f aca="false">IF(J1749=1,0,IF(OR(AND(OR(B1749="SITE LOSS",B1749="REGION LOSS"),K1749=1),AND(B1749="ROLE COMPROMISE",H1749=C1749)),Inputs!$B$13,Inputs!$B$14))</f>
        <v>10</v>
      </c>
      <c r="O1749" s="15" t="n">
        <f aca="false">IF(J1749=1,0,Inputs!$B$13)</f>
        <v>20</v>
      </c>
      <c r="P1749" s="15" t="n">
        <f aca="false">SUM(M1749:N1749)</f>
        <v>85</v>
      </c>
      <c r="Q1749" s="15" t="n">
        <f aca="false">IF(J1749=1,"",L1749-P1749)</f>
        <v>15</v>
      </c>
      <c r="R1749" s="15" t="n">
        <f aca="false">IF(OR(J1749=1,M1749&lt;=Inputs!$B$12),1,0)</f>
        <v>1</v>
      </c>
      <c r="S1749" s="15" t="n">
        <f aca="false">IF(OR(J1749=1,N1749&lt;=O1749),1,0)</f>
        <v>1</v>
      </c>
      <c r="T1749" s="15" t="str">
        <f aca="false">IF(J1749=1,"OFFLINE",IF(AND(Q1749&gt;=Inputs!$B$15,R1749=1,S1749=1,P1749&lt;=L1749),"PASS","FAIL"))</f>
        <v>PASS</v>
      </c>
    </row>
    <row r="1750" customFormat="false" ht="15" hidden="false" customHeight="false" outlineLevel="0" collapsed="false">
      <c r="A1750" s="14" t="s">
        <v>1035</v>
      </c>
      <c r="B1750" s="14" t="s">
        <v>1019</v>
      </c>
      <c r="C1750" s="14" t="s">
        <v>202</v>
      </c>
      <c r="D1750" s="14" t="s">
        <v>160</v>
      </c>
      <c r="E1750" s="14" t="s">
        <v>161</v>
      </c>
      <c r="F1750" s="14" t="s">
        <v>150</v>
      </c>
      <c r="G1750" s="14" t="n">
        <v>3</v>
      </c>
      <c r="H1750" s="14" t="s">
        <v>158</v>
      </c>
      <c r="I1750" s="14" t="s">
        <v>895</v>
      </c>
      <c r="J1750" s="15" t="n">
        <f aca="false">IF(B1750="SITE LOSS",IF(D1750=C1750,1,0),IF(B1750="REGION LOSS",IF(E1750=C1750,1,0),0))</f>
        <v>0</v>
      </c>
      <c r="K1750" s="15" t="n">
        <f aca="false">IF(B1750="SITE LOSS",IF(COUNTIFS('Site Dockets'!$B$7:$B$24,C1750,'Site Dockets'!$C$7:$C$24,F1750)&gt;0,1,0),IF(B1750="REGION LOSS",IF(COUNTIFS('Site Dockets'!$E$7:$E$24,C1750,'Site Dockets'!$C$7:$C$24,F1750)&gt;0,1,0),0))</f>
        <v>0</v>
      </c>
      <c r="L1750" s="15" t="n">
        <f aca="false">IF(J1750=1,0,Inputs!$B$11)</f>
        <v>100</v>
      </c>
      <c r="M1750" s="15" t="n">
        <f aca="false">IF(J1750=1,0,Inputs!$B$12)</f>
        <v>75</v>
      </c>
      <c r="N1750" s="15" t="n">
        <f aca="false">IF(J1750=1,0,IF(OR(AND(OR(B1750="SITE LOSS",B1750="REGION LOSS"),K1750=1),AND(B1750="ROLE COMPROMISE",H1750=C1750)),Inputs!$B$13,Inputs!$B$14))</f>
        <v>10</v>
      </c>
      <c r="O1750" s="15" t="n">
        <f aca="false">IF(J1750=1,0,Inputs!$B$13)</f>
        <v>20</v>
      </c>
      <c r="P1750" s="15" t="n">
        <f aca="false">SUM(M1750:N1750)</f>
        <v>85</v>
      </c>
      <c r="Q1750" s="15" t="n">
        <f aca="false">IF(J1750=1,"",L1750-P1750)</f>
        <v>15</v>
      </c>
      <c r="R1750" s="15" t="n">
        <f aca="false">IF(OR(J1750=1,M1750&lt;=Inputs!$B$12),1,0)</f>
        <v>1</v>
      </c>
      <c r="S1750" s="15" t="n">
        <f aca="false">IF(OR(J1750=1,N1750&lt;=O1750),1,0)</f>
        <v>1</v>
      </c>
      <c r="T1750" s="15" t="str">
        <f aca="false">IF(J1750=1,"OFFLINE",IF(AND(Q1750&gt;=Inputs!$B$15,R1750=1,S1750=1,P1750&lt;=L1750),"PASS","FAIL"))</f>
        <v>PASS</v>
      </c>
    </row>
    <row r="1751" customFormat="false" ht="15" hidden="false" customHeight="false" outlineLevel="0" collapsed="false">
      <c r="A1751" s="14" t="s">
        <v>1035</v>
      </c>
      <c r="B1751" s="14" t="s">
        <v>1019</v>
      </c>
      <c r="C1751" s="14" t="s">
        <v>202</v>
      </c>
      <c r="D1751" s="14" t="s">
        <v>160</v>
      </c>
      <c r="E1751" s="14" t="s">
        <v>161</v>
      </c>
      <c r="F1751" s="14" t="s">
        <v>150</v>
      </c>
      <c r="G1751" s="14" t="n">
        <v>3</v>
      </c>
      <c r="H1751" s="14" t="s">
        <v>158</v>
      </c>
      <c r="I1751" s="14" t="s">
        <v>897</v>
      </c>
      <c r="J1751" s="15" t="n">
        <f aca="false">IF(B1751="SITE LOSS",IF(D1751=C1751,1,0),IF(B1751="REGION LOSS",IF(E1751=C1751,1,0),0))</f>
        <v>0</v>
      </c>
      <c r="K1751" s="15" t="n">
        <f aca="false">IF(B1751="SITE LOSS",IF(COUNTIFS('Site Dockets'!$B$7:$B$24,C1751,'Site Dockets'!$C$7:$C$24,F1751)&gt;0,1,0),IF(B1751="REGION LOSS",IF(COUNTIFS('Site Dockets'!$E$7:$E$24,C1751,'Site Dockets'!$C$7:$C$24,F1751)&gt;0,1,0),0))</f>
        <v>0</v>
      </c>
      <c r="L1751" s="15" t="n">
        <f aca="false">IF(J1751=1,0,Inputs!$B$11)</f>
        <v>100</v>
      </c>
      <c r="M1751" s="15" t="n">
        <f aca="false">IF(J1751=1,0,Inputs!$B$12)</f>
        <v>75</v>
      </c>
      <c r="N1751" s="15" t="n">
        <f aca="false">IF(J1751=1,0,IF(OR(AND(OR(B1751="SITE LOSS",B1751="REGION LOSS"),K1751=1),AND(B1751="ROLE COMPROMISE",H1751=C1751)),Inputs!$B$13,Inputs!$B$14))</f>
        <v>10</v>
      </c>
      <c r="O1751" s="15" t="n">
        <f aca="false">IF(J1751=1,0,Inputs!$B$13)</f>
        <v>20</v>
      </c>
      <c r="P1751" s="15" t="n">
        <f aca="false">SUM(M1751:N1751)</f>
        <v>85</v>
      </c>
      <c r="Q1751" s="15" t="n">
        <f aca="false">IF(J1751=1,"",L1751-P1751)</f>
        <v>15</v>
      </c>
      <c r="R1751" s="15" t="n">
        <f aca="false">IF(OR(J1751=1,M1751&lt;=Inputs!$B$12),1,0)</f>
        <v>1</v>
      </c>
      <c r="S1751" s="15" t="n">
        <f aca="false">IF(OR(J1751=1,N1751&lt;=O1751),1,0)</f>
        <v>1</v>
      </c>
      <c r="T1751" s="15" t="str">
        <f aca="false">IF(J1751=1,"OFFLINE",IF(AND(Q1751&gt;=Inputs!$B$15,R1751=1,S1751=1,P1751&lt;=L1751),"PASS","FAIL"))</f>
        <v>PASS</v>
      </c>
    </row>
    <row r="1752" customFormat="false" ht="15" hidden="false" customHeight="false" outlineLevel="0" collapsed="false">
      <c r="A1752" s="14" t="s">
        <v>1035</v>
      </c>
      <c r="B1752" s="14" t="s">
        <v>1019</v>
      </c>
      <c r="C1752" s="14" t="s">
        <v>202</v>
      </c>
      <c r="D1752" s="14" t="s">
        <v>160</v>
      </c>
      <c r="E1752" s="14" t="s">
        <v>161</v>
      </c>
      <c r="F1752" s="14" t="s">
        <v>150</v>
      </c>
      <c r="G1752" s="14" t="n">
        <v>3</v>
      </c>
      <c r="H1752" s="14" t="s">
        <v>158</v>
      </c>
      <c r="I1752" s="14" t="s">
        <v>899</v>
      </c>
      <c r="J1752" s="15" t="n">
        <f aca="false">IF(B1752="SITE LOSS",IF(D1752=C1752,1,0),IF(B1752="REGION LOSS",IF(E1752=C1752,1,0),0))</f>
        <v>0</v>
      </c>
      <c r="K1752" s="15" t="n">
        <f aca="false">IF(B1752="SITE LOSS",IF(COUNTIFS('Site Dockets'!$B$7:$B$24,C1752,'Site Dockets'!$C$7:$C$24,F1752)&gt;0,1,0),IF(B1752="REGION LOSS",IF(COUNTIFS('Site Dockets'!$E$7:$E$24,C1752,'Site Dockets'!$C$7:$C$24,F1752)&gt;0,1,0),0))</f>
        <v>0</v>
      </c>
      <c r="L1752" s="15" t="n">
        <f aca="false">IF(J1752=1,0,Inputs!$B$11)</f>
        <v>100</v>
      </c>
      <c r="M1752" s="15" t="n">
        <f aca="false">IF(J1752=1,0,Inputs!$B$12)</f>
        <v>75</v>
      </c>
      <c r="N1752" s="15" t="n">
        <f aca="false">IF(J1752=1,0,IF(OR(AND(OR(B1752="SITE LOSS",B1752="REGION LOSS"),K1752=1),AND(B1752="ROLE COMPROMISE",H1752=C1752)),Inputs!$B$13,Inputs!$B$14))</f>
        <v>10</v>
      </c>
      <c r="O1752" s="15" t="n">
        <f aca="false">IF(J1752=1,0,Inputs!$B$13)</f>
        <v>20</v>
      </c>
      <c r="P1752" s="15" t="n">
        <f aca="false">SUM(M1752:N1752)</f>
        <v>85</v>
      </c>
      <c r="Q1752" s="15" t="n">
        <f aca="false">IF(J1752=1,"",L1752-P1752)</f>
        <v>15</v>
      </c>
      <c r="R1752" s="15" t="n">
        <f aca="false">IF(OR(J1752=1,M1752&lt;=Inputs!$B$12),1,0)</f>
        <v>1</v>
      </c>
      <c r="S1752" s="15" t="n">
        <f aca="false">IF(OR(J1752=1,N1752&lt;=O1752),1,0)</f>
        <v>1</v>
      </c>
      <c r="T1752" s="15" t="str">
        <f aca="false">IF(J1752=1,"OFFLINE",IF(AND(Q1752&gt;=Inputs!$B$15,R1752=1,S1752=1,P1752&lt;=L1752),"PASS","FAIL"))</f>
        <v>PASS</v>
      </c>
    </row>
    <row r="1753" customFormat="false" ht="15" hidden="false" customHeight="false" outlineLevel="0" collapsed="false">
      <c r="A1753" s="14" t="s">
        <v>1035</v>
      </c>
      <c r="B1753" s="14" t="s">
        <v>1019</v>
      </c>
      <c r="C1753" s="14" t="s">
        <v>202</v>
      </c>
      <c r="D1753" s="14" t="s">
        <v>163</v>
      </c>
      <c r="E1753" s="14" t="s">
        <v>166</v>
      </c>
      <c r="F1753" s="14" t="s">
        <v>164</v>
      </c>
      <c r="G1753" s="14" t="n">
        <v>1</v>
      </c>
      <c r="H1753" s="14" t="s">
        <v>154</v>
      </c>
      <c r="I1753" s="14" t="s">
        <v>890</v>
      </c>
      <c r="J1753" s="15" t="n">
        <f aca="false">IF(B1753="SITE LOSS",IF(D1753=C1753,1,0),IF(B1753="REGION LOSS",IF(E1753=C1753,1,0),0))</f>
        <v>0</v>
      </c>
      <c r="K1753" s="15" t="n">
        <f aca="false">IF(B1753="SITE LOSS",IF(COUNTIFS('Site Dockets'!$B$7:$B$24,C1753,'Site Dockets'!$C$7:$C$24,F1753)&gt;0,1,0),IF(B1753="REGION LOSS",IF(COUNTIFS('Site Dockets'!$E$7:$E$24,C1753,'Site Dockets'!$C$7:$C$24,F1753)&gt;0,1,0),0))</f>
        <v>0</v>
      </c>
      <c r="L1753" s="15" t="n">
        <f aca="false">IF(J1753=1,0,Inputs!$B$11)</f>
        <v>100</v>
      </c>
      <c r="M1753" s="15" t="n">
        <f aca="false">IF(J1753=1,0,Inputs!$B$12)</f>
        <v>75</v>
      </c>
      <c r="N1753" s="15" t="n">
        <f aca="false">IF(J1753=1,0,IF(OR(AND(OR(B1753="SITE LOSS",B1753="REGION LOSS"),K1753=1),AND(B1753="ROLE COMPROMISE",H1753=C1753)),Inputs!$B$13,Inputs!$B$14))</f>
        <v>10</v>
      </c>
      <c r="O1753" s="15" t="n">
        <f aca="false">IF(J1753=1,0,Inputs!$B$13)</f>
        <v>20</v>
      </c>
      <c r="P1753" s="15" t="n">
        <f aca="false">SUM(M1753:N1753)</f>
        <v>85</v>
      </c>
      <c r="Q1753" s="15" t="n">
        <f aca="false">IF(J1753=1,"",L1753-P1753)</f>
        <v>15</v>
      </c>
      <c r="R1753" s="15" t="n">
        <f aca="false">IF(OR(J1753=1,M1753&lt;=Inputs!$B$12),1,0)</f>
        <v>1</v>
      </c>
      <c r="S1753" s="15" t="n">
        <f aca="false">IF(OR(J1753=1,N1753&lt;=O1753),1,0)</f>
        <v>1</v>
      </c>
      <c r="T1753" s="15" t="str">
        <f aca="false">IF(J1753=1,"OFFLINE",IF(AND(Q1753&gt;=Inputs!$B$15,R1753=1,S1753=1,P1753&lt;=L1753),"PASS","FAIL"))</f>
        <v>PASS</v>
      </c>
    </row>
    <row r="1754" customFormat="false" ht="15" hidden="false" customHeight="false" outlineLevel="0" collapsed="false">
      <c r="A1754" s="14" t="s">
        <v>1035</v>
      </c>
      <c r="B1754" s="14" t="s">
        <v>1019</v>
      </c>
      <c r="C1754" s="14" t="s">
        <v>202</v>
      </c>
      <c r="D1754" s="14" t="s">
        <v>163</v>
      </c>
      <c r="E1754" s="14" t="s">
        <v>166</v>
      </c>
      <c r="F1754" s="14" t="s">
        <v>164</v>
      </c>
      <c r="G1754" s="14" t="n">
        <v>1</v>
      </c>
      <c r="H1754" s="14" t="s">
        <v>154</v>
      </c>
      <c r="I1754" s="14" t="s">
        <v>892</v>
      </c>
      <c r="J1754" s="15" t="n">
        <f aca="false">IF(B1754="SITE LOSS",IF(D1754=C1754,1,0),IF(B1754="REGION LOSS",IF(E1754=C1754,1,0),0))</f>
        <v>0</v>
      </c>
      <c r="K1754" s="15" t="n">
        <f aca="false">IF(B1754="SITE LOSS",IF(COUNTIFS('Site Dockets'!$B$7:$B$24,C1754,'Site Dockets'!$C$7:$C$24,F1754)&gt;0,1,0),IF(B1754="REGION LOSS",IF(COUNTIFS('Site Dockets'!$E$7:$E$24,C1754,'Site Dockets'!$C$7:$C$24,F1754)&gt;0,1,0),0))</f>
        <v>0</v>
      </c>
      <c r="L1754" s="15" t="n">
        <f aca="false">IF(J1754=1,0,Inputs!$B$11)</f>
        <v>100</v>
      </c>
      <c r="M1754" s="15" t="n">
        <f aca="false">IF(J1754=1,0,Inputs!$B$12)</f>
        <v>75</v>
      </c>
      <c r="N1754" s="15" t="n">
        <f aca="false">IF(J1754=1,0,IF(OR(AND(OR(B1754="SITE LOSS",B1754="REGION LOSS"),K1754=1),AND(B1754="ROLE COMPROMISE",H1754=C1754)),Inputs!$B$13,Inputs!$B$14))</f>
        <v>10</v>
      </c>
      <c r="O1754" s="15" t="n">
        <f aca="false">IF(J1754=1,0,Inputs!$B$13)</f>
        <v>20</v>
      </c>
      <c r="P1754" s="15" t="n">
        <f aca="false">SUM(M1754:N1754)</f>
        <v>85</v>
      </c>
      <c r="Q1754" s="15" t="n">
        <f aca="false">IF(J1754=1,"",L1754-P1754)</f>
        <v>15</v>
      </c>
      <c r="R1754" s="15" t="n">
        <f aca="false">IF(OR(J1754=1,M1754&lt;=Inputs!$B$12),1,0)</f>
        <v>1</v>
      </c>
      <c r="S1754" s="15" t="n">
        <f aca="false">IF(OR(J1754=1,N1754&lt;=O1754),1,0)</f>
        <v>1</v>
      </c>
      <c r="T1754" s="15" t="str">
        <f aca="false">IF(J1754=1,"OFFLINE",IF(AND(Q1754&gt;=Inputs!$B$15,R1754=1,S1754=1,P1754&lt;=L1754),"PASS","FAIL"))</f>
        <v>PASS</v>
      </c>
    </row>
    <row r="1755" customFormat="false" ht="15" hidden="false" customHeight="false" outlineLevel="0" collapsed="false">
      <c r="A1755" s="14" t="s">
        <v>1035</v>
      </c>
      <c r="B1755" s="14" t="s">
        <v>1019</v>
      </c>
      <c r="C1755" s="14" t="s">
        <v>202</v>
      </c>
      <c r="D1755" s="14" t="s">
        <v>163</v>
      </c>
      <c r="E1755" s="14" t="s">
        <v>166</v>
      </c>
      <c r="F1755" s="14" t="s">
        <v>164</v>
      </c>
      <c r="G1755" s="14" t="n">
        <v>1</v>
      </c>
      <c r="H1755" s="14" t="s">
        <v>154</v>
      </c>
      <c r="I1755" s="14" t="s">
        <v>811</v>
      </c>
      <c r="J1755" s="15" t="n">
        <f aca="false">IF(B1755="SITE LOSS",IF(D1755=C1755,1,0),IF(B1755="REGION LOSS",IF(E1755=C1755,1,0),0))</f>
        <v>0</v>
      </c>
      <c r="K1755" s="15" t="n">
        <f aca="false">IF(B1755="SITE LOSS",IF(COUNTIFS('Site Dockets'!$B$7:$B$24,C1755,'Site Dockets'!$C$7:$C$24,F1755)&gt;0,1,0),IF(B1755="REGION LOSS",IF(COUNTIFS('Site Dockets'!$E$7:$E$24,C1755,'Site Dockets'!$C$7:$C$24,F1755)&gt;0,1,0),0))</f>
        <v>0</v>
      </c>
      <c r="L1755" s="15" t="n">
        <f aca="false">IF(J1755=1,0,Inputs!$B$11)</f>
        <v>100</v>
      </c>
      <c r="M1755" s="15" t="n">
        <f aca="false">IF(J1755=1,0,Inputs!$B$12)</f>
        <v>75</v>
      </c>
      <c r="N1755" s="15" t="n">
        <f aca="false">IF(J1755=1,0,IF(OR(AND(OR(B1755="SITE LOSS",B1755="REGION LOSS"),K1755=1),AND(B1755="ROLE COMPROMISE",H1755=C1755)),Inputs!$B$13,Inputs!$B$14))</f>
        <v>10</v>
      </c>
      <c r="O1755" s="15" t="n">
        <f aca="false">IF(J1755=1,0,Inputs!$B$13)</f>
        <v>20</v>
      </c>
      <c r="P1755" s="15" t="n">
        <f aca="false">SUM(M1755:N1755)</f>
        <v>85</v>
      </c>
      <c r="Q1755" s="15" t="n">
        <f aca="false">IF(J1755=1,"",L1755-P1755)</f>
        <v>15</v>
      </c>
      <c r="R1755" s="15" t="n">
        <f aca="false">IF(OR(J1755=1,M1755&lt;=Inputs!$B$12),1,0)</f>
        <v>1</v>
      </c>
      <c r="S1755" s="15" t="n">
        <f aca="false">IF(OR(J1755=1,N1755&lt;=O1755),1,0)</f>
        <v>1</v>
      </c>
      <c r="T1755" s="15" t="str">
        <f aca="false">IF(J1755=1,"OFFLINE",IF(AND(Q1755&gt;=Inputs!$B$15,R1755=1,S1755=1,P1755&lt;=L1755),"PASS","FAIL"))</f>
        <v>PASS</v>
      </c>
    </row>
    <row r="1756" customFormat="false" ht="15" hidden="false" customHeight="false" outlineLevel="0" collapsed="false">
      <c r="A1756" s="14" t="s">
        <v>1035</v>
      </c>
      <c r="B1756" s="14" t="s">
        <v>1019</v>
      </c>
      <c r="C1756" s="14" t="s">
        <v>202</v>
      </c>
      <c r="D1756" s="14" t="s">
        <v>163</v>
      </c>
      <c r="E1756" s="14" t="s">
        <v>166</v>
      </c>
      <c r="F1756" s="14" t="s">
        <v>164</v>
      </c>
      <c r="G1756" s="14" t="n">
        <v>1</v>
      </c>
      <c r="H1756" s="14" t="s">
        <v>154</v>
      </c>
      <c r="I1756" s="14" t="s">
        <v>895</v>
      </c>
      <c r="J1756" s="15" t="n">
        <f aca="false">IF(B1756="SITE LOSS",IF(D1756=C1756,1,0),IF(B1756="REGION LOSS",IF(E1756=C1756,1,0),0))</f>
        <v>0</v>
      </c>
      <c r="K1756" s="15" t="n">
        <f aca="false">IF(B1756="SITE LOSS",IF(COUNTIFS('Site Dockets'!$B$7:$B$24,C1756,'Site Dockets'!$C$7:$C$24,F1756)&gt;0,1,0),IF(B1756="REGION LOSS",IF(COUNTIFS('Site Dockets'!$E$7:$E$24,C1756,'Site Dockets'!$C$7:$C$24,F1756)&gt;0,1,0),0))</f>
        <v>0</v>
      </c>
      <c r="L1756" s="15" t="n">
        <f aca="false">IF(J1756=1,0,Inputs!$B$11)</f>
        <v>100</v>
      </c>
      <c r="M1756" s="15" t="n">
        <f aca="false">IF(J1756=1,0,Inputs!$B$12)</f>
        <v>75</v>
      </c>
      <c r="N1756" s="15" t="n">
        <f aca="false">IF(J1756=1,0,IF(OR(AND(OR(B1756="SITE LOSS",B1756="REGION LOSS"),K1756=1),AND(B1756="ROLE COMPROMISE",H1756=C1756)),Inputs!$B$13,Inputs!$B$14))</f>
        <v>10</v>
      </c>
      <c r="O1756" s="15" t="n">
        <f aca="false">IF(J1756=1,0,Inputs!$B$13)</f>
        <v>20</v>
      </c>
      <c r="P1756" s="15" t="n">
        <f aca="false">SUM(M1756:N1756)</f>
        <v>85</v>
      </c>
      <c r="Q1756" s="15" t="n">
        <f aca="false">IF(J1756=1,"",L1756-P1756)</f>
        <v>15</v>
      </c>
      <c r="R1756" s="15" t="n">
        <f aca="false">IF(OR(J1756=1,M1756&lt;=Inputs!$B$12),1,0)</f>
        <v>1</v>
      </c>
      <c r="S1756" s="15" t="n">
        <f aca="false">IF(OR(J1756=1,N1756&lt;=O1756),1,0)</f>
        <v>1</v>
      </c>
      <c r="T1756" s="15" t="str">
        <f aca="false">IF(J1756=1,"OFFLINE",IF(AND(Q1756&gt;=Inputs!$B$15,R1756=1,S1756=1,P1756&lt;=L1756),"PASS","FAIL"))</f>
        <v>PASS</v>
      </c>
    </row>
    <row r="1757" customFormat="false" ht="15" hidden="false" customHeight="false" outlineLevel="0" collapsed="false">
      <c r="A1757" s="14" t="s">
        <v>1035</v>
      </c>
      <c r="B1757" s="14" t="s">
        <v>1019</v>
      </c>
      <c r="C1757" s="14" t="s">
        <v>202</v>
      </c>
      <c r="D1757" s="14" t="s">
        <v>163</v>
      </c>
      <c r="E1757" s="14" t="s">
        <v>166</v>
      </c>
      <c r="F1757" s="14" t="s">
        <v>164</v>
      </c>
      <c r="G1757" s="14" t="n">
        <v>1</v>
      </c>
      <c r="H1757" s="14" t="s">
        <v>154</v>
      </c>
      <c r="I1757" s="14" t="s">
        <v>897</v>
      </c>
      <c r="J1757" s="15" t="n">
        <f aca="false">IF(B1757="SITE LOSS",IF(D1757=C1757,1,0),IF(B1757="REGION LOSS",IF(E1757=C1757,1,0),0))</f>
        <v>0</v>
      </c>
      <c r="K1757" s="15" t="n">
        <f aca="false">IF(B1757="SITE LOSS",IF(COUNTIFS('Site Dockets'!$B$7:$B$24,C1757,'Site Dockets'!$C$7:$C$24,F1757)&gt;0,1,0),IF(B1757="REGION LOSS",IF(COUNTIFS('Site Dockets'!$E$7:$E$24,C1757,'Site Dockets'!$C$7:$C$24,F1757)&gt;0,1,0),0))</f>
        <v>0</v>
      </c>
      <c r="L1757" s="15" t="n">
        <f aca="false">IF(J1757=1,0,Inputs!$B$11)</f>
        <v>100</v>
      </c>
      <c r="M1757" s="15" t="n">
        <f aca="false">IF(J1757=1,0,Inputs!$B$12)</f>
        <v>75</v>
      </c>
      <c r="N1757" s="15" t="n">
        <f aca="false">IF(J1757=1,0,IF(OR(AND(OR(B1757="SITE LOSS",B1757="REGION LOSS"),K1757=1),AND(B1757="ROLE COMPROMISE",H1757=C1757)),Inputs!$B$13,Inputs!$B$14))</f>
        <v>10</v>
      </c>
      <c r="O1757" s="15" t="n">
        <f aca="false">IF(J1757=1,0,Inputs!$B$13)</f>
        <v>20</v>
      </c>
      <c r="P1757" s="15" t="n">
        <f aca="false">SUM(M1757:N1757)</f>
        <v>85</v>
      </c>
      <c r="Q1757" s="15" t="n">
        <f aca="false">IF(J1757=1,"",L1757-P1757)</f>
        <v>15</v>
      </c>
      <c r="R1757" s="15" t="n">
        <f aca="false">IF(OR(J1757=1,M1757&lt;=Inputs!$B$12),1,0)</f>
        <v>1</v>
      </c>
      <c r="S1757" s="15" t="n">
        <f aca="false">IF(OR(J1757=1,N1757&lt;=O1757),1,0)</f>
        <v>1</v>
      </c>
      <c r="T1757" s="15" t="str">
        <f aca="false">IF(J1757=1,"OFFLINE",IF(AND(Q1757&gt;=Inputs!$B$15,R1757=1,S1757=1,P1757&lt;=L1757),"PASS","FAIL"))</f>
        <v>PASS</v>
      </c>
    </row>
    <row r="1758" customFormat="false" ht="15" hidden="false" customHeight="false" outlineLevel="0" collapsed="false">
      <c r="A1758" s="14" t="s">
        <v>1035</v>
      </c>
      <c r="B1758" s="14" t="s">
        <v>1019</v>
      </c>
      <c r="C1758" s="14" t="s">
        <v>202</v>
      </c>
      <c r="D1758" s="14" t="s">
        <v>163</v>
      </c>
      <c r="E1758" s="14" t="s">
        <v>166</v>
      </c>
      <c r="F1758" s="14" t="s">
        <v>164</v>
      </c>
      <c r="G1758" s="14" t="n">
        <v>1</v>
      </c>
      <c r="H1758" s="14" t="s">
        <v>154</v>
      </c>
      <c r="I1758" s="14" t="s">
        <v>899</v>
      </c>
      <c r="J1758" s="15" t="n">
        <f aca="false">IF(B1758="SITE LOSS",IF(D1758=C1758,1,0),IF(B1758="REGION LOSS",IF(E1758=C1758,1,0),0))</f>
        <v>0</v>
      </c>
      <c r="K1758" s="15" t="n">
        <f aca="false">IF(B1758="SITE LOSS",IF(COUNTIFS('Site Dockets'!$B$7:$B$24,C1758,'Site Dockets'!$C$7:$C$24,F1758)&gt;0,1,0),IF(B1758="REGION LOSS",IF(COUNTIFS('Site Dockets'!$E$7:$E$24,C1758,'Site Dockets'!$C$7:$C$24,F1758)&gt;0,1,0),0))</f>
        <v>0</v>
      </c>
      <c r="L1758" s="15" t="n">
        <f aca="false">IF(J1758=1,0,Inputs!$B$11)</f>
        <v>100</v>
      </c>
      <c r="M1758" s="15" t="n">
        <f aca="false">IF(J1758=1,0,Inputs!$B$12)</f>
        <v>75</v>
      </c>
      <c r="N1758" s="15" t="n">
        <f aca="false">IF(J1758=1,0,IF(OR(AND(OR(B1758="SITE LOSS",B1758="REGION LOSS"),K1758=1),AND(B1758="ROLE COMPROMISE",H1758=C1758)),Inputs!$B$13,Inputs!$B$14))</f>
        <v>10</v>
      </c>
      <c r="O1758" s="15" t="n">
        <f aca="false">IF(J1758=1,0,Inputs!$B$13)</f>
        <v>20</v>
      </c>
      <c r="P1758" s="15" t="n">
        <f aca="false">SUM(M1758:N1758)</f>
        <v>85</v>
      </c>
      <c r="Q1758" s="15" t="n">
        <f aca="false">IF(J1758=1,"",L1758-P1758)</f>
        <v>15</v>
      </c>
      <c r="R1758" s="15" t="n">
        <f aca="false">IF(OR(J1758=1,M1758&lt;=Inputs!$B$12),1,0)</f>
        <v>1</v>
      </c>
      <c r="S1758" s="15" t="n">
        <f aca="false">IF(OR(J1758=1,N1758&lt;=O1758),1,0)</f>
        <v>1</v>
      </c>
      <c r="T1758" s="15" t="str">
        <f aca="false">IF(J1758=1,"OFFLINE",IF(AND(Q1758&gt;=Inputs!$B$15,R1758=1,S1758=1,P1758&lt;=L1758),"PASS","FAIL"))</f>
        <v>PASS</v>
      </c>
    </row>
    <row r="1759" customFormat="false" ht="15" hidden="false" customHeight="false" outlineLevel="0" collapsed="false">
      <c r="A1759" s="14" t="s">
        <v>1035</v>
      </c>
      <c r="B1759" s="14" t="s">
        <v>1019</v>
      </c>
      <c r="C1759" s="14" t="s">
        <v>202</v>
      </c>
      <c r="D1759" s="14" t="s">
        <v>168</v>
      </c>
      <c r="E1759" s="14" t="s">
        <v>169</v>
      </c>
      <c r="F1759" s="14" t="s">
        <v>164</v>
      </c>
      <c r="G1759" s="14" t="n">
        <v>2</v>
      </c>
      <c r="H1759" s="14" t="s">
        <v>153</v>
      </c>
      <c r="I1759" s="14" t="s">
        <v>890</v>
      </c>
      <c r="J1759" s="15" t="n">
        <f aca="false">IF(B1759="SITE LOSS",IF(D1759=C1759,1,0),IF(B1759="REGION LOSS",IF(E1759=C1759,1,0),0))</f>
        <v>0</v>
      </c>
      <c r="K1759" s="15" t="n">
        <f aca="false">IF(B1759="SITE LOSS",IF(COUNTIFS('Site Dockets'!$B$7:$B$24,C1759,'Site Dockets'!$C$7:$C$24,F1759)&gt;0,1,0),IF(B1759="REGION LOSS",IF(COUNTIFS('Site Dockets'!$E$7:$E$24,C1759,'Site Dockets'!$C$7:$C$24,F1759)&gt;0,1,0),0))</f>
        <v>0</v>
      </c>
      <c r="L1759" s="15" t="n">
        <f aca="false">IF(J1759=1,0,Inputs!$B$11)</f>
        <v>100</v>
      </c>
      <c r="M1759" s="15" t="n">
        <f aca="false">IF(J1759=1,0,Inputs!$B$12)</f>
        <v>75</v>
      </c>
      <c r="N1759" s="15" t="n">
        <f aca="false">IF(J1759=1,0,IF(OR(AND(OR(B1759="SITE LOSS",B1759="REGION LOSS"),K1759=1),AND(B1759="ROLE COMPROMISE",H1759=C1759)),Inputs!$B$13,Inputs!$B$14))</f>
        <v>10</v>
      </c>
      <c r="O1759" s="15" t="n">
        <f aca="false">IF(J1759=1,0,Inputs!$B$13)</f>
        <v>20</v>
      </c>
      <c r="P1759" s="15" t="n">
        <f aca="false">SUM(M1759:N1759)</f>
        <v>85</v>
      </c>
      <c r="Q1759" s="15" t="n">
        <f aca="false">IF(J1759=1,"",L1759-P1759)</f>
        <v>15</v>
      </c>
      <c r="R1759" s="15" t="n">
        <f aca="false">IF(OR(J1759=1,M1759&lt;=Inputs!$B$12),1,0)</f>
        <v>1</v>
      </c>
      <c r="S1759" s="15" t="n">
        <f aca="false">IF(OR(J1759=1,N1759&lt;=O1759),1,0)</f>
        <v>1</v>
      </c>
      <c r="T1759" s="15" t="str">
        <f aca="false">IF(J1759=1,"OFFLINE",IF(AND(Q1759&gt;=Inputs!$B$15,R1759=1,S1759=1,P1759&lt;=L1759),"PASS","FAIL"))</f>
        <v>PASS</v>
      </c>
    </row>
    <row r="1760" customFormat="false" ht="15" hidden="false" customHeight="false" outlineLevel="0" collapsed="false">
      <c r="A1760" s="14" t="s">
        <v>1035</v>
      </c>
      <c r="B1760" s="14" t="s">
        <v>1019</v>
      </c>
      <c r="C1760" s="14" t="s">
        <v>202</v>
      </c>
      <c r="D1760" s="14" t="s">
        <v>168</v>
      </c>
      <c r="E1760" s="14" t="s">
        <v>169</v>
      </c>
      <c r="F1760" s="14" t="s">
        <v>164</v>
      </c>
      <c r="G1760" s="14" t="n">
        <v>2</v>
      </c>
      <c r="H1760" s="14" t="s">
        <v>153</v>
      </c>
      <c r="I1760" s="14" t="s">
        <v>892</v>
      </c>
      <c r="J1760" s="15" t="n">
        <f aca="false">IF(B1760="SITE LOSS",IF(D1760=C1760,1,0),IF(B1760="REGION LOSS",IF(E1760=C1760,1,0),0))</f>
        <v>0</v>
      </c>
      <c r="K1760" s="15" t="n">
        <f aca="false">IF(B1760="SITE LOSS",IF(COUNTIFS('Site Dockets'!$B$7:$B$24,C1760,'Site Dockets'!$C$7:$C$24,F1760)&gt;0,1,0),IF(B1760="REGION LOSS",IF(COUNTIFS('Site Dockets'!$E$7:$E$24,C1760,'Site Dockets'!$C$7:$C$24,F1760)&gt;0,1,0),0))</f>
        <v>0</v>
      </c>
      <c r="L1760" s="15" t="n">
        <f aca="false">IF(J1760=1,0,Inputs!$B$11)</f>
        <v>100</v>
      </c>
      <c r="M1760" s="15" t="n">
        <f aca="false">IF(J1760=1,0,Inputs!$B$12)</f>
        <v>75</v>
      </c>
      <c r="N1760" s="15" t="n">
        <f aca="false">IF(J1760=1,0,IF(OR(AND(OR(B1760="SITE LOSS",B1760="REGION LOSS"),K1760=1),AND(B1760="ROLE COMPROMISE",H1760=C1760)),Inputs!$B$13,Inputs!$B$14))</f>
        <v>10</v>
      </c>
      <c r="O1760" s="15" t="n">
        <f aca="false">IF(J1760=1,0,Inputs!$B$13)</f>
        <v>20</v>
      </c>
      <c r="P1760" s="15" t="n">
        <f aca="false">SUM(M1760:N1760)</f>
        <v>85</v>
      </c>
      <c r="Q1760" s="15" t="n">
        <f aca="false">IF(J1760=1,"",L1760-P1760)</f>
        <v>15</v>
      </c>
      <c r="R1760" s="15" t="n">
        <f aca="false">IF(OR(J1760=1,M1760&lt;=Inputs!$B$12),1,0)</f>
        <v>1</v>
      </c>
      <c r="S1760" s="15" t="n">
        <f aca="false">IF(OR(J1760=1,N1760&lt;=O1760),1,0)</f>
        <v>1</v>
      </c>
      <c r="T1760" s="15" t="str">
        <f aca="false">IF(J1760=1,"OFFLINE",IF(AND(Q1760&gt;=Inputs!$B$15,R1760=1,S1760=1,P1760&lt;=L1760),"PASS","FAIL"))</f>
        <v>PASS</v>
      </c>
    </row>
    <row r="1761" customFormat="false" ht="15" hidden="false" customHeight="false" outlineLevel="0" collapsed="false">
      <c r="A1761" s="14" t="s">
        <v>1035</v>
      </c>
      <c r="B1761" s="14" t="s">
        <v>1019</v>
      </c>
      <c r="C1761" s="14" t="s">
        <v>202</v>
      </c>
      <c r="D1761" s="14" t="s">
        <v>168</v>
      </c>
      <c r="E1761" s="14" t="s">
        <v>169</v>
      </c>
      <c r="F1761" s="14" t="s">
        <v>164</v>
      </c>
      <c r="G1761" s="14" t="n">
        <v>2</v>
      </c>
      <c r="H1761" s="14" t="s">
        <v>153</v>
      </c>
      <c r="I1761" s="14" t="s">
        <v>811</v>
      </c>
      <c r="J1761" s="15" t="n">
        <f aca="false">IF(B1761="SITE LOSS",IF(D1761=C1761,1,0),IF(B1761="REGION LOSS",IF(E1761=C1761,1,0),0))</f>
        <v>0</v>
      </c>
      <c r="K1761" s="15" t="n">
        <f aca="false">IF(B1761="SITE LOSS",IF(COUNTIFS('Site Dockets'!$B$7:$B$24,C1761,'Site Dockets'!$C$7:$C$24,F1761)&gt;0,1,0),IF(B1761="REGION LOSS",IF(COUNTIFS('Site Dockets'!$E$7:$E$24,C1761,'Site Dockets'!$C$7:$C$24,F1761)&gt;0,1,0),0))</f>
        <v>0</v>
      </c>
      <c r="L1761" s="15" t="n">
        <f aca="false">IF(J1761=1,0,Inputs!$B$11)</f>
        <v>100</v>
      </c>
      <c r="M1761" s="15" t="n">
        <f aca="false">IF(J1761=1,0,Inputs!$B$12)</f>
        <v>75</v>
      </c>
      <c r="N1761" s="15" t="n">
        <f aca="false">IF(J1761=1,0,IF(OR(AND(OR(B1761="SITE LOSS",B1761="REGION LOSS"),K1761=1),AND(B1761="ROLE COMPROMISE",H1761=C1761)),Inputs!$B$13,Inputs!$B$14))</f>
        <v>10</v>
      </c>
      <c r="O1761" s="15" t="n">
        <f aca="false">IF(J1761=1,0,Inputs!$B$13)</f>
        <v>20</v>
      </c>
      <c r="P1761" s="15" t="n">
        <f aca="false">SUM(M1761:N1761)</f>
        <v>85</v>
      </c>
      <c r="Q1761" s="15" t="n">
        <f aca="false">IF(J1761=1,"",L1761-P1761)</f>
        <v>15</v>
      </c>
      <c r="R1761" s="15" t="n">
        <f aca="false">IF(OR(J1761=1,M1761&lt;=Inputs!$B$12),1,0)</f>
        <v>1</v>
      </c>
      <c r="S1761" s="15" t="n">
        <f aca="false">IF(OR(J1761=1,N1761&lt;=O1761),1,0)</f>
        <v>1</v>
      </c>
      <c r="T1761" s="15" t="str">
        <f aca="false">IF(J1761=1,"OFFLINE",IF(AND(Q1761&gt;=Inputs!$B$15,R1761=1,S1761=1,P1761&lt;=L1761),"PASS","FAIL"))</f>
        <v>PASS</v>
      </c>
    </row>
    <row r="1762" customFormat="false" ht="15" hidden="false" customHeight="false" outlineLevel="0" collapsed="false">
      <c r="A1762" s="14" t="s">
        <v>1035</v>
      </c>
      <c r="B1762" s="14" t="s">
        <v>1019</v>
      </c>
      <c r="C1762" s="14" t="s">
        <v>202</v>
      </c>
      <c r="D1762" s="14" t="s">
        <v>168</v>
      </c>
      <c r="E1762" s="14" t="s">
        <v>169</v>
      </c>
      <c r="F1762" s="14" t="s">
        <v>164</v>
      </c>
      <c r="G1762" s="14" t="n">
        <v>2</v>
      </c>
      <c r="H1762" s="14" t="s">
        <v>153</v>
      </c>
      <c r="I1762" s="14" t="s">
        <v>895</v>
      </c>
      <c r="J1762" s="15" t="n">
        <f aca="false">IF(B1762="SITE LOSS",IF(D1762=C1762,1,0),IF(B1762="REGION LOSS",IF(E1762=C1762,1,0),0))</f>
        <v>0</v>
      </c>
      <c r="K1762" s="15" t="n">
        <f aca="false">IF(B1762="SITE LOSS",IF(COUNTIFS('Site Dockets'!$B$7:$B$24,C1762,'Site Dockets'!$C$7:$C$24,F1762)&gt;0,1,0),IF(B1762="REGION LOSS",IF(COUNTIFS('Site Dockets'!$E$7:$E$24,C1762,'Site Dockets'!$C$7:$C$24,F1762)&gt;0,1,0),0))</f>
        <v>0</v>
      </c>
      <c r="L1762" s="15" t="n">
        <f aca="false">IF(J1762=1,0,Inputs!$B$11)</f>
        <v>100</v>
      </c>
      <c r="M1762" s="15" t="n">
        <f aca="false">IF(J1762=1,0,Inputs!$B$12)</f>
        <v>75</v>
      </c>
      <c r="N1762" s="15" t="n">
        <f aca="false">IF(J1762=1,0,IF(OR(AND(OR(B1762="SITE LOSS",B1762="REGION LOSS"),K1762=1),AND(B1762="ROLE COMPROMISE",H1762=C1762)),Inputs!$B$13,Inputs!$B$14))</f>
        <v>10</v>
      </c>
      <c r="O1762" s="15" t="n">
        <f aca="false">IF(J1762=1,0,Inputs!$B$13)</f>
        <v>20</v>
      </c>
      <c r="P1762" s="15" t="n">
        <f aca="false">SUM(M1762:N1762)</f>
        <v>85</v>
      </c>
      <c r="Q1762" s="15" t="n">
        <f aca="false">IF(J1762=1,"",L1762-P1762)</f>
        <v>15</v>
      </c>
      <c r="R1762" s="15" t="n">
        <f aca="false">IF(OR(J1762=1,M1762&lt;=Inputs!$B$12),1,0)</f>
        <v>1</v>
      </c>
      <c r="S1762" s="15" t="n">
        <f aca="false">IF(OR(J1762=1,N1762&lt;=O1762),1,0)</f>
        <v>1</v>
      </c>
      <c r="T1762" s="15" t="str">
        <f aca="false">IF(J1762=1,"OFFLINE",IF(AND(Q1762&gt;=Inputs!$B$15,R1762=1,S1762=1,P1762&lt;=L1762),"PASS","FAIL"))</f>
        <v>PASS</v>
      </c>
    </row>
    <row r="1763" customFormat="false" ht="15" hidden="false" customHeight="false" outlineLevel="0" collapsed="false">
      <c r="A1763" s="14" t="s">
        <v>1035</v>
      </c>
      <c r="B1763" s="14" t="s">
        <v>1019</v>
      </c>
      <c r="C1763" s="14" t="s">
        <v>202</v>
      </c>
      <c r="D1763" s="14" t="s">
        <v>168</v>
      </c>
      <c r="E1763" s="14" t="s">
        <v>169</v>
      </c>
      <c r="F1763" s="14" t="s">
        <v>164</v>
      </c>
      <c r="G1763" s="14" t="n">
        <v>2</v>
      </c>
      <c r="H1763" s="14" t="s">
        <v>153</v>
      </c>
      <c r="I1763" s="14" t="s">
        <v>897</v>
      </c>
      <c r="J1763" s="15" t="n">
        <f aca="false">IF(B1763="SITE LOSS",IF(D1763=C1763,1,0),IF(B1763="REGION LOSS",IF(E1763=C1763,1,0),0))</f>
        <v>0</v>
      </c>
      <c r="K1763" s="15" t="n">
        <f aca="false">IF(B1763="SITE LOSS",IF(COUNTIFS('Site Dockets'!$B$7:$B$24,C1763,'Site Dockets'!$C$7:$C$24,F1763)&gt;0,1,0),IF(B1763="REGION LOSS",IF(COUNTIFS('Site Dockets'!$E$7:$E$24,C1763,'Site Dockets'!$C$7:$C$24,F1763)&gt;0,1,0),0))</f>
        <v>0</v>
      </c>
      <c r="L1763" s="15" t="n">
        <f aca="false">IF(J1763=1,0,Inputs!$B$11)</f>
        <v>100</v>
      </c>
      <c r="M1763" s="15" t="n">
        <f aca="false">IF(J1763=1,0,Inputs!$B$12)</f>
        <v>75</v>
      </c>
      <c r="N1763" s="15" t="n">
        <f aca="false">IF(J1763=1,0,IF(OR(AND(OR(B1763="SITE LOSS",B1763="REGION LOSS"),K1763=1),AND(B1763="ROLE COMPROMISE",H1763=C1763)),Inputs!$B$13,Inputs!$B$14))</f>
        <v>10</v>
      </c>
      <c r="O1763" s="15" t="n">
        <f aca="false">IF(J1763=1,0,Inputs!$B$13)</f>
        <v>20</v>
      </c>
      <c r="P1763" s="15" t="n">
        <f aca="false">SUM(M1763:N1763)</f>
        <v>85</v>
      </c>
      <c r="Q1763" s="15" t="n">
        <f aca="false">IF(J1763=1,"",L1763-P1763)</f>
        <v>15</v>
      </c>
      <c r="R1763" s="15" t="n">
        <f aca="false">IF(OR(J1763=1,M1763&lt;=Inputs!$B$12),1,0)</f>
        <v>1</v>
      </c>
      <c r="S1763" s="15" t="n">
        <f aca="false">IF(OR(J1763=1,N1763&lt;=O1763),1,0)</f>
        <v>1</v>
      </c>
      <c r="T1763" s="15" t="str">
        <f aca="false">IF(J1763=1,"OFFLINE",IF(AND(Q1763&gt;=Inputs!$B$15,R1763=1,S1763=1,P1763&lt;=L1763),"PASS","FAIL"))</f>
        <v>PASS</v>
      </c>
    </row>
    <row r="1764" customFormat="false" ht="15" hidden="false" customHeight="false" outlineLevel="0" collapsed="false">
      <c r="A1764" s="14" t="s">
        <v>1035</v>
      </c>
      <c r="B1764" s="14" t="s">
        <v>1019</v>
      </c>
      <c r="C1764" s="14" t="s">
        <v>202</v>
      </c>
      <c r="D1764" s="14" t="s">
        <v>168</v>
      </c>
      <c r="E1764" s="14" t="s">
        <v>169</v>
      </c>
      <c r="F1764" s="14" t="s">
        <v>164</v>
      </c>
      <c r="G1764" s="14" t="n">
        <v>2</v>
      </c>
      <c r="H1764" s="14" t="s">
        <v>153</v>
      </c>
      <c r="I1764" s="14" t="s">
        <v>899</v>
      </c>
      <c r="J1764" s="15" t="n">
        <f aca="false">IF(B1764="SITE LOSS",IF(D1764=C1764,1,0),IF(B1764="REGION LOSS",IF(E1764=C1764,1,0),0))</f>
        <v>0</v>
      </c>
      <c r="K1764" s="15" t="n">
        <f aca="false">IF(B1764="SITE LOSS",IF(COUNTIFS('Site Dockets'!$B$7:$B$24,C1764,'Site Dockets'!$C$7:$C$24,F1764)&gt;0,1,0),IF(B1764="REGION LOSS",IF(COUNTIFS('Site Dockets'!$E$7:$E$24,C1764,'Site Dockets'!$C$7:$C$24,F1764)&gt;0,1,0),0))</f>
        <v>0</v>
      </c>
      <c r="L1764" s="15" t="n">
        <f aca="false">IF(J1764=1,0,Inputs!$B$11)</f>
        <v>100</v>
      </c>
      <c r="M1764" s="15" t="n">
        <f aca="false">IF(J1764=1,0,Inputs!$B$12)</f>
        <v>75</v>
      </c>
      <c r="N1764" s="15" t="n">
        <f aca="false">IF(J1764=1,0,IF(OR(AND(OR(B1764="SITE LOSS",B1764="REGION LOSS"),K1764=1),AND(B1764="ROLE COMPROMISE",H1764=C1764)),Inputs!$B$13,Inputs!$B$14))</f>
        <v>10</v>
      </c>
      <c r="O1764" s="15" t="n">
        <f aca="false">IF(J1764=1,0,Inputs!$B$13)</f>
        <v>20</v>
      </c>
      <c r="P1764" s="15" t="n">
        <f aca="false">SUM(M1764:N1764)</f>
        <v>85</v>
      </c>
      <c r="Q1764" s="15" t="n">
        <f aca="false">IF(J1764=1,"",L1764-P1764)</f>
        <v>15</v>
      </c>
      <c r="R1764" s="15" t="n">
        <f aca="false">IF(OR(J1764=1,M1764&lt;=Inputs!$B$12),1,0)</f>
        <v>1</v>
      </c>
      <c r="S1764" s="15" t="n">
        <f aca="false">IF(OR(J1764=1,N1764&lt;=O1764),1,0)</f>
        <v>1</v>
      </c>
      <c r="T1764" s="15" t="str">
        <f aca="false">IF(J1764=1,"OFFLINE",IF(AND(Q1764&gt;=Inputs!$B$15,R1764=1,S1764=1,P1764&lt;=L1764),"PASS","FAIL"))</f>
        <v>PASS</v>
      </c>
    </row>
    <row r="1765" customFormat="false" ht="15" hidden="false" customHeight="false" outlineLevel="0" collapsed="false">
      <c r="A1765" s="14" t="s">
        <v>1035</v>
      </c>
      <c r="B1765" s="14" t="s">
        <v>1019</v>
      </c>
      <c r="C1765" s="14" t="s">
        <v>202</v>
      </c>
      <c r="D1765" s="14" t="s">
        <v>171</v>
      </c>
      <c r="E1765" s="14" t="s">
        <v>172</v>
      </c>
      <c r="F1765" s="14" t="s">
        <v>164</v>
      </c>
      <c r="G1765" s="14" t="n">
        <v>3</v>
      </c>
      <c r="H1765" s="14" t="s">
        <v>158</v>
      </c>
      <c r="I1765" s="14" t="s">
        <v>890</v>
      </c>
      <c r="J1765" s="15" t="n">
        <f aca="false">IF(B1765="SITE LOSS",IF(D1765=C1765,1,0),IF(B1765="REGION LOSS",IF(E1765=C1765,1,0),0))</f>
        <v>0</v>
      </c>
      <c r="K1765" s="15" t="n">
        <f aca="false">IF(B1765="SITE LOSS",IF(COUNTIFS('Site Dockets'!$B$7:$B$24,C1765,'Site Dockets'!$C$7:$C$24,F1765)&gt;0,1,0),IF(B1765="REGION LOSS",IF(COUNTIFS('Site Dockets'!$E$7:$E$24,C1765,'Site Dockets'!$C$7:$C$24,F1765)&gt;0,1,0),0))</f>
        <v>0</v>
      </c>
      <c r="L1765" s="15" t="n">
        <f aca="false">IF(J1765=1,0,Inputs!$B$11)</f>
        <v>100</v>
      </c>
      <c r="M1765" s="15" t="n">
        <f aca="false">IF(J1765=1,0,Inputs!$B$12)</f>
        <v>75</v>
      </c>
      <c r="N1765" s="15" t="n">
        <f aca="false">IF(J1765=1,0,IF(OR(AND(OR(B1765="SITE LOSS",B1765="REGION LOSS"),K1765=1),AND(B1765="ROLE COMPROMISE",H1765=C1765)),Inputs!$B$13,Inputs!$B$14))</f>
        <v>10</v>
      </c>
      <c r="O1765" s="15" t="n">
        <f aca="false">IF(J1765=1,0,Inputs!$B$13)</f>
        <v>20</v>
      </c>
      <c r="P1765" s="15" t="n">
        <f aca="false">SUM(M1765:N1765)</f>
        <v>85</v>
      </c>
      <c r="Q1765" s="15" t="n">
        <f aca="false">IF(J1765=1,"",L1765-P1765)</f>
        <v>15</v>
      </c>
      <c r="R1765" s="15" t="n">
        <f aca="false">IF(OR(J1765=1,M1765&lt;=Inputs!$B$12),1,0)</f>
        <v>1</v>
      </c>
      <c r="S1765" s="15" t="n">
        <f aca="false">IF(OR(J1765=1,N1765&lt;=O1765),1,0)</f>
        <v>1</v>
      </c>
      <c r="T1765" s="15" t="str">
        <f aca="false">IF(J1765=1,"OFFLINE",IF(AND(Q1765&gt;=Inputs!$B$15,R1765=1,S1765=1,P1765&lt;=L1765),"PASS","FAIL"))</f>
        <v>PASS</v>
      </c>
    </row>
    <row r="1766" customFormat="false" ht="15" hidden="false" customHeight="false" outlineLevel="0" collapsed="false">
      <c r="A1766" s="14" t="s">
        <v>1035</v>
      </c>
      <c r="B1766" s="14" t="s">
        <v>1019</v>
      </c>
      <c r="C1766" s="14" t="s">
        <v>202</v>
      </c>
      <c r="D1766" s="14" t="s">
        <v>171</v>
      </c>
      <c r="E1766" s="14" t="s">
        <v>172</v>
      </c>
      <c r="F1766" s="14" t="s">
        <v>164</v>
      </c>
      <c r="G1766" s="14" t="n">
        <v>3</v>
      </c>
      <c r="H1766" s="14" t="s">
        <v>158</v>
      </c>
      <c r="I1766" s="14" t="s">
        <v>892</v>
      </c>
      <c r="J1766" s="15" t="n">
        <f aca="false">IF(B1766="SITE LOSS",IF(D1766=C1766,1,0),IF(B1766="REGION LOSS",IF(E1766=C1766,1,0),0))</f>
        <v>0</v>
      </c>
      <c r="K1766" s="15" t="n">
        <f aca="false">IF(B1766="SITE LOSS",IF(COUNTIFS('Site Dockets'!$B$7:$B$24,C1766,'Site Dockets'!$C$7:$C$24,F1766)&gt;0,1,0),IF(B1766="REGION LOSS",IF(COUNTIFS('Site Dockets'!$E$7:$E$24,C1766,'Site Dockets'!$C$7:$C$24,F1766)&gt;0,1,0),0))</f>
        <v>0</v>
      </c>
      <c r="L1766" s="15" t="n">
        <f aca="false">IF(J1766=1,0,Inputs!$B$11)</f>
        <v>100</v>
      </c>
      <c r="M1766" s="15" t="n">
        <f aca="false">IF(J1766=1,0,Inputs!$B$12)</f>
        <v>75</v>
      </c>
      <c r="N1766" s="15" t="n">
        <f aca="false">IF(J1766=1,0,IF(OR(AND(OR(B1766="SITE LOSS",B1766="REGION LOSS"),K1766=1),AND(B1766="ROLE COMPROMISE",H1766=C1766)),Inputs!$B$13,Inputs!$B$14))</f>
        <v>10</v>
      </c>
      <c r="O1766" s="15" t="n">
        <f aca="false">IF(J1766=1,0,Inputs!$B$13)</f>
        <v>20</v>
      </c>
      <c r="P1766" s="15" t="n">
        <f aca="false">SUM(M1766:N1766)</f>
        <v>85</v>
      </c>
      <c r="Q1766" s="15" t="n">
        <f aca="false">IF(J1766=1,"",L1766-P1766)</f>
        <v>15</v>
      </c>
      <c r="R1766" s="15" t="n">
        <f aca="false">IF(OR(J1766=1,M1766&lt;=Inputs!$B$12),1,0)</f>
        <v>1</v>
      </c>
      <c r="S1766" s="15" t="n">
        <f aca="false">IF(OR(J1766=1,N1766&lt;=O1766),1,0)</f>
        <v>1</v>
      </c>
      <c r="T1766" s="15" t="str">
        <f aca="false">IF(J1766=1,"OFFLINE",IF(AND(Q1766&gt;=Inputs!$B$15,R1766=1,S1766=1,P1766&lt;=L1766),"PASS","FAIL"))</f>
        <v>PASS</v>
      </c>
    </row>
    <row r="1767" customFormat="false" ht="15" hidden="false" customHeight="false" outlineLevel="0" collapsed="false">
      <c r="A1767" s="14" t="s">
        <v>1035</v>
      </c>
      <c r="B1767" s="14" t="s">
        <v>1019</v>
      </c>
      <c r="C1767" s="14" t="s">
        <v>202</v>
      </c>
      <c r="D1767" s="14" t="s">
        <v>171</v>
      </c>
      <c r="E1767" s="14" t="s">
        <v>172</v>
      </c>
      <c r="F1767" s="14" t="s">
        <v>164</v>
      </c>
      <c r="G1767" s="14" t="n">
        <v>3</v>
      </c>
      <c r="H1767" s="14" t="s">
        <v>158</v>
      </c>
      <c r="I1767" s="14" t="s">
        <v>811</v>
      </c>
      <c r="J1767" s="15" t="n">
        <f aca="false">IF(B1767="SITE LOSS",IF(D1767=C1767,1,0),IF(B1767="REGION LOSS",IF(E1767=C1767,1,0),0))</f>
        <v>0</v>
      </c>
      <c r="K1767" s="15" t="n">
        <f aca="false">IF(B1767="SITE LOSS",IF(COUNTIFS('Site Dockets'!$B$7:$B$24,C1767,'Site Dockets'!$C$7:$C$24,F1767)&gt;0,1,0),IF(B1767="REGION LOSS",IF(COUNTIFS('Site Dockets'!$E$7:$E$24,C1767,'Site Dockets'!$C$7:$C$24,F1767)&gt;0,1,0),0))</f>
        <v>0</v>
      </c>
      <c r="L1767" s="15" t="n">
        <f aca="false">IF(J1767=1,0,Inputs!$B$11)</f>
        <v>100</v>
      </c>
      <c r="M1767" s="15" t="n">
        <f aca="false">IF(J1767=1,0,Inputs!$B$12)</f>
        <v>75</v>
      </c>
      <c r="N1767" s="15" t="n">
        <f aca="false">IF(J1767=1,0,IF(OR(AND(OR(B1767="SITE LOSS",B1767="REGION LOSS"),K1767=1),AND(B1767="ROLE COMPROMISE",H1767=C1767)),Inputs!$B$13,Inputs!$B$14))</f>
        <v>10</v>
      </c>
      <c r="O1767" s="15" t="n">
        <f aca="false">IF(J1767=1,0,Inputs!$B$13)</f>
        <v>20</v>
      </c>
      <c r="P1767" s="15" t="n">
        <f aca="false">SUM(M1767:N1767)</f>
        <v>85</v>
      </c>
      <c r="Q1767" s="15" t="n">
        <f aca="false">IF(J1767=1,"",L1767-P1767)</f>
        <v>15</v>
      </c>
      <c r="R1767" s="15" t="n">
        <f aca="false">IF(OR(J1767=1,M1767&lt;=Inputs!$B$12),1,0)</f>
        <v>1</v>
      </c>
      <c r="S1767" s="15" t="n">
        <f aca="false">IF(OR(J1767=1,N1767&lt;=O1767),1,0)</f>
        <v>1</v>
      </c>
      <c r="T1767" s="15" t="str">
        <f aca="false">IF(J1767=1,"OFFLINE",IF(AND(Q1767&gt;=Inputs!$B$15,R1767=1,S1767=1,P1767&lt;=L1767),"PASS","FAIL"))</f>
        <v>PASS</v>
      </c>
    </row>
    <row r="1768" customFormat="false" ht="15" hidden="false" customHeight="false" outlineLevel="0" collapsed="false">
      <c r="A1768" s="14" t="s">
        <v>1035</v>
      </c>
      <c r="B1768" s="14" t="s">
        <v>1019</v>
      </c>
      <c r="C1768" s="14" t="s">
        <v>202</v>
      </c>
      <c r="D1768" s="14" t="s">
        <v>171</v>
      </c>
      <c r="E1768" s="14" t="s">
        <v>172</v>
      </c>
      <c r="F1768" s="14" t="s">
        <v>164</v>
      </c>
      <c r="G1768" s="14" t="n">
        <v>3</v>
      </c>
      <c r="H1768" s="14" t="s">
        <v>158</v>
      </c>
      <c r="I1768" s="14" t="s">
        <v>895</v>
      </c>
      <c r="J1768" s="15" t="n">
        <f aca="false">IF(B1768="SITE LOSS",IF(D1768=C1768,1,0),IF(B1768="REGION LOSS",IF(E1768=C1768,1,0),0))</f>
        <v>0</v>
      </c>
      <c r="K1768" s="15" t="n">
        <f aca="false">IF(B1768="SITE LOSS",IF(COUNTIFS('Site Dockets'!$B$7:$B$24,C1768,'Site Dockets'!$C$7:$C$24,F1768)&gt;0,1,0),IF(B1768="REGION LOSS",IF(COUNTIFS('Site Dockets'!$E$7:$E$24,C1768,'Site Dockets'!$C$7:$C$24,F1768)&gt;0,1,0),0))</f>
        <v>0</v>
      </c>
      <c r="L1768" s="15" t="n">
        <f aca="false">IF(J1768=1,0,Inputs!$B$11)</f>
        <v>100</v>
      </c>
      <c r="M1768" s="15" t="n">
        <f aca="false">IF(J1768=1,0,Inputs!$B$12)</f>
        <v>75</v>
      </c>
      <c r="N1768" s="15" t="n">
        <f aca="false">IF(J1768=1,0,IF(OR(AND(OR(B1768="SITE LOSS",B1768="REGION LOSS"),K1768=1),AND(B1768="ROLE COMPROMISE",H1768=C1768)),Inputs!$B$13,Inputs!$B$14))</f>
        <v>10</v>
      </c>
      <c r="O1768" s="15" t="n">
        <f aca="false">IF(J1768=1,0,Inputs!$B$13)</f>
        <v>20</v>
      </c>
      <c r="P1768" s="15" t="n">
        <f aca="false">SUM(M1768:N1768)</f>
        <v>85</v>
      </c>
      <c r="Q1768" s="15" t="n">
        <f aca="false">IF(J1768=1,"",L1768-P1768)</f>
        <v>15</v>
      </c>
      <c r="R1768" s="15" t="n">
        <f aca="false">IF(OR(J1768=1,M1768&lt;=Inputs!$B$12),1,0)</f>
        <v>1</v>
      </c>
      <c r="S1768" s="15" t="n">
        <f aca="false">IF(OR(J1768=1,N1768&lt;=O1768),1,0)</f>
        <v>1</v>
      </c>
      <c r="T1768" s="15" t="str">
        <f aca="false">IF(J1768=1,"OFFLINE",IF(AND(Q1768&gt;=Inputs!$B$15,R1768=1,S1768=1,P1768&lt;=L1768),"PASS","FAIL"))</f>
        <v>PASS</v>
      </c>
    </row>
    <row r="1769" customFormat="false" ht="15" hidden="false" customHeight="false" outlineLevel="0" collapsed="false">
      <c r="A1769" s="14" t="s">
        <v>1035</v>
      </c>
      <c r="B1769" s="14" t="s">
        <v>1019</v>
      </c>
      <c r="C1769" s="14" t="s">
        <v>202</v>
      </c>
      <c r="D1769" s="14" t="s">
        <v>171</v>
      </c>
      <c r="E1769" s="14" t="s">
        <v>172</v>
      </c>
      <c r="F1769" s="14" t="s">
        <v>164</v>
      </c>
      <c r="G1769" s="14" t="n">
        <v>3</v>
      </c>
      <c r="H1769" s="14" t="s">
        <v>158</v>
      </c>
      <c r="I1769" s="14" t="s">
        <v>897</v>
      </c>
      <c r="J1769" s="15" t="n">
        <f aca="false">IF(B1769="SITE LOSS",IF(D1769=C1769,1,0),IF(B1769="REGION LOSS",IF(E1769=C1769,1,0),0))</f>
        <v>0</v>
      </c>
      <c r="K1769" s="15" t="n">
        <f aca="false">IF(B1769="SITE LOSS",IF(COUNTIFS('Site Dockets'!$B$7:$B$24,C1769,'Site Dockets'!$C$7:$C$24,F1769)&gt;0,1,0),IF(B1769="REGION LOSS",IF(COUNTIFS('Site Dockets'!$E$7:$E$24,C1769,'Site Dockets'!$C$7:$C$24,F1769)&gt;0,1,0),0))</f>
        <v>0</v>
      </c>
      <c r="L1769" s="15" t="n">
        <f aca="false">IF(J1769=1,0,Inputs!$B$11)</f>
        <v>100</v>
      </c>
      <c r="M1769" s="15" t="n">
        <f aca="false">IF(J1769=1,0,Inputs!$B$12)</f>
        <v>75</v>
      </c>
      <c r="N1769" s="15" t="n">
        <f aca="false">IF(J1769=1,0,IF(OR(AND(OR(B1769="SITE LOSS",B1769="REGION LOSS"),K1769=1),AND(B1769="ROLE COMPROMISE",H1769=C1769)),Inputs!$B$13,Inputs!$B$14))</f>
        <v>10</v>
      </c>
      <c r="O1769" s="15" t="n">
        <f aca="false">IF(J1769=1,0,Inputs!$B$13)</f>
        <v>20</v>
      </c>
      <c r="P1769" s="15" t="n">
        <f aca="false">SUM(M1769:N1769)</f>
        <v>85</v>
      </c>
      <c r="Q1769" s="15" t="n">
        <f aca="false">IF(J1769=1,"",L1769-P1769)</f>
        <v>15</v>
      </c>
      <c r="R1769" s="15" t="n">
        <f aca="false">IF(OR(J1769=1,M1769&lt;=Inputs!$B$12),1,0)</f>
        <v>1</v>
      </c>
      <c r="S1769" s="15" t="n">
        <f aca="false">IF(OR(J1769=1,N1769&lt;=O1769),1,0)</f>
        <v>1</v>
      </c>
      <c r="T1769" s="15" t="str">
        <f aca="false">IF(J1769=1,"OFFLINE",IF(AND(Q1769&gt;=Inputs!$B$15,R1769=1,S1769=1,P1769&lt;=L1769),"PASS","FAIL"))</f>
        <v>PASS</v>
      </c>
    </row>
    <row r="1770" customFormat="false" ht="15" hidden="false" customHeight="false" outlineLevel="0" collapsed="false">
      <c r="A1770" s="14" t="s">
        <v>1035</v>
      </c>
      <c r="B1770" s="14" t="s">
        <v>1019</v>
      </c>
      <c r="C1770" s="14" t="s">
        <v>202</v>
      </c>
      <c r="D1770" s="14" t="s">
        <v>171</v>
      </c>
      <c r="E1770" s="14" t="s">
        <v>172</v>
      </c>
      <c r="F1770" s="14" t="s">
        <v>164</v>
      </c>
      <c r="G1770" s="14" t="n">
        <v>3</v>
      </c>
      <c r="H1770" s="14" t="s">
        <v>158</v>
      </c>
      <c r="I1770" s="14" t="s">
        <v>899</v>
      </c>
      <c r="J1770" s="15" t="n">
        <f aca="false">IF(B1770="SITE LOSS",IF(D1770=C1770,1,0),IF(B1770="REGION LOSS",IF(E1770=C1770,1,0),0))</f>
        <v>0</v>
      </c>
      <c r="K1770" s="15" t="n">
        <f aca="false">IF(B1770="SITE LOSS",IF(COUNTIFS('Site Dockets'!$B$7:$B$24,C1770,'Site Dockets'!$C$7:$C$24,F1770)&gt;0,1,0),IF(B1770="REGION LOSS",IF(COUNTIFS('Site Dockets'!$E$7:$E$24,C1770,'Site Dockets'!$C$7:$C$24,F1770)&gt;0,1,0),0))</f>
        <v>0</v>
      </c>
      <c r="L1770" s="15" t="n">
        <f aca="false">IF(J1770=1,0,Inputs!$B$11)</f>
        <v>100</v>
      </c>
      <c r="M1770" s="15" t="n">
        <f aca="false">IF(J1770=1,0,Inputs!$B$12)</f>
        <v>75</v>
      </c>
      <c r="N1770" s="15" t="n">
        <f aca="false">IF(J1770=1,0,IF(OR(AND(OR(B1770="SITE LOSS",B1770="REGION LOSS"),K1770=1),AND(B1770="ROLE COMPROMISE",H1770=C1770)),Inputs!$B$13,Inputs!$B$14))</f>
        <v>10</v>
      </c>
      <c r="O1770" s="15" t="n">
        <f aca="false">IF(J1770=1,0,Inputs!$B$13)</f>
        <v>20</v>
      </c>
      <c r="P1770" s="15" t="n">
        <f aca="false">SUM(M1770:N1770)</f>
        <v>85</v>
      </c>
      <c r="Q1770" s="15" t="n">
        <f aca="false">IF(J1770=1,"",L1770-P1770)</f>
        <v>15</v>
      </c>
      <c r="R1770" s="15" t="n">
        <f aca="false">IF(OR(J1770=1,M1770&lt;=Inputs!$B$12),1,0)</f>
        <v>1</v>
      </c>
      <c r="S1770" s="15" t="n">
        <f aca="false">IF(OR(J1770=1,N1770&lt;=O1770),1,0)</f>
        <v>1</v>
      </c>
      <c r="T1770" s="15" t="str">
        <f aca="false">IF(J1770=1,"OFFLINE",IF(AND(Q1770&gt;=Inputs!$B$15,R1770=1,S1770=1,P1770&lt;=L1770),"PASS","FAIL"))</f>
        <v>PASS</v>
      </c>
    </row>
    <row r="1771" customFormat="false" ht="15" hidden="false" customHeight="false" outlineLevel="0" collapsed="false">
      <c r="A1771" s="14" t="s">
        <v>1035</v>
      </c>
      <c r="B1771" s="14" t="s">
        <v>1019</v>
      </c>
      <c r="C1771" s="14" t="s">
        <v>202</v>
      </c>
      <c r="D1771" s="14" t="s">
        <v>174</v>
      </c>
      <c r="E1771" s="14" t="s">
        <v>152</v>
      </c>
      <c r="F1771" s="14" t="s">
        <v>175</v>
      </c>
      <c r="G1771" s="14" t="n">
        <v>1</v>
      </c>
      <c r="H1771" s="14" t="s">
        <v>154</v>
      </c>
      <c r="I1771" s="14" t="s">
        <v>890</v>
      </c>
      <c r="J1771" s="15" t="n">
        <f aca="false">IF(B1771="SITE LOSS",IF(D1771=C1771,1,0),IF(B1771="REGION LOSS",IF(E1771=C1771,1,0),0))</f>
        <v>0</v>
      </c>
      <c r="K1771" s="15" t="n">
        <f aca="false">IF(B1771="SITE LOSS",IF(COUNTIFS('Site Dockets'!$B$7:$B$24,C1771,'Site Dockets'!$C$7:$C$24,F1771)&gt;0,1,0),IF(B1771="REGION LOSS",IF(COUNTIFS('Site Dockets'!$E$7:$E$24,C1771,'Site Dockets'!$C$7:$C$24,F1771)&gt;0,1,0),0))</f>
        <v>0</v>
      </c>
      <c r="L1771" s="15" t="n">
        <f aca="false">IF(J1771=1,0,Inputs!$B$11)</f>
        <v>100</v>
      </c>
      <c r="M1771" s="15" t="n">
        <f aca="false">IF(J1771=1,0,Inputs!$B$12)</f>
        <v>75</v>
      </c>
      <c r="N1771" s="15" t="n">
        <f aca="false">IF(J1771=1,0,IF(OR(AND(OR(B1771="SITE LOSS",B1771="REGION LOSS"),K1771=1),AND(B1771="ROLE COMPROMISE",H1771=C1771)),Inputs!$B$13,Inputs!$B$14))</f>
        <v>10</v>
      </c>
      <c r="O1771" s="15" t="n">
        <f aca="false">IF(J1771=1,0,Inputs!$B$13)</f>
        <v>20</v>
      </c>
      <c r="P1771" s="15" t="n">
        <f aca="false">SUM(M1771:N1771)</f>
        <v>85</v>
      </c>
      <c r="Q1771" s="15" t="n">
        <f aca="false">IF(J1771=1,"",L1771-P1771)</f>
        <v>15</v>
      </c>
      <c r="R1771" s="15" t="n">
        <f aca="false">IF(OR(J1771=1,M1771&lt;=Inputs!$B$12),1,0)</f>
        <v>1</v>
      </c>
      <c r="S1771" s="15" t="n">
        <f aca="false">IF(OR(J1771=1,N1771&lt;=O1771),1,0)</f>
        <v>1</v>
      </c>
      <c r="T1771" s="15" t="str">
        <f aca="false">IF(J1771=1,"OFFLINE",IF(AND(Q1771&gt;=Inputs!$B$15,R1771=1,S1771=1,P1771&lt;=L1771),"PASS","FAIL"))</f>
        <v>PASS</v>
      </c>
    </row>
    <row r="1772" customFormat="false" ht="15" hidden="false" customHeight="false" outlineLevel="0" collapsed="false">
      <c r="A1772" s="14" t="s">
        <v>1035</v>
      </c>
      <c r="B1772" s="14" t="s">
        <v>1019</v>
      </c>
      <c r="C1772" s="14" t="s">
        <v>202</v>
      </c>
      <c r="D1772" s="14" t="s">
        <v>174</v>
      </c>
      <c r="E1772" s="14" t="s">
        <v>152</v>
      </c>
      <c r="F1772" s="14" t="s">
        <v>175</v>
      </c>
      <c r="G1772" s="14" t="n">
        <v>1</v>
      </c>
      <c r="H1772" s="14" t="s">
        <v>154</v>
      </c>
      <c r="I1772" s="14" t="s">
        <v>892</v>
      </c>
      <c r="J1772" s="15" t="n">
        <f aca="false">IF(B1772="SITE LOSS",IF(D1772=C1772,1,0),IF(B1772="REGION LOSS",IF(E1772=C1772,1,0),0))</f>
        <v>0</v>
      </c>
      <c r="K1772" s="15" t="n">
        <f aca="false">IF(B1772="SITE LOSS",IF(COUNTIFS('Site Dockets'!$B$7:$B$24,C1772,'Site Dockets'!$C$7:$C$24,F1772)&gt;0,1,0),IF(B1772="REGION LOSS",IF(COUNTIFS('Site Dockets'!$E$7:$E$24,C1772,'Site Dockets'!$C$7:$C$24,F1772)&gt;0,1,0),0))</f>
        <v>0</v>
      </c>
      <c r="L1772" s="15" t="n">
        <f aca="false">IF(J1772=1,0,Inputs!$B$11)</f>
        <v>100</v>
      </c>
      <c r="M1772" s="15" t="n">
        <f aca="false">IF(J1772=1,0,Inputs!$B$12)</f>
        <v>75</v>
      </c>
      <c r="N1772" s="15" t="n">
        <f aca="false">IF(J1772=1,0,IF(OR(AND(OR(B1772="SITE LOSS",B1772="REGION LOSS"),K1772=1),AND(B1772="ROLE COMPROMISE",H1772=C1772)),Inputs!$B$13,Inputs!$B$14))</f>
        <v>10</v>
      </c>
      <c r="O1772" s="15" t="n">
        <f aca="false">IF(J1772=1,0,Inputs!$B$13)</f>
        <v>20</v>
      </c>
      <c r="P1772" s="15" t="n">
        <f aca="false">SUM(M1772:N1772)</f>
        <v>85</v>
      </c>
      <c r="Q1772" s="15" t="n">
        <f aca="false">IF(J1772=1,"",L1772-P1772)</f>
        <v>15</v>
      </c>
      <c r="R1772" s="15" t="n">
        <f aca="false">IF(OR(J1772=1,M1772&lt;=Inputs!$B$12),1,0)</f>
        <v>1</v>
      </c>
      <c r="S1772" s="15" t="n">
        <f aca="false">IF(OR(J1772=1,N1772&lt;=O1772),1,0)</f>
        <v>1</v>
      </c>
      <c r="T1772" s="15" t="str">
        <f aca="false">IF(J1772=1,"OFFLINE",IF(AND(Q1772&gt;=Inputs!$B$15,R1772=1,S1772=1,P1772&lt;=L1772),"PASS","FAIL"))</f>
        <v>PASS</v>
      </c>
    </row>
    <row r="1773" customFormat="false" ht="15" hidden="false" customHeight="false" outlineLevel="0" collapsed="false">
      <c r="A1773" s="14" t="s">
        <v>1035</v>
      </c>
      <c r="B1773" s="14" t="s">
        <v>1019</v>
      </c>
      <c r="C1773" s="14" t="s">
        <v>202</v>
      </c>
      <c r="D1773" s="14" t="s">
        <v>174</v>
      </c>
      <c r="E1773" s="14" t="s">
        <v>152</v>
      </c>
      <c r="F1773" s="14" t="s">
        <v>175</v>
      </c>
      <c r="G1773" s="14" t="n">
        <v>1</v>
      </c>
      <c r="H1773" s="14" t="s">
        <v>154</v>
      </c>
      <c r="I1773" s="14" t="s">
        <v>811</v>
      </c>
      <c r="J1773" s="15" t="n">
        <f aca="false">IF(B1773="SITE LOSS",IF(D1773=C1773,1,0),IF(B1773="REGION LOSS",IF(E1773=C1773,1,0),0))</f>
        <v>0</v>
      </c>
      <c r="K1773" s="15" t="n">
        <f aca="false">IF(B1773="SITE LOSS",IF(COUNTIFS('Site Dockets'!$B$7:$B$24,C1773,'Site Dockets'!$C$7:$C$24,F1773)&gt;0,1,0),IF(B1773="REGION LOSS",IF(COUNTIFS('Site Dockets'!$E$7:$E$24,C1773,'Site Dockets'!$C$7:$C$24,F1773)&gt;0,1,0),0))</f>
        <v>0</v>
      </c>
      <c r="L1773" s="15" t="n">
        <f aca="false">IF(J1773=1,0,Inputs!$B$11)</f>
        <v>100</v>
      </c>
      <c r="M1773" s="15" t="n">
        <f aca="false">IF(J1773=1,0,Inputs!$B$12)</f>
        <v>75</v>
      </c>
      <c r="N1773" s="15" t="n">
        <f aca="false">IF(J1773=1,0,IF(OR(AND(OR(B1773="SITE LOSS",B1773="REGION LOSS"),K1773=1),AND(B1773="ROLE COMPROMISE",H1773=C1773)),Inputs!$B$13,Inputs!$B$14))</f>
        <v>10</v>
      </c>
      <c r="O1773" s="15" t="n">
        <f aca="false">IF(J1773=1,0,Inputs!$B$13)</f>
        <v>20</v>
      </c>
      <c r="P1773" s="15" t="n">
        <f aca="false">SUM(M1773:N1773)</f>
        <v>85</v>
      </c>
      <c r="Q1773" s="15" t="n">
        <f aca="false">IF(J1773=1,"",L1773-P1773)</f>
        <v>15</v>
      </c>
      <c r="R1773" s="15" t="n">
        <f aca="false">IF(OR(J1773=1,M1773&lt;=Inputs!$B$12),1,0)</f>
        <v>1</v>
      </c>
      <c r="S1773" s="15" t="n">
        <f aca="false">IF(OR(J1773=1,N1773&lt;=O1773),1,0)</f>
        <v>1</v>
      </c>
      <c r="T1773" s="15" t="str">
        <f aca="false">IF(J1773=1,"OFFLINE",IF(AND(Q1773&gt;=Inputs!$B$15,R1773=1,S1773=1,P1773&lt;=L1773),"PASS","FAIL"))</f>
        <v>PASS</v>
      </c>
    </row>
    <row r="1774" customFormat="false" ht="15" hidden="false" customHeight="false" outlineLevel="0" collapsed="false">
      <c r="A1774" s="14" t="s">
        <v>1035</v>
      </c>
      <c r="B1774" s="14" t="s">
        <v>1019</v>
      </c>
      <c r="C1774" s="14" t="s">
        <v>202</v>
      </c>
      <c r="D1774" s="14" t="s">
        <v>174</v>
      </c>
      <c r="E1774" s="14" t="s">
        <v>152</v>
      </c>
      <c r="F1774" s="14" t="s">
        <v>175</v>
      </c>
      <c r="G1774" s="14" t="n">
        <v>1</v>
      </c>
      <c r="H1774" s="14" t="s">
        <v>154</v>
      </c>
      <c r="I1774" s="14" t="s">
        <v>895</v>
      </c>
      <c r="J1774" s="15" t="n">
        <f aca="false">IF(B1774="SITE LOSS",IF(D1774=C1774,1,0),IF(B1774="REGION LOSS",IF(E1774=C1774,1,0),0))</f>
        <v>0</v>
      </c>
      <c r="K1774" s="15" t="n">
        <f aca="false">IF(B1774="SITE LOSS",IF(COUNTIFS('Site Dockets'!$B$7:$B$24,C1774,'Site Dockets'!$C$7:$C$24,F1774)&gt;0,1,0),IF(B1774="REGION LOSS",IF(COUNTIFS('Site Dockets'!$E$7:$E$24,C1774,'Site Dockets'!$C$7:$C$24,F1774)&gt;0,1,0),0))</f>
        <v>0</v>
      </c>
      <c r="L1774" s="15" t="n">
        <f aca="false">IF(J1774=1,0,Inputs!$B$11)</f>
        <v>100</v>
      </c>
      <c r="M1774" s="15" t="n">
        <f aca="false">IF(J1774=1,0,Inputs!$B$12)</f>
        <v>75</v>
      </c>
      <c r="N1774" s="15" t="n">
        <f aca="false">IF(J1774=1,0,IF(OR(AND(OR(B1774="SITE LOSS",B1774="REGION LOSS"),K1774=1),AND(B1774="ROLE COMPROMISE",H1774=C1774)),Inputs!$B$13,Inputs!$B$14))</f>
        <v>10</v>
      </c>
      <c r="O1774" s="15" t="n">
        <f aca="false">IF(J1774=1,0,Inputs!$B$13)</f>
        <v>20</v>
      </c>
      <c r="P1774" s="15" t="n">
        <f aca="false">SUM(M1774:N1774)</f>
        <v>85</v>
      </c>
      <c r="Q1774" s="15" t="n">
        <f aca="false">IF(J1774=1,"",L1774-P1774)</f>
        <v>15</v>
      </c>
      <c r="R1774" s="15" t="n">
        <f aca="false">IF(OR(J1774=1,M1774&lt;=Inputs!$B$12),1,0)</f>
        <v>1</v>
      </c>
      <c r="S1774" s="15" t="n">
        <f aca="false">IF(OR(J1774=1,N1774&lt;=O1774),1,0)</f>
        <v>1</v>
      </c>
      <c r="T1774" s="15" t="str">
        <f aca="false">IF(J1774=1,"OFFLINE",IF(AND(Q1774&gt;=Inputs!$B$15,R1774=1,S1774=1,P1774&lt;=L1774),"PASS","FAIL"))</f>
        <v>PASS</v>
      </c>
    </row>
    <row r="1775" customFormat="false" ht="15" hidden="false" customHeight="false" outlineLevel="0" collapsed="false">
      <c r="A1775" s="14" t="s">
        <v>1035</v>
      </c>
      <c r="B1775" s="14" t="s">
        <v>1019</v>
      </c>
      <c r="C1775" s="14" t="s">
        <v>202</v>
      </c>
      <c r="D1775" s="14" t="s">
        <v>174</v>
      </c>
      <c r="E1775" s="14" t="s">
        <v>152</v>
      </c>
      <c r="F1775" s="14" t="s">
        <v>175</v>
      </c>
      <c r="G1775" s="14" t="n">
        <v>1</v>
      </c>
      <c r="H1775" s="14" t="s">
        <v>154</v>
      </c>
      <c r="I1775" s="14" t="s">
        <v>897</v>
      </c>
      <c r="J1775" s="15" t="n">
        <f aca="false">IF(B1775="SITE LOSS",IF(D1775=C1775,1,0),IF(B1775="REGION LOSS",IF(E1775=C1775,1,0),0))</f>
        <v>0</v>
      </c>
      <c r="K1775" s="15" t="n">
        <f aca="false">IF(B1775="SITE LOSS",IF(COUNTIFS('Site Dockets'!$B$7:$B$24,C1775,'Site Dockets'!$C$7:$C$24,F1775)&gt;0,1,0),IF(B1775="REGION LOSS",IF(COUNTIFS('Site Dockets'!$E$7:$E$24,C1775,'Site Dockets'!$C$7:$C$24,F1775)&gt;0,1,0),0))</f>
        <v>0</v>
      </c>
      <c r="L1775" s="15" t="n">
        <f aca="false">IF(J1775=1,0,Inputs!$B$11)</f>
        <v>100</v>
      </c>
      <c r="M1775" s="15" t="n">
        <f aca="false">IF(J1775=1,0,Inputs!$B$12)</f>
        <v>75</v>
      </c>
      <c r="N1775" s="15" t="n">
        <f aca="false">IF(J1775=1,0,IF(OR(AND(OR(B1775="SITE LOSS",B1775="REGION LOSS"),K1775=1),AND(B1775="ROLE COMPROMISE",H1775=C1775)),Inputs!$B$13,Inputs!$B$14))</f>
        <v>10</v>
      </c>
      <c r="O1775" s="15" t="n">
        <f aca="false">IF(J1775=1,0,Inputs!$B$13)</f>
        <v>20</v>
      </c>
      <c r="P1775" s="15" t="n">
        <f aca="false">SUM(M1775:N1775)</f>
        <v>85</v>
      </c>
      <c r="Q1775" s="15" t="n">
        <f aca="false">IF(J1775=1,"",L1775-P1775)</f>
        <v>15</v>
      </c>
      <c r="R1775" s="15" t="n">
        <f aca="false">IF(OR(J1775=1,M1775&lt;=Inputs!$B$12),1,0)</f>
        <v>1</v>
      </c>
      <c r="S1775" s="15" t="n">
        <f aca="false">IF(OR(J1775=1,N1775&lt;=O1775),1,0)</f>
        <v>1</v>
      </c>
      <c r="T1775" s="15" t="str">
        <f aca="false">IF(J1775=1,"OFFLINE",IF(AND(Q1775&gt;=Inputs!$B$15,R1775=1,S1775=1,P1775&lt;=L1775),"PASS","FAIL"))</f>
        <v>PASS</v>
      </c>
    </row>
    <row r="1776" customFormat="false" ht="15" hidden="false" customHeight="false" outlineLevel="0" collapsed="false">
      <c r="A1776" s="14" t="s">
        <v>1035</v>
      </c>
      <c r="B1776" s="14" t="s">
        <v>1019</v>
      </c>
      <c r="C1776" s="14" t="s">
        <v>202</v>
      </c>
      <c r="D1776" s="14" t="s">
        <v>174</v>
      </c>
      <c r="E1776" s="14" t="s">
        <v>152</v>
      </c>
      <c r="F1776" s="14" t="s">
        <v>175</v>
      </c>
      <c r="G1776" s="14" t="n">
        <v>1</v>
      </c>
      <c r="H1776" s="14" t="s">
        <v>154</v>
      </c>
      <c r="I1776" s="14" t="s">
        <v>899</v>
      </c>
      <c r="J1776" s="15" t="n">
        <f aca="false">IF(B1776="SITE LOSS",IF(D1776=C1776,1,0),IF(B1776="REGION LOSS",IF(E1776=C1776,1,0),0))</f>
        <v>0</v>
      </c>
      <c r="K1776" s="15" t="n">
        <f aca="false">IF(B1776="SITE LOSS",IF(COUNTIFS('Site Dockets'!$B$7:$B$24,C1776,'Site Dockets'!$C$7:$C$24,F1776)&gt;0,1,0),IF(B1776="REGION LOSS",IF(COUNTIFS('Site Dockets'!$E$7:$E$24,C1776,'Site Dockets'!$C$7:$C$24,F1776)&gt;0,1,0),0))</f>
        <v>0</v>
      </c>
      <c r="L1776" s="15" t="n">
        <f aca="false">IF(J1776=1,0,Inputs!$B$11)</f>
        <v>100</v>
      </c>
      <c r="M1776" s="15" t="n">
        <f aca="false">IF(J1776=1,0,Inputs!$B$12)</f>
        <v>75</v>
      </c>
      <c r="N1776" s="15" t="n">
        <f aca="false">IF(J1776=1,0,IF(OR(AND(OR(B1776="SITE LOSS",B1776="REGION LOSS"),K1776=1),AND(B1776="ROLE COMPROMISE",H1776=C1776)),Inputs!$B$13,Inputs!$B$14))</f>
        <v>10</v>
      </c>
      <c r="O1776" s="15" t="n">
        <f aca="false">IF(J1776=1,0,Inputs!$B$13)</f>
        <v>20</v>
      </c>
      <c r="P1776" s="15" t="n">
        <f aca="false">SUM(M1776:N1776)</f>
        <v>85</v>
      </c>
      <c r="Q1776" s="15" t="n">
        <f aca="false">IF(J1776=1,"",L1776-P1776)</f>
        <v>15</v>
      </c>
      <c r="R1776" s="15" t="n">
        <f aca="false">IF(OR(J1776=1,M1776&lt;=Inputs!$B$12),1,0)</f>
        <v>1</v>
      </c>
      <c r="S1776" s="15" t="n">
        <f aca="false">IF(OR(J1776=1,N1776&lt;=O1776),1,0)</f>
        <v>1</v>
      </c>
      <c r="T1776" s="15" t="str">
        <f aca="false">IF(J1776=1,"OFFLINE",IF(AND(Q1776&gt;=Inputs!$B$15,R1776=1,S1776=1,P1776&lt;=L1776),"PASS","FAIL"))</f>
        <v>PASS</v>
      </c>
    </row>
    <row r="1777" customFormat="false" ht="15" hidden="false" customHeight="false" outlineLevel="0" collapsed="false">
      <c r="A1777" s="14" t="s">
        <v>1035</v>
      </c>
      <c r="B1777" s="14" t="s">
        <v>1019</v>
      </c>
      <c r="C1777" s="14" t="s">
        <v>202</v>
      </c>
      <c r="D1777" s="14" t="s">
        <v>178</v>
      </c>
      <c r="E1777" s="14" t="s">
        <v>169</v>
      </c>
      <c r="F1777" s="14" t="s">
        <v>175</v>
      </c>
      <c r="G1777" s="14" t="n">
        <v>2</v>
      </c>
      <c r="H1777" s="14" t="s">
        <v>153</v>
      </c>
      <c r="I1777" s="14" t="s">
        <v>890</v>
      </c>
      <c r="J1777" s="15" t="n">
        <f aca="false">IF(B1777="SITE LOSS",IF(D1777=C1777,1,0),IF(B1777="REGION LOSS",IF(E1777=C1777,1,0),0))</f>
        <v>0</v>
      </c>
      <c r="K1777" s="15" t="n">
        <f aca="false">IF(B1777="SITE LOSS",IF(COUNTIFS('Site Dockets'!$B$7:$B$24,C1777,'Site Dockets'!$C$7:$C$24,F1777)&gt;0,1,0),IF(B1777="REGION LOSS",IF(COUNTIFS('Site Dockets'!$E$7:$E$24,C1777,'Site Dockets'!$C$7:$C$24,F1777)&gt;0,1,0),0))</f>
        <v>0</v>
      </c>
      <c r="L1777" s="15" t="n">
        <f aca="false">IF(J1777=1,0,Inputs!$B$11)</f>
        <v>100</v>
      </c>
      <c r="M1777" s="15" t="n">
        <f aca="false">IF(J1777=1,0,Inputs!$B$12)</f>
        <v>75</v>
      </c>
      <c r="N1777" s="15" t="n">
        <f aca="false">IF(J1777=1,0,IF(OR(AND(OR(B1777="SITE LOSS",B1777="REGION LOSS"),K1777=1),AND(B1777="ROLE COMPROMISE",H1777=C1777)),Inputs!$B$13,Inputs!$B$14))</f>
        <v>10</v>
      </c>
      <c r="O1777" s="15" t="n">
        <f aca="false">IF(J1777=1,0,Inputs!$B$13)</f>
        <v>20</v>
      </c>
      <c r="P1777" s="15" t="n">
        <f aca="false">SUM(M1777:N1777)</f>
        <v>85</v>
      </c>
      <c r="Q1777" s="15" t="n">
        <f aca="false">IF(J1777=1,"",L1777-P1777)</f>
        <v>15</v>
      </c>
      <c r="R1777" s="15" t="n">
        <f aca="false">IF(OR(J1777=1,M1777&lt;=Inputs!$B$12),1,0)</f>
        <v>1</v>
      </c>
      <c r="S1777" s="15" t="n">
        <f aca="false">IF(OR(J1777=1,N1777&lt;=O1777),1,0)</f>
        <v>1</v>
      </c>
      <c r="T1777" s="15" t="str">
        <f aca="false">IF(J1777=1,"OFFLINE",IF(AND(Q1777&gt;=Inputs!$B$15,R1777=1,S1777=1,P1777&lt;=L1777),"PASS","FAIL"))</f>
        <v>PASS</v>
      </c>
    </row>
    <row r="1778" customFormat="false" ht="15" hidden="false" customHeight="false" outlineLevel="0" collapsed="false">
      <c r="A1778" s="14" t="s">
        <v>1035</v>
      </c>
      <c r="B1778" s="14" t="s">
        <v>1019</v>
      </c>
      <c r="C1778" s="14" t="s">
        <v>202</v>
      </c>
      <c r="D1778" s="14" t="s">
        <v>178</v>
      </c>
      <c r="E1778" s="14" t="s">
        <v>169</v>
      </c>
      <c r="F1778" s="14" t="s">
        <v>175</v>
      </c>
      <c r="G1778" s="14" t="n">
        <v>2</v>
      </c>
      <c r="H1778" s="14" t="s">
        <v>153</v>
      </c>
      <c r="I1778" s="14" t="s">
        <v>892</v>
      </c>
      <c r="J1778" s="15" t="n">
        <f aca="false">IF(B1778="SITE LOSS",IF(D1778=C1778,1,0),IF(B1778="REGION LOSS",IF(E1778=C1778,1,0),0))</f>
        <v>0</v>
      </c>
      <c r="K1778" s="15" t="n">
        <f aca="false">IF(B1778="SITE LOSS",IF(COUNTIFS('Site Dockets'!$B$7:$B$24,C1778,'Site Dockets'!$C$7:$C$24,F1778)&gt;0,1,0),IF(B1778="REGION LOSS",IF(COUNTIFS('Site Dockets'!$E$7:$E$24,C1778,'Site Dockets'!$C$7:$C$24,F1778)&gt;0,1,0),0))</f>
        <v>0</v>
      </c>
      <c r="L1778" s="15" t="n">
        <f aca="false">IF(J1778=1,0,Inputs!$B$11)</f>
        <v>100</v>
      </c>
      <c r="M1778" s="15" t="n">
        <f aca="false">IF(J1778=1,0,Inputs!$B$12)</f>
        <v>75</v>
      </c>
      <c r="N1778" s="15" t="n">
        <f aca="false">IF(J1778=1,0,IF(OR(AND(OR(B1778="SITE LOSS",B1778="REGION LOSS"),K1778=1),AND(B1778="ROLE COMPROMISE",H1778=C1778)),Inputs!$B$13,Inputs!$B$14))</f>
        <v>10</v>
      </c>
      <c r="O1778" s="15" t="n">
        <f aca="false">IF(J1778=1,0,Inputs!$B$13)</f>
        <v>20</v>
      </c>
      <c r="P1778" s="15" t="n">
        <f aca="false">SUM(M1778:N1778)</f>
        <v>85</v>
      </c>
      <c r="Q1778" s="15" t="n">
        <f aca="false">IF(J1778=1,"",L1778-P1778)</f>
        <v>15</v>
      </c>
      <c r="R1778" s="15" t="n">
        <f aca="false">IF(OR(J1778=1,M1778&lt;=Inputs!$B$12),1,0)</f>
        <v>1</v>
      </c>
      <c r="S1778" s="15" t="n">
        <f aca="false">IF(OR(J1778=1,N1778&lt;=O1778),1,0)</f>
        <v>1</v>
      </c>
      <c r="T1778" s="15" t="str">
        <f aca="false">IF(J1778=1,"OFFLINE",IF(AND(Q1778&gt;=Inputs!$B$15,R1778=1,S1778=1,P1778&lt;=L1778),"PASS","FAIL"))</f>
        <v>PASS</v>
      </c>
    </row>
    <row r="1779" customFormat="false" ht="15" hidden="false" customHeight="false" outlineLevel="0" collapsed="false">
      <c r="A1779" s="14" t="s">
        <v>1035</v>
      </c>
      <c r="B1779" s="14" t="s">
        <v>1019</v>
      </c>
      <c r="C1779" s="14" t="s">
        <v>202</v>
      </c>
      <c r="D1779" s="14" t="s">
        <v>178</v>
      </c>
      <c r="E1779" s="14" t="s">
        <v>169</v>
      </c>
      <c r="F1779" s="14" t="s">
        <v>175</v>
      </c>
      <c r="G1779" s="14" t="n">
        <v>2</v>
      </c>
      <c r="H1779" s="14" t="s">
        <v>153</v>
      </c>
      <c r="I1779" s="14" t="s">
        <v>811</v>
      </c>
      <c r="J1779" s="15" t="n">
        <f aca="false">IF(B1779="SITE LOSS",IF(D1779=C1779,1,0),IF(B1779="REGION LOSS",IF(E1779=C1779,1,0),0))</f>
        <v>0</v>
      </c>
      <c r="K1779" s="15" t="n">
        <f aca="false">IF(B1779="SITE LOSS",IF(COUNTIFS('Site Dockets'!$B$7:$B$24,C1779,'Site Dockets'!$C$7:$C$24,F1779)&gt;0,1,0),IF(B1779="REGION LOSS",IF(COUNTIFS('Site Dockets'!$E$7:$E$24,C1779,'Site Dockets'!$C$7:$C$24,F1779)&gt;0,1,0),0))</f>
        <v>0</v>
      </c>
      <c r="L1779" s="15" t="n">
        <f aca="false">IF(J1779=1,0,Inputs!$B$11)</f>
        <v>100</v>
      </c>
      <c r="M1779" s="15" t="n">
        <f aca="false">IF(J1779=1,0,Inputs!$B$12)</f>
        <v>75</v>
      </c>
      <c r="N1779" s="15" t="n">
        <f aca="false">IF(J1779=1,0,IF(OR(AND(OR(B1779="SITE LOSS",B1779="REGION LOSS"),K1779=1),AND(B1779="ROLE COMPROMISE",H1779=C1779)),Inputs!$B$13,Inputs!$B$14))</f>
        <v>10</v>
      </c>
      <c r="O1779" s="15" t="n">
        <f aca="false">IF(J1779=1,0,Inputs!$B$13)</f>
        <v>20</v>
      </c>
      <c r="P1779" s="15" t="n">
        <f aca="false">SUM(M1779:N1779)</f>
        <v>85</v>
      </c>
      <c r="Q1779" s="15" t="n">
        <f aca="false">IF(J1779=1,"",L1779-P1779)</f>
        <v>15</v>
      </c>
      <c r="R1779" s="15" t="n">
        <f aca="false">IF(OR(J1779=1,M1779&lt;=Inputs!$B$12),1,0)</f>
        <v>1</v>
      </c>
      <c r="S1779" s="15" t="n">
        <f aca="false">IF(OR(J1779=1,N1779&lt;=O1779),1,0)</f>
        <v>1</v>
      </c>
      <c r="T1779" s="15" t="str">
        <f aca="false">IF(J1779=1,"OFFLINE",IF(AND(Q1779&gt;=Inputs!$B$15,R1779=1,S1779=1,P1779&lt;=L1779),"PASS","FAIL"))</f>
        <v>PASS</v>
      </c>
    </row>
    <row r="1780" customFormat="false" ht="15" hidden="false" customHeight="false" outlineLevel="0" collapsed="false">
      <c r="A1780" s="14" t="s">
        <v>1035</v>
      </c>
      <c r="B1780" s="14" t="s">
        <v>1019</v>
      </c>
      <c r="C1780" s="14" t="s">
        <v>202</v>
      </c>
      <c r="D1780" s="14" t="s">
        <v>178</v>
      </c>
      <c r="E1780" s="14" t="s">
        <v>169</v>
      </c>
      <c r="F1780" s="14" t="s">
        <v>175</v>
      </c>
      <c r="G1780" s="14" t="n">
        <v>2</v>
      </c>
      <c r="H1780" s="14" t="s">
        <v>153</v>
      </c>
      <c r="I1780" s="14" t="s">
        <v>895</v>
      </c>
      <c r="J1780" s="15" t="n">
        <f aca="false">IF(B1780="SITE LOSS",IF(D1780=C1780,1,0),IF(B1780="REGION LOSS",IF(E1780=C1780,1,0),0))</f>
        <v>0</v>
      </c>
      <c r="K1780" s="15" t="n">
        <f aca="false">IF(B1780="SITE LOSS",IF(COUNTIFS('Site Dockets'!$B$7:$B$24,C1780,'Site Dockets'!$C$7:$C$24,F1780)&gt;0,1,0),IF(B1780="REGION LOSS",IF(COUNTIFS('Site Dockets'!$E$7:$E$24,C1780,'Site Dockets'!$C$7:$C$24,F1780)&gt;0,1,0),0))</f>
        <v>0</v>
      </c>
      <c r="L1780" s="15" t="n">
        <f aca="false">IF(J1780=1,0,Inputs!$B$11)</f>
        <v>100</v>
      </c>
      <c r="M1780" s="15" t="n">
        <f aca="false">IF(J1780=1,0,Inputs!$B$12)</f>
        <v>75</v>
      </c>
      <c r="N1780" s="15" t="n">
        <f aca="false">IF(J1780=1,0,IF(OR(AND(OR(B1780="SITE LOSS",B1780="REGION LOSS"),K1780=1),AND(B1780="ROLE COMPROMISE",H1780=C1780)),Inputs!$B$13,Inputs!$B$14))</f>
        <v>10</v>
      </c>
      <c r="O1780" s="15" t="n">
        <f aca="false">IF(J1780=1,0,Inputs!$B$13)</f>
        <v>20</v>
      </c>
      <c r="P1780" s="15" t="n">
        <f aca="false">SUM(M1780:N1780)</f>
        <v>85</v>
      </c>
      <c r="Q1780" s="15" t="n">
        <f aca="false">IF(J1780=1,"",L1780-P1780)</f>
        <v>15</v>
      </c>
      <c r="R1780" s="15" t="n">
        <f aca="false">IF(OR(J1780=1,M1780&lt;=Inputs!$B$12),1,0)</f>
        <v>1</v>
      </c>
      <c r="S1780" s="15" t="n">
        <f aca="false">IF(OR(J1780=1,N1780&lt;=O1780),1,0)</f>
        <v>1</v>
      </c>
      <c r="T1780" s="15" t="str">
        <f aca="false">IF(J1780=1,"OFFLINE",IF(AND(Q1780&gt;=Inputs!$B$15,R1780=1,S1780=1,P1780&lt;=L1780),"PASS","FAIL"))</f>
        <v>PASS</v>
      </c>
    </row>
    <row r="1781" customFormat="false" ht="15" hidden="false" customHeight="false" outlineLevel="0" collapsed="false">
      <c r="A1781" s="14" t="s">
        <v>1035</v>
      </c>
      <c r="B1781" s="14" t="s">
        <v>1019</v>
      </c>
      <c r="C1781" s="14" t="s">
        <v>202</v>
      </c>
      <c r="D1781" s="14" t="s">
        <v>178</v>
      </c>
      <c r="E1781" s="14" t="s">
        <v>169</v>
      </c>
      <c r="F1781" s="14" t="s">
        <v>175</v>
      </c>
      <c r="G1781" s="14" t="n">
        <v>2</v>
      </c>
      <c r="H1781" s="14" t="s">
        <v>153</v>
      </c>
      <c r="I1781" s="14" t="s">
        <v>897</v>
      </c>
      <c r="J1781" s="15" t="n">
        <f aca="false">IF(B1781="SITE LOSS",IF(D1781=C1781,1,0),IF(B1781="REGION LOSS",IF(E1781=C1781,1,0),0))</f>
        <v>0</v>
      </c>
      <c r="K1781" s="15" t="n">
        <f aca="false">IF(B1781="SITE LOSS",IF(COUNTIFS('Site Dockets'!$B$7:$B$24,C1781,'Site Dockets'!$C$7:$C$24,F1781)&gt;0,1,0),IF(B1781="REGION LOSS",IF(COUNTIFS('Site Dockets'!$E$7:$E$24,C1781,'Site Dockets'!$C$7:$C$24,F1781)&gt;0,1,0),0))</f>
        <v>0</v>
      </c>
      <c r="L1781" s="15" t="n">
        <f aca="false">IF(J1781=1,0,Inputs!$B$11)</f>
        <v>100</v>
      </c>
      <c r="M1781" s="15" t="n">
        <f aca="false">IF(J1781=1,0,Inputs!$B$12)</f>
        <v>75</v>
      </c>
      <c r="N1781" s="15" t="n">
        <f aca="false">IF(J1781=1,0,IF(OR(AND(OR(B1781="SITE LOSS",B1781="REGION LOSS"),K1781=1),AND(B1781="ROLE COMPROMISE",H1781=C1781)),Inputs!$B$13,Inputs!$B$14))</f>
        <v>10</v>
      </c>
      <c r="O1781" s="15" t="n">
        <f aca="false">IF(J1781=1,0,Inputs!$B$13)</f>
        <v>20</v>
      </c>
      <c r="P1781" s="15" t="n">
        <f aca="false">SUM(M1781:N1781)</f>
        <v>85</v>
      </c>
      <c r="Q1781" s="15" t="n">
        <f aca="false">IF(J1781=1,"",L1781-P1781)</f>
        <v>15</v>
      </c>
      <c r="R1781" s="15" t="n">
        <f aca="false">IF(OR(J1781=1,M1781&lt;=Inputs!$B$12),1,0)</f>
        <v>1</v>
      </c>
      <c r="S1781" s="15" t="n">
        <f aca="false">IF(OR(J1781=1,N1781&lt;=O1781),1,0)</f>
        <v>1</v>
      </c>
      <c r="T1781" s="15" t="str">
        <f aca="false">IF(J1781=1,"OFFLINE",IF(AND(Q1781&gt;=Inputs!$B$15,R1781=1,S1781=1,P1781&lt;=L1781),"PASS","FAIL"))</f>
        <v>PASS</v>
      </c>
    </row>
    <row r="1782" customFormat="false" ht="15" hidden="false" customHeight="false" outlineLevel="0" collapsed="false">
      <c r="A1782" s="14" t="s">
        <v>1035</v>
      </c>
      <c r="B1782" s="14" t="s">
        <v>1019</v>
      </c>
      <c r="C1782" s="14" t="s">
        <v>202</v>
      </c>
      <c r="D1782" s="14" t="s">
        <v>178</v>
      </c>
      <c r="E1782" s="14" t="s">
        <v>169</v>
      </c>
      <c r="F1782" s="14" t="s">
        <v>175</v>
      </c>
      <c r="G1782" s="14" t="n">
        <v>2</v>
      </c>
      <c r="H1782" s="14" t="s">
        <v>153</v>
      </c>
      <c r="I1782" s="14" t="s">
        <v>899</v>
      </c>
      <c r="J1782" s="15" t="n">
        <f aca="false">IF(B1782="SITE LOSS",IF(D1782=C1782,1,0),IF(B1782="REGION LOSS",IF(E1782=C1782,1,0),0))</f>
        <v>0</v>
      </c>
      <c r="K1782" s="15" t="n">
        <f aca="false">IF(B1782="SITE LOSS",IF(COUNTIFS('Site Dockets'!$B$7:$B$24,C1782,'Site Dockets'!$C$7:$C$24,F1782)&gt;0,1,0),IF(B1782="REGION LOSS",IF(COUNTIFS('Site Dockets'!$E$7:$E$24,C1782,'Site Dockets'!$C$7:$C$24,F1782)&gt;0,1,0),0))</f>
        <v>0</v>
      </c>
      <c r="L1782" s="15" t="n">
        <f aca="false">IF(J1782=1,0,Inputs!$B$11)</f>
        <v>100</v>
      </c>
      <c r="M1782" s="15" t="n">
        <f aca="false">IF(J1782=1,0,Inputs!$B$12)</f>
        <v>75</v>
      </c>
      <c r="N1782" s="15" t="n">
        <f aca="false">IF(J1782=1,0,IF(OR(AND(OR(B1782="SITE LOSS",B1782="REGION LOSS"),K1782=1),AND(B1782="ROLE COMPROMISE",H1782=C1782)),Inputs!$B$13,Inputs!$B$14))</f>
        <v>10</v>
      </c>
      <c r="O1782" s="15" t="n">
        <f aca="false">IF(J1782=1,0,Inputs!$B$13)</f>
        <v>20</v>
      </c>
      <c r="P1782" s="15" t="n">
        <f aca="false">SUM(M1782:N1782)</f>
        <v>85</v>
      </c>
      <c r="Q1782" s="15" t="n">
        <f aca="false">IF(J1782=1,"",L1782-P1782)</f>
        <v>15</v>
      </c>
      <c r="R1782" s="15" t="n">
        <f aca="false">IF(OR(J1782=1,M1782&lt;=Inputs!$B$12),1,0)</f>
        <v>1</v>
      </c>
      <c r="S1782" s="15" t="n">
        <f aca="false">IF(OR(J1782=1,N1782&lt;=O1782),1,0)</f>
        <v>1</v>
      </c>
      <c r="T1782" s="15" t="str">
        <f aca="false">IF(J1782=1,"OFFLINE",IF(AND(Q1782&gt;=Inputs!$B$15,R1782=1,S1782=1,P1782&lt;=L1782),"PASS","FAIL"))</f>
        <v>PASS</v>
      </c>
    </row>
    <row r="1783" customFormat="false" ht="15" hidden="false" customHeight="false" outlineLevel="0" collapsed="false">
      <c r="A1783" s="14" t="s">
        <v>1035</v>
      </c>
      <c r="B1783" s="14" t="s">
        <v>1019</v>
      </c>
      <c r="C1783" s="14" t="s">
        <v>202</v>
      </c>
      <c r="D1783" s="14" t="s">
        <v>180</v>
      </c>
      <c r="E1783" s="14" t="s">
        <v>161</v>
      </c>
      <c r="F1783" s="14" t="s">
        <v>175</v>
      </c>
      <c r="G1783" s="14" t="n">
        <v>3</v>
      </c>
      <c r="H1783" s="14" t="s">
        <v>158</v>
      </c>
      <c r="I1783" s="14" t="s">
        <v>890</v>
      </c>
      <c r="J1783" s="15" t="n">
        <f aca="false">IF(B1783="SITE LOSS",IF(D1783=C1783,1,0),IF(B1783="REGION LOSS",IF(E1783=C1783,1,0),0))</f>
        <v>0</v>
      </c>
      <c r="K1783" s="15" t="n">
        <f aca="false">IF(B1783="SITE LOSS",IF(COUNTIFS('Site Dockets'!$B$7:$B$24,C1783,'Site Dockets'!$C$7:$C$24,F1783)&gt;0,1,0),IF(B1783="REGION LOSS",IF(COUNTIFS('Site Dockets'!$E$7:$E$24,C1783,'Site Dockets'!$C$7:$C$24,F1783)&gt;0,1,0),0))</f>
        <v>0</v>
      </c>
      <c r="L1783" s="15" t="n">
        <f aca="false">IF(J1783=1,0,Inputs!$B$11)</f>
        <v>100</v>
      </c>
      <c r="M1783" s="15" t="n">
        <f aca="false">IF(J1783=1,0,Inputs!$B$12)</f>
        <v>75</v>
      </c>
      <c r="N1783" s="15" t="n">
        <f aca="false">IF(J1783=1,0,IF(OR(AND(OR(B1783="SITE LOSS",B1783="REGION LOSS"),K1783=1),AND(B1783="ROLE COMPROMISE",H1783=C1783)),Inputs!$B$13,Inputs!$B$14))</f>
        <v>10</v>
      </c>
      <c r="O1783" s="15" t="n">
        <f aca="false">IF(J1783=1,0,Inputs!$B$13)</f>
        <v>20</v>
      </c>
      <c r="P1783" s="15" t="n">
        <f aca="false">SUM(M1783:N1783)</f>
        <v>85</v>
      </c>
      <c r="Q1783" s="15" t="n">
        <f aca="false">IF(J1783=1,"",L1783-P1783)</f>
        <v>15</v>
      </c>
      <c r="R1783" s="15" t="n">
        <f aca="false">IF(OR(J1783=1,M1783&lt;=Inputs!$B$12),1,0)</f>
        <v>1</v>
      </c>
      <c r="S1783" s="15" t="n">
        <f aca="false">IF(OR(J1783=1,N1783&lt;=O1783),1,0)</f>
        <v>1</v>
      </c>
      <c r="T1783" s="15" t="str">
        <f aca="false">IF(J1783=1,"OFFLINE",IF(AND(Q1783&gt;=Inputs!$B$15,R1783=1,S1783=1,P1783&lt;=L1783),"PASS","FAIL"))</f>
        <v>PASS</v>
      </c>
    </row>
    <row r="1784" customFormat="false" ht="15" hidden="false" customHeight="false" outlineLevel="0" collapsed="false">
      <c r="A1784" s="14" t="s">
        <v>1035</v>
      </c>
      <c r="B1784" s="14" t="s">
        <v>1019</v>
      </c>
      <c r="C1784" s="14" t="s">
        <v>202</v>
      </c>
      <c r="D1784" s="14" t="s">
        <v>180</v>
      </c>
      <c r="E1784" s="14" t="s">
        <v>161</v>
      </c>
      <c r="F1784" s="14" t="s">
        <v>175</v>
      </c>
      <c r="G1784" s="14" t="n">
        <v>3</v>
      </c>
      <c r="H1784" s="14" t="s">
        <v>158</v>
      </c>
      <c r="I1784" s="14" t="s">
        <v>892</v>
      </c>
      <c r="J1784" s="15" t="n">
        <f aca="false">IF(B1784="SITE LOSS",IF(D1784=C1784,1,0),IF(B1784="REGION LOSS",IF(E1784=C1784,1,0),0))</f>
        <v>0</v>
      </c>
      <c r="K1784" s="15" t="n">
        <f aca="false">IF(B1784="SITE LOSS",IF(COUNTIFS('Site Dockets'!$B$7:$B$24,C1784,'Site Dockets'!$C$7:$C$24,F1784)&gt;0,1,0),IF(B1784="REGION LOSS",IF(COUNTIFS('Site Dockets'!$E$7:$E$24,C1784,'Site Dockets'!$C$7:$C$24,F1784)&gt;0,1,0),0))</f>
        <v>0</v>
      </c>
      <c r="L1784" s="15" t="n">
        <f aca="false">IF(J1784=1,0,Inputs!$B$11)</f>
        <v>100</v>
      </c>
      <c r="M1784" s="15" t="n">
        <f aca="false">IF(J1784=1,0,Inputs!$B$12)</f>
        <v>75</v>
      </c>
      <c r="N1784" s="15" t="n">
        <f aca="false">IF(J1784=1,0,IF(OR(AND(OR(B1784="SITE LOSS",B1784="REGION LOSS"),K1784=1),AND(B1784="ROLE COMPROMISE",H1784=C1784)),Inputs!$B$13,Inputs!$B$14))</f>
        <v>10</v>
      </c>
      <c r="O1784" s="15" t="n">
        <f aca="false">IF(J1784=1,0,Inputs!$B$13)</f>
        <v>20</v>
      </c>
      <c r="P1784" s="15" t="n">
        <f aca="false">SUM(M1784:N1784)</f>
        <v>85</v>
      </c>
      <c r="Q1784" s="15" t="n">
        <f aca="false">IF(J1784=1,"",L1784-P1784)</f>
        <v>15</v>
      </c>
      <c r="R1784" s="15" t="n">
        <f aca="false">IF(OR(J1784=1,M1784&lt;=Inputs!$B$12),1,0)</f>
        <v>1</v>
      </c>
      <c r="S1784" s="15" t="n">
        <f aca="false">IF(OR(J1784=1,N1784&lt;=O1784),1,0)</f>
        <v>1</v>
      </c>
      <c r="T1784" s="15" t="str">
        <f aca="false">IF(J1784=1,"OFFLINE",IF(AND(Q1784&gt;=Inputs!$B$15,R1784=1,S1784=1,P1784&lt;=L1784),"PASS","FAIL"))</f>
        <v>PASS</v>
      </c>
    </row>
    <row r="1785" customFormat="false" ht="15" hidden="false" customHeight="false" outlineLevel="0" collapsed="false">
      <c r="A1785" s="14" t="s">
        <v>1035</v>
      </c>
      <c r="B1785" s="14" t="s">
        <v>1019</v>
      </c>
      <c r="C1785" s="14" t="s">
        <v>202</v>
      </c>
      <c r="D1785" s="14" t="s">
        <v>180</v>
      </c>
      <c r="E1785" s="14" t="s">
        <v>161</v>
      </c>
      <c r="F1785" s="14" t="s">
        <v>175</v>
      </c>
      <c r="G1785" s="14" t="n">
        <v>3</v>
      </c>
      <c r="H1785" s="14" t="s">
        <v>158</v>
      </c>
      <c r="I1785" s="14" t="s">
        <v>811</v>
      </c>
      <c r="J1785" s="15" t="n">
        <f aca="false">IF(B1785="SITE LOSS",IF(D1785=C1785,1,0),IF(B1785="REGION LOSS",IF(E1785=C1785,1,0),0))</f>
        <v>0</v>
      </c>
      <c r="K1785" s="15" t="n">
        <f aca="false">IF(B1785="SITE LOSS",IF(COUNTIFS('Site Dockets'!$B$7:$B$24,C1785,'Site Dockets'!$C$7:$C$24,F1785)&gt;0,1,0),IF(B1785="REGION LOSS",IF(COUNTIFS('Site Dockets'!$E$7:$E$24,C1785,'Site Dockets'!$C$7:$C$24,F1785)&gt;0,1,0),0))</f>
        <v>0</v>
      </c>
      <c r="L1785" s="15" t="n">
        <f aca="false">IF(J1785=1,0,Inputs!$B$11)</f>
        <v>100</v>
      </c>
      <c r="M1785" s="15" t="n">
        <f aca="false">IF(J1785=1,0,Inputs!$B$12)</f>
        <v>75</v>
      </c>
      <c r="N1785" s="15" t="n">
        <f aca="false">IF(J1785=1,0,IF(OR(AND(OR(B1785="SITE LOSS",B1785="REGION LOSS"),K1785=1),AND(B1785="ROLE COMPROMISE",H1785=C1785)),Inputs!$B$13,Inputs!$B$14))</f>
        <v>10</v>
      </c>
      <c r="O1785" s="15" t="n">
        <f aca="false">IF(J1785=1,0,Inputs!$B$13)</f>
        <v>20</v>
      </c>
      <c r="P1785" s="15" t="n">
        <f aca="false">SUM(M1785:N1785)</f>
        <v>85</v>
      </c>
      <c r="Q1785" s="15" t="n">
        <f aca="false">IF(J1785=1,"",L1785-P1785)</f>
        <v>15</v>
      </c>
      <c r="R1785" s="15" t="n">
        <f aca="false">IF(OR(J1785=1,M1785&lt;=Inputs!$B$12),1,0)</f>
        <v>1</v>
      </c>
      <c r="S1785" s="15" t="n">
        <f aca="false">IF(OR(J1785=1,N1785&lt;=O1785),1,0)</f>
        <v>1</v>
      </c>
      <c r="T1785" s="15" t="str">
        <f aca="false">IF(J1785=1,"OFFLINE",IF(AND(Q1785&gt;=Inputs!$B$15,R1785=1,S1785=1,P1785&lt;=L1785),"PASS","FAIL"))</f>
        <v>PASS</v>
      </c>
    </row>
    <row r="1786" customFormat="false" ht="15" hidden="false" customHeight="false" outlineLevel="0" collapsed="false">
      <c r="A1786" s="14" t="s">
        <v>1035</v>
      </c>
      <c r="B1786" s="14" t="s">
        <v>1019</v>
      </c>
      <c r="C1786" s="14" t="s">
        <v>202</v>
      </c>
      <c r="D1786" s="14" t="s">
        <v>180</v>
      </c>
      <c r="E1786" s="14" t="s">
        <v>161</v>
      </c>
      <c r="F1786" s="14" t="s">
        <v>175</v>
      </c>
      <c r="G1786" s="14" t="n">
        <v>3</v>
      </c>
      <c r="H1786" s="14" t="s">
        <v>158</v>
      </c>
      <c r="I1786" s="14" t="s">
        <v>895</v>
      </c>
      <c r="J1786" s="15" t="n">
        <f aca="false">IF(B1786="SITE LOSS",IF(D1786=C1786,1,0),IF(B1786="REGION LOSS",IF(E1786=C1786,1,0),0))</f>
        <v>0</v>
      </c>
      <c r="K1786" s="15" t="n">
        <f aca="false">IF(B1786="SITE LOSS",IF(COUNTIFS('Site Dockets'!$B$7:$B$24,C1786,'Site Dockets'!$C$7:$C$24,F1786)&gt;0,1,0),IF(B1786="REGION LOSS",IF(COUNTIFS('Site Dockets'!$E$7:$E$24,C1786,'Site Dockets'!$C$7:$C$24,F1786)&gt;0,1,0),0))</f>
        <v>0</v>
      </c>
      <c r="L1786" s="15" t="n">
        <f aca="false">IF(J1786=1,0,Inputs!$B$11)</f>
        <v>100</v>
      </c>
      <c r="M1786" s="15" t="n">
        <f aca="false">IF(J1786=1,0,Inputs!$B$12)</f>
        <v>75</v>
      </c>
      <c r="N1786" s="15" t="n">
        <f aca="false">IF(J1786=1,0,IF(OR(AND(OR(B1786="SITE LOSS",B1786="REGION LOSS"),K1786=1),AND(B1786="ROLE COMPROMISE",H1786=C1786)),Inputs!$B$13,Inputs!$B$14))</f>
        <v>10</v>
      </c>
      <c r="O1786" s="15" t="n">
        <f aca="false">IF(J1786=1,0,Inputs!$B$13)</f>
        <v>20</v>
      </c>
      <c r="P1786" s="15" t="n">
        <f aca="false">SUM(M1786:N1786)</f>
        <v>85</v>
      </c>
      <c r="Q1786" s="15" t="n">
        <f aca="false">IF(J1786=1,"",L1786-P1786)</f>
        <v>15</v>
      </c>
      <c r="R1786" s="15" t="n">
        <f aca="false">IF(OR(J1786=1,M1786&lt;=Inputs!$B$12),1,0)</f>
        <v>1</v>
      </c>
      <c r="S1786" s="15" t="n">
        <f aca="false">IF(OR(J1786=1,N1786&lt;=O1786),1,0)</f>
        <v>1</v>
      </c>
      <c r="T1786" s="15" t="str">
        <f aca="false">IF(J1786=1,"OFFLINE",IF(AND(Q1786&gt;=Inputs!$B$15,R1786=1,S1786=1,P1786&lt;=L1786),"PASS","FAIL"))</f>
        <v>PASS</v>
      </c>
    </row>
    <row r="1787" customFormat="false" ht="15" hidden="false" customHeight="false" outlineLevel="0" collapsed="false">
      <c r="A1787" s="14" t="s">
        <v>1035</v>
      </c>
      <c r="B1787" s="14" t="s">
        <v>1019</v>
      </c>
      <c r="C1787" s="14" t="s">
        <v>202</v>
      </c>
      <c r="D1787" s="14" t="s">
        <v>180</v>
      </c>
      <c r="E1787" s="14" t="s">
        <v>161</v>
      </c>
      <c r="F1787" s="14" t="s">
        <v>175</v>
      </c>
      <c r="G1787" s="14" t="n">
        <v>3</v>
      </c>
      <c r="H1787" s="14" t="s">
        <v>158</v>
      </c>
      <c r="I1787" s="14" t="s">
        <v>897</v>
      </c>
      <c r="J1787" s="15" t="n">
        <f aca="false">IF(B1787="SITE LOSS",IF(D1787=C1787,1,0),IF(B1787="REGION LOSS",IF(E1787=C1787,1,0),0))</f>
        <v>0</v>
      </c>
      <c r="K1787" s="15" t="n">
        <f aca="false">IF(B1787="SITE LOSS",IF(COUNTIFS('Site Dockets'!$B$7:$B$24,C1787,'Site Dockets'!$C$7:$C$24,F1787)&gt;0,1,0),IF(B1787="REGION LOSS",IF(COUNTIFS('Site Dockets'!$E$7:$E$24,C1787,'Site Dockets'!$C$7:$C$24,F1787)&gt;0,1,0),0))</f>
        <v>0</v>
      </c>
      <c r="L1787" s="15" t="n">
        <f aca="false">IF(J1787=1,0,Inputs!$B$11)</f>
        <v>100</v>
      </c>
      <c r="M1787" s="15" t="n">
        <f aca="false">IF(J1787=1,0,Inputs!$B$12)</f>
        <v>75</v>
      </c>
      <c r="N1787" s="15" t="n">
        <f aca="false">IF(J1787=1,0,IF(OR(AND(OR(B1787="SITE LOSS",B1787="REGION LOSS"),K1787=1),AND(B1787="ROLE COMPROMISE",H1787=C1787)),Inputs!$B$13,Inputs!$B$14))</f>
        <v>10</v>
      </c>
      <c r="O1787" s="15" t="n">
        <f aca="false">IF(J1787=1,0,Inputs!$B$13)</f>
        <v>20</v>
      </c>
      <c r="P1787" s="15" t="n">
        <f aca="false">SUM(M1787:N1787)</f>
        <v>85</v>
      </c>
      <c r="Q1787" s="15" t="n">
        <f aca="false">IF(J1787=1,"",L1787-P1787)</f>
        <v>15</v>
      </c>
      <c r="R1787" s="15" t="n">
        <f aca="false">IF(OR(J1787=1,M1787&lt;=Inputs!$B$12),1,0)</f>
        <v>1</v>
      </c>
      <c r="S1787" s="15" t="n">
        <f aca="false">IF(OR(J1787=1,N1787&lt;=O1787),1,0)</f>
        <v>1</v>
      </c>
      <c r="T1787" s="15" t="str">
        <f aca="false">IF(J1787=1,"OFFLINE",IF(AND(Q1787&gt;=Inputs!$B$15,R1787=1,S1787=1,P1787&lt;=L1787),"PASS","FAIL"))</f>
        <v>PASS</v>
      </c>
    </row>
    <row r="1788" customFormat="false" ht="15" hidden="false" customHeight="false" outlineLevel="0" collapsed="false">
      <c r="A1788" s="14" t="s">
        <v>1035</v>
      </c>
      <c r="B1788" s="14" t="s">
        <v>1019</v>
      </c>
      <c r="C1788" s="14" t="s">
        <v>202</v>
      </c>
      <c r="D1788" s="14" t="s">
        <v>180</v>
      </c>
      <c r="E1788" s="14" t="s">
        <v>161</v>
      </c>
      <c r="F1788" s="14" t="s">
        <v>175</v>
      </c>
      <c r="G1788" s="14" t="n">
        <v>3</v>
      </c>
      <c r="H1788" s="14" t="s">
        <v>158</v>
      </c>
      <c r="I1788" s="14" t="s">
        <v>899</v>
      </c>
      <c r="J1788" s="15" t="n">
        <f aca="false">IF(B1788="SITE LOSS",IF(D1788=C1788,1,0),IF(B1788="REGION LOSS",IF(E1788=C1788,1,0),0))</f>
        <v>0</v>
      </c>
      <c r="K1788" s="15" t="n">
        <f aca="false">IF(B1788="SITE LOSS",IF(COUNTIFS('Site Dockets'!$B$7:$B$24,C1788,'Site Dockets'!$C$7:$C$24,F1788)&gt;0,1,0),IF(B1788="REGION LOSS",IF(COUNTIFS('Site Dockets'!$E$7:$E$24,C1788,'Site Dockets'!$C$7:$C$24,F1788)&gt;0,1,0),0))</f>
        <v>0</v>
      </c>
      <c r="L1788" s="15" t="n">
        <f aca="false">IF(J1788=1,0,Inputs!$B$11)</f>
        <v>100</v>
      </c>
      <c r="M1788" s="15" t="n">
        <f aca="false">IF(J1788=1,0,Inputs!$B$12)</f>
        <v>75</v>
      </c>
      <c r="N1788" s="15" t="n">
        <f aca="false">IF(J1788=1,0,IF(OR(AND(OR(B1788="SITE LOSS",B1788="REGION LOSS"),K1788=1),AND(B1788="ROLE COMPROMISE",H1788=C1788)),Inputs!$B$13,Inputs!$B$14))</f>
        <v>10</v>
      </c>
      <c r="O1788" s="15" t="n">
        <f aca="false">IF(J1788=1,0,Inputs!$B$13)</f>
        <v>20</v>
      </c>
      <c r="P1788" s="15" t="n">
        <f aca="false">SUM(M1788:N1788)</f>
        <v>85</v>
      </c>
      <c r="Q1788" s="15" t="n">
        <f aca="false">IF(J1788=1,"",L1788-P1788)</f>
        <v>15</v>
      </c>
      <c r="R1788" s="15" t="n">
        <f aca="false">IF(OR(J1788=1,M1788&lt;=Inputs!$B$12),1,0)</f>
        <v>1</v>
      </c>
      <c r="S1788" s="15" t="n">
        <f aca="false">IF(OR(J1788=1,N1788&lt;=O1788),1,0)</f>
        <v>1</v>
      </c>
      <c r="T1788" s="15" t="str">
        <f aca="false">IF(J1788=1,"OFFLINE",IF(AND(Q1788&gt;=Inputs!$B$15,R1788=1,S1788=1,P1788&lt;=L1788),"PASS","FAIL"))</f>
        <v>PASS</v>
      </c>
    </row>
    <row r="1789" customFormat="false" ht="15" hidden="false" customHeight="false" outlineLevel="0" collapsed="false">
      <c r="A1789" s="14" t="s">
        <v>1035</v>
      </c>
      <c r="B1789" s="14" t="s">
        <v>1019</v>
      </c>
      <c r="C1789" s="14" t="s">
        <v>202</v>
      </c>
      <c r="D1789" s="14" t="s">
        <v>182</v>
      </c>
      <c r="E1789" s="14" t="s">
        <v>166</v>
      </c>
      <c r="F1789" s="14" t="s">
        <v>183</v>
      </c>
      <c r="G1789" s="14" t="n">
        <v>1</v>
      </c>
      <c r="H1789" s="14" t="s">
        <v>154</v>
      </c>
      <c r="I1789" s="14" t="s">
        <v>890</v>
      </c>
      <c r="J1789" s="15" t="n">
        <f aca="false">IF(B1789="SITE LOSS",IF(D1789=C1789,1,0),IF(B1789="REGION LOSS",IF(E1789=C1789,1,0),0))</f>
        <v>0</v>
      </c>
      <c r="K1789" s="15" t="n">
        <f aca="false">IF(B1789="SITE LOSS",IF(COUNTIFS('Site Dockets'!$B$7:$B$24,C1789,'Site Dockets'!$C$7:$C$24,F1789)&gt;0,1,0),IF(B1789="REGION LOSS",IF(COUNTIFS('Site Dockets'!$E$7:$E$24,C1789,'Site Dockets'!$C$7:$C$24,F1789)&gt;0,1,0),0))</f>
        <v>0</v>
      </c>
      <c r="L1789" s="15" t="n">
        <f aca="false">IF(J1789=1,0,Inputs!$B$11)</f>
        <v>100</v>
      </c>
      <c r="M1789" s="15" t="n">
        <f aca="false">IF(J1789=1,0,Inputs!$B$12)</f>
        <v>75</v>
      </c>
      <c r="N1789" s="15" t="n">
        <f aca="false">IF(J1789=1,0,IF(OR(AND(OR(B1789="SITE LOSS",B1789="REGION LOSS"),K1789=1),AND(B1789="ROLE COMPROMISE",H1789=C1789)),Inputs!$B$13,Inputs!$B$14))</f>
        <v>10</v>
      </c>
      <c r="O1789" s="15" t="n">
        <f aca="false">IF(J1789=1,0,Inputs!$B$13)</f>
        <v>20</v>
      </c>
      <c r="P1789" s="15" t="n">
        <f aca="false">SUM(M1789:N1789)</f>
        <v>85</v>
      </c>
      <c r="Q1789" s="15" t="n">
        <f aca="false">IF(J1789=1,"",L1789-P1789)</f>
        <v>15</v>
      </c>
      <c r="R1789" s="15" t="n">
        <f aca="false">IF(OR(J1789=1,M1789&lt;=Inputs!$B$12),1,0)</f>
        <v>1</v>
      </c>
      <c r="S1789" s="15" t="n">
        <f aca="false">IF(OR(J1789=1,N1789&lt;=O1789),1,0)</f>
        <v>1</v>
      </c>
      <c r="T1789" s="15" t="str">
        <f aca="false">IF(J1789=1,"OFFLINE",IF(AND(Q1789&gt;=Inputs!$B$15,R1789=1,S1789=1,P1789&lt;=L1789),"PASS","FAIL"))</f>
        <v>PASS</v>
      </c>
    </row>
    <row r="1790" customFormat="false" ht="15" hidden="false" customHeight="false" outlineLevel="0" collapsed="false">
      <c r="A1790" s="14" t="s">
        <v>1035</v>
      </c>
      <c r="B1790" s="14" t="s">
        <v>1019</v>
      </c>
      <c r="C1790" s="14" t="s">
        <v>202</v>
      </c>
      <c r="D1790" s="14" t="s">
        <v>182</v>
      </c>
      <c r="E1790" s="14" t="s">
        <v>166</v>
      </c>
      <c r="F1790" s="14" t="s">
        <v>183</v>
      </c>
      <c r="G1790" s="14" t="n">
        <v>1</v>
      </c>
      <c r="H1790" s="14" t="s">
        <v>154</v>
      </c>
      <c r="I1790" s="14" t="s">
        <v>892</v>
      </c>
      <c r="J1790" s="15" t="n">
        <f aca="false">IF(B1790="SITE LOSS",IF(D1790=C1790,1,0),IF(B1790="REGION LOSS",IF(E1790=C1790,1,0),0))</f>
        <v>0</v>
      </c>
      <c r="K1790" s="15" t="n">
        <f aca="false">IF(B1790="SITE LOSS",IF(COUNTIFS('Site Dockets'!$B$7:$B$24,C1790,'Site Dockets'!$C$7:$C$24,F1790)&gt;0,1,0),IF(B1790="REGION LOSS",IF(COUNTIFS('Site Dockets'!$E$7:$E$24,C1790,'Site Dockets'!$C$7:$C$24,F1790)&gt;0,1,0),0))</f>
        <v>0</v>
      </c>
      <c r="L1790" s="15" t="n">
        <f aca="false">IF(J1790=1,0,Inputs!$B$11)</f>
        <v>100</v>
      </c>
      <c r="M1790" s="15" t="n">
        <f aca="false">IF(J1790=1,0,Inputs!$B$12)</f>
        <v>75</v>
      </c>
      <c r="N1790" s="15" t="n">
        <f aca="false">IF(J1790=1,0,IF(OR(AND(OR(B1790="SITE LOSS",B1790="REGION LOSS"),K1790=1),AND(B1790="ROLE COMPROMISE",H1790=C1790)),Inputs!$B$13,Inputs!$B$14))</f>
        <v>10</v>
      </c>
      <c r="O1790" s="15" t="n">
        <f aca="false">IF(J1790=1,0,Inputs!$B$13)</f>
        <v>20</v>
      </c>
      <c r="P1790" s="15" t="n">
        <f aca="false">SUM(M1790:N1790)</f>
        <v>85</v>
      </c>
      <c r="Q1790" s="15" t="n">
        <f aca="false">IF(J1790=1,"",L1790-P1790)</f>
        <v>15</v>
      </c>
      <c r="R1790" s="15" t="n">
        <f aca="false">IF(OR(J1790=1,M1790&lt;=Inputs!$B$12),1,0)</f>
        <v>1</v>
      </c>
      <c r="S1790" s="15" t="n">
        <f aca="false">IF(OR(J1790=1,N1790&lt;=O1790),1,0)</f>
        <v>1</v>
      </c>
      <c r="T1790" s="15" t="str">
        <f aca="false">IF(J1790=1,"OFFLINE",IF(AND(Q1790&gt;=Inputs!$B$15,R1790=1,S1790=1,P1790&lt;=L1790),"PASS","FAIL"))</f>
        <v>PASS</v>
      </c>
    </row>
    <row r="1791" customFormat="false" ht="15" hidden="false" customHeight="false" outlineLevel="0" collapsed="false">
      <c r="A1791" s="14" t="s">
        <v>1035</v>
      </c>
      <c r="B1791" s="14" t="s">
        <v>1019</v>
      </c>
      <c r="C1791" s="14" t="s">
        <v>202</v>
      </c>
      <c r="D1791" s="14" t="s">
        <v>182</v>
      </c>
      <c r="E1791" s="14" t="s">
        <v>166</v>
      </c>
      <c r="F1791" s="14" t="s">
        <v>183</v>
      </c>
      <c r="G1791" s="14" t="n">
        <v>1</v>
      </c>
      <c r="H1791" s="14" t="s">
        <v>154</v>
      </c>
      <c r="I1791" s="14" t="s">
        <v>811</v>
      </c>
      <c r="J1791" s="15" t="n">
        <f aca="false">IF(B1791="SITE LOSS",IF(D1791=C1791,1,0),IF(B1791="REGION LOSS",IF(E1791=C1791,1,0),0))</f>
        <v>0</v>
      </c>
      <c r="K1791" s="15" t="n">
        <f aca="false">IF(B1791="SITE LOSS",IF(COUNTIFS('Site Dockets'!$B$7:$B$24,C1791,'Site Dockets'!$C$7:$C$24,F1791)&gt;0,1,0),IF(B1791="REGION LOSS",IF(COUNTIFS('Site Dockets'!$E$7:$E$24,C1791,'Site Dockets'!$C$7:$C$24,F1791)&gt;0,1,0),0))</f>
        <v>0</v>
      </c>
      <c r="L1791" s="15" t="n">
        <f aca="false">IF(J1791=1,0,Inputs!$B$11)</f>
        <v>100</v>
      </c>
      <c r="M1791" s="15" t="n">
        <f aca="false">IF(J1791=1,0,Inputs!$B$12)</f>
        <v>75</v>
      </c>
      <c r="N1791" s="15" t="n">
        <f aca="false">IF(J1791=1,0,IF(OR(AND(OR(B1791="SITE LOSS",B1791="REGION LOSS"),K1791=1),AND(B1791="ROLE COMPROMISE",H1791=C1791)),Inputs!$B$13,Inputs!$B$14))</f>
        <v>10</v>
      </c>
      <c r="O1791" s="15" t="n">
        <f aca="false">IF(J1791=1,0,Inputs!$B$13)</f>
        <v>20</v>
      </c>
      <c r="P1791" s="15" t="n">
        <f aca="false">SUM(M1791:N1791)</f>
        <v>85</v>
      </c>
      <c r="Q1791" s="15" t="n">
        <f aca="false">IF(J1791=1,"",L1791-P1791)</f>
        <v>15</v>
      </c>
      <c r="R1791" s="15" t="n">
        <f aca="false">IF(OR(J1791=1,M1791&lt;=Inputs!$B$12),1,0)</f>
        <v>1</v>
      </c>
      <c r="S1791" s="15" t="n">
        <f aca="false">IF(OR(J1791=1,N1791&lt;=O1791),1,0)</f>
        <v>1</v>
      </c>
      <c r="T1791" s="15" t="str">
        <f aca="false">IF(J1791=1,"OFFLINE",IF(AND(Q1791&gt;=Inputs!$B$15,R1791=1,S1791=1,P1791&lt;=L1791),"PASS","FAIL"))</f>
        <v>PASS</v>
      </c>
    </row>
    <row r="1792" customFormat="false" ht="15" hidden="false" customHeight="false" outlineLevel="0" collapsed="false">
      <c r="A1792" s="14" t="s">
        <v>1035</v>
      </c>
      <c r="B1792" s="14" t="s">
        <v>1019</v>
      </c>
      <c r="C1792" s="14" t="s">
        <v>202</v>
      </c>
      <c r="D1792" s="14" t="s">
        <v>182</v>
      </c>
      <c r="E1792" s="14" t="s">
        <v>166</v>
      </c>
      <c r="F1792" s="14" t="s">
        <v>183</v>
      </c>
      <c r="G1792" s="14" t="n">
        <v>1</v>
      </c>
      <c r="H1792" s="14" t="s">
        <v>154</v>
      </c>
      <c r="I1792" s="14" t="s">
        <v>895</v>
      </c>
      <c r="J1792" s="15" t="n">
        <f aca="false">IF(B1792="SITE LOSS",IF(D1792=C1792,1,0),IF(B1792="REGION LOSS",IF(E1792=C1792,1,0),0))</f>
        <v>0</v>
      </c>
      <c r="K1792" s="15" t="n">
        <f aca="false">IF(B1792="SITE LOSS",IF(COUNTIFS('Site Dockets'!$B$7:$B$24,C1792,'Site Dockets'!$C$7:$C$24,F1792)&gt;0,1,0),IF(B1792="REGION LOSS",IF(COUNTIFS('Site Dockets'!$E$7:$E$24,C1792,'Site Dockets'!$C$7:$C$24,F1792)&gt;0,1,0),0))</f>
        <v>0</v>
      </c>
      <c r="L1792" s="15" t="n">
        <f aca="false">IF(J1792=1,0,Inputs!$B$11)</f>
        <v>100</v>
      </c>
      <c r="M1792" s="15" t="n">
        <f aca="false">IF(J1792=1,0,Inputs!$B$12)</f>
        <v>75</v>
      </c>
      <c r="N1792" s="15" t="n">
        <f aca="false">IF(J1792=1,0,IF(OR(AND(OR(B1792="SITE LOSS",B1792="REGION LOSS"),K1792=1),AND(B1792="ROLE COMPROMISE",H1792=C1792)),Inputs!$B$13,Inputs!$B$14))</f>
        <v>10</v>
      </c>
      <c r="O1792" s="15" t="n">
        <f aca="false">IF(J1792=1,0,Inputs!$B$13)</f>
        <v>20</v>
      </c>
      <c r="P1792" s="15" t="n">
        <f aca="false">SUM(M1792:N1792)</f>
        <v>85</v>
      </c>
      <c r="Q1792" s="15" t="n">
        <f aca="false">IF(J1792=1,"",L1792-P1792)</f>
        <v>15</v>
      </c>
      <c r="R1792" s="15" t="n">
        <f aca="false">IF(OR(J1792=1,M1792&lt;=Inputs!$B$12),1,0)</f>
        <v>1</v>
      </c>
      <c r="S1792" s="15" t="n">
        <f aca="false">IF(OR(J1792=1,N1792&lt;=O1792),1,0)</f>
        <v>1</v>
      </c>
      <c r="T1792" s="15" t="str">
        <f aca="false">IF(J1792=1,"OFFLINE",IF(AND(Q1792&gt;=Inputs!$B$15,R1792=1,S1792=1,P1792&lt;=L1792),"PASS","FAIL"))</f>
        <v>PASS</v>
      </c>
    </row>
    <row r="1793" customFormat="false" ht="15" hidden="false" customHeight="false" outlineLevel="0" collapsed="false">
      <c r="A1793" s="14" t="s">
        <v>1035</v>
      </c>
      <c r="B1793" s="14" t="s">
        <v>1019</v>
      </c>
      <c r="C1793" s="14" t="s">
        <v>202</v>
      </c>
      <c r="D1793" s="14" t="s">
        <v>182</v>
      </c>
      <c r="E1793" s="14" t="s">
        <v>166</v>
      </c>
      <c r="F1793" s="14" t="s">
        <v>183</v>
      </c>
      <c r="G1793" s="14" t="n">
        <v>1</v>
      </c>
      <c r="H1793" s="14" t="s">
        <v>154</v>
      </c>
      <c r="I1793" s="14" t="s">
        <v>897</v>
      </c>
      <c r="J1793" s="15" t="n">
        <f aca="false">IF(B1793="SITE LOSS",IF(D1793=C1793,1,0),IF(B1793="REGION LOSS",IF(E1793=C1793,1,0),0))</f>
        <v>0</v>
      </c>
      <c r="K1793" s="15" t="n">
        <f aca="false">IF(B1793="SITE LOSS",IF(COUNTIFS('Site Dockets'!$B$7:$B$24,C1793,'Site Dockets'!$C$7:$C$24,F1793)&gt;0,1,0),IF(B1793="REGION LOSS",IF(COUNTIFS('Site Dockets'!$E$7:$E$24,C1793,'Site Dockets'!$C$7:$C$24,F1793)&gt;0,1,0),0))</f>
        <v>0</v>
      </c>
      <c r="L1793" s="15" t="n">
        <f aca="false">IF(J1793=1,0,Inputs!$B$11)</f>
        <v>100</v>
      </c>
      <c r="M1793" s="15" t="n">
        <f aca="false">IF(J1793=1,0,Inputs!$B$12)</f>
        <v>75</v>
      </c>
      <c r="N1793" s="15" t="n">
        <f aca="false">IF(J1793=1,0,IF(OR(AND(OR(B1793="SITE LOSS",B1793="REGION LOSS"),K1793=1),AND(B1793="ROLE COMPROMISE",H1793=C1793)),Inputs!$B$13,Inputs!$B$14))</f>
        <v>10</v>
      </c>
      <c r="O1793" s="15" t="n">
        <f aca="false">IF(J1793=1,0,Inputs!$B$13)</f>
        <v>20</v>
      </c>
      <c r="P1793" s="15" t="n">
        <f aca="false">SUM(M1793:N1793)</f>
        <v>85</v>
      </c>
      <c r="Q1793" s="15" t="n">
        <f aca="false">IF(J1793=1,"",L1793-P1793)</f>
        <v>15</v>
      </c>
      <c r="R1793" s="15" t="n">
        <f aca="false">IF(OR(J1793=1,M1793&lt;=Inputs!$B$12),1,0)</f>
        <v>1</v>
      </c>
      <c r="S1793" s="15" t="n">
        <f aca="false">IF(OR(J1793=1,N1793&lt;=O1793),1,0)</f>
        <v>1</v>
      </c>
      <c r="T1793" s="15" t="str">
        <f aca="false">IF(J1793=1,"OFFLINE",IF(AND(Q1793&gt;=Inputs!$B$15,R1793=1,S1793=1,P1793&lt;=L1793),"PASS","FAIL"))</f>
        <v>PASS</v>
      </c>
    </row>
    <row r="1794" customFormat="false" ht="15" hidden="false" customHeight="false" outlineLevel="0" collapsed="false">
      <c r="A1794" s="14" t="s">
        <v>1035</v>
      </c>
      <c r="B1794" s="14" t="s">
        <v>1019</v>
      </c>
      <c r="C1794" s="14" t="s">
        <v>202</v>
      </c>
      <c r="D1794" s="14" t="s">
        <v>182</v>
      </c>
      <c r="E1794" s="14" t="s">
        <v>166</v>
      </c>
      <c r="F1794" s="14" t="s">
        <v>183</v>
      </c>
      <c r="G1794" s="14" t="n">
        <v>1</v>
      </c>
      <c r="H1794" s="14" t="s">
        <v>154</v>
      </c>
      <c r="I1794" s="14" t="s">
        <v>899</v>
      </c>
      <c r="J1794" s="15" t="n">
        <f aca="false">IF(B1794="SITE LOSS",IF(D1794=C1794,1,0),IF(B1794="REGION LOSS",IF(E1794=C1794,1,0),0))</f>
        <v>0</v>
      </c>
      <c r="K1794" s="15" t="n">
        <f aca="false">IF(B1794="SITE LOSS",IF(COUNTIFS('Site Dockets'!$B$7:$B$24,C1794,'Site Dockets'!$C$7:$C$24,F1794)&gt;0,1,0),IF(B1794="REGION LOSS",IF(COUNTIFS('Site Dockets'!$E$7:$E$24,C1794,'Site Dockets'!$C$7:$C$24,F1794)&gt;0,1,0),0))</f>
        <v>0</v>
      </c>
      <c r="L1794" s="15" t="n">
        <f aca="false">IF(J1794=1,0,Inputs!$B$11)</f>
        <v>100</v>
      </c>
      <c r="M1794" s="15" t="n">
        <f aca="false">IF(J1794=1,0,Inputs!$B$12)</f>
        <v>75</v>
      </c>
      <c r="N1794" s="15" t="n">
        <f aca="false">IF(J1794=1,0,IF(OR(AND(OR(B1794="SITE LOSS",B1794="REGION LOSS"),K1794=1),AND(B1794="ROLE COMPROMISE",H1794=C1794)),Inputs!$B$13,Inputs!$B$14))</f>
        <v>10</v>
      </c>
      <c r="O1794" s="15" t="n">
        <f aca="false">IF(J1794=1,0,Inputs!$B$13)</f>
        <v>20</v>
      </c>
      <c r="P1794" s="15" t="n">
        <f aca="false">SUM(M1794:N1794)</f>
        <v>85</v>
      </c>
      <c r="Q1794" s="15" t="n">
        <f aca="false">IF(J1794=1,"",L1794-P1794)</f>
        <v>15</v>
      </c>
      <c r="R1794" s="15" t="n">
        <f aca="false">IF(OR(J1794=1,M1794&lt;=Inputs!$B$12),1,0)</f>
        <v>1</v>
      </c>
      <c r="S1794" s="15" t="n">
        <f aca="false">IF(OR(J1794=1,N1794&lt;=O1794),1,0)</f>
        <v>1</v>
      </c>
      <c r="T1794" s="15" t="str">
        <f aca="false">IF(J1794=1,"OFFLINE",IF(AND(Q1794&gt;=Inputs!$B$15,R1794=1,S1794=1,P1794&lt;=L1794),"PASS","FAIL"))</f>
        <v>PASS</v>
      </c>
    </row>
    <row r="1795" customFormat="false" ht="15" hidden="false" customHeight="false" outlineLevel="0" collapsed="false">
      <c r="A1795" s="14" t="s">
        <v>1035</v>
      </c>
      <c r="B1795" s="14" t="s">
        <v>1019</v>
      </c>
      <c r="C1795" s="14" t="s">
        <v>202</v>
      </c>
      <c r="D1795" s="14" t="s">
        <v>186</v>
      </c>
      <c r="E1795" s="14" t="s">
        <v>157</v>
      </c>
      <c r="F1795" s="14" t="s">
        <v>183</v>
      </c>
      <c r="G1795" s="14" t="n">
        <v>2</v>
      </c>
      <c r="H1795" s="14" t="s">
        <v>153</v>
      </c>
      <c r="I1795" s="14" t="s">
        <v>890</v>
      </c>
      <c r="J1795" s="15" t="n">
        <f aca="false">IF(B1795="SITE LOSS",IF(D1795=C1795,1,0),IF(B1795="REGION LOSS",IF(E1795=C1795,1,0),0))</f>
        <v>0</v>
      </c>
      <c r="K1795" s="15" t="n">
        <f aca="false">IF(B1795="SITE LOSS",IF(COUNTIFS('Site Dockets'!$B$7:$B$24,C1795,'Site Dockets'!$C$7:$C$24,F1795)&gt;0,1,0),IF(B1795="REGION LOSS",IF(COUNTIFS('Site Dockets'!$E$7:$E$24,C1795,'Site Dockets'!$C$7:$C$24,F1795)&gt;0,1,0),0))</f>
        <v>0</v>
      </c>
      <c r="L1795" s="15" t="n">
        <f aca="false">IF(J1795=1,0,Inputs!$B$11)</f>
        <v>100</v>
      </c>
      <c r="M1795" s="15" t="n">
        <f aca="false">IF(J1795=1,0,Inputs!$B$12)</f>
        <v>75</v>
      </c>
      <c r="N1795" s="15" t="n">
        <f aca="false">IF(J1795=1,0,IF(OR(AND(OR(B1795="SITE LOSS",B1795="REGION LOSS"),K1795=1),AND(B1795="ROLE COMPROMISE",H1795=C1795)),Inputs!$B$13,Inputs!$B$14))</f>
        <v>10</v>
      </c>
      <c r="O1795" s="15" t="n">
        <f aca="false">IF(J1795=1,0,Inputs!$B$13)</f>
        <v>20</v>
      </c>
      <c r="P1795" s="15" t="n">
        <f aca="false">SUM(M1795:N1795)</f>
        <v>85</v>
      </c>
      <c r="Q1795" s="15" t="n">
        <f aca="false">IF(J1795=1,"",L1795-P1795)</f>
        <v>15</v>
      </c>
      <c r="R1795" s="15" t="n">
        <f aca="false">IF(OR(J1795=1,M1795&lt;=Inputs!$B$12),1,0)</f>
        <v>1</v>
      </c>
      <c r="S1795" s="15" t="n">
        <f aca="false">IF(OR(J1795=1,N1795&lt;=O1795),1,0)</f>
        <v>1</v>
      </c>
      <c r="T1795" s="15" t="str">
        <f aca="false">IF(J1795=1,"OFFLINE",IF(AND(Q1795&gt;=Inputs!$B$15,R1795=1,S1795=1,P1795&lt;=L1795),"PASS","FAIL"))</f>
        <v>PASS</v>
      </c>
    </row>
    <row r="1796" customFormat="false" ht="15" hidden="false" customHeight="false" outlineLevel="0" collapsed="false">
      <c r="A1796" s="14" t="s">
        <v>1035</v>
      </c>
      <c r="B1796" s="14" t="s">
        <v>1019</v>
      </c>
      <c r="C1796" s="14" t="s">
        <v>202</v>
      </c>
      <c r="D1796" s="14" t="s">
        <v>186</v>
      </c>
      <c r="E1796" s="14" t="s">
        <v>157</v>
      </c>
      <c r="F1796" s="14" t="s">
        <v>183</v>
      </c>
      <c r="G1796" s="14" t="n">
        <v>2</v>
      </c>
      <c r="H1796" s="14" t="s">
        <v>153</v>
      </c>
      <c r="I1796" s="14" t="s">
        <v>892</v>
      </c>
      <c r="J1796" s="15" t="n">
        <f aca="false">IF(B1796="SITE LOSS",IF(D1796=C1796,1,0),IF(B1796="REGION LOSS",IF(E1796=C1796,1,0),0))</f>
        <v>0</v>
      </c>
      <c r="K1796" s="15" t="n">
        <f aca="false">IF(B1796="SITE LOSS",IF(COUNTIFS('Site Dockets'!$B$7:$B$24,C1796,'Site Dockets'!$C$7:$C$24,F1796)&gt;0,1,0),IF(B1796="REGION LOSS",IF(COUNTIFS('Site Dockets'!$E$7:$E$24,C1796,'Site Dockets'!$C$7:$C$24,F1796)&gt;0,1,0),0))</f>
        <v>0</v>
      </c>
      <c r="L1796" s="15" t="n">
        <f aca="false">IF(J1796=1,0,Inputs!$B$11)</f>
        <v>100</v>
      </c>
      <c r="M1796" s="15" t="n">
        <f aca="false">IF(J1796=1,0,Inputs!$B$12)</f>
        <v>75</v>
      </c>
      <c r="N1796" s="15" t="n">
        <f aca="false">IF(J1796=1,0,IF(OR(AND(OR(B1796="SITE LOSS",B1796="REGION LOSS"),K1796=1),AND(B1796="ROLE COMPROMISE",H1796=C1796)),Inputs!$B$13,Inputs!$B$14))</f>
        <v>10</v>
      </c>
      <c r="O1796" s="15" t="n">
        <f aca="false">IF(J1796=1,0,Inputs!$B$13)</f>
        <v>20</v>
      </c>
      <c r="P1796" s="15" t="n">
        <f aca="false">SUM(M1796:N1796)</f>
        <v>85</v>
      </c>
      <c r="Q1796" s="15" t="n">
        <f aca="false">IF(J1796=1,"",L1796-P1796)</f>
        <v>15</v>
      </c>
      <c r="R1796" s="15" t="n">
        <f aca="false">IF(OR(J1796=1,M1796&lt;=Inputs!$B$12),1,0)</f>
        <v>1</v>
      </c>
      <c r="S1796" s="15" t="n">
        <f aca="false">IF(OR(J1796=1,N1796&lt;=O1796),1,0)</f>
        <v>1</v>
      </c>
      <c r="T1796" s="15" t="str">
        <f aca="false">IF(J1796=1,"OFFLINE",IF(AND(Q1796&gt;=Inputs!$B$15,R1796=1,S1796=1,P1796&lt;=L1796),"PASS","FAIL"))</f>
        <v>PASS</v>
      </c>
    </row>
    <row r="1797" customFormat="false" ht="15" hidden="false" customHeight="false" outlineLevel="0" collapsed="false">
      <c r="A1797" s="14" t="s">
        <v>1035</v>
      </c>
      <c r="B1797" s="14" t="s">
        <v>1019</v>
      </c>
      <c r="C1797" s="14" t="s">
        <v>202</v>
      </c>
      <c r="D1797" s="14" t="s">
        <v>186</v>
      </c>
      <c r="E1797" s="14" t="s">
        <v>157</v>
      </c>
      <c r="F1797" s="14" t="s">
        <v>183</v>
      </c>
      <c r="G1797" s="14" t="n">
        <v>2</v>
      </c>
      <c r="H1797" s="14" t="s">
        <v>153</v>
      </c>
      <c r="I1797" s="14" t="s">
        <v>811</v>
      </c>
      <c r="J1797" s="15" t="n">
        <f aca="false">IF(B1797="SITE LOSS",IF(D1797=C1797,1,0),IF(B1797="REGION LOSS",IF(E1797=C1797,1,0),0))</f>
        <v>0</v>
      </c>
      <c r="K1797" s="15" t="n">
        <f aca="false">IF(B1797="SITE LOSS",IF(COUNTIFS('Site Dockets'!$B$7:$B$24,C1797,'Site Dockets'!$C$7:$C$24,F1797)&gt;0,1,0),IF(B1797="REGION LOSS",IF(COUNTIFS('Site Dockets'!$E$7:$E$24,C1797,'Site Dockets'!$C$7:$C$24,F1797)&gt;0,1,0),0))</f>
        <v>0</v>
      </c>
      <c r="L1797" s="15" t="n">
        <f aca="false">IF(J1797=1,0,Inputs!$B$11)</f>
        <v>100</v>
      </c>
      <c r="M1797" s="15" t="n">
        <f aca="false">IF(J1797=1,0,Inputs!$B$12)</f>
        <v>75</v>
      </c>
      <c r="N1797" s="15" t="n">
        <f aca="false">IF(J1797=1,0,IF(OR(AND(OR(B1797="SITE LOSS",B1797="REGION LOSS"),K1797=1),AND(B1797="ROLE COMPROMISE",H1797=C1797)),Inputs!$B$13,Inputs!$B$14))</f>
        <v>10</v>
      </c>
      <c r="O1797" s="15" t="n">
        <f aca="false">IF(J1797=1,0,Inputs!$B$13)</f>
        <v>20</v>
      </c>
      <c r="P1797" s="15" t="n">
        <f aca="false">SUM(M1797:N1797)</f>
        <v>85</v>
      </c>
      <c r="Q1797" s="15" t="n">
        <f aca="false">IF(J1797=1,"",L1797-P1797)</f>
        <v>15</v>
      </c>
      <c r="R1797" s="15" t="n">
        <f aca="false">IF(OR(J1797=1,M1797&lt;=Inputs!$B$12),1,0)</f>
        <v>1</v>
      </c>
      <c r="S1797" s="15" t="n">
        <f aca="false">IF(OR(J1797=1,N1797&lt;=O1797),1,0)</f>
        <v>1</v>
      </c>
      <c r="T1797" s="15" t="str">
        <f aca="false">IF(J1797=1,"OFFLINE",IF(AND(Q1797&gt;=Inputs!$B$15,R1797=1,S1797=1,P1797&lt;=L1797),"PASS","FAIL"))</f>
        <v>PASS</v>
      </c>
    </row>
    <row r="1798" customFormat="false" ht="15" hidden="false" customHeight="false" outlineLevel="0" collapsed="false">
      <c r="A1798" s="14" t="s">
        <v>1035</v>
      </c>
      <c r="B1798" s="14" t="s">
        <v>1019</v>
      </c>
      <c r="C1798" s="14" t="s">
        <v>202</v>
      </c>
      <c r="D1798" s="14" t="s">
        <v>186</v>
      </c>
      <c r="E1798" s="14" t="s">
        <v>157</v>
      </c>
      <c r="F1798" s="14" t="s">
        <v>183</v>
      </c>
      <c r="G1798" s="14" t="n">
        <v>2</v>
      </c>
      <c r="H1798" s="14" t="s">
        <v>153</v>
      </c>
      <c r="I1798" s="14" t="s">
        <v>895</v>
      </c>
      <c r="J1798" s="15" t="n">
        <f aca="false">IF(B1798="SITE LOSS",IF(D1798=C1798,1,0),IF(B1798="REGION LOSS",IF(E1798=C1798,1,0),0))</f>
        <v>0</v>
      </c>
      <c r="K1798" s="15" t="n">
        <f aca="false">IF(B1798="SITE LOSS",IF(COUNTIFS('Site Dockets'!$B$7:$B$24,C1798,'Site Dockets'!$C$7:$C$24,F1798)&gt;0,1,0),IF(B1798="REGION LOSS",IF(COUNTIFS('Site Dockets'!$E$7:$E$24,C1798,'Site Dockets'!$C$7:$C$24,F1798)&gt;0,1,0),0))</f>
        <v>0</v>
      </c>
      <c r="L1798" s="15" t="n">
        <f aca="false">IF(J1798=1,0,Inputs!$B$11)</f>
        <v>100</v>
      </c>
      <c r="M1798" s="15" t="n">
        <f aca="false">IF(J1798=1,0,Inputs!$B$12)</f>
        <v>75</v>
      </c>
      <c r="N1798" s="15" t="n">
        <f aca="false">IF(J1798=1,0,IF(OR(AND(OR(B1798="SITE LOSS",B1798="REGION LOSS"),K1798=1),AND(B1798="ROLE COMPROMISE",H1798=C1798)),Inputs!$B$13,Inputs!$B$14))</f>
        <v>10</v>
      </c>
      <c r="O1798" s="15" t="n">
        <f aca="false">IF(J1798=1,0,Inputs!$B$13)</f>
        <v>20</v>
      </c>
      <c r="P1798" s="15" t="n">
        <f aca="false">SUM(M1798:N1798)</f>
        <v>85</v>
      </c>
      <c r="Q1798" s="15" t="n">
        <f aca="false">IF(J1798=1,"",L1798-P1798)</f>
        <v>15</v>
      </c>
      <c r="R1798" s="15" t="n">
        <f aca="false">IF(OR(J1798=1,M1798&lt;=Inputs!$B$12),1,0)</f>
        <v>1</v>
      </c>
      <c r="S1798" s="15" t="n">
        <f aca="false">IF(OR(J1798=1,N1798&lt;=O1798),1,0)</f>
        <v>1</v>
      </c>
      <c r="T1798" s="15" t="str">
        <f aca="false">IF(J1798=1,"OFFLINE",IF(AND(Q1798&gt;=Inputs!$B$15,R1798=1,S1798=1,P1798&lt;=L1798),"PASS","FAIL"))</f>
        <v>PASS</v>
      </c>
    </row>
    <row r="1799" customFormat="false" ht="15" hidden="false" customHeight="false" outlineLevel="0" collapsed="false">
      <c r="A1799" s="14" t="s">
        <v>1035</v>
      </c>
      <c r="B1799" s="14" t="s">
        <v>1019</v>
      </c>
      <c r="C1799" s="14" t="s">
        <v>202</v>
      </c>
      <c r="D1799" s="14" t="s">
        <v>186</v>
      </c>
      <c r="E1799" s="14" t="s">
        <v>157</v>
      </c>
      <c r="F1799" s="14" t="s">
        <v>183</v>
      </c>
      <c r="G1799" s="14" t="n">
        <v>2</v>
      </c>
      <c r="H1799" s="14" t="s">
        <v>153</v>
      </c>
      <c r="I1799" s="14" t="s">
        <v>897</v>
      </c>
      <c r="J1799" s="15" t="n">
        <f aca="false">IF(B1799="SITE LOSS",IF(D1799=C1799,1,0),IF(B1799="REGION LOSS",IF(E1799=C1799,1,0),0))</f>
        <v>0</v>
      </c>
      <c r="K1799" s="15" t="n">
        <f aca="false">IF(B1799="SITE LOSS",IF(COUNTIFS('Site Dockets'!$B$7:$B$24,C1799,'Site Dockets'!$C$7:$C$24,F1799)&gt;0,1,0),IF(B1799="REGION LOSS",IF(COUNTIFS('Site Dockets'!$E$7:$E$24,C1799,'Site Dockets'!$C$7:$C$24,F1799)&gt;0,1,0),0))</f>
        <v>0</v>
      </c>
      <c r="L1799" s="15" t="n">
        <f aca="false">IF(J1799=1,0,Inputs!$B$11)</f>
        <v>100</v>
      </c>
      <c r="M1799" s="15" t="n">
        <f aca="false">IF(J1799=1,0,Inputs!$B$12)</f>
        <v>75</v>
      </c>
      <c r="N1799" s="15" t="n">
        <f aca="false">IF(J1799=1,0,IF(OR(AND(OR(B1799="SITE LOSS",B1799="REGION LOSS"),K1799=1),AND(B1799="ROLE COMPROMISE",H1799=C1799)),Inputs!$B$13,Inputs!$B$14))</f>
        <v>10</v>
      </c>
      <c r="O1799" s="15" t="n">
        <f aca="false">IF(J1799=1,0,Inputs!$B$13)</f>
        <v>20</v>
      </c>
      <c r="P1799" s="15" t="n">
        <f aca="false">SUM(M1799:N1799)</f>
        <v>85</v>
      </c>
      <c r="Q1799" s="15" t="n">
        <f aca="false">IF(J1799=1,"",L1799-P1799)</f>
        <v>15</v>
      </c>
      <c r="R1799" s="15" t="n">
        <f aca="false">IF(OR(J1799=1,M1799&lt;=Inputs!$B$12),1,0)</f>
        <v>1</v>
      </c>
      <c r="S1799" s="15" t="n">
        <f aca="false">IF(OR(J1799=1,N1799&lt;=O1799),1,0)</f>
        <v>1</v>
      </c>
      <c r="T1799" s="15" t="str">
        <f aca="false">IF(J1799=1,"OFFLINE",IF(AND(Q1799&gt;=Inputs!$B$15,R1799=1,S1799=1,P1799&lt;=L1799),"PASS","FAIL"))</f>
        <v>PASS</v>
      </c>
    </row>
    <row r="1800" customFormat="false" ht="15" hidden="false" customHeight="false" outlineLevel="0" collapsed="false">
      <c r="A1800" s="14" t="s">
        <v>1035</v>
      </c>
      <c r="B1800" s="14" t="s">
        <v>1019</v>
      </c>
      <c r="C1800" s="14" t="s">
        <v>202</v>
      </c>
      <c r="D1800" s="14" t="s">
        <v>186</v>
      </c>
      <c r="E1800" s="14" t="s">
        <v>157</v>
      </c>
      <c r="F1800" s="14" t="s">
        <v>183</v>
      </c>
      <c r="G1800" s="14" t="n">
        <v>2</v>
      </c>
      <c r="H1800" s="14" t="s">
        <v>153</v>
      </c>
      <c r="I1800" s="14" t="s">
        <v>899</v>
      </c>
      <c r="J1800" s="15" t="n">
        <f aca="false">IF(B1800="SITE LOSS",IF(D1800=C1800,1,0),IF(B1800="REGION LOSS",IF(E1800=C1800,1,0),0))</f>
        <v>0</v>
      </c>
      <c r="K1800" s="15" t="n">
        <f aca="false">IF(B1800="SITE LOSS",IF(COUNTIFS('Site Dockets'!$B$7:$B$24,C1800,'Site Dockets'!$C$7:$C$24,F1800)&gt;0,1,0),IF(B1800="REGION LOSS",IF(COUNTIFS('Site Dockets'!$E$7:$E$24,C1800,'Site Dockets'!$C$7:$C$24,F1800)&gt;0,1,0),0))</f>
        <v>0</v>
      </c>
      <c r="L1800" s="15" t="n">
        <f aca="false">IF(J1800=1,0,Inputs!$B$11)</f>
        <v>100</v>
      </c>
      <c r="M1800" s="15" t="n">
        <f aca="false">IF(J1800=1,0,Inputs!$B$12)</f>
        <v>75</v>
      </c>
      <c r="N1800" s="15" t="n">
        <f aca="false">IF(J1800=1,0,IF(OR(AND(OR(B1800="SITE LOSS",B1800="REGION LOSS"),K1800=1),AND(B1800="ROLE COMPROMISE",H1800=C1800)),Inputs!$B$13,Inputs!$B$14))</f>
        <v>10</v>
      </c>
      <c r="O1800" s="15" t="n">
        <f aca="false">IF(J1800=1,0,Inputs!$B$13)</f>
        <v>20</v>
      </c>
      <c r="P1800" s="15" t="n">
        <f aca="false">SUM(M1800:N1800)</f>
        <v>85</v>
      </c>
      <c r="Q1800" s="15" t="n">
        <f aca="false">IF(J1800=1,"",L1800-P1800)</f>
        <v>15</v>
      </c>
      <c r="R1800" s="15" t="n">
        <f aca="false">IF(OR(J1800=1,M1800&lt;=Inputs!$B$12),1,0)</f>
        <v>1</v>
      </c>
      <c r="S1800" s="15" t="n">
        <f aca="false">IF(OR(J1800=1,N1800&lt;=O1800),1,0)</f>
        <v>1</v>
      </c>
      <c r="T1800" s="15" t="str">
        <f aca="false">IF(J1800=1,"OFFLINE",IF(AND(Q1800&gt;=Inputs!$B$15,R1800=1,S1800=1,P1800&lt;=L1800),"PASS","FAIL"))</f>
        <v>PASS</v>
      </c>
    </row>
    <row r="1801" customFormat="false" ht="15" hidden="false" customHeight="false" outlineLevel="0" collapsed="false">
      <c r="A1801" s="14" t="s">
        <v>1035</v>
      </c>
      <c r="B1801" s="14" t="s">
        <v>1019</v>
      </c>
      <c r="C1801" s="14" t="s">
        <v>202</v>
      </c>
      <c r="D1801" s="14" t="s">
        <v>188</v>
      </c>
      <c r="E1801" s="14" t="s">
        <v>172</v>
      </c>
      <c r="F1801" s="14" t="s">
        <v>183</v>
      </c>
      <c r="G1801" s="14" t="n">
        <v>3</v>
      </c>
      <c r="H1801" s="14" t="s">
        <v>158</v>
      </c>
      <c r="I1801" s="14" t="s">
        <v>890</v>
      </c>
      <c r="J1801" s="15" t="n">
        <f aca="false">IF(B1801="SITE LOSS",IF(D1801=C1801,1,0),IF(B1801="REGION LOSS",IF(E1801=C1801,1,0),0))</f>
        <v>0</v>
      </c>
      <c r="K1801" s="15" t="n">
        <f aca="false">IF(B1801="SITE LOSS",IF(COUNTIFS('Site Dockets'!$B$7:$B$24,C1801,'Site Dockets'!$C$7:$C$24,F1801)&gt;0,1,0),IF(B1801="REGION LOSS",IF(COUNTIFS('Site Dockets'!$E$7:$E$24,C1801,'Site Dockets'!$C$7:$C$24,F1801)&gt;0,1,0),0))</f>
        <v>0</v>
      </c>
      <c r="L1801" s="15" t="n">
        <f aca="false">IF(J1801=1,0,Inputs!$B$11)</f>
        <v>100</v>
      </c>
      <c r="M1801" s="15" t="n">
        <f aca="false">IF(J1801=1,0,Inputs!$B$12)</f>
        <v>75</v>
      </c>
      <c r="N1801" s="15" t="n">
        <f aca="false">IF(J1801=1,0,IF(OR(AND(OR(B1801="SITE LOSS",B1801="REGION LOSS"),K1801=1),AND(B1801="ROLE COMPROMISE",H1801=C1801)),Inputs!$B$13,Inputs!$B$14))</f>
        <v>10</v>
      </c>
      <c r="O1801" s="15" t="n">
        <f aca="false">IF(J1801=1,0,Inputs!$B$13)</f>
        <v>20</v>
      </c>
      <c r="P1801" s="15" t="n">
        <f aca="false">SUM(M1801:N1801)</f>
        <v>85</v>
      </c>
      <c r="Q1801" s="15" t="n">
        <f aca="false">IF(J1801=1,"",L1801-P1801)</f>
        <v>15</v>
      </c>
      <c r="R1801" s="15" t="n">
        <f aca="false">IF(OR(J1801=1,M1801&lt;=Inputs!$B$12),1,0)</f>
        <v>1</v>
      </c>
      <c r="S1801" s="15" t="n">
        <f aca="false">IF(OR(J1801=1,N1801&lt;=O1801),1,0)</f>
        <v>1</v>
      </c>
      <c r="T1801" s="15" t="str">
        <f aca="false">IF(J1801=1,"OFFLINE",IF(AND(Q1801&gt;=Inputs!$B$15,R1801=1,S1801=1,P1801&lt;=L1801),"PASS","FAIL"))</f>
        <v>PASS</v>
      </c>
    </row>
    <row r="1802" customFormat="false" ht="15" hidden="false" customHeight="false" outlineLevel="0" collapsed="false">
      <c r="A1802" s="14" t="s">
        <v>1035</v>
      </c>
      <c r="B1802" s="14" t="s">
        <v>1019</v>
      </c>
      <c r="C1802" s="14" t="s">
        <v>202</v>
      </c>
      <c r="D1802" s="14" t="s">
        <v>188</v>
      </c>
      <c r="E1802" s="14" t="s">
        <v>172</v>
      </c>
      <c r="F1802" s="14" t="s">
        <v>183</v>
      </c>
      <c r="G1802" s="14" t="n">
        <v>3</v>
      </c>
      <c r="H1802" s="14" t="s">
        <v>158</v>
      </c>
      <c r="I1802" s="14" t="s">
        <v>892</v>
      </c>
      <c r="J1802" s="15" t="n">
        <f aca="false">IF(B1802="SITE LOSS",IF(D1802=C1802,1,0),IF(B1802="REGION LOSS",IF(E1802=C1802,1,0),0))</f>
        <v>0</v>
      </c>
      <c r="K1802" s="15" t="n">
        <f aca="false">IF(B1802="SITE LOSS",IF(COUNTIFS('Site Dockets'!$B$7:$B$24,C1802,'Site Dockets'!$C$7:$C$24,F1802)&gt;0,1,0),IF(B1802="REGION LOSS",IF(COUNTIFS('Site Dockets'!$E$7:$E$24,C1802,'Site Dockets'!$C$7:$C$24,F1802)&gt;0,1,0),0))</f>
        <v>0</v>
      </c>
      <c r="L1802" s="15" t="n">
        <f aca="false">IF(J1802=1,0,Inputs!$B$11)</f>
        <v>100</v>
      </c>
      <c r="M1802" s="15" t="n">
        <f aca="false">IF(J1802=1,0,Inputs!$B$12)</f>
        <v>75</v>
      </c>
      <c r="N1802" s="15" t="n">
        <f aca="false">IF(J1802=1,0,IF(OR(AND(OR(B1802="SITE LOSS",B1802="REGION LOSS"),K1802=1),AND(B1802="ROLE COMPROMISE",H1802=C1802)),Inputs!$B$13,Inputs!$B$14))</f>
        <v>10</v>
      </c>
      <c r="O1802" s="15" t="n">
        <f aca="false">IF(J1802=1,0,Inputs!$B$13)</f>
        <v>20</v>
      </c>
      <c r="P1802" s="15" t="n">
        <f aca="false">SUM(M1802:N1802)</f>
        <v>85</v>
      </c>
      <c r="Q1802" s="15" t="n">
        <f aca="false">IF(J1802=1,"",L1802-P1802)</f>
        <v>15</v>
      </c>
      <c r="R1802" s="15" t="n">
        <f aca="false">IF(OR(J1802=1,M1802&lt;=Inputs!$B$12),1,0)</f>
        <v>1</v>
      </c>
      <c r="S1802" s="15" t="n">
        <f aca="false">IF(OR(J1802=1,N1802&lt;=O1802),1,0)</f>
        <v>1</v>
      </c>
      <c r="T1802" s="15" t="str">
        <f aca="false">IF(J1802=1,"OFFLINE",IF(AND(Q1802&gt;=Inputs!$B$15,R1802=1,S1802=1,P1802&lt;=L1802),"PASS","FAIL"))</f>
        <v>PASS</v>
      </c>
    </row>
    <row r="1803" customFormat="false" ht="15" hidden="false" customHeight="false" outlineLevel="0" collapsed="false">
      <c r="A1803" s="14" t="s">
        <v>1035</v>
      </c>
      <c r="B1803" s="14" t="s">
        <v>1019</v>
      </c>
      <c r="C1803" s="14" t="s">
        <v>202</v>
      </c>
      <c r="D1803" s="14" t="s">
        <v>188</v>
      </c>
      <c r="E1803" s="14" t="s">
        <v>172</v>
      </c>
      <c r="F1803" s="14" t="s">
        <v>183</v>
      </c>
      <c r="G1803" s="14" t="n">
        <v>3</v>
      </c>
      <c r="H1803" s="14" t="s">
        <v>158</v>
      </c>
      <c r="I1803" s="14" t="s">
        <v>811</v>
      </c>
      <c r="J1803" s="15" t="n">
        <f aca="false">IF(B1803="SITE LOSS",IF(D1803=C1803,1,0),IF(B1803="REGION LOSS",IF(E1803=C1803,1,0),0))</f>
        <v>0</v>
      </c>
      <c r="K1803" s="15" t="n">
        <f aca="false">IF(B1803="SITE LOSS",IF(COUNTIFS('Site Dockets'!$B$7:$B$24,C1803,'Site Dockets'!$C$7:$C$24,F1803)&gt;0,1,0),IF(B1803="REGION LOSS",IF(COUNTIFS('Site Dockets'!$E$7:$E$24,C1803,'Site Dockets'!$C$7:$C$24,F1803)&gt;0,1,0),0))</f>
        <v>0</v>
      </c>
      <c r="L1803" s="15" t="n">
        <f aca="false">IF(J1803=1,0,Inputs!$B$11)</f>
        <v>100</v>
      </c>
      <c r="M1803" s="15" t="n">
        <f aca="false">IF(J1803=1,0,Inputs!$B$12)</f>
        <v>75</v>
      </c>
      <c r="N1803" s="15" t="n">
        <f aca="false">IF(J1803=1,0,IF(OR(AND(OR(B1803="SITE LOSS",B1803="REGION LOSS"),K1803=1),AND(B1803="ROLE COMPROMISE",H1803=C1803)),Inputs!$B$13,Inputs!$B$14))</f>
        <v>10</v>
      </c>
      <c r="O1803" s="15" t="n">
        <f aca="false">IF(J1803=1,0,Inputs!$B$13)</f>
        <v>20</v>
      </c>
      <c r="P1803" s="15" t="n">
        <f aca="false">SUM(M1803:N1803)</f>
        <v>85</v>
      </c>
      <c r="Q1803" s="15" t="n">
        <f aca="false">IF(J1803=1,"",L1803-P1803)</f>
        <v>15</v>
      </c>
      <c r="R1803" s="15" t="n">
        <f aca="false">IF(OR(J1803=1,M1803&lt;=Inputs!$B$12),1,0)</f>
        <v>1</v>
      </c>
      <c r="S1803" s="15" t="n">
        <f aca="false">IF(OR(J1803=1,N1803&lt;=O1803),1,0)</f>
        <v>1</v>
      </c>
      <c r="T1803" s="15" t="str">
        <f aca="false">IF(J1803=1,"OFFLINE",IF(AND(Q1803&gt;=Inputs!$B$15,R1803=1,S1803=1,P1803&lt;=L1803),"PASS","FAIL"))</f>
        <v>PASS</v>
      </c>
    </row>
    <row r="1804" customFormat="false" ht="15" hidden="false" customHeight="false" outlineLevel="0" collapsed="false">
      <c r="A1804" s="14" t="s">
        <v>1035</v>
      </c>
      <c r="B1804" s="14" t="s">
        <v>1019</v>
      </c>
      <c r="C1804" s="14" t="s">
        <v>202</v>
      </c>
      <c r="D1804" s="14" t="s">
        <v>188</v>
      </c>
      <c r="E1804" s="14" t="s">
        <v>172</v>
      </c>
      <c r="F1804" s="14" t="s">
        <v>183</v>
      </c>
      <c r="G1804" s="14" t="n">
        <v>3</v>
      </c>
      <c r="H1804" s="14" t="s">
        <v>158</v>
      </c>
      <c r="I1804" s="14" t="s">
        <v>895</v>
      </c>
      <c r="J1804" s="15" t="n">
        <f aca="false">IF(B1804="SITE LOSS",IF(D1804=C1804,1,0),IF(B1804="REGION LOSS",IF(E1804=C1804,1,0),0))</f>
        <v>0</v>
      </c>
      <c r="K1804" s="15" t="n">
        <f aca="false">IF(B1804="SITE LOSS",IF(COUNTIFS('Site Dockets'!$B$7:$B$24,C1804,'Site Dockets'!$C$7:$C$24,F1804)&gt;0,1,0),IF(B1804="REGION LOSS",IF(COUNTIFS('Site Dockets'!$E$7:$E$24,C1804,'Site Dockets'!$C$7:$C$24,F1804)&gt;0,1,0),0))</f>
        <v>0</v>
      </c>
      <c r="L1804" s="15" t="n">
        <f aca="false">IF(J1804=1,0,Inputs!$B$11)</f>
        <v>100</v>
      </c>
      <c r="M1804" s="15" t="n">
        <f aca="false">IF(J1804=1,0,Inputs!$B$12)</f>
        <v>75</v>
      </c>
      <c r="N1804" s="15" t="n">
        <f aca="false">IF(J1804=1,0,IF(OR(AND(OR(B1804="SITE LOSS",B1804="REGION LOSS"),K1804=1),AND(B1804="ROLE COMPROMISE",H1804=C1804)),Inputs!$B$13,Inputs!$B$14))</f>
        <v>10</v>
      </c>
      <c r="O1804" s="15" t="n">
        <f aca="false">IF(J1804=1,0,Inputs!$B$13)</f>
        <v>20</v>
      </c>
      <c r="P1804" s="15" t="n">
        <f aca="false">SUM(M1804:N1804)</f>
        <v>85</v>
      </c>
      <c r="Q1804" s="15" t="n">
        <f aca="false">IF(J1804=1,"",L1804-P1804)</f>
        <v>15</v>
      </c>
      <c r="R1804" s="15" t="n">
        <f aca="false">IF(OR(J1804=1,M1804&lt;=Inputs!$B$12),1,0)</f>
        <v>1</v>
      </c>
      <c r="S1804" s="15" t="n">
        <f aca="false">IF(OR(J1804=1,N1804&lt;=O1804),1,0)</f>
        <v>1</v>
      </c>
      <c r="T1804" s="15" t="str">
        <f aca="false">IF(J1804=1,"OFFLINE",IF(AND(Q1804&gt;=Inputs!$B$15,R1804=1,S1804=1,P1804&lt;=L1804),"PASS","FAIL"))</f>
        <v>PASS</v>
      </c>
    </row>
    <row r="1805" customFormat="false" ht="15" hidden="false" customHeight="false" outlineLevel="0" collapsed="false">
      <c r="A1805" s="14" t="s">
        <v>1035</v>
      </c>
      <c r="B1805" s="14" t="s">
        <v>1019</v>
      </c>
      <c r="C1805" s="14" t="s">
        <v>202</v>
      </c>
      <c r="D1805" s="14" t="s">
        <v>188</v>
      </c>
      <c r="E1805" s="14" t="s">
        <v>172</v>
      </c>
      <c r="F1805" s="14" t="s">
        <v>183</v>
      </c>
      <c r="G1805" s="14" t="n">
        <v>3</v>
      </c>
      <c r="H1805" s="14" t="s">
        <v>158</v>
      </c>
      <c r="I1805" s="14" t="s">
        <v>897</v>
      </c>
      <c r="J1805" s="15" t="n">
        <f aca="false">IF(B1805="SITE LOSS",IF(D1805=C1805,1,0),IF(B1805="REGION LOSS",IF(E1805=C1805,1,0),0))</f>
        <v>0</v>
      </c>
      <c r="K1805" s="15" t="n">
        <f aca="false">IF(B1805="SITE LOSS",IF(COUNTIFS('Site Dockets'!$B$7:$B$24,C1805,'Site Dockets'!$C$7:$C$24,F1805)&gt;0,1,0),IF(B1805="REGION LOSS",IF(COUNTIFS('Site Dockets'!$E$7:$E$24,C1805,'Site Dockets'!$C$7:$C$24,F1805)&gt;0,1,0),0))</f>
        <v>0</v>
      </c>
      <c r="L1805" s="15" t="n">
        <f aca="false">IF(J1805=1,0,Inputs!$B$11)</f>
        <v>100</v>
      </c>
      <c r="M1805" s="15" t="n">
        <f aca="false">IF(J1805=1,0,Inputs!$B$12)</f>
        <v>75</v>
      </c>
      <c r="N1805" s="15" t="n">
        <f aca="false">IF(J1805=1,0,IF(OR(AND(OR(B1805="SITE LOSS",B1805="REGION LOSS"),K1805=1),AND(B1805="ROLE COMPROMISE",H1805=C1805)),Inputs!$B$13,Inputs!$B$14))</f>
        <v>10</v>
      </c>
      <c r="O1805" s="15" t="n">
        <f aca="false">IF(J1805=1,0,Inputs!$B$13)</f>
        <v>20</v>
      </c>
      <c r="P1805" s="15" t="n">
        <f aca="false">SUM(M1805:N1805)</f>
        <v>85</v>
      </c>
      <c r="Q1805" s="15" t="n">
        <f aca="false">IF(J1805=1,"",L1805-P1805)</f>
        <v>15</v>
      </c>
      <c r="R1805" s="15" t="n">
        <f aca="false">IF(OR(J1805=1,M1805&lt;=Inputs!$B$12),1,0)</f>
        <v>1</v>
      </c>
      <c r="S1805" s="15" t="n">
        <f aca="false">IF(OR(J1805=1,N1805&lt;=O1805),1,0)</f>
        <v>1</v>
      </c>
      <c r="T1805" s="15" t="str">
        <f aca="false">IF(J1805=1,"OFFLINE",IF(AND(Q1805&gt;=Inputs!$B$15,R1805=1,S1805=1,P1805&lt;=L1805),"PASS","FAIL"))</f>
        <v>PASS</v>
      </c>
    </row>
    <row r="1806" customFormat="false" ht="15" hidden="false" customHeight="false" outlineLevel="0" collapsed="false">
      <c r="A1806" s="14" t="s">
        <v>1035</v>
      </c>
      <c r="B1806" s="14" t="s">
        <v>1019</v>
      </c>
      <c r="C1806" s="14" t="s">
        <v>202</v>
      </c>
      <c r="D1806" s="14" t="s">
        <v>188</v>
      </c>
      <c r="E1806" s="14" t="s">
        <v>172</v>
      </c>
      <c r="F1806" s="14" t="s">
        <v>183</v>
      </c>
      <c r="G1806" s="14" t="n">
        <v>3</v>
      </c>
      <c r="H1806" s="14" t="s">
        <v>158</v>
      </c>
      <c r="I1806" s="14" t="s">
        <v>899</v>
      </c>
      <c r="J1806" s="15" t="n">
        <f aca="false">IF(B1806="SITE LOSS",IF(D1806=C1806,1,0),IF(B1806="REGION LOSS",IF(E1806=C1806,1,0),0))</f>
        <v>0</v>
      </c>
      <c r="K1806" s="15" t="n">
        <f aca="false">IF(B1806="SITE LOSS",IF(COUNTIFS('Site Dockets'!$B$7:$B$24,C1806,'Site Dockets'!$C$7:$C$24,F1806)&gt;0,1,0),IF(B1806="REGION LOSS",IF(COUNTIFS('Site Dockets'!$E$7:$E$24,C1806,'Site Dockets'!$C$7:$C$24,F1806)&gt;0,1,0),0))</f>
        <v>0</v>
      </c>
      <c r="L1806" s="15" t="n">
        <f aca="false">IF(J1806=1,0,Inputs!$B$11)</f>
        <v>100</v>
      </c>
      <c r="M1806" s="15" t="n">
        <f aca="false">IF(J1806=1,0,Inputs!$B$12)</f>
        <v>75</v>
      </c>
      <c r="N1806" s="15" t="n">
        <f aca="false">IF(J1806=1,0,IF(OR(AND(OR(B1806="SITE LOSS",B1806="REGION LOSS"),K1806=1),AND(B1806="ROLE COMPROMISE",H1806=C1806)),Inputs!$B$13,Inputs!$B$14))</f>
        <v>10</v>
      </c>
      <c r="O1806" s="15" t="n">
        <f aca="false">IF(J1806=1,0,Inputs!$B$13)</f>
        <v>20</v>
      </c>
      <c r="P1806" s="15" t="n">
        <f aca="false">SUM(M1806:N1806)</f>
        <v>85</v>
      </c>
      <c r="Q1806" s="15" t="n">
        <f aca="false">IF(J1806=1,"",L1806-P1806)</f>
        <v>15</v>
      </c>
      <c r="R1806" s="15" t="n">
        <f aca="false">IF(OR(J1806=1,M1806&lt;=Inputs!$B$12),1,0)</f>
        <v>1</v>
      </c>
      <c r="S1806" s="15" t="n">
        <f aca="false">IF(OR(J1806=1,N1806&lt;=O1806),1,0)</f>
        <v>1</v>
      </c>
      <c r="T1806" s="15" t="str">
        <f aca="false">IF(J1806=1,"OFFLINE",IF(AND(Q1806&gt;=Inputs!$B$15,R1806=1,S1806=1,P1806&lt;=L1806),"PASS","FAIL"))</f>
        <v>PASS</v>
      </c>
    </row>
    <row r="1807" customFormat="false" ht="15" hidden="false" customHeight="false" outlineLevel="0" collapsed="false">
      <c r="A1807" s="14" t="s">
        <v>1035</v>
      </c>
      <c r="B1807" s="14" t="s">
        <v>1019</v>
      </c>
      <c r="C1807" s="14" t="s">
        <v>202</v>
      </c>
      <c r="D1807" s="14" t="s">
        <v>190</v>
      </c>
      <c r="E1807" s="14" t="s">
        <v>152</v>
      </c>
      <c r="F1807" s="14" t="s">
        <v>191</v>
      </c>
      <c r="G1807" s="14" t="n">
        <v>1</v>
      </c>
      <c r="H1807" s="14" t="s">
        <v>154</v>
      </c>
      <c r="I1807" s="14" t="s">
        <v>890</v>
      </c>
      <c r="J1807" s="15" t="n">
        <f aca="false">IF(B1807="SITE LOSS",IF(D1807=C1807,1,0),IF(B1807="REGION LOSS",IF(E1807=C1807,1,0),0))</f>
        <v>0</v>
      </c>
      <c r="K1807" s="15" t="n">
        <f aca="false">IF(B1807="SITE LOSS",IF(COUNTIFS('Site Dockets'!$B$7:$B$24,C1807,'Site Dockets'!$C$7:$C$24,F1807)&gt;0,1,0),IF(B1807="REGION LOSS",IF(COUNTIFS('Site Dockets'!$E$7:$E$24,C1807,'Site Dockets'!$C$7:$C$24,F1807)&gt;0,1,0),0))</f>
        <v>0</v>
      </c>
      <c r="L1807" s="15" t="n">
        <f aca="false">IF(J1807=1,0,Inputs!$B$11)</f>
        <v>100</v>
      </c>
      <c r="M1807" s="15" t="n">
        <f aca="false">IF(J1807=1,0,Inputs!$B$12)</f>
        <v>75</v>
      </c>
      <c r="N1807" s="15" t="n">
        <f aca="false">IF(J1807=1,0,IF(OR(AND(OR(B1807="SITE LOSS",B1807="REGION LOSS"),K1807=1),AND(B1807="ROLE COMPROMISE",H1807=C1807)),Inputs!$B$13,Inputs!$B$14))</f>
        <v>10</v>
      </c>
      <c r="O1807" s="15" t="n">
        <f aca="false">IF(J1807=1,0,Inputs!$B$13)</f>
        <v>20</v>
      </c>
      <c r="P1807" s="15" t="n">
        <f aca="false">SUM(M1807:N1807)</f>
        <v>85</v>
      </c>
      <c r="Q1807" s="15" t="n">
        <f aca="false">IF(J1807=1,"",L1807-P1807)</f>
        <v>15</v>
      </c>
      <c r="R1807" s="15" t="n">
        <f aca="false">IF(OR(J1807=1,M1807&lt;=Inputs!$B$12),1,0)</f>
        <v>1</v>
      </c>
      <c r="S1807" s="15" t="n">
        <f aca="false">IF(OR(J1807=1,N1807&lt;=O1807),1,0)</f>
        <v>1</v>
      </c>
      <c r="T1807" s="15" t="str">
        <f aca="false">IF(J1807=1,"OFFLINE",IF(AND(Q1807&gt;=Inputs!$B$15,R1807=1,S1807=1,P1807&lt;=L1807),"PASS","FAIL"))</f>
        <v>PASS</v>
      </c>
    </row>
    <row r="1808" customFormat="false" ht="15" hidden="false" customHeight="false" outlineLevel="0" collapsed="false">
      <c r="A1808" s="14" t="s">
        <v>1035</v>
      </c>
      <c r="B1808" s="14" t="s">
        <v>1019</v>
      </c>
      <c r="C1808" s="14" t="s">
        <v>202</v>
      </c>
      <c r="D1808" s="14" t="s">
        <v>190</v>
      </c>
      <c r="E1808" s="14" t="s">
        <v>152</v>
      </c>
      <c r="F1808" s="14" t="s">
        <v>191</v>
      </c>
      <c r="G1808" s="14" t="n">
        <v>1</v>
      </c>
      <c r="H1808" s="14" t="s">
        <v>154</v>
      </c>
      <c r="I1808" s="14" t="s">
        <v>892</v>
      </c>
      <c r="J1808" s="15" t="n">
        <f aca="false">IF(B1808="SITE LOSS",IF(D1808=C1808,1,0),IF(B1808="REGION LOSS",IF(E1808=C1808,1,0),0))</f>
        <v>0</v>
      </c>
      <c r="K1808" s="15" t="n">
        <f aca="false">IF(B1808="SITE LOSS",IF(COUNTIFS('Site Dockets'!$B$7:$B$24,C1808,'Site Dockets'!$C$7:$C$24,F1808)&gt;0,1,0),IF(B1808="REGION LOSS",IF(COUNTIFS('Site Dockets'!$E$7:$E$24,C1808,'Site Dockets'!$C$7:$C$24,F1808)&gt;0,1,0),0))</f>
        <v>0</v>
      </c>
      <c r="L1808" s="15" t="n">
        <f aca="false">IF(J1808=1,0,Inputs!$B$11)</f>
        <v>100</v>
      </c>
      <c r="M1808" s="15" t="n">
        <f aca="false">IF(J1808=1,0,Inputs!$B$12)</f>
        <v>75</v>
      </c>
      <c r="N1808" s="15" t="n">
        <f aca="false">IF(J1808=1,0,IF(OR(AND(OR(B1808="SITE LOSS",B1808="REGION LOSS"),K1808=1),AND(B1808="ROLE COMPROMISE",H1808=C1808)),Inputs!$B$13,Inputs!$B$14))</f>
        <v>10</v>
      </c>
      <c r="O1808" s="15" t="n">
        <f aca="false">IF(J1808=1,0,Inputs!$B$13)</f>
        <v>20</v>
      </c>
      <c r="P1808" s="15" t="n">
        <f aca="false">SUM(M1808:N1808)</f>
        <v>85</v>
      </c>
      <c r="Q1808" s="15" t="n">
        <f aca="false">IF(J1808=1,"",L1808-P1808)</f>
        <v>15</v>
      </c>
      <c r="R1808" s="15" t="n">
        <f aca="false">IF(OR(J1808=1,M1808&lt;=Inputs!$B$12),1,0)</f>
        <v>1</v>
      </c>
      <c r="S1808" s="15" t="n">
        <f aca="false">IF(OR(J1808=1,N1808&lt;=O1808),1,0)</f>
        <v>1</v>
      </c>
      <c r="T1808" s="15" t="str">
        <f aca="false">IF(J1808=1,"OFFLINE",IF(AND(Q1808&gt;=Inputs!$B$15,R1808=1,S1808=1,P1808&lt;=L1808),"PASS","FAIL"))</f>
        <v>PASS</v>
      </c>
    </row>
    <row r="1809" customFormat="false" ht="15" hidden="false" customHeight="false" outlineLevel="0" collapsed="false">
      <c r="A1809" s="14" t="s">
        <v>1035</v>
      </c>
      <c r="B1809" s="14" t="s">
        <v>1019</v>
      </c>
      <c r="C1809" s="14" t="s">
        <v>202</v>
      </c>
      <c r="D1809" s="14" t="s">
        <v>190</v>
      </c>
      <c r="E1809" s="14" t="s">
        <v>152</v>
      </c>
      <c r="F1809" s="14" t="s">
        <v>191</v>
      </c>
      <c r="G1809" s="14" t="n">
        <v>1</v>
      </c>
      <c r="H1809" s="14" t="s">
        <v>154</v>
      </c>
      <c r="I1809" s="14" t="s">
        <v>811</v>
      </c>
      <c r="J1809" s="15" t="n">
        <f aca="false">IF(B1809="SITE LOSS",IF(D1809=C1809,1,0),IF(B1809="REGION LOSS",IF(E1809=C1809,1,0),0))</f>
        <v>0</v>
      </c>
      <c r="K1809" s="15" t="n">
        <f aca="false">IF(B1809="SITE LOSS",IF(COUNTIFS('Site Dockets'!$B$7:$B$24,C1809,'Site Dockets'!$C$7:$C$24,F1809)&gt;0,1,0),IF(B1809="REGION LOSS",IF(COUNTIFS('Site Dockets'!$E$7:$E$24,C1809,'Site Dockets'!$C$7:$C$24,F1809)&gt;0,1,0),0))</f>
        <v>0</v>
      </c>
      <c r="L1809" s="15" t="n">
        <f aca="false">IF(J1809=1,0,Inputs!$B$11)</f>
        <v>100</v>
      </c>
      <c r="M1809" s="15" t="n">
        <f aca="false">IF(J1809=1,0,Inputs!$B$12)</f>
        <v>75</v>
      </c>
      <c r="N1809" s="15" t="n">
        <f aca="false">IF(J1809=1,0,IF(OR(AND(OR(B1809="SITE LOSS",B1809="REGION LOSS"),K1809=1),AND(B1809="ROLE COMPROMISE",H1809=C1809)),Inputs!$B$13,Inputs!$B$14))</f>
        <v>10</v>
      </c>
      <c r="O1809" s="15" t="n">
        <f aca="false">IF(J1809=1,0,Inputs!$B$13)</f>
        <v>20</v>
      </c>
      <c r="P1809" s="15" t="n">
        <f aca="false">SUM(M1809:N1809)</f>
        <v>85</v>
      </c>
      <c r="Q1809" s="15" t="n">
        <f aca="false">IF(J1809=1,"",L1809-P1809)</f>
        <v>15</v>
      </c>
      <c r="R1809" s="15" t="n">
        <f aca="false">IF(OR(J1809=1,M1809&lt;=Inputs!$B$12),1,0)</f>
        <v>1</v>
      </c>
      <c r="S1809" s="15" t="n">
        <f aca="false">IF(OR(J1809=1,N1809&lt;=O1809),1,0)</f>
        <v>1</v>
      </c>
      <c r="T1809" s="15" t="str">
        <f aca="false">IF(J1809=1,"OFFLINE",IF(AND(Q1809&gt;=Inputs!$B$15,R1809=1,S1809=1,P1809&lt;=L1809),"PASS","FAIL"))</f>
        <v>PASS</v>
      </c>
    </row>
    <row r="1810" customFormat="false" ht="15" hidden="false" customHeight="false" outlineLevel="0" collapsed="false">
      <c r="A1810" s="14" t="s">
        <v>1035</v>
      </c>
      <c r="B1810" s="14" t="s">
        <v>1019</v>
      </c>
      <c r="C1810" s="14" t="s">
        <v>202</v>
      </c>
      <c r="D1810" s="14" t="s">
        <v>190</v>
      </c>
      <c r="E1810" s="14" t="s">
        <v>152</v>
      </c>
      <c r="F1810" s="14" t="s">
        <v>191</v>
      </c>
      <c r="G1810" s="14" t="n">
        <v>1</v>
      </c>
      <c r="H1810" s="14" t="s">
        <v>154</v>
      </c>
      <c r="I1810" s="14" t="s">
        <v>895</v>
      </c>
      <c r="J1810" s="15" t="n">
        <f aca="false">IF(B1810="SITE LOSS",IF(D1810=C1810,1,0),IF(B1810="REGION LOSS",IF(E1810=C1810,1,0),0))</f>
        <v>0</v>
      </c>
      <c r="K1810" s="15" t="n">
        <f aca="false">IF(B1810="SITE LOSS",IF(COUNTIFS('Site Dockets'!$B$7:$B$24,C1810,'Site Dockets'!$C$7:$C$24,F1810)&gt;0,1,0),IF(B1810="REGION LOSS",IF(COUNTIFS('Site Dockets'!$E$7:$E$24,C1810,'Site Dockets'!$C$7:$C$24,F1810)&gt;0,1,0),0))</f>
        <v>0</v>
      </c>
      <c r="L1810" s="15" t="n">
        <f aca="false">IF(J1810=1,0,Inputs!$B$11)</f>
        <v>100</v>
      </c>
      <c r="M1810" s="15" t="n">
        <f aca="false">IF(J1810=1,0,Inputs!$B$12)</f>
        <v>75</v>
      </c>
      <c r="N1810" s="15" t="n">
        <f aca="false">IF(J1810=1,0,IF(OR(AND(OR(B1810="SITE LOSS",B1810="REGION LOSS"),K1810=1),AND(B1810="ROLE COMPROMISE",H1810=C1810)),Inputs!$B$13,Inputs!$B$14))</f>
        <v>10</v>
      </c>
      <c r="O1810" s="15" t="n">
        <f aca="false">IF(J1810=1,0,Inputs!$B$13)</f>
        <v>20</v>
      </c>
      <c r="P1810" s="15" t="n">
        <f aca="false">SUM(M1810:N1810)</f>
        <v>85</v>
      </c>
      <c r="Q1810" s="15" t="n">
        <f aca="false">IF(J1810=1,"",L1810-P1810)</f>
        <v>15</v>
      </c>
      <c r="R1810" s="15" t="n">
        <f aca="false">IF(OR(J1810=1,M1810&lt;=Inputs!$B$12),1,0)</f>
        <v>1</v>
      </c>
      <c r="S1810" s="15" t="n">
        <f aca="false">IF(OR(J1810=1,N1810&lt;=O1810),1,0)</f>
        <v>1</v>
      </c>
      <c r="T1810" s="15" t="str">
        <f aca="false">IF(J1810=1,"OFFLINE",IF(AND(Q1810&gt;=Inputs!$B$15,R1810=1,S1810=1,P1810&lt;=L1810),"PASS","FAIL"))</f>
        <v>PASS</v>
      </c>
    </row>
    <row r="1811" customFormat="false" ht="15" hidden="false" customHeight="false" outlineLevel="0" collapsed="false">
      <c r="A1811" s="14" t="s">
        <v>1035</v>
      </c>
      <c r="B1811" s="14" t="s">
        <v>1019</v>
      </c>
      <c r="C1811" s="14" t="s">
        <v>202</v>
      </c>
      <c r="D1811" s="14" t="s">
        <v>190</v>
      </c>
      <c r="E1811" s="14" t="s">
        <v>152</v>
      </c>
      <c r="F1811" s="14" t="s">
        <v>191</v>
      </c>
      <c r="G1811" s="14" t="n">
        <v>1</v>
      </c>
      <c r="H1811" s="14" t="s">
        <v>154</v>
      </c>
      <c r="I1811" s="14" t="s">
        <v>897</v>
      </c>
      <c r="J1811" s="15" t="n">
        <f aca="false">IF(B1811="SITE LOSS",IF(D1811=C1811,1,0),IF(B1811="REGION LOSS",IF(E1811=C1811,1,0),0))</f>
        <v>0</v>
      </c>
      <c r="K1811" s="15" t="n">
        <f aca="false">IF(B1811="SITE LOSS",IF(COUNTIFS('Site Dockets'!$B$7:$B$24,C1811,'Site Dockets'!$C$7:$C$24,F1811)&gt;0,1,0),IF(B1811="REGION LOSS",IF(COUNTIFS('Site Dockets'!$E$7:$E$24,C1811,'Site Dockets'!$C$7:$C$24,F1811)&gt;0,1,0),0))</f>
        <v>0</v>
      </c>
      <c r="L1811" s="15" t="n">
        <f aca="false">IF(J1811=1,0,Inputs!$B$11)</f>
        <v>100</v>
      </c>
      <c r="M1811" s="15" t="n">
        <f aca="false">IF(J1811=1,0,Inputs!$B$12)</f>
        <v>75</v>
      </c>
      <c r="N1811" s="15" t="n">
        <f aca="false">IF(J1811=1,0,IF(OR(AND(OR(B1811="SITE LOSS",B1811="REGION LOSS"),K1811=1),AND(B1811="ROLE COMPROMISE",H1811=C1811)),Inputs!$B$13,Inputs!$B$14))</f>
        <v>10</v>
      </c>
      <c r="O1811" s="15" t="n">
        <f aca="false">IF(J1811=1,0,Inputs!$B$13)</f>
        <v>20</v>
      </c>
      <c r="P1811" s="15" t="n">
        <f aca="false">SUM(M1811:N1811)</f>
        <v>85</v>
      </c>
      <c r="Q1811" s="15" t="n">
        <f aca="false">IF(J1811=1,"",L1811-P1811)</f>
        <v>15</v>
      </c>
      <c r="R1811" s="15" t="n">
        <f aca="false">IF(OR(J1811=1,M1811&lt;=Inputs!$B$12),1,0)</f>
        <v>1</v>
      </c>
      <c r="S1811" s="15" t="n">
        <f aca="false">IF(OR(J1811=1,N1811&lt;=O1811),1,0)</f>
        <v>1</v>
      </c>
      <c r="T1811" s="15" t="str">
        <f aca="false">IF(J1811=1,"OFFLINE",IF(AND(Q1811&gt;=Inputs!$B$15,R1811=1,S1811=1,P1811&lt;=L1811),"PASS","FAIL"))</f>
        <v>PASS</v>
      </c>
    </row>
    <row r="1812" customFormat="false" ht="15" hidden="false" customHeight="false" outlineLevel="0" collapsed="false">
      <c r="A1812" s="14" t="s">
        <v>1035</v>
      </c>
      <c r="B1812" s="14" t="s">
        <v>1019</v>
      </c>
      <c r="C1812" s="14" t="s">
        <v>202</v>
      </c>
      <c r="D1812" s="14" t="s">
        <v>190</v>
      </c>
      <c r="E1812" s="14" t="s">
        <v>152</v>
      </c>
      <c r="F1812" s="14" t="s">
        <v>191</v>
      </c>
      <c r="G1812" s="14" t="n">
        <v>1</v>
      </c>
      <c r="H1812" s="14" t="s">
        <v>154</v>
      </c>
      <c r="I1812" s="14" t="s">
        <v>899</v>
      </c>
      <c r="J1812" s="15" t="n">
        <f aca="false">IF(B1812="SITE LOSS",IF(D1812=C1812,1,0),IF(B1812="REGION LOSS",IF(E1812=C1812,1,0),0))</f>
        <v>0</v>
      </c>
      <c r="K1812" s="15" t="n">
        <f aca="false">IF(B1812="SITE LOSS",IF(COUNTIFS('Site Dockets'!$B$7:$B$24,C1812,'Site Dockets'!$C$7:$C$24,F1812)&gt;0,1,0),IF(B1812="REGION LOSS",IF(COUNTIFS('Site Dockets'!$E$7:$E$24,C1812,'Site Dockets'!$C$7:$C$24,F1812)&gt;0,1,0),0))</f>
        <v>0</v>
      </c>
      <c r="L1812" s="15" t="n">
        <f aca="false">IF(J1812=1,0,Inputs!$B$11)</f>
        <v>100</v>
      </c>
      <c r="M1812" s="15" t="n">
        <f aca="false">IF(J1812=1,0,Inputs!$B$12)</f>
        <v>75</v>
      </c>
      <c r="N1812" s="15" t="n">
        <f aca="false">IF(J1812=1,0,IF(OR(AND(OR(B1812="SITE LOSS",B1812="REGION LOSS"),K1812=1),AND(B1812="ROLE COMPROMISE",H1812=C1812)),Inputs!$B$13,Inputs!$B$14))</f>
        <v>10</v>
      </c>
      <c r="O1812" s="15" t="n">
        <f aca="false">IF(J1812=1,0,Inputs!$B$13)</f>
        <v>20</v>
      </c>
      <c r="P1812" s="15" t="n">
        <f aca="false">SUM(M1812:N1812)</f>
        <v>85</v>
      </c>
      <c r="Q1812" s="15" t="n">
        <f aca="false">IF(J1812=1,"",L1812-P1812)</f>
        <v>15</v>
      </c>
      <c r="R1812" s="15" t="n">
        <f aca="false">IF(OR(J1812=1,M1812&lt;=Inputs!$B$12),1,0)</f>
        <v>1</v>
      </c>
      <c r="S1812" s="15" t="n">
        <f aca="false">IF(OR(J1812=1,N1812&lt;=O1812),1,0)</f>
        <v>1</v>
      </c>
      <c r="T1812" s="15" t="str">
        <f aca="false">IF(J1812=1,"OFFLINE",IF(AND(Q1812&gt;=Inputs!$B$15,R1812=1,S1812=1,P1812&lt;=L1812),"PASS","FAIL"))</f>
        <v>PASS</v>
      </c>
    </row>
    <row r="1813" customFormat="false" ht="15" hidden="false" customHeight="false" outlineLevel="0" collapsed="false">
      <c r="A1813" s="14" t="s">
        <v>1035</v>
      </c>
      <c r="B1813" s="14" t="s">
        <v>1019</v>
      </c>
      <c r="C1813" s="14" t="s">
        <v>202</v>
      </c>
      <c r="D1813" s="14" t="s">
        <v>194</v>
      </c>
      <c r="E1813" s="14" t="s">
        <v>169</v>
      </c>
      <c r="F1813" s="14" t="s">
        <v>191</v>
      </c>
      <c r="G1813" s="14" t="n">
        <v>2</v>
      </c>
      <c r="H1813" s="14" t="s">
        <v>153</v>
      </c>
      <c r="I1813" s="14" t="s">
        <v>890</v>
      </c>
      <c r="J1813" s="15" t="n">
        <f aca="false">IF(B1813="SITE LOSS",IF(D1813=C1813,1,0),IF(B1813="REGION LOSS",IF(E1813=C1813,1,0),0))</f>
        <v>0</v>
      </c>
      <c r="K1813" s="15" t="n">
        <f aca="false">IF(B1813="SITE LOSS",IF(COUNTIFS('Site Dockets'!$B$7:$B$24,C1813,'Site Dockets'!$C$7:$C$24,F1813)&gt;0,1,0),IF(B1813="REGION LOSS",IF(COUNTIFS('Site Dockets'!$E$7:$E$24,C1813,'Site Dockets'!$C$7:$C$24,F1813)&gt;0,1,0),0))</f>
        <v>0</v>
      </c>
      <c r="L1813" s="15" t="n">
        <f aca="false">IF(J1813=1,0,Inputs!$B$11)</f>
        <v>100</v>
      </c>
      <c r="M1813" s="15" t="n">
        <f aca="false">IF(J1813=1,0,Inputs!$B$12)</f>
        <v>75</v>
      </c>
      <c r="N1813" s="15" t="n">
        <f aca="false">IF(J1813=1,0,IF(OR(AND(OR(B1813="SITE LOSS",B1813="REGION LOSS"),K1813=1),AND(B1813="ROLE COMPROMISE",H1813=C1813)),Inputs!$B$13,Inputs!$B$14))</f>
        <v>10</v>
      </c>
      <c r="O1813" s="15" t="n">
        <f aca="false">IF(J1813=1,0,Inputs!$B$13)</f>
        <v>20</v>
      </c>
      <c r="P1813" s="15" t="n">
        <f aca="false">SUM(M1813:N1813)</f>
        <v>85</v>
      </c>
      <c r="Q1813" s="15" t="n">
        <f aca="false">IF(J1813=1,"",L1813-P1813)</f>
        <v>15</v>
      </c>
      <c r="R1813" s="15" t="n">
        <f aca="false">IF(OR(J1813=1,M1813&lt;=Inputs!$B$12),1,0)</f>
        <v>1</v>
      </c>
      <c r="S1813" s="15" t="n">
        <f aca="false">IF(OR(J1813=1,N1813&lt;=O1813),1,0)</f>
        <v>1</v>
      </c>
      <c r="T1813" s="15" t="str">
        <f aca="false">IF(J1813=1,"OFFLINE",IF(AND(Q1813&gt;=Inputs!$B$15,R1813=1,S1813=1,P1813&lt;=L1813),"PASS","FAIL"))</f>
        <v>PASS</v>
      </c>
    </row>
    <row r="1814" customFormat="false" ht="15" hidden="false" customHeight="false" outlineLevel="0" collapsed="false">
      <c r="A1814" s="14" t="s">
        <v>1035</v>
      </c>
      <c r="B1814" s="14" t="s">
        <v>1019</v>
      </c>
      <c r="C1814" s="14" t="s">
        <v>202</v>
      </c>
      <c r="D1814" s="14" t="s">
        <v>194</v>
      </c>
      <c r="E1814" s="14" t="s">
        <v>169</v>
      </c>
      <c r="F1814" s="14" t="s">
        <v>191</v>
      </c>
      <c r="G1814" s="14" t="n">
        <v>2</v>
      </c>
      <c r="H1814" s="14" t="s">
        <v>153</v>
      </c>
      <c r="I1814" s="14" t="s">
        <v>892</v>
      </c>
      <c r="J1814" s="15" t="n">
        <f aca="false">IF(B1814="SITE LOSS",IF(D1814=C1814,1,0),IF(B1814="REGION LOSS",IF(E1814=C1814,1,0),0))</f>
        <v>0</v>
      </c>
      <c r="K1814" s="15" t="n">
        <f aca="false">IF(B1814="SITE LOSS",IF(COUNTIFS('Site Dockets'!$B$7:$B$24,C1814,'Site Dockets'!$C$7:$C$24,F1814)&gt;0,1,0),IF(B1814="REGION LOSS",IF(COUNTIFS('Site Dockets'!$E$7:$E$24,C1814,'Site Dockets'!$C$7:$C$24,F1814)&gt;0,1,0),0))</f>
        <v>0</v>
      </c>
      <c r="L1814" s="15" t="n">
        <f aca="false">IF(J1814=1,0,Inputs!$B$11)</f>
        <v>100</v>
      </c>
      <c r="M1814" s="15" t="n">
        <f aca="false">IF(J1814=1,0,Inputs!$B$12)</f>
        <v>75</v>
      </c>
      <c r="N1814" s="15" t="n">
        <f aca="false">IF(J1814=1,0,IF(OR(AND(OR(B1814="SITE LOSS",B1814="REGION LOSS"),K1814=1),AND(B1814="ROLE COMPROMISE",H1814=C1814)),Inputs!$B$13,Inputs!$B$14))</f>
        <v>10</v>
      </c>
      <c r="O1814" s="15" t="n">
        <f aca="false">IF(J1814=1,0,Inputs!$B$13)</f>
        <v>20</v>
      </c>
      <c r="P1814" s="15" t="n">
        <f aca="false">SUM(M1814:N1814)</f>
        <v>85</v>
      </c>
      <c r="Q1814" s="15" t="n">
        <f aca="false">IF(J1814=1,"",L1814-P1814)</f>
        <v>15</v>
      </c>
      <c r="R1814" s="15" t="n">
        <f aca="false">IF(OR(J1814=1,M1814&lt;=Inputs!$B$12),1,0)</f>
        <v>1</v>
      </c>
      <c r="S1814" s="15" t="n">
        <f aca="false">IF(OR(J1814=1,N1814&lt;=O1814),1,0)</f>
        <v>1</v>
      </c>
      <c r="T1814" s="15" t="str">
        <f aca="false">IF(J1814=1,"OFFLINE",IF(AND(Q1814&gt;=Inputs!$B$15,R1814=1,S1814=1,P1814&lt;=L1814),"PASS","FAIL"))</f>
        <v>PASS</v>
      </c>
    </row>
    <row r="1815" customFormat="false" ht="15" hidden="false" customHeight="false" outlineLevel="0" collapsed="false">
      <c r="A1815" s="14" t="s">
        <v>1035</v>
      </c>
      <c r="B1815" s="14" t="s">
        <v>1019</v>
      </c>
      <c r="C1815" s="14" t="s">
        <v>202</v>
      </c>
      <c r="D1815" s="14" t="s">
        <v>194</v>
      </c>
      <c r="E1815" s="14" t="s">
        <v>169</v>
      </c>
      <c r="F1815" s="14" t="s">
        <v>191</v>
      </c>
      <c r="G1815" s="14" t="n">
        <v>2</v>
      </c>
      <c r="H1815" s="14" t="s">
        <v>153</v>
      </c>
      <c r="I1815" s="14" t="s">
        <v>811</v>
      </c>
      <c r="J1815" s="15" t="n">
        <f aca="false">IF(B1815="SITE LOSS",IF(D1815=C1815,1,0),IF(B1815="REGION LOSS",IF(E1815=C1815,1,0),0))</f>
        <v>0</v>
      </c>
      <c r="K1815" s="15" t="n">
        <f aca="false">IF(B1815="SITE LOSS",IF(COUNTIFS('Site Dockets'!$B$7:$B$24,C1815,'Site Dockets'!$C$7:$C$24,F1815)&gt;0,1,0),IF(B1815="REGION LOSS",IF(COUNTIFS('Site Dockets'!$E$7:$E$24,C1815,'Site Dockets'!$C$7:$C$24,F1815)&gt;0,1,0),0))</f>
        <v>0</v>
      </c>
      <c r="L1815" s="15" t="n">
        <f aca="false">IF(J1815=1,0,Inputs!$B$11)</f>
        <v>100</v>
      </c>
      <c r="M1815" s="15" t="n">
        <f aca="false">IF(J1815=1,0,Inputs!$B$12)</f>
        <v>75</v>
      </c>
      <c r="N1815" s="15" t="n">
        <f aca="false">IF(J1815=1,0,IF(OR(AND(OR(B1815="SITE LOSS",B1815="REGION LOSS"),K1815=1),AND(B1815="ROLE COMPROMISE",H1815=C1815)),Inputs!$B$13,Inputs!$B$14))</f>
        <v>10</v>
      </c>
      <c r="O1815" s="15" t="n">
        <f aca="false">IF(J1815=1,0,Inputs!$B$13)</f>
        <v>20</v>
      </c>
      <c r="P1815" s="15" t="n">
        <f aca="false">SUM(M1815:N1815)</f>
        <v>85</v>
      </c>
      <c r="Q1815" s="15" t="n">
        <f aca="false">IF(J1815=1,"",L1815-P1815)</f>
        <v>15</v>
      </c>
      <c r="R1815" s="15" t="n">
        <f aca="false">IF(OR(J1815=1,M1815&lt;=Inputs!$B$12),1,0)</f>
        <v>1</v>
      </c>
      <c r="S1815" s="15" t="n">
        <f aca="false">IF(OR(J1815=1,N1815&lt;=O1815),1,0)</f>
        <v>1</v>
      </c>
      <c r="T1815" s="15" t="str">
        <f aca="false">IF(J1815=1,"OFFLINE",IF(AND(Q1815&gt;=Inputs!$B$15,R1815=1,S1815=1,P1815&lt;=L1815),"PASS","FAIL"))</f>
        <v>PASS</v>
      </c>
    </row>
    <row r="1816" customFormat="false" ht="15" hidden="false" customHeight="false" outlineLevel="0" collapsed="false">
      <c r="A1816" s="14" t="s">
        <v>1035</v>
      </c>
      <c r="B1816" s="14" t="s">
        <v>1019</v>
      </c>
      <c r="C1816" s="14" t="s">
        <v>202</v>
      </c>
      <c r="D1816" s="14" t="s">
        <v>194</v>
      </c>
      <c r="E1816" s="14" t="s">
        <v>169</v>
      </c>
      <c r="F1816" s="14" t="s">
        <v>191</v>
      </c>
      <c r="G1816" s="14" t="n">
        <v>2</v>
      </c>
      <c r="H1816" s="14" t="s">
        <v>153</v>
      </c>
      <c r="I1816" s="14" t="s">
        <v>895</v>
      </c>
      <c r="J1816" s="15" t="n">
        <f aca="false">IF(B1816="SITE LOSS",IF(D1816=C1816,1,0),IF(B1816="REGION LOSS",IF(E1816=C1816,1,0),0))</f>
        <v>0</v>
      </c>
      <c r="K1816" s="15" t="n">
        <f aca="false">IF(B1816="SITE LOSS",IF(COUNTIFS('Site Dockets'!$B$7:$B$24,C1816,'Site Dockets'!$C$7:$C$24,F1816)&gt;0,1,0),IF(B1816="REGION LOSS",IF(COUNTIFS('Site Dockets'!$E$7:$E$24,C1816,'Site Dockets'!$C$7:$C$24,F1816)&gt;0,1,0),0))</f>
        <v>0</v>
      </c>
      <c r="L1816" s="15" t="n">
        <f aca="false">IF(J1816=1,0,Inputs!$B$11)</f>
        <v>100</v>
      </c>
      <c r="M1816" s="15" t="n">
        <f aca="false">IF(J1816=1,0,Inputs!$B$12)</f>
        <v>75</v>
      </c>
      <c r="N1816" s="15" t="n">
        <f aca="false">IF(J1816=1,0,IF(OR(AND(OR(B1816="SITE LOSS",B1816="REGION LOSS"),K1816=1),AND(B1816="ROLE COMPROMISE",H1816=C1816)),Inputs!$B$13,Inputs!$B$14))</f>
        <v>10</v>
      </c>
      <c r="O1816" s="15" t="n">
        <f aca="false">IF(J1816=1,0,Inputs!$B$13)</f>
        <v>20</v>
      </c>
      <c r="P1816" s="15" t="n">
        <f aca="false">SUM(M1816:N1816)</f>
        <v>85</v>
      </c>
      <c r="Q1816" s="15" t="n">
        <f aca="false">IF(J1816=1,"",L1816-P1816)</f>
        <v>15</v>
      </c>
      <c r="R1816" s="15" t="n">
        <f aca="false">IF(OR(J1816=1,M1816&lt;=Inputs!$B$12),1,0)</f>
        <v>1</v>
      </c>
      <c r="S1816" s="15" t="n">
        <f aca="false">IF(OR(J1816=1,N1816&lt;=O1816),1,0)</f>
        <v>1</v>
      </c>
      <c r="T1816" s="15" t="str">
        <f aca="false">IF(J1816=1,"OFFLINE",IF(AND(Q1816&gt;=Inputs!$B$15,R1816=1,S1816=1,P1816&lt;=L1816),"PASS","FAIL"))</f>
        <v>PASS</v>
      </c>
    </row>
    <row r="1817" customFormat="false" ht="15" hidden="false" customHeight="false" outlineLevel="0" collapsed="false">
      <c r="A1817" s="14" t="s">
        <v>1035</v>
      </c>
      <c r="B1817" s="14" t="s">
        <v>1019</v>
      </c>
      <c r="C1817" s="14" t="s">
        <v>202</v>
      </c>
      <c r="D1817" s="14" t="s">
        <v>194</v>
      </c>
      <c r="E1817" s="14" t="s">
        <v>169</v>
      </c>
      <c r="F1817" s="14" t="s">
        <v>191</v>
      </c>
      <c r="G1817" s="14" t="n">
        <v>2</v>
      </c>
      <c r="H1817" s="14" t="s">
        <v>153</v>
      </c>
      <c r="I1817" s="14" t="s">
        <v>897</v>
      </c>
      <c r="J1817" s="15" t="n">
        <f aca="false">IF(B1817="SITE LOSS",IF(D1817=C1817,1,0),IF(B1817="REGION LOSS",IF(E1817=C1817,1,0),0))</f>
        <v>0</v>
      </c>
      <c r="K1817" s="15" t="n">
        <f aca="false">IF(B1817="SITE LOSS",IF(COUNTIFS('Site Dockets'!$B$7:$B$24,C1817,'Site Dockets'!$C$7:$C$24,F1817)&gt;0,1,0),IF(B1817="REGION LOSS",IF(COUNTIFS('Site Dockets'!$E$7:$E$24,C1817,'Site Dockets'!$C$7:$C$24,F1817)&gt;0,1,0),0))</f>
        <v>0</v>
      </c>
      <c r="L1817" s="15" t="n">
        <f aca="false">IF(J1817=1,0,Inputs!$B$11)</f>
        <v>100</v>
      </c>
      <c r="M1817" s="15" t="n">
        <f aca="false">IF(J1817=1,0,Inputs!$B$12)</f>
        <v>75</v>
      </c>
      <c r="N1817" s="15" t="n">
        <f aca="false">IF(J1817=1,0,IF(OR(AND(OR(B1817="SITE LOSS",B1817="REGION LOSS"),K1817=1),AND(B1817="ROLE COMPROMISE",H1817=C1817)),Inputs!$B$13,Inputs!$B$14))</f>
        <v>10</v>
      </c>
      <c r="O1817" s="15" t="n">
        <f aca="false">IF(J1817=1,0,Inputs!$B$13)</f>
        <v>20</v>
      </c>
      <c r="P1817" s="15" t="n">
        <f aca="false">SUM(M1817:N1817)</f>
        <v>85</v>
      </c>
      <c r="Q1817" s="15" t="n">
        <f aca="false">IF(J1817=1,"",L1817-P1817)</f>
        <v>15</v>
      </c>
      <c r="R1817" s="15" t="n">
        <f aca="false">IF(OR(J1817=1,M1817&lt;=Inputs!$B$12),1,0)</f>
        <v>1</v>
      </c>
      <c r="S1817" s="15" t="n">
        <f aca="false">IF(OR(J1817=1,N1817&lt;=O1817),1,0)</f>
        <v>1</v>
      </c>
      <c r="T1817" s="15" t="str">
        <f aca="false">IF(J1817=1,"OFFLINE",IF(AND(Q1817&gt;=Inputs!$B$15,R1817=1,S1817=1,P1817&lt;=L1817),"PASS","FAIL"))</f>
        <v>PASS</v>
      </c>
    </row>
    <row r="1818" customFormat="false" ht="15" hidden="false" customHeight="false" outlineLevel="0" collapsed="false">
      <c r="A1818" s="14" t="s">
        <v>1035</v>
      </c>
      <c r="B1818" s="14" t="s">
        <v>1019</v>
      </c>
      <c r="C1818" s="14" t="s">
        <v>202</v>
      </c>
      <c r="D1818" s="14" t="s">
        <v>194</v>
      </c>
      <c r="E1818" s="14" t="s">
        <v>169</v>
      </c>
      <c r="F1818" s="14" t="s">
        <v>191</v>
      </c>
      <c r="G1818" s="14" t="n">
        <v>2</v>
      </c>
      <c r="H1818" s="14" t="s">
        <v>153</v>
      </c>
      <c r="I1818" s="14" t="s">
        <v>899</v>
      </c>
      <c r="J1818" s="15" t="n">
        <f aca="false">IF(B1818="SITE LOSS",IF(D1818=C1818,1,0),IF(B1818="REGION LOSS",IF(E1818=C1818,1,0),0))</f>
        <v>0</v>
      </c>
      <c r="K1818" s="15" t="n">
        <f aca="false">IF(B1818="SITE LOSS",IF(COUNTIFS('Site Dockets'!$B$7:$B$24,C1818,'Site Dockets'!$C$7:$C$24,F1818)&gt;0,1,0),IF(B1818="REGION LOSS",IF(COUNTIFS('Site Dockets'!$E$7:$E$24,C1818,'Site Dockets'!$C$7:$C$24,F1818)&gt;0,1,0),0))</f>
        <v>0</v>
      </c>
      <c r="L1818" s="15" t="n">
        <f aca="false">IF(J1818=1,0,Inputs!$B$11)</f>
        <v>100</v>
      </c>
      <c r="M1818" s="15" t="n">
        <f aca="false">IF(J1818=1,0,Inputs!$B$12)</f>
        <v>75</v>
      </c>
      <c r="N1818" s="15" t="n">
        <f aca="false">IF(J1818=1,0,IF(OR(AND(OR(B1818="SITE LOSS",B1818="REGION LOSS"),K1818=1),AND(B1818="ROLE COMPROMISE",H1818=C1818)),Inputs!$B$13,Inputs!$B$14))</f>
        <v>10</v>
      </c>
      <c r="O1818" s="15" t="n">
        <f aca="false">IF(J1818=1,0,Inputs!$B$13)</f>
        <v>20</v>
      </c>
      <c r="P1818" s="15" t="n">
        <f aca="false">SUM(M1818:N1818)</f>
        <v>85</v>
      </c>
      <c r="Q1818" s="15" t="n">
        <f aca="false">IF(J1818=1,"",L1818-P1818)</f>
        <v>15</v>
      </c>
      <c r="R1818" s="15" t="n">
        <f aca="false">IF(OR(J1818=1,M1818&lt;=Inputs!$B$12),1,0)</f>
        <v>1</v>
      </c>
      <c r="S1818" s="15" t="n">
        <f aca="false">IF(OR(J1818=1,N1818&lt;=O1818),1,0)</f>
        <v>1</v>
      </c>
      <c r="T1818" s="15" t="str">
        <f aca="false">IF(J1818=1,"OFFLINE",IF(AND(Q1818&gt;=Inputs!$B$15,R1818=1,S1818=1,P1818&lt;=L1818),"PASS","FAIL"))</f>
        <v>PASS</v>
      </c>
    </row>
    <row r="1819" customFormat="false" ht="15" hidden="false" customHeight="false" outlineLevel="0" collapsed="false">
      <c r="A1819" s="14" t="s">
        <v>1035</v>
      </c>
      <c r="B1819" s="14" t="s">
        <v>1019</v>
      </c>
      <c r="C1819" s="14" t="s">
        <v>202</v>
      </c>
      <c r="D1819" s="14" t="s">
        <v>196</v>
      </c>
      <c r="E1819" s="14" t="s">
        <v>172</v>
      </c>
      <c r="F1819" s="14" t="s">
        <v>191</v>
      </c>
      <c r="G1819" s="14" t="n">
        <v>3</v>
      </c>
      <c r="H1819" s="14" t="s">
        <v>158</v>
      </c>
      <c r="I1819" s="14" t="s">
        <v>890</v>
      </c>
      <c r="J1819" s="15" t="n">
        <f aca="false">IF(B1819="SITE LOSS",IF(D1819=C1819,1,0),IF(B1819="REGION LOSS",IF(E1819=C1819,1,0),0))</f>
        <v>0</v>
      </c>
      <c r="K1819" s="15" t="n">
        <f aca="false">IF(B1819="SITE LOSS",IF(COUNTIFS('Site Dockets'!$B$7:$B$24,C1819,'Site Dockets'!$C$7:$C$24,F1819)&gt;0,1,0),IF(B1819="REGION LOSS",IF(COUNTIFS('Site Dockets'!$E$7:$E$24,C1819,'Site Dockets'!$C$7:$C$24,F1819)&gt;0,1,0),0))</f>
        <v>0</v>
      </c>
      <c r="L1819" s="15" t="n">
        <f aca="false">IF(J1819=1,0,Inputs!$B$11)</f>
        <v>100</v>
      </c>
      <c r="M1819" s="15" t="n">
        <f aca="false">IF(J1819=1,0,Inputs!$B$12)</f>
        <v>75</v>
      </c>
      <c r="N1819" s="15" t="n">
        <f aca="false">IF(J1819=1,0,IF(OR(AND(OR(B1819="SITE LOSS",B1819="REGION LOSS"),K1819=1),AND(B1819="ROLE COMPROMISE",H1819=C1819)),Inputs!$B$13,Inputs!$B$14))</f>
        <v>10</v>
      </c>
      <c r="O1819" s="15" t="n">
        <f aca="false">IF(J1819=1,0,Inputs!$B$13)</f>
        <v>20</v>
      </c>
      <c r="P1819" s="15" t="n">
        <f aca="false">SUM(M1819:N1819)</f>
        <v>85</v>
      </c>
      <c r="Q1819" s="15" t="n">
        <f aca="false">IF(J1819=1,"",L1819-P1819)</f>
        <v>15</v>
      </c>
      <c r="R1819" s="15" t="n">
        <f aca="false">IF(OR(J1819=1,M1819&lt;=Inputs!$B$12),1,0)</f>
        <v>1</v>
      </c>
      <c r="S1819" s="15" t="n">
        <f aca="false">IF(OR(J1819=1,N1819&lt;=O1819),1,0)</f>
        <v>1</v>
      </c>
      <c r="T1819" s="15" t="str">
        <f aca="false">IF(J1819=1,"OFFLINE",IF(AND(Q1819&gt;=Inputs!$B$15,R1819=1,S1819=1,P1819&lt;=L1819),"PASS","FAIL"))</f>
        <v>PASS</v>
      </c>
    </row>
    <row r="1820" customFormat="false" ht="15" hidden="false" customHeight="false" outlineLevel="0" collapsed="false">
      <c r="A1820" s="14" t="s">
        <v>1035</v>
      </c>
      <c r="B1820" s="14" t="s">
        <v>1019</v>
      </c>
      <c r="C1820" s="14" t="s">
        <v>202</v>
      </c>
      <c r="D1820" s="14" t="s">
        <v>196</v>
      </c>
      <c r="E1820" s="14" t="s">
        <v>172</v>
      </c>
      <c r="F1820" s="14" t="s">
        <v>191</v>
      </c>
      <c r="G1820" s="14" t="n">
        <v>3</v>
      </c>
      <c r="H1820" s="14" t="s">
        <v>158</v>
      </c>
      <c r="I1820" s="14" t="s">
        <v>892</v>
      </c>
      <c r="J1820" s="15" t="n">
        <f aca="false">IF(B1820="SITE LOSS",IF(D1820=C1820,1,0),IF(B1820="REGION LOSS",IF(E1820=C1820,1,0),0))</f>
        <v>0</v>
      </c>
      <c r="K1820" s="15" t="n">
        <f aca="false">IF(B1820="SITE LOSS",IF(COUNTIFS('Site Dockets'!$B$7:$B$24,C1820,'Site Dockets'!$C$7:$C$24,F1820)&gt;0,1,0),IF(B1820="REGION LOSS",IF(COUNTIFS('Site Dockets'!$E$7:$E$24,C1820,'Site Dockets'!$C$7:$C$24,F1820)&gt;0,1,0),0))</f>
        <v>0</v>
      </c>
      <c r="L1820" s="15" t="n">
        <f aca="false">IF(J1820=1,0,Inputs!$B$11)</f>
        <v>100</v>
      </c>
      <c r="M1820" s="15" t="n">
        <f aca="false">IF(J1820=1,0,Inputs!$B$12)</f>
        <v>75</v>
      </c>
      <c r="N1820" s="15" t="n">
        <f aca="false">IF(J1820=1,0,IF(OR(AND(OR(B1820="SITE LOSS",B1820="REGION LOSS"),K1820=1),AND(B1820="ROLE COMPROMISE",H1820=C1820)),Inputs!$B$13,Inputs!$B$14))</f>
        <v>10</v>
      </c>
      <c r="O1820" s="15" t="n">
        <f aca="false">IF(J1820=1,0,Inputs!$B$13)</f>
        <v>20</v>
      </c>
      <c r="P1820" s="15" t="n">
        <f aca="false">SUM(M1820:N1820)</f>
        <v>85</v>
      </c>
      <c r="Q1820" s="15" t="n">
        <f aca="false">IF(J1820=1,"",L1820-P1820)</f>
        <v>15</v>
      </c>
      <c r="R1820" s="15" t="n">
        <f aca="false">IF(OR(J1820=1,M1820&lt;=Inputs!$B$12),1,0)</f>
        <v>1</v>
      </c>
      <c r="S1820" s="15" t="n">
        <f aca="false">IF(OR(J1820=1,N1820&lt;=O1820),1,0)</f>
        <v>1</v>
      </c>
      <c r="T1820" s="15" t="str">
        <f aca="false">IF(J1820=1,"OFFLINE",IF(AND(Q1820&gt;=Inputs!$B$15,R1820=1,S1820=1,P1820&lt;=L1820),"PASS","FAIL"))</f>
        <v>PASS</v>
      </c>
    </row>
    <row r="1821" customFormat="false" ht="15" hidden="false" customHeight="false" outlineLevel="0" collapsed="false">
      <c r="A1821" s="14" t="s">
        <v>1035</v>
      </c>
      <c r="B1821" s="14" t="s">
        <v>1019</v>
      </c>
      <c r="C1821" s="14" t="s">
        <v>202</v>
      </c>
      <c r="D1821" s="14" t="s">
        <v>196</v>
      </c>
      <c r="E1821" s="14" t="s">
        <v>172</v>
      </c>
      <c r="F1821" s="14" t="s">
        <v>191</v>
      </c>
      <c r="G1821" s="14" t="n">
        <v>3</v>
      </c>
      <c r="H1821" s="14" t="s">
        <v>158</v>
      </c>
      <c r="I1821" s="14" t="s">
        <v>811</v>
      </c>
      <c r="J1821" s="15" t="n">
        <f aca="false">IF(B1821="SITE LOSS",IF(D1821=C1821,1,0),IF(B1821="REGION LOSS",IF(E1821=C1821,1,0),0))</f>
        <v>0</v>
      </c>
      <c r="K1821" s="15" t="n">
        <f aca="false">IF(B1821="SITE LOSS",IF(COUNTIFS('Site Dockets'!$B$7:$B$24,C1821,'Site Dockets'!$C$7:$C$24,F1821)&gt;0,1,0),IF(B1821="REGION LOSS",IF(COUNTIFS('Site Dockets'!$E$7:$E$24,C1821,'Site Dockets'!$C$7:$C$24,F1821)&gt;0,1,0),0))</f>
        <v>0</v>
      </c>
      <c r="L1821" s="15" t="n">
        <f aca="false">IF(J1821=1,0,Inputs!$B$11)</f>
        <v>100</v>
      </c>
      <c r="M1821" s="15" t="n">
        <f aca="false">IF(J1821=1,0,Inputs!$B$12)</f>
        <v>75</v>
      </c>
      <c r="N1821" s="15" t="n">
        <f aca="false">IF(J1821=1,0,IF(OR(AND(OR(B1821="SITE LOSS",B1821="REGION LOSS"),K1821=1),AND(B1821="ROLE COMPROMISE",H1821=C1821)),Inputs!$B$13,Inputs!$B$14))</f>
        <v>10</v>
      </c>
      <c r="O1821" s="15" t="n">
        <f aca="false">IF(J1821=1,0,Inputs!$B$13)</f>
        <v>20</v>
      </c>
      <c r="P1821" s="15" t="n">
        <f aca="false">SUM(M1821:N1821)</f>
        <v>85</v>
      </c>
      <c r="Q1821" s="15" t="n">
        <f aca="false">IF(J1821=1,"",L1821-P1821)</f>
        <v>15</v>
      </c>
      <c r="R1821" s="15" t="n">
        <f aca="false">IF(OR(J1821=1,M1821&lt;=Inputs!$B$12),1,0)</f>
        <v>1</v>
      </c>
      <c r="S1821" s="15" t="n">
        <f aca="false">IF(OR(J1821=1,N1821&lt;=O1821),1,0)</f>
        <v>1</v>
      </c>
      <c r="T1821" s="15" t="str">
        <f aca="false">IF(J1821=1,"OFFLINE",IF(AND(Q1821&gt;=Inputs!$B$15,R1821=1,S1821=1,P1821&lt;=L1821),"PASS","FAIL"))</f>
        <v>PASS</v>
      </c>
    </row>
    <row r="1822" customFormat="false" ht="15" hidden="false" customHeight="false" outlineLevel="0" collapsed="false">
      <c r="A1822" s="14" t="s">
        <v>1035</v>
      </c>
      <c r="B1822" s="14" t="s">
        <v>1019</v>
      </c>
      <c r="C1822" s="14" t="s">
        <v>202</v>
      </c>
      <c r="D1822" s="14" t="s">
        <v>196</v>
      </c>
      <c r="E1822" s="14" t="s">
        <v>172</v>
      </c>
      <c r="F1822" s="14" t="s">
        <v>191</v>
      </c>
      <c r="G1822" s="14" t="n">
        <v>3</v>
      </c>
      <c r="H1822" s="14" t="s">
        <v>158</v>
      </c>
      <c r="I1822" s="14" t="s">
        <v>895</v>
      </c>
      <c r="J1822" s="15" t="n">
        <f aca="false">IF(B1822="SITE LOSS",IF(D1822=C1822,1,0),IF(B1822="REGION LOSS",IF(E1822=C1822,1,0),0))</f>
        <v>0</v>
      </c>
      <c r="K1822" s="15" t="n">
        <f aca="false">IF(B1822="SITE LOSS",IF(COUNTIFS('Site Dockets'!$B$7:$B$24,C1822,'Site Dockets'!$C$7:$C$24,F1822)&gt;0,1,0),IF(B1822="REGION LOSS",IF(COUNTIFS('Site Dockets'!$E$7:$E$24,C1822,'Site Dockets'!$C$7:$C$24,F1822)&gt;0,1,0),0))</f>
        <v>0</v>
      </c>
      <c r="L1822" s="15" t="n">
        <f aca="false">IF(J1822=1,0,Inputs!$B$11)</f>
        <v>100</v>
      </c>
      <c r="M1822" s="15" t="n">
        <f aca="false">IF(J1822=1,0,Inputs!$B$12)</f>
        <v>75</v>
      </c>
      <c r="N1822" s="15" t="n">
        <f aca="false">IF(J1822=1,0,IF(OR(AND(OR(B1822="SITE LOSS",B1822="REGION LOSS"),K1822=1),AND(B1822="ROLE COMPROMISE",H1822=C1822)),Inputs!$B$13,Inputs!$B$14))</f>
        <v>10</v>
      </c>
      <c r="O1822" s="15" t="n">
        <f aca="false">IF(J1822=1,0,Inputs!$B$13)</f>
        <v>20</v>
      </c>
      <c r="P1822" s="15" t="n">
        <f aca="false">SUM(M1822:N1822)</f>
        <v>85</v>
      </c>
      <c r="Q1822" s="15" t="n">
        <f aca="false">IF(J1822=1,"",L1822-P1822)</f>
        <v>15</v>
      </c>
      <c r="R1822" s="15" t="n">
        <f aca="false">IF(OR(J1822=1,M1822&lt;=Inputs!$B$12),1,0)</f>
        <v>1</v>
      </c>
      <c r="S1822" s="15" t="n">
        <f aca="false">IF(OR(J1822=1,N1822&lt;=O1822),1,0)</f>
        <v>1</v>
      </c>
      <c r="T1822" s="15" t="str">
        <f aca="false">IF(J1822=1,"OFFLINE",IF(AND(Q1822&gt;=Inputs!$B$15,R1822=1,S1822=1,P1822&lt;=L1822),"PASS","FAIL"))</f>
        <v>PASS</v>
      </c>
    </row>
    <row r="1823" customFormat="false" ht="15" hidden="false" customHeight="false" outlineLevel="0" collapsed="false">
      <c r="A1823" s="14" t="s">
        <v>1035</v>
      </c>
      <c r="B1823" s="14" t="s">
        <v>1019</v>
      </c>
      <c r="C1823" s="14" t="s">
        <v>202</v>
      </c>
      <c r="D1823" s="14" t="s">
        <v>196</v>
      </c>
      <c r="E1823" s="14" t="s">
        <v>172</v>
      </c>
      <c r="F1823" s="14" t="s">
        <v>191</v>
      </c>
      <c r="G1823" s="14" t="n">
        <v>3</v>
      </c>
      <c r="H1823" s="14" t="s">
        <v>158</v>
      </c>
      <c r="I1823" s="14" t="s">
        <v>897</v>
      </c>
      <c r="J1823" s="15" t="n">
        <f aca="false">IF(B1823="SITE LOSS",IF(D1823=C1823,1,0),IF(B1823="REGION LOSS",IF(E1823=C1823,1,0),0))</f>
        <v>0</v>
      </c>
      <c r="K1823" s="15" t="n">
        <f aca="false">IF(B1823="SITE LOSS",IF(COUNTIFS('Site Dockets'!$B$7:$B$24,C1823,'Site Dockets'!$C$7:$C$24,F1823)&gt;0,1,0),IF(B1823="REGION LOSS",IF(COUNTIFS('Site Dockets'!$E$7:$E$24,C1823,'Site Dockets'!$C$7:$C$24,F1823)&gt;0,1,0),0))</f>
        <v>0</v>
      </c>
      <c r="L1823" s="15" t="n">
        <f aca="false">IF(J1823=1,0,Inputs!$B$11)</f>
        <v>100</v>
      </c>
      <c r="M1823" s="15" t="n">
        <f aca="false">IF(J1823=1,0,Inputs!$B$12)</f>
        <v>75</v>
      </c>
      <c r="N1823" s="15" t="n">
        <f aca="false">IF(J1823=1,0,IF(OR(AND(OR(B1823="SITE LOSS",B1823="REGION LOSS"),K1823=1),AND(B1823="ROLE COMPROMISE",H1823=C1823)),Inputs!$B$13,Inputs!$B$14))</f>
        <v>10</v>
      </c>
      <c r="O1823" s="15" t="n">
        <f aca="false">IF(J1823=1,0,Inputs!$B$13)</f>
        <v>20</v>
      </c>
      <c r="P1823" s="15" t="n">
        <f aca="false">SUM(M1823:N1823)</f>
        <v>85</v>
      </c>
      <c r="Q1823" s="15" t="n">
        <f aca="false">IF(J1823=1,"",L1823-P1823)</f>
        <v>15</v>
      </c>
      <c r="R1823" s="15" t="n">
        <f aca="false">IF(OR(J1823=1,M1823&lt;=Inputs!$B$12),1,0)</f>
        <v>1</v>
      </c>
      <c r="S1823" s="15" t="n">
        <f aca="false">IF(OR(J1823=1,N1823&lt;=O1823),1,0)</f>
        <v>1</v>
      </c>
      <c r="T1823" s="15" t="str">
        <f aca="false">IF(J1823=1,"OFFLINE",IF(AND(Q1823&gt;=Inputs!$B$15,R1823=1,S1823=1,P1823&lt;=L1823),"PASS","FAIL"))</f>
        <v>PASS</v>
      </c>
    </row>
    <row r="1824" customFormat="false" ht="15" hidden="false" customHeight="false" outlineLevel="0" collapsed="false">
      <c r="A1824" s="14" t="s">
        <v>1035</v>
      </c>
      <c r="B1824" s="14" t="s">
        <v>1019</v>
      </c>
      <c r="C1824" s="14" t="s">
        <v>202</v>
      </c>
      <c r="D1824" s="14" t="s">
        <v>196</v>
      </c>
      <c r="E1824" s="14" t="s">
        <v>172</v>
      </c>
      <c r="F1824" s="14" t="s">
        <v>191</v>
      </c>
      <c r="G1824" s="14" t="n">
        <v>3</v>
      </c>
      <c r="H1824" s="14" t="s">
        <v>158</v>
      </c>
      <c r="I1824" s="14" t="s">
        <v>899</v>
      </c>
      <c r="J1824" s="15" t="n">
        <f aca="false">IF(B1824="SITE LOSS",IF(D1824=C1824,1,0),IF(B1824="REGION LOSS",IF(E1824=C1824,1,0),0))</f>
        <v>0</v>
      </c>
      <c r="K1824" s="15" t="n">
        <f aca="false">IF(B1824="SITE LOSS",IF(COUNTIFS('Site Dockets'!$B$7:$B$24,C1824,'Site Dockets'!$C$7:$C$24,F1824)&gt;0,1,0),IF(B1824="REGION LOSS",IF(COUNTIFS('Site Dockets'!$E$7:$E$24,C1824,'Site Dockets'!$C$7:$C$24,F1824)&gt;0,1,0),0))</f>
        <v>0</v>
      </c>
      <c r="L1824" s="15" t="n">
        <f aca="false">IF(J1824=1,0,Inputs!$B$11)</f>
        <v>100</v>
      </c>
      <c r="M1824" s="15" t="n">
        <f aca="false">IF(J1824=1,0,Inputs!$B$12)</f>
        <v>75</v>
      </c>
      <c r="N1824" s="15" t="n">
        <f aca="false">IF(J1824=1,0,IF(OR(AND(OR(B1824="SITE LOSS",B1824="REGION LOSS"),K1824=1),AND(B1824="ROLE COMPROMISE",H1824=C1824)),Inputs!$B$13,Inputs!$B$14))</f>
        <v>10</v>
      </c>
      <c r="O1824" s="15" t="n">
        <f aca="false">IF(J1824=1,0,Inputs!$B$13)</f>
        <v>20</v>
      </c>
      <c r="P1824" s="15" t="n">
        <f aca="false">SUM(M1824:N1824)</f>
        <v>85</v>
      </c>
      <c r="Q1824" s="15" t="n">
        <f aca="false">IF(J1824=1,"",L1824-P1824)</f>
        <v>15</v>
      </c>
      <c r="R1824" s="15" t="n">
        <f aca="false">IF(OR(J1824=1,M1824&lt;=Inputs!$B$12),1,0)</f>
        <v>1</v>
      </c>
      <c r="S1824" s="15" t="n">
        <f aca="false">IF(OR(J1824=1,N1824&lt;=O1824),1,0)</f>
        <v>1</v>
      </c>
      <c r="T1824" s="15" t="str">
        <f aca="false">IF(J1824=1,"OFFLINE",IF(AND(Q1824&gt;=Inputs!$B$15,R1824=1,S1824=1,P1824&lt;=L1824),"PASS","FAIL"))</f>
        <v>PASS</v>
      </c>
    </row>
    <row r="1825" customFormat="false" ht="15" hidden="false" customHeight="false" outlineLevel="0" collapsed="false">
      <c r="A1825" s="14" t="s">
        <v>1035</v>
      </c>
      <c r="B1825" s="14" t="s">
        <v>1019</v>
      </c>
      <c r="C1825" s="14" t="s">
        <v>202</v>
      </c>
      <c r="D1825" s="14" t="s">
        <v>198</v>
      </c>
      <c r="E1825" s="14" t="s">
        <v>166</v>
      </c>
      <c r="F1825" s="14" t="s">
        <v>199</v>
      </c>
      <c r="G1825" s="14" t="n">
        <v>1</v>
      </c>
      <c r="H1825" s="14" t="s">
        <v>154</v>
      </c>
      <c r="I1825" s="14" t="s">
        <v>890</v>
      </c>
      <c r="J1825" s="15" t="n">
        <f aca="false">IF(B1825="SITE LOSS",IF(D1825=C1825,1,0),IF(B1825="REGION LOSS",IF(E1825=C1825,1,0),0))</f>
        <v>0</v>
      </c>
      <c r="K1825" s="15" t="n">
        <f aca="false">IF(B1825="SITE LOSS",IF(COUNTIFS('Site Dockets'!$B$7:$B$24,C1825,'Site Dockets'!$C$7:$C$24,F1825)&gt;0,1,0),IF(B1825="REGION LOSS",IF(COUNTIFS('Site Dockets'!$E$7:$E$24,C1825,'Site Dockets'!$C$7:$C$24,F1825)&gt;0,1,0),0))</f>
        <v>1</v>
      </c>
      <c r="L1825" s="15" t="n">
        <f aca="false">IF(J1825=1,0,Inputs!$B$11)</f>
        <v>100</v>
      </c>
      <c r="M1825" s="15" t="n">
        <f aca="false">IF(J1825=1,0,Inputs!$B$12)</f>
        <v>75</v>
      </c>
      <c r="N1825" s="15" t="n">
        <f aca="false">IF(J1825=1,0,IF(OR(AND(OR(B1825="SITE LOSS",B1825="REGION LOSS"),K1825=1),AND(B1825="ROLE COMPROMISE",H1825=C1825)),Inputs!$B$13,Inputs!$B$14))</f>
        <v>20</v>
      </c>
      <c r="O1825" s="15" t="n">
        <f aca="false">IF(J1825=1,0,Inputs!$B$13)</f>
        <v>20</v>
      </c>
      <c r="P1825" s="15" t="n">
        <f aca="false">SUM(M1825:N1825)</f>
        <v>95</v>
      </c>
      <c r="Q1825" s="15" t="n">
        <f aca="false">IF(J1825=1,"",L1825-P1825)</f>
        <v>5</v>
      </c>
      <c r="R1825" s="15" t="n">
        <f aca="false">IF(OR(J1825=1,M1825&lt;=Inputs!$B$12),1,0)</f>
        <v>1</v>
      </c>
      <c r="S1825" s="15" t="n">
        <f aca="false">IF(OR(J1825=1,N1825&lt;=O1825),1,0)</f>
        <v>1</v>
      </c>
      <c r="T1825" s="15" t="str">
        <f aca="false">IF(J1825=1,"OFFLINE",IF(AND(Q1825&gt;=Inputs!$B$15,R1825=1,S1825=1,P1825&lt;=L1825),"PASS","FAIL"))</f>
        <v>PASS</v>
      </c>
    </row>
    <row r="1826" customFormat="false" ht="15" hidden="false" customHeight="false" outlineLevel="0" collapsed="false">
      <c r="A1826" s="14" t="s">
        <v>1035</v>
      </c>
      <c r="B1826" s="14" t="s">
        <v>1019</v>
      </c>
      <c r="C1826" s="14" t="s">
        <v>202</v>
      </c>
      <c r="D1826" s="14" t="s">
        <v>198</v>
      </c>
      <c r="E1826" s="14" t="s">
        <v>166</v>
      </c>
      <c r="F1826" s="14" t="s">
        <v>199</v>
      </c>
      <c r="G1826" s="14" t="n">
        <v>1</v>
      </c>
      <c r="H1826" s="14" t="s">
        <v>154</v>
      </c>
      <c r="I1826" s="14" t="s">
        <v>892</v>
      </c>
      <c r="J1826" s="15" t="n">
        <f aca="false">IF(B1826="SITE LOSS",IF(D1826=C1826,1,0),IF(B1826="REGION LOSS",IF(E1826=C1826,1,0),0))</f>
        <v>0</v>
      </c>
      <c r="K1826" s="15" t="n">
        <f aca="false">IF(B1826="SITE LOSS",IF(COUNTIFS('Site Dockets'!$B$7:$B$24,C1826,'Site Dockets'!$C$7:$C$24,F1826)&gt;0,1,0),IF(B1826="REGION LOSS",IF(COUNTIFS('Site Dockets'!$E$7:$E$24,C1826,'Site Dockets'!$C$7:$C$24,F1826)&gt;0,1,0),0))</f>
        <v>1</v>
      </c>
      <c r="L1826" s="15" t="n">
        <f aca="false">IF(J1826=1,0,Inputs!$B$11)</f>
        <v>100</v>
      </c>
      <c r="M1826" s="15" t="n">
        <f aca="false">IF(J1826=1,0,Inputs!$B$12)</f>
        <v>75</v>
      </c>
      <c r="N1826" s="15" t="n">
        <f aca="false">IF(J1826=1,0,IF(OR(AND(OR(B1826="SITE LOSS",B1826="REGION LOSS"),K1826=1),AND(B1826="ROLE COMPROMISE",H1826=C1826)),Inputs!$B$13,Inputs!$B$14))</f>
        <v>20</v>
      </c>
      <c r="O1826" s="15" t="n">
        <f aca="false">IF(J1826=1,0,Inputs!$B$13)</f>
        <v>20</v>
      </c>
      <c r="P1826" s="15" t="n">
        <f aca="false">SUM(M1826:N1826)</f>
        <v>95</v>
      </c>
      <c r="Q1826" s="15" t="n">
        <f aca="false">IF(J1826=1,"",L1826-P1826)</f>
        <v>5</v>
      </c>
      <c r="R1826" s="15" t="n">
        <f aca="false">IF(OR(J1826=1,M1826&lt;=Inputs!$B$12),1,0)</f>
        <v>1</v>
      </c>
      <c r="S1826" s="15" t="n">
        <f aca="false">IF(OR(J1826=1,N1826&lt;=O1826),1,0)</f>
        <v>1</v>
      </c>
      <c r="T1826" s="15" t="str">
        <f aca="false">IF(J1826=1,"OFFLINE",IF(AND(Q1826&gt;=Inputs!$B$15,R1826=1,S1826=1,P1826&lt;=L1826),"PASS","FAIL"))</f>
        <v>PASS</v>
      </c>
    </row>
    <row r="1827" customFormat="false" ht="15" hidden="false" customHeight="false" outlineLevel="0" collapsed="false">
      <c r="A1827" s="14" t="s">
        <v>1035</v>
      </c>
      <c r="B1827" s="14" t="s">
        <v>1019</v>
      </c>
      <c r="C1827" s="14" t="s">
        <v>202</v>
      </c>
      <c r="D1827" s="14" t="s">
        <v>198</v>
      </c>
      <c r="E1827" s="14" t="s">
        <v>166</v>
      </c>
      <c r="F1827" s="14" t="s">
        <v>199</v>
      </c>
      <c r="G1827" s="14" t="n">
        <v>1</v>
      </c>
      <c r="H1827" s="14" t="s">
        <v>154</v>
      </c>
      <c r="I1827" s="14" t="s">
        <v>811</v>
      </c>
      <c r="J1827" s="15" t="n">
        <f aca="false">IF(B1827="SITE LOSS",IF(D1827=C1827,1,0),IF(B1827="REGION LOSS",IF(E1827=C1827,1,0),0))</f>
        <v>0</v>
      </c>
      <c r="K1827" s="15" t="n">
        <f aca="false">IF(B1827="SITE LOSS",IF(COUNTIFS('Site Dockets'!$B$7:$B$24,C1827,'Site Dockets'!$C$7:$C$24,F1827)&gt;0,1,0),IF(B1827="REGION LOSS",IF(COUNTIFS('Site Dockets'!$E$7:$E$24,C1827,'Site Dockets'!$C$7:$C$24,F1827)&gt;0,1,0),0))</f>
        <v>1</v>
      </c>
      <c r="L1827" s="15" t="n">
        <f aca="false">IF(J1827=1,0,Inputs!$B$11)</f>
        <v>100</v>
      </c>
      <c r="M1827" s="15" t="n">
        <f aca="false">IF(J1827=1,0,Inputs!$B$12)</f>
        <v>75</v>
      </c>
      <c r="N1827" s="15" t="n">
        <f aca="false">IF(J1827=1,0,IF(OR(AND(OR(B1827="SITE LOSS",B1827="REGION LOSS"),K1827=1),AND(B1827="ROLE COMPROMISE",H1827=C1827)),Inputs!$B$13,Inputs!$B$14))</f>
        <v>20</v>
      </c>
      <c r="O1827" s="15" t="n">
        <f aca="false">IF(J1827=1,0,Inputs!$B$13)</f>
        <v>20</v>
      </c>
      <c r="P1827" s="15" t="n">
        <f aca="false">SUM(M1827:N1827)</f>
        <v>95</v>
      </c>
      <c r="Q1827" s="15" t="n">
        <f aca="false">IF(J1827=1,"",L1827-P1827)</f>
        <v>5</v>
      </c>
      <c r="R1827" s="15" t="n">
        <f aca="false">IF(OR(J1827=1,M1827&lt;=Inputs!$B$12),1,0)</f>
        <v>1</v>
      </c>
      <c r="S1827" s="15" t="n">
        <f aca="false">IF(OR(J1827=1,N1827&lt;=O1827),1,0)</f>
        <v>1</v>
      </c>
      <c r="T1827" s="15" t="str">
        <f aca="false">IF(J1827=1,"OFFLINE",IF(AND(Q1827&gt;=Inputs!$B$15,R1827=1,S1827=1,P1827&lt;=L1827),"PASS","FAIL"))</f>
        <v>PASS</v>
      </c>
    </row>
    <row r="1828" customFormat="false" ht="15" hidden="false" customHeight="false" outlineLevel="0" collapsed="false">
      <c r="A1828" s="14" t="s">
        <v>1035</v>
      </c>
      <c r="B1828" s="14" t="s">
        <v>1019</v>
      </c>
      <c r="C1828" s="14" t="s">
        <v>202</v>
      </c>
      <c r="D1828" s="14" t="s">
        <v>198</v>
      </c>
      <c r="E1828" s="14" t="s">
        <v>166</v>
      </c>
      <c r="F1828" s="14" t="s">
        <v>199</v>
      </c>
      <c r="G1828" s="14" t="n">
        <v>1</v>
      </c>
      <c r="H1828" s="14" t="s">
        <v>154</v>
      </c>
      <c r="I1828" s="14" t="s">
        <v>895</v>
      </c>
      <c r="J1828" s="15" t="n">
        <f aca="false">IF(B1828="SITE LOSS",IF(D1828=C1828,1,0),IF(B1828="REGION LOSS",IF(E1828=C1828,1,0),0))</f>
        <v>0</v>
      </c>
      <c r="K1828" s="15" t="n">
        <f aca="false">IF(B1828="SITE LOSS",IF(COUNTIFS('Site Dockets'!$B$7:$B$24,C1828,'Site Dockets'!$C$7:$C$24,F1828)&gt;0,1,0),IF(B1828="REGION LOSS",IF(COUNTIFS('Site Dockets'!$E$7:$E$24,C1828,'Site Dockets'!$C$7:$C$24,F1828)&gt;0,1,0),0))</f>
        <v>1</v>
      </c>
      <c r="L1828" s="15" t="n">
        <f aca="false">IF(J1828=1,0,Inputs!$B$11)</f>
        <v>100</v>
      </c>
      <c r="M1828" s="15" t="n">
        <f aca="false">IF(J1828=1,0,Inputs!$B$12)</f>
        <v>75</v>
      </c>
      <c r="N1828" s="15" t="n">
        <f aca="false">IF(J1828=1,0,IF(OR(AND(OR(B1828="SITE LOSS",B1828="REGION LOSS"),K1828=1),AND(B1828="ROLE COMPROMISE",H1828=C1828)),Inputs!$B$13,Inputs!$B$14))</f>
        <v>20</v>
      </c>
      <c r="O1828" s="15" t="n">
        <f aca="false">IF(J1828=1,0,Inputs!$B$13)</f>
        <v>20</v>
      </c>
      <c r="P1828" s="15" t="n">
        <f aca="false">SUM(M1828:N1828)</f>
        <v>95</v>
      </c>
      <c r="Q1828" s="15" t="n">
        <f aca="false">IF(J1828=1,"",L1828-P1828)</f>
        <v>5</v>
      </c>
      <c r="R1828" s="15" t="n">
        <f aca="false">IF(OR(J1828=1,M1828&lt;=Inputs!$B$12),1,0)</f>
        <v>1</v>
      </c>
      <c r="S1828" s="15" t="n">
        <f aca="false">IF(OR(J1828=1,N1828&lt;=O1828),1,0)</f>
        <v>1</v>
      </c>
      <c r="T1828" s="15" t="str">
        <f aca="false">IF(J1828=1,"OFFLINE",IF(AND(Q1828&gt;=Inputs!$B$15,R1828=1,S1828=1,P1828&lt;=L1828),"PASS","FAIL"))</f>
        <v>PASS</v>
      </c>
    </row>
    <row r="1829" customFormat="false" ht="15" hidden="false" customHeight="false" outlineLevel="0" collapsed="false">
      <c r="A1829" s="14" t="s">
        <v>1035</v>
      </c>
      <c r="B1829" s="14" t="s">
        <v>1019</v>
      </c>
      <c r="C1829" s="14" t="s">
        <v>202</v>
      </c>
      <c r="D1829" s="14" t="s">
        <v>198</v>
      </c>
      <c r="E1829" s="14" t="s">
        <v>166</v>
      </c>
      <c r="F1829" s="14" t="s">
        <v>199</v>
      </c>
      <c r="G1829" s="14" t="n">
        <v>1</v>
      </c>
      <c r="H1829" s="14" t="s">
        <v>154</v>
      </c>
      <c r="I1829" s="14" t="s">
        <v>897</v>
      </c>
      <c r="J1829" s="15" t="n">
        <f aca="false">IF(B1829="SITE LOSS",IF(D1829=C1829,1,0),IF(B1829="REGION LOSS",IF(E1829=C1829,1,0),0))</f>
        <v>0</v>
      </c>
      <c r="K1829" s="15" t="n">
        <f aca="false">IF(B1829="SITE LOSS",IF(COUNTIFS('Site Dockets'!$B$7:$B$24,C1829,'Site Dockets'!$C$7:$C$24,F1829)&gt;0,1,0),IF(B1829="REGION LOSS",IF(COUNTIFS('Site Dockets'!$E$7:$E$24,C1829,'Site Dockets'!$C$7:$C$24,F1829)&gt;0,1,0),0))</f>
        <v>1</v>
      </c>
      <c r="L1829" s="15" t="n">
        <f aca="false">IF(J1829=1,0,Inputs!$B$11)</f>
        <v>100</v>
      </c>
      <c r="M1829" s="15" t="n">
        <f aca="false">IF(J1829=1,0,Inputs!$B$12)</f>
        <v>75</v>
      </c>
      <c r="N1829" s="15" t="n">
        <f aca="false">IF(J1829=1,0,IF(OR(AND(OR(B1829="SITE LOSS",B1829="REGION LOSS"),K1829=1),AND(B1829="ROLE COMPROMISE",H1829=C1829)),Inputs!$B$13,Inputs!$B$14))</f>
        <v>20</v>
      </c>
      <c r="O1829" s="15" t="n">
        <f aca="false">IF(J1829=1,0,Inputs!$B$13)</f>
        <v>20</v>
      </c>
      <c r="P1829" s="15" t="n">
        <f aca="false">SUM(M1829:N1829)</f>
        <v>95</v>
      </c>
      <c r="Q1829" s="15" t="n">
        <f aca="false">IF(J1829=1,"",L1829-P1829)</f>
        <v>5</v>
      </c>
      <c r="R1829" s="15" t="n">
        <f aca="false">IF(OR(J1829=1,M1829&lt;=Inputs!$B$12),1,0)</f>
        <v>1</v>
      </c>
      <c r="S1829" s="15" t="n">
        <f aca="false">IF(OR(J1829=1,N1829&lt;=O1829),1,0)</f>
        <v>1</v>
      </c>
      <c r="T1829" s="15" t="str">
        <f aca="false">IF(J1829=1,"OFFLINE",IF(AND(Q1829&gt;=Inputs!$B$15,R1829=1,S1829=1,P1829&lt;=L1829),"PASS","FAIL"))</f>
        <v>PASS</v>
      </c>
    </row>
    <row r="1830" customFormat="false" ht="15" hidden="false" customHeight="false" outlineLevel="0" collapsed="false">
      <c r="A1830" s="14" t="s">
        <v>1035</v>
      </c>
      <c r="B1830" s="14" t="s">
        <v>1019</v>
      </c>
      <c r="C1830" s="14" t="s">
        <v>202</v>
      </c>
      <c r="D1830" s="14" t="s">
        <v>198</v>
      </c>
      <c r="E1830" s="14" t="s">
        <v>166</v>
      </c>
      <c r="F1830" s="14" t="s">
        <v>199</v>
      </c>
      <c r="G1830" s="14" t="n">
        <v>1</v>
      </c>
      <c r="H1830" s="14" t="s">
        <v>154</v>
      </c>
      <c r="I1830" s="14" t="s">
        <v>899</v>
      </c>
      <c r="J1830" s="15" t="n">
        <f aca="false">IF(B1830="SITE LOSS",IF(D1830=C1830,1,0),IF(B1830="REGION LOSS",IF(E1830=C1830,1,0),0))</f>
        <v>0</v>
      </c>
      <c r="K1830" s="15" t="n">
        <f aca="false">IF(B1830="SITE LOSS",IF(COUNTIFS('Site Dockets'!$B$7:$B$24,C1830,'Site Dockets'!$C$7:$C$24,F1830)&gt;0,1,0),IF(B1830="REGION LOSS",IF(COUNTIFS('Site Dockets'!$E$7:$E$24,C1830,'Site Dockets'!$C$7:$C$24,F1830)&gt;0,1,0),0))</f>
        <v>1</v>
      </c>
      <c r="L1830" s="15" t="n">
        <f aca="false">IF(J1830=1,0,Inputs!$B$11)</f>
        <v>100</v>
      </c>
      <c r="M1830" s="15" t="n">
        <f aca="false">IF(J1830=1,0,Inputs!$B$12)</f>
        <v>75</v>
      </c>
      <c r="N1830" s="15" t="n">
        <f aca="false">IF(J1830=1,0,IF(OR(AND(OR(B1830="SITE LOSS",B1830="REGION LOSS"),K1830=1),AND(B1830="ROLE COMPROMISE",H1830=C1830)),Inputs!$B$13,Inputs!$B$14))</f>
        <v>20</v>
      </c>
      <c r="O1830" s="15" t="n">
        <f aca="false">IF(J1830=1,0,Inputs!$B$13)</f>
        <v>20</v>
      </c>
      <c r="P1830" s="15" t="n">
        <f aca="false">SUM(M1830:N1830)</f>
        <v>95</v>
      </c>
      <c r="Q1830" s="15" t="n">
        <f aca="false">IF(J1830=1,"",L1830-P1830)</f>
        <v>5</v>
      </c>
      <c r="R1830" s="15" t="n">
        <f aca="false">IF(OR(J1830=1,M1830&lt;=Inputs!$B$12),1,0)</f>
        <v>1</v>
      </c>
      <c r="S1830" s="15" t="n">
        <f aca="false">IF(OR(J1830=1,N1830&lt;=O1830),1,0)</f>
        <v>1</v>
      </c>
      <c r="T1830" s="15" t="str">
        <f aca="false">IF(J1830=1,"OFFLINE",IF(AND(Q1830&gt;=Inputs!$B$15,R1830=1,S1830=1,P1830&lt;=L1830),"PASS","FAIL"))</f>
        <v>PASS</v>
      </c>
    </row>
    <row r="1831" customFormat="false" ht="15" hidden="false" customHeight="false" outlineLevel="0" collapsed="false">
      <c r="A1831" s="14" t="s">
        <v>1035</v>
      </c>
      <c r="B1831" s="14" t="s">
        <v>1019</v>
      </c>
      <c r="C1831" s="14" t="s">
        <v>202</v>
      </c>
      <c r="D1831" s="14" t="s">
        <v>202</v>
      </c>
      <c r="E1831" s="14" t="s">
        <v>157</v>
      </c>
      <c r="F1831" s="14" t="s">
        <v>199</v>
      </c>
      <c r="G1831" s="14" t="n">
        <v>2</v>
      </c>
      <c r="H1831" s="14" t="s">
        <v>153</v>
      </c>
      <c r="I1831" s="14" t="s">
        <v>890</v>
      </c>
      <c r="J1831" s="15" t="n">
        <f aca="false">IF(B1831="SITE LOSS",IF(D1831=C1831,1,0),IF(B1831="REGION LOSS",IF(E1831=C1831,1,0),0))</f>
        <v>1</v>
      </c>
      <c r="K1831" s="15" t="n">
        <f aca="false">IF(B1831="SITE LOSS",IF(COUNTIFS('Site Dockets'!$B$7:$B$24,C1831,'Site Dockets'!$C$7:$C$24,F1831)&gt;0,1,0),IF(B1831="REGION LOSS",IF(COUNTIFS('Site Dockets'!$E$7:$E$24,C1831,'Site Dockets'!$C$7:$C$24,F1831)&gt;0,1,0),0))</f>
        <v>1</v>
      </c>
      <c r="L1831" s="15" t="n">
        <f aca="false">IF(J1831=1,0,Inputs!$B$11)</f>
        <v>0</v>
      </c>
      <c r="M1831" s="15" t="n">
        <f aca="false">IF(J1831=1,0,Inputs!$B$12)</f>
        <v>0</v>
      </c>
      <c r="N1831" s="15" t="n">
        <f aca="false">IF(J1831=1,0,IF(OR(AND(OR(B1831="SITE LOSS",B1831="REGION LOSS"),K1831=1),AND(B1831="ROLE COMPROMISE",H1831=C1831)),Inputs!$B$13,Inputs!$B$14))</f>
        <v>0</v>
      </c>
      <c r="O1831" s="15" t="n">
        <f aca="false">IF(J1831=1,0,Inputs!$B$13)</f>
        <v>0</v>
      </c>
      <c r="P1831" s="15" t="n">
        <f aca="false">SUM(M1831:N1831)</f>
        <v>0</v>
      </c>
      <c r="Q1831" s="15" t="str">
        <f aca="false">IF(J1831=1,"",L1831-P1831)</f>
        <v/>
      </c>
      <c r="R1831" s="15" t="n">
        <f aca="false">IF(OR(J1831=1,M1831&lt;=Inputs!$B$12),1,0)</f>
        <v>1</v>
      </c>
      <c r="S1831" s="15" t="n">
        <f aca="false">IF(OR(J1831=1,N1831&lt;=O1831),1,0)</f>
        <v>1</v>
      </c>
      <c r="T1831" s="15" t="str">
        <f aca="false">IF(J1831=1,"OFFLINE",IF(AND(Q1831&gt;=Inputs!$B$15,R1831=1,S1831=1,P1831&lt;=L1831),"PASS","FAIL"))</f>
        <v>OFFLINE</v>
      </c>
    </row>
    <row r="1832" customFormat="false" ht="15" hidden="false" customHeight="false" outlineLevel="0" collapsed="false">
      <c r="A1832" s="14" t="s">
        <v>1035</v>
      </c>
      <c r="B1832" s="14" t="s">
        <v>1019</v>
      </c>
      <c r="C1832" s="14" t="s">
        <v>202</v>
      </c>
      <c r="D1832" s="14" t="s">
        <v>202</v>
      </c>
      <c r="E1832" s="14" t="s">
        <v>157</v>
      </c>
      <c r="F1832" s="14" t="s">
        <v>199</v>
      </c>
      <c r="G1832" s="14" t="n">
        <v>2</v>
      </c>
      <c r="H1832" s="14" t="s">
        <v>153</v>
      </c>
      <c r="I1832" s="14" t="s">
        <v>892</v>
      </c>
      <c r="J1832" s="15" t="n">
        <f aca="false">IF(B1832="SITE LOSS",IF(D1832=C1832,1,0),IF(B1832="REGION LOSS",IF(E1832=C1832,1,0),0))</f>
        <v>1</v>
      </c>
      <c r="K1832" s="15" t="n">
        <f aca="false">IF(B1832="SITE LOSS",IF(COUNTIFS('Site Dockets'!$B$7:$B$24,C1832,'Site Dockets'!$C$7:$C$24,F1832)&gt;0,1,0),IF(B1832="REGION LOSS",IF(COUNTIFS('Site Dockets'!$E$7:$E$24,C1832,'Site Dockets'!$C$7:$C$24,F1832)&gt;0,1,0),0))</f>
        <v>1</v>
      </c>
      <c r="L1832" s="15" t="n">
        <f aca="false">IF(J1832=1,0,Inputs!$B$11)</f>
        <v>0</v>
      </c>
      <c r="M1832" s="15" t="n">
        <f aca="false">IF(J1832=1,0,Inputs!$B$12)</f>
        <v>0</v>
      </c>
      <c r="N1832" s="15" t="n">
        <f aca="false">IF(J1832=1,0,IF(OR(AND(OR(B1832="SITE LOSS",B1832="REGION LOSS"),K1832=1),AND(B1832="ROLE COMPROMISE",H1832=C1832)),Inputs!$B$13,Inputs!$B$14))</f>
        <v>0</v>
      </c>
      <c r="O1832" s="15" t="n">
        <f aca="false">IF(J1832=1,0,Inputs!$B$13)</f>
        <v>0</v>
      </c>
      <c r="P1832" s="15" t="n">
        <f aca="false">SUM(M1832:N1832)</f>
        <v>0</v>
      </c>
      <c r="Q1832" s="15" t="str">
        <f aca="false">IF(J1832=1,"",L1832-P1832)</f>
        <v/>
      </c>
      <c r="R1832" s="15" t="n">
        <f aca="false">IF(OR(J1832=1,M1832&lt;=Inputs!$B$12),1,0)</f>
        <v>1</v>
      </c>
      <c r="S1832" s="15" t="n">
        <f aca="false">IF(OR(J1832=1,N1832&lt;=O1832),1,0)</f>
        <v>1</v>
      </c>
      <c r="T1832" s="15" t="str">
        <f aca="false">IF(J1832=1,"OFFLINE",IF(AND(Q1832&gt;=Inputs!$B$15,R1832=1,S1832=1,P1832&lt;=L1832),"PASS","FAIL"))</f>
        <v>OFFLINE</v>
      </c>
    </row>
    <row r="1833" customFormat="false" ht="15" hidden="false" customHeight="false" outlineLevel="0" collapsed="false">
      <c r="A1833" s="14" t="s">
        <v>1035</v>
      </c>
      <c r="B1833" s="14" t="s">
        <v>1019</v>
      </c>
      <c r="C1833" s="14" t="s">
        <v>202</v>
      </c>
      <c r="D1833" s="14" t="s">
        <v>202</v>
      </c>
      <c r="E1833" s="14" t="s">
        <v>157</v>
      </c>
      <c r="F1833" s="14" t="s">
        <v>199</v>
      </c>
      <c r="G1833" s="14" t="n">
        <v>2</v>
      </c>
      <c r="H1833" s="14" t="s">
        <v>153</v>
      </c>
      <c r="I1833" s="14" t="s">
        <v>811</v>
      </c>
      <c r="J1833" s="15" t="n">
        <f aca="false">IF(B1833="SITE LOSS",IF(D1833=C1833,1,0),IF(B1833="REGION LOSS",IF(E1833=C1833,1,0),0))</f>
        <v>1</v>
      </c>
      <c r="K1833" s="15" t="n">
        <f aca="false">IF(B1833="SITE LOSS",IF(COUNTIFS('Site Dockets'!$B$7:$B$24,C1833,'Site Dockets'!$C$7:$C$24,F1833)&gt;0,1,0),IF(B1833="REGION LOSS",IF(COUNTIFS('Site Dockets'!$E$7:$E$24,C1833,'Site Dockets'!$C$7:$C$24,F1833)&gt;0,1,0),0))</f>
        <v>1</v>
      </c>
      <c r="L1833" s="15" t="n">
        <f aca="false">IF(J1833=1,0,Inputs!$B$11)</f>
        <v>0</v>
      </c>
      <c r="M1833" s="15" t="n">
        <f aca="false">IF(J1833=1,0,Inputs!$B$12)</f>
        <v>0</v>
      </c>
      <c r="N1833" s="15" t="n">
        <f aca="false">IF(J1833=1,0,IF(OR(AND(OR(B1833="SITE LOSS",B1833="REGION LOSS"),K1833=1),AND(B1833="ROLE COMPROMISE",H1833=C1833)),Inputs!$B$13,Inputs!$B$14))</f>
        <v>0</v>
      </c>
      <c r="O1833" s="15" t="n">
        <f aca="false">IF(J1833=1,0,Inputs!$B$13)</f>
        <v>0</v>
      </c>
      <c r="P1833" s="15" t="n">
        <f aca="false">SUM(M1833:N1833)</f>
        <v>0</v>
      </c>
      <c r="Q1833" s="15" t="str">
        <f aca="false">IF(J1833=1,"",L1833-P1833)</f>
        <v/>
      </c>
      <c r="R1833" s="15" t="n">
        <f aca="false">IF(OR(J1833=1,M1833&lt;=Inputs!$B$12),1,0)</f>
        <v>1</v>
      </c>
      <c r="S1833" s="15" t="n">
        <f aca="false">IF(OR(J1833=1,N1833&lt;=O1833),1,0)</f>
        <v>1</v>
      </c>
      <c r="T1833" s="15" t="str">
        <f aca="false">IF(J1833=1,"OFFLINE",IF(AND(Q1833&gt;=Inputs!$B$15,R1833=1,S1833=1,P1833&lt;=L1833),"PASS","FAIL"))</f>
        <v>OFFLINE</v>
      </c>
    </row>
    <row r="1834" customFormat="false" ht="15" hidden="false" customHeight="false" outlineLevel="0" collapsed="false">
      <c r="A1834" s="14" t="s">
        <v>1035</v>
      </c>
      <c r="B1834" s="14" t="s">
        <v>1019</v>
      </c>
      <c r="C1834" s="14" t="s">
        <v>202</v>
      </c>
      <c r="D1834" s="14" t="s">
        <v>202</v>
      </c>
      <c r="E1834" s="14" t="s">
        <v>157</v>
      </c>
      <c r="F1834" s="14" t="s">
        <v>199</v>
      </c>
      <c r="G1834" s="14" t="n">
        <v>2</v>
      </c>
      <c r="H1834" s="14" t="s">
        <v>153</v>
      </c>
      <c r="I1834" s="14" t="s">
        <v>895</v>
      </c>
      <c r="J1834" s="15" t="n">
        <f aca="false">IF(B1834="SITE LOSS",IF(D1834=C1834,1,0),IF(B1834="REGION LOSS",IF(E1834=C1834,1,0),0))</f>
        <v>1</v>
      </c>
      <c r="K1834" s="15" t="n">
        <f aca="false">IF(B1834="SITE LOSS",IF(COUNTIFS('Site Dockets'!$B$7:$B$24,C1834,'Site Dockets'!$C$7:$C$24,F1834)&gt;0,1,0),IF(B1834="REGION LOSS",IF(COUNTIFS('Site Dockets'!$E$7:$E$24,C1834,'Site Dockets'!$C$7:$C$24,F1834)&gt;0,1,0),0))</f>
        <v>1</v>
      </c>
      <c r="L1834" s="15" t="n">
        <f aca="false">IF(J1834=1,0,Inputs!$B$11)</f>
        <v>0</v>
      </c>
      <c r="M1834" s="15" t="n">
        <f aca="false">IF(J1834=1,0,Inputs!$B$12)</f>
        <v>0</v>
      </c>
      <c r="N1834" s="15" t="n">
        <f aca="false">IF(J1834=1,0,IF(OR(AND(OR(B1834="SITE LOSS",B1834="REGION LOSS"),K1834=1),AND(B1834="ROLE COMPROMISE",H1834=C1834)),Inputs!$B$13,Inputs!$B$14))</f>
        <v>0</v>
      </c>
      <c r="O1834" s="15" t="n">
        <f aca="false">IF(J1834=1,0,Inputs!$B$13)</f>
        <v>0</v>
      </c>
      <c r="P1834" s="15" t="n">
        <f aca="false">SUM(M1834:N1834)</f>
        <v>0</v>
      </c>
      <c r="Q1834" s="15" t="str">
        <f aca="false">IF(J1834=1,"",L1834-P1834)</f>
        <v/>
      </c>
      <c r="R1834" s="15" t="n">
        <f aca="false">IF(OR(J1834=1,M1834&lt;=Inputs!$B$12),1,0)</f>
        <v>1</v>
      </c>
      <c r="S1834" s="15" t="n">
        <f aca="false">IF(OR(J1834=1,N1834&lt;=O1834),1,0)</f>
        <v>1</v>
      </c>
      <c r="T1834" s="15" t="str">
        <f aca="false">IF(J1834=1,"OFFLINE",IF(AND(Q1834&gt;=Inputs!$B$15,R1834=1,S1834=1,P1834&lt;=L1834),"PASS","FAIL"))</f>
        <v>OFFLINE</v>
      </c>
    </row>
    <row r="1835" customFormat="false" ht="15" hidden="false" customHeight="false" outlineLevel="0" collapsed="false">
      <c r="A1835" s="14" t="s">
        <v>1035</v>
      </c>
      <c r="B1835" s="14" t="s">
        <v>1019</v>
      </c>
      <c r="C1835" s="14" t="s">
        <v>202</v>
      </c>
      <c r="D1835" s="14" t="s">
        <v>202</v>
      </c>
      <c r="E1835" s="14" t="s">
        <v>157</v>
      </c>
      <c r="F1835" s="14" t="s">
        <v>199</v>
      </c>
      <c r="G1835" s="14" t="n">
        <v>2</v>
      </c>
      <c r="H1835" s="14" t="s">
        <v>153</v>
      </c>
      <c r="I1835" s="14" t="s">
        <v>897</v>
      </c>
      <c r="J1835" s="15" t="n">
        <f aca="false">IF(B1835="SITE LOSS",IF(D1835=C1835,1,0),IF(B1835="REGION LOSS",IF(E1835=C1835,1,0),0))</f>
        <v>1</v>
      </c>
      <c r="K1835" s="15" t="n">
        <f aca="false">IF(B1835="SITE LOSS",IF(COUNTIFS('Site Dockets'!$B$7:$B$24,C1835,'Site Dockets'!$C$7:$C$24,F1835)&gt;0,1,0),IF(B1835="REGION LOSS",IF(COUNTIFS('Site Dockets'!$E$7:$E$24,C1835,'Site Dockets'!$C$7:$C$24,F1835)&gt;0,1,0),0))</f>
        <v>1</v>
      </c>
      <c r="L1835" s="15" t="n">
        <f aca="false">IF(J1835=1,0,Inputs!$B$11)</f>
        <v>0</v>
      </c>
      <c r="M1835" s="15" t="n">
        <f aca="false">IF(J1835=1,0,Inputs!$B$12)</f>
        <v>0</v>
      </c>
      <c r="N1835" s="15" t="n">
        <f aca="false">IF(J1835=1,0,IF(OR(AND(OR(B1835="SITE LOSS",B1835="REGION LOSS"),K1835=1),AND(B1835="ROLE COMPROMISE",H1835=C1835)),Inputs!$B$13,Inputs!$B$14))</f>
        <v>0</v>
      </c>
      <c r="O1835" s="15" t="n">
        <f aca="false">IF(J1835=1,0,Inputs!$B$13)</f>
        <v>0</v>
      </c>
      <c r="P1835" s="15" t="n">
        <f aca="false">SUM(M1835:N1835)</f>
        <v>0</v>
      </c>
      <c r="Q1835" s="15" t="str">
        <f aca="false">IF(J1835=1,"",L1835-P1835)</f>
        <v/>
      </c>
      <c r="R1835" s="15" t="n">
        <f aca="false">IF(OR(J1835=1,M1835&lt;=Inputs!$B$12),1,0)</f>
        <v>1</v>
      </c>
      <c r="S1835" s="15" t="n">
        <f aca="false">IF(OR(J1835=1,N1835&lt;=O1835),1,0)</f>
        <v>1</v>
      </c>
      <c r="T1835" s="15" t="str">
        <f aca="false">IF(J1835=1,"OFFLINE",IF(AND(Q1835&gt;=Inputs!$B$15,R1835=1,S1835=1,P1835&lt;=L1835),"PASS","FAIL"))</f>
        <v>OFFLINE</v>
      </c>
    </row>
    <row r="1836" customFormat="false" ht="15" hidden="false" customHeight="false" outlineLevel="0" collapsed="false">
      <c r="A1836" s="14" t="s">
        <v>1035</v>
      </c>
      <c r="B1836" s="14" t="s">
        <v>1019</v>
      </c>
      <c r="C1836" s="14" t="s">
        <v>202</v>
      </c>
      <c r="D1836" s="14" t="s">
        <v>202</v>
      </c>
      <c r="E1836" s="14" t="s">
        <v>157</v>
      </c>
      <c r="F1836" s="14" t="s">
        <v>199</v>
      </c>
      <c r="G1836" s="14" t="n">
        <v>2</v>
      </c>
      <c r="H1836" s="14" t="s">
        <v>153</v>
      </c>
      <c r="I1836" s="14" t="s">
        <v>899</v>
      </c>
      <c r="J1836" s="15" t="n">
        <f aca="false">IF(B1836="SITE LOSS",IF(D1836=C1836,1,0),IF(B1836="REGION LOSS",IF(E1836=C1836,1,0),0))</f>
        <v>1</v>
      </c>
      <c r="K1836" s="15" t="n">
        <f aca="false">IF(B1836="SITE LOSS",IF(COUNTIFS('Site Dockets'!$B$7:$B$24,C1836,'Site Dockets'!$C$7:$C$24,F1836)&gt;0,1,0),IF(B1836="REGION LOSS",IF(COUNTIFS('Site Dockets'!$E$7:$E$24,C1836,'Site Dockets'!$C$7:$C$24,F1836)&gt;0,1,0),0))</f>
        <v>1</v>
      </c>
      <c r="L1836" s="15" t="n">
        <f aca="false">IF(J1836=1,0,Inputs!$B$11)</f>
        <v>0</v>
      </c>
      <c r="M1836" s="15" t="n">
        <f aca="false">IF(J1836=1,0,Inputs!$B$12)</f>
        <v>0</v>
      </c>
      <c r="N1836" s="15" t="n">
        <f aca="false">IF(J1836=1,0,IF(OR(AND(OR(B1836="SITE LOSS",B1836="REGION LOSS"),K1836=1),AND(B1836="ROLE COMPROMISE",H1836=C1836)),Inputs!$B$13,Inputs!$B$14))</f>
        <v>0</v>
      </c>
      <c r="O1836" s="15" t="n">
        <f aca="false">IF(J1836=1,0,Inputs!$B$13)</f>
        <v>0</v>
      </c>
      <c r="P1836" s="15" t="n">
        <f aca="false">SUM(M1836:N1836)</f>
        <v>0</v>
      </c>
      <c r="Q1836" s="15" t="str">
        <f aca="false">IF(J1836=1,"",L1836-P1836)</f>
        <v/>
      </c>
      <c r="R1836" s="15" t="n">
        <f aca="false">IF(OR(J1836=1,M1836&lt;=Inputs!$B$12),1,0)</f>
        <v>1</v>
      </c>
      <c r="S1836" s="15" t="n">
        <f aca="false">IF(OR(J1836=1,N1836&lt;=O1836),1,0)</f>
        <v>1</v>
      </c>
      <c r="T1836" s="15" t="str">
        <f aca="false">IF(J1836=1,"OFFLINE",IF(AND(Q1836&gt;=Inputs!$B$15,R1836=1,S1836=1,P1836&lt;=L1836),"PASS","FAIL"))</f>
        <v>OFFLINE</v>
      </c>
    </row>
    <row r="1837" customFormat="false" ht="15" hidden="false" customHeight="false" outlineLevel="0" collapsed="false">
      <c r="A1837" s="14" t="s">
        <v>1035</v>
      </c>
      <c r="B1837" s="14" t="s">
        <v>1019</v>
      </c>
      <c r="C1837" s="14" t="s">
        <v>202</v>
      </c>
      <c r="D1837" s="14" t="s">
        <v>204</v>
      </c>
      <c r="E1837" s="14" t="s">
        <v>161</v>
      </c>
      <c r="F1837" s="14" t="s">
        <v>199</v>
      </c>
      <c r="G1837" s="14" t="n">
        <v>3</v>
      </c>
      <c r="H1837" s="14" t="s">
        <v>158</v>
      </c>
      <c r="I1837" s="14" t="s">
        <v>890</v>
      </c>
      <c r="J1837" s="15" t="n">
        <f aca="false">IF(B1837="SITE LOSS",IF(D1837=C1837,1,0),IF(B1837="REGION LOSS",IF(E1837=C1837,1,0),0))</f>
        <v>0</v>
      </c>
      <c r="K1837" s="15" t="n">
        <f aca="false">IF(B1837="SITE LOSS",IF(COUNTIFS('Site Dockets'!$B$7:$B$24,C1837,'Site Dockets'!$C$7:$C$24,F1837)&gt;0,1,0),IF(B1837="REGION LOSS",IF(COUNTIFS('Site Dockets'!$E$7:$E$24,C1837,'Site Dockets'!$C$7:$C$24,F1837)&gt;0,1,0),0))</f>
        <v>1</v>
      </c>
      <c r="L1837" s="15" t="n">
        <f aca="false">IF(J1837=1,0,Inputs!$B$11)</f>
        <v>100</v>
      </c>
      <c r="M1837" s="15" t="n">
        <f aca="false">IF(J1837=1,0,Inputs!$B$12)</f>
        <v>75</v>
      </c>
      <c r="N1837" s="15" t="n">
        <f aca="false">IF(J1837=1,0,IF(OR(AND(OR(B1837="SITE LOSS",B1837="REGION LOSS"),K1837=1),AND(B1837="ROLE COMPROMISE",H1837=C1837)),Inputs!$B$13,Inputs!$B$14))</f>
        <v>20</v>
      </c>
      <c r="O1837" s="15" t="n">
        <f aca="false">IF(J1837=1,0,Inputs!$B$13)</f>
        <v>20</v>
      </c>
      <c r="P1837" s="15" t="n">
        <f aca="false">SUM(M1837:N1837)</f>
        <v>95</v>
      </c>
      <c r="Q1837" s="15" t="n">
        <f aca="false">IF(J1837=1,"",L1837-P1837)</f>
        <v>5</v>
      </c>
      <c r="R1837" s="15" t="n">
        <f aca="false">IF(OR(J1837=1,M1837&lt;=Inputs!$B$12),1,0)</f>
        <v>1</v>
      </c>
      <c r="S1837" s="15" t="n">
        <f aca="false">IF(OR(J1837=1,N1837&lt;=O1837),1,0)</f>
        <v>1</v>
      </c>
      <c r="T1837" s="15" t="str">
        <f aca="false">IF(J1837=1,"OFFLINE",IF(AND(Q1837&gt;=Inputs!$B$15,R1837=1,S1837=1,P1837&lt;=L1837),"PASS","FAIL"))</f>
        <v>PASS</v>
      </c>
    </row>
    <row r="1838" customFormat="false" ht="15" hidden="false" customHeight="false" outlineLevel="0" collapsed="false">
      <c r="A1838" s="14" t="s">
        <v>1035</v>
      </c>
      <c r="B1838" s="14" t="s">
        <v>1019</v>
      </c>
      <c r="C1838" s="14" t="s">
        <v>202</v>
      </c>
      <c r="D1838" s="14" t="s">
        <v>204</v>
      </c>
      <c r="E1838" s="14" t="s">
        <v>161</v>
      </c>
      <c r="F1838" s="14" t="s">
        <v>199</v>
      </c>
      <c r="G1838" s="14" t="n">
        <v>3</v>
      </c>
      <c r="H1838" s="14" t="s">
        <v>158</v>
      </c>
      <c r="I1838" s="14" t="s">
        <v>892</v>
      </c>
      <c r="J1838" s="15" t="n">
        <f aca="false">IF(B1838="SITE LOSS",IF(D1838=C1838,1,0),IF(B1838="REGION LOSS",IF(E1838=C1838,1,0),0))</f>
        <v>0</v>
      </c>
      <c r="K1838" s="15" t="n">
        <f aca="false">IF(B1838="SITE LOSS",IF(COUNTIFS('Site Dockets'!$B$7:$B$24,C1838,'Site Dockets'!$C$7:$C$24,F1838)&gt;0,1,0),IF(B1838="REGION LOSS",IF(COUNTIFS('Site Dockets'!$E$7:$E$24,C1838,'Site Dockets'!$C$7:$C$24,F1838)&gt;0,1,0),0))</f>
        <v>1</v>
      </c>
      <c r="L1838" s="15" t="n">
        <f aca="false">IF(J1838=1,0,Inputs!$B$11)</f>
        <v>100</v>
      </c>
      <c r="M1838" s="15" t="n">
        <f aca="false">IF(J1838=1,0,Inputs!$B$12)</f>
        <v>75</v>
      </c>
      <c r="N1838" s="15" t="n">
        <f aca="false">IF(J1838=1,0,IF(OR(AND(OR(B1838="SITE LOSS",B1838="REGION LOSS"),K1838=1),AND(B1838="ROLE COMPROMISE",H1838=C1838)),Inputs!$B$13,Inputs!$B$14))</f>
        <v>20</v>
      </c>
      <c r="O1838" s="15" t="n">
        <f aca="false">IF(J1838=1,0,Inputs!$B$13)</f>
        <v>20</v>
      </c>
      <c r="P1838" s="15" t="n">
        <f aca="false">SUM(M1838:N1838)</f>
        <v>95</v>
      </c>
      <c r="Q1838" s="15" t="n">
        <f aca="false">IF(J1838=1,"",L1838-P1838)</f>
        <v>5</v>
      </c>
      <c r="R1838" s="15" t="n">
        <f aca="false">IF(OR(J1838=1,M1838&lt;=Inputs!$B$12),1,0)</f>
        <v>1</v>
      </c>
      <c r="S1838" s="15" t="n">
        <f aca="false">IF(OR(J1838=1,N1838&lt;=O1838),1,0)</f>
        <v>1</v>
      </c>
      <c r="T1838" s="15" t="str">
        <f aca="false">IF(J1838=1,"OFFLINE",IF(AND(Q1838&gt;=Inputs!$B$15,R1838=1,S1838=1,P1838&lt;=L1838),"PASS","FAIL"))</f>
        <v>PASS</v>
      </c>
    </row>
    <row r="1839" customFormat="false" ht="15" hidden="false" customHeight="false" outlineLevel="0" collapsed="false">
      <c r="A1839" s="14" t="s">
        <v>1035</v>
      </c>
      <c r="B1839" s="14" t="s">
        <v>1019</v>
      </c>
      <c r="C1839" s="14" t="s">
        <v>202</v>
      </c>
      <c r="D1839" s="14" t="s">
        <v>204</v>
      </c>
      <c r="E1839" s="14" t="s">
        <v>161</v>
      </c>
      <c r="F1839" s="14" t="s">
        <v>199</v>
      </c>
      <c r="G1839" s="14" t="n">
        <v>3</v>
      </c>
      <c r="H1839" s="14" t="s">
        <v>158</v>
      </c>
      <c r="I1839" s="14" t="s">
        <v>811</v>
      </c>
      <c r="J1839" s="15" t="n">
        <f aca="false">IF(B1839="SITE LOSS",IF(D1839=C1839,1,0),IF(B1839="REGION LOSS",IF(E1839=C1839,1,0),0))</f>
        <v>0</v>
      </c>
      <c r="K1839" s="15" t="n">
        <f aca="false">IF(B1839="SITE LOSS",IF(COUNTIFS('Site Dockets'!$B$7:$B$24,C1839,'Site Dockets'!$C$7:$C$24,F1839)&gt;0,1,0),IF(B1839="REGION LOSS",IF(COUNTIFS('Site Dockets'!$E$7:$E$24,C1839,'Site Dockets'!$C$7:$C$24,F1839)&gt;0,1,0),0))</f>
        <v>1</v>
      </c>
      <c r="L1839" s="15" t="n">
        <f aca="false">IF(J1839=1,0,Inputs!$B$11)</f>
        <v>100</v>
      </c>
      <c r="M1839" s="15" t="n">
        <f aca="false">IF(J1839=1,0,Inputs!$B$12)</f>
        <v>75</v>
      </c>
      <c r="N1839" s="15" t="n">
        <f aca="false">IF(J1839=1,0,IF(OR(AND(OR(B1839="SITE LOSS",B1839="REGION LOSS"),K1839=1),AND(B1839="ROLE COMPROMISE",H1839=C1839)),Inputs!$B$13,Inputs!$B$14))</f>
        <v>20</v>
      </c>
      <c r="O1839" s="15" t="n">
        <f aca="false">IF(J1839=1,0,Inputs!$B$13)</f>
        <v>20</v>
      </c>
      <c r="P1839" s="15" t="n">
        <f aca="false">SUM(M1839:N1839)</f>
        <v>95</v>
      </c>
      <c r="Q1839" s="15" t="n">
        <f aca="false">IF(J1839=1,"",L1839-P1839)</f>
        <v>5</v>
      </c>
      <c r="R1839" s="15" t="n">
        <f aca="false">IF(OR(J1839=1,M1839&lt;=Inputs!$B$12),1,0)</f>
        <v>1</v>
      </c>
      <c r="S1839" s="15" t="n">
        <f aca="false">IF(OR(J1839=1,N1839&lt;=O1839),1,0)</f>
        <v>1</v>
      </c>
      <c r="T1839" s="15" t="str">
        <f aca="false">IF(J1839=1,"OFFLINE",IF(AND(Q1839&gt;=Inputs!$B$15,R1839=1,S1839=1,P1839&lt;=L1839),"PASS","FAIL"))</f>
        <v>PASS</v>
      </c>
    </row>
    <row r="1840" customFormat="false" ht="15" hidden="false" customHeight="false" outlineLevel="0" collapsed="false">
      <c r="A1840" s="14" t="s">
        <v>1035</v>
      </c>
      <c r="B1840" s="14" t="s">
        <v>1019</v>
      </c>
      <c r="C1840" s="14" t="s">
        <v>202</v>
      </c>
      <c r="D1840" s="14" t="s">
        <v>204</v>
      </c>
      <c r="E1840" s="14" t="s">
        <v>161</v>
      </c>
      <c r="F1840" s="14" t="s">
        <v>199</v>
      </c>
      <c r="G1840" s="14" t="n">
        <v>3</v>
      </c>
      <c r="H1840" s="14" t="s">
        <v>158</v>
      </c>
      <c r="I1840" s="14" t="s">
        <v>895</v>
      </c>
      <c r="J1840" s="15" t="n">
        <f aca="false">IF(B1840="SITE LOSS",IF(D1840=C1840,1,0),IF(B1840="REGION LOSS",IF(E1840=C1840,1,0),0))</f>
        <v>0</v>
      </c>
      <c r="K1840" s="15" t="n">
        <f aca="false">IF(B1840="SITE LOSS",IF(COUNTIFS('Site Dockets'!$B$7:$B$24,C1840,'Site Dockets'!$C$7:$C$24,F1840)&gt;0,1,0),IF(B1840="REGION LOSS",IF(COUNTIFS('Site Dockets'!$E$7:$E$24,C1840,'Site Dockets'!$C$7:$C$24,F1840)&gt;0,1,0),0))</f>
        <v>1</v>
      </c>
      <c r="L1840" s="15" t="n">
        <f aca="false">IF(J1840=1,0,Inputs!$B$11)</f>
        <v>100</v>
      </c>
      <c r="M1840" s="15" t="n">
        <f aca="false">IF(J1840=1,0,Inputs!$B$12)</f>
        <v>75</v>
      </c>
      <c r="N1840" s="15" t="n">
        <f aca="false">IF(J1840=1,0,IF(OR(AND(OR(B1840="SITE LOSS",B1840="REGION LOSS"),K1840=1),AND(B1840="ROLE COMPROMISE",H1840=C1840)),Inputs!$B$13,Inputs!$B$14))</f>
        <v>20</v>
      </c>
      <c r="O1840" s="15" t="n">
        <f aca="false">IF(J1840=1,0,Inputs!$B$13)</f>
        <v>20</v>
      </c>
      <c r="P1840" s="15" t="n">
        <f aca="false">SUM(M1840:N1840)</f>
        <v>95</v>
      </c>
      <c r="Q1840" s="15" t="n">
        <f aca="false">IF(J1840=1,"",L1840-P1840)</f>
        <v>5</v>
      </c>
      <c r="R1840" s="15" t="n">
        <f aca="false">IF(OR(J1840=1,M1840&lt;=Inputs!$B$12),1,0)</f>
        <v>1</v>
      </c>
      <c r="S1840" s="15" t="n">
        <f aca="false">IF(OR(J1840=1,N1840&lt;=O1840),1,0)</f>
        <v>1</v>
      </c>
      <c r="T1840" s="15" t="str">
        <f aca="false">IF(J1840=1,"OFFLINE",IF(AND(Q1840&gt;=Inputs!$B$15,R1840=1,S1840=1,P1840&lt;=L1840),"PASS","FAIL"))</f>
        <v>PASS</v>
      </c>
    </row>
    <row r="1841" customFormat="false" ht="15" hidden="false" customHeight="false" outlineLevel="0" collapsed="false">
      <c r="A1841" s="14" t="s">
        <v>1035</v>
      </c>
      <c r="B1841" s="14" t="s">
        <v>1019</v>
      </c>
      <c r="C1841" s="14" t="s">
        <v>202</v>
      </c>
      <c r="D1841" s="14" t="s">
        <v>204</v>
      </c>
      <c r="E1841" s="14" t="s">
        <v>161</v>
      </c>
      <c r="F1841" s="14" t="s">
        <v>199</v>
      </c>
      <c r="G1841" s="14" t="n">
        <v>3</v>
      </c>
      <c r="H1841" s="14" t="s">
        <v>158</v>
      </c>
      <c r="I1841" s="14" t="s">
        <v>897</v>
      </c>
      <c r="J1841" s="15" t="n">
        <f aca="false">IF(B1841="SITE LOSS",IF(D1841=C1841,1,0),IF(B1841="REGION LOSS",IF(E1841=C1841,1,0),0))</f>
        <v>0</v>
      </c>
      <c r="K1841" s="15" t="n">
        <f aca="false">IF(B1841="SITE LOSS",IF(COUNTIFS('Site Dockets'!$B$7:$B$24,C1841,'Site Dockets'!$C$7:$C$24,F1841)&gt;0,1,0),IF(B1841="REGION LOSS",IF(COUNTIFS('Site Dockets'!$E$7:$E$24,C1841,'Site Dockets'!$C$7:$C$24,F1841)&gt;0,1,0),0))</f>
        <v>1</v>
      </c>
      <c r="L1841" s="15" t="n">
        <f aca="false">IF(J1841=1,0,Inputs!$B$11)</f>
        <v>100</v>
      </c>
      <c r="M1841" s="15" t="n">
        <f aca="false">IF(J1841=1,0,Inputs!$B$12)</f>
        <v>75</v>
      </c>
      <c r="N1841" s="15" t="n">
        <f aca="false">IF(J1841=1,0,IF(OR(AND(OR(B1841="SITE LOSS",B1841="REGION LOSS"),K1841=1),AND(B1841="ROLE COMPROMISE",H1841=C1841)),Inputs!$B$13,Inputs!$B$14))</f>
        <v>20</v>
      </c>
      <c r="O1841" s="15" t="n">
        <f aca="false">IF(J1841=1,0,Inputs!$B$13)</f>
        <v>20</v>
      </c>
      <c r="P1841" s="15" t="n">
        <f aca="false">SUM(M1841:N1841)</f>
        <v>95</v>
      </c>
      <c r="Q1841" s="15" t="n">
        <f aca="false">IF(J1841=1,"",L1841-P1841)</f>
        <v>5</v>
      </c>
      <c r="R1841" s="15" t="n">
        <f aca="false">IF(OR(J1841=1,M1841&lt;=Inputs!$B$12),1,0)</f>
        <v>1</v>
      </c>
      <c r="S1841" s="15" t="n">
        <f aca="false">IF(OR(J1841=1,N1841&lt;=O1841),1,0)</f>
        <v>1</v>
      </c>
      <c r="T1841" s="15" t="str">
        <f aca="false">IF(J1841=1,"OFFLINE",IF(AND(Q1841&gt;=Inputs!$B$15,R1841=1,S1841=1,P1841&lt;=L1841),"PASS","FAIL"))</f>
        <v>PASS</v>
      </c>
    </row>
    <row r="1842" customFormat="false" ht="15" hidden="false" customHeight="false" outlineLevel="0" collapsed="false">
      <c r="A1842" s="14" t="s">
        <v>1035</v>
      </c>
      <c r="B1842" s="14" t="s">
        <v>1019</v>
      </c>
      <c r="C1842" s="14" t="s">
        <v>202</v>
      </c>
      <c r="D1842" s="14" t="s">
        <v>204</v>
      </c>
      <c r="E1842" s="14" t="s">
        <v>161</v>
      </c>
      <c r="F1842" s="14" t="s">
        <v>199</v>
      </c>
      <c r="G1842" s="14" t="n">
        <v>3</v>
      </c>
      <c r="H1842" s="14" t="s">
        <v>158</v>
      </c>
      <c r="I1842" s="14" t="s">
        <v>899</v>
      </c>
      <c r="J1842" s="15" t="n">
        <f aca="false">IF(B1842="SITE LOSS",IF(D1842=C1842,1,0),IF(B1842="REGION LOSS",IF(E1842=C1842,1,0),0))</f>
        <v>0</v>
      </c>
      <c r="K1842" s="15" t="n">
        <f aca="false">IF(B1842="SITE LOSS",IF(COUNTIFS('Site Dockets'!$B$7:$B$24,C1842,'Site Dockets'!$C$7:$C$24,F1842)&gt;0,1,0),IF(B1842="REGION LOSS",IF(COUNTIFS('Site Dockets'!$E$7:$E$24,C1842,'Site Dockets'!$C$7:$C$24,F1842)&gt;0,1,0),0))</f>
        <v>1</v>
      </c>
      <c r="L1842" s="15" t="n">
        <f aca="false">IF(J1842=1,0,Inputs!$B$11)</f>
        <v>100</v>
      </c>
      <c r="M1842" s="15" t="n">
        <f aca="false">IF(J1842=1,0,Inputs!$B$12)</f>
        <v>75</v>
      </c>
      <c r="N1842" s="15" t="n">
        <f aca="false">IF(J1842=1,0,IF(OR(AND(OR(B1842="SITE LOSS",B1842="REGION LOSS"),K1842=1),AND(B1842="ROLE COMPROMISE",H1842=C1842)),Inputs!$B$13,Inputs!$B$14))</f>
        <v>20</v>
      </c>
      <c r="O1842" s="15" t="n">
        <f aca="false">IF(J1842=1,0,Inputs!$B$13)</f>
        <v>20</v>
      </c>
      <c r="P1842" s="15" t="n">
        <f aca="false">SUM(M1842:N1842)</f>
        <v>95</v>
      </c>
      <c r="Q1842" s="15" t="n">
        <f aca="false">IF(J1842=1,"",L1842-P1842)</f>
        <v>5</v>
      </c>
      <c r="R1842" s="15" t="n">
        <f aca="false">IF(OR(J1842=1,M1842&lt;=Inputs!$B$12),1,0)</f>
        <v>1</v>
      </c>
      <c r="S1842" s="15" t="n">
        <f aca="false">IF(OR(J1842=1,N1842&lt;=O1842),1,0)</f>
        <v>1</v>
      </c>
      <c r="T1842" s="15" t="str">
        <f aca="false">IF(J1842=1,"OFFLINE",IF(AND(Q1842&gt;=Inputs!$B$15,R1842=1,S1842=1,P1842&lt;=L1842),"PASS","FAIL"))</f>
        <v>PASS</v>
      </c>
    </row>
    <row r="1843" customFormat="false" ht="15" hidden="false" customHeight="false" outlineLevel="0" collapsed="false">
      <c r="A1843" s="14" t="s">
        <v>1036</v>
      </c>
      <c r="B1843" s="14" t="s">
        <v>1019</v>
      </c>
      <c r="C1843" s="14" t="s">
        <v>204</v>
      </c>
      <c r="D1843" s="14" t="s">
        <v>149</v>
      </c>
      <c r="E1843" s="14" t="s">
        <v>152</v>
      </c>
      <c r="F1843" s="14" t="s">
        <v>150</v>
      </c>
      <c r="G1843" s="14" t="n">
        <v>1</v>
      </c>
      <c r="H1843" s="14" t="s">
        <v>154</v>
      </c>
      <c r="I1843" s="14" t="s">
        <v>890</v>
      </c>
      <c r="J1843" s="15" t="n">
        <f aca="false">IF(B1843="SITE LOSS",IF(D1843=C1843,1,0),IF(B1843="REGION LOSS",IF(E1843=C1843,1,0),0))</f>
        <v>0</v>
      </c>
      <c r="K1843" s="15" t="n">
        <f aca="false">IF(B1843="SITE LOSS",IF(COUNTIFS('Site Dockets'!$B$7:$B$24,C1843,'Site Dockets'!$C$7:$C$24,F1843)&gt;0,1,0),IF(B1843="REGION LOSS",IF(COUNTIFS('Site Dockets'!$E$7:$E$24,C1843,'Site Dockets'!$C$7:$C$24,F1843)&gt;0,1,0),0))</f>
        <v>0</v>
      </c>
      <c r="L1843" s="15" t="n">
        <f aca="false">IF(J1843=1,0,Inputs!$B$11)</f>
        <v>100</v>
      </c>
      <c r="M1843" s="15" t="n">
        <f aca="false">IF(J1843=1,0,Inputs!$B$12)</f>
        <v>75</v>
      </c>
      <c r="N1843" s="15" t="n">
        <f aca="false">IF(J1843=1,0,IF(OR(AND(OR(B1843="SITE LOSS",B1843="REGION LOSS"),K1843=1),AND(B1843="ROLE COMPROMISE",H1843=C1843)),Inputs!$B$13,Inputs!$B$14))</f>
        <v>10</v>
      </c>
      <c r="O1843" s="15" t="n">
        <f aca="false">IF(J1843=1,0,Inputs!$B$13)</f>
        <v>20</v>
      </c>
      <c r="P1843" s="15" t="n">
        <f aca="false">SUM(M1843:N1843)</f>
        <v>85</v>
      </c>
      <c r="Q1843" s="15" t="n">
        <f aca="false">IF(J1843=1,"",L1843-P1843)</f>
        <v>15</v>
      </c>
      <c r="R1843" s="15" t="n">
        <f aca="false">IF(OR(J1843=1,M1843&lt;=Inputs!$B$12),1,0)</f>
        <v>1</v>
      </c>
      <c r="S1843" s="15" t="n">
        <f aca="false">IF(OR(J1843=1,N1843&lt;=O1843),1,0)</f>
        <v>1</v>
      </c>
      <c r="T1843" s="15" t="str">
        <f aca="false">IF(J1843=1,"OFFLINE",IF(AND(Q1843&gt;=Inputs!$B$15,R1843=1,S1843=1,P1843&lt;=L1843),"PASS","FAIL"))</f>
        <v>PASS</v>
      </c>
    </row>
    <row r="1844" customFormat="false" ht="15" hidden="false" customHeight="false" outlineLevel="0" collapsed="false">
      <c r="A1844" s="14" t="s">
        <v>1036</v>
      </c>
      <c r="B1844" s="14" t="s">
        <v>1019</v>
      </c>
      <c r="C1844" s="14" t="s">
        <v>204</v>
      </c>
      <c r="D1844" s="14" t="s">
        <v>149</v>
      </c>
      <c r="E1844" s="14" t="s">
        <v>152</v>
      </c>
      <c r="F1844" s="14" t="s">
        <v>150</v>
      </c>
      <c r="G1844" s="14" t="n">
        <v>1</v>
      </c>
      <c r="H1844" s="14" t="s">
        <v>154</v>
      </c>
      <c r="I1844" s="14" t="s">
        <v>892</v>
      </c>
      <c r="J1844" s="15" t="n">
        <f aca="false">IF(B1844="SITE LOSS",IF(D1844=C1844,1,0),IF(B1844="REGION LOSS",IF(E1844=C1844,1,0),0))</f>
        <v>0</v>
      </c>
      <c r="K1844" s="15" t="n">
        <f aca="false">IF(B1844="SITE LOSS",IF(COUNTIFS('Site Dockets'!$B$7:$B$24,C1844,'Site Dockets'!$C$7:$C$24,F1844)&gt;0,1,0),IF(B1844="REGION LOSS",IF(COUNTIFS('Site Dockets'!$E$7:$E$24,C1844,'Site Dockets'!$C$7:$C$24,F1844)&gt;0,1,0),0))</f>
        <v>0</v>
      </c>
      <c r="L1844" s="15" t="n">
        <f aca="false">IF(J1844=1,0,Inputs!$B$11)</f>
        <v>100</v>
      </c>
      <c r="M1844" s="15" t="n">
        <f aca="false">IF(J1844=1,0,Inputs!$B$12)</f>
        <v>75</v>
      </c>
      <c r="N1844" s="15" t="n">
        <f aca="false">IF(J1844=1,0,IF(OR(AND(OR(B1844="SITE LOSS",B1844="REGION LOSS"),K1844=1),AND(B1844="ROLE COMPROMISE",H1844=C1844)),Inputs!$B$13,Inputs!$B$14))</f>
        <v>10</v>
      </c>
      <c r="O1844" s="15" t="n">
        <f aca="false">IF(J1844=1,0,Inputs!$B$13)</f>
        <v>20</v>
      </c>
      <c r="P1844" s="15" t="n">
        <f aca="false">SUM(M1844:N1844)</f>
        <v>85</v>
      </c>
      <c r="Q1844" s="15" t="n">
        <f aca="false">IF(J1844=1,"",L1844-P1844)</f>
        <v>15</v>
      </c>
      <c r="R1844" s="15" t="n">
        <f aca="false">IF(OR(J1844=1,M1844&lt;=Inputs!$B$12),1,0)</f>
        <v>1</v>
      </c>
      <c r="S1844" s="15" t="n">
        <f aca="false">IF(OR(J1844=1,N1844&lt;=O1844),1,0)</f>
        <v>1</v>
      </c>
      <c r="T1844" s="15" t="str">
        <f aca="false">IF(J1844=1,"OFFLINE",IF(AND(Q1844&gt;=Inputs!$B$15,R1844=1,S1844=1,P1844&lt;=L1844),"PASS","FAIL"))</f>
        <v>PASS</v>
      </c>
    </row>
    <row r="1845" customFormat="false" ht="15" hidden="false" customHeight="false" outlineLevel="0" collapsed="false">
      <c r="A1845" s="14" t="s">
        <v>1036</v>
      </c>
      <c r="B1845" s="14" t="s">
        <v>1019</v>
      </c>
      <c r="C1845" s="14" t="s">
        <v>204</v>
      </c>
      <c r="D1845" s="14" t="s">
        <v>149</v>
      </c>
      <c r="E1845" s="14" t="s">
        <v>152</v>
      </c>
      <c r="F1845" s="14" t="s">
        <v>150</v>
      </c>
      <c r="G1845" s="14" t="n">
        <v>1</v>
      </c>
      <c r="H1845" s="14" t="s">
        <v>154</v>
      </c>
      <c r="I1845" s="14" t="s">
        <v>811</v>
      </c>
      <c r="J1845" s="15" t="n">
        <f aca="false">IF(B1845="SITE LOSS",IF(D1845=C1845,1,0),IF(B1845="REGION LOSS",IF(E1845=C1845,1,0),0))</f>
        <v>0</v>
      </c>
      <c r="K1845" s="15" t="n">
        <f aca="false">IF(B1845="SITE LOSS",IF(COUNTIFS('Site Dockets'!$B$7:$B$24,C1845,'Site Dockets'!$C$7:$C$24,F1845)&gt;0,1,0),IF(B1845="REGION LOSS",IF(COUNTIFS('Site Dockets'!$E$7:$E$24,C1845,'Site Dockets'!$C$7:$C$24,F1845)&gt;0,1,0),0))</f>
        <v>0</v>
      </c>
      <c r="L1845" s="15" t="n">
        <f aca="false">IF(J1845=1,0,Inputs!$B$11)</f>
        <v>100</v>
      </c>
      <c r="M1845" s="15" t="n">
        <f aca="false">IF(J1845=1,0,Inputs!$B$12)</f>
        <v>75</v>
      </c>
      <c r="N1845" s="15" t="n">
        <f aca="false">IF(J1845=1,0,IF(OR(AND(OR(B1845="SITE LOSS",B1845="REGION LOSS"),K1845=1),AND(B1845="ROLE COMPROMISE",H1845=C1845)),Inputs!$B$13,Inputs!$B$14))</f>
        <v>10</v>
      </c>
      <c r="O1845" s="15" t="n">
        <f aca="false">IF(J1845=1,0,Inputs!$B$13)</f>
        <v>20</v>
      </c>
      <c r="P1845" s="15" t="n">
        <f aca="false">SUM(M1845:N1845)</f>
        <v>85</v>
      </c>
      <c r="Q1845" s="15" t="n">
        <f aca="false">IF(J1845=1,"",L1845-P1845)</f>
        <v>15</v>
      </c>
      <c r="R1845" s="15" t="n">
        <f aca="false">IF(OR(J1845=1,M1845&lt;=Inputs!$B$12),1,0)</f>
        <v>1</v>
      </c>
      <c r="S1845" s="15" t="n">
        <f aca="false">IF(OR(J1845=1,N1845&lt;=O1845),1,0)</f>
        <v>1</v>
      </c>
      <c r="T1845" s="15" t="str">
        <f aca="false">IF(J1845=1,"OFFLINE",IF(AND(Q1845&gt;=Inputs!$B$15,R1845=1,S1845=1,P1845&lt;=L1845),"PASS","FAIL"))</f>
        <v>PASS</v>
      </c>
    </row>
    <row r="1846" customFormat="false" ht="15" hidden="false" customHeight="false" outlineLevel="0" collapsed="false">
      <c r="A1846" s="14" t="s">
        <v>1036</v>
      </c>
      <c r="B1846" s="14" t="s">
        <v>1019</v>
      </c>
      <c r="C1846" s="14" t="s">
        <v>204</v>
      </c>
      <c r="D1846" s="14" t="s">
        <v>149</v>
      </c>
      <c r="E1846" s="14" t="s">
        <v>152</v>
      </c>
      <c r="F1846" s="14" t="s">
        <v>150</v>
      </c>
      <c r="G1846" s="14" t="n">
        <v>1</v>
      </c>
      <c r="H1846" s="14" t="s">
        <v>154</v>
      </c>
      <c r="I1846" s="14" t="s">
        <v>895</v>
      </c>
      <c r="J1846" s="15" t="n">
        <f aca="false">IF(B1846="SITE LOSS",IF(D1846=C1846,1,0),IF(B1846="REGION LOSS",IF(E1846=C1846,1,0),0))</f>
        <v>0</v>
      </c>
      <c r="K1846" s="15" t="n">
        <f aca="false">IF(B1846="SITE LOSS",IF(COUNTIFS('Site Dockets'!$B$7:$B$24,C1846,'Site Dockets'!$C$7:$C$24,F1846)&gt;0,1,0),IF(B1846="REGION LOSS",IF(COUNTIFS('Site Dockets'!$E$7:$E$24,C1846,'Site Dockets'!$C$7:$C$24,F1846)&gt;0,1,0),0))</f>
        <v>0</v>
      </c>
      <c r="L1846" s="15" t="n">
        <f aca="false">IF(J1846=1,0,Inputs!$B$11)</f>
        <v>100</v>
      </c>
      <c r="M1846" s="15" t="n">
        <f aca="false">IF(J1846=1,0,Inputs!$B$12)</f>
        <v>75</v>
      </c>
      <c r="N1846" s="15" t="n">
        <f aca="false">IF(J1846=1,0,IF(OR(AND(OR(B1846="SITE LOSS",B1846="REGION LOSS"),K1846=1),AND(B1846="ROLE COMPROMISE",H1846=C1846)),Inputs!$B$13,Inputs!$B$14))</f>
        <v>10</v>
      </c>
      <c r="O1846" s="15" t="n">
        <f aca="false">IF(J1846=1,0,Inputs!$B$13)</f>
        <v>20</v>
      </c>
      <c r="P1846" s="15" t="n">
        <f aca="false">SUM(M1846:N1846)</f>
        <v>85</v>
      </c>
      <c r="Q1846" s="15" t="n">
        <f aca="false">IF(J1846=1,"",L1846-P1846)</f>
        <v>15</v>
      </c>
      <c r="R1846" s="15" t="n">
        <f aca="false">IF(OR(J1846=1,M1846&lt;=Inputs!$B$12),1,0)</f>
        <v>1</v>
      </c>
      <c r="S1846" s="15" t="n">
        <f aca="false">IF(OR(J1846=1,N1846&lt;=O1846),1,0)</f>
        <v>1</v>
      </c>
      <c r="T1846" s="15" t="str">
        <f aca="false">IF(J1846=1,"OFFLINE",IF(AND(Q1846&gt;=Inputs!$B$15,R1846=1,S1846=1,P1846&lt;=L1846),"PASS","FAIL"))</f>
        <v>PASS</v>
      </c>
    </row>
    <row r="1847" customFormat="false" ht="15" hidden="false" customHeight="false" outlineLevel="0" collapsed="false">
      <c r="A1847" s="14" t="s">
        <v>1036</v>
      </c>
      <c r="B1847" s="14" t="s">
        <v>1019</v>
      </c>
      <c r="C1847" s="14" t="s">
        <v>204</v>
      </c>
      <c r="D1847" s="14" t="s">
        <v>149</v>
      </c>
      <c r="E1847" s="14" t="s">
        <v>152</v>
      </c>
      <c r="F1847" s="14" t="s">
        <v>150</v>
      </c>
      <c r="G1847" s="14" t="n">
        <v>1</v>
      </c>
      <c r="H1847" s="14" t="s">
        <v>154</v>
      </c>
      <c r="I1847" s="14" t="s">
        <v>897</v>
      </c>
      <c r="J1847" s="15" t="n">
        <f aca="false">IF(B1847="SITE LOSS",IF(D1847=C1847,1,0),IF(B1847="REGION LOSS",IF(E1847=C1847,1,0),0))</f>
        <v>0</v>
      </c>
      <c r="K1847" s="15" t="n">
        <f aca="false">IF(B1847="SITE LOSS",IF(COUNTIFS('Site Dockets'!$B$7:$B$24,C1847,'Site Dockets'!$C$7:$C$24,F1847)&gt;0,1,0),IF(B1847="REGION LOSS",IF(COUNTIFS('Site Dockets'!$E$7:$E$24,C1847,'Site Dockets'!$C$7:$C$24,F1847)&gt;0,1,0),0))</f>
        <v>0</v>
      </c>
      <c r="L1847" s="15" t="n">
        <f aca="false">IF(J1847=1,0,Inputs!$B$11)</f>
        <v>100</v>
      </c>
      <c r="M1847" s="15" t="n">
        <f aca="false">IF(J1847=1,0,Inputs!$B$12)</f>
        <v>75</v>
      </c>
      <c r="N1847" s="15" t="n">
        <f aca="false">IF(J1847=1,0,IF(OR(AND(OR(B1847="SITE LOSS",B1847="REGION LOSS"),K1847=1),AND(B1847="ROLE COMPROMISE",H1847=C1847)),Inputs!$B$13,Inputs!$B$14))</f>
        <v>10</v>
      </c>
      <c r="O1847" s="15" t="n">
        <f aca="false">IF(J1847=1,0,Inputs!$B$13)</f>
        <v>20</v>
      </c>
      <c r="P1847" s="15" t="n">
        <f aca="false">SUM(M1847:N1847)</f>
        <v>85</v>
      </c>
      <c r="Q1847" s="15" t="n">
        <f aca="false">IF(J1847=1,"",L1847-P1847)</f>
        <v>15</v>
      </c>
      <c r="R1847" s="15" t="n">
        <f aca="false">IF(OR(J1847=1,M1847&lt;=Inputs!$B$12),1,0)</f>
        <v>1</v>
      </c>
      <c r="S1847" s="15" t="n">
        <f aca="false">IF(OR(J1847=1,N1847&lt;=O1847),1,0)</f>
        <v>1</v>
      </c>
      <c r="T1847" s="15" t="str">
        <f aca="false">IF(J1847=1,"OFFLINE",IF(AND(Q1847&gt;=Inputs!$B$15,R1847=1,S1847=1,P1847&lt;=L1847),"PASS","FAIL"))</f>
        <v>PASS</v>
      </c>
    </row>
    <row r="1848" customFormat="false" ht="15" hidden="false" customHeight="false" outlineLevel="0" collapsed="false">
      <c r="A1848" s="14" t="s">
        <v>1036</v>
      </c>
      <c r="B1848" s="14" t="s">
        <v>1019</v>
      </c>
      <c r="C1848" s="14" t="s">
        <v>204</v>
      </c>
      <c r="D1848" s="14" t="s">
        <v>149</v>
      </c>
      <c r="E1848" s="14" t="s">
        <v>152</v>
      </c>
      <c r="F1848" s="14" t="s">
        <v>150</v>
      </c>
      <c r="G1848" s="14" t="n">
        <v>1</v>
      </c>
      <c r="H1848" s="14" t="s">
        <v>154</v>
      </c>
      <c r="I1848" s="14" t="s">
        <v>899</v>
      </c>
      <c r="J1848" s="15" t="n">
        <f aca="false">IF(B1848="SITE LOSS",IF(D1848=C1848,1,0),IF(B1848="REGION LOSS",IF(E1848=C1848,1,0),0))</f>
        <v>0</v>
      </c>
      <c r="K1848" s="15" t="n">
        <f aca="false">IF(B1848="SITE LOSS",IF(COUNTIFS('Site Dockets'!$B$7:$B$24,C1848,'Site Dockets'!$C$7:$C$24,F1848)&gt;0,1,0),IF(B1848="REGION LOSS",IF(COUNTIFS('Site Dockets'!$E$7:$E$24,C1848,'Site Dockets'!$C$7:$C$24,F1848)&gt;0,1,0),0))</f>
        <v>0</v>
      </c>
      <c r="L1848" s="15" t="n">
        <f aca="false">IF(J1848=1,0,Inputs!$B$11)</f>
        <v>100</v>
      </c>
      <c r="M1848" s="15" t="n">
        <f aca="false">IF(J1848=1,0,Inputs!$B$12)</f>
        <v>75</v>
      </c>
      <c r="N1848" s="15" t="n">
        <f aca="false">IF(J1848=1,0,IF(OR(AND(OR(B1848="SITE LOSS",B1848="REGION LOSS"),K1848=1),AND(B1848="ROLE COMPROMISE",H1848=C1848)),Inputs!$B$13,Inputs!$B$14))</f>
        <v>10</v>
      </c>
      <c r="O1848" s="15" t="n">
        <f aca="false">IF(J1848=1,0,Inputs!$B$13)</f>
        <v>20</v>
      </c>
      <c r="P1848" s="15" t="n">
        <f aca="false">SUM(M1848:N1848)</f>
        <v>85</v>
      </c>
      <c r="Q1848" s="15" t="n">
        <f aca="false">IF(J1848=1,"",L1848-P1848)</f>
        <v>15</v>
      </c>
      <c r="R1848" s="15" t="n">
        <f aca="false">IF(OR(J1848=1,M1848&lt;=Inputs!$B$12),1,0)</f>
        <v>1</v>
      </c>
      <c r="S1848" s="15" t="n">
        <f aca="false">IF(OR(J1848=1,N1848&lt;=O1848),1,0)</f>
        <v>1</v>
      </c>
      <c r="T1848" s="15" t="str">
        <f aca="false">IF(J1848=1,"OFFLINE",IF(AND(Q1848&gt;=Inputs!$B$15,R1848=1,S1848=1,P1848&lt;=L1848),"PASS","FAIL"))</f>
        <v>PASS</v>
      </c>
    </row>
    <row r="1849" customFormat="false" ht="15" hidden="false" customHeight="false" outlineLevel="0" collapsed="false">
      <c r="A1849" s="14" t="s">
        <v>1036</v>
      </c>
      <c r="B1849" s="14" t="s">
        <v>1019</v>
      </c>
      <c r="C1849" s="14" t="s">
        <v>204</v>
      </c>
      <c r="D1849" s="14" t="s">
        <v>156</v>
      </c>
      <c r="E1849" s="14" t="s">
        <v>157</v>
      </c>
      <c r="F1849" s="14" t="s">
        <v>150</v>
      </c>
      <c r="G1849" s="14" t="n">
        <v>2</v>
      </c>
      <c r="H1849" s="14" t="s">
        <v>153</v>
      </c>
      <c r="I1849" s="14" t="s">
        <v>890</v>
      </c>
      <c r="J1849" s="15" t="n">
        <f aca="false">IF(B1849="SITE LOSS",IF(D1849=C1849,1,0),IF(B1849="REGION LOSS",IF(E1849=C1849,1,0),0))</f>
        <v>0</v>
      </c>
      <c r="K1849" s="15" t="n">
        <f aca="false">IF(B1849="SITE LOSS",IF(COUNTIFS('Site Dockets'!$B$7:$B$24,C1849,'Site Dockets'!$C$7:$C$24,F1849)&gt;0,1,0),IF(B1849="REGION LOSS",IF(COUNTIFS('Site Dockets'!$E$7:$E$24,C1849,'Site Dockets'!$C$7:$C$24,F1849)&gt;0,1,0),0))</f>
        <v>0</v>
      </c>
      <c r="L1849" s="15" t="n">
        <f aca="false">IF(J1849=1,0,Inputs!$B$11)</f>
        <v>100</v>
      </c>
      <c r="M1849" s="15" t="n">
        <f aca="false">IF(J1849=1,0,Inputs!$B$12)</f>
        <v>75</v>
      </c>
      <c r="N1849" s="15" t="n">
        <f aca="false">IF(J1849=1,0,IF(OR(AND(OR(B1849="SITE LOSS",B1849="REGION LOSS"),K1849=1),AND(B1849="ROLE COMPROMISE",H1849=C1849)),Inputs!$B$13,Inputs!$B$14))</f>
        <v>10</v>
      </c>
      <c r="O1849" s="15" t="n">
        <f aca="false">IF(J1849=1,0,Inputs!$B$13)</f>
        <v>20</v>
      </c>
      <c r="P1849" s="15" t="n">
        <f aca="false">SUM(M1849:N1849)</f>
        <v>85</v>
      </c>
      <c r="Q1849" s="15" t="n">
        <f aca="false">IF(J1849=1,"",L1849-P1849)</f>
        <v>15</v>
      </c>
      <c r="R1849" s="15" t="n">
        <f aca="false">IF(OR(J1849=1,M1849&lt;=Inputs!$B$12),1,0)</f>
        <v>1</v>
      </c>
      <c r="S1849" s="15" t="n">
        <f aca="false">IF(OR(J1849=1,N1849&lt;=O1849),1,0)</f>
        <v>1</v>
      </c>
      <c r="T1849" s="15" t="str">
        <f aca="false">IF(J1849=1,"OFFLINE",IF(AND(Q1849&gt;=Inputs!$B$15,R1849=1,S1849=1,P1849&lt;=L1849),"PASS","FAIL"))</f>
        <v>PASS</v>
      </c>
    </row>
    <row r="1850" customFormat="false" ht="15" hidden="false" customHeight="false" outlineLevel="0" collapsed="false">
      <c r="A1850" s="14" t="s">
        <v>1036</v>
      </c>
      <c r="B1850" s="14" t="s">
        <v>1019</v>
      </c>
      <c r="C1850" s="14" t="s">
        <v>204</v>
      </c>
      <c r="D1850" s="14" t="s">
        <v>156</v>
      </c>
      <c r="E1850" s="14" t="s">
        <v>157</v>
      </c>
      <c r="F1850" s="14" t="s">
        <v>150</v>
      </c>
      <c r="G1850" s="14" t="n">
        <v>2</v>
      </c>
      <c r="H1850" s="14" t="s">
        <v>153</v>
      </c>
      <c r="I1850" s="14" t="s">
        <v>892</v>
      </c>
      <c r="J1850" s="15" t="n">
        <f aca="false">IF(B1850="SITE LOSS",IF(D1850=C1850,1,0),IF(B1850="REGION LOSS",IF(E1850=C1850,1,0),0))</f>
        <v>0</v>
      </c>
      <c r="K1850" s="15" t="n">
        <f aca="false">IF(B1850="SITE LOSS",IF(COUNTIFS('Site Dockets'!$B$7:$B$24,C1850,'Site Dockets'!$C$7:$C$24,F1850)&gt;0,1,0),IF(B1850="REGION LOSS",IF(COUNTIFS('Site Dockets'!$E$7:$E$24,C1850,'Site Dockets'!$C$7:$C$24,F1850)&gt;0,1,0),0))</f>
        <v>0</v>
      </c>
      <c r="L1850" s="15" t="n">
        <f aca="false">IF(J1850=1,0,Inputs!$B$11)</f>
        <v>100</v>
      </c>
      <c r="M1850" s="15" t="n">
        <f aca="false">IF(J1850=1,0,Inputs!$B$12)</f>
        <v>75</v>
      </c>
      <c r="N1850" s="15" t="n">
        <f aca="false">IF(J1850=1,0,IF(OR(AND(OR(B1850="SITE LOSS",B1850="REGION LOSS"),K1850=1),AND(B1850="ROLE COMPROMISE",H1850=C1850)),Inputs!$B$13,Inputs!$B$14))</f>
        <v>10</v>
      </c>
      <c r="O1850" s="15" t="n">
        <f aca="false">IF(J1850=1,0,Inputs!$B$13)</f>
        <v>20</v>
      </c>
      <c r="P1850" s="15" t="n">
        <f aca="false">SUM(M1850:N1850)</f>
        <v>85</v>
      </c>
      <c r="Q1850" s="15" t="n">
        <f aca="false">IF(J1850=1,"",L1850-P1850)</f>
        <v>15</v>
      </c>
      <c r="R1850" s="15" t="n">
        <f aca="false">IF(OR(J1850=1,M1850&lt;=Inputs!$B$12),1,0)</f>
        <v>1</v>
      </c>
      <c r="S1850" s="15" t="n">
        <f aca="false">IF(OR(J1850=1,N1850&lt;=O1850),1,0)</f>
        <v>1</v>
      </c>
      <c r="T1850" s="15" t="str">
        <f aca="false">IF(J1850=1,"OFFLINE",IF(AND(Q1850&gt;=Inputs!$B$15,R1850=1,S1850=1,P1850&lt;=L1850),"PASS","FAIL"))</f>
        <v>PASS</v>
      </c>
    </row>
    <row r="1851" customFormat="false" ht="15" hidden="false" customHeight="false" outlineLevel="0" collapsed="false">
      <c r="A1851" s="14" t="s">
        <v>1036</v>
      </c>
      <c r="B1851" s="14" t="s">
        <v>1019</v>
      </c>
      <c r="C1851" s="14" t="s">
        <v>204</v>
      </c>
      <c r="D1851" s="14" t="s">
        <v>156</v>
      </c>
      <c r="E1851" s="14" t="s">
        <v>157</v>
      </c>
      <c r="F1851" s="14" t="s">
        <v>150</v>
      </c>
      <c r="G1851" s="14" t="n">
        <v>2</v>
      </c>
      <c r="H1851" s="14" t="s">
        <v>153</v>
      </c>
      <c r="I1851" s="14" t="s">
        <v>811</v>
      </c>
      <c r="J1851" s="15" t="n">
        <f aca="false">IF(B1851="SITE LOSS",IF(D1851=C1851,1,0),IF(B1851="REGION LOSS",IF(E1851=C1851,1,0),0))</f>
        <v>0</v>
      </c>
      <c r="K1851" s="15" t="n">
        <f aca="false">IF(B1851="SITE LOSS",IF(COUNTIFS('Site Dockets'!$B$7:$B$24,C1851,'Site Dockets'!$C$7:$C$24,F1851)&gt;0,1,0),IF(B1851="REGION LOSS",IF(COUNTIFS('Site Dockets'!$E$7:$E$24,C1851,'Site Dockets'!$C$7:$C$24,F1851)&gt;0,1,0),0))</f>
        <v>0</v>
      </c>
      <c r="L1851" s="15" t="n">
        <f aca="false">IF(J1851=1,0,Inputs!$B$11)</f>
        <v>100</v>
      </c>
      <c r="M1851" s="15" t="n">
        <f aca="false">IF(J1851=1,0,Inputs!$B$12)</f>
        <v>75</v>
      </c>
      <c r="N1851" s="15" t="n">
        <f aca="false">IF(J1851=1,0,IF(OR(AND(OR(B1851="SITE LOSS",B1851="REGION LOSS"),K1851=1),AND(B1851="ROLE COMPROMISE",H1851=C1851)),Inputs!$B$13,Inputs!$B$14))</f>
        <v>10</v>
      </c>
      <c r="O1851" s="15" t="n">
        <f aca="false">IF(J1851=1,0,Inputs!$B$13)</f>
        <v>20</v>
      </c>
      <c r="P1851" s="15" t="n">
        <f aca="false">SUM(M1851:N1851)</f>
        <v>85</v>
      </c>
      <c r="Q1851" s="15" t="n">
        <f aca="false">IF(J1851=1,"",L1851-P1851)</f>
        <v>15</v>
      </c>
      <c r="R1851" s="15" t="n">
        <f aca="false">IF(OR(J1851=1,M1851&lt;=Inputs!$B$12),1,0)</f>
        <v>1</v>
      </c>
      <c r="S1851" s="15" t="n">
        <f aca="false">IF(OR(J1851=1,N1851&lt;=O1851),1,0)</f>
        <v>1</v>
      </c>
      <c r="T1851" s="15" t="str">
        <f aca="false">IF(J1851=1,"OFFLINE",IF(AND(Q1851&gt;=Inputs!$B$15,R1851=1,S1851=1,P1851&lt;=L1851),"PASS","FAIL"))</f>
        <v>PASS</v>
      </c>
    </row>
    <row r="1852" customFormat="false" ht="15" hidden="false" customHeight="false" outlineLevel="0" collapsed="false">
      <c r="A1852" s="14" t="s">
        <v>1036</v>
      </c>
      <c r="B1852" s="14" t="s">
        <v>1019</v>
      </c>
      <c r="C1852" s="14" t="s">
        <v>204</v>
      </c>
      <c r="D1852" s="14" t="s">
        <v>156</v>
      </c>
      <c r="E1852" s="14" t="s">
        <v>157</v>
      </c>
      <c r="F1852" s="14" t="s">
        <v>150</v>
      </c>
      <c r="G1852" s="14" t="n">
        <v>2</v>
      </c>
      <c r="H1852" s="14" t="s">
        <v>153</v>
      </c>
      <c r="I1852" s="14" t="s">
        <v>895</v>
      </c>
      <c r="J1852" s="15" t="n">
        <f aca="false">IF(B1852="SITE LOSS",IF(D1852=C1852,1,0),IF(B1852="REGION LOSS",IF(E1852=C1852,1,0),0))</f>
        <v>0</v>
      </c>
      <c r="K1852" s="15" t="n">
        <f aca="false">IF(B1852="SITE LOSS",IF(COUNTIFS('Site Dockets'!$B$7:$B$24,C1852,'Site Dockets'!$C$7:$C$24,F1852)&gt;0,1,0),IF(B1852="REGION LOSS",IF(COUNTIFS('Site Dockets'!$E$7:$E$24,C1852,'Site Dockets'!$C$7:$C$24,F1852)&gt;0,1,0),0))</f>
        <v>0</v>
      </c>
      <c r="L1852" s="15" t="n">
        <f aca="false">IF(J1852=1,0,Inputs!$B$11)</f>
        <v>100</v>
      </c>
      <c r="M1852" s="15" t="n">
        <f aca="false">IF(J1852=1,0,Inputs!$B$12)</f>
        <v>75</v>
      </c>
      <c r="N1852" s="15" t="n">
        <f aca="false">IF(J1852=1,0,IF(OR(AND(OR(B1852="SITE LOSS",B1852="REGION LOSS"),K1852=1),AND(B1852="ROLE COMPROMISE",H1852=C1852)),Inputs!$B$13,Inputs!$B$14))</f>
        <v>10</v>
      </c>
      <c r="O1852" s="15" t="n">
        <f aca="false">IF(J1852=1,0,Inputs!$B$13)</f>
        <v>20</v>
      </c>
      <c r="P1852" s="15" t="n">
        <f aca="false">SUM(M1852:N1852)</f>
        <v>85</v>
      </c>
      <c r="Q1852" s="15" t="n">
        <f aca="false">IF(J1852=1,"",L1852-P1852)</f>
        <v>15</v>
      </c>
      <c r="R1852" s="15" t="n">
        <f aca="false">IF(OR(J1852=1,M1852&lt;=Inputs!$B$12),1,0)</f>
        <v>1</v>
      </c>
      <c r="S1852" s="15" t="n">
        <f aca="false">IF(OR(J1852=1,N1852&lt;=O1852),1,0)</f>
        <v>1</v>
      </c>
      <c r="T1852" s="15" t="str">
        <f aca="false">IF(J1852=1,"OFFLINE",IF(AND(Q1852&gt;=Inputs!$B$15,R1852=1,S1852=1,P1852&lt;=L1852),"PASS","FAIL"))</f>
        <v>PASS</v>
      </c>
    </row>
    <row r="1853" customFormat="false" ht="15" hidden="false" customHeight="false" outlineLevel="0" collapsed="false">
      <c r="A1853" s="14" t="s">
        <v>1036</v>
      </c>
      <c r="B1853" s="14" t="s">
        <v>1019</v>
      </c>
      <c r="C1853" s="14" t="s">
        <v>204</v>
      </c>
      <c r="D1853" s="14" t="s">
        <v>156</v>
      </c>
      <c r="E1853" s="14" t="s">
        <v>157</v>
      </c>
      <c r="F1853" s="14" t="s">
        <v>150</v>
      </c>
      <c r="G1853" s="14" t="n">
        <v>2</v>
      </c>
      <c r="H1853" s="14" t="s">
        <v>153</v>
      </c>
      <c r="I1853" s="14" t="s">
        <v>897</v>
      </c>
      <c r="J1853" s="15" t="n">
        <f aca="false">IF(B1853="SITE LOSS",IF(D1853=C1853,1,0),IF(B1853="REGION LOSS",IF(E1853=C1853,1,0),0))</f>
        <v>0</v>
      </c>
      <c r="K1853" s="15" t="n">
        <f aca="false">IF(B1853="SITE LOSS",IF(COUNTIFS('Site Dockets'!$B$7:$B$24,C1853,'Site Dockets'!$C$7:$C$24,F1853)&gt;0,1,0),IF(B1853="REGION LOSS",IF(COUNTIFS('Site Dockets'!$E$7:$E$24,C1853,'Site Dockets'!$C$7:$C$24,F1853)&gt;0,1,0),0))</f>
        <v>0</v>
      </c>
      <c r="L1853" s="15" t="n">
        <f aca="false">IF(J1853=1,0,Inputs!$B$11)</f>
        <v>100</v>
      </c>
      <c r="M1853" s="15" t="n">
        <f aca="false">IF(J1853=1,0,Inputs!$B$12)</f>
        <v>75</v>
      </c>
      <c r="N1853" s="15" t="n">
        <f aca="false">IF(J1853=1,0,IF(OR(AND(OR(B1853="SITE LOSS",B1853="REGION LOSS"),K1853=1),AND(B1853="ROLE COMPROMISE",H1853=C1853)),Inputs!$B$13,Inputs!$B$14))</f>
        <v>10</v>
      </c>
      <c r="O1853" s="15" t="n">
        <f aca="false">IF(J1853=1,0,Inputs!$B$13)</f>
        <v>20</v>
      </c>
      <c r="P1853" s="15" t="n">
        <f aca="false">SUM(M1853:N1853)</f>
        <v>85</v>
      </c>
      <c r="Q1853" s="15" t="n">
        <f aca="false">IF(J1853=1,"",L1853-P1853)</f>
        <v>15</v>
      </c>
      <c r="R1853" s="15" t="n">
        <f aca="false">IF(OR(J1853=1,M1853&lt;=Inputs!$B$12),1,0)</f>
        <v>1</v>
      </c>
      <c r="S1853" s="15" t="n">
        <f aca="false">IF(OR(J1853=1,N1853&lt;=O1853),1,0)</f>
        <v>1</v>
      </c>
      <c r="T1853" s="15" t="str">
        <f aca="false">IF(J1853=1,"OFFLINE",IF(AND(Q1853&gt;=Inputs!$B$15,R1853=1,S1853=1,P1853&lt;=L1853),"PASS","FAIL"))</f>
        <v>PASS</v>
      </c>
    </row>
    <row r="1854" customFormat="false" ht="15" hidden="false" customHeight="false" outlineLevel="0" collapsed="false">
      <c r="A1854" s="14" t="s">
        <v>1036</v>
      </c>
      <c r="B1854" s="14" t="s">
        <v>1019</v>
      </c>
      <c r="C1854" s="14" t="s">
        <v>204</v>
      </c>
      <c r="D1854" s="14" t="s">
        <v>156</v>
      </c>
      <c r="E1854" s="14" t="s">
        <v>157</v>
      </c>
      <c r="F1854" s="14" t="s">
        <v>150</v>
      </c>
      <c r="G1854" s="14" t="n">
        <v>2</v>
      </c>
      <c r="H1854" s="14" t="s">
        <v>153</v>
      </c>
      <c r="I1854" s="14" t="s">
        <v>899</v>
      </c>
      <c r="J1854" s="15" t="n">
        <f aca="false">IF(B1854="SITE LOSS",IF(D1854=C1854,1,0),IF(B1854="REGION LOSS",IF(E1854=C1854,1,0),0))</f>
        <v>0</v>
      </c>
      <c r="K1854" s="15" t="n">
        <f aca="false">IF(B1854="SITE LOSS",IF(COUNTIFS('Site Dockets'!$B$7:$B$24,C1854,'Site Dockets'!$C$7:$C$24,F1854)&gt;0,1,0),IF(B1854="REGION LOSS",IF(COUNTIFS('Site Dockets'!$E$7:$E$24,C1854,'Site Dockets'!$C$7:$C$24,F1854)&gt;0,1,0),0))</f>
        <v>0</v>
      </c>
      <c r="L1854" s="15" t="n">
        <f aca="false">IF(J1854=1,0,Inputs!$B$11)</f>
        <v>100</v>
      </c>
      <c r="M1854" s="15" t="n">
        <f aca="false">IF(J1854=1,0,Inputs!$B$12)</f>
        <v>75</v>
      </c>
      <c r="N1854" s="15" t="n">
        <f aca="false">IF(J1854=1,0,IF(OR(AND(OR(B1854="SITE LOSS",B1854="REGION LOSS"),K1854=1),AND(B1854="ROLE COMPROMISE",H1854=C1854)),Inputs!$B$13,Inputs!$B$14))</f>
        <v>10</v>
      </c>
      <c r="O1854" s="15" t="n">
        <f aca="false">IF(J1854=1,0,Inputs!$B$13)</f>
        <v>20</v>
      </c>
      <c r="P1854" s="15" t="n">
        <f aca="false">SUM(M1854:N1854)</f>
        <v>85</v>
      </c>
      <c r="Q1854" s="15" t="n">
        <f aca="false">IF(J1854=1,"",L1854-P1854)</f>
        <v>15</v>
      </c>
      <c r="R1854" s="15" t="n">
        <f aca="false">IF(OR(J1854=1,M1854&lt;=Inputs!$B$12),1,0)</f>
        <v>1</v>
      </c>
      <c r="S1854" s="15" t="n">
        <f aca="false">IF(OR(J1854=1,N1854&lt;=O1854),1,0)</f>
        <v>1</v>
      </c>
      <c r="T1854" s="15" t="str">
        <f aca="false">IF(J1854=1,"OFFLINE",IF(AND(Q1854&gt;=Inputs!$B$15,R1854=1,S1854=1,P1854&lt;=L1854),"PASS","FAIL"))</f>
        <v>PASS</v>
      </c>
    </row>
    <row r="1855" customFormat="false" ht="15" hidden="false" customHeight="false" outlineLevel="0" collapsed="false">
      <c r="A1855" s="14" t="s">
        <v>1036</v>
      </c>
      <c r="B1855" s="14" t="s">
        <v>1019</v>
      </c>
      <c r="C1855" s="14" t="s">
        <v>204</v>
      </c>
      <c r="D1855" s="14" t="s">
        <v>160</v>
      </c>
      <c r="E1855" s="14" t="s">
        <v>161</v>
      </c>
      <c r="F1855" s="14" t="s">
        <v>150</v>
      </c>
      <c r="G1855" s="14" t="n">
        <v>3</v>
      </c>
      <c r="H1855" s="14" t="s">
        <v>158</v>
      </c>
      <c r="I1855" s="14" t="s">
        <v>890</v>
      </c>
      <c r="J1855" s="15" t="n">
        <f aca="false">IF(B1855="SITE LOSS",IF(D1855=C1855,1,0),IF(B1855="REGION LOSS",IF(E1855=C1855,1,0),0))</f>
        <v>0</v>
      </c>
      <c r="K1855" s="15" t="n">
        <f aca="false">IF(B1855="SITE LOSS",IF(COUNTIFS('Site Dockets'!$B$7:$B$24,C1855,'Site Dockets'!$C$7:$C$24,F1855)&gt;0,1,0),IF(B1855="REGION LOSS",IF(COUNTIFS('Site Dockets'!$E$7:$E$24,C1855,'Site Dockets'!$C$7:$C$24,F1855)&gt;0,1,0),0))</f>
        <v>0</v>
      </c>
      <c r="L1855" s="15" t="n">
        <f aca="false">IF(J1855=1,0,Inputs!$B$11)</f>
        <v>100</v>
      </c>
      <c r="M1855" s="15" t="n">
        <f aca="false">IF(J1855=1,0,Inputs!$B$12)</f>
        <v>75</v>
      </c>
      <c r="N1855" s="15" t="n">
        <f aca="false">IF(J1855=1,0,IF(OR(AND(OR(B1855="SITE LOSS",B1855="REGION LOSS"),K1855=1),AND(B1855="ROLE COMPROMISE",H1855=C1855)),Inputs!$B$13,Inputs!$B$14))</f>
        <v>10</v>
      </c>
      <c r="O1855" s="15" t="n">
        <f aca="false">IF(J1855=1,0,Inputs!$B$13)</f>
        <v>20</v>
      </c>
      <c r="P1855" s="15" t="n">
        <f aca="false">SUM(M1855:N1855)</f>
        <v>85</v>
      </c>
      <c r="Q1855" s="15" t="n">
        <f aca="false">IF(J1855=1,"",L1855-P1855)</f>
        <v>15</v>
      </c>
      <c r="R1855" s="15" t="n">
        <f aca="false">IF(OR(J1855=1,M1855&lt;=Inputs!$B$12),1,0)</f>
        <v>1</v>
      </c>
      <c r="S1855" s="15" t="n">
        <f aca="false">IF(OR(J1855=1,N1855&lt;=O1855),1,0)</f>
        <v>1</v>
      </c>
      <c r="T1855" s="15" t="str">
        <f aca="false">IF(J1855=1,"OFFLINE",IF(AND(Q1855&gt;=Inputs!$B$15,R1855=1,S1855=1,P1855&lt;=L1855),"PASS","FAIL"))</f>
        <v>PASS</v>
      </c>
    </row>
    <row r="1856" customFormat="false" ht="15" hidden="false" customHeight="false" outlineLevel="0" collapsed="false">
      <c r="A1856" s="14" t="s">
        <v>1036</v>
      </c>
      <c r="B1856" s="14" t="s">
        <v>1019</v>
      </c>
      <c r="C1856" s="14" t="s">
        <v>204</v>
      </c>
      <c r="D1856" s="14" t="s">
        <v>160</v>
      </c>
      <c r="E1856" s="14" t="s">
        <v>161</v>
      </c>
      <c r="F1856" s="14" t="s">
        <v>150</v>
      </c>
      <c r="G1856" s="14" t="n">
        <v>3</v>
      </c>
      <c r="H1856" s="14" t="s">
        <v>158</v>
      </c>
      <c r="I1856" s="14" t="s">
        <v>892</v>
      </c>
      <c r="J1856" s="15" t="n">
        <f aca="false">IF(B1856="SITE LOSS",IF(D1856=C1856,1,0),IF(B1856="REGION LOSS",IF(E1856=C1856,1,0),0))</f>
        <v>0</v>
      </c>
      <c r="K1856" s="15" t="n">
        <f aca="false">IF(B1856="SITE LOSS",IF(COUNTIFS('Site Dockets'!$B$7:$B$24,C1856,'Site Dockets'!$C$7:$C$24,F1856)&gt;0,1,0),IF(B1856="REGION LOSS",IF(COUNTIFS('Site Dockets'!$E$7:$E$24,C1856,'Site Dockets'!$C$7:$C$24,F1856)&gt;0,1,0),0))</f>
        <v>0</v>
      </c>
      <c r="L1856" s="15" t="n">
        <f aca="false">IF(J1856=1,0,Inputs!$B$11)</f>
        <v>100</v>
      </c>
      <c r="M1856" s="15" t="n">
        <f aca="false">IF(J1856=1,0,Inputs!$B$12)</f>
        <v>75</v>
      </c>
      <c r="N1856" s="15" t="n">
        <f aca="false">IF(J1856=1,0,IF(OR(AND(OR(B1856="SITE LOSS",B1856="REGION LOSS"),K1856=1),AND(B1856="ROLE COMPROMISE",H1856=C1856)),Inputs!$B$13,Inputs!$B$14))</f>
        <v>10</v>
      </c>
      <c r="O1856" s="15" t="n">
        <f aca="false">IF(J1856=1,0,Inputs!$B$13)</f>
        <v>20</v>
      </c>
      <c r="P1856" s="15" t="n">
        <f aca="false">SUM(M1856:N1856)</f>
        <v>85</v>
      </c>
      <c r="Q1856" s="15" t="n">
        <f aca="false">IF(J1856=1,"",L1856-P1856)</f>
        <v>15</v>
      </c>
      <c r="R1856" s="15" t="n">
        <f aca="false">IF(OR(J1856=1,M1856&lt;=Inputs!$B$12),1,0)</f>
        <v>1</v>
      </c>
      <c r="S1856" s="15" t="n">
        <f aca="false">IF(OR(J1856=1,N1856&lt;=O1856),1,0)</f>
        <v>1</v>
      </c>
      <c r="T1856" s="15" t="str">
        <f aca="false">IF(J1856=1,"OFFLINE",IF(AND(Q1856&gt;=Inputs!$B$15,R1856=1,S1856=1,P1856&lt;=L1856),"PASS","FAIL"))</f>
        <v>PASS</v>
      </c>
    </row>
    <row r="1857" customFormat="false" ht="15" hidden="false" customHeight="false" outlineLevel="0" collapsed="false">
      <c r="A1857" s="14" t="s">
        <v>1036</v>
      </c>
      <c r="B1857" s="14" t="s">
        <v>1019</v>
      </c>
      <c r="C1857" s="14" t="s">
        <v>204</v>
      </c>
      <c r="D1857" s="14" t="s">
        <v>160</v>
      </c>
      <c r="E1857" s="14" t="s">
        <v>161</v>
      </c>
      <c r="F1857" s="14" t="s">
        <v>150</v>
      </c>
      <c r="G1857" s="14" t="n">
        <v>3</v>
      </c>
      <c r="H1857" s="14" t="s">
        <v>158</v>
      </c>
      <c r="I1857" s="14" t="s">
        <v>811</v>
      </c>
      <c r="J1857" s="15" t="n">
        <f aca="false">IF(B1857="SITE LOSS",IF(D1857=C1857,1,0),IF(B1857="REGION LOSS",IF(E1857=C1857,1,0),0))</f>
        <v>0</v>
      </c>
      <c r="K1857" s="15" t="n">
        <f aca="false">IF(B1857="SITE LOSS",IF(COUNTIFS('Site Dockets'!$B$7:$B$24,C1857,'Site Dockets'!$C$7:$C$24,F1857)&gt;0,1,0),IF(B1857="REGION LOSS",IF(COUNTIFS('Site Dockets'!$E$7:$E$24,C1857,'Site Dockets'!$C$7:$C$24,F1857)&gt;0,1,0),0))</f>
        <v>0</v>
      </c>
      <c r="L1857" s="15" t="n">
        <f aca="false">IF(J1857=1,0,Inputs!$B$11)</f>
        <v>100</v>
      </c>
      <c r="M1857" s="15" t="n">
        <f aca="false">IF(J1857=1,0,Inputs!$B$12)</f>
        <v>75</v>
      </c>
      <c r="N1857" s="15" t="n">
        <f aca="false">IF(J1857=1,0,IF(OR(AND(OR(B1857="SITE LOSS",B1857="REGION LOSS"),K1857=1),AND(B1857="ROLE COMPROMISE",H1857=C1857)),Inputs!$B$13,Inputs!$B$14))</f>
        <v>10</v>
      </c>
      <c r="O1857" s="15" t="n">
        <f aca="false">IF(J1857=1,0,Inputs!$B$13)</f>
        <v>20</v>
      </c>
      <c r="P1857" s="15" t="n">
        <f aca="false">SUM(M1857:N1857)</f>
        <v>85</v>
      </c>
      <c r="Q1857" s="15" t="n">
        <f aca="false">IF(J1857=1,"",L1857-P1857)</f>
        <v>15</v>
      </c>
      <c r="R1857" s="15" t="n">
        <f aca="false">IF(OR(J1857=1,M1857&lt;=Inputs!$B$12),1,0)</f>
        <v>1</v>
      </c>
      <c r="S1857" s="15" t="n">
        <f aca="false">IF(OR(J1857=1,N1857&lt;=O1857),1,0)</f>
        <v>1</v>
      </c>
      <c r="T1857" s="15" t="str">
        <f aca="false">IF(J1857=1,"OFFLINE",IF(AND(Q1857&gt;=Inputs!$B$15,R1857=1,S1857=1,P1857&lt;=L1857),"PASS","FAIL"))</f>
        <v>PASS</v>
      </c>
    </row>
    <row r="1858" customFormat="false" ht="15" hidden="false" customHeight="false" outlineLevel="0" collapsed="false">
      <c r="A1858" s="14" t="s">
        <v>1036</v>
      </c>
      <c r="B1858" s="14" t="s">
        <v>1019</v>
      </c>
      <c r="C1858" s="14" t="s">
        <v>204</v>
      </c>
      <c r="D1858" s="14" t="s">
        <v>160</v>
      </c>
      <c r="E1858" s="14" t="s">
        <v>161</v>
      </c>
      <c r="F1858" s="14" t="s">
        <v>150</v>
      </c>
      <c r="G1858" s="14" t="n">
        <v>3</v>
      </c>
      <c r="H1858" s="14" t="s">
        <v>158</v>
      </c>
      <c r="I1858" s="14" t="s">
        <v>895</v>
      </c>
      <c r="J1858" s="15" t="n">
        <f aca="false">IF(B1858="SITE LOSS",IF(D1858=C1858,1,0),IF(B1858="REGION LOSS",IF(E1858=C1858,1,0),0))</f>
        <v>0</v>
      </c>
      <c r="K1858" s="15" t="n">
        <f aca="false">IF(B1858="SITE LOSS",IF(COUNTIFS('Site Dockets'!$B$7:$B$24,C1858,'Site Dockets'!$C$7:$C$24,F1858)&gt;0,1,0),IF(B1858="REGION LOSS",IF(COUNTIFS('Site Dockets'!$E$7:$E$24,C1858,'Site Dockets'!$C$7:$C$24,F1858)&gt;0,1,0),0))</f>
        <v>0</v>
      </c>
      <c r="L1858" s="15" t="n">
        <f aca="false">IF(J1858=1,0,Inputs!$B$11)</f>
        <v>100</v>
      </c>
      <c r="M1858" s="15" t="n">
        <f aca="false">IF(J1858=1,0,Inputs!$B$12)</f>
        <v>75</v>
      </c>
      <c r="N1858" s="15" t="n">
        <f aca="false">IF(J1858=1,0,IF(OR(AND(OR(B1858="SITE LOSS",B1858="REGION LOSS"),K1858=1),AND(B1858="ROLE COMPROMISE",H1858=C1858)),Inputs!$B$13,Inputs!$B$14))</f>
        <v>10</v>
      </c>
      <c r="O1858" s="15" t="n">
        <f aca="false">IF(J1858=1,0,Inputs!$B$13)</f>
        <v>20</v>
      </c>
      <c r="P1858" s="15" t="n">
        <f aca="false">SUM(M1858:N1858)</f>
        <v>85</v>
      </c>
      <c r="Q1858" s="15" t="n">
        <f aca="false">IF(J1858=1,"",L1858-P1858)</f>
        <v>15</v>
      </c>
      <c r="R1858" s="15" t="n">
        <f aca="false">IF(OR(J1858=1,M1858&lt;=Inputs!$B$12),1,0)</f>
        <v>1</v>
      </c>
      <c r="S1858" s="15" t="n">
        <f aca="false">IF(OR(J1858=1,N1858&lt;=O1858),1,0)</f>
        <v>1</v>
      </c>
      <c r="T1858" s="15" t="str">
        <f aca="false">IF(J1858=1,"OFFLINE",IF(AND(Q1858&gt;=Inputs!$B$15,R1858=1,S1858=1,P1858&lt;=L1858),"PASS","FAIL"))</f>
        <v>PASS</v>
      </c>
    </row>
    <row r="1859" customFormat="false" ht="15" hidden="false" customHeight="false" outlineLevel="0" collapsed="false">
      <c r="A1859" s="14" t="s">
        <v>1036</v>
      </c>
      <c r="B1859" s="14" t="s">
        <v>1019</v>
      </c>
      <c r="C1859" s="14" t="s">
        <v>204</v>
      </c>
      <c r="D1859" s="14" t="s">
        <v>160</v>
      </c>
      <c r="E1859" s="14" t="s">
        <v>161</v>
      </c>
      <c r="F1859" s="14" t="s">
        <v>150</v>
      </c>
      <c r="G1859" s="14" t="n">
        <v>3</v>
      </c>
      <c r="H1859" s="14" t="s">
        <v>158</v>
      </c>
      <c r="I1859" s="14" t="s">
        <v>897</v>
      </c>
      <c r="J1859" s="15" t="n">
        <f aca="false">IF(B1859="SITE LOSS",IF(D1859=C1859,1,0),IF(B1859="REGION LOSS",IF(E1859=C1859,1,0),0))</f>
        <v>0</v>
      </c>
      <c r="K1859" s="15" t="n">
        <f aca="false">IF(B1859="SITE LOSS",IF(COUNTIFS('Site Dockets'!$B$7:$B$24,C1859,'Site Dockets'!$C$7:$C$24,F1859)&gt;0,1,0),IF(B1859="REGION LOSS",IF(COUNTIFS('Site Dockets'!$E$7:$E$24,C1859,'Site Dockets'!$C$7:$C$24,F1859)&gt;0,1,0),0))</f>
        <v>0</v>
      </c>
      <c r="L1859" s="15" t="n">
        <f aca="false">IF(J1859=1,0,Inputs!$B$11)</f>
        <v>100</v>
      </c>
      <c r="M1859" s="15" t="n">
        <f aca="false">IF(J1859=1,0,Inputs!$B$12)</f>
        <v>75</v>
      </c>
      <c r="N1859" s="15" t="n">
        <f aca="false">IF(J1859=1,0,IF(OR(AND(OR(B1859="SITE LOSS",B1859="REGION LOSS"),K1859=1),AND(B1859="ROLE COMPROMISE",H1859=C1859)),Inputs!$B$13,Inputs!$B$14))</f>
        <v>10</v>
      </c>
      <c r="O1859" s="15" t="n">
        <f aca="false">IF(J1859=1,0,Inputs!$B$13)</f>
        <v>20</v>
      </c>
      <c r="P1859" s="15" t="n">
        <f aca="false">SUM(M1859:N1859)</f>
        <v>85</v>
      </c>
      <c r="Q1859" s="15" t="n">
        <f aca="false">IF(J1859=1,"",L1859-P1859)</f>
        <v>15</v>
      </c>
      <c r="R1859" s="15" t="n">
        <f aca="false">IF(OR(J1859=1,M1859&lt;=Inputs!$B$12),1,0)</f>
        <v>1</v>
      </c>
      <c r="S1859" s="15" t="n">
        <f aca="false">IF(OR(J1859=1,N1859&lt;=O1859),1,0)</f>
        <v>1</v>
      </c>
      <c r="T1859" s="15" t="str">
        <f aca="false">IF(J1859=1,"OFFLINE",IF(AND(Q1859&gt;=Inputs!$B$15,R1859=1,S1859=1,P1859&lt;=L1859),"PASS","FAIL"))</f>
        <v>PASS</v>
      </c>
    </row>
    <row r="1860" customFormat="false" ht="15" hidden="false" customHeight="false" outlineLevel="0" collapsed="false">
      <c r="A1860" s="14" t="s">
        <v>1036</v>
      </c>
      <c r="B1860" s="14" t="s">
        <v>1019</v>
      </c>
      <c r="C1860" s="14" t="s">
        <v>204</v>
      </c>
      <c r="D1860" s="14" t="s">
        <v>160</v>
      </c>
      <c r="E1860" s="14" t="s">
        <v>161</v>
      </c>
      <c r="F1860" s="14" t="s">
        <v>150</v>
      </c>
      <c r="G1860" s="14" t="n">
        <v>3</v>
      </c>
      <c r="H1860" s="14" t="s">
        <v>158</v>
      </c>
      <c r="I1860" s="14" t="s">
        <v>899</v>
      </c>
      <c r="J1860" s="15" t="n">
        <f aca="false">IF(B1860="SITE LOSS",IF(D1860=C1860,1,0),IF(B1860="REGION LOSS",IF(E1860=C1860,1,0),0))</f>
        <v>0</v>
      </c>
      <c r="K1860" s="15" t="n">
        <f aca="false">IF(B1860="SITE LOSS",IF(COUNTIFS('Site Dockets'!$B$7:$B$24,C1860,'Site Dockets'!$C$7:$C$24,F1860)&gt;0,1,0),IF(B1860="REGION LOSS",IF(COUNTIFS('Site Dockets'!$E$7:$E$24,C1860,'Site Dockets'!$C$7:$C$24,F1860)&gt;0,1,0),0))</f>
        <v>0</v>
      </c>
      <c r="L1860" s="15" t="n">
        <f aca="false">IF(J1860=1,0,Inputs!$B$11)</f>
        <v>100</v>
      </c>
      <c r="M1860" s="15" t="n">
        <f aca="false">IF(J1860=1,0,Inputs!$B$12)</f>
        <v>75</v>
      </c>
      <c r="N1860" s="15" t="n">
        <f aca="false">IF(J1860=1,0,IF(OR(AND(OR(B1860="SITE LOSS",B1860="REGION LOSS"),K1860=1),AND(B1860="ROLE COMPROMISE",H1860=C1860)),Inputs!$B$13,Inputs!$B$14))</f>
        <v>10</v>
      </c>
      <c r="O1860" s="15" t="n">
        <f aca="false">IF(J1860=1,0,Inputs!$B$13)</f>
        <v>20</v>
      </c>
      <c r="P1860" s="15" t="n">
        <f aca="false">SUM(M1860:N1860)</f>
        <v>85</v>
      </c>
      <c r="Q1860" s="15" t="n">
        <f aca="false">IF(J1860=1,"",L1860-P1860)</f>
        <v>15</v>
      </c>
      <c r="R1860" s="15" t="n">
        <f aca="false">IF(OR(J1860=1,M1860&lt;=Inputs!$B$12),1,0)</f>
        <v>1</v>
      </c>
      <c r="S1860" s="15" t="n">
        <f aca="false">IF(OR(J1860=1,N1860&lt;=O1860),1,0)</f>
        <v>1</v>
      </c>
      <c r="T1860" s="15" t="str">
        <f aca="false">IF(J1860=1,"OFFLINE",IF(AND(Q1860&gt;=Inputs!$B$15,R1860=1,S1860=1,P1860&lt;=L1860),"PASS","FAIL"))</f>
        <v>PASS</v>
      </c>
    </row>
    <row r="1861" customFormat="false" ht="15" hidden="false" customHeight="false" outlineLevel="0" collapsed="false">
      <c r="A1861" s="14" t="s">
        <v>1036</v>
      </c>
      <c r="B1861" s="14" t="s">
        <v>1019</v>
      </c>
      <c r="C1861" s="14" t="s">
        <v>204</v>
      </c>
      <c r="D1861" s="14" t="s">
        <v>163</v>
      </c>
      <c r="E1861" s="14" t="s">
        <v>166</v>
      </c>
      <c r="F1861" s="14" t="s">
        <v>164</v>
      </c>
      <c r="G1861" s="14" t="n">
        <v>1</v>
      </c>
      <c r="H1861" s="14" t="s">
        <v>154</v>
      </c>
      <c r="I1861" s="14" t="s">
        <v>890</v>
      </c>
      <c r="J1861" s="15" t="n">
        <f aca="false">IF(B1861="SITE LOSS",IF(D1861=C1861,1,0),IF(B1861="REGION LOSS",IF(E1861=C1861,1,0),0))</f>
        <v>0</v>
      </c>
      <c r="K1861" s="15" t="n">
        <f aca="false">IF(B1861="SITE LOSS",IF(COUNTIFS('Site Dockets'!$B$7:$B$24,C1861,'Site Dockets'!$C$7:$C$24,F1861)&gt;0,1,0),IF(B1861="REGION LOSS",IF(COUNTIFS('Site Dockets'!$E$7:$E$24,C1861,'Site Dockets'!$C$7:$C$24,F1861)&gt;0,1,0),0))</f>
        <v>0</v>
      </c>
      <c r="L1861" s="15" t="n">
        <f aca="false">IF(J1861=1,0,Inputs!$B$11)</f>
        <v>100</v>
      </c>
      <c r="M1861" s="15" t="n">
        <f aca="false">IF(J1861=1,0,Inputs!$B$12)</f>
        <v>75</v>
      </c>
      <c r="N1861" s="15" t="n">
        <f aca="false">IF(J1861=1,0,IF(OR(AND(OR(B1861="SITE LOSS",B1861="REGION LOSS"),K1861=1),AND(B1861="ROLE COMPROMISE",H1861=C1861)),Inputs!$B$13,Inputs!$B$14))</f>
        <v>10</v>
      </c>
      <c r="O1861" s="15" t="n">
        <f aca="false">IF(J1861=1,0,Inputs!$B$13)</f>
        <v>20</v>
      </c>
      <c r="P1861" s="15" t="n">
        <f aca="false">SUM(M1861:N1861)</f>
        <v>85</v>
      </c>
      <c r="Q1861" s="15" t="n">
        <f aca="false">IF(J1861=1,"",L1861-P1861)</f>
        <v>15</v>
      </c>
      <c r="R1861" s="15" t="n">
        <f aca="false">IF(OR(J1861=1,M1861&lt;=Inputs!$B$12),1,0)</f>
        <v>1</v>
      </c>
      <c r="S1861" s="15" t="n">
        <f aca="false">IF(OR(J1861=1,N1861&lt;=O1861),1,0)</f>
        <v>1</v>
      </c>
      <c r="T1861" s="15" t="str">
        <f aca="false">IF(J1861=1,"OFFLINE",IF(AND(Q1861&gt;=Inputs!$B$15,R1861=1,S1861=1,P1861&lt;=L1861),"PASS","FAIL"))</f>
        <v>PASS</v>
      </c>
    </row>
    <row r="1862" customFormat="false" ht="15" hidden="false" customHeight="false" outlineLevel="0" collapsed="false">
      <c r="A1862" s="14" t="s">
        <v>1036</v>
      </c>
      <c r="B1862" s="14" t="s">
        <v>1019</v>
      </c>
      <c r="C1862" s="14" t="s">
        <v>204</v>
      </c>
      <c r="D1862" s="14" t="s">
        <v>163</v>
      </c>
      <c r="E1862" s="14" t="s">
        <v>166</v>
      </c>
      <c r="F1862" s="14" t="s">
        <v>164</v>
      </c>
      <c r="G1862" s="14" t="n">
        <v>1</v>
      </c>
      <c r="H1862" s="14" t="s">
        <v>154</v>
      </c>
      <c r="I1862" s="14" t="s">
        <v>892</v>
      </c>
      <c r="J1862" s="15" t="n">
        <f aca="false">IF(B1862="SITE LOSS",IF(D1862=C1862,1,0),IF(B1862="REGION LOSS",IF(E1862=C1862,1,0),0))</f>
        <v>0</v>
      </c>
      <c r="K1862" s="15" t="n">
        <f aca="false">IF(B1862="SITE LOSS",IF(COUNTIFS('Site Dockets'!$B$7:$B$24,C1862,'Site Dockets'!$C$7:$C$24,F1862)&gt;0,1,0),IF(B1862="REGION LOSS",IF(COUNTIFS('Site Dockets'!$E$7:$E$24,C1862,'Site Dockets'!$C$7:$C$24,F1862)&gt;0,1,0),0))</f>
        <v>0</v>
      </c>
      <c r="L1862" s="15" t="n">
        <f aca="false">IF(J1862=1,0,Inputs!$B$11)</f>
        <v>100</v>
      </c>
      <c r="M1862" s="15" t="n">
        <f aca="false">IF(J1862=1,0,Inputs!$B$12)</f>
        <v>75</v>
      </c>
      <c r="N1862" s="15" t="n">
        <f aca="false">IF(J1862=1,0,IF(OR(AND(OR(B1862="SITE LOSS",B1862="REGION LOSS"),K1862=1),AND(B1862="ROLE COMPROMISE",H1862=C1862)),Inputs!$B$13,Inputs!$B$14))</f>
        <v>10</v>
      </c>
      <c r="O1862" s="15" t="n">
        <f aca="false">IF(J1862=1,0,Inputs!$B$13)</f>
        <v>20</v>
      </c>
      <c r="P1862" s="15" t="n">
        <f aca="false">SUM(M1862:N1862)</f>
        <v>85</v>
      </c>
      <c r="Q1862" s="15" t="n">
        <f aca="false">IF(J1862=1,"",L1862-P1862)</f>
        <v>15</v>
      </c>
      <c r="R1862" s="15" t="n">
        <f aca="false">IF(OR(J1862=1,M1862&lt;=Inputs!$B$12),1,0)</f>
        <v>1</v>
      </c>
      <c r="S1862" s="15" t="n">
        <f aca="false">IF(OR(J1862=1,N1862&lt;=O1862),1,0)</f>
        <v>1</v>
      </c>
      <c r="T1862" s="15" t="str">
        <f aca="false">IF(J1862=1,"OFFLINE",IF(AND(Q1862&gt;=Inputs!$B$15,R1862=1,S1862=1,P1862&lt;=L1862),"PASS","FAIL"))</f>
        <v>PASS</v>
      </c>
    </row>
    <row r="1863" customFormat="false" ht="15" hidden="false" customHeight="false" outlineLevel="0" collapsed="false">
      <c r="A1863" s="14" t="s">
        <v>1036</v>
      </c>
      <c r="B1863" s="14" t="s">
        <v>1019</v>
      </c>
      <c r="C1863" s="14" t="s">
        <v>204</v>
      </c>
      <c r="D1863" s="14" t="s">
        <v>163</v>
      </c>
      <c r="E1863" s="14" t="s">
        <v>166</v>
      </c>
      <c r="F1863" s="14" t="s">
        <v>164</v>
      </c>
      <c r="G1863" s="14" t="n">
        <v>1</v>
      </c>
      <c r="H1863" s="14" t="s">
        <v>154</v>
      </c>
      <c r="I1863" s="14" t="s">
        <v>811</v>
      </c>
      <c r="J1863" s="15" t="n">
        <f aca="false">IF(B1863="SITE LOSS",IF(D1863=C1863,1,0),IF(B1863="REGION LOSS",IF(E1863=C1863,1,0),0))</f>
        <v>0</v>
      </c>
      <c r="K1863" s="15" t="n">
        <f aca="false">IF(B1863="SITE LOSS",IF(COUNTIFS('Site Dockets'!$B$7:$B$24,C1863,'Site Dockets'!$C$7:$C$24,F1863)&gt;0,1,0),IF(B1863="REGION LOSS",IF(COUNTIFS('Site Dockets'!$E$7:$E$24,C1863,'Site Dockets'!$C$7:$C$24,F1863)&gt;0,1,0),0))</f>
        <v>0</v>
      </c>
      <c r="L1863" s="15" t="n">
        <f aca="false">IF(J1863=1,0,Inputs!$B$11)</f>
        <v>100</v>
      </c>
      <c r="M1863" s="15" t="n">
        <f aca="false">IF(J1863=1,0,Inputs!$B$12)</f>
        <v>75</v>
      </c>
      <c r="N1863" s="15" t="n">
        <f aca="false">IF(J1863=1,0,IF(OR(AND(OR(B1863="SITE LOSS",B1863="REGION LOSS"),K1863=1),AND(B1863="ROLE COMPROMISE",H1863=C1863)),Inputs!$B$13,Inputs!$B$14))</f>
        <v>10</v>
      </c>
      <c r="O1863" s="15" t="n">
        <f aca="false">IF(J1863=1,0,Inputs!$B$13)</f>
        <v>20</v>
      </c>
      <c r="P1863" s="15" t="n">
        <f aca="false">SUM(M1863:N1863)</f>
        <v>85</v>
      </c>
      <c r="Q1863" s="15" t="n">
        <f aca="false">IF(J1863=1,"",L1863-P1863)</f>
        <v>15</v>
      </c>
      <c r="R1863" s="15" t="n">
        <f aca="false">IF(OR(J1863=1,M1863&lt;=Inputs!$B$12),1,0)</f>
        <v>1</v>
      </c>
      <c r="S1863" s="15" t="n">
        <f aca="false">IF(OR(J1863=1,N1863&lt;=O1863),1,0)</f>
        <v>1</v>
      </c>
      <c r="T1863" s="15" t="str">
        <f aca="false">IF(J1863=1,"OFFLINE",IF(AND(Q1863&gt;=Inputs!$B$15,R1863=1,S1863=1,P1863&lt;=L1863),"PASS","FAIL"))</f>
        <v>PASS</v>
      </c>
    </row>
    <row r="1864" customFormat="false" ht="15" hidden="false" customHeight="false" outlineLevel="0" collapsed="false">
      <c r="A1864" s="14" t="s">
        <v>1036</v>
      </c>
      <c r="B1864" s="14" t="s">
        <v>1019</v>
      </c>
      <c r="C1864" s="14" t="s">
        <v>204</v>
      </c>
      <c r="D1864" s="14" t="s">
        <v>163</v>
      </c>
      <c r="E1864" s="14" t="s">
        <v>166</v>
      </c>
      <c r="F1864" s="14" t="s">
        <v>164</v>
      </c>
      <c r="G1864" s="14" t="n">
        <v>1</v>
      </c>
      <c r="H1864" s="14" t="s">
        <v>154</v>
      </c>
      <c r="I1864" s="14" t="s">
        <v>895</v>
      </c>
      <c r="J1864" s="15" t="n">
        <f aca="false">IF(B1864="SITE LOSS",IF(D1864=C1864,1,0),IF(B1864="REGION LOSS",IF(E1864=C1864,1,0),0))</f>
        <v>0</v>
      </c>
      <c r="K1864" s="15" t="n">
        <f aca="false">IF(B1864="SITE LOSS",IF(COUNTIFS('Site Dockets'!$B$7:$B$24,C1864,'Site Dockets'!$C$7:$C$24,F1864)&gt;0,1,0),IF(B1864="REGION LOSS",IF(COUNTIFS('Site Dockets'!$E$7:$E$24,C1864,'Site Dockets'!$C$7:$C$24,F1864)&gt;0,1,0),0))</f>
        <v>0</v>
      </c>
      <c r="L1864" s="15" t="n">
        <f aca="false">IF(J1864=1,0,Inputs!$B$11)</f>
        <v>100</v>
      </c>
      <c r="M1864" s="15" t="n">
        <f aca="false">IF(J1864=1,0,Inputs!$B$12)</f>
        <v>75</v>
      </c>
      <c r="N1864" s="15" t="n">
        <f aca="false">IF(J1864=1,0,IF(OR(AND(OR(B1864="SITE LOSS",B1864="REGION LOSS"),K1864=1),AND(B1864="ROLE COMPROMISE",H1864=C1864)),Inputs!$B$13,Inputs!$B$14))</f>
        <v>10</v>
      </c>
      <c r="O1864" s="15" t="n">
        <f aca="false">IF(J1864=1,0,Inputs!$B$13)</f>
        <v>20</v>
      </c>
      <c r="P1864" s="15" t="n">
        <f aca="false">SUM(M1864:N1864)</f>
        <v>85</v>
      </c>
      <c r="Q1864" s="15" t="n">
        <f aca="false">IF(J1864=1,"",L1864-P1864)</f>
        <v>15</v>
      </c>
      <c r="R1864" s="15" t="n">
        <f aca="false">IF(OR(J1864=1,M1864&lt;=Inputs!$B$12),1,0)</f>
        <v>1</v>
      </c>
      <c r="S1864" s="15" t="n">
        <f aca="false">IF(OR(J1864=1,N1864&lt;=O1864),1,0)</f>
        <v>1</v>
      </c>
      <c r="T1864" s="15" t="str">
        <f aca="false">IF(J1864=1,"OFFLINE",IF(AND(Q1864&gt;=Inputs!$B$15,R1864=1,S1864=1,P1864&lt;=L1864),"PASS","FAIL"))</f>
        <v>PASS</v>
      </c>
    </row>
    <row r="1865" customFormat="false" ht="15" hidden="false" customHeight="false" outlineLevel="0" collapsed="false">
      <c r="A1865" s="14" t="s">
        <v>1036</v>
      </c>
      <c r="B1865" s="14" t="s">
        <v>1019</v>
      </c>
      <c r="C1865" s="14" t="s">
        <v>204</v>
      </c>
      <c r="D1865" s="14" t="s">
        <v>163</v>
      </c>
      <c r="E1865" s="14" t="s">
        <v>166</v>
      </c>
      <c r="F1865" s="14" t="s">
        <v>164</v>
      </c>
      <c r="G1865" s="14" t="n">
        <v>1</v>
      </c>
      <c r="H1865" s="14" t="s">
        <v>154</v>
      </c>
      <c r="I1865" s="14" t="s">
        <v>897</v>
      </c>
      <c r="J1865" s="15" t="n">
        <f aca="false">IF(B1865="SITE LOSS",IF(D1865=C1865,1,0),IF(B1865="REGION LOSS",IF(E1865=C1865,1,0),0))</f>
        <v>0</v>
      </c>
      <c r="K1865" s="15" t="n">
        <f aca="false">IF(B1865="SITE LOSS",IF(COUNTIFS('Site Dockets'!$B$7:$B$24,C1865,'Site Dockets'!$C$7:$C$24,F1865)&gt;0,1,0),IF(B1865="REGION LOSS",IF(COUNTIFS('Site Dockets'!$E$7:$E$24,C1865,'Site Dockets'!$C$7:$C$24,F1865)&gt;0,1,0),0))</f>
        <v>0</v>
      </c>
      <c r="L1865" s="15" t="n">
        <f aca="false">IF(J1865=1,0,Inputs!$B$11)</f>
        <v>100</v>
      </c>
      <c r="M1865" s="15" t="n">
        <f aca="false">IF(J1865=1,0,Inputs!$B$12)</f>
        <v>75</v>
      </c>
      <c r="N1865" s="15" t="n">
        <f aca="false">IF(J1865=1,0,IF(OR(AND(OR(B1865="SITE LOSS",B1865="REGION LOSS"),K1865=1),AND(B1865="ROLE COMPROMISE",H1865=C1865)),Inputs!$B$13,Inputs!$B$14))</f>
        <v>10</v>
      </c>
      <c r="O1865" s="15" t="n">
        <f aca="false">IF(J1865=1,0,Inputs!$B$13)</f>
        <v>20</v>
      </c>
      <c r="P1865" s="15" t="n">
        <f aca="false">SUM(M1865:N1865)</f>
        <v>85</v>
      </c>
      <c r="Q1865" s="15" t="n">
        <f aca="false">IF(J1865=1,"",L1865-P1865)</f>
        <v>15</v>
      </c>
      <c r="R1865" s="15" t="n">
        <f aca="false">IF(OR(J1865=1,M1865&lt;=Inputs!$B$12),1,0)</f>
        <v>1</v>
      </c>
      <c r="S1865" s="15" t="n">
        <f aca="false">IF(OR(J1865=1,N1865&lt;=O1865),1,0)</f>
        <v>1</v>
      </c>
      <c r="T1865" s="15" t="str">
        <f aca="false">IF(J1865=1,"OFFLINE",IF(AND(Q1865&gt;=Inputs!$B$15,R1865=1,S1865=1,P1865&lt;=L1865),"PASS","FAIL"))</f>
        <v>PASS</v>
      </c>
    </row>
    <row r="1866" customFormat="false" ht="15" hidden="false" customHeight="false" outlineLevel="0" collapsed="false">
      <c r="A1866" s="14" t="s">
        <v>1036</v>
      </c>
      <c r="B1866" s="14" t="s">
        <v>1019</v>
      </c>
      <c r="C1866" s="14" t="s">
        <v>204</v>
      </c>
      <c r="D1866" s="14" t="s">
        <v>163</v>
      </c>
      <c r="E1866" s="14" t="s">
        <v>166</v>
      </c>
      <c r="F1866" s="14" t="s">
        <v>164</v>
      </c>
      <c r="G1866" s="14" t="n">
        <v>1</v>
      </c>
      <c r="H1866" s="14" t="s">
        <v>154</v>
      </c>
      <c r="I1866" s="14" t="s">
        <v>899</v>
      </c>
      <c r="J1866" s="15" t="n">
        <f aca="false">IF(B1866="SITE LOSS",IF(D1866=C1866,1,0),IF(B1866="REGION LOSS",IF(E1866=C1866,1,0),0))</f>
        <v>0</v>
      </c>
      <c r="K1866" s="15" t="n">
        <f aca="false">IF(B1866="SITE LOSS",IF(COUNTIFS('Site Dockets'!$B$7:$B$24,C1866,'Site Dockets'!$C$7:$C$24,F1866)&gt;0,1,0),IF(B1866="REGION LOSS",IF(COUNTIFS('Site Dockets'!$E$7:$E$24,C1866,'Site Dockets'!$C$7:$C$24,F1866)&gt;0,1,0),0))</f>
        <v>0</v>
      </c>
      <c r="L1866" s="15" t="n">
        <f aca="false">IF(J1866=1,0,Inputs!$B$11)</f>
        <v>100</v>
      </c>
      <c r="M1866" s="15" t="n">
        <f aca="false">IF(J1866=1,0,Inputs!$B$12)</f>
        <v>75</v>
      </c>
      <c r="N1866" s="15" t="n">
        <f aca="false">IF(J1866=1,0,IF(OR(AND(OR(B1866="SITE LOSS",B1866="REGION LOSS"),K1866=1),AND(B1866="ROLE COMPROMISE",H1866=C1866)),Inputs!$B$13,Inputs!$B$14))</f>
        <v>10</v>
      </c>
      <c r="O1866" s="15" t="n">
        <f aca="false">IF(J1866=1,0,Inputs!$B$13)</f>
        <v>20</v>
      </c>
      <c r="P1866" s="15" t="n">
        <f aca="false">SUM(M1866:N1866)</f>
        <v>85</v>
      </c>
      <c r="Q1866" s="15" t="n">
        <f aca="false">IF(J1866=1,"",L1866-P1866)</f>
        <v>15</v>
      </c>
      <c r="R1866" s="15" t="n">
        <f aca="false">IF(OR(J1866=1,M1866&lt;=Inputs!$B$12),1,0)</f>
        <v>1</v>
      </c>
      <c r="S1866" s="15" t="n">
        <f aca="false">IF(OR(J1866=1,N1866&lt;=O1866),1,0)</f>
        <v>1</v>
      </c>
      <c r="T1866" s="15" t="str">
        <f aca="false">IF(J1866=1,"OFFLINE",IF(AND(Q1866&gt;=Inputs!$B$15,R1866=1,S1866=1,P1866&lt;=L1866),"PASS","FAIL"))</f>
        <v>PASS</v>
      </c>
    </row>
    <row r="1867" customFormat="false" ht="15" hidden="false" customHeight="false" outlineLevel="0" collapsed="false">
      <c r="A1867" s="14" t="s">
        <v>1036</v>
      </c>
      <c r="B1867" s="14" t="s">
        <v>1019</v>
      </c>
      <c r="C1867" s="14" t="s">
        <v>204</v>
      </c>
      <c r="D1867" s="14" t="s">
        <v>168</v>
      </c>
      <c r="E1867" s="14" t="s">
        <v>169</v>
      </c>
      <c r="F1867" s="14" t="s">
        <v>164</v>
      </c>
      <c r="G1867" s="14" t="n">
        <v>2</v>
      </c>
      <c r="H1867" s="14" t="s">
        <v>153</v>
      </c>
      <c r="I1867" s="14" t="s">
        <v>890</v>
      </c>
      <c r="J1867" s="15" t="n">
        <f aca="false">IF(B1867="SITE LOSS",IF(D1867=C1867,1,0),IF(B1867="REGION LOSS",IF(E1867=C1867,1,0),0))</f>
        <v>0</v>
      </c>
      <c r="K1867" s="15" t="n">
        <f aca="false">IF(B1867="SITE LOSS",IF(COUNTIFS('Site Dockets'!$B$7:$B$24,C1867,'Site Dockets'!$C$7:$C$24,F1867)&gt;0,1,0),IF(B1867="REGION LOSS",IF(COUNTIFS('Site Dockets'!$E$7:$E$24,C1867,'Site Dockets'!$C$7:$C$24,F1867)&gt;0,1,0),0))</f>
        <v>0</v>
      </c>
      <c r="L1867" s="15" t="n">
        <f aca="false">IF(J1867=1,0,Inputs!$B$11)</f>
        <v>100</v>
      </c>
      <c r="M1867" s="15" t="n">
        <f aca="false">IF(J1867=1,0,Inputs!$B$12)</f>
        <v>75</v>
      </c>
      <c r="N1867" s="15" t="n">
        <f aca="false">IF(J1867=1,0,IF(OR(AND(OR(B1867="SITE LOSS",B1867="REGION LOSS"),K1867=1),AND(B1867="ROLE COMPROMISE",H1867=C1867)),Inputs!$B$13,Inputs!$B$14))</f>
        <v>10</v>
      </c>
      <c r="O1867" s="15" t="n">
        <f aca="false">IF(J1867=1,0,Inputs!$B$13)</f>
        <v>20</v>
      </c>
      <c r="P1867" s="15" t="n">
        <f aca="false">SUM(M1867:N1867)</f>
        <v>85</v>
      </c>
      <c r="Q1867" s="15" t="n">
        <f aca="false">IF(J1867=1,"",L1867-P1867)</f>
        <v>15</v>
      </c>
      <c r="R1867" s="15" t="n">
        <f aca="false">IF(OR(J1867=1,M1867&lt;=Inputs!$B$12),1,0)</f>
        <v>1</v>
      </c>
      <c r="S1867" s="15" t="n">
        <f aca="false">IF(OR(J1867=1,N1867&lt;=O1867),1,0)</f>
        <v>1</v>
      </c>
      <c r="T1867" s="15" t="str">
        <f aca="false">IF(J1867=1,"OFFLINE",IF(AND(Q1867&gt;=Inputs!$B$15,R1867=1,S1867=1,P1867&lt;=L1867),"PASS","FAIL"))</f>
        <v>PASS</v>
      </c>
    </row>
    <row r="1868" customFormat="false" ht="15" hidden="false" customHeight="false" outlineLevel="0" collapsed="false">
      <c r="A1868" s="14" t="s">
        <v>1036</v>
      </c>
      <c r="B1868" s="14" t="s">
        <v>1019</v>
      </c>
      <c r="C1868" s="14" t="s">
        <v>204</v>
      </c>
      <c r="D1868" s="14" t="s">
        <v>168</v>
      </c>
      <c r="E1868" s="14" t="s">
        <v>169</v>
      </c>
      <c r="F1868" s="14" t="s">
        <v>164</v>
      </c>
      <c r="G1868" s="14" t="n">
        <v>2</v>
      </c>
      <c r="H1868" s="14" t="s">
        <v>153</v>
      </c>
      <c r="I1868" s="14" t="s">
        <v>892</v>
      </c>
      <c r="J1868" s="15" t="n">
        <f aca="false">IF(B1868="SITE LOSS",IF(D1868=C1868,1,0),IF(B1868="REGION LOSS",IF(E1868=C1868,1,0),0))</f>
        <v>0</v>
      </c>
      <c r="K1868" s="15" t="n">
        <f aca="false">IF(B1868="SITE LOSS",IF(COUNTIFS('Site Dockets'!$B$7:$B$24,C1868,'Site Dockets'!$C$7:$C$24,F1868)&gt;0,1,0),IF(B1868="REGION LOSS",IF(COUNTIFS('Site Dockets'!$E$7:$E$24,C1868,'Site Dockets'!$C$7:$C$24,F1868)&gt;0,1,0),0))</f>
        <v>0</v>
      </c>
      <c r="L1868" s="15" t="n">
        <f aca="false">IF(J1868=1,0,Inputs!$B$11)</f>
        <v>100</v>
      </c>
      <c r="M1868" s="15" t="n">
        <f aca="false">IF(J1868=1,0,Inputs!$B$12)</f>
        <v>75</v>
      </c>
      <c r="N1868" s="15" t="n">
        <f aca="false">IF(J1868=1,0,IF(OR(AND(OR(B1868="SITE LOSS",B1868="REGION LOSS"),K1868=1),AND(B1868="ROLE COMPROMISE",H1868=C1868)),Inputs!$B$13,Inputs!$B$14))</f>
        <v>10</v>
      </c>
      <c r="O1868" s="15" t="n">
        <f aca="false">IF(J1868=1,0,Inputs!$B$13)</f>
        <v>20</v>
      </c>
      <c r="P1868" s="15" t="n">
        <f aca="false">SUM(M1868:N1868)</f>
        <v>85</v>
      </c>
      <c r="Q1868" s="15" t="n">
        <f aca="false">IF(J1868=1,"",L1868-P1868)</f>
        <v>15</v>
      </c>
      <c r="R1868" s="15" t="n">
        <f aca="false">IF(OR(J1868=1,M1868&lt;=Inputs!$B$12),1,0)</f>
        <v>1</v>
      </c>
      <c r="S1868" s="15" t="n">
        <f aca="false">IF(OR(J1868=1,N1868&lt;=O1868),1,0)</f>
        <v>1</v>
      </c>
      <c r="T1868" s="15" t="str">
        <f aca="false">IF(J1868=1,"OFFLINE",IF(AND(Q1868&gt;=Inputs!$B$15,R1868=1,S1868=1,P1868&lt;=L1868),"PASS","FAIL"))</f>
        <v>PASS</v>
      </c>
    </row>
    <row r="1869" customFormat="false" ht="15" hidden="false" customHeight="false" outlineLevel="0" collapsed="false">
      <c r="A1869" s="14" t="s">
        <v>1036</v>
      </c>
      <c r="B1869" s="14" t="s">
        <v>1019</v>
      </c>
      <c r="C1869" s="14" t="s">
        <v>204</v>
      </c>
      <c r="D1869" s="14" t="s">
        <v>168</v>
      </c>
      <c r="E1869" s="14" t="s">
        <v>169</v>
      </c>
      <c r="F1869" s="14" t="s">
        <v>164</v>
      </c>
      <c r="G1869" s="14" t="n">
        <v>2</v>
      </c>
      <c r="H1869" s="14" t="s">
        <v>153</v>
      </c>
      <c r="I1869" s="14" t="s">
        <v>811</v>
      </c>
      <c r="J1869" s="15" t="n">
        <f aca="false">IF(B1869="SITE LOSS",IF(D1869=C1869,1,0),IF(B1869="REGION LOSS",IF(E1869=C1869,1,0),0))</f>
        <v>0</v>
      </c>
      <c r="K1869" s="15" t="n">
        <f aca="false">IF(B1869="SITE LOSS",IF(COUNTIFS('Site Dockets'!$B$7:$B$24,C1869,'Site Dockets'!$C$7:$C$24,F1869)&gt;0,1,0),IF(B1869="REGION LOSS",IF(COUNTIFS('Site Dockets'!$E$7:$E$24,C1869,'Site Dockets'!$C$7:$C$24,F1869)&gt;0,1,0),0))</f>
        <v>0</v>
      </c>
      <c r="L1869" s="15" t="n">
        <f aca="false">IF(J1869=1,0,Inputs!$B$11)</f>
        <v>100</v>
      </c>
      <c r="M1869" s="15" t="n">
        <f aca="false">IF(J1869=1,0,Inputs!$B$12)</f>
        <v>75</v>
      </c>
      <c r="N1869" s="15" t="n">
        <f aca="false">IF(J1869=1,0,IF(OR(AND(OR(B1869="SITE LOSS",B1869="REGION LOSS"),K1869=1),AND(B1869="ROLE COMPROMISE",H1869=C1869)),Inputs!$B$13,Inputs!$B$14))</f>
        <v>10</v>
      </c>
      <c r="O1869" s="15" t="n">
        <f aca="false">IF(J1869=1,0,Inputs!$B$13)</f>
        <v>20</v>
      </c>
      <c r="P1869" s="15" t="n">
        <f aca="false">SUM(M1869:N1869)</f>
        <v>85</v>
      </c>
      <c r="Q1869" s="15" t="n">
        <f aca="false">IF(J1869=1,"",L1869-P1869)</f>
        <v>15</v>
      </c>
      <c r="R1869" s="15" t="n">
        <f aca="false">IF(OR(J1869=1,M1869&lt;=Inputs!$B$12),1,0)</f>
        <v>1</v>
      </c>
      <c r="S1869" s="15" t="n">
        <f aca="false">IF(OR(J1869=1,N1869&lt;=O1869),1,0)</f>
        <v>1</v>
      </c>
      <c r="T1869" s="15" t="str">
        <f aca="false">IF(J1869=1,"OFFLINE",IF(AND(Q1869&gt;=Inputs!$B$15,R1869=1,S1869=1,P1869&lt;=L1869),"PASS","FAIL"))</f>
        <v>PASS</v>
      </c>
    </row>
    <row r="1870" customFormat="false" ht="15" hidden="false" customHeight="false" outlineLevel="0" collapsed="false">
      <c r="A1870" s="14" t="s">
        <v>1036</v>
      </c>
      <c r="B1870" s="14" t="s">
        <v>1019</v>
      </c>
      <c r="C1870" s="14" t="s">
        <v>204</v>
      </c>
      <c r="D1870" s="14" t="s">
        <v>168</v>
      </c>
      <c r="E1870" s="14" t="s">
        <v>169</v>
      </c>
      <c r="F1870" s="14" t="s">
        <v>164</v>
      </c>
      <c r="G1870" s="14" t="n">
        <v>2</v>
      </c>
      <c r="H1870" s="14" t="s">
        <v>153</v>
      </c>
      <c r="I1870" s="14" t="s">
        <v>895</v>
      </c>
      <c r="J1870" s="15" t="n">
        <f aca="false">IF(B1870="SITE LOSS",IF(D1870=C1870,1,0),IF(B1870="REGION LOSS",IF(E1870=C1870,1,0),0))</f>
        <v>0</v>
      </c>
      <c r="K1870" s="15" t="n">
        <f aca="false">IF(B1870="SITE LOSS",IF(COUNTIFS('Site Dockets'!$B$7:$B$24,C1870,'Site Dockets'!$C$7:$C$24,F1870)&gt;0,1,0),IF(B1870="REGION LOSS",IF(COUNTIFS('Site Dockets'!$E$7:$E$24,C1870,'Site Dockets'!$C$7:$C$24,F1870)&gt;0,1,0),0))</f>
        <v>0</v>
      </c>
      <c r="L1870" s="15" t="n">
        <f aca="false">IF(J1870=1,0,Inputs!$B$11)</f>
        <v>100</v>
      </c>
      <c r="M1870" s="15" t="n">
        <f aca="false">IF(J1870=1,0,Inputs!$B$12)</f>
        <v>75</v>
      </c>
      <c r="N1870" s="15" t="n">
        <f aca="false">IF(J1870=1,0,IF(OR(AND(OR(B1870="SITE LOSS",B1870="REGION LOSS"),K1870=1),AND(B1870="ROLE COMPROMISE",H1870=C1870)),Inputs!$B$13,Inputs!$B$14))</f>
        <v>10</v>
      </c>
      <c r="O1870" s="15" t="n">
        <f aca="false">IF(J1870=1,0,Inputs!$B$13)</f>
        <v>20</v>
      </c>
      <c r="P1870" s="15" t="n">
        <f aca="false">SUM(M1870:N1870)</f>
        <v>85</v>
      </c>
      <c r="Q1870" s="15" t="n">
        <f aca="false">IF(J1870=1,"",L1870-P1870)</f>
        <v>15</v>
      </c>
      <c r="R1870" s="15" t="n">
        <f aca="false">IF(OR(J1870=1,M1870&lt;=Inputs!$B$12),1,0)</f>
        <v>1</v>
      </c>
      <c r="S1870" s="15" t="n">
        <f aca="false">IF(OR(J1870=1,N1870&lt;=O1870),1,0)</f>
        <v>1</v>
      </c>
      <c r="T1870" s="15" t="str">
        <f aca="false">IF(J1870=1,"OFFLINE",IF(AND(Q1870&gt;=Inputs!$B$15,R1870=1,S1870=1,P1870&lt;=L1870),"PASS","FAIL"))</f>
        <v>PASS</v>
      </c>
    </row>
    <row r="1871" customFormat="false" ht="15" hidden="false" customHeight="false" outlineLevel="0" collapsed="false">
      <c r="A1871" s="14" t="s">
        <v>1036</v>
      </c>
      <c r="B1871" s="14" t="s">
        <v>1019</v>
      </c>
      <c r="C1871" s="14" t="s">
        <v>204</v>
      </c>
      <c r="D1871" s="14" t="s">
        <v>168</v>
      </c>
      <c r="E1871" s="14" t="s">
        <v>169</v>
      </c>
      <c r="F1871" s="14" t="s">
        <v>164</v>
      </c>
      <c r="G1871" s="14" t="n">
        <v>2</v>
      </c>
      <c r="H1871" s="14" t="s">
        <v>153</v>
      </c>
      <c r="I1871" s="14" t="s">
        <v>897</v>
      </c>
      <c r="J1871" s="15" t="n">
        <f aca="false">IF(B1871="SITE LOSS",IF(D1871=C1871,1,0),IF(B1871="REGION LOSS",IF(E1871=C1871,1,0),0))</f>
        <v>0</v>
      </c>
      <c r="K1871" s="15" t="n">
        <f aca="false">IF(B1871="SITE LOSS",IF(COUNTIFS('Site Dockets'!$B$7:$B$24,C1871,'Site Dockets'!$C$7:$C$24,F1871)&gt;0,1,0),IF(B1871="REGION LOSS",IF(COUNTIFS('Site Dockets'!$E$7:$E$24,C1871,'Site Dockets'!$C$7:$C$24,F1871)&gt;0,1,0),0))</f>
        <v>0</v>
      </c>
      <c r="L1871" s="15" t="n">
        <f aca="false">IF(J1871=1,0,Inputs!$B$11)</f>
        <v>100</v>
      </c>
      <c r="M1871" s="15" t="n">
        <f aca="false">IF(J1871=1,0,Inputs!$B$12)</f>
        <v>75</v>
      </c>
      <c r="N1871" s="15" t="n">
        <f aca="false">IF(J1871=1,0,IF(OR(AND(OR(B1871="SITE LOSS",B1871="REGION LOSS"),K1871=1),AND(B1871="ROLE COMPROMISE",H1871=C1871)),Inputs!$B$13,Inputs!$B$14))</f>
        <v>10</v>
      </c>
      <c r="O1871" s="15" t="n">
        <f aca="false">IF(J1871=1,0,Inputs!$B$13)</f>
        <v>20</v>
      </c>
      <c r="P1871" s="15" t="n">
        <f aca="false">SUM(M1871:N1871)</f>
        <v>85</v>
      </c>
      <c r="Q1871" s="15" t="n">
        <f aca="false">IF(J1871=1,"",L1871-P1871)</f>
        <v>15</v>
      </c>
      <c r="R1871" s="15" t="n">
        <f aca="false">IF(OR(J1871=1,M1871&lt;=Inputs!$B$12),1,0)</f>
        <v>1</v>
      </c>
      <c r="S1871" s="15" t="n">
        <f aca="false">IF(OR(J1871=1,N1871&lt;=O1871),1,0)</f>
        <v>1</v>
      </c>
      <c r="T1871" s="15" t="str">
        <f aca="false">IF(J1871=1,"OFFLINE",IF(AND(Q1871&gt;=Inputs!$B$15,R1871=1,S1871=1,P1871&lt;=L1871),"PASS","FAIL"))</f>
        <v>PASS</v>
      </c>
    </row>
    <row r="1872" customFormat="false" ht="15" hidden="false" customHeight="false" outlineLevel="0" collapsed="false">
      <c r="A1872" s="14" t="s">
        <v>1036</v>
      </c>
      <c r="B1872" s="14" t="s">
        <v>1019</v>
      </c>
      <c r="C1872" s="14" t="s">
        <v>204</v>
      </c>
      <c r="D1872" s="14" t="s">
        <v>168</v>
      </c>
      <c r="E1872" s="14" t="s">
        <v>169</v>
      </c>
      <c r="F1872" s="14" t="s">
        <v>164</v>
      </c>
      <c r="G1872" s="14" t="n">
        <v>2</v>
      </c>
      <c r="H1872" s="14" t="s">
        <v>153</v>
      </c>
      <c r="I1872" s="14" t="s">
        <v>899</v>
      </c>
      <c r="J1872" s="15" t="n">
        <f aca="false">IF(B1872="SITE LOSS",IF(D1872=C1872,1,0),IF(B1872="REGION LOSS",IF(E1872=C1872,1,0),0))</f>
        <v>0</v>
      </c>
      <c r="K1872" s="15" t="n">
        <f aca="false">IF(B1872="SITE LOSS",IF(COUNTIFS('Site Dockets'!$B$7:$B$24,C1872,'Site Dockets'!$C$7:$C$24,F1872)&gt;0,1,0),IF(B1872="REGION LOSS",IF(COUNTIFS('Site Dockets'!$E$7:$E$24,C1872,'Site Dockets'!$C$7:$C$24,F1872)&gt;0,1,0),0))</f>
        <v>0</v>
      </c>
      <c r="L1872" s="15" t="n">
        <f aca="false">IF(J1872=1,0,Inputs!$B$11)</f>
        <v>100</v>
      </c>
      <c r="M1872" s="15" t="n">
        <f aca="false">IF(J1872=1,0,Inputs!$B$12)</f>
        <v>75</v>
      </c>
      <c r="N1872" s="15" t="n">
        <f aca="false">IF(J1872=1,0,IF(OR(AND(OR(B1872="SITE LOSS",B1872="REGION LOSS"),K1872=1),AND(B1872="ROLE COMPROMISE",H1872=C1872)),Inputs!$B$13,Inputs!$B$14))</f>
        <v>10</v>
      </c>
      <c r="O1872" s="15" t="n">
        <f aca="false">IF(J1872=1,0,Inputs!$B$13)</f>
        <v>20</v>
      </c>
      <c r="P1872" s="15" t="n">
        <f aca="false">SUM(M1872:N1872)</f>
        <v>85</v>
      </c>
      <c r="Q1872" s="15" t="n">
        <f aca="false">IF(J1872=1,"",L1872-P1872)</f>
        <v>15</v>
      </c>
      <c r="R1872" s="15" t="n">
        <f aca="false">IF(OR(J1872=1,M1872&lt;=Inputs!$B$12),1,0)</f>
        <v>1</v>
      </c>
      <c r="S1872" s="15" t="n">
        <f aca="false">IF(OR(J1872=1,N1872&lt;=O1872),1,0)</f>
        <v>1</v>
      </c>
      <c r="T1872" s="15" t="str">
        <f aca="false">IF(J1872=1,"OFFLINE",IF(AND(Q1872&gt;=Inputs!$B$15,R1872=1,S1872=1,P1872&lt;=L1872),"PASS","FAIL"))</f>
        <v>PASS</v>
      </c>
    </row>
    <row r="1873" customFormat="false" ht="15" hidden="false" customHeight="false" outlineLevel="0" collapsed="false">
      <c r="A1873" s="14" t="s">
        <v>1036</v>
      </c>
      <c r="B1873" s="14" t="s">
        <v>1019</v>
      </c>
      <c r="C1873" s="14" t="s">
        <v>204</v>
      </c>
      <c r="D1873" s="14" t="s">
        <v>171</v>
      </c>
      <c r="E1873" s="14" t="s">
        <v>172</v>
      </c>
      <c r="F1873" s="14" t="s">
        <v>164</v>
      </c>
      <c r="G1873" s="14" t="n">
        <v>3</v>
      </c>
      <c r="H1873" s="14" t="s">
        <v>158</v>
      </c>
      <c r="I1873" s="14" t="s">
        <v>890</v>
      </c>
      <c r="J1873" s="15" t="n">
        <f aca="false">IF(B1873="SITE LOSS",IF(D1873=C1873,1,0),IF(B1873="REGION LOSS",IF(E1873=C1873,1,0),0))</f>
        <v>0</v>
      </c>
      <c r="K1873" s="15" t="n">
        <f aca="false">IF(B1873="SITE LOSS",IF(COUNTIFS('Site Dockets'!$B$7:$B$24,C1873,'Site Dockets'!$C$7:$C$24,F1873)&gt;0,1,0),IF(B1873="REGION LOSS",IF(COUNTIFS('Site Dockets'!$E$7:$E$24,C1873,'Site Dockets'!$C$7:$C$24,F1873)&gt;0,1,0),0))</f>
        <v>0</v>
      </c>
      <c r="L1873" s="15" t="n">
        <f aca="false">IF(J1873=1,0,Inputs!$B$11)</f>
        <v>100</v>
      </c>
      <c r="M1873" s="15" t="n">
        <f aca="false">IF(J1873=1,0,Inputs!$B$12)</f>
        <v>75</v>
      </c>
      <c r="N1873" s="15" t="n">
        <f aca="false">IF(J1873=1,0,IF(OR(AND(OR(B1873="SITE LOSS",B1873="REGION LOSS"),K1873=1),AND(B1873="ROLE COMPROMISE",H1873=C1873)),Inputs!$B$13,Inputs!$B$14))</f>
        <v>10</v>
      </c>
      <c r="O1873" s="15" t="n">
        <f aca="false">IF(J1873=1,0,Inputs!$B$13)</f>
        <v>20</v>
      </c>
      <c r="P1873" s="15" t="n">
        <f aca="false">SUM(M1873:N1873)</f>
        <v>85</v>
      </c>
      <c r="Q1873" s="15" t="n">
        <f aca="false">IF(J1873=1,"",L1873-P1873)</f>
        <v>15</v>
      </c>
      <c r="R1873" s="15" t="n">
        <f aca="false">IF(OR(J1873=1,M1873&lt;=Inputs!$B$12),1,0)</f>
        <v>1</v>
      </c>
      <c r="S1873" s="15" t="n">
        <f aca="false">IF(OR(J1873=1,N1873&lt;=O1873),1,0)</f>
        <v>1</v>
      </c>
      <c r="T1873" s="15" t="str">
        <f aca="false">IF(J1873=1,"OFFLINE",IF(AND(Q1873&gt;=Inputs!$B$15,R1873=1,S1873=1,P1873&lt;=L1873),"PASS","FAIL"))</f>
        <v>PASS</v>
      </c>
    </row>
    <row r="1874" customFormat="false" ht="15" hidden="false" customHeight="false" outlineLevel="0" collapsed="false">
      <c r="A1874" s="14" t="s">
        <v>1036</v>
      </c>
      <c r="B1874" s="14" t="s">
        <v>1019</v>
      </c>
      <c r="C1874" s="14" t="s">
        <v>204</v>
      </c>
      <c r="D1874" s="14" t="s">
        <v>171</v>
      </c>
      <c r="E1874" s="14" t="s">
        <v>172</v>
      </c>
      <c r="F1874" s="14" t="s">
        <v>164</v>
      </c>
      <c r="G1874" s="14" t="n">
        <v>3</v>
      </c>
      <c r="H1874" s="14" t="s">
        <v>158</v>
      </c>
      <c r="I1874" s="14" t="s">
        <v>892</v>
      </c>
      <c r="J1874" s="15" t="n">
        <f aca="false">IF(B1874="SITE LOSS",IF(D1874=C1874,1,0),IF(B1874="REGION LOSS",IF(E1874=C1874,1,0),0))</f>
        <v>0</v>
      </c>
      <c r="K1874" s="15" t="n">
        <f aca="false">IF(B1874="SITE LOSS",IF(COUNTIFS('Site Dockets'!$B$7:$B$24,C1874,'Site Dockets'!$C$7:$C$24,F1874)&gt;0,1,0),IF(B1874="REGION LOSS",IF(COUNTIFS('Site Dockets'!$E$7:$E$24,C1874,'Site Dockets'!$C$7:$C$24,F1874)&gt;0,1,0),0))</f>
        <v>0</v>
      </c>
      <c r="L1874" s="15" t="n">
        <f aca="false">IF(J1874=1,0,Inputs!$B$11)</f>
        <v>100</v>
      </c>
      <c r="M1874" s="15" t="n">
        <f aca="false">IF(J1874=1,0,Inputs!$B$12)</f>
        <v>75</v>
      </c>
      <c r="N1874" s="15" t="n">
        <f aca="false">IF(J1874=1,0,IF(OR(AND(OR(B1874="SITE LOSS",B1874="REGION LOSS"),K1874=1),AND(B1874="ROLE COMPROMISE",H1874=C1874)),Inputs!$B$13,Inputs!$B$14))</f>
        <v>10</v>
      </c>
      <c r="O1874" s="15" t="n">
        <f aca="false">IF(J1874=1,0,Inputs!$B$13)</f>
        <v>20</v>
      </c>
      <c r="P1874" s="15" t="n">
        <f aca="false">SUM(M1874:N1874)</f>
        <v>85</v>
      </c>
      <c r="Q1874" s="15" t="n">
        <f aca="false">IF(J1874=1,"",L1874-P1874)</f>
        <v>15</v>
      </c>
      <c r="R1874" s="15" t="n">
        <f aca="false">IF(OR(J1874=1,M1874&lt;=Inputs!$B$12),1,0)</f>
        <v>1</v>
      </c>
      <c r="S1874" s="15" t="n">
        <f aca="false">IF(OR(J1874=1,N1874&lt;=O1874),1,0)</f>
        <v>1</v>
      </c>
      <c r="T1874" s="15" t="str">
        <f aca="false">IF(J1874=1,"OFFLINE",IF(AND(Q1874&gt;=Inputs!$B$15,R1874=1,S1874=1,P1874&lt;=L1874),"PASS","FAIL"))</f>
        <v>PASS</v>
      </c>
    </row>
    <row r="1875" customFormat="false" ht="15" hidden="false" customHeight="false" outlineLevel="0" collapsed="false">
      <c r="A1875" s="14" t="s">
        <v>1036</v>
      </c>
      <c r="B1875" s="14" t="s">
        <v>1019</v>
      </c>
      <c r="C1875" s="14" t="s">
        <v>204</v>
      </c>
      <c r="D1875" s="14" t="s">
        <v>171</v>
      </c>
      <c r="E1875" s="14" t="s">
        <v>172</v>
      </c>
      <c r="F1875" s="14" t="s">
        <v>164</v>
      </c>
      <c r="G1875" s="14" t="n">
        <v>3</v>
      </c>
      <c r="H1875" s="14" t="s">
        <v>158</v>
      </c>
      <c r="I1875" s="14" t="s">
        <v>811</v>
      </c>
      <c r="J1875" s="15" t="n">
        <f aca="false">IF(B1875="SITE LOSS",IF(D1875=C1875,1,0),IF(B1875="REGION LOSS",IF(E1875=C1875,1,0),0))</f>
        <v>0</v>
      </c>
      <c r="K1875" s="15" t="n">
        <f aca="false">IF(B1875="SITE LOSS",IF(COUNTIFS('Site Dockets'!$B$7:$B$24,C1875,'Site Dockets'!$C$7:$C$24,F1875)&gt;0,1,0),IF(B1875="REGION LOSS",IF(COUNTIFS('Site Dockets'!$E$7:$E$24,C1875,'Site Dockets'!$C$7:$C$24,F1875)&gt;0,1,0),0))</f>
        <v>0</v>
      </c>
      <c r="L1875" s="15" t="n">
        <f aca="false">IF(J1875=1,0,Inputs!$B$11)</f>
        <v>100</v>
      </c>
      <c r="M1875" s="15" t="n">
        <f aca="false">IF(J1875=1,0,Inputs!$B$12)</f>
        <v>75</v>
      </c>
      <c r="N1875" s="15" t="n">
        <f aca="false">IF(J1875=1,0,IF(OR(AND(OR(B1875="SITE LOSS",B1875="REGION LOSS"),K1875=1),AND(B1875="ROLE COMPROMISE",H1875=C1875)),Inputs!$B$13,Inputs!$B$14))</f>
        <v>10</v>
      </c>
      <c r="O1875" s="15" t="n">
        <f aca="false">IF(J1875=1,0,Inputs!$B$13)</f>
        <v>20</v>
      </c>
      <c r="P1875" s="15" t="n">
        <f aca="false">SUM(M1875:N1875)</f>
        <v>85</v>
      </c>
      <c r="Q1875" s="15" t="n">
        <f aca="false">IF(J1875=1,"",L1875-P1875)</f>
        <v>15</v>
      </c>
      <c r="R1875" s="15" t="n">
        <f aca="false">IF(OR(J1875=1,M1875&lt;=Inputs!$B$12),1,0)</f>
        <v>1</v>
      </c>
      <c r="S1875" s="15" t="n">
        <f aca="false">IF(OR(J1875=1,N1875&lt;=O1875),1,0)</f>
        <v>1</v>
      </c>
      <c r="T1875" s="15" t="str">
        <f aca="false">IF(J1875=1,"OFFLINE",IF(AND(Q1875&gt;=Inputs!$B$15,R1875=1,S1875=1,P1875&lt;=L1875),"PASS","FAIL"))</f>
        <v>PASS</v>
      </c>
    </row>
    <row r="1876" customFormat="false" ht="15" hidden="false" customHeight="false" outlineLevel="0" collapsed="false">
      <c r="A1876" s="14" t="s">
        <v>1036</v>
      </c>
      <c r="B1876" s="14" t="s">
        <v>1019</v>
      </c>
      <c r="C1876" s="14" t="s">
        <v>204</v>
      </c>
      <c r="D1876" s="14" t="s">
        <v>171</v>
      </c>
      <c r="E1876" s="14" t="s">
        <v>172</v>
      </c>
      <c r="F1876" s="14" t="s">
        <v>164</v>
      </c>
      <c r="G1876" s="14" t="n">
        <v>3</v>
      </c>
      <c r="H1876" s="14" t="s">
        <v>158</v>
      </c>
      <c r="I1876" s="14" t="s">
        <v>895</v>
      </c>
      <c r="J1876" s="15" t="n">
        <f aca="false">IF(B1876="SITE LOSS",IF(D1876=C1876,1,0),IF(B1876="REGION LOSS",IF(E1876=C1876,1,0),0))</f>
        <v>0</v>
      </c>
      <c r="K1876" s="15" t="n">
        <f aca="false">IF(B1876="SITE LOSS",IF(COUNTIFS('Site Dockets'!$B$7:$B$24,C1876,'Site Dockets'!$C$7:$C$24,F1876)&gt;0,1,0),IF(B1876="REGION LOSS",IF(COUNTIFS('Site Dockets'!$E$7:$E$24,C1876,'Site Dockets'!$C$7:$C$24,F1876)&gt;0,1,0),0))</f>
        <v>0</v>
      </c>
      <c r="L1876" s="15" t="n">
        <f aca="false">IF(J1876=1,0,Inputs!$B$11)</f>
        <v>100</v>
      </c>
      <c r="M1876" s="15" t="n">
        <f aca="false">IF(J1876=1,0,Inputs!$B$12)</f>
        <v>75</v>
      </c>
      <c r="N1876" s="15" t="n">
        <f aca="false">IF(J1876=1,0,IF(OR(AND(OR(B1876="SITE LOSS",B1876="REGION LOSS"),K1876=1),AND(B1876="ROLE COMPROMISE",H1876=C1876)),Inputs!$B$13,Inputs!$B$14))</f>
        <v>10</v>
      </c>
      <c r="O1876" s="15" t="n">
        <f aca="false">IF(J1876=1,0,Inputs!$B$13)</f>
        <v>20</v>
      </c>
      <c r="P1876" s="15" t="n">
        <f aca="false">SUM(M1876:N1876)</f>
        <v>85</v>
      </c>
      <c r="Q1876" s="15" t="n">
        <f aca="false">IF(J1876=1,"",L1876-P1876)</f>
        <v>15</v>
      </c>
      <c r="R1876" s="15" t="n">
        <f aca="false">IF(OR(J1876=1,M1876&lt;=Inputs!$B$12),1,0)</f>
        <v>1</v>
      </c>
      <c r="S1876" s="15" t="n">
        <f aca="false">IF(OR(J1876=1,N1876&lt;=O1876),1,0)</f>
        <v>1</v>
      </c>
      <c r="T1876" s="15" t="str">
        <f aca="false">IF(J1876=1,"OFFLINE",IF(AND(Q1876&gt;=Inputs!$B$15,R1876=1,S1876=1,P1876&lt;=L1876),"PASS","FAIL"))</f>
        <v>PASS</v>
      </c>
    </row>
    <row r="1877" customFormat="false" ht="15" hidden="false" customHeight="false" outlineLevel="0" collapsed="false">
      <c r="A1877" s="14" t="s">
        <v>1036</v>
      </c>
      <c r="B1877" s="14" t="s">
        <v>1019</v>
      </c>
      <c r="C1877" s="14" t="s">
        <v>204</v>
      </c>
      <c r="D1877" s="14" t="s">
        <v>171</v>
      </c>
      <c r="E1877" s="14" t="s">
        <v>172</v>
      </c>
      <c r="F1877" s="14" t="s">
        <v>164</v>
      </c>
      <c r="G1877" s="14" t="n">
        <v>3</v>
      </c>
      <c r="H1877" s="14" t="s">
        <v>158</v>
      </c>
      <c r="I1877" s="14" t="s">
        <v>897</v>
      </c>
      <c r="J1877" s="15" t="n">
        <f aca="false">IF(B1877="SITE LOSS",IF(D1877=C1877,1,0),IF(B1877="REGION LOSS",IF(E1877=C1877,1,0),0))</f>
        <v>0</v>
      </c>
      <c r="K1877" s="15" t="n">
        <f aca="false">IF(B1877="SITE LOSS",IF(COUNTIFS('Site Dockets'!$B$7:$B$24,C1877,'Site Dockets'!$C$7:$C$24,F1877)&gt;0,1,0),IF(B1877="REGION LOSS",IF(COUNTIFS('Site Dockets'!$E$7:$E$24,C1877,'Site Dockets'!$C$7:$C$24,F1877)&gt;0,1,0),0))</f>
        <v>0</v>
      </c>
      <c r="L1877" s="15" t="n">
        <f aca="false">IF(J1877=1,0,Inputs!$B$11)</f>
        <v>100</v>
      </c>
      <c r="M1877" s="15" t="n">
        <f aca="false">IF(J1877=1,0,Inputs!$B$12)</f>
        <v>75</v>
      </c>
      <c r="N1877" s="15" t="n">
        <f aca="false">IF(J1877=1,0,IF(OR(AND(OR(B1877="SITE LOSS",B1877="REGION LOSS"),K1877=1),AND(B1877="ROLE COMPROMISE",H1877=C1877)),Inputs!$B$13,Inputs!$B$14))</f>
        <v>10</v>
      </c>
      <c r="O1877" s="15" t="n">
        <f aca="false">IF(J1877=1,0,Inputs!$B$13)</f>
        <v>20</v>
      </c>
      <c r="P1877" s="15" t="n">
        <f aca="false">SUM(M1877:N1877)</f>
        <v>85</v>
      </c>
      <c r="Q1877" s="15" t="n">
        <f aca="false">IF(J1877=1,"",L1877-P1877)</f>
        <v>15</v>
      </c>
      <c r="R1877" s="15" t="n">
        <f aca="false">IF(OR(J1877=1,M1877&lt;=Inputs!$B$12),1,0)</f>
        <v>1</v>
      </c>
      <c r="S1877" s="15" t="n">
        <f aca="false">IF(OR(J1877=1,N1877&lt;=O1877),1,0)</f>
        <v>1</v>
      </c>
      <c r="T1877" s="15" t="str">
        <f aca="false">IF(J1877=1,"OFFLINE",IF(AND(Q1877&gt;=Inputs!$B$15,R1877=1,S1877=1,P1877&lt;=L1877),"PASS","FAIL"))</f>
        <v>PASS</v>
      </c>
    </row>
    <row r="1878" customFormat="false" ht="15" hidden="false" customHeight="false" outlineLevel="0" collapsed="false">
      <c r="A1878" s="14" t="s">
        <v>1036</v>
      </c>
      <c r="B1878" s="14" t="s">
        <v>1019</v>
      </c>
      <c r="C1878" s="14" t="s">
        <v>204</v>
      </c>
      <c r="D1878" s="14" t="s">
        <v>171</v>
      </c>
      <c r="E1878" s="14" t="s">
        <v>172</v>
      </c>
      <c r="F1878" s="14" t="s">
        <v>164</v>
      </c>
      <c r="G1878" s="14" t="n">
        <v>3</v>
      </c>
      <c r="H1878" s="14" t="s">
        <v>158</v>
      </c>
      <c r="I1878" s="14" t="s">
        <v>899</v>
      </c>
      <c r="J1878" s="15" t="n">
        <f aca="false">IF(B1878="SITE LOSS",IF(D1878=C1878,1,0),IF(B1878="REGION LOSS",IF(E1878=C1878,1,0),0))</f>
        <v>0</v>
      </c>
      <c r="K1878" s="15" t="n">
        <f aca="false">IF(B1878="SITE LOSS",IF(COUNTIFS('Site Dockets'!$B$7:$B$24,C1878,'Site Dockets'!$C$7:$C$24,F1878)&gt;0,1,0),IF(B1878="REGION LOSS",IF(COUNTIFS('Site Dockets'!$E$7:$E$24,C1878,'Site Dockets'!$C$7:$C$24,F1878)&gt;0,1,0),0))</f>
        <v>0</v>
      </c>
      <c r="L1878" s="15" t="n">
        <f aca="false">IF(J1878=1,0,Inputs!$B$11)</f>
        <v>100</v>
      </c>
      <c r="M1878" s="15" t="n">
        <f aca="false">IF(J1878=1,0,Inputs!$B$12)</f>
        <v>75</v>
      </c>
      <c r="N1878" s="15" t="n">
        <f aca="false">IF(J1878=1,0,IF(OR(AND(OR(B1878="SITE LOSS",B1878="REGION LOSS"),K1878=1),AND(B1878="ROLE COMPROMISE",H1878=C1878)),Inputs!$B$13,Inputs!$B$14))</f>
        <v>10</v>
      </c>
      <c r="O1878" s="15" t="n">
        <f aca="false">IF(J1878=1,0,Inputs!$B$13)</f>
        <v>20</v>
      </c>
      <c r="P1878" s="15" t="n">
        <f aca="false">SUM(M1878:N1878)</f>
        <v>85</v>
      </c>
      <c r="Q1878" s="15" t="n">
        <f aca="false">IF(J1878=1,"",L1878-P1878)</f>
        <v>15</v>
      </c>
      <c r="R1878" s="15" t="n">
        <f aca="false">IF(OR(J1878=1,M1878&lt;=Inputs!$B$12),1,0)</f>
        <v>1</v>
      </c>
      <c r="S1878" s="15" t="n">
        <f aca="false">IF(OR(J1878=1,N1878&lt;=O1878),1,0)</f>
        <v>1</v>
      </c>
      <c r="T1878" s="15" t="str">
        <f aca="false">IF(J1878=1,"OFFLINE",IF(AND(Q1878&gt;=Inputs!$B$15,R1878=1,S1878=1,P1878&lt;=L1878),"PASS","FAIL"))</f>
        <v>PASS</v>
      </c>
    </row>
    <row r="1879" customFormat="false" ht="15" hidden="false" customHeight="false" outlineLevel="0" collapsed="false">
      <c r="A1879" s="14" t="s">
        <v>1036</v>
      </c>
      <c r="B1879" s="14" t="s">
        <v>1019</v>
      </c>
      <c r="C1879" s="14" t="s">
        <v>204</v>
      </c>
      <c r="D1879" s="14" t="s">
        <v>174</v>
      </c>
      <c r="E1879" s="14" t="s">
        <v>152</v>
      </c>
      <c r="F1879" s="14" t="s">
        <v>175</v>
      </c>
      <c r="G1879" s="14" t="n">
        <v>1</v>
      </c>
      <c r="H1879" s="14" t="s">
        <v>154</v>
      </c>
      <c r="I1879" s="14" t="s">
        <v>890</v>
      </c>
      <c r="J1879" s="15" t="n">
        <f aca="false">IF(B1879="SITE LOSS",IF(D1879=C1879,1,0),IF(B1879="REGION LOSS",IF(E1879=C1879,1,0),0))</f>
        <v>0</v>
      </c>
      <c r="K1879" s="15" t="n">
        <f aca="false">IF(B1879="SITE LOSS",IF(COUNTIFS('Site Dockets'!$B$7:$B$24,C1879,'Site Dockets'!$C$7:$C$24,F1879)&gt;0,1,0),IF(B1879="REGION LOSS",IF(COUNTIFS('Site Dockets'!$E$7:$E$24,C1879,'Site Dockets'!$C$7:$C$24,F1879)&gt;0,1,0),0))</f>
        <v>0</v>
      </c>
      <c r="L1879" s="15" t="n">
        <f aca="false">IF(J1879=1,0,Inputs!$B$11)</f>
        <v>100</v>
      </c>
      <c r="M1879" s="15" t="n">
        <f aca="false">IF(J1879=1,0,Inputs!$B$12)</f>
        <v>75</v>
      </c>
      <c r="N1879" s="15" t="n">
        <f aca="false">IF(J1879=1,0,IF(OR(AND(OR(B1879="SITE LOSS",B1879="REGION LOSS"),K1879=1),AND(B1879="ROLE COMPROMISE",H1879=C1879)),Inputs!$B$13,Inputs!$B$14))</f>
        <v>10</v>
      </c>
      <c r="O1879" s="15" t="n">
        <f aca="false">IF(J1879=1,0,Inputs!$B$13)</f>
        <v>20</v>
      </c>
      <c r="P1879" s="15" t="n">
        <f aca="false">SUM(M1879:N1879)</f>
        <v>85</v>
      </c>
      <c r="Q1879" s="15" t="n">
        <f aca="false">IF(J1879=1,"",L1879-P1879)</f>
        <v>15</v>
      </c>
      <c r="R1879" s="15" t="n">
        <f aca="false">IF(OR(J1879=1,M1879&lt;=Inputs!$B$12),1,0)</f>
        <v>1</v>
      </c>
      <c r="S1879" s="15" t="n">
        <f aca="false">IF(OR(J1879=1,N1879&lt;=O1879),1,0)</f>
        <v>1</v>
      </c>
      <c r="T1879" s="15" t="str">
        <f aca="false">IF(J1879=1,"OFFLINE",IF(AND(Q1879&gt;=Inputs!$B$15,R1879=1,S1879=1,P1879&lt;=L1879),"PASS","FAIL"))</f>
        <v>PASS</v>
      </c>
    </row>
    <row r="1880" customFormat="false" ht="15" hidden="false" customHeight="false" outlineLevel="0" collapsed="false">
      <c r="A1880" s="14" t="s">
        <v>1036</v>
      </c>
      <c r="B1880" s="14" t="s">
        <v>1019</v>
      </c>
      <c r="C1880" s="14" t="s">
        <v>204</v>
      </c>
      <c r="D1880" s="14" t="s">
        <v>174</v>
      </c>
      <c r="E1880" s="14" t="s">
        <v>152</v>
      </c>
      <c r="F1880" s="14" t="s">
        <v>175</v>
      </c>
      <c r="G1880" s="14" t="n">
        <v>1</v>
      </c>
      <c r="H1880" s="14" t="s">
        <v>154</v>
      </c>
      <c r="I1880" s="14" t="s">
        <v>892</v>
      </c>
      <c r="J1880" s="15" t="n">
        <f aca="false">IF(B1880="SITE LOSS",IF(D1880=C1880,1,0),IF(B1880="REGION LOSS",IF(E1880=C1880,1,0),0))</f>
        <v>0</v>
      </c>
      <c r="K1880" s="15" t="n">
        <f aca="false">IF(B1880="SITE LOSS",IF(COUNTIFS('Site Dockets'!$B$7:$B$24,C1880,'Site Dockets'!$C$7:$C$24,F1880)&gt;0,1,0),IF(B1880="REGION LOSS",IF(COUNTIFS('Site Dockets'!$E$7:$E$24,C1880,'Site Dockets'!$C$7:$C$24,F1880)&gt;0,1,0),0))</f>
        <v>0</v>
      </c>
      <c r="L1880" s="15" t="n">
        <f aca="false">IF(J1880=1,0,Inputs!$B$11)</f>
        <v>100</v>
      </c>
      <c r="M1880" s="15" t="n">
        <f aca="false">IF(J1880=1,0,Inputs!$B$12)</f>
        <v>75</v>
      </c>
      <c r="N1880" s="15" t="n">
        <f aca="false">IF(J1880=1,0,IF(OR(AND(OR(B1880="SITE LOSS",B1880="REGION LOSS"),K1880=1),AND(B1880="ROLE COMPROMISE",H1880=C1880)),Inputs!$B$13,Inputs!$B$14))</f>
        <v>10</v>
      </c>
      <c r="O1880" s="15" t="n">
        <f aca="false">IF(J1880=1,0,Inputs!$B$13)</f>
        <v>20</v>
      </c>
      <c r="P1880" s="15" t="n">
        <f aca="false">SUM(M1880:N1880)</f>
        <v>85</v>
      </c>
      <c r="Q1880" s="15" t="n">
        <f aca="false">IF(J1880=1,"",L1880-P1880)</f>
        <v>15</v>
      </c>
      <c r="R1880" s="15" t="n">
        <f aca="false">IF(OR(J1880=1,M1880&lt;=Inputs!$B$12),1,0)</f>
        <v>1</v>
      </c>
      <c r="S1880" s="15" t="n">
        <f aca="false">IF(OR(J1880=1,N1880&lt;=O1880),1,0)</f>
        <v>1</v>
      </c>
      <c r="T1880" s="15" t="str">
        <f aca="false">IF(J1880=1,"OFFLINE",IF(AND(Q1880&gt;=Inputs!$B$15,R1880=1,S1880=1,P1880&lt;=L1880),"PASS","FAIL"))</f>
        <v>PASS</v>
      </c>
    </row>
    <row r="1881" customFormat="false" ht="15" hidden="false" customHeight="false" outlineLevel="0" collapsed="false">
      <c r="A1881" s="14" t="s">
        <v>1036</v>
      </c>
      <c r="B1881" s="14" t="s">
        <v>1019</v>
      </c>
      <c r="C1881" s="14" t="s">
        <v>204</v>
      </c>
      <c r="D1881" s="14" t="s">
        <v>174</v>
      </c>
      <c r="E1881" s="14" t="s">
        <v>152</v>
      </c>
      <c r="F1881" s="14" t="s">
        <v>175</v>
      </c>
      <c r="G1881" s="14" t="n">
        <v>1</v>
      </c>
      <c r="H1881" s="14" t="s">
        <v>154</v>
      </c>
      <c r="I1881" s="14" t="s">
        <v>811</v>
      </c>
      <c r="J1881" s="15" t="n">
        <f aca="false">IF(B1881="SITE LOSS",IF(D1881=C1881,1,0),IF(B1881="REGION LOSS",IF(E1881=C1881,1,0),0))</f>
        <v>0</v>
      </c>
      <c r="K1881" s="15" t="n">
        <f aca="false">IF(B1881="SITE LOSS",IF(COUNTIFS('Site Dockets'!$B$7:$B$24,C1881,'Site Dockets'!$C$7:$C$24,F1881)&gt;0,1,0),IF(B1881="REGION LOSS",IF(COUNTIFS('Site Dockets'!$E$7:$E$24,C1881,'Site Dockets'!$C$7:$C$24,F1881)&gt;0,1,0),0))</f>
        <v>0</v>
      </c>
      <c r="L1881" s="15" t="n">
        <f aca="false">IF(J1881=1,0,Inputs!$B$11)</f>
        <v>100</v>
      </c>
      <c r="M1881" s="15" t="n">
        <f aca="false">IF(J1881=1,0,Inputs!$B$12)</f>
        <v>75</v>
      </c>
      <c r="N1881" s="15" t="n">
        <f aca="false">IF(J1881=1,0,IF(OR(AND(OR(B1881="SITE LOSS",B1881="REGION LOSS"),K1881=1),AND(B1881="ROLE COMPROMISE",H1881=C1881)),Inputs!$B$13,Inputs!$B$14))</f>
        <v>10</v>
      </c>
      <c r="O1881" s="15" t="n">
        <f aca="false">IF(J1881=1,0,Inputs!$B$13)</f>
        <v>20</v>
      </c>
      <c r="P1881" s="15" t="n">
        <f aca="false">SUM(M1881:N1881)</f>
        <v>85</v>
      </c>
      <c r="Q1881" s="15" t="n">
        <f aca="false">IF(J1881=1,"",L1881-P1881)</f>
        <v>15</v>
      </c>
      <c r="R1881" s="15" t="n">
        <f aca="false">IF(OR(J1881=1,M1881&lt;=Inputs!$B$12),1,0)</f>
        <v>1</v>
      </c>
      <c r="S1881" s="15" t="n">
        <f aca="false">IF(OR(J1881=1,N1881&lt;=O1881),1,0)</f>
        <v>1</v>
      </c>
      <c r="T1881" s="15" t="str">
        <f aca="false">IF(J1881=1,"OFFLINE",IF(AND(Q1881&gt;=Inputs!$B$15,R1881=1,S1881=1,P1881&lt;=L1881),"PASS","FAIL"))</f>
        <v>PASS</v>
      </c>
    </row>
    <row r="1882" customFormat="false" ht="15" hidden="false" customHeight="false" outlineLevel="0" collapsed="false">
      <c r="A1882" s="14" t="s">
        <v>1036</v>
      </c>
      <c r="B1882" s="14" t="s">
        <v>1019</v>
      </c>
      <c r="C1882" s="14" t="s">
        <v>204</v>
      </c>
      <c r="D1882" s="14" t="s">
        <v>174</v>
      </c>
      <c r="E1882" s="14" t="s">
        <v>152</v>
      </c>
      <c r="F1882" s="14" t="s">
        <v>175</v>
      </c>
      <c r="G1882" s="14" t="n">
        <v>1</v>
      </c>
      <c r="H1882" s="14" t="s">
        <v>154</v>
      </c>
      <c r="I1882" s="14" t="s">
        <v>895</v>
      </c>
      <c r="J1882" s="15" t="n">
        <f aca="false">IF(B1882="SITE LOSS",IF(D1882=C1882,1,0),IF(B1882="REGION LOSS",IF(E1882=C1882,1,0),0))</f>
        <v>0</v>
      </c>
      <c r="K1882" s="15" t="n">
        <f aca="false">IF(B1882="SITE LOSS",IF(COUNTIFS('Site Dockets'!$B$7:$B$24,C1882,'Site Dockets'!$C$7:$C$24,F1882)&gt;0,1,0),IF(B1882="REGION LOSS",IF(COUNTIFS('Site Dockets'!$E$7:$E$24,C1882,'Site Dockets'!$C$7:$C$24,F1882)&gt;0,1,0),0))</f>
        <v>0</v>
      </c>
      <c r="L1882" s="15" t="n">
        <f aca="false">IF(J1882=1,0,Inputs!$B$11)</f>
        <v>100</v>
      </c>
      <c r="M1882" s="15" t="n">
        <f aca="false">IF(J1882=1,0,Inputs!$B$12)</f>
        <v>75</v>
      </c>
      <c r="N1882" s="15" t="n">
        <f aca="false">IF(J1882=1,0,IF(OR(AND(OR(B1882="SITE LOSS",B1882="REGION LOSS"),K1882=1),AND(B1882="ROLE COMPROMISE",H1882=C1882)),Inputs!$B$13,Inputs!$B$14))</f>
        <v>10</v>
      </c>
      <c r="O1882" s="15" t="n">
        <f aca="false">IF(J1882=1,0,Inputs!$B$13)</f>
        <v>20</v>
      </c>
      <c r="P1882" s="15" t="n">
        <f aca="false">SUM(M1882:N1882)</f>
        <v>85</v>
      </c>
      <c r="Q1882" s="15" t="n">
        <f aca="false">IF(J1882=1,"",L1882-P1882)</f>
        <v>15</v>
      </c>
      <c r="R1882" s="15" t="n">
        <f aca="false">IF(OR(J1882=1,M1882&lt;=Inputs!$B$12),1,0)</f>
        <v>1</v>
      </c>
      <c r="S1882" s="15" t="n">
        <f aca="false">IF(OR(J1882=1,N1882&lt;=O1882),1,0)</f>
        <v>1</v>
      </c>
      <c r="T1882" s="15" t="str">
        <f aca="false">IF(J1882=1,"OFFLINE",IF(AND(Q1882&gt;=Inputs!$B$15,R1882=1,S1882=1,P1882&lt;=L1882),"PASS","FAIL"))</f>
        <v>PASS</v>
      </c>
    </row>
    <row r="1883" customFormat="false" ht="15" hidden="false" customHeight="false" outlineLevel="0" collapsed="false">
      <c r="A1883" s="14" t="s">
        <v>1036</v>
      </c>
      <c r="B1883" s="14" t="s">
        <v>1019</v>
      </c>
      <c r="C1883" s="14" t="s">
        <v>204</v>
      </c>
      <c r="D1883" s="14" t="s">
        <v>174</v>
      </c>
      <c r="E1883" s="14" t="s">
        <v>152</v>
      </c>
      <c r="F1883" s="14" t="s">
        <v>175</v>
      </c>
      <c r="G1883" s="14" t="n">
        <v>1</v>
      </c>
      <c r="H1883" s="14" t="s">
        <v>154</v>
      </c>
      <c r="I1883" s="14" t="s">
        <v>897</v>
      </c>
      <c r="J1883" s="15" t="n">
        <f aca="false">IF(B1883="SITE LOSS",IF(D1883=C1883,1,0),IF(B1883="REGION LOSS",IF(E1883=C1883,1,0),0))</f>
        <v>0</v>
      </c>
      <c r="K1883" s="15" t="n">
        <f aca="false">IF(B1883="SITE LOSS",IF(COUNTIFS('Site Dockets'!$B$7:$B$24,C1883,'Site Dockets'!$C$7:$C$24,F1883)&gt;0,1,0),IF(B1883="REGION LOSS",IF(COUNTIFS('Site Dockets'!$E$7:$E$24,C1883,'Site Dockets'!$C$7:$C$24,F1883)&gt;0,1,0),0))</f>
        <v>0</v>
      </c>
      <c r="L1883" s="15" t="n">
        <f aca="false">IF(J1883=1,0,Inputs!$B$11)</f>
        <v>100</v>
      </c>
      <c r="M1883" s="15" t="n">
        <f aca="false">IF(J1883=1,0,Inputs!$B$12)</f>
        <v>75</v>
      </c>
      <c r="N1883" s="15" t="n">
        <f aca="false">IF(J1883=1,0,IF(OR(AND(OR(B1883="SITE LOSS",B1883="REGION LOSS"),K1883=1),AND(B1883="ROLE COMPROMISE",H1883=C1883)),Inputs!$B$13,Inputs!$B$14))</f>
        <v>10</v>
      </c>
      <c r="O1883" s="15" t="n">
        <f aca="false">IF(J1883=1,0,Inputs!$B$13)</f>
        <v>20</v>
      </c>
      <c r="P1883" s="15" t="n">
        <f aca="false">SUM(M1883:N1883)</f>
        <v>85</v>
      </c>
      <c r="Q1883" s="15" t="n">
        <f aca="false">IF(J1883=1,"",L1883-P1883)</f>
        <v>15</v>
      </c>
      <c r="R1883" s="15" t="n">
        <f aca="false">IF(OR(J1883=1,M1883&lt;=Inputs!$B$12),1,0)</f>
        <v>1</v>
      </c>
      <c r="S1883" s="15" t="n">
        <f aca="false">IF(OR(J1883=1,N1883&lt;=O1883),1,0)</f>
        <v>1</v>
      </c>
      <c r="T1883" s="15" t="str">
        <f aca="false">IF(J1883=1,"OFFLINE",IF(AND(Q1883&gt;=Inputs!$B$15,R1883=1,S1883=1,P1883&lt;=L1883),"PASS","FAIL"))</f>
        <v>PASS</v>
      </c>
    </row>
    <row r="1884" customFormat="false" ht="15" hidden="false" customHeight="false" outlineLevel="0" collapsed="false">
      <c r="A1884" s="14" t="s">
        <v>1036</v>
      </c>
      <c r="B1884" s="14" t="s">
        <v>1019</v>
      </c>
      <c r="C1884" s="14" t="s">
        <v>204</v>
      </c>
      <c r="D1884" s="14" t="s">
        <v>174</v>
      </c>
      <c r="E1884" s="14" t="s">
        <v>152</v>
      </c>
      <c r="F1884" s="14" t="s">
        <v>175</v>
      </c>
      <c r="G1884" s="14" t="n">
        <v>1</v>
      </c>
      <c r="H1884" s="14" t="s">
        <v>154</v>
      </c>
      <c r="I1884" s="14" t="s">
        <v>899</v>
      </c>
      <c r="J1884" s="15" t="n">
        <f aca="false">IF(B1884="SITE LOSS",IF(D1884=C1884,1,0),IF(B1884="REGION LOSS",IF(E1884=C1884,1,0),0))</f>
        <v>0</v>
      </c>
      <c r="K1884" s="15" t="n">
        <f aca="false">IF(B1884="SITE LOSS",IF(COUNTIFS('Site Dockets'!$B$7:$B$24,C1884,'Site Dockets'!$C$7:$C$24,F1884)&gt;0,1,0),IF(B1884="REGION LOSS",IF(COUNTIFS('Site Dockets'!$E$7:$E$24,C1884,'Site Dockets'!$C$7:$C$24,F1884)&gt;0,1,0),0))</f>
        <v>0</v>
      </c>
      <c r="L1884" s="15" t="n">
        <f aca="false">IF(J1884=1,0,Inputs!$B$11)</f>
        <v>100</v>
      </c>
      <c r="M1884" s="15" t="n">
        <f aca="false">IF(J1884=1,0,Inputs!$B$12)</f>
        <v>75</v>
      </c>
      <c r="N1884" s="15" t="n">
        <f aca="false">IF(J1884=1,0,IF(OR(AND(OR(B1884="SITE LOSS",B1884="REGION LOSS"),K1884=1),AND(B1884="ROLE COMPROMISE",H1884=C1884)),Inputs!$B$13,Inputs!$B$14))</f>
        <v>10</v>
      </c>
      <c r="O1884" s="15" t="n">
        <f aca="false">IF(J1884=1,0,Inputs!$B$13)</f>
        <v>20</v>
      </c>
      <c r="P1884" s="15" t="n">
        <f aca="false">SUM(M1884:N1884)</f>
        <v>85</v>
      </c>
      <c r="Q1884" s="15" t="n">
        <f aca="false">IF(J1884=1,"",L1884-P1884)</f>
        <v>15</v>
      </c>
      <c r="R1884" s="15" t="n">
        <f aca="false">IF(OR(J1884=1,M1884&lt;=Inputs!$B$12),1,0)</f>
        <v>1</v>
      </c>
      <c r="S1884" s="15" t="n">
        <f aca="false">IF(OR(J1884=1,N1884&lt;=O1884),1,0)</f>
        <v>1</v>
      </c>
      <c r="T1884" s="15" t="str">
        <f aca="false">IF(J1884=1,"OFFLINE",IF(AND(Q1884&gt;=Inputs!$B$15,R1884=1,S1884=1,P1884&lt;=L1884),"PASS","FAIL"))</f>
        <v>PASS</v>
      </c>
    </row>
    <row r="1885" customFormat="false" ht="15" hidden="false" customHeight="false" outlineLevel="0" collapsed="false">
      <c r="A1885" s="14" t="s">
        <v>1036</v>
      </c>
      <c r="B1885" s="14" t="s">
        <v>1019</v>
      </c>
      <c r="C1885" s="14" t="s">
        <v>204</v>
      </c>
      <c r="D1885" s="14" t="s">
        <v>178</v>
      </c>
      <c r="E1885" s="14" t="s">
        <v>169</v>
      </c>
      <c r="F1885" s="14" t="s">
        <v>175</v>
      </c>
      <c r="G1885" s="14" t="n">
        <v>2</v>
      </c>
      <c r="H1885" s="14" t="s">
        <v>153</v>
      </c>
      <c r="I1885" s="14" t="s">
        <v>890</v>
      </c>
      <c r="J1885" s="15" t="n">
        <f aca="false">IF(B1885="SITE LOSS",IF(D1885=C1885,1,0),IF(B1885="REGION LOSS",IF(E1885=C1885,1,0),0))</f>
        <v>0</v>
      </c>
      <c r="K1885" s="15" t="n">
        <f aca="false">IF(B1885="SITE LOSS",IF(COUNTIFS('Site Dockets'!$B$7:$B$24,C1885,'Site Dockets'!$C$7:$C$24,F1885)&gt;0,1,0),IF(B1885="REGION LOSS",IF(COUNTIFS('Site Dockets'!$E$7:$E$24,C1885,'Site Dockets'!$C$7:$C$24,F1885)&gt;0,1,0),0))</f>
        <v>0</v>
      </c>
      <c r="L1885" s="15" t="n">
        <f aca="false">IF(J1885=1,0,Inputs!$B$11)</f>
        <v>100</v>
      </c>
      <c r="M1885" s="15" t="n">
        <f aca="false">IF(J1885=1,0,Inputs!$B$12)</f>
        <v>75</v>
      </c>
      <c r="N1885" s="15" t="n">
        <f aca="false">IF(J1885=1,0,IF(OR(AND(OR(B1885="SITE LOSS",B1885="REGION LOSS"),K1885=1),AND(B1885="ROLE COMPROMISE",H1885=C1885)),Inputs!$B$13,Inputs!$B$14))</f>
        <v>10</v>
      </c>
      <c r="O1885" s="15" t="n">
        <f aca="false">IF(J1885=1,0,Inputs!$B$13)</f>
        <v>20</v>
      </c>
      <c r="P1885" s="15" t="n">
        <f aca="false">SUM(M1885:N1885)</f>
        <v>85</v>
      </c>
      <c r="Q1885" s="15" t="n">
        <f aca="false">IF(J1885=1,"",L1885-P1885)</f>
        <v>15</v>
      </c>
      <c r="R1885" s="15" t="n">
        <f aca="false">IF(OR(J1885=1,M1885&lt;=Inputs!$B$12),1,0)</f>
        <v>1</v>
      </c>
      <c r="S1885" s="15" t="n">
        <f aca="false">IF(OR(J1885=1,N1885&lt;=O1885),1,0)</f>
        <v>1</v>
      </c>
      <c r="T1885" s="15" t="str">
        <f aca="false">IF(J1885=1,"OFFLINE",IF(AND(Q1885&gt;=Inputs!$B$15,R1885=1,S1885=1,P1885&lt;=L1885),"PASS","FAIL"))</f>
        <v>PASS</v>
      </c>
    </row>
    <row r="1886" customFormat="false" ht="15" hidden="false" customHeight="false" outlineLevel="0" collapsed="false">
      <c r="A1886" s="14" t="s">
        <v>1036</v>
      </c>
      <c r="B1886" s="14" t="s">
        <v>1019</v>
      </c>
      <c r="C1886" s="14" t="s">
        <v>204</v>
      </c>
      <c r="D1886" s="14" t="s">
        <v>178</v>
      </c>
      <c r="E1886" s="14" t="s">
        <v>169</v>
      </c>
      <c r="F1886" s="14" t="s">
        <v>175</v>
      </c>
      <c r="G1886" s="14" t="n">
        <v>2</v>
      </c>
      <c r="H1886" s="14" t="s">
        <v>153</v>
      </c>
      <c r="I1886" s="14" t="s">
        <v>892</v>
      </c>
      <c r="J1886" s="15" t="n">
        <f aca="false">IF(B1886="SITE LOSS",IF(D1886=C1886,1,0),IF(B1886="REGION LOSS",IF(E1886=C1886,1,0),0))</f>
        <v>0</v>
      </c>
      <c r="K1886" s="15" t="n">
        <f aca="false">IF(B1886="SITE LOSS",IF(COUNTIFS('Site Dockets'!$B$7:$B$24,C1886,'Site Dockets'!$C$7:$C$24,F1886)&gt;0,1,0),IF(B1886="REGION LOSS",IF(COUNTIFS('Site Dockets'!$E$7:$E$24,C1886,'Site Dockets'!$C$7:$C$24,F1886)&gt;0,1,0),0))</f>
        <v>0</v>
      </c>
      <c r="L1886" s="15" t="n">
        <f aca="false">IF(J1886=1,0,Inputs!$B$11)</f>
        <v>100</v>
      </c>
      <c r="M1886" s="15" t="n">
        <f aca="false">IF(J1886=1,0,Inputs!$B$12)</f>
        <v>75</v>
      </c>
      <c r="N1886" s="15" t="n">
        <f aca="false">IF(J1886=1,0,IF(OR(AND(OR(B1886="SITE LOSS",B1886="REGION LOSS"),K1886=1),AND(B1886="ROLE COMPROMISE",H1886=C1886)),Inputs!$B$13,Inputs!$B$14))</f>
        <v>10</v>
      </c>
      <c r="O1886" s="15" t="n">
        <f aca="false">IF(J1886=1,0,Inputs!$B$13)</f>
        <v>20</v>
      </c>
      <c r="P1886" s="15" t="n">
        <f aca="false">SUM(M1886:N1886)</f>
        <v>85</v>
      </c>
      <c r="Q1886" s="15" t="n">
        <f aca="false">IF(J1886=1,"",L1886-P1886)</f>
        <v>15</v>
      </c>
      <c r="R1886" s="15" t="n">
        <f aca="false">IF(OR(J1886=1,M1886&lt;=Inputs!$B$12),1,0)</f>
        <v>1</v>
      </c>
      <c r="S1886" s="15" t="n">
        <f aca="false">IF(OR(J1886=1,N1886&lt;=O1886),1,0)</f>
        <v>1</v>
      </c>
      <c r="T1886" s="15" t="str">
        <f aca="false">IF(J1886=1,"OFFLINE",IF(AND(Q1886&gt;=Inputs!$B$15,R1886=1,S1886=1,P1886&lt;=L1886),"PASS","FAIL"))</f>
        <v>PASS</v>
      </c>
    </row>
    <row r="1887" customFormat="false" ht="15" hidden="false" customHeight="false" outlineLevel="0" collapsed="false">
      <c r="A1887" s="14" t="s">
        <v>1036</v>
      </c>
      <c r="B1887" s="14" t="s">
        <v>1019</v>
      </c>
      <c r="C1887" s="14" t="s">
        <v>204</v>
      </c>
      <c r="D1887" s="14" t="s">
        <v>178</v>
      </c>
      <c r="E1887" s="14" t="s">
        <v>169</v>
      </c>
      <c r="F1887" s="14" t="s">
        <v>175</v>
      </c>
      <c r="G1887" s="14" t="n">
        <v>2</v>
      </c>
      <c r="H1887" s="14" t="s">
        <v>153</v>
      </c>
      <c r="I1887" s="14" t="s">
        <v>811</v>
      </c>
      <c r="J1887" s="15" t="n">
        <f aca="false">IF(B1887="SITE LOSS",IF(D1887=C1887,1,0),IF(B1887="REGION LOSS",IF(E1887=C1887,1,0),0))</f>
        <v>0</v>
      </c>
      <c r="K1887" s="15" t="n">
        <f aca="false">IF(B1887="SITE LOSS",IF(COUNTIFS('Site Dockets'!$B$7:$B$24,C1887,'Site Dockets'!$C$7:$C$24,F1887)&gt;0,1,0),IF(B1887="REGION LOSS",IF(COUNTIFS('Site Dockets'!$E$7:$E$24,C1887,'Site Dockets'!$C$7:$C$24,F1887)&gt;0,1,0),0))</f>
        <v>0</v>
      </c>
      <c r="L1887" s="15" t="n">
        <f aca="false">IF(J1887=1,0,Inputs!$B$11)</f>
        <v>100</v>
      </c>
      <c r="M1887" s="15" t="n">
        <f aca="false">IF(J1887=1,0,Inputs!$B$12)</f>
        <v>75</v>
      </c>
      <c r="N1887" s="15" t="n">
        <f aca="false">IF(J1887=1,0,IF(OR(AND(OR(B1887="SITE LOSS",B1887="REGION LOSS"),K1887=1),AND(B1887="ROLE COMPROMISE",H1887=C1887)),Inputs!$B$13,Inputs!$B$14))</f>
        <v>10</v>
      </c>
      <c r="O1887" s="15" t="n">
        <f aca="false">IF(J1887=1,0,Inputs!$B$13)</f>
        <v>20</v>
      </c>
      <c r="P1887" s="15" t="n">
        <f aca="false">SUM(M1887:N1887)</f>
        <v>85</v>
      </c>
      <c r="Q1887" s="15" t="n">
        <f aca="false">IF(J1887=1,"",L1887-P1887)</f>
        <v>15</v>
      </c>
      <c r="R1887" s="15" t="n">
        <f aca="false">IF(OR(J1887=1,M1887&lt;=Inputs!$B$12),1,0)</f>
        <v>1</v>
      </c>
      <c r="S1887" s="15" t="n">
        <f aca="false">IF(OR(J1887=1,N1887&lt;=O1887),1,0)</f>
        <v>1</v>
      </c>
      <c r="T1887" s="15" t="str">
        <f aca="false">IF(J1887=1,"OFFLINE",IF(AND(Q1887&gt;=Inputs!$B$15,R1887=1,S1887=1,P1887&lt;=L1887),"PASS","FAIL"))</f>
        <v>PASS</v>
      </c>
    </row>
    <row r="1888" customFormat="false" ht="15" hidden="false" customHeight="false" outlineLevel="0" collapsed="false">
      <c r="A1888" s="14" t="s">
        <v>1036</v>
      </c>
      <c r="B1888" s="14" t="s">
        <v>1019</v>
      </c>
      <c r="C1888" s="14" t="s">
        <v>204</v>
      </c>
      <c r="D1888" s="14" t="s">
        <v>178</v>
      </c>
      <c r="E1888" s="14" t="s">
        <v>169</v>
      </c>
      <c r="F1888" s="14" t="s">
        <v>175</v>
      </c>
      <c r="G1888" s="14" t="n">
        <v>2</v>
      </c>
      <c r="H1888" s="14" t="s">
        <v>153</v>
      </c>
      <c r="I1888" s="14" t="s">
        <v>895</v>
      </c>
      <c r="J1888" s="15" t="n">
        <f aca="false">IF(B1888="SITE LOSS",IF(D1888=C1888,1,0),IF(B1888="REGION LOSS",IF(E1888=C1888,1,0),0))</f>
        <v>0</v>
      </c>
      <c r="K1888" s="15" t="n">
        <f aca="false">IF(B1888="SITE LOSS",IF(COUNTIFS('Site Dockets'!$B$7:$B$24,C1888,'Site Dockets'!$C$7:$C$24,F1888)&gt;0,1,0),IF(B1888="REGION LOSS",IF(COUNTIFS('Site Dockets'!$E$7:$E$24,C1888,'Site Dockets'!$C$7:$C$24,F1888)&gt;0,1,0),0))</f>
        <v>0</v>
      </c>
      <c r="L1888" s="15" t="n">
        <f aca="false">IF(J1888=1,0,Inputs!$B$11)</f>
        <v>100</v>
      </c>
      <c r="M1888" s="15" t="n">
        <f aca="false">IF(J1888=1,0,Inputs!$B$12)</f>
        <v>75</v>
      </c>
      <c r="N1888" s="15" t="n">
        <f aca="false">IF(J1888=1,0,IF(OR(AND(OR(B1888="SITE LOSS",B1888="REGION LOSS"),K1888=1),AND(B1888="ROLE COMPROMISE",H1888=C1888)),Inputs!$B$13,Inputs!$B$14))</f>
        <v>10</v>
      </c>
      <c r="O1888" s="15" t="n">
        <f aca="false">IF(J1888=1,0,Inputs!$B$13)</f>
        <v>20</v>
      </c>
      <c r="P1888" s="15" t="n">
        <f aca="false">SUM(M1888:N1888)</f>
        <v>85</v>
      </c>
      <c r="Q1888" s="15" t="n">
        <f aca="false">IF(J1888=1,"",L1888-P1888)</f>
        <v>15</v>
      </c>
      <c r="R1888" s="15" t="n">
        <f aca="false">IF(OR(J1888=1,M1888&lt;=Inputs!$B$12),1,0)</f>
        <v>1</v>
      </c>
      <c r="S1888" s="15" t="n">
        <f aca="false">IF(OR(J1888=1,N1888&lt;=O1888),1,0)</f>
        <v>1</v>
      </c>
      <c r="T1888" s="15" t="str">
        <f aca="false">IF(J1888=1,"OFFLINE",IF(AND(Q1888&gt;=Inputs!$B$15,R1888=1,S1888=1,P1888&lt;=L1888),"PASS","FAIL"))</f>
        <v>PASS</v>
      </c>
    </row>
    <row r="1889" customFormat="false" ht="15" hidden="false" customHeight="false" outlineLevel="0" collapsed="false">
      <c r="A1889" s="14" t="s">
        <v>1036</v>
      </c>
      <c r="B1889" s="14" t="s">
        <v>1019</v>
      </c>
      <c r="C1889" s="14" t="s">
        <v>204</v>
      </c>
      <c r="D1889" s="14" t="s">
        <v>178</v>
      </c>
      <c r="E1889" s="14" t="s">
        <v>169</v>
      </c>
      <c r="F1889" s="14" t="s">
        <v>175</v>
      </c>
      <c r="G1889" s="14" t="n">
        <v>2</v>
      </c>
      <c r="H1889" s="14" t="s">
        <v>153</v>
      </c>
      <c r="I1889" s="14" t="s">
        <v>897</v>
      </c>
      <c r="J1889" s="15" t="n">
        <f aca="false">IF(B1889="SITE LOSS",IF(D1889=C1889,1,0),IF(B1889="REGION LOSS",IF(E1889=C1889,1,0),0))</f>
        <v>0</v>
      </c>
      <c r="K1889" s="15" t="n">
        <f aca="false">IF(B1889="SITE LOSS",IF(COUNTIFS('Site Dockets'!$B$7:$B$24,C1889,'Site Dockets'!$C$7:$C$24,F1889)&gt;0,1,0),IF(B1889="REGION LOSS",IF(COUNTIFS('Site Dockets'!$E$7:$E$24,C1889,'Site Dockets'!$C$7:$C$24,F1889)&gt;0,1,0),0))</f>
        <v>0</v>
      </c>
      <c r="L1889" s="15" t="n">
        <f aca="false">IF(J1889=1,0,Inputs!$B$11)</f>
        <v>100</v>
      </c>
      <c r="M1889" s="15" t="n">
        <f aca="false">IF(J1889=1,0,Inputs!$B$12)</f>
        <v>75</v>
      </c>
      <c r="N1889" s="15" t="n">
        <f aca="false">IF(J1889=1,0,IF(OR(AND(OR(B1889="SITE LOSS",B1889="REGION LOSS"),K1889=1),AND(B1889="ROLE COMPROMISE",H1889=C1889)),Inputs!$B$13,Inputs!$B$14))</f>
        <v>10</v>
      </c>
      <c r="O1889" s="15" t="n">
        <f aca="false">IF(J1889=1,0,Inputs!$B$13)</f>
        <v>20</v>
      </c>
      <c r="P1889" s="15" t="n">
        <f aca="false">SUM(M1889:N1889)</f>
        <v>85</v>
      </c>
      <c r="Q1889" s="15" t="n">
        <f aca="false">IF(J1889=1,"",L1889-P1889)</f>
        <v>15</v>
      </c>
      <c r="R1889" s="15" t="n">
        <f aca="false">IF(OR(J1889=1,M1889&lt;=Inputs!$B$12),1,0)</f>
        <v>1</v>
      </c>
      <c r="S1889" s="15" t="n">
        <f aca="false">IF(OR(J1889=1,N1889&lt;=O1889),1,0)</f>
        <v>1</v>
      </c>
      <c r="T1889" s="15" t="str">
        <f aca="false">IF(J1889=1,"OFFLINE",IF(AND(Q1889&gt;=Inputs!$B$15,R1889=1,S1889=1,P1889&lt;=L1889),"PASS","FAIL"))</f>
        <v>PASS</v>
      </c>
    </row>
    <row r="1890" customFormat="false" ht="15" hidden="false" customHeight="false" outlineLevel="0" collapsed="false">
      <c r="A1890" s="14" t="s">
        <v>1036</v>
      </c>
      <c r="B1890" s="14" t="s">
        <v>1019</v>
      </c>
      <c r="C1890" s="14" t="s">
        <v>204</v>
      </c>
      <c r="D1890" s="14" t="s">
        <v>178</v>
      </c>
      <c r="E1890" s="14" t="s">
        <v>169</v>
      </c>
      <c r="F1890" s="14" t="s">
        <v>175</v>
      </c>
      <c r="G1890" s="14" t="n">
        <v>2</v>
      </c>
      <c r="H1890" s="14" t="s">
        <v>153</v>
      </c>
      <c r="I1890" s="14" t="s">
        <v>899</v>
      </c>
      <c r="J1890" s="15" t="n">
        <f aca="false">IF(B1890="SITE LOSS",IF(D1890=C1890,1,0),IF(B1890="REGION LOSS",IF(E1890=C1890,1,0),0))</f>
        <v>0</v>
      </c>
      <c r="K1890" s="15" t="n">
        <f aca="false">IF(B1890="SITE LOSS",IF(COUNTIFS('Site Dockets'!$B$7:$B$24,C1890,'Site Dockets'!$C$7:$C$24,F1890)&gt;0,1,0),IF(B1890="REGION LOSS",IF(COUNTIFS('Site Dockets'!$E$7:$E$24,C1890,'Site Dockets'!$C$7:$C$24,F1890)&gt;0,1,0),0))</f>
        <v>0</v>
      </c>
      <c r="L1890" s="15" t="n">
        <f aca="false">IF(J1890=1,0,Inputs!$B$11)</f>
        <v>100</v>
      </c>
      <c r="M1890" s="15" t="n">
        <f aca="false">IF(J1890=1,0,Inputs!$B$12)</f>
        <v>75</v>
      </c>
      <c r="N1890" s="15" t="n">
        <f aca="false">IF(J1890=1,0,IF(OR(AND(OR(B1890="SITE LOSS",B1890="REGION LOSS"),K1890=1),AND(B1890="ROLE COMPROMISE",H1890=C1890)),Inputs!$B$13,Inputs!$B$14))</f>
        <v>10</v>
      </c>
      <c r="O1890" s="15" t="n">
        <f aca="false">IF(J1890=1,0,Inputs!$B$13)</f>
        <v>20</v>
      </c>
      <c r="P1890" s="15" t="n">
        <f aca="false">SUM(M1890:N1890)</f>
        <v>85</v>
      </c>
      <c r="Q1890" s="15" t="n">
        <f aca="false">IF(J1890=1,"",L1890-P1890)</f>
        <v>15</v>
      </c>
      <c r="R1890" s="15" t="n">
        <f aca="false">IF(OR(J1890=1,M1890&lt;=Inputs!$B$12),1,0)</f>
        <v>1</v>
      </c>
      <c r="S1890" s="15" t="n">
        <f aca="false">IF(OR(J1890=1,N1890&lt;=O1890),1,0)</f>
        <v>1</v>
      </c>
      <c r="T1890" s="15" t="str">
        <f aca="false">IF(J1890=1,"OFFLINE",IF(AND(Q1890&gt;=Inputs!$B$15,R1890=1,S1890=1,P1890&lt;=L1890),"PASS","FAIL"))</f>
        <v>PASS</v>
      </c>
    </row>
    <row r="1891" customFormat="false" ht="15" hidden="false" customHeight="false" outlineLevel="0" collapsed="false">
      <c r="A1891" s="14" t="s">
        <v>1036</v>
      </c>
      <c r="B1891" s="14" t="s">
        <v>1019</v>
      </c>
      <c r="C1891" s="14" t="s">
        <v>204</v>
      </c>
      <c r="D1891" s="14" t="s">
        <v>180</v>
      </c>
      <c r="E1891" s="14" t="s">
        <v>161</v>
      </c>
      <c r="F1891" s="14" t="s">
        <v>175</v>
      </c>
      <c r="G1891" s="14" t="n">
        <v>3</v>
      </c>
      <c r="H1891" s="14" t="s">
        <v>158</v>
      </c>
      <c r="I1891" s="14" t="s">
        <v>890</v>
      </c>
      <c r="J1891" s="15" t="n">
        <f aca="false">IF(B1891="SITE LOSS",IF(D1891=C1891,1,0),IF(B1891="REGION LOSS",IF(E1891=C1891,1,0),0))</f>
        <v>0</v>
      </c>
      <c r="K1891" s="15" t="n">
        <f aca="false">IF(B1891="SITE LOSS",IF(COUNTIFS('Site Dockets'!$B$7:$B$24,C1891,'Site Dockets'!$C$7:$C$24,F1891)&gt;0,1,0),IF(B1891="REGION LOSS",IF(COUNTIFS('Site Dockets'!$E$7:$E$24,C1891,'Site Dockets'!$C$7:$C$24,F1891)&gt;0,1,0),0))</f>
        <v>0</v>
      </c>
      <c r="L1891" s="15" t="n">
        <f aca="false">IF(J1891=1,0,Inputs!$B$11)</f>
        <v>100</v>
      </c>
      <c r="M1891" s="15" t="n">
        <f aca="false">IF(J1891=1,0,Inputs!$B$12)</f>
        <v>75</v>
      </c>
      <c r="N1891" s="15" t="n">
        <f aca="false">IF(J1891=1,0,IF(OR(AND(OR(B1891="SITE LOSS",B1891="REGION LOSS"),K1891=1),AND(B1891="ROLE COMPROMISE",H1891=C1891)),Inputs!$B$13,Inputs!$B$14))</f>
        <v>10</v>
      </c>
      <c r="O1891" s="15" t="n">
        <f aca="false">IF(J1891=1,0,Inputs!$B$13)</f>
        <v>20</v>
      </c>
      <c r="P1891" s="15" t="n">
        <f aca="false">SUM(M1891:N1891)</f>
        <v>85</v>
      </c>
      <c r="Q1891" s="15" t="n">
        <f aca="false">IF(J1891=1,"",L1891-P1891)</f>
        <v>15</v>
      </c>
      <c r="R1891" s="15" t="n">
        <f aca="false">IF(OR(J1891=1,M1891&lt;=Inputs!$B$12),1,0)</f>
        <v>1</v>
      </c>
      <c r="S1891" s="15" t="n">
        <f aca="false">IF(OR(J1891=1,N1891&lt;=O1891),1,0)</f>
        <v>1</v>
      </c>
      <c r="T1891" s="15" t="str">
        <f aca="false">IF(J1891=1,"OFFLINE",IF(AND(Q1891&gt;=Inputs!$B$15,R1891=1,S1891=1,P1891&lt;=L1891),"PASS","FAIL"))</f>
        <v>PASS</v>
      </c>
    </row>
    <row r="1892" customFormat="false" ht="15" hidden="false" customHeight="false" outlineLevel="0" collapsed="false">
      <c r="A1892" s="14" t="s">
        <v>1036</v>
      </c>
      <c r="B1892" s="14" t="s">
        <v>1019</v>
      </c>
      <c r="C1892" s="14" t="s">
        <v>204</v>
      </c>
      <c r="D1892" s="14" t="s">
        <v>180</v>
      </c>
      <c r="E1892" s="14" t="s">
        <v>161</v>
      </c>
      <c r="F1892" s="14" t="s">
        <v>175</v>
      </c>
      <c r="G1892" s="14" t="n">
        <v>3</v>
      </c>
      <c r="H1892" s="14" t="s">
        <v>158</v>
      </c>
      <c r="I1892" s="14" t="s">
        <v>892</v>
      </c>
      <c r="J1892" s="15" t="n">
        <f aca="false">IF(B1892="SITE LOSS",IF(D1892=C1892,1,0),IF(B1892="REGION LOSS",IF(E1892=C1892,1,0),0))</f>
        <v>0</v>
      </c>
      <c r="K1892" s="15" t="n">
        <f aca="false">IF(B1892="SITE LOSS",IF(COUNTIFS('Site Dockets'!$B$7:$B$24,C1892,'Site Dockets'!$C$7:$C$24,F1892)&gt;0,1,0),IF(B1892="REGION LOSS",IF(COUNTIFS('Site Dockets'!$E$7:$E$24,C1892,'Site Dockets'!$C$7:$C$24,F1892)&gt;0,1,0),0))</f>
        <v>0</v>
      </c>
      <c r="L1892" s="15" t="n">
        <f aca="false">IF(J1892=1,0,Inputs!$B$11)</f>
        <v>100</v>
      </c>
      <c r="M1892" s="15" t="n">
        <f aca="false">IF(J1892=1,0,Inputs!$B$12)</f>
        <v>75</v>
      </c>
      <c r="N1892" s="15" t="n">
        <f aca="false">IF(J1892=1,0,IF(OR(AND(OR(B1892="SITE LOSS",B1892="REGION LOSS"),K1892=1),AND(B1892="ROLE COMPROMISE",H1892=C1892)),Inputs!$B$13,Inputs!$B$14))</f>
        <v>10</v>
      </c>
      <c r="O1892" s="15" t="n">
        <f aca="false">IF(J1892=1,0,Inputs!$B$13)</f>
        <v>20</v>
      </c>
      <c r="P1892" s="15" t="n">
        <f aca="false">SUM(M1892:N1892)</f>
        <v>85</v>
      </c>
      <c r="Q1892" s="15" t="n">
        <f aca="false">IF(J1892=1,"",L1892-P1892)</f>
        <v>15</v>
      </c>
      <c r="R1892" s="15" t="n">
        <f aca="false">IF(OR(J1892=1,M1892&lt;=Inputs!$B$12),1,0)</f>
        <v>1</v>
      </c>
      <c r="S1892" s="15" t="n">
        <f aca="false">IF(OR(J1892=1,N1892&lt;=O1892),1,0)</f>
        <v>1</v>
      </c>
      <c r="T1892" s="15" t="str">
        <f aca="false">IF(J1892=1,"OFFLINE",IF(AND(Q1892&gt;=Inputs!$B$15,R1892=1,S1892=1,P1892&lt;=L1892),"PASS","FAIL"))</f>
        <v>PASS</v>
      </c>
    </row>
    <row r="1893" customFormat="false" ht="15" hidden="false" customHeight="false" outlineLevel="0" collapsed="false">
      <c r="A1893" s="14" t="s">
        <v>1036</v>
      </c>
      <c r="B1893" s="14" t="s">
        <v>1019</v>
      </c>
      <c r="C1893" s="14" t="s">
        <v>204</v>
      </c>
      <c r="D1893" s="14" t="s">
        <v>180</v>
      </c>
      <c r="E1893" s="14" t="s">
        <v>161</v>
      </c>
      <c r="F1893" s="14" t="s">
        <v>175</v>
      </c>
      <c r="G1893" s="14" t="n">
        <v>3</v>
      </c>
      <c r="H1893" s="14" t="s">
        <v>158</v>
      </c>
      <c r="I1893" s="14" t="s">
        <v>811</v>
      </c>
      <c r="J1893" s="15" t="n">
        <f aca="false">IF(B1893="SITE LOSS",IF(D1893=C1893,1,0),IF(B1893="REGION LOSS",IF(E1893=C1893,1,0),0))</f>
        <v>0</v>
      </c>
      <c r="K1893" s="15" t="n">
        <f aca="false">IF(B1893="SITE LOSS",IF(COUNTIFS('Site Dockets'!$B$7:$B$24,C1893,'Site Dockets'!$C$7:$C$24,F1893)&gt;0,1,0),IF(B1893="REGION LOSS",IF(COUNTIFS('Site Dockets'!$E$7:$E$24,C1893,'Site Dockets'!$C$7:$C$24,F1893)&gt;0,1,0),0))</f>
        <v>0</v>
      </c>
      <c r="L1893" s="15" t="n">
        <f aca="false">IF(J1893=1,0,Inputs!$B$11)</f>
        <v>100</v>
      </c>
      <c r="M1893" s="15" t="n">
        <f aca="false">IF(J1893=1,0,Inputs!$B$12)</f>
        <v>75</v>
      </c>
      <c r="N1893" s="15" t="n">
        <f aca="false">IF(J1893=1,0,IF(OR(AND(OR(B1893="SITE LOSS",B1893="REGION LOSS"),K1893=1),AND(B1893="ROLE COMPROMISE",H1893=C1893)),Inputs!$B$13,Inputs!$B$14))</f>
        <v>10</v>
      </c>
      <c r="O1893" s="15" t="n">
        <f aca="false">IF(J1893=1,0,Inputs!$B$13)</f>
        <v>20</v>
      </c>
      <c r="P1893" s="15" t="n">
        <f aca="false">SUM(M1893:N1893)</f>
        <v>85</v>
      </c>
      <c r="Q1893" s="15" t="n">
        <f aca="false">IF(J1893=1,"",L1893-P1893)</f>
        <v>15</v>
      </c>
      <c r="R1893" s="15" t="n">
        <f aca="false">IF(OR(J1893=1,M1893&lt;=Inputs!$B$12),1,0)</f>
        <v>1</v>
      </c>
      <c r="S1893" s="15" t="n">
        <f aca="false">IF(OR(J1893=1,N1893&lt;=O1893),1,0)</f>
        <v>1</v>
      </c>
      <c r="T1893" s="15" t="str">
        <f aca="false">IF(J1893=1,"OFFLINE",IF(AND(Q1893&gt;=Inputs!$B$15,R1893=1,S1893=1,P1893&lt;=L1893),"PASS","FAIL"))</f>
        <v>PASS</v>
      </c>
    </row>
    <row r="1894" customFormat="false" ht="15" hidden="false" customHeight="false" outlineLevel="0" collapsed="false">
      <c r="A1894" s="14" t="s">
        <v>1036</v>
      </c>
      <c r="B1894" s="14" t="s">
        <v>1019</v>
      </c>
      <c r="C1894" s="14" t="s">
        <v>204</v>
      </c>
      <c r="D1894" s="14" t="s">
        <v>180</v>
      </c>
      <c r="E1894" s="14" t="s">
        <v>161</v>
      </c>
      <c r="F1894" s="14" t="s">
        <v>175</v>
      </c>
      <c r="G1894" s="14" t="n">
        <v>3</v>
      </c>
      <c r="H1894" s="14" t="s">
        <v>158</v>
      </c>
      <c r="I1894" s="14" t="s">
        <v>895</v>
      </c>
      <c r="J1894" s="15" t="n">
        <f aca="false">IF(B1894="SITE LOSS",IF(D1894=C1894,1,0),IF(B1894="REGION LOSS",IF(E1894=C1894,1,0),0))</f>
        <v>0</v>
      </c>
      <c r="K1894" s="15" t="n">
        <f aca="false">IF(B1894="SITE LOSS",IF(COUNTIFS('Site Dockets'!$B$7:$B$24,C1894,'Site Dockets'!$C$7:$C$24,F1894)&gt;0,1,0),IF(B1894="REGION LOSS",IF(COUNTIFS('Site Dockets'!$E$7:$E$24,C1894,'Site Dockets'!$C$7:$C$24,F1894)&gt;0,1,0),0))</f>
        <v>0</v>
      </c>
      <c r="L1894" s="15" t="n">
        <f aca="false">IF(J1894=1,0,Inputs!$B$11)</f>
        <v>100</v>
      </c>
      <c r="M1894" s="15" t="n">
        <f aca="false">IF(J1894=1,0,Inputs!$B$12)</f>
        <v>75</v>
      </c>
      <c r="N1894" s="15" t="n">
        <f aca="false">IF(J1894=1,0,IF(OR(AND(OR(B1894="SITE LOSS",B1894="REGION LOSS"),K1894=1),AND(B1894="ROLE COMPROMISE",H1894=C1894)),Inputs!$B$13,Inputs!$B$14))</f>
        <v>10</v>
      </c>
      <c r="O1894" s="15" t="n">
        <f aca="false">IF(J1894=1,0,Inputs!$B$13)</f>
        <v>20</v>
      </c>
      <c r="P1894" s="15" t="n">
        <f aca="false">SUM(M1894:N1894)</f>
        <v>85</v>
      </c>
      <c r="Q1894" s="15" t="n">
        <f aca="false">IF(J1894=1,"",L1894-P1894)</f>
        <v>15</v>
      </c>
      <c r="R1894" s="15" t="n">
        <f aca="false">IF(OR(J1894=1,M1894&lt;=Inputs!$B$12),1,0)</f>
        <v>1</v>
      </c>
      <c r="S1894" s="15" t="n">
        <f aca="false">IF(OR(J1894=1,N1894&lt;=O1894),1,0)</f>
        <v>1</v>
      </c>
      <c r="T1894" s="15" t="str">
        <f aca="false">IF(J1894=1,"OFFLINE",IF(AND(Q1894&gt;=Inputs!$B$15,R1894=1,S1894=1,P1894&lt;=L1894),"PASS","FAIL"))</f>
        <v>PASS</v>
      </c>
    </row>
    <row r="1895" customFormat="false" ht="15" hidden="false" customHeight="false" outlineLevel="0" collapsed="false">
      <c r="A1895" s="14" t="s">
        <v>1036</v>
      </c>
      <c r="B1895" s="14" t="s">
        <v>1019</v>
      </c>
      <c r="C1895" s="14" t="s">
        <v>204</v>
      </c>
      <c r="D1895" s="14" t="s">
        <v>180</v>
      </c>
      <c r="E1895" s="14" t="s">
        <v>161</v>
      </c>
      <c r="F1895" s="14" t="s">
        <v>175</v>
      </c>
      <c r="G1895" s="14" t="n">
        <v>3</v>
      </c>
      <c r="H1895" s="14" t="s">
        <v>158</v>
      </c>
      <c r="I1895" s="14" t="s">
        <v>897</v>
      </c>
      <c r="J1895" s="15" t="n">
        <f aca="false">IF(B1895="SITE LOSS",IF(D1895=C1895,1,0),IF(B1895="REGION LOSS",IF(E1895=C1895,1,0),0))</f>
        <v>0</v>
      </c>
      <c r="K1895" s="15" t="n">
        <f aca="false">IF(B1895="SITE LOSS",IF(COUNTIFS('Site Dockets'!$B$7:$B$24,C1895,'Site Dockets'!$C$7:$C$24,F1895)&gt;0,1,0),IF(B1895="REGION LOSS",IF(COUNTIFS('Site Dockets'!$E$7:$E$24,C1895,'Site Dockets'!$C$7:$C$24,F1895)&gt;0,1,0),0))</f>
        <v>0</v>
      </c>
      <c r="L1895" s="15" t="n">
        <f aca="false">IF(J1895=1,0,Inputs!$B$11)</f>
        <v>100</v>
      </c>
      <c r="M1895" s="15" t="n">
        <f aca="false">IF(J1895=1,0,Inputs!$B$12)</f>
        <v>75</v>
      </c>
      <c r="N1895" s="15" t="n">
        <f aca="false">IF(J1895=1,0,IF(OR(AND(OR(B1895="SITE LOSS",B1895="REGION LOSS"),K1895=1),AND(B1895="ROLE COMPROMISE",H1895=C1895)),Inputs!$B$13,Inputs!$B$14))</f>
        <v>10</v>
      </c>
      <c r="O1895" s="15" t="n">
        <f aca="false">IF(J1895=1,0,Inputs!$B$13)</f>
        <v>20</v>
      </c>
      <c r="P1895" s="15" t="n">
        <f aca="false">SUM(M1895:N1895)</f>
        <v>85</v>
      </c>
      <c r="Q1895" s="15" t="n">
        <f aca="false">IF(J1895=1,"",L1895-P1895)</f>
        <v>15</v>
      </c>
      <c r="R1895" s="15" t="n">
        <f aca="false">IF(OR(J1895=1,M1895&lt;=Inputs!$B$12),1,0)</f>
        <v>1</v>
      </c>
      <c r="S1895" s="15" t="n">
        <f aca="false">IF(OR(J1895=1,N1895&lt;=O1895),1,0)</f>
        <v>1</v>
      </c>
      <c r="T1895" s="15" t="str">
        <f aca="false">IF(J1895=1,"OFFLINE",IF(AND(Q1895&gt;=Inputs!$B$15,R1895=1,S1895=1,P1895&lt;=L1895),"PASS","FAIL"))</f>
        <v>PASS</v>
      </c>
    </row>
    <row r="1896" customFormat="false" ht="15" hidden="false" customHeight="false" outlineLevel="0" collapsed="false">
      <c r="A1896" s="14" t="s">
        <v>1036</v>
      </c>
      <c r="B1896" s="14" t="s">
        <v>1019</v>
      </c>
      <c r="C1896" s="14" t="s">
        <v>204</v>
      </c>
      <c r="D1896" s="14" t="s">
        <v>180</v>
      </c>
      <c r="E1896" s="14" t="s">
        <v>161</v>
      </c>
      <c r="F1896" s="14" t="s">
        <v>175</v>
      </c>
      <c r="G1896" s="14" t="n">
        <v>3</v>
      </c>
      <c r="H1896" s="14" t="s">
        <v>158</v>
      </c>
      <c r="I1896" s="14" t="s">
        <v>899</v>
      </c>
      <c r="J1896" s="15" t="n">
        <f aca="false">IF(B1896="SITE LOSS",IF(D1896=C1896,1,0),IF(B1896="REGION LOSS",IF(E1896=C1896,1,0),0))</f>
        <v>0</v>
      </c>
      <c r="K1896" s="15" t="n">
        <f aca="false">IF(B1896="SITE LOSS",IF(COUNTIFS('Site Dockets'!$B$7:$B$24,C1896,'Site Dockets'!$C$7:$C$24,F1896)&gt;0,1,0),IF(B1896="REGION LOSS",IF(COUNTIFS('Site Dockets'!$E$7:$E$24,C1896,'Site Dockets'!$C$7:$C$24,F1896)&gt;0,1,0),0))</f>
        <v>0</v>
      </c>
      <c r="L1896" s="15" t="n">
        <f aca="false">IF(J1896=1,0,Inputs!$B$11)</f>
        <v>100</v>
      </c>
      <c r="M1896" s="15" t="n">
        <f aca="false">IF(J1896=1,0,Inputs!$B$12)</f>
        <v>75</v>
      </c>
      <c r="N1896" s="15" t="n">
        <f aca="false">IF(J1896=1,0,IF(OR(AND(OR(B1896="SITE LOSS",B1896="REGION LOSS"),K1896=1),AND(B1896="ROLE COMPROMISE",H1896=C1896)),Inputs!$B$13,Inputs!$B$14))</f>
        <v>10</v>
      </c>
      <c r="O1896" s="15" t="n">
        <f aca="false">IF(J1896=1,0,Inputs!$B$13)</f>
        <v>20</v>
      </c>
      <c r="P1896" s="15" t="n">
        <f aca="false">SUM(M1896:N1896)</f>
        <v>85</v>
      </c>
      <c r="Q1896" s="15" t="n">
        <f aca="false">IF(J1896=1,"",L1896-P1896)</f>
        <v>15</v>
      </c>
      <c r="R1896" s="15" t="n">
        <f aca="false">IF(OR(J1896=1,M1896&lt;=Inputs!$B$12),1,0)</f>
        <v>1</v>
      </c>
      <c r="S1896" s="15" t="n">
        <f aca="false">IF(OR(J1896=1,N1896&lt;=O1896),1,0)</f>
        <v>1</v>
      </c>
      <c r="T1896" s="15" t="str">
        <f aca="false">IF(J1896=1,"OFFLINE",IF(AND(Q1896&gt;=Inputs!$B$15,R1896=1,S1896=1,P1896&lt;=L1896),"PASS","FAIL"))</f>
        <v>PASS</v>
      </c>
    </row>
    <row r="1897" customFormat="false" ht="15" hidden="false" customHeight="false" outlineLevel="0" collapsed="false">
      <c r="A1897" s="14" t="s">
        <v>1036</v>
      </c>
      <c r="B1897" s="14" t="s">
        <v>1019</v>
      </c>
      <c r="C1897" s="14" t="s">
        <v>204</v>
      </c>
      <c r="D1897" s="14" t="s">
        <v>182</v>
      </c>
      <c r="E1897" s="14" t="s">
        <v>166</v>
      </c>
      <c r="F1897" s="14" t="s">
        <v>183</v>
      </c>
      <c r="G1897" s="14" t="n">
        <v>1</v>
      </c>
      <c r="H1897" s="14" t="s">
        <v>154</v>
      </c>
      <c r="I1897" s="14" t="s">
        <v>890</v>
      </c>
      <c r="J1897" s="15" t="n">
        <f aca="false">IF(B1897="SITE LOSS",IF(D1897=C1897,1,0),IF(B1897="REGION LOSS",IF(E1897=C1897,1,0),0))</f>
        <v>0</v>
      </c>
      <c r="K1897" s="15" t="n">
        <f aca="false">IF(B1897="SITE LOSS",IF(COUNTIFS('Site Dockets'!$B$7:$B$24,C1897,'Site Dockets'!$C$7:$C$24,F1897)&gt;0,1,0),IF(B1897="REGION LOSS",IF(COUNTIFS('Site Dockets'!$E$7:$E$24,C1897,'Site Dockets'!$C$7:$C$24,F1897)&gt;0,1,0),0))</f>
        <v>0</v>
      </c>
      <c r="L1897" s="15" t="n">
        <f aca="false">IF(J1897=1,0,Inputs!$B$11)</f>
        <v>100</v>
      </c>
      <c r="M1897" s="15" t="n">
        <f aca="false">IF(J1897=1,0,Inputs!$B$12)</f>
        <v>75</v>
      </c>
      <c r="N1897" s="15" t="n">
        <f aca="false">IF(J1897=1,0,IF(OR(AND(OR(B1897="SITE LOSS",B1897="REGION LOSS"),K1897=1),AND(B1897="ROLE COMPROMISE",H1897=C1897)),Inputs!$B$13,Inputs!$B$14))</f>
        <v>10</v>
      </c>
      <c r="O1897" s="15" t="n">
        <f aca="false">IF(J1897=1,0,Inputs!$B$13)</f>
        <v>20</v>
      </c>
      <c r="P1897" s="15" t="n">
        <f aca="false">SUM(M1897:N1897)</f>
        <v>85</v>
      </c>
      <c r="Q1897" s="15" t="n">
        <f aca="false">IF(J1897=1,"",L1897-P1897)</f>
        <v>15</v>
      </c>
      <c r="R1897" s="15" t="n">
        <f aca="false">IF(OR(J1897=1,M1897&lt;=Inputs!$B$12),1,0)</f>
        <v>1</v>
      </c>
      <c r="S1897" s="15" t="n">
        <f aca="false">IF(OR(J1897=1,N1897&lt;=O1897),1,0)</f>
        <v>1</v>
      </c>
      <c r="T1897" s="15" t="str">
        <f aca="false">IF(J1897=1,"OFFLINE",IF(AND(Q1897&gt;=Inputs!$B$15,R1897=1,S1897=1,P1897&lt;=L1897),"PASS","FAIL"))</f>
        <v>PASS</v>
      </c>
    </row>
    <row r="1898" customFormat="false" ht="15" hidden="false" customHeight="false" outlineLevel="0" collapsed="false">
      <c r="A1898" s="14" t="s">
        <v>1036</v>
      </c>
      <c r="B1898" s="14" t="s">
        <v>1019</v>
      </c>
      <c r="C1898" s="14" t="s">
        <v>204</v>
      </c>
      <c r="D1898" s="14" t="s">
        <v>182</v>
      </c>
      <c r="E1898" s="14" t="s">
        <v>166</v>
      </c>
      <c r="F1898" s="14" t="s">
        <v>183</v>
      </c>
      <c r="G1898" s="14" t="n">
        <v>1</v>
      </c>
      <c r="H1898" s="14" t="s">
        <v>154</v>
      </c>
      <c r="I1898" s="14" t="s">
        <v>892</v>
      </c>
      <c r="J1898" s="15" t="n">
        <f aca="false">IF(B1898="SITE LOSS",IF(D1898=C1898,1,0),IF(B1898="REGION LOSS",IF(E1898=C1898,1,0),0))</f>
        <v>0</v>
      </c>
      <c r="K1898" s="15" t="n">
        <f aca="false">IF(B1898="SITE LOSS",IF(COUNTIFS('Site Dockets'!$B$7:$B$24,C1898,'Site Dockets'!$C$7:$C$24,F1898)&gt;0,1,0),IF(B1898="REGION LOSS",IF(COUNTIFS('Site Dockets'!$E$7:$E$24,C1898,'Site Dockets'!$C$7:$C$24,F1898)&gt;0,1,0),0))</f>
        <v>0</v>
      </c>
      <c r="L1898" s="15" t="n">
        <f aca="false">IF(J1898=1,0,Inputs!$B$11)</f>
        <v>100</v>
      </c>
      <c r="M1898" s="15" t="n">
        <f aca="false">IF(J1898=1,0,Inputs!$B$12)</f>
        <v>75</v>
      </c>
      <c r="N1898" s="15" t="n">
        <f aca="false">IF(J1898=1,0,IF(OR(AND(OR(B1898="SITE LOSS",B1898="REGION LOSS"),K1898=1),AND(B1898="ROLE COMPROMISE",H1898=C1898)),Inputs!$B$13,Inputs!$B$14))</f>
        <v>10</v>
      </c>
      <c r="O1898" s="15" t="n">
        <f aca="false">IF(J1898=1,0,Inputs!$B$13)</f>
        <v>20</v>
      </c>
      <c r="P1898" s="15" t="n">
        <f aca="false">SUM(M1898:N1898)</f>
        <v>85</v>
      </c>
      <c r="Q1898" s="15" t="n">
        <f aca="false">IF(J1898=1,"",L1898-P1898)</f>
        <v>15</v>
      </c>
      <c r="R1898" s="15" t="n">
        <f aca="false">IF(OR(J1898=1,M1898&lt;=Inputs!$B$12),1,0)</f>
        <v>1</v>
      </c>
      <c r="S1898" s="15" t="n">
        <f aca="false">IF(OR(J1898=1,N1898&lt;=O1898),1,0)</f>
        <v>1</v>
      </c>
      <c r="T1898" s="15" t="str">
        <f aca="false">IF(J1898=1,"OFFLINE",IF(AND(Q1898&gt;=Inputs!$B$15,R1898=1,S1898=1,P1898&lt;=L1898),"PASS","FAIL"))</f>
        <v>PASS</v>
      </c>
    </row>
    <row r="1899" customFormat="false" ht="15" hidden="false" customHeight="false" outlineLevel="0" collapsed="false">
      <c r="A1899" s="14" t="s">
        <v>1036</v>
      </c>
      <c r="B1899" s="14" t="s">
        <v>1019</v>
      </c>
      <c r="C1899" s="14" t="s">
        <v>204</v>
      </c>
      <c r="D1899" s="14" t="s">
        <v>182</v>
      </c>
      <c r="E1899" s="14" t="s">
        <v>166</v>
      </c>
      <c r="F1899" s="14" t="s">
        <v>183</v>
      </c>
      <c r="G1899" s="14" t="n">
        <v>1</v>
      </c>
      <c r="H1899" s="14" t="s">
        <v>154</v>
      </c>
      <c r="I1899" s="14" t="s">
        <v>811</v>
      </c>
      <c r="J1899" s="15" t="n">
        <f aca="false">IF(B1899="SITE LOSS",IF(D1899=C1899,1,0),IF(B1899="REGION LOSS",IF(E1899=C1899,1,0),0))</f>
        <v>0</v>
      </c>
      <c r="K1899" s="15" t="n">
        <f aca="false">IF(B1899="SITE LOSS",IF(COUNTIFS('Site Dockets'!$B$7:$B$24,C1899,'Site Dockets'!$C$7:$C$24,F1899)&gt;0,1,0),IF(B1899="REGION LOSS",IF(COUNTIFS('Site Dockets'!$E$7:$E$24,C1899,'Site Dockets'!$C$7:$C$24,F1899)&gt;0,1,0),0))</f>
        <v>0</v>
      </c>
      <c r="L1899" s="15" t="n">
        <f aca="false">IF(J1899=1,0,Inputs!$B$11)</f>
        <v>100</v>
      </c>
      <c r="M1899" s="15" t="n">
        <f aca="false">IF(J1899=1,0,Inputs!$B$12)</f>
        <v>75</v>
      </c>
      <c r="N1899" s="15" t="n">
        <f aca="false">IF(J1899=1,0,IF(OR(AND(OR(B1899="SITE LOSS",B1899="REGION LOSS"),K1899=1),AND(B1899="ROLE COMPROMISE",H1899=C1899)),Inputs!$B$13,Inputs!$B$14))</f>
        <v>10</v>
      </c>
      <c r="O1899" s="15" t="n">
        <f aca="false">IF(J1899=1,0,Inputs!$B$13)</f>
        <v>20</v>
      </c>
      <c r="P1899" s="15" t="n">
        <f aca="false">SUM(M1899:N1899)</f>
        <v>85</v>
      </c>
      <c r="Q1899" s="15" t="n">
        <f aca="false">IF(J1899=1,"",L1899-P1899)</f>
        <v>15</v>
      </c>
      <c r="R1899" s="15" t="n">
        <f aca="false">IF(OR(J1899=1,M1899&lt;=Inputs!$B$12),1,0)</f>
        <v>1</v>
      </c>
      <c r="S1899" s="15" t="n">
        <f aca="false">IF(OR(J1899=1,N1899&lt;=O1899),1,0)</f>
        <v>1</v>
      </c>
      <c r="T1899" s="15" t="str">
        <f aca="false">IF(J1899=1,"OFFLINE",IF(AND(Q1899&gt;=Inputs!$B$15,R1899=1,S1899=1,P1899&lt;=L1899),"PASS","FAIL"))</f>
        <v>PASS</v>
      </c>
    </row>
    <row r="1900" customFormat="false" ht="15" hidden="false" customHeight="false" outlineLevel="0" collapsed="false">
      <c r="A1900" s="14" t="s">
        <v>1036</v>
      </c>
      <c r="B1900" s="14" t="s">
        <v>1019</v>
      </c>
      <c r="C1900" s="14" t="s">
        <v>204</v>
      </c>
      <c r="D1900" s="14" t="s">
        <v>182</v>
      </c>
      <c r="E1900" s="14" t="s">
        <v>166</v>
      </c>
      <c r="F1900" s="14" t="s">
        <v>183</v>
      </c>
      <c r="G1900" s="14" t="n">
        <v>1</v>
      </c>
      <c r="H1900" s="14" t="s">
        <v>154</v>
      </c>
      <c r="I1900" s="14" t="s">
        <v>895</v>
      </c>
      <c r="J1900" s="15" t="n">
        <f aca="false">IF(B1900="SITE LOSS",IF(D1900=C1900,1,0),IF(B1900="REGION LOSS",IF(E1900=C1900,1,0),0))</f>
        <v>0</v>
      </c>
      <c r="K1900" s="15" t="n">
        <f aca="false">IF(B1900="SITE LOSS",IF(COUNTIFS('Site Dockets'!$B$7:$B$24,C1900,'Site Dockets'!$C$7:$C$24,F1900)&gt;0,1,0),IF(B1900="REGION LOSS",IF(COUNTIFS('Site Dockets'!$E$7:$E$24,C1900,'Site Dockets'!$C$7:$C$24,F1900)&gt;0,1,0),0))</f>
        <v>0</v>
      </c>
      <c r="L1900" s="15" t="n">
        <f aca="false">IF(J1900=1,0,Inputs!$B$11)</f>
        <v>100</v>
      </c>
      <c r="M1900" s="15" t="n">
        <f aca="false">IF(J1900=1,0,Inputs!$B$12)</f>
        <v>75</v>
      </c>
      <c r="N1900" s="15" t="n">
        <f aca="false">IF(J1900=1,0,IF(OR(AND(OR(B1900="SITE LOSS",B1900="REGION LOSS"),K1900=1),AND(B1900="ROLE COMPROMISE",H1900=C1900)),Inputs!$B$13,Inputs!$B$14))</f>
        <v>10</v>
      </c>
      <c r="O1900" s="15" t="n">
        <f aca="false">IF(J1900=1,0,Inputs!$B$13)</f>
        <v>20</v>
      </c>
      <c r="P1900" s="15" t="n">
        <f aca="false">SUM(M1900:N1900)</f>
        <v>85</v>
      </c>
      <c r="Q1900" s="15" t="n">
        <f aca="false">IF(J1900=1,"",L1900-P1900)</f>
        <v>15</v>
      </c>
      <c r="R1900" s="15" t="n">
        <f aca="false">IF(OR(J1900=1,M1900&lt;=Inputs!$B$12),1,0)</f>
        <v>1</v>
      </c>
      <c r="S1900" s="15" t="n">
        <f aca="false">IF(OR(J1900=1,N1900&lt;=O1900),1,0)</f>
        <v>1</v>
      </c>
      <c r="T1900" s="15" t="str">
        <f aca="false">IF(J1900=1,"OFFLINE",IF(AND(Q1900&gt;=Inputs!$B$15,R1900=1,S1900=1,P1900&lt;=L1900),"PASS","FAIL"))</f>
        <v>PASS</v>
      </c>
    </row>
    <row r="1901" customFormat="false" ht="15" hidden="false" customHeight="false" outlineLevel="0" collapsed="false">
      <c r="A1901" s="14" t="s">
        <v>1036</v>
      </c>
      <c r="B1901" s="14" t="s">
        <v>1019</v>
      </c>
      <c r="C1901" s="14" t="s">
        <v>204</v>
      </c>
      <c r="D1901" s="14" t="s">
        <v>182</v>
      </c>
      <c r="E1901" s="14" t="s">
        <v>166</v>
      </c>
      <c r="F1901" s="14" t="s">
        <v>183</v>
      </c>
      <c r="G1901" s="14" t="n">
        <v>1</v>
      </c>
      <c r="H1901" s="14" t="s">
        <v>154</v>
      </c>
      <c r="I1901" s="14" t="s">
        <v>897</v>
      </c>
      <c r="J1901" s="15" t="n">
        <f aca="false">IF(B1901="SITE LOSS",IF(D1901=C1901,1,0),IF(B1901="REGION LOSS",IF(E1901=C1901,1,0),0))</f>
        <v>0</v>
      </c>
      <c r="K1901" s="15" t="n">
        <f aca="false">IF(B1901="SITE LOSS",IF(COUNTIFS('Site Dockets'!$B$7:$B$24,C1901,'Site Dockets'!$C$7:$C$24,F1901)&gt;0,1,0),IF(B1901="REGION LOSS",IF(COUNTIFS('Site Dockets'!$E$7:$E$24,C1901,'Site Dockets'!$C$7:$C$24,F1901)&gt;0,1,0),0))</f>
        <v>0</v>
      </c>
      <c r="L1901" s="15" t="n">
        <f aca="false">IF(J1901=1,0,Inputs!$B$11)</f>
        <v>100</v>
      </c>
      <c r="M1901" s="15" t="n">
        <f aca="false">IF(J1901=1,0,Inputs!$B$12)</f>
        <v>75</v>
      </c>
      <c r="N1901" s="15" t="n">
        <f aca="false">IF(J1901=1,0,IF(OR(AND(OR(B1901="SITE LOSS",B1901="REGION LOSS"),K1901=1),AND(B1901="ROLE COMPROMISE",H1901=C1901)),Inputs!$B$13,Inputs!$B$14))</f>
        <v>10</v>
      </c>
      <c r="O1901" s="15" t="n">
        <f aca="false">IF(J1901=1,0,Inputs!$B$13)</f>
        <v>20</v>
      </c>
      <c r="P1901" s="15" t="n">
        <f aca="false">SUM(M1901:N1901)</f>
        <v>85</v>
      </c>
      <c r="Q1901" s="15" t="n">
        <f aca="false">IF(J1901=1,"",L1901-P1901)</f>
        <v>15</v>
      </c>
      <c r="R1901" s="15" t="n">
        <f aca="false">IF(OR(J1901=1,M1901&lt;=Inputs!$B$12),1,0)</f>
        <v>1</v>
      </c>
      <c r="S1901" s="15" t="n">
        <f aca="false">IF(OR(J1901=1,N1901&lt;=O1901),1,0)</f>
        <v>1</v>
      </c>
      <c r="T1901" s="15" t="str">
        <f aca="false">IF(J1901=1,"OFFLINE",IF(AND(Q1901&gt;=Inputs!$B$15,R1901=1,S1901=1,P1901&lt;=L1901),"PASS","FAIL"))</f>
        <v>PASS</v>
      </c>
    </row>
    <row r="1902" customFormat="false" ht="15" hidden="false" customHeight="false" outlineLevel="0" collapsed="false">
      <c r="A1902" s="14" t="s">
        <v>1036</v>
      </c>
      <c r="B1902" s="14" t="s">
        <v>1019</v>
      </c>
      <c r="C1902" s="14" t="s">
        <v>204</v>
      </c>
      <c r="D1902" s="14" t="s">
        <v>182</v>
      </c>
      <c r="E1902" s="14" t="s">
        <v>166</v>
      </c>
      <c r="F1902" s="14" t="s">
        <v>183</v>
      </c>
      <c r="G1902" s="14" t="n">
        <v>1</v>
      </c>
      <c r="H1902" s="14" t="s">
        <v>154</v>
      </c>
      <c r="I1902" s="14" t="s">
        <v>899</v>
      </c>
      <c r="J1902" s="15" t="n">
        <f aca="false">IF(B1902="SITE LOSS",IF(D1902=C1902,1,0),IF(B1902="REGION LOSS",IF(E1902=C1902,1,0),0))</f>
        <v>0</v>
      </c>
      <c r="K1902" s="15" t="n">
        <f aca="false">IF(B1902="SITE LOSS",IF(COUNTIFS('Site Dockets'!$B$7:$B$24,C1902,'Site Dockets'!$C$7:$C$24,F1902)&gt;0,1,0),IF(B1902="REGION LOSS",IF(COUNTIFS('Site Dockets'!$E$7:$E$24,C1902,'Site Dockets'!$C$7:$C$24,F1902)&gt;0,1,0),0))</f>
        <v>0</v>
      </c>
      <c r="L1902" s="15" t="n">
        <f aca="false">IF(J1902=1,0,Inputs!$B$11)</f>
        <v>100</v>
      </c>
      <c r="M1902" s="15" t="n">
        <f aca="false">IF(J1902=1,0,Inputs!$B$12)</f>
        <v>75</v>
      </c>
      <c r="N1902" s="15" t="n">
        <f aca="false">IF(J1902=1,0,IF(OR(AND(OR(B1902="SITE LOSS",B1902="REGION LOSS"),K1902=1),AND(B1902="ROLE COMPROMISE",H1902=C1902)),Inputs!$B$13,Inputs!$B$14))</f>
        <v>10</v>
      </c>
      <c r="O1902" s="15" t="n">
        <f aca="false">IF(J1902=1,0,Inputs!$B$13)</f>
        <v>20</v>
      </c>
      <c r="P1902" s="15" t="n">
        <f aca="false">SUM(M1902:N1902)</f>
        <v>85</v>
      </c>
      <c r="Q1902" s="15" t="n">
        <f aca="false">IF(J1902=1,"",L1902-P1902)</f>
        <v>15</v>
      </c>
      <c r="R1902" s="15" t="n">
        <f aca="false">IF(OR(J1902=1,M1902&lt;=Inputs!$B$12),1,0)</f>
        <v>1</v>
      </c>
      <c r="S1902" s="15" t="n">
        <f aca="false">IF(OR(J1902=1,N1902&lt;=O1902),1,0)</f>
        <v>1</v>
      </c>
      <c r="T1902" s="15" t="str">
        <f aca="false">IF(J1902=1,"OFFLINE",IF(AND(Q1902&gt;=Inputs!$B$15,R1902=1,S1902=1,P1902&lt;=L1902),"PASS","FAIL"))</f>
        <v>PASS</v>
      </c>
    </row>
    <row r="1903" customFormat="false" ht="15" hidden="false" customHeight="false" outlineLevel="0" collapsed="false">
      <c r="A1903" s="14" t="s">
        <v>1036</v>
      </c>
      <c r="B1903" s="14" t="s">
        <v>1019</v>
      </c>
      <c r="C1903" s="14" t="s">
        <v>204</v>
      </c>
      <c r="D1903" s="14" t="s">
        <v>186</v>
      </c>
      <c r="E1903" s="14" t="s">
        <v>157</v>
      </c>
      <c r="F1903" s="14" t="s">
        <v>183</v>
      </c>
      <c r="G1903" s="14" t="n">
        <v>2</v>
      </c>
      <c r="H1903" s="14" t="s">
        <v>153</v>
      </c>
      <c r="I1903" s="14" t="s">
        <v>890</v>
      </c>
      <c r="J1903" s="15" t="n">
        <f aca="false">IF(B1903="SITE LOSS",IF(D1903=C1903,1,0),IF(B1903="REGION LOSS",IF(E1903=C1903,1,0),0))</f>
        <v>0</v>
      </c>
      <c r="K1903" s="15" t="n">
        <f aca="false">IF(B1903="SITE LOSS",IF(COUNTIFS('Site Dockets'!$B$7:$B$24,C1903,'Site Dockets'!$C$7:$C$24,F1903)&gt;0,1,0),IF(B1903="REGION LOSS",IF(COUNTIFS('Site Dockets'!$E$7:$E$24,C1903,'Site Dockets'!$C$7:$C$24,F1903)&gt;0,1,0),0))</f>
        <v>0</v>
      </c>
      <c r="L1903" s="15" t="n">
        <f aca="false">IF(J1903=1,0,Inputs!$B$11)</f>
        <v>100</v>
      </c>
      <c r="M1903" s="15" t="n">
        <f aca="false">IF(J1903=1,0,Inputs!$B$12)</f>
        <v>75</v>
      </c>
      <c r="N1903" s="15" t="n">
        <f aca="false">IF(J1903=1,0,IF(OR(AND(OR(B1903="SITE LOSS",B1903="REGION LOSS"),K1903=1),AND(B1903="ROLE COMPROMISE",H1903=C1903)),Inputs!$B$13,Inputs!$B$14))</f>
        <v>10</v>
      </c>
      <c r="O1903" s="15" t="n">
        <f aca="false">IF(J1903=1,0,Inputs!$B$13)</f>
        <v>20</v>
      </c>
      <c r="P1903" s="15" t="n">
        <f aca="false">SUM(M1903:N1903)</f>
        <v>85</v>
      </c>
      <c r="Q1903" s="15" t="n">
        <f aca="false">IF(J1903=1,"",L1903-P1903)</f>
        <v>15</v>
      </c>
      <c r="R1903" s="15" t="n">
        <f aca="false">IF(OR(J1903=1,M1903&lt;=Inputs!$B$12),1,0)</f>
        <v>1</v>
      </c>
      <c r="S1903" s="15" t="n">
        <f aca="false">IF(OR(J1903=1,N1903&lt;=O1903),1,0)</f>
        <v>1</v>
      </c>
      <c r="T1903" s="15" t="str">
        <f aca="false">IF(J1903=1,"OFFLINE",IF(AND(Q1903&gt;=Inputs!$B$15,R1903=1,S1903=1,P1903&lt;=L1903),"PASS","FAIL"))</f>
        <v>PASS</v>
      </c>
    </row>
    <row r="1904" customFormat="false" ht="15" hidden="false" customHeight="false" outlineLevel="0" collapsed="false">
      <c r="A1904" s="14" t="s">
        <v>1036</v>
      </c>
      <c r="B1904" s="14" t="s">
        <v>1019</v>
      </c>
      <c r="C1904" s="14" t="s">
        <v>204</v>
      </c>
      <c r="D1904" s="14" t="s">
        <v>186</v>
      </c>
      <c r="E1904" s="14" t="s">
        <v>157</v>
      </c>
      <c r="F1904" s="14" t="s">
        <v>183</v>
      </c>
      <c r="G1904" s="14" t="n">
        <v>2</v>
      </c>
      <c r="H1904" s="14" t="s">
        <v>153</v>
      </c>
      <c r="I1904" s="14" t="s">
        <v>892</v>
      </c>
      <c r="J1904" s="15" t="n">
        <f aca="false">IF(B1904="SITE LOSS",IF(D1904=C1904,1,0),IF(B1904="REGION LOSS",IF(E1904=C1904,1,0),0))</f>
        <v>0</v>
      </c>
      <c r="K1904" s="15" t="n">
        <f aca="false">IF(B1904="SITE LOSS",IF(COUNTIFS('Site Dockets'!$B$7:$B$24,C1904,'Site Dockets'!$C$7:$C$24,F1904)&gt;0,1,0),IF(B1904="REGION LOSS",IF(COUNTIFS('Site Dockets'!$E$7:$E$24,C1904,'Site Dockets'!$C$7:$C$24,F1904)&gt;0,1,0),0))</f>
        <v>0</v>
      </c>
      <c r="L1904" s="15" t="n">
        <f aca="false">IF(J1904=1,0,Inputs!$B$11)</f>
        <v>100</v>
      </c>
      <c r="M1904" s="15" t="n">
        <f aca="false">IF(J1904=1,0,Inputs!$B$12)</f>
        <v>75</v>
      </c>
      <c r="N1904" s="15" t="n">
        <f aca="false">IF(J1904=1,0,IF(OR(AND(OR(B1904="SITE LOSS",B1904="REGION LOSS"),K1904=1),AND(B1904="ROLE COMPROMISE",H1904=C1904)),Inputs!$B$13,Inputs!$B$14))</f>
        <v>10</v>
      </c>
      <c r="O1904" s="15" t="n">
        <f aca="false">IF(J1904=1,0,Inputs!$B$13)</f>
        <v>20</v>
      </c>
      <c r="P1904" s="15" t="n">
        <f aca="false">SUM(M1904:N1904)</f>
        <v>85</v>
      </c>
      <c r="Q1904" s="15" t="n">
        <f aca="false">IF(J1904=1,"",L1904-P1904)</f>
        <v>15</v>
      </c>
      <c r="R1904" s="15" t="n">
        <f aca="false">IF(OR(J1904=1,M1904&lt;=Inputs!$B$12),1,0)</f>
        <v>1</v>
      </c>
      <c r="S1904" s="15" t="n">
        <f aca="false">IF(OR(J1904=1,N1904&lt;=O1904),1,0)</f>
        <v>1</v>
      </c>
      <c r="T1904" s="15" t="str">
        <f aca="false">IF(J1904=1,"OFFLINE",IF(AND(Q1904&gt;=Inputs!$B$15,R1904=1,S1904=1,P1904&lt;=L1904),"PASS","FAIL"))</f>
        <v>PASS</v>
      </c>
    </row>
    <row r="1905" customFormat="false" ht="15" hidden="false" customHeight="false" outlineLevel="0" collapsed="false">
      <c r="A1905" s="14" t="s">
        <v>1036</v>
      </c>
      <c r="B1905" s="14" t="s">
        <v>1019</v>
      </c>
      <c r="C1905" s="14" t="s">
        <v>204</v>
      </c>
      <c r="D1905" s="14" t="s">
        <v>186</v>
      </c>
      <c r="E1905" s="14" t="s">
        <v>157</v>
      </c>
      <c r="F1905" s="14" t="s">
        <v>183</v>
      </c>
      <c r="G1905" s="14" t="n">
        <v>2</v>
      </c>
      <c r="H1905" s="14" t="s">
        <v>153</v>
      </c>
      <c r="I1905" s="14" t="s">
        <v>811</v>
      </c>
      <c r="J1905" s="15" t="n">
        <f aca="false">IF(B1905="SITE LOSS",IF(D1905=C1905,1,0),IF(B1905="REGION LOSS",IF(E1905=C1905,1,0),0))</f>
        <v>0</v>
      </c>
      <c r="K1905" s="15" t="n">
        <f aca="false">IF(B1905="SITE LOSS",IF(COUNTIFS('Site Dockets'!$B$7:$B$24,C1905,'Site Dockets'!$C$7:$C$24,F1905)&gt;0,1,0),IF(B1905="REGION LOSS",IF(COUNTIFS('Site Dockets'!$E$7:$E$24,C1905,'Site Dockets'!$C$7:$C$24,F1905)&gt;0,1,0),0))</f>
        <v>0</v>
      </c>
      <c r="L1905" s="15" t="n">
        <f aca="false">IF(J1905=1,0,Inputs!$B$11)</f>
        <v>100</v>
      </c>
      <c r="M1905" s="15" t="n">
        <f aca="false">IF(J1905=1,0,Inputs!$B$12)</f>
        <v>75</v>
      </c>
      <c r="N1905" s="15" t="n">
        <f aca="false">IF(J1905=1,0,IF(OR(AND(OR(B1905="SITE LOSS",B1905="REGION LOSS"),K1905=1),AND(B1905="ROLE COMPROMISE",H1905=C1905)),Inputs!$B$13,Inputs!$B$14))</f>
        <v>10</v>
      </c>
      <c r="O1905" s="15" t="n">
        <f aca="false">IF(J1905=1,0,Inputs!$B$13)</f>
        <v>20</v>
      </c>
      <c r="P1905" s="15" t="n">
        <f aca="false">SUM(M1905:N1905)</f>
        <v>85</v>
      </c>
      <c r="Q1905" s="15" t="n">
        <f aca="false">IF(J1905=1,"",L1905-P1905)</f>
        <v>15</v>
      </c>
      <c r="R1905" s="15" t="n">
        <f aca="false">IF(OR(J1905=1,M1905&lt;=Inputs!$B$12),1,0)</f>
        <v>1</v>
      </c>
      <c r="S1905" s="15" t="n">
        <f aca="false">IF(OR(J1905=1,N1905&lt;=O1905),1,0)</f>
        <v>1</v>
      </c>
      <c r="T1905" s="15" t="str">
        <f aca="false">IF(J1905=1,"OFFLINE",IF(AND(Q1905&gt;=Inputs!$B$15,R1905=1,S1905=1,P1905&lt;=L1905),"PASS","FAIL"))</f>
        <v>PASS</v>
      </c>
    </row>
    <row r="1906" customFormat="false" ht="15" hidden="false" customHeight="false" outlineLevel="0" collapsed="false">
      <c r="A1906" s="14" t="s">
        <v>1036</v>
      </c>
      <c r="B1906" s="14" t="s">
        <v>1019</v>
      </c>
      <c r="C1906" s="14" t="s">
        <v>204</v>
      </c>
      <c r="D1906" s="14" t="s">
        <v>186</v>
      </c>
      <c r="E1906" s="14" t="s">
        <v>157</v>
      </c>
      <c r="F1906" s="14" t="s">
        <v>183</v>
      </c>
      <c r="G1906" s="14" t="n">
        <v>2</v>
      </c>
      <c r="H1906" s="14" t="s">
        <v>153</v>
      </c>
      <c r="I1906" s="14" t="s">
        <v>895</v>
      </c>
      <c r="J1906" s="15" t="n">
        <f aca="false">IF(B1906="SITE LOSS",IF(D1906=C1906,1,0),IF(B1906="REGION LOSS",IF(E1906=C1906,1,0),0))</f>
        <v>0</v>
      </c>
      <c r="K1906" s="15" t="n">
        <f aca="false">IF(B1906="SITE LOSS",IF(COUNTIFS('Site Dockets'!$B$7:$B$24,C1906,'Site Dockets'!$C$7:$C$24,F1906)&gt;0,1,0),IF(B1906="REGION LOSS",IF(COUNTIFS('Site Dockets'!$E$7:$E$24,C1906,'Site Dockets'!$C$7:$C$24,F1906)&gt;0,1,0),0))</f>
        <v>0</v>
      </c>
      <c r="L1906" s="15" t="n">
        <f aca="false">IF(J1906=1,0,Inputs!$B$11)</f>
        <v>100</v>
      </c>
      <c r="M1906" s="15" t="n">
        <f aca="false">IF(J1906=1,0,Inputs!$B$12)</f>
        <v>75</v>
      </c>
      <c r="N1906" s="15" t="n">
        <f aca="false">IF(J1906=1,0,IF(OR(AND(OR(B1906="SITE LOSS",B1906="REGION LOSS"),K1906=1),AND(B1906="ROLE COMPROMISE",H1906=C1906)),Inputs!$B$13,Inputs!$B$14))</f>
        <v>10</v>
      </c>
      <c r="O1906" s="15" t="n">
        <f aca="false">IF(J1906=1,0,Inputs!$B$13)</f>
        <v>20</v>
      </c>
      <c r="P1906" s="15" t="n">
        <f aca="false">SUM(M1906:N1906)</f>
        <v>85</v>
      </c>
      <c r="Q1906" s="15" t="n">
        <f aca="false">IF(J1906=1,"",L1906-P1906)</f>
        <v>15</v>
      </c>
      <c r="R1906" s="15" t="n">
        <f aca="false">IF(OR(J1906=1,M1906&lt;=Inputs!$B$12),1,0)</f>
        <v>1</v>
      </c>
      <c r="S1906" s="15" t="n">
        <f aca="false">IF(OR(J1906=1,N1906&lt;=O1906),1,0)</f>
        <v>1</v>
      </c>
      <c r="T1906" s="15" t="str">
        <f aca="false">IF(J1906=1,"OFFLINE",IF(AND(Q1906&gt;=Inputs!$B$15,R1906=1,S1906=1,P1906&lt;=L1906),"PASS","FAIL"))</f>
        <v>PASS</v>
      </c>
    </row>
    <row r="1907" customFormat="false" ht="15" hidden="false" customHeight="false" outlineLevel="0" collapsed="false">
      <c r="A1907" s="14" t="s">
        <v>1036</v>
      </c>
      <c r="B1907" s="14" t="s">
        <v>1019</v>
      </c>
      <c r="C1907" s="14" t="s">
        <v>204</v>
      </c>
      <c r="D1907" s="14" t="s">
        <v>186</v>
      </c>
      <c r="E1907" s="14" t="s">
        <v>157</v>
      </c>
      <c r="F1907" s="14" t="s">
        <v>183</v>
      </c>
      <c r="G1907" s="14" t="n">
        <v>2</v>
      </c>
      <c r="H1907" s="14" t="s">
        <v>153</v>
      </c>
      <c r="I1907" s="14" t="s">
        <v>897</v>
      </c>
      <c r="J1907" s="15" t="n">
        <f aca="false">IF(B1907="SITE LOSS",IF(D1907=C1907,1,0),IF(B1907="REGION LOSS",IF(E1907=C1907,1,0),0))</f>
        <v>0</v>
      </c>
      <c r="K1907" s="15" t="n">
        <f aca="false">IF(B1907="SITE LOSS",IF(COUNTIFS('Site Dockets'!$B$7:$B$24,C1907,'Site Dockets'!$C$7:$C$24,F1907)&gt;0,1,0),IF(B1907="REGION LOSS",IF(COUNTIFS('Site Dockets'!$E$7:$E$24,C1907,'Site Dockets'!$C$7:$C$24,F1907)&gt;0,1,0),0))</f>
        <v>0</v>
      </c>
      <c r="L1907" s="15" t="n">
        <f aca="false">IF(J1907=1,0,Inputs!$B$11)</f>
        <v>100</v>
      </c>
      <c r="M1907" s="15" t="n">
        <f aca="false">IF(J1907=1,0,Inputs!$B$12)</f>
        <v>75</v>
      </c>
      <c r="N1907" s="15" t="n">
        <f aca="false">IF(J1907=1,0,IF(OR(AND(OR(B1907="SITE LOSS",B1907="REGION LOSS"),K1907=1),AND(B1907="ROLE COMPROMISE",H1907=C1907)),Inputs!$B$13,Inputs!$B$14))</f>
        <v>10</v>
      </c>
      <c r="O1907" s="15" t="n">
        <f aca="false">IF(J1907=1,0,Inputs!$B$13)</f>
        <v>20</v>
      </c>
      <c r="P1907" s="15" t="n">
        <f aca="false">SUM(M1907:N1907)</f>
        <v>85</v>
      </c>
      <c r="Q1907" s="15" t="n">
        <f aca="false">IF(J1907=1,"",L1907-P1907)</f>
        <v>15</v>
      </c>
      <c r="R1907" s="15" t="n">
        <f aca="false">IF(OR(J1907=1,M1907&lt;=Inputs!$B$12),1,0)</f>
        <v>1</v>
      </c>
      <c r="S1907" s="15" t="n">
        <f aca="false">IF(OR(J1907=1,N1907&lt;=O1907),1,0)</f>
        <v>1</v>
      </c>
      <c r="T1907" s="15" t="str">
        <f aca="false">IF(J1907=1,"OFFLINE",IF(AND(Q1907&gt;=Inputs!$B$15,R1907=1,S1907=1,P1907&lt;=L1907),"PASS","FAIL"))</f>
        <v>PASS</v>
      </c>
    </row>
    <row r="1908" customFormat="false" ht="15" hidden="false" customHeight="false" outlineLevel="0" collapsed="false">
      <c r="A1908" s="14" t="s">
        <v>1036</v>
      </c>
      <c r="B1908" s="14" t="s">
        <v>1019</v>
      </c>
      <c r="C1908" s="14" t="s">
        <v>204</v>
      </c>
      <c r="D1908" s="14" t="s">
        <v>186</v>
      </c>
      <c r="E1908" s="14" t="s">
        <v>157</v>
      </c>
      <c r="F1908" s="14" t="s">
        <v>183</v>
      </c>
      <c r="G1908" s="14" t="n">
        <v>2</v>
      </c>
      <c r="H1908" s="14" t="s">
        <v>153</v>
      </c>
      <c r="I1908" s="14" t="s">
        <v>899</v>
      </c>
      <c r="J1908" s="15" t="n">
        <f aca="false">IF(B1908="SITE LOSS",IF(D1908=C1908,1,0),IF(B1908="REGION LOSS",IF(E1908=C1908,1,0),0))</f>
        <v>0</v>
      </c>
      <c r="K1908" s="15" t="n">
        <f aca="false">IF(B1908="SITE LOSS",IF(COUNTIFS('Site Dockets'!$B$7:$B$24,C1908,'Site Dockets'!$C$7:$C$24,F1908)&gt;0,1,0),IF(B1908="REGION LOSS",IF(COUNTIFS('Site Dockets'!$E$7:$E$24,C1908,'Site Dockets'!$C$7:$C$24,F1908)&gt;0,1,0),0))</f>
        <v>0</v>
      </c>
      <c r="L1908" s="15" t="n">
        <f aca="false">IF(J1908=1,0,Inputs!$B$11)</f>
        <v>100</v>
      </c>
      <c r="M1908" s="15" t="n">
        <f aca="false">IF(J1908=1,0,Inputs!$B$12)</f>
        <v>75</v>
      </c>
      <c r="N1908" s="15" t="n">
        <f aca="false">IF(J1908=1,0,IF(OR(AND(OR(B1908="SITE LOSS",B1908="REGION LOSS"),K1908=1),AND(B1908="ROLE COMPROMISE",H1908=C1908)),Inputs!$B$13,Inputs!$B$14))</f>
        <v>10</v>
      </c>
      <c r="O1908" s="15" t="n">
        <f aca="false">IF(J1908=1,0,Inputs!$B$13)</f>
        <v>20</v>
      </c>
      <c r="P1908" s="15" t="n">
        <f aca="false">SUM(M1908:N1908)</f>
        <v>85</v>
      </c>
      <c r="Q1908" s="15" t="n">
        <f aca="false">IF(J1908=1,"",L1908-P1908)</f>
        <v>15</v>
      </c>
      <c r="R1908" s="15" t="n">
        <f aca="false">IF(OR(J1908=1,M1908&lt;=Inputs!$B$12),1,0)</f>
        <v>1</v>
      </c>
      <c r="S1908" s="15" t="n">
        <f aca="false">IF(OR(J1908=1,N1908&lt;=O1908),1,0)</f>
        <v>1</v>
      </c>
      <c r="T1908" s="15" t="str">
        <f aca="false">IF(J1908=1,"OFFLINE",IF(AND(Q1908&gt;=Inputs!$B$15,R1908=1,S1908=1,P1908&lt;=L1908),"PASS","FAIL"))</f>
        <v>PASS</v>
      </c>
    </row>
    <row r="1909" customFormat="false" ht="15" hidden="false" customHeight="false" outlineLevel="0" collapsed="false">
      <c r="A1909" s="14" t="s">
        <v>1036</v>
      </c>
      <c r="B1909" s="14" t="s">
        <v>1019</v>
      </c>
      <c r="C1909" s="14" t="s">
        <v>204</v>
      </c>
      <c r="D1909" s="14" t="s">
        <v>188</v>
      </c>
      <c r="E1909" s="14" t="s">
        <v>172</v>
      </c>
      <c r="F1909" s="14" t="s">
        <v>183</v>
      </c>
      <c r="G1909" s="14" t="n">
        <v>3</v>
      </c>
      <c r="H1909" s="14" t="s">
        <v>158</v>
      </c>
      <c r="I1909" s="14" t="s">
        <v>890</v>
      </c>
      <c r="J1909" s="15" t="n">
        <f aca="false">IF(B1909="SITE LOSS",IF(D1909=C1909,1,0),IF(B1909="REGION LOSS",IF(E1909=C1909,1,0),0))</f>
        <v>0</v>
      </c>
      <c r="K1909" s="15" t="n">
        <f aca="false">IF(B1909="SITE LOSS",IF(COUNTIFS('Site Dockets'!$B$7:$B$24,C1909,'Site Dockets'!$C$7:$C$24,F1909)&gt;0,1,0),IF(B1909="REGION LOSS",IF(COUNTIFS('Site Dockets'!$E$7:$E$24,C1909,'Site Dockets'!$C$7:$C$24,F1909)&gt;0,1,0),0))</f>
        <v>0</v>
      </c>
      <c r="L1909" s="15" t="n">
        <f aca="false">IF(J1909=1,0,Inputs!$B$11)</f>
        <v>100</v>
      </c>
      <c r="M1909" s="15" t="n">
        <f aca="false">IF(J1909=1,0,Inputs!$B$12)</f>
        <v>75</v>
      </c>
      <c r="N1909" s="15" t="n">
        <f aca="false">IF(J1909=1,0,IF(OR(AND(OR(B1909="SITE LOSS",B1909="REGION LOSS"),K1909=1),AND(B1909="ROLE COMPROMISE",H1909=C1909)),Inputs!$B$13,Inputs!$B$14))</f>
        <v>10</v>
      </c>
      <c r="O1909" s="15" t="n">
        <f aca="false">IF(J1909=1,0,Inputs!$B$13)</f>
        <v>20</v>
      </c>
      <c r="P1909" s="15" t="n">
        <f aca="false">SUM(M1909:N1909)</f>
        <v>85</v>
      </c>
      <c r="Q1909" s="15" t="n">
        <f aca="false">IF(J1909=1,"",L1909-P1909)</f>
        <v>15</v>
      </c>
      <c r="R1909" s="15" t="n">
        <f aca="false">IF(OR(J1909=1,M1909&lt;=Inputs!$B$12),1,0)</f>
        <v>1</v>
      </c>
      <c r="S1909" s="15" t="n">
        <f aca="false">IF(OR(J1909=1,N1909&lt;=O1909),1,0)</f>
        <v>1</v>
      </c>
      <c r="T1909" s="15" t="str">
        <f aca="false">IF(J1909=1,"OFFLINE",IF(AND(Q1909&gt;=Inputs!$B$15,R1909=1,S1909=1,P1909&lt;=L1909),"PASS","FAIL"))</f>
        <v>PASS</v>
      </c>
    </row>
    <row r="1910" customFormat="false" ht="15" hidden="false" customHeight="false" outlineLevel="0" collapsed="false">
      <c r="A1910" s="14" t="s">
        <v>1036</v>
      </c>
      <c r="B1910" s="14" t="s">
        <v>1019</v>
      </c>
      <c r="C1910" s="14" t="s">
        <v>204</v>
      </c>
      <c r="D1910" s="14" t="s">
        <v>188</v>
      </c>
      <c r="E1910" s="14" t="s">
        <v>172</v>
      </c>
      <c r="F1910" s="14" t="s">
        <v>183</v>
      </c>
      <c r="G1910" s="14" t="n">
        <v>3</v>
      </c>
      <c r="H1910" s="14" t="s">
        <v>158</v>
      </c>
      <c r="I1910" s="14" t="s">
        <v>892</v>
      </c>
      <c r="J1910" s="15" t="n">
        <f aca="false">IF(B1910="SITE LOSS",IF(D1910=C1910,1,0),IF(B1910="REGION LOSS",IF(E1910=C1910,1,0),0))</f>
        <v>0</v>
      </c>
      <c r="K1910" s="15" t="n">
        <f aca="false">IF(B1910="SITE LOSS",IF(COUNTIFS('Site Dockets'!$B$7:$B$24,C1910,'Site Dockets'!$C$7:$C$24,F1910)&gt;0,1,0),IF(B1910="REGION LOSS",IF(COUNTIFS('Site Dockets'!$E$7:$E$24,C1910,'Site Dockets'!$C$7:$C$24,F1910)&gt;0,1,0),0))</f>
        <v>0</v>
      </c>
      <c r="L1910" s="15" t="n">
        <f aca="false">IF(J1910=1,0,Inputs!$B$11)</f>
        <v>100</v>
      </c>
      <c r="M1910" s="15" t="n">
        <f aca="false">IF(J1910=1,0,Inputs!$B$12)</f>
        <v>75</v>
      </c>
      <c r="N1910" s="15" t="n">
        <f aca="false">IF(J1910=1,0,IF(OR(AND(OR(B1910="SITE LOSS",B1910="REGION LOSS"),K1910=1),AND(B1910="ROLE COMPROMISE",H1910=C1910)),Inputs!$B$13,Inputs!$B$14))</f>
        <v>10</v>
      </c>
      <c r="O1910" s="15" t="n">
        <f aca="false">IF(J1910=1,0,Inputs!$B$13)</f>
        <v>20</v>
      </c>
      <c r="P1910" s="15" t="n">
        <f aca="false">SUM(M1910:N1910)</f>
        <v>85</v>
      </c>
      <c r="Q1910" s="15" t="n">
        <f aca="false">IF(J1910=1,"",L1910-P1910)</f>
        <v>15</v>
      </c>
      <c r="R1910" s="15" t="n">
        <f aca="false">IF(OR(J1910=1,M1910&lt;=Inputs!$B$12),1,0)</f>
        <v>1</v>
      </c>
      <c r="S1910" s="15" t="n">
        <f aca="false">IF(OR(J1910=1,N1910&lt;=O1910),1,0)</f>
        <v>1</v>
      </c>
      <c r="T1910" s="15" t="str">
        <f aca="false">IF(J1910=1,"OFFLINE",IF(AND(Q1910&gt;=Inputs!$B$15,R1910=1,S1910=1,P1910&lt;=L1910),"PASS","FAIL"))</f>
        <v>PASS</v>
      </c>
    </row>
    <row r="1911" customFormat="false" ht="15" hidden="false" customHeight="false" outlineLevel="0" collapsed="false">
      <c r="A1911" s="14" t="s">
        <v>1036</v>
      </c>
      <c r="B1911" s="14" t="s">
        <v>1019</v>
      </c>
      <c r="C1911" s="14" t="s">
        <v>204</v>
      </c>
      <c r="D1911" s="14" t="s">
        <v>188</v>
      </c>
      <c r="E1911" s="14" t="s">
        <v>172</v>
      </c>
      <c r="F1911" s="14" t="s">
        <v>183</v>
      </c>
      <c r="G1911" s="14" t="n">
        <v>3</v>
      </c>
      <c r="H1911" s="14" t="s">
        <v>158</v>
      </c>
      <c r="I1911" s="14" t="s">
        <v>811</v>
      </c>
      <c r="J1911" s="15" t="n">
        <f aca="false">IF(B1911="SITE LOSS",IF(D1911=C1911,1,0),IF(B1911="REGION LOSS",IF(E1911=C1911,1,0),0))</f>
        <v>0</v>
      </c>
      <c r="K1911" s="15" t="n">
        <f aca="false">IF(B1911="SITE LOSS",IF(COUNTIFS('Site Dockets'!$B$7:$B$24,C1911,'Site Dockets'!$C$7:$C$24,F1911)&gt;0,1,0),IF(B1911="REGION LOSS",IF(COUNTIFS('Site Dockets'!$E$7:$E$24,C1911,'Site Dockets'!$C$7:$C$24,F1911)&gt;0,1,0),0))</f>
        <v>0</v>
      </c>
      <c r="L1911" s="15" t="n">
        <f aca="false">IF(J1911=1,0,Inputs!$B$11)</f>
        <v>100</v>
      </c>
      <c r="M1911" s="15" t="n">
        <f aca="false">IF(J1911=1,0,Inputs!$B$12)</f>
        <v>75</v>
      </c>
      <c r="N1911" s="15" t="n">
        <f aca="false">IF(J1911=1,0,IF(OR(AND(OR(B1911="SITE LOSS",B1911="REGION LOSS"),K1911=1),AND(B1911="ROLE COMPROMISE",H1911=C1911)),Inputs!$B$13,Inputs!$B$14))</f>
        <v>10</v>
      </c>
      <c r="O1911" s="15" t="n">
        <f aca="false">IF(J1911=1,0,Inputs!$B$13)</f>
        <v>20</v>
      </c>
      <c r="P1911" s="15" t="n">
        <f aca="false">SUM(M1911:N1911)</f>
        <v>85</v>
      </c>
      <c r="Q1911" s="15" t="n">
        <f aca="false">IF(J1911=1,"",L1911-P1911)</f>
        <v>15</v>
      </c>
      <c r="R1911" s="15" t="n">
        <f aca="false">IF(OR(J1911=1,M1911&lt;=Inputs!$B$12),1,0)</f>
        <v>1</v>
      </c>
      <c r="S1911" s="15" t="n">
        <f aca="false">IF(OR(J1911=1,N1911&lt;=O1911),1,0)</f>
        <v>1</v>
      </c>
      <c r="T1911" s="15" t="str">
        <f aca="false">IF(J1911=1,"OFFLINE",IF(AND(Q1911&gt;=Inputs!$B$15,R1911=1,S1911=1,P1911&lt;=L1911),"PASS","FAIL"))</f>
        <v>PASS</v>
      </c>
    </row>
    <row r="1912" customFormat="false" ht="15" hidden="false" customHeight="false" outlineLevel="0" collapsed="false">
      <c r="A1912" s="14" t="s">
        <v>1036</v>
      </c>
      <c r="B1912" s="14" t="s">
        <v>1019</v>
      </c>
      <c r="C1912" s="14" t="s">
        <v>204</v>
      </c>
      <c r="D1912" s="14" t="s">
        <v>188</v>
      </c>
      <c r="E1912" s="14" t="s">
        <v>172</v>
      </c>
      <c r="F1912" s="14" t="s">
        <v>183</v>
      </c>
      <c r="G1912" s="14" t="n">
        <v>3</v>
      </c>
      <c r="H1912" s="14" t="s">
        <v>158</v>
      </c>
      <c r="I1912" s="14" t="s">
        <v>895</v>
      </c>
      <c r="J1912" s="15" t="n">
        <f aca="false">IF(B1912="SITE LOSS",IF(D1912=C1912,1,0),IF(B1912="REGION LOSS",IF(E1912=C1912,1,0),0))</f>
        <v>0</v>
      </c>
      <c r="K1912" s="15" t="n">
        <f aca="false">IF(B1912="SITE LOSS",IF(COUNTIFS('Site Dockets'!$B$7:$B$24,C1912,'Site Dockets'!$C$7:$C$24,F1912)&gt;0,1,0),IF(B1912="REGION LOSS",IF(COUNTIFS('Site Dockets'!$E$7:$E$24,C1912,'Site Dockets'!$C$7:$C$24,F1912)&gt;0,1,0),0))</f>
        <v>0</v>
      </c>
      <c r="L1912" s="15" t="n">
        <f aca="false">IF(J1912=1,0,Inputs!$B$11)</f>
        <v>100</v>
      </c>
      <c r="M1912" s="15" t="n">
        <f aca="false">IF(J1912=1,0,Inputs!$B$12)</f>
        <v>75</v>
      </c>
      <c r="N1912" s="15" t="n">
        <f aca="false">IF(J1912=1,0,IF(OR(AND(OR(B1912="SITE LOSS",B1912="REGION LOSS"),K1912=1),AND(B1912="ROLE COMPROMISE",H1912=C1912)),Inputs!$B$13,Inputs!$B$14))</f>
        <v>10</v>
      </c>
      <c r="O1912" s="15" t="n">
        <f aca="false">IF(J1912=1,0,Inputs!$B$13)</f>
        <v>20</v>
      </c>
      <c r="P1912" s="15" t="n">
        <f aca="false">SUM(M1912:N1912)</f>
        <v>85</v>
      </c>
      <c r="Q1912" s="15" t="n">
        <f aca="false">IF(J1912=1,"",L1912-P1912)</f>
        <v>15</v>
      </c>
      <c r="R1912" s="15" t="n">
        <f aca="false">IF(OR(J1912=1,M1912&lt;=Inputs!$B$12),1,0)</f>
        <v>1</v>
      </c>
      <c r="S1912" s="15" t="n">
        <f aca="false">IF(OR(J1912=1,N1912&lt;=O1912),1,0)</f>
        <v>1</v>
      </c>
      <c r="T1912" s="15" t="str">
        <f aca="false">IF(J1912=1,"OFFLINE",IF(AND(Q1912&gt;=Inputs!$B$15,R1912=1,S1912=1,P1912&lt;=L1912),"PASS","FAIL"))</f>
        <v>PASS</v>
      </c>
    </row>
    <row r="1913" customFormat="false" ht="15" hidden="false" customHeight="false" outlineLevel="0" collapsed="false">
      <c r="A1913" s="14" t="s">
        <v>1036</v>
      </c>
      <c r="B1913" s="14" t="s">
        <v>1019</v>
      </c>
      <c r="C1913" s="14" t="s">
        <v>204</v>
      </c>
      <c r="D1913" s="14" t="s">
        <v>188</v>
      </c>
      <c r="E1913" s="14" t="s">
        <v>172</v>
      </c>
      <c r="F1913" s="14" t="s">
        <v>183</v>
      </c>
      <c r="G1913" s="14" t="n">
        <v>3</v>
      </c>
      <c r="H1913" s="14" t="s">
        <v>158</v>
      </c>
      <c r="I1913" s="14" t="s">
        <v>897</v>
      </c>
      <c r="J1913" s="15" t="n">
        <f aca="false">IF(B1913="SITE LOSS",IF(D1913=C1913,1,0),IF(B1913="REGION LOSS",IF(E1913=C1913,1,0),0))</f>
        <v>0</v>
      </c>
      <c r="K1913" s="15" t="n">
        <f aca="false">IF(B1913="SITE LOSS",IF(COUNTIFS('Site Dockets'!$B$7:$B$24,C1913,'Site Dockets'!$C$7:$C$24,F1913)&gt;0,1,0),IF(B1913="REGION LOSS",IF(COUNTIFS('Site Dockets'!$E$7:$E$24,C1913,'Site Dockets'!$C$7:$C$24,F1913)&gt;0,1,0),0))</f>
        <v>0</v>
      </c>
      <c r="L1913" s="15" t="n">
        <f aca="false">IF(J1913=1,0,Inputs!$B$11)</f>
        <v>100</v>
      </c>
      <c r="M1913" s="15" t="n">
        <f aca="false">IF(J1913=1,0,Inputs!$B$12)</f>
        <v>75</v>
      </c>
      <c r="N1913" s="15" t="n">
        <f aca="false">IF(J1913=1,0,IF(OR(AND(OR(B1913="SITE LOSS",B1913="REGION LOSS"),K1913=1),AND(B1913="ROLE COMPROMISE",H1913=C1913)),Inputs!$B$13,Inputs!$B$14))</f>
        <v>10</v>
      </c>
      <c r="O1913" s="15" t="n">
        <f aca="false">IF(J1913=1,0,Inputs!$B$13)</f>
        <v>20</v>
      </c>
      <c r="P1913" s="15" t="n">
        <f aca="false">SUM(M1913:N1913)</f>
        <v>85</v>
      </c>
      <c r="Q1913" s="15" t="n">
        <f aca="false">IF(J1913=1,"",L1913-P1913)</f>
        <v>15</v>
      </c>
      <c r="R1913" s="15" t="n">
        <f aca="false">IF(OR(J1913=1,M1913&lt;=Inputs!$B$12),1,0)</f>
        <v>1</v>
      </c>
      <c r="S1913" s="15" t="n">
        <f aca="false">IF(OR(J1913=1,N1913&lt;=O1913),1,0)</f>
        <v>1</v>
      </c>
      <c r="T1913" s="15" t="str">
        <f aca="false">IF(J1913=1,"OFFLINE",IF(AND(Q1913&gt;=Inputs!$B$15,R1913=1,S1913=1,P1913&lt;=L1913),"PASS","FAIL"))</f>
        <v>PASS</v>
      </c>
    </row>
    <row r="1914" customFormat="false" ht="15" hidden="false" customHeight="false" outlineLevel="0" collapsed="false">
      <c r="A1914" s="14" t="s">
        <v>1036</v>
      </c>
      <c r="B1914" s="14" t="s">
        <v>1019</v>
      </c>
      <c r="C1914" s="14" t="s">
        <v>204</v>
      </c>
      <c r="D1914" s="14" t="s">
        <v>188</v>
      </c>
      <c r="E1914" s="14" t="s">
        <v>172</v>
      </c>
      <c r="F1914" s="14" t="s">
        <v>183</v>
      </c>
      <c r="G1914" s="14" t="n">
        <v>3</v>
      </c>
      <c r="H1914" s="14" t="s">
        <v>158</v>
      </c>
      <c r="I1914" s="14" t="s">
        <v>899</v>
      </c>
      <c r="J1914" s="15" t="n">
        <f aca="false">IF(B1914="SITE LOSS",IF(D1914=C1914,1,0),IF(B1914="REGION LOSS",IF(E1914=C1914,1,0),0))</f>
        <v>0</v>
      </c>
      <c r="K1914" s="15" t="n">
        <f aca="false">IF(B1914="SITE LOSS",IF(COUNTIFS('Site Dockets'!$B$7:$B$24,C1914,'Site Dockets'!$C$7:$C$24,F1914)&gt;0,1,0),IF(B1914="REGION LOSS",IF(COUNTIFS('Site Dockets'!$E$7:$E$24,C1914,'Site Dockets'!$C$7:$C$24,F1914)&gt;0,1,0),0))</f>
        <v>0</v>
      </c>
      <c r="L1914" s="15" t="n">
        <f aca="false">IF(J1914=1,0,Inputs!$B$11)</f>
        <v>100</v>
      </c>
      <c r="M1914" s="15" t="n">
        <f aca="false">IF(J1914=1,0,Inputs!$B$12)</f>
        <v>75</v>
      </c>
      <c r="N1914" s="15" t="n">
        <f aca="false">IF(J1914=1,0,IF(OR(AND(OR(B1914="SITE LOSS",B1914="REGION LOSS"),K1914=1),AND(B1914="ROLE COMPROMISE",H1914=C1914)),Inputs!$B$13,Inputs!$B$14))</f>
        <v>10</v>
      </c>
      <c r="O1914" s="15" t="n">
        <f aca="false">IF(J1914=1,0,Inputs!$B$13)</f>
        <v>20</v>
      </c>
      <c r="P1914" s="15" t="n">
        <f aca="false">SUM(M1914:N1914)</f>
        <v>85</v>
      </c>
      <c r="Q1914" s="15" t="n">
        <f aca="false">IF(J1914=1,"",L1914-P1914)</f>
        <v>15</v>
      </c>
      <c r="R1914" s="15" t="n">
        <f aca="false">IF(OR(J1914=1,M1914&lt;=Inputs!$B$12),1,0)</f>
        <v>1</v>
      </c>
      <c r="S1914" s="15" t="n">
        <f aca="false">IF(OR(J1914=1,N1914&lt;=O1914),1,0)</f>
        <v>1</v>
      </c>
      <c r="T1914" s="15" t="str">
        <f aca="false">IF(J1914=1,"OFFLINE",IF(AND(Q1914&gt;=Inputs!$B$15,R1914=1,S1914=1,P1914&lt;=L1914),"PASS","FAIL"))</f>
        <v>PASS</v>
      </c>
    </row>
    <row r="1915" customFormat="false" ht="15" hidden="false" customHeight="false" outlineLevel="0" collapsed="false">
      <c r="A1915" s="14" t="s">
        <v>1036</v>
      </c>
      <c r="B1915" s="14" t="s">
        <v>1019</v>
      </c>
      <c r="C1915" s="14" t="s">
        <v>204</v>
      </c>
      <c r="D1915" s="14" t="s">
        <v>190</v>
      </c>
      <c r="E1915" s="14" t="s">
        <v>152</v>
      </c>
      <c r="F1915" s="14" t="s">
        <v>191</v>
      </c>
      <c r="G1915" s="14" t="n">
        <v>1</v>
      </c>
      <c r="H1915" s="14" t="s">
        <v>154</v>
      </c>
      <c r="I1915" s="14" t="s">
        <v>890</v>
      </c>
      <c r="J1915" s="15" t="n">
        <f aca="false">IF(B1915="SITE LOSS",IF(D1915=C1915,1,0),IF(B1915="REGION LOSS",IF(E1915=C1915,1,0),0))</f>
        <v>0</v>
      </c>
      <c r="K1915" s="15" t="n">
        <f aca="false">IF(B1915="SITE LOSS",IF(COUNTIFS('Site Dockets'!$B$7:$B$24,C1915,'Site Dockets'!$C$7:$C$24,F1915)&gt;0,1,0),IF(B1915="REGION LOSS",IF(COUNTIFS('Site Dockets'!$E$7:$E$24,C1915,'Site Dockets'!$C$7:$C$24,F1915)&gt;0,1,0),0))</f>
        <v>0</v>
      </c>
      <c r="L1915" s="15" t="n">
        <f aca="false">IF(J1915=1,0,Inputs!$B$11)</f>
        <v>100</v>
      </c>
      <c r="M1915" s="15" t="n">
        <f aca="false">IF(J1915=1,0,Inputs!$B$12)</f>
        <v>75</v>
      </c>
      <c r="N1915" s="15" t="n">
        <f aca="false">IF(J1915=1,0,IF(OR(AND(OR(B1915="SITE LOSS",B1915="REGION LOSS"),K1915=1),AND(B1915="ROLE COMPROMISE",H1915=C1915)),Inputs!$B$13,Inputs!$B$14))</f>
        <v>10</v>
      </c>
      <c r="O1915" s="15" t="n">
        <f aca="false">IF(J1915=1,0,Inputs!$B$13)</f>
        <v>20</v>
      </c>
      <c r="P1915" s="15" t="n">
        <f aca="false">SUM(M1915:N1915)</f>
        <v>85</v>
      </c>
      <c r="Q1915" s="15" t="n">
        <f aca="false">IF(J1915=1,"",L1915-P1915)</f>
        <v>15</v>
      </c>
      <c r="R1915" s="15" t="n">
        <f aca="false">IF(OR(J1915=1,M1915&lt;=Inputs!$B$12),1,0)</f>
        <v>1</v>
      </c>
      <c r="S1915" s="15" t="n">
        <f aca="false">IF(OR(J1915=1,N1915&lt;=O1915),1,0)</f>
        <v>1</v>
      </c>
      <c r="T1915" s="15" t="str">
        <f aca="false">IF(J1915=1,"OFFLINE",IF(AND(Q1915&gt;=Inputs!$B$15,R1915=1,S1915=1,P1915&lt;=L1915),"PASS","FAIL"))</f>
        <v>PASS</v>
      </c>
    </row>
    <row r="1916" customFormat="false" ht="15" hidden="false" customHeight="false" outlineLevel="0" collapsed="false">
      <c r="A1916" s="14" t="s">
        <v>1036</v>
      </c>
      <c r="B1916" s="14" t="s">
        <v>1019</v>
      </c>
      <c r="C1916" s="14" t="s">
        <v>204</v>
      </c>
      <c r="D1916" s="14" t="s">
        <v>190</v>
      </c>
      <c r="E1916" s="14" t="s">
        <v>152</v>
      </c>
      <c r="F1916" s="14" t="s">
        <v>191</v>
      </c>
      <c r="G1916" s="14" t="n">
        <v>1</v>
      </c>
      <c r="H1916" s="14" t="s">
        <v>154</v>
      </c>
      <c r="I1916" s="14" t="s">
        <v>892</v>
      </c>
      <c r="J1916" s="15" t="n">
        <f aca="false">IF(B1916="SITE LOSS",IF(D1916=C1916,1,0),IF(B1916="REGION LOSS",IF(E1916=C1916,1,0),0))</f>
        <v>0</v>
      </c>
      <c r="K1916" s="15" t="n">
        <f aca="false">IF(B1916="SITE LOSS",IF(COUNTIFS('Site Dockets'!$B$7:$B$24,C1916,'Site Dockets'!$C$7:$C$24,F1916)&gt;0,1,0),IF(B1916="REGION LOSS",IF(COUNTIFS('Site Dockets'!$E$7:$E$24,C1916,'Site Dockets'!$C$7:$C$24,F1916)&gt;0,1,0),0))</f>
        <v>0</v>
      </c>
      <c r="L1916" s="15" t="n">
        <f aca="false">IF(J1916=1,0,Inputs!$B$11)</f>
        <v>100</v>
      </c>
      <c r="M1916" s="15" t="n">
        <f aca="false">IF(J1916=1,0,Inputs!$B$12)</f>
        <v>75</v>
      </c>
      <c r="N1916" s="15" t="n">
        <f aca="false">IF(J1916=1,0,IF(OR(AND(OR(B1916="SITE LOSS",B1916="REGION LOSS"),K1916=1),AND(B1916="ROLE COMPROMISE",H1916=C1916)),Inputs!$B$13,Inputs!$B$14))</f>
        <v>10</v>
      </c>
      <c r="O1916" s="15" t="n">
        <f aca="false">IF(J1916=1,0,Inputs!$B$13)</f>
        <v>20</v>
      </c>
      <c r="P1916" s="15" t="n">
        <f aca="false">SUM(M1916:N1916)</f>
        <v>85</v>
      </c>
      <c r="Q1916" s="15" t="n">
        <f aca="false">IF(J1916=1,"",L1916-P1916)</f>
        <v>15</v>
      </c>
      <c r="R1916" s="15" t="n">
        <f aca="false">IF(OR(J1916=1,M1916&lt;=Inputs!$B$12),1,0)</f>
        <v>1</v>
      </c>
      <c r="S1916" s="15" t="n">
        <f aca="false">IF(OR(J1916=1,N1916&lt;=O1916),1,0)</f>
        <v>1</v>
      </c>
      <c r="T1916" s="15" t="str">
        <f aca="false">IF(J1916=1,"OFFLINE",IF(AND(Q1916&gt;=Inputs!$B$15,R1916=1,S1916=1,P1916&lt;=L1916),"PASS","FAIL"))</f>
        <v>PASS</v>
      </c>
    </row>
    <row r="1917" customFormat="false" ht="15" hidden="false" customHeight="false" outlineLevel="0" collapsed="false">
      <c r="A1917" s="14" t="s">
        <v>1036</v>
      </c>
      <c r="B1917" s="14" t="s">
        <v>1019</v>
      </c>
      <c r="C1917" s="14" t="s">
        <v>204</v>
      </c>
      <c r="D1917" s="14" t="s">
        <v>190</v>
      </c>
      <c r="E1917" s="14" t="s">
        <v>152</v>
      </c>
      <c r="F1917" s="14" t="s">
        <v>191</v>
      </c>
      <c r="G1917" s="14" t="n">
        <v>1</v>
      </c>
      <c r="H1917" s="14" t="s">
        <v>154</v>
      </c>
      <c r="I1917" s="14" t="s">
        <v>811</v>
      </c>
      <c r="J1917" s="15" t="n">
        <f aca="false">IF(B1917="SITE LOSS",IF(D1917=C1917,1,0),IF(B1917="REGION LOSS",IF(E1917=C1917,1,0),0))</f>
        <v>0</v>
      </c>
      <c r="K1917" s="15" t="n">
        <f aca="false">IF(B1917="SITE LOSS",IF(COUNTIFS('Site Dockets'!$B$7:$B$24,C1917,'Site Dockets'!$C$7:$C$24,F1917)&gt;0,1,0),IF(B1917="REGION LOSS",IF(COUNTIFS('Site Dockets'!$E$7:$E$24,C1917,'Site Dockets'!$C$7:$C$24,F1917)&gt;0,1,0),0))</f>
        <v>0</v>
      </c>
      <c r="L1917" s="15" t="n">
        <f aca="false">IF(J1917=1,0,Inputs!$B$11)</f>
        <v>100</v>
      </c>
      <c r="M1917" s="15" t="n">
        <f aca="false">IF(J1917=1,0,Inputs!$B$12)</f>
        <v>75</v>
      </c>
      <c r="N1917" s="15" t="n">
        <f aca="false">IF(J1917=1,0,IF(OR(AND(OR(B1917="SITE LOSS",B1917="REGION LOSS"),K1917=1),AND(B1917="ROLE COMPROMISE",H1917=C1917)),Inputs!$B$13,Inputs!$B$14))</f>
        <v>10</v>
      </c>
      <c r="O1917" s="15" t="n">
        <f aca="false">IF(J1917=1,0,Inputs!$B$13)</f>
        <v>20</v>
      </c>
      <c r="P1917" s="15" t="n">
        <f aca="false">SUM(M1917:N1917)</f>
        <v>85</v>
      </c>
      <c r="Q1917" s="15" t="n">
        <f aca="false">IF(J1917=1,"",L1917-P1917)</f>
        <v>15</v>
      </c>
      <c r="R1917" s="15" t="n">
        <f aca="false">IF(OR(J1917=1,M1917&lt;=Inputs!$B$12),1,0)</f>
        <v>1</v>
      </c>
      <c r="S1917" s="15" t="n">
        <f aca="false">IF(OR(J1917=1,N1917&lt;=O1917),1,0)</f>
        <v>1</v>
      </c>
      <c r="T1917" s="15" t="str">
        <f aca="false">IF(J1917=1,"OFFLINE",IF(AND(Q1917&gt;=Inputs!$B$15,R1917=1,S1917=1,P1917&lt;=L1917),"PASS","FAIL"))</f>
        <v>PASS</v>
      </c>
    </row>
    <row r="1918" customFormat="false" ht="15" hidden="false" customHeight="false" outlineLevel="0" collapsed="false">
      <c r="A1918" s="14" t="s">
        <v>1036</v>
      </c>
      <c r="B1918" s="14" t="s">
        <v>1019</v>
      </c>
      <c r="C1918" s="14" t="s">
        <v>204</v>
      </c>
      <c r="D1918" s="14" t="s">
        <v>190</v>
      </c>
      <c r="E1918" s="14" t="s">
        <v>152</v>
      </c>
      <c r="F1918" s="14" t="s">
        <v>191</v>
      </c>
      <c r="G1918" s="14" t="n">
        <v>1</v>
      </c>
      <c r="H1918" s="14" t="s">
        <v>154</v>
      </c>
      <c r="I1918" s="14" t="s">
        <v>895</v>
      </c>
      <c r="J1918" s="15" t="n">
        <f aca="false">IF(B1918="SITE LOSS",IF(D1918=C1918,1,0),IF(B1918="REGION LOSS",IF(E1918=C1918,1,0),0))</f>
        <v>0</v>
      </c>
      <c r="K1918" s="15" t="n">
        <f aca="false">IF(B1918="SITE LOSS",IF(COUNTIFS('Site Dockets'!$B$7:$B$24,C1918,'Site Dockets'!$C$7:$C$24,F1918)&gt;0,1,0),IF(B1918="REGION LOSS",IF(COUNTIFS('Site Dockets'!$E$7:$E$24,C1918,'Site Dockets'!$C$7:$C$24,F1918)&gt;0,1,0),0))</f>
        <v>0</v>
      </c>
      <c r="L1918" s="15" t="n">
        <f aca="false">IF(J1918=1,0,Inputs!$B$11)</f>
        <v>100</v>
      </c>
      <c r="M1918" s="15" t="n">
        <f aca="false">IF(J1918=1,0,Inputs!$B$12)</f>
        <v>75</v>
      </c>
      <c r="N1918" s="15" t="n">
        <f aca="false">IF(J1918=1,0,IF(OR(AND(OR(B1918="SITE LOSS",B1918="REGION LOSS"),K1918=1),AND(B1918="ROLE COMPROMISE",H1918=C1918)),Inputs!$B$13,Inputs!$B$14))</f>
        <v>10</v>
      </c>
      <c r="O1918" s="15" t="n">
        <f aca="false">IF(J1918=1,0,Inputs!$B$13)</f>
        <v>20</v>
      </c>
      <c r="P1918" s="15" t="n">
        <f aca="false">SUM(M1918:N1918)</f>
        <v>85</v>
      </c>
      <c r="Q1918" s="15" t="n">
        <f aca="false">IF(J1918=1,"",L1918-P1918)</f>
        <v>15</v>
      </c>
      <c r="R1918" s="15" t="n">
        <f aca="false">IF(OR(J1918=1,M1918&lt;=Inputs!$B$12),1,0)</f>
        <v>1</v>
      </c>
      <c r="S1918" s="15" t="n">
        <f aca="false">IF(OR(J1918=1,N1918&lt;=O1918),1,0)</f>
        <v>1</v>
      </c>
      <c r="T1918" s="15" t="str">
        <f aca="false">IF(J1918=1,"OFFLINE",IF(AND(Q1918&gt;=Inputs!$B$15,R1918=1,S1918=1,P1918&lt;=L1918),"PASS","FAIL"))</f>
        <v>PASS</v>
      </c>
    </row>
    <row r="1919" customFormat="false" ht="15" hidden="false" customHeight="false" outlineLevel="0" collapsed="false">
      <c r="A1919" s="14" t="s">
        <v>1036</v>
      </c>
      <c r="B1919" s="14" t="s">
        <v>1019</v>
      </c>
      <c r="C1919" s="14" t="s">
        <v>204</v>
      </c>
      <c r="D1919" s="14" t="s">
        <v>190</v>
      </c>
      <c r="E1919" s="14" t="s">
        <v>152</v>
      </c>
      <c r="F1919" s="14" t="s">
        <v>191</v>
      </c>
      <c r="G1919" s="14" t="n">
        <v>1</v>
      </c>
      <c r="H1919" s="14" t="s">
        <v>154</v>
      </c>
      <c r="I1919" s="14" t="s">
        <v>897</v>
      </c>
      <c r="J1919" s="15" t="n">
        <f aca="false">IF(B1919="SITE LOSS",IF(D1919=C1919,1,0),IF(B1919="REGION LOSS",IF(E1919=C1919,1,0),0))</f>
        <v>0</v>
      </c>
      <c r="K1919" s="15" t="n">
        <f aca="false">IF(B1919="SITE LOSS",IF(COUNTIFS('Site Dockets'!$B$7:$B$24,C1919,'Site Dockets'!$C$7:$C$24,F1919)&gt;0,1,0),IF(B1919="REGION LOSS",IF(COUNTIFS('Site Dockets'!$E$7:$E$24,C1919,'Site Dockets'!$C$7:$C$24,F1919)&gt;0,1,0),0))</f>
        <v>0</v>
      </c>
      <c r="L1919" s="15" t="n">
        <f aca="false">IF(J1919=1,0,Inputs!$B$11)</f>
        <v>100</v>
      </c>
      <c r="M1919" s="15" t="n">
        <f aca="false">IF(J1919=1,0,Inputs!$B$12)</f>
        <v>75</v>
      </c>
      <c r="N1919" s="15" t="n">
        <f aca="false">IF(J1919=1,0,IF(OR(AND(OR(B1919="SITE LOSS",B1919="REGION LOSS"),K1919=1),AND(B1919="ROLE COMPROMISE",H1919=C1919)),Inputs!$B$13,Inputs!$B$14))</f>
        <v>10</v>
      </c>
      <c r="O1919" s="15" t="n">
        <f aca="false">IF(J1919=1,0,Inputs!$B$13)</f>
        <v>20</v>
      </c>
      <c r="P1919" s="15" t="n">
        <f aca="false">SUM(M1919:N1919)</f>
        <v>85</v>
      </c>
      <c r="Q1919" s="15" t="n">
        <f aca="false">IF(J1919=1,"",L1919-P1919)</f>
        <v>15</v>
      </c>
      <c r="R1919" s="15" t="n">
        <f aca="false">IF(OR(J1919=1,M1919&lt;=Inputs!$B$12),1,0)</f>
        <v>1</v>
      </c>
      <c r="S1919" s="15" t="n">
        <f aca="false">IF(OR(J1919=1,N1919&lt;=O1919),1,0)</f>
        <v>1</v>
      </c>
      <c r="T1919" s="15" t="str">
        <f aca="false">IF(J1919=1,"OFFLINE",IF(AND(Q1919&gt;=Inputs!$B$15,R1919=1,S1919=1,P1919&lt;=L1919),"PASS","FAIL"))</f>
        <v>PASS</v>
      </c>
    </row>
    <row r="1920" customFormat="false" ht="15" hidden="false" customHeight="false" outlineLevel="0" collapsed="false">
      <c r="A1920" s="14" t="s">
        <v>1036</v>
      </c>
      <c r="B1920" s="14" t="s">
        <v>1019</v>
      </c>
      <c r="C1920" s="14" t="s">
        <v>204</v>
      </c>
      <c r="D1920" s="14" t="s">
        <v>190</v>
      </c>
      <c r="E1920" s="14" t="s">
        <v>152</v>
      </c>
      <c r="F1920" s="14" t="s">
        <v>191</v>
      </c>
      <c r="G1920" s="14" t="n">
        <v>1</v>
      </c>
      <c r="H1920" s="14" t="s">
        <v>154</v>
      </c>
      <c r="I1920" s="14" t="s">
        <v>899</v>
      </c>
      <c r="J1920" s="15" t="n">
        <f aca="false">IF(B1920="SITE LOSS",IF(D1920=C1920,1,0),IF(B1920="REGION LOSS",IF(E1920=C1920,1,0),0))</f>
        <v>0</v>
      </c>
      <c r="K1920" s="15" t="n">
        <f aca="false">IF(B1920="SITE LOSS",IF(COUNTIFS('Site Dockets'!$B$7:$B$24,C1920,'Site Dockets'!$C$7:$C$24,F1920)&gt;0,1,0),IF(B1920="REGION LOSS",IF(COUNTIFS('Site Dockets'!$E$7:$E$24,C1920,'Site Dockets'!$C$7:$C$24,F1920)&gt;0,1,0),0))</f>
        <v>0</v>
      </c>
      <c r="L1920" s="15" t="n">
        <f aca="false">IF(J1920=1,0,Inputs!$B$11)</f>
        <v>100</v>
      </c>
      <c r="M1920" s="15" t="n">
        <f aca="false">IF(J1920=1,0,Inputs!$B$12)</f>
        <v>75</v>
      </c>
      <c r="N1920" s="15" t="n">
        <f aca="false">IF(J1920=1,0,IF(OR(AND(OR(B1920="SITE LOSS",B1920="REGION LOSS"),K1920=1),AND(B1920="ROLE COMPROMISE",H1920=C1920)),Inputs!$B$13,Inputs!$B$14))</f>
        <v>10</v>
      </c>
      <c r="O1920" s="15" t="n">
        <f aca="false">IF(J1920=1,0,Inputs!$B$13)</f>
        <v>20</v>
      </c>
      <c r="P1920" s="15" t="n">
        <f aca="false">SUM(M1920:N1920)</f>
        <v>85</v>
      </c>
      <c r="Q1920" s="15" t="n">
        <f aca="false">IF(J1920=1,"",L1920-P1920)</f>
        <v>15</v>
      </c>
      <c r="R1920" s="15" t="n">
        <f aca="false">IF(OR(J1920=1,M1920&lt;=Inputs!$B$12),1,0)</f>
        <v>1</v>
      </c>
      <c r="S1920" s="15" t="n">
        <f aca="false">IF(OR(J1920=1,N1920&lt;=O1920),1,0)</f>
        <v>1</v>
      </c>
      <c r="T1920" s="15" t="str">
        <f aca="false">IF(J1920=1,"OFFLINE",IF(AND(Q1920&gt;=Inputs!$B$15,R1920=1,S1920=1,P1920&lt;=L1920),"PASS","FAIL"))</f>
        <v>PASS</v>
      </c>
    </row>
    <row r="1921" customFormat="false" ht="15" hidden="false" customHeight="false" outlineLevel="0" collapsed="false">
      <c r="A1921" s="14" t="s">
        <v>1036</v>
      </c>
      <c r="B1921" s="14" t="s">
        <v>1019</v>
      </c>
      <c r="C1921" s="14" t="s">
        <v>204</v>
      </c>
      <c r="D1921" s="14" t="s">
        <v>194</v>
      </c>
      <c r="E1921" s="14" t="s">
        <v>169</v>
      </c>
      <c r="F1921" s="14" t="s">
        <v>191</v>
      </c>
      <c r="G1921" s="14" t="n">
        <v>2</v>
      </c>
      <c r="H1921" s="14" t="s">
        <v>153</v>
      </c>
      <c r="I1921" s="14" t="s">
        <v>890</v>
      </c>
      <c r="J1921" s="15" t="n">
        <f aca="false">IF(B1921="SITE LOSS",IF(D1921=C1921,1,0),IF(B1921="REGION LOSS",IF(E1921=C1921,1,0),0))</f>
        <v>0</v>
      </c>
      <c r="K1921" s="15" t="n">
        <f aca="false">IF(B1921="SITE LOSS",IF(COUNTIFS('Site Dockets'!$B$7:$B$24,C1921,'Site Dockets'!$C$7:$C$24,F1921)&gt;0,1,0),IF(B1921="REGION LOSS",IF(COUNTIFS('Site Dockets'!$E$7:$E$24,C1921,'Site Dockets'!$C$7:$C$24,F1921)&gt;0,1,0),0))</f>
        <v>0</v>
      </c>
      <c r="L1921" s="15" t="n">
        <f aca="false">IF(J1921=1,0,Inputs!$B$11)</f>
        <v>100</v>
      </c>
      <c r="M1921" s="15" t="n">
        <f aca="false">IF(J1921=1,0,Inputs!$B$12)</f>
        <v>75</v>
      </c>
      <c r="N1921" s="15" t="n">
        <f aca="false">IF(J1921=1,0,IF(OR(AND(OR(B1921="SITE LOSS",B1921="REGION LOSS"),K1921=1),AND(B1921="ROLE COMPROMISE",H1921=C1921)),Inputs!$B$13,Inputs!$B$14))</f>
        <v>10</v>
      </c>
      <c r="O1921" s="15" t="n">
        <f aca="false">IF(J1921=1,0,Inputs!$B$13)</f>
        <v>20</v>
      </c>
      <c r="P1921" s="15" t="n">
        <f aca="false">SUM(M1921:N1921)</f>
        <v>85</v>
      </c>
      <c r="Q1921" s="15" t="n">
        <f aca="false">IF(J1921=1,"",L1921-P1921)</f>
        <v>15</v>
      </c>
      <c r="R1921" s="15" t="n">
        <f aca="false">IF(OR(J1921=1,M1921&lt;=Inputs!$B$12),1,0)</f>
        <v>1</v>
      </c>
      <c r="S1921" s="15" t="n">
        <f aca="false">IF(OR(J1921=1,N1921&lt;=O1921),1,0)</f>
        <v>1</v>
      </c>
      <c r="T1921" s="15" t="str">
        <f aca="false">IF(J1921=1,"OFFLINE",IF(AND(Q1921&gt;=Inputs!$B$15,R1921=1,S1921=1,P1921&lt;=L1921),"PASS","FAIL"))</f>
        <v>PASS</v>
      </c>
    </row>
    <row r="1922" customFormat="false" ht="15" hidden="false" customHeight="false" outlineLevel="0" collapsed="false">
      <c r="A1922" s="14" t="s">
        <v>1036</v>
      </c>
      <c r="B1922" s="14" t="s">
        <v>1019</v>
      </c>
      <c r="C1922" s="14" t="s">
        <v>204</v>
      </c>
      <c r="D1922" s="14" t="s">
        <v>194</v>
      </c>
      <c r="E1922" s="14" t="s">
        <v>169</v>
      </c>
      <c r="F1922" s="14" t="s">
        <v>191</v>
      </c>
      <c r="G1922" s="14" t="n">
        <v>2</v>
      </c>
      <c r="H1922" s="14" t="s">
        <v>153</v>
      </c>
      <c r="I1922" s="14" t="s">
        <v>892</v>
      </c>
      <c r="J1922" s="15" t="n">
        <f aca="false">IF(B1922="SITE LOSS",IF(D1922=C1922,1,0),IF(B1922="REGION LOSS",IF(E1922=C1922,1,0),0))</f>
        <v>0</v>
      </c>
      <c r="K1922" s="15" t="n">
        <f aca="false">IF(B1922="SITE LOSS",IF(COUNTIFS('Site Dockets'!$B$7:$B$24,C1922,'Site Dockets'!$C$7:$C$24,F1922)&gt;0,1,0),IF(B1922="REGION LOSS",IF(COUNTIFS('Site Dockets'!$E$7:$E$24,C1922,'Site Dockets'!$C$7:$C$24,F1922)&gt;0,1,0),0))</f>
        <v>0</v>
      </c>
      <c r="L1922" s="15" t="n">
        <f aca="false">IF(J1922=1,0,Inputs!$B$11)</f>
        <v>100</v>
      </c>
      <c r="M1922" s="15" t="n">
        <f aca="false">IF(J1922=1,0,Inputs!$B$12)</f>
        <v>75</v>
      </c>
      <c r="N1922" s="15" t="n">
        <f aca="false">IF(J1922=1,0,IF(OR(AND(OR(B1922="SITE LOSS",B1922="REGION LOSS"),K1922=1),AND(B1922="ROLE COMPROMISE",H1922=C1922)),Inputs!$B$13,Inputs!$B$14))</f>
        <v>10</v>
      </c>
      <c r="O1922" s="15" t="n">
        <f aca="false">IF(J1922=1,0,Inputs!$B$13)</f>
        <v>20</v>
      </c>
      <c r="P1922" s="15" t="n">
        <f aca="false">SUM(M1922:N1922)</f>
        <v>85</v>
      </c>
      <c r="Q1922" s="15" t="n">
        <f aca="false">IF(J1922=1,"",L1922-P1922)</f>
        <v>15</v>
      </c>
      <c r="R1922" s="15" t="n">
        <f aca="false">IF(OR(J1922=1,M1922&lt;=Inputs!$B$12),1,0)</f>
        <v>1</v>
      </c>
      <c r="S1922" s="15" t="n">
        <f aca="false">IF(OR(J1922=1,N1922&lt;=O1922),1,0)</f>
        <v>1</v>
      </c>
      <c r="T1922" s="15" t="str">
        <f aca="false">IF(J1922=1,"OFFLINE",IF(AND(Q1922&gt;=Inputs!$B$15,R1922=1,S1922=1,P1922&lt;=L1922),"PASS","FAIL"))</f>
        <v>PASS</v>
      </c>
    </row>
    <row r="1923" customFormat="false" ht="15" hidden="false" customHeight="false" outlineLevel="0" collapsed="false">
      <c r="A1923" s="14" t="s">
        <v>1036</v>
      </c>
      <c r="B1923" s="14" t="s">
        <v>1019</v>
      </c>
      <c r="C1923" s="14" t="s">
        <v>204</v>
      </c>
      <c r="D1923" s="14" t="s">
        <v>194</v>
      </c>
      <c r="E1923" s="14" t="s">
        <v>169</v>
      </c>
      <c r="F1923" s="14" t="s">
        <v>191</v>
      </c>
      <c r="G1923" s="14" t="n">
        <v>2</v>
      </c>
      <c r="H1923" s="14" t="s">
        <v>153</v>
      </c>
      <c r="I1923" s="14" t="s">
        <v>811</v>
      </c>
      <c r="J1923" s="15" t="n">
        <f aca="false">IF(B1923="SITE LOSS",IF(D1923=C1923,1,0),IF(B1923="REGION LOSS",IF(E1923=C1923,1,0),0))</f>
        <v>0</v>
      </c>
      <c r="K1923" s="15" t="n">
        <f aca="false">IF(B1923="SITE LOSS",IF(COUNTIFS('Site Dockets'!$B$7:$B$24,C1923,'Site Dockets'!$C$7:$C$24,F1923)&gt;0,1,0),IF(B1923="REGION LOSS",IF(COUNTIFS('Site Dockets'!$E$7:$E$24,C1923,'Site Dockets'!$C$7:$C$24,F1923)&gt;0,1,0),0))</f>
        <v>0</v>
      </c>
      <c r="L1923" s="15" t="n">
        <f aca="false">IF(J1923=1,0,Inputs!$B$11)</f>
        <v>100</v>
      </c>
      <c r="M1923" s="15" t="n">
        <f aca="false">IF(J1923=1,0,Inputs!$B$12)</f>
        <v>75</v>
      </c>
      <c r="N1923" s="15" t="n">
        <f aca="false">IF(J1923=1,0,IF(OR(AND(OR(B1923="SITE LOSS",B1923="REGION LOSS"),K1923=1),AND(B1923="ROLE COMPROMISE",H1923=C1923)),Inputs!$B$13,Inputs!$B$14))</f>
        <v>10</v>
      </c>
      <c r="O1923" s="15" t="n">
        <f aca="false">IF(J1923=1,0,Inputs!$B$13)</f>
        <v>20</v>
      </c>
      <c r="P1923" s="15" t="n">
        <f aca="false">SUM(M1923:N1923)</f>
        <v>85</v>
      </c>
      <c r="Q1923" s="15" t="n">
        <f aca="false">IF(J1923=1,"",L1923-P1923)</f>
        <v>15</v>
      </c>
      <c r="R1923" s="15" t="n">
        <f aca="false">IF(OR(J1923=1,M1923&lt;=Inputs!$B$12),1,0)</f>
        <v>1</v>
      </c>
      <c r="S1923" s="15" t="n">
        <f aca="false">IF(OR(J1923=1,N1923&lt;=O1923),1,0)</f>
        <v>1</v>
      </c>
      <c r="T1923" s="15" t="str">
        <f aca="false">IF(J1923=1,"OFFLINE",IF(AND(Q1923&gt;=Inputs!$B$15,R1923=1,S1923=1,P1923&lt;=L1923),"PASS","FAIL"))</f>
        <v>PASS</v>
      </c>
    </row>
    <row r="1924" customFormat="false" ht="15" hidden="false" customHeight="false" outlineLevel="0" collapsed="false">
      <c r="A1924" s="14" t="s">
        <v>1036</v>
      </c>
      <c r="B1924" s="14" t="s">
        <v>1019</v>
      </c>
      <c r="C1924" s="14" t="s">
        <v>204</v>
      </c>
      <c r="D1924" s="14" t="s">
        <v>194</v>
      </c>
      <c r="E1924" s="14" t="s">
        <v>169</v>
      </c>
      <c r="F1924" s="14" t="s">
        <v>191</v>
      </c>
      <c r="G1924" s="14" t="n">
        <v>2</v>
      </c>
      <c r="H1924" s="14" t="s">
        <v>153</v>
      </c>
      <c r="I1924" s="14" t="s">
        <v>895</v>
      </c>
      <c r="J1924" s="15" t="n">
        <f aca="false">IF(B1924="SITE LOSS",IF(D1924=C1924,1,0),IF(B1924="REGION LOSS",IF(E1924=C1924,1,0),0))</f>
        <v>0</v>
      </c>
      <c r="K1924" s="15" t="n">
        <f aca="false">IF(B1924="SITE LOSS",IF(COUNTIFS('Site Dockets'!$B$7:$B$24,C1924,'Site Dockets'!$C$7:$C$24,F1924)&gt;0,1,0),IF(B1924="REGION LOSS",IF(COUNTIFS('Site Dockets'!$E$7:$E$24,C1924,'Site Dockets'!$C$7:$C$24,F1924)&gt;0,1,0),0))</f>
        <v>0</v>
      </c>
      <c r="L1924" s="15" t="n">
        <f aca="false">IF(J1924=1,0,Inputs!$B$11)</f>
        <v>100</v>
      </c>
      <c r="M1924" s="15" t="n">
        <f aca="false">IF(J1924=1,0,Inputs!$B$12)</f>
        <v>75</v>
      </c>
      <c r="N1924" s="15" t="n">
        <f aca="false">IF(J1924=1,0,IF(OR(AND(OR(B1924="SITE LOSS",B1924="REGION LOSS"),K1924=1),AND(B1924="ROLE COMPROMISE",H1924=C1924)),Inputs!$B$13,Inputs!$B$14))</f>
        <v>10</v>
      </c>
      <c r="O1924" s="15" t="n">
        <f aca="false">IF(J1924=1,0,Inputs!$B$13)</f>
        <v>20</v>
      </c>
      <c r="P1924" s="15" t="n">
        <f aca="false">SUM(M1924:N1924)</f>
        <v>85</v>
      </c>
      <c r="Q1924" s="15" t="n">
        <f aca="false">IF(J1924=1,"",L1924-P1924)</f>
        <v>15</v>
      </c>
      <c r="R1924" s="15" t="n">
        <f aca="false">IF(OR(J1924=1,M1924&lt;=Inputs!$B$12),1,0)</f>
        <v>1</v>
      </c>
      <c r="S1924" s="15" t="n">
        <f aca="false">IF(OR(J1924=1,N1924&lt;=O1924),1,0)</f>
        <v>1</v>
      </c>
      <c r="T1924" s="15" t="str">
        <f aca="false">IF(J1924=1,"OFFLINE",IF(AND(Q1924&gt;=Inputs!$B$15,R1924=1,S1924=1,P1924&lt;=L1924),"PASS","FAIL"))</f>
        <v>PASS</v>
      </c>
    </row>
    <row r="1925" customFormat="false" ht="15" hidden="false" customHeight="false" outlineLevel="0" collapsed="false">
      <c r="A1925" s="14" t="s">
        <v>1036</v>
      </c>
      <c r="B1925" s="14" t="s">
        <v>1019</v>
      </c>
      <c r="C1925" s="14" t="s">
        <v>204</v>
      </c>
      <c r="D1925" s="14" t="s">
        <v>194</v>
      </c>
      <c r="E1925" s="14" t="s">
        <v>169</v>
      </c>
      <c r="F1925" s="14" t="s">
        <v>191</v>
      </c>
      <c r="G1925" s="14" t="n">
        <v>2</v>
      </c>
      <c r="H1925" s="14" t="s">
        <v>153</v>
      </c>
      <c r="I1925" s="14" t="s">
        <v>897</v>
      </c>
      <c r="J1925" s="15" t="n">
        <f aca="false">IF(B1925="SITE LOSS",IF(D1925=C1925,1,0),IF(B1925="REGION LOSS",IF(E1925=C1925,1,0),0))</f>
        <v>0</v>
      </c>
      <c r="K1925" s="15" t="n">
        <f aca="false">IF(B1925="SITE LOSS",IF(COUNTIFS('Site Dockets'!$B$7:$B$24,C1925,'Site Dockets'!$C$7:$C$24,F1925)&gt;0,1,0),IF(B1925="REGION LOSS",IF(COUNTIFS('Site Dockets'!$E$7:$E$24,C1925,'Site Dockets'!$C$7:$C$24,F1925)&gt;0,1,0),0))</f>
        <v>0</v>
      </c>
      <c r="L1925" s="15" t="n">
        <f aca="false">IF(J1925=1,0,Inputs!$B$11)</f>
        <v>100</v>
      </c>
      <c r="M1925" s="15" t="n">
        <f aca="false">IF(J1925=1,0,Inputs!$B$12)</f>
        <v>75</v>
      </c>
      <c r="N1925" s="15" t="n">
        <f aca="false">IF(J1925=1,0,IF(OR(AND(OR(B1925="SITE LOSS",B1925="REGION LOSS"),K1925=1),AND(B1925="ROLE COMPROMISE",H1925=C1925)),Inputs!$B$13,Inputs!$B$14))</f>
        <v>10</v>
      </c>
      <c r="O1925" s="15" t="n">
        <f aca="false">IF(J1925=1,0,Inputs!$B$13)</f>
        <v>20</v>
      </c>
      <c r="P1925" s="15" t="n">
        <f aca="false">SUM(M1925:N1925)</f>
        <v>85</v>
      </c>
      <c r="Q1925" s="15" t="n">
        <f aca="false">IF(J1925=1,"",L1925-P1925)</f>
        <v>15</v>
      </c>
      <c r="R1925" s="15" t="n">
        <f aca="false">IF(OR(J1925=1,M1925&lt;=Inputs!$B$12),1,0)</f>
        <v>1</v>
      </c>
      <c r="S1925" s="15" t="n">
        <f aca="false">IF(OR(J1925=1,N1925&lt;=O1925),1,0)</f>
        <v>1</v>
      </c>
      <c r="T1925" s="15" t="str">
        <f aca="false">IF(J1925=1,"OFFLINE",IF(AND(Q1925&gt;=Inputs!$B$15,R1925=1,S1925=1,P1925&lt;=L1925),"PASS","FAIL"))</f>
        <v>PASS</v>
      </c>
    </row>
    <row r="1926" customFormat="false" ht="15" hidden="false" customHeight="false" outlineLevel="0" collapsed="false">
      <c r="A1926" s="14" t="s">
        <v>1036</v>
      </c>
      <c r="B1926" s="14" t="s">
        <v>1019</v>
      </c>
      <c r="C1926" s="14" t="s">
        <v>204</v>
      </c>
      <c r="D1926" s="14" t="s">
        <v>194</v>
      </c>
      <c r="E1926" s="14" t="s">
        <v>169</v>
      </c>
      <c r="F1926" s="14" t="s">
        <v>191</v>
      </c>
      <c r="G1926" s="14" t="n">
        <v>2</v>
      </c>
      <c r="H1926" s="14" t="s">
        <v>153</v>
      </c>
      <c r="I1926" s="14" t="s">
        <v>899</v>
      </c>
      <c r="J1926" s="15" t="n">
        <f aca="false">IF(B1926="SITE LOSS",IF(D1926=C1926,1,0),IF(B1926="REGION LOSS",IF(E1926=C1926,1,0),0))</f>
        <v>0</v>
      </c>
      <c r="K1926" s="15" t="n">
        <f aca="false">IF(B1926="SITE LOSS",IF(COUNTIFS('Site Dockets'!$B$7:$B$24,C1926,'Site Dockets'!$C$7:$C$24,F1926)&gt;0,1,0),IF(B1926="REGION LOSS",IF(COUNTIFS('Site Dockets'!$E$7:$E$24,C1926,'Site Dockets'!$C$7:$C$24,F1926)&gt;0,1,0),0))</f>
        <v>0</v>
      </c>
      <c r="L1926" s="15" t="n">
        <f aca="false">IF(J1926=1,0,Inputs!$B$11)</f>
        <v>100</v>
      </c>
      <c r="M1926" s="15" t="n">
        <f aca="false">IF(J1926=1,0,Inputs!$B$12)</f>
        <v>75</v>
      </c>
      <c r="N1926" s="15" t="n">
        <f aca="false">IF(J1926=1,0,IF(OR(AND(OR(B1926="SITE LOSS",B1926="REGION LOSS"),K1926=1),AND(B1926="ROLE COMPROMISE",H1926=C1926)),Inputs!$B$13,Inputs!$B$14))</f>
        <v>10</v>
      </c>
      <c r="O1926" s="15" t="n">
        <f aca="false">IF(J1926=1,0,Inputs!$B$13)</f>
        <v>20</v>
      </c>
      <c r="P1926" s="15" t="n">
        <f aca="false">SUM(M1926:N1926)</f>
        <v>85</v>
      </c>
      <c r="Q1926" s="15" t="n">
        <f aca="false">IF(J1926=1,"",L1926-P1926)</f>
        <v>15</v>
      </c>
      <c r="R1926" s="15" t="n">
        <f aca="false">IF(OR(J1926=1,M1926&lt;=Inputs!$B$12),1,0)</f>
        <v>1</v>
      </c>
      <c r="S1926" s="15" t="n">
        <f aca="false">IF(OR(J1926=1,N1926&lt;=O1926),1,0)</f>
        <v>1</v>
      </c>
      <c r="T1926" s="15" t="str">
        <f aca="false">IF(J1926=1,"OFFLINE",IF(AND(Q1926&gt;=Inputs!$B$15,R1926=1,S1926=1,P1926&lt;=L1926),"PASS","FAIL"))</f>
        <v>PASS</v>
      </c>
    </row>
    <row r="1927" customFormat="false" ht="15" hidden="false" customHeight="false" outlineLevel="0" collapsed="false">
      <c r="A1927" s="14" t="s">
        <v>1036</v>
      </c>
      <c r="B1927" s="14" t="s">
        <v>1019</v>
      </c>
      <c r="C1927" s="14" t="s">
        <v>204</v>
      </c>
      <c r="D1927" s="14" t="s">
        <v>196</v>
      </c>
      <c r="E1927" s="14" t="s">
        <v>172</v>
      </c>
      <c r="F1927" s="14" t="s">
        <v>191</v>
      </c>
      <c r="G1927" s="14" t="n">
        <v>3</v>
      </c>
      <c r="H1927" s="14" t="s">
        <v>158</v>
      </c>
      <c r="I1927" s="14" t="s">
        <v>890</v>
      </c>
      <c r="J1927" s="15" t="n">
        <f aca="false">IF(B1927="SITE LOSS",IF(D1927=C1927,1,0),IF(B1927="REGION LOSS",IF(E1927=C1927,1,0),0))</f>
        <v>0</v>
      </c>
      <c r="K1927" s="15" t="n">
        <f aca="false">IF(B1927="SITE LOSS",IF(COUNTIFS('Site Dockets'!$B$7:$B$24,C1927,'Site Dockets'!$C$7:$C$24,F1927)&gt;0,1,0),IF(B1927="REGION LOSS",IF(COUNTIFS('Site Dockets'!$E$7:$E$24,C1927,'Site Dockets'!$C$7:$C$24,F1927)&gt;0,1,0),0))</f>
        <v>0</v>
      </c>
      <c r="L1927" s="15" t="n">
        <f aca="false">IF(J1927=1,0,Inputs!$B$11)</f>
        <v>100</v>
      </c>
      <c r="M1927" s="15" t="n">
        <f aca="false">IF(J1927=1,0,Inputs!$B$12)</f>
        <v>75</v>
      </c>
      <c r="N1927" s="15" t="n">
        <f aca="false">IF(J1927=1,0,IF(OR(AND(OR(B1927="SITE LOSS",B1927="REGION LOSS"),K1927=1),AND(B1927="ROLE COMPROMISE",H1927=C1927)),Inputs!$B$13,Inputs!$B$14))</f>
        <v>10</v>
      </c>
      <c r="O1927" s="15" t="n">
        <f aca="false">IF(J1927=1,0,Inputs!$B$13)</f>
        <v>20</v>
      </c>
      <c r="P1927" s="15" t="n">
        <f aca="false">SUM(M1927:N1927)</f>
        <v>85</v>
      </c>
      <c r="Q1927" s="15" t="n">
        <f aca="false">IF(J1927=1,"",L1927-P1927)</f>
        <v>15</v>
      </c>
      <c r="R1927" s="15" t="n">
        <f aca="false">IF(OR(J1927=1,M1927&lt;=Inputs!$B$12),1,0)</f>
        <v>1</v>
      </c>
      <c r="S1927" s="15" t="n">
        <f aca="false">IF(OR(J1927=1,N1927&lt;=O1927),1,0)</f>
        <v>1</v>
      </c>
      <c r="T1927" s="15" t="str">
        <f aca="false">IF(J1927=1,"OFFLINE",IF(AND(Q1927&gt;=Inputs!$B$15,R1927=1,S1927=1,P1927&lt;=L1927),"PASS","FAIL"))</f>
        <v>PASS</v>
      </c>
    </row>
    <row r="1928" customFormat="false" ht="15" hidden="false" customHeight="false" outlineLevel="0" collapsed="false">
      <c r="A1928" s="14" t="s">
        <v>1036</v>
      </c>
      <c r="B1928" s="14" t="s">
        <v>1019</v>
      </c>
      <c r="C1928" s="14" t="s">
        <v>204</v>
      </c>
      <c r="D1928" s="14" t="s">
        <v>196</v>
      </c>
      <c r="E1928" s="14" t="s">
        <v>172</v>
      </c>
      <c r="F1928" s="14" t="s">
        <v>191</v>
      </c>
      <c r="G1928" s="14" t="n">
        <v>3</v>
      </c>
      <c r="H1928" s="14" t="s">
        <v>158</v>
      </c>
      <c r="I1928" s="14" t="s">
        <v>892</v>
      </c>
      <c r="J1928" s="15" t="n">
        <f aca="false">IF(B1928="SITE LOSS",IF(D1928=C1928,1,0),IF(B1928="REGION LOSS",IF(E1928=C1928,1,0),0))</f>
        <v>0</v>
      </c>
      <c r="K1928" s="15" t="n">
        <f aca="false">IF(B1928="SITE LOSS",IF(COUNTIFS('Site Dockets'!$B$7:$B$24,C1928,'Site Dockets'!$C$7:$C$24,F1928)&gt;0,1,0),IF(B1928="REGION LOSS",IF(COUNTIFS('Site Dockets'!$E$7:$E$24,C1928,'Site Dockets'!$C$7:$C$24,F1928)&gt;0,1,0),0))</f>
        <v>0</v>
      </c>
      <c r="L1928" s="15" t="n">
        <f aca="false">IF(J1928=1,0,Inputs!$B$11)</f>
        <v>100</v>
      </c>
      <c r="M1928" s="15" t="n">
        <f aca="false">IF(J1928=1,0,Inputs!$B$12)</f>
        <v>75</v>
      </c>
      <c r="N1928" s="15" t="n">
        <f aca="false">IF(J1928=1,0,IF(OR(AND(OR(B1928="SITE LOSS",B1928="REGION LOSS"),K1928=1),AND(B1928="ROLE COMPROMISE",H1928=C1928)),Inputs!$B$13,Inputs!$B$14))</f>
        <v>10</v>
      </c>
      <c r="O1928" s="15" t="n">
        <f aca="false">IF(J1928=1,0,Inputs!$B$13)</f>
        <v>20</v>
      </c>
      <c r="P1928" s="15" t="n">
        <f aca="false">SUM(M1928:N1928)</f>
        <v>85</v>
      </c>
      <c r="Q1928" s="15" t="n">
        <f aca="false">IF(J1928=1,"",L1928-P1928)</f>
        <v>15</v>
      </c>
      <c r="R1928" s="15" t="n">
        <f aca="false">IF(OR(J1928=1,M1928&lt;=Inputs!$B$12),1,0)</f>
        <v>1</v>
      </c>
      <c r="S1928" s="15" t="n">
        <f aca="false">IF(OR(J1928=1,N1928&lt;=O1928),1,0)</f>
        <v>1</v>
      </c>
      <c r="T1928" s="15" t="str">
        <f aca="false">IF(J1928=1,"OFFLINE",IF(AND(Q1928&gt;=Inputs!$B$15,R1928=1,S1928=1,P1928&lt;=L1928),"PASS","FAIL"))</f>
        <v>PASS</v>
      </c>
    </row>
    <row r="1929" customFormat="false" ht="15" hidden="false" customHeight="false" outlineLevel="0" collapsed="false">
      <c r="A1929" s="14" t="s">
        <v>1036</v>
      </c>
      <c r="B1929" s="14" t="s">
        <v>1019</v>
      </c>
      <c r="C1929" s="14" t="s">
        <v>204</v>
      </c>
      <c r="D1929" s="14" t="s">
        <v>196</v>
      </c>
      <c r="E1929" s="14" t="s">
        <v>172</v>
      </c>
      <c r="F1929" s="14" t="s">
        <v>191</v>
      </c>
      <c r="G1929" s="14" t="n">
        <v>3</v>
      </c>
      <c r="H1929" s="14" t="s">
        <v>158</v>
      </c>
      <c r="I1929" s="14" t="s">
        <v>811</v>
      </c>
      <c r="J1929" s="15" t="n">
        <f aca="false">IF(B1929="SITE LOSS",IF(D1929=C1929,1,0),IF(B1929="REGION LOSS",IF(E1929=C1929,1,0),0))</f>
        <v>0</v>
      </c>
      <c r="K1929" s="15" t="n">
        <f aca="false">IF(B1929="SITE LOSS",IF(COUNTIFS('Site Dockets'!$B$7:$B$24,C1929,'Site Dockets'!$C$7:$C$24,F1929)&gt;0,1,0),IF(B1929="REGION LOSS",IF(COUNTIFS('Site Dockets'!$E$7:$E$24,C1929,'Site Dockets'!$C$7:$C$24,F1929)&gt;0,1,0),0))</f>
        <v>0</v>
      </c>
      <c r="L1929" s="15" t="n">
        <f aca="false">IF(J1929=1,0,Inputs!$B$11)</f>
        <v>100</v>
      </c>
      <c r="M1929" s="15" t="n">
        <f aca="false">IF(J1929=1,0,Inputs!$B$12)</f>
        <v>75</v>
      </c>
      <c r="N1929" s="15" t="n">
        <f aca="false">IF(J1929=1,0,IF(OR(AND(OR(B1929="SITE LOSS",B1929="REGION LOSS"),K1929=1),AND(B1929="ROLE COMPROMISE",H1929=C1929)),Inputs!$B$13,Inputs!$B$14))</f>
        <v>10</v>
      </c>
      <c r="O1929" s="15" t="n">
        <f aca="false">IF(J1929=1,0,Inputs!$B$13)</f>
        <v>20</v>
      </c>
      <c r="P1929" s="15" t="n">
        <f aca="false">SUM(M1929:N1929)</f>
        <v>85</v>
      </c>
      <c r="Q1929" s="15" t="n">
        <f aca="false">IF(J1929=1,"",L1929-P1929)</f>
        <v>15</v>
      </c>
      <c r="R1929" s="15" t="n">
        <f aca="false">IF(OR(J1929=1,M1929&lt;=Inputs!$B$12),1,0)</f>
        <v>1</v>
      </c>
      <c r="S1929" s="15" t="n">
        <f aca="false">IF(OR(J1929=1,N1929&lt;=O1929),1,0)</f>
        <v>1</v>
      </c>
      <c r="T1929" s="15" t="str">
        <f aca="false">IF(J1929=1,"OFFLINE",IF(AND(Q1929&gt;=Inputs!$B$15,R1929=1,S1929=1,P1929&lt;=L1929),"PASS","FAIL"))</f>
        <v>PASS</v>
      </c>
    </row>
    <row r="1930" customFormat="false" ht="15" hidden="false" customHeight="false" outlineLevel="0" collapsed="false">
      <c r="A1930" s="14" t="s">
        <v>1036</v>
      </c>
      <c r="B1930" s="14" t="s">
        <v>1019</v>
      </c>
      <c r="C1930" s="14" t="s">
        <v>204</v>
      </c>
      <c r="D1930" s="14" t="s">
        <v>196</v>
      </c>
      <c r="E1930" s="14" t="s">
        <v>172</v>
      </c>
      <c r="F1930" s="14" t="s">
        <v>191</v>
      </c>
      <c r="G1930" s="14" t="n">
        <v>3</v>
      </c>
      <c r="H1930" s="14" t="s">
        <v>158</v>
      </c>
      <c r="I1930" s="14" t="s">
        <v>895</v>
      </c>
      <c r="J1930" s="15" t="n">
        <f aca="false">IF(B1930="SITE LOSS",IF(D1930=C1930,1,0),IF(B1930="REGION LOSS",IF(E1930=C1930,1,0),0))</f>
        <v>0</v>
      </c>
      <c r="K1930" s="15" t="n">
        <f aca="false">IF(B1930="SITE LOSS",IF(COUNTIFS('Site Dockets'!$B$7:$B$24,C1930,'Site Dockets'!$C$7:$C$24,F1930)&gt;0,1,0),IF(B1930="REGION LOSS",IF(COUNTIFS('Site Dockets'!$E$7:$E$24,C1930,'Site Dockets'!$C$7:$C$24,F1930)&gt;0,1,0),0))</f>
        <v>0</v>
      </c>
      <c r="L1930" s="15" t="n">
        <f aca="false">IF(J1930=1,0,Inputs!$B$11)</f>
        <v>100</v>
      </c>
      <c r="M1930" s="15" t="n">
        <f aca="false">IF(J1930=1,0,Inputs!$B$12)</f>
        <v>75</v>
      </c>
      <c r="N1930" s="15" t="n">
        <f aca="false">IF(J1930=1,0,IF(OR(AND(OR(B1930="SITE LOSS",B1930="REGION LOSS"),K1930=1),AND(B1930="ROLE COMPROMISE",H1930=C1930)),Inputs!$B$13,Inputs!$B$14))</f>
        <v>10</v>
      </c>
      <c r="O1930" s="15" t="n">
        <f aca="false">IF(J1930=1,0,Inputs!$B$13)</f>
        <v>20</v>
      </c>
      <c r="P1930" s="15" t="n">
        <f aca="false">SUM(M1930:N1930)</f>
        <v>85</v>
      </c>
      <c r="Q1930" s="15" t="n">
        <f aca="false">IF(J1930=1,"",L1930-P1930)</f>
        <v>15</v>
      </c>
      <c r="R1930" s="15" t="n">
        <f aca="false">IF(OR(J1930=1,M1930&lt;=Inputs!$B$12),1,0)</f>
        <v>1</v>
      </c>
      <c r="S1930" s="15" t="n">
        <f aca="false">IF(OR(J1930=1,N1930&lt;=O1930),1,0)</f>
        <v>1</v>
      </c>
      <c r="T1930" s="15" t="str">
        <f aca="false">IF(J1930=1,"OFFLINE",IF(AND(Q1930&gt;=Inputs!$B$15,R1930=1,S1930=1,P1930&lt;=L1930),"PASS","FAIL"))</f>
        <v>PASS</v>
      </c>
    </row>
    <row r="1931" customFormat="false" ht="15" hidden="false" customHeight="false" outlineLevel="0" collapsed="false">
      <c r="A1931" s="14" t="s">
        <v>1036</v>
      </c>
      <c r="B1931" s="14" t="s">
        <v>1019</v>
      </c>
      <c r="C1931" s="14" t="s">
        <v>204</v>
      </c>
      <c r="D1931" s="14" t="s">
        <v>196</v>
      </c>
      <c r="E1931" s="14" t="s">
        <v>172</v>
      </c>
      <c r="F1931" s="14" t="s">
        <v>191</v>
      </c>
      <c r="G1931" s="14" t="n">
        <v>3</v>
      </c>
      <c r="H1931" s="14" t="s">
        <v>158</v>
      </c>
      <c r="I1931" s="14" t="s">
        <v>897</v>
      </c>
      <c r="J1931" s="15" t="n">
        <f aca="false">IF(B1931="SITE LOSS",IF(D1931=C1931,1,0),IF(B1931="REGION LOSS",IF(E1931=C1931,1,0),0))</f>
        <v>0</v>
      </c>
      <c r="K1931" s="15" t="n">
        <f aca="false">IF(B1931="SITE LOSS",IF(COUNTIFS('Site Dockets'!$B$7:$B$24,C1931,'Site Dockets'!$C$7:$C$24,F1931)&gt;0,1,0),IF(B1931="REGION LOSS",IF(COUNTIFS('Site Dockets'!$E$7:$E$24,C1931,'Site Dockets'!$C$7:$C$24,F1931)&gt;0,1,0),0))</f>
        <v>0</v>
      </c>
      <c r="L1931" s="15" t="n">
        <f aca="false">IF(J1931=1,0,Inputs!$B$11)</f>
        <v>100</v>
      </c>
      <c r="M1931" s="15" t="n">
        <f aca="false">IF(J1931=1,0,Inputs!$B$12)</f>
        <v>75</v>
      </c>
      <c r="N1931" s="15" t="n">
        <f aca="false">IF(J1931=1,0,IF(OR(AND(OR(B1931="SITE LOSS",B1931="REGION LOSS"),K1931=1),AND(B1931="ROLE COMPROMISE",H1931=C1931)),Inputs!$B$13,Inputs!$B$14))</f>
        <v>10</v>
      </c>
      <c r="O1931" s="15" t="n">
        <f aca="false">IF(J1931=1,0,Inputs!$B$13)</f>
        <v>20</v>
      </c>
      <c r="P1931" s="15" t="n">
        <f aca="false">SUM(M1931:N1931)</f>
        <v>85</v>
      </c>
      <c r="Q1931" s="15" t="n">
        <f aca="false">IF(J1931=1,"",L1931-P1931)</f>
        <v>15</v>
      </c>
      <c r="R1931" s="15" t="n">
        <f aca="false">IF(OR(J1931=1,M1931&lt;=Inputs!$B$12),1,0)</f>
        <v>1</v>
      </c>
      <c r="S1931" s="15" t="n">
        <f aca="false">IF(OR(J1931=1,N1931&lt;=O1931),1,0)</f>
        <v>1</v>
      </c>
      <c r="T1931" s="15" t="str">
        <f aca="false">IF(J1931=1,"OFFLINE",IF(AND(Q1931&gt;=Inputs!$B$15,R1931=1,S1931=1,P1931&lt;=L1931),"PASS","FAIL"))</f>
        <v>PASS</v>
      </c>
    </row>
    <row r="1932" customFormat="false" ht="15" hidden="false" customHeight="false" outlineLevel="0" collapsed="false">
      <c r="A1932" s="14" t="s">
        <v>1036</v>
      </c>
      <c r="B1932" s="14" t="s">
        <v>1019</v>
      </c>
      <c r="C1932" s="14" t="s">
        <v>204</v>
      </c>
      <c r="D1932" s="14" t="s">
        <v>196</v>
      </c>
      <c r="E1932" s="14" t="s">
        <v>172</v>
      </c>
      <c r="F1932" s="14" t="s">
        <v>191</v>
      </c>
      <c r="G1932" s="14" t="n">
        <v>3</v>
      </c>
      <c r="H1932" s="14" t="s">
        <v>158</v>
      </c>
      <c r="I1932" s="14" t="s">
        <v>899</v>
      </c>
      <c r="J1932" s="15" t="n">
        <f aca="false">IF(B1932="SITE LOSS",IF(D1932=C1932,1,0),IF(B1932="REGION LOSS",IF(E1932=C1932,1,0),0))</f>
        <v>0</v>
      </c>
      <c r="K1932" s="15" t="n">
        <f aca="false">IF(B1932="SITE LOSS",IF(COUNTIFS('Site Dockets'!$B$7:$B$24,C1932,'Site Dockets'!$C$7:$C$24,F1932)&gt;0,1,0),IF(B1932="REGION LOSS",IF(COUNTIFS('Site Dockets'!$E$7:$E$24,C1932,'Site Dockets'!$C$7:$C$24,F1932)&gt;0,1,0),0))</f>
        <v>0</v>
      </c>
      <c r="L1932" s="15" t="n">
        <f aca="false">IF(J1932=1,0,Inputs!$B$11)</f>
        <v>100</v>
      </c>
      <c r="M1932" s="15" t="n">
        <f aca="false">IF(J1932=1,0,Inputs!$B$12)</f>
        <v>75</v>
      </c>
      <c r="N1932" s="15" t="n">
        <f aca="false">IF(J1932=1,0,IF(OR(AND(OR(B1932="SITE LOSS",B1932="REGION LOSS"),K1932=1),AND(B1932="ROLE COMPROMISE",H1932=C1932)),Inputs!$B$13,Inputs!$B$14))</f>
        <v>10</v>
      </c>
      <c r="O1932" s="15" t="n">
        <f aca="false">IF(J1932=1,0,Inputs!$B$13)</f>
        <v>20</v>
      </c>
      <c r="P1932" s="15" t="n">
        <f aca="false">SUM(M1932:N1932)</f>
        <v>85</v>
      </c>
      <c r="Q1932" s="15" t="n">
        <f aca="false">IF(J1932=1,"",L1932-P1932)</f>
        <v>15</v>
      </c>
      <c r="R1932" s="15" t="n">
        <f aca="false">IF(OR(J1932=1,M1932&lt;=Inputs!$B$12),1,0)</f>
        <v>1</v>
      </c>
      <c r="S1932" s="15" t="n">
        <f aca="false">IF(OR(J1932=1,N1932&lt;=O1932),1,0)</f>
        <v>1</v>
      </c>
      <c r="T1932" s="15" t="str">
        <f aca="false">IF(J1932=1,"OFFLINE",IF(AND(Q1932&gt;=Inputs!$B$15,R1932=1,S1932=1,P1932&lt;=L1932),"PASS","FAIL"))</f>
        <v>PASS</v>
      </c>
    </row>
    <row r="1933" customFormat="false" ht="15" hidden="false" customHeight="false" outlineLevel="0" collapsed="false">
      <c r="A1933" s="14" t="s">
        <v>1036</v>
      </c>
      <c r="B1933" s="14" t="s">
        <v>1019</v>
      </c>
      <c r="C1933" s="14" t="s">
        <v>204</v>
      </c>
      <c r="D1933" s="14" t="s">
        <v>198</v>
      </c>
      <c r="E1933" s="14" t="s">
        <v>166</v>
      </c>
      <c r="F1933" s="14" t="s">
        <v>199</v>
      </c>
      <c r="G1933" s="14" t="n">
        <v>1</v>
      </c>
      <c r="H1933" s="14" t="s">
        <v>154</v>
      </c>
      <c r="I1933" s="14" t="s">
        <v>890</v>
      </c>
      <c r="J1933" s="15" t="n">
        <f aca="false">IF(B1933="SITE LOSS",IF(D1933=C1933,1,0),IF(B1933="REGION LOSS",IF(E1933=C1933,1,0),0))</f>
        <v>0</v>
      </c>
      <c r="K1933" s="15" t="n">
        <f aca="false">IF(B1933="SITE LOSS",IF(COUNTIFS('Site Dockets'!$B$7:$B$24,C1933,'Site Dockets'!$C$7:$C$24,F1933)&gt;0,1,0),IF(B1933="REGION LOSS",IF(COUNTIFS('Site Dockets'!$E$7:$E$24,C1933,'Site Dockets'!$C$7:$C$24,F1933)&gt;0,1,0),0))</f>
        <v>1</v>
      </c>
      <c r="L1933" s="15" t="n">
        <f aca="false">IF(J1933=1,0,Inputs!$B$11)</f>
        <v>100</v>
      </c>
      <c r="M1933" s="15" t="n">
        <f aca="false">IF(J1933=1,0,Inputs!$B$12)</f>
        <v>75</v>
      </c>
      <c r="N1933" s="15" t="n">
        <f aca="false">IF(J1933=1,0,IF(OR(AND(OR(B1933="SITE LOSS",B1933="REGION LOSS"),K1933=1),AND(B1933="ROLE COMPROMISE",H1933=C1933)),Inputs!$B$13,Inputs!$B$14))</f>
        <v>20</v>
      </c>
      <c r="O1933" s="15" t="n">
        <f aca="false">IF(J1933=1,0,Inputs!$B$13)</f>
        <v>20</v>
      </c>
      <c r="P1933" s="15" t="n">
        <f aca="false">SUM(M1933:N1933)</f>
        <v>95</v>
      </c>
      <c r="Q1933" s="15" t="n">
        <f aca="false">IF(J1933=1,"",L1933-P1933)</f>
        <v>5</v>
      </c>
      <c r="R1933" s="15" t="n">
        <f aca="false">IF(OR(J1933=1,M1933&lt;=Inputs!$B$12),1,0)</f>
        <v>1</v>
      </c>
      <c r="S1933" s="15" t="n">
        <f aca="false">IF(OR(J1933=1,N1933&lt;=O1933),1,0)</f>
        <v>1</v>
      </c>
      <c r="T1933" s="15" t="str">
        <f aca="false">IF(J1933=1,"OFFLINE",IF(AND(Q1933&gt;=Inputs!$B$15,R1933=1,S1933=1,P1933&lt;=L1933),"PASS","FAIL"))</f>
        <v>PASS</v>
      </c>
    </row>
    <row r="1934" customFormat="false" ht="15" hidden="false" customHeight="false" outlineLevel="0" collapsed="false">
      <c r="A1934" s="14" t="s">
        <v>1036</v>
      </c>
      <c r="B1934" s="14" t="s">
        <v>1019</v>
      </c>
      <c r="C1934" s="14" t="s">
        <v>204</v>
      </c>
      <c r="D1934" s="14" t="s">
        <v>198</v>
      </c>
      <c r="E1934" s="14" t="s">
        <v>166</v>
      </c>
      <c r="F1934" s="14" t="s">
        <v>199</v>
      </c>
      <c r="G1934" s="14" t="n">
        <v>1</v>
      </c>
      <c r="H1934" s="14" t="s">
        <v>154</v>
      </c>
      <c r="I1934" s="14" t="s">
        <v>892</v>
      </c>
      <c r="J1934" s="15" t="n">
        <f aca="false">IF(B1934="SITE LOSS",IF(D1934=C1934,1,0),IF(B1934="REGION LOSS",IF(E1934=C1934,1,0),0))</f>
        <v>0</v>
      </c>
      <c r="K1934" s="15" t="n">
        <f aca="false">IF(B1934="SITE LOSS",IF(COUNTIFS('Site Dockets'!$B$7:$B$24,C1934,'Site Dockets'!$C$7:$C$24,F1934)&gt;0,1,0),IF(B1934="REGION LOSS",IF(COUNTIFS('Site Dockets'!$E$7:$E$24,C1934,'Site Dockets'!$C$7:$C$24,F1934)&gt;0,1,0),0))</f>
        <v>1</v>
      </c>
      <c r="L1934" s="15" t="n">
        <f aca="false">IF(J1934=1,0,Inputs!$B$11)</f>
        <v>100</v>
      </c>
      <c r="M1934" s="15" t="n">
        <f aca="false">IF(J1934=1,0,Inputs!$B$12)</f>
        <v>75</v>
      </c>
      <c r="N1934" s="15" t="n">
        <f aca="false">IF(J1934=1,0,IF(OR(AND(OR(B1934="SITE LOSS",B1934="REGION LOSS"),K1934=1),AND(B1934="ROLE COMPROMISE",H1934=C1934)),Inputs!$B$13,Inputs!$B$14))</f>
        <v>20</v>
      </c>
      <c r="O1934" s="15" t="n">
        <f aca="false">IF(J1934=1,0,Inputs!$B$13)</f>
        <v>20</v>
      </c>
      <c r="P1934" s="15" t="n">
        <f aca="false">SUM(M1934:N1934)</f>
        <v>95</v>
      </c>
      <c r="Q1934" s="15" t="n">
        <f aca="false">IF(J1934=1,"",L1934-P1934)</f>
        <v>5</v>
      </c>
      <c r="R1934" s="15" t="n">
        <f aca="false">IF(OR(J1934=1,M1934&lt;=Inputs!$B$12),1,0)</f>
        <v>1</v>
      </c>
      <c r="S1934" s="15" t="n">
        <f aca="false">IF(OR(J1934=1,N1934&lt;=O1934),1,0)</f>
        <v>1</v>
      </c>
      <c r="T1934" s="15" t="str">
        <f aca="false">IF(J1934=1,"OFFLINE",IF(AND(Q1934&gt;=Inputs!$B$15,R1934=1,S1934=1,P1934&lt;=L1934),"PASS","FAIL"))</f>
        <v>PASS</v>
      </c>
    </row>
    <row r="1935" customFormat="false" ht="15" hidden="false" customHeight="false" outlineLevel="0" collapsed="false">
      <c r="A1935" s="14" t="s">
        <v>1036</v>
      </c>
      <c r="B1935" s="14" t="s">
        <v>1019</v>
      </c>
      <c r="C1935" s="14" t="s">
        <v>204</v>
      </c>
      <c r="D1935" s="14" t="s">
        <v>198</v>
      </c>
      <c r="E1935" s="14" t="s">
        <v>166</v>
      </c>
      <c r="F1935" s="14" t="s">
        <v>199</v>
      </c>
      <c r="G1935" s="14" t="n">
        <v>1</v>
      </c>
      <c r="H1935" s="14" t="s">
        <v>154</v>
      </c>
      <c r="I1935" s="14" t="s">
        <v>811</v>
      </c>
      <c r="J1935" s="15" t="n">
        <f aca="false">IF(B1935="SITE LOSS",IF(D1935=C1935,1,0),IF(B1935="REGION LOSS",IF(E1935=C1935,1,0),0))</f>
        <v>0</v>
      </c>
      <c r="K1935" s="15" t="n">
        <f aca="false">IF(B1935="SITE LOSS",IF(COUNTIFS('Site Dockets'!$B$7:$B$24,C1935,'Site Dockets'!$C$7:$C$24,F1935)&gt;0,1,0),IF(B1935="REGION LOSS",IF(COUNTIFS('Site Dockets'!$E$7:$E$24,C1935,'Site Dockets'!$C$7:$C$24,F1935)&gt;0,1,0),0))</f>
        <v>1</v>
      </c>
      <c r="L1935" s="15" t="n">
        <f aca="false">IF(J1935=1,0,Inputs!$B$11)</f>
        <v>100</v>
      </c>
      <c r="M1935" s="15" t="n">
        <f aca="false">IF(J1935=1,0,Inputs!$B$12)</f>
        <v>75</v>
      </c>
      <c r="N1935" s="15" t="n">
        <f aca="false">IF(J1935=1,0,IF(OR(AND(OR(B1935="SITE LOSS",B1935="REGION LOSS"),K1935=1),AND(B1935="ROLE COMPROMISE",H1935=C1935)),Inputs!$B$13,Inputs!$B$14))</f>
        <v>20</v>
      </c>
      <c r="O1935" s="15" t="n">
        <f aca="false">IF(J1935=1,0,Inputs!$B$13)</f>
        <v>20</v>
      </c>
      <c r="P1935" s="15" t="n">
        <f aca="false">SUM(M1935:N1935)</f>
        <v>95</v>
      </c>
      <c r="Q1935" s="15" t="n">
        <f aca="false">IF(J1935=1,"",L1935-P1935)</f>
        <v>5</v>
      </c>
      <c r="R1935" s="15" t="n">
        <f aca="false">IF(OR(J1935=1,M1935&lt;=Inputs!$B$12),1,0)</f>
        <v>1</v>
      </c>
      <c r="S1935" s="15" t="n">
        <f aca="false">IF(OR(J1935=1,N1935&lt;=O1935),1,0)</f>
        <v>1</v>
      </c>
      <c r="T1935" s="15" t="str">
        <f aca="false">IF(J1935=1,"OFFLINE",IF(AND(Q1935&gt;=Inputs!$B$15,R1935=1,S1935=1,P1935&lt;=L1935),"PASS","FAIL"))</f>
        <v>PASS</v>
      </c>
    </row>
    <row r="1936" customFormat="false" ht="15" hidden="false" customHeight="false" outlineLevel="0" collapsed="false">
      <c r="A1936" s="14" t="s">
        <v>1036</v>
      </c>
      <c r="B1936" s="14" t="s">
        <v>1019</v>
      </c>
      <c r="C1936" s="14" t="s">
        <v>204</v>
      </c>
      <c r="D1936" s="14" t="s">
        <v>198</v>
      </c>
      <c r="E1936" s="14" t="s">
        <v>166</v>
      </c>
      <c r="F1936" s="14" t="s">
        <v>199</v>
      </c>
      <c r="G1936" s="14" t="n">
        <v>1</v>
      </c>
      <c r="H1936" s="14" t="s">
        <v>154</v>
      </c>
      <c r="I1936" s="14" t="s">
        <v>895</v>
      </c>
      <c r="J1936" s="15" t="n">
        <f aca="false">IF(B1936="SITE LOSS",IF(D1936=C1936,1,0),IF(B1936="REGION LOSS",IF(E1936=C1936,1,0),0))</f>
        <v>0</v>
      </c>
      <c r="K1936" s="15" t="n">
        <f aca="false">IF(B1936="SITE LOSS",IF(COUNTIFS('Site Dockets'!$B$7:$B$24,C1936,'Site Dockets'!$C$7:$C$24,F1936)&gt;0,1,0),IF(B1936="REGION LOSS",IF(COUNTIFS('Site Dockets'!$E$7:$E$24,C1936,'Site Dockets'!$C$7:$C$24,F1936)&gt;0,1,0),0))</f>
        <v>1</v>
      </c>
      <c r="L1936" s="15" t="n">
        <f aca="false">IF(J1936=1,0,Inputs!$B$11)</f>
        <v>100</v>
      </c>
      <c r="M1936" s="15" t="n">
        <f aca="false">IF(J1936=1,0,Inputs!$B$12)</f>
        <v>75</v>
      </c>
      <c r="N1936" s="15" t="n">
        <f aca="false">IF(J1936=1,0,IF(OR(AND(OR(B1936="SITE LOSS",B1936="REGION LOSS"),K1936=1),AND(B1936="ROLE COMPROMISE",H1936=C1936)),Inputs!$B$13,Inputs!$B$14))</f>
        <v>20</v>
      </c>
      <c r="O1936" s="15" t="n">
        <f aca="false">IF(J1936=1,0,Inputs!$B$13)</f>
        <v>20</v>
      </c>
      <c r="P1936" s="15" t="n">
        <f aca="false">SUM(M1936:N1936)</f>
        <v>95</v>
      </c>
      <c r="Q1936" s="15" t="n">
        <f aca="false">IF(J1936=1,"",L1936-P1936)</f>
        <v>5</v>
      </c>
      <c r="R1936" s="15" t="n">
        <f aca="false">IF(OR(J1936=1,M1936&lt;=Inputs!$B$12),1,0)</f>
        <v>1</v>
      </c>
      <c r="S1936" s="15" t="n">
        <f aca="false">IF(OR(J1936=1,N1936&lt;=O1936),1,0)</f>
        <v>1</v>
      </c>
      <c r="T1936" s="15" t="str">
        <f aca="false">IF(J1936=1,"OFFLINE",IF(AND(Q1936&gt;=Inputs!$B$15,R1936=1,S1936=1,P1936&lt;=L1936),"PASS","FAIL"))</f>
        <v>PASS</v>
      </c>
    </row>
    <row r="1937" customFormat="false" ht="15" hidden="false" customHeight="false" outlineLevel="0" collapsed="false">
      <c r="A1937" s="14" t="s">
        <v>1036</v>
      </c>
      <c r="B1937" s="14" t="s">
        <v>1019</v>
      </c>
      <c r="C1937" s="14" t="s">
        <v>204</v>
      </c>
      <c r="D1937" s="14" t="s">
        <v>198</v>
      </c>
      <c r="E1937" s="14" t="s">
        <v>166</v>
      </c>
      <c r="F1937" s="14" t="s">
        <v>199</v>
      </c>
      <c r="G1937" s="14" t="n">
        <v>1</v>
      </c>
      <c r="H1937" s="14" t="s">
        <v>154</v>
      </c>
      <c r="I1937" s="14" t="s">
        <v>897</v>
      </c>
      <c r="J1937" s="15" t="n">
        <f aca="false">IF(B1937="SITE LOSS",IF(D1937=C1937,1,0),IF(B1937="REGION LOSS",IF(E1937=C1937,1,0),0))</f>
        <v>0</v>
      </c>
      <c r="K1937" s="15" t="n">
        <f aca="false">IF(B1937="SITE LOSS",IF(COUNTIFS('Site Dockets'!$B$7:$B$24,C1937,'Site Dockets'!$C$7:$C$24,F1937)&gt;0,1,0),IF(B1937="REGION LOSS",IF(COUNTIFS('Site Dockets'!$E$7:$E$24,C1937,'Site Dockets'!$C$7:$C$24,F1937)&gt;0,1,0),0))</f>
        <v>1</v>
      </c>
      <c r="L1937" s="15" t="n">
        <f aca="false">IF(J1937=1,0,Inputs!$B$11)</f>
        <v>100</v>
      </c>
      <c r="M1937" s="15" t="n">
        <f aca="false">IF(J1937=1,0,Inputs!$B$12)</f>
        <v>75</v>
      </c>
      <c r="N1937" s="15" t="n">
        <f aca="false">IF(J1937=1,0,IF(OR(AND(OR(B1937="SITE LOSS",B1937="REGION LOSS"),K1937=1),AND(B1937="ROLE COMPROMISE",H1937=C1937)),Inputs!$B$13,Inputs!$B$14))</f>
        <v>20</v>
      </c>
      <c r="O1937" s="15" t="n">
        <f aca="false">IF(J1937=1,0,Inputs!$B$13)</f>
        <v>20</v>
      </c>
      <c r="P1937" s="15" t="n">
        <f aca="false">SUM(M1937:N1937)</f>
        <v>95</v>
      </c>
      <c r="Q1937" s="15" t="n">
        <f aca="false">IF(J1937=1,"",L1937-P1937)</f>
        <v>5</v>
      </c>
      <c r="R1937" s="15" t="n">
        <f aca="false">IF(OR(J1937=1,M1937&lt;=Inputs!$B$12),1,0)</f>
        <v>1</v>
      </c>
      <c r="S1937" s="15" t="n">
        <f aca="false">IF(OR(J1937=1,N1937&lt;=O1937),1,0)</f>
        <v>1</v>
      </c>
      <c r="T1937" s="15" t="str">
        <f aca="false">IF(J1937=1,"OFFLINE",IF(AND(Q1937&gt;=Inputs!$B$15,R1937=1,S1937=1,P1937&lt;=L1937),"PASS","FAIL"))</f>
        <v>PASS</v>
      </c>
    </row>
    <row r="1938" customFormat="false" ht="15" hidden="false" customHeight="false" outlineLevel="0" collapsed="false">
      <c r="A1938" s="14" t="s">
        <v>1036</v>
      </c>
      <c r="B1938" s="14" t="s">
        <v>1019</v>
      </c>
      <c r="C1938" s="14" t="s">
        <v>204</v>
      </c>
      <c r="D1938" s="14" t="s">
        <v>198</v>
      </c>
      <c r="E1938" s="14" t="s">
        <v>166</v>
      </c>
      <c r="F1938" s="14" t="s">
        <v>199</v>
      </c>
      <c r="G1938" s="14" t="n">
        <v>1</v>
      </c>
      <c r="H1938" s="14" t="s">
        <v>154</v>
      </c>
      <c r="I1938" s="14" t="s">
        <v>899</v>
      </c>
      <c r="J1938" s="15" t="n">
        <f aca="false">IF(B1938="SITE LOSS",IF(D1938=C1938,1,0),IF(B1938="REGION LOSS",IF(E1938=C1938,1,0),0))</f>
        <v>0</v>
      </c>
      <c r="K1938" s="15" t="n">
        <f aca="false">IF(B1938="SITE LOSS",IF(COUNTIFS('Site Dockets'!$B$7:$B$24,C1938,'Site Dockets'!$C$7:$C$24,F1938)&gt;0,1,0),IF(B1938="REGION LOSS",IF(COUNTIFS('Site Dockets'!$E$7:$E$24,C1938,'Site Dockets'!$C$7:$C$24,F1938)&gt;0,1,0),0))</f>
        <v>1</v>
      </c>
      <c r="L1938" s="15" t="n">
        <f aca="false">IF(J1938=1,0,Inputs!$B$11)</f>
        <v>100</v>
      </c>
      <c r="M1938" s="15" t="n">
        <f aca="false">IF(J1938=1,0,Inputs!$B$12)</f>
        <v>75</v>
      </c>
      <c r="N1938" s="15" t="n">
        <f aca="false">IF(J1938=1,0,IF(OR(AND(OR(B1938="SITE LOSS",B1938="REGION LOSS"),K1938=1),AND(B1938="ROLE COMPROMISE",H1938=C1938)),Inputs!$B$13,Inputs!$B$14))</f>
        <v>20</v>
      </c>
      <c r="O1938" s="15" t="n">
        <f aca="false">IF(J1938=1,0,Inputs!$B$13)</f>
        <v>20</v>
      </c>
      <c r="P1938" s="15" t="n">
        <f aca="false">SUM(M1938:N1938)</f>
        <v>95</v>
      </c>
      <c r="Q1938" s="15" t="n">
        <f aca="false">IF(J1938=1,"",L1938-P1938)</f>
        <v>5</v>
      </c>
      <c r="R1938" s="15" t="n">
        <f aca="false">IF(OR(J1938=1,M1938&lt;=Inputs!$B$12),1,0)</f>
        <v>1</v>
      </c>
      <c r="S1938" s="15" t="n">
        <f aca="false">IF(OR(J1938=1,N1938&lt;=O1938),1,0)</f>
        <v>1</v>
      </c>
      <c r="T1938" s="15" t="str">
        <f aca="false">IF(J1938=1,"OFFLINE",IF(AND(Q1938&gt;=Inputs!$B$15,R1938=1,S1938=1,P1938&lt;=L1938),"PASS","FAIL"))</f>
        <v>PASS</v>
      </c>
    </row>
    <row r="1939" customFormat="false" ht="15" hidden="false" customHeight="false" outlineLevel="0" collapsed="false">
      <c r="A1939" s="14" t="s">
        <v>1036</v>
      </c>
      <c r="B1939" s="14" t="s">
        <v>1019</v>
      </c>
      <c r="C1939" s="14" t="s">
        <v>204</v>
      </c>
      <c r="D1939" s="14" t="s">
        <v>202</v>
      </c>
      <c r="E1939" s="14" t="s">
        <v>157</v>
      </c>
      <c r="F1939" s="14" t="s">
        <v>199</v>
      </c>
      <c r="G1939" s="14" t="n">
        <v>2</v>
      </c>
      <c r="H1939" s="14" t="s">
        <v>153</v>
      </c>
      <c r="I1939" s="14" t="s">
        <v>890</v>
      </c>
      <c r="J1939" s="15" t="n">
        <f aca="false">IF(B1939="SITE LOSS",IF(D1939=C1939,1,0),IF(B1939="REGION LOSS",IF(E1939=C1939,1,0),0))</f>
        <v>0</v>
      </c>
      <c r="K1939" s="15" t="n">
        <f aca="false">IF(B1939="SITE LOSS",IF(COUNTIFS('Site Dockets'!$B$7:$B$24,C1939,'Site Dockets'!$C$7:$C$24,F1939)&gt;0,1,0),IF(B1939="REGION LOSS",IF(COUNTIFS('Site Dockets'!$E$7:$E$24,C1939,'Site Dockets'!$C$7:$C$24,F1939)&gt;0,1,0),0))</f>
        <v>1</v>
      </c>
      <c r="L1939" s="15" t="n">
        <f aca="false">IF(J1939=1,0,Inputs!$B$11)</f>
        <v>100</v>
      </c>
      <c r="M1939" s="15" t="n">
        <f aca="false">IF(J1939=1,0,Inputs!$B$12)</f>
        <v>75</v>
      </c>
      <c r="N1939" s="15" t="n">
        <f aca="false">IF(J1939=1,0,IF(OR(AND(OR(B1939="SITE LOSS",B1939="REGION LOSS"),K1939=1),AND(B1939="ROLE COMPROMISE",H1939=C1939)),Inputs!$B$13,Inputs!$B$14))</f>
        <v>20</v>
      </c>
      <c r="O1939" s="15" t="n">
        <f aca="false">IF(J1939=1,0,Inputs!$B$13)</f>
        <v>20</v>
      </c>
      <c r="P1939" s="15" t="n">
        <f aca="false">SUM(M1939:N1939)</f>
        <v>95</v>
      </c>
      <c r="Q1939" s="15" t="n">
        <f aca="false">IF(J1939=1,"",L1939-P1939)</f>
        <v>5</v>
      </c>
      <c r="R1939" s="15" t="n">
        <f aca="false">IF(OR(J1939=1,M1939&lt;=Inputs!$B$12),1,0)</f>
        <v>1</v>
      </c>
      <c r="S1939" s="15" t="n">
        <f aca="false">IF(OR(J1939=1,N1939&lt;=O1939),1,0)</f>
        <v>1</v>
      </c>
      <c r="T1939" s="15" t="str">
        <f aca="false">IF(J1939=1,"OFFLINE",IF(AND(Q1939&gt;=Inputs!$B$15,R1939=1,S1939=1,P1939&lt;=L1939),"PASS","FAIL"))</f>
        <v>PASS</v>
      </c>
    </row>
    <row r="1940" customFormat="false" ht="15" hidden="false" customHeight="false" outlineLevel="0" collapsed="false">
      <c r="A1940" s="14" t="s">
        <v>1036</v>
      </c>
      <c r="B1940" s="14" t="s">
        <v>1019</v>
      </c>
      <c r="C1940" s="14" t="s">
        <v>204</v>
      </c>
      <c r="D1940" s="14" t="s">
        <v>202</v>
      </c>
      <c r="E1940" s="14" t="s">
        <v>157</v>
      </c>
      <c r="F1940" s="14" t="s">
        <v>199</v>
      </c>
      <c r="G1940" s="14" t="n">
        <v>2</v>
      </c>
      <c r="H1940" s="14" t="s">
        <v>153</v>
      </c>
      <c r="I1940" s="14" t="s">
        <v>892</v>
      </c>
      <c r="J1940" s="15" t="n">
        <f aca="false">IF(B1940="SITE LOSS",IF(D1940=C1940,1,0),IF(B1940="REGION LOSS",IF(E1940=C1940,1,0),0))</f>
        <v>0</v>
      </c>
      <c r="K1940" s="15" t="n">
        <f aca="false">IF(B1940="SITE LOSS",IF(COUNTIFS('Site Dockets'!$B$7:$B$24,C1940,'Site Dockets'!$C$7:$C$24,F1940)&gt;0,1,0),IF(B1940="REGION LOSS",IF(COUNTIFS('Site Dockets'!$E$7:$E$24,C1940,'Site Dockets'!$C$7:$C$24,F1940)&gt;0,1,0),0))</f>
        <v>1</v>
      </c>
      <c r="L1940" s="15" t="n">
        <f aca="false">IF(J1940=1,0,Inputs!$B$11)</f>
        <v>100</v>
      </c>
      <c r="M1940" s="15" t="n">
        <f aca="false">IF(J1940=1,0,Inputs!$B$12)</f>
        <v>75</v>
      </c>
      <c r="N1940" s="15" t="n">
        <f aca="false">IF(J1940=1,0,IF(OR(AND(OR(B1940="SITE LOSS",B1940="REGION LOSS"),K1940=1),AND(B1940="ROLE COMPROMISE",H1940=C1940)),Inputs!$B$13,Inputs!$B$14))</f>
        <v>20</v>
      </c>
      <c r="O1940" s="15" t="n">
        <f aca="false">IF(J1940=1,0,Inputs!$B$13)</f>
        <v>20</v>
      </c>
      <c r="P1940" s="15" t="n">
        <f aca="false">SUM(M1940:N1940)</f>
        <v>95</v>
      </c>
      <c r="Q1940" s="15" t="n">
        <f aca="false">IF(J1940=1,"",L1940-P1940)</f>
        <v>5</v>
      </c>
      <c r="R1940" s="15" t="n">
        <f aca="false">IF(OR(J1940=1,M1940&lt;=Inputs!$B$12),1,0)</f>
        <v>1</v>
      </c>
      <c r="S1940" s="15" t="n">
        <f aca="false">IF(OR(J1940=1,N1940&lt;=O1940),1,0)</f>
        <v>1</v>
      </c>
      <c r="T1940" s="15" t="str">
        <f aca="false">IF(J1940=1,"OFFLINE",IF(AND(Q1940&gt;=Inputs!$B$15,R1940=1,S1940=1,P1940&lt;=L1940),"PASS","FAIL"))</f>
        <v>PASS</v>
      </c>
    </row>
    <row r="1941" customFormat="false" ht="15" hidden="false" customHeight="false" outlineLevel="0" collapsed="false">
      <c r="A1941" s="14" t="s">
        <v>1036</v>
      </c>
      <c r="B1941" s="14" t="s">
        <v>1019</v>
      </c>
      <c r="C1941" s="14" t="s">
        <v>204</v>
      </c>
      <c r="D1941" s="14" t="s">
        <v>202</v>
      </c>
      <c r="E1941" s="14" t="s">
        <v>157</v>
      </c>
      <c r="F1941" s="14" t="s">
        <v>199</v>
      </c>
      <c r="G1941" s="14" t="n">
        <v>2</v>
      </c>
      <c r="H1941" s="14" t="s">
        <v>153</v>
      </c>
      <c r="I1941" s="14" t="s">
        <v>811</v>
      </c>
      <c r="J1941" s="15" t="n">
        <f aca="false">IF(B1941="SITE LOSS",IF(D1941=C1941,1,0),IF(B1941="REGION LOSS",IF(E1941=C1941,1,0),0))</f>
        <v>0</v>
      </c>
      <c r="K1941" s="15" t="n">
        <f aca="false">IF(B1941="SITE LOSS",IF(COUNTIFS('Site Dockets'!$B$7:$B$24,C1941,'Site Dockets'!$C$7:$C$24,F1941)&gt;0,1,0),IF(B1941="REGION LOSS",IF(COUNTIFS('Site Dockets'!$E$7:$E$24,C1941,'Site Dockets'!$C$7:$C$24,F1941)&gt;0,1,0),0))</f>
        <v>1</v>
      </c>
      <c r="L1941" s="15" t="n">
        <f aca="false">IF(J1941=1,0,Inputs!$B$11)</f>
        <v>100</v>
      </c>
      <c r="M1941" s="15" t="n">
        <f aca="false">IF(J1941=1,0,Inputs!$B$12)</f>
        <v>75</v>
      </c>
      <c r="N1941" s="15" t="n">
        <f aca="false">IF(J1941=1,0,IF(OR(AND(OR(B1941="SITE LOSS",B1941="REGION LOSS"),K1941=1),AND(B1941="ROLE COMPROMISE",H1941=C1941)),Inputs!$B$13,Inputs!$B$14))</f>
        <v>20</v>
      </c>
      <c r="O1941" s="15" t="n">
        <f aca="false">IF(J1941=1,0,Inputs!$B$13)</f>
        <v>20</v>
      </c>
      <c r="P1941" s="15" t="n">
        <f aca="false">SUM(M1941:N1941)</f>
        <v>95</v>
      </c>
      <c r="Q1941" s="15" t="n">
        <f aca="false">IF(J1941=1,"",L1941-P1941)</f>
        <v>5</v>
      </c>
      <c r="R1941" s="15" t="n">
        <f aca="false">IF(OR(J1941=1,M1941&lt;=Inputs!$B$12),1,0)</f>
        <v>1</v>
      </c>
      <c r="S1941" s="15" t="n">
        <f aca="false">IF(OR(J1941=1,N1941&lt;=O1941),1,0)</f>
        <v>1</v>
      </c>
      <c r="T1941" s="15" t="str">
        <f aca="false">IF(J1941=1,"OFFLINE",IF(AND(Q1941&gt;=Inputs!$B$15,R1941=1,S1941=1,P1941&lt;=L1941),"PASS","FAIL"))</f>
        <v>PASS</v>
      </c>
    </row>
    <row r="1942" customFormat="false" ht="15" hidden="false" customHeight="false" outlineLevel="0" collapsed="false">
      <c r="A1942" s="14" t="s">
        <v>1036</v>
      </c>
      <c r="B1942" s="14" t="s">
        <v>1019</v>
      </c>
      <c r="C1942" s="14" t="s">
        <v>204</v>
      </c>
      <c r="D1942" s="14" t="s">
        <v>202</v>
      </c>
      <c r="E1942" s="14" t="s">
        <v>157</v>
      </c>
      <c r="F1942" s="14" t="s">
        <v>199</v>
      </c>
      <c r="G1942" s="14" t="n">
        <v>2</v>
      </c>
      <c r="H1942" s="14" t="s">
        <v>153</v>
      </c>
      <c r="I1942" s="14" t="s">
        <v>895</v>
      </c>
      <c r="J1942" s="15" t="n">
        <f aca="false">IF(B1942="SITE LOSS",IF(D1942=C1942,1,0),IF(B1942="REGION LOSS",IF(E1942=C1942,1,0),0))</f>
        <v>0</v>
      </c>
      <c r="K1942" s="15" t="n">
        <f aca="false">IF(B1942="SITE LOSS",IF(COUNTIFS('Site Dockets'!$B$7:$B$24,C1942,'Site Dockets'!$C$7:$C$24,F1942)&gt;0,1,0),IF(B1942="REGION LOSS",IF(COUNTIFS('Site Dockets'!$E$7:$E$24,C1942,'Site Dockets'!$C$7:$C$24,F1942)&gt;0,1,0),0))</f>
        <v>1</v>
      </c>
      <c r="L1942" s="15" t="n">
        <f aca="false">IF(J1942=1,0,Inputs!$B$11)</f>
        <v>100</v>
      </c>
      <c r="M1942" s="15" t="n">
        <f aca="false">IF(J1942=1,0,Inputs!$B$12)</f>
        <v>75</v>
      </c>
      <c r="N1942" s="15" t="n">
        <f aca="false">IF(J1942=1,0,IF(OR(AND(OR(B1942="SITE LOSS",B1942="REGION LOSS"),K1942=1),AND(B1942="ROLE COMPROMISE",H1942=C1942)),Inputs!$B$13,Inputs!$B$14))</f>
        <v>20</v>
      </c>
      <c r="O1942" s="15" t="n">
        <f aca="false">IF(J1942=1,0,Inputs!$B$13)</f>
        <v>20</v>
      </c>
      <c r="P1942" s="15" t="n">
        <f aca="false">SUM(M1942:N1942)</f>
        <v>95</v>
      </c>
      <c r="Q1942" s="15" t="n">
        <f aca="false">IF(J1942=1,"",L1942-P1942)</f>
        <v>5</v>
      </c>
      <c r="R1942" s="15" t="n">
        <f aca="false">IF(OR(J1942=1,M1942&lt;=Inputs!$B$12),1,0)</f>
        <v>1</v>
      </c>
      <c r="S1942" s="15" t="n">
        <f aca="false">IF(OR(J1942=1,N1942&lt;=O1942),1,0)</f>
        <v>1</v>
      </c>
      <c r="T1942" s="15" t="str">
        <f aca="false">IF(J1942=1,"OFFLINE",IF(AND(Q1942&gt;=Inputs!$B$15,R1942=1,S1942=1,P1942&lt;=L1942),"PASS","FAIL"))</f>
        <v>PASS</v>
      </c>
    </row>
    <row r="1943" customFormat="false" ht="15" hidden="false" customHeight="false" outlineLevel="0" collapsed="false">
      <c r="A1943" s="14" t="s">
        <v>1036</v>
      </c>
      <c r="B1943" s="14" t="s">
        <v>1019</v>
      </c>
      <c r="C1943" s="14" t="s">
        <v>204</v>
      </c>
      <c r="D1943" s="14" t="s">
        <v>202</v>
      </c>
      <c r="E1943" s="14" t="s">
        <v>157</v>
      </c>
      <c r="F1943" s="14" t="s">
        <v>199</v>
      </c>
      <c r="G1943" s="14" t="n">
        <v>2</v>
      </c>
      <c r="H1943" s="14" t="s">
        <v>153</v>
      </c>
      <c r="I1943" s="14" t="s">
        <v>897</v>
      </c>
      <c r="J1943" s="15" t="n">
        <f aca="false">IF(B1943="SITE LOSS",IF(D1943=C1943,1,0),IF(B1943="REGION LOSS",IF(E1943=C1943,1,0),0))</f>
        <v>0</v>
      </c>
      <c r="K1943" s="15" t="n">
        <f aca="false">IF(B1943="SITE LOSS",IF(COUNTIFS('Site Dockets'!$B$7:$B$24,C1943,'Site Dockets'!$C$7:$C$24,F1943)&gt;0,1,0),IF(B1943="REGION LOSS",IF(COUNTIFS('Site Dockets'!$E$7:$E$24,C1943,'Site Dockets'!$C$7:$C$24,F1943)&gt;0,1,0),0))</f>
        <v>1</v>
      </c>
      <c r="L1943" s="15" t="n">
        <f aca="false">IF(J1943=1,0,Inputs!$B$11)</f>
        <v>100</v>
      </c>
      <c r="M1943" s="15" t="n">
        <f aca="false">IF(J1943=1,0,Inputs!$B$12)</f>
        <v>75</v>
      </c>
      <c r="N1943" s="15" t="n">
        <f aca="false">IF(J1943=1,0,IF(OR(AND(OR(B1943="SITE LOSS",B1943="REGION LOSS"),K1943=1),AND(B1943="ROLE COMPROMISE",H1943=C1943)),Inputs!$B$13,Inputs!$B$14))</f>
        <v>20</v>
      </c>
      <c r="O1943" s="15" t="n">
        <f aca="false">IF(J1943=1,0,Inputs!$B$13)</f>
        <v>20</v>
      </c>
      <c r="P1943" s="15" t="n">
        <f aca="false">SUM(M1943:N1943)</f>
        <v>95</v>
      </c>
      <c r="Q1943" s="15" t="n">
        <f aca="false">IF(J1943=1,"",L1943-P1943)</f>
        <v>5</v>
      </c>
      <c r="R1943" s="15" t="n">
        <f aca="false">IF(OR(J1943=1,M1943&lt;=Inputs!$B$12),1,0)</f>
        <v>1</v>
      </c>
      <c r="S1943" s="15" t="n">
        <f aca="false">IF(OR(J1943=1,N1943&lt;=O1943),1,0)</f>
        <v>1</v>
      </c>
      <c r="T1943" s="15" t="str">
        <f aca="false">IF(J1943=1,"OFFLINE",IF(AND(Q1943&gt;=Inputs!$B$15,R1943=1,S1943=1,P1943&lt;=L1943),"PASS","FAIL"))</f>
        <v>PASS</v>
      </c>
    </row>
    <row r="1944" customFormat="false" ht="15" hidden="false" customHeight="false" outlineLevel="0" collapsed="false">
      <c r="A1944" s="14" t="s">
        <v>1036</v>
      </c>
      <c r="B1944" s="14" t="s">
        <v>1019</v>
      </c>
      <c r="C1944" s="14" t="s">
        <v>204</v>
      </c>
      <c r="D1944" s="14" t="s">
        <v>202</v>
      </c>
      <c r="E1944" s="14" t="s">
        <v>157</v>
      </c>
      <c r="F1944" s="14" t="s">
        <v>199</v>
      </c>
      <c r="G1944" s="14" t="n">
        <v>2</v>
      </c>
      <c r="H1944" s="14" t="s">
        <v>153</v>
      </c>
      <c r="I1944" s="14" t="s">
        <v>899</v>
      </c>
      <c r="J1944" s="15" t="n">
        <f aca="false">IF(B1944="SITE LOSS",IF(D1944=C1944,1,0),IF(B1944="REGION LOSS",IF(E1944=C1944,1,0),0))</f>
        <v>0</v>
      </c>
      <c r="K1944" s="15" t="n">
        <f aca="false">IF(B1944="SITE LOSS",IF(COUNTIFS('Site Dockets'!$B$7:$B$24,C1944,'Site Dockets'!$C$7:$C$24,F1944)&gt;0,1,0),IF(B1944="REGION LOSS",IF(COUNTIFS('Site Dockets'!$E$7:$E$24,C1944,'Site Dockets'!$C$7:$C$24,F1944)&gt;0,1,0),0))</f>
        <v>1</v>
      </c>
      <c r="L1944" s="15" t="n">
        <f aca="false">IF(J1944=1,0,Inputs!$B$11)</f>
        <v>100</v>
      </c>
      <c r="M1944" s="15" t="n">
        <f aca="false">IF(J1944=1,0,Inputs!$B$12)</f>
        <v>75</v>
      </c>
      <c r="N1944" s="15" t="n">
        <f aca="false">IF(J1944=1,0,IF(OR(AND(OR(B1944="SITE LOSS",B1944="REGION LOSS"),K1944=1),AND(B1944="ROLE COMPROMISE",H1944=C1944)),Inputs!$B$13,Inputs!$B$14))</f>
        <v>20</v>
      </c>
      <c r="O1944" s="15" t="n">
        <f aca="false">IF(J1944=1,0,Inputs!$B$13)</f>
        <v>20</v>
      </c>
      <c r="P1944" s="15" t="n">
        <f aca="false">SUM(M1944:N1944)</f>
        <v>95</v>
      </c>
      <c r="Q1944" s="15" t="n">
        <f aca="false">IF(J1944=1,"",L1944-P1944)</f>
        <v>5</v>
      </c>
      <c r="R1944" s="15" t="n">
        <f aca="false">IF(OR(J1944=1,M1944&lt;=Inputs!$B$12),1,0)</f>
        <v>1</v>
      </c>
      <c r="S1944" s="15" t="n">
        <f aca="false">IF(OR(J1944=1,N1944&lt;=O1944),1,0)</f>
        <v>1</v>
      </c>
      <c r="T1944" s="15" t="str">
        <f aca="false">IF(J1944=1,"OFFLINE",IF(AND(Q1944&gt;=Inputs!$B$15,R1944=1,S1944=1,P1944&lt;=L1944),"PASS","FAIL"))</f>
        <v>PASS</v>
      </c>
    </row>
    <row r="1945" customFormat="false" ht="15" hidden="false" customHeight="false" outlineLevel="0" collapsed="false">
      <c r="A1945" s="14" t="s">
        <v>1036</v>
      </c>
      <c r="B1945" s="14" t="s">
        <v>1019</v>
      </c>
      <c r="C1945" s="14" t="s">
        <v>204</v>
      </c>
      <c r="D1945" s="14" t="s">
        <v>204</v>
      </c>
      <c r="E1945" s="14" t="s">
        <v>161</v>
      </c>
      <c r="F1945" s="14" t="s">
        <v>199</v>
      </c>
      <c r="G1945" s="14" t="n">
        <v>3</v>
      </c>
      <c r="H1945" s="14" t="s">
        <v>158</v>
      </c>
      <c r="I1945" s="14" t="s">
        <v>890</v>
      </c>
      <c r="J1945" s="15" t="n">
        <f aca="false">IF(B1945="SITE LOSS",IF(D1945=C1945,1,0),IF(B1945="REGION LOSS",IF(E1945=C1945,1,0),0))</f>
        <v>1</v>
      </c>
      <c r="K1945" s="15" t="n">
        <f aca="false">IF(B1945="SITE LOSS",IF(COUNTIFS('Site Dockets'!$B$7:$B$24,C1945,'Site Dockets'!$C$7:$C$24,F1945)&gt;0,1,0),IF(B1945="REGION LOSS",IF(COUNTIFS('Site Dockets'!$E$7:$E$24,C1945,'Site Dockets'!$C$7:$C$24,F1945)&gt;0,1,0),0))</f>
        <v>1</v>
      </c>
      <c r="L1945" s="15" t="n">
        <f aca="false">IF(J1945=1,0,Inputs!$B$11)</f>
        <v>0</v>
      </c>
      <c r="M1945" s="15" t="n">
        <f aca="false">IF(J1945=1,0,Inputs!$B$12)</f>
        <v>0</v>
      </c>
      <c r="N1945" s="15" t="n">
        <f aca="false">IF(J1945=1,0,IF(OR(AND(OR(B1945="SITE LOSS",B1945="REGION LOSS"),K1945=1),AND(B1945="ROLE COMPROMISE",H1945=C1945)),Inputs!$B$13,Inputs!$B$14))</f>
        <v>0</v>
      </c>
      <c r="O1945" s="15" t="n">
        <f aca="false">IF(J1945=1,0,Inputs!$B$13)</f>
        <v>0</v>
      </c>
      <c r="P1945" s="15" t="n">
        <f aca="false">SUM(M1945:N1945)</f>
        <v>0</v>
      </c>
      <c r="Q1945" s="15" t="str">
        <f aca="false">IF(J1945=1,"",L1945-P1945)</f>
        <v/>
      </c>
      <c r="R1945" s="15" t="n">
        <f aca="false">IF(OR(J1945=1,M1945&lt;=Inputs!$B$12),1,0)</f>
        <v>1</v>
      </c>
      <c r="S1945" s="15" t="n">
        <f aca="false">IF(OR(J1945=1,N1945&lt;=O1945),1,0)</f>
        <v>1</v>
      </c>
      <c r="T1945" s="15" t="str">
        <f aca="false">IF(J1945=1,"OFFLINE",IF(AND(Q1945&gt;=Inputs!$B$15,R1945=1,S1945=1,P1945&lt;=L1945),"PASS","FAIL"))</f>
        <v>OFFLINE</v>
      </c>
    </row>
    <row r="1946" customFormat="false" ht="15" hidden="false" customHeight="false" outlineLevel="0" collapsed="false">
      <c r="A1946" s="14" t="s">
        <v>1036</v>
      </c>
      <c r="B1946" s="14" t="s">
        <v>1019</v>
      </c>
      <c r="C1946" s="14" t="s">
        <v>204</v>
      </c>
      <c r="D1946" s="14" t="s">
        <v>204</v>
      </c>
      <c r="E1946" s="14" t="s">
        <v>161</v>
      </c>
      <c r="F1946" s="14" t="s">
        <v>199</v>
      </c>
      <c r="G1946" s="14" t="n">
        <v>3</v>
      </c>
      <c r="H1946" s="14" t="s">
        <v>158</v>
      </c>
      <c r="I1946" s="14" t="s">
        <v>892</v>
      </c>
      <c r="J1946" s="15" t="n">
        <f aca="false">IF(B1946="SITE LOSS",IF(D1946=C1946,1,0),IF(B1946="REGION LOSS",IF(E1946=C1946,1,0),0))</f>
        <v>1</v>
      </c>
      <c r="K1946" s="15" t="n">
        <f aca="false">IF(B1946="SITE LOSS",IF(COUNTIFS('Site Dockets'!$B$7:$B$24,C1946,'Site Dockets'!$C$7:$C$24,F1946)&gt;0,1,0),IF(B1946="REGION LOSS",IF(COUNTIFS('Site Dockets'!$E$7:$E$24,C1946,'Site Dockets'!$C$7:$C$24,F1946)&gt;0,1,0),0))</f>
        <v>1</v>
      </c>
      <c r="L1946" s="15" t="n">
        <f aca="false">IF(J1946=1,0,Inputs!$B$11)</f>
        <v>0</v>
      </c>
      <c r="M1946" s="15" t="n">
        <f aca="false">IF(J1946=1,0,Inputs!$B$12)</f>
        <v>0</v>
      </c>
      <c r="N1946" s="15" t="n">
        <f aca="false">IF(J1946=1,0,IF(OR(AND(OR(B1946="SITE LOSS",B1946="REGION LOSS"),K1946=1),AND(B1946="ROLE COMPROMISE",H1946=C1946)),Inputs!$B$13,Inputs!$B$14))</f>
        <v>0</v>
      </c>
      <c r="O1946" s="15" t="n">
        <f aca="false">IF(J1946=1,0,Inputs!$B$13)</f>
        <v>0</v>
      </c>
      <c r="P1946" s="15" t="n">
        <f aca="false">SUM(M1946:N1946)</f>
        <v>0</v>
      </c>
      <c r="Q1946" s="15" t="str">
        <f aca="false">IF(J1946=1,"",L1946-P1946)</f>
        <v/>
      </c>
      <c r="R1946" s="15" t="n">
        <f aca="false">IF(OR(J1946=1,M1946&lt;=Inputs!$B$12),1,0)</f>
        <v>1</v>
      </c>
      <c r="S1946" s="15" t="n">
        <f aca="false">IF(OR(J1946=1,N1946&lt;=O1946),1,0)</f>
        <v>1</v>
      </c>
      <c r="T1946" s="15" t="str">
        <f aca="false">IF(J1946=1,"OFFLINE",IF(AND(Q1946&gt;=Inputs!$B$15,R1946=1,S1946=1,P1946&lt;=L1946),"PASS","FAIL"))</f>
        <v>OFFLINE</v>
      </c>
    </row>
    <row r="1947" customFormat="false" ht="15" hidden="false" customHeight="false" outlineLevel="0" collapsed="false">
      <c r="A1947" s="14" t="s">
        <v>1036</v>
      </c>
      <c r="B1947" s="14" t="s">
        <v>1019</v>
      </c>
      <c r="C1947" s="14" t="s">
        <v>204</v>
      </c>
      <c r="D1947" s="14" t="s">
        <v>204</v>
      </c>
      <c r="E1947" s="14" t="s">
        <v>161</v>
      </c>
      <c r="F1947" s="14" t="s">
        <v>199</v>
      </c>
      <c r="G1947" s="14" t="n">
        <v>3</v>
      </c>
      <c r="H1947" s="14" t="s">
        <v>158</v>
      </c>
      <c r="I1947" s="14" t="s">
        <v>811</v>
      </c>
      <c r="J1947" s="15" t="n">
        <f aca="false">IF(B1947="SITE LOSS",IF(D1947=C1947,1,0),IF(B1947="REGION LOSS",IF(E1947=C1947,1,0),0))</f>
        <v>1</v>
      </c>
      <c r="K1947" s="15" t="n">
        <f aca="false">IF(B1947="SITE LOSS",IF(COUNTIFS('Site Dockets'!$B$7:$B$24,C1947,'Site Dockets'!$C$7:$C$24,F1947)&gt;0,1,0),IF(B1947="REGION LOSS",IF(COUNTIFS('Site Dockets'!$E$7:$E$24,C1947,'Site Dockets'!$C$7:$C$24,F1947)&gt;0,1,0),0))</f>
        <v>1</v>
      </c>
      <c r="L1947" s="15" t="n">
        <f aca="false">IF(J1947=1,0,Inputs!$B$11)</f>
        <v>0</v>
      </c>
      <c r="M1947" s="15" t="n">
        <f aca="false">IF(J1947=1,0,Inputs!$B$12)</f>
        <v>0</v>
      </c>
      <c r="N1947" s="15" t="n">
        <f aca="false">IF(J1947=1,0,IF(OR(AND(OR(B1947="SITE LOSS",B1947="REGION LOSS"),K1947=1),AND(B1947="ROLE COMPROMISE",H1947=C1947)),Inputs!$B$13,Inputs!$B$14))</f>
        <v>0</v>
      </c>
      <c r="O1947" s="15" t="n">
        <f aca="false">IF(J1947=1,0,Inputs!$B$13)</f>
        <v>0</v>
      </c>
      <c r="P1947" s="15" t="n">
        <f aca="false">SUM(M1947:N1947)</f>
        <v>0</v>
      </c>
      <c r="Q1947" s="15" t="str">
        <f aca="false">IF(J1947=1,"",L1947-P1947)</f>
        <v/>
      </c>
      <c r="R1947" s="15" t="n">
        <f aca="false">IF(OR(J1947=1,M1947&lt;=Inputs!$B$12),1,0)</f>
        <v>1</v>
      </c>
      <c r="S1947" s="15" t="n">
        <f aca="false">IF(OR(J1947=1,N1947&lt;=O1947),1,0)</f>
        <v>1</v>
      </c>
      <c r="T1947" s="15" t="str">
        <f aca="false">IF(J1947=1,"OFFLINE",IF(AND(Q1947&gt;=Inputs!$B$15,R1947=1,S1947=1,P1947&lt;=L1947),"PASS","FAIL"))</f>
        <v>OFFLINE</v>
      </c>
    </row>
    <row r="1948" customFormat="false" ht="15" hidden="false" customHeight="false" outlineLevel="0" collapsed="false">
      <c r="A1948" s="14" t="s">
        <v>1036</v>
      </c>
      <c r="B1948" s="14" t="s">
        <v>1019</v>
      </c>
      <c r="C1948" s="14" t="s">
        <v>204</v>
      </c>
      <c r="D1948" s="14" t="s">
        <v>204</v>
      </c>
      <c r="E1948" s="14" t="s">
        <v>161</v>
      </c>
      <c r="F1948" s="14" t="s">
        <v>199</v>
      </c>
      <c r="G1948" s="14" t="n">
        <v>3</v>
      </c>
      <c r="H1948" s="14" t="s">
        <v>158</v>
      </c>
      <c r="I1948" s="14" t="s">
        <v>895</v>
      </c>
      <c r="J1948" s="15" t="n">
        <f aca="false">IF(B1948="SITE LOSS",IF(D1948=C1948,1,0),IF(B1948="REGION LOSS",IF(E1948=C1948,1,0),0))</f>
        <v>1</v>
      </c>
      <c r="K1948" s="15" t="n">
        <f aca="false">IF(B1948="SITE LOSS",IF(COUNTIFS('Site Dockets'!$B$7:$B$24,C1948,'Site Dockets'!$C$7:$C$24,F1948)&gt;0,1,0),IF(B1948="REGION LOSS",IF(COUNTIFS('Site Dockets'!$E$7:$E$24,C1948,'Site Dockets'!$C$7:$C$24,F1948)&gt;0,1,0),0))</f>
        <v>1</v>
      </c>
      <c r="L1948" s="15" t="n">
        <f aca="false">IF(J1948=1,0,Inputs!$B$11)</f>
        <v>0</v>
      </c>
      <c r="M1948" s="15" t="n">
        <f aca="false">IF(J1948=1,0,Inputs!$B$12)</f>
        <v>0</v>
      </c>
      <c r="N1948" s="15" t="n">
        <f aca="false">IF(J1948=1,0,IF(OR(AND(OR(B1948="SITE LOSS",B1948="REGION LOSS"),K1948=1),AND(B1948="ROLE COMPROMISE",H1948=C1948)),Inputs!$B$13,Inputs!$B$14))</f>
        <v>0</v>
      </c>
      <c r="O1948" s="15" t="n">
        <f aca="false">IF(J1948=1,0,Inputs!$B$13)</f>
        <v>0</v>
      </c>
      <c r="P1948" s="15" t="n">
        <f aca="false">SUM(M1948:N1948)</f>
        <v>0</v>
      </c>
      <c r="Q1948" s="15" t="str">
        <f aca="false">IF(J1948=1,"",L1948-P1948)</f>
        <v/>
      </c>
      <c r="R1948" s="15" t="n">
        <f aca="false">IF(OR(J1948=1,M1948&lt;=Inputs!$B$12),1,0)</f>
        <v>1</v>
      </c>
      <c r="S1948" s="15" t="n">
        <f aca="false">IF(OR(J1948=1,N1948&lt;=O1948),1,0)</f>
        <v>1</v>
      </c>
      <c r="T1948" s="15" t="str">
        <f aca="false">IF(J1948=1,"OFFLINE",IF(AND(Q1948&gt;=Inputs!$B$15,R1948=1,S1948=1,P1948&lt;=L1948),"PASS","FAIL"))</f>
        <v>OFFLINE</v>
      </c>
    </row>
    <row r="1949" customFormat="false" ht="15" hidden="false" customHeight="false" outlineLevel="0" collapsed="false">
      <c r="A1949" s="14" t="s">
        <v>1036</v>
      </c>
      <c r="B1949" s="14" t="s">
        <v>1019</v>
      </c>
      <c r="C1949" s="14" t="s">
        <v>204</v>
      </c>
      <c r="D1949" s="14" t="s">
        <v>204</v>
      </c>
      <c r="E1949" s="14" t="s">
        <v>161</v>
      </c>
      <c r="F1949" s="14" t="s">
        <v>199</v>
      </c>
      <c r="G1949" s="14" t="n">
        <v>3</v>
      </c>
      <c r="H1949" s="14" t="s">
        <v>158</v>
      </c>
      <c r="I1949" s="14" t="s">
        <v>897</v>
      </c>
      <c r="J1949" s="15" t="n">
        <f aca="false">IF(B1949="SITE LOSS",IF(D1949=C1949,1,0),IF(B1949="REGION LOSS",IF(E1949=C1949,1,0),0))</f>
        <v>1</v>
      </c>
      <c r="K1949" s="15" t="n">
        <f aca="false">IF(B1949="SITE LOSS",IF(COUNTIFS('Site Dockets'!$B$7:$B$24,C1949,'Site Dockets'!$C$7:$C$24,F1949)&gt;0,1,0),IF(B1949="REGION LOSS",IF(COUNTIFS('Site Dockets'!$E$7:$E$24,C1949,'Site Dockets'!$C$7:$C$24,F1949)&gt;0,1,0),0))</f>
        <v>1</v>
      </c>
      <c r="L1949" s="15" t="n">
        <f aca="false">IF(J1949=1,0,Inputs!$B$11)</f>
        <v>0</v>
      </c>
      <c r="M1949" s="15" t="n">
        <f aca="false">IF(J1949=1,0,Inputs!$B$12)</f>
        <v>0</v>
      </c>
      <c r="N1949" s="15" t="n">
        <f aca="false">IF(J1949=1,0,IF(OR(AND(OR(B1949="SITE LOSS",B1949="REGION LOSS"),K1949=1),AND(B1949="ROLE COMPROMISE",H1949=C1949)),Inputs!$B$13,Inputs!$B$14))</f>
        <v>0</v>
      </c>
      <c r="O1949" s="15" t="n">
        <f aca="false">IF(J1949=1,0,Inputs!$B$13)</f>
        <v>0</v>
      </c>
      <c r="P1949" s="15" t="n">
        <f aca="false">SUM(M1949:N1949)</f>
        <v>0</v>
      </c>
      <c r="Q1949" s="15" t="str">
        <f aca="false">IF(J1949=1,"",L1949-P1949)</f>
        <v/>
      </c>
      <c r="R1949" s="15" t="n">
        <f aca="false">IF(OR(J1949=1,M1949&lt;=Inputs!$B$12),1,0)</f>
        <v>1</v>
      </c>
      <c r="S1949" s="15" t="n">
        <f aca="false">IF(OR(J1949=1,N1949&lt;=O1949),1,0)</f>
        <v>1</v>
      </c>
      <c r="T1949" s="15" t="str">
        <f aca="false">IF(J1949=1,"OFFLINE",IF(AND(Q1949&gt;=Inputs!$B$15,R1949=1,S1949=1,P1949&lt;=L1949),"PASS","FAIL"))</f>
        <v>OFFLINE</v>
      </c>
    </row>
    <row r="1950" customFormat="false" ht="15" hidden="false" customHeight="false" outlineLevel="0" collapsed="false">
      <c r="A1950" s="14" t="s">
        <v>1036</v>
      </c>
      <c r="B1950" s="14" t="s">
        <v>1019</v>
      </c>
      <c r="C1950" s="14" t="s">
        <v>204</v>
      </c>
      <c r="D1950" s="14" t="s">
        <v>204</v>
      </c>
      <c r="E1950" s="14" t="s">
        <v>161</v>
      </c>
      <c r="F1950" s="14" t="s">
        <v>199</v>
      </c>
      <c r="G1950" s="14" t="n">
        <v>3</v>
      </c>
      <c r="H1950" s="14" t="s">
        <v>158</v>
      </c>
      <c r="I1950" s="14" t="s">
        <v>899</v>
      </c>
      <c r="J1950" s="15" t="n">
        <f aca="false">IF(B1950="SITE LOSS",IF(D1950=C1950,1,0),IF(B1950="REGION LOSS",IF(E1950=C1950,1,0),0))</f>
        <v>1</v>
      </c>
      <c r="K1950" s="15" t="n">
        <f aca="false">IF(B1950="SITE LOSS",IF(COUNTIFS('Site Dockets'!$B$7:$B$24,C1950,'Site Dockets'!$C$7:$C$24,F1950)&gt;0,1,0),IF(B1950="REGION LOSS",IF(COUNTIFS('Site Dockets'!$E$7:$E$24,C1950,'Site Dockets'!$C$7:$C$24,F1950)&gt;0,1,0),0))</f>
        <v>1</v>
      </c>
      <c r="L1950" s="15" t="n">
        <f aca="false">IF(J1950=1,0,Inputs!$B$11)</f>
        <v>0</v>
      </c>
      <c r="M1950" s="15" t="n">
        <f aca="false">IF(J1950=1,0,Inputs!$B$12)</f>
        <v>0</v>
      </c>
      <c r="N1950" s="15" t="n">
        <f aca="false">IF(J1950=1,0,IF(OR(AND(OR(B1950="SITE LOSS",B1950="REGION LOSS"),K1950=1),AND(B1950="ROLE COMPROMISE",H1950=C1950)),Inputs!$B$13,Inputs!$B$14))</f>
        <v>0</v>
      </c>
      <c r="O1950" s="15" t="n">
        <f aca="false">IF(J1950=1,0,Inputs!$B$13)</f>
        <v>0</v>
      </c>
      <c r="P1950" s="15" t="n">
        <f aca="false">SUM(M1950:N1950)</f>
        <v>0</v>
      </c>
      <c r="Q1950" s="15" t="str">
        <f aca="false">IF(J1950=1,"",L1950-P1950)</f>
        <v/>
      </c>
      <c r="R1950" s="15" t="n">
        <f aca="false">IF(OR(J1950=1,M1950&lt;=Inputs!$B$12),1,0)</f>
        <v>1</v>
      </c>
      <c r="S1950" s="15" t="n">
        <f aca="false">IF(OR(J1950=1,N1950&lt;=O1950),1,0)</f>
        <v>1</v>
      </c>
      <c r="T1950" s="15" t="str">
        <f aca="false">IF(J1950=1,"OFFLINE",IF(AND(Q1950&gt;=Inputs!$B$15,R1950=1,S1950=1,P1950&lt;=L1950),"PASS","FAIL"))</f>
        <v>OFFLINE</v>
      </c>
    </row>
    <row r="1951" customFormat="false" ht="15" hidden="false" customHeight="false" outlineLevel="0" collapsed="false">
      <c r="A1951" s="14" t="s">
        <v>1037</v>
      </c>
      <c r="B1951" s="14" t="s">
        <v>1038</v>
      </c>
      <c r="C1951" s="14" t="s">
        <v>152</v>
      </c>
      <c r="D1951" s="14" t="s">
        <v>149</v>
      </c>
      <c r="E1951" s="14" t="s">
        <v>152</v>
      </c>
      <c r="F1951" s="14" t="s">
        <v>150</v>
      </c>
      <c r="G1951" s="14" t="n">
        <v>1</v>
      </c>
      <c r="H1951" s="14" t="s">
        <v>154</v>
      </c>
      <c r="I1951" s="14" t="s">
        <v>890</v>
      </c>
      <c r="J1951" s="15" t="n">
        <f aca="false">IF(B1951="SITE LOSS",IF(D1951=C1951,1,0),IF(B1951="REGION LOSS",IF(E1951=C1951,1,0),0))</f>
        <v>1</v>
      </c>
      <c r="K1951" s="15" t="n">
        <f aca="false">IF(B1951="SITE LOSS",IF(COUNTIFS('Site Dockets'!$B$7:$B$24,C1951,'Site Dockets'!$C$7:$C$24,F1951)&gt;0,1,0),IF(B1951="REGION LOSS",IF(COUNTIFS('Site Dockets'!$E$7:$E$24,C1951,'Site Dockets'!$C$7:$C$24,F1951)&gt;0,1,0),0))</f>
        <v>1</v>
      </c>
      <c r="L1951" s="15" t="n">
        <f aca="false">IF(J1951=1,0,Inputs!$B$11)</f>
        <v>0</v>
      </c>
      <c r="M1951" s="15" t="n">
        <f aca="false">IF(J1951=1,0,Inputs!$B$12)</f>
        <v>0</v>
      </c>
      <c r="N1951" s="15" t="n">
        <f aca="false">IF(J1951=1,0,IF(OR(AND(OR(B1951="SITE LOSS",B1951="REGION LOSS"),K1951=1),AND(B1951="ROLE COMPROMISE",H1951=C1951)),Inputs!$B$13,Inputs!$B$14))</f>
        <v>0</v>
      </c>
      <c r="O1951" s="15" t="n">
        <f aca="false">IF(J1951=1,0,Inputs!$B$13)</f>
        <v>0</v>
      </c>
      <c r="P1951" s="15" t="n">
        <f aca="false">SUM(M1951:N1951)</f>
        <v>0</v>
      </c>
      <c r="Q1951" s="15" t="str">
        <f aca="false">IF(J1951=1,"",L1951-P1951)</f>
        <v/>
      </c>
      <c r="R1951" s="15" t="n">
        <f aca="false">IF(OR(J1951=1,M1951&lt;=Inputs!$B$12),1,0)</f>
        <v>1</v>
      </c>
      <c r="S1951" s="15" t="n">
        <f aca="false">IF(OR(J1951=1,N1951&lt;=O1951),1,0)</f>
        <v>1</v>
      </c>
      <c r="T1951" s="15" t="str">
        <f aca="false">IF(J1951=1,"OFFLINE",IF(AND(Q1951&gt;=Inputs!$B$15,R1951=1,S1951=1,P1951&lt;=L1951),"PASS","FAIL"))</f>
        <v>OFFLINE</v>
      </c>
    </row>
    <row r="1952" customFormat="false" ht="15" hidden="false" customHeight="false" outlineLevel="0" collapsed="false">
      <c r="A1952" s="14" t="s">
        <v>1037</v>
      </c>
      <c r="B1952" s="14" t="s">
        <v>1038</v>
      </c>
      <c r="C1952" s="14" t="s">
        <v>152</v>
      </c>
      <c r="D1952" s="14" t="s">
        <v>149</v>
      </c>
      <c r="E1952" s="14" t="s">
        <v>152</v>
      </c>
      <c r="F1952" s="14" t="s">
        <v>150</v>
      </c>
      <c r="G1952" s="14" t="n">
        <v>1</v>
      </c>
      <c r="H1952" s="14" t="s">
        <v>154</v>
      </c>
      <c r="I1952" s="14" t="s">
        <v>892</v>
      </c>
      <c r="J1952" s="15" t="n">
        <f aca="false">IF(B1952="SITE LOSS",IF(D1952=C1952,1,0),IF(B1952="REGION LOSS",IF(E1952=C1952,1,0),0))</f>
        <v>1</v>
      </c>
      <c r="K1952" s="15" t="n">
        <f aca="false">IF(B1952="SITE LOSS",IF(COUNTIFS('Site Dockets'!$B$7:$B$24,C1952,'Site Dockets'!$C$7:$C$24,F1952)&gt;0,1,0),IF(B1952="REGION LOSS",IF(COUNTIFS('Site Dockets'!$E$7:$E$24,C1952,'Site Dockets'!$C$7:$C$24,F1952)&gt;0,1,0),0))</f>
        <v>1</v>
      </c>
      <c r="L1952" s="15" t="n">
        <f aca="false">IF(J1952=1,0,Inputs!$B$11)</f>
        <v>0</v>
      </c>
      <c r="M1952" s="15" t="n">
        <f aca="false">IF(J1952=1,0,Inputs!$B$12)</f>
        <v>0</v>
      </c>
      <c r="N1952" s="15" t="n">
        <f aca="false">IF(J1952=1,0,IF(OR(AND(OR(B1952="SITE LOSS",B1952="REGION LOSS"),K1952=1),AND(B1952="ROLE COMPROMISE",H1952=C1952)),Inputs!$B$13,Inputs!$B$14))</f>
        <v>0</v>
      </c>
      <c r="O1952" s="15" t="n">
        <f aca="false">IF(J1952=1,0,Inputs!$B$13)</f>
        <v>0</v>
      </c>
      <c r="P1952" s="15" t="n">
        <f aca="false">SUM(M1952:N1952)</f>
        <v>0</v>
      </c>
      <c r="Q1952" s="15" t="str">
        <f aca="false">IF(J1952=1,"",L1952-P1952)</f>
        <v/>
      </c>
      <c r="R1952" s="15" t="n">
        <f aca="false">IF(OR(J1952=1,M1952&lt;=Inputs!$B$12),1,0)</f>
        <v>1</v>
      </c>
      <c r="S1952" s="15" t="n">
        <f aca="false">IF(OR(J1952=1,N1952&lt;=O1952),1,0)</f>
        <v>1</v>
      </c>
      <c r="T1952" s="15" t="str">
        <f aca="false">IF(J1952=1,"OFFLINE",IF(AND(Q1952&gt;=Inputs!$B$15,R1952=1,S1952=1,P1952&lt;=L1952),"PASS","FAIL"))</f>
        <v>OFFLINE</v>
      </c>
    </row>
    <row r="1953" customFormat="false" ht="15" hidden="false" customHeight="false" outlineLevel="0" collapsed="false">
      <c r="A1953" s="14" t="s">
        <v>1037</v>
      </c>
      <c r="B1953" s="14" t="s">
        <v>1038</v>
      </c>
      <c r="C1953" s="14" t="s">
        <v>152</v>
      </c>
      <c r="D1953" s="14" t="s">
        <v>149</v>
      </c>
      <c r="E1953" s="14" t="s">
        <v>152</v>
      </c>
      <c r="F1953" s="14" t="s">
        <v>150</v>
      </c>
      <c r="G1953" s="14" t="n">
        <v>1</v>
      </c>
      <c r="H1953" s="14" t="s">
        <v>154</v>
      </c>
      <c r="I1953" s="14" t="s">
        <v>811</v>
      </c>
      <c r="J1953" s="15" t="n">
        <f aca="false">IF(B1953="SITE LOSS",IF(D1953=C1953,1,0),IF(B1953="REGION LOSS",IF(E1953=C1953,1,0),0))</f>
        <v>1</v>
      </c>
      <c r="K1953" s="15" t="n">
        <f aca="false">IF(B1953="SITE LOSS",IF(COUNTIFS('Site Dockets'!$B$7:$B$24,C1953,'Site Dockets'!$C$7:$C$24,F1953)&gt;0,1,0),IF(B1953="REGION LOSS",IF(COUNTIFS('Site Dockets'!$E$7:$E$24,C1953,'Site Dockets'!$C$7:$C$24,F1953)&gt;0,1,0),0))</f>
        <v>1</v>
      </c>
      <c r="L1953" s="15" t="n">
        <f aca="false">IF(J1953=1,0,Inputs!$B$11)</f>
        <v>0</v>
      </c>
      <c r="M1953" s="15" t="n">
        <f aca="false">IF(J1953=1,0,Inputs!$B$12)</f>
        <v>0</v>
      </c>
      <c r="N1953" s="15" t="n">
        <f aca="false">IF(J1953=1,0,IF(OR(AND(OR(B1953="SITE LOSS",B1953="REGION LOSS"),K1953=1),AND(B1953="ROLE COMPROMISE",H1953=C1953)),Inputs!$B$13,Inputs!$B$14))</f>
        <v>0</v>
      </c>
      <c r="O1953" s="15" t="n">
        <f aca="false">IF(J1953=1,0,Inputs!$B$13)</f>
        <v>0</v>
      </c>
      <c r="P1953" s="15" t="n">
        <f aca="false">SUM(M1953:N1953)</f>
        <v>0</v>
      </c>
      <c r="Q1953" s="15" t="str">
        <f aca="false">IF(J1953=1,"",L1953-P1953)</f>
        <v/>
      </c>
      <c r="R1953" s="15" t="n">
        <f aca="false">IF(OR(J1953=1,M1953&lt;=Inputs!$B$12),1,0)</f>
        <v>1</v>
      </c>
      <c r="S1953" s="15" t="n">
        <f aca="false">IF(OR(J1953=1,N1953&lt;=O1953),1,0)</f>
        <v>1</v>
      </c>
      <c r="T1953" s="15" t="str">
        <f aca="false">IF(J1953=1,"OFFLINE",IF(AND(Q1953&gt;=Inputs!$B$15,R1953=1,S1953=1,P1953&lt;=L1953),"PASS","FAIL"))</f>
        <v>OFFLINE</v>
      </c>
    </row>
    <row r="1954" customFormat="false" ht="15" hidden="false" customHeight="false" outlineLevel="0" collapsed="false">
      <c r="A1954" s="14" t="s">
        <v>1037</v>
      </c>
      <c r="B1954" s="14" t="s">
        <v>1038</v>
      </c>
      <c r="C1954" s="14" t="s">
        <v>152</v>
      </c>
      <c r="D1954" s="14" t="s">
        <v>149</v>
      </c>
      <c r="E1954" s="14" t="s">
        <v>152</v>
      </c>
      <c r="F1954" s="14" t="s">
        <v>150</v>
      </c>
      <c r="G1954" s="14" t="n">
        <v>1</v>
      </c>
      <c r="H1954" s="14" t="s">
        <v>154</v>
      </c>
      <c r="I1954" s="14" t="s">
        <v>895</v>
      </c>
      <c r="J1954" s="15" t="n">
        <f aca="false">IF(B1954="SITE LOSS",IF(D1954=C1954,1,0),IF(B1954="REGION LOSS",IF(E1954=C1954,1,0),0))</f>
        <v>1</v>
      </c>
      <c r="K1954" s="15" t="n">
        <f aca="false">IF(B1954="SITE LOSS",IF(COUNTIFS('Site Dockets'!$B$7:$B$24,C1954,'Site Dockets'!$C$7:$C$24,F1954)&gt;0,1,0),IF(B1954="REGION LOSS",IF(COUNTIFS('Site Dockets'!$E$7:$E$24,C1954,'Site Dockets'!$C$7:$C$24,F1954)&gt;0,1,0),0))</f>
        <v>1</v>
      </c>
      <c r="L1954" s="15" t="n">
        <f aca="false">IF(J1954=1,0,Inputs!$B$11)</f>
        <v>0</v>
      </c>
      <c r="M1954" s="15" t="n">
        <f aca="false">IF(J1954=1,0,Inputs!$B$12)</f>
        <v>0</v>
      </c>
      <c r="N1954" s="15" t="n">
        <f aca="false">IF(J1954=1,0,IF(OR(AND(OR(B1954="SITE LOSS",B1954="REGION LOSS"),K1954=1),AND(B1954="ROLE COMPROMISE",H1954=C1954)),Inputs!$B$13,Inputs!$B$14))</f>
        <v>0</v>
      </c>
      <c r="O1954" s="15" t="n">
        <f aca="false">IF(J1954=1,0,Inputs!$B$13)</f>
        <v>0</v>
      </c>
      <c r="P1954" s="15" t="n">
        <f aca="false">SUM(M1954:N1954)</f>
        <v>0</v>
      </c>
      <c r="Q1954" s="15" t="str">
        <f aca="false">IF(J1954=1,"",L1954-P1954)</f>
        <v/>
      </c>
      <c r="R1954" s="15" t="n">
        <f aca="false">IF(OR(J1954=1,M1954&lt;=Inputs!$B$12),1,0)</f>
        <v>1</v>
      </c>
      <c r="S1954" s="15" t="n">
        <f aca="false">IF(OR(J1954=1,N1954&lt;=O1954),1,0)</f>
        <v>1</v>
      </c>
      <c r="T1954" s="15" t="str">
        <f aca="false">IF(J1954=1,"OFFLINE",IF(AND(Q1954&gt;=Inputs!$B$15,R1954=1,S1954=1,P1954&lt;=L1954),"PASS","FAIL"))</f>
        <v>OFFLINE</v>
      </c>
    </row>
    <row r="1955" customFormat="false" ht="15" hidden="false" customHeight="false" outlineLevel="0" collapsed="false">
      <c r="A1955" s="14" t="s">
        <v>1037</v>
      </c>
      <c r="B1955" s="14" t="s">
        <v>1038</v>
      </c>
      <c r="C1955" s="14" t="s">
        <v>152</v>
      </c>
      <c r="D1955" s="14" t="s">
        <v>149</v>
      </c>
      <c r="E1955" s="14" t="s">
        <v>152</v>
      </c>
      <c r="F1955" s="14" t="s">
        <v>150</v>
      </c>
      <c r="G1955" s="14" t="n">
        <v>1</v>
      </c>
      <c r="H1955" s="14" t="s">
        <v>154</v>
      </c>
      <c r="I1955" s="14" t="s">
        <v>897</v>
      </c>
      <c r="J1955" s="15" t="n">
        <f aca="false">IF(B1955="SITE LOSS",IF(D1955=C1955,1,0),IF(B1955="REGION LOSS",IF(E1955=C1955,1,0),0))</f>
        <v>1</v>
      </c>
      <c r="K1955" s="15" t="n">
        <f aca="false">IF(B1955="SITE LOSS",IF(COUNTIFS('Site Dockets'!$B$7:$B$24,C1955,'Site Dockets'!$C$7:$C$24,F1955)&gt;0,1,0),IF(B1955="REGION LOSS",IF(COUNTIFS('Site Dockets'!$E$7:$E$24,C1955,'Site Dockets'!$C$7:$C$24,F1955)&gt;0,1,0),0))</f>
        <v>1</v>
      </c>
      <c r="L1955" s="15" t="n">
        <f aca="false">IF(J1955=1,0,Inputs!$B$11)</f>
        <v>0</v>
      </c>
      <c r="M1955" s="15" t="n">
        <f aca="false">IF(J1955=1,0,Inputs!$B$12)</f>
        <v>0</v>
      </c>
      <c r="N1955" s="15" t="n">
        <f aca="false">IF(J1955=1,0,IF(OR(AND(OR(B1955="SITE LOSS",B1955="REGION LOSS"),K1955=1),AND(B1955="ROLE COMPROMISE",H1955=C1955)),Inputs!$B$13,Inputs!$B$14))</f>
        <v>0</v>
      </c>
      <c r="O1955" s="15" t="n">
        <f aca="false">IF(J1955=1,0,Inputs!$B$13)</f>
        <v>0</v>
      </c>
      <c r="P1955" s="15" t="n">
        <f aca="false">SUM(M1955:N1955)</f>
        <v>0</v>
      </c>
      <c r="Q1955" s="15" t="str">
        <f aca="false">IF(J1955=1,"",L1955-P1955)</f>
        <v/>
      </c>
      <c r="R1955" s="15" t="n">
        <f aca="false">IF(OR(J1955=1,M1955&lt;=Inputs!$B$12),1,0)</f>
        <v>1</v>
      </c>
      <c r="S1955" s="15" t="n">
        <f aca="false">IF(OR(J1955=1,N1955&lt;=O1955),1,0)</f>
        <v>1</v>
      </c>
      <c r="T1955" s="15" t="str">
        <f aca="false">IF(J1955=1,"OFFLINE",IF(AND(Q1955&gt;=Inputs!$B$15,R1955=1,S1955=1,P1955&lt;=L1955),"PASS","FAIL"))</f>
        <v>OFFLINE</v>
      </c>
    </row>
    <row r="1956" customFormat="false" ht="15" hidden="false" customHeight="false" outlineLevel="0" collapsed="false">
      <c r="A1956" s="14" t="s">
        <v>1037</v>
      </c>
      <c r="B1956" s="14" t="s">
        <v>1038</v>
      </c>
      <c r="C1956" s="14" t="s">
        <v>152</v>
      </c>
      <c r="D1956" s="14" t="s">
        <v>149</v>
      </c>
      <c r="E1956" s="14" t="s">
        <v>152</v>
      </c>
      <c r="F1956" s="14" t="s">
        <v>150</v>
      </c>
      <c r="G1956" s="14" t="n">
        <v>1</v>
      </c>
      <c r="H1956" s="14" t="s">
        <v>154</v>
      </c>
      <c r="I1956" s="14" t="s">
        <v>899</v>
      </c>
      <c r="J1956" s="15" t="n">
        <f aca="false">IF(B1956="SITE LOSS",IF(D1956=C1956,1,0),IF(B1956="REGION LOSS",IF(E1956=C1956,1,0),0))</f>
        <v>1</v>
      </c>
      <c r="K1956" s="15" t="n">
        <f aca="false">IF(B1956="SITE LOSS",IF(COUNTIFS('Site Dockets'!$B$7:$B$24,C1956,'Site Dockets'!$C$7:$C$24,F1956)&gt;0,1,0),IF(B1956="REGION LOSS",IF(COUNTIFS('Site Dockets'!$E$7:$E$24,C1956,'Site Dockets'!$C$7:$C$24,F1956)&gt;0,1,0),0))</f>
        <v>1</v>
      </c>
      <c r="L1956" s="15" t="n">
        <f aca="false">IF(J1956=1,0,Inputs!$B$11)</f>
        <v>0</v>
      </c>
      <c r="M1956" s="15" t="n">
        <f aca="false">IF(J1956=1,0,Inputs!$B$12)</f>
        <v>0</v>
      </c>
      <c r="N1956" s="15" t="n">
        <f aca="false">IF(J1956=1,0,IF(OR(AND(OR(B1956="SITE LOSS",B1956="REGION LOSS"),K1956=1),AND(B1956="ROLE COMPROMISE",H1956=C1956)),Inputs!$B$13,Inputs!$B$14))</f>
        <v>0</v>
      </c>
      <c r="O1956" s="15" t="n">
        <f aca="false">IF(J1956=1,0,Inputs!$B$13)</f>
        <v>0</v>
      </c>
      <c r="P1956" s="15" t="n">
        <f aca="false">SUM(M1956:N1956)</f>
        <v>0</v>
      </c>
      <c r="Q1956" s="15" t="str">
        <f aca="false">IF(J1956=1,"",L1956-P1956)</f>
        <v/>
      </c>
      <c r="R1956" s="15" t="n">
        <f aca="false">IF(OR(J1956=1,M1956&lt;=Inputs!$B$12),1,0)</f>
        <v>1</v>
      </c>
      <c r="S1956" s="15" t="n">
        <f aca="false">IF(OR(J1956=1,N1956&lt;=O1956),1,0)</f>
        <v>1</v>
      </c>
      <c r="T1956" s="15" t="str">
        <f aca="false">IF(J1956=1,"OFFLINE",IF(AND(Q1956&gt;=Inputs!$B$15,R1956=1,S1956=1,P1956&lt;=L1956),"PASS","FAIL"))</f>
        <v>OFFLINE</v>
      </c>
    </row>
    <row r="1957" customFormat="false" ht="15" hidden="false" customHeight="false" outlineLevel="0" collapsed="false">
      <c r="A1957" s="14" t="s">
        <v>1037</v>
      </c>
      <c r="B1957" s="14" t="s">
        <v>1038</v>
      </c>
      <c r="C1957" s="14" t="s">
        <v>152</v>
      </c>
      <c r="D1957" s="14" t="s">
        <v>156</v>
      </c>
      <c r="E1957" s="14" t="s">
        <v>157</v>
      </c>
      <c r="F1957" s="14" t="s">
        <v>150</v>
      </c>
      <c r="G1957" s="14" t="n">
        <v>2</v>
      </c>
      <c r="H1957" s="14" t="s">
        <v>153</v>
      </c>
      <c r="I1957" s="14" t="s">
        <v>890</v>
      </c>
      <c r="J1957" s="15" t="n">
        <f aca="false">IF(B1957="SITE LOSS",IF(D1957=C1957,1,0),IF(B1957="REGION LOSS",IF(E1957=C1957,1,0),0))</f>
        <v>0</v>
      </c>
      <c r="K1957" s="15" t="n">
        <f aca="false">IF(B1957="SITE LOSS",IF(COUNTIFS('Site Dockets'!$B$7:$B$24,C1957,'Site Dockets'!$C$7:$C$24,F1957)&gt;0,1,0),IF(B1957="REGION LOSS",IF(COUNTIFS('Site Dockets'!$E$7:$E$24,C1957,'Site Dockets'!$C$7:$C$24,F1957)&gt;0,1,0),0))</f>
        <v>1</v>
      </c>
      <c r="L1957" s="15" t="n">
        <f aca="false">IF(J1957=1,0,Inputs!$B$11)</f>
        <v>100</v>
      </c>
      <c r="M1957" s="15" t="n">
        <f aca="false">IF(J1957=1,0,Inputs!$B$12)</f>
        <v>75</v>
      </c>
      <c r="N1957" s="15" t="n">
        <f aca="false">IF(J1957=1,0,IF(OR(AND(OR(B1957="SITE LOSS",B1957="REGION LOSS"),K1957=1),AND(B1957="ROLE COMPROMISE",H1957=C1957)),Inputs!$B$13,Inputs!$B$14))</f>
        <v>20</v>
      </c>
      <c r="O1957" s="15" t="n">
        <f aca="false">IF(J1957=1,0,Inputs!$B$13)</f>
        <v>20</v>
      </c>
      <c r="P1957" s="15" t="n">
        <f aca="false">SUM(M1957:N1957)</f>
        <v>95</v>
      </c>
      <c r="Q1957" s="15" t="n">
        <f aca="false">IF(J1957=1,"",L1957-P1957)</f>
        <v>5</v>
      </c>
      <c r="R1957" s="15" t="n">
        <f aca="false">IF(OR(J1957=1,M1957&lt;=Inputs!$B$12),1,0)</f>
        <v>1</v>
      </c>
      <c r="S1957" s="15" t="n">
        <f aca="false">IF(OR(J1957=1,N1957&lt;=O1957),1,0)</f>
        <v>1</v>
      </c>
      <c r="T1957" s="15" t="str">
        <f aca="false">IF(J1957=1,"OFFLINE",IF(AND(Q1957&gt;=Inputs!$B$15,R1957=1,S1957=1,P1957&lt;=L1957),"PASS","FAIL"))</f>
        <v>PASS</v>
      </c>
    </row>
    <row r="1958" customFormat="false" ht="15" hidden="false" customHeight="false" outlineLevel="0" collapsed="false">
      <c r="A1958" s="14" t="s">
        <v>1037</v>
      </c>
      <c r="B1958" s="14" t="s">
        <v>1038</v>
      </c>
      <c r="C1958" s="14" t="s">
        <v>152</v>
      </c>
      <c r="D1958" s="14" t="s">
        <v>156</v>
      </c>
      <c r="E1958" s="14" t="s">
        <v>157</v>
      </c>
      <c r="F1958" s="14" t="s">
        <v>150</v>
      </c>
      <c r="G1958" s="14" t="n">
        <v>2</v>
      </c>
      <c r="H1958" s="14" t="s">
        <v>153</v>
      </c>
      <c r="I1958" s="14" t="s">
        <v>892</v>
      </c>
      <c r="J1958" s="15" t="n">
        <f aca="false">IF(B1958="SITE LOSS",IF(D1958=C1958,1,0),IF(B1958="REGION LOSS",IF(E1958=C1958,1,0),0))</f>
        <v>0</v>
      </c>
      <c r="K1958" s="15" t="n">
        <f aca="false">IF(B1958="SITE LOSS",IF(COUNTIFS('Site Dockets'!$B$7:$B$24,C1958,'Site Dockets'!$C$7:$C$24,F1958)&gt;0,1,0),IF(B1958="REGION LOSS",IF(COUNTIFS('Site Dockets'!$E$7:$E$24,C1958,'Site Dockets'!$C$7:$C$24,F1958)&gt;0,1,0),0))</f>
        <v>1</v>
      </c>
      <c r="L1958" s="15" t="n">
        <f aca="false">IF(J1958=1,0,Inputs!$B$11)</f>
        <v>100</v>
      </c>
      <c r="M1958" s="15" t="n">
        <f aca="false">IF(J1958=1,0,Inputs!$B$12)</f>
        <v>75</v>
      </c>
      <c r="N1958" s="15" t="n">
        <f aca="false">IF(J1958=1,0,IF(OR(AND(OR(B1958="SITE LOSS",B1958="REGION LOSS"),K1958=1),AND(B1958="ROLE COMPROMISE",H1958=C1958)),Inputs!$B$13,Inputs!$B$14))</f>
        <v>20</v>
      </c>
      <c r="O1958" s="15" t="n">
        <f aca="false">IF(J1958=1,0,Inputs!$B$13)</f>
        <v>20</v>
      </c>
      <c r="P1958" s="15" t="n">
        <f aca="false">SUM(M1958:N1958)</f>
        <v>95</v>
      </c>
      <c r="Q1958" s="15" t="n">
        <f aca="false">IF(J1958=1,"",L1958-P1958)</f>
        <v>5</v>
      </c>
      <c r="R1958" s="15" t="n">
        <f aca="false">IF(OR(J1958=1,M1958&lt;=Inputs!$B$12),1,0)</f>
        <v>1</v>
      </c>
      <c r="S1958" s="15" t="n">
        <f aca="false">IF(OR(J1958=1,N1958&lt;=O1958),1,0)</f>
        <v>1</v>
      </c>
      <c r="T1958" s="15" t="str">
        <f aca="false">IF(J1958=1,"OFFLINE",IF(AND(Q1958&gt;=Inputs!$B$15,R1958=1,S1958=1,P1958&lt;=L1958),"PASS","FAIL"))</f>
        <v>PASS</v>
      </c>
    </row>
    <row r="1959" customFormat="false" ht="15" hidden="false" customHeight="false" outlineLevel="0" collapsed="false">
      <c r="A1959" s="14" t="s">
        <v>1037</v>
      </c>
      <c r="B1959" s="14" t="s">
        <v>1038</v>
      </c>
      <c r="C1959" s="14" t="s">
        <v>152</v>
      </c>
      <c r="D1959" s="14" t="s">
        <v>156</v>
      </c>
      <c r="E1959" s="14" t="s">
        <v>157</v>
      </c>
      <c r="F1959" s="14" t="s">
        <v>150</v>
      </c>
      <c r="G1959" s="14" t="n">
        <v>2</v>
      </c>
      <c r="H1959" s="14" t="s">
        <v>153</v>
      </c>
      <c r="I1959" s="14" t="s">
        <v>811</v>
      </c>
      <c r="J1959" s="15" t="n">
        <f aca="false">IF(B1959="SITE LOSS",IF(D1959=C1959,1,0),IF(B1959="REGION LOSS",IF(E1959=C1959,1,0),0))</f>
        <v>0</v>
      </c>
      <c r="K1959" s="15" t="n">
        <f aca="false">IF(B1959="SITE LOSS",IF(COUNTIFS('Site Dockets'!$B$7:$B$24,C1959,'Site Dockets'!$C$7:$C$24,F1959)&gt;0,1,0),IF(B1959="REGION LOSS",IF(COUNTIFS('Site Dockets'!$E$7:$E$24,C1959,'Site Dockets'!$C$7:$C$24,F1959)&gt;0,1,0),0))</f>
        <v>1</v>
      </c>
      <c r="L1959" s="15" t="n">
        <f aca="false">IF(J1959=1,0,Inputs!$B$11)</f>
        <v>100</v>
      </c>
      <c r="M1959" s="15" t="n">
        <f aca="false">IF(J1959=1,0,Inputs!$B$12)</f>
        <v>75</v>
      </c>
      <c r="N1959" s="15" t="n">
        <f aca="false">IF(J1959=1,0,IF(OR(AND(OR(B1959="SITE LOSS",B1959="REGION LOSS"),K1959=1),AND(B1959="ROLE COMPROMISE",H1959=C1959)),Inputs!$B$13,Inputs!$B$14))</f>
        <v>20</v>
      </c>
      <c r="O1959" s="15" t="n">
        <f aca="false">IF(J1959=1,0,Inputs!$B$13)</f>
        <v>20</v>
      </c>
      <c r="P1959" s="15" t="n">
        <f aca="false">SUM(M1959:N1959)</f>
        <v>95</v>
      </c>
      <c r="Q1959" s="15" t="n">
        <f aca="false">IF(J1959=1,"",L1959-P1959)</f>
        <v>5</v>
      </c>
      <c r="R1959" s="15" t="n">
        <f aca="false">IF(OR(J1959=1,M1959&lt;=Inputs!$B$12),1,0)</f>
        <v>1</v>
      </c>
      <c r="S1959" s="15" t="n">
        <f aca="false">IF(OR(J1959=1,N1959&lt;=O1959),1,0)</f>
        <v>1</v>
      </c>
      <c r="T1959" s="15" t="str">
        <f aca="false">IF(J1959=1,"OFFLINE",IF(AND(Q1959&gt;=Inputs!$B$15,R1959=1,S1959=1,P1959&lt;=L1959),"PASS","FAIL"))</f>
        <v>PASS</v>
      </c>
    </row>
    <row r="1960" customFormat="false" ht="15" hidden="false" customHeight="false" outlineLevel="0" collapsed="false">
      <c r="A1960" s="14" t="s">
        <v>1037</v>
      </c>
      <c r="B1960" s="14" t="s">
        <v>1038</v>
      </c>
      <c r="C1960" s="14" t="s">
        <v>152</v>
      </c>
      <c r="D1960" s="14" t="s">
        <v>156</v>
      </c>
      <c r="E1960" s="14" t="s">
        <v>157</v>
      </c>
      <c r="F1960" s="14" t="s">
        <v>150</v>
      </c>
      <c r="G1960" s="14" t="n">
        <v>2</v>
      </c>
      <c r="H1960" s="14" t="s">
        <v>153</v>
      </c>
      <c r="I1960" s="14" t="s">
        <v>895</v>
      </c>
      <c r="J1960" s="15" t="n">
        <f aca="false">IF(B1960="SITE LOSS",IF(D1960=C1960,1,0),IF(B1960="REGION LOSS",IF(E1960=C1960,1,0),0))</f>
        <v>0</v>
      </c>
      <c r="K1960" s="15" t="n">
        <f aca="false">IF(B1960="SITE LOSS",IF(COUNTIFS('Site Dockets'!$B$7:$B$24,C1960,'Site Dockets'!$C$7:$C$24,F1960)&gt;0,1,0),IF(B1960="REGION LOSS",IF(COUNTIFS('Site Dockets'!$E$7:$E$24,C1960,'Site Dockets'!$C$7:$C$24,F1960)&gt;0,1,0),0))</f>
        <v>1</v>
      </c>
      <c r="L1960" s="15" t="n">
        <f aca="false">IF(J1960=1,0,Inputs!$B$11)</f>
        <v>100</v>
      </c>
      <c r="M1960" s="15" t="n">
        <f aca="false">IF(J1960=1,0,Inputs!$B$12)</f>
        <v>75</v>
      </c>
      <c r="N1960" s="15" t="n">
        <f aca="false">IF(J1960=1,0,IF(OR(AND(OR(B1960="SITE LOSS",B1960="REGION LOSS"),K1960=1),AND(B1960="ROLE COMPROMISE",H1960=C1960)),Inputs!$B$13,Inputs!$B$14))</f>
        <v>20</v>
      </c>
      <c r="O1960" s="15" t="n">
        <f aca="false">IF(J1960=1,0,Inputs!$B$13)</f>
        <v>20</v>
      </c>
      <c r="P1960" s="15" t="n">
        <f aca="false">SUM(M1960:N1960)</f>
        <v>95</v>
      </c>
      <c r="Q1960" s="15" t="n">
        <f aca="false">IF(J1960=1,"",L1960-P1960)</f>
        <v>5</v>
      </c>
      <c r="R1960" s="15" t="n">
        <f aca="false">IF(OR(J1960=1,M1960&lt;=Inputs!$B$12),1,0)</f>
        <v>1</v>
      </c>
      <c r="S1960" s="15" t="n">
        <f aca="false">IF(OR(J1960=1,N1960&lt;=O1960),1,0)</f>
        <v>1</v>
      </c>
      <c r="T1960" s="15" t="str">
        <f aca="false">IF(J1960=1,"OFFLINE",IF(AND(Q1960&gt;=Inputs!$B$15,R1960=1,S1960=1,P1960&lt;=L1960),"PASS","FAIL"))</f>
        <v>PASS</v>
      </c>
    </row>
    <row r="1961" customFormat="false" ht="15" hidden="false" customHeight="false" outlineLevel="0" collapsed="false">
      <c r="A1961" s="14" t="s">
        <v>1037</v>
      </c>
      <c r="B1961" s="14" t="s">
        <v>1038</v>
      </c>
      <c r="C1961" s="14" t="s">
        <v>152</v>
      </c>
      <c r="D1961" s="14" t="s">
        <v>156</v>
      </c>
      <c r="E1961" s="14" t="s">
        <v>157</v>
      </c>
      <c r="F1961" s="14" t="s">
        <v>150</v>
      </c>
      <c r="G1961" s="14" t="n">
        <v>2</v>
      </c>
      <c r="H1961" s="14" t="s">
        <v>153</v>
      </c>
      <c r="I1961" s="14" t="s">
        <v>897</v>
      </c>
      <c r="J1961" s="15" t="n">
        <f aca="false">IF(B1961="SITE LOSS",IF(D1961=C1961,1,0),IF(B1961="REGION LOSS",IF(E1961=C1961,1,0),0))</f>
        <v>0</v>
      </c>
      <c r="K1961" s="15" t="n">
        <f aca="false">IF(B1961="SITE LOSS",IF(COUNTIFS('Site Dockets'!$B$7:$B$24,C1961,'Site Dockets'!$C$7:$C$24,F1961)&gt;0,1,0),IF(B1961="REGION LOSS",IF(COUNTIFS('Site Dockets'!$E$7:$E$24,C1961,'Site Dockets'!$C$7:$C$24,F1961)&gt;0,1,0),0))</f>
        <v>1</v>
      </c>
      <c r="L1961" s="15" t="n">
        <f aca="false">IF(J1961=1,0,Inputs!$B$11)</f>
        <v>100</v>
      </c>
      <c r="M1961" s="15" t="n">
        <f aca="false">IF(J1961=1,0,Inputs!$B$12)</f>
        <v>75</v>
      </c>
      <c r="N1961" s="15" t="n">
        <f aca="false">IF(J1961=1,0,IF(OR(AND(OR(B1961="SITE LOSS",B1961="REGION LOSS"),K1961=1),AND(B1961="ROLE COMPROMISE",H1961=C1961)),Inputs!$B$13,Inputs!$B$14))</f>
        <v>20</v>
      </c>
      <c r="O1961" s="15" t="n">
        <f aca="false">IF(J1961=1,0,Inputs!$B$13)</f>
        <v>20</v>
      </c>
      <c r="P1961" s="15" t="n">
        <f aca="false">SUM(M1961:N1961)</f>
        <v>95</v>
      </c>
      <c r="Q1961" s="15" t="n">
        <f aca="false">IF(J1961=1,"",L1961-P1961)</f>
        <v>5</v>
      </c>
      <c r="R1961" s="15" t="n">
        <f aca="false">IF(OR(J1961=1,M1961&lt;=Inputs!$B$12),1,0)</f>
        <v>1</v>
      </c>
      <c r="S1961" s="15" t="n">
        <f aca="false">IF(OR(J1961=1,N1961&lt;=O1961),1,0)</f>
        <v>1</v>
      </c>
      <c r="T1961" s="15" t="str">
        <f aca="false">IF(J1961=1,"OFFLINE",IF(AND(Q1961&gt;=Inputs!$B$15,R1961=1,S1961=1,P1961&lt;=L1961),"PASS","FAIL"))</f>
        <v>PASS</v>
      </c>
    </row>
    <row r="1962" customFormat="false" ht="15" hidden="false" customHeight="false" outlineLevel="0" collapsed="false">
      <c r="A1962" s="14" t="s">
        <v>1037</v>
      </c>
      <c r="B1962" s="14" t="s">
        <v>1038</v>
      </c>
      <c r="C1962" s="14" t="s">
        <v>152</v>
      </c>
      <c r="D1962" s="14" t="s">
        <v>156</v>
      </c>
      <c r="E1962" s="14" t="s">
        <v>157</v>
      </c>
      <c r="F1962" s="14" t="s">
        <v>150</v>
      </c>
      <c r="G1962" s="14" t="n">
        <v>2</v>
      </c>
      <c r="H1962" s="14" t="s">
        <v>153</v>
      </c>
      <c r="I1962" s="14" t="s">
        <v>899</v>
      </c>
      <c r="J1962" s="15" t="n">
        <f aca="false">IF(B1962="SITE LOSS",IF(D1962=C1962,1,0),IF(B1962="REGION LOSS",IF(E1962=C1962,1,0),0))</f>
        <v>0</v>
      </c>
      <c r="K1962" s="15" t="n">
        <f aca="false">IF(B1962="SITE LOSS",IF(COUNTIFS('Site Dockets'!$B$7:$B$24,C1962,'Site Dockets'!$C$7:$C$24,F1962)&gt;0,1,0),IF(B1962="REGION LOSS",IF(COUNTIFS('Site Dockets'!$E$7:$E$24,C1962,'Site Dockets'!$C$7:$C$24,F1962)&gt;0,1,0),0))</f>
        <v>1</v>
      </c>
      <c r="L1962" s="15" t="n">
        <f aca="false">IF(J1962=1,0,Inputs!$B$11)</f>
        <v>100</v>
      </c>
      <c r="M1962" s="15" t="n">
        <f aca="false">IF(J1962=1,0,Inputs!$B$12)</f>
        <v>75</v>
      </c>
      <c r="N1962" s="15" t="n">
        <f aca="false">IF(J1962=1,0,IF(OR(AND(OR(B1962="SITE LOSS",B1962="REGION LOSS"),K1962=1),AND(B1962="ROLE COMPROMISE",H1962=C1962)),Inputs!$B$13,Inputs!$B$14))</f>
        <v>20</v>
      </c>
      <c r="O1962" s="15" t="n">
        <f aca="false">IF(J1962=1,0,Inputs!$B$13)</f>
        <v>20</v>
      </c>
      <c r="P1962" s="15" t="n">
        <f aca="false">SUM(M1962:N1962)</f>
        <v>95</v>
      </c>
      <c r="Q1962" s="15" t="n">
        <f aca="false">IF(J1962=1,"",L1962-P1962)</f>
        <v>5</v>
      </c>
      <c r="R1962" s="15" t="n">
        <f aca="false">IF(OR(J1962=1,M1962&lt;=Inputs!$B$12),1,0)</f>
        <v>1</v>
      </c>
      <c r="S1962" s="15" t="n">
        <f aca="false">IF(OR(J1962=1,N1962&lt;=O1962),1,0)</f>
        <v>1</v>
      </c>
      <c r="T1962" s="15" t="str">
        <f aca="false">IF(J1962=1,"OFFLINE",IF(AND(Q1962&gt;=Inputs!$B$15,R1962=1,S1962=1,P1962&lt;=L1962),"PASS","FAIL"))</f>
        <v>PASS</v>
      </c>
    </row>
    <row r="1963" customFormat="false" ht="15" hidden="false" customHeight="false" outlineLevel="0" collapsed="false">
      <c r="A1963" s="14" t="s">
        <v>1037</v>
      </c>
      <c r="B1963" s="14" t="s">
        <v>1038</v>
      </c>
      <c r="C1963" s="14" t="s">
        <v>152</v>
      </c>
      <c r="D1963" s="14" t="s">
        <v>160</v>
      </c>
      <c r="E1963" s="14" t="s">
        <v>161</v>
      </c>
      <c r="F1963" s="14" t="s">
        <v>150</v>
      </c>
      <c r="G1963" s="14" t="n">
        <v>3</v>
      </c>
      <c r="H1963" s="14" t="s">
        <v>158</v>
      </c>
      <c r="I1963" s="14" t="s">
        <v>890</v>
      </c>
      <c r="J1963" s="15" t="n">
        <f aca="false">IF(B1963="SITE LOSS",IF(D1963=C1963,1,0),IF(B1963="REGION LOSS",IF(E1963=C1963,1,0),0))</f>
        <v>0</v>
      </c>
      <c r="K1963" s="15" t="n">
        <f aca="false">IF(B1963="SITE LOSS",IF(COUNTIFS('Site Dockets'!$B$7:$B$24,C1963,'Site Dockets'!$C$7:$C$24,F1963)&gt;0,1,0),IF(B1963="REGION LOSS",IF(COUNTIFS('Site Dockets'!$E$7:$E$24,C1963,'Site Dockets'!$C$7:$C$24,F1963)&gt;0,1,0),0))</f>
        <v>1</v>
      </c>
      <c r="L1963" s="15" t="n">
        <f aca="false">IF(J1963=1,0,Inputs!$B$11)</f>
        <v>100</v>
      </c>
      <c r="M1963" s="15" t="n">
        <f aca="false">IF(J1963=1,0,Inputs!$B$12)</f>
        <v>75</v>
      </c>
      <c r="N1963" s="15" t="n">
        <f aca="false">IF(J1963=1,0,IF(OR(AND(OR(B1963="SITE LOSS",B1963="REGION LOSS"),K1963=1),AND(B1963="ROLE COMPROMISE",H1963=C1963)),Inputs!$B$13,Inputs!$B$14))</f>
        <v>20</v>
      </c>
      <c r="O1963" s="15" t="n">
        <f aca="false">IF(J1963=1,0,Inputs!$B$13)</f>
        <v>20</v>
      </c>
      <c r="P1963" s="15" t="n">
        <f aca="false">SUM(M1963:N1963)</f>
        <v>95</v>
      </c>
      <c r="Q1963" s="15" t="n">
        <f aca="false">IF(J1963=1,"",L1963-P1963)</f>
        <v>5</v>
      </c>
      <c r="R1963" s="15" t="n">
        <f aca="false">IF(OR(J1963=1,M1963&lt;=Inputs!$B$12),1,0)</f>
        <v>1</v>
      </c>
      <c r="S1963" s="15" t="n">
        <f aca="false">IF(OR(J1963=1,N1963&lt;=O1963),1,0)</f>
        <v>1</v>
      </c>
      <c r="T1963" s="15" t="str">
        <f aca="false">IF(J1963=1,"OFFLINE",IF(AND(Q1963&gt;=Inputs!$B$15,R1963=1,S1963=1,P1963&lt;=L1963),"PASS","FAIL"))</f>
        <v>PASS</v>
      </c>
    </row>
    <row r="1964" customFormat="false" ht="15" hidden="false" customHeight="false" outlineLevel="0" collapsed="false">
      <c r="A1964" s="14" t="s">
        <v>1037</v>
      </c>
      <c r="B1964" s="14" t="s">
        <v>1038</v>
      </c>
      <c r="C1964" s="14" t="s">
        <v>152</v>
      </c>
      <c r="D1964" s="14" t="s">
        <v>160</v>
      </c>
      <c r="E1964" s="14" t="s">
        <v>161</v>
      </c>
      <c r="F1964" s="14" t="s">
        <v>150</v>
      </c>
      <c r="G1964" s="14" t="n">
        <v>3</v>
      </c>
      <c r="H1964" s="14" t="s">
        <v>158</v>
      </c>
      <c r="I1964" s="14" t="s">
        <v>892</v>
      </c>
      <c r="J1964" s="15" t="n">
        <f aca="false">IF(B1964="SITE LOSS",IF(D1964=C1964,1,0),IF(B1964="REGION LOSS",IF(E1964=C1964,1,0),0))</f>
        <v>0</v>
      </c>
      <c r="K1964" s="15" t="n">
        <f aca="false">IF(B1964="SITE LOSS",IF(COUNTIFS('Site Dockets'!$B$7:$B$24,C1964,'Site Dockets'!$C$7:$C$24,F1964)&gt;0,1,0),IF(B1964="REGION LOSS",IF(COUNTIFS('Site Dockets'!$E$7:$E$24,C1964,'Site Dockets'!$C$7:$C$24,F1964)&gt;0,1,0),0))</f>
        <v>1</v>
      </c>
      <c r="L1964" s="15" t="n">
        <f aca="false">IF(J1964=1,0,Inputs!$B$11)</f>
        <v>100</v>
      </c>
      <c r="M1964" s="15" t="n">
        <f aca="false">IF(J1964=1,0,Inputs!$B$12)</f>
        <v>75</v>
      </c>
      <c r="N1964" s="15" t="n">
        <f aca="false">IF(J1964=1,0,IF(OR(AND(OR(B1964="SITE LOSS",B1964="REGION LOSS"),K1964=1),AND(B1964="ROLE COMPROMISE",H1964=C1964)),Inputs!$B$13,Inputs!$B$14))</f>
        <v>20</v>
      </c>
      <c r="O1964" s="15" t="n">
        <f aca="false">IF(J1964=1,0,Inputs!$B$13)</f>
        <v>20</v>
      </c>
      <c r="P1964" s="15" t="n">
        <f aca="false">SUM(M1964:N1964)</f>
        <v>95</v>
      </c>
      <c r="Q1964" s="15" t="n">
        <f aca="false">IF(J1964=1,"",L1964-P1964)</f>
        <v>5</v>
      </c>
      <c r="R1964" s="15" t="n">
        <f aca="false">IF(OR(J1964=1,M1964&lt;=Inputs!$B$12),1,0)</f>
        <v>1</v>
      </c>
      <c r="S1964" s="15" t="n">
        <f aca="false">IF(OR(J1964=1,N1964&lt;=O1964),1,0)</f>
        <v>1</v>
      </c>
      <c r="T1964" s="15" t="str">
        <f aca="false">IF(J1964=1,"OFFLINE",IF(AND(Q1964&gt;=Inputs!$B$15,R1964=1,S1964=1,P1964&lt;=L1964),"PASS","FAIL"))</f>
        <v>PASS</v>
      </c>
    </row>
    <row r="1965" customFormat="false" ht="15" hidden="false" customHeight="false" outlineLevel="0" collapsed="false">
      <c r="A1965" s="14" t="s">
        <v>1037</v>
      </c>
      <c r="B1965" s="14" t="s">
        <v>1038</v>
      </c>
      <c r="C1965" s="14" t="s">
        <v>152</v>
      </c>
      <c r="D1965" s="14" t="s">
        <v>160</v>
      </c>
      <c r="E1965" s="14" t="s">
        <v>161</v>
      </c>
      <c r="F1965" s="14" t="s">
        <v>150</v>
      </c>
      <c r="G1965" s="14" t="n">
        <v>3</v>
      </c>
      <c r="H1965" s="14" t="s">
        <v>158</v>
      </c>
      <c r="I1965" s="14" t="s">
        <v>811</v>
      </c>
      <c r="J1965" s="15" t="n">
        <f aca="false">IF(B1965="SITE LOSS",IF(D1965=C1965,1,0),IF(B1965="REGION LOSS",IF(E1965=C1965,1,0),0))</f>
        <v>0</v>
      </c>
      <c r="K1965" s="15" t="n">
        <f aca="false">IF(B1965="SITE LOSS",IF(COUNTIFS('Site Dockets'!$B$7:$B$24,C1965,'Site Dockets'!$C$7:$C$24,F1965)&gt;0,1,0),IF(B1965="REGION LOSS",IF(COUNTIFS('Site Dockets'!$E$7:$E$24,C1965,'Site Dockets'!$C$7:$C$24,F1965)&gt;0,1,0),0))</f>
        <v>1</v>
      </c>
      <c r="L1965" s="15" t="n">
        <f aca="false">IF(J1965=1,0,Inputs!$B$11)</f>
        <v>100</v>
      </c>
      <c r="M1965" s="15" t="n">
        <f aca="false">IF(J1965=1,0,Inputs!$B$12)</f>
        <v>75</v>
      </c>
      <c r="N1965" s="15" t="n">
        <f aca="false">IF(J1965=1,0,IF(OR(AND(OR(B1965="SITE LOSS",B1965="REGION LOSS"),K1965=1),AND(B1965="ROLE COMPROMISE",H1965=C1965)),Inputs!$B$13,Inputs!$B$14))</f>
        <v>20</v>
      </c>
      <c r="O1965" s="15" t="n">
        <f aca="false">IF(J1965=1,0,Inputs!$B$13)</f>
        <v>20</v>
      </c>
      <c r="P1965" s="15" t="n">
        <f aca="false">SUM(M1965:N1965)</f>
        <v>95</v>
      </c>
      <c r="Q1965" s="15" t="n">
        <f aca="false">IF(J1965=1,"",L1965-P1965)</f>
        <v>5</v>
      </c>
      <c r="R1965" s="15" t="n">
        <f aca="false">IF(OR(J1965=1,M1965&lt;=Inputs!$B$12),1,0)</f>
        <v>1</v>
      </c>
      <c r="S1965" s="15" t="n">
        <f aca="false">IF(OR(J1965=1,N1965&lt;=O1965),1,0)</f>
        <v>1</v>
      </c>
      <c r="T1965" s="15" t="str">
        <f aca="false">IF(J1965=1,"OFFLINE",IF(AND(Q1965&gt;=Inputs!$B$15,R1965=1,S1965=1,P1965&lt;=L1965),"PASS","FAIL"))</f>
        <v>PASS</v>
      </c>
    </row>
    <row r="1966" customFormat="false" ht="15" hidden="false" customHeight="false" outlineLevel="0" collapsed="false">
      <c r="A1966" s="14" t="s">
        <v>1037</v>
      </c>
      <c r="B1966" s="14" t="s">
        <v>1038</v>
      </c>
      <c r="C1966" s="14" t="s">
        <v>152</v>
      </c>
      <c r="D1966" s="14" t="s">
        <v>160</v>
      </c>
      <c r="E1966" s="14" t="s">
        <v>161</v>
      </c>
      <c r="F1966" s="14" t="s">
        <v>150</v>
      </c>
      <c r="G1966" s="14" t="n">
        <v>3</v>
      </c>
      <c r="H1966" s="14" t="s">
        <v>158</v>
      </c>
      <c r="I1966" s="14" t="s">
        <v>895</v>
      </c>
      <c r="J1966" s="15" t="n">
        <f aca="false">IF(B1966="SITE LOSS",IF(D1966=C1966,1,0),IF(B1966="REGION LOSS",IF(E1966=C1966,1,0),0))</f>
        <v>0</v>
      </c>
      <c r="K1966" s="15" t="n">
        <f aca="false">IF(B1966="SITE LOSS",IF(COUNTIFS('Site Dockets'!$B$7:$B$24,C1966,'Site Dockets'!$C$7:$C$24,F1966)&gt;0,1,0),IF(B1966="REGION LOSS",IF(COUNTIFS('Site Dockets'!$E$7:$E$24,C1966,'Site Dockets'!$C$7:$C$24,F1966)&gt;0,1,0),0))</f>
        <v>1</v>
      </c>
      <c r="L1966" s="15" t="n">
        <f aca="false">IF(J1966=1,0,Inputs!$B$11)</f>
        <v>100</v>
      </c>
      <c r="M1966" s="15" t="n">
        <f aca="false">IF(J1966=1,0,Inputs!$B$12)</f>
        <v>75</v>
      </c>
      <c r="N1966" s="15" t="n">
        <f aca="false">IF(J1966=1,0,IF(OR(AND(OR(B1966="SITE LOSS",B1966="REGION LOSS"),K1966=1),AND(B1966="ROLE COMPROMISE",H1966=C1966)),Inputs!$B$13,Inputs!$B$14))</f>
        <v>20</v>
      </c>
      <c r="O1966" s="15" t="n">
        <f aca="false">IF(J1966=1,0,Inputs!$B$13)</f>
        <v>20</v>
      </c>
      <c r="P1966" s="15" t="n">
        <f aca="false">SUM(M1966:N1966)</f>
        <v>95</v>
      </c>
      <c r="Q1966" s="15" t="n">
        <f aca="false">IF(J1966=1,"",L1966-P1966)</f>
        <v>5</v>
      </c>
      <c r="R1966" s="15" t="n">
        <f aca="false">IF(OR(J1966=1,M1966&lt;=Inputs!$B$12),1,0)</f>
        <v>1</v>
      </c>
      <c r="S1966" s="15" t="n">
        <f aca="false">IF(OR(J1966=1,N1966&lt;=O1966),1,0)</f>
        <v>1</v>
      </c>
      <c r="T1966" s="15" t="str">
        <f aca="false">IF(J1966=1,"OFFLINE",IF(AND(Q1966&gt;=Inputs!$B$15,R1966=1,S1966=1,P1966&lt;=L1966),"PASS","FAIL"))</f>
        <v>PASS</v>
      </c>
    </row>
    <row r="1967" customFormat="false" ht="15" hidden="false" customHeight="false" outlineLevel="0" collapsed="false">
      <c r="A1967" s="14" t="s">
        <v>1037</v>
      </c>
      <c r="B1967" s="14" t="s">
        <v>1038</v>
      </c>
      <c r="C1967" s="14" t="s">
        <v>152</v>
      </c>
      <c r="D1967" s="14" t="s">
        <v>160</v>
      </c>
      <c r="E1967" s="14" t="s">
        <v>161</v>
      </c>
      <c r="F1967" s="14" t="s">
        <v>150</v>
      </c>
      <c r="G1967" s="14" t="n">
        <v>3</v>
      </c>
      <c r="H1967" s="14" t="s">
        <v>158</v>
      </c>
      <c r="I1967" s="14" t="s">
        <v>897</v>
      </c>
      <c r="J1967" s="15" t="n">
        <f aca="false">IF(B1967="SITE LOSS",IF(D1967=C1967,1,0),IF(B1967="REGION LOSS",IF(E1967=C1967,1,0),0))</f>
        <v>0</v>
      </c>
      <c r="K1967" s="15" t="n">
        <f aca="false">IF(B1967="SITE LOSS",IF(COUNTIFS('Site Dockets'!$B$7:$B$24,C1967,'Site Dockets'!$C$7:$C$24,F1967)&gt;0,1,0),IF(B1967="REGION LOSS",IF(COUNTIFS('Site Dockets'!$E$7:$E$24,C1967,'Site Dockets'!$C$7:$C$24,F1967)&gt;0,1,0),0))</f>
        <v>1</v>
      </c>
      <c r="L1967" s="15" t="n">
        <f aca="false">IF(J1967=1,0,Inputs!$B$11)</f>
        <v>100</v>
      </c>
      <c r="M1967" s="15" t="n">
        <f aca="false">IF(J1967=1,0,Inputs!$B$12)</f>
        <v>75</v>
      </c>
      <c r="N1967" s="15" t="n">
        <f aca="false">IF(J1967=1,0,IF(OR(AND(OR(B1967="SITE LOSS",B1967="REGION LOSS"),K1967=1),AND(B1967="ROLE COMPROMISE",H1967=C1967)),Inputs!$B$13,Inputs!$B$14))</f>
        <v>20</v>
      </c>
      <c r="O1967" s="15" t="n">
        <f aca="false">IF(J1967=1,0,Inputs!$B$13)</f>
        <v>20</v>
      </c>
      <c r="P1967" s="15" t="n">
        <f aca="false">SUM(M1967:N1967)</f>
        <v>95</v>
      </c>
      <c r="Q1967" s="15" t="n">
        <f aca="false">IF(J1967=1,"",L1967-P1967)</f>
        <v>5</v>
      </c>
      <c r="R1967" s="15" t="n">
        <f aca="false">IF(OR(J1967=1,M1967&lt;=Inputs!$B$12),1,0)</f>
        <v>1</v>
      </c>
      <c r="S1967" s="15" t="n">
        <f aca="false">IF(OR(J1967=1,N1967&lt;=O1967),1,0)</f>
        <v>1</v>
      </c>
      <c r="T1967" s="15" t="str">
        <f aca="false">IF(J1967=1,"OFFLINE",IF(AND(Q1967&gt;=Inputs!$B$15,R1967=1,S1967=1,P1967&lt;=L1967),"PASS","FAIL"))</f>
        <v>PASS</v>
      </c>
    </row>
    <row r="1968" customFormat="false" ht="15" hidden="false" customHeight="false" outlineLevel="0" collapsed="false">
      <c r="A1968" s="14" t="s">
        <v>1037</v>
      </c>
      <c r="B1968" s="14" t="s">
        <v>1038</v>
      </c>
      <c r="C1968" s="14" t="s">
        <v>152</v>
      </c>
      <c r="D1968" s="14" t="s">
        <v>160</v>
      </c>
      <c r="E1968" s="14" t="s">
        <v>161</v>
      </c>
      <c r="F1968" s="14" t="s">
        <v>150</v>
      </c>
      <c r="G1968" s="14" t="n">
        <v>3</v>
      </c>
      <c r="H1968" s="14" t="s">
        <v>158</v>
      </c>
      <c r="I1968" s="14" t="s">
        <v>899</v>
      </c>
      <c r="J1968" s="15" t="n">
        <f aca="false">IF(B1968="SITE LOSS",IF(D1968=C1968,1,0),IF(B1968="REGION LOSS",IF(E1968=C1968,1,0),0))</f>
        <v>0</v>
      </c>
      <c r="K1968" s="15" t="n">
        <f aca="false">IF(B1968="SITE LOSS",IF(COUNTIFS('Site Dockets'!$B$7:$B$24,C1968,'Site Dockets'!$C$7:$C$24,F1968)&gt;0,1,0),IF(B1968="REGION LOSS",IF(COUNTIFS('Site Dockets'!$E$7:$E$24,C1968,'Site Dockets'!$C$7:$C$24,F1968)&gt;0,1,0),0))</f>
        <v>1</v>
      </c>
      <c r="L1968" s="15" t="n">
        <f aca="false">IF(J1968=1,0,Inputs!$B$11)</f>
        <v>100</v>
      </c>
      <c r="M1968" s="15" t="n">
        <f aca="false">IF(J1968=1,0,Inputs!$B$12)</f>
        <v>75</v>
      </c>
      <c r="N1968" s="15" t="n">
        <f aca="false">IF(J1968=1,0,IF(OR(AND(OR(B1968="SITE LOSS",B1968="REGION LOSS"),K1968=1),AND(B1968="ROLE COMPROMISE",H1968=C1968)),Inputs!$B$13,Inputs!$B$14))</f>
        <v>20</v>
      </c>
      <c r="O1968" s="15" t="n">
        <f aca="false">IF(J1968=1,0,Inputs!$B$13)</f>
        <v>20</v>
      </c>
      <c r="P1968" s="15" t="n">
        <f aca="false">SUM(M1968:N1968)</f>
        <v>95</v>
      </c>
      <c r="Q1968" s="15" t="n">
        <f aca="false">IF(J1968=1,"",L1968-P1968)</f>
        <v>5</v>
      </c>
      <c r="R1968" s="15" t="n">
        <f aca="false">IF(OR(J1968=1,M1968&lt;=Inputs!$B$12),1,0)</f>
        <v>1</v>
      </c>
      <c r="S1968" s="15" t="n">
        <f aca="false">IF(OR(J1968=1,N1968&lt;=O1968),1,0)</f>
        <v>1</v>
      </c>
      <c r="T1968" s="15" t="str">
        <f aca="false">IF(J1968=1,"OFFLINE",IF(AND(Q1968&gt;=Inputs!$B$15,R1968=1,S1968=1,P1968&lt;=L1968),"PASS","FAIL"))</f>
        <v>PASS</v>
      </c>
    </row>
    <row r="1969" customFormat="false" ht="15" hidden="false" customHeight="false" outlineLevel="0" collapsed="false">
      <c r="A1969" s="14" t="s">
        <v>1037</v>
      </c>
      <c r="B1969" s="14" t="s">
        <v>1038</v>
      </c>
      <c r="C1969" s="14" t="s">
        <v>152</v>
      </c>
      <c r="D1969" s="14" t="s">
        <v>163</v>
      </c>
      <c r="E1969" s="14" t="s">
        <v>166</v>
      </c>
      <c r="F1969" s="14" t="s">
        <v>164</v>
      </c>
      <c r="G1969" s="14" t="n">
        <v>1</v>
      </c>
      <c r="H1969" s="14" t="s">
        <v>154</v>
      </c>
      <c r="I1969" s="14" t="s">
        <v>890</v>
      </c>
      <c r="J1969" s="15" t="n">
        <f aca="false">IF(B1969="SITE LOSS",IF(D1969=C1969,1,0),IF(B1969="REGION LOSS",IF(E1969=C1969,1,0),0))</f>
        <v>0</v>
      </c>
      <c r="K1969" s="15" t="n">
        <f aca="false">IF(B1969="SITE LOSS",IF(COUNTIFS('Site Dockets'!$B$7:$B$24,C1969,'Site Dockets'!$C$7:$C$24,F1969)&gt;0,1,0),IF(B1969="REGION LOSS",IF(COUNTIFS('Site Dockets'!$E$7:$E$24,C1969,'Site Dockets'!$C$7:$C$24,F1969)&gt;0,1,0),0))</f>
        <v>0</v>
      </c>
      <c r="L1969" s="15" t="n">
        <f aca="false">IF(J1969=1,0,Inputs!$B$11)</f>
        <v>100</v>
      </c>
      <c r="M1969" s="15" t="n">
        <f aca="false">IF(J1969=1,0,Inputs!$B$12)</f>
        <v>75</v>
      </c>
      <c r="N1969" s="15" t="n">
        <f aca="false">IF(J1969=1,0,IF(OR(AND(OR(B1969="SITE LOSS",B1969="REGION LOSS"),K1969=1),AND(B1969="ROLE COMPROMISE",H1969=C1969)),Inputs!$B$13,Inputs!$B$14))</f>
        <v>10</v>
      </c>
      <c r="O1969" s="15" t="n">
        <f aca="false">IF(J1969=1,0,Inputs!$B$13)</f>
        <v>20</v>
      </c>
      <c r="P1969" s="15" t="n">
        <f aca="false">SUM(M1969:N1969)</f>
        <v>85</v>
      </c>
      <c r="Q1969" s="15" t="n">
        <f aca="false">IF(J1969=1,"",L1969-P1969)</f>
        <v>15</v>
      </c>
      <c r="R1969" s="15" t="n">
        <f aca="false">IF(OR(J1969=1,M1969&lt;=Inputs!$B$12),1,0)</f>
        <v>1</v>
      </c>
      <c r="S1969" s="15" t="n">
        <f aca="false">IF(OR(J1969=1,N1969&lt;=O1969),1,0)</f>
        <v>1</v>
      </c>
      <c r="T1969" s="15" t="str">
        <f aca="false">IF(J1969=1,"OFFLINE",IF(AND(Q1969&gt;=Inputs!$B$15,R1969=1,S1969=1,P1969&lt;=L1969),"PASS","FAIL"))</f>
        <v>PASS</v>
      </c>
    </row>
    <row r="1970" customFormat="false" ht="15" hidden="false" customHeight="false" outlineLevel="0" collapsed="false">
      <c r="A1970" s="14" t="s">
        <v>1037</v>
      </c>
      <c r="B1970" s="14" t="s">
        <v>1038</v>
      </c>
      <c r="C1970" s="14" t="s">
        <v>152</v>
      </c>
      <c r="D1970" s="14" t="s">
        <v>163</v>
      </c>
      <c r="E1970" s="14" t="s">
        <v>166</v>
      </c>
      <c r="F1970" s="14" t="s">
        <v>164</v>
      </c>
      <c r="G1970" s="14" t="n">
        <v>1</v>
      </c>
      <c r="H1970" s="14" t="s">
        <v>154</v>
      </c>
      <c r="I1970" s="14" t="s">
        <v>892</v>
      </c>
      <c r="J1970" s="15" t="n">
        <f aca="false">IF(B1970="SITE LOSS",IF(D1970=C1970,1,0),IF(B1970="REGION LOSS",IF(E1970=C1970,1,0),0))</f>
        <v>0</v>
      </c>
      <c r="K1970" s="15" t="n">
        <f aca="false">IF(B1970="SITE LOSS",IF(COUNTIFS('Site Dockets'!$B$7:$B$24,C1970,'Site Dockets'!$C$7:$C$24,F1970)&gt;0,1,0),IF(B1970="REGION LOSS",IF(COUNTIFS('Site Dockets'!$E$7:$E$24,C1970,'Site Dockets'!$C$7:$C$24,F1970)&gt;0,1,0),0))</f>
        <v>0</v>
      </c>
      <c r="L1970" s="15" t="n">
        <f aca="false">IF(J1970=1,0,Inputs!$B$11)</f>
        <v>100</v>
      </c>
      <c r="M1970" s="15" t="n">
        <f aca="false">IF(J1970=1,0,Inputs!$B$12)</f>
        <v>75</v>
      </c>
      <c r="N1970" s="15" t="n">
        <f aca="false">IF(J1970=1,0,IF(OR(AND(OR(B1970="SITE LOSS",B1970="REGION LOSS"),K1970=1),AND(B1970="ROLE COMPROMISE",H1970=C1970)),Inputs!$B$13,Inputs!$B$14))</f>
        <v>10</v>
      </c>
      <c r="O1970" s="15" t="n">
        <f aca="false">IF(J1970=1,0,Inputs!$B$13)</f>
        <v>20</v>
      </c>
      <c r="P1970" s="15" t="n">
        <f aca="false">SUM(M1970:N1970)</f>
        <v>85</v>
      </c>
      <c r="Q1970" s="15" t="n">
        <f aca="false">IF(J1970=1,"",L1970-P1970)</f>
        <v>15</v>
      </c>
      <c r="R1970" s="15" t="n">
        <f aca="false">IF(OR(J1970=1,M1970&lt;=Inputs!$B$12),1,0)</f>
        <v>1</v>
      </c>
      <c r="S1970" s="15" t="n">
        <f aca="false">IF(OR(J1970=1,N1970&lt;=O1970),1,0)</f>
        <v>1</v>
      </c>
      <c r="T1970" s="15" t="str">
        <f aca="false">IF(J1970=1,"OFFLINE",IF(AND(Q1970&gt;=Inputs!$B$15,R1970=1,S1970=1,P1970&lt;=L1970),"PASS","FAIL"))</f>
        <v>PASS</v>
      </c>
    </row>
    <row r="1971" customFormat="false" ht="15" hidden="false" customHeight="false" outlineLevel="0" collapsed="false">
      <c r="A1971" s="14" t="s">
        <v>1037</v>
      </c>
      <c r="B1971" s="14" t="s">
        <v>1038</v>
      </c>
      <c r="C1971" s="14" t="s">
        <v>152</v>
      </c>
      <c r="D1971" s="14" t="s">
        <v>163</v>
      </c>
      <c r="E1971" s="14" t="s">
        <v>166</v>
      </c>
      <c r="F1971" s="14" t="s">
        <v>164</v>
      </c>
      <c r="G1971" s="14" t="n">
        <v>1</v>
      </c>
      <c r="H1971" s="14" t="s">
        <v>154</v>
      </c>
      <c r="I1971" s="14" t="s">
        <v>811</v>
      </c>
      <c r="J1971" s="15" t="n">
        <f aca="false">IF(B1971="SITE LOSS",IF(D1971=C1971,1,0),IF(B1971="REGION LOSS",IF(E1971=C1971,1,0),0))</f>
        <v>0</v>
      </c>
      <c r="K1971" s="15" t="n">
        <f aca="false">IF(B1971="SITE LOSS",IF(COUNTIFS('Site Dockets'!$B$7:$B$24,C1971,'Site Dockets'!$C$7:$C$24,F1971)&gt;0,1,0),IF(B1971="REGION LOSS",IF(COUNTIFS('Site Dockets'!$E$7:$E$24,C1971,'Site Dockets'!$C$7:$C$24,F1971)&gt;0,1,0),0))</f>
        <v>0</v>
      </c>
      <c r="L1971" s="15" t="n">
        <f aca="false">IF(J1971=1,0,Inputs!$B$11)</f>
        <v>100</v>
      </c>
      <c r="M1971" s="15" t="n">
        <f aca="false">IF(J1971=1,0,Inputs!$B$12)</f>
        <v>75</v>
      </c>
      <c r="N1971" s="15" t="n">
        <f aca="false">IF(J1971=1,0,IF(OR(AND(OR(B1971="SITE LOSS",B1971="REGION LOSS"),K1971=1),AND(B1971="ROLE COMPROMISE",H1971=C1971)),Inputs!$B$13,Inputs!$B$14))</f>
        <v>10</v>
      </c>
      <c r="O1971" s="15" t="n">
        <f aca="false">IF(J1971=1,0,Inputs!$B$13)</f>
        <v>20</v>
      </c>
      <c r="P1971" s="15" t="n">
        <f aca="false">SUM(M1971:N1971)</f>
        <v>85</v>
      </c>
      <c r="Q1971" s="15" t="n">
        <f aca="false">IF(J1971=1,"",L1971-P1971)</f>
        <v>15</v>
      </c>
      <c r="R1971" s="15" t="n">
        <f aca="false">IF(OR(J1971=1,M1971&lt;=Inputs!$B$12),1,0)</f>
        <v>1</v>
      </c>
      <c r="S1971" s="15" t="n">
        <f aca="false">IF(OR(J1971=1,N1971&lt;=O1971),1,0)</f>
        <v>1</v>
      </c>
      <c r="T1971" s="15" t="str">
        <f aca="false">IF(J1971=1,"OFFLINE",IF(AND(Q1971&gt;=Inputs!$B$15,R1971=1,S1971=1,P1971&lt;=L1971),"PASS","FAIL"))</f>
        <v>PASS</v>
      </c>
    </row>
    <row r="1972" customFormat="false" ht="15" hidden="false" customHeight="false" outlineLevel="0" collapsed="false">
      <c r="A1972" s="14" t="s">
        <v>1037</v>
      </c>
      <c r="B1972" s="14" t="s">
        <v>1038</v>
      </c>
      <c r="C1972" s="14" t="s">
        <v>152</v>
      </c>
      <c r="D1972" s="14" t="s">
        <v>163</v>
      </c>
      <c r="E1972" s="14" t="s">
        <v>166</v>
      </c>
      <c r="F1972" s="14" t="s">
        <v>164</v>
      </c>
      <c r="G1972" s="14" t="n">
        <v>1</v>
      </c>
      <c r="H1972" s="14" t="s">
        <v>154</v>
      </c>
      <c r="I1972" s="14" t="s">
        <v>895</v>
      </c>
      <c r="J1972" s="15" t="n">
        <f aca="false">IF(B1972="SITE LOSS",IF(D1972=C1972,1,0),IF(B1972="REGION LOSS",IF(E1972=C1972,1,0),0))</f>
        <v>0</v>
      </c>
      <c r="K1972" s="15" t="n">
        <f aca="false">IF(B1972="SITE LOSS",IF(COUNTIFS('Site Dockets'!$B$7:$B$24,C1972,'Site Dockets'!$C$7:$C$24,F1972)&gt;0,1,0),IF(B1972="REGION LOSS",IF(COUNTIFS('Site Dockets'!$E$7:$E$24,C1972,'Site Dockets'!$C$7:$C$24,F1972)&gt;0,1,0),0))</f>
        <v>0</v>
      </c>
      <c r="L1972" s="15" t="n">
        <f aca="false">IF(J1972=1,0,Inputs!$B$11)</f>
        <v>100</v>
      </c>
      <c r="M1972" s="15" t="n">
        <f aca="false">IF(J1972=1,0,Inputs!$B$12)</f>
        <v>75</v>
      </c>
      <c r="N1972" s="15" t="n">
        <f aca="false">IF(J1972=1,0,IF(OR(AND(OR(B1972="SITE LOSS",B1972="REGION LOSS"),K1972=1),AND(B1972="ROLE COMPROMISE",H1972=C1972)),Inputs!$B$13,Inputs!$B$14))</f>
        <v>10</v>
      </c>
      <c r="O1972" s="15" t="n">
        <f aca="false">IF(J1972=1,0,Inputs!$B$13)</f>
        <v>20</v>
      </c>
      <c r="P1972" s="15" t="n">
        <f aca="false">SUM(M1972:N1972)</f>
        <v>85</v>
      </c>
      <c r="Q1972" s="15" t="n">
        <f aca="false">IF(J1972=1,"",L1972-P1972)</f>
        <v>15</v>
      </c>
      <c r="R1972" s="15" t="n">
        <f aca="false">IF(OR(J1972=1,M1972&lt;=Inputs!$B$12),1,0)</f>
        <v>1</v>
      </c>
      <c r="S1972" s="15" t="n">
        <f aca="false">IF(OR(J1972=1,N1972&lt;=O1972),1,0)</f>
        <v>1</v>
      </c>
      <c r="T1972" s="15" t="str">
        <f aca="false">IF(J1972=1,"OFFLINE",IF(AND(Q1972&gt;=Inputs!$B$15,R1972=1,S1972=1,P1972&lt;=L1972),"PASS","FAIL"))</f>
        <v>PASS</v>
      </c>
    </row>
    <row r="1973" customFormat="false" ht="15" hidden="false" customHeight="false" outlineLevel="0" collapsed="false">
      <c r="A1973" s="14" t="s">
        <v>1037</v>
      </c>
      <c r="B1973" s="14" t="s">
        <v>1038</v>
      </c>
      <c r="C1973" s="14" t="s">
        <v>152</v>
      </c>
      <c r="D1973" s="14" t="s">
        <v>163</v>
      </c>
      <c r="E1973" s="14" t="s">
        <v>166</v>
      </c>
      <c r="F1973" s="14" t="s">
        <v>164</v>
      </c>
      <c r="G1973" s="14" t="n">
        <v>1</v>
      </c>
      <c r="H1973" s="14" t="s">
        <v>154</v>
      </c>
      <c r="I1973" s="14" t="s">
        <v>897</v>
      </c>
      <c r="J1973" s="15" t="n">
        <f aca="false">IF(B1973="SITE LOSS",IF(D1973=C1973,1,0),IF(B1973="REGION LOSS",IF(E1973=C1973,1,0),0))</f>
        <v>0</v>
      </c>
      <c r="K1973" s="15" t="n">
        <f aca="false">IF(B1973="SITE LOSS",IF(COUNTIFS('Site Dockets'!$B$7:$B$24,C1973,'Site Dockets'!$C$7:$C$24,F1973)&gt;0,1,0),IF(B1973="REGION LOSS",IF(COUNTIFS('Site Dockets'!$E$7:$E$24,C1973,'Site Dockets'!$C$7:$C$24,F1973)&gt;0,1,0),0))</f>
        <v>0</v>
      </c>
      <c r="L1973" s="15" t="n">
        <f aca="false">IF(J1973=1,0,Inputs!$B$11)</f>
        <v>100</v>
      </c>
      <c r="M1973" s="15" t="n">
        <f aca="false">IF(J1973=1,0,Inputs!$B$12)</f>
        <v>75</v>
      </c>
      <c r="N1973" s="15" t="n">
        <f aca="false">IF(J1973=1,0,IF(OR(AND(OR(B1973="SITE LOSS",B1973="REGION LOSS"),K1973=1),AND(B1973="ROLE COMPROMISE",H1973=C1973)),Inputs!$B$13,Inputs!$B$14))</f>
        <v>10</v>
      </c>
      <c r="O1973" s="15" t="n">
        <f aca="false">IF(J1973=1,0,Inputs!$B$13)</f>
        <v>20</v>
      </c>
      <c r="P1973" s="15" t="n">
        <f aca="false">SUM(M1973:N1973)</f>
        <v>85</v>
      </c>
      <c r="Q1973" s="15" t="n">
        <f aca="false">IF(J1973=1,"",L1973-P1973)</f>
        <v>15</v>
      </c>
      <c r="R1973" s="15" t="n">
        <f aca="false">IF(OR(J1973=1,M1973&lt;=Inputs!$B$12),1,0)</f>
        <v>1</v>
      </c>
      <c r="S1973" s="15" t="n">
        <f aca="false">IF(OR(J1973=1,N1973&lt;=O1973),1,0)</f>
        <v>1</v>
      </c>
      <c r="T1973" s="15" t="str">
        <f aca="false">IF(J1973=1,"OFFLINE",IF(AND(Q1973&gt;=Inputs!$B$15,R1973=1,S1973=1,P1973&lt;=L1973),"PASS","FAIL"))</f>
        <v>PASS</v>
      </c>
    </row>
    <row r="1974" customFormat="false" ht="15" hidden="false" customHeight="false" outlineLevel="0" collapsed="false">
      <c r="A1974" s="14" t="s">
        <v>1037</v>
      </c>
      <c r="B1974" s="14" t="s">
        <v>1038</v>
      </c>
      <c r="C1974" s="14" t="s">
        <v>152</v>
      </c>
      <c r="D1974" s="14" t="s">
        <v>163</v>
      </c>
      <c r="E1974" s="14" t="s">
        <v>166</v>
      </c>
      <c r="F1974" s="14" t="s">
        <v>164</v>
      </c>
      <c r="G1974" s="14" t="n">
        <v>1</v>
      </c>
      <c r="H1974" s="14" t="s">
        <v>154</v>
      </c>
      <c r="I1974" s="14" t="s">
        <v>899</v>
      </c>
      <c r="J1974" s="15" t="n">
        <f aca="false">IF(B1974="SITE LOSS",IF(D1974=C1974,1,0),IF(B1974="REGION LOSS",IF(E1974=C1974,1,0),0))</f>
        <v>0</v>
      </c>
      <c r="K1974" s="15" t="n">
        <f aca="false">IF(B1974="SITE LOSS",IF(COUNTIFS('Site Dockets'!$B$7:$B$24,C1974,'Site Dockets'!$C$7:$C$24,F1974)&gt;0,1,0),IF(B1974="REGION LOSS",IF(COUNTIFS('Site Dockets'!$E$7:$E$24,C1974,'Site Dockets'!$C$7:$C$24,F1974)&gt;0,1,0),0))</f>
        <v>0</v>
      </c>
      <c r="L1974" s="15" t="n">
        <f aca="false">IF(J1974=1,0,Inputs!$B$11)</f>
        <v>100</v>
      </c>
      <c r="M1974" s="15" t="n">
        <f aca="false">IF(J1974=1,0,Inputs!$B$12)</f>
        <v>75</v>
      </c>
      <c r="N1974" s="15" t="n">
        <f aca="false">IF(J1974=1,0,IF(OR(AND(OR(B1974="SITE LOSS",B1974="REGION LOSS"),K1974=1),AND(B1974="ROLE COMPROMISE",H1974=C1974)),Inputs!$B$13,Inputs!$B$14))</f>
        <v>10</v>
      </c>
      <c r="O1974" s="15" t="n">
        <f aca="false">IF(J1974=1,0,Inputs!$B$13)</f>
        <v>20</v>
      </c>
      <c r="P1974" s="15" t="n">
        <f aca="false">SUM(M1974:N1974)</f>
        <v>85</v>
      </c>
      <c r="Q1974" s="15" t="n">
        <f aca="false">IF(J1974=1,"",L1974-P1974)</f>
        <v>15</v>
      </c>
      <c r="R1974" s="15" t="n">
        <f aca="false">IF(OR(J1974=1,M1974&lt;=Inputs!$B$12),1,0)</f>
        <v>1</v>
      </c>
      <c r="S1974" s="15" t="n">
        <f aca="false">IF(OR(J1974=1,N1974&lt;=O1974),1,0)</f>
        <v>1</v>
      </c>
      <c r="T1974" s="15" t="str">
        <f aca="false">IF(J1974=1,"OFFLINE",IF(AND(Q1974&gt;=Inputs!$B$15,R1974=1,S1974=1,P1974&lt;=L1974),"PASS","FAIL"))</f>
        <v>PASS</v>
      </c>
    </row>
    <row r="1975" customFormat="false" ht="15" hidden="false" customHeight="false" outlineLevel="0" collapsed="false">
      <c r="A1975" s="14" t="s">
        <v>1037</v>
      </c>
      <c r="B1975" s="14" t="s">
        <v>1038</v>
      </c>
      <c r="C1975" s="14" t="s">
        <v>152</v>
      </c>
      <c r="D1975" s="14" t="s">
        <v>168</v>
      </c>
      <c r="E1975" s="14" t="s">
        <v>169</v>
      </c>
      <c r="F1975" s="14" t="s">
        <v>164</v>
      </c>
      <c r="G1975" s="14" t="n">
        <v>2</v>
      </c>
      <c r="H1975" s="14" t="s">
        <v>153</v>
      </c>
      <c r="I1975" s="14" t="s">
        <v>890</v>
      </c>
      <c r="J1975" s="15" t="n">
        <f aca="false">IF(B1975="SITE LOSS",IF(D1975=C1975,1,0),IF(B1975="REGION LOSS",IF(E1975=C1975,1,0),0))</f>
        <v>0</v>
      </c>
      <c r="K1975" s="15" t="n">
        <f aca="false">IF(B1975="SITE LOSS",IF(COUNTIFS('Site Dockets'!$B$7:$B$24,C1975,'Site Dockets'!$C$7:$C$24,F1975)&gt;0,1,0),IF(B1975="REGION LOSS",IF(COUNTIFS('Site Dockets'!$E$7:$E$24,C1975,'Site Dockets'!$C$7:$C$24,F1975)&gt;0,1,0),0))</f>
        <v>0</v>
      </c>
      <c r="L1975" s="15" t="n">
        <f aca="false">IF(J1975=1,0,Inputs!$B$11)</f>
        <v>100</v>
      </c>
      <c r="M1975" s="15" t="n">
        <f aca="false">IF(J1975=1,0,Inputs!$B$12)</f>
        <v>75</v>
      </c>
      <c r="N1975" s="15" t="n">
        <f aca="false">IF(J1975=1,0,IF(OR(AND(OR(B1975="SITE LOSS",B1975="REGION LOSS"),K1975=1),AND(B1975="ROLE COMPROMISE",H1975=C1975)),Inputs!$B$13,Inputs!$B$14))</f>
        <v>10</v>
      </c>
      <c r="O1975" s="15" t="n">
        <f aca="false">IF(J1975=1,0,Inputs!$B$13)</f>
        <v>20</v>
      </c>
      <c r="P1975" s="15" t="n">
        <f aca="false">SUM(M1975:N1975)</f>
        <v>85</v>
      </c>
      <c r="Q1975" s="15" t="n">
        <f aca="false">IF(J1975=1,"",L1975-P1975)</f>
        <v>15</v>
      </c>
      <c r="R1975" s="15" t="n">
        <f aca="false">IF(OR(J1975=1,M1975&lt;=Inputs!$B$12),1,0)</f>
        <v>1</v>
      </c>
      <c r="S1975" s="15" t="n">
        <f aca="false">IF(OR(J1975=1,N1975&lt;=O1975),1,0)</f>
        <v>1</v>
      </c>
      <c r="T1975" s="15" t="str">
        <f aca="false">IF(J1975=1,"OFFLINE",IF(AND(Q1975&gt;=Inputs!$B$15,R1975=1,S1975=1,P1975&lt;=L1975),"PASS","FAIL"))</f>
        <v>PASS</v>
      </c>
    </row>
    <row r="1976" customFormat="false" ht="15" hidden="false" customHeight="false" outlineLevel="0" collapsed="false">
      <c r="A1976" s="14" t="s">
        <v>1037</v>
      </c>
      <c r="B1976" s="14" t="s">
        <v>1038</v>
      </c>
      <c r="C1976" s="14" t="s">
        <v>152</v>
      </c>
      <c r="D1976" s="14" t="s">
        <v>168</v>
      </c>
      <c r="E1976" s="14" t="s">
        <v>169</v>
      </c>
      <c r="F1976" s="14" t="s">
        <v>164</v>
      </c>
      <c r="G1976" s="14" t="n">
        <v>2</v>
      </c>
      <c r="H1976" s="14" t="s">
        <v>153</v>
      </c>
      <c r="I1976" s="14" t="s">
        <v>892</v>
      </c>
      <c r="J1976" s="15" t="n">
        <f aca="false">IF(B1976="SITE LOSS",IF(D1976=C1976,1,0),IF(B1976="REGION LOSS",IF(E1976=C1976,1,0),0))</f>
        <v>0</v>
      </c>
      <c r="K1976" s="15" t="n">
        <f aca="false">IF(B1976="SITE LOSS",IF(COUNTIFS('Site Dockets'!$B$7:$B$24,C1976,'Site Dockets'!$C$7:$C$24,F1976)&gt;0,1,0),IF(B1976="REGION LOSS",IF(COUNTIFS('Site Dockets'!$E$7:$E$24,C1976,'Site Dockets'!$C$7:$C$24,F1976)&gt;0,1,0),0))</f>
        <v>0</v>
      </c>
      <c r="L1976" s="15" t="n">
        <f aca="false">IF(J1976=1,0,Inputs!$B$11)</f>
        <v>100</v>
      </c>
      <c r="M1976" s="15" t="n">
        <f aca="false">IF(J1976=1,0,Inputs!$B$12)</f>
        <v>75</v>
      </c>
      <c r="N1976" s="15" t="n">
        <f aca="false">IF(J1976=1,0,IF(OR(AND(OR(B1976="SITE LOSS",B1976="REGION LOSS"),K1976=1),AND(B1976="ROLE COMPROMISE",H1976=C1976)),Inputs!$B$13,Inputs!$B$14))</f>
        <v>10</v>
      </c>
      <c r="O1976" s="15" t="n">
        <f aca="false">IF(J1976=1,0,Inputs!$B$13)</f>
        <v>20</v>
      </c>
      <c r="P1976" s="15" t="n">
        <f aca="false">SUM(M1976:N1976)</f>
        <v>85</v>
      </c>
      <c r="Q1976" s="15" t="n">
        <f aca="false">IF(J1976=1,"",L1976-P1976)</f>
        <v>15</v>
      </c>
      <c r="R1976" s="15" t="n">
        <f aca="false">IF(OR(J1976=1,M1976&lt;=Inputs!$B$12),1,0)</f>
        <v>1</v>
      </c>
      <c r="S1976" s="15" t="n">
        <f aca="false">IF(OR(J1976=1,N1976&lt;=O1976),1,0)</f>
        <v>1</v>
      </c>
      <c r="T1976" s="15" t="str">
        <f aca="false">IF(J1976=1,"OFFLINE",IF(AND(Q1976&gt;=Inputs!$B$15,R1976=1,S1976=1,P1976&lt;=L1976),"PASS","FAIL"))</f>
        <v>PASS</v>
      </c>
    </row>
    <row r="1977" customFormat="false" ht="15" hidden="false" customHeight="false" outlineLevel="0" collapsed="false">
      <c r="A1977" s="14" t="s">
        <v>1037</v>
      </c>
      <c r="B1977" s="14" t="s">
        <v>1038</v>
      </c>
      <c r="C1977" s="14" t="s">
        <v>152</v>
      </c>
      <c r="D1977" s="14" t="s">
        <v>168</v>
      </c>
      <c r="E1977" s="14" t="s">
        <v>169</v>
      </c>
      <c r="F1977" s="14" t="s">
        <v>164</v>
      </c>
      <c r="G1977" s="14" t="n">
        <v>2</v>
      </c>
      <c r="H1977" s="14" t="s">
        <v>153</v>
      </c>
      <c r="I1977" s="14" t="s">
        <v>811</v>
      </c>
      <c r="J1977" s="15" t="n">
        <f aca="false">IF(B1977="SITE LOSS",IF(D1977=C1977,1,0),IF(B1977="REGION LOSS",IF(E1977=C1977,1,0),0))</f>
        <v>0</v>
      </c>
      <c r="K1977" s="15" t="n">
        <f aca="false">IF(B1977="SITE LOSS",IF(COUNTIFS('Site Dockets'!$B$7:$B$24,C1977,'Site Dockets'!$C$7:$C$24,F1977)&gt;0,1,0),IF(B1977="REGION LOSS",IF(COUNTIFS('Site Dockets'!$E$7:$E$24,C1977,'Site Dockets'!$C$7:$C$24,F1977)&gt;0,1,0),0))</f>
        <v>0</v>
      </c>
      <c r="L1977" s="15" t="n">
        <f aca="false">IF(J1977=1,0,Inputs!$B$11)</f>
        <v>100</v>
      </c>
      <c r="M1977" s="15" t="n">
        <f aca="false">IF(J1977=1,0,Inputs!$B$12)</f>
        <v>75</v>
      </c>
      <c r="N1977" s="15" t="n">
        <f aca="false">IF(J1977=1,0,IF(OR(AND(OR(B1977="SITE LOSS",B1977="REGION LOSS"),K1977=1),AND(B1977="ROLE COMPROMISE",H1977=C1977)),Inputs!$B$13,Inputs!$B$14))</f>
        <v>10</v>
      </c>
      <c r="O1977" s="15" t="n">
        <f aca="false">IF(J1977=1,0,Inputs!$B$13)</f>
        <v>20</v>
      </c>
      <c r="P1977" s="15" t="n">
        <f aca="false">SUM(M1977:N1977)</f>
        <v>85</v>
      </c>
      <c r="Q1977" s="15" t="n">
        <f aca="false">IF(J1977=1,"",L1977-P1977)</f>
        <v>15</v>
      </c>
      <c r="R1977" s="15" t="n">
        <f aca="false">IF(OR(J1977=1,M1977&lt;=Inputs!$B$12),1,0)</f>
        <v>1</v>
      </c>
      <c r="S1977" s="15" t="n">
        <f aca="false">IF(OR(J1977=1,N1977&lt;=O1977),1,0)</f>
        <v>1</v>
      </c>
      <c r="T1977" s="15" t="str">
        <f aca="false">IF(J1977=1,"OFFLINE",IF(AND(Q1977&gt;=Inputs!$B$15,R1977=1,S1977=1,P1977&lt;=L1977),"PASS","FAIL"))</f>
        <v>PASS</v>
      </c>
    </row>
    <row r="1978" customFormat="false" ht="15" hidden="false" customHeight="false" outlineLevel="0" collapsed="false">
      <c r="A1978" s="14" t="s">
        <v>1037</v>
      </c>
      <c r="B1978" s="14" t="s">
        <v>1038</v>
      </c>
      <c r="C1978" s="14" t="s">
        <v>152</v>
      </c>
      <c r="D1978" s="14" t="s">
        <v>168</v>
      </c>
      <c r="E1978" s="14" t="s">
        <v>169</v>
      </c>
      <c r="F1978" s="14" t="s">
        <v>164</v>
      </c>
      <c r="G1978" s="14" t="n">
        <v>2</v>
      </c>
      <c r="H1978" s="14" t="s">
        <v>153</v>
      </c>
      <c r="I1978" s="14" t="s">
        <v>895</v>
      </c>
      <c r="J1978" s="15" t="n">
        <f aca="false">IF(B1978="SITE LOSS",IF(D1978=C1978,1,0),IF(B1978="REGION LOSS",IF(E1978=C1978,1,0),0))</f>
        <v>0</v>
      </c>
      <c r="K1978" s="15" t="n">
        <f aca="false">IF(B1978="SITE LOSS",IF(COUNTIFS('Site Dockets'!$B$7:$B$24,C1978,'Site Dockets'!$C$7:$C$24,F1978)&gt;0,1,0),IF(B1978="REGION LOSS",IF(COUNTIFS('Site Dockets'!$E$7:$E$24,C1978,'Site Dockets'!$C$7:$C$24,F1978)&gt;0,1,0),0))</f>
        <v>0</v>
      </c>
      <c r="L1978" s="15" t="n">
        <f aca="false">IF(J1978=1,0,Inputs!$B$11)</f>
        <v>100</v>
      </c>
      <c r="M1978" s="15" t="n">
        <f aca="false">IF(J1978=1,0,Inputs!$B$12)</f>
        <v>75</v>
      </c>
      <c r="N1978" s="15" t="n">
        <f aca="false">IF(J1978=1,0,IF(OR(AND(OR(B1978="SITE LOSS",B1978="REGION LOSS"),K1978=1),AND(B1978="ROLE COMPROMISE",H1978=C1978)),Inputs!$B$13,Inputs!$B$14))</f>
        <v>10</v>
      </c>
      <c r="O1978" s="15" t="n">
        <f aca="false">IF(J1978=1,0,Inputs!$B$13)</f>
        <v>20</v>
      </c>
      <c r="P1978" s="15" t="n">
        <f aca="false">SUM(M1978:N1978)</f>
        <v>85</v>
      </c>
      <c r="Q1978" s="15" t="n">
        <f aca="false">IF(J1978=1,"",L1978-P1978)</f>
        <v>15</v>
      </c>
      <c r="R1978" s="15" t="n">
        <f aca="false">IF(OR(J1978=1,M1978&lt;=Inputs!$B$12),1,0)</f>
        <v>1</v>
      </c>
      <c r="S1978" s="15" t="n">
        <f aca="false">IF(OR(J1978=1,N1978&lt;=O1978),1,0)</f>
        <v>1</v>
      </c>
      <c r="T1978" s="15" t="str">
        <f aca="false">IF(J1978=1,"OFFLINE",IF(AND(Q1978&gt;=Inputs!$B$15,R1978=1,S1978=1,P1978&lt;=L1978),"PASS","FAIL"))</f>
        <v>PASS</v>
      </c>
    </row>
    <row r="1979" customFormat="false" ht="15" hidden="false" customHeight="false" outlineLevel="0" collapsed="false">
      <c r="A1979" s="14" t="s">
        <v>1037</v>
      </c>
      <c r="B1979" s="14" t="s">
        <v>1038</v>
      </c>
      <c r="C1979" s="14" t="s">
        <v>152</v>
      </c>
      <c r="D1979" s="14" t="s">
        <v>168</v>
      </c>
      <c r="E1979" s="14" t="s">
        <v>169</v>
      </c>
      <c r="F1979" s="14" t="s">
        <v>164</v>
      </c>
      <c r="G1979" s="14" t="n">
        <v>2</v>
      </c>
      <c r="H1979" s="14" t="s">
        <v>153</v>
      </c>
      <c r="I1979" s="14" t="s">
        <v>897</v>
      </c>
      <c r="J1979" s="15" t="n">
        <f aca="false">IF(B1979="SITE LOSS",IF(D1979=C1979,1,0),IF(B1979="REGION LOSS",IF(E1979=C1979,1,0),0))</f>
        <v>0</v>
      </c>
      <c r="K1979" s="15" t="n">
        <f aca="false">IF(B1979="SITE LOSS",IF(COUNTIFS('Site Dockets'!$B$7:$B$24,C1979,'Site Dockets'!$C$7:$C$24,F1979)&gt;0,1,0),IF(B1979="REGION LOSS",IF(COUNTIFS('Site Dockets'!$E$7:$E$24,C1979,'Site Dockets'!$C$7:$C$24,F1979)&gt;0,1,0),0))</f>
        <v>0</v>
      </c>
      <c r="L1979" s="15" t="n">
        <f aca="false">IF(J1979=1,0,Inputs!$B$11)</f>
        <v>100</v>
      </c>
      <c r="M1979" s="15" t="n">
        <f aca="false">IF(J1979=1,0,Inputs!$B$12)</f>
        <v>75</v>
      </c>
      <c r="N1979" s="15" t="n">
        <f aca="false">IF(J1979=1,0,IF(OR(AND(OR(B1979="SITE LOSS",B1979="REGION LOSS"),K1979=1),AND(B1979="ROLE COMPROMISE",H1979=C1979)),Inputs!$B$13,Inputs!$B$14))</f>
        <v>10</v>
      </c>
      <c r="O1979" s="15" t="n">
        <f aca="false">IF(J1979=1,0,Inputs!$B$13)</f>
        <v>20</v>
      </c>
      <c r="P1979" s="15" t="n">
        <f aca="false">SUM(M1979:N1979)</f>
        <v>85</v>
      </c>
      <c r="Q1979" s="15" t="n">
        <f aca="false">IF(J1979=1,"",L1979-P1979)</f>
        <v>15</v>
      </c>
      <c r="R1979" s="15" t="n">
        <f aca="false">IF(OR(J1979=1,M1979&lt;=Inputs!$B$12),1,0)</f>
        <v>1</v>
      </c>
      <c r="S1979" s="15" t="n">
        <f aca="false">IF(OR(J1979=1,N1979&lt;=O1979),1,0)</f>
        <v>1</v>
      </c>
      <c r="T1979" s="15" t="str">
        <f aca="false">IF(J1979=1,"OFFLINE",IF(AND(Q1979&gt;=Inputs!$B$15,R1979=1,S1979=1,P1979&lt;=L1979),"PASS","FAIL"))</f>
        <v>PASS</v>
      </c>
    </row>
    <row r="1980" customFormat="false" ht="15" hidden="false" customHeight="false" outlineLevel="0" collapsed="false">
      <c r="A1980" s="14" t="s">
        <v>1037</v>
      </c>
      <c r="B1980" s="14" t="s">
        <v>1038</v>
      </c>
      <c r="C1980" s="14" t="s">
        <v>152</v>
      </c>
      <c r="D1980" s="14" t="s">
        <v>168</v>
      </c>
      <c r="E1980" s="14" t="s">
        <v>169</v>
      </c>
      <c r="F1980" s="14" t="s">
        <v>164</v>
      </c>
      <c r="G1980" s="14" t="n">
        <v>2</v>
      </c>
      <c r="H1980" s="14" t="s">
        <v>153</v>
      </c>
      <c r="I1980" s="14" t="s">
        <v>899</v>
      </c>
      <c r="J1980" s="15" t="n">
        <f aca="false">IF(B1980="SITE LOSS",IF(D1980=C1980,1,0),IF(B1980="REGION LOSS",IF(E1980=C1980,1,0),0))</f>
        <v>0</v>
      </c>
      <c r="K1980" s="15" t="n">
        <f aca="false">IF(B1980="SITE LOSS",IF(COUNTIFS('Site Dockets'!$B$7:$B$24,C1980,'Site Dockets'!$C$7:$C$24,F1980)&gt;0,1,0),IF(B1980="REGION LOSS",IF(COUNTIFS('Site Dockets'!$E$7:$E$24,C1980,'Site Dockets'!$C$7:$C$24,F1980)&gt;0,1,0),0))</f>
        <v>0</v>
      </c>
      <c r="L1980" s="15" t="n">
        <f aca="false">IF(J1980=1,0,Inputs!$B$11)</f>
        <v>100</v>
      </c>
      <c r="M1980" s="15" t="n">
        <f aca="false">IF(J1980=1,0,Inputs!$B$12)</f>
        <v>75</v>
      </c>
      <c r="N1980" s="15" t="n">
        <f aca="false">IF(J1980=1,0,IF(OR(AND(OR(B1980="SITE LOSS",B1980="REGION LOSS"),K1980=1),AND(B1980="ROLE COMPROMISE",H1980=C1980)),Inputs!$B$13,Inputs!$B$14))</f>
        <v>10</v>
      </c>
      <c r="O1980" s="15" t="n">
        <f aca="false">IF(J1980=1,0,Inputs!$B$13)</f>
        <v>20</v>
      </c>
      <c r="P1980" s="15" t="n">
        <f aca="false">SUM(M1980:N1980)</f>
        <v>85</v>
      </c>
      <c r="Q1980" s="15" t="n">
        <f aca="false">IF(J1980=1,"",L1980-P1980)</f>
        <v>15</v>
      </c>
      <c r="R1980" s="15" t="n">
        <f aca="false">IF(OR(J1980=1,M1980&lt;=Inputs!$B$12),1,0)</f>
        <v>1</v>
      </c>
      <c r="S1980" s="15" t="n">
        <f aca="false">IF(OR(J1980=1,N1980&lt;=O1980),1,0)</f>
        <v>1</v>
      </c>
      <c r="T1980" s="15" t="str">
        <f aca="false">IF(J1980=1,"OFFLINE",IF(AND(Q1980&gt;=Inputs!$B$15,R1980=1,S1980=1,P1980&lt;=L1980),"PASS","FAIL"))</f>
        <v>PASS</v>
      </c>
    </row>
    <row r="1981" customFormat="false" ht="15" hidden="false" customHeight="false" outlineLevel="0" collapsed="false">
      <c r="A1981" s="14" t="s">
        <v>1037</v>
      </c>
      <c r="B1981" s="14" t="s">
        <v>1038</v>
      </c>
      <c r="C1981" s="14" t="s">
        <v>152</v>
      </c>
      <c r="D1981" s="14" t="s">
        <v>171</v>
      </c>
      <c r="E1981" s="14" t="s">
        <v>172</v>
      </c>
      <c r="F1981" s="14" t="s">
        <v>164</v>
      </c>
      <c r="G1981" s="14" t="n">
        <v>3</v>
      </c>
      <c r="H1981" s="14" t="s">
        <v>158</v>
      </c>
      <c r="I1981" s="14" t="s">
        <v>890</v>
      </c>
      <c r="J1981" s="15" t="n">
        <f aca="false">IF(B1981="SITE LOSS",IF(D1981=C1981,1,0),IF(B1981="REGION LOSS",IF(E1981=C1981,1,0),0))</f>
        <v>0</v>
      </c>
      <c r="K1981" s="15" t="n">
        <f aca="false">IF(B1981="SITE LOSS",IF(COUNTIFS('Site Dockets'!$B$7:$B$24,C1981,'Site Dockets'!$C$7:$C$24,F1981)&gt;0,1,0),IF(B1981="REGION LOSS",IF(COUNTIFS('Site Dockets'!$E$7:$E$24,C1981,'Site Dockets'!$C$7:$C$24,F1981)&gt;0,1,0),0))</f>
        <v>0</v>
      </c>
      <c r="L1981" s="15" t="n">
        <f aca="false">IF(J1981=1,0,Inputs!$B$11)</f>
        <v>100</v>
      </c>
      <c r="M1981" s="15" t="n">
        <f aca="false">IF(J1981=1,0,Inputs!$B$12)</f>
        <v>75</v>
      </c>
      <c r="N1981" s="15" t="n">
        <f aca="false">IF(J1981=1,0,IF(OR(AND(OR(B1981="SITE LOSS",B1981="REGION LOSS"),K1981=1),AND(B1981="ROLE COMPROMISE",H1981=C1981)),Inputs!$B$13,Inputs!$B$14))</f>
        <v>10</v>
      </c>
      <c r="O1981" s="15" t="n">
        <f aca="false">IF(J1981=1,0,Inputs!$B$13)</f>
        <v>20</v>
      </c>
      <c r="P1981" s="15" t="n">
        <f aca="false">SUM(M1981:N1981)</f>
        <v>85</v>
      </c>
      <c r="Q1981" s="15" t="n">
        <f aca="false">IF(J1981=1,"",L1981-P1981)</f>
        <v>15</v>
      </c>
      <c r="R1981" s="15" t="n">
        <f aca="false">IF(OR(J1981=1,M1981&lt;=Inputs!$B$12),1,0)</f>
        <v>1</v>
      </c>
      <c r="S1981" s="15" t="n">
        <f aca="false">IF(OR(J1981=1,N1981&lt;=O1981),1,0)</f>
        <v>1</v>
      </c>
      <c r="T1981" s="15" t="str">
        <f aca="false">IF(J1981=1,"OFFLINE",IF(AND(Q1981&gt;=Inputs!$B$15,R1981=1,S1981=1,P1981&lt;=L1981),"PASS","FAIL"))</f>
        <v>PASS</v>
      </c>
    </row>
    <row r="1982" customFormat="false" ht="15" hidden="false" customHeight="false" outlineLevel="0" collapsed="false">
      <c r="A1982" s="14" t="s">
        <v>1037</v>
      </c>
      <c r="B1982" s="14" t="s">
        <v>1038</v>
      </c>
      <c r="C1982" s="14" t="s">
        <v>152</v>
      </c>
      <c r="D1982" s="14" t="s">
        <v>171</v>
      </c>
      <c r="E1982" s="14" t="s">
        <v>172</v>
      </c>
      <c r="F1982" s="14" t="s">
        <v>164</v>
      </c>
      <c r="G1982" s="14" t="n">
        <v>3</v>
      </c>
      <c r="H1982" s="14" t="s">
        <v>158</v>
      </c>
      <c r="I1982" s="14" t="s">
        <v>892</v>
      </c>
      <c r="J1982" s="15" t="n">
        <f aca="false">IF(B1982="SITE LOSS",IF(D1982=C1982,1,0),IF(B1982="REGION LOSS",IF(E1982=C1982,1,0),0))</f>
        <v>0</v>
      </c>
      <c r="K1982" s="15" t="n">
        <f aca="false">IF(B1982="SITE LOSS",IF(COUNTIFS('Site Dockets'!$B$7:$B$24,C1982,'Site Dockets'!$C$7:$C$24,F1982)&gt;0,1,0),IF(B1982="REGION LOSS",IF(COUNTIFS('Site Dockets'!$E$7:$E$24,C1982,'Site Dockets'!$C$7:$C$24,F1982)&gt;0,1,0),0))</f>
        <v>0</v>
      </c>
      <c r="L1982" s="15" t="n">
        <f aca="false">IF(J1982=1,0,Inputs!$B$11)</f>
        <v>100</v>
      </c>
      <c r="M1982" s="15" t="n">
        <f aca="false">IF(J1982=1,0,Inputs!$B$12)</f>
        <v>75</v>
      </c>
      <c r="N1982" s="15" t="n">
        <f aca="false">IF(J1982=1,0,IF(OR(AND(OR(B1982="SITE LOSS",B1982="REGION LOSS"),K1982=1),AND(B1982="ROLE COMPROMISE",H1982=C1982)),Inputs!$B$13,Inputs!$B$14))</f>
        <v>10</v>
      </c>
      <c r="O1982" s="15" t="n">
        <f aca="false">IF(J1982=1,0,Inputs!$B$13)</f>
        <v>20</v>
      </c>
      <c r="P1982" s="15" t="n">
        <f aca="false">SUM(M1982:N1982)</f>
        <v>85</v>
      </c>
      <c r="Q1982" s="15" t="n">
        <f aca="false">IF(J1982=1,"",L1982-P1982)</f>
        <v>15</v>
      </c>
      <c r="R1982" s="15" t="n">
        <f aca="false">IF(OR(J1982=1,M1982&lt;=Inputs!$B$12),1,0)</f>
        <v>1</v>
      </c>
      <c r="S1982" s="15" t="n">
        <f aca="false">IF(OR(J1982=1,N1982&lt;=O1982),1,0)</f>
        <v>1</v>
      </c>
      <c r="T1982" s="15" t="str">
        <f aca="false">IF(J1982=1,"OFFLINE",IF(AND(Q1982&gt;=Inputs!$B$15,R1982=1,S1982=1,P1982&lt;=L1982),"PASS","FAIL"))</f>
        <v>PASS</v>
      </c>
    </row>
    <row r="1983" customFormat="false" ht="15" hidden="false" customHeight="false" outlineLevel="0" collapsed="false">
      <c r="A1983" s="14" t="s">
        <v>1037</v>
      </c>
      <c r="B1983" s="14" t="s">
        <v>1038</v>
      </c>
      <c r="C1983" s="14" t="s">
        <v>152</v>
      </c>
      <c r="D1983" s="14" t="s">
        <v>171</v>
      </c>
      <c r="E1983" s="14" t="s">
        <v>172</v>
      </c>
      <c r="F1983" s="14" t="s">
        <v>164</v>
      </c>
      <c r="G1983" s="14" t="n">
        <v>3</v>
      </c>
      <c r="H1983" s="14" t="s">
        <v>158</v>
      </c>
      <c r="I1983" s="14" t="s">
        <v>811</v>
      </c>
      <c r="J1983" s="15" t="n">
        <f aca="false">IF(B1983="SITE LOSS",IF(D1983=C1983,1,0),IF(B1983="REGION LOSS",IF(E1983=C1983,1,0),0))</f>
        <v>0</v>
      </c>
      <c r="K1983" s="15" t="n">
        <f aca="false">IF(B1983="SITE LOSS",IF(COUNTIFS('Site Dockets'!$B$7:$B$24,C1983,'Site Dockets'!$C$7:$C$24,F1983)&gt;0,1,0),IF(B1983="REGION LOSS",IF(COUNTIFS('Site Dockets'!$E$7:$E$24,C1983,'Site Dockets'!$C$7:$C$24,F1983)&gt;0,1,0),0))</f>
        <v>0</v>
      </c>
      <c r="L1983" s="15" t="n">
        <f aca="false">IF(J1983=1,0,Inputs!$B$11)</f>
        <v>100</v>
      </c>
      <c r="M1983" s="15" t="n">
        <f aca="false">IF(J1983=1,0,Inputs!$B$12)</f>
        <v>75</v>
      </c>
      <c r="N1983" s="15" t="n">
        <f aca="false">IF(J1983=1,0,IF(OR(AND(OR(B1983="SITE LOSS",B1983="REGION LOSS"),K1983=1),AND(B1983="ROLE COMPROMISE",H1983=C1983)),Inputs!$B$13,Inputs!$B$14))</f>
        <v>10</v>
      </c>
      <c r="O1983" s="15" t="n">
        <f aca="false">IF(J1983=1,0,Inputs!$B$13)</f>
        <v>20</v>
      </c>
      <c r="P1983" s="15" t="n">
        <f aca="false">SUM(M1983:N1983)</f>
        <v>85</v>
      </c>
      <c r="Q1983" s="15" t="n">
        <f aca="false">IF(J1983=1,"",L1983-P1983)</f>
        <v>15</v>
      </c>
      <c r="R1983" s="15" t="n">
        <f aca="false">IF(OR(J1983=1,M1983&lt;=Inputs!$B$12),1,0)</f>
        <v>1</v>
      </c>
      <c r="S1983" s="15" t="n">
        <f aca="false">IF(OR(J1983=1,N1983&lt;=O1983),1,0)</f>
        <v>1</v>
      </c>
      <c r="T1983" s="15" t="str">
        <f aca="false">IF(J1983=1,"OFFLINE",IF(AND(Q1983&gt;=Inputs!$B$15,R1983=1,S1983=1,P1983&lt;=L1983),"PASS","FAIL"))</f>
        <v>PASS</v>
      </c>
    </row>
    <row r="1984" customFormat="false" ht="15" hidden="false" customHeight="false" outlineLevel="0" collapsed="false">
      <c r="A1984" s="14" t="s">
        <v>1037</v>
      </c>
      <c r="B1984" s="14" t="s">
        <v>1038</v>
      </c>
      <c r="C1984" s="14" t="s">
        <v>152</v>
      </c>
      <c r="D1984" s="14" t="s">
        <v>171</v>
      </c>
      <c r="E1984" s="14" t="s">
        <v>172</v>
      </c>
      <c r="F1984" s="14" t="s">
        <v>164</v>
      </c>
      <c r="G1984" s="14" t="n">
        <v>3</v>
      </c>
      <c r="H1984" s="14" t="s">
        <v>158</v>
      </c>
      <c r="I1984" s="14" t="s">
        <v>895</v>
      </c>
      <c r="J1984" s="15" t="n">
        <f aca="false">IF(B1984="SITE LOSS",IF(D1984=C1984,1,0),IF(B1984="REGION LOSS",IF(E1984=C1984,1,0),0))</f>
        <v>0</v>
      </c>
      <c r="K1984" s="15" t="n">
        <f aca="false">IF(B1984="SITE LOSS",IF(COUNTIFS('Site Dockets'!$B$7:$B$24,C1984,'Site Dockets'!$C$7:$C$24,F1984)&gt;0,1,0),IF(B1984="REGION LOSS",IF(COUNTIFS('Site Dockets'!$E$7:$E$24,C1984,'Site Dockets'!$C$7:$C$24,F1984)&gt;0,1,0),0))</f>
        <v>0</v>
      </c>
      <c r="L1984" s="15" t="n">
        <f aca="false">IF(J1984=1,0,Inputs!$B$11)</f>
        <v>100</v>
      </c>
      <c r="M1984" s="15" t="n">
        <f aca="false">IF(J1984=1,0,Inputs!$B$12)</f>
        <v>75</v>
      </c>
      <c r="N1984" s="15" t="n">
        <f aca="false">IF(J1984=1,0,IF(OR(AND(OR(B1984="SITE LOSS",B1984="REGION LOSS"),K1984=1),AND(B1984="ROLE COMPROMISE",H1984=C1984)),Inputs!$B$13,Inputs!$B$14))</f>
        <v>10</v>
      </c>
      <c r="O1984" s="15" t="n">
        <f aca="false">IF(J1984=1,0,Inputs!$B$13)</f>
        <v>20</v>
      </c>
      <c r="P1984" s="15" t="n">
        <f aca="false">SUM(M1984:N1984)</f>
        <v>85</v>
      </c>
      <c r="Q1984" s="15" t="n">
        <f aca="false">IF(J1984=1,"",L1984-P1984)</f>
        <v>15</v>
      </c>
      <c r="R1984" s="15" t="n">
        <f aca="false">IF(OR(J1984=1,M1984&lt;=Inputs!$B$12),1,0)</f>
        <v>1</v>
      </c>
      <c r="S1984" s="15" t="n">
        <f aca="false">IF(OR(J1984=1,N1984&lt;=O1984),1,0)</f>
        <v>1</v>
      </c>
      <c r="T1984" s="15" t="str">
        <f aca="false">IF(J1984=1,"OFFLINE",IF(AND(Q1984&gt;=Inputs!$B$15,R1984=1,S1984=1,P1984&lt;=L1984),"PASS","FAIL"))</f>
        <v>PASS</v>
      </c>
    </row>
    <row r="1985" customFormat="false" ht="15" hidden="false" customHeight="false" outlineLevel="0" collapsed="false">
      <c r="A1985" s="14" t="s">
        <v>1037</v>
      </c>
      <c r="B1985" s="14" t="s">
        <v>1038</v>
      </c>
      <c r="C1985" s="14" t="s">
        <v>152</v>
      </c>
      <c r="D1985" s="14" t="s">
        <v>171</v>
      </c>
      <c r="E1985" s="14" t="s">
        <v>172</v>
      </c>
      <c r="F1985" s="14" t="s">
        <v>164</v>
      </c>
      <c r="G1985" s="14" t="n">
        <v>3</v>
      </c>
      <c r="H1985" s="14" t="s">
        <v>158</v>
      </c>
      <c r="I1985" s="14" t="s">
        <v>897</v>
      </c>
      <c r="J1985" s="15" t="n">
        <f aca="false">IF(B1985="SITE LOSS",IF(D1985=C1985,1,0),IF(B1985="REGION LOSS",IF(E1985=C1985,1,0),0))</f>
        <v>0</v>
      </c>
      <c r="K1985" s="15" t="n">
        <f aca="false">IF(B1985="SITE LOSS",IF(COUNTIFS('Site Dockets'!$B$7:$B$24,C1985,'Site Dockets'!$C$7:$C$24,F1985)&gt;0,1,0),IF(B1985="REGION LOSS",IF(COUNTIFS('Site Dockets'!$E$7:$E$24,C1985,'Site Dockets'!$C$7:$C$24,F1985)&gt;0,1,0),0))</f>
        <v>0</v>
      </c>
      <c r="L1985" s="15" t="n">
        <f aca="false">IF(J1985=1,0,Inputs!$B$11)</f>
        <v>100</v>
      </c>
      <c r="M1985" s="15" t="n">
        <f aca="false">IF(J1985=1,0,Inputs!$B$12)</f>
        <v>75</v>
      </c>
      <c r="N1985" s="15" t="n">
        <f aca="false">IF(J1985=1,0,IF(OR(AND(OR(B1985="SITE LOSS",B1985="REGION LOSS"),K1985=1),AND(B1985="ROLE COMPROMISE",H1985=C1985)),Inputs!$B$13,Inputs!$B$14))</f>
        <v>10</v>
      </c>
      <c r="O1985" s="15" t="n">
        <f aca="false">IF(J1985=1,0,Inputs!$B$13)</f>
        <v>20</v>
      </c>
      <c r="P1985" s="15" t="n">
        <f aca="false">SUM(M1985:N1985)</f>
        <v>85</v>
      </c>
      <c r="Q1985" s="15" t="n">
        <f aca="false">IF(J1985=1,"",L1985-P1985)</f>
        <v>15</v>
      </c>
      <c r="R1985" s="15" t="n">
        <f aca="false">IF(OR(J1985=1,M1985&lt;=Inputs!$B$12),1,0)</f>
        <v>1</v>
      </c>
      <c r="S1985" s="15" t="n">
        <f aca="false">IF(OR(J1985=1,N1985&lt;=O1985),1,0)</f>
        <v>1</v>
      </c>
      <c r="T1985" s="15" t="str">
        <f aca="false">IF(J1985=1,"OFFLINE",IF(AND(Q1985&gt;=Inputs!$B$15,R1985=1,S1985=1,P1985&lt;=L1985),"PASS","FAIL"))</f>
        <v>PASS</v>
      </c>
    </row>
    <row r="1986" customFormat="false" ht="15" hidden="false" customHeight="false" outlineLevel="0" collapsed="false">
      <c r="A1986" s="14" t="s">
        <v>1037</v>
      </c>
      <c r="B1986" s="14" t="s">
        <v>1038</v>
      </c>
      <c r="C1986" s="14" t="s">
        <v>152</v>
      </c>
      <c r="D1986" s="14" t="s">
        <v>171</v>
      </c>
      <c r="E1986" s="14" t="s">
        <v>172</v>
      </c>
      <c r="F1986" s="14" t="s">
        <v>164</v>
      </c>
      <c r="G1986" s="14" t="n">
        <v>3</v>
      </c>
      <c r="H1986" s="14" t="s">
        <v>158</v>
      </c>
      <c r="I1986" s="14" t="s">
        <v>899</v>
      </c>
      <c r="J1986" s="15" t="n">
        <f aca="false">IF(B1986="SITE LOSS",IF(D1986=C1986,1,0),IF(B1986="REGION LOSS",IF(E1986=C1986,1,0),0))</f>
        <v>0</v>
      </c>
      <c r="K1986" s="15" t="n">
        <f aca="false">IF(B1986="SITE LOSS",IF(COUNTIFS('Site Dockets'!$B$7:$B$24,C1986,'Site Dockets'!$C$7:$C$24,F1986)&gt;0,1,0),IF(B1986="REGION LOSS",IF(COUNTIFS('Site Dockets'!$E$7:$E$24,C1986,'Site Dockets'!$C$7:$C$24,F1986)&gt;0,1,0),0))</f>
        <v>0</v>
      </c>
      <c r="L1986" s="15" t="n">
        <f aca="false">IF(J1986=1,0,Inputs!$B$11)</f>
        <v>100</v>
      </c>
      <c r="M1986" s="15" t="n">
        <f aca="false">IF(J1986=1,0,Inputs!$B$12)</f>
        <v>75</v>
      </c>
      <c r="N1986" s="15" t="n">
        <f aca="false">IF(J1986=1,0,IF(OR(AND(OR(B1986="SITE LOSS",B1986="REGION LOSS"),K1986=1),AND(B1986="ROLE COMPROMISE",H1986=C1986)),Inputs!$B$13,Inputs!$B$14))</f>
        <v>10</v>
      </c>
      <c r="O1986" s="15" t="n">
        <f aca="false">IF(J1986=1,0,Inputs!$B$13)</f>
        <v>20</v>
      </c>
      <c r="P1986" s="15" t="n">
        <f aca="false">SUM(M1986:N1986)</f>
        <v>85</v>
      </c>
      <c r="Q1986" s="15" t="n">
        <f aca="false">IF(J1986=1,"",L1986-P1986)</f>
        <v>15</v>
      </c>
      <c r="R1986" s="15" t="n">
        <f aca="false">IF(OR(J1986=1,M1986&lt;=Inputs!$B$12),1,0)</f>
        <v>1</v>
      </c>
      <c r="S1986" s="15" t="n">
        <f aca="false">IF(OR(J1986=1,N1986&lt;=O1986),1,0)</f>
        <v>1</v>
      </c>
      <c r="T1986" s="15" t="str">
        <f aca="false">IF(J1986=1,"OFFLINE",IF(AND(Q1986&gt;=Inputs!$B$15,R1986=1,S1986=1,P1986&lt;=L1986),"PASS","FAIL"))</f>
        <v>PASS</v>
      </c>
    </row>
    <row r="1987" customFormat="false" ht="15" hidden="false" customHeight="false" outlineLevel="0" collapsed="false">
      <c r="A1987" s="14" t="s">
        <v>1037</v>
      </c>
      <c r="B1987" s="14" t="s">
        <v>1038</v>
      </c>
      <c r="C1987" s="14" t="s">
        <v>152</v>
      </c>
      <c r="D1987" s="14" t="s">
        <v>174</v>
      </c>
      <c r="E1987" s="14" t="s">
        <v>152</v>
      </c>
      <c r="F1987" s="14" t="s">
        <v>175</v>
      </c>
      <c r="G1987" s="14" t="n">
        <v>1</v>
      </c>
      <c r="H1987" s="14" t="s">
        <v>154</v>
      </c>
      <c r="I1987" s="14" t="s">
        <v>890</v>
      </c>
      <c r="J1987" s="15" t="n">
        <f aca="false">IF(B1987="SITE LOSS",IF(D1987=C1987,1,0),IF(B1987="REGION LOSS",IF(E1987=C1987,1,0),0))</f>
        <v>1</v>
      </c>
      <c r="K1987" s="15" t="n">
        <f aca="false">IF(B1987="SITE LOSS",IF(COUNTIFS('Site Dockets'!$B$7:$B$24,C1987,'Site Dockets'!$C$7:$C$24,F1987)&gt;0,1,0),IF(B1987="REGION LOSS",IF(COUNTIFS('Site Dockets'!$E$7:$E$24,C1987,'Site Dockets'!$C$7:$C$24,F1987)&gt;0,1,0),0))</f>
        <v>1</v>
      </c>
      <c r="L1987" s="15" t="n">
        <f aca="false">IF(J1987=1,0,Inputs!$B$11)</f>
        <v>0</v>
      </c>
      <c r="M1987" s="15" t="n">
        <f aca="false">IF(J1987=1,0,Inputs!$B$12)</f>
        <v>0</v>
      </c>
      <c r="N1987" s="15" t="n">
        <f aca="false">IF(J1987=1,0,IF(OR(AND(OR(B1987="SITE LOSS",B1987="REGION LOSS"),K1987=1),AND(B1987="ROLE COMPROMISE",H1987=C1987)),Inputs!$B$13,Inputs!$B$14))</f>
        <v>0</v>
      </c>
      <c r="O1987" s="15" t="n">
        <f aca="false">IF(J1987=1,0,Inputs!$B$13)</f>
        <v>0</v>
      </c>
      <c r="P1987" s="15" t="n">
        <f aca="false">SUM(M1987:N1987)</f>
        <v>0</v>
      </c>
      <c r="Q1987" s="15" t="str">
        <f aca="false">IF(J1987=1,"",L1987-P1987)</f>
        <v/>
      </c>
      <c r="R1987" s="15" t="n">
        <f aca="false">IF(OR(J1987=1,M1987&lt;=Inputs!$B$12),1,0)</f>
        <v>1</v>
      </c>
      <c r="S1987" s="15" t="n">
        <f aca="false">IF(OR(J1987=1,N1987&lt;=O1987),1,0)</f>
        <v>1</v>
      </c>
      <c r="T1987" s="15" t="str">
        <f aca="false">IF(J1987=1,"OFFLINE",IF(AND(Q1987&gt;=Inputs!$B$15,R1987=1,S1987=1,P1987&lt;=L1987),"PASS","FAIL"))</f>
        <v>OFFLINE</v>
      </c>
    </row>
    <row r="1988" customFormat="false" ht="15" hidden="false" customHeight="false" outlineLevel="0" collapsed="false">
      <c r="A1988" s="14" t="s">
        <v>1037</v>
      </c>
      <c r="B1988" s="14" t="s">
        <v>1038</v>
      </c>
      <c r="C1988" s="14" t="s">
        <v>152</v>
      </c>
      <c r="D1988" s="14" t="s">
        <v>174</v>
      </c>
      <c r="E1988" s="14" t="s">
        <v>152</v>
      </c>
      <c r="F1988" s="14" t="s">
        <v>175</v>
      </c>
      <c r="G1988" s="14" t="n">
        <v>1</v>
      </c>
      <c r="H1988" s="14" t="s">
        <v>154</v>
      </c>
      <c r="I1988" s="14" t="s">
        <v>892</v>
      </c>
      <c r="J1988" s="15" t="n">
        <f aca="false">IF(B1988="SITE LOSS",IF(D1988=C1988,1,0),IF(B1988="REGION LOSS",IF(E1988=C1988,1,0),0))</f>
        <v>1</v>
      </c>
      <c r="K1988" s="15" t="n">
        <f aca="false">IF(B1988="SITE LOSS",IF(COUNTIFS('Site Dockets'!$B$7:$B$24,C1988,'Site Dockets'!$C$7:$C$24,F1988)&gt;0,1,0),IF(B1988="REGION LOSS",IF(COUNTIFS('Site Dockets'!$E$7:$E$24,C1988,'Site Dockets'!$C$7:$C$24,F1988)&gt;0,1,0),0))</f>
        <v>1</v>
      </c>
      <c r="L1988" s="15" t="n">
        <f aca="false">IF(J1988=1,0,Inputs!$B$11)</f>
        <v>0</v>
      </c>
      <c r="M1988" s="15" t="n">
        <f aca="false">IF(J1988=1,0,Inputs!$B$12)</f>
        <v>0</v>
      </c>
      <c r="N1988" s="15" t="n">
        <f aca="false">IF(J1988=1,0,IF(OR(AND(OR(B1988="SITE LOSS",B1988="REGION LOSS"),K1988=1),AND(B1988="ROLE COMPROMISE",H1988=C1988)),Inputs!$B$13,Inputs!$B$14))</f>
        <v>0</v>
      </c>
      <c r="O1988" s="15" t="n">
        <f aca="false">IF(J1988=1,0,Inputs!$B$13)</f>
        <v>0</v>
      </c>
      <c r="P1988" s="15" t="n">
        <f aca="false">SUM(M1988:N1988)</f>
        <v>0</v>
      </c>
      <c r="Q1988" s="15" t="str">
        <f aca="false">IF(J1988=1,"",L1988-P1988)</f>
        <v/>
      </c>
      <c r="R1988" s="15" t="n">
        <f aca="false">IF(OR(J1988=1,M1988&lt;=Inputs!$B$12),1,0)</f>
        <v>1</v>
      </c>
      <c r="S1988" s="15" t="n">
        <f aca="false">IF(OR(J1988=1,N1988&lt;=O1988),1,0)</f>
        <v>1</v>
      </c>
      <c r="T1988" s="15" t="str">
        <f aca="false">IF(J1988=1,"OFFLINE",IF(AND(Q1988&gt;=Inputs!$B$15,R1988=1,S1988=1,P1988&lt;=L1988),"PASS","FAIL"))</f>
        <v>OFFLINE</v>
      </c>
    </row>
    <row r="1989" customFormat="false" ht="15" hidden="false" customHeight="false" outlineLevel="0" collapsed="false">
      <c r="A1989" s="14" t="s">
        <v>1037</v>
      </c>
      <c r="B1989" s="14" t="s">
        <v>1038</v>
      </c>
      <c r="C1989" s="14" t="s">
        <v>152</v>
      </c>
      <c r="D1989" s="14" t="s">
        <v>174</v>
      </c>
      <c r="E1989" s="14" t="s">
        <v>152</v>
      </c>
      <c r="F1989" s="14" t="s">
        <v>175</v>
      </c>
      <c r="G1989" s="14" t="n">
        <v>1</v>
      </c>
      <c r="H1989" s="14" t="s">
        <v>154</v>
      </c>
      <c r="I1989" s="14" t="s">
        <v>811</v>
      </c>
      <c r="J1989" s="15" t="n">
        <f aca="false">IF(B1989="SITE LOSS",IF(D1989=C1989,1,0),IF(B1989="REGION LOSS",IF(E1989=C1989,1,0),0))</f>
        <v>1</v>
      </c>
      <c r="K1989" s="15" t="n">
        <f aca="false">IF(B1989="SITE LOSS",IF(COUNTIFS('Site Dockets'!$B$7:$B$24,C1989,'Site Dockets'!$C$7:$C$24,F1989)&gt;0,1,0),IF(B1989="REGION LOSS",IF(COUNTIFS('Site Dockets'!$E$7:$E$24,C1989,'Site Dockets'!$C$7:$C$24,F1989)&gt;0,1,0),0))</f>
        <v>1</v>
      </c>
      <c r="L1989" s="15" t="n">
        <f aca="false">IF(J1989=1,0,Inputs!$B$11)</f>
        <v>0</v>
      </c>
      <c r="M1989" s="15" t="n">
        <f aca="false">IF(J1989=1,0,Inputs!$B$12)</f>
        <v>0</v>
      </c>
      <c r="N1989" s="15" t="n">
        <f aca="false">IF(J1989=1,0,IF(OR(AND(OR(B1989="SITE LOSS",B1989="REGION LOSS"),K1989=1),AND(B1989="ROLE COMPROMISE",H1989=C1989)),Inputs!$B$13,Inputs!$B$14))</f>
        <v>0</v>
      </c>
      <c r="O1989" s="15" t="n">
        <f aca="false">IF(J1989=1,0,Inputs!$B$13)</f>
        <v>0</v>
      </c>
      <c r="P1989" s="15" t="n">
        <f aca="false">SUM(M1989:N1989)</f>
        <v>0</v>
      </c>
      <c r="Q1989" s="15" t="str">
        <f aca="false">IF(J1989=1,"",L1989-P1989)</f>
        <v/>
      </c>
      <c r="R1989" s="15" t="n">
        <f aca="false">IF(OR(J1989=1,M1989&lt;=Inputs!$B$12),1,0)</f>
        <v>1</v>
      </c>
      <c r="S1989" s="15" t="n">
        <f aca="false">IF(OR(J1989=1,N1989&lt;=O1989),1,0)</f>
        <v>1</v>
      </c>
      <c r="T1989" s="15" t="str">
        <f aca="false">IF(J1989=1,"OFFLINE",IF(AND(Q1989&gt;=Inputs!$B$15,R1989=1,S1989=1,P1989&lt;=L1989),"PASS","FAIL"))</f>
        <v>OFFLINE</v>
      </c>
    </row>
    <row r="1990" customFormat="false" ht="15" hidden="false" customHeight="false" outlineLevel="0" collapsed="false">
      <c r="A1990" s="14" t="s">
        <v>1037</v>
      </c>
      <c r="B1990" s="14" t="s">
        <v>1038</v>
      </c>
      <c r="C1990" s="14" t="s">
        <v>152</v>
      </c>
      <c r="D1990" s="14" t="s">
        <v>174</v>
      </c>
      <c r="E1990" s="14" t="s">
        <v>152</v>
      </c>
      <c r="F1990" s="14" t="s">
        <v>175</v>
      </c>
      <c r="G1990" s="14" t="n">
        <v>1</v>
      </c>
      <c r="H1990" s="14" t="s">
        <v>154</v>
      </c>
      <c r="I1990" s="14" t="s">
        <v>895</v>
      </c>
      <c r="J1990" s="15" t="n">
        <f aca="false">IF(B1990="SITE LOSS",IF(D1990=C1990,1,0),IF(B1990="REGION LOSS",IF(E1990=C1990,1,0),0))</f>
        <v>1</v>
      </c>
      <c r="K1990" s="15" t="n">
        <f aca="false">IF(B1990="SITE LOSS",IF(COUNTIFS('Site Dockets'!$B$7:$B$24,C1990,'Site Dockets'!$C$7:$C$24,F1990)&gt;0,1,0),IF(B1990="REGION LOSS",IF(COUNTIFS('Site Dockets'!$E$7:$E$24,C1990,'Site Dockets'!$C$7:$C$24,F1990)&gt;0,1,0),0))</f>
        <v>1</v>
      </c>
      <c r="L1990" s="15" t="n">
        <f aca="false">IF(J1990=1,0,Inputs!$B$11)</f>
        <v>0</v>
      </c>
      <c r="M1990" s="15" t="n">
        <f aca="false">IF(J1990=1,0,Inputs!$B$12)</f>
        <v>0</v>
      </c>
      <c r="N1990" s="15" t="n">
        <f aca="false">IF(J1990=1,0,IF(OR(AND(OR(B1990="SITE LOSS",B1990="REGION LOSS"),K1990=1),AND(B1990="ROLE COMPROMISE",H1990=C1990)),Inputs!$B$13,Inputs!$B$14))</f>
        <v>0</v>
      </c>
      <c r="O1990" s="15" t="n">
        <f aca="false">IF(J1990=1,0,Inputs!$B$13)</f>
        <v>0</v>
      </c>
      <c r="P1990" s="15" t="n">
        <f aca="false">SUM(M1990:N1990)</f>
        <v>0</v>
      </c>
      <c r="Q1990" s="15" t="str">
        <f aca="false">IF(J1990=1,"",L1990-P1990)</f>
        <v/>
      </c>
      <c r="R1990" s="15" t="n">
        <f aca="false">IF(OR(J1990=1,M1990&lt;=Inputs!$B$12),1,0)</f>
        <v>1</v>
      </c>
      <c r="S1990" s="15" t="n">
        <f aca="false">IF(OR(J1990=1,N1990&lt;=O1990),1,0)</f>
        <v>1</v>
      </c>
      <c r="T1990" s="15" t="str">
        <f aca="false">IF(J1990=1,"OFFLINE",IF(AND(Q1990&gt;=Inputs!$B$15,R1990=1,S1990=1,P1990&lt;=L1990),"PASS","FAIL"))</f>
        <v>OFFLINE</v>
      </c>
    </row>
    <row r="1991" customFormat="false" ht="15" hidden="false" customHeight="false" outlineLevel="0" collapsed="false">
      <c r="A1991" s="14" t="s">
        <v>1037</v>
      </c>
      <c r="B1991" s="14" t="s">
        <v>1038</v>
      </c>
      <c r="C1991" s="14" t="s">
        <v>152</v>
      </c>
      <c r="D1991" s="14" t="s">
        <v>174</v>
      </c>
      <c r="E1991" s="14" t="s">
        <v>152</v>
      </c>
      <c r="F1991" s="14" t="s">
        <v>175</v>
      </c>
      <c r="G1991" s="14" t="n">
        <v>1</v>
      </c>
      <c r="H1991" s="14" t="s">
        <v>154</v>
      </c>
      <c r="I1991" s="14" t="s">
        <v>897</v>
      </c>
      <c r="J1991" s="15" t="n">
        <f aca="false">IF(B1991="SITE LOSS",IF(D1991=C1991,1,0),IF(B1991="REGION LOSS",IF(E1991=C1991,1,0),0))</f>
        <v>1</v>
      </c>
      <c r="K1991" s="15" t="n">
        <f aca="false">IF(B1991="SITE LOSS",IF(COUNTIFS('Site Dockets'!$B$7:$B$24,C1991,'Site Dockets'!$C$7:$C$24,F1991)&gt;0,1,0),IF(B1991="REGION LOSS",IF(COUNTIFS('Site Dockets'!$E$7:$E$24,C1991,'Site Dockets'!$C$7:$C$24,F1991)&gt;0,1,0),0))</f>
        <v>1</v>
      </c>
      <c r="L1991" s="15" t="n">
        <f aca="false">IF(J1991=1,0,Inputs!$B$11)</f>
        <v>0</v>
      </c>
      <c r="M1991" s="15" t="n">
        <f aca="false">IF(J1991=1,0,Inputs!$B$12)</f>
        <v>0</v>
      </c>
      <c r="N1991" s="15" t="n">
        <f aca="false">IF(J1991=1,0,IF(OR(AND(OR(B1991="SITE LOSS",B1991="REGION LOSS"),K1991=1),AND(B1991="ROLE COMPROMISE",H1991=C1991)),Inputs!$B$13,Inputs!$B$14))</f>
        <v>0</v>
      </c>
      <c r="O1991" s="15" t="n">
        <f aca="false">IF(J1991=1,0,Inputs!$B$13)</f>
        <v>0</v>
      </c>
      <c r="P1991" s="15" t="n">
        <f aca="false">SUM(M1991:N1991)</f>
        <v>0</v>
      </c>
      <c r="Q1991" s="15" t="str">
        <f aca="false">IF(J1991=1,"",L1991-P1991)</f>
        <v/>
      </c>
      <c r="R1991" s="15" t="n">
        <f aca="false">IF(OR(J1991=1,M1991&lt;=Inputs!$B$12),1,0)</f>
        <v>1</v>
      </c>
      <c r="S1991" s="15" t="n">
        <f aca="false">IF(OR(J1991=1,N1991&lt;=O1991),1,0)</f>
        <v>1</v>
      </c>
      <c r="T1991" s="15" t="str">
        <f aca="false">IF(J1991=1,"OFFLINE",IF(AND(Q1991&gt;=Inputs!$B$15,R1991=1,S1991=1,P1991&lt;=L1991),"PASS","FAIL"))</f>
        <v>OFFLINE</v>
      </c>
    </row>
    <row r="1992" customFormat="false" ht="15" hidden="false" customHeight="false" outlineLevel="0" collapsed="false">
      <c r="A1992" s="14" t="s">
        <v>1037</v>
      </c>
      <c r="B1992" s="14" t="s">
        <v>1038</v>
      </c>
      <c r="C1992" s="14" t="s">
        <v>152</v>
      </c>
      <c r="D1992" s="14" t="s">
        <v>174</v>
      </c>
      <c r="E1992" s="14" t="s">
        <v>152</v>
      </c>
      <c r="F1992" s="14" t="s">
        <v>175</v>
      </c>
      <c r="G1992" s="14" t="n">
        <v>1</v>
      </c>
      <c r="H1992" s="14" t="s">
        <v>154</v>
      </c>
      <c r="I1992" s="14" t="s">
        <v>899</v>
      </c>
      <c r="J1992" s="15" t="n">
        <f aca="false">IF(B1992="SITE LOSS",IF(D1992=C1992,1,0),IF(B1992="REGION LOSS",IF(E1992=C1992,1,0),0))</f>
        <v>1</v>
      </c>
      <c r="K1992" s="15" t="n">
        <f aca="false">IF(B1992="SITE LOSS",IF(COUNTIFS('Site Dockets'!$B$7:$B$24,C1992,'Site Dockets'!$C$7:$C$24,F1992)&gt;0,1,0),IF(B1992="REGION LOSS",IF(COUNTIFS('Site Dockets'!$E$7:$E$24,C1992,'Site Dockets'!$C$7:$C$24,F1992)&gt;0,1,0),0))</f>
        <v>1</v>
      </c>
      <c r="L1992" s="15" t="n">
        <f aca="false">IF(J1992=1,0,Inputs!$B$11)</f>
        <v>0</v>
      </c>
      <c r="M1992" s="15" t="n">
        <f aca="false">IF(J1992=1,0,Inputs!$B$12)</f>
        <v>0</v>
      </c>
      <c r="N1992" s="15" t="n">
        <f aca="false">IF(J1992=1,0,IF(OR(AND(OR(B1992="SITE LOSS",B1992="REGION LOSS"),K1992=1),AND(B1992="ROLE COMPROMISE",H1992=C1992)),Inputs!$B$13,Inputs!$B$14))</f>
        <v>0</v>
      </c>
      <c r="O1992" s="15" t="n">
        <f aca="false">IF(J1992=1,0,Inputs!$B$13)</f>
        <v>0</v>
      </c>
      <c r="P1992" s="15" t="n">
        <f aca="false">SUM(M1992:N1992)</f>
        <v>0</v>
      </c>
      <c r="Q1992" s="15" t="str">
        <f aca="false">IF(J1992=1,"",L1992-P1992)</f>
        <v/>
      </c>
      <c r="R1992" s="15" t="n">
        <f aca="false">IF(OR(J1992=1,M1992&lt;=Inputs!$B$12),1,0)</f>
        <v>1</v>
      </c>
      <c r="S1992" s="15" t="n">
        <f aca="false">IF(OR(J1992=1,N1992&lt;=O1992),1,0)</f>
        <v>1</v>
      </c>
      <c r="T1992" s="15" t="str">
        <f aca="false">IF(J1992=1,"OFFLINE",IF(AND(Q1992&gt;=Inputs!$B$15,R1992=1,S1992=1,P1992&lt;=L1992),"PASS","FAIL"))</f>
        <v>OFFLINE</v>
      </c>
    </row>
    <row r="1993" customFormat="false" ht="15" hidden="false" customHeight="false" outlineLevel="0" collapsed="false">
      <c r="A1993" s="14" t="s">
        <v>1037</v>
      </c>
      <c r="B1993" s="14" t="s">
        <v>1038</v>
      </c>
      <c r="C1993" s="14" t="s">
        <v>152</v>
      </c>
      <c r="D1993" s="14" t="s">
        <v>178</v>
      </c>
      <c r="E1993" s="14" t="s">
        <v>169</v>
      </c>
      <c r="F1993" s="14" t="s">
        <v>175</v>
      </c>
      <c r="G1993" s="14" t="n">
        <v>2</v>
      </c>
      <c r="H1993" s="14" t="s">
        <v>153</v>
      </c>
      <c r="I1993" s="14" t="s">
        <v>890</v>
      </c>
      <c r="J1993" s="15" t="n">
        <f aca="false">IF(B1993="SITE LOSS",IF(D1993=C1993,1,0),IF(B1993="REGION LOSS",IF(E1993=C1993,1,0),0))</f>
        <v>0</v>
      </c>
      <c r="K1993" s="15" t="n">
        <f aca="false">IF(B1993="SITE LOSS",IF(COUNTIFS('Site Dockets'!$B$7:$B$24,C1993,'Site Dockets'!$C$7:$C$24,F1993)&gt;0,1,0),IF(B1993="REGION LOSS",IF(COUNTIFS('Site Dockets'!$E$7:$E$24,C1993,'Site Dockets'!$C$7:$C$24,F1993)&gt;0,1,0),0))</f>
        <v>1</v>
      </c>
      <c r="L1993" s="15" t="n">
        <f aca="false">IF(J1993=1,0,Inputs!$B$11)</f>
        <v>100</v>
      </c>
      <c r="M1993" s="15" t="n">
        <f aca="false">IF(J1993=1,0,Inputs!$B$12)</f>
        <v>75</v>
      </c>
      <c r="N1993" s="15" t="n">
        <f aca="false">IF(J1993=1,0,IF(OR(AND(OR(B1993="SITE LOSS",B1993="REGION LOSS"),K1993=1),AND(B1993="ROLE COMPROMISE",H1993=C1993)),Inputs!$B$13,Inputs!$B$14))</f>
        <v>20</v>
      </c>
      <c r="O1993" s="15" t="n">
        <f aca="false">IF(J1993=1,0,Inputs!$B$13)</f>
        <v>20</v>
      </c>
      <c r="P1993" s="15" t="n">
        <f aca="false">SUM(M1993:N1993)</f>
        <v>95</v>
      </c>
      <c r="Q1993" s="15" t="n">
        <f aca="false">IF(J1993=1,"",L1993-P1993)</f>
        <v>5</v>
      </c>
      <c r="R1993" s="15" t="n">
        <f aca="false">IF(OR(J1993=1,M1993&lt;=Inputs!$B$12),1,0)</f>
        <v>1</v>
      </c>
      <c r="S1993" s="15" t="n">
        <f aca="false">IF(OR(J1993=1,N1993&lt;=O1993),1,0)</f>
        <v>1</v>
      </c>
      <c r="T1993" s="15" t="str">
        <f aca="false">IF(J1993=1,"OFFLINE",IF(AND(Q1993&gt;=Inputs!$B$15,R1993=1,S1993=1,P1993&lt;=L1993),"PASS","FAIL"))</f>
        <v>PASS</v>
      </c>
    </row>
    <row r="1994" customFormat="false" ht="15" hidden="false" customHeight="false" outlineLevel="0" collapsed="false">
      <c r="A1994" s="14" t="s">
        <v>1037</v>
      </c>
      <c r="B1994" s="14" t="s">
        <v>1038</v>
      </c>
      <c r="C1994" s="14" t="s">
        <v>152</v>
      </c>
      <c r="D1994" s="14" t="s">
        <v>178</v>
      </c>
      <c r="E1994" s="14" t="s">
        <v>169</v>
      </c>
      <c r="F1994" s="14" t="s">
        <v>175</v>
      </c>
      <c r="G1994" s="14" t="n">
        <v>2</v>
      </c>
      <c r="H1994" s="14" t="s">
        <v>153</v>
      </c>
      <c r="I1994" s="14" t="s">
        <v>892</v>
      </c>
      <c r="J1994" s="15" t="n">
        <f aca="false">IF(B1994="SITE LOSS",IF(D1994=C1994,1,0),IF(B1994="REGION LOSS",IF(E1994=C1994,1,0),0))</f>
        <v>0</v>
      </c>
      <c r="K1994" s="15" t="n">
        <f aca="false">IF(B1994="SITE LOSS",IF(COUNTIFS('Site Dockets'!$B$7:$B$24,C1994,'Site Dockets'!$C$7:$C$24,F1994)&gt;0,1,0),IF(B1994="REGION LOSS",IF(COUNTIFS('Site Dockets'!$E$7:$E$24,C1994,'Site Dockets'!$C$7:$C$24,F1994)&gt;0,1,0),0))</f>
        <v>1</v>
      </c>
      <c r="L1994" s="15" t="n">
        <f aca="false">IF(J1994=1,0,Inputs!$B$11)</f>
        <v>100</v>
      </c>
      <c r="M1994" s="15" t="n">
        <f aca="false">IF(J1994=1,0,Inputs!$B$12)</f>
        <v>75</v>
      </c>
      <c r="N1994" s="15" t="n">
        <f aca="false">IF(J1994=1,0,IF(OR(AND(OR(B1994="SITE LOSS",B1994="REGION LOSS"),K1994=1),AND(B1994="ROLE COMPROMISE",H1994=C1994)),Inputs!$B$13,Inputs!$B$14))</f>
        <v>20</v>
      </c>
      <c r="O1994" s="15" t="n">
        <f aca="false">IF(J1994=1,0,Inputs!$B$13)</f>
        <v>20</v>
      </c>
      <c r="P1994" s="15" t="n">
        <f aca="false">SUM(M1994:N1994)</f>
        <v>95</v>
      </c>
      <c r="Q1994" s="15" t="n">
        <f aca="false">IF(J1994=1,"",L1994-P1994)</f>
        <v>5</v>
      </c>
      <c r="R1994" s="15" t="n">
        <f aca="false">IF(OR(J1994=1,M1994&lt;=Inputs!$B$12),1,0)</f>
        <v>1</v>
      </c>
      <c r="S1994" s="15" t="n">
        <f aca="false">IF(OR(J1994=1,N1994&lt;=O1994),1,0)</f>
        <v>1</v>
      </c>
      <c r="T1994" s="15" t="str">
        <f aca="false">IF(J1994=1,"OFFLINE",IF(AND(Q1994&gt;=Inputs!$B$15,R1994=1,S1994=1,P1994&lt;=L1994),"PASS","FAIL"))</f>
        <v>PASS</v>
      </c>
    </row>
    <row r="1995" customFormat="false" ht="15" hidden="false" customHeight="false" outlineLevel="0" collapsed="false">
      <c r="A1995" s="14" t="s">
        <v>1037</v>
      </c>
      <c r="B1995" s="14" t="s">
        <v>1038</v>
      </c>
      <c r="C1995" s="14" t="s">
        <v>152</v>
      </c>
      <c r="D1995" s="14" t="s">
        <v>178</v>
      </c>
      <c r="E1995" s="14" t="s">
        <v>169</v>
      </c>
      <c r="F1995" s="14" t="s">
        <v>175</v>
      </c>
      <c r="G1995" s="14" t="n">
        <v>2</v>
      </c>
      <c r="H1995" s="14" t="s">
        <v>153</v>
      </c>
      <c r="I1995" s="14" t="s">
        <v>811</v>
      </c>
      <c r="J1995" s="15" t="n">
        <f aca="false">IF(B1995="SITE LOSS",IF(D1995=C1995,1,0),IF(B1995="REGION LOSS",IF(E1995=C1995,1,0),0))</f>
        <v>0</v>
      </c>
      <c r="K1995" s="15" t="n">
        <f aca="false">IF(B1995="SITE LOSS",IF(COUNTIFS('Site Dockets'!$B$7:$B$24,C1995,'Site Dockets'!$C$7:$C$24,F1995)&gt;0,1,0),IF(B1995="REGION LOSS",IF(COUNTIFS('Site Dockets'!$E$7:$E$24,C1995,'Site Dockets'!$C$7:$C$24,F1995)&gt;0,1,0),0))</f>
        <v>1</v>
      </c>
      <c r="L1995" s="15" t="n">
        <f aca="false">IF(J1995=1,0,Inputs!$B$11)</f>
        <v>100</v>
      </c>
      <c r="M1995" s="15" t="n">
        <f aca="false">IF(J1995=1,0,Inputs!$B$12)</f>
        <v>75</v>
      </c>
      <c r="N1995" s="15" t="n">
        <f aca="false">IF(J1995=1,0,IF(OR(AND(OR(B1995="SITE LOSS",B1995="REGION LOSS"),K1995=1),AND(B1995="ROLE COMPROMISE",H1995=C1995)),Inputs!$B$13,Inputs!$B$14))</f>
        <v>20</v>
      </c>
      <c r="O1995" s="15" t="n">
        <f aca="false">IF(J1995=1,0,Inputs!$B$13)</f>
        <v>20</v>
      </c>
      <c r="P1995" s="15" t="n">
        <f aca="false">SUM(M1995:N1995)</f>
        <v>95</v>
      </c>
      <c r="Q1995" s="15" t="n">
        <f aca="false">IF(J1995=1,"",L1995-P1995)</f>
        <v>5</v>
      </c>
      <c r="R1995" s="15" t="n">
        <f aca="false">IF(OR(J1995=1,M1995&lt;=Inputs!$B$12),1,0)</f>
        <v>1</v>
      </c>
      <c r="S1995" s="15" t="n">
        <f aca="false">IF(OR(J1995=1,N1995&lt;=O1995),1,0)</f>
        <v>1</v>
      </c>
      <c r="T1995" s="15" t="str">
        <f aca="false">IF(J1995=1,"OFFLINE",IF(AND(Q1995&gt;=Inputs!$B$15,R1995=1,S1995=1,P1995&lt;=L1995),"PASS","FAIL"))</f>
        <v>PASS</v>
      </c>
    </row>
    <row r="1996" customFormat="false" ht="15" hidden="false" customHeight="false" outlineLevel="0" collapsed="false">
      <c r="A1996" s="14" t="s">
        <v>1037</v>
      </c>
      <c r="B1996" s="14" t="s">
        <v>1038</v>
      </c>
      <c r="C1996" s="14" t="s">
        <v>152</v>
      </c>
      <c r="D1996" s="14" t="s">
        <v>178</v>
      </c>
      <c r="E1996" s="14" t="s">
        <v>169</v>
      </c>
      <c r="F1996" s="14" t="s">
        <v>175</v>
      </c>
      <c r="G1996" s="14" t="n">
        <v>2</v>
      </c>
      <c r="H1996" s="14" t="s">
        <v>153</v>
      </c>
      <c r="I1996" s="14" t="s">
        <v>895</v>
      </c>
      <c r="J1996" s="15" t="n">
        <f aca="false">IF(B1996="SITE LOSS",IF(D1996=C1996,1,0),IF(B1996="REGION LOSS",IF(E1996=C1996,1,0),0))</f>
        <v>0</v>
      </c>
      <c r="K1996" s="15" t="n">
        <f aca="false">IF(B1996="SITE LOSS",IF(COUNTIFS('Site Dockets'!$B$7:$B$24,C1996,'Site Dockets'!$C$7:$C$24,F1996)&gt;0,1,0),IF(B1996="REGION LOSS",IF(COUNTIFS('Site Dockets'!$E$7:$E$24,C1996,'Site Dockets'!$C$7:$C$24,F1996)&gt;0,1,0),0))</f>
        <v>1</v>
      </c>
      <c r="L1996" s="15" t="n">
        <f aca="false">IF(J1996=1,0,Inputs!$B$11)</f>
        <v>100</v>
      </c>
      <c r="M1996" s="15" t="n">
        <f aca="false">IF(J1996=1,0,Inputs!$B$12)</f>
        <v>75</v>
      </c>
      <c r="N1996" s="15" t="n">
        <f aca="false">IF(J1996=1,0,IF(OR(AND(OR(B1996="SITE LOSS",B1996="REGION LOSS"),K1996=1),AND(B1996="ROLE COMPROMISE",H1996=C1996)),Inputs!$B$13,Inputs!$B$14))</f>
        <v>20</v>
      </c>
      <c r="O1996" s="15" t="n">
        <f aca="false">IF(J1996=1,0,Inputs!$B$13)</f>
        <v>20</v>
      </c>
      <c r="P1996" s="15" t="n">
        <f aca="false">SUM(M1996:N1996)</f>
        <v>95</v>
      </c>
      <c r="Q1996" s="15" t="n">
        <f aca="false">IF(J1996=1,"",L1996-P1996)</f>
        <v>5</v>
      </c>
      <c r="R1996" s="15" t="n">
        <f aca="false">IF(OR(J1996=1,M1996&lt;=Inputs!$B$12),1,0)</f>
        <v>1</v>
      </c>
      <c r="S1996" s="15" t="n">
        <f aca="false">IF(OR(J1996=1,N1996&lt;=O1996),1,0)</f>
        <v>1</v>
      </c>
      <c r="T1996" s="15" t="str">
        <f aca="false">IF(J1996=1,"OFFLINE",IF(AND(Q1996&gt;=Inputs!$B$15,R1996=1,S1996=1,P1996&lt;=L1996),"PASS","FAIL"))</f>
        <v>PASS</v>
      </c>
    </row>
    <row r="1997" customFormat="false" ht="15" hidden="false" customHeight="false" outlineLevel="0" collapsed="false">
      <c r="A1997" s="14" t="s">
        <v>1037</v>
      </c>
      <c r="B1997" s="14" t="s">
        <v>1038</v>
      </c>
      <c r="C1997" s="14" t="s">
        <v>152</v>
      </c>
      <c r="D1997" s="14" t="s">
        <v>178</v>
      </c>
      <c r="E1997" s="14" t="s">
        <v>169</v>
      </c>
      <c r="F1997" s="14" t="s">
        <v>175</v>
      </c>
      <c r="G1997" s="14" t="n">
        <v>2</v>
      </c>
      <c r="H1997" s="14" t="s">
        <v>153</v>
      </c>
      <c r="I1997" s="14" t="s">
        <v>897</v>
      </c>
      <c r="J1997" s="15" t="n">
        <f aca="false">IF(B1997="SITE LOSS",IF(D1997=C1997,1,0),IF(B1997="REGION LOSS",IF(E1997=C1997,1,0),0))</f>
        <v>0</v>
      </c>
      <c r="K1997" s="15" t="n">
        <f aca="false">IF(B1997="SITE LOSS",IF(COUNTIFS('Site Dockets'!$B$7:$B$24,C1997,'Site Dockets'!$C$7:$C$24,F1997)&gt;0,1,0),IF(B1997="REGION LOSS",IF(COUNTIFS('Site Dockets'!$E$7:$E$24,C1997,'Site Dockets'!$C$7:$C$24,F1997)&gt;0,1,0),0))</f>
        <v>1</v>
      </c>
      <c r="L1997" s="15" t="n">
        <f aca="false">IF(J1997=1,0,Inputs!$B$11)</f>
        <v>100</v>
      </c>
      <c r="M1997" s="15" t="n">
        <f aca="false">IF(J1997=1,0,Inputs!$B$12)</f>
        <v>75</v>
      </c>
      <c r="N1997" s="15" t="n">
        <f aca="false">IF(J1997=1,0,IF(OR(AND(OR(B1997="SITE LOSS",B1997="REGION LOSS"),K1997=1),AND(B1997="ROLE COMPROMISE",H1997=C1997)),Inputs!$B$13,Inputs!$B$14))</f>
        <v>20</v>
      </c>
      <c r="O1997" s="15" t="n">
        <f aca="false">IF(J1997=1,0,Inputs!$B$13)</f>
        <v>20</v>
      </c>
      <c r="P1997" s="15" t="n">
        <f aca="false">SUM(M1997:N1997)</f>
        <v>95</v>
      </c>
      <c r="Q1997" s="15" t="n">
        <f aca="false">IF(J1997=1,"",L1997-P1997)</f>
        <v>5</v>
      </c>
      <c r="R1997" s="15" t="n">
        <f aca="false">IF(OR(J1997=1,M1997&lt;=Inputs!$B$12),1,0)</f>
        <v>1</v>
      </c>
      <c r="S1997" s="15" t="n">
        <f aca="false">IF(OR(J1997=1,N1997&lt;=O1997),1,0)</f>
        <v>1</v>
      </c>
      <c r="T1997" s="15" t="str">
        <f aca="false">IF(J1997=1,"OFFLINE",IF(AND(Q1997&gt;=Inputs!$B$15,R1997=1,S1997=1,P1997&lt;=L1997),"PASS","FAIL"))</f>
        <v>PASS</v>
      </c>
    </row>
    <row r="1998" customFormat="false" ht="15" hidden="false" customHeight="false" outlineLevel="0" collapsed="false">
      <c r="A1998" s="14" t="s">
        <v>1037</v>
      </c>
      <c r="B1998" s="14" t="s">
        <v>1038</v>
      </c>
      <c r="C1998" s="14" t="s">
        <v>152</v>
      </c>
      <c r="D1998" s="14" t="s">
        <v>178</v>
      </c>
      <c r="E1998" s="14" t="s">
        <v>169</v>
      </c>
      <c r="F1998" s="14" t="s">
        <v>175</v>
      </c>
      <c r="G1998" s="14" t="n">
        <v>2</v>
      </c>
      <c r="H1998" s="14" t="s">
        <v>153</v>
      </c>
      <c r="I1998" s="14" t="s">
        <v>899</v>
      </c>
      <c r="J1998" s="15" t="n">
        <f aca="false">IF(B1998="SITE LOSS",IF(D1998=C1998,1,0),IF(B1998="REGION LOSS",IF(E1998=C1998,1,0),0))</f>
        <v>0</v>
      </c>
      <c r="K1998" s="15" t="n">
        <f aca="false">IF(B1998="SITE LOSS",IF(COUNTIFS('Site Dockets'!$B$7:$B$24,C1998,'Site Dockets'!$C$7:$C$24,F1998)&gt;0,1,0),IF(B1998="REGION LOSS",IF(COUNTIFS('Site Dockets'!$E$7:$E$24,C1998,'Site Dockets'!$C$7:$C$24,F1998)&gt;0,1,0),0))</f>
        <v>1</v>
      </c>
      <c r="L1998" s="15" t="n">
        <f aca="false">IF(J1998=1,0,Inputs!$B$11)</f>
        <v>100</v>
      </c>
      <c r="M1998" s="15" t="n">
        <f aca="false">IF(J1998=1,0,Inputs!$B$12)</f>
        <v>75</v>
      </c>
      <c r="N1998" s="15" t="n">
        <f aca="false">IF(J1998=1,0,IF(OR(AND(OR(B1998="SITE LOSS",B1998="REGION LOSS"),K1998=1),AND(B1998="ROLE COMPROMISE",H1998=C1998)),Inputs!$B$13,Inputs!$B$14))</f>
        <v>20</v>
      </c>
      <c r="O1998" s="15" t="n">
        <f aca="false">IF(J1998=1,0,Inputs!$B$13)</f>
        <v>20</v>
      </c>
      <c r="P1998" s="15" t="n">
        <f aca="false">SUM(M1998:N1998)</f>
        <v>95</v>
      </c>
      <c r="Q1998" s="15" t="n">
        <f aca="false">IF(J1998=1,"",L1998-P1998)</f>
        <v>5</v>
      </c>
      <c r="R1998" s="15" t="n">
        <f aca="false">IF(OR(J1998=1,M1998&lt;=Inputs!$B$12),1,0)</f>
        <v>1</v>
      </c>
      <c r="S1998" s="15" t="n">
        <f aca="false">IF(OR(J1998=1,N1998&lt;=O1998),1,0)</f>
        <v>1</v>
      </c>
      <c r="T1998" s="15" t="str">
        <f aca="false">IF(J1998=1,"OFFLINE",IF(AND(Q1998&gt;=Inputs!$B$15,R1998=1,S1998=1,P1998&lt;=L1998),"PASS","FAIL"))</f>
        <v>PASS</v>
      </c>
    </row>
    <row r="1999" customFormat="false" ht="15" hidden="false" customHeight="false" outlineLevel="0" collapsed="false">
      <c r="A1999" s="14" t="s">
        <v>1037</v>
      </c>
      <c r="B1999" s="14" t="s">
        <v>1038</v>
      </c>
      <c r="C1999" s="14" t="s">
        <v>152</v>
      </c>
      <c r="D1999" s="14" t="s">
        <v>180</v>
      </c>
      <c r="E1999" s="14" t="s">
        <v>161</v>
      </c>
      <c r="F1999" s="14" t="s">
        <v>175</v>
      </c>
      <c r="G1999" s="14" t="n">
        <v>3</v>
      </c>
      <c r="H1999" s="14" t="s">
        <v>158</v>
      </c>
      <c r="I1999" s="14" t="s">
        <v>890</v>
      </c>
      <c r="J1999" s="15" t="n">
        <f aca="false">IF(B1999="SITE LOSS",IF(D1999=C1999,1,0),IF(B1999="REGION LOSS",IF(E1999=C1999,1,0),0))</f>
        <v>0</v>
      </c>
      <c r="K1999" s="15" t="n">
        <f aca="false">IF(B1999="SITE LOSS",IF(COUNTIFS('Site Dockets'!$B$7:$B$24,C1999,'Site Dockets'!$C$7:$C$24,F1999)&gt;0,1,0),IF(B1999="REGION LOSS",IF(COUNTIFS('Site Dockets'!$E$7:$E$24,C1999,'Site Dockets'!$C$7:$C$24,F1999)&gt;0,1,0),0))</f>
        <v>1</v>
      </c>
      <c r="L1999" s="15" t="n">
        <f aca="false">IF(J1999=1,0,Inputs!$B$11)</f>
        <v>100</v>
      </c>
      <c r="M1999" s="15" t="n">
        <f aca="false">IF(J1999=1,0,Inputs!$B$12)</f>
        <v>75</v>
      </c>
      <c r="N1999" s="15" t="n">
        <f aca="false">IF(J1999=1,0,IF(OR(AND(OR(B1999="SITE LOSS",B1999="REGION LOSS"),K1999=1),AND(B1999="ROLE COMPROMISE",H1999=C1999)),Inputs!$B$13,Inputs!$B$14))</f>
        <v>20</v>
      </c>
      <c r="O1999" s="15" t="n">
        <f aca="false">IF(J1999=1,0,Inputs!$B$13)</f>
        <v>20</v>
      </c>
      <c r="P1999" s="15" t="n">
        <f aca="false">SUM(M1999:N1999)</f>
        <v>95</v>
      </c>
      <c r="Q1999" s="15" t="n">
        <f aca="false">IF(J1999=1,"",L1999-P1999)</f>
        <v>5</v>
      </c>
      <c r="R1999" s="15" t="n">
        <f aca="false">IF(OR(J1999=1,M1999&lt;=Inputs!$B$12),1,0)</f>
        <v>1</v>
      </c>
      <c r="S1999" s="15" t="n">
        <f aca="false">IF(OR(J1999=1,N1999&lt;=O1999),1,0)</f>
        <v>1</v>
      </c>
      <c r="T1999" s="15" t="str">
        <f aca="false">IF(J1999=1,"OFFLINE",IF(AND(Q1999&gt;=Inputs!$B$15,R1999=1,S1999=1,P1999&lt;=L1999),"PASS","FAIL"))</f>
        <v>PASS</v>
      </c>
    </row>
    <row r="2000" customFormat="false" ht="15" hidden="false" customHeight="false" outlineLevel="0" collapsed="false">
      <c r="A2000" s="14" t="s">
        <v>1037</v>
      </c>
      <c r="B2000" s="14" t="s">
        <v>1038</v>
      </c>
      <c r="C2000" s="14" t="s">
        <v>152</v>
      </c>
      <c r="D2000" s="14" t="s">
        <v>180</v>
      </c>
      <c r="E2000" s="14" t="s">
        <v>161</v>
      </c>
      <c r="F2000" s="14" t="s">
        <v>175</v>
      </c>
      <c r="G2000" s="14" t="n">
        <v>3</v>
      </c>
      <c r="H2000" s="14" t="s">
        <v>158</v>
      </c>
      <c r="I2000" s="14" t="s">
        <v>892</v>
      </c>
      <c r="J2000" s="15" t="n">
        <f aca="false">IF(B2000="SITE LOSS",IF(D2000=C2000,1,0),IF(B2000="REGION LOSS",IF(E2000=C2000,1,0),0))</f>
        <v>0</v>
      </c>
      <c r="K2000" s="15" t="n">
        <f aca="false">IF(B2000="SITE LOSS",IF(COUNTIFS('Site Dockets'!$B$7:$B$24,C2000,'Site Dockets'!$C$7:$C$24,F2000)&gt;0,1,0),IF(B2000="REGION LOSS",IF(COUNTIFS('Site Dockets'!$E$7:$E$24,C2000,'Site Dockets'!$C$7:$C$24,F2000)&gt;0,1,0),0))</f>
        <v>1</v>
      </c>
      <c r="L2000" s="15" t="n">
        <f aca="false">IF(J2000=1,0,Inputs!$B$11)</f>
        <v>100</v>
      </c>
      <c r="M2000" s="15" t="n">
        <f aca="false">IF(J2000=1,0,Inputs!$B$12)</f>
        <v>75</v>
      </c>
      <c r="N2000" s="15" t="n">
        <f aca="false">IF(J2000=1,0,IF(OR(AND(OR(B2000="SITE LOSS",B2000="REGION LOSS"),K2000=1),AND(B2000="ROLE COMPROMISE",H2000=C2000)),Inputs!$B$13,Inputs!$B$14))</f>
        <v>20</v>
      </c>
      <c r="O2000" s="15" t="n">
        <f aca="false">IF(J2000=1,0,Inputs!$B$13)</f>
        <v>20</v>
      </c>
      <c r="P2000" s="15" t="n">
        <f aca="false">SUM(M2000:N2000)</f>
        <v>95</v>
      </c>
      <c r="Q2000" s="15" t="n">
        <f aca="false">IF(J2000=1,"",L2000-P2000)</f>
        <v>5</v>
      </c>
      <c r="R2000" s="15" t="n">
        <f aca="false">IF(OR(J2000=1,M2000&lt;=Inputs!$B$12),1,0)</f>
        <v>1</v>
      </c>
      <c r="S2000" s="15" t="n">
        <f aca="false">IF(OR(J2000=1,N2000&lt;=O2000),1,0)</f>
        <v>1</v>
      </c>
      <c r="T2000" s="15" t="str">
        <f aca="false">IF(J2000=1,"OFFLINE",IF(AND(Q2000&gt;=Inputs!$B$15,R2000=1,S2000=1,P2000&lt;=L2000),"PASS","FAIL"))</f>
        <v>PASS</v>
      </c>
    </row>
    <row r="2001" customFormat="false" ht="15" hidden="false" customHeight="false" outlineLevel="0" collapsed="false">
      <c r="A2001" s="14" t="s">
        <v>1037</v>
      </c>
      <c r="B2001" s="14" t="s">
        <v>1038</v>
      </c>
      <c r="C2001" s="14" t="s">
        <v>152</v>
      </c>
      <c r="D2001" s="14" t="s">
        <v>180</v>
      </c>
      <c r="E2001" s="14" t="s">
        <v>161</v>
      </c>
      <c r="F2001" s="14" t="s">
        <v>175</v>
      </c>
      <c r="G2001" s="14" t="n">
        <v>3</v>
      </c>
      <c r="H2001" s="14" t="s">
        <v>158</v>
      </c>
      <c r="I2001" s="14" t="s">
        <v>811</v>
      </c>
      <c r="J2001" s="15" t="n">
        <f aca="false">IF(B2001="SITE LOSS",IF(D2001=C2001,1,0),IF(B2001="REGION LOSS",IF(E2001=C2001,1,0),0))</f>
        <v>0</v>
      </c>
      <c r="K2001" s="15" t="n">
        <f aca="false">IF(B2001="SITE LOSS",IF(COUNTIFS('Site Dockets'!$B$7:$B$24,C2001,'Site Dockets'!$C$7:$C$24,F2001)&gt;0,1,0),IF(B2001="REGION LOSS",IF(COUNTIFS('Site Dockets'!$E$7:$E$24,C2001,'Site Dockets'!$C$7:$C$24,F2001)&gt;0,1,0),0))</f>
        <v>1</v>
      </c>
      <c r="L2001" s="15" t="n">
        <f aca="false">IF(J2001=1,0,Inputs!$B$11)</f>
        <v>100</v>
      </c>
      <c r="M2001" s="15" t="n">
        <f aca="false">IF(J2001=1,0,Inputs!$B$12)</f>
        <v>75</v>
      </c>
      <c r="N2001" s="15" t="n">
        <f aca="false">IF(J2001=1,0,IF(OR(AND(OR(B2001="SITE LOSS",B2001="REGION LOSS"),K2001=1),AND(B2001="ROLE COMPROMISE",H2001=C2001)),Inputs!$B$13,Inputs!$B$14))</f>
        <v>20</v>
      </c>
      <c r="O2001" s="15" t="n">
        <f aca="false">IF(J2001=1,0,Inputs!$B$13)</f>
        <v>20</v>
      </c>
      <c r="P2001" s="15" t="n">
        <f aca="false">SUM(M2001:N2001)</f>
        <v>95</v>
      </c>
      <c r="Q2001" s="15" t="n">
        <f aca="false">IF(J2001=1,"",L2001-P2001)</f>
        <v>5</v>
      </c>
      <c r="R2001" s="15" t="n">
        <f aca="false">IF(OR(J2001=1,M2001&lt;=Inputs!$B$12),1,0)</f>
        <v>1</v>
      </c>
      <c r="S2001" s="15" t="n">
        <f aca="false">IF(OR(J2001=1,N2001&lt;=O2001),1,0)</f>
        <v>1</v>
      </c>
      <c r="T2001" s="15" t="str">
        <f aca="false">IF(J2001=1,"OFFLINE",IF(AND(Q2001&gt;=Inputs!$B$15,R2001=1,S2001=1,P2001&lt;=L2001),"PASS","FAIL"))</f>
        <v>PASS</v>
      </c>
    </row>
    <row r="2002" customFormat="false" ht="15" hidden="false" customHeight="false" outlineLevel="0" collapsed="false">
      <c r="A2002" s="14" t="s">
        <v>1037</v>
      </c>
      <c r="B2002" s="14" t="s">
        <v>1038</v>
      </c>
      <c r="C2002" s="14" t="s">
        <v>152</v>
      </c>
      <c r="D2002" s="14" t="s">
        <v>180</v>
      </c>
      <c r="E2002" s="14" t="s">
        <v>161</v>
      </c>
      <c r="F2002" s="14" t="s">
        <v>175</v>
      </c>
      <c r="G2002" s="14" t="n">
        <v>3</v>
      </c>
      <c r="H2002" s="14" t="s">
        <v>158</v>
      </c>
      <c r="I2002" s="14" t="s">
        <v>895</v>
      </c>
      <c r="J2002" s="15" t="n">
        <f aca="false">IF(B2002="SITE LOSS",IF(D2002=C2002,1,0),IF(B2002="REGION LOSS",IF(E2002=C2002,1,0),0))</f>
        <v>0</v>
      </c>
      <c r="K2002" s="15" t="n">
        <f aca="false">IF(B2002="SITE LOSS",IF(COUNTIFS('Site Dockets'!$B$7:$B$24,C2002,'Site Dockets'!$C$7:$C$24,F2002)&gt;0,1,0),IF(B2002="REGION LOSS",IF(COUNTIFS('Site Dockets'!$E$7:$E$24,C2002,'Site Dockets'!$C$7:$C$24,F2002)&gt;0,1,0),0))</f>
        <v>1</v>
      </c>
      <c r="L2002" s="15" t="n">
        <f aca="false">IF(J2002=1,0,Inputs!$B$11)</f>
        <v>100</v>
      </c>
      <c r="M2002" s="15" t="n">
        <f aca="false">IF(J2002=1,0,Inputs!$B$12)</f>
        <v>75</v>
      </c>
      <c r="N2002" s="15" t="n">
        <f aca="false">IF(J2002=1,0,IF(OR(AND(OR(B2002="SITE LOSS",B2002="REGION LOSS"),K2002=1),AND(B2002="ROLE COMPROMISE",H2002=C2002)),Inputs!$B$13,Inputs!$B$14))</f>
        <v>20</v>
      </c>
      <c r="O2002" s="15" t="n">
        <f aca="false">IF(J2002=1,0,Inputs!$B$13)</f>
        <v>20</v>
      </c>
      <c r="P2002" s="15" t="n">
        <f aca="false">SUM(M2002:N2002)</f>
        <v>95</v>
      </c>
      <c r="Q2002" s="15" t="n">
        <f aca="false">IF(J2002=1,"",L2002-P2002)</f>
        <v>5</v>
      </c>
      <c r="R2002" s="15" t="n">
        <f aca="false">IF(OR(J2002=1,M2002&lt;=Inputs!$B$12),1,0)</f>
        <v>1</v>
      </c>
      <c r="S2002" s="15" t="n">
        <f aca="false">IF(OR(J2002=1,N2002&lt;=O2002),1,0)</f>
        <v>1</v>
      </c>
      <c r="T2002" s="15" t="str">
        <f aca="false">IF(J2002=1,"OFFLINE",IF(AND(Q2002&gt;=Inputs!$B$15,R2002=1,S2002=1,P2002&lt;=L2002),"PASS","FAIL"))</f>
        <v>PASS</v>
      </c>
    </row>
    <row r="2003" customFormat="false" ht="15" hidden="false" customHeight="false" outlineLevel="0" collapsed="false">
      <c r="A2003" s="14" t="s">
        <v>1037</v>
      </c>
      <c r="B2003" s="14" t="s">
        <v>1038</v>
      </c>
      <c r="C2003" s="14" t="s">
        <v>152</v>
      </c>
      <c r="D2003" s="14" t="s">
        <v>180</v>
      </c>
      <c r="E2003" s="14" t="s">
        <v>161</v>
      </c>
      <c r="F2003" s="14" t="s">
        <v>175</v>
      </c>
      <c r="G2003" s="14" t="n">
        <v>3</v>
      </c>
      <c r="H2003" s="14" t="s">
        <v>158</v>
      </c>
      <c r="I2003" s="14" t="s">
        <v>897</v>
      </c>
      <c r="J2003" s="15" t="n">
        <f aca="false">IF(B2003="SITE LOSS",IF(D2003=C2003,1,0),IF(B2003="REGION LOSS",IF(E2003=C2003,1,0),0))</f>
        <v>0</v>
      </c>
      <c r="K2003" s="15" t="n">
        <f aca="false">IF(B2003="SITE LOSS",IF(COUNTIFS('Site Dockets'!$B$7:$B$24,C2003,'Site Dockets'!$C$7:$C$24,F2003)&gt;0,1,0),IF(B2003="REGION LOSS",IF(COUNTIFS('Site Dockets'!$E$7:$E$24,C2003,'Site Dockets'!$C$7:$C$24,F2003)&gt;0,1,0),0))</f>
        <v>1</v>
      </c>
      <c r="L2003" s="15" t="n">
        <f aca="false">IF(J2003=1,0,Inputs!$B$11)</f>
        <v>100</v>
      </c>
      <c r="M2003" s="15" t="n">
        <f aca="false">IF(J2003=1,0,Inputs!$B$12)</f>
        <v>75</v>
      </c>
      <c r="N2003" s="15" t="n">
        <f aca="false">IF(J2003=1,0,IF(OR(AND(OR(B2003="SITE LOSS",B2003="REGION LOSS"),K2003=1),AND(B2003="ROLE COMPROMISE",H2003=C2003)),Inputs!$B$13,Inputs!$B$14))</f>
        <v>20</v>
      </c>
      <c r="O2003" s="15" t="n">
        <f aca="false">IF(J2003=1,0,Inputs!$B$13)</f>
        <v>20</v>
      </c>
      <c r="P2003" s="15" t="n">
        <f aca="false">SUM(M2003:N2003)</f>
        <v>95</v>
      </c>
      <c r="Q2003" s="15" t="n">
        <f aca="false">IF(J2003=1,"",L2003-P2003)</f>
        <v>5</v>
      </c>
      <c r="R2003" s="15" t="n">
        <f aca="false">IF(OR(J2003=1,M2003&lt;=Inputs!$B$12),1,0)</f>
        <v>1</v>
      </c>
      <c r="S2003" s="15" t="n">
        <f aca="false">IF(OR(J2003=1,N2003&lt;=O2003),1,0)</f>
        <v>1</v>
      </c>
      <c r="T2003" s="15" t="str">
        <f aca="false">IF(J2003=1,"OFFLINE",IF(AND(Q2003&gt;=Inputs!$B$15,R2003=1,S2003=1,P2003&lt;=L2003),"PASS","FAIL"))</f>
        <v>PASS</v>
      </c>
    </row>
    <row r="2004" customFormat="false" ht="15" hidden="false" customHeight="false" outlineLevel="0" collapsed="false">
      <c r="A2004" s="14" t="s">
        <v>1037</v>
      </c>
      <c r="B2004" s="14" t="s">
        <v>1038</v>
      </c>
      <c r="C2004" s="14" t="s">
        <v>152</v>
      </c>
      <c r="D2004" s="14" t="s">
        <v>180</v>
      </c>
      <c r="E2004" s="14" t="s">
        <v>161</v>
      </c>
      <c r="F2004" s="14" t="s">
        <v>175</v>
      </c>
      <c r="G2004" s="14" t="n">
        <v>3</v>
      </c>
      <c r="H2004" s="14" t="s">
        <v>158</v>
      </c>
      <c r="I2004" s="14" t="s">
        <v>899</v>
      </c>
      <c r="J2004" s="15" t="n">
        <f aca="false">IF(B2004="SITE LOSS",IF(D2004=C2004,1,0),IF(B2004="REGION LOSS",IF(E2004=C2004,1,0),0))</f>
        <v>0</v>
      </c>
      <c r="K2004" s="15" t="n">
        <f aca="false">IF(B2004="SITE LOSS",IF(COUNTIFS('Site Dockets'!$B$7:$B$24,C2004,'Site Dockets'!$C$7:$C$24,F2004)&gt;0,1,0),IF(B2004="REGION LOSS",IF(COUNTIFS('Site Dockets'!$E$7:$E$24,C2004,'Site Dockets'!$C$7:$C$24,F2004)&gt;0,1,0),0))</f>
        <v>1</v>
      </c>
      <c r="L2004" s="15" t="n">
        <f aca="false">IF(J2004=1,0,Inputs!$B$11)</f>
        <v>100</v>
      </c>
      <c r="M2004" s="15" t="n">
        <f aca="false">IF(J2004=1,0,Inputs!$B$12)</f>
        <v>75</v>
      </c>
      <c r="N2004" s="15" t="n">
        <f aca="false">IF(J2004=1,0,IF(OR(AND(OR(B2004="SITE LOSS",B2004="REGION LOSS"),K2004=1),AND(B2004="ROLE COMPROMISE",H2004=C2004)),Inputs!$B$13,Inputs!$B$14))</f>
        <v>20</v>
      </c>
      <c r="O2004" s="15" t="n">
        <f aca="false">IF(J2004=1,0,Inputs!$B$13)</f>
        <v>20</v>
      </c>
      <c r="P2004" s="15" t="n">
        <f aca="false">SUM(M2004:N2004)</f>
        <v>95</v>
      </c>
      <c r="Q2004" s="15" t="n">
        <f aca="false">IF(J2004=1,"",L2004-P2004)</f>
        <v>5</v>
      </c>
      <c r="R2004" s="15" t="n">
        <f aca="false">IF(OR(J2004=1,M2004&lt;=Inputs!$B$12),1,0)</f>
        <v>1</v>
      </c>
      <c r="S2004" s="15" t="n">
        <f aca="false">IF(OR(J2004=1,N2004&lt;=O2004),1,0)</f>
        <v>1</v>
      </c>
      <c r="T2004" s="15" t="str">
        <f aca="false">IF(J2004=1,"OFFLINE",IF(AND(Q2004&gt;=Inputs!$B$15,R2004=1,S2004=1,P2004&lt;=L2004),"PASS","FAIL"))</f>
        <v>PASS</v>
      </c>
    </row>
    <row r="2005" customFormat="false" ht="15" hidden="false" customHeight="false" outlineLevel="0" collapsed="false">
      <c r="A2005" s="14" t="s">
        <v>1037</v>
      </c>
      <c r="B2005" s="14" t="s">
        <v>1038</v>
      </c>
      <c r="C2005" s="14" t="s">
        <v>152</v>
      </c>
      <c r="D2005" s="14" t="s">
        <v>182</v>
      </c>
      <c r="E2005" s="14" t="s">
        <v>166</v>
      </c>
      <c r="F2005" s="14" t="s">
        <v>183</v>
      </c>
      <c r="G2005" s="14" t="n">
        <v>1</v>
      </c>
      <c r="H2005" s="14" t="s">
        <v>154</v>
      </c>
      <c r="I2005" s="14" t="s">
        <v>890</v>
      </c>
      <c r="J2005" s="15" t="n">
        <f aca="false">IF(B2005="SITE LOSS",IF(D2005=C2005,1,0),IF(B2005="REGION LOSS",IF(E2005=C2005,1,0),0))</f>
        <v>0</v>
      </c>
      <c r="K2005" s="15" t="n">
        <f aca="false">IF(B2005="SITE LOSS",IF(COUNTIFS('Site Dockets'!$B$7:$B$24,C2005,'Site Dockets'!$C$7:$C$24,F2005)&gt;0,1,0),IF(B2005="REGION LOSS",IF(COUNTIFS('Site Dockets'!$E$7:$E$24,C2005,'Site Dockets'!$C$7:$C$24,F2005)&gt;0,1,0),0))</f>
        <v>0</v>
      </c>
      <c r="L2005" s="15" t="n">
        <f aca="false">IF(J2005=1,0,Inputs!$B$11)</f>
        <v>100</v>
      </c>
      <c r="M2005" s="15" t="n">
        <f aca="false">IF(J2005=1,0,Inputs!$B$12)</f>
        <v>75</v>
      </c>
      <c r="N2005" s="15" t="n">
        <f aca="false">IF(J2005=1,0,IF(OR(AND(OR(B2005="SITE LOSS",B2005="REGION LOSS"),K2005=1),AND(B2005="ROLE COMPROMISE",H2005=C2005)),Inputs!$B$13,Inputs!$B$14))</f>
        <v>10</v>
      </c>
      <c r="O2005" s="15" t="n">
        <f aca="false">IF(J2005=1,0,Inputs!$B$13)</f>
        <v>20</v>
      </c>
      <c r="P2005" s="15" t="n">
        <f aca="false">SUM(M2005:N2005)</f>
        <v>85</v>
      </c>
      <c r="Q2005" s="15" t="n">
        <f aca="false">IF(J2005=1,"",L2005-P2005)</f>
        <v>15</v>
      </c>
      <c r="R2005" s="15" t="n">
        <f aca="false">IF(OR(J2005=1,M2005&lt;=Inputs!$B$12),1,0)</f>
        <v>1</v>
      </c>
      <c r="S2005" s="15" t="n">
        <f aca="false">IF(OR(J2005=1,N2005&lt;=O2005),1,0)</f>
        <v>1</v>
      </c>
      <c r="T2005" s="15" t="str">
        <f aca="false">IF(J2005=1,"OFFLINE",IF(AND(Q2005&gt;=Inputs!$B$15,R2005=1,S2005=1,P2005&lt;=L2005),"PASS","FAIL"))</f>
        <v>PASS</v>
      </c>
    </row>
    <row r="2006" customFormat="false" ht="15" hidden="false" customHeight="false" outlineLevel="0" collapsed="false">
      <c r="A2006" s="14" t="s">
        <v>1037</v>
      </c>
      <c r="B2006" s="14" t="s">
        <v>1038</v>
      </c>
      <c r="C2006" s="14" t="s">
        <v>152</v>
      </c>
      <c r="D2006" s="14" t="s">
        <v>182</v>
      </c>
      <c r="E2006" s="14" t="s">
        <v>166</v>
      </c>
      <c r="F2006" s="14" t="s">
        <v>183</v>
      </c>
      <c r="G2006" s="14" t="n">
        <v>1</v>
      </c>
      <c r="H2006" s="14" t="s">
        <v>154</v>
      </c>
      <c r="I2006" s="14" t="s">
        <v>892</v>
      </c>
      <c r="J2006" s="15" t="n">
        <f aca="false">IF(B2006="SITE LOSS",IF(D2006=C2006,1,0),IF(B2006="REGION LOSS",IF(E2006=C2006,1,0),0))</f>
        <v>0</v>
      </c>
      <c r="K2006" s="15" t="n">
        <f aca="false">IF(B2006="SITE LOSS",IF(COUNTIFS('Site Dockets'!$B$7:$B$24,C2006,'Site Dockets'!$C$7:$C$24,F2006)&gt;0,1,0),IF(B2006="REGION LOSS",IF(COUNTIFS('Site Dockets'!$E$7:$E$24,C2006,'Site Dockets'!$C$7:$C$24,F2006)&gt;0,1,0),0))</f>
        <v>0</v>
      </c>
      <c r="L2006" s="15" t="n">
        <f aca="false">IF(J2006=1,0,Inputs!$B$11)</f>
        <v>100</v>
      </c>
      <c r="M2006" s="15" t="n">
        <f aca="false">IF(J2006=1,0,Inputs!$B$12)</f>
        <v>75</v>
      </c>
      <c r="N2006" s="15" t="n">
        <f aca="false">IF(J2006=1,0,IF(OR(AND(OR(B2006="SITE LOSS",B2006="REGION LOSS"),K2006=1),AND(B2006="ROLE COMPROMISE",H2006=C2006)),Inputs!$B$13,Inputs!$B$14))</f>
        <v>10</v>
      </c>
      <c r="O2006" s="15" t="n">
        <f aca="false">IF(J2006=1,0,Inputs!$B$13)</f>
        <v>20</v>
      </c>
      <c r="P2006" s="15" t="n">
        <f aca="false">SUM(M2006:N2006)</f>
        <v>85</v>
      </c>
      <c r="Q2006" s="15" t="n">
        <f aca="false">IF(J2006=1,"",L2006-P2006)</f>
        <v>15</v>
      </c>
      <c r="R2006" s="15" t="n">
        <f aca="false">IF(OR(J2006=1,M2006&lt;=Inputs!$B$12),1,0)</f>
        <v>1</v>
      </c>
      <c r="S2006" s="15" t="n">
        <f aca="false">IF(OR(J2006=1,N2006&lt;=O2006),1,0)</f>
        <v>1</v>
      </c>
      <c r="T2006" s="15" t="str">
        <f aca="false">IF(J2006=1,"OFFLINE",IF(AND(Q2006&gt;=Inputs!$B$15,R2006=1,S2006=1,P2006&lt;=L2006),"PASS","FAIL"))</f>
        <v>PASS</v>
      </c>
    </row>
    <row r="2007" customFormat="false" ht="15" hidden="false" customHeight="false" outlineLevel="0" collapsed="false">
      <c r="A2007" s="14" t="s">
        <v>1037</v>
      </c>
      <c r="B2007" s="14" t="s">
        <v>1038</v>
      </c>
      <c r="C2007" s="14" t="s">
        <v>152</v>
      </c>
      <c r="D2007" s="14" t="s">
        <v>182</v>
      </c>
      <c r="E2007" s="14" t="s">
        <v>166</v>
      </c>
      <c r="F2007" s="14" t="s">
        <v>183</v>
      </c>
      <c r="G2007" s="14" t="n">
        <v>1</v>
      </c>
      <c r="H2007" s="14" t="s">
        <v>154</v>
      </c>
      <c r="I2007" s="14" t="s">
        <v>811</v>
      </c>
      <c r="J2007" s="15" t="n">
        <f aca="false">IF(B2007="SITE LOSS",IF(D2007=C2007,1,0),IF(B2007="REGION LOSS",IF(E2007=C2007,1,0),0))</f>
        <v>0</v>
      </c>
      <c r="K2007" s="15" t="n">
        <f aca="false">IF(B2007="SITE LOSS",IF(COUNTIFS('Site Dockets'!$B$7:$B$24,C2007,'Site Dockets'!$C$7:$C$24,F2007)&gt;0,1,0),IF(B2007="REGION LOSS",IF(COUNTIFS('Site Dockets'!$E$7:$E$24,C2007,'Site Dockets'!$C$7:$C$24,F2007)&gt;0,1,0),0))</f>
        <v>0</v>
      </c>
      <c r="L2007" s="15" t="n">
        <f aca="false">IF(J2007=1,0,Inputs!$B$11)</f>
        <v>100</v>
      </c>
      <c r="M2007" s="15" t="n">
        <f aca="false">IF(J2007=1,0,Inputs!$B$12)</f>
        <v>75</v>
      </c>
      <c r="N2007" s="15" t="n">
        <f aca="false">IF(J2007=1,0,IF(OR(AND(OR(B2007="SITE LOSS",B2007="REGION LOSS"),K2007=1),AND(B2007="ROLE COMPROMISE",H2007=C2007)),Inputs!$B$13,Inputs!$B$14))</f>
        <v>10</v>
      </c>
      <c r="O2007" s="15" t="n">
        <f aca="false">IF(J2007=1,0,Inputs!$B$13)</f>
        <v>20</v>
      </c>
      <c r="P2007" s="15" t="n">
        <f aca="false">SUM(M2007:N2007)</f>
        <v>85</v>
      </c>
      <c r="Q2007" s="15" t="n">
        <f aca="false">IF(J2007=1,"",L2007-P2007)</f>
        <v>15</v>
      </c>
      <c r="R2007" s="15" t="n">
        <f aca="false">IF(OR(J2007=1,M2007&lt;=Inputs!$B$12),1,0)</f>
        <v>1</v>
      </c>
      <c r="S2007" s="15" t="n">
        <f aca="false">IF(OR(J2007=1,N2007&lt;=O2007),1,0)</f>
        <v>1</v>
      </c>
      <c r="T2007" s="15" t="str">
        <f aca="false">IF(J2007=1,"OFFLINE",IF(AND(Q2007&gt;=Inputs!$B$15,R2007=1,S2007=1,P2007&lt;=L2007),"PASS","FAIL"))</f>
        <v>PASS</v>
      </c>
    </row>
    <row r="2008" customFormat="false" ht="15" hidden="false" customHeight="false" outlineLevel="0" collapsed="false">
      <c r="A2008" s="14" t="s">
        <v>1037</v>
      </c>
      <c r="B2008" s="14" t="s">
        <v>1038</v>
      </c>
      <c r="C2008" s="14" t="s">
        <v>152</v>
      </c>
      <c r="D2008" s="14" t="s">
        <v>182</v>
      </c>
      <c r="E2008" s="14" t="s">
        <v>166</v>
      </c>
      <c r="F2008" s="14" t="s">
        <v>183</v>
      </c>
      <c r="G2008" s="14" t="n">
        <v>1</v>
      </c>
      <c r="H2008" s="14" t="s">
        <v>154</v>
      </c>
      <c r="I2008" s="14" t="s">
        <v>895</v>
      </c>
      <c r="J2008" s="15" t="n">
        <f aca="false">IF(B2008="SITE LOSS",IF(D2008=C2008,1,0),IF(B2008="REGION LOSS",IF(E2008=C2008,1,0),0))</f>
        <v>0</v>
      </c>
      <c r="K2008" s="15" t="n">
        <f aca="false">IF(B2008="SITE LOSS",IF(COUNTIFS('Site Dockets'!$B$7:$B$24,C2008,'Site Dockets'!$C$7:$C$24,F2008)&gt;0,1,0),IF(B2008="REGION LOSS",IF(COUNTIFS('Site Dockets'!$E$7:$E$24,C2008,'Site Dockets'!$C$7:$C$24,F2008)&gt;0,1,0),0))</f>
        <v>0</v>
      </c>
      <c r="L2008" s="15" t="n">
        <f aca="false">IF(J2008=1,0,Inputs!$B$11)</f>
        <v>100</v>
      </c>
      <c r="M2008" s="15" t="n">
        <f aca="false">IF(J2008=1,0,Inputs!$B$12)</f>
        <v>75</v>
      </c>
      <c r="N2008" s="15" t="n">
        <f aca="false">IF(J2008=1,0,IF(OR(AND(OR(B2008="SITE LOSS",B2008="REGION LOSS"),K2008=1),AND(B2008="ROLE COMPROMISE",H2008=C2008)),Inputs!$B$13,Inputs!$B$14))</f>
        <v>10</v>
      </c>
      <c r="O2008" s="15" t="n">
        <f aca="false">IF(J2008=1,0,Inputs!$B$13)</f>
        <v>20</v>
      </c>
      <c r="P2008" s="15" t="n">
        <f aca="false">SUM(M2008:N2008)</f>
        <v>85</v>
      </c>
      <c r="Q2008" s="15" t="n">
        <f aca="false">IF(J2008=1,"",L2008-P2008)</f>
        <v>15</v>
      </c>
      <c r="R2008" s="15" t="n">
        <f aca="false">IF(OR(J2008=1,M2008&lt;=Inputs!$B$12),1,0)</f>
        <v>1</v>
      </c>
      <c r="S2008" s="15" t="n">
        <f aca="false">IF(OR(J2008=1,N2008&lt;=O2008),1,0)</f>
        <v>1</v>
      </c>
      <c r="T2008" s="15" t="str">
        <f aca="false">IF(J2008=1,"OFFLINE",IF(AND(Q2008&gt;=Inputs!$B$15,R2008=1,S2008=1,P2008&lt;=L2008),"PASS","FAIL"))</f>
        <v>PASS</v>
      </c>
    </row>
    <row r="2009" customFormat="false" ht="15" hidden="false" customHeight="false" outlineLevel="0" collapsed="false">
      <c r="A2009" s="14" t="s">
        <v>1037</v>
      </c>
      <c r="B2009" s="14" t="s">
        <v>1038</v>
      </c>
      <c r="C2009" s="14" t="s">
        <v>152</v>
      </c>
      <c r="D2009" s="14" t="s">
        <v>182</v>
      </c>
      <c r="E2009" s="14" t="s">
        <v>166</v>
      </c>
      <c r="F2009" s="14" t="s">
        <v>183</v>
      </c>
      <c r="G2009" s="14" t="n">
        <v>1</v>
      </c>
      <c r="H2009" s="14" t="s">
        <v>154</v>
      </c>
      <c r="I2009" s="14" t="s">
        <v>897</v>
      </c>
      <c r="J2009" s="15" t="n">
        <f aca="false">IF(B2009="SITE LOSS",IF(D2009=C2009,1,0),IF(B2009="REGION LOSS",IF(E2009=C2009,1,0),0))</f>
        <v>0</v>
      </c>
      <c r="K2009" s="15" t="n">
        <f aca="false">IF(B2009="SITE LOSS",IF(COUNTIFS('Site Dockets'!$B$7:$B$24,C2009,'Site Dockets'!$C$7:$C$24,F2009)&gt;0,1,0),IF(B2009="REGION LOSS",IF(COUNTIFS('Site Dockets'!$E$7:$E$24,C2009,'Site Dockets'!$C$7:$C$24,F2009)&gt;0,1,0),0))</f>
        <v>0</v>
      </c>
      <c r="L2009" s="15" t="n">
        <f aca="false">IF(J2009=1,0,Inputs!$B$11)</f>
        <v>100</v>
      </c>
      <c r="M2009" s="15" t="n">
        <f aca="false">IF(J2009=1,0,Inputs!$B$12)</f>
        <v>75</v>
      </c>
      <c r="N2009" s="15" t="n">
        <f aca="false">IF(J2009=1,0,IF(OR(AND(OR(B2009="SITE LOSS",B2009="REGION LOSS"),K2009=1),AND(B2009="ROLE COMPROMISE",H2009=C2009)),Inputs!$B$13,Inputs!$B$14))</f>
        <v>10</v>
      </c>
      <c r="O2009" s="15" t="n">
        <f aca="false">IF(J2009=1,0,Inputs!$B$13)</f>
        <v>20</v>
      </c>
      <c r="P2009" s="15" t="n">
        <f aca="false">SUM(M2009:N2009)</f>
        <v>85</v>
      </c>
      <c r="Q2009" s="15" t="n">
        <f aca="false">IF(J2009=1,"",L2009-P2009)</f>
        <v>15</v>
      </c>
      <c r="R2009" s="15" t="n">
        <f aca="false">IF(OR(J2009=1,M2009&lt;=Inputs!$B$12),1,0)</f>
        <v>1</v>
      </c>
      <c r="S2009" s="15" t="n">
        <f aca="false">IF(OR(J2009=1,N2009&lt;=O2009),1,0)</f>
        <v>1</v>
      </c>
      <c r="T2009" s="15" t="str">
        <f aca="false">IF(J2009=1,"OFFLINE",IF(AND(Q2009&gt;=Inputs!$B$15,R2009=1,S2009=1,P2009&lt;=L2009),"PASS","FAIL"))</f>
        <v>PASS</v>
      </c>
    </row>
    <row r="2010" customFormat="false" ht="15" hidden="false" customHeight="false" outlineLevel="0" collapsed="false">
      <c r="A2010" s="14" t="s">
        <v>1037</v>
      </c>
      <c r="B2010" s="14" t="s">
        <v>1038</v>
      </c>
      <c r="C2010" s="14" t="s">
        <v>152</v>
      </c>
      <c r="D2010" s="14" t="s">
        <v>182</v>
      </c>
      <c r="E2010" s="14" t="s">
        <v>166</v>
      </c>
      <c r="F2010" s="14" t="s">
        <v>183</v>
      </c>
      <c r="G2010" s="14" t="n">
        <v>1</v>
      </c>
      <c r="H2010" s="14" t="s">
        <v>154</v>
      </c>
      <c r="I2010" s="14" t="s">
        <v>899</v>
      </c>
      <c r="J2010" s="15" t="n">
        <f aca="false">IF(B2010="SITE LOSS",IF(D2010=C2010,1,0),IF(B2010="REGION LOSS",IF(E2010=C2010,1,0),0))</f>
        <v>0</v>
      </c>
      <c r="K2010" s="15" t="n">
        <f aca="false">IF(B2010="SITE LOSS",IF(COUNTIFS('Site Dockets'!$B$7:$B$24,C2010,'Site Dockets'!$C$7:$C$24,F2010)&gt;0,1,0),IF(B2010="REGION LOSS",IF(COUNTIFS('Site Dockets'!$E$7:$E$24,C2010,'Site Dockets'!$C$7:$C$24,F2010)&gt;0,1,0),0))</f>
        <v>0</v>
      </c>
      <c r="L2010" s="15" t="n">
        <f aca="false">IF(J2010=1,0,Inputs!$B$11)</f>
        <v>100</v>
      </c>
      <c r="M2010" s="15" t="n">
        <f aca="false">IF(J2010=1,0,Inputs!$B$12)</f>
        <v>75</v>
      </c>
      <c r="N2010" s="15" t="n">
        <f aca="false">IF(J2010=1,0,IF(OR(AND(OR(B2010="SITE LOSS",B2010="REGION LOSS"),K2010=1),AND(B2010="ROLE COMPROMISE",H2010=C2010)),Inputs!$B$13,Inputs!$B$14))</f>
        <v>10</v>
      </c>
      <c r="O2010" s="15" t="n">
        <f aca="false">IF(J2010=1,0,Inputs!$B$13)</f>
        <v>20</v>
      </c>
      <c r="P2010" s="15" t="n">
        <f aca="false">SUM(M2010:N2010)</f>
        <v>85</v>
      </c>
      <c r="Q2010" s="15" t="n">
        <f aca="false">IF(J2010=1,"",L2010-P2010)</f>
        <v>15</v>
      </c>
      <c r="R2010" s="15" t="n">
        <f aca="false">IF(OR(J2010=1,M2010&lt;=Inputs!$B$12),1,0)</f>
        <v>1</v>
      </c>
      <c r="S2010" s="15" t="n">
        <f aca="false">IF(OR(J2010=1,N2010&lt;=O2010),1,0)</f>
        <v>1</v>
      </c>
      <c r="T2010" s="15" t="str">
        <f aca="false">IF(J2010=1,"OFFLINE",IF(AND(Q2010&gt;=Inputs!$B$15,R2010=1,S2010=1,P2010&lt;=L2010),"PASS","FAIL"))</f>
        <v>PASS</v>
      </c>
    </row>
    <row r="2011" customFormat="false" ht="15" hidden="false" customHeight="false" outlineLevel="0" collapsed="false">
      <c r="A2011" s="14" t="s">
        <v>1037</v>
      </c>
      <c r="B2011" s="14" t="s">
        <v>1038</v>
      </c>
      <c r="C2011" s="14" t="s">
        <v>152</v>
      </c>
      <c r="D2011" s="14" t="s">
        <v>186</v>
      </c>
      <c r="E2011" s="14" t="s">
        <v>157</v>
      </c>
      <c r="F2011" s="14" t="s">
        <v>183</v>
      </c>
      <c r="G2011" s="14" t="n">
        <v>2</v>
      </c>
      <c r="H2011" s="14" t="s">
        <v>153</v>
      </c>
      <c r="I2011" s="14" t="s">
        <v>890</v>
      </c>
      <c r="J2011" s="15" t="n">
        <f aca="false">IF(B2011="SITE LOSS",IF(D2011=C2011,1,0),IF(B2011="REGION LOSS",IF(E2011=C2011,1,0),0))</f>
        <v>0</v>
      </c>
      <c r="K2011" s="15" t="n">
        <f aca="false">IF(B2011="SITE LOSS",IF(COUNTIFS('Site Dockets'!$B$7:$B$24,C2011,'Site Dockets'!$C$7:$C$24,F2011)&gt;0,1,0),IF(B2011="REGION LOSS",IF(COUNTIFS('Site Dockets'!$E$7:$E$24,C2011,'Site Dockets'!$C$7:$C$24,F2011)&gt;0,1,0),0))</f>
        <v>0</v>
      </c>
      <c r="L2011" s="15" t="n">
        <f aca="false">IF(J2011=1,0,Inputs!$B$11)</f>
        <v>100</v>
      </c>
      <c r="M2011" s="15" t="n">
        <f aca="false">IF(J2011=1,0,Inputs!$B$12)</f>
        <v>75</v>
      </c>
      <c r="N2011" s="15" t="n">
        <f aca="false">IF(J2011=1,0,IF(OR(AND(OR(B2011="SITE LOSS",B2011="REGION LOSS"),K2011=1),AND(B2011="ROLE COMPROMISE",H2011=C2011)),Inputs!$B$13,Inputs!$B$14))</f>
        <v>10</v>
      </c>
      <c r="O2011" s="15" t="n">
        <f aca="false">IF(J2011=1,0,Inputs!$B$13)</f>
        <v>20</v>
      </c>
      <c r="P2011" s="15" t="n">
        <f aca="false">SUM(M2011:N2011)</f>
        <v>85</v>
      </c>
      <c r="Q2011" s="15" t="n">
        <f aca="false">IF(J2011=1,"",L2011-P2011)</f>
        <v>15</v>
      </c>
      <c r="R2011" s="15" t="n">
        <f aca="false">IF(OR(J2011=1,M2011&lt;=Inputs!$B$12),1,0)</f>
        <v>1</v>
      </c>
      <c r="S2011" s="15" t="n">
        <f aca="false">IF(OR(J2011=1,N2011&lt;=O2011),1,0)</f>
        <v>1</v>
      </c>
      <c r="T2011" s="15" t="str">
        <f aca="false">IF(J2011=1,"OFFLINE",IF(AND(Q2011&gt;=Inputs!$B$15,R2011=1,S2011=1,P2011&lt;=L2011),"PASS","FAIL"))</f>
        <v>PASS</v>
      </c>
    </row>
    <row r="2012" customFormat="false" ht="15" hidden="false" customHeight="false" outlineLevel="0" collapsed="false">
      <c r="A2012" s="14" t="s">
        <v>1037</v>
      </c>
      <c r="B2012" s="14" t="s">
        <v>1038</v>
      </c>
      <c r="C2012" s="14" t="s">
        <v>152</v>
      </c>
      <c r="D2012" s="14" t="s">
        <v>186</v>
      </c>
      <c r="E2012" s="14" t="s">
        <v>157</v>
      </c>
      <c r="F2012" s="14" t="s">
        <v>183</v>
      </c>
      <c r="G2012" s="14" t="n">
        <v>2</v>
      </c>
      <c r="H2012" s="14" t="s">
        <v>153</v>
      </c>
      <c r="I2012" s="14" t="s">
        <v>892</v>
      </c>
      <c r="J2012" s="15" t="n">
        <f aca="false">IF(B2012="SITE LOSS",IF(D2012=C2012,1,0),IF(B2012="REGION LOSS",IF(E2012=C2012,1,0),0))</f>
        <v>0</v>
      </c>
      <c r="K2012" s="15" t="n">
        <f aca="false">IF(B2012="SITE LOSS",IF(COUNTIFS('Site Dockets'!$B$7:$B$24,C2012,'Site Dockets'!$C$7:$C$24,F2012)&gt;0,1,0),IF(B2012="REGION LOSS",IF(COUNTIFS('Site Dockets'!$E$7:$E$24,C2012,'Site Dockets'!$C$7:$C$24,F2012)&gt;0,1,0),0))</f>
        <v>0</v>
      </c>
      <c r="L2012" s="15" t="n">
        <f aca="false">IF(J2012=1,0,Inputs!$B$11)</f>
        <v>100</v>
      </c>
      <c r="M2012" s="15" t="n">
        <f aca="false">IF(J2012=1,0,Inputs!$B$12)</f>
        <v>75</v>
      </c>
      <c r="N2012" s="15" t="n">
        <f aca="false">IF(J2012=1,0,IF(OR(AND(OR(B2012="SITE LOSS",B2012="REGION LOSS"),K2012=1),AND(B2012="ROLE COMPROMISE",H2012=C2012)),Inputs!$B$13,Inputs!$B$14))</f>
        <v>10</v>
      </c>
      <c r="O2012" s="15" t="n">
        <f aca="false">IF(J2012=1,0,Inputs!$B$13)</f>
        <v>20</v>
      </c>
      <c r="P2012" s="15" t="n">
        <f aca="false">SUM(M2012:N2012)</f>
        <v>85</v>
      </c>
      <c r="Q2012" s="15" t="n">
        <f aca="false">IF(J2012=1,"",L2012-P2012)</f>
        <v>15</v>
      </c>
      <c r="R2012" s="15" t="n">
        <f aca="false">IF(OR(J2012=1,M2012&lt;=Inputs!$B$12),1,0)</f>
        <v>1</v>
      </c>
      <c r="S2012" s="15" t="n">
        <f aca="false">IF(OR(J2012=1,N2012&lt;=O2012),1,0)</f>
        <v>1</v>
      </c>
      <c r="T2012" s="15" t="str">
        <f aca="false">IF(J2012=1,"OFFLINE",IF(AND(Q2012&gt;=Inputs!$B$15,R2012=1,S2012=1,P2012&lt;=L2012),"PASS","FAIL"))</f>
        <v>PASS</v>
      </c>
    </row>
    <row r="2013" customFormat="false" ht="15" hidden="false" customHeight="false" outlineLevel="0" collapsed="false">
      <c r="A2013" s="14" t="s">
        <v>1037</v>
      </c>
      <c r="B2013" s="14" t="s">
        <v>1038</v>
      </c>
      <c r="C2013" s="14" t="s">
        <v>152</v>
      </c>
      <c r="D2013" s="14" t="s">
        <v>186</v>
      </c>
      <c r="E2013" s="14" t="s">
        <v>157</v>
      </c>
      <c r="F2013" s="14" t="s">
        <v>183</v>
      </c>
      <c r="G2013" s="14" t="n">
        <v>2</v>
      </c>
      <c r="H2013" s="14" t="s">
        <v>153</v>
      </c>
      <c r="I2013" s="14" t="s">
        <v>811</v>
      </c>
      <c r="J2013" s="15" t="n">
        <f aca="false">IF(B2013="SITE LOSS",IF(D2013=C2013,1,0),IF(B2013="REGION LOSS",IF(E2013=C2013,1,0),0))</f>
        <v>0</v>
      </c>
      <c r="K2013" s="15" t="n">
        <f aca="false">IF(B2013="SITE LOSS",IF(COUNTIFS('Site Dockets'!$B$7:$B$24,C2013,'Site Dockets'!$C$7:$C$24,F2013)&gt;0,1,0),IF(B2013="REGION LOSS",IF(COUNTIFS('Site Dockets'!$E$7:$E$24,C2013,'Site Dockets'!$C$7:$C$24,F2013)&gt;0,1,0),0))</f>
        <v>0</v>
      </c>
      <c r="L2013" s="15" t="n">
        <f aca="false">IF(J2013=1,0,Inputs!$B$11)</f>
        <v>100</v>
      </c>
      <c r="M2013" s="15" t="n">
        <f aca="false">IF(J2013=1,0,Inputs!$B$12)</f>
        <v>75</v>
      </c>
      <c r="N2013" s="15" t="n">
        <f aca="false">IF(J2013=1,0,IF(OR(AND(OR(B2013="SITE LOSS",B2013="REGION LOSS"),K2013=1),AND(B2013="ROLE COMPROMISE",H2013=C2013)),Inputs!$B$13,Inputs!$B$14))</f>
        <v>10</v>
      </c>
      <c r="O2013" s="15" t="n">
        <f aca="false">IF(J2013=1,0,Inputs!$B$13)</f>
        <v>20</v>
      </c>
      <c r="P2013" s="15" t="n">
        <f aca="false">SUM(M2013:N2013)</f>
        <v>85</v>
      </c>
      <c r="Q2013" s="15" t="n">
        <f aca="false">IF(J2013=1,"",L2013-P2013)</f>
        <v>15</v>
      </c>
      <c r="R2013" s="15" t="n">
        <f aca="false">IF(OR(J2013=1,M2013&lt;=Inputs!$B$12),1,0)</f>
        <v>1</v>
      </c>
      <c r="S2013" s="15" t="n">
        <f aca="false">IF(OR(J2013=1,N2013&lt;=O2013),1,0)</f>
        <v>1</v>
      </c>
      <c r="T2013" s="15" t="str">
        <f aca="false">IF(J2013=1,"OFFLINE",IF(AND(Q2013&gt;=Inputs!$B$15,R2013=1,S2013=1,P2013&lt;=L2013),"PASS","FAIL"))</f>
        <v>PASS</v>
      </c>
    </row>
    <row r="2014" customFormat="false" ht="15" hidden="false" customHeight="false" outlineLevel="0" collapsed="false">
      <c r="A2014" s="14" t="s">
        <v>1037</v>
      </c>
      <c r="B2014" s="14" t="s">
        <v>1038</v>
      </c>
      <c r="C2014" s="14" t="s">
        <v>152</v>
      </c>
      <c r="D2014" s="14" t="s">
        <v>186</v>
      </c>
      <c r="E2014" s="14" t="s">
        <v>157</v>
      </c>
      <c r="F2014" s="14" t="s">
        <v>183</v>
      </c>
      <c r="G2014" s="14" t="n">
        <v>2</v>
      </c>
      <c r="H2014" s="14" t="s">
        <v>153</v>
      </c>
      <c r="I2014" s="14" t="s">
        <v>895</v>
      </c>
      <c r="J2014" s="15" t="n">
        <f aca="false">IF(B2014="SITE LOSS",IF(D2014=C2014,1,0),IF(B2014="REGION LOSS",IF(E2014=C2014,1,0),0))</f>
        <v>0</v>
      </c>
      <c r="K2014" s="15" t="n">
        <f aca="false">IF(B2014="SITE LOSS",IF(COUNTIFS('Site Dockets'!$B$7:$B$24,C2014,'Site Dockets'!$C$7:$C$24,F2014)&gt;0,1,0),IF(B2014="REGION LOSS",IF(COUNTIFS('Site Dockets'!$E$7:$E$24,C2014,'Site Dockets'!$C$7:$C$24,F2014)&gt;0,1,0),0))</f>
        <v>0</v>
      </c>
      <c r="L2014" s="15" t="n">
        <f aca="false">IF(J2014=1,0,Inputs!$B$11)</f>
        <v>100</v>
      </c>
      <c r="M2014" s="15" t="n">
        <f aca="false">IF(J2014=1,0,Inputs!$B$12)</f>
        <v>75</v>
      </c>
      <c r="N2014" s="15" t="n">
        <f aca="false">IF(J2014=1,0,IF(OR(AND(OR(B2014="SITE LOSS",B2014="REGION LOSS"),K2014=1),AND(B2014="ROLE COMPROMISE",H2014=C2014)),Inputs!$B$13,Inputs!$B$14))</f>
        <v>10</v>
      </c>
      <c r="O2014" s="15" t="n">
        <f aca="false">IF(J2014=1,0,Inputs!$B$13)</f>
        <v>20</v>
      </c>
      <c r="P2014" s="15" t="n">
        <f aca="false">SUM(M2014:N2014)</f>
        <v>85</v>
      </c>
      <c r="Q2014" s="15" t="n">
        <f aca="false">IF(J2014=1,"",L2014-P2014)</f>
        <v>15</v>
      </c>
      <c r="R2014" s="15" t="n">
        <f aca="false">IF(OR(J2014=1,M2014&lt;=Inputs!$B$12),1,0)</f>
        <v>1</v>
      </c>
      <c r="S2014" s="15" t="n">
        <f aca="false">IF(OR(J2014=1,N2014&lt;=O2014),1,0)</f>
        <v>1</v>
      </c>
      <c r="T2014" s="15" t="str">
        <f aca="false">IF(J2014=1,"OFFLINE",IF(AND(Q2014&gt;=Inputs!$B$15,R2014=1,S2014=1,P2014&lt;=L2014),"PASS","FAIL"))</f>
        <v>PASS</v>
      </c>
    </row>
    <row r="2015" customFormat="false" ht="15" hidden="false" customHeight="false" outlineLevel="0" collapsed="false">
      <c r="A2015" s="14" t="s">
        <v>1037</v>
      </c>
      <c r="B2015" s="14" t="s">
        <v>1038</v>
      </c>
      <c r="C2015" s="14" t="s">
        <v>152</v>
      </c>
      <c r="D2015" s="14" t="s">
        <v>186</v>
      </c>
      <c r="E2015" s="14" t="s">
        <v>157</v>
      </c>
      <c r="F2015" s="14" t="s">
        <v>183</v>
      </c>
      <c r="G2015" s="14" t="n">
        <v>2</v>
      </c>
      <c r="H2015" s="14" t="s">
        <v>153</v>
      </c>
      <c r="I2015" s="14" t="s">
        <v>897</v>
      </c>
      <c r="J2015" s="15" t="n">
        <f aca="false">IF(B2015="SITE LOSS",IF(D2015=C2015,1,0),IF(B2015="REGION LOSS",IF(E2015=C2015,1,0),0))</f>
        <v>0</v>
      </c>
      <c r="K2015" s="15" t="n">
        <f aca="false">IF(B2015="SITE LOSS",IF(COUNTIFS('Site Dockets'!$B$7:$B$24,C2015,'Site Dockets'!$C$7:$C$24,F2015)&gt;0,1,0),IF(B2015="REGION LOSS",IF(COUNTIFS('Site Dockets'!$E$7:$E$24,C2015,'Site Dockets'!$C$7:$C$24,F2015)&gt;0,1,0),0))</f>
        <v>0</v>
      </c>
      <c r="L2015" s="15" t="n">
        <f aca="false">IF(J2015=1,0,Inputs!$B$11)</f>
        <v>100</v>
      </c>
      <c r="M2015" s="15" t="n">
        <f aca="false">IF(J2015=1,0,Inputs!$B$12)</f>
        <v>75</v>
      </c>
      <c r="N2015" s="15" t="n">
        <f aca="false">IF(J2015=1,0,IF(OR(AND(OR(B2015="SITE LOSS",B2015="REGION LOSS"),K2015=1),AND(B2015="ROLE COMPROMISE",H2015=C2015)),Inputs!$B$13,Inputs!$B$14))</f>
        <v>10</v>
      </c>
      <c r="O2015" s="15" t="n">
        <f aca="false">IF(J2015=1,0,Inputs!$B$13)</f>
        <v>20</v>
      </c>
      <c r="P2015" s="15" t="n">
        <f aca="false">SUM(M2015:N2015)</f>
        <v>85</v>
      </c>
      <c r="Q2015" s="15" t="n">
        <f aca="false">IF(J2015=1,"",L2015-P2015)</f>
        <v>15</v>
      </c>
      <c r="R2015" s="15" t="n">
        <f aca="false">IF(OR(J2015=1,M2015&lt;=Inputs!$B$12),1,0)</f>
        <v>1</v>
      </c>
      <c r="S2015" s="15" t="n">
        <f aca="false">IF(OR(J2015=1,N2015&lt;=O2015),1,0)</f>
        <v>1</v>
      </c>
      <c r="T2015" s="15" t="str">
        <f aca="false">IF(J2015=1,"OFFLINE",IF(AND(Q2015&gt;=Inputs!$B$15,R2015=1,S2015=1,P2015&lt;=L2015),"PASS","FAIL"))</f>
        <v>PASS</v>
      </c>
    </row>
    <row r="2016" customFormat="false" ht="15" hidden="false" customHeight="false" outlineLevel="0" collapsed="false">
      <c r="A2016" s="14" t="s">
        <v>1037</v>
      </c>
      <c r="B2016" s="14" t="s">
        <v>1038</v>
      </c>
      <c r="C2016" s="14" t="s">
        <v>152</v>
      </c>
      <c r="D2016" s="14" t="s">
        <v>186</v>
      </c>
      <c r="E2016" s="14" t="s">
        <v>157</v>
      </c>
      <c r="F2016" s="14" t="s">
        <v>183</v>
      </c>
      <c r="G2016" s="14" t="n">
        <v>2</v>
      </c>
      <c r="H2016" s="14" t="s">
        <v>153</v>
      </c>
      <c r="I2016" s="14" t="s">
        <v>899</v>
      </c>
      <c r="J2016" s="15" t="n">
        <f aca="false">IF(B2016="SITE LOSS",IF(D2016=C2016,1,0),IF(B2016="REGION LOSS",IF(E2016=C2016,1,0),0))</f>
        <v>0</v>
      </c>
      <c r="K2016" s="15" t="n">
        <f aca="false">IF(B2016="SITE LOSS",IF(COUNTIFS('Site Dockets'!$B$7:$B$24,C2016,'Site Dockets'!$C$7:$C$24,F2016)&gt;0,1,0),IF(B2016="REGION LOSS",IF(COUNTIFS('Site Dockets'!$E$7:$E$24,C2016,'Site Dockets'!$C$7:$C$24,F2016)&gt;0,1,0),0))</f>
        <v>0</v>
      </c>
      <c r="L2016" s="15" t="n">
        <f aca="false">IF(J2016=1,0,Inputs!$B$11)</f>
        <v>100</v>
      </c>
      <c r="M2016" s="15" t="n">
        <f aca="false">IF(J2016=1,0,Inputs!$B$12)</f>
        <v>75</v>
      </c>
      <c r="N2016" s="15" t="n">
        <f aca="false">IF(J2016=1,0,IF(OR(AND(OR(B2016="SITE LOSS",B2016="REGION LOSS"),K2016=1),AND(B2016="ROLE COMPROMISE",H2016=C2016)),Inputs!$B$13,Inputs!$B$14))</f>
        <v>10</v>
      </c>
      <c r="O2016" s="15" t="n">
        <f aca="false">IF(J2016=1,0,Inputs!$B$13)</f>
        <v>20</v>
      </c>
      <c r="P2016" s="15" t="n">
        <f aca="false">SUM(M2016:N2016)</f>
        <v>85</v>
      </c>
      <c r="Q2016" s="15" t="n">
        <f aca="false">IF(J2016=1,"",L2016-P2016)</f>
        <v>15</v>
      </c>
      <c r="R2016" s="15" t="n">
        <f aca="false">IF(OR(J2016=1,M2016&lt;=Inputs!$B$12),1,0)</f>
        <v>1</v>
      </c>
      <c r="S2016" s="15" t="n">
        <f aca="false">IF(OR(J2016=1,N2016&lt;=O2016),1,0)</f>
        <v>1</v>
      </c>
      <c r="T2016" s="15" t="str">
        <f aca="false">IF(J2016=1,"OFFLINE",IF(AND(Q2016&gt;=Inputs!$B$15,R2016=1,S2016=1,P2016&lt;=L2016),"PASS","FAIL"))</f>
        <v>PASS</v>
      </c>
    </row>
    <row r="2017" customFormat="false" ht="15" hidden="false" customHeight="false" outlineLevel="0" collapsed="false">
      <c r="A2017" s="14" t="s">
        <v>1037</v>
      </c>
      <c r="B2017" s="14" t="s">
        <v>1038</v>
      </c>
      <c r="C2017" s="14" t="s">
        <v>152</v>
      </c>
      <c r="D2017" s="14" t="s">
        <v>188</v>
      </c>
      <c r="E2017" s="14" t="s">
        <v>172</v>
      </c>
      <c r="F2017" s="14" t="s">
        <v>183</v>
      </c>
      <c r="G2017" s="14" t="n">
        <v>3</v>
      </c>
      <c r="H2017" s="14" t="s">
        <v>158</v>
      </c>
      <c r="I2017" s="14" t="s">
        <v>890</v>
      </c>
      <c r="J2017" s="15" t="n">
        <f aca="false">IF(B2017="SITE LOSS",IF(D2017=C2017,1,0),IF(B2017="REGION LOSS",IF(E2017=C2017,1,0),0))</f>
        <v>0</v>
      </c>
      <c r="K2017" s="15" t="n">
        <f aca="false">IF(B2017="SITE LOSS",IF(COUNTIFS('Site Dockets'!$B$7:$B$24,C2017,'Site Dockets'!$C$7:$C$24,F2017)&gt;0,1,0),IF(B2017="REGION LOSS",IF(COUNTIFS('Site Dockets'!$E$7:$E$24,C2017,'Site Dockets'!$C$7:$C$24,F2017)&gt;0,1,0),0))</f>
        <v>0</v>
      </c>
      <c r="L2017" s="15" t="n">
        <f aca="false">IF(J2017=1,0,Inputs!$B$11)</f>
        <v>100</v>
      </c>
      <c r="M2017" s="15" t="n">
        <f aca="false">IF(J2017=1,0,Inputs!$B$12)</f>
        <v>75</v>
      </c>
      <c r="N2017" s="15" t="n">
        <f aca="false">IF(J2017=1,0,IF(OR(AND(OR(B2017="SITE LOSS",B2017="REGION LOSS"),K2017=1),AND(B2017="ROLE COMPROMISE",H2017=C2017)),Inputs!$B$13,Inputs!$B$14))</f>
        <v>10</v>
      </c>
      <c r="O2017" s="15" t="n">
        <f aca="false">IF(J2017=1,0,Inputs!$B$13)</f>
        <v>20</v>
      </c>
      <c r="P2017" s="15" t="n">
        <f aca="false">SUM(M2017:N2017)</f>
        <v>85</v>
      </c>
      <c r="Q2017" s="15" t="n">
        <f aca="false">IF(J2017=1,"",L2017-P2017)</f>
        <v>15</v>
      </c>
      <c r="R2017" s="15" t="n">
        <f aca="false">IF(OR(J2017=1,M2017&lt;=Inputs!$B$12),1,0)</f>
        <v>1</v>
      </c>
      <c r="S2017" s="15" t="n">
        <f aca="false">IF(OR(J2017=1,N2017&lt;=O2017),1,0)</f>
        <v>1</v>
      </c>
      <c r="T2017" s="15" t="str">
        <f aca="false">IF(J2017=1,"OFFLINE",IF(AND(Q2017&gt;=Inputs!$B$15,R2017=1,S2017=1,P2017&lt;=L2017),"PASS","FAIL"))</f>
        <v>PASS</v>
      </c>
    </row>
    <row r="2018" customFormat="false" ht="15" hidden="false" customHeight="false" outlineLevel="0" collapsed="false">
      <c r="A2018" s="14" t="s">
        <v>1037</v>
      </c>
      <c r="B2018" s="14" t="s">
        <v>1038</v>
      </c>
      <c r="C2018" s="14" t="s">
        <v>152</v>
      </c>
      <c r="D2018" s="14" t="s">
        <v>188</v>
      </c>
      <c r="E2018" s="14" t="s">
        <v>172</v>
      </c>
      <c r="F2018" s="14" t="s">
        <v>183</v>
      </c>
      <c r="G2018" s="14" t="n">
        <v>3</v>
      </c>
      <c r="H2018" s="14" t="s">
        <v>158</v>
      </c>
      <c r="I2018" s="14" t="s">
        <v>892</v>
      </c>
      <c r="J2018" s="15" t="n">
        <f aca="false">IF(B2018="SITE LOSS",IF(D2018=C2018,1,0),IF(B2018="REGION LOSS",IF(E2018=C2018,1,0),0))</f>
        <v>0</v>
      </c>
      <c r="K2018" s="15" t="n">
        <f aca="false">IF(B2018="SITE LOSS",IF(COUNTIFS('Site Dockets'!$B$7:$B$24,C2018,'Site Dockets'!$C$7:$C$24,F2018)&gt;0,1,0),IF(B2018="REGION LOSS",IF(COUNTIFS('Site Dockets'!$E$7:$E$24,C2018,'Site Dockets'!$C$7:$C$24,F2018)&gt;0,1,0),0))</f>
        <v>0</v>
      </c>
      <c r="L2018" s="15" t="n">
        <f aca="false">IF(J2018=1,0,Inputs!$B$11)</f>
        <v>100</v>
      </c>
      <c r="M2018" s="15" t="n">
        <f aca="false">IF(J2018=1,0,Inputs!$B$12)</f>
        <v>75</v>
      </c>
      <c r="N2018" s="15" t="n">
        <f aca="false">IF(J2018=1,0,IF(OR(AND(OR(B2018="SITE LOSS",B2018="REGION LOSS"),K2018=1),AND(B2018="ROLE COMPROMISE",H2018=C2018)),Inputs!$B$13,Inputs!$B$14))</f>
        <v>10</v>
      </c>
      <c r="O2018" s="15" t="n">
        <f aca="false">IF(J2018=1,0,Inputs!$B$13)</f>
        <v>20</v>
      </c>
      <c r="P2018" s="15" t="n">
        <f aca="false">SUM(M2018:N2018)</f>
        <v>85</v>
      </c>
      <c r="Q2018" s="15" t="n">
        <f aca="false">IF(J2018=1,"",L2018-P2018)</f>
        <v>15</v>
      </c>
      <c r="R2018" s="15" t="n">
        <f aca="false">IF(OR(J2018=1,M2018&lt;=Inputs!$B$12),1,0)</f>
        <v>1</v>
      </c>
      <c r="S2018" s="15" t="n">
        <f aca="false">IF(OR(J2018=1,N2018&lt;=O2018),1,0)</f>
        <v>1</v>
      </c>
      <c r="T2018" s="15" t="str">
        <f aca="false">IF(J2018=1,"OFFLINE",IF(AND(Q2018&gt;=Inputs!$B$15,R2018=1,S2018=1,P2018&lt;=L2018),"PASS","FAIL"))</f>
        <v>PASS</v>
      </c>
    </row>
    <row r="2019" customFormat="false" ht="15" hidden="false" customHeight="false" outlineLevel="0" collapsed="false">
      <c r="A2019" s="14" t="s">
        <v>1037</v>
      </c>
      <c r="B2019" s="14" t="s">
        <v>1038</v>
      </c>
      <c r="C2019" s="14" t="s">
        <v>152</v>
      </c>
      <c r="D2019" s="14" t="s">
        <v>188</v>
      </c>
      <c r="E2019" s="14" t="s">
        <v>172</v>
      </c>
      <c r="F2019" s="14" t="s">
        <v>183</v>
      </c>
      <c r="G2019" s="14" t="n">
        <v>3</v>
      </c>
      <c r="H2019" s="14" t="s">
        <v>158</v>
      </c>
      <c r="I2019" s="14" t="s">
        <v>811</v>
      </c>
      <c r="J2019" s="15" t="n">
        <f aca="false">IF(B2019="SITE LOSS",IF(D2019=C2019,1,0),IF(B2019="REGION LOSS",IF(E2019=C2019,1,0),0))</f>
        <v>0</v>
      </c>
      <c r="K2019" s="15" t="n">
        <f aca="false">IF(B2019="SITE LOSS",IF(COUNTIFS('Site Dockets'!$B$7:$B$24,C2019,'Site Dockets'!$C$7:$C$24,F2019)&gt;0,1,0),IF(B2019="REGION LOSS",IF(COUNTIFS('Site Dockets'!$E$7:$E$24,C2019,'Site Dockets'!$C$7:$C$24,F2019)&gt;0,1,0),0))</f>
        <v>0</v>
      </c>
      <c r="L2019" s="15" t="n">
        <f aca="false">IF(J2019=1,0,Inputs!$B$11)</f>
        <v>100</v>
      </c>
      <c r="M2019" s="15" t="n">
        <f aca="false">IF(J2019=1,0,Inputs!$B$12)</f>
        <v>75</v>
      </c>
      <c r="N2019" s="15" t="n">
        <f aca="false">IF(J2019=1,0,IF(OR(AND(OR(B2019="SITE LOSS",B2019="REGION LOSS"),K2019=1),AND(B2019="ROLE COMPROMISE",H2019=C2019)),Inputs!$B$13,Inputs!$B$14))</f>
        <v>10</v>
      </c>
      <c r="O2019" s="15" t="n">
        <f aca="false">IF(J2019=1,0,Inputs!$B$13)</f>
        <v>20</v>
      </c>
      <c r="P2019" s="15" t="n">
        <f aca="false">SUM(M2019:N2019)</f>
        <v>85</v>
      </c>
      <c r="Q2019" s="15" t="n">
        <f aca="false">IF(J2019=1,"",L2019-P2019)</f>
        <v>15</v>
      </c>
      <c r="R2019" s="15" t="n">
        <f aca="false">IF(OR(J2019=1,M2019&lt;=Inputs!$B$12),1,0)</f>
        <v>1</v>
      </c>
      <c r="S2019" s="15" t="n">
        <f aca="false">IF(OR(J2019=1,N2019&lt;=O2019),1,0)</f>
        <v>1</v>
      </c>
      <c r="T2019" s="15" t="str">
        <f aca="false">IF(J2019=1,"OFFLINE",IF(AND(Q2019&gt;=Inputs!$B$15,R2019=1,S2019=1,P2019&lt;=L2019),"PASS","FAIL"))</f>
        <v>PASS</v>
      </c>
    </row>
    <row r="2020" customFormat="false" ht="15" hidden="false" customHeight="false" outlineLevel="0" collapsed="false">
      <c r="A2020" s="14" t="s">
        <v>1037</v>
      </c>
      <c r="B2020" s="14" t="s">
        <v>1038</v>
      </c>
      <c r="C2020" s="14" t="s">
        <v>152</v>
      </c>
      <c r="D2020" s="14" t="s">
        <v>188</v>
      </c>
      <c r="E2020" s="14" t="s">
        <v>172</v>
      </c>
      <c r="F2020" s="14" t="s">
        <v>183</v>
      </c>
      <c r="G2020" s="14" t="n">
        <v>3</v>
      </c>
      <c r="H2020" s="14" t="s">
        <v>158</v>
      </c>
      <c r="I2020" s="14" t="s">
        <v>895</v>
      </c>
      <c r="J2020" s="15" t="n">
        <f aca="false">IF(B2020="SITE LOSS",IF(D2020=C2020,1,0),IF(B2020="REGION LOSS",IF(E2020=C2020,1,0),0))</f>
        <v>0</v>
      </c>
      <c r="K2020" s="15" t="n">
        <f aca="false">IF(B2020="SITE LOSS",IF(COUNTIFS('Site Dockets'!$B$7:$B$24,C2020,'Site Dockets'!$C$7:$C$24,F2020)&gt;0,1,0),IF(B2020="REGION LOSS",IF(COUNTIFS('Site Dockets'!$E$7:$E$24,C2020,'Site Dockets'!$C$7:$C$24,F2020)&gt;0,1,0),0))</f>
        <v>0</v>
      </c>
      <c r="L2020" s="15" t="n">
        <f aca="false">IF(J2020=1,0,Inputs!$B$11)</f>
        <v>100</v>
      </c>
      <c r="M2020" s="15" t="n">
        <f aca="false">IF(J2020=1,0,Inputs!$B$12)</f>
        <v>75</v>
      </c>
      <c r="N2020" s="15" t="n">
        <f aca="false">IF(J2020=1,0,IF(OR(AND(OR(B2020="SITE LOSS",B2020="REGION LOSS"),K2020=1),AND(B2020="ROLE COMPROMISE",H2020=C2020)),Inputs!$B$13,Inputs!$B$14))</f>
        <v>10</v>
      </c>
      <c r="O2020" s="15" t="n">
        <f aca="false">IF(J2020=1,0,Inputs!$B$13)</f>
        <v>20</v>
      </c>
      <c r="P2020" s="15" t="n">
        <f aca="false">SUM(M2020:N2020)</f>
        <v>85</v>
      </c>
      <c r="Q2020" s="15" t="n">
        <f aca="false">IF(J2020=1,"",L2020-P2020)</f>
        <v>15</v>
      </c>
      <c r="R2020" s="15" t="n">
        <f aca="false">IF(OR(J2020=1,M2020&lt;=Inputs!$B$12),1,0)</f>
        <v>1</v>
      </c>
      <c r="S2020" s="15" t="n">
        <f aca="false">IF(OR(J2020=1,N2020&lt;=O2020),1,0)</f>
        <v>1</v>
      </c>
      <c r="T2020" s="15" t="str">
        <f aca="false">IF(J2020=1,"OFFLINE",IF(AND(Q2020&gt;=Inputs!$B$15,R2020=1,S2020=1,P2020&lt;=L2020),"PASS","FAIL"))</f>
        <v>PASS</v>
      </c>
    </row>
    <row r="2021" customFormat="false" ht="15" hidden="false" customHeight="false" outlineLevel="0" collapsed="false">
      <c r="A2021" s="14" t="s">
        <v>1037</v>
      </c>
      <c r="B2021" s="14" t="s">
        <v>1038</v>
      </c>
      <c r="C2021" s="14" t="s">
        <v>152</v>
      </c>
      <c r="D2021" s="14" t="s">
        <v>188</v>
      </c>
      <c r="E2021" s="14" t="s">
        <v>172</v>
      </c>
      <c r="F2021" s="14" t="s">
        <v>183</v>
      </c>
      <c r="G2021" s="14" t="n">
        <v>3</v>
      </c>
      <c r="H2021" s="14" t="s">
        <v>158</v>
      </c>
      <c r="I2021" s="14" t="s">
        <v>897</v>
      </c>
      <c r="J2021" s="15" t="n">
        <f aca="false">IF(B2021="SITE LOSS",IF(D2021=C2021,1,0),IF(B2021="REGION LOSS",IF(E2021=C2021,1,0),0))</f>
        <v>0</v>
      </c>
      <c r="K2021" s="15" t="n">
        <f aca="false">IF(B2021="SITE LOSS",IF(COUNTIFS('Site Dockets'!$B$7:$B$24,C2021,'Site Dockets'!$C$7:$C$24,F2021)&gt;0,1,0),IF(B2021="REGION LOSS",IF(COUNTIFS('Site Dockets'!$E$7:$E$24,C2021,'Site Dockets'!$C$7:$C$24,F2021)&gt;0,1,0),0))</f>
        <v>0</v>
      </c>
      <c r="L2021" s="15" t="n">
        <f aca="false">IF(J2021=1,0,Inputs!$B$11)</f>
        <v>100</v>
      </c>
      <c r="M2021" s="15" t="n">
        <f aca="false">IF(J2021=1,0,Inputs!$B$12)</f>
        <v>75</v>
      </c>
      <c r="N2021" s="15" t="n">
        <f aca="false">IF(J2021=1,0,IF(OR(AND(OR(B2021="SITE LOSS",B2021="REGION LOSS"),K2021=1),AND(B2021="ROLE COMPROMISE",H2021=C2021)),Inputs!$B$13,Inputs!$B$14))</f>
        <v>10</v>
      </c>
      <c r="O2021" s="15" t="n">
        <f aca="false">IF(J2021=1,0,Inputs!$B$13)</f>
        <v>20</v>
      </c>
      <c r="P2021" s="15" t="n">
        <f aca="false">SUM(M2021:N2021)</f>
        <v>85</v>
      </c>
      <c r="Q2021" s="15" t="n">
        <f aca="false">IF(J2021=1,"",L2021-P2021)</f>
        <v>15</v>
      </c>
      <c r="R2021" s="15" t="n">
        <f aca="false">IF(OR(J2021=1,M2021&lt;=Inputs!$B$12),1,0)</f>
        <v>1</v>
      </c>
      <c r="S2021" s="15" t="n">
        <f aca="false">IF(OR(J2021=1,N2021&lt;=O2021),1,0)</f>
        <v>1</v>
      </c>
      <c r="T2021" s="15" t="str">
        <f aca="false">IF(J2021=1,"OFFLINE",IF(AND(Q2021&gt;=Inputs!$B$15,R2021=1,S2021=1,P2021&lt;=L2021),"PASS","FAIL"))</f>
        <v>PASS</v>
      </c>
    </row>
    <row r="2022" customFormat="false" ht="15" hidden="false" customHeight="false" outlineLevel="0" collapsed="false">
      <c r="A2022" s="14" t="s">
        <v>1037</v>
      </c>
      <c r="B2022" s="14" t="s">
        <v>1038</v>
      </c>
      <c r="C2022" s="14" t="s">
        <v>152</v>
      </c>
      <c r="D2022" s="14" t="s">
        <v>188</v>
      </c>
      <c r="E2022" s="14" t="s">
        <v>172</v>
      </c>
      <c r="F2022" s="14" t="s">
        <v>183</v>
      </c>
      <c r="G2022" s="14" t="n">
        <v>3</v>
      </c>
      <c r="H2022" s="14" t="s">
        <v>158</v>
      </c>
      <c r="I2022" s="14" t="s">
        <v>899</v>
      </c>
      <c r="J2022" s="15" t="n">
        <f aca="false">IF(B2022="SITE LOSS",IF(D2022=C2022,1,0),IF(B2022="REGION LOSS",IF(E2022=C2022,1,0),0))</f>
        <v>0</v>
      </c>
      <c r="K2022" s="15" t="n">
        <f aca="false">IF(B2022="SITE LOSS",IF(COUNTIFS('Site Dockets'!$B$7:$B$24,C2022,'Site Dockets'!$C$7:$C$24,F2022)&gt;0,1,0),IF(B2022="REGION LOSS",IF(COUNTIFS('Site Dockets'!$E$7:$E$24,C2022,'Site Dockets'!$C$7:$C$24,F2022)&gt;0,1,0),0))</f>
        <v>0</v>
      </c>
      <c r="L2022" s="15" t="n">
        <f aca="false">IF(J2022=1,0,Inputs!$B$11)</f>
        <v>100</v>
      </c>
      <c r="M2022" s="15" t="n">
        <f aca="false">IF(J2022=1,0,Inputs!$B$12)</f>
        <v>75</v>
      </c>
      <c r="N2022" s="15" t="n">
        <f aca="false">IF(J2022=1,0,IF(OR(AND(OR(B2022="SITE LOSS",B2022="REGION LOSS"),K2022=1),AND(B2022="ROLE COMPROMISE",H2022=C2022)),Inputs!$B$13,Inputs!$B$14))</f>
        <v>10</v>
      </c>
      <c r="O2022" s="15" t="n">
        <f aca="false">IF(J2022=1,0,Inputs!$B$13)</f>
        <v>20</v>
      </c>
      <c r="P2022" s="15" t="n">
        <f aca="false">SUM(M2022:N2022)</f>
        <v>85</v>
      </c>
      <c r="Q2022" s="15" t="n">
        <f aca="false">IF(J2022=1,"",L2022-P2022)</f>
        <v>15</v>
      </c>
      <c r="R2022" s="15" t="n">
        <f aca="false">IF(OR(J2022=1,M2022&lt;=Inputs!$B$12),1,0)</f>
        <v>1</v>
      </c>
      <c r="S2022" s="15" t="n">
        <f aca="false">IF(OR(J2022=1,N2022&lt;=O2022),1,0)</f>
        <v>1</v>
      </c>
      <c r="T2022" s="15" t="str">
        <f aca="false">IF(J2022=1,"OFFLINE",IF(AND(Q2022&gt;=Inputs!$B$15,R2022=1,S2022=1,P2022&lt;=L2022),"PASS","FAIL"))</f>
        <v>PASS</v>
      </c>
    </row>
    <row r="2023" customFormat="false" ht="15" hidden="false" customHeight="false" outlineLevel="0" collapsed="false">
      <c r="A2023" s="14" t="s">
        <v>1037</v>
      </c>
      <c r="B2023" s="14" t="s">
        <v>1038</v>
      </c>
      <c r="C2023" s="14" t="s">
        <v>152</v>
      </c>
      <c r="D2023" s="14" t="s">
        <v>190</v>
      </c>
      <c r="E2023" s="14" t="s">
        <v>152</v>
      </c>
      <c r="F2023" s="14" t="s">
        <v>191</v>
      </c>
      <c r="G2023" s="14" t="n">
        <v>1</v>
      </c>
      <c r="H2023" s="14" t="s">
        <v>154</v>
      </c>
      <c r="I2023" s="14" t="s">
        <v>890</v>
      </c>
      <c r="J2023" s="15" t="n">
        <f aca="false">IF(B2023="SITE LOSS",IF(D2023=C2023,1,0),IF(B2023="REGION LOSS",IF(E2023=C2023,1,0),0))</f>
        <v>1</v>
      </c>
      <c r="K2023" s="15" t="n">
        <f aca="false">IF(B2023="SITE LOSS",IF(COUNTIFS('Site Dockets'!$B$7:$B$24,C2023,'Site Dockets'!$C$7:$C$24,F2023)&gt;0,1,0),IF(B2023="REGION LOSS",IF(COUNTIFS('Site Dockets'!$E$7:$E$24,C2023,'Site Dockets'!$C$7:$C$24,F2023)&gt;0,1,0),0))</f>
        <v>1</v>
      </c>
      <c r="L2023" s="15" t="n">
        <f aca="false">IF(J2023=1,0,Inputs!$B$11)</f>
        <v>0</v>
      </c>
      <c r="M2023" s="15" t="n">
        <f aca="false">IF(J2023=1,0,Inputs!$B$12)</f>
        <v>0</v>
      </c>
      <c r="N2023" s="15" t="n">
        <f aca="false">IF(J2023=1,0,IF(OR(AND(OR(B2023="SITE LOSS",B2023="REGION LOSS"),K2023=1),AND(B2023="ROLE COMPROMISE",H2023=C2023)),Inputs!$B$13,Inputs!$B$14))</f>
        <v>0</v>
      </c>
      <c r="O2023" s="15" t="n">
        <f aca="false">IF(J2023=1,0,Inputs!$B$13)</f>
        <v>0</v>
      </c>
      <c r="P2023" s="15" t="n">
        <f aca="false">SUM(M2023:N2023)</f>
        <v>0</v>
      </c>
      <c r="Q2023" s="15" t="str">
        <f aca="false">IF(J2023=1,"",L2023-P2023)</f>
        <v/>
      </c>
      <c r="R2023" s="15" t="n">
        <f aca="false">IF(OR(J2023=1,M2023&lt;=Inputs!$B$12),1,0)</f>
        <v>1</v>
      </c>
      <c r="S2023" s="15" t="n">
        <f aca="false">IF(OR(J2023=1,N2023&lt;=O2023),1,0)</f>
        <v>1</v>
      </c>
      <c r="T2023" s="15" t="str">
        <f aca="false">IF(J2023=1,"OFFLINE",IF(AND(Q2023&gt;=Inputs!$B$15,R2023=1,S2023=1,P2023&lt;=L2023),"PASS","FAIL"))</f>
        <v>OFFLINE</v>
      </c>
    </row>
    <row r="2024" customFormat="false" ht="15" hidden="false" customHeight="false" outlineLevel="0" collapsed="false">
      <c r="A2024" s="14" t="s">
        <v>1037</v>
      </c>
      <c r="B2024" s="14" t="s">
        <v>1038</v>
      </c>
      <c r="C2024" s="14" t="s">
        <v>152</v>
      </c>
      <c r="D2024" s="14" t="s">
        <v>190</v>
      </c>
      <c r="E2024" s="14" t="s">
        <v>152</v>
      </c>
      <c r="F2024" s="14" t="s">
        <v>191</v>
      </c>
      <c r="G2024" s="14" t="n">
        <v>1</v>
      </c>
      <c r="H2024" s="14" t="s">
        <v>154</v>
      </c>
      <c r="I2024" s="14" t="s">
        <v>892</v>
      </c>
      <c r="J2024" s="15" t="n">
        <f aca="false">IF(B2024="SITE LOSS",IF(D2024=C2024,1,0),IF(B2024="REGION LOSS",IF(E2024=C2024,1,0),0))</f>
        <v>1</v>
      </c>
      <c r="K2024" s="15" t="n">
        <f aca="false">IF(B2024="SITE LOSS",IF(COUNTIFS('Site Dockets'!$B$7:$B$24,C2024,'Site Dockets'!$C$7:$C$24,F2024)&gt;0,1,0),IF(B2024="REGION LOSS",IF(COUNTIFS('Site Dockets'!$E$7:$E$24,C2024,'Site Dockets'!$C$7:$C$24,F2024)&gt;0,1,0),0))</f>
        <v>1</v>
      </c>
      <c r="L2024" s="15" t="n">
        <f aca="false">IF(J2024=1,0,Inputs!$B$11)</f>
        <v>0</v>
      </c>
      <c r="M2024" s="15" t="n">
        <f aca="false">IF(J2024=1,0,Inputs!$B$12)</f>
        <v>0</v>
      </c>
      <c r="N2024" s="15" t="n">
        <f aca="false">IF(J2024=1,0,IF(OR(AND(OR(B2024="SITE LOSS",B2024="REGION LOSS"),K2024=1),AND(B2024="ROLE COMPROMISE",H2024=C2024)),Inputs!$B$13,Inputs!$B$14))</f>
        <v>0</v>
      </c>
      <c r="O2024" s="15" t="n">
        <f aca="false">IF(J2024=1,0,Inputs!$B$13)</f>
        <v>0</v>
      </c>
      <c r="P2024" s="15" t="n">
        <f aca="false">SUM(M2024:N2024)</f>
        <v>0</v>
      </c>
      <c r="Q2024" s="15" t="str">
        <f aca="false">IF(J2024=1,"",L2024-P2024)</f>
        <v/>
      </c>
      <c r="R2024" s="15" t="n">
        <f aca="false">IF(OR(J2024=1,M2024&lt;=Inputs!$B$12),1,0)</f>
        <v>1</v>
      </c>
      <c r="S2024" s="15" t="n">
        <f aca="false">IF(OR(J2024=1,N2024&lt;=O2024),1,0)</f>
        <v>1</v>
      </c>
      <c r="T2024" s="15" t="str">
        <f aca="false">IF(J2024=1,"OFFLINE",IF(AND(Q2024&gt;=Inputs!$B$15,R2024=1,S2024=1,P2024&lt;=L2024),"PASS","FAIL"))</f>
        <v>OFFLINE</v>
      </c>
    </row>
    <row r="2025" customFormat="false" ht="15" hidden="false" customHeight="false" outlineLevel="0" collapsed="false">
      <c r="A2025" s="14" t="s">
        <v>1037</v>
      </c>
      <c r="B2025" s="14" t="s">
        <v>1038</v>
      </c>
      <c r="C2025" s="14" t="s">
        <v>152</v>
      </c>
      <c r="D2025" s="14" t="s">
        <v>190</v>
      </c>
      <c r="E2025" s="14" t="s">
        <v>152</v>
      </c>
      <c r="F2025" s="14" t="s">
        <v>191</v>
      </c>
      <c r="G2025" s="14" t="n">
        <v>1</v>
      </c>
      <c r="H2025" s="14" t="s">
        <v>154</v>
      </c>
      <c r="I2025" s="14" t="s">
        <v>811</v>
      </c>
      <c r="J2025" s="15" t="n">
        <f aca="false">IF(B2025="SITE LOSS",IF(D2025=C2025,1,0),IF(B2025="REGION LOSS",IF(E2025=C2025,1,0),0))</f>
        <v>1</v>
      </c>
      <c r="K2025" s="15" t="n">
        <f aca="false">IF(B2025="SITE LOSS",IF(COUNTIFS('Site Dockets'!$B$7:$B$24,C2025,'Site Dockets'!$C$7:$C$24,F2025)&gt;0,1,0),IF(B2025="REGION LOSS",IF(COUNTIFS('Site Dockets'!$E$7:$E$24,C2025,'Site Dockets'!$C$7:$C$24,F2025)&gt;0,1,0),0))</f>
        <v>1</v>
      </c>
      <c r="L2025" s="15" t="n">
        <f aca="false">IF(J2025=1,0,Inputs!$B$11)</f>
        <v>0</v>
      </c>
      <c r="M2025" s="15" t="n">
        <f aca="false">IF(J2025=1,0,Inputs!$B$12)</f>
        <v>0</v>
      </c>
      <c r="N2025" s="15" t="n">
        <f aca="false">IF(J2025=1,0,IF(OR(AND(OR(B2025="SITE LOSS",B2025="REGION LOSS"),K2025=1),AND(B2025="ROLE COMPROMISE",H2025=C2025)),Inputs!$B$13,Inputs!$B$14))</f>
        <v>0</v>
      </c>
      <c r="O2025" s="15" t="n">
        <f aca="false">IF(J2025=1,0,Inputs!$B$13)</f>
        <v>0</v>
      </c>
      <c r="P2025" s="15" t="n">
        <f aca="false">SUM(M2025:N2025)</f>
        <v>0</v>
      </c>
      <c r="Q2025" s="15" t="str">
        <f aca="false">IF(J2025=1,"",L2025-P2025)</f>
        <v/>
      </c>
      <c r="R2025" s="15" t="n">
        <f aca="false">IF(OR(J2025=1,M2025&lt;=Inputs!$B$12),1,0)</f>
        <v>1</v>
      </c>
      <c r="S2025" s="15" t="n">
        <f aca="false">IF(OR(J2025=1,N2025&lt;=O2025),1,0)</f>
        <v>1</v>
      </c>
      <c r="T2025" s="15" t="str">
        <f aca="false">IF(J2025=1,"OFFLINE",IF(AND(Q2025&gt;=Inputs!$B$15,R2025=1,S2025=1,P2025&lt;=L2025),"PASS","FAIL"))</f>
        <v>OFFLINE</v>
      </c>
    </row>
    <row r="2026" customFormat="false" ht="15" hidden="false" customHeight="false" outlineLevel="0" collapsed="false">
      <c r="A2026" s="14" t="s">
        <v>1037</v>
      </c>
      <c r="B2026" s="14" t="s">
        <v>1038</v>
      </c>
      <c r="C2026" s="14" t="s">
        <v>152</v>
      </c>
      <c r="D2026" s="14" t="s">
        <v>190</v>
      </c>
      <c r="E2026" s="14" t="s">
        <v>152</v>
      </c>
      <c r="F2026" s="14" t="s">
        <v>191</v>
      </c>
      <c r="G2026" s="14" t="n">
        <v>1</v>
      </c>
      <c r="H2026" s="14" t="s">
        <v>154</v>
      </c>
      <c r="I2026" s="14" t="s">
        <v>895</v>
      </c>
      <c r="J2026" s="15" t="n">
        <f aca="false">IF(B2026="SITE LOSS",IF(D2026=C2026,1,0),IF(B2026="REGION LOSS",IF(E2026=C2026,1,0),0))</f>
        <v>1</v>
      </c>
      <c r="K2026" s="15" t="n">
        <f aca="false">IF(B2026="SITE LOSS",IF(COUNTIFS('Site Dockets'!$B$7:$B$24,C2026,'Site Dockets'!$C$7:$C$24,F2026)&gt;0,1,0),IF(B2026="REGION LOSS",IF(COUNTIFS('Site Dockets'!$E$7:$E$24,C2026,'Site Dockets'!$C$7:$C$24,F2026)&gt;0,1,0),0))</f>
        <v>1</v>
      </c>
      <c r="L2026" s="15" t="n">
        <f aca="false">IF(J2026=1,0,Inputs!$B$11)</f>
        <v>0</v>
      </c>
      <c r="M2026" s="15" t="n">
        <f aca="false">IF(J2026=1,0,Inputs!$B$12)</f>
        <v>0</v>
      </c>
      <c r="N2026" s="15" t="n">
        <f aca="false">IF(J2026=1,0,IF(OR(AND(OR(B2026="SITE LOSS",B2026="REGION LOSS"),K2026=1),AND(B2026="ROLE COMPROMISE",H2026=C2026)),Inputs!$B$13,Inputs!$B$14))</f>
        <v>0</v>
      </c>
      <c r="O2026" s="15" t="n">
        <f aca="false">IF(J2026=1,0,Inputs!$B$13)</f>
        <v>0</v>
      </c>
      <c r="P2026" s="15" t="n">
        <f aca="false">SUM(M2026:N2026)</f>
        <v>0</v>
      </c>
      <c r="Q2026" s="15" t="str">
        <f aca="false">IF(J2026=1,"",L2026-P2026)</f>
        <v/>
      </c>
      <c r="R2026" s="15" t="n">
        <f aca="false">IF(OR(J2026=1,M2026&lt;=Inputs!$B$12),1,0)</f>
        <v>1</v>
      </c>
      <c r="S2026" s="15" t="n">
        <f aca="false">IF(OR(J2026=1,N2026&lt;=O2026),1,0)</f>
        <v>1</v>
      </c>
      <c r="T2026" s="15" t="str">
        <f aca="false">IF(J2026=1,"OFFLINE",IF(AND(Q2026&gt;=Inputs!$B$15,R2026=1,S2026=1,P2026&lt;=L2026),"PASS","FAIL"))</f>
        <v>OFFLINE</v>
      </c>
    </row>
    <row r="2027" customFormat="false" ht="15" hidden="false" customHeight="false" outlineLevel="0" collapsed="false">
      <c r="A2027" s="14" t="s">
        <v>1037</v>
      </c>
      <c r="B2027" s="14" t="s">
        <v>1038</v>
      </c>
      <c r="C2027" s="14" t="s">
        <v>152</v>
      </c>
      <c r="D2027" s="14" t="s">
        <v>190</v>
      </c>
      <c r="E2027" s="14" t="s">
        <v>152</v>
      </c>
      <c r="F2027" s="14" t="s">
        <v>191</v>
      </c>
      <c r="G2027" s="14" t="n">
        <v>1</v>
      </c>
      <c r="H2027" s="14" t="s">
        <v>154</v>
      </c>
      <c r="I2027" s="14" t="s">
        <v>897</v>
      </c>
      <c r="J2027" s="15" t="n">
        <f aca="false">IF(B2027="SITE LOSS",IF(D2027=C2027,1,0),IF(B2027="REGION LOSS",IF(E2027=C2027,1,0),0))</f>
        <v>1</v>
      </c>
      <c r="K2027" s="15" t="n">
        <f aca="false">IF(B2027="SITE LOSS",IF(COUNTIFS('Site Dockets'!$B$7:$B$24,C2027,'Site Dockets'!$C$7:$C$24,F2027)&gt;0,1,0),IF(B2027="REGION LOSS",IF(COUNTIFS('Site Dockets'!$E$7:$E$24,C2027,'Site Dockets'!$C$7:$C$24,F2027)&gt;0,1,0),0))</f>
        <v>1</v>
      </c>
      <c r="L2027" s="15" t="n">
        <f aca="false">IF(J2027=1,0,Inputs!$B$11)</f>
        <v>0</v>
      </c>
      <c r="M2027" s="15" t="n">
        <f aca="false">IF(J2027=1,0,Inputs!$B$12)</f>
        <v>0</v>
      </c>
      <c r="N2027" s="15" t="n">
        <f aca="false">IF(J2027=1,0,IF(OR(AND(OR(B2027="SITE LOSS",B2027="REGION LOSS"),K2027=1),AND(B2027="ROLE COMPROMISE",H2027=C2027)),Inputs!$B$13,Inputs!$B$14))</f>
        <v>0</v>
      </c>
      <c r="O2027" s="15" t="n">
        <f aca="false">IF(J2027=1,0,Inputs!$B$13)</f>
        <v>0</v>
      </c>
      <c r="P2027" s="15" t="n">
        <f aca="false">SUM(M2027:N2027)</f>
        <v>0</v>
      </c>
      <c r="Q2027" s="15" t="str">
        <f aca="false">IF(J2027=1,"",L2027-P2027)</f>
        <v/>
      </c>
      <c r="R2027" s="15" t="n">
        <f aca="false">IF(OR(J2027=1,M2027&lt;=Inputs!$B$12),1,0)</f>
        <v>1</v>
      </c>
      <c r="S2027" s="15" t="n">
        <f aca="false">IF(OR(J2027=1,N2027&lt;=O2027),1,0)</f>
        <v>1</v>
      </c>
      <c r="T2027" s="15" t="str">
        <f aca="false">IF(J2027=1,"OFFLINE",IF(AND(Q2027&gt;=Inputs!$B$15,R2027=1,S2027=1,P2027&lt;=L2027),"PASS","FAIL"))</f>
        <v>OFFLINE</v>
      </c>
    </row>
    <row r="2028" customFormat="false" ht="15" hidden="false" customHeight="false" outlineLevel="0" collapsed="false">
      <c r="A2028" s="14" t="s">
        <v>1037</v>
      </c>
      <c r="B2028" s="14" t="s">
        <v>1038</v>
      </c>
      <c r="C2028" s="14" t="s">
        <v>152</v>
      </c>
      <c r="D2028" s="14" t="s">
        <v>190</v>
      </c>
      <c r="E2028" s="14" t="s">
        <v>152</v>
      </c>
      <c r="F2028" s="14" t="s">
        <v>191</v>
      </c>
      <c r="G2028" s="14" t="n">
        <v>1</v>
      </c>
      <c r="H2028" s="14" t="s">
        <v>154</v>
      </c>
      <c r="I2028" s="14" t="s">
        <v>899</v>
      </c>
      <c r="J2028" s="15" t="n">
        <f aca="false">IF(B2028="SITE LOSS",IF(D2028=C2028,1,0),IF(B2028="REGION LOSS",IF(E2028=C2028,1,0),0))</f>
        <v>1</v>
      </c>
      <c r="K2028" s="15" t="n">
        <f aca="false">IF(B2028="SITE LOSS",IF(COUNTIFS('Site Dockets'!$B$7:$B$24,C2028,'Site Dockets'!$C$7:$C$24,F2028)&gt;0,1,0),IF(B2028="REGION LOSS",IF(COUNTIFS('Site Dockets'!$E$7:$E$24,C2028,'Site Dockets'!$C$7:$C$24,F2028)&gt;0,1,0),0))</f>
        <v>1</v>
      </c>
      <c r="L2028" s="15" t="n">
        <f aca="false">IF(J2028=1,0,Inputs!$B$11)</f>
        <v>0</v>
      </c>
      <c r="M2028" s="15" t="n">
        <f aca="false">IF(J2028=1,0,Inputs!$B$12)</f>
        <v>0</v>
      </c>
      <c r="N2028" s="15" t="n">
        <f aca="false">IF(J2028=1,0,IF(OR(AND(OR(B2028="SITE LOSS",B2028="REGION LOSS"),K2028=1),AND(B2028="ROLE COMPROMISE",H2028=C2028)),Inputs!$B$13,Inputs!$B$14))</f>
        <v>0</v>
      </c>
      <c r="O2028" s="15" t="n">
        <f aca="false">IF(J2028=1,0,Inputs!$B$13)</f>
        <v>0</v>
      </c>
      <c r="P2028" s="15" t="n">
        <f aca="false">SUM(M2028:N2028)</f>
        <v>0</v>
      </c>
      <c r="Q2028" s="15" t="str">
        <f aca="false">IF(J2028=1,"",L2028-P2028)</f>
        <v/>
      </c>
      <c r="R2028" s="15" t="n">
        <f aca="false">IF(OR(J2028=1,M2028&lt;=Inputs!$B$12),1,0)</f>
        <v>1</v>
      </c>
      <c r="S2028" s="15" t="n">
        <f aca="false">IF(OR(J2028=1,N2028&lt;=O2028),1,0)</f>
        <v>1</v>
      </c>
      <c r="T2028" s="15" t="str">
        <f aca="false">IF(J2028=1,"OFFLINE",IF(AND(Q2028&gt;=Inputs!$B$15,R2028=1,S2028=1,P2028&lt;=L2028),"PASS","FAIL"))</f>
        <v>OFFLINE</v>
      </c>
    </row>
    <row r="2029" customFormat="false" ht="15" hidden="false" customHeight="false" outlineLevel="0" collapsed="false">
      <c r="A2029" s="14" t="s">
        <v>1037</v>
      </c>
      <c r="B2029" s="14" t="s">
        <v>1038</v>
      </c>
      <c r="C2029" s="14" t="s">
        <v>152</v>
      </c>
      <c r="D2029" s="14" t="s">
        <v>194</v>
      </c>
      <c r="E2029" s="14" t="s">
        <v>169</v>
      </c>
      <c r="F2029" s="14" t="s">
        <v>191</v>
      </c>
      <c r="G2029" s="14" t="n">
        <v>2</v>
      </c>
      <c r="H2029" s="14" t="s">
        <v>153</v>
      </c>
      <c r="I2029" s="14" t="s">
        <v>890</v>
      </c>
      <c r="J2029" s="15" t="n">
        <f aca="false">IF(B2029="SITE LOSS",IF(D2029=C2029,1,0),IF(B2029="REGION LOSS",IF(E2029=C2029,1,0),0))</f>
        <v>0</v>
      </c>
      <c r="K2029" s="15" t="n">
        <f aca="false">IF(B2029="SITE LOSS",IF(COUNTIFS('Site Dockets'!$B$7:$B$24,C2029,'Site Dockets'!$C$7:$C$24,F2029)&gt;0,1,0),IF(B2029="REGION LOSS",IF(COUNTIFS('Site Dockets'!$E$7:$E$24,C2029,'Site Dockets'!$C$7:$C$24,F2029)&gt;0,1,0),0))</f>
        <v>1</v>
      </c>
      <c r="L2029" s="15" t="n">
        <f aca="false">IF(J2029=1,0,Inputs!$B$11)</f>
        <v>100</v>
      </c>
      <c r="M2029" s="15" t="n">
        <f aca="false">IF(J2029=1,0,Inputs!$B$12)</f>
        <v>75</v>
      </c>
      <c r="N2029" s="15" t="n">
        <f aca="false">IF(J2029=1,0,IF(OR(AND(OR(B2029="SITE LOSS",B2029="REGION LOSS"),K2029=1),AND(B2029="ROLE COMPROMISE",H2029=C2029)),Inputs!$B$13,Inputs!$B$14))</f>
        <v>20</v>
      </c>
      <c r="O2029" s="15" t="n">
        <f aca="false">IF(J2029=1,0,Inputs!$B$13)</f>
        <v>20</v>
      </c>
      <c r="P2029" s="15" t="n">
        <f aca="false">SUM(M2029:N2029)</f>
        <v>95</v>
      </c>
      <c r="Q2029" s="15" t="n">
        <f aca="false">IF(J2029=1,"",L2029-P2029)</f>
        <v>5</v>
      </c>
      <c r="R2029" s="15" t="n">
        <f aca="false">IF(OR(J2029=1,M2029&lt;=Inputs!$B$12),1,0)</f>
        <v>1</v>
      </c>
      <c r="S2029" s="15" t="n">
        <f aca="false">IF(OR(J2029=1,N2029&lt;=O2029),1,0)</f>
        <v>1</v>
      </c>
      <c r="T2029" s="15" t="str">
        <f aca="false">IF(J2029=1,"OFFLINE",IF(AND(Q2029&gt;=Inputs!$B$15,R2029=1,S2029=1,P2029&lt;=L2029),"PASS","FAIL"))</f>
        <v>PASS</v>
      </c>
    </row>
    <row r="2030" customFormat="false" ht="15" hidden="false" customHeight="false" outlineLevel="0" collapsed="false">
      <c r="A2030" s="14" t="s">
        <v>1037</v>
      </c>
      <c r="B2030" s="14" t="s">
        <v>1038</v>
      </c>
      <c r="C2030" s="14" t="s">
        <v>152</v>
      </c>
      <c r="D2030" s="14" t="s">
        <v>194</v>
      </c>
      <c r="E2030" s="14" t="s">
        <v>169</v>
      </c>
      <c r="F2030" s="14" t="s">
        <v>191</v>
      </c>
      <c r="G2030" s="14" t="n">
        <v>2</v>
      </c>
      <c r="H2030" s="14" t="s">
        <v>153</v>
      </c>
      <c r="I2030" s="14" t="s">
        <v>892</v>
      </c>
      <c r="J2030" s="15" t="n">
        <f aca="false">IF(B2030="SITE LOSS",IF(D2030=C2030,1,0),IF(B2030="REGION LOSS",IF(E2030=C2030,1,0),0))</f>
        <v>0</v>
      </c>
      <c r="K2030" s="15" t="n">
        <f aca="false">IF(B2030="SITE LOSS",IF(COUNTIFS('Site Dockets'!$B$7:$B$24,C2030,'Site Dockets'!$C$7:$C$24,F2030)&gt;0,1,0),IF(B2030="REGION LOSS",IF(COUNTIFS('Site Dockets'!$E$7:$E$24,C2030,'Site Dockets'!$C$7:$C$24,F2030)&gt;0,1,0),0))</f>
        <v>1</v>
      </c>
      <c r="L2030" s="15" t="n">
        <f aca="false">IF(J2030=1,0,Inputs!$B$11)</f>
        <v>100</v>
      </c>
      <c r="M2030" s="15" t="n">
        <f aca="false">IF(J2030=1,0,Inputs!$B$12)</f>
        <v>75</v>
      </c>
      <c r="N2030" s="15" t="n">
        <f aca="false">IF(J2030=1,0,IF(OR(AND(OR(B2030="SITE LOSS",B2030="REGION LOSS"),K2030=1),AND(B2030="ROLE COMPROMISE",H2030=C2030)),Inputs!$B$13,Inputs!$B$14))</f>
        <v>20</v>
      </c>
      <c r="O2030" s="15" t="n">
        <f aca="false">IF(J2030=1,0,Inputs!$B$13)</f>
        <v>20</v>
      </c>
      <c r="P2030" s="15" t="n">
        <f aca="false">SUM(M2030:N2030)</f>
        <v>95</v>
      </c>
      <c r="Q2030" s="15" t="n">
        <f aca="false">IF(J2030=1,"",L2030-P2030)</f>
        <v>5</v>
      </c>
      <c r="R2030" s="15" t="n">
        <f aca="false">IF(OR(J2030=1,M2030&lt;=Inputs!$B$12),1,0)</f>
        <v>1</v>
      </c>
      <c r="S2030" s="15" t="n">
        <f aca="false">IF(OR(J2030=1,N2030&lt;=O2030),1,0)</f>
        <v>1</v>
      </c>
      <c r="T2030" s="15" t="str">
        <f aca="false">IF(J2030=1,"OFFLINE",IF(AND(Q2030&gt;=Inputs!$B$15,R2030=1,S2030=1,P2030&lt;=L2030),"PASS","FAIL"))</f>
        <v>PASS</v>
      </c>
    </row>
    <row r="2031" customFormat="false" ht="15" hidden="false" customHeight="false" outlineLevel="0" collapsed="false">
      <c r="A2031" s="14" t="s">
        <v>1037</v>
      </c>
      <c r="B2031" s="14" t="s">
        <v>1038</v>
      </c>
      <c r="C2031" s="14" t="s">
        <v>152</v>
      </c>
      <c r="D2031" s="14" t="s">
        <v>194</v>
      </c>
      <c r="E2031" s="14" t="s">
        <v>169</v>
      </c>
      <c r="F2031" s="14" t="s">
        <v>191</v>
      </c>
      <c r="G2031" s="14" t="n">
        <v>2</v>
      </c>
      <c r="H2031" s="14" t="s">
        <v>153</v>
      </c>
      <c r="I2031" s="14" t="s">
        <v>811</v>
      </c>
      <c r="J2031" s="15" t="n">
        <f aca="false">IF(B2031="SITE LOSS",IF(D2031=C2031,1,0),IF(B2031="REGION LOSS",IF(E2031=C2031,1,0),0))</f>
        <v>0</v>
      </c>
      <c r="K2031" s="15" t="n">
        <f aca="false">IF(B2031="SITE LOSS",IF(COUNTIFS('Site Dockets'!$B$7:$B$24,C2031,'Site Dockets'!$C$7:$C$24,F2031)&gt;0,1,0),IF(B2031="REGION LOSS",IF(COUNTIFS('Site Dockets'!$E$7:$E$24,C2031,'Site Dockets'!$C$7:$C$24,F2031)&gt;0,1,0),0))</f>
        <v>1</v>
      </c>
      <c r="L2031" s="15" t="n">
        <f aca="false">IF(J2031=1,0,Inputs!$B$11)</f>
        <v>100</v>
      </c>
      <c r="M2031" s="15" t="n">
        <f aca="false">IF(J2031=1,0,Inputs!$B$12)</f>
        <v>75</v>
      </c>
      <c r="N2031" s="15" t="n">
        <f aca="false">IF(J2031=1,0,IF(OR(AND(OR(B2031="SITE LOSS",B2031="REGION LOSS"),K2031=1),AND(B2031="ROLE COMPROMISE",H2031=C2031)),Inputs!$B$13,Inputs!$B$14))</f>
        <v>20</v>
      </c>
      <c r="O2031" s="15" t="n">
        <f aca="false">IF(J2031=1,0,Inputs!$B$13)</f>
        <v>20</v>
      </c>
      <c r="P2031" s="15" t="n">
        <f aca="false">SUM(M2031:N2031)</f>
        <v>95</v>
      </c>
      <c r="Q2031" s="15" t="n">
        <f aca="false">IF(J2031=1,"",L2031-P2031)</f>
        <v>5</v>
      </c>
      <c r="R2031" s="15" t="n">
        <f aca="false">IF(OR(J2031=1,M2031&lt;=Inputs!$B$12),1,0)</f>
        <v>1</v>
      </c>
      <c r="S2031" s="15" t="n">
        <f aca="false">IF(OR(J2031=1,N2031&lt;=O2031),1,0)</f>
        <v>1</v>
      </c>
      <c r="T2031" s="15" t="str">
        <f aca="false">IF(J2031=1,"OFFLINE",IF(AND(Q2031&gt;=Inputs!$B$15,R2031=1,S2031=1,P2031&lt;=L2031),"PASS","FAIL"))</f>
        <v>PASS</v>
      </c>
    </row>
    <row r="2032" customFormat="false" ht="15" hidden="false" customHeight="false" outlineLevel="0" collapsed="false">
      <c r="A2032" s="14" t="s">
        <v>1037</v>
      </c>
      <c r="B2032" s="14" t="s">
        <v>1038</v>
      </c>
      <c r="C2032" s="14" t="s">
        <v>152</v>
      </c>
      <c r="D2032" s="14" t="s">
        <v>194</v>
      </c>
      <c r="E2032" s="14" t="s">
        <v>169</v>
      </c>
      <c r="F2032" s="14" t="s">
        <v>191</v>
      </c>
      <c r="G2032" s="14" t="n">
        <v>2</v>
      </c>
      <c r="H2032" s="14" t="s">
        <v>153</v>
      </c>
      <c r="I2032" s="14" t="s">
        <v>895</v>
      </c>
      <c r="J2032" s="15" t="n">
        <f aca="false">IF(B2032="SITE LOSS",IF(D2032=C2032,1,0),IF(B2032="REGION LOSS",IF(E2032=C2032,1,0),0))</f>
        <v>0</v>
      </c>
      <c r="K2032" s="15" t="n">
        <f aca="false">IF(B2032="SITE LOSS",IF(COUNTIFS('Site Dockets'!$B$7:$B$24,C2032,'Site Dockets'!$C$7:$C$24,F2032)&gt;0,1,0),IF(B2032="REGION LOSS",IF(COUNTIFS('Site Dockets'!$E$7:$E$24,C2032,'Site Dockets'!$C$7:$C$24,F2032)&gt;0,1,0),0))</f>
        <v>1</v>
      </c>
      <c r="L2032" s="15" t="n">
        <f aca="false">IF(J2032=1,0,Inputs!$B$11)</f>
        <v>100</v>
      </c>
      <c r="M2032" s="15" t="n">
        <f aca="false">IF(J2032=1,0,Inputs!$B$12)</f>
        <v>75</v>
      </c>
      <c r="N2032" s="15" t="n">
        <f aca="false">IF(J2032=1,0,IF(OR(AND(OR(B2032="SITE LOSS",B2032="REGION LOSS"),K2032=1),AND(B2032="ROLE COMPROMISE",H2032=C2032)),Inputs!$B$13,Inputs!$B$14))</f>
        <v>20</v>
      </c>
      <c r="O2032" s="15" t="n">
        <f aca="false">IF(J2032=1,0,Inputs!$B$13)</f>
        <v>20</v>
      </c>
      <c r="P2032" s="15" t="n">
        <f aca="false">SUM(M2032:N2032)</f>
        <v>95</v>
      </c>
      <c r="Q2032" s="15" t="n">
        <f aca="false">IF(J2032=1,"",L2032-P2032)</f>
        <v>5</v>
      </c>
      <c r="R2032" s="15" t="n">
        <f aca="false">IF(OR(J2032=1,M2032&lt;=Inputs!$B$12),1,0)</f>
        <v>1</v>
      </c>
      <c r="S2032" s="15" t="n">
        <f aca="false">IF(OR(J2032=1,N2032&lt;=O2032),1,0)</f>
        <v>1</v>
      </c>
      <c r="T2032" s="15" t="str">
        <f aca="false">IF(J2032=1,"OFFLINE",IF(AND(Q2032&gt;=Inputs!$B$15,R2032=1,S2032=1,P2032&lt;=L2032),"PASS","FAIL"))</f>
        <v>PASS</v>
      </c>
    </row>
    <row r="2033" customFormat="false" ht="15" hidden="false" customHeight="false" outlineLevel="0" collapsed="false">
      <c r="A2033" s="14" t="s">
        <v>1037</v>
      </c>
      <c r="B2033" s="14" t="s">
        <v>1038</v>
      </c>
      <c r="C2033" s="14" t="s">
        <v>152</v>
      </c>
      <c r="D2033" s="14" t="s">
        <v>194</v>
      </c>
      <c r="E2033" s="14" t="s">
        <v>169</v>
      </c>
      <c r="F2033" s="14" t="s">
        <v>191</v>
      </c>
      <c r="G2033" s="14" t="n">
        <v>2</v>
      </c>
      <c r="H2033" s="14" t="s">
        <v>153</v>
      </c>
      <c r="I2033" s="14" t="s">
        <v>897</v>
      </c>
      <c r="J2033" s="15" t="n">
        <f aca="false">IF(B2033="SITE LOSS",IF(D2033=C2033,1,0),IF(B2033="REGION LOSS",IF(E2033=C2033,1,0),0))</f>
        <v>0</v>
      </c>
      <c r="K2033" s="15" t="n">
        <f aca="false">IF(B2033="SITE LOSS",IF(COUNTIFS('Site Dockets'!$B$7:$B$24,C2033,'Site Dockets'!$C$7:$C$24,F2033)&gt;0,1,0),IF(B2033="REGION LOSS",IF(COUNTIFS('Site Dockets'!$E$7:$E$24,C2033,'Site Dockets'!$C$7:$C$24,F2033)&gt;0,1,0),0))</f>
        <v>1</v>
      </c>
      <c r="L2033" s="15" t="n">
        <f aca="false">IF(J2033=1,0,Inputs!$B$11)</f>
        <v>100</v>
      </c>
      <c r="M2033" s="15" t="n">
        <f aca="false">IF(J2033=1,0,Inputs!$B$12)</f>
        <v>75</v>
      </c>
      <c r="N2033" s="15" t="n">
        <f aca="false">IF(J2033=1,0,IF(OR(AND(OR(B2033="SITE LOSS",B2033="REGION LOSS"),K2033=1),AND(B2033="ROLE COMPROMISE",H2033=C2033)),Inputs!$B$13,Inputs!$B$14))</f>
        <v>20</v>
      </c>
      <c r="O2033" s="15" t="n">
        <f aca="false">IF(J2033=1,0,Inputs!$B$13)</f>
        <v>20</v>
      </c>
      <c r="P2033" s="15" t="n">
        <f aca="false">SUM(M2033:N2033)</f>
        <v>95</v>
      </c>
      <c r="Q2033" s="15" t="n">
        <f aca="false">IF(J2033=1,"",L2033-P2033)</f>
        <v>5</v>
      </c>
      <c r="R2033" s="15" t="n">
        <f aca="false">IF(OR(J2033=1,M2033&lt;=Inputs!$B$12),1,0)</f>
        <v>1</v>
      </c>
      <c r="S2033" s="15" t="n">
        <f aca="false">IF(OR(J2033=1,N2033&lt;=O2033),1,0)</f>
        <v>1</v>
      </c>
      <c r="T2033" s="15" t="str">
        <f aca="false">IF(J2033=1,"OFFLINE",IF(AND(Q2033&gt;=Inputs!$B$15,R2033=1,S2033=1,P2033&lt;=L2033),"PASS","FAIL"))</f>
        <v>PASS</v>
      </c>
    </row>
    <row r="2034" customFormat="false" ht="15" hidden="false" customHeight="false" outlineLevel="0" collapsed="false">
      <c r="A2034" s="14" t="s">
        <v>1037</v>
      </c>
      <c r="B2034" s="14" t="s">
        <v>1038</v>
      </c>
      <c r="C2034" s="14" t="s">
        <v>152</v>
      </c>
      <c r="D2034" s="14" t="s">
        <v>194</v>
      </c>
      <c r="E2034" s="14" t="s">
        <v>169</v>
      </c>
      <c r="F2034" s="14" t="s">
        <v>191</v>
      </c>
      <c r="G2034" s="14" t="n">
        <v>2</v>
      </c>
      <c r="H2034" s="14" t="s">
        <v>153</v>
      </c>
      <c r="I2034" s="14" t="s">
        <v>899</v>
      </c>
      <c r="J2034" s="15" t="n">
        <f aca="false">IF(B2034="SITE LOSS",IF(D2034=C2034,1,0),IF(B2034="REGION LOSS",IF(E2034=C2034,1,0),0))</f>
        <v>0</v>
      </c>
      <c r="K2034" s="15" t="n">
        <f aca="false">IF(B2034="SITE LOSS",IF(COUNTIFS('Site Dockets'!$B$7:$B$24,C2034,'Site Dockets'!$C$7:$C$24,F2034)&gt;0,1,0),IF(B2034="REGION LOSS",IF(COUNTIFS('Site Dockets'!$E$7:$E$24,C2034,'Site Dockets'!$C$7:$C$24,F2034)&gt;0,1,0),0))</f>
        <v>1</v>
      </c>
      <c r="L2034" s="15" t="n">
        <f aca="false">IF(J2034=1,0,Inputs!$B$11)</f>
        <v>100</v>
      </c>
      <c r="M2034" s="15" t="n">
        <f aca="false">IF(J2034=1,0,Inputs!$B$12)</f>
        <v>75</v>
      </c>
      <c r="N2034" s="15" t="n">
        <f aca="false">IF(J2034=1,0,IF(OR(AND(OR(B2034="SITE LOSS",B2034="REGION LOSS"),K2034=1),AND(B2034="ROLE COMPROMISE",H2034=C2034)),Inputs!$B$13,Inputs!$B$14))</f>
        <v>20</v>
      </c>
      <c r="O2034" s="15" t="n">
        <f aca="false">IF(J2034=1,0,Inputs!$B$13)</f>
        <v>20</v>
      </c>
      <c r="P2034" s="15" t="n">
        <f aca="false">SUM(M2034:N2034)</f>
        <v>95</v>
      </c>
      <c r="Q2034" s="15" t="n">
        <f aca="false">IF(J2034=1,"",L2034-P2034)</f>
        <v>5</v>
      </c>
      <c r="R2034" s="15" t="n">
        <f aca="false">IF(OR(J2034=1,M2034&lt;=Inputs!$B$12),1,0)</f>
        <v>1</v>
      </c>
      <c r="S2034" s="15" t="n">
        <f aca="false">IF(OR(J2034=1,N2034&lt;=O2034),1,0)</f>
        <v>1</v>
      </c>
      <c r="T2034" s="15" t="str">
        <f aca="false">IF(J2034=1,"OFFLINE",IF(AND(Q2034&gt;=Inputs!$B$15,R2034=1,S2034=1,P2034&lt;=L2034),"PASS","FAIL"))</f>
        <v>PASS</v>
      </c>
    </row>
    <row r="2035" customFormat="false" ht="15" hidden="false" customHeight="false" outlineLevel="0" collapsed="false">
      <c r="A2035" s="14" t="s">
        <v>1037</v>
      </c>
      <c r="B2035" s="14" t="s">
        <v>1038</v>
      </c>
      <c r="C2035" s="14" t="s">
        <v>152</v>
      </c>
      <c r="D2035" s="14" t="s">
        <v>196</v>
      </c>
      <c r="E2035" s="14" t="s">
        <v>172</v>
      </c>
      <c r="F2035" s="14" t="s">
        <v>191</v>
      </c>
      <c r="G2035" s="14" t="n">
        <v>3</v>
      </c>
      <c r="H2035" s="14" t="s">
        <v>158</v>
      </c>
      <c r="I2035" s="14" t="s">
        <v>890</v>
      </c>
      <c r="J2035" s="15" t="n">
        <f aca="false">IF(B2035="SITE LOSS",IF(D2035=C2035,1,0),IF(B2035="REGION LOSS",IF(E2035=C2035,1,0),0))</f>
        <v>0</v>
      </c>
      <c r="K2035" s="15" t="n">
        <f aca="false">IF(B2035="SITE LOSS",IF(COUNTIFS('Site Dockets'!$B$7:$B$24,C2035,'Site Dockets'!$C$7:$C$24,F2035)&gt;0,1,0),IF(B2035="REGION LOSS",IF(COUNTIFS('Site Dockets'!$E$7:$E$24,C2035,'Site Dockets'!$C$7:$C$24,F2035)&gt;0,1,0),0))</f>
        <v>1</v>
      </c>
      <c r="L2035" s="15" t="n">
        <f aca="false">IF(J2035=1,0,Inputs!$B$11)</f>
        <v>100</v>
      </c>
      <c r="M2035" s="15" t="n">
        <f aca="false">IF(J2035=1,0,Inputs!$B$12)</f>
        <v>75</v>
      </c>
      <c r="N2035" s="15" t="n">
        <f aca="false">IF(J2035=1,0,IF(OR(AND(OR(B2035="SITE LOSS",B2035="REGION LOSS"),K2035=1),AND(B2035="ROLE COMPROMISE",H2035=C2035)),Inputs!$B$13,Inputs!$B$14))</f>
        <v>20</v>
      </c>
      <c r="O2035" s="15" t="n">
        <f aca="false">IF(J2035=1,0,Inputs!$B$13)</f>
        <v>20</v>
      </c>
      <c r="P2035" s="15" t="n">
        <f aca="false">SUM(M2035:N2035)</f>
        <v>95</v>
      </c>
      <c r="Q2035" s="15" t="n">
        <f aca="false">IF(J2035=1,"",L2035-P2035)</f>
        <v>5</v>
      </c>
      <c r="R2035" s="15" t="n">
        <f aca="false">IF(OR(J2035=1,M2035&lt;=Inputs!$B$12),1,0)</f>
        <v>1</v>
      </c>
      <c r="S2035" s="15" t="n">
        <f aca="false">IF(OR(J2035=1,N2035&lt;=O2035),1,0)</f>
        <v>1</v>
      </c>
      <c r="T2035" s="15" t="str">
        <f aca="false">IF(J2035=1,"OFFLINE",IF(AND(Q2035&gt;=Inputs!$B$15,R2035=1,S2035=1,P2035&lt;=L2035),"PASS","FAIL"))</f>
        <v>PASS</v>
      </c>
    </row>
    <row r="2036" customFormat="false" ht="15" hidden="false" customHeight="false" outlineLevel="0" collapsed="false">
      <c r="A2036" s="14" t="s">
        <v>1037</v>
      </c>
      <c r="B2036" s="14" t="s">
        <v>1038</v>
      </c>
      <c r="C2036" s="14" t="s">
        <v>152</v>
      </c>
      <c r="D2036" s="14" t="s">
        <v>196</v>
      </c>
      <c r="E2036" s="14" t="s">
        <v>172</v>
      </c>
      <c r="F2036" s="14" t="s">
        <v>191</v>
      </c>
      <c r="G2036" s="14" t="n">
        <v>3</v>
      </c>
      <c r="H2036" s="14" t="s">
        <v>158</v>
      </c>
      <c r="I2036" s="14" t="s">
        <v>892</v>
      </c>
      <c r="J2036" s="15" t="n">
        <f aca="false">IF(B2036="SITE LOSS",IF(D2036=C2036,1,0),IF(B2036="REGION LOSS",IF(E2036=C2036,1,0),0))</f>
        <v>0</v>
      </c>
      <c r="K2036" s="15" t="n">
        <f aca="false">IF(B2036="SITE LOSS",IF(COUNTIFS('Site Dockets'!$B$7:$B$24,C2036,'Site Dockets'!$C$7:$C$24,F2036)&gt;0,1,0),IF(B2036="REGION LOSS",IF(COUNTIFS('Site Dockets'!$E$7:$E$24,C2036,'Site Dockets'!$C$7:$C$24,F2036)&gt;0,1,0),0))</f>
        <v>1</v>
      </c>
      <c r="L2036" s="15" t="n">
        <f aca="false">IF(J2036=1,0,Inputs!$B$11)</f>
        <v>100</v>
      </c>
      <c r="M2036" s="15" t="n">
        <f aca="false">IF(J2036=1,0,Inputs!$B$12)</f>
        <v>75</v>
      </c>
      <c r="N2036" s="15" t="n">
        <f aca="false">IF(J2036=1,0,IF(OR(AND(OR(B2036="SITE LOSS",B2036="REGION LOSS"),K2036=1),AND(B2036="ROLE COMPROMISE",H2036=C2036)),Inputs!$B$13,Inputs!$B$14))</f>
        <v>20</v>
      </c>
      <c r="O2036" s="15" t="n">
        <f aca="false">IF(J2036=1,0,Inputs!$B$13)</f>
        <v>20</v>
      </c>
      <c r="P2036" s="15" t="n">
        <f aca="false">SUM(M2036:N2036)</f>
        <v>95</v>
      </c>
      <c r="Q2036" s="15" t="n">
        <f aca="false">IF(J2036=1,"",L2036-P2036)</f>
        <v>5</v>
      </c>
      <c r="R2036" s="15" t="n">
        <f aca="false">IF(OR(J2036=1,M2036&lt;=Inputs!$B$12),1,0)</f>
        <v>1</v>
      </c>
      <c r="S2036" s="15" t="n">
        <f aca="false">IF(OR(J2036=1,N2036&lt;=O2036),1,0)</f>
        <v>1</v>
      </c>
      <c r="T2036" s="15" t="str">
        <f aca="false">IF(J2036=1,"OFFLINE",IF(AND(Q2036&gt;=Inputs!$B$15,R2036=1,S2036=1,P2036&lt;=L2036),"PASS","FAIL"))</f>
        <v>PASS</v>
      </c>
    </row>
    <row r="2037" customFormat="false" ht="15" hidden="false" customHeight="false" outlineLevel="0" collapsed="false">
      <c r="A2037" s="14" t="s">
        <v>1037</v>
      </c>
      <c r="B2037" s="14" t="s">
        <v>1038</v>
      </c>
      <c r="C2037" s="14" t="s">
        <v>152</v>
      </c>
      <c r="D2037" s="14" t="s">
        <v>196</v>
      </c>
      <c r="E2037" s="14" t="s">
        <v>172</v>
      </c>
      <c r="F2037" s="14" t="s">
        <v>191</v>
      </c>
      <c r="G2037" s="14" t="n">
        <v>3</v>
      </c>
      <c r="H2037" s="14" t="s">
        <v>158</v>
      </c>
      <c r="I2037" s="14" t="s">
        <v>811</v>
      </c>
      <c r="J2037" s="15" t="n">
        <f aca="false">IF(B2037="SITE LOSS",IF(D2037=C2037,1,0),IF(B2037="REGION LOSS",IF(E2037=C2037,1,0),0))</f>
        <v>0</v>
      </c>
      <c r="K2037" s="15" t="n">
        <f aca="false">IF(B2037="SITE LOSS",IF(COUNTIFS('Site Dockets'!$B$7:$B$24,C2037,'Site Dockets'!$C$7:$C$24,F2037)&gt;0,1,0),IF(B2037="REGION LOSS",IF(COUNTIFS('Site Dockets'!$E$7:$E$24,C2037,'Site Dockets'!$C$7:$C$24,F2037)&gt;0,1,0),0))</f>
        <v>1</v>
      </c>
      <c r="L2037" s="15" t="n">
        <f aca="false">IF(J2037=1,0,Inputs!$B$11)</f>
        <v>100</v>
      </c>
      <c r="M2037" s="15" t="n">
        <f aca="false">IF(J2037=1,0,Inputs!$B$12)</f>
        <v>75</v>
      </c>
      <c r="N2037" s="15" t="n">
        <f aca="false">IF(J2037=1,0,IF(OR(AND(OR(B2037="SITE LOSS",B2037="REGION LOSS"),K2037=1),AND(B2037="ROLE COMPROMISE",H2037=C2037)),Inputs!$B$13,Inputs!$B$14))</f>
        <v>20</v>
      </c>
      <c r="O2037" s="15" t="n">
        <f aca="false">IF(J2037=1,0,Inputs!$B$13)</f>
        <v>20</v>
      </c>
      <c r="P2037" s="15" t="n">
        <f aca="false">SUM(M2037:N2037)</f>
        <v>95</v>
      </c>
      <c r="Q2037" s="15" t="n">
        <f aca="false">IF(J2037=1,"",L2037-P2037)</f>
        <v>5</v>
      </c>
      <c r="R2037" s="15" t="n">
        <f aca="false">IF(OR(J2037=1,M2037&lt;=Inputs!$B$12),1,0)</f>
        <v>1</v>
      </c>
      <c r="S2037" s="15" t="n">
        <f aca="false">IF(OR(J2037=1,N2037&lt;=O2037),1,0)</f>
        <v>1</v>
      </c>
      <c r="T2037" s="15" t="str">
        <f aca="false">IF(J2037=1,"OFFLINE",IF(AND(Q2037&gt;=Inputs!$B$15,R2037=1,S2037=1,P2037&lt;=L2037),"PASS","FAIL"))</f>
        <v>PASS</v>
      </c>
    </row>
    <row r="2038" customFormat="false" ht="15" hidden="false" customHeight="false" outlineLevel="0" collapsed="false">
      <c r="A2038" s="14" t="s">
        <v>1037</v>
      </c>
      <c r="B2038" s="14" t="s">
        <v>1038</v>
      </c>
      <c r="C2038" s="14" t="s">
        <v>152</v>
      </c>
      <c r="D2038" s="14" t="s">
        <v>196</v>
      </c>
      <c r="E2038" s="14" t="s">
        <v>172</v>
      </c>
      <c r="F2038" s="14" t="s">
        <v>191</v>
      </c>
      <c r="G2038" s="14" t="n">
        <v>3</v>
      </c>
      <c r="H2038" s="14" t="s">
        <v>158</v>
      </c>
      <c r="I2038" s="14" t="s">
        <v>895</v>
      </c>
      <c r="J2038" s="15" t="n">
        <f aca="false">IF(B2038="SITE LOSS",IF(D2038=C2038,1,0),IF(B2038="REGION LOSS",IF(E2038=C2038,1,0),0))</f>
        <v>0</v>
      </c>
      <c r="K2038" s="15" t="n">
        <f aca="false">IF(B2038="SITE LOSS",IF(COUNTIFS('Site Dockets'!$B$7:$B$24,C2038,'Site Dockets'!$C$7:$C$24,F2038)&gt;0,1,0),IF(B2038="REGION LOSS",IF(COUNTIFS('Site Dockets'!$E$7:$E$24,C2038,'Site Dockets'!$C$7:$C$24,F2038)&gt;0,1,0),0))</f>
        <v>1</v>
      </c>
      <c r="L2038" s="15" t="n">
        <f aca="false">IF(J2038=1,0,Inputs!$B$11)</f>
        <v>100</v>
      </c>
      <c r="M2038" s="15" t="n">
        <f aca="false">IF(J2038=1,0,Inputs!$B$12)</f>
        <v>75</v>
      </c>
      <c r="N2038" s="15" t="n">
        <f aca="false">IF(J2038=1,0,IF(OR(AND(OR(B2038="SITE LOSS",B2038="REGION LOSS"),K2038=1),AND(B2038="ROLE COMPROMISE",H2038=C2038)),Inputs!$B$13,Inputs!$B$14))</f>
        <v>20</v>
      </c>
      <c r="O2038" s="15" t="n">
        <f aca="false">IF(J2038=1,0,Inputs!$B$13)</f>
        <v>20</v>
      </c>
      <c r="P2038" s="15" t="n">
        <f aca="false">SUM(M2038:N2038)</f>
        <v>95</v>
      </c>
      <c r="Q2038" s="15" t="n">
        <f aca="false">IF(J2038=1,"",L2038-P2038)</f>
        <v>5</v>
      </c>
      <c r="R2038" s="15" t="n">
        <f aca="false">IF(OR(J2038=1,M2038&lt;=Inputs!$B$12),1,0)</f>
        <v>1</v>
      </c>
      <c r="S2038" s="15" t="n">
        <f aca="false">IF(OR(J2038=1,N2038&lt;=O2038),1,0)</f>
        <v>1</v>
      </c>
      <c r="T2038" s="15" t="str">
        <f aca="false">IF(J2038=1,"OFFLINE",IF(AND(Q2038&gt;=Inputs!$B$15,R2038=1,S2038=1,P2038&lt;=L2038),"PASS","FAIL"))</f>
        <v>PASS</v>
      </c>
    </row>
    <row r="2039" customFormat="false" ht="15" hidden="false" customHeight="false" outlineLevel="0" collapsed="false">
      <c r="A2039" s="14" t="s">
        <v>1037</v>
      </c>
      <c r="B2039" s="14" t="s">
        <v>1038</v>
      </c>
      <c r="C2039" s="14" t="s">
        <v>152</v>
      </c>
      <c r="D2039" s="14" t="s">
        <v>196</v>
      </c>
      <c r="E2039" s="14" t="s">
        <v>172</v>
      </c>
      <c r="F2039" s="14" t="s">
        <v>191</v>
      </c>
      <c r="G2039" s="14" t="n">
        <v>3</v>
      </c>
      <c r="H2039" s="14" t="s">
        <v>158</v>
      </c>
      <c r="I2039" s="14" t="s">
        <v>897</v>
      </c>
      <c r="J2039" s="15" t="n">
        <f aca="false">IF(B2039="SITE LOSS",IF(D2039=C2039,1,0),IF(B2039="REGION LOSS",IF(E2039=C2039,1,0),0))</f>
        <v>0</v>
      </c>
      <c r="K2039" s="15" t="n">
        <f aca="false">IF(B2039="SITE LOSS",IF(COUNTIFS('Site Dockets'!$B$7:$B$24,C2039,'Site Dockets'!$C$7:$C$24,F2039)&gt;0,1,0),IF(B2039="REGION LOSS",IF(COUNTIFS('Site Dockets'!$E$7:$E$24,C2039,'Site Dockets'!$C$7:$C$24,F2039)&gt;0,1,0),0))</f>
        <v>1</v>
      </c>
      <c r="L2039" s="15" t="n">
        <f aca="false">IF(J2039=1,0,Inputs!$B$11)</f>
        <v>100</v>
      </c>
      <c r="M2039" s="15" t="n">
        <f aca="false">IF(J2039=1,0,Inputs!$B$12)</f>
        <v>75</v>
      </c>
      <c r="N2039" s="15" t="n">
        <f aca="false">IF(J2039=1,0,IF(OR(AND(OR(B2039="SITE LOSS",B2039="REGION LOSS"),K2039=1),AND(B2039="ROLE COMPROMISE",H2039=C2039)),Inputs!$B$13,Inputs!$B$14))</f>
        <v>20</v>
      </c>
      <c r="O2039" s="15" t="n">
        <f aca="false">IF(J2039=1,0,Inputs!$B$13)</f>
        <v>20</v>
      </c>
      <c r="P2039" s="15" t="n">
        <f aca="false">SUM(M2039:N2039)</f>
        <v>95</v>
      </c>
      <c r="Q2039" s="15" t="n">
        <f aca="false">IF(J2039=1,"",L2039-P2039)</f>
        <v>5</v>
      </c>
      <c r="R2039" s="15" t="n">
        <f aca="false">IF(OR(J2039=1,M2039&lt;=Inputs!$B$12),1,0)</f>
        <v>1</v>
      </c>
      <c r="S2039" s="15" t="n">
        <f aca="false">IF(OR(J2039=1,N2039&lt;=O2039),1,0)</f>
        <v>1</v>
      </c>
      <c r="T2039" s="15" t="str">
        <f aca="false">IF(J2039=1,"OFFLINE",IF(AND(Q2039&gt;=Inputs!$B$15,R2039=1,S2039=1,P2039&lt;=L2039),"PASS","FAIL"))</f>
        <v>PASS</v>
      </c>
    </row>
    <row r="2040" customFormat="false" ht="15" hidden="false" customHeight="false" outlineLevel="0" collapsed="false">
      <c r="A2040" s="14" t="s">
        <v>1037</v>
      </c>
      <c r="B2040" s="14" t="s">
        <v>1038</v>
      </c>
      <c r="C2040" s="14" t="s">
        <v>152</v>
      </c>
      <c r="D2040" s="14" t="s">
        <v>196</v>
      </c>
      <c r="E2040" s="14" t="s">
        <v>172</v>
      </c>
      <c r="F2040" s="14" t="s">
        <v>191</v>
      </c>
      <c r="G2040" s="14" t="n">
        <v>3</v>
      </c>
      <c r="H2040" s="14" t="s">
        <v>158</v>
      </c>
      <c r="I2040" s="14" t="s">
        <v>899</v>
      </c>
      <c r="J2040" s="15" t="n">
        <f aca="false">IF(B2040="SITE LOSS",IF(D2040=C2040,1,0),IF(B2040="REGION LOSS",IF(E2040=C2040,1,0),0))</f>
        <v>0</v>
      </c>
      <c r="K2040" s="15" t="n">
        <f aca="false">IF(B2040="SITE LOSS",IF(COUNTIFS('Site Dockets'!$B$7:$B$24,C2040,'Site Dockets'!$C$7:$C$24,F2040)&gt;0,1,0),IF(B2040="REGION LOSS",IF(COUNTIFS('Site Dockets'!$E$7:$E$24,C2040,'Site Dockets'!$C$7:$C$24,F2040)&gt;0,1,0),0))</f>
        <v>1</v>
      </c>
      <c r="L2040" s="15" t="n">
        <f aca="false">IF(J2040=1,0,Inputs!$B$11)</f>
        <v>100</v>
      </c>
      <c r="M2040" s="15" t="n">
        <f aca="false">IF(J2040=1,0,Inputs!$B$12)</f>
        <v>75</v>
      </c>
      <c r="N2040" s="15" t="n">
        <f aca="false">IF(J2040=1,0,IF(OR(AND(OR(B2040="SITE LOSS",B2040="REGION LOSS"),K2040=1),AND(B2040="ROLE COMPROMISE",H2040=C2040)),Inputs!$B$13,Inputs!$B$14))</f>
        <v>20</v>
      </c>
      <c r="O2040" s="15" t="n">
        <f aca="false">IF(J2040=1,0,Inputs!$B$13)</f>
        <v>20</v>
      </c>
      <c r="P2040" s="15" t="n">
        <f aca="false">SUM(M2040:N2040)</f>
        <v>95</v>
      </c>
      <c r="Q2040" s="15" t="n">
        <f aca="false">IF(J2040=1,"",L2040-P2040)</f>
        <v>5</v>
      </c>
      <c r="R2040" s="15" t="n">
        <f aca="false">IF(OR(J2040=1,M2040&lt;=Inputs!$B$12),1,0)</f>
        <v>1</v>
      </c>
      <c r="S2040" s="15" t="n">
        <f aca="false">IF(OR(J2040=1,N2040&lt;=O2040),1,0)</f>
        <v>1</v>
      </c>
      <c r="T2040" s="15" t="str">
        <f aca="false">IF(J2040=1,"OFFLINE",IF(AND(Q2040&gt;=Inputs!$B$15,R2040=1,S2040=1,P2040&lt;=L2040),"PASS","FAIL"))</f>
        <v>PASS</v>
      </c>
    </row>
    <row r="2041" customFormat="false" ht="15" hidden="false" customHeight="false" outlineLevel="0" collapsed="false">
      <c r="A2041" s="14" t="s">
        <v>1037</v>
      </c>
      <c r="B2041" s="14" t="s">
        <v>1038</v>
      </c>
      <c r="C2041" s="14" t="s">
        <v>152</v>
      </c>
      <c r="D2041" s="14" t="s">
        <v>198</v>
      </c>
      <c r="E2041" s="14" t="s">
        <v>166</v>
      </c>
      <c r="F2041" s="14" t="s">
        <v>199</v>
      </c>
      <c r="G2041" s="14" t="n">
        <v>1</v>
      </c>
      <c r="H2041" s="14" t="s">
        <v>154</v>
      </c>
      <c r="I2041" s="14" t="s">
        <v>890</v>
      </c>
      <c r="J2041" s="15" t="n">
        <f aca="false">IF(B2041="SITE LOSS",IF(D2041=C2041,1,0),IF(B2041="REGION LOSS",IF(E2041=C2041,1,0),0))</f>
        <v>0</v>
      </c>
      <c r="K2041" s="15" t="n">
        <f aca="false">IF(B2041="SITE LOSS",IF(COUNTIFS('Site Dockets'!$B$7:$B$24,C2041,'Site Dockets'!$C$7:$C$24,F2041)&gt;0,1,0),IF(B2041="REGION LOSS",IF(COUNTIFS('Site Dockets'!$E$7:$E$24,C2041,'Site Dockets'!$C$7:$C$24,F2041)&gt;0,1,0),0))</f>
        <v>0</v>
      </c>
      <c r="L2041" s="15" t="n">
        <f aca="false">IF(J2041=1,0,Inputs!$B$11)</f>
        <v>100</v>
      </c>
      <c r="M2041" s="15" t="n">
        <f aca="false">IF(J2041=1,0,Inputs!$B$12)</f>
        <v>75</v>
      </c>
      <c r="N2041" s="15" t="n">
        <f aca="false">IF(J2041=1,0,IF(OR(AND(OR(B2041="SITE LOSS",B2041="REGION LOSS"),K2041=1),AND(B2041="ROLE COMPROMISE",H2041=C2041)),Inputs!$B$13,Inputs!$B$14))</f>
        <v>10</v>
      </c>
      <c r="O2041" s="15" t="n">
        <f aca="false">IF(J2041=1,0,Inputs!$B$13)</f>
        <v>20</v>
      </c>
      <c r="P2041" s="15" t="n">
        <f aca="false">SUM(M2041:N2041)</f>
        <v>85</v>
      </c>
      <c r="Q2041" s="15" t="n">
        <f aca="false">IF(J2041=1,"",L2041-P2041)</f>
        <v>15</v>
      </c>
      <c r="R2041" s="15" t="n">
        <f aca="false">IF(OR(J2041=1,M2041&lt;=Inputs!$B$12),1,0)</f>
        <v>1</v>
      </c>
      <c r="S2041" s="15" t="n">
        <f aca="false">IF(OR(J2041=1,N2041&lt;=O2041),1,0)</f>
        <v>1</v>
      </c>
      <c r="T2041" s="15" t="str">
        <f aca="false">IF(J2041=1,"OFFLINE",IF(AND(Q2041&gt;=Inputs!$B$15,R2041=1,S2041=1,P2041&lt;=L2041),"PASS","FAIL"))</f>
        <v>PASS</v>
      </c>
    </row>
    <row r="2042" customFormat="false" ht="15" hidden="false" customHeight="false" outlineLevel="0" collapsed="false">
      <c r="A2042" s="14" t="s">
        <v>1037</v>
      </c>
      <c r="B2042" s="14" t="s">
        <v>1038</v>
      </c>
      <c r="C2042" s="14" t="s">
        <v>152</v>
      </c>
      <c r="D2042" s="14" t="s">
        <v>198</v>
      </c>
      <c r="E2042" s="14" t="s">
        <v>166</v>
      </c>
      <c r="F2042" s="14" t="s">
        <v>199</v>
      </c>
      <c r="G2042" s="14" t="n">
        <v>1</v>
      </c>
      <c r="H2042" s="14" t="s">
        <v>154</v>
      </c>
      <c r="I2042" s="14" t="s">
        <v>892</v>
      </c>
      <c r="J2042" s="15" t="n">
        <f aca="false">IF(B2042="SITE LOSS",IF(D2042=C2042,1,0),IF(B2042="REGION LOSS",IF(E2042=C2042,1,0),0))</f>
        <v>0</v>
      </c>
      <c r="K2042" s="15" t="n">
        <f aca="false">IF(B2042="SITE LOSS",IF(COUNTIFS('Site Dockets'!$B$7:$B$24,C2042,'Site Dockets'!$C$7:$C$24,F2042)&gt;0,1,0),IF(B2042="REGION LOSS",IF(COUNTIFS('Site Dockets'!$E$7:$E$24,C2042,'Site Dockets'!$C$7:$C$24,F2042)&gt;0,1,0),0))</f>
        <v>0</v>
      </c>
      <c r="L2042" s="15" t="n">
        <f aca="false">IF(J2042=1,0,Inputs!$B$11)</f>
        <v>100</v>
      </c>
      <c r="M2042" s="15" t="n">
        <f aca="false">IF(J2042=1,0,Inputs!$B$12)</f>
        <v>75</v>
      </c>
      <c r="N2042" s="15" t="n">
        <f aca="false">IF(J2042=1,0,IF(OR(AND(OR(B2042="SITE LOSS",B2042="REGION LOSS"),K2042=1),AND(B2042="ROLE COMPROMISE",H2042=C2042)),Inputs!$B$13,Inputs!$B$14))</f>
        <v>10</v>
      </c>
      <c r="O2042" s="15" t="n">
        <f aca="false">IF(J2042=1,0,Inputs!$B$13)</f>
        <v>20</v>
      </c>
      <c r="P2042" s="15" t="n">
        <f aca="false">SUM(M2042:N2042)</f>
        <v>85</v>
      </c>
      <c r="Q2042" s="15" t="n">
        <f aca="false">IF(J2042=1,"",L2042-P2042)</f>
        <v>15</v>
      </c>
      <c r="R2042" s="15" t="n">
        <f aca="false">IF(OR(J2042=1,M2042&lt;=Inputs!$B$12),1,0)</f>
        <v>1</v>
      </c>
      <c r="S2042" s="15" t="n">
        <f aca="false">IF(OR(J2042=1,N2042&lt;=O2042),1,0)</f>
        <v>1</v>
      </c>
      <c r="T2042" s="15" t="str">
        <f aca="false">IF(J2042=1,"OFFLINE",IF(AND(Q2042&gt;=Inputs!$B$15,R2042=1,S2042=1,P2042&lt;=L2042),"PASS","FAIL"))</f>
        <v>PASS</v>
      </c>
    </row>
    <row r="2043" customFormat="false" ht="15" hidden="false" customHeight="false" outlineLevel="0" collapsed="false">
      <c r="A2043" s="14" t="s">
        <v>1037</v>
      </c>
      <c r="B2043" s="14" t="s">
        <v>1038</v>
      </c>
      <c r="C2043" s="14" t="s">
        <v>152</v>
      </c>
      <c r="D2043" s="14" t="s">
        <v>198</v>
      </c>
      <c r="E2043" s="14" t="s">
        <v>166</v>
      </c>
      <c r="F2043" s="14" t="s">
        <v>199</v>
      </c>
      <c r="G2043" s="14" t="n">
        <v>1</v>
      </c>
      <c r="H2043" s="14" t="s">
        <v>154</v>
      </c>
      <c r="I2043" s="14" t="s">
        <v>811</v>
      </c>
      <c r="J2043" s="15" t="n">
        <f aca="false">IF(B2043="SITE LOSS",IF(D2043=C2043,1,0),IF(B2043="REGION LOSS",IF(E2043=C2043,1,0),0))</f>
        <v>0</v>
      </c>
      <c r="K2043" s="15" t="n">
        <f aca="false">IF(B2043="SITE LOSS",IF(COUNTIFS('Site Dockets'!$B$7:$B$24,C2043,'Site Dockets'!$C$7:$C$24,F2043)&gt;0,1,0),IF(B2043="REGION LOSS",IF(COUNTIFS('Site Dockets'!$E$7:$E$24,C2043,'Site Dockets'!$C$7:$C$24,F2043)&gt;0,1,0),0))</f>
        <v>0</v>
      </c>
      <c r="L2043" s="15" t="n">
        <f aca="false">IF(J2043=1,0,Inputs!$B$11)</f>
        <v>100</v>
      </c>
      <c r="M2043" s="15" t="n">
        <f aca="false">IF(J2043=1,0,Inputs!$B$12)</f>
        <v>75</v>
      </c>
      <c r="N2043" s="15" t="n">
        <f aca="false">IF(J2043=1,0,IF(OR(AND(OR(B2043="SITE LOSS",B2043="REGION LOSS"),K2043=1),AND(B2043="ROLE COMPROMISE",H2043=C2043)),Inputs!$B$13,Inputs!$B$14))</f>
        <v>10</v>
      </c>
      <c r="O2043" s="15" t="n">
        <f aca="false">IF(J2043=1,0,Inputs!$B$13)</f>
        <v>20</v>
      </c>
      <c r="P2043" s="15" t="n">
        <f aca="false">SUM(M2043:N2043)</f>
        <v>85</v>
      </c>
      <c r="Q2043" s="15" t="n">
        <f aca="false">IF(J2043=1,"",L2043-P2043)</f>
        <v>15</v>
      </c>
      <c r="R2043" s="15" t="n">
        <f aca="false">IF(OR(J2043=1,M2043&lt;=Inputs!$B$12),1,0)</f>
        <v>1</v>
      </c>
      <c r="S2043" s="15" t="n">
        <f aca="false">IF(OR(J2043=1,N2043&lt;=O2043),1,0)</f>
        <v>1</v>
      </c>
      <c r="T2043" s="15" t="str">
        <f aca="false">IF(J2043=1,"OFFLINE",IF(AND(Q2043&gt;=Inputs!$B$15,R2043=1,S2043=1,P2043&lt;=L2043),"PASS","FAIL"))</f>
        <v>PASS</v>
      </c>
    </row>
    <row r="2044" customFormat="false" ht="15" hidden="false" customHeight="false" outlineLevel="0" collapsed="false">
      <c r="A2044" s="14" t="s">
        <v>1037</v>
      </c>
      <c r="B2044" s="14" t="s">
        <v>1038</v>
      </c>
      <c r="C2044" s="14" t="s">
        <v>152</v>
      </c>
      <c r="D2044" s="14" t="s">
        <v>198</v>
      </c>
      <c r="E2044" s="14" t="s">
        <v>166</v>
      </c>
      <c r="F2044" s="14" t="s">
        <v>199</v>
      </c>
      <c r="G2044" s="14" t="n">
        <v>1</v>
      </c>
      <c r="H2044" s="14" t="s">
        <v>154</v>
      </c>
      <c r="I2044" s="14" t="s">
        <v>895</v>
      </c>
      <c r="J2044" s="15" t="n">
        <f aca="false">IF(B2044="SITE LOSS",IF(D2044=C2044,1,0),IF(B2044="REGION LOSS",IF(E2044=C2044,1,0),0))</f>
        <v>0</v>
      </c>
      <c r="K2044" s="15" t="n">
        <f aca="false">IF(B2044="SITE LOSS",IF(COUNTIFS('Site Dockets'!$B$7:$B$24,C2044,'Site Dockets'!$C$7:$C$24,F2044)&gt;0,1,0),IF(B2044="REGION LOSS",IF(COUNTIFS('Site Dockets'!$E$7:$E$24,C2044,'Site Dockets'!$C$7:$C$24,F2044)&gt;0,1,0),0))</f>
        <v>0</v>
      </c>
      <c r="L2044" s="15" t="n">
        <f aca="false">IF(J2044=1,0,Inputs!$B$11)</f>
        <v>100</v>
      </c>
      <c r="M2044" s="15" t="n">
        <f aca="false">IF(J2044=1,0,Inputs!$B$12)</f>
        <v>75</v>
      </c>
      <c r="N2044" s="15" t="n">
        <f aca="false">IF(J2044=1,0,IF(OR(AND(OR(B2044="SITE LOSS",B2044="REGION LOSS"),K2044=1),AND(B2044="ROLE COMPROMISE",H2044=C2044)),Inputs!$B$13,Inputs!$B$14))</f>
        <v>10</v>
      </c>
      <c r="O2044" s="15" t="n">
        <f aca="false">IF(J2044=1,0,Inputs!$B$13)</f>
        <v>20</v>
      </c>
      <c r="P2044" s="15" t="n">
        <f aca="false">SUM(M2044:N2044)</f>
        <v>85</v>
      </c>
      <c r="Q2044" s="15" t="n">
        <f aca="false">IF(J2044=1,"",L2044-P2044)</f>
        <v>15</v>
      </c>
      <c r="R2044" s="15" t="n">
        <f aca="false">IF(OR(J2044=1,M2044&lt;=Inputs!$B$12),1,0)</f>
        <v>1</v>
      </c>
      <c r="S2044" s="15" t="n">
        <f aca="false">IF(OR(J2044=1,N2044&lt;=O2044),1,0)</f>
        <v>1</v>
      </c>
      <c r="T2044" s="15" t="str">
        <f aca="false">IF(J2044=1,"OFFLINE",IF(AND(Q2044&gt;=Inputs!$B$15,R2044=1,S2044=1,P2044&lt;=L2044),"PASS","FAIL"))</f>
        <v>PASS</v>
      </c>
    </row>
    <row r="2045" customFormat="false" ht="15" hidden="false" customHeight="false" outlineLevel="0" collapsed="false">
      <c r="A2045" s="14" t="s">
        <v>1037</v>
      </c>
      <c r="B2045" s="14" t="s">
        <v>1038</v>
      </c>
      <c r="C2045" s="14" t="s">
        <v>152</v>
      </c>
      <c r="D2045" s="14" t="s">
        <v>198</v>
      </c>
      <c r="E2045" s="14" t="s">
        <v>166</v>
      </c>
      <c r="F2045" s="14" t="s">
        <v>199</v>
      </c>
      <c r="G2045" s="14" t="n">
        <v>1</v>
      </c>
      <c r="H2045" s="14" t="s">
        <v>154</v>
      </c>
      <c r="I2045" s="14" t="s">
        <v>897</v>
      </c>
      <c r="J2045" s="15" t="n">
        <f aca="false">IF(B2045="SITE LOSS",IF(D2045=C2045,1,0),IF(B2045="REGION LOSS",IF(E2045=C2045,1,0),0))</f>
        <v>0</v>
      </c>
      <c r="K2045" s="15" t="n">
        <f aca="false">IF(B2045="SITE LOSS",IF(COUNTIFS('Site Dockets'!$B$7:$B$24,C2045,'Site Dockets'!$C$7:$C$24,F2045)&gt;0,1,0),IF(B2045="REGION LOSS",IF(COUNTIFS('Site Dockets'!$E$7:$E$24,C2045,'Site Dockets'!$C$7:$C$24,F2045)&gt;0,1,0),0))</f>
        <v>0</v>
      </c>
      <c r="L2045" s="15" t="n">
        <f aca="false">IF(J2045=1,0,Inputs!$B$11)</f>
        <v>100</v>
      </c>
      <c r="M2045" s="15" t="n">
        <f aca="false">IF(J2045=1,0,Inputs!$B$12)</f>
        <v>75</v>
      </c>
      <c r="N2045" s="15" t="n">
        <f aca="false">IF(J2045=1,0,IF(OR(AND(OR(B2045="SITE LOSS",B2045="REGION LOSS"),K2045=1),AND(B2045="ROLE COMPROMISE",H2045=C2045)),Inputs!$B$13,Inputs!$B$14))</f>
        <v>10</v>
      </c>
      <c r="O2045" s="15" t="n">
        <f aca="false">IF(J2045=1,0,Inputs!$B$13)</f>
        <v>20</v>
      </c>
      <c r="P2045" s="15" t="n">
        <f aca="false">SUM(M2045:N2045)</f>
        <v>85</v>
      </c>
      <c r="Q2045" s="15" t="n">
        <f aca="false">IF(J2045=1,"",L2045-P2045)</f>
        <v>15</v>
      </c>
      <c r="R2045" s="15" t="n">
        <f aca="false">IF(OR(J2045=1,M2045&lt;=Inputs!$B$12),1,0)</f>
        <v>1</v>
      </c>
      <c r="S2045" s="15" t="n">
        <f aca="false">IF(OR(J2045=1,N2045&lt;=O2045),1,0)</f>
        <v>1</v>
      </c>
      <c r="T2045" s="15" t="str">
        <f aca="false">IF(J2045=1,"OFFLINE",IF(AND(Q2045&gt;=Inputs!$B$15,R2045=1,S2045=1,P2045&lt;=L2045),"PASS","FAIL"))</f>
        <v>PASS</v>
      </c>
    </row>
    <row r="2046" customFormat="false" ht="15" hidden="false" customHeight="false" outlineLevel="0" collapsed="false">
      <c r="A2046" s="14" t="s">
        <v>1037</v>
      </c>
      <c r="B2046" s="14" t="s">
        <v>1038</v>
      </c>
      <c r="C2046" s="14" t="s">
        <v>152</v>
      </c>
      <c r="D2046" s="14" t="s">
        <v>198</v>
      </c>
      <c r="E2046" s="14" t="s">
        <v>166</v>
      </c>
      <c r="F2046" s="14" t="s">
        <v>199</v>
      </c>
      <c r="G2046" s="14" t="n">
        <v>1</v>
      </c>
      <c r="H2046" s="14" t="s">
        <v>154</v>
      </c>
      <c r="I2046" s="14" t="s">
        <v>899</v>
      </c>
      <c r="J2046" s="15" t="n">
        <f aca="false">IF(B2046="SITE LOSS",IF(D2046=C2046,1,0),IF(B2046="REGION LOSS",IF(E2046=C2046,1,0),0))</f>
        <v>0</v>
      </c>
      <c r="K2046" s="15" t="n">
        <f aca="false">IF(B2046="SITE LOSS",IF(COUNTIFS('Site Dockets'!$B$7:$B$24,C2046,'Site Dockets'!$C$7:$C$24,F2046)&gt;0,1,0),IF(B2046="REGION LOSS",IF(COUNTIFS('Site Dockets'!$E$7:$E$24,C2046,'Site Dockets'!$C$7:$C$24,F2046)&gt;0,1,0),0))</f>
        <v>0</v>
      </c>
      <c r="L2046" s="15" t="n">
        <f aca="false">IF(J2046=1,0,Inputs!$B$11)</f>
        <v>100</v>
      </c>
      <c r="M2046" s="15" t="n">
        <f aca="false">IF(J2046=1,0,Inputs!$B$12)</f>
        <v>75</v>
      </c>
      <c r="N2046" s="15" t="n">
        <f aca="false">IF(J2046=1,0,IF(OR(AND(OR(B2046="SITE LOSS",B2046="REGION LOSS"),K2046=1),AND(B2046="ROLE COMPROMISE",H2046=C2046)),Inputs!$B$13,Inputs!$B$14))</f>
        <v>10</v>
      </c>
      <c r="O2046" s="15" t="n">
        <f aca="false">IF(J2046=1,0,Inputs!$B$13)</f>
        <v>20</v>
      </c>
      <c r="P2046" s="15" t="n">
        <f aca="false">SUM(M2046:N2046)</f>
        <v>85</v>
      </c>
      <c r="Q2046" s="15" t="n">
        <f aca="false">IF(J2046=1,"",L2046-P2046)</f>
        <v>15</v>
      </c>
      <c r="R2046" s="15" t="n">
        <f aca="false">IF(OR(J2046=1,M2046&lt;=Inputs!$B$12),1,0)</f>
        <v>1</v>
      </c>
      <c r="S2046" s="15" t="n">
        <f aca="false">IF(OR(J2046=1,N2046&lt;=O2046),1,0)</f>
        <v>1</v>
      </c>
      <c r="T2046" s="15" t="str">
        <f aca="false">IF(J2046=1,"OFFLINE",IF(AND(Q2046&gt;=Inputs!$B$15,R2046=1,S2046=1,P2046&lt;=L2046),"PASS","FAIL"))</f>
        <v>PASS</v>
      </c>
    </row>
    <row r="2047" customFormat="false" ht="15" hidden="false" customHeight="false" outlineLevel="0" collapsed="false">
      <c r="A2047" s="14" t="s">
        <v>1037</v>
      </c>
      <c r="B2047" s="14" t="s">
        <v>1038</v>
      </c>
      <c r="C2047" s="14" t="s">
        <v>152</v>
      </c>
      <c r="D2047" s="14" t="s">
        <v>202</v>
      </c>
      <c r="E2047" s="14" t="s">
        <v>157</v>
      </c>
      <c r="F2047" s="14" t="s">
        <v>199</v>
      </c>
      <c r="G2047" s="14" t="n">
        <v>2</v>
      </c>
      <c r="H2047" s="14" t="s">
        <v>153</v>
      </c>
      <c r="I2047" s="14" t="s">
        <v>890</v>
      </c>
      <c r="J2047" s="15" t="n">
        <f aca="false">IF(B2047="SITE LOSS",IF(D2047=C2047,1,0),IF(B2047="REGION LOSS",IF(E2047=C2047,1,0),0))</f>
        <v>0</v>
      </c>
      <c r="K2047" s="15" t="n">
        <f aca="false">IF(B2047="SITE LOSS",IF(COUNTIFS('Site Dockets'!$B$7:$B$24,C2047,'Site Dockets'!$C$7:$C$24,F2047)&gt;0,1,0),IF(B2047="REGION LOSS",IF(COUNTIFS('Site Dockets'!$E$7:$E$24,C2047,'Site Dockets'!$C$7:$C$24,F2047)&gt;0,1,0),0))</f>
        <v>0</v>
      </c>
      <c r="L2047" s="15" t="n">
        <f aca="false">IF(J2047=1,0,Inputs!$B$11)</f>
        <v>100</v>
      </c>
      <c r="M2047" s="15" t="n">
        <f aca="false">IF(J2047=1,0,Inputs!$B$12)</f>
        <v>75</v>
      </c>
      <c r="N2047" s="15" t="n">
        <f aca="false">IF(J2047=1,0,IF(OR(AND(OR(B2047="SITE LOSS",B2047="REGION LOSS"),K2047=1),AND(B2047="ROLE COMPROMISE",H2047=C2047)),Inputs!$B$13,Inputs!$B$14))</f>
        <v>10</v>
      </c>
      <c r="O2047" s="15" t="n">
        <f aca="false">IF(J2047=1,0,Inputs!$B$13)</f>
        <v>20</v>
      </c>
      <c r="P2047" s="15" t="n">
        <f aca="false">SUM(M2047:N2047)</f>
        <v>85</v>
      </c>
      <c r="Q2047" s="15" t="n">
        <f aca="false">IF(J2047=1,"",L2047-P2047)</f>
        <v>15</v>
      </c>
      <c r="R2047" s="15" t="n">
        <f aca="false">IF(OR(J2047=1,M2047&lt;=Inputs!$B$12),1,0)</f>
        <v>1</v>
      </c>
      <c r="S2047" s="15" t="n">
        <f aca="false">IF(OR(J2047=1,N2047&lt;=O2047),1,0)</f>
        <v>1</v>
      </c>
      <c r="T2047" s="15" t="str">
        <f aca="false">IF(J2047=1,"OFFLINE",IF(AND(Q2047&gt;=Inputs!$B$15,R2047=1,S2047=1,P2047&lt;=L2047),"PASS","FAIL"))</f>
        <v>PASS</v>
      </c>
    </row>
    <row r="2048" customFormat="false" ht="15" hidden="false" customHeight="false" outlineLevel="0" collapsed="false">
      <c r="A2048" s="14" t="s">
        <v>1037</v>
      </c>
      <c r="B2048" s="14" t="s">
        <v>1038</v>
      </c>
      <c r="C2048" s="14" t="s">
        <v>152</v>
      </c>
      <c r="D2048" s="14" t="s">
        <v>202</v>
      </c>
      <c r="E2048" s="14" t="s">
        <v>157</v>
      </c>
      <c r="F2048" s="14" t="s">
        <v>199</v>
      </c>
      <c r="G2048" s="14" t="n">
        <v>2</v>
      </c>
      <c r="H2048" s="14" t="s">
        <v>153</v>
      </c>
      <c r="I2048" s="14" t="s">
        <v>892</v>
      </c>
      <c r="J2048" s="15" t="n">
        <f aca="false">IF(B2048="SITE LOSS",IF(D2048=C2048,1,0),IF(B2048="REGION LOSS",IF(E2048=C2048,1,0),0))</f>
        <v>0</v>
      </c>
      <c r="K2048" s="15" t="n">
        <f aca="false">IF(B2048="SITE LOSS",IF(COUNTIFS('Site Dockets'!$B$7:$B$24,C2048,'Site Dockets'!$C$7:$C$24,F2048)&gt;0,1,0),IF(B2048="REGION LOSS",IF(COUNTIFS('Site Dockets'!$E$7:$E$24,C2048,'Site Dockets'!$C$7:$C$24,F2048)&gt;0,1,0),0))</f>
        <v>0</v>
      </c>
      <c r="L2048" s="15" t="n">
        <f aca="false">IF(J2048=1,0,Inputs!$B$11)</f>
        <v>100</v>
      </c>
      <c r="M2048" s="15" t="n">
        <f aca="false">IF(J2048=1,0,Inputs!$B$12)</f>
        <v>75</v>
      </c>
      <c r="N2048" s="15" t="n">
        <f aca="false">IF(J2048=1,0,IF(OR(AND(OR(B2048="SITE LOSS",B2048="REGION LOSS"),K2048=1),AND(B2048="ROLE COMPROMISE",H2048=C2048)),Inputs!$B$13,Inputs!$B$14))</f>
        <v>10</v>
      </c>
      <c r="O2048" s="15" t="n">
        <f aca="false">IF(J2048=1,0,Inputs!$B$13)</f>
        <v>20</v>
      </c>
      <c r="P2048" s="15" t="n">
        <f aca="false">SUM(M2048:N2048)</f>
        <v>85</v>
      </c>
      <c r="Q2048" s="15" t="n">
        <f aca="false">IF(J2048=1,"",L2048-P2048)</f>
        <v>15</v>
      </c>
      <c r="R2048" s="15" t="n">
        <f aca="false">IF(OR(J2048=1,M2048&lt;=Inputs!$B$12),1,0)</f>
        <v>1</v>
      </c>
      <c r="S2048" s="15" t="n">
        <f aca="false">IF(OR(J2048=1,N2048&lt;=O2048),1,0)</f>
        <v>1</v>
      </c>
      <c r="T2048" s="15" t="str">
        <f aca="false">IF(J2048=1,"OFFLINE",IF(AND(Q2048&gt;=Inputs!$B$15,R2048=1,S2048=1,P2048&lt;=L2048),"PASS","FAIL"))</f>
        <v>PASS</v>
      </c>
    </row>
    <row r="2049" customFormat="false" ht="15" hidden="false" customHeight="false" outlineLevel="0" collapsed="false">
      <c r="A2049" s="14" t="s">
        <v>1037</v>
      </c>
      <c r="B2049" s="14" t="s">
        <v>1038</v>
      </c>
      <c r="C2049" s="14" t="s">
        <v>152</v>
      </c>
      <c r="D2049" s="14" t="s">
        <v>202</v>
      </c>
      <c r="E2049" s="14" t="s">
        <v>157</v>
      </c>
      <c r="F2049" s="14" t="s">
        <v>199</v>
      </c>
      <c r="G2049" s="14" t="n">
        <v>2</v>
      </c>
      <c r="H2049" s="14" t="s">
        <v>153</v>
      </c>
      <c r="I2049" s="14" t="s">
        <v>811</v>
      </c>
      <c r="J2049" s="15" t="n">
        <f aca="false">IF(B2049="SITE LOSS",IF(D2049=C2049,1,0),IF(B2049="REGION LOSS",IF(E2049=C2049,1,0),0))</f>
        <v>0</v>
      </c>
      <c r="K2049" s="15" t="n">
        <f aca="false">IF(B2049="SITE LOSS",IF(COUNTIFS('Site Dockets'!$B$7:$B$24,C2049,'Site Dockets'!$C$7:$C$24,F2049)&gt;0,1,0),IF(B2049="REGION LOSS",IF(COUNTIFS('Site Dockets'!$E$7:$E$24,C2049,'Site Dockets'!$C$7:$C$24,F2049)&gt;0,1,0),0))</f>
        <v>0</v>
      </c>
      <c r="L2049" s="15" t="n">
        <f aca="false">IF(J2049=1,0,Inputs!$B$11)</f>
        <v>100</v>
      </c>
      <c r="M2049" s="15" t="n">
        <f aca="false">IF(J2049=1,0,Inputs!$B$12)</f>
        <v>75</v>
      </c>
      <c r="N2049" s="15" t="n">
        <f aca="false">IF(J2049=1,0,IF(OR(AND(OR(B2049="SITE LOSS",B2049="REGION LOSS"),K2049=1),AND(B2049="ROLE COMPROMISE",H2049=C2049)),Inputs!$B$13,Inputs!$B$14))</f>
        <v>10</v>
      </c>
      <c r="O2049" s="15" t="n">
        <f aca="false">IF(J2049=1,0,Inputs!$B$13)</f>
        <v>20</v>
      </c>
      <c r="P2049" s="15" t="n">
        <f aca="false">SUM(M2049:N2049)</f>
        <v>85</v>
      </c>
      <c r="Q2049" s="15" t="n">
        <f aca="false">IF(J2049=1,"",L2049-P2049)</f>
        <v>15</v>
      </c>
      <c r="R2049" s="15" t="n">
        <f aca="false">IF(OR(J2049=1,M2049&lt;=Inputs!$B$12),1,0)</f>
        <v>1</v>
      </c>
      <c r="S2049" s="15" t="n">
        <f aca="false">IF(OR(J2049=1,N2049&lt;=O2049),1,0)</f>
        <v>1</v>
      </c>
      <c r="T2049" s="15" t="str">
        <f aca="false">IF(J2049=1,"OFFLINE",IF(AND(Q2049&gt;=Inputs!$B$15,R2049=1,S2049=1,P2049&lt;=L2049),"PASS","FAIL"))</f>
        <v>PASS</v>
      </c>
    </row>
    <row r="2050" customFormat="false" ht="15" hidden="false" customHeight="false" outlineLevel="0" collapsed="false">
      <c r="A2050" s="14" t="s">
        <v>1037</v>
      </c>
      <c r="B2050" s="14" t="s">
        <v>1038</v>
      </c>
      <c r="C2050" s="14" t="s">
        <v>152</v>
      </c>
      <c r="D2050" s="14" t="s">
        <v>202</v>
      </c>
      <c r="E2050" s="14" t="s">
        <v>157</v>
      </c>
      <c r="F2050" s="14" t="s">
        <v>199</v>
      </c>
      <c r="G2050" s="14" t="n">
        <v>2</v>
      </c>
      <c r="H2050" s="14" t="s">
        <v>153</v>
      </c>
      <c r="I2050" s="14" t="s">
        <v>895</v>
      </c>
      <c r="J2050" s="15" t="n">
        <f aca="false">IF(B2050="SITE LOSS",IF(D2050=C2050,1,0),IF(B2050="REGION LOSS",IF(E2050=C2050,1,0),0))</f>
        <v>0</v>
      </c>
      <c r="K2050" s="15" t="n">
        <f aca="false">IF(B2050="SITE LOSS",IF(COUNTIFS('Site Dockets'!$B$7:$B$24,C2050,'Site Dockets'!$C$7:$C$24,F2050)&gt;0,1,0),IF(B2050="REGION LOSS",IF(COUNTIFS('Site Dockets'!$E$7:$E$24,C2050,'Site Dockets'!$C$7:$C$24,F2050)&gt;0,1,0),0))</f>
        <v>0</v>
      </c>
      <c r="L2050" s="15" t="n">
        <f aca="false">IF(J2050=1,0,Inputs!$B$11)</f>
        <v>100</v>
      </c>
      <c r="M2050" s="15" t="n">
        <f aca="false">IF(J2050=1,0,Inputs!$B$12)</f>
        <v>75</v>
      </c>
      <c r="N2050" s="15" t="n">
        <f aca="false">IF(J2050=1,0,IF(OR(AND(OR(B2050="SITE LOSS",B2050="REGION LOSS"),K2050=1),AND(B2050="ROLE COMPROMISE",H2050=C2050)),Inputs!$B$13,Inputs!$B$14))</f>
        <v>10</v>
      </c>
      <c r="O2050" s="15" t="n">
        <f aca="false">IF(J2050=1,0,Inputs!$B$13)</f>
        <v>20</v>
      </c>
      <c r="P2050" s="15" t="n">
        <f aca="false">SUM(M2050:N2050)</f>
        <v>85</v>
      </c>
      <c r="Q2050" s="15" t="n">
        <f aca="false">IF(J2050=1,"",L2050-P2050)</f>
        <v>15</v>
      </c>
      <c r="R2050" s="15" t="n">
        <f aca="false">IF(OR(J2050=1,M2050&lt;=Inputs!$B$12),1,0)</f>
        <v>1</v>
      </c>
      <c r="S2050" s="15" t="n">
        <f aca="false">IF(OR(J2050=1,N2050&lt;=O2050),1,0)</f>
        <v>1</v>
      </c>
      <c r="T2050" s="15" t="str">
        <f aca="false">IF(J2050=1,"OFFLINE",IF(AND(Q2050&gt;=Inputs!$B$15,R2050=1,S2050=1,P2050&lt;=L2050),"PASS","FAIL"))</f>
        <v>PASS</v>
      </c>
    </row>
    <row r="2051" customFormat="false" ht="15" hidden="false" customHeight="false" outlineLevel="0" collapsed="false">
      <c r="A2051" s="14" t="s">
        <v>1037</v>
      </c>
      <c r="B2051" s="14" t="s">
        <v>1038</v>
      </c>
      <c r="C2051" s="14" t="s">
        <v>152</v>
      </c>
      <c r="D2051" s="14" t="s">
        <v>202</v>
      </c>
      <c r="E2051" s="14" t="s">
        <v>157</v>
      </c>
      <c r="F2051" s="14" t="s">
        <v>199</v>
      </c>
      <c r="G2051" s="14" t="n">
        <v>2</v>
      </c>
      <c r="H2051" s="14" t="s">
        <v>153</v>
      </c>
      <c r="I2051" s="14" t="s">
        <v>897</v>
      </c>
      <c r="J2051" s="15" t="n">
        <f aca="false">IF(B2051="SITE LOSS",IF(D2051=C2051,1,0),IF(B2051="REGION LOSS",IF(E2051=C2051,1,0),0))</f>
        <v>0</v>
      </c>
      <c r="K2051" s="15" t="n">
        <f aca="false">IF(B2051="SITE LOSS",IF(COUNTIFS('Site Dockets'!$B$7:$B$24,C2051,'Site Dockets'!$C$7:$C$24,F2051)&gt;0,1,0),IF(B2051="REGION LOSS",IF(COUNTIFS('Site Dockets'!$E$7:$E$24,C2051,'Site Dockets'!$C$7:$C$24,F2051)&gt;0,1,0),0))</f>
        <v>0</v>
      </c>
      <c r="L2051" s="15" t="n">
        <f aca="false">IF(J2051=1,0,Inputs!$B$11)</f>
        <v>100</v>
      </c>
      <c r="M2051" s="15" t="n">
        <f aca="false">IF(J2051=1,0,Inputs!$B$12)</f>
        <v>75</v>
      </c>
      <c r="N2051" s="15" t="n">
        <f aca="false">IF(J2051=1,0,IF(OR(AND(OR(B2051="SITE LOSS",B2051="REGION LOSS"),K2051=1),AND(B2051="ROLE COMPROMISE",H2051=C2051)),Inputs!$B$13,Inputs!$B$14))</f>
        <v>10</v>
      </c>
      <c r="O2051" s="15" t="n">
        <f aca="false">IF(J2051=1,0,Inputs!$B$13)</f>
        <v>20</v>
      </c>
      <c r="P2051" s="15" t="n">
        <f aca="false">SUM(M2051:N2051)</f>
        <v>85</v>
      </c>
      <c r="Q2051" s="15" t="n">
        <f aca="false">IF(J2051=1,"",L2051-P2051)</f>
        <v>15</v>
      </c>
      <c r="R2051" s="15" t="n">
        <f aca="false">IF(OR(J2051=1,M2051&lt;=Inputs!$B$12),1,0)</f>
        <v>1</v>
      </c>
      <c r="S2051" s="15" t="n">
        <f aca="false">IF(OR(J2051=1,N2051&lt;=O2051),1,0)</f>
        <v>1</v>
      </c>
      <c r="T2051" s="15" t="str">
        <f aca="false">IF(J2051=1,"OFFLINE",IF(AND(Q2051&gt;=Inputs!$B$15,R2051=1,S2051=1,P2051&lt;=L2051),"PASS","FAIL"))</f>
        <v>PASS</v>
      </c>
    </row>
    <row r="2052" customFormat="false" ht="15" hidden="false" customHeight="false" outlineLevel="0" collapsed="false">
      <c r="A2052" s="14" t="s">
        <v>1037</v>
      </c>
      <c r="B2052" s="14" t="s">
        <v>1038</v>
      </c>
      <c r="C2052" s="14" t="s">
        <v>152</v>
      </c>
      <c r="D2052" s="14" t="s">
        <v>202</v>
      </c>
      <c r="E2052" s="14" t="s">
        <v>157</v>
      </c>
      <c r="F2052" s="14" t="s">
        <v>199</v>
      </c>
      <c r="G2052" s="14" t="n">
        <v>2</v>
      </c>
      <c r="H2052" s="14" t="s">
        <v>153</v>
      </c>
      <c r="I2052" s="14" t="s">
        <v>899</v>
      </c>
      <c r="J2052" s="15" t="n">
        <f aca="false">IF(B2052="SITE LOSS",IF(D2052=C2052,1,0),IF(B2052="REGION LOSS",IF(E2052=C2052,1,0),0))</f>
        <v>0</v>
      </c>
      <c r="K2052" s="15" t="n">
        <f aca="false">IF(B2052="SITE LOSS",IF(COUNTIFS('Site Dockets'!$B$7:$B$24,C2052,'Site Dockets'!$C$7:$C$24,F2052)&gt;0,1,0),IF(B2052="REGION LOSS",IF(COUNTIFS('Site Dockets'!$E$7:$E$24,C2052,'Site Dockets'!$C$7:$C$24,F2052)&gt;0,1,0),0))</f>
        <v>0</v>
      </c>
      <c r="L2052" s="15" t="n">
        <f aca="false">IF(J2052=1,0,Inputs!$B$11)</f>
        <v>100</v>
      </c>
      <c r="M2052" s="15" t="n">
        <f aca="false">IF(J2052=1,0,Inputs!$B$12)</f>
        <v>75</v>
      </c>
      <c r="N2052" s="15" t="n">
        <f aca="false">IF(J2052=1,0,IF(OR(AND(OR(B2052="SITE LOSS",B2052="REGION LOSS"),K2052=1),AND(B2052="ROLE COMPROMISE",H2052=C2052)),Inputs!$B$13,Inputs!$B$14))</f>
        <v>10</v>
      </c>
      <c r="O2052" s="15" t="n">
        <f aca="false">IF(J2052=1,0,Inputs!$B$13)</f>
        <v>20</v>
      </c>
      <c r="P2052" s="15" t="n">
        <f aca="false">SUM(M2052:N2052)</f>
        <v>85</v>
      </c>
      <c r="Q2052" s="15" t="n">
        <f aca="false">IF(J2052=1,"",L2052-P2052)</f>
        <v>15</v>
      </c>
      <c r="R2052" s="15" t="n">
        <f aca="false">IF(OR(J2052=1,M2052&lt;=Inputs!$B$12),1,0)</f>
        <v>1</v>
      </c>
      <c r="S2052" s="15" t="n">
        <f aca="false">IF(OR(J2052=1,N2052&lt;=O2052),1,0)</f>
        <v>1</v>
      </c>
      <c r="T2052" s="15" t="str">
        <f aca="false">IF(J2052=1,"OFFLINE",IF(AND(Q2052&gt;=Inputs!$B$15,R2052=1,S2052=1,P2052&lt;=L2052),"PASS","FAIL"))</f>
        <v>PASS</v>
      </c>
    </row>
    <row r="2053" customFormat="false" ht="15" hidden="false" customHeight="false" outlineLevel="0" collapsed="false">
      <c r="A2053" s="14" t="s">
        <v>1037</v>
      </c>
      <c r="B2053" s="14" t="s">
        <v>1038</v>
      </c>
      <c r="C2053" s="14" t="s">
        <v>152</v>
      </c>
      <c r="D2053" s="14" t="s">
        <v>204</v>
      </c>
      <c r="E2053" s="14" t="s">
        <v>161</v>
      </c>
      <c r="F2053" s="14" t="s">
        <v>199</v>
      </c>
      <c r="G2053" s="14" t="n">
        <v>3</v>
      </c>
      <c r="H2053" s="14" t="s">
        <v>158</v>
      </c>
      <c r="I2053" s="14" t="s">
        <v>890</v>
      </c>
      <c r="J2053" s="15" t="n">
        <f aca="false">IF(B2053="SITE LOSS",IF(D2053=C2053,1,0),IF(B2053="REGION LOSS",IF(E2053=C2053,1,0),0))</f>
        <v>0</v>
      </c>
      <c r="K2053" s="15" t="n">
        <f aca="false">IF(B2053="SITE LOSS",IF(COUNTIFS('Site Dockets'!$B$7:$B$24,C2053,'Site Dockets'!$C$7:$C$24,F2053)&gt;0,1,0),IF(B2053="REGION LOSS",IF(COUNTIFS('Site Dockets'!$E$7:$E$24,C2053,'Site Dockets'!$C$7:$C$24,F2053)&gt;0,1,0),0))</f>
        <v>0</v>
      </c>
      <c r="L2053" s="15" t="n">
        <f aca="false">IF(J2053=1,0,Inputs!$B$11)</f>
        <v>100</v>
      </c>
      <c r="M2053" s="15" t="n">
        <f aca="false">IF(J2053=1,0,Inputs!$B$12)</f>
        <v>75</v>
      </c>
      <c r="N2053" s="15" t="n">
        <f aca="false">IF(J2053=1,0,IF(OR(AND(OR(B2053="SITE LOSS",B2053="REGION LOSS"),K2053=1),AND(B2053="ROLE COMPROMISE",H2053=C2053)),Inputs!$B$13,Inputs!$B$14))</f>
        <v>10</v>
      </c>
      <c r="O2053" s="15" t="n">
        <f aca="false">IF(J2053=1,0,Inputs!$B$13)</f>
        <v>20</v>
      </c>
      <c r="P2053" s="15" t="n">
        <f aca="false">SUM(M2053:N2053)</f>
        <v>85</v>
      </c>
      <c r="Q2053" s="15" t="n">
        <f aca="false">IF(J2053=1,"",L2053-P2053)</f>
        <v>15</v>
      </c>
      <c r="R2053" s="15" t="n">
        <f aca="false">IF(OR(J2053=1,M2053&lt;=Inputs!$B$12),1,0)</f>
        <v>1</v>
      </c>
      <c r="S2053" s="15" t="n">
        <f aca="false">IF(OR(J2053=1,N2053&lt;=O2053),1,0)</f>
        <v>1</v>
      </c>
      <c r="T2053" s="15" t="str">
        <f aca="false">IF(J2053=1,"OFFLINE",IF(AND(Q2053&gt;=Inputs!$B$15,R2053=1,S2053=1,P2053&lt;=L2053),"PASS","FAIL"))</f>
        <v>PASS</v>
      </c>
    </row>
    <row r="2054" customFormat="false" ht="15" hidden="false" customHeight="false" outlineLevel="0" collapsed="false">
      <c r="A2054" s="14" t="s">
        <v>1037</v>
      </c>
      <c r="B2054" s="14" t="s">
        <v>1038</v>
      </c>
      <c r="C2054" s="14" t="s">
        <v>152</v>
      </c>
      <c r="D2054" s="14" t="s">
        <v>204</v>
      </c>
      <c r="E2054" s="14" t="s">
        <v>161</v>
      </c>
      <c r="F2054" s="14" t="s">
        <v>199</v>
      </c>
      <c r="G2054" s="14" t="n">
        <v>3</v>
      </c>
      <c r="H2054" s="14" t="s">
        <v>158</v>
      </c>
      <c r="I2054" s="14" t="s">
        <v>892</v>
      </c>
      <c r="J2054" s="15" t="n">
        <f aca="false">IF(B2054="SITE LOSS",IF(D2054=C2054,1,0),IF(B2054="REGION LOSS",IF(E2054=C2054,1,0),0))</f>
        <v>0</v>
      </c>
      <c r="K2054" s="15" t="n">
        <f aca="false">IF(B2054="SITE LOSS",IF(COUNTIFS('Site Dockets'!$B$7:$B$24,C2054,'Site Dockets'!$C$7:$C$24,F2054)&gt;0,1,0),IF(B2054="REGION LOSS",IF(COUNTIFS('Site Dockets'!$E$7:$E$24,C2054,'Site Dockets'!$C$7:$C$24,F2054)&gt;0,1,0),0))</f>
        <v>0</v>
      </c>
      <c r="L2054" s="15" t="n">
        <f aca="false">IF(J2054=1,0,Inputs!$B$11)</f>
        <v>100</v>
      </c>
      <c r="M2054" s="15" t="n">
        <f aca="false">IF(J2054=1,0,Inputs!$B$12)</f>
        <v>75</v>
      </c>
      <c r="N2054" s="15" t="n">
        <f aca="false">IF(J2054=1,0,IF(OR(AND(OR(B2054="SITE LOSS",B2054="REGION LOSS"),K2054=1),AND(B2054="ROLE COMPROMISE",H2054=C2054)),Inputs!$B$13,Inputs!$B$14))</f>
        <v>10</v>
      </c>
      <c r="O2054" s="15" t="n">
        <f aca="false">IF(J2054=1,0,Inputs!$B$13)</f>
        <v>20</v>
      </c>
      <c r="P2054" s="15" t="n">
        <f aca="false">SUM(M2054:N2054)</f>
        <v>85</v>
      </c>
      <c r="Q2054" s="15" t="n">
        <f aca="false">IF(J2054=1,"",L2054-P2054)</f>
        <v>15</v>
      </c>
      <c r="R2054" s="15" t="n">
        <f aca="false">IF(OR(J2054=1,M2054&lt;=Inputs!$B$12),1,0)</f>
        <v>1</v>
      </c>
      <c r="S2054" s="15" t="n">
        <f aca="false">IF(OR(J2054=1,N2054&lt;=O2054),1,0)</f>
        <v>1</v>
      </c>
      <c r="T2054" s="15" t="str">
        <f aca="false">IF(J2054=1,"OFFLINE",IF(AND(Q2054&gt;=Inputs!$B$15,R2054=1,S2054=1,P2054&lt;=L2054),"PASS","FAIL"))</f>
        <v>PASS</v>
      </c>
    </row>
    <row r="2055" customFormat="false" ht="15" hidden="false" customHeight="false" outlineLevel="0" collapsed="false">
      <c r="A2055" s="14" t="s">
        <v>1037</v>
      </c>
      <c r="B2055" s="14" t="s">
        <v>1038</v>
      </c>
      <c r="C2055" s="14" t="s">
        <v>152</v>
      </c>
      <c r="D2055" s="14" t="s">
        <v>204</v>
      </c>
      <c r="E2055" s="14" t="s">
        <v>161</v>
      </c>
      <c r="F2055" s="14" t="s">
        <v>199</v>
      </c>
      <c r="G2055" s="14" t="n">
        <v>3</v>
      </c>
      <c r="H2055" s="14" t="s">
        <v>158</v>
      </c>
      <c r="I2055" s="14" t="s">
        <v>811</v>
      </c>
      <c r="J2055" s="15" t="n">
        <f aca="false">IF(B2055="SITE LOSS",IF(D2055=C2055,1,0),IF(B2055="REGION LOSS",IF(E2055=C2055,1,0),0))</f>
        <v>0</v>
      </c>
      <c r="K2055" s="15" t="n">
        <f aca="false">IF(B2055="SITE LOSS",IF(COUNTIFS('Site Dockets'!$B$7:$B$24,C2055,'Site Dockets'!$C$7:$C$24,F2055)&gt;0,1,0),IF(B2055="REGION LOSS",IF(COUNTIFS('Site Dockets'!$E$7:$E$24,C2055,'Site Dockets'!$C$7:$C$24,F2055)&gt;0,1,0),0))</f>
        <v>0</v>
      </c>
      <c r="L2055" s="15" t="n">
        <f aca="false">IF(J2055=1,0,Inputs!$B$11)</f>
        <v>100</v>
      </c>
      <c r="M2055" s="15" t="n">
        <f aca="false">IF(J2055=1,0,Inputs!$B$12)</f>
        <v>75</v>
      </c>
      <c r="N2055" s="15" t="n">
        <f aca="false">IF(J2055=1,0,IF(OR(AND(OR(B2055="SITE LOSS",B2055="REGION LOSS"),K2055=1),AND(B2055="ROLE COMPROMISE",H2055=C2055)),Inputs!$B$13,Inputs!$B$14))</f>
        <v>10</v>
      </c>
      <c r="O2055" s="15" t="n">
        <f aca="false">IF(J2055=1,0,Inputs!$B$13)</f>
        <v>20</v>
      </c>
      <c r="P2055" s="15" t="n">
        <f aca="false">SUM(M2055:N2055)</f>
        <v>85</v>
      </c>
      <c r="Q2055" s="15" t="n">
        <f aca="false">IF(J2055=1,"",L2055-P2055)</f>
        <v>15</v>
      </c>
      <c r="R2055" s="15" t="n">
        <f aca="false">IF(OR(J2055=1,M2055&lt;=Inputs!$B$12),1,0)</f>
        <v>1</v>
      </c>
      <c r="S2055" s="15" t="n">
        <f aca="false">IF(OR(J2055=1,N2055&lt;=O2055),1,0)</f>
        <v>1</v>
      </c>
      <c r="T2055" s="15" t="str">
        <f aca="false">IF(J2055=1,"OFFLINE",IF(AND(Q2055&gt;=Inputs!$B$15,R2055=1,S2055=1,P2055&lt;=L2055),"PASS","FAIL"))</f>
        <v>PASS</v>
      </c>
    </row>
    <row r="2056" customFormat="false" ht="15" hidden="false" customHeight="false" outlineLevel="0" collapsed="false">
      <c r="A2056" s="14" t="s">
        <v>1037</v>
      </c>
      <c r="B2056" s="14" t="s">
        <v>1038</v>
      </c>
      <c r="C2056" s="14" t="s">
        <v>152</v>
      </c>
      <c r="D2056" s="14" t="s">
        <v>204</v>
      </c>
      <c r="E2056" s="14" t="s">
        <v>161</v>
      </c>
      <c r="F2056" s="14" t="s">
        <v>199</v>
      </c>
      <c r="G2056" s="14" t="n">
        <v>3</v>
      </c>
      <c r="H2056" s="14" t="s">
        <v>158</v>
      </c>
      <c r="I2056" s="14" t="s">
        <v>895</v>
      </c>
      <c r="J2056" s="15" t="n">
        <f aca="false">IF(B2056="SITE LOSS",IF(D2056=C2056,1,0),IF(B2056="REGION LOSS",IF(E2056=C2056,1,0),0))</f>
        <v>0</v>
      </c>
      <c r="K2056" s="15" t="n">
        <f aca="false">IF(B2056="SITE LOSS",IF(COUNTIFS('Site Dockets'!$B$7:$B$24,C2056,'Site Dockets'!$C$7:$C$24,F2056)&gt;0,1,0),IF(B2056="REGION LOSS",IF(COUNTIFS('Site Dockets'!$E$7:$E$24,C2056,'Site Dockets'!$C$7:$C$24,F2056)&gt;0,1,0),0))</f>
        <v>0</v>
      </c>
      <c r="L2056" s="15" t="n">
        <f aca="false">IF(J2056=1,0,Inputs!$B$11)</f>
        <v>100</v>
      </c>
      <c r="M2056" s="15" t="n">
        <f aca="false">IF(J2056=1,0,Inputs!$B$12)</f>
        <v>75</v>
      </c>
      <c r="N2056" s="15" t="n">
        <f aca="false">IF(J2056=1,0,IF(OR(AND(OR(B2056="SITE LOSS",B2056="REGION LOSS"),K2056=1),AND(B2056="ROLE COMPROMISE",H2056=C2056)),Inputs!$B$13,Inputs!$B$14))</f>
        <v>10</v>
      </c>
      <c r="O2056" s="15" t="n">
        <f aca="false">IF(J2056=1,0,Inputs!$B$13)</f>
        <v>20</v>
      </c>
      <c r="P2056" s="15" t="n">
        <f aca="false">SUM(M2056:N2056)</f>
        <v>85</v>
      </c>
      <c r="Q2056" s="15" t="n">
        <f aca="false">IF(J2056=1,"",L2056-P2056)</f>
        <v>15</v>
      </c>
      <c r="R2056" s="15" t="n">
        <f aca="false">IF(OR(J2056=1,M2056&lt;=Inputs!$B$12),1,0)</f>
        <v>1</v>
      </c>
      <c r="S2056" s="15" t="n">
        <f aca="false">IF(OR(J2056=1,N2056&lt;=O2056),1,0)</f>
        <v>1</v>
      </c>
      <c r="T2056" s="15" t="str">
        <f aca="false">IF(J2056=1,"OFFLINE",IF(AND(Q2056&gt;=Inputs!$B$15,R2056=1,S2056=1,P2056&lt;=L2056),"PASS","FAIL"))</f>
        <v>PASS</v>
      </c>
    </row>
    <row r="2057" customFormat="false" ht="15" hidden="false" customHeight="false" outlineLevel="0" collapsed="false">
      <c r="A2057" s="14" t="s">
        <v>1037</v>
      </c>
      <c r="B2057" s="14" t="s">
        <v>1038</v>
      </c>
      <c r="C2057" s="14" t="s">
        <v>152</v>
      </c>
      <c r="D2057" s="14" t="s">
        <v>204</v>
      </c>
      <c r="E2057" s="14" t="s">
        <v>161</v>
      </c>
      <c r="F2057" s="14" t="s">
        <v>199</v>
      </c>
      <c r="G2057" s="14" t="n">
        <v>3</v>
      </c>
      <c r="H2057" s="14" t="s">
        <v>158</v>
      </c>
      <c r="I2057" s="14" t="s">
        <v>897</v>
      </c>
      <c r="J2057" s="15" t="n">
        <f aca="false">IF(B2057="SITE LOSS",IF(D2057=C2057,1,0),IF(B2057="REGION LOSS",IF(E2057=C2057,1,0),0))</f>
        <v>0</v>
      </c>
      <c r="K2057" s="15" t="n">
        <f aca="false">IF(B2057="SITE LOSS",IF(COUNTIFS('Site Dockets'!$B$7:$B$24,C2057,'Site Dockets'!$C$7:$C$24,F2057)&gt;0,1,0),IF(B2057="REGION LOSS",IF(COUNTIFS('Site Dockets'!$E$7:$E$24,C2057,'Site Dockets'!$C$7:$C$24,F2057)&gt;0,1,0),0))</f>
        <v>0</v>
      </c>
      <c r="L2057" s="15" t="n">
        <f aca="false">IF(J2057=1,0,Inputs!$B$11)</f>
        <v>100</v>
      </c>
      <c r="M2057" s="15" t="n">
        <f aca="false">IF(J2057=1,0,Inputs!$B$12)</f>
        <v>75</v>
      </c>
      <c r="N2057" s="15" t="n">
        <f aca="false">IF(J2057=1,0,IF(OR(AND(OR(B2057="SITE LOSS",B2057="REGION LOSS"),K2057=1),AND(B2057="ROLE COMPROMISE",H2057=C2057)),Inputs!$B$13,Inputs!$B$14))</f>
        <v>10</v>
      </c>
      <c r="O2057" s="15" t="n">
        <f aca="false">IF(J2057=1,0,Inputs!$B$13)</f>
        <v>20</v>
      </c>
      <c r="P2057" s="15" t="n">
        <f aca="false">SUM(M2057:N2057)</f>
        <v>85</v>
      </c>
      <c r="Q2057" s="15" t="n">
        <f aca="false">IF(J2057=1,"",L2057-P2057)</f>
        <v>15</v>
      </c>
      <c r="R2057" s="15" t="n">
        <f aca="false">IF(OR(J2057=1,M2057&lt;=Inputs!$B$12),1,0)</f>
        <v>1</v>
      </c>
      <c r="S2057" s="15" t="n">
        <f aca="false">IF(OR(J2057=1,N2057&lt;=O2057),1,0)</f>
        <v>1</v>
      </c>
      <c r="T2057" s="15" t="str">
        <f aca="false">IF(J2057=1,"OFFLINE",IF(AND(Q2057&gt;=Inputs!$B$15,R2057=1,S2057=1,P2057&lt;=L2057),"PASS","FAIL"))</f>
        <v>PASS</v>
      </c>
    </row>
    <row r="2058" customFormat="false" ht="15" hidden="false" customHeight="false" outlineLevel="0" collapsed="false">
      <c r="A2058" s="14" t="s">
        <v>1037</v>
      </c>
      <c r="B2058" s="14" t="s">
        <v>1038</v>
      </c>
      <c r="C2058" s="14" t="s">
        <v>152</v>
      </c>
      <c r="D2058" s="14" t="s">
        <v>204</v>
      </c>
      <c r="E2058" s="14" t="s">
        <v>161</v>
      </c>
      <c r="F2058" s="14" t="s">
        <v>199</v>
      </c>
      <c r="G2058" s="14" t="n">
        <v>3</v>
      </c>
      <c r="H2058" s="14" t="s">
        <v>158</v>
      </c>
      <c r="I2058" s="14" t="s">
        <v>899</v>
      </c>
      <c r="J2058" s="15" t="n">
        <f aca="false">IF(B2058="SITE LOSS",IF(D2058=C2058,1,0),IF(B2058="REGION LOSS",IF(E2058=C2058,1,0),0))</f>
        <v>0</v>
      </c>
      <c r="K2058" s="15" t="n">
        <f aca="false">IF(B2058="SITE LOSS",IF(COUNTIFS('Site Dockets'!$B$7:$B$24,C2058,'Site Dockets'!$C$7:$C$24,F2058)&gt;0,1,0),IF(B2058="REGION LOSS",IF(COUNTIFS('Site Dockets'!$E$7:$E$24,C2058,'Site Dockets'!$C$7:$C$24,F2058)&gt;0,1,0),0))</f>
        <v>0</v>
      </c>
      <c r="L2058" s="15" t="n">
        <f aca="false">IF(J2058=1,0,Inputs!$B$11)</f>
        <v>100</v>
      </c>
      <c r="M2058" s="15" t="n">
        <f aca="false">IF(J2058=1,0,Inputs!$B$12)</f>
        <v>75</v>
      </c>
      <c r="N2058" s="15" t="n">
        <f aca="false">IF(J2058=1,0,IF(OR(AND(OR(B2058="SITE LOSS",B2058="REGION LOSS"),K2058=1),AND(B2058="ROLE COMPROMISE",H2058=C2058)),Inputs!$B$13,Inputs!$B$14))</f>
        <v>10</v>
      </c>
      <c r="O2058" s="15" t="n">
        <f aca="false">IF(J2058=1,0,Inputs!$B$13)</f>
        <v>20</v>
      </c>
      <c r="P2058" s="15" t="n">
        <f aca="false">SUM(M2058:N2058)</f>
        <v>85</v>
      </c>
      <c r="Q2058" s="15" t="n">
        <f aca="false">IF(J2058=1,"",L2058-P2058)</f>
        <v>15</v>
      </c>
      <c r="R2058" s="15" t="n">
        <f aca="false">IF(OR(J2058=1,M2058&lt;=Inputs!$B$12),1,0)</f>
        <v>1</v>
      </c>
      <c r="S2058" s="15" t="n">
        <f aca="false">IF(OR(J2058=1,N2058&lt;=O2058),1,0)</f>
        <v>1</v>
      </c>
      <c r="T2058" s="15" t="str">
        <f aca="false">IF(J2058=1,"OFFLINE",IF(AND(Q2058&gt;=Inputs!$B$15,R2058=1,S2058=1,P2058&lt;=L2058),"PASS","FAIL"))</f>
        <v>PASS</v>
      </c>
    </row>
    <row r="2059" customFormat="false" ht="15" hidden="false" customHeight="false" outlineLevel="0" collapsed="false">
      <c r="A2059" s="14" t="s">
        <v>1039</v>
      </c>
      <c r="B2059" s="14" t="s">
        <v>1038</v>
      </c>
      <c r="C2059" s="14" t="s">
        <v>166</v>
      </c>
      <c r="D2059" s="14" t="s">
        <v>149</v>
      </c>
      <c r="E2059" s="14" t="s">
        <v>152</v>
      </c>
      <c r="F2059" s="14" t="s">
        <v>150</v>
      </c>
      <c r="G2059" s="14" t="n">
        <v>1</v>
      </c>
      <c r="H2059" s="14" t="s">
        <v>154</v>
      </c>
      <c r="I2059" s="14" t="s">
        <v>890</v>
      </c>
      <c r="J2059" s="15" t="n">
        <f aca="false">IF(B2059="SITE LOSS",IF(D2059=C2059,1,0),IF(B2059="REGION LOSS",IF(E2059=C2059,1,0),0))</f>
        <v>0</v>
      </c>
      <c r="K2059" s="15" t="n">
        <f aca="false">IF(B2059="SITE LOSS",IF(COUNTIFS('Site Dockets'!$B$7:$B$24,C2059,'Site Dockets'!$C$7:$C$24,F2059)&gt;0,1,0),IF(B2059="REGION LOSS",IF(COUNTIFS('Site Dockets'!$E$7:$E$24,C2059,'Site Dockets'!$C$7:$C$24,F2059)&gt;0,1,0),0))</f>
        <v>0</v>
      </c>
      <c r="L2059" s="15" t="n">
        <f aca="false">IF(J2059=1,0,Inputs!$B$11)</f>
        <v>100</v>
      </c>
      <c r="M2059" s="15" t="n">
        <f aca="false">IF(J2059=1,0,Inputs!$B$12)</f>
        <v>75</v>
      </c>
      <c r="N2059" s="15" t="n">
        <f aca="false">IF(J2059=1,0,IF(OR(AND(OR(B2059="SITE LOSS",B2059="REGION LOSS"),K2059=1),AND(B2059="ROLE COMPROMISE",H2059=C2059)),Inputs!$B$13,Inputs!$B$14))</f>
        <v>10</v>
      </c>
      <c r="O2059" s="15" t="n">
        <f aca="false">IF(J2059=1,0,Inputs!$B$13)</f>
        <v>20</v>
      </c>
      <c r="P2059" s="15" t="n">
        <f aca="false">SUM(M2059:N2059)</f>
        <v>85</v>
      </c>
      <c r="Q2059" s="15" t="n">
        <f aca="false">IF(J2059=1,"",L2059-P2059)</f>
        <v>15</v>
      </c>
      <c r="R2059" s="15" t="n">
        <f aca="false">IF(OR(J2059=1,M2059&lt;=Inputs!$B$12),1,0)</f>
        <v>1</v>
      </c>
      <c r="S2059" s="15" t="n">
        <f aca="false">IF(OR(J2059=1,N2059&lt;=O2059),1,0)</f>
        <v>1</v>
      </c>
      <c r="T2059" s="15" t="str">
        <f aca="false">IF(J2059=1,"OFFLINE",IF(AND(Q2059&gt;=Inputs!$B$15,R2059=1,S2059=1,P2059&lt;=L2059),"PASS","FAIL"))</f>
        <v>PASS</v>
      </c>
    </row>
    <row r="2060" customFormat="false" ht="15" hidden="false" customHeight="false" outlineLevel="0" collapsed="false">
      <c r="A2060" s="14" t="s">
        <v>1039</v>
      </c>
      <c r="B2060" s="14" t="s">
        <v>1038</v>
      </c>
      <c r="C2060" s="14" t="s">
        <v>166</v>
      </c>
      <c r="D2060" s="14" t="s">
        <v>149</v>
      </c>
      <c r="E2060" s="14" t="s">
        <v>152</v>
      </c>
      <c r="F2060" s="14" t="s">
        <v>150</v>
      </c>
      <c r="G2060" s="14" t="n">
        <v>1</v>
      </c>
      <c r="H2060" s="14" t="s">
        <v>154</v>
      </c>
      <c r="I2060" s="14" t="s">
        <v>892</v>
      </c>
      <c r="J2060" s="15" t="n">
        <f aca="false">IF(B2060="SITE LOSS",IF(D2060=C2060,1,0),IF(B2060="REGION LOSS",IF(E2060=C2060,1,0),0))</f>
        <v>0</v>
      </c>
      <c r="K2060" s="15" t="n">
        <f aca="false">IF(B2060="SITE LOSS",IF(COUNTIFS('Site Dockets'!$B$7:$B$24,C2060,'Site Dockets'!$C$7:$C$24,F2060)&gt;0,1,0),IF(B2060="REGION LOSS",IF(COUNTIFS('Site Dockets'!$E$7:$E$24,C2060,'Site Dockets'!$C$7:$C$24,F2060)&gt;0,1,0),0))</f>
        <v>0</v>
      </c>
      <c r="L2060" s="15" t="n">
        <f aca="false">IF(J2060=1,0,Inputs!$B$11)</f>
        <v>100</v>
      </c>
      <c r="M2060" s="15" t="n">
        <f aca="false">IF(J2060=1,0,Inputs!$B$12)</f>
        <v>75</v>
      </c>
      <c r="N2060" s="15" t="n">
        <f aca="false">IF(J2060=1,0,IF(OR(AND(OR(B2060="SITE LOSS",B2060="REGION LOSS"),K2060=1),AND(B2060="ROLE COMPROMISE",H2060=C2060)),Inputs!$B$13,Inputs!$B$14))</f>
        <v>10</v>
      </c>
      <c r="O2060" s="15" t="n">
        <f aca="false">IF(J2060=1,0,Inputs!$B$13)</f>
        <v>20</v>
      </c>
      <c r="P2060" s="15" t="n">
        <f aca="false">SUM(M2060:N2060)</f>
        <v>85</v>
      </c>
      <c r="Q2060" s="15" t="n">
        <f aca="false">IF(J2060=1,"",L2060-P2060)</f>
        <v>15</v>
      </c>
      <c r="R2060" s="15" t="n">
        <f aca="false">IF(OR(J2060=1,M2060&lt;=Inputs!$B$12),1,0)</f>
        <v>1</v>
      </c>
      <c r="S2060" s="15" t="n">
        <f aca="false">IF(OR(J2060=1,N2060&lt;=O2060),1,0)</f>
        <v>1</v>
      </c>
      <c r="T2060" s="15" t="str">
        <f aca="false">IF(J2060=1,"OFFLINE",IF(AND(Q2060&gt;=Inputs!$B$15,R2060=1,S2060=1,P2060&lt;=L2060),"PASS","FAIL"))</f>
        <v>PASS</v>
      </c>
    </row>
    <row r="2061" customFormat="false" ht="15" hidden="false" customHeight="false" outlineLevel="0" collapsed="false">
      <c r="A2061" s="14" t="s">
        <v>1039</v>
      </c>
      <c r="B2061" s="14" t="s">
        <v>1038</v>
      </c>
      <c r="C2061" s="14" t="s">
        <v>166</v>
      </c>
      <c r="D2061" s="14" t="s">
        <v>149</v>
      </c>
      <c r="E2061" s="14" t="s">
        <v>152</v>
      </c>
      <c r="F2061" s="14" t="s">
        <v>150</v>
      </c>
      <c r="G2061" s="14" t="n">
        <v>1</v>
      </c>
      <c r="H2061" s="14" t="s">
        <v>154</v>
      </c>
      <c r="I2061" s="14" t="s">
        <v>811</v>
      </c>
      <c r="J2061" s="15" t="n">
        <f aca="false">IF(B2061="SITE LOSS",IF(D2061=C2061,1,0),IF(B2061="REGION LOSS",IF(E2061=C2061,1,0),0))</f>
        <v>0</v>
      </c>
      <c r="K2061" s="15" t="n">
        <f aca="false">IF(B2061="SITE LOSS",IF(COUNTIFS('Site Dockets'!$B$7:$B$24,C2061,'Site Dockets'!$C$7:$C$24,F2061)&gt;0,1,0),IF(B2061="REGION LOSS",IF(COUNTIFS('Site Dockets'!$E$7:$E$24,C2061,'Site Dockets'!$C$7:$C$24,F2061)&gt;0,1,0),0))</f>
        <v>0</v>
      </c>
      <c r="L2061" s="15" t="n">
        <f aca="false">IF(J2061=1,0,Inputs!$B$11)</f>
        <v>100</v>
      </c>
      <c r="M2061" s="15" t="n">
        <f aca="false">IF(J2061=1,0,Inputs!$B$12)</f>
        <v>75</v>
      </c>
      <c r="N2061" s="15" t="n">
        <f aca="false">IF(J2061=1,0,IF(OR(AND(OR(B2061="SITE LOSS",B2061="REGION LOSS"),K2061=1),AND(B2061="ROLE COMPROMISE",H2061=C2061)),Inputs!$B$13,Inputs!$B$14))</f>
        <v>10</v>
      </c>
      <c r="O2061" s="15" t="n">
        <f aca="false">IF(J2061=1,0,Inputs!$B$13)</f>
        <v>20</v>
      </c>
      <c r="P2061" s="15" t="n">
        <f aca="false">SUM(M2061:N2061)</f>
        <v>85</v>
      </c>
      <c r="Q2061" s="15" t="n">
        <f aca="false">IF(J2061=1,"",L2061-P2061)</f>
        <v>15</v>
      </c>
      <c r="R2061" s="15" t="n">
        <f aca="false">IF(OR(J2061=1,M2061&lt;=Inputs!$B$12),1,0)</f>
        <v>1</v>
      </c>
      <c r="S2061" s="15" t="n">
        <f aca="false">IF(OR(J2061=1,N2061&lt;=O2061),1,0)</f>
        <v>1</v>
      </c>
      <c r="T2061" s="15" t="str">
        <f aca="false">IF(J2061=1,"OFFLINE",IF(AND(Q2061&gt;=Inputs!$B$15,R2061=1,S2061=1,P2061&lt;=L2061),"PASS","FAIL"))</f>
        <v>PASS</v>
      </c>
    </row>
    <row r="2062" customFormat="false" ht="15" hidden="false" customHeight="false" outlineLevel="0" collapsed="false">
      <c r="A2062" s="14" t="s">
        <v>1039</v>
      </c>
      <c r="B2062" s="14" t="s">
        <v>1038</v>
      </c>
      <c r="C2062" s="14" t="s">
        <v>166</v>
      </c>
      <c r="D2062" s="14" t="s">
        <v>149</v>
      </c>
      <c r="E2062" s="14" t="s">
        <v>152</v>
      </c>
      <c r="F2062" s="14" t="s">
        <v>150</v>
      </c>
      <c r="G2062" s="14" t="n">
        <v>1</v>
      </c>
      <c r="H2062" s="14" t="s">
        <v>154</v>
      </c>
      <c r="I2062" s="14" t="s">
        <v>895</v>
      </c>
      <c r="J2062" s="15" t="n">
        <f aca="false">IF(B2062="SITE LOSS",IF(D2062=C2062,1,0),IF(B2062="REGION LOSS",IF(E2062=C2062,1,0),0))</f>
        <v>0</v>
      </c>
      <c r="K2062" s="15" t="n">
        <f aca="false">IF(B2062="SITE LOSS",IF(COUNTIFS('Site Dockets'!$B$7:$B$24,C2062,'Site Dockets'!$C$7:$C$24,F2062)&gt;0,1,0),IF(B2062="REGION LOSS",IF(COUNTIFS('Site Dockets'!$E$7:$E$24,C2062,'Site Dockets'!$C$7:$C$24,F2062)&gt;0,1,0),0))</f>
        <v>0</v>
      </c>
      <c r="L2062" s="15" t="n">
        <f aca="false">IF(J2062=1,0,Inputs!$B$11)</f>
        <v>100</v>
      </c>
      <c r="M2062" s="15" t="n">
        <f aca="false">IF(J2062=1,0,Inputs!$B$12)</f>
        <v>75</v>
      </c>
      <c r="N2062" s="15" t="n">
        <f aca="false">IF(J2062=1,0,IF(OR(AND(OR(B2062="SITE LOSS",B2062="REGION LOSS"),K2062=1),AND(B2062="ROLE COMPROMISE",H2062=C2062)),Inputs!$B$13,Inputs!$B$14))</f>
        <v>10</v>
      </c>
      <c r="O2062" s="15" t="n">
        <f aca="false">IF(J2062=1,0,Inputs!$B$13)</f>
        <v>20</v>
      </c>
      <c r="P2062" s="15" t="n">
        <f aca="false">SUM(M2062:N2062)</f>
        <v>85</v>
      </c>
      <c r="Q2062" s="15" t="n">
        <f aca="false">IF(J2062=1,"",L2062-P2062)</f>
        <v>15</v>
      </c>
      <c r="R2062" s="15" t="n">
        <f aca="false">IF(OR(J2062=1,M2062&lt;=Inputs!$B$12),1,0)</f>
        <v>1</v>
      </c>
      <c r="S2062" s="15" t="n">
        <f aca="false">IF(OR(J2062=1,N2062&lt;=O2062),1,0)</f>
        <v>1</v>
      </c>
      <c r="T2062" s="15" t="str">
        <f aca="false">IF(J2062=1,"OFFLINE",IF(AND(Q2062&gt;=Inputs!$B$15,R2062=1,S2062=1,P2062&lt;=L2062),"PASS","FAIL"))</f>
        <v>PASS</v>
      </c>
    </row>
    <row r="2063" customFormat="false" ht="15" hidden="false" customHeight="false" outlineLevel="0" collapsed="false">
      <c r="A2063" s="14" t="s">
        <v>1039</v>
      </c>
      <c r="B2063" s="14" t="s">
        <v>1038</v>
      </c>
      <c r="C2063" s="14" t="s">
        <v>166</v>
      </c>
      <c r="D2063" s="14" t="s">
        <v>149</v>
      </c>
      <c r="E2063" s="14" t="s">
        <v>152</v>
      </c>
      <c r="F2063" s="14" t="s">
        <v>150</v>
      </c>
      <c r="G2063" s="14" t="n">
        <v>1</v>
      </c>
      <c r="H2063" s="14" t="s">
        <v>154</v>
      </c>
      <c r="I2063" s="14" t="s">
        <v>897</v>
      </c>
      <c r="J2063" s="15" t="n">
        <f aca="false">IF(B2063="SITE LOSS",IF(D2063=C2063,1,0),IF(B2063="REGION LOSS",IF(E2063=C2063,1,0),0))</f>
        <v>0</v>
      </c>
      <c r="K2063" s="15" t="n">
        <f aca="false">IF(B2063="SITE LOSS",IF(COUNTIFS('Site Dockets'!$B$7:$B$24,C2063,'Site Dockets'!$C$7:$C$24,F2063)&gt;0,1,0),IF(B2063="REGION LOSS",IF(COUNTIFS('Site Dockets'!$E$7:$E$24,C2063,'Site Dockets'!$C$7:$C$24,F2063)&gt;0,1,0),0))</f>
        <v>0</v>
      </c>
      <c r="L2063" s="15" t="n">
        <f aca="false">IF(J2063=1,0,Inputs!$B$11)</f>
        <v>100</v>
      </c>
      <c r="M2063" s="15" t="n">
        <f aca="false">IF(J2063=1,0,Inputs!$B$12)</f>
        <v>75</v>
      </c>
      <c r="N2063" s="15" t="n">
        <f aca="false">IF(J2063=1,0,IF(OR(AND(OR(B2063="SITE LOSS",B2063="REGION LOSS"),K2063=1),AND(B2063="ROLE COMPROMISE",H2063=C2063)),Inputs!$B$13,Inputs!$B$14))</f>
        <v>10</v>
      </c>
      <c r="O2063" s="15" t="n">
        <f aca="false">IF(J2063=1,0,Inputs!$B$13)</f>
        <v>20</v>
      </c>
      <c r="P2063" s="15" t="n">
        <f aca="false">SUM(M2063:N2063)</f>
        <v>85</v>
      </c>
      <c r="Q2063" s="15" t="n">
        <f aca="false">IF(J2063=1,"",L2063-P2063)</f>
        <v>15</v>
      </c>
      <c r="R2063" s="15" t="n">
        <f aca="false">IF(OR(J2063=1,M2063&lt;=Inputs!$B$12),1,0)</f>
        <v>1</v>
      </c>
      <c r="S2063" s="15" t="n">
        <f aca="false">IF(OR(J2063=1,N2063&lt;=O2063),1,0)</f>
        <v>1</v>
      </c>
      <c r="T2063" s="15" t="str">
        <f aca="false">IF(J2063=1,"OFFLINE",IF(AND(Q2063&gt;=Inputs!$B$15,R2063=1,S2063=1,P2063&lt;=L2063),"PASS","FAIL"))</f>
        <v>PASS</v>
      </c>
    </row>
    <row r="2064" customFormat="false" ht="15" hidden="false" customHeight="false" outlineLevel="0" collapsed="false">
      <c r="A2064" s="14" t="s">
        <v>1039</v>
      </c>
      <c r="B2064" s="14" t="s">
        <v>1038</v>
      </c>
      <c r="C2064" s="14" t="s">
        <v>166</v>
      </c>
      <c r="D2064" s="14" t="s">
        <v>149</v>
      </c>
      <c r="E2064" s="14" t="s">
        <v>152</v>
      </c>
      <c r="F2064" s="14" t="s">
        <v>150</v>
      </c>
      <c r="G2064" s="14" t="n">
        <v>1</v>
      </c>
      <c r="H2064" s="14" t="s">
        <v>154</v>
      </c>
      <c r="I2064" s="14" t="s">
        <v>899</v>
      </c>
      <c r="J2064" s="15" t="n">
        <f aca="false">IF(B2064="SITE LOSS",IF(D2064=C2064,1,0),IF(B2064="REGION LOSS",IF(E2064=C2064,1,0),0))</f>
        <v>0</v>
      </c>
      <c r="K2064" s="15" t="n">
        <f aca="false">IF(B2064="SITE LOSS",IF(COUNTIFS('Site Dockets'!$B$7:$B$24,C2064,'Site Dockets'!$C$7:$C$24,F2064)&gt;0,1,0),IF(B2064="REGION LOSS",IF(COUNTIFS('Site Dockets'!$E$7:$E$24,C2064,'Site Dockets'!$C$7:$C$24,F2064)&gt;0,1,0),0))</f>
        <v>0</v>
      </c>
      <c r="L2064" s="15" t="n">
        <f aca="false">IF(J2064=1,0,Inputs!$B$11)</f>
        <v>100</v>
      </c>
      <c r="M2064" s="15" t="n">
        <f aca="false">IF(J2064=1,0,Inputs!$B$12)</f>
        <v>75</v>
      </c>
      <c r="N2064" s="15" t="n">
        <f aca="false">IF(J2064=1,0,IF(OR(AND(OR(B2064="SITE LOSS",B2064="REGION LOSS"),K2064=1),AND(B2064="ROLE COMPROMISE",H2064=C2064)),Inputs!$B$13,Inputs!$B$14))</f>
        <v>10</v>
      </c>
      <c r="O2064" s="15" t="n">
        <f aca="false">IF(J2064=1,0,Inputs!$B$13)</f>
        <v>20</v>
      </c>
      <c r="P2064" s="15" t="n">
        <f aca="false">SUM(M2064:N2064)</f>
        <v>85</v>
      </c>
      <c r="Q2064" s="15" t="n">
        <f aca="false">IF(J2064=1,"",L2064-P2064)</f>
        <v>15</v>
      </c>
      <c r="R2064" s="15" t="n">
        <f aca="false">IF(OR(J2064=1,M2064&lt;=Inputs!$B$12),1,0)</f>
        <v>1</v>
      </c>
      <c r="S2064" s="15" t="n">
        <f aca="false">IF(OR(J2064=1,N2064&lt;=O2064),1,0)</f>
        <v>1</v>
      </c>
      <c r="T2064" s="15" t="str">
        <f aca="false">IF(J2064=1,"OFFLINE",IF(AND(Q2064&gt;=Inputs!$B$15,R2064=1,S2064=1,P2064&lt;=L2064),"PASS","FAIL"))</f>
        <v>PASS</v>
      </c>
    </row>
    <row r="2065" customFormat="false" ht="15" hidden="false" customHeight="false" outlineLevel="0" collapsed="false">
      <c r="A2065" s="14" t="s">
        <v>1039</v>
      </c>
      <c r="B2065" s="14" t="s">
        <v>1038</v>
      </c>
      <c r="C2065" s="14" t="s">
        <v>166</v>
      </c>
      <c r="D2065" s="14" t="s">
        <v>156</v>
      </c>
      <c r="E2065" s="14" t="s">
        <v>157</v>
      </c>
      <c r="F2065" s="14" t="s">
        <v>150</v>
      </c>
      <c r="G2065" s="14" t="n">
        <v>2</v>
      </c>
      <c r="H2065" s="14" t="s">
        <v>153</v>
      </c>
      <c r="I2065" s="14" t="s">
        <v>890</v>
      </c>
      <c r="J2065" s="15" t="n">
        <f aca="false">IF(B2065="SITE LOSS",IF(D2065=C2065,1,0),IF(B2065="REGION LOSS",IF(E2065=C2065,1,0),0))</f>
        <v>0</v>
      </c>
      <c r="K2065" s="15" t="n">
        <f aca="false">IF(B2065="SITE LOSS",IF(COUNTIFS('Site Dockets'!$B$7:$B$24,C2065,'Site Dockets'!$C$7:$C$24,F2065)&gt;0,1,0),IF(B2065="REGION LOSS",IF(COUNTIFS('Site Dockets'!$E$7:$E$24,C2065,'Site Dockets'!$C$7:$C$24,F2065)&gt;0,1,0),0))</f>
        <v>0</v>
      </c>
      <c r="L2065" s="15" t="n">
        <f aca="false">IF(J2065=1,0,Inputs!$B$11)</f>
        <v>100</v>
      </c>
      <c r="M2065" s="15" t="n">
        <f aca="false">IF(J2065=1,0,Inputs!$B$12)</f>
        <v>75</v>
      </c>
      <c r="N2065" s="15" t="n">
        <f aca="false">IF(J2065=1,0,IF(OR(AND(OR(B2065="SITE LOSS",B2065="REGION LOSS"),K2065=1),AND(B2065="ROLE COMPROMISE",H2065=C2065)),Inputs!$B$13,Inputs!$B$14))</f>
        <v>10</v>
      </c>
      <c r="O2065" s="15" t="n">
        <f aca="false">IF(J2065=1,0,Inputs!$B$13)</f>
        <v>20</v>
      </c>
      <c r="P2065" s="15" t="n">
        <f aca="false">SUM(M2065:N2065)</f>
        <v>85</v>
      </c>
      <c r="Q2065" s="15" t="n">
        <f aca="false">IF(J2065=1,"",L2065-P2065)</f>
        <v>15</v>
      </c>
      <c r="R2065" s="15" t="n">
        <f aca="false">IF(OR(J2065=1,M2065&lt;=Inputs!$B$12),1,0)</f>
        <v>1</v>
      </c>
      <c r="S2065" s="15" t="n">
        <f aca="false">IF(OR(J2065=1,N2065&lt;=O2065),1,0)</f>
        <v>1</v>
      </c>
      <c r="T2065" s="15" t="str">
        <f aca="false">IF(J2065=1,"OFFLINE",IF(AND(Q2065&gt;=Inputs!$B$15,R2065=1,S2065=1,P2065&lt;=L2065),"PASS","FAIL"))</f>
        <v>PASS</v>
      </c>
    </row>
    <row r="2066" customFormat="false" ht="15" hidden="false" customHeight="false" outlineLevel="0" collapsed="false">
      <c r="A2066" s="14" t="s">
        <v>1039</v>
      </c>
      <c r="B2066" s="14" t="s">
        <v>1038</v>
      </c>
      <c r="C2066" s="14" t="s">
        <v>166</v>
      </c>
      <c r="D2066" s="14" t="s">
        <v>156</v>
      </c>
      <c r="E2066" s="14" t="s">
        <v>157</v>
      </c>
      <c r="F2066" s="14" t="s">
        <v>150</v>
      </c>
      <c r="G2066" s="14" t="n">
        <v>2</v>
      </c>
      <c r="H2066" s="14" t="s">
        <v>153</v>
      </c>
      <c r="I2066" s="14" t="s">
        <v>892</v>
      </c>
      <c r="J2066" s="15" t="n">
        <f aca="false">IF(B2066="SITE LOSS",IF(D2066=C2066,1,0),IF(B2066="REGION LOSS",IF(E2066=C2066,1,0),0))</f>
        <v>0</v>
      </c>
      <c r="K2066" s="15" t="n">
        <f aca="false">IF(B2066="SITE LOSS",IF(COUNTIFS('Site Dockets'!$B$7:$B$24,C2066,'Site Dockets'!$C$7:$C$24,F2066)&gt;0,1,0),IF(B2066="REGION LOSS",IF(COUNTIFS('Site Dockets'!$E$7:$E$24,C2066,'Site Dockets'!$C$7:$C$24,F2066)&gt;0,1,0),0))</f>
        <v>0</v>
      </c>
      <c r="L2066" s="15" t="n">
        <f aca="false">IF(J2066=1,0,Inputs!$B$11)</f>
        <v>100</v>
      </c>
      <c r="M2066" s="15" t="n">
        <f aca="false">IF(J2066=1,0,Inputs!$B$12)</f>
        <v>75</v>
      </c>
      <c r="N2066" s="15" t="n">
        <f aca="false">IF(J2066=1,0,IF(OR(AND(OR(B2066="SITE LOSS",B2066="REGION LOSS"),K2066=1),AND(B2066="ROLE COMPROMISE",H2066=C2066)),Inputs!$B$13,Inputs!$B$14))</f>
        <v>10</v>
      </c>
      <c r="O2066" s="15" t="n">
        <f aca="false">IF(J2066=1,0,Inputs!$B$13)</f>
        <v>20</v>
      </c>
      <c r="P2066" s="15" t="n">
        <f aca="false">SUM(M2066:N2066)</f>
        <v>85</v>
      </c>
      <c r="Q2066" s="15" t="n">
        <f aca="false">IF(J2066=1,"",L2066-P2066)</f>
        <v>15</v>
      </c>
      <c r="R2066" s="15" t="n">
        <f aca="false">IF(OR(J2066=1,M2066&lt;=Inputs!$B$12),1,0)</f>
        <v>1</v>
      </c>
      <c r="S2066" s="15" t="n">
        <f aca="false">IF(OR(J2066=1,N2066&lt;=O2066),1,0)</f>
        <v>1</v>
      </c>
      <c r="T2066" s="15" t="str">
        <f aca="false">IF(J2066=1,"OFFLINE",IF(AND(Q2066&gt;=Inputs!$B$15,R2066=1,S2066=1,P2066&lt;=L2066),"PASS","FAIL"))</f>
        <v>PASS</v>
      </c>
    </row>
    <row r="2067" customFormat="false" ht="15" hidden="false" customHeight="false" outlineLevel="0" collapsed="false">
      <c r="A2067" s="14" t="s">
        <v>1039</v>
      </c>
      <c r="B2067" s="14" t="s">
        <v>1038</v>
      </c>
      <c r="C2067" s="14" t="s">
        <v>166</v>
      </c>
      <c r="D2067" s="14" t="s">
        <v>156</v>
      </c>
      <c r="E2067" s="14" t="s">
        <v>157</v>
      </c>
      <c r="F2067" s="14" t="s">
        <v>150</v>
      </c>
      <c r="G2067" s="14" t="n">
        <v>2</v>
      </c>
      <c r="H2067" s="14" t="s">
        <v>153</v>
      </c>
      <c r="I2067" s="14" t="s">
        <v>811</v>
      </c>
      <c r="J2067" s="15" t="n">
        <f aca="false">IF(B2067="SITE LOSS",IF(D2067=C2067,1,0),IF(B2067="REGION LOSS",IF(E2067=C2067,1,0),0))</f>
        <v>0</v>
      </c>
      <c r="K2067" s="15" t="n">
        <f aca="false">IF(B2067="SITE LOSS",IF(COUNTIFS('Site Dockets'!$B$7:$B$24,C2067,'Site Dockets'!$C$7:$C$24,F2067)&gt;0,1,0),IF(B2067="REGION LOSS",IF(COUNTIFS('Site Dockets'!$E$7:$E$24,C2067,'Site Dockets'!$C$7:$C$24,F2067)&gt;0,1,0),0))</f>
        <v>0</v>
      </c>
      <c r="L2067" s="15" t="n">
        <f aca="false">IF(J2067=1,0,Inputs!$B$11)</f>
        <v>100</v>
      </c>
      <c r="M2067" s="15" t="n">
        <f aca="false">IF(J2067=1,0,Inputs!$B$12)</f>
        <v>75</v>
      </c>
      <c r="N2067" s="15" t="n">
        <f aca="false">IF(J2067=1,0,IF(OR(AND(OR(B2067="SITE LOSS",B2067="REGION LOSS"),K2067=1),AND(B2067="ROLE COMPROMISE",H2067=C2067)),Inputs!$B$13,Inputs!$B$14))</f>
        <v>10</v>
      </c>
      <c r="O2067" s="15" t="n">
        <f aca="false">IF(J2067=1,0,Inputs!$B$13)</f>
        <v>20</v>
      </c>
      <c r="P2067" s="15" t="n">
        <f aca="false">SUM(M2067:N2067)</f>
        <v>85</v>
      </c>
      <c r="Q2067" s="15" t="n">
        <f aca="false">IF(J2067=1,"",L2067-P2067)</f>
        <v>15</v>
      </c>
      <c r="R2067" s="15" t="n">
        <f aca="false">IF(OR(J2067=1,M2067&lt;=Inputs!$B$12),1,0)</f>
        <v>1</v>
      </c>
      <c r="S2067" s="15" t="n">
        <f aca="false">IF(OR(J2067=1,N2067&lt;=O2067),1,0)</f>
        <v>1</v>
      </c>
      <c r="T2067" s="15" t="str">
        <f aca="false">IF(J2067=1,"OFFLINE",IF(AND(Q2067&gt;=Inputs!$B$15,R2067=1,S2067=1,P2067&lt;=L2067),"PASS","FAIL"))</f>
        <v>PASS</v>
      </c>
    </row>
    <row r="2068" customFormat="false" ht="15" hidden="false" customHeight="false" outlineLevel="0" collapsed="false">
      <c r="A2068" s="14" t="s">
        <v>1039</v>
      </c>
      <c r="B2068" s="14" t="s">
        <v>1038</v>
      </c>
      <c r="C2068" s="14" t="s">
        <v>166</v>
      </c>
      <c r="D2068" s="14" t="s">
        <v>156</v>
      </c>
      <c r="E2068" s="14" t="s">
        <v>157</v>
      </c>
      <c r="F2068" s="14" t="s">
        <v>150</v>
      </c>
      <c r="G2068" s="14" t="n">
        <v>2</v>
      </c>
      <c r="H2068" s="14" t="s">
        <v>153</v>
      </c>
      <c r="I2068" s="14" t="s">
        <v>895</v>
      </c>
      <c r="J2068" s="15" t="n">
        <f aca="false">IF(B2068="SITE LOSS",IF(D2068=C2068,1,0),IF(B2068="REGION LOSS",IF(E2068=C2068,1,0),0))</f>
        <v>0</v>
      </c>
      <c r="K2068" s="15" t="n">
        <f aca="false">IF(B2068="SITE LOSS",IF(COUNTIFS('Site Dockets'!$B$7:$B$24,C2068,'Site Dockets'!$C$7:$C$24,F2068)&gt;0,1,0),IF(B2068="REGION LOSS",IF(COUNTIFS('Site Dockets'!$E$7:$E$24,C2068,'Site Dockets'!$C$7:$C$24,F2068)&gt;0,1,0),0))</f>
        <v>0</v>
      </c>
      <c r="L2068" s="15" t="n">
        <f aca="false">IF(J2068=1,0,Inputs!$B$11)</f>
        <v>100</v>
      </c>
      <c r="M2068" s="15" t="n">
        <f aca="false">IF(J2068=1,0,Inputs!$B$12)</f>
        <v>75</v>
      </c>
      <c r="N2068" s="15" t="n">
        <f aca="false">IF(J2068=1,0,IF(OR(AND(OR(B2068="SITE LOSS",B2068="REGION LOSS"),K2068=1),AND(B2068="ROLE COMPROMISE",H2068=C2068)),Inputs!$B$13,Inputs!$B$14))</f>
        <v>10</v>
      </c>
      <c r="O2068" s="15" t="n">
        <f aca="false">IF(J2068=1,0,Inputs!$B$13)</f>
        <v>20</v>
      </c>
      <c r="P2068" s="15" t="n">
        <f aca="false">SUM(M2068:N2068)</f>
        <v>85</v>
      </c>
      <c r="Q2068" s="15" t="n">
        <f aca="false">IF(J2068=1,"",L2068-P2068)</f>
        <v>15</v>
      </c>
      <c r="R2068" s="15" t="n">
        <f aca="false">IF(OR(J2068=1,M2068&lt;=Inputs!$B$12),1,0)</f>
        <v>1</v>
      </c>
      <c r="S2068" s="15" t="n">
        <f aca="false">IF(OR(J2068=1,N2068&lt;=O2068),1,0)</f>
        <v>1</v>
      </c>
      <c r="T2068" s="15" t="str">
        <f aca="false">IF(J2068=1,"OFFLINE",IF(AND(Q2068&gt;=Inputs!$B$15,R2068=1,S2068=1,P2068&lt;=L2068),"PASS","FAIL"))</f>
        <v>PASS</v>
      </c>
    </row>
    <row r="2069" customFormat="false" ht="15" hidden="false" customHeight="false" outlineLevel="0" collapsed="false">
      <c r="A2069" s="14" t="s">
        <v>1039</v>
      </c>
      <c r="B2069" s="14" t="s">
        <v>1038</v>
      </c>
      <c r="C2069" s="14" t="s">
        <v>166</v>
      </c>
      <c r="D2069" s="14" t="s">
        <v>156</v>
      </c>
      <c r="E2069" s="14" t="s">
        <v>157</v>
      </c>
      <c r="F2069" s="14" t="s">
        <v>150</v>
      </c>
      <c r="G2069" s="14" t="n">
        <v>2</v>
      </c>
      <c r="H2069" s="14" t="s">
        <v>153</v>
      </c>
      <c r="I2069" s="14" t="s">
        <v>897</v>
      </c>
      <c r="J2069" s="15" t="n">
        <f aca="false">IF(B2069="SITE LOSS",IF(D2069=C2069,1,0),IF(B2069="REGION LOSS",IF(E2069=C2069,1,0),0))</f>
        <v>0</v>
      </c>
      <c r="K2069" s="15" t="n">
        <f aca="false">IF(B2069="SITE LOSS",IF(COUNTIFS('Site Dockets'!$B$7:$B$24,C2069,'Site Dockets'!$C$7:$C$24,F2069)&gt;0,1,0),IF(B2069="REGION LOSS",IF(COUNTIFS('Site Dockets'!$E$7:$E$24,C2069,'Site Dockets'!$C$7:$C$24,F2069)&gt;0,1,0),0))</f>
        <v>0</v>
      </c>
      <c r="L2069" s="15" t="n">
        <f aca="false">IF(J2069=1,0,Inputs!$B$11)</f>
        <v>100</v>
      </c>
      <c r="M2069" s="15" t="n">
        <f aca="false">IF(J2069=1,0,Inputs!$B$12)</f>
        <v>75</v>
      </c>
      <c r="N2069" s="15" t="n">
        <f aca="false">IF(J2069=1,0,IF(OR(AND(OR(B2069="SITE LOSS",B2069="REGION LOSS"),K2069=1),AND(B2069="ROLE COMPROMISE",H2069=C2069)),Inputs!$B$13,Inputs!$B$14))</f>
        <v>10</v>
      </c>
      <c r="O2069" s="15" t="n">
        <f aca="false">IF(J2069=1,0,Inputs!$B$13)</f>
        <v>20</v>
      </c>
      <c r="P2069" s="15" t="n">
        <f aca="false">SUM(M2069:N2069)</f>
        <v>85</v>
      </c>
      <c r="Q2069" s="15" t="n">
        <f aca="false">IF(J2069=1,"",L2069-P2069)</f>
        <v>15</v>
      </c>
      <c r="R2069" s="15" t="n">
        <f aca="false">IF(OR(J2069=1,M2069&lt;=Inputs!$B$12),1,0)</f>
        <v>1</v>
      </c>
      <c r="S2069" s="15" t="n">
        <f aca="false">IF(OR(J2069=1,N2069&lt;=O2069),1,0)</f>
        <v>1</v>
      </c>
      <c r="T2069" s="15" t="str">
        <f aca="false">IF(J2069=1,"OFFLINE",IF(AND(Q2069&gt;=Inputs!$B$15,R2069=1,S2069=1,P2069&lt;=L2069),"PASS","FAIL"))</f>
        <v>PASS</v>
      </c>
    </row>
    <row r="2070" customFormat="false" ht="15" hidden="false" customHeight="false" outlineLevel="0" collapsed="false">
      <c r="A2070" s="14" t="s">
        <v>1039</v>
      </c>
      <c r="B2070" s="14" t="s">
        <v>1038</v>
      </c>
      <c r="C2070" s="14" t="s">
        <v>166</v>
      </c>
      <c r="D2070" s="14" t="s">
        <v>156</v>
      </c>
      <c r="E2070" s="14" t="s">
        <v>157</v>
      </c>
      <c r="F2070" s="14" t="s">
        <v>150</v>
      </c>
      <c r="G2070" s="14" t="n">
        <v>2</v>
      </c>
      <c r="H2070" s="14" t="s">
        <v>153</v>
      </c>
      <c r="I2070" s="14" t="s">
        <v>899</v>
      </c>
      <c r="J2070" s="15" t="n">
        <f aca="false">IF(B2070="SITE LOSS",IF(D2070=C2070,1,0),IF(B2070="REGION LOSS",IF(E2070=C2070,1,0),0))</f>
        <v>0</v>
      </c>
      <c r="K2070" s="15" t="n">
        <f aca="false">IF(B2070="SITE LOSS",IF(COUNTIFS('Site Dockets'!$B$7:$B$24,C2070,'Site Dockets'!$C$7:$C$24,F2070)&gt;0,1,0),IF(B2070="REGION LOSS",IF(COUNTIFS('Site Dockets'!$E$7:$E$24,C2070,'Site Dockets'!$C$7:$C$24,F2070)&gt;0,1,0),0))</f>
        <v>0</v>
      </c>
      <c r="L2070" s="15" t="n">
        <f aca="false">IF(J2070=1,0,Inputs!$B$11)</f>
        <v>100</v>
      </c>
      <c r="M2070" s="15" t="n">
        <f aca="false">IF(J2070=1,0,Inputs!$B$12)</f>
        <v>75</v>
      </c>
      <c r="N2070" s="15" t="n">
        <f aca="false">IF(J2070=1,0,IF(OR(AND(OR(B2070="SITE LOSS",B2070="REGION LOSS"),K2070=1),AND(B2070="ROLE COMPROMISE",H2070=C2070)),Inputs!$B$13,Inputs!$B$14))</f>
        <v>10</v>
      </c>
      <c r="O2070" s="15" t="n">
        <f aca="false">IF(J2070=1,0,Inputs!$B$13)</f>
        <v>20</v>
      </c>
      <c r="P2070" s="15" t="n">
        <f aca="false">SUM(M2070:N2070)</f>
        <v>85</v>
      </c>
      <c r="Q2070" s="15" t="n">
        <f aca="false">IF(J2070=1,"",L2070-P2070)</f>
        <v>15</v>
      </c>
      <c r="R2070" s="15" t="n">
        <f aca="false">IF(OR(J2070=1,M2070&lt;=Inputs!$B$12),1,0)</f>
        <v>1</v>
      </c>
      <c r="S2070" s="15" t="n">
        <f aca="false">IF(OR(J2070=1,N2070&lt;=O2070),1,0)</f>
        <v>1</v>
      </c>
      <c r="T2070" s="15" t="str">
        <f aca="false">IF(J2070=1,"OFFLINE",IF(AND(Q2070&gt;=Inputs!$B$15,R2070=1,S2070=1,P2070&lt;=L2070),"PASS","FAIL"))</f>
        <v>PASS</v>
      </c>
    </row>
    <row r="2071" customFormat="false" ht="15" hidden="false" customHeight="false" outlineLevel="0" collapsed="false">
      <c r="A2071" s="14" t="s">
        <v>1039</v>
      </c>
      <c r="B2071" s="14" t="s">
        <v>1038</v>
      </c>
      <c r="C2071" s="14" t="s">
        <v>166</v>
      </c>
      <c r="D2071" s="14" t="s">
        <v>160</v>
      </c>
      <c r="E2071" s="14" t="s">
        <v>161</v>
      </c>
      <c r="F2071" s="14" t="s">
        <v>150</v>
      </c>
      <c r="G2071" s="14" t="n">
        <v>3</v>
      </c>
      <c r="H2071" s="14" t="s">
        <v>158</v>
      </c>
      <c r="I2071" s="14" t="s">
        <v>890</v>
      </c>
      <c r="J2071" s="15" t="n">
        <f aca="false">IF(B2071="SITE LOSS",IF(D2071=C2071,1,0),IF(B2071="REGION LOSS",IF(E2071=C2071,1,0),0))</f>
        <v>0</v>
      </c>
      <c r="K2071" s="15" t="n">
        <f aca="false">IF(B2071="SITE LOSS",IF(COUNTIFS('Site Dockets'!$B$7:$B$24,C2071,'Site Dockets'!$C$7:$C$24,F2071)&gt;0,1,0),IF(B2071="REGION LOSS",IF(COUNTIFS('Site Dockets'!$E$7:$E$24,C2071,'Site Dockets'!$C$7:$C$24,F2071)&gt;0,1,0),0))</f>
        <v>0</v>
      </c>
      <c r="L2071" s="15" t="n">
        <f aca="false">IF(J2071=1,0,Inputs!$B$11)</f>
        <v>100</v>
      </c>
      <c r="M2071" s="15" t="n">
        <f aca="false">IF(J2071=1,0,Inputs!$B$12)</f>
        <v>75</v>
      </c>
      <c r="N2071" s="15" t="n">
        <f aca="false">IF(J2071=1,0,IF(OR(AND(OR(B2071="SITE LOSS",B2071="REGION LOSS"),K2071=1),AND(B2071="ROLE COMPROMISE",H2071=C2071)),Inputs!$B$13,Inputs!$B$14))</f>
        <v>10</v>
      </c>
      <c r="O2071" s="15" t="n">
        <f aca="false">IF(J2071=1,0,Inputs!$B$13)</f>
        <v>20</v>
      </c>
      <c r="P2071" s="15" t="n">
        <f aca="false">SUM(M2071:N2071)</f>
        <v>85</v>
      </c>
      <c r="Q2071" s="15" t="n">
        <f aca="false">IF(J2071=1,"",L2071-P2071)</f>
        <v>15</v>
      </c>
      <c r="R2071" s="15" t="n">
        <f aca="false">IF(OR(J2071=1,M2071&lt;=Inputs!$B$12),1,0)</f>
        <v>1</v>
      </c>
      <c r="S2071" s="15" t="n">
        <f aca="false">IF(OR(J2071=1,N2071&lt;=O2071),1,0)</f>
        <v>1</v>
      </c>
      <c r="T2071" s="15" t="str">
        <f aca="false">IF(J2071=1,"OFFLINE",IF(AND(Q2071&gt;=Inputs!$B$15,R2071=1,S2071=1,P2071&lt;=L2071),"PASS","FAIL"))</f>
        <v>PASS</v>
      </c>
    </row>
    <row r="2072" customFormat="false" ht="15" hidden="false" customHeight="false" outlineLevel="0" collapsed="false">
      <c r="A2072" s="14" t="s">
        <v>1039</v>
      </c>
      <c r="B2072" s="14" t="s">
        <v>1038</v>
      </c>
      <c r="C2072" s="14" t="s">
        <v>166</v>
      </c>
      <c r="D2072" s="14" t="s">
        <v>160</v>
      </c>
      <c r="E2072" s="14" t="s">
        <v>161</v>
      </c>
      <c r="F2072" s="14" t="s">
        <v>150</v>
      </c>
      <c r="G2072" s="14" t="n">
        <v>3</v>
      </c>
      <c r="H2072" s="14" t="s">
        <v>158</v>
      </c>
      <c r="I2072" s="14" t="s">
        <v>892</v>
      </c>
      <c r="J2072" s="15" t="n">
        <f aca="false">IF(B2072="SITE LOSS",IF(D2072=C2072,1,0),IF(B2072="REGION LOSS",IF(E2072=C2072,1,0),0))</f>
        <v>0</v>
      </c>
      <c r="K2072" s="15" t="n">
        <f aca="false">IF(B2072="SITE LOSS",IF(COUNTIFS('Site Dockets'!$B$7:$B$24,C2072,'Site Dockets'!$C$7:$C$24,F2072)&gt;0,1,0),IF(B2072="REGION LOSS",IF(COUNTIFS('Site Dockets'!$E$7:$E$24,C2072,'Site Dockets'!$C$7:$C$24,F2072)&gt;0,1,0),0))</f>
        <v>0</v>
      </c>
      <c r="L2072" s="15" t="n">
        <f aca="false">IF(J2072=1,0,Inputs!$B$11)</f>
        <v>100</v>
      </c>
      <c r="M2072" s="15" t="n">
        <f aca="false">IF(J2072=1,0,Inputs!$B$12)</f>
        <v>75</v>
      </c>
      <c r="N2072" s="15" t="n">
        <f aca="false">IF(J2072=1,0,IF(OR(AND(OR(B2072="SITE LOSS",B2072="REGION LOSS"),K2072=1),AND(B2072="ROLE COMPROMISE",H2072=C2072)),Inputs!$B$13,Inputs!$B$14))</f>
        <v>10</v>
      </c>
      <c r="O2072" s="15" t="n">
        <f aca="false">IF(J2072=1,0,Inputs!$B$13)</f>
        <v>20</v>
      </c>
      <c r="P2072" s="15" t="n">
        <f aca="false">SUM(M2072:N2072)</f>
        <v>85</v>
      </c>
      <c r="Q2072" s="15" t="n">
        <f aca="false">IF(J2072=1,"",L2072-P2072)</f>
        <v>15</v>
      </c>
      <c r="R2072" s="15" t="n">
        <f aca="false">IF(OR(J2072=1,M2072&lt;=Inputs!$B$12),1,0)</f>
        <v>1</v>
      </c>
      <c r="S2072" s="15" t="n">
        <f aca="false">IF(OR(J2072=1,N2072&lt;=O2072),1,0)</f>
        <v>1</v>
      </c>
      <c r="T2072" s="15" t="str">
        <f aca="false">IF(J2072=1,"OFFLINE",IF(AND(Q2072&gt;=Inputs!$B$15,R2072=1,S2072=1,P2072&lt;=L2072),"PASS","FAIL"))</f>
        <v>PASS</v>
      </c>
    </row>
    <row r="2073" customFormat="false" ht="15" hidden="false" customHeight="false" outlineLevel="0" collapsed="false">
      <c r="A2073" s="14" t="s">
        <v>1039</v>
      </c>
      <c r="B2073" s="14" t="s">
        <v>1038</v>
      </c>
      <c r="C2073" s="14" t="s">
        <v>166</v>
      </c>
      <c r="D2073" s="14" t="s">
        <v>160</v>
      </c>
      <c r="E2073" s="14" t="s">
        <v>161</v>
      </c>
      <c r="F2073" s="14" t="s">
        <v>150</v>
      </c>
      <c r="G2073" s="14" t="n">
        <v>3</v>
      </c>
      <c r="H2073" s="14" t="s">
        <v>158</v>
      </c>
      <c r="I2073" s="14" t="s">
        <v>811</v>
      </c>
      <c r="J2073" s="15" t="n">
        <f aca="false">IF(B2073="SITE LOSS",IF(D2073=C2073,1,0),IF(B2073="REGION LOSS",IF(E2073=C2073,1,0),0))</f>
        <v>0</v>
      </c>
      <c r="K2073" s="15" t="n">
        <f aca="false">IF(B2073="SITE LOSS",IF(COUNTIFS('Site Dockets'!$B$7:$B$24,C2073,'Site Dockets'!$C$7:$C$24,F2073)&gt;0,1,0),IF(B2073="REGION LOSS",IF(COUNTIFS('Site Dockets'!$E$7:$E$24,C2073,'Site Dockets'!$C$7:$C$24,F2073)&gt;0,1,0),0))</f>
        <v>0</v>
      </c>
      <c r="L2073" s="15" t="n">
        <f aca="false">IF(J2073=1,0,Inputs!$B$11)</f>
        <v>100</v>
      </c>
      <c r="M2073" s="15" t="n">
        <f aca="false">IF(J2073=1,0,Inputs!$B$12)</f>
        <v>75</v>
      </c>
      <c r="N2073" s="15" t="n">
        <f aca="false">IF(J2073=1,0,IF(OR(AND(OR(B2073="SITE LOSS",B2073="REGION LOSS"),K2073=1),AND(B2073="ROLE COMPROMISE",H2073=C2073)),Inputs!$B$13,Inputs!$B$14))</f>
        <v>10</v>
      </c>
      <c r="O2073" s="15" t="n">
        <f aca="false">IF(J2073=1,0,Inputs!$B$13)</f>
        <v>20</v>
      </c>
      <c r="P2073" s="15" t="n">
        <f aca="false">SUM(M2073:N2073)</f>
        <v>85</v>
      </c>
      <c r="Q2073" s="15" t="n">
        <f aca="false">IF(J2073=1,"",L2073-P2073)</f>
        <v>15</v>
      </c>
      <c r="R2073" s="15" t="n">
        <f aca="false">IF(OR(J2073=1,M2073&lt;=Inputs!$B$12),1,0)</f>
        <v>1</v>
      </c>
      <c r="S2073" s="15" t="n">
        <f aca="false">IF(OR(J2073=1,N2073&lt;=O2073),1,0)</f>
        <v>1</v>
      </c>
      <c r="T2073" s="15" t="str">
        <f aca="false">IF(J2073=1,"OFFLINE",IF(AND(Q2073&gt;=Inputs!$B$15,R2073=1,S2073=1,P2073&lt;=L2073),"PASS","FAIL"))</f>
        <v>PASS</v>
      </c>
    </row>
    <row r="2074" customFormat="false" ht="15" hidden="false" customHeight="false" outlineLevel="0" collapsed="false">
      <c r="A2074" s="14" t="s">
        <v>1039</v>
      </c>
      <c r="B2074" s="14" t="s">
        <v>1038</v>
      </c>
      <c r="C2074" s="14" t="s">
        <v>166</v>
      </c>
      <c r="D2074" s="14" t="s">
        <v>160</v>
      </c>
      <c r="E2074" s="14" t="s">
        <v>161</v>
      </c>
      <c r="F2074" s="14" t="s">
        <v>150</v>
      </c>
      <c r="G2074" s="14" t="n">
        <v>3</v>
      </c>
      <c r="H2074" s="14" t="s">
        <v>158</v>
      </c>
      <c r="I2074" s="14" t="s">
        <v>895</v>
      </c>
      <c r="J2074" s="15" t="n">
        <f aca="false">IF(B2074="SITE LOSS",IF(D2074=C2074,1,0),IF(B2074="REGION LOSS",IF(E2074=C2074,1,0),0))</f>
        <v>0</v>
      </c>
      <c r="K2074" s="15" t="n">
        <f aca="false">IF(B2074="SITE LOSS",IF(COUNTIFS('Site Dockets'!$B$7:$B$24,C2074,'Site Dockets'!$C$7:$C$24,F2074)&gt;0,1,0),IF(B2074="REGION LOSS",IF(COUNTIFS('Site Dockets'!$E$7:$E$24,C2074,'Site Dockets'!$C$7:$C$24,F2074)&gt;0,1,0),0))</f>
        <v>0</v>
      </c>
      <c r="L2074" s="15" t="n">
        <f aca="false">IF(J2074=1,0,Inputs!$B$11)</f>
        <v>100</v>
      </c>
      <c r="M2074" s="15" t="n">
        <f aca="false">IF(J2074=1,0,Inputs!$B$12)</f>
        <v>75</v>
      </c>
      <c r="N2074" s="15" t="n">
        <f aca="false">IF(J2074=1,0,IF(OR(AND(OR(B2074="SITE LOSS",B2074="REGION LOSS"),K2074=1),AND(B2074="ROLE COMPROMISE",H2074=C2074)),Inputs!$B$13,Inputs!$B$14))</f>
        <v>10</v>
      </c>
      <c r="O2074" s="15" t="n">
        <f aca="false">IF(J2074=1,0,Inputs!$B$13)</f>
        <v>20</v>
      </c>
      <c r="P2074" s="15" t="n">
        <f aca="false">SUM(M2074:N2074)</f>
        <v>85</v>
      </c>
      <c r="Q2074" s="15" t="n">
        <f aca="false">IF(J2074=1,"",L2074-P2074)</f>
        <v>15</v>
      </c>
      <c r="R2074" s="15" t="n">
        <f aca="false">IF(OR(J2074=1,M2074&lt;=Inputs!$B$12),1,0)</f>
        <v>1</v>
      </c>
      <c r="S2074" s="15" t="n">
        <f aca="false">IF(OR(J2074=1,N2074&lt;=O2074),1,0)</f>
        <v>1</v>
      </c>
      <c r="T2074" s="15" t="str">
        <f aca="false">IF(J2074=1,"OFFLINE",IF(AND(Q2074&gt;=Inputs!$B$15,R2074=1,S2074=1,P2074&lt;=L2074),"PASS","FAIL"))</f>
        <v>PASS</v>
      </c>
    </row>
    <row r="2075" customFormat="false" ht="15" hidden="false" customHeight="false" outlineLevel="0" collapsed="false">
      <c r="A2075" s="14" t="s">
        <v>1039</v>
      </c>
      <c r="B2075" s="14" t="s">
        <v>1038</v>
      </c>
      <c r="C2075" s="14" t="s">
        <v>166</v>
      </c>
      <c r="D2075" s="14" t="s">
        <v>160</v>
      </c>
      <c r="E2075" s="14" t="s">
        <v>161</v>
      </c>
      <c r="F2075" s="14" t="s">
        <v>150</v>
      </c>
      <c r="G2075" s="14" t="n">
        <v>3</v>
      </c>
      <c r="H2075" s="14" t="s">
        <v>158</v>
      </c>
      <c r="I2075" s="14" t="s">
        <v>897</v>
      </c>
      <c r="J2075" s="15" t="n">
        <f aca="false">IF(B2075="SITE LOSS",IF(D2075=C2075,1,0),IF(B2075="REGION LOSS",IF(E2075=C2075,1,0),0))</f>
        <v>0</v>
      </c>
      <c r="K2075" s="15" t="n">
        <f aca="false">IF(B2075="SITE LOSS",IF(COUNTIFS('Site Dockets'!$B$7:$B$24,C2075,'Site Dockets'!$C$7:$C$24,F2075)&gt;0,1,0),IF(B2075="REGION LOSS",IF(COUNTIFS('Site Dockets'!$E$7:$E$24,C2075,'Site Dockets'!$C$7:$C$24,F2075)&gt;0,1,0),0))</f>
        <v>0</v>
      </c>
      <c r="L2075" s="15" t="n">
        <f aca="false">IF(J2075=1,0,Inputs!$B$11)</f>
        <v>100</v>
      </c>
      <c r="M2075" s="15" t="n">
        <f aca="false">IF(J2075=1,0,Inputs!$B$12)</f>
        <v>75</v>
      </c>
      <c r="N2075" s="15" t="n">
        <f aca="false">IF(J2075=1,0,IF(OR(AND(OR(B2075="SITE LOSS",B2075="REGION LOSS"),K2075=1),AND(B2075="ROLE COMPROMISE",H2075=C2075)),Inputs!$B$13,Inputs!$B$14))</f>
        <v>10</v>
      </c>
      <c r="O2075" s="15" t="n">
        <f aca="false">IF(J2075=1,0,Inputs!$B$13)</f>
        <v>20</v>
      </c>
      <c r="P2075" s="15" t="n">
        <f aca="false">SUM(M2075:N2075)</f>
        <v>85</v>
      </c>
      <c r="Q2075" s="15" t="n">
        <f aca="false">IF(J2075=1,"",L2075-P2075)</f>
        <v>15</v>
      </c>
      <c r="R2075" s="15" t="n">
        <f aca="false">IF(OR(J2075=1,M2075&lt;=Inputs!$B$12),1,0)</f>
        <v>1</v>
      </c>
      <c r="S2075" s="15" t="n">
        <f aca="false">IF(OR(J2075=1,N2075&lt;=O2075),1,0)</f>
        <v>1</v>
      </c>
      <c r="T2075" s="15" t="str">
        <f aca="false">IF(J2075=1,"OFFLINE",IF(AND(Q2075&gt;=Inputs!$B$15,R2075=1,S2075=1,P2075&lt;=L2075),"PASS","FAIL"))</f>
        <v>PASS</v>
      </c>
    </row>
    <row r="2076" customFormat="false" ht="15" hidden="false" customHeight="false" outlineLevel="0" collapsed="false">
      <c r="A2076" s="14" t="s">
        <v>1039</v>
      </c>
      <c r="B2076" s="14" t="s">
        <v>1038</v>
      </c>
      <c r="C2076" s="14" t="s">
        <v>166</v>
      </c>
      <c r="D2076" s="14" t="s">
        <v>160</v>
      </c>
      <c r="E2076" s="14" t="s">
        <v>161</v>
      </c>
      <c r="F2076" s="14" t="s">
        <v>150</v>
      </c>
      <c r="G2076" s="14" t="n">
        <v>3</v>
      </c>
      <c r="H2076" s="14" t="s">
        <v>158</v>
      </c>
      <c r="I2076" s="14" t="s">
        <v>899</v>
      </c>
      <c r="J2076" s="15" t="n">
        <f aca="false">IF(B2076="SITE LOSS",IF(D2076=C2076,1,0),IF(B2076="REGION LOSS",IF(E2076=C2076,1,0),0))</f>
        <v>0</v>
      </c>
      <c r="K2076" s="15" t="n">
        <f aca="false">IF(B2076="SITE LOSS",IF(COUNTIFS('Site Dockets'!$B$7:$B$24,C2076,'Site Dockets'!$C$7:$C$24,F2076)&gt;0,1,0),IF(B2076="REGION LOSS",IF(COUNTIFS('Site Dockets'!$E$7:$E$24,C2076,'Site Dockets'!$C$7:$C$24,F2076)&gt;0,1,0),0))</f>
        <v>0</v>
      </c>
      <c r="L2076" s="15" t="n">
        <f aca="false">IF(J2076=1,0,Inputs!$B$11)</f>
        <v>100</v>
      </c>
      <c r="M2076" s="15" t="n">
        <f aca="false">IF(J2076=1,0,Inputs!$B$12)</f>
        <v>75</v>
      </c>
      <c r="N2076" s="15" t="n">
        <f aca="false">IF(J2076=1,0,IF(OR(AND(OR(B2076="SITE LOSS",B2076="REGION LOSS"),K2076=1),AND(B2076="ROLE COMPROMISE",H2076=C2076)),Inputs!$B$13,Inputs!$B$14))</f>
        <v>10</v>
      </c>
      <c r="O2076" s="15" t="n">
        <f aca="false">IF(J2076=1,0,Inputs!$B$13)</f>
        <v>20</v>
      </c>
      <c r="P2076" s="15" t="n">
        <f aca="false">SUM(M2076:N2076)</f>
        <v>85</v>
      </c>
      <c r="Q2076" s="15" t="n">
        <f aca="false">IF(J2076=1,"",L2076-P2076)</f>
        <v>15</v>
      </c>
      <c r="R2076" s="15" t="n">
        <f aca="false">IF(OR(J2076=1,M2076&lt;=Inputs!$B$12),1,0)</f>
        <v>1</v>
      </c>
      <c r="S2076" s="15" t="n">
        <f aca="false">IF(OR(J2076=1,N2076&lt;=O2076),1,0)</f>
        <v>1</v>
      </c>
      <c r="T2076" s="15" t="str">
        <f aca="false">IF(J2076=1,"OFFLINE",IF(AND(Q2076&gt;=Inputs!$B$15,R2076=1,S2076=1,P2076&lt;=L2076),"PASS","FAIL"))</f>
        <v>PASS</v>
      </c>
    </row>
    <row r="2077" customFormat="false" ht="15" hidden="false" customHeight="false" outlineLevel="0" collapsed="false">
      <c r="A2077" s="14" t="s">
        <v>1039</v>
      </c>
      <c r="B2077" s="14" t="s">
        <v>1038</v>
      </c>
      <c r="C2077" s="14" t="s">
        <v>166</v>
      </c>
      <c r="D2077" s="14" t="s">
        <v>163</v>
      </c>
      <c r="E2077" s="14" t="s">
        <v>166</v>
      </c>
      <c r="F2077" s="14" t="s">
        <v>164</v>
      </c>
      <c r="G2077" s="14" t="n">
        <v>1</v>
      </c>
      <c r="H2077" s="14" t="s">
        <v>154</v>
      </c>
      <c r="I2077" s="14" t="s">
        <v>890</v>
      </c>
      <c r="J2077" s="15" t="n">
        <f aca="false">IF(B2077="SITE LOSS",IF(D2077=C2077,1,0),IF(B2077="REGION LOSS",IF(E2077=C2077,1,0),0))</f>
        <v>1</v>
      </c>
      <c r="K2077" s="15" t="n">
        <f aca="false">IF(B2077="SITE LOSS",IF(COUNTIFS('Site Dockets'!$B$7:$B$24,C2077,'Site Dockets'!$C$7:$C$24,F2077)&gt;0,1,0),IF(B2077="REGION LOSS",IF(COUNTIFS('Site Dockets'!$E$7:$E$24,C2077,'Site Dockets'!$C$7:$C$24,F2077)&gt;0,1,0),0))</f>
        <v>1</v>
      </c>
      <c r="L2077" s="15" t="n">
        <f aca="false">IF(J2077=1,0,Inputs!$B$11)</f>
        <v>0</v>
      </c>
      <c r="M2077" s="15" t="n">
        <f aca="false">IF(J2077=1,0,Inputs!$B$12)</f>
        <v>0</v>
      </c>
      <c r="N2077" s="15" t="n">
        <f aca="false">IF(J2077=1,0,IF(OR(AND(OR(B2077="SITE LOSS",B2077="REGION LOSS"),K2077=1),AND(B2077="ROLE COMPROMISE",H2077=C2077)),Inputs!$B$13,Inputs!$B$14))</f>
        <v>0</v>
      </c>
      <c r="O2077" s="15" t="n">
        <f aca="false">IF(J2077=1,0,Inputs!$B$13)</f>
        <v>0</v>
      </c>
      <c r="P2077" s="15" t="n">
        <f aca="false">SUM(M2077:N2077)</f>
        <v>0</v>
      </c>
      <c r="Q2077" s="15" t="str">
        <f aca="false">IF(J2077=1,"",L2077-P2077)</f>
        <v/>
      </c>
      <c r="R2077" s="15" t="n">
        <f aca="false">IF(OR(J2077=1,M2077&lt;=Inputs!$B$12),1,0)</f>
        <v>1</v>
      </c>
      <c r="S2077" s="15" t="n">
        <f aca="false">IF(OR(J2077=1,N2077&lt;=O2077),1,0)</f>
        <v>1</v>
      </c>
      <c r="T2077" s="15" t="str">
        <f aca="false">IF(J2077=1,"OFFLINE",IF(AND(Q2077&gt;=Inputs!$B$15,R2077=1,S2077=1,P2077&lt;=L2077),"PASS","FAIL"))</f>
        <v>OFFLINE</v>
      </c>
    </row>
    <row r="2078" customFormat="false" ht="15" hidden="false" customHeight="false" outlineLevel="0" collapsed="false">
      <c r="A2078" s="14" t="s">
        <v>1039</v>
      </c>
      <c r="B2078" s="14" t="s">
        <v>1038</v>
      </c>
      <c r="C2078" s="14" t="s">
        <v>166</v>
      </c>
      <c r="D2078" s="14" t="s">
        <v>163</v>
      </c>
      <c r="E2078" s="14" t="s">
        <v>166</v>
      </c>
      <c r="F2078" s="14" t="s">
        <v>164</v>
      </c>
      <c r="G2078" s="14" t="n">
        <v>1</v>
      </c>
      <c r="H2078" s="14" t="s">
        <v>154</v>
      </c>
      <c r="I2078" s="14" t="s">
        <v>892</v>
      </c>
      <c r="J2078" s="15" t="n">
        <f aca="false">IF(B2078="SITE LOSS",IF(D2078=C2078,1,0),IF(B2078="REGION LOSS",IF(E2078=C2078,1,0),0))</f>
        <v>1</v>
      </c>
      <c r="K2078" s="15" t="n">
        <f aca="false">IF(B2078="SITE LOSS",IF(COUNTIFS('Site Dockets'!$B$7:$B$24,C2078,'Site Dockets'!$C$7:$C$24,F2078)&gt;0,1,0),IF(B2078="REGION LOSS",IF(COUNTIFS('Site Dockets'!$E$7:$E$24,C2078,'Site Dockets'!$C$7:$C$24,F2078)&gt;0,1,0),0))</f>
        <v>1</v>
      </c>
      <c r="L2078" s="15" t="n">
        <f aca="false">IF(J2078=1,0,Inputs!$B$11)</f>
        <v>0</v>
      </c>
      <c r="M2078" s="15" t="n">
        <f aca="false">IF(J2078=1,0,Inputs!$B$12)</f>
        <v>0</v>
      </c>
      <c r="N2078" s="15" t="n">
        <f aca="false">IF(J2078=1,0,IF(OR(AND(OR(B2078="SITE LOSS",B2078="REGION LOSS"),K2078=1),AND(B2078="ROLE COMPROMISE",H2078=C2078)),Inputs!$B$13,Inputs!$B$14))</f>
        <v>0</v>
      </c>
      <c r="O2078" s="15" t="n">
        <f aca="false">IF(J2078=1,0,Inputs!$B$13)</f>
        <v>0</v>
      </c>
      <c r="P2078" s="15" t="n">
        <f aca="false">SUM(M2078:N2078)</f>
        <v>0</v>
      </c>
      <c r="Q2078" s="15" t="str">
        <f aca="false">IF(J2078=1,"",L2078-P2078)</f>
        <v/>
      </c>
      <c r="R2078" s="15" t="n">
        <f aca="false">IF(OR(J2078=1,M2078&lt;=Inputs!$B$12),1,0)</f>
        <v>1</v>
      </c>
      <c r="S2078" s="15" t="n">
        <f aca="false">IF(OR(J2078=1,N2078&lt;=O2078),1,0)</f>
        <v>1</v>
      </c>
      <c r="T2078" s="15" t="str">
        <f aca="false">IF(J2078=1,"OFFLINE",IF(AND(Q2078&gt;=Inputs!$B$15,R2078=1,S2078=1,P2078&lt;=L2078),"PASS","FAIL"))</f>
        <v>OFFLINE</v>
      </c>
    </row>
    <row r="2079" customFormat="false" ht="15" hidden="false" customHeight="false" outlineLevel="0" collapsed="false">
      <c r="A2079" s="14" t="s">
        <v>1039</v>
      </c>
      <c r="B2079" s="14" t="s">
        <v>1038</v>
      </c>
      <c r="C2079" s="14" t="s">
        <v>166</v>
      </c>
      <c r="D2079" s="14" t="s">
        <v>163</v>
      </c>
      <c r="E2079" s="14" t="s">
        <v>166</v>
      </c>
      <c r="F2079" s="14" t="s">
        <v>164</v>
      </c>
      <c r="G2079" s="14" t="n">
        <v>1</v>
      </c>
      <c r="H2079" s="14" t="s">
        <v>154</v>
      </c>
      <c r="I2079" s="14" t="s">
        <v>811</v>
      </c>
      <c r="J2079" s="15" t="n">
        <f aca="false">IF(B2079="SITE LOSS",IF(D2079=C2079,1,0),IF(B2079="REGION LOSS",IF(E2079=C2079,1,0),0))</f>
        <v>1</v>
      </c>
      <c r="K2079" s="15" t="n">
        <f aca="false">IF(B2079="SITE LOSS",IF(COUNTIFS('Site Dockets'!$B$7:$B$24,C2079,'Site Dockets'!$C$7:$C$24,F2079)&gt;0,1,0),IF(B2079="REGION LOSS",IF(COUNTIFS('Site Dockets'!$E$7:$E$24,C2079,'Site Dockets'!$C$7:$C$24,F2079)&gt;0,1,0),0))</f>
        <v>1</v>
      </c>
      <c r="L2079" s="15" t="n">
        <f aca="false">IF(J2079=1,0,Inputs!$B$11)</f>
        <v>0</v>
      </c>
      <c r="M2079" s="15" t="n">
        <f aca="false">IF(J2079=1,0,Inputs!$B$12)</f>
        <v>0</v>
      </c>
      <c r="N2079" s="15" t="n">
        <f aca="false">IF(J2079=1,0,IF(OR(AND(OR(B2079="SITE LOSS",B2079="REGION LOSS"),K2079=1),AND(B2079="ROLE COMPROMISE",H2079=C2079)),Inputs!$B$13,Inputs!$B$14))</f>
        <v>0</v>
      </c>
      <c r="O2079" s="15" t="n">
        <f aca="false">IF(J2079=1,0,Inputs!$B$13)</f>
        <v>0</v>
      </c>
      <c r="P2079" s="15" t="n">
        <f aca="false">SUM(M2079:N2079)</f>
        <v>0</v>
      </c>
      <c r="Q2079" s="15" t="str">
        <f aca="false">IF(J2079=1,"",L2079-P2079)</f>
        <v/>
      </c>
      <c r="R2079" s="15" t="n">
        <f aca="false">IF(OR(J2079=1,M2079&lt;=Inputs!$B$12),1,0)</f>
        <v>1</v>
      </c>
      <c r="S2079" s="15" t="n">
        <f aca="false">IF(OR(J2079=1,N2079&lt;=O2079),1,0)</f>
        <v>1</v>
      </c>
      <c r="T2079" s="15" t="str">
        <f aca="false">IF(J2079=1,"OFFLINE",IF(AND(Q2079&gt;=Inputs!$B$15,R2079=1,S2079=1,P2079&lt;=L2079),"PASS","FAIL"))</f>
        <v>OFFLINE</v>
      </c>
    </row>
    <row r="2080" customFormat="false" ht="15" hidden="false" customHeight="false" outlineLevel="0" collapsed="false">
      <c r="A2080" s="14" t="s">
        <v>1039</v>
      </c>
      <c r="B2080" s="14" t="s">
        <v>1038</v>
      </c>
      <c r="C2080" s="14" t="s">
        <v>166</v>
      </c>
      <c r="D2080" s="14" t="s">
        <v>163</v>
      </c>
      <c r="E2080" s="14" t="s">
        <v>166</v>
      </c>
      <c r="F2080" s="14" t="s">
        <v>164</v>
      </c>
      <c r="G2080" s="14" t="n">
        <v>1</v>
      </c>
      <c r="H2080" s="14" t="s">
        <v>154</v>
      </c>
      <c r="I2080" s="14" t="s">
        <v>895</v>
      </c>
      <c r="J2080" s="15" t="n">
        <f aca="false">IF(B2080="SITE LOSS",IF(D2080=C2080,1,0),IF(B2080="REGION LOSS",IF(E2080=C2080,1,0),0))</f>
        <v>1</v>
      </c>
      <c r="K2080" s="15" t="n">
        <f aca="false">IF(B2080="SITE LOSS",IF(COUNTIFS('Site Dockets'!$B$7:$B$24,C2080,'Site Dockets'!$C$7:$C$24,F2080)&gt;0,1,0),IF(B2080="REGION LOSS",IF(COUNTIFS('Site Dockets'!$E$7:$E$24,C2080,'Site Dockets'!$C$7:$C$24,F2080)&gt;0,1,0),0))</f>
        <v>1</v>
      </c>
      <c r="L2080" s="15" t="n">
        <f aca="false">IF(J2080=1,0,Inputs!$B$11)</f>
        <v>0</v>
      </c>
      <c r="M2080" s="15" t="n">
        <f aca="false">IF(J2080=1,0,Inputs!$B$12)</f>
        <v>0</v>
      </c>
      <c r="N2080" s="15" t="n">
        <f aca="false">IF(J2080=1,0,IF(OR(AND(OR(B2080="SITE LOSS",B2080="REGION LOSS"),K2080=1),AND(B2080="ROLE COMPROMISE",H2080=C2080)),Inputs!$B$13,Inputs!$B$14))</f>
        <v>0</v>
      </c>
      <c r="O2080" s="15" t="n">
        <f aca="false">IF(J2080=1,0,Inputs!$B$13)</f>
        <v>0</v>
      </c>
      <c r="P2080" s="15" t="n">
        <f aca="false">SUM(M2080:N2080)</f>
        <v>0</v>
      </c>
      <c r="Q2080" s="15" t="str">
        <f aca="false">IF(J2080=1,"",L2080-P2080)</f>
        <v/>
      </c>
      <c r="R2080" s="15" t="n">
        <f aca="false">IF(OR(J2080=1,M2080&lt;=Inputs!$B$12),1,0)</f>
        <v>1</v>
      </c>
      <c r="S2080" s="15" t="n">
        <f aca="false">IF(OR(J2080=1,N2080&lt;=O2080),1,0)</f>
        <v>1</v>
      </c>
      <c r="T2080" s="15" t="str">
        <f aca="false">IF(J2080=1,"OFFLINE",IF(AND(Q2080&gt;=Inputs!$B$15,R2080=1,S2080=1,P2080&lt;=L2080),"PASS","FAIL"))</f>
        <v>OFFLINE</v>
      </c>
    </row>
    <row r="2081" customFormat="false" ht="15" hidden="false" customHeight="false" outlineLevel="0" collapsed="false">
      <c r="A2081" s="14" t="s">
        <v>1039</v>
      </c>
      <c r="B2081" s="14" t="s">
        <v>1038</v>
      </c>
      <c r="C2081" s="14" t="s">
        <v>166</v>
      </c>
      <c r="D2081" s="14" t="s">
        <v>163</v>
      </c>
      <c r="E2081" s="14" t="s">
        <v>166</v>
      </c>
      <c r="F2081" s="14" t="s">
        <v>164</v>
      </c>
      <c r="G2081" s="14" t="n">
        <v>1</v>
      </c>
      <c r="H2081" s="14" t="s">
        <v>154</v>
      </c>
      <c r="I2081" s="14" t="s">
        <v>897</v>
      </c>
      <c r="J2081" s="15" t="n">
        <f aca="false">IF(B2081="SITE LOSS",IF(D2081=C2081,1,0),IF(B2081="REGION LOSS",IF(E2081=C2081,1,0),0))</f>
        <v>1</v>
      </c>
      <c r="K2081" s="15" t="n">
        <f aca="false">IF(B2081="SITE LOSS",IF(COUNTIFS('Site Dockets'!$B$7:$B$24,C2081,'Site Dockets'!$C$7:$C$24,F2081)&gt;0,1,0),IF(B2081="REGION LOSS",IF(COUNTIFS('Site Dockets'!$E$7:$E$24,C2081,'Site Dockets'!$C$7:$C$24,F2081)&gt;0,1,0),0))</f>
        <v>1</v>
      </c>
      <c r="L2081" s="15" t="n">
        <f aca="false">IF(J2081=1,0,Inputs!$B$11)</f>
        <v>0</v>
      </c>
      <c r="M2081" s="15" t="n">
        <f aca="false">IF(J2081=1,0,Inputs!$B$12)</f>
        <v>0</v>
      </c>
      <c r="N2081" s="15" t="n">
        <f aca="false">IF(J2081=1,0,IF(OR(AND(OR(B2081="SITE LOSS",B2081="REGION LOSS"),K2081=1),AND(B2081="ROLE COMPROMISE",H2081=C2081)),Inputs!$B$13,Inputs!$B$14))</f>
        <v>0</v>
      </c>
      <c r="O2081" s="15" t="n">
        <f aca="false">IF(J2081=1,0,Inputs!$B$13)</f>
        <v>0</v>
      </c>
      <c r="P2081" s="15" t="n">
        <f aca="false">SUM(M2081:N2081)</f>
        <v>0</v>
      </c>
      <c r="Q2081" s="15" t="str">
        <f aca="false">IF(J2081=1,"",L2081-P2081)</f>
        <v/>
      </c>
      <c r="R2081" s="15" t="n">
        <f aca="false">IF(OR(J2081=1,M2081&lt;=Inputs!$B$12),1,0)</f>
        <v>1</v>
      </c>
      <c r="S2081" s="15" t="n">
        <f aca="false">IF(OR(J2081=1,N2081&lt;=O2081),1,0)</f>
        <v>1</v>
      </c>
      <c r="T2081" s="15" t="str">
        <f aca="false">IF(J2081=1,"OFFLINE",IF(AND(Q2081&gt;=Inputs!$B$15,R2081=1,S2081=1,P2081&lt;=L2081),"PASS","FAIL"))</f>
        <v>OFFLINE</v>
      </c>
    </row>
    <row r="2082" customFormat="false" ht="15" hidden="false" customHeight="false" outlineLevel="0" collapsed="false">
      <c r="A2082" s="14" t="s">
        <v>1039</v>
      </c>
      <c r="B2082" s="14" t="s">
        <v>1038</v>
      </c>
      <c r="C2082" s="14" t="s">
        <v>166</v>
      </c>
      <c r="D2082" s="14" t="s">
        <v>163</v>
      </c>
      <c r="E2082" s="14" t="s">
        <v>166</v>
      </c>
      <c r="F2082" s="14" t="s">
        <v>164</v>
      </c>
      <c r="G2082" s="14" t="n">
        <v>1</v>
      </c>
      <c r="H2082" s="14" t="s">
        <v>154</v>
      </c>
      <c r="I2082" s="14" t="s">
        <v>899</v>
      </c>
      <c r="J2082" s="15" t="n">
        <f aca="false">IF(B2082="SITE LOSS",IF(D2082=C2082,1,0),IF(B2082="REGION LOSS",IF(E2082=C2082,1,0),0))</f>
        <v>1</v>
      </c>
      <c r="K2082" s="15" t="n">
        <f aca="false">IF(B2082="SITE LOSS",IF(COUNTIFS('Site Dockets'!$B$7:$B$24,C2082,'Site Dockets'!$C$7:$C$24,F2082)&gt;0,1,0),IF(B2082="REGION LOSS",IF(COUNTIFS('Site Dockets'!$E$7:$E$24,C2082,'Site Dockets'!$C$7:$C$24,F2082)&gt;0,1,0),0))</f>
        <v>1</v>
      </c>
      <c r="L2082" s="15" t="n">
        <f aca="false">IF(J2082=1,0,Inputs!$B$11)</f>
        <v>0</v>
      </c>
      <c r="M2082" s="15" t="n">
        <f aca="false">IF(J2082=1,0,Inputs!$B$12)</f>
        <v>0</v>
      </c>
      <c r="N2082" s="15" t="n">
        <f aca="false">IF(J2082=1,0,IF(OR(AND(OR(B2082="SITE LOSS",B2082="REGION LOSS"),K2082=1),AND(B2082="ROLE COMPROMISE",H2082=C2082)),Inputs!$B$13,Inputs!$B$14))</f>
        <v>0</v>
      </c>
      <c r="O2082" s="15" t="n">
        <f aca="false">IF(J2082=1,0,Inputs!$B$13)</f>
        <v>0</v>
      </c>
      <c r="P2082" s="15" t="n">
        <f aca="false">SUM(M2082:N2082)</f>
        <v>0</v>
      </c>
      <c r="Q2082" s="15" t="str">
        <f aca="false">IF(J2082=1,"",L2082-P2082)</f>
        <v/>
      </c>
      <c r="R2082" s="15" t="n">
        <f aca="false">IF(OR(J2082=1,M2082&lt;=Inputs!$B$12),1,0)</f>
        <v>1</v>
      </c>
      <c r="S2082" s="15" t="n">
        <f aca="false">IF(OR(J2082=1,N2082&lt;=O2082),1,0)</f>
        <v>1</v>
      </c>
      <c r="T2082" s="15" t="str">
        <f aca="false">IF(J2082=1,"OFFLINE",IF(AND(Q2082&gt;=Inputs!$B$15,R2082=1,S2082=1,P2082&lt;=L2082),"PASS","FAIL"))</f>
        <v>OFFLINE</v>
      </c>
    </row>
    <row r="2083" customFormat="false" ht="15" hidden="false" customHeight="false" outlineLevel="0" collapsed="false">
      <c r="A2083" s="14" t="s">
        <v>1039</v>
      </c>
      <c r="B2083" s="14" t="s">
        <v>1038</v>
      </c>
      <c r="C2083" s="14" t="s">
        <v>166</v>
      </c>
      <c r="D2083" s="14" t="s">
        <v>168</v>
      </c>
      <c r="E2083" s="14" t="s">
        <v>169</v>
      </c>
      <c r="F2083" s="14" t="s">
        <v>164</v>
      </c>
      <c r="G2083" s="14" t="n">
        <v>2</v>
      </c>
      <c r="H2083" s="14" t="s">
        <v>153</v>
      </c>
      <c r="I2083" s="14" t="s">
        <v>890</v>
      </c>
      <c r="J2083" s="15" t="n">
        <f aca="false">IF(B2083="SITE LOSS",IF(D2083=C2083,1,0),IF(B2083="REGION LOSS",IF(E2083=C2083,1,0),0))</f>
        <v>0</v>
      </c>
      <c r="K2083" s="15" t="n">
        <f aca="false">IF(B2083="SITE LOSS",IF(COUNTIFS('Site Dockets'!$B$7:$B$24,C2083,'Site Dockets'!$C$7:$C$24,F2083)&gt;0,1,0),IF(B2083="REGION LOSS",IF(COUNTIFS('Site Dockets'!$E$7:$E$24,C2083,'Site Dockets'!$C$7:$C$24,F2083)&gt;0,1,0),0))</f>
        <v>1</v>
      </c>
      <c r="L2083" s="15" t="n">
        <f aca="false">IF(J2083=1,0,Inputs!$B$11)</f>
        <v>100</v>
      </c>
      <c r="M2083" s="15" t="n">
        <f aca="false">IF(J2083=1,0,Inputs!$B$12)</f>
        <v>75</v>
      </c>
      <c r="N2083" s="15" t="n">
        <f aca="false">IF(J2083=1,0,IF(OR(AND(OR(B2083="SITE LOSS",B2083="REGION LOSS"),K2083=1),AND(B2083="ROLE COMPROMISE",H2083=C2083)),Inputs!$B$13,Inputs!$B$14))</f>
        <v>20</v>
      </c>
      <c r="O2083" s="15" t="n">
        <f aca="false">IF(J2083=1,0,Inputs!$B$13)</f>
        <v>20</v>
      </c>
      <c r="P2083" s="15" t="n">
        <f aca="false">SUM(M2083:N2083)</f>
        <v>95</v>
      </c>
      <c r="Q2083" s="15" t="n">
        <f aca="false">IF(J2083=1,"",L2083-P2083)</f>
        <v>5</v>
      </c>
      <c r="R2083" s="15" t="n">
        <f aca="false">IF(OR(J2083=1,M2083&lt;=Inputs!$B$12),1,0)</f>
        <v>1</v>
      </c>
      <c r="S2083" s="15" t="n">
        <f aca="false">IF(OR(J2083=1,N2083&lt;=O2083),1,0)</f>
        <v>1</v>
      </c>
      <c r="T2083" s="15" t="str">
        <f aca="false">IF(J2083=1,"OFFLINE",IF(AND(Q2083&gt;=Inputs!$B$15,R2083=1,S2083=1,P2083&lt;=L2083),"PASS","FAIL"))</f>
        <v>PASS</v>
      </c>
    </row>
    <row r="2084" customFormat="false" ht="15" hidden="false" customHeight="false" outlineLevel="0" collapsed="false">
      <c r="A2084" s="14" t="s">
        <v>1039</v>
      </c>
      <c r="B2084" s="14" t="s">
        <v>1038</v>
      </c>
      <c r="C2084" s="14" t="s">
        <v>166</v>
      </c>
      <c r="D2084" s="14" t="s">
        <v>168</v>
      </c>
      <c r="E2084" s="14" t="s">
        <v>169</v>
      </c>
      <c r="F2084" s="14" t="s">
        <v>164</v>
      </c>
      <c r="G2084" s="14" t="n">
        <v>2</v>
      </c>
      <c r="H2084" s="14" t="s">
        <v>153</v>
      </c>
      <c r="I2084" s="14" t="s">
        <v>892</v>
      </c>
      <c r="J2084" s="15" t="n">
        <f aca="false">IF(B2084="SITE LOSS",IF(D2084=C2084,1,0),IF(B2084="REGION LOSS",IF(E2084=C2084,1,0),0))</f>
        <v>0</v>
      </c>
      <c r="K2084" s="15" t="n">
        <f aca="false">IF(B2084="SITE LOSS",IF(COUNTIFS('Site Dockets'!$B$7:$B$24,C2084,'Site Dockets'!$C$7:$C$24,F2084)&gt;0,1,0),IF(B2084="REGION LOSS",IF(COUNTIFS('Site Dockets'!$E$7:$E$24,C2084,'Site Dockets'!$C$7:$C$24,F2084)&gt;0,1,0),0))</f>
        <v>1</v>
      </c>
      <c r="L2084" s="15" t="n">
        <f aca="false">IF(J2084=1,0,Inputs!$B$11)</f>
        <v>100</v>
      </c>
      <c r="M2084" s="15" t="n">
        <f aca="false">IF(J2084=1,0,Inputs!$B$12)</f>
        <v>75</v>
      </c>
      <c r="N2084" s="15" t="n">
        <f aca="false">IF(J2084=1,0,IF(OR(AND(OR(B2084="SITE LOSS",B2084="REGION LOSS"),K2084=1),AND(B2084="ROLE COMPROMISE",H2084=C2084)),Inputs!$B$13,Inputs!$B$14))</f>
        <v>20</v>
      </c>
      <c r="O2084" s="15" t="n">
        <f aca="false">IF(J2084=1,0,Inputs!$B$13)</f>
        <v>20</v>
      </c>
      <c r="P2084" s="15" t="n">
        <f aca="false">SUM(M2084:N2084)</f>
        <v>95</v>
      </c>
      <c r="Q2084" s="15" t="n">
        <f aca="false">IF(J2084=1,"",L2084-P2084)</f>
        <v>5</v>
      </c>
      <c r="R2084" s="15" t="n">
        <f aca="false">IF(OR(J2084=1,M2084&lt;=Inputs!$B$12),1,0)</f>
        <v>1</v>
      </c>
      <c r="S2084" s="15" t="n">
        <f aca="false">IF(OR(J2084=1,N2084&lt;=O2084),1,0)</f>
        <v>1</v>
      </c>
      <c r="T2084" s="15" t="str">
        <f aca="false">IF(J2084=1,"OFFLINE",IF(AND(Q2084&gt;=Inputs!$B$15,R2084=1,S2084=1,P2084&lt;=L2084),"PASS","FAIL"))</f>
        <v>PASS</v>
      </c>
    </row>
    <row r="2085" customFormat="false" ht="15" hidden="false" customHeight="false" outlineLevel="0" collapsed="false">
      <c r="A2085" s="14" t="s">
        <v>1039</v>
      </c>
      <c r="B2085" s="14" t="s">
        <v>1038</v>
      </c>
      <c r="C2085" s="14" t="s">
        <v>166</v>
      </c>
      <c r="D2085" s="14" t="s">
        <v>168</v>
      </c>
      <c r="E2085" s="14" t="s">
        <v>169</v>
      </c>
      <c r="F2085" s="14" t="s">
        <v>164</v>
      </c>
      <c r="G2085" s="14" t="n">
        <v>2</v>
      </c>
      <c r="H2085" s="14" t="s">
        <v>153</v>
      </c>
      <c r="I2085" s="14" t="s">
        <v>811</v>
      </c>
      <c r="J2085" s="15" t="n">
        <f aca="false">IF(B2085="SITE LOSS",IF(D2085=C2085,1,0),IF(B2085="REGION LOSS",IF(E2085=C2085,1,0),0))</f>
        <v>0</v>
      </c>
      <c r="K2085" s="15" t="n">
        <f aca="false">IF(B2085="SITE LOSS",IF(COUNTIFS('Site Dockets'!$B$7:$B$24,C2085,'Site Dockets'!$C$7:$C$24,F2085)&gt;0,1,0),IF(B2085="REGION LOSS",IF(COUNTIFS('Site Dockets'!$E$7:$E$24,C2085,'Site Dockets'!$C$7:$C$24,F2085)&gt;0,1,0),0))</f>
        <v>1</v>
      </c>
      <c r="L2085" s="15" t="n">
        <f aca="false">IF(J2085=1,0,Inputs!$B$11)</f>
        <v>100</v>
      </c>
      <c r="M2085" s="15" t="n">
        <f aca="false">IF(J2085=1,0,Inputs!$B$12)</f>
        <v>75</v>
      </c>
      <c r="N2085" s="15" t="n">
        <f aca="false">IF(J2085=1,0,IF(OR(AND(OR(B2085="SITE LOSS",B2085="REGION LOSS"),K2085=1),AND(B2085="ROLE COMPROMISE",H2085=C2085)),Inputs!$B$13,Inputs!$B$14))</f>
        <v>20</v>
      </c>
      <c r="O2085" s="15" t="n">
        <f aca="false">IF(J2085=1,0,Inputs!$B$13)</f>
        <v>20</v>
      </c>
      <c r="P2085" s="15" t="n">
        <f aca="false">SUM(M2085:N2085)</f>
        <v>95</v>
      </c>
      <c r="Q2085" s="15" t="n">
        <f aca="false">IF(J2085=1,"",L2085-P2085)</f>
        <v>5</v>
      </c>
      <c r="R2085" s="15" t="n">
        <f aca="false">IF(OR(J2085=1,M2085&lt;=Inputs!$B$12),1,0)</f>
        <v>1</v>
      </c>
      <c r="S2085" s="15" t="n">
        <f aca="false">IF(OR(J2085=1,N2085&lt;=O2085),1,0)</f>
        <v>1</v>
      </c>
      <c r="T2085" s="15" t="str">
        <f aca="false">IF(J2085=1,"OFFLINE",IF(AND(Q2085&gt;=Inputs!$B$15,R2085=1,S2085=1,P2085&lt;=L2085),"PASS","FAIL"))</f>
        <v>PASS</v>
      </c>
    </row>
    <row r="2086" customFormat="false" ht="15" hidden="false" customHeight="false" outlineLevel="0" collapsed="false">
      <c r="A2086" s="14" t="s">
        <v>1039</v>
      </c>
      <c r="B2086" s="14" t="s">
        <v>1038</v>
      </c>
      <c r="C2086" s="14" t="s">
        <v>166</v>
      </c>
      <c r="D2086" s="14" t="s">
        <v>168</v>
      </c>
      <c r="E2086" s="14" t="s">
        <v>169</v>
      </c>
      <c r="F2086" s="14" t="s">
        <v>164</v>
      </c>
      <c r="G2086" s="14" t="n">
        <v>2</v>
      </c>
      <c r="H2086" s="14" t="s">
        <v>153</v>
      </c>
      <c r="I2086" s="14" t="s">
        <v>895</v>
      </c>
      <c r="J2086" s="15" t="n">
        <f aca="false">IF(B2086="SITE LOSS",IF(D2086=C2086,1,0),IF(B2086="REGION LOSS",IF(E2086=C2086,1,0),0))</f>
        <v>0</v>
      </c>
      <c r="K2086" s="15" t="n">
        <f aca="false">IF(B2086="SITE LOSS",IF(COUNTIFS('Site Dockets'!$B$7:$B$24,C2086,'Site Dockets'!$C$7:$C$24,F2086)&gt;0,1,0),IF(B2086="REGION LOSS",IF(COUNTIFS('Site Dockets'!$E$7:$E$24,C2086,'Site Dockets'!$C$7:$C$24,F2086)&gt;0,1,0),0))</f>
        <v>1</v>
      </c>
      <c r="L2086" s="15" t="n">
        <f aca="false">IF(J2086=1,0,Inputs!$B$11)</f>
        <v>100</v>
      </c>
      <c r="M2086" s="15" t="n">
        <f aca="false">IF(J2086=1,0,Inputs!$B$12)</f>
        <v>75</v>
      </c>
      <c r="N2086" s="15" t="n">
        <f aca="false">IF(J2086=1,0,IF(OR(AND(OR(B2086="SITE LOSS",B2086="REGION LOSS"),K2086=1),AND(B2086="ROLE COMPROMISE",H2086=C2086)),Inputs!$B$13,Inputs!$B$14))</f>
        <v>20</v>
      </c>
      <c r="O2086" s="15" t="n">
        <f aca="false">IF(J2086=1,0,Inputs!$B$13)</f>
        <v>20</v>
      </c>
      <c r="P2086" s="15" t="n">
        <f aca="false">SUM(M2086:N2086)</f>
        <v>95</v>
      </c>
      <c r="Q2086" s="15" t="n">
        <f aca="false">IF(J2086=1,"",L2086-P2086)</f>
        <v>5</v>
      </c>
      <c r="R2086" s="15" t="n">
        <f aca="false">IF(OR(J2086=1,M2086&lt;=Inputs!$B$12),1,0)</f>
        <v>1</v>
      </c>
      <c r="S2086" s="15" t="n">
        <f aca="false">IF(OR(J2086=1,N2086&lt;=O2086),1,0)</f>
        <v>1</v>
      </c>
      <c r="T2086" s="15" t="str">
        <f aca="false">IF(J2086=1,"OFFLINE",IF(AND(Q2086&gt;=Inputs!$B$15,R2086=1,S2086=1,P2086&lt;=L2086),"PASS","FAIL"))</f>
        <v>PASS</v>
      </c>
    </row>
    <row r="2087" customFormat="false" ht="15" hidden="false" customHeight="false" outlineLevel="0" collapsed="false">
      <c r="A2087" s="14" t="s">
        <v>1039</v>
      </c>
      <c r="B2087" s="14" t="s">
        <v>1038</v>
      </c>
      <c r="C2087" s="14" t="s">
        <v>166</v>
      </c>
      <c r="D2087" s="14" t="s">
        <v>168</v>
      </c>
      <c r="E2087" s="14" t="s">
        <v>169</v>
      </c>
      <c r="F2087" s="14" t="s">
        <v>164</v>
      </c>
      <c r="G2087" s="14" t="n">
        <v>2</v>
      </c>
      <c r="H2087" s="14" t="s">
        <v>153</v>
      </c>
      <c r="I2087" s="14" t="s">
        <v>897</v>
      </c>
      <c r="J2087" s="15" t="n">
        <f aca="false">IF(B2087="SITE LOSS",IF(D2087=C2087,1,0),IF(B2087="REGION LOSS",IF(E2087=C2087,1,0),0))</f>
        <v>0</v>
      </c>
      <c r="K2087" s="15" t="n">
        <f aca="false">IF(B2087="SITE LOSS",IF(COUNTIFS('Site Dockets'!$B$7:$B$24,C2087,'Site Dockets'!$C$7:$C$24,F2087)&gt;0,1,0),IF(B2087="REGION LOSS",IF(COUNTIFS('Site Dockets'!$E$7:$E$24,C2087,'Site Dockets'!$C$7:$C$24,F2087)&gt;0,1,0),0))</f>
        <v>1</v>
      </c>
      <c r="L2087" s="15" t="n">
        <f aca="false">IF(J2087=1,0,Inputs!$B$11)</f>
        <v>100</v>
      </c>
      <c r="M2087" s="15" t="n">
        <f aca="false">IF(J2087=1,0,Inputs!$B$12)</f>
        <v>75</v>
      </c>
      <c r="N2087" s="15" t="n">
        <f aca="false">IF(J2087=1,0,IF(OR(AND(OR(B2087="SITE LOSS",B2087="REGION LOSS"),K2087=1),AND(B2087="ROLE COMPROMISE",H2087=C2087)),Inputs!$B$13,Inputs!$B$14))</f>
        <v>20</v>
      </c>
      <c r="O2087" s="15" t="n">
        <f aca="false">IF(J2087=1,0,Inputs!$B$13)</f>
        <v>20</v>
      </c>
      <c r="P2087" s="15" t="n">
        <f aca="false">SUM(M2087:N2087)</f>
        <v>95</v>
      </c>
      <c r="Q2087" s="15" t="n">
        <f aca="false">IF(J2087=1,"",L2087-P2087)</f>
        <v>5</v>
      </c>
      <c r="R2087" s="15" t="n">
        <f aca="false">IF(OR(J2087=1,M2087&lt;=Inputs!$B$12),1,0)</f>
        <v>1</v>
      </c>
      <c r="S2087" s="15" t="n">
        <f aca="false">IF(OR(J2087=1,N2087&lt;=O2087),1,0)</f>
        <v>1</v>
      </c>
      <c r="T2087" s="15" t="str">
        <f aca="false">IF(J2087=1,"OFFLINE",IF(AND(Q2087&gt;=Inputs!$B$15,R2087=1,S2087=1,P2087&lt;=L2087),"PASS","FAIL"))</f>
        <v>PASS</v>
      </c>
    </row>
    <row r="2088" customFormat="false" ht="15" hidden="false" customHeight="false" outlineLevel="0" collapsed="false">
      <c r="A2088" s="14" t="s">
        <v>1039</v>
      </c>
      <c r="B2088" s="14" t="s">
        <v>1038</v>
      </c>
      <c r="C2088" s="14" t="s">
        <v>166</v>
      </c>
      <c r="D2088" s="14" t="s">
        <v>168</v>
      </c>
      <c r="E2088" s="14" t="s">
        <v>169</v>
      </c>
      <c r="F2088" s="14" t="s">
        <v>164</v>
      </c>
      <c r="G2088" s="14" t="n">
        <v>2</v>
      </c>
      <c r="H2088" s="14" t="s">
        <v>153</v>
      </c>
      <c r="I2088" s="14" t="s">
        <v>899</v>
      </c>
      <c r="J2088" s="15" t="n">
        <f aca="false">IF(B2088="SITE LOSS",IF(D2088=C2088,1,0),IF(B2088="REGION LOSS",IF(E2088=C2088,1,0),0))</f>
        <v>0</v>
      </c>
      <c r="K2088" s="15" t="n">
        <f aca="false">IF(B2088="SITE LOSS",IF(COUNTIFS('Site Dockets'!$B$7:$B$24,C2088,'Site Dockets'!$C$7:$C$24,F2088)&gt;0,1,0),IF(B2088="REGION LOSS",IF(COUNTIFS('Site Dockets'!$E$7:$E$24,C2088,'Site Dockets'!$C$7:$C$24,F2088)&gt;0,1,0),0))</f>
        <v>1</v>
      </c>
      <c r="L2088" s="15" t="n">
        <f aca="false">IF(J2088=1,0,Inputs!$B$11)</f>
        <v>100</v>
      </c>
      <c r="M2088" s="15" t="n">
        <f aca="false">IF(J2088=1,0,Inputs!$B$12)</f>
        <v>75</v>
      </c>
      <c r="N2088" s="15" t="n">
        <f aca="false">IF(J2088=1,0,IF(OR(AND(OR(B2088="SITE LOSS",B2088="REGION LOSS"),K2088=1),AND(B2088="ROLE COMPROMISE",H2088=C2088)),Inputs!$B$13,Inputs!$B$14))</f>
        <v>20</v>
      </c>
      <c r="O2088" s="15" t="n">
        <f aca="false">IF(J2088=1,0,Inputs!$B$13)</f>
        <v>20</v>
      </c>
      <c r="P2088" s="15" t="n">
        <f aca="false">SUM(M2088:N2088)</f>
        <v>95</v>
      </c>
      <c r="Q2088" s="15" t="n">
        <f aca="false">IF(J2088=1,"",L2088-P2088)</f>
        <v>5</v>
      </c>
      <c r="R2088" s="15" t="n">
        <f aca="false">IF(OR(J2088=1,M2088&lt;=Inputs!$B$12),1,0)</f>
        <v>1</v>
      </c>
      <c r="S2088" s="15" t="n">
        <f aca="false">IF(OR(J2088=1,N2088&lt;=O2088),1,0)</f>
        <v>1</v>
      </c>
      <c r="T2088" s="15" t="str">
        <f aca="false">IF(J2088=1,"OFFLINE",IF(AND(Q2088&gt;=Inputs!$B$15,R2088=1,S2088=1,P2088&lt;=L2088),"PASS","FAIL"))</f>
        <v>PASS</v>
      </c>
    </row>
    <row r="2089" customFormat="false" ht="15" hidden="false" customHeight="false" outlineLevel="0" collapsed="false">
      <c r="A2089" s="14" t="s">
        <v>1039</v>
      </c>
      <c r="B2089" s="14" t="s">
        <v>1038</v>
      </c>
      <c r="C2089" s="14" t="s">
        <v>166</v>
      </c>
      <c r="D2089" s="14" t="s">
        <v>171</v>
      </c>
      <c r="E2089" s="14" t="s">
        <v>172</v>
      </c>
      <c r="F2089" s="14" t="s">
        <v>164</v>
      </c>
      <c r="G2089" s="14" t="n">
        <v>3</v>
      </c>
      <c r="H2089" s="14" t="s">
        <v>158</v>
      </c>
      <c r="I2089" s="14" t="s">
        <v>890</v>
      </c>
      <c r="J2089" s="15" t="n">
        <f aca="false">IF(B2089="SITE LOSS",IF(D2089=C2089,1,0),IF(B2089="REGION LOSS",IF(E2089=C2089,1,0),0))</f>
        <v>0</v>
      </c>
      <c r="K2089" s="15" t="n">
        <f aca="false">IF(B2089="SITE LOSS",IF(COUNTIFS('Site Dockets'!$B$7:$B$24,C2089,'Site Dockets'!$C$7:$C$24,F2089)&gt;0,1,0),IF(B2089="REGION LOSS",IF(COUNTIFS('Site Dockets'!$E$7:$E$24,C2089,'Site Dockets'!$C$7:$C$24,F2089)&gt;0,1,0),0))</f>
        <v>1</v>
      </c>
      <c r="L2089" s="15" t="n">
        <f aca="false">IF(J2089=1,0,Inputs!$B$11)</f>
        <v>100</v>
      </c>
      <c r="M2089" s="15" t="n">
        <f aca="false">IF(J2089=1,0,Inputs!$B$12)</f>
        <v>75</v>
      </c>
      <c r="N2089" s="15" t="n">
        <f aca="false">IF(J2089=1,0,IF(OR(AND(OR(B2089="SITE LOSS",B2089="REGION LOSS"),K2089=1),AND(B2089="ROLE COMPROMISE",H2089=C2089)),Inputs!$B$13,Inputs!$B$14))</f>
        <v>20</v>
      </c>
      <c r="O2089" s="15" t="n">
        <f aca="false">IF(J2089=1,0,Inputs!$B$13)</f>
        <v>20</v>
      </c>
      <c r="P2089" s="15" t="n">
        <f aca="false">SUM(M2089:N2089)</f>
        <v>95</v>
      </c>
      <c r="Q2089" s="15" t="n">
        <f aca="false">IF(J2089=1,"",L2089-P2089)</f>
        <v>5</v>
      </c>
      <c r="R2089" s="15" t="n">
        <f aca="false">IF(OR(J2089=1,M2089&lt;=Inputs!$B$12),1,0)</f>
        <v>1</v>
      </c>
      <c r="S2089" s="15" t="n">
        <f aca="false">IF(OR(J2089=1,N2089&lt;=O2089),1,0)</f>
        <v>1</v>
      </c>
      <c r="T2089" s="15" t="str">
        <f aca="false">IF(J2089=1,"OFFLINE",IF(AND(Q2089&gt;=Inputs!$B$15,R2089=1,S2089=1,P2089&lt;=L2089),"PASS","FAIL"))</f>
        <v>PASS</v>
      </c>
    </row>
    <row r="2090" customFormat="false" ht="15" hidden="false" customHeight="false" outlineLevel="0" collapsed="false">
      <c r="A2090" s="14" t="s">
        <v>1039</v>
      </c>
      <c r="B2090" s="14" t="s">
        <v>1038</v>
      </c>
      <c r="C2090" s="14" t="s">
        <v>166</v>
      </c>
      <c r="D2090" s="14" t="s">
        <v>171</v>
      </c>
      <c r="E2090" s="14" t="s">
        <v>172</v>
      </c>
      <c r="F2090" s="14" t="s">
        <v>164</v>
      </c>
      <c r="G2090" s="14" t="n">
        <v>3</v>
      </c>
      <c r="H2090" s="14" t="s">
        <v>158</v>
      </c>
      <c r="I2090" s="14" t="s">
        <v>892</v>
      </c>
      <c r="J2090" s="15" t="n">
        <f aca="false">IF(B2090="SITE LOSS",IF(D2090=C2090,1,0),IF(B2090="REGION LOSS",IF(E2090=C2090,1,0),0))</f>
        <v>0</v>
      </c>
      <c r="K2090" s="15" t="n">
        <f aca="false">IF(B2090="SITE LOSS",IF(COUNTIFS('Site Dockets'!$B$7:$B$24,C2090,'Site Dockets'!$C$7:$C$24,F2090)&gt;0,1,0),IF(B2090="REGION LOSS",IF(COUNTIFS('Site Dockets'!$E$7:$E$24,C2090,'Site Dockets'!$C$7:$C$24,F2090)&gt;0,1,0),0))</f>
        <v>1</v>
      </c>
      <c r="L2090" s="15" t="n">
        <f aca="false">IF(J2090=1,0,Inputs!$B$11)</f>
        <v>100</v>
      </c>
      <c r="M2090" s="15" t="n">
        <f aca="false">IF(J2090=1,0,Inputs!$B$12)</f>
        <v>75</v>
      </c>
      <c r="N2090" s="15" t="n">
        <f aca="false">IF(J2090=1,0,IF(OR(AND(OR(B2090="SITE LOSS",B2090="REGION LOSS"),K2090=1),AND(B2090="ROLE COMPROMISE",H2090=C2090)),Inputs!$B$13,Inputs!$B$14))</f>
        <v>20</v>
      </c>
      <c r="O2090" s="15" t="n">
        <f aca="false">IF(J2090=1,0,Inputs!$B$13)</f>
        <v>20</v>
      </c>
      <c r="P2090" s="15" t="n">
        <f aca="false">SUM(M2090:N2090)</f>
        <v>95</v>
      </c>
      <c r="Q2090" s="15" t="n">
        <f aca="false">IF(J2090=1,"",L2090-P2090)</f>
        <v>5</v>
      </c>
      <c r="R2090" s="15" t="n">
        <f aca="false">IF(OR(J2090=1,M2090&lt;=Inputs!$B$12),1,0)</f>
        <v>1</v>
      </c>
      <c r="S2090" s="15" t="n">
        <f aca="false">IF(OR(J2090=1,N2090&lt;=O2090),1,0)</f>
        <v>1</v>
      </c>
      <c r="T2090" s="15" t="str">
        <f aca="false">IF(J2090=1,"OFFLINE",IF(AND(Q2090&gt;=Inputs!$B$15,R2090=1,S2090=1,P2090&lt;=L2090),"PASS","FAIL"))</f>
        <v>PASS</v>
      </c>
    </row>
    <row r="2091" customFormat="false" ht="15" hidden="false" customHeight="false" outlineLevel="0" collapsed="false">
      <c r="A2091" s="14" t="s">
        <v>1039</v>
      </c>
      <c r="B2091" s="14" t="s">
        <v>1038</v>
      </c>
      <c r="C2091" s="14" t="s">
        <v>166</v>
      </c>
      <c r="D2091" s="14" t="s">
        <v>171</v>
      </c>
      <c r="E2091" s="14" t="s">
        <v>172</v>
      </c>
      <c r="F2091" s="14" t="s">
        <v>164</v>
      </c>
      <c r="G2091" s="14" t="n">
        <v>3</v>
      </c>
      <c r="H2091" s="14" t="s">
        <v>158</v>
      </c>
      <c r="I2091" s="14" t="s">
        <v>811</v>
      </c>
      <c r="J2091" s="15" t="n">
        <f aca="false">IF(B2091="SITE LOSS",IF(D2091=C2091,1,0),IF(B2091="REGION LOSS",IF(E2091=C2091,1,0),0))</f>
        <v>0</v>
      </c>
      <c r="K2091" s="15" t="n">
        <f aca="false">IF(B2091="SITE LOSS",IF(COUNTIFS('Site Dockets'!$B$7:$B$24,C2091,'Site Dockets'!$C$7:$C$24,F2091)&gt;0,1,0),IF(B2091="REGION LOSS",IF(COUNTIFS('Site Dockets'!$E$7:$E$24,C2091,'Site Dockets'!$C$7:$C$24,F2091)&gt;0,1,0),0))</f>
        <v>1</v>
      </c>
      <c r="L2091" s="15" t="n">
        <f aca="false">IF(J2091=1,0,Inputs!$B$11)</f>
        <v>100</v>
      </c>
      <c r="M2091" s="15" t="n">
        <f aca="false">IF(J2091=1,0,Inputs!$B$12)</f>
        <v>75</v>
      </c>
      <c r="N2091" s="15" t="n">
        <f aca="false">IF(J2091=1,0,IF(OR(AND(OR(B2091="SITE LOSS",B2091="REGION LOSS"),K2091=1),AND(B2091="ROLE COMPROMISE",H2091=C2091)),Inputs!$B$13,Inputs!$B$14))</f>
        <v>20</v>
      </c>
      <c r="O2091" s="15" t="n">
        <f aca="false">IF(J2091=1,0,Inputs!$B$13)</f>
        <v>20</v>
      </c>
      <c r="P2091" s="15" t="n">
        <f aca="false">SUM(M2091:N2091)</f>
        <v>95</v>
      </c>
      <c r="Q2091" s="15" t="n">
        <f aca="false">IF(J2091=1,"",L2091-P2091)</f>
        <v>5</v>
      </c>
      <c r="R2091" s="15" t="n">
        <f aca="false">IF(OR(J2091=1,M2091&lt;=Inputs!$B$12),1,0)</f>
        <v>1</v>
      </c>
      <c r="S2091" s="15" t="n">
        <f aca="false">IF(OR(J2091=1,N2091&lt;=O2091),1,0)</f>
        <v>1</v>
      </c>
      <c r="T2091" s="15" t="str">
        <f aca="false">IF(J2091=1,"OFFLINE",IF(AND(Q2091&gt;=Inputs!$B$15,R2091=1,S2091=1,P2091&lt;=L2091),"PASS","FAIL"))</f>
        <v>PASS</v>
      </c>
    </row>
    <row r="2092" customFormat="false" ht="15" hidden="false" customHeight="false" outlineLevel="0" collapsed="false">
      <c r="A2092" s="14" t="s">
        <v>1039</v>
      </c>
      <c r="B2092" s="14" t="s">
        <v>1038</v>
      </c>
      <c r="C2092" s="14" t="s">
        <v>166</v>
      </c>
      <c r="D2092" s="14" t="s">
        <v>171</v>
      </c>
      <c r="E2092" s="14" t="s">
        <v>172</v>
      </c>
      <c r="F2092" s="14" t="s">
        <v>164</v>
      </c>
      <c r="G2092" s="14" t="n">
        <v>3</v>
      </c>
      <c r="H2092" s="14" t="s">
        <v>158</v>
      </c>
      <c r="I2092" s="14" t="s">
        <v>895</v>
      </c>
      <c r="J2092" s="15" t="n">
        <f aca="false">IF(B2092="SITE LOSS",IF(D2092=C2092,1,0),IF(B2092="REGION LOSS",IF(E2092=C2092,1,0),0))</f>
        <v>0</v>
      </c>
      <c r="K2092" s="15" t="n">
        <f aca="false">IF(B2092="SITE LOSS",IF(COUNTIFS('Site Dockets'!$B$7:$B$24,C2092,'Site Dockets'!$C$7:$C$24,F2092)&gt;0,1,0),IF(B2092="REGION LOSS",IF(COUNTIFS('Site Dockets'!$E$7:$E$24,C2092,'Site Dockets'!$C$7:$C$24,F2092)&gt;0,1,0),0))</f>
        <v>1</v>
      </c>
      <c r="L2092" s="15" t="n">
        <f aca="false">IF(J2092=1,0,Inputs!$B$11)</f>
        <v>100</v>
      </c>
      <c r="M2092" s="15" t="n">
        <f aca="false">IF(J2092=1,0,Inputs!$B$12)</f>
        <v>75</v>
      </c>
      <c r="N2092" s="15" t="n">
        <f aca="false">IF(J2092=1,0,IF(OR(AND(OR(B2092="SITE LOSS",B2092="REGION LOSS"),K2092=1),AND(B2092="ROLE COMPROMISE",H2092=C2092)),Inputs!$B$13,Inputs!$B$14))</f>
        <v>20</v>
      </c>
      <c r="O2092" s="15" t="n">
        <f aca="false">IF(J2092=1,0,Inputs!$B$13)</f>
        <v>20</v>
      </c>
      <c r="P2092" s="15" t="n">
        <f aca="false">SUM(M2092:N2092)</f>
        <v>95</v>
      </c>
      <c r="Q2092" s="15" t="n">
        <f aca="false">IF(J2092=1,"",L2092-P2092)</f>
        <v>5</v>
      </c>
      <c r="R2092" s="15" t="n">
        <f aca="false">IF(OR(J2092=1,M2092&lt;=Inputs!$B$12),1,0)</f>
        <v>1</v>
      </c>
      <c r="S2092" s="15" t="n">
        <f aca="false">IF(OR(J2092=1,N2092&lt;=O2092),1,0)</f>
        <v>1</v>
      </c>
      <c r="T2092" s="15" t="str">
        <f aca="false">IF(J2092=1,"OFFLINE",IF(AND(Q2092&gt;=Inputs!$B$15,R2092=1,S2092=1,P2092&lt;=L2092),"PASS","FAIL"))</f>
        <v>PASS</v>
      </c>
    </row>
    <row r="2093" customFormat="false" ht="15" hidden="false" customHeight="false" outlineLevel="0" collapsed="false">
      <c r="A2093" s="14" t="s">
        <v>1039</v>
      </c>
      <c r="B2093" s="14" t="s">
        <v>1038</v>
      </c>
      <c r="C2093" s="14" t="s">
        <v>166</v>
      </c>
      <c r="D2093" s="14" t="s">
        <v>171</v>
      </c>
      <c r="E2093" s="14" t="s">
        <v>172</v>
      </c>
      <c r="F2093" s="14" t="s">
        <v>164</v>
      </c>
      <c r="G2093" s="14" t="n">
        <v>3</v>
      </c>
      <c r="H2093" s="14" t="s">
        <v>158</v>
      </c>
      <c r="I2093" s="14" t="s">
        <v>897</v>
      </c>
      <c r="J2093" s="15" t="n">
        <f aca="false">IF(B2093="SITE LOSS",IF(D2093=C2093,1,0),IF(B2093="REGION LOSS",IF(E2093=C2093,1,0),0))</f>
        <v>0</v>
      </c>
      <c r="K2093" s="15" t="n">
        <f aca="false">IF(B2093="SITE LOSS",IF(COUNTIFS('Site Dockets'!$B$7:$B$24,C2093,'Site Dockets'!$C$7:$C$24,F2093)&gt;0,1,0),IF(B2093="REGION LOSS",IF(COUNTIFS('Site Dockets'!$E$7:$E$24,C2093,'Site Dockets'!$C$7:$C$24,F2093)&gt;0,1,0),0))</f>
        <v>1</v>
      </c>
      <c r="L2093" s="15" t="n">
        <f aca="false">IF(J2093=1,0,Inputs!$B$11)</f>
        <v>100</v>
      </c>
      <c r="M2093" s="15" t="n">
        <f aca="false">IF(J2093=1,0,Inputs!$B$12)</f>
        <v>75</v>
      </c>
      <c r="N2093" s="15" t="n">
        <f aca="false">IF(J2093=1,0,IF(OR(AND(OR(B2093="SITE LOSS",B2093="REGION LOSS"),K2093=1),AND(B2093="ROLE COMPROMISE",H2093=C2093)),Inputs!$B$13,Inputs!$B$14))</f>
        <v>20</v>
      </c>
      <c r="O2093" s="15" t="n">
        <f aca="false">IF(J2093=1,0,Inputs!$B$13)</f>
        <v>20</v>
      </c>
      <c r="P2093" s="15" t="n">
        <f aca="false">SUM(M2093:N2093)</f>
        <v>95</v>
      </c>
      <c r="Q2093" s="15" t="n">
        <f aca="false">IF(J2093=1,"",L2093-P2093)</f>
        <v>5</v>
      </c>
      <c r="R2093" s="15" t="n">
        <f aca="false">IF(OR(J2093=1,M2093&lt;=Inputs!$B$12),1,0)</f>
        <v>1</v>
      </c>
      <c r="S2093" s="15" t="n">
        <f aca="false">IF(OR(J2093=1,N2093&lt;=O2093),1,0)</f>
        <v>1</v>
      </c>
      <c r="T2093" s="15" t="str">
        <f aca="false">IF(J2093=1,"OFFLINE",IF(AND(Q2093&gt;=Inputs!$B$15,R2093=1,S2093=1,P2093&lt;=L2093),"PASS","FAIL"))</f>
        <v>PASS</v>
      </c>
    </row>
    <row r="2094" customFormat="false" ht="15" hidden="false" customHeight="false" outlineLevel="0" collapsed="false">
      <c r="A2094" s="14" t="s">
        <v>1039</v>
      </c>
      <c r="B2094" s="14" t="s">
        <v>1038</v>
      </c>
      <c r="C2094" s="14" t="s">
        <v>166</v>
      </c>
      <c r="D2094" s="14" t="s">
        <v>171</v>
      </c>
      <c r="E2094" s="14" t="s">
        <v>172</v>
      </c>
      <c r="F2094" s="14" t="s">
        <v>164</v>
      </c>
      <c r="G2094" s="14" t="n">
        <v>3</v>
      </c>
      <c r="H2094" s="14" t="s">
        <v>158</v>
      </c>
      <c r="I2094" s="14" t="s">
        <v>899</v>
      </c>
      <c r="J2094" s="15" t="n">
        <f aca="false">IF(B2094="SITE LOSS",IF(D2094=C2094,1,0),IF(B2094="REGION LOSS",IF(E2094=C2094,1,0),0))</f>
        <v>0</v>
      </c>
      <c r="K2094" s="15" t="n">
        <f aca="false">IF(B2094="SITE LOSS",IF(COUNTIFS('Site Dockets'!$B$7:$B$24,C2094,'Site Dockets'!$C$7:$C$24,F2094)&gt;0,1,0),IF(B2094="REGION LOSS",IF(COUNTIFS('Site Dockets'!$E$7:$E$24,C2094,'Site Dockets'!$C$7:$C$24,F2094)&gt;0,1,0),0))</f>
        <v>1</v>
      </c>
      <c r="L2094" s="15" t="n">
        <f aca="false">IF(J2094=1,0,Inputs!$B$11)</f>
        <v>100</v>
      </c>
      <c r="M2094" s="15" t="n">
        <f aca="false">IF(J2094=1,0,Inputs!$B$12)</f>
        <v>75</v>
      </c>
      <c r="N2094" s="15" t="n">
        <f aca="false">IF(J2094=1,0,IF(OR(AND(OR(B2094="SITE LOSS",B2094="REGION LOSS"),K2094=1),AND(B2094="ROLE COMPROMISE",H2094=C2094)),Inputs!$B$13,Inputs!$B$14))</f>
        <v>20</v>
      </c>
      <c r="O2094" s="15" t="n">
        <f aca="false">IF(J2094=1,0,Inputs!$B$13)</f>
        <v>20</v>
      </c>
      <c r="P2094" s="15" t="n">
        <f aca="false">SUM(M2094:N2094)</f>
        <v>95</v>
      </c>
      <c r="Q2094" s="15" t="n">
        <f aca="false">IF(J2094=1,"",L2094-P2094)</f>
        <v>5</v>
      </c>
      <c r="R2094" s="15" t="n">
        <f aca="false">IF(OR(J2094=1,M2094&lt;=Inputs!$B$12),1,0)</f>
        <v>1</v>
      </c>
      <c r="S2094" s="15" t="n">
        <f aca="false">IF(OR(J2094=1,N2094&lt;=O2094),1,0)</f>
        <v>1</v>
      </c>
      <c r="T2094" s="15" t="str">
        <f aca="false">IF(J2094=1,"OFFLINE",IF(AND(Q2094&gt;=Inputs!$B$15,R2094=1,S2094=1,P2094&lt;=L2094),"PASS","FAIL"))</f>
        <v>PASS</v>
      </c>
    </row>
    <row r="2095" customFormat="false" ht="15" hidden="false" customHeight="false" outlineLevel="0" collapsed="false">
      <c r="A2095" s="14" t="s">
        <v>1039</v>
      </c>
      <c r="B2095" s="14" t="s">
        <v>1038</v>
      </c>
      <c r="C2095" s="14" t="s">
        <v>166</v>
      </c>
      <c r="D2095" s="14" t="s">
        <v>174</v>
      </c>
      <c r="E2095" s="14" t="s">
        <v>152</v>
      </c>
      <c r="F2095" s="14" t="s">
        <v>175</v>
      </c>
      <c r="G2095" s="14" t="n">
        <v>1</v>
      </c>
      <c r="H2095" s="14" t="s">
        <v>154</v>
      </c>
      <c r="I2095" s="14" t="s">
        <v>890</v>
      </c>
      <c r="J2095" s="15" t="n">
        <f aca="false">IF(B2095="SITE LOSS",IF(D2095=C2095,1,0),IF(B2095="REGION LOSS",IF(E2095=C2095,1,0),0))</f>
        <v>0</v>
      </c>
      <c r="K2095" s="15" t="n">
        <f aca="false">IF(B2095="SITE LOSS",IF(COUNTIFS('Site Dockets'!$B$7:$B$24,C2095,'Site Dockets'!$C$7:$C$24,F2095)&gt;0,1,0),IF(B2095="REGION LOSS",IF(COUNTIFS('Site Dockets'!$E$7:$E$24,C2095,'Site Dockets'!$C$7:$C$24,F2095)&gt;0,1,0),0))</f>
        <v>0</v>
      </c>
      <c r="L2095" s="15" t="n">
        <f aca="false">IF(J2095=1,0,Inputs!$B$11)</f>
        <v>100</v>
      </c>
      <c r="M2095" s="15" t="n">
        <f aca="false">IF(J2095=1,0,Inputs!$B$12)</f>
        <v>75</v>
      </c>
      <c r="N2095" s="15" t="n">
        <f aca="false">IF(J2095=1,0,IF(OR(AND(OR(B2095="SITE LOSS",B2095="REGION LOSS"),K2095=1),AND(B2095="ROLE COMPROMISE",H2095=C2095)),Inputs!$B$13,Inputs!$B$14))</f>
        <v>10</v>
      </c>
      <c r="O2095" s="15" t="n">
        <f aca="false">IF(J2095=1,0,Inputs!$B$13)</f>
        <v>20</v>
      </c>
      <c r="P2095" s="15" t="n">
        <f aca="false">SUM(M2095:N2095)</f>
        <v>85</v>
      </c>
      <c r="Q2095" s="15" t="n">
        <f aca="false">IF(J2095=1,"",L2095-P2095)</f>
        <v>15</v>
      </c>
      <c r="R2095" s="15" t="n">
        <f aca="false">IF(OR(J2095=1,M2095&lt;=Inputs!$B$12),1,0)</f>
        <v>1</v>
      </c>
      <c r="S2095" s="15" t="n">
        <f aca="false">IF(OR(J2095=1,N2095&lt;=O2095),1,0)</f>
        <v>1</v>
      </c>
      <c r="T2095" s="15" t="str">
        <f aca="false">IF(J2095=1,"OFFLINE",IF(AND(Q2095&gt;=Inputs!$B$15,R2095=1,S2095=1,P2095&lt;=L2095),"PASS","FAIL"))</f>
        <v>PASS</v>
      </c>
    </row>
    <row r="2096" customFormat="false" ht="15" hidden="false" customHeight="false" outlineLevel="0" collapsed="false">
      <c r="A2096" s="14" t="s">
        <v>1039</v>
      </c>
      <c r="B2096" s="14" t="s">
        <v>1038</v>
      </c>
      <c r="C2096" s="14" t="s">
        <v>166</v>
      </c>
      <c r="D2096" s="14" t="s">
        <v>174</v>
      </c>
      <c r="E2096" s="14" t="s">
        <v>152</v>
      </c>
      <c r="F2096" s="14" t="s">
        <v>175</v>
      </c>
      <c r="G2096" s="14" t="n">
        <v>1</v>
      </c>
      <c r="H2096" s="14" t="s">
        <v>154</v>
      </c>
      <c r="I2096" s="14" t="s">
        <v>892</v>
      </c>
      <c r="J2096" s="15" t="n">
        <f aca="false">IF(B2096="SITE LOSS",IF(D2096=C2096,1,0),IF(B2096="REGION LOSS",IF(E2096=C2096,1,0),0))</f>
        <v>0</v>
      </c>
      <c r="K2096" s="15" t="n">
        <f aca="false">IF(B2096="SITE LOSS",IF(COUNTIFS('Site Dockets'!$B$7:$B$24,C2096,'Site Dockets'!$C$7:$C$24,F2096)&gt;0,1,0),IF(B2096="REGION LOSS",IF(COUNTIFS('Site Dockets'!$E$7:$E$24,C2096,'Site Dockets'!$C$7:$C$24,F2096)&gt;0,1,0),0))</f>
        <v>0</v>
      </c>
      <c r="L2096" s="15" t="n">
        <f aca="false">IF(J2096=1,0,Inputs!$B$11)</f>
        <v>100</v>
      </c>
      <c r="M2096" s="15" t="n">
        <f aca="false">IF(J2096=1,0,Inputs!$B$12)</f>
        <v>75</v>
      </c>
      <c r="N2096" s="15" t="n">
        <f aca="false">IF(J2096=1,0,IF(OR(AND(OR(B2096="SITE LOSS",B2096="REGION LOSS"),K2096=1),AND(B2096="ROLE COMPROMISE",H2096=C2096)),Inputs!$B$13,Inputs!$B$14))</f>
        <v>10</v>
      </c>
      <c r="O2096" s="15" t="n">
        <f aca="false">IF(J2096=1,0,Inputs!$B$13)</f>
        <v>20</v>
      </c>
      <c r="P2096" s="15" t="n">
        <f aca="false">SUM(M2096:N2096)</f>
        <v>85</v>
      </c>
      <c r="Q2096" s="15" t="n">
        <f aca="false">IF(J2096=1,"",L2096-P2096)</f>
        <v>15</v>
      </c>
      <c r="R2096" s="15" t="n">
        <f aca="false">IF(OR(J2096=1,M2096&lt;=Inputs!$B$12),1,0)</f>
        <v>1</v>
      </c>
      <c r="S2096" s="15" t="n">
        <f aca="false">IF(OR(J2096=1,N2096&lt;=O2096),1,0)</f>
        <v>1</v>
      </c>
      <c r="T2096" s="15" t="str">
        <f aca="false">IF(J2096=1,"OFFLINE",IF(AND(Q2096&gt;=Inputs!$B$15,R2096=1,S2096=1,P2096&lt;=L2096),"PASS","FAIL"))</f>
        <v>PASS</v>
      </c>
    </row>
    <row r="2097" customFormat="false" ht="15" hidden="false" customHeight="false" outlineLevel="0" collapsed="false">
      <c r="A2097" s="14" t="s">
        <v>1039</v>
      </c>
      <c r="B2097" s="14" t="s">
        <v>1038</v>
      </c>
      <c r="C2097" s="14" t="s">
        <v>166</v>
      </c>
      <c r="D2097" s="14" t="s">
        <v>174</v>
      </c>
      <c r="E2097" s="14" t="s">
        <v>152</v>
      </c>
      <c r="F2097" s="14" t="s">
        <v>175</v>
      </c>
      <c r="G2097" s="14" t="n">
        <v>1</v>
      </c>
      <c r="H2097" s="14" t="s">
        <v>154</v>
      </c>
      <c r="I2097" s="14" t="s">
        <v>811</v>
      </c>
      <c r="J2097" s="15" t="n">
        <f aca="false">IF(B2097="SITE LOSS",IF(D2097=C2097,1,0),IF(B2097="REGION LOSS",IF(E2097=C2097,1,0),0))</f>
        <v>0</v>
      </c>
      <c r="K2097" s="15" t="n">
        <f aca="false">IF(B2097="SITE LOSS",IF(COUNTIFS('Site Dockets'!$B$7:$B$24,C2097,'Site Dockets'!$C$7:$C$24,F2097)&gt;0,1,0),IF(B2097="REGION LOSS",IF(COUNTIFS('Site Dockets'!$E$7:$E$24,C2097,'Site Dockets'!$C$7:$C$24,F2097)&gt;0,1,0),0))</f>
        <v>0</v>
      </c>
      <c r="L2097" s="15" t="n">
        <f aca="false">IF(J2097=1,0,Inputs!$B$11)</f>
        <v>100</v>
      </c>
      <c r="M2097" s="15" t="n">
        <f aca="false">IF(J2097=1,0,Inputs!$B$12)</f>
        <v>75</v>
      </c>
      <c r="N2097" s="15" t="n">
        <f aca="false">IF(J2097=1,0,IF(OR(AND(OR(B2097="SITE LOSS",B2097="REGION LOSS"),K2097=1),AND(B2097="ROLE COMPROMISE",H2097=C2097)),Inputs!$B$13,Inputs!$B$14))</f>
        <v>10</v>
      </c>
      <c r="O2097" s="15" t="n">
        <f aca="false">IF(J2097=1,0,Inputs!$B$13)</f>
        <v>20</v>
      </c>
      <c r="P2097" s="15" t="n">
        <f aca="false">SUM(M2097:N2097)</f>
        <v>85</v>
      </c>
      <c r="Q2097" s="15" t="n">
        <f aca="false">IF(J2097=1,"",L2097-P2097)</f>
        <v>15</v>
      </c>
      <c r="R2097" s="15" t="n">
        <f aca="false">IF(OR(J2097=1,M2097&lt;=Inputs!$B$12),1,0)</f>
        <v>1</v>
      </c>
      <c r="S2097" s="15" t="n">
        <f aca="false">IF(OR(J2097=1,N2097&lt;=O2097),1,0)</f>
        <v>1</v>
      </c>
      <c r="T2097" s="15" t="str">
        <f aca="false">IF(J2097=1,"OFFLINE",IF(AND(Q2097&gt;=Inputs!$B$15,R2097=1,S2097=1,P2097&lt;=L2097),"PASS","FAIL"))</f>
        <v>PASS</v>
      </c>
    </row>
    <row r="2098" customFormat="false" ht="15" hidden="false" customHeight="false" outlineLevel="0" collapsed="false">
      <c r="A2098" s="14" t="s">
        <v>1039</v>
      </c>
      <c r="B2098" s="14" t="s">
        <v>1038</v>
      </c>
      <c r="C2098" s="14" t="s">
        <v>166</v>
      </c>
      <c r="D2098" s="14" t="s">
        <v>174</v>
      </c>
      <c r="E2098" s="14" t="s">
        <v>152</v>
      </c>
      <c r="F2098" s="14" t="s">
        <v>175</v>
      </c>
      <c r="G2098" s="14" t="n">
        <v>1</v>
      </c>
      <c r="H2098" s="14" t="s">
        <v>154</v>
      </c>
      <c r="I2098" s="14" t="s">
        <v>895</v>
      </c>
      <c r="J2098" s="15" t="n">
        <f aca="false">IF(B2098="SITE LOSS",IF(D2098=C2098,1,0),IF(B2098="REGION LOSS",IF(E2098=C2098,1,0),0))</f>
        <v>0</v>
      </c>
      <c r="K2098" s="15" t="n">
        <f aca="false">IF(B2098="SITE LOSS",IF(COUNTIFS('Site Dockets'!$B$7:$B$24,C2098,'Site Dockets'!$C$7:$C$24,F2098)&gt;0,1,0),IF(B2098="REGION LOSS",IF(COUNTIFS('Site Dockets'!$E$7:$E$24,C2098,'Site Dockets'!$C$7:$C$24,F2098)&gt;0,1,0),0))</f>
        <v>0</v>
      </c>
      <c r="L2098" s="15" t="n">
        <f aca="false">IF(J2098=1,0,Inputs!$B$11)</f>
        <v>100</v>
      </c>
      <c r="M2098" s="15" t="n">
        <f aca="false">IF(J2098=1,0,Inputs!$B$12)</f>
        <v>75</v>
      </c>
      <c r="N2098" s="15" t="n">
        <f aca="false">IF(J2098=1,0,IF(OR(AND(OR(B2098="SITE LOSS",B2098="REGION LOSS"),K2098=1),AND(B2098="ROLE COMPROMISE",H2098=C2098)),Inputs!$B$13,Inputs!$B$14))</f>
        <v>10</v>
      </c>
      <c r="O2098" s="15" t="n">
        <f aca="false">IF(J2098=1,0,Inputs!$B$13)</f>
        <v>20</v>
      </c>
      <c r="P2098" s="15" t="n">
        <f aca="false">SUM(M2098:N2098)</f>
        <v>85</v>
      </c>
      <c r="Q2098" s="15" t="n">
        <f aca="false">IF(J2098=1,"",L2098-P2098)</f>
        <v>15</v>
      </c>
      <c r="R2098" s="15" t="n">
        <f aca="false">IF(OR(J2098=1,M2098&lt;=Inputs!$B$12),1,0)</f>
        <v>1</v>
      </c>
      <c r="S2098" s="15" t="n">
        <f aca="false">IF(OR(J2098=1,N2098&lt;=O2098),1,0)</f>
        <v>1</v>
      </c>
      <c r="T2098" s="15" t="str">
        <f aca="false">IF(J2098=1,"OFFLINE",IF(AND(Q2098&gt;=Inputs!$B$15,R2098=1,S2098=1,P2098&lt;=L2098),"PASS","FAIL"))</f>
        <v>PASS</v>
      </c>
    </row>
    <row r="2099" customFormat="false" ht="15" hidden="false" customHeight="false" outlineLevel="0" collapsed="false">
      <c r="A2099" s="14" t="s">
        <v>1039</v>
      </c>
      <c r="B2099" s="14" t="s">
        <v>1038</v>
      </c>
      <c r="C2099" s="14" t="s">
        <v>166</v>
      </c>
      <c r="D2099" s="14" t="s">
        <v>174</v>
      </c>
      <c r="E2099" s="14" t="s">
        <v>152</v>
      </c>
      <c r="F2099" s="14" t="s">
        <v>175</v>
      </c>
      <c r="G2099" s="14" t="n">
        <v>1</v>
      </c>
      <c r="H2099" s="14" t="s">
        <v>154</v>
      </c>
      <c r="I2099" s="14" t="s">
        <v>897</v>
      </c>
      <c r="J2099" s="15" t="n">
        <f aca="false">IF(B2099="SITE LOSS",IF(D2099=C2099,1,0),IF(B2099="REGION LOSS",IF(E2099=C2099,1,0),0))</f>
        <v>0</v>
      </c>
      <c r="K2099" s="15" t="n">
        <f aca="false">IF(B2099="SITE LOSS",IF(COUNTIFS('Site Dockets'!$B$7:$B$24,C2099,'Site Dockets'!$C$7:$C$24,F2099)&gt;0,1,0),IF(B2099="REGION LOSS",IF(COUNTIFS('Site Dockets'!$E$7:$E$24,C2099,'Site Dockets'!$C$7:$C$24,F2099)&gt;0,1,0),0))</f>
        <v>0</v>
      </c>
      <c r="L2099" s="15" t="n">
        <f aca="false">IF(J2099=1,0,Inputs!$B$11)</f>
        <v>100</v>
      </c>
      <c r="M2099" s="15" t="n">
        <f aca="false">IF(J2099=1,0,Inputs!$B$12)</f>
        <v>75</v>
      </c>
      <c r="N2099" s="15" t="n">
        <f aca="false">IF(J2099=1,0,IF(OR(AND(OR(B2099="SITE LOSS",B2099="REGION LOSS"),K2099=1),AND(B2099="ROLE COMPROMISE",H2099=C2099)),Inputs!$B$13,Inputs!$B$14))</f>
        <v>10</v>
      </c>
      <c r="O2099" s="15" t="n">
        <f aca="false">IF(J2099=1,0,Inputs!$B$13)</f>
        <v>20</v>
      </c>
      <c r="P2099" s="15" t="n">
        <f aca="false">SUM(M2099:N2099)</f>
        <v>85</v>
      </c>
      <c r="Q2099" s="15" t="n">
        <f aca="false">IF(J2099=1,"",L2099-P2099)</f>
        <v>15</v>
      </c>
      <c r="R2099" s="15" t="n">
        <f aca="false">IF(OR(J2099=1,M2099&lt;=Inputs!$B$12),1,0)</f>
        <v>1</v>
      </c>
      <c r="S2099" s="15" t="n">
        <f aca="false">IF(OR(J2099=1,N2099&lt;=O2099),1,0)</f>
        <v>1</v>
      </c>
      <c r="T2099" s="15" t="str">
        <f aca="false">IF(J2099=1,"OFFLINE",IF(AND(Q2099&gt;=Inputs!$B$15,R2099=1,S2099=1,P2099&lt;=L2099),"PASS","FAIL"))</f>
        <v>PASS</v>
      </c>
    </row>
    <row r="2100" customFormat="false" ht="15" hidden="false" customHeight="false" outlineLevel="0" collapsed="false">
      <c r="A2100" s="14" t="s">
        <v>1039</v>
      </c>
      <c r="B2100" s="14" t="s">
        <v>1038</v>
      </c>
      <c r="C2100" s="14" t="s">
        <v>166</v>
      </c>
      <c r="D2100" s="14" t="s">
        <v>174</v>
      </c>
      <c r="E2100" s="14" t="s">
        <v>152</v>
      </c>
      <c r="F2100" s="14" t="s">
        <v>175</v>
      </c>
      <c r="G2100" s="14" t="n">
        <v>1</v>
      </c>
      <c r="H2100" s="14" t="s">
        <v>154</v>
      </c>
      <c r="I2100" s="14" t="s">
        <v>899</v>
      </c>
      <c r="J2100" s="15" t="n">
        <f aca="false">IF(B2100="SITE LOSS",IF(D2100=C2100,1,0),IF(B2100="REGION LOSS",IF(E2100=C2100,1,0),0))</f>
        <v>0</v>
      </c>
      <c r="K2100" s="15" t="n">
        <f aca="false">IF(B2100="SITE LOSS",IF(COUNTIFS('Site Dockets'!$B$7:$B$24,C2100,'Site Dockets'!$C$7:$C$24,F2100)&gt;0,1,0),IF(B2100="REGION LOSS",IF(COUNTIFS('Site Dockets'!$E$7:$E$24,C2100,'Site Dockets'!$C$7:$C$24,F2100)&gt;0,1,0),0))</f>
        <v>0</v>
      </c>
      <c r="L2100" s="15" t="n">
        <f aca="false">IF(J2100=1,0,Inputs!$B$11)</f>
        <v>100</v>
      </c>
      <c r="M2100" s="15" t="n">
        <f aca="false">IF(J2100=1,0,Inputs!$B$12)</f>
        <v>75</v>
      </c>
      <c r="N2100" s="15" t="n">
        <f aca="false">IF(J2100=1,0,IF(OR(AND(OR(B2100="SITE LOSS",B2100="REGION LOSS"),K2100=1),AND(B2100="ROLE COMPROMISE",H2100=C2100)),Inputs!$B$13,Inputs!$B$14))</f>
        <v>10</v>
      </c>
      <c r="O2100" s="15" t="n">
        <f aca="false">IF(J2100=1,0,Inputs!$B$13)</f>
        <v>20</v>
      </c>
      <c r="P2100" s="15" t="n">
        <f aca="false">SUM(M2100:N2100)</f>
        <v>85</v>
      </c>
      <c r="Q2100" s="15" t="n">
        <f aca="false">IF(J2100=1,"",L2100-P2100)</f>
        <v>15</v>
      </c>
      <c r="R2100" s="15" t="n">
        <f aca="false">IF(OR(J2100=1,M2100&lt;=Inputs!$B$12),1,0)</f>
        <v>1</v>
      </c>
      <c r="S2100" s="15" t="n">
        <f aca="false">IF(OR(J2100=1,N2100&lt;=O2100),1,0)</f>
        <v>1</v>
      </c>
      <c r="T2100" s="15" t="str">
        <f aca="false">IF(J2100=1,"OFFLINE",IF(AND(Q2100&gt;=Inputs!$B$15,R2100=1,S2100=1,P2100&lt;=L2100),"PASS","FAIL"))</f>
        <v>PASS</v>
      </c>
    </row>
    <row r="2101" customFormat="false" ht="15" hidden="false" customHeight="false" outlineLevel="0" collapsed="false">
      <c r="A2101" s="14" t="s">
        <v>1039</v>
      </c>
      <c r="B2101" s="14" t="s">
        <v>1038</v>
      </c>
      <c r="C2101" s="14" t="s">
        <v>166</v>
      </c>
      <c r="D2101" s="14" t="s">
        <v>178</v>
      </c>
      <c r="E2101" s="14" t="s">
        <v>169</v>
      </c>
      <c r="F2101" s="14" t="s">
        <v>175</v>
      </c>
      <c r="G2101" s="14" t="n">
        <v>2</v>
      </c>
      <c r="H2101" s="14" t="s">
        <v>153</v>
      </c>
      <c r="I2101" s="14" t="s">
        <v>890</v>
      </c>
      <c r="J2101" s="15" t="n">
        <f aca="false">IF(B2101="SITE LOSS",IF(D2101=C2101,1,0),IF(B2101="REGION LOSS",IF(E2101=C2101,1,0),0))</f>
        <v>0</v>
      </c>
      <c r="K2101" s="15" t="n">
        <f aca="false">IF(B2101="SITE LOSS",IF(COUNTIFS('Site Dockets'!$B$7:$B$24,C2101,'Site Dockets'!$C$7:$C$24,F2101)&gt;0,1,0),IF(B2101="REGION LOSS",IF(COUNTIFS('Site Dockets'!$E$7:$E$24,C2101,'Site Dockets'!$C$7:$C$24,F2101)&gt;0,1,0),0))</f>
        <v>0</v>
      </c>
      <c r="L2101" s="15" t="n">
        <f aca="false">IF(J2101=1,0,Inputs!$B$11)</f>
        <v>100</v>
      </c>
      <c r="M2101" s="15" t="n">
        <f aca="false">IF(J2101=1,0,Inputs!$B$12)</f>
        <v>75</v>
      </c>
      <c r="N2101" s="15" t="n">
        <f aca="false">IF(J2101=1,0,IF(OR(AND(OR(B2101="SITE LOSS",B2101="REGION LOSS"),K2101=1),AND(B2101="ROLE COMPROMISE",H2101=C2101)),Inputs!$B$13,Inputs!$B$14))</f>
        <v>10</v>
      </c>
      <c r="O2101" s="15" t="n">
        <f aca="false">IF(J2101=1,0,Inputs!$B$13)</f>
        <v>20</v>
      </c>
      <c r="P2101" s="15" t="n">
        <f aca="false">SUM(M2101:N2101)</f>
        <v>85</v>
      </c>
      <c r="Q2101" s="15" t="n">
        <f aca="false">IF(J2101=1,"",L2101-P2101)</f>
        <v>15</v>
      </c>
      <c r="R2101" s="15" t="n">
        <f aca="false">IF(OR(J2101=1,M2101&lt;=Inputs!$B$12),1,0)</f>
        <v>1</v>
      </c>
      <c r="S2101" s="15" t="n">
        <f aca="false">IF(OR(J2101=1,N2101&lt;=O2101),1,0)</f>
        <v>1</v>
      </c>
      <c r="T2101" s="15" t="str">
        <f aca="false">IF(J2101=1,"OFFLINE",IF(AND(Q2101&gt;=Inputs!$B$15,R2101=1,S2101=1,P2101&lt;=L2101),"PASS","FAIL"))</f>
        <v>PASS</v>
      </c>
    </row>
    <row r="2102" customFormat="false" ht="15" hidden="false" customHeight="false" outlineLevel="0" collapsed="false">
      <c r="A2102" s="14" t="s">
        <v>1039</v>
      </c>
      <c r="B2102" s="14" t="s">
        <v>1038</v>
      </c>
      <c r="C2102" s="14" t="s">
        <v>166</v>
      </c>
      <c r="D2102" s="14" t="s">
        <v>178</v>
      </c>
      <c r="E2102" s="14" t="s">
        <v>169</v>
      </c>
      <c r="F2102" s="14" t="s">
        <v>175</v>
      </c>
      <c r="G2102" s="14" t="n">
        <v>2</v>
      </c>
      <c r="H2102" s="14" t="s">
        <v>153</v>
      </c>
      <c r="I2102" s="14" t="s">
        <v>892</v>
      </c>
      <c r="J2102" s="15" t="n">
        <f aca="false">IF(B2102="SITE LOSS",IF(D2102=C2102,1,0),IF(B2102="REGION LOSS",IF(E2102=C2102,1,0),0))</f>
        <v>0</v>
      </c>
      <c r="K2102" s="15" t="n">
        <f aca="false">IF(B2102="SITE LOSS",IF(COUNTIFS('Site Dockets'!$B$7:$B$24,C2102,'Site Dockets'!$C$7:$C$24,F2102)&gt;0,1,0),IF(B2102="REGION LOSS",IF(COUNTIFS('Site Dockets'!$E$7:$E$24,C2102,'Site Dockets'!$C$7:$C$24,F2102)&gt;0,1,0),0))</f>
        <v>0</v>
      </c>
      <c r="L2102" s="15" t="n">
        <f aca="false">IF(J2102=1,0,Inputs!$B$11)</f>
        <v>100</v>
      </c>
      <c r="M2102" s="15" t="n">
        <f aca="false">IF(J2102=1,0,Inputs!$B$12)</f>
        <v>75</v>
      </c>
      <c r="N2102" s="15" t="n">
        <f aca="false">IF(J2102=1,0,IF(OR(AND(OR(B2102="SITE LOSS",B2102="REGION LOSS"),K2102=1),AND(B2102="ROLE COMPROMISE",H2102=C2102)),Inputs!$B$13,Inputs!$B$14))</f>
        <v>10</v>
      </c>
      <c r="O2102" s="15" t="n">
        <f aca="false">IF(J2102=1,0,Inputs!$B$13)</f>
        <v>20</v>
      </c>
      <c r="P2102" s="15" t="n">
        <f aca="false">SUM(M2102:N2102)</f>
        <v>85</v>
      </c>
      <c r="Q2102" s="15" t="n">
        <f aca="false">IF(J2102=1,"",L2102-P2102)</f>
        <v>15</v>
      </c>
      <c r="R2102" s="15" t="n">
        <f aca="false">IF(OR(J2102=1,M2102&lt;=Inputs!$B$12),1,0)</f>
        <v>1</v>
      </c>
      <c r="S2102" s="15" t="n">
        <f aca="false">IF(OR(J2102=1,N2102&lt;=O2102),1,0)</f>
        <v>1</v>
      </c>
      <c r="T2102" s="15" t="str">
        <f aca="false">IF(J2102=1,"OFFLINE",IF(AND(Q2102&gt;=Inputs!$B$15,R2102=1,S2102=1,P2102&lt;=L2102),"PASS","FAIL"))</f>
        <v>PASS</v>
      </c>
    </row>
    <row r="2103" customFormat="false" ht="15" hidden="false" customHeight="false" outlineLevel="0" collapsed="false">
      <c r="A2103" s="14" t="s">
        <v>1039</v>
      </c>
      <c r="B2103" s="14" t="s">
        <v>1038</v>
      </c>
      <c r="C2103" s="14" t="s">
        <v>166</v>
      </c>
      <c r="D2103" s="14" t="s">
        <v>178</v>
      </c>
      <c r="E2103" s="14" t="s">
        <v>169</v>
      </c>
      <c r="F2103" s="14" t="s">
        <v>175</v>
      </c>
      <c r="G2103" s="14" t="n">
        <v>2</v>
      </c>
      <c r="H2103" s="14" t="s">
        <v>153</v>
      </c>
      <c r="I2103" s="14" t="s">
        <v>811</v>
      </c>
      <c r="J2103" s="15" t="n">
        <f aca="false">IF(B2103="SITE LOSS",IF(D2103=C2103,1,0),IF(B2103="REGION LOSS",IF(E2103=C2103,1,0),0))</f>
        <v>0</v>
      </c>
      <c r="K2103" s="15" t="n">
        <f aca="false">IF(B2103="SITE LOSS",IF(COUNTIFS('Site Dockets'!$B$7:$B$24,C2103,'Site Dockets'!$C$7:$C$24,F2103)&gt;0,1,0),IF(B2103="REGION LOSS",IF(COUNTIFS('Site Dockets'!$E$7:$E$24,C2103,'Site Dockets'!$C$7:$C$24,F2103)&gt;0,1,0),0))</f>
        <v>0</v>
      </c>
      <c r="L2103" s="15" t="n">
        <f aca="false">IF(J2103=1,0,Inputs!$B$11)</f>
        <v>100</v>
      </c>
      <c r="M2103" s="15" t="n">
        <f aca="false">IF(J2103=1,0,Inputs!$B$12)</f>
        <v>75</v>
      </c>
      <c r="N2103" s="15" t="n">
        <f aca="false">IF(J2103=1,0,IF(OR(AND(OR(B2103="SITE LOSS",B2103="REGION LOSS"),K2103=1),AND(B2103="ROLE COMPROMISE",H2103=C2103)),Inputs!$B$13,Inputs!$B$14))</f>
        <v>10</v>
      </c>
      <c r="O2103" s="15" t="n">
        <f aca="false">IF(J2103=1,0,Inputs!$B$13)</f>
        <v>20</v>
      </c>
      <c r="P2103" s="15" t="n">
        <f aca="false">SUM(M2103:N2103)</f>
        <v>85</v>
      </c>
      <c r="Q2103" s="15" t="n">
        <f aca="false">IF(J2103=1,"",L2103-P2103)</f>
        <v>15</v>
      </c>
      <c r="R2103" s="15" t="n">
        <f aca="false">IF(OR(J2103=1,M2103&lt;=Inputs!$B$12),1,0)</f>
        <v>1</v>
      </c>
      <c r="S2103" s="15" t="n">
        <f aca="false">IF(OR(J2103=1,N2103&lt;=O2103),1,0)</f>
        <v>1</v>
      </c>
      <c r="T2103" s="15" t="str">
        <f aca="false">IF(J2103=1,"OFFLINE",IF(AND(Q2103&gt;=Inputs!$B$15,R2103=1,S2103=1,P2103&lt;=L2103),"PASS","FAIL"))</f>
        <v>PASS</v>
      </c>
    </row>
    <row r="2104" customFormat="false" ht="15" hidden="false" customHeight="false" outlineLevel="0" collapsed="false">
      <c r="A2104" s="14" t="s">
        <v>1039</v>
      </c>
      <c r="B2104" s="14" t="s">
        <v>1038</v>
      </c>
      <c r="C2104" s="14" t="s">
        <v>166</v>
      </c>
      <c r="D2104" s="14" t="s">
        <v>178</v>
      </c>
      <c r="E2104" s="14" t="s">
        <v>169</v>
      </c>
      <c r="F2104" s="14" t="s">
        <v>175</v>
      </c>
      <c r="G2104" s="14" t="n">
        <v>2</v>
      </c>
      <c r="H2104" s="14" t="s">
        <v>153</v>
      </c>
      <c r="I2104" s="14" t="s">
        <v>895</v>
      </c>
      <c r="J2104" s="15" t="n">
        <f aca="false">IF(B2104="SITE LOSS",IF(D2104=C2104,1,0),IF(B2104="REGION LOSS",IF(E2104=C2104,1,0),0))</f>
        <v>0</v>
      </c>
      <c r="K2104" s="15" t="n">
        <f aca="false">IF(B2104="SITE LOSS",IF(COUNTIFS('Site Dockets'!$B$7:$B$24,C2104,'Site Dockets'!$C$7:$C$24,F2104)&gt;0,1,0),IF(B2104="REGION LOSS",IF(COUNTIFS('Site Dockets'!$E$7:$E$24,C2104,'Site Dockets'!$C$7:$C$24,F2104)&gt;0,1,0),0))</f>
        <v>0</v>
      </c>
      <c r="L2104" s="15" t="n">
        <f aca="false">IF(J2104=1,0,Inputs!$B$11)</f>
        <v>100</v>
      </c>
      <c r="M2104" s="15" t="n">
        <f aca="false">IF(J2104=1,0,Inputs!$B$12)</f>
        <v>75</v>
      </c>
      <c r="N2104" s="15" t="n">
        <f aca="false">IF(J2104=1,0,IF(OR(AND(OR(B2104="SITE LOSS",B2104="REGION LOSS"),K2104=1),AND(B2104="ROLE COMPROMISE",H2104=C2104)),Inputs!$B$13,Inputs!$B$14))</f>
        <v>10</v>
      </c>
      <c r="O2104" s="15" t="n">
        <f aca="false">IF(J2104=1,0,Inputs!$B$13)</f>
        <v>20</v>
      </c>
      <c r="P2104" s="15" t="n">
        <f aca="false">SUM(M2104:N2104)</f>
        <v>85</v>
      </c>
      <c r="Q2104" s="15" t="n">
        <f aca="false">IF(J2104=1,"",L2104-P2104)</f>
        <v>15</v>
      </c>
      <c r="R2104" s="15" t="n">
        <f aca="false">IF(OR(J2104=1,M2104&lt;=Inputs!$B$12),1,0)</f>
        <v>1</v>
      </c>
      <c r="S2104" s="15" t="n">
        <f aca="false">IF(OR(J2104=1,N2104&lt;=O2104),1,0)</f>
        <v>1</v>
      </c>
      <c r="T2104" s="15" t="str">
        <f aca="false">IF(J2104=1,"OFFLINE",IF(AND(Q2104&gt;=Inputs!$B$15,R2104=1,S2104=1,P2104&lt;=L2104),"PASS","FAIL"))</f>
        <v>PASS</v>
      </c>
    </row>
    <row r="2105" customFormat="false" ht="15" hidden="false" customHeight="false" outlineLevel="0" collapsed="false">
      <c r="A2105" s="14" t="s">
        <v>1039</v>
      </c>
      <c r="B2105" s="14" t="s">
        <v>1038</v>
      </c>
      <c r="C2105" s="14" t="s">
        <v>166</v>
      </c>
      <c r="D2105" s="14" t="s">
        <v>178</v>
      </c>
      <c r="E2105" s="14" t="s">
        <v>169</v>
      </c>
      <c r="F2105" s="14" t="s">
        <v>175</v>
      </c>
      <c r="G2105" s="14" t="n">
        <v>2</v>
      </c>
      <c r="H2105" s="14" t="s">
        <v>153</v>
      </c>
      <c r="I2105" s="14" t="s">
        <v>897</v>
      </c>
      <c r="J2105" s="15" t="n">
        <f aca="false">IF(B2105="SITE LOSS",IF(D2105=C2105,1,0),IF(B2105="REGION LOSS",IF(E2105=C2105,1,0),0))</f>
        <v>0</v>
      </c>
      <c r="K2105" s="15" t="n">
        <f aca="false">IF(B2105="SITE LOSS",IF(COUNTIFS('Site Dockets'!$B$7:$B$24,C2105,'Site Dockets'!$C$7:$C$24,F2105)&gt;0,1,0),IF(B2105="REGION LOSS",IF(COUNTIFS('Site Dockets'!$E$7:$E$24,C2105,'Site Dockets'!$C$7:$C$24,F2105)&gt;0,1,0),0))</f>
        <v>0</v>
      </c>
      <c r="L2105" s="15" t="n">
        <f aca="false">IF(J2105=1,0,Inputs!$B$11)</f>
        <v>100</v>
      </c>
      <c r="M2105" s="15" t="n">
        <f aca="false">IF(J2105=1,0,Inputs!$B$12)</f>
        <v>75</v>
      </c>
      <c r="N2105" s="15" t="n">
        <f aca="false">IF(J2105=1,0,IF(OR(AND(OR(B2105="SITE LOSS",B2105="REGION LOSS"),K2105=1),AND(B2105="ROLE COMPROMISE",H2105=C2105)),Inputs!$B$13,Inputs!$B$14))</f>
        <v>10</v>
      </c>
      <c r="O2105" s="15" t="n">
        <f aca="false">IF(J2105=1,0,Inputs!$B$13)</f>
        <v>20</v>
      </c>
      <c r="P2105" s="15" t="n">
        <f aca="false">SUM(M2105:N2105)</f>
        <v>85</v>
      </c>
      <c r="Q2105" s="15" t="n">
        <f aca="false">IF(J2105=1,"",L2105-P2105)</f>
        <v>15</v>
      </c>
      <c r="R2105" s="15" t="n">
        <f aca="false">IF(OR(J2105=1,M2105&lt;=Inputs!$B$12),1,0)</f>
        <v>1</v>
      </c>
      <c r="S2105" s="15" t="n">
        <f aca="false">IF(OR(J2105=1,N2105&lt;=O2105),1,0)</f>
        <v>1</v>
      </c>
      <c r="T2105" s="15" t="str">
        <f aca="false">IF(J2105=1,"OFFLINE",IF(AND(Q2105&gt;=Inputs!$B$15,R2105=1,S2105=1,P2105&lt;=L2105),"PASS","FAIL"))</f>
        <v>PASS</v>
      </c>
    </row>
    <row r="2106" customFormat="false" ht="15" hidden="false" customHeight="false" outlineLevel="0" collapsed="false">
      <c r="A2106" s="14" t="s">
        <v>1039</v>
      </c>
      <c r="B2106" s="14" t="s">
        <v>1038</v>
      </c>
      <c r="C2106" s="14" t="s">
        <v>166</v>
      </c>
      <c r="D2106" s="14" t="s">
        <v>178</v>
      </c>
      <c r="E2106" s="14" t="s">
        <v>169</v>
      </c>
      <c r="F2106" s="14" t="s">
        <v>175</v>
      </c>
      <c r="G2106" s="14" t="n">
        <v>2</v>
      </c>
      <c r="H2106" s="14" t="s">
        <v>153</v>
      </c>
      <c r="I2106" s="14" t="s">
        <v>899</v>
      </c>
      <c r="J2106" s="15" t="n">
        <f aca="false">IF(B2106="SITE LOSS",IF(D2106=C2106,1,0),IF(B2106="REGION LOSS",IF(E2106=C2106,1,0),0))</f>
        <v>0</v>
      </c>
      <c r="K2106" s="15" t="n">
        <f aca="false">IF(B2106="SITE LOSS",IF(COUNTIFS('Site Dockets'!$B$7:$B$24,C2106,'Site Dockets'!$C$7:$C$24,F2106)&gt;0,1,0),IF(B2106="REGION LOSS",IF(COUNTIFS('Site Dockets'!$E$7:$E$24,C2106,'Site Dockets'!$C$7:$C$24,F2106)&gt;0,1,0),0))</f>
        <v>0</v>
      </c>
      <c r="L2106" s="15" t="n">
        <f aca="false">IF(J2106=1,0,Inputs!$B$11)</f>
        <v>100</v>
      </c>
      <c r="M2106" s="15" t="n">
        <f aca="false">IF(J2106=1,0,Inputs!$B$12)</f>
        <v>75</v>
      </c>
      <c r="N2106" s="15" t="n">
        <f aca="false">IF(J2106=1,0,IF(OR(AND(OR(B2106="SITE LOSS",B2106="REGION LOSS"),K2106=1),AND(B2106="ROLE COMPROMISE",H2106=C2106)),Inputs!$B$13,Inputs!$B$14))</f>
        <v>10</v>
      </c>
      <c r="O2106" s="15" t="n">
        <f aca="false">IF(J2106=1,0,Inputs!$B$13)</f>
        <v>20</v>
      </c>
      <c r="P2106" s="15" t="n">
        <f aca="false">SUM(M2106:N2106)</f>
        <v>85</v>
      </c>
      <c r="Q2106" s="15" t="n">
        <f aca="false">IF(J2106=1,"",L2106-P2106)</f>
        <v>15</v>
      </c>
      <c r="R2106" s="15" t="n">
        <f aca="false">IF(OR(J2106=1,M2106&lt;=Inputs!$B$12),1,0)</f>
        <v>1</v>
      </c>
      <c r="S2106" s="15" t="n">
        <f aca="false">IF(OR(J2106=1,N2106&lt;=O2106),1,0)</f>
        <v>1</v>
      </c>
      <c r="T2106" s="15" t="str">
        <f aca="false">IF(J2106=1,"OFFLINE",IF(AND(Q2106&gt;=Inputs!$B$15,R2106=1,S2106=1,P2106&lt;=L2106),"PASS","FAIL"))</f>
        <v>PASS</v>
      </c>
    </row>
    <row r="2107" customFormat="false" ht="15" hidden="false" customHeight="false" outlineLevel="0" collapsed="false">
      <c r="A2107" s="14" t="s">
        <v>1039</v>
      </c>
      <c r="B2107" s="14" t="s">
        <v>1038</v>
      </c>
      <c r="C2107" s="14" t="s">
        <v>166</v>
      </c>
      <c r="D2107" s="14" t="s">
        <v>180</v>
      </c>
      <c r="E2107" s="14" t="s">
        <v>161</v>
      </c>
      <c r="F2107" s="14" t="s">
        <v>175</v>
      </c>
      <c r="G2107" s="14" t="n">
        <v>3</v>
      </c>
      <c r="H2107" s="14" t="s">
        <v>158</v>
      </c>
      <c r="I2107" s="14" t="s">
        <v>890</v>
      </c>
      <c r="J2107" s="15" t="n">
        <f aca="false">IF(B2107="SITE LOSS",IF(D2107=C2107,1,0),IF(B2107="REGION LOSS",IF(E2107=C2107,1,0),0))</f>
        <v>0</v>
      </c>
      <c r="K2107" s="15" t="n">
        <f aca="false">IF(B2107="SITE LOSS",IF(COUNTIFS('Site Dockets'!$B$7:$B$24,C2107,'Site Dockets'!$C$7:$C$24,F2107)&gt;0,1,0),IF(B2107="REGION LOSS",IF(COUNTIFS('Site Dockets'!$E$7:$E$24,C2107,'Site Dockets'!$C$7:$C$24,F2107)&gt;0,1,0),0))</f>
        <v>0</v>
      </c>
      <c r="L2107" s="15" t="n">
        <f aca="false">IF(J2107=1,0,Inputs!$B$11)</f>
        <v>100</v>
      </c>
      <c r="M2107" s="15" t="n">
        <f aca="false">IF(J2107=1,0,Inputs!$B$12)</f>
        <v>75</v>
      </c>
      <c r="N2107" s="15" t="n">
        <f aca="false">IF(J2107=1,0,IF(OR(AND(OR(B2107="SITE LOSS",B2107="REGION LOSS"),K2107=1),AND(B2107="ROLE COMPROMISE",H2107=C2107)),Inputs!$B$13,Inputs!$B$14))</f>
        <v>10</v>
      </c>
      <c r="O2107" s="15" t="n">
        <f aca="false">IF(J2107=1,0,Inputs!$B$13)</f>
        <v>20</v>
      </c>
      <c r="P2107" s="15" t="n">
        <f aca="false">SUM(M2107:N2107)</f>
        <v>85</v>
      </c>
      <c r="Q2107" s="15" t="n">
        <f aca="false">IF(J2107=1,"",L2107-P2107)</f>
        <v>15</v>
      </c>
      <c r="R2107" s="15" t="n">
        <f aca="false">IF(OR(J2107=1,M2107&lt;=Inputs!$B$12),1,0)</f>
        <v>1</v>
      </c>
      <c r="S2107" s="15" t="n">
        <f aca="false">IF(OR(J2107=1,N2107&lt;=O2107),1,0)</f>
        <v>1</v>
      </c>
      <c r="T2107" s="15" t="str">
        <f aca="false">IF(J2107=1,"OFFLINE",IF(AND(Q2107&gt;=Inputs!$B$15,R2107=1,S2107=1,P2107&lt;=L2107),"PASS","FAIL"))</f>
        <v>PASS</v>
      </c>
    </row>
    <row r="2108" customFormat="false" ht="15" hidden="false" customHeight="false" outlineLevel="0" collapsed="false">
      <c r="A2108" s="14" t="s">
        <v>1039</v>
      </c>
      <c r="B2108" s="14" t="s">
        <v>1038</v>
      </c>
      <c r="C2108" s="14" t="s">
        <v>166</v>
      </c>
      <c r="D2108" s="14" t="s">
        <v>180</v>
      </c>
      <c r="E2108" s="14" t="s">
        <v>161</v>
      </c>
      <c r="F2108" s="14" t="s">
        <v>175</v>
      </c>
      <c r="G2108" s="14" t="n">
        <v>3</v>
      </c>
      <c r="H2108" s="14" t="s">
        <v>158</v>
      </c>
      <c r="I2108" s="14" t="s">
        <v>892</v>
      </c>
      <c r="J2108" s="15" t="n">
        <f aca="false">IF(B2108="SITE LOSS",IF(D2108=C2108,1,0),IF(B2108="REGION LOSS",IF(E2108=C2108,1,0),0))</f>
        <v>0</v>
      </c>
      <c r="K2108" s="15" t="n">
        <f aca="false">IF(B2108="SITE LOSS",IF(COUNTIFS('Site Dockets'!$B$7:$B$24,C2108,'Site Dockets'!$C$7:$C$24,F2108)&gt;0,1,0),IF(B2108="REGION LOSS",IF(COUNTIFS('Site Dockets'!$E$7:$E$24,C2108,'Site Dockets'!$C$7:$C$24,F2108)&gt;0,1,0),0))</f>
        <v>0</v>
      </c>
      <c r="L2108" s="15" t="n">
        <f aca="false">IF(J2108=1,0,Inputs!$B$11)</f>
        <v>100</v>
      </c>
      <c r="M2108" s="15" t="n">
        <f aca="false">IF(J2108=1,0,Inputs!$B$12)</f>
        <v>75</v>
      </c>
      <c r="N2108" s="15" t="n">
        <f aca="false">IF(J2108=1,0,IF(OR(AND(OR(B2108="SITE LOSS",B2108="REGION LOSS"),K2108=1),AND(B2108="ROLE COMPROMISE",H2108=C2108)),Inputs!$B$13,Inputs!$B$14))</f>
        <v>10</v>
      </c>
      <c r="O2108" s="15" t="n">
        <f aca="false">IF(J2108=1,0,Inputs!$B$13)</f>
        <v>20</v>
      </c>
      <c r="P2108" s="15" t="n">
        <f aca="false">SUM(M2108:N2108)</f>
        <v>85</v>
      </c>
      <c r="Q2108" s="15" t="n">
        <f aca="false">IF(J2108=1,"",L2108-P2108)</f>
        <v>15</v>
      </c>
      <c r="R2108" s="15" t="n">
        <f aca="false">IF(OR(J2108=1,M2108&lt;=Inputs!$B$12),1,0)</f>
        <v>1</v>
      </c>
      <c r="S2108" s="15" t="n">
        <f aca="false">IF(OR(J2108=1,N2108&lt;=O2108),1,0)</f>
        <v>1</v>
      </c>
      <c r="T2108" s="15" t="str">
        <f aca="false">IF(J2108=1,"OFFLINE",IF(AND(Q2108&gt;=Inputs!$B$15,R2108=1,S2108=1,P2108&lt;=L2108),"PASS","FAIL"))</f>
        <v>PASS</v>
      </c>
    </row>
    <row r="2109" customFormat="false" ht="15" hidden="false" customHeight="false" outlineLevel="0" collapsed="false">
      <c r="A2109" s="14" t="s">
        <v>1039</v>
      </c>
      <c r="B2109" s="14" t="s">
        <v>1038</v>
      </c>
      <c r="C2109" s="14" t="s">
        <v>166</v>
      </c>
      <c r="D2109" s="14" t="s">
        <v>180</v>
      </c>
      <c r="E2109" s="14" t="s">
        <v>161</v>
      </c>
      <c r="F2109" s="14" t="s">
        <v>175</v>
      </c>
      <c r="G2109" s="14" t="n">
        <v>3</v>
      </c>
      <c r="H2109" s="14" t="s">
        <v>158</v>
      </c>
      <c r="I2109" s="14" t="s">
        <v>811</v>
      </c>
      <c r="J2109" s="15" t="n">
        <f aca="false">IF(B2109="SITE LOSS",IF(D2109=C2109,1,0),IF(B2109="REGION LOSS",IF(E2109=C2109,1,0),0))</f>
        <v>0</v>
      </c>
      <c r="K2109" s="15" t="n">
        <f aca="false">IF(B2109="SITE LOSS",IF(COUNTIFS('Site Dockets'!$B$7:$B$24,C2109,'Site Dockets'!$C$7:$C$24,F2109)&gt;0,1,0),IF(B2109="REGION LOSS",IF(COUNTIFS('Site Dockets'!$E$7:$E$24,C2109,'Site Dockets'!$C$7:$C$24,F2109)&gt;0,1,0),0))</f>
        <v>0</v>
      </c>
      <c r="L2109" s="15" t="n">
        <f aca="false">IF(J2109=1,0,Inputs!$B$11)</f>
        <v>100</v>
      </c>
      <c r="M2109" s="15" t="n">
        <f aca="false">IF(J2109=1,0,Inputs!$B$12)</f>
        <v>75</v>
      </c>
      <c r="N2109" s="15" t="n">
        <f aca="false">IF(J2109=1,0,IF(OR(AND(OR(B2109="SITE LOSS",B2109="REGION LOSS"),K2109=1),AND(B2109="ROLE COMPROMISE",H2109=C2109)),Inputs!$B$13,Inputs!$B$14))</f>
        <v>10</v>
      </c>
      <c r="O2109" s="15" t="n">
        <f aca="false">IF(J2109=1,0,Inputs!$B$13)</f>
        <v>20</v>
      </c>
      <c r="P2109" s="15" t="n">
        <f aca="false">SUM(M2109:N2109)</f>
        <v>85</v>
      </c>
      <c r="Q2109" s="15" t="n">
        <f aca="false">IF(J2109=1,"",L2109-P2109)</f>
        <v>15</v>
      </c>
      <c r="R2109" s="15" t="n">
        <f aca="false">IF(OR(J2109=1,M2109&lt;=Inputs!$B$12),1,0)</f>
        <v>1</v>
      </c>
      <c r="S2109" s="15" t="n">
        <f aca="false">IF(OR(J2109=1,N2109&lt;=O2109),1,0)</f>
        <v>1</v>
      </c>
      <c r="T2109" s="15" t="str">
        <f aca="false">IF(J2109=1,"OFFLINE",IF(AND(Q2109&gt;=Inputs!$B$15,R2109=1,S2109=1,P2109&lt;=L2109),"PASS","FAIL"))</f>
        <v>PASS</v>
      </c>
    </row>
    <row r="2110" customFormat="false" ht="15" hidden="false" customHeight="false" outlineLevel="0" collapsed="false">
      <c r="A2110" s="14" t="s">
        <v>1039</v>
      </c>
      <c r="B2110" s="14" t="s">
        <v>1038</v>
      </c>
      <c r="C2110" s="14" t="s">
        <v>166</v>
      </c>
      <c r="D2110" s="14" t="s">
        <v>180</v>
      </c>
      <c r="E2110" s="14" t="s">
        <v>161</v>
      </c>
      <c r="F2110" s="14" t="s">
        <v>175</v>
      </c>
      <c r="G2110" s="14" t="n">
        <v>3</v>
      </c>
      <c r="H2110" s="14" t="s">
        <v>158</v>
      </c>
      <c r="I2110" s="14" t="s">
        <v>895</v>
      </c>
      <c r="J2110" s="15" t="n">
        <f aca="false">IF(B2110="SITE LOSS",IF(D2110=C2110,1,0),IF(B2110="REGION LOSS",IF(E2110=C2110,1,0),0))</f>
        <v>0</v>
      </c>
      <c r="K2110" s="15" t="n">
        <f aca="false">IF(B2110="SITE LOSS",IF(COUNTIFS('Site Dockets'!$B$7:$B$24,C2110,'Site Dockets'!$C$7:$C$24,F2110)&gt;0,1,0),IF(B2110="REGION LOSS",IF(COUNTIFS('Site Dockets'!$E$7:$E$24,C2110,'Site Dockets'!$C$7:$C$24,F2110)&gt;0,1,0),0))</f>
        <v>0</v>
      </c>
      <c r="L2110" s="15" t="n">
        <f aca="false">IF(J2110=1,0,Inputs!$B$11)</f>
        <v>100</v>
      </c>
      <c r="M2110" s="15" t="n">
        <f aca="false">IF(J2110=1,0,Inputs!$B$12)</f>
        <v>75</v>
      </c>
      <c r="N2110" s="15" t="n">
        <f aca="false">IF(J2110=1,0,IF(OR(AND(OR(B2110="SITE LOSS",B2110="REGION LOSS"),K2110=1),AND(B2110="ROLE COMPROMISE",H2110=C2110)),Inputs!$B$13,Inputs!$B$14))</f>
        <v>10</v>
      </c>
      <c r="O2110" s="15" t="n">
        <f aca="false">IF(J2110=1,0,Inputs!$B$13)</f>
        <v>20</v>
      </c>
      <c r="P2110" s="15" t="n">
        <f aca="false">SUM(M2110:N2110)</f>
        <v>85</v>
      </c>
      <c r="Q2110" s="15" t="n">
        <f aca="false">IF(J2110=1,"",L2110-P2110)</f>
        <v>15</v>
      </c>
      <c r="R2110" s="15" t="n">
        <f aca="false">IF(OR(J2110=1,M2110&lt;=Inputs!$B$12),1,0)</f>
        <v>1</v>
      </c>
      <c r="S2110" s="15" t="n">
        <f aca="false">IF(OR(J2110=1,N2110&lt;=O2110),1,0)</f>
        <v>1</v>
      </c>
      <c r="T2110" s="15" t="str">
        <f aca="false">IF(J2110=1,"OFFLINE",IF(AND(Q2110&gt;=Inputs!$B$15,R2110=1,S2110=1,P2110&lt;=L2110),"PASS","FAIL"))</f>
        <v>PASS</v>
      </c>
    </row>
    <row r="2111" customFormat="false" ht="15" hidden="false" customHeight="false" outlineLevel="0" collapsed="false">
      <c r="A2111" s="14" t="s">
        <v>1039</v>
      </c>
      <c r="B2111" s="14" t="s">
        <v>1038</v>
      </c>
      <c r="C2111" s="14" t="s">
        <v>166</v>
      </c>
      <c r="D2111" s="14" t="s">
        <v>180</v>
      </c>
      <c r="E2111" s="14" t="s">
        <v>161</v>
      </c>
      <c r="F2111" s="14" t="s">
        <v>175</v>
      </c>
      <c r="G2111" s="14" t="n">
        <v>3</v>
      </c>
      <c r="H2111" s="14" t="s">
        <v>158</v>
      </c>
      <c r="I2111" s="14" t="s">
        <v>897</v>
      </c>
      <c r="J2111" s="15" t="n">
        <f aca="false">IF(B2111="SITE LOSS",IF(D2111=C2111,1,0),IF(B2111="REGION LOSS",IF(E2111=C2111,1,0),0))</f>
        <v>0</v>
      </c>
      <c r="K2111" s="15" t="n">
        <f aca="false">IF(B2111="SITE LOSS",IF(COUNTIFS('Site Dockets'!$B$7:$B$24,C2111,'Site Dockets'!$C$7:$C$24,F2111)&gt;0,1,0),IF(B2111="REGION LOSS",IF(COUNTIFS('Site Dockets'!$E$7:$E$24,C2111,'Site Dockets'!$C$7:$C$24,F2111)&gt;0,1,0),0))</f>
        <v>0</v>
      </c>
      <c r="L2111" s="15" t="n">
        <f aca="false">IF(J2111=1,0,Inputs!$B$11)</f>
        <v>100</v>
      </c>
      <c r="M2111" s="15" t="n">
        <f aca="false">IF(J2111=1,0,Inputs!$B$12)</f>
        <v>75</v>
      </c>
      <c r="N2111" s="15" t="n">
        <f aca="false">IF(J2111=1,0,IF(OR(AND(OR(B2111="SITE LOSS",B2111="REGION LOSS"),K2111=1),AND(B2111="ROLE COMPROMISE",H2111=C2111)),Inputs!$B$13,Inputs!$B$14))</f>
        <v>10</v>
      </c>
      <c r="O2111" s="15" t="n">
        <f aca="false">IF(J2111=1,0,Inputs!$B$13)</f>
        <v>20</v>
      </c>
      <c r="P2111" s="15" t="n">
        <f aca="false">SUM(M2111:N2111)</f>
        <v>85</v>
      </c>
      <c r="Q2111" s="15" t="n">
        <f aca="false">IF(J2111=1,"",L2111-P2111)</f>
        <v>15</v>
      </c>
      <c r="R2111" s="15" t="n">
        <f aca="false">IF(OR(J2111=1,M2111&lt;=Inputs!$B$12),1,0)</f>
        <v>1</v>
      </c>
      <c r="S2111" s="15" t="n">
        <f aca="false">IF(OR(J2111=1,N2111&lt;=O2111),1,0)</f>
        <v>1</v>
      </c>
      <c r="T2111" s="15" t="str">
        <f aca="false">IF(J2111=1,"OFFLINE",IF(AND(Q2111&gt;=Inputs!$B$15,R2111=1,S2111=1,P2111&lt;=L2111),"PASS","FAIL"))</f>
        <v>PASS</v>
      </c>
    </row>
    <row r="2112" customFormat="false" ht="15" hidden="false" customHeight="false" outlineLevel="0" collapsed="false">
      <c r="A2112" s="14" t="s">
        <v>1039</v>
      </c>
      <c r="B2112" s="14" t="s">
        <v>1038</v>
      </c>
      <c r="C2112" s="14" t="s">
        <v>166</v>
      </c>
      <c r="D2112" s="14" t="s">
        <v>180</v>
      </c>
      <c r="E2112" s="14" t="s">
        <v>161</v>
      </c>
      <c r="F2112" s="14" t="s">
        <v>175</v>
      </c>
      <c r="G2112" s="14" t="n">
        <v>3</v>
      </c>
      <c r="H2112" s="14" t="s">
        <v>158</v>
      </c>
      <c r="I2112" s="14" t="s">
        <v>899</v>
      </c>
      <c r="J2112" s="15" t="n">
        <f aca="false">IF(B2112="SITE LOSS",IF(D2112=C2112,1,0),IF(B2112="REGION LOSS",IF(E2112=C2112,1,0),0))</f>
        <v>0</v>
      </c>
      <c r="K2112" s="15" t="n">
        <f aca="false">IF(B2112="SITE LOSS",IF(COUNTIFS('Site Dockets'!$B$7:$B$24,C2112,'Site Dockets'!$C$7:$C$24,F2112)&gt;0,1,0),IF(B2112="REGION LOSS",IF(COUNTIFS('Site Dockets'!$E$7:$E$24,C2112,'Site Dockets'!$C$7:$C$24,F2112)&gt;0,1,0),0))</f>
        <v>0</v>
      </c>
      <c r="L2112" s="15" t="n">
        <f aca="false">IF(J2112=1,0,Inputs!$B$11)</f>
        <v>100</v>
      </c>
      <c r="M2112" s="15" t="n">
        <f aca="false">IF(J2112=1,0,Inputs!$B$12)</f>
        <v>75</v>
      </c>
      <c r="N2112" s="15" t="n">
        <f aca="false">IF(J2112=1,0,IF(OR(AND(OR(B2112="SITE LOSS",B2112="REGION LOSS"),K2112=1),AND(B2112="ROLE COMPROMISE",H2112=C2112)),Inputs!$B$13,Inputs!$B$14))</f>
        <v>10</v>
      </c>
      <c r="O2112" s="15" t="n">
        <f aca="false">IF(J2112=1,0,Inputs!$B$13)</f>
        <v>20</v>
      </c>
      <c r="P2112" s="15" t="n">
        <f aca="false">SUM(M2112:N2112)</f>
        <v>85</v>
      </c>
      <c r="Q2112" s="15" t="n">
        <f aca="false">IF(J2112=1,"",L2112-P2112)</f>
        <v>15</v>
      </c>
      <c r="R2112" s="15" t="n">
        <f aca="false">IF(OR(J2112=1,M2112&lt;=Inputs!$B$12),1,0)</f>
        <v>1</v>
      </c>
      <c r="S2112" s="15" t="n">
        <f aca="false">IF(OR(J2112=1,N2112&lt;=O2112),1,0)</f>
        <v>1</v>
      </c>
      <c r="T2112" s="15" t="str">
        <f aca="false">IF(J2112=1,"OFFLINE",IF(AND(Q2112&gt;=Inputs!$B$15,R2112=1,S2112=1,P2112&lt;=L2112),"PASS","FAIL"))</f>
        <v>PASS</v>
      </c>
    </row>
    <row r="2113" customFormat="false" ht="15" hidden="false" customHeight="false" outlineLevel="0" collapsed="false">
      <c r="A2113" s="14" t="s">
        <v>1039</v>
      </c>
      <c r="B2113" s="14" t="s">
        <v>1038</v>
      </c>
      <c r="C2113" s="14" t="s">
        <v>166</v>
      </c>
      <c r="D2113" s="14" t="s">
        <v>182</v>
      </c>
      <c r="E2113" s="14" t="s">
        <v>166</v>
      </c>
      <c r="F2113" s="14" t="s">
        <v>183</v>
      </c>
      <c r="G2113" s="14" t="n">
        <v>1</v>
      </c>
      <c r="H2113" s="14" t="s">
        <v>154</v>
      </c>
      <c r="I2113" s="14" t="s">
        <v>890</v>
      </c>
      <c r="J2113" s="15" t="n">
        <f aca="false">IF(B2113="SITE LOSS",IF(D2113=C2113,1,0),IF(B2113="REGION LOSS",IF(E2113=C2113,1,0),0))</f>
        <v>1</v>
      </c>
      <c r="K2113" s="15" t="n">
        <f aca="false">IF(B2113="SITE LOSS",IF(COUNTIFS('Site Dockets'!$B$7:$B$24,C2113,'Site Dockets'!$C$7:$C$24,F2113)&gt;0,1,0),IF(B2113="REGION LOSS",IF(COUNTIFS('Site Dockets'!$E$7:$E$24,C2113,'Site Dockets'!$C$7:$C$24,F2113)&gt;0,1,0),0))</f>
        <v>1</v>
      </c>
      <c r="L2113" s="15" t="n">
        <f aca="false">IF(J2113=1,0,Inputs!$B$11)</f>
        <v>0</v>
      </c>
      <c r="M2113" s="15" t="n">
        <f aca="false">IF(J2113=1,0,Inputs!$B$12)</f>
        <v>0</v>
      </c>
      <c r="N2113" s="15" t="n">
        <f aca="false">IF(J2113=1,0,IF(OR(AND(OR(B2113="SITE LOSS",B2113="REGION LOSS"),K2113=1),AND(B2113="ROLE COMPROMISE",H2113=C2113)),Inputs!$B$13,Inputs!$B$14))</f>
        <v>0</v>
      </c>
      <c r="O2113" s="15" t="n">
        <f aca="false">IF(J2113=1,0,Inputs!$B$13)</f>
        <v>0</v>
      </c>
      <c r="P2113" s="15" t="n">
        <f aca="false">SUM(M2113:N2113)</f>
        <v>0</v>
      </c>
      <c r="Q2113" s="15" t="str">
        <f aca="false">IF(J2113=1,"",L2113-P2113)</f>
        <v/>
      </c>
      <c r="R2113" s="15" t="n">
        <f aca="false">IF(OR(J2113=1,M2113&lt;=Inputs!$B$12),1,0)</f>
        <v>1</v>
      </c>
      <c r="S2113" s="15" t="n">
        <f aca="false">IF(OR(J2113=1,N2113&lt;=O2113),1,0)</f>
        <v>1</v>
      </c>
      <c r="T2113" s="15" t="str">
        <f aca="false">IF(J2113=1,"OFFLINE",IF(AND(Q2113&gt;=Inputs!$B$15,R2113=1,S2113=1,P2113&lt;=L2113),"PASS","FAIL"))</f>
        <v>OFFLINE</v>
      </c>
    </row>
    <row r="2114" customFormat="false" ht="15" hidden="false" customHeight="false" outlineLevel="0" collapsed="false">
      <c r="A2114" s="14" t="s">
        <v>1039</v>
      </c>
      <c r="B2114" s="14" t="s">
        <v>1038</v>
      </c>
      <c r="C2114" s="14" t="s">
        <v>166</v>
      </c>
      <c r="D2114" s="14" t="s">
        <v>182</v>
      </c>
      <c r="E2114" s="14" t="s">
        <v>166</v>
      </c>
      <c r="F2114" s="14" t="s">
        <v>183</v>
      </c>
      <c r="G2114" s="14" t="n">
        <v>1</v>
      </c>
      <c r="H2114" s="14" t="s">
        <v>154</v>
      </c>
      <c r="I2114" s="14" t="s">
        <v>892</v>
      </c>
      <c r="J2114" s="15" t="n">
        <f aca="false">IF(B2114="SITE LOSS",IF(D2114=C2114,1,0),IF(B2114="REGION LOSS",IF(E2114=C2114,1,0),0))</f>
        <v>1</v>
      </c>
      <c r="K2114" s="15" t="n">
        <f aca="false">IF(B2114="SITE LOSS",IF(COUNTIFS('Site Dockets'!$B$7:$B$24,C2114,'Site Dockets'!$C$7:$C$24,F2114)&gt;0,1,0),IF(B2114="REGION LOSS",IF(COUNTIFS('Site Dockets'!$E$7:$E$24,C2114,'Site Dockets'!$C$7:$C$24,F2114)&gt;0,1,0),0))</f>
        <v>1</v>
      </c>
      <c r="L2114" s="15" t="n">
        <f aca="false">IF(J2114=1,0,Inputs!$B$11)</f>
        <v>0</v>
      </c>
      <c r="M2114" s="15" t="n">
        <f aca="false">IF(J2114=1,0,Inputs!$B$12)</f>
        <v>0</v>
      </c>
      <c r="N2114" s="15" t="n">
        <f aca="false">IF(J2114=1,0,IF(OR(AND(OR(B2114="SITE LOSS",B2114="REGION LOSS"),K2114=1),AND(B2114="ROLE COMPROMISE",H2114=C2114)),Inputs!$B$13,Inputs!$B$14))</f>
        <v>0</v>
      </c>
      <c r="O2114" s="15" t="n">
        <f aca="false">IF(J2114=1,0,Inputs!$B$13)</f>
        <v>0</v>
      </c>
      <c r="P2114" s="15" t="n">
        <f aca="false">SUM(M2114:N2114)</f>
        <v>0</v>
      </c>
      <c r="Q2114" s="15" t="str">
        <f aca="false">IF(J2114=1,"",L2114-P2114)</f>
        <v/>
      </c>
      <c r="R2114" s="15" t="n">
        <f aca="false">IF(OR(J2114=1,M2114&lt;=Inputs!$B$12),1,0)</f>
        <v>1</v>
      </c>
      <c r="S2114" s="15" t="n">
        <f aca="false">IF(OR(J2114=1,N2114&lt;=O2114),1,0)</f>
        <v>1</v>
      </c>
      <c r="T2114" s="15" t="str">
        <f aca="false">IF(J2114=1,"OFFLINE",IF(AND(Q2114&gt;=Inputs!$B$15,R2114=1,S2114=1,P2114&lt;=L2114),"PASS","FAIL"))</f>
        <v>OFFLINE</v>
      </c>
    </row>
    <row r="2115" customFormat="false" ht="15" hidden="false" customHeight="false" outlineLevel="0" collapsed="false">
      <c r="A2115" s="14" t="s">
        <v>1039</v>
      </c>
      <c r="B2115" s="14" t="s">
        <v>1038</v>
      </c>
      <c r="C2115" s="14" t="s">
        <v>166</v>
      </c>
      <c r="D2115" s="14" t="s">
        <v>182</v>
      </c>
      <c r="E2115" s="14" t="s">
        <v>166</v>
      </c>
      <c r="F2115" s="14" t="s">
        <v>183</v>
      </c>
      <c r="G2115" s="14" t="n">
        <v>1</v>
      </c>
      <c r="H2115" s="14" t="s">
        <v>154</v>
      </c>
      <c r="I2115" s="14" t="s">
        <v>811</v>
      </c>
      <c r="J2115" s="15" t="n">
        <f aca="false">IF(B2115="SITE LOSS",IF(D2115=C2115,1,0),IF(B2115="REGION LOSS",IF(E2115=C2115,1,0),0))</f>
        <v>1</v>
      </c>
      <c r="K2115" s="15" t="n">
        <f aca="false">IF(B2115="SITE LOSS",IF(COUNTIFS('Site Dockets'!$B$7:$B$24,C2115,'Site Dockets'!$C$7:$C$24,F2115)&gt;0,1,0),IF(B2115="REGION LOSS",IF(COUNTIFS('Site Dockets'!$E$7:$E$24,C2115,'Site Dockets'!$C$7:$C$24,F2115)&gt;0,1,0),0))</f>
        <v>1</v>
      </c>
      <c r="L2115" s="15" t="n">
        <f aca="false">IF(J2115=1,0,Inputs!$B$11)</f>
        <v>0</v>
      </c>
      <c r="M2115" s="15" t="n">
        <f aca="false">IF(J2115=1,0,Inputs!$B$12)</f>
        <v>0</v>
      </c>
      <c r="N2115" s="15" t="n">
        <f aca="false">IF(J2115=1,0,IF(OR(AND(OR(B2115="SITE LOSS",B2115="REGION LOSS"),K2115=1),AND(B2115="ROLE COMPROMISE",H2115=C2115)),Inputs!$B$13,Inputs!$B$14))</f>
        <v>0</v>
      </c>
      <c r="O2115" s="15" t="n">
        <f aca="false">IF(J2115=1,0,Inputs!$B$13)</f>
        <v>0</v>
      </c>
      <c r="P2115" s="15" t="n">
        <f aca="false">SUM(M2115:N2115)</f>
        <v>0</v>
      </c>
      <c r="Q2115" s="15" t="str">
        <f aca="false">IF(J2115=1,"",L2115-P2115)</f>
        <v/>
      </c>
      <c r="R2115" s="15" t="n">
        <f aca="false">IF(OR(J2115=1,M2115&lt;=Inputs!$B$12),1,0)</f>
        <v>1</v>
      </c>
      <c r="S2115" s="15" t="n">
        <f aca="false">IF(OR(J2115=1,N2115&lt;=O2115),1,0)</f>
        <v>1</v>
      </c>
      <c r="T2115" s="15" t="str">
        <f aca="false">IF(J2115=1,"OFFLINE",IF(AND(Q2115&gt;=Inputs!$B$15,R2115=1,S2115=1,P2115&lt;=L2115),"PASS","FAIL"))</f>
        <v>OFFLINE</v>
      </c>
    </row>
    <row r="2116" customFormat="false" ht="15" hidden="false" customHeight="false" outlineLevel="0" collapsed="false">
      <c r="A2116" s="14" t="s">
        <v>1039</v>
      </c>
      <c r="B2116" s="14" t="s">
        <v>1038</v>
      </c>
      <c r="C2116" s="14" t="s">
        <v>166</v>
      </c>
      <c r="D2116" s="14" t="s">
        <v>182</v>
      </c>
      <c r="E2116" s="14" t="s">
        <v>166</v>
      </c>
      <c r="F2116" s="14" t="s">
        <v>183</v>
      </c>
      <c r="G2116" s="14" t="n">
        <v>1</v>
      </c>
      <c r="H2116" s="14" t="s">
        <v>154</v>
      </c>
      <c r="I2116" s="14" t="s">
        <v>895</v>
      </c>
      <c r="J2116" s="15" t="n">
        <f aca="false">IF(B2116="SITE LOSS",IF(D2116=C2116,1,0),IF(B2116="REGION LOSS",IF(E2116=C2116,1,0),0))</f>
        <v>1</v>
      </c>
      <c r="K2116" s="15" t="n">
        <f aca="false">IF(B2116="SITE LOSS",IF(COUNTIFS('Site Dockets'!$B$7:$B$24,C2116,'Site Dockets'!$C$7:$C$24,F2116)&gt;0,1,0),IF(B2116="REGION LOSS",IF(COUNTIFS('Site Dockets'!$E$7:$E$24,C2116,'Site Dockets'!$C$7:$C$24,F2116)&gt;0,1,0),0))</f>
        <v>1</v>
      </c>
      <c r="L2116" s="15" t="n">
        <f aca="false">IF(J2116=1,0,Inputs!$B$11)</f>
        <v>0</v>
      </c>
      <c r="M2116" s="15" t="n">
        <f aca="false">IF(J2116=1,0,Inputs!$B$12)</f>
        <v>0</v>
      </c>
      <c r="N2116" s="15" t="n">
        <f aca="false">IF(J2116=1,0,IF(OR(AND(OR(B2116="SITE LOSS",B2116="REGION LOSS"),K2116=1),AND(B2116="ROLE COMPROMISE",H2116=C2116)),Inputs!$B$13,Inputs!$B$14))</f>
        <v>0</v>
      </c>
      <c r="O2116" s="15" t="n">
        <f aca="false">IF(J2116=1,0,Inputs!$B$13)</f>
        <v>0</v>
      </c>
      <c r="P2116" s="15" t="n">
        <f aca="false">SUM(M2116:N2116)</f>
        <v>0</v>
      </c>
      <c r="Q2116" s="15" t="str">
        <f aca="false">IF(J2116=1,"",L2116-P2116)</f>
        <v/>
      </c>
      <c r="R2116" s="15" t="n">
        <f aca="false">IF(OR(J2116=1,M2116&lt;=Inputs!$B$12),1,0)</f>
        <v>1</v>
      </c>
      <c r="S2116" s="15" t="n">
        <f aca="false">IF(OR(J2116=1,N2116&lt;=O2116),1,0)</f>
        <v>1</v>
      </c>
      <c r="T2116" s="15" t="str">
        <f aca="false">IF(J2116=1,"OFFLINE",IF(AND(Q2116&gt;=Inputs!$B$15,R2116=1,S2116=1,P2116&lt;=L2116),"PASS","FAIL"))</f>
        <v>OFFLINE</v>
      </c>
    </row>
    <row r="2117" customFormat="false" ht="15" hidden="false" customHeight="false" outlineLevel="0" collapsed="false">
      <c r="A2117" s="14" t="s">
        <v>1039</v>
      </c>
      <c r="B2117" s="14" t="s">
        <v>1038</v>
      </c>
      <c r="C2117" s="14" t="s">
        <v>166</v>
      </c>
      <c r="D2117" s="14" t="s">
        <v>182</v>
      </c>
      <c r="E2117" s="14" t="s">
        <v>166</v>
      </c>
      <c r="F2117" s="14" t="s">
        <v>183</v>
      </c>
      <c r="G2117" s="14" t="n">
        <v>1</v>
      </c>
      <c r="H2117" s="14" t="s">
        <v>154</v>
      </c>
      <c r="I2117" s="14" t="s">
        <v>897</v>
      </c>
      <c r="J2117" s="15" t="n">
        <f aca="false">IF(B2117="SITE LOSS",IF(D2117=C2117,1,0),IF(B2117="REGION LOSS",IF(E2117=C2117,1,0),0))</f>
        <v>1</v>
      </c>
      <c r="K2117" s="15" t="n">
        <f aca="false">IF(B2117="SITE LOSS",IF(COUNTIFS('Site Dockets'!$B$7:$B$24,C2117,'Site Dockets'!$C$7:$C$24,F2117)&gt;0,1,0),IF(B2117="REGION LOSS",IF(COUNTIFS('Site Dockets'!$E$7:$E$24,C2117,'Site Dockets'!$C$7:$C$24,F2117)&gt;0,1,0),0))</f>
        <v>1</v>
      </c>
      <c r="L2117" s="15" t="n">
        <f aca="false">IF(J2117=1,0,Inputs!$B$11)</f>
        <v>0</v>
      </c>
      <c r="M2117" s="15" t="n">
        <f aca="false">IF(J2117=1,0,Inputs!$B$12)</f>
        <v>0</v>
      </c>
      <c r="N2117" s="15" t="n">
        <f aca="false">IF(J2117=1,0,IF(OR(AND(OR(B2117="SITE LOSS",B2117="REGION LOSS"),K2117=1),AND(B2117="ROLE COMPROMISE",H2117=C2117)),Inputs!$B$13,Inputs!$B$14))</f>
        <v>0</v>
      </c>
      <c r="O2117" s="15" t="n">
        <f aca="false">IF(J2117=1,0,Inputs!$B$13)</f>
        <v>0</v>
      </c>
      <c r="P2117" s="15" t="n">
        <f aca="false">SUM(M2117:N2117)</f>
        <v>0</v>
      </c>
      <c r="Q2117" s="15" t="str">
        <f aca="false">IF(J2117=1,"",L2117-P2117)</f>
        <v/>
      </c>
      <c r="R2117" s="15" t="n">
        <f aca="false">IF(OR(J2117=1,M2117&lt;=Inputs!$B$12),1,0)</f>
        <v>1</v>
      </c>
      <c r="S2117" s="15" t="n">
        <f aca="false">IF(OR(J2117=1,N2117&lt;=O2117),1,0)</f>
        <v>1</v>
      </c>
      <c r="T2117" s="15" t="str">
        <f aca="false">IF(J2117=1,"OFFLINE",IF(AND(Q2117&gt;=Inputs!$B$15,R2117=1,S2117=1,P2117&lt;=L2117),"PASS","FAIL"))</f>
        <v>OFFLINE</v>
      </c>
    </row>
    <row r="2118" customFormat="false" ht="15" hidden="false" customHeight="false" outlineLevel="0" collapsed="false">
      <c r="A2118" s="14" t="s">
        <v>1039</v>
      </c>
      <c r="B2118" s="14" t="s">
        <v>1038</v>
      </c>
      <c r="C2118" s="14" t="s">
        <v>166</v>
      </c>
      <c r="D2118" s="14" t="s">
        <v>182</v>
      </c>
      <c r="E2118" s="14" t="s">
        <v>166</v>
      </c>
      <c r="F2118" s="14" t="s">
        <v>183</v>
      </c>
      <c r="G2118" s="14" t="n">
        <v>1</v>
      </c>
      <c r="H2118" s="14" t="s">
        <v>154</v>
      </c>
      <c r="I2118" s="14" t="s">
        <v>899</v>
      </c>
      <c r="J2118" s="15" t="n">
        <f aca="false">IF(B2118="SITE LOSS",IF(D2118=C2118,1,0),IF(B2118="REGION LOSS",IF(E2118=C2118,1,0),0))</f>
        <v>1</v>
      </c>
      <c r="K2118" s="15" t="n">
        <f aca="false">IF(B2118="SITE LOSS",IF(COUNTIFS('Site Dockets'!$B$7:$B$24,C2118,'Site Dockets'!$C$7:$C$24,F2118)&gt;0,1,0),IF(B2118="REGION LOSS",IF(COUNTIFS('Site Dockets'!$E$7:$E$24,C2118,'Site Dockets'!$C$7:$C$24,F2118)&gt;0,1,0),0))</f>
        <v>1</v>
      </c>
      <c r="L2118" s="15" t="n">
        <f aca="false">IF(J2118=1,0,Inputs!$B$11)</f>
        <v>0</v>
      </c>
      <c r="M2118" s="15" t="n">
        <f aca="false">IF(J2118=1,0,Inputs!$B$12)</f>
        <v>0</v>
      </c>
      <c r="N2118" s="15" t="n">
        <f aca="false">IF(J2118=1,0,IF(OR(AND(OR(B2118="SITE LOSS",B2118="REGION LOSS"),K2118=1),AND(B2118="ROLE COMPROMISE",H2118=C2118)),Inputs!$B$13,Inputs!$B$14))</f>
        <v>0</v>
      </c>
      <c r="O2118" s="15" t="n">
        <f aca="false">IF(J2118=1,0,Inputs!$B$13)</f>
        <v>0</v>
      </c>
      <c r="P2118" s="15" t="n">
        <f aca="false">SUM(M2118:N2118)</f>
        <v>0</v>
      </c>
      <c r="Q2118" s="15" t="str">
        <f aca="false">IF(J2118=1,"",L2118-P2118)</f>
        <v/>
      </c>
      <c r="R2118" s="15" t="n">
        <f aca="false">IF(OR(J2118=1,M2118&lt;=Inputs!$B$12),1,0)</f>
        <v>1</v>
      </c>
      <c r="S2118" s="15" t="n">
        <f aca="false">IF(OR(J2118=1,N2118&lt;=O2118),1,0)</f>
        <v>1</v>
      </c>
      <c r="T2118" s="15" t="str">
        <f aca="false">IF(J2118=1,"OFFLINE",IF(AND(Q2118&gt;=Inputs!$B$15,R2118=1,S2118=1,P2118&lt;=L2118),"PASS","FAIL"))</f>
        <v>OFFLINE</v>
      </c>
    </row>
    <row r="2119" customFormat="false" ht="15" hidden="false" customHeight="false" outlineLevel="0" collapsed="false">
      <c r="A2119" s="14" t="s">
        <v>1039</v>
      </c>
      <c r="B2119" s="14" t="s">
        <v>1038</v>
      </c>
      <c r="C2119" s="14" t="s">
        <v>166</v>
      </c>
      <c r="D2119" s="14" t="s">
        <v>186</v>
      </c>
      <c r="E2119" s="14" t="s">
        <v>157</v>
      </c>
      <c r="F2119" s="14" t="s">
        <v>183</v>
      </c>
      <c r="G2119" s="14" t="n">
        <v>2</v>
      </c>
      <c r="H2119" s="14" t="s">
        <v>153</v>
      </c>
      <c r="I2119" s="14" t="s">
        <v>890</v>
      </c>
      <c r="J2119" s="15" t="n">
        <f aca="false">IF(B2119="SITE LOSS",IF(D2119=C2119,1,0),IF(B2119="REGION LOSS",IF(E2119=C2119,1,0),0))</f>
        <v>0</v>
      </c>
      <c r="K2119" s="15" t="n">
        <f aca="false">IF(B2119="SITE LOSS",IF(COUNTIFS('Site Dockets'!$B$7:$B$24,C2119,'Site Dockets'!$C$7:$C$24,F2119)&gt;0,1,0),IF(B2119="REGION LOSS",IF(COUNTIFS('Site Dockets'!$E$7:$E$24,C2119,'Site Dockets'!$C$7:$C$24,F2119)&gt;0,1,0),0))</f>
        <v>1</v>
      </c>
      <c r="L2119" s="15" t="n">
        <f aca="false">IF(J2119=1,0,Inputs!$B$11)</f>
        <v>100</v>
      </c>
      <c r="M2119" s="15" t="n">
        <f aca="false">IF(J2119=1,0,Inputs!$B$12)</f>
        <v>75</v>
      </c>
      <c r="N2119" s="15" t="n">
        <f aca="false">IF(J2119=1,0,IF(OR(AND(OR(B2119="SITE LOSS",B2119="REGION LOSS"),K2119=1),AND(B2119="ROLE COMPROMISE",H2119=C2119)),Inputs!$B$13,Inputs!$B$14))</f>
        <v>20</v>
      </c>
      <c r="O2119" s="15" t="n">
        <f aca="false">IF(J2119=1,0,Inputs!$B$13)</f>
        <v>20</v>
      </c>
      <c r="P2119" s="15" t="n">
        <f aca="false">SUM(M2119:N2119)</f>
        <v>95</v>
      </c>
      <c r="Q2119" s="15" t="n">
        <f aca="false">IF(J2119=1,"",L2119-P2119)</f>
        <v>5</v>
      </c>
      <c r="R2119" s="15" t="n">
        <f aca="false">IF(OR(J2119=1,M2119&lt;=Inputs!$B$12),1,0)</f>
        <v>1</v>
      </c>
      <c r="S2119" s="15" t="n">
        <f aca="false">IF(OR(J2119=1,N2119&lt;=O2119),1,0)</f>
        <v>1</v>
      </c>
      <c r="T2119" s="15" t="str">
        <f aca="false">IF(J2119=1,"OFFLINE",IF(AND(Q2119&gt;=Inputs!$B$15,R2119=1,S2119=1,P2119&lt;=L2119),"PASS","FAIL"))</f>
        <v>PASS</v>
      </c>
    </row>
    <row r="2120" customFormat="false" ht="15" hidden="false" customHeight="false" outlineLevel="0" collapsed="false">
      <c r="A2120" s="14" t="s">
        <v>1039</v>
      </c>
      <c r="B2120" s="14" t="s">
        <v>1038</v>
      </c>
      <c r="C2120" s="14" t="s">
        <v>166</v>
      </c>
      <c r="D2120" s="14" t="s">
        <v>186</v>
      </c>
      <c r="E2120" s="14" t="s">
        <v>157</v>
      </c>
      <c r="F2120" s="14" t="s">
        <v>183</v>
      </c>
      <c r="G2120" s="14" t="n">
        <v>2</v>
      </c>
      <c r="H2120" s="14" t="s">
        <v>153</v>
      </c>
      <c r="I2120" s="14" t="s">
        <v>892</v>
      </c>
      <c r="J2120" s="15" t="n">
        <f aca="false">IF(B2120="SITE LOSS",IF(D2120=C2120,1,0),IF(B2120="REGION LOSS",IF(E2120=C2120,1,0),0))</f>
        <v>0</v>
      </c>
      <c r="K2120" s="15" t="n">
        <f aca="false">IF(B2120="SITE LOSS",IF(COUNTIFS('Site Dockets'!$B$7:$B$24,C2120,'Site Dockets'!$C$7:$C$24,F2120)&gt;0,1,0),IF(B2120="REGION LOSS",IF(COUNTIFS('Site Dockets'!$E$7:$E$24,C2120,'Site Dockets'!$C$7:$C$24,F2120)&gt;0,1,0),0))</f>
        <v>1</v>
      </c>
      <c r="L2120" s="15" t="n">
        <f aca="false">IF(J2120=1,0,Inputs!$B$11)</f>
        <v>100</v>
      </c>
      <c r="M2120" s="15" t="n">
        <f aca="false">IF(J2120=1,0,Inputs!$B$12)</f>
        <v>75</v>
      </c>
      <c r="N2120" s="15" t="n">
        <f aca="false">IF(J2120=1,0,IF(OR(AND(OR(B2120="SITE LOSS",B2120="REGION LOSS"),K2120=1),AND(B2120="ROLE COMPROMISE",H2120=C2120)),Inputs!$B$13,Inputs!$B$14))</f>
        <v>20</v>
      </c>
      <c r="O2120" s="15" t="n">
        <f aca="false">IF(J2120=1,0,Inputs!$B$13)</f>
        <v>20</v>
      </c>
      <c r="P2120" s="15" t="n">
        <f aca="false">SUM(M2120:N2120)</f>
        <v>95</v>
      </c>
      <c r="Q2120" s="15" t="n">
        <f aca="false">IF(J2120=1,"",L2120-P2120)</f>
        <v>5</v>
      </c>
      <c r="R2120" s="15" t="n">
        <f aca="false">IF(OR(J2120=1,M2120&lt;=Inputs!$B$12),1,0)</f>
        <v>1</v>
      </c>
      <c r="S2120" s="15" t="n">
        <f aca="false">IF(OR(J2120=1,N2120&lt;=O2120),1,0)</f>
        <v>1</v>
      </c>
      <c r="T2120" s="15" t="str">
        <f aca="false">IF(J2120=1,"OFFLINE",IF(AND(Q2120&gt;=Inputs!$B$15,R2120=1,S2120=1,P2120&lt;=L2120),"PASS","FAIL"))</f>
        <v>PASS</v>
      </c>
    </row>
    <row r="2121" customFormat="false" ht="15" hidden="false" customHeight="false" outlineLevel="0" collapsed="false">
      <c r="A2121" s="14" t="s">
        <v>1039</v>
      </c>
      <c r="B2121" s="14" t="s">
        <v>1038</v>
      </c>
      <c r="C2121" s="14" t="s">
        <v>166</v>
      </c>
      <c r="D2121" s="14" t="s">
        <v>186</v>
      </c>
      <c r="E2121" s="14" t="s">
        <v>157</v>
      </c>
      <c r="F2121" s="14" t="s">
        <v>183</v>
      </c>
      <c r="G2121" s="14" t="n">
        <v>2</v>
      </c>
      <c r="H2121" s="14" t="s">
        <v>153</v>
      </c>
      <c r="I2121" s="14" t="s">
        <v>811</v>
      </c>
      <c r="J2121" s="15" t="n">
        <f aca="false">IF(B2121="SITE LOSS",IF(D2121=C2121,1,0),IF(B2121="REGION LOSS",IF(E2121=C2121,1,0),0))</f>
        <v>0</v>
      </c>
      <c r="K2121" s="15" t="n">
        <f aca="false">IF(B2121="SITE LOSS",IF(COUNTIFS('Site Dockets'!$B$7:$B$24,C2121,'Site Dockets'!$C$7:$C$24,F2121)&gt;0,1,0),IF(B2121="REGION LOSS",IF(COUNTIFS('Site Dockets'!$E$7:$E$24,C2121,'Site Dockets'!$C$7:$C$24,F2121)&gt;0,1,0),0))</f>
        <v>1</v>
      </c>
      <c r="L2121" s="15" t="n">
        <f aca="false">IF(J2121=1,0,Inputs!$B$11)</f>
        <v>100</v>
      </c>
      <c r="M2121" s="15" t="n">
        <f aca="false">IF(J2121=1,0,Inputs!$B$12)</f>
        <v>75</v>
      </c>
      <c r="N2121" s="15" t="n">
        <f aca="false">IF(J2121=1,0,IF(OR(AND(OR(B2121="SITE LOSS",B2121="REGION LOSS"),K2121=1),AND(B2121="ROLE COMPROMISE",H2121=C2121)),Inputs!$B$13,Inputs!$B$14))</f>
        <v>20</v>
      </c>
      <c r="O2121" s="15" t="n">
        <f aca="false">IF(J2121=1,0,Inputs!$B$13)</f>
        <v>20</v>
      </c>
      <c r="P2121" s="15" t="n">
        <f aca="false">SUM(M2121:N2121)</f>
        <v>95</v>
      </c>
      <c r="Q2121" s="15" t="n">
        <f aca="false">IF(J2121=1,"",L2121-P2121)</f>
        <v>5</v>
      </c>
      <c r="R2121" s="15" t="n">
        <f aca="false">IF(OR(J2121=1,M2121&lt;=Inputs!$B$12),1,0)</f>
        <v>1</v>
      </c>
      <c r="S2121" s="15" t="n">
        <f aca="false">IF(OR(J2121=1,N2121&lt;=O2121),1,0)</f>
        <v>1</v>
      </c>
      <c r="T2121" s="15" t="str">
        <f aca="false">IF(J2121=1,"OFFLINE",IF(AND(Q2121&gt;=Inputs!$B$15,R2121=1,S2121=1,P2121&lt;=L2121),"PASS","FAIL"))</f>
        <v>PASS</v>
      </c>
    </row>
    <row r="2122" customFormat="false" ht="15" hidden="false" customHeight="false" outlineLevel="0" collapsed="false">
      <c r="A2122" s="14" t="s">
        <v>1039</v>
      </c>
      <c r="B2122" s="14" t="s">
        <v>1038</v>
      </c>
      <c r="C2122" s="14" t="s">
        <v>166</v>
      </c>
      <c r="D2122" s="14" t="s">
        <v>186</v>
      </c>
      <c r="E2122" s="14" t="s">
        <v>157</v>
      </c>
      <c r="F2122" s="14" t="s">
        <v>183</v>
      </c>
      <c r="G2122" s="14" t="n">
        <v>2</v>
      </c>
      <c r="H2122" s="14" t="s">
        <v>153</v>
      </c>
      <c r="I2122" s="14" t="s">
        <v>895</v>
      </c>
      <c r="J2122" s="15" t="n">
        <f aca="false">IF(B2122="SITE LOSS",IF(D2122=C2122,1,0),IF(B2122="REGION LOSS",IF(E2122=C2122,1,0),0))</f>
        <v>0</v>
      </c>
      <c r="K2122" s="15" t="n">
        <f aca="false">IF(B2122="SITE LOSS",IF(COUNTIFS('Site Dockets'!$B$7:$B$24,C2122,'Site Dockets'!$C$7:$C$24,F2122)&gt;0,1,0),IF(B2122="REGION LOSS",IF(COUNTIFS('Site Dockets'!$E$7:$E$24,C2122,'Site Dockets'!$C$7:$C$24,F2122)&gt;0,1,0),0))</f>
        <v>1</v>
      </c>
      <c r="L2122" s="15" t="n">
        <f aca="false">IF(J2122=1,0,Inputs!$B$11)</f>
        <v>100</v>
      </c>
      <c r="M2122" s="15" t="n">
        <f aca="false">IF(J2122=1,0,Inputs!$B$12)</f>
        <v>75</v>
      </c>
      <c r="N2122" s="15" t="n">
        <f aca="false">IF(J2122=1,0,IF(OR(AND(OR(B2122="SITE LOSS",B2122="REGION LOSS"),K2122=1),AND(B2122="ROLE COMPROMISE",H2122=C2122)),Inputs!$B$13,Inputs!$B$14))</f>
        <v>20</v>
      </c>
      <c r="O2122" s="15" t="n">
        <f aca="false">IF(J2122=1,0,Inputs!$B$13)</f>
        <v>20</v>
      </c>
      <c r="P2122" s="15" t="n">
        <f aca="false">SUM(M2122:N2122)</f>
        <v>95</v>
      </c>
      <c r="Q2122" s="15" t="n">
        <f aca="false">IF(J2122=1,"",L2122-P2122)</f>
        <v>5</v>
      </c>
      <c r="R2122" s="15" t="n">
        <f aca="false">IF(OR(J2122=1,M2122&lt;=Inputs!$B$12),1,0)</f>
        <v>1</v>
      </c>
      <c r="S2122" s="15" t="n">
        <f aca="false">IF(OR(J2122=1,N2122&lt;=O2122),1,0)</f>
        <v>1</v>
      </c>
      <c r="T2122" s="15" t="str">
        <f aca="false">IF(J2122=1,"OFFLINE",IF(AND(Q2122&gt;=Inputs!$B$15,R2122=1,S2122=1,P2122&lt;=L2122),"PASS","FAIL"))</f>
        <v>PASS</v>
      </c>
    </row>
    <row r="2123" customFormat="false" ht="15" hidden="false" customHeight="false" outlineLevel="0" collapsed="false">
      <c r="A2123" s="14" t="s">
        <v>1039</v>
      </c>
      <c r="B2123" s="14" t="s">
        <v>1038</v>
      </c>
      <c r="C2123" s="14" t="s">
        <v>166</v>
      </c>
      <c r="D2123" s="14" t="s">
        <v>186</v>
      </c>
      <c r="E2123" s="14" t="s">
        <v>157</v>
      </c>
      <c r="F2123" s="14" t="s">
        <v>183</v>
      </c>
      <c r="G2123" s="14" t="n">
        <v>2</v>
      </c>
      <c r="H2123" s="14" t="s">
        <v>153</v>
      </c>
      <c r="I2123" s="14" t="s">
        <v>897</v>
      </c>
      <c r="J2123" s="15" t="n">
        <f aca="false">IF(B2123="SITE LOSS",IF(D2123=C2123,1,0),IF(B2123="REGION LOSS",IF(E2123=C2123,1,0),0))</f>
        <v>0</v>
      </c>
      <c r="K2123" s="15" t="n">
        <f aca="false">IF(B2123="SITE LOSS",IF(COUNTIFS('Site Dockets'!$B$7:$B$24,C2123,'Site Dockets'!$C$7:$C$24,F2123)&gt;0,1,0),IF(B2123="REGION LOSS",IF(COUNTIFS('Site Dockets'!$E$7:$E$24,C2123,'Site Dockets'!$C$7:$C$24,F2123)&gt;0,1,0),0))</f>
        <v>1</v>
      </c>
      <c r="L2123" s="15" t="n">
        <f aca="false">IF(J2123=1,0,Inputs!$B$11)</f>
        <v>100</v>
      </c>
      <c r="M2123" s="15" t="n">
        <f aca="false">IF(J2123=1,0,Inputs!$B$12)</f>
        <v>75</v>
      </c>
      <c r="N2123" s="15" t="n">
        <f aca="false">IF(J2123=1,0,IF(OR(AND(OR(B2123="SITE LOSS",B2123="REGION LOSS"),K2123=1),AND(B2123="ROLE COMPROMISE",H2123=C2123)),Inputs!$B$13,Inputs!$B$14))</f>
        <v>20</v>
      </c>
      <c r="O2123" s="15" t="n">
        <f aca="false">IF(J2123=1,0,Inputs!$B$13)</f>
        <v>20</v>
      </c>
      <c r="P2123" s="15" t="n">
        <f aca="false">SUM(M2123:N2123)</f>
        <v>95</v>
      </c>
      <c r="Q2123" s="15" t="n">
        <f aca="false">IF(J2123=1,"",L2123-P2123)</f>
        <v>5</v>
      </c>
      <c r="R2123" s="15" t="n">
        <f aca="false">IF(OR(J2123=1,M2123&lt;=Inputs!$B$12),1,0)</f>
        <v>1</v>
      </c>
      <c r="S2123" s="15" t="n">
        <f aca="false">IF(OR(J2123=1,N2123&lt;=O2123),1,0)</f>
        <v>1</v>
      </c>
      <c r="T2123" s="15" t="str">
        <f aca="false">IF(J2123=1,"OFFLINE",IF(AND(Q2123&gt;=Inputs!$B$15,R2123=1,S2123=1,P2123&lt;=L2123),"PASS","FAIL"))</f>
        <v>PASS</v>
      </c>
    </row>
    <row r="2124" customFormat="false" ht="15" hidden="false" customHeight="false" outlineLevel="0" collapsed="false">
      <c r="A2124" s="14" t="s">
        <v>1039</v>
      </c>
      <c r="B2124" s="14" t="s">
        <v>1038</v>
      </c>
      <c r="C2124" s="14" t="s">
        <v>166</v>
      </c>
      <c r="D2124" s="14" t="s">
        <v>186</v>
      </c>
      <c r="E2124" s="14" t="s">
        <v>157</v>
      </c>
      <c r="F2124" s="14" t="s">
        <v>183</v>
      </c>
      <c r="G2124" s="14" t="n">
        <v>2</v>
      </c>
      <c r="H2124" s="14" t="s">
        <v>153</v>
      </c>
      <c r="I2124" s="14" t="s">
        <v>899</v>
      </c>
      <c r="J2124" s="15" t="n">
        <f aca="false">IF(B2124="SITE LOSS",IF(D2124=C2124,1,0),IF(B2124="REGION LOSS",IF(E2124=C2124,1,0),0))</f>
        <v>0</v>
      </c>
      <c r="K2124" s="15" t="n">
        <f aca="false">IF(B2124="SITE LOSS",IF(COUNTIFS('Site Dockets'!$B$7:$B$24,C2124,'Site Dockets'!$C$7:$C$24,F2124)&gt;0,1,0),IF(B2124="REGION LOSS",IF(COUNTIFS('Site Dockets'!$E$7:$E$24,C2124,'Site Dockets'!$C$7:$C$24,F2124)&gt;0,1,0),0))</f>
        <v>1</v>
      </c>
      <c r="L2124" s="15" t="n">
        <f aca="false">IF(J2124=1,0,Inputs!$B$11)</f>
        <v>100</v>
      </c>
      <c r="M2124" s="15" t="n">
        <f aca="false">IF(J2124=1,0,Inputs!$B$12)</f>
        <v>75</v>
      </c>
      <c r="N2124" s="15" t="n">
        <f aca="false">IF(J2124=1,0,IF(OR(AND(OR(B2124="SITE LOSS",B2124="REGION LOSS"),K2124=1),AND(B2124="ROLE COMPROMISE",H2124=C2124)),Inputs!$B$13,Inputs!$B$14))</f>
        <v>20</v>
      </c>
      <c r="O2124" s="15" t="n">
        <f aca="false">IF(J2124=1,0,Inputs!$B$13)</f>
        <v>20</v>
      </c>
      <c r="P2124" s="15" t="n">
        <f aca="false">SUM(M2124:N2124)</f>
        <v>95</v>
      </c>
      <c r="Q2124" s="15" t="n">
        <f aca="false">IF(J2124=1,"",L2124-P2124)</f>
        <v>5</v>
      </c>
      <c r="R2124" s="15" t="n">
        <f aca="false">IF(OR(J2124=1,M2124&lt;=Inputs!$B$12),1,0)</f>
        <v>1</v>
      </c>
      <c r="S2124" s="15" t="n">
        <f aca="false">IF(OR(J2124=1,N2124&lt;=O2124),1,0)</f>
        <v>1</v>
      </c>
      <c r="T2124" s="15" t="str">
        <f aca="false">IF(J2124=1,"OFFLINE",IF(AND(Q2124&gt;=Inputs!$B$15,R2124=1,S2124=1,P2124&lt;=L2124),"PASS","FAIL"))</f>
        <v>PASS</v>
      </c>
    </row>
    <row r="2125" customFormat="false" ht="15" hidden="false" customHeight="false" outlineLevel="0" collapsed="false">
      <c r="A2125" s="14" t="s">
        <v>1039</v>
      </c>
      <c r="B2125" s="14" t="s">
        <v>1038</v>
      </c>
      <c r="C2125" s="14" t="s">
        <v>166</v>
      </c>
      <c r="D2125" s="14" t="s">
        <v>188</v>
      </c>
      <c r="E2125" s="14" t="s">
        <v>172</v>
      </c>
      <c r="F2125" s="14" t="s">
        <v>183</v>
      </c>
      <c r="G2125" s="14" t="n">
        <v>3</v>
      </c>
      <c r="H2125" s="14" t="s">
        <v>158</v>
      </c>
      <c r="I2125" s="14" t="s">
        <v>890</v>
      </c>
      <c r="J2125" s="15" t="n">
        <f aca="false">IF(B2125="SITE LOSS",IF(D2125=C2125,1,0),IF(B2125="REGION LOSS",IF(E2125=C2125,1,0),0))</f>
        <v>0</v>
      </c>
      <c r="K2125" s="15" t="n">
        <f aca="false">IF(B2125="SITE LOSS",IF(COUNTIFS('Site Dockets'!$B$7:$B$24,C2125,'Site Dockets'!$C$7:$C$24,F2125)&gt;0,1,0),IF(B2125="REGION LOSS",IF(COUNTIFS('Site Dockets'!$E$7:$E$24,C2125,'Site Dockets'!$C$7:$C$24,F2125)&gt;0,1,0),0))</f>
        <v>1</v>
      </c>
      <c r="L2125" s="15" t="n">
        <f aca="false">IF(J2125=1,0,Inputs!$B$11)</f>
        <v>100</v>
      </c>
      <c r="M2125" s="15" t="n">
        <f aca="false">IF(J2125=1,0,Inputs!$B$12)</f>
        <v>75</v>
      </c>
      <c r="N2125" s="15" t="n">
        <f aca="false">IF(J2125=1,0,IF(OR(AND(OR(B2125="SITE LOSS",B2125="REGION LOSS"),K2125=1),AND(B2125="ROLE COMPROMISE",H2125=C2125)),Inputs!$B$13,Inputs!$B$14))</f>
        <v>20</v>
      </c>
      <c r="O2125" s="15" t="n">
        <f aca="false">IF(J2125=1,0,Inputs!$B$13)</f>
        <v>20</v>
      </c>
      <c r="P2125" s="15" t="n">
        <f aca="false">SUM(M2125:N2125)</f>
        <v>95</v>
      </c>
      <c r="Q2125" s="15" t="n">
        <f aca="false">IF(J2125=1,"",L2125-P2125)</f>
        <v>5</v>
      </c>
      <c r="R2125" s="15" t="n">
        <f aca="false">IF(OR(J2125=1,M2125&lt;=Inputs!$B$12),1,0)</f>
        <v>1</v>
      </c>
      <c r="S2125" s="15" t="n">
        <f aca="false">IF(OR(J2125=1,N2125&lt;=O2125),1,0)</f>
        <v>1</v>
      </c>
      <c r="T2125" s="15" t="str">
        <f aca="false">IF(J2125=1,"OFFLINE",IF(AND(Q2125&gt;=Inputs!$B$15,R2125=1,S2125=1,P2125&lt;=L2125),"PASS","FAIL"))</f>
        <v>PASS</v>
      </c>
    </row>
    <row r="2126" customFormat="false" ht="15" hidden="false" customHeight="false" outlineLevel="0" collapsed="false">
      <c r="A2126" s="14" t="s">
        <v>1039</v>
      </c>
      <c r="B2126" s="14" t="s">
        <v>1038</v>
      </c>
      <c r="C2126" s="14" t="s">
        <v>166</v>
      </c>
      <c r="D2126" s="14" t="s">
        <v>188</v>
      </c>
      <c r="E2126" s="14" t="s">
        <v>172</v>
      </c>
      <c r="F2126" s="14" t="s">
        <v>183</v>
      </c>
      <c r="G2126" s="14" t="n">
        <v>3</v>
      </c>
      <c r="H2126" s="14" t="s">
        <v>158</v>
      </c>
      <c r="I2126" s="14" t="s">
        <v>892</v>
      </c>
      <c r="J2126" s="15" t="n">
        <f aca="false">IF(B2126="SITE LOSS",IF(D2126=C2126,1,0),IF(B2126="REGION LOSS",IF(E2126=C2126,1,0),0))</f>
        <v>0</v>
      </c>
      <c r="K2126" s="15" t="n">
        <f aca="false">IF(B2126="SITE LOSS",IF(COUNTIFS('Site Dockets'!$B$7:$B$24,C2126,'Site Dockets'!$C$7:$C$24,F2126)&gt;0,1,0),IF(B2126="REGION LOSS",IF(COUNTIFS('Site Dockets'!$E$7:$E$24,C2126,'Site Dockets'!$C$7:$C$24,F2126)&gt;0,1,0),0))</f>
        <v>1</v>
      </c>
      <c r="L2126" s="15" t="n">
        <f aca="false">IF(J2126=1,0,Inputs!$B$11)</f>
        <v>100</v>
      </c>
      <c r="M2126" s="15" t="n">
        <f aca="false">IF(J2126=1,0,Inputs!$B$12)</f>
        <v>75</v>
      </c>
      <c r="N2126" s="15" t="n">
        <f aca="false">IF(J2126=1,0,IF(OR(AND(OR(B2126="SITE LOSS",B2126="REGION LOSS"),K2126=1),AND(B2126="ROLE COMPROMISE",H2126=C2126)),Inputs!$B$13,Inputs!$B$14))</f>
        <v>20</v>
      </c>
      <c r="O2126" s="15" t="n">
        <f aca="false">IF(J2126=1,0,Inputs!$B$13)</f>
        <v>20</v>
      </c>
      <c r="P2126" s="15" t="n">
        <f aca="false">SUM(M2126:N2126)</f>
        <v>95</v>
      </c>
      <c r="Q2126" s="15" t="n">
        <f aca="false">IF(J2126=1,"",L2126-P2126)</f>
        <v>5</v>
      </c>
      <c r="R2126" s="15" t="n">
        <f aca="false">IF(OR(J2126=1,M2126&lt;=Inputs!$B$12),1,0)</f>
        <v>1</v>
      </c>
      <c r="S2126" s="15" t="n">
        <f aca="false">IF(OR(J2126=1,N2126&lt;=O2126),1,0)</f>
        <v>1</v>
      </c>
      <c r="T2126" s="15" t="str">
        <f aca="false">IF(J2126=1,"OFFLINE",IF(AND(Q2126&gt;=Inputs!$B$15,R2126=1,S2126=1,P2126&lt;=L2126),"PASS","FAIL"))</f>
        <v>PASS</v>
      </c>
    </row>
    <row r="2127" customFormat="false" ht="15" hidden="false" customHeight="false" outlineLevel="0" collapsed="false">
      <c r="A2127" s="14" t="s">
        <v>1039</v>
      </c>
      <c r="B2127" s="14" t="s">
        <v>1038</v>
      </c>
      <c r="C2127" s="14" t="s">
        <v>166</v>
      </c>
      <c r="D2127" s="14" t="s">
        <v>188</v>
      </c>
      <c r="E2127" s="14" t="s">
        <v>172</v>
      </c>
      <c r="F2127" s="14" t="s">
        <v>183</v>
      </c>
      <c r="G2127" s="14" t="n">
        <v>3</v>
      </c>
      <c r="H2127" s="14" t="s">
        <v>158</v>
      </c>
      <c r="I2127" s="14" t="s">
        <v>811</v>
      </c>
      <c r="J2127" s="15" t="n">
        <f aca="false">IF(B2127="SITE LOSS",IF(D2127=C2127,1,0),IF(B2127="REGION LOSS",IF(E2127=C2127,1,0),0))</f>
        <v>0</v>
      </c>
      <c r="K2127" s="15" t="n">
        <f aca="false">IF(B2127="SITE LOSS",IF(COUNTIFS('Site Dockets'!$B$7:$B$24,C2127,'Site Dockets'!$C$7:$C$24,F2127)&gt;0,1,0),IF(B2127="REGION LOSS",IF(COUNTIFS('Site Dockets'!$E$7:$E$24,C2127,'Site Dockets'!$C$7:$C$24,F2127)&gt;0,1,0),0))</f>
        <v>1</v>
      </c>
      <c r="L2127" s="15" t="n">
        <f aca="false">IF(J2127=1,0,Inputs!$B$11)</f>
        <v>100</v>
      </c>
      <c r="M2127" s="15" t="n">
        <f aca="false">IF(J2127=1,0,Inputs!$B$12)</f>
        <v>75</v>
      </c>
      <c r="N2127" s="15" t="n">
        <f aca="false">IF(J2127=1,0,IF(OR(AND(OR(B2127="SITE LOSS",B2127="REGION LOSS"),K2127=1),AND(B2127="ROLE COMPROMISE",H2127=C2127)),Inputs!$B$13,Inputs!$B$14))</f>
        <v>20</v>
      </c>
      <c r="O2127" s="15" t="n">
        <f aca="false">IF(J2127=1,0,Inputs!$B$13)</f>
        <v>20</v>
      </c>
      <c r="P2127" s="15" t="n">
        <f aca="false">SUM(M2127:N2127)</f>
        <v>95</v>
      </c>
      <c r="Q2127" s="15" t="n">
        <f aca="false">IF(J2127=1,"",L2127-P2127)</f>
        <v>5</v>
      </c>
      <c r="R2127" s="15" t="n">
        <f aca="false">IF(OR(J2127=1,M2127&lt;=Inputs!$B$12),1,0)</f>
        <v>1</v>
      </c>
      <c r="S2127" s="15" t="n">
        <f aca="false">IF(OR(J2127=1,N2127&lt;=O2127),1,0)</f>
        <v>1</v>
      </c>
      <c r="T2127" s="15" t="str">
        <f aca="false">IF(J2127=1,"OFFLINE",IF(AND(Q2127&gt;=Inputs!$B$15,R2127=1,S2127=1,P2127&lt;=L2127),"PASS","FAIL"))</f>
        <v>PASS</v>
      </c>
    </row>
    <row r="2128" customFormat="false" ht="15" hidden="false" customHeight="false" outlineLevel="0" collapsed="false">
      <c r="A2128" s="14" t="s">
        <v>1039</v>
      </c>
      <c r="B2128" s="14" t="s">
        <v>1038</v>
      </c>
      <c r="C2128" s="14" t="s">
        <v>166</v>
      </c>
      <c r="D2128" s="14" t="s">
        <v>188</v>
      </c>
      <c r="E2128" s="14" t="s">
        <v>172</v>
      </c>
      <c r="F2128" s="14" t="s">
        <v>183</v>
      </c>
      <c r="G2128" s="14" t="n">
        <v>3</v>
      </c>
      <c r="H2128" s="14" t="s">
        <v>158</v>
      </c>
      <c r="I2128" s="14" t="s">
        <v>895</v>
      </c>
      <c r="J2128" s="15" t="n">
        <f aca="false">IF(B2128="SITE LOSS",IF(D2128=C2128,1,0),IF(B2128="REGION LOSS",IF(E2128=C2128,1,0),0))</f>
        <v>0</v>
      </c>
      <c r="K2128" s="15" t="n">
        <f aca="false">IF(B2128="SITE LOSS",IF(COUNTIFS('Site Dockets'!$B$7:$B$24,C2128,'Site Dockets'!$C$7:$C$24,F2128)&gt;0,1,0),IF(B2128="REGION LOSS",IF(COUNTIFS('Site Dockets'!$E$7:$E$24,C2128,'Site Dockets'!$C$7:$C$24,F2128)&gt;0,1,0),0))</f>
        <v>1</v>
      </c>
      <c r="L2128" s="15" t="n">
        <f aca="false">IF(J2128=1,0,Inputs!$B$11)</f>
        <v>100</v>
      </c>
      <c r="M2128" s="15" t="n">
        <f aca="false">IF(J2128=1,0,Inputs!$B$12)</f>
        <v>75</v>
      </c>
      <c r="N2128" s="15" t="n">
        <f aca="false">IF(J2128=1,0,IF(OR(AND(OR(B2128="SITE LOSS",B2128="REGION LOSS"),K2128=1),AND(B2128="ROLE COMPROMISE",H2128=C2128)),Inputs!$B$13,Inputs!$B$14))</f>
        <v>20</v>
      </c>
      <c r="O2128" s="15" t="n">
        <f aca="false">IF(J2128=1,0,Inputs!$B$13)</f>
        <v>20</v>
      </c>
      <c r="P2128" s="15" t="n">
        <f aca="false">SUM(M2128:N2128)</f>
        <v>95</v>
      </c>
      <c r="Q2128" s="15" t="n">
        <f aca="false">IF(J2128=1,"",L2128-P2128)</f>
        <v>5</v>
      </c>
      <c r="R2128" s="15" t="n">
        <f aca="false">IF(OR(J2128=1,M2128&lt;=Inputs!$B$12),1,0)</f>
        <v>1</v>
      </c>
      <c r="S2128" s="15" t="n">
        <f aca="false">IF(OR(J2128=1,N2128&lt;=O2128),1,0)</f>
        <v>1</v>
      </c>
      <c r="T2128" s="15" t="str">
        <f aca="false">IF(J2128=1,"OFFLINE",IF(AND(Q2128&gt;=Inputs!$B$15,R2128=1,S2128=1,P2128&lt;=L2128),"PASS","FAIL"))</f>
        <v>PASS</v>
      </c>
    </row>
    <row r="2129" customFormat="false" ht="15" hidden="false" customHeight="false" outlineLevel="0" collapsed="false">
      <c r="A2129" s="14" t="s">
        <v>1039</v>
      </c>
      <c r="B2129" s="14" t="s">
        <v>1038</v>
      </c>
      <c r="C2129" s="14" t="s">
        <v>166</v>
      </c>
      <c r="D2129" s="14" t="s">
        <v>188</v>
      </c>
      <c r="E2129" s="14" t="s">
        <v>172</v>
      </c>
      <c r="F2129" s="14" t="s">
        <v>183</v>
      </c>
      <c r="G2129" s="14" t="n">
        <v>3</v>
      </c>
      <c r="H2129" s="14" t="s">
        <v>158</v>
      </c>
      <c r="I2129" s="14" t="s">
        <v>897</v>
      </c>
      <c r="J2129" s="15" t="n">
        <f aca="false">IF(B2129="SITE LOSS",IF(D2129=C2129,1,0),IF(B2129="REGION LOSS",IF(E2129=C2129,1,0),0))</f>
        <v>0</v>
      </c>
      <c r="K2129" s="15" t="n">
        <f aca="false">IF(B2129="SITE LOSS",IF(COUNTIFS('Site Dockets'!$B$7:$B$24,C2129,'Site Dockets'!$C$7:$C$24,F2129)&gt;0,1,0),IF(B2129="REGION LOSS",IF(COUNTIFS('Site Dockets'!$E$7:$E$24,C2129,'Site Dockets'!$C$7:$C$24,F2129)&gt;0,1,0),0))</f>
        <v>1</v>
      </c>
      <c r="L2129" s="15" t="n">
        <f aca="false">IF(J2129=1,0,Inputs!$B$11)</f>
        <v>100</v>
      </c>
      <c r="M2129" s="15" t="n">
        <f aca="false">IF(J2129=1,0,Inputs!$B$12)</f>
        <v>75</v>
      </c>
      <c r="N2129" s="15" t="n">
        <f aca="false">IF(J2129=1,0,IF(OR(AND(OR(B2129="SITE LOSS",B2129="REGION LOSS"),K2129=1),AND(B2129="ROLE COMPROMISE",H2129=C2129)),Inputs!$B$13,Inputs!$B$14))</f>
        <v>20</v>
      </c>
      <c r="O2129" s="15" t="n">
        <f aca="false">IF(J2129=1,0,Inputs!$B$13)</f>
        <v>20</v>
      </c>
      <c r="P2129" s="15" t="n">
        <f aca="false">SUM(M2129:N2129)</f>
        <v>95</v>
      </c>
      <c r="Q2129" s="15" t="n">
        <f aca="false">IF(J2129=1,"",L2129-P2129)</f>
        <v>5</v>
      </c>
      <c r="R2129" s="15" t="n">
        <f aca="false">IF(OR(J2129=1,M2129&lt;=Inputs!$B$12),1,0)</f>
        <v>1</v>
      </c>
      <c r="S2129" s="15" t="n">
        <f aca="false">IF(OR(J2129=1,N2129&lt;=O2129),1,0)</f>
        <v>1</v>
      </c>
      <c r="T2129" s="15" t="str">
        <f aca="false">IF(J2129=1,"OFFLINE",IF(AND(Q2129&gt;=Inputs!$B$15,R2129=1,S2129=1,P2129&lt;=L2129),"PASS","FAIL"))</f>
        <v>PASS</v>
      </c>
    </row>
    <row r="2130" customFormat="false" ht="15" hidden="false" customHeight="false" outlineLevel="0" collapsed="false">
      <c r="A2130" s="14" t="s">
        <v>1039</v>
      </c>
      <c r="B2130" s="14" t="s">
        <v>1038</v>
      </c>
      <c r="C2130" s="14" t="s">
        <v>166</v>
      </c>
      <c r="D2130" s="14" t="s">
        <v>188</v>
      </c>
      <c r="E2130" s="14" t="s">
        <v>172</v>
      </c>
      <c r="F2130" s="14" t="s">
        <v>183</v>
      </c>
      <c r="G2130" s="14" t="n">
        <v>3</v>
      </c>
      <c r="H2130" s="14" t="s">
        <v>158</v>
      </c>
      <c r="I2130" s="14" t="s">
        <v>899</v>
      </c>
      <c r="J2130" s="15" t="n">
        <f aca="false">IF(B2130="SITE LOSS",IF(D2130=C2130,1,0),IF(B2130="REGION LOSS",IF(E2130=C2130,1,0),0))</f>
        <v>0</v>
      </c>
      <c r="K2130" s="15" t="n">
        <f aca="false">IF(B2130="SITE LOSS",IF(COUNTIFS('Site Dockets'!$B$7:$B$24,C2130,'Site Dockets'!$C$7:$C$24,F2130)&gt;0,1,0),IF(B2130="REGION LOSS",IF(COUNTIFS('Site Dockets'!$E$7:$E$24,C2130,'Site Dockets'!$C$7:$C$24,F2130)&gt;0,1,0),0))</f>
        <v>1</v>
      </c>
      <c r="L2130" s="15" t="n">
        <f aca="false">IF(J2130=1,0,Inputs!$B$11)</f>
        <v>100</v>
      </c>
      <c r="M2130" s="15" t="n">
        <f aca="false">IF(J2130=1,0,Inputs!$B$12)</f>
        <v>75</v>
      </c>
      <c r="N2130" s="15" t="n">
        <f aca="false">IF(J2130=1,0,IF(OR(AND(OR(B2130="SITE LOSS",B2130="REGION LOSS"),K2130=1),AND(B2130="ROLE COMPROMISE",H2130=C2130)),Inputs!$B$13,Inputs!$B$14))</f>
        <v>20</v>
      </c>
      <c r="O2130" s="15" t="n">
        <f aca="false">IF(J2130=1,0,Inputs!$B$13)</f>
        <v>20</v>
      </c>
      <c r="P2130" s="15" t="n">
        <f aca="false">SUM(M2130:N2130)</f>
        <v>95</v>
      </c>
      <c r="Q2130" s="15" t="n">
        <f aca="false">IF(J2130=1,"",L2130-P2130)</f>
        <v>5</v>
      </c>
      <c r="R2130" s="15" t="n">
        <f aca="false">IF(OR(J2130=1,M2130&lt;=Inputs!$B$12),1,0)</f>
        <v>1</v>
      </c>
      <c r="S2130" s="15" t="n">
        <f aca="false">IF(OR(J2130=1,N2130&lt;=O2130),1,0)</f>
        <v>1</v>
      </c>
      <c r="T2130" s="15" t="str">
        <f aca="false">IF(J2130=1,"OFFLINE",IF(AND(Q2130&gt;=Inputs!$B$15,R2130=1,S2130=1,P2130&lt;=L2130),"PASS","FAIL"))</f>
        <v>PASS</v>
      </c>
    </row>
    <row r="2131" customFormat="false" ht="15" hidden="false" customHeight="false" outlineLevel="0" collapsed="false">
      <c r="A2131" s="14" t="s">
        <v>1039</v>
      </c>
      <c r="B2131" s="14" t="s">
        <v>1038</v>
      </c>
      <c r="C2131" s="14" t="s">
        <v>166</v>
      </c>
      <c r="D2131" s="14" t="s">
        <v>190</v>
      </c>
      <c r="E2131" s="14" t="s">
        <v>152</v>
      </c>
      <c r="F2131" s="14" t="s">
        <v>191</v>
      </c>
      <c r="G2131" s="14" t="n">
        <v>1</v>
      </c>
      <c r="H2131" s="14" t="s">
        <v>154</v>
      </c>
      <c r="I2131" s="14" t="s">
        <v>890</v>
      </c>
      <c r="J2131" s="15" t="n">
        <f aca="false">IF(B2131="SITE LOSS",IF(D2131=C2131,1,0),IF(B2131="REGION LOSS",IF(E2131=C2131,1,0),0))</f>
        <v>0</v>
      </c>
      <c r="K2131" s="15" t="n">
        <f aca="false">IF(B2131="SITE LOSS",IF(COUNTIFS('Site Dockets'!$B$7:$B$24,C2131,'Site Dockets'!$C$7:$C$24,F2131)&gt;0,1,0),IF(B2131="REGION LOSS",IF(COUNTIFS('Site Dockets'!$E$7:$E$24,C2131,'Site Dockets'!$C$7:$C$24,F2131)&gt;0,1,0),0))</f>
        <v>0</v>
      </c>
      <c r="L2131" s="15" t="n">
        <f aca="false">IF(J2131=1,0,Inputs!$B$11)</f>
        <v>100</v>
      </c>
      <c r="M2131" s="15" t="n">
        <f aca="false">IF(J2131=1,0,Inputs!$B$12)</f>
        <v>75</v>
      </c>
      <c r="N2131" s="15" t="n">
        <f aca="false">IF(J2131=1,0,IF(OR(AND(OR(B2131="SITE LOSS",B2131="REGION LOSS"),K2131=1),AND(B2131="ROLE COMPROMISE",H2131=C2131)),Inputs!$B$13,Inputs!$B$14))</f>
        <v>10</v>
      </c>
      <c r="O2131" s="15" t="n">
        <f aca="false">IF(J2131=1,0,Inputs!$B$13)</f>
        <v>20</v>
      </c>
      <c r="P2131" s="15" t="n">
        <f aca="false">SUM(M2131:N2131)</f>
        <v>85</v>
      </c>
      <c r="Q2131" s="15" t="n">
        <f aca="false">IF(J2131=1,"",L2131-P2131)</f>
        <v>15</v>
      </c>
      <c r="R2131" s="15" t="n">
        <f aca="false">IF(OR(J2131=1,M2131&lt;=Inputs!$B$12),1,0)</f>
        <v>1</v>
      </c>
      <c r="S2131" s="15" t="n">
        <f aca="false">IF(OR(J2131=1,N2131&lt;=O2131),1,0)</f>
        <v>1</v>
      </c>
      <c r="T2131" s="15" t="str">
        <f aca="false">IF(J2131=1,"OFFLINE",IF(AND(Q2131&gt;=Inputs!$B$15,R2131=1,S2131=1,P2131&lt;=L2131),"PASS","FAIL"))</f>
        <v>PASS</v>
      </c>
    </row>
    <row r="2132" customFormat="false" ht="15" hidden="false" customHeight="false" outlineLevel="0" collapsed="false">
      <c r="A2132" s="14" t="s">
        <v>1039</v>
      </c>
      <c r="B2132" s="14" t="s">
        <v>1038</v>
      </c>
      <c r="C2132" s="14" t="s">
        <v>166</v>
      </c>
      <c r="D2132" s="14" t="s">
        <v>190</v>
      </c>
      <c r="E2132" s="14" t="s">
        <v>152</v>
      </c>
      <c r="F2132" s="14" t="s">
        <v>191</v>
      </c>
      <c r="G2132" s="14" t="n">
        <v>1</v>
      </c>
      <c r="H2132" s="14" t="s">
        <v>154</v>
      </c>
      <c r="I2132" s="14" t="s">
        <v>892</v>
      </c>
      <c r="J2132" s="15" t="n">
        <f aca="false">IF(B2132="SITE LOSS",IF(D2132=C2132,1,0),IF(B2132="REGION LOSS",IF(E2132=C2132,1,0),0))</f>
        <v>0</v>
      </c>
      <c r="K2132" s="15" t="n">
        <f aca="false">IF(B2132="SITE LOSS",IF(COUNTIFS('Site Dockets'!$B$7:$B$24,C2132,'Site Dockets'!$C$7:$C$24,F2132)&gt;0,1,0),IF(B2132="REGION LOSS",IF(COUNTIFS('Site Dockets'!$E$7:$E$24,C2132,'Site Dockets'!$C$7:$C$24,F2132)&gt;0,1,0),0))</f>
        <v>0</v>
      </c>
      <c r="L2132" s="15" t="n">
        <f aca="false">IF(J2132=1,0,Inputs!$B$11)</f>
        <v>100</v>
      </c>
      <c r="M2132" s="15" t="n">
        <f aca="false">IF(J2132=1,0,Inputs!$B$12)</f>
        <v>75</v>
      </c>
      <c r="N2132" s="15" t="n">
        <f aca="false">IF(J2132=1,0,IF(OR(AND(OR(B2132="SITE LOSS",B2132="REGION LOSS"),K2132=1),AND(B2132="ROLE COMPROMISE",H2132=C2132)),Inputs!$B$13,Inputs!$B$14))</f>
        <v>10</v>
      </c>
      <c r="O2132" s="15" t="n">
        <f aca="false">IF(J2132=1,0,Inputs!$B$13)</f>
        <v>20</v>
      </c>
      <c r="P2132" s="15" t="n">
        <f aca="false">SUM(M2132:N2132)</f>
        <v>85</v>
      </c>
      <c r="Q2132" s="15" t="n">
        <f aca="false">IF(J2132=1,"",L2132-P2132)</f>
        <v>15</v>
      </c>
      <c r="R2132" s="15" t="n">
        <f aca="false">IF(OR(J2132=1,M2132&lt;=Inputs!$B$12),1,0)</f>
        <v>1</v>
      </c>
      <c r="S2132" s="15" t="n">
        <f aca="false">IF(OR(J2132=1,N2132&lt;=O2132),1,0)</f>
        <v>1</v>
      </c>
      <c r="T2132" s="15" t="str">
        <f aca="false">IF(J2132=1,"OFFLINE",IF(AND(Q2132&gt;=Inputs!$B$15,R2132=1,S2132=1,P2132&lt;=L2132),"PASS","FAIL"))</f>
        <v>PASS</v>
      </c>
    </row>
    <row r="2133" customFormat="false" ht="15" hidden="false" customHeight="false" outlineLevel="0" collapsed="false">
      <c r="A2133" s="14" t="s">
        <v>1039</v>
      </c>
      <c r="B2133" s="14" t="s">
        <v>1038</v>
      </c>
      <c r="C2133" s="14" t="s">
        <v>166</v>
      </c>
      <c r="D2133" s="14" t="s">
        <v>190</v>
      </c>
      <c r="E2133" s="14" t="s">
        <v>152</v>
      </c>
      <c r="F2133" s="14" t="s">
        <v>191</v>
      </c>
      <c r="G2133" s="14" t="n">
        <v>1</v>
      </c>
      <c r="H2133" s="14" t="s">
        <v>154</v>
      </c>
      <c r="I2133" s="14" t="s">
        <v>811</v>
      </c>
      <c r="J2133" s="15" t="n">
        <f aca="false">IF(B2133="SITE LOSS",IF(D2133=C2133,1,0),IF(B2133="REGION LOSS",IF(E2133=C2133,1,0),0))</f>
        <v>0</v>
      </c>
      <c r="K2133" s="15" t="n">
        <f aca="false">IF(B2133="SITE LOSS",IF(COUNTIFS('Site Dockets'!$B$7:$B$24,C2133,'Site Dockets'!$C$7:$C$24,F2133)&gt;0,1,0),IF(B2133="REGION LOSS",IF(COUNTIFS('Site Dockets'!$E$7:$E$24,C2133,'Site Dockets'!$C$7:$C$24,F2133)&gt;0,1,0),0))</f>
        <v>0</v>
      </c>
      <c r="L2133" s="15" t="n">
        <f aca="false">IF(J2133=1,0,Inputs!$B$11)</f>
        <v>100</v>
      </c>
      <c r="M2133" s="15" t="n">
        <f aca="false">IF(J2133=1,0,Inputs!$B$12)</f>
        <v>75</v>
      </c>
      <c r="N2133" s="15" t="n">
        <f aca="false">IF(J2133=1,0,IF(OR(AND(OR(B2133="SITE LOSS",B2133="REGION LOSS"),K2133=1),AND(B2133="ROLE COMPROMISE",H2133=C2133)),Inputs!$B$13,Inputs!$B$14))</f>
        <v>10</v>
      </c>
      <c r="O2133" s="15" t="n">
        <f aca="false">IF(J2133=1,0,Inputs!$B$13)</f>
        <v>20</v>
      </c>
      <c r="P2133" s="15" t="n">
        <f aca="false">SUM(M2133:N2133)</f>
        <v>85</v>
      </c>
      <c r="Q2133" s="15" t="n">
        <f aca="false">IF(J2133=1,"",L2133-P2133)</f>
        <v>15</v>
      </c>
      <c r="R2133" s="15" t="n">
        <f aca="false">IF(OR(J2133=1,M2133&lt;=Inputs!$B$12),1,0)</f>
        <v>1</v>
      </c>
      <c r="S2133" s="15" t="n">
        <f aca="false">IF(OR(J2133=1,N2133&lt;=O2133),1,0)</f>
        <v>1</v>
      </c>
      <c r="T2133" s="15" t="str">
        <f aca="false">IF(J2133=1,"OFFLINE",IF(AND(Q2133&gt;=Inputs!$B$15,R2133=1,S2133=1,P2133&lt;=L2133),"PASS","FAIL"))</f>
        <v>PASS</v>
      </c>
    </row>
    <row r="2134" customFormat="false" ht="15" hidden="false" customHeight="false" outlineLevel="0" collapsed="false">
      <c r="A2134" s="14" t="s">
        <v>1039</v>
      </c>
      <c r="B2134" s="14" t="s">
        <v>1038</v>
      </c>
      <c r="C2134" s="14" t="s">
        <v>166</v>
      </c>
      <c r="D2134" s="14" t="s">
        <v>190</v>
      </c>
      <c r="E2134" s="14" t="s">
        <v>152</v>
      </c>
      <c r="F2134" s="14" t="s">
        <v>191</v>
      </c>
      <c r="G2134" s="14" t="n">
        <v>1</v>
      </c>
      <c r="H2134" s="14" t="s">
        <v>154</v>
      </c>
      <c r="I2134" s="14" t="s">
        <v>895</v>
      </c>
      <c r="J2134" s="15" t="n">
        <f aca="false">IF(B2134="SITE LOSS",IF(D2134=C2134,1,0),IF(B2134="REGION LOSS",IF(E2134=C2134,1,0),0))</f>
        <v>0</v>
      </c>
      <c r="K2134" s="15" t="n">
        <f aca="false">IF(B2134="SITE LOSS",IF(COUNTIFS('Site Dockets'!$B$7:$B$24,C2134,'Site Dockets'!$C$7:$C$24,F2134)&gt;0,1,0),IF(B2134="REGION LOSS",IF(COUNTIFS('Site Dockets'!$E$7:$E$24,C2134,'Site Dockets'!$C$7:$C$24,F2134)&gt;0,1,0),0))</f>
        <v>0</v>
      </c>
      <c r="L2134" s="15" t="n">
        <f aca="false">IF(J2134=1,0,Inputs!$B$11)</f>
        <v>100</v>
      </c>
      <c r="M2134" s="15" t="n">
        <f aca="false">IF(J2134=1,0,Inputs!$B$12)</f>
        <v>75</v>
      </c>
      <c r="N2134" s="15" t="n">
        <f aca="false">IF(J2134=1,0,IF(OR(AND(OR(B2134="SITE LOSS",B2134="REGION LOSS"),K2134=1),AND(B2134="ROLE COMPROMISE",H2134=C2134)),Inputs!$B$13,Inputs!$B$14))</f>
        <v>10</v>
      </c>
      <c r="O2134" s="15" t="n">
        <f aca="false">IF(J2134=1,0,Inputs!$B$13)</f>
        <v>20</v>
      </c>
      <c r="P2134" s="15" t="n">
        <f aca="false">SUM(M2134:N2134)</f>
        <v>85</v>
      </c>
      <c r="Q2134" s="15" t="n">
        <f aca="false">IF(J2134=1,"",L2134-P2134)</f>
        <v>15</v>
      </c>
      <c r="R2134" s="15" t="n">
        <f aca="false">IF(OR(J2134=1,M2134&lt;=Inputs!$B$12),1,0)</f>
        <v>1</v>
      </c>
      <c r="S2134" s="15" t="n">
        <f aca="false">IF(OR(J2134=1,N2134&lt;=O2134),1,0)</f>
        <v>1</v>
      </c>
      <c r="T2134" s="15" t="str">
        <f aca="false">IF(J2134=1,"OFFLINE",IF(AND(Q2134&gt;=Inputs!$B$15,R2134=1,S2134=1,P2134&lt;=L2134),"PASS","FAIL"))</f>
        <v>PASS</v>
      </c>
    </row>
    <row r="2135" customFormat="false" ht="15" hidden="false" customHeight="false" outlineLevel="0" collapsed="false">
      <c r="A2135" s="14" t="s">
        <v>1039</v>
      </c>
      <c r="B2135" s="14" t="s">
        <v>1038</v>
      </c>
      <c r="C2135" s="14" t="s">
        <v>166</v>
      </c>
      <c r="D2135" s="14" t="s">
        <v>190</v>
      </c>
      <c r="E2135" s="14" t="s">
        <v>152</v>
      </c>
      <c r="F2135" s="14" t="s">
        <v>191</v>
      </c>
      <c r="G2135" s="14" t="n">
        <v>1</v>
      </c>
      <c r="H2135" s="14" t="s">
        <v>154</v>
      </c>
      <c r="I2135" s="14" t="s">
        <v>897</v>
      </c>
      <c r="J2135" s="15" t="n">
        <f aca="false">IF(B2135="SITE LOSS",IF(D2135=C2135,1,0),IF(B2135="REGION LOSS",IF(E2135=C2135,1,0),0))</f>
        <v>0</v>
      </c>
      <c r="K2135" s="15" t="n">
        <f aca="false">IF(B2135="SITE LOSS",IF(COUNTIFS('Site Dockets'!$B$7:$B$24,C2135,'Site Dockets'!$C$7:$C$24,F2135)&gt;0,1,0),IF(B2135="REGION LOSS",IF(COUNTIFS('Site Dockets'!$E$7:$E$24,C2135,'Site Dockets'!$C$7:$C$24,F2135)&gt;0,1,0),0))</f>
        <v>0</v>
      </c>
      <c r="L2135" s="15" t="n">
        <f aca="false">IF(J2135=1,0,Inputs!$B$11)</f>
        <v>100</v>
      </c>
      <c r="M2135" s="15" t="n">
        <f aca="false">IF(J2135=1,0,Inputs!$B$12)</f>
        <v>75</v>
      </c>
      <c r="N2135" s="15" t="n">
        <f aca="false">IF(J2135=1,0,IF(OR(AND(OR(B2135="SITE LOSS",B2135="REGION LOSS"),K2135=1),AND(B2135="ROLE COMPROMISE",H2135=C2135)),Inputs!$B$13,Inputs!$B$14))</f>
        <v>10</v>
      </c>
      <c r="O2135" s="15" t="n">
        <f aca="false">IF(J2135=1,0,Inputs!$B$13)</f>
        <v>20</v>
      </c>
      <c r="P2135" s="15" t="n">
        <f aca="false">SUM(M2135:N2135)</f>
        <v>85</v>
      </c>
      <c r="Q2135" s="15" t="n">
        <f aca="false">IF(J2135=1,"",L2135-P2135)</f>
        <v>15</v>
      </c>
      <c r="R2135" s="15" t="n">
        <f aca="false">IF(OR(J2135=1,M2135&lt;=Inputs!$B$12),1,0)</f>
        <v>1</v>
      </c>
      <c r="S2135" s="15" t="n">
        <f aca="false">IF(OR(J2135=1,N2135&lt;=O2135),1,0)</f>
        <v>1</v>
      </c>
      <c r="T2135" s="15" t="str">
        <f aca="false">IF(J2135=1,"OFFLINE",IF(AND(Q2135&gt;=Inputs!$B$15,R2135=1,S2135=1,P2135&lt;=L2135),"PASS","FAIL"))</f>
        <v>PASS</v>
      </c>
    </row>
    <row r="2136" customFormat="false" ht="15" hidden="false" customHeight="false" outlineLevel="0" collapsed="false">
      <c r="A2136" s="14" t="s">
        <v>1039</v>
      </c>
      <c r="B2136" s="14" t="s">
        <v>1038</v>
      </c>
      <c r="C2136" s="14" t="s">
        <v>166</v>
      </c>
      <c r="D2136" s="14" t="s">
        <v>190</v>
      </c>
      <c r="E2136" s="14" t="s">
        <v>152</v>
      </c>
      <c r="F2136" s="14" t="s">
        <v>191</v>
      </c>
      <c r="G2136" s="14" t="n">
        <v>1</v>
      </c>
      <c r="H2136" s="14" t="s">
        <v>154</v>
      </c>
      <c r="I2136" s="14" t="s">
        <v>899</v>
      </c>
      <c r="J2136" s="15" t="n">
        <f aca="false">IF(B2136="SITE LOSS",IF(D2136=C2136,1,0),IF(B2136="REGION LOSS",IF(E2136=C2136,1,0),0))</f>
        <v>0</v>
      </c>
      <c r="K2136" s="15" t="n">
        <f aca="false">IF(B2136="SITE LOSS",IF(COUNTIFS('Site Dockets'!$B$7:$B$24,C2136,'Site Dockets'!$C$7:$C$24,F2136)&gt;0,1,0),IF(B2136="REGION LOSS",IF(COUNTIFS('Site Dockets'!$E$7:$E$24,C2136,'Site Dockets'!$C$7:$C$24,F2136)&gt;0,1,0),0))</f>
        <v>0</v>
      </c>
      <c r="L2136" s="15" t="n">
        <f aca="false">IF(J2136=1,0,Inputs!$B$11)</f>
        <v>100</v>
      </c>
      <c r="M2136" s="15" t="n">
        <f aca="false">IF(J2136=1,0,Inputs!$B$12)</f>
        <v>75</v>
      </c>
      <c r="N2136" s="15" t="n">
        <f aca="false">IF(J2136=1,0,IF(OR(AND(OR(B2136="SITE LOSS",B2136="REGION LOSS"),K2136=1),AND(B2136="ROLE COMPROMISE",H2136=C2136)),Inputs!$B$13,Inputs!$B$14))</f>
        <v>10</v>
      </c>
      <c r="O2136" s="15" t="n">
        <f aca="false">IF(J2136=1,0,Inputs!$B$13)</f>
        <v>20</v>
      </c>
      <c r="P2136" s="15" t="n">
        <f aca="false">SUM(M2136:N2136)</f>
        <v>85</v>
      </c>
      <c r="Q2136" s="15" t="n">
        <f aca="false">IF(J2136=1,"",L2136-P2136)</f>
        <v>15</v>
      </c>
      <c r="R2136" s="15" t="n">
        <f aca="false">IF(OR(J2136=1,M2136&lt;=Inputs!$B$12),1,0)</f>
        <v>1</v>
      </c>
      <c r="S2136" s="15" t="n">
        <f aca="false">IF(OR(J2136=1,N2136&lt;=O2136),1,0)</f>
        <v>1</v>
      </c>
      <c r="T2136" s="15" t="str">
        <f aca="false">IF(J2136=1,"OFFLINE",IF(AND(Q2136&gt;=Inputs!$B$15,R2136=1,S2136=1,P2136&lt;=L2136),"PASS","FAIL"))</f>
        <v>PASS</v>
      </c>
    </row>
    <row r="2137" customFormat="false" ht="15" hidden="false" customHeight="false" outlineLevel="0" collapsed="false">
      <c r="A2137" s="14" t="s">
        <v>1039</v>
      </c>
      <c r="B2137" s="14" t="s">
        <v>1038</v>
      </c>
      <c r="C2137" s="14" t="s">
        <v>166</v>
      </c>
      <c r="D2137" s="14" t="s">
        <v>194</v>
      </c>
      <c r="E2137" s="14" t="s">
        <v>169</v>
      </c>
      <c r="F2137" s="14" t="s">
        <v>191</v>
      </c>
      <c r="G2137" s="14" t="n">
        <v>2</v>
      </c>
      <c r="H2137" s="14" t="s">
        <v>153</v>
      </c>
      <c r="I2137" s="14" t="s">
        <v>890</v>
      </c>
      <c r="J2137" s="15" t="n">
        <f aca="false">IF(B2137="SITE LOSS",IF(D2137=C2137,1,0),IF(B2137="REGION LOSS",IF(E2137=C2137,1,0),0))</f>
        <v>0</v>
      </c>
      <c r="K2137" s="15" t="n">
        <f aca="false">IF(B2137="SITE LOSS",IF(COUNTIFS('Site Dockets'!$B$7:$B$24,C2137,'Site Dockets'!$C$7:$C$24,F2137)&gt;0,1,0),IF(B2137="REGION LOSS",IF(COUNTIFS('Site Dockets'!$E$7:$E$24,C2137,'Site Dockets'!$C$7:$C$24,F2137)&gt;0,1,0),0))</f>
        <v>0</v>
      </c>
      <c r="L2137" s="15" t="n">
        <f aca="false">IF(J2137=1,0,Inputs!$B$11)</f>
        <v>100</v>
      </c>
      <c r="M2137" s="15" t="n">
        <f aca="false">IF(J2137=1,0,Inputs!$B$12)</f>
        <v>75</v>
      </c>
      <c r="N2137" s="15" t="n">
        <f aca="false">IF(J2137=1,0,IF(OR(AND(OR(B2137="SITE LOSS",B2137="REGION LOSS"),K2137=1),AND(B2137="ROLE COMPROMISE",H2137=C2137)),Inputs!$B$13,Inputs!$B$14))</f>
        <v>10</v>
      </c>
      <c r="O2137" s="15" t="n">
        <f aca="false">IF(J2137=1,0,Inputs!$B$13)</f>
        <v>20</v>
      </c>
      <c r="P2137" s="15" t="n">
        <f aca="false">SUM(M2137:N2137)</f>
        <v>85</v>
      </c>
      <c r="Q2137" s="15" t="n">
        <f aca="false">IF(J2137=1,"",L2137-P2137)</f>
        <v>15</v>
      </c>
      <c r="R2137" s="15" t="n">
        <f aca="false">IF(OR(J2137=1,M2137&lt;=Inputs!$B$12),1,0)</f>
        <v>1</v>
      </c>
      <c r="S2137" s="15" t="n">
        <f aca="false">IF(OR(J2137=1,N2137&lt;=O2137),1,0)</f>
        <v>1</v>
      </c>
      <c r="T2137" s="15" t="str">
        <f aca="false">IF(J2137=1,"OFFLINE",IF(AND(Q2137&gt;=Inputs!$B$15,R2137=1,S2137=1,P2137&lt;=L2137),"PASS","FAIL"))</f>
        <v>PASS</v>
      </c>
    </row>
    <row r="2138" customFormat="false" ht="15" hidden="false" customHeight="false" outlineLevel="0" collapsed="false">
      <c r="A2138" s="14" t="s">
        <v>1039</v>
      </c>
      <c r="B2138" s="14" t="s">
        <v>1038</v>
      </c>
      <c r="C2138" s="14" t="s">
        <v>166</v>
      </c>
      <c r="D2138" s="14" t="s">
        <v>194</v>
      </c>
      <c r="E2138" s="14" t="s">
        <v>169</v>
      </c>
      <c r="F2138" s="14" t="s">
        <v>191</v>
      </c>
      <c r="G2138" s="14" t="n">
        <v>2</v>
      </c>
      <c r="H2138" s="14" t="s">
        <v>153</v>
      </c>
      <c r="I2138" s="14" t="s">
        <v>892</v>
      </c>
      <c r="J2138" s="15" t="n">
        <f aca="false">IF(B2138="SITE LOSS",IF(D2138=C2138,1,0),IF(B2138="REGION LOSS",IF(E2138=C2138,1,0),0))</f>
        <v>0</v>
      </c>
      <c r="K2138" s="15" t="n">
        <f aca="false">IF(B2138="SITE LOSS",IF(COUNTIFS('Site Dockets'!$B$7:$B$24,C2138,'Site Dockets'!$C$7:$C$24,F2138)&gt;0,1,0),IF(B2138="REGION LOSS",IF(COUNTIFS('Site Dockets'!$E$7:$E$24,C2138,'Site Dockets'!$C$7:$C$24,F2138)&gt;0,1,0),0))</f>
        <v>0</v>
      </c>
      <c r="L2138" s="15" t="n">
        <f aca="false">IF(J2138=1,0,Inputs!$B$11)</f>
        <v>100</v>
      </c>
      <c r="M2138" s="15" t="n">
        <f aca="false">IF(J2138=1,0,Inputs!$B$12)</f>
        <v>75</v>
      </c>
      <c r="N2138" s="15" t="n">
        <f aca="false">IF(J2138=1,0,IF(OR(AND(OR(B2138="SITE LOSS",B2138="REGION LOSS"),K2138=1),AND(B2138="ROLE COMPROMISE",H2138=C2138)),Inputs!$B$13,Inputs!$B$14))</f>
        <v>10</v>
      </c>
      <c r="O2138" s="15" t="n">
        <f aca="false">IF(J2138=1,0,Inputs!$B$13)</f>
        <v>20</v>
      </c>
      <c r="P2138" s="15" t="n">
        <f aca="false">SUM(M2138:N2138)</f>
        <v>85</v>
      </c>
      <c r="Q2138" s="15" t="n">
        <f aca="false">IF(J2138=1,"",L2138-P2138)</f>
        <v>15</v>
      </c>
      <c r="R2138" s="15" t="n">
        <f aca="false">IF(OR(J2138=1,M2138&lt;=Inputs!$B$12),1,0)</f>
        <v>1</v>
      </c>
      <c r="S2138" s="15" t="n">
        <f aca="false">IF(OR(J2138=1,N2138&lt;=O2138),1,0)</f>
        <v>1</v>
      </c>
      <c r="T2138" s="15" t="str">
        <f aca="false">IF(J2138=1,"OFFLINE",IF(AND(Q2138&gt;=Inputs!$B$15,R2138=1,S2138=1,P2138&lt;=L2138),"PASS","FAIL"))</f>
        <v>PASS</v>
      </c>
    </row>
    <row r="2139" customFormat="false" ht="15" hidden="false" customHeight="false" outlineLevel="0" collapsed="false">
      <c r="A2139" s="14" t="s">
        <v>1039</v>
      </c>
      <c r="B2139" s="14" t="s">
        <v>1038</v>
      </c>
      <c r="C2139" s="14" t="s">
        <v>166</v>
      </c>
      <c r="D2139" s="14" t="s">
        <v>194</v>
      </c>
      <c r="E2139" s="14" t="s">
        <v>169</v>
      </c>
      <c r="F2139" s="14" t="s">
        <v>191</v>
      </c>
      <c r="G2139" s="14" t="n">
        <v>2</v>
      </c>
      <c r="H2139" s="14" t="s">
        <v>153</v>
      </c>
      <c r="I2139" s="14" t="s">
        <v>811</v>
      </c>
      <c r="J2139" s="15" t="n">
        <f aca="false">IF(B2139="SITE LOSS",IF(D2139=C2139,1,0),IF(B2139="REGION LOSS",IF(E2139=C2139,1,0),0))</f>
        <v>0</v>
      </c>
      <c r="K2139" s="15" t="n">
        <f aca="false">IF(B2139="SITE LOSS",IF(COUNTIFS('Site Dockets'!$B$7:$B$24,C2139,'Site Dockets'!$C$7:$C$24,F2139)&gt;0,1,0),IF(B2139="REGION LOSS",IF(COUNTIFS('Site Dockets'!$E$7:$E$24,C2139,'Site Dockets'!$C$7:$C$24,F2139)&gt;0,1,0),0))</f>
        <v>0</v>
      </c>
      <c r="L2139" s="15" t="n">
        <f aca="false">IF(J2139=1,0,Inputs!$B$11)</f>
        <v>100</v>
      </c>
      <c r="M2139" s="15" t="n">
        <f aca="false">IF(J2139=1,0,Inputs!$B$12)</f>
        <v>75</v>
      </c>
      <c r="N2139" s="15" t="n">
        <f aca="false">IF(J2139=1,0,IF(OR(AND(OR(B2139="SITE LOSS",B2139="REGION LOSS"),K2139=1),AND(B2139="ROLE COMPROMISE",H2139=C2139)),Inputs!$B$13,Inputs!$B$14))</f>
        <v>10</v>
      </c>
      <c r="O2139" s="15" t="n">
        <f aca="false">IF(J2139=1,0,Inputs!$B$13)</f>
        <v>20</v>
      </c>
      <c r="P2139" s="15" t="n">
        <f aca="false">SUM(M2139:N2139)</f>
        <v>85</v>
      </c>
      <c r="Q2139" s="15" t="n">
        <f aca="false">IF(J2139=1,"",L2139-P2139)</f>
        <v>15</v>
      </c>
      <c r="R2139" s="15" t="n">
        <f aca="false">IF(OR(J2139=1,M2139&lt;=Inputs!$B$12),1,0)</f>
        <v>1</v>
      </c>
      <c r="S2139" s="15" t="n">
        <f aca="false">IF(OR(J2139=1,N2139&lt;=O2139),1,0)</f>
        <v>1</v>
      </c>
      <c r="T2139" s="15" t="str">
        <f aca="false">IF(J2139=1,"OFFLINE",IF(AND(Q2139&gt;=Inputs!$B$15,R2139=1,S2139=1,P2139&lt;=L2139),"PASS","FAIL"))</f>
        <v>PASS</v>
      </c>
    </row>
    <row r="2140" customFormat="false" ht="15" hidden="false" customHeight="false" outlineLevel="0" collapsed="false">
      <c r="A2140" s="14" t="s">
        <v>1039</v>
      </c>
      <c r="B2140" s="14" t="s">
        <v>1038</v>
      </c>
      <c r="C2140" s="14" t="s">
        <v>166</v>
      </c>
      <c r="D2140" s="14" t="s">
        <v>194</v>
      </c>
      <c r="E2140" s="14" t="s">
        <v>169</v>
      </c>
      <c r="F2140" s="14" t="s">
        <v>191</v>
      </c>
      <c r="G2140" s="14" t="n">
        <v>2</v>
      </c>
      <c r="H2140" s="14" t="s">
        <v>153</v>
      </c>
      <c r="I2140" s="14" t="s">
        <v>895</v>
      </c>
      <c r="J2140" s="15" t="n">
        <f aca="false">IF(B2140="SITE LOSS",IF(D2140=C2140,1,0),IF(B2140="REGION LOSS",IF(E2140=C2140,1,0),0))</f>
        <v>0</v>
      </c>
      <c r="K2140" s="15" t="n">
        <f aca="false">IF(B2140="SITE LOSS",IF(COUNTIFS('Site Dockets'!$B$7:$B$24,C2140,'Site Dockets'!$C$7:$C$24,F2140)&gt;0,1,0),IF(B2140="REGION LOSS",IF(COUNTIFS('Site Dockets'!$E$7:$E$24,C2140,'Site Dockets'!$C$7:$C$24,F2140)&gt;0,1,0),0))</f>
        <v>0</v>
      </c>
      <c r="L2140" s="15" t="n">
        <f aca="false">IF(J2140=1,0,Inputs!$B$11)</f>
        <v>100</v>
      </c>
      <c r="M2140" s="15" t="n">
        <f aca="false">IF(J2140=1,0,Inputs!$B$12)</f>
        <v>75</v>
      </c>
      <c r="N2140" s="15" t="n">
        <f aca="false">IF(J2140=1,0,IF(OR(AND(OR(B2140="SITE LOSS",B2140="REGION LOSS"),K2140=1),AND(B2140="ROLE COMPROMISE",H2140=C2140)),Inputs!$B$13,Inputs!$B$14))</f>
        <v>10</v>
      </c>
      <c r="O2140" s="15" t="n">
        <f aca="false">IF(J2140=1,0,Inputs!$B$13)</f>
        <v>20</v>
      </c>
      <c r="P2140" s="15" t="n">
        <f aca="false">SUM(M2140:N2140)</f>
        <v>85</v>
      </c>
      <c r="Q2140" s="15" t="n">
        <f aca="false">IF(J2140=1,"",L2140-P2140)</f>
        <v>15</v>
      </c>
      <c r="R2140" s="15" t="n">
        <f aca="false">IF(OR(J2140=1,M2140&lt;=Inputs!$B$12),1,0)</f>
        <v>1</v>
      </c>
      <c r="S2140" s="15" t="n">
        <f aca="false">IF(OR(J2140=1,N2140&lt;=O2140),1,0)</f>
        <v>1</v>
      </c>
      <c r="T2140" s="15" t="str">
        <f aca="false">IF(J2140=1,"OFFLINE",IF(AND(Q2140&gt;=Inputs!$B$15,R2140=1,S2140=1,P2140&lt;=L2140),"PASS","FAIL"))</f>
        <v>PASS</v>
      </c>
    </row>
    <row r="2141" customFormat="false" ht="15" hidden="false" customHeight="false" outlineLevel="0" collapsed="false">
      <c r="A2141" s="14" t="s">
        <v>1039</v>
      </c>
      <c r="B2141" s="14" t="s">
        <v>1038</v>
      </c>
      <c r="C2141" s="14" t="s">
        <v>166</v>
      </c>
      <c r="D2141" s="14" t="s">
        <v>194</v>
      </c>
      <c r="E2141" s="14" t="s">
        <v>169</v>
      </c>
      <c r="F2141" s="14" t="s">
        <v>191</v>
      </c>
      <c r="G2141" s="14" t="n">
        <v>2</v>
      </c>
      <c r="H2141" s="14" t="s">
        <v>153</v>
      </c>
      <c r="I2141" s="14" t="s">
        <v>897</v>
      </c>
      <c r="J2141" s="15" t="n">
        <f aca="false">IF(B2141="SITE LOSS",IF(D2141=C2141,1,0),IF(B2141="REGION LOSS",IF(E2141=C2141,1,0),0))</f>
        <v>0</v>
      </c>
      <c r="K2141" s="15" t="n">
        <f aca="false">IF(B2141="SITE LOSS",IF(COUNTIFS('Site Dockets'!$B$7:$B$24,C2141,'Site Dockets'!$C$7:$C$24,F2141)&gt;0,1,0),IF(B2141="REGION LOSS",IF(COUNTIFS('Site Dockets'!$E$7:$E$24,C2141,'Site Dockets'!$C$7:$C$24,F2141)&gt;0,1,0),0))</f>
        <v>0</v>
      </c>
      <c r="L2141" s="15" t="n">
        <f aca="false">IF(J2141=1,0,Inputs!$B$11)</f>
        <v>100</v>
      </c>
      <c r="M2141" s="15" t="n">
        <f aca="false">IF(J2141=1,0,Inputs!$B$12)</f>
        <v>75</v>
      </c>
      <c r="N2141" s="15" t="n">
        <f aca="false">IF(J2141=1,0,IF(OR(AND(OR(B2141="SITE LOSS",B2141="REGION LOSS"),K2141=1),AND(B2141="ROLE COMPROMISE",H2141=C2141)),Inputs!$B$13,Inputs!$B$14))</f>
        <v>10</v>
      </c>
      <c r="O2141" s="15" t="n">
        <f aca="false">IF(J2141=1,0,Inputs!$B$13)</f>
        <v>20</v>
      </c>
      <c r="P2141" s="15" t="n">
        <f aca="false">SUM(M2141:N2141)</f>
        <v>85</v>
      </c>
      <c r="Q2141" s="15" t="n">
        <f aca="false">IF(J2141=1,"",L2141-P2141)</f>
        <v>15</v>
      </c>
      <c r="R2141" s="15" t="n">
        <f aca="false">IF(OR(J2141=1,M2141&lt;=Inputs!$B$12),1,0)</f>
        <v>1</v>
      </c>
      <c r="S2141" s="15" t="n">
        <f aca="false">IF(OR(J2141=1,N2141&lt;=O2141),1,0)</f>
        <v>1</v>
      </c>
      <c r="T2141" s="15" t="str">
        <f aca="false">IF(J2141=1,"OFFLINE",IF(AND(Q2141&gt;=Inputs!$B$15,R2141=1,S2141=1,P2141&lt;=L2141),"PASS","FAIL"))</f>
        <v>PASS</v>
      </c>
    </row>
    <row r="2142" customFormat="false" ht="15" hidden="false" customHeight="false" outlineLevel="0" collapsed="false">
      <c r="A2142" s="14" t="s">
        <v>1039</v>
      </c>
      <c r="B2142" s="14" t="s">
        <v>1038</v>
      </c>
      <c r="C2142" s="14" t="s">
        <v>166</v>
      </c>
      <c r="D2142" s="14" t="s">
        <v>194</v>
      </c>
      <c r="E2142" s="14" t="s">
        <v>169</v>
      </c>
      <c r="F2142" s="14" t="s">
        <v>191</v>
      </c>
      <c r="G2142" s="14" t="n">
        <v>2</v>
      </c>
      <c r="H2142" s="14" t="s">
        <v>153</v>
      </c>
      <c r="I2142" s="14" t="s">
        <v>899</v>
      </c>
      <c r="J2142" s="15" t="n">
        <f aca="false">IF(B2142="SITE LOSS",IF(D2142=C2142,1,0),IF(B2142="REGION LOSS",IF(E2142=C2142,1,0),0))</f>
        <v>0</v>
      </c>
      <c r="K2142" s="15" t="n">
        <f aca="false">IF(B2142="SITE LOSS",IF(COUNTIFS('Site Dockets'!$B$7:$B$24,C2142,'Site Dockets'!$C$7:$C$24,F2142)&gt;0,1,0),IF(B2142="REGION LOSS",IF(COUNTIFS('Site Dockets'!$E$7:$E$24,C2142,'Site Dockets'!$C$7:$C$24,F2142)&gt;0,1,0),0))</f>
        <v>0</v>
      </c>
      <c r="L2142" s="15" t="n">
        <f aca="false">IF(J2142=1,0,Inputs!$B$11)</f>
        <v>100</v>
      </c>
      <c r="M2142" s="15" t="n">
        <f aca="false">IF(J2142=1,0,Inputs!$B$12)</f>
        <v>75</v>
      </c>
      <c r="N2142" s="15" t="n">
        <f aca="false">IF(J2142=1,0,IF(OR(AND(OR(B2142="SITE LOSS",B2142="REGION LOSS"),K2142=1),AND(B2142="ROLE COMPROMISE",H2142=C2142)),Inputs!$B$13,Inputs!$B$14))</f>
        <v>10</v>
      </c>
      <c r="O2142" s="15" t="n">
        <f aca="false">IF(J2142=1,0,Inputs!$B$13)</f>
        <v>20</v>
      </c>
      <c r="P2142" s="15" t="n">
        <f aca="false">SUM(M2142:N2142)</f>
        <v>85</v>
      </c>
      <c r="Q2142" s="15" t="n">
        <f aca="false">IF(J2142=1,"",L2142-P2142)</f>
        <v>15</v>
      </c>
      <c r="R2142" s="15" t="n">
        <f aca="false">IF(OR(J2142=1,M2142&lt;=Inputs!$B$12),1,0)</f>
        <v>1</v>
      </c>
      <c r="S2142" s="15" t="n">
        <f aca="false">IF(OR(J2142=1,N2142&lt;=O2142),1,0)</f>
        <v>1</v>
      </c>
      <c r="T2142" s="15" t="str">
        <f aca="false">IF(J2142=1,"OFFLINE",IF(AND(Q2142&gt;=Inputs!$B$15,R2142=1,S2142=1,P2142&lt;=L2142),"PASS","FAIL"))</f>
        <v>PASS</v>
      </c>
    </row>
    <row r="2143" customFormat="false" ht="15" hidden="false" customHeight="false" outlineLevel="0" collapsed="false">
      <c r="A2143" s="14" t="s">
        <v>1039</v>
      </c>
      <c r="B2143" s="14" t="s">
        <v>1038</v>
      </c>
      <c r="C2143" s="14" t="s">
        <v>166</v>
      </c>
      <c r="D2143" s="14" t="s">
        <v>196</v>
      </c>
      <c r="E2143" s="14" t="s">
        <v>172</v>
      </c>
      <c r="F2143" s="14" t="s">
        <v>191</v>
      </c>
      <c r="G2143" s="14" t="n">
        <v>3</v>
      </c>
      <c r="H2143" s="14" t="s">
        <v>158</v>
      </c>
      <c r="I2143" s="14" t="s">
        <v>890</v>
      </c>
      <c r="J2143" s="15" t="n">
        <f aca="false">IF(B2143="SITE LOSS",IF(D2143=C2143,1,0),IF(B2143="REGION LOSS",IF(E2143=C2143,1,0),0))</f>
        <v>0</v>
      </c>
      <c r="K2143" s="15" t="n">
        <f aca="false">IF(B2143="SITE LOSS",IF(COUNTIFS('Site Dockets'!$B$7:$B$24,C2143,'Site Dockets'!$C$7:$C$24,F2143)&gt;0,1,0),IF(B2143="REGION LOSS",IF(COUNTIFS('Site Dockets'!$E$7:$E$24,C2143,'Site Dockets'!$C$7:$C$24,F2143)&gt;0,1,0),0))</f>
        <v>0</v>
      </c>
      <c r="L2143" s="15" t="n">
        <f aca="false">IF(J2143=1,0,Inputs!$B$11)</f>
        <v>100</v>
      </c>
      <c r="M2143" s="15" t="n">
        <f aca="false">IF(J2143=1,0,Inputs!$B$12)</f>
        <v>75</v>
      </c>
      <c r="N2143" s="15" t="n">
        <f aca="false">IF(J2143=1,0,IF(OR(AND(OR(B2143="SITE LOSS",B2143="REGION LOSS"),K2143=1),AND(B2143="ROLE COMPROMISE",H2143=C2143)),Inputs!$B$13,Inputs!$B$14))</f>
        <v>10</v>
      </c>
      <c r="O2143" s="15" t="n">
        <f aca="false">IF(J2143=1,0,Inputs!$B$13)</f>
        <v>20</v>
      </c>
      <c r="P2143" s="15" t="n">
        <f aca="false">SUM(M2143:N2143)</f>
        <v>85</v>
      </c>
      <c r="Q2143" s="15" t="n">
        <f aca="false">IF(J2143=1,"",L2143-P2143)</f>
        <v>15</v>
      </c>
      <c r="R2143" s="15" t="n">
        <f aca="false">IF(OR(J2143=1,M2143&lt;=Inputs!$B$12),1,0)</f>
        <v>1</v>
      </c>
      <c r="S2143" s="15" t="n">
        <f aca="false">IF(OR(J2143=1,N2143&lt;=O2143),1,0)</f>
        <v>1</v>
      </c>
      <c r="T2143" s="15" t="str">
        <f aca="false">IF(J2143=1,"OFFLINE",IF(AND(Q2143&gt;=Inputs!$B$15,R2143=1,S2143=1,P2143&lt;=L2143),"PASS","FAIL"))</f>
        <v>PASS</v>
      </c>
    </row>
    <row r="2144" customFormat="false" ht="15" hidden="false" customHeight="false" outlineLevel="0" collapsed="false">
      <c r="A2144" s="14" t="s">
        <v>1039</v>
      </c>
      <c r="B2144" s="14" t="s">
        <v>1038</v>
      </c>
      <c r="C2144" s="14" t="s">
        <v>166</v>
      </c>
      <c r="D2144" s="14" t="s">
        <v>196</v>
      </c>
      <c r="E2144" s="14" t="s">
        <v>172</v>
      </c>
      <c r="F2144" s="14" t="s">
        <v>191</v>
      </c>
      <c r="G2144" s="14" t="n">
        <v>3</v>
      </c>
      <c r="H2144" s="14" t="s">
        <v>158</v>
      </c>
      <c r="I2144" s="14" t="s">
        <v>892</v>
      </c>
      <c r="J2144" s="15" t="n">
        <f aca="false">IF(B2144="SITE LOSS",IF(D2144=C2144,1,0),IF(B2144="REGION LOSS",IF(E2144=C2144,1,0),0))</f>
        <v>0</v>
      </c>
      <c r="K2144" s="15" t="n">
        <f aca="false">IF(B2144="SITE LOSS",IF(COUNTIFS('Site Dockets'!$B$7:$B$24,C2144,'Site Dockets'!$C$7:$C$24,F2144)&gt;0,1,0),IF(B2144="REGION LOSS",IF(COUNTIFS('Site Dockets'!$E$7:$E$24,C2144,'Site Dockets'!$C$7:$C$24,F2144)&gt;0,1,0),0))</f>
        <v>0</v>
      </c>
      <c r="L2144" s="15" t="n">
        <f aca="false">IF(J2144=1,0,Inputs!$B$11)</f>
        <v>100</v>
      </c>
      <c r="M2144" s="15" t="n">
        <f aca="false">IF(J2144=1,0,Inputs!$B$12)</f>
        <v>75</v>
      </c>
      <c r="N2144" s="15" t="n">
        <f aca="false">IF(J2144=1,0,IF(OR(AND(OR(B2144="SITE LOSS",B2144="REGION LOSS"),K2144=1),AND(B2144="ROLE COMPROMISE",H2144=C2144)),Inputs!$B$13,Inputs!$B$14))</f>
        <v>10</v>
      </c>
      <c r="O2144" s="15" t="n">
        <f aca="false">IF(J2144=1,0,Inputs!$B$13)</f>
        <v>20</v>
      </c>
      <c r="P2144" s="15" t="n">
        <f aca="false">SUM(M2144:N2144)</f>
        <v>85</v>
      </c>
      <c r="Q2144" s="15" t="n">
        <f aca="false">IF(J2144=1,"",L2144-P2144)</f>
        <v>15</v>
      </c>
      <c r="R2144" s="15" t="n">
        <f aca="false">IF(OR(J2144=1,M2144&lt;=Inputs!$B$12),1,0)</f>
        <v>1</v>
      </c>
      <c r="S2144" s="15" t="n">
        <f aca="false">IF(OR(J2144=1,N2144&lt;=O2144),1,0)</f>
        <v>1</v>
      </c>
      <c r="T2144" s="15" t="str">
        <f aca="false">IF(J2144=1,"OFFLINE",IF(AND(Q2144&gt;=Inputs!$B$15,R2144=1,S2144=1,P2144&lt;=L2144),"PASS","FAIL"))</f>
        <v>PASS</v>
      </c>
    </row>
    <row r="2145" customFormat="false" ht="15" hidden="false" customHeight="false" outlineLevel="0" collapsed="false">
      <c r="A2145" s="14" t="s">
        <v>1039</v>
      </c>
      <c r="B2145" s="14" t="s">
        <v>1038</v>
      </c>
      <c r="C2145" s="14" t="s">
        <v>166</v>
      </c>
      <c r="D2145" s="14" t="s">
        <v>196</v>
      </c>
      <c r="E2145" s="14" t="s">
        <v>172</v>
      </c>
      <c r="F2145" s="14" t="s">
        <v>191</v>
      </c>
      <c r="G2145" s="14" t="n">
        <v>3</v>
      </c>
      <c r="H2145" s="14" t="s">
        <v>158</v>
      </c>
      <c r="I2145" s="14" t="s">
        <v>811</v>
      </c>
      <c r="J2145" s="15" t="n">
        <f aca="false">IF(B2145="SITE LOSS",IF(D2145=C2145,1,0),IF(B2145="REGION LOSS",IF(E2145=C2145,1,0),0))</f>
        <v>0</v>
      </c>
      <c r="K2145" s="15" t="n">
        <f aca="false">IF(B2145="SITE LOSS",IF(COUNTIFS('Site Dockets'!$B$7:$B$24,C2145,'Site Dockets'!$C$7:$C$24,F2145)&gt;0,1,0),IF(B2145="REGION LOSS",IF(COUNTIFS('Site Dockets'!$E$7:$E$24,C2145,'Site Dockets'!$C$7:$C$24,F2145)&gt;0,1,0),0))</f>
        <v>0</v>
      </c>
      <c r="L2145" s="15" t="n">
        <f aca="false">IF(J2145=1,0,Inputs!$B$11)</f>
        <v>100</v>
      </c>
      <c r="M2145" s="15" t="n">
        <f aca="false">IF(J2145=1,0,Inputs!$B$12)</f>
        <v>75</v>
      </c>
      <c r="N2145" s="15" t="n">
        <f aca="false">IF(J2145=1,0,IF(OR(AND(OR(B2145="SITE LOSS",B2145="REGION LOSS"),K2145=1),AND(B2145="ROLE COMPROMISE",H2145=C2145)),Inputs!$B$13,Inputs!$B$14))</f>
        <v>10</v>
      </c>
      <c r="O2145" s="15" t="n">
        <f aca="false">IF(J2145=1,0,Inputs!$B$13)</f>
        <v>20</v>
      </c>
      <c r="P2145" s="15" t="n">
        <f aca="false">SUM(M2145:N2145)</f>
        <v>85</v>
      </c>
      <c r="Q2145" s="15" t="n">
        <f aca="false">IF(J2145=1,"",L2145-P2145)</f>
        <v>15</v>
      </c>
      <c r="R2145" s="15" t="n">
        <f aca="false">IF(OR(J2145=1,M2145&lt;=Inputs!$B$12),1,0)</f>
        <v>1</v>
      </c>
      <c r="S2145" s="15" t="n">
        <f aca="false">IF(OR(J2145=1,N2145&lt;=O2145),1,0)</f>
        <v>1</v>
      </c>
      <c r="T2145" s="15" t="str">
        <f aca="false">IF(J2145=1,"OFFLINE",IF(AND(Q2145&gt;=Inputs!$B$15,R2145=1,S2145=1,P2145&lt;=L2145),"PASS","FAIL"))</f>
        <v>PASS</v>
      </c>
    </row>
    <row r="2146" customFormat="false" ht="15" hidden="false" customHeight="false" outlineLevel="0" collapsed="false">
      <c r="A2146" s="14" t="s">
        <v>1039</v>
      </c>
      <c r="B2146" s="14" t="s">
        <v>1038</v>
      </c>
      <c r="C2146" s="14" t="s">
        <v>166</v>
      </c>
      <c r="D2146" s="14" t="s">
        <v>196</v>
      </c>
      <c r="E2146" s="14" t="s">
        <v>172</v>
      </c>
      <c r="F2146" s="14" t="s">
        <v>191</v>
      </c>
      <c r="G2146" s="14" t="n">
        <v>3</v>
      </c>
      <c r="H2146" s="14" t="s">
        <v>158</v>
      </c>
      <c r="I2146" s="14" t="s">
        <v>895</v>
      </c>
      <c r="J2146" s="15" t="n">
        <f aca="false">IF(B2146="SITE LOSS",IF(D2146=C2146,1,0),IF(B2146="REGION LOSS",IF(E2146=C2146,1,0),0))</f>
        <v>0</v>
      </c>
      <c r="K2146" s="15" t="n">
        <f aca="false">IF(B2146="SITE LOSS",IF(COUNTIFS('Site Dockets'!$B$7:$B$24,C2146,'Site Dockets'!$C$7:$C$24,F2146)&gt;0,1,0),IF(B2146="REGION LOSS",IF(COUNTIFS('Site Dockets'!$E$7:$E$24,C2146,'Site Dockets'!$C$7:$C$24,F2146)&gt;0,1,0),0))</f>
        <v>0</v>
      </c>
      <c r="L2146" s="15" t="n">
        <f aca="false">IF(J2146=1,0,Inputs!$B$11)</f>
        <v>100</v>
      </c>
      <c r="M2146" s="15" t="n">
        <f aca="false">IF(J2146=1,0,Inputs!$B$12)</f>
        <v>75</v>
      </c>
      <c r="N2146" s="15" t="n">
        <f aca="false">IF(J2146=1,0,IF(OR(AND(OR(B2146="SITE LOSS",B2146="REGION LOSS"),K2146=1),AND(B2146="ROLE COMPROMISE",H2146=C2146)),Inputs!$B$13,Inputs!$B$14))</f>
        <v>10</v>
      </c>
      <c r="O2146" s="15" t="n">
        <f aca="false">IF(J2146=1,0,Inputs!$B$13)</f>
        <v>20</v>
      </c>
      <c r="P2146" s="15" t="n">
        <f aca="false">SUM(M2146:N2146)</f>
        <v>85</v>
      </c>
      <c r="Q2146" s="15" t="n">
        <f aca="false">IF(J2146=1,"",L2146-P2146)</f>
        <v>15</v>
      </c>
      <c r="R2146" s="15" t="n">
        <f aca="false">IF(OR(J2146=1,M2146&lt;=Inputs!$B$12),1,0)</f>
        <v>1</v>
      </c>
      <c r="S2146" s="15" t="n">
        <f aca="false">IF(OR(J2146=1,N2146&lt;=O2146),1,0)</f>
        <v>1</v>
      </c>
      <c r="T2146" s="15" t="str">
        <f aca="false">IF(J2146=1,"OFFLINE",IF(AND(Q2146&gt;=Inputs!$B$15,R2146=1,S2146=1,P2146&lt;=L2146),"PASS","FAIL"))</f>
        <v>PASS</v>
      </c>
    </row>
    <row r="2147" customFormat="false" ht="15" hidden="false" customHeight="false" outlineLevel="0" collapsed="false">
      <c r="A2147" s="14" t="s">
        <v>1039</v>
      </c>
      <c r="B2147" s="14" t="s">
        <v>1038</v>
      </c>
      <c r="C2147" s="14" t="s">
        <v>166</v>
      </c>
      <c r="D2147" s="14" t="s">
        <v>196</v>
      </c>
      <c r="E2147" s="14" t="s">
        <v>172</v>
      </c>
      <c r="F2147" s="14" t="s">
        <v>191</v>
      </c>
      <c r="G2147" s="14" t="n">
        <v>3</v>
      </c>
      <c r="H2147" s="14" t="s">
        <v>158</v>
      </c>
      <c r="I2147" s="14" t="s">
        <v>897</v>
      </c>
      <c r="J2147" s="15" t="n">
        <f aca="false">IF(B2147="SITE LOSS",IF(D2147=C2147,1,0),IF(B2147="REGION LOSS",IF(E2147=C2147,1,0),0))</f>
        <v>0</v>
      </c>
      <c r="K2147" s="15" t="n">
        <f aca="false">IF(B2147="SITE LOSS",IF(COUNTIFS('Site Dockets'!$B$7:$B$24,C2147,'Site Dockets'!$C$7:$C$24,F2147)&gt;0,1,0),IF(B2147="REGION LOSS",IF(COUNTIFS('Site Dockets'!$E$7:$E$24,C2147,'Site Dockets'!$C$7:$C$24,F2147)&gt;0,1,0),0))</f>
        <v>0</v>
      </c>
      <c r="L2147" s="15" t="n">
        <f aca="false">IF(J2147=1,0,Inputs!$B$11)</f>
        <v>100</v>
      </c>
      <c r="M2147" s="15" t="n">
        <f aca="false">IF(J2147=1,0,Inputs!$B$12)</f>
        <v>75</v>
      </c>
      <c r="N2147" s="15" t="n">
        <f aca="false">IF(J2147=1,0,IF(OR(AND(OR(B2147="SITE LOSS",B2147="REGION LOSS"),K2147=1),AND(B2147="ROLE COMPROMISE",H2147=C2147)),Inputs!$B$13,Inputs!$B$14))</f>
        <v>10</v>
      </c>
      <c r="O2147" s="15" t="n">
        <f aca="false">IF(J2147=1,0,Inputs!$B$13)</f>
        <v>20</v>
      </c>
      <c r="P2147" s="15" t="n">
        <f aca="false">SUM(M2147:N2147)</f>
        <v>85</v>
      </c>
      <c r="Q2147" s="15" t="n">
        <f aca="false">IF(J2147=1,"",L2147-P2147)</f>
        <v>15</v>
      </c>
      <c r="R2147" s="15" t="n">
        <f aca="false">IF(OR(J2147=1,M2147&lt;=Inputs!$B$12),1,0)</f>
        <v>1</v>
      </c>
      <c r="S2147" s="15" t="n">
        <f aca="false">IF(OR(J2147=1,N2147&lt;=O2147),1,0)</f>
        <v>1</v>
      </c>
      <c r="T2147" s="15" t="str">
        <f aca="false">IF(J2147=1,"OFFLINE",IF(AND(Q2147&gt;=Inputs!$B$15,R2147=1,S2147=1,P2147&lt;=L2147),"PASS","FAIL"))</f>
        <v>PASS</v>
      </c>
    </row>
    <row r="2148" customFormat="false" ht="15" hidden="false" customHeight="false" outlineLevel="0" collapsed="false">
      <c r="A2148" s="14" t="s">
        <v>1039</v>
      </c>
      <c r="B2148" s="14" t="s">
        <v>1038</v>
      </c>
      <c r="C2148" s="14" t="s">
        <v>166</v>
      </c>
      <c r="D2148" s="14" t="s">
        <v>196</v>
      </c>
      <c r="E2148" s="14" t="s">
        <v>172</v>
      </c>
      <c r="F2148" s="14" t="s">
        <v>191</v>
      </c>
      <c r="G2148" s="14" t="n">
        <v>3</v>
      </c>
      <c r="H2148" s="14" t="s">
        <v>158</v>
      </c>
      <c r="I2148" s="14" t="s">
        <v>899</v>
      </c>
      <c r="J2148" s="15" t="n">
        <f aca="false">IF(B2148="SITE LOSS",IF(D2148=C2148,1,0),IF(B2148="REGION LOSS",IF(E2148=C2148,1,0),0))</f>
        <v>0</v>
      </c>
      <c r="K2148" s="15" t="n">
        <f aca="false">IF(B2148="SITE LOSS",IF(COUNTIFS('Site Dockets'!$B$7:$B$24,C2148,'Site Dockets'!$C$7:$C$24,F2148)&gt;0,1,0),IF(B2148="REGION LOSS",IF(COUNTIFS('Site Dockets'!$E$7:$E$24,C2148,'Site Dockets'!$C$7:$C$24,F2148)&gt;0,1,0),0))</f>
        <v>0</v>
      </c>
      <c r="L2148" s="15" t="n">
        <f aca="false">IF(J2148=1,0,Inputs!$B$11)</f>
        <v>100</v>
      </c>
      <c r="M2148" s="15" t="n">
        <f aca="false">IF(J2148=1,0,Inputs!$B$12)</f>
        <v>75</v>
      </c>
      <c r="N2148" s="15" t="n">
        <f aca="false">IF(J2148=1,0,IF(OR(AND(OR(B2148="SITE LOSS",B2148="REGION LOSS"),K2148=1),AND(B2148="ROLE COMPROMISE",H2148=C2148)),Inputs!$B$13,Inputs!$B$14))</f>
        <v>10</v>
      </c>
      <c r="O2148" s="15" t="n">
        <f aca="false">IF(J2148=1,0,Inputs!$B$13)</f>
        <v>20</v>
      </c>
      <c r="P2148" s="15" t="n">
        <f aca="false">SUM(M2148:N2148)</f>
        <v>85</v>
      </c>
      <c r="Q2148" s="15" t="n">
        <f aca="false">IF(J2148=1,"",L2148-P2148)</f>
        <v>15</v>
      </c>
      <c r="R2148" s="15" t="n">
        <f aca="false">IF(OR(J2148=1,M2148&lt;=Inputs!$B$12),1,0)</f>
        <v>1</v>
      </c>
      <c r="S2148" s="15" t="n">
        <f aca="false">IF(OR(J2148=1,N2148&lt;=O2148),1,0)</f>
        <v>1</v>
      </c>
      <c r="T2148" s="15" t="str">
        <f aca="false">IF(J2148=1,"OFFLINE",IF(AND(Q2148&gt;=Inputs!$B$15,R2148=1,S2148=1,P2148&lt;=L2148),"PASS","FAIL"))</f>
        <v>PASS</v>
      </c>
    </row>
    <row r="2149" customFormat="false" ht="15" hidden="false" customHeight="false" outlineLevel="0" collapsed="false">
      <c r="A2149" s="14" t="s">
        <v>1039</v>
      </c>
      <c r="B2149" s="14" t="s">
        <v>1038</v>
      </c>
      <c r="C2149" s="14" t="s">
        <v>166</v>
      </c>
      <c r="D2149" s="14" t="s">
        <v>198</v>
      </c>
      <c r="E2149" s="14" t="s">
        <v>166</v>
      </c>
      <c r="F2149" s="14" t="s">
        <v>199</v>
      </c>
      <c r="G2149" s="14" t="n">
        <v>1</v>
      </c>
      <c r="H2149" s="14" t="s">
        <v>154</v>
      </c>
      <c r="I2149" s="14" t="s">
        <v>890</v>
      </c>
      <c r="J2149" s="15" t="n">
        <f aca="false">IF(B2149="SITE LOSS",IF(D2149=C2149,1,0),IF(B2149="REGION LOSS",IF(E2149=C2149,1,0),0))</f>
        <v>1</v>
      </c>
      <c r="K2149" s="15" t="n">
        <f aca="false">IF(B2149="SITE LOSS",IF(COUNTIFS('Site Dockets'!$B$7:$B$24,C2149,'Site Dockets'!$C$7:$C$24,F2149)&gt;0,1,0),IF(B2149="REGION LOSS",IF(COUNTIFS('Site Dockets'!$E$7:$E$24,C2149,'Site Dockets'!$C$7:$C$24,F2149)&gt;0,1,0),0))</f>
        <v>1</v>
      </c>
      <c r="L2149" s="15" t="n">
        <f aca="false">IF(J2149=1,0,Inputs!$B$11)</f>
        <v>0</v>
      </c>
      <c r="M2149" s="15" t="n">
        <f aca="false">IF(J2149=1,0,Inputs!$B$12)</f>
        <v>0</v>
      </c>
      <c r="N2149" s="15" t="n">
        <f aca="false">IF(J2149=1,0,IF(OR(AND(OR(B2149="SITE LOSS",B2149="REGION LOSS"),K2149=1),AND(B2149="ROLE COMPROMISE",H2149=C2149)),Inputs!$B$13,Inputs!$B$14))</f>
        <v>0</v>
      </c>
      <c r="O2149" s="15" t="n">
        <f aca="false">IF(J2149=1,0,Inputs!$B$13)</f>
        <v>0</v>
      </c>
      <c r="P2149" s="15" t="n">
        <f aca="false">SUM(M2149:N2149)</f>
        <v>0</v>
      </c>
      <c r="Q2149" s="15" t="str">
        <f aca="false">IF(J2149=1,"",L2149-P2149)</f>
        <v/>
      </c>
      <c r="R2149" s="15" t="n">
        <f aca="false">IF(OR(J2149=1,M2149&lt;=Inputs!$B$12),1,0)</f>
        <v>1</v>
      </c>
      <c r="S2149" s="15" t="n">
        <f aca="false">IF(OR(J2149=1,N2149&lt;=O2149),1,0)</f>
        <v>1</v>
      </c>
      <c r="T2149" s="15" t="str">
        <f aca="false">IF(J2149=1,"OFFLINE",IF(AND(Q2149&gt;=Inputs!$B$15,R2149=1,S2149=1,P2149&lt;=L2149),"PASS","FAIL"))</f>
        <v>OFFLINE</v>
      </c>
    </row>
    <row r="2150" customFormat="false" ht="15" hidden="false" customHeight="false" outlineLevel="0" collapsed="false">
      <c r="A2150" s="14" t="s">
        <v>1039</v>
      </c>
      <c r="B2150" s="14" t="s">
        <v>1038</v>
      </c>
      <c r="C2150" s="14" t="s">
        <v>166</v>
      </c>
      <c r="D2150" s="14" t="s">
        <v>198</v>
      </c>
      <c r="E2150" s="14" t="s">
        <v>166</v>
      </c>
      <c r="F2150" s="14" t="s">
        <v>199</v>
      </c>
      <c r="G2150" s="14" t="n">
        <v>1</v>
      </c>
      <c r="H2150" s="14" t="s">
        <v>154</v>
      </c>
      <c r="I2150" s="14" t="s">
        <v>892</v>
      </c>
      <c r="J2150" s="15" t="n">
        <f aca="false">IF(B2150="SITE LOSS",IF(D2150=C2150,1,0),IF(B2150="REGION LOSS",IF(E2150=C2150,1,0),0))</f>
        <v>1</v>
      </c>
      <c r="K2150" s="15" t="n">
        <f aca="false">IF(B2150="SITE LOSS",IF(COUNTIFS('Site Dockets'!$B$7:$B$24,C2150,'Site Dockets'!$C$7:$C$24,F2150)&gt;0,1,0),IF(B2150="REGION LOSS",IF(COUNTIFS('Site Dockets'!$E$7:$E$24,C2150,'Site Dockets'!$C$7:$C$24,F2150)&gt;0,1,0),0))</f>
        <v>1</v>
      </c>
      <c r="L2150" s="15" t="n">
        <f aca="false">IF(J2150=1,0,Inputs!$B$11)</f>
        <v>0</v>
      </c>
      <c r="M2150" s="15" t="n">
        <f aca="false">IF(J2150=1,0,Inputs!$B$12)</f>
        <v>0</v>
      </c>
      <c r="N2150" s="15" t="n">
        <f aca="false">IF(J2150=1,0,IF(OR(AND(OR(B2150="SITE LOSS",B2150="REGION LOSS"),K2150=1),AND(B2150="ROLE COMPROMISE",H2150=C2150)),Inputs!$B$13,Inputs!$B$14))</f>
        <v>0</v>
      </c>
      <c r="O2150" s="15" t="n">
        <f aca="false">IF(J2150=1,0,Inputs!$B$13)</f>
        <v>0</v>
      </c>
      <c r="P2150" s="15" t="n">
        <f aca="false">SUM(M2150:N2150)</f>
        <v>0</v>
      </c>
      <c r="Q2150" s="15" t="str">
        <f aca="false">IF(J2150=1,"",L2150-P2150)</f>
        <v/>
      </c>
      <c r="R2150" s="15" t="n">
        <f aca="false">IF(OR(J2150=1,M2150&lt;=Inputs!$B$12),1,0)</f>
        <v>1</v>
      </c>
      <c r="S2150" s="15" t="n">
        <f aca="false">IF(OR(J2150=1,N2150&lt;=O2150),1,0)</f>
        <v>1</v>
      </c>
      <c r="T2150" s="15" t="str">
        <f aca="false">IF(J2150=1,"OFFLINE",IF(AND(Q2150&gt;=Inputs!$B$15,R2150=1,S2150=1,P2150&lt;=L2150),"PASS","FAIL"))</f>
        <v>OFFLINE</v>
      </c>
    </row>
    <row r="2151" customFormat="false" ht="15" hidden="false" customHeight="false" outlineLevel="0" collapsed="false">
      <c r="A2151" s="14" t="s">
        <v>1039</v>
      </c>
      <c r="B2151" s="14" t="s">
        <v>1038</v>
      </c>
      <c r="C2151" s="14" t="s">
        <v>166</v>
      </c>
      <c r="D2151" s="14" t="s">
        <v>198</v>
      </c>
      <c r="E2151" s="14" t="s">
        <v>166</v>
      </c>
      <c r="F2151" s="14" t="s">
        <v>199</v>
      </c>
      <c r="G2151" s="14" t="n">
        <v>1</v>
      </c>
      <c r="H2151" s="14" t="s">
        <v>154</v>
      </c>
      <c r="I2151" s="14" t="s">
        <v>811</v>
      </c>
      <c r="J2151" s="15" t="n">
        <f aca="false">IF(B2151="SITE LOSS",IF(D2151=C2151,1,0),IF(B2151="REGION LOSS",IF(E2151=C2151,1,0),0))</f>
        <v>1</v>
      </c>
      <c r="K2151" s="15" t="n">
        <f aca="false">IF(B2151="SITE LOSS",IF(COUNTIFS('Site Dockets'!$B$7:$B$24,C2151,'Site Dockets'!$C$7:$C$24,F2151)&gt;0,1,0),IF(B2151="REGION LOSS",IF(COUNTIFS('Site Dockets'!$E$7:$E$24,C2151,'Site Dockets'!$C$7:$C$24,F2151)&gt;0,1,0),0))</f>
        <v>1</v>
      </c>
      <c r="L2151" s="15" t="n">
        <f aca="false">IF(J2151=1,0,Inputs!$B$11)</f>
        <v>0</v>
      </c>
      <c r="M2151" s="15" t="n">
        <f aca="false">IF(J2151=1,0,Inputs!$B$12)</f>
        <v>0</v>
      </c>
      <c r="N2151" s="15" t="n">
        <f aca="false">IF(J2151=1,0,IF(OR(AND(OR(B2151="SITE LOSS",B2151="REGION LOSS"),K2151=1),AND(B2151="ROLE COMPROMISE",H2151=C2151)),Inputs!$B$13,Inputs!$B$14))</f>
        <v>0</v>
      </c>
      <c r="O2151" s="15" t="n">
        <f aca="false">IF(J2151=1,0,Inputs!$B$13)</f>
        <v>0</v>
      </c>
      <c r="P2151" s="15" t="n">
        <f aca="false">SUM(M2151:N2151)</f>
        <v>0</v>
      </c>
      <c r="Q2151" s="15" t="str">
        <f aca="false">IF(J2151=1,"",L2151-P2151)</f>
        <v/>
      </c>
      <c r="R2151" s="15" t="n">
        <f aca="false">IF(OR(J2151=1,M2151&lt;=Inputs!$B$12),1,0)</f>
        <v>1</v>
      </c>
      <c r="S2151" s="15" t="n">
        <f aca="false">IF(OR(J2151=1,N2151&lt;=O2151),1,0)</f>
        <v>1</v>
      </c>
      <c r="T2151" s="15" t="str">
        <f aca="false">IF(J2151=1,"OFFLINE",IF(AND(Q2151&gt;=Inputs!$B$15,R2151=1,S2151=1,P2151&lt;=L2151),"PASS","FAIL"))</f>
        <v>OFFLINE</v>
      </c>
    </row>
    <row r="2152" customFormat="false" ht="15" hidden="false" customHeight="false" outlineLevel="0" collapsed="false">
      <c r="A2152" s="14" t="s">
        <v>1039</v>
      </c>
      <c r="B2152" s="14" t="s">
        <v>1038</v>
      </c>
      <c r="C2152" s="14" t="s">
        <v>166</v>
      </c>
      <c r="D2152" s="14" t="s">
        <v>198</v>
      </c>
      <c r="E2152" s="14" t="s">
        <v>166</v>
      </c>
      <c r="F2152" s="14" t="s">
        <v>199</v>
      </c>
      <c r="G2152" s="14" t="n">
        <v>1</v>
      </c>
      <c r="H2152" s="14" t="s">
        <v>154</v>
      </c>
      <c r="I2152" s="14" t="s">
        <v>895</v>
      </c>
      <c r="J2152" s="15" t="n">
        <f aca="false">IF(B2152="SITE LOSS",IF(D2152=C2152,1,0),IF(B2152="REGION LOSS",IF(E2152=C2152,1,0),0))</f>
        <v>1</v>
      </c>
      <c r="K2152" s="15" t="n">
        <f aca="false">IF(B2152="SITE LOSS",IF(COUNTIFS('Site Dockets'!$B$7:$B$24,C2152,'Site Dockets'!$C$7:$C$24,F2152)&gt;0,1,0),IF(B2152="REGION LOSS",IF(COUNTIFS('Site Dockets'!$E$7:$E$24,C2152,'Site Dockets'!$C$7:$C$24,F2152)&gt;0,1,0),0))</f>
        <v>1</v>
      </c>
      <c r="L2152" s="15" t="n">
        <f aca="false">IF(J2152=1,0,Inputs!$B$11)</f>
        <v>0</v>
      </c>
      <c r="M2152" s="15" t="n">
        <f aca="false">IF(J2152=1,0,Inputs!$B$12)</f>
        <v>0</v>
      </c>
      <c r="N2152" s="15" t="n">
        <f aca="false">IF(J2152=1,0,IF(OR(AND(OR(B2152="SITE LOSS",B2152="REGION LOSS"),K2152=1),AND(B2152="ROLE COMPROMISE",H2152=C2152)),Inputs!$B$13,Inputs!$B$14))</f>
        <v>0</v>
      </c>
      <c r="O2152" s="15" t="n">
        <f aca="false">IF(J2152=1,0,Inputs!$B$13)</f>
        <v>0</v>
      </c>
      <c r="P2152" s="15" t="n">
        <f aca="false">SUM(M2152:N2152)</f>
        <v>0</v>
      </c>
      <c r="Q2152" s="15" t="str">
        <f aca="false">IF(J2152=1,"",L2152-P2152)</f>
        <v/>
      </c>
      <c r="R2152" s="15" t="n">
        <f aca="false">IF(OR(J2152=1,M2152&lt;=Inputs!$B$12),1,0)</f>
        <v>1</v>
      </c>
      <c r="S2152" s="15" t="n">
        <f aca="false">IF(OR(J2152=1,N2152&lt;=O2152),1,0)</f>
        <v>1</v>
      </c>
      <c r="T2152" s="15" t="str">
        <f aca="false">IF(J2152=1,"OFFLINE",IF(AND(Q2152&gt;=Inputs!$B$15,R2152=1,S2152=1,P2152&lt;=L2152),"PASS","FAIL"))</f>
        <v>OFFLINE</v>
      </c>
    </row>
    <row r="2153" customFormat="false" ht="15" hidden="false" customHeight="false" outlineLevel="0" collapsed="false">
      <c r="A2153" s="14" t="s">
        <v>1039</v>
      </c>
      <c r="B2153" s="14" t="s">
        <v>1038</v>
      </c>
      <c r="C2153" s="14" t="s">
        <v>166</v>
      </c>
      <c r="D2153" s="14" t="s">
        <v>198</v>
      </c>
      <c r="E2153" s="14" t="s">
        <v>166</v>
      </c>
      <c r="F2153" s="14" t="s">
        <v>199</v>
      </c>
      <c r="G2153" s="14" t="n">
        <v>1</v>
      </c>
      <c r="H2153" s="14" t="s">
        <v>154</v>
      </c>
      <c r="I2153" s="14" t="s">
        <v>897</v>
      </c>
      <c r="J2153" s="15" t="n">
        <f aca="false">IF(B2153="SITE LOSS",IF(D2153=C2153,1,0),IF(B2153="REGION LOSS",IF(E2153=C2153,1,0),0))</f>
        <v>1</v>
      </c>
      <c r="K2153" s="15" t="n">
        <f aca="false">IF(B2153="SITE LOSS",IF(COUNTIFS('Site Dockets'!$B$7:$B$24,C2153,'Site Dockets'!$C$7:$C$24,F2153)&gt;0,1,0),IF(B2153="REGION LOSS",IF(COUNTIFS('Site Dockets'!$E$7:$E$24,C2153,'Site Dockets'!$C$7:$C$24,F2153)&gt;0,1,0),0))</f>
        <v>1</v>
      </c>
      <c r="L2153" s="15" t="n">
        <f aca="false">IF(J2153=1,0,Inputs!$B$11)</f>
        <v>0</v>
      </c>
      <c r="M2153" s="15" t="n">
        <f aca="false">IF(J2153=1,0,Inputs!$B$12)</f>
        <v>0</v>
      </c>
      <c r="N2153" s="15" t="n">
        <f aca="false">IF(J2153=1,0,IF(OR(AND(OR(B2153="SITE LOSS",B2153="REGION LOSS"),K2153=1),AND(B2153="ROLE COMPROMISE",H2153=C2153)),Inputs!$B$13,Inputs!$B$14))</f>
        <v>0</v>
      </c>
      <c r="O2153" s="15" t="n">
        <f aca="false">IF(J2153=1,0,Inputs!$B$13)</f>
        <v>0</v>
      </c>
      <c r="P2153" s="15" t="n">
        <f aca="false">SUM(M2153:N2153)</f>
        <v>0</v>
      </c>
      <c r="Q2153" s="15" t="str">
        <f aca="false">IF(J2153=1,"",L2153-P2153)</f>
        <v/>
      </c>
      <c r="R2153" s="15" t="n">
        <f aca="false">IF(OR(J2153=1,M2153&lt;=Inputs!$B$12),1,0)</f>
        <v>1</v>
      </c>
      <c r="S2153" s="15" t="n">
        <f aca="false">IF(OR(J2153=1,N2153&lt;=O2153),1,0)</f>
        <v>1</v>
      </c>
      <c r="T2153" s="15" t="str">
        <f aca="false">IF(J2153=1,"OFFLINE",IF(AND(Q2153&gt;=Inputs!$B$15,R2153=1,S2153=1,P2153&lt;=L2153),"PASS","FAIL"))</f>
        <v>OFFLINE</v>
      </c>
    </row>
    <row r="2154" customFormat="false" ht="15" hidden="false" customHeight="false" outlineLevel="0" collapsed="false">
      <c r="A2154" s="14" t="s">
        <v>1039</v>
      </c>
      <c r="B2154" s="14" t="s">
        <v>1038</v>
      </c>
      <c r="C2154" s="14" t="s">
        <v>166</v>
      </c>
      <c r="D2154" s="14" t="s">
        <v>198</v>
      </c>
      <c r="E2154" s="14" t="s">
        <v>166</v>
      </c>
      <c r="F2154" s="14" t="s">
        <v>199</v>
      </c>
      <c r="G2154" s="14" t="n">
        <v>1</v>
      </c>
      <c r="H2154" s="14" t="s">
        <v>154</v>
      </c>
      <c r="I2154" s="14" t="s">
        <v>899</v>
      </c>
      <c r="J2154" s="15" t="n">
        <f aca="false">IF(B2154="SITE LOSS",IF(D2154=C2154,1,0),IF(B2154="REGION LOSS",IF(E2154=C2154,1,0),0))</f>
        <v>1</v>
      </c>
      <c r="K2154" s="15" t="n">
        <f aca="false">IF(B2154="SITE LOSS",IF(COUNTIFS('Site Dockets'!$B$7:$B$24,C2154,'Site Dockets'!$C$7:$C$24,F2154)&gt;0,1,0),IF(B2154="REGION LOSS",IF(COUNTIFS('Site Dockets'!$E$7:$E$24,C2154,'Site Dockets'!$C$7:$C$24,F2154)&gt;0,1,0),0))</f>
        <v>1</v>
      </c>
      <c r="L2154" s="15" t="n">
        <f aca="false">IF(J2154=1,0,Inputs!$B$11)</f>
        <v>0</v>
      </c>
      <c r="M2154" s="15" t="n">
        <f aca="false">IF(J2154=1,0,Inputs!$B$12)</f>
        <v>0</v>
      </c>
      <c r="N2154" s="15" t="n">
        <f aca="false">IF(J2154=1,0,IF(OR(AND(OR(B2154="SITE LOSS",B2154="REGION LOSS"),K2154=1),AND(B2154="ROLE COMPROMISE",H2154=C2154)),Inputs!$B$13,Inputs!$B$14))</f>
        <v>0</v>
      </c>
      <c r="O2154" s="15" t="n">
        <f aca="false">IF(J2154=1,0,Inputs!$B$13)</f>
        <v>0</v>
      </c>
      <c r="P2154" s="15" t="n">
        <f aca="false">SUM(M2154:N2154)</f>
        <v>0</v>
      </c>
      <c r="Q2154" s="15" t="str">
        <f aca="false">IF(J2154=1,"",L2154-P2154)</f>
        <v/>
      </c>
      <c r="R2154" s="15" t="n">
        <f aca="false">IF(OR(J2154=1,M2154&lt;=Inputs!$B$12),1,0)</f>
        <v>1</v>
      </c>
      <c r="S2154" s="15" t="n">
        <f aca="false">IF(OR(J2154=1,N2154&lt;=O2154),1,0)</f>
        <v>1</v>
      </c>
      <c r="T2154" s="15" t="str">
        <f aca="false">IF(J2154=1,"OFFLINE",IF(AND(Q2154&gt;=Inputs!$B$15,R2154=1,S2154=1,P2154&lt;=L2154),"PASS","FAIL"))</f>
        <v>OFFLINE</v>
      </c>
    </row>
    <row r="2155" customFormat="false" ht="15" hidden="false" customHeight="false" outlineLevel="0" collapsed="false">
      <c r="A2155" s="14" t="s">
        <v>1039</v>
      </c>
      <c r="B2155" s="14" t="s">
        <v>1038</v>
      </c>
      <c r="C2155" s="14" t="s">
        <v>166</v>
      </c>
      <c r="D2155" s="14" t="s">
        <v>202</v>
      </c>
      <c r="E2155" s="14" t="s">
        <v>157</v>
      </c>
      <c r="F2155" s="14" t="s">
        <v>199</v>
      </c>
      <c r="G2155" s="14" t="n">
        <v>2</v>
      </c>
      <c r="H2155" s="14" t="s">
        <v>153</v>
      </c>
      <c r="I2155" s="14" t="s">
        <v>890</v>
      </c>
      <c r="J2155" s="15" t="n">
        <f aca="false">IF(B2155="SITE LOSS",IF(D2155=C2155,1,0),IF(B2155="REGION LOSS",IF(E2155=C2155,1,0),0))</f>
        <v>0</v>
      </c>
      <c r="K2155" s="15" t="n">
        <f aca="false">IF(B2155="SITE LOSS",IF(COUNTIFS('Site Dockets'!$B$7:$B$24,C2155,'Site Dockets'!$C$7:$C$24,F2155)&gt;0,1,0),IF(B2155="REGION LOSS",IF(COUNTIFS('Site Dockets'!$E$7:$E$24,C2155,'Site Dockets'!$C$7:$C$24,F2155)&gt;0,1,0),0))</f>
        <v>1</v>
      </c>
      <c r="L2155" s="15" t="n">
        <f aca="false">IF(J2155=1,0,Inputs!$B$11)</f>
        <v>100</v>
      </c>
      <c r="M2155" s="15" t="n">
        <f aca="false">IF(J2155=1,0,Inputs!$B$12)</f>
        <v>75</v>
      </c>
      <c r="N2155" s="15" t="n">
        <f aca="false">IF(J2155=1,0,IF(OR(AND(OR(B2155="SITE LOSS",B2155="REGION LOSS"),K2155=1),AND(B2155="ROLE COMPROMISE",H2155=C2155)),Inputs!$B$13,Inputs!$B$14))</f>
        <v>20</v>
      </c>
      <c r="O2155" s="15" t="n">
        <f aca="false">IF(J2155=1,0,Inputs!$B$13)</f>
        <v>20</v>
      </c>
      <c r="P2155" s="15" t="n">
        <f aca="false">SUM(M2155:N2155)</f>
        <v>95</v>
      </c>
      <c r="Q2155" s="15" t="n">
        <f aca="false">IF(J2155=1,"",L2155-P2155)</f>
        <v>5</v>
      </c>
      <c r="R2155" s="15" t="n">
        <f aca="false">IF(OR(J2155=1,M2155&lt;=Inputs!$B$12),1,0)</f>
        <v>1</v>
      </c>
      <c r="S2155" s="15" t="n">
        <f aca="false">IF(OR(J2155=1,N2155&lt;=O2155),1,0)</f>
        <v>1</v>
      </c>
      <c r="T2155" s="15" t="str">
        <f aca="false">IF(J2155=1,"OFFLINE",IF(AND(Q2155&gt;=Inputs!$B$15,R2155=1,S2155=1,P2155&lt;=L2155),"PASS","FAIL"))</f>
        <v>PASS</v>
      </c>
    </row>
    <row r="2156" customFormat="false" ht="15" hidden="false" customHeight="false" outlineLevel="0" collapsed="false">
      <c r="A2156" s="14" t="s">
        <v>1039</v>
      </c>
      <c r="B2156" s="14" t="s">
        <v>1038</v>
      </c>
      <c r="C2156" s="14" t="s">
        <v>166</v>
      </c>
      <c r="D2156" s="14" t="s">
        <v>202</v>
      </c>
      <c r="E2156" s="14" t="s">
        <v>157</v>
      </c>
      <c r="F2156" s="14" t="s">
        <v>199</v>
      </c>
      <c r="G2156" s="14" t="n">
        <v>2</v>
      </c>
      <c r="H2156" s="14" t="s">
        <v>153</v>
      </c>
      <c r="I2156" s="14" t="s">
        <v>892</v>
      </c>
      <c r="J2156" s="15" t="n">
        <f aca="false">IF(B2156="SITE LOSS",IF(D2156=C2156,1,0),IF(B2156="REGION LOSS",IF(E2156=C2156,1,0),0))</f>
        <v>0</v>
      </c>
      <c r="K2156" s="15" t="n">
        <f aca="false">IF(B2156="SITE LOSS",IF(COUNTIFS('Site Dockets'!$B$7:$B$24,C2156,'Site Dockets'!$C$7:$C$24,F2156)&gt;0,1,0),IF(B2156="REGION LOSS",IF(COUNTIFS('Site Dockets'!$E$7:$E$24,C2156,'Site Dockets'!$C$7:$C$24,F2156)&gt;0,1,0),0))</f>
        <v>1</v>
      </c>
      <c r="L2156" s="15" t="n">
        <f aca="false">IF(J2156=1,0,Inputs!$B$11)</f>
        <v>100</v>
      </c>
      <c r="M2156" s="15" t="n">
        <f aca="false">IF(J2156=1,0,Inputs!$B$12)</f>
        <v>75</v>
      </c>
      <c r="N2156" s="15" t="n">
        <f aca="false">IF(J2156=1,0,IF(OR(AND(OR(B2156="SITE LOSS",B2156="REGION LOSS"),K2156=1),AND(B2156="ROLE COMPROMISE",H2156=C2156)),Inputs!$B$13,Inputs!$B$14))</f>
        <v>20</v>
      </c>
      <c r="O2156" s="15" t="n">
        <f aca="false">IF(J2156=1,0,Inputs!$B$13)</f>
        <v>20</v>
      </c>
      <c r="P2156" s="15" t="n">
        <f aca="false">SUM(M2156:N2156)</f>
        <v>95</v>
      </c>
      <c r="Q2156" s="15" t="n">
        <f aca="false">IF(J2156=1,"",L2156-P2156)</f>
        <v>5</v>
      </c>
      <c r="R2156" s="15" t="n">
        <f aca="false">IF(OR(J2156=1,M2156&lt;=Inputs!$B$12),1,0)</f>
        <v>1</v>
      </c>
      <c r="S2156" s="15" t="n">
        <f aca="false">IF(OR(J2156=1,N2156&lt;=O2156),1,0)</f>
        <v>1</v>
      </c>
      <c r="T2156" s="15" t="str">
        <f aca="false">IF(J2156=1,"OFFLINE",IF(AND(Q2156&gt;=Inputs!$B$15,R2156=1,S2156=1,P2156&lt;=L2156),"PASS","FAIL"))</f>
        <v>PASS</v>
      </c>
    </row>
    <row r="2157" customFormat="false" ht="15" hidden="false" customHeight="false" outlineLevel="0" collapsed="false">
      <c r="A2157" s="14" t="s">
        <v>1039</v>
      </c>
      <c r="B2157" s="14" t="s">
        <v>1038</v>
      </c>
      <c r="C2157" s="14" t="s">
        <v>166</v>
      </c>
      <c r="D2157" s="14" t="s">
        <v>202</v>
      </c>
      <c r="E2157" s="14" t="s">
        <v>157</v>
      </c>
      <c r="F2157" s="14" t="s">
        <v>199</v>
      </c>
      <c r="G2157" s="14" t="n">
        <v>2</v>
      </c>
      <c r="H2157" s="14" t="s">
        <v>153</v>
      </c>
      <c r="I2157" s="14" t="s">
        <v>811</v>
      </c>
      <c r="J2157" s="15" t="n">
        <f aca="false">IF(B2157="SITE LOSS",IF(D2157=C2157,1,0),IF(B2157="REGION LOSS",IF(E2157=C2157,1,0),0))</f>
        <v>0</v>
      </c>
      <c r="K2157" s="15" t="n">
        <f aca="false">IF(B2157="SITE LOSS",IF(COUNTIFS('Site Dockets'!$B$7:$B$24,C2157,'Site Dockets'!$C$7:$C$24,F2157)&gt;0,1,0),IF(B2157="REGION LOSS",IF(COUNTIFS('Site Dockets'!$E$7:$E$24,C2157,'Site Dockets'!$C$7:$C$24,F2157)&gt;0,1,0),0))</f>
        <v>1</v>
      </c>
      <c r="L2157" s="15" t="n">
        <f aca="false">IF(J2157=1,0,Inputs!$B$11)</f>
        <v>100</v>
      </c>
      <c r="M2157" s="15" t="n">
        <f aca="false">IF(J2157=1,0,Inputs!$B$12)</f>
        <v>75</v>
      </c>
      <c r="N2157" s="15" t="n">
        <f aca="false">IF(J2157=1,0,IF(OR(AND(OR(B2157="SITE LOSS",B2157="REGION LOSS"),K2157=1),AND(B2157="ROLE COMPROMISE",H2157=C2157)),Inputs!$B$13,Inputs!$B$14))</f>
        <v>20</v>
      </c>
      <c r="O2157" s="15" t="n">
        <f aca="false">IF(J2157=1,0,Inputs!$B$13)</f>
        <v>20</v>
      </c>
      <c r="P2157" s="15" t="n">
        <f aca="false">SUM(M2157:N2157)</f>
        <v>95</v>
      </c>
      <c r="Q2157" s="15" t="n">
        <f aca="false">IF(J2157=1,"",L2157-P2157)</f>
        <v>5</v>
      </c>
      <c r="R2157" s="15" t="n">
        <f aca="false">IF(OR(J2157=1,M2157&lt;=Inputs!$B$12),1,0)</f>
        <v>1</v>
      </c>
      <c r="S2157" s="15" t="n">
        <f aca="false">IF(OR(J2157=1,N2157&lt;=O2157),1,0)</f>
        <v>1</v>
      </c>
      <c r="T2157" s="15" t="str">
        <f aca="false">IF(J2157=1,"OFFLINE",IF(AND(Q2157&gt;=Inputs!$B$15,R2157=1,S2157=1,P2157&lt;=L2157),"PASS","FAIL"))</f>
        <v>PASS</v>
      </c>
    </row>
    <row r="2158" customFormat="false" ht="15" hidden="false" customHeight="false" outlineLevel="0" collapsed="false">
      <c r="A2158" s="14" t="s">
        <v>1039</v>
      </c>
      <c r="B2158" s="14" t="s">
        <v>1038</v>
      </c>
      <c r="C2158" s="14" t="s">
        <v>166</v>
      </c>
      <c r="D2158" s="14" t="s">
        <v>202</v>
      </c>
      <c r="E2158" s="14" t="s">
        <v>157</v>
      </c>
      <c r="F2158" s="14" t="s">
        <v>199</v>
      </c>
      <c r="G2158" s="14" t="n">
        <v>2</v>
      </c>
      <c r="H2158" s="14" t="s">
        <v>153</v>
      </c>
      <c r="I2158" s="14" t="s">
        <v>895</v>
      </c>
      <c r="J2158" s="15" t="n">
        <f aca="false">IF(B2158="SITE LOSS",IF(D2158=C2158,1,0),IF(B2158="REGION LOSS",IF(E2158=C2158,1,0),0))</f>
        <v>0</v>
      </c>
      <c r="K2158" s="15" t="n">
        <f aca="false">IF(B2158="SITE LOSS",IF(COUNTIFS('Site Dockets'!$B$7:$B$24,C2158,'Site Dockets'!$C$7:$C$24,F2158)&gt;0,1,0),IF(B2158="REGION LOSS",IF(COUNTIFS('Site Dockets'!$E$7:$E$24,C2158,'Site Dockets'!$C$7:$C$24,F2158)&gt;0,1,0),0))</f>
        <v>1</v>
      </c>
      <c r="L2158" s="15" t="n">
        <f aca="false">IF(J2158=1,0,Inputs!$B$11)</f>
        <v>100</v>
      </c>
      <c r="M2158" s="15" t="n">
        <f aca="false">IF(J2158=1,0,Inputs!$B$12)</f>
        <v>75</v>
      </c>
      <c r="N2158" s="15" t="n">
        <f aca="false">IF(J2158=1,0,IF(OR(AND(OR(B2158="SITE LOSS",B2158="REGION LOSS"),K2158=1),AND(B2158="ROLE COMPROMISE",H2158=C2158)),Inputs!$B$13,Inputs!$B$14))</f>
        <v>20</v>
      </c>
      <c r="O2158" s="15" t="n">
        <f aca="false">IF(J2158=1,0,Inputs!$B$13)</f>
        <v>20</v>
      </c>
      <c r="P2158" s="15" t="n">
        <f aca="false">SUM(M2158:N2158)</f>
        <v>95</v>
      </c>
      <c r="Q2158" s="15" t="n">
        <f aca="false">IF(J2158=1,"",L2158-P2158)</f>
        <v>5</v>
      </c>
      <c r="R2158" s="15" t="n">
        <f aca="false">IF(OR(J2158=1,M2158&lt;=Inputs!$B$12),1,0)</f>
        <v>1</v>
      </c>
      <c r="S2158" s="15" t="n">
        <f aca="false">IF(OR(J2158=1,N2158&lt;=O2158),1,0)</f>
        <v>1</v>
      </c>
      <c r="T2158" s="15" t="str">
        <f aca="false">IF(J2158=1,"OFFLINE",IF(AND(Q2158&gt;=Inputs!$B$15,R2158=1,S2158=1,P2158&lt;=L2158),"PASS","FAIL"))</f>
        <v>PASS</v>
      </c>
    </row>
    <row r="2159" customFormat="false" ht="15" hidden="false" customHeight="false" outlineLevel="0" collapsed="false">
      <c r="A2159" s="14" t="s">
        <v>1039</v>
      </c>
      <c r="B2159" s="14" t="s">
        <v>1038</v>
      </c>
      <c r="C2159" s="14" t="s">
        <v>166</v>
      </c>
      <c r="D2159" s="14" t="s">
        <v>202</v>
      </c>
      <c r="E2159" s="14" t="s">
        <v>157</v>
      </c>
      <c r="F2159" s="14" t="s">
        <v>199</v>
      </c>
      <c r="G2159" s="14" t="n">
        <v>2</v>
      </c>
      <c r="H2159" s="14" t="s">
        <v>153</v>
      </c>
      <c r="I2159" s="14" t="s">
        <v>897</v>
      </c>
      <c r="J2159" s="15" t="n">
        <f aca="false">IF(B2159="SITE LOSS",IF(D2159=C2159,1,0),IF(B2159="REGION LOSS",IF(E2159=C2159,1,0),0))</f>
        <v>0</v>
      </c>
      <c r="K2159" s="15" t="n">
        <f aca="false">IF(B2159="SITE LOSS",IF(COUNTIFS('Site Dockets'!$B$7:$B$24,C2159,'Site Dockets'!$C$7:$C$24,F2159)&gt;0,1,0),IF(B2159="REGION LOSS",IF(COUNTIFS('Site Dockets'!$E$7:$E$24,C2159,'Site Dockets'!$C$7:$C$24,F2159)&gt;0,1,0),0))</f>
        <v>1</v>
      </c>
      <c r="L2159" s="15" t="n">
        <f aca="false">IF(J2159=1,0,Inputs!$B$11)</f>
        <v>100</v>
      </c>
      <c r="M2159" s="15" t="n">
        <f aca="false">IF(J2159=1,0,Inputs!$B$12)</f>
        <v>75</v>
      </c>
      <c r="N2159" s="15" t="n">
        <f aca="false">IF(J2159=1,0,IF(OR(AND(OR(B2159="SITE LOSS",B2159="REGION LOSS"),K2159=1),AND(B2159="ROLE COMPROMISE",H2159=C2159)),Inputs!$B$13,Inputs!$B$14))</f>
        <v>20</v>
      </c>
      <c r="O2159" s="15" t="n">
        <f aca="false">IF(J2159=1,0,Inputs!$B$13)</f>
        <v>20</v>
      </c>
      <c r="P2159" s="15" t="n">
        <f aca="false">SUM(M2159:N2159)</f>
        <v>95</v>
      </c>
      <c r="Q2159" s="15" t="n">
        <f aca="false">IF(J2159=1,"",L2159-P2159)</f>
        <v>5</v>
      </c>
      <c r="R2159" s="15" t="n">
        <f aca="false">IF(OR(J2159=1,M2159&lt;=Inputs!$B$12),1,0)</f>
        <v>1</v>
      </c>
      <c r="S2159" s="15" t="n">
        <f aca="false">IF(OR(J2159=1,N2159&lt;=O2159),1,0)</f>
        <v>1</v>
      </c>
      <c r="T2159" s="15" t="str">
        <f aca="false">IF(J2159=1,"OFFLINE",IF(AND(Q2159&gt;=Inputs!$B$15,R2159=1,S2159=1,P2159&lt;=L2159),"PASS","FAIL"))</f>
        <v>PASS</v>
      </c>
    </row>
    <row r="2160" customFormat="false" ht="15" hidden="false" customHeight="false" outlineLevel="0" collapsed="false">
      <c r="A2160" s="14" t="s">
        <v>1039</v>
      </c>
      <c r="B2160" s="14" t="s">
        <v>1038</v>
      </c>
      <c r="C2160" s="14" t="s">
        <v>166</v>
      </c>
      <c r="D2160" s="14" t="s">
        <v>202</v>
      </c>
      <c r="E2160" s="14" t="s">
        <v>157</v>
      </c>
      <c r="F2160" s="14" t="s">
        <v>199</v>
      </c>
      <c r="G2160" s="14" t="n">
        <v>2</v>
      </c>
      <c r="H2160" s="14" t="s">
        <v>153</v>
      </c>
      <c r="I2160" s="14" t="s">
        <v>899</v>
      </c>
      <c r="J2160" s="15" t="n">
        <f aca="false">IF(B2160="SITE LOSS",IF(D2160=C2160,1,0),IF(B2160="REGION LOSS",IF(E2160=C2160,1,0),0))</f>
        <v>0</v>
      </c>
      <c r="K2160" s="15" t="n">
        <f aca="false">IF(B2160="SITE LOSS",IF(COUNTIFS('Site Dockets'!$B$7:$B$24,C2160,'Site Dockets'!$C$7:$C$24,F2160)&gt;0,1,0),IF(B2160="REGION LOSS",IF(COUNTIFS('Site Dockets'!$E$7:$E$24,C2160,'Site Dockets'!$C$7:$C$24,F2160)&gt;0,1,0),0))</f>
        <v>1</v>
      </c>
      <c r="L2160" s="15" t="n">
        <f aca="false">IF(J2160=1,0,Inputs!$B$11)</f>
        <v>100</v>
      </c>
      <c r="M2160" s="15" t="n">
        <f aca="false">IF(J2160=1,0,Inputs!$B$12)</f>
        <v>75</v>
      </c>
      <c r="N2160" s="15" t="n">
        <f aca="false">IF(J2160=1,0,IF(OR(AND(OR(B2160="SITE LOSS",B2160="REGION LOSS"),K2160=1),AND(B2160="ROLE COMPROMISE",H2160=C2160)),Inputs!$B$13,Inputs!$B$14))</f>
        <v>20</v>
      </c>
      <c r="O2160" s="15" t="n">
        <f aca="false">IF(J2160=1,0,Inputs!$B$13)</f>
        <v>20</v>
      </c>
      <c r="P2160" s="15" t="n">
        <f aca="false">SUM(M2160:N2160)</f>
        <v>95</v>
      </c>
      <c r="Q2160" s="15" t="n">
        <f aca="false">IF(J2160=1,"",L2160-P2160)</f>
        <v>5</v>
      </c>
      <c r="R2160" s="15" t="n">
        <f aca="false">IF(OR(J2160=1,M2160&lt;=Inputs!$B$12),1,0)</f>
        <v>1</v>
      </c>
      <c r="S2160" s="15" t="n">
        <f aca="false">IF(OR(J2160=1,N2160&lt;=O2160),1,0)</f>
        <v>1</v>
      </c>
      <c r="T2160" s="15" t="str">
        <f aca="false">IF(J2160=1,"OFFLINE",IF(AND(Q2160&gt;=Inputs!$B$15,R2160=1,S2160=1,P2160&lt;=L2160),"PASS","FAIL"))</f>
        <v>PASS</v>
      </c>
    </row>
    <row r="2161" customFormat="false" ht="15" hidden="false" customHeight="false" outlineLevel="0" collapsed="false">
      <c r="A2161" s="14" t="s">
        <v>1039</v>
      </c>
      <c r="B2161" s="14" t="s">
        <v>1038</v>
      </c>
      <c r="C2161" s="14" t="s">
        <v>166</v>
      </c>
      <c r="D2161" s="14" t="s">
        <v>204</v>
      </c>
      <c r="E2161" s="14" t="s">
        <v>161</v>
      </c>
      <c r="F2161" s="14" t="s">
        <v>199</v>
      </c>
      <c r="G2161" s="14" t="n">
        <v>3</v>
      </c>
      <c r="H2161" s="14" t="s">
        <v>158</v>
      </c>
      <c r="I2161" s="14" t="s">
        <v>890</v>
      </c>
      <c r="J2161" s="15" t="n">
        <f aca="false">IF(B2161="SITE LOSS",IF(D2161=C2161,1,0),IF(B2161="REGION LOSS",IF(E2161=C2161,1,0),0))</f>
        <v>0</v>
      </c>
      <c r="K2161" s="15" t="n">
        <f aca="false">IF(B2161="SITE LOSS",IF(COUNTIFS('Site Dockets'!$B$7:$B$24,C2161,'Site Dockets'!$C$7:$C$24,F2161)&gt;0,1,0),IF(B2161="REGION LOSS",IF(COUNTIFS('Site Dockets'!$E$7:$E$24,C2161,'Site Dockets'!$C$7:$C$24,F2161)&gt;0,1,0),0))</f>
        <v>1</v>
      </c>
      <c r="L2161" s="15" t="n">
        <f aca="false">IF(J2161=1,0,Inputs!$B$11)</f>
        <v>100</v>
      </c>
      <c r="M2161" s="15" t="n">
        <f aca="false">IF(J2161=1,0,Inputs!$B$12)</f>
        <v>75</v>
      </c>
      <c r="N2161" s="15" t="n">
        <f aca="false">IF(J2161=1,0,IF(OR(AND(OR(B2161="SITE LOSS",B2161="REGION LOSS"),K2161=1),AND(B2161="ROLE COMPROMISE",H2161=C2161)),Inputs!$B$13,Inputs!$B$14))</f>
        <v>20</v>
      </c>
      <c r="O2161" s="15" t="n">
        <f aca="false">IF(J2161=1,0,Inputs!$B$13)</f>
        <v>20</v>
      </c>
      <c r="P2161" s="15" t="n">
        <f aca="false">SUM(M2161:N2161)</f>
        <v>95</v>
      </c>
      <c r="Q2161" s="15" t="n">
        <f aca="false">IF(J2161=1,"",L2161-P2161)</f>
        <v>5</v>
      </c>
      <c r="R2161" s="15" t="n">
        <f aca="false">IF(OR(J2161=1,M2161&lt;=Inputs!$B$12),1,0)</f>
        <v>1</v>
      </c>
      <c r="S2161" s="15" t="n">
        <f aca="false">IF(OR(J2161=1,N2161&lt;=O2161),1,0)</f>
        <v>1</v>
      </c>
      <c r="T2161" s="15" t="str">
        <f aca="false">IF(J2161=1,"OFFLINE",IF(AND(Q2161&gt;=Inputs!$B$15,R2161=1,S2161=1,P2161&lt;=L2161),"PASS","FAIL"))</f>
        <v>PASS</v>
      </c>
    </row>
    <row r="2162" customFormat="false" ht="15" hidden="false" customHeight="false" outlineLevel="0" collapsed="false">
      <c r="A2162" s="14" t="s">
        <v>1039</v>
      </c>
      <c r="B2162" s="14" t="s">
        <v>1038</v>
      </c>
      <c r="C2162" s="14" t="s">
        <v>166</v>
      </c>
      <c r="D2162" s="14" t="s">
        <v>204</v>
      </c>
      <c r="E2162" s="14" t="s">
        <v>161</v>
      </c>
      <c r="F2162" s="14" t="s">
        <v>199</v>
      </c>
      <c r="G2162" s="14" t="n">
        <v>3</v>
      </c>
      <c r="H2162" s="14" t="s">
        <v>158</v>
      </c>
      <c r="I2162" s="14" t="s">
        <v>892</v>
      </c>
      <c r="J2162" s="15" t="n">
        <f aca="false">IF(B2162="SITE LOSS",IF(D2162=C2162,1,0),IF(B2162="REGION LOSS",IF(E2162=C2162,1,0),0))</f>
        <v>0</v>
      </c>
      <c r="K2162" s="15" t="n">
        <f aca="false">IF(B2162="SITE LOSS",IF(COUNTIFS('Site Dockets'!$B$7:$B$24,C2162,'Site Dockets'!$C$7:$C$24,F2162)&gt;0,1,0),IF(B2162="REGION LOSS",IF(COUNTIFS('Site Dockets'!$E$7:$E$24,C2162,'Site Dockets'!$C$7:$C$24,F2162)&gt;0,1,0),0))</f>
        <v>1</v>
      </c>
      <c r="L2162" s="15" t="n">
        <f aca="false">IF(J2162=1,0,Inputs!$B$11)</f>
        <v>100</v>
      </c>
      <c r="M2162" s="15" t="n">
        <f aca="false">IF(J2162=1,0,Inputs!$B$12)</f>
        <v>75</v>
      </c>
      <c r="N2162" s="15" t="n">
        <f aca="false">IF(J2162=1,0,IF(OR(AND(OR(B2162="SITE LOSS",B2162="REGION LOSS"),K2162=1),AND(B2162="ROLE COMPROMISE",H2162=C2162)),Inputs!$B$13,Inputs!$B$14))</f>
        <v>20</v>
      </c>
      <c r="O2162" s="15" t="n">
        <f aca="false">IF(J2162=1,0,Inputs!$B$13)</f>
        <v>20</v>
      </c>
      <c r="P2162" s="15" t="n">
        <f aca="false">SUM(M2162:N2162)</f>
        <v>95</v>
      </c>
      <c r="Q2162" s="15" t="n">
        <f aca="false">IF(J2162=1,"",L2162-P2162)</f>
        <v>5</v>
      </c>
      <c r="R2162" s="15" t="n">
        <f aca="false">IF(OR(J2162=1,M2162&lt;=Inputs!$B$12),1,0)</f>
        <v>1</v>
      </c>
      <c r="S2162" s="15" t="n">
        <f aca="false">IF(OR(J2162=1,N2162&lt;=O2162),1,0)</f>
        <v>1</v>
      </c>
      <c r="T2162" s="15" t="str">
        <f aca="false">IF(J2162=1,"OFFLINE",IF(AND(Q2162&gt;=Inputs!$B$15,R2162=1,S2162=1,P2162&lt;=L2162),"PASS","FAIL"))</f>
        <v>PASS</v>
      </c>
    </row>
    <row r="2163" customFormat="false" ht="15" hidden="false" customHeight="false" outlineLevel="0" collapsed="false">
      <c r="A2163" s="14" t="s">
        <v>1039</v>
      </c>
      <c r="B2163" s="14" t="s">
        <v>1038</v>
      </c>
      <c r="C2163" s="14" t="s">
        <v>166</v>
      </c>
      <c r="D2163" s="14" t="s">
        <v>204</v>
      </c>
      <c r="E2163" s="14" t="s">
        <v>161</v>
      </c>
      <c r="F2163" s="14" t="s">
        <v>199</v>
      </c>
      <c r="G2163" s="14" t="n">
        <v>3</v>
      </c>
      <c r="H2163" s="14" t="s">
        <v>158</v>
      </c>
      <c r="I2163" s="14" t="s">
        <v>811</v>
      </c>
      <c r="J2163" s="15" t="n">
        <f aca="false">IF(B2163="SITE LOSS",IF(D2163=C2163,1,0),IF(B2163="REGION LOSS",IF(E2163=C2163,1,0),0))</f>
        <v>0</v>
      </c>
      <c r="K2163" s="15" t="n">
        <f aca="false">IF(B2163="SITE LOSS",IF(COUNTIFS('Site Dockets'!$B$7:$B$24,C2163,'Site Dockets'!$C$7:$C$24,F2163)&gt;0,1,0),IF(B2163="REGION LOSS",IF(COUNTIFS('Site Dockets'!$E$7:$E$24,C2163,'Site Dockets'!$C$7:$C$24,F2163)&gt;0,1,0),0))</f>
        <v>1</v>
      </c>
      <c r="L2163" s="15" t="n">
        <f aca="false">IF(J2163=1,0,Inputs!$B$11)</f>
        <v>100</v>
      </c>
      <c r="M2163" s="15" t="n">
        <f aca="false">IF(J2163=1,0,Inputs!$B$12)</f>
        <v>75</v>
      </c>
      <c r="N2163" s="15" t="n">
        <f aca="false">IF(J2163=1,0,IF(OR(AND(OR(B2163="SITE LOSS",B2163="REGION LOSS"),K2163=1),AND(B2163="ROLE COMPROMISE",H2163=C2163)),Inputs!$B$13,Inputs!$B$14))</f>
        <v>20</v>
      </c>
      <c r="O2163" s="15" t="n">
        <f aca="false">IF(J2163=1,0,Inputs!$B$13)</f>
        <v>20</v>
      </c>
      <c r="P2163" s="15" t="n">
        <f aca="false">SUM(M2163:N2163)</f>
        <v>95</v>
      </c>
      <c r="Q2163" s="15" t="n">
        <f aca="false">IF(J2163=1,"",L2163-P2163)</f>
        <v>5</v>
      </c>
      <c r="R2163" s="15" t="n">
        <f aca="false">IF(OR(J2163=1,M2163&lt;=Inputs!$B$12),1,0)</f>
        <v>1</v>
      </c>
      <c r="S2163" s="15" t="n">
        <f aca="false">IF(OR(J2163=1,N2163&lt;=O2163),1,0)</f>
        <v>1</v>
      </c>
      <c r="T2163" s="15" t="str">
        <f aca="false">IF(J2163=1,"OFFLINE",IF(AND(Q2163&gt;=Inputs!$B$15,R2163=1,S2163=1,P2163&lt;=L2163),"PASS","FAIL"))</f>
        <v>PASS</v>
      </c>
    </row>
    <row r="2164" customFormat="false" ht="15" hidden="false" customHeight="false" outlineLevel="0" collapsed="false">
      <c r="A2164" s="14" t="s">
        <v>1039</v>
      </c>
      <c r="B2164" s="14" t="s">
        <v>1038</v>
      </c>
      <c r="C2164" s="14" t="s">
        <v>166</v>
      </c>
      <c r="D2164" s="14" t="s">
        <v>204</v>
      </c>
      <c r="E2164" s="14" t="s">
        <v>161</v>
      </c>
      <c r="F2164" s="14" t="s">
        <v>199</v>
      </c>
      <c r="G2164" s="14" t="n">
        <v>3</v>
      </c>
      <c r="H2164" s="14" t="s">
        <v>158</v>
      </c>
      <c r="I2164" s="14" t="s">
        <v>895</v>
      </c>
      <c r="J2164" s="15" t="n">
        <f aca="false">IF(B2164="SITE LOSS",IF(D2164=C2164,1,0),IF(B2164="REGION LOSS",IF(E2164=C2164,1,0),0))</f>
        <v>0</v>
      </c>
      <c r="K2164" s="15" t="n">
        <f aca="false">IF(B2164="SITE LOSS",IF(COUNTIFS('Site Dockets'!$B$7:$B$24,C2164,'Site Dockets'!$C$7:$C$24,F2164)&gt;0,1,0),IF(B2164="REGION LOSS",IF(COUNTIFS('Site Dockets'!$E$7:$E$24,C2164,'Site Dockets'!$C$7:$C$24,F2164)&gt;0,1,0),0))</f>
        <v>1</v>
      </c>
      <c r="L2164" s="15" t="n">
        <f aca="false">IF(J2164=1,0,Inputs!$B$11)</f>
        <v>100</v>
      </c>
      <c r="M2164" s="15" t="n">
        <f aca="false">IF(J2164=1,0,Inputs!$B$12)</f>
        <v>75</v>
      </c>
      <c r="N2164" s="15" t="n">
        <f aca="false">IF(J2164=1,0,IF(OR(AND(OR(B2164="SITE LOSS",B2164="REGION LOSS"),K2164=1),AND(B2164="ROLE COMPROMISE",H2164=C2164)),Inputs!$B$13,Inputs!$B$14))</f>
        <v>20</v>
      </c>
      <c r="O2164" s="15" t="n">
        <f aca="false">IF(J2164=1,0,Inputs!$B$13)</f>
        <v>20</v>
      </c>
      <c r="P2164" s="15" t="n">
        <f aca="false">SUM(M2164:N2164)</f>
        <v>95</v>
      </c>
      <c r="Q2164" s="15" t="n">
        <f aca="false">IF(J2164=1,"",L2164-P2164)</f>
        <v>5</v>
      </c>
      <c r="R2164" s="15" t="n">
        <f aca="false">IF(OR(J2164=1,M2164&lt;=Inputs!$B$12),1,0)</f>
        <v>1</v>
      </c>
      <c r="S2164" s="15" t="n">
        <f aca="false">IF(OR(J2164=1,N2164&lt;=O2164),1,0)</f>
        <v>1</v>
      </c>
      <c r="T2164" s="15" t="str">
        <f aca="false">IF(J2164=1,"OFFLINE",IF(AND(Q2164&gt;=Inputs!$B$15,R2164=1,S2164=1,P2164&lt;=L2164),"PASS","FAIL"))</f>
        <v>PASS</v>
      </c>
    </row>
    <row r="2165" customFormat="false" ht="15" hidden="false" customHeight="false" outlineLevel="0" collapsed="false">
      <c r="A2165" s="14" t="s">
        <v>1039</v>
      </c>
      <c r="B2165" s="14" t="s">
        <v>1038</v>
      </c>
      <c r="C2165" s="14" t="s">
        <v>166</v>
      </c>
      <c r="D2165" s="14" t="s">
        <v>204</v>
      </c>
      <c r="E2165" s="14" t="s">
        <v>161</v>
      </c>
      <c r="F2165" s="14" t="s">
        <v>199</v>
      </c>
      <c r="G2165" s="14" t="n">
        <v>3</v>
      </c>
      <c r="H2165" s="14" t="s">
        <v>158</v>
      </c>
      <c r="I2165" s="14" t="s">
        <v>897</v>
      </c>
      <c r="J2165" s="15" t="n">
        <f aca="false">IF(B2165="SITE LOSS",IF(D2165=C2165,1,0),IF(B2165="REGION LOSS",IF(E2165=C2165,1,0),0))</f>
        <v>0</v>
      </c>
      <c r="K2165" s="15" t="n">
        <f aca="false">IF(B2165="SITE LOSS",IF(COUNTIFS('Site Dockets'!$B$7:$B$24,C2165,'Site Dockets'!$C$7:$C$24,F2165)&gt;0,1,0),IF(B2165="REGION LOSS",IF(COUNTIFS('Site Dockets'!$E$7:$E$24,C2165,'Site Dockets'!$C$7:$C$24,F2165)&gt;0,1,0),0))</f>
        <v>1</v>
      </c>
      <c r="L2165" s="15" t="n">
        <f aca="false">IF(J2165=1,0,Inputs!$B$11)</f>
        <v>100</v>
      </c>
      <c r="M2165" s="15" t="n">
        <f aca="false">IF(J2165=1,0,Inputs!$B$12)</f>
        <v>75</v>
      </c>
      <c r="N2165" s="15" t="n">
        <f aca="false">IF(J2165=1,0,IF(OR(AND(OR(B2165="SITE LOSS",B2165="REGION LOSS"),K2165=1),AND(B2165="ROLE COMPROMISE",H2165=C2165)),Inputs!$B$13,Inputs!$B$14))</f>
        <v>20</v>
      </c>
      <c r="O2165" s="15" t="n">
        <f aca="false">IF(J2165=1,0,Inputs!$B$13)</f>
        <v>20</v>
      </c>
      <c r="P2165" s="15" t="n">
        <f aca="false">SUM(M2165:N2165)</f>
        <v>95</v>
      </c>
      <c r="Q2165" s="15" t="n">
        <f aca="false">IF(J2165=1,"",L2165-P2165)</f>
        <v>5</v>
      </c>
      <c r="R2165" s="15" t="n">
        <f aca="false">IF(OR(J2165=1,M2165&lt;=Inputs!$B$12),1,0)</f>
        <v>1</v>
      </c>
      <c r="S2165" s="15" t="n">
        <f aca="false">IF(OR(J2165=1,N2165&lt;=O2165),1,0)</f>
        <v>1</v>
      </c>
      <c r="T2165" s="15" t="str">
        <f aca="false">IF(J2165=1,"OFFLINE",IF(AND(Q2165&gt;=Inputs!$B$15,R2165=1,S2165=1,P2165&lt;=L2165),"PASS","FAIL"))</f>
        <v>PASS</v>
      </c>
    </row>
    <row r="2166" customFormat="false" ht="15" hidden="false" customHeight="false" outlineLevel="0" collapsed="false">
      <c r="A2166" s="14" t="s">
        <v>1039</v>
      </c>
      <c r="B2166" s="14" t="s">
        <v>1038</v>
      </c>
      <c r="C2166" s="14" t="s">
        <v>166</v>
      </c>
      <c r="D2166" s="14" t="s">
        <v>204</v>
      </c>
      <c r="E2166" s="14" t="s">
        <v>161</v>
      </c>
      <c r="F2166" s="14" t="s">
        <v>199</v>
      </c>
      <c r="G2166" s="14" t="n">
        <v>3</v>
      </c>
      <c r="H2166" s="14" t="s">
        <v>158</v>
      </c>
      <c r="I2166" s="14" t="s">
        <v>899</v>
      </c>
      <c r="J2166" s="15" t="n">
        <f aca="false">IF(B2166="SITE LOSS",IF(D2166=C2166,1,0),IF(B2166="REGION LOSS",IF(E2166=C2166,1,0),0))</f>
        <v>0</v>
      </c>
      <c r="K2166" s="15" t="n">
        <f aca="false">IF(B2166="SITE LOSS",IF(COUNTIFS('Site Dockets'!$B$7:$B$24,C2166,'Site Dockets'!$C$7:$C$24,F2166)&gt;0,1,0),IF(B2166="REGION LOSS",IF(COUNTIFS('Site Dockets'!$E$7:$E$24,C2166,'Site Dockets'!$C$7:$C$24,F2166)&gt;0,1,0),0))</f>
        <v>1</v>
      </c>
      <c r="L2166" s="15" t="n">
        <f aca="false">IF(J2166=1,0,Inputs!$B$11)</f>
        <v>100</v>
      </c>
      <c r="M2166" s="15" t="n">
        <f aca="false">IF(J2166=1,0,Inputs!$B$12)</f>
        <v>75</v>
      </c>
      <c r="N2166" s="15" t="n">
        <f aca="false">IF(J2166=1,0,IF(OR(AND(OR(B2166="SITE LOSS",B2166="REGION LOSS"),K2166=1),AND(B2166="ROLE COMPROMISE",H2166=C2166)),Inputs!$B$13,Inputs!$B$14))</f>
        <v>20</v>
      </c>
      <c r="O2166" s="15" t="n">
        <f aca="false">IF(J2166=1,0,Inputs!$B$13)</f>
        <v>20</v>
      </c>
      <c r="P2166" s="15" t="n">
        <f aca="false">SUM(M2166:N2166)</f>
        <v>95</v>
      </c>
      <c r="Q2166" s="15" t="n">
        <f aca="false">IF(J2166=1,"",L2166-P2166)</f>
        <v>5</v>
      </c>
      <c r="R2166" s="15" t="n">
        <f aca="false">IF(OR(J2166=1,M2166&lt;=Inputs!$B$12),1,0)</f>
        <v>1</v>
      </c>
      <c r="S2166" s="15" t="n">
        <f aca="false">IF(OR(J2166=1,N2166&lt;=O2166),1,0)</f>
        <v>1</v>
      </c>
      <c r="T2166" s="15" t="str">
        <f aca="false">IF(J2166=1,"OFFLINE",IF(AND(Q2166&gt;=Inputs!$B$15,R2166=1,S2166=1,P2166&lt;=L2166),"PASS","FAIL"))</f>
        <v>PASS</v>
      </c>
    </row>
    <row r="2167" customFormat="false" ht="15" hidden="false" customHeight="false" outlineLevel="0" collapsed="false">
      <c r="A2167" s="14" t="s">
        <v>1040</v>
      </c>
      <c r="B2167" s="14" t="s">
        <v>1038</v>
      </c>
      <c r="C2167" s="14" t="s">
        <v>157</v>
      </c>
      <c r="D2167" s="14" t="s">
        <v>149</v>
      </c>
      <c r="E2167" s="14" t="s">
        <v>152</v>
      </c>
      <c r="F2167" s="14" t="s">
        <v>150</v>
      </c>
      <c r="G2167" s="14" t="n">
        <v>1</v>
      </c>
      <c r="H2167" s="14" t="s">
        <v>154</v>
      </c>
      <c r="I2167" s="14" t="s">
        <v>890</v>
      </c>
      <c r="J2167" s="15" t="n">
        <f aca="false">IF(B2167="SITE LOSS",IF(D2167=C2167,1,0),IF(B2167="REGION LOSS",IF(E2167=C2167,1,0),0))</f>
        <v>0</v>
      </c>
      <c r="K2167" s="15" t="n">
        <f aca="false">IF(B2167="SITE LOSS",IF(COUNTIFS('Site Dockets'!$B$7:$B$24,C2167,'Site Dockets'!$C$7:$C$24,F2167)&gt;0,1,0),IF(B2167="REGION LOSS",IF(COUNTIFS('Site Dockets'!$E$7:$E$24,C2167,'Site Dockets'!$C$7:$C$24,F2167)&gt;0,1,0),0))</f>
        <v>1</v>
      </c>
      <c r="L2167" s="15" t="n">
        <f aca="false">IF(J2167=1,0,Inputs!$B$11)</f>
        <v>100</v>
      </c>
      <c r="M2167" s="15" t="n">
        <f aca="false">IF(J2167=1,0,Inputs!$B$12)</f>
        <v>75</v>
      </c>
      <c r="N2167" s="15" t="n">
        <f aca="false">IF(J2167=1,0,IF(OR(AND(OR(B2167="SITE LOSS",B2167="REGION LOSS"),K2167=1),AND(B2167="ROLE COMPROMISE",H2167=C2167)),Inputs!$B$13,Inputs!$B$14))</f>
        <v>20</v>
      </c>
      <c r="O2167" s="15" t="n">
        <f aca="false">IF(J2167=1,0,Inputs!$B$13)</f>
        <v>20</v>
      </c>
      <c r="P2167" s="15" t="n">
        <f aca="false">SUM(M2167:N2167)</f>
        <v>95</v>
      </c>
      <c r="Q2167" s="15" t="n">
        <f aca="false">IF(J2167=1,"",L2167-P2167)</f>
        <v>5</v>
      </c>
      <c r="R2167" s="15" t="n">
        <f aca="false">IF(OR(J2167=1,M2167&lt;=Inputs!$B$12),1,0)</f>
        <v>1</v>
      </c>
      <c r="S2167" s="15" t="n">
        <f aca="false">IF(OR(J2167=1,N2167&lt;=O2167),1,0)</f>
        <v>1</v>
      </c>
      <c r="T2167" s="15" t="str">
        <f aca="false">IF(J2167=1,"OFFLINE",IF(AND(Q2167&gt;=Inputs!$B$15,R2167=1,S2167=1,P2167&lt;=L2167),"PASS","FAIL"))</f>
        <v>PASS</v>
      </c>
    </row>
    <row r="2168" customFormat="false" ht="15" hidden="false" customHeight="false" outlineLevel="0" collapsed="false">
      <c r="A2168" s="14" t="s">
        <v>1040</v>
      </c>
      <c r="B2168" s="14" t="s">
        <v>1038</v>
      </c>
      <c r="C2168" s="14" t="s">
        <v>157</v>
      </c>
      <c r="D2168" s="14" t="s">
        <v>149</v>
      </c>
      <c r="E2168" s="14" t="s">
        <v>152</v>
      </c>
      <c r="F2168" s="14" t="s">
        <v>150</v>
      </c>
      <c r="G2168" s="14" t="n">
        <v>1</v>
      </c>
      <c r="H2168" s="14" t="s">
        <v>154</v>
      </c>
      <c r="I2168" s="14" t="s">
        <v>892</v>
      </c>
      <c r="J2168" s="15" t="n">
        <f aca="false">IF(B2168="SITE LOSS",IF(D2168=C2168,1,0),IF(B2168="REGION LOSS",IF(E2168=C2168,1,0),0))</f>
        <v>0</v>
      </c>
      <c r="K2168" s="15" t="n">
        <f aca="false">IF(B2168="SITE LOSS",IF(COUNTIFS('Site Dockets'!$B$7:$B$24,C2168,'Site Dockets'!$C$7:$C$24,F2168)&gt;0,1,0),IF(B2168="REGION LOSS",IF(COUNTIFS('Site Dockets'!$E$7:$E$24,C2168,'Site Dockets'!$C$7:$C$24,F2168)&gt;0,1,0),0))</f>
        <v>1</v>
      </c>
      <c r="L2168" s="15" t="n">
        <f aca="false">IF(J2168=1,0,Inputs!$B$11)</f>
        <v>100</v>
      </c>
      <c r="M2168" s="15" t="n">
        <f aca="false">IF(J2168=1,0,Inputs!$B$12)</f>
        <v>75</v>
      </c>
      <c r="N2168" s="15" t="n">
        <f aca="false">IF(J2168=1,0,IF(OR(AND(OR(B2168="SITE LOSS",B2168="REGION LOSS"),K2168=1),AND(B2168="ROLE COMPROMISE",H2168=C2168)),Inputs!$B$13,Inputs!$B$14))</f>
        <v>20</v>
      </c>
      <c r="O2168" s="15" t="n">
        <f aca="false">IF(J2168=1,0,Inputs!$B$13)</f>
        <v>20</v>
      </c>
      <c r="P2168" s="15" t="n">
        <f aca="false">SUM(M2168:N2168)</f>
        <v>95</v>
      </c>
      <c r="Q2168" s="15" t="n">
        <f aca="false">IF(J2168=1,"",L2168-P2168)</f>
        <v>5</v>
      </c>
      <c r="R2168" s="15" t="n">
        <f aca="false">IF(OR(J2168=1,M2168&lt;=Inputs!$B$12),1,0)</f>
        <v>1</v>
      </c>
      <c r="S2168" s="15" t="n">
        <f aca="false">IF(OR(J2168=1,N2168&lt;=O2168),1,0)</f>
        <v>1</v>
      </c>
      <c r="T2168" s="15" t="str">
        <f aca="false">IF(J2168=1,"OFFLINE",IF(AND(Q2168&gt;=Inputs!$B$15,R2168=1,S2168=1,P2168&lt;=L2168),"PASS","FAIL"))</f>
        <v>PASS</v>
      </c>
    </row>
    <row r="2169" customFormat="false" ht="15" hidden="false" customHeight="false" outlineLevel="0" collapsed="false">
      <c r="A2169" s="14" t="s">
        <v>1040</v>
      </c>
      <c r="B2169" s="14" t="s">
        <v>1038</v>
      </c>
      <c r="C2169" s="14" t="s">
        <v>157</v>
      </c>
      <c r="D2169" s="14" t="s">
        <v>149</v>
      </c>
      <c r="E2169" s="14" t="s">
        <v>152</v>
      </c>
      <c r="F2169" s="14" t="s">
        <v>150</v>
      </c>
      <c r="G2169" s="14" t="n">
        <v>1</v>
      </c>
      <c r="H2169" s="14" t="s">
        <v>154</v>
      </c>
      <c r="I2169" s="14" t="s">
        <v>811</v>
      </c>
      <c r="J2169" s="15" t="n">
        <f aca="false">IF(B2169="SITE LOSS",IF(D2169=C2169,1,0),IF(B2169="REGION LOSS",IF(E2169=C2169,1,0),0))</f>
        <v>0</v>
      </c>
      <c r="K2169" s="15" t="n">
        <f aca="false">IF(B2169="SITE LOSS",IF(COUNTIFS('Site Dockets'!$B$7:$B$24,C2169,'Site Dockets'!$C$7:$C$24,F2169)&gt;0,1,0),IF(B2169="REGION LOSS",IF(COUNTIFS('Site Dockets'!$E$7:$E$24,C2169,'Site Dockets'!$C$7:$C$24,F2169)&gt;0,1,0),0))</f>
        <v>1</v>
      </c>
      <c r="L2169" s="15" t="n">
        <f aca="false">IF(J2169=1,0,Inputs!$B$11)</f>
        <v>100</v>
      </c>
      <c r="M2169" s="15" t="n">
        <f aca="false">IF(J2169=1,0,Inputs!$B$12)</f>
        <v>75</v>
      </c>
      <c r="N2169" s="15" t="n">
        <f aca="false">IF(J2169=1,0,IF(OR(AND(OR(B2169="SITE LOSS",B2169="REGION LOSS"),K2169=1),AND(B2169="ROLE COMPROMISE",H2169=C2169)),Inputs!$B$13,Inputs!$B$14))</f>
        <v>20</v>
      </c>
      <c r="O2169" s="15" t="n">
        <f aca="false">IF(J2169=1,0,Inputs!$B$13)</f>
        <v>20</v>
      </c>
      <c r="P2169" s="15" t="n">
        <f aca="false">SUM(M2169:N2169)</f>
        <v>95</v>
      </c>
      <c r="Q2169" s="15" t="n">
        <f aca="false">IF(J2169=1,"",L2169-P2169)</f>
        <v>5</v>
      </c>
      <c r="R2169" s="15" t="n">
        <f aca="false">IF(OR(J2169=1,M2169&lt;=Inputs!$B$12),1,0)</f>
        <v>1</v>
      </c>
      <c r="S2169" s="15" t="n">
        <f aca="false">IF(OR(J2169=1,N2169&lt;=O2169),1,0)</f>
        <v>1</v>
      </c>
      <c r="T2169" s="15" t="str">
        <f aca="false">IF(J2169=1,"OFFLINE",IF(AND(Q2169&gt;=Inputs!$B$15,R2169=1,S2169=1,P2169&lt;=L2169),"PASS","FAIL"))</f>
        <v>PASS</v>
      </c>
    </row>
    <row r="2170" customFormat="false" ht="15" hidden="false" customHeight="false" outlineLevel="0" collapsed="false">
      <c r="A2170" s="14" t="s">
        <v>1040</v>
      </c>
      <c r="B2170" s="14" t="s">
        <v>1038</v>
      </c>
      <c r="C2170" s="14" t="s">
        <v>157</v>
      </c>
      <c r="D2170" s="14" t="s">
        <v>149</v>
      </c>
      <c r="E2170" s="14" t="s">
        <v>152</v>
      </c>
      <c r="F2170" s="14" t="s">
        <v>150</v>
      </c>
      <c r="G2170" s="14" t="n">
        <v>1</v>
      </c>
      <c r="H2170" s="14" t="s">
        <v>154</v>
      </c>
      <c r="I2170" s="14" t="s">
        <v>895</v>
      </c>
      <c r="J2170" s="15" t="n">
        <f aca="false">IF(B2170="SITE LOSS",IF(D2170=C2170,1,0),IF(B2170="REGION LOSS",IF(E2170=C2170,1,0),0))</f>
        <v>0</v>
      </c>
      <c r="K2170" s="15" t="n">
        <f aca="false">IF(B2170="SITE LOSS",IF(COUNTIFS('Site Dockets'!$B$7:$B$24,C2170,'Site Dockets'!$C$7:$C$24,F2170)&gt;0,1,0),IF(B2170="REGION LOSS",IF(COUNTIFS('Site Dockets'!$E$7:$E$24,C2170,'Site Dockets'!$C$7:$C$24,F2170)&gt;0,1,0),0))</f>
        <v>1</v>
      </c>
      <c r="L2170" s="15" t="n">
        <f aca="false">IF(J2170=1,0,Inputs!$B$11)</f>
        <v>100</v>
      </c>
      <c r="M2170" s="15" t="n">
        <f aca="false">IF(J2170=1,0,Inputs!$B$12)</f>
        <v>75</v>
      </c>
      <c r="N2170" s="15" t="n">
        <f aca="false">IF(J2170=1,0,IF(OR(AND(OR(B2170="SITE LOSS",B2170="REGION LOSS"),K2170=1),AND(B2170="ROLE COMPROMISE",H2170=C2170)),Inputs!$B$13,Inputs!$B$14))</f>
        <v>20</v>
      </c>
      <c r="O2170" s="15" t="n">
        <f aca="false">IF(J2170=1,0,Inputs!$B$13)</f>
        <v>20</v>
      </c>
      <c r="P2170" s="15" t="n">
        <f aca="false">SUM(M2170:N2170)</f>
        <v>95</v>
      </c>
      <c r="Q2170" s="15" t="n">
        <f aca="false">IF(J2170=1,"",L2170-P2170)</f>
        <v>5</v>
      </c>
      <c r="R2170" s="15" t="n">
        <f aca="false">IF(OR(J2170=1,M2170&lt;=Inputs!$B$12),1,0)</f>
        <v>1</v>
      </c>
      <c r="S2170" s="15" t="n">
        <f aca="false">IF(OR(J2170=1,N2170&lt;=O2170),1,0)</f>
        <v>1</v>
      </c>
      <c r="T2170" s="15" t="str">
        <f aca="false">IF(J2170=1,"OFFLINE",IF(AND(Q2170&gt;=Inputs!$B$15,R2170=1,S2170=1,P2170&lt;=L2170),"PASS","FAIL"))</f>
        <v>PASS</v>
      </c>
    </row>
    <row r="2171" customFormat="false" ht="15" hidden="false" customHeight="false" outlineLevel="0" collapsed="false">
      <c r="A2171" s="14" t="s">
        <v>1040</v>
      </c>
      <c r="B2171" s="14" t="s">
        <v>1038</v>
      </c>
      <c r="C2171" s="14" t="s">
        <v>157</v>
      </c>
      <c r="D2171" s="14" t="s">
        <v>149</v>
      </c>
      <c r="E2171" s="14" t="s">
        <v>152</v>
      </c>
      <c r="F2171" s="14" t="s">
        <v>150</v>
      </c>
      <c r="G2171" s="14" t="n">
        <v>1</v>
      </c>
      <c r="H2171" s="14" t="s">
        <v>154</v>
      </c>
      <c r="I2171" s="14" t="s">
        <v>897</v>
      </c>
      <c r="J2171" s="15" t="n">
        <f aca="false">IF(B2171="SITE LOSS",IF(D2171=C2171,1,0),IF(B2171="REGION LOSS",IF(E2171=C2171,1,0),0))</f>
        <v>0</v>
      </c>
      <c r="K2171" s="15" t="n">
        <f aca="false">IF(B2171="SITE LOSS",IF(COUNTIFS('Site Dockets'!$B$7:$B$24,C2171,'Site Dockets'!$C$7:$C$24,F2171)&gt;0,1,0),IF(B2171="REGION LOSS",IF(COUNTIFS('Site Dockets'!$E$7:$E$24,C2171,'Site Dockets'!$C$7:$C$24,F2171)&gt;0,1,0),0))</f>
        <v>1</v>
      </c>
      <c r="L2171" s="15" t="n">
        <f aca="false">IF(J2171=1,0,Inputs!$B$11)</f>
        <v>100</v>
      </c>
      <c r="M2171" s="15" t="n">
        <f aca="false">IF(J2171=1,0,Inputs!$B$12)</f>
        <v>75</v>
      </c>
      <c r="N2171" s="15" t="n">
        <f aca="false">IF(J2171=1,0,IF(OR(AND(OR(B2171="SITE LOSS",B2171="REGION LOSS"),K2171=1),AND(B2171="ROLE COMPROMISE",H2171=C2171)),Inputs!$B$13,Inputs!$B$14))</f>
        <v>20</v>
      </c>
      <c r="O2171" s="15" t="n">
        <f aca="false">IF(J2171=1,0,Inputs!$B$13)</f>
        <v>20</v>
      </c>
      <c r="P2171" s="15" t="n">
        <f aca="false">SUM(M2171:N2171)</f>
        <v>95</v>
      </c>
      <c r="Q2171" s="15" t="n">
        <f aca="false">IF(J2171=1,"",L2171-P2171)</f>
        <v>5</v>
      </c>
      <c r="R2171" s="15" t="n">
        <f aca="false">IF(OR(J2171=1,M2171&lt;=Inputs!$B$12),1,0)</f>
        <v>1</v>
      </c>
      <c r="S2171" s="15" t="n">
        <f aca="false">IF(OR(J2171=1,N2171&lt;=O2171),1,0)</f>
        <v>1</v>
      </c>
      <c r="T2171" s="15" t="str">
        <f aca="false">IF(J2171=1,"OFFLINE",IF(AND(Q2171&gt;=Inputs!$B$15,R2171=1,S2171=1,P2171&lt;=L2171),"PASS","FAIL"))</f>
        <v>PASS</v>
      </c>
    </row>
    <row r="2172" customFormat="false" ht="15" hidden="false" customHeight="false" outlineLevel="0" collapsed="false">
      <c r="A2172" s="14" t="s">
        <v>1040</v>
      </c>
      <c r="B2172" s="14" t="s">
        <v>1038</v>
      </c>
      <c r="C2172" s="14" t="s">
        <v>157</v>
      </c>
      <c r="D2172" s="14" t="s">
        <v>149</v>
      </c>
      <c r="E2172" s="14" t="s">
        <v>152</v>
      </c>
      <c r="F2172" s="14" t="s">
        <v>150</v>
      </c>
      <c r="G2172" s="14" t="n">
        <v>1</v>
      </c>
      <c r="H2172" s="14" t="s">
        <v>154</v>
      </c>
      <c r="I2172" s="14" t="s">
        <v>899</v>
      </c>
      <c r="J2172" s="15" t="n">
        <f aca="false">IF(B2172="SITE LOSS",IF(D2172=C2172,1,0),IF(B2172="REGION LOSS",IF(E2172=C2172,1,0),0))</f>
        <v>0</v>
      </c>
      <c r="K2172" s="15" t="n">
        <f aca="false">IF(B2172="SITE LOSS",IF(COUNTIFS('Site Dockets'!$B$7:$B$24,C2172,'Site Dockets'!$C$7:$C$24,F2172)&gt;0,1,0),IF(B2172="REGION LOSS",IF(COUNTIFS('Site Dockets'!$E$7:$E$24,C2172,'Site Dockets'!$C$7:$C$24,F2172)&gt;0,1,0),0))</f>
        <v>1</v>
      </c>
      <c r="L2172" s="15" t="n">
        <f aca="false">IF(J2172=1,0,Inputs!$B$11)</f>
        <v>100</v>
      </c>
      <c r="M2172" s="15" t="n">
        <f aca="false">IF(J2172=1,0,Inputs!$B$12)</f>
        <v>75</v>
      </c>
      <c r="N2172" s="15" t="n">
        <f aca="false">IF(J2172=1,0,IF(OR(AND(OR(B2172="SITE LOSS",B2172="REGION LOSS"),K2172=1),AND(B2172="ROLE COMPROMISE",H2172=C2172)),Inputs!$B$13,Inputs!$B$14))</f>
        <v>20</v>
      </c>
      <c r="O2172" s="15" t="n">
        <f aca="false">IF(J2172=1,0,Inputs!$B$13)</f>
        <v>20</v>
      </c>
      <c r="P2172" s="15" t="n">
        <f aca="false">SUM(M2172:N2172)</f>
        <v>95</v>
      </c>
      <c r="Q2172" s="15" t="n">
        <f aca="false">IF(J2172=1,"",L2172-P2172)</f>
        <v>5</v>
      </c>
      <c r="R2172" s="15" t="n">
        <f aca="false">IF(OR(J2172=1,M2172&lt;=Inputs!$B$12),1,0)</f>
        <v>1</v>
      </c>
      <c r="S2172" s="15" t="n">
        <f aca="false">IF(OR(J2172=1,N2172&lt;=O2172),1,0)</f>
        <v>1</v>
      </c>
      <c r="T2172" s="15" t="str">
        <f aca="false">IF(J2172=1,"OFFLINE",IF(AND(Q2172&gt;=Inputs!$B$15,R2172=1,S2172=1,P2172&lt;=L2172),"PASS","FAIL"))</f>
        <v>PASS</v>
      </c>
    </row>
    <row r="2173" customFormat="false" ht="15" hidden="false" customHeight="false" outlineLevel="0" collapsed="false">
      <c r="A2173" s="14" t="s">
        <v>1040</v>
      </c>
      <c r="B2173" s="14" t="s">
        <v>1038</v>
      </c>
      <c r="C2173" s="14" t="s">
        <v>157</v>
      </c>
      <c r="D2173" s="14" t="s">
        <v>156</v>
      </c>
      <c r="E2173" s="14" t="s">
        <v>157</v>
      </c>
      <c r="F2173" s="14" t="s">
        <v>150</v>
      </c>
      <c r="G2173" s="14" t="n">
        <v>2</v>
      </c>
      <c r="H2173" s="14" t="s">
        <v>153</v>
      </c>
      <c r="I2173" s="14" t="s">
        <v>890</v>
      </c>
      <c r="J2173" s="15" t="n">
        <f aca="false">IF(B2173="SITE LOSS",IF(D2173=C2173,1,0),IF(B2173="REGION LOSS",IF(E2173=C2173,1,0),0))</f>
        <v>1</v>
      </c>
      <c r="K2173" s="15" t="n">
        <f aca="false">IF(B2173="SITE LOSS",IF(COUNTIFS('Site Dockets'!$B$7:$B$24,C2173,'Site Dockets'!$C$7:$C$24,F2173)&gt;0,1,0),IF(B2173="REGION LOSS",IF(COUNTIFS('Site Dockets'!$E$7:$E$24,C2173,'Site Dockets'!$C$7:$C$24,F2173)&gt;0,1,0),0))</f>
        <v>1</v>
      </c>
      <c r="L2173" s="15" t="n">
        <f aca="false">IF(J2173=1,0,Inputs!$B$11)</f>
        <v>0</v>
      </c>
      <c r="M2173" s="15" t="n">
        <f aca="false">IF(J2173=1,0,Inputs!$B$12)</f>
        <v>0</v>
      </c>
      <c r="N2173" s="15" t="n">
        <f aca="false">IF(J2173=1,0,IF(OR(AND(OR(B2173="SITE LOSS",B2173="REGION LOSS"),K2173=1),AND(B2173="ROLE COMPROMISE",H2173=C2173)),Inputs!$B$13,Inputs!$B$14))</f>
        <v>0</v>
      </c>
      <c r="O2173" s="15" t="n">
        <f aca="false">IF(J2173=1,0,Inputs!$B$13)</f>
        <v>0</v>
      </c>
      <c r="P2173" s="15" t="n">
        <f aca="false">SUM(M2173:N2173)</f>
        <v>0</v>
      </c>
      <c r="Q2173" s="15" t="str">
        <f aca="false">IF(J2173=1,"",L2173-P2173)</f>
        <v/>
      </c>
      <c r="R2173" s="15" t="n">
        <f aca="false">IF(OR(J2173=1,M2173&lt;=Inputs!$B$12),1,0)</f>
        <v>1</v>
      </c>
      <c r="S2173" s="15" t="n">
        <f aca="false">IF(OR(J2173=1,N2173&lt;=O2173),1,0)</f>
        <v>1</v>
      </c>
      <c r="T2173" s="15" t="str">
        <f aca="false">IF(J2173=1,"OFFLINE",IF(AND(Q2173&gt;=Inputs!$B$15,R2173=1,S2173=1,P2173&lt;=L2173),"PASS","FAIL"))</f>
        <v>OFFLINE</v>
      </c>
    </row>
    <row r="2174" customFormat="false" ht="15" hidden="false" customHeight="false" outlineLevel="0" collapsed="false">
      <c r="A2174" s="14" t="s">
        <v>1040</v>
      </c>
      <c r="B2174" s="14" t="s">
        <v>1038</v>
      </c>
      <c r="C2174" s="14" t="s">
        <v>157</v>
      </c>
      <c r="D2174" s="14" t="s">
        <v>156</v>
      </c>
      <c r="E2174" s="14" t="s">
        <v>157</v>
      </c>
      <c r="F2174" s="14" t="s">
        <v>150</v>
      </c>
      <c r="G2174" s="14" t="n">
        <v>2</v>
      </c>
      <c r="H2174" s="14" t="s">
        <v>153</v>
      </c>
      <c r="I2174" s="14" t="s">
        <v>892</v>
      </c>
      <c r="J2174" s="15" t="n">
        <f aca="false">IF(B2174="SITE LOSS",IF(D2174=C2174,1,0),IF(B2174="REGION LOSS",IF(E2174=C2174,1,0),0))</f>
        <v>1</v>
      </c>
      <c r="K2174" s="15" t="n">
        <f aca="false">IF(B2174="SITE LOSS",IF(COUNTIFS('Site Dockets'!$B$7:$B$24,C2174,'Site Dockets'!$C$7:$C$24,F2174)&gt;0,1,0),IF(B2174="REGION LOSS",IF(COUNTIFS('Site Dockets'!$E$7:$E$24,C2174,'Site Dockets'!$C$7:$C$24,F2174)&gt;0,1,0),0))</f>
        <v>1</v>
      </c>
      <c r="L2174" s="15" t="n">
        <f aca="false">IF(J2174=1,0,Inputs!$B$11)</f>
        <v>0</v>
      </c>
      <c r="M2174" s="15" t="n">
        <f aca="false">IF(J2174=1,0,Inputs!$B$12)</f>
        <v>0</v>
      </c>
      <c r="N2174" s="15" t="n">
        <f aca="false">IF(J2174=1,0,IF(OR(AND(OR(B2174="SITE LOSS",B2174="REGION LOSS"),K2174=1),AND(B2174="ROLE COMPROMISE",H2174=C2174)),Inputs!$B$13,Inputs!$B$14))</f>
        <v>0</v>
      </c>
      <c r="O2174" s="15" t="n">
        <f aca="false">IF(J2174=1,0,Inputs!$B$13)</f>
        <v>0</v>
      </c>
      <c r="P2174" s="15" t="n">
        <f aca="false">SUM(M2174:N2174)</f>
        <v>0</v>
      </c>
      <c r="Q2174" s="15" t="str">
        <f aca="false">IF(J2174=1,"",L2174-P2174)</f>
        <v/>
      </c>
      <c r="R2174" s="15" t="n">
        <f aca="false">IF(OR(J2174=1,M2174&lt;=Inputs!$B$12),1,0)</f>
        <v>1</v>
      </c>
      <c r="S2174" s="15" t="n">
        <f aca="false">IF(OR(J2174=1,N2174&lt;=O2174),1,0)</f>
        <v>1</v>
      </c>
      <c r="T2174" s="15" t="str">
        <f aca="false">IF(J2174=1,"OFFLINE",IF(AND(Q2174&gt;=Inputs!$B$15,R2174=1,S2174=1,P2174&lt;=L2174),"PASS","FAIL"))</f>
        <v>OFFLINE</v>
      </c>
    </row>
    <row r="2175" customFormat="false" ht="15" hidden="false" customHeight="false" outlineLevel="0" collapsed="false">
      <c r="A2175" s="14" t="s">
        <v>1040</v>
      </c>
      <c r="B2175" s="14" t="s">
        <v>1038</v>
      </c>
      <c r="C2175" s="14" t="s">
        <v>157</v>
      </c>
      <c r="D2175" s="14" t="s">
        <v>156</v>
      </c>
      <c r="E2175" s="14" t="s">
        <v>157</v>
      </c>
      <c r="F2175" s="14" t="s">
        <v>150</v>
      </c>
      <c r="G2175" s="14" t="n">
        <v>2</v>
      </c>
      <c r="H2175" s="14" t="s">
        <v>153</v>
      </c>
      <c r="I2175" s="14" t="s">
        <v>811</v>
      </c>
      <c r="J2175" s="15" t="n">
        <f aca="false">IF(B2175="SITE LOSS",IF(D2175=C2175,1,0),IF(B2175="REGION LOSS",IF(E2175=C2175,1,0),0))</f>
        <v>1</v>
      </c>
      <c r="K2175" s="15" t="n">
        <f aca="false">IF(B2175="SITE LOSS",IF(COUNTIFS('Site Dockets'!$B$7:$B$24,C2175,'Site Dockets'!$C$7:$C$24,F2175)&gt;0,1,0),IF(B2175="REGION LOSS",IF(COUNTIFS('Site Dockets'!$E$7:$E$24,C2175,'Site Dockets'!$C$7:$C$24,F2175)&gt;0,1,0),0))</f>
        <v>1</v>
      </c>
      <c r="L2175" s="15" t="n">
        <f aca="false">IF(J2175=1,0,Inputs!$B$11)</f>
        <v>0</v>
      </c>
      <c r="M2175" s="15" t="n">
        <f aca="false">IF(J2175=1,0,Inputs!$B$12)</f>
        <v>0</v>
      </c>
      <c r="N2175" s="15" t="n">
        <f aca="false">IF(J2175=1,0,IF(OR(AND(OR(B2175="SITE LOSS",B2175="REGION LOSS"),K2175=1),AND(B2175="ROLE COMPROMISE",H2175=C2175)),Inputs!$B$13,Inputs!$B$14))</f>
        <v>0</v>
      </c>
      <c r="O2175" s="15" t="n">
        <f aca="false">IF(J2175=1,0,Inputs!$B$13)</f>
        <v>0</v>
      </c>
      <c r="P2175" s="15" t="n">
        <f aca="false">SUM(M2175:N2175)</f>
        <v>0</v>
      </c>
      <c r="Q2175" s="15" t="str">
        <f aca="false">IF(J2175=1,"",L2175-P2175)</f>
        <v/>
      </c>
      <c r="R2175" s="15" t="n">
        <f aca="false">IF(OR(J2175=1,M2175&lt;=Inputs!$B$12),1,0)</f>
        <v>1</v>
      </c>
      <c r="S2175" s="15" t="n">
        <f aca="false">IF(OR(J2175=1,N2175&lt;=O2175),1,0)</f>
        <v>1</v>
      </c>
      <c r="T2175" s="15" t="str">
        <f aca="false">IF(J2175=1,"OFFLINE",IF(AND(Q2175&gt;=Inputs!$B$15,R2175=1,S2175=1,P2175&lt;=L2175),"PASS","FAIL"))</f>
        <v>OFFLINE</v>
      </c>
    </row>
    <row r="2176" customFormat="false" ht="15" hidden="false" customHeight="false" outlineLevel="0" collapsed="false">
      <c r="A2176" s="14" t="s">
        <v>1040</v>
      </c>
      <c r="B2176" s="14" t="s">
        <v>1038</v>
      </c>
      <c r="C2176" s="14" t="s">
        <v>157</v>
      </c>
      <c r="D2176" s="14" t="s">
        <v>156</v>
      </c>
      <c r="E2176" s="14" t="s">
        <v>157</v>
      </c>
      <c r="F2176" s="14" t="s">
        <v>150</v>
      </c>
      <c r="G2176" s="14" t="n">
        <v>2</v>
      </c>
      <c r="H2176" s="14" t="s">
        <v>153</v>
      </c>
      <c r="I2176" s="14" t="s">
        <v>895</v>
      </c>
      <c r="J2176" s="15" t="n">
        <f aca="false">IF(B2176="SITE LOSS",IF(D2176=C2176,1,0),IF(B2176="REGION LOSS",IF(E2176=C2176,1,0),0))</f>
        <v>1</v>
      </c>
      <c r="K2176" s="15" t="n">
        <f aca="false">IF(B2176="SITE LOSS",IF(COUNTIFS('Site Dockets'!$B$7:$B$24,C2176,'Site Dockets'!$C$7:$C$24,F2176)&gt;0,1,0),IF(B2176="REGION LOSS",IF(COUNTIFS('Site Dockets'!$E$7:$E$24,C2176,'Site Dockets'!$C$7:$C$24,F2176)&gt;0,1,0),0))</f>
        <v>1</v>
      </c>
      <c r="L2176" s="15" t="n">
        <f aca="false">IF(J2176=1,0,Inputs!$B$11)</f>
        <v>0</v>
      </c>
      <c r="M2176" s="15" t="n">
        <f aca="false">IF(J2176=1,0,Inputs!$B$12)</f>
        <v>0</v>
      </c>
      <c r="N2176" s="15" t="n">
        <f aca="false">IF(J2176=1,0,IF(OR(AND(OR(B2176="SITE LOSS",B2176="REGION LOSS"),K2176=1),AND(B2176="ROLE COMPROMISE",H2176=C2176)),Inputs!$B$13,Inputs!$B$14))</f>
        <v>0</v>
      </c>
      <c r="O2176" s="15" t="n">
        <f aca="false">IF(J2176=1,0,Inputs!$B$13)</f>
        <v>0</v>
      </c>
      <c r="P2176" s="15" t="n">
        <f aca="false">SUM(M2176:N2176)</f>
        <v>0</v>
      </c>
      <c r="Q2176" s="15" t="str">
        <f aca="false">IF(J2176=1,"",L2176-P2176)</f>
        <v/>
      </c>
      <c r="R2176" s="15" t="n">
        <f aca="false">IF(OR(J2176=1,M2176&lt;=Inputs!$B$12),1,0)</f>
        <v>1</v>
      </c>
      <c r="S2176" s="15" t="n">
        <f aca="false">IF(OR(J2176=1,N2176&lt;=O2176),1,0)</f>
        <v>1</v>
      </c>
      <c r="T2176" s="15" t="str">
        <f aca="false">IF(J2176=1,"OFFLINE",IF(AND(Q2176&gt;=Inputs!$B$15,R2176=1,S2176=1,P2176&lt;=L2176),"PASS","FAIL"))</f>
        <v>OFFLINE</v>
      </c>
    </row>
    <row r="2177" customFormat="false" ht="15" hidden="false" customHeight="false" outlineLevel="0" collapsed="false">
      <c r="A2177" s="14" t="s">
        <v>1040</v>
      </c>
      <c r="B2177" s="14" t="s">
        <v>1038</v>
      </c>
      <c r="C2177" s="14" t="s">
        <v>157</v>
      </c>
      <c r="D2177" s="14" t="s">
        <v>156</v>
      </c>
      <c r="E2177" s="14" t="s">
        <v>157</v>
      </c>
      <c r="F2177" s="14" t="s">
        <v>150</v>
      </c>
      <c r="G2177" s="14" t="n">
        <v>2</v>
      </c>
      <c r="H2177" s="14" t="s">
        <v>153</v>
      </c>
      <c r="I2177" s="14" t="s">
        <v>897</v>
      </c>
      <c r="J2177" s="15" t="n">
        <f aca="false">IF(B2177="SITE LOSS",IF(D2177=C2177,1,0),IF(B2177="REGION LOSS",IF(E2177=C2177,1,0),0))</f>
        <v>1</v>
      </c>
      <c r="K2177" s="15" t="n">
        <f aca="false">IF(B2177="SITE LOSS",IF(COUNTIFS('Site Dockets'!$B$7:$B$24,C2177,'Site Dockets'!$C$7:$C$24,F2177)&gt;0,1,0),IF(B2177="REGION LOSS",IF(COUNTIFS('Site Dockets'!$E$7:$E$24,C2177,'Site Dockets'!$C$7:$C$24,F2177)&gt;0,1,0),0))</f>
        <v>1</v>
      </c>
      <c r="L2177" s="15" t="n">
        <f aca="false">IF(J2177=1,0,Inputs!$B$11)</f>
        <v>0</v>
      </c>
      <c r="M2177" s="15" t="n">
        <f aca="false">IF(J2177=1,0,Inputs!$B$12)</f>
        <v>0</v>
      </c>
      <c r="N2177" s="15" t="n">
        <f aca="false">IF(J2177=1,0,IF(OR(AND(OR(B2177="SITE LOSS",B2177="REGION LOSS"),K2177=1),AND(B2177="ROLE COMPROMISE",H2177=C2177)),Inputs!$B$13,Inputs!$B$14))</f>
        <v>0</v>
      </c>
      <c r="O2177" s="15" t="n">
        <f aca="false">IF(J2177=1,0,Inputs!$B$13)</f>
        <v>0</v>
      </c>
      <c r="P2177" s="15" t="n">
        <f aca="false">SUM(M2177:N2177)</f>
        <v>0</v>
      </c>
      <c r="Q2177" s="15" t="str">
        <f aca="false">IF(J2177=1,"",L2177-P2177)</f>
        <v/>
      </c>
      <c r="R2177" s="15" t="n">
        <f aca="false">IF(OR(J2177=1,M2177&lt;=Inputs!$B$12),1,0)</f>
        <v>1</v>
      </c>
      <c r="S2177" s="15" t="n">
        <f aca="false">IF(OR(J2177=1,N2177&lt;=O2177),1,0)</f>
        <v>1</v>
      </c>
      <c r="T2177" s="15" t="str">
        <f aca="false">IF(J2177=1,"OFFLINE",IF(AND(Q2177&gt;=Inputs!$B$15,R2177=1,S2177=1,P2177&lt;=L2177),"PASS","FAIL"))</f>
        <v>OFFLINE</v>
      </c>
    </row>
    <row r="2178" customFormat="false" ht="15" hidden="false" customHeight="false" outlineLevel="0" collapsed="false">
      <c r="A2178" s="14" t="s">
        <v>1040</v>
      </c>
      <c r="B2178" s="14" t="s">
        <v>1038</v>
      </c>
      <c r="C2178" s="14" t="s">
        <v>157</v>
      </c>
      <c r="D2178" s="14" t="s">
        <v>156</v>
      </c>
      <c r="E2178" s="14" t="s">
        <v>157</v>
      </c>
      <c r="F2178" s="14" t="s">
        <v>150</v>
      </c>
      <c r="G2178" s="14" t="n">
        <v>2</v>
      </c>
      <c r="H2178" s="14" t="s">
        <v>153</v>
      </c>
      <c r="I2178" s="14" t="s">
        <v>899</v>
      </c>
      <c r="J2178" s="15" t="n">
        <f aca="false">IF(B2178="SITE LOSS",IF(D2178=C2178,1,0),IF(B2178="REGION LOSS",IF(E2178=C2178,1,0),0))</f>
        <v>1</v>
      </c>
      <c r="K2178" s="15" t="n">
        <f aca="false">IF(B2178="SITE LOSS",IF(COUNTIFS('Site Dockets'!$B$7:$B$24,C2178,'Site Dockets'!$C$7:$C$24,F2178)&gt;0,1,0),IF(B2178="REGION LOSS",IF(COUNTIFS('Site Dockets'!$E$7:$E$24,C2178,'Site Dockets'!$C$7:$C$24,F2178)&gt;0,1,0),0))</f>
        <v>1</v>
      </c>
      <c r="L2178" s="15" t="n">
        <f aca="false">IF(J2178=1,0,Inputs!$B$11)</f>
        <v>0</v>
      </c>
      <c r="M2178" s="15" t="n">
        <f aca="false">IF(J2178=1,0,Inputs!$B$12)</f>
        <v>0</v>
      </c>
      <c r="N2178" s="15" t="n">
        <f aca="false">IF(J2178=1,0,IF(OR(AND(OR(B2178="SITE LOSS",B2178="REGION LOSS"),K2178=1),AND(B2178="ROLE COMPROMISE",H2178=C2178)),Inputs!$B$13,Inputs!$B$14))</f>
        <v>0</v>
      </c>
      <c r="O2178" s="15" t="n">
        <f aca="false">IF(J2178=1,0,Inputs!$B$13)</f>
        <v>0</v>
      </c>
      <c r="P2178" s="15" t="n">
        <f aca="false">SUM(M2178:N2178)</f>
        <v>0</v>
      </c>
      <c r="Q2178" s="15" t="str">
        <f aca="false">IF(J2178=1,"",L2178-P2178)</f>
        <v/>
      </c>
      <c r="R2178" s="15" t="n">
        <f aca="false">IF(OR(J2178=1,M2178&lt;=Inputs!$B$12),1,0)</f>
        <v>1</v>
      </c>
      <c r="S2178" s="15" t="n">
        <f aca="false">IF(OR(J2178=1,N2178&lt;=O2178),1,0)</f>
        <v>1</v>
      </c>
      <c r="T2178" s="15" t="str">
        <f aca="false">IF(J2178=1,"OFFLINE",IF(AND(Q2178&gt;=Inputs!$B$15,R2178=1,S2178=1,P2178&lt;=L2178),"PASS","FAIL"))</f>
        <v>OFFLINE</v>
      </c>
    </row>
    <row r="2179" customFormat="false" ht="15" hidden="false" customHeight="false" outlineLevel="0" collapsed="false">
      <c r="A2179" s="14" t="s">
        <v>1040</v>
      </c>
      <c r="B2179" s="14" t="s">
        <v>1038</v>
      </c>
      <c r="C2179" s="14" t="s">
        <v>157</v>
      </c>
      <c r="D2179" s="14" t="s">
        <v>160</v>
      </c>
      <c r="E2179" s="14" t="s">
        <v>161</v>
      </c>
      <c r="F2179" s="14" t="s">
        <v>150</v>
      </c>
      <c r="G2179" s="14" t="n">
        <v>3</v>
      </c>
      <c r="H2179" s="14" t="s">
        <v>158</v>
      </c>
      <c r="I2179" s="14" t="s">
        <v>890</v>
      </c>
      <c r="J2179" s="15" t="n">
        <f aca="false">IF(B2179="SITE LOSS",IF(D2179=C2179,1,0),IF(B2179="REGION LOSS",IF(E2179=C2179,1,0),0))</f>
        <v>0</v>
      </c>
      <c r="K2179" s="15" t="n">
        <f aca="false">IF(B2179="SITE LOSS",IF(COUNTIFS('Site Dockets'!$B$7:$B$24,C2179,'Site Dockets'!$C$7:$C$24,F2179)&gt;0,1,0),IF(B2179="REGION LOSS",IF(COUNTIFS('Site Dockets'!$E$7:$E$24,C2179,'Site Dockets'!$C$7:$C$24,F2179)&gt;0,1,0),0))</f>
        <v>1</v>
      </c>
      <c r="L2179" s="15" t="n">
        <f aca="false">IF(J2179=1,0,Inputs!$B$11)</f>
        <v>100</v>
      </c>
      <c r="M2179" s="15" t="n">
        <f aca="false">IF(J2179=1,0,Inputs!$B$12)</f>
        <v>75</v>
      </c>
      <c r="N2179" s="15" t="n">
        <f aca="false">IF(J2179=1,0,IF(OR(AND(OR(B2179="SITE LOSS",B2179="REGION LOSS"),K2179=1),AND(B2179="ROLE COMPROMISE",H2179=C2179)),Inputs!$B$13,Inputs!$B$14))</f>
        <v>20</v>
      </c>
      <c r="O2179" s="15" t="n">
        <f aca="false">IF(J2179=1,0,Inputs!$B$13)</f>
        <v>20</v>
      </c>
      <c r="P2179" s="15" t="n">
        <f aca="false">SUM(M2179:N2179)</f>
        <v>95</v>
      </c>
      <c r="Q2179" s="15" t="n">
        <f aca="false">IF(J2179=1,"",L2179-P2179)</f>
        <v>5</v>
      </c>
      <c r="R2179" s="15" t="n">
        <f aca="false">IF(OR(J2179=1,M2179&lt;=Inputs!$B$12),1,0)</f>
        <v>1</v>
      </c>
      <c r="S2179" s="15" t="n">
        <f aca="false">IF(OR(J2179=1,N2179&lt;=O2179),1,0)</f>
        <v>1</v>
      </c>
      <c r="T2179" s="15" t="str">
        <f aca="false">IF(J2179=1,"OFFLINE",IF(AND(Q2179&gt;=Inputs!$B$15,R2179=1,S2179=1,P2179&lt;=L2179),"PASS","FAIL"))</f>
        <v>PASS</v>
      </c>
    </row>
    <row r="2180" customFormat="false" ht="15" hidden="false" customHeight="false" outlineLevel="0" collapsed="false">
      <c r="A2180" s="14" t="s">
        <v>1040</v>
      </c>
      <c r="B2180" s="14" t="s">
        <v>1038</v>
      </c>
      <c r="C2180" s="14" t="s">
        <v>157</v>
      </c>
      <c r="D2180" s="14" t="s">
        <v>160</v>
      </c>
      <c r="E2180" s="14" t="s">
        <v>161</v>
      </c>
      <c r="F2180" s="14" t="s">
        <v>150</v>
      </c>
      <c r="G2180" s="14" t="n">
        <v>3</v>
      </c>
      <c r="H2180" s="14" t="s">
        <v>158</v>
      </c>
      <c r="I2180" s="14" t="s">
        <v>892</v>
      </c>
      <c r="J2180" s="15" t="n">
        <f aca="false">IF(B2180="SITE LOSS",IF(D2180=C2180,1,0),IF(B2180="REGION LOSS",IF(E2180=C2180,1,0),0))</f>
        <v>0</v>
      </c>
      <c r="K2180" s="15" t="n">
        <f aca="false">IF(B2180="SITE LOSS",IF(COUNTIFS('Site Dockets'!$B$7:$B$24,C2180,'Site Dockets'!$C$7:$C$24,F2180)&gt;0,1,0),IF(B2180="REGION LOSS",IF(COUNTIFS('Site Dockets'!$E$7:$E$24,C2180,'Site Dockets'!$C$7:$C$24,F2180)&gt;0,1,0),0))</f>
        <v>1</v>
      </c>
      <c r="L2180" s="15" t="n">
        <f aca="false">IF(J2180=1,0,Inputs!$B$11)</f>
        <v>100</v>
      </c>
      <c r="M2180" s="15" t="n">
        <f aca="false">IF(J2180=1,0,Inputs!$B$12)</f>
        <v>75</v>
      </c>
      <c r="N2180" s="15" t="n">
        <f aca="false">IF(J2180=1,0,IF(OR(AND(OR(B2180="SITE LOSS",B2180="REGION LOSS"),K2180=1),AND(B2180="ROLE COMPROMISE",H2180=C2180)),Inputs!$B$13,Inputs!$B$14))</f>
        <v>20</v>
      </c>
      <c r="O2180" s="15" t="n">
        <f aca="false">IF(J2180=1,0,Inputs!$B$13)</f>
        <v>20</v>
      </c>
      <c r="P2180" s="15" t="n">
        <f aca="false">SUM(M2180:N2180)</f>
        <v>95</v>
      </c>
      <c r="Q2180" s="15" t="n">
        <f aca="false">IF(J2180=1,"",L2180-P2180)</f>
        <v>5</v>
      </c>
      <c r="R2180" s="15" t="n">
        <f aca="false">IF(OR(J2180=1,M2180&lt;=Inputs!$B$12),1,0)</f>
        <v>1</v>
      </c>
      <c r="S2180" s="15" t="n">
        <f aca="false">IF(OR(J2180=1,N2180&lt;=O2180),1,0)</f>
        <v>1</v>
      </c>
      <c r="T2180" s="15" t="str">
        <f aca="false">IF(J2180=1,"OFFLINE",IF(AND(Q2180&gt;=Inputs!$B$15,R2180=1,S2180=1,P2180&lt;=L2180),"PASS","FAIL"))</f>
        <v>PASS</v>
      </c>
    </row>
    <row r="2181" customFormat="false" ht="15" hidden="false" customHeight="false" outlineLevel="0" collapsed="false">
      <c r="A2181" s="14" t="s">
        <v>1040</v>
      </c>
      <c r="B2181" s="14" t="s">
        <v>1038</v>
      </c>
      <c r="C2181" s="14" t="s">
        <v>157</v>
      </c>
      <c r="D2181" s="14" t="s">
        <v>160</v>
      </c>
      <c r="E2181" s="14" t="s">
        <v>161</v>
      </c>
      <c r="F2181" s="14" t="s">
        <v>150</v>
      </c>
      <c r="G2181" s="14" t="n">
        <v>3</v>
      </c>
      <c r="H2181" s="14" t="s">
        <v>158</v>
      </c>
      <c r="I2181" s="14" t="s">
        <v>811</v>
      </c>
      <c r="J2181" s="15" t="n">
        <f aca="false">IF(B2181="SITE LOSS",IF(D2181=C2181,1,0),IF(B2181="REGION LOSS",IF(E2181=C2181,1,0),0))</f>
        <v>0</v>
      </c>
      <c r="K2181" s="15" t="n">
        <f aca="false">IF(B2181="SITE LOSS",IF(COUNTIFS('Site Dockets'!$B$7:$B$24,C2181,'Site Dockets'!$C$7:$C$24,F2181)&gt;0,1,0),IF(B2181="REGION LOSS",IF(COUNTIFS('Site Dockets'!$E$7:$E$24,C2181,'Site Dockets'!$C$7:$C$24,F2181)&gt;0,1,0),0))</f>
        <v>1</v>
      </c>
      <c r="L2181" s="15" t="n">
        <f aca="false">IF(J2181=1,0,Inputs!$B$11)</f>
        <v>100</v>
      </c>
      <c r="M2181" s="15" t="n">
        <f aca="false">IF(J2181=1,0,Inputs!$B$12)</f>
        <v>75</v>
      </c>
      <c r="N2181" s="15" t="n">
        <f aca="false">IF(J2181=1,0,IF(OR(AND(OR(B2181="SITE LOSS",B2181="REGION LOSS"),K2181=1),AND(B2181="ROLE COMPROMISE",H2181=C2181)),Inputs!$B$13,Inputs!$B$14))</f>
        <v>20</v>
      </c>
      <c r="O2181" s="15" t="n">
        <f aca="false">IF(J2181=1,0,Inputs!$B$13)</f>
        <v>20</v>
      </c>
      <c r="P2181" s="15" t="n">
        <f aca="false">SUM(M2181:N2181)</f>
        <v>95</v>
      </c>
      <c r="Q2181" s="15" t="n">
        <f aca="false">IF(J2181=1,"",L2181-P2181)</f>
        <v>5</v>
      </c>
      <c r="R2181" s="15" t="n">
        <f aca="false">IF(OR(J2181=1,M2181&lt;=Inputs!$B$12),1,0)</f>
        <v>1</v>
      </c>
      <c r="S2181" s="15" t="n">
        <f aca="false">IF(OR(J2181=1,N2181&lt;=O2181),1,0)</f>
        <v>1</v>
      </c>
      <c r="T2181" s="15" t="str">
        <f aca="false">IF(J2181=1,"OFFLINE",IF(AND(Q2181&gt;=Inputs!$B$15,R2181=1,S2181=1,P2181&lt;=L2181),"PASS","FAIL"))</f>
        <v>PASS</v>
      </c>
    </row>
    <row r="2182" customFormat="false" ht="15" hidden="false" customHeight="false" outlineLevel="0" collapsed="false">
      <c r="A2182" s="14" t="s">
        <v>1040</v>
      </c>
      <c r="B2182" s="14" t="s">
        <v>1038</v>
      </c>
      <c r="C2182" s="14" t="s">
        <v>157</v>
      </c>
      <c r="D2182" s="14" t="s">
        <v>160</v>
      </c>
      <c r="E2182" s="14" t="s">
        <v>161</v>
      </c>
      <c r="F2182" s="14" t="s">
        <v>150</v>
      </c>
      <c r="G2182" s="14" t="n">
        <v>3</v>
      </c>
      <c r="H2182" s="14" t="s">
        <v>158</v>
      </c>
      <c r="I2182" s="14" t="s">
        <v>895</v>
      </c>
      <c r="J2182" s="15" t="n">
        <f aca="false">IF(B2182="SITE LOSS",IF(D2182=C2182,1,0),IF(B2182="REGION LOSS",IF(E2182=C2182,1,0),0))</f>
        <v>0</v>
      </c>
      <c r="K2182" s="15" t="n">
        <f aca="false">IF(B2182="SITE LOSS",IF(COUNTIFS('Site Dockets'!$B$7:$B$24,C2182,'Site Dockets'!$C$7:$C$24,F2182)&gt;0,1,0),IF(B2182="REGION LOSS",IF(COUNTIFS('Site Dockets'!$E$7:$E$24,C2182,'Site Dockets'!$C$7:$C$24,F2182)&gt;0,1,0),0))</f>
        <v>1</v>
      </c>
      <c r="L2182" s="15" t="n">
        <f aca="false">IF(J2182=1,0,Inputs!$B$11)</f>
        <v>100</v>
      </c>
      <c r="M2182" s="15" t="n">
        <f aca="false">IF(J2182=1,0,Inputs!$B$12)</f>
        <v>75</v>
      </c>
      <c r="N2182" s="15" t="n">
        <f aca="false">IF(J2182=1,0,IF(OR(AND(OR(B2182="SITE LOSS",B2182="REGION LOSS"),K2182=1),AND(B2182="ROLE COMPROMISE",H2182=C2182)),Inputs!$B$13,Inputs!$B$14))</f>
        <v>20</v>
      </c>
      <c r="O2182" s="15" t="n">
        <f aca="false">IF(J2182=1,0,Inputs!$B$13)</f>
        <v>20</v>
      </c>
      <c r="P2182" s="15" t="n">
        <f aca="false">SUM(M2182:N2182)</f>
        <v>95</v>
      </c>
      <c r="Q2182" s="15" t="n">
        <f aca="false">IF(J2182=1,"",L2182-P2182)</f>
        <v>5</v>
      </c>
      <c r="R2182" s="15" t="n">
        <f aca="false">IF(OR(J2182=1,M2182&lt;=Inputs!$B$12),1,0)</f>
        <v>1</v>
      </c>
      <c r="S2182" s="15" t="n">
        <f aca="false">IF(OR(J2182=1,N2182&lt;=O2182),1,0)</f>
        <v>1</v>
      </c>
      <c r="T2182" s="15" t="str">
        <f aca="false">IF(J2182=1,"OFFLINE",IF(AND(Q2182&gt;=Inputs!$B$15,R2182=1,S2182=1,P2182&lt;=L2182),"PASS","FAIL"))</f>
        <v>PASS</v>
      </c>
    </row>
    <row r="2183" customFormat="false" ht="15" hidden="false" customHeight="false" outlineLevel="0" collapsed="false">
      <c r="A2183" s="14" t="s">
        <v>1040</v>
      </c>
      <c r="B2183" s="14" t="s">
        <v>1038</v>
      </c>
      <c r="C2183" s="14" t="s">
        <v>157</v>
      </c>
      <c r="D2183" s="14" t="s">
        <v>160</v>
      </c>
      <c r="E2183" s="14" t="s">
        <v>161</v>
      </c>
      <c r="F2183" s="14" t="s">
        <v>150</v>
      </c>
      <c r="G2183" s="14" t="n">
        <v>3</v>
      </c>
      <c r="H2183" s="14" t="s">
        <v>158</v>
      </c>
      <c r="I2183" s="14" t="s">
        <v>897</v>
      </c>
      <c r="J2183" s="15" t="n">
        <f aca="false">IF(B2183="SITE LOSS",IF(D2183=C2183,1,0),IF(B2183="REGION LOSS",IF(E2183=C2183,1,0),0))</f>
        <v>0</v>
      </c>
      <c r="K2183" s="15" t="n">
        <f aca="false">IF(B2183="SITE LOSS",IF(COUNTIFS('Site Dockets'!$B$7:$B$24,C2183,'Site Dockets'!$C$7:$C$24,F2183)&gt;0,1,0),IF(B2183="REGION LOSS",IF(COUNTIFS('Site Dockets'!$E$7:$E$24,C2183,'Site Dockets'!$C$7:$C$24,F2183)&gt;0,1,0),0))</f>
        <v>1</v>
      </c>
      <c r="L2183" s="15" t="n">
        <f aca="false">IF(J2183=1,0,Inputs!$B$11)</f>
        <v>100</v>
      </c>
      <c r="M2183" s="15" t="n">
        <f aca="false">IF(J2183=1,0,Inputs!$B$12)</f>
        <v>75</v>
      </c>
      <c r="N2183" s="15" t="n">
        <f aca="false">IF(J2183=1,0,IF(OR(AND(OR(B2183="SITE LOSS",B2183="REGION LOSS"),K2183=1),AND(B2183="ROLE COMPROMISE",H2183=C2183)),Inputs!$B$13,Inputs!$B$14))</f>
        <v>20</v>
      </c>
      <c r="O2183" s="15" t="n">
        <f aca="false">IF(J2183=1,0,Inputs!$B$13)</f>
        <v>20</v>
      </c>
      <c r="P2183" s="15" t="n">
        <f aca="false">SUM(M2183:N2183)</f>
        <v>95</v>
      </c>
      <c r="Q2183" s="15" t="n">
        <f aca="false">IF(J2183=1,"",L2183-P2183)</f>
        <v>5</v>
      </c>
      <c r="R2183" s="15" t="n">
        <f aca="false">IF(OR(J2183=1,M2183&lt;=Inputs!$B$12),1,0)</f>
        <v>1</v>
      </c>
      <c r="S2183" s="15" t="n">
        <f aca="false">IF(OR(J2183=1,N2183&lt;=O2183),1,0)</f>
        <v>1</v>
      </c>
      <c r="T2183" s="15" t="str">
        <f aca="false">IF(J2183=1,"OFFLINE",IF(AND(Q2183&gt;=Inputs!$B$15,R2183=1,S2183=1,P2183&lt;=L2183),"PASS","FAIL"))</f>
        <v>PASS</v>
      </c>
    </row>
    <row r="2184" customFormat="false" ht="15" hidden="false" customHeight="false" outlineLevel="0" collapsed="false">
      <c r="A2184" s="14" t="s">
        <v>1040</v>
      </c>
      <c r="B2184" s="14" t="s">
        <v>1038</v>
      </c>
      <c r="C2184" s="14" t="s">
        <v>157</v>
      </c>
      <c r="D2184" s="14" t="s">
        <v>160</v>
      </c>
      <c r="E2184" s="14" t="s">
        <v>161</v>
      </c>
      <c r="F2184" s="14" t="s">
        <v>150</v>
      </c>
      <c r="G2184" s="14" t="n">
        <v>3</v>
      </c>
      <c r="H2184" s="14" t="s">
        <v>158</v>
      </c>
      <c r="I2184" s="14" t="s">
        <v>899</v>
      </c>
      <c r="J2184" s="15" t="n">
        <f aca="false">IF(B2184="SITE LOSS",IF(D2184=C2184,1,0),IF(B2184="REGION LOSS",IF(E2184=C2184,1,0),0))</f>
        <v>0</v>
      </c>
      <c r="K2184" s="15" t="n">
        <f aca="false">IF(B2184="SITE LOSS",IF(COUNTIFS('Site Dockets'!$B$7:$B$24,C2184,'Site Dockets'!$C$7:$C$24,F2184)&gt;0,1,0),IF(B2184="REGION LOSS",IF(COUNTIFS('Site Dockets'!$E$7:$E$24,C2184,'Site Dockets'!$C$7:$C$24,F2184)&gt;0,1,0),0))</f>
        <v>1</v>
      </c>
      <c r="L2184" s="15" t="n">
        <f aca="false">IF(J2184=1,0,Inputs!$B$11)</f>
        <v>100</v>
      </c>
      <c r="M2184" s="15" t="n">
        <f aca="false">IF(J2184=1,0,Inputs!$B$12)</f>
        <v>75</v>
      </c>
      <c r="N2184" s="15" t="n">
        <f aca="false">IF(J2184=1,0,IF(OR(AND(OR(B2184="SITE LOSS",B2184="REGION LOSS"),K2184=1),AND(B2184="ROLE COMPROMISE",H2184=C2184)),Inputs!$B$13,Inputs!$B$14))</f>
        <v>20</v>
      </c>
      <c r="O2184" s="15" t="n">
        <f aca="false">IF(J2184=1,0,Inputs!$B$13)</f>
        <v>20</v>
      </c>
      <c r="P2184" s="15" t="n">
        <f aca="false">SUM(M2184:N2184)</f>
        <v>95</v>
      </c>
      <c r="Q2184" s="15" t="n">
        <f aca="false">IF(J2184=1,"",L2184-P2184)</f>
        <v>5</v>
      </c>
      <c r="R2184" s="15" t="n">
        <f aca="false">IF(OR(J2184=1,M2184&lt;=Inputs!$B$12),1,0)</f>
        <v>1</v>
      </c>
      <c r="S2184" s="15" t="n">
        <f aca="false">IF(OR(J2184=1,N2184&lt;=O2184),1,0)</f>
        <v>1</v>
      </c>
      <c r="T2184" s="15" t="str">
        <f aca="false">IF(J2184=1,"OFFLINE",IF(AND(Q2184&gt;=Inputs!$B$15,R2184=1,S2184=1,P2184&lt;=L2184),"PASS","FAIL"))</f>
        <v>PASS</v>
      </c>
    </row>
    <row r="2185" customFormat="false" ht="15" hidden="false" customHeight="false" outlineLevel="0" collapsed="false">
      <c r="A2185" s="14" t="s">
        <v>1040</v>
      </c>
      <c r="B2185" s="14" t="s">
        <v>1038</v>
      </c>
      <c r="C2185" s="14" t="s">
        <v>157</v>
      </c>
      <c r="D2185" s="14" t="s">
        <v>163</v>
      </c>
      <c r="E2185" s="14" t="s">
        <v>166</v>
      </c>
      <c r="F2185" s="14" t="s">
        <v>164</v>
      </c>
      <c r="G2185" s="14" t="n">
        <v>1</v>
      </c>
      <c r="H2185" s="14" t="s">
        <v>154</v>
      </c>
      <c r="I2185" s="14" t="s">
        <v>890</v>
      </c>
      <c r="J2185" s="15" t="n">
        <f aca="false">IF(B2185="SITE LOSS",IF(D2185=C2185,1,0),IF(B2185="REGION LOSS",IF(E2185=C2185,1,0),0))</f>
        <v>0</v>
      </c>
      <c r="K2185" s="15" t="n">
        <f aca="false">IF(B2185="SITE LOSS",IF(COUNTIFS('Site Dockets'!$B$7:$B$24,C2185,'Site Dockets'!$C$7:$C$24,F2185)&gt;0,1,0),IF(B2185="REGION LOSS",IF(COUNTIFS('Site Dockets'!$E$7:$E$24,C2185,'Site Dockets'!$C$7:$C$24,F2185)&gt;0,1,0),0))</f>
        <v>0</v>
      </c>
      <c r="L2185" s="15" t="n">
        <f aca="false">IF(J2185=1,0,Inputs!$B$11)</f>
        <v>100</v>
      </c>
      <c r="M2185" s="15" t="n">
        <f aca="false">IF(J2185=1,0,Inputs!$B$12)</f>
        <v>75</v>
      </c>
      <c r="N2185" s="15" t="n">
        <f aca="false">IF(J2185=1,0,IF(OR(AND(OR(B2185="SITE LOSS",B2185="REGION LOSS"),K2185=1),AND(B2185="ROLE COMPROMISE",H2185=C2185)),Inputs!$B$13,Inputs!$B$14))</f>
        <v>10</v>
      </c>
      <c r="O2185" s="15" t="n">
        <f aca="false">IF(J2185=1,0,Inputs!$B$13)</f>
        <v>20</v>
      </c>
      <c r="P2185" s="15" t="n">
        <f aca="false">SUM(M2185:N2185)</f>
        <v>85</v>
      </c>
      <c r="Q2185" s="15" t="n">
        <f aca="false">IF(J2185=1,"",L2185-P2185)</f>
        <v>15</v>
      </c>
      <c r="R2185" s="15" t="n">
        <f aca="false">IF(OR(J2185=1,M2185&lt;=Inputs!$B$12),1,0)</f>
        <v>1</v>
      </c>
      <c r="S2185" s="15" t="n">
        <f aca="false">IF(OR(J2185=1,N2185&lt;=O2185),1,0)</f>
        <v>1</v>
      </c>
      <c r="T2185" s="15" t="str">
        <f aca="false">IF(J2185=1,"OFFLINE",IF(AND(Q2185&gt;=Inputs!$B$15,R2185=1,S2185=1,P2185&lt;=L2185),"PASS","FAIL"))</f>
        <v>PASS</v>
      </c>
    </row>
    <row r="2186" customFormat="false" ht="15" hidden="false" customHeight="false" outlineLevel="0" collapsed="false">
      <c r="A2186" s="14" t="s">
        <v>1040</v>
      </c>
      <c r="B2186" s="14" t="s">
        <v>1038</v>
      </c>
      <c r="C2186" s="14" t="s">
        <v>157</v>
      </c>
      <c r="D2186" s="14" t="s">
        <v>163</v>
      </c>
      <c r="E2186" s="14" t="s">
        <v>166</v>
      </c>
      <c r="F2186" s="14" t="s">
        <v>164</v>
      </c>
      <c r="G2186" s="14" t="n">
        <v>1</v>
      </c>
      <c r="H2186" s="14" t="s">
        <v>154</v>
      </c>
      <c r="I2186" s="14" t="s">
        <v>892</v>
      </c>
      <c r="J2186" s="15" t="n">
        <f aca="false">IF(B2186="SITE LOSS",IF(D2186=C2186,1,0),IF(B2186="REGION LOSS",IF(E2186=C2186,1,0),0))</f>
        <v>0</v>
      </c>
      <c r="K2186" s="15" t="n">
        <f aca="false">IF(B2186="SITE LOSS",IF(COUNTIFS('Site Dockets'!$B$7:$B$24,C2186,'Site Dockets'!$C$7:$C$24,F2186)&gt;0,1,0),IF(B2186="REGION LOSS",IF(COUNTIFS('Site Dockets'!$E$7:$E$24,C2186,'Site Dockets'!$C$7:$C$24,F2186)&gt;0,1,0),0))</f>
        <v>0</v>
      </c>
      <c r="L2186" s="15" t="n">
        <f aca="false">IF(J2186=1,0,Inputs!$B$11)</f>
        <v>100</v>
      </c>
      <c r="M2186" s="15" t="n">
        <f aca="false">IF(J2186=1,0,Inputs!$B$12)</f>
        <v>75</v>
      </c>
      <c r="N2186" s="15" t="n">
        <f aca="false">IF(J2186=1,0,IF(OR(AND(OR(B2186="SITE LOSS",B2186="REGION LOSS"),K2186=1),AND(B2186="ROLE COMPROMISE",H2186=C2186)),Inputs!$B$13,Inputs!$B$14))</f>
        <v>10</v>
      </c>
      <c r="O2186" s="15" t="n">
        <f aca="false">IF(J2186=1,0,Inputs!$B$13)</f>
        <v>20</v>
      </c>
      <c r="P2186" s="15" t="n">
        <f aca="false">SUM(M2186:N2186)</f>
        <v>85</v>
      </c>
      <c r="Q2186" s="15" t="n">
        <f aca="false">IF(J2186=1,"",L2186-P2186)</f>
        <v>15</v>
      </c>
      <c r="R2186" s="15" t="n">
        <f aca="false">IF(OR(J2186=1,M2186&lt;=Inputs!$B$12),1,0)</f>
        <v>1</v>
      </c>
      <c r="S2186" s="15" t="n">
        <f aca="false">IF(OR(J2186=1,N2186&lt;=O2186),1,0)</f>
        <v>1</v>
      </c>
      <c r="T2186" s="15" t="str">
        <f aca="false">IF(J2186=1,"OFFLINE",IF(AND(Q2186&gt;=Inputs!$B$15,R2186=1,S2186=1,P2186&lt;=L2186),"PASS","FAIL"))</f>
        <v>PASS</v>
      </c>
    </row>
    <row r="2187" customFormat="false" ht="15" hidden="false" customHeight="false" outlineLevel="0" collapsed="false">
      <c r="A2187" s="14" t="s">
        <v>1040</v>
      </c>
      <c r="B2187" s="14" t="s">
        <v>1038</v>
      </c>
      <c r="C2187" s="14" t="s">
        <v>157</v>
      </c>
      <c r="D2187" s="14" t="s">
        <v>163</v>
      </c>
      <c r="E2187" s="14" t="s">
        <v>166</v>
      </c>
      <c r="F2187" s="14" t="s">
        <v>164</v>
      </c>
      <c r="G2187" s="14" t="n">
        <v>1</v>
      </c>
      <c r="H2187" s="14" t="s">
        <v>154</v>
      </c>
      <c r="I2187" s="14" t="s">
        <v>811</v>
      </c>
      <c r="J2187" s="15" t="n">
        <f aca="false">IF(B2187="SITE LOSS",IF(D2187=C2187,1,0),IF(B2187="REGION LOSS",IF(E2187=C2187,1,0),0))</f>
        <v>0</v>
      </c>
      <c r="K2187" s="15" t="n">
        <f aca="false">IF(B2187="SITE LOSS",IF(COUNTIFS('Site Dockets'!$B$7:$B$24,C2187,'Site Dockets'!$C$7:$C$24,F2187)&gt;0,1,0),IF(B2187="REGION LOSS",IF(COUNTIFS('Site Dockets'!$E$7:$E$24,C2187,'Site Dockets'!$C$7:$C$24,F2187)&gt;0,1,0),0))</f>
        <v>0</v>
      </c>
      <c r="L2187" s="15" t="n">
        <f aca="false">IF(J2187=1,0,Inputs!$B$11)</f>
        <v>100</v>
      </c>
      <c r="M2187" s="15" t="n">
        <f aca="false">IF(J2187=1,0,Inputs!$B$12)</f>
        <v>75</v>
      </c>
      <c r="N2187" s="15" t="n">
        <f aca="false">IF(J2187=1,0,IF(OR(AND(OR(B2187="SITE LOSS",B2187="REGION LOSS"),K2187=1),AND(B2187="ROLE COMPROMISE",H2187=C2187)),Inputs!$B$13,Inputs!$B$14))</f>
        <v>10</v>
      </c>
      <c r="O2187" s="15" t="n">
        <f aca="false">IF(J2187=1,0,Inputs!$B$13)</f>
        <v>20</v>
      </c>
      <c r="P2187" s="15" t="n">
        <f aca="false">SUM(M2187:N2187)</f>
        <v>85</v>
      </c>
      <c r="Q2187" s="15" t="n">
        <f aca="false">IF(J2187=1,"",L2187-P2187)</f>
        <v>15</v>
      </c>
      <c r="R2187" s="15" t="n">
        <f aca="false">IF(OR(J2187=1,M2187&lt;=Inputs!$B$12),1,0)</f>
        <v>1</v>
      </c>
      <c r="S2187" s="15" t="n">
        <f aca="false">IF(OR(J2187=1,N2187&lt;=O2187),1,0)</f>
        <v>1</v>
      </c>
      <c r="T2187" s="15" t="str">
        <f aca="false">IF(J2187=1,"OFFLINE",IF(AND(Q2187&gt;=Inputs!$B$15,R2187=1,S2187=1,P2187&lt;=L2187),"PASS","FAIL"))</f>
        <v>PASS</v>
      </c>
    </row>
    <row r="2188" customFormat="false" ht="15" hidden="false" customHeight="false" outlineLevel="0" collapsed="false">
      <c r="A2188" s="14" t="s">
        <v>1040</v>
      </c>
      <c r="B2188" s="14" t="s">
        <v>1038</v>
      </c>
      <c r="C2188" s="14" t="s">
        <v>157</v>
      </c>
      <c r="D2188" s="14" t="s">
        <v>163</v>
      </c>
      <c r="E2188" s="14" t="s">
        <v>166</v>
      </c>
      <c r="F2188" s="14" t="s">
        <v>164</v>
      </c>
      <c r="G2188" s="14" t="n">
        <v>1</v>
      </c>
      <c r="H2188" s="14" t="s">
        <v>154</v>
      </c>
      <c r="I2188" s="14" t="s">
        <v>895</v>
      </c>
      <c r="J2188" s="15" t="n">
        <f aca="false">IF(B2188="SITE LOSS",IF(D2188=C2188,1,0),IF(B2188="REGION LOSS",IF(E2188=C2188,1,0),0))</f>
        <v>0</v>
      </c>
      <c r="K2188" s="15" t="n">
        <f aca="false">IF(B2188="SITE LOSS",IF(COUNTIFS('Site Dockets'!$B$7:$B$24,C2188,'Site Dockets'!$C$7:$C$24,F2188)&gt;0,1,0),IF(B2188="REGION LOSS",IF(COUNTIFS('Site Dockets'!$E$7:$E$24,C2188,'Site Dockets'!$C$7:$C$24,F2188)&gt;0,1,0),0))</f>
        <v>0</v>
      </c>
      <c r="L2188" s="15" t="n">
        <f aca="false">IF(J2188=1,0,Inputs!$B$11)</f>
        <v>100</v>
      </c>
      <c r="M2188" s="15" t="n">
        <f aca="false">IF(J2188=1,0,Inputs!$B$12)</f>
        <v>75</v>
      </c>
      <c r="N2188" s="15" t="n">
        <f aca="false">IF(J2188=1,0,IF(OR(AND(OR(B2188="SITE LOSS",B2188="REGION LOSS"),K2188=1),AND(B2188="ROLE COMPROMISE",H2188=C2188)),Inputs!$B$13,Inputs!$B$14))</f>
        <v>10</v>
      </c>
      <c r="O2188" s="15" t="n">
        <f aca="false">IF(J2188=1,0,Inputs!$B$13)</f>
        <v>20</v>
      </c>
      <c r="P2188" s="15" t="n">
        <f aca="false">SUM(M2188:N2188)</f>
        <v>85</v>
      </c>
      <c r="Q2188" s="15" t="n">
        <f aca="false">IF(J2188=1,"",L2188-P2188)</f>
        <v>15</v>
      </c>
      <c r="R2188" s="15" t="n">
        <f aca="false">IF(OR(J2188=1,M2188&lt;=Inputs!$B$12),1,0)</f>
        <v>1</v>
      </c>
      <c r="S2188" s="15" t="n">
        <f aca="false">IF(OR(J2188=1,N2188&lt;=O2188),1,0)</f>
        <v>1</v>
      </c>
      <c r="T2188" s="15" t="str">
        <f aca="false">IF(J2188=1,"OFFLINE",IF(AND(Q2188&gt;=Inputs!$B$15,R2188=1,S2188=1,P2188&lt;=L2188),"PASS","FAIL"))</f>
        <v>PASS</v>
      </c>
    </row>
    <row r="2189" customFormat="false" ht="15" hidden="false" customHeight="false" outlineLevel="0" collapsed="false">
      <c r="A2189" s="14" t="s">
        <v>1040</v>
      </c>
      <c r="B2189" s="14" t="s">
        <v>1038</v>
      </c>
      <c r="C2189" s="14" t="s">
        <v>157</v>
      </c>
      <c r="D2189" s="14" t="s">
        <v>163</v>
      </c>
      <c r="E2189" s="14" t="s">
        <v>166</v>
      </c>
      <c r="F2189" s="14" t="s">
        <v>164</v>
      </c>
      <c r="G2189" s="14" t="n">
        <v>1</v>
      </c>
      <c r="H2189" s="14" t="s">
        <v>154</v>
      </c>
      <c r="I2189" s="14" t="s">
        <v>897</v>
      </c>
      <c r="J2189" s="15" t="n">
        <f aca="false">IF(B2189="SITE LOSS",IF(D2189=C2189,1,0),IF(B2189="REGION LOSS",IF(E2189=C2189,1,0),0))</f>
        <v>0</v>
      </c>
      <c r="K2189" s="15" t="n">
        <f aca="false">IF(B2189="SITE LOSS",IF(COUNTIFS('Site Dockets'!$B$7:$B$24,C2189,'Site Dockets'!$C$7:$C$24,F2189)&gt;0,1,0),IF(B2189="REGION LOSS",IF(COUNTIFS('Site Dockets'!$E$7:$E$24,C2189,'Site Dockets'!$C$7:$C$24,F2189)&gt;0,1,0),0))</f>
        <v>0</v>
      </c>
      <c r="L2189" s="15" t="n">
        <f aca="false">IF(J2189=1,0,Inputs!$B$11)</f>
        <v>100</v>
      </c>
      <c r="M2189" s="15" t="n">
        <f aca="false">IF(J2189=1,0,Inputs!$B$12)</f>
        <v>75</v>
      </c>
      <c r="N2189" s="15" t="n">
        <f aca="false">IF(J2189=1,0,IF(OR(AND(OR(B2189="SITE LOSS",B2189="REGION LOSS"),K2189=1),AND(B2189="ROLE COMPROMISE",H2189=C2189)),Inputs!$B$13,Inputs!$B$14))</f>
        <v>10</v>
      </c>
      <c r="O2189" s="15" t="n">
        <f aca="false">IF(J2189=1,0,Inputs!$B$13)</f>
        <v>20</v>
      </c>
      <c r="P2189" s="15" t="n">
        <f aca="false">SUM(M2189:N2189)</f>
        <v>85</v>
      </c>
      <c r="Q2189" s="15" t="n">
        <f aca="false">IF(J2189=1,"",L2189-P2189)</f>
        <v>15</v>
      </c>
      <c r="R2189" s="15" t="n">
        <f aca="false">IF(OR(J2189=1,M2189&lt;=Inputs!$B$12),1,0)</f>
        <v>1</v>
      </c>
      <c r="S2189" s="15" t="n">
        <f aca="false">IF(OR(J2189=1,N2189&lt;=O2189),1,0)</f>
        <v>1</v>
      </c>
      <c r="T2189" s="15" t="str">
        <f aca="false">IF(J2189=1,"OFFLINE",IF(AND(Q2189&gt;=Inputs!$B$15,R2189=1,S2189=1,P2189&lt;=L2189),"PASS","FAIL"))</f>
        <v>PASS</v>
      </c>
    </row>
    <row r="2190" customFormat="false" ht="15" hidden="false" customHeight="false" outlineLevel="0" collapsed="false">
      <c r="A2190" s="14" t="s">
        <v>1040</v>
      </c>
      <c r="B2190" s="14" t="s">
        <v>1038</v>
      </c>
      <c r="C2190" s="14" t="s">
        <v>157</v>
      </c>
      <c r="D2190" s="14" t="s">
        <v>163</v>
      </c>
      <c r="E2190" s="14" t="s">
        <v>166</v>
      </c>
      <c r="F2190" s="14" t="s">
        <v>164</v>
      </c>
      <c r="G2190" s="14" t="n">
        <v>1</v>
      </c>
      <c r="H2190" s="14" t="s">
        <v>154</v>
      </c>
      <c r="I2190" s="14" t="s">
        <v>899</v>
      </c>
      <c r="J2190" s="15" t="n">
        <f aca="false">IF(B2190="SITE LOSS",IF(D2190=C2190,1,0),IF(B2190="REGION LOSS",IF(E2190=C2190,1,0),0))</f>
        <v>0</v>
      </c>
      <c r="K2190" s="15" t="n">
        <f aca="false">IF(B2190="SITE LOSS",IF(COUNTIFS('Site Dockets'!$B$7:$B$24,C2190,'Site Dockets'!$C$7:$C$24,F2190)&gt;0,1,0),IF(B2190="REGION LOSS",IF(COUNTIFS('Site Dockets'!$E$7:$E$24,C2190,'Site Dockets'!$C$7:$C$24,F2190)&gt;0,1,0),0))</f>
        <v>0</v>
      </c>
      <c r="L2190" s="15" t="n">
        <f aca="false">IF(J2190=1,0,Inputs!$B$11)</f>
        <v>100</v>
      </c>
      <c r="M2190" s="15" t="n">
        <f aca="false">IF(J2190=1,0,Inputs!$B$12)</f>
        <v>75</v>
      </c>
      <c r="N2190" s="15" t="n">
        <f aca="false">IF(J2190=1,0,IF(OR(AND(OR(B2190="SITE LOSS",B2190="REGION LOSS"),K2190=1),AND(B2190="ROLE COMPROMISE",H2190=C2190)),Inputs!$B$13,Inputs!$B$14))</f>
        <v>10</v>
      </c>
      <c r="O2190" s="15" t="n">
        <f aca="false">IF(J2190=1,0,Inputs!$B$13)</f>
        <v>20</v>
      </c>
      <c r="P2190" s="15" t="n">
        <f aca="false">SUM(M2190:N2190)</f>
        <v>85</v>
      </c>
      <c r="Q2190" s="15" t="n">
        <f aca="false">IF(J2190=1,"",L2190-P2190)</f>
        <v>15</v>
      </c>
      <c r="R2190" s="15" t="n">
        <f aca="false">IF(OR(J2190=1,M2190&lt;=Inputs!$B$12),1,0)</f>
        <v>1</v>
      </c>
      <c r="S2190" s="15" t="n">
        <f aca="false">IF(OR(J2190=1,N2190&lt;=O2190),1,0)</f>
        <v>1</v>
      </c>
      <c r="T2190" s="15" t="str">
        <f aca="false">IF(J2190=1,"OFFLINE",IF(AND(Q2190&gt;=Inputs!$B$15,R2190=1,S2190=1,P2190&lt;=L2190),"PASS","FAIL"))</f>
        <v>PASS</v>
      </c>
    </row>
    <row r="2191" customFormat="false" ht="15" hidden="false" customHeight="false" outlineLevel="0" collapsed="false">
      <c r="A2191" s="14" t="s">
        <v>1040</v>
      </c>
      <c r="B2191" s="14" t="s">
        <v>1038</v>
      </c>
      <c r="C2191" s="14" t="s">
        <v>157</v>
      </c>
      <c r="D2191" s="14" t="s">
        <v>168</v>
      </c>
      <c r="E2191" s="14" t="s">
        <v>169</v>
      </c>
      <c r="F2191" s="14" t="s">
        <v>164</v>
      </c>
      <c r="G2191" s="14" t="n">
        <v>2</v>
      </c>
      <c r="H2191" s="14" t="s">
        <v>153</v>
      </c>
      <c r="I2191" s="14" t="s">
        <v>890</v>
      </c>
      <c r="J2191" s="15" t="n">
        <f aca="false">IF(B2191="SITE LOSS",IF(D2191=C2191,1,0),IF(B2191="REGION LOSS",IF(E2191=C2191,1,0),0))</f>
        <v>0</v>
      </c>
      <c r="K2191" s="15" t="n">
        <f aca="false">IF(B2191="SITE LOSS",IF(COUNTIFS('Site Dockets'!$B$7:$B$24,C2191,'Site Dockets'!$C$7:$C$24,F2191)&gt;0,1,0),IF(B2191="REGION LOSS",IF(COUNTIFS('Site Dockets'!$E$7:$E$24,C2191,'Site Dockets'!$C$7:$C$24,F2191)&gt;0,1,0),0))</f>
        <v>0</v>
      </c>
      <c r="L2191" s="15" t="n">
        <f aca="false">IF(J2191=1,0,Inputs!$B$11)</f>
        <v>100</v>
      </c>
      <c r="M2191" s="15" t="n">
        <f aca="false">IF(J2191=1,0,Inputs!$B$12)</f>
        <v>75</v>
      </c>
      <c r="N2191" s="15" t="n">
        <f aca="false">IF(J2191=1,0,IF(OR(AND(OR(B2191="SITE LOSS",B2191="REGION LOSS"),K2191=1),AND(B2191="ROLE COMPROMISE",H2191=C2191)),Inputs!$B$13,Inputs!$B$14))</f>
        <v>10</v>
      </c>
      <c r="O2191" s="15" t="n">
        <f aca="false">IF(J2191=1,0,Inputs!$B$13)</f>
        <v>20</v>
      </c>
      <c r="P2191" s="15" t="n">
        <f aca="false">SUM(M2191:N2191)</f>
        <v>85</v>
      </c>
      <c r="Q2191" s="15" t="n">
        <f aca="false">IF(J2191=1,"",L2191-P2191)</f>
        <v>15</v>
      </c>
      <c r="R2191" s="15" t="n">
        <f aca="false">IF(OR(J2191=1,M2191&lt;=Inputs!$B$12),1,0)</f>
        <v>1</v>
      </c>
      <c r="S2191" s="15" t="n">
        <f aca="false">IF(OR(J2191=1,N2191&lt;=O2191),1,0)</f>
        <v>1</v>
      </c>
      <c r="T2191" s="15" t="str">
        <f aca="false">IF(J2191=1,"OFFLINE",IF(AND(Q2191&gt;=Inputs!$B$15,R2191=1,S2191=1,P2191&lt;=L2191),"PASS","FAIL"))</f>
        <v>PASS</v>
      </c>
    </row>
    <row r="2192" customFormat="false" ht="15" hidden="false" customHeight="false" outlineLevel="0" collapsed="false">
      <c r="A2192" s="14" t="s">
        <v>1040</v>
      </c>
      <c r="B2192" s="14" t="s">
        <v>1038</v>
      </c>
      <c r="C2192" s="14" t="s">
        <v>157</v>
      </c>
      <c r="D2192" s="14" t="s">
        <v>168</v>
      </c>
      <c r="E2192" s="14" t="s">
        <v>169</v>
      </c>
      <c r="F2192" s="14" t="s">
        <v>164</v>
      </c>
      <c r="G2192" s="14" t="n">
        <v>2</v>
      </c>
      <c r="H2192" s="14" t="s">
        <v>153</v>
      </c>
      <c r="I2192" s="14" t="s">
        <v>892</v>
      </c>
      <c r="J2192" s="15" t="n">
        <f aca="false">IF(B2192="SITE LOSS",IF(D2192=C2192,1,0),IF(B2192="REGION LOSS",IF(E2192=C2192,1,0),0))</f>
        <v>0</v>
      </c>
      <c r="K2192" s="15" t="n">
        <f aca="false">IF(B2192="SITE LOSS",IF(COUNTIFS('Site Dockets'!$B$7:$B$24,C2192,'Site Dockets'!$C$7:$C$24,F2192)&gt;0,1,0),IF(B2192="REGION LOSS",IF(COUNTIFS('Site Dockets'!$E$7:$E$24,C2192,'Site Dockets'!$C$7:$C$24,F2192)&gt;0,1,0),0))</f>
        <v>0</v>
      </c>
      <c r="L2192" s="15" t="n">
        <f aca="false">IF(J2192=1,0,Inputs!$B$11)</f>
        <v>100</v>
      </c>
      <c r="M2192" s="15" t="n">
        <f aca="false">IF(J2192=1,0,Inputs!$B$12)</f>
        <v>75</v>
      </c>
      <c r="N2192" s="15" t="n">
        <f aca="false">IF(J2192=1,0,IF(OR(AND(OR(B2192="SITE LOSS",B2192="REGION LOSS"),K2192=1),AND(B2192="ROLE COMPROMISE",H2192=C2192)),Inputs!$B$13,Inputs!$B$14))</f>
        <v>10</v>
      </c>
      <c r="O2192" s="15" t="n">
        <f aca="false">IF(J2192=1,0,Inputs!$B$13)</f>
        <v>20</v>
      </c>
      <c r="P2192" s="15" t="n">
        <f aca="false">SUM(M2192:N2192)</f>
        <v>85</v>
      </c>
      <c r="Q2192" s="15" t="n">
        <f aca="false">IF(J2192=1,"",L2192-P2192)</f>
        <v>15</v>
      </c>
      <c r="R2192" s="15" t="n">
        <f aca="false">IF(OR(J2192=1,M2192&lt;=Inputs!$B$12),1,0)</f>
        <v>1</v>
      </c>
      <c r="S2192" s="15" t="n">
        <f aca="false">IF(OR(J2192=1,N2192&lt;=O2192),1,0)</f>
        <v>1</v>
      </c>
      <c r="T2192" s="15" t="str">
        <f aca="false">IF(J2192=1,"OFFLINE",IF(AND(Q2192&gt;=Inputs!$B$15,R2192=1,S2192=1,P2192&lt;=L2192),"PASS","FAIL"))</f>
        <v>PASS</v>
      </c>
    </row>
    <row r="2193" customFormat="false" ht="15" hidden="false" customHeight="false" outlineLevel="0" collapsed="false">
      <c r="A2193" s="14" t="s">
        <v>1040</v>
      </c>
      <c r="B2193" s="14" t="s">
        <v>1038</v>
      </c>
      <c r="C2193" s="14" t="s">
        <v>157</v>
      </c>
      <c r="D2193" s="14" t="s">
        <v>168</v>
      </c>
      <c r="E2193" s="14" t="s">
        <v>169</v>
      </c>
      <c r="F2193" s="14" t="s">
        <v>164</v>
      </c>
      <c r="G2193" s="14" t="n">
        <v>2</v>
      </c>
      <c r="H2193" s="14" t="s">
        <v>153</v>
      </c>
      <c r="I2193" s="14" t="s">
        <v>811</v>
      </c>
      <c r="J2193" s="15" t="n">
        <f aca="false">IF(B2193="SITE LOSS",IF(D2193=C2193,1,0),IF(B2193="REGION LOSS",IF(E2193=C2193,1,0),0))</f>
        <v>0</v>
      </c>
      <c r="K2193" s="15" t="n">
        <f aca="false">IF(B2193="SITE LOSS",IF(COUNTIFS('Site Dockets'!$B$7:$B$24,C2193,'Site Dockets'!$C$7:$C$24,F2193)&gt;0,1,0),IF(B2193="REGION LOSS",IF(COUNTIFS('Site Dockets'!$E$7:$E$24,C2193,'Site Dockets'!$C$7:$C$24,F2193)&gt;0,1,0),0))</f>
        <v>0</v>
      </c>
      <c r="L2193" s="15" t="n">
        <f aca="false">IF(J2193=1,0,Inputs!$B$11)</f>
        <v>100</v>
      </c>
      <c r="M2193" s="15" t="n">
        <f aca="false">IF(J2193=1,0,Inputs!$B$12)</f>
        <v>75</v>
      </c>
      <c r="N2193" s="15" t="n">
        <f aca="false">IF(J2193=1,0,IF(OR(AND(OR(B2193="SITE LOSS",B2193="REGION LOSS"),K2193=1),AND(B2193="ROLE COMPROMISE",H2193=C2193)),Inputs!$B$13,Inputs!$B$14))</f>
        <v>10</v>
      </c>
      <c r="O2193" s="15" t="n">
        <f aca="false">IF(J2193=1,0,Inputs!$B$13)</f>
        <v>20</v>
      </c>
      <c r="P2193" s="15" t="n">
        <f aca="false">SUM(M2193:N2193)</f>
        <v>85</v>
      </c>
      <c r="Q2193" s="15" t="n">
        <f aca="false">IF(J2193=1,"",L2193-P2193)</f>
        <v>15</v>
      </c>
      <c r="R2193" s="15" t="n">
        <f aca="false">IF(OR(J2193=1,M2193&lt;=Inputs!$B$12),1,0)</f>
        <v>1</v>
      </c>
      <c r="S2193" s="15" t="n">
        <f aca="false">IF(OR(J2193=1,N2193&lt;=O2193),1,0)</f>
        <v>1</v>
      </c>
      <c r="T2193" s="15" t="str">
        <f aca="false">IF(J2193=1,"OFFLINE",IF(AND(Q2193&gt;=Inputs!$B$15,R2193=1,S2193=1,P2193&lt;=L2193),"PASS","FAIL"))</f>
        <v>PASS</v>
      </c>
    </row>
    <row r="2194" customFormat="false" ht="15" hidden="false" customHeight="false" outlineLevel="0" collapsed="false">
      <c r="A2194" s="14" t="s">
        <v>1040</v>
      </c>
      <c r="B2194" s="14" t="s">
        <v>1038</v>
      </c>
      <c r="C2194" s="14" t="s">
        <v>157</v>
      </c>
      <c r="D2194" s="14" t="s">
        <v>168</v>
      </c>
      <c r="E2194" s="14" t="s">
        <v>169</v>
      </c>
      <c r="F2194" s="14" t="s">
        <v>164</v>
      </c>
      <c r="G2194" s="14" t="n">
        <v>2</v>
      </c>
      <c r="H2194" s="14" t="s">
        <v>153</v>
      </c>
      <c r="I2194" s="14" t="s">
        <v>895</v>
      </c>
      <c r="J2194" s="15" t="n">
        <f aca="false">IF(B2194="SITE LOSS",IF(D2194=C2194,1,0),IF(B2194="REGION LOSS",IF(E2194=C2194,1,0),0))</f>
        <v>0</v>
      </c>
      <c r="K2194" s="15" t="n">
        <f aca="false">IF(B2194="SITE LOSS",IF(COUNTIFS('Site Dockets'!$B$7:$B$24,C2194,'Site Dockets'!$C$7:$C$24,F2194)&gt;0,1,0),IF(B2194="REGION LOSS",IF(COUNTIFS('Site Dockets'!$E$7:$E$24,C2194,'Site Dockets'!$C$7:$C$24,F2194)&gt;0,1,0),0))</f>
        <v>0</v>
      </c>
      <c r="L2194" s="15" t="n">
        <f aca="false">IF(J2194=1,0,Inputs!$B$11)</f>
        <v>100</v>
      </c>
      <c r="M2194" s="15" t="n">
        <f aca="false">IF(J2194=1,0,Inputs!$B$12)</f>
        <v>75</v>
      </c>
      <c r="N2194" s="15" t="n">
        <f aca="false">IF(J2194=1,0,IF(OR(AND(OR(B2194="SITE LOSS",B2194="REGION LOSS"),K2194=1),AND(B2194="ROLE COMPROMISE",H2194=C2194)),Inputs!$B$13,Inputs!$B$14))</f>
        <v>10</v>
      </c>
      <c r="O2194" s="15" t="n">
        <f aca="false">IF(J2194=1,0,Inputs!$B$13)</f>
        <v>20</v>
      </c>
      <c r="P2194" s="15" t="n">
        <f aca="false">SUM(M2194:N2194)</f>
        <v>85</v>
      </c>
      <c r="Q2194" s="15" t="n">
        <f aca="false">IF(J2194=1,"",L2194-P2194)</f>
        <v>15</v>
      </c>
      <c r="R2194" s="15" t="n">
        <f aca="false">IF(OR(J2194=1,M2194&lt;=Inputs!$B$12),1,0)</f>
        <v>1</v>
      </c>
      <c r="S2194" s="15" t="n">
        <f aca="false">IF(OR(J2194=1,N2194&lt;=O2194),1,0)</f>
        <v>1</v>
      </c>
      <c r="T2194" s="15" t="str">
        <f aca="false">IF(J2194=1,"OFFLINE",IF(AND(Q2194&gt;=Inputs!$B$15,R2194=1,S2194=1,P2194&lt;=L2194),"PASS","FAIL"))</f>
        <v>PASS</v>
      </c>
    </row>
    <row r="2195" customFormat="false" ht="15" hidden="false" customHeight="false" outlineLevel="0" collapsed="false">
      <c r="A2195" s="14" t="s">
        <v>1040</v>
      </c>
      <c r="B2195" s="14" t="s">
        <v>1038</v>
      </c>
      <c r="C2195" s="14" t="s">
        <v>157</v>
      </c>
      <c r="D2195" s="14" t="s">
        <v>168</v>
      </c>
      <c r="E2195" s="14" t="s">
        <v>169</v>
      </c>
      <c r="F2195" s="14" t="s">
        <v>164</v>
      </c>
      <c r="G2195" s="14" t="n">
        <v>2</v>
      </c>
      <c r="H2195" s="14" t="s">
        <v>153</v>
      </c>
      <c r="I2195" s="14" t="s">
        <v>897</v>
      </c>
      <c r="J2195" s="15" t="n">
        <f aca="false">IF(B2195="SITE LOSS",IF(D2195=C2195,1,0),IF(B2195="REGION LOSS",IF(E2195=C2195,1,0),0))</f>
        <v>0</v>
      </c>
      <c r="K2195" s="15" t="n">
        <f aca="false">IF(B2195="SITE LOSS",IF(COUNTIFS('Site Dockets'!$B$7:$B$24,C2195,'Site Dockets'!$C$7:$C$24,F2195)&gt;0,1,0),IF(B2195="REGION LOSS",IF(COUNTIFS('Site Dockets'!$E$7:$E$24,C2195,'Site Dockets'!$C$7:$C$24,F2195)&gt;0,1,0),0))</f>
        <v>0</v>
      </c>
      <c r="L2195" s="15" t="n">
        <f aca="false">IF(J2195=1,0,Inputs!$B$11)</f>
        <v>100</v>
      </c>
      <c r="M2195" s="15" t="n">
        <f aca="false">IF(J2195=1,0,Inputs!$B$12)</f>
        <v>75</v>
      </c>
      <c r="N2195" s="15" t="n">
        <f aca="false">IF(J2195=1,0,IF(OR(AND(OR(B2195="SITE LOSS",B2195="REGION LOSS"),K2195=1),AND(B2195="ROLE COMPROMISE",H2195=C2195)),Inputs!$B$13,Inputs!$B$14))</f>
        <v>10</v>
      </c>
      <c r="O2195" s="15" t="n">
        <f aca="false">IF(J2195=1,0,Inputs!$B$13)</f>
        <v>20</v>
      </c>
      <c r="P2195" s="15" t="n">
        <f aca="false">SUM(M2195:N2195)</f>
        <v>85</v>
      </c>
      <c r="Q2195" s="15" t="n">
        <f aca="false">IF(J2195=1,"",L2195-P2195)</f>
        <v>15</v>
      </c>
      <c r="R2195" s="15" t="n">
        <f aca="false">IF(OR(J2195=1,M2195&lt;=Inputs!$B$12),1,0)</f>
        <v>1</v>
      </c>
      <c r="S2195" s="15" t="n">
        <f aca="false">IF(OR(J2195=1,N2195&lt;=O2195),1,0)</f>
        <v>1</v>
      </c>
      <c r="T2195" s="15" t="str">
        <f aca="false">IF(J2195=1,"OFFLINE",IF(AND(Q2195&gt;=Inputs!$B$15,R2195=1,S2195=1,P2195&lt;=L2195),"PASS","FAIL"))</f>
        <v>PASS</v>
      </c>
    </row>
    <row r="2196" customFormat="false" ht="15" hidden="false" customHeight="false" outlineLevel="0" collapsed="false">
      <c r="A2196" s="14" t="s">
        <v>1040</v>
      </c>
      <c r="B2196" s="14" t="s">
        <v>1038</v>
      </c>
      <c r="C2196" s="14" t="s">
        <v>157</v>
      </c>
      <c r="D2196" s="14" t="s">
        <v>168</v>
      </c>
      <c r="E2196" s="14" t="s">
        <v>169</v>
      </c>
      <c r="F2196" s="14" t="s">
        <v>164</v>
      </c>
      <c r="G2196" s="14" t="n">
        <v>2</v>
      </c>
      <c r="H2196" s="14" t="s">
        <v>153</v>
      </c>
      <c r="I2196" s="14" t="s">
        <v>899</v>
      </c>
      <c r="J2196" s="15" t="n">
        <f aca="false">IF(B2196="SITE LOSS",IF(D2196=C2196,1,0),IF(B2196="REGION LOSS",IF(E2196=C2196,1,0),0))</f>
        <v>0</v>
      </c>
      <c r="K2196" s="15" t="n">
        <f aca="false">IF(B2196="SITE LOSS",IF(COUNTIFS('Site Dockets'!$B$7:$B$24,C2196,'Site Dockets'!$C$7:$C$24,F2196)&gt;0,1,0),IF(B2196="REGION LOSS",IF(COUNTIFS('Site Dockets'!$E$7:$E$24,C2196,'Site Dockets'!$C$7:$C$24,F2196)&gt;0,1,0),0))</f>
        <v>0</v>
      </c>
      <c r="L2196" s="15" t="n">
        <f aca="false">IF(J2196=1,0,Inputs!$B$11)</f>
        <v>100</v>
      </c>
      <c r="M2196" s="15" t="n">
        <f aca="false">IF(J2196=1,0,Inputs!$B$12)</f>
        <v>75</v>
      </c>
      <c r="N2196" s="15" t="n">
        <f aca="false">IF(J2196=1,0,IF(OR(AND(OR(B2196="SITE LOSS",B2196="REGION LOSS"),K2196=1),AND(B2196="ROLE COMPROMISE",H2196=C2196)),Inputs!$B$13,Inputs!$B$14))</f>
        <v>10</v>
      </c>
      <c r="O2196" s="15" t="n">
        <f aca="false">IF(J2196=1,0,Inputs!$B$13)</f>
        <v>20</v>
      </c>
      <c r="P2196" s="15" t="n">
        <f aca="false">SUM(M2196:N2196)</f>
        <v>85</v>
      </c>
      <c r="Q2196" s="15" t="n">
        <f aca="false">IF(J2196=1,"",L2196-P2196)</f>
        <v>15</v>
      </c>
      <c r="R2196" s="15" t="n">
        <f aca="false">IF(OR(J2196=1,M2196&lt;=Inputs!$B$12),1,0)</f>
        <v>1</v>
      </c>
      <c r="S2196" s="15" t="n">
        <f aca="false">IF(OR(J2196=1,N2196&lt;=O2196),1,0)</f>
        <v>1</v>
      </c>
      <c r="T2196" s="15" t="str">
        <f aca="false">IF(J2196=1,"OFFLINE",IF(AND(Q2196&gt;=Inputs!$B$15,R2196=1,S2196=1,P2196&lt;=L2196),"PASS","FAIL"))</f>
        <v>PASS</v>
      </c>
    </row>
    <row r="2197" customFormat="false" ht="15" hidden="false" customHeight="false" outlineLevel="0" collapsed="false">
      <c r="A2197" s="14" t="s">
        <v>1040</v>
      </c>
      <c r="B2197" s="14" t="s">
        <v>1038</v>
      </c>
      <c r="C2197" s="14" t="s">
        <v>157</v>
      </c>
      <c r="D2197" s="14" t="s">
        <v>171</v>
      </c>
      <c r="E2197" s="14" t="s">
        <v>172</v>
      </c>
      <c r="F2197" s="14" t="s">
        <v>164</v>
      </c>
      <c r="G2197" s="14" t="n">
        <v>3</v>
      </c>
      <c r="H2197" s="14" t="s">
        <v>158</v>
      </c>
      <c r="I2197" s="14" t="s">
        <v>890</v>
      </c>
      <c r="J2197" s="15" t="n">
        <f aca="false">IF(B2197="SITE LOSS",IF(D2197=C2197,1,0),IF(B2197="REGION LOSS",IF(E2197=C2197,1,0),0))</f>
        <v>0</v>
      </c>
      <c r="K2197" s="15" t="n">
        <f aca="false">IF(B2197="SITE LOSS",IF(COUNTIFS('Site Dockets'!$B$7:$B$24,C2197,'Site Dockets'!$C$7:$C$24,F2197)&gt;0,1,0),IF(B2197="REGION LOSS",IF(COUNTIFS('Site Dockets'!$E$7:$E$24,C2197,'Site Dockets'!$C$7:$C$24,F2197)&gt;0,1,0),0))</f>
        <v>0</v>
      </c>
      <c r="L2197" s="15" t="n">
        <f aca="false">IF(J2197=1,0,Inputs!$B$11)</f>
        <v>100</v>
      </c>
      <c r="M2197" s="15" t="n">
        <f aca="false">IF(J2197=1,0,Inputs!$B$12)</f>
        <v>75</v>
      </c>
      <c r="N2197" s="15" t="n">
        <f aca="false">IF(J2197=1,0,IF(OR(AND(OR(B2197="SITE LOSS",B2197="REGION LOSS"),K2197=1),AND(B2197="ROLE COMPROMISE",H2197=C2197)),Inputs!$B$13,Inputs!$B$14))</f>
        <v>10</v>
      </c>
      <c r="O2197" s="15" t="n">
        <f aca="false">IF(J2197=1,0,Inputs!$B$13)</f>
        <v>20</v>
      </c>
      <c r="P2197" s="15" t="n">
        <f aca="false">SUM(M2197:N2197)</f>
        <v>85</v>
      </c>
      <c r="Q2197" s="15" t="n">
        <f aca="false">IF(J2197=1,"",L2197-P2197)</f>
        <v>15</v>
      </c>
      <c r="R2197" s="15" t="n">
        <f aca="false">IF(OR(J2197=1,M2197&lt;=Inputs!$B$12),1,0)</f>
        <v>1</v>
      </c>
      <c r="S2197" s="15" t="n">
        <f aca="false">IF(OR(J2197=1,N2197&lt;=O2197),1,0)</f>
        <v>1</v>
      </c>
      <c r="T2197" s="15" t="str">
        <f aca="false">IF(J2197=1,"OFFLINE",IF(AND(Q2197&gt;=Inputs!$B$15,R2197=1,S2197=1,P2197&lt;=L2197),"PASS","FAIL"))</f>
        <v>PASS</v>
      </c>
    </row>
    <row r="2198" customFormat="false" ht="15" hidden="false" customHeight="false" outlineLevel="0" collapsed="false">
      <c r="A2198" s="14" t="s">
        <v>1040</v>
      </c>
      <c r="B2198" s="14" t="s">
        <v>1038</v>
      </c>
      <c r="C2198" s="14" t="s">
        <v>157</v>
      </c>
      <c r="D2198" s="14" t="s">
        <v>171</v>
      </c>
      <c r="E2198" s="14" t="s">
        <v>172</v>
      </c>
      <c r="F2198" s="14" t="s">
        <v>164</v>
      </c>
      <c r="G2198" s="14" t="n">
        <v>3</v>
      </c>
      <c r="H2198" s="14" t="s">
        <v>158</v>
      </c>
      <c r="I2198" s="14" t="s">
        <v>892</v>
      </c>
      <c r="J2198" s="15" t="n">
        <f aca="false">IF(B2198="SITE LOSS",IF(D2198=C2198,1,0),IF(B2198="REGION LOSS",IF(E2198=C2198,1,0),0))</f>
        <v>0</v>
      </c>
      <c r="K2198" s="15" t="n">
        <f aca="false">IF(B2198="SITE LOSS",IF(COUNTIFS('Site Dockets'!$B$7:$B$24,C2198,'Site Dockets'!$C$7:$C$24,F2198)&gt;0,1,0),IF(B2198="REGION LOSS",IF(COUNTIFS('Site Dockets'!$E$7:$E$24,C2198,'Site Dockets'!$C$7:$C$24,F2198)&gt;0,1,0),0))</f>
        <v>0</v>
      </c>
      <c r="L2198" s="15" t="n">
        <f aca="false">IF(J2198=1,0,Inputs!$B$11)</f>
        <v>100</v>
      </c>
      <c r="M2198" s="15" t="n">
        <f aca="false">IF(J2198=1,0,Inputs!$B$12)</f>
        <v>75</v>
      </c>
      <c r="N2198" s="15" t="n">
        <f aca="false">IF(J2198=1,0,IF(OR(AND(OR(B2198="SITE LOSS",B2198="REGION LOSS"),K2198=1),AND(B2198="ROLE COMPROMISE",H2198=C2198)),Inputs!$B$13,Inputs!$B$14))</f>
        <v>10</v>
      </c>
      <c r="O2198" s="15" t="n">
        <f aca="false">IF(J2198=1,0,Inputs!$B$13)</f>
        <v>20</v>
      </c>
      <c r="P2198" s="15" t="n">
        <f aca="false">SUM(M2198:N2198)</f>
        <v>85</v>
      </c>
      <c r="Q2198" s="15" t="n">
        <f aca="false">IF(J2198=1,"",L2198-P2198)</f>
        <v>15</v>
      </c>
      <c r="R2198" s="15" t="n">
        <f aca="false">IF(OR(J2198=1,M2198&lt;=Inputs!$B$12),1,0)</f>
        <v>1</v>
      </c>
      <c r="S2198" s="15" t="n">
        <f aca="false">IF(OR(J2198=1,N2198&lt;=O2198),1,0)</f>
        <v>1</v>
      </c>
      <c r="T2198" s="15" t="str">
        <f aca="false">IF(J2198=1,"OFFLINE",IF(AND(Q2198&gt;=Inputs!$B$15,R2198=1,S2198=1,P2198&lt;=L2198),"PASS","FAIL"))</f>
        <v>PASS</v>
      </c>
    </row>
    <row r="2199" customFormat="false" ht="15" hidden="false" customHeight="false" outlineLevel="0" collapsed="false">
      <c r="A2199" s="14" t="s">
        <v>1040</v>
      </c>
      <c r="B2199" s="14" t="s">
        <v>1038</v>
      </c>
      <c r="C2199" s="14" t="s">
        <v>157</v>
      </c>
      <c r="D2199" s="14" t="s">
        <v>171</v>
      </c>
      <c r="E2199" s="14" t="s">
        <v>172</v>
      </c>
      <c r="F2199" s="14" t="s">
        <v>164</v>
      </c>
      <c r="G2199" s="14" t="n">
        <v>3</v>
      </c>
      <c r="H2199" s="14" t="s">
        <v>158</v>
      </c>
      <c r="I2199" s="14" t="s">
        <v>811</v>
      </c>
      <c r="J2199" s="15" t="n">
        <f aca="false">IF(B2199="SITE LOSS",IF(D2199=C2199,1,0),IF(B2199="REGION LOSS",IF(E2199=C2199,1,0),0))</f>
        <v>0</v>
      </c>
      <c r="K2199" s="15" t="n">
        <f aca="false">IF(B2199="SITE LOSS",IF(COUNTIFS('Site Dockets'!$B$7:$B$24,C2199,'Site Dockets'!$C$7:$C$24,F2199)&gt;0,1,0),IF(B2199="REGION LOSS",IF(COUNTIFS('Site Dockets'!$E$7:$E$24,C2199,'Site Dockets'!$C$7:$C$24,F2199)&gt;0,1,0),0))</f>
        <v>0</v>
      </c>
      <c r="L2199" s="15" t="n">
        <f aca="false">IF(J2199=1,0,Inputs!$B$11)</f>
        <v>100</v>
      </c>
      <c r="M2199" s="15" t="n">
        <f aca="false">IF(J2199=1,0,Inputs!$B$12)</f>
        <v>75</v>
      </c>
      <c r="N2199" s="15" t="n">
        <f aca="false">IF(J2199=1,0,IF(OR(AND(OR(B2199="SITE LOSS",B2199="REGION LOSS"),K2199=1),AND(B2199="ROLE COMPROMISE",H2199=C2199)),Inputs!$B$13,Inputs!$B$14))</f>
        <v>10</v>
      </c>
      <c r="O2199" s="15" t="n">
        <f aca="false">IF(J2199=1,0,Inputs!$B$13)</f>
        <v>20</v>
      </c>
      <c r="P2199" s="15" t="n">
        <f aca="false">SUM(M2199:N2199)</f>
        <v>85</v>
      </c>
      <c r="Q2199" s="15" t="n">
        <f aca="false">IF(J2199=1,"",L2199-P2199)</f>
        <v>15</v>
      </c>
      <c r="R2199" s="15" t="n">
        <f aca="false">IF(OR(J2199=1,M2199&lt;=Inputs!$B$12),1,0)</f>
        <v>1</v>
      </c>
      <c r="S2199" s="15" t="n">
        <f aca="false">IF(OR(J2199=1,N2199&lt;=O2199),1,0)</f>
        <v>1</v>
      </c>
      <c r="T2199" s="15" t="str">
        <f aca="false">IF(J2199=1,"OFFLINE",IF(AND(Q2199&gt;=Inputs!$B$15,R2199=1,S2199=1,P2199&lt;=L2199),"PASS","FAIL"))</f>
        <v>PASS</v>
      </c>
    </row>
    <row r="2200" customFormat="false" ht="15" hidden="false" customHeight="false" outlineLevel="0" collapsed="false">
      <c r="A2200" s="14" t="s">
        <v>1040</v>
      </c>
      <c r="B2200" s="14" t="s">
        <v>1038</v>
      </c>
      <c r="C2200" s="14" t="s">
        <v>157</v>
      </c>
      <c r="D2200" s="14" t="s">
        <v>171</v>
      </c>
      <c r="E2200" s="14" t="s">
        <v>172</v>
      </c>
      <c r="F2200" s="14" t="s">
        <v>164</v>
      </c>
      <c r="G2200" s="14" t="n">
        <v>3</v>
      </c>
      <c r="H2200" s="14" t="s">
        <v>158</v>
      </c>
      <c r="I2200" s="14" t="s">
        <v>895</v>
      </c>
      <c r="J2200" s="15" t="n">
        <f aca="false">IF(B2200="SITE LOSS",IF(D2200=C2200,1,0),IF(B2200="REGION LOSS",IF(E2200=C2200,1,0),0))</f>
        <v>0</v>
      </c>
      <c r="K2200" s="15" t="n">
        <f aca="false">IF(B2200="SITE LOSS",IF(COUNTIFS('Site Dockets'!$B$7:$B$24,C2200,'Site Dockets'!$C$7:$C$24,F2200)&gt;0,1,0),IF(B2200="REGION LOSS",IF(COUNTIFS('Site Dockets'!$E$7:$E$24,C2200,'Site Dockets'!$C$7:$C$24,F2200)&gt;0,1,0),0))</f>
        <v>0</v>
      </c>
      <c r="L2200" s="15" t="n">
        <f aca="false">IF(J2200=1,0,Inputs!$B$11)</f>
        <v>100</v>
      </c>
      <c r="M2200" s="15" t="n">
        <f aca="false">IF(J2200=1,0,Inputs!$B$12)</f>
        <v>75</v>
      </c>
      <c r="N2200" s="15" t="n">
        <f aca="false">IF(J2200=1,0,IF(OR(AND(OR(B2200="SITE LOSS",B2200="REGION LOSS"),K2200=1),AND(B2200="ROLE COMPROMISE",H2200=C2200)),Inputs!$B$13,Inputs!$B$14))</f>
        <v>10</v>
      </c>
      <c r="O2200" s="15" t="n">
        <f aca="false">IF(J2200=1,0,Inputs!$B$13)</f>
        <v>20</v>
      </c>
      <c r="P2200" s="15" t="n">
        <f aca="false">SUM(M2200:N2200)</f>
        <v>85</v>
      </c>
      <c r="Q2200" s="15" t="n">
        <f aca="false">IF(J2200=1,"",L2200-P2200)</f>
        <v>15</v>
      </c>
      <c r="R2200" s="15" t="n">
        <f aca="false">IF(OR(J2200=1,M2200&lt;=Inputs!$B$12),1,0)</f>
        <v>1</v>
      </c>
      <c r="S2200" s="15" t="n">
        <f aca="false">IF(OR(J2200=1,N2200&lt;=O2200),1,0)</f>
        <v>1</v>
      </c>
      <c r="T2200" s="15" t="str">
        <f aca="false">IF(J2200=1,"OFFLINE",IF(AND(Q2200&gt;=Inputs!$B$15,R2200=1,S2200=1,P2200&lt;=L2200),"PASS","FAIL"))</f>
        <v>PASS</v>
      </c>
    </row>
    <row r="2201" customFormat="false" ht="15" hidden="false" customHeight="false" outlineLevel="0" collapsed="false">
      <c r="A2201" s="14" t="s">
        <v>1040</v>
      </c>
      <c r="B2201" s="14" t="s">
        <v>1038</v>
      </c>
      <c r="C2201" s="14" t="s">
        <v>157</v>
      </c>
      <c r="D2201" s="14" t="s">
        <v>171</v>
      </c>
      <c r="E2201" s="14" t="s">
        <v>172</v>
      </c>
      <c r="F2201" s="14" t="s">
        <v>164</v>
      </c>
      <c r="G2201" s="14" t="n">
        <v>3</v>
      </c>
      <c r="H2201" s="14" t="s">
        <v>158</v>
      </c>
      <c r="I2201" s="14" t="s">
        <v>897</v>
      </c>
      <c r="J2201" s="15" t="n">
        <f aca="false">IF(B2201="SITE LOSS",IF(D2201=C2201,1,0),IF(B2201="REGION LOSS",IF(E2201=C2201,1,0),0))</f>
        <v>0</v>
      </c>
      <c r="K2201" s="15" t="n">
        <f aca="false">IF(B2201="SITE LOSS",IF(COUNTIFS('Site Dockets'!$B$7:$B$24,C2201,'Site Dockets'!$C$7:$C$24,F2201)&gt;0,1,0),IF(B2201="REGION LOSS",IF(COUNTIFS('Site Dockets'!$E$7:$E$24,C2201,'Site Dockets'!$C$7:$C$24,F2201)&gt;0,1,0),0))</f>
        <v>0</v>
      </c>
      <c r="L2201" s="15" t="n">
        <f aca="false">IF(J2201=1,0,Inputs!$B$11)</f>
        <v>100</v>
      </c>
      <c r="M2201" s="15" t="n">
        <f aca="false">IF(J2201=1,0,Inputs!$B$12)</f>
        <v>75</v>
      </c>
      <c r="N2201" s="15" t="n">
        <f aca="false">IF(J2201=1,0,IF(OR(AND(OR(B2201="SITE LOSS",B2201="REGION LOSS"),K2201=1),AND(B2201="ROLE COMPROMISE",H2201=C2201)),Inputs!$B$13,Inputs!$B$14))</f>
        <v>10</v>
      </c>
      <c r="O2201" s="15" t="n">
        <f aca="false">IF(J2201=1,0,Inputs!$B$13)</f>
        <v>20</v>
      </c>
      <c r="P2201" s="15" t="n">
        <f aca="false">SUM(M2201:N2201)</f>
        <v>85</v>
      </c>
      <c r="Q2201" s="15" t="n">
        <f aca="false">IF(J2201=1,"",L2201-P2201)</f>
        <v>15</v>
      </c>
      <c r="R2201" s="15" t="n">
        <f aca="false">IF(OR(J2201=1,M2201&lt;=Inputs!$B$12),1,0)</f>
        <v>1</v>
      </c>
      <c r="S2201" s="15" t="n">
        <f aca="false">IF(OR(J2201=1,N2201&lt;=O2201),1,0)</f>
        <v>1</v>
      </c>
      <c r="T2201" s="15" t="str">
        <f aca="false">IF(J2201=1,"OFFLINE",IF(AND(Q2201&gt;=Inputs!$B$15,R2201=1,S2201=1,P2201&lt;=L2201),"PASS","FAIL"))</f>
        <v>PASS</v>
      </c>
    </row>
    <row r="2202" customFormat="false" ht="15" hidden="false" customHeight="false" outlineLevel="0" collapsed="false">
      <c r="A2202" s="14" t="s">
        <v>1040</v>
      </c>
      <c r="B2202" s="14" t="s">
        <v>1038</v>
      </c>
      <c r="C2202" s="14" t="s">
        <v>157</v>
      </c>
      <c r="D2202" s="14" t="s">
        <v>171</v>
      </c>
      <c r="E2202" s="14" t="s">
        <v>172</v>
      </c>
      <c r="F2202" s="14" t="s">
        <v>164</v>
      </c>
      <c r="G2202" s="14" t="n">
        <v>3</v>
      </c>
      <c r="H2202" s="14" t="s">
        <v>158</v>
      </c>
      <c r="I2202" s="14" t="s">
        <v>899</v>
      </c>
      <c r="J2202" s="15" t="n">
        <f aca="false">IF(B2202="SITE LOSS",IF(D2202=C2202,1,0),IF(B2202="REGION LOSS",IF(E2202=C2202,1,0),0))</f>
        <v>0</v>
      </c>
      <c r="K2202" s="15" t="n">
        <f aca="false">IF(B2202="SITE LOSS",IF(COUNTIFS('Site Dockets'!$B$7:$B$24,C2202,'Site Dockets'!$C$7:$C$24,F2202)&gt;0,1,0),IF(B2202="REGION LOSS",IF(COUNTIFS('Site Dockets'!$E$7:$E$24,C2202,'Site Dockets'!$C$7:$C$24,F2202)&gt;0,1,0),0))</f>
        <v>0</v>
      </c>
      <c r="L2202" s="15" t="n">
        <f aca="false">IF(J2202=1,0,Inputs!$B$11)</f>
        <v>100</v>
      </c>
      <c r="M2202" s="15" t="n">
        <f aca="false">IF(J2202=1,0,Inputs!$B$12)</f>
        <v>75</v>
      </c>
      <c r="N2202" s="15" t="n">
        <f aca="false">IF(J2202=1,0,IF(OR(AND(OR(B2202="SITE LOSS",B2202="REGION LOSS"),K2202=1),AND(B2202="ROLE COMPROMISE",H2202=C2202)),Inputs!$B$13,Inputs!$B$14))</f>
        <v>10</v>
      </c>
      <c r="O2202" s="15" t="n">
        <f aca="false">IF(J2202=1,0,Inputs!$B$13)</f>
        <v>20</v>
      </c>
      <c r="P2202" s="15" t="n">
        <f aca="false">SUM(M2202:N2202)</f>
        <v>85</v>
      </c>
      <c r="Q2202" s="15" t="n">
        <f aca="false">IF(J2202=1,"",L2202-P2202)</f>
        <v>15</v>
      </c>
      <c r="R2202" s="15" t="n">
        <f aca="false">IF(OR(J2202=1,M2202&lt;=Inputs!$B$12),1,0)</f>
        <v>1</v>
      </c>
      <c r="S2202" s="15" t="n">
        <f aca="false">IF(OR(J2202=1,N2202&lt;=O2202),1,0)</f>
        <v>1</v>
      </c>
      <c r="T2202" s="15" t="str">
        <f aca="false">IF(J2202=1,"OFFLINE",IF(AND(Q2202&gt;=Inputs!$B$15,R2202=1,S2202=1,P2202&lt;=L2202),"PASS","FAIL"))</f>
        <v>PASS</v>
      </c>
    </row>
    <row r="2203" customFormat="false" ht="15" hidden="false" customHeight="false" outlineLevel="0" collapsed="false">
      <c r="A2203" s="14" t="s">
        <v>1040</v>
      </c>
      <c r="B2203" s="14" t="s">
        <v>1038</v>
      </c>
      <c r="C2203" s="14" t="s">
        <v>157</v>
      </c>
      <c r="D2203" s="14" t="s">
        <v>174</v>
      </c>
      <c r="E2203" s="14" t="s">
        <v>152</v>
      </c>
      <c r="F2203" s="14" t="s">
        <v>175</v>
      </c>
      <c r="G2203" s="14" t="n">
        <v>1</v>
      </c>
      <c r="H2203" s="14" t="s">
        <v>154</v>
      </c>
      <c r="I2203" s="14" t="s">
        <v>890</v>
      </c>
      <c r="J2203" s="15" t="n">
        <f aca="false">IF(B2203="SITE LOSS",IF(D2203=C2203,1,0),IF(B2203="REGION LOSS",IF(E2203=C2203,1,0),0))</f>
        <v>0</v>
      </c>
      <c r="K2203" s="15" t="n">
        <f aca="false">IF(B2203="SITE LOSS",IF(COUNTIFS('Site Dockets'!$B$7:$B$24,C2203,'Site Dockets'!$C$7:$C$24,F2203)&gt;0,1,0),IF(B2203="REGION LOSS",IF(COUNTIFS('Site Dockets'!$E$7:$E$24,C2203,'Site Dockets'!$C$7:$C$24,F2203)&gt;0,1,0),0))</f>
        <v>0</v>
      </c>
      <c r="L2203" s="15" t="n">
        <f aca="false">IF(J2203=1,0,Inputs!$B$11)</f>
        <v>100</v>
      </c>
      <c r="M2203" s="15" t="n">
        <f aca="false">IF(J2203=1,0,Inputs!$B$12)</f>
        <v>75</v>
      </c>
      <c r="N2203" s="15" t="n">
        <f aca="false">IF(J2203=1,0,IF(OR(AND(OR(B2203="SITE LOSS",B2203="REGION LOSS"),K2203=1),AND(B2203="ROLE COMPROMISE",H2203=C2203)),Inputs!$B$13,Inputs!$B$14))</f>
        <v>10</v>
      </c>
      <c r="O2203" s="15" t="n">
        <f aca="false">IF(J2203=1,0,Inputs!$B$13)</f>
        <v>20</v>
      </c>
      <c r="P2203" s="15" t="n">
        <f aca="false">SUM(M2203:N2203)</f>
        <v>85</v>
      </c>
      <c r="Q2203" s="15" t="n">
        <f aca="false">IF(J2203=1,"",L2203-P2203)</f>
        <v>15</v>
      </c>
      <c r="R2203" s="15" t="n">
        <f aca="false">IF(OR(J2203=1,M2203&lt;=Inputs!$B$12),1,0)</f>
        <v>1</v>
      </c>
      <c r="S2203" s="15" t="n">
        <f aca="false">IF(OR(J2203=1,N2203&lt;=O2203),1,0)</f>
        <v>1</v>
      </c>
      <c r="T2203" s="15" t="str">
        <f aca="false">IF(J2203=1,"OFFLINE",IF(AND(Q2203&gt;=Inputs!$B$15,R2203=1,S2203=1,P2203&lt;=L2203),"PASS","FAIL"))</f>
        <v>PASS</v>
      </c>
    </row>
    <row r="2204" customFormat="false" ht="15" hidden="false" customHeight="false" outlineLevel="0" collapsed="false">
      <c r="A2204" s="14" t="s">
        <v>1040</v>
      </c>
      <c r="B2204" s="14" t="s">
        <v>1038</v>
      </c>
      <c r="C2204" s="14" t="s">
        <v>157</v>
      </c>
      <c r="D2204" s="14" t="s">
        <v>174</v>
      </c>
      <c r="E2204" s="14" t="s">
        <v>152</v>
      </c>
      <c r="F2204" s="14" t="s">
        <v>175</v>
      </c>
      <c r="G2204" s="14" t="n">
        <v>1</v>
      </c>
      <c r="H2204" s="14" t="s">
        <v>154</v>
      </c>
      <c r="I2204" s="14" t="s">
        <v>892</v>
      </c>
      <c r="J2204" s="15" t="n">
        <f aca="false">IF(B2204="SITE LOSS",IF(D2204=C2204,1,0),IF(B2204="REGION LOSS",IF(E2204=C2204,1,0),0))</f>
        <v>0</v>
      </c>
      <c r="K2204" s="15" t="n">
        <f aca="false">IF(B2204="SITE LOSS",IF(COUNTIFS('Site Dockets'!$B$7:$B$24,C2204,'Site Dockets'!$C$7:$C$24,F2204)&gt;0,1,0),IF(B2204="REGION LOSS",IF(COUNTIFS('Site Dockets'!$E$7:$E$24,C2204,'Site Dockets'!$C$7:$C$24,F2204)&gt;0,1,0),0))</f>
        <v>0</v>
      </c>
      <c r="L2204" s="15" t="n">
        <f aca="false">IF(J2204=1,0,Inputs!$B$11)</f>
        <v>100</v>
      </c>
      <c r="M2204" s="15" t="n">
        <f aca="false">IF(J2204=1,0,Inputs!$B$12)</f>
        <v>75</v>
      </c>
      <c r="N2204" s="15" t="n">
        <f aca="false">IF(J2204=1,0,IF(OR(AND(OR(B2204="SITE LOSS",B2204="REGION LOSS"),K2204=1),AND(B2204="ROLE COMPROMISE",H2204=C2204)),Inputs!$B$13,Inputs!$B$14))</f>
        <v>10</v>
      </c>
      <c r="O2204" s="15" t="n">
        <f aca="false">IF(J2204=1,0,Inputs!$B$13)</f>
        <v>20</v>
      </c>
      <c r="P2204" s="15" t="n">
        <f aca="false">SUM(M2204:N2204)</f>
        <v>85</v>
      </c>
      <c r="Q2204" s="15" t="n">
        <f aca="false">IF(J2204=1,"",L2204-P2204)</f>
        <v>15</v>
      </c>
      <c r="R2204" s="15" t="n">
        <f aca="false">IF(OR(J2204=1,M2204&lt;=Inputs!$B$12),1,0)</f>
        <v>1</v>
      </c>
      <c r="S2204" s="15" t="n">
        <f aca="false">IF(OR(J2204=1,N2204&lt;=O2204),1,0)</f>
        <v>1</v>
      </c>
      <c r="T2204" s="15" t="str">
        <f aca="false">IF(J2204=1,"OFFLINE",IF(AND(Q2204&gt;=Inputs!$B$15,R2204=1,S2204=1,P2204&lt;=L2204),"PASS","FAIL"))</f>
        <v>PASS</v>
      </c>
    </row>
    <row r="2205" customFormat="false" ht="15" hidden="false" customHeight="false" outlineLevel="0" collapsed="false">
      <c r="A2205" s="14" t="s">
        <v>1040</v>
      </c>
      <c r="B2205" s="14" t="s">
        <v>1038</v>
      </c>
      <c r="C2205" s="14" t="s">
        <v>157</v>
      </c>
      <c r="D2205" s="14" t="s">
        <v>174</v>
      </c>
      <c r="E2205" s="14" t="s">
        <v>152</v>
      </c>
      <c r="F2205" s="14" t="s">
        <v>175</v>
      </c>
      <c r="G2205" s="14" t="n">
        <v>1</v>
      </c>
      <c r="H2205" s="14" t="s">
        <v>154</v>
      </c>
      <c r="I2205" s="14" t="s">
        <v>811</v>
      </c>
      <c r="J2205" s="15" t="n">
        <f aca="false">IF(B2205="SITE LOSS",IF(D2205=C2205,1,0),IF(B2205="REGION LOSS",IF(E2205=C2205,1,0),0))</f>
        <v>0</v>
      </c>
      <c r="K2205" s="15" t="n">
        <f aca="false">IF(B2205="SITE LOSS",IF(COUNTIFS('Site Dockets'!$B$7:$B$24,C2205,'Site Dockets'!$C$7:$C$24,F2205)&gt;0,1,0),IF(B2205="REGION LOSS",IF(COUNTIFS('Site Dockets'!$E$7:$E$24,C2205,'Site Dockets'!$C$7:$C$24,F2205)&gt;0,1,0),0))</f>
        <v>0</v>
      </c>
      <c r="L2205" s="15" t="n">
        <f aca="false">IF(J2205=1,0,Inputs!$B$11)</f>
        <v>100</v>
      </c>
      <c r="M2205" s="15" t="n">
        <f aca="false">IF(J2205=1,0,Inputs!$B$12)</f>
        <v>75</v>
      </c>
      <c r="N2205" s="15" t="n">
        <f aca="false">IF(J2205=1,0,IF(OR(AND(OR(B2205="SITE LOSS",B2205="REGION LOSS"),K2205=1),AND(B2205="ROLE COMPROMISE",H2205=C2205)),Inputs!$B$13,Inputs!$B$14))</f>
        <v>10</v>
      </c>
      <c r="O2205" s="15" t="n">
        <f aca="false">IF(J2205=1,0,Inputs!$B$13)</f>
        <v>20</v>
      </c>
      <c r="P2205" s="15" t="n">
        <f aca="false">SUM(M2205:N2205)</f>
        <v>85</v>
      </c>
      <c r="Q2205" s="15" t="n">
        <f aca="false">IF(J2205=1,"",L2205-P2205)</f>
        <v>15</v>
      </c>
      <c r="R2205" s="15" t="n">
        <f aca="false">IF(OR(J2205=1,M2205&lt;=Inputs!$B$12),1,0)</f>
        <v>1</v>
      </c>
      <c r="S2205" s="15" t="n">
        <f aca="false">IF(OR(J2205=1,N2205&lt;=O2205),1,0)</f>
        <v>1</v>
      </c>
      <c r="T2205" s="15" t="str">
        <f aca="false">IF(J2205=1,"OFFLINE",IF(AND(Q2205&gt;=Inputs!$B$15,R2205=1,S2205=1,P2205&lt;=L2205),"PASS","FAIL"))</f>
        <v>PASS</v>
      </c>
    </row>
    <row r="2206" customFormat="false" ht="15" hidden="false" customHeight="false" outlineLevel="0" collapsed="false">
      <c r="A2206" s="14" t="s">
        <v>1040</v>
      </c>
      <c r="B2206" s="14" t="s">
        <v>1038</v>
      </c>
      <c r="C2206" s="14" t="s">
        <v>157</v>
      </c>
      <c r="D2206" s="14" t="s">
        <v>174</v>
      </c>
      <c r="E2206" s="14" t="s">
        <v>152</v>
      </c>
      <c r="F2206" s="14" t="s">
        <v>175</v>
      </c>
      <c r="G2206" s="14" t="n">
        <v>1</v>
      </c>
      <c r="H2206" s="14" t="s">
        <v>154</v>
      </c>
      <c r="I2206" s="14" t="s">
        <v>895</v>
      </c>
      <c r="J2206" s="15" t="n">
        <f aca="false">IF(B2206="SITE LOSS",IF(D2206=C2206,1,0),IF(B2206="REGION LOSS",IF(E2206=C2206,1,0),0))</f>
        <v>0</v>
      </c>
      <c r="K2206" s="15" t="n">
        <f aca="false">IF(B2206="SITE LOSS",IF(COUNTIFS('Site Dockets'!$B$7:$B$24,C2206,'Site Dockets'!$C$7:$C$24,F2206)&gt;0,1,0),IF(B2206="REGION LOSS",IF(COUNTIFS('Site Dockets'!$E$7:$E$24,C2206,'Site Dockets'!$C$7:$C$24,F2206)&gt;0,1,0),0))</f>
        <v>0</v>
      </c>
      <c r="L2206" s="15" t="n">
        <f aca="false">IF(J2206=1,0,Inputs!$B$11)</f>
        <v>100</v>
      </c>
      <c r="M2206" s="15" t="n">
        <f aca="false">IF(J2206=1,0,Inputs!$B$12)</f>
        <v>75</v>
      </c>
      <c r="N2206" s="15" t="n">
        <f aca="false">IF(J2206=1,0,IF(OR(AND(OR(B2206="SITE LOSS",B2206="REGION LOSS"),K2206=1),AND(B2206="ROLE COMPROMISE",H2206=C2206)),Inputs!$B$13,Inputs!$B$14))</f>
        <v>10</v>
      </c>
      <c r="O2206" s="15" t="n">
        <f aca="false">IF(J2206=1,0,Inputs!$B$13)</f>
        <v>20</v>
      </c>
      <c r="P2206" s="15" t="n">
        <f aca="false">SUM(M2206:N2206)</f>
        <v>85</v>
      </c>
      <c r="Q2206" s="15" t="n">
        <f aca="false">IF(J2206=1,"",L2206-P2206)</f>
        <v>15</v>
      </c>
      <c r="R2206" s="15" t="n">
        <f aca="false">IF(OR(J2206=1,M2206&lt;=Inputs!$B$12),1,0)</f>
        <v>1</v>
      </c>
      <c r="S2206" s="15" t="n">
        <f aca="false">IF(OR(J2206=1,N2206&lt;=O2206),1,0)</f>
        <v>1</v>
      </c>
      <c r="T2206" s="15" t="str">
        <f aca="false">IF(J2206=1,"OFFLINE",IF(AND(Q2206&gt;=Inputs!$B$15,R2206=1,S2206=1,P2206&lt;=L2206),"PASS","FAIL"))</f>
        <v>PASS</v>
      </c>
    </row>
    <row r="2207" customFormat="false" ht="15" hidden="false" customHeight="false" outlineLevel="0" collapsed="false">
      <c r="A2207" s="14" t="s">
        <v>1040</v>
      </c>
      <c r="B2207" s="14" t="s">
        <v>1038</v>
      </c>
      <c r="C2207" s="14" t="s">
        <v>157</v>
      </c>
      <c r="D2207" s="14" t="s">
        <v>174</v>
      </c>
      <c r="E2207" s="14" t="s">
        <v>152</v>
      </c>
      <c r="F2207" s="14" t="s">
        <v>175</v>
      </c>
      <c r="G2207" s="14" t="n">
        <v>1</v>
      </c>
      <c r="H2207" s="14" t="s">
        <v>154</v>
      </c>
      <c r="I2207" s="14" t="s">
        <v>897</v>
      </c>
      <c r="J2207" s="15" t="n">
        <f aca="false">IF(B2207="SITE LOSS",IF(D2207=C2207,1,0),IF(B2207="REGION LOSS",IF(E2207=C2207,1,0),0))</f>
        <v>0</v>
      </c>
      <c r="K2207" s="15" t="n">
        <f aca="false">IF(B2207="SITE LOSS",IF(COUNTIFS('Site Dockets'!$B$7:$B$24,C2207,'Site Dockets'!$C$7:$C$24,F2207)&gt;0,1,0),IF(B2207="REGION LOSS",IF(COUNTIFS('Site Dockets'!$E$7:$E$24,C2207,'Site Dockets'!$C$7:$C$24,F2207)&gt;0,1,0),0))</f>
        <v>0</v>
      </c>
      <c r="L2207" s="15" t="n">
        <f aca="false">IF(J2207=1,0,Inputs!$B$11)</f>
        <v>100</v>
      </c>
      <c r="M2207" s="15" t="n">
        <f aca="false">IF(J2207=1,0,Inputs!$B$12)</f>
        <v>75</v>
      </c>
      <c r="N2207" s="15" t="n">
        <f aca="false">IF(J2207=1,0,IF(OR(AND(OR(B2207="SITE LOSS",B2207="REGION LOSS"),K2207=1),AND(B2207="ROLE COMPROMISE",H2207=C2207)),Inputs!$B$13,Inputs!$B$14))</f>
        <v>10</v>
      </c>
      <c r="O2207" s="15" t="n">
        <f aca="false">IF(J2207=1,0,Inputs!$B$13)</f>
        <v>20</v>
      </c>
      <c r="P2207" s="15" t="n">
        <f aca="false">SUM(M2207:N2207)</f>
        <v>85</v>
      </c>
      <c r="Q2207" s="15" t="n">
        <f aca="false">IF(J2207=1,"",L2207-P2207)</f>
        <v>15</v>
      </c>
      <c r="R2207" s="15" t="n">
        <f aca="false">IF(OR(J2207=1,M2207&lt;=Inputs!$B$12),1,0)</f>
        <v>1</v>
      </c>
      <c r="S2207" s="15" t="n">
        <f aca="false">IF(OR(J2207=1,N2207&lt;=O2207),1,0)</f>
        <v>1</v>
      </c>
      <c r="T2207" s="15" t="str">
        <f aca="false">IF(J2207=1,"OFFLINE",IF(AND(Q2207&gt;=Inputs!$B$15,R2207=1,S2207=1,P2207&lt;=L2207),"PASS","FAIL"))</f>
        <v>PASS</v>
      </c>
    </row>
    <row r="2208" customFormat="false" ht="15" hidden="false" customHeight="false" outlineLevel="0" collapsed="false">
      <c r="A2208" s="14" t="s">
        <v>1040</v>
      </c>
      <c r="B2208" s="14" t="s">
        <v>1038</v>
      </c>
      <c r="C2208" s="14" t="s">
        <v>157</v>
      </c>
      <c r="D2208" s="14" t="s">
        <v>174</v>
      </c>
      <c r="E2208" s="14" t="s">
        <v>152</v>
      </c>
      <c r="F2208" s="14" t="s">
        <v>175</v>
      </c>
      <c r="G2208" s="14" t="n">
        <v>1</v>
      </c>
      <c r="H2208" s="14" t="s">
        <v>154</v>
      </c>
      <c r="I2208" s="14" t="s">
        <v>899</v>
      </c>
      <c r="J2208" s="15" t="n">
        <f aca="false">IF(B2208="SITE LOSS",IF(D2208=C2208,1,0),IF(B2208="REGION LOSS",IF(E2208=C2208,1,0),0))</f>
        <v>0</v>
      </c>
      <c r="K2208" s="15" t="n">
        <f aca="false">IF(B2208="SITE LOSS",IF(COUNTIFS('Site Dockets'!$B$7:$B$24,C2208,'Site Dockets'!$C$7:$C$24,F2208)&gt;0,1,0),IF(B2208="REGION LOSS",IF(COUNTIFS('Site Dockets'!$E$7:$E$24,C2208,'Site Dockets'!$C$7:$C$24,F2208)&gt;0,1,0),0))</f>
        <v>0</v>
      </c>
      <c r="L2208" s="15" t="n">
        <f aca="false">IF(J2208=1,0,Inputs!$B$11)</f>
        <v>100</v>
      </c>
      <c r="M2208" s="15" t="n">
        <f aca="false">IF(J2208=1,0,Inputs!$B$12)</f>
        <v>75</v>
      </c>
      <c r="N2208" s="15" t="n">
        <f aca="false">IF(J2208=1,0,IF(OR(AND(OR(B2208="SITE LOSS",B2208="REGION LOSS"),K2208=1),AND(B2208="ROLE COMPROMISE",H2208=C2208)),Inputs!$B$13,Inputs!$B$14))</f>
        <v>10</v>
      </c>
      <c r="O2208" s="15" t="n">
        <f aca="false">IF(J2208=1,0,Inputs!$B$13)</f>
        <v>20</v>
      </c>
      <c r="P2208" s="15" t="n">
        <f aca="false">SUM(M2208:N2208)</f>
        <v>85</v>
      </c>
      <c r="Q2208" s="15" t="n">
        <f aca="false">IF(J2208=1,"",L2208-P2208)</f>
        <v>15</v>
      </c>
      <c r="R2208" s="15" t="n">
        <f aca="false">IF(OR(J2208=1,M2208&lt;=Inputs!$B$12),1,0)</f>
        <v>1</v>
      </c>
      <c r="S2208" s="15" t="n">
        <f aca="false">IF(OR(J2208=1,N2208&lt;=O2208),1,0)</f>
        <v>1</v>
      </c>
      <c r="T2208" s="15" t="str">
        <f aca="false">IF(J2208=1,"OFFLINE",IF(AND(Q2208&gt;=Inputs!$B$15,R2208=1,S2208=1,P2208&lt;=L2208),"PASS","FAIL"))</f>
        <v>PASS</v>
      </c>
    </row>
    <row r="2209" customFormat="false" ht="15" hidden="false" customHeight="false" outlineLevel="0" collapsed="false">
      <c r="A2209" s="14" t="s">
        <v>1040</v>
      </c>
      <c r="B2209" s="14" t="s">
        <v>1038</v>
      </c>
      <c r="C2209" s="14" t="s">
        <v>157</v>
      </c>
      <c r="D2209" s="14" t="s">
        <v>178</v>
      </c>
      <c r="E2209" s="14" t="s">
        <v>169</v>
      </c>
      <c r="F2209" s="14" t="s">
        <v>175</v>
      </c>
      <c r="G2209" s="14" t="n">
        <v>2</v>
      </c>
      <c r="H2209" s="14" t="s">
        <v>153</v>
      </c>
      <c r="I2209" s="14" t="s">
        <v>890</v>
      </c>
      <c r="J2209" s="15" t="n">
        <f aca="false">IF(B2209="SITE LOSS",IF(D2209=C2209,1,0),IF(B2209="REGION LOSS",IF(E2209=C2209,1,0),0))</f>
        <v>0</v>
      </c>
      <c r="K2209" s="15" t="n">
        <f aca="false">IF(B2209="SITE LOSS",IF(COUNTIFS('Site Dockets'!$B$7:$B$24,C2209,'Site Dockets'!$C$7:$C$24,F2209)&gt;0,1,0),IF(B2209="REGION LOSS",IF(COUNTIFS('Site Dockets'!$E$7:$E$24,C2209,'Site Dockets'!$C$7:$C$24,F2209)&gt;0,1,0),0))</f>
        <v>0</v>
      </c>
      <c r="L2209" s="15" t="n">
        <f aca="false">IF(J2209=1,0,Inputs!$B$11)</f>
        <v>100</v>
      </c>
      <c r="M2209" s="15" t="n">
        <f aca="false">IF(J2209=1,0,Inputs!$B$12)</f>
        <v>75</v>
      </c>
      <c r="N2209" s="15" t="n">
        <f aca="false">IF(J2209=1,0,IF(OR(AND(OR(B2209="SITE LOSS",B2209="REGION LOSS"),K2209=1),AND(B2209="ROLE COMPROMISE",H2209=C2209)),Inputs!$B$13,Inputs!$B$14))</f>
        <v>10</v>
      </c>
      <c r="O2209" s="15" t="n">
        <f aca="false">IF(J2209=1,0,Inputs!$B$13)</f>
        <v>20</v>
      </c>
      <c r="P2209" s="15" t="n">
        <f aca="false">SUM(M2209:N2209)</f>
        <v>85</v>
      </c>
      <c r="Q2209" s="15" t="n">
        <f aca="false">IF(J2209=1,"",L2209-P2209)</f>
        <v>15</v>
      </c>
      <c r="R2209" s="15" t="n">
        <f aca="false">IF(OR(J2209=1,M2209&lt;=Inputs!$B$12),1,0)</f>
        <v>1</v>
      </c>
      <c r="S2209" s="15" t="n">
        <f aca="false">IF(OR(J2209=1,N2209&lt;=O2209),1,0)</f>
        <v>1</v>
      </c>
      <c r="T2209" s="15" t="str">
        <f aca="false">IF(J2209=1,"OFFLINE",IF(AND(Q2209&gt;=Inputs!$B$15,R2209=1,S2209=1,P2209&lt;=L2209),"PASS","FAIL"))</f>
        <v>PASS</v>
      </c>
    </row>
    <row r="2210" customFormat="false" ht="15" hidden="false" customHeight="false" outlineLevel="0" collapsed="false">
      <c r="A2210" s="14" t="s">
        <v>1040</v>
      </c>
      <c r="B2210" s="14" t="s">
        <v>1038</v>
      </c>
      <c r="C2210" s="14" t="s">
        <v>157</v>
      </c>
      <c r="D2210" s="14" t="s">
        <v>178</v>
      </c>
      <c r="E2210" s="14" t="s">
        <v>169</v>
      </c>
      <c r="F2210" s="14" t="s">
        <v>175</v>
      </c>
      <c r="G2210" s="14" t="n">
        <v>2</v>
      </c>
      <c r="H2210" s="14" t="s">
        <v>153</v>
      </c>
      <c r="I2210" s="14" t="s">
        <v>892</v>
      </c>
      <c r="J2210" s="15" t="n">
        <f aca="false">IF(B2210="SITE LOSS",IF(D2210=C2210,1,0),IF(B2210="REGION LOSS",IF(E2210=C2210,1,0),0))</f>
        <v>0</v>
      </c>
      <c r="K2210" s="15" t="n">
        <f aca="false">IF(B2210="SITE LOSS",IF(COUNTIFS('Site Dockets'!$B$7:$B$24,C2210,'Site Dockets'!$C$7:$C$24,F2210)&gt;0,1,0),IF(B2210="REGION LOSS",IF(COUNTIFS('Site Dockets'!$E$7:$E$24,C2210,'Site Dockets'!$C$7:$C$24,F2210)&gt;0,1,0),0))</f>
        <v>0</v>
      </c>
      <c r="L2210" s="15" t="n">
        <f aca="false">IF(J2210=1,0,Inputs!$B$11)</f>
        <v>100</v>
      </c>
      <c r="M2210" s="15" t="n">
        <f aca="false">IF(J2210=1,0,Inputs!$B$12)</f>
        <v>75</v>
      </c>
      <c r="N2210" s="15" t="n">
        <f aca="false">IF(J2210=1,0,IF(OR(AND(OR(B2210="SITE LOSS",B2210="REGION LOSS"),K2210=1),AND(B2210="ROLE COMPROMISE",H2210=C2210)),Inputs!$B$13,Inputs!$B$14))</f>
        <v>10</v>
      </c>
      <c r="O2210" s="15" t="n">
        <f aca="false">IF(J2210=1,0,Inputs!$B$13)</f>
        <v>20</v>
      </c>
      <c r="P2210" s="15" t="n">
        <f aca="false">SUM(M2210:N2210)</f>
        <v>85</v>
      </c>
      <c r="Q2210" s="15" t="n">
        <f aca="false">IF(J2210=1,"",L2210-P2210)</f>
        <v>15</v>
      </c>
      <c r="R2210" s="15" t="n">
        <f aca="false">IF(OR(J2210=1,M2210&lt;=Inputs!$B$12),1,0)</f>
        <v>1</v>
      </c>
      <c r="S2210" s="15" t="n">
        <f aca="false">IF(OR(J2210=1,N2210&lt;=O2210),1,0)</f>
        <v>1</v>
      </c>
      <c r="T2210" s="15" t="str">
        <f aca="false">IF(J2210=1,"OFFLINE",IF(AND(Q2210&gt;=Inputs!$B$15,R2210=1,S2210=1,P2210&lt;=L2210),"PASS","FAIL"))</f>
        <v>PASS</v>
      </c>
    </row>
    <row r="2211" customFormat="false" ht="15" hidden="false" customHeight="false" outlineLevel="0" collapsed="false">
      <c r="A2211" s="14" t="s">
        <v>1040</v>
      </c>
      <c r="B2211" s="14" t="s">
        <v>1038</v>
      </c>
      <c r="C2211" s="14" t="s">
        <v>157</v>
      </c>
      <c r="D2211" s="14" t="s">
        <v>178</v>
      </c>
      <c r="E2211" s="14" t="s">
        <v>169</v>
      </c>
      <c r="F2211" s="14" t="s">
        <v>175</v>
      </c>
      <c r="G2211" s="14" t="n">
        <v>2</v>
      </c>
      <c r="H2211" s="14" t="s">
        <v>153</v>
      </c>
      <c r="I2211" s="14" t="s">
        <v>811</v>
      </c>
      <c r="J2211" s="15" t="n">
        <f aca="false">IF(B2211="SITE LOSS",IF(D2211=C2211,1,0),IF(B2211="REGION LOSS",IF(E2211=C2211,1,0),0))</f>
        <v>0</v>
      </c>
      <c r="K2211" s="15" t="n">
        <f aca="false">IF(B2211="SITE LOSS",IF(COUNTIFS('Site Dockets'!$B$7:$B$24,C2211,'Site Dockets'!$C$7:$C$24,F2211)&gt;0,1,0),IF(B2211="REGION LOSS",IF(COUNTIFS('Site Dockets'!$E$7:$E$24,C2211,'Site Dockets'!$C$7:$C$24,F2211)&gt;0,1,0),0))</f>
        <v>0</v>
      </c>
      <c r="L2211" s="15" t="n">
        <f aca="false">IF(J2211=1,0,Inputs!$B$11)</f>
        <v>100</v>
      </c>
      <c r="M2211" s="15" t="n">
        <f aca="false">IF(J2211=1,0,Inputs!$B$12)</f>
        <v>75</v>
      </c>
      <c r="N2211" s="15" t="n">
        <f aca="false">IF(J2211=1,0,IF(OR(AND(OR(B2211="SITE LOSS",B2211="REGION LOSS"),K2211=1),AND(B2211="ROLE COMPROMISE",H2211=C2211)),Inputs!$B$13,Inputs!$B$14))</f>
        <v>10</v>
      </c>
      <c r="O2211" s="15" t="n">
        <f aca="false">IF(J2211=1,0,Inputs!$B$13)</f>
        <v>20</v>
      </c>
      <c r="P2211" s="15" t="n">
        <f aca="false">SUM(M2211:N2211)</f>
        <v>85</v>
      </c>
      <c r="Q2211" s="15" t="n">
        <f aca="false">IF(J2211=1,"",L2211-P2211)</f>
        <v>15</v>
      </c>
      <c r="R2211" s="15" t="n">
        <f aca="false">IF(OR(J2211=1,M2211&lt;=Inputs!$B$12),1,0)</f>
        <v>1</v>
      </c>
      <c r="S2211" s="15" t="n">
        <f aca="false">IF(OR(J2211=1,N2211&lt;=O2211),1,0)</f>
        <v>1</v>
      </c>
      <c r="T2211" s="15" t="str">
        <f aca="false">IF(J2211=1,"OFFLINE",IF(AND(Q2211&gt;=Inputs!$B$15,R2211=1,S2211=1,P2211&lt;=L2211),"PASS","FAIL"))</f>
        <v>PASS</v>
      </c>
    </row>
    <row r="2212" customFormat="false" ht="15" hidden="false" customHeight="false" outlineLevel="0" collapsed="false">
      <c r="A2212" s="14" t="s">
        <v>1040</v>
      </c>
      <c r="B2212" s="14" t="s">
        <v>1038</v>
      </c>
      <c r="C2212" s="14" t="s">
        <v>157</v>
      </c>
      <c r="D2212" s="14" t="s">
        <v>178</v>
      </c>
      <c r="E2212" s="14" t="s">
        <v>169</v>
      </c>
      <c r="F2212" s="14" t="s">
        <v>175</v>
      </c>
      <c r="G2212" s="14" t="n">
        <v>2</v>
      </c>
      <c r="H2212" s="14" t="s">
        <v>153</v>
      </c>
      <c r="I2212" s="14" t="s">
        <v>895</v>
      </c>
      <c r="J2212" s="15" t="n">
        <f aca="false">IF(B2212="SITE LOSS",IF(D2212=C2212,1,0),IF(B2212="REGION LOSS",IF(E2212=C2212,1,0),0))</f>
        <v>0</v>
      </c>
      <c r="K2212" s="15" t="n">
        <f aca="false">IF(B2212="SITE LOSS",IF(COUNTIFS('Site Dockets'!$B$7:$B$24,C2212,'Site Dockets'!$C$7:$C$24,F2212)&gt;0,1,0),IF(B2212="REGION LOSS",IF(COUNTIFS('Site Dockets'!$E$7:$E$24,C2212,'Site Dockets'!$C$7:$C$24,F2212)&gt;0,1,0),0))</f>
        <v>0</v>
      </c>
      <c r="L2212" s="15" t="n">
        <f aca="false">IF(J2212=1,0,Inputs!$B$11)</f>
        <v>100</v>
      </c>
      <c r="M2212" s="15" t="n">
        <f aca="false">IF(J2212=1,0,Inputs!$B$12)</f>
        <v>75</v>
      </c>
      <c r="N2212" s="15" t="n">
        <f aca="false">IF(J2212=1,0,IF(OR(AND(OR(B2212="SITE LOSS",B2212="REGION LOSS"),K2212=1),AND(B2212="ROLE COMPROMISE",H2212=C2212)),Inputs!$B$13,Inputs!$B$14))</f>
        <v>10</v>
      </c>
      <c r="O2212" s="15" t="n">
        <f aca="false">IF(J2212=1,0,Inputs!$B$13)</f>
        <v>20</v>
      </c>
      <c r="P2212" s="15" t="n">
        <f aca="false">SUM(M2212:N2212)</f>
        <v>85</v>
      </c>
      <c r="Q2212" s="15" t="n">
        <f aca="false">IF(J2212=1,"",L2212-P2212)</f>
        <v>15</v>
      </c>
      <c r="R2212" s="15" t="n">
        <f aca="false">IF(OR(J2212=1,M2212&lt;=Inputs!$B$12),1,0)</f>
        <v>1</v>
      </c>
      <c r="S2212" s="15" t="n">
        <f aca="false">IF(OR(J2212=1,N2212&lt;=O2212),1,0)</f>
        <v>1</v>
      </c>
      <c r="T2212" s="15" t="str">
        <f aca="false">IF(J2212=1,"OFFLINE",IF(AND(Q2212&gt;=Inputs!$B$15,R2212=1,S2212=1,P2212&lt;=L2212),"PASS","FAIL"))</f>
        <v>PASS</v>
      </c>
    </row>
    <row r="2213" customFormat="false" ht="15" hidden="false" customHeight="false" outlineLevel="0" collapsed="false">
      <c r="A2213" s="14" t="s">
        <v>1040</v>
      </c>
      <c r="B2213" s="14" t="s">
        <v>1038</v>
      </c>
      <c r="C2213" s="14" t="s">
        <v>157</v>
      </c>
      <c r="D2213" s="14" t="s">
        <v>178</v>
      </c>
      <c r="E2213" s="14" t="s">
        <v>169</v>
      </c>
      <c r="F2213" s="14" t="s">
        <v>175</v>
      </c>
      <c r="G2213" s="14" t="n">
        <v>2</v>
      </c>
      <c r="H2213" s="14" t="s">
        <v>153</v>
      </c>
      <c r="I2213" s="14" t="s">
        <v>897</v>
      </c>
      <c r="J2213" s="15" t="n">
        <f aca="false">IF(B2213="SITE LOSS",IF(D2213=C2213,1,0),IF(B2213="REGION LOSS",IF(E2213=C2213,1,0),0))</f>
        <v>0</v>
      </c>
      <c r="K2213" s="15" t="n">
        <f aca="false">IF(B2213="SITE LOSS",IF(COUNTIFS('Site Dockets'!$B$7:$B$24,C2213,'Site Dockets'!$C$7:$C$24,F2213)&gt;0,1,0),IF(B2213="REGION LOSS",IF(COUNTIFS('Site Dockets'!$E$7:$E$24,C2213,'Site Dockets'!$C$7:$C$24,F2213)&gt;0,1,0),0))</f>
        <v>0</v>
      </c>
      <c r="L2213" s="15" t="n">
        <f aca="false">IF(J2213=1,0,Inputs!$B$11)</f>
        <v>100</v>
      </c>
      <c r="M2213" s="15" t="n">
        <f aca="false">IF(J2213=1,0,Inputs!$B$12)</f>
        <v>75</v>
      </c>
      <c r="N2213" s="15" t="n">
        <f aca="false">IF(J2213=1,0,IF(OR(AND(OR(B2213="SITE LOSS",B2213="REGION LOSS"),K2213=1),AND(B2213="ROLE COMPROMISE",H2213=C2213)),Inputs!$B$13,Inputs!$B$14))</f>
        <v>10</v>
      </c>
      <c r="O2213" s="15" t="n">
        <f aca="false">IF(J2213=1,0,Inputs!$B$13)</f>
        <v>20</v>
      </c>
      <c r="P2213" s="15" t="n">
        <f aca="false">SUM(M2213:N2213)</f>
        <v>85</v>
      </c>
      <c r="Q2213" s="15" t="n">
        <f aca="false">IF(J2213=1,"",L2213-P2213)</f>
        <v>15</v>
      </c>
      <c r="R2213" s="15" t="n">
        <f aca="false">IF(OR(J2213=1,M2213&lt;=Inputs!$B$12),1,0)</f>
        <v>1</v>
      </c>
      <c r="S2213" s="15" t="n">
        <f aca="false">IF(OR(J2213=1,N2213&lt;=O2213),1,0)</f>
        <v>1</v>
      </c>
      <c r="T2213" s="15" t="str">
        <f aca="false">IF(J2213=1,"OFFLINE",IF(AND(Q2213&gt;=Inputs!$B$15,R2213=1,S2213=1,P2213&lt;=L2213),"PASS","FAIL"))</f>
        <v>PASS</v>
      </c>
    </row>
    <row r="2214" customFormat="false" ht="15" hidden="false" customHeight="false" outlineLevel="0" collapsed="false">
      <c r="A2214" s="14" t="s">
        <v>1040</v>
      </c>
      <c r="B2214" s="14" t="s">
        <v>1038</v>
      </c>
      <c r="C2214" s="14" t="s">
        <v>157</v>
      </c>
      <c r="D2214" s="14" t="s">
        <v>178</v>
      </c>
      <c r="E2214" s="14" t="s">
        <v>169</v>
      </c>
      <c r="F2214" s="14" t="s">
        <v>175</v>
      </c>
      <c r="G2214" s="14" t="n">
        <v>2</v>
      </c>
      <c r="H2214" s="14" t="s">
        <v>153</v>
      </c>
      <c r="I2214" s="14" t="s">
        <v>899</v>
      </c>
      <c r="J2214" s="15" t="n">
        <f aca="false">IF(B2214="SITE LOSS",IF(D2214=C2214,1,0),IF(B2214="REGION LOSS",IF(E2214=C2214,1,0),0))</f>
        <v>0</v>
      </c>
      <c r="K2214" s="15" t="n">
        <f aca="false">IF(B2214="SITE LOSS",IF(COUNTIFS('Site Dockets'!$B$7:$B$24,C2214,'Site Dockets'!$C$7:$C$24,F2214)&gt;0,1,0),IF(B2214="REGION LOSS",IF(COUNTIFS('Site Dockets'!$E$7:$E$24,C2214,'Site Dockets'!$C$7:$C$24,F2214)&gt;0,1,0),0))</f>
        <v>0</v>
      </c>
      <c r="L2214" s="15" t="n">
        <f aca="false">IF(J2214=1,0,Inputs!$B$11)</f>
        <v>100</v>
      </c>
      <c r="M2214" s="15" t="n">
        <f aca="false">IF(J2214=1,0,Inputs!$B$12)</f>
        <v>75</v>
      </c>
      <c r="N2214" s="15" t="n">
        <f aca="false">IF(J2214=1,0,IF(OR(AND(OR(B2214="SITE LOSS",B2214="REGION LOSS"),K2214=1),AND(B2214="ROLE COMPROMISE",H2214=C2214)),Inputs!$B$13,Inputs!$B$14))</f>
        <v>10</v>
      </c>
      <c r="O2214" s="15" t="n">
        <f aca="false">IF(J2214=1,0,Inputs!$B$13)</f>
        <v>20</v>
      </c>
      <c r="P2214" s="15" t="n">
        <f aca="false">SUM(M2214:N2214)</f>
        <v>85</v>
      </c>
      <c r="Q2214" s="15" t="n">
        <f aca="false">IF(J2214=1,"",L2214-P2214)</f>
        <v>15</v>
      </c>
      <c r="R2214" s="15" t="n">
        <f aca="false">IF(OR(J2214=1,M2214&lt;=Inputs!$B$12),1,0)</f>
        <v>1</v>
      </c>
      <c r="S2214" s="15" t="n">
        <f aca="false">IF(OR(J2214=1,N2214&lt;=O2214),1,0)</f>
        <v>1</v>
      </c>
      <c r="T2214" s="15" t="str">
        <f aca="false">IF(J2214=1,"OFFLINE",IF(AND(Q2214&gt;=Inputs!$B$15,R2214=1,S2214=1,P2214&lt;=L2214),"PASS","FAIL"))</f>
        <v>PASS</v>
      </c>
    </row>
    <row r="2215" customFormat="false" ht="15" hidden="false" customHeight="false" outlineLevel="0" collapsed="false">
      <c r="A2215" s="14" t="s">
        <v>1040</v>
      </c>
      <c r="B2215" s="14" t="s">
        <v>1038</v>
      </c>
      <c r="C2215" s="14" t="s">
        <v>157</v>
      </c>
      <c r="D2215" s="14" t="s">
        <v>180</v>
      </c>
      <c r="E2215" s="14" t="s">
        <v>161</v>
      </c>
      <c r="F2215" s="14" t="s">
        <v>175</v>
      </c>
      <c r="G2215" s="14" t="n">
        <v>3</v>
      </c>
      <c r="H2215" s="14" t="s">
        <v>158</v>
      </c>
      <c r="I2215" s="14" t="s">
        <v>890</v>
      </c>
      <c r="J2215" s="15" t="n">
        <f aca="false">IF(B2215="SITE LOSS",IF(D2215=C2215,1,0),IF(B2215="REGION LOSS",IF(E2215=C2215,1,0),0))</f>
        <v>0</v>
      </c>
      <c r="K2215" s="15" t="n">
        <f aca="false">IF(B2215="SITE LOSS",IF(COUNTIFS('Site Dockets'!$B$7:$B$24,C2215,'Site Dockets'!$C$7:$C$24,F2215)&gt;0,1,0),IF(B2215="REGION LOSS",IF(COUNTIFS('Site Dockets'!$E$7:$E$24,C2215,'Site Dockets'!$C$7:$C$24,F2215)&gt;0,1,0),0))</f>
        <v>0</v>
      </c>
      <c r="L2215" s="15" t="n">
        <f aca="false">IF(J2215=1,0,Inputs!$B$11)</f>
        <v>100</v>
      </c>
      <c r="M2215" s="15" t="n">
        <f aca="false">IF(J2215=1,0,Inputs!$B$12)</f>
        <v>75</v>
      </c>
      <c r="N2215" s="15" t="n">
        <f aca="false">IF(J2215=1,0,IF(OR(AND(OR(B2215="SITE LOSS",B2215="REGION LOSS"),K2215=1),AND(B2215="ROLE COMPROMISE",H2215=C2215)),Inputs!$B$13,Inputs!$B$14))</f>
        <v>10</v>
      </c>
      <c r="O2215" s="15" t="n">
        <f aca="false">IF(J2215=1,0,Inputs!$B$13)</f>
        <v>20</v>
      </c>
      <c r="P2215" s="15" t="n">
        <f aca="false">SUM(M2215:N2215)</f>
        <v>85</v>
      </c>
      <c r="Q2215" s="15" t="n">
        <f aca="false">IF(J2215=1,"",L2215-P2215)</f>
        <v>15</v>
      </c>
      <c r="R2215" s="15" t="n">
        <f aca="false">IF(OR(J2215=1,M2215&lt;=Inputs!$B$12),1,0)</f>
        <v>1</v>
      </c>
      <c r="S2215" s="15" t="n">
        <f aca="false">IF(OR(J2215=1,N2215&lt;=O2215),1,0)</f>
        <v>1</v>
      </c>
      <c r="T2215" s="15" t="str">
        <f aca="false">IF(J2215=1,"OFFLINE",IF(AND(Q2215&gt;=Inputs!$B$15,R2215=1,S2215=1,P2215&lt;=L2215),"PASS","FAIL"))</f>
        <v>PASS</v>
      </c>
    </row>
    <row r="2216" customFormat="false" ht="15" hidden="false" customHeight="false" outlineLevel="0" collapsed="false">
      <c r="A2216" s="14" t="s">
        <v>1040</v>
      </c>
      <c r="B2216" s="14" t="s">
        <v>1038</v>
      </c>
      <c r="C2216" s="14" t="s">
        <v>157</v>
      </c>
      <c r="D2216" s="14" t="s">
        <v>180</v>
      </c>
      <c r="E2216" s="14" t="s">
        <v>161</v>
      </c>
      <c r="F2216" s="14" t="s">
        <v>175</v>
      </c>
      <c r="G2216" s="14" t="n">
        <v>3</v>
      </c>
      <c r="H2216" s="14" t="s">
        <v>158</v>
      </c>
      <c r="I2216" s="14" t="s">
        <v>892</v>
      </c>
      <c r="J2216" s="15" t="n">
        <f aca="false">IF(B2216="SITE LOSS",IF(D2216=C2216,1,0),IF(B2216="REGION LOSS",IF(E2216=C2216,1,0),0))</f>
        <v>0</v>
      </c>
      <c r="K2216" s="15" t="n">
        <f aca="false">IF(B2216="SITE LOSS",IF(COUNTIFS('Site Dockets'!$B$7:$B$24,C2216,'Site Dockets'!$C$7:$C$24,F2216)&gt;0,1,0),IF(B2216="REGION LOSS",IF(COUNTIFS('Site Dockets'!$E$7:$E$24,C2216,'Site Dockets'!$C$7:$C$24,F2216)&gt;0,1,0),0))</f>
        <v>0</v>
      </c>
      <c r="L2216" s="15" t="n">
        <f aca="false">IF(J2216=1,0,Inputs!$B$11)</f>
        <v>100</v>
      </c>
      <c r="M2216" s="15" t="n">
        <f aca="false">IF(J2216=1,0,Inputs!$B$12)</f>
        <v>75</v>
      </c>
      <c r="N2216" s="15" t="n">
        <f aca="false">IF(J2216=1,0,IF(OR(AND(OR(B2216="SITE LOSS",B2216="REGION LOSS"),K2216=1),AND(B2216="ROLE COMPROMISE",H2216=C2216)),Inputs!$B$13,Inputs!$B$14))</f>
        <v>10</v>
      </c>
      <c r="O2216" s="15" t="n">
        <f aca="false">IF(J2216=1,0,Inputs!$B$13)</f>
        <v>20</v>
      </c>
      <c r="P2216" s="15" t="n">
        <f aca="false">SUM(M2216:N2216)</f>
        <v>85</v>
      </c>
      <c r="Q2216" s="15" t="n">
        <f aca="false">IF(J2216=1,"",L2216-P2216)</f>
        <v>15</v>
      </c>
      <c r="R2216" s="15" t="n">
        <f aca="false">IF(OR(J2216=1,M2216&lt;=Inputs!$B$12),1,0)</f>
        <v>1</v>
      </c>
      <c r="S2216" s="15" t="n">
        <f aca="false">IF(OR(J2216=1,N2216&lt;=O2216),1,0)</f>
        <v>1</v>
      </c>
      <c r="T2216" s="15" t="str">
        <f aca="false">IF(J2216=1,"OFFLINE",IF(AND(Q2216&gt;=Inputs!$B$15,R2216=1,S2216=1,P2216&lt;=L2216),"PASS","FAIL"))</f>
        <v>PASS</v>
      </c>
    </row>
    <row r="2217" customFormat="false" ht="15" hidden="false" customHeight="false" outlineLevel="0" collapsed="false">
      <c r="A2217" s="14" t="s">
        <v>1040</v>
      </c>
      <c r="B2217" s="14" t="s">
        <v>1038</v>
      </c>
      <c r="C2217" s="14" t="s">
        <v>157</v>
      </c>
      <c r="D2217" s="14" t="s">
        <v>180</v>
      </c>
      <c r="E2217" s="14" t="s">
        <v>161</v>
      </c>
      <c r="F2217" s="14" t="s">
        <v>175</v>
      </c>
      <c r="G2217" s="14" t="n">
        <v>3</v>
      </c>
      <c r="H2217" s="14" t="s">
        <v>158</v>
      </c>
      <c r="I2217" s="14" t="s">
        <v>811</v>
      </c>
      <c r="J2217" s="15" t="n">
        <f aca="false">IF(B2217="SITE LOSS",IF(D2217=C2217,1,0),IF(B2217="REGION LOSS",IF(E2217=C2217,1,0),0))</f>
        <v>0</v>
      </c>
      <c r="K2217" s="15" t="n">
        <f aca="false">IF(B2217="SITE LOSS",IF(COUNTIFS('Site Dockets'!$B$7:$B$24,C2217,'Site Dockets'!$C$7:$C$24,F2217)&gt;0,1,0),IF(B2217="REGION LOSS",IF(COUNTIFS('Site Dockets'!$E$7:$E$24,C2217,'Site Dockets'!$C$7:$C$24,F2217)&gt;0,1,0),0))</f>
        <v>0</v>
      </c>
      <c r="L2217" s="15" t="n">
        <f aca="false">IF(J2217=1,0,Inputs!$B$11)</f>
        <v>100</v>
      </c>
      <c r="M2217" s="15" t="n">
        <f aca="false">IF(J2217=1,0,Inputs!$B$12)</f>
        <v>75</v>
      </c>
      <c r="N2217" s="15" t="n">
        <f aca="false">IF(J2217=1,0,IF(OR(AND(OR(B2217="SITE LOSS",B2217="REGION LOSS"),K2217=1),AND(B2217="ROLE COMPROMISE",H2217=C2217)),Inputs!$B$13,Inputs!$B$14))</f>
        <v>10</v>
      </c>
      <c r="O2217" s="15" t="n">
        <f aca="false">IF(J2217=1,0,Inputs!$B$13)</f>
        <v>20</v>
      </c>
      <c r="P2217" s="15" t="n">
        <f aca="false">SUM(M2217:N2217)</f>
        <v>85</v>
      </c>
      <c r="Q2217" s="15" t="n">
        <f aca="false">IF(J2217=1,"",L2217-P2217)</f>
        <v>15</v>
      </c>
      <c r="R2217" s="15" t="n">
        <f aca="false">IF(OR(J2217=1,M2217&lt;=Inputs!$B$12),1,0)</f>
        <v>1</v>
      </c>
      <c r="S2217" s="15" t="n">
        <f aca="false">IF(OR(J2217=1,N2217&lt;=O2217),1,0)</f>
        <v>1</v>
      </c>
      <c r="T2217" s="15" t="str">
        <f aca="false">IF(J2217=1,"OFFLINE",IF(AND(Q2217&gt;=Inputs!$B$15,R2217=1,S2217=1,P2217&lt;=L2217),"PASS","FAIL"))</f>
        <v>PASS</v>
      </c>
    </row>
    <row r="2218" customFormat="false" ht="15" hidden="false" customHeight="false" outlineLevel="0" collapsed="false">
      <c r="A2218" s="14" t="s">
        <v>1040</v>
      </c>
      <c r="B2218" s="14" t="s">
        <v>1038</v>
      </c>
      <c r="C2218" s="14" t="s">
        <v>157</v>
      </c>
      <c r="D2218" s="14" t="s">
        <v>180</v>
      </c>
      <c r="E2218" s="14" t="s">
        <v>161</v>
      </c>
      <c r="F2218" s="14" t="s">
        <v>175</v>
      </c>
      <c r="G2218" s="14" t="n">
        <v>3</v>
      </c>
      <c r="H2218" s="14" t="s">
        <v>158</v>
      </c>
      <c r="I2218" s="14" t="s">
        <v>895</v>
      </c>
      <c r="J2218" s="15" t="n">
        <f aca="false">IF(B2218="SITE LOSS",IF(D2218=C2218,1,0),IF(B2218="REGION LOSS",IF(E2218=C2218,1,0),0))</f>
        <v>0</v>
      </c>
      <c r="K2218" s="15" t="n">
        <f aca="false">IF(B2218="SITE LOSS",IF(COUNTIFS('Site Dockets'!$B$7:$B$24,C2218,'Site Dockets'!$C$7:$C$24,F2218)&gt;0,1,0),IF(B2218="REGION LOSS",IF(COUNTIFS('Site Dockets'!$E$7:$E$24,C2218,'Site Dockets'!$C$7:$C$24,F2218)&gt;0,1,0),0))</f>
        <v>0</v>
      </c>
      <c r="L2218" s="15" t="n">
        <f aca="false">IF(J2218=1,0,Inputs!$B$11)</f>
        <v>100</v>
      </c>
      <c r="M2218" s="15" t="n">
        <f aca="false">IF(J2218=1,0,Inputs!$B$12)</f>
        <v>75</v>
      </c>
      <c r="N2218" s="15" t="n">
        <f aca="false">IF(J2218=1,0,IF(OR(AND(OR(B2218="SITE LOSS",B2218="REGION LOSS"),K2218=1),AND(B2218="ROLE COMPROMISE",H2218=C2218)),Inputs!$B$13,Inputs!$B$14))</f>
        <v>10</v>
      </c>
      <c r="O2218" s="15" t="n">
        <f aca="false">IF(J2218=1,0,Inputs!$B$13)</f>
        <v>20</v>
      </c>
      <c r="P2218" s="15" t="n">
        <f aca="false">SUM(M2218:N2218)</f>
        <v>85</v>
      </c>
      <c r="Q2218" s="15" t="n">
        <f aca="false">IF(J2218=1,"",L2218-P2218)</f>
        <v>15</v>
      </c>
      <c r="R2218" s="15" t="n">
        <f aca="false">IF(OR(J2218=1,M2218&lt;=Inputs!$B$12),1,0)</f>
        <v>1</v>
      </c>
      <c r="S2218" s="15" t="n">
        <f aca="false">IF(OR(J2218=1,N2218&lt;=O2218),1,0)</f>
        <v>1</v>
      </c>
      <c r="T2218" s="15" t="str">
        <f aca="false">IF(J2218=1,"OFFLINE",IF(AND(Q2218&gt;=Inputs!$B$15,R2218=1,S2218=1,P2218&lt;=L2218),"PASS","FAIL"))</f>
        <v>PASS</v>
      </c>
    </row>
    <row r="2219" customFormat="false" ht="15" hidden="false" customHeight="false" outlineLevel="0" collapsed="false">
      <c r="A2219" s="14" t="s">
        <v>1040</v>
      </c>
      <c r="B2219" s="14" t="s">
        <v>1038</v>
      </c>
      <c r="C2219" s="14" t="s">
        <v>157</v>
      </c>
      <c r="D2219" s="14" t="s">
        <v>180</v>
      </c>
      <c r="E2219" s="14" t="s">
        <v>161</v>
      </c>
      <c r="F2219" s="14" t="s">
        <v>175</v>
      </c>
      <c r="G2219" s="14" t="n">
        <v>3</v>
      </c>
      <c r="H2219" s="14" t="s">
        <v>158</v>
      </c>
      <c r="I2219" s="14" t="s">
        <v>897</v>
      </c>
      <c r="J2219" s="15" t="n">
        <f aca="false">IF(B2219="SITE LOSS",IF(D2219=C2219,1,0),IF(B2219="REGION LOSS",IF(E2219=C2219,1,0),0))</f>
        <v>0</v>
      </c>
      <c r="K2219" s="15" t="n">
        <f aca="false">IF(B2219="SITE LOSS",IF(COUNTIFS('Site Dockets'!$B$7:$B$24,C2219,'Site Dockets'!$C$7:$C$24,F2219)&gt;0,1,0),IF(B2219="REGION LOSS",IF(COUNTIFS('Site Dockets'!$E$7:$E$24,C2219,'Site Dockets'!$C$7:$C$24,F2219)&gt;0,1,0),0))</f>
        <v>0</v>
      </c>
      <c r="L2219" s="15" t="n">
        <f aca="false">IF(J2219=1,0,Inputs!$B$11)</f>
        <v>100</v>
      </c>
      <c r="M2219" s="15" t="n">
        <f aca="false">IF(J2219=1,0,Inputs!$B$12)</f>
        <v>75</v>
      </c>
      <c r="N2219" s="15" t="n">
        <f aca="false">IF(J2219=1,0,IF(OR(AND(OR(B2219="SITE LOSS",B2219="REGION LOSS"),K2219=1),AND(B2219="ROLE COMPROMISE",H2219=C2219)),Inputs!$B$13,Inputs!$B$14))</f>
        <v>10</v>
      </c>
      <c r="O2219" s="15" t="n">
        <f aca="false">IF(J2219=1,0,Inputs!$B$13)</f>
        <v>20</v>
      </c>
      <c r="P2219" s="15" t="n">
        <f aca="false">SUM(M2219:N2219)</f>
        <v>85</v>
      </c>
      <c r="Q2219" s="15" t="n">
        <f aca="false">IF(J2219=1,"",L2219-P2219)</f>
        <v>15</v>
      </c>
      <c r="R2219" s="15" t="n">
        <f aca="false">IF(OR(J2219=1,M2219&lt;=Inputs!$B$12),1,0)</f>
        <v>1</v>
      </c>
      <c r="S2219" s="15" t="n">
        <f aca="false">IF(OR(J2219=1,N2219&lt;=O2219),1,0)</f>
        <v>1</v>
      </c>
      <c r="T2219" s="15" t="str">
        <f aca="false">IF(J2219=1,"OFFLINE",IF(AND(Q2219&gt;=Inputs!$B$15,R2219=1,S2219=1,P2219&lt;=L2219),"PASS","FAIL"))</f>
        <v>PASS</v>
      </c>
    </row>
    <row r="2220" customFormat="false" ht="15" hidden="false" customHeight="false" outlineLevel="0" collapsed="false">
      <c r="A2220" s="14" t="s">
        <v>1040</v>
      </c>
      <c r="B2220" s="14" t="s">
        <v>1038</v>
      </c>
      <c r="C2220" s="14" t="s">
        <v>157</v>
      </c>
      <c r="D2220" s="14" t="s">
        <v>180</v>
      </c>
      <c r="E2220" s="14" t="s">
        <v>161</v>
      </c>
      <c r="F2220" s="14" t="s">
        <v>175</v>
      </c>
      <c r="G2220" s="14" t="n">
        <v>3</v>
      </c>
      <c r="H2220" s="14" t="s">
        <v>158</v>
      </c>
      <c r="I2220" s="14" t="s">
        <v>899</v>
      </c>
      <c r="J2220" s="15" t="n">
        <f aca="false">IF(B2220="SITE LOSS",IF(D2220=C2220,1,0),IF(B2220="REGION LOSS",IF(E2220=C2220,1,0),0))</f>
        <v>0</v>
      </c>
      <c r="K2220" s="15" t="n">
        <f aca="false">IF(B2220="SITE LOSS",IF(COUNTIFS('Site Dockets'!$B$7:$B$24,C2220,'Site Dockets'!$C$7:$C$24,F2220)&gt;0,1,0),IF(B2220="REGION LOSS",IF(COUNTIFS('Site Dockets'!$E$7:$E$24,C2220,'Site Dockets'!$C$7:$C$24,F2220)&gt;0,1,0),0))</f>
        <v>0</v>
      </c>
      <c r="L2220" s="15" t="n">
        <f aca="false">IF(J2220=1,0,Inputs!$B$11)</f>
        <v>100</v>
      </c>
      <c r="M2220" s="15" t="n">
        <f aca="false">IF(J2220=1,0,Inputs!$B$12)</f>
        <v>75</v>
      </c>
      <c r="N2220" s="15" t="n">
        <f aca="false">IF(J2220=1,0,IF(OR(AND(OR(B2220="SITE LOSS",B2220="REGION LOSS"),K2220=1),AND(B2220="ROLE COMPROMISE",H2220=C2220)),Inputs!$B$13,Inputs!$B$14))</f>
        <v>10</v>
      </c>
      <c r="O2220" s="15" t="n">
        <f aca="false">IF(J2220=1,0,Inputs!$B$13)</f>
        <v>20</v>
      </c>
      <c r="P2220" s="15" t="n">
        <f aca="false">SUM(M2220:N2220)</f>
        <v>85</v>
      </c>
      <c r="Q2220" s="15" t="n">
        <f aca="false">IF(J2220=1,"",L2220-P2220)</f>
        <v>15</v>
      </c>
      <c r="R2220" s="15" t="n">
        <f aca="false">IF(OR(J2220=1,M2220&lt;=Inputs!$B$12),1,0)</f>
        <v>1</v>
      </c>
      <c r="S2220" s="15" t="n">
        <f aca="false">IF(OR(J2220=1,N2220&lt;=O2220),1,0)</f>
        <v>1</v>
      </c>
      <c r="T2220" s="15" t="str">
        <f aca="false">IF(J2220=1,"OFFLINE",IF(AND(Q2220&gt;=Inputs!$B$15,R2220=1,S2220=1,P2220&lt;=L2220),"PASS","FAIL"))</f>
        <v>PASS</v>
      </c>
    </row>
    <row r="2221" customFormat="false" ht="15" hidden="false" customHeight="false" outlineLevel="0" collapsed="false">
      <c r="A2221" s="14" t="s">
        <v>1040</v>
      </c>
      <c r="B2221" s="14" t="s">
        <v>1038</v>
      </c>
      <c r="C2221" s="14" t="s">
        <v>157</v>
      </c>
      <c r="D2221" s="14" t="s">
        <v>182</v>
      </c>
      <c r="E2221" s="14" t="s">
        <v>166</v>
      </c>
      <c r="F2221" s="14" t="s">
        <v>183</v>
      </c>
      <c r="G2221" s="14" t="n">
        <v>1</v>
      </c>
      <c r="H2221" s="14" t="s">
        <v>154</v>
      </c>
      <c r="I2221" s="14" t="s">
        <v>890</v>
      </c>
      <c r="J2221" s="15" t="n">
        <f aca="false">IF(B2221="SITE LOSS",IF(D2221=C2221,1,0),IF(B2221="REGION LOSS",IF(E2221=C2221,1,0),0))</f>
        <v>0</v>
      </c>
      <c r="K2221" s="15" t="n">
        <f aca="false">IF(B2221="SITE LOSS",IF(COUNTIFS('Site Dockets'!$B$7:$B$24,C2221,'Site Dockets'!$C$7:$C$24,F2221)&gt;0,1,0),IF(B2221="REGION LOSS",IF(COUNTIFS('Site Dockets'!$E$7:$E$24,C2221,'Site Dockets'!$C$7:$C$24,F2221)&gt;0,1,0),0))</f>
        <v>1</v>
      </c>
      <c r="L2221" s="15" t="n">
        <f aca="false">IF(J2221=1,0,Inputs!$B$11)</f>
        <v>100</v>
      </c>
      <c r="M2221" s="15" t="n">
        <f aca="false">IF(J2221=1,0,Inputs!$B$12)</f>
        <v>75</v>
      </c>
      <c r="N2221" s="15" t="n">
        <f aca="false">IF(J2221=1,0,IF(OR(AND(OR(B2221="SITE LOSS",B2221="REGION LOSS"),K2221=1),AND(B2221="ROLE COMPROMISE",H2221=C2221)),Inputs!$B$13,Inputs!$B$14))</f>
        <v>20</v>
      </c>
      <c r="O2221" s="15" t="n">
        <f aca="false">IF(J2221=1,0,Inputs!$B$13)</f>
        <v>20</v>
      </c>
      <c r="P2221" s="15" t="n">
        <f aca="false">SUM(M2221:N2221)</f>
        <v>95</v>
      </c>
      <c r="Q2221" s="15" t="n">
        <f aca="false">IF(J2221=1,"",L2221-P2221)</f>
        <v>5</v>
      </c>
      <c r="R2221" s="15" t="n">
        <f aca="false">IF(OR(J2221=1,M2221&lt;=Inputs!$B$12),1,0)</f>
        <v>1</v>
      </c>
      <c r="S2221" s="15" t="n">
        <f aca="false">IF(OR(J2221=1,N2221&lt;=O2221),1,0)</f>
        <v>1</v>
      </c>
      <c r="T2221" s="15" t="str">
        <f aca="false">IF(J2221=1,"OFFLINE",IF(AND(Q2221&gt;=Inputs!$B$15,R2221=1,S2221=1,P2221&lt;=L2221),"PASS","FAIL"))</f>
        <v>PASS</v>
      </c>
    </row>
    <row r="2222" customFormat="false" ht="15" hidden="false" customHeight="false" outlineLevel="0" collapsed="false">
      <c r="A2222" s="14" t="s">
        <v>1040</v>
      </c>
      <c r="B2222" s="14" t="s">
        <v>1038</v>
      </c>
      <c r="C2222" s="14" t="s">
        <v>157</v>
      </c>
      <c r="D2222" s="14" t="s">
        <v>182</v>
      </c>
      <c r="E2222" s="14" t="s">
        <v>166</v>
      </c>
      <c r="F2222" s="14" t="s">
        <v>183</v>
      </c>
      <c r="G2222" s="14" t="n">
        <v>1</v>
      </c>
      <c r="H2222" s="14" t="s">
        <v>154</v>
      </c>
      <c r="I2222" s="14" t="s">
        <v>892</v>
      </c>
      <c r="J2222" s="15" t="n">
        <f aca="false">IF(B2222="SITE LOSS",IF(D2222=C2222,1,0),IF(B2222="REGION LOSS",IF(E2222=C2222,1,0),0))</f>
        <v>0</v>
      </c>
      <c r="K2222" s="15" t="n">
        <f aca="false">IF(B2222="SITE LOSS",IF(COUNTIFS('Site Dockets'!$B$7:$B$24,C2222,'Site Dockets'!$C$7:$C$24,F2222)&gt;0,1,0),IF(B2222="REGION LOSS",IF(COUNTIFS('Site Dockets'!$E$7:$E$24,C2222,'Site Dockets'!$C$7:$C$24,F2222)&gt;0,1,0),0))</f>
        <v>1</v>
      </c>
      <c r="L2222" s="15" t="n">
        <f aca="false">IF(J2222=1,0,Inputs!$B$11)</f>
        <v>100</v>
      </c>
      <c r="M2222" s="15" t="n">
        <f aca="false">IF(J2222=1,0,Inputs!$B$12)</f>
        <v>75</v>
      </c>
      <c r="N2222" s="15" t="n">
        <f aca="false">IF(J2222=1,0,IF(OR(AND(OR(B2222="SITE LOSS",B2222="REGION LOSS"),K2222=1),AND(B2222="ROLE COMPROMISE",H2222=C2222)),Inputs!$B$13,Inputs!$B$14))</f>
        <v>20</v>
      </c>
      <c r="O2222" s="15" t="n">
        <f aca="false">IF(J2222=1,0,Inputs!$B$13)</f>
        <v>20</v>
      </c>
      <c r="P2222" s="15" t="n">
        <f aca="false">SUM(M2222:N2222)</f>
        <v>95</v>
      </c>
      <c r="Q2222" s="15" t="n">
        <f aca="false">IF(J2222=1,"",L2222-P2222)</f>
        <v>5</v>
      </c>
      <c r="R2222" s="15" t="n">
        <f aca="false">IF(OR(J2222=1,M2222&lt;=Inputs!$B$12),1,0)</f>
        <v>1</v>
      </c>
      <c r="S2222" s="15" t="n">
        <f aca="false">IF(OR(J2222=1,N2222&lt;=O2222),1,0)</f>
        <v>1</v>
      </c>
      <c r="T2222" s="15" t="str">
        <f aca="false">IF(J2222=1,"OFFLINE",IF(AND(Q2222&gt;=Inputs!$B$15,R2222=1,S2222=1,P2222&lt;=L2222),"PASS","FAIL"))</f>
        <v>PASS</v>
      </c>
    </row>
    <row r="2223" customFormat="false" ht="15" hidden="false" customHeight="false" outlineLevel="0" collapsed="false">
      <c r="A2223" s="14" t="s">
        <v>1040</v>
      </c>
      <c r="B2223" s="14" t="s">
        <v>1038</v>
      </c>
      <c r="C2223" s="14" t="s">
        <v>157</v>
      </c>
      <c r="D2223" s="14" t="s">
        <v>182</v>
      </c>
      <c r="E2223" s="14" t="s">
        <v>166</v>
      </c>
      <c r="F2223" s="14" t="s">
        <v>183</v>
      </c>
      <c r="G2223" s="14" t="n">
        <v>1</v>
      </c>
      <c r="H2223" s="14" t="s">
        <v>154</v>
      </c>
      <c r="I2223" s="14" t="s">
        <v>811</v>
      </c>
      <c r="J2223" s="15" t="n">
        <f aca="false">IF(B2223="SITE LOSS",IF(D2223=C2223,1,0),IF(B2223="REGION LOSS",IF(E2223=C2223,1,0),0))</f>
        <v>0</v>
      </c>
      <c r="K2223" s="15" t="n">
        <f aca="false">IF(B2223="SITE LOSS",IF(COUNTIFS('Site Dockets'!$B$7:$B$24,C2223,'Site Dockets'!$C$7:$C$24,F2223)&gt;0,1,0),IF(B2223="REGION LOSS",IF(COUNTIFS('Site Dockets'!$E$7:$E$24,C2223,'Site Dockets'!$C$7:$C$24,F2223)&gt;0,1,0),0))</f>
        <v>1</v>
      </c>
      <c r="L2223" s="15" t="n">
        <f aca="false">IF(J2223=1,0,Inputs!$B$11)</f>
        <v>100</v>
      </c>
      <c r="M2223" s="15" t="n">
        <f aca="false">IF(J2223=1,0,Inputs!$B$12)</f>
        <v>75</v>
      </c>
      <c r="N2223" s="15" t="n">
        <f aca="false">IF(J2223=1,0,IF(OR(AND(OR(B2223="SITE LOSS",B2223="REGION LOSS"),K2223=1),AND(B2223="ROLE COMPROMISE",H2223=C2223)),Inputs!$B$13,Inputs!$B$14))</f>
        <v>20</v>
      </c>
      <c r="O2223" s="15" t="n">
        <f aca="false">IF(J2223=1,0,Inputs!$B$13)</f>
        <v>20</v>
      </c>
      <c r="P2223" s="15" t="n">
        <f aca="false">SUM(M2223:N2223)</f>
        <v>95</v>
      </c>
      <c r="Q2223" s="15" t="n">
        <f aca="false">IF(J2223=1,"",L2223-P2223)</f>
        <v>5</v>
      </c>
      <c r="R2223" s="15" t="n">
        <f aca="false">IF(OR(J2223=1,M2223&lt;=Inputs!$B$12),1,0)</f>
        <v>1</v>
      </c>
      <c r="S2223" s="15" t="n">
        <f aca="false">IF(OR(J2223=1,N2223&lt;=O2223),1,0)</f>
        <v>1</v>
      </c>
      <c r="T2223" s="15" t="str">
        <f aca="false">IF(J2223=1,"OFFLINE",IF(AND(Q2223&gt;=Inputs!$B$15,R2223=1,S2223=1,P2223&lt;=L2223),"PASS","FAIL"))</f>
        <v>PASS</v>
      </c>
    </row>
    <row r="2224" customFormat="false" ht="15" hidden="false" customHeight="false" outlineLevel="0" collapsed="false">
      <c r="A2224" s="14" t="s">
        <v>1040</v>
      </c>
      <c r="B2224" s="14" t="s">
        <v>1038</v>
      </c>
      <c r="C2224" s="14" t="s">
        <v>157</v>
      </c>
      <c r="D2224" s="14" t="s">
        <v>182</v>
      </c>
      <c r="E2224" s="14" t="s">
        <v>166</v>
      </c>
      <c r="F2224" s="14" t="s">
        <v>183</v>
      </c>
      <c r="G2224" s="14" t="n">
        <v>1</v>
      </c>
      <c r="H2224" s="14" t="s">
        <v>154</v>
      </c>
      <c r="I2224" s="14" t="s">
        <v>895</v>
      </c>
      <c r="J2224" s="15" t="n">
        <f aca="false">IF(B2224="SITE LOSS",IF(D2224=C2224,1,0),IF(B2224="REGION LOSS",IF(E2224=C2224,1,0),0))</f>
        <v>0</v>
      </c>
      <c r="K2224" s="15" t="n">
        <f aca="false">IF(B2224="SITE LOSS",IF(COUNTIFS('Site Dockets'!$B$7:$B$24,C2224,'Site Dockets'!$C$7:$C$24,F2224)&gt;0,1,0),IF(B2224="REGION LOSS",IF(COUNTIFS('Site Dockets'!$E$7:$E$24,C2224,'Site Dockets'!$C$7:$C$24,F2224)&gt;0,1,0),0))</f>
        <v>1</v>
      </c>
      <c r="L2224" s="15" t="n">
        <f aca="false">IF(J2224=1,0,Inputs!$B$11)</f>
        <v>100</v>
      </c>
      <c r="M2224" s="15" t="n">
        <f aca="false">IF(J2224=1,0,Inputs!$B$12)</f>
        <v>75</v>
      </c>
      <c r="N2224" s="15" t="n">
        <f aca="false">IF(J2224=1,0,IF(OR(AND(OR(B2224="SITE LOSS",B2224="REGION LOSS"),K2224=1),AND(B2224="ROLE COMPROMISE",H2224=C2224)),Inputs!$B$13,Inputs!$B$14))</f>
        <v>20</v>
      </c>
      <c r="O2224" s="15" t="n">
        <f aca="false">IF(J2224=1,0,Inputs!$B$13)</f>
        <v>20</v>
      </c>
      <c r="P2224" s="15" t="n">
        <f aca="false">SUM(M2224:N2224)</f>
        <v>95</v>
      </c>
      <c r="Q2224" s="15" t="n">
        <f aca="false">IF(J2224=1,"",L2224-P2224)</f>
        <v>5</v>
      </c>
      <c r="R2224" s="15" t="n">
        <f aca="false">IF(OR(J2224=1,M2224&lt;=Inputs!$B$12),1,0)</f>
        <v>1</v>
      </c>
      <c r="S2224" s="15" t="n">
        <f aca="false">IF(OR(J2224=1,N2224&lt;=O2224),1,0)</f>
        <v>1</v>
      </c>
      <c r="T2224" s="15" t="str">
        <f aca="false">IF(J2224=1,"OFFLINE",IF(AND(Q2224&gt;=Inputs!$B$15,R2224=1,S2224=1,P2224&lt;=L2224),"PASS","FAIL"))</f>
        <v>PASS</v>
      </c>
    </row>
    <row r="2225" customFormat="false" ht="15" hidden="false" customHeight="false" outlineLevel="0" collapsed="false">
      <c r="A2225" s="14" t="s">
        <v>1040</v>
      </c>
      <c r="B2225" s="14" t="s">
        <v>1038</v>
      </c>
      <c r="C2225" s="14" t="s">
        <v>157</v>
      </c>
      <c r="D2225" s="14" t="s">
        <v>182</v>
      </c>
      <c r="E2225" s="14" t="s">
        <v>166</v>
      </c>
      <c r="F2225" s="14" t="s">
        <v>183</v>
      </c>
      <c r="G2225" s="14" t="n">
        <v>1</v>
      </c>
      <c r="H2225" s="14" t="s">
        <v>154</v>
      </c>
      <c r="I2225" s="14" t="s">
        <v>897</v>
      </c>
      <c r="J2225" s="15" t="n">
        <f aca="false">IF(B2225="SITE LOSS",IF(D2225=C2225,1,0),IF(B2225="REGION LOSS",IF(E2225=C2225,1,0),0))</f>
        <v>0</v>
      </c>
      <c r="K2225" s="15" t="n">
        <f aca="false">IF(B2225="SITE LOSS",IF(COUNTIFS('Site Dockets'!$B$7:$B$24,C2225,'Site Dockets'!$C$7:$C$24,F2225)&gt;0,1,0),IF(B2225="REGION LOSS",IF(COUNTIFS('Site Dockets'!$E$7:$E$24,C2225,'Site Dockets'!$C$7:$C$24,F2225)&gt;0,1,0),0))</f>
        <v>1</v>
      </c>
      <c r="L2225" s="15" t="n">
        <f aca="false">IF(J2225=1,0,Inputs!$B$11)</f>
        <v>100</v>
      </c>
      <c r="M2225" s="15" t="n">
        <f aca="false">IF(J2225=1,0,Inputs!$B$12)</f>
        <v>75</v>
      </c>
      <c r="N2225" s="15" t="n">
        <f aca="false">IF(J2225=1,0,IF(OR(AND(OR(B2225="SITE LOSS",B2225="REGION LOSS"),K2225=1),AND(B2225="ROLE COMPROMISE",H2225=C2225)),Inputs!$B$13,Inputs!$B$14))</f>
        <v>20</v>
      </c>
      <c r="O2225" s="15" t="n">
        <f aca="false">IF(J2225=1,0,Inputs!$B$13)</f>
        <v>20</v>
      </c>
      <c r="P2225" s="15" t="n">
        <f aca="false">SUM(M2225:N2225)</f>
        <v>95</v>
      </c>
      <c r="Q2225" s="15" t="n">
        <f aca="false">IF(J2225=1,"",L2225-P2225)</f>
        <v>5</v>
      </c>
      <c r="R2225" s="15" t="n">
        <f aca="false">IF(OR(J2225=1,M2225&lt;=Inputs!$B$12),1,0)</f>
        <v>1</v>
      </c>
      <c r="S2225" s="15" t="n">
        <f aca="false">IF(OR(J2225=1,N2225&lt;=O2225),1,0)</f>
        <v>1</v>
      </c>
      <c r="T2225" s="15" t="str">
        <f aca="false">IF(J2225=1,"OFFLINE",IF(AND(Q2225&gt;=Inputs!$B$15,R2225=1,S2225=1,P2225&lt;=L2225),"PASS","FAIL"))</f>
        <v>PASS</v>
      </c>
    </row>
    <row r="2226" customFormat="false" ht="15" hidden="false" customHeight="false" outlineLevel="0" collapsed="false">
      <c r="A2226" s="14" t="s">
        <v>1040</v>
      </c>
      <c r="B2226" s="14" t="s">
        <v>1038</v>
      </c>
      <c r="C2226" s="14" t="s">
        <v>157</v>
      </c>
      <c r="D2226" s="14" t="s">
        <v>182</v>
      </c>
      <c r="E2226" s="14" t="s">
        <v>166</v>
      </c>
      <c r="F2226" s="14" t="s">
        <v>183</v>
      </c>
      <c r="G2226" s="14" t="n">
        <v>1</v>
      </c>
      <c r="H2226" s="14" t="s">
        <v>154</v>
      </c>
      <c r="I2226" s="14" t="s">
        <v>899</v>
      </c>
      <c r="J2226" s="15" t="n">
        <f aca="false">IF(B2226="SITE LOSS",IF(D2226=C2226,1,0),IF(B2226="REGION LOSS",IF(E2226=C2226,1,0),0))</f>
        <v>0</v>
      </c>
      <c r="K2226" s="15" t="n">
        <f aca="false">IF(B2226="SITE LOSS",IF(COUNTIFS('Site Dockets'!$B$7:$B$24,C2226,'Site Dockets'!$C$7:$C$24,F2226)&gt;0,1,0),IF(B2226="REGION LOSS",IF(COUNTIFS('Site Dockets'!$E$7:$E$24,C2226,'Site Dockets'!$C$7:$C$24,F2226)&gt;0,1,0),0))</f>
        <v>1</v>
      </c>
      <c r="L2226" s="15" t="n">
        <f aca="false">IF(J2226=1,0,Inputs!$B$11)</f>
        <v>100</v>
      </c>
      <c r="M2226" s="15" t="n">
        <f aca="false">IF(J2226=1,0,Inputs!$B$12)</f>
        <v>75</v>
      </c>
      <c r="N2226" s="15" t="n">
        <f aca="false">IF(J2226=1,0,IF(OR(AND(OR(B2226="SITE LOSS",B2226="REGION LOSS"),K2226=1),AND(B2226="ROLE COMPROMISE",H2226=C2226)),Inputs!$B$13,Inputs!$B$14))</f>
        <v>20</v>
      </c>
      <c r="O2226" s="15" t="n">
        <f aca="false">IF(J2226=1,0,Inputs!$B$13)</f>
        <v>20</v>
      </c>
      <c r="P2226" s="15" t="n">
        <f aca="false">SUM(M2226:N2226)</f>
        <v>95</v>
      </c>
      <c r="Q2226" s="15" t="n">
        <f aca="false">IF(J2226=1,"",L2226-P2226)</f>
        <v>5</v>
      </c>
      <c r="R2226" s="15" t="n">
        <f aca="false">IF(OR(J2226=1,M2226&lt;=Inputs!$B$12),1,0)</f>
        <v>1</v>
      </c>
      <c r="S2226" s="15" t="n">
        <f aca="false">IF(OR(J2226=1,N2226&lt;=O2226),1,0)</f>
        <v>1</v>
      </c>
      <c r="T2226" s="15" t="str">
        <f aca="false">IF(J2226=1,"OFFLINE",IF(AND(Q2226&gt;=Inputs!$B$15,R2226=1,S2226=1,P2226&lt;=L2226),"PASS","FAIL"))</f>
        <v>PASS</v>
      </c>
    </row>
    <row r="2227" customFormat="false" ht="15" hidden="false" customHeight="false" outlineLevel="0" collapsed="false">
      <c r="A2227" s="14" t="s">
        <v>1040</v>
      </c>
      <c r="B2227" s="14" t="s">
        <v>1038</v>
      </c>
      <c r="C2227" s="14" t="s">
        <v>157</v>
      </c>
      <c r="D2227" s="14" t="s">
        <v>186</v>
      </c>
      <c r="E2227" s="14" t="s">
        <v>157</v>
      </c>
      <c r="F2227" s="14" t="s">
        <v>183</v>
      </c>
      <c r="G2227" s="14" t="n">
        <v>2</v>
      </c>
      <c r="H2227" s="14" t="s">
        <v>153</v>
      </c>
      <c r="I2227" s="14" t="s">
        <v>890</v>
      </c>
      <c r="J2227" s="15" t="n">
        <f aca="false">IF(B2227="SITE LOSS",IF(D2227=C2227,1,0),IF(B2227="REGION LOSS",IF(E2227=C2227,1,0),0))</f>
        <v>1</v>
      </c>
      <c r="K2227" s="15" t="n">
        <f aca="false">IF(B2227="SITE LOSS",IF(COUNTIFS('Site Dockets'!$B$7:$B$24,C2227,'Site Dockets'!$C$7:$C$24,F2227)&gt;0,1,0),IF(B2227="REGION LOSS",IF(COUNTIFS('Site Dockets'!$E$7:$E$24,C2227,'Site Dockets'!$C$7:$C$24,F2227)&gt;0,1,0),0))</f>
        <v>1</v>
      </c>
      <c r="L2227" s="15" t="n">
        <f aca="false">IF(J2227=1,0,Inputs!$B$11)</f>
        <v>0</v>
      </c>
      <c r="M2227" s="15" t="n">
        <f aca="false">IF(J2227=1,0,Inputs!$B$12)</f>
        <v>0</v>
      </c>
      <c r="N2227" s="15" t="n">
        <f aca="false">IF(J2227=1,0,IF(OR(AND(OR(B2227="SITE LOSS",B2227="REGION LOSS"),K2227=1),AND(B2227="ROLE COMPROMISE",H2227=C2227)),Inputs!$B$13,Inputs!$B$14))</f>
        <v>0</v>
      </c>
      <c r="O2227" s="15" t="n">
        <f aca="false">IF(J2227=1,0,Inputs!$B$13)</f>
        <v>0</v>
      </c>
      <c r="P2227" s="15" t="n">
        <f aca="false">SUM(M2227:N2227)</f>
        <v>0</v>
      </c>
      <c r="Q2227" s="15" t="str">
        <f aca="false">IF(J2227=1,"",L2227-P2227)</f>
        <v/>
      </c>
      <c r="R2227" s="15" t="n">
        <f aca="false">IF(OR(J2227=1,M2227&lt;=Inputs!$B$12),1,0)</f>
        <v>1</v>
      </c>
      <c r="S2227" s="15" t="n">
        <f aca="false">IF(OR(J2227=1,N2227&lt;=O2227),1,0)</f>
        <v>1</v>
      </c>
      <c r="T2227" s="15" t="str">
        <f aca="false">IF(J2227=1,"OFFLINE",IF(AND(Q2227&gt;=Inputs!$B$15,R2227=1,S2227=1,P2227&lt;=L2227),"PASS","FAIL"))</f>
        <v>OFFLINE</v>
      </c>
    </row>
    <row r="2228" customFormat="false" ht="15" hidden="false" customHeight="false" outlineLevel="0" collapsed="false">
      <c r="A2228" s="14" t="s">
        <v>1040</v>
      </c>
      <c r="B2228" s="14" t="s">
        <v>1038</v>
      </c>
      <c r="C2228" s="14" t="s">
        <v>157</v>
      </c>
      <c r="D2228" s="14" t="s">
        <v>186</v>
      </c>
      <c r="E2228" s="14" t="s">
        <v>157</v>
      </c>
      <c r="F2228" s="14" t="s">
        <v>183</v>
      </c>
      <c r="G2228" s="14" t="n">
        <v>2</v>
      </c>
      <c r="H2228" s="14" t="s">
        <v>153</v>
      </c>
      <c r="I2228" s="14" t="s">
        <v>892</v>
      </c>
      <c r="J2228" s="15" t="n">
        <f aca="false">IF(B2228="SITE LOSS",IF(D2228=C2228,1,0),IF(B2228="REGION LOSS",IF(E2228=C2228,1,0),0))</f>
        <v>1</v>
      </c>
      <c r="K2228" s="15" t="n">
        <f aca="false">IF(B2228="SITE LOSS",IF(COUNTIFS('Site Dockets'!$B$7:$B$24,C2228,'Site Dockets'!$C$7:$C$24,F2228)&gt;0,1,0),IF(B2228="REGION LOSS",IF(COUNTIFS('Site Dockets'!$E$7:$E$24,C2228,'Site Dockets'!$C$7:$C$24,F2228)&gt;0,1,0),0))</f>
        <v>1</v>
      </c>
      <c r="L2228" s="15" t="n">
        <f aca="false">IF(J2228=1,0,Inputs!$B$11)</f>
        <v>0</v>
      </c>
      <c r="M2228" s="15" t="n">
        <f aca="false">IF(J2228=1,0,Inputs!$B$12)</f>
        <v>0</v>
      </c>
      <c r="N2228" s="15" t="n">
        <f aca="false">IF(J2228=1,0,IF(OR(AND(OR(B2228="SITE LOSS",B2228="REGION LOSS"),K2228=1),AND(B2228="ROLE COMPROMISE",H2228=C2228)),Inputs!$B$13,Inputs!$B$14))</f>
        <v>0</v>
      </c>
      <c r="O2228" s="15" t="n">
        <f aca="false">IF(J2228=1,0,Inputs!$B$13)</f>
        <v>0</v>
      </c>
      <c r="P2228" s="15" t="n">
        <f aca="false">SUM(M2228:N2228)</f>
        <v>0</v>
      </c>
      <c r="Q2228" s="15" t="str">
        <f aca="false">IF(J2228=1,"",L2228-P2228)</f>
        <v/>
      </c>
      <c r="R2228" s="15" t="n">
        <f aca="false">IF(OR(J2228=1,M2228&lt;=Inputs!$B$12),1,0)</f>
        <v>1</v>
      </c>
      <c r="S2228" s="15" t="n">
        <f aca="false">IF(OR(J2228=1,N2228&lt;=O2228),1,0)</f>
        <v>1</v>
      </c>
      <c r="T2228" s="15" t="str">
        <f aca="false">IF(J2228=1,"OFFLINE",IF(AND(Q2228&gt;=Inputs!$B$15,R2228=1,S2228=1,P2228&lt;=L2228),"PASS","FAIL"))</f>
        <v>OFFLINE</v>
      </c>
    </row>
    <row r="2229" customFormat="false" ht="15" hidden="false" customHeight="false" outlineLevel="0" collapsed="false">
      <c r="A2229" s="14" t="s">
        <v>1040</v>
      </c>
      <c r="B2229" s="14" t="s">
        <v>1038</v>
      </c>
      <c r="C2229" s="14" t="s">
        <v>157</v>
      </c>
      <c r="D2229" s="14" t="s">
        <v>186</v>
      </c>
      <c r="E2229" s="14" t="s">
        <v>157</v>
      </c>
      <c r="F2229" s="14" t="s">
        <v>183</v>
      </c>
      <c r="G2229" s="14" t="n">
        <v>2</v>
      </c>
      <c r="H2229" s="14" t="s">
        <v>153</v>
      </c>
      <c r="I2229" s="14" t="s">
        <v>811</v>
      </c>
      <c r="J2229" s="15" t="n">
        <f aca="false">IF(B2229="SITE LOSS",IF(D2229=C2229,1,0),IF(B2229="REGION LOSS",IF(E2229=C2229,1,0),0))</f>
        <v>1</v>
      </c>
      <c r="K2229" s="15" t="n">
        <f aca="false">IF(B2229="SITE LOSS",IF(COUNTIFS('Site Dockets'!$B$7:$B$24,C2229,'Site Dockets'!$C$7:$C$24,F2229)&gt;0,1,0),IF(B2229="REGION LOSS",IF(COUNTIFS('Site Dockets'!$E$7:$E$24,C2229,'Site Dockets'!$C$7:$C$24,F2229)&gt;0,1,0),0))</f>
        <v>1</v>
      </c>
      <c r="L2229" s="15" t="n">
        <f aca="false">IF(J2229=1,0,Inputs!$B$11)</f>
        <v>0</v>
      </c>
      <c r="M2229" s="15" t="n">
        <f aca="false">IF(J2229=1,0,Inputs!$B$12)</f>
        <v>0</v>
      </c>
      <c r="N2229" s="15" t="n">
        <f aca="false">IF(J2229=1,0,IF(OR(AND(OR(B2229="SITE LOSS",B2229="REGION LOSS"),K2229=1),AND(B2229="ROLE COMPROMISE",H2229=C2229)),Inputs!$B$13,Inputs!$B$14))</f>
        <v>0</v>
      </c>
      <c r="O2229" s="15" t="n">
        <f aca="false">IF(J2229=1,0,Inputs!$B$13)</f>
        <v>0</v>
      </c>
      <c r="P2229" s="15" t="n">
        <f aca="false">SUM(M2229:N2229)</f>
        <v>0</v>
      </c>
      <c r="Q2229" s="15" t="str">
        <f aca="false">IF(J2229=1,"",L2229-P2229)</f>
        <v/>
      </c>
      <c r="R2229" s="15" t="n">
        <f aca="false">IF(OR(J2229=1,M2229&lt;=Inputs!$B$12),1,0)</f>
        <v>1</v>
      </c>
      <c r="S2229" s="15" t="n">
        <f aca="false">IF(OR(J2229=1,N2229&lt;=O2229),1,0)</f>
        <v>1</v>
      </c>
      <c r="T2229" s="15" t="str">
        <f aca="false">IF(J2229=1,"OFFLINE",IF(AND(Q2229&gt;=Inputs!$B$15,R2229=1,S2229=1,P2229&lt;=L2229),"PASS","FAIL"))</f>
        <v>OFFLINE</v>
      </c>
    </row>
    <row r="2230" customFormat="false" ht="15" hidden="false" customHeight="false" outlineLevel="0" collapsed="false">
      <c r="A2230" s="14" t="s">
        <v>1040</v>
      </c>
      <c r="B2230" s="14" t="s">
        <v>1038</v>
      </c>
      <c r="C2230" s="14" t="s">
        <v>157</v>
      </c>
      <c r="D2230" s="14" t="s">
        <v>186</v>
      </c>
      <c r="E2230" s="14" t="s">
        <v>157</v>
      </c>
      <c r="F2230" s="14" t="s">
        <v>183</v>
      </c>
      <c r="G2230" s="14" t="n">
        <v>2</v>
      </c>
      <c r="H2230" s="14" t="s">
        <v>153</v>
      </c>
      <c r="I2230" s="14" t="s">
        <v>895</v>
      </c>
      <c r="J2230" s="15" t="n">
        <f aca="false">IF(B2230="SITE LOSS",IF(D2230=C2230,1,0),IF(B2230="REGION LOSS",IF(E2230=C2230,1,0),0))</f>
        <v>1</v>
      </c>
      <c r="K2230" s="15" t="n">
        <f aca="false">IF(B2230="SITE LOSS",IF(COUNTIFS('Site Dockets'!$B$7:$B$24,C2230,'Site Dockets'!$C$7:$C$24,F2230)&gt;0,1,0),IF(B2230="REGION LOSS",IF(COUNTIFS('Site Dockets'!$E$7:$E$24,C2230,'Site Dockets'!$C$7:$C$24,F2230)&gt;0,1,0),0))</f>
        <v>1</v>
      </c>
      <c r="L2230" s="15" t="n">
        <f aca="false">IF(J2230=1,0,Inputs!$B$11)</f>
        <v>0</v>
      </c>
      <c r="M2230" s="15" t="n">
        <f aca="false">IF(J2230=1,0,Inputs!$B$12)</f>
        <v>0</v>
      </c>
      <c r="N2230" s="15" t="n">
        <f aca="false">IF(J2230=1,0,IF(OR(AND(OR(B2230="SITE LOSS",B2230="REGION LOSS"),K2230=1),AND(B2230="ROLE COMPROMISE",H2230=C2230)),Inputs!$B$13,Inputs!$B$14))</f>
        <v>0</v>
      </c>
      <c r="O2230" s="15" t="n">
        <f aca="false">IF(J2230=1,0,Inputs!$B$13)</f>
        <v>0</v>
      </c>
      <c r="P2230" s="15" t="n">
        <f aca="false">SUM(M2230:N2230)</f>
        <v>0</v>
      </c>
      <c r="Q2230" s="15" t="str">
        <f aca="false">IF(J2230=1,"",L2230-P2230)</f>
        <v/>
      </c>
      <c r="R2230" s="15" t="n">
        <f aca="false">IF(OR(J2230=1,M2230&lt;=Inputs!$B$12),1,0)</f>
        <v>1</v>
      </c>
      <c r="S2230" s="15" t="n">
        <f aca="false">IF(OR(J2230=1,N2230&lt;=O2230),1,0)</f>
        <v>1</v>
      </c>
      <c r="T2230" s="15" t="str">
        <f aca="false">IF(J2230=1,"OFFLINE",IF(AND(Q2230&gt;=Inputs!$B$15,R2230=1,S2230=1,P2230&lt;=L2230),"PASS","FAIL"))</f>
        <v>OFFLINE</v>
      </c>
    </row>
    <row r="2231" customFormat="false" ht="15" hidden="false" customHeight="false" outlineLevel="0" collapsed="false">
      <c r="A2231" s="14" t="s">
        <v>1040</v>
      </c>
      <c r="B2231" s="14" t="s">
        <v>1038</v>
      </c>
      <c r="C2231" s="14" t="s">
        <v>157</v>
      </c>
      <c r="D2231" s="14" t="s">
        <v>186</v>
      </c>
      <c r="E2231" s="14" t="s">
        <v>157</v>
      </c>
      <c r="F2231" s="14" t="s">
        <v>183</v>
      </c>
      <c r="G2231" s="14" t="n">
        <v>2</v>
      </c>
      <c r="H2231" s="14" t="s">
        <v>153</v>
      </c>
      <c r="I2231" s="14" t="s">
        <v>897</v>
      </c>
      <c r="J2231" s="15" t="n">
        <f aca="false">IF(B2231="SITE LOSS",IF(D2231=C2231,1,0),IF(B2231="REGION LOSS",IF(E2231=C2231,1,0),0))</f>
        <v>1</v>
      </c>
      <c r="K2231" s="15" t="n">
        <f aca="false">IF(B2231="SITE LOSS",IF(COUNTIFS('Site Dockets'!$B$7:$B$24,C2231,'Site Dockets'!$C$7:$C$24,F2231)&gt;0,1,0),IF(B2231="REGION LOSS",IF(COUNTIFS('Site Dockets'!$E$7:$E$24,C2231,'Site Dockets'!$C$7:$C$24,F2231)&gt;0,1,0),0))</f>
        <v>1</v>
      </c>
      <c r="L2231" s="15" t="n">
        <f aca="false">IF(J2231=1,0,Inputs!$B$11)</f>
        <v>0</v>
      </c>
      <c r="M2231" s="15" t="n">
        <f aca="false">IF(J2231=1,0,Inputs!$B$12)</f>
        <v>0</v>
      </c>
      <c r="N2231" s="15" t="n">
        <f aca="false">IF(J2231=1,0,IF(OR(AND(OR(B2231="SITE LOSS",B2231="REGION LOSS"),K2231=1),AND(B2231="ROLE COMPROMISE",H2231=C2231)),Inputs!$B$13,Inputs!$B$14))</f>
        <v>0</v>
      </c>
      <c r="O2231" s="15" t="n">
        <f aca="false">IF(J2231=1,0,Inputs!$B$13)</f>
        <v>0</v>
      </c>
      <c r="P2231" s="15" t="n">
        <f aca="false">SUM(M2231:N2231)</f>
        <v>0</v>
      </c>
      <c r="Q2231" s="15" t="str">
        <f aca="false">IF(J2231=1,"",L2231-P2231)</f>
        <v/>
      </c>
      <c r="R2231" s="15" t="n">
        <f aca="false">IF(OR(J2231=1,M2231&lt;=Inputs!$B$12),1,0)</f>
        <v>1</v>
      </c>
      <c r="S2231" s="15" t="n">
        <f aca="false">IF(OR(J2231=1,N2231&lt;=O2231),1,0)</f>
        <v>1</v>
      </c>
      <c r="T2231" s="15" t="str">
        <f aca="false">IF(J2231=1,"OFFLINE",IF(AND(Q2231&gt;=Inputs!$B$15,R2231=1,S2231=1,P2231&lt;=L2231),"PASS","FAIL"))</f>
        <v>OFFLINE</v>
      </c>
    </row>
    <row r="2232" customFormat="false" ht="15" hidden="false" customHeight="false" outlineLevel="0" collapsed="false">
      <c r="A2232" s="14" t="s">
        <v>1040</v>
      </c>
      <c r="B2232" s="14" t="s">
        <v>1038</v>
      </c>
      <c r="C2232" s="14" t="s">
        <v>157</v>
      </c>
      <c r="D2232" s="14" t="s">
        <v>186</v>
      </c>
      <c r="E2232" s="14" t="s">
        <v>157</v>
      </c>
      <c r="F2232" s="14" t="s">
        <v>183</v>
      </c>
      <c r="G2232" s="14" t="n">
        <v>2</v>
      </c>
      <c r="H2232" s="14" t="s">
        <v>153</v>
      </c>
      <c r="I2232" s="14" t="s">
        <v>899</v>
      </c>
      <c r="J2232" s="15" t="n">
        <f aca="false">IF(B2232="SITE LOSS",IF(D2232=C2232,1,0),IF(B2232="REGION LOSS",IF(E2232=C2232,1,0),0))</f>
        <v>1</v>
      </c>
      <c r="K2232" s="15" t="n">
        <f aca="false">IF(B2232="SITE LOSS",IF(COUNTIFS('Site Dockets'!$B$7:$B$24,C2232,'Site Dockets'!$C$7:$C$24,F2232)&gt;0,1,0),IF(B2232="REGION LOSS",IF(COUNTIFS('Site Dockets'!$E$7:$E$24,C2232,'Site Dockets'!$C$7:$C$24,F2232)&gt;0,1,0),0))</f>
        <v>1</v>
      </c>
      <c r="L2232" s="15" t="n">
        <f aca="false">IF(J2232=1,0,Inputs!$B$11)</f>
        <v>0</v>
      </c>
      <c r="M2232" s="15" t="n">
        <f aca="false">IF(J2232=1,0,Inputs!$B$12)</f>
        <v>0</v>
      </c>
      <c r="N2232" s="15" t="n">
        <f aca="false">IF(J2232=1,0,IF(OR(AND(OR(B2232="SITE LOSS",B2232="REGION LOSS"),K2232=1),AND(B2232="ROLE COMPROMISE",H2232=C2232)),Inputs!$B$13,Inputs!$B$14))</f>
        <v>0</v>
      </c>
      <c r="O2232" s="15" t="n">
        <f aca="false">IF(J2232=1,0,Inputs!$B$13)</f>
        <v>0</v>
      </c>
      <c r="P2232" s="15" t="n">
        <f aca="false">SUM(M2232:N2232)</f>
        <v>0</v>
      </c>
      <c r="Q2232" s="15" t="str">
        <f aca="false">IF(J2232=1,"",L2232-P2232)</f>
        <v/>
      </c>
      <c r="R2232" s="15" t="n">
        <f aca="false">IF(OR(J2232=1,M2232&lt;=Inputs!$B$12),1,0)</f>
        <v>1</v>
      </c>
      <c r="S2232" s="15" t="n">
        <f aca="false">IF(OR(J2232=1,N2232&lt;=O2232),1,0)</f>
        <v>1</v>
      </c>
      <c r="T2232" s="15" t="str">
        <f aca="false">IF(J2232=1,"OFFLINE",IF(AND(Q2232&gt;=Inputs!$B$15,R2232=1,S2232=1,P2232&lt;=L2232),"PASS","FAIL"))</f>
        <v>OFFLINE</v>
      </c>
    </row>
    <row r="2233" customFormat="false" ht="15" hidden="false" customHeight="false" outlineLevel="0" collapsed="false">
      <c r="A2233" s="14" t="s">
        <v>1040</v>
      </c>
      <c r="B2233" s="14" t="s">
        <v>1038</v>
      </c>
      <c r="C2233" s="14" t="s">
        <v>157</v>
      </c>
      <c r="D2233" s="14" t="s">
        <v>188</v>
      </c>
      <c r="E2233" s="14" t="s">
        <v>172</v>
      </c>
      <c r="F2233" s="14" t="s">
        <v>183</v>
      </c>
      <c r="G2233" s="14" t="n">
        <v>3</v>
      </c>
      <c r="H2233" s="14" t="s">
        <v>158</v>
      </c>
      <c r="I2233" s="14" t="s">
        <v>890</v>
      </c>
      <c r="J2233" s="15" t="n">
        <f aca="false">IF(B2233="SITE LOSS",IF(D2233=C2233,1,0),IF(B2233="REGION LOSS",IF(E2233=C2233,1,0),0))</f>
        <v>0</v>
      </c>
      <c r="K2233" s="15" t="n">
        <f aca="false">IF(B2233="SITE LOSS",IF(COUNTIFS('Site Dockets'!$B$7:$B$24,C2233,'Site Dockets'!$C$7:$C$24,F2233)&gt;0,1,0),IF(B2233="REGION LOSS",IF(COUNTIFS('Site Dockets'!$E$7:$E$24,C2233,'Site Dockets'!$C$7:$C$24,F2233)&gt;0,1,0),0))</f>
        <v>1</v>
      </c>
      <c r="L2233" s="15" t="n">
        <f aca="false">IF(J2233=1,0,Inputs!$B$11)</f>
        <v>100</v>
      </c>
      <c r="M2233" s="15" t="n">
        <f aca="false">IF(J2233=1,0,Inputs!$B$12)</f>
        <v>75</v>
      </c>
      <c r="N2233" s="15" t="n">
        <f aca="false">IF(J2233=1,0,IF(OR(AND(OR(B2233="SITE LOSS",B2233="REGION LOSS"),K2233=1),AND(B2233="ROLE COMPROMISE",H2233=C2233)),Inputs!$B$13,Inputs!$B$14))</f>
        <v>20</v>
      </c>
      <c r="O2233" s="15" t="n">
        <f aca="false">IF(J2233=1,0,Inputs!$B$13)</f>
        <v>20</v>
      </c>
      <c r="P2233" s="15" t="n">
        <f aca="false">SUM(M2233:N2233)</f>
        <v>95</v>
      </c>
      <c r="Q2233" s="15" t="n">
        <f aca="false">IF(J2233=1,"",L2233-P2233)</f>
        <v>5</v>
      </c>
      <c r="R2233" s="15" t="n">
        <f aca="false">IF(OR(J2233=1,M2233&lt;=Inputs!$B$12),1,0)</f>
        <v>1</v>
      </c>
      <c r="S2233" s="15" t="n">
        <f aca="false">IF(OR(J2233=1,N2233&lt;=O2233),1,0)</f>
        <v>1</v>
      </c>
      <c r="T2233" s="15" t="str">
        <f aca="false">IF(J2233=1,"OFFLINE",IF(AND(Q2233&gt;=Inputs!$B$15,R2233=1,S2233=1,P2233&lt;=L2233),"PASS","FAIL"))</f>
        <v>PASS</v>
      </c>
    </row>
    <row r="2234" customFormat="false" ht="15" hidden="false" customHeight="false" outlineLevel="0" collapsed="false">
      <c r="A2234" s="14" t="s">
        <v>1040</v>
      </c>
      <c r="B2234" s="14" t="s">
        <v>1038</v>
      </c>
      <c r="C2234" s="14" t="s">
        <v>157</v>
      </c>
      <c r="D2234" s="14" t="s">
        <v>188</v>
      </c>
      <c r="E2234" s="14" t="s">
        <v>172</v>
      </c>
      <c r="F2234" s="14" t="s">
        <v>183</v>
      </c>
      <c r="G2234" s="14" t="n">
        <v>3</v>
      </c>
      <c r="H2234" s="14" t="s">
        <v>158</v>
      </c>
      <c r="I2234" s="14" t="s">
        <v>892</v>
      </c>
      <c r="J2234" s="15" t="n">
        <f aca="false">IF(B2234="SITE LOSS",IF(D2234=C2234,1,0),IF(B2234="REGION LOSS",IF(E2234=C2234,1,0),0))</f>
        <v>0</v>
      </c>
      <c r="K2234" s="15" t="n">
        <f aca="false">IF(B2234="SITE LOSS",IF(COUNTIFS('Site Dockets'!$B$7:$B$24,C2234,'Site Dockets'!$C$7:$C$24,F2234)&gt;0,1,0),IF(B2234="REGION LOSS",IF(COUNTIFS('Site Dockets'!$E$7:$E$24,C2234,'Site Dockets'!$C$7:$C$24,F2234)&gt;0,1,0),0))</f>
        <v>1</v>
      </c>
      <c r="L2234" s="15" t="n">
        <f aca="false">IF(J2234=1,0,Inputs!$B$11)</f>
        <v>100</v>
      </c>
      <c r="M2234" s="15" t="n">
        <f aca="false">IF(J2234=1,0,Inputs!$B$12)</f>
        <v>75</v>
      </c>
      <c r="N2234" s="15" t="n">
        <f aca="false">IF(J2234=1,0,IF(OR(AND(OR(B2234="SITE LOSS",B2234="REGION LOSS"),K2234=1),AND(B2234="ROLE COMPROMISE",H2234=C2234)),Inputs!$B$13,Inputs!$B$14))</f>
        <v>20</v>
      </c>
      <c r="O2234" s="15" t="n">
        <f aca="false">IF(J2234=1,0,Inputs!$B$13)</f>
        <v>20</v>
      </c>
      <c r="P2234" s="15" t="n">
        <f aca="false">SUM(M2234:N2234)</f>
        <v>95</v>
      </c>
      <c r="Q2234" s="15" t="n">
        <f aca="false">IF(J2234=1,"",L2234-P2234)</f>
        <v>5</v>
      </c>
      <c r="R2234" s="15" t="n">
        <f aca="false">IF(OR(J2234=1,M2234&lt;=Inputs!$B$12),1,0)</f>
        <v>1</v>
      </c>
      <c r="S2234" s="15" t="n">
        <f aca="false">IF(OR(J2234=1,N2234&lt;=O2234),1,0)</f>
        <v>1</v>
      </c>
      <c r="T2234" s="15" t="str">
        <f aca="false">IF(J2234=1,"OFFLINE",IF(AND(Q2234&gt;=Inputs!$B$15,R2234=1,S2234=1,P2234&lt;=L2234),"PASS","FAIL"))</f>
        <v>PASS</v>
      </c>
    </row>
    <row r="2235" customFormat="false" ht="15" hidden="false" customHeight="false" outlineLevel="0" collapsed="false">
      <c r="A2235" s="14" t="s">
        <v>1040</v>
      </c>
      <c r="B2235" s="14" t="s">
        <v>1038</v>
      </c>
      <c r="C2235" s="14" t="s">
        <v>157</v>
      </c>
      <c r="D2235" s="14" t="s">
        <v>188</v>
      </c>
      <c r="E2235" s="14" t="s">
        <v>172</v>
      </c>
      <c r="F2235" s="14" t="s">
        <v>183</v>
      </c>
      <c r="G2235" s="14" t="n">
        <v>3</v>
      </c>
      <c r="H2235" s="14" t="s">
        <v>158</v>
      </c>
      <c r="I2235" s="14" t="s">
        <v>811</v>
      </c>
      <c r="J2235" s="15" t="n">
        <f aca="false">IF(B2235="SITE LOSS",IF(D2235=C2235,1,0),IF(B2235="REGION LOSS",IF(E2235=C2235,1,0),0))</f>
        <v>0</v>
      </c>
      <c r="K2235" s="15" t="n">
        <f aca="false">IF(B2235="SITE LOSS",IF(COUNTIFS('Site Dockets'!$B$7:$B$24,C2235,'Site Dockets'!$C$7:$C$24,F2235)&gt;0,1,0),IF(B2235="REGION LOSS",IF(COUNTIFS('Site Dockets'!$E$7:$E$24,C2235,'Site Dockets'!$C$7:$C$24,F2235)&gt;0,1,0),0))</f>
        <v>1</v>
      </c>
      <c r="L2235" s="15" t="n">
        <f aca="false">IF(J2235=1,0,Inputs!$B$11)</f>
        <v>100</v>
      </c>
      <c r="M2235" s="15" t="n">
        <f aca="false">IF(J2235=1,0,Inputs!$B$12)</f>
        <v>75</v>
      </c>
      <c r="N2235" s="15" t="n">
        <f aca="false">IF(J2235=1,0,IF(OR(AND(OR(B2235="SITE LOSS",B2235="REGION LOSS"),K2235=1),AND(B2235="ROLE COMPROMISE",H2235=C2235)),Inputs!$B$13,Inputs!$B$14))</f>
        <v>20</v>
      </c>
      <c r="O2235" s="15" t="n">
        <f aca="false">IF(J2235=1,0,Inputs!$B$13)</f>
        <v>20</v>
      </c>
      <c r="P2235" s="15" t="n">
        <f aca="false">SUM(M2235:N2235)</f>
        <v>95</v>
      </c>
      <c r="Q2235" s="15" t="n">
        <f aca="false">IF(J2235=1,"",L2235-P2235)</f>
        <v>5</v>
      </c>
      <c r="R2235" s="15" t="n">
        <f aca="false">IF(OR(J2235=1,M2235&lt;=Inputs!$B$12),1,0)</f>
        <v>1</v>
      </c>
      <c r="S2235" s="15" t="n">
        <f aca="false">IF(OR(J2235=1,N2235&lt;=O2235),1,0)</f>
        <v>1</v>
      </c>
      <c r="T2235" s="15" t="str">
        <f aca="false">IF(J2235=1,"OFFLINE",IF(AND(Q2235&gt;=Inputs!$B$15,R2235=1,S2235=1,P2235&lt;=L2235),"PASS","FAIL"))</f>
        <v>PASS</v>
      </c>
    </row>
    <row r="2236" customFormat="false" ht="15" hidden="false" customHeight="false" outlineLevel="0" collapsed="false">
      <c r="A2236" s="14" t="s">
        <v>1040</v>
      </c>
      <c r="B2236" s="14" t="s">
        <v>1038</v>
      </c>
      <c r="C2236" s="14" t="s">
        <v>157</v>
      </c>
      <c r="D2236" s="14" t="s">
        <v>188</v>
      </c>
      <c r="E2236" s="14" t="s">
        <v>172</v>
      </c>
      <c r="F2236" s="14" t="s">
        <v>183</v>
      </c>
      <c r="G2236" s="14" t="n">
        <v>3</v>
      </c>
      <c r="H2236" s="14" t="s">
        <v>158</v>
      </c>
      <c r="I2236" s="14" t="s">
        <v>895</v>
      </c>
      <c r="J2236" s="15" t="n">
        <f aca="false">IF(B2236="SITE LOSS",IF(D2236=C2236,1,0),IF(B2236="REGION LOSS",IF(E2236=C2236,1,0),0))</f>
        <v>0</v>
      </c>
      <c r="K2236" s="15" t="n">
        <f aca="false">IF(B2236="SITE LOSS",IF(COUNTIFS('Site Dockets'!$B$7:$B$24,C2236,'Site Dockets'!$C$7:$C$24,F2236)&gt;0,1,0),IF(B2236="REGION LOSS",IF(COUNTIFS('Site Dockets'!$E$7:$E$24,C2236,'Site Dockets'!$C$7:$C$24,F2236)&gt;0,1,0),0))</f>
        <v>1</v>
      </c>
      <c r="L2236" s="15" t="n">
        <f aca="false">IF(J2236=1,0,Inputs!$B$11)</f>
        <v>100</v>
      </c>
      <c r="M2236" s="15" t="n">
        <f aca="false">IF(J2236=1,0,Inputs!$B$12)</f>
        <v>75</v>
      </c>
      <c r="N2236" s="15" t="n">
        <f aca="false">IF(J2236=1,0,IF(OR(AND(OR(B2236="SITE LOSS",B2236="REGION LOSS"),K2236=1),AND(B2236="ROLE COMPROMISE",H2236=C2236)),Inputs!$B$13,Inputs!$B$14))</f>
        <v>20</v>
      </c>
      <c r="O2236" s="15" t="n">
        <f aca="false">IF(J2236=1,0,Inputs!$B$13)</f>
        <v>20</v>
      </c>
      <c r="P2236" s="15" t="n">
        <f aca="false">SUM(M2236:N2236)</f>
        <v>95</v>
      </c>
      <c r="Q2236" s="15" t="n">
        <f aca="false">IF(J2236=1,"",L2236-P2236)</f>
        <v>5</v>
      </c>
      <c r="R2236" s="15" t="n">
        <f aca="false">IF(OR(J2236=1,M2236&lt;=Inputs!$B$12),1,0)</f>
        <v>1</v>
      </c>
      <c r="S2236" s="15" t="n">
        <f aca="false">IF(OR(J2236=1,N2236&lt;=O2236),1,0)</f>
        <v>1</v>
      </c>
      <c r="T2236" s="15" t="str">
        <f aca="false">IF(J2236=1,"OFFLINE",IF(AND(Q2236&gt;=Inputs!$B$15,R2236=1,S2236=1,P2236&lt;=L2236),"PASS","FAIL"))</f>
        <v>PASS</v>
      </c>
    </row>
    <row r="2237" customFormat="false" ht="15" hidden="false" customHeight="false" outlineLevel="0" collapsed="false">
      <c r="A2237" s="14" t="s">
        <v>1040</v>
      </c>
      <c r="B2237" s="14" t="s">
        <v>1038</v>
      </c>
      <c r="C2237" s="14" t="s">
        <v>157</v>
      </c>
      <c r="D2237" s="14" t="s">
        <v>188</v>
      </c>
      <c r="E2237" s="14" t="s">
        <v>172</v>
      </c>
      <c r="F2237" s="14" t="s">
        <v>183</v>
      </c>
      <c r="G2237" s="14" t="n">
        <v>3</v>
      </c>
      <c r="H2237" s="14" t="s">
        <v>158</v>
      </c>
      <c r="I2237" s="14" t="s">
        <v>897</v>
      </c>
      <c r="J2237" s="15" t="n">
        <f aca="false">IF(B2237="SITE LOSS",IF(D2237=C2237,1,0),IF(B2237="REGION LOSS",IF(E2237=C2237,1,0),0))</f>
        <v>0</v>
      </c>
      <c r="K2237" s="15" t="n">
        <f aca="false">IF(B2237="SITE LOSS",IF(COUNTIFS('Site Dockets'!$B$7:$B$24,C2237,'Site Dockets'!$C$7:$C$24,F2237)&gt;0,1,0),IF(B2237="REGION LOSS",IF(COUNTIFS('Site Dockets'!$E$7:$E$24,C2237,'Site Dockets'!$C$7:$C$24,F2237)&gt;0,1,0),0))</f>
        <v>1</v>
      </c>
      <c r="L2237" s="15" t="n">
        <f aca="false">IF(J2237=1,0,Inputs!$B$11)</f>
        <v>100</v>
      </c>
      <c r="M2237" s="15" t="n">
        <f aca="false">IF(J2237=1,0,Inputs!$B$12)</f>
        <v>75</v>
      </c>
      <c r="N2237" s="15" t="n">
        <f aca="false">IF(J2237=1,0,IF(OR(AND(OR(B2237="SITE LOSS",B2237="REGION LOSS"),K2237=1),AND(B2237="ROLE COMPROMISE",H2237=C2237)),Inputs!$B$13,Inputs!$B$14))</f>
        <v>20</v>
      </c>
      <c r="O2237" s="15" t="n">
        <f aca="false">IF(J2237=1,0,Inputs!$B$13)</f>
        <v>20</v>
      </c>
      <c r="P2237" s="15" t="n">
        <f aca="false">SUM(M2237:N2237)</f>
        <v>95</v>
      </c>
      <c r="Q2237" s="15" t="n">
        <f aca="false">IF(J2237=1,"",L2237-P2237)</f>
        <v>5</v>
      </c>
      <c r="R2237" s="15" t="n">
        <f aca="false">IF(OR(J2237=1,M2237&lt;=Inputs!$B$12),1,0)</f>
        <v>1</v>
      </c>
      <c r="S2237" s="15" t="n">
        <f aca="false">IF(OR(J2237=1,N2237&lt;=O2237),1,0)</f>
        <v>1</v>
      </c>
      <c r="T2237" s="15" t="str">
        <f aca="false">IF(J2237=1,"OFFLINE",IF(AND(Q2237&gt;=Inputs!$B$15,R2237=1,S2237=1,P2237&lt;=L2237),"PASS","FAIL"))</f>
        <v>PASS</v>
      </c>
    </row>
    <row r="2238" customFormat="false" ht="15" hidden="false" customHeight="false" outlineLevel="0" collapsed="false">
      <c r="A2238" s="14" t="s">
        <v>1040</v>
      </c>
      <c r="B2238" s="14" t="s">
        <v>1038</v>
      </c>
      <c r="C2238" s="14" t="s">
        <v>157</v>
      </c>
      <c r="D2238" s="14" t="s">
        <v>188</v>
      </c>
      <c r="E2238" s="14" t="s">
        <v>172</v>
      </c>
      <c r="F2238" s="14" t="s">
        <v>183</v>
      </c>
      <c r="G2238" s="14" t="n">
        <v>3</v>
      </c>
      <c r="H2238" s="14" t="s">
        <v>158</v>
      </c>
      <c r="I2238" s="14" t="s">
        <v>899</v>
      </c>
      <c r="J2238" s="15" t="n">
        <f aca="false">IF(B2238="SITE LOSS",IF(D2238=C2238,1,0),IF(B2238="REGION LOSS",IF(E2238=C2238,1,0),0))</f>
        <v>0</v>
      </c>
      <c r="K2238" s="15" t="n">
        <f aca="false">IF(B2238="SITE LOSS",IF(COUNTIFS('Site Dockets'!$B$7:$B$24,C2238,'Site Dockets'!$C$7:$C$24,F2238)&gt;0,1,0),IF(B2238="REGION LOSS",IF(COUNTIFS('Site Dockets'!$E$7:$E$24,C2238,'Site Dockets'!$C$7:$C$24,F2238)&gt;0,1,0),0))</f>
        <v>1</v>
      </c>
      <c r="L2238" s="15" t="n">
        <f aca="false">IF(J2238=1,0,Inputs!$B$11)</f>
        <v>100</v>
      </c>
      <c r="M2238" s="15" t="n">
        <f aca="false">IF(J2238=1,0,Inputs!$B$12)</f>
        <v>75</v>
      </c>
      <c r="N2238" s="15" t="n">
        <f aca="false">IF(J2238=1,0,IF(OR(AND(OR(B2238="SITE LOSS",B2238="REGION LOSS"),K2238=1),AND(B2238="ROLE COMPROMISE",H2238=C2238)),Inputs!$B$13,Inputs!$B$14))</f>
        <v>20</v>
      </c>
      <c r="O2238" s="15" t="n">
        <f aca="false">IF(J2238=1,0,Inputs!$B$13)</f>
        <v>20</v>
      </c>
      <c r="P2238" s="15" t="n">
        <f aca="false">SUM(M2238:N2238)</f>
        <v>95</v>
      </c>
      <c r="Q2238" s="15" t="n">
        <f aca="false">IF(J2238=1,"",L2238-P2238)</f>
        <v>5</v>
      </c>
      <c r="R2238" s="15" t="n">
        <f aca="false">IF(OR(J2238=1,M2238&lt;=Inputs!$B$12),1,0)</f>
        <v>1</v>
      </c>
      <c r="S2238" s="15" t="n">
        <f aca="false">IF(OR(J2238=1,N2238&lt;=O2238),1,0)</f>
        <v>1</v>
      </c>
      <c r="T2238" s="15" t="str">
        <f aca="false">IF(J2238=1,"OFFLINE",IF(AND(Q2238&gt;=Inputs!$B$15,R2238=1,S2238=1,P2238&lt;=L2238),"PASS","FAIL"))</f>
        <v>PASS</v>
      </c>
    </row>
    <row r="2239" customFormat="false" ht="15" hidden="false" customHeight="false" outlineLevel="0" collapsed="false">
      <c r="A2239" s="14" t="s">
        <v>1040</v>
      </c>
      <c r="B2239" s="14" t="s">
        <v>1038</v>
      </c>
      <c r="C2239" s="14" t="s">
        <v>157</v>
      </c>
      <c r="D2239" s="14" t="s">
        <v>190</v>
      </c>
      <c r="E2239" s="14" t="s">
        <v>152</v>
      </c>
      <c r="F2239" s="14" t="s">
        <v>191</v>
      </c>
      <c r="G2239" s="14" t="n">
        <v>1</v>
      </c>
      <c r="H2239" s="14" t="s">
        <v>154</v>
      </c>
      <c r="I2239" s="14" t="s">
        <v>890</v>
      </c>
      <c r="J2239" s="15" t="n">
        <f aca="false">IF(B2239="SITE LOSS",IF(D2239=C2239,1,0),IF(B2239="REGION LOSS",IF(E2239=C2239,1,0),0))</f>
        <v>0</v>
      </c>
      <c r="K2239" s="15" t="n">
        <f aca="false">IF(B2239="SITE LOSS",IF(COUNTIFS('Site Dockets'!$B$7:$B$24,C2239,'Site Dockets'!$C$7:$C$24,F2239)&gt;0,1,0),IF(B2239="REGION LOSS",IF(COUNTIFS('Site Dockets'!$E$7:$E$24,C2239,'Site Dockets'!$C$7:$C$24,F2239)&gt;0,1,0),0))</f>
        <v>0</v>
      </c>
      <c r="L2239" s="15" t="n">
        <f aca="false">IF(J2239=1,0,Inputs!$B$11)</f>
        <v>100</v>
      </c>
      <c r="M2239" s="15" t="n">
        <f aca="false">IF(J2239=1,0,Inputs!$B$12)</f>
        <v>75</v>
      </c>
      <c r="N2239" s="15" t="n">
        <f aca="false">IF(J2239=1,0,IF(OR(AND(OR(B2239="SITE LOSS",B2239="REGION LOSS"),K2239=1),AND(B2239="ROLE COMPROMISE",H2239=C2239)),Inputs!$B$13,Inputs!$B$14))</f>
        <v>10</v>
      </c>
      <c r="O2239" s="15" t="n">
        <f aca="false">IF(J2239=1,0,Inputs!$B$13)</f>
        <v>20</v>
      </c>
      <c r="P2239" s="15" t="n">
        <f aca="false">SUM(M2239:N2239)</f>
        <v>85</v>
      </c>
      <c r="Q2239" s="15" t="n">
        <f aca="false">IF(J2239=1,"",L2239-P2239)</f>
        <v>15</v>
      </c>
      <c r="R2239" s="15" t="n">
        <f aca="false">IF(OR(J2239=1,M2239&lt;=Inputs!$B$12),1,0)</f>
        <v>1</v>
      </c>
      <c r="S2239" s="15" t="n">
        <f aca="false">IF(OR(J2239=1,N2239&lt;=O2239),1,0)</f>
        <v>1</v>
      </c>
      <c r="T2239" s="15" t="str">
        <f aca="false">IF(J2239=1,"OFFLINE",IF(AND(Q2239&gt;=Inputs!$B$15,R2239=1,S2239=1,P2239&lt;=L2239),"PASS","FAIL"))</f>
        <v>PASS</v>
      </c>
    </row>
    <row r="2240" customFormat="false" ht="15" hidden="false" customHeight="false" outlineLevel="0" collapsed="false">
      <c r="A2240" s="14" t="s">
        <v>1040</v>
      </c>
      <c r="B2240" s="14" t="s">
        <v>1038</v>
      </c>
      <c r="C2240" s="14" t="s">
        <v>157</v>
      </c>
      <c r="D2240" s="14" t="s">
        <v>190</v>
      </c>
      <c r="E2240" s="14" t="s">
        <v>152</v>
      </c>
      <c r="F2240" s="14" t="s">
        <v>191</v>
      </c>
      <c r="G2240" s="14" t="n">
        <v>1</v>
      </c>
      <c r="H2240" s="14" t="s">
        <v>154</v>
      </c>
      <c r="I2240" s="14" t="s">
        <v>892</v>
      </c>
      <c r="J2240" s="15" t="n">
        <f aca="false">IF(B2240="SITE LOSS",IF(D2240=C2240,1,0),IF(B2240="REGION LOSS",IF(E2240=C2240,1,0),0))</f>
        <v>0</v>
      </c>
      <c r="K2240" s="15" t="n">
        <f aca="false">IF(B2240="SITE LOSS",IF(COUNTIFS('Site Dockets'!$B$7:$B$24,C2240,'Site Dockets'!$C$7:$C$24,F2240)&gt;0,1,0),IF(B2240="REGION LOSS",IF(COUNTIFS('Site Dockets'!$E$7:$E$24,C2240,'Site Dockets'!$C$7:$C$24,F2240)&gt;0,1,0),0))</f>
        <v>0</v>
      </c>
      <c r="L2240" s="15" t="n">
        <f aca="false">IF(J2240=1,0,Inputs!$B$11)</f>
        <v>100</v>
      </c>
      <c r="M2240" s="15" t="n">
        <f aca="false">IF(J2240=1,0,Inputs!$B$12)</f>
        <v>75</v>
      </c>
      <c r="N2240" s="15" t="n">
        <f aca="false">IF(J2240=1,0,IF(OR(AND(OR(B2240="SITE LOSS",B2240="REGION LOSS"),K2240=1),AND(B2240="ROLE COMPROMISE",H2240=C2240)),Inputs!$B$13,Inputs!$B$14))</f>
        <v>10</v>
      </c>
      <c r="O2240" s="15" t="n">
        <f aca="false">IF(J2240=1,0,Inputs!$B$13)</f>
        <v>20</v>
      </c>
      <c r="P2240" s="15" t="n">
        <f aca="false">SUM(M2240:N2240)</f>
        <v>85</v>
      </c>
      <c r="Q2240" s="15" t="n">
        <f aca="false">IF(J2240=1,"",L2240-P2240)</f>
        <v>15</v>
      </c>
      <c r="R2240" s="15" t="n">
        <f aca="false">IF(OR(J2240=1,M2240&lt;=Inputs!$B$12),1,0)</f>
        <v>1</v>
      </c>
      <c r="S2240" s="15" t="n">
        <f aca="false">IF(OR(J2240=1,N2240&lt;=O2240),1,0)</f>
        <v>1</v>
      </c>
      <c r="T2240" s="15" t="str">
        <f aca="false">IF(J2240=1,"OFFLINE",IF(AND(Q2240&gt;=Inputs!$B$15,R2240=1,S2240=1,P2240&lt;=L2240),"PASS","FAIL"))</f>
        <v>PASS</v>
      </c>
    </row>
    <row r="2241" customFormat="false" ht="15" hidden="false" customHeight="false" outlineLevel="0" collapsed="false">
      <c r="A2241" s="14" t="s">
        <v>1040</v>
      </c>
      <c r="B2241" s="14" t="s">
        <v>1038</v>
      </c>
      <c r="C2241" s="14" t="s">
        <v>157</v>
      </c>
      <c r="D2241" s="14" t="s">
        <v>190</v>
      </c>
      <c r="E2241" s="14" t="s">
        <v>152</v>
      </c>
      <c r="F2241" s="14" t="s">
        <v>191</v>
      </c>
      <c r="G2241" s="14" t="n">
        <v>1</v>
      </c>
      <c r="H2241" s="14" t="s">
        <v>154</v>
      </c>
      <c r="I2241" s="14" t="s">
        <v>811</v>
      </c>
      <c r="J2241" s="15" t="n">
        <f aca="false">IF(B2241="SITE LOSS",IF(D2241=C2241,1,0),IF(B2241="REGION LOSS",IF(E2241=C2241,1,0),0))</f>
        <v>0</v>
      </c>
      <c r="K2241" s="15" t="n">
        <f aca="false">IF(B2241="SITE LOSS",IF(COUNTIFS('Site Dockets'!$B$7:$B$24,C2241,'Site Dockets'!$C$7:$C$24,F2241)&gt;0,1,0),IF(B2241="REGION LOSS",IF(COUNTIFS('Site Dockets'!$E$7:$E$24,C2241,'Site Dockets'!$C$7:$C$24,F2241)&gt;0,1,0),0))</f>
        <v>0</v>
      </c>
      <c r="L2241" s="15" t="n">
        <f aca="false">IF(J2241=1,0,Inputs!$B$11)</f>
        <v>100</v>
      </c>
      <c r="M2241" s="15" t="n">
        <f aca="false">IF(J2241=1,0,Inputs!$B$12)</f>
        <v>75</v>
      </c>
      <c r="N2241" s="15" t="n">
        <f aca="false">IF(J2241=1,0,IF(OR(AND(OR(B2241="SITE LOSS",B2241="REGION LOSS"),K2241=1),AND(B2241="ROLE COMPROMISE",H2241=C2241)),Inputs!$B$13,Inputs!$B$14))</f>
        <v>10</v>
      </c>
      <c r="O2241" s="15" t="n">
        <f aca="false">IF(J2241=1,0,Inputs!$B$13)</f>
        <v>20</v>
      </c>
      <c r="P2241" s="15" t="n">
        <f aca="false">SUM(M2241:N2241)</f>
        <v>85</v>
      </c>
      <c r="Q2241" s="15" t="n">
        <f aca="false">IF(J2241=1,"",L2241-P2241)</f>
        <v>15</v>
      </c>
      <c r="R2241" s="15" t="n">
        <f aca="false">IF(OR(J2241=1,M2241&lt;=Inputs!$B$12),1,0)</f>
        <v>1</v>
      </c>
      <c r="S2241" s="15" t="n">
        <f aca="false">IF(OR(J2241=1,N2241&lt;=O2241),1,0)</f>
        <v>1</v>
      </c>
      <c r="T2241" s="15" t="str">
        <f aca="false">IF(J2241=1,"OFFLINE",IF(AND(Q2241&gt;=Inputs!$B$15,R2241=1,S2241=1,P2241&lt;=L2241),"PASS","FAIL"))</f>
        <v>PASS</v>
      </c>
    </row>
    <row r="2242" customFormat="false" ht="15" hidden="false" customHeight="false" outlineLevel="0" collapsed="false">
      <c r="A2242" s="14" t="s">
        <v>1040</v>
      </c>
      <c r="B2242" s="14" t="s">
        <v>1038</v>
      </c>
      <c r="C2242" s="14" t="s">
        <v>157</v>
      </c>
      <c r="D2242" s="14" t="s">
        <v>190</v>
      </c>
      <c r="E2242" s="14" t="s">
        <v>152</v>
      </c>
      <c r="F2242" s="14" t="s">
        <v>191</v>
      </c>
      <c r="G2242" s="14" t="n">
        <v>1</v>
      </c>
      <c r="H2242" s="14" t="s">
        <v>154</v>
      </c>
      <c r="I2242" s="14" t="s">
        <v>895</v>
      </c>
      <c r="J2242" s="15" t="n">
        <f aca="false">IF(B2242="SITE LOSS",IF(D2242=C2242,1,0),IF(B2242="REGION LOSS",IF(E2242=C2242,1,0),0))</f>
        <v>0</v>
      </c>
      <c r="K2242" s="15" t="n">
        <f aca="false">IF(B2242="SITE LOSS",IF(COUNTIFS('Site Dockets'!$B$7:$B$24,C2242,'Site Dockets'!$C$7:$C$24,F2242)&gt;0,1,0),IF(B2242="REGION LOSS",IF(COUNTIFS('Site Dockets'!$E$7:$E$24,C2242,'Site Dockets'!$C$7:$C$24,F2242)&gt;0,1,0),0))</f>
        <v>0</v>
      </c>
      <c r="L2242" s="15" t="n">
        <f aca="false">IF(J2242=1,0,Inputs!$B$11)</f>
        <v>100</v>
      </c>
      <c r="M2242" s="15" t="n">
        <f aca="false">IF(J2242=1,0,Inputs!$B$12)</f>
        <v>75</v>
      </c>
      <c r="N2242" s="15" t="n">
        <f aca="false">IF(J2242=1,0,IF(OR(AND(OR(B2242="SITE LOSS",B2242="REGION LOSS"),K2242=1),AND(B2242="ROLE COMPROMISE",H2242=C2242)),Inputs!$B$13,Inputs!$B$14))</f>
        <v>10</v>
      </c>
      <c r="O2242" s="15" t="n">
        <f aca="false">IF(J2242=1,0,Inputs!$B$13)</f>
        <v>20</v>
      </c>
      <c r="P2242" s="15" t="n">
        <f aca="false">SUM(M2242:N2242)</f>
        <v>85</v>
      </c>
      <c r="Q2242" s="15" t="n">
        <f aca="false">IF(J2242=1,"",L2242-P2242)</f>
        <v>15</v>
      </c>
      <c r="R2242" s="15" t="n">
        <f aca="false">IF(OR(J2242=1,M2242&lt;=Inputs!$B$12),1,0)</f>
        <v>1</v>
      </c>
      <c r="S2242" s="15" t="n">
        <f aca="false">IF(OR(J2242=1,N2242&lt;=O2242),1,0)</f>
        <v>1</v>
      </c>
      <c r="T2242" s="15" t="str">
        <f aca="false">IF(J2242=1,"OFFLINE",IF(AND(Q2242&gt;=Inputs!$B$15,R2242=1,S2242=1,P2242&lt;=L2242),"PASS","FAIL"))</f>
        <v>PASS</v>
      </c>
    </row>
    <row r="2243" customFormat="false" ht="15" hidden="false" customHeight="false" outlineLevel="0" collapsed="false">
      <c r="A2243" s="14" t="s">
        <v>1040</v>
      </c>
      <c r="B2243" s="14" t="s">
        <v>1038</v>
      </c>
      <c r="C2243" s="14" t="s">
        <v>157</v>
      </c>
      <c r="D2243" s="14" t="s">
        <v>190</v>
      </c>
      <c r="E2243" s="14" t="s">
        <v>152</v>
      </c>
      <c r="F2243" s="14" t="s">
        <v>191</v>
      </c>
      <c r="G2243" s="14" t="n">
        <v>1</v>
      </c>
      <c r="H2243" s="14" t="s">
        <v>154</v>
      </c>
      <c r="I2243" s="14" t="s">
        <v>897</v>
      </c>
      <c r="J2243" s="15" t="n">
        <f aca="false">IF(B2243="SITE LOSS",IF(D2243=C2243,1,0),IF(B2243="REGION LOSS",IF(E2243=C2243,1,0),0))</f>
        <v>0</v>
      </c>
      <c r="K2243" s="15" t="n">
        <f aca="false">IF(B2243="SITE LOSS",IF(COUNTIFS('Site Dockets'!$B$7:$B$24,C2243,'Site Dockets'!$C$7:$C$24,F2243)&gt;0,1,0),IF(B2243="REGION LOSS",IF(COUNTIFS('Site Dockets'!$E$7:$E$24,C2243,'Site Dockets'!$C$7:$C$24,F2243)&gt;0,1,0),0))</f>
        <v>0</v>
      </c>
      <c r="L2243" s="15" t="n">
        <f aca="false">IF(J2243=1,0,Inputs!$B$11)</f>
        <v>100</v>
      </c>
      <c r="M2243" s="15" t="n">
        <f aca="false">IF(J2243=1,0,Inputs!$B$12)</f>
        <v>75</v>
      </c>
      <c r="N2243" s="15" t="n">
        <f aca="false">IF(J2243=1,0,IF(OR(AND(OR(B2243="SITE LOSS",B2243="REGION LOSS"),K2243=1),AND(B2243="ROLE COMPROMISE",H2243=C2243)),Inputs!$B$13,Inputs!$B$14))</f>
        <v>10</v>
      </c>
      <c r="O2243" s="15" t="n">
        <f aca="false">IF(J2243=1,0,Inputs!$B$13)</f>
        <v>20</v>
      </c>
      <c r="P2243" s="15" t="n">
        <f aca="false">SUM(M2243:N2243)</f>
        <v>85</v>
      </c>
      <c r="Q2243" s="15" t="n">
        <f aca="false">IF(J2243=1,"",L2243-P2243)</f>
        <v>15</v>
      </c>
      <c r="R2243" s="15" t="n">
        <f aca="false">IF(OR(J2243=1,M2243&lt;=Inputs!$B$12),1,0)</f>
        <v>1</v>
      </c>
      <c r="S2243" s="15" t="n">
        <f aca="false">IF(OR(J2243=1,N2243&lt;=O2243),1,0)</f>
        <v>1</v>
      </c>
      <c r="T2243" s="15" t="str">
        <f aca="false">IF(J2243=1,"OFFLINE",IF(AND(Q2243&gt;=Inputs!$B$15,R2243=1,S2243=1,P2243&lt;=L2243),"PASS","FAIL"))</f>
        <v>PASS</v>
      </c>
    </row>
    <row r="2244" customFormat="false" ht="15" hidden="false" customHeight="false" outlineLevel="0" collapsed="false">
      <c r="A2244" s="14" t="s">
        <v>1040</v>
      </c>
      <c r="B2244" s="14" t="s">
        <v>1038</v>
      </c>
      <c r="C2244" s="14" t="s">
        <v>157</v>
      </c>
      <c r="D2244" s="14" t="s">
        <v>190</v>
      </c>
      <c r="E2244" s="14" t="s">
        <v>152</v>
      </c>
      <c r="F2244" s="14" t="s">
        <v>191</v>
      </c>
      <c r="G2244" s="14" t="n">
        <v>1</v>
      </c>
      <c r="H2244" s="14" t="s">
        <v>154</v>
      </c>
      <c r="I2244" s="14" t="s">
        <v>899</v>
      </c>
      <c r="J2244" s="15" t="n">
        <f aca="false">IF(B2244="SITE LOSS",IF(D2244=C2244,1,0),IF(B2244="REGION LOSS",IF(E2244=C2244,1,0),0))</f>
        <v>0</v>
      </c>
      <c r="K2244" s="15" t="n">
        <f aca="false">IF(B2244="SITE LOSS",IF(COUNTIFS('Site Dockets'!$B$7:$B$24,C2244,'Site Dockets'!$C$7:$C$24,F2244)&gt;0,1,0),IF(B2244="REGION LOSS",IF(COUNTIFS('Site Dockets'!$E$7:$E$24,C2244,'Site Dockets'!$C$7:$C$24,F2244)&gt;0,1,0),0))</f>
        <v>0</v>
      </c>
      <c r="L2244" s="15" t="n">
        <f aca="false">IF(J2244=1,0,Inputs!$B$11)</f>
        <v>100</v>
      </c>
      <c r="M2244" s="15" t="n">
        <f aca="false">IF(J2244=1,0,Inputs!$B$12)</f>
        <v>75</v>
      </c>
      <c r="N2244" s="15" t="n">
        <f aca="false">IF(J2244=1,0,IF(OR(AND(OR(B2244="SITE LOSS",B2244="REGION LOSS"),K2244=1),AND(B2244="ROLE COMPROMISE",H2244=C2244)),Inputs!$B$13,Inputs!$B$14))</f>
        <v>10</v>
      </c>
      <c r="O2244" s="15" t="n">
        <f aca="false">IF(J2244=1,0,Inputs!$B$13)</f>
        <v>20</v>
      </c>
      <c r="P2244" s="15" t="n">
        <f aca="false">SUM(M2244:N2244)</f>
        <v>85</v>
      </c>
      <c r="Q2244" s="15" t="n">
        <f aca="false">IF(J2244=1,"",L2244-P2244)</f>
        <v>15</v>
      </c>
      <c r="R2244" s="15" t="n">
        <f aca="false">IF(OR(J2244=1,M2244&lt;=Inputs!$B$12),1,0)</f>
        <v>1</v>
      </c>
      <c r="S2244" s="15" t="n">
        <f aca="false">IF(OR(J2244=1,N2244&lt;=O2244),1,0)</f>
        <v>1</v>
      </c>
      <c r="T2244" s="15" t="str">
        <f aca="false">IF(J2244=1,"OFFLINE",IF(AND(Q2244&gt;=Inputs!$B$15,R2244=1,S2244=1,P2244&lt;=L2244),"PASS","FAIL"))</f>
        <v>PASS</v>
      </c>
    </row>
    <row r="2245" customFormat="false" ht="15" hidden="false" customHeight="false" outlineLevel="0" collapsed="false">
      <c r="A2245" s="14" t="s">
        <v>1040</v>
      </c>
      <c r="B2245" s="14" t="s">
        <v>1038</v>
      </c>
      <c r="C2245" s="14" t="s">
        <v>157</v>
      </c>
      <c r="D2245" s="14" t="s">
        <v>194</v>
      </c>
      <c r="E2245" s="14" t="s">
        <v>169</v>
      </c>
      <c r="F2245" s="14" t="s">
        <v>191</v>
      </c>
      <c r="G2245" s="14" t="n">
        <v>2</v>
      </c>
      <c r="H2245" s="14" t="s">
        <v>153</v>
      </c>
      <c r="I2245" s="14" t="s">
        <v>890</v>
      </c>
      <c r="J2245" s="15" t="n">
        <f aca="false">IF(B2245="SITE LOSS",IF(D2245=C2245,1,0),IF(B2245="REGION LOSS",IF(E2245=C2245,1,0),0))</f>
        <v>0</v>
      </c>
      <c r="K2245" s="15" t="n">
        <f aca="false">IF(B2245="SITE LOSS",IF(COUNTIFS('Site Dockets'!$B$7:$B$24,C2245,'Site Dockets'!$C$7:$C$24,F2245)&gt;0,1,0),IF(B2245="REGION LOSS",IF(COUNTIFS('Site Dockets'!$E$7:$E$24,C2245,'Site Dockets'!$C$7:$C$24,F2245)&gt;0,1,0),0))</f>
        <v>0</v>
      </c>
      <c r="L2245" s="15" t="n">
        <f aca="false">IF(J2245=1,0,Inputs!$B$11)</f>
        <v>100</v>
      </c>
      <c r="M2245" s="15" t="n">
        <f aca="false">IF(J2245=1,0,Inputs!$B$12)</f>
        <v>75</v>
      </c>
      <c r="N2245" s="15" t="n">
        <f aca="false">IF(J2245=1,0,IF(OR(AND(OR(B2245="SITE LOSS",B2245="REGION LOSS"),K2245=1),AND(B2245="ROLE COMPROMISE",H2245=C2245)),Inputs!$B$13,Inputs!$B$14))</f>
        <v>10</v>
      </c>
      <c r="O2245" s="15" t="n">
        <f aca="false">IF(J2245=1,0,Inputs!$B$13)</f>
        <v>20</v>
      </c>
      <c r="P2245" s="15" t="n">
        <f aca="false">SUM(M2245:N2245)</f>
        <v>85</v>
      </c>
      <c r="Q2245" s="15" t="n">
        <f aca="false">IF(J2245=1,"",L2245-P2245)</f>
        <v>15</v>
      </c>
      <c r="R2245" s="15" t="n">
        <f aca="false">IF(OR(J2245=1,M2245&lt;=Inputs!$B$12),1,0)</f>
        <v>1</v>
      </c>
      <c r="S2245" s="15" t="n">
        <f aca="false">IF(OR(J2245=1,N2245&lt;=O2245),1,0)</f>
        <v>1</v>
      </c>
      <c r="T2245" s="15" t="str">
        <f aca="false">IF(J2245=1,"OFFLINE",IF(AND(Q2245&gt;=Inputs!$B$15,R2245=1,S2245=1,P2245&lt;=L2245),"PASS","FAIL"))</f>
        <v>PASS</v>
      </c>
    </row>
    <row r="2246" customFormat="false" ht="15" hidden="false" customHeight="false" outlineLevel="0" collapsed="false">
      <c r="A2246" s="14" t="s">
        <v>1040</v>
      </c>
      <c r="B2246" s="14" t="s">
        <v>1038</v>
      </c>
      <c r="C2246" s="14" t="s">
        <v>157</v>
      </c>
      <c r="D2246" s="14" t="s">
        <v>194</v>
      </c>
      <c r="E2246" s="14" t="s">
        <v>169</v>
      </c>
      <c r="F2246" s="14" t="s">
        <v>191</v>
      </c>
      <c r="G2246" s="14" t="n">
        <v>2</v>
      </c>
      <c r="H2246" s="14" t="s">
        <v>153</v>
      </c>
      <c r="I2246" s="14" t="s">
        <v>892</v>
      </c>
      <c r="J2246" s="15" t="n">
        <f aca="false">IF(B2246="SITE LOSS",IF(D2246=C2246,1,0),IF(B2246="REGION LOSS",IF(E2246=C2246,1,0),0))</f>
        <v>0</v>
      </c>
      <c r="K2246" s="15" t="n">
        <f aca="false">IF(B2246="SITE LOSS",IF(COUNTIFS('Site Dockets'!$B$7:$B$24,C2246,'Site Dockets'!$C$7:$C$24,F2246)&gt;0,1,0),IF(B2246="REGION LOSS",IF(COUNTIFS('Site Dockets'!$E$7:$E$24,C2246,'Site Dockets'!$C$7:$C$24,F2246)&gt;0,1,0),0))</f>
        <v>0</v>
      </c>
      <c r="L2246" s="15" t="n">
        <f aca="false">IF(J2246=1,0,Inputs!$B$11)</f>
        <v>100</v>
      </c>
      <c r="M2246" s="15" t="n">
        <f aca="false">IF(J2246=1,0,Inputs!$B$12)</f>
        <v>75</v>
      </c>
      <c r="N2246" s="15" t="n">
        <f aca="false">IF(J2246=1,0,IF(OR(AND(OR(B2246="SITE LOSS",B2246="REGION LOSS"),K2246=1),AND(B2246="ROLE COMPROMISE",H2246=C2246)),Inputs!$B$13,Inputs!$B$14))</f>
        <v>10</v>
      </c>
      <c r="O2246" s="15" t="n">
        <f aca="false">IF(J2246=1,0,Inputs!$B$13)</f>
        <v>20</v>
      </c>
      <c r="P2246" s="15" t="n">
        <f aca="false">SUM(M2246:N2246)</f>
        <v>85</v>
      </c>
      <c r="Q2246" s="15" t="n">
        <f aca="false">IF(J2246=1,"",L2246-P2246)</f>
        <v>15</v>
      </c>
      <c r="R2246" s="15" t="n">
        <f aca="false">IF(OR(J2246=1,M2246&lt;=Inputs!$B$12),1,0)</f>
        <v>1</v>
      </c>
      <c r="S2246" s="15" t="n">
        <f aca="false">IF(OR(J2246=1,N2246&lt;=O2246),1,0)</f>
        <v>1</v>
      </c>
      <c r="T2246" s="15" t="str">
        <f aca="false">IF(J2246=1,"OFFLINE",IF(AND(Q2246&gt;=Inputs!$B$15,R2246=1,S2246=1,P2246&lt;=L2246),"PASS","FAIL"))</f>
        <v>PASS</v>
      </c>
    </row>
    <row r="2247" customFormat="false" ht="15" hidden="false" customHeight="false" outlineLevel="0" collapsed="false">
      <c r="A2247" s="14" t="s">
        <v>1040</v>
      </c>
      <c r="B2247" s="14" t="s">
        <v>1038</v>
      </c>
      <c r="C2247" s="14" t="s">
        <v>157</v>
      </c>
      <c r="D2247" s="14" t="s">
        <v>194</v>
      </c>
      <c r="E2247" s="14" t="s">
        <v>169</v>
      </c>
      <c r="F2247" s="14" t="s">
        <v>191</v>
      </c>
      <c r="G2247" s="14" t="n">
        <v>2</v>
      </c>
      <c r="H2247" s="14" t="s">
        <v>153</v>
      </c>
      <c r="I2247" s="14" t="s">
        <v>811</v>
      </c>
      <c r="J2247" s="15" t="n">
        <f aca="false">IF(B2247="SITE LOSS",IF(D2247=C2247,1,0),IF(B2247="REGION LOSS",IF(E2247=C2247,1,0),0))</f>
        <v>0</v>
      </c>
      <c r="K2247" s="15" t="n">
        <f aca="false">IF(B2247="SITE LOSS",IF(COUNTIFS('Site Dockets'!$B$7:$B$24,C2247,'Site Dockets'!$C$7:$C$24,F2247)&gt;0,1,0),IF(B2247="REGION LOSS",IF(COUNTIFS('Site Dockets'!$E$7:$E$24,C2247,'Site Dockets'!$C$7:$C$24,F2247)&gt;0,1,0),0))</f>
        <v>0</v>
      </c>
      <c r="L2247" s="15" t="n">
        <f aca="false">IF(J2247=1,0,Inputs!$B$11)</f>
        <v>100</v>
      </c>
      <c r="M2247" s="15" t="n">
        <f aca="false">IF(J2247=1,0,Inputs!$B$12)</f>
        <v>75</v>
      </c>
      <c r="N2247" s="15" t="n">
        <f aca="false">IF(J2247=1,0,IF(OR(AND(OR(B2247="SITE LOSS",B2247="REGION LOSS"),K2247=1),AND(B2247="ROLE COMPROMISE",H2247=C2247)),Inputs!$B$13,Inputs!$B$14))</f>
        <v>10</v>
      </c>
      <c r="O2247" s="15" t="n">
        <f aca="false">IF(J2247=1,0,Inputs!$B$13)</f>
        <v>20</v>
      </c>
      <c r="P2247" s="15" t="n">
        <f aca="false">SUM(M2247:N2247)</f>
        <v>85</v>
      </c>
      <c r="Q2247" s="15" t="n">
        <f aca="false">IF(J2247=1,"",L2247-P2247)</f>
        <v>15</v>
      </c>
      <c r="R2247" s="15" t="n">
        <f aca="false">IF(OR(J2247=1,M2247&lt;=Inputs!$B$12),1,0)</f>
        <v>1</v>
      </c>
      <c r="S2247" s="15" t="n">
        <f aca="false">IF(OR(J2247=1,N2247&lt;=O2247),1,0)</f>
        <v>1</v>
      </c>
      <c r="T2247" s="15" t="str">
        <f aca="false">IF(J2247=1,"OFFLINE",IF(AND(Q2247&gt;=Inputs!$B$15,R2247=1,S2247=1,P2247&lt;=L2247),"PASS","FAIL"))</f>
        <v>PASS</v>
      </c>
    </row>
    <row r="2248" customFormat="false" ht="15" hidden="false" customHeight="false" outlineLevel="0" collapsed="false">
      <c r="A2248" s="14" t="s">
        <v>1040</v>
      </c>
      <c r="B2248" s="14" t="s">
        <v>1038</v>
      </c>
      <c r="C2248" s="14" t="s">
        <v>157</v>
      </c>
      <c r="D2248" s="14" t="s">
        <v>194</v>
      </c>
      <c r="E2248" s="14" t="s">
        <v>169</v>
      </c>
      <c r="F2248" s="14" t="s">
        <v>191</v>
      </c>
      <c r="G2248" s="14" t="n">
        <v>2</v>
      </c>
      <c r="H2248" s="14" t="s">
        <v>153</v>
      </c>
      <c r="I2248" s="14" t="s">
        <v>895</v>
      </c>
      <c r="J2248" s="15" t="n">
        <f aca="false">IF(B2248="SITE LOSS",IF(D2248=C2248,1,0),IF(B2248="REGION LOSS",IF(E2248=C2248,1,0),0))</f>
        <v>0</v>
      </c>
      <c r="K2248" s="15" t="n">
        <f aca="false">IF(B2248="SITE LOSS",IF(COUNTIFS('Site Dockets'!$B$7:$B$24,C2248,'Site Dockets'!$C$7:$C$24,F2248)&gt;0,1,0),IF(B2248="REGION LOSS",IF(COUNTIFS('Site Dockets'!$E$7:$E$24,C2248,'Site Dockets'!$C$7:$C$24,F2248)&gt;0,1,0),0))</f>
        <v>0</v>
      </c>
      <c r="L2248" s="15" t="n">
        <f aca="false">IF(J2248=1,0,Inputs!$B$11)</f>
        <v>100</v>
      </c>
      <c r="M2248" s="15" t="n">
        <f aca="false">IF(J2248=1,0,Inputs!$B$12)</f>
        <v>75</v>
      </c>
      <c r="N2248" s="15" t="n">
        <f aca="false">IF(J2248=1,0,IF(OR(AND(OR(B2248="SITE LOSS",B2248="REGION LOSS"),K2248=1),AND(B2248="ROLE COMPROMISE",H2248=C2248)),Inputs!$B$13,Inputs!$B$14))</f>
        <v>10</v>
      </c>
      <c r="O2248" s="15" t="n">
        <f aca="false">IF(J2248=1,0,Inputs!$B$13)</f>
        <v>20</v>
      </c>
      <c r="P2248" s="15" t="n">
        <f aca="false">SUM(M2248:N2248)</f>
        <v>85</v>
      </c>
      <c r="Q2248" s="15" t="n">
        <f aca="false">IF(J2248=1,"",L2248-P2248)</f>
        <v>15</v>
      </c>
      <c r="R2248" s="15" t="n">
        <f aca="false">IF(OR(J2248=1,M2248&lt;=Inputs!$B$12),1,0)</f>
        <v>1</v>
      </c>
      <c r="S2248" s="15" t="n">
        <f aca="false">IF(OR(J2248=1,N2248&lt;=O2248),1,0)</f>
        <v>1</v>
      </c>
      <c r="T2248" s="15" t="str">
        <f aca="false">IF(J2248=1,"OFFLINE",IF(AND(Q2248&gt;=Inputs!$B$15,R2248=1,S2248=1,P2248&lt;=L2248),"PASS","FAIL"))</f>
        <v>PASS</v>
      </c>
    </row>
    <row r="2249" customFormat="false" ht="15" hidden="false" customHeight="false" outlineLevel="0" collapsed="false">
      <c r="A2249" s="14" t="s">
        <v>1040</v>
      </c>
      <c r="B2249" s="14" t="s">
        <v>1038</v>
      </c>
      <c r="C2249" s="14" t="s">
        <v>157</v>
      </c>
      <c r="D2249" s="14" t="s">
        <v>194</v>
      </c>
      <c r="E2249" s="14" t="s">
        <v>169</v>
      </c>
      <c r="F2249" s="14" t="s">
        <v>191</v>
      </c>
      <c r="G2249" s="14" t="n">
        <v>2</v>
      </c>
      <c r="H2249" s="14" t="s">
        <v>153</v>
      </c>
      <c r="I2249" s="14" t="s">
        <v>897</v>
      </c>
      <c r="J2249" s="15" t="n">
        <f aca="false">IF(B2249="SITE LOSS",IF(D2249=C2249,1,0),IF(B2249="REGION LOSS",IF(E2249=C2249,1,0),0))</f>
        <v>0</v>
      </c>
      <c r="K2249" s="15" t="n">
        <f aca="false">IF(B2249="SITE LOSS",IF(COUNTIFS('Site Dockets'!$B$7:$B$24,C2249,'Site Dockets'!$C$7:$C$24,F2249)&gt;0,1,0),IF(B2249="REGION LOSS",IF(COUNTIFS('Site Dockets'!$E$7:$E$24,C2249,'Site Dockets'!$C$7:$C$24,F2249)&gt;0,1,0),0))</f>
        <v>0</v>
      </c>
      <c r="L2249" s="15" t="n">
        <f aca="false">IF(J2249=1,0,Inputs!$B$11)</f>
        <v>100</v>
      </c>
      <c r="M2249" s="15" t="n">
        <f aca="false">IF(J2249=1,0,Inputs!$B$12)</f>
        <v>75</v>
      </c>
      <c r="N2249" s="15" t="n">
        <f aca="false">IF(J2249=1,0,IF(OR(AND(OR(B2249="SITE LOSS",B2249="REGION LOSS"),K2249=1),AND(B2249="ROLE COMPROMISE",H2249=C2249)),Inputs!$B$13,Inputs!$B$14))</f>
        <v>10</v>
      </c>
      <c r="O2249" s="15" t="n">
        <f aca="false">IF(J2249=1,0,Inputs!$B$13)</f>
        <v>20</v>
      </c>
      <c r="P2249" s="15" t="n">
        <f aca="false">SUM(M2249:N2249)</f>
        <v>85</v>
      </c>
      <c r="Q2249" s="15" t="n">
        <f aca="false">IF(J2249=1,"",L2249-P2249)</f>
        <v>15</v>
      </c>
      <c r="R2249" s="15" t="n">
        <f aca="false">IF(OR(J2249=1,M2249&lt;=Inputs!$B$12),1,0)</f>
        <v>1</v>
      </c>
      <c r="S2249" s="15" t="n">
        <f aca="false">IF(OR(J2249=1,N2249&lt;=O2249),1,0)</f>
        <v>1</v>
      </c>
      <c r="T2249" s="15" t="str">
        <f aca="false">IF(J2249=1,"OFFLINE",IF(AND(Q2249&gt;=Inputs!$B$15,R2249=1,S2249=1,P2249&lt;=L2249),"PASS","FAIL"))</f>
        <v>PASS</v>
      </c>
    </row>
    <row r="2250" customFormat="false" ht="15" hidden="false" customHeight="false" outlineLevel="0" collapsed="false">
      <c r="A2250" s="14" t="s">
        <v>1040</v>
      </c>
      <c r="B2250" s="14" t="s">
        <v>1038</v>
      </c>
      <c r="C2250" s="14" t="s">
        <v>157</v>
      </c>
      <c r="D2250" s="14" t="s">
        <v>194</v>
      </c>
      <c r="E2250" s="14" t="s">
        <v>169</v>
      </c>
      <c r="F2250" s="14" t="s">
        <v>191</v>
      </c>
      <c r="G2250" s="14" t="n">
        <v>2</v>
      </c>
      <c r="H2250" s="14" t="s">
        <v>153</v>
      </c>
      <c r="I2250" s="14" t="s">
        <v>899</v>
      </c>
      <c r="J2250" s="15" t="n">
        <f aca="false">IF(B2250="SITE LOSS",IF(D2250=C2250,1,0),IF(B2250="REGION LOSS",IF(E2250=C2250,1,0),0))</f>
        <v>0</v>
      </c>
      <c r="K2250" s="15" t="n">
        <f aca="false">IF(B2250="SITE LOSS",IF(COUNTIFS('Site Dockets'!$B$7:$B$24,C2250,'Site Dockets'!$C$7:$C$24,F2250)&gt;0,1,0),IF(B2250="REGION LOSS",IF(COUNTIFS('Site Dockets'!$E$7:$E$24,C2250,'Site Dockets'!$C$7:$C$24,F2250)&gt;0,1,0),0))</f>
        <v>0</v>
      </c>
      <c r="L2250" s="15" t="n">
        <f aca="false">IF(J2250=1,0,Inputs!$B$11)</f>
        <v>100</v>
      </c>
      <c r="M2250" s="15" t="n">
        <f aca="false">IF(J2250=1,0,Inputs!$B$12)</f>
        <v>75</v>
      </c>
      <c r="N2250" s="15" t="n">
        <f aca="false">IF(J2250=1,0,IF(OR(AND(OR(B2250="SITE LOSS",B2250="REGION LOSS"),K2250=1),AND(B2250="ROLE COMPROMISE",H2250=C2250)),Inputs!$B$13,Inputs!$B$14))</f>
        <v>10</v>
      </c>
      <c r="O2250" s="15" t="n">
        <f aca="false">IF(J2250=1,0,Inputs!$B$13)</f>
        <v>20</v>
      </c>
      <c r="P2250" s="15" t="n">
        <f aca="false">SUM(M2250:N2250)</f>
        <v>85</v>
      </c>
      <c r="Q2250" s="15" t="n">
        <f aca="false">IF(J2250=1,"",L2250-P2250)</f>
        <v>15</v>
      </c>
      <c r="R2250" s="15" t="n">
        <f aca="false">IF(OR(J2250=1,M2250&lt;=Inputs!$B$12),1,0)</f>
        <v>1</v>
      </c>
      <c r="S2250" s="15" t="n">
        <f aca="false">IF(OR(J2250=1,N2250&lt;=O2250),1,0)</f>
        <v>1</v>
      </c>
      <c r="T2250" s="15" t="str">
        <f aca="false">IF(J2250=1,"OFFLINE",IF(AND(Q2250&gt;=Inputs!$B$15,R2250=1,S2250=1,P2250&lt;=L2250),"PASS","FAIL"))</f>
        <v>PASS</v>
      </c>
    </row>
    <row r="2251" customFormat="false" ht="15" hidden="false" customHeight="false" outlineLevel="0" collapsed="false">
      <c r="A2251" s="14" t="s">
        <v>1040</v>
      </c>
      <c r="B2251" s="14" t="s">
        <v>1038</v>
      </c>
      <c r="C2251" s="14" t="s">
        <v>157</v>
      </c>
      <c r="D2251" s="14" t="s">
        <v>196</v>
      </c>
      <c r="E2251" s="14" t="s">
        <v>172</v>
      </c>
      <c r="F2251" s="14" t="s">
        <v>191</v>
      </c>
      <c r="G2251" s="14" t="n">
        <v>3</v>
      </c>
      <c r="H2251" s="14" t="s">
        <v>158</v>
      </c>
      <c r="I2251" s="14" t="s">
        <v>890</v>
      </c>
      <c r="J2251" s="15" t="n">
        <f aca="false">IF(B2251="SITE LOSS",IF(D2251=C2251,1,0),IF(B2251="REGION LOSS",IF(E2251=C2251,1,0),0))</f>
        <v>0</v>
      </c>
      <c r="K2251" s="15" t="n">
        <f aca="false">IF(B2251="SITE LOSS",IF(COUNTIFS('Site Dockets'!$B$7:$B$24,C2251,'Site Dockets'!$C$7:$C$24,F2251)&gt;0,1,0),IF(B2251="REGION LOSS",IF(COUNTIFS('Site Dockets'!$E$7:$E$24,C2251,'Site Dockets'!$C$7:$C$24,F2251)&gt;0,1,0),0))</f>
        <v>0</v>
      </c>
      <c r="L2251" s="15" t="n">
        <f aca="false">IF(J2251=1,0,Inputs!$B$11)</f>
        <v>100</v>
      </c>
      <c r="M2251" s="15" t="n">
        <f aca="false">IF(J2251=1,0,Inputs!$B$12)</f>
        <v>75</v>
      </c>
      <c r="N2251" s="15" t="n">
        <f aca="false">IF(J2251=1,0,IF(OR(AND(OR(B2251="SITE LOSS",B2251="REGION LOSS"),K2251=1),AND(B2251="ROLE COMPROMISE",H2251=C2251)),Inputs!$B$13,Inputs!$B$14))</f>
        <v>10</v>
      </c>
      <c r="O2251" s="15" t="n">
        <f aca="false">IF(J2251=1,0,Inputs!$B$13)</f>
        <v>20</v>
      </c>
      <c r="P2251" s="15" t="n">
        <f aca="false">SUM(M2251:N2251)</f>
        <v>85</v>
      </c>
      <c r="Q2251" s="15" t="n">
        <f aca="false">IF(J2251=1,"",L2251-P2251)</f>
        <v>15</v>
      </c>
      <c r="R2251" s="15" t="n">
        <f aca="false">IF(OR(J2251=1,M2251&lt;=Inputs!$B$12),1,0)</f>
        <v>1</v>
      </c>
      <c r="S2251" s="15" t="n">
        <f aca="false">IF(OR(J2251=1,N2251&lt;=O2251),1,0)</f>
        <v>1</v>
      </c>
      <c r="T2251" s="15" t="str">
        <f aca="false">IF(J2251=1,"OFFLINE",IF(AND(Q2251&gt;=Inputs!$B$15,R2251=1,S2251=1,P2251&lt;=L2251),"PASS","FAIL"))</f>
        <v>PASS</v>
      </c>
    </row>
    <row r="2252" customFormat="false" ht="15" hidden="false" customHeight="false" outlineLevel="0" collapsed="false">
      <c r="A2252" s="14" t="s">
        <v>1040</v>
      </c>
      <c r="B2252" s="14" t="s">
        <v>1038</v>
      </c>
      <c r="C2252" s="14" t="s">
        <v>157</v>
      </c>
      <c r="D2252" s="14" t="s">
        <v>196</v>
      </c>
      <c r="E2252" s="14" t="s">
        <v>172</v>
      </c>
      <c r="F2252" s="14" t="s">
        <v>191</v>
      </c>
      <c r="G2252" s="14" t="n">
        <v>3</v>
      </c>
      <c r="H2252" s="14" t="s">
        <v>158</v>
      </c>
      <c r="I2252" s="14" t="s">
        <v>892</v>
      </c>
      <c r="J2252" s="15" t="n">
        <f aca="false">IF(B2252="SITE LOSS",IF(D2252=C2252,1,0),IF(B2252="REGION LOSS",IF(E2252=C2252,1,0),0))</f>
        <v>0</v>
      </c>
      <c r="K2252" s="15" t="n">
        <f aca="false">IF(B2252="SITE LOSS",IF(COUNTIFS('Site Dockets'!$B$7:$B$24,C2252,'Site Dockets'!$C$7:$C$24,F2252)&gt;0,1,0),IF(B2252="REGION LOSS",IF(COUNTIFS('Site Dockets'!$E$7:$E$24,C2252,'Site Dockets'!$C$7:$C$24,F2252)&gt;0,1,0),0))</f>
        <v>0</v>
      </c>
      <c r="L2252" s="15" t="n">
        <f aca="false">IF(J2252=1,0,Inputs!$B$11)</f>
        <v>100</v>
      </c>
      <c r="M2252" s="15" t="n">
        <f aca="false">IF(J2252=1,0,Inputs!$B$12)</f>
        <v>75</v>
      </c>
      <c r="N2252" s="15" t="n">
        <f aca="false">IF(J2252=1,0,IF(OR(AND(OR(B2252="SITE LOSS",B2252="REGION LOSS"),K2252=1),AND(B2252="ROLE COMPROMISE",H2252=C2252)),Inputs!$B$13,Inputs!$B$14))</f>
        <v>10</v>
      </c>
      <c r="O2252" s="15" t="n">
        <f aca="false">IF(J2252=1,0,Inputs!$B$13)</f>
        <v>20</v>
      </c>
      <c r="P2252" s="15" t="n">
        <f aca="false">SUM(M2252:N2252)</f>
        <v>85</v>
      </c>
      <c r="Q2252" s="15" t="n">
        <f aca="false">IF(J2252=1,"",L2252-P2252)</f>
        <v>15</v>
      </c>
      <c r="R2252" s="15" t="n">
        <f aca="false">IF(OR(J2252=1,M2252&lt;=Inputs!$B$12),1,0)</f>
        <v>1</v>
      </c>
      <c r="S2252" s="15" t="n">
        <f aca="false">IF(OR(J2252=1,N2252&lt;=O2252),1,0)</f>
        <v>1</v>
      </c>
      <c r="T2252" s="15" t="str">
        <f aca="false">IF(J2252=1,"OFFLINE",IF(AND(Q2252&gt;=Inputs!$B$15,R2252=1,S2252=1,P2252&lt;=L2252),"PASS","FAIL"))</f>
        <v>PASS</v>
      </c>
    </row>
    <row r="2253" customFormat="false" ht="15" hidden="false" customHeight="false" outlineLevel="0" collapsed="false">
      <c r="A2253" s="14" t="s">
        <v>1040</v>
      </c>
      <c r="B2253" s="14" t="s">
        <v>1038</v>
      </c>
      <c r="C2253" s="14" t="s">
        <v>157</v>
      </c>
      <c r="D2253" s="14" t="s">
        <v>196</v>
      </c>
      <c r="E2253" s="14" t="s">
        <v>172</v>
      </c>
      <c r="F2253" s="14" t="s">
        <v>191</v>
      </c>
      <c r="G2253" s="14" t="n">
        <v>3</v>
      </c>
      <c r="H2253" s="14" t="s">
        <v>158</v>
      </c>
      <c r="I2253" s="14" t="s">
        <v>811</v>
      </c>
      <c r="J2253" s="15" t="n">
        <f aca="false">IF(B2253="SITE LOSS",IF(D2253=C2253,1,0),IF(B2253="REGION LOSS",IF(E2253=C2253,1,0),0))</f>
        <v>0</v>
      </c>
      <c r="K2253" s="15" t="n">
        <f aca="false">IF(B2253="SITE LOSS",IF(COUNTIFS('Site Dockets'!$B$7:$B$24,C2253,'Site Dockets'!$C$7:$C$24,F2253)&gt;0,1,0),IF(B2253="REGION LOSS",IF(COUNTIFS('Site Dockets'!$E$7:$E$24,C2253,'Site Dockets'!$C$7:$C$24,F2253)&gt;0,1,0),0))</f>
        <v>0</v>
      </c>
      <c r="L2253" s="15" t="n">
        <f aca="false">IF(J2253=1,0,Inputs!$B$11)</f>
        <v>100</v>
      </c>
      <c r="M2253" s="15" t="n">
        <f aca="false">IF(J2253=1,0,Inputs!$B$12)</f>
        <v>75</v>
      </c>
      <c r="N2253" s="15" t="n">
        <f aca="false">IF(J2253=1,0,IF(OR(AND(OR(B2253="SITE LOSS",B2253="REGION LOSS"),K2253=1),AND(B2253="ROLE COMPROMISE",H2253=C2253)),Inputs!$B$13,Inputs!$B$14))</f>
        <v>10</v>
      </c>
      <c r="O2253" s="15" t="n">
        <f aca="false">IF(J2253=1,0,Inputs!$B$13)</f>
        <v>20</v>
      </c>
      <c r="P2253" s="15" t="n">
        <f aca="false">SUM(M2253:N2253)</f>
        <v>85</v>
      </c>
      <c r="Q2253" s="15" t="n">
        <f aca="false">IF(J2253=1,"",L2253-P2253)</f>
        <v>15</v>
      </c>
      <c r="R2253" s="15" t="n">
        <f aca="false">IF(OR(J2253=1,M2253&lt;=Inputs!$B$12),1,0)</f>
        <v>1</v>
      </c>
      <c r="S2253" s="15" t="n">
        <f aca="false">IF(OR(J2253=1,N2253&lt;=O2253),1,0)</f>
        <v>1</v>
      </c>
      <c r="T2253" s="15" t="str">
        <f aca="false">IF(J2253=1,"OFFLINE",IF(AND(Q2253&gt;=Inputs!$B$15,R2253=1,S2253=1,P2253&lt;=L2253),"PASS","FAIL"))</f>
        <v>PASS</v>
      </c>
    </row>
    <row r="2254" customFormat="false" ht="15" hidden="false" customHeight="false" outlineLevel="0" collapsed="false">
      <c r="A2254" s="14" t="s">
        <v>1040</v>
      </c>
      <c r="B2254" s="14" t="s">
        <v>1038</v>
      </c>
      <c r="C2254" s="14" t="s">
        <v>157</v>
      </c>
      <c r="D2254" s="14" t="s">
        <v>196</v>
      </c>
      <c r="E2254" s="14" t="s">
        <v>172</v>
      </c>
      <c r="F2254" s="14" t="s">
        <v>191</v>
      </c>
      <c r="G2254" s="14" t="n">
        <v>3</v>
      </c>
      <c r="H2254" s="14" t="s">
        <v>158</v>
      </c>
      <c r="I2254" s="14" t="s">
        <v>895</v>
      </c>
      <c r="J2254" s="15" t="n">
        <f aca="false">IF(B2254="SITE LOSS",IF(D2254=C2254,1,0),IF(B2254="REGION LOSS",IF(E2254=C2254,1,0),0))</f>
        <v>0</v>
      </c>
      <c r="K2254" s="15" t="n">
        <f aca="false">IF(B2254="SITE LOSS",IF(COUNTIFS('Site Dockets'!$B$7:$B$24,C2254,'Site Dockets'!$C$7:$C$24,F2254)&gt;0,1,0),IF(B2254="REGION LOSS",IF(COUNTIFS('Site Dockets'!$E$7:$E$24,C2254,'Site Dockets'!$C$7:$C$24,F2254)&gt;0,1,0),0))</f>
        <v>0</v>
      </c>
      <c r="L2254" s="15" t="n">
        <f aca="false">IF(J2254=1,0,Inputs!$B$11)</f>
        <v>100</v>
      </c>
      <c r="M2254" s="15" t="n">
        <f aca="false">IF(J2254=1,0,Inputs!$B$12)</f>
        <v>75</v>
      </c>
      <c r="N2254" s="15" t="n">
        <f aca="false">IF(J2254=1,0,IF(OR(AND(OR(B2254="SITE LOSS",B2254="REGION LOSS"),K2254=1),AND(B2254="ROLE COMPROMISE",H2254=C2254)),Inputs!$B$13,Inputs!$B$14))</f>
        <v>10</v>
      </c>
      <c r="O2254" s="15" t="n">
        <f aca="false">IF(J2254=1,0,Inputs!$B$13)</f>
        <v>20</v>
      </c>
      <c r="P2254" s="15" t="n">
        <f aca="false">SUM(M2254:N2254)</f>
        <v>85</v>
      </c>
      <c r="Q2254" s="15" t="n">
        <f aca="false">IF(J2254=1,"",L2254-P2254)</f>
        <v>15</v>
      </c>
      <c r="R2254" s="15" t="n">
        <f aca="false">IF(OR(J2254=1,M2254&lt;=Inputs!$B$12),1,0)</f>
        <v>1</v>
      </c>
      <c r="S2254" s="15" t="n">
        <f aca="false">IF(OR(J2254=1,N2254&lt;=O2254),1,0)</f>
        <v>1</v>
      </c>
      <c r="T2254" s="15" t="str">
        <f aca="false">IF(J2254=1,"OFFLINE",IF(AND(Q2254&gt;=Inputs!$B$15,R2254=1,S2254=1,P2254&lt;=L2254),"PASS","FAIL"))</f>
        <v>PASS</v>
      </c>
    </row>
    <row r="2255" customFormat="false" ht="15" hidden="false" customHeight="false" outlineLevel="0" collapsed="false">
      <c r="A2255" s="14" t="s">
        <v>1040</v>
      </c>
      <c r="B2255" s="14" t="s">
        <v>1038</v>
      </c>
      <c r="C2255" s="14" t="s">
        <v>157</v>
      </c>
      <c r="D2255" s="14" t="s">
        <v>196</v>
      </c>
      <c r="E2255" s="14" t="s">
        <v>172</v>
      </c>
      <c r="F2255" s="14" t="s">
        <v>191</v>
      </c>
      <c r="G2255" s="14" t="n">
        <v>3</v>
      </c>
      <c r="H2255" s="14" t="s">
        <v>158</v>
      </c>
      <c r="I2255" s="14" t="s">
        <v>897</v>
      </c>
      <c r="J2255" s="15" t="n">
        <f aca="false">IF(B2255="SITE LOSS",IF(D2255=C2255,1,0),IF(B2255="REGION LOSS",IF(E2255=C2255,1,0),0))</f>
        <v>0</v>
      </c>
      <c r="K2255" s="15" t="n">
        <f aca="false">IF(B2255="SITE LOSS",IF(COUNTIFS('Site Dockets'!$B$7:$B$24,C2255,'Site Dockets'!$C$7:$C$24,F2255)&gt;0,1,0),IF(B2255="REGION LOSS",IF(COUNTIFS('Site Dockets'!$E$7:$E$24,C2255,'Site Dockets'!$C$7:$C$24,F2255)&gt;0,1,0),0))</f>
        <v>0</v>
      </c>
      <c r="L2255" s="15" t="n">
        <f aca="false">IF(J2255=1,0,Inputs!$B$11)</f>
        <v>100</v>
      </c>
      <c r="M2255" s="15" t="n">
        <f aca="false">IF(J2255=1,0,Inputs!$B$12)</f>
        <v>75</v>
      </c>
      <c r="N2255" s="15" t="n">
        <f aca="false">IF(J2255=1,0,IF(OR(AND(OR(B2255="SITE LOSS",B2255="REGION LOSS"),K2255=1),AND(B2255="ROLE COMPROMISE",H2255=C2255)),Inputs!$B$13,Inputs!$B$14))</f>
        <v>10</v>
      </c>
      <c r="O2255" s="15" t="n">
        <f aca="false">IF(J2255=1,0,Inputs!$B$13)</f>
        <v>20</v>
      </c>
      <c r="P2255" s="15" t="n">
        <f aca="false">SUM(M2255:N2255)</f>
        <v>85</v>
      </c>
      <c r="Q2255" s="15" t="n">
        <f aca="false">IF(J2255=1,"",L2255-P2255)</f>
        <v>15</v>
      </c>
      <c r="R2255" s="15" t="n">
        <f aca="false">IF(OR(J2255=1,M2255&lt;=Inputs!$B$12),1,0)</f>
        <v>1</v>
      </c>
      <c r="S2255" s="15" t="n">
        <f aca="false">IF(OR(J2255=1,N2255&lt;=O2255),1,0)</f>
        <v>1</v>
      </c>
      <c r="T2255" s="15" t="str">
        <f aca="false">IF(J2255=1,"OFFLINE",IF(AND(Q2255&gt;=Inputs!$B$15,R2255=1,S2255=1,P2255&lt;=L2255),"PASS","FAIL"))</f>
        <v>PASS</v>
      </c>
    </row>
    <row r="2256" customFormat="false" ht="15" hidden="false" customHeight="false" outlineLevel="0" collapsed="false">
      <c r="A2256" s="14" t="s">
        <v>1040</v>
      </c>
      <c r="B2256" s="14" t="s">
        <v>1038</v>
      </c>
      <c r="C2256" s="14" t="s">
        <v>157</v>
      </c>
      <c r="D2256" s="14" t="s">
        <v>196</v>
      </c>
      <c r="E2256" s="14" t="s">
        <v>172</v>
      </c>
      <c r="F2256" s="14" t="s">
        <v>191</v>
      </c>
      <c r="G2256" s="14" t="n">
        <v>3</v>
      </c>
      <c r="H2256" s="14" t="s">
        <v>158</v>
      </c>
      <c r="I2256" s="14" t="s">
        <v>899</v>
      </c>
      <c r="J2256" s="15" t="n">
        <f aca="false">IF(B2256="SITE LOSS",IF(D2256=C2256,1,0),IF(B2256="REGION LOSS",IF(E2256=C2256,1,0),0))</f>
        <v>0</v>
      </c>
      <c r="K2256" s="15" t="n">
        <f aca="false">IF(B2256="SITE LOSS",IF(COUNTIFS('Site Dockets'!$B$7:$B$24,C2256,'Site Dockets'!$C$7:$C$24,F2256)&gt;0,1,0),IF(B2256="REGION LOSS",IF(COUNTIFS('Site Dockets'!$E$7:$E$24,C2256,'Site Dockets'!$C$7:$C$24,F2256)&gt;0,1,0),0))</f>
        <v>0</v>
      </c>
      <c r="L2256" s="15" t="n">
        <f aca="false">IF(J2256=1,0,Inputs!$B$11)</f>
        <v>100</v>
      </c>
      <c r="M2256" s="15" t="n">
        <f aca="false">IF(J2256=1,0,Inputs!$B$12)</f>
        <v>75</v>
      </c>
      <c r="N2256" s="15" t="n">
        <f aca="false">IF(J2256=1,0,IF(OR(AND(OR(B2256="SITE LOSS",B2256="REGION LOSS"),K2256=1),AND(B2256="ROLE COMPROMISE",H2256=C2256)),Inputs!$B$13,Inputs!$B$14))</f>
        <v>10</v>
      </c>
      <c r="O2256" s="15" t="n">
        <f aca="false">IF(J2256=1,0,Inputs!$B$13)</f>
        <v>20</v>
      </c>
      <c r="P2256" s="15" t="n">
        <f aca="false">SUM(M2256:N2256)</f>
        <v>85</v>
      </c>
      <c r="Q2256" s="15" t="n">
        <f aca="false">IF(J2256=1,"",L2256-P2256)</f>
        <v>15</v>
      </c>
      <c r="R2256" s="15" t="n">
        <f aca="false">IF(OR(J2256=1,M2256&lt;=Inputs!$B$12),1,0)</f>
        <v>1</v>
      </c>
      <c r="S2256" s="15" t="n">
        <f aca="false">IF(OR(J2256=1,N2256&lt;=O2256),1,0)</f>
        <v>1</v>
      </c>
      <c r="T2256" s="15" t="str">
        <f aca="false">IF(J2256=1,"OFFLINE",IF(AND(Q2256&gt;=Inputs!$B$15,R2256=1,S2256=1,P2256&lt;=L2256),"PASS","FAIL"))</f>
        <v>PASS</v>
      </c>
    </row>
    <row r="2257" customFormat="false" ht="15" hidden="false" customHeight="false" outlineLevel="0" collapsed="false">
      <c r="A2257" s="14" t="s">
        <v>1040</v>
      </c>
      <c r="B2257" s="14" t="s">
        <v>1038</v>
      </c>
      <c r="C2257" s="14" t="s">
        <v>157</v>
      </c>
      <c r="D2257" s="14" t="s">
        <v>198</v>
      </c>
      <c r="E2257" s="14" t="s">
        <v>166</v>
      </c>
      <c r="F2257" s="14" t="s">
        <v>199</v>
      </c>
      <c r="G2257" s="14" t="n">
        <v>1</v>
      </c>
      <c r="H2257" s="14" t="s">
        <v>154</v>
      </c>
      <c r="I2257" s="14" t="s">
        <v>890</v>
      </c>
      <c r="J2257" s="15" t="n">
        <f aca="false">IF(B2257="SITE LOSS",IF(D2257=C2257,1,0),IF(B2257="REGION LOSS",IF(E2257=C2257,1,0),0))</f>
        <v>0</v>
      </c>
      <c r="K2257" s="15" t="n">
        <f aca="false">IF(B2257="SITE LOSS",IF(COUNTIFS('Site Dockets'!$B$7:$B$24,C2257,'Site Dockets'!$C$7:$C$24,F2257)&gt;0,1,0),IF(B2257="REGION LOSS",IF(COUNTIFS('Site Dockets'!$E$7:$E$24,C2257,'Site Dockets'!$C$7:$C$24,F2257)&gt;0,1,0),0))</f>
        <v>1</v>
      </c>
      <c r="L2257" s="15" t="n">
        <f aca="false">IF(J2257=1,0,Inputs!$B$11)</f>
        <v>100</v>
      </c>
      <c r="M2257" s="15" t="n">
        <f aca="false">IF(J2257=1,0,Inputs!$B$12)</f>
        <v>75</v>
      </c>
      <c r="N2257" s="15" t="n">
        <f aca="false">IF(J2257=1,0,IF(OR(AND(OR(B2257="SITE LOSS",B2257="REGION LOSS"),K2257=1),AND(B2257="ROLE COMPROMISE",H2257=C2257)),Inputs!$B$13,Inputs!$B$14))</f>
        <v>20</v>
      </c>
      <c r="O2257" s="15" t="n">
        <f aca="false">IF(J2257=1,0,Inputs!$B$13)</f>
        <v>20</v>
      </c>
      <c r="P2257" s="15" t="n">
        <f aca="false">SUM(M2257:N2257)</f>
        <v>95</v>
      </c>
      <c r="Q2257" s="15" t="n">
        <f aca="false">IF(J2257=1,"",L2257-P2257)</f>
        <v>5</v>
      </c>
      <c r="R2257" s="15" t="n">
        <f aca="false">IF(OR(J2257=1,M2257&lt;=Inputs!$B$12),1,0)</f>
        <v>1</v>
      </c>
      <c r="S2257" s="15" t="n">
        <f aca="false">IF(OR(J2257=1,N2257&lt;=O2257),1,0)</f>
        <v>1</v>
      </c>
      <c r="T2257" s="15" t="str">
        <f aca="false">IF(J2257=1,"OFFLINE",IF(AND(Q2257&gt;=Inputs!$B$15,R2257=1,S2257=1,P2257&lt;=L2257),"PASS","FAIL"))</f>
        <v>PASS</v>
      </c>
    </row>
    <row r="2258" customFormat="false" ht="15" hidden="false" customHeight="false" outlineLevel="0" collapsed="false">
      <c r="A2258" s="14" t="s">
        <v>1040</v>
      </c>
      <c r="B2258" s="14" t="s">
        <v>1038</v>
      </c>
      <c r="C2258" s="14" t="s">
        <v>157</v>
      </c>
      <c r="D2258" s="14" t="s">
        <v>198</v>
      </c>
      <c r="E2258" s="14" t="s">
        <v>166</v>
      </c>
      <c r="F2258" s="14" t="s">
        <v>199</v>
      </c>
      <c r="G2258" s="14" t="n">
        <v>1</v>
      </c>
      <c r="H2258" s="14" t="s">
        <v>154</v>
      </c>
      <c r="I2258" s="14" t="s">
        <v>892</v>
      </c>
      <c r="J2258" s="15" t="n">
        <f aca="false">IF(B2258="SITE LOSS",IF(D2258=C2258,1,0),IF(B2258="REGION LOSS",IF(E2258=C2258,1,0),0))</f>
        <v>0</v>
      </c>
      <c r="K2258" s="15" t="n">
        <f aca="false">IF(B2258="SITE LOSS",IF(COUNTIFS('Site Dockets'!$B$7:$B$24,C2258,'Site Dockets'!$C$7:$C$24,F2258)&gt;0,1,0),IF(B2258="REGION LOSS",IF(COUNTIFS('Site Dockets'!$E$7:$E$24,C2258,'Site Dockets'!$C$7:$C$24,F2258)&gt;0,1,0),0))</f>
        <v>1</v>
      </c>
      <c r="L2258" s="15" t="n">
        <f aca="false">IF(J2258=1,0,Inputs!$B$11)</f>
        <v>100</v>
      </c>
      <c r="M2258" s="15" t="n">
        <f aca="false">IF(J2258=1,0,Inputs!$B$12)</f>
        <v>75</v>
      </c>
      <c r="N2258" s="15" t="n">
        <f aca="false">IF(J2258=1,0,IF(OR(AND(OR(B2258="SITE LOSS",B2258="REGION LOSS"),K2258=1),AND(B2258="ROLE COMPROMISE",H2258=C2258)),Inputs!$B$13,Inputs!$B$14))</f>
        <v>20</v>
      </c>
      <c r="O2258" s="15" t="n">
        <f aca="false">IF(J2258=1,0,Inputs!$B$13)</f>
        <v>20</v>
      </c>
      <c r="P2258" s="15" t="n">
        <f aca="false">SUM(M2258:N2258)</f>
        <v>95</v>
      </c>
      <c r="Q2258" s="15" t="n">
        <f aca="false">IF(J2258=1,"",L2258-P2258)</f>
        <v>5</v>
      </c>
      <c r="R2258" s="15" t="n">
        <f aca="false">IF(OR(J2258=1,M2258&lt;=Inputs!$B$12),1,0)</f>
        <v>1</v>
      </c>
      <c r="S2258" s="15" t="n">
        <f aca="false">IF(OR(J2258=1,N2258&lt;=O2258),1,0)</f>
        <v>1</v>
      </c>
      <c r="T2258" s="15" t="str">
        <f aca="false">IF(J2258=1,"OFFLINE",IF(AND(Q2258&gt;=Inputs!$B$15,R2258=1,S2258=1,P2258&lt;=L2258),"PASS","FAIL"))</f>
        <v>PASS</v>
      </c>
    </row>
    <row r="2259" customFormat="false" ht="15" hidden="false" customHeight="false" outlineLevel="0" collapsed="false">
      <c r="A2259" s="14" t="s">
        <v>1040</v>
      </c>
      <c r="B2259" s="14" t="s">
        <v>1038</v>
      </c>
      <c r="C2259" s="14" t="s">
        <v>157</v>
      </c>
      <c r="D2259" s="14" t="s">
        <v>198</v>
      </c>
      <c r="E2259" s="14" t="s">
        <v>166</v>
      </c>
      <c r="F2259" s="14" t="s">
        <v>199</v>
      </c>
      <c r="G2259" s="14" t="n">
        <v>1</v>
      </c>
      <c r="H2259" s="14" t="s">
        <v>154</v>
      </c>
      <c r="I2259" s="14" t="s">
        <v>811</v>
      </c>
      <c r="J2259" s="15" t="n">
        <f aca="false">IF(B2259="SITE LOSS",IF(D2259=C2259,1,0),IF(B2259="REGION LOSS",IF(E2259=C2259,1,0),0))</f>
        <v>0</v>
      </c>
      <c r="K2259" s="15" t="n">
        <f aca="false">IF(B2259="SITE LOSS",IF(COUNTIFS('Site Dockets'!$B$7:$B$24,C2259,'Site Dockets'!$C$7:$C$24,F2259)&gt;0,1,0),IF(B2259="REGION LOSS",IF(COUNTIFS('Site Dockets'!$E$7:$E$24,C2259,'Site Dockets'!$C$7:$C$24,F2259)&gt;0,1,0),0))</f>
        <v>1</v>
      </c>
      <c r="L2259" s="15" t="n">
        <f aca="false">IF(J2259=1,0,Inputs!$B$11)</f>
        <v>100</v>
      </c>
      <c r="M2259" s="15" t="n">
        <f aca="false">IF(J2259=1,0,Inputs!$B$12)</f>
        <v>75</v>
      </c>
      <c r="N2259" s="15" t="n">
        <f aca="false">IF(J2259=1,0,IF(OR(AND(OR(B2259="SITE LOSS",B2259="REGION LOSS"),K2259=1),AND(B2259="ROLE COMPROMISE",H2259=C2259)),Inputs!$B$13,Inputs!$B$14))</f>
        <v>20</v>
      </c>
      <c r="O2259" s="15" t="n">
        <f aca="false">IF(J2259=1,0,Inputs!$B$13)</f>
        <v>20</v>
      </c>
      <c r="P2259" s="15" t="n">
        <f aca="false">SUM(M2259:N2259)</f>
        <v>95</v>
      </c>
      <c r="Q2259" s="15" t="n">
        <f aca="false">IF(J2259=1,"",L2259-P2259)</f>
        <v>5</v>
      </c>
      <c r="R2259" s="15" t="n">
        <f aca="false">IF(OR(J2259=1,M2259&lt;=Inputs!$B$12),1,0)</f>
        <v>1</v>
      </c>
      <c r="S2259" s="15" t="n">
        <f aca="false">IF(OR(J2259=1,N2259&lt;=O2259),1,0)</f>
        <v>1</v>
      </c>
      <c r="T2259" s="15" t="str">
        <f aca="false">IF(J2259=1,"OFFLINE",IF(AND(Q2259&gt;=Inputs!$B$15,R2259=1,S2259=1,P2259&lt;=L2259),"PASS","FAIL"))</f>
        <v>PASS</v>
      </c>
    </row>
    <row r="2260" customFormat="false" ht="15" hidden="false" customHeight="false" outlineLevel="0" collapsed="false">
      <c r="A2260" s="14" t="s">
        <v>1040</v>
      </c>
      <c r="B2260" s="14" t="s">
        <v>1038</v>
      </c>
      <c r="C2260" s="14" t="s">
        <v>157</v>
      </c>
      <c r="D2260" s="14" t="s">
        <v>198</v>
      </c>
      <c r="E2260" s="14" t="s">
        <v>166</v>
      </c>
      <c r="F2260" s="14" t="s">
        <v>199</v>
      </c>
      <c r="G2260" s="14" t="n">
        <v>1</v>
      </c>
      <c r="H2260" s="14" t="s">
        <v>154</v>
      </c>
      <c r="I2260" s="14" t="s">
        <v>895</v>
      </c>
      <c r="J2260" s="15" t="n">
        <f aca="false">IF(B2260="SITE LOSS",IF(D2260=C2260,1,0),IF(B2260="REGION LOSS",IF(E2260=C2260,1,0),0))</f>
        <v>0</v>
      </c>
      <c r="K2260" s="15" t="n">
        <f aca="false">IF(B2260="SITE LOSS",IF(COUNTIFS('Site Dockets'!$B$7:$B$24,C2260,'Site Dockets'!$C$7:$C$24,F2260)&gt;0,1,0),IF(B2260="REGION LOSS",IF(COUNTIFS('Site Dockets'!$E$7:$E$24,C2260,'Site Dockets'!$C$7:$C$24,F2260)&gt;0,1,0),0))</f>
        <v>1</v>
      </c>
      <c r="L2260" s="15" t="n">
        <f aca="false">IF(J2260=1,0,Inputs!$B$11)</f>
        <v>100</v>
      </c>
      <c r="M2260" s="15" t="n">
        <f aca="false">IF(J2260=1,0,Inputs!$B$12)</f>
        <v>75</v>
      </c>
      <c r="N2260" s="15" t="n">
        <f aca="false">IF(J2260=1,0,IF(OR(AND(OR(B2260="SITE LOSS",B2260="REGION LOSS"),K2260=1),AND(B2260="ROLE COMPROMISE",H2260=C2260)),Inputs!$B$13,Inputs!$B$14))</f>
        <v>20</v>
      </c>
      <c r="O2260" s="15" t="n">
        <f aca="false">IF(J2260=1,0,Inputs!$B$13)</f>
        <v>20</v>
      </c>
      <c r="P2260" s="15" t="n">
        <f aca="false">SUM(M2260:N2260)</f>
        <v>95</v>
      </c>
      <c r="Q2260" s="15" t="n">
        <f aca="false">IF(J2260=1,"",L2260-P2260)</f>
        <v>5</v>
      </c>
      <c r="R2260" s="15" t="n">
        <f aca="false">IF(OR(J2260=1,M2260&lt;=Inputs!$B$12),1,0)</f>
        <v>1</v>
      </c>
      <c r="S2260" s="15" t="n">
        <f aca="false">IF(OR(J2260=1,N2260&lt;=O2260),1,0)</f>
        <v>1</v>
      </c>
      <c r="T2260" s="15" t="str">
        <f aca="false">IF(J2260=1,"OFFLINE",IF(AND(Q2260&gt;=Inputs!$B$15,R2260=1,S2260=1,P2260&lt;=L2260),"PASS","FAIL"))</f>
        <v>PASS</v>
      </c>
    </row>
    <row r="2261" customFormat="false" ht="15" hidden="false" customHeight="false" outlineLevel="0" collapsed="false">
      <c r="A2261" s="14" t="s">
        <v>1040</v>
      </c>
      <c r="B2261" s="14" t="s">
        <v>1038</v>
      </c>
      <c r="C2261" s="14" t="s">
        <v>157</v>
      </c>
      <c r="D2261" s="14" t="s">
        <v>198</v>
      </c>
      <c r="E2261" s="14" t="s">
        <v>166</v>
      </c>
      <c r="F2261" s="14" t="s">
        <v>199</v>
      </c>
      <c r="G2261" s="14" t="n">
        <v>1</v>
      </c>
      <c r="H2261" s="14" t="s">
        <v>154</v>
      </c>
      <c r="I2261" s="14" t="s">
        <v>897</v>
      </c>
      <c r="J2261" s="15" t="n">
        <f aca="false">IF(B2261="SITE LOSS",IF(D2261=C2261,1,0),IF(B2261="REGION LOSS",IF(E2261=C2261,1,0),0))</f>
        <v>0</v>
      </c>
      <c r="K2261" s="15" t="n">
        <f aca="false">IF(B2261="SITE LOSS",IF(COUNTIFS('Site Dockets'!$B$7:$B$24,C2261,'Site Dockets'!$C$7:$C$24,F2261)&gt;0,1,0),IF(B2261="REGION LOSS",IF(COUNTIFS('Site Dockets'!$E$7:$E$24,C2261,'Site Dockets'!$C$7:$C$24,F2261)&gt;0,1,0),0))</f>
        <v>1</v>
      </c>
      <c r="L2261" s="15" t="n">
        <f aca="false">IF(J2261=1,0,Inputs!$B$11)</f>
        <v>100</v>
      </c>
      <c r="M2261" s="15" t="n">
        <f aca="false">IF(J2261=1,0,Inputs!$B$12)</f>
        <v>75</v>
      </c>
      <c r="N2261" s="15" t="n">
        <f aca="false">IF(J2261=1,0,IF(OR(AND(OR(B2261="SITE LOSS",B2261="REGION LOSS"),K2261=1),AND(B2261="ROLE COMPROMISE",H2261=C2261)),Inputs!$B$13,Inputs!$B$14))</f>
        <v>20</v>
      </c>
      <c r="O2261" s="15" t="n">
        <f aca="false">IF(J2261=1,0,Inputs!$B$13)</f>
        <v>20</v>
      </c>
      <c r="P2261" s="15" t="n">
        <f aca="false">SUM(M2261:N2261)</f>
        <v>95</v>
      </c>
      <c r="Q2261" s="15" t="n">
        <f aca="false">IF(J2261=1,"",L2261-P2261)</f>
        <v>5</v>
      </c>
      <c r="R2261" s="15" t="n">
        <f aca="false">IF(OR(J2261=1,M2261&lt;=Inputs!$B$12),1,0)</f>
        <v>1</v>
      </c>
      <c r="S2261" s="15" t="n">
        <f aca="false">IF(OR(J2261=1,N2261&lt;=O2261),1,0)</f>
        <v>1</v>
      </c>
      <c r="T2261" s="15" t="str">
        <f aca="false">IF(J2261=1,"OFFLINE",IF(AND(Q2261&gt;=Inputs!$B$15,R2261=1,S2261=1,P2261&lt;=L2261),"PASS","FAIL"))</f>
        <v>PASS</v>
      </c>
    </row>
    <row r="2262" customFormat="false" ht="15" hidden="false" customHeight="false" outlineLevel="0" collapsed="false">
      <c r="A2262" s="14" t="s">
        <v>1040</v>
      </c>
      <c r="B2262" s="14" t="s">
        <v>1038</v>
      </c>
      <c r="C2262" s="14" t="s">
        <v>157</v>
      </c>
      <c r="D2262" s="14" t="s">
        <v>198</v>
      </c>
      <c r="E2262" s="14" t="s">
        <v>166</v>
      </c>
      <c r="F2262" s="14" t="s">
        <v>199</v>
      </c>
      <c r="G2262" s="14" t="n">
        <v>1</v>
      </c>
      <c r="H2262" s="14" t="s">
        <v>154</v>
      </c>
      <c r="I2262" s="14" t="s">
        <v>899</v>
      </c>
      <c r="J2262" s="15" t="n">
        <f aca="false">IF(B2262="SITE LOSS",IF(D2262=C2262,1,0),IF(B2262="REGION LOSS",IF(E2262=C2262,1,0),0))</f>
        <v>0</v>
      </c>
      <c r="K2262" s="15" t="n">
        <f aca="false">IF(B2262="SITE LOSS",IF(COUNTIFS('Site Dockets'!$B$7:$B$24,C2262,'Site Dockets'!$C$7:$C$24,F2262)&gt;0,1,0),IF(B2262="REGION LOSS",IF(COUNTIFS('Site Dockets'!$E$7:$E$24,C2262,'Site Dockets'!$C$7:$C$24,F2262)&gt;0,1,0),0))</f>
        <v>1</v>
      </c>
      <c r="L2262" s="15" t="n">
        <f aca="false">IF(J2262=1,0,Inputs!$B$11)</f>
        <v>100</v>
      </c>
      <c r="M2262" s="15" t="n">
        <f aca="false">IF(J2262=1,0,Inputs!$B$12)</f>
        <v>75</v>
      </c>
      <c r="N2262" s="15" t="n">
        <f aca="false">IF(J2262=1,0,IF(OR(AND(OR(B2262="SITE LOSS",B2262="REGION LOSS"),K2262=1),AND(B2262="ROLE COMPROMISE",H2262=C2262)),Inputs!$B$13,Inputs!$B$14))</f>
        <v>20</v>
      </c>
      <c r="O2262" s="15" t="n">
        <f aca="false">IF(J2262=1,0,Inputs!$B$13)</f>
        <v>20</v>
      </c>
      <c r="P2262" s="15" t="n">
        <f aca="false">SUM(M2262:N2262)</f>
        <v>95</v>
      </c>
      <c r="Q2262" s="15" t="n">
        <f aca="false">IF(J2262=1,"",L2262-P2262)</f>
        <v>5</v>
      </c>
      <c r="R2262" s="15" t="n">
        <f aca="false">IF(OR(J2262=1,M2262&lt;=Inputs!$B$12),1,0)</f>
        <v>1</v>
      </c>
      <c r="S2262" s="15" t="n">
        <f aca="false">IF(OR(J2262=1,N2262&lt;=O2262),1,0)</f>
        <v>1</v>
      </c>
      <c r="T2262" s="15" t="str">
        <f aca="false">IF(J2262=1,"OFFLINE",IF(AND(Q2262&gt;=Inputs!$B$15,R2262=1,S2262=1,P2262&lt;=L2262),"PASS","FAIL"))</f>
        <v>PASS</v>
      </c>
    </row>
    <row r="2263" customFormat="false" ht="15" hidden="false" customHeight="false" outlineLevel="0" collapsed="false">
      <c r="A2263" s="14" t="s">
        <v>1040</v>
      </c>
      <c r="B2263" s="14" t="s">
        <v>1038</v>
      </c>
      <c r="C2263" s="14" t="s">
        <v>157</v>
      </c>
      <c r="D2263" s="14" t="s">
        <v>202</v>
      </c>
      <c r="E2263" s="14" t="s">
        <v>157</v>
      </c>
      <c r="F2263" s="14" t="s">
        <v>199</v>
      </c>
      <c r="G2263" s="14" t="n">
        <v>2</v>
      </c>
      <c r="H2263" s="14" t="s">
        <v>153</v>
      </c>
      <c r="I2263" s="14" t="s">
        <v>890</v>
      </c>
      <c r="J2263" s="15" t="n">
        <f aca="false">IF(B2263="SITE LOSS",IF(D2263=C2263,1,0),IF(B2263="REGION LOSS",IF(E2263=C2263,1,0),0))</f>
        <v>1</v>
      </c>
      <c r="K2263" s="15" t="n">
        <f aca="false">IF(B2263="SITE LOSS",IF(COUNTIFS('Site Dockets'!$B$7:$B$24,C2263,'Site Dockets'!$C$7:$C$24,F2263)&gt;0,1,0),IF(B2263="REGION LOSS",IF(COUNTIFS('Site Dockets'!$E$7:$E$24,C2263,'Site Dockets'!$C$7:$C$24,F2263)&gt;0,1,0),0))</f>
        <v>1</v>
      </c>
      <c r="L2263" s="15" t="n">
        <f aca="false">IF(J2263=1,0,Inputs!$B$11)</f>
        <v>0</v>
      </c>
      <c r="M2263" s="15" t="n">
        <f aca="false">IF(J2263=1,0,Inputs!$B$12)</f>
        <v>0</v>
      </c>
      <c r="N2263" s="15" t="n">
        <f aca="false">IF(J2263=1,0,IF(OR(AND(OR(B2263="SITE LOSS",B2263="REGION LOSS"),K2263=1),AND(B2263="ROLE COMPROMISE",H2263=C2263)),Inputs!$B$13,Inputs!$B$14))</f>
        <v>0</v>
      </c>
      <c r="O2263" s="15" t="n">
        <f aca="false">IF(J2263=1,0,Inputs!$B$13)</f>
        <v>0</v>
      </c>
      <c r="P2263" s="15" t="n">
        <f aca="false">SUM(M2263:N2263)</f>
        <v>0</v>
      </c>
      <c r="Q2263" s="15" t="str">
        <f aca="false">IF(J2263=1,"",L2263-P2263)</f>
        <v/>
      </c>
      <c r="R2263" s="15" t="n">
        <f aca="false">IF(OR(J2263=1,M2263&lt;=Inputs!$B$12),1,0)</f>
        <v>1</v>
      </c>
      <c r="S2263" s="15" t="n">
        <f aca="false">IF(OR(J2263=1,N2263&lt;=O2263),1,0)</f>
        <v>1</v>
      </c>
      <c r="T2263" s="15" t="str">
        <f aca="false">IF(J2263=1,"OFFLINE",IF(AND(Q2263&gt;=Inputs!$B$15,R2263=1,S2263=1,P2263&lt;=L2263),"PASS","FAIL"))</f>
        <v>OFFLINE</v>
      </c>
    </row>
    <row r="2264" customFormat="false" ht="15" hidden="false" customHeight="false" outlineLevel="0" collapsed="false">
      <c r="A2264" s="14" t="s">
        <v>1040</v>
      </c>
      <c r="B2264" s="14" t="s">
        <v>1038</v>
      </c>
      <c r="C2264" s="14" t="s">
        <v>157</v>
      </c>
      <c r="D2264" s="14" t="s">
        <v>202</v>
      </c>
      <c r="E2264" s="14" t="s">
        <v>157</v>
      </c>
      <c r="F2264" s="14" t="s">
        <v>199</v>
      </c>
      <c r="G2264" s="14" t="n">
        <v>2</v>
      </c>
      <c r="H2264" s="14" t="s">
        <v>153</v>
      </c>
      <c r="I2264" s="14" t="s">
        <v>892</v>
      </c>
      <c r="J2264" s="15" t="n">
        <f aca="false">IF(B2264="SITE LOSS",IF(D2264=C2264,1,0),IF(B2264="REGION LOSS",IF(E2264=C2264,1,0),0))</f>
        <v>1</v>
      </c>
      <c r="K2264" s="15" t="n">
        <f aca="false">IF(B2264="SITE LOSS",IF(COUNTIFS('Site Dockets'!$B$7:$B$24,C2264,'Site Dockets'!$C$7:$C$24,F2264)&gt;0,1,0),IF(B2264="REGION LOSS",IF(COUNTIFS('Site Dockets'!$E$7:$E$24,C2264,'Site Dockets'!$C$7:$C$24,F2264)&gt;0,1,0),0))</f>
        <v>1</v>
      </c>
      <c r="L2264" s="15" t="n">
        <f aca="false">IF(J2264=1,0,Inputs!$B$11)</f>
        <v>0</v>
      </c>
      <c r="M2264" s="15" t="n">
        <f aca="false">IF(J2264=1,0,Inputs!$B$12)</f>
        <v>0</v>
      </c>
      <c r="N2264" s="15" t="n">
        <f aca="false">IF(J2264=1,0,IF(OR(AND(OR(B2264="SITE LOSS",B2264="REGION LOSS"),K2264=1),AND(B2264="ROLE COMPROMISE",H2264=C2264)),Inputs!$B$13,Inputs!$B$14))</f>
        <v>0</v>
      </c>
      <c r="O2264" s="15" t="n">
        <f aca="false">IF(J2264=1,0,Inputs!$B$13)</f>
        <v>0</v>
      </c>
      <c r="P2264" s="15" t="n">
        <f aca="false">SUM(M2264:N2264)</f>
        <v>0</v>
      </c>
      <c r="Q2264" s="15" t="str">
        <f aca="false">IF(J2264=1,"",L2264-P2264)</f>
        <v/>
      </c>
      <c r="R2264" s="15" t="n">
        <f aca="false">IF(OR(J2264=1,M2264&lt;=Inputs!$B$12),1,0)</f>
        <v>1</v>
      </c>
      <c r="S2264" s="15" t="n">
        <f aca="false">IF(OR(J2264=1,N2264&lt;=O2264),1,0)</f>
        <v>1</v>
      </c>
      <c r="T2264" s="15" t="str">
        <f aca="false">IF(J2264=1,"OFFLINE",IF(AND(Q2264&gt;=Inputs!$B$15,R2264=1,S2264=1,P2264&lt;=L2264),"PASS","FAIL"))</f>
        <v>OFFLINE</v>
      </c>
    </row>
    <row r="2265" customFormat="false" ht="15" hidden="false" customHeight="false" outlineLevel="0" collapsed="false">
      <c r="A2265" s="14" t="s">
        <v>1040</v>
      </c>
      <c r="B2265" s="14" t="s">
        <v>1038</v>
      </c>
      <c r="C2265" s="14" t="s">
        <v>157</v>
      </c>
      <c r="D2265" s="14" t="s">
        <v>202</v>
      </c>
      <c r="E2265" s="14" t="s">
        <v>157</v>
      </c>
      <c r="F2265" s="14" t="s">
        <v>199</v>
      </c>
      <c r="G2265" s="14" t="n">
        <v>2</v>
      </c>
      <c r="H2265" s="14" t="s">
        <v>153</v>
      </c>
      <c r="I2265" s="14" t="s">
        <v>811</v>
      </c>
      <c r="J2265" s="15" t="n">
        <f aca="false">IF(B2265="SITE LOSS",IF(D2265=C2265,1,0),IF(B2265="REGION LOSS",IF(E2265=C2265,1,0),0))</f>
        <v>1</v>
      </c>
      <c r="K2265" s="15" t="n">
        <f aca="false">IF(B2265="SITE LOSS",IF(COUNTIFS('Site Dockets'!$B$7:$B$24,C2265,'Site Dockets'!$C$7:$C$24,F2265)&gt;0,1,0),IF(B2265="REGION LOSS",IF(COUNTIFS('Site Dockets'!$E$7:$E$24,C2265,'Site Dockets'!$C$7:$C$24,F2265)&gt;0,1,0),0))</f>
        <v>1</v>
      </c>
      <c r="L2265" s="15" t="n">
        <f aca="false">IF(J2265=1,0,Inputs!$B$11)</f>
        <v>0</v>
      </c>
      <c r="M2265" s="15" t="n">
        <f aca="false">IF(J2265=1,0,Inputs!$B$12)</f>
        <v>0</v>
      </c>
      <c r="N2265" s="15" t="n">
        <f aca="false">IF(J2265=1,0,IF(OR(AND(OR(B2265="SITE LOSS",B2265="REGION LOSS"),K2265=1),AND(B2265="ROLE COMPROMISE",H2265=C2265)),Inputs!$B$13,Inputs!$B$14))</f>
        <v>0</v>
      </c>
      <c r="O2265" s="15" t="n">
        <f aca="false">IF(J2265=1,0,Inputs!$B$13)</f>
        <v>0</v>
      </c>
      <c r="P2265" s="15" t="n">
        <f aca="false">SUM(M2265:N2265)</f>
        <v>0</v>
      </c>
      <c r="Q2265" s="15" t="str">
        <f aca="false">IF(J2265=1,"",L2265-P2265)</f>
        <v/>
      </c>
      <c r="R2265" s="15" t="n">
        <f aca="false">IF(OR(J2265=1,M2265&lt;=Inputs!$B$12),1,0)</f>
        <v>1</v>
      </c>
      <c r="S2265" s="15" t="n">
        <f aca="false">IF(OR(J2265=1,N2265&lt;=O2265),1,0)</f>
        <v>1</v>
      </c>
      <c r="T2265" s="15" t="str">
        <f aca="false">IF(J2265=1,"OFFLINE",IF(AND(Q2265&gt;=Inputs!$B$15,R2265=1,S2265=1,P2265&lt;=L2265),"PASS","FAIL"))</f>
        <v>OFFLINE</v>
      </c>
    </row>
    <row r="2266" customFormat="false" ht="15" hidden="false" customHeight="false" outlineLevel="0" collapsed="false">
      <c r="A2266" s="14" t="s">
        <v>1040</v>
      </c>
      <c r="B2266" s="14" t="s">
        <v>1038</v>
      </c>
      <c r="C2266" s="14" t="s">
        <v>157</v>
      </c>
      <c r="D2266" s="14" t="s">
        <v>202</v>
      </c>
      <c r="E2266" s="14" t="s">
        <v>157</v>
      </c>
      <c r="F2266" s="14" t="s">
        <v>199</v>
      </c>
      <c r="G2266" s="14" t="n">
        <v>2</v>
      </c>
      <c r="H2266" s="14" t="s">
        <v>153</v>
      </c>
      <c r="I2266" s="14" t="s">
        <v>895</v>
      </c>
      <c r="J2266" s="15" t="n">
        <f aca="false">IF(B2266="SITE LOSS",IF(D2266=C2266,1,0),IF(B2266="REGION LOSS",IF(E2266=C2266,1,0),0))</f>
        <v>1</v>
      </c>
      <c r="K2266" s="15" t="n">
        <f aca="false">IF(B2266="SITE LOSS",IF(COUNTIFS('Site Dockets'!$B$7:$B$24,C2266,'Site Dockets'!$C$7:$C$24,F2266)&gt;0,1,0),IF(B2266="REGION LOSS",IF(COUNTIFS('Site Dockets'!$E$7:$E$24,C2266,'Site Dockets'!$C$7:$C$24,F2266)&gt;0,1,0),0))</f>
        <v>1</v>
      </c>
      <c r="L2266" s="15" t="n">
        <f aca="false">IF(J2266=1,0,Inputs!$B$11)</f>
        <v>0</v>
      </c>
      <c r="M2266" s="15" t="n">
        <f aca="false">IF(J2266=1,0,Inputs!$B$12)</f>
        <v>0</v>
      </c>
      <c r="N2266" s="15" t="n">
        <f aca="false">IF(J2266=1,0,IF(OR(AND(OR(B2266="SITE LOSS",B2266="REGION LOSS"),K2266=1),AND(B2266="ROLE COMPROMISE",H2266=C2266)),Inputs!$B$13,Inputs!$B$14))</f>
        <v>0</v>
      </c>
      <c r="O2266" s="15" t="n">
        <f aca="false">IF(J2266=1,0,Inputs!$B$13)</f>
        <v>0</v>
      </c>
      <c r="P2266" s="15" t="n">
        <f aca="false">SUM(M2266:N2266)</f>
        <v>0</v>
      </c>
      <c r="Q2266" s="15" t="str">
        <f aca="false">IF(J2266=1,"",L2266-P2266)</f>
        <v/>
      </c>
      <c r="R2266" s="15" t="n">
        <f aca="false">IF(OR(J2266=1,M2266&lt;=Inputs!$B$12),1,0)</f>
        <v>1</v>
      </c>
      <c r="S2266" s="15" t="n">
        <f aca="false">IF(OR(J2266=1,N2266&lt;=O2266),1,0)</f>
        <v>1</v>
      </c>
      <c r="T2266" s="15" t="str">
        <f aca="false">IF(J2266=1,"OFFLINE",IF(AND(Q2266&gt;=Inputs!$B$15,R2266=1,S2266=1,P2266&lt;=L2266),"PASS","FAIL"))</f>
        <v>OFFLINE</v>
      </c>
    </row>
    <row r="2267" customFormat="false" ht="15" hidden="false" customHeight="false" outlineLevel="0" collapsed="false">
      <c r="A2267" s="14" t="s">
        <v>1040</v>
      </c>
      <c r="B2267" s="14" t="s">
        <v>1038</v>
      </c>
      <c r="C2267" s="14" t="s">
        <v>157</v>
      </c>
      <c r="D2267" s="14" t="s">
        <v>202</v>
      </c>
      <c r="E2267" s="14" t="s">
        <v>157</v>
      </c>
      <c r="F2267" s="14" t="s">
        <v>199</v>
      </c>
      <c r="G2267" s="14" t="n">
        <v>2</v>
      </c>
      <c r="H2267" s="14" t="s">
        <v>153</v>
      </c>
      <c r="I2267" s="14" t="s">
        <v>897</v>
      </c>
      <c r="J2267" s="15" t="n">
        <f aca="false">IF(B2267="SITE LOSS",IF(D2267=C2267,1,0),IF(B2267="REGION LOSS",IF(E2267=C2267,1,0),0))</f>
        <v>1</v>
      </c>
      <c r="K2267" s="15" t="n">
        <f aca="false">IF(B2267="SITE LOSS",IF(COUNTIFS('Site Dockets'!$B$7:$B$24,C2267,'Site Dockets'!$C$7:$C$24,F2267)&gt;0,1,0),IF(B2267="REGION LOSS",IF(COUNTIFS('Site Dockets'!$E$7:$E$24,C2267,'Site Dockets'!$C$7:$C$24,F2267)&gt;0,1,0),0))</f>
        <v>1</v>
      </c>
      <c r="L2267" s="15" t="n">
        <f aca="false">IF(J2267=1,0,Inputs!$B$11)</f>
        <v>0</v>
      </c>
      <c r="M2267" s="15" t="n">
        <f aca="false">IF(J2267=1,0,Inputs!$B$12)</f>
        <v>0</v>
      </c>
      <c r="N2267" s="15" t="n">
        <f aca="false">IF(J2267=1,0,IF(OR(AND(OR(B2267="SITE LOSS",B2267="REGION LOSS"),K2267=1),AND(B2267="ROLE COMPROMISE",H2267=C2267)),Inputs!$B$13,Inputs!$B$14))</f>
        <v>0</v>
      </c>
      <c r="O2267" s="15" t="n">
        <f aca="false">IF(J2267=1,0,Inputs!$B$13)</f>
        <v>0</v>
      </c>
      <c r="P2267" s="15" t="n">
        <f aca="false">SUM(M2267:N2267)</f>
        <v>0</v>
      </c>
      <c r="Q2267" s="15" t="str">
        <f aca="false">IF(J2267=1,"",L2267-P2267)</f>
        <v/>
      </c>
      <c r="R2267" s="15" t="n">
        <f aca="false">IF(OR(J2267=1,M2267&lt;=Inputs!$B$12),1,0)</f>
        <v>1</v>
      </c>
      <c r="S2267" s="15" t="n">
        <f aca="false">IF(OR(J2267=1,N2267&lt;=O2267),1,0)</f>
        <v>1</v>
      </c>
      <c r="T2267" s="15" t="str">
        <f aca="false">IF(J2267=1,"OFFLINE",IF(AND(Q2267&gt;=Inputs!$B$15,R2267=1,S2267=1,P2267&lt;=L2267),"PASS","FAIL"))</f>
        <v>OFFLINE</v>
      </c>
    </row>
    <row r="2268" customFormat="false" ht="15" hidden="false" customHeight="false" outlineLevel="0" collapsed="false">
      <c r="A2268" s="14" t="s">
        <v>1040</v>
      </c>
      <c r="B2268" s="14" t="s">
        <v>1038</v>
      </c>
      <c r="C2268" s="14" t="s">
        <v>157</v>
      </c>
      <c r="D2268" s="14" t="s">
        <v>202</v>
      </c>
      <c r="E2268" s="14" t="s">
        <v>157</v>
      </c>
      <c r="F2268" s="14" t="s">
        <v>199</v>
      </c>
      <c r="G2268" s="14" t="n">
        <v>2</v>
      </c>
      <c r="H2268" s="14" t="s">
        <v>153</v>
      </c>
      <c r="I2268" s="14" t="s">
        <v>899</v>
      </c>
      <c r="J2268" s="15" t="n">
        <f aca="false">IF(B2268="SITE LOSS",IF(D2268=C2268,1,0),IF(B2268="REGION LOSS",IF(E2268=C2268,1,0),0))</f>
        <v>1</v>
      </c>
      <c r="K2268" s="15" t="n">
        <f aca="false">IF(B2268="SITE LOSS",IF(COUNTIFS('Site Dockets'!$B$7:$B$24,C2268,'Site Dockets'!$C$7:$C$24,F2268)&gt;0,1,0),IF(B2268="REGION LOSS",IF(COUNTIFS('Site Dockets'!$E$7:$E$24,C2268,'Site Dockets'!$C$7:$C$24,F2268)&gt;0,1,0),0))</f>
        <v>1</v>
      </c>
      <c r="L2268" s="15" t="n">
        <f aca="false">IF(J2268=1,0,Inputs!$B$11)</f>
        <v>0</v>
      </c>
      <c r="M2268" s="15" t="n">
        <f aca="false">IF(J2268=1,0,Inputs!$B$12)</f>
        <v>0</v>
      </c>
      <c r="N2268" s="15" t="n">
        <f aca="false">IF(J2268=1,0,IF(OR(AND(OR(B2268="SITE LOSS",B2268="REGION LOSS"),K2268=1),AND(B2268="ROLE COMPROMISE",H2268=C2268)),Inputs!$B$13,Inputs!$B$14))</f>
        <v>0</v>
      </c>
      <c r="O2268" s="15" t="n">
        <f aca="false">IF(J2268=1,0,Inputs!$B$13)</f>
        <v>0</v>
      </c>
      <c r="P2268" s="15" t="n">
        <f aca="false">SUM(M2268:N2268)</f>
        <v>0</v>
      </c>
      <c r="Q2268" s="15" t="str">
        <f aca="false">IF(J2268=1,"",L2268-P2268)</f>
        <v/>
      </c>
      <c r="R2268" s="15" t="n">
        <f aca="false">IF(OR(J2268=1,M2268&lt;=Inputs!$B$12),1,0)</f>
        <v>1</v>
      </c>
      <c r="S2268" s="15" t="n">
        <f aca="false">IF(OR(J2268=1,N2268&lt;=O2268),1,0)</f>
        <v>1</v>
      </c>
      <c r="T2268" s="15" t="str">
        <f aca="false">IF(J2268=1,"OFFLINE",IF(AND(Q2268&gt;=Inputs!$B$15,R2268=1,S2268=1,P2268&lt;=L2268),"PASS","FAIL"))</f>
        <v>OFFLINE</v>
      </c>
    </row>
    <row r="2269" customFormat="false" ht="15" hidden="false" customHeight="false" outlineLevel="0" collapsed="false">
      <c r="A2269" s="14" t="s">
        <v>1040</v>
      </c>
      <c r="B2269" s="14" t="s">
        <v>1038</v>
      </c>
      <c r="C2269" s="14" t="s">
        <v>157</v>
      </c>
      <c r="D2269" s="14" t="s">
        <v>204</v>
      </c>
      <c r="E2269" s="14" t="s">
        <v>161</v>
      </c>
      <c r="F2269" s="14" t="s">
        <v>199</v>
      </c>
      <c r="G2269" s="14" t="n">
        <v>3</v>
      </c>
      <c r="H2269" s="14" t="s">
        <v>158</v>
      </c>
      <c r="I2269" s="14" t="s">
        <v>890</v>
      </c>
      <c r="J2269" s="15" t="n">
        <f aca="false">IF(B2269="SITE LOSS",IF(D2269=C2269,1,0),IF(B2269="REGION LOSS",IF(E2269=C2269,1,0),0))</f>
        <v>0</v>
      </c>
      <c r="K2269" s="15" t="n">
        <f aca="false">IF(B2269="SITE LOSS",IF(COUNTIFS('Site Dockets'!$B$7:$B$24,C2269,'Site Dockets'!$C$7:$C$24,F2269)&gt;0,1,0),IF(B2269="REGION LOSS",IF(COUNTIFS('Site Dockets'!$E$7:$E$24,C2269,'Site Dockets'!$C$7:$C$24,F2269)&gt;0,1,0),0))</f>
        <v>1</v>
      </c>
      <c r="L2269" s="15" t="n">
        <f aca="false">IF(J2269=1,0,Inputs!$B$11)</f>
        <v>100</v>
      </c>
      <c r="M2269" s="15" t="n">
        <f aca="false">IF(J2269=1,0,Inputs!$B$12)</f>
        <v>75</v>
      </c>
      <c r="N2269" s="15" t="n">
        <f aca="false">IF(J2269=1,0,IF(OR(AND(OR(B2269="SITE LOSS",B2269="REGION LOSS"),K2269=1),AND(B2269="ROLE COMPROMISE",H2269=C2269)),Inputs!$B$13,Inputs!$B$14))</f>
        <v>20</v>
      </c>
      <c r="O2269" s="15" t="n">
        <f aca="false">IF(J2269=1,0,Inputs!$B$13)</f>
        <v>20</v>
      </c>
      <c r="P2269" s="15" t="n">
        <f aca="false">SUM(M2269:N2269)</f>
        <v>95</v>
      </c>
      <c r="Q2269" s="15" t="n">
        <f aca="false">IF(J2269=1,"",L2269-P2269)</f>
        <v>5</v>
      </c>
      <c r="R2269" s="15" t="n">
        <f aca="false">IF(OR(J2269=1,M2269&lt;=Inputs!$B$12),1,0)</f>
        <v>1</v>
      </c>
      <c r="S2269" s="15" t="n">
        <f aca="false">IF(OR(J2269=1,N2269&lt;=O2269),1,0)</f>
        <v>1</v>
      </c>
      <c r="T2269" s="15" t="str">
        <f aca="false">IF(J2269=1,"OFFLINE",IF(AND(Q2269&gt;=Inputs!$B$15,R2269=1,S2269=1,P2269&lt;=L2269),"PASS","FAIL"))</f>
        <v>PASS</v>
      </c>
    </row>
    <row r="2270" customFormat="false" ht="15" hidden="false" customHeight="false" outlineLevel="0" collapsed="false">
      <c r="A2270" s="14" t="s">
        <v>1040</v>
      </c>
      <c r="B2270" s="14" t="s">
        <v>1038</v>
      </c>
      <c r="C2270" s="14" t="s">
        <v>157</v>
      </c>
      <c r="D2270" s="14" t="s">
        <v>204</v>
      </c>
      <c r="E2270" s="14" t="s">
        <v>161</v>
      </c>
      <c r="F2270" s="14" t="s">
        <v>199</v>
      </c>
      <c r="G2270" s="14" t="n">
        <v>3</v>
      </c>
      <c r="H2270" s="14" t="s">
        <v>158</v>
      </c>
      <c r="I2270" s="14" t="s">
        <v>892</v>
      </c>
      <c r="J2270" s="15" t="n">
        <f aca="false">IF(B2270="SITE LOSS",IF(D2270=C2270,1,0),IF(B2270="REGION LOSS",IF(E2270=C2270,1,0),0))</f>
        <v>0</v>
      </c>
      <c r="K2270" s="15" t="n">
        <f aca="false">IF(B2270="SITE LOSS",IF(COUNTIFS('Site Dockets'!$B$7:$B$24,C2270,'Site Dockets'!$C$7:$C$24,F2270)&gt;0,1,0),IF(B2270="REGION LOSS",IF(COUNTIFS('Site Dockets'!$E$7:$E$24,C2270,'Site Dockets'!$C$7:$C$24,F2270)&gt;0,1,0),0))</f>
        <v>1</v>
      </c>
      <c r="L2270" s="15" t="n">
        <f aca="false">IF(J2270=1,0,Inputs!$B$11)</f>
        <v>100</v>
      </c>
      <c r="M2270" s="15" t="n">
        <f aca="false">IF(J2270=1,0,Inputs!$B$12)</f>
        <v>75</v>
      </c>
      <c r="N2270" s="15" t="n">
        <f aca="false">IF(J2270=1,0,IF(OR(AND(OR(B2270="SITE LOSS",B2270="REGION LOSS"),K2270=1),AND(B2270="ROLE COMPROMISE",H2270=C2270)),Inputs!$B$13,Inputs!$B$14))</f>
        <v>20</v>
      </c>
      <c r="O2270" s="15" t="n">
        <f aca="false">IF(J2270=1,0,Inputs!$B$13)</f>
        <v>20</v>
      </c>
      <c r="P2270" s="15" t="n">
        <f aca="false">SUM(M2270:N2270)</f>
        <v>95</v>
      </c>
      <c r="Q2270" s="15" t="n">
        <f aca="false">IF(J2270=1,"",L2270-P2270)</f>
        <v>5</v>
      </c>
      <c r="R2270" s="15" t="n">
        <f aca="false">IF(OR(J2270=1,M2270&lt;=Inputs!$B$12),1,0)</f>
        <v>1</v>
      </c>
      <c r="S2270" s="15" t="n">
        <f aca="false">IF(OR(J2270=1,N2270&lt;=O2270),1,0)</f>
        <v>1</v>
      </c>
      <c r="T2270" s="15" t="str">
        <f aca="false">IF(J2270=1,"OFFLINE",IF(AND(Q2270&gt;=Inputs!$B$15,R2270=1,S2270=1,P2270&lt;=L2270),"PASS","FAIL"))</f>
        <v>PASS</v>
      </c>
    </row>
    <row r="2271" customFormat="false" ht="15" hidden="false" customHeight="false" outlineLevel="0" collapsed="false">
      <c r="A2271" s="14" t="s">
        <v>1040</v>
      </c>
      <c r="B2271" s="14" t="s">
        <v>1038</v>
      </c>
      <c r="C2271" s="14" t="s">
        <v>157</v>
      </c>
      <c r="D2271" s="14" t="s">
        <v>204</v>
      </c>
      <c r="E2271" s="14" t="s">
        <v>161</v>
      </c>
      <c r="F2271" s="14" t="s">
        <v>199</v>
      </c>
      <c r="G2271" s="14" t="n">
        <v>3</v>
      </c>
      <c r="H2271" s="14" t="s">
        <v>158</v>
      </c>
      <c r="I2271" s="14" t="s">
        <v>811</v>
      </c>
      <c r="J2271" s="15" t="n">
        <f aca="false">IF(B2271="SITE LOSS",IF(D2271=C2271,1,0),IF(B2271="REGION LOSS",IF(E2271=C2271,1,0),0))</f>
        <v>0</v>
      </c>
      <c r="K2271" s="15" t="n">
        <f aca="false">IF(B2271="SITE LOSS",IF(COUNTIFS('Site Dockets'!$B$7:$B$24,C2271,'Site Dockets'!$C$7:$C$24,F2271)&gt;0,1,0),IF(B2271="REGION LOSS",IF(COUNTIFS('Site Dockets'!$E$7:$E$24,C2271,'Site Dockets'!$C$7:$C$24,F2271)&gt;0,1,0),0))</f>
        <v>1</v>
      </c>
      <c r="L2271" s="15" t="n">
        <f aca="false">IF(J2271=1,0,Inputs!$B$11)</f>
        <v>100</v>
      </c>
      <c r="M2271" s="15" t="n">
        <f aca="false">IF(J2271=1,0,Inputs!$B$12)</f>
        <v>75</v>
      </c>
      <c r="N2271" s="15" t="n">
        <f aca="false">IF(J2271=1,0,IF(OR(AND(OR(B2271="SITE LOSS",B2271="REGION LOSS"),K2271=1),AND(B2271="ROLE COMPROMISE",H2271=C2271)),Inputs!$B$13,Inputs!$B$14))</f>
        <v>20</v>
      </c>
      <c r="O2271" s="15" t="n">
        <f aca="false">IF(J2271=1,0,Inputs!$B$13)</f>
        <v>20</v>
      </c>
      <c r="P2271" s="15" t="n">
        <f aca="false">SUM(M2271:N2271)</f>
        <v>95</v>
      </c>
      <c r="Q2271" s="15" t="n">
        <f aca="false">IF(J2271=1,"",L2271-P2271)</f>
        <v>5</v>
      </c>
      <c r="R2271" s="15" t="n">
        <f aca="false">IF(OR(J2271=1,M2271&lt;=Inputs!$B$12),1,0)</f>
        <v>1</v>
      </c>
      <c r="S2271" s="15" t="n">
        <f aca="false">IF(OR(J2271=1,N2271&lt;=O2271),1,0)</f>
        <v>1</v>
      </c>
      <c r="T2271" s="15" t="str">
        <f aca="false">IF(J2271=1,"OFFLINE",IF(AND(Q2271&gt;=Inputs!$B$15,R2271=1,S2271=1,P2271&lt;=L2271),"PASS","FAIL"))</f>
        <v>PASS</v>
      </c>
    </row>
    <row r="2272" customFormat="false" ht="15" hidden="false" customHeight="false" outlineLevel="0" collapsed="false">
      <c r="A2272" s="14" t="s">
        <v>1040</v>
      </c>
      <c r="B2272" s="14" t="s">
        <v>1038</v>
      </c>
      <c r="C2272" s="14" t="s">
        <v>157</v>
      </c>
      <c r="D2272" s="14" t="s">
        <v>204</v>
      </c>
      <c r="E2272" s="14" t="s">
        <v>161</v>
      </c>
      <c r="F2272" s="14" t="s">
        <v>199</v>
      </c>
      <c r="G2272" s="14" t="n">
        <v>3</v>
      </c>
      <c r="H2272" s="14" t="s">
        <v>158</v>
      </c>
      <c r="I2272" s="14" t="s">
        <v>895</v>
      </c>
      <c r="J2272" s="15" t="n">
        <f aca="false">IF(B2272="SITE LOSS",IF(D2272=C2272,1,0),IF(B2272="REGION LOSS",IF(E2272=C2272,1,0),0))</f>
        <v>0</v>
      </c>
      <c r="K2272" s="15" t="n">
        <f aca="false">IF(B2272="SITE LOSS",IF(COUNTIFS('Site Dockets'!$B$7:$B$24,C2272,'Site Dockets'!$C$7:$C$24,F2272)&gt;0,1,0),IF(B2272="REGION LOSS",IF(COUNTIFS('Site Dockets'!$E$7:$E$24,C2272,'Site Dockets'!$C$7:$C$24,F2272)&gt;0,1,0),0))</f>
        <v>1</v>
      </c>
      <c r="L2272" s="15" t="n">
        <f aca="false">IF(J2272=1,0,Inputs!$B$11)</f>
        <v>100</v>
      </c>
      <c r="M2272" s="15" t="n">
        <f aca="false">IF(J2272=1,0,Inputs!$B$12)</f>
        <v>75</v>
      </c>
      <c r="N2272" s="15" t="n">
        <f aca="false">IF(J2272=1,0,IF(OR(AND(OR(B2272="SITE LOSS",B2272="REGION LOSS"),K2272=1),AND(B2272="ROLE COMPROMISE",H2272=C2272)),Inputs!$B$13,Inputs!$B$14))</f>
        <v>20</v>
      </c>
      <c r="O2272" s="15" t="n">
        <f aca="false">IF(J2272=1,0,Inputs!$B$13)</f>
        <v>20</v>
      </c>
      <c r="P2272" s="15" t="n">
        <f aca="false">SUM(M2272:N2272)</f>
        <v>95</v>
      </c>
      <c r="Q2272" s="15" t="n">
        <f aca="false">IF(J2272=1,"",L2272-P2272)</f>
        <v>5</v>
      </c>
      <c r="R2272" s="15" t="n">
        <f aca="false">IF(OR(J2272=1,M2272&lt;=Inputs!$B$12),1,0)</f>
        <v>1</v>
      </c>
      <c r="S2272" s="15" t="n">
        <f aca="false">IF(OR(J2272=1,N2272&lt;=O2272),1,0)</f>
        <v>1</v>
      </c>
      <c r="T2272" s="15" t="str">
        <f aca="false">IF(J2272=1,"OFFLINE",IF(AND(Q2272&gt;=Inputs!$B$15,R2272=1,S2272=1,P2272&lt;=L2272),"PASS","FAIL"))</f>
        <v>PASS</v>
      </c>
    </row>
    <row r="2273" customFormat="false" ht="15" hidden="false" customHeight="false" outlineLevel="0" collapsed="false">
      <c r="A2273" s="14" t="s">
        <v>1040</v>
      </c>
      <c r="B2273" s="14" t="s">
        <v>1038</v>
      </c>
      <c r="C2273" s="14" t="s">
        <v>157</v>
      </c>
      <c r="D2273" s="14" t="s">
        <v>204</v>
      </c>
      <c r="E2273" s="14" t="s">
        <v>161</v>
      </c>
      <c r="F2273" s="14" t="s">
        <v>199</v>
      </c>
      <c r="G2273" s="14" t="n">
        <v>3</v>
      </c>
      <c r="H2273" s="14" t="s">
        <v>158</v>
      </c>
      <c r="I2273" s="14" t="s">
        <v>897</v>
      </c>
      <c r="J2273" s="15" t="n">
        <f aca="false">IF(B2273="SITE LOSS",IF(D2273=C2273,1,0),IF(B2273="REGION LOSS",IF(E2273=C2273,1,0),0))</f>
        <v>0</v>
      </c>
      <c r="K2273" s="15" t="n">
        <f aca="false">IF(B2273="SITE LOSS",IF(COUNTIFS('Site Dockets'!$B$7:$B$24,C2273,'Site Dockets'!$C$7:$C$24,F2273)&gt;0,1,0),IF(B2273="REGION LOSS",IF(COUNTIFS('Site Dockets'!$E$7:$E$24,C2273,'Site Dockets'!$C$7:$C$24,F2273)&gt;0,1,0),0))</f>
        <v>1</v>
      </c>
      <c r="L2273" s="15" t="n">
        <f aca="false">IF(J2273=1,0,Inputs!$B$11)</f>
        <v>100</v>
      </c>
      <c r="M2273" s="15" t="n">
        <f aca="false">IF(J2273=1,0,Inputs!$B$12)</f>
        <v>75</v>
      </c>
      <c r="N2273" s="15" t="n">
        <f aca="false">IF(J2273=1,0,IF(OR(AND(OR(B2273="SITE LOSS",B2273="REGION LOSS"),K2273=1),AND(B2273="ROLE COMPROMISE",H2273=C2273)),Inputs!$B$13,Inputs!$B$14))</f>
        <v>20</v>
      </c>
      <c r="O2273" s="15" t="n">
        <f aca="false">IF(J2273=1,0,Inputs!$B$13)</f>
        <v>20</v>
      </c>
      <c r="P2273" s="15" t="n">
        <f aca="false">SUM(M2273:N2273)</f>
        <v>95</v>
      </c>
      <c r="Q2273" s="15" t="n">
        <f aca="false">IF(J2273=1,"",L2273-P2273)</f>
        <v>5</v>
      </c>
      <c r="R2273" s="15" t="n">
        <f aca="false">IF(OR(J2273=1,M2273&lt;=Inputs!$B$12),1,0)</f>
        <v>1</v>
      </c>
      <c r="S2273" s="15" t="n">
        <f aca="false">IF(OR(J2273=1,N2273&lt;=O2273),1,0)</f>
        <v>1</v>
      </c>
      <c r="T2273" s="15" t="str">
        <f aca="false">IF(J2273=1,"OFFLINE",IF(AND(Q2273&gt;=Inputs!$B$15,R2273=1,S2273=1,P2273&lt;=L2273),"PASS","FAIL"))</f>
        <v>PASS</v>
      </c>
    </row>
    <row r="2274" customFormat="false" ht="15" hidden="false" customHeight="false" outlineLevel="0" collapsed="false">
      <c r="A2274" s="14" t="s">
        <v>1040</v>
      </c>
      <c r="B2274" s="14" t="s">
        <v>1038</v>
      </c>
      <c r="C2274" s="14" t="s">
        <v>157</v>
      </c>
      <c r="D2274" s="14" t="s">
        <v>204</v>
      </c>
      <c r="E2274" s="14" t="s">
        <v>161</v>
      </c>
      <c r="F2274" s="14" t="s">
        <v>199</v>
      </c>
      <c r="G2274" s="14" t="n">
        <v>3</v>
      </c>
      <c r="H2274" s="14" t="s">
        <v>158</v>
      </c>
      <c r="I2274" s="14" t="s">
        <v>899</v>
      </c>
      <c r="J2274" s="15" t="n">
        <f aca="false">IF(B2274="SITE LOSS",IF(D2274=C2274,1,0),IF(B2274="REGION LOSS",IF(E2274=C2274,1,0),0))</f>
        <v>0</v>
      </c>
      <c r="K2274" s="15" t="n">
        <f aca="false">IF(B2274="SITE LOSS",IF(COUNTIFS('Site Dockets'!$B$7:$B$24,C2274,'Site Dockets'!$C$7:$C$24,F2274)&gt;0,1,0),IF(B2274="REGION LOSS",IF(COUNTIFS('Site Dockets'!$E$7:$E$24,C2274,'Site Dockets'!$C$7:$C$24,F2274)&gt;0,1,0),0))</f>
        <v>1</v>
      </c>
      <c r="L2274" s="15" t="n">
        <f aca="false">IF(J2274=1,0,Inputs!$B$11)</f>
        <v>100</v>
      </c>
      <c r="M2274" s="15" t="n">
        <f aca="false">IF(J2274=1,0,Inputs!$B$12)</f>
        <v>75</v>
      </c>
      <c r="N2274" s="15" t="n">
        <f aca="false">IF(J2274=1,0,IF(OR(AND(OR(B2274="SITE LOSS",B2274="REGION LOSS"),K2274=1),AND(B2274="ROLE COMPROMISE",H2274=C2274)),Inputs!$B$13,Inputs!$B$14))</f>
        <v>20</v>
      </c>
      <c r="O2274" s="15" t="n">
        <f aca="false">IF(J2274=1,0,Inputs!$B$13)</f>
        <v>20</v>
      </c>
      <c r="P2274" s="15" t="n">
        <f aca="false">SUM(M2274:N2274)</f>
        <v>95</v>
      </c>
      <c r="Q2274" s="15" t="n">
        <f aca="false">IF(J2274=1,"",L2274-P2274)</f>
        <v>5</v>
      </c>
      <c r="R2274" s="15" t="n">
        <f aca="false">IF(OR(J2274=1,M2274&lt;=Inputs!$B$12),1,0)</f>
        <v>1</v>
      </c>
      <c r="S2274" s="15" t="n">
        <f aca="false">IF(OR(J2274=1,N2274&lt;=O2274),1,0)</f>
        <v>1</v>
      </c>
      <c r="T2274" s="15" t="str">
        <f aca="false">IF(J2274=1,"OFFLINE",IF(AND(Q2274&gt;=Inputs!$B$15,R2274=1,S2274=1,P2274&lt;=L2274),"PASS","FAIL"))</f>
        <v>PASS</v>
      </c>
    </row>
    <row r="2275" customFormat="false" ht="15" hidden="false" customHeight="false" outlineLevel="0" collapsed="false">
      <c r="A2275" s="14" t="s">
        <v>1041</v>
      </c>
      <c r="B2275" s="14" t="s">
        <v>1038</v>
      </c>
      <c r="C2275" s="14" t="s">
        <v>169</v>
      </c>
      <c r="D2275" s="14" t="s">
        <v>149</v>
      </c>
      <c r="E2275" s="14" t="s">
        <v>152</v>
      </c>
      <c r="F2275" s="14" t="s">
        <v>150</v>
      </c>
      <c r="G2275" s="14" t="n">
        <v>1</v>
      </c>
      <c r="H2275" s="14" t="s">
        <v>154</v>
      </c>
      <c r="I2275" s="14" t="s">
        <v>890</v>
      </c>
      <c r="J2275" s="15" t="n">
        <f aca="false">IF(B2275="SITE LOSS",IF(D2275=C2275,1,0),IF(B2275="REGION LOSS",IF(E2275=C2275,1,0),0))</f>
        <v>0</v>
      </c>
      <c r="K2275" s="15" t="n">
        <f aca="false">IF(B2275="SITE LOSS",IF(COUNTIFS('Site Dockets'!$B$7:$B$24,C2275,'Site Dockets'!$C$7:$C$24,F2275)&gt;0,1,0),IF(B2275="REGION LOSS",IF(COUNTIFS('Site Dockets'!$E$7:$E$24,C2275,'Site Dockets'!$C$7:$C$24,F2275)&gt;0,1,0),0))</f>
        <v>0</v>
      </c>
      <c r="L2275" s="15" t="n">
        <f aca="false">IF(J2275=1,0,Inputs!$B$11)</f>
        <v>100</v>
      </c>
      <c r="M2275" s="15" t="n">
        <f aca="false">IF(J2275=1,0,Inputs!$B$12)</f>
        <v>75</v>
      </c>
      <c r="N2275" s="15" t="n">
        <f aca="false">IF(J2275=1,0,IF(OR(AND(OR(B2275="SITE LOSS",B2275="REGION LOSS"),K2275=1),AND(B2275="ROLE COMPROMISE",H2275=C2275)),Inputs!$B$13,Inputs!$B$14))</f>
        <v>10</v>
      </c>
      <c r="O2275" s="15" t="n">
        <f aca="false">IF(J2275=1,0,Inputs!$B$13)</f>
        <v>20</v>
      </c>
      <c r="P2275" s="15" t="n">
        <f aca="false">SUM(M2275:N2275)</f>
        <v>85</v>
      </c>
      <c r="Q2275" s="15" t="n">
        <f aca="false">IF(J2275=1,"",L2275-P2275)</f>
        <v>15</v>
      </c>
      <c r="R2275" s="15" t="n">
        <f aca="false">IF(OR(J2275=1,M2275&lt;=Inputs!$B$12),1,0)</f>
        <v>1</v>
      </c>
      <c r="S2275" s="15" t="n">
        <f aca="false">IF(OR(J2275=1,N2275&lt;=O2275),1,0)</f>
        <v>1</v>
      </c>
      <c r="T2275" s="15" t="str">
        <f aca="false">IF(J2275=1,"OFFLINE",IF(AND(Q2275&gt;=Inputs!$B$15,R2275=1,S2275=1,P2275&lt;=L2275),"PASS","FAIL"))</f>
        <v>PASS</v>
      </c>
    </row>
    <row r="2276" customFormat="false" ht="15" hidden="false" customHeight="false" outlineLevel="0" collapsed="false">
      <c r="A2276" s="14" t="s">
        <v>1041</v>
      </c>
      <c r="B2276" s="14" t="s">
        <v>1038</v>
      </c>
      <c r="C2276" s="14" t="s">
        <v>169</v>
      </c>
      <c r="D2276" s="14" t="s">
        <v>149</v>
      </c>
      <c r="E2276" s="14" t="s">
        <v>152</v>
      </c>
      <c r="F2276" s="14" t="s">
        <v>150</v>
      </c>
      <c r="G2276" s="14" t="n">
        <v>1</v>
      </c>
      <c r="H2276" s="14" t="s">
        <v>154</v>
      </c>
      <c r="I2276" s="14" t="s">
        <v>892</v>
      </c>
      <c r="J2276" s="15" t="n">
        <f aca="false">IF(B2276="SITE LOSS",IF(D2276=C2276,1,0),IF(B2276="REGION LOSS",IF(E2276=C2276,1,0),0))</f>
        <v>0</v>
      </c>
      <c r="K2276" s="15" t="n">
        <f aca="false">IF(B2276="SITE LOSS",IF(COUNTIFS('Site Dockets'!$B$7:$B$24,C2276,'Site Dockets'!$C$7:$C$24,F2276)&gt;0,1,0),IF(B2276="REGION LOSS",IF(COUNTIFS('Site Dockets'!$E$7:$E$24,C2276,'Site Dockets'!$C$7:$C$24,F2276)&gt;0,1,0),0))</f>
        <v>0</v>
      </c>
      <c r="L2276" s="15" t="n">
        <f aca="false">IF(J2276=1,0,Inputs!$B$11)</f>
        <v>100</v>
      </c>
      <c r="M2276" s="15" t="n">
        <f aca="false">IF(J2276=1,0,Inputs!$B$12)</f>
        <v>75</v>
      </c>
      <c r="N2276" s="15" t="n">
        <f aca="false">IF(J2276=1,0,IF(OR(AND(OR(B2276="SITE LOSS",B2276="REGION LOSS"),K2276=1),AND(B2276="ROLE COMPROMISE",H2276=C2276)),Inputs!$B$13,Inputs!$B$14))</f>
        <v>10</v>
      </c>
      <c r="O2276" s="15" t="n">
        <f aca="false">IF(J2276=1,0,Inputs!$B$13)</f>
        <v>20</v>
      </c>
      <c r="P2276" s="15" t="n">
        <f aca="false">SUM(M2276:N2276)</f>
        <v>85</v>
      </c>
      <c r="Q2276" s="15" t="n">
        <f aca="false">IF(J2276=1,"",L2276-P2276)</f>
        <v>15</v>
      </c>
      <c r="R2276" s="15" t="n">
        <f aca="false">IF(OR(J2276=1,M2276&lt;=Inputs!$B$12),1,0)</f>
        <v>1</v>
      </c>
      <c r="S2276" s="15" t="n">
        <f aca="false">IF(OR(J2276=1,N2276&lt;=O2276),1,0)</f>
        <v>1</v>
      </c>
      <c r="T2276" s="15" t="str">
        <f aca="false">IF(J2276=1,"OFFLINE",IF(AND(Q2276&gt;=Inputs!$B$15,R2276=1,S2276=1,P2276&lt;=L2276),"PASS","FAIL"))</f>
        <v>PASS</v>
      </c>
    </row>
    <row r="2277" customFormat="false" ht="15" hidden="false" customHeight="false" outlineLevel="0" collapsed="false">
      <c r="A2277" s="14" t="s">
        <v>1041</v>
      </c>
      <c r="B2277" s="14" t="s">
        <v>1038</v>
      </c>
      <c r="C2277" s="14" t="s">
        <v>169</v>
      </c>
      <c r="D2277" s="14" t="s">
        <v>149</v>
      </c>
      <c r="E2277" s="14" t="s">
        <v>152</v>
      </c>
      <c r="F2277" s="14" t="s">
        <v>150</v>
      </c>
      <c r="G2277" s="14" t="n">
        <v>1</v>
      </c>
      <c r="H2277" s="14" t="s">
        <v>154</v>
      </c>
      <c r="I2277" s="14" t="s">
        <v>811</v>
      </c>
      <c r="J2277" s="15" t="n">
        <f aca="false">IF(B2277="SITE LOSS",IF(D2277=C2277,1,0),IF(B2277="REGION LOSS",IF(E2277=C2277,1,0),0))</f>
        <v>0</v>
      </c>
      <c r="K2277" s="15" t="n">
        <f aca="false">IF(B2277="SITE LOSS",IF(COUNTIFS('Site Dockets'!$B$7:$B$24,C2277,'Site Dockets'!$C$7:$C$24,F2277)&gt;0,1,0),IF(B2277="REGION LOSS",IF(COUNTIFS('Site Dockets'!$E$7:$E$24,C2277,'Site Dockets'!$C$7:$C$24,F2277)&gt;0,1,0),0))</f>
        <v>0</v>
      </c>
      <c r="L2277" s="15" t="n">
        <f aca="false">IF(J2277=1,0,Inputs!$B$11)</f>
        <v>100</v>
      </c>
      <c r="M2277" s="15" t="n">
        <f aca="false">IF(J2277=1,0,Inputs!$B$12)</f>
        <v>75</v>
      </c>
      <c r="N2277" s="15" t="n">
        <f aca="false">IF(J2277=1,0,IF(OR(AND(OR(B2277="SITE LOSS",B2277="REGION LOSS"),K2277=1),AND(B2277="ROLE COMPROMISE",H2277=C2277)),Inputs!$B$13,Inputs!$B$14))</f>
        <v>10</v>
      </c>
      <c r="O2277" s="15" t="n">
        <f aca="false">IF(J2277=1,0,Inputs!$B$13)</f>
        <v>20</v>
      </c>
      <c r="P2277" s="15" t="n">
        <f aca="false">SUM(M2277:N2277)</f>
        <v>85</v>
      </c>
      <c r="Q2277" s="15" t="n">
        <f aca="false">IF(J2277=1,"",L2277-P2277)</f>
        <v>15</v>
      </c>
      <c r="R2277" s="15" t="n">
        <f aca="false">IF(OR(J2277=1,M2277&lt;=Inputs!$B$12),1,0)</f>
        <v>1</v>
      </c>
      <c r="S2277" s="15" t="n">
        <f aca="false">IF(OR(J2277=1,N2277&lt;=O2277),1,0)</f>
        <v>1</v>
      </c>
      <c r="T2277" s="15" t="str">
        <f aca="false">IF(J2277=1,"OFFLINE",IF(AND(Q2277&gt;=Inputs!$B$15,R2277=1,S2277=1,P2277&lt;=L2277),"PASS","FAIL"))</f>
        <v>PASS</v>
      </c>
    </row>
    <row r="2278" customFormat="false" ht="15" hidden="false" customHeight="false" outlineLevel="0" collapsed="false">
      <c r="A2278" s="14" t="s">
        <v>1041</v>
      </c>
      <c r="B2278" s="14" t="s">
        <v>1038</v>
      </c>
      <c r="C2278" s="14" t="s">
        <v>169</v>
      </c>
      <c r="D2278" s="14" t="s">
        <v>149</v>
      </c>
      <c r="E2278" s="14" t="s">
        <v>152</v>
      </c>
      <c r="F2278" s="14" t="s">
        <v>150</v>
      </c>
      <c r="G2278" s="14" t="n">
        <v>1</v>
      </c>
      <c r="H2278" s="14" t="s">
        <v>154</v>
      </c>
      <c r="I2278" s="14" t="s">
        <v>895</v>
      </c>
      <c r="J2278" s="15" t="n">
        <f aca="false">IF(B2278="SITE LOSS",IF(D2278=C2278,1,0),IF(B2278="REGION LOSS",IF(E2278=C2278,1,0),0))</f>
        <v>0</v>
      </c>
      <c r="K2278" s="15" t="n">
        <f aca="false">IF(B2278="SITE LOSS",IF(COUNTIFS('Site Dockets'!$B$7:$B$24,C2278,'Site Dockets'!$C$7:$C$24,F2278)&gt;0,1,0),IF(B2278="REGION LOSS",IF(COUNTIFS('Site Dockets'!$E$7:$E$24,C2278,'Site Dockets'!$C$7:$C$24,F2278)&gt;0,1,0),0))</f>
        <v>0</v>
      </c>
      <c r="L2278" s="15" t="n">
        <f aca="false">IF(J2278=1,0,Inputs!$B$11)</f>
        <v>100</v>
      </c>
      <c r="M2278" s="15" t="n">
        <f aca="false">IF(J2278=1,0,Inputs!$B$12)</f>
        <v>75</v>
      </c>
      <c r="N2278" s="15" t="n">
        <f aca="false">IF(J2278=1,0,IF(OR(AND(OR(B2278="SITE LOSS",B2278="REGION LOSS"),K2278=1),AND(B2278="ROLE COMPROMISE",H2278=C2278)),Inputs!$B$13,Inputs!$B$14))</f>
        <v>10</v>
      </c>
      <c r="O2278" s="15" t="n">
        <f aca="false">IF(J2278=1,0,Inputs!$B$13)</f>
        <v>20</v>
      </c>
      <c r="P2278" s="15" t="n">
        <f aca="false">SUM(M2278:N2278)</f>
        <v>85</v>
      </c>
      <c r="Q2278" s="15" t="n">
        <f aca="false">IF(J2278=1,"",L2278-P2278)</f>
        <v>15</v>
      </c>
      <c r="R2278" s="15" t="n">
        <f aca="false">IF(OR(J2278=1,M2278&lt;=Inputs!$B$12),1,0)</f>
        <v>1</v>
      </c>
      <c r="S2278" s="15" t="n">
        <f aca="false">IF(OR(J2278=1,N2278&lt;=O2278),1,0)</f>
        <v>1</v>
      </c>
      <c r="T2278" s="15" t="str">
        <f aca="false">IF(J2278=1,"OFFLINE",IF(AND(Q2278&gt;=Inputs!$B$15,R2278=1,S2278=1,P2278&lt;=L2278),"PASS","FAIL"))</f>
        <v>PASS</v>
      </c>
    </row>
    <row r="2279" customFormat="false" ht="15" hidden="false" customHeight="false" outlineLevel="0" collapsed="false">
      <c r="A2279" s="14" t="s">
        <v>1041</v>
      </c>
      <c r="B2279" s="14" t="s">
        <v>1038</v>
      </c>
      <c r="C2279" s="14" t="s">
        <v>169</v>
      </c>
      <c r="D2279" s="14" t="s">
        <v>149</v>
      </c>
      <c r="E2279" s="14" t="s">
        <v>152</v>
      </c>
      <c r="F2279" s="14" t="s">
        <v>150</v>
      </c>
      <c r="G2279" s="14" t="n">
        <v>1</v>
      </c>
      <c r="H2279" s="14" t="s">
        <v>154</v>
      </c>
      <c r="I2279" s="14" t="s">
        <v>897</v>
      </c>
      <c r="J2279" s="15" t="n">
        <f aca="false">IF(B2279="SITE LOSS",IF(D2279=C2279,1,0),IF(B2279="REGION LOSS",IF(E2279=C2279,1,0),0))</f>
        <v>0</v>
      </c>
      <c r="K2279" s="15" t="n">
        <f aca="false">IF(B2279="SITE LOSS",IF(COUNTIFS('Site Dockets'!$B$7:$B$24,C2279,'Site Dockets'!$C$7:$C$24,F2279)&gt;0,1,0),IF(B2279="REGION LOSS",IF(COUNTIFS('Site Dockets'!$E$7:$E$24,C2279,'Site Dockets'!$C$7:$C$24,F2279)&gt;0,1,0),0))</f>
        <v>0</v>
      </c>
      <c r="L2279" s="15" t="n">
        <f aca="false">IF(J2279=1,0,Inputs!$B$11)</f>
        <v>100</v>
      </c>
      <c r="M2279" s="15" t="n">
        <f aca="false">IF(J2279=1,0,Inputs!$B$12)</f>
        <v>75</v>
      </c>
      <c r="N2279" s="15" t="n">
        <f aca="false">IF(J2279=1,0,IF(OR(AND(OR(B2279="SITE LOSS",B2279="REGION LOSS"),K2279=1),AND(B2279="ROLE COMPROMISE",H2279=C2279)),Inputs!$B$13,Inputs!$B$14))</f>
        <v>10</v>
      </c>
      <c r="O2279" s="15" t="n">
        <f aca="false">IF(J2279=1,0,Inputs!$B$13)</f>
        <v>20</v>
      </c>
      <c r="P2279" s="15" t="n">
        <f aca="false">SUM(M2279:N2279)</f>
        <v>85</v>
      </c>
      <c r="Q2279" s="15" t="n">
        <f aca="false">IF(J2279=1,"",L2279-P2279)</f>
        <v>15</v>
      </c>
      <c r="R2279" s="15" t="n">
        <f aca="false">IF(OR(J2279=1,M2279&lt;=Inputs!$B$12),1,0)</f>
        <v>1</v>
      </c>
      <c r="S2279" s="15" t="n">
        <f aca="false">IF(OR(J2279=1,N2279&lt;=O2279),1,0)</f>
        <v>1</v>
      </c>
      <c r="T2279" s="15" t="str">
        <f aca="false">IF(J2279=1,"OFFLINE",IF(AND(Q2279&gt;=Inputs!$B$15,R2279=1,S2279=1,P2279&lt;=L2279),"PASS","FAIL"))</f>
        <v>PASS</v>
      </c>
    </row>
    <row r="2280" customFormat="false" ht="15" hidden="false" customHeight="false" outlineLevel="0" collapsed="false">
      <c r="A2280" s="14" t="s">
        <v>1041</v>
      </c>
      <c r="B2280" s="14" t="s">
        <v>1038</v>
      </c>
      <c r="C2280" s="14" t="s">
        <v>169</v>
      </c>
      <c r="D2280" s="14" t="s">
        <v>149</v>
      </c>
      <c r="E2280" s="14" t="s">
        <v>152</v>
      </c>
      <c r="F2280" s="14" t="s">
        <v>150</v>
      </c>
      <c r="G2280" s="14" t="n">
        <v>1</v>
      </c>
      <c r="H2280" s="14" t="s">
        <v>154</v>
      </c>
      <c r="I2280" s="14" t="s">
        <v>899</v>
      </c>
      <c r="J2280" s="15" t="n">
        <f aca="false">IF(B2280="SITE LOSS",IF(D2280=C2280,1,0),IF(B2280="REGION LOSS",IF(E2280=C2280,1,0),0))</f>
        <v>0</v>
      </c>
      <c r="K2280" s="15" t="n">
        <f aca="false">IF(B2280="SITE LOSS",IF(COUNTIFS('Site Dockets'!$B$7:$B$24,C2280,'Site Dockets'!$C$7:$C$24,F2280)&gt;0,1,0),IF(B2280="REGION LOSS",IF(COUNTIFS('Site Dockets'!$E$7:$E$24,C2280,'Site Dockets'!$C$7:$C$24,F2280)&gt;0,1,0),0))</f>
        <v>0</v>
      </c>
      <c r="L2280" s="15" t="n">
        <f aca="false">IF(J2280=1,0,Inputs!$B$11)</f>
        <v>100</v>
      </c>
      <c r="M2280" s="15" t="n">
        <f aca="false">IF(J2280=1,0,Inputs!$B$12)</f>
        <v>75</v>
      </c>
      <c r="N2280" s="15" t="n">
        <f aca="false">IF(J2280=1,0,IF(OR(AND(OR(B2280="SITE LOSS",B2280="REGION LOSS"),K2280=1),AND(B2280="ROLE COMPROMISE",H2280=C2280)),Inputs!$B$13,Inputs!$B$14))</f>
        <v>10</v>
      </c>
      <c r="O2280" s="15" t="n">
        <f aca="false">IF(J2280=1,0,Inputs!$B$13)</f>
        <v>20</v>
      </c>
      <c r="P2280" s="15" t="n">
        <f aca="false">SUM(M2280:N2280)</f>
        <v>85</v>
      </c>
      <c r="Q2280" s="15" t="n">
        <f aca="false">IF(J2280=1,"",L2280-P2280)</f>
        <v>15</v>
      </c>
      <c r="R2280" s="15" t="n">
        <f aca="false">IF(OR(J2280=1,M2280&lt;=Inputs!$B$12),1,0)</f>
        <v>1</v>
      </c>
      <c r="S2280" s="15" t="n">
        <f aca="false">IF(OR(J2280=1,N2280&lt;=O2280),1,0)</f>
        <v>1</v>
      </c>
      <c r="T2280" s="15" t="str">
        <f aca="false">IF(J2280=1,"OFFLINE",IF(AND(Q2280&gt;=Inputs!$B$15,R2280=1,S2280=1,P2280&lt;=L2280),"PASS","FAIL"))</f>
        <v>PASS</v>
      </c>
    </row>
    <row r="2281" customFormat="false" ht="15" hidden="false" customHeight="false" outlineLevel="0" collapsed="false">
      <c r="A2281" s="14" t="s">
        <v>1041</v>
      </c>
      <c r="B2281" s="14" t="s">
        <v>1038</v>
      </c>
      <c r="C2281" s="14" t="s">
        <v>169</v>
      </c>
      <c r="D2281" s="14" t="s">
        <v>156</v>
      </c>
      <c r="E2281" s="14" t="s">
        <v>157</v>
      </c>
      <c r="F2281" s="14" t="s">
        <v>150</v>
      </c>
      <c r="G2281" s="14" t="n">
        <v>2</v>
      </c>
      <c r="H2281" s="14" t="s">
        <v>153</v>
      </c>
      <c r="I2281" s="14" t="s">
        <v>890</v>
      </c>
      <c r="J2281" s="15" t="n">
        <f aca="false">IF(B2281="SITE LOSS",IF(D2281=C2281,1,0),IF(B2281="REGION LOSS",IF(E2281=C2281,1,0),0))</f>
        <v>0</v>
      </c>
      <c r="K2281" s="15" t="n">
        <f aca="false">IF(B2281="SITE LOSS",IF(COUNTIFS('Site Dockets'!$B$7:$B$24,C2281,'Site Dockets'!$C$7:$C$24,F2281)&gt;0,1,0),IF(B2281="REGION LOSS",IF(COUNTIFS('Site Dockets'!$E$7:$E$24,C2281,'Site Dockets'!$C$7:$C$24,F2281)&gt;0,1,0),0))</f>
        <v>0</v>
      </c>
      <c r="L2281" s="15" t="n">
        <f aca="false">IF(J2281=1,0,Inputs!$B$11)</f>
        <v>100</v>
      </c>
      <c r="M2281" s="15" t="n">
        <f aca="false">IF(J2281=1,0,Inputs!$B$12)</f>
        <v>75</v>
      </c>
      <c r="N2281" s="15" t="n">
        <f aca="false">IF(J2281=1,0,IF(OR(AND(OR(B2281="SITE LOSS",B2281="REGION LOSS"),K2281=1),AND(B2281="ROLE COMPROMISE",H2281=C2281)),Inputs!$B$13,Inputs!$B$14))</f>
        <v>10</v>
      </c>
      <c r="O2281" s="15" t="n">
        <f aca="false">IF(J2281=1,0,Inputs!$B$13)</f>
        <v>20</v>
      </c>
      <c r="P2281" s="15" t="n">
        <f aca="false">SUM(M2281:N2281)</f>
        <v>85</v>
      </c>
      <c r="Q2281" s="15" t="n">
        <f aca="false">IF(J2281=1,"",L2281-P2281)</f>
        <v>15</v>
      </c>
      <c r="R2281" s="15" t="n">
        <f aca="false">IF(OR(J2281=1,M2281&lt;=Inputs!$B$12),1,0)</f>
        <v>1</v>
      </c>
      <c r="S2281" s="15" t="n">
        <f aca="false">IF(OR(J2281=1,N2281&lt;=O2281),1,0)</f>
        <v>1</v>
      </c>
      <c r="T2281" s="15" t="str">
        <f aca="false">IF(J2281=1,"OFFLINE",IF(AND(Q2281&gt;=Inputs!$B$15,R2281=1,S2281=1,P2281&lt;=L2281),"PASS","FAIL"))</f>
        <v>PASS</v>
      </c>
    </row>
    <row r="2282" customFormat="false" ht="15" hidden="false" customHeight="false" outlineLevel="0" collapsed="false">
      <c r="A2282" s="14" t="s">
        <v>1041</v>
      </c>
      <c r="B2282" s="14" t="s">
        <v>1038</v>
      </c>
      <c r="C2282" s="14" t="s">
        <v>169</v>
      </c>
      <c r="D2282" s="14" t="s">
        <v>156</v>
      </c>
      <c r="E2282" s="14" t="s">
        <v>157</v>
      </c>
      <c r="F2282" s="14" t="s">
        <v>150</v>
      </c>
      <c r="G2282" s="14" t="n">
        <v>2</v>
      </c>
      <c r="H2282" s="14" t="s">
        <v>153</v>
      </c>
      <c r="I2282" s="14" t="s">
        <v>892</v>
      </c>
      <c r="J2282" s="15" t="n">
        <f aca="false">IF(B2282="SITE LOSS",IF(D2282=C2282,1,0),IF(B2282="REGION LOSS",IF(E2282=C2282,1,0),0))</f>
        <v>0</v>
      </c>
      <c r="K2282" s="15" t="n">
        <f aca="false">IF(B2282="SITE LOSS",IF(COUNTIFS('Site Dockets'!$B$7:$B$24,C2282,'Site Dockets'!$C$7:$C$24,F2282)&gt;0,1,0),IF(B2282="REGION LOSS",IF(COUNTIFS('Site Dockets'!$E$7:$E$24,C2282,'Site Dockets'!$C$7:$C$24,F2282)&gt;0,1,0),0))</f>
        <v>0</v>
      </c>
      <c r="L2282" s="15" t="n">
        <f aca="false">IF(J2282=1,0,Inputs!$B$11)</f>
        <v>100</v>
      </c>
      <c r="M2282" s="15" t="n">
        <f aca="false">IF(J2282=1,0,Inputs!$B$12)</f>
        <v>75</v>
      </c>
      <c r="N2282" s="15" t="n">
        <f aca="false">IF(J2282=1,0,IF(OR(AND(OR(B2282="SITE LOSS",B2282="REGION LOSS"),K2282=1),AND(B2282="ROLE COMPROMISE",H2282=C2282)),Inputs!$B$13,Inputs!$B$14))</f>
        <v>10</v>
      </c>
      <c r="O2282" s="15" t="n">
        <f aca="false">IF(J2282=1,0,Inputs!$B$13)</f>
        <v>20</v>
      </c>
      <c r="P2282" s="15" t="n">
        <f aca="false">SUM(M2282:N2282)</f>
        <v>85</v>
      </c>
      <c r="Q2282" s="15" t="n">
        <f aca="false">IF(J2282=1,"",L2282-P2282)</f>
        <v>15</v>
      </c>
      <c r="R2282" s="15" t="n">
        <f aca="false">IF(OR(J2282=1,M2282&lt;=Inputs!$B$12),1,0)</f>
        <v>1</v>
      </c>
      <c r="S2282" s="15" t="n">
        <f aca="false">IF(OR(J2282=1,N2282&lt;=O2282),1,0)</f>
        <v>1</v>
      </c>
      <c r="T2282" s="15" t="str">
        <f aca="false">IF(J2282=1,"OFFLINE",IF(AND(Q2282&gt;=Inputs!$B$15,R2282=1,S2282=1,P2282&lt;=L2282),"PASS","FAIL"))</f>
        <v>PASS</v>
      </c>
    </row>
    <row r="2283" customFormat="false" ht="15" hidden="false" customHeight="false" outlineLevel="0" collapsed="false">
      <c r="A2283" s="14" t="s">
        <v>1041</v>
      </c>
      <c r="B2283" s="14" t="s">
        <v>1038</v>
      </c>
      <c r="C2283" s="14" t="s">
        <v>169</v>
      </c>
      <c r="D2283" s="14" t="s">
        <v>156</v>
      </c>
      <c r="E2283" s="14" t="s">
        <v>157</v>
      </c>
      <c r="F2283" s="14" t="s">
        <v>150</v>
      </c>
      <c r="G2283" s="14" t="n">
        <v>2</v>
      </c>
      <c r="H2283" s="14" t="s">
        <v>153</v>
      </c>
      <c r="I2283" s="14" t="s">
        <v>811</v>
      </c>
      <c r="J2283" s="15" t="n">
        <f aca="false">IF(B2283="SITE LOSS",IF(D2283=C2283,1,0),IF(B2283="REGION LOSS",IF(E2283=C2283,1,0),0))</f>
        <v>0</v>
      </c>
      <c r="K2283" s="15" t="n">
        <f aca="false">IF(B2283="SITE LOSS",IF(COUNTIFS('Site Dockets'!$B$7:$B$24,C2283,'Site Dockets'!$C$7:$C$24,F2283)&gt;0,1,0),IF(B2283="REGION LOSS",IF(COUNTIFS('Site Dockets'!$E$7:$E$24,C2283,'Site Dockets'!$C$7:$C$24,F2283)&gt;0,1,0),0))</f>
        <v>0</v>
      </c>
      <c r="L2283" s="15" t="n">
        <f aca="false">IF(J2283=1,0,Inputs!$B$11)</f>
        <v>100</v>
      </c>
      <c r="M2283" s="15" t="n">
        <f aca="false">IF(J2283=1,0,Inputs!$B$12)</f>
        <v>75</v>
      </c>
      <c r="N2283" s="15" t="n">
        <f aca="false">IF(J2283=1,0,IF(OR(AND(OR(B2283="SITE LOSS",B2283="REGION LOSS"),K2283=1),AND(B2283="ROLE COMPROMISE",H2283=C2283)),Inputs!$B$13,Inputs!$B$14))</f>
        <v>10</v>
      </c>
      <c r="O2283" s="15" t="n">
        <f aca="false">IF(J2283=1,0,Inputs!$B$13)</f>
        <v>20</v>
      </c>
      <c r="P2283" s="15" t="n">
        <f aca="false">SUM(M2283:N2283)</f>
        <v>85</v>
      </c>
      <c r="Q2283" s="15" t="n">
        <f aca="false">IF(J2283=1,"",L2283-P2283)</f>
        <v>15</v>
      </c>
      <c r="R2283" s="15" t="n">
        <f aca="false">IF(OR(J2283=1,M2283&lt;=Inputs!$B$12),1,0)</f>
        <v>1</v>
      </c>
      <c r="S2283" s="15" t="n">
        <f aca="false">IF(OR(J2283=1,N2283&lt;=O2283),1,0)</f>
        <v>1</v>
      </c>
      <c r="T2283" s="15" t="str">
        <f aca="false">IF(J2283=1,"OFFLINE",IF(AND(Q2283&gt;=Inputs!$B$15,R2283=1,S2283=1,P2283&lt;=L2283),"PASS","FAIL"))</f>
        <v>PASS</v>
      </c>
    </row>
    <row r="2284" customFormat="false" ht="15" hidden="false" customHeight="false" outlineLevel="0" collapsed="false">
      <c r="A2284" s="14" t="s">
        <v>1041</v>
      </c>
      <c r="B2284" s="14" t="s">
        <v>1038</v>
      </c>
      <c r="C2284" s="14" t="s">
        <v>169</v>
      </c>
      <c r="D2284" s="14" t="s">
        <v>156</v>
      </c>
      <c r="E2284" s="14" t="s">
        <v>157</v>
      </c>
      <c r="F2284" s="14" t="s">
        <v>150</v>
      </c>
      <c r="G2284" s="14" t="n">
        <v>2</v>
      </c>
      <c r="H2284" s="14" t="s">
        <v>153</v>
      </c>
      <c r="I2284" s="14" t="s">
        <v>895</v>
      </c>
      <c r="J2284" s="15" t="n">
        <f aca="false">IF(B2284="SITE LOSS",IF(D2284=C2284,1,0),IF(B2284="REGION LOSS",IF(E2284=C2284,1,0),0))</f>
        <v>0</v>
      </c>
      <c r="K2284" s="15" t="n">
        <f aca="false">IF(B2284="SITE LOSS",IF(COUNTIFS('Site Dockets'!$B$7:$B$24,C2284,'Site Dockets'!$C$7:$C$24,F2284)&gt;0,1,0),IF(B2284="REGION LOSS",IF(COUNTIFS('Site Dockets'!$E$7:$E$24,C2284,'Site Dockets'!$C$7:$C$24,F2284)&gt;0,1,0),0))</f>
        <v>0</v>
      </c>
      <c r="L2284" s="15" t="n">
        <f aca="false">IF(J2284=1,0,Inputs!$B$11)</f>
        <v>100</v>
      </c>
      <c r="M2284" s="15" t="n">
        <f aca="false">IF(J2284=1,0,Inputs!$B$12)</f>
        <v>75</v>
      </c>
      <c r="N2284" s="15" t="n">
        <f aca="false">IF(J2284=1,0,IF(OR(AND(OR(B2284="SITE LOSS",B2284="REGION LOSS"),K2284=1),AND(B2284="ROLE COMPROMISE",H2284=C2284)),Inputs!$B$13,Inputs!$B$14))</f>
        <v>10</v>
      </c>
      <c r="O2284" s="15" t="n">
        <f aca="false">IF(J2284=1,0,Inputs!$B$13)</f>
        <v>20</v>
      </c>
      <c r="P2284" s="15" t="n">
        <f aca="false">SUM(M2284:N2284)</f>
        <v>85</v>
      </c>
      <c r="Q2284" s="15" t="n">
        <f aca="false">IF(J2284=1,"",L2284-P2284)</f>
        <v>15</v>
      </c>
      <c r="R2284" s="15" t="n">
        <f aca="false">IF(OR(J2284=1,M2284&lt;=Inputs!$B$12),1,0)</f>
        <v>1</v>
      </c>
      <c r="S2284" s="15" t="n">
        <f aca="false">IF(OR(J2284=1,N2284&lt;=O2284),1,0)</f>
        <v>1</v>
      </c>
      <c r="T2284" s="15" t="str">
        <f aca="false">IF(J2284=1,"OFFLINE",IF(AND(Q2284&gt;=Inputs!$B$15,R2284=1,S2284=1,P2284&lt;=L2284),"PASS","FAIL"))</f>
        <v>PASS</v>
      </c>
    </row>
    <row r="2285" customFormat="false" ht="15" hidden="false" customHeight="false" outlineLevel="0" collapsed="false">
      <c r="A2285" s="14" t="s">
        <v>1041</v>
      </c>
      <c r="B2285" s="14" t="s">
        <v>1038</v>
      </c>
      <c r="C2285" s="14" t="s">
        <v>169</v>
      </c>
      <c r="D2285" s="14" t="s">
        <v>156</v>
      </c>
      <c r="E2285" s="14" t="s">
        <v>157</v>
      </c>
      <c r="F2285" s="14" t="s">
        <v>150</v>
      </c>
      <c r="G2285" s="14" t="n">
        <v>2</v>
      </c>
      <c r="H2285" s="14" t="s">
        <v>153</v>
      </c>
      <c r="I2285" s="14" t="s">
        <v>897</v>
      </c>
      <c r="J2285" s="15" t="n">
        <f aca="false">IF(B2285="SITE LOSS",IF(D2285=C2285,1,0),IF(B2285="REGION LOSS",IF(E2285=C2285,1,0),0))</f>
        <v>0</v>
      </c>
      <c r="K2285" s="15" t="n">
        <f aca="false">IF(B2285="SITE LOSS",IF(COUNTIFS('Site Dockets'!$B$7:$B$24,C2285,'Site Dockets'!$C$7:$C$24,F2285)&gt;0,1,0),IF(B2285="REGION LOSS",IF(COUNTIFS('Site Dockets'!$E$7:$E$24,C2285,'Site Dockets'!$C$7:$C$24,F2285)&gt;0,1,0),0))</f>
        <v>0</v>
      </c>
      <c r="L2285" s="15" t="n">
        <f aca="false">IF(J2285=1,0,Inputs!$B$11)</f>
        <v>100</v>
      </c>
      <c r="M2285" s="15" t="n">
        <f aca="false">IF(J2285=1,0,Inputs!$B$12)</f>
        <v>75</v>
      </c>
      <c r="N2285" s="15" t="n">
        <f aca="false">IF(J2285=1,0,IF(OR(AND(OR(B2285="SITE LOSS",B2285="REGION LOSS"),K2285=1),AND(B2285="ROLE COMPROMISE",H2285=C2285)),Inputs!$B$13,Inputs!$B$14))</f>
        <v>10</v>
      </c>
      <c r="O2285" s="15" t="n">
        <f aca="false">IF(J2285=1,0,Inputs!$B$13)</f>
        <v>20</v>
      </c>
      <c r="P2285" s="15" t="n">
        <f aca="false">SUM(M2285:N2285)</f>
        <v>85</v>
      </c>
      <c r="Q2285" s="15" t="n">
        <f aca="false">IF(J2285=1,"",L2285-P2285)</f>
        <v>15</v>
      </c>
      <c r="R2285" s="15" t="n">
        <f aca="false">IF(OR(J2285=1,M2285&lt;=Inputs!$B$12),1,0)</f>
        <v>1</v>
      </c>
      <c r="S2285" s="15" t="n">
        <f aca="false">IF(OR(J2285=1,N2285&lt;=O2285),1,0)</f>
        <v>1</v>
      </c>
      <c r="T2285" s="15" t="str">
        <f aca="false">IF(J2285=1,"OFFLINE",IF(AND(Q2285&gt;=Inputs!$B$15,R2285=1,S2285=1,P2285&lt;=L2285),"PASS","FAIL"))</f>
        <v>PASS</v>
      </c>
    </row>
    <row r="2286" customFormat="false" ht="15" hidden="false" customHeight="false" outlineLevel="0" collapsed="false">
      <c r="A2286" s="14" t="s">
        <v>1041</v>
      </c>
      <c r="B2286" s="14" t="s">
        <v>1038</v>
      </c>
      <c r="C2286" s="14" t="s">
        <v>169</v>
      </c>
      <c r="D2286" s="14" t="s">
        <v>156</v>
      </c>
      <c r="E2286" s="14" t="s">
        <v>157</v>
      </c>
      <c r="F2286" s="14" t="s">
        <v>150</v>
      </c>
      <c r="G2286" s="14" t="n">
        <v>2</v>
      </c>
      <c r="H2286" s="14" t="s">
        <v>153</v>
      </c>
      <c r="I2286" s="14" t="s">
        <v>899</v>
      </c>
      <c r="J2286" s="15" t="n">
        <f aca="false">IF(B2286="SITE LOSS",IF(D2286=C2286,1,0),IF(B2286="REGION LOSS",IF(E2286=C2286,1,0),0))</f>
        <v>0</v>
      </c>
      <c r="K2286" s="15" t="n">
        <f aca="false">IF(B2286="SITE LOSS",IF(COUNTIFS('Site Dockets'!$B$7:$B$24,C2286,'Site Dockets'!$C$7:$C$24,F2286)&gt;0,1,0),IF(B2286="REGION LOSS",IF(COUNTIFS('Site Dockets'!$E$7:$E$24,C2286,'Site Dockets'!$C$7:$C$24,F2286)&gt;0,1,0),0))</f>
        <v>0</v>
      </c>
      <c r="L2286" s="15" t="n">
        <f aca="false">IF(J2286=1,0,Inputs!$B$11)</f>
        <v>100</v>
      </c>
      <c r="M2286" s="15" t="n">
        <f aca="false">IF(J2286=1,0,Inputs!$B$12)</f>
        <v>75</v>
      </c>
      <c r="N2286" s="15" t="n">
        <f aca="false">IF(J2286=1,0,IF(OR(AND(OR(B2286="SITE LOSS",B2286="REGION LOSS"),K2286=1),AND(B2286="ROLE COMPROMISE",H2286=C2286)),Inputs!$B$13,Inputs!$B$14))</f>
        <v>10</v>
      </c>
      <c r="O2286" s="15" t="n">
        <f aca="false">IF(J2286=1,0,Inputs!$B$13)</f>
        <v>20</v>
      </c>
      <c r="P2286" s="15" t="n">
        <f aca="false">SUM(M2286:N2286)</f>
        <v>85</v>
      </c>
      <c r="Q2286" s="15" t="n">
        <f aca="false">IF(J2286=1,"",L2286-P2286)</f>
        <v>15</v>
      </c>
      <c r="R2286" s="15" t="n">
        <f aca="false">IF(OR(J2286=1,M2286&lt;=Inputs!$B$12),1,0)</f>
        <v>1</v>
      </c>
      <c r="S2286" s="15" t="n">
        <f aca="false">IF(OR(J2286=1,N2286&lt;=O2286),1,0)</f>
        <v>1</v>
      </c>
      <c r="T2286" s="15" t="str">
        <f aca="false">IF(J2286=1,"OFFLINE",IF(AND(Q2286&gt;=Inputs!$B$15,R2286=1,S2286=1,P2286&lt;=L2286),"PASS","FAIL"))</f>
        <v>PASS</v>
      </c>
    </row>
    <row r="2287" customFormat="false" ht="15" hidden="false" customHeight="false" outlineLevel="0" collapsed="false">
      <c r="A2287" s="14" t="s">
        <v>1041</v>
      </c>
      <c r="B2287" s="14" t="s">
        <v>1038</v>
      </c>
      <c r="C2287" s="14" t="s">
        <v>169</v>
      </c>
      <c r="D2287" s="14" t="s">
        <v>160</v>
      </c>
      <c r="E2287" s="14" t="s">
        <v>161</v>
      </c>
      <c r="F2287" s="14" t="s">
        <v>150</v>
      </c>
      <c r="G2287" s="14" t="n">
        <v>3</v>
      </c>
      <c r="H2287" s="14" t="s">
        <v>158</v>
      </c>
      <c r="I2287" s="14" t="s">
        <v>890</v>
      </c>
      <c r="J2287" s="15" t="n">
        <f aca="false">IF(B2287="SITE LOSS",IF(D2287=C2287,1,0),IF(B2287="REGION LOSS",IF(E2287=C2287,1,0),0))</f>
        <v>0</v>
      </c>
      <c r="K2287" s="15" t="n">
        <f aca="false">IF(B2287="SITE LOSS",IF(COUNTIFS('Site Dockets'!$B$7:$B$24,C2287,'Site Dockets'!$C$7:$C$24,F2287)&gt;0,1,0),IF(B2287="REGION LOSS",IF(COUNTIFS('Site Dockets'!$E$7:$E$24,C2287,'Site Dockets'!$C$7:$C$24,F2287)&gt;0,1,0),0))</f>
        <v>0</v>
      </c>
      <c r="L2287" s="15" t="n">
        <f aca="false">IF(J2287=1,0,Inputs!$B$11)</f>
        <v>100</v>
      </c>
      <c r="M2287" s="15" t="n">
        <f aca="false">IF(J2287=1,0,Inputs!$B$12)</f>
        <v>75</v>
      </c>
      <c r="N2287" s="15" t="n">
        <f aca="false">IF(J2287=1,0,IF(OR(AND(OR(B2287="SITE LOSS",B2287="REGION LOSS"),K2287=1),AND(B2287="ROLE COMPROMISE",H2287=C2287)),Inputs!$B$13,Inputs!$B$14))</f>
        <v>10</v>
      </c>
      <c r="O2287" s="15" t="n">
        <f aca="false">IF(J2287=1,0,Inputs!$B$13)</f>
        <v>20</v>
      </c>
      <c r="P2287" s="15" t="n">
        <f aca="false">SUM(M2287:N2287)</f>
        <v>85</v>
      </c>
      <c r="Q2287" s="15" t="n">
        <f aca="false">IF(J2287=1,"",L2287-P2287)</f>
        <v>15</v>
      </c>
      <c r="R2287" s="15" t="n">
        <f aca="false">IF(OR(J2287=1,M2287&lt;=Inputs!$B$12),1,0)</f>
        <v>1</v>
      </c>
      <c r="S2287" s="15" t="n">
        <f aca="false">IF(OR(J2287=1,N2287&lt;=O2287),1,0)</f>
        <v>1</v>
      </c>
      <c r="T2287" s="15" t="str">
        <f aca="false">IF(J2287=1,"OFFLINE",IF(AND(Q2287&gt;=Inputs!$B$15,R2287=1,S2287=1,P2287&lt;=L2287),"PASS","FAIL"))</f>
        <v>PASS</v>
      </c>
    </row>
    <row r="2288" customFormat="false" ht="15" hidden="false" customHeight="false" outlineLevel="0" collapsed="false">
      <c r="A2288" s="14" t="s">
        <v>1041</v>
      </c>
      <c r="B2288" s="14" t="s">
        <v>1038</v>
      </c>
      <c r="C2288" s="14" t="s">
        <v>169</v>
      </c>
      <c r="D2288" s="14" t="s">
        <v>160</v>
      </c>
      <c r="E2288" s="14" t="s">
        <v>161</v>
      </c>
      <c r="F2288" s="14" t="s">
        <v>150</v>
      </c>
      <c r="G2288" s="14" t="n">
        <v>3</v>
      </c>
      <c r="H2288" s="14" t="s">
        <v>158</v>
      </c>
      <c r="I2288" s="14" t="s">
        <v>892</v>
      </c>
      <c r="J2288" s="15" t="n">
        <f aca="false">IF(B2288="SITE LOSS",IF(D2288=C2288,1,0),IF(B2288="REGION LOSS",IF(E2288=C2288,1,0),0))</f>
        <v>0</v>
      </c>
      <c r="K2288" s="15" t="n">
        <f aca="false">IF(B2288="SITE LOSS",IF(COUNTIFS('Site Dockets'!$B$7:$B$24,C2288,'Site Dockets'!$C$7:$C$24,F2288)&gt;0,1,0),IF(B2288="REGION LOSS",IF(COUNTIFS('Site Dockets'!$E$7:$E$24,C2288,'Site Dockets'!$C$7:$C$24,F2288)&gt;0,1,0),0))</f>
        <v>0</v>
      </c>
      <c r="L2288" s="15" t="n">
        <f aca="false">IF(J2288=1,0,Inputs!$B$11)</f>
        <v>100</v>
      </c>
      <c r="M2288" s="15" t="n">
        <f aca="false">IF(J2288=1,0,Inputs!$B$12)</f>
        <v>75</v>
      </c>
      <c r="N2288" s="15" t="n">
        <f aca="false">IF(J2288=1,0,IF(OR(AND(OR(B2288="SITE LOSS",B2288="REGION LOSS"),K2288=1),AND(B2288="ROLE COMPROMISE",H2288=C2288)),Inputs!$B$13,Inputs!$B$14))</f>
        <v>10</v>
      </c>
      <c r="O2288" s="15" t="n">
        <f aca="false">IF(J2288=1,0,Inputs!$B$13)</f>
        <v>20</v>
      </c>
      <c r="P2288" s="15" t="n">
        <f aca="false">SUM(M2288:N2288)</f>
        <v>85</v>
      </c>
      <c r="Q2288" s="15" t="n">
        <f aca="false">IF(J2288=1,"",L2288-P2288)</f>
        <v>15</v>
      </c>
      <c r="R2288" s="15" t="n">
        <f aca="false">IF(OR(J2288=1,M2288&lt;=Inputs!$B$12),1,0)</f>
        <v>1</v>
      </c>
      <c r="S2288" s="15" t="n">
        <f aca="false">IF(OR(J2288=1,N2288&lt;=O2288),1,0)</f>
        <v>1</v>
      </c>
      <c r="T2288" s="15" t="str">
        <f aca="false">IF(J2288=1,"OFFLINE",IF(AND(Q2288&gt;=Inputs!$B$15,R2288=1,S2288=1,P2288&lt;=L2288),"PASS","FAIL"))</f>
        <v>PASS</v>
      </c>
    </row>
    <row r="2289" customFormat="false" ht="15" hidden="false" customHeight="false" outlineLevel="0" collapsed="false">
      <c r="A2289" s="14" t="s">
        <v>1041</v>
      </c>
      <c r="B2289" s="14" t="s">
        <v>1038</v>
      </c>
      <c r="C2289" s="14" t="s">
        <v>169</v>
      </c>
      <c r="D2289" s="14" t="s">
        <v>160</v>
      </c>
      <c r="E2289" s="14" t="s">
        <v>161</v>
      </c>
      <c r="F2289" s="14" t="s">
        <v>150</v>
      </c>
      <c r="G2289" s="14" t="n">
        <v>3</v>
      </c>
      <c r="H2289" s="14" t="s">
        <v>158</v>
      </c>
      <c r="I2289" s="14" t="s">
        <v>811</v>
      </c>
      <c r="J2289" s="15" t="n">
        <f aca="false">IF(B2289="SITE LOSS",IF(D2289=C2289,1,0),IF(B2289="REGION LOSS",IF(E2289=C2289,1,0),0))</f>
        <v>0</v>
      </c>
      <c r="K2289" s="15" t="n">
        <f aca="false">IF(B2289="SITE LOSS",IF(COUNTIFS('Site Dockets'!$B$7:$B$24,C2289,'Site Dockets'!$C$7:$C$24,F2289)&gt;0,1,0),IF(B2289="REGION LOSS",IF(COUNTIFS('Site Dockets'!$E$7:$E$24,C2289,'Site Dockets'!$C$7:$C$24,F2289)&gt;0,1,0),0))</f>
        <v>0</v>
      </c>
      <c r="L2289" s="15" t="n">
        <f aca="false">IF(J2289=1,0,Inputs!$B$11)</f>
        <v>100</v>
      </c>
      <c r="M2289" s="15" t="n">
        <f aca="false">IF(J2289=1,0,Inputs!$B$12)</f>
        <v>75</v>
      </c>
      <c r="N2289" s="15" t="n">
        <f aca="false">IF(J2289=1,0,IF(OR(AND(OR(B2289="SITE LOSS",B2289="REGION LOSS"),K2289=1),AND(B2289="ROLE COMPROMISE",H2289=C2289)),Inputs!$B$13,Inputs!$B$14))</f>
        <v>10</v>
      </c>
      <c r="O2289" s="15" t="n">
        <f aca="false">IF(J2289=1,0,Inputs!$B$13)</f>
        <v>20</v>
      </c>
      <c r="P2289" s="15" t="n">
        <f aca="false">SUM(M2289:N2289)</f>
        <v>85</v>
      </c>
      <c r="Q2289" s="15" t="n">
        <f aca="false">IF(J2289=1,"",L2289-P2289)</f>
        <v>15</v>
      </c>
      <c r="R2289" s="15" t="n">
        <f aca="false">IF(OR(J2289=1,M2289&lt;=Inputs!$B$12),1,0)</f>
        <v>1</v>
      </c>
      <c r="S2289" s="15" t="n">
        <f aca="false">IF(OR(J2289=1,N2289&lt;=O2289),1,0)</f>
        <v>1</v>
      </c>
      <c r="T2289" s="15" t="str">
        <f aca="false">IF(J2289=1,"OFFLINE",IF(AND(Q2289&gt;=Inputs!$B$15,R2289=1,S2289=1,P2289&lt;=L2289),"PASS","FAIL"))</f>
        <v>PASS</v>
      </c>
    </row>
    <row r="2290" customFormat="false" ht="15" hidden="false" customHeight="false" outlineLevel="0" collapsed="false">
      <c r="A2290" s="14" t="s">
        <v>1041</v>
      </c>
      <c r="B2290" s="14" t="s">
        <v>1038</v>
      </c>
      <c r="C2290" s="14" t="s">
        <v>169</v>
      </c>
      <c r="D2290" s="14" t="s">
        <v>160</v>
      </c>
      <c r="E2290" s="14" t="s">
        <v>161</v>
      </c>
      <c r="F2290" s="14" t="s">
        <v>150</v>
      </c>
      <c r="G2290" s="14" t="n">
        <v>3</v>
      </c>
      <c r="H2290" s="14" t="s">
        <v>158</v>
      </c>
      <c r="I2290" s="14" t="s">
        <v>895</v>
      </c>
      <c r="J2290" s="15" t="n">
        <f aca="false">IF(B2290="SITE LOSS",IF(D2290=C2290,1,0),IF(B2290="REGION LOSS",IF(E2290=C2290,1,0),0))</f>
        <v>0</v>
      </c>
      <c r="K2290" s="15" t="n">
        <f aca="false">IF(B2290="SITE LOSS",IF(COUNTIFS('Site Dockets'!$B$7:$B$24,C2290,'Site Dockets'!$C$7:$C$24,F2290)&gt;0,1,0),IF(B2290="REGION LOSS",IF(COUNTIFS('Site Dockets'!$E$7:$E$24,C2290,'Site Dockets'!$C$7:$C$24,F2290)&gt;0,1,0),0))</f>
        <v>0</v>
      </c>
      <c r="L2290" s="15" t="n">
        <f aca="false">IF(J2290=1,0,Inputs!$B$11)</f>
        <v>100</v>
      </c>
      <c r="M2290" s="15" t="n">
        <f aca="false">IF(J2290=1,0,Inputs!$B$12)</f>
        <v>75</v>
      </c>
      <c r="N2290" s="15" t="n">
        <f aca="false">IF(J2290=1,0,IF(OR(AND(OR(B2290="SITE LOSS",B2290="REGION LOSS"),K2290=1),AND(B2290="ROLE COMPROMISE",H2290=C2290)),Inputs!$B$13,Inputs!$B$14))</f>
        <v>10</v>
      </c>
      <c r="O2290" s="15" t="n">
        <f aca="false">IF(J2290=1,0,Inputs!$B$13)</f>
        <v>20</v>
      </c>
      <c r="P2290" s="15" t="n">
        <f aca="false">SUM(M2290:N2290)</f>
        <v>85</v>
      </c>
      <c r="Q2290" s="15" t="n">
        <f aca="false">IF(J2290=1,"",L2290-P2290)</f>
        <v>15</v>
      </c>
      <c r="R2290" s="15" t="n">
        <f aca="false">IF(OR(J2290=1,M2290&lt;=Inputs!$B$12),1,0)</f>
        <v>1</v>
      </c>
      <c r="S2290" s="15" t="n">
        <f aca="false">IF(OR(J2290=1,N2290&lt;=O2290),1,0)</f>
        <v>1</v>
      </c>
      <c r="T2290" s="15" t="str">
        <f aca="false">IF(J2290=1,"OFFLINE",IF(AND(Q2290&gt;=Inputs!$B$15,R2290=1,S2290=1,P2290&lt;=L2290),"PASS","FAIL"))</f>
        <v>PASS</v>
      </c>
    </row>
    <row r="2291" customFormat="false" ht="15" hidden="false" customHeight="false" outlineLevel="0" collapsed="false">
      <c r="A2291" s="14" t="s">
        <v>1041</v>
      </c>
      <c r="B2291" s="14" t="s">
        <v>1038</v>
      </c>
      <c r="C2291" s="14" t="s">
        <v>169</v>
      </c>
      <c r="D2291" s="14" t="s">
        <v>160</v>
      </c>
      <c r="E2291" s="14" t="s">
        <v>161</v>
      </c>
      <c r="F2291" s="14" t="s">
        <v>150</v>
      </c>
      <c r="G2291" s="14" t="n">
        <v>3</v>
      </c>
      <c r="H2291" s="14" t="s">
        <v>158</v>
      </c>
      <c r="I2291" s="14" t="s">
        <v>897</v>
      </c>
      <c r="J2291" s="15" t="n">
        <f aca="false">IF(B2291="SITE LOSS",IF(D2291=C2291,1,0),IF(B2291="REGION LOSS",IF(E2291=C2291,1,0),0))</f>
        <v>0</v>
      </c>
      <c r="K2291" s="15" t="n">
        <f aca="false">IF(B2291="SITE LOSS",IF(COUNTIFS('Site Dockets'!$B$7:$B$24,C2291,'Site Dockets'!$C$7:$C$24,F2291)&gt;0,1,0),IF(B2291="REGION LOSS",IF(COUNTIFS('Site Dockets'!$E$7:$E$24,C2291,'Site Dockets'!$C$7:$C$24,F2291)&gt;0,1,0),0))</f>
        <v>0</v>
      </c>
      <c r="L2291" s="15" t="n">
        <f aca="false">IF(J2291=1,0,Inputs!$B$11)</f>
        <v>100</v>
      </c>
      <c r="M2291" s="15" t="n">
        <f aca="false">IF(J2291=1,0,Inputs!$B$12)</f>
        <v>75</v>
      </c>
      <c r="N2291" s="15" t="n">
        <f aca="false">IF(J2291=1,0,IF(OR(AND(OR(B2291="SITE LOSS",B2291="REGION LOSS"),K2291=1),AND(B2291="ROLE COMPROMISE",H2291=C2291)),Inputs!$B$13,Inputs!$B$14))</f>
        <v>10</v>
      </c>
      <c r="O2291" s="15" t="n">
        <f aca="false">IF(J2291=1,0,Inputs!$B$13)</f>
        <v>20</v>
      </c>
      <c r="P2291" s="15" t="n">
        <f aca="false">SUM(M2291:N2291)</f>
        <v>85</v>
      </c>
      <c r="Q2291" s="15" t="n">
        <f aca="false">IF(J2291=1,"",L2291-P2291)</f>
        <v>15</v>
      </c>
      <c r="R2291" s="15" t="n">
        <f aca="false">IF(OR(J2291=1,M2291&lt;=Inputs!$B$12),1,0)</f>
        <v>1</v>
      </c>
      <c r="S2291" s="15" t="n">
        <f aca="false">IF(OR(J2291=1,N2291&lt;=O2291),1,0)</f>
        <v>1</v>
      </c>
      <c r="T2291" s="15" t="str">
        <f aca="false">IF(J2291=1,"OFFLINE",IF(AND(Q2291&gt;=Inputs!$B$15,R2291=1,S2291=1,P2291&lt;=L2291),"PASS","FAIL"))</f>
        <v>PASS</v>
      </c>
    </row>
    <row r="2292" customFormat="false" ht="15" hidden="false" customHeight="false" outlineLevel="0" collapsed="false">
      <c r="A2292" s="14" t="s">
        <v>1041</v>
      </c>
      <c r="B2292" s="14" t="s">
        <v>1038</v>
      </c>
      <c r="C2292" s="14" t="s">
        <v>169</v>
      </c>
      <c r="D2292" s="14" t="s">
        <v>160</v>
      </c>
      <c r="E2292" s="14" t="s">
        <v>161</v>
      </c>
      <c r="F2292" s="14" t="s">
        <v>150</v>
      </c>
      <c r="G2292" s="14" t="n">
        <v>3</v>
      </c>
      <c r="H2292" s="14" t="s">
        <v>158</v>
      </c>
      <c r="I2292" s="14" t="s">
        <v>899</v>
      </c>
      <c r="J2292" s="15" t="n">
        <f aca="false">IF(B2292="SITE LOSS",IF(D2292=C2292,1,0),IF(B2292="REGION LOSS",IF(E2292=C2292,1,0),0))</f>
        <v>0</v>
      </c>
      <c r="K2292" s="15" t="n">
        <f aca="false">IF(B2292="SITE LOSS",IF(COUNTIFS('Site Dockets'!$B$7:$B$24,C2292,'Site Dockets'!$C$7:$C$24,F2292)&gt;0,1,0),IF(B2292="REGION LOSS",IF(COUNTIFS('Site Dockets'!$E$7:$E$24,C2292,'Site Dockets'!$C$7:$C$24,F2292)&gt;0,1,0),0))</f>
        <v>0</v>
      </c>
      <c r="L2292" s="15" t="n">
        <f aca="false">IF(J2292=1,0,Inputs!$B$11)</f>
        <v>100</v>
      </c>
      <c r="M2292" s="15" t="n">
        <f aca="false">IF(J2292=1,0,Inputs!$B$12)</f>
        <v>75</v>
      </c>
      <c r="N2292" s="15" t="n">
        <f aca="false">IF(J2292=1,0,IF(OR(AND(OR(B2292="SITE LOSS",B2292="REGION LOSS"),K2292=1),AND(B2292="ROLE COMPROMISE",H2292=C2292)),Inputs!$B$13,Inputs!$B$14))</f>
        <v>10</v>
      </c>
      <c r="O2292" s="15" t="n">
        <f aca="false">IF(J2292=1,0,Inputs!$B$13)</f>
        <v>20</v>
      </c>
      <c r="P2292" s="15" t="n">
        <f aca="false">SUM(M2292:N2292)</f>
        <v>85</v>
      </c>
      <c r="Q2292" s="15" t="n">
        <f aca="false">IF(J2292=1,"",L2292-P2292)</f>
        <v>15</v>
      </c>
      <c r="R2292" s="15" t="n">
        <f aca="false">IF(OR(J2292=1,M2292&lt;=Inputs!$B$12),1,0)</f>
        <v>1</v>
      </c>
      <c r="S2292" s="15" t="n">
        <f aca="false">IF(OR(J2292=1,N2292&lt;=O2292),1,0)</f>
        <v>1</v>
      </c>
      <c r="T2292" s="15" t="str">
        <f aca="false">IF(J2292=1,"OFFLINE",IF(AND(Q2292&gt;=Inputs!$B$15,R2292=1,S2292=1,P2292&lt;=L2292),"PASS","FAIL"))</f>
        <v>PASS</v>
      </c>
    </row>
    <row r="2293" customFormat="false" ht="15" hidden="false" customHeight="false" outlineLevel="0" collapsed="false">
      <c r="A2293" s="14" t="s">
        <v>1041</v>
      </c>
      <c r="B2293" s="14" t="s">
        <v>1038</v>
      </c>
      <c r="C2293" s="14" t="s">
        <v>169</v>
      </c>
      <c r="D2293" s="14" t="s">
        <v>163</v>
      </c>
      <c r="E2293" s="14" t="s">
        <v>166</v>
      </c>
      <c r="F2293" s="14" t="s">
        <v>164</v>
      </c>
      <c r="G2293" s="14" t="n">
        <v>1</v>
      </c>
      <c r="H2293" s="14" t="s">
        <v>154</v>
      </c>
      <c r="I2293" s="14" t="s">
        <v>890</v>
      </c>
      <c r="J2293" s="15" t="n">
        <f aca="false">IF(B2293="SITE LOSS",IF(D2293=C2293,1,0),IF(B2293="REGION LOSS",IF(E2293=C2293,1,0),0))</f>
        <v>0</v>
      </c>
      <c r="K2293" s="15" t="n">
        <f aca="false">IF(B2293="SITE LOSS",IF(COUNTIFS('Site Dockets'!$B$7:$B$24,C2293,'Site Dockets'!$C$7:$C$24,F2293)&gt;0,1,0),IF(B2293="REGION LOSS",IF(COUNTIFS('Site Dockets'!$E$7:$E$24,C2293,'Site Dockets'!$C$7:$C$24,F2293)&gt;0,1,0),0))</f>
        <v>1</v>
      </c>
      <c r="L2293" s="15" t="n">
        <f aca="false">IF(J2293=1,0,Inputs!$B$11)</f>
        <v>100</v>
      </c>
      <c r="M2293" s="15" t="n">
        <f aca="false">IF(J2293=1,0,Inputs!$B$12)</f>
        <v>75</v>
      </c>
      <c r="N2293" s="15" t="n">
        <f aca="false">IF(J2293=1,0,IF(OR(AND(OR(B2293="SITE LOSS",B2293="REGION LOSS"),K2293=1),AND(B2293="ROLE COMPROMISE",H2293=C2293)),Inputs!$B$13,Inputs!$B$14))</f>
        <v>20</v>
      </c>
      <c r="O2293" s="15" t="n">
        <f aca="false">IF(J2293=1,0,Inputs!$B$13)</f>
        <v>20</v>
      </c>
      <c r="P2293" s="15" t="n">
        <f aca="false">SUM(M2293:N2293)</f>
        <v>95</v>
      </c>
      <c r="Q2293" s="15" t="n">
        <f aca="false">IF(J2293=1,"",L2293-P2293)</f>
        <v>5</v>
      </c>
      <c r="R2293" s="15" t="n">
        <f aca="false">IF(OR(J2293=1,M2293&lt;=Inputs!$B$12),1,0)</f>
        <v>1</v>
      </c>
      <c r="S2293" s="15" t="n">
        <f aca="false">IF(OR(J2293=1,N2293&lt;=O2293),1,0)</f>
        <v>1</v>
      </c>
      <c r="T2293" s="15" t="str">
        <f aca="false">IF(J2293=1,"OFFLINE",IF(AND(Q2293&gt;=Inputs!$B$15,R2293=1,S2293=1,P2293&lt;=L2293),"PASS","FAIL"))</f>
        <v>PASS</v>
      </c>
    </row>
    <row r="2294" customFormat="false" ht="15" hidden="false" customHeight="false" outlineLevel="0" collapsed="false">
      <c r="A2294" s="14" t="s">
        <v>1041</v>
      </c>
      <c r="B2294" s="14" t="s">
        <v>1038</v>
      </c>
      <c r="C2294" s="14" t="s">
        <v>169</v>
      </c>
      <c r="D2294" s="14" t="s">
        <v>163</v>
      </c>
      <c r="E2294" s="14" t="s">
        <v>166</v>
      </c>
      <c r="F2294" s="14" t="s">
        <v>164</v>
      </c>
      <c r="G2294" s="14" t="n">
        <v>1</v>
      </c>
      <c r="H2294" s="14" t="s">
        <v>154</v>
      </c>
      <c r="I2294" s="14" t="s">
        <v>892</v>
      </c>
      <c r="J2294" s="15" t="n">
        <f aca="false">IF(B2294="SITE LOSS",IF(D2294=C2294,1,0),IF(B2294="REGION LOSS",IF(E2294=C2294,1,0),0))</f>
        <v>0</v>
      </c>
      <c r="K2294" s="15" t="n">
        <f aca="false">IF(B2294="SITE LOSS",IF(COUNTIFS('Site Dockets'!$B$7:$B$24,C2294,'Site Dockets'!$C$7:$C$24,F2294)&gt;0,1,0),IF(B2294="REGION LOSS",IF(COUNTIFS('Site Dockets'!$E$7:$E$24,C2294,'Site Dockets'!$C$7:$C$24,F2294)&gt;0,1,0),0))</f>
        <v>1</v>
      </c>
      <c r="L2294" s="15" t="n">
        <f aca="false">IF(J2294=1,0,Inputs!$B$11)</f>
        <v>100</v>
      </c>
      <c r="M2294" s="15" t="n">
        <f aca="false">IF(J2294=1,0,Inputs!$B$12)</f>
        <v>75</v>
      </c>
      <c r="N2294" s="15" t="n">
        <f aca="false">IF(J2294=1,0,IF(OR(AND(OR(B2294="SITE LOSS",B2294="REGION LOSS"),K2294=1),AND(B2294="ROLE COMPROMISE",H2294=C2294)),Inputs!$B$13,Inputs!$B$14))</f>
        <v>20</v>
      </c>
      <c r="O2294" s="15" t="n">
        <f aca="false">IF(J2294=1,0,Inputs!$B$13)</f>
        <v>20</v>
      </c>
      <c r="P2294" s="15" t="n">
        <f aca="false">SUM(M2294:N2294)</f>
        <v>95</v>
      </c>
      <c r="Q2294" s="15" t="n">
        <f aca="false">IF(J2294=1,"",L2294-P2294)</f>
        <v>5</v>
      </c>
      <c r="R2294" s="15" t="n">
        <f aca="false">IF(OR(J2294=1,M2294&lt;=Inputs!$B$12),1,0)</f>
        <v>1</v>
      </c>
      <c r="S2294" s="15" t="n">
        <f aca="false">IF(OR(J2294=1,N2294&lt;=O2294),1,0)</f>
        <v>1</v>
      </c>
      <c r="T2294" s="15" t="str">
        <f aca="false">IF(J2294=1,"OFFLINE",IF(AND(Q2294&gt;=Inputs!$B$15,R2294=1,S2294=1,P2294&lt;=L2294),"PASS","FAIL"))</f>
        <v>PASS</v>
      </c>
    </row>
    <row r="2295" customFormat="false" ht="15" hidden="false" customHeight="false" outlineLevel="0" collapsed="false">
      <c r="A2295" s="14" t="s">
        <v>1041</v>
      </c>
      <c r="B2295" s="14" t="s">
        <v>1038</v>
      </c>
      <c r="C2295" s="14" t="s">
        <v>169</v>
      </c>
      <c r="D2295" s="14" t="s">
        <v>163</v>
      </c>
      <c r="E2295" s="14" t="s">
        <v>166</v>
      </c>
      <c r="F2295" s="14" t="s">
        <v>164</v>
      </c>
      <c r="G2295" s="14" t="n">
        <v>1</v>
      </c>
      <c r="H2295" s="14" t="s">
        <v>154</v>
      </c>
      <c r="I2295" s="14" t="s">
        <v>811</v>
      </c>
      <c r="J2295" s="15" t="n">
        <f aca="false">IF(B2295="SITE LOSS",IF(D2295=C2295,1,0),IF(B2295="REGION LOSS",IF(E2295=C2295,1,0),0))</f>
        <v>0</v>
      </c>
      <c r="K2295" s="15" t="n">
        <f aca="false">IF(B2295="SITE LOSS",IF(COUNTIFS('Site Dockets'!$B$7:$B$24,C2295,'Site Dockets'!$C$7:$C$24,F2295)&gt;0,1,0),IF(B2295="REGION LOSS",IF(COUNTIFS('Site Dockets'!$E$7:$E$24,C2295,'Site Dockets'!$C$7:$C$24,F2295)&gt;0,1,0),0))</f>
        <v>1</v>
      </c>
      <c r="L2295" s="15" t="n">
        <f aca="false">IF(J2295=1,0,Inputs!$B$11)</f>
        <v>100</v>
      </c>
      <c r="M2295" s="15" t="n">
        <f aca="false">IF(J2295=1,0,Inputs!$B$12)</f>
        <v>75</v>
      </c>
      <c r="N2295" s="15" t="n">
        <f aca="false">IF(J2295=1,0,IF(OR(AND(OR(B2295="SITE LOSS",B2295="REGION LOSS"),K2295=1),AND(B2295="ROLE COMPROMISE",H2295=C2295)),Inputs!$B$13,Inputs!$B$14))</f>
        <v>20</v>
      </c>
      <c r="O2295" s="15" t="n">
        <f aca="false">IF(J2295=1,0,Inputs!$B$13)</f>
        <v>20</v>
      </c>
      <c r="P2295" s="15" t="n">
        <f aca="false">SUM(M2295:N2295)</f>
        <v>95</v>
      </c>
      <c r="Q2295" s="15" t="n">
        <f aca="false">IF(J2295=1,"",L2295-P2295)</f>
        <v>5</v>
      </c>
      <c r="R2295" s="15" t="n">
        <f aca="false">IF(OR(J2295=1,M2295&lt;=Inputs!$B$12),1,0)</f>
        <v>1</v>
      </c>
      <c r="S2295" s="15" t="n">
        <f aca="false">IF(OR(J2295=1,N2295&lt;=O2295),1,0)</f>
        <v>1</v>
      </c>
      <c r="T2295" s="15" t="str">
        <f aca="false">IF(J2295=1,"OFFLINE",IF(AND(Q2295&gt;=Inputs!$B$15,R2295=1,S2295=1,P2295&lt;=L2295),"PASS","FAIL"))</f>
        <v>PASS</v>
      </c>
    </row>
    <row r="2296" customFormat="false" ht="15" hidden="false" customHeight="false" outlineLevel="0" collapsed="false">
      <c r="A2296" s="14" t="s">
        <v>1041</v>
      </c>
      <c r="B2296" s="14" t="s">
        <v>1038</v>
      </c>
      <c r="C2296" s="14" t="s">
        <v>169</v>
      </c>
      <c r="D2296" s="14" t="s">
        <v>163</v>
      </c>
      <c r="E2296" s="14" t="s">
        <v>166</v>
      </c>
      <c r="F2296" s="14" t="s">
        <v>164</v>
      </c>
      <c r="G2296" s="14" t="n">
        <v>1</v>
      </c>
      <c r="H2296" s="14" t="s">
        <v>154</v>
      </c>
      <c r="I2296" s="14" t="s">
        <v>895</v>
      </c>
      <c r="J2296" s="15" t="n">
        <f aca="false">IF(B2296="SITE LOSS",IF(D2296=C2296,1,0),IF(B2296="REGION LOSS",IF(E2296=C2296,1,0),0))</f>
        <v>0</v>
      </c>
      <c r="K2296" s="15" t="n">
        <f aca="false">IF(B2296="SITE LOSS",IF(COUNTIFS('Site Dockets'!$B$7:$B$24,C2296,'Site Dockets'!$C$7:$C$24,F2296)&gt;0,1,0),IF(B2296="REGION LOSS",IF(COUNTIFS('Site Dockets'!$E$7:$E$24,C2296,'Site Dockets'!$C$7:$C$24,F2296)&gt;0,1,0),0))</f>
        <v>1</v>
      </c>
      <c r="L2296" s="15" t="n">
        <f aca="false">IF(J2296=1,0,Inputs!$B$11)</f>
        <v>100</v>
      </c>
      <c r="M2296" s="15" t="n">
        <f aca="false">IF(J2296=1,0,Inputs!$B$12)</f>
        <v>75</v>
      </c>
      <c r="N2296" s="15" t="n">
        <f aca="false">IF(J2296=1,0,IF(OR(AND(OR(B2296="SITE LOSS",B2296="REGION LOSS"),K2296=1),AND(B2296="ROLE COMPROMISE",H2296=C2296)),Inputs!$B$13,Inputs!$B$14))</f>
        <v>20</v>
      </c>
      <c r="O2296" s="15" t="n">
        <f aca="false">IF(J2296=1,0,Inputs!$B$13)</f>
        <v>20</v>
      </c>
      <c r="P2296" s="15" t="n">
        <f aca="false">SUM(M2296:N2296)</f>
        <v>95</v>
      </c>
      <c r="Q2296" s="15" t="n">
        <f aca="false">IF(J2296=1,"",L2296-P2296)</f>
        <v>5</v>
      </c>
      <c r="R2296" s="15" t="n">
        <f aca="false">IF(OR(J2296=1,M2296&lt;=Inputs!$B$12),1,0)</f>
        <v>1</v>
      </c>
      <c r="S2296" s="15" t="n">
        <f aca="false">IF(OR(J2296=1,N2296&lt;=O2296),1,0)</f>
        <v>1</v>
      </c>
      <c r="T2296" s="15" t="str">
        <f aca="false">IF(J2296=1,"OFFLINE",IF(AND(Q2296&gt;=Inputs!$B$15,R2296=1,S2296=1,P2296&lt;=L2296),"PASS","FAIL"))</f>
        <v>PASS</v>
      </c>
    </row>
    <row r="2297" customFormat="false" ht="15" hidden="false" customHeight="false" outlineLevel="0" collapsed="false">
      <c r="A2297" s="14" t="s">
        <v>1041</v>
      </c>
      <c r="B2297" s="14" t="s">
        <v>1038</v>
      </c>
      <c r="C2297" s="14" t="s">
        <v>169</v>
      </c>
      <c r="D2297" s="14" t="s">
        <v>163</v>
      </c>
      <c r="E2297" s="14" t="s">
        <v>166</v>
      </c>
      <c r="F2297" s="14" t="s">
        <v>164</v>
      </c>
      <c r="G2297" s="14" t="n">
        <v>1</v>
      </c>
      <c r="H2297" s="14" t="s">
        <v>154</v>
      </c>
      <c r="I2297" s="14" t="s">
        <v>897</v>
      </c>
      <c r="J2297" s="15" t="n">
        <f aca="false">IF(B2297="SITE LOSS",IF(D2297=C2297,1,0),IF(B2297="REGION LOSS",IF(E2297=C2297,1,0),0))</f>
        <v>0</v>
      </c>
      <c r="K2297" s="15" t="n">
        <f aca="false">IF(B2297="SITE LOSS",IF(COUNTIFS('Site Dockets'!$B$7:$B$24,C2297,'Site Dockets'!$C$7:$C$24,F2297)&gt;0,1,0),IF(B2297="REGION LOSS",IF(COUNTIFS('Site Dockets'!$E$7:$E$24,C2297,'Site Dockets'!$C$7:$C$24,F2297)&gt;0,1,0),0))</f>
        <v>1</v>
      </c>
      <c r="L2297" s="15" t="n">
        <f aca="false">IF(J2297=1,0,Inputs!$B$11)</f>
        <v>100</v>
      </c>
      <c r="M2297" s="15" t="n">
        <f aca="false">IF(J2297=1,0,Inputs!$B$12)</f>
        <v>75</v>
      </c>
      <c r="N2297" s="15" t="n">
        <f aca="false">IF(J2297=1,0,IF(OR(AND(OR(B2297="SITE LOSS",B2297="REGION LOSS"),K2297=1),AND(B2297="ROLE COMPROMISE",H2297=C2297)),Inputs!$B$13,Inputs!$B$14))</f>
        <v>20</v>
      </c>
      <c r="O2297" s="15" t="n">
        <f aca="false">IF(J2297=1,0,Inputs!$B$13)</f>
        <v>20</v>
      </c>
      <c r="P2297" s="15" t="n">
        <f aca="false">SUM(M2297:N2297)</f>
        <v>95</v>
      </c>
      <c r="Q2297" s="15" t="n">
        <f aca="false">IF(J2297=1,"",L2297-P2297)</f>
        <v>5</v>
      </c>
      <c r="R2297" s="15" t="n">
        <f aca="false">IF(OR(J2297=1,M2297&lt;=Inputs!$B$12),1,0)</f>
        <v>1</v>
      </c>
      <c r="S2297" s="15" t="n">
        <f aca="false">IF(OR(J2297=1,N2297&lt;=O2297),1,0)</f>
        <v>1</v>
      </c>
      <c r="T2297" s="15" t="str">
        <f aca="false">IF(J2297=1,"OFFLINE",IF(AND(Q2297&gt;=Inputs!$B$15,R2297=1,S2297=1,P2297&lt;=L2297),"PASS","FAIL"))</f>
        <v>PASS</v>
      </c>
    </row>
    <row r="2298" customFormat="false" ht="15" hidden="false" customHeight="false" outlineLevel="0" collapsed="false">
      <c r="A2298" s="14" t="s">
        <v>1041</v>
      </c>
      <c r="B2298" s="14" t="s">
        <v>1038</v>
      </c>
      <c r="C2298" s="14" t="s">
        <v>169</v>
      </c>
      <c r="D2298" s="14" t="s">
        <v>163</v>
      </c>
      <c r="E2298" s="14" t="s">
        <v>166</v>
      </c>
      <c r="F2298" s="14" t="s">
        <v>164</v>
      </c>
      <c r="G2298" s="14" t="n">
        <v>1</v>
      </c>
      <c r="H2298" s="14" t="s">
        <v>154</v>
      </c>
      <c r="I2298" s="14" t="s">
        <v>899</v>
      </c>
      <c r="J2298" s="15" t="n">
        <f aca="false">IF(B2298="SITE LOSS",IF(D2298=C2298,1,0),IF(B2298="REGION LOSS",IF(E2298=C2298,1,0),0))</f>
        <v>0</v>
      </c>
      <c r="K2298" s="15" t="n">
        <f aca="false">IF(B2298="SITE LOSS",IF(COUNTIFS('Site Dockets'!$B$7:$B$24,C2298,'Site Dockets'!$C$7:$C$24,F2298)&gt;0,1,0),IF(B2298="REGION LOSS",IF(COUNTIFS('Site Dockets'!$E$7:$E$24,C2298,'Site Dockets'!$C$7:$C$24,F2298)&gt;0,1,0),0))</f>
        <v>1</v>
      </c>
      <c r="L2298" s="15" t="n">
        <f aca="false">IF(J2298=1,0,Inputs!$B$11)</f>
        <v>100</v>
      </c>
      <c r="M2298" s="15" t="n">
        <f aca="false">IF(J2298=1,0,Inputs!$B$12)</f>
        <v>75</v>
      </c>
      <c r="N2298" s="15" t="n">
        <f aca="false">IF(J2298=1,0,IF(OR(AND(OR(B2298="SITE LOSS",B2298="REGION LOSS"),K2298=1),AND(B2298="ROLE COMPROMISE",H2298=C2298)),Inputs!$B$13,Inputs!$B$14))</f>
        <v>20</v>
      </c>
      <c r="O2298" s="15" t="n">
        <f aca="false">IF(J2298=1,0,Inputs!$B$13)</f>
        <v>20</v>
      </c>
      <c r="P2298" s="15" t="n">
        <f aca="false">SUM(M2298:N2298)</f>
        <v>95</v>
      </c>
      <c r="Q2298" s="15" t="n">
        <f aca="false">IF(J2298=1,"",L2298-P2298)</f>
        <v>5</v>
      </c>
      <c r="R2298" s="15" t="n">
        <f aca="false">IF(OR(J2298=1,M2298&lt;=Inputs!$B$12),1,0)</f>
        <v>1</v>
      </c>
      <c r="S2298" s="15" t="n">
        <f aca="false">IF(OR(J2298=1,N2298&lt;=O2298),1,0)</f>
        <v>1</v>
      </c>
      <c r="T2298" s="15" t="str">
        <f aca="false">IF(J2298=1,"OFFLINE",IF(AND(Q2298&gt;=Inputs!$B$15,R2298=1,S2298=1,P2298&lt;=L2298),"PASS","FAIL"))</f>
        <v>PASS</v>
      </c>
    </row>
    <row r="2299" customFormat="false" ht="15" hidden="false" customHeight="false" outlineLevel="0" collapsed="false">
      <c r="A2299" s="14" t="s">
        <v>1041</v>
      </c>
      <c r="B2299" s="14" t="s">
        <v>1038</v>
      </c>
      <c r="C2299" s="14" t="s">
        <v>169</v>
      </c>
      <c r="D2299" s="14" t="s">
        <v>168</v>
      </c>
      <c r="E2299" s="14" t="s">
        <v>169</v>
      </c>
      <c r="F2299" s="14" t="s">
        <v>164</v>
      </c>
      <c r="G2299" s="14" t="n">
        <v>2</v>
      </c>
      <c r="H2299" s="14" t="s">
        <v>153</v>
      </c>
      <c r="I2299" s="14" t="s">
        <v>890</v>
      </c>
      <c r="J2299" s="15" t="n">
        <f aca="false">IF(B2299="SITE LOSS",IF(D2299=C2299,1,0),IF(B2299="REGION LOSS",IF(E2299=C2299,1,0),0))</f>
        <v>1</v>
      </c>
      <c r="K2299" s="15" t="n">
        <f aca="false">IF(B2299="SITE LOSS",IF(COUNTIFS('Site Dockets'!$B$7:$B$24,C2299,'Site Dockets'!$C$7:$C$24,F2299)&gt;0,1,0),IF(B2299="REGION LOSS",IF(COUNTIFS('Site Dockets'!$E$7:$E$24,C2299,'Site Dockets'!$C$7:$C$24,F2299)&gt;0,1,0),0))</f>
        <v>1</v>
      </c>
      <c r="L2299" s="15" t="n">
        <f aca="false">IF(J2299=1,0,Inputs!$B$11)</f>
        <v>0</v>
      </c>
      <c r="M2299" s="15" t="n">
        <f aca="false">IF(J2299=1,0,Inputs!$B$12)</f>
        <v>0</v>
      </c>
      <c r="N2299" s="15" t="n">
        <f aca="false">IF(J2299=1,0,IF(OR(AND(OR(B2299="SITE LOSS",B2299="REGION LOSS"),K2299=1),AND(B2299="ROLE COMPROMISE",H2299=C2299)),Inputs!$B$13,Inputs!$B$14))</f>
        <v>0</v>
      </c>
      <c r="O2299" s="15" t="n">
        <f aca="false">IF(J2299=1,0,Inputs!$B$13)</f>
        <v>0</v>
      </c>
      <c r="P2299" s="15" t="n">
        <f aca="false">SUM(M2299:N2299)</f>
        <v>0</v>
      </c>
      <c r="Q2299" s="15" t="str">
        <f aca="false">IF(J2299=1,"",L2299-P2299)</f>
        <v/>
      </c>
      <c r="R2299" s="15" t="n">
        <f aca="false">IF(OR(J2299=1,M2299&lt;=Inputs!$B$12),1,0)</f>
        <v>1</v>
      </c>
      <c r="S2299" s="15" t="n">
        <f aca="false">IF(OR(J2299=1,N2299&lt;=O2299),1,0)</f>
        <v>1</v>
      </c>
      <c r="T2299" s="15" t="str">
        <f aca="false">IF(J2299=1,"OFFLINE",IF(AND(Q2299&gt;=Inputs!$B$15,R2299=1,S2299=1,P2299&lt;=L2299),"PASS","FAIL"))</f>
        <v>OFFLINE</v>
      </c>
    </row>
    <row r="2300" customFormat="false" ht="15" hidden="false" customHeight="false" outlineLevel="0" collapsed="false">
      <c r="A2300" s="14" t="s">
        <v>1041</v>
      </c>
      <c r="B2300" s="14" t="s">
        <v>1038</v>
      </c>
      <c r="C2300" s="14" t="s">
        <v>169</v>
      </c>
      <c r="D2300" s="14" t="s">
        <v>168</v>
      </c>
      <c r="E2300" s="14" t="s">
        <v>169</v>
      </c>
      <c r="F2300" s="14" t="s">
        <v>164</v>
      </c>
      <c r="G2300" s="14" t="n">
        <v>2</v>
      </c>
      <c r="H2300" s="14" t="s">
        <v>153</v>
      </c>
      <c r="I2300" s="14" t="s">
        <v>892</v>
      </c>
      <c r="J2300" s="15" t="n">
        <f aca="false">IF(B2300="SITE LOSS",IF(D2300=C2300,1,0),IF(B2300="REGION LOSS",IF(E2300=C2300,1,0),0))</f>
        <v>1</v>
      </c>
      <c r="K2300" s="15" t="n">
        <f aca="false">IF(B2300="SITE LOSS",IF(COUNTIFS('Site Dockets'!$B$7:$B$24,C2300,'Site Dockets'!$C$7:$C$24,F2300)&gt;0,1,0),IF(B2300="REGION LOSS",IF(COUNTIFS('Site Dockets'!$E$7:$E$24,C2300,'Site Dockets'!$C$7:$C$24,F2300)&gt;0,1,0),0))</f>
        <v>1</v>
      </c>
      <c r="L2300" s="15" t="n">
        <f aca="false">IF(J2300=1,0,Inputs!$B$11)</f>
        <v>0</v>
      </c>
      <c r="M2300" s="15" t="n">
        <f aca="false">IF(J2300=1,0,Inputs!$B$12)</f>
        <v>0</v>
      </c>
      <c r="N2300" s="15" t="n">
        <f aca="false">IF(J2300=1,0,IF(OR(AND(OR(B2300="SITE LOSS",B2300="REGION LOSS"),K2300=1),AND(B2300="ROLE COMPROMISE",H2300=C2300)),Inputs!$B$13,Inputs!$B$14))</f>
        <v>0</v>
      </c>
      <c r="O2300" s="15" t="n">
        <f aca="false">IF(J2300=1,0,Inputs!$B$13)</f>
        <v>0</v>
      </c>
      <c r="P2300" s="15" t="n">
        <f aca="false">SUM(M2300:N2300)</f>
        <v>0</v>
      </c>
      <c r="Q2300" s="15" t="str">
        <f aca="false">IF(J2300=1,"",L2300-P2300)</f>
        <v/>
      </c>
      <c r="R2300" s="15" t="n">
        <f aca="false">IF(OR(J2300=1,M2300&lt;=Inputs!$B$12),1,0)</f>
        <v>1</v>
      </c>
      <c r="S2300" s="15" t="n">
        <f aca="false">IF(OR(J2300=1,N2300&lt;=O2300),1,0)</f>
        <v>1</v>
      </c>
      <c r="T2300" s="15" t="str">
        <f aca="false">IF(J2300=1,"OFFLINE",IF(AND(Q2300&gt;=Inputs!$B$15,R2300=1,S2300=1,P2300&lt;=L2300),"PASS","FAIL"))</f>
        <v>OFFLINE</v>
      </c>
    </row>
    <row r="2301" customFormat="false" ht="15" hidden="false" customHeight="false" outlineLevel="0" collapsed="false">
      <c r="A2301" s="14" t="s">
        <v>1041</v>
      </c>
      <c r="B2301" s="14" t="s">
        <v>1038</v>
      </c>
      <c r="C2301" s="14" t="s">
        <v>169</v>
      </c>
      <c r="D2301" s="14" t="s">
        <v>168</v>
      </c>
      <c r="E2301" s="14" t="s">
        <v>169</v>
      </c>
      <c r="F2301" s="14" t="s">
        <v>164</v>
      </c>
      <c r="G2301" s="14" t="n">
        <v>2</v>
      </c>
      <c r="H2301" s="14" t="s">
        <v>153</v>
      </c>
      <c r="I2301" s="14" t="s">
        <v>811</v>
      </c>
      <c r="J2301" s="15" t="n">
        <f aca="false">IF(B2301="SITE LOSS",IF(D2301=C2301,1,0),IF(B2301="REGION LOSS",IF(E2301=C2301,1,0),0))</f>
        <v>1</v>
      </c>
      <c r="K2301" s="15" t="n">
        <f aca="false">IF(B2301="SITE LOSS",IF(COUNTIFS('Site Dockets'!$B$7:$B$24,C2301,'Site Dockets'!$C$7:$C$24,F2301)&gt;0,1,0),IF(B2301="REGION LOSS",IF(COUNTIFS('Site Dockets'!$E$7:$E$24,C2301,'Site Dockets'!$C$7:$C$24,F2301)&gt;0,1,0),0))</f>
        <v>1</v>
      </c>
      <c r="L2301" s="15" t="n">
        <f aca="false">IF(J2301=1,0,Inputs!$B$11)</f>
        <v>0</v>
      </c>
      <c r="M2301" s="15" t="n">
        <f aca="false">IF(J2301=1,0,Inputs!$B$12)</f>
        <v>0</v>
      </c>
      <c r="N2301" s="15" t="n">
        <f aca="false">IF(J2301=1,0,IF(OR(AND(OR(B2301="SITE LOSS",B2301="REGION LOSS"),K2301=1),AND(B2301="ROLE COMPROMISE",H2301=C2301)),Inputs!$B$13,Inputs!$B$14))</f>
        <v>0</v>
      </c>
      <c r="O2301" s="15" t="n">
        <f aca="false">IF(J2301=1,0,Inputs!$B$13)</f>
        <v>0</v>
      </c>
      <c r="P2301" s="15" t="n">
        <f aca="false">SUM(M2301:N2301)</f>
        <v>0</v>
      </c>
      <c r="Q2301" s="15" t="str">
        <f aca="false">IF(J2301=1,"",L2301-P2301)</f>
        <v/>
      </c>
      <c r="R2301" s="15" t="n">
        <f aca="false">IF(OR(J2301=1,M2301&lt;=Inputs!$B$12),1,0)</f>
        <v>1</v>
      </c>
      <c r="S2301" s="15" t="n">
        <f aca="false">IF(OR(J2301=1,N2301&lt;=O2301),1,0)</f>
        <v>1</v>
      </c>
      <c r="T2301" s="15" t="str">
        <f aca="false">IF(J2301=1,"OFFLINE",IF(AND(Q2301&gt;=Inputs!$B$15,R2301=1,S2301=1,P2301&lt;=L2301),"PASS","FAIL"))</f>
        <v>OFFLINE</v>
      </c>
    </row>
    <row r="2302" customFormat="false" ht="15" hidden="false" customHeight="false" outlineLevel="0" collapsed="false">
      <c r="A2302" s="14" t="s">
        <v>1041</v>
      </c>
      <c r="B2302" s="14" t="s">
        <v>1038</v>
      </c>
      <c r="C2302" s="14" t="s">
        <v>169</v>
      </c>
      <c r="D2302" s="14" t="s">
        <v>168</v>
      </c>
      <c r="E2302" s="14" t="s">
        <v>169</v>
      </c>
      <c r="F2302" s="14" t="s">
        <v>164</v>
      </c>
      <c r="G2302" s="14" t="n">
        <v>2</v>
      </c>
      <c r="H2302" s="14" t="s">
        <v>153</v>
      </c>
      <c r="I2302" s="14" t="s">
        <v>895</v>
      </c>
      <c r="J2302" s="15" t="n">
        <f aca="false">IF(B2302="SITE LOSS",IF(D2302=C2302,1,0),IF(B2302="REGION LOSS",IF(E2302=C2302,1,0),0))</f>
        <v>1</v>
      </c>
      <c r="K2302" s="15" t="n">
        <f aca="false">IF(B2302="SITE LOSS",IF(COUNTIFS('Site Dockets'!$B$7:$B$24,C2302,'Site Dockets'!$C$7:$C$24,F2302)&gt;0,1,0),IF(B2302="REGION LOSS",IF(COUNTIFS('Site Dockets'!$E$7:$E$24,C2302,'Site Dockets'!$C$7:$C$24,F2302)&gt;0,1,0),0))</f>
        <v>1</v>
      </c>
      <c r="L2302" s="15" t="n">
        <f aca="false">IF(J2302=1,0,Inputs!$B$11)</f>
        <v>0</v>
      </c>
      <c r="M2302" s="15" t="n">
        <f aca="false">IF(J2302=1,0,Inputs!$B$12)</f>
        <v>0</v>
      </c>
      <c r="N2302" s="15" t="n">
        <f aca="false">IF(J2302=1,0,IF(OR(AND(OR(B2302="SITE LOSS",B2302="REGION LOSS"),K2302=1),AND(B2302="ROLE COMPROMISE",H2302=C2302)),Inputs!$B$13,Inputs!$B$14))</f>
        <v>0</v>
      </c>
      <c r="O2302" s="15" t="n">
        <f aca="false">IF(J2302=1,0,Inputs!$B$13)</f>
        <v>0</v>
      </c>
      <c r="P2302" s="15" t="n">
        <f aca="false">SUM(M2302:N2302)</f>
        <v>0</v>
      </c>
      <c r="Q2302" s="15" t="str">
        <f aca="false">IF(J2302=1,"",L2302-P2302)</f>
        <v/>
      </c>
      <c r="R2302" s="15" t="n">
        <f aca="false">IF(OR(J2302=1,M2302&lt;=Inputs!$B$12),1,0)</f>
        <v>1</v>
      </c>
      <c r="S2302" s="15" t="n">
        <f aca="false">IF(OR(J2302=1,N2302&lt;=O2302),1,0)</f>
        <v>1</v>
      </c>
      <c r="T2302" s="15" t="str">
        <f aca="false">IF(J2302=1,"OFFLINE",IF(AND(Q2302&gt;=Inputs!$B$15,R2302=1,S2302=1,P2302&lt;=L2302),"PASS","FAIL"))</f>
        <v>OFFLINE</v>
      </c>
    </row>
    <row r="2303" customFormat="false" ht="15" hidden="false" customHeight="false" outlineLevel="0" collapsed="false">
      <c r="A2303" s="14" t="s">
        <v>1041</v>
      </c>
      <c r="B2303" s="14" t="s">
        <v>1038</v>
      </c>
      <c r="C2303" s="14" t="s">
        <v>169</v>
      </c>
      <c r="D2303" s="14" t="s">
        <v>168</v>
      </c>
      <c r="E2303" s="14" t="s">
        <v>169</v>
      </c>
      <c r="F2303" s="14" t="s">
        <v>164</v>
      </c>
      <c r="G2303" s="14" t="n">
        <v>2</v>
      </c>
      <c r="H2303" s="14" t="s">
        <v>153</v>
      </c>
      <c r="I2303" s="14" t="s">
        <v>897</v>
      </c>
      <c r="J2303" s="15" t="n">
        <f aca="false">IF(B2303="SITE LOSS",IF(D2303=C2303,1,0),IF(B2303="REGION LOSS",IF(E2303=C2303,1,0),0))</f>
        <v>1</v>
      </c>
      <c r="K2303" s="15" t="n">
        <f aca="false">IF(B2303="SITE LOSS",IF(COUNTIFS('Site Dockets'!$B$7:$B$24,C2303,'Site Dockets'!$C$7:$C$24,F2303)&gt;0,1,0),IF(B2303="REGION LOSS",IF(COUNTIFS('Site Dockets'!$E$7:$E$24,C2303,'Site Dockets'!$C$7:$C$24,F2303)&gt;0,1,0),0))</f>
        <v>1</v>
      </c>
      <c r="L2303" s="15" t="n">
        <f aca="false">IF(J2303=1,0,Inputs!$B$11)</f>
        <v>0</v>
      </c>
      <c r="M2303" s="15" t="n">
        <f aca="false">IF(J2303=1,0,Inputs!$B$12)</f>
        <v>0</v>
      </c>
      <c r="N2303" s="15" t="n">
        <f aca="false">IF(J2303=1,0,IF(OR(AND(OR(B2303="SITE LOSS",B2303="REGION LOSS"),K2303=1),AND(B2303="ROLE COMPROMISE",H2303=C2303)),Inputs!$B$13,Inputs!$B$14))</f>
        <v>0</v>
      </c>
      <c r="O2303" s="15" t="n">
        <f aca="false">IF(J2303=1,0,Inputs!$B$13)</f>
        <v>0</v>
      </c>
      <c r="P2303" s="15" t="n">
        <f aca="false">SUM(M2303:N2303)</f>
        <v>0</v>
      </c>
      <c r="Q2303" s="15" t="str">
        <f aca="false">IF(J2303=1,"",L2303-P2303)</f>
        <v/>
      </c>
      <c r="R2303" s="15" t="n">
        <f aca="false">IF(OR(J2303=1,M2303&lt;=Inputs!$B$12),1,0)</f>
        <v>1</v>
      </c>
      <c r="S2303" s="15" t="n">
        <f aca="false">IF(OR(J2303=1,N2303&lt;=O2303),1,0)</f>
        <v>1</v>
      </c>
      <c r="T2303" s="15" t="str">
        <f aca="false">IF(J2303=1,"OFFLINE",IF(AND(Q2303&gt;=Inputs!$B$15,R2303=1,S2303=1,P2303&lt;=L2303),"PASS","FAIL"))</f>
        <v>OFFLINE</v>
      </c>
    </row>
    <row r="2304" customFormat="false" ht="15" hidden="false" customHeight="false" outlineLevel="0" collapsed="false">
      <c r="A2304" s="14" t="s">
        <v>1041</v>
      </c>
      <c r="B2304" s="14" t="s">
        <v>1038</v>
      </c>
      <c r="C2304" s="14" t="s">
        <v>169</v>
      </c>
      <c r="D2304" s="14" t="s">
        <v>168</v>
      </c>
      <c r="E2304" s="14" t="s">
        <v>169</v>
      </c>
      <c r="F2304" s="14" t="s">
        <v>164</v>
      </c>
      <c r="G2304" s="14" t="n">
        <v>2</v>
      </c>
      <c r="H2304" s="14" t="s">
        <v>153</v>
      </c>
      <c r="I2304" s="14" t="s">
        <v>899</v>
      </c>
      <c r="J2304" s="15" t="n">
        <f aca="false">IF(B2304="SITE LOSS",IF(D2304=C2304,1,0),IF(B2304="REGION LOSS",IF(E2304=C2304,1,0),0))</f>
        <v>1</v>
      </c>
      <c r="K2304" s="15" t="n">
        <f aca="false">IF(B2304="SITE LOSS",IF(COUNTIFS('Site Dockets'!$B$7:$B$24,C2304,'Site Dockets'!$C$7:$C$24,F2304)&gt;0,1,0),IF(B2304="REGION LOSS",IF(COUNTIFS('Site Dockets'!$E$7:$E$24,C2304,'Site Dockets'!$C$7:$C$24,F2304)&gt;0,1,0),0))</f>
        <v>1</v>
      </c>
      <c r="L2304" s="15" t="n">
        <f aca="false">IF(J2304=1,0,Inputs!$B$11)</f>
        <v>0</v>
      </c>
      <c r="M2304" s="15" t="n">
        <f aca="false">IF(J2304=1,0,Inputs!$B$12)</f>
        <v>0</v>
      </c>
      <c r="N2304" s="15" t="n">
        <f aca="false">IF(J2304=1,0,IF(OR(AND(OR(B2304="SITE LOSS",B2304="REGION LOSS"),K2304=1),AND(B2304="ROLE COMPROMISE",H2304=C2304)),Inputs!$B$13,Inputs!$B$14))</f>
        <v>0</v>
      </c>
      <c r="O2304" s="15" t="n">
        <f aca="false">IF(J2304=1,0,Inputs!$B$13)</f>
        <v>0</v>
      </c>
      <c r="P2304" s="15" t="n">
        <f aca="false">SUM(M2304:N2304)</f>
        <v>0</v>
      </c>
      <c r="Q2304" s="15" t="str">
        <f aca="false">IF(J2304=1,"",L2304-P2304)</f>
        <v/>
      </c>
      <c r="R2304" s="15" t="n">
        <f aca="false">IF(OR(J2304=1,M2304&lt;=Inputs!$B$12),1,0)</f>
        <v>1</v>
      </c>
      <c r="S2304" s="15" t="n">
        <f aca="false">IF(OR(J2304=1,N2304&lt;=O2304),1,0)</f>
        <v>1</v>
      </c>
      <c r="T2304" s="15" t="str">
        <f aca="false">IF(J2304=1,"OFFLINE",IF(AND(Q2304&gt;=Inputs!$B$15,R2304=1,S2304=1,P2304&lt;=L2304),"PASS","FAIL"))</f>
        <v>OFFLINE</v>
      </c>
    </row>
    <row r="2305" customFormat="false" ht="15" hidden="false" customHeight="false" outlineLevel="0" collapsed="false">
      <c r="A2305" s="14" t="s">
        <v>1041</v>
      </c>
      <c r="B2305" s="14" t="s">
        <v>1038</v>
      </c>
      <c r="C2305" s="14" t="s">
        <v>169</v>
      </c>
      <c r="D2305" s="14" t="s">
        <v>171</v>
      </c>
      <c r="E2305" s="14" t="s">
        <v>172</v>
      </c>
      <c r="F2305" s="14" t="s">
        <v>164</v>
      </c>
      <c r="G2305" s="14" t="n">
        <v>3</v>
      </c>
      <c r="H2305" s="14" t="s">
        <v>158</v>
      </c>
      <c r="I2305" s="14" t="s">
        <v>890</v>
      </c>
      <c r="J2305" s="15" t="n">
        <f aca="false">IF(B2305="SITE LOSS",IF(D2305=C2305,1,0),IF(B2305="REGION LOSS",IF(E2305=C2305,1,0),0))</f>
        <v>0</v>
      </c>
      <c r="K2305" s="15" t="n">
        <f aca="false">IF(B2305="SITE LOSS",IF(COUNTIFS('Site Dockets'!$B$7:$B$24,C2305,'Site Dockets'!$C$7:$C$24,F2305)&gt;0,1,0),IF(B2305="REGION LOSS",IF(COUNTIFS('Site Dockets'!$E$7:$E$24,C2305,'Site Dockets'!$C$7:$C$24,F2305)&gt;0,1,0),0))</f>
        <v>1</v>
      </c>
      <c r="L2305" s="15" t="n">
        <f aca="false">IF(J2305=1,0,Inputs!$B$11)</f>
        <v>100</v>
      </c>
      <c r="M2305" s="15" t="n">
        <f aca="false">IF(J2305=1,0,Inputs!$B$12)</f>
        <v>75</v>
      </c>
      <c r="N2305" s="15" t="n">
        <f aca="false">IF(J2305=1,0,IF(OR(AND(OR(B2305="SITE LOSS",B2305="REGION LOSS"),K2305=1),AND(B2305="ROLE COMPROMISE",H2305=C2305)),Inputs!$B$13,Inputs!$B$14))</f>
        <v>20</v>
      </c>
      <c r="O2305" s="15" t="n">
        <f aca="false">IF(J2305=1,0,Inputs!$B$13)</f>
        <v>20</v>
      </c>
      <c r="P2305" s="15" t="n">
        <f aca="false">SUM(M2305:N2305)</f>
        <v>95</v>
      </c>
      <c r="Q2305" s="15" t="n">
        <f aca="false">IF(J2305=1,"",L2305-P2305)</f>
        <v>5</v>
      </c>
      <c r="R2305" s="15" t="n">
        <f aca="false">IF(OR(J2305=1,M2305&lt;=Inputs!$B$12),1,0)</f>
        <v>1</v>
      </c>
      <c r="S2305" s="15" t="n">
        <f aca="false">IF(OR(J2305=1,N2305&lt;=O2305),1,0)</f>
        <v>1</v>
      </c>
      <c r="T2305" s="15" t="str">
        <f aca="false">IF(J2305=1,"OFFLINE",IF(AND(Q2305&gt;=Inputs!$B$15,R2305=1,S2305=1,P2305&lt;=L2305),"PASS","FAIL"))</f>
        <v>PASS</v>
      </c>
    </row>
    <row r="2306" customFormat="false" ht="15" hidden="false" customHeight="false" outlineLevel="0" collapsed="false">
      <c r="A2306" s="14" t="s">
        <v>1041</v>
      </c>
      <c r="B2306" s="14" t="s">
        <v>1038</v>
      </c>
      <c r="C2306" s="14" t="s">
        <v>169</v>
      </c>
      <c r="D2306" s="14" t="s">
        <v>171</v>
      </c>
      <c r="E2306" s="14" t="s">
        <v>172</v>
      </c>
      <c r="F2306" s="14" t="s">
        <v>164</v>
      </c>
      <c r="G2306" s="14" t="n">
        <v>3</v>
      </c>
      <c r="H2306" s="14" t="s">
        <v>158</v>
      </c>
      <c r="I2306" s="14" t="s">
        <v>892</v>
      </c>
      <c r="J2306" s="15" t="n">
        <f aca="false">IF(B2306="SITE LOSS",IF(D2306=C2306,1,0),IF(B2306="REGION LOSS",IF(E2306=C2306,1,0),0))</f>
        <v>0</v>
      </c>
      <c r="K2306" s="15" t="n">
        <f aca="false">IF(B2306="SITE LOSS",IF(COUNTIFS('Site Dockets'!$B$7:$B$24,C2306,'Site Dockets'!$C$7:$C$24,F2306)&gt;0,1,0),IF(B2306="REGION LOSS",IF(COUNTIFS('Site Dockets'!$E$7:$E$24,C2306,'Site Dockets'!$C$7:$C$24,F2306)&gt;0,1,0),0))</f>
        <v>1</v>
      </c>
      <c r="L2306" s="15" t="n">
        <f aca="false">IF(J2306=1,0,Inputs!$B$11)</f>
        <v>100</v>
      </c>
      <c r="M2306" s="15" t="n">
        <f aca="false">IF(J2306=1,0,Inputs!$B$12)</f>
        <v>75</v>
      </c>
      <c r="N2306" s="15" t="n">
        <f aca="false">IF(J2306=1,0,IF(OR(AND(OR(B2306="SITE LOSS",B2306="REGION LOSS"),K2306=1),AND(B2306="ROLE COMPROMISE",H2306=C2306)),Inputs!$B$13,Inputs!$B$14))</f>
        <v>20</v>
      </c>
      <c r="O2306" s="15" t="n">
        <f aca="false">IF(J2306=1,0,Inputs!$B$13)</f>
        <v>20</v>
      </c>
      <c r="P2306" s="15" t="n">
        <f aca="false">SUM(M2306:N2306)</f>
        <v>95</v>
      </c>
      <c r="Q2306" s="15" t="n">
        <f aca="false">IF(J2306=1,"",L2306-P2306)</f>
        <v>5</v>
      </c>
      <c r="R2306" s="15" t="n">
        <f aca="false">IF(OR(J2306=1,M2306&lt;=Inputs!$B$12),1,0)</f>
        <v>1</v>
      </c>
      <c r="S2306" s="15" t="n">
        <f aca="false">IF(OR(J2306=1,N2306&lt;=O2306),1,0)</f>
        <v>1</v>
      </c>
      <c r="T2306" s="15" t="str">
        <f aca="false">IF(J2306=1,"OFFLINE",IF(AND(Q2306&gt;=Inputs!$B$15,R2306=1,S2306=1,P2306&lt;=L2306),"PASS","FAIL"))</f>
        <v>PASS</v>
      </c>
    </row>
    <row r="2307" customFormat="false" ht="15" hidden="false" customHeight="false" outlineLevel="0" collapsed="false">
      <c r="A2307" s="14" t="s">
        <v>1041</v>
      </c>
      <c r="B2307" s="14" t="s">
        <v>1038</v>
      </c>
      <c r="C2307" s="14" t="s">
        <v>169</v>
      </c>
      <c r="D2307" s="14" t="s">
        <v>171</v>
      </c>
      <c r="E2307" s="14" t="s">
        <v>172</v>
      </c>
      <c r="F2307" s="14" t="s">
        <v>164</v>
      </c>
      <c r="G2307" s="14" t="n">
        <v>3</v>
      </c>
      <c r="H2307" s="14" t="s">
        <v>158</v>
      </c>
      <c r="I2307" s="14" t="s">
        <v>811</v>
      </c>
      <c r="J2307" s="15" t="n">
        <f aca="false">IF(B2307="SITE LOSS",IF(D2307=C2307,1,0),IF(B2307="REGION LOSS",IF(E2307=C2307,1,0),0))</f>
        <v>0</v>
      </c>
      <c r="K2307" s="15" t="n">
        <f aca="false">IF(B2307="SITE LOSS",IF(COUNTIFS('Site Dockets'!$B$7:$B$24,C2307,'Site Dockets'!$C$7:$C$24,F2307)&gt;0,1,0),IF(B2307="REGION LOSS",IF(COUNTIFS('Site Dockets'!$E$7:$E$24,C2307,'Site Dockets'!$C$7:$C$24,F2307)&gt;0,1,0),0))</f>
        <v>1</v>
      </c>
      <c r="L2307" s="15" t="n">
        <f aca="false">IF(J2307=1,0,Inputs!$B$11)</f>
        <v>100</v>
      </c>
      <c r="M2307" s="15" t="n">
        <f aca="false">IF(J2307=1,0,Inputs!$B$12)</f>
        <v>75</v>
      </c>
      <c r="N2307" s="15" t="n">
        <f aca="false">IF(J2307=1,0,IF(OR(AND(OR(B2307="SITE LOSS",B2307="REGION LOSS"),K2307=1),AND(B2307="ROLE COMPROMISE",H2307=C2307)),Inputs!$B$13,Inputs!$B$14))</f>
        <v>20</v>
      </c>
      <c r="O2307" s="15" t="n">
        <f aca="false">IF(J2307=1,0,Inputs!$B$13)</f>
        <v>20</v>
      </c>
      <c r="P2307" s="15" t="n">
        <f aca="false">SUM(M2307:N2307)</f>
        <v>95</v>
      </c>
      <c r="Q2307" s="15" t="n">
        <f aca="false">IF(J2307=1,"",L2307-P2307)</f>
        <v>5</v>
      </c>
      <c r="R2307" s="15" t="n">
        <f aca="false">IF(OR(J2307=1,M2307&lt;=Inputs!$B$12),1,0)</f>
        <v>1</v>
      </c>
      <c r="S2307" s="15" t="n">
        <f aca="false">IF(OR(J2307=1,N2307&lt;=O2307),1,0)</f>
        <v>1</v>
      </c>
      <c r="T2307" s="15" t="str">
        <f aca="false">IF(J2307=1,"OFFLINE",IF(AND(Q2307&gt;=Inputs!$B$15,R2307=1,S2307=1,P2307&lt;=L2307),"PASS","FAIL"))</f>
        <v>PASS</v>
      </c>
    </row>
    <row r="2308" customFormat="false" ht="15" hidden="false" customHeight="false" outlineLevel="0" collapsed="false">
      <c r="A2308" s="14" t="s">
        <v>1041</v>
      </c>
      <c r="B2308" s="14" t="s">
        <v>1038</v>
      </c>
      <c r="C2308" s="14" t="s">
        <v>169</v>
      </c>
      <c r="D2308" s="14" t="s">
        <v>171</v>
      </c>
      <c r="E2308" s="14" t="s">
        <v>172</v>
      </c>
      <c r="F2308" s="14" t="s">
        <v>164</v>
      </c>
      <c r="G2308" s="14" t="n">
        <v>3</v>
      </c>
      <c r="H2308" s="14" t="s">
        <v>158</v>
      </c>
      <c r="I2308" s="14" t="s">
        <v>895</v>
      </c>
      <c r="J2308" s="15" t="n">
        <f aca="false">IF(B2308="SITE LOSS",IF(D2308=C2308,1,0),IF(B2308="REGION LOSS",IF(E2308=C2308,1,0),0))</f>
        <v>0</v>
      </c>
      <c r="K2308" s="15" t="n">
        <f aca="false">IF(B2308="SITE LOSS",IF(COUNTIFS('Site Dockets'!$B$7:$B$24,C2308,'Site Dockets'!$C$7:$C$24,F2308)&gt;0,1,0),IF(B2308="REGION LOSS",IF(COUNTIFS('Site Dockets'!$E$7:$E$24,C2308,'Site Dockets'!$C$7:$C$24,F2308)&gt;0,1,0),0))</f>
        <v>1</v>
      </c>
      <c r="L2308" s="15" t="n">
        <f aca="false">IF(J2308=1,0,Inputs!$B$11)</f>
        <v>100</v>
      </c>
      <c r="M2308" s="15" t="n">
        <f aca="false">IF(J2308=1,0,Inputs!$B$12)</f>
        <v>75</v>
      </c>
      <c r="N2308" s="15" t="n">
        <f aca="false">IF(J2308=1,0,IF(OR(AND(OR(B2308="SITE LOSS",B2308="REGION LOSS"),K2308=1),AND(B2308="ROLE COMPROMISE",H2308=C2308)),Inputs!$B$13,Inputs!$B$14))</f>
        <v>20</v>
      </c>
      <c r="O2308" s="15" t="n">
        <f aca="false">IF(J2308=1,0,Inputs!$B$13)</f>
        <v>20</v>
      </c>
      <c r="P2308" s="15" t="n">
        <f aca="false">SUM(M2308:N2308)</f>
        <v>95</v>
      </c>
      <c r="Q2308" s="15" t="n">
        <f aca="false">IF(J2308=1,"",L2308-P2308)</f>
        <v>5</v>
      </c>
      <c r="R2308" s="15" t="n">
        <f aca="false">IF(OR(J2308=1,M2308&lt;=Inputs!$B$12),1,0)</f>
        <v>1</v>
      </c>
      <c r="S2308" s="15" t="n">
        <f aca="false">IF(OR(J2308=1,N2308&lt;=O2308),1,0)</f>
        <v>1</v>
      </c>
      <c r="T2308" s="15" t="str">
        <f aca="false">IF(J2308=1,"OFFLINE",IF(AND(Q2308&gt;=Inputs!$B$15,R2308=1,S2308=1,P2308&lt;=L2308),"PASS","FAIL"))</f>
        <v>PASS</v>
      </c>
    </row>
    <row r="2309" customFormat="false" ht="15" hidden="false" customHeight="false" outlineLevel="0" collapsed="false">
      <c r="A2309" s="14" t="s">
        <v>1041</v>
      </c>
      <c r="B2309" s="14" t="s">
        <v>1038</v>
      </c>
      <c r="C2309" s="14" t="s">
        <v>169</v>
      </c>
      <c r="D2309" s="14" t="s">
        <v>171</v>
      </c>
      <c r="E2309" s="14" t="s">
        <v>172</v>
      </c>
      <c r="F2309" s="14" t="s">
        <v>164</v>
      </c>
      <c r="G2309" s="14" t="n">
        <v>3</v>
      </c>
      <c r="H2309" s="14" t="s">
        <v>158</v>
      </c>
      <c r="I2309" s="14" t="s">
        <v>897</v>
      </c>
      <c r="J2309" s="15" t="n">
        <f aca="false">IF(B2309="SITE LOSS",IF(D2309=C2309,1,0),IF(B2309="REGION LOSS",IF(E2309=C2309,1,0),0))</f>
        <v>0</v>
      </c>
      <c r="K2309" s="15" t="n">
        <f aca="false">IF(B2309="SITE LOSS",IF(COUNTIFS('Site Dockets'!$B$7:$B$24,C2309,'Site Dockets'!$C$7:$C$24,F2309)&gt;0,1,0),IF(B2309="REGION LOSS",IF(COUNTIFS('Site Dockets'!$E$7:$E$24,C2309,'Site Dockets'!$C$7:$C$24,F2309)&gt;0,1,0),0))</f>
        <v>1</v>
      </c>
      <c r="L2309" s="15" t="n">
        <f aca="false">IF(J2309=1,0,Inputs!$B$11)</f>
        <v>100</v>
      </c>
      <c r="M2309" s="15" t="n">
        <f aca="false">IF(J2309=1,0,Inputs!$B$12)</f>
        <v>75</v>
      </c>
      <c r="N2309" s="15" t="n">
        <f aca="false">IF(J2309=1,0,IF(OR(AND(OR(B2309="SITE LOSS",B2309="REGION LOSS"),K2309=1),AND(B2309="ROLE COMPROMISE",H2309=C2309)),Inputs!$B$13,Inputs!$B$14))</f>
        <v>20</v>
      </c>
      <c r="O2309" s="15" t="n">
        <f aca="false">IF(J2309=1,0,Inputs!$B$13)</f>
        <v>20</v>
      </c>
      <c r="P2309" s="15" t="n">
        <f aca="false">SUM(M2309:N2309)</f>
        <v>95</v>
      </c>
      <c r="Q2309" s="15" t="n">
        <f aca="false">IF(J2309=1,"",L2309-P2309)</f>
        <v>5</v>
      </c>
      <c r="R2309" s="15" t="n">
        <f aca="false">IF(OR(J2309=1,M2309&lt;=Inputs!$B$12),1,0)</f>
        <v>1</v>
      </c>
      <c r="S2309" s="15" t="n">
        <f aca="false">IF(OR(J2309=1,N2309&lt;=O2309),1,0)</f>
        <v>1</v>
      </c>
      <c r="T2309" s="15" t="str">
        <f aca="false">IF(J2309=1,"OFFLINE",IF(AND(Q2309&gt;=Inputs!$B$15,R2309=1,S2309=1,P2309&lt;=L2309),"PASS","FAIL"))</f>
        <v>PASS</v>
      </c>
    </row>
    <row r="2310" customFormat="false" ht="15" hidden="false" customHeight="false" outlineLevel="0" collapsed="false">
      <c r="A2310" s="14" t="s">
        <v>1041</v>
      </c>
      <c r="B2310" s="14" t="s">
        <v>1038</v>
      </c>
      <c r="C2310" s="14" t="s">
        <v>169</v>
      </c>
      <c r="D2310" s="14" t="s">
        <v>171</v>
      </c>
      <c r="E2310" s="14" t="s">
        <v>172</v>
      </c>
      <c r="F2310" s="14" t="s">
        <v>164</v>
      </c>
      <c r="G2310" s="14" t="n">
        <v>3</v>
      </c>
      <c r="H2310" s="14" t="s">
        <v>158</v>
      </c>
      <c r="I2310" s="14" t="s">
        <v>899</v>
      </c>
      <c r="J2310" s="15" t="n">
        <f aca="false">IF(B2310="SITE LOSS",IF(D2310=C2310,1,0),IF(B2310="REGION LOSS",IF(E2310=C2310,1,0),0))</f>
        <v>0</v>
      </c>
      <c r="K2310" s="15" t="n">
        <f aca="false">IF(B2310="SITE LOSS",IF(COUNTIFS('Site Dockets'!$B$7:$B$24,C2310,'Site Dockets'!$C$7:$C$24,F2310)&gt;0,1,0),IF(B2310="REGION LOSS",IF(COUNTIFS('Site Dockets'!$E$7:$E$24,C2310,'Site Dockets'!$C$7:$C$24,F2310)&gt;0,1,0),0))</f>
        <v>1</v>
      </c>
      <c r="L2310" s="15" t="n">
        <f aca="false">IF(J2310=1,0,Inputs!$B$11)</f>
        <v>100</v>
      </c>
      <c r="M2310" s="15" t="n">
        <f aca="false">IF(J2310=1,0,Inputs!$B$12)</f>
        <v>75</v>
      </c>
      <c r="N2310" s="15" t="n">
        <f aca="false">IF(J2310=1,0,IF(OR(AND(OR(B2310="SITE LOSS",B2310="REGION LOSS"),K2310=1),AND(B2310="ROLE COMPROMISE",H2310=C2310)),Inputs!$B$13,Inputs!$B$14))</f>
        <v>20</v>
      </c>
      <c r="O2310" s="15" t="n">
        <f aca="false">IF(J2310=1,0,Inputs!$B$13)</f>
        <v>20</v>
      </c>
      <c r="P2310" s="15" t="n">
        <f aca="false">SUM(M2310:N2310)</f>
        <v>95</v>
      </c>
      <c r="Q2310" s="15" t="n">
        <f aca="false">IF(J2310=1,"",L2310-P2310)</f>
        <v>5</v>
      </c>
      <c r="R2310" s="15" t="n">
        <f aca="false">IF(OR(J2310=1,M2310&lt;=Inputs!$B$12),1,0)</f>
        <v>1</v>
      </c>
      <c r="S2310" s="15" t="n">
        <f aca="false">IF(OR(J2310=1,N2310&lt;=O2310),1,0)</f>
        <v>1</v>
      </c>
      <c r="T2310" s="15" t="str">
        <f aca="false">IF(J2310=1,"OFFLINE",IF(AND(Q2310&gt;=Inputs!$B$15,R2310=1,S2310=1,P2310&lt;=L2310),"PASS","FAIL"))</f>
        <v>PASS</v>
      </c>
    </row>
    <row r="2311" customFormat="false" ht="15" hidden="false" customHeight="false" outlineLevel="0" collapsed="false">
      <c r="A2311" s="14" t="s">
        <v>1041</v>
      </c>
      <c r="B2311" s="14" t="s">
        <v>1038</v>
      </c>
      <c r="C2311" s="14" t="s">
        <v>169</v>
      </c>
      <c r="D2311" s="14" t="s">
        <v>174</v>
      </c>
      <c r="E2311" s="14" t="s">
        <v>152</v>
      </c>
      <c r="F2311" s="14" t="s">
        <v>175</v>
      </c>
      <c r="G2311" s="14" t="n">
        <v>1</v>
      </c>
      <c r="H2311" s="14" t="s">
        <v>154</v>
      </c>
      <c r="I2311" s="14" t="s">
        <v>890</v>
      </c>
      <c r="J2311" s="15" t="n">
        <f aca="false">IF(B2311="SITE LOSS",IF(D2311=C2311,1,0),IF(B2311="REGION LOSS",IF(E2311=C2311,1,0),0))</f>
        <v>0</v>
      </c>
      <c r="K2311" s="15" t="n">
        <f aca="false">IF(B2311="SITE LOSS",IF(COUNTIFS('Site Dockets'!$B$7:$B$24,C2311,'Site Dockets'!$C$7:$C$24,F2311)&gt;0,1,0),IF(B2311="REGION LOSS",IF(COUNTIFS('Site Dockets'!$E$7:$E$24,C2311,'Site Dockets'!$C$7:$C$24,F2311)&gt;0,1,0),0))</f>
        <v>1</v>
      </c>
      <c r="L2311" s="15" t="n">
        <f aca="false">IF(J2311=1,0,Inputs!$B$11)</f>
        <v>100</v>
      </c>
      <c r="M2311" s="15" t="n">
        <f aca="false">IF(J2311=1,0,Inputs!$B$12)</f>
        <v>75</v>
      </c>
      <c r="N2311" s="15" t="n">
        <f aca="false">IF(J2311=1,0,IF(OR(AND(OR(B2311="SITE LOSS",B2311="REGION LOSS"),K2311=1),AND(B2311="ROLE COMPROMISE",H2311=C2311)),Inputs!$B$13,Inputs!$B$14))</f>
        <v>20</v>
      </c>
      <c r="O2311" s="15" t="n">
        <f aca="false">IF(J2311=1,0,Inputs!$B$13)</f>
        <v>20</v>
      </c>
      <c r="P2311" s="15" t="n">
        <f aca="false">SUM(M2311:N2311)</f>
        <v>95</v>
      </c>
      <c r="Q2311" s="15" t="n">
        <f aca="false">IF(J2311=1,"",L2311-P2311)</f>
        <v>5</v>
      </c>
      <c r="R2311" s="15" t="n">
        <f aca="false">IF(OR(J2311=1,M2311&lt;=Inputs!$B$12),1,0)</f>
        <v>1</v>
      </c>
      <c r="S2311" s="15" t="n">
        <f aca="false">IF(OR(J2311=1,N2311&lt;=O2311),1,0)</f>
        <v>1</v>
      </c>
      <c r="T2311" s="15" t="str">
        <f aca="false">IF(J2311=1,"OFFLINE",IF(AND(Q2311&gt;=Inputs!$B$15,R2311=1,S2311=1,P2311&lt;=L2311),"PASS","FAIL"))</f>
        <v>PASS</v>
      </c>
    </row>
    <row r="2312" customFormat="false" ht="15" hidden="false" customHeight="false" outlineLevel="0" collapsed="false">
      <c r="A2312" s="14" t="s">
        <v>1041</v>
      </c>
      <c r="B2312" s="14" t="s">
        <v>1038</v>
      </c>
      <c r="C2312" s="14" t="s">
        <v>169</v>
      </c>
      <c r="D2312" s="14" t="s">
        <v>174</v>
      </c>
      <c r="E2312" s="14" t="s">
        <v>152</v>
      </c>
      <c r="F2312" s="14" t="s">
        <v>175</v>
      </c>
      <c r="G2312" s="14" t="n">
        <v>1</v>
      </c>
      <c r="H2312" s="14" t="s">
        <v>154</v>
      </c>
      <c r="I2312" s="14" t="s">
        <v>892</v>
      </c>
      <c r="J2312" s="15" t="n">
        <f aca="false">IF(B2312="SITE LOSS",IF(D2312=C2312,1,0),IF(B2312="REGION LOSS",IF(E2312=C2312,1,0),0))</f>
        <v>0</v>
      </c>
      <c r="K2312" s="15" t="n">
        <f aca="false">IF(B2312="SITE LOSS",IF(COUNTIFS('Site Dockets'!$B$7:$B$24,C2312,'Site Dockets'!$C$7:$C$24,F2312)&gt;0,1,0),IF(B2312="REGION LOSS",IF(COUNTIFS('Site Dockets'!$E$7:$E$24,C2312,'Site Dockets'!$C$7:$C$24,F2312)&gt;0,1,0),0))</f>
        <v>1</v>
      </c>
      <c r="L2312" s="15" t="n">
        <f aca="false">IF(J2312=1,0,Inputs!$B$11)</f>
        <v>100</v>
      </c>
      <c r="M2312" s="15" t="n">
        <f aca="false">IF(J2312=1,0,Inputs!$B$12)</f>
        <v>75</v>
      </c>
      <c r="N2312" s="15" t="n">
        <f aca="false">IF(J2312=1,0,IF(OR(AND(OR(B2312="SITE LOSS",B2312="REGION LOSS"),K2312=1),AND(B2312="ROLE COMPROMISE",H2312=C2312)),Inputs!$B$13,Inputs!$B$14))</f>
        <v>20</v>
      </c>
      <c r="O2312" s="15" t="n">
        <f aca="false">IF(J2312=1,0,Inputs!$B$13)</f>
        <v>20</v>
      </c>
      <c r="P2312" s="15" t="n">
        <f aca="false">SUM(M2312:N2312)</f>
        <v>95</v>
      </c>
      <c r="Q2312" s="15" t="n">
        <f aca="false">IF(J2312=1,"",L2312-P2312)</f>
        <v>5</v>
      </c>
      <c r="R2312" s="15" t="n">
        <f aca="false">IF(OR(J2312=1,M2312&lt;=Inputs!$B$12),1,0)</f>
        <v>1</v>
      </c>
      <c r="S2312" s="15" t="n">
        <f aca="false">IF(OR(J2312=1,N2312&lt;=O2312),1,0)</f>
        <v>1</v>
      </c>
      <c r="T2312" s="15" t="str">
        <f aca="false">IF(J2312=1,"OFFLINE",IF(AND(Q2312&gt;=Inputs!$B$15,R2312=1,S2312=1,P2312&lt;=L2312),"PASS","FAIL"))</f>
        <v>PASS</v>
      </c>
    </row>
    <row r="2313" customFormat="false" ht="15" hidden="false" customHeight="false" outlineLevel="0" collapsed="false">
      <c r="A2313" s="14" t="s">
        <v>1041</v>
      </c>
      <c r="B2313" s="14" t="s">
        <v>1038</v>
      </c>
      <c r="C2313" s="14" t="s">
        <v>169</v>
      </c>
      <c r="D2313" s="14" t="s">
        <v>174</v>
      </c>
      <c r="E2313" s="14" t="s">
        <v>152</v>
      </c>
      <c r="F2313" s="14" t="s">
        <v>175</v>
      </c>
      <c r="G2313" s="14" t="n">
        <v>1</v>
      </c>
      <c r="H2313" s="14" t="s">
        <v>154</v>
      </c>
      <c r="I2313" s="14" t="s">
        <v>811</v>
      </c>
      <c r="J2313" s="15" t="n">
        <f aca="false">IF(B2313="SITE LOSS",IF(D2313=C2313,1,0),IF(B2313="REGION LOSS",IF(E2313=C2313,1,0),0))</f>
        <v>0</v>
      </c>
      <c r="K2313" s="15" t="n">
        <f aca="false">IF(B2313="SITE LOSS",IF(COUNTIFS('Site Dockets'!$B$7:$B$24,C2313,'Site Dockets'!$C$7:$C$24,F2313)&gt;0,1,0),IF(B2313="REGION LOSS",IF(COUNTIFS('Site Dockets'!$E$7:$E$24,C2313,'Site Dockets'!$C$7:$C$24,F2313)&gt;0,1,0),0))</f>
        <v>1</v>
      </c>
      <c r="L2313" s="15" t="n">
        <f aca="false">IF(J2313=1,0,Inputs!$B$11)</f>
        <v>100</v>
      </c>
      <c r="M2313" s="15" t="n">
        <f aca="false">IF(J2313=1,0,Inputs!$B$12)</f>
        <v>75</v>
      </c>
      <c r="N2313" s="15" t="n">
        <f aca="false">IF(J2313=1,0,IF(OR(AND(OR(B2313="SITE LOSS",B2313="REGION LOSS"),K2313=1),AND(B2313="ROLE COMPROMISE",H2313=C2313)),Inputs!$B$13,Inputs!$B$14))</f>
        <v>20</v>
      </c>
      <c r="O2313" s="15" t="n">
        <f aca="false">IF(J2313=1,0,Inputs!$B$13)</f>
        <v>20</v>
      </c>
      <c r="P2313" s="15" t="n">
        <f aca="false">SUM(M2313:N2313)</f>
        <v>95</v>
      </c>
      <c r="Q2313" s="15" t="n">
        <f aca="false">IF(J2313=1,"",L2313-P2313)</f>
        <v>5</v>
      </c>
      <c r="R2313" s="15" t="n">
        <f aca="false">IF(OR(J2313=1,M2313&lt;=Inputs!$B$12),1,0)</f>
        <v>1</v>
      </c>
      <c r="S2313" s="15" t="n">
        <f aca="false">IF(OR(J2313=1,N2313&lt;=O2313),1,0)</f>
        <v>1</v>
      </c>
      <c r="T2313" s="15" t="str">
        <f aca="false">IF(J2313=1,"OFFLINE",IF(AND(Q2313&gt;=Inputs!$B$15,R2313=1,S2313=1,P2313&lt;=L2313),"PASS","FAIL"))</f>
        <v>PASS</v>
      </c>
    </row>
    <row r="2314" customFormat="false" ht="15" hidden="false" customHeight="false" outlineLevel="0" collapsed="false">
      <c r="A2314" s="14" t="s">
        <v>1041</v>
      </c>
      <c r="B2314" s="14" t="s">
        <v>1038</v>
      </c>
      <c r="C2314" s="14" t="s">
        <v>169</v>
      </c>
      <c r="D2314" s="14" t="s">
        <v>174</v>
      </c>
      <c r="E2314" s="14" t="s">
        <v>152</v>
      </c>
      <c r="F2314" s="14" t="s">
        <v>175</v>
      </c>
      <c r="G2314" s="14" t="n">
        <v>1</v>
      </c>
      <c r="H2314" s="14" t="s">
        <v>154</v>
      </c>
      <c r="I2314" s="14" t="s">
        <v>895</v>
      </c>
      <c r="J2314" s="15" t="n">
        <f aca="false">IF(B2314="SITE LOSS",IF(D2314=C2314,1,0),IF(B2314="REGION LOSS",IF(E2314=C2314,1,0),0))</f>
        <v>0</v>
      </c>
      <c r="K2314" s="15" t="n">
        <f aca="false">IF(B2314="SITE LOSS",IF(COUNTIFS('Site Dockets'!$B$7:$B$24,C2314,'Site Dockets'!$C$7:$C$24,F2314)&gt;0,1,0),IF(B2314="REGION LOSS",IF(COUNTIFS('Site Dockets'!$E$7:$E$24,C2314,'Site Dockets'!$C$7:$C$24,F2314)&gt;0,1,0),0))</f>
        <v>1</v>
      </c>
      <c r="L2314" s="15" t="n">
        <f aca="false">IF(J2314=1,0,Inputs!$B$11)</f>
        <v>100</v>
      </c>
      <c r="M2314" s="15" t="n">
        <f aca="false">IF(J2314=1,0,Inputs!$B$12)</f>
        <v>75</v>
      </c>
      <c r="N2314" s="15" t="n">
        <f aca="false">IF(J2314=1,0,IF(OR(AND(OR(B2314="SITE LOSS",B2314="REGION LOSS"),K2314=1),AND(B2314="ROLE COMPROMISE",H2314=C2314)),Inputs!$B$13,Inputs!$B$14))</f>
        <v>20</v>
      </c>
      <c r="O2314" s="15" t="n">
        <f aca="false">IF(J2314=1,0,Inputs!$B$13)</f>
        <v>20</v>
      </c>
      <c r="P2314" s="15" t="n">
        <f aca="false">SUM(M2314:N2314)</f>
        <v>95</v>
      </c>
      <c r="Q2314" s="15" t="n">
        <f aca="false">IF(J2314=1,"",L2314-P2314)</f>
        <v>5</v>
      </c>
      <c r="R2314" s="15" t="n">
        <f aca="false">IF(OR(J2314=1,M2314&lt;=Inputs!$B$12),1,0)</f>
        <v>1</v>
      </c>
      <c r="S2314" s="15" t="n">
        <f aca="false">IF(OR(J2314=1,N2314&lt;=O2314),1,0)</f>
        <v>1</v>
      </c>
      <c r="T2314" s="15" t="str">
        <f aca="false">IF(J2314=1,"OFFLINE",IF(AND(Q2314&gt;=Inputs!$B$15,R2314=1,S2314=1,P2314&lt;=L2314),"PASS","FAIL"))</f>
        <v>PASS</v>
      </c>
    </row>
    <row r="2315" customFormat="false" ht="15" hidden="false" customHeight="false" outlineLevel="0" collapsed="false">
      <c r="A2315" s="14" t="s">
        <v>1041</v>
      </c>
      <c r="B2315" s="14" t="s">
        <v>1038</v>
      </c>
      <c r="C2315" s="14" t="s">
        <v>169</v>
      </c>
      <c r="D2315" s="14" t="s">
        <v>174</v>
      </c>
      <c r="E2315" s="14" t="s">
        <v>152</v>
      </c>
      <c r="F2315" s="14" t="s">
        <v>175</v>
      </c>
      <c r="G2315" s="14" t="n">
        <v>1</v>
      </c>
      <c r="H2315" s="14" t="s">
        <v>154</v>
      </c>
      <c r="I2315" s="14" t="s">
        <v>897</v>
      </c>
      <c r="J2315" s="15" t="n">
        <f aca="false">IF(B2315="SITE LOSS",IF(D2315=C2315,1,0),IF(B2315="REGION LOSS",IF(E2315=C2315,1,0),0))</f>
        <v>0</v>
      </c>
      <c r="K2315" s="15" t="n">
        <f aca="false">IF(B2315="SITE LOSS",IF(COUNTIFS('Site Dockets'!$B$7:$B$24,C2315,'Site Dockets'!$C$7:$C$24,F2315)&gt;0,1,0),IF(B2315="REGION LOSS",IF(COUNTIFS('Site Dockets'!$E$7:$E$24,C2315,'Site Dockets'!$C$7:$C$24,F2315)&gt;0,1,0),0))</f>
        <v>1</v>
      </c>
      <c r="L2315" s="15" t="n">
        <f aca="false">IF(J2315=1,0,Inputs!$B$11)</f>
        <v>100</v>
      </c>
      <c r="M2315" s="15" t="n">
        <f aca="false">IF(J2315=1,0,Inputs!$B$12)</f>
        <v>75</v>
      </c>
      <c r="N2315" s="15" t="n">
        <f aca="false">IF(J2315=1,0,IF(OR(AND(OR(B2315="SITE LOSS",B2315="REGION LOSS"),K2315=1),AND(B2315="ROLE COMPROMISE",H2315=C2315)),Inputs!$B$13,Inputs!$B$14))</f>
        <v>20</v>
      </c>
      <c r="O2315" s="15" t="n">
        <f aca="false">IF(J2315=1,0,Inputs!$B$13)</f>
        <v>20</v>
      </c>
      <c r="P2315" s="15" t="n">
        <f aca="false">SUM(M2315:N2315)</f>
        <v>95</v>
      </c>
      <c r="Q2315" s="15" t="n">
        <f aca="false">IF(J2315=1,"",L2315-P2315)</f>
        <v>5</v>
      </c>
      <c r="R2315" s="15" t="n">
        <f aca="false">IF(OR(J2315=1,M2315&lt;=Inputs!$B$12),1,0)</f>
        <v>1</v>
      </c>
      <c r="S2315" s="15" t="n">
        <f aca="false">IF(OR(J2315=1,N2315&lt;=O2315),1,0)</f>
        <v>1</v>
      </c>
      <c r="T2315" s="15" t="str">
        <f aca="false">IF(J2315=1,"OFFLINE",IF(AND(Q2315&gt;=Inputs!$B$15,R2315=1,S2315=1,P2315&lt;=L2315),"PASS","FAIL"))</f>
        <v>PASS</v>
      </c>
    </row>
    <row r="2316" customFormat="false" ht="15" hidden="false" customHeight="false" outlineLevel="0" collapsed="false">
      <c r="A2316" s="14" t="s">
        <v>1041</v>
      </c>
      <c r="B2316" s="14" t="s">
        <v>1038</v>
      </c>
      <c r="C2316" s="14" t="s">
        <v>169</v>
      </c>
      <c r="D2316" s="14" t="s">
        <v>174</v>
      </c>
      <c r="E2316" s="14" t="s">
        <v>152</v>
      </c>
      <c r="F2316" s="14" t="s">
        <v>175</v>
      </c>
      <c r="G2316" s="14" t="n">
        <v>1</v>
      </c>
      <c r="H2316" s="14" t="s">
        <v>154</v>
      </c>
      <c r="I2316" s="14" t="s">
        <v>899</v>
      </c>
      <c r="J2316" s="15" t="n">
        <f aca="false">IF(B2316="SITE LOSS",IF(D2316=C2316,1,0),IF(B2316="REGION LOSS",IF(E2316=C2316,1,0),0))</f>
        <v>0</v>
      </c>
      <c r="K2316" s="15" t="n">
        <f aca="false">IF(B2316="SITE LOSS",IF(COUNTIFS('Site Dockets'!$B$7:$B$24,C2316,'Site Dockets'!$C$7:$C$24,F2316)&gt;0,1,0),IF(B2316="REGION LOSS",IF(COUNTIFS('Site Dockets'!$E$7:$E$24,C2316,'Site Dockets'!$C$7:$C$24,F2316)&gt;0,1,0),0))</f>
        <v>1</v>
      </c>
      <c r="L2316" s="15" t="n">
        <f aca="false">IF(J2316=1,0,Inputs!$B$11)</f>
        <v>100</v>
      </c>
      <c r="M2316" s="15" t="n">
        <f aca="false">IF(J2316=1,0,Inputs!$B$12)</f>
        <v>75</v>
      </c>
      <c r="N2316" s="15" t="n">
        <f aca="false">IF(J2316=1,0,IF(OR(AND(OR(B2316="SITE LOSS",B2316="REGION LOSS"),K2316=1),AND(B2316="ROLE COMPROMISE",H2316=C2316)),Inputs!$B$13,Inputs!$B$14))</f>
        <v>20</v>
      </c>
      <c r="O2316" s="15" t="n">
        <f aca="false">IF(J2316=1,0,Inputs!$B$13)</f>
        <v>20</v>
      </c>
      <c r="P2316" s="15" t="n">
        <f aca="false">SUM(M2316:N2316)</f>
        <v>95</v>
      </c>
      <c r="Q2316" s="15" t="n">
        <f aca="false">IF(J2316=1,"",L2316-P2316)</f>
        <v>5</v>
      </c>
      <c r="R2316" s="15" t="n">
        <f aca="false">IF(OR(J2316=1,M2316&lt;=Inputs!$B$12),1,0)</f>
        <v>1</v>
      </c>
      <c r="S2316" s="15" t="n">
        <f aca="false">IF(OR(J2316=1,N2316&lt;=O2316),1,0)</f>
        <v>1</v>
      </c>
      <c r="T2316" s="15" t="str">
        <f aca="false">IF(J2316=1,"OFFLINE",IF(AND(Q2316&gt;=Inputs!$B$15,R2316=1,S2316=1,P2316&lt;=L2316),"PASS","FAIL"))</f>
        <v>PASS</v>
      </c>
    </row>
    <row r="2317" customFormat="false" ht="15" hidden="false" customHeight="false" outlineLevel="0" collapsed="false">
      <c r="A2317" s="14" t="s">
        <v>1041</v>
      </c>
      <c r="B2317" s="14" t="s">
        <v>1038</v>
      </c>
      <c r="C2317" s="14" t="s">
        <v>169</v>
      </c>
      <c r="D2317" s="14" t="s">
        <v>178</v>
      </c>
      <c r="E2317" s="14" t="s">
        <v>169</v>
      </c>
      <c r="F2317" s="14" t="s">
        <v>175</v>
      </c>
      <c r="G2317" s="14" t="n">
        <v>2</v>
      </c>
      <c r="H2317" s="14" t="s">
        <v>153</v>
      </c>
      <c r="I2317" s="14" t="s">
        <v>890</v>
      </c>
      <c r="J2317" s="15" t="n">
        <f aca="false">IF(B2317="SITE LOSS",IF(D2317=C2317,1,0),IF(B2317="REGION LOSS",IF(E2317=C2317,1,0),0))</f>
        <v>1</v>
      </c>
      <c r="K2317" s="15" t="n">
        <f aca="false">IF(B2317="SITE LOSS",IF(COUNTIFS('Site Dockets'!$B$7:$B$24,C2317,'Site Dockets'!$C$7:$C$24,F2317)&gt;0,1,0),IF(B2317="REGION LOSS",IF(COUNTIFS('Site Dockets'!$E$7:$E$24,C2317,'Site Dockets'!$C$7:$C$24,F2317)&gt;0,1,0),0))</f>
        <v>1</v>
      </c>
      <c r="L2317" s="15" t="n">
        <f aca="false">IF(J2317=1,0,Inputs!$B$11)</f>
        <v>0</v>
      </c>
      <c r="M2317" s="15" t="n">
        <f aca="false">IF(J2317=1,0,Inputs!$B$12)</f>
        <v>0</v>
      </c>
      <c r="N2317" s="15" t="n">
        <f aca="false">IF(J2317=1,0,IF(OR(AND(OR(B2317="SITE LOSS",B2317="REGION LOSS"),K2317=1),AND(B2317="ROLE COMPROMISE",H2317=C2317)),Inputs!$B$13,Inputs!$B$14))</f>
        <v>0</v>
      </c>
      <c r="O2317" s="15" t="n">
        <f aca="false">IF(J2317=1,0,Inputs!$B$13)</f>
        <v>0</v>
      </c>
      <c r="P2317" s="15" t="n">
        <f aca="false">SUM(M2317:N2317)</f>
        <v>0</v>
      </c>
      <c r="Q2317" s="15" t="str">
        <f aca="false">IF(J2317=1,"",L2317-P2317)</f>
        <v/>
      </c>
      <c r="R2317" s="15" t="n">
        <f aca="false">IF(OR(J2317=1,M2317&lt;=Inputs!$B$12),1,0)</f>
        <v>1</v>
      </c>
      <c r="S2317" s="15" t="n">
        <f aca="false">IF(OR(J2317=1,N2317&lt;=O2317),1,0)</f>
        <v>1</v>
      </c>
      <c r="T2317" s="15" t="str">
        <f aca="false">IF(J2317=1,"OFFLINE",IF(AND(Q2317&gt;=Inputs!$B$15,R2317=1,S2317=1,P2317&lt;=L2317),"PASS","FAIL"))</f>
        <v>OFFLINE</v>
      </c>
    </row>
    <row r="2318" customFormat="false" ht="15" hidden="false" customHeight="false" outlineLevel="0" collapsed="false">
      <c r="A2318" s="14" t="s">
        <v>1041</v>
      </c>
      <c r="B2318" s="14" t="s">
        <v>1038</v>
      </c>
      <c r="C2318" s="14" t="s">
        <v>169</v>
      </c>
      <c r="D2318" s="14" t="s">
        <v>178</v>
      </c>
      <c r="E2318" s="14" t="s">
        <v>169</v>
      </c>
      <c r="F2318" s="14" t="s">
        <v>175</v>
      </c>
      <c r="G2318" s="14" t="n">
        <v>2</v>
      </c>
      <c r="H2318" s="14" t="s">
        <v>153</v>
      </c>
      <c r="I2318" s="14" t="s">
        <v>892</v>
      </c>
      <c r="J2318" s="15" t="n">
        <f aca="false">IF(B2318="SITE LOSS",IF(D2318=C2318,1,0),IF(B2318="REGION LOSS",IF(E2318=C2318,1,0),0))</f>
        <v>1</v>
      </c>
      <c r="K2318" s="15" t="n">
        <f aca="false">IF(B2318="SITE LOSS",IF(COUNTIFS('Site Dockets'!$B$7:$B$24,C2318,'Site Dockets'!$C$7:$C$24,F2318)&gt;0,1,0),IF(B2318="REGION LOSS",IF(COUNTIFS('Site Dockets'!$E$7:$E$24,C2318,'Site Dockets'!$C$7:$C$24,F2318)&gt;0,1,0),0))</f>
        <v>1</v>
      </c>
      <c r="L2318" s="15" t="n">
        <f aca="false">IF(J2318=1,0,Inputs!$B$11)</f>
        <v>0</v>
      </c>
      <c r="M2318" s="15" t="n">
        <f aca="false">IF(J2318=1,0,Inputs!$B$12)</f>
        <v>0</v>
      </c>
      <c r="N2318" s="15" t="n">
        <f aca="false">IF(J2318=1,0,IF(OR(AND(OR(B2318="SITE LOSS",B2318="REGION LOSS"),K2318=1),AND(B2318="ROLE COMPROMISE",H2318=C2318)),Inputs!$B$13,Inputs!$B$14))</f>
        <v>0</v>
      </c>
      <c r="O2318" s="15" t="n">
        <f aca="false">IF(J2318=1,0,Inputs!$B$13)</f>
        <v>0</v>
      </c>
      <c r="P2318" s="15" t="n">
        <f aca="false">SUM(M2318:N2318)</f>
        <v>0</v>
      </c>
      <c r="Q2318" s="15" t="str">
        <f aca="false">IF(J2318=1,"",L2318-P2318)</f>
        <v/>
      </c>
      <c r="R2318" s="15" t="n">
        <f aca="false">IF(OR(J2318=1,M2318&lt;=Inputs!$B$12),1,0)</f>
        <v>1</v>
      </c>
      <c r="S2318" s="15" t="n">
        <f aca="false">IF(OR(J2318=1,N2318&lt;=O2318),1,0)</f>
        <v>1</v>
      </c>
      <c r="T2318" s="15" t="str">
        <f aca="false">IF(J2318=1,"OFFLINE",IF(AND(Q2318&gt;=Inputs!$B$15,R2318=1,S2318=1,P2318&lt;=L2318),"PASS","FAIL"))</f>
        <v>OFFLINE</v>
      </c>
    </row>
    <row r="2319" customFormat="false" ht="15" hidden="false" customHeight="false" outlineLevel="0" collapsed="false">
      <c r="A2319" s="14" t="s">
        <v>1041</v>
      </c>
      <c r="B2319" s="14" t="s">
        <v>1038</v>
      </c>
      <c r="C2319" s="14" t="s">
        <v>169</v>
      </c>
      <c r="D2319" s="14" t="s">
        <v>178</v>
      </c>
      <c r="E2319" s="14" t="s">
        <v>169</v>
      </c>
      <c r="F2319" s="14" t="s">
        <v>175</v>
      </c>
      <c r="G2319" s="14" t="n">
        <v>2</v>
      </c>
      <c r="H2319" s="14" t="s">
        <v>153</v>
      </c>
      <c r="I2319" s="14" t="s">
        <v>811</v>
      </c>
      <c r="J2319" s="15" t="n">
        <f aca="false">IF(B2319="SITE LOSS",IF(D2319=C2319,1,0),IF(B2319="REGION LOSS",IF(E2319=C2319,1,0),0))</f>
        <v>1</v>
      </c>
      <c r="K2319" s="15" t="n">
        <f aca="false">IF(B2319="SITE LOSS",IF(COUNTIFS('Site Dockets'!$B$7:$B$24,C2319,'Site Dockets'!$C$7:$C$24,F2319)&gt;0,1,0),IF(B2319="REGION LOSS",IF(COUNTIFS('Site Dockets'!$E$7:$E$24,C2319,'Site Dockets'!$C$7:$C$24,F2319)&gt;0,1,0),0))</f>
        <v>1</v>
      </c>
      <c r="L2319" s="15" t="n">
        <f aca="false">IF(J2319=1,0,Inputs!$B$11)</f>
        <v>0</v>
      </c>
      <c r="M2319" s="15" t="n">
        <f aca="false">IF(J2319=1,0,Inputs!$B$12)</f>
        <v>0</v>
      </c>
      <c r="N2319" s="15" t="n">
        <f aca="false">IF(J2319=1,0,IF(OR(AND(OR(B2319="SITE LOSS",B2319="REGION LOSS"),K2319=1),AND(B2319="ROLE COMPROMISE",H2319=C2319)),Inputs!$B$13,Inputs!$B$14))</f>
        <v>0</v>
      </c>
      <c r="O2319" s="15" t="n">
        <f aca="false">IF(J2319=1,0,Inputs!$B$13)</f>
        <v>0</v>
      </c>
      <c r="P2319" s="15" t="n">
        <f aca="false">SUM(M2319:N2319)</f>
        <v>0</v>
      </c>
      <c r="Q2319" s="15" t="str">
        <f aca="false">IF(J2319=1,"",L2319-P2319)</f>
        <v/>
      </c>
      <c r="R2319" s="15" t="n">
        <f aca="false">IF(OR(J2319=1,M2319&lt;=Inputs!$B$12),1,0)</f>
        <v>1</v>
      </c>
      <c r="S2319" s="15" t="n">
        <f aca="false">IF(OR(J2319=1,N2319&lt;=O2319),1,0)</f>
        <v>1</v>
      </c>
      <c r="T2319" s="15" t="str">
        <f aca="false">IF(J2319=1,"OFFLINE",IF(AND(Q2319&gt;=Inputs!$B$15,R2319=1,S2319=1,P2319&lt;=L2319),"PASS","FAIL"))</f>
        <v>OFFLINE</v>
      </c>
    </row>
    <row r="2320" customFormat="false" ht="15" hidden="false" customHeight="false" outlineLevel="0" collapsed="false">
      <c r="A2320" s="14" t="s">
        <v>1041</v>
      </c>
      <c r="B2320" s="14" t="s">
        <v>1038</v>
      </c>
      <c r="C2320" s="14" t="s">
        <v>169</v>
      </c>
      <c r="D2320" s="14" t="s">
        <v>178</v>
      </c>
      <c r="E2320" s="14" t="s">
        <v>169</v>
      </c>
      <c r="F2320" s="14" t="s">
        <v>175</v>
      </c>
      <c r="G2320" s="14" t="n">
        <v>2</v>
      </c>
      <c r="H2320" s="14" t="s">
        <v>153</v>
      </c>
      <c r="I2320" s="14" t="s">
        <v>895</v>
      </c>
      <c r="J2320" s="15" t="n">
        <f aca="false">IF(B2320="SITE LOSS",IF(D2320=C2320,1,0),IF(B2320="REGION LOSS",IF(E2320=C2320,1,0),0))</f>
        <v>1</v>
      </c>
      <c r="K2320" s="15" t="n">
        <f aca="false">IF(B2320="SITE LOSS",IF(COUNTIFS('Site Dockets'!$B$7:$B$24,C2320,'Site Dockets'!$C$7:$C$24,F2320)&gt;0,1,0),IF(B2320="REGION LOSS",IF(COUNTIFS('Site Dockets'!$E$7:$E$24,C2320,'Site Dockets'!$C$7:$C$24,F2320)&gt;0,1,0),0))</f>
        <v>1</v>
      </c>
      <c r="L2320" s="15" t="n">
        <f aca="false">IF(J2320=1,0,Inputs!$B$11)</f>
        <v>0</v>
      </c>
      <c r="M2320" s="15" t="n">
        <f aca="false">IF(J2320=1,0,Inputs!$B$12)</f>
        <v>0</v>
      </c>
      <c r="N2320" s="15" t="n">
        <f aca="false">IF(J2320=1,0,IF(OR(AND(OR(B2320="SITE LOSS",B2320="REGION LOSS"),K2320=1),AND(B2320="ROLE COMPROMISE",H2320=C2320)),Inputs!$B$13,Inputs!$B$14))</f>
        <v>0</v>
      </c>
      <c r="O2320" s="15" t="n">
        <f aca="false">IF(J2320=1,0,Inputs!$B$13)</f>
        <v>0</v>
      </c>
      <c r="P2320" s="15" t="n">
        <f aca="false">SUM(M2320:N2320)</f>
        <v>0</v>
      </c>
      <c r="Q2320" s="15" t="str">
        <f aca="false">IF(J2320=1,"",L2320-P2320)</f>
        <v/>
      </c>
      <c r="R2320" s="15" t="n">
        <f aca="false">IF(OR(J2320=1,M2320&lt;=Inputs!$B$12),1,0)</f>
        <v>1</v>
      </c>
      <c r="S2320" s="15" t="n">
        <f aca="false">IF(OR(J2320=1,N2320&lt;=O2320),1,0)</f>
        <v>1</v>
      </c>
      <c r="T2320" s="15" t="str">
        <f aca="false">IF(J2320=1,"OFFLINE",IF(AND(Q2320&gt;=Inputs!$B$15,R2320=1,S2320=1,P2320&lt;=L2320),"PASS","FAIL"))</f>
        <v>OFFLINE</v>
      </c>
    </row>
    <row r="2321" customFormat="false" ht="15" hidden="false" customHeight="false" outlineLevel="0" collapsed="false">
      <c r="A2321" s="14" t="s">
        <v>1041</v>
      </c>
      <c r="B2321" s="14" t="s">
        <v>1038</v>
      </c>
      <c r="C2321" s="14" t="s">
        <v>169</v>
      </c>
      <c r="D2321" s="14" t="s">
        <v>178</v>
      </c>
      <c r="E2321" s="14" t="s">
        <v>169</v>
      </c>
      <c r="F2321" s="14" t="s">
        <v>175</v>
      </c>
      <c r="G2321" s="14" t="n">
        <v>2</v>
      </c>
      <c r="H2321" s="14" t="s">
        <v>153</v>
      </c>
      <c r="I2321" s="14" t="s">
        <v>897</v>
      </c>
      <c r="J2321" s="15" t="n">
        <f aca="false">IF(B2321="SITE LOSS",IF(D2321=C2321,1,0),IF(B2321="REGION LOSS",IF(E2321=C2321,1,0),0))</f>
        <v>1</v>
      </c>
      <c r="K2321" s="15" t="n">
        <f aca="false">IF(B2321="SITE LOSS",IF(COUNTIFS('Site Dockets'!$B$7:$B$24,C2321,'Site Dockets'!$C$7:$C$24,F2321)&gt;0,1,0),IF(B2321="REGION LOSS",IF(COUNTIFS('Site Dockets'!$E$7:$E$24,C2321,'Site Dockets'!$C$7:$C$24,F2321)&gt;0,1,0),0))</f>
        <v>1</v>
      </c>
      <c r="L2321" s="15" t="n">
        <f aca="false">IF(J2321=1,0,Inputs!$B$11)</f>
        <v>0</v>
      </c>
      <c r="M2321" s="15" t="n">
        <f aca="false">IF(J2321=1,0,Inputs!$B$12)</f>
        <v>0</v>
      </c>
      <c r="N2321" s="15" t="n">
        <f aca="false">IF(J2321=1,0,IF(OR(AND(OR(B2321="SITE LOSS",B2321="REGION LOSS"),K2321=1),AND(B2321="ROLE COMPROMISE",H2321=C2321)),Inputs!$B$13,Inputs!$B$14))</f>
        <v>0</v>
      </c>
      <c r="O2321" s="15" t="n">
        <f aca="false">IF(J2321=1,0,Inputs!$B$13)</f>
        <v>0</v>
      </c>
      <c r="P2321" s="15" t="n">
        <f aca="false">SUM(M2321:N2321)</f>
        <v>0</v>
      </c>
      <c r="Q2321" s="15" t="str">
        <f aca="false">IF(J2321=1,"",L2321-P2321)</f>
        <v/>
      </c>
      <c r="R2321" s="15" t="n">
        <f aca="false">IF(OR(J2321=1,M2321&lt;=Inputs!$B$12),1,0)</f>
        <v>1</v>
      </c>
      <c r="S2321" s="15" t="n">
        <f aca="false">IF(OR(J2321=1,N2321&lt;=O2321),1,0)</f>
        <v>1</v>
      </c>
      <c r="T2321" s="15" t="str">
        <f aca="false">IF(J2321=1,"OFFLINE",IF(AND(Q2321&gt;=Inputs!$B$15,R2321=1,S2321=1,P2321&lt;=L2321),"PASS","FAIL"))</f>
        <v>OFFLINE</v>
      </c>
    </row>
    <row r="2322" customFormat="false" ht="15" hidden="false" customHeight="false" outlineLevel="0" collapsed="false">
      <c r="A2322" s="14" t="s">
        <v>1041</v>
      </c>
      <c r="B2322" s="14" t="s">
        <v>1038</v>
      </c>
      <c r="C2322" s="14" t="s">
        <v>169</v>
      </c>
      <c r="D2322" s="14" t="s">
        <v>178</v>
      </c>
      <c r="E2322" s="14" t="s">
        <v>169</v>
      </c>
      <c r="F2322" s="14" t="s">
        <v>175</v>
      </c>
      <c r="G2322" s="14" t="n">
        <v>2</v>
      </c>
      <c r="H2322" s="14" t="s">
        <v>153</v>
      </c>
      <c r="I2322" s="14" t="s">
        <v>899</v>
      </c>
      <c r="J2322" s="15" t="n">
        <f aca="false">IF(B2322="SITE LOSS",IF(D2322=C2322,1,0),IF(B2322="REGION LOSS",IF(E2322=C2322,1,0),0))</f>
        <v>1</v>
      </c>
      <c r="K2322" s="15" t="n">
        <f aca="false">IF(B2322="SITE LOSS",IF(COUNTIFS('Site Dockets'!$B$7:$B$24,C2322,'Site Dockets'!$C$7:$C$24,F2322)&gt;0,1,0),IF(B2322="REGION LOSS",IF(COUNTIFS('Site Dockets'!$E$7:$E$24,C2322,'Site Dockets'!$C$7:$C$24,F2322)&gt;0,1,0),0))</f>
        <v>1</v>
      </c>
      <c r="L2322" s="15" t="n">
        <f aca="false">IF(J2322=1,0,Inputs!$B$11)</f>
        <v>0</v>
      </c>
      <c r="M2322" s="15" t="n">
        <f aca="false">IF(J2322=1,0,Inputs!$B$12)</f>
        <v>0</v>
      </c>
      <c r="N2322" s="15" t="n">
        <f aca="false">IF(J2322=1,0,IF(OR(AND(OR(B2322="SITE LOSS",B2322="REGION LOSS"),K2322=1),AND(B2322="ROLE COMPROMISE",H2322=C2322)),Inputs!$B$13,Inputs!$B$14))</f>
        <v>0</v>
      </c>
      <c r="O2322" s="15" t="n">
        <f aca="false">IF(J2322=1,0,Inputs!$B$13)</f>
        <v>0</v>
      </c>
      <c r="P2322" s="15" t="n">
        <f aca="false">SUM(M2322:N2322)</f>
        <v>0</v>
      </c>
      <c r="Q2322" s="15" t="str">
        <f aca="false">IF(J2322=1,"",L2322-P2322)</f>
        <v/>
      </c>
      <c r="R2322" s="15" t="n">
        <f aca="false">IF(OR(J2322=1,M2322&lt;=Inputs!$B$12),1,0)</f>
        <v>1</v>
      </c>
      <c r="S2322" s="15" t="n">
        <f aca="false">IF(OR(J2322=1,N2322&lt;=O2322),1,0)</f>
        <v>1</v>
      </c>
      <c r="T2322" s="15" t="str">
        <f aca="false">IF(J2322=1,"OFFLINE",IF(AND(Q2322&gt;=Inputs!$B$15,R2322=1,S2322=1,P2322&lt;=L2322),"PASS","FAIL"))</f>
        <v>OFFLINE</v>
      </c>
    </row>
    <row r="2323" customFormat="false" ht="15" hidden="false" customHeight="false" outlineLevel="0" collapsed="false">
      <c r="A2323" s="14" t="s">
        <v>1041</v>
      </c>
      <c r="B2323" s="14" t="s">
        <v>1038</v>
      </c>
      <c r="C2323" s="14" t="s">
        <v>169</v>
      </c>
      <c r="D2323" s="14" t="s">
        <v>180</v>
      </c>
      <c r="E2323" s="14" t="s">
        <v>161</v>
      </c>
      <c r="F2323" s="14" t="s">
        <v>175</v>
      </c>
      <c r="G2323" s="14" t="n">
        <v>3</v>
      </c>
      <c r="H2323" s="14" t="s">
        <v>158</v>
      </c>
      <c r="I2323" s="14" t="s">
        <v>890</v>
      </c>
      <c r="J2323" s="15" t="n">
        <f aca="false">IF(B2323="SITE LOSS",IF(D2323=C2323,1,0),IF(B2323="REGION LOSS",IF(E2323=C2323,1,0),0))</f>
        <v>0</v>
      </c>
      <c r="K2323" s="15" t="n">
        <f aca="false">IF(B2323="SITE LOSS",IF(COUNTIFS('Site Dockets'!$B$7:$B$24,C2323,'Site Dockets'!$C$7:$C$24,F2323)&gt;0,1,0),IF(B2323="REGION LOSS",IF(COUNTIFS('Site Dockets'!$E$7:$E$24,C2323,'Site Dockets'!$C$7:$C$24,F2323)&gt;0,1,0),0))</f>
        <v>1</v>
      </c>
      <c r="L2323" s="15" t="n">
        <f aca="false">IF(J2323=1,0,Inputs!$B$11)</f>
        <v>100</v>
      </c>
      <c r="M2323" s="15" t="n">
        <f aca="false">IF(J2323=1,0,Inputs!$B$12)</f>
        <v>75</v>
      </c>
      <c r="N2323" s="15" t="n">
        <f aca="false">IF(J2323=1,0,IF(OR(AND(OR(B2323="SITE LOSS",B2323="REGION LOSS"),K2323=1),AND(B2323="ROLE COMPROMISE",H2323=C2323)),Inputs!$B$13,Inputs!$B$14))</f>
        <v>20</v>
      </c>
      <c r="O2323" s="15" t="n">
        <f aca="false">IF(J2323=1,0,Inputs!$B$13)</f>
        <v>20</v>
      </c>
      <c r="P2323" s="15" t="n">
        <f aca="false">SUM(M2323:N2323)</f>
        <v>95</v>
      </c>
      <c r="Q2323" s="15" t="n">
        <f aca="false">IF(J2323=1,"",L2323-P2323)</f>
        <v>5</v>
      </c>
      <c r="R2323" s="15" t="n">
        <f aca="false">IF(OR(J2323=1,M2323&lt;=Inputs!$B$12),1,0)</f>
        <v>1</v>
      </c>
      <c r="S2323" s="15" t="n">
        <f aca="false">IF(OR(J2323=1,N2323&lt;=O2323),1,0)</f>
        <v>1</v>
      </c>
      <c r="T2323" s="15" t="str">
        <f aca="false">IF(J2323=1,"OFFLINE",IF(AND(Q2323&gt;=Inputs!$B$15,R2323=1,S2323=1,P2323&lt;=L2323),"PASS","FAIL"))</f>
        <v>PASS</v>
      </c>
    </row>
    <row r="2324" customFormat="false" ht="15" hidden="false" customHeight="false" outlineLevel="0" collapsed="false">
      <c r="A2324" s="14" t="s">
        <v>1041</v>
      </c>
      <c r="B2324" s="14" t="s">
        <v>1038</v>
      </c>
      <c r="C2324" s="14" t="s">
        <v>169</v>
      </c>
      <c r="D2324" s="14" t="s">
        <v>180</v>
      </c>
      <c r="E2324" s="14" t="s">
        <v>161</v>
      </c>
      <c r="F2324" s="14" t="s">
        <v>175</v>
      </c>
      <c r="G2324" s="14" t="n">
        <v>3</v>
      </c>
      <c r="H2324" s="14" t="s">
        <v>158</v>
      </c>
      <c r="I2324" s="14" t="s">
        <v>892</v>
      </c>
      <c r="J2324" s="15" t="n">
        <f aca="false">IF(B2324="SITE LOSS",IF(D2324=C2324,1,0),IF(B2324="REGION LOSS",IF(E2324=C2324,1,0),0))</f>
        <v>0</v>
      </c>
      <c r="K2324" s="15" t="n">
        <f aca="false">IF(B2324="SITE LOSS",IF(COUNTIFS('Site Dockets'!$B$7:$B$24,C2324,'Site Dockets'!$C$7:$C$24,F2324)&gt;0,1,0),IF(B2324="REGION LOSS",IF(COUNTIFS('Site Dockets'!$E$7:$E$24,C2324,'Site Dockets'!$C$7:$C$24,F2324)&gt;0,1,0),0))</f>
        <v>1</v>
      </c>
      <c r="L2324" s="15" t="n">
        <f aca="false">IF(J2324=1,0,Inputs!$B$11)</f>
        <v>100</v>
      </c>
      <c r="M2324" s="15" t="n">
        <f aca="false">IF(J2324=1,0,Inputs!$B$12)</f>
        <v>75</v>
      </c>
      <c r="N2324" s="15" t="n">
        <f aca="false">IF(J2324=1,0,IF(OR(AND(OR(B2324="SITE LOSS",B2324="REGION LOSS"),K2324=1),AND(B2324="ROLE COMPROMISE",H2324=C2324)),Inputs!$B$13,Inputs!$B$14))</f>
        <v>20</v>
      </c>
      <c r="O2324" s="15" t="n">
        <f aca="false">IF(J2324=1,0,Inputs!$B$13)</f>
        <v>20</v>
      </c>
      <c r="P2324" s="15" t="n">
        <f aca="false">SUM(M2324:N2324)</f>
        <v>95</v>
      </c>
      <c r="Q2324" s="15" t="n">
        <f aca="false">IF(J2324=1,"",L2324-P2324)</f>
        <v>5</v>
      </c>
      <c r="R2324" s="15" t="n">
        <f aca="false">IF(OR(J2324=1,M2324&lt;=Inputs!$B$12),1,0)</f>
        <v>1</v>
      </c>
      <c r="S2324" s="15" t="n">
        <f aca="false">IF(OR(J2324=1,N2324&lt;=O2324),1,0)</f>
        <v>1</v>
      </c>
      <c r="T2324" s="15" t="str">
        <f aca="false">IF(J2324=1,"OFFLINE",IF(AND(Q2324&gt;=Inputs!$B$15,R2324=1,S2324=1,P2324&lt;=L2324),"PASS","FAIL"))</f>
        <v>PASS</v>
      </c>
    </row>
    <row r="2325" customFormat="false" ht="15" hidden="false" customHeight="false" outlineLevel="0" collapsed="false">
      <c r="A2325" s="14" t="s">
        <v>1041</v>
      </c>
      <c r="B2325" s="14" t="s">
        <v>1038</v>
      </c>
      <c r="C2325" s="14" t="s">
        <v>169</v>
      </c>
      <c r="D2325" s="14" t="s">
        <v>180</v>
      </c>
      <c r="E2325" s="14" t="s">
        <v>161</v>
      </c>
      <c r="F2325" s="14" t="s">
        <v>175</v>
      </c>
      <c r="G2325" s="14" t="n">
        <v>3</v>
      </c>
      <c r="H2325" s="14" t="s">
        <v>158</v>
      </c>
      <c r="I2325" s="14" t="s">
        <v>811</v>
      </c>
      <c r="J2325" s="15" t="n">
        <f aca="false">IF(B2325="SITE LOSS",IF(D2325=C2325,1,0),IF(B2325="REGION LOSS",IF(E2325=C2325,1,0),0))</f>
        <v>0</v>
      </c>
      <c r="K2325" s="15" t="n">
        <f aca="false">IF(B2325="SITE LOSS",IF(COUNTIFS('Site Dockets'!$B$7:$B$24,C2325,'Site Dockets'!$C$7:$C$24,F2325)&gt;0,1,0),IF(B2325="REGION LOSS",IF(COUNTIFS('Site Dockets'!$E$7:$E$24,C2325,'Site Dockets'!$C$7:$C$24,F2325)&gt;0,1,0),0))</f>
        <v>1</v>
      </c>
      <c r="L2325" s="15" t="n">
        <f aca="false">IF(J2325=1,0,Inputs!$B$11)</f>
        <v>100</v>
      </c>
      <c r="M2325" s="15" t="n">
        <f aca="false">IF(J2325=1,0,Inputs!$B$12)</f>
        <v>75</v>
      </c>
      <c r="N2325" s="15" t="n">
        <f aca="false">IF(J2325=1,0,IF(OR(AND(OR(B2325="SITE LOSS",B2325="REGION LOSS"),K2325=1),AND(B2325="ROLE COMPROMISE",H2325=C2325)),Inputs!$B$13,Inputs!$B$14))</f>
        <v>20</v>
      </c>
      <c r="O2325" s="15" t="n">
        <f aca="false">IF(J2325=1,0,Inputs!$B$13)</f>
        <v>20</v>
      </c>
      <c r="P2325" s="15" t="n">
        <f aca="false">SUM(M2325:N2325)</f>
        <v>95</v>
      </c>
      <c r="Q2325" s="15" t="n">
        <f aca="false">IF(J2325=1,"",L2325-P2325)</f>
        <v>5</v>
      </c>
      <c r="R2325" s="15" t="n">
        <f aca="false">IF(OR(J2325=1,M2325&lt;=Inputs!$B$12),1,0)</f>
        <v>1</v>
      </c>
      <c r="S2325" s="15" t="n">
        <f aca="false">IF(OR(J2325=1,N2325&lt;=O2325),1,0)</f>
        <v>1</v>
      </c>
      <c r="T2325" s="15" t="str">
        <f aca="false">IF(J2325=1,"OFFLINE",IF(AND(Q2325&gt;=Inputs!$B$15,R2325=1,S2325=1,P2325&lt;=L2325),"PASS","FAIL"))</f>
        <v>PASS</v>
      </c>
    </row>
    <row r="2326" customFormat="false" ht="15" hidden="false" customHeight="false" outlineLevel="0" collapsed="false">
      <c r="A2326" s="14" t="s">
        <v>1041</v>
      </c>
      <c r="B2326" s="14" t="s">
        <v>1038</v>
      </c>
      <c r="C2326" s="14" t="s">
        <v>169</v>
      </c>
      <c r="D2326" s="14" t="s">
        <v>180</v>
      </c>
      <c r="E2326" s="14" t="s">
        <v>161</v>
      </c>
      <c r="F2326" s="14" t="s">
        <v>175</v>
      </c>
      <c r="G2326" s="14" t="n">
        <v>3</v>
      </c>
      <c r="H2326" s="14" t="s">
        <v>158</v>
      </c>
      <c r="I2326" s="14" t="s">
        <v>895</v>
      </c>
      <c r="J2326" s="15" t="n">
        <f aca="false">IF(B2326="SITE LOSS",IF(D2326=C2326,1,0),IF(B2326="REGION LOSS",IF(E2326=C2326,1,0),0))</f>
        <v>0</v>
      </c>
      <c r="K2326" s="15" t="n">
        <f aca="false">IF(B2326="SITE LOSS",IF(COUNTIFS('Site Dockets'!$B$7:$B$24,C2326,'Site Dockets'!$C$7:$C$24,F2326)&gt;0,1,0),IF(B2326="REGION LOSS",IF(COUNTIFS('Site Dockets'!$E$7:$E$24,C2326,'Site Dockets'!$C$7:$C$24,F2326)&gt;0,1,0),0))</f>
        <v>1</v>
      </c>
      <c r="L2326" s="15" t="n">
        <f aca="false">IF(J2326=1,0,Inputs!$B$11)</f>
        <v>100</v>
      </c>
      <c r="M2326" s="15" t="n">
        <f aca="false">IF(J2326=1,0,Inputs!$B$12)</f>
        <v>75</v>
      </c>
      <c r="N2326" s="15" t="n">
        <f aca="false">IF(J2326=1,0,IF(OR(AND(OR(B2326="SITE LOSS",B2326="REGION LOSS"),K2326=1),AND(B2326="ROLE COMPROMISE",H2326=C2326)),Inputs!$B$13,Inputs!$B$14))</f>
        <v>20</v>
      </c>
      <c r="O2326" s="15" t="n">
        <f aca="false">IF(J2326=1,0,Inputs!$B$13)</f>
        <v>20</v>
      </c>
      <c r="P2326" s="15" t="n">
        <f aca="false">SUM(M2326:N2326)</f>
        <v>95</v>
      </c>
      <c r="Q2326" s="15" t="n">
        <f aca="false">IF(J2326=1,"",L2326-P2326)</f>
        <v>5</v>
      </c>
      <c r="R2326" s="15" t="n">
        <f aca="false">IF(OR(J2326=1,M2326&lt;=Inputs!$B$12),1,0)</f>
        <v>1</v>
      </c>
      <c r="S2326" s="15" t="n">
        <f aca="false">IF(OR(J2326=1,N2326&lt;=O2326),1,0)</f>
        <v>1</v>
      </c>
      <c r="T2326" s="15" t="str">
        <f aca="false">IF(J2326=1,"OFFLINE",IF(AND(Q2326&gt;=Inputs!$B$15,R2326=1,S2326=1,P2326&lt;=L2326),"PASS","FAIL"))</f>
        <v>PASS</v>
      </c>
    </row>
    <row r="2327" customFormat="false" ht="15" hidden="false" customHeight="false" outlineLevel="0" collapsed="false">
      <c r="A2327" s="14" t="s">
        <v>1041</v>
      </c>
      <c r="B2327" s="14" t="s">
        <v>1038</v>
      </c>
      <c r="C2327" s="14" t="s">
        <v>169</v>
      </c>
      <c r="D2327" s="14" t="s">
        <v>180</v>
      </c>
      <c r="E2327" s="14" t="s">
        <v>161</v>
      </c>
      <c r="F2327" s="14" t="s">
        <v>175</v>
      </c>
      <c r="G2327" s="14" t="n">
        <v>3</v>
      </c>
      <c r="H2327" s="14" t="s">
        <v>158</v>
      </c>
      <c r="I2327" s="14" t="s">
        <v>897</v>
      </c>
      <c r="J2327" s="15" t="n">
        <f aca="false">IF(B2327="SITE LOSS",IF(D2327=C2327,1,0),IF(B2327="REGION LOSS",IF(E2327=C2327,1,0),0))</f>
        <v>0</v>
      </c>
      <c r="K2327" s="15" t="n">
        <f aca="false">IF(B2327="SITE LOSS",IF(COUNTIFS('Site Dockets'!$B$7:$B$24,C2327,'Site Dockets'!$C$7:$C$24,F2327)&gt;0,1,0),IF(B2327="REGION LOSS",IF(COUNTIFS('Site Dockets'!$E$7:$E$24,C2327,'Site Dockets'!$C$7:$C$24,F2327)&gt;0,1,0),0))</f>
        <v>1</v>
      </c>
      <c r="L2327" s="15" t="n">
        <f aca="false">IF(J2327=1,0,Inputs!$B$11)</f>
        <v>100</v>
      </c>
      <c r="M2327" s="15" t="n">
        <f aca="false">IF(J2327=1,0,Inputs!$B$12)</f>
        <v>75</v>
      </c>
      <c r="N2327" s="15" t="n">
        <f aca="false">IF(J2327=1,0,IF(OR(AND(OR(B2327="SITE LOSS",B2327="REGION LOSS"),K2327=1),AND(B2327="ROLE COMPROMISE",H2327=C2327)),Inputs!$B$13,Inputs!$B$14))</f>
        <v>20</v>
      </c>
      <c r="O2327" s="15" t="n">
        <f aca="false">IF(J2327=1,0,Inputs!$B$13)</f>
        <v>20</v>
      </c>
      <c r="P2327" s="15" t="n">
        <f aca="false">SUM(M2327:N2327)</f>
        <v>95</v>
      </c>
      <c r="Q2327" s="15" t="n">
        <f aca="false">IF(J2327=1,"",L2327-P2327)</f>
        <v>5</v>
      </c>
      <c r="R2327" s="15" t="n">
        <f aca="false">IF(OR(J2327=1,M2327&lt;=Inputs!$B$12),1,0)</f>
        <v>1</v>
      </c>
      <c r="S2327" s="15" t="n">
        <f aca="false">IF(OR(J2327=1,N2327&lt;=O2327),1,0)</f>
        <v>1</v>
      </c>
      <c r="T2327" s="15" t="str">
        <f aca="false">IF(J2327=1,"OFFLINE",IF(AND(Q2327&gt;=Inputs!$B$15,R2327=1,S2327=1,P2327&lt;=L2327),"PASS","FAIL"))</f>
        <v>PASS</v>
      </c>
    </row>
    <row r="2328" customFormat="false" ht="15" hidden="false" customHeight="false" outlineLevel="0" collapsed="false">
      <c r="A2328" s="14" t="s">
        <v>1041</v>
      </c>
      <c r="B2328" s="14" t="s">
        <v>1038</v>
      </c>
      <c r="C2328" s="14" t="s">
        <v>169</v>
      </c>
      <c r="D2328" s="14" t="s">
        <v>180</v>
      </c>
      <c r="E2328" s="14" t="s">
        <v>161</v>
      </c>
      <c r="F2328" s="14" t="s">
        <v>175</v>
      </c>
      <c r="G2328" s="14" t="n">
        <v>3</v>
      </c>
      <c r="H2328" s="14" t="s">
        <v>158</v>
      </c>
      <c r="I2328" s="14" t="s">
        <v>899</v>
      </c>
      <c r="J2328" s="15" t="n">
        <f aca="false">IF(B2328="SITE LOSS",IF(D2328=C2328,1,0),IF(B2328="REGION LOSS",IF(E2328=C2328,1,0),0))</f>
        <v>0</v>
      </c>
      <c r="K2328" s="15" t="n">
        <f aca="false">IF(B2328="SITE LOSS",IF(COUNTIFS('Site Dockets'!$B$7:$B$24,C2328,'Site Dockets'!$C$7:$C$24,F2328)&gt;0,1,0),IF(B2328="REGION LOSS",IF(COUNTIFS('Site Dockets'!$E$7:$E$24,C2328,'Site Dockets'!$C$7:$C$24,F2328)&gt;0,1,0),0))</f>
        <v>1</v>
      </c>
      <c r="L2328" s="15" t="n">
        <f aca="false">IF(J2328=1,0,Inputs!$B$11)</f>
        <v>100</v>
      </c>
      <c r="M2328" s="15" t="n">
        <f aca="false">IF(J2328=1,0,Inputs!$B$12)</f>
        <v>75</v>
      </c>
      <c r="N2328" s="15" t="n">
        <f aca="false">IF(J2328=1,0,IF(OR(AND(OR(B2328="SITE LOSS",B2328="REGION LOSS"),K2328=1),AND(B2328="ROLE COMPROMISE",H2328=C2328)),Inputs!$B$13,Inputs!$B$14))</f>
        <v>20</v>
      </c>
      <c r="O2328" s="15" t="n">
        <f aca="false">IF(J2328=1,0,Inputs!$B$13)</f>
        <v>20</v>
      </c>
      <c r="P2328" s="15" t="n">
        <f aca="false">SUM(M2328:N2328)</f>
        <v>95</v>
      </c>
      <c r="Q2328" s="15" t="n">
        <f aca="false">IF(J2328=1,"",L2328-P2328)</f>
        <v>5</v>
      </c>
      <c r="R2328" s="15" t="n">
        <f aca="false">IF(OR(J2328=1,M2328&lt;=Inputs!$B$12),1,0)</f>
        <v>1</v>
      </c>
      <c r="S2328" s="15" t="n">
        <f aca="false">IF(OR(J2328=1,N2328&lt;=O2328),1,0)</f>
        <v>1</v>
      </c>
      <c r="T2328" s="15" t="str">
        <f aca="false">IF(J2328=1,"OFFLINE",IF(AND(Q2328&gt;=Inputs!$B$15,R2328=1,S2328=1,P2328&lt;=L2328),"PASS","FAIL"))</f>
        <v>PASS</v>
      </c>
    </row>
    <row r="2329" customFormat="false" ht="15" hidden="false" customHeight="false" outlineLevel="0" collapsed="false">
      <c r="A2329" s="14" t="s">
        <v>1041</v>
      </c>
      <c r="B2329" s="14" t="s">
        <v>1038</v>
      </c>
      <c r="C2329" s="14" t="s">
        <v>169</v>
      </c>
      <c r="D2329" s="14" t="s">
        <v>182</v>
      </c>
      <c r="E2329" s="14" t="s">
        <v>166</v>
      </c>
      <c r="F2329" s="14" t="s">
        <v>183</v>
      </c>
      <c r="G2329" s="14" t="n">
        <v>1</v>
      </c>
      <c r="H2329" s="14" t="s">
        <v>154</v>
      </c>
      <c r="I2329" s="14" t="s">
        <v>890</v>
      </c>
      <c r="J2329" s="15" t="n">
        <f aca="false">IF(B2329="SITE LOSS",IF(D2329=C2329,1,0),IF(B2329="REGION LOSS",IF(E2329=C2329,1,0),0))</f>
        <v>0</v>
      </c>
      <c r="K2329" s="15" t="n">
        <f aca="false">IF(B2329="SITE LOSS",IF(COUNTIFS('Site Dockets'!$B$7:$B$24,C2329,'Site Dockets'!$C$7:$C$24,F2329)&gt;0,1,0),IF(B2329="REGION LOSS",IF(COUNTIFS('Site Dockets'!$E$7:$E$24,C2329,'Site Dockets'!$C$7:$C$24,F2329)&gt;0,1,0),0))</f>
        <v>0</v>
      </c>
      <c r="L2329" s="15" t="n">
        <f aca="false">IF(J2329=1,0,Inputs!$B$11)</f>
        <v>100</v>
      </c>
      <c r="M2329" s="15" t="n">
        <f aca="false">IF(J2329=1,0,Inputs!$B$12)</f>
        <v>75</v>
      </c>
      <c r="N2329" s="15" t="n">
        <f aca="false">IF(J2329=1,0,IF(OR(AND(OR(B2329="SITE LOSS",B2329="REGION LOSS"),K2329=1),AND(B2329="ROLE COMPROMISE",H2329=C2329)),Inputs!$B$13,Inputs!$B$14))</f>
        <v>10</v>
      </c>
      <c r="O2329" s="15" t="n">
        <f aca="false">IF(J2329=1,0,Inputs!$B$13)</f>
        <v>20</v>
      </c>
      <c r="P2329" s="15" t="n">
        <f aca="false">SUM(M2329:N2329)</f>
        <v>85</v>
      </c>
      <c r="Q2329" s="15" t="n">
        <f aca="false">IF(J2329=1,"",L2329-P2329)</f>
        <v>15</v>
      </c>
      <c r="R2329" s="15" t="n">
        <f aca="false">IF(OR(J2329=1,M2329&lt;=Inputs!$B$12),1,0)</f>
        <v>1</v>
      </c>
      <c r="S2329" s="15" t="n">
        <f aca="false">IF(OR(J2329=1,N2329&lt;=O2329),1,0)</f>
        <v>1</v>
      </c>
      <c r="T2329" s="15" t="str">
        <f aca="false">IF(J2329=1,"OFFLINE",IF(AND(Q2329&gt;=Inputs!$B$15,R2329=1,S2329=1,P2329&lt;=L2329),"PASS","FAIL"))</f>
        <v>PASS</v>
      </c>
    </row>
    <row r="2330" customFormat="false" ht="15" hidden="false" customHeight="false" outlineLevel="0" collapsed="false">
      <c r="A2330" s="14" t="s">
        <v>1041</v>
      </c>
      <c r="B2330" s="14" t="s">
        <v>1038</v>
      </c>
      <c r="C2330" s="14" t="s">
        <v>169</v>
      </c>
      <c r="D2330" s="14" t="s">
        <v>182</v>
      </c>
      <c r="E2330" s="14" t="s">
        <v>166</v>
      </c>
      <c r="F2330" s="14" t="s">
        <v>183</v>
      </c>
      <c r="G2330" s="14" t="n">
        <v>1</v>
      </c>
      <c r="H2330" s="14" t="s">
        <v>154</v>
      </c>
      <c r="I2330" s="14" t="s">
        <v>892</v>
      </c>
      <c r="J2330" s="15" t="n">
        <f aca="false">IF(B2330="SITE LOSS",IF(D2330=C2330,1,0),IF(B2330="REGION LOSS",IF(E2330=C2330,1,0),0))</f>
        <v>0</v>
      </c>
      <c r="K2330" s="15" t="n">
        <f aca="false">IF(B2330="SITE LOSS",IF(COUNTIFS('Site Dockets'!$B$7:$B$24,C2330,'Site Dockets'!$C$7:$C$24,F2330)&gt;0,1,0),IF(B2330="REGION LOSS",IF(COUNTIFS('Site Dockets'!$E$7:$E$24,C2330,'Site Dockets'!$C$7:$C$24,F2330)&gt;0,1,0),0))</f>
        <v>0</v>
      </c>
      <c r="L2330" s="15" t="n">
        <f aca="false">IF(J2330=1,0,Inputs!$B$11)</f>
        <v>100</v>
      </c>
      <c r="M2330" s="15" t="n">
        <f aca="false">IF(J2330=1,0,Inputs!$B$12)</f>
        <v>75</v>
      </c>
      <c r="N2330" s="15" t="n">
        <f aca="false">IF(J2330=1,0,IF(OR(AND(OR(B2330="SITE LOSS",B2330="REGION LOSS"),K2330=1),AND(B2330="ROLE COMPROMISE",H2330=C2330)),Inputs!$B$13,Inputs!$B$14))</f>
        <v>10</v>
      </c>
      <c r="O2330" s="15" t="n">
        <f aca="false">IF(J2330=1,0,Inputs!$B$13)</f>
        <v>20</v>
      </c>
      <c r="P2330" s="15" t="n">
        <f aca="false">SUM(M2330:N2330)</f>
        <v>85</v>
      </c>
      <c r="Q2330" s="15" t="n">
        <f aca="false">IF(J2330=1,"",L2330-P2330)</f>
        <v>15</v>
      </c>
      <c r="R2330" s="15" t="n">
        <f aca="false">IF(OR(J2330=1,M2330&lt;=Inputs!$B$12),1,0)</f>
        <v>1</v>
      </c>
      <c r="S2330" s="15" t="n">
        <f aca="false">IF(OR(J2330=1,N2330&lt;=O2330),1,0)</f>
        <v>1</v>
      </c>
      <c r="T2330" s="15" t="str">
        <f aca="false">IF(J2330=1,"OFFLINE",IF(AND(Q2330&gt;=Inputs!$B$15,R2330=1,S2330=1,P2330&lt;=L2330),"PASS","FAIL"))</f>
        <v>PASS</v>
      </c>
    </row>
    <row r="2331" customFormat="false" ht="15" hidden="false" customHeight="false" outlineLevel="0" collapsed="false">
      <c r="A2331" s="14" t="s">
        <v>1041</v>
      </c>
      <c r="B2331" s="14" t="s">
        <v>1038</v>
      </c>
      <c r="C2331" s="14" t="s">
        <v>169</v>
      </c>
      <c r="D2331" s="14" t="s">
        <v>182</v>
      </c>
      <c r="E2331" s="14" t="s">
        <v>166</v>
      </c>
      <c r="F2331" s="14" t="s">
        <v>183</v>
      </c>
      <c r="G2331" s="14" t="n">
        <v>1</v>
      </c>
      <c r="H2331" s="14" t="s">
        <v>154</v>
      </c>
      <c r="I2331" s="14" t="s">
        <v>811</v>
      </c>
      <c r="J2331" s="15" t="n">
        <f aca="false">IF(B2331="SITE LOSS",IF(D2331=C2331,1,0),IF(B2331="REGION LOSS",IF(E2331=C2331,1,0),0))</f>
        <v>0</v>
      </c>
      <c r="K2331" s="15" t="n">
        <f aca="false">IF(B2331="SITE LOSS",IF(COUNTIFS('Site Dockets'!$B$7:$B$24,C2331,'Site Dockets'!$C$7:$C$24,F2331)&gt;0,1,0),IF(B2331="REGION LOSS",IF(COUNTIFS('Site Dockets'!$E$7:$E$24,C2331,'Site Dockets'!$C$7:$C$24,F2331)&gt;0,1,0),0))</f>
        <v>0</v>
      </c>
      <c r="L2331" s="15" t="n">
        <f aca="false">IF(J2331=1,0,Inputs!$B$11)</f>
        <v>100</v>
      </c>
      <c r="M2331" s="15" t="n">
        <f aca="false">IF(J2331=1,0,Inputs!$B$12)</f>
        <v>75</v>
      </c>
      <c r="N2331" s="15" t="n">
        <f aca="false">IF(J2331=1,0,IF(OR(AND(OR(B2331="SITE LOSS",B2331="REGION LOSS"),K2331=1),AND(B2331="ROLE COMPROMISE",H2331=C2331)),Inputs!$B$13,Inputs!$B$14))</f>
        <v>10</v>
      </c>
      <c r="O2331" s="15" t="n">
        <f aca="false">IF(J2331=1,0,Inputs!$B$13)</f>
        <v>20</v>
      </c>
      <c r="P2331" s="15" t="n">
        <f aca="false">SUM(M2331:N2331)</f>
        <v>85</v>
      </c>
      <c r="Q2331" s="15" t="n">
        <f aca="false">IF(J2331=1,"",L2331-P2331)</f>
        <v>15</v>
      </c>
      <c r="R2331" s="15" t="n">
        <f aca="false">IF(OR(J2331=1,M2331&lt;=Inputs!$B$12),1,0)</f>
        <v>1</v>
      </c>
      <c r="S2331" s="15" t="n">
        <f aca="false">IF(OR(J2331=1,N2331&lt;=O2331),1,0)</f>
        <v>1</v>
      </c>
      <c r="T2331" s="15" t="str">
        <f aca="false">IF(J2331=1,"OFFLINE",IF(AND(Q2331&gt;=Inputs!$B$15,R2331=1,S2331=1,P2331&lt;=L2331),"PASS","FAIL"))</f>
        <v>PASS</v>
      </c>
    </row>
    <row r="2332" customFormat="false" ht="15" hidden="false" customHeight="false" outlineLevel="0" collapsed="false">
      <c r="A2332" s="14" t="s">
        <v>1041</v>
      </c>
      <c r="B2332" s="14" t="s">
        <v>1038</v>
      </c>
      <c r="C2332" s="14" t="s">
        <v>169</v>
      </c>
      <c r="D2332" s="14" t="s">
        <v>182</v>
      </c>
      <c r="E2332" s="14" t="s">
        <v>166</v>
      </c>
      <c r="F2332" s="14" t="s">
        <v>183</v>
      </c>
      <c r="G2332" s="14" t="n">
        <v>1</v>
      </c>
      <c r="H2332" s="14" t="s">
        <v>154</v>
      </c>
      <c r="I2332" s="14" t="s">
        <v>895</v>
      </c>
      <c r="J2332" s="15" t="n">
        <f aca="false">IF(B2332="SITE LOSS",IF(D2332=C2332,1,0),IF(B2332="REGION LOSS",IF(E2332=C2332,1,0),0))</f>
        <v>0</v>
      </c>
      <c r="K2332" s="15" t="n">
        <f aca="false">IF(B2332="SITE LOSS",IF(COUNTIFS('Site Dockets'!$B$7:$B$24,C2332,'Site Dockets'!$C$7:$C$24,F2332)&gt;0,1,0),IF(B2332="REGION LOSS",IF(COUNTIFS('Site Dockets'!$E$7:$E$24,C2332,'Site Dockets'!$C$7:$C$24,F2332)&gt;0,1,0),0))</f>
        <v>0</v>
      </c>
      <c r="L2332" s="15" t="n">
        <f aca="false">IF(J2332=1,0,Inputs!$B$11)</f>
        <v>100</v>
      </c>
      <c r="M2332" s="15" t="n">
        <f aca="false">IF(J2332=1,0,Inputs!$B$12)</f>
        <v>75</v>
      </c>
      <c r="N2332" s="15" t="n">
        <f aca="false">IF(J2332=1,0,IF(OR(AND(OR(B2332="SITE LOSS",B2332="REGION LOSS"),K2332=1),AND(B2332="ROLE COMPROMISE",H2332=C2332)),Inputs!$B$13,Inputs!$B$14))</f>
        <v>10</v>
      </c>
      <c r="O2332" s="15" t="n">
        <f aca="false">IF(J2332=1,0,Inputs!$B$13)</f>
        <v>20</v>
      </c>
      <c r="P2332" s="15" t="n">
        <f aca="false">SUM(M2332:N2332)</f>
        <v>85</v>
      </c>
      <c r="Q2332" s="15" t="n">
        <f aca="false">IF(J2332=1,"",L2332-P2332)</f>
        <v>15</v>
      </c>
      <c r="R2332" s="15" t="n">
        <f aca="false">IF(OR(J2332=1,M2332&lt;=Inputs!$B$12),1,0)</f>
        <v>1</v>
      </c>
      <c r="S2332" s="15" t="n">
        <f aca="false">IF(OR(J2332=1,N2332&lt;=O2332),1,0)</f>
        <v>1</v>
      </c>
      <c r="T2332" s="15" t="str">
        <f aca="false">IF(J2332=1,"OFFLINE",IF(AND(Q2332&gt;=Inputs!$B$15,R2332=1,S2332=1,P2332&lt;=L2332),"PASS","FAIL"))</f>
        <v>PASS</v>
      </c>
    </row>
    <row r="2333" customFormat="false" ht="15" hidden="false" customHeight="false" outlineLevel="0" collapsed="false">
      <c r="A2333" s="14" t="s">
        <v>1041</v>
      </c>
      <c r="B2333" s="14" t="s">
        <v>1038</v>
      </c>
      <c r="C2333" s="14" t="s">
        <v>169</v>
      </c>
      <c r="D2333" s="14" t="s">
        <v>182</v>
      </c>
      <c r="E2333" s="14" t="s">
        <v>166</v>
      </c>
      <c r="F2333" s="14" t="s">
        <v>183</v>
      </c>
      <c r="G2333" s="14" t="n">
        <v>1</v>
      </c>
      <c r="H2333" s="14" t="s">
        <v>154</v>
      </c>
      <c r="I2333" s="14" t="s">
        <v>897</v>
      </c>
      <c r="J2333" s="15" t="n">
        <f aca="false">IF(B2333="SITE LOSS",IF(D2333=C2333,1,0),IF(B2333="REGION LOSS",IF(E2333=C2333,1,0),0))</f>
        <v>0</v>
      </c>
      <c r="K2333" s="15" t="n">
        <f aca="false">IF(B2333="SITE LOSS",IF(COUNTIFS('Site Dockets'!$B$7:$B$24,C2333,'Site Dockets'!$C$7:$C$24,F2333)&gt;0,1,0),IF(B2333="REGION LOSS",IF(COUNTIFS('Site Dockets'!$E$7:$E$24,C2333,'Site Dockets'!$C$7:$C$24,F2333)&gt;0,1,0),0))</f>
        <v>0</v>
      </c>
      <c r="L2333" s="15" t="n">
        <f aca="false">IF(J2333=1,0,Inputs!$B$11)</f>
        <v>100</v>
      </c>
      <c r="M2333" s="15" t="n">
        <f aca="false">IF(J2333=1,0,Inputs!$B$12)</f>
        <v>75</v>
      </c>
      <c r="N2333" s="15" t="n">
        <f aca="false">IF(J2333=1,0,IF(OR(AND(OR(B2333="SITE LOSS",B2333="REGION LOSS"),K2333=1),AND(B2333="ROLE COMPROMISE",H2333=C2333)),Inputs!$B$13,Inputs!$B$14))</f>
        <v>10</v>
      </c>
      <c r="O2333" s="15" t="n">
        <f aca="false">IF(J2333=1,0,Inputs!$B$13)</f>
        <v>20</v>
      </c>
      <c r="P2333" s="15" t="n">
        <f aca="false">SUM(M2333:N2333)</f>
        <v>85</v>
      </c>
      <c r="Q2333" s="15" t="n">
        <f aca="false">IF(J2333=1,"",L2333-P2333)</f>
        <v>15</v>
      </c>
      <c r="R2333" s="15" t="n">
        <f aca="false">IF(OR(J2333=1,M2333&lt;=Inputs!$B$12),1,0)</f>
        <v>1</v>
      </c>
      <c r="S2333" s="15" t="n">
        <f aca="false">IF(OR(J2333=1,N2333&lt;=O2333),1,0)</f>
        <v>1</v>
      </c>
      <c r="T2333" s="15" t="str">
        <f aca="false">IF(J2333=1,"OFFLINE",IF(AND(Q2333&gt;=Inputs!$B$15,R2333=1,S2333=1,P2333&lt;=L2333),"PASS","FAIL"))</f>
        <v>PASS</v>
      </c>
    </row>
    <row r="2334" customFormat="false" ht="15" hidden="false" customHeight="false" outlineLevel="0" collapsed="false">
      <c r="A2334" s="14" t="s">
        <v>1041</v>
      </c>
      <c r="B2334" s="14" t="s">
        <v>1038</v>
      </c>
      <c r="C2334" s="14" t="s">
        <v>169</v>
      </c>
      <c r="D2334" s="14" t="s">
        <v>182</v>
      </c>
      <c r="E2334" s="14" t="s">
        <v>166</v>
      </c>
      <c r="F2334" s="14" t="s">
        <v>183</v>
      </c>
      <c r="G2334" s="14" t="n">
        <v>1</v>
      </c>
      <c r="H2334" s="14" t="s">
        <v>154</v>
      </c>
      <c r="I2334" s="14" t="s">
        <v>899</v>
      </c>
      <c r="J2334" s="15" t="n">
        <f aca="false">IF(B2334="SITE LOSS",IF(D2334=C2334,1,0),IF(B2334="REGION LOSS",IF(E2334=C2334,1,0),0))</f>
        <v>0</v>
      </c>
      <c r="K2334" s="15" t="n">
        <f aca="false">IF(B2334="SITE LOSS",IF(COUNTIFS('Site Dockets'!$B$7:$B$24,C2334,'Site Dockets'!$C$7:$C$24,F2334)&gt;0,1,0),IF(B2334="REGION LOSS",IF(COUNTIFS('Site Dockets'!$E$7:$E$24,C2334,'Site Dockets'!$C$7:$C$24,F2334)&gt;0,1,0),0))</f>
        <v>0</v>
      </c>
      <c r="L2334" s="15" t="n">
        <f aca="false">IF(J2334=1,0,Inputs!$B$11)</f>
        <v>100</v>
      </c>
      <c r="M2334" s="15" t="n">
        <f aca="false">IF(J2334=1,0,Inputs!$B$12)</f>
        <v>75</v>
      </c>
      <c r="N2334" s="15" t="n">
        <f aca="false">IF(J2334=1,0,IF(OR(AND(OR(B2334="SITE LOSS",B2334="REGION LOSS"),K2334=1),AND(B2334="ROLE COMPROMISE",H2334=C2334)),Inputs!$B$13,Inputs!$B$14))</f>
        <v>10</v>
      </c>
      <c r="O2334" s="15" t="n">
        <f aca="false">IF(J2334=1,0,Inputs!$B$13)</f>
        <v>20</v>
      </c>
      <c r="P2334" s="15" t="n">
        <f aca="false">SUM(M2334:N2334)</f>
        <v>85</v>
      </c>
      <c r="Q2334" s="15" t="n">
        <f aca="false">IF(J2334=1,"",L2334-P2334)</f>
        <v>15</v>
      </c>
      <c r="R2334" s="15" t="n">
        <f aca="false">IF(OR(J2334=1,M2334&lt;=Inputs!$B$12),1,0)</f>
        <v>1</v>
      </c>
      <c r="S2334" s="15" t="n">
        <f aca="false">IF(OR(J2334=1,N2334&lt;=O2334),1,0)</f>
        <v>1</v>
      </c>
      <c r="T2334" s="15" t="str">
        <f aca="false">IF(J2334=1,"OFFLINE",IF(AND(Q2334&gt;=Inputs!$B$15,R2334=1,S2334=1,P2334&lt;=L2334),"PASS","FAIL"))</f>
        <v>PASS</v>
      </c>
    </row>
    <row r="2335" customFormat="false" ht="15" hidden="false" customHeight="false" outlineLevel="0" collapsed="false">
      <c r="A2335" s="14" t="s">
        <v>1041</v>
      </c>
      <c r="B2335" s="14" t="s">
        <v>1038</v>
      </c>
      <c r="C2335" s="14" t="s">
        <v>169</v>
      </c>
      <c r="D2335" s="14" t="s">
        <v>186</v>
      </c>
      <c r="E2335" s="14" t="s">
        <v>157</v>
      </c>
      <c r="F2335" s="14" t="s">
        <v>183</v>
      </c>
      <c r="G2335" s="14" t="n">
        <v>2</v>
      </c>
      <c r="H2335" s="14" t="s">
        <v>153</v>
      </c>
      <c r="I2335" s="14" t="s">
        <v>890</v>
      </c>
      <c r="J2335" s="15" t="n">
        <f aca="false">IF(B2335="SITE LOSS",IF(D2335=C2335,1,0),IF(B2335="REGION LOSS",IF(E2335=C2335,1,0),0))</f>
        <v>0</v>
      </c>
      <c r="K2335" s="15" t="n">
        <f aca="false">IF(B2335="SITE LOSS",IF(COUNTIFS('Site Dockets'!$B$7:$B$24,C2335,'Site Dockets'!$C$7:$C$24,F2335)&gt;0,1,0),IF(B2335="REGION LOSS",IF(COUNTIFS('Site Dockets'!$E$7:$E$24,C2335,'Site Dockets'!$C$7:$C$24,F2335)&gt;0,1,0),0))</f>
        <v>0</v>
      </c>
      <c r="L2335" s="15" t="n">
        <f aca="false">IF(J2335=1,0,Inputs!$B$11)</f>
        <v>100</v>
      </c>
      <c r="M2335" s="15" t="n">
        <f aca="false">IF(J2335=1,0,Inputs!$B$12)</f>
        <v>75</v>
      </c>
      <c r="N2335" s="15" t="n">
        <f aca="false">IF(J2335=1,0,IF(OR(AND(OR(B2335="SITE LOSS",B2335="REGION LOSS"),K2335=1),AND(B2335="ROLE COMPROMISE",H2335=C2335)),Inputs!$B$13,Inputs!$B$14))</f>
        <v>10</v>
      </c>
      <c r="O2335" s="15" t="n">
        <f aca="false">IF(J2335=1,0,Inputs!$B$13)</f>
        <v>20</v>
      </c>
      <c r="P2335" s="15" t="n">
        <f aca="false">SUM(M2335:N2335)</f>
        <v>85</v>
      </c>
      <c r="Q2335" s="15" t="n">
        <f aca="false">IF(J2335=1,"",L2335-P2335)</f>
        <v>15</v>
      </c>
      <c r="R2335" s="15" t="n">
        <f aca="false">IF(OR(J2335=1,M2335&lt;=Inputs!$B$12),1,0)</f>
        <v>1</v>
      </c>
      <c r="S2335" s="15" t="n">
        <f aca="false">IF(OR(J2335=1,N2335&lt;=O2335),1,0)</f>
        <v>1</v>
      </c>
      <c r="T2335" s="15" t="str">
        <f aca="false">IF(J2335=1,"OFFLINE",IF(AND(Q2335&gt;=Inputs!$B$15,R2335=1,S2335=1,P2335&lt;=L2335),"PASS","FAIL"))</f>
        <v>PASS</v>
      </c>
    </row>
    <row r="2336" customFormat="false" ht="15" hidden="false" customHeight="false" outlineLevel="0" collapsed="false">
      <c r="A2336" s="14" t="s">
        <v>1041</v>
      </c>
      <c r="B2336" s="14" t="s">
        <v>1038</v>
      </c>
      <c r="C2336" s="14" t="s">
        <v>169</v>
      </c>
      <c r="D2336" s="14" t="s">
        <v>186</v>
      </c>
      <c r="E2336" s="14" t="s">
        <v>157</v>
      </c>
      <c r="F2336" s="14" t="s">
        <v>183</v>
      </c>
      <c r="G2336" s="14" t="n">
        <v>2</v>
      </c>
      <c r="H2336" s="14" t="s">
        <v>153</v>
      </c>
      <c r="I2336" s="14" t="s">
        <v>892</v>
      </c>
      <c r="J2336" s="15" t="n">
        <f aca="false">IF(B2336="SITE LOSS",IF(D2336=C2336,1,0),IF(B2336="REGION LOSS",IF(E2336=C2336,1,0),0))</f>
        <v>0</v>
      </c>
      <c r="K2336" s="15" t="n">
        <f aca="false">IF(B2336="SITE LOSS",IF(COUNTIFS('Site Dockets'!$B$7:$B$24,C2336,'Site Dockets'!$C$7:$C$24,F2336)&gt;0,1,0),IF(B2336="REGION LOSS",IF(COUNTIFS('Site Dockets'!$E$7:$E$24,C2336,'Site Dockets'!$C$7:$C$24,F2336)&gt;0,1,0),0))</f>
        <v>0</v>
      </c>
      <c r="L2336" s="15" t="n">
        <f aca="false">IF(J2336=1,0,Inputs!$B$11)</f>
        <v>100</v>
      </c>
      <c r="M2336" s="15" t="n">
        <f aca="false">IF(J2336=1,0,Inputs!$B$12)</f>
        <v>75</v>
      </c>
      <c r="N2336" s="15" t="n">
        <f aca="false">IF(J2336=1,0,IF(OR(AND(OR(B2336="SITE LOSS",B2336="REGION LOSS"),K2336=1),AND(B2336="ROLE COMPROMISE",H2336=C2336)),Inputs!$B$13,Inputs!$B$14))</f>
        <v>10</v>
      </c>
      <c r="O2336" s="15" t="n">
        <f aca="false">IF(J2336=1,0,Inputs!$B$13)</f>
        <v>20</v>
      </c>
      <c r="P2336" s="15" t="n">
        <f aca="false">SUM(M2336:N2336)</f>
        <v>85</v>
      </c>
      <c r="Q2336" s="15" t="n">
        <f aca="false">IF(J2336=1,"",L2336-P2336)</f>
        <v>15</v>
      </c>
      <c r="R2336" s="15" t="n">
        <f aca="false">IF(OR(J2336=1,M2336&lt;=Inputs!$B$12),1,0)</f>
        <v>1</v>
      </c>
      <c r="S2336" s="15" t="n">
        <f aca="false">IF(OR(J2336=1,N2336&lt;=O2336),1,0)</f>
        <v>1</v>
      </c>
      <c r="T2336" s="15" t="str">
        <f aca="false">IF(J2336=1,"OFFLINE",IF(AND(Q2336&gt;=Inputs!$B$15,R2336=1,S2336=1,P2336&lt;=L2336),"PASS","FAIL"))</f>
        <v>PASS</v>
      </c>
    </row>
    <row r="2337" customFormat="false" ht="15" hidden="false" customHeight="false" outlineLevel="0" collapsed="false">
      <c r="A2337" s="14" t="s">
        <v>1041</v>
      </c>
      <c r="B2337" s="14" t="s">
        <v>1038</v>
      </c>
      <c r="C2337" s="14" t="s">
        <v>169</v>
      </c>
      <c r="D2337" s="14" t="s">
        <v>186</v>
      </c>
      <c r="E2337" s="14" t="s">
        <v>157</v>
      </c>
      <c r="F2337" s="14" t="s">
        <v>183</v>
      </c>
      <c r="G2337" s="14" t="n">
        <v>2</v>
      </c>
      <c r="H2337" s="14" t="s">
        <v>153</v>
      </c>
      <c r="I2337" s="14" t="s">
        <v>811</v>
      </c>
      <c r="J2337" s="15" t="n">
        <f aca="false">IF(B2337="SITE LOSS",IF(D2337=C2337,1,0),IF(B2337="REGION LOSS",IF(E2337=C2337,1,0),0))</f>
        <v>0</v>
      </c>
      <c r="K2337" s="15" t="n">
        <f aca="false">IF(B2337="SITE LOSS",IF(COUNTIFS('Site Dockets'!$B$7:$B$24,C2337,'Site Dockets'!$C$7:$C$24,F2337)&gt;0,1,0),IF(B2337="REGION LOSS",IF(COUNTIFS('Site Dockets'!$E$7:$E$24,C2337,'Site Dockets'!$C$7:$C$24,F2337)&gt;0,1,0),0))</f>
        <v>0</v>
      </c>
      <c r="L2337" s="15" t="n">
        <f aca="false">IF(J2337=1,0,Inputs!$B$11)</f>
        <v>100</v>
      </c>
      <c r="M2337" s="15" t="n">
        <f aca="false">IF(J2337=1,0,Inputs!$B$12)</f>
        <v>75</v>
      </c>
      <c r="N2337" s="15" t="n">
        <f aca="false">IF(J2337=1,0,IF(OR(AND(OR(B2337="SITE LOSS",B2337="REGION LOSS"),K2337=1),AND(B2337="ROLE COMPROMISE",H2337=C2337)),Inputs!$B$13,Inputs!$B$14))</f>
        <v>10</v>
      </c>
      <c r="O2337" s="15" t="n">
        <f aca="false">IF(J2337=1,0,Inputs!$B$13)</f>
        <v>20</v>
      </c>
      <c r="P2337" s="15" t="n">
        <f aca="false">SUM(M2337:N2337)</f>
        <v>85</v>
      </c>
      <c r="Q2337" s="15" t="n">
        <f aca="false">IF(J2337=1,"",L2337-P2337)</f>
        <v>15</v>
      </c>
      <c r="R2337" s="15" t="n">
        <f aca="false">IF(OR(J2337=1,M2337&lt;=Inputs!$B$12),1,0)</f>
        <v>1</v>
      </c>
      <c r="S2337" s="15" t="n">
        <f aca="false">IF(OR(J2337=1,N2337&lt;=O2337),1,0)</f>
        <v>1</v>
      </c>
      <c r="T2337" s="15" t="str">
        <f aca="false">IF(J2337=1,"OFFLINE",IF(AND(Q2337&gt;=Inputs!$B$15,R2337=1,S2337=1,P2337&lt;=L2337),"PASS","FAIL"))</f>
        <v>PASS</v>
      </c>
    </row>
    <row r="2338" customFormat="false" ht="15" hidden="false" customHeight="false" outlineLevel="0" collapsed="false">
      <c r="A2338" s="14" t="s">
        <v>1041</v>
      </c>
      <c r="B2338" s="14" t="s">
        <v>1038</v>
      </c>
      <c r="C2338" s="14" t="s">
        <v>169</v>
      </c>
      <c r="D2338" s="14" t="s">
        <v>186</v>
      </c>
      <c r="E2338" s="14" t="s">
        <v>157</v>
      </c>
      <c r="F2338" s="14" t="s">
        <v>183</v>
      </c>
      <c r="G2338" s="14" t="n">
        <v>2</v>
      </c>
      <c r="H2338" s="14" t="s">
        <v>153</v>
      </c>
      <c r="I2338" s="14" t="s">
        <v>895</v>
      </c>
      <c r="J2338" s="15" t="n">
        <f aca="false">IF(B2338="SITE LOSS",IF(D2338=C2338,1,0),IF(B2338="REGION LOSS",IF(E2338=C2338,1,0),0))</f>
        <v>0</v>
      </c>
      <c r="K2338" s="15" t="n">
        <f aca="false">IF(B2338="SITE LOSS",IF(COUNTIFS('Site Dockets'!$B$7:$B$24,C2338,'Site Dockets'!$C$7:$C$24,F2338)&gt;0,1,0),IF(B2338="REGION LOSS",IF(COUNTIFS('Site Dockets'!$E$7:$E$24,C2338,'Site Dockets'!$C$7:$C$24,F2338)&gt;0,1,0),0))</f>
        <v>0</v>
      </c>
      <c r="L2338" s="15" t="n">
        <f aca="false">IF(J2338=1,0,Inputs!$B$11)</f>
        <v>100</v>
      </c>
      <c r="M2338" s="15" t="n">
        <f aca="false">IF(J2338=1,0,Inputs!$B$12)</f>
        <v>75</v>
      </c>
      <c r="N2338" s="15" t="n">
        <f aca="false">IF(J2338=1,0,IF(OR(AND(OR(B2338="SITE LOSS",B2338="REGION LOSS"),K2338=1),AND(B2338="ROLE COMPROMISE",H2338=C2338)),Inputs!$B$13,Inputs!$B$14))</f>
        <v>10</v>
      </c>
      <c r="O2338" s="15" t="n">
        <f aca="false">IF(J2338=1,0,Inputs!$B$13)</f>
        <v>20</v>
      </c>
      <c r="P2338" s="15" t="n">
        <f aca="false">SUM(M2338:N2338)</f>
        <v>85</v>
      </c>
      <c r="Q2338" s="15" t="n">
        <f aca="false">IF(J2338=1,"",L2338-P2338)</f>
        <v>15</v>
      </c>
      <c r="R2338" s="15" t="n">
        <f aca="false">IF(OR(J2338=1,M2338&lt;=Inputs!$B$12),1,0)</f>
        <v>1</v>
      </c>
      <c r="S2338" s="15" t="n">
        <f aca="false">IF(OR(J2338=1,N2338&lt;=O2338),1,0)</f>
        <v>1</v>
      </c>
      <c r="T2338" s="15" t="str">
        <f aca="false">IF(J2338=1,"OFFLINE",IF(AND(Q2338&gt;=Inputs!$B$15,R2338=1,S2338=1,P2338&lt;=L2338),"PASS","FAIL"))</f>
        <v>PASS</v>
      </c>
    </row>
    <row r="2339" customFormat="false" ht="15" hidden="false" customHeight="false" outlineLevel="0" collapsed="false">
      <c r="A2339" s="14" t="s">
        <v>1041</v>
      </c>
      <c r="B2339" s="14" t="s">
        <v>1038</v>
      </c>
      <c r="C2339" s="14" t="s">
        <v>169</v>
      </c>
      <c r="D2339" s="14" t="s">
        <v>186</v>
      </c>
      <c r="E2339" s="14" t="s">
        <v>157</v>
      </c>
      <c r="F2339" s="14" t="s">
        <v>183</v>
      </c>
      <c r="G2339" s="14" t="n">
        <v>2</v>
      </c>
      <c r="H2339" s="14" t="s">
        <v>153</v>
      </c>
      <c r="I2339" s="14" t="s">
        <v>897</v>
      </c>
      <c r="J2339" s="15" t="n">
        <f aca="false">IF(B2339="SITE LOSS",IF(D2339=C2339,1,0),IF(B2339="REGION LOSS",IF(E2339=C2339,1,0),0))</f>
        <v>0</v>
      </c>
      <c r="K2339" s="15" t="n">
        <f aca="false">IF(B2339="SITE LOSS",IF(COUNTIFS('Site Dockets'!$B$7:$B$24,C2339,'Site Dockets'!$C$7:$C$24,F2339)&gt;0,1,0),IF(B2339="REGION LOSS",IF(COUNTIFS('Site Dockets'!$E$7:$E$24,C2339,'Site Dockets'!$C$7:$C$24,F2339)&gt;0,1,0),0))</f>
        <v>0</v>
      </c>
      <c r="L2339" s="15" t="n">
        <f aca="false">IF(J2339=1,0,Inputs!$B$11)</f>
        <v>100</v>
      </c>
      <c r="M2339" s="15" t="n">
        <f aca="false">IF(J2339=1,0,Inputs!$B$12)</f>
        <v>75</v>
      </c>
      <c r="N2339" s="15" t="n">
        <f aca="false">IF(J2339=1,0,IF(OR(AND(OR(B2339="SITE LOSS",B2339="REGION LOSS"),K2339=1),AND(B2339="ROLE COMPROMISE",H2339=C2339)),Inputs!$B$13,Inputs!$B$14))</f>
        <v>10</v>
      </c>
      <c r="O2339" s="15" t="n">
        <f aca="false">IF(J2339=1,0,Inputs!$B$13)</f>
        <v>20</v>
      </c>
      <c r="P2339" s="15" t="n">
        <f aca="false">SUM(M2339:N2339)</f>
        <v>85</v>
      </c>
      <c r="Q2339" s="15" t="n">
        <f aca="false">IF(J2339=1,"",L2339-P2339)</f>
        <v>15</v>
      </c>
      <c r="R2339" s="15" t="n">
        <f aca="false">IF(OR(J2339=1,M2339&lt;=Inputs!$B$12),1,0)</f>
        <v>1</v>
      </c>
      <c r="S2339" s="15" t="n">
        <f aca="false">IF(OR(J2339=1,N2339&lt;=O2339),1,0)</f>
        <v>1</v>
      </c>
      <c r="T2339" s="15" t="str">
        <f aca="false">IF(J2339=1,"OFFLINE",IF(AND(Q2339&gt;=Inputs!$B$15,R2339=1,S2339=1,P2339&lt;=L2339),"PASS","FAIL"))</f>
        <v>PASS</v>
      </c>
    </row>
    <row r="2340" customFormat="false" ht="15" hidden="false" customHeight="false" outlineLevel="0" collapsed="false">
      <c r="A2340" s="14" t="s">
        <v>1041</v>
      </c>
      <c r="B2340" s="14" t="s">
        <v>1038</v>
      </c>
      <c r="C2340" s="14" t="s">
        <v>169</v>
      </c>
      <c r="D2340" s="14" t="s">
        <v>186</v>
      </c>
      <c r="E2340" s="14" t="s">
        <v>157</v>
      </c>
      <c r="F2340" s="14" t="s">
        <v>183</v>
      </c>
      <c r="G2340" s="14" t="n">
        <v>2</v>
      </c>
      <c r="H2340" s="14" t="s">
        <v>153</v>
      </c>
      <c r="I2340" s="14" t="s">
        <v>899</v>
      </c>
      <c r="J2340" s="15" t="n">
        <f aca="false">IF(B2340="SITE LOSS",IF(D2340=C2340,1,0),IF(B2340="REGION LOSS",IF(E2340=C2340,1,0),0))</f>
        <v>0</v>
      </c>
      <c r="K2340" s="15" t="n">
        <f aca="false">IF(B2340="SITE LOSS",IF(COUNTIFS('Site Dockets'!$B$7:$B$24,C2340,'Site Dockets'!$C$7:$C$24,F2340)&gt;0,1,0),IF(B2340="REGION LOSS",IF(COUNTIFS('Site Dockets'!$E$7:$E$24,C2340,'Site Dockets'!$C$7:$C$24,F2340)&gt;0,1,0),0))</f>
        <v>0</v>
      </c>
      <c r="L2340" s="15" t="n">
        <f aca="false">IF(J2340=1,0,Inputs!$B$11)</f>
        <v>100</v>
      </c>
      <c r="M2340" s="15" t="n">
        <f aca="false">IF(J2340=1,0,Inputs!$B$12)</f>
        <v>75</v>
      </c>
      <c r="N2340" s="15" t="n">
        <f aca="false">IF(J2340=1,0,IF(OR(AND(OR(B2340="SITE LOSS",B2340="REGION LOSS"),K2340=1),AND(B2340="ROLE COMPROMISE",H2340=C2340)),Inputs!$B$13,Inputs!$B$14))</f>
        <v>10</v>
      </c>
      <c r="O2340" s="15" t="n">
        <f aca="false">IF(J2340=1,0,Inputs!$B$13)</f>
        <v>20</v>
      </c>
      <c r="P2340" s="15" t="n">
        <f aca="false">SUM(M2340:N2340)</f>
        <v>85</v>
      </c>
      <c r="Q2340" s="15" t="n">
        <f aca="false">IF(J2340=1,"",L2340-P2340)</f>
        <v>15</v>
      </c>
      <c r="R2340" s="15" t="n">
        <f aca="false">IF(OR(J2340=1,M2340&lt;=Inputs!$B$12),1,0)</f>
        <v>1</v>
      </c>
      <c r="S2340" s="15" t="n">
        <f aca="false">IF(OR(J2340=1,N2340&lt;=O2340),1,0)</f>
        <v>1</v>
      </c>
      <c r="T2340" s="15" t="str">
        <f aca="false">IF(J2340=1,"OFFLINE",IF(AND(Q2340&gt;=Inputs!$B$15,R2340=1,S2340=1,P2340&lt;=L2340),"PASS","FAIL"))</f>
        <v>PASS</v>
      </c>
    </row>
    <row r="2341" customFormat="false" ht="15" hidden="false" customHeight="false" outlineLevel="0" collapsed="false">
      <c r="A2341" s="14" t="s">
        <v>1041</v>
      </c>
      <c r="B2341" s="14" t="s">
        <v>1038</v>
      </c>
      <c r="C2341" s="14" t="s">
        <v>169</v>
      </c>
      <c r="D2341" s="14" t="s">
        <v>188</v>
      </c>
      <c r="E2341" s="14" t="s">
        <v>172</v>
      </c>
      <c r="F2341" s="14" t="s">
        <v>183</v>
      </c>
      <c r="G2341" s="14" t="n">
        <v>3</v>
      </c>
      <c r="H2341" s="14" t="s">
        <v>158</v>
      </c>
      <c r="I2341" s="14" t="s">
        <v>890</v>
      </c>
      <c r="J2341" s="15" t="n">
        <f aca="false">IF(B2341="SITE LOSS",IF(D2341=C2341,1,0),IF(B2341="REGION LOSS",IF(E2341=C2341,1,0),0))</f>
        <v>0</v>
      </c>
      <c r="K2341" s="15" t="n">
        <f aca="false">IF(B2341="SITE LOSS",IF(COUNTIFS('Site Dockets'!$B$7:$B$24,C2341,'Site Dockets'!$C$7:$C$24,F2341)&gt;0,1,0),IF(B2341="REGION LOSS",IF(COUNTIFS('Site Dockets'!$E$7:$E$24,C2341,'Site Dockets'!$C$7:$C$24,F2341)&gt;0,1,0),0))</f>
        <v>0</v>
      </c>
      <c r="L2341" s="15" t="n">
        <f aca="false">IF(J2341=1,0,Inputs!$B$11)</f>
        <v>100</v>
      </c>
      <c r="M2341" s="15" t="n">
        <f aca="false">IF(J2341=1,0,Inputs!$B$12)</f>
        <v>75</v>
      </c>
      <c r="N2341" s="15" t="n">
        <f aca="false">IF(J2341=1,0,IF(OR(AND(OR(B2341="SITE LOSS",B2341="REGION LOSS"),K2341=1),AND(B2341="ROLE COMPROMISE",H2341=C2341)),Inputs!$B$13,Inputs!$B$14))</f>
        <v>10</v>
      </c>
      <c r="O2341" s="15" t="n">
        <f aca="false">IF(J2341=1,0,Inputs!$B$13)</f>
        <v>20</v>
      </c>
      <c r="P2341" s="15" t="n">
        <f aca="false">SUM(M2341:N2341)</f>
        <v>85</v>
      </c>
      <c r="Q2341" s="15" t="n">
        <f aca="false">IF(J2341=1,"",L2341-P2341)</f>
        <v>15</v>
      </c>
      <c r="R2341" s="15" t="n">
        <f aca="false">IF(OR(J2341=1,M2341&lt;=Inputs!$B$12),1,0)</f>
        <v>1</v>
      </c>
      <c r="S2341" s="15" t="n">
        <f aca="false">IF(OR(J2341=1,N2341&lt;=O2341),1,0)</f>
        <v>1</v>
      </c>
      <c r="T2341" s="15" t="str">
        <f aca="false">IF(J2341=1,"OFFLINE",IF(AND(Q2341&gt;=Inputs!$B$15,R2341=1,S2341=1,P2341&lt;=L2341),"PASS","FAIL"))</f>
        <v>PASS</v>
      </c>
    </row>
    <row r="2342" customFormat="false" ht="15" hidden="false" customHeight="false" outlineLevel="0" collapsed="false">
      <c r="A2342" s="14" t="s">
        <v>1041</v>
      </c>
      <c r="B2342" s="14" t="s">
        <v>1038</v>
      </c>
      <c r="C2342" s="14" t="s">
        <v>169</v>
      </c>
      <c r="D2342" s="14" t="s">
        <v>188</v>
      </c>
      <c r="E2342" s="14" t="s">
        <v>172</v>
      </c>
      <c r="F2342" s="14" t="s">
        <v>183</v>
      </c>
      <c r="G2342" s="14" t="n">
        <v>3</v>
      </c>
      <c r="H2342" s="14" t="s">
        <v>158</v>
      </c>
      <c r="I2342" s="14" t="s">
        <v>892</v>
      </c>
      <c r="J2342" s="15" t="n">
        <f aca="false">IF(B2342="SITE LOSS",IF(D2342=C2342,1,0),IF(B2342="REGION LOSS",IF(E2342=C2342,1,0),0))</f>
        <v>0</v>
      </c>
      <c r="K2342" s="15" t="n">
        <f aca="false">IF(B2342="SITE LOSS",IF(COUNTIFS('Site Dockets'!$B$7:$B$24,C2342,'Site Dockets'!$C$7:$C$24,F2342)&gt;0,1,0),IF(B2342="REGION LOSS",IF(COUNTIFS('Site Dockets'!$E$7:$E$24,C2342,'Site Dockets'!$C$7:$C$24,F2342)&gt;0,1,0),0))</f>
        <v>0</v>
      </c>
      <c r="L2342" s="15" t="n">
        <f aca="false">IF(J2342=1,0,Inputs!$B$11)</f>
        <v>100</v>
      </c>
      <c r="M2342" s="15" t="n">
        <f aca="false">IF(J2342=1,0,Inputs!$B$12)</f>
        <v>75</v>
      </c>
      <c r="N2342" s="15" t="n">
        <f aca="false">IF(J2342=1,0,IF(OR(AND(OR(B2342="SITE LOSS",B2342="REGION LOSS"),K2342=1),AND(B2342="ROLE COMPROMISE",H2342=C2342)),Inputs!$B$13,Inputs!$B$14))</f>
        <v>10</v>
      </c>
      <c r="O2342" s="15" t="n">
        <f aca="false">IF(J2342=1,0,Inputs!$B$13)</f>
        <v>20</v>
      </c>
      <c r="P2342" s="15" t="n">
        <f aca="false">SUM(M2342:N2342)</f>
        <v>85</v>
      </c>
      <c r="Q2342" s="15" t="n">
        <f aca="false">IF(J2342=1,"",L2342-P2342)</f>
        <v>15</v>
      </c>
      <c r="R2342" s="15" t="n">
        <f aca="false">IF(OR(J2342=1,M2342&lt;=Inputs!$B$12),1,0)</f>
        <v>1</v>
      </c>
      <c r="S2342" s="15" t="n">
        <f aca="false">IF(OR(J2342=1,N2342&lt;=O2342),1,0)</f>
        <v>1</v>
      </c>
      <c r="T2342" s="15" t="str">
        <f aca="false">IF(J2342=1,"OFFLINE",IF(AND(Q2342&gt;=Inputs!$B$15,R2342=1,S2342=1,P2342&lt;=L2342),"PASS","FAIL"))</f>
        <v>PASS</v>
      </c>
    </row>
    <row r="2343" customFormat="false" ht="15" hidden="false" customHeight="false" outlineLevel="0" collapsed="false">
      <c r="A2343" s="14" t="s">
        <v>1041</v>
      </c>
      <c r="B2343" s="14" t="s">
        <v>1038</v>
      </c>
      <c r="C2343" s="14" t="s">
        <v>169</v>
      </c>
      <c r="D2343" s="14" t="s">
        <v>188</v>
      </c>
      <c r="E2343" s="14" t="s">
        <v>172</v>
      </c>
      <c r="F2343" s="14" t="s">
        <v>183</v>
      </c>
      <c r="G2343" s="14" t="n">
        <v>3</v>
      </c>
      <c r="H2343" s="14" t="s">
        <v>158</v>
      </c>
      <c r="I2343" s="14" t="s">
        <v>811</v>
      </c>
      <c r="J2343" s="15" t="n">
        <f aca="false">IF(B2343="SITE LOSS",IF(D2343=C2343,1,0),IF(B2343="REGION LOSS",IF(E2343=C2343,1,0),0))</f>
        <v>0</v>
      </c>
      <c r="K2343" s="15" t="n">
        <f aca="false">IF(B2343="SITE LOSS",IF(COUNTIFS('Site Dockets'!$B$7:$B$24,C2343,'Site Dockets'!$C$7:$C$24,F2343)&gt;0,1,0),IF(B2343="REGION LOSS",IF(COUNTIFS('Site Dockets'!$E$7:$E$24,C2343,'Site Dockets'!$C$7:$C$24,F2343)&gt;0,1,0),0))</f>
        <v>0</v>
      </c>
      <c r="L2343" s="15" t="n">
        <f aca="false">IF(J2343=1,0,Inputs!$B$11)</f>
        <v>100</v>
      </c>
      <c r="M2343" s="15" t="n">
        <f aca="false">IF(J2343=1,0,Inputs!$B$12)</f>
        <v>75</v>
      </c>
      <c r="N2343" s="15" t="n">
        <f aca="false">IF(J2343=1,0,IF(OR(AND(OR(B2343="SITE LOSS",B2343="REGION LOSS"),K2343=1),AND(B2343="ROLE COMPROMISE",H2343=C2343)),Inputs!$B$13,Inputs!$B$14))</f>
        <v>10</v>
      </c>
      <c r="O2343" s="15" t="n">
        <f aca="false">IF(J2343=1,0,Inputs!$B$13)</f>
        <v>20</v>
      </c>
      <c r="P2343" s="15" t="n">
        <f aca="false">SUM(M2343:N2343)</f>
        <v>85</v>
      </c>
      <c r="Q2343" s="15" t="n">
        <f aca="false">IF(J2343=1,"",L2343-P2343)</f>
        <v>15</v>
      </c>
      <c r="R2343" s="15" t="n">
        <f aca="false">IF(OR(J2343=1,M2343&lt;=Inputs!$B$12),1,0)</f>
        <v>1</v>
      </c>
      <c r="S2343" s="15" t="n">
        <f aca="false">IF(OR(J2343=1,N2343&lt;=O2343),1,0)</f>
        <v>1</v>
      </c>
      <c r="T2343" s="15" t="str">
        <f aca="false">IF(J2343=1,"OFFLINE",IF(AND(Q2343&gt;=Inputs!$B$15,R2343=1,S2343=1,P2343&lt;=L2343),"PASS","FAIL"))</f>
        <v>PASS</v>
      </c>
    </row>
    <row r="2344" customFormat="false" ht="15" hidden="false" customHeight="false" outlineLevel="0" collapsed="false">
      <c r="A2344" s="14" t="s">
        <v>1041</v>
      </c>
      <c r="B2344" s="14" t="s">
        <v>1038</v>
      </c>
      <c r="C2344" s="14" t="s">
        <v>169</v>
      </c>
      <c r="D2344" s="14" t="s">
        <v>188</v>
      </c>
      <c r="E2344" s="14" t="s">
        <v>172</v>
      </c>
      <c r="F2344" s="14" t="s">
        <v>183</v>
      </c>
      <c r="G2344" s="14" t="n">
        <v>3</v>
      </c>
      <c r="H2344" s="14" t="s">
        <v>158</v>
      </c>
      <c r="I2344" s="14" t="s">
        <v>895</v>
      </c>
      <c r="J2344" s="15" t="n">
        <f aca="false">IF(B2344="SITE LOSS",IF(D2344=C2344,1,0),IF(B2344="REGION LOSS",IF(E2344=C2344,1,0),0))</f>
        <v>0</v>
      </c>
      <c r="K2344" s="15" t="n">
        <f aca="false">IF(B2344="SITE LOSS",IF(COUNTIFS('Site Dockets'!$B$7:$B$24,C2344,'Site Dockets'!$C$7:$C$24,F2344)&gt;0,1,0),IF(B2344="REGION LOSS",IF(COUNTIFS('Site Dockets'!$E$7:$E$24,C2344,'Site Dockets'!$C$7:$C$24,F2344)&gt;0,1,0),0))</f>
        <v>0</v>
      </c>
      <c r="L2344" s="15" t="n">
        <f aca="false">IF(J2344=1,0,Inputs!$B$11)</f>
        <v>100</v>
      </c>
      <c r="M2344" s="15" t="n">
        <f aca="false">IF(J2344=1,0,Inputs!$B$12)</f>
        <v>75</v>
      </c>
      <c r="N2344" s="15" t="n">
        <f aca="false">IF(J2344=1,0,IF(OR(AND(OR(B2344="SITE LOSS",B2344="REGION LOSS"),K2344=1),AND(B2344="ROLE COMPROMISE",H2344=C2344)),Inputs!$B$13,Inputs!$B$14))</f>
        <v>10</v>
      </c>
      <c r="O2344" s="15" t="n">
        <f aca="false">IF(J2344=1,0,Inputs!$B$13)</f>
        <v>20</v>
      </c>
      <c r="P2344" s="15" t="n">
        <f aca="false">SUM(M2344:N2344)</f>
        <v>85</v>
      </c>
      <c r="Q2344" s="15" t="n">
        <f aca="false">IF(J2344=1,"",L2344-P2344)</f>
        <v>15</v>
      </c>
      <c r="R2344" s="15" t="n">
        <f aca="false">IF(OR(J2344=1,M2344&lt;=Inputs!$B$12),1,0)</f>
        <v>1</v>
      </c>
      <c r="S2344" s="15" t="n">
        <f aca="false">IF(OR(J2344=1,N2344&lt;=O2344),1,0)</f>
        <v>1</v>
      </c>
      <c r="T2344" s="15" t="str">
        <f aca="false">IF(J2344=1,"OFFLINE",IF(AND(Q2344&gt;=Inputs!$B$15,R2344=1,S2344=1,P2344&lt;=L2344),"PASS","FAIL"))</f>
        <v>PASS</v>
      </c>
    </row>
    <row r="2345" customFormat="false" ht="15" hidden="false" customHeight="false" outlineLevel="0" collapsed="false">
      <c r="A2345" s="14" t="s">
        <v>1041</v>
      </c>
      <c r="B2345" s="14" t="s">
        <v>1038</v>
      </c>
      <c r="C2345" s="14" t="s">
        <v>169</v>
      </c>
      <c r="D2345" s="14" t="s">
        <v>188</v>
      </c>
      <c r="E2345" s="14" t="s">
        <v>172</v>
      </c>
      <c r="F2345" s="14" t="s">
        <v>183</v>
      </c>
      <c r="G2345" s="14" t="n">
        <v>3</v>
      </c>
      <c r="H2345" s="14" t="s">
        <v>158</v>
      </c>
      <c r="I2345" s="14" t="s">
        <v>897</v>
      </c>
      <c r="J2345" s="15" t="n">
        <f aca="false">IF(B2345="SITE LOSS",IF(D2345=C2345,1,0),IF(B2345="REGION LOSS",IF(E2345=C2345,1,0),0))</f>
        <v>0</v>
      </c>
      <c r="K2345" s="15" t="n">
        <f aca="false">IF(B2345="SITE LOSS",IF(COUNTIFS('Site Dockets'!$B$7:$B$24,C2345,'Site Dockets'!$C$7:$C$24,F2345)&gt;0,1,0),IF(B2345="REGION LOSS",IF(COUNTIFS('Site Dockets'!$E$7:$E$24,C2345,'Site Dockets'!$C$7:$C$24,F2345)&gt;0,1,0),0))</f>
        <v>0</v>
      </c>
      <c r="L2345" s="15" t="n">
        <f aca="false">IF(J2345=1,0,Inputs!$B$11)</f>
        <v>100</v>
      </c>
      <c r="M2345" s="15" t="n">
        <f aca="false">IF(J2345=1,0,Inputs!$B$12)</f>
        <v>75</v>
      </c>
      <c r="N2345" s="15" t="n">
        <f aca="false">IF(J2345=1,0,IF(OR(AND(OR(B2345="SITE LOSS",B2345="REGION LOSS"),K2345=1),AND(B2345="ROLE COMPROMISE",H2345=C2345)),Inputs!$B$13,Inputs!$B$14))</f>
        <v>10</v>
      </c>
      <c r="O2345" s="15" t="n">
        <f aca="false">IF(J2345=1,0,Inputs!$B$13)</f>
        <v>20</v>
      </c>
      <c r="P2345" s="15" t="n">
        <f aca="false">SUM(M2345:N2345)</f>
        <v>85</v>
      </c>
      <c r="Q2345" s="15" t="n">
        <f aca="false">IF(J2345=1,"",L2345-P2345)</f>
        <v>15</v>
      </c>
      <c r="R2345" s="15" t="n">
        <f aca="false">IF(OR(J2345=1,M2345&lt;=Inputs!$B$12),1,0)</f>
        <v>1</v>
      </c>
      <c r="S2345" s="15" t="n">
        <f aca="false">IF(OR(J2345=1,N2345&lt;=O2345),1,0)</f>
        <v>1</v>
      </c>
      <c r="T2345" s="15" t="str">
        <f aca="false">IF(J2345=1,"OFFLINE",IF(AND(Q2345&gt;=Inputs!$B$15,R2345=1,S2345=1,P2345&lt;=L2345),"PASS","FAIL"))</f>
        <v>PASS</v>
      </c>
    </row>
    <row r="2346" customFormat="false" ht="15" hidden="false" customHeight="false" outlineLevel="0" collapsed="false">
      <c r="A2346" s="14" t="s">
        <v>1041</v>
      </c>
      <c r="B2346" s="14" t="s">
        <v>1038</v>
      </c>
      <c r="C2346" s="14" t="s">
        <v>169</v>
      </c>
      <c r="D2346" s="14" t="s">
        <v>188</v>
      </c>
      <c r="E2346" s="14" t="s">
        <v>172</v>
      </c>
      <c r="F2346" s="14" t="s">
        <v>183</v>
      </c>
      <c r="G2346" s="14" t="n">
        <v>3</v>
      </c>
      <c r="H2346" s="14" t="s">
        <v>158</v>
      </c>
      <c r="I2346" s="14" t="s">
        <v>899</v>
      </c>
      <c r="J2346" s="15" t="n">
        <f aca="false">IF(B2346="SITE LOSS",IF(D2346=C2346,1,0),IF(B2346="REGION LOSS",IF(E2346=C2346,1,0),0))</f>
        <v>0</v>
      </c>
      <c r="K2346" s="15" t="n">
        <f aca="false">IF(B2346="SITE LOSS",IF(COUNTIFS('Site Dockets'!$B$7:$B$24,C2346,'Site Dockets'!$C$7:$C$24,F2346)&gt;0,1,0),IF(B2346="REGION LOSS",IF(COUNTIFS('Site Dockets'!$E$7:$E$24,C2346,'Site Dockets'!$C$7:$C$24,F2346)&gt;0,1,0),0))</f>
        <v>0</v>
      </c>
      <c r="L2346" s="15" t="n">
        <f aca="false">IF(J2346=1,0,Inputs!$B$11)</f>
        <v>100</v>
      </c>
      <c r="M2346" s="15" t="n">
        <f aca="false">IF(J2346=1,0,Inputs!$B$12)</f>
        <v>75</v>
      </c>
      <c r="N2346" s="15" t="n">
        <f aca="false">IF(J2346=1,0,IF(OR(AND(OR(B2346="SITE LOSS",B2346="REGION LOSS"),K2346=1),AND(B2346="ROLE COMPROMISE",H2346=C2346)),Inputs!$B$13,Inputs!$B$14))</f>
        <v>10</v>
      </c>
      <c r="O2346" s="15" t="n">
        <f aca="false">IF(J2346=1,0,Inputs!$B$13)</f>
        <v>20</v>
      </c>
      <c r="P2346" s="15" t="n">
        <f aca="false">SUM(M2346:N2346)</f>
        <v>85</v>
      </c>
      <c r="Q2346" s="15" t="n">
        <f aca="false">IF(J2346=1,"",L2346-P2346)</f>
        <v>15</v>
      </c>
      <c r="R2346" s="15" t="n">
        <f aca="false">IF(OR(J2346=1,M2346&lt;=Inputs!$B$12),1,0)</f>
        <v>1</v>
      </c>
      <c r="S2346" s="15" t="n">
        <f aca="false">IF(OR(J2346=1,N2346&lt;=O2346),1,0)</f>
        <v>1</v>
      </c>
      <c r="T2346" s="15" t="str">
        <f aca="false">IF(J2346=1,"OFFLINE",IF(AND(Q2346&gt;=Inputs!$B$15,R2346=1,S2346=1,P2346&lt;=L2346),"PASS","FAIL"))</f>
        <v>PASS</v>
      </c>
    </row>
    <row r="2347" customFormat="false" ht="15" hidden="false" customHeight="false" outlineLevel="0" collapsed="false">
      <c r="A2347" s="14" t="s">
        <v>1041</v>
      </c>
      <c r="B2347" s="14" t="s">
        <v>1038</v>
      </c>
      <c r="C2347" s="14" t="s">
        <v>169</v>
      </c>
      <c r="D2347" s="14" t="s">
        <v>190</v>
      </c>
      <c r="E2347" s="14" t="s">
        <v>152</v>
      </c>
      <c r="F2347" s="14" t="s">
        <v>191</v>
      </c>
      <c r="G2347" s="14" t="n">
        <v>1</v>
      </c>
      <c r="H2347" s="14" t="s">
        <v>154</v>
      </c>
      <c r="I2347" s="14" t="s">
        <v>890</v>
      </c>
      <c r="J2347" s="15" t="n">
        <f aca="false">IF(B2347="SITE LOSS",IF(D2347=C2347,1,0),IF(B2347="REGION LOSS",IF(E2347=C2347,1,0),0))</f>
        <v>0</v>
      </c>
      <c r="K2347" s="15" t="n">
        <f aca="false">IF(B2347="SITE LOSS",IF(COUNTIFS('Site Dockets'!$B$7:$B$24,C2347,'Site Dockets'!$C$7:$C$24,F2347)&gt;0,1,0),IF(B2347="REGION LOSS",IF(COUNTIFS('Site Dockets'!$E$7:$E$24,C2347,'Site Dockets'!$C$7:$C$24,F2347)&gt;0,1,0),0))</f>
        <v>1</v>
      </c>
      <c r="L2347" s="15" t="n">
        <f aca="false">IF(J2347=1,0,Inputs!$B$11)</f>
        <v>100</v>
      </c>
      <c r="M2347" s="15" t="n">
        <f aca="false">IF(J2347=1,0,Inputs!$B$12)</f>
        <v>75</v>
      </c>
      <c r="N2347" s="15" t="n">
        <f aca="false">IF(J2347=1,0,IF(OR(AND(OR(B2347="SITE LOSS",B2347="REGION LOSS"),K2347=1),AND(B2347="ROLE COMPROMISE",H2347=C2347)),Inputs!$B$13,Inputs!$B$14))</f>
        <v>20</v>
      </c>
      <c r="O2347" s="15" t="n">
        <f aca="false">IF(J2347=1,0,Inputs!$B$13)</f>
        <v>20</v>
      </c>
      <c r="P2347" s="15" t="n">
        <f aca="false">SUM(M2347:N2347)</f>
        <v>95</v>
      </c>
      <c r="Q2347" s="15" t="n">
        <f aca="false">IF(J2347=1,"",L2347-P2347)</f>
        <v>5</v>
      </c>
      <c r="R2347" s="15" t="n">
        <f aca="false">IF(OR(J2347=1,M2347&lt;=Inputs!$B$12),1,0)</f>
        <v>1</v>
      </c>
      <c r="S2347" s="15" t="n">
        <f aca="false">IF(OR(J2347=1,N2347&lt;=O2347),1,0)</f>
        <v>1</v>
      </c>
      <c r="T2347" s="15" t="str">
        <f aca="false">IF(J2347=1,"OFFLINE",IF(AND(Q2347&gt;=Inputs!$B$15,R2347=1,S2347=1,P2347&lt;=L2347),"PASS","FAIL"))</f>
        <v>PASS</v>
      </c>
    </row>
    <row r="2348" customFormat="false" ht="15" hidden="false" customHeight="false" outlineLevel="0" collapsed="false">
      <c r="A2348" s="14" t="s">
        <v>1041</v>
      </c>
      <c r="B2348" s="14" t="s">
        <v>1038</v>
      </c>
      <c r="C2348" s="14" t="s">
        <v>169</v>
      </c>
      <c r="D2348" s="14" t="s">
        <v>190</v>
      </c>
      <c r="E2348" s="14" t="s">
        <v>152</v>
      </c>
      <c r="F2348" s="14" t="s">
        <v>191</v>
      </c>
      <c r="G2348" s="14" t="n">
        <v>1</v>
      </c>
      <c r="H2348" s="14" t="s">
        <v>154</v>
      </c>
      <c r="I2348" s="14" t="s">
        <v>892</v>
      </c>
      <c r="J2348" s="15" t="n">
        <f aca="false">IF(B2348="SITE LOSS",IF(D2348=C2348,1,0),IF(B2348="REGION LOSS",IF(E2348=C2348,1,0),0))</f>
        <v>0</v>
      </c>
      <c r="K2348" s="15" t="n">
        <f aca="false">IF(B2348="SITE LOSS",IF(COUNTIFS('Site Dockets'!$B$7:$B$24,C2348,'Site Dockets'!$C$7:$C$24,F2348)&gt;0,1,0),IF(B2348="REGION LOSS",IF(COUNTIFS('Site Dockets'!$E$7:$E$24,C2348,'Site Dockets'!$C$7:$C$24,F2348)&gt;0,1,0),0))</f>
        <v>1</v>
      </c>
      <c r="L2348" s="15" t="n">
        <f aca="false">IF(J2348=1,0,Inputs!$B$11)</f>
        <v>100</v>
      </c>
      <c r="M2348" s="15" t="n">
        <f aca="false">IF(J2348=1,0,Inputs!$B$12)</f>
        <v>75</v>
      </c>
      <c r="N2348" s="15" t="n">
        <f aca="false">IF(J2348=1,0,IF(OR(AND(OR(B2348="SITE LOSS",B2348="REGION LOSS"),K2348=1),AND(B2348="ROLE COMPROMISE",H2348=C2348)),Inputs!$B$13,Inputs!$B$14))</f>
        <v>20</v>
      </c>
      <c r="O2348" s="15" t="n">
        <f aca="false">IF(J2348=1,0,Inputs!$B$13)</f>
        <v>20</v>
      </c>
      <c r="P2348" s="15" t="n">
        <f aca="false">SUM(M2348:N2348)</f>
        <v>95</v>
      </c>
      <c r="Q2348" s="15" t="n">
        <f aca="false">IF(J2348=1,"",L2348-P2348)</f>
        <v>5</v>
      </c>
      <c r="R2348" s="15" t="n">
        <f aca="false">IF(OR(J2348=1,M2348&lt;=Inputs!$B$12),1,0)</f>
        <v>1</v>
      </c>
      <c r="S2348" s="15" t="n">
        <f aca="false">IF(OR(J2348=1,N2348&lt;=O2348),1,0)</f>
        <v>1</v>
      </c>
      <c r="T2348" s="15" t="str">
        <f aca="false">IF(J2348=1,"OFFLINE",IF(AND(Q2348&gt;=Inputs!$B$15,R2348=1,S2348=1,P2348&lt;=L2348),"PASS","FAIL"))</f>
        <v>PASS</v>
      </c>
    </row>
    <row r="2349" customFormat="false" ht="15" hidden="false" customHeight="false" outlineLevel="0" collapsed="false">
      <c r="A2349" s="14" t="s">
        <v>1041</v>
      </c>
      <c r="B2349" s="14" t="s">
        <v>1038</v>
      </c>
      <c r="C2349" s="14" t="s">
        <v>169</v>
      </c>
      <c r="D2349" s="14" t="s">
        <v>190</v>
      </c>
      <c r="E2349" s="14" t="s">
        <v>152</v>
      </c>
      <c r="F2349" s="14" t="s">
        <v>191</v>
      </c>
      <c r="G2349" s="14" t="n">
        <v>1</v>
      </c>
      <c r="H2349" s="14" t="s">
        <v>154</v>
      </c>
      <c r="I2349" s="14" t="s">
        <v>811</v>
      </c>
      <c r="J2349" s="15" t="n">
        <f aca="false">IF(B2349="SITE LOSS",IF(D2349=C2349,1,0),IF(B2349="REGION LOSS",IF(E2349=C2349,1,0),0))</f>
        <v>0</v>
      </c>
      <c r="K2349" s="15" t="n">
        <f aca="false">IF(B2349="SITE LOSS",IF(COUNTIFS('Site Dockets'!$B$7:$B$24,C2349,'Site Dockets'!$C$7:$C$24,F2349)&gt;0,1,0),IF(B2349="REGION LOSS",IF(COUNTIFS('Site Dockets'!$E$7:$E$24,C2349,'Site Dockets'!$C$7:$C$24,F2349)&gt;0,1,0),0))</f>
        <v>1</v>
      </c>
      <c r="L2349" s="15" t="n">
        <f aca="false">IF(J2349=1,0,Inputs!$B$11)</f>
        <v>100</v>
      </c>
      <c r="M2349" s="15" t="n">
        <f aca="false">IF(J2349=1,0,Inputs!$B$12)</f>
        <v>75</v>
      </c>
      <c r="N2349" s="15" t="n">
        <f aca="false">IF(J2349=1,0,IF(OR(AND(OR(B2349="SITE LOSS",B2349="REGION LOSS"),K2349=1),AND(B2349="ROLE COMPROMISE",H2349=C2349)),Inputs!$B$13,Inputs!$B$14))</f>
        <v>20</v>
      </c>
      <c r="O2349" s="15" t="n">
        <f aca="false">IF(J2349=1,0,Inputs!$B$13)</f>
        <v>20</v>
      </c>
      <c r="P2349" s="15" t="n">
        <f aca="false">SUM(M2349:N2349)</f>
        <v>95</v>
      </c>
      <c r="Q2349" s="15" t="n">
        <f aca="false">IF(J2349=1,"",L2349-P2349)</f>
        <v>5</v>
      </c>
      <c r="R2349" s="15" t="n">
        <f aca="false">IF(OR(J2349=1,M2349&lt;=Inputs!$B$12),1,0)</f>
        <v>1</v>
      </c>
      <c r="S2349" s="15" t="n">
        <f aca="false">IF(OR(J2349=1,N2349&lt;=O2349),1,0)</f>
        <v>1</v>
      </c>
      <c r="T2349" s="15" t="str">
        <f aca="false">IF(J2349=1,"OFFLINE",IF(AND(Q2349&gt;=Inputs!$B$15,R2349=1,S2349=1,P2349&lt;=L2349),"PASS","FAIL"))</f>
        <v>PASS</v>
      </c>
    </row>
    <row r="2350" customFormat="false" ht="15" hidden="false" customHeight="false" outlineLevel="0" collapsed="false">
      <c r="A2350" s="14" t="s">
        <v>1041</v>
      </c>
      <c r="B2350" s="14" t="s">
        <v>1038</v>
      </c>
      <c r="C2350" s="14" t="s">
        <v>169</v>
      </c>
      <c r="D2350" s="14" t="s">
        <v>190</v>
      </c>
      <c r="E2350" s="14" t="s">
        <v>152</v>
      </c>
      <c r="F2350" s="14" t="s">
        <v>191</v>
      </c>
      <c r="G2350" s="14" t="n">
        <v>1</v>
      </c>
      <c r="H2350" s="14" t="s">
        <v>154</v>
      </c>
      <c r="I2350" s="14" t="s">
        <v>895</v>
      </c>
      <c r="J2350" s="15" t="n">
        <f aca="false">IF(B2350="SITE LOSS",IF(D2350=C2350,1,0),IF(B2350="REGION LOSS",IF(E2350=C2350,1,0),0))</f>
        <v>0</v>
      </c>
      <c r="K2350" s="15" t="n">
        <f aca="false">IF(B2350="SITE LOSS",IF(COUNTIFS('Site Dockets'!$B$7:$B$24,C2350,'Site Dockets'!$C$7:$C$24,F2350)&gt;0,1,0),IF(B2350="REGION LOSS",IF(COUNTIFS('Site Dockets'!$E$7:$E$24,C2350,'Site Dockets'!$C$7:$C$24,F2350)&gt;0,1,0),0))</f>
        <v>1</v>
      </c>
      <c r="L2350" s="15" t="n">
        <f aca="false">IF(J2350=1,0,Inputs!$B$11)</f>
        <v>100</v>
      </c>
      <c r="M2350" s="15" t="n">
        <f aca="false">IF(J2350=1,0,Inputs!$B$12)</f>
        <v>75</v>
      </c>
      <c r="N2350" s="15" t="n">
        <f aca="false">IF(J2350=1,0,IF(OR(AND(OR(B2350="SITE LOSS",B2350="REGION LOSS"),K2350=1),AND(B2350="ROLE COMPROMISE",H2350=C2350)),Inputs!$B$13,Inputs!$B$14))</f>
        <v>20</v>
      </c>
      <c r="O2350" s="15" t="n">
        <f aca="false">IF(J2350=1,0,Inputs!$B$13)</f>
        <v>20</v>
      </c>
      <c r="P2350" s="15" t="n">
        <f aca="false">SUM(M2350:N2350)</f>
        <v>95</v>
      </c>
      <c r="Q2350" s="15" t="n">
        <f aca="false">IF(J2350=1,"",L2350-P2350)</f>
        <v>5</v>
      </c>
      <c r="R2350" s="15" t="n">
        <f aca="false">IF(OR(J2350=1,M2350&lt;=Inputs!$B$12),1,0)</f>
        <v>1</v>
      </c>
      <c r="S2350" s="15" t="n">
        <f aca="false">IF(OR(J2350=1,N2350&lt;=O2350),1,0)</f>
        <v>1</v>
      </c>
      <c r="T2350" s="15" t="str">
        <f aca="false">IF(J2350=1,"OFFLINE",IF(AND(Q2350&gt;=Inputs!$B$15,R2350=1,S2350=1,P2350&lt;=L2350),"PASS","FAIL"))</f>
        <v>PASS</v>
      </c>
    </row>
    <row r="2351" customFormat="false" ht="15" hidden="false" customHeight="false" outlineLevel="0" collapsed="false">
      <c r="A2351" s="14" t="s">
        <v>1041</v>
      </c>
      <c r="B2351" s="14" t="s">
        <v>1038</v>
      </c>
      <c r="C2351" s="14" t="s">
        <v>169</v>
      </c>
      <c r="D2351" s="14" t="s">
        <v>190</v>
      </c>
      <c r="E2351" s="14" t="s">
        <v>152</v>
      </c>
      <c r="F2351" s="14" t="s">
        <v>191</v>
      </c>
      <c r="G2351" s="14" t="n">
        <v>1</v>
      </c>
      <c r="H2351" s="14" t="s">
        <v>154</v>
      </c>
      <c r="I2351" s="14" t="s">
        <v>897</v>
      </c>
      <c r="J2351" s="15" t="n">
        <f aca="false">IF(B2351="SITE LOSS",IF(D2351=C2351,1,0),IF(B2351="REGION LOSS",IF(E2351=C2351,1,0),0))</f>
        <v>0</v>
      </c>
      <c r="K2351" s="15" t="n">
        <f aca="false">IF(B2351="SITE LOSS",IF(COUNTIFS('Site Dockets'!$B$7:$B$24,C2351,'Site Dockets'!$C$7:$C$24,F2351)&gt;0,1,0),IF(B2351="REGION LOSS",IF(COUNTIFS('Site Dockets'!$E$7:$E$24,C2351,'Site Dockets'!$C$7:$C$24,F2351)&gt;0,1,0),0))</f>
        <v>1</v>
      </c>
      <c r="L2351" s="15" t="n">
        <f aca="false">IF(J2351=1,0,Inputs!$B$11)</f>
        <v>100</v>
      </c>
      <c r="M2351" s="15" t="n">
        <f aca="false">IF(J2351=1,0,Inputs!$B$12)</f>
        <v>75</v>
      </c>
      <c r="N2351" s="15" t="n">
        <f aca="false">IF(J2351=1,0,IF(OR(AND(OR(B2351="SITE LOSS",B2351="REGION LOSS"),K2351=1),AND(B2351="ROLE COMPROMISE",H2351=C2351)),Inputs!$B$13,Inputs!$B$14))</f>
        <v>20</v>
      </c>
      <c r="O2351" s="15" t="n">
        <f aca="false">IF(J2351=1,0,Inputs!$B$13)</f>
        <v>20</v>
      </c>
      <c r="P2351" s="15" t="n">
        <f aca="false">SUM(M2351:N2351)</f>
        <v>95</v>
      </c>
      <c r="Q2351" s="15" t="n">
        <f aca="false">IF(J2351=1,"",L2351-P2351)</f>
        <v>5</v>
      </c>
      <c r="R2351" s="15" t="n">
        <f aca="false">IF(OR(J2351=1,M2351&lt;=Inputs!$B$12),1,0)</f>
        <v>1</v>
      </c>
      <c r="S2351" s="15" t="n">
        <f aca="false">IF(OR(J2351=1,N2351&lt;=O2351),1,0)</f>
        <v>1</v>
      </c>
      <c r="T2351" s="15" t="str">
        <f aca="false">IF(J2351=1,"OFFLINE",IF(AND(Q2351&gt;=Inputs!$B$15,R2351=1,S2351=1,P2351&lt;=L2351),"PASS","FAIL"))</f>
        <v>PASS</v>
      </c>
    </row>
    <row r="2352" customFormat="false" ht="15" hidden="false" customHeight="false" outlineLevel="0" collapsed="false">
      <c r="A2352" s="14" t="s">
        <v>1041</v>
      </c>
      <c r="B2352" s="14" t="s">
        <v>1038</v>
      </c>
      <c r="C2352" s="14" t="s">
        <v>169</v>
      </c>
      <c r="D2352" s="14" t="s">
        <v>190</v>
      </c>
      <c r="E2352" s="14" t="s">
        <v>152</v>
      </c>
      <c r="F2352" s="14" t="s">
        <v>191</v>
      </c>
      <c r="G2352" s="14" t="n">
        <v>1</v>
      </c>
      <c r="H2352" s="14" t="s">
        <v>154</v>
      </c>
      <c r="I2352" s="14" t="s">
        <v>899</v>
      </c>
      <c r="J2352" s="15" t="n">
        <f aca="false">IF(B2352="SITE LOSS",IF(D2352=C2352,1,0),IF(B2352="REGION LOSS",IF(E2352=C2352,1,0),0))</f>
        <v>0</v>
      </c>
      <c r="K2352" s="15" t="n">
        <f aca="false">IF(B2352="SITE LOSS",IF(COUNTIFS('Site Dockets'!$B$7:$B$24,C2352,'Site Dockets'!$C$7:$C$24,F2352)&gt;0,1,0),IF(B2352="REGION LOSS",IF(COUNTIFS('Site Dockets'!$E$7:$E$24,C2352,'Site Dockets'!$C$7:$C$24,F2352)&gt;0,1,0),0))</f>
        <v>1</v>
      </c>
      <c r="L2352" s="15" t="n">
        <f aca="false">IF(J2352=1,0,Inputs!$B$11)</f>
        <v>100</v>
      </c>
      <c r="M2352" s="15" t="n">
        <f aca="false">IF(J2352=1,0,Inputs!$B$12)</f>
        <v>75</v>
      </c>
      <c r="N2352" s="15" t="n">
        <f aca="false">IF(J2352=1,0,IF(OR(AND(OR(B2352="SITE LOSS",B2352="REGION LOSS"),K2352=1),AND(B2352="ROLE COMPROMISE",H2352=C2352)),Inputs!$B$13,Inputs!$B$14))</f>
        <v>20</v>
      </c>
      <c r="O2352" s="15" t="n">
        <f aca="false">IF(J2352=1,0,Inputs!$B$13)</f>
        <v>20</v>
      </c>
      <c r="P2352" s="15" t="n">
        <f aca="false">SUM(M2352:N2352)</f>
        <v>95</v>
      </c>
      <c r="Q2352" s="15" t="n">
        <f aca="false">IF(J2352=1,"",L2352-P2352)</f>
        <v>5</v>
      </c>
      <c r="R2352" s="15" t="n">
        <f aca="false">IF(OR(J2352=1,M2352&lt;=Inputs!$B$12),1,0)</f>
        <v>1</v>
      </c>
      <c r="S2352" s="15" t="n">
        <f aca="false">IF(OR(J2352=1,N2352&lt;=O2352),1,0)</f>
        <v>1</v>
      </c>
      <c r="T2352" s="15" t="str">
        <f aca="false">IF(J2352=1,"OFFLINE",IF(AND(Q2352&gt;=Inputs!$B$15,R2352=1,S2352=1,P2352&lt;=L2352),"PASS","FAIL"))</f>
        <v>PASS</v>
      </c>
    </row>
    <row r="2353" customFormat="false" ht="15" hidden="false" customHeight="false" outlineLevel="0" collapsed="false">
      <c r="A2353" s="14" t="s">
        <v>1041</v>
      </c>
      <c r="B2353" s="14" t="s">
        <v>1038</v>
      </c>
      <c r="C2353" s="14" t="s">
        <v>169</v>
      </c>
      <c r="D2353" s="14" t="s">
        <v>194</v>
      </c>
      <c r="E2353" s="14" t="s">
        <v>169</v>
      </c>
      <c r="F2353" s="14" t="s">
        <v>191</v>
      </c>
      <c r="G2353" s="14" t="n">
        <v>2</v>
      </c>
      <c r="H2353" s="14" t="s">
        <v>153</v>
      </c>
      <c r="I2353" s="14" t="s">
        <v>890</v>
      </c>
      <c r="J2353" s="15" t="n">
        <f aca="false">IF(B2353="SITE LOSS",IF(D2353=C2353,1,0),IF(B2353="REGION LOSS",IF(E2353=C2353,1,0),0))</f>
        <v>1</v>
      </c>
      <c r="K2353" s="15" t="n">
        <f aca="false">IF(B2353="SITE LOSS",IF(COUNTIFS('Site Dockets'!$B$7:$B$24,C2353,'Site Dockets'!$C$7:$C$24,F2353)&gt;0,1,0),IF(B2353="REGION LOSS",IF(COUNTIFS('Site Dockets'!$E$7:$E$24,C2353,'Site Dockets'!$C$7:$C$24,F2353)&gt;0,1,0),0))</f>
        <v>1</v>
      </c>
      <c r="L2353" s="15" t="n">
        <f aca="false">IF(J2353=1,0,Inputs!$B$11)</f>
        <v>0</v>
      </c>
      <c r="M2353" s="15" t="n">
        <f aca="false">IF(J2353=1,0,Inputs!$B$12)</f>
        <v>0</v>
      </c>
      <c r="N2353" s="15" t="n">
        <f aca="false">IF(J2353=1,0,IF(OR(AND(OR(B2353="SITE LOSS",B2353="REGION LOSS"),K2353=1),AND(B2353="ROLE COMPROMISE",H2353=C2353)),Inputs!$B$13,Inputs!$B$14))</f>
        <v>0</v>
      </c>
      <c r="O2353" s="15" t="n">
        <f aca="false">IF(J2353=1,0,Inputs!$B$13)</f>
        <v>0</v>
      </c>
      <c r="P2353" s="15" t="n">
        <f aca="false">SUM(M2353:N2353)</f>
        <v>0</v>
      </c>
      <c r="Q2353" s="15" t="str">
        <f aca="false">IF(J2353=1,"",L2353-P2353)</f>
        <v/>
      </c>
      <c r="R2353" s="15" t="n">
        <f aca="false">IF(OR(J2353=1,M2353&lt;=Inputs!$B$12),1,0)</f>
        <v>1</v>
      </c>
      <c r="S2353" s="15" t="n">
        <f aca="false">IF(OR(J2353=1,N2353&lt;=O2353),1,0)</f>
        <v>1</v>
      </c>
      <c r="T2353" s="15" t="str">
        <f aca="false">IF(J2353=1,"OFFLINE",IF(AND(Q2353&gt;=Inputs!$B$15,R2353=1,S2353=1,P2353&lt;=L2353),"PASS","FAIL"))</f>
        <v>OFFLINE</v>
      </c>
    </row>
    <row r="2354" customFormat="false" ht="15" hidden="false" customHeight="false" outlineLevel="0" collapsed="false">
      <c r="A2354" s="14" t="s">
        <v>1041</v>
      </c>
      <c r="B2354" s="14" t="s">
        <v>1038</v>
      </c>
      <c r="C2354" s="14" t="s">
        <v>169</v>
      </c>
      <c r="D2354" s="14" t="s">
        <v>194</v>
      </c>
      <c r="E2354" s="14" t="s">
        <v>169</v>
      </c>
      <c r="F2354" s="14" t="s">
        <v>191</v>
      </c>
      <c r="G2354" s="14" t="n">
        <v>2</v>
      </c>
      <c r="H2354" s="14" t="s">
        <v>153</v>
      </c>
      <c r="I2354" s="14" t="s">
        <v>892</v>
      </c>
      <c r="J2354" s="15" t="n">
        <f aca="false">IF(B2354="SITE LOSS",IF(D2354=C2354,1,0),IF(B2354="REGION LOSS",IF(E2354=C2354,1,0),0))</f>
        <v>1</v>
      </c>
      <c r="K2354" s="15" t="n">
        <f aca="false">IF(B2354="SITE LOSS",IF(COUNTIFS('Site Dockets'!$B$7:$B$24,C2354,'Site Dockets'!$C$7:$C$24,F2354)&gt;0,1,0),IF(B2354="REGION LOSS",IF(COUNTIFS('Site Dockets'!$E$7:$E$24,C2354,'Site Dockets'!$C$7:$C$24,F2354)&gt;0,1,0),0))</f>
        <v>1</v>
      </c>
      <c r="L2354" s="15" t="n">
        <f aca="false">IF(J2354=1,0,Inputs!$B$11)</f>
        <v>0</v>
      </c>
      <c r="M2354" s="15" t="n">
        <f aca="false">IF(J2354=1,0,Inputs!$B$12)</f>
        <v>0</v>
      </c>
      <c r="N2354" s="15" t="n">
        <f aca="false">IF(J2354=1,0,IF(OR(AND(OR(B2354="SITE LOSS",B2354="REGION LOSS"),K2354=1),AND(B2354="ROLE COMPROMISE",H2354=C2354)),Inputs!$B$13,Inputs!$B$14))</f>
        <v>0</v>
      </c>
      <c r="O2354" s="15" t="n">
        <f aca="false">IF(J2354=1,0,Inputs!$B$13)</f>
        <v>0</v>
      </c>
      <c r="P2354" s="15" t="n">
        <f aca="false">SUM(M2354:N2354)</f>
        <v>0</v>
      </c>
      <c r="Q2354" s="15" t="str">
        <f aca="false">IF(J2354=1,"",L2354-P2354)</f>
        <v/>
      </c>
      <c r="R2354" s="15" t="n">
        <f aca="false">IF(OR(J2354=1,M2354&lt;=Inputs!$B$12),1,0)</f>
        <v>1</v>
      </c>
      <c r="S2354" s="15" t="n">
        <f aca="false">IF(OR(J2354=1,N2354&lt;=O2354),1,0)</f>
        <v>1</v>
      </c>
      <c r="T2354" s="15" t="str">
        <f aca="false">IF(J2354=1,"OFFLINE",IF(AND(Q2354&gt;=Inputs!$B$15,R2354=1,S2354=1,P2354&lt;=L2354),"PASS","FAIL"))</f>
        <v>OFFLINE</v>
      </c>
    </row>
    <row r="2355" customFormat="false" ht="15" hidden="false" customHeight="false" outlineLevel="0" collapsed="false">
      <c r="A2355" s="14" t="s">
        <v>1041</v>
      </c>
      <c r="B2355" s="14" t="s">
        <v>1038</v>
      </c>
      <c r="C2355" s="14" t="s">
        <v>169</v>
      </c>
      <c r="D2355" s="14" t="s">
        <v>194</v>
      </c>
      <c r="E2355" s="14" t="s">
        <v>169</v>
      </c>
      <c r="F2355" s="14" t="s">
        <v>191</v>
      </c>
      <c r="G2355" s="14" t="n">
        <v>2</v>
      </c>
      <c r="H2355" s="14" t="s">
        <v>153</v>
      </c>
      <c r="I2355" s="14" t="s">
        <v>811</v>
      </c>
      <c r="J2355" s="15" t="n">
        <f aca="false">IF(B2355="SITE LOSS",IF(D2355=C2355,1,0),IF(B2355="REGION LOSS",IF(E2355=C2355,1,0),0))</f>
        <v>1</v>
      </c>
      <c r="K2355" s="15" t="n">
        <f aca="false">IF(B2355="SITE LOSS",IF(COUNTIFS('Site Dockets'!$B$7:$B$24,C2355,'Site Dockets'!$C$7:$C$24,F2355)&gt;0,1,0),IF(B2355="REGION LOSS",IF(COUNTIFS('Site Dockets'!$E$7:$E$24,C2355,'Site Dockets'!$C$7:$C$24,F2355)&gt;0,1,0),0))</f>
        <v>1</v>
      </c>
      <c r="L2355" s="15" t="n">
        <f aca="false">IF(J2355=1,0,Inputs!$B$11)</f>
        <v>0</v>
      </c>
      <c r="M2355" s="15" t="n">
        <f aca="false">IF(J2355=1,0,Inputs!$B$12)</f>
        <v>0</v>
      </c>
      <c r="N2355" s="15" t="n">
        <f aca="false">IF(J2355=1,0,IF(OR(AND(OR(B2355="SITE LOSS",B2355="REGION LOSS"),K2355=1),AND(B2355="ROLE COMPROMISE",H2355=C2355)),Inputs!$B$13,Inputs!$B$14))</f>
        <v>0</v>
      </c>
      <c r="O2355" s="15" t="n">
        <f aca="false">IF(J2355=1,0,Inputs!$B$13)</f>
        <v>0</v>
      </c>
      <c r="P2355" s="15" t="n">
        <f aca="false">SUM(M2355:N2355)</f>
        <v>0</v>
      </c>
      <c r="Q2355" s="15" t="str">
        <f aca="false">IF(J2355=1,"",L2355-P2355)</f>
        <v/>
      </c>
      <c r="R2355" s="15" t="n">
        <f aca="false">IF(OR(J2355=1,M2355&lt;=Inputs!$B$12),1,0)</f>
        <v>1</v>
      </c>
      <c r="S2355" s="15" t="n">
        <f aca="false">IF(OR(J2355=1,N2355&lt;=O2355),1,0)</f>
        <v>1</v>
      </c>
      <c r="T2355" s="15" t="str">
        <f aca="false">IF(J2355=1,"OFFLINE",IF(AND(Q2355&gt;=Inputs!$B$15,R2355=1,S2355=1,P2355&lt;=L2355),"PASS","FAIL"))</f>
        <v>OFFLINE</v>
      </c>
    </row>
    <row r="2356" customFormat="false" ht="15" hidden="false" customHeight="false" outlineLevel="0" collapsed="false">
      <c r="A2356" s="14" t="s">
        <v>1041</v>
      </c>
      <c r="B2356" s="14" t="s">
        <v>1038</v>
      </c>
      <c r="C2356" s="14" t="s">
        <v>169</v>
      </c>
      <c r="D2356" s="14" t="s">
        <v>194</v>
      </c>
      <c r="E2356" s="14" t="s">
        <v>169</v>
      </c>
      <c r="F2356" s="14" t="s">
        <v>191</v>
      </c>
      <c r="G2356" s="14" t="n">
        <v>2</v>
      </c>
      <c r="H2356" s="14" t="s">
        <v>153</v>
      </c>
      <c r="I2356" s="14" t="s">
        <v>895</v>
      </c>
      <c r="J2356" s="15" t="n">
        <f aca="false">IF(B2356="SITE LOSS",IF(D2356=C2356,1,0),IF(B2356="REGION LOSS",IF(E2356=C2356,1,0),0))</f>
        <v>1</v>
      </c>
      <c r="K2356" s="15" t="n">
        <f aca="false">IF(B2356="SITE LOSS",IF(COUNTIFS('Site Dockets'!$B$7:$B$24,C2356,'Site Dockets'!$C$7:$C$24,F2356)&gt;0,1,0),IF(B2356="REGION LOSS",IF(COUNTIFS('Site Dockets'!$E$7:$E$24,C2356,'Site Dockets'!$C$7:$C$24,F2356)&gt;0,1,0),0))</f>
        <v>1</v>
      </c>
      <c r="L2356" s="15" t="n">
        <f aca="false">IF(J2356=1,0,Inputs!$B$11)</f>
        <v>0</v>
      </c>
      <c r="M2356" s="15" t="n">
        <f aca="false">IF(J2356=1,0,Inputs!$B$12)</f>
        <v>0</v>
      </c>
      <c r="N2356" s="15" t="n">
        <f aca="false">IF(J2356=1,0,IF(OR(AND(OR(B2356="SITE LOSS",B2356="REGION LOSS"),K2356=1),AND(B2356="ROLE COMPROMISE",H2356=C2356)),Inputs!$B$13,Inputs!$B$14))</f>
        <v>0</v>
      </c>
      <c r="O2356" s="15" t="n">
        <f aca="false">IF(J2356=1,0,Inputs!$B$13)</f>
        <v>0</v>
      </c>
      <c r="P2356" s="15" t="n">
        <f aca="false">SUM(M2356:N2356)</f>
        <v>0</v>
      </c>
      <c r="Q2356" s="15" t="str">
        <f aca="false">IF(J2356=1,"",L2356-P2356)</f>
        <v/>
      </c>
      <c r="R2356" s="15" t="n">
        <f aca="false">IF(OR(J2356=1,M2356&lt;=Inputs!$B$12),1,0)</f>
        <v>1</v>
      </c>
      <c r="S2356" s="15" t="n">
        <f aca="false">IF(OR(J2356=1,N2356&lt;=O2356),1,0)</f>
        <v>1</v>
      </c>
      <c r="T2356" s="15" t="str">
        <f aca="false">IF(J2356=1,"OFFLINE",IF(AND(Q2356&gt;=Inputs!$B$15,R2356=1,S2356=1,P2356&lt;=L2356),"PASS","FAIL"))</f>
        <v>OFFLINE</v>
      </c>
    </row>
    <row r="2357" customFormat="false" ht="15" hidden="false" customHeight="false" outlineLevel="0" collapsed="false">
      <c r="A2357" s="14" t="s">
        <v>1041</v>
      </c>
      <c r="B2357" s="14" t="s">
        <v>1038</v>
      </c>
      <c r="C2357" s="14" t="s">
        <v>169</v>
      </c>
      <c r="D2357" s="14" t="s">
        <v>194</v>
      </c>
      <c r="E2357" s="14" t="s">
        <v>169</v>
      </c>
      <c r="F2357" s="14" t="s">
        <v>191</v>
      </c>
      <c r="G2357" s="14" t="n">
        <v>2</v>
      </c>
      <c r="H2357" s="14" t="s">
        <v>153</v>
      </c>
      <c r="I2357" s="14" t="s">
        <v>897</v>
      </c>
      <c r="J2357" s="15" t="n">
        <f aca="false">IF(B2357="SITE LOSS",IF(D2357=C2357,1,0),IF(B2357="REGION LOSS",IF(E2357=C2357,1,0),0))</f>
        <v>1</v>
      </c>
      <c r="K2357" s="15" t="n">
        <f aca="false">IF(B2357="SITE LOSS",IF(COUNTIFS('Site Dockets'!$B$7:$B$24,C2357,'Site Dockets'!$C$7:$C$24,F2357)&gt;0,1,0),IF(B2357="REGION LOSS",IF(COUNTIFS('Site Dockets'!$E$7:$E$24,C2357,'Site Dockets'!$C$7:$C$24,F2357)&gt;0,1,0),0))</f>
        <v>1</v>
      </c>
      <c r="L2357" s="15" t="n">
        <f aca="false">IF(J2357=1,0,Inputs!$B$11)</f>
        <v>0</v>
      </c>
      <c r="M2357" s="15" t="n">
        <f aca="false">IF(J2357=1,0,Inputs!$B$12)</f>
        <v>0</v>
      </c>
      <c r="N2357" s="15" t="n">
        <f aca="false">IF(J2357=1,0,IF(OR(AND(OR(B2357="SITE LOSS",B2357="REGION LOSS"),K2357=1),AND(B2357="ROLE COMPROMISE",H2357=C2357)),Inputs!$B$13,Inputs!$B$14))</f>
        <v>0</v>
      </c>
      <c r="O2357" s="15" t="n">
        <f aca="false">IF(J2357=1,0,Inputs!$B$13)</f>
        <v>0</v>
      </c>
      <c r="P2357" s="15" t="n">
        <f aca="false">SUM(M2357:N2357)</f>
        <v>0</v>
      </c>
      <c r="Q2357" s="15" t="str">
        <f aca="false">IF(J2357=1,"",L2357-P2357)</f>
        <v/>
      </c>
      <c r="R2357" s="15" t="n">
        <f aca="false">IF(OR(J2357=1,M2357&lt;=Inputs!$B$12),1,0)</f>
        <v>1</v>
      </c>
      <c r="S2357" s="15" t="n">
        <f aca="false">IF(OR(J2357=1,N2357&lt;=O2357),1,0)</f>
        <v>1</v>
      </c>
      <c r="T2357" s="15" t="str">
        <f aca="false">IF(J2357=1,"OFFLINE",IF(AND(Q2357&gt;=Inputs!$B$15,R2357=1,S2357=1,P2357&lt;=L2357),"PASS","FAIL"))</f>
        <v>OFFLINE</v>
      </c>
    </row>
    <row r="2358" customFormat="false" ht="15" hidden="false" customHeight="false" outlineLevel="0" collapsed="false">
      <c r="A2358" s="14" t="s">
        <v>1041</v>
      </c>
      <c r="B2358" s="14" t="s">
        <v>1038</v>
      </c>
      <c r="C2358" s="14" t="s">
        <v>169</v>
      </c>
      <c r="D2358" s="14" t="s">
        <v>194</v>
      </c>
      <c r="E2358" s="14" t="s">
        <v>169</v>
      </c>
      <c r="F2358" s="14" t="s">
        <v>191</v>
      </c>
      <c r="G2358" s="14" t="n">
        <v>2</v>
      </c>
      <c r="H2358" s="14" t="s">
        <v>153</v>
      </c>
      <c r="I2358" s="14" t="s">
        <v>899</v>
      </c>
      <c r="J2358" s="15" t="n">
        <f aca="false">IF(B2358="SITE LOSS",IF(D2358=C2358,1,0),IF(B2358="REGION LOSS",IF(E2358=C2358,1,0),0))</f>
        <v>1</v>
      </c>
      <c r="K2358" s="15" t="n">
        <f aca="false">IF(B2358="SITE LOSS",IF(COUNTIFS('Site Dockets'!$B$7:$B$24,C2358,'Site Dockets'!$C$7:$C$24,F2358)&gt;0,1,0),IF(B2358="REGION LOSS",IF(COUNTIFS('Site Dockets'!$E$7:$E$24,C2358,'Site Dockets'!$C$7:$C$24,F2358)&gt;0,1,0),0))</f>
        <v>1</v>
      </c>
      <c r="L2358" s="15" t="n">
        <f aca="false">IF(J2358=1,0,Inputs!$B$11)</f>
        <v>0</v>
      </c>
      <c r="M2358" s="15" t="n">
        <f aca="false">IF(J2358=1,0,Inputs!$B$12)</f>
        <v>0</v>
      </c>
      <c r="N2358" s="15" t="n">
        <f aca="false">IF(J2358=1,0,IF(OR(AND(OR(B2358="SITE LOSS",B2358="REGION LOSS"),K2358=1),AND(B2358="ROLE COMPROMISE",H2358=C2358)),Inputs!$B$13,Inputs!$B$14))</f>
        <v>0</v>
      </c>
      <c r="O2358" s="15" t="n">
        <f aca="false">IF(J2358=1,0,Inputs!$B$13)</f>
        <v>0</v>
      </c>
      <c r="P2358" s="15" t="n">
        <f aca="false">SUM(M2358:N2358)</f>
        <v>0</v>
      </c>
      <c r="Q2358" s="15" t="str">
        <f aca="false">IF(J2358=1,"",L2358-P2358)</f>
        <v/>
      </c>
      <c r="R2358" s="15" t="n">
        <f aca="false">IF(OR(J2358=1,M2358&lt;=Inputs!$B$12),1,0)</f>
        <v>1</v>
      </c>
      <c r="S2358" s="15" t="n">
        <f aca="false">IF(OR(J2358=1,N2358&lt;=O2358),1,0)</f>
        <v>1</v>
      </c>
      <c r="T2358" s="15" t="str">
        <f aca="false">IF(J2358=1,"OFFLINE",IF(AND(Q2358&gt;=Inputs!$B$15,R2358=1,S2358=1,P2358&lt;=L2358),"PASS","FAIL"))</f>
        <v>OFFLINE</v>
      </c>
    </row>
    <row r="2359" customFormat="false" ht="15" hidden="false" customHeight="false" outlineLevel="0" collapsed="false">
      <c r="A2359" s="14" t="s">
        <v>1041</v>
      </c>
      <c r="B2359" s="14" t="s">
        <v>1038</v>
      </c>
      <c r="C2359" s="14" t="s">
        <v>169</v>
      </c>
      <c r="D2359" s="14" t="s">
        <v>196</v>
      </c>
      <c r="E2359" s="14" t="s">
        <v>172</v>
      </c>
      <c r="F2359" s="14" t="s">
        <v>191</v>
      </c>
      <c r="G2359" s="14" t="n">
        <v>3</v>
      </c>
      <c r="H2359" s="14" t="s">
        <v>158</v>
      </c>
      <c r="I2359" s="14" t="s">
        <v>890</v>
      </c>
      <c r="J2359" s="15" t="n">
        <f aca="false">IF(B2359="SITE LOSS",IF(D2359=C2359,1,0),IF(B2359="REGION LOSS",IF(E2359=C2359,1,0),0))</f>
        <v>0</v>
      </c>
      <c r="K2359" s="15" t="n">
        <f aca="false">IF(B2359="SITE LOSS",IF(COUNTIFS('Site Dockets'!$B$7:$B$24,C2359,'Site Dockets'!$C$7:$C$24,F2359)&gt;0,1,0),IF(B2359="REGION LOSS",IF(COUNTIFS('Site Dockets'!$E$7:$E$24,C2359,'Site Dockets'!$C$7:$C$24,F2359)&gt;0,1,0),0))</f>
        <v>1</v>
      </c>
      <c r="L2359" s="15" t="n">
        <f aca="false">IF(J2359=1,0,Inputs!$B$11)</f>
        <v>100</v>
      </c>
      <c r="M2359" s="15" t="n">
        <f aca="false">IF(J2359=1,0,Inputs!$B$12)</f>
        <v>75</v>
      </c>
      <c r="N2359" s="15" t="n">
        <f aca="false">IF(J2359=1,0,IF(OR(AND(OR(B2359="SITE LOSS",B2359="REGION LOSS"),K2359=1),AND(B2359="ROLE COMPROMISE",H2359=C2359)),Inputs!$B$13,Inputs!$B$14))</f>
        <v>20</v>
      </c>
      <c r="O2359" s="15" t="n">
        <f aca="false">IF(J2359=1,0,Inputs!$B$13)</f>
        <v>20</v>
      </c>
      <c r="P2359" s="15" t="n">
        <f aca="false">SUM(M2359:N2359)</f>
        <v>95</v>
      </c>
      <c r="Q2359" s="15" t="n">
        <f aca="false">IF(J2359=1,"",L2359-P2359)</f>
        <v>5</v>
      </c>
      <c r="R2359" s="15" t="n">
        <f aca="false">IF(OR(J2359=1,M2359&lt;=Inputs!$B$12),1,0)</f>
        <v>1</v>
      </c>
      <c r="S2359" s="15" t="n">
        <f aca="false">IF(OR(J2359=1,N2359&lt;=O2359),1,0)</f>
        <v>1</v>
      </c>
      <c r="T2359" s="15" t="str">
        <f aca="false">IF(J2359=1,"OFFLINE",IF(AND(Q2359&gt;=Inputs!$B$15,R2359=1,S2359=1,P2359&lt;=L2359),"PASS","FAIL"))</f>
        <v>PASS</v>
      </c>
    </row>
    <row r="2360" customFormat="false" ht="15" hidden="false" customHeight="false" outlineLevel="0" collapsed="false">
      <c r="A2360" s="14" t="s">
        <v>1041</v>
      </c>
      <c r="B2360" s="14" t="s">
        <v>1038</v>
      </c>
      <c r="C2360" s="14" t="s">
        <v>169</v>
      </c>
      <c r="D2360" s="14" t="s">
        <v>196</v>
      </c>
      <c r="E2360" s="14" t="s">
        <v>172</v>
      </c>
      <c r="F2360" s="14" t="s">
        <v>191</v>
      </c>
      <c r="G2360" s="14" t="n">
        <v>3</v>
      </c>
      <c r="H2360" s="14" t="s">
        <v>158</v>
      </c>
      <c r="I2360" s="14" t="s">
        <v>892</v>
      </c>
      <c r="J2360" s="15" t="n">
        <f aca="false">IF(B2360="SITE LOSS",IF(D2360=C2360,1,0),IF(B2360="REGION LOSS",IF(E2360=C2360,1,0),0))</f>
        <v>0</v>
      </c>
      <c r="K2360" s="15" t="n">
        <f aca="false">IF(B2360="SITE LOSS",IF(COUNTIFS('Site Dockets'!$B$7:$B$24,C2360,'Site Dockets'!$C$7:$C$24,F2360)&gt;0,1,0),IF(B2360="REGION LOSS",IF(COUNTIFS('Site Dockets'!$E$7:$E$24,C2360,'Site Dockets'!$C$7:$C$24,F2360)&gt;0,1,0),0))</f>
        <v>1</v>
      </c>
      <c r="L2360" s="15" t="n">
        <f aca="false">IF(J2360=1,0,Inputs!$B$11)</f>
        <v>100</v>
      </c>
      <c r="M2360" s="15" t="n">
        <f aca="false">IF(J2360=1,0,Inputs!$B$12)</f>
        <v>75</v>
      </c>
      <c r="N2360" s="15" t="n">
        <f aca="false">IF(J2360=1,0,IF(OR(AND(OR(B2360="SITE LOSS",B2360="REGION LOSS"),K2360=1),AND(B2360="ROLE COMPROMISE",H2360=C2360)),Inputs!$B$13,Inputs!$B$14))</f>
        <v>20</v>
      </c>
      <c r="O2360" s="15" t="n">
        <f aca="false">IF(J2360=1,0,Inputs!$B$13)</f>
        <v>20</v>
      </c>
      <c r="P2360" s="15" t="n">
        <f aca="false">SUM(M2360:N2360)</f>
        <v>95</v>
      </c>
      <c r="Q2360" s="15" t="n">
        <f aca="false">IF(J2360=1,"",L2360-P2360)</f>
        <v>5</v>
      </c>
      <c r="R2360" s="15" t="n">
        <f aca="false">IF(OR(J2360=1,M2360&lt;=Inputs!$B$12),1,0)</f>
        <v>1</v>
      </c>
      <c r="S2360" s="15" t="n">
        <f aca="false">IF(OR(J2360=1,N2360&lt;=O2360),1,0)</f>
        <v>1</v>
      </c>
      <c r="T2360" s="15" t="str">
        <f aca="false">IF(J2360=1,"OFFLINE",IF(AND(Q2360&gt;=Inputs!$B$15,R2360=1,S2360=1,P2360&lt;=L2360),"PASS","FAIL"))</f>
        <v>PASS</v>
      </c>
    </row>
    <row r="2361" customFormat="false" ht="15" hidden="false" customHeight="false" outlineLevel="0" collapsed="false">
      <c r="A2361" s="14" t="s">
        <v>1041</v>
      </c>
      <c r="B2361" s="14" t="s">
        <v>1038</v>
      </c>
      <c r="C2361" s="14" t="s">
        <v>169</v>
      </c>
      <c r="D2361" s="14" t="s">
        <v>196</v>
      </c>
      <c r="E2361" s="14" t="s">
        <v>172</v>
      </c>
      <c r="F2361" s="14" t="s">
        <v>191</v>
      </c>
      <c r="G2361" s="14" t="n">
        <v>3</v>
      </c>
      <c r="H2361" s="14" t="s">
        <v>158</v>
      </c>
      <c r="I2361" s="14" t="s">
        <v>811</v>
      </c>
      <c r="J2361" s="15" t="n">
        <f aca="false">IF(B2361="SITE LOSS",IF(D2361=C2361,1,0),IF(B2361="REGION LOSS",IF(E2361=C2361,1,0),0))</f>
        <v>0</v>
      </c>
      <c r="K2361" s="15" t="n">
        <f aca="false">IF(B2361="SITE LOSS",IF(COUNTIFS('Site Dockets'!$B$7:$B$24,C2361,'Site Dockets'!$C$7:$C$24,F2361)&gt;0,1,0),IF(B2361="REGION LOSS",IF(COUNTIFS('Site Dockets'!$E$7:$E$24,C2361,'Site Dockets'!$C$7:$C$24,F2361)&gt;0,1,0),0))</f>
        <v>1</v>
      </c>
      <c r="L2361" s="15" t="n">
        <f aca="false">IF(J2361=1,0,Inputs!$B$11)</f>
        <v>100</v>
      </c>
      <c r="M2361" s="15" t="n">
        <f aca="false">IF(J2361=1,0,Inputs!$B$12)</f>
        <v>75</v>
      </c>
      <c r="N2361" s="15" t="n">
        <f aca="false">IF(J2361=1,0,IF(OR(AND(OR(B2361="SITE LOSS",B2361="REGION LOSS"),K2361=1),AND(B2361="ROLE COMPROMISE",H2361=C2361)),Inputs!$B$13,Inputs!$B$14))</f>
        <v>20</v>
      </c>
      <c r="O2361" s="15" t="n">
        <f aca="false">IF(J2361=1,0,Inputs!$B$13)</f>
        <v>20</v>
      </c>
      <c r="P2361" s="15" t="n">
        <f aca="false">SUM(M2361:N2361)</f>
        <v>95</v>
      </c>
      <c r="Q2361" s="15" t="n">
        <f aca="false">IF(J2361=1,"",L2361-P2361)</f>
        <v>5</v>
      </c>
      <c r="R2361" s="15" t="n">
        <f aca="false">IF(OR(J2361=1,M2361&lt;=Inputs!$B$12),1,0)</f>
        <v>1</v>
      </c>
      <c r="S2361" s="15" t="n">
        <f aca="false">IF(OR(J2361=1,N2361&lt;=O2361),1,0)</f>
        <v>1</v>
      </c>
      <c r="T2361" s="15" t="str">
        <f aca="false">IF(J2361=1,"OFFLINE",IF(AND(Q2361&gt;=Inputs!$B$15,R2361=1,S2361=1,P2361&lt;=L2361),"PASS","FAIL"))</f>
        <v>PASS</v>
      </c>
    </row>
    <row r="2362" customFormat="false" ht="15" hidden="false" customHeight="false" outlineLevel="0" collapsed="false">
      <c r="A2362" s="14" t="s">
        <v>1041</v>
      </c>
      <c r="B2362" s="14" t="s">
        <v>1038</v>
      </c>
      <c r="C2362" s="14" t="s">
        <v>169</v>
      </c>
      <c r="D2362" s="14" t="s">
        <v>196</v>
      </c>
      <c r="E2362" s="14" t="s">
        <v>172</v>
      </c>
      <c r="F2362" s="14" t="s">
        <v>191</v>
      </c>
      <c r="G2362" s="14" t="n">
        <v>3</v>
      </c>
      <c r="H2362" s="14" t="s">
        <v>158</v>
      </c>
      <c r="I2362" s="14" t="s">
        <v>895</v>
      </c>
      <c r="J2362" s="15" t="n">
        <f aca="false">IF(B2362="SITE LOSS",IF(D2362=C2362,1,0),IF(B2362="REGION LOSS",IF(E2362=C2362,1,0),0))</f>
        <v>0</v>
      </c>
      <c r="K2362" s="15" t="n">
        <f aca="false">IF(B2362="SITE LOSS",IF(COUNTIFS('Site Dockets'!$B$7:$B$24,C2362,'Site Dockets'!$C$7:$C$24,F2362)&gt;0,1,0),IF(B2362="REGION LOSS",IF(COUNTIFS('Site Dockets'!$E$7:$E$24,C2362,'Site Dockets'!$C$7:$C$24,F2362)&gt;0,1,0),0))</f>
        <v>1</v>
      </c>
      <c r="L2362" s="15" t="n">
        <f aca="false">IF(J2362=1,0,Inputs!$B$11)</f>
        <v>100</v>
      </c>
      <c r="M2362" s="15" t="n">
        <f aca="false">IF(J2362=1,0,Inputs!$B$12)</f>
        <v>75</v>
      </c>
      <c r="N2362" s="15" t="n">
        <f aca="false">IF(J2362=1,0,IF(OR(AND(OR(B2362="SITE LOSS",B2362="REGION LOSS"),K2362=1),AND(B2362="ROLE COMPROMISE",H2362=C2362)),Inputs!$B$13,Inputs!$B$14))</f>
        <v>20</v>
      </c>
      <c r="O2362" s="15" t="n">
        <f aca="false">IF(J2362=1,0,Inputs!$B$13)</f>
        <v>20</v>
      </c>
      <c r="P2362" s="15" t="n">
        <f aca="false">SUM(M2362:N2362)</f>
        <v>95</v>
      </c>
      <c r="Q2362" s="15" t="n">
        <f aca="false">IF(J2362=1,"",L2362-P2362)</f>
        <v>5</v>
      </c>
      <c r="R2362" s="15" t="n">
        <f aca="false">IF(OR(J2362=1,M2362&lt;=Inputs!$B$12),1,0)</f>
        <v>1</v>
      </c>
      <c r="S2362" s="15" t="n">
        <f aca="false">IF(OR(J2362=1,N2362&lt;=O2362),1,0)</f>
        <v>1</v>
      </c>
      <c r="T2362" s="15" t="str">
        <f aca="false">IF(J2362=1,"OFFLINE",IF(AND(Q2362&gt;=Inputs!$B$15,R2362=1,S2362=1,P2362&lt;=L2362),"PASS","FAIL"))</f>
        <v>PASS</v>
      </c>
    </row>
    <row r="2363" customFormat="false" ht="15" hidden="false" customHeight="false" outlineLevel="0" collapsed="false">
      <c r="A2363" s="14" t="s">
        <v>1041</v>
      </c>
      <c r="B2363" s="14" t="s">
        <v>1038</v>
      </c>
      <c r="C2363" s="14" t="s">
        <v>169</v>
      </c>
      <c r="D2363" s="14" t="s">
        <v>196</v>
      </c>
      <c r="E2363" s="14" t="s">
        <v>172</v>
      </c>
      <c r="F2363" s="14" t="s">
        <v>191</v>
      </c>
      <c r="G2363" s="14" t="n">
        <v>3</v>
      </c>
      <c r="H2363" s="14" t="s">
        <v>158</v>
      </c>
      <c r="I2363" s="14" t="s">
        <v>897</v>
      </c>
      <c r="J2363" s="15" t="n">
        <f aca="false">IF(B2363="SITE LOSS",IF(D2363=C2363,1,0),IF(B2363="REGION LOSS",IF(E2363=C2363,1,0),0))</f>
        <v>0</v>
      </c>
      <c r="K2363" s="15" t="n">
        <f aca="false">IF(B2363="SITE LOSS",IF(COUNTIFS('Site Dockets'!$B$7:$B$24,C2363,'Site Dockets'!$C$7:$C$24,F2363)&gt;0,1,0),IF(B2363="REGION LOSS",IF(COUNTIFS('Site Dockets'!$E$7:$E$24,C2363,'Site Dockets'!$C$7:$C$24,F2363)&gt;0,1,0),0))</f>
        <v>1</v>
      </c>
      <c r="L2363" s="15" t="n">
        <f aca="false">IF(J2363=1,0,Inputs!$B$11)</f>
        <v>100</v>
      </c>
      <c r="M2363" s="15" t="n">
        <f aca="false">IF(J2363=1,0,Inputs!$B$12)</f>
        <v>75</v>
      </c>
      <c r="N2363" s="15" t="n">
        <f aca="false">IF(J2363=1,0,IF(OR(AND(OR(B2363="SITE LOSS",B2363="REGION LOSS"),K2363=1),AND(B2363="ROLE COMPROMISE",H2363=C2363)),Inputs!$B$13,Inputs!$B$14))</f>
        <v>20</v>
      </c>
      <c r="O2363" s="15" t="n">
        <f aca="false">IF(J2363=1,0,Inputs!$B$13)</f>
        <v>20</v>
      </c>
      <c r="P2363" s="15" t="n">
        <f aca="false">SUM(M2363:N2363)</f>
        <v>95</v>
      </c>
      <c r="Q2363" s="15" t="n">
        <f aca="false">IF(J2363=1,"",L2363-P2363)</f>
        <v>5</v>
      </c>
      <c r="R2363" s="15" t="n">
        <f aca="false">IF(OR(J2363=1,M2363&lt;=Inputs!$B$12),1,0)</f>
        <v>1</v>
      </c>
      <c r="S2363" s="15" t="n">
        <f aca="false">IF(OR(J2363=1,N2363&lt;=O2363),1,0)</f>
        <v>1</v>
      </c>
      <c r="T2363" s="15" t="str">
        <f aca="false">IF(J2363=1,"OFFLINE",IF(AND(Q2363&gt;=Inputs!$B$15,R2363=1,S2363=1,P2363&lt;=L2363),"PASS","FAIL"))</f>
        <v>PASS</v>
      </c>
    </row>
    <row r="2364" customFormat="false" ht="15" hidden="false" customHeight="false" outlineLevel="0" collapsed="false">
      <c r="A2364" s="14" t="s">
        <v>1041</v>
      </c>
      <c r="B2364" s="14" t="s">
        <v>1038</v>
      </c>
      <c r="C2364" s="14" t="s">
        <v>169</v>
      </c>
      <c r="D2364" s="14" t="s">
        <v>196</v>
      </c>
      <c r="E2364" s="14" t="s">
        <v>172</v>
      </c>
      <c r="F2364" s="14" t="s">
        <v>191</v>
      </c>
      <c r="G2364" s="14" t="n">
        <v>3</v>
      </c>
      <c r="H2364" s="14" t="s">
        <v>158</v>
      </c>
      <c r="I2364" s="14" t="s">
        <v>899</v>
      </c>
      <c r="J2364" s="15" t="n">
        <f aca="false">IF(B2364="SITE LOSS",IF(D2364=C2364,1,0),IF(B2364="REGION LOSS",IF(E2364=C2364,1,0),0))</f>
        <v>0</v>
      </c>
      <c r="K2364" s="15" t="n">
        <f aca="false">IF(B2364="SITE LOSS",IF(COUNTIFS('Site Dockets'!$B$7:$B$24,C2364,'Site Dockets'!$C$7:$C$24,F2364)&gt;0,1,0),IF(B2364="REGION LOSS",IF(COUNTIFS('Site Dockets'!$E$7:$E$24,C2364,'Site Dockets'!$C$7:$C$24,F2364)&gt;0,1,0),0))</f>
        <v>1</v>
      </c>
      <c r="L2364" s="15" t="n">
        <f aca="false">IF(J2364=1,0,Inputs!$B$11)</f>
        <v>100</v>
      </c>
      <c r="M2364" s="15" t="n">
        <f aca="false">IF(J2364=1,0,Inputs!$B$12)</f>
        <v>75</v>
      </c>
      <c r="N2364" s="15" t="n">
        <f aca="false">IF(J2364=1,0,IF(OR(AND(OR(B2364="SITE LOSS",B2364="REGION LOSS"),K2364=1),AND(B2364="ROLE COMPROMISE",H2364=C2364)),Inputs!$B$13,Inputs!$B$14))</f>
        <v>20</v>
      </c>
      <c r="O2364" s="15" t="n">
        <f aca="false">IF(J2364=1,0,Inputs!$B$13)</f>
        <v>20</v>
      </c>
      <c r="P2364" s="15" t="n">
        <f aca="false">SUM(M2364:N2364)</f>
        <v>95</v>
      </c>
      <c r="Q2364" s="15" t="n">
        <f aca="false">IF(J2364=1,"",L2364-P2364)</f>
        <v>5</v>
      </c>
      <c r="R2364" s="15" t="n">
        <f aca="false">IF(OR(J2364=1,M2364&lt;=Inputs!$B$12),1,0)</f>
        <v>1</v>
      </c>
      <c r="S2364" s="15" t="n">
        <f aca="false">IF(OR(J2364=1,N2364&lt;=O2364),1,0)</f>
        <v>1</v>
      </c>
      <c r="T2364" s="15" t="str">
        <f aca="false">IF(J2364=1,"OFFLINE",IF(AND(Q2364&gt;=Inputs!$B$15,R2364=1,S2364=1,P2364&lt;=L2364),"PASS","FAIL"))</f>
        <v>PASS</v>
      </c>
    </row>
    <row r="2365" customFormat="false" ht="15" hidden="false" customHeight="false" outlineLevel="0" collapsed="false">
      <c r="A2365" s="14" t="s">
        <v>1041</v>
      </c>
      <c r="B2365" s="14" t="s">
        <v>1038</v>
      </c>
      <c r="C2365" s="14" t="s">
        <v>169</v>
      </c>
      <c r="D2365" s="14" t="s">
        <v>198</v>
      </c>
      <c r="E2365" s="14" t="s">
        <v>166</v>
      </c>
      <c r="F2365" s="14" t="s">
        <v>199</v>
      </c>
      <c r="G2365" s="14" t="n">
        <v>1</v>
      </c>
      <c r="H2365" s="14" t="s">
        <v>154</v>
      </c>
      <c r="I2365" s="14" t="s">
        <v>890</v>
      </c>
      <c r="J2365" s="15" t="n">
        <f aca="false">IF(B2365="SITE LOSS",IF(D2365=C2365,1,0),IF(B2365="REGION LOSS",IF(E2365=C2365,1,0),0))</f>
        <v>0</v>
      </c>
      <c r="K2365" s="15" t="n">
        <f aca="false">IF(B2365="SITE LOSS",IF(COUNTIFS('Site Dockets'!$B$7:$B$24,C2365,'Site Dockets'!$C$7:$C$24,F2365)&gt;0,1,0),IF(B2365="REGION LOSS",IF(COUNTIFS('Site Dockets'!$E$7:$E$24,C2365,'Site Dockets'!$C$7:$C$24,F2365)&gt;0,1,0),0))</f>
        <v>0</v>
      </c>
      <c r="L2365" s="15" t="n">
        <f aca="false">IF(J2365=1,0,Inputs!$B$11)</f>
        <v>100</v>
      </c>
      <c r="M2365" s="15" t="n">
        <f aca="false">IF(J2365=1,0,Inputs!$B$12)</f>
        <v>75</v>
      </c>
      <c r="N2365" s="15" t="n">
        <f aca="false">IF(J2365=1,0,IF(OR(AND(OR(B2365="SITE LOSS",B2365="REGION LOSS"),K2365=1),AND(B2365="ROLE COMPROMISE",H2365=C2365)),Inputs!$B$13,Inputs!$B$14))</f>
        <v>10</v>
      </c>
      <c r="O2365" s="15" t="n">
        <f aca="false">IF(J2365=1,0,Inputs!$B$13)</f>
        <v>20</v>
      </c>
      <c r="P2365" s="15" t="n">
        <f aca="false">SUM(M2365:N2365)</f>
        <v>85</v>
      </c>
      <c r="Q2365" s="15" t="n">
        <f aca="false">IF(J2365=1,"",L2365-P2365)</f>
        <v>15</v>
      </c>
      <c r="R2365" s="15" t="n">
        <f aca="false">IF(OR(J2365=1,M2365&lt;=Inputs!$B$12),1,0)</f>
        <v>1</v>
      </c>
      <c r="S2365" s="15" t="n">
        <f aca="false">IF(OR(J2365=1,N2365&lt;=O2365),1,0)</f>
        <v>1</v>
      </c>
      <c r="T2365" s="15" t="str">
        <f aca="false">IF(J2365=1,"OFFLINE",IF(AND(Q2365&gt;=Inputs!$B$15,R2365=1,S2365=1,P2365&lt;=L2365),"PASS","FAIL"))</f>
        <v>PASS</v>
      </c>
    </row>
    <row r="2366" customFormat="false" ht="15" hidden="false" customHeight="false" outlineLevel="0" collapsed="false">
      <c r="A2366" s="14" t="s">
        <v>1041</v>
      </c>
      <c r="B2366" s="14" t="s">
        <v>1038</v>
      </c>
      <c r="C2366" s="14" t="s">
        <v>169</v>
      </c>
      <c r="D2366" s="14" t="s">
        <v>198</v>
      </c>
      <c r="E2366" s="14" t="s">
        <v>166</v>
      </c>
      <c r="F2366" s="14" t="s">
        <v>199</v>
      </c>
      <c r="G2366" s="14" t="n">
        <v>1</v>
      </c>
      <c r="H2366" s="14" t="s">
        <v>154</v>
      </c>
      <c r="I2366" s="14" t="s">
        <v>892</v>
      </c>
      <c r="J2366" s="15" t="n">
        <f aca="false">IF(B2366="SITE LOSS",IF(D2366=C2366,1,0),IF(B2366="REGION LOSS",IF(E2366=C2366,1,0),0))</f>
        <v>0</v>
      </c>
      <c r="K2366" s="15" t="n">
        <f aca="false">IF(B2366="SITE LOSS",IF(COUNTIFS('Site Dockets'!$B$7:$B$24,C2366,'Site Dockets'!$C$7:$C$24,F2366)&gt;0,1,0),IF(B2366="REGION LOSS",IF(COUNTIFS('Site Dockets'!$E$7:$E$24,C2366,'Site Dockets'!$C$7:$C$24,F2366)&gt;0,1,0),0))</f>
        <v>0</v>
      </c>
      <c r="L2366" s="15" t="n">
        <f aca="false">IF(J2366=1,0,Inputs!$B$11)</f>
        <v>100</v>
      </c>
      <c r="M2366" s="15" t="n">
        <f aca="false">IF(J2366=1,0,Inputs!$B$12)</f>
        <v>75</v>
      </c>
      <c r="N2366" s="15" t="n">
        <f aca="false">IF(J2366=1,0,IF(OR(AND(OR(B2366="SITE LOSS",B2366="REGION LOSS"),K2366=1),AND(B2366="ROLE COMPROMISE",H2366=C2366)),Inputs!$B$13,Inputs!$B$14))</f>
        <v>10</v>
      </c>
      <c r="O2366" s="15" t="n">
        <f aca="false">IF(J2366=1,0,Inputs!$B$13)</f>
        <v>20</v>
      </c>
      <c r="P2366" s="15" t="n">
        <f aca="false">SUM(M2366:N2366)</f>
        <v>85</v>
      </c>
      <c r="Q2366" s="15" t="n">
        <f aca="false">IF(J2366=1,"",L2366-P2366)</f>
        <v>15</v>
      </c>
      <c r="R2366" s="15" t="n">
        <f aca="false">IF(OR(J2366=1,M2366&lt;=Inputs!$B$12),1,0)</f>
        <v>1</v>
      </c>
      <c r="S2366" s="15" t="n">
        <f aca="false">IF(OR(J2366=1,N2366&lt;=O2366),1,0)</f>
        <v>1</v>
      </c>
      <c r="T2366" s="15" t="str">
        <f aca="false">IF(J2366=1,"OFFLINE",IF(AND(Q2366&gt;=Inputs!$B$15,R2366=1,S2366=1,P2366&lt;=L2366),"PASS","FAIL"))</f>
        <v>PASS</v>
      </c>
    </row>
    <row r="2367" customFormat="false" ht="15" hidden="false" customHeight="false" outlineLevel="0" collapsed="false">
      <c r="A2367" s="14" t="s">
        <v>1041</v>
      </c>
      <c r="B2367" s="14" t="s">
        <v>1038</v>
      </c>
      <c r="C2367" s="14" t="s">
        <v>169</v>
      </c>
      <c r="D2367" s="14" t="s">
        <v>198</v>
      </c>
      <c r="E2367" s="14" t="s">
        <v>166</v>
      </c>
      <c r="F2367" s="14" t="s">
        <v>199</v>
      </c>
      <c r="G2367" s="14" t="n">
        <v>1</v>
      </c>
      <c r="H2367" s="14" t="s">
        <v>154</v>
      </c>
      <c r="I2367" s="14" t="s">
        <v>811</v>
      </c>
      <c r="J2367" s="15" t="n">
        <f aca="false">IF(B2367="SITE LOSS",IF(D2367=C2367,1,0),IF(B2367="REGION LOSS",IF(E2367=C2367,1,0),0))</f>
        <v>0</v>
      </c>
      <c r="K2367" s="15" t="n">
        <f aca="false">IF(B2367="SITE LOSS",IF(COUNTIFS('Site Dockets'!$B$7:$B$24,C2367,'Site Dockets'!$C$7:$C$24,F2367)&gt;0,1,0),IF(B2367="REGION LOSS",IF(COUNTIFS('Site Dockets'!$E$7:$E$24,C2367,'Site Dockets'!$C$7:$C$24,F2367)&gt;0,1,0),0))</f>
        <v>0</v>
      </c>
      <c r="L2367" s="15" t="n">
        <f aca="false">IF(J2367=1,0,Inputs!$B$11)</f>
        <v>100</v>
      </c>
      <c r="M2367" s="15" t="n">
        <f aca="false">IF(J2367=1,0,Inputs!$B$12)</f>
        <v>75</v>
      </c>
      <c r="N2367" s="15" t="n">
        <f aca="false">IF(J2367=1,0,IF(OR(AND(OR(B2367="SITE LOSS",B2367="REGION LOSS"),K2367=1),AND(B2367="ROLE COMPROMISE",H2367=C2367)),Inputs!$B$13,Inputs!$B$14))</f>
        <v>10</v>
      </c>
      <c r="O2367" s="15" t="n">
        <f aca="false">IF(J2367=1,0,Inputs!$B$13)</f>
        <v>20</v>
      </c>
      <c r="P2367" s="15" t="n">
        <f aca="false">SUM(M2367:N2367)</f>
        <v>85</v>
      </c>
      <c r="Q2367" s="15" t="n">
        <f aca="false">IF(J2367=1,"",L2367-P2367)</f>
        <v>15</v>
      </c>
      <c r="R2367" s="15" t="n">
        <f aca="false">IF(OR(J2367=1,M2367&lt;=Inputs!$B$12),1,0)</f>
        <v>1</v>
      </c>
      <c r="S2367" s="15" t="n">
        <f aca="false">IF(OR(J2367=1,N2367&lt;=O2367),1,0)</f>
        <v>1</v>
      </c>
      <c r="T2367" s="15" t="str">
        <f aca="false">IF(J2367=1,"OFFLINE",IF(AND(Q2367&gt;=Inputs!$B$15,R2367=1,S2367=1,P2367&lt;=L2367),"PASS","FAIL"))</f>
        <v>PASS</v>
      </c>
    </row>
    <row r="2368" customFormat="false" ht="15" hidden="false" customHeight="false" outlineLevel="0" collapsed="false">
      <c r="A2368" s="14" t="s">
        <v>1041</v>
      </c>
      <c r="B2368" s="14" t="s">
        <v>1038</v>
      </c>
      <c r="C2368" s="14" t="s">
        <v>169</v>
      </c>
      <c r="D2368" s="14" t="s">
        <v>198</v>
      </c>
      <c r="E2368" s="14" t="s">
        <v>166</v>
      </c>
      <c r="F2368" s="14" t="s">
        <v>199</v>
      </c>
      <c r="G2368" s="14" t="n">
        <v>1</v>
      </c>
      <c r="H2368" s="14" t="s">
        <v>154</v>
      </c>
      <c r="I2368" s="14" t="s">
        <v>895</v>
      </c>
      <c r="J2368" s="15" t="n">
        <f aca="false">IF(B2368="SITE LOSS",IF(D2368=C2368,1,0),IF(B2368="REGION LOSS",IF(E2368=C2368,1,0),0))</f>
        <v>0</v>
      </c>
      <c r="K2368" s="15" t="n">
        <f aca="false">IF(B2368="SITE LOSS",IF(COUNTIFS('Site Dockets'!$B$7:$B$24,C2368,'Site Dockets'!$C$7:$C$24,F2368)&gt;0,1,0),IF(B2368="REGION LOSS",IF(COUNTIFS('Site Dockets'!$E$7:$E$24,C2368,'Site Dockets'!$C$7:$C$24,F2368)&gt;0,1,0),0))</f>
        <v>0</v>
      </c>
      <c r="L2368" s="15" t="n">
        <f aca="false">IF(J2368=1,0,Inputs!$B$11)</f>
        <v>100</v>
      </c>
      <c r="M2368" s="15" t="n">
        <f aca="false">IF(J2368=1,0,Inputs!$B$12)</f>
        <v>75</v>
      </c>
      <c r="N2368" s="15" t="n">
        <f aca="false">IF(J2368=1,0,IF(OR(AND(OR(B2368="SITE LOSS",B2368="REGION LOSS"),K2368=1),AND(B2368="ROLE COMPROMISE",H2368=C2368)),Inputs!$B$13,Inputs!$B$14))</f>
        <v>10</v>
      </c>
      <c r="O2368" s="15" t="n">
        <f aca="false">IF(J2368=1,0,Inputs!$B$13)</f>
        <v>20</v>
      </c>
      <c r="P2368" s="15" t="n">
        <f aca="false">SUM(M2368:N2368)</f>
        <v>85</v>
      </c>
      <c r="Q2368" s="15" t="n">
        <f aca="false">IF(J2368=1,"",L2368-P2368)</f>
        <v>15</v>
      </c>
      <c r="R2368" s="15" t="n">
        <f aca="false">IF(OR(J2368=1,M2368&lt;=Inputs!$B$12),1,0)</f>
        <v>1</v>
      </c>
      <c r="S2368" s="15" t="n">
        <f aca="false">IF(OR(J2368=1,N2368&lt;=O2368),1,0)</f>
        <v>1</v>
      </c>
      <c r="T2368" s="15" t="str">
        <f aca="false">IF(J2368=1,"OFFLINE",IF(AND(Q2368&gt;=Inputs!$B$15,R2368=1,S2368=1,P2368&lt;=L2368),"PASS","FAIL"))</f>
        <v>PASS</v>
      </c>
    </row>
    <row r="2369" customFormat="false" ht="15" hidden="false" customHeight="false" outlineLevel="0" collapsed="false">
      <c r="A2369" s="14" t="s">
        <v>1041</v>
      </c>
      <c r="B2369" s="14" t="s">
        <v>1038</v>
      </c>
      <c r="C2369" s="14" t="s">
        <v>169</v>
      </c>
      <c r="D2369" s="14" t="s">
        <v>198</v>
      </c>
      <c r="E2369" s="14" t="s">
        <v>166</v>
      </c>
      <c r="F2369" s="14" t="s">
        <v>199</v>
      </c>
      <c r="G2369" s="14" t="n">
        <v>1</v>
      </c>
      <c r="H2369" s="14" t="s">
        <v>154</v>
      </c>
      <c r="I2369" s="14" t="s">
        <v>897</v>
      </c>
      <c r="J2369" s="15" t="n">
        <f aca="false">IF(B2369="SITE LOSS",IF(D2369=C2369,1,0),IF(B2369="REGION LOSS",IF(E2369=C2369,1,0),0))</f>
        <v>0</v>
      </c>
      <c r="K2369" s="15" t="n">
        <f aca="false">IF(B2369="SITE LOSS",IF(COUNTIFS('Site Dockets'!$B$7:$B$24,C2369,'Site Dockets'!$C$7:$C$24,F2369)&gt;0,1,0),IF(B2369="REGION LOSS",IF(COUNTIFS('Site Dockets'!$E$7:$E$24,C2369,'Site Dockets'!$C$7:$C$24,F2369)&gt;0,1,0),0))</f>
        <v>0</v>
      </c>
      <c r="L2369" s="15" t="n">
        <f aca="false">IF(J2369=1,0,Inputs!$B$11)</f>
        <v>100</v>
      </c>
      <c r="M2369" s="15" t="n">
        <f aca="false">IF(J2369=1,0,Inputs!$B$12)</f>
        <v>75</v>
      </c>
      <c r="N2369" s="15" t="n">
        <f aca="false">IF(J2369=1,0,IF(OR(AND(OR(B2369="SITE LOSS",B2369="REGION LOSS"),K2369=1),AND(B2369="ROLE COMPROMISE",H2369=C2369)),Inputs!$B$13,Inputs!$B$14))</f>
        <v>10</v>
      </c>
      <c r="O2369" s="15" t="n">
        <f aca="false">IF(J2369=1,0,Inputs!$B$13)</f>
        <v>20</v>
      </c>
      <c r="P2369" s="15" t="n">
        <f aca="false">SUM(M2369:N2369)</f>
        <v>85</v>
      </c>
      <c r="Q2369" s="15" t="n">
        <f aca="false">IF(J2369=1,"",L2369-P2369)</f>
        <v>15</v>
      </c>
      <c r="R2369" s="15" t="n">
        <f aca="false">IF(OR(J2369=1,M2369&lt;=Inputs!$B$12),1,0)</f>
        <v>1</v>
      </c>
      <c r="S2369" s="15" t="n">
        <f aca="false">IF(OR(J2369=1,N2369&lt;=O2369),1,0)</f>
        <v>1</v>
      </c>
      <c r="T2369" s="15" t="str">
        <f aca="false">IF(J2369=1,"OFFLINE",IF(AND(Q2369&gt;=Inputs!$B$15,R2369=1,S2369=1,P2369&lt;=L2369),"PASS","FAIL"))</f>
        <v>PASS</v>
      </c>
    </row>
    <row r="2370" customFormat="false" ht="15" hidden="false" customHeight="false" outlineLevel="0" collapsed="false">
      <c r="A2370" s="14" t="s">
        <v>1041</v>
      </c>
      <c r="B2370" s="14" t="s">
        <v>1038</v>
      </c>
      <c r="C2370" s="14" t="s">
        <v>169</v>
      </c>
      <c r="D2370" s="14" t="s">
        <v>198</v>
      </c>
      <c r="E2370" s="14" t="s">
        <v>166</v>
      </c>
      <c r="F2370" s="14" t="s">
        <v>199</v>
      </c>
      <c r="G2370" s="14" t="n">
        <v>1</v>
      </c>
      <c r="H2370" s="14" t="s">
        <v>154</v>
      </c>
      <c r="I2370" s="14" t="s">
        <v>899</v>
      </c>
      <c r="J2370" s="15" t="n">
        <f aca="false">IF(B2370="SITE LOSS",IF(D2370=C2370,1,0),IF(B2370="REGION LOSS",IF(E2370=C2370,1,0),0))</f>
        <v>0</v>
      </c>
      <c r="K2370" s="15" t="n">
        <f aca="false">IF(B2370="SITE LOSS",IF(COUNTIFS('Site Dockets'!$B$7:$B$24,C2370,'Site Dockets'!$C$7:$C$24,F2370)&gt;0,1,0),IF(B2370="REGION LOSS",IF(COUNTIFS('Site Dockets'!$E$7:$E$24,C2370,'Site Dockets'!$C$7:$C$24,F2370)&gt;0,1,0),0))</f>
        <v>0</v>
      </c>
      <c r="L2370" s="15" t="n">
        <f aca="false">IF(J2370=1,0,Inputs!$B$11)</f>
        <v>100</v>
      </c>
      <c r="M2370" s="15" t="n">
        <f aca="false">IF(J2370=1,0,Inputs!$B$12)</f>
        <v>75</v>
      </c>
      <c r="N2370" s="15" t="n">
        <f aca="false">IF(J2370=1,0,IF(OR(AND(OR(B2370="SITE LOSS",B2370="REGION LOSS"),K2370=1),AND(B2370="ROLE COMPROMISE",H2370=C2370)),Inputs!$B$13,Inputs!$B$14))</f>
        <v>10</v>
      </c>
      <c r="O2370" s="15" t="n">
        <f aca="false">IF(J2370=1,0,Inputs!$B$13)</f>
        <v>20</v>
      </c>
      <c r="P2370" s="15" t="n">
        <f aca="false">SUM(M2370:N2370)</f>
        <v>85</v>
      </c>
      <c r="Q2370" s="15" t="n">
        <f aca="false">IF(J2370=1,"",L2370-P2370)</f>
        <v>15</v>
      </c>
      <c r="R2370" s="15" t="n">
        <f aca="false">IF(OR(J2370=1,M2370&lt;=Inputs!$B$12),1,0)</f>
        <v>1</v>
      </c>
      <c r="S2370" s="15" t="n">
        <f aca="false">IF(OR(J2370=1,N2370&lt;=O2370),1,0)</f>
        <v>1</v>
      </c>
      <c r="T2370" s="15" t="str">
        <f aca="false">IF(J2370=1,"OFFLINE",IF(AND(Q2370&gt;=Inputs!$B$15,R2370=1,S2370=1,P2370&lt;=L2370),"PASS","FAIL"))</f>
        <v>PASS</v>
      </c>
    </row>
    <row r="2371" customFormat="false" ht="15" hidden="false" customHeight="false" outlineLevel="0" collapsed="false">
      <c r="A2371" s="14" t="s">
        <v>1041</v>
      </c>
      <c r="B2371" s="14" t="s">
        <v>1038</v>
      </c>
      <c r="C2371" s="14" t="s">
        <v>169</v>
      </c>
      <c r="D2371" s="14" t="s">
        <v>202</v>
      </c>
      <c r="E2371" s="14" t="s">
        <v>157</v>
      </c>
      <c r="F2371" s="14" t="s">
        <v>199</v>
      </c>
      <c r="G2371" s="14" t="n">
        <v>2</v>
      </c>
      <c r="H2371" s="14" t="s">
        <v>153</v>
      </c>
      <c r="I2371" s="14" t="s">
        <v>890</v>
      </c>
      <c r="J2371" s="15" t="n">
        <f aca="false">IF(B2371="SITE LOSS",IF(D2371=C2371,1,0),IF(B2371="REGION LOSS",IF(E2371=C2371,1,0),0))</f>
        <v>0</v>
      </c>
      <c r="K2371" s="15" t="n">
        <f aca="false">IF(B2371="SITE LOSS",IF(COUNTIFS('Site Dockets'!$B$7:$B$24,C2371,'Site Dockets'!$C$7:$C$24,F2371)&gt;0,1,0),IF(B2371="REGION LOSS",IF(COUNTIFS('Site Dockets'!$E$7:$E$24,C2371,'Site Dockets'!$C$7:$C$24,F2371)&gt;0,1,0),0))</f>
        <v>0</v>
      </c>
      <c r="L2371" s="15" t="n">
        <f aca="false">IF(J2371=1,0,Inputs!$B$11)</f>
        <v>100</v>
      </c>
      <c r="M2371" s="15" t="n">
        <f aca="false">IF(J2371=1,0,Inputs!$B$12)</f>
        <v>75</v>
      </c>
      <c r="N2371" s="15" t="n">
        <f aca="false">IF(J2371=1,0,IF(OR(AND(OR(B2371="SITE LOSS",B2371="REGION LOSS"),K2371=1),AND(B2371="ROLE COMPROMISE",H2371=C2371)),Inputs!$B$13,Inputs!$B$14))</f>
        <v>10</v>
      </c>
      <c r="O2371" s="15" t="n">
        <f aca="false">IF(J2371=1,0,Inputs!$B$13)</f>
        <v>20</v>
      </c>
      <c r="P2371" s="15" t="n">
        <f aca="false">SUM(M2371:N2371)</f>
        <v>85</v>
      </c>
      <c r="Q2371" s="15" t="n">
        <f aca="false">IF(J2371=1,"",L2371-P2371)</f>
        <v>15</v>
      </c>
      <c r="R2371" s="15" t="n">
        <f aca="false">IF(OR(J2371=1,M2371&lt;=Inputs!$B$12),1,0)</f>
        <v>1</v>
      </c>
      <c r="S2371" s="15" t="n">
        <f aca="false">IF(OR(J2371=1,N2371&lt;=O2371),1,0)</f>
        <v>1</v>
      </c>
      <c r="T2371" s="15" t="str">
        <f aca="false">IF(J2371=1,"OFFLINE",IF(AND(Q2371&gt;=Inputs!$B$15,R2371=1,S2371=1,P2371&lt;=L2371),"PASS","FAIL"))</f>
        <v>PASS</v>
      </c>
    </row>
    <row r="2372" customFormat="false" ht="15" hidden="false" customHeight="false" outlineLevel="0" collapsed="false">
      <c r="A2372" s="14" t="s">
        <v>1041</v>
      </c>
      <c r="B2372" s="14" t="s">
        <v>1038</v>
      </c>
      <c r="C2372" s="14" t="s">
        <v>169</v>
      </c>
      <c r="D2372" s="14" t="s">
        <v>202</v>
      </c>
      <c r="E2372" s="14" t="s">
        <v>157</v>
      </c>
      <c r="F2372" s="14" t="s">
        <v>199</v>
      </c>
      <c r="G2372" s="14" t="n">
        <v>2</v>
      </c>
      <c r="H2372" s="14" t="s">
        <v>153</v>
      </c>
      <c r="I2372" s="14" t="s">
        <v>892</v>
      </c>
      <c r="J2372" s="15" t="n">
        <f aca="false">IF(B2372="SITE LOSS",IF(D2372=C2372,1,0),IF(B2372="REGION LOSS",IF(E2372=C2372,1,0),0))</f>
        <v>0</v>
      </c>
      <c r="K2372" s="15" t="n">
        <f aca="false">IF(B2372="SITE LOSS",IF(COUNTIFS('Site Dockets'!$B$7:$B$24,C2372,'Site Dockets'!$C$7:$C$24,F2372)&gt;0,1,0),IF(B2372="REGION LOSS",IF(COUNTIFS('Site Dockets'!$E$7:$E$24,C2372,'Site Dockets'!$C$7:$C$24,F2372)&gt;0,1,0),0))</f>
        <v>0</v>
      </c>
      <c r="L2372" s="15" t="n">
        <f aca="false">IF(J2372=1,0,Inputs!$B$11)</f>
        <v>100</v>
      </c>
      <c r="M2372" s="15" t="n">
        <f aca="false">IF(J2372=1,0,Inputs!$B$12)</f>
        <v>75</v>
      </c>
      <c r="N2372" s="15" t="n">
        <f aca="false">IF(J2372=1,0,IF(OR(AND(OR(B2372="SITE LOSS",B2372="REGION LOSS"),K2372=1),AND(B2372="ROLE COMPROMISE",H2372=C2372)),Inputs!$B$13,Inputs!$B$14))</f>
        <v>10</v>
      </c>
      <c r="O2372" s="15" t="n">
        <f aca="false">IF(J2372=1,0,Inputs!$B$13)</f>
        <v>20</v>
      </c>
      <c r="P2372" s="15" t="n">
        <f aca="false">SUM(M2372:N2372)</f>
        <v>85</v>
      </c>
      <c r="Q2372" s="15" t="n">
        <f aca="false">IF(J2372=1,"",L2372-P2372)</f>
        <v>15</v>
      </c>
      <c r="R2372" s="15" t="n">
        <f aca="false">IF(OR(J2372=1,M2372&lt;=Inputs!$B$12),1,0)</f>
        <v>1</v>
      </c>
      <c r="S2372" s="15" t="n">
        <f aca="false">IF(OR(J2372=1,N2372&lt;=O2372),1,0)</f>
        <v>1</v>
      </c>
      <c r="T2372" s="15" t="str">
        <f aca="false">IF(J2372=1,"OFFLINE",IF(AND(Q2372&gt;=Inputs!$B$15,R2372=1,S2372=1,P2372&lt;=L2372),"PASS","FAIL"))</f>
        <v>PASS</v>
      </c>
    </row>
    <row r="2373" customFormat="false" ht="15" hidden="false" customHeight="false" outlineLevel="0" collapsed="false">
      <c r="A2373" s="14" t="s">
        <v>1041</v>
      </c>
      <c r="B2373" s="14" t="s">
        <v>1038</v>
      </c>
      <c r="C2373" s="14" t="s">
        <v>169</v>
      </c>
      <c r="D2373" s="14" t="s">
        <v>202</v>
      </c>
      <c r="E2373" s="14" t="s">
        <v>157</v>
      </c>
      <c r="F2373" s="14" t="s">
        <v>199</v>
      </c>
      <c r="G2373" s="14" t="n">
        <v>2</v>
      </c>
      <c r="H2373" s="14" t="s">
        <v>153</v>
      </c>
      <c r="I2373" s="14" t="s">
        <v>811</v>
      </c>
      <c r="J2373" s="15" t="n">
        <f aca="false">IF(B2373="SITE LOSS",IF(D2373=C2373,1,0),IF(B2373="REGION LOSS",IF(E2373=C2373,1,0),0))</f>
        <v>0</v>
      </c>
      <c r="K2373" s="15" t="n">
        <f aca="false">IF(B2373="SITE LOSS",IF(COUNTIFS('Site Dockets'!$B$7:$B$24,C2373,'Site Dockets'!$C$7:$C$24,F2373)&gt;0,1,0),IF(B2373="REGION LOSS",IF(COUNTIFS('Site Dockets'!$E$7:$E$24,C2373,'Site Dockets'!$C$7:$C$24,F2373)&gt;0,1,0),0))</f>
        <v>0</v>
      </c>
      <c r="L2373" s="15" t="n">
        <f aca="false">IF(J2373=1,0,Inputs!$B$11)</f>
        <v>100</v>
      </c>
      <c r="M2373" s="15" t="n">
        <f aca="false">IF(J2373=1,0,Inputs!$B$12)</f>
        <v>75</v>
      </c>
      <c r="N2373" s="15" t="n">
        <f aca="false">IF(J2373=1,0,IF(OR(AND(OR(B2373="SITE LOSS",B2373="REGION LOSS"),K2373=1),AND(B2373="ROLE COMPROMISE",H2373=C2373)),Inputs!$B$13,Inputs!$B$14))</f>
        <v>10</v>
      </c>
      <c r="O2373" s="15" t="n">
        <f aca="false">IF(J2373=1,0,Inputs!$B$13)</f>
        <v>20</v>
      </c>
      <c r="P2373" s="15" t="n">
        <f aca="false">SUM(M2373:N2373)</f>
        <v>85</v>
      </c>
      <c r="Q2373" s="15" t="n">
        <f aca="false">IF(J2373=1,"",L2373-P2373)</f>
        <v>15</v>
      </c>
      <c r="R2373" s="15" t="n">
        <f aca="false">IF(OR(J2373=1,M2373&lt;=Inputs!$B$12),1,0)</f>
        <v>1</v>
      </c>
      <c r="S2373" s="15" t="n">
        <f aca="false">IF(OR(J2373=1,N2373&lt;=O2373),1,0)</f>
        <v>1</v>
      </c>
      <c r="T2373" s="15" t="str">
        <f aca="false">IF(J2373=1,"OFFLINE",IF(AND(Q2373&gt;=Inputs!$B$15,R2373=1,S2373=1,P2373&lt;=L2373),"PASS","FAIL"))</f>
        <v>PASS</v>
      </c>
    </row>
    <row r="2374" customFormat="false" ht="15" hidden="false" customHeight="false" outlineLevel="0" collapsed="false">
      <c r="A2374" s="14" t="s">
        <v>1041</v>
      </c>
      <c r="B2374" s="14" t="s">
        <v>1038</v>
      </c>
      <c r="C2374" s="14" t="s">
        <v>169</v>
      </c>
      <c r="D2374" s="14" t="s">
        <v>202</v>
      </c>
      <c r="E2374" s="14" t="s">
        <v>157</v>
      </c>
      <c r="F2374" s="14" t="s">
        <v>199</v>
      </c>
      <c r="G2374" s="14" t="n">
        <v>2</v>
      </c>
      <c r="H2374" s="14" t="s">
        <v>153</v>
      </c>
      <c r="I2374" s="14" t="s">
        <v>895</v>
      </c>
      <c r="J2374" s="15" t="n">
        <f aca="false">IF(B2374="SITE LOSS",IF(D2374=C2374,1,0),IF(B2374="REGION LOSS",IF(E2374=C2374,1,0),0))</f>
        <v>0</v>
      </c>
      <c r="K2374" s="15" t="n">
        <f aca="false">IF(B2374="SITE LOSS",IF(COUNTIFS('Site Dockets'!$B$7:$B$24,C2374,'Site Dockets'!$C$7:$C$24,F2374)&gt;0,1,0),IF(B2374="REGION LOSS",IF(COUNTIFS('Site Dockets'!$E$7:$E$24,C2374,'Site Dockets'!$C$7:$C$24,F2374)&gt;0,1,0),0))</f>
        <v>0</v>
      </c>
      <c r="L2374" s="15" t="n">
        <f aca="false">IF(J2374=1,0,Inputs!$B$11)</f>
        <v>100</v>
      </c>
      <c r="M2374" s="15" t="n">
        <f aca="false">IF(J2374=1,0,Inputs!$B$12)</f>
        <v>75</v>
      </c>
      <c r="N2374" s="15" t="n">
        <f aca="false">IF(J2374=1,0,IF(OR(AND(OR(B2374="SITE LOSS",B2374="REGION LOSS"),K2374=1),AND(B2374="ROLE COMPROMISE",H2374=C2374)),Inputs!$B$13,Inputs!$B$14))</f>
        <v>10</v>
      </c>
      <c r="O2374" s="15" t="n">
        <f aca="false">IF(J2374=1,0,Inputs!$B$13)</f>
        <v>20</v>
      </c>
      <c r="P2374" s="15" t="n">
        <f aca="false">SUM(M2374:N2374)</f>
        <v>85</v>
      </c>
      <c r="Q2374" s="15" t="n">
        <f aca="false">IF(J2374=1,"",L2374-P2374)</f>
        <v>15</v>
      </c>
      <c r="R2374" s="15" t="n">
        <f aca="false">IF(OR(J2374=1,M2374&lt;=Inputs!$B$12),1,0)</f>
        <v>1</v>
      </c>
      <c r="S2374" s="15" t="n">
        <f aca="false">IF(OR(J2374=1,N2374&lt;=O2374),1,0)</f>
        <v>1</v>
      </c>
      <c r="T2374" s="15" t="str">
        <f aca="false">IF(J2374=1,"OFFLINE",IF(AND(Q2374&gt;=Inputs!$B$15,R2374=1,S2374=1,P2374&lt;=L2374),"PASS","FAIL"))</f>
        <v>PASS</v>
      </c>
    </row>
    <row r="2375" customFormat="false" ht="15" hidden="false" customHeight="false" outlineLevel="0" collapsed="false">
      <c r="A2375" s="14" t="s">
        <v>1041</v>
      </c>
      <c r="B2375" s="14" t="s">
        <v>1038</v>
      </c>
      <c r="C2375" s="14" t="s">
        <v>169</v>
      </c>
      <c r="D2375" s="14" t="s">
        <v>202</v>
      </c>
      <c r="E2375" s="14" t="s">
        <v>157</v>
      </c>
      <c r="F2375" s="14" t="s">
        <v>199</v>
      </c>
      <c r="G2375" s="14" t="n">
        <v>2</v>
      </c>
      <c r="H2375" s="14" t="s">
        <v>153</v>
      </c>
      <c r="I2375" s="14" t="s">
        <v>897</v>
      </c>
      <c r="J2375" s="15" t="n">
        <f aca="false">IF(B2375="SITE LOSS",IF(D2375=C2375,1,0),IF(B2375="REGION LOSS",IF(E2375=C2375,1,0),0))</f>
        <v>0</v>
      </c>
      <c r="K2375" s="15" t="n">
        <f aca="false">IF(B2375="SITE LOSS",IF(COUNTIFS('Site Dockets'!$B$7:$B$24,C2375,'Site Dockets'!$C$7:$C$24,F2375)&gt;0,1,0),IF(B2375="REGION LOSS",IF(COUNTIFS('Site Dockets'!$E$7:$E$24,C2375,'Site Dockets'!$C$7:$C$24,F2375)&gt;0,1,0),0))</f>
        <v>0</v>
      </c>
      <c r="L2375" s="15" t="n">
        <f aca="false">IF(J2375=1,0,Inputs!$B$11)</f>
        <v>100</v>
      </c>
      <c r="M2375" s="15" t="n">
        <f aca="false">IF(J2375=1,0,Inputs!$B$12)</f>
        <v>75</v>
      </c>
      <c r="N2375" s="15" t="n">
        <f aca="false">IF(J2375=1,0,IF(OR(AND(OR(B2375="SITE LOSS",B2375="REGION LOSS"),K2375=1),AND(B2375="ROLE COMPROMISE",H2375=C2375)),Inputs!$B$13,Inputs!$B$14))</f>
        <v>10</v>
      </c>
      <c r="O2375" s="15" t="n">
        <f aca="false">IF(J2375=1,0,Inputs!$B$13)</f>
        <v>20</v>
      </c>
      <c r="P2375" s="15" t="n">
        <f aca="false">SUM(M2375:N2375)</f>
        <v>85</v>
      </c>
      <c r="Q2375" s="15" t="n">
        <f aca="false">IF(J2375=1,"",L2375-P2375)</f>
        <v>15</v>
      </c>
      <c r="R2375" s="15" t="n">
        <f aca="false">IF(OR(J2375=1,M2375&lt;=Inputs!$B$12),1,0)</f>
        <v>1</v>
      </c>
      <c r="S2375" s="15" t="n">
        <f aca="false">IF(OR(J2375=1,N2375&lt;=O2375),1,0)</f>
        <v>1</v>
      </c>
      <c r="T2375" s="15" t="str">
        <f aca="false">IF(J2375=1,"OFFLINE",IF(AND(Q2375&gt;=Inputs!$B$15,R2375=1,S2375=1,P2375&lt;=L2375),"PASS","FAIL"))</f>
        <v>PASS</v>
      </c>
    </row>
    <row r="2376" customFormat="false" ht="15" hidden="false" customHeight="false" outlineLevel="0" collapsed="false">
      <c r="A2376" s="14" t="s">
        <v>1041</v>
      </c>
      <c r="B2376" s="14" t="s">
        <v>1038</v>
      </c>
      <c r="C2376" s="14" t="s">
        <v>169</v>
      </c>
      <c r="D2376" s="14" t="s">
        <v>202</v>
      </c>
      <c r="E2376" s="14" t="s">
        <v>157</v>
      </c>
      <c r="F2376" s="14" t="s">
        <v>199</v>
      </c>
      <c r="G2376" s="14" t="n">
        <v>2</v>
      </c>
      <c r="H2376" s="14" t="s">
        <v>153</v>
      </c>
      <c r="I2376" s="14" t="s">
        <v>899</v>
      </c>
      <c r="J2376" s="15" t="n">
        <f aca="false">IF(B2376="SITE LOSS",IF(D2376=C2376,1,0),IF(B2376="REGION LOSS",IF(E2376=C2376,1,0),0))</f>
        <v>0</v>
      </c>
      <c r="K2376" s="15" t="n">
        <f aca="false">IF(B2376="SITE LOSS",IF(COUNTIFS('Site Dockets'!$B$7:$B$24,C2376,'Site Dockets'!$C$7:$C$24,F2376)&gt;0,1,0),IF(B2376="REGION LOSS",IF(COUNTIFS('Site Dockets'!$E$7:$E$24,C2376,'Site Dockets'!$C$7:$C$24,F2376)&gt;0,1,0),0))</f>
        <v>0</v>
      </c>
      <c r="L2376" s="15" t="n">
        <f aca="false">IF(J2376=1,0,Inputs!$B$11)</f>
        <v>100</v>
      </c>
      <c r="M2376" s="15" t="n">
        <f aca="false">IF(J2376=1,0,Inputs!$B$12)</f>
        <v>75</v>
      </c>
      <c r="N2376" s="15" t="n">
        <f aca="false">IF(J2376=1,0,IF(OR(AND(OR(B2376="SITE LOSS",B2376="REGION LOSS"),K2376=1),AND(B2376="ROLE COMPROMISE",H2376=C2376)),Inputs!$B$13,Inputs!$B$14))</f>
        <v>10</v>
      </c>
      <c r="O2376" s="15" t="n">
        <f aca="false">IF(J2376=1,0,Inputs!$B$13)</f>
        <v>20</v>
      </c>
      <c r="P2376" s="15" t="n">
        <f aca="false">SUM(M2376:N2376)</f>
        <v>85</v>
      </c>
      <c r="Q2376" s="15" t="n">
        <f aca="false">IF(J2376=1,"",L2376-P2376)</f>
        <v>15</v>
      </c>
      <c r="R2376" s="15" t="n">
        <f aca="false">IF(OR(J2376=1,M2376&lt;=Inputs!$B$12),1,0)</f>
        <v>1</v>
      </c>
      <c r="S2376" s="15" t="n">
        <f aca="false">IF(OR(J2376=1,N2376&lt;=O2376),1,0)</f>
        <v>1</v>
      </c>
      <c r="T2376" s="15" t="str">
        <f aca="false">IF(J2376=1,"OFFLINE",IF(AND(Q2376&gt;=Inputs!$B$15,R2376=1,S2376=1,P2376&lt;=L2376),"PASS","FAIL"))</f>
        <v>PASS</v>
      </c>
    </row>
    <row r="2377" customFormat="false" ht="15" hidden="false" customHeight="false" outlineLevel="0" collapsed="false">
      <c r="A2377" s="14" t="s">
        <v>1041</v>
      </c>
      <c r="B2377" s="14" t="s">
        <v>1038</v>
      </c>
      <c r="C2377" s="14" t="s">
        <v>169</v>
      </c>
      <c r="D2377" s="14" t="s">
        <v>204</v>
      </c>
      <c r="E2377" s="14" t="s">
        <v>161</v>
      </c>
      <c r="F2377" s="14" t="s">
        <v>199</v>
      </c>
      <c r="G2377" s="14" t="n">
        <v>3</v>
      </c>
      <c r="H2377" s="14" t="s">
        <v>158</v>
      </c>
      <c r="I2377" s="14" t="s">
        <v>890</v>
      </c>
      <c r="J2377" s="15" t="n">
        <f aca="false">IF(B2377="SITE LOSS",IF(D2377=C2377,1,0),IF(B2377="REGION LOSS",IF(E2377=C2377,1,0),0))</f>
        <v>0</v>
      </c>
      <c r="K2377" s="15" t="n">
        <f aca="false">IF(B2377="SITE LOSS",IF(COUNTIFS('Site Dockets'!$B$7:$B$24,C2377,'Site Dockets'!$C$7:$C$24,F2377)&gt;0,1,0),IF(B2377="REGION LOSS",IF(COUNTIFS('Site Dockets'!$E$7:$E$24,C2377,'Site Dockets'!$C$7:$C$24,F2377)&gt;0,1,0),0))</f>
        <v>0</v>
      </c>
      <c r="L2377" s="15" t="n">
        <f aca="false">IF(J2377=1,0,Inputs!$B$11)</f>
        <v>100</v>
      </c>
      <c r="M2377" s="15" t="n">
        <f aca="false">IF(J2377=1,0,Inputs!$B$12)</f>
        <v>75</v>
      </c>
      <c r="N2377" s="15" t="n">
        <f aca="false">IF(J2377=1,0,IF(OR(AND(OR(B2377="SITE LOSS",B2377="REGION LOSS"),K2377=1),AND(B2377="ROLE COMPROMISE",H2377=C2377)),Inputs!$B$13,Inputs!$B$14))</f>
        <v>10</v>
      </c>
      <c r="O2377" s="15" t="n">
        <f aca="false">IF(J2377=1,0,Inputs!$B$13)</f>
        <v>20</v>
      </c>
      <c r="P2377" s="15" t="n">
        <f aca="false">SUM(M2377:N2377)</f>
        <v>85</v>
      </c>
      <c r="Q2377" s="15" t="n">
        <f aca="false">IF(J2377=1,"",L2377-P2377)</f>
        <v>15</v>
      </c>
      <c r="R2377" s="15" t="n">
        <f aca="false">IF(OR(J2377=1,M2377&lt;=Inputs!$B$12),1,0)</f>
        <v>1</v>
      </c>
      <c r="S2377" s="15" t="n">
        <f aca="false">IF(OR(J2377=1,N2377&lt;=O2377),1,0)</f>
        <v>1</v>
      </c>
      <c r="T2377" s="15" t="str">
        <f aca="false">IF(J2377=1,"OFFLINE",IF(AND(Q2377&gt;=Inputs!$B$15,R2377=1,S2377=1,P2377&lt;=L2377),"PASS","FAIL"))</f>
        <v>PASS</v>
      </c>
    </row>
    <row r="2378" customFormat="false" ht="15" hidden="false" customHeight="false" outlineLevel="0" collapsed="false">
      <c r="A2378" s="14" t="s">
        <v>1041</v>
      </c>
      <c r="B2378" s="14" t="s">
        <v>1038</v>
      </c>
      <c r="C2378" s="14" t="s">
        <v>169</v>
      </c>
      <c r="D2378" s="14" t="s">
        <v>204</v>
      </c>
      <c r="E2378" s="14" t="s">
        <v>161</v>
      </c>
      <c r="F2378" s="14" t="s">
        <v>199</v>
      </c>
      <c r="G2378" s="14" t="n">
        <v>3</v>
      </c>
      <c r="H2378" s="14" t="s">
        <v>158</v>
      </c>
      <c r="I2378" s="14" t="s">
        <v>892</v>
      </c>
      <c r="J2378" s="15" t="n">
        <f aca="false">IF(B2378="SITE LOSS",IF(D2378=C2378,1,0),IF(B2378="REGION LOSS",IF(E2378=C2378,1,0),0))</f>
        <v>0</v>
      </c>
      <c r="K2378" s="15" t="n">
        <f aca="false">IF(B2378="SITE LOSS",IF(COUNTIFS('Site Dockets'!$B$7:$B$24,C2378,'Site Dockets'!$C$7:$C$24,F2378)&gt;0,1,0),IF(B2378="REGION LOSS",IF(COUNTIFS('Site Dockets'!$E$7:$E$24,C2378,'Site Dockets'!$C$7:$C$24,F2378)&gt;0,1,0),0))</f>
        <v>0</v>
      </c>
      <c r="L2378" s="15" t="n">
        <f aca="false">IF(J2378=1,0,Inputs!$B$11)</f>
        <v>100</v>
      </c>
      <c r="M2378" s="15" t="n">
        <f aca="false">IF(J2378=1,0,Inputs!$B$12)</f>
        <v>75</v>
      </c>
      <c r="N2378" s="15" t="n">
        <f aca="false">IF(J2378=1,0,IF(OR(AND(OR(B2378="SITE LOSS",B2378="REGION LOSS"),K2378=1),AND(B2378="ROLE COMPROMISE",H2378=C2378)),Inputs!$B$13,Inputs!$B$14))</f>
        <v>10</v>
      </c>
      <c r="O2378" s="15" t="n">
        <f aca="false">IF(J2378=1,0,Inputs!$B$13)</f>
        <v>20</v>
      </c>
      <c r="P2378" s="15" t="n">
        <f aca="false">SUM(M2378:N2378)</f>
        <v>85</v>
      </c>
      <c r="Q2378" s="15" t="n">
        <f aca="false">IF(J2378=1,"",L2378-P2378)</f>
        <v>15</v>
      </c>
      <c r="R2378" s="15" t="n">
        <f aca="false">IF(OR(J2378=1,M2378&lt;=Inputs!$B$12),1,0)</f>
        <v>1</v>
      </c>
      <c r="S2378" s="15" t="n">
        <f aca="false">IF(OR(J2378=1,N2378&lt;=O2378),1,0)</f>
        <v>1</v>
      </c>
      <c r="T2378" s="15" t="str">
        <f aca="false">IF(J2378=1,"OFFLINE",IF(AND(Q2378&gt;=Inputs!$B$15,R2378=1,S2378=1,P2378&lt;=L2378),"PASS","FAIL"))</f>
        <v>PASS</v>
      </c>
    </row>
    <row r="2379" customFormat="false" ht="15" hidden="false" customHeight="false" outlineLevel="0" collapsed="false">
      <c r="A2379" s="14" t="s">
        <v>1041</v>
      </c>
      <c r="B2379" s="14" t="s">
        <v>1038</v>
      </c>
      <c r="C2379" s="14" t="s">
        <v>169</v>
      </c>
      <c r="D2379" s="14" t="s">
        <v>204</v>
      </c>
      <c r="E2379" s="14" t="s">
        <v>161</v>
      </c>
      <c r="F2379" s="14" t="s">
        <v>199</v>
      </c>
      <c r="G2379" s="14" t="n">
        <v>3</v>
      </c>
      <c r="H2379" s="14" t="s">
        <v>158</v>
      </c>
      <c r="I2379" s="14" t="s">
        <v>811</v>
      </c>
      <c r="J2379" s="15" t="n">
        <f aca="false">IF(B2379="SITE LOSS",IF(D2379=C2379,1,0),IF(B2379="REGION LOSS",IF(E2379=C2379,1,0),0))</f>
        <v>0</v>
      </c>
      <c r="K2379" s="15" t="n">
        <f aca="false">IF(B2379="SITE LOSS",IF(COUNTIFS('Site Dockets'!$B$7:$B$24,C2379,'Site Dockets'!$C$7:$C$24,F2379)&gt;0,1,0),IF(B2379="REGION LOSS",IF(COUNTIFS('Site Dockets'!$E$7:$E$24,C2379,'Site Dockets'!$C$7:$C$24,F2379)&gt;0,1,0),0))</f>
        <v>0</v>
      </c>
      <c r="L2379" s="15" t="n">
        <f aca="false">IF(J2379=1,0,Inputs!$B$11)</f>
        <v>100</v>
      </c>
      <c r="M2379" s="15" t="n">
        <f aca="false">IF(J2379=1,0,Inputs!$B$12)</f>
        <v>75</v>
      </c>
      <c r="N2379" s="15" t="n">
        <f aca="false">IF(J2379=1,0,IF(OR(AND(OR(B2379="SITE LOSS",B2379="REGION LOSS"),K2379=1),AND(B2379="ROLE COMPROMISE",H2379=C2379)),Inputs!$B$13,Inputs!$B$14))</f>
        <v>10</v>
      </c>
      <c r="O2379" s="15" t="n">
        <f aca="false">IF(J2379=1,0,Inputs!$B$13)</f>
        <v>20</v>
      </c>
      <c r="P2379" s="15" t="n">
        <f aca="false">SUM(M2379:N2379)</f>
        <v>85</v>
      </c>
      <c r="Q2379" s="15" t="n">
        <f aca="false">IF(J2379=1,"",L2379-P2379)</f>
        <v>15</v>
      </c>
      <c r="R2379" s="15" t="n">
        <f aca="false">IF(OR(J2379=1,M2379&lt;=Inputs!$B$12),1,0)</f>
        <v>1</v>
      </c>
      <c r="S2379" s="15" t="n">
        <f aca="false">IF(OR(J2379=1,N2379&lt;=O2379),1,0)</f>
        <v>1</v>
      </c>
      <c r="T2379" s="15" t="str">
        <f aca="false">IF(J2379=1,"OFFLINE",IF(AND(Q2379&gt;=Inputs!$B$15,R2379=1,S2379=1,P2379&lt;=L2379),"PASS","FAIL"))</f>
        <v>PASS</v>
      </c>
    </row>
    <row r="2380" customFormat="false" ht="15" hidden="false" customHeight="false" outlineLevel="0" collapsed="false">
      <c r="A2380" s="14" t="s">
        <v>1041</v>
      </c>
      <c r="B2380" s="14" t="s">
        <v>1038</v>
      </c>
      <c r="C2380" s="14" t="s">
        <v>169</v>
      </c>
      <c r="D2380" s="14" t="s">
        <v>204</v>
      </c>
      <c r="E2380" s="14" t="s">
        <v>161</v>
      </c>
      <c r="F2380" s="14" t="s">
        <v>199</v>
      </c>
      <c r="G2380" s="14" t="n">
        <v>3</v>
      </c>
      <c r="H2380" s="14" t="s">
        <v>158</v>
      </c>
      <c r="I2380" s="14" t="s">
        <v>895</v>
      </c>
      <c r="J2380" s="15" t="n">
        <f aca="false">IF(B2380="SITE LOSS",IF(D2380=C2380,1,0),IF(B2380="REGION LOSS",IF(E2380=C2380,1,0),0))</f>
        <v>0</v>
      </c>
      <c r="K2380" s="15" t="n">
        <f aca="false">IF(B2380="SITE LOSS",IF(COUNTIFS('Site Dockets'!$B$7:$B$24,C2380,'Site Dockets'!$C$7:$C$24,F2380)&gt;0,1,0),IF(B2380="REGION LOSS",IF(COUNTIFS('Site Dockets'!$E$7:$E$24,C2380,'Site Dockets'!$C$7:$C$24,F2380)&gt;0,1,0),0))</f>
        <v>0</v>
      </c>
      <c r="L2380" s="15" t="n">
        <f aca="false">IF(J2380=1,0,Inputs!$B$11)</f>
        <v>100</v>
      </c>
      <c r="M2380" s="15" t="n">
        <f aca="false">IF(J2380=1,0,Inputs!$B$12)</f>
        <v>75</v>
      </c>
      <c r="N2380" s="15" t="n">
        <f aca="false">IF(J2380=1,0,IF(OR(AND(OR(B2380="SITE LOSS",B2380="REGION LOSS"),K2380=1),AND(B2380="ROLE COMPROMISE",H2380=C2380)),Inputs!$B$13,Inputs!$B$14))</f>
        <v>10</v>
      </c>
      <c r="O2380" s="15" t="n">
        <f aca="false">IF(J2380=1,0,Inputs!$B$13)</f>
        <v>20</v>
      </c>
      <c r="P2380" s="15" t="n">
        <f aca="false">SUM(M2380:N2380)</f>
        <v>85</v>
      </c>
      <c r="Q2380" s="15" t="n">
        <f aca="false">IF(J2380=1,"",L2380-P2380)</f>
        <v>15</v>
      </c>
      <c r="R2380" s="15" t="n">
        <f aca="false">IF(OR(J2380=1,M2380&lt;=Inputs!$B$12),1,0)</f>
        <v>1</v>
      </c>
      <c r="S2380" s="15" t="n">
        <f aca="false">IF(OR(J2380=1,N2380&lt;=O2380),1,0)</f>
        <v>1</v>
      </c>
      <c r="T2380" s="15" t="str">
        <f aca="false">IF(J2380=1,"OFFLINE",IF(AND(Q2380&gt;=Inputs!$B$15,R2380=1,S2380=1,P2380&lt;=L2380),"PASS","FAIL"))</f>
        <v>PASS</v>
      </c>
    </row>
    <row r="2381" customFormat="false" ht="15" hidden="false" customHeight="false" outlineLevel="0" collapsed="false">
      <c r="A2381" s="14" t="s">
        <v>1041</v>
      </c>
      <c r="B2381" s="14" t="s">
        <v>1038</v>
      </c>
      <c r="C2381" s="14" t="s">
        <v>169</v>
      </c>
      <c r="D2381" s="14" t="s">
        <v>204</v>
      </c>
      <c r="E2381" s="14" t="s">
        <v>161</v>
      </c>
      <c r="F2381" s="14" t="s">
        <v>199</v>
      </c>
      <c r="G2381" s="14" t="n">
        <v>3</v>
      </c>
      <c r="H2381" s="14" t="s">
        <v>158</v>
      </c>
      <c r="I2381" s="14" t="s">
        <v>897</v>
      </c>
      <c r="J2381" s="15" t="n">
        <f aca="false">IF(B2381="SITE LOSS",IF(D2381=C2381,1,0),IF(B2381="REGION LOSS",IF(E2381=C2381,1,0),0))</f>
        <v>0</v>
      </c>
      <c r="K2381" s="15" t="n">
        <f aca="false">IF(B2381="SITE LOSS",IF(COUNTIFS('Site Dockets'!$B$7:$B$24,C2381,'Site Dockets'!$C$7:$C$24,F2381)&gt;0,1,0),IF(B2381="REGION LOSS",IF(COUNTIFS('Site Dockets'!$E$7:$E$24,C2381,'Site Dockets'!$C$7:$C$24,F2381)&gt;0,1,0),0))</f>
        <v>0</v>
      </c>
      <c r="L2381" s="15" t="n">
        <f aca="false">IF(J2381=1,0,Inputs!$B$11)</f>
        <v>100</v>
      </c>
      <c r="M2381" s="15" t="n">
        <f aca="false">IF(J2381=1,0,Inputs!$B$12)</f>
        <v>75</v>
      </c>
      <c r="N2381" s="15" t="n">
        <f aca="false">IF(J2381=1,0,IF(OR(AND(OR(B2381="SITE LOSS",B2381="REGION LOSS"),K2381=1),AND(B2381="ROLE COMPROMISE",H2381=C2381)),Inputs!$B$13,Inputs!$B$14))</f>
        <v>10</v>
      </c>
      <c r="O2381" s="15" t="n">
        <f aca="false">IF(J2381=1,0,Inputs!$B$13)</f>
        <v>20</v>
      </c>
      <c r="P2381" s="15" t="n">
        <f aca="false">SUM(M2381:N2381)</f>
        <v>85</v>
      </c>
      <c r="Q2381" s="15" t="n">
        <f aca="false">IF(J2381=1,"",L2381-P2381)</f>
        <v>15</v>
      </c>
      <c r="R2381" s="15" t="n">
        <f aca="false">IF(OR(J2381=1,M2381&lt;=Inputs!$B$12),1,0)</f>
        <v>1</v>
      </c>
      <c r="S2381" s="15" t="n">
        <f aca="false">IF(OR(J2381=1,N2381&lt;=O2381),1,0)</f>
        <v>1</v>
      </c>
      <c r="T2381" s="15" t="str">
        <f aca="false">IF(J2381=1,"OFFLINE",IF(AND(Q2381&gt;=Inputs!$B$15,R2381=1,S2381=1,P2381&lt;=L2381),"PASS","FAIL"))</f>
        <v>PASS</v>
      </c>
    </row>
    <row r="2382" customFormat="false" ht="15" hidden="false" customHeight="false" outlineLevel="0" collapsed="false">
      <c r="A2382" s="14" t="s">
        <v>1041</v>
      </c>
      <c r="B2382" s="14" t="s">
        <v>1038</v>
      </c>
      <c r="C2382" s="14" t="s">
        <v>169</v>
      </c>
      <c r="D2382" s="14" t="s">
        <v>204</v>
      </c>
      <c r="E2382" s="14" t="s">
        <v>161</v>
      </c>
      <c r="F2382" s="14" t="s">
        <v>199</v>
      </c>
      <c r="G2382" s="14" t="n">
        <v>3</v>
      </c>
      <c r="H2382" s="14" t="s">
        <v>158</v>
      </c>
      <c r="I2382" s="14" t="s">
        <v>899</v>
      </c>
      <c r="J2382" s="15" t="n">
        <f aca="false">IF(B2382="SITE LOSS",IF(D2382=C2382,1,0),IF(B2382="REGION LOSS",IF(E2382=C2382,1,0),0))</f>
        <v>0</v>
      </c>
      <c r="K2382" s="15" t="n">
        <f aca="false">IF(B2382="SITE LOSS",IF(COUNTIFS('Site Dockets'!$B$7:$B$24,C2382,'Site Dockets'!$C$7:$C$24,F2382)&gt;0,1,0),IF(B2382="REGION LOSS",IF(COUNTIFS('Site Dockets'!$E$7:$E$24,C2382,'Site Dockets'!$C$7:$C$24,F2382)&gt;0,1,0),0))</f>
        <v>0</v>
      </c>
      <c r="L2382" s="15" t="n">
        <f aca="false">IF(J2382=1,0,Inputs!$B$11)</f>
        <v>100</v>
      </c>
      <c r="M2382" s="15" t="n">
        <f aca="false">IF(J2382=1,0,Inputs!$B$12)</f>
        <v>75</v>
      </c>
      <c r="N2382" s="15" t="n">
        <f aca="false">IF(J2382=1,0,IF(OR(AND(OR(B2382="SITE LOSS",B2382="REGION LOSS"),K2382=1),AND(B2382="ROLE COMPROMISE",H2382=C2382)),Inputs!$B$13,Inputs!$B$14))</f>
        <v>10</v>
      </c>
      <c r="O2382" s="15" t="n">
        <f aca="false">IF(J2382=1,0,Inputs!$B$13)</f>
        <v>20</v>
      </c>
      <c r="P2382" s="15" t="n">
        <f aca="false">SUM(M2382:N2382)</f>
        <v>85</v>
      </c>
      <c r="Q2382" s="15" t="n">
        <f aca="false">IF(J2382=1,"",L2382-P2382)</f>
        <v>15</v>
      </c>
      <c r="R2382" s="15" t="n">
        <f aca="false">IF(OR(J2382=1,M2382&lt;=Inputs!$B$12),1,0)</f>
        <v>1</v>
      </c>
      <c r="S2382" s="15" t="n">
        <f aca="false">IF(OR(J2382=1,N2382&lt;=O2382),1,0)</f>
        <v>1</v>
      </c>
      <c r="T2382" s="15" t="str">
        <f aca="false">IF(J2382=1,"OFFLINE",IF(AND(Q2382&gt;=Inputs!$B$15,R2382=1,S2382=1,P2382&lt;=L2382),"PASS","FAIL"))</f>
        <v>PASS</v>
      </c>
    </row>
    <row r="2383" customFormat="false" ht="15" hidden="false" customHeight="false" outlineLevel="0" collapsed="false">
      <c r="A2383" s="14" t="s">
        <v>1042</v>
      </c>
      <c r="B2383" s="14" t="s">
        <v>1038</v>
      </c>
      <c r="C2383" s="14" t="s">
        <v>161</v>
      </c>
      <c r="D2383" s="14" t="s">
        <v>149</v>
      </c>
      <c r="E2383" s="14" t="s">
        <v>152</v>
      </c>
      <c r="F2383" s="14" t="s">
        <v>150</v>
      </c>
      <c r="G2383" s="14" t="n">
        <v>1</v>
      </c>
      <c r="H2383" s="14" t="s">
        <v>154</v>
      </c>
      <c r="I2383" s="14" t="s">
        <v>890</v>
      </c>
      <c r="J2383" s="15" t="n">
        <f aca="false">IF(B2383="SITE LOSS",IF(D2383=C2383,1,0),IF(B2383="REGION LOSS",IF(E2383=C2383,1,0),0))</f>
        <v>0</v>
      </c>
      <c r="K2383" s="15" t="n">
        <f aca="false">IF(B2383="SITE LOSS",IF(COUNTIFS('Site Dockets'!$B$7:$B$24,C2383,'Site Dockets'!$C$7:$C$24,F2383)&gt;0,1,0),IF(B2383="REGION LOSS",IF(COUNTIFS('Site Dockets'!$E$7:$E$24,C2383,'Site Dockets'!$C$7:$C$24,F2383)&gt;0,1,0),0))</f>
        <v>1</v>
      </c>
      <c r="L2383" s="15" t="n">
        <f aca="false">IF(J2383=1,0,Inputs!$B$11)</f>
        <v>100</v>
      </c>
      <c r="M2383" s="15" t="n">
        <f aca="false">IF(J2383=1,0,Inputs!$B$12)</f>
        <v>75</v>
      </c>
      <c r="N2383" s="15" t="n">
        <f aca="false">IF(J2383=1,0,IF(OR(AND(OR(B2383="SITE LOSS",B2383="REGION LOSS"),K2383=1),AND(B2383="ROLE COMPROMISE",H2383=C2383)),Inputs!$B$13,Inputs!$B$14))</f>
        <v>20</v>
      </c>
      <c r="O2383" s="15" t="n">
        <f aca="false">IF(J2383=1,0,Inputs!$B$13)</f>
        <v>20</v>
      </c>
      <c r="P2383" s="15" t="n">
        <f aca="false">SUM(M2383:N2383)</f>
        <v>95</v>
      </c>
      <c r="Q2383" s="15" t="n">
        <f aca="false">IF(J2383=1,"",L2383-P2383)</f>
        <v>5</v>
      </c>
      <c r="R2383" s="15" t="n">
        <f aca="false">IF(OR(J2383=1,M2383&lt;=Inputs!$B$12),1,0)</f>
        <v>1</v>
      </c>
      <c r="S2383" s="15" t="n">
        <f aca="false">IF(OR(J2383=1,N2383&lt;=O2383),1,0)</f>
        <v>1</v>
      </c>
      <c r="T2383" s="15" t="str">
        <f aca="false">IF(J2383=1,"OFFLINE",IF(AND(Q2383&gt;=Inputs!$B$15,R2383=1,S2383=1,P2383&lt;=L2383),"PASS","FAIL"))</f>
        <v>PASS</v>
      </c>
    </row>
    <row r="2384" customFormat="false" ht="15" hidden="false" customHeight="false" outlineLevel="0" collapsed="false">
      <c r="A2384" s="14" t="s">
        <v>1042</v>
      </c>
      <c r="B2384" s="14" t="s">
        <v>1038</v>
      </c>
      <c r="C2384" s="14" t="s">
        <v>161</v>
      </c>
      <c r="D2384" s="14" t="s">
        <v>149</v>
      </c>
      <c r="E2384" s="14" t="s">
        <v>152</v>
      </c>
      <c r="F2384" s="14" t="s">
        <v>150</v>
      </c>
      <c r="G2384" s="14" t="n">
        <v>1</v>
      </c>
      <c r="H2384" s="14" t="s">
        <v>154</v>
      </c>
      <c r="I2384" s="14" t="s">
        <v>892</v>
      </c>
      <c r="J2384" s="15" t="n">
        <f aca="false">IF(B2384="SITE LOSS",IF(D2384=C2384,1,0),IF(B2384="REGION LOSS",IF(E2384=C2384,1,0),0))</f>
        <v>0</v>
      </c>
      <c r="K2384" s="15" t="n">
        <f aca="false">IF(B2384="SITE LOSS",IF(COUNTIFS('Site Dockets'!$B$7:$B$24,C2384,'Site Dockets'!$C$7:$C$24,F2384)&gt;0,1,0),IF(B2384="REGION LOSS",IF(COUNTIFS('Site Dockets'!$E$7:$E$24,C2384,'Site Dockets'!$C$7:$C$24,F2384)&gt;0,1,0),0))</f>
        <v>1</v>
      </c>
      <c r="L2384" s="15" t="n">
        <f aca="false">IF(J2384=1,0,Inputs!$B$11)</f>
        <v>100</v>
      </c>
      <c r="M2384" s="15" t="n">
        <f aca="false">IF(J2384=1,0,Inputs!$B$12)</f>
        <v>75</v>
      </c>
      <c r="N2384" s="15" t="n">
        <f aca="false">IF(J2384=1,0,IF(OR(AND(OR(B2384="SITE LOSS",B2384="REGION LOSS"),K2384=1),AND(B2384="ROLE COMPROMISE",H2384=C2384)),Inputs!$B$13,Inputs!$B$14))</f>
        <v>20</v>
      </c>
      <c r="O2384" s="15" t="n">
        <f aca="false">IF(J2384=1,0,Inputs!$B$13)</f>
        <v>20</v>
      </c>
      <c r="P2384" s="15" t="n">
        <f aca="false">SUM(M2384:N2384)</f>
        <v>95</v>
      </c>
      <c r="Q2384" s="15" t="n">
        <f aca="false">IF(J2384=1,"",L2384-P2384)</f>
        <v>5</v>
      </c>
      <c r="R2384" s="15" t="n">
        <f aca="false">IF(OR(J2384=1,M2384&lt;=Inputs!$B$12),1,0)</f>
        <v>1</v>
      </c>
      <c r="S2384" s="15" t="n">
        <f aca="false">IF(OR(J2384=1,N2384&lt;=O2384),1,0)</f>
        <v>1</v>
      </c>
      <c r="T2384" s="15" t="str">
        <f aca="false">IF(J2384=1,"OFFLINE",IF(AND(Q2384&gt;=Inputs!$B$15,R2384=1,S2384=1,P2384&lt;=L2384),"PASS","FAIL"))</f>
        <v>PASS</v>
      </c>
    </row>
    <row r="2385" customFormat="false" ht="15" hidden="false" customHeight="false" outlineLevel="0" collapsed="false">
      <c r="A2385" s="14" t="s">
        <v>1042</v>
      </c>
      <c r="B2385" s="14" t="s">
        <v>1038</v>
      </c>
      <c r="C2385" s="14" t="s">
        <v>161</v>
      </c>
      <c r="D2385" s="14" t="s">
        <v>149</v>
      </c>
      <c r="E2385" s="14" t="s">
        <v>152</v>
      </c>
      <c r="F2385" s="14" t="s">
        <v>150</v>
      </c>
      <c r="G2385" s="14" t="n">
        <v>1</v>
      </c>
      <c r="H2385" s="14" t="s">
        <v>154</v>
      </c>
      <c r="I2385" s="14" t="s">
        <v>811</v>
      </c>
      <c r="J2385" s="15" t="n">
        <f aca="false">IF(B2385="SITE LOSS",IF(D2385=C2385,1,0),IF(B2385="REGION LOSS",IF(E2385=C2385,1,0),0))</f>
        <v>0</v>
      </c>
      <c r="K2385" s="15" t="n">
        <f aca="false">IF(B2385="SITE LOSS",IF(COUNTIFS('Site Dockets'!$B$7:$B$24,C2385,'Site Dockets'!$C$7:$C$24,F2385)&gt;0,1,0),IF(B2385="REGION LOSS",IF(COUNTIFS('Site Dockets'!$E$7:$E$24,C2385,'Site Dockets'!$C$7:$C$24,F2385)&gt;0,1,0),0))</f>
        <v>1</v>
      </c>
      <c r="L2385" s="15" t="n">
        <f aca="false">IF(J2385=1,0,Inputs!$B$11)</f>
        <v>100</v>
      </c>
      <c r="M2385" s="15" t="n">
        <f aca="false">IF(J2385=1,0,Inputs!$B$12)</f>
        <v>75</v>
      </c>
      <c r="N2385" s="15" t="n">
        <f aca="false">IF(J2385=1,0,IF(OR(AND(OR(B2385="SITE LOSS",B2385="REGION LOSS"),K2385=1),AND(B2385="ROLE COMPROMISE",H2385=C2385)),Inputs!$B$13,Inputs!$B$14))</f>
        <v>20</v>
      </c>
      <c r="O2385" s="15" t="n">
        <f aca="false">IF(J2385=1,0,Inputs!$B$13)</f>
        <v>20</v>
      </c>
      <c r="P2385" s="15" t="n">
        <f aca="false">SUM(M2385:N2385)</f>
        <v>95</v>
      </c>
      <c r="Q2385" s="15" t="n">
        <f aca="false">IF(J2385=1,"",L2385-P2385)</f>
        <v>5</v>
      </c>
      <c r="R2385" s="15" t="n">
        <f aca="false">IF(OR(J2385=1,M2385&lt;=Inputs!$B$12),1,0)</f>
        <v>1</v>
      </c>
      <c r="S2385" s="15" t="n">
        <f aca="false">IF(OR(J2385=1,N2385&lt;=O2385),1,0)</f>
        <v>1</v>
      </c>
      <c r="T2385" s="15" t="str">
        <f aca="false">IF(J2385=1,"OFFLINE",IF(AND(Q2385&gt;=Inputs!$B$15,R2385=1,S2385=1,P2385&lt;=L2385),"PASS","FAIL"))</f>
        <v>PASS</v>
      </c>
    </row>
    <row r="2386" customFormat="false" ht="15" hidden="false" customHeight="false" outlineLevel="0" collapsed="false">
      <c r="A2386" s="14" t="s">
        <v>1042</v>
      </c>
      <c r="B2386" s="14" t="s">
        <v>1038</v>
      </c>
      <c r="C2386" s="14" t="s">
        <v>161</v>
      </c>
      <c r="D2386" s="14" t="s">
        <v>149</v>
      </c>
      <c r="E2386" s="14" t="s">
        <v>152</v>
      </c>
      <c r="F2386" s="14" t="s">
        <v>150</v>
      </c>
      <c r="G2386" s="14" t="n">
        <v>1</v>
      </c>
      <c r="H2386" s="14" t="s">
        <v>154</v>
      </c>
      <c r="I2386" s="14" t="s">
        <v>895</v>
      </c>
      <c r="J2386" s="15" t="n">
        <f aca="false">IF(B2386="SITE LOSS",IF(D2386=C2386,1,0),IF(B2386="REGION LOSS",IF(E2386=C2386,1,0),0))</f>
        <v>0</v>
      </c>
      <c r="K2386" s="15" t="n">
        <f aca="false">IF(B2386="SITE LOSS",IF(COUNTIFS('Site Dockets'!$B$7:$B$24,C2386,'Site Dockets'!$C$7:$C$24,F2386)&gt;0,1,0),IF(B2386="REGION LOSS",IF(COUNTIFS('Site Dockets'!$E$7:$E$24,C2386,'Site Dockets'!$C$7:$C$24,F2386)&gt;0,1,0),0))</f>
        <v>1</v>
      </c>
      <c r="L2386" s="15" t="n">
        <f aca="false">IF(J2386=1,0,Inputs!$B$11)</f>
        <v>100</v>
      </c>
      <c r="M2386" s="15" t="n">
        <f aca="false">IF(J2386=1,0,Inputs!$B$12)</f>
        <v>75</v>
      </c>
      <c r="N2386" s="15" t="n">
        <f aca="false">IF(J2386=1,0,IF(OR(AND(OR(B2386="SITE LOSS",B2386="REGION LOSS"),K2386=1),AND(B2386="ROLE COMPROMISE",H2386=C2386)),Inputs!$B$13,Inputs!$B$14))</f>
        <v>20</v>
      </c>
      <c r="O2386" s="15" t="n">
        <f aca="false">IF(J2386=1,0,Inputs!$B$13)</f>
        <v>20</v>
      </c>
      <c r="P2386" s="15" t="n">
        <f aca="false">SUM(M2386:N2386)</f>
        <v>95</v>
      </c>
      <c r="Q2386" s="15" t="n">
        <f aca="false">IF(J2386=1,"",L2386-P2386)</f>
        <v>5</v>
      </c>
      <c r="R2386" s="15" t="n">
        <f aca="false">IF(OR(J2386=1,M2386&lt;=Inputs!$B$12),1,0)</f>
        <v>1</v>
      </c>
      <c r="S2386" s="15" t="n">
        <f aca="false">IF(OR(J2386=1,N2386&lt;=O2386),1,0)</f>
        <v>1</v>
      </c>
      <c r="T2386" s="15" t="str">
        <f aca="false">IF(J2386=1,"OFFLINE",IF(AND(Q2386&gt;=Inputs!$B$15,R2386=1,S2386=1,P2386&lt;=L2386),"PASS","FAIL"))</f>
        <v>PASS</v>
      </c>
    </row>
    <row r="2387" customFormat="false" ht="15" hidden="false" customHeight="false" outlineLevel="0" collapsed="false">
      <c r="A2387" s="14" t="s">
        <v>1042</v>
      </c>
      <c r="B2387" s="14" t="s">
        <v>1038</v>
      </c>
      <c r="C2387" s="14" t="s">
        <v>161</v>
      </c>
      <c r="D2387" s="14" t="s">
        <v>149</v>
      </c>
      <c r="E2387" s="14" t="s">
        <v>152</v>
      </c>
      <c r="F2387" s="14" t="s">
        <v>150</v>
      </c>
      <c r="G2387" s="14" t="n">
        <v>1</v>
      </c>
      <c r="H2387" s="14" t="s">
        <v>154</v>
      </c>
      <c r="I2387" s="14" t="s">
        <v>897</v>
      </c>
      <c r="J2387" s="15" t="n">
        <f aca="false">IF(B2387="SITE LOSS",IF(D2387=C2387,1,0),IF(B2387="REGION LOSS",IF(E2387=C2387,1,0),0))</f>
        <v>0</v>
      </c>
      <c r="K2387" s="15" t="n">
        <f aca="false">IF(B2387="SITE LOSS",IF(COUNTIFS('Site Dockets'!$B$7:$B$24,C2387,'Site Dockets'!$C$7:$C$24,F2387)&gt;0,1,0),IF(B2387="REGION LOSS",IF(COUNTIFS('Site Dockets'!$E$7:$E$24,C2387,'Site Dockets'!$C$7:$C$24,F2387)&gt;0,1,0),0))</f>
        <v>1</v>
      </c>
      <c r="L2387" s="15" t="n">
        <f aca="false">IF(J2387=1,0,Inputs!$B$11)</f>
        <v>100</v>
      </c>
      <c r="M2387" s="15" t="n">
        <f aca="false">IF(J2387=1,0,Inputs!$B$12)</f>
        <v>75</v>
      </c>
      <c r="N2387" s="15" t="n">
        <f aca="false">IF(J2387=1,0,IF(OR(AND(OR(B2387="SITE LOSS",B2387="REGION LOSS"),K2387=1),AND(B2387="ROLE COMPROMISE",H2387=C2387)),Inputs!$B$13,Inputs!$B$14))</f>
        <v>20</v>
      </c>
      <c r="O2387" s="15" t="n">
        <f aca="false">IF(J2387=1,0,Inputs!$B$13)</f>
        <v>20</v>
      </c>
      <c r="P2387" s="15" t="n">
        <f aca="false">SUM(M2387:N2387)</f>
        <v>95</v>
      </c>
      <c r="Q2387" s="15" t="n">
        <f aca="false">IF(J2387=1,"",L2387-P2387)</f>
        <v>5</v>
      </c>
      <c r="R2387" s="15" t="n">
        <f aca="false">IF(OR(J2387=1,M2387&lt;=Inputs!$B$12),1,0)</f>
        <v>1</v>
      </c>
      <c r="S2387" s="15" t="n">
        <f aca="false">IF(OR(J2387=1,N2387&lt;=O2387),1,0)</f>
        <v>1</v>
      </c>
      <c r="T2387" s="15" t="str">
        <f aca="false">IF(J2387=1,"OFFLINE",IF(AND(Q2387&gt;=Inputs!$B$15,R2387=1,S2387=1,P2387&lt;=L2387),"PASS","FAIL"))</f>
        <v>PASS</v>
      </c>
    </row>
    <row r="2388" customFormat="false" ht="15" hidden="false" customHeight="false" outlineLevel="0" collapsed="false">
      <c r="A2388" s="14" t="s">
        <v>1042</v>
      </c>
      <c r="B2388" s="14" t="s">
        <v>1038</v>
      </c>
      <c r="C2388" s="14" t="s">
        <v>161</v>
      </c>
      <c r="D2388" s="14" t="s">
        <v>149</v>
      </c>
      <c r="E2388" s="14" t="s">
        <v>152</v>
      </c>
      <c r="F2388" s="14" t="s">
        <v>150</v>
      </c>
      <c r="G2388" s="14" t="n">
        <v>1</v>
      </c>
      <c r="H2388" s="14" t="s">
        <v>154</v>
      </c>
      <c r="I2388" s="14" t="s">
        <v>899</v>
      </c>
      <c r="J2388" s="15" t="n">
        <f aca="false">IF(B2388="SITE LOSS",IF(D2388=C2388,1,0),IF(B2388="REGION LOSS",IF(E2388=C2388,1,0),0))</f>
        <v>0</v>
      </c>
      <c r="K2388" s="15" t="n">
        <f aca="false">IF(B2388="SITE LOSS",IF(COUNTIFS('Site Dockets'!$B$7:$B$24,C2388,'Site Dockets'!$C$7:$C$24,F2388)&gt;0,1,0),IF(B2388="REGION LOSS",IF(COUNTIFS('Site Dockets'!$E$7:$E$24,C2388,'Site Dockets'!$C$7:$C$24,F2388)&gt;0,1,0),0))</f>
        <v>1</v>
      </c>
      <c r="L2388" s="15" t="n">
        <f aca="false">IF(J2388=1,0,Inputs!$B$11)</f>
        <v>100</v>
      </c>
      <c r="M2388" s="15" t="n">
        <f aca="false">IF(J2388=1,0,Inputs!$B$12)</f>
        <v>75</v>
      </c>
      <c r="N2388" s="15" t="n">
        <f aca="false">IF(J2388=1,0,IF(OR(AND(OR(B2388="SITE LOSS",B2388="REGION LOSS"),K2388=1),AND(B2388="ROLE COMPROMISE",H2388=C2388)),Inputs!$B$13,Inputs!$B$14))</f>
        <v>20</v>
      </c>
      <c r="O2388" s="15" t="n">
        <f aca="false">IF(J2388=1,0,Inputs!$B$13)</f>
        <v>20</v>
      </c>
      <c r="P2388" s="15" t="n">
        <f aca="false">SUM(M2388:N2388)</f>
        <v>95</v>
      </c>
      <c r="Q2388" s="15" t="n">
        <f aca="false">IF(J2388=1,"",L2388-P2388)</f>
        <v>5</v>
      </c>
      <c r="R2388" s="15" t="n">
        <f aca="false">IF(OR(J2388=1,M2388&lt;=Inputs!$B$12),1,0)</f>
        <v>1</v>
      </c>
      <c r="S2388" s="15" t="n">
        <f aca="false">IF(OR(J2388=1,N2388&lt;=O2388),1,0)</f>
        <v>1</v>
      </c>
      <c r="T2388" s="15" t="str">
        <f aca="false">IF(J2388=1,"OFFLINE",IF(AND(Q2388&gt;=Inputs!$B$15,R2388=1,S2388=1,P2388&lt;=L2388),"PASS","FAIL"))</f>
        <v>PASS</v>
      </c>
    </row>
    <row r="2389" customFormat="false" ht="15" hidden="false" customHeight="false" outlineLevel="0" collapsed="false">
      <c r="A2389" s="14" t="s">
        <v>1042</v>
      </c>
      <c r="B2389" s="14" t="s">
        <v>1038</v>
      </c>
      <c r="C2389" s="14" t="s">
        <v>161</v>
      </c>
      <c r="D2389" s="14" t="s">
        <v>156</v>
      </c>
      <c r="E2389" s="14" t="s">
        <v>157</v>
      </c>
      <c r="F2389" s="14" t="s">
        <v>150</v>
      </c>
      <c r="G2389" s="14" t="n">
        <v>2</v>
      </c>
      <c r="H2389" s="14" t="s">
        <v>153</v>
      </c>
      <c r="I2389" s="14" t="s">
        <v>890</v>
      </c>
      <c r="J2389" s="15" t="n">
        <f aca="false">IF(B2389="SITE LOSS",IF(D2389=C2389,1,0),IF(B2389="REGION LOSS",IF(E2389=C2389,1,0),0))</f>
        <v>0</v>
      </c>
      <c r="K2389" s="15" t="n">
        <f aca="false">IF(B2389="SITE LOSS",IF(COUNTIFS('Site Dockets'!$B$7:$B$24,C2389,'Site Dockets'!$C$7:$C$24,F2389)&gt;0,1,0),IF(B2389="REGION LOSS",IF(COUNTIFS('Site Dockets'!$E$7:$E$24,C2389,'Site Dockets'!$C$7:$C$24,F2389)&gt;0,1,0),0))</f>
        <v>1</v>
      </c>
      <c r="L2389" s="15" t="n">
        <f aca="false">IF(J2389=1,0,Inputs!$B$11)</f>
        <v>100</v>
      </c>
      <c r="M2389" s="15" t="n">
        <f aca="false">IF(J2389=1,0,Inputs!$B$12)</f>
        <v>75</v>
      </c>
      <c r="N2389" s="15" t="n">
        <f aca="false">IF(J2389=1,0,IF(OR(AND(OR(B2389="SITE LOSS",B2389="REGION LOSS"),K2389=1),AND(B2389="ROLE COMPROMISE",H2389=C2389)),Inputs!$B$13,Inputs!$B$14))</f>
        <v>20</v>
      </c>
      <c r="O2389" s="15" t="n">
        <f aca="false">IF(J2389=1,0,Inputs!$B$13)</f>
        <v>20</v>
      </c>
      <c r="P2389" s="15" t="n">
        <f aca="false">SUM(M2389:N2389)</f>
        <v>95</v>
      </c>
      <c r="Q2389" s="15" t="n">
        <f aca="false">IF(J2389=1,"",L2389-P2389)</f>
        <v>5</v>
      </c>
      <c r="R2389" s="15" t="n">
        <f aca="false">IF(OR(J2389=1,M2389&lt;=Inputs!$B$12),1,0)</f>
        <v>1</v>
      </c>
      <c r="S2389" s="15" t="n">
        <f aca="false">IF(OR(J2389=1,N2389&lt;=O2389),1,0)</f>
        <v>1</v>
      </c>
      <c r="T2389" s="15" t="str">
        <f aca="false">IF(J2389=1,"OFFLINE",IF(AND(Q2389&gt;=Inputs!$B$15,R2389=1,S2389=1,P2389&lt;=L2389),"PASS","FAIL"))</f>
        <v>PASS</v>
      </c>
    </row>
    <row r="2390" customFormat="false" ht="15" hidden="false" customHeight="false" outlineLevel="0" collapsed="false">
      <c r="A2390" s="14" t="s">
        <v>1042</v>
      </c>
      <c r="B2390" s="14" t="s">
        <v>1038</v>
      </c>
      <c r="C2390" s="14" t="s">
        <v>161</v>
      </c>
      <c r="D2390" s="14" t="s">
        <v>156</v>
      </c>
      <c r="E2390" s="14" t="s">
        <v>157</v>
      </c>
      <c r="F2390" s="14" t="s">
        <v>150</v>
      </c>
      <c r="G2390" s="14" t="n">
        <v>2</v>
      </c>
      <c r="H2390" s="14" t="s">
        <v>153</v>
      </c>
      <c r="I2390" s="14" t="s">
        <v>892</v>
      </c>
      <c r="J2390" s="15" t="n">
        <f aca="false">IF(B2390="SITE LOSS",IF(D2390=C2390,1,0),IF(B2390="REGION LOSS",IF(E2390=C2390,1,0),0))</f>
        <v>0</v>
      </c>
      <c r="K2390" s="15" t="n">
        <f aca="false">IF(B2390="SITE LOSS",IF(COUNTIFS('Site Dockets'!$B$7:$B$24,C2390,'Site Dockets'!$C$7:$C$24,F2390)&gt;0,1,0),IF(B2390="REGION LOSS",IF(COUNTIFS('Site Dockets'!$E$7:$E$24,C2390,'Site Dockets'!$C$7:$C$24,F2390)&gt;0,1,0),0))</f>
        <v>1</v>
      </c>
      <c r="L2390" s="15" t="n">
        <f aca="false">IF(J2390=1,0,Inputs!$B$11)</f>
        <v>100</v>
      </c>
      <c r="M2390" s="15" t="n">
        <f aca="false">IF(J2390=1,0,Inputs!$B$12)</f>
        <v>75</v>
      </c>
      <c r="N2390" s="15" t="n">
        <f aca="false">IF(J2390=1,0,IF(OR(AND(OR(B2390="SITE LOSS",B2390="REGION LOSS"),K2390=1),AND(B2390="ROLE COMPROMISE",H2390=C2390)),Inputs!$B$13,Inputs!$B$14))</f>
        <v>20</v>
      </c>
      <c r="O2390" s="15" t="n">
        <f aca="false">IF(J2390=1,0,Inputs!$B$13)</f>
        <v>20</v>
      </c>
      <c r="P2390" s="15" t="n">
        <f aca="false">SUM(M2390:N2390)</f>
        <v>95</v>
      </c>
      <c r="Q2390" s="15" t="n">
        <f aca="false">IF(J2390=1,"",L2390-P2390)</f>
        <v>5</v>
      </c>
      <c r="R2390" s="15" t="n">
        <f aca="false">IF(OR(J2390=1,M2390&lt;=Inputs!$B$12),1,0)</f>
        <v>1</v>
      </c>
      <c r="S2390" s="15" t="n">
        <f aca="false">IF(OR(J2390=1,N2390&lt;=O2390),1,0)</f>
        <v>1</v>
      </c>
      <c r="T2390" s="15" t="str">
        <f aca="false">IF(J2390=1,"OFFLINE",IF(AND(Q2390&gt;=Inputs!$B$15,R2390=1,S2390=1,P2390&lt;=L2390),"PASS","FAIL"))</f>
        <v>PASS</v>
      </c>
    </row>
    <row r="2391" customFormat="false" ht="15" hidden="false" customHeight="false" outlineLevel="0" collapsed="false">
      <c r="A2391" s="14" t="s">
        <v>1042</v>
      </c>
      <c r="B2391" s="14" t="s">
        <v>1038</v>
      </c>
      <c r="C2391" s="14" t="s">
        <v>161</v>
      </c>
      <c r="D2391" s="14" t="s">
        <v>156</v>
      </c>
      <c r="E2391" s="14" t="s">
        <v>157</v>
      </c>
      <c r="F2391" s="14" t="s">
        <v>150</v>
      </c>
      <c r="G2391" s="14" t="n">
        <v>2</v>
      </c>
      <c r="H2391" s="14" t="s">
        <v>153</v>
      </c>
      <c r="I2391" s="14" t="s">
        <v>811</v>
      </c>
      <c r="J2391" s="15" t="n">
        <f aca="false">IF(B2391="SITE LOSS",IF(D2391=C2391,1,0),IF(B2391="REGION LOSS",IF(E2391=C2391,1,0),0))</f>
        <v>0</v>
      </c>
      <c r="K2391" s="15" t="n">
        <f aca="false">IF(B2391="SITE LOSS",IF(COUNTIFS('Site Dockets'!$B$7:$B$24,C2391,'Site Dockets'!$C$7:$C$24,F2391)&gt;0,1,0),IF(B2391="REGION LOSS",IF(COUNTIFS('Site Dockets'!$E$7:$E$24,C2391,'Site Dockets'!$C$7:$C$24,F2391)&gt;0,1,0),0))</f>
        <v>1</v>
      </c>
      <c r="L2391" s="15" t="n">
        <f aca="false">IF(J2391=1,0,Inputs!$B$11)</f>
        <v>100</v>
      </c>
      <c r="M2391" s="15" t="n">
        <f aca="false">IF(J2391=1,0,Inputs!$B$12)</f>
        <v>75</v>
      </c>
      <c r="N2391" s="15" t="n">
        <f aca="false">IF(J2391=1,0,IF(OR(AND(OR(B2391="SITE LOSS",B2391="REGION LOSS"),K2391=1),AND(B2391="ROLE COMPROMISE",H2391=C2391)),Inputs!$B$13,Inputs!$B$14))</f>
        <v>20</v>
      </c>
      <c r="O2391" s="15" t="n">
        <f aca="false">IF(J2391=1,0,Inputs!$B$13)</f>
        <v>20</v>
      </c>
      <c r="P2391" s="15" t="n">
        <f aca="false">SUM(M2391:N2391)</f>
        <v>95</v>
      </c>
      <c r="Q2391" s="15" t="n">
        <f aca="false">IF(J2391=1,"",L2391-P2391)</f>
        <v>5</v>
      </c>
      <c r="R2391" s="15" t="n">
        <f aca="false">IF(OR(J2391=1,M2391&lt;=Inputs!$B$12),1,0)</f>
        <v>1</v>
      </c>
      <c r="S2391" s="15" t="n">
        <f aca="false">IF(OR(J2391=1,N2391&lt;=O2391),1,0)</f>
        <v>1</v>
      </c>
      <c r="T2391" s="15" t="str">
        <f aca="false">IF(J2391=1,"OFFLINE",IF(AND(Q2391&gt;=Inputs!$B$15,R2391=1,S2391=1,P2391&lt;=L2391),"PASS","FAIL"))</f>
        <v>PASS</v>
      </c>
    </row>
    <row r="2392" customFormat="false" ht="15" hidden="false" customHeight="false" outlineLevel="0" collapsed="false">
      <c r="A2392" s="14" t="s">
        <v>1042</v>
      </c>
      <c r="B2392" s="14" t="s">
        <v>1038</v>
      </c>
      <c r="C2392" s="14" t="s">
        <v>161</v>
      </c>
      <c r="D2392" s="14" t="s">
        <v>156</v>
      </c>
      <c r="E2392" s="14" t="s">
        <v>157</v>
      </c>
      <c r="F2392" s="14" t="s">
        <v>150</v>
      </c>
      <c r="G2392" s="14" t="n">
        <v>2</v>
      </c>
      <c r="H2392" s="14" t="s">
        <v>153</v>
      </c>
      <c r="I2392" s="14" t="s">
        <v>895</v>
      </c>
      <c r="J2392" s="15" t="n">
        <f aca="false">IF(B2392="SITE LOSS",IF(D2392=C2392,1,0),IF(B2392="REGION LOSS",IF(E2392=C2392,1,0),0))</f>
        <v>0</v>
      </c>
      <c r="K2392" s="15" t="n">
        <f aca="false">IF(B2392="SITE LOSS",IF(COUNTIFS('Site Dockets'!$B$7:$B$24,C2392,'Site Dockets'!$C$7:$C$24,F2392)&gt;0,1,0),IF(B2392="REGION LOSS",IF(COUNTIFS('Site Dockets'!$E$7:$E$24,C2392,'Site Dockets'!$C$7:$C$24,F2392)&gt;0,1,0),0))</f>
        <v>1</v>
      </c>
      <c r="L2392" s="15" t="n">
        <f aca="false">IF(J2392=1,0,Inputs!$B$11)</f>
        <v>100</v>
      </c>
      <c r="M2392" s="15" t="n">
        <f aca="false">IF(J2392=1,0,Inputs!$B$12)</f>
        <v>75</v>
      </c>
      <c r="N2392" s="15" t="n">
        <f aca="false">IF(J2392=1,0,IF(OR(AND(OR(B2392="SITE LOSS",B2392="REGION LOSS"),K2392=1),AND(B2392="ROLE COMPROMISE",H2392=C2392)),Inputs!$B$13,Inputs!$B$14))</f>
        <v>20</v>
      </c>
      <c r="O2392" s="15" t="n">
        <f aca="false">IF(J2392=1,0,Inputs!$B$13)</f>
        <v>20</v>
      </c>
      <c r="P2392" s="15" t="n">
        <f aca="false">SUM(M2392:N2392)</f>
        <v>95</v>
      </c>
      <c r="Q2392" s="15" t="n">
        <f aca="false">IF(J2392=1,"",L2392-P2392)</f>
        <v>5</v>
      </c>
      <c r="R2392" s="15" t="n">
        <f aca="false">IF(OR(J2392=1,M2392&lt;=Inputs!$B$12),1,0)</f>
        <v>1</v>
      </c>
      <c r="S2392" s="15" t="n">
        <f aca="false">IF(OR(J2392=1,N2392&lt;=O2392),1,0)</f>
        <v>1</v>
      </c>
      <c r="T2392" s="15" t="str">
        <f aca="false">IF(J2392=1,"OFFLINE",IF(AND(Q2392&gt;=Inputs!$B$15,R2392=1,S2392=1,P2392&lt;=L2392),"PASS","FAIL"))</f>
        <v>PASS</v>
      </c>
    </row>
    <row r="2393" customFormat="false" ht="15" hidden="false" customHeight="false" outlineLevel="0" collapsed="false">
      <c r="A2393" s="14" t="s">
        <v>1042</v>
      </c>
      <c r="B2393" s="14" t="s">
        <v>1038</v>
      </c>
      <c r="C2393" s="14" t="s">
        <v>161</v>
      </c>
      <c r="D2393" s="14" t="s">
        <v>156</v>
      </c>
      <c r="E2393" s="14" t="s">
        <v>157</v>
      </c>
      <c r="F2393" s="14" t="s">
        <v>150</v>
      </c>
      <c r="G2393" s="14" t="n">
        <v>2</v>
      </c>
      <c r="H2393" s="14" t="s">
        <v>153</v>
      </c>
      <c r="I2393" s="14" t="s">
        <v>897</v>
      </c>
      <c r="J2393" s="15" t="n">
        <f aca="false">IF(B2393="SITE LOSS",IF(D2393=C2393,1,0),IF(B2393="REGION LOSS",IF(E2393=C2393,1,0),0))</f>
        <v>0</v>
      </c>
      <c r="K2393" s="15" t="n">
        <f aca="false">IF(B2393="SITE LOSS",IF(COUNTIFS('Site Dockets'!$B$7:$B$24,C2393,'Site Dockets'!$C$7:$C$24,F2393)&gt;0,1,0),IF(B2393="REGION LOSS",IF(COUNTIFS('Site Dockets'!$E$7:$E$24,C2393,'Site Dockets'!$C$7:$C$24,F2393)&gt;0,1,0),0))</f>
        <v>1</v>
      </c>
      <c r="L2393" s="15" t="n">
        <f aca="false">IF(J2393=1,0,Inputs!$B$11)</f>
        <v>100</v>
      </c>
      <c r="M2393" s="15" t="n">
        <f aca="false">IF(J2393=1,0,Inputs!$B$12)</f>
        <v>75</v>
      </c>
      <c r="N2393" s="15" t="n">
        <f aca="false">IF(J2393=1,0,IF(OR(AND(OR(B2393="SITE LOSS",B2393="REGION LOSS"),K2393=1),AND(B2393="ROLE COMPROMISE",H2393=C2393)),Inputs!$B$13,Inputs!$B$14))</f>
        <v>20</v>
      </c>
      <c r="O2393" s="15" t="n">
        <f aca="false">IF(J2393=1,0,Inputs!$B$13)</f>
        <v>20</v>
      </c>
      <c r="P2393" s="15" t="n">
        <f aca="false">SUM(M2393:N2393)</f>
        <v>95</v>
      </c>
      <c r="Q2393" s="15" t="n">
        <f aca="false">IF(J2393=1,"",L2393-P2393)</f>
        <v>5</v>
      </c>
      <c r="R2393" s="15" t="n">
        <f aca="false">IF(OR(J2393=1,M2393&lt;=Inputs!$B$12),1,0)</f>
        <v>1</v>
      </c>
      <c r="S2393" s="15" t="n">
        <f aca="false">IF(OR(J2393=1,N2393&lt;=O2393),1,0)</f>
        <v>1</v>
      </c>
      <c r="T2393" s="15" t="str">
        <f aca="false">IF(J2393=1,"OFFLINE",IF(AND(Q2393&gt;=Inputs!$B$15,R2393=1,S2393=1,P2393&lt;=L2393),"PASS","FAIL"))</f>
        <v>PASS</v>
      </c>
    </row>
    <row r="2394" customFormat="false" ht="15" hidden="false" customHeight="false" outlineLevel="0" collapsed="false">
      <c r="A2394" s="14" t="s">
        <v>1042</v>
      </c>
      <c r="B2394" s="14" t="s">
        <v>1038</v>
      </c>
      <c r="C2394" s="14" t="s">
        <v>161</v>
      </c>
      <c r="D2394" s="14" t="s">
        <v>156</v>
      </c>
      <c r="E2394" s="14" t="s">
        <v>157</v>
      </c>
      <c r="F2394" s="14" t="s">
        <v>150</v>
      </c>
      <c r="G2394" s="14" t="n">
        <v>2</v>
      </c>
      <c r="H2394" s="14" t="s">
        <v>153</v>
      </c>
      <c r="I2394" s="14" t="s">
        <v>899</v>
      </c>
      <c r="J2394" s="15" t="n">
        <f aca="false">IF(B2394="SITE LOSS",IF(D2394=C2394,1,0),IF(B2394="REGION LOSS",IF(E2394=C2394,1,0),0))</f>
        <v>0</v>
      </c>
      <c r="K2394" s="15" t="n">
        <f aca="false">IF(B2394="SITE LOSS",IF(COUNTIFS('Site Dockets'!$B$7:$B$24,C2394,'Site Dockets'!$C$7:$C$24,F2394)&gt;0,1,0),IF(B2394="REGION LOSS",IF(COUNTIFS('Site Dockets'!$E$7:$E$24,C2394,'Site Dockets'!$C$7:$C$24,F2394)&gt;0,1,0),0))</f>
        <v>1</v>
      </c>
      <c r="L2394" s="15" t="n">
        <f aca="false">IF(J2394=1,0,Inputs!$B$11)</f>
        <v>100</v>
      </c>
      <c r="M2394" s="15" t="n">
        <f aca="false">IF(J2394=1,0,Inputs!$B$12)</f>
        <v>75</v>
      </c>
      <c r="N2394" s="15" t="n">
        <f aca="false">IF(J2394=1,0,IF(OR(AND(OR(B2394="SITE LOSS",B2394="REGION LOSS"),K2394=1),AND(B2394="ROLE COMPROMISE",H2394=C2394)),Inputs!$B$13,Inputs!$B$14))</f>
        <v>20</v>
      </c>
      <c r="O2394" s="15" t="n">
        <f aca="false">IF(J2394=1,0,Inputs!$B$13)</f>
        <v>20</v>
      </c>
      <c r="P2394" s="15" t="n">
        <f aca="false">SUM(M2394:N2394)</f>
        <v>95</v>
      </c>
      <c r="Q2394" s="15" t="n">
        <f aca="false">IF(J2394=1,"",L2394-P2394)</f>
        <v>5</v>
      </c>
      <c r="R2394" s="15" t="n">
        <f aca="false">IF(OR(J2394=1,M2394&lt;=Inputs!$B$12),1,0)</f>
        <v>1</v>
      </c>
      <c r="S2394" s="15" t="n">
        <f aca="false">IF(OR(J2394=1,N2394&lt;=O2394),1,0)</f>
        <v>1</v>
      </c>
      <c r="T2394" s="15" t="str">
        <f aca="false">IF(J2394=1,"OFFLINE",IF(AND(Q2394&gt;=Inputs!$B$15,R2394=1,S2394=1,P2394&lt;=L2394),"PASS","FAIL"))</f>
        <v>PASS</v>
      </c>
    </row>
    <row r="2395" customFormat="false" ht="15" hidden="false" customHeight="false" outlineLevel="0" collapsed="false">
      <c r="A2395" s="14" t="s">
        <v>1042</v>
      </c>
      <c r="B2395" s="14" t="s">
        <v>1038</v>
      </c>
      <c r="C2395" s="14" t="s">
        <v>161</v>
      </c>
      <c r="D2395" s="14" t="s">
        <v>160</v>
      </c>
      <c r="E2395" s="14" t="s">
        <v>161</v>
      </c>
      <c r="F2395" s="14" t="s">
        <v>150</v>
      </c>
      <c r="G2395" s="14" t="n">
        <v>3</v>
      </c>
      <c r="H2395" s="14" t="s">
        <v>158</v>
      </c>
      <c r="I2395" s="14" t="s">
        <v>890</v>
      </c>
      <c r="J2395" s="15" t="n">
        <f aca="false">IF(B2395="SITE LOSS",IF(D2395=C2395,1,0),IF(B2395="REGION LOSS",IF(E2395=C2395,1,0),0))</f>
        <v>1</v>
      </c>
      <c r="K2395" s="15" t="n">
        <f aca="false">IF(B2395="SITE LOSS",IF(COUNTIFS('Site Dockets'!$B$7:$B$24,C2395,'Site Dockets'!$C$7:$C$24,F2395)&gt;0,1,0),IF(B2395="REGION LOSS",IF(COUNTIFS('Site Dockets'!$E$7:$E$24,C2395,'Site Dockets'!$C$7:$C$24,F2395)&gt;0,1,0),0))</f>
        <v>1</v>
      </c>
      <c r="L2395" s="15" t="n">
        <f aca="false">IF(J2395=1,0,Inputs!$B$11)</f>
        <v>0</v>
      </c>
      <c r="M2395" s="15" t="n">
        <f aca="false">IF(J2395=1,0,Inputs!$B$12)</f>
        <v>0</v>
      </c>
      <c r="N2395" s="15" t="n">
        <f aca="false">IF(J2395=1,0,IF(OR(AND(OR(B2395="SITE LOSS",B2395="REGION LOSS"),K2395=1),AND(B2395="ROLE COMPROMISE",H2395=C2395)),Inputs!$B$13,Inputs!$B$14))</f>
        <v>0</v>
      </c>
      <c r="O2395" s="15" t="n">
        <f aca="false">IF(J2395=1,0,Inputs!$B$13)</f>
        <v>0</v>
      </c>
      <c r="P2395" s="15" t="n">
        <f aca="false">SUM(M2395:N2395)</f>
        <v>0</v>
      </c>
      <c r="Q2395" s="15" t="str">
        <f aca="false">IF(J2395=1,"",L2395-P2395)</f>
        <v/>
      </c>
      <c r="R2395" s="15" t="n">
        <f aca="false">IF(OR(J2395=1,M2395&lt;=Inputs!$B$12),1,0)</f>
        <v>1</v>
      </c>
      <c r="S2395" s="15" t="n">
        <f aca="false">IF(OR(J2395=1,N2395&lt;=O2395),1,0)</f>
        <v>1</v>
      </c>
      <c r="T2395" s="15" t="str">
        <f aca="false">IF(J2395=1,"OFFLINE",IF(AND(Q2395&gt;=Inputs!$B$15,R2395=1,S2395=1,P2395&lt;=L2395),"PASS","FAIL"))</f>
        <v>OFFLINE</v>
      </c>
    </row>
    <row r="2396" customFormat="false" ht="15" hidden="false" customHeight="false" outlineLevel="0" collapsed="false">
      <c r="A2396" s="14" t="s">
        <v>1042</v>
      </c>
      <c r="B2396" s="14" t="s">
        <v>1038</v>
      </c>
      <c r="C2396" s="14" t="s">
        <v>161</v>
      </c>
      <c r="D2396" s="14" t="s">
        <v>160</v>
      </c>
      <c r="E2396" s="14" t="s">
        <v>161</v>
      </c>
      <c r="F2396" s="14" t="s">
        <v>150</v>
      </c>
      <c r="G2396" s="14" t="n">
        <v>3</v>
      </c>
      <c r="H2396" s="14" t="s">
        <v>158</v>
      </c>
      <c r="I2396" s="14" t="s">
        <v>892</v>
      </c>
      <c r="J2396" s="15" t="n">
        <f aca="false">IF(B2396="SITE LOSS",IF(D2396=C2396,1,0),IF(B2396="REGION LOSS",IF(E2396=C2396,1,0),0))</f>
        <v>1</v>
      </c>
      <c r="K2396" s="15" t="n">
        <f aca="false">IF(B2396="SITE LOSS",IF(COUNTIFS('Site Dockets'!$B$7:$B$24,C2396,'Site Dockets'!$C$7:$C$24,F2396)&gt;0,1,0),IF(B2396="REGION LOSS",IF(COUNTIFS('Site Dockets'!$E$7:$E$24,C2396,'Site Dockets'!$C$7:$C$24,F2396)&gt;0,1,0),0))</f>
        <v>1</v>
      </c>
      <c r="L2396" s="15" t="n">
        <f aca="false">IF(J2396=1,0,Inputs!$B$11)</f>
        <v>0</v>
      </c>
      <c r="M2396" s="15" t="n">
        <f aca="false">IF(J2396=1,0,Inputs!$B$12)</f>
        <v>0</v>
      </c>
      <c r="N2396" s="15" t="n">
        <f aca="false">IF(J2396=1,0,IF(OR(AND(OR(B2396="SITE LOSS",B2396="REGION LOSS"),K2396=1),AND(B2396="ROLE COMPROMISE",H2396=C2396)),Inputs!$B$13,Inputs!$B$14))</f>
        <v>0</v>
      </c>
      <c r="O2396" s="15" t="n">
        <f aca="false">IF(J2396=1,0,Inputs!$B$13)</f>
        <v>0</v>
      </c>
      <c r="P2396" s="15" t="n">
        <f aca="false">SUM(M2396:N2396)</f>
        <v>0</v>
      </c>
      <c r="Q2396" s="15" t="str">
        <f aca="false">IF(J2396=1,"",L2396-P2396)</f>
        <v/>
      </c>
      <c r="R2396" s="15" t="n">
        <f aca="false">IF(OR(J2396=1,M2396&lt;=Inputs!$B$12),1,0)</f>
        <v>1</v>
      </c>
      <c r="S2396" s="15" t="n">
        <f aca="false">IF(OR(J2396=1,N2396&lt;=O2396),1,0)</f>
        <v>1</v>
      </c>
      <c r="T2396" s="15" t="str">
        <f aca="false">IF(J2396=1,"OFFLINE",IF(AND(Q2396&gt;=Inputs!$B$15,R2396=1,S2396=1,P2396&lt;=L2396),"PASS","FAIL"))</f>
        <v>OFFLINE</v>
      </c>
    </row>
    <row r="2397" customFormat="false" ht="15" hidden="false" customHeight="false" outlineLevel="0" collapsed="false">
      <c r="A2397" s="14" t="s">
        <v>1042</v>
      </c>
      <c r="B2397" s="14" t="s">
        <v>1038</v>
      </c>
      <c r="C2397" s="14" t="s">
        <v>161</v>
      </c>
      <c r="D2397" s="14" t="s">
        <v>160</v>
      </c>
      <c r="E2397" s="14" t="s">
        <v>161</v>
      </c>
      <c r="F2397" s="14" t="s">
        <v>150</v>
      </c>
      <c r="G2397" s="14" t="n">
        <v>3</v>
      </c>
      <c r="H2397" s="14" t="s">
        <v>158</v>
      </c>
      <c r="I2397" s="14" t="s">
        <v>811</v>
      </c>
      <c r="J2397" s="15" t="n">
        <f aca="false">IF(B2397="SITE LOSS",IF(D2397=C2397,1,0),IF(B2397="REGION LOSS",IF(E2397=C2397,1,0),0))</f>
        <v>1</v>
      </c>
      <c r="K2397" s="15" t="n">
        <f aca="false">IF(B2397="SITE LOSS",IF(COUNTIFS('Site Dockets'!$B$7:$B$24,C2397,'Site Dockets'!$C$7:$C$24,F2397)&gt;0,1,0),IF(B2397="REGION LOSS",IF(COUNTIFS('Site Dockets'!$E$7:$E$24,C2397,'Site Dockets'!$C$7:$C$24,F2397)&gt;0,1,0),0))</f>
        <v>1</v>
      </c>
      <c r="L2397" s="15" t="n">
        <f aca="false">IF(J2397=1,0,Inputs!$B$11)</f>
        <v>0</v>
      </c>
      <c r="M2397" s="15" t="n">
        <f aca="false">IF(J2397=1,0,Inputs!$B$12)</f>
        <v>0</v>
      </c>
      <c r="N2397" s="15" t="n">
        <f aca="false">IF(J2397=1,0,IF(OR(AND(OR(B2397="SITE LOSS",B2397="REGION LOSS"),K2397=1),AND(B2397="ROLE COMPROMISE",H2397=C2397)),Inputs!$B$13,Inputs!$B$14))</f>
        <v>0</v>
      </c>
      <c r="O2397" s="15" t="n">
        <f aca="false">IF(J2397=1,0,Inputs!$B$13)</f>
        <v>0</v>
      </c>
      <c r="P2397" s="15" t="n">
        <f aca="false">SUM(M2397:N2397)</f>
        <v>0</v>
      </c>
      <c r="Q2397" s="15" t="str">
        <f aca="false">IF(J2397=1,"",L2397-P2397)</f>
        <v/>
      </c>
      <c r="R2397" s="15" t="n">
        <f aca="false">IF(OR(J2397=1,M2397&lt;=Inputs!$B$12),1,0)</f>
        <v>1</v>
      </c>
      <c r="S2397" s="15" t="n">
        <f aca="false">IF(OR(J2397=1,N2397&lt;=O2397),1,0)</f>
        <v>1</v>
      </c>
      <c r="T2397" s="15" t="str">
        <f aca="false">IF(J2397=1,"OFFLINE",IF(AND(Q2397&gt;=Inputs!$B$15,R2397=1,S2397=1,P2397&lt;=L2397),"PASS","FAIL"))</f>
        <v>OFFLINE</v>
      </c>
    </row>
    <row r="2398" customFormat="false" ht="15" hidden="false" customHeight="false" outlineLevel="0" collapsed="false">
      <c r="A2398" s="14" t="s">
        <v>1042</v>
      </c>
      <c r="B2398" s="14" t="s">
        <v>1038</v>
      </c>
      <c r="C2398" s="14" t="s">
        <v>161</v>
      </c>
      <c r="D2398" s="14" t="s">
        <v>160</v>
      </c>
      <c r="E2398" s="14" t="s">
        <v>161</v>
      </c>
      <c r="F2398" s="14" t="s">
        <v>150</v>
      </c>
      <c r="G2398" s="14" t="n">
        <v>3</v>
      </c>
      <c r="H2398" s="14" t="s">
        <v>158</v>
      </c>
      <c r="I2398" s="14" t="s">
        <v>895</v>
      </c>
      <c r="J2398" s="15" t="n">
        <f aca="false">IF(B2398="SITE LOSS",IF(D2398=C2398,1,0),IF(B2398="REGION LOSS",IF(E2398=C2398,1,0),0))</f>
        <v>1</v>
      </c>
      <c r="K2398" s="15" t="n">
        <f aca="false">IF(B2398="SITE LOSS",IF(COUNTIFS('Site Dockets'!$B$7:$B$24,C2398,'Site Dockets'!$C$7:$C$24,F2398)&gt;0,1,0),IF(B2398="REGION LOSS",IF(COUNTIFS('Site Dockets'!$E$7:$E$24,C2398,'Site Dockets'!$C$7:$C$24,F2398)&gt;0,1,0),0))</f>
        <v>1</v>
      </c>
      <c r="L2398" s="15" t="n">
        <f aca="false">IF(J2398=1,0,Inputs!$B$11)</f>
        <v>0</v>
      </c>
      <c r="M2398" s="15" t="n">
        <f aca="false">IF(J2398=1,0,Inputs!$B$12)</f>
        <v>0</v>
      </c>
      <c r="N2398" s="15" t="n">
        <f aca="false">IF(J2398=1,0,IF(OR(AND(OR(B2398="SITE LOSS",B2398="REGION LOSS"),K2398=1),AND(B2398="ROLE COMPROMISE",H2398=C2398)),Inputs!$B$13,Inputs!$B$14))</f>
        <v>0</v>
      </c>
      <c r="O2398" s="15" t="n">
        <f aca="false">IF(J2398=1,0,Inputs!$B$13)</f>
        <v>0</v>
      </c>
      <c r="P2398" s="15" t="n">
        <f aca="false">SUM(M2398:N2398)</f>
        <v>0</v>
      </c>
      <c r="Q2398" s="15" t="str">
        <f aca="false">IF(J2398=1,"",L2398-P2398)</f>
        <v/>
      </c>
      <c r="R2398" s="15" t="n">
        <f aca="false">IF(OR(J2398=1,M2398&lt;=Inputs!$B$12),1,0)</f>
        <v>1</v>
      </c>
      <c r="S2398" s="15" t="n">
        <f aca="false">IF(OR(J2398=1,N2398&lt;=O2398),1,0)</f>
        <v>1</v>
      </c>
      <c r="T2398" s="15" t="str">
        <f aca="false">IF(J2398=1,"OFFLINE",IF(AND(Q2398&gt;=Inputs!$B$15,R2398=1,S2398=1,P2398&lt;=L2398),"PASS","FAIL"))</f>
        <v>OFFLINE</v>
      </c>
    </row>
    <row r="2399" customFormat="false" ht="15" hidden="false" customHeight="false" outlineLevel="0" collapsed="false">
      <c r="A2399" s="14" t="s">
        <v>1042</v>
      </c>
      <c r="B2399" s="14" t="s">
        <v>1038</v>
      </c>
      <c r="C2399" s="14" t="s">
        <v>161</v>
      </c>
      <c r="D2399" s="14" t="s">
        <v>160</v>
      </c>
      <c r="E2399" s="14" t="s">
        <v>161</v>
      </c>
      <c r="F2399" s="14" t="s">
        <v>150</v>
      </c>
      <c r="G2399" s="14" t="n">
        <v>3</v>
      </c>
      <c r="H2399" s="14" t="s">
        <v>158</v>
      </c>
      <c r="I2399" s="14" t="s">
        <v>897</v>
      </c>
      <c r="J2399" s="15" t="n">
        <f aca="false">IF(B2399="SITE LOSS",IF(D2399=C2399,1,0),IF(B2399="REGION LOSS",IF(E2399=C2399,1,0),0))</f>
        <v>1</v>
      </c>
      <c r="K2399" s="15" t="n">
        <f aca="false">IF(B2399="SITE LOSS",IF(COUNTIFS('Site Dockets'!$B$7:$B$24,C2399,'Site Dockets'!$C$7:$C$24,F2399)&gt;0,1,0),IF(B2399="REGION LOSS",IF(COUNTIFS('Site Dockets'!$E$7:$E$24,C2399,'Site Dockets'!$C$7:$C$24,F2399)&gt;0,1,0),0))</f>
        <v>1</v>
      </c>
      <c r="L2399" s="15" t="n">
        <f aca="false">IF(J2399=1,0,Inputs!$B$11)</f>
        <v>0</v>
      </c>
      <c r="M2399" s="15" t="n">
        <f aca="false">IF(J2399=1,0,Inputs!$B$12)</f>
        <v>0</v>
      </c>
      <c r="N2399" s="15" t="n">
        <f aca="false">IF(J2399=1,0,IF(OR(AND(OR(B2399="SITE LOSS",B2399="REGION LOSS"),K2399=1),AND(B2399="ROLE COMPROMISE",H2399=C2399)),Inputs!$B$13,Inputs!$B$14))</f>
        <v>0</v>
      </c>
      <c r="O2399" s="15" t="n">
        <f aca="false">IF(J2399=1,0,Inputs!$B$13)</f>
        <v>0</v>
      </c>
      <c r="P2399" s="15" t="n">
        <f aca="false">SUM(M2399:N2399)</f>
        <v>0</v>
      </c>
      <c r="Q2399" s="15" t="str">
        <f aca="false">IF(J2399=1,"",L2399-P2399)</f>
        <v/>
      </c>
      <c r="R2399" s="15" t="n">
        <f aca="false">IF(OR(J2399=1,M2399&lt;=Inputs!$B$12),1,0)</f>
        <v>1</v>
      </c>
      <c r="S2399" s="15" t="n">
        <f aca="false">IF(OR(J2399=1,N2399&lt;=O2399),1,0)</f>
        <v>1</v>
      </c>
      <c r="T2399" s="15" t="str">
        <f aca="false">IF(J2399=1,"OFFLINE",IF(AND(Q2399&gt;=Inputs!$B$15,R2399=1,S2399=1,P2399&lt;=L2399),"PASS","FAIL"))</f>
        <v>OFFLINE</v>
      </c>
    </row>
    <row r="2400" customFormat="false" ht="15" hidden="false" customHeight="false" outlineLevel="0" collapsed="false">
      <c r="A2400" s="14" t="s">
        <v>1042</v>
      </c>
      <c r="B2400" s="14" t="s">
        <v>1038</v>
      </c>
      <c r="C2400" s="14" t="s">
        <v>161</v>
      </c>
      <c r="D2400" s="14" t="s">
        <v>160</v>
      </c>
      <c r="E2400" s="14" t="s">
        <v>161</v>
      </c>
      <c r="F2400" s="14" t="s">
        <v>150</v>
      </c>
      <c r="G2400" s="14" t="n">
        <v>3</v>
      </c>
      <c r="H2400" s="14" t="s">
        <v>158</v>
      </c>
      <c r="I2400" s="14" t="s">
        <v>899</v>
      </c>
      <c r="J2400" s="15" t="n">
        <f aca="false">IF(B2400="SITE LOSS",IF(D2400=C2400,1,0),IF(B2400="REGION LOSS",IF(E2400=C2400,1,0),0))</f>
        <v>1</v>
      </c>
      <c r="K2400" s="15" t="n">
        <f aca="false">IF(B2400="SITE LOSS",IF(COUNTIFS('Site Dockets'!$B$7:$B$24,C2400,'Site Dockets'!$C$7:$C$24,F2400)&gt;0,1,0),IF(B2400="REGION LOSS",IF(COUNTIFS('Site Dockets'!$E$7:$E$24,C2400,'Site Dockets'!$C$7:$C$24,F2400)&gt;0,1,0),0))</f>
        <v>1</v>
      </c>
      <c r="L2400" s="15" t="n">
        <f aca="false">IF(J2400=1,0,Inputs!$B$11)</f>
        <v>0</v>
      </c>
      <c r="M2400" s="15" t="n">
        <f aca="false">IF(J2400=1,0,Inputs!$B$12)</f>
        <v>0</v>
      </c>
      <c r="N2400" s="15" t="n">
        <f aca="false">IF(J2400=1,0,IF(OR(AND(OR(B2400="SITE LOSS",B2400="REGION LOSS"),K2400=1),AND(B2400="ROLE COMPROMISE",H2400=C2400)),Inputs!$B$13,Inputs!$B$14))</f>
        <v>0</v>
      </c>
      <c r="O2400" s="15" t="n">
        <f aca="false">IF(J2400=1,0,Inputs!$B$13)</f>
        <v>0</v>
      </c>
      <c r="P2400" s="15" t="n">
        <f aca="false">SUM(M2400:N2400)</f>
        <v>0</v>
      </c>
      <c r="Q2400" s="15" t="str">
        <f aca="false">IF(J2400=1,"",L2400-P2400)</f>
        <v/>
      </c>
      <c r="R2400" s="15" t="n">
        <f aca="false">IF(OR(J2400=1,M2400&lt;=Inputs!$B$12),1,0)</f>
        <v>1</v>
      </c>
      <c r="S2400" s="15" t="n">
        <f aca="false">IF(OR(J2400=1,N2400&lt;=O2400),1,0)</f>
        <v>1</v>
      </c>
      <c r="T2400" s="15" t="str">
        <f aca="false">IF(J2400=1,"OFFLINE",IF(AND(Q2400&gt;=Inputs!$B$15,R2400=1,S2400=1,P2400&lt;=L2400),"PASS","FAIL"))</f>
        <v>OFFLINE</v>
      </c>
    </row>
    <row r="2401" customFormat="false" ht="15" hidden="false" customHeight="false" outlineLevel="0" collapsed="false">
      <c r="A2401" s="14" t="s">
        <v>1042</v>
      </c>
      <c r="B2401" s="14" t="s">
        <v>1038</v>
      </c>
      <c r="C2401" s="14" t="s">
        <v>161</v>
      </c>
      <c r="D2401" s="14" t="s">
        <v>163</v>
      </c>
      <c r="E2401" s="14" t="s">
        <v>166</v>
      </c>
      <c r="F2401" s="14" t="s">
        <v>164</v>
      </c>
      <c r="G2401" s="14" t="n">
        <v>1</v>
      </c>
      <c r="H2401" s="14" t="s">
        <v>154</v>
      </c>
      <c r="I2401" s="14" t="s">
        <v>890</v>
      </c>
      <c r="J2401" s="15" t="n">
        <f aca="false">IF(B2401="SITE LOSS",IF(D2401=C2401,1,0),IF(B2401="REGION LOSS",IF(E2401=C2401,1,0),0))</f>
        <v>0</v>
      </c>
      <c r="K2401" s="15" t="n">
        <f aca="false">IF(B2401="SITE LOSS",IF(COUNTIFS('Site Dockets'!$B$7:$B$24,C2401,'Site Dockets'!$C$7:$C$24,F2401)&gt;0,1,0),IF(B2401="REGION LOSS",IF(COUNTIFS('Site Dockets'!$E$7:$E$24,C2401,'Site Dockets'!$C$7:$C$24,F2401)&gt;0,1,0),0))</f>
        <v>0</v>
      </c>
      <c r="L2401" s="15" t="n">
        <f aca="false">IF(J2401=1,0,Inputs!$B$11)</f>
        <v>100</v>
      </c>
      <c r="M2401" s="15" t="n">
        <f aca="false">IF(J2401=1,0,Inputs!$B$12)</f>
        <v>75</v>
      </c>
      <c r="N2401" s="15" t="n">
        <f aca="false">IF(J2401=1,0,IF(OR(AND(OR(B2401="SITE LOSS",B2401="REGION LOSS"),K2401=1),AND(B2401="ROLE COMPROMISE",H2401=C2401)),Inputs!$B$13,Inputs!$B$14))</f>
        <v>10</v>
      </c>
      <c r="O2401" s="15" t="n">
        <f aca="false">IF(J2401=1,0,Inputs!$B$13)</f>
        <v>20</v>
      </c>
      <c r="P2401" s="15" t="n">
        <f aca="false">SUM(M2401:N2401)</f>
        <v>85</v>
      </c>
      <c r="Q2401" s="15" t="n">
        <f aca="false">IF(J2401=1,"",L2401-P2401)</f>
        <v>15</v>
      </c>
      <c r="R2401" s="15" t="n">
        <f aca="false">IF(OR(J2401=1,M2401&lt;=Inputs!$B$12),1,0)</f>
        <v>1</v>
      </c>
      <c r="S2401" s="15" t="n">
        <f aca="false">IF(OR(J2401=1,N2401&lt;=O2401),1,0)</f>
        <v>1</v>
      </c>
      <c r="T2401" s="15" t="str">
        <f aca="false">IF(J2401=1,"OFFLINE",IF(AND(Q2401&gt;=Inputs!$B$15,R2401=1,S2401=1,P2401&lt;=L2401),"PASS","FAIL"))</f>
        <v>PASS</v>
      </c>
    </row>
    <row r="2402" customFormat="false" ht="15" hidden="false" customHeight="false" outlineLevel="0" collapsed="false">
      <c r="A2402" s="14" t="s">
        <v>1042</v>
      </c>
      <c r="B2402" s="14" t="s">
        <v>1038</v>
      </c>
      <c r="C2402" s="14" t="s">
        <v>161</v>
      </c>
      <c r="D2402" s="14" t="s">
        <v>163</v>
      </c>
      <c r="E2402" s="14" t="s">
        <v>166</v>
      </c>
      <c r="F2402" s="14" t="s">
        <v>164</v>
      </c>
      <c r="G2402" s="14" t="n">
        <v>1</v>
      </c>
      <c r="H2402" s="14" t="s">
        <v>154</v>
      </c>
      <c r="I2402" s="14" t="s">
        <v>892</v>
      </c>
      <c r="J2402" s="15" t="n">
        <f aca="false">IF(B2402="SITE LOSS",IF(D2402=C2402,1,0),IF(B2402="REGION LOSS",IF(E2402=C2402,1,0),0))</f>
        <v>0</v>
      </c>
      <c r="K2402" s="15" t="n">
        <f aca="false">IF(B2402="SITE LOSS",IF(COUNTIFS('Site Dockets'!$B$7:$B$24,C2402,'Site Dockets'!$C$7:$C$24,F2402)&gt;0,1,0),IF(B2402="REGION LOSS",IF(COUNTIFS('Site Dockets'!$E$7:$E$24,C2402,'Site Dockets'!$C$7:$C$24,F2402)&gt;0,1,0),0))</f>
        <v>0</v>
      </c>
      <c r="L2402" s="15" t="n">
        <f aca="false">IF(J2402=1,0,Inputs!$B$11)</f>
        <v>100</v>
      </c>
      <c r="M2402" s="15" t="n">
        <f aca="false">IF(J2402=1,0,Inputs!$B$12)</f>
        <v>75</v>
      </c>
      <c r="N2402" s="15" t="n">
        <f aca="false">IF(J2402=1,0,IF(OR(AND(OR(B2402="SITE LOSS",B2402="REGION LOSS"),K2402=1),AND(B2402="ROLE COMPROMISE",H2402=C2402)),Inputs!$B$13,Inputs!$B$14))</f>
        <v>10</v>
      </c>
      <c r="O2402" s="15" t="n">
        <f aca="false">IF(J2402=1,0,Inputs!$B$13)</f>
        <v>20</v>
      </c>
      <c r="P2402" s="15" t="n">
        <f aca="false">SUM(M2402:N2402)</f>
        <v>85</v>
      </c>
      <c r="Q2402" s="15" t="n">
        <f aca="false">IF(J2402=1,"",L2402-P2402)</f>
        <v>15</v>
      </c>
      <c r="R2402" s="15" t="n">
        <f aca="false">IF(OR(J2402=1,M2402&lt;=Inputs!$B$12),1,0)</f>
        <v>1</v>
      </c>
      <c r="S2402" s="15" t="n">
        <f aca="false">IF(OR(J2402=1,N2402&lt;=O2402),1,0)</f>
        <v>1</v>
      </c>
      <c r="T2402" s="15" t="str">
        <f aca="false">IF(J2402=1,"OFFLINE",IF(AND(Q2402&gt;=Inputs!$B$15,R2402=1,S2402=1,P2402&lt;=L2402),"PASS","FAIL"))</f>
        <v>PASS</v>
      </c>
    </row>
    <row r="2403" customFormat="false" ht="15" hidden="false" customHeight="false" outlineLevel="0" collapsed="false">
      <c r="A2403" s="14" t="s">
        <v>1042</v>
      </c>
      <c r="B2403" s="14" t="s">
        <v>1038</v>
      </c>
      <c r="C2403" s="14" t="s">
        <v>161</v>
      </c>
      <c r="D2403" s="14" t="s">
        <v>163</v>
      </c>
      <c r="E2403" s="14" t="s">
        <v>166</v>
      </c>
      <c r="F2403" s="14" t="s">
        <v>164</v>
      </c>
      <c r="G2403" s="14" t="n">
        <v>1</v>
      </c>
      <c r="H2403" s="14" t="s">
        <v>154</v>
      </c>
      <c r="I2403" s="14" t="s">
        <v>811</v>
      </c>
      <c r="J2403" s="15" t="n">
        <f aca="false">IF(B2403="SITE LOSS",IF(D2403=C2403,1,0),IF(B2403="REGION LOSS",IF(E2403=C2403,1,0),0))</f>
        <v>0</v>
      </c>
      <c r="K2403" s="15" t="n">
        <f aca="false">IF(B2403="SITE LOSS",IF(COUNTIFS('Site Dockets'!$B$7:$B$24,C2403,'Site Dockets'!$C$7:$C$24,F2403)&gt;0,1,0),IF(B2403="REGION LOSS",IF(COUNTIFS('Site Dockets'!$E$7:$E$24,C2403,'Site Dockets'!$C$7:$C$24,F2403)&gt;0,1,0),0))</f>
        <v>0</v>
      </c>
      <c r="L2403" s="15" t="n">
        <f aca="false">IF(J2403=1,0,Inputs!$B$11)</f>
        <v>100</v>
      </c>
      <c r="M2403" s="15" t="n">
        <f aca="false">IF(J2403=1,0,Inputs!$B$12)</f>
        <v>75</v>
      </c>
      <c r="N2403" s="15" t="n">
        <f aca="false">IF(J2403=1,0,IF(OR(AND(OR(B2403="SITE LOSS",B2403="REGION LOSS"),K2403=1),AND(B2403="ROLE COMPROMISE",H2403=C2403)),Inputs!$B$13,Inputs!$B$14))</f>
        <v>10</v>
      </c>
      <c r="O2403" s="15" t="n">
        <f aca="false">IF(J2403=1,0,Inputs!$B$13)</f>
        <v>20</v>
      </c>
      <c r="P2403" s="15" t="n">
        <f aca="false">SUM(M2403:N2403)</f>
        <v>85</v>
      </c>
      <c r="Q2403" s="15" t="n">
        <f aca="false">IF(J2403=1,"",L2403-P2403)</f>
        <v>15</v>
      </c>
      <c r="R2403" s="15" t="n">
        <f aca="false">IF(OR(J2403=1,M2403&lt;=Inputs!$B$12),1,0)</f>
        <v>1</v>
      </c>
      <c r="S2403" s="15" t="n">
        <f aca="false">IF(OR(J2403=1,N2403&lt;=O2403),1,0)</f>
        <v>1</v>
      </c>
      <c r="T2403" s="15" t="str">
        <f aca="false">IF(J2403=1,"OFFLINE",IF(AND(Q2403&gt;=Inputs!$B$15,R2403=1,S2403=1,P2403&lt;=L2403),"PASS","FAIL"))</f>
        <v>PASS</v>
      </c>
    </row>
    <row r="2404" customFormat="false" ht="15" hidden="false" customHeight="false" outlineLevel="0" collapsed="false">
      <c r="A2404" s="14" t="s">
        <v>1042</v>
      </c>
      <c r="B2404" s="14" t="s">
        <v>1038</v>
      </c>
      <c r="C2404" s="14" t="s">
        <v>161</v>
      </c>
      <c r="D2404" s="14" t="s">
        <v>163</v>
      </c>
      <c r="E2404" s="14" t="s">
        <v>166</v>
      </c>
      <c r="F2404" s="14" t="s">
        <v>164</v>
      </c>
      <c r="G2404" s="14" t="n">
        <v>1</v>
      </c>
      <c r="H2404" s="14" t="s">
        <v>154</v>
      </c>
      <c r="I2404" s="14" t="s">
        <v>895</v>
      </c>
      <c r="J2404" s="15" t="n">
        <f aca="false">IF(B2404="SITE LOSS",IF(D2404=C2404,1,0),IF(B2404="REGION LOSS",IF(E2404=C2404,1,0),0))</f>
        <v>0</v>
      </c>
      <c r="K2404" s="15" t="n">
        <f aca="false">IF(B2404="SITE LOSS",IF(COUNTIFS('Site Dockets'!$B$7:$B$24,C2404,'Site Dockets'!$C$7:$C$24,F2404)&gt;0,1,0),IF(B2404="REGION LOSS",IF(COUNTIFS('Site Dockets'!$E$7:$E$24,C2404,'Site Dockets'!$C$7:$C$24,F2404)&gt;0,1,0),0))</f>
        <v>0</v>
      </c>
      <c r="L2404" s="15" t="n">
        <f aca="false">IF(J2404=1,0,Inputs!$B$11)</f>
        <v>100</v>
      </c>
      <c r="M2404" s="15" t="n">
        <f aca="false">IF(J2404=1,0,Inputs!$B$12)</f>
        <v>75</v>
      </c>
      <c r="N2404" s="15" t="n">
        <f aca="false">IF(J2404=1,0,IF(OR(AND(OR(B2404="SITE LOSS",B2404="REGION LOSS"),K2404=1),AND(B2404="ROLE COMPROMISE",H2404=C2404)),Inputs!$B$13,Inputs!$B$14))</f>
        <v>10</v>
      </c>
      <c r="O2404" s="15" t="n">
        <f aca="false">IF(J2404=1,0,Inputs!$B$13)</f>
        <v>20</v>
      </c>
      <c r="P2404" s="15" t="n">
        <f aca="false">SUM(M2404:N2404)</f>
        <v>85</v>
      </c>
      <c r="Q2404" s="15" t="n">
        <f aca="false">IF(J2404=1,"",L2404-P2404)</f>
        <v>15</v>
      </c>
      <c r="R2404" s="15" t="n">
        <f aca="false">IF(OR(J2404=1,M2404&lt;=Inputs!$B$12),1,0)</f>
        <v>1</v>
      </c>
      <c r="S2404" s="15" t="n">
        <f aca="false">IF(OR(J2404=1,N2404&lt;=O2404),1,0)</f>
        <v>1</v>
      </c>
      <c r="T2404" s="15" t="str">
        <f aca="false">IF(J2404=1,"OFFLINE",IF(AND(Q2404&gt;=Inputs!$B$15,R2404=1,S2404=1,P2404&lt;=L2404),"PASS","FAIL"))</f>
        <v>PASS</v>
      </c>
    </row>
    <row r="2405" customFormat="false" ht="15" hidden="false" customHeight="false" outlineLevel="0" collapsed="false">
      <c r="A2405" s="14" t="s">
        <v>1042</v>
      </c>
      <c r="B2405" s="14" t="s">
        <v>1038</v>
      </c>
      <c r="C2405" s="14" t="s">
        <v>161</v>
      </c>
      <c r="D2405" s="14" t="s">
        <v>163</v>
      </c>
      <c r="E2405" s="14" t="s">
        <v>166</v>
      </c>
      <c r="F2405" s="14" t="s">
        <v>164</v>
      </c>
      <c r="G2405" s="14" t="n">
        <v>1</v>
      </c>
      <c r="H2405" s="14" t="s">
        <v>154</v>
      </c>
      <c r="I2405" s="14" t="s">
        <v>897</v>
      </c>
      <c r="J2405" s="15" t="n">
        <f aca="false">IF(B2405="SITE LOSS",IF(D2405=C2405,1,0),IF(B2405="REGION LOSS",IF(E2405=C2405,1,0),0))</f>
        <v>0</v>
      </c>
      <c r="K2405" s="15" t="n">
        <f aca="false">IF(B2405="SITE LOSS",IF(COUNTIFS('Site Dockets'!$B$7:$B$24,C2405,'Site Dockets'!$C$7:$C$24,F2405)&gt;0,1,0),IF(B2405="REGION LOSS",IF(COUNTIFS('Site Dockets'!$E$7:$E$24,C2405,'Site Dockets'!$C$7:$C$24,F2405)&gt;0,1,0),0))</f>
        <v>0</v>
      </c>
      <c r="L2405" s="15" t="n">
        <f aca="false">IF(J2405=1,0,Inputs!$B$11)</f>
        <v>100</v>
      </c>
      <c r="M2405" s="15" t="n">
        <f aca="false">IF(J2405=1,0,Inputs!$B$12)</f>
        <v>75</v>
      </c>
      <c r="N2405" s="15" t="n">
        <f aca="false">IF(J2405=1,0,IF(OR(AND(OR(B2405="SITE LOSS",B2405="REGION LOSS"),K2405=1),AND(B2405="ROLE COMPROMISE",H2405=C2405)),Inputs!$B$13,Inputs!$B$14))</f>
        <v>10</v>
      </c>
      <c r="O2405" s="15" t="n">
        <f aca="false">IF(J2405=1,0,Inputs!$B$13)</f>
        <v>20</v>
      </c>
      <c r="P2405" s="15" t="n">
        <f aca="false">SUM(M2405:N2405)</f>
        <v>85</v>
      </c>
      <c r="Q2405" s="15" t="n">
        <f aca="false">IF(J2405=1,"",L2405-P2405)</f>
        <v>15</v>
      </c>
      <c r="R2405" s="15" t="n">
        <f aca="false">IF(OR(J2405=1,M2405&lt;=Inputs!$B$12),1,0)</f>
        <v>1</v>
      </c>
      <c r="S2405" s="15" t="n">
        <f aca="false">IF(OR(J2405=1,N2405&lt;=O2405),1,0)</f>
        <v>1</v>
      </c>
      <c r="T2405" s="15" t="str">
        <f aca="false">IF(J2405=1,"OFFLINE",IF(AND(Q2405&gt;=Inputs!$B$15,R2405=1,S2405=1,P2405&lt;=L2405),"PASS","FAIL"))</f>
        <v>PASS</v>
      </c>
    </row>
    <row r="2406" customFormat="false" ht="15" hidden="false" customHeight="false" outlineLevel="0" collapsed="false">
      <c r="A2406" s="14" t="s">
        <v>1042</v>
      </c>
      <c r="B2406" s="14" t="s">
        <v>1038</v>
      </c>
      <c r="C2406" s="14" t="s">
        <v>161</v>
      </c>
      <c r="D2406" s="14" t="s">
        <v>163</v>
      </c>
      <c r="E2406" s="14" t="s">
        <v>166</v>
      </c>
      <c r="F2406" s="14" t="s">
        <v>164</v>
      </c>
      <c r="G2406" s="14" t="n">
        <v>1</v>
      </c>
      <c r="H2406" s="14" t="s">
        <v>154</v>
      </c>
      <c r="I2406" s="14" t="s">
        <v>899</v>
      </c>
      <c r="J2406" s="15" t="n">
        <f aca="false">IF(B2406="SITE LOSS",IF(D2406=C2406,1,0),IF(B2406="REGION LOSS",IF(E2406=C2406,1,0),0))</f>
        <v>0</v>
      </c>
      <c r="K2406" s="15" t="n">
        <f aca="false">IF(B2406="SITE LOSS",IF(COUNTIFS('Site Dockets'!$B$7:$B$24,C2406,'Site Dockets'!$C$7:$C$24,F2406)&gt;0,1,0),IF(B2406="REGION LOSS",IF(COUNTIFS('Site Dockets'!$E$7:$E$24,C2406,'Site Dockets'!$C$7:$C$24,F2406)&gt;0,1,0),0))</f>
        <v>0</v>
      </c>
      <c r="L2406" s="15" t="n">
        <f aca="false">IF(J2406=1,0,Inputs!$B$11)</f>
        <v>100</v>
      </c>
      <c r="M2406" s="15" t="n">
        <f aca="false">IF(J2406=1,0,Inputs!$B$12)</f>
        <v>75</v>
      </c>
      <c r="N2406" s="15" t="n">
        <f aca="false">IF(J2406=1,0,IF(OR(AND(OR(B2406="SITE LOSS",B2406="REGION LOSS"),K2406=1),AND(B2406="ROLE COMPROMISE",H2406=C2406)),Inputs!$B$13,Inputs!$B$14))</f>
        <v>10</v>
      </c>
      <c r="O2406" s="15" t="n">
        <f aca="false">IF(J2406=1,0,Inputs!$B$13)</f>
        <v>20</v>
      </c>
      <c r="P2406" s="15" t="n">
        <f aca="false">SUM(M2406:N2406)</f>
        <v>85</v>
      </c>
      <c r="Q2406" s="15" t="n">
        <f aca="false">IF(J2406=1,"",L2406-P2406)</f>
        <v>15</v>
      </c>
      <c r="R2406" s="15" t="n">
        <f aca="false">IF(OR(J2406=1,M2406&lt;=Inputs!$B$12),1,0)</f>
        <v>1</v>
      </c>
      <c r="S2406" s="15" t="n">
        <f aca="false">IF(OR(J2406=1,N2406&lt;=O2406),1,0)</f>
        <v>1</v>
      </c>
      <c r="T2406" s="15" t="str">
        <f aca="false">IF(J2406=1,"OFFLINE",IF(AND(Q2406&gt;=Inputs!$B$15,R2406=1,S2406=1,P2406&lt;=L2406),"PASS","FAIL"))</f>
        <v>PASS</v>
      </c>
    </row>
    <row r="2407" customFormat="false" ht="15" hidden="false" customHeight="false" outlineLevel="0" collapsed="false">
      <c r="A2407" s="14" t="s">
        <v>1042</v>
      </c>
      <c r="B2407" s="14" t="s">
        <v>1038</v>
      </c>
      <c r="C2407" s="14" t="s">
        <v>161</v>
      </c>
      <c r="D2407" s="14" t="s">
        <v>168</v>
      </c>
      <c r="E2407" s="14" t="s">
        <v>169</v>
      </c>
      <c r="F2407" s="14" t="s">
        <v>164</v>
      </c>
      <c r="G2407" s="14" t="n">
        <v>2</v>
      </c>
      <c r="H2407" s="14" t="s">
        <v>153</v>
      </c>
      <c r="I2407" s="14" t="s">
        <v>890</v>
      </c>
      <c r="J2407" s="15" t="n">
        <f aca="false">IF(B2407="SITE LOSS",IF(D2407=C2407,1,0),IF(B2407="REGION LOSS",IF(E2407=C2407,1,0),0))</f>
        <v>0</v>
      </c>
      <c r="K2407" s="15" t="n">
        <f aca="false">IF(B2407="SITE LOSS",IF(COUNTIFS('Site Dockets'!$B$7:$B$24,C2407,'Site Dockets'!$C$7:$C$24,F2407)&gt;0,1,0),IF(B2407="REGION LOSS",IF(COUNTIFS('Site Dockets'!$E$7:$E$24,C2407,'Site Dockets'!$C$7:$C$24,F2407)&gt;0,1,0),0))</f>
        <v>0</v>
      </c>
      <c r="L2407" s="15" t="n">
        <f aca="false">IF(J2407=1,0,Inputs!$B$11)</f>
        <v>100</v>
      </c>
      <c r="M2407" s="15" t="n">
        <f aca="false">IF(J2407=1,0,Inputs!$B$12)</f>
        <v>75</v>
      </c>
      <c r="N2407" s="15" t="n">
        <f aca="false">IF(J2407=1,0,IF(OR(AND(OR(B2407="SITE LOSS",B2407="REGION LOSS"),K2407=1),AND(B2407="ROLE COMPROMISE",H2407=C2407)),Inputs!$B$13,Inputs!$B$14))</f>
        <v>10</v>
      </c>
      <c r="O2407" s="15" t="n">
        <f aca="false">IF(J2407=1,0,Inputs!$B$13)</f>
        <v>20</v>
      </c>
      <c r="P2407" s="15" t="n">
        <f aca="false">SUM(M2407:N2407)</f>
        <v>85</v>
      </c>
      <c r="Q2407" s="15" t="n">
        <f aca="false">IF(J2407=1,"",L2407-P2407)</f>
        <v>15</v>
      </c>
      <c r="R2407" s="15" t="n">
        <f aca="false">IF(OR(J2407=1,M2407&lt;=Inputs!$B$12),1,0)</f>
        <v>1</v>
      </c>
      <c r="S2407" s="15" t="n">
        <f aca="false">IF(OR(J2407=1,N2407&lt;=O2407),1,0)</f>
        <v>1</v>
      </c>
      <c r="T2407" s="15" t="str">
        <f aca="false">IF(J2407=1,"OFFLINE",IF(AND(Q2407&gt;=Inputs!$B$15,R2407=1,S2407=1,P2407&lt;=L2407),"PASS","FAIL"))</f>
        <v>PASS</v>
      </c>
    </row>
    <row r="2408" customFormat="false" ht="15" hidden="false" customHeight="false" outlineLevel="0" collapsed="false">
      <c r="A2408" s="14" t="s">
        <v>1042</v>
      </c>
      <c r="B2408" s="14" t="s">
        <v>1038</v>
      </c>
      <c r="C2408" s="14" t="s">
        <v>161</v>
      </c>
      <c r="D2408" s="14" t="s">
        <v>168</v>
      </c>
      <c r="E2408" s="14" t="s">
        <v>169</v>
      </c>
      <c r="F2408" s="14" t="s">
        <v>164</v>
      </c>
      <c r="G2408" s="14" t="n">
        <v>2</v>
      </c>
      <c r="H2408" s="14" t="s">
        <v>153</v>
      </c>
      <c r="I2408" s="14" t="s">
        <v>892</v>
      </c>
      <c r="J2408" s="15" t="n">
        <f aca="false">IF(B2408="SITE LOSS",IF(D2408=C2408,1,0),IF(B2408="REGION LOSS",IF(E2408=C2408,1,0),0))</f>
        <v>0</v>
      </c>
      <c r="K2408" s="15" t="n">
        <f aca="false">IF(B2408="SITE LOSS",IF(COUNTIFS('Site Dockets'!$B$7:$B$24,C2408,'Site Dockets'!$C$7:$C$24,F2408)&gt;0,1,0),IF(B2408="REGION LOSS",IF(COUNTIFS('Site Dockets'!$E$7:$E$24,C2408,'Site Dockets'!$C$7:$C$24,F2408)&gt;0,1,0),0))</f>
        <v>0</v>
      </c>
      <c r="L2408" s="15" t="n">
        <f aca="false">IF(J2408=1,0,Inputs!$B$11)</f>
        <v>100</v>
      </c>
      <c r="M2408" s="15" t="n">
        <f aca="false">IF(J2408=1,0,Inputs!$B$12)</f>
        <v>75</v>
      </c>
      <c r="N2408" s="15" t="n">
        <f aca="false">IF(J2408=1,0,IF(OR(AND(OR(B2408="SITE LOSS",B2408="REGION LOSS"),K2408=1),AND(B2408="ROLE COMPROMISE",H2408=C2408)),Inputs!$B$13,Inputs!$B$14))</f>
        <v>10</v>
      </c>
      <c r="O2408" s="15" t="n">
        <f aca="false">IF(J2408=1,0,Inputs!$B$13)</f>
        <v>20</v>
      </c>
      <c r="P2408" s="15" t="n">
        <f aca="false">SUM(M2408:N2408)</f>
        <v>85</v>
      </c>
      <c r="Q2408" s="15" t="n">
        <f aca="false">IF(J2408=1,"",L2408-P2408)</f>
        <v>15</v>
      </c>
      <c r="R2408" s="15" t="n">
        <f aca="false">IF(OR(J2408=1,M2408&lt;=Inputs!$B$12),1,0)</f>
        <v>1</v>
      </c>
      <c r="S2408" s="15" t="n">
        <f aca="false">IF(OR(J2408=1,N2408&lt;=O2408),1,0)</f>
        <v>1</v>
      </c>
      <c r="T2408" s="15" t="str">
        <f aca="false">IF(J2408=1,"OFFLINE",IF(AND(Q2408&gt;=Inputs!$B$15,R2408=1,S2408=1,P2408&lt;=L2408),"PASS","FAIL"))</f>
        <v>PASS</v>
      </c>
    </row>
    <row r="2409" customFormat="false" ht="15" hidden="false" customHeight="false" outlineLevel="0" collapsed="false">
      <c r="A2409" s="14" t="s">
        <v>1042</v>
      </c>
      <c r="B2409" s="14" t="s">
        <v>1038</v>
      </c>
      <c r="C2409" s="14" t="s">
        <v>161</v>
      </c>
      <c r="D2409" s="14" t="s">
        <v>168</v>
      </c>
      <c r="E2409" s="14" t="s">
        <v>169</v>
      </c>
      <c r="F2409" s="14" t="s">
        <v>164</v>
      </c>
      <c r="G2409" s="14" t="n">
        <v>2</v>
      </c>
      <c r="H2409" s="14" t="s">
        <v>153</v>
      </c>
      <c r="I2409" s="14" t="s">
        <v>811</v>
      </c>
      <c r="J2409" s="15" t="n">
        <f aca="false">IF(B2409="SITE LOSS",IF(D2409=C2409,1,0),IF(B2409="REGION LOSS",IF(E2409=C2409,1,0),0))</f>
        <v>0</v>
      </c>
      <c r="K2409" s="15" t="n">
        <f aca="false">IF(B2409="SITE LOSS",IF(COUNTIFS('Site Dockets'!$B$7:$B$24,C2409,'Site Dockets'!$C$7:$C$24,F2409)&gt;0,1,0),IF(B2409="REGION LOSS",IF(COUNTIFS('Site Dockets'!$E$7:$E$24,C2409,'Site Dockets'!$C$7:$C$24,F2409)&gt;0,1,0),0))</f>
        <v>0</v>
      </c>
      <c r="L2409" s="15" t="n">
        <f aca="false">IF(J2409=1,0,Inputs!$B$11)</f>
        <v>100</v>
      </c>
      <c r="M2409" s="15" t="n">
        <f aca="false">IF(J2409=1,0,Inputs!$B$12)</f>
        <v>75</v>
      </c>
      <c r="N2409" s="15" t="n">
        <f aca="false">IF(J2409=1,0,IF(OR(AND(OR(B2409="SITE LOSS",B2409="REGION LOSS"),K2409=1),AND(B2409="ROLE COMPROMISE",H2409=C2409)),Inputs!$B$13,Inputs!$B$14))</f>
        <v>10</v>
      </c>
      <c r="O2409" s="15" t="n">
        <f aca="false">IF(J2409=1,0,Inputs!$B$13)</f>
        <v>20</v>
      </c>
      <c r="P2409" s="15" t="n">
        <f aca="false">SUM(M2409:N2409)</f>
        <v>85</v>
      </c>
      <c r="Q2409" s="15" t="n">
        <f aca="false">IF(J2409=1,"",L2409-P2409)</f>
        <v>15</v>
      </c>
      <c r="R2409" s="15" t="n">
        <f aca="false">IF(OR(J2409=1,M2409&lt;=Inputs!$B$12),1,0)</f>
        <v>1</v>
      </c>
      <c r="S2409" s="15" t="n">
        <f aca="false">IF(OR(J2409=1,N2409&lt;=O2409),1,0)</f>
        <v>1</v>
      </c>
      <c r="T2409" s="15" t="str">
        <f aca="false">IF(J2409=1,"OFFLINE",IF(AND(Q2409&gt;=Inputs!$B$15,R2409=1,S2409=1,P2409&lt;=L2409),"PASS","FAIL"))</f>
        <v>PASS</v>
      </c>
    </row>
    <row r="2410" customFormat="false" ht="15" hidden="false" customHeight="false" outlineLevel="0" collapsed="false">
      <c r="A2410" s="14" t="s">
        <v>1042</v>
      </c>
      <c r="B2410" s="14" t="s">
        <v>1038</v>
      </c>
      <c r="C2410" s="14" t="s">
        <v>161</v>
      </c>
      <c r="D2410" s="14" t="s">
        <v>168</v>
      </c>
      <c r="E2410" s="14" t="s">
        <v>169</v>
      </c>
      <c r="F2410" s="14" t="s">
        <v>164</v>
      </c>
      <c r="G2410" s="14" t="n">
        <v>2</v>
      </c>
      <c r="H2410" s="14" t="s">
        <v>153</v>
      </c>
      <c r="I2410" s="14" t="s">
        <v>895</v>
      </c>
      <c r="J2410" s="15" t="n">
        <f aca="false">IF(B2410="SITE LOSS",IF(D2410=C2410,1,0),IF(B2410="REGION LOSS",IF(E2410=C2410,1,0),0))</f>
        <v>0</v>
      </c>
      <c r="K2410" s="15" t="n">
        <f aca="false">IF(B2410="SITE LOSS",IF(COUNTIFS('Site Dockets'!$B$7:$B$24,C2410,'Site Dockets'!$C$7:$C$24,F2410)&gt;0,1,0),IF(B2410="REGION LOSS",IF(COUNTIFS('Site Dockets'!$E$7:$E$24,C2410,'Site Dockets'!$C$7:$C$24,F2410)&gt;0,1,0),0))</f>
        <v>0</v>
      </c>
      <c r="L2410" s="15" t="n">
        <f aca="false">IF(J2410=1,0,Inputs!$B$11)</f>
        <v>100</v>
      </c>
      <c r="M2410" s="15" t="n">
        <f aca="false">IF(J2410=1,0,Inputs!$B$12)</f>
        <v>75</v>
      </c>
      <c r="N2410" s="15" t="n">
        <f aca="false">IF(J2410=1,0,IF(OR(AND(OR(B2410="SITE LOSS",B2410="REGION LOSS"),K2410=1),AND(B2410="ROLE COMPROMISE",H2410=C2410)),Inputs!$B$13,Inputs!$B$14))</f>
        <v>10</v>
      </c>
      <c r="O2410" s="15" t="n">
        <f aca="false">IF(J2410=1,0,Inputs!$B$13)</f>
        <v>20</v>
      </c>
      <c r="P2410" s="15" t="n">
        <f aca="false">SUM(M2410:N2410)</f>
        <v>85</v>
      </c>
      <c r="Q2410" s="15" t="n">
        <f aca="false">IF(J2410=1,"",L2410-P2410)</f>
        <v>15</v>
      </c>
      <c r="R2410" s="15" t="n">
        <f aca="false">IF(OR(J2410=1,M2410&lt;=Inputs!$B$12),1,0)</f>
        <v>1</v>
      </c>
      <c r="S2410" s="15" t="n">
        <f aca="false">IF(OR(J2410=1,N2410&lt;=O2410),1,0)</f>
        <v>1</v>
      </c>
      <c r="T2410" s="15" t="str">
        <f aca="false">IF(J2410=1,"OFFLINE",IF(AND(Q2410&gt;=Inputs!$B$15,R2410=1,S2410=1,P2410&lt;=L2410),"PASS","FAIL"))</f>
        <v>PASS</v>
      </c>
    </row>
    <row r="2411" customFormat="false" ht="15" hidden="false" customHeight="false" outlineLevel="0" collapsed="false">
      <c r="A2411" s="14" t="s">
        <v>1042</v>
      </c>
      <c r="B2411" s="14" t="s">
        <v>1038</v>
      </c>
      <c r="C2411" s="14" t="s">
        <v>161</v>
      </c>
      <c r="D2411" s="14" t="s">
        <v>168</v>
      </c>
      <c r="E2411" s="14" t="s">
        <v>169</v>
      </c>
      <c r="F2411" s="14" t="s">
        <v>164</v>
      </c>
      <c r="G2411" s="14" t="n">
        <v>2</v>
      </c>
      <c r="H2411" s="14" t="s">
        <v>153</v>
      </c>
      <c r="I2411" s="14" t="s">
        <v>897</v>
      </c>
      <c r="J2411" s="15" t="n">
        <f aca="false">IF(B2411="SITE LOSS",IF(D2411=C2411,1,0),IF(B2411="REGION LOSS",IF(E2411=C2411,1,0),0))</f>
        <v>0</v>
      </c>
      <c r="K2411" s="15" t="n">
        <f aca="false">IF(B2411="SITE LOSS",IF(COUNTIFS('Site Dockets'!$B$7:$B$24,C2411,'Site Dockets'!$C$7:$C$24,F2411)&gt;0,1,0),IF(B2411="REGION LOSS",IF(COUNTIFS('Site Dockets'!$E$7:$E$24,C2411,'Site Dockets'!$C$7:$C$24,F2411)&gt;0,1,0),0))</f>
        <v>0</v>
      </c>
      <c r="L2411" s="15" t="n">
        <f aca="false">IF(J2411=1,0,Inputs!$B$11)</f>
        <v>100</v>
      </c>
      <c r="M2411" s="15" t="n">
        <f aca="false">IF(J2411=1,0,Inputs!$B$12)</f>
        <v>75</v>
      </c>
      <c r="N2411" s="15" t="n">
        <f aca="false">IF(J2411=1,0,IF(OR(AND(OR(B2411="SITE LOSS",B2411="REGION LOSS"),K2411=1),AND(B2411="ROLE COMPROMISE",H2411=C2411)),Inputs!$B$13,Inputs!$B$14))</f>
        <v>10</v>
      </c>
      <c r="O2411" s="15" t="n">
        <f aca="false">IF(J2411=1,0,Inputs!$B$13)</f>
        <v>20</v>
      </c>
      <c r="P2411" s="15" t="n">
        <f aca="false">SUM(M2411:N2411)</f>
        <v>85</v>
      </c>
      <c r="Q2411" s="15" t="n">
        <f aca="false">IF(J2411=1,"",L2411-P2411)</f>
        <v>15</v>
      </c>
      <c r="R2411" s="15" t="n">
        <f aca="false">IF(OR(J2411=1,M2411&lt;=Inputs!$B$12),1,0)</f>
        <v>1</v>
      </c>
      <c r="S2411" s="15" t="n">
        <f aca="false">IF(OR(J2411=1,N2411&lt;=O2411),1,0)</f>
        <v>1</v>
      </c>
      <c r="T2411" s="15" t="str">
        <f aca="false">IF(J2411=1,"OFFLINE",IF(AND(Q2411&gt;=Inputs!$B$15,R2411=1,S2411=1,P2411&lt;=L2411),"PASS","FAIL"))</f>
        <v>PASS</v>
      </c>
    </row>
    <row r="2412" customFormat="false" ht="15" hidden="false" customHeight="false" outlineLevel="0" collapsed="false">
      <c r="A2412" s="14" t="s">
        <v>1042</v>
      </c>
      <c r="B2412" s="14" t="s">
        <v>1038</v>
      </c>
      <c r="C2412" s="14" t="s">
        <v>161</v>
      </c>
      <c r="D2412" s="14" t="s">
        <v>168</v>
      </c>
      <c r="E2412" s="14" t="s">
        <v>169</v>
      </c>
      <c r="F2412" s="14" t="s">
        <v>164</v>
      </c>
      <c r="G2412" s="14" t="n">
        <v>2</v>
      </c>
      <c r="H2412" s="14" t="s">
        <v>153</v>
      </c>
      <c r="I2412" s="14" t="s">
        <v>899</v>
      </c>
      <c r="J2412" s="15" t="n">
        <f aca="false">IF(B2412="SITE LOSS",IF(D2412=C2412,1,0),IF(B2412="REGION LOSS",IF(E2412=C2412,1,0),0))</f>
        <v>0</v>
      </c>
      <c r="K2412" s="15" t="n">
        <f aca="false">IF(B2412="SITE LOSS",IF(COUNTIFS('Site Dockets'!$B$7:$B$24,C2412,'Site Dockets'!$C$7:$C$24,F2412)&gt;0,1,0),IF(B2412="REGION LOSS",IF(COUNTIFS('Site Dockets'!$E$7:$E$24,C2412,'Site Dockets'!$C$7:$C$24,F2412)&gt;0,1,0),0))</f>
        <v>0</v>
      </c>
      <c r="L2412" s="15" t="n">
        <f aca="false">IF(J2412=1,0,Inputs!$B$11)</f>
        <v>100</v>
      </c>
      <c r="M2412" s="15" t="n">
        <f aca="false">IF(J2412=1,0,Inputs!$B$12)</f>
        <v>75</v>
      </c>
      <c r="N2412" s="15" t="n">
        <f aca="false">IF(J2412=1,0,IF(OR(AND(OR(B2412="SITE LOSS",B2412="REGION LOSS"),K2412=1),AND(B2412="ROLE COMPROMISE",H2412=C2412)),Inputs!$B$13,Inputs!$B$14))</f>
        <v>10</v>
      </c>
      <c r="O2412" s="15" t="n">
        <f aca="false">IF(J2412=1,0,Inputs!$B$13)</f>
        <v>20</v>
      </c>
      <c r="P2412" s="15" t="n">
        <f aca="false">SUM(M2412:N2412)</f>
        <v>85</v>
      </c>
      <c r="Q2412" s="15" t="n">
        <f aca="false">IF(J2412=1,"",L2412-P2412)</f>
        <v>15</v>
      </c>
      <c r="R2412" s="15" t="n">
        <f aca="false">IF(OR(J2412=1,M2412&lt;=Inputs!$B$12),1,0)</f>
        <v>1</v>
      </c>
      <c r="S2412" s="15" t="n">
        <f aca="false">IF(OR(J2412=1,N2412&lt;=O2412),1,0)</f>
        <v>1</v>
      </c>
      <c r="T2412" s="15" t="str">
        <f aca="false">IF(J2412=1,"OFFLINE",IF(AND(Q2412&gt;=Inputs!$B$15,R2412=1,S2412=1,P2412&lt;=L2412),"PASS","FAIL"))</f>
        <v>PASS</v>
      </c>
    </row>
    <row r="2413" customFormat="false" ht="15" hidden="false" customHeight="false" outlineLevel="0" collapsed="false">
      <c r="A2413" s="14" t="s">
        <v>1042</v>
      </c>
      <c r="B2413" s="14" t="s">
        <v>1038</v>
      </c>
      <c r="C2413" s="14" t="s">
        <v>161</v>
      </c>
      <c r="D2413" s="14" t="s">
        <v>171</v>
      </c>
      <c r="E2413" s="14" t="s">
        <v>172</v>
      </c>
      <c r="F2413" s="14" t="s">
        <v>164</v>
      </c>
      <c r="G2413" s="14" t="n">
        <v>3</v>
      </c>
      <c r="H2413" s="14" t="s">
        <v>158</v>
      </c>
      <c r="I2413" s="14" t="s">
        <v>890</v>
      </c>
      <c r="J2413" s="15" t="n">
        <f aca="false">IF(B2413="SITE LOSS",IF(D2413=C2413,1,0),IF(B2413="REGION LOSS",IF(E2413=C2413,1,0),0))</f>
        <v>0</v>
      </c>
      <c r="K2413" s="15" t="n">
        <f aca="false">IF(B2413="SITE LOSS",IF(COUNTIFS('Site Dockets'!$B$7:$B$24,C2413,'Site Dockets'!$C$7:$C$24,F2413)&gt;0,1,0),IF(B2413="REGION LOSS",IF(COUNTIFS('Site Dockets'!$E$7:$E$24,C2413,'Site Dockets'!$C$7:$C$24,F2413)&gt;0,1,0),0))</f>
        <v>0</v>
      </c>
      <c r="L2413" s="15" t="n">
        <f aca="false">IF(J2413=1,0,Inputs!$B$11)</f>
        <v>100</v>
      </c>
      <c r="M2413" s="15" t="n">
        <f aca="false">IF(J2413=1,0,Inputs!$B$12)</f>
        <v>75</v>
      </c>
      <c r="N2413" s="15" t="n">
        <f aca="false">IF(J2413=1,0,IF(OR(AND(OR(B2413="SITE LOSS",B2413="REGION LOSS"),K2413=1),AND(B2413="ROLE COMPROMISE",H2413=C2413)),Inputs!$B$13,Inputs!$B$14))</f>
        <v>10</v>
      </c>
      <c r="O2413" s="15" t="n">
        <f aca="false">IF(J2413=1,0,Inputs!$B$13)</f>
        <v>20</v>
      </c>
      <c r="P2413" s="15" t="n">
        <f aca="false">SUM(M2413:N2413)</f>
        <v>85</v>
      </c>
      <c r="Q2413" s="15" t="n">
        <f aca="false">IF(J2413=1,"",L2413-P2413)</f>
        <v>15</v>
      </c>
      <c r="R2413" s="15" t="n">
        <f aca="false">IF(OR(J2413=1,M2413&lt;=Inputs!$B$12),1,0)</f>
        <v>1</v>
      </c>
      <c r="S2413" s="15" t="n">
        <f aca="false">IF(OR(J2413=1,N2413&lt;=O2413),1,0)</f>
        <v>1</v>
      </c>
      <c r="T2413" s="15" t="str">
        <f aca="false">IF(J2413=1,"OFFLINE",IF(AND(Q2413&gt;=Inputs!$B$15,R2413=1,S2413=1,P2413&lt;=L2413),"PASS","FAIL"))</f>
        <v>PASS</v>
      </c>
    </row>
    <row r="2414" customFormat="false" ht="15" hidden="false" customHeight="false" outlineLevel="0" collapsed="false">
      <c r="A2414" s="14" t="s">
        <v>1042</v>
      </c>
      <c r="B2414" s="14" t="s">
        <v>1038</v>
      </c>
      <c r="C2414" s="14" t="s">
        <v>161</v>
      </c>
      <c r="D2414" s="14" t="s">
        <v>171</v>
      </c>
      <c r="E2414" s="14" t="s">
        <v>172</v>
      </c>
      <c r="F2414" s="14" t="s">
        <v>164</v>
      </c>
      <c r="G2414" s="14" t="n">
        <v>3</v>
      </c>
      <c r="H2414" s="14" t="s">
        <v>158</v>
      </c>
      <c r="I2414" s="14" t="s">
        <v>892</v>
      </c>
      <c r="J2414" s="15" t="n">
        <f aca="false">IF(B2414="SITE LOSS",IF(D2414=C2414,1,0),IF(B2414="REGION LOSS",IF(E2414=C2414,1,0),0))</f>
        <v>0</v>
      </c>
      <c r="K2414" s="15" t="n">
        <f aca="false">IF(B2414="SITE LOSS",IF(COUNTIFS('Site Dockets'!$B$7:$B$24,C2414,'Site Dockets'!$C$7:$C$24,F2414)&gt;0,1,0),IF(B2414="REGION LOSS",IF(COUNTIFS('Site Dockets'!$E$7:$E$24,C2414,'Site Dockets'!$C$7:$C$24,F2414)&gt;0,1,0),0))</f>
        <v>0</v>
      </c>
      <c r="L2414" s="15" t="n">
        <f aca="false">IF(J2414=1,0,Inputs!$B$11)</f>
        <v>100</v>
      </c>
      <c r="M2414" s="15" t="n">
        <f aca="false">IF(J2414=1,0,Inputs!$B$12)</f>
        <v>75</v>
      </c>
      <c r="N2414" s="15" t="n">
        <f aca="false">IF(J2414=1,0,IF(OR(AND(OR(B2414="SITE LOSS",B2414="REGION LOSS"),K2414=1),AND(B2414="ROLE COMPROMISE",H2414=C2414)),Inputs!$B$13,Inputs!$B$14))</f>
        <v>10</v>
      </c>
      <c r="O2414" s="15" t="n">
        <f aca="false">IF(J2414=1,0,Inputs!$B$13)</f>
        <v>20</v>
      </c>
      <c r="P2414" s="15" t="n">
        <f aca="false">SUM(M2414:N2414)</f>
        <v>85</v>
      </c>
      <c r="Q2414" s="15" t="n">
        <f aca="false">IF(J2414=1,"",L2414-P2414)</f>
        <v>15</v>
      </c>
      <c r="R2414" s="15" t="n">
        <f aca="false">IF(OR(J2414=1,M2414&lt;=Inputs!$B$12),1,0)</f>
        <v>1</v>
      </c>
      <c r="S2414" s="15" t="n">
        <f aca="false">IF(OR(J2414=1,N2414&lt;=O2414),1,0)</f>
        <v>1</v>
      </c>
      <c r="T2414" s="15" t="str">
        <f aca="false">IF(J2414=1,"OFFLINE",IF(AND(Q2414&gt;=Inputs!$B$15,R2414=1,S2414=1,P2414&lt;=L2414),"PASS","FAIL"))</f>
        <v>PASS</v>
      </c>
    </row>
    <row r="2415" customFormat="false" ht="15" hidden="false" customHeight="false" outlineLevel="0" collapsed="false">
      <c r="A2415" s="14" t="s">
        <v>1042</v>
      </c>
      <c r="B2415" s="14" t="s">
        <v>1038</v>
      </c>
      <c r="C2415" s="14" t="s">
        <v>161</v>
      </c>
      <c r="D2415" s="14" t="s">
        <v>171</v>
      </c>
      <c r="E2415" s="14" t="s">
        <v>172</v>
      </c>
      <c r="F2415" s="14" t="s">
        <v>164</v>
      </c>
      <c r="G2415" s="14" t="n">
        <v>3</v>
      </c>
      <c r="H2415" s="14" t="s">
        <v>158</v>
      </c>
      <c r="I2415" s="14" t="s">
        <v>811</v>
      </c>
      <c r="J2415" s="15" t="n">
        <f aca="false">IF(B2415="SITE LOSS",IF(D2415=C2415,1,0),IF(B2415="REGION LOSS",IF(E2415=C2415,1,0),0))</f>
        <v>0</v>
      </c>
      <c r="K2415" s="15" t="n">
        <f aca="false">IF(B2415="SITE LOSS",IF(COUNTIFS('Site Dockets'!$B$7:$B$24,C2415,'Site Dockets'!$C$7:$C$24,F2415)&gt;0,1,0),IF(B2415="REGION LOSS",IF(COUNTIFS('Site Dockets'!$E$7:$E$24,C2415,'Site Dockets'!$C$7:$C$24,F2415)&gt;0,1,0),0))</f>
        <v>0</v>
      </c>
      <c r="L2415" s="15" t="n">
        <f aca="false">IF(J2415=1,0,Inputs!$B$11)</f>
        <v>100</v>
      </c>
      <c r="M2415" s="15" t="n">
        <f aca="false">IF(J2415=1,0,Inputs!$B$12)</f>
        <v>75</v>
      </c>
      <c r="N2415" s="15" t="n">
        <f aca="false">IF(J2415=1,0,IF(OR(AND(OR(B2415="SITE LOSS",B2415="REGION LOSS"),K2415=1),AND(B2415="ROLE COMPROMISE",H2415=C2415)),Inputs!$B$13,Inputs!$B$14))</f>
        <v>10</v>
      </c>
      <c r="O2415" s="15" t="n">
        <f aca="false">IF(J2415=1,0,Inputs!$B$13)</f>
        <v>20</v>
      </c>
      <c r="P2415" s="15" t="n">
        <f aca="false">SUM(M2415:N2415)</f>
        <v>85</v>
      </c>
      <c r="Q2415" s="15" t="n">
        <f aca="false">IF(J2415=1,"",L2415-P2415)</f>
        <v>15</v>
      </c>
      <c r="R2415" s="15" t="n">
        <f aca="false">IF(OR(J2415=1,M2415&lt;=Inputs!$B$12),1,0)</f>
        <v>1</v>
      </c>
      <c r="S2415" s="15" t="n">
        <f aca="false">IF(OR(J2415=1,N2415&lt;=O2415),1,0)</f>
        <v>1</v>
      </c>
      <c r="T2415" s="15" t="str">
        <f aca="false">IF(J2415=1,"OFFLINE",IF(AND(Q2415&gt;=Inputs!$B$15,R2415=1,S2415=1,P2415&lt;=L2415),"PASS","FAIL"))</f>
        <v>PASS</v>
      </c>
    </row>
    <row r="2416" customFormat="false" ht="15" hidden="false" customHeight="false" outlineLevel="0" collapsed="false">
      <c r="A2416" s="14" t="s">
        <v>1042</v>
      </c>
      <c r="B2416" s="14" t="s">
        <v>1038</v>
      </c>
      <c r="C2416" s="14" t="s">
        <v>161</v>
      </c>
      <c r="D2416" s="14" t="s">
        <v>171</v>
      </c>
      <c r="E2416" s="14" t="s">
        <v>172</v>
      </c>
      <c r="F2416" s="14" t="s">
        <v>164</v>
      </c>
      <c r="G2416" s="14" t="n">
        <v>3</v>
      </c>
      <c r="H2416" s="14" t="s">
        <v>158</v>
      </c>
      <c r="I2416" s="14" t="s">
        <v>895</v>
      </c>
      <c r="J2416" s="15" t="n">
        <f aca="false">IF(B2416="SITE LOSS",IF(D2416=C2416,1,0),IF(B2416="REGION LOSS",IF(E2416=C2416,1,0),0))</f>
        <v>0</v>
      </c>
      <c r="K2416" s="15" t="n">
        <f aca="false">IF(B2416="SITE LOSS",IF(COUNTIFS('Site Dockets'!$B$7:$B$24,C2416,'Site Dockets'!$C$7:$C$24,F2416)&gt;0,1,0),IF(B2416="REGION LOSS",IF(COUNTIFS('Site Dockets'!$E$7:$E$24,C2416,'Site Dockets'!$C$7:$C$24,F2416)&gt;0,1,0),0))</f>
        <v>0</v>
      </c>
      <c r="L2416" s="15" t="n">
        <f aca="false">IF(J2416=1,0,Inputs!$B$11)</f>
        <v>100</v>
      </c>
      <c r="M2416" s="15" t="n">
        <f aca="false">IF(J2416=1,0,Inputs!$B$12)</f>
        <v>75</v>
      </c>
      <c r="N2416" s="15" t="n">
        <f aca="false">IF(J2416=1,0,IF(OR(AND(OR(B2416="SITE LOSS",B2416="REGION LOSS"),K2416=1),AND(B2416="ROLE COMPROMISE",H2416=C2416)),Inputs!$B$13,Inputs!$B$14))</f>
        <v>10</v>
      </c>
      <c r="O2416" s="15" t="n">
        <f aca="false">IF(J2416=1,0,Inputs!$B$13)</f>
        <v>20</v>
      </c>
      <c r="P2416" s="15" t="n">
        <f aca="false">SUM(M2416:N2416)</f>
        <v>85</v>
      </c>
      <c r="Q2416" s="15" t="n">
        <f aca="false">IF(J2416=1,"",L2416-P2416)</f>
        <v>15</v>
      </c>
      <c r="R2416" s="15" t="n">
        <f aca="false">IF(OR(J2416=1,M2416&lt;=Inputs!$B$12),1,0)</f>
        <v>1</v>
      </c>
      <c r="S2416" s="15" t="n">
        <f aca="false">IF(OR(J2416=1,N2416&lt;=O2416),1,0)</f>
        <v>1</v>
      </c>
      <c r="T2416" s="15" t="str">
        <f aca="false">IF(J2416=1,"OFFLINE",IF(AND(Q2416&gt;=Inputs!$B$15,R2416=1,S2416=1,P2416&lt;=L2416),"PASS","FAIL"))</f>
        <v>PASS</v>
      </c>
    </row>
    <row r="2417" customFormat="false" ht="15" hidden="false" customHeight="false" outlineLevel="0" collapsed="false">
      <c r="A2417" s="14" t="s">
        <v>1042</v>
      </c>
      <c r="B2417" s="14" t="s">
        <v>1038</v>
      </c>
      <c r="C2417" s="14" t="s">
        <v>161</v>
      </c>
      <c r="D2417" s="14" t="s">
        <v>171</v>
      </c>
      <c r="E2417" s="14" t="s">
        <v>172</v>
      </c>
      <c r="F2417" s="14" t="s">
        <v>164</v>
      </c>
      <c r="G2417" s="14" t="n">
        <v>3</v>
      </c>
      <c r="H2417" s="14" t="s">
        <v>158</v>
      </c>
      <c r="I2417" s="14" t="s">
        <v>897</v>
      </c>
      <c r="J2417" s="15" t="n">
        <f aca="false">IF(B2417="SITE LOSS",IF(D2417=C2417,1,0),IF(B2417="REGION LOSS",IF(E2417=C2417,1,0),0))</f>
        <v>0</v>
      </c>
      <c r="K2417" s="15" t="n">
        <f aca="false">IF(B2417="SITE LOSS",IF(COUNTIFS('Site Dockets'!$B$7:$B$24,C2417,'Site Dockets'!$C$7:$C$24,F2417)&gt;0,1,0),IF(B2417="REGION LOSS",IF(COUNTIFS('Site Dockets'!$E$7:$E$24,C2417,'Site Dockets'!$C$7:$C$24,F2417)&gt;0,1,0),0))</f>
        <v>0</v>
      </c>
      <c r="L2417" s="15" t="n">
        <f aca="false">IF(J2417=1,0,Inputs!$B$11)</f>
        <v>100</v>
      </c>
      <c r="M2417" s="15" t="n">
        <f aca="false">IF(J2417=1,0,Inputs!$B$12)</f>
        <v>75</v>
      </c>
      <c r="N2417" s="15" t="n">
        <f aca="false">IF(J2417=1,0,IF(OR(AND(OR(B2417="SITE LOSS",B2417="REGION LOSS"),K2417=1),AND(B2417="ROLE COMPROMISE",H2417=C2417)),Inputs!$B$13,Inputs!$B$14))</f>
        <v>10</v>
      </c>
      <c r="O2417" s="15" t="n">
        <f aca="false">IF(J2417=1,0,Inputs!$B$13)</f>
        <v>20</v>
      </c>
      <c r="P2417" s="15" t="n">
        <f aca="false">SUM(M2417:N2417)</f>
        <v>85</v>
      </c>
      <c r="Q2417" s="15" t="n">
        <f aca="false">IF(J2417=1,"",L2417-P2417)</f>
        <v>15</v>
      </c>
      <c r="R2417" s="15" t="n">
        <f aca="false">IF(OR(J2417=1,M2417&lt;=Inputs!$B$12),1,0)</f>
        <v>1</v>
      </c>
      <c r="S2417" s="15" t="n">
        <f aca="false">IF(OR(J2417=1,N2417&lt;=O2417),1,0)</f>
        <v>1</v>
      </c>
      <c r="T2417" s="15" t="str">
        <f aca="false">IF(J2417=1,"OFFLINE",IF(AND(Q2417&gt;=Inputs!$B$15,R2417=1,S2417=1,P2417&lt;=L2417),"PASS","FAIL"))</f>
        <v>PASS</v>
      </c>
    </row>
    <row r="2418" customFormat="false" ht="15" hidden="false" customHeight="false" outlineLevel="0" collapsed="false">
      <c r="A2418" s="14" t="s">
        <v>1042</v>
      </c>
      <c r="B2418" s="14" t="s">
        <v>1038</v>
      </c>
      <c r="C2418" s="14" t="s">
        <v>161</v>
      </c>
      <c r="D2418" s="14" t="s">
        <v>171</v>
      </c>
      <c r="E2418" s="14" t="s">
        <v>172</v>
      </c>
      <c r="F2418" s="14" t="s">
        <v>164</v>
      </c>
      <c r="G2418" s="14" t="n">
        <v>3</v>
      </c>
      <c r="H2418" s="14" t="s">
        <v>158</v>
      </c>
      <c r="I2418" s="14" t="s">
        <v>899</v>
      </c>
      <c r="J2418" s="15" t="n">
        <f aca="false">IF(B2418="SITE LOSS",IF(D2418=C2418,1,0),IF(B2418="REGION LOSS",IF(E2418=C2418,1,0),0))</f>
        <v>0</v>
      </c>
      <c r="K2418" s="15" t="n">
        <f aca="false">IF(B2418="SITE LOSS",IF(COUNTIFS('Site Dockets'!$B$7:$B$24,C2418,'Site Dockets'!$C$7:$C$24,F2418)&gt;0,1,0),IF(B2418="REGION LOSS",IF(COUNTIFS('Site Dockets'!$E$7:$E$24,C2418,'Site Dockets'!$C$7:$C$24,F2418)&gt;0,1,0),0))</f>
        <v>0</v>
      </c>
      <c r="L2418" s="15" t="n">
        <f aca="false">IF(J2418=1,0,Inputs!$B$11)</f>
        <v>100</v>
      </c>
      <c r="M2418" s="15" t="n">
        <f aca="false">IF(J2418=1,0,Inputs!$B$12)</f>
        <v>75</v>
      </c>
      <c r="N2418" s="15" t="n">
        <f aca="false">IF(J2418=1,0,IF(OR(AND(OR(B2418="SITE LOSS",B2418="REGION LOSS"),K2418=1),AND(B2418="ROLE COMPROMISE",H2418=C2418)),Inputs!$B$13,Inputs!$B$14))</f>
        <v>10</v>
      </c>
      <c r="O2418" s="15" t="n">
        <f aca="false">IF(J2418=1,0,Inputs!$B$13)</f>
        <v>20</v>
      </c>
      <c r="P2418" s="15" t="n">
        <f aca="false">SUM(M2418:N2418)</f>
        <v>85</v>
      </c>
      <c r="Q2418" s="15" t="n">
        <f aca="false">IF(J2418=1,"",L2418-P2418)</f>
        <v>15</v>
      </c>
      <c r="R2418" s="15" t="n">
        <f aca="false">IF(OR(J2418=1,M2418&lt;=Inputs!$B$12),1,0)</f>
        <v>1</v>
      </c>
      <c r="S2418" s="15" t="n">
        <f aca="false">IF(OR(J2418=1,N2418&lt;=O2418),1,0)</f>
        <v>1</v>
      </c>
      <c r="T2418" s="15" t="str">
        <f aca="false">IF(J2418=1,"OFFLINE",IF(AND(Q2418&gt;=Inputs!$B$15,R2418=1,S2418=1,P2418&lt;=L2418),"PASS","FAIL"))</f>
        <v>PASS</v>
      </c>
    </row>
    <row r="2419" customFormat="false" ht="15" hidden="false" customHeight="false" outlineLevel="0" collapsed="false">
      <c r="A2419" s="14" t="s">
        <v>1042</v>
      </c>
      <c r="B2419" s="14" t="s">
        <v>1038</v>
      </c>
      <c r="C2419" s="14" t="s">
        <v>161</v>
      </c>
      <c r="D2419" s="14" t="s">
        <v>174</v>
      </c>
      <c r="E2419" s="14" t="s">
        <v>152</v>
      </c>
      <c r="F2419" s="14" t="s">
        <v>175</v>
      </c>
      <c r="G2419" s="14" t="n">
        <v>1</v>
      </c>
      <c r="H2419" s="14" t="s">
        <v>154</v>
      </c>
      <c r="I2419" s="14" t="s">
        <v>890</v>
      </c>
      <c r="J2419" s="15" t="n">
        <f aca="false">IF(B2419="SITE LOSS",IF(D2419=C2419,1,0),IF(B2419="REGION LOSS",IF(E2419=C2419,1,0),0))</f>
        <v>0</v>
      </c>
      <c r="K2419" s="15" t="n">
        <f aca="false">IF(B2419="SITE LOSS",IF(COUNTIFS('Site Dockets'!$B$7:$B$24,C2419,'Site Dockets'!$C$7:$C$24,F2419)&gt;0,1,0),IF(B2419="REGION LOSS",IF(COUNTIFS('Site Dockets'!$E$7:$E$24,C2419,'Site Dockets'!$C$7:$C$24,F2419)&gt;0,1,0),0))</f>
        <v>1</v>
      </c>
      <c r="L2419" s="15" t="n">
        <f aca="false">IF(J2419=1,0,Inputs!$B$11)</f>
        <v>100</v>
      </c>
      <c r="M2419" s="15" t="n">
        <f aca="false">IF(J2419=1,0,Inputs!$B$12)</f>
        <v>75</v>
      </c>
      <c r="N2419" s="15" t="n">
        <f aca="false">IF(J2419=1,0,IF(OR(AND(OR(B2419="SITE LOSS",B2419="REGION LOSS"),K2419=1),AND(B2419="ROLE COMPROMISE",H2419=C2419)),Inputs!$B$13,Inputs!$B$14))</f>
        <v>20</v>
      </c>
      <c r="O2419" s="15" t="n">
        <f aca="false">IF(J2419=1,0,Inputs!$B$13)</f>
        <v>20</v>
      </c>
      <c r="P2419" s="15" t="n">
        <f aca="false">SUM(M2419:N2419)</f>
        <v>95</v>
      </c>
      <c r="Q2419" s="15" t="n">
        <f aca="false">IF(J2419=1,"",L2419-P2419)</f>
        <v>5</v>
      </c>
      <c r="R2419" s="15" t="n">
        <f aca="false">IF(OR(J2419=1,M2419&lt;=Inputs!$B$12),1,0)</f>
        <v>1</v>
      </c>
      <c r="S2419" s="15" t="n">
        <f aca="false">IF(OR(J2419=1,N2419&lt;=O2419),1,0)</f>
        <v>1</v>
      </c>
      <c r="T2419" s="15" t="str">
        <f aca="false">IF(J2419=1,"OFFLINE",IF(AND(Q2419&gt;=Inputs!$B$15,R2419=1,S2419=1,P2419&lt;=L2419),"PASS","FAIL"))</f>
        <v>PASS</v>
      </c>
    </row>
    <row r="2420" customFormat="false" ht="15" hidden="false" customHeight="false" outlineLevel="0" collapsed="false">
      <c r="A2420" s="14" t="s">
        <v>1042</v>
      </c>
      <c r="B2420" s="14" t="s">
        <v>1038</v>
      </c>
      <c r="C2420" s="14" t="s">
        <v>161</v>
      </c>
      <c r="D2420" s="14" t="s">
        <v>174</v>
      </c>
      <c r="E2420" s="14" t="s">
        <v>152</v>
      </c>
      <c r="F2420" s="14" t="s">
        <v>175</v>
      </c>
      <c r="G2420" s="14" t="n">
        <v>1</v>
      </c>
      <c r="H2420" s="14" t="s">
        <v>154</v>
      </c>
      <c r="I2420" s="14" t="s">
        <v>892</v>
      </c>
      <c r="J2420" s="15" t="n">
        <f aca="false">IF(B2420="SITE LOSS",IF(D2420=C2420,1,0),IF(B2420="REGION LOSS",IF(E2420=C2420,1,0),0))</f>
        <v>0</v>
      </c>
      <c r="K2420" s="15" t="n">
        <f aca="false">IF(B2420="SITE LOSS",IF(COUNTIFS('Site Dockets'!$B$7:$B$24,C2420,'Site Dockets'!$C$7:$C$24,F2420)&gt;0,1,0),IF(B2420="REGION LOSS",IF(COUNTIFS('Site Dockets'!$E$7:$E$24,C2420,'Site Dockets'!$C$7:$C$24,F2420)&gt;0,1,0),0))</f>
        <v>1</v>
      </c>
      <c r="L2420" s="15" t="n">
        <f aca="false">IF(J2420=1,0,Inputs!$B$11)</f>
        <v>100</v>
      </c>
      <c r="M2420" s="15" t="n">
        <f aca="false">IF(J2420=1,0,Inputs!$B$12)</f>
        <v>75</v>
      </c>
      <c r="N2420" s="15" t="n">
        <f aca="false">IF(J2420=1,0,IF(OR(AND(OR(B2420="SITE LOSS",B2420="REGION LOSS"),K2420=1),AND(B2420="ROLE COMPROMISE",H2420=C2420)),Inputs!$B$13,Inputs!$B$14))</f>
        <v>20</v>
      </c>
      <c r="O2420" s="15" t="n">
        <f aca="false">IF(J2420=1,0,Inputs!$B$13)</f>
        <v>20</v>
      </c>
      <c r="P2420" s="15" t="n">
        <f aca="false">SUM(M2420:N2420)</f>
        <v>95</v>
      </c>
      <c r="Q2420" s="15" t="n">
        <f aca="false">IF(J2420=1,"",L2420-P2420)</f>
        <v>5</v>
      </c>
      <c r="R2420" s="15" t="n">
        <f aca="false">IF(OR(J2420=1,M2420&lt;=Inputs!$B$12),1,0)</f>
        <v>1</v>
      </c>
      <c r="S2420" s="15" t="n">
        <f aca="false">IF(OR(J2420=1,N2420&lt;=O2420),1,0)</f>
        <v>1</v>
      </c>
      <c r="T2420" s="15" t="str">
        <f aca="false">IF(J2420=1,"OFFLINE",IF(AND(Q2420&gt;=Inputs!$B$15,R2420=1,S2420=1,P2420&lt;=L2420),"PASS","FAIL"))</f>
        <v>PASS</v>
      </c>
    </row>
    <row r="2421" customFormat="false" ht="15" hidden="false" customHeight="false" outlineLevel="0" collapsed="false">
      <c r="A2421" s="14" t="s">
        <v>1042</v>
      </c>
      <c r="B2421" s="14" t="s">
        <v>1038</v>
      </c>
      <c r="C2421" s="14" t="s">
        <v>161</v>
      </c>
      <c r="D2421" s="14" t="s">
        <v>174</v>
      </c>
      <c r="E2421" s="14" t="s">
        <v>152</v>
      </c>
      <c r="F2421" s="14" t="s">
        <v>175</v>
      </c>
      <c r="G2421" s="14" t="n">
        <v>1</v>
      </c>
      <c r="H2421" s="14" t="s">
        <v>154</v>
      </c>
      <c r="I2421" s="14" t="s">
        <v>811</v>
      </c>
      <c r="J2421" s="15" t="n">
        <f aca="false">IF(B2421="SITE LOSS",IF(D2421=C2421,1,0),IF(B2421="REGION LOSS",IF(E2421=C2421,1,0),0))</f>
        <v>0</v>
      </c>
      <c r="K2421" s="15" t="n">
        <f aca="false">IF(B2421="SITE LOSS",IF(COUNTIFS('Site Dockets'!$B$7:$B$24,C2421,'Site Dockets'!$C$7:$C$24,F2421)&gt;0,1,0),IF(B2421="REGION LOSS",IF(COUNTIFS('Site Dockets'!$E$7:$E$24,C2421,'Site Dockets'!$C$7:$C$24,F2421)&gt;0,1,0),0))</f>
        <v>1</v>
      </c>
      <c r="L2421" s="15" t="n">
        <f aca="false">IF(J2421=1,0,Inputs!$B$11)</f>
        <v>100</v>
      </c>
      <c r="M2421" s="15" t="n">
        <f aca="false">IF(J2421=1,0,Inputs!$B$12)</f>
        <v>75</v>
      </c>
      <c r="N2421" s="15" t="n">
        <f aca="false">IF(J2421=1,0,IF(OR(AND(OR(B2421="SITE LOSS",B2421="REGION LOSS"),K2421=1),AND(B2421="ROLE COMPROMISE",H2421=C2421)),Inputs!$B$13,Inputs!$B$14))</f>
        <v>20</v>
      </c>
      <c r="O2421" s="15" t="n">
        <f aca="false">IF(J2421=1,0,Inputs!$B$13)</f>
        <v>20</v>
      </c>
      <c r="P2421" s="15" t="n">
        <f aca="false">SUM(M2421:N2421)</f>
        <v>95</v>
      </c>
      <c r="Q2421" s="15" t="n">
        <f aca="false">IF(J2421=1,"",L2421-P2421)</f>
        <v>5</v>
      </c>
      <c r="R2421" s="15" t="n">
        <f aca="false">IF(OR(J2421=1,M2421&lt;=Inputs!$B$12),1,0)</f>
        <v>1</v>
      </c>
      <c r="S2421" s="15" t="n">
        <f aca="false">IF(OR(J2421=1,N2421&lt;=O2421),1,0)</f>
        <v>1</v>
      </c>
      <c r="T2421" s="15" t="str">
        <f aca="false">IF(J2421=1,"OFFLINE",IF(AND(Q2421&gt;=Inputs!$B$15,R2421=1,S2421=1,P2421&lt;=L2421),"PASS","FAIL"))</f>
        <v>PASS</v>
      </c>
    </row>
    <row r="2422" customFormat="false" ht="15" hidden="false" customHeight="false" outlineLevel="0" collapsed="false">
      <c r="A2422" s="14" t="s">
        <v>1042</v>
      </c>
      <c r="B2422" s="14" t="s">
        <v>1038</v>
      </c>
      <c r="C2422" s="14" t="s">
        <v>161</v>
      </c>
      <c r="D2422" s="14" t="s">
        <v>174</v>
      </c>
      <c r="E2422" s="14" t="s">
        <v>152</v>
      </c>
      <c r="F2422" s="14" t="s">
        <v>175</v>
      </c>
      <c r="G2422" s="14" t="n">
        <v>1</v>
      </c>
      <c r="H2422" s="14" t="s">
        <v>154</v>
      </c>
      <c r="I2422" s="14" t="s">
        <v>895</v>
      </c>
      <c r="J2422" s="15" t="n">
        <f aca="false">IF(B2422="SITE LOSS",IF(D2422=C2422,1,0),IF(B2422="REGION LOSS",IF(E2422=C2422,1,0),0))</f>
        <v>0</v>
      </c>
      <c r="K2422" s="15" t="n">
        <f aca="false">IF(B2422="SITE LOSS",IF(COUNTIFS('Site Dockets'!$B$7:$B$24,C2422,'Site Dockets'!$C$7:$C$24,F2422)&gt;0,1,0),IF(B2422="REGION LOSS",IF(COUNTIFS('Site Dockets'!$E$7:$E$24,C2422,'Site Dockets'!$C$7:$C$24,F2422)&gt;0,1,0),0))</f>
        <v>1</v>
      </c>
      <c r="L2422" s="15" t="n">
        <f aca="false">IF(J2422=1,0,Inputs!$B$11)</f>
        <v>100</v>
      </c>
      <c r="M2422" s="15" t="n">
        <f aca="false">IF(J2422=1,0,Inputs!$B$12)</f>
        <v>75</v>
      </c>
      <c r="N2422" s="15" t="n">
        <f aca="false">IF(J2422=1,0,IF(OR(AND(OR(B2422="SITE LOSS",B2422="REGION LOSS"),K2422=1),AND(B2422="ROLE COMPROMISE",H2422=C2422)),Inputs!$B$13,Inputs!$B$14))</f>
        <v>20</v>
      </c>
      <c r="O2422" s="15" t="n">
        <f aca="false">IF(J2422=1,0,Inputs!$B$13)</f>
        <v>20</v>
      </c>
      <c r="P2422" s="15" t="n">
        <f aca="false">SUM(M2422:N2422)</f>
        <v>95</v>
      </c>
      <c r="Q2422" s="15" t="n">
        <f aca="false">IF(J2422=1,"",L2422-P2422)</f>
        <v>5</v>
      </c>
      <c r="R2422" s="15" t="n">
        <f aca="false">IF(OR(J2422=1,M2422&lt;=Inputs!$B$12),1,0)</f>
        <v>1</v>
      </c>
      <c r="S2422" s="15" t="n">
        <f aca="false">IF(OR(J2422=1,N2422&lt;=O2422),1,0)</f>
        <v>1</v>
      </c>
      <c r="T2422" s="15" t="str">
        <f aca="false">IF(J2422=1,"OFFLINE",IF(AND(Q2422&gt;=Inputs!$B$15,R2422=1,S2422=1,P2422&lt;=L2422),"PASS","FAIL"))</f>
        <v>PASS</v>
      </c>
    </row>
    <row r="2423" customFormat="false" ht="15" hidden="false" customHeight="false" outlineLevel="0" collapsed="false">
      <c r="A2423" s="14" t="s">
        <v>1042</v>
      </c>
      <c r="B2423" s="14" t="s">
        <v>1038</v>
      </c>
      <c r="C2423" s="14" t="s">
        <v>161</v>
      </c>
      <c r="D2423" s="14" t="s">
        <v>174</v>
      </c>
      <c r="E2423" s="14" t="s">
        <v>152</v>
      </c>
      <c r="F2423" s="14" t="s">
        <v>175</v>
      </c>
      <c r="G2423" s="14" t="n">
        <v>1</v>
      </c>
      <c r="H2423" s="14" t="s">
        <v>154</v>
      </c>
      <c r="I2423" s="14" t="s">
        <v>897</v>
      </c>
      <c r="J2423" s="15" t="n">
        <f aca="false">IF(B2423="SITE LOSS",IF(D2423=C2423,1,0),IF(B2423="REGION LOSS",IF(E2423=C2423,1,0),0))</f>
        <v>0</v>
      </c>
      <c r="K2423" s="15" t="n">
        <f aca="false">IF(B2423="SITE LOSS",IF(COUNTIFS('Site Dockets'!$B$7:$B$24,C2423,'Site Dockets'!$C$7:$C$24,F2423)&gt;0,1,0),IF(B2423="REGION LOSS",IF(COUNTIFS('Site Dockets'!$E$7:$E$24,C2423,'Site Dockets'!$C$7:$C$24,F2423)&gt;0,1,0),0))</f>
        <v>1</v>
      </c>
      <c r="L2423" s="15" t="n">
        <f aca="false">IF(J2423=1,0,Inputs!$B$11)</f>
        <v>100</v>
      </c>
      <c r="M2423" s="15" t="n">
        <f aca="false">IF(J2423=1,0,Inputs!$B$12)</f>
        <v>75</v>
      </c>
      <c r="N2423" s="15" t="n">
        <f aca="false">IF(J2423=1,0,IF(OR(AND(OR(B2423="SITE LOSS",B2423="REGION LOSS"),K2423=1),AND(B2423="ROLE COMPROMISE",H2423=C2423)),Inputs!$B$13,Inputs!$B$14))</f>
        <v>20</v>
      </c>
      <c r="O2423" s="15" t="n">
        <f aca="false">IF(J2423=1,0,Inputs!$B$13)</f>
        <v>20</v>
      </c>
      <c r="P2423" s="15" t="n">
        <f aca="false">SUM(M2423:N2423)</f>
        <v>95</v>
      </c>
      <c r="Q2423" s="15" t="n">
        <f aca="false">IF(J2423=1,"",L2423-P2423)</f>
        <v>5</v>
      </c>
      <c r="R2423" s="15" t="n">
        <f aca="false">IF(OR(J2423=1,M2423&lt;=Inputs!$B$12),1,0)</f>
        <v>1</v>
      </c>
      <c r="S2423" s="15" t="n">
        <f aca="false">IF(OR(J2423=1,N2423&lt;=O2423),1,0)</f>
        <v>1</v>
      </c>
      <c r="T2423" s="15" t="str">
        <f aca="false">IF(J2423=1,"OFFLINE",IF(AND(Q2423&gt;=Inputs!$B$15,R2423=1,S2423=1,P2423&lt;=L2423),"PASS","FAIL"))</f>
        <v>PASS</v>
      </c>
    </row>
    <row r="2424" customFormat="false" ht="15" hidden="false" customHeight="false" outlineLevel="0" collapsed="false">
      <c r="A2424" s="14" t="s">
        <v>1042</v>
      </c>
      <c r="B2424" s="14" t="s">
        <v>1038</v>
      </c>
      <c r="C2424" s="14" t="s">
        <v>161</v>
      </c>
      <c r="D2424" s="14" t="s">
        <v>174</v>
      </c>
      <c r="E2424" s="14" t="s">
        <v>152</v>
      </c>
      <c r="F2424" s="14" t="s">
        <v>175</v>
      </c>
      <c r="G2424" s="14" t="n">
        <v>1</v>
      </c>
      <c r="H2424" s="14" t="s">
        <v>154</v>
      </c>
      <c r="I2424" s="14" t="s">
        <v>899</v>
      </c>
      <c r="J2424" s="15" t="n">
        <f aca="false">IF(B2424="SITE LOSS",IF(D2424=C2424,1,0),IF(B2424="REGION LOSS",IF(E2424=C2424,1,0),0))</f>
        <v>0</v>
      </c>
      <c r="K2424" s="15" t="n">
        <f aca="false">IF(B2424="SITE LOSS",IF(COUNTIFS('Site Dockets'!$B$7:$B$24,C2424,'Site Dockets'!$C$7:$C$24,F2424)&gt;0,1,0),IF(B2424="REGION LOSS",IF(COUNTIFS('Site Dockets'!$E$7:$E$24,C2424,'Site Dockets'!$C$7:$C$24,F2424)&gt;0,1,0),0))</f>
        <v>1</v>
      </c>
      <c r="L2424" s="15" t="n">
        <f aca="false">IF(J2424=1,0,Inputs!$B$11)</f>
        <v>100</v>
      </c>
      <c r="M2424" s="15" t="n">
        <f aca="false">IF(J2424=1,0,Inputs!$B$12)</f>
        <v>75</v>
      </c>
      <c r="N2424" s="15" t="n">
        <f aca="false">IF(J2424=1,0,IF(OR(AND(OR(B2424="SITE LOSS",B2424="REGION LOSS"),K2424=1),AND(B2424="ROLE COMPROMISE",H2424=C2424)),Inputs!$B$13,Inputs!$B$14))</f>
        <v>20</v>
      </c>
      <c r="O2424" s="15" t="n">
        <f aca="false">IF(J2424=1,0,Inputs!$B$13)</f>
        <v>20</v>
      </c>
      <c r="P2424" s="15" t="n">
        <f aca="false">SUM(M2424:N2424)</f>
        <v>95</v>
      </c>
      <c r="Q2424" s="15" t="n">
        <f aca="false">IF(J2424=1,"",L2424-P2424)</f>
        <v>5</v>
      </c>
      <c r="R2424" s="15" t="n">
        <f aca="false">IF(OR(J2424=1,M2424&lt;=Inputs!$B$12),1,0)</f>
        <v>1</v>
      </c>
      <c r="S2424" s="15" t="n">
        <f aca="false">IF(OR(J2424=1,N2424&lt;=O2424),1,0)</f>
        <v>1</v>
      </c>
      <c r="T2424" s="15" t="str">
        <f aca="false">IF(J2424=1,"OFFLINE",IF(AND(Q2424&gt;=Inputs!$B$15,R2424=1,S2424=1,P2424&lt;=L2424),"PASS","FAIL"))</f>
        <v>PASS</v>
      </c>
    </row>
    <row r="2425" customFormat="false" ht="15" hidden="false" customHeight="false" outlineLevel="0" collapsed="false">
      <c r="A2425" s="14" t="s">
        <v>1042</v>
      </c>
      <c r="B2425" s="14" t="s">
        <v>1038</v>
      </c>
      <c r="C2425" s="14" t="s">
        <v>161</v>
      </c>
      <c r="D2425" s="14" t="s">
        <v>178</v>
      </c>
      <c r="E2425" s="14" t="s">
        <v>169</v>
      </c>
      <c r="F2425" s="14" t="s">
        <v>175</v>
      </c>
      <c r="G2425" s="14" t="n">
        <v>2</v>
      </c>
      <c r="H2425" s="14" t="s">
        <v>153</v>
      </c>
      <c r="I2425" s="14" t="s">
        <v>890</v>
      </c>
      <c r="J2425" s="15" t="n">
        <f aca="false">IF(B2425="SITE LOSS",IF(D2425=C2425,1,0),IF(B2425="REGION LOSS",IF(E2425=C2425,1,0),0))</f>
        <v>0</v>
      </c>
      <c r="K2425" s="15" t="n">
        <f aca="false">IF(B2425="SITE LOSS",IF(COUNTIFS('Site Dockets'!$B$7:$B$24,C2425,'Site Dockets'!$C$7:$C$24,F2425)&gt;0,1,0),IF(B2425="REGION LOSS",IF(COUNTIFS('Site Dockets'!$E$7:$E$24,C2425,'Site Dockets'!$C$7:$C$24,F2425)&gt;0,1,0),0))</f>
        <v>1</v>
      </c>
      <c r="L2425" s="15" t="n">
        <f aca="false">IF(J2425=1,0,Inputs!$B$11)</f>
        <v>100</v>
      </c>
      <c r="M2425" s="15" t="n">
        <f aca="false">IF(J2425=1,0,Inputs!$B$12)</f>
        <v>75</v>
      </c>
      <c r="N2425" s="15" t="n">
        <f aca="false">IF(J2425=1,0,IF(OR(AND(OR(B2425="SITE LOSS",B2425="REGION LOSS"),K2425=1),AND(B2425="ROLE COMPROMISE",H2425=C2425)),Inputs!$B$13,Inputs!$B$14))</f>
        <v>20</v>
      </c>
      <c r="O2425" s="15" t="n">
        <f aca="false">IF(J2425=1,0,Inputs!$B$13)</f>
        <v>20</v>
      </c>
      <c r="P2425" s="15" t="n">
        <f aca="false">SUM(M2425:N2425)</f>
        <v>95</v>
      </c>
      <c r="Q2425" s="15" t="n">
        <f aca="false">IF(J2425=1,"",L2425-P2425)</f>
        <v>5</v>
      </c>
      <c r="R2425" s="15" t="n">
        <f aca="false">IF(OR(J2425=1,M2425&lt;=Inputs!$B$12),1,0)</f>
        <v>1</v>
      </c>
      <c r="S2425" s="15" t="n">
        <f aca="false">IF(OR(J2425=1,N2425&lt;=O2425),1,0)</f>
        <v>1</v>
      </c>
      <c r="T2425" s="15" t="str">
        <f aca="false">IF(J2425=1,"OFFLINE",IF(AND(Q2425&gt;=Inputs!$B$15,R2425=1,S2425=1,P2425&lt;=L2425),"PASS","FAIL"))</f>
        <v>PASS</v>
      </c>
    </row>
    <row r="2426" customFormat="false" ht="15" hidden="false" customHeight="false" outlineLevel="0" collapsed="false">
      <c r="A2426" s="14" t="s">
        <v>1042</v>
      </c>
      <c r="B2426" s="14" t="s">
        <v>1038</v>
      </c>
      <c r="C2426" s="14" t="s">
        <v>161</v>
      </c>
      <c r="D2426" s="14" t="s">
        <v>178</v>
      </c>
      <c r="E2426" s="14" t="s">
        <v>169</v>
      </c>
      <c r="F2426" s="14" t="s">
        <v>175</v>
      </c>
      <c r="G2426" s="14" t="n">
        <v>2</v>
      </c>
      <c r="H2426" s="14" t="s">
        <v>153</v>
      </c>
      <c r="I2426" s="14" t="s">
        <v>892</v>
      </c>
      <c r="J2426" s="15" t="n">
        <f aca="false">IF(B2426="SITE LOSS",IF(D2426=C2426,1,0),IF(B2426="REGION LOSS",IF(E2426=C2426,1,0),0))</f>
        <v>0</v>
      </c>
      <c r="K2426" s="15" t="n">
        <f aca="false">IF(B2426="SITE LOSS",IF(COUNTIFS('Site Dockets'!$B$7:$B$24,C2426,'Site Dockets'!$C$7:$C$24,F2426)&gt;0,1,0),IF(B2426="REGION LOSS",IF(COUNTIFS('Site Dockets'!$E$7:$E$24,C2426,'Site Dockets'!$C$7:$C$24,F2426)&gt;0,1,0),0))</f>
        <v>1</v>
      </c>
      <c r="L2426" s="15" t="n">
        <f aca="false">IF(J2426=1,0,Inputs!$B$11)</f>
        <v>100</v>
      </c>
      <c r="M2426" s="15" t="n">
        <f aca="false">IF(J2426=1,0,Inputs!$B$12)</f>
        <v>75</v>
      </c>
      <c r="N2426" s="15" t="n">
        <f aca="false">IF(J2426=1,0,IF(OR(AND(OR(B2426="SITE LOSS",B2426="REGION LOSS"),K2426=1),AND(B2426="ROLE COMPROMISE",H2426=C2426)),Inputs!$B$13,Inputs!$B$14))</f>
        <v>20</v>
      </c>
      <c r="O2426" s="15" t="n">
        <f aca="false">IF(J2426=1,0,Inputs!$B$13)</f>
        <v>20</v>
      </c>
      <c r="P2426" s="15" t="n">
        <f aca="false">SUM(M2426:N2426)</f>
        <v>95</v>
      </c>
      <c r="Q2426" s="15" t="n">
        <f aca="false">IF(J2426=1,"",L2426-P2426)</f>
        <v>5</v>
      </c>
      <c r="R2426" s="15" t="n">
        <f aca="false">IF(OR(J2426=1,M2426&lt;=Inputs!$B$12),1,0)</f>
        <v>1</v>
      </c>
      <c r="S2426" s="15" t="n">
        <f aca="false">IF(OR(J2426=1,N2426&lt;=O2426),1,0)</f>
        <v>1</v>
      </c>
      <c r="T2426" s="15" t="str">
        <f aca="false">IF(J2426=1,"OFFLINE",IF(AND(Q2426&gt;=Inputs!$B$15,R2426=1,S2426=1,P2426&lt;=L2426),"PASS","FAIL"))</f>
        <v>PASS</v>
      </c>
    </row>
    <row r="2427" customFormat="false" ht="15" hidden="false" customHeight="false" outlineLevel="0" collapsed="false">
      <c r="A2427" s="14" t="s">
        <v>1042</v>
      </c>
      <c r="B2427" s="14" t="s">
        <v>1038</v>
      </c>
      <c r="C2427" s="14" t="s">
        <v>161</v>
      </c>
      <c r="D2427" s="14" t="s">
        <v>178</v>
      </c>
      <c r="E2427" s="14" t="s">
        <v>169</v>
      </c>
      <c r="F2427" s="14" t="s">
        <v>175</v>
      </c>
      <c r="G2427" s="14" t="n">
        <v>2</v>
      </c>
      <c r="H2427" s="14" t="s">
        <v>153</v>
      </c>
      <c r="I2427" s="14" t="s">
        <v>811</v>
      </c>
      <c r="J2427" s="15" t="n">
        <f aca="false">IF(B2427="SITE LOSS",IF(D2427=C2427,1,0),IF(B2427="REGION LOSS",IF(E2427=C2427,1,0),0))</f>
        <v>0</v>
      </c>
      <c r="K2427" s="15" t="n">
        <f aca="false">IF(B2427="SITE LOSS",IF(COUNTIFS('Site Dockets'!$B$7:$B$24,C2427,'Site Dockets'!$C$7:$C$24,F2427)&gt;0,1,0),IF(B2427="REGION LOSS",IF(COUNTIFS('Site Dockets'!$E$7:$E$24,C2427,'Site Dockets'!$C$7:$C$24,F2427)&gt;0,1,0),0))</f>
        <v>1</v>
      </c>
      <c r="L2427" s="15" t="n">
        <f aca="false">IF(J2427=1,0,Inputs!$B$11)</f>
        <v>100</v>
      </c>
      <c r="M2427" s="15" t="n">
        <f aca="false">IF(J2427=1,0,Inputs!$B$12)</f>
        <v>75</v>
      </c>
      <c r="N2427" s="15" t="n">
        <f aca="false">IF(J2427=1,0,IF(OR(AND(OR(B2427="SITE LOSS",B2427="REGION LOSS"),K2427=1),AND(B2427="ROLE COMPROMISE",H2427=C2427)),Inputs!$B$13,Inputs!$B$14))</f>
        <v>20</v>
      </c>
      <c r="O2427" s="15" t="n">
        <f aca="false">IF(J2427=1,0,Inputs!$B$13)</f>
        <v>20</v>
      </c>
      <c r="P2427" s="15" t="n">
        <f aca="false">SUM(M2427:N2427)</f>
        <v>95</v>
      </c>
      <c r="Q2427" s="15" t="n">
        <f aca="false">IF(J2427=1,"",L2427-P2427)</f>
        <v>5</v>
      </c>
      <c r="R2427" s="15" t="n">
        <f aca="false">IF(OR(J2427=1,M2427&lt;=Inputs!$B$12),1,0)</f>
        <v>1</v>
      </c>
      <c r="S2427" s="15" t="n">
        <f aca="false">IF(OR(J2427=1,N2427&lt;=O2427),1,0)</f>
        <v>1</v>
      </c>
      <c r="T2427" s="15" t="str">
        <f aca="false">IF(J2427=1,"OFFLINE",IF(AND(Q2427&gt;=Inputs!$B$15,R2427=1,S2427=1,P2427&lt;=L2427),"PASS","FAIL"))</f>
        <v>PASS</v>
      </c>
    </row>
    <row r="2428" customFormat="false" ht="15" hidden="false" customHeight="false" outlineLevel="0" collapsed="false">
      <c r="A2428" s="14" t="s">
        <v>1042</v>
      </c>
      <c r="B2428" s="14" t="s">
        <v>1038</v>
      </c>
      <c r="C2428" s="14" t="s">
        <v>161</v>
      </c>
      <c r="D2428" s="14" t="s">
        <v>178</v>
      </c>
      <c r="E2428" s="14" t="s">
        <v>169</v>
      </c>
      <c r="F2428" s="14" t="s">
        <v>175</v>
      </c>
      <c r="G2428" s="14" t="n">
        <v>2</v>
      </c>
      <c r="H2428" s="14" t="s">
        <v>153</v>
      </c>
      <c r="I2428" s="14" t="s">
        <v>895</v>
      </c>
      <c r="J2428" s="15" t="n">
        <f aca="false">IF(B2428="SITE LOSS",IF(D2428=C2428,1,0),IF(B2428="REGION LOSS",IF(E2428=C2428,1,0),0))</f>
        <v>0</v>
      </c>
      <c r="K2428" s="15" t="n">
        <f aca="false">IF(B2428="SITE LOSS",IF(COUNTIFS('Site Dockets'!$B$7:$B$24,C2428,'Site Dockets'!$C$7:$C$24,F2428)&gt;0,1,0),IF(B2428="REGION LOSS",IF(COUNTIFS('Site Dockets'!$E$7:$E$24,C2428,'Site Dockets'!$C$7:$C$24,F2428)&gt;0,1,0),0))</f>
        <v>1</v>
      </c>
      <c r="L2428" s="15" t="n">
        <f aca="false">IF(J2428=1,0,Inputs!$B$11)</f>
        <v>100</v>
      </c>
      <c r="M2428" s="15" t="n">
        <f aca="false">IF(J2428=1,0,Inputs!$B$12)</f>
        <v>75</v>
      </c>
      <c r="N2428" s="15" t="n">
        <f aca="false">IF(J2428=1,0,IF(OR(AND(OR(B2428="SITE LOSS",B2428="REGION LOSS"),K2428=1),AND(B2428="ROLE COMPROMISE",H2428=C2428)),Inputs!$B$13,Inputs!$B$14))</f>
        <v>20</v>
      </c>
      <c r="O2428" s="15" t="n">
        <f aca="false">IF(J2428=1,0,Inputs!$B$13)</f>
        <v>20</v>
      </c>
      <c r="P2428" s="15" t="n">
        <f aca="false">SUM(M2428:N2428)</f>
        <v>95</v>
      </c>
      <c r="Q2428" s="15" t="n">
        <f aca="false">IF(J2428=1,"",L2428-P2428)</f>
        <v>5</v>
      </c>
      <c r="R2428" s="15" t="n">
        <f aca="false">IF(OR(J2428=1,M2428&lt;=Inputs!$B$12),1,0)</f>
        <v>1</v>
      </c>
      <c r="S2428" s="15" t="n">
        <f aca="false">IF(OR(J2428=1,N2428&lt;=O2428),1,0)</f>
        <v>1</v>
      </c>
      <c r="T2428" s="15" t="str">
        <f aca="false">IF(J2428=1,"OFFLINE",IF(AND(Q2428&gt;=Inputs!$B$15,R2428=1,S2428=1,P2428&lt;=L2428),"PASS","FAIL"))</f>
        <v>PASS</v>
      </c>
    </row>
    <row r="2429" customFormat="false" ht="15" hidden="false" customHeight="false" outlineLevel="0" collapsed="false">
      <c r="A2429" s="14" t="s">
        <v>1042</v>
      </c>
      <c r="B2429" s="14" t="s">
        <v>1038</v>
      </c>
      <c r="C2429" s="14" t="s">
        <v>161</v>
      </c>
      <c r="D2429" s="14" t="s">
        <v>178</v>
      </c>
      <c r="E2429" s="14" t="s">
        <v>169</v>
      </c>
      <c r="F2429" s="14" t="s">
        <v>175</v>
      </c>
      <c r="G2429" s="14" t="n">
        <v>2</v>
      </c>
      <c r="H2429" s="14" t="s">
        <v>153</v>
      </c>
      <c r="I2429" s="14" t="s">
        <v>897</v>
      </c>
      <c r="J2429" s="15" t="n">
        <f aca="false">IF(B2429="SITE LOSS",IF(D2429=C2429,1,0),IF(B2429="REGION LOSS",IF(E2429=C2429,1,0),0))</f>
        <v>0</v>
      </c>
      <c r="K2429" s="15" t="n">
        <f aca="false">IF(B2429="SITE LOSS",IF(COUNTIFS('Site Dockets'!$B$7:$B$24,C2429,'Site Dockets'!$C$7:$C$24,F2429)&gt;0,1,0),IF(B2429="REGION LOSS",IF(COUNTIFS('Site Dockets'!$E$7:$E$24,C2429,'Site Dockets'!$C$7:$C$24,F2429)&gt;0,1,0),0))</f>
        <v>1</v>
      </c>
      <c r="L2429" s="15" t="n">
        <f aca="false">IF(J2429=1,0,Inputs!$B$11)</f>
        <v>100</v>
      </c>
      <c r="M2429" s="15" t="n">
        <f aca="false">IF(J2429=1,0,Inputs!$B$12)</f>
        <v>75</v>
      </c>
      <c r="N2429" s="15" t="n">
        <f aca="false">IF(J2429=1,0,IF(OR(AND(OR(B2429="SITE LOSS",B2429="REGION LOSS"),K2429=1),AND(B2429="ROLE COMPROMISE",H2429=C2429)),Inputs!$B$13,Inputs!$B$14))</f>
        <v>20</v>
      </c>
      <c r="O2429" s="15" t="n">
        <f aca="false">IF(J2429=1,0,Inputs!$B$13)</f>
        <v>20</v>
      </c>
      <c r="P2429" s="15" t="n">
        <f aca="false">SUM(M2429:N2429)</f>
        <v>95</v>
      </c>
      <c r="Q2429" s="15" t="n">
        <f aca="false">IF(J2429=1,"",L2429-P2429)</f>
        <v>5</v>
      </c>
      <c r="R2429" s="15" t="n">
        <f aca="false">IF(OR(J2429=1,M2429&lt;=Inputs!$B$12),1,0)</f>
        <v>1</v>
      </c>
      <c r="S2429" s="15" t="n">
        <f aca="false">IF(OR(J2429=1,N2429&lt;=O2429),1,0)</f>
        <v>1</v>
      </c>
      <c r="T2429" s="15" t="str">
        <f aca="false">IF(J2429=1,"OFFLINE",IF(AND(Q2429&gt;=Inputs!$B$15,R2429=1,S2429=1,P2429&lt;=L2429),"PASS","FAIL"))</f>
        <v>PASS</v>
      </c>
    </row>
    <row r="2430" customFormat="false" ht="15" hidden="false" customHeight="false" outlineLevel="0" collapsed="false">
      <c r="A2430" s="14" t="s">
        <v>1042</v>
      </c>
      <c r="B2430" s="14" t="s">
        <v>1038</v>
      </c>
      <c r="C2430" s="14" t="s">
        <v>161</v>
      </c>
      <c r="D2430" s="14" t="s">
        <v>178</v>
      </c>
      <c r="E2430" s="14" t="s">
        <v>169</v>
      </c>
      <c r="F2430" s="14" t="s">
        <v>175</v>
      </c>
      <c r="G2430" s="14" t="n">
        <v>2</v>
      </c>
      <c r="H2430" s="14" t="s">
        <v>153</v>
      </c>
      <c r="I2430" s="14" t="s">
        <v>899</v>
      </c>
      <c r="J2430" s="15" t="n">
        <f aca="false">IF(B2430="SITE LOSS",IF(D2430=C2430,1,0),IF(B2430="REGION LOSS",IF(E2430=C2430,1,0),0))</f>
        <v>0</v>
      </c>
      <c r="K2430" s="15" t="n">
        <f aca="false">IF(B2430="SITE LOSS",IF(COUNTIFS('Site Dockets'!$B$7:$B$24,C2430,'Site Dockets'!$C$7:$C$24,F2430)&gt;0,1,0),IF(B2430="REGION LOSS",IF(COUNTIFS('Site Dockets'!$E$7:$E$24,C2430,'Site Dockets'!$C$7:$C$24,F2430)&gt;0,1,0),0))</f>
        <v>1</v>
      </c>
      <c r="L2430" s="15" t="n">
        <f aca="false">IF(J2430=1,0,Inputs!$B$11)</f>
        <v>100</v>
      </c>
      <c r="M2430" s="15" t="n">
        <f aca="false">IF(J2430=1,0,Inputs!$B$12)</f>
        <v>75</v>
      </c>
      <c r="N2430" s="15" t="n">
        <f aca="false">IF(J2430=1,0,IF(OR(AND(OR(B2430="SITE LOSS",B2430="REGION LOSS"),K2430=1),AND(B2430="ROLE COMPROMISE",H2430=C2430)),Inputs!$B$13,Inputs!$B$14))</f>
        <v>20</v>
      </c>
      <c r="O2430" s="15" t="n">
        <f aca="false">IF(J2430=1,0,Inputs!$B$13)</f>
        <v>20</v>
      </c>
      <c r="P2430" s="15" t="n">
        <f aca="false">SUM(M2430:N2430)</f>
        <v>95</v>
      </c>
      <c r="Q2430" s="15" t="n">
        <f aca="false">IF(J2430=1,"",L2430-P2430)</f>
        <v>5</v>
      </c>
      <c r="R2430" s="15" t="n">
        <f aca="false">IF(OR(J2430=1,M2430&lt;=Inputs!$B$12),1,0)</f>
        <v>1</v>
      </c>
      <c r="S2430" s="15" t="n">
        <f aca="false">IF(OR(J2430=1,N2430&lt;=O2430),1,0)</f>
        <v>1</v>
      </c>
      <c r="T2430" s="15" t="str">
        <f aca="false">IF(J2430=1,"OFFLINE",IF(AND(Q2430&gt;=Inputs!$B$15,R2430=1,S2430=1,P2430&lt;=L2430),"PASS","FAIL"))</f>
        <v>PASS</v>
      </c>
    </row>
    <row r="2431" customFormat="false" ht="15" hidden="false" customHeight="false" outlineLevel="0" collapsed="false">
      <c r="A2431" s="14" t="s">
        <v>1042</v>
      </c>
      <c r="B2431" s="14" t="s">
        <v>1038</v>
      </c>
      <c r="C2431" s="14" t="s">
        <v>161</v>
      </c>
      <c r="D2431" s="14" t="s">
        <v>180</v>
      </c>
      <c r="E2431" s="14" t="s">
        <v>161</v>
      </c>
      <c r="F2431" s="14" t="s">
        <v>175</v>
      </c>
      <c r="G2431" s="14" t="n">
        <v>3</v>
      </c>
      <c r="H2431" s="14" t="s">
        <v>158</v>
      </c>
      <c r="I2431" s="14" t="s">
        <v>890</v>
      </c>
      <c r="J2431" s="15" t="n">
        <f aca="false">IF(B2431="SITE LOSS",IF(D2431=C2431,1,0),IF(B2431="REGION LOSS",IF(E2431=C2431,1,0),0))</f>
        <v>1</v>
      </c>
      <c r="K2431" s="15" t="n">
        <f aca="false">IF(B2431="SITE LOSS",IF(COUNTIFS('Site Dockets'!$B$7:$B$24,C2431,'Site Dockets'!$C$7:$C$24,F2431)&gt;0,1,0),IF(B2431="REGION LOSS",IF(COUNTIFS('Site Dockets'!$E$7:$E$24,C2431,'Site Dockets'!$C$7:$C$24,F2431)&gt;0,1,0),0))</f>
        <v>1</v>
      </c>
      <c r="L2431" s="15" t="n">
        <f aca="false">IF(J2431=1,0,Inputs!$B$11)</f>
        <v>0</v>
      </c>
      <c r="M2431" s="15" t="n">
        <f aca="false">IF(J2431=1,0,Inputs!$B$12)</f>
        <v>0</v>
      </c>
      <c r="N2431" s="15" t="n">
        <f aca="false">IF(J2431=1,0,IF(OR(AND(OR(B2431="SITE LOSS",B2431="REGION LOSS"),K2431=1),AND(B2431="ROLE COMPROMISE",H2431=C2431)),Inputs!$B$13,Inputs!$B$14))</f>
        <v>0</v>
      </c>
      <c r="O2431" s="15" t="n">
        <f aca="false">IF(J2431=1,0,Inputs!$B$13)</f>
        <v>0</v>
      </c>
      <c r="P2431" s="15" t="n">
        <f aca="false">SUM(M2431:N2431)</f>
        <v>0</v>
      </c>
      <c r="Q2431" s="15" t="str">
        <f aca="false">IF(J2431=1,"",L2431-P2431)</f>
        <v/>
      </c>
      <c r="R2431" s="15" t="n">
        <f aca="false">IF(OR(J2431=1,M2431&lt;=Inputs!$B$12),1,0)</f>
        <v>1</v>
      </c>
      <c r="S2431" s="15" t="n">
        <f aca="false">IF(OR(J2431=1,N2431&lt;=O2431),1,0)</f>
        <v>1</v>
      </c>
      <c r="T2431" s="15" t="str">
        <f aca="false">IF(J2431=1,"OFFLINE",IF(AND(Q2431&gt;=Inputs!$B$15,R2431=1,S2431=1,P2431&lt;=L2431),"PASS","FAIL"))</f>
        <v>OFFLINE</v>
      </c>
    </row>
    <row r="2432" customFormat="false" ht="15" hidden="false" customHeight="false" outlineLevel="0" collapsed="false">
      <c r="A2432" s="14" t="s">
        <v>1042</v>
      </c>
      <c r="B2432" s="14" t="s">
        <v>1038</v>
      </c>
      <c r="C2432" s="14" t="s">
        <v>161</v>
      </c>
      <c r="D2432" s="14" t="s">
        <v>180</v>
      </c>
      <c r="E2432" s="14" t="s">
        <v>161</v>
      </c>
      <c r="F2432" s="14" t="s">
        <v>175</v>
      </c>
      <c r="G2432" s="14" t="n">
        <v>3</v>
      </c>
      <c r="H2432" s="14" t="s">
        <v>158</v>
      </c>
      <c r="I2432" s="14" t="s">
        <v>892</v>
      </c>
      <c r="J2432" s="15" t="n">
        <f aca="false">IF(B2432="SITE LOSS",IF(D2432=C2432,1,0),IF(B2432="REGION LOSS",IF(E2432=C2432,1,0),0))</f>
        <v>1</v>
      </c>
      <c r="K2432" s="15" t="n">
        <f aca="false">IF(B2432="SITE LOSS",IF(COUNTIFS('Site Dockets'!$B$7:$B$24,C2432,'Site Dockets'!$C$7:$C$24,F2432)&gt;0,1,0),IF(B2432="REGION LOSS",IF(COUNTIFS('Site Dockets'!$E$7:$E$24,C2432,'Site Dockets'!$C$7:$C$24,F2432)&gt;0,1,0),0))</f>
        <v>1</v>
      </c>
      <c r="L2432" s="15" t="n">
        <f aca="false">IF(J2432=1,0,Inputs!$B$11)</f>
        <v>0</v>
      </c>
      <c r="M2432" s="15" t="n">
        <f aca="false">IF(J2432=1,0,Inputs!$B$12)</f>
        <v>0</v>
      </c>
      <c r="N2432" s="15" t="n">
        <f aca="false">IF(J2432=1,0,IF(OR(AND(OR(B2432="SITE LOSS",B2432="REGION LOSS"),K2432=1),AND(B2432="ROLE COMPROMISE",H2432=C2432)),Inputs!$B$13,Inputs!$B$14))</f>
        <v>0</v>
      </c>
      <c r="O2432" s="15" t="n">
        <f aca="false">IF(J2432=1,0,Inputs!$B$13)</f>
        <v>0</v>
      </c>
      <c r="P2432" s="15" t="n">
        <f aca="false">SUM(M2432:N2432)</f>
        <v>0</v>
      </c>
      <c r="Q2432" s="15" t="str">
        <f aca="false">IF(J2432=1,"",L2432-P2432)</f>
        <v/>
      </c>
      <c r="R2432" s="15" t="n">
        <f aca="false">IF(OR(J2432=1,M2432&lt;=Inputs!$B$12),1,0)</f>
        <v>1</v>
      </c>
      <c r="S2432" s="15" t="n">
        <f aca="false">IF(OR(J2432=1,N2432&lt;=O2432),1,0)</f>
        <v>1</v>
      </c>
      <c r="T2432" s="15" t="str">
        <f aca="false">IF(J2432=1,"OFFLINE",IF(AND(Q2432&gt;=Inputs!$B$15,R2432=1,S2432=1,P2432&lt;=L2432),"PASS","FAIL"))</f>
        <v>OFFLINE</v>
      </c>
    </row>
    <row r="2433" customFormat="false" ht="15" hidden="false" customHeight="false" outlineLevel="0" collapsed="false">
      <c r="A2433" s="14" t="s">
        <v>1042</v>
      </c>
      <c r="B2433" s="14" t="s">
        <v>1038</v>
      </c>
      <c r="C2433" s="14" t="s">
        <v>161</v>
      </c>
      <c r="D2433" s="14" t="s">
        <v>180</v>
      </c>
      <c r="E2433" s="14" t="s">
        <v>161</v>
      </c>
      <c r="F2433" s="14" t="s">
        <v>175</v>
      </c>
      <c r="G2433" s="14" t="n">
        <v>3</v>
      </c>
      <c r="H2433" s="14" t="s">
        <v>158</v>
      </c>
      <c r="I2433" s="14" t="s">
        <v>811</v>
      </c>
      <c r="J2433" s="15" t="n">
        <f aca="false">IF(B2433="SITE LOSS",IF(D2433=C2433,1,0),IF(B2433="REGION LOSS",IF(E2433=C2433,1,0),0))</f>
        <v>1</v>
      </c>
      <c r="K2433" s="15" t="n">
        <f aca="false">IF(B2433="SITE LOSS",IF(COUNTIFS('Site Dockets'!$B$7:$B$24,C2433,'Site Dockets'!$C$7:$C$24,F2433)&gt;0,1,0),IF(B2433="REGION LOSS",IF(COUNTIFS('Site Dockets'!$E$7:$E$24,C2433,'Site Dockets'!$C$7:$C$24,F2433)&gt;0,1,0),0))</f>
        <v>1</v>
      </c>
      <c r="L2433" s="15" t="n">
        <f aca="false">IF(J2433=1,0,Inputs!$B$11)</f>
        <v>0</v>
      </c>
      <c r="M2433" s="15" t="n">
        <f aca="false">IF(J2433=1,0,Inputs!$B$12)</f>
        <v>0</v>
      </c>
      <c r="N2433" s="15" t="n">
        <f aca="false">IF(J2433=1,0,IF(OR(AND(OR(B2433="SITE LOSS",B2433="REGION LOSS"),K2433=1),AND(B2433="ROLE COMPROMISE",H2433=C2433)),Inputs!$B$13,Inputs!$B$14))</f>
        <v>0</v>
      </c>
      <c r="O2433" s="15" t="n">
        <f aca="false">IF(J2433=1,0,Inputs!$B$13)</f>
        <v>0</v>
      </c>
      <c r="P2433" s="15" t="n">
        <f aca="false">SUM(M2433:N2433)</f>
        <v>0</v>
      </c>
      <c r="Q2433" s="15" t="str">
        <f aca="false">IF(J2433=1,"",L2433-P2433)</f>
        <v/>
      </c>
      <c r="R2433" s="15" t="n">
        <f aca="false">IF(OR(J2433=1,M2433&lt;=Inputs!$B$12),1,0)</f>
        <v>1</v>
      </c>
      <c r="S2433" s="15" t="n">
        <f aca="false">IF(OR(J2433=1,N2433&lt;=O2433),1,0)</f>
        <v>1</v>
      </c>
      <c r="T2433" s="15" t="str">
        <f aca="false">IF(J2433=1,"OFFLINE",IF(AND(Q2433&gt;=Inputs!$B$15,R2433=1,S2433=1,P2433&lt;=L2433),"PASS","FAIL"))</f>
        <v>OFFLINE</v>
      </c>
    </row>
    <row r="2434" customFormat="false" ht="15" hidden="false" customHeight="false" outlineLevel="0" collapsed="false">
      <c r="A2434" s="14" t="s">
        <v>1042</v>
      </c>
      <c r="B2434" s="14" t="s">
        <v>1038</v>
      </c>
      <c r="C2434" s="14" t="s">
        <v>161</v>
      </c>
      <c r="D2434" s="14" t="s">
        <v>180</v>
      </c>
      <c r="E2434" s="14" t="s">
        <v>161</v>
      </c>
      <c r="F2434" s="14" t="s">
        <v>175</v>
      </c>
      <c r="G2434" s="14" t="n">
        <v>3</v>
      </c>
      <c r="H2434" s="14" t="s">
        <v>158</v>
      </c>
      <c r="I2434" s="14" t="s">
        <v>895</v>
      </c>
      <c r="J2434" s="15" t="n">
        <f aca="false">IF(B2434="SITE LOSS",IF(D2434=C2434,1,0),IF(B2434="REGION LOSS",IF(E2434=C2434,1,0),0))</f>
        <v>1</v>
      </c>
      <c r="K2434" s="15" t="n">
        <f aca="false">IF(B2434="SITE LOSS",IF(COUNTIFS('Site Dockets'!$B$7:$B$24,C2434,'Site Dockets'!$C$7:$C$24,F2434)&gt;0,1,0),IF(B2434="REGION LOSS",IF(COUNTIFS('Site Dockets'!$E$7:$E$24,C2434,'Site Dockets'!$C$7:$C$24,F2434)&gt;0,1,0),0))</f>
        <v>1</v>
      </c>
      <c r="L2434" s="15" t="n">
        <f aca="false">IF(J2434=1,0,Inputs!$B$11)</f>
        <v>0</v>
      </c>
      <c r="M2434" s="15" t="n">
        <f aca="false">IF(J2434=1,0,Inputs!$B$12)</f>
        <v>0</v>
      </c>
      <c r="N2434" s="15" t="n">
        <f aca="false">IF(J2434=1,0,IF(OR(AND(OR(B2434="SITE LOSS",B2434="REGION LOSS"),K2434=1),AND(B2434="ROLE COMPROMISE",H2434=C2434)),Inputs!$B$13,Inputs!$B$14))</f>
        <v>0</v>
      </c>
      <c r="O2434" s="15" t="n">
        <f aca="false">IF(J2434=1,0,Inputs!$B$13)</f>
        <v>0</v>
      </c>
      <c r="P2434" s="15" t="n">
        <f aca="false">SUM(M2434:N2434)</f>
        <v>0</v>
      </c>
      <c r="Q2434" s="15" t="str">
        <f aca="false">IF(J2434=1,"",L2434-P2434)</f>
        <v/>
      </c>
      <c r="R2434" s="15" t="n">
        <f aca="false">IF(OR(J2434=1,M2434&lt;=Inputs!$B$12),1,0)</f>
        <v>1</v>
      </c>
      <c r="S2434" s="15" t="n">
        <f aca="false">IF(OR(J2434=1,N2434&lt;=O2434),1,0)</f>
        <v>1</v>
      </c>
      <c r="T2434" s="15" t="str">
        <f aca="false">IF(J2434=1,"OFFLINE",IF(AND(Q2434&gt;=Inputs!$B$15,R2434=1,S2434=1,P2434&lt;=L2434),"PASS","FAIL"))</f>
        <v>OFFLINE</v>
      </c>
    </row>
    <row r="2435" customFormat="false" ht="15" hidden="false" customHeight="false" outlineLevel="0" collapsed="false">
      <c r="A2435" s="14" t="s">
        <v>1042</v>
      </c>
      <c r="B2435" s="14" t="s">
        <v>1038</v>
      </c>
      <c r="C2435" s="14" t="s">
        <v>161</v>
      </c>
      <c r="D2435" s="14" t="s">
        <v>180</v>
      </c>
      <c r="E2435" s="14" t="s">
        <v>161</v>
      </c>
      <c r="F2435" s="14" t="s">
        <v>175</v>
      </c>
      <c r="G2435" s="14" t="n">
        <v>3</v>
      </c>
      <c r="H2435" s="14" t="s">
        <v>158</v>
      </c>
      <c r="I2435" s="14" t="s">
        <v>897</v>
      </c>
      <c r="J2435" s="15" t="n">
        <f aca="false">IF(B2435="SITE LOSS",IF(D2435=C2435,1,0),IF(B2435="REGION LOSS",IF(E2435=C2435,1,0),0))</f>
        <v>1</v>
      </c>
      <c r="K2435" s="15" t="n">
        <f aca="false">IF(B2435="SITE LOSS",IF(COUNTIFS('Site Dockets'!$B$7:$B$24,C2435,'Site Dockets'!$C$7:$C$24,F2435)&gt;0,1,0),IF(B2435="REGION LOSS",IF(COUNTIFS('Site Dockets'!$E$7:$E$24,C2435,'Site Dockets'!$C$7:$C$24,F2435)&gt;0,1,0),0))</f>
        <v>1</v>
      </c>
      <c r="L2435" s="15" t="n">
        <f aca="false">IF(J2435=1,0,Inputs!$B$11)</f>
        <v>0</v>
      </c>
      <c r="M2435" s="15" t="n">
        <f aca="false">IF(J2435=1,0,Inputs!$B$12)</f>
        <v>0</v>
      </c>
      <c r="N2435" s="15" t="n">
        <f aca="false">IF(J2435=1,0,IF(OR(AND(OR(B2435="SITE LOSS",B2435="REGION LOSS"),K2435=1),AND(B2435="ROLE COMPROMISE",H2435=C2435)),Inputs!$B$13,Inputs!$B$14))</f>
        <v>0</v>
      </c>
      <c r="O2435" s="15" t="n">
        <f aca="false">IF(J2435=1,0,Inputs!$B$13)</f>
        <v>0</v>
      </c>
      <c r="P2435" s="15" t="n">
        <f aca="false">SUM(M2435:N2435)</f>
        <v>0</v>
      </c>
      <c r="Q2435" s="15" t="str">
        <f aca="false">IF(J2435=1,"",L2435-P2435)</f>
        <v/>
      </c>
      <c r="R2435" s="15" t="n">
        <f aca="false">IF(OR(J2435=1,M2435&lt;=Inputs!$B$12),1,0)</f>
        <v>1</v>
      </c>
      <c r="S2435" s="15" t="n">
        <f aca="false">IF(OR(J2435=1,N2435&lt;=O2435),1,0)</f>
        <v>1</v>
      </c>
      <c r="T2435" s="15" t="str">
        <f aca="false">IF(J2435=1,"OFFLINE",IF(AND(Q2435&gt;=Inputs!$B$15,R2435=1,S2435=1,P2435&lt;=L2435),"PASS","FAIL"))</f>
        <v>OFFLINE</v>
      </c>
    </row>
    <row r="2436" customFormat="false" ht="15" hidden="false" customHeight="false" outlineLevel="0" collapsed="false">
      <c r="A2436" s="14" t="s">
        <v>1042</v>
      </c>
      <c r="B2436" s="14" t="s">
        <v>1038</v>
      </c>
      <c r="C2436" s="14" t="s">
        <v>161</v>
      </c>
      <c r="D2436" s="14" t="s">
        <v>180</v>
      </c>
      <c r="E2436" s="14" t="s">
        <v>161</v>
      </c>
      <c r="F2436" s="14" t="s">
        <v>175</v>
      </c>
      <c r="G2436" s="14" t="n">
        <v>3</v>
      </c>
      <c r="H2436" s="14" t="s">
        <v>158</v>
      </c>
      <c r="I2436" s="14" t="s">
        <v>899</v>
      </c>
      <c r="J2436" s="15" t="n">
        <f aca="false">IF(B2436="SITE LOSS",IF(D2436=C2436,1,0),IF(B2436="REGION LOSS",IF(E2436=C2436,1,0),0))</f>
        <v>1</v>
      </c>
      <c r="K2436" s="15" t="n">
        <f aca="false">IF(B2436="SITE LOSS",IF(COUNTIFS('Site Dockets'!$B$7:$B$24,C2436,'Site Dockets'!$C$7:$C$24,F2436)&gt;0,1,0),IF(B2436="REGION LOSS",IF(COUNTIFS('Site Dockets'!$E$7:$E$24,C2436,'Site Dockets'!$C$7:$C$24,F2436)&gt;0,1,0),0))</f>
        <v>1</v>
      </c>
      <c r="L2436" s="15" t="n">
        <f aca="false">IF(J2436=1,0,Inputs!$B$11)</f>
        <v>0</v>
      </c>
      <c r="M2436" s="15" t="n">
        <f aca="false">IF(J2436=1,0,Inputs!$B$12)</f>
        <v>0</v>
      </c>
      <c r="N2436" s="15" t="n">
        <f aca="false">IF(J2436=1,0,IF(OR(AND(OR(B2436="SITE LOSS",B2436="REGION LOSS"),K2436=1),AND(B2436="ROLE COMPROMISE",H2436=C2436)),Inputs!$B$13,Inputs!$B$14))</f>
        <v>0</v>
      </c>
      <c r="O2436" s="15" t="n">
        <f aca="false">IF(J2436=1,0,Inputs!$B$13)</f>
        <v>0</v>
      </c>
      <c r="P2436" s="15" t="n">
        <f aca="false">SUM(M2436:N2436)</f>
        <v>0</v>
      </c>
      <c r="Q2436" s="15" t="str">
        <f aca="false">IF(J2436=1,"",L2436-P2436)</f>
        <v/>
      </c>
      <c r="R2436" s="15" t="n">
        <f aca="false">IF(OR(J2436=1,M2436&lt;=Inputs!$B$12),1,0)</f>
        <v>1</v>
      </c>
      <c r="S2436" s="15" t="n">
        <f aca="false">IF(OR(J2436=1,N2436&lt;=O2436),1,0)</f>
        <v>1</v>
      </c>
      <c r="T2436" s="15" t="str">
        <f aca="false">IF(J2436=1,"OFFLINE",IF(AND(Q2436&gt;=Inputs!$B$15,R2436=1,S2436=1,P2436&lt;=L2436),"PASS","FAIL"))</f>
        <v>OFFLINE</v>
      </c>
    </row>
    <row r="2437" customFormat="false" ht="15" hidden="false" customHeight="false" outlineLevel="0" collapsed="false">
      <c r="A2437" s="14" t="s">
        <v>1042</v>
      </c>
      <c r="B2437" s="14" t="s">
        <v>1038</v>
      </c>
      <c r="C2437" s="14" t="s">
        <v>161</v>
      </c>
      <c r="D2437" s="14" t="s">
        <v>182</v>
      </c>
      <c r="E2437" s="14" t="s">
        <v>166</v>
      </c>
      <c r="F2437" s="14" t="s">
        <v>183</v>
      </c>
      <c r="G2437" s="14" t="n">
        <v>1</v>
      </c>
      <c r="H2437" s="14" t="s">
        <v>154</v>
      </c>
      <c r="I2437" s="14" t="s">
        <v>890</v>
      </c>
      <c r="J2437" s="15" t="n">
        <f aca="false">IF(B2437="SITE LOSS",IF(D2437=C2437,1,0),IF(B2437="REGION LOSS",IF(E2437=C2437,1,0),0))</f>
        <v>0</v>
      </c>
      <c r="K2437" s="15" t="n">
        <f aca="false">IF(B2437="SITE LOSS",IF(COUNTIFS('Site Dockets'!$B$7:$B$24,C2437,'Site Dockets'!$C$7:$C$24,F2437)&gt;0,1,0),IF(B2437="REGION LOSS",IF(COUNTIFS('Site Dockets'!$E$7:$E$24,C2437,'Site Dockets'!$C$7:$C$24,F2437)&gt;0,1,0),0))</f>
        <v>0</v>
      </c>
      <c r="L2437" s="15" t="n">
        <f aca="false">IF(J2437=1,0,Inputs!$B$11)</f>
        <v>100</v>
      </c>
      <c r="M2437" s="15" t="n">
        <f aca="false">IF(J2437=1,0,Inputs!$B$12)</f>
        <v>75</v>
      </c>
      <c r="N2437" s="15" t="n">
        <f aca="false">IF(J2437=1,0,IF(OR(AND(OR(B2437="SITE LOSS",B2437="REGION LOSS"),K2437=1),AND(B2437="ROLE COMPROMISE",H2437=C2437)),Inputs!$B$13,Inputs!$B$14))</f>
        <v>10</v>
      </c>
      <c r="O2437" s="15" t="n">
        <f aca="false">IF(J2437=1,0,Inputs!$B$13)</f>
        <v>20</v>
      </c>
      <c r="P2437" s="15" t="n">
        <f aca="false">SUM(M2437:N2437)</f>
        <v>85</v>
      </c>
      <c r="Q2437" s="15" t="n">
        <f aca="false">IF(J2437=1,"",L2437-P2437)</f>
        <v>15</v>
      </c>
      <c r="R2437" s="15" t="n">
        <f aca="false">IF(OR(J2437=1,M2437&lt;=Inputs!$B$12),1,0)</f>
        <v>1</v>
      </c>
      <c r="S2437" s="15" t="n">
        <f aca="false">IF(OR(J2437=1,N2437&lt;=O2437),1,0)</f>
        <v>1</v>
      </c>
      <c r="T2437" s="15" t="str">
        <f aca="false">IF(J2437=1,"OFFLINE",IF(AND(Q2437&gt;=Inputs!$B$15,R2437=1,S2437=1,P2437&lt;=L2437),"PASS","FAIL"))</f>
        <v>PASS</v>
      </c>
    </row>
    <row r="2438" customFormat="false" ht="15" hidden="false" customHeight="false" outlineLevel="0" collapsed="false">
      <c r="A2438" s="14" t="s">
        <v>1042</v>
      </c>
      <c r="B2438" s="14" t="s">
        <v>1038</v>
      </c>
      <c r="C2438" s="14" t="s">
        <v>161</v>
      </c>
      <c r="D2438" s="14" t="s">
        <v>182</v>
      </c>
      <c r="E2438" s="14" t="s">
        <v>166</v>
      </c>
      <c r="F2438" s="14" t="s">
        <v>183</v>
      </c>
      <c r="G2438" s="14" t="n">
        <v>1</v>
      </c>
      <c r="H2438" s="14" t="s">
        <v>154</v>
      </c>
      <c r="I2438" s="14" t="s">
        <v>892</v>
      </c>
      <c r="J2438" s="15" t="n">
        <f aca="false">IF(B2438="SITE LOSS",IF(D2438=C2438,1,0),IF(B2438="REGION LOSS",IF(E2438=C2438,1,0),0))</f>
        <v>0</v>
      </c>
      <c r="K2438" s="15" t="n">
        <f aca="false">IF(B2438="SITE LOSS",IF(COUNTIFS('Site Dockets'!$B$7:$B$24,C2438,'Site Dockets'!$C$7:$C$24,F2438)&gt;0,1,0),IF(B2438="REGION LOSS",IF(COUNTIFS('Site Dockets'!$E$7:$E$24,C2438,'Site Dockets'!$C$7:$C$24,F2438)&gt;0,1,0),0))</f>
        <v>0</v>
      </c>
      <c r="L2438" s="15" t="n">
        <f aca="false">IF(J2438=1,0,Inputs!$B$11)</f>
        <v>100</v>
      </c>
      <c r="M2438" s="15" t="n">
        <f aca="false">IF(J2438=1,0,Inputs!$B$12)</f>
        <v>75</v>
      </c>
      <c r="N2438" s="15" t="n">
        <f aca="false">IF(J2438=1,0,IF(OR(AND(OR(B2438="SITE LOSS",B2438="REGION LOSS"),K2438=1),AND(B2438="ROLE COMPROMISE",H2438=C2438)),Inputs!$B$13,Inputs!$B$14))</f>
        <v>10</v>
      </c>
      <c r="O2438" s="15" t="n">
        <f aca="false">IF(J2438=1,0,Inputs!$B$13)</f>
        <v>20</v>
      </c>
      <c r="P2438" s="15" t="n">
        <f aca="false">SUM(M2438:N2438)</f>
        <v>85</v>
      </c>
      <c r="Q2438" s="15" t="n">
        <f aca="false">IF(J2438=1,"",L2438-P2438)</f>
        <v>15</v>
      </c>
      <c r="R2438" s="15" t="n">
        <f aca="false">IF(OR(J2438=1,M2438&lt;=Inputs!$B$12),1,0)</f>
        <v>1</v>
      </c>
      <c r="S2438" s="15" t="n">
        <f aca="false">IF(OR(J2438=1,N2438&lt;=O2438),1,0)</f>
        <v>1</v>
      </c>
      <c r="T2438" s="15" t="str">
        <f aca="false">IF(J2438=1,"OFFLINE",IF(AND(Q2438&gt;=Inputs!$B$15,R2438=1,S2438=1,P2438&lt;=L2438),"PASS","FAIL"))</f>
        <v>PASS</v>
      </c>
    </row>
    <row r="2439" customFormat="false" ht="15" hidden="false" customHeight="false" outlineLevel="0" collapsed="false">
      <c r="A2439" s="14" t="s">
        <v>1042</v>
      </c>
      <c r="B2439" s="14" t="s">
        <v>1038</v>
      </c>
      <c r="C2439" s="14" t="s">
        <v>161</v>
      </c>
      <c r="D2439" s="14" t="s">
        <v>182</v>
      </c>
      <c r="E2439" s="14" t="s">
        <v>166</v>
      </c>
      <c r="F2439" s="14" t="s">
        <v>183</v>
      </c>
      <c r="G2439" s="14" t="n">
        <v>1</v>
      </c>
      <c r="H2439" s="14" t="s">
        <v>154</v>
      </c>
      <c r="I2439" s="14" t="s">
        <v>811</v>
      </c>
      <c r="J2439" s="15" t="n">
        <f aca="false">IF(B2439="SITE LOSS",IF(D2439=C2439,1,0),IF(B2439="REGION LOSS",IF(E2439=C2439,1,0),0))</f>
        <v>0</v>
      </c>
      <c r="K2439" s="15" t="n">
        <f aca="false">IF(B2439="SITE LOSS",IF(COUNTIFS('Site Dockets'!$B$7:$B$24,C2439,'Site Dockets'!$C$7:$C$24,F2439)&gt;0,1,0),IF(B2439="REGION LOSS",IF(COUNTIFS('Site Dockets'!$E$7:$E$24,C2439,'Site Dockets'!$C$7:$C$24,F2439)&gt;0,1,0),0))</f>
        <v>0</v>
      </c>
      <c r="L2439" s="15" t="n">
        <f aca="false">IF(J2439=1,0,Inputs!$B$11)</f>
        <v>100</v>
      </c>
      <c r="M2439" s="15" t="n">
        <f aca="false">IF(J2439=1,0,Inputs!$B$12)</f>
        <v>75</v>
      </c>
      <c r="N2439" s="15" t="n">
        <f aca="false">IF(J2439=1,0,IF(OR(AND(OR(B2439="SITE LOSS",B2439="REGION LOSS"),K2439=1),AND(B2439="ROLE COMPROMISE",H2439=C2439)),Inputs!$B$13,Inputs!$B$14))</f>
        <v>10</v>
      </c>
      <c r="O2439" s="15" t="n">
        <f aca="false">IF(J2439=1,0,Inputs!$B$13)</f>
        <v>20</v>
      </c>
      <c r="P2439" s="15" t="n">
        <f aca="false">SUM(M2439:N2439)</f>
        <v>85</v>
      </c>
      <c r="Q2439" s="15" t="n">
        <f aca="false">IF(J2439=1,"",L2439-P2439)</f>
        <v>15</v>
      </c>
      <c r="R2439" s="15" t="n">
        <f aca="false">IF(OR(J2439=1,M2439&lt;=Inputs!$B$12),1,0)</f>
        <v>1</v>
      </c>
      <c r="S2439" s="15" t="n">
        <f aca="false">IF(OR(J2439=1,N2439&lt;=O2439),1,0)</f>
        <v>1</v>
      </c>
      <c r="T2439" s="15" t="str">
        <f aca="false">IF(J2439=1,"OFFLINE",IF(AND(Q2439&gt;=Inputs!$B$15,R2439=1,S2439=1,P2439&lt;=L2439),"PASS","FAIL"))</f>
        <v>PASS</v>
      </c>
    </row>
    <row r="2440" customFormat="false" ht="15" hidden="false" customHeight="false" outlineLevel="0" collapsed="false">
      <c r="A2440" s="14" t="s">
        <v>1042</v>
      </c>
      <c r="B2440" s="14" t="s">
        <v>1038</v>
      </c>
      <c r="C2440" s="14" t="s">
        <v>161</v>
      </c>
      <c r="D2440" s="14" t="s">
        <v>182</v>
      </c>
      <c r="E2440" s="14" t="s">
        <v>166</v>
      </c>
      <c r="F2440" s="14" t="s">
        <v>183</v>
      </c>
      <c r="G2440" s="14" t="n">
        <v>1</v>
      </c>
      <c r="H2440" s="14" t="s">
        <v>154</v>
      </c>
      <c r="I2440" s="14" t="s">
        <v>895</v>
      </c>
      <c r="J2440" s="15" t="n">
        <f aca="false">IF(B2440="SITE LOSS",IF(D2440=C2440,1,0),IF(B2440="REGION LOSS",IF(E2440=C2440,1,0),0))</f>
        <v>0</v>
      </c>
      <c r="K2440" s="15" t="n">
        <f aca="false">IF(B2440="SITE LOSS",IF(COUNTIFS('Site Dockets'!$B$7:$B$24,C2440,'Site Dockets'!$C$7:$C$24,F2440)&gt;0,1,0),IF(B2440="REGION LOSS",IF(COUNTIFS('Site Dockets'!$E$7:$E$24,C2440,'Site Dockets'!$C$7:$C$24,F2440)&gt;0,1,0),0))</f>
        <v>0</v>
      </c>
      <c r="L2440" s="15" t="n">
        <f aca="false">IF(J2440=1,0,Inputs!$B$11)</f>
        <v>100</v>
      </c>
      <c r="M2440" s="15" t="n">
        <f aca="false">IF(J2440=1,0,Inputs!$B$12)</f>
        <v>75</v>
      </c>
      <c r="N2440" s="15" t="n">
        <f aca="false">IF(J2440=1,0,IF(OR(AND(OR(B2440="SITE LOSS",B2440="REGION LOSS"),K2440=1),AND(B2440="ROLE COMPROMISE",H2440=C2440)),Inputs!$B$13,Inputs!$B$14))</f>
        <v>10</v>
      </c>
      <c r="O2440" s="15" t="n">
        <f aca="false">IF(J2440=1,0,Inputs!$B$13)</f>
        <v>20</v>
      </c>
      <c r="P2440" s="15" t="n">
        <f aca="false">SUM(M2440:N2440)</f>
        <v>85</v>
      </c>
      <c r="Q2440" s="15" t="n">
        <f aca="false">IF(J2440=1,"",L2440-P2440)</f>
        <v>15</v>
      </c>
      <c r="R2440" s="15" t="n">
        <f aca="false">IF(OR(J2440=1,M2440&lt;=Inputs!$B$12),1,0)</f>
        <v>1</v>
      </c>
      <c r="S2440" s="15" t="n">
        <f aca="false">IF(OR(J2440=1,N2440&lt;=O2440),1,0)</f>
        <v>1</v>
      </c>
      <c r="T2440" s="15" t="str">
        <f aca="false">IF(J2440=1,"OFFLINE",IF(AND(Q2440&gt;=Inputs!$B$15,R2440=1,S2440=1,P2440&lt;=L2440),"PASS","FAIL"))</f>
        <v>PASS</v>
      </c>
    </row>
    <row r="2441" customFormat="false" ht="15" hidden="false" customHeight="false" outlineLevel="0" collapsed="false">
      <c r="A2441" s="14" t="s">
        <v>1042</v>
      </c>
      <c r="B2441" s="14" t="s">
        <v>1038</v>
      </c>
      <c r="C2441" s="14" t="s">
        <v>161</v>
      </c>
      <c r="D2441" s="14" t="s">
        <v>182</v>
      </c>
      <c r="E2441" s="14" t="s">
        <v>166</v>
      </c>
      <c r="F2441" s="14" t="s">
        <v>183</v>
      </c>
      <c r="G2441" s="14" t="n">
        <v>1</v>
      </c>
      <c r="H2441" s="14" t="s">
        <v>154</v>
      </c>
      <c r="I2441" s="14" t="s">
        <v>897</v>
      </c>
      <c r="J2441" s="15" t="n">
        <f aca="false">IF(B2441="SITE LOSS",IF(D2441=C2441,1,0),IF(B2441="REGION LOSS",IF(E2441=C2441,1,0),0))</f>
        <v>0</v>
      </c>
      <c r="K2441" s="15" t="n">
        <f aca="false">IF(B2441="SITE LOSS",IF(COUNTIFS('Site Dockets'!$B$7:$B$24,C2441,'Site Dockets'!$C$7:$C$24,F2441)&gt;0,1,0),IF(B2441="REGION LOSS",IF(COUNTIFS('Site Dockets'!$E$7:$E$24,C2441,'Site Dockets'!$C$7:$C$24,F2441)&gt;0,1,0),0))</f>
        <v>0</v>
      </c>
      <c r="L2441" s="15" t="n">
        <f aca="false">IF(J2441=1,0,Inputs!$B$11)</f>
        <v>100</v>
      </c>
      <c r="M2441" s="15" t="n">
        <f aca="false">IF(J2441=1,0,Inputs!$B$12)</f>
        <v>75</v>
      </c>
      <c r="N2441" s="15" t="n">
        <f aca="false">IF(J2441=1,0,IF(OR(AND(OR(B2441="SITE LOSS",B2441="REGION LOSS"),K2441=1),AND(B2441="ROLE COMPROMISE",H2441=C2441)),Inputs!$B$13,Inputs!$B$14))</f>
        <v>10</v>
      </c>
      <c r="O2441" s="15" t="n">
        <f aca="false">IF(J2441=1,0,Inputs!$B$13)</f>
        <v>20</v>
      </c>
      <c r="P2441" s="15" t="n">
        <f aca="false">SUM(M2441:N2441)</f>
        <v>85</v>
      </c>
      <c r="Q2441" s="15" t="n">
        <f aca="false">IF(J2441=1,"",L2441-P2441)</f>
        <v>15</v>
      </c>
      <c r="R2441" s="15" t="n">
        <f aca="false">IF(OR(J2441=1,M2441&lt;=Inputs!$B$12),1,0)</f>
        <v>1</v>
      </c>
      <c r="S2441" s="15" t="n">
        <f aca="false">IF(OR(J2441=1,N2441&lt;=O2441),1,0)</f>
        <v>1</v>
      </c>
      <c r="T2441" s="15" t="str">
        <f aca="false">IF(J2441=1,"OFFLINE",IF(AND(Q2441&gt;=Inputs!$B$15,R2441=1,S2441=1,P2441&lt;=L2441),"PASS","FAIL"))</f>
        <v>PASS</v>
      </c>
    </row>
    <row r="2442" customFormat="false" ht="15" hidden="false" customHeight="false" outlineLevel="0" collapsed="false">
      <c r="A2442" s="14" t="s">
        <v>1042</v>
      </c>
      <c r="B2442" s="14" t="s">
        <v>1038</v>
      </c>
      <c r="C2442" s="14" t="s">
        <v>161</v>
      </c>
      <c r="D2442" s="14" t="s">
        <v>182</v>
      </c>
      <c r="E2442" s="14" t="s">
        <v>166</v>
      </c>
      <c r="F2442" s="14" t="s">
        <v>183</v>
      </c>
      <c r="G2442" s="14" t="n">
        <v>1</v>
      </c>
      <c r="H2442" s="14" t="s">
        <v>154</v>
      </c>
      <c r="I2442" s="14" t="s">
        <v>899</v>
      </c>
      <c r="J2442" s="15" t="n">
        <f aca="false">IF(B2442="SITE LOSS",IF(D2442=C2442,1,0),IF(B2442="REGION LOSS",IF(E2442=C2442,1,0),0))</f>
        <v>0</v>
      </c>
      <c r="K2442" s="15" t="n">
        <f aca="false">IF(B2442="SITE LOSS",IF(COUNTIFS('Site Dockets'!$B$7:$B$24,C2442,'Site Dockets'!$C$7:$C$24,F2442)&gt;0,1,0),IF(B2442="REGION LOSS",IF(COUNTIFS('Site Dockets'!$E$7:$E$24,C2442,'Site Dockets'!$C$7:$C$24,F2442)&gt;0,1,0),0))</f>
        <v>0</v>
      </c>
      <c r="L2442" s="15" t="n">
        <f aca="false">IF(J2442=1,0,Inputs!$B$11)</f>
        <v>100</v>
      </c>
      <c r="M2442" s="15" t="n">
        <f aca="false">IF(J2442=1,0,Inputs!$B$12)</f>
        <v>75</v>
      </c>
      <c r="N2442" s="15" t="n">
        <f aca="false">IF(J2442=1,0,IF(OR(AND(OR(B2442="SITE LOSS",B2442="REGION LOSS"),K2442=1),AND(B2442="ROLE COMPROMISE",H2442=C2442)),Inputs!$B$13,Inputs!$B$14))</f>
        <v>10</v>
      </c>
      <c r="O2442" s="15" t="n">
        <f aca="false">IF(J2442=1,0,Inputs!$B$13)</f>
        <v>20</v>
      </c>
      <c r="P2442" s="15" t="n">
        <f aca="false">SUM(M2442:N2442)</f>
        <v>85</v>
      </c>
      <c r="Q2442" s="15" t="n">
        <f aca="false">IF(J2442=1,"",L2442-P2442)</f>
        <v>15</v>
      </c>
      <c r="R2442" s="15" t="n">
        <f aca="false">IF(OR(J2442=1,M2442&lt;=Inputs!$B$12),1,0)</f>
        <v>1</v>
      </c>
      <c r="S2442" s="15" t="n">
        <f aca="false">IF(OR(J2442=1,N2442&lt;=O2442),1,0)</f>
        <v>1</v>
      </c>
      <c r="T2442" s="15" t="str">
        <f aca="false">IF(J2442=1,"OFFLINE",IF(AND(Q2442&gt;=Inputs!$B$15,R2442=1,S2442=1,P2442&lt;=L2442),"PASS","FAIL"))</f>
        <v>PASS</v>
      </c>
    </row>
    <row r="2443" customFormat="false" ht="15" hidden="false" customHeight="false" outlineLevel="0" collapsed="false">
      <c r="A2443" s="14" t="s">
        <v>1042</v>
      </c>
      <c r="B2443" s="14" t="s">
        <v>1038</v>
      </c>
      <c r="C2443" s="14" t="s">
        <v>161</v>
      </c>
      <c r="D2443" s="14" t="s">
        <v>186</v>
      </c>
      <c r="E2443" s="14" t="s">
        <v>157</v>
      </c>
      <c r="F2443" s="14" t="s">
        <v>183</v>
      </c>
      <c r="G2443" s="14" t="n">
        <v>2</v>
      </c>
      <c r="H2443" s="14" t="s">
        <v>153</v>
      </c>
      <c r="I2443" s="14" t="s">
        <v>890</v>
      </c>
      <c r="J2443" s="15" t="n">
        <f aca="false">IF(B2443="SITE LOSS",IF(D2443=C2443,1,0),IF(B2443="REGION LOSS",IF(E2443=C2443,1,0),0))</f>
        <v>0</v>
      </c>
      <c r="K2443" s="15" t="n">
        <f aca="false">IF(B2443="SITE LOSS",IF(COUNTIFS('Site Dockets'!$B$7:$B$24,C2443,'Site Dockets'!$C$7:$C$24,F2443)&gt;0,1,0),IF(B2443="REGION LOSS",IF(COUNTIFS('Site Dockets'!$E$7:$E$24,C2443,'Site Dockets'!$C$7:$C$24,F2443)&gt;0,1,0),0))</f>
        <v>0</v>
      </c>
      <c r="L2443" s="15" t="n">
        <f aca="false">IF(J2443=1,0,Inputs!$B$11)</f>
        <v>100</v>
      </c>
      <c r="M2443" s="15" t="n">
        <f aca="false">IF(J2443=1,0,Inputs!$B$12)</f>
        <v>75</v>
      </c>
      <c r="N2443" s="15" t="n">
        <f aca="false">IF(J2443=1,0,IF(OR(AND(OR(B2443="SITE LOSS",B2443="REGION LOSS"),K2443=1),AND(B2443="ROLE COMPROMISE",H2443=C2443)),Inputs!$B$13,Inputs!$B$14))</f>
        <v>10</v>
      </c>
      <c r="O2443" s="15" t="n">
        <f aca="false">IF(J2443=1,0,Inputs!$B$13)</f>
        <v>20</v>
      </c>
      <c r="P2443" s="15" t="n">
        <f aca="false">SUM(M2443:N2443)</f>
        <v>85</v>
      </c>
      <c r="Q2443" s="15" t="n">
        <f aca="false">IF(J2443=1,"",L2443-P2443)</f>
        <v>15</v>
      </c>
      <c r="R2443" s="15" t="n">
        <f aca="false">IF(OR(J2443=1,M2443&lt;=Inputs!$B$12),1,0)</f>
        <v>1</v>
      </c>
      <c r="S2443" s="15" t="n">
        <f aca="false">IF(OR(J2443=1,N2443&lt;=O2443),1,0)</f>
        <v>1</v>
      </c>
      <c r="T2443" s="15" t="str">
        <f aca="false">IF(J2443=1,"OFFLINE",IF(AND(Q2443&gt;=Inputs!$B$15,R2443=1,S2443=1,P2443&lt;=L2443),"PASS","FAIL"))</f>
        <v>PASS</v>
      </c>
    </row>
    <row r="2444" customFormat="false" ht="15" hidden="false" customHeight="false" outlineLevel="0" collapsed="false">
      <c r="A2444" s="14" t="s">
        <v>1042</v>
      </c>
      <c r="B2444" s="14" t="s">
        <v>1038</v>
      </c>
      <c r="C2444" s="14" t="s">
        <v>161</v>
      </c>
      <c r="D2444" s="14" t="s">
        <v>186</v>
      </c>
      <c r="E2444" s="14" t="s">
        <v>157</v>
      </c>
      <c r="F2444" s="14" t="s">
        <v>183</v>
      </c>
      <c r="G2444" s="14" t="n">
        <v>2</v>
      </c>
      <c r="H2444" s="14" t="s">
        <v>153</v>
      </c>
      <c r="I2444" s="14" t="s">
        <v>892</v>
      </c>
      <c r="J2444" s="15" t="n">
        <f aca="false">IF(B2444="SITE LOSS",IF(D2444=C2444,1,0),IF(B2444="REGION LOSS",IF(E2444=C2444,1,0),0))</f>
        <v>0</v>
      </c>
      <c r="K2444" s="15" t="n">
        <f aca="false">IF(B2444="SITE LOSS",IF(COUNTIFS('Site Dockets'!$B$7:$B$24,C2444,'Site Dockets'!$C$7:$C$24,F2444)&gt;0,1,0),IF(B2444="REGION LOSS",IF(COUNTIFS('Site Dockets'!$E$7:$E$24,C2444,'Site Dockets'!$C$7:$C$24,F2444)&gt;0,1,0),0))</f>
        <v>0</v>
      </c>
      <c r="L2444" s="15" t="n">
        <f aca="false">IF(J2444=1,0,Inputs!$B$11)</f>
        <v>100</v>
      </c>
      <c r="M2444" s="15" t="n">
        <f aca="false">IF(J2444=1,0,Inputs!$B$12)</f>
        <v>75</v>
      </c>
      <c r="N2444" s="15" t="n">
        <f aca="false">IF(J2444=1,0,IF(OR(AND(OR(B2444="SITE LOSS",B2444="REGION LOSS"),K2444=1),AND(B2444="ROLE COMPROMISE",H2444=C2444)),Inputs!$B$13,Inputs!$B$14))</f>
        <v>10</v>
      </c>
      <c r="O2444" s="15" t="n">
        <f aca="false">IF(J2444=1,0,Inputs!$B$13)</f>
        <v>20</v>
      </c>
      <c r="P2444" s="15" t="n">
        <f aca="false">SUM(M2444:N2444)</f>
        <v>85</v>
      </c>
      <c r="Q2444" s="15" t="n">
        <f aca="false">IF(J2444=1,"",L2444-P2444)</f>
        <v>15</v>
      </c>
      <c r="R2444" s="15" t="n">
        <f aca="false">IF(OR(J2444=1,M2444&lt;=Inputs!$B$12),1,0)</f>
        <v>1</v>
      </c>
      <c r="S2444" s="15" t="n">
        <f aca="false">IF(OR(J2444=1,N2444&lt;=O2444),1,0)</f>
        <v>1</v>
      </c>
      <c r="T2444" s="15" t="str">
        <f aca="false">IF(J2444=1,"OFFLINE",IF(AND(Q2444&gt;=Inputs!$B$15,R2444=1,S2444=1,P2444&lt;=L2444),"PASS","FAIL"))</f>
        <v>PASS</v>
      </c>
    </row>
    <row r="2445" customFormat="false" ht="15" hidden="false" customHeight="false" outlineLevel="0" collapsed="false">
      <c r="A2445" s="14" t="s">
        <v>1042</v>
      </c>
      <c r="B2445" s="14" t="s">
        <v>1038</v>
      </c>
      <c r="C2445" s="14" t="s">
        <v>161</v>
      </c>
      <c r="D2445" s="14" t="s">
        <v>186</v>
      </c>
      <c r="E2445" s="14" t="s">
        <v>157</v>
      </c>
      <c r="F2445" s="14" t="s">
        <v>183</v>
      </c>
      <c r="G2445" s="14" t="n">
        <v>2</v>
      </c>
      <c r="H2445" s="14" t="s">
        <v>153</v>
      </c>
      <c r="I2445" s="14" t="s">
        <v>811</v>
      </c>
      <c r="J2445" s="15" t="n">
        <f aca="false">IF(B2445="SITE LOSS",IF(D2445=C2445,1,0),IF(B2445="REGION LOSS",IF(E2445=C2445,1,0),0))</f>
        <v>0</v>
      </c>
      <c r="K2445" s="15" t="n">
        <f aca="false">IF(B2445="SITE LOSS",IF(COUNTIFS('Site Dockets'!$B$7:$B$24,C2445,'Site Dockets'!$C$7:$C$24,F2445)&gt;0,1,0),IF(B2445="REGION LOSS",IF(COUNTIFS('Site Dockets'!$E$7:$E$24,C2445,'Site Dockets'!$C$7:$C$24,F2445)&gt;0,1,0),0))</f>
        <v>0</v>
      </c>
      <c r="L2445" s="15" t="n">
        <f aca="false">IF(J2445=1,0,Inputs!$B$11)</f>
        <v>100</v>
      </c>
      <c r="M2445" s="15" t="n">
        <f aca="false">IF(J2445=1,0,Inputs!$B$12)</f>
        <v>75</v>
      </c>
      <c r="N2445" s="15" t="n">
        <f aca="false">IF(J2445=1,0,IF(OR(AND(OR(B2445="SITE LOSS",B2445="REGION LOSS"),K2445=1),AND(B2445="ROLE COMPROMISE",H2445=C2445)),Inputs!$B$13,Inputs!$B$14))</f>
        <v>10</v>
      </c>
      <c r="O2445" s="15" t="n">
        <f aca="false">IF(J2445=1,0,Inputs!$B$13)</f>
        <v>20</v>
      </c>
      <c r="P2445" s="15" t="n">
        <f aca="false">SUM(M2445:N2445)</f>
        <v>85</v>
      </c>
      <c r="Q2445" s="15" t="n">
        <f aca="false">IF(J2445=1,"",L2445-P2445)</f>
        <v>15</v>
      </c>
      <c r="R2445" s="15" t="n">
        <f aca="false">IF(OR(J2445=1,M2445&lt;=Inputs!$B$12),1,0)</f>
        <v>1</v>
      </c>
      <c r="S2445" s="15" t="n">
        <f aca="false">IF(OR(J2445=1,N2445&lt;=O2445),1,0)</f>
        <v>1</v>
      </c>
      <c r="T2445" s="15" t="str">
        <f aca="false">IF(J2445=1,"OFFLINE",IF(AND(Q2445&gt;=Inputs!$B$15,R2445=1,S2445=1,P2445&lt;=L2445),"PASS","FAIL"))</f>
        <v>PASS</v>
      </c>
    </row>
    <row r="2446" customFormat="false" ht="15" hidden="false" customHeight="false" outlineLevel="0" collapsed="false">
      <c r="A2446" s="14" t="s">
        <v>1042</v>
      </c>
      <c r="B2446" s="14" t="s">
        <v>1038</v>
      </c>
      <c r="C2446" s="14" t="s">
        <v>161</v>
      </c>
      <c r="D2446" s="14" t="s">
        <v>186</v>
      </c>
      <c r="E2446" s="14" t="s">
        <v>157</v>
      </c>
      <c r="F2446" s="14" t="s">
        <v>183</v>
      </c>
      <c r="G2446" s="14" t="n">
        <v>2</v>
      </c>
      <c r="H2446" s="14" t="s">
        <v>153</v>
      </c>
      <c r="I2446" s="14" t="s">
        <v>895</v>
      </c>
      <c r="J2446" s="15" t="n">
        <f aca="false">IF(B2446="SITE LOSS",IF(D2446=C2446,1,0),IF(B2446="REGION LOSS",IF(E2446=C2446,1,0),0))</f>
        <v>0</v>
      </c>
      <c r="K2446" s="15" t="n">
        <f aca="false">IF(B2446="SITE LOSS",IF(COUNTIFS('Site Dockets'!$B$7:$B$24,C2446,'Site Dockets'!$C$7:$C$24,F2446)&gt;0,1,0),IF(B2446="REGION LOSS",IF(COUNTIFS('Site Dockets'!$E$7:$E$24,C2446,'Site Dockets'!$C$7:$C$24,F2446)&gt;0,1,0),0))</f>
        <v>0</v>
      </c>
      <c r="L2446" s="15" t="n">
        <f aca="false">IF(J2446=1,0,Inputs!$B$11)</f>
        <v>100</v>
      </c>
      <c r="M2446" s="15" t="n">
        <f aca="false">IF(J2446=1,0,Inputs!$B$12)</f>
        <v>75</v>
      </c>
      <c r="N2446" s="15" t="n">
        <f aca="false">IF(J2446=1,0,IF(OR(AND(OR(B2446="SITE LOSS",B2446="REGION LOSS"),K2446=1),AND(B2446="ROLE COMPROMISE",H2446=C2446)),Inputs!$B$13,Inputs!$B$14))</f>
        <v>10</v>
      </c>
      <c r="O2446" s="15" t="n">
        <f aca="false">IF(J2446=1,0,Inputs!$B$13)</f>
        <v>20</v>
      </c>
      <c r="P2446" s="15" t="n">
        <f aca="false">SUM(M2446:N2446)</f>
        <v>85</v>
      </c>
      <c r="Q2446" s="15" t="n">
        <f aca="false">IF(J2446=1,"",L2446-P2446)</f>
        <v>15</v>
      </c>
      <c r="R2446" s="15" t="n">
        <f aca="false">IF(OR(J2446=1,M2446&lt;=Inputs!$B$12),1,0)</f>
        <v>1</v>
      </c>
      <c r="S2446" s="15" t="n">
        <f aca="false">IF(OR(J2446=1,N2446&lt;=O2446),1,0)</f>
        <v>1</v>
      </c>
      <c r="T2446" s="15" t="str">
        <f aca="false">IF(J2446=1,"OFFLINE",IF(AND(Q2446&gt;=Inputs!$B$15,R2446=1,S2446=1,P2446&lt;=L2446),"PASS","FAIL"))</f>
        <v>PASS</v>
      </c>
    </row>
    <row r="2447" customFormat="false" ht="15" hidden="false" customHeight="false" outlineLevel="0" collapsed="false">
      <c r="A2447" s="14" t="s">
        <v>1042</v>
      </c>
      <c r="B2447" s="14" t="s">
        <v>1038</v>
      </c>
      <c r="C2447" s="14" t="s">
        <v>161</v>
      </c>
      <c r="D2447" s="14" t="s">
        <v>186</v>
      </c>
      <c r="E2447" s="14" t="s">
        <v>157</v>
      </c>
      <c r="F2447" s="14" t="s">
        <v>183</v>
      </c>
      <c r="G2447" s="14" t="n">
        <v>2</v>
      </c>
      <c r="H2447" s="14" t="s">
        <v>153</v>
      </c>
      <c r="I2447" s="14" t="s">
        <v>897</v>
      </c>
      <c r="J2447" s="15" t="n">
        <f aca="false">IF(B2447="SITE LOSS",IF(D2447=C2447,1,0),IF(B2447="REGION LOSS",IF(E2447=C2447,1,0),0))</f>
        <v>0</v>
      </c>
      <c r="K2447" s="15" t="n">
        <f aca="false">IF(B2447="SITE LOSS",IF(COUNTIFS('Site Dockets'!$B$7:$B$24,C2447,'Site Dockets'!$C$7:$C$24,F2447)&gt;0,1,0),IF(B2447="REGION LOSS",IF(COUNTIFS('Site Dockets'!$E$7:$E$24,C2447,'Site Dockets'!$C$7:$C$24,F2447)&gt;0,1,0),0))</f>
        <v>0</v>
      </c>
      <c r="L2447" s="15" t="n">
        <f aca="false">IF(J2447=1,0,Inputs!$B$11)</f>
        <v>100</v>
      </c>
      <c r="M2447" s="15" t="n">
        <f aca="false">IF(J2447=1,0,Inputs!$B$12)</f>
        <v>75</v>
      </c>
      <c r="N2447" s="15" t="n">
        <f aca="false">IF(J2447=1,0,IF(OR(AND(OR(B2447="SITE LOSS",B2447="REGION LOSS"),K2447=1),AND(B2447="ROLE COMPROMISE",H2447=C2447)),Inputs!$B$13,Inputs!$B$14))</f>
        <v>10</v>
      </c>
      <c r="O2447" s="15" t="n">
        <f aca="false">IF(J2447=1,0,Inputs!$B$13)</f>
        <v>20</v>
      </c>
      <c r="P2447" s="15" t="n">
        <f aca="false">SUM(M2447:N2447)</f>
        <v>85</v>
      </c>
      <c r="Q2447" s="15" t="n">
        <f aca="false">IF(J2447=1,"",L2447-P2447)</f>
        <v>15</v>
      </c>
      <c r="R2447" s="15" t="n">
        <f aca="false">IF(OR(J2447=1,M2447&lt;=Inputs!$B$12),1,0)</f>
        <v>1</v>
      </c>
      <c r="S2447" s="15" t="n">
        <f aca="false">IF(OR(J2447=1,N2447&lt;=O2447),1,0)</f>
        <v>1</v>
      </c>
      <c r="T2447" s="15" t="str">
        <f aca="false">IF(J2447=1,"OFFLINE",IF(AND(Q2447&gt;=Inputs!$B$15,R2447=1,S2447=1,P2447&lt;=L2447),"PASS","FAIL"))</f>
        <v>PASS</v>
      </c>
    </row>
    <row r="2448" customFormat="false" ht="15" hidden="false" customHeight="false" outlineLevel="0" collapsed="false">
      <c r="A2448" s="14" t="s">
        <v>1042</v>
      </c>
      <c r="B2448" s="14" t="s">
        <v>1038</v>
      </c>
      <c r="C2448" s="14" t="s">
        <v>161</v>
      </c>
      <c r="D2448" s="14" t="s">
        <v>186</v>
      </c>
      <c r="E2448" s="14" t="s">
        <v>157</v>
      </c>
      <c r="F2448" s="14" t="s">
        <v>183</v>
      </c>
      <c r="G2448" s="14" t="n">
        <v>2</v>
      </c>
      <c r="H2448" s="14" t="s">
        <v>153</v>
      </c>
      <c r="I2448" s="14" t="s">
        <v>899</v>
      </c>
      <c r="J2448" s="15" t="n">
        <f aca="false">IF(B2448="SITE LOSS",IF(D2448=C2448,1,0),IF(B2448="REGION LOSS",IF(E2448=C2448,1,0),0))</f>
        <v>0</v>
      </c>
      <c r="K2448" s="15" t="n">
        <f aca="false">IF(B2448="SITE LOSS",IF(COUNTIFS('Site Dockets'!$B$7:$B$24,C2448,'Site Dockets'!$C$7:$C$24,F2448)&gt;0,1,0),IF(B2448="REGION LOSS",IF(COUNTIFS('Site Dockets'!$E$7:$E$24,C2448,'Site Dockets'!$C$7:$C$24,F2448)&gt;0,1,0),0))</f>
        <v>0</v>
      </c>
      <c r="L2448" s="15" t="n">
        <f aca="false">IF(J2448=1,0,Inputs!$B$11)</f>
        <v>100</v>
      </c>
      <c r="M2448" s="15" t="n">
        <f aca="false">IF(J2448=1,0,Inputs!$B$12)</f>
        <v>75</v>
      </c>
      <c r="N2448" s="15" t="n">
        <f aca="false">IF(J2448=1,0,IF(OR(AND(OR(B2448="SITE LOSS",B2448="REGION LOSS"),K2448=1),AND(B2448="ROLE COMPROMISE",H2448=C2448)),Inputs!$B$13,Inputs!$B$14))</f>
        <v>10</v>
      </c>
      <c r="O2448" s="15" t="n">
        <f aca="false">IF(J2448=1,0,Inputs!$B$13)</f>
        <v>20</v>
      </c>
      <c r="P2448" s="15" t="n">
        <f aca="false">SUM(M2448:N2448)</f>
        <v>85</v>
      </c>
      <c r="Q2448" s="15" t="n">
        <f aca="false">IF(J2448=1,"",L2448-P2448)</f>
        <v>15</v>
      </c>
      <c r="R2448" s="15" t="n">
        <f aca="false">IF(OR(J2448=1,M2448&lt;=Inputs!$B$12),1,0)</f>
        <v>1</v>
      </c>
      <c r="S2448" s="15" t="n">
        <f aca="false">IF(OR(J2448=1,N2448&lt;=O2448),1,0)</f>
        <v>1</v>
      </c>
      <c r="T2448" s="15" t="str">
        <f aca="false">IF(J2448=1,"OFFLINE",IF(AND(Q2448&gt;=Inputs!$B$15,R2448=1,S2448=1,P2448&lt;=L2448),"PASS","FAIL"))</f>
        <v>PASS</v>
      </c>
    </row>
    <row r="2449" customFormat="false" ht="15" hidden="false" customHeight="false" outlineLevel="0" collapsed="false">
      <c r="A2449" s="14" t="s">
        <v>1042</v>
      </c>
      <c r="B2449" s="14" t="s">
        <v>1038</v>
      </c>
      <c r="C2449" s="14" t="s">
        <v>161</v>
      </c>
      <c r="D2449" s="14" t="s">
        <v>188</v>
      </c>
      <c r="E2449" s="14" t="s">
        <v>172</v>
      </c>
      <c r="F2449" s="14" t="s">
        <v>183</v>
      </c>
      <c r="G2449" s="14" t="n">
        <v>3</v>
      </c>
      <c r="H2449" s="14" t="s">
        <v>158</v>
      </c>
      <c r="I2449" s="14" t="s">
        <v>890</v>
      </c>
      <c r="J2449" s="15" t="n">
        <f aca="false">IF(B2449="SITE LOSS",IF(D2449=C2449,1,0),IF(B2449="REGION LOSS",IF(E2449=C2449,1,0),0))</f>
        <v>0</v>
      </c>
      <c r="K2449" s="15" t="n">
        <f aca="false">IF(B2449="SITE LOSS",IF(COUNTIFS('Site Dockets'!$B$7:$B$24,C2449,'Site Dockets'!$C$7:$C$24,F2449)&gt;0,1,0),IF(B2449="REGION LOSS",IF(COUNTIFS('Site Dockets'!$E$7:$E$24,C2449,'Site Dockets'!$C$7:$C$24,F2449)&gt;0,1,0),0))</f>
        <v>0</v>
      </c>
      <c r="L2449" s="15" t="n">
        <f aca="false">IF(J2449=1,0,Inputs!$B$11)</f>
        <v>100</v>
      </c>
      <c r="M2449" s="15" t="n">
        <f aca="false">IF(J2449=1,0,Inputs!$B$12)</f>
        <v>75</v>
      </c>
      <c r="N2449" s="15" t="n">
        <f aca="false">IF(J2449=1,0,IF(OR(AND(OR(B2449="SITE LOSS",B2449="REGION LOSS"),K2449=1),AND(B2449="ROLE COMPROMISE",H2449=C2449)),Inputs!$B$13,Inputs!$B$14))</f>
        <v>10</v>
      </c>
      <c r="O2449" s="15" t="n">
        <f aca="false">IF(J2449=1,0,Inputs!$B$13)</f>
        <v>20</v>
      </c>
      <c r="P2449" s="15" t="n">
        <f aca="false">SUM(M2449:N2449)</f>
        <v>85</v>
      </c>
      <c r="Q2449" s="15" t="n">
        <f aca="false">IF(J2449=1,"",L2449-P2449)</f>
        <v>15</v>
      </c>
      <c r="R2449" s="15" t="n">
        <f aca="false">IF(OR(J2449=1,M2449&lt;=Inputs!$B$12),1,0)</f>
        <v>1</v>
      </c>
      <c r="S2449" s="15" t="n">
        <f aca="false">IF(OR(J2449=1,N2449&lt;=O2449),1,0)</f>
        <v>1</v>
      </c>
      <c r="T2449" s="15" t="str">
        <f aca="false">IF(J2449=1,"OFFLINE",IF(AND(Q2449&gt;=Inputs!$B$15,R2449=1,S2449=1,P2449&lt;=L2449),"PASS","FAIL"))</f>
        <v>PASS</v>
      </c>
    </row>
    <row r="2450" customFormat="false" ht="15" hidden="false" customHeight="false" outlineLevel="0" collapsed="false">
      <c r="A2450" s="14" t="s">
        <v>1042</v>
      </c>
      <c r="B2450" s="14" t="s">
        <v>1038</v>
      </c>
      <c r="C2450" s="14" t="s">
        <v>161</v>
      </c>
      <c r="D2450" s="14" t="s">
        <v>188</v>
      </c>
      <c r="E2450" s="14" t="s">
        <v>172</v>
      </c>
      <c r="F2450" s="14" t="s">
        <v>183</v>
      </c>
      <c r="G2450" s="14" t="n">
        <v>3</v>
      </c>
      <c r="H2450" s="14" t="s">
        <v>158</v>
      </c>
      <c r="I2450" s="14" t="s">
        <v>892</v>
      </c>
      <c r="J2450" s="15" t="n">
        <f aca="false">IF(B2450="SITE LOSS",IF(D2450=C2450,1,0),IF(B2450="REGION LOSS",IF(E2450=C2450,1,0),0))</f>
        <v>0</v>
      </c>
      <c r="K2450" s="15" t="n">
        <f aca="false">IF(B2450="SITE LOSS",IF(COUNTIFS('Site Dockets'!$B$7:$B$24,C2450,'Site Dockets'!$C$7:$C$24,F2450)&gt;0,1,0),IF(B2450="REGION LOSS",IF(COUNTIFS('Site Dockets'!$E$7:$E$24,C2450,'Site Dockets'!$C$7:$C$24,F2450)&gt;0,1,0),0))</f>
        <v>0</v>
      </c>
      <c r="L2450" s="15" t="n">
        <f aca="false">IF(J2450=1,0,Inputs!$B$11)</f>
        <v>100</v>
      </c>
      <c r="M2450" s="15" t="n">
        <f aca="false">IF(J2450=1,0,Inputs!$B$12)</f>
        <v>75</v>
      </c>
      <c r="N2450" s="15" t="n">
        <f aca="false">IF(J2450=1,0,IF(OR(AND(OR(B2450="SITE LOSS",B2450="REGION LOSS"),K2450=1),AND(B2450="ROLE COMPROMISE",H2450=C2450)),Inputs!$B$13,Inputs!$B$14))</f>
        <v>10</v>
      </c>
      <c r="O2450" s="15" t="n">
        <f aca="false">IF(J2450=1,0,Inputs!$B$13)</f>
        <v>20</v>
      </c>
      <c r="P2450" s="15" t="n">
        <f aca="false">SUM(M2450:N2450)</f>
        <v>85</v>
      </c>
      <c r="Q2450" s="15" t="n">
        <f aca="false">IF(J2450=1,"",L2450-P2450)</f>
        <v>15</v>
      </c>
      <c r="R2450" s="15" t="n">
        <f aca="false">IF(OR(J2450=1,M2450&lt;=Inputs!$B$12),1,0)</f>
        <v>1</v>
      </c>
      <c r="S2450" s="15" t="n">
        <f aca="false">IF(OR(J2450=1,N2450&lt;=O2450),1,0)</f>
        <v>1</v>
      </c>
      <c r="T2450" s="15" t="str">
        <f aca="false">IF(J2450=1,"OFFLINE",IF(AND(Q2450&gt;=Inputs!$B$15,R2450=1,S2450=1,P2450&lt;=L2450),"PASS","FAIL"))</f>
        <v>PASS</v>
      </c>
    </row>
    <row r="2451" customFormat="false" ht="15" hidden="false" customHeight="false" outlineLevel="0" collapsed="false">
      <c r="A2451" s="14" t="s">
        <v>1042</v>
      </c>
      <c r="B2451" s="14" t="s">
        <v>1038</v>
      </c>
      <c r="C2451" s="14" t="s">
        <v>161</v>
      </c>
      <c r="D2451" s="14" t="s">
        <v>188</v>
      </c>
      <c r="E2451" s="14" t="s">
        <v>172</v>
      </c>
      <c r="F2451" s="14" t="s">
        <v>183</v>
      </c>
      <c r="G2451" s="14" t="n">
        <v>3</v>
      </c>
      <c r="H2451" s="14" t="s">
        <v>158</v>
      </c>
      <c r="I2451" s="14" t="s">
        <v>811</v>
      </c>
      <c r="J2451" s="15" t="n">
        <f aca="false">IF(B2451="SITE LOSS",IF(D2451=C2451,1,0),IF(B2451="REGION LOSS",IF(E2451=C2451,1,0),0))</f>
        <v>0</v>
      </c>
      <c r="K2451" s="15" t="n">
        <f aca="false">IF(B2451="SITE LOSS",IF(COUNTIFS('Site Dockets'!$B$7:$B$24,C2451,'Site Dockets'!$C$7:$C$24,F2451)&gt;0,1,0),IF(B2451="REGION LOSS",IF(COUNTIFS('Site Dockets'!$E$7:$E$24,C2451,'Site Dockets'!$C$7:$C$24,F2451)&gt;0,1,0),0))</f>
        <v>0</v>
      </c>
      <c r="L2451" s="15" t="n">
        <f aca="false">IF(J2451=1,0,Inputs!$B$11)</f>
        <v>100</v>
      </c>
      <c r="M2451" s="15" t="n">
        <f aca="false">IF(J2451=1,0,Inputs!$B$12)</f>
        <v>75</v>
      </c>
      <c r="N2451" s="15" t="n">
        <f aca="false">IF(J2451=1,0,IF(OR(AND(OR(B2451="SITE LOSS",B2451="REGION LOSS"),K2451=1),AND(B2451="ROLE COMPROMISE",H2451=C2451)),Inputs!$B$13,Inputs!$B$14))</f>
        <v>10</v>
      </c>
      <c r="O2451" s="15" t="n">
        <f aca="false">IF(J2451=1,0,Inputs!$B$13)</f>
        <v>20</v>
      </c>
      <c r="P2451" s="15" t="n">
        <f aca="false">SUM(M2451:N2451)</f>
        <v>85</v>
      </c>
      <c r="Q2451" s="15" t="n">
        <f aca="false">IF(J2451=1,"",L2451-P2451)</f>
        <v>15</v>
      </c>
      <c r="R2451" s="15" t="n">
        <f aca="false">IF(OR(J2451=1,M2451&lt;=Inputs!$B$12),1,0)</f>
        <v>1</v>
      </c>
      <c r="S2451" s="15" t="n">
        <f aca="false">IF(OR(J2451=1,N2451&lt;=O2451),1,0)</f>
        <v>1</v>
      </c>
      <c r="T2451" s="15" t="str">
        <f aca="false">IF(J2451=1,"OFFLINE",IF(AND(Q2451&gt;=Inputs!$B$15,R2451=1,S2451=1,P2451&lt;=L2451),"PASS","FAIL"))</f>
        <v>PASS</v>
      </c>
    </row>
    <row r="2452" customFormat="false" ht="15" hidden="false" customHeight="false" outlineLevel="0" collapsed="false">
      <c r="A2452" s="14" t="s">
        <v>1042</v>
      </c>
      <c r="B2452" s="14" t="s">
        <v>1038</v>
      </c>
      <c r="C2452" s="14" t="s">
        <v>161</v>
      </c>
      <c r="D2452" s="14" t="s">
        <v>188</v>
      </c>
      <c r="E2452" s="14" t="s">
        <v>172</v>
      </c>
      <c r="F2452" s="14" t="s">
        <v>183</v>
      </c>
      <c r="G2452" s="14" t="n">
        <v>3</v>
      </c>
      <c r="H2452" s="14" t="s">
        <v>158</v>
      </c>
      <c r="I2452" s="14" t="s">
        <v>895</v>
      </c>
      <c r="J2452" s="15" t="n">
        <f aca="false">IF(B2452="SITE LOSS",IF(D2452=C2452,1,0),IF(B2452="REGION LOSS",IF(E2452=C2452,1,0),0))</f>
        <v>0</v>
      </c>
      <c r="K2452" s="15" t="n">
        <f aca="false">IF(B2452="SITE LOSS",IF(COUNTIFS('Site Dockets'!$B$7:$B$24,C2452,'Site Dockets'!$C$7:$C$24,F2452)&gt;0,1,0),IF(B2452="REGION LOSS",IF(COUNTIFS('Site Dockets'!$E$7:$E$24,C2452,'Site Dockets'!$C$7:$C$24,F2452)&gt;0,1,0),0))</f>
        <v>0</v>
      </c>
      <c r="L2452" s="15" t="n">
        <f aca="false">IF(J2452=1,0,Inputs!$B$11)</f>
        <v>100</v>
      </c>
      <c r="M2452" s="15" t="n">
        <f aca="false">IF(J2452=1,0,Inputs!$B$12)</f>
        <v>75</v>
      </c>
      <c r="N2452" s="15" t="n">
        <f aca="false">IF(J2452=1,0,IF(OR(AND(OR(B2452="SITE LOSS",B2452="REGION LOSS"),K2452=1),AND(B2452="ROLE COMPROMISE",H2452=C2452)),Inputs!$B$13,Inputs!$B$14))</f>
        <v>10</v>
      </c>
      <c r="O2452" s="15" t="n">
        <f aca="false">IF(J2452=1,0,Inputs!$B$13)</f>
        <v>20</v>
      </c>
      <c r="P2452" s="15" t="n">
        <f aca="false">SUM(M2452:N2452)</f>
        <v>85</v>
      </c>
      <c r="Q2452" s="15" t="n">
        <f aca="false">IF(J2452=1,"",L2452-P2452)</f>
        <v>15</v>
      </c>
      <c r="R2452" s="15" t="n">
        <f aca="false">IF(OR(J2452=1,M2452&lt;=Inputs!$B$12),1,0)</f>
        <v>1</v>
      </c>
      <c r="S2452" s="15" t="n">
        <f aca="false">IF(OR(J2452=1,N2452&lt;=O2452),1,0)</f>
        <v>1</v>
      </c>
      <c r="T2452" s="15" t="str">
        <f aca="false">IF(J2452=1,"OFFLINE",IF(AND(Q2452&gt;=Inputs!$B$15,R2452=1,S2452=1,P2452&lt;=L2452),"PASS","FAIL"))</f>
        <v>PASS</v>
      </c>
    </row>
    <row r="2453" customFormat="false" ht="15" hidden="false" customHeight="false" outlineLevel="0" collapsed="false">
      <c r="A2453" s="14" t="s">
        <v>1042</v>
      </c>
      <c r="B2453" s="14" t="s">
        <v>1038</v>
      </c>
      <c r="C2453" s="14" t="s">
        <v>161</v>
      </c>
      <c r="D2453" s="14" t="s">
        <v>188</v>
      </c>
      <c r="E2453" s="14" t="s">
        <v>172</v>
      </c>
      <c r="F2453" s="14" t="s">
        <v>183</v>
      </c>
      <c r="G2453" s="14" t="n">
        <v>3</v>
      </c>
      <c r="H2453" s="14" t="s">
        <v>158</v>
      </c>
      <c r="I2453" s="14" t="s">
        <v>897</v>
      </c>
      <c r="J2453" s="15" t="n">
        <f aca="false">IF(B2453="SITE LOSS",IF(D2453=C2453,1,0),IF(B2453="REGION LOSS",IF(E2453=C2453,1,0),0))</f>
        <v>0</v>
      </c>
      <c r="K2453" s="15" t="n">
        <f aca="false">IF(B2453="SITE LOSS",IF(COUNTIFS('Site Dockets'!$B$7:$B$24,C2453,'Site Dockets'!$C$7:$C$24,F2453)&gt;0,1,0),IF(B2453="REGION LOSS",IF(COUNTIFS('Site Dockets'!$E$7:$E$24,C2453,'Site Dockets'!$C$7:$C$24,F2453)&gt;0,1,0),0))</f>
        <v>0</v>
      </c>
      <c r="L2453" s="15" t="n">
        <f aca="false">IF(J2453=1,0,Inputs!$B$11)</f>
        <v>100</v>
      </c>
      <c r="M2453" s="15" t="n">
        <f aca="false">IF(J2453=1,0,Inputs!$B$12)</f>
        <v>75</v>
      </c>
      <c r="N2453" s="15" t="n">
        <f aca="false">IF(J2453=1,0,IF(OR(AND(OR(B2453="SITE LOSS",B2453="REGION LOSS"),K2453=1),AND(B2453="ROLE COMPROMISE",H2453=C2453)),Inputs!$B$13,Inputs!$B$14))</f>
        <v>10</v>
      </c>
      <c r="O2453" s="15" t="n">
        <f aca="false">IF(J2453=1,0,Inputs!$B$13)</f>
        <v>20</v>
      </c>
      <c r="P2453" s="15" t="n">
        <f aca="false">SUM(M2453:N2453)</f>
        <v>85</v>
      </c>
      <c r="Q2453" s="15" t="n">
        <f aca="false">IF(J2453=1,"",L2453-P2453)</f>
        <v>15</v>
      </c>
      <c r="R2453" s="15" t="n">
        <f aca="false">IF(OR(J2453=1,M2453&lt;=Inputs!$B$12),1,0)</f>
        <v>1</v>
      </c>
      <c r="S2453" s="15" t="n">
        <f aca="false">IF(OR(J2453=1,N2453&lt;=O2453),1,0)</f>
        <v>1</v>
      </c>
      <c r="T2453" s="15" t="str">
        <f aca="false">IF(J2453=1,"OFFLINE",IF(AND(Q2453&gt;=Inputs!$B$15,R2453=1,S2453=1,P2453&lt;=L2453),"PASS","FAIL"))</f>
        <v>PASS</v>
      </c>
    </row>
    <row r="2454" customFormat="false" ht="15" hidden="false" customHeight="false" outlineLevel="0" collapsed="false">
      <c r="A2454" s="14" t="s">
        <v>1042</v>
      </c>
      <c r="B2454" s="14" t="s">
        <v>1038</v>
      </c>
      <c r="C2454" s="14" t="s">
        <v>161</v>
      </c>
      <c r="D2454" s="14" t="s">
        <v>188</v>
      </c>
      <c r="E2454" s="14" t="s">
        <v>172</v>
      </c>
      <c r="F2454" s="14" t="s">
        <v>183</v>
      </c>
      <c r="G2454" s="14" t="n">
        <v>3</v>
      </c>
      <c r="H2454" s="14" t="s">
        <v>158</v>
      </c>
      <c r="I2454" s="14" t="s">
        <v>899</v>
      </c>
      <c r="J2454" s="15" t="n">
        <f aca="false">IF(B2454="SITE LOSS",IF(D2454=C2454,1,0),IF(B2454="REGION LOSS",IF(E2454=C2454,1,0),0))</f>
        <v>0</v>
      </c>
      <c r="K2454" s="15" t="n">
        <f aca="false">IF(B2454="SITE LOSS",IF(COUNTIFS('Site Dockets'!$B$7:$B$24,C2454,'Site Dockets'!$C$7:$C$24,F2454)&gt;0,1,0),IF(B2454="REGION LOSS",IF(COUNTIFS('Site Dockets'!$E$7:$E$24,C2454,'Site Dockets'!$C$7:$C$24,F2454)&gt;0,1,0),0))</f>
        <v>0</v>
      </c>
      <c r="L2454" s="15" t="n">
        <f aca="false">IF(J2454=1,0,Inputs!$B$11)</f>
        <v>100</v>
      </c>
      <c r="M2454" s="15" t="n">
        <f aca="false">IF(J2454=1,0,Inputs!$B$12)</f>
        <v>75</v>
      </c>
      <c r="N2454" s="15" t="n">
        <f aca="false">IF(J2454=1,0,IF(OR(AND(OR(B2454="SITE LOSS",B2454="REGION LOSS"),K2454=1),AND(B2454="ROLE COMPROMISE",H2454=C2454)),Inputs!$B$13,Inputs!$B$14))</f>
        <v>10</v>
      </c>
      <c r="O2454" s="15" t="n">
        <f aca="false">IF(J2454=1,0,Inputs!$B$13)</f>
        <v>20</v>
      </c>
      <c r="P2454" s="15" t="n">
        <f aca="false">SUM(M2454:N2454)</f>
        <v>85</v>
      </c>
      <c r="Q2454" s="15" t="n">
        <f aca="false">IF(J2454=1,"",L2454-P2454)</f>
        <v>15</v>
      </c>
      <c r="R2454" s="15" t="n">
        <f aca="false">IF(OR(J2454=1,M2454&lt;=Inputs!$B$12),1,0)</f>
        <v>1</v>
      </c>
      <c r="S2454" s="15" t="n">
        <f aca="false">IF(OR(J2454=1,N2454&lt;=O2454),1,0)</f>
        <v>1</v>
      </c>
      <c r="T2454" s="15" t="str">
        <f aca="false">IF(J2454=1,"OFFLINE",IF(AND(Q2454&gt;=Inputs!$B$15,R2454=1,S2454=1,P2454&lt;=L2454),"PASS","FAIL"))</f>
        <v>PASS</v>
      </c>
    </row>
    <row r="2455" customFormat="false" ht="15" hidden="false" customHeight="false" outlineLevel="0" collapsed="false">
      <c r="A2455" s="14" t="s">
        <v>1042</v>
      </c>
      <c r="B2455" s="14" t="s">
        <v>1038</v>
      </c>
      <c r="C2455" s="14" t="s">
        <v>161</v>
      </c>
      <c r="D2455" s="14" t="s">
        <v>190</v>
      </c>
      <c r="E2455" s="14" t="s">
        <v>152</v>
      </c>
      <c r="F2455" s="14" t="s">
        <v>191</v>
      </c>
      <c r="G2455" s="14" t="n">
        <v>1</v>
      </c>
      <c r="H2455" s="14" t="s">
        <v>154</v>
      </c>
      <c r="I2455" s="14" t="s">
        <v>890</v>
      </c>
      <c r="J2455" s="15" t="n">
        <f aca="false">IF(B2455="SITE LOSS",IF(D2455=C2455,1,0),IF(B2455="REGION LOSS",IF(E2455=C2455,1,0),0))</f>
        <v>0</v>
      </c>
      <c r="K2455" s="15" t="n">
        <f aca="false">IF(B2455="SITE LOSS",IF(COUNTIFS('Site Dockets'!$B$7:$B$24,C2455,'Site Dockets'!$C$7:$C$24,F2455)&gt;0,1,0),IF(B2455="REGION LOSS",IF(COUNTIFS('Site Dockets'!$E$7:$E$24,C2455,'Site Dockets'!$C$7:$C$24,F2455)&gt;0,1,0),0))</f>
        <v>0</v>
      </c>
      <c r="L2455" s="15" t="n">
        <f aca="false">IF(J2455=1,0,Inputs!$B$11)</f>
        <v>100</v>
      </c>
      <c r="M2455" s="15" t="n">
        <f aca="false">IF(J2455=1,0,Inputs!$B$12)</f>
        <v>75</v>
      </c>
      <c r="N2455" s="15" t="n">
        <f aca="false">IF(J2455=1,0,IF(OR(AND(OR(B2455="SITE LOSS",B2455="REGION LOSS"),K2455=1),AND(B2455="ROLE COMPROMISE",H2455=C2455)),Inputs!$B$13,Inputs!$B$14))</f>
        <v>10</v>
      </c>
      <c r="O2455" s="15" t="n">
        <f aca="false">IF(J2455=1,0,Inputs!$B$13)</f>
        <v>20</v>
      </c>
      <c r="P2455" s="15" t="n">
        <f aca="false">SUM(M2455:N2455)</f>
        <v>85</v>
      </c>
      <c r="Q2455" s="15" t="n">
        <f aca="false">IF(J2455=1,"",L2455-P2455)</f>
        <v>15</v>
      </c>
      <c r="R2455" s="15" t="n">
        <f aca="false">IF(OR(J2455=1,M2455&lt;=Inputs!$B$12),1,0)</f>
        <v>1</v>
      </c>
      <c r="S2455" s="15" t="n">
        <f aca="false">IF(OR(J2455=1,N2455&lt;=O2455),1,0)</f>
        <v>1</v>
      </c>
      <c r="T2455" s="15" t="str">
        <f aca="false">IF(J2455=1,"OFFLINE",IF(AND(Q2455&gt;=Inputs!$B$15,R2455=1,S2455=1,P2455&lt;=L2455),"PASS","FAIL"))</f>
        <v>PASS</v>
      </c>
    </row>
    <row r="2456" customFormat="false" ht="15" hidden="false" customHeight="false" outlineLevel="0" collapsed="false">
      <c r="A2456" s="14" t="s">
        <v>1042</v>
      </c>
      <c r="B2456" s="14" t="s">
        <v>1038</v>
      </c>
      <c r="C2456" s="14" t="s">
        <v>161</v>
      </c>
      <c r="D2456" s="14" t="s">
        <v>190</v>
      </c>
      <c r="E2456" s="14" t="s">
        <v>152</v>
      </c>
      <c r="F2456" s="14" t="s">
        <v>191</v>
      </c>
      <c r="G2456" s="14" t="n">
        <v>1</v>
      </c>
      <c r="H2456" s="14" t="s">
        <v>154</v>
      </c>
      <c r="I2456" s="14" t="s">
        <v>892</v>
      </c>
      <c r="J2456" s="15" t="n">
        <f aca="false">IF(B2456="SITE LOSS",IF(D2456=C2456,1,0),IF(B2456="REGION LOSS",IF(E2456=C2456,1,0),0))</f>
        <v>0</v>
      </c>
      <c r="K2456" s="15" t="n">
        <f aca="false">IF(B2456="SITE LOSS",IF(COUNTIFS('Site Dockets'!$B$7:$B$24,C2456,'Site Dockets'!$C$7:$C$24,F2456)&gt;0,1,0),IF(B2456="REGION LOSS",IF(COUNTIFS('Site Dockets'!$E$7:$E$24,C2456,'Site Dockets'!$C$7:$C$24,F2456)&gt;0,1,0),0))</f>
        <v>0</v>
      </c>
      <c r="L2456" s="15" t="n">
        <f aca="false">IF(J2456=1,0,Inputs!$B$11)</f>
        <v>100</v>
      </c>
      <c r="M2456" s="15" t="n">
        <f aca="false">IF(J2456=1,0,Inputs!$B$12)</f>
        <v>75</v>
      </c>
      <c r="N2456" s="15" t="n">
        <f aca="false">IF(J2456=1,0,IF(OR(AND(OR(B2456="SITE LOSS",B2456="REGION LOSS"),K2456=1),AND(B2456="ROLE COMPROMISE",H2456=C2456)),Inputs!$B$13,Inputs!$B$14))</f>
        <v>10</v>
      </c>
      <c r="O2456" s="15" t="n">
        <f aca="false">IF(J2456=1,0,Inputs!$B$13)</f>
        <v>20</v>
      </c>
      <c r="P2456" s="15" t="n">
        <f aca="false">SUM(M2456:N2456)</f>
        <v>85</v>
      </c>
      <c r="Q2456" s="15" t="n">
        <f aca="false">IF(J2456=1,"",L2456-P2456)</f>
        <v>15</v>
      </c>
      <c r="R2456" s="15" t="n">
        <f aca="false">IF(OR(J2456=1,M2456&lt;=Inputs!$B$12),1,0)</f>
        <v>1</v>
      </c>
      <c r="S2456" s="15" t="n">
        <f aca="false">IF(OR(J2456=1,N2456&lt;=O2456),1,0)</f>
        <v>1</v>
      </c>
      <c r="T2456" s="15" t="str">
        <f aca="false">IF(J2456=1,"OFFLINE",IF(AND(Q2456&gt;=Inputs!$B$15,R2456=1,S2456=1,P2456&lt;=L2456),"PASS","FAIL"))</f>
        <v>PASS</v>
      </c>
    </row>
    <row r="2457" customFormat="false" ht="15" hidden="false" customHeight="false" outlineLevel="0" collapsed="false">
      <c r="A2457" s="14" t="s">
        <v>1042</v>
      </c>
      <c r="B2457" s="14" t="s">
        <v>1038</v>
      </c>
      <c r="C2457" s="14" t="s">
        <v>161</v>
      </c>
      <c r="D2457" s="14" t="s">
        <v>190</v>
      </c>
      <c r="E2457" s="14" t="s">
        <v>152</v>
      </c>
      <c r="F2457" s="14" t="s">
        <v>191</v>
      </c>
      <c r="G2457" s="14" t="n">
        <v>1</v>
      </c>
      <c r="H2457" s="14" t="s">
        <v>154</v>
      </c>
      <c r="I2457" s="14" t="s">
        <v>811</v>
      </c>
      <c r="J2457" s="15" t="n">
        <f aca="false">IF(B2457="SITE LOSS",IF(D2457=C2457,1,0),IF(B2457="REGION LOSS",IF(E2457=C2457,1,0),0))</f>
        <v>0</v>
      </c>
      <c r="K2457" s="15" t="n">
        <f aca="false">IF(B2457="SITE LOSS",IF(COUNTIFS('Site Dockets'!$B$7:$B$24,C2457,'Site Dockets'!$C$7:$C$24,F2457)&gt;0,1,0),IF(B2457="REGION LOSS",IF(COUNTIFS('Site Dockets'!$E$7:$E$24,C2457,'Site Dockets'!$C$7:$C$24,F2457)&gt;0,1,0),0))</f>
        <v>0</v>
      </c>
      <c r="L2457" s="15" t="n">
        <f aca="false">IF(J2457=1,0,Inputs!$B$11)</f>
        <v>100</v>
      </c>
      <c r="M2457" s="15" t="n">
        <f aca="false">IF(J2457=1,0,Inputs!$B$12)</f>
        <v>75</v>
      </c>
      <c r="N2457" s="15" t="n">
        <f aca="false">IF(J2457=1,0,IF(OR(AND(OR(B2457="SITE LOSS",B2457="REGION LOSS"),K2457=1),AND(B2457="ROLE COMPROMISE",H2457=C2457)),Inputs!$B$13,Inputs!$B$14))</f>
        <v>10</v>
      </c>
      <c r="O2457" s="15" t="n">
        <f aca="false">IF(J2457=1,0,Inputs!$B$13)</f>
        <v>20</v>
      </c>
      <c r="P2457" s="15" t="n">
        <f aca="false">SUM(M2457:N2457)</f>
        <v>85</v>
      </c>
      <c r="Q2457" s="15" t="n">
        <f aca="false">IF(J2457=1,"",L2457-P2457)</f>
        <v>15</v>
      </c>
      <c r="R2457" s="15" t="n">
        <f aca="false">IF(OR(J2457=1,M2457&lt;=Inputs!$B$12),1,0)</f>
        <v>1</v>
      </c>
      <c r="S2457" s="15" t="n">
        <f aca="false">IF(OR(J2457=1,N2457&lt;=O2457),1,0)</f>
        <v>1</v>
      </c>
      <c r="T2457" s="15" t="str">
        <f aca="false">IF(J2457=1,"OFFLINE",IF(AND(Q2457&gt;=Inputs!$B$15,R2457=1,S2457=1,P2457&lt;=L2457),"PASS","FAIL"))</f>
        <v>PASS</v>
      </c>
    </row>
    <row r="2458" customFormat="false" ht="15" hidden="false" customHeight="false" outlineLevel="0" collapsed="false">
      <c r="A2458" s="14" t="s">
        <v>1042</v>
      </c>
      <c r="B2458" s="14" t="s">
        <v>1038</v>
      </c>
      <c r="C2458" s="14" t="s">
        <v>161</v>
      </c>
      <c r="D2458" s="14" t="s">
        <v>190</v>
      </c>
      <c r="E2458" s="14" t="s">
        <v>152</v>
      </c>
      <c r="F2458" s="14" t="s">
        <v>191</v>
      </c>
      <c r="G2458" s="14" t="n">
        <v>1</v>
      </c>
      <c r="H2458" s="14" t="s">
        <v>154</v>
      </c>
      <c r="I2458" s="14" t="s">
        <v>895</v>
      </c>
      <c r="J2458" s="15" t="n">
        <f aca="false">IF(B2458="SITE LOSS",IF(D2458=C2458,1,0),IF(B2458="REGION LOSS",IF(E2458=C2458,1,0),0))</f>
        <v>0</v>
      </c>
      <c r="K2458" s="15" t="n">
        <f aca="false">IF(B2458="SITE LOSS",IF(COUNTIFS('Site Dockets'!$B$7:$B$24,C2458,'Site Dockets'!$C$7:$C$24,F2458)&gt;0,1,0),IF(B2458="REGION LOSS",IF(COUNTIFS('Site Dockets'!$E$7:$E$24,C2458,'Site Dockets'!$C$7:$C$24,F2458)&gt;0,1,0),0))</f>
        <v>0</v>
      </c>
      <c r="L2458" s="15" t="n">
        <f aca="false">IF(J2458=1,0,Inputs!$B$11)</f>
        <v>100</v>
      </c>
      <c r="M2458" s="15" t="n">
        <f aca="false">IF(J2458=1,0,Inputs!$B$12)</f>
        <v>75</v>
      </c>
      <c r="N2458" s="15" t="n">
        <f aca="false">IF(J2458=1,0,IF(OR(AND(OR(B2458="SITE LOSS",B2458="REGION LOSS"),K2458=1),AND(B2458="ROLE COMPROMISE",H2458=C2458)),Inputs!$B$13,Inputs!$B$14))</f>
        <v>10</v>
      </c>
      <c r="O2458" s="15" t="n">
        <f aca="false">IF(J2458=1,0,Inputs!$B$13)</f>
        <v>20</v>
      </c>
      <c r="P2458" s="15" t="n">
        <f aca="false">SUM(M2458:N2458)</f>
        <v>85</v>
      </c>
      <c r="Q2458" s="15" t="n">
        <f aca="false">IF(J2458=1,"",L2458-P2458)</f>
        <v>15</v>
      </c>
      <c r="R2458" s="15" t="n">
        <f aca="false">IF(OR(J2458=1,M2458&lt;=Inputs!$B$12),1,0)</f>
        <v>1</v>
      </c>
      <c r="S2458" s="15" t="n">
        <f aca="false">IF(OR(J2458=1,N2458&lt;=O2458),1,0)</f>
        <v>1</v>
      </c>
      <c r="T2458" s="15" t="str">
        <f aca="false">IF(J2458=1,"OFFLINE",IF(AND(Q2458&gt;=Inputs!$B$15,R2458=1,S2458=1,P2458&lt;=L2458),"PASS","FAIL"))</f>
        <v>PASS</v>
      </c>
    </row>
    <row r="2459" customFormat="false" ht="15" hidden="false" customHeight="false" outlineLevel="0" collapsed="false">
      <c r="A2459" s="14" t="s">
        <v>1042</v>
      </c>
      <c r="B2459" s="14" t="s">
        <v>1038</v>
      </c>
      <c r="C2459" s="14" t="s">
        <v>161</v>
      </c>
      <c r="D2459" s="14" t="s">
        <v>190</v>
      </c>
      <c r="E2459" s="14" t="s">
        <v>152</v>
      </c>
      <c r="F2459" s="14" t="s">
        <v>191</v>
      </c>
      <c r="G2459" s="14" t="n">
        <v>1</v>
      </c>
      <c r="H2459" s="14" t="s">
        <v>154</v>
      </c>
      <c r="I2459" s="14" t="s">
        <v>897</v>
      </c>
      <c r="J2459" s="15" t="n">
        <f aca="false">IF(B2459="SITE LOSS",IF(D2459=C2459,1,0),IF(B2459="REGION LOSS",IF(E2459=C2459,1,0),0))</f>
        <v>0</v>
      </c>
      <c r="K2459" s="15" t="n">
        <f aca="false">IF(B2459="SITE LOSS",IF(COUNTIFS('Site Dockets'!$B$7:$B$24,C2459,'Site Dockets'!$C$7:$C$24,F2459)&gt;0,1,0),IF(B2459="REGION LOSS",IF(COUNTIFS('Site Dockets'!$E$7:$E$24,C2459,'Site Dockets'!$C$7:$C$24,F2459)&gt;0,1,0),0))</f>
        <v>0</v>
      </c>
      <c r="L2459" s="15" t="n">
        <f aca="false">IF(J2459=1,0,Inputs!$B$11)</f>
        <v>100</v>
      </c>
      <c r="M2459" s="15" t="n">
        <f aca="false">IF(J2459=1,0,Inputs!$B$12)</f>
        <v>75</v>
      </c>
      <c r="N2459" s="15" t="n">
        <f aca="false">IF(J2459=1,0,IF(OR(AND(OR(B2459="SITE LOSS",B2459="REGION LOSS"),K2459=1),AND(B2459="ROLE COMPROMISE",H2459=C2459)),Inputs!$B$13,Inputs!$B$14))</f>
        <v>10</v>
      </c>
      <c r="O2459" s="15" t="n">
        <f aca="false">IF(J2459=1,0,Inputs!$B$13)</f>
        <v>20</v>
      </c>
      <c r="P2459" s="15" t="n">
        <f aca="false">SUM(M2459:N2459)</f>
        <v>85</v>
      </c>
      <c r="Q2459" s="15" t="n">
        <f aca="false">IF(J2459=1,"",L2459-P2459)</f>
        <v>15</v>
      </c>
      <c r="R2459" s="15" t="n">
        <f aca="false">IF(OR(J2459=1,M2459&lt;=Inputs!$B$12),1,0)</f>
        <v>1</v>
      </c>
      <c r="S2459" s="15" t="n">
        <f aca="false">IF(OR(J2459=1,N2459&lt;=O2459),1,0)</f>
        <v>1</v>
      </c>
      <c r="T2459" s="15" t="str">
        <f aca="false">IF(J2459=1,"OFFLINE",IF(AND(Q2459&gt;=Inputs!$B$15,R2459=1,S2459=1,P2459&lt;=L2459),"PASS","FAIL"))</f>
        <v>PASS</v>
      </c>
    </row>
    <row r="2460" customFormat="false" ht="15" hidden="false" customHeight="false" outlineLevel="0" collapsed="false">
      <c r="A2460" s="14" t="s">
        <v>1042</v>
      </c>
      <c r="B2460" s="14" t="s">
        <v>1038</v>
      </c>
      <c r="C2460" s="14" t="s">
        <v>161</v>
      </c>
      <c r="D2460" s="14" t="s">
        <v>190</v>
      </c>
      <c r="E2460" s="14" t="s">
        <v>152</v>
      </c>
      <c r="F2460" s="14" t="s">
        <v>191</v>
      </c>
      <c r="G2460" s="14" t="n">
        <v>1</v>
      </c>
      <c r="H2460" s="14" t="s">
        <v>154</v>
      </c>
      <c r="I2460" s="14" t="s">
        <v>899</v>
      </c>
      <c r="J2460" s="15" t="n">
        <f aca="false">IF(B2460="SITE LOSS",IF(D2460=C2460,1,0),IF(B2460="REGION LOSS",IF(E2460=C2460,1,0),0))</f>
        <v>0</v>
      </c>
      <c r="K2460" s="15" t="n">
        <f aca="false">IF(B2460="SITE LOSS",IF(COUNTIFS('Site Dockets'!$B$7:$B$24,C2460,'Site Dockets'!$C$7:$C$24,F2460)&gt;0,1,0),IF(B2460="REGION LOSS",IF(COUNTIFS('Site Dockets'!$E$7:$E$24,C2460,'Site Dockets'!$C$7:$C$24,F2460)&gt;0,1,0),0))</f>
        <v>0</v>
      </c>
      <c r="L2460" s="15" t="n">
        <f aca="false">IF(J2460=1,0,Inputs!$B$11)</f>
        <v>100</v>
      </c>
      <c r="M2460" s="15" t="n">
        <f aca="false">IF(J2460=1,0,Inputs!$B$12)</f>
        <v>75</v>
      </c>
      <c r="N2460" s="15" t="n">
        <f aca="false">IF(J2460=1,0,IF(OR(AND(OR(B2460="SITE LOSS",B2460="REGION LOSS"),K2460=1),AND(B2460="ROLE COMPROMISE",H2460=C2460)),Inputs!$B$13,Inputs!$B$14))</f>
        <v>10</v>
      </c>
      <c r="O2460" s="15" t="n">
        <f aca="false">IF(J2460=1,0,Inputs!$B$13)</f>
        <v>20</v>
      </c>
      <c r="P2460" s="15" t="n">
        <f aca="false">SUM(M2460:N2460)</f>
        <v>85</v>
      </c>
      <c r="Q2460" s="15" t="n">
        <f aca="false">IF(J2460=1,"",L2460-P2460)</f>
        <v>15</v>
      </c>
      <c r="R2460" s="15" t="n">
        <f aca="false">IF(OR(J2460=1,M2460&lt;=Inputs!$B$12),1,0)</f>
        <v>1</v>
      </c>
      <c r="S2460" s="15" t="n">
        <f aca="false">IF(OR(J2460=1,N2460&lt;=O2460),1,0)</f>
        <v>1</v>
      </c>
      <c r="T2460" s="15" t="str">
        <f aca="false">IF(J2460=1,"OFFLINE",IF(AND(Q2460&gt;=Inputs!$B$15,R2460=1,S2460=1,P2460&lt;=L2460),"PASS","FAIL"))</f>
        <v>PASS</v>
      </c>
    </row>
    <row r="2461" customFormat="false" ht="15" hidden="false" customHeight="false" outlineLevel="0" collapsed="false">
      <c r="A2461" s="14" t="s">
        <v>1042</v>
      </c>
      <c r="B2461" s="14" t="s">
        <v>1038</v>
      </c>
      <c r="C2461" s="14" t="s">
        <v>161</v>
      </c>
      <c r="D2461" s="14" t="s">
        <v>194</v>
      </c>
      <c r="E2461" s="14" t="s">
        <v>169</v>
      </c>
      <c r="F2461" s="14" t="s">
        <v>191</v>
      </c>
      <c r="G2461" s="14" t="n">
        <v>2</v>
      </c>
      <c r="H2461" s="14" t="s">
        <v>153</v>
      </c>
      <c r="I2461" s="14" t="s">
        <v>890</v>
      </c>
      <c r="J2461" s="15" t="n">
        <f aca="false">IF(B2461="SITE LOSS",IF(D2461=C2461,1,0),IF(B2461="REGION LOSS",IF(E2461=C2461,1,0),0))</f>
        <v>0</v>
      </c>
      <c r="K2461" s="15" t="n">
        <f aca="false">IF(B2461="SITE LOSS",IF(COUNTIFS('Site Dockets'!$B$7:$B$24,C2461,'Site Dockets'!$C$7:$C$24,F2461)&gt;0,1,0),IF(B2461="REGION LOSS",IF(COUNTIFS('Site Dockets'!$E$7:$E$24,C2461,'Site Dockets'!$C$7:$C$24,F2461)&gt;0,1,0),0))</f>
        <v>0</v>
      </c>
      <c r="L2461" s="15" t="n">
        <f aca="false">IF(J2461=1,0,Inputs!$B$11)</f>
        <v>100</v>
      </c>
      <c r="M2461" s="15" t="n">
        <f aca="false">IF(J2461=1,0,Inputs!$B$12)</f>
        <v>75</v>
      </c>
      <c r="N2461" s="15" t="n">
        <f aca="false">IF(J2461=1,0,IF(OR(AND(OR(B2461="SITE LOSS",B2461="REGION LOSS"),K2461=1),AND(B2461="ROLE COMPROMISE",H2461=C2461)),Inputs!$B$13,Inputs!$B$14))</f>
        <v>10</v>
      </c>
      <c r="O2461" s="15" t="n">
        <f aca="false">IF(J2461=1,0,Inputs!$B$13)</f>
        <v>20</v>
      </c>
      <c r="P2461" s="15" t="n">
        <f aca="false">SUM(M2461:N2461)</f>
        <v>85</v>
      </c>
      <c r="Q2461" s="15" t="n">
        <f aca="false">IF(J2461=1,"",L2461-P2461)</f>
        <v>15</v>
      </c>
      <c r="R2461" s="15" t="n">
        <f aca="false">IF(OR(J2461=1,M2461&lt;=Inputs!$B$12),1,0)</f>
        <v>1</v>
      </c>
      <c r="S2461" s="15" t="n">
        <f aca="false">IF(OR(J2461=1,N2461&lt;=O2461),1,0)</f>
        <v>1</v>
      </c>
      <c r="T2461" s="15" t="str">
        <f aca="false">IF(J2461=1,"OFFLINE",IF(AND(Q2461&gt;=Inputs!$B$15,R2461=1,S2461=1,P2461&lt;=L2461),"PASS","FAIL"))</f>
        <v>PASS</v>
      </c>
    </row>
    <row r="2462" customFormat="false" ht="15" hidden="false" customHeight="false" outlineLevel="0" collapsed="false">
      <c r="A2462" s="14" t="s">
        <v>1042</v>
      </c>
      <c r="B2462" s="14" t="s">
        <v>1038</v>
      </c>
      <c r="C2462" s="14" t="s">
        <v>161</v>
      </c>
      <c r="D2462" s="14" t="s">
        <v>194</v>
      </c>
      <c r="E2462" s="14" t="s">
        <v>169</v>
      </c>
      <c r="F2462" s="14" t="s">
        <v>191</v>
      </c>
      <c r="G2462" s="14" t="n">
        <v>2</v>
      </c>
      <c r="H2462" s="14" t="s">
        <v>153</v>
      </c>
      <c r="I2462" s="14" t="s">
        <v>892</v>
      </c>
      <c r="J2462" s="15" t="n">
        <f aca="false">IF(B2462="SITE LOSS",IF(D2462=C2462,1,0),IF(B2462="REGION LOSS",IF(E2462=C2462,1,0),0))</f>
        <v>0</v>
      </c>
      <c r="K2462" s="15" t="n">
        <f aca="false">IF(B2462="SITE LOSS",IF(COUNTIFS('Site Dockets'!$B$7:$B$24,C2462,'Site Dockets'!$C$7:$C$24,F2462)&gt;0,1,0),IF(B2462="REGION LOSS",IF(COUNTIFS('Site Dockets'!$E$7:$E$24,C2462,'Site Dockets'!$C$7:$C$24,F2462)&gt;0,1,0),0))</f>
        <v>0</v>
      </c>
      <c r="L2462" s="15" t="n">
        <f aca="false">IF(J2462=1,0,Inputs!$B$11)</f>
        <v>100</v>
      </c>
      <c r="M2462" s="15" t="n">
        <f aca="false">IF(J2462=1,0,Inputs!$B$12)</f>
        <v>75</v>
      </c>
      <c r="N2462" s="15" t="n">
        <f aca="false">IF(J2462=1,0,IF(OR(AND(OR(B2462="SITE LOSS",B2462="REGION LOSS"),K2462=1),AND(B2462="ROLE COMPROMISE",H2462=C2462)),Inputs!$B$13,Inputs!$B$14))</f>
        <v>10</v>
      </c>
      <c r="O2462" s="15" t="n">
        <f aca="false">IF(J2462=1,0,Inputs!$B$13)</f>
        <v>20</v>
      </c>
      <c r="P2462" s="15" t="n">
        <f aca="false">SUM(M2462:N2462)</f>
        <v>85</v>
      </c>
      <c r="Q2462" s="15" t="n">
        <f aca="false">IF(J2462=1,"",L2462-P2462)</f>
        <v>15</v>
      </c>
      <c r="R2462" s="15" t="n">
        <f aca="false">IF(OR(J2462=1,M2462&lt;=Inputs!$B$12),1,0)</f>
        <v>1</v>
      </c>
      <c r="S2462" s="15" t="n">
        <f aca="false">IF(OR(J2462=1,N2462&lt;=O2462),1,0)</f>
        <v>1</v>
      </c>
      <c r="T2462" s="15" t="str">
        <f aca="false">IF(J2462=1,"OFFLINE",IF(AND(Q2462&gt;=Inputs!$B$15,R2462=1,S2462=1,P2462&lt;=L2462),"PASS","FAIL"))</f>
        <v>PASS</v>
      </c>
    </row>
    <row r="2463" customFormat="false" ht="15" hidden="false" customHeight="false" outlineLevel="0" collapsed="false">
      <c r="A2463" s="14" t="s">
        <v>1042</v>
      </c>
      <c r="B2463" s="14" t="s">
        <v>1038</v>
      </c>
      <c r="C2463" s="14" t="s">
        <v>161</v>
      </c>
      <c r="D2463" s="14" t="s">
        <v>194</v>
      </c>
      <c r="E2463" s="14" t="s">
        <v>169</v>
      </c>
      <c r="F2463" s="14" t="s">
        <v>191</v>
      </c>
      <c r="G2463" s="14" t="n">
        <v>2</v>
      </c>
      <c r="H2463" s="14" t="s">
        <v>153</v>
      </c>
      <c r="I2463" s="14" t="s">
        <v>811</v>
      </c>
      <c r="J2463" s="15" t="n">
        <f aca="false">IF(B2463="SITE LOSS",IF(D2463=C2463,1,0),IF(B2463="REGION LOSS",IF(E2463=C2463,1,0),0))</f>
        <v>0</v>
      </c>
      <c r="K2463" s="15" t="n">
        <f aca="false">IF(B2463="SITE LOSS",IF(COUNTIFS('Site Dockets'!$B$7:$B$24,C2463,'Site Dockets'!$C$7:$C$24,F2463)&gt;0,1,0),IF(B2463="REGION LOSS",IF(COUNTIFS('Site Dockets'!$E$7:$E$24,C2463,'Site Dockets'!$C$7:$C$24,F2463)&gt;0,1,0),0))</f>
        <v>0</v>
      </c>
      <c r="L2463" s="15" t="n">
        <f aca="false">IF(J2463=1,0,Inputs!$B$11)</f>
        <v>100</v>
      </c>
      <c r="M2463" s="15" t="n">
        <f aca="false">IF(J2463=1,0,Inputs!$B$12)</f>
        <v>75</v>
      </c>
      <c r="N2463" s="15" t="n">
        <f aca="false">IF(J2463=1,0,IF(OR(AND(OR(B2463="SITE LOSS",B2463="REGION LOSS"),K2463=1),AND(B2463="ROLE COMPROMISE",H2463=C2463)),Inputs!$B$13,Inputs!$B$14))</f>
        <v>10</v>
      </c>
      <c r="O2463" s="15" t="n">
        <f aca="false">IF(J2463=1,0,Inputs!$B$13)</f>
        <v>20</v>
      </c>
      <c r="P2463" s="15" t="n">
        <f aca="false">SUM(M2463:N2463)</f>
        <v>85</v>
      </c>
      <c r="Q2463" s="15" t="n">
        <f aca="false">IF(J2463=1,"",L2463-P2463)</f>
        <v>15</v>
      </c>
      <c r="R2463" s="15" t="n">
        <f aca="false">IF(OR(J2463=1,M2463&lt;=Inputs!$B$12),1,0)</f>
        <v>1</v>
      </c>
      <c r="S2463" s="15" t="n">
        <f aca="false">IF(OR(J2463=1,N2463&lt;=O2463),1,0)</f>
        <v>1</v>
      </c>
      <c r="T2463" s="15" t="str">
        <f aca="false">IF(J2463=1,"OFFLINE",IF(AND(Q2463&gt;=Inputs!$B$15,R2463=1,S2463=1,P2463&lt;=L2463),"PASS","FAIL"))</f>
        <v>PASS</v>
      </c>
    </row>
    <row r="2464" customFormat="false" ht="15" hidden="false" customHeight="false" outlineLevel="0" collapsed="false">
      <c r="A2464" s="14" t="s">
        <v>1042</v>
      </c>
      <c r="B2464" s="14" t="s">
        <v>1038</v>
      </c>
      <c r="C2464" s="14" t="s">
        <v>161</v>
      </c>
      <c r="D2464" s="14" t="s">
        <v>194</v>
      </c>
      <c r="E2464" s="14" t="s">
        <v>169</v>
      </c>
      <c r="F2464" s="14" t="s">
        <v>191</v>
      </c>
      <c r="G2464" s="14" t="n">
        <v>2</v>
      </c>
      <c r="H2464" s="14" t="s">
        <v>153</v>
      </c>
      <c r="I2464" s="14" t="s">
        <v>895</v>
      </c>
      <c r="J2464" s="15" t="n">
        <f aca="false">IF(B2464="SITE LOSS",IF(D2464=C2464,1,0),IF(B2464="REGION LOSS",IF(E2464=C2464,1,0),0))</f>
        <v>0</v>
      </c>
      <c r="K2464" s="15" t="n">
        <f aca="false">IF(B2464="SITE LOSS",IF(COUNTIFS('Site Dockets'!$B$7:$B$24,C2464,'Site Dockets'!$C$7:$C$24,F2464)&gt;0,1,0),IF(B2464="REGION LOSS",IF(COUNTIFS('Site Dockets'!$E$7:$E$24,C2464,'Site Dockets'!$C$7:$C$24,F2464)&gt;0,1,0),0))</f>
        <v>0</v>
      </c>
      <c r="L2464" s="15" t="n">
        <f aca="false">IF(J2464=1,0,Inputs!$B$11)</f>
        <v>100</v>
      </c>
      <c r="M2464" s="15" t="n">
        <f aca="false">IF(J2464=1,0,Inputs!$B$12)</f>
        <v>75</v>
      </c>
      <c r="N2464" s="15" t="n">
        <f aca="false">IF(J2464=1,0,IF(OR(AND(OR(B2464="SITE LOSS",B2464="REGION LOSS"),K2464=1),AND(B2464="ROLE COMPROMISE",H2464=C2464)),Inputs!$B$13,Inputs!$B$14))</f>
        <v>10</v>
      </c>
      <c r="O2464" s="15" t="n">
        <f aca="false">IF(J2464=1,0,Inputs!$B$13)</f>
        <v>20</v>
      </c>
      <c r="P2464" s="15" t="n">
        <f aca="false">SUM(M2464:N2464)</f>
        <v>85</v>
      </c>
      <c r="Q2464" s="15" t="n">
        <f aca="false">IF(J2464=1,"",L2464-P2464)</f>
        <v>15</v>
      </c>
      <c r="R2464" s="15" t="n">
        <f aca="false">IF(OR(J2464=1,M2464&lt;=Inputs!$B$12),1,0)</f>
        <v>1</v>
      </c>
      <c r="S2464" s="15" t="n">
        <f aca="false">IF(OR(J2464=1,N2464&lt;=O2464),1,0)</f>
        <v>1</v>
      </c>
      <c r="T2464" s="15" t="str">
        <f aca="false">IF(J2464=1,"OFFLINE",IF(AND(Q2464&gt;=Inputs!$B$15,R2464=1,S2464=1,P2464&lt;=L2464),"PASS","FAIL"))</f>
        <v>PASS</v>
      </c>
    </row>
    <row r="2465" customFormat="false" ht="15" hidden="false" customHeight="false" outlineLevel="0" collapsed="false">
      <c r="A2465" s="14" t="s">
        <v>1042</v>
      </c>
      <c r="B2465" s="14" t="s">
        <v>1038</v>
      </c>
      <c r="C2465" s="14" t="s">
        <v>161</v>
      </c>
      <c r="D2465" s="14" t="s">
        <v>194</v>
      </c>
      <c r="E2465" s="14" t="s">
        <v>169</v>
      </c>
      <c r="F2465" s="14" t="s">
        <v>191</v>
      </c>
      <c r="G2465" s="14" t="n">
        <v>2</v>
      </c>
      <c r="H2465" s="14" t="s">
        <v>153</v>
      </c>
      <c r="I2465" s="14" t="s">
        <v>897</v>
      </c>
      <c r="J2465" s="15" t="n">
        <f aca="false">IF(B2465="SITE LOSS",IF(D2465=C2465,1,0),IF(B2465="REGION LOSS",IF(E2465=C2465,1,0),0))</f>
        <v>0</v>
      </c>
      <c r="K2465" s="15" t="n">
        <f aca="false">IF(B2465="SITE LOSS",IF(COUNTIFS('Site Dockets'!$B$7:$B$24,C2465,'Site Dockets'!$C$7:$C$24,F2465)&gt;0,1,0),IF(B2465="REGION LOSS",IF(COUNTIFS('Site Dockets'!$E$7:$E$24,C2465,'Site Dockets'!$C$7:$C$24,F2465)&gt;0,1,0),0))</f>
        <v>0</v>
      </c>
      <c r="L2465" s="15" t="n">
        <f aca="false">IF(J2465=1,0,Inputs!$B$11)</f>
        <v>100</v>
      </c>
      <c r="M2465" s="15" t="n">
        <f aca="false">IF(J2465=1,0,Inputs!$B$12)</f>
        <v>75</v>
      </c>
      <c r="N2465" s="15" t="n">
        <f aca="false">IF(J2465=1,0,IF(OR(AND(OR(B2465="SITE LOSS",B2465="REGION LOSS"),K2465=1),AND(B2465="ROLE COMPROMISE",H2465=C2465)),Inputs!$B$13,Inputs!$B$14))</f>
        <v>10</v>
      </c>
      <c r="O2465" s="15" t="n">
        <f aca="false">IF(J2465=1,0,Inputs!$B$13)</f>
        <v>20</v>
      </c>
      <c r="P2465" s="15" t="n">
        <f aca="false">SUM(M2465:N2465)</f>
        <v>85</v>
      </c>
      <c r="Q2465" s="15" t="n">
        <f aca="false">IF(J2465=1,"",L2465-P2465)</f>
        <v>15</v>
      </c>
      <c r="R2465" s="15" t="n">
        <f aca="false">IF(OR(J2465=1,M2465&lt;=Inputs!$B$12),1,0)</f>
        <v>1</v>
      </c>
      <c r="S2465" s="15" t="n">
        <f aca="false">IF(OR(J2465=1,N2465&lt;=O2465),1,0)</f>
        <v>1</v>
      </c>
      <c r="T2465" s="15" t="str">
        <f aca="false">IF(J2465=1,"OFFLINE",IF(AND(Q2465&gt;=Inputs!$B$15,R2465=1,S2465=1,P2465&lt;=L2465),"PASS","FAIL"))</f>
        <v>PASS</v>
      </c>
    </row>
    <row r="2466" customFormat="false" ht="15" hidden="false" customHeight="false" outlineLevel="0" collapsed="false">
      <c r="A2466" s="14" t="s">
        <v>1042</v>
      </c>
      <c r="B2466" s="14" t="s">
        <v>1038</v>
      </c>
      <c r="C2466" s="14" t="s">
        <v>161</v>
      </c>
      <c r="D2466" s="14" t="s">
        <v>194</v>
      </c>
      <c r="E2466" s="14" t="s">
        <v>169</v>
      </c>
      <c r="F2466" s="14" t="s">
        <v>191</v>
      </c>
      <c r="G2466" s="14" t="n">
        <v>2</v>
      </c>
      <c r="H2466" s="14" t="s">
        <v>153</v>
      </c>
      <c r="I2466" s="14" t="s">
        <v>899</v>
      </c>
      <c r="J2466" s="15" t="n">
        <f aca="false">IF(B2466="SITE LOSS",IF(D2466=C2466,1,0),IF(B2466="REGION LOSS",IF(E2466=C2466,1,0),0))</f>
        <v>0</v>
      </c>
      <c r="K2466" s="15" t="n">
        <f aca="false">IF(B2466="SITE LOSS",IF(COUNTIFS('Site Dockets'!$B$7:$B$24,C2466,'Site Dockets'!$C$7:$C$24,F2466)&gt;0,1,0),IF(B2466="REGION LOSS",IF(COUNTIFS('Site Dockets'!$E$7:$E$24,C2466,'Site Dockets'!$C$7:$C$24,F2466)&gt;0,1,0),0))</f>
        <v>0</v>
      </c>
      <c r="L2466" s="15" t="n">
        <f aca="false">IF(J2466=1,0,Inputs!$B$11)</f>
        <v>100</v>
      </c>
      <c r="M2466" s="15" t="n">
        <f aca="false">IF(J2466=1,0,Inputs!$B$12)</f>
        <v>75</v>
      </c>
      <c r="N2466" s="15" t="n">
        <f aca="false">IF(J2466=1,0,IF(OR(AND(OR(B2466="SITE LOSS",B2466="REGION LOSS"),K2466=1),AND(B2466="ROLE COMPROMISE",H2466=C2466)),Inputs!$B$13,Inputs!$B$14))</f>
        <v>10</v>
      </c>
      <c r="O2466" s="15" t="n">
        <f aca="false">IF(J2466=1,0,Inputs!$B$13)</f>
        <v>20</v>
      </c>
      <c r="P2466" s="15" t="n">
        <f aca="false">SUM(M2466:N2466)</f>
        <v>85</v>
      </c>
      <c r="Q2466" s="15" t="n">
        <f aca="false">IF(J2466=1,"",L2466-P2466)</f>
        <v>15</v>
      </c>
      <c r="R2466" s="15" t="n">
        <f aca="false">IF(OR(J2466=1,M2466&lt;=Inputs!$B$12),1,0)</f>
        <v>1</v>
      </c>
      <c r="S2466" s="15" t="n">
        <f aca="false">IF(OR(J2466=1,N2466&lt;=O2466),1,0)</f>
        <v>1</v>
      </c>
      <c r="T2466" s="15" t="str">
        <f aca="false">IF(J2466=1,"OFFLINE",IF(AND(Q2466&gt;=Inputs!$B$15,R2466=1,S2466=1,P2466&lt;=L2466),"PASS","FAIL"))</f>
        <v>PASS</v>
      </c>
    </row>
    <row r="2467" customFormat="false" ht="15" hidden="false" customHeight="false" outlineLevel="0" collapsed="false">
      <c r="A2467" s="14" t="s">
        <v>1042</v>
      </c>
      <c r="B2467" s="14" t="s">
        <v>1038</v>
      </c>
      <c r="C2467" s="14" t="s">
        <v>161</v>
      </c>
      <c r="D2467" s="14" t="s">
        <v>196</v>
      </c>
      <c r="E2467" s="14" t="s">
        <v>172</v>
      </c>
      <c r="F2467" s="14" t="s">
        <v>191</v>
      </c>
      <c r="G2467" s="14" t="n">
        <v>3</v>
      </c>
      <c r="H2467" s="14" t="s">
        <v>158</v>
      </c>
      <c r="I2467" s="14" t="s">
        <v>890</v>
      </c>
      <c r="J2467" s="15" t="n">
        <f aca="false">IF(B2467="SITE LOSS",IF(D2467=C2467,1,0),IF(B2467="REGION LOSS",IF(E2467=C2467,1,0),0))</f>
        <v>0</v>
      </c>
      <c r="K2467" s="15" t="n">
        <f aca="false">IF(B2467="SITE LOSS",IF(COUNTIFS('Site Dockets'!$B$7:$B$24,C2467,'Site Dockets'!$C$7:$C$24,F2467)&gt;0,1,0),IF(B2467="REGION LOSS",IF(COUNTIFS('Site Dockets'!$E$7:$E$24,C2467,'Site Dockets'!$C$7:$C$24,F2467)&gt;0,1,0),0))</f>
        <v>0</v>
      </c>
      <c r="L2467" s="15" t="n">
        <f aca="false">IF(J2467=1,0,Inputs!$B$11)</f>
        <v>100</v>
      </c>
      <c r="M2467" s="15" t="n">
        <f aca="false">IF(J2467=1,0,Inputs!$B$12)</f>
        <v>75</v>
      </c>
      <c r="N2467" s="15" t="n">
        <f aca="false">IF(J2467=1,0,IF(OR(AND(OR(B2467="SITE LOSS",B2467="REGION LOSS"),K2467=1),AND(B2467="ROLE COMPROMISE",H2467=C2467)),Inputs!$B$13,Inputs!$B$14))</f>
        <v>10</v>
      </c>
      <c r="O2467" s="15" t="n">
        <f aca="false">IF(J2467=1,0,Inputs!$B$13)</f>
        <v>20</v>
      </c>
      <c r="P2467" s="15" t="n">
        <f aca="false">SUM(M2467:N2467)</f>
        <v>85</v>
      </c>
      <c r="Q2467" s="15" t="n">
        <f aca="false">IF(J2467=1,"",L2467-P2467)</f>
        <v>15</v>
      </c>
      <c r="R2467" s="15" t="n">
        <f aca="false">IF(OR(J2467=1,M2467&lt;=Inputs!$B$12),1,0)</f>
        <v>1</v>
      </c>
      <c r="S2467" s="15" t="n">
        <f aca="false">IF(OR(J2467=1,N2467&lt;=O2467),1,0)</f>
        <v>1</v>
      </c>
      <c r="T2467" s="15" t="str">
        <f aca="false">IF(J2467=1,"OFFLINE",IF(AND(Q2467&gt;=Inputs!$B$15,R2467=1,S2467=1,P2467&lt;=L2467),"PASS","FAIL"))</f>
        <v>PASS</v>
      </c>
    </row>
    <row r="2468" customFormat="false" ht="15" hidden="false" customHeight="false" outlineLevel="0" collapsed="false">
      <c r="A2468" s="14" t="s">
        <v>1042</v>
      </c>
      <c r="B2468" s="14" t="s">
        <v>1038</v>
      </c>
      <c r="C2468" s="14" t="s">
        <v>161</v>
      </c>
      <c r="D2468" s="14" t="s">
        <v>196</v>
      </c>
      <c r="E2468" s="14" t="s">
        <v>172</v>
      </c>
      <c r="F2468" s="14" t="s">
        <v>191</v>
      </c>
      <c r="G2468" s="14" t="n">
        <v>3</v>
      </c>
      <c r="H2468" s="14" t="s">
        <v>158</v>
      </c>
      <c r="I2468" s="14" t="s">
        <v>892</v>
      </c>
      <c r="J2468" s="15" t="n">
        <f aca="false">IF(B2468="SITE LOSS",IF(D2468=C2468,1,0),IF(B2468="REGION LOSS",IF(E2468=C2468,1,0),0))</f>
        <v>0</v>
      </c>
      <c r="K2468" s="15" t="n">
        <f aca="false">IF(B2468="SITE LOSS",IF(COUNTIFS('Site Dockets'!$B$7:$B$24,C2468,'Site Dockets'!$C$7:$C$24,F2468)&gt;0,1,0),IF(B2468="REGION LOSS",IF(COUNTIFS('Site Dockets'!$E$7:$E$24,C2468,'Site Dockets'!$C$7:$C$24,F2468)&gt;0,1,0),0))</f>
        <v>0</v>
      </c>
      <c r="L2468" s="15" t="n">
        <f aca="false">IF(J2468=1,0,Inputs!$B$11)</f>
        <v>100</v>
      </c>
      <c r="M2468" s="15" t="n">
        <f aca="false">IF(J2468=1,0,Inputs!$B$12)</f>
        <v>75</v>
      </c>
      <c r="N2468" s="15" t="n">
        <f aca="false">IF(J2468=1,0,IF(OR(AND(OR(B2468="SITE LOSS",B2468="REGION LOSS"),K2468=1),AND(B2468="ROLE COMPROMISE",H2468=C2468)),Inputs!$B$13,Inputs!$B$14))</f>
        <v>10</v>
      </c>
      <c r="O2468" s="15" t="n">
        <f aca="false">IF(J2468=1,0,Inputs!$B$13)</f>
        <v>20</v>
      </c>
      <c r="P2468" s="15" t="n">
        <f aca="false">SUM(M2468:N2468)</f>
        <v>85</v>
      </c>
      <c r="Q2468" s="15" t="n">
        <f aca="false">IF(J2468=1,"",L2468-P2468)</f>
        <v>15</v>
      </c>
      <c r="R2468" s="15" t="n">
        <f aca="false">IF(OR(J2468=1,M2468&lt;=Inputs!$B$12),1,0)</f>
        <v>1</v>
      </c>
      <c r="S2468" s="15" t="n">
        <f aca="false">IF(OR(J2468=1,N2468&lt;=O2468),1,0)</f>
        <v>1</v>
      </c>
      <c r="T2468" s="15" t="str">
        <f aca="false">IF(J2468=1,"OFFLINE",IF(AND(Q2468&gt;=Inputs!$B$15,R2468=1,S2468=1,P2468&lt;=L2468),"PASS","FAIL"))</f>
        <v>PASS</v>
      </c>
    </row>
    <row r="2469" customFormat="false" ht="15" hidden="false" customHeight="false" outlineLevel="0" collapsed="false">
      <c r="A2469" s="14" t="s">
        <v>1042</v>
      </c>
      <c r="B2469" s="14" t="s">
        <v>1038</v>
      </c>
      <c r="C2469" s="14" t="s">
        <v>161</v>
      </c>
      <c r="D2469" s="14" t="s">
        <v>196</v>
      </c>
      <c r="E2469" s="14" t="s">
        <v>172</v>
      </c>
      <c r="F2469" s="14" t="s">
        <v>191</v>
      </c>
      <c r="G2469" s="14" t="n">
        <v>3</v>
      </c>
      <c r="H2469" s="14" t="s">
        <v>158</v>
      </c>
      <c r="I2469" s="14" t="s">
        <v>811</v>
      </c>
      <c r="J2469" s="15" t="n">
        <f aca="false">IF(B2469="SITE LOSS",IF(D2469=C2469,1,0),IF(B2469="REGION LOSS",IF(E2469=C2469,1,0),0))</f>
        <v>0</v>
      </c>
      <c r="K2469" s="15" t="n">
        <f aca="false">IF(B2469="SITE LOSS",IF(COUNTIFS('Site Dockets'!$B$7:$B$24,C2469,'Site Dockets'!$C$7:$C$24,F2469)&gt;0,1,0),IF(B2469="REGION LOSS",IF(COUNTIFS('Site Dockets'!$E$7:$E$24,C2469,'Site Dockets'!$C$7:$C$24,F2469)&gt;0,1,0),0))</f>
        <v>0</v>
      </c>
      <c r="L2469" s="15" t="n">
        <f aca="false">IF(J2469=1,0,Inputs!$B$11)</f>
        <v>100</v>
      </c>
      <c r="M2469" s="15" t="n">
        <f aca="false">IF(J2469=1,0,Inputs!$B$12)</f>
        <v>75</v>
      </c>
      <c r="N2469" s="15" t="n">
        <f aca="false">IF(J2469=1,0,IF(OR(AND(OR(B2469="SITE LOSS",B2469="REGION LOSS"),K2469=1),AND(B2469="ROLE COMPROMISE",H2469=C2469)),Inputs!$B$13,Inputs!$B$14))</f>
        <v>10</v>
      </c>
      <c r="O2469" s="15" t="n">
        <f aca="false">IF(J2469=1,0,Inputs!$B$13)</f>
        <v>20</v>
      </c>
      <c r="P2469" s="15" t="n">
        <f aca="false">SUM(M2469:N2469)</f>
        <v>85</v>
      </c>
      <c r="Q2469" s="15" t="n">
        <f aca="false">IF(J2469=1,"",L2469-P2469)</f>
        <v>15</v>
      </c>
      <c r="R2469" s="15" t="n">
        <f aca="false">IF(OR(J2469=1,M2469&lt;=Inputs!$B$12),1,0)</f>
        <v>1</v>
      </c>
      <c r="S2469" s="15" t="n">
        <f aca="false">IF(OR(J2469=1,N2469&lt;=O2469),1,0)</f>
        <v>1</v>
      </c>
      <c r="T2469" s="15" t="str">
        <f aca="false">IF(J2469=1,"OFFLINE",IF(AND(Q2469&gt;=Inputs!$B$15,R2469=1,S2469=1,P2469&lt;=L2469),"PASS","FAIL"))</f>
        <v>PASS</v>
      </c>
    </row>
    <row r="2470" customFormat="false" ht="15" hidden="false" customHeight="false" outlineLevel="0" collapsed="false">
      <c r="A2470" s="14" t="s">
        <v>1042</v>
      </c>
      <c r="B2470" s="14" t="s">
        <v>1038</v>
      </c>
      <c r="C2470" s="14" t="s">
        <v>161</v>
      </c>
      <c r="D2470" s="14" t="s">
        <v>196</v>
      </c>
      <c r="E2470" s="14" t="s">
        <v>172</v>
      </c>
      <c r="F2470" s="14" t="s">
        <v>191</v>
      </c>
      <c r="G2470" s="14" t="n">
        <v>3</v>
      </c>
      <c r="H2470" s="14" t="s">
        <v>158</v>
      </c>
      <c r="I2470" s="14" t="s">
        <v>895</v>
      </c>
      <c r="J2470" s="15" t="n">
        <f aca="false">IF(B2470="SITE LOSS",IF(D2470=C2470,1,0),IF(B2470="REGION LOSS",IF(E2470=C2470,1,0),0))</f>
        <v>0</v>
      </c>
      <c r="K2470" s="15" t="n">
        <f aca="false">IF(B2470="SITE LOSS",IF(COUNTIFS('Site Dockets'!$B$7:$B$24,C2470,'Site Dockets'!$C$7:$C$24,F2470)&gt;0,1,0),IF(B2470="REGION LOSS",IF(COUNTIFS('Site Dockets'!$E$7:$E$24,C2470,'Site Dockets'!$C$7:$C$24,F2470)&gt;0,1,0),0))</f>
        <v>0</v>
      </c>
      <c r="L2470" s="15" t="n">
        <f aca="false">IF(J2470=1,0,Inputs!$B$11)</f>
        <v>100</v>
      </c>
      <c r="M2470" s="15" t="n">
        <f aca="false">IF(J2470=1,0,Inputs!$B$12)</f>
        <v>75</v>
      </c>
      <c r="N2470" s="15" t="n">
        <f aca="false">IF(J2470=1,0,IF(OR(AND(OR(B2470="SITE LOSS",B2470="REGION LOSS"),K2470=1),AND(B2470="ROLE COMPROMISE",H2470=C2470)),Inputs!$B$13,Inputs!$B$14))</f>
        <v>10</v>
      </c>
      <c r="O2470" s="15" t="n">
        <f aca="false">IF(J2470=1,0,Inputs!$B$13)</f>
        <v>20</v>
      </c>
      <c r="P2470" s="15" t="n">
        <f aca="false">SUM(M2470:N2470)</f>
        <v>85</v>
      </c>
      <c r="Q2470" s="15" t="n">
        <f aca="false">IF(J2470=1,"",L2470-P2470)</f>
        <v>15</v>
      </c>
      <c r="R2470" s="15" t="n">
        <f aca="false">IF(OR(J2470=1,M2470&lt;=Inputs!$B$12),1,0)</f>
        <v>1</v>
      </c>
      <c r="S2470" s="15" t="n">
        <f aca="false">IF(OR(J2470=1,N2470&lt;=O2470),1,0)</f>
        <v>1</v>
      </c>
      <c r="T2470" s="15" t="str">
        <f aca="false">IF(J2470=1,"OFFLINE",IF(AND(Q2470&gt;=Inputs!$B$15,R2470=1,S2470=1,P2470&lt;=L2470),"PASS","FAIL"))</f>
        <v>PASS</v>
      </c>
    </row>
    <row r="2471" customFormat="false" ht="15" hidden="false" customHeight="false" outlineLevel="0" collapsed="false">
      <c r="A2471" s="14" t="s">
        <v>1042</v>
      </c>
      <c r="B2471" s="14" t="s">
        <v>1038</v>
      </c>
      <c r="C2471" s="14" t="s">
        <v>161</v>
      </c>
      <c r="D2471" s="14" t="s">
        <v>196</v>
      </c>
      <c r="E2471" s="14" t="s">
        <v>172</v>
      </c>
      <c r="F2471" s="14" t="s">
        <v>191</v>
      </c>
      <c r="G2471" s="14" t="n">
        <v>3</v>
      </c>
      <c r="H2471" s="14" t="s">
        <v>158</v>
      </c>
      <c r="I2471" s="14" t="s">
        <v>897</v>
      </c>
      <c r="J2471" s="15" t="n">
        <f aca="false">IF(B2471="SITE LOSS",IF(D2471=C2471,1,0),IF(B2471="REGION LOSS",IF(E2471=C2471,1,0),0))</f>
        <v>0</v>
      </c>
      <c r="K2471" s="15" t="n">
        <f aca="false">IF(B2471="SITE LOSS",IF(COUNTIFS('Site Dockets'!$B$7:$B$24,C2471,'Site Dockets'!$C$7:$C$24,F2471)&gt;0,1,0),IF(B2471="REGION LOSS",IF(COUNTIFS('Site Dockets'!$E$7:$E$24,C2471,'Site Dockets'!$C$7:$C$24,F2471)&gt;0,1,0),0))</f>
        <v>0</v>
      </c>
      <c r="L2471" s="15" t="n">
        <f aca="false">IF(J2471=1,0,Inputs!$B$11)</f>
        <v>100</v>
      </c>
      <c r="M2471" s="15" t="n">
        <f aca="false">IF(J2471=1,0,Inputs!$B$12)</f>
        <v>75</v>
      </c>
      <c r="N2471" s="15" t="n">
        <f aca="false">IF(J2471=1,0,IF(OR(AND(OR(B2471="SITE LOSS",B2471="REGION LOSS"),K2471=1),AND(B2471="ROLE COMPROMISE",H2471=C2471)),Inputs!$B$13,Inputs!$B$14))</f>
        <v>10</v>
      </c>
      <c r="O2471" s="15" t="n">
        <f aca="false">IF(J2471=1,0,Inputs!$B$13)</f>
        <v>20</v>
      </c>
      <c r="P2471" s="15" t="n">
        <f aca="false">SUM(M2471:N2471)</f>
        <v>85</v>
      </c>
      <c r="Q2471" s="15" t="n">
        <f aca="false">IF(J2471=1,"",L2471-P2471)</f>
        <v>15</v>
      </c>
      <c r="R2471" s="15" t="n">
        <f aca="false">IF(OR(J2471=1,M2471&lt;=Inputs!$B$12),1,0)</f>
        <v>1</v>
      </c>
      <c r="S2471" s="15" t="n">
        <f aca="false">IF(OR(J2471=1,N2471&lt;=O2471),1,0)</f>
        <v>1</v>
      </c>
      <c r="T2471" s="15" t="str">
        <f aca="false">IF(J2471=1,"OFFLINE",IF(AND(Q2471&gt;=Inputs!$B$15,R2471=1,S2471=1,P2471&lt;=L2471),"PASS","FAIL"))</f>
        <v>PASS</v>
      </c>
    </row>
    <row r="2472" customFormat="false" ht="15" hidden="false" customHeight="false" outlineLevel="0" collapsed="false">
      <c r="A2472" s="14" t="s">
        <v>1042</v>
      </c>
      <c r="B2472" s="14" t="s">
        <v>1038</v>
      </c>
      <c r="C2472" s="14" t="s">
        <v>161</v>
      </c>
      <c r="D2472" s="14" t="s">
        <v>196</v>
      </c>
      <c r="E2472" s="14" t="s">
        <v>172</v>
      </c>
      <c r="F2472" s="14" t="s">
        <v>191</v>
      </c>
      <c r="G2472" s="14" t="n">
        <v>3</v>
      </c>
      <c r="H2472" s="14" t="s">
        <v>158</v>
      </c>
      <c r="I2472" s="14" t="s">
        <v>899</v>
      </c>
      <c r="J2472" s="15" t="n">
        <f aca="false">IF(B2472="SITE LOSS",IF(D2472=C2472,1,0),IF(B2472="REGION LOSS",IF(E2472=C2472,1,0),0))</f>
        <v>0</v>
      </c>
      <c r="K2472" s="15" t="n">
        <f aca="false">IF(B2472="SITE LOSS",IF(COUNTIFS('Site Dockets'!$B$7:$B$24,C2472,'Site Dockets'!$C$7:$C$24,F2472)&gt;0,1,0),IF(B2472="REGION LOSS",IF(COUNTIFS('Site Dockets'!$E$7:$E$24,C2472,'Site Dockets'!$C$7:$C$24,F2472)&gt;0,1,0),0))</f>
        <v>0</v>
      </c>
      <c r="L2472" s="15" t="n">
        <f aca="false">IF(J2472=1,0,Inputs!$B$11)</f>
        <v>100</v>
      </c>
      <c r="M2472" s="15" t="n">
        <f aca="false">IF(J2472=1,0,Inputs!$B$12)</f>
        <v>75</v>
      </c>
      <c r="N2472" s="15" t="n">
        <f aca="false">IF(J2472=1,0,IF(OR(AND(OR(B2472="SITE LOSS",B2472="REGION LOSS"),K2472=1),AND(B2472="ROLE COMPROMISE",H2472=C2472)),Inputs!$B$13,Inputs!$B$14))</f>
        <v>10</v>
      </c>
      <c r="O2472" s="15" t="n">
        <f aca="false">IF(J2472=1,0,Inputs!$B$13)</f>
        <v>20</v>
      </c>
      <c r="P2472" s="15" t="n">
        <f aca="false">SUM(M2472:N2472)</f>
        <v>85</v>
      </c>
      <c r="Q2472" s="15" t="n">
        <f aca="false">IF(J2472=1,"",L2472-P2472)</f>
        <v>15</v>
      </c>
      <c r="R2472" s="15" t="n">
        <f aca="false">IF(OR(J2472=1,M2472&lt;=Inputs!$B$12),1,0)</f>
        <v>1</v>
      </c>
      <c r="S2472" s="15" t="n">
        <f aca="false">IF(OR(J2472=1,N2472&lt;=O2472),1,0)</f>
        <v>1</v>
      </c>
      <c r="T2472" s="15" t="str">
        <f aca="false">IF(J2472=1,"OFFLINE",IF(AND(Q2472&gt;=Inputs!$B$15,R2472=1,S2472=1,P2472&lt;=L2472),"PASS","FAIL"))</f>
        <v>PASS</v>
      </c>
    </row>
    <row r="2473" customFormat="false" ht="15" hidden="false" customHeight="false" outlineLevel="0" collapsed="false">
      <c r="A2473" s="14" t="s">
        <v>1042</v>
      </c>
      <c r="B2473" s="14" t="s">
        <v>1038</v>
      </c>
      <c r="C2473" s="14" t="s">
        <v>161</v>
      </c>
      <c r="D2473" s="14" t="s">
        <v>198</v>
      </c>
      <c r="E2473" s="14" t="s">
        <v>166</v>
      </c>
      <c r="F2473" s="14" t="s">
        <v>199</v>
      </c>
      <c r="G2473" s="14" t="n">
        <v>1</v>
      </c>
      <c r="H2473" s="14" t="s">
        <v>154</v>
      </c>
      <c r="I2473" s="14" t="s">
        <v>890</v>
      </c>
      <c r="J2473" s="15" t="n">
        <f aca="false">IF(B2473="SITE LOSS",IF(D2473=C2473,1,0),IF(B2473="REGION LOSS",IF(E2473=C2473,1,0),0))</f>
        <v>0</v>
      </c>
      <c r="K2473" s="15" t="n">
        <f aca="false">IF(B2473="SITE LOSS",IF(COUNTIFS('Site Dockets'!$B$7:$B$24,C2473,'Site Dockets'!$C$7:$C$24,F2473)&gt;0,1,0),IF(B2473="REGION LOSS",IF(COUNTIFS('Site Dockets'!$E$7:$E$24,C2473,'Site Dockets'!$C$7:$C$24,F2473)&gt;0,1,0),0))</f>
        <v>1</v>
      </c>
      <c r="L2473" s="15" t="n">
        <f aca="false">IF(J2473=1,0,Inputs!$B$11)</f>
        <v>100</v>
      </c>
      <c r="M2473" s="15" t="n">
        <f aca="false">IF(J2473=1,0,Inputs!$B$12)</f>
        <v>75</v>
      </c>
      <c r="N2473" s="15" t="n">
        <f aca="false">IF(J2473=1,0,IF(OR(AND(OR(B2473="SITE LOSS",B2473="REGION LOSS"),K2473=1),AND(B2473="ROLE COMPROMISE",H2473=C2473)),Inputs!$B$13,Inputs!$B$14))</f>
        <v>20</v>
      </c>
      <c r="O2473" s="15" t="n">
        <f aca="false">IF(J2473=1,0,Inputs!$B$13)</f>
        <v>20</v>
      </c>
      <c r="P2473" s="15" t="n">
        <f aca="false">SUM(M2473:N2473)</f>
        <v>95</v>
      </c>
      <c r="Q2473" s="15" t="n">
        <f aca="false">IF(J2473=1,"",L2473-P2473)</f>
        <v>5</v>
      </c>
      <c r="R2473" s="15" t="n">
        <f aca="false">IF(OR(J2473=1,M2473&lt;=Inputs!$B$12),1,0)</f>
        <v>1</v>
      </c>
      <c r="S2473" s="15" t="n">
        <f aca="false">IF(OR(J2473=1,N2473&lt;=O2473),1,0)</f>
        <v>1</v>
      </c>
      <c r="T2473" s="15" t="str">
        <f aca="false">IF(J2473=1,"OFFLINE",IF(AND(Q2473&gt;=Inputs!$B$15,R2473=1,S2473=1,P2473&lt;=L2473),"PASS","FAIL"))</f>
        <v>PASS</v>
      </c>
    </row>
    <row r="2474" customFormat="false" ht="15" hidden="false" customHeight="false" outlineLevel="0" collapsed="false">
      <c r="A2474" s="14" t="s">
        <v>1042</v>
      </c>
      <c r="B2474" s="14" t="s">
        <v>1038</v>
      </c>
      <c r="C2474" s="14" t="s">
        <v>161</v>
      </c>
      <c r="D2474" s="14" t="s">
        <v>198</v>
      </c>
      <c r="E2474" s="14" t="s">
        <v>166</v>
      </c>
      <c r="F2474" s="14" t="s">
        <v>199</v>
      </c>
      <c r="G2474" s="14" t="n">
        <v>1</v>
      </c>
      <c r="H2474" s="14" t="s">
        <v>154</v>
      </c>
      <c r="I2474" s="14" t="s">
        <v>892</v>
      </c>
      <c r="J2474" s="15" t="n">
        <f aca="false">IF(B2474="SITE LOSS",IF(D2474=C2474,1,0),IF(B2474="REGION LOSS",IF(E2474=C2474,1,0),0))</f>
        <v>0</v>
      </c>
      <c r="K2474" s="15" t="n">
        <f aca="false">IF(B2474="SITE LOSS",IF(COUNTIFS('Site Dockets'!$B$7:$B$24,C2474,'Site Dockets'!$C$7:$C$24,F2474)&gt;0,1,0),IF(B2474="REGION LOSS",IF(COUNTIFS('Site Dockets'!$E$7:$E$24,C2474,'Site Dockets'!$C$7:$C$24,F2474)&gt;0,1,0),0))</f>
        <v>1</v>
      </c>
      <c r="L2474" s="15" t="n">
        <f aca="false">IF(J2474=1,0,Inputs!$B$11)</f>
        <v>100</v>
      </c>
      <c r="M2474" s="15" t="n">
        <f aca="false">IF(J2474=1,0,Inputs!$B$12)</f>
        <v>75</v>
      </c>
      <c r="N2474" s="15" t="n">
        <f aca="false">IF(J2474=1,0,IF(OR(AND(OR(B2474="SITE LOSS",B2474="REGION LOSS"),K2474=1),AND(B2474="ROLE COMPROMISE",H2474=C2474)),Inputs!$B$13,Inputs!$B$14))</f>
        <v>20</v>
      </c>
      <c r="O2474" s="15" t="n">
        <f aca="false">IF(J2474=1,0,Inputs!$B$13)</f>
        <v>20</v>
      </c>
      <c r="P2474" s="15" t="n">
        <f aca="false">SUM(M2474:N2474)</f>
        <v>95</v>
      </c>
      <c r="Q2474" s="15" t="n">
        <f aca="false">IF(J2474=1,"",L2474-P2474)</f>
        <v>5</v>
      </c>
      <c r="R2474" s="15" t="n">
        <f aca="false">IF(OR(J2474=1,M2474&lt;=Inputs!$B$12),1,0)</f>
        <v>1</v>
      </c>
      <c r="S2474" s="15" t="n">
        <f aca="false">IF(OR(J2474=1,N2474&lt;=O2474),1,0)</f>
        <v>1</v>
      </c>
      <c r="T2474" s="15" t="str">
        <f aca="false">IF(J2474=1,"OFFLINE",IF(AND(Q2474&gt;=Inputs!$B$15,R2474=1,S2474=1,P2474&lt;=L2474),"PASS","FAIL"))</f>
        <v>PASS</v>
      </c>
    </row>
    <row r="2475" customFormat="false" ht="15" hidden="false" customHeight="false" outlineLevel="0" collapsed="false">
      <c r="A2475" s="14" t="s">
        <v>1042</v>
      </c>
      <c r="B2475" s="14" t="s">
        <v>1038</v>
      </c>
      <c r="C2475" s="14" t="s">
        <v>161</v>
      </c>
      <c r="D2475" s="14" t="s">
        <v>198</v>
      </c>
      <c r="E2475" s="14" t="s">
        <v>166</v>
      </c>
      <c r="F2475" s="14" t="s">
        <v>199</v>
      </c>
      <c r="G2475" s="14" t="n">
        <v>1</v>
      </c>
      <c r="H2475" s="14" t="s">
        <v>154</v>
      </c>
      <c r="I2475" s="14" t="s">
        <v>811</v>
      </c>
      <c r="J2475" s="15" t="n">
        <f aca="false">IF(B2475="SITE LOSS",IF(D2475=C2475,1,0),IF(B2475="REGION LOSS",IF(E2475=C2475,1,0),0))</f>
        <v>0</v>
      </c>
      <c r="K2475" s="15" t="n">
        <f aca="false">IF(B2475="SITE LOSS",IF(COUNTIFS('Site Dockets'!$B$7:$B$24,C2475,'Site Dockets'!$C$7:$C$24,F2475)&gt;0,1,0),IF(B2475="REGION LOSS",IF(COUNTIFS('Site Dockets'!$E$7:$E$24,C2475,'Site Dockets'!$C$7:$C$24,F2475)&gt;0,1,0),0))</f>
        <v>1</v>
      </c>
      <c r="L2475" s="15" t="n">
        <f aca="false">IF(J2475=1,0,Inputs!$B$11)</f>
        <v>100</v>
      </c>
      <c r="M2475" s="15" t="n">
        <f aca="false">IF(J2475=1,0,Inputs!$B$12)</f>
        <v>75</v>
      </c>
      <c r="N2475" s="15" t="n">
        <f aca="false">IF(J2475=1,0,IF(OR(AND(OR(B2475="SITE LOSS",B2475="REGION LOSS"),K2475=1),AND(B2475="ROLE COMPROMISE",H2475=C2475)),Inputs!$B$13,Inputs!$B$14))</f>
        <v>20</v>
      </c>
      <c r="O2475" s="15" t="n">
        <f aca="false">IF(J2475=1,0,Inputs!$B$13)</f>
        <v>20</v>
      </c>
      <c r="P2475" s="15" t="n">
        <f aca="false">SUM(M2475:N2475)</f>
        <v>95</v>
      </c>
      <c r="Q2475" s="15" t="n">
        <f aca="false">IF(J2475=1,"",L2475-P2475)</f>
        <v>5</v>
      </c>
      <c r="R2475" s="15" t="n">
        <f aca="false">IF(OR(J2475=1,M2475&lt;=Inputs!$B$12),1,0)</f>
        <v>1</v>
      </c>
      <c r="S2475" s="15" t="n">
        <f aca="false">IF(OR(J2475=1,N2475&lt;=O2475),1,0)</f>
        <v>1</v>
      </c>
      <c r="T2475" s="15" t="str">
        <f aca="false">IF(J2475=1,"OFFLINE",IF(AND(Q2475&gt;=Inputs!$B$15,R2475=1,S2475=1,P2475&lt;=L2475),"PASS","FAIL"))</f>
        <v>PASS</v>
      </c>
    </row>
    <row r="2476" customFormat="false" ht="15" hidden="false" customHeight="false" outlineLevel="0" collapsed="false">
      <c r="A2476" s="14" t="s">
        <v>1042</v>
      </c>
      <c r="B2476" s="14" t="s">
        <v>1038</v>
      </c>
      <c r="C2476" s="14" t="s">
        <v>161</v>
      </c>
      <c r="D2476" s="14" t="s">
        <v>198</v>
      </c>
      <c r="E2476" s="14" t="s">
        <v>166</v>
      </c>
      <c r="F2476" s="14" t="s">
        <v>199</v>
      </c>
      <c r="G2476" s="14" t="n">
        <v>1</v>
      </c>
      <c r="H2476" s="14" t="s">
        <v>154</v>
      </c>
      <c r="I2476" s="14" t="s">
        <v>895</v>
      </c>
      <c r="J2476" s="15" t="n">
        <f aca="false">IF(B2476="SITE LOSS",IF(D2476=C2476,1,0),IF(B2476="REGION LOSS",IF(E2476=C2476,1,0),0))</f>
        <v>0</v>
      </c>
      <c r="K2476" s="15" t="n">
        <f aca="false">IF(B2476="SITE LOSS",IF(COUNTIFS('Site Dockets'!$B$7:$B$24,C2476,'Site Dockets'!$C$7:$C$24,F2476)&gt;0,1,0),IF(B2476="REGION LOSS",IF(COUNTIFS('Site Dockets'!$E$7:$E$24,C2476,'Site Dockets'!$C$7:$C$24,F2476)&gt;0,1,0),0))</f>
        <v>1</v>
      </c>
      <c r="L2476" s="15" t="n">
        <f aca="false">IF(J2476=1,0,Inputs!$B$11)</f>
        <v>100</v>
      </c>
      <c r="M2476" s="15" t="n">
        <f aca="false">IF(J2476=1,0,Inputs!$B$12)</f>
        <v>75</v>
      </c>
      <c r="N2476" s="15" t="n">
        <f aca="false">IF(J2476=1,0,IF(OR(AND(OR(B2476="SITE LOSS",B2476="REGION LOSS"),K2476=1),AND(B2476="ROLE COMPROMISE",H2476=C2476)),Inputs!$B$13,Inputs!$B$14))</f>
        <v>20</v>
      </c>
      <c r="O2476" s="15" t="n">
        <f aca="false">IF(J2476=1,0,Inputs!$B$13)</f>
        <v>20</v>
      </c>
      <c r="P2476" s="15" t="n">
        <f aca="false">SUM(M2476:N2476)</f>
        <v>95</v>
      </c>
      <c r="Q2476" s="15" t="n">
        <f aca="false">IF(J2476=1,"",L2476-P2476)</f>
        <v>5</v>
      </c>
      <c r="R2476" s="15" t="n">
        <f aca="false">IF(OR(J2476=1,M2476&lt;=Inputs!$B$12),1,0)</f>
        <v>1</v>
      </c>
      <c r="S2476" s="15" t="n">
        <f aca="false">IF(OR(J2476=1,N2476&lt;=O2476),1,0)</f>
        <v>1</v>
      </c>
      <c r="T2476" s="15" t="str">
        <f aca="false">IF(J2476=1,"OFFLINE",IF(AND(Q2476&gt;=Inputs!$B$15,R2476=1,S2476=1,P2476&lt;=L2476),"PASS","FAIL"))</f>
        <v>PASS</v>
      </c>
    </row>
    <row r="2477" customFormat="false" ht="15" hidden="false" customHeight="false" outlineLevel="0" collapsed="false">
      <c r="A2477" s="14" t="s">
        <v>1042</v>
      </c>
      <c r="B2477" s="14" t="s">
        <v>1038</v>
      </c>
      <c r="C2477" s="14" t="s">
        <v>161</v>
      </c>
      <c r="D2477" s="14" t="s">
        <v>198</v>
      </c>
      <c r="E2477" s="14" t="s">
        <v>166</v>
      </c>
      <c r="F2477" s="14" t="s">
        <v>199</v>
      </c>
      <c r="G2477" s="14" t="n">
        <v>1</v>
      </c>
      <c r="H2477" s="14" t="s">
        <v>154</v>
      </c>
      <c r="I2477" s="14" t="s">
        <v>897</v>
      </c>
      <c r="J2477" s="15" t="n">
        <f aca="false">IF(B2477="SITE LOSS",IF(D2477=C2477,1,0),IF(B2477="REGION LOSS",IF(E2477=C2477,1,0),0))</f>
        <v>0</v>
      </c>
      <c r="K2477" s="15" t="n">
        <f aca="false">IF(B2477="SITE LOSS",IF(COUNTIFS('Site Dockets'!$B$7:$B$24,C2477,'Site Dockets'!$C$7:$C$24,F2477)&gt;0,1,0),IF(B2477="REGION LOSS",IF(COUNTIFS('Site Dockets'!$E$7:$E$24,C2477,'Site Dockets'!$C$7:$C$24,F2477)&gt;0,1,0),0))</f>
        <v>1</v>
      </c>
      <c r="L2477" s="15" t="n">
        <f aca="false">IF(J2477=1,0,Inputs!$B$11)</f>
        <v>100</v>
      </c>
      <c r="M2477" s="15" t="n">
        <f aca="false">IF(J2477=1,0,Inputs!$B$12)</f>
        <v>75</v>
      </c>
      <c r="N2477" s="15" t="n">
        <f aca="false">IF(J2477=1,0,IF(OR(AND(OR(B2477="SITE LOSS",B2477="REGION LOSS"),K2477=1),AND(B2477="ROLE COMPROMISE",H2477=C2477)),Inputs!$B$13,Inputs!$B$14))</f>
        <v>20</v>
      </c>
      <c r="O2477" s="15" t="n">
        <f aca="false">IF(J2477=1,0,Inputs!$B$13)</f>
        <v>20</v>
      </c>
      <c r="P2477" s="15" t="n">
        <f aca="false">SUM(M2477:N2477)</f>
        <v>95</v>
      </c>
      <c r="Q2477" s="15" t="n">
        <f aca="false">IF(J2477=1,"",L2477-P2477)</f>
        <v>5</v>
      </c>
      <c r="R2477" s="15" t="n">
        <f aca="false">IF(OR(J2477=1,M2477&lt;=Inputs!$B$12),1,0)</f>
        <v>1</v>
      </c>
      <c r="S2477" s="15" t="n">
        <f aca="false">IF(OR(J2477=1,N2477&lt;=O2477),1,0)</f>
        <v>1</v>
      </c>
      <c r="T2477" s="15" t="str">
        <f aca="false">IF(J2477=1,"OFFLINE",IF(AND(Q2477&gt;=Inputs!$B$15,R2477=1,S2477=1,P2477&lt;=L2477),"PASS","FAIL"))</f>
        <v>PASS</v>
      </c>
    </row>
    <row r="2478" customFormat="false" ht="15" hidden="false" customHeight="false" outlineLevel="0" collapsed="false">
      <c r="A2478" s="14" t="s">
        <v>1042</v>
      </c>
      <c r="B2478" s="14" t="s">
        <v>1038</v>
      </c>
      <c r="C2478" s="14" t="s">
        <v>161</v>
      </c>
      <c r="D2478" s="14" t="s">
        <v>198</v>
      </c>
      <c r="E2478" s="14" t="s">
        <v>166</v>
      </c>
      <c r="F2478" s="14" t="s">
        <v>199</v>
      </c>
      <c r="G2478" s="14" t="n">
        <v>1</v>
      </c>
      <c r="H2478" s="14" t="s">
        <v>154</v>
      </c>
      <c r="I2478" s="14" t="s">
        <v>899</v>
      </c>
      <c r="J2478" s="15" t="n">
        <f aca="false">IF(B2478="SITE LOSS",IF(D2478=C2478,1,0),IF(B2478="REGION LOSS",IF(E2478=C2478,1,0),0))</f>
        <v>0</v>
      </c>
      <c r="K2478" s="15" t="n">
        <f aca="false">IF(B2478="SITE LOSS",IF(COUNTIFS('Site Dockets'!$B$7:$B$24,C2478,'Site Dockets'!$C$7:$C$24,F2478)&gt;0,1,0),IF(B2478="REGION LOSS",IF(COUNTIFS('Site Dockets'!$E$7:$E$24,C2478,'Site Dockets'!$C$7:$C$24,F2478)&gt;0,1,0),0))</f>
        <v>1</v>
      </c>
      <c r="L2478" s="15" t="n">
        <f aca="false">IF(J2478=1,0,Inputs!$B$11)</f>
        <v>100</v>
      </c>
      <c r="M2478" s="15" t="n">
        <f aca="false">IF(J2478=1,0,Inputs!$B$12)</f>
        <v>75</v>
      </c>
      <c r="N2478" s="15" t="n">
        <f aca="false">IF(J2478=1,0,IF(OR(AND(OR(B2478="SITE LOSS",B2478="REGION LOSS"),K2478=1),AND(B2478="ROLE COMPROMISE",H2478=C2478)),Inputs!$B$13,Inputs!$B$14))</f>
        <v>20</v>
      </c>
      <c r="O2478" s="15" t="n">
        <f aca="false">IF(J2478=1,0,Inputs!$B$13)</f>
        <v>20</v>
      </c>
      <c r="P2478" s="15" t="n">
        <f aca="false">SUM(M2478:N2478)</f>
        <v>95</v>
      </c>
      <c r="Q2478" s="15" t="n">
        <f aca="false">IF(J2478=1,"",L2478-P2478)</f>
        <v>5</v>
      </c>
      <c r="R2478" s="15" t="n">
        <f aca="false">IF(OR(J2478=1,M2478&lt;=Inputs!$B$12),1,0)</f>
        <v>1</v>
      </c>
      <c r="S2478" s="15" t="n">
        <f aca="false">IF(OR(J2478=1,N2478&lt;=O2478),1,0)</f>
        <v>1</v>
      </c>
      <c r="T2478" s="15" t="str">
        <f aca="false">IF(J2478=1,"OFFLINE",IF(AND(Q2478&gt;=Inputs!$B$15,R2478=1,S2478=1,P2478&lt;=L2478),"PASS","FAIL"))</f>
        <v>PASS</v>
      </c>
    </row>
    <row r="2479" customFormat="false" ht="15" hidden="false" customHeight="false" outlineLevel="0" collapsed="false">
      <c r="A2479" s="14" t="s">
        <v>1042</v>
      </c>
      <c r="B2479" s="14" t="s">
        <v>1038</v>
      </c>
      <c r="C2479" s="14" t="s">
        <v>161</v>
      </c>
      <c r="D2479" s="14" t="s">
        <v>202</v>
      </c>
      <c r="E2479" s="14" t="s">
        <v>157</v>
      </c>
      <c r="F2479" s="14" t="s">
        <v>199</v>
      </c>
      <c r="G2479" s="14" t="n">
        <v>2</v>
      </c>
      <c r="H2479" s="14" t="s">
        <v>153</v>
      </c>
      <c r="I2479" s="14" t="s">
        <v>890</v>
      </c>
      <c r="J2479" s="15" t="n">
        <f aca="false">IF(B2479="SITE LOSS",IF(D2479=C2479,1,0),IF(B2479="REGION LOSS",IF(E2479=C2479,1,0),0))</f>
        <v>0</v>
      </c>
      <c r="K2479" s="15" t="n">
        <f aca="false">IF(B2479="SITE LOSS",IF(COUNTIFS('Site Dockets'!$B$7:$B$24,C2479,'Site Dockets'!$C$7:$C$24,F2479)&gt;0,1,0),IF(B2479="REGION LOSS",IF(COUNTIFS('Site Dockets'!$E$7:$E$24,C2479,'Site Dockets'!$C$7:$C$24,F2479)&gt;0,1,0),0))</f>
        <v>1</v>
      </c>
      <c r="L2479" s="15" t="n">
        <f aca="false">IF(J2479=1,0,Inputs!$B$11)</f>
        <v>100</v>
      </c>
      <c r="M2479" s="15" t="n">
        <f aca="false">IF(J2479=1,0,Inputs!$B$12)</f>
        <v>75</v>
      </c>
      <c r="N2479" s="15" t="n">
        <f aca="false">IF(J2479=1,0,IF(OR(AND(OR(B2479="SITE LOSS",B2479="REGION LOSS"),K2479=1),AND(B2479="ROLE COMPROMISE",H2479=C2479)),Inputs!$B$13,Inputs!$B$14))</f>
        <v>20</v>
      </c>
      <c r="O2479" s="15" t="n">
        <f aca="false">IF(J2479=1,0,Inputs!$B$13)</f>
        <v>20</v>
      </c>
      <c r="P2479" s="15" t="n">
        <f aca="false">SUM(M2479:N2479)</f>
        <v>95</v>
      </c>
      <c r="Q2479" s="15" t="n">
        <f aca="false">IF(J2479=1,"",L2479-P2479)</f>
        <v>5</v>
      </c>
      <c r="R2479" s="15" t="n">
        <f aca="false">IF(OR(J2479=1,M2479&lt;=Inputs!$B$12),1,0)</f>
        <v>1</v>
      </c>
      <c r="S2479" s="15" t="n">
        <f aca="false">IF(OR(J2479=1,N2479&lt;=O2479),1,0)</f>
        <v>1</v>
      </c>
      <c r="T2479" s="15" t="str">
        <f aca="false">IF(J2479=1,"OFFLINE",IF(AND(Q2479&gt;=Inputs!$B$15,R2479=1,S2479=1,P2479&lt;=L2479),"PASS","FAIL"))</f>
        <v>PASS</v>
      </c>
    </row>
    <row r="2480" customFormat="false" ht="15" hidden="false" customHeight="false" outlineLevel="0" collapsed="false">
      <c r="A2480" s="14" t="s">
        <v>1042</v>
      </c>
      <c r="B2480" s="14" t="s">
        <v>1038</v>
      </c>
      <c r="C2480" s="14" t="s">
        <v>161</v>
      </c>
      <c r="D2480" s="14" t="s">
        <v>202</v>
      </c>
      <c r="E2480" s="14" t="s">
        <v>157</v>
      </c>
      <c r="F2480" s="14" t="s">
        <v>199</v>
      </c>
      <c r="G2480" s="14" t="n">
        <v>2</v>
      </c>
      <c r="H2480" s="14" t="s">
        <v>153</v>
      </c>
      <c r="I2480" s="14" t="s">
        <v>892</v>
      </c>
      <c r="J2480" s="15" t="n">
        <f aca="false">IF(B2480="SITE LOSS",IF(D2480=C2480,1,0),IF(B2480="REGION LOSS",IF(E2480=C2480,1,0),0))</f>
        <v>0</v>
      </c>
      <c r="K2480" s="15" t="n">
        <f aca="false">IF(B2480="SITE LOSS",IF(COUNTIFS('Site Dockets'!$B$7:$B$24,C2480,'Site Dockets'!$C$7:$C$24,F2480)&gt;0,1,0),IF(B2480="REGION LOSS",IF(COUNTIFS('Site Dockets'!$E$7:$E$24,C2480,'Site Dockets'!$C$7:$C$24,F2480)&gt;0,1,0),0))</f>
        <v>1</v>
      </c>
      <c r="L2480" s="15" t="n">
        <f aca="false">IF(J2480=1,0,Inputs!$B$11)</f>
        <v>100</v>
      </c>
      <c r="M2480" s="15" t="n">
        <f aca="false">IF(J2480=1,0,Inputs!$B$12)</f>
        <v>75</v>
      </c>
      <c r="N2480" s="15" t="n">
        <f aca="false">IF(J2480=1,0,IF(OR(AND(OR(B2480="SITE LOSS",B2480="REGION LOSS"),K2480=1),AND(B2480="ROLE COMPROMISE",H2480=C2480)),Inputs!$B$13,Inputs!$B$14))</f>
        <v>20</v>
      </c>
      <c r="O2480" s="15" t="n">
        <f aca="false">IF(J2480=1,0,Inputs!$B$13)</f>
        <v>20</v>
      </c>
      <c r="P2480" s="15" t="n">
        <f aca="false">SUM(M2480:N2480)</f>
        <v>95</v>
      </c>
      <c r="Q2480" s="15" t="n">
        <f aca="false">IF(J2480=1,"",L2480-P2480)</f>
        <v>5</v>
      </c>
      <c r="R2480" s="15" t="n">
        <f aca="false">IF(OR(J2480=1,M2480&lt;=Inputs!$B$12),1,0)</f>
        <v>1</v>
      </c>
      <c r="S2480" s="15" t="n">
        <f aca="false">IF(OR(J2480=1,N2480&lt;=O2480),1,0)</f>
        <v>1</v>
      </c>
      <c r="T2480" s="15" t="str">
        <f aca="false">IF(J2480=1,"OFFLINE",IF(AND(Q2480&gt;=Inputs!$B$15,R2480=1,S2480=1,P2480&lt;=L2480),"PASS","FAIL"))</f>
        <v>PASS</v>
      </c>
    </row>
    <row r="2481" customFormat="false" ht="15" hidden="false" customHeight="false" outlineLevel="0" collapsed="false">
      <c r="A2481" s="14" t="s">
        <v>1042</v>
      </c>
      <c r="B2481" s="14" t="s">
        <v>1038</v>
      </c>
      <c r="C2481" s="14" t="s">
        <v>161</v>
      </c>
      <c r="D2481" s="14" t="s">
        <v>202</v>
      </c>
      <c r="E2481" s="14" t="s">
        <v>157</v>
      </c>
      <c r="F2481" s="14" t="s">
        <v>199</v>
      </c>
      <c r="G2481" s="14" t="n">
        <v>2</v>
      </c>
      <c r="H2481" s="14" t="s">
        <v>153</v>
      </c>
      <c r="I2481" s="14" t="s">
        <v>811</v>
      </c>
      <c r="J2481" s="15" t="n">
        <f aca="false">IF(B2481="SITE LOSS",IF(D2481=C2481,1,0),IF(B2481="REGION LOSS",IF(E2481=C2481,1,0),0))</f>
        <v>0</v>
      </c>
      <c r="K2481" s="15" t="n">
        <f aca="false">IF(B2481="SITE LOSS",IF(COUNTIFS('Site Dockets'!$B$7:$B$24,C2481,'Site Dockets'!$C$7:$C$24,F2481)&gt;0,1,0),IF(B2481="REGION LOSS",IF(COUNTIFS('Site Dockets'!$E$7:$E$24,C2481,'Site Dockets'!$C$7:$C$24,F2481)&gt;0,1,0),0))</f>
        <v>1</v>
      </c>
      <c r="L2481" s="15" t="n">
        <f aca="false">IF(J2481=1,0,Inputs!$B$11)</f>
        <v>100</v>
      </c>
      <c r="M2481" s="15" t="n">
        <f aca="false">IF(J2481=1,0,Inputs!$B$12)</f>
        <v>75</v>
      </c>
      <c r="N2481" s="15" t="n">
        <f aca="false">IF(J2481=1,0,IF(OR(AND(OR(B2481="SITE LOSS",B2481="REGION LOSS"),K2481=1),AND(B2481="ROLE COMPROMISE",H2481=C2481)),Inputs!$B$13,Inputs!$B$14))</f>
        <v>20</v>
      </c>
      <c r="O2481" s="15" t="n">
        <f aca="false">IF(J2481=1,0,Inputs!$B$13)</f>
        <v>20</v>
      </c>
      <c r="P2481" s="15" t="n">
        <f aca="false">SUM(M2481:N2481)</f>
        <v>95</v>
      </c>
      <c r="Q2481" s="15" t="n">
        <f aca="false">IF(J2481=1,"",L2481-P2481)</f>
        <v>5</v>
      </c>
      <c r="R2481" s="15" t="n">
        <f aca="false">IF(OR(J2481=1,M2481&lt;=Inputs!$B$12),1,0)</f>
        <v>1</v>
      </c>
      <c r="S2481" s="15" t="n">
        <f aca="false">IF(OR(J2481=1,N2481&lt;=O2481),1,0)</f>
        <v>1</v>
      </c>
      <c r="T2481" s="15" t="str">
        <f aca="false">IF(J2481=1,"OFFLINE",IF(AND(Q2481&gt;=Inputs!$B$15,R2481=1,S2481=1,P2481&lt;=L2481),"PASS","FAIL"))</f>
        <v>PASS</v>
      </c>
    </row>
    <row r="2482" customFormat="false" ht="15" hidden="false" customHeight="false" outlineLevel="0" collapsed="false">
      <c r="A2482" s="14" t="s">
        <v>1042</v>
      </c>
      <c r="B2482" s="14" t="s">
        <v>1038</v>
      </c>
      <c r="C2482" s="14" t="s">
        <v>161</v>
      </c>
      <c r="D2482" s="14" t="s">
        <v>202</v>
      </c>
      <c r="E2482" s="14" t="s">
        <v>157</v>
      </c>
      <c r="F2482" s="14" t="s">
        <v>199</v>
      </c>
      <c r="G2482" s="14" t="n">
        <v>2</v>
      </c>
      <c r="H2482" s="14" t="s">
        <v>153</v>
      </c>
      <c r="I2482" s="14" t="s">
        <v>895</v>
      </c>
      <c r="J2482" s="15" t="n">
        <f aca="false">IF(B2482="SITE LOSS",IF(D2482=C2482,1,0),IF(B2482="REGION LOSS",IF(E2482=C2482,1,0),0))</f>
        <v>0</v>
      </c>
      <c r="K2482" s="15" t="n">
        <f aca="false">IF(B2482="SITE LOSS",IF(COUNTIFS('Site Dockets'!$B$7:$B$24,C2482,'Site Dockets'!$C$7:$C$24,F2482)&gt;0,1,0),IF(B2482="REGION LOSS",IF(COUNTIFS('Site Dockets'!$E$7:$E$24,C2482,'Site Dockets'!$C$7:$C$24,F2482)&gt;0,1,0),0))</f>
        <v>1</v>
      </c>
      <c r="L2482" s="15" t="n">
        <f aca="false">IF(J2482=1,0,Inputs!$B$11)</f>
        <v>100</v>
      </c>
      <c r="M2482" s="15" t="n">
        <f aca="false">IF(J2482=1,0,Inputs!$B$12)</f>
        <v>75</v>
      </c>
      <c r="N2482" s="15" t="n">
        <f aca="false">IF(J2482=1,0,IF(OR(AND(OR(B2482="SITE LOSS",B2482="REGION LOSS"),K2482=1),AND(B2482="ROLE COMPROMISE",H2482=C2482)),Inputs!$B$13,Inputs!$B$14))</f>
        <v>20</v>
      </c>
      <c r="O2482" s="15" t="n">
        <f aca="false">IF(J2482=1,0,Inputs!$B$13)</f>
        <v>20</v>
      </c>
      <c r="P2482" s="15" t="n">
        <f aca="false">SUM(M2482:N2482)</f>
        <v>95</v>
      </c>
      <c r="Q2482" s="15" t="n">
        <f aca="false">IF(J2482=1,"",L2482-P2482)</f>
        <v>5</v>
      </c>
      <c r="R2482" s="15" t="n">
        <f aca="false">IF(OR(J2482=1,M2482&lt;=Inputs!$B$12),1,0)</f>
        <v>1</v>
      </c>
      <c r="S2482" s="15" t="n">
        <f aca="false">IF(OR(J2482=1,N2482&lt;=O2482),1,0)</f>
        <v>1</v>
      </c>
      <c r="T2482" s="15" t="str">
        <f aca="false">IF(J2482=1,"OFFLINE",IF(AND(Q2482&gt;=Inputs!$B$15,R2482=1,S2482=1,P2482&lt;=L2482),"PASS","FAIL"))</f>
        <v>PASS</v>
      </c>
    </row>
    <row r="2483" customFormat="false" ht="15" hidden="false" customHeight="false" outlineLevel="0" collapsed="false">
      <c r="A2483" s="14" t="s">
        <v>1042</v>
      </c>
      <c r="B2483" s="14" t="s">
        <v>1038</v>
      </c>
      <c r="C2483" s="14" t="s">
        <v>161</v>
      </c>
      <c r="D2483" s="14" t="s">
        <v>202</v>
      </c>
      <c r="E2483" s="14" t="s">
        <v>157</v>
      </c>
      <c r="F2483" s="14" t="s">
        <v>199</v>
      </c>
      <c r="G2483" s="14" t="n">
        <v>2</v>
      </c>
      <c r="H2483" s="14" t="s">
        <v>153</v>
      </c>
      <c r="I2483" s="14" t="s">
        <v>897</v>
      </c>
      <c r="J2483" s="15" t="n">
        <f aca="false">IF(B2483="SITE LOSS",IF(D2483=C2483,1,0),IF(B2483="REGION LOSS",IF(E2483=C2483,1,0),0))</f>
        <v>0</v>
      </c>
      <c r="K2483" s="15" t="n">
        <f aca="false">IF(B2483="SITE LOSS",IF(COUNTIFS('Site Dockets'!$B$7:$B$24,C2483,'Site Dockets'!$C$7:$C$24,F2483)&gt;0,1,0),IF(B2483="REGION LOSS",IF(COUNTIFS('Site Dockets'!$E$7:$E$24,C2483,'Site Dockets'!$C$7:$C$24,F2483)&gt;0,1,0),0))</f>
        <v>1</v>
      </c>
      <c r="L2483" s="15" t="n">
        <f aca="false">IF(J2483=1,0,Inputs!$B$11)</f>
        <v>100</v>
      </c>
      <c r="M2483" s="15" t="n">
        <f aca="false">IF(J2483=1,0,Inputs!$B$12)</f>
        <v>75</v>
      </c>
      <c r="N2483" s="15" t="n">
        <f aca="false">IF(J2483=1,0,IF(OR(AND(OR(B2483="SITE LOSS",B2483="REGION LOSS"),K2483=1),AND(B2483="ROLE COMPROMISE",H2483=C2483)),Inputs!$B$13,Inputs!$B$14))</f>
        <v>20</v>
      </c>
      <c r="O2483" s="15" t="n">
        <f aca="false">IF(J2483=1,0,Inputs!$B$13)</f>
        <v>20</v>
      </c>
      <c r="P2483" s="15" t="n">
        <f aca="false">SUM(M2483:N2483)</f>
        <v>95</v>
      </c>
      <c r="Q2483" s="15" t="n">
        <f aca="false">IF(J2483=1,"",L2483-P2483)</f>
        <v>5</v>
      </c>
      <c r="R2483" s="15" t="n">
        <f aca="false">IF(OR(J2483=1,M2483&lt;=Inputs!$B$12),1,0)</f>
        <v>1</v>
      </c>
      <c r="S2483" s="15" t="n">
        <f aca="false">IF(OR(J2483=1,N2483&lt;=O2483),1,0)</f>
        <v>1</v>
      </c>
      <c r="T2483" s="15" t="str">
        <f aca="false">IF(J2483=1,"OFFLINE",IF(AND(Q2483&gt;=Inputs!$B$15,R2483=1,S2483=1,P2483&lt;=L2483),"PASS","FAIL"))</f>
        <v>PASS</v>
      </c>
    </row>
    <row r="2484" customFormat="false" ht="15" hidden="false" customHeight="false" outlineLevel="0" collapsed="false">
      <c r="A2484" s="14" t="s">
        <v>1042</v>
      </c>
      <c r="B2484" s="14" t="s">
        <v>1038</v>
      </c>
      <c r="C2484" s="14" t="s">
        <v>161</v>
      </c>
      <c r="D2484" s="14" t="s">
        <v>202</v>
      </c>
      <c r="E2484" s="14" t="s">
        <v>157</v>
      </c>
      <c r="F2484" s="14" t="s">
        <v>199</v>
      </c>
      <c r="G2484" s="14" t="n">
        <v>2</v>
      </c>
      <c r="H2484" s="14" t="s">
        <v>153</v>
      </c>
      <c r="I2484" s="14" t="s">
        <v>899</v>
      </c>
      <c r="J2484" s="15" t="n">
        <f aca="false">IF(B2484="SITE LOSS",IF(D2484=C2484,1,0),IF(B2484="REGION LOSS",IF(E2484=C2484,1,0),0))</f>
        <v>0</v>
      </c>
      <c r="K2484" s="15" t="n">
        <f aca="false">IF(B2484="SITE LOSS",IF(COUNTIFS('Site Dockets'!$B$7:$B$24,C2484,'Site Dockets'!$C$7:$C$24,F2484)&gt;0,1,0),IF(B2484="REGION LOSS",IF(COUNTIFS('Site Dockets'!$E$7:$E$24,C2484,'Site Dockets'!$C$7:$C$24,F2484)&gt;0,1,0),0))</f>
        <v>1</v>
      </c>
      <c r="L2484" s="15" t="n">
        <f aca="false">IF(J2484=1,0,Inputs!$B$11)</f>
        <v>100</v>
      </c>
      <c r="M2484" s="15" t="n">
        <f aca="false">IF(J2484=1,0,Inputs!$B$12)</f>
        <v>75</v>
      </c>
      <c r="N2484" s="15" t="n">
        <f aca="false">IF(J2484=1,0,IF(OR(AND(OR(B2484="SITE LOSS",B2484="REGION LOSS"),K2484=1),AND(B2484="ROLE COMPROMISE",H2484=C2484)),Inputs!$B$13,Inputs!$B$14))</f>
        <v>20</v>
      </c>
      <c r="O2484" s="15" t="n">
        <f aca="false">IF(J2484=1,0,Inputs!$B$13)</f>
        <v>20</v>
      </c>
      <c r="P2484" s="15" t="n">
        <f aca="false">SUM(M2484:N2484)</f>
        <v>95</v>
      </c>
      <c r="Q2484" s="15" t="n">
        <f aca="false">IF(J2484=1,"",L2484-P2484)</f>
        <v>5</v>
      </c>
      <c r="R2484" s="15" t="n">
        <f aca="false">IF(OR(J2484=1,M2484&lt;=Inputs!$B$12),1,0)</f>
        <v>1</v>
      </c>
      <c r="S2484" s="15" t="n">
        <f aca="false">IF(OR(J2484=1,N2484&lt;=O2484),1,0)</f>
        <v>1</v>
      </c>
      <c r="T2484" s="15" t="str">
        <f aca="false">IF(J2484=1,"OFFLINE",IF(AND(Q2484&gt;=Inputs!$B$15,R2484=1,S2484=1,P2484&lt;=L2484),"PASS","FAIL"))</f>
        <v>PASS</v>
      </c>
    </row>
    <row r="2485" customFormat="false" ht="15" hidden="false" customHeight="false" outlineLevel="0" collapsed="false">
      <c r="A2485" s="14" t="s">
        <v>1042</v>
      </c>
      <c r="B2485" s="14" t="s">
        <v>1038</v>
      </c>
      <c r="C2485" s="14" t="s">
        <v>161</v>
      </c>
      <c r="D2485" s="14" t="s">
        <v>204</v>
      </c>
      <c r="E2485" s="14" t="s">
        <v>161</v>
      </c>
      <c r="F2485" s="14" t="s">
        <v>199</v>
      </c>
      <c r="G2485" s="14" t="n">
        <v>3</v>
      </c>
      <c r="H2485" s="14" t="s">
        <v>158</v>
      </c>
      <c r="I2485" s="14" t="s">
        <v>890</v>
      </c>
      <c r="J2485" s="15" t="n">
        <f aca="false">IF(B2485="SITE LOSS",IF(D2485=C2485,1,0),IF(B2485="REGION LOSS",IF(E2485=C2485,1,0),0))</f>
        <v>1</v>
      </c>
      <c r="K2485" s="15" t="n">
        <f aca="false">IF(B2485="SITE LOSS",IF(COUNTIFS('Site Dockets'!$B$7:$B$24,C2485,'Site Dockets'!$C$7:$C$24,F2485)&gt;0,1,0),IF(B2485="REGION LOSS",IF(COUNTIFS('Site Dockets'!$E$7:$E$24,C2485,'Site Dockets'!$C$7:$C$24,F2485)&gt;0,1,0),0))</f>
        <v>1</v>
      </c>
      <c r="L2485" s="15" t="n">
        <f aca="false">IF(J2485=1,0,Inputs!$B$11)</f>
        <v>0</v>
      </c>
      <c r="M2485" s="15" t="n">
        <f aca="false">IF(J2485=1,0,Inputs!$B$12)</f>
        <v>0</v>
      </c>
      <c r="N2485" s="15" t="n">
        <f aca="false">IF(J2485=1,0,IF(OR(AND(OR(B2485="SITE LOSS",B2485="REGION LOSS"),K2485=1),AND(B2485="ROLE COMPROMISE",H2485=C2485)),Inputs!$B$13,Inputs!$B$14))</f>
        <v>0</v>
      </c>
      <c r="O2485" s="15" t="n">
        <f aca="false">IF(J2485=1,0,Inputs!$B$13)</f>
        <v>0</v>
      </c>
      <c r="P2485" s="15" t="n">
        <f aca="false">SUM(M2485:N2485)</f>
        <v>0</v>
      </c>
      <c r="Q2485" s="15" t="str">
        <f aca="false">IF(J2485=1,"",L2485-P2485)</f>
        <v/>
      </c>
      <c r="R2485" s="15" t="n">
        <f aca="false">IF(OR(J2485=1,M2485&lt;=Inputs!$B$12),1,0)</f>
        <v>1</v>
      </c>
      <c r="S2485" s="15" t="n">
        <f aca="false">IF(OR(J2485=1,N2485&lt;=O2485),1,0)</f>
        <v>1</v>
      </c>
      <c r="T2485" s="15" t="str">
        <f aca="false">IF(J2485=1,"OFFLINE",IF(AND(Q2485&gt;=Inputs!$B$15,R2485=1,S2485=1,P2485&lt;=L2485),"PASS","FAIL"))</f>
        <v>OFFLINE</v>
      </c>
    </row>
    <row r="2486" customFormat="false" ht="15" hidden="false" customHeight="false" outlineLevel="0" collapsed="false">
      <c r="A2486" s="14" t="s">
        <v>1042</v>
      </c>
      <c r="B2486" s="14" t="s">
        <v>1038</v>
      </c>
      <c r="C2486" s="14" t="s">
        <v>161</v>
      </c>
      <c r="D2486" s="14" t="s">
        <v>204</v>
      </c>
      <c r="E2486" s="14" t="s">
        <v>161</v>
      </c>
      <c r="F2486" s="14" t="s">
        <v>199</v>
      </c>
      <c r="G2486" s="14" t="n">
        <v>3</v>
      </c>
      <c r="H2486" s="14" t="s">
        <v>158</v>
      </c>
      <c r="I2486" s="14" t="s">
        <v>892</v>
      </c>
      <c r="J2486" s="15" t="n">
        <f aca="false">IF(B2486="SITE LOSS",IF(D2486=C2486,1,0),IF(B2486="REGION LOSS",IF(E2486=C2486,1,0),0))</f>
        <v>1</v>
      </c>
      <c r="K2486" s="15" t="n">
        <f aca="false">IF(B2486="SITE LOSS",IF(COUNTIFS('Site Dockets'!$B$7:$B$24,C2486,'Site Dockets'!$C$7:$C$24,F2486)&gt;0,1,0),IF(B2486="REGION LOSS",IF(COUNTIFS('Site Dockets'!$E$7:$E$24,C2486,'Site Dockets'!$C$7:$C$24,F2486)&gt;0,1,0),0))</f>
        <v>1</v>
      </c>
      <c r="L2486" s="15" t="n">
        <f aca="false">IF(J2486=1,0,Inputs!$B$11)</f>
        <v>0</v>
      </c>
      <c r="M2486" s="15" t="n">
        <f aca="false">IF(J2486=1,0,Inputs!$B$12)</f>
        <v>0</v>
      </c>
      <c r="N2486" s="15" t="n">
        <f aca="false">IF(J2486=1,0,IF(OR(AND(OR(B2486="SITE LOSS",B2486="REGION LOSS"),K2486=1),AND(B2486="ROLE COMPROMISE",H2486=C2486)),Inputs!$B$13,Inputs!$B$14))</f>
        <v>0</v>
      </c>
      <c r="O2486" s="15" t="n">
        <f aca="false">IF(J2486=1,0,Inputs!$B$13)</f>
        <v>0</v>
      </c>
      <c r="P2486" s="15" t="n">
        <f aca="false">SUM(M2486:N2486)</f>
        <v>0</v>
      </c>
      <c r="Q2486" s="15" t="str">
        <f aca="false">IF(J2486=1,"",L2486-P2486)</f>
        <v/>
      </c>
      <c r="R2486" s="15" t="n">
        <f aca="false">IF(OR(J2486=1,M2486&lt;=Inputs!$B$12),1,0)</f>
        <v>1</v>
      </c>
      <c r="S2486" s="15" t="n">
        <f aca="false">IF(OR(J2486=1,N2486&lt;=O2486),1,0)</f>
        <v>1</v>
      </c>
      <c r="T2486" s="15" t="str">
        <f aca="false">IF(J2486=1,"OFFLINE",IF(AND(Q2486&gt;=Inputs!$B$15,R2486=1,S2486=1,P2486&lt;=L2486),"PASS","FAIL"))</f>
        <v>OFFLINE</v>
      </c>
    </row>
    <row r="2487" customFormat="false" ht="15" hidden="false" customHeight="false" outlineLevel="0" collapsed="false">
      <c r="A2487" s="14" t="s">
        <v>1042</v>
      </c>
      <c r="B2487" s="14" t="s">
        <v>1038</v>
      </c>
      <c r="C2487" s="14" t="s">
        <v>161</v>
      </c>
      <c r="D2487" s="14" t="s">
        <v>204</v>
      </c>
      <c r="E2487" s="14" t="s">
        <v>161</v>
      </c>
      <c r="F2487" s="14" t="s">
        <v>199</v>
      </c>
      <c r="G2487" s="14" t="n">
        <v>3</v>
      </c>
      <c r="H2487" s="14" t="s">
        <v>158</v>
      </c>
      <c r="I2487" s="14" t="s">
        <v>811</v>
      </c>
      <c r="J2487" s="15" t="n">
        <f aca="false">IF(B2487="SITE LOSS",IF(D2487=C2487,1,0),IF(B2487="REGION LOSS",IF(E2487=C2487,1,0),0))</f>
        <v>1</v>
      </c>
      <c r="K2487" s="15" t="n">
        <f aca="false">IF(B2487="SITE LOSS",IF(COUNTIFS('Site Dockets'!$B$7:$B$24,C2487,'Site Dockets'!$C$7:$C$24,F2487)&gt;0,1,0),IF(B2487="REGION LOSS",IF(COUNTIFS('Site Dockets'!$E$7:$E$24,C2487,'Site Dockets'!$C$7:$C$24,F2487)&gt;0,1,0),0))</f>
        <v>1</v>
      </c>
      <c r="L2487" s="15" t="n">
        <f aca="false">IF(J2487=1,0,Inputs!$B$11)</f>
        <v>0</v>
      </c>
      <c r="M2487" s="15" t="n">
        <f aca="false">IF(J2487=1,0,Inputs!$B$12)</f>
        <v>0</v>
      </c>
      <c r="N2487" s="15" t="n">
        <f aca="false">IF(J2487=1,0,IF(OR(AND(OR(B2487="SITE LOSS",B2487="REGION LOSS"),K2487=1),AND(B2487="ROLE COMPROMISE",H2487=C2487)),Inputs!$B$13,Inputs!$B$14))</f>
        <v>0</v>
      </c>
      <c r="O2487" s="15" t="n">
        <f aca="false">IF(J2487=1,0,Inputs!$B$13)</f>
        <v>0</v>
      </c>
      <c r="P2487" s="15" t="n">
        <f aca="false">SUM(M2487:N2487)</f>
        <v>0</v>
      </c>
      <c r="Q2487" s="15" t="str">
        <f aca="false">IF(J2487=1,"",L2487-P2487)</f>
        <v/>
      </c>
      <c r="R2487" s="15" t="n">
        <f aca="false">IF(OR(J2487=1,M2487&lt;=Inputs!$B$12),1,0)</f>
        <v>1</v>
      </c>
      <c r="S2487" s="15" t="n">
        <f aca="false">IF(OR(J2487=1,N2487&lt;=O2487),1,0)</f>
        <v>1</v>
      </c>
      <c r="T2487" s="15" t="str">
        <f aca="false">IF(J2487=1,"OFFLINE",IF(AND(Q2487&gt;=Inputs!$B$15,R2487=1,S2487=1,P2487&lt;=L2487),"PASS","FAIL"))</f>
        <v>OFFLINE</v>
      </c>
    </row>
    <row r="2488" customFormat="false" ht="15" hidden="false" customHeight="false" outlineLevel="0" collapsed="false">
      <c r="A2488" s="14" t="s">
        <v>1042</v>
      </c>
      <c r="B2488" s="14" t="s">
        <v>1038</v>
      </c>
      <c r="C2488" s="14" t="s">
        <v>161</v>
      </c>
      <c r="D2488" s="14" t="s">
        <v>204</v>
      </c>
      <c r="E2488" s="14" t="s">
        <v>161</v>
      </c>
      <c r="F2488" s="14" t="s">
        <v>199</v>
      </c>
      <c r="G2488" s="14" t="n">
        <v>3</v>
      </c>
      <c r="H2488" s="14" t="s">
        <v>158</v>
      </c>
      <c r="I2488" s="14" t="s">
        <v>895</v>
      </c>
      <c r="J2488" s="15" t="n">
        <f aca="false">IF(B2488="SITE LOSS",IF(D2488=C2488,1,0),IF(B2488="REGION LOSS",IF(E2488=C2488,1,0),0))</f>
        <v>1</v>
      </c>
      <c r="K2488" s="15" t="n">
        <f aca="false">IF(B2488="SITE LOSS",IF(COUNTIFS('Site Dockets'!$B$7:$B$24,C2488,'Site Dockets'!$C$7:$C$24,F2488)&gt;0,1,0),IF(B2488="REGION LOSS",IF(COUNTIFS('Site Dockets'!$E$7:$E$24,C2488,'Site Dockets'!$C$7:$C$24,F2488)&gt;0,1,0),0))</f>
        <v>1</v>
      </c>
      <c r="L2488" s="15" t="n">
        <f aca="false">IF(J2488=1,0,Inputs!$B$11)</f>
        <v>0</v>
      </c>
      <c r="M2488" s="15" t="n">
        <f aca="false">IF(J2488=1,0,Inputs!$B$12)</f>
        <v>0</v>
      </c>
      <c r="N2488" s="15" t="n">
        <f aca="false">IF(J2488=1,0,IF(OR(AND(OR(B2488="SITE LOSS",B2488="REGION LOSS"),K2488=1),AND(B2488="ROLE COMPROMISE",H2488=C2488)),Inputs!$B$13,Inputs!$B$14))</f>
        <v>0</v>
      </c>
      <c r="O2488" s="15" t="n">
        <f aca="false">IF(J2488=1,0,Inputs!$B$13)</f>
        <v>0</v>
      </c>
      <c r="P2488" s="15" t="n">
        <f aca="false">SUM(M2488:N2488)</f>
        <v>0</v>
      </c>
      <c r="Q2488" s="15" t="str">
        <f aca="false">IF(J2488=1,"",L2488-P2488)</f>
        <v/>
      </c>
      <c r="R2488" s="15" t="n">
        <f aca="false">IF(OR(J2488=1,M2488&lt;=Inputs!$B$12),1,0)</f>
        <v>1</v>
      </c>
      <c r="S2488" s="15" t="n">
        <f aca="false">IF(OR(J2488=1,N2488&lt;=O2488),1,0)</f>
        <v>1</v>
      </c>
      <c r="T2488" s="15" t="str">
        <f aca="false">IF(J2488=1,"OFFLINE",IF(AND(Q2488&gt;=Inputs!$B$15,R2488=1,S2488=1,P2488&lt;=L2488),"PASS","FAIL"))</f>
        <v>OFFLINE</v>
      </c>
    </row>
    <row r="2489" customFormat="false" ht="15" hidden="false" customHeight="false" outlineLevel="0" collapsed="false">
      <c r="A2489" s="14" t="s">
        <v>1042</v>
      </c>
      <c r="B2489" s="14" t="s">
        <v>1038</v>
      </c>
      <c r="C2489" s="14" t="s">
        <v>161</v>
      </c>
      <c r="D2489" s="14" t="s">
        <v>204</v>
      </c>
      <c r="E2489" s="14" t="s">
        <v>161</v>
      </c>
      <c r="F2489" s="14" t="s">
        <v>199</v>
      </c>
      <c r="G2489" s="14" t="n">
        <v>3</v>
      </c>
      <c r="H2489" s="14" t="s">
        <v>158</v>
      </c>
      <c r="I2489" s="14" t="s">
        <v>897</v>
      </c>
      <c r="J2489" s="15" t="n">
        <f aca="false">IF(B2489="SITE LOSS",IF(D2489=C2489,1,0),IF(B2489="REGION LOSS",IF(E2489=C2489,1,0),0))</f>
        <v>1</v>
      </c>
      <c r="K2489" s="15" t="n">
        <f aca="false">IF(B2489="SITE LOSS",IF(COUNTIFS('Site Dockets'!$B$7:$B$24,C2489,'Site Dockets'!$C$7:$C$24,F2489)&gt;0,1,0),IF(B2489="REGION LOSS",IF(COUNTIFS('Site Dockets'!$E$7:$E$24,C2489,'Site Dockets'!$C$7:$C$24,F2489)&gt;0,1,0),0))</f>
        <v>1</v>
      </c>
      <c r="L2489" s="15" t="n">
        <f aca="false">IF(J2489=1,0,Inputs!$B$11)</f>
        <v>0</v>
      </c>
      <c r="M2489" s="15" t="n">
        <f aca="false">IF(J2489=1,0,Inputs!$B$12)</f>
        <v>0</v>
      </c>
      <c r="N2489" s="15" t="n">
        <f aca="false">IF(J2489=1,0,IF(OR(AND(OR(B2489="SITE LOSS",B2489="REGION LOSS"),K2489=1),AND(B2489="ROLE COMPROMISE",H2489=C2489)),Inputs!$B$13,Inputs!$B$14))</f>
        <v>0</v>
      </c>
      <c r="O2489" s="15" t="n">
        <f aca="false">IF(J2489=1,0,Inputs!$B$13)</f>
        <v>0</v>
      </c>
      <c r="P2489" s="15" t="n">
        <f aca="false">SUM(M2489:N2489)</f>
        <v>0</v>
      </c>
      <c r="Q2489" s="15" t="str">
        <f aca="false">IF(J2489=1,"",L2489-P2489)</f>
        <v/>
      </c>
      <c r="R2489" s="15" t="n">
        <f aca="false">IF(OR(J2489=1,M2489&lt;=Inputs!$B$12),1,0)</f>
        <v>1</v>
      </c>
      <c r="S2489" s="15" t="n">
        <f aca="false">IF(OR(J2489=1,N2489&lt;=O2489),1,0)</f>
        <v>1</v>
      </c>
      <c r="T2489" s="15" t="str">
        <f aca="false">IF(J2489=1,"OFFLINE",IF(AND(Q2489&gt;=Inputs!$B$15,R2489=1,S2489=1,P2489&lt;=L2489),"PASS","FAIL"))</f>
        <v>OFFLINE</v>
      </c>
    </row>
    <row r="2490" customFormat="false" ht="15" hidden="false" customHeight="false" outlineLevel="0" collapsed="false">
      <c r="A2490" s="14" t="s">
        <v>1042</v>
      </c>
      <c r="B2490" s="14" t="s">
        <v>1038</v>
      </c>
      <c r="C2490" s="14" t="s">
        <v>161</v>
      </c>
      <c r="D2490" s="14" t="s">
        <v>204</v>
      </c>
      <c r="E2490" s="14" t="s">
        <v>161</v>
      </c>
      <c r="F2490" s="14" t="s">
        <v>199</v>
      </c>
      <c r="G2490" s="14" t="n">
        <v>3</v>
      </c>
      <c r="H2490" s="14" t="s">
        <v>158</v>
      </c>
      <c r="I2490" s="14" t="s">
        <v>899</v>
      </c>
      <c r="J2490" s="15" t="n">
        <f aca="false">IF(B2490="SITE LOSS",IF(D2490=C2490,1,0),IF(B2490="REGION LOSS",IF(E2490=C2490,1,0),0))</f>
        <v>1</v>
      </c>
      <c r="K2490" s="15" t="n">
        <f aca="false">IF(B2490="SITE LOSS",IF(COUNTIFS('Site Dockets'!$B$7:$B$24,C2490,'Site Dockets'!$C$7:$C$24,F2490)&gt;0,1,0),IF(B2490="REGION LOSS",IF(COUNTIFS('Site Dockets'!$E$7:$E$24,C2490,'Site Dockets'!$C$7:$C$24,F2490)&gt;0,1,0),0))</f>
        <v>1</v>
      </c>
      <c r="L2490" s="15" t="n">
        <f aca="false">IF(J2490=1,0,Inputs!$B$11)</f>
        <v>0</v>
      </c>
      <c r="M2490" s="15" t="n">
        <f aca="false">IF(J2490=1,0,Inputs!$B$12)</f>
        <v>0</v>
      </c>
      <c r="N2490" s="15" t="n">
        <f aca="false">IF(J2490=1,0,IF(OR(AND(OR(B2490="SITE LOSS",B2490="REGION LOSS"),K2490=1),AND(B2490="ROLE COMPROMISE",H2490=C2490)),Inputs!$B$13,Inputs!$B$14))</f>
        <v>0</v>
      </c>
      <c r="O2490" s="15" t="n">
        <f aca="false">IF(J2490=1,0,Inputs!$B$13)</f>
        <v>0</v>
      </c>
      <c r="P2490" s="15" t="n">
        <f aca="false">SUM(M2490:N2490)</f>
        <v>0</v>
      </c>
      <c r="Q2490" s="15" t="str">
        <f aca="false">IF(J2490=1,"",L2490-P2490)</f>
        <v/>
      </c>
      <c r="R2490" s="15" t="n">
        <f aca="false">IF(OR(J2490=1,M2490&lt;=Inputs!$B$12),1,0)</f>
        <v>1</v>
      </c>
      <c r="S2490" s="15" t="n">
        <f aca="false">IF(OR(J2490=1,N2490&lt;=O2490),1,0)</f>
        <v>1</v>
      </c>
      <c r="T2490" s="15" t="str">
        <f aca="false">IF(J2490=1,"OFFLINE",IF(AND(Q2490&gt;=Inputs!$B$15,R2490=1,S2490=1,P2490&lt;=L2490),"PASS","FAIL"))</f>
        <v>OFFLINE</v>
      </c>
    </row>
    <row r="2491" customFormat="false" ht="15" hidden="false" customHeight="false" outlineLevel="0" collapsed="false">
      <c r="A2491" s="14" t="s">
        <v>1043</v>
      </c>
      <c r="B2491" s="14" t="s">
        <v>1038</v>
      </c>
      <c r="C2491" s="14" t="s">
        <v>172</v>
      </c>
      <c r="D2491" s="14" t="s">
        <v>149</v>
      </c>
      <c r="E2491" s="14" t="s">
        <v>152</v>
      </c>
      <c r="F2491" s="14" t="s">
        <v>150</v>
      </c>
      <c r="G2491" s="14" t="n">
        <v>1</v>
      </c>
      <c r="H2491" s="14" t="s">
        <v>154</v>
      </c>
      <c r="I2491" s="14" t="s">
        <v>890</v>
      </c>
      <c r="J2491" s="15" t="n">
        <f aca="false">IF(B2491="SITE LOSS",IF(D2491=C2491,1,0),IF(B2491="REGION LOSS",IF(E2491=C2491,1,0),0))</f>
        <v>0</v>
      </c>
      <c r="K2491" s="15" t="n">
        <f aca="false">IF(B2491="SITE LOSS",IF(COUNTIFS('Site Dockets'!$B$7:$B$24,C2491,'Site Dockets'!$C$7:$C$24,F2491)&gt;0,1,0),IF(B2491="REGION LOSS",IF(COUNTIFS('Site Dockets'!$E$7:$E$24,C2491,'Site Dockets'!$C$7:$C$24,F2491)&gt;0,1,0),0))</f>
        <v>0</v>
      </c>
      <c r="L2491" s="15" t="n">
        <f aca="false">IF(J2491=1,0,Inputs!$B$11)</f>
        <v>100</v>
      </c>
      <c r="M2491" s="15" t="n">
        <f aca="false">IF(J2491=1,0,Inputs!$B$12)</f>
        <v>75</v>
      </c>
      <c r="N2491" s="15" t="n">
        <f aca="false">IF(J2491=1,0,IF(OR(AND(OR(B2491="SITE LOSS",B2491="REGION LOSS"),K2491=1),AND(B2491="ROLE COMPROMISE",H2491=C2491)),Inputs!$B$13,Inputs!$B$14))</f>
        <v>10</v>
      </c>
      <c r="O2491" s="15" t="n">
        <f aca="false">IF(J2491=1,0,Inputs!$B$13)</f>
        <v>20</v>
      </c>
      <c r="P2491" s="15" t="n">
        <f aca="false">SUM(M2491:N2491)</f>
        <v>85</v>
      </c>
      <c r="Q2491" s="15" t="n">
        <f aca="false">IF(J2491=1,"",L2491-P2491)</f>
        <v>15</v>
      </c>
      <c r="R2491" s="15" t="n">
        <f aca="false">IF(OR(J2491=1,M2491&lt;=Inputs!$B$12),1,0)</f>
        <v>1</v>
      </c>
      <c r="S2491" s="15" t="n">
        <f aca="false">IF(OR(J2491=1,N2491&lt;=O2491),1,0)</f>
        <v>1</v>
      </c>
      <c r="T2491" s="15" t="str">
        <f aca="false">IF(J2491=1,"OFFLINE",IF(AND(Q2491&gt;=Inputs!$B$15,R2491=1,S2491=1,P2491&lt;=L2491),"PASS","FAIL"))</f>
        <v>PASS</v>
      </c>
    </row>
    <row r="2492" customFormat="false" ht="15" hidden="false" customHeight="false" outlineLevel="0" collapsed="false">
      <c r="A2492" s="14" t="s">
        <v>1043</v>
      </c>
      <c r="B2492" s="14" t="s">
        <v>1038</v>
      </c>
      <c r="C2492" s="14" t="s">
        <v>172</v>
      </c>
      <c r="D2492" s="14" t="s">
        <v>149</v>
      </c>
      <c r="E2492" s="14" t="s">
        <v>152</v>
      </c>
      <c r="F2492" s="14" t="s">
        <v>150</v>
      </c>
      <c r="G2492" s="14" t="n">
        <v>1</v>
      </c>
      <c r="H2492" s="14" t="s">
        <v>154</v>
      </c>
      <c r="I2492" s="14" t="s">
        <v>892</v>
      </c>
      <c r="J2492" s="15" t="n">
        <f aca="false">IF(B2492="SITE LOSS",IF(D2492=C2492,1,0),IF(B2492="REGION LOSS",IF(E2492=C2492,1,0),0))</f>
        <v>0</v>
      </c>
      <c r="K2492" s="15" t="n">
        <f aca="false">IF(B2492="SITE LOSS",IF(COUNTIFS('Site Dockets'!$B$7:$B$24,C2492,'Site Dockets'!$C$7:$C$24,F2492)&gt;0,1,0),IF(B2492="REGION LOSS",IF(COUNTIFS('Site Dockets'!$E$7:$E$24,C2492,'Site Dockets'!$C$7:$C$24,F2492)&gt;0,1,0),0))</f>
        <v>0</v>
      </c>
      <c r="L2492" s="15" t="n">
        <f aca="false">IF(J2492=1,0,Inputs!$B$11)</f>
        <v>100</v>
      </c>
      <c r="M2492" s="15" t="n">
        <f aca="false">IF(J2492=1,0,Inputs!$B$12)</f>
        <v>75</v>
      </c>
      <c r="N2492" s="15" t="n">
        <f aca="false">IF(J2492=1,0,IF(OR(AND(OR(B2492="SITE LOSS",B2492="REGION LOSS"),K2492=1),AND(B2492="ROLE COMPROMISE",H2492=C2492)),Inputs!$B$13,Inputs!$B$14))</f>
        <v>10</v>
      </c>
      <c r="O2492" s="15" t="n">
        <f aca="false">IF(J2492=1,0,Inputs!$B$13)</f>
        <v>20</v>
      </c>
      <c r="P2492" s="15" t="n">
        <f aca="false">SUM(M2492:N2492)</f>
        <v>85</v>
      </c>
      <c r="Q2492" s="15" t="n">
        <f aca="false">IF(J2492=1,"",L2492-P2492)</f>
        <v>15</v>
      </c>
      <c r="R2492" s="15" t="n">
        <f aca="false">IF(OR(J2492=1,M2492&lt;=Inputs!$B$12),1,0)</f>
        <v>1</v>
      </c>
      <c r="S2492" s="15" t="n">
        <f aca="false">IF(OR(J2492=1,N2492&lt;=O2492),1,0)</f>
        <v>1</v>
      </c>
      <c r="T2492" s="15" t="str">
        <f aca="false">IF(J2492=1,"OFFLINE",IF(AND(Q2492&gt;=Inputs!$B$15,R2492=1,S2492=1,P2492&lt;=L2492),"PASS","FAIL"))</f>
        <v>PASS</v>
      </c>
    </row>
    <row r="2493" customFormat="false" ht="15" hidden="false" customHeight="false" outlineLevel="0" collapsed="false">
      <c r="A2493" s="14" t="s">
        <v>1043</v>
      </c>
      <c r="B2493" s="14" t="s">
        <v>1038</v>
      </c>
      <c r="C2493" s="14" t="s">
        <v>172</v>
      </c>
      <c r="D2493" s="14" t="s">
        <v>149</v>
      </c>
      <c r="E2493" s="14" t="s">
        <v>152</v>
      </c>
      <c r="F2493" s="14" t="s">
        <v>150</v>
      </c>
      <c r="G2493" s="14" t="n">
        <v>1</v>
      </c>
      <c r="H2493" s="14" t="s">
        <v>154</v>
      </c>
      <c r="I2493" s="14" t="s">
        <v>811</v>
      </c>
      <c r="J2493" s="15" t="n">
        <f aca="false">IF(B2493="SITE LOSS",IF(D2493=C2493,1,0),IF(B2493="REGION LOSS",IF(E2493=C2493,1,0),0))</f>
        <v>0</v>
      </c>
      <c r="K2493" s="15" t="n">
        <f aca="false">IF(B2493="SITE LOSS",IF(COUNTIFS('Site Dockets'!$B$7:$B$24,C2493,'Site Dockets'!$C$7:$C$24,F2493)&gt;0,1,0),IF(B2493="REGION LOSS",IF(COUNTIFS('Site Dockets'!$E$7:$E$24,C2493,'Site Dockets'!$C$7:$C$24,F2493)&gt;0,1,0),0))</f>
        <v>0</v>
      </c>
      <c r="L2493" s="15" t="n">
        <f aca="false">IF(J2493=1,0,Inputs!$B$11)</f>
        <v>100</v>
      </c>
      <c r="M2493" s="15" t="n">
        <f aca="false">IF(J2493=1,0,Inputs!$B$12)</f>
        <v>75</v>
      </c>
      <c r="N2493" s="15" t="n">
        <f aca="false">IF(J2493=1,0,IF(OR(AND(OR(B2493="SITE LOSS",B2493="REGION LOSS"),K2493=1),AND(B2493="ROLE COMPROMISE",H2493=C2493)),Inputs!$B$13,Inputs!$B$14))</f>
        <v>10</v>
      </c>
      <c r="O2493" s="15" t="n">
        <f aca="false">IF(J2493=1,0,Inputs!$B$13)</f>
        <v>20</v>
      </c>
      <c r="P2493" s="15" t="n">
        <f aca="false">SUM(M2493:N2493)</f>
        <v>85</v>
      </c>
      <c r="Q2493" s="15" t="n">
        <f aca="false">IF(J2493=1,"",L2493-P2493)</f>
        <v>15</v>
      </c>
      <c r="R2493" s="15" t="n">
        <f aca="false">IF(OR(J2493=1,M2493&lt;=Inputs!$B$12),1,0)</f>
        <v>1</v>
      </c>
      <c r="S2493" s="15" t="n">
        <f aca="false">IF(OR(J2493=1,N2493&lt;=O2493),1,0)</f>
        <v>1</v>
      </c>
      <c r="T2493" s="15" t="str">
        <f aca="false">IF(J2493=1,"OFFLINE",IF(AND(Q2493&gt;=Inputs!$B$15,R2493=1,S2493=1,P2493&lt;=L2493),"PASS","FAIL"))</f>
        <v>PASS</v>
      </c>
    </row>
    <row r="2494" customFormat="false" ht="15" hidden="false" customHeight="false" outlineLevel="0" collapsed="false">
      <c r="A2494" s="14" t="s">
        <v>1043</v>
      </c>
      <c r="B2494" s="14" t="s">
        <v>1038</v>
      </c>
      <c r="C2494" s="14" t="s">
        <v>172</v>
      </c>
      <c r="D2494" s="14" t="s">
        <v>149</v>
      </c>
      <c r="E2494" s="14" t="s">
        <v>152</v>
      </c>
      <c r="F2494" s="14" t="s">
        <v>150</v>
      </c>
      <c r="G2494" s="14" t="n">
        <v>1</v>
      </c>
      <c r="H2494" s="14" t="s">
        <v>154</v>
      </c>
      <c r="I2494" s="14" t="s">
        <v>895</v>
      </c>
      <c r="J2494" s="15" t="n">
        <f aca="false">IF(B2494="SITE LOSS",IF(D2494=C2494,1,0),IF(B2494="REGION LOSS",IF(E2494=C2494,1,0),0))</f>
        <v>0</v>
      </c>
      <c r="K2494" s="15" t="n">
        <f aca="false">IF(B2494="SITE LOSS",IF(COUNTIFS('Site Dockets'!$B$7:$B$24,C2494,'Site Dockets'!$C$7:$C$24,F2494)&gt;0,1,0),IF(B2494="REGION LOSS",IF(COUNTIFS('Site Dockets'!$E$7:$E$24,C2494,'Site Dockets'!$C$7:$C$24,F2494)&gt;0,1,0),0))</f>
        <v>0</v>
      </c>
      <c r="L2494" s="15" t="n">
        <f aca="false">IF(J2494=1,0,Inputs!$B$11)</f>
        <v>100</v>
      </c>
      <c r="M2494" s="15" t="n">
        <f aca="false">IF(J2494=1,0,Inputs!$B$12)</f>
        <v>75</v>
      </c>
      <c r="N2494" s="15" t="n">
        <f aca="false">IF(J2494=1,0,IF(OR(AND(OR(B2494="SITE LOSS",B2494="REGION LOSS"),K2494=1),AND(B2494="ROLE COMPROMISE",H2494=C2494)),Inputs!$B$13,Inputs!$B$14))</f>
        <v>10</v>
      </c>
      <c r="O2494" s="15" t="n">
        <f aca="false">IF(J2494=1,0,Inputs!$B$13)</f>
        <v>20</v>
      </c>
      <c r="P2494" s="15" t="n">
        <f aca="false">SUM(M2494:N2494)</f>
        <v>85</v>
      </c>
      <c r="Q2494" s="15" t="n">
        <f aca="false">IF(J2494=1,"",L2494-P2494)</f>
        <v>15</v>
      </c>
      <c r="R2494" s="15" t="n">
        <f aca="false">IF(OR(J2494=1,M2494&lt;=Inputs!$B$12),1,0)</f>
        <v>1</v>
      </c>
      <c r="S2494" s="15" t="n">
        <f aca="false">IF(OR(J2494=1,N2494&lt;=O2494),1,0)</f>
        <v>1</v>
      </c>
      <c r="T2494" s="15" t="str">
        <f aca="false">IF(J2494=1,"OFFLINE",IF(AND(Q2494&gt;=Inputs!$B$15,R2494=1,S2494=1,P2494&lt;=L2494),"PASS","FAIL"))</f>
        <v>PASS</v>
      </c>
    </row>
    <row r="2495" customFormat="false" ht="15" hidden="false" customHeight="false" outlineLevel="0" collapsed="false">
      <c r="A2495" s="14" t="s">
        <v>1043</v>
      </c>
      <c r="B2495" s="14" t="s">
        <v>1038</v>
      </c>
      <c r="C2495" s="14" t="s">
        <v>172</v>
      </c>
      <c r="D2495" s="14" t="s">
        <v>149</v>
      </c>
      <c r="E2495" s="14" t="s">
        <v>152</v>
      </c>
      <c r="F2495" s="14" t="s">
        <v>150</v>
      </c>
      <c r="G2495" s="14" t="n">
        <v>1</v>
      </c>
      <c r="H2495" s="14" t="s">
        <v>154</v>
      </c>
      <c r="I2495" s="14" t="s">
        <v>897</v>
      </c>
      <c r="J2495" s="15" t="n">
        <f aca="false">IF(B2495="SITE LOSS",IF(D2495=C2495,1,0),IF(B2495="REGION LOSS",IF(E2495=C2495,1,0),0))</f>
        <v>0</v>
      </c>
      <c r="K2495" s="15" t="n">
        <f aca="false">IF(B2495="SITE LOSS",IF(COUNTIFS('Site Dockets'!$B$7:$B$24,C2495,'Site Dockets'!$C$7:$C$24,F2495)&gt;0,1,0),IF(B2495="REGION LOSS",IF(COUNTIFS('Site Dockets'!$E$7:$E$24,C2495,'Site Dockets'!$C$7:$C$24,F2495)&gt;0,1,0),0))</f>
        <v>0</v>
      </c>
      <c r="L2495" s="15" t="n">
        <f aca="false">IF(J2495=1,0,Inputs!$B$11)</f>
        <v>100</v>
      </c>
      <c r="M2495" s="15" t="n">
        <f aca="false">IF(J2495=1,0,Inputs!$B$12)</f>
        <v>75</v>
      </c>
      <c r="N2495" s="15" t="n">
        <f aca="false">IF(J2495=1,0,IF(OR(AND(OR(B2495="SITE LOSS",B2495="REGION LOSS"),K2495=1),AND(B2495="ROLE COMPROMISE",H2495=C2495)),Inputs!$B$13,Inputs!$B$14))</f>
        <v>10</v>
      </c>
      <c r="O2495" s="15" t="n">
        <f aca="false">IF(J2495=1,0,Inputs!$B$13)</f>
        <v>20</v>
      </c>
      <c r="P2495" s="15" t="n">
        <f aca="false">SUM(M2495:N2495)</f>
        <v>85</v>
      </c>
      <c r="Q2495" s="15" t="n">
        <f aca="false">IF(J2495=1,"",L2495-P2495)</f>
        <v>15</v>
      </c>
      <c r="R2495" s="15" t="n">
        <f aca="false">IF(OR(J2495=1,M2495&lt;=Inputs!$B$12),1,0)</f>
        <v>1</v>
      </c>
      <c r="S2495" s="15" t="n">
        <f aca="false">IF(OR(J2495=1,N2495&lt;=O2495),1,0)</f>
        <v>1</v>
      </c>
      <c r="T2495" s="15" t="str">
        <f aca="false">IF(J2495=1,"OFFLINE",IF(AND(Q2495&gt;=Inputs!$B$15,R2495=1,S2495=1,P2495&lt;=L2495),"PASS","FAIL"))</f>
        <v>PASS</v>
      </c>
    </row>
    <row r="2496" customFormat="false" ht="15" hidden="false" customHeight="false" outlineLevel="0" collapsed="false">
      <c r="A2496" s="14" t="s">
        <v>1043</v>
      </c>
      <c r="B2496" s="14" t="s">
        <v>1038</v>
      </c>
      <c r="C2496" s="14" t="s">
        <v>172</v>
      </c>
      <c r="D2496" s="14" t="s">
        <v>149</v>
      </c>
      <c r="E2496" s="14" t="s">
        <v>152</v>
      </c>
      <c r="F2496" s="14" t="s">
        <v>150</v>
      </c>
      <c r="G2496" s="14" t="n">
        <v>1</v>
      </c>
      <c r="H2496" s="14" t="s">
        <v>154</v>
      </c>
      <c r="I2496" s="14" t="s">
        <v>899</v>
      </c>
      <c r="J2496" s="15" t="n">
        <f aca="false">IF(B2496="SITE LOSS",IF(D2496=C2496,1,0),IF(B2496="REGION LOSS",IF(E2496=C2496,1,0),0))</f>
        <v>0</v>
      </c>
      <c r="K2496" s="15" t="n">
        <f aca="false">IF(B2496="SITE LOSS",IF(COUNTIFS('Site Dockets'!$B$7:$B$24,C2496,'Site Dockets'!$C$7:$C$24,F2496)&gt;0,1,0),IF(B2496="REGION LOSS",IF(COUNTIFS('Site Dockets'!$E$7:$E$24,C2496,'Site Dockets'!$C$7:$C$24,F2496)&gt;0,1,0),0))</f>
        <v>0</v>
      </c>
      <c r="L2496" s="15" t="n">
        <f aca="false">IF(J2496=1,0,Inputs!$B$11)</f>
        <v>100</v>
      </c>
      <c r="M2496" s="15" t="n">
        <f aca="false">IF(J2496=1,0,Inputs!$B$12)</f>
        <v>75</v>
      </c>
      <c r="N2496" s="15" t="n">
        <f aca="false">IF(J2496=1,0,IF(OR(AND(OR(B2496="SITE LOSS",B2496="REGION LOSS"),K2496=1),AND(B2496="ROLE COMPROMISE",H2496=C2496)),Inputs!$B$13,Inputs!$B$14))</f>
        <v>10</v>
      </c>
      <c r="O2496" s="15" t="n">
        <f aca="false">IF(J2496=1,0,Inputs!$B$13)</f>
        <v>20</v>
      </c>
      <c r="P2496" s="15" t="n">
        <f aca="false">SUM(M2496:N2496)</f>
        <v>85</v>
      </c>
      <c r="Q2496" s="15" t="n">
        <f aca="false">IF(J2496=1,"",L2496-P2496)</f>
        <v>15</v>
      </c>
      <c r="R2496" s="15" t="n">
        <f aca="false">IF(OR(J2496=1,M2496&lt;=Inputs!$B$12),1,0)</f>
        <v>1</v>
      </c>
      <c r="S2496" s="15" t="n">
        <f aca="false">IF(OR(J2496=1,N2496&lt;=O2496),1,0)</f>
        <v>1</v>
      </c>
      <c r="T2496" s="15" t="str">
        <f aca="false">IF(J2496=1,"OFFLINE",IF(AND(Q2496&gt;=Inputs!$B$15,R2496=1,S2496=1,P2496&lt;=L2496),"PASS","FAIL"))</f>
        <v>PASS</v>
      </c>
    </row>
    <row r="2497" customFormat="false" ht="15" hidden="false" customHeight="false" outlineLevel="0" collapsed="false">
      <c r="A2497" s="14" t="s">
        <v>1043</v>
      </c>
      <c r="B2497" s="14" t="s">
        <v>1038</v>
      </c>
      <c r="C2497" s="14" t="s">
        <v>172</v>
      </c>
      <c r="D2497" s="14" t="s">
        <v>156</v>
      </c>
      <c r="E2497" s="14" t="s">
        <v>157</v>
      </c>
      <c r="F2497" s="14" t="s">
        <v>150</v>
      </c>
      <c r="G2497" s="14" t="n">
        <v>2</v>
      </c>
      <c r="H2497" s="14" t="s">
        <v>153</v>
      </c>
      <c r="I2497" s="14" t="s">
        <v>890</v>
      </c>
      <c r="J2497" s="15" t="n">
        <f aca="false">IF(B2497="SITE LOSS",IF(D2497=C2497,1,0),IF(B2497="REGION LOSS",IF(E2497=C2497,1,0),0))</f>
        <v>0</v>
      </c>
      <c r="K2497" s="15" t="n">
        <f aca="false">IF(B2497="SITE LOSS",IF(COUNTIFS('Site Dockets'!$B$7:$B$24,C2497,'Site Dockets'!$C$7:$C$24,F2497)&gt;0,1,0),IF(B2497="REGION LOSS",IF(COUNTIFS('Site Dockets'!$E$7:$E$24,C2497,'Site Dockets'!$C$7:$C$24,F2497)&gt;0,1,0),0))</f>
        <v>0</v>
      </c>
      <c r="L2497" s="15" t="n">
        <f aca="false">IF(J2497=1,0,Inputs!$B$11)</f>
        <v>100</v>
      </c>
      <c r="M2497" s="15" t="n">
        <f aca="false">IF(J2497=1,0,Inputs!$B$12)</f>
        <v>75</v>
      </c>
      <c r="N2497" s="15" t="n">
        <f aca="false">IF(J2497=1,0,IF(OR(AND(OR(B2497="SITE LOSS",B2497="REGION LOSS"),K2497=1),AND(B2497="ROLE COMPROMISE",H2497=C2497)),Inputs!$B$13,Inputs!$B$14))</f>
        <v>10</v>
      </c>
      <c r="O2497" s="15" t="n">
        <f aca="false">IF(J2497=1,0,Inputs!$B$13)</f>
        <v>20</v>
      </c>
      <c r="P2497" s="15" t="n">
        <f aca="false">SUM(M2497:N2497)</f>
        <v>85</v>
      </c>
      <c r="Q2497" s="15" t="n">
        <f aca="false">IF(J2497=1,"",L2497-P2497)</f>
        <v>15</v>
      </c>
      <c r="R2497" s="15" t="n">
        <f aca="false">IF(OR(J2497=1,M2497&lt;=Inputs!$B$12),1,0)</f>
        <v>1</v>
      </c>
      <c r="S2497" s="15" t="n">
        <f aca="false">IF(OR(J2497=1,N2497&lt;=O2497),1,0)</f>
        <v>1</v>
      </c>
      <c r="T2497" s="15" t="str">
        <f aca="false">IF(J2497=1,"OFFLINE",IF(AND(Q2497&gt;=Inputs!$B$15,R2497=1,S2497=1,P2497&lt;=L2497),"PASS","FAIL"))</f>
        <v>PASS</v>
      </c>
    </row>
    <row r="2498" customFormat="false" ht="15" hidden="false" customHeight="false" outlineLevel="0" collapsed="false">
      <c r="A2498" s="14" t="s">
        <v>1043</v>
      </c>
      <c r="B2498" s="14" t="s">
        <v>1038</v>
      </c>
      <c r="C2498" s="14" t="s">
        <v>172</v>
      </c>
      <c r="D2498" s="14" t="s">
        <v>156</v>
      </c>
      <c r="E2498" s="14" t="s">
        <v>157</v>
      </c>
      <c r="F2498" s="14" t="s">
        <v>150</v>
      </c>
      <c r="G2498" s="14" t="n">
        <v>2</v>
      </c>
      <c r="H2498" s="14" t="s">
        <v>153</v>
      </c>
      <c r="I2498" s="14" t="s">
        <v>892</v>
      </c>
      <c r="J2498" s="15" t="n">
        <f aca="false">IF(B2498="SITE LOSS",IF(D2498=C2498,1,0),IF(B2498="REGION LOSS",IF(E2498=C2498,1,0),0))</f>
        <v>0</v>
      </c>
      <c r="K2498" s="15" t="n">
        <f aca="false">IF(B2498="SITE LOSS",IF(COUNTIFS('Site Dockets'!$B$7:$B$24,C2498,'Site Dockets'!$C$7:$C$24,F2498)&gt;0,1,0),IF(B2498="REGION LOSS",IF(COUNTIFS('Site Dockets'!$E$7:$E$24,C2498,'Site Dockets'!$C$7:$C$24,F2498)&gt;0,1,0),0))</f>
        <v>0</v>
      </c>
      <c r="L2498" s="15" t="n">
        <f aca="false">IF(J2498=1,0,Inputs!$B$11)</f>
        <v>100</v>
      </c>
      <c r="M2498" s="15" t="n">
        <f aca="false">IF(J2498=1,0,Inputs!$B$12)</f>
        <v>75</v>
      </c>
      <c r="N2498" s="15" t="n">
        <f aca="false">IF(J2498=1,0,IF(OR(AND(OR(B2498="SITE LOSS",B2498="REGION LOSS"),K2498=1),AND(B2498="ROLE COMPROMISE",H2498=C2498)),Inputs!$B$13,Inputs!$B$14))</f>
        <v>10</v>
      </c>
      <c r="O2498" s="15" t="n">
        <f aca="false">IF(J2498=1,0,Inputs!$B$13)</f>
        <v>20</v>
      </c>
      <c r="P2498" s="15" t="n">
        <f aca="false">SUM(M2498:N2498)</f>
        <v>85</v>
      </c>
      <c r="Q2498" s="15" t="n">
        <f aca="false">IF(J2498=1,"",L2498-P2498)</f>
        <v>15</v>
      </c>
      <c r="R2498" s="15" t="n">
        <f aca="false">IF(OR(J2498=1,M2498&lt;=Inputs!$B$12),1,0)</f>
        <v>1</v>
      </c>
      <c r="S2498" s="15" t="n">
        <f aca="false">IF(OR(J2498=1,N2498&lt;=O2498),1,0)</f>
        <v>1</v>
      </c>
      <c r="T2498" s="15" t="str">
        <f aca="false">IF(J2498=1,"OFFLINE",IF(AND(Q2498&gt;=Inputs!$B$15,R2498=1,S2498=1,P2498&lt;=L2498),"PASS","FAIL"))</f>
        <v>PASS</v>
      </c>
    </row>
    <row r="2499" customFormat="false" ht="15" hidden="false" customHeight="false" outlineLevel="0" collapsed="false">
      <c r="A2499" s="14" t="s">
        <v>1043</v>
      </c>
      <c r="B2499" s="14" t="s">
        <v>1038</v>
      </c>
      <c r="C2499" s="14" t="s">
        <v>172</v>
      </c>
      <c r="D2499" s="14" t="s">
        <v>156</v>
      </c>
      <c r="E2499" s="14" t="s">
        <v>157</v>
      </c>
      <c r="F2499" s="14" t="s">
        <v>150</v>
      </c>
      <c r="G2499" s="14" t="n">
        <v>2</v>
      </c>
      <c r="H2499" s="14" t="s">
        <v>153</v>
      </c>
      <c r="I2499" s="14" t="s">
        <v>811</v>
      </c>
      <c r="J2499" s="15" t="n">
        <f aca="false">IF(B2499="SITE LOSS",IF(D2499=C2499,1,0),IF(B2499="REGION LOSS",IF(E2499=C2499,1,0),0))</f>
        <v>0</v>
      </c>
      <c r="K2499" s="15" t="n">
        <f aca="false">IF(B2499="SITE LOSS",IF(COUNTIFS('Site Dockets'!$B$7:$B$24,C2499,'Site Dockets'!$C$7:$C$24,F2499)&gt;0,1,0),IF(B2499="REGION LOSS",IF(COUNTIFS('Site Dockets'!$E$7:$E$24,C2499,'Site Dockets'!$C$7:$C$24,F2499)&gt;0,1,0),0))</f>
        <v>0</v>
      </c>
      <c r="L2499" s="15" t="n">
        <f aca="false">IF(J2499=1,0,Inputs!$B$11)</f>
        <v>100</v>
      </c>
      <c r="M2499" s="15" t="n">
        <f aca="false">IF(J2499=1,0,Inputs!$B$12)</f>
        <v>75</v>
      </c>
      <c r="N2499" s="15" t="n">
        <f aca="false">IF(J2499=1,0,IF(OR(AND(OR(B2499="SITE LOSS",B2499="REGION LOSS"),K2499=1),AND(B2499="ROLE COMPROMISE",H2499=C2499)),Inputs!$B$13,Inputs!$B$14))</f>
        <v>10</v>
      </c>
      <c r="O2499" s="15" t="n">
        <f aca="false">IF(J2499=1,0,Inputs!$B$13)</f>
        <v>20</v>
      </c>
      <c r="P2499" s="15" t="n">
        <f aca="false">SUM(M2499:N2499)</f>
        <v>85</v>
      </c>
      <c r="Q2499" s="15" t="n">
        <f aca="false">IF(J2499=1,"",L2499-P2499)</f>
        <v>15</v>
      </c>
      <c r="R2499" s="15" t="n">
        <f aca="false">IF(OR(J2499=1,M2499&lt;=Inputs!$B$12),1,0)</f>
        <v>1</v>
      </c>
      <c r="S2499" s="15" t="n">
        <f aca="false">IF(OR(J2499=1,N2499&lt;=O2499),1,0)</f>
        <v>1</v>
      </c>
      <c r="T2499" s="15" t="str">
        <f aca="false">IF(J2499=1,"OFFLINE",IF(AND(Q2499&gt;=Inputs!$B$15,R2499=1,S2499=1,P2499&lt;=L2499),"PASS","FAIL"))</f>
        <v>PASS</v>
      </c>
    </row>
    <row r="2500" customFormat="false" ht="15" hidden="false" customHeight="false" outlineLevel="0" collapsed="false">
      <c r="A2500" s="14" t="s">
        <v>1043</v>
      </c>
      <c r="B2500" s="14" t="s">
        <v>1038</v>
      </c>
      <c r="C2500" s="14" t="s">
        <v>172</v>
      </c>
      <c r="D2500" s="14" t="s">
        <v>156</v>
      </c>
      <c r="E2500" s="14" t="s">
        <v>157</v>
      </c>
      <c r="F2500" s="14" t="s">
        <v>150</v>
      </c>
      <c r="G2500" s="14" t="n">
        <v>2</v>
      </c>
      <c r="H2500" s="14" t="s">
        <v>153</v>
      </c>
      <c r="I2500" s="14" t="s">
        <v>895</v>
      </c>
      <c r="J2500" s="15" t="n">
        <f aca="false">IF(B2500="SITE LOSS",IF(D2500=C2500,1,0),IF(B2500="REGION LOSS",IF(E2500=C2500,1,0),0))</f>
        <v>0</v>
      </c>
      <c r="K2500" s="15" t="n">
        <f aca="false">IF(B2500="SITE LOSS",IF(COUNTIFS('Site Dockets'!$B$7:$B$24,C2500,'Site Dockets'!$C$7:$C$24,F2500)&gt;0,1,0),IF(B2500="REGION LOSS",IF(COUNTIFS('Site Dockets'!$E$7:$E$24,C2500,'Site Dockets'!$C$7:$C$24,F2500)&gt;0,1,0),0))</f>
        <v>0</v>
      </c>
      <c r="L2500" s="15" t="n">
        <f aca="false">IF(J2500=1,0,Inputs!$B$11)</f>
        <v>100</v>
      </c>
      <c r="M2500" s="15" t="n">
        <f aca="false">IF(J2500=1,0,Inputs!$B$12)</f>
        <v>75</v>
      </c>
      <c r="N2500" s="15" t="n">
        <f aca="false">IF(J2500=1,0,IF(OR(AND(OR(B2500="SITE LOSS",B2500="REGION LOSS"),K2500=1),AND(B2500="ROLE COMPROMISE",H2500=C2500)),Inputs!$B$13,Inputs!$B$14))</f>
        <v>10</v>
      </c>
      <c r="O2500" s="15" t="n">
        <f aca="false">IF(J2500=1,0,Inputs!$B$13)</f>
        <v>20</v>
      </c>
      <c r="P2500" s="15" t="n">
        <f aca="false">SUM(M2500:N2500)</f>
        <v>85</v>
      </c>
      <c r="Q2500" s="15" t="n">
        <f aca="false">IF(J2500=1,"",L2500-P2500)</f>
        <v>15</v>
      </c>
      <c r="R2500" s="15" t="n">
        <f aca="false">IF(OR(J2500=1,M2500&lt;=Inputs!$B$12),1,0)</f>
        <v>1</v>
      </c>
      <c r="S2500" s="15" t="n">
        <f aca="false">IF(OR(J2500=1,N2500&lt;=O2500),1,0)</f>
        <v>1</v>
      </c>
      <c r="T2500" s="15" t="str">
        <f aca="false">IF(J2500=1,"OFFLINE",IF(AND(Q2500&gt;=Inputs!$B$15,R2500=1,S2500=1,P2500&lt;=L2500),"PASS","FAIL"))</f>
        <v>PASS</v>
      </c>
    </row>
    <row r="2501" customFormat="false" ht="15" hidden="false" customHeight="false" outlineLevel="0" collapsed="false">
      <c r="A2501" s="14" t="s">
        <v>1043</v>
      </c>
      <c r="B2501" s="14" t="s">
        <v>1038</v>
      </c>
      <c r="C2501" s="14" t="s">
        <v>172</v>
      </c>
      <c r="D2501" s="14" t="s">
        <v>156</v>
      </c>
      <c r="E2501" s="14" t="s">
        <v>157</v>
      </c>
      <c r="F2501" s="14" t="s">
        <v>150</v>
      </c>
      <c r="G2501" s="14" t="n">
        <v>2</v>
      </c>
      <c r="H2501" s="14" t="s">
        <v>153</v>
      </c>
      <c r="I2501" s="14" t="s">
        <v>897</v>
      </c>
      <c r="J2501" s="15" t="n">
        <f aca="false">IF(B2501="SITE LOSS",IF(D2501=C2501,1,0),IF(B2501="REGION LOSS",IF(E2501=C2501,1,0),0))</f>
        <v>0</v>
      </c>
      <c r="K2501" s="15" t="n">
        <f aca="false">IF(B2501="SITE LOSS",IF(COUNTIFS('Site Dockets'!$B$7:$B$24,C2501,'Site Dockets'!$C$7:$C$24,F2501)&gt;0,1,0),IF(B2501="REGION LOSS",IF(COUNTIFS('Site Dockets'!$E$7:$E$24,C2501,'Site Dockets'!$C$7:$C$24,F2501)&gt;0,1,0),0))</f>
        <v>0</v>
      </c>
      <c r="L2501" s="15" t="n">
        <f aca="false">IF(J2501=1,0,Inputs!$B$11)</f>
        <v>100</v>
      </c>
      <c r="M2501" s="15" t="n">
        <f aca="false">IF(J2501=1,0,Inputs!$B$12)</f>
        <v>75</v>
      </c>
      <c r="N2501" s="15" t="n">
        <f aca="false">IF(J2501=1,0,IF(OR(AND(OR(B2501="SITE LOSS",B2501="REGION LOSS"),K2501=1),AND(B2501="ROLE COMPROMISE",H2501=C2501)),Inputs!$B$13,Inputs!$B$14))</f>
        <v>10</v>
      </c>
      <c r="O2501" s="15" t="n">
        <f aca="false">IF(J2501=1,0,Inputs!$B$13)</f>
        <v>20</v>
      </c>
      <c r="P2501" s="15" t="n">
        <f aca="false">SUM(M2501:N2501)</f>
        <v>85</v>
      </c>
      <c r="Q2501" s="15" t="n">
        <f aca="false">IF(J2501=1,"",L2501-P2501)</f>
        <v>15</v>
      </c>
      <c r="R2501" s="15" t="n">
        <f aca="false">IF(OR(J2501=1,M2501&lt;=Inputs!$B$12),1,0)</f>
        <v>1</v>
      </c>
      <c r="S2501" s="15" t="n">
        <f aca="false">IF(OR(J2501=1,N2501&lt;=O2501),1,0)</f>
        <v>1</v>
      </c>
      <c r="T2501" s="15" t="str">
        <f aca="false">IF(J2501=1,"OFFLINE",IF(AND(Q2501&gt;=Inputs!$B$15,R2501=1,S2501=1,P2501&lt;=L2501),"PASS","FAIL"))</f>
        <v>PASS</v>
      </c>
    </row>
    <row r="2502" customFormat="false" ht="15" hidden="false" customHeight="false" outlineLevel="0" collapsed="false">
      <c r="A2502" s="14" t="s">
        <v>1043</v>
      </c>
      <c r="B2502" s="14" t="s">
        <v>1038</v>
      </c>
      <c r="C2502" s="14" t="s">
        <v>172</v>
      </c>
      <c r="D2502" s="14" t="s">
        <v>156</v>
      </c>
      <c r="E2502" s="14" t="s">
        <v>157</v>
      </c>
      <c r="F2502" s="14" t="s">
        <v>150</v>
      </c>
      <c r="G2502" s="14" t="n">
        <v>2</v>
      </c>
      <c r="H2502" s="14" t="s">
        <v>153</v>
      </c>
      <c r="I2502" s="14" t="s">
        <v>899</v>
      </c>
      <c r="J2502" s="15" t="n">
        <f aca="false">IF(B2502="SITE LOSS",IF(D2502=C2502,1,0),IF(B2502="REGION LOSS",IF(E2502=C2502,1,0),0))</f>
        <v>0</v>
      </c>
      <c r="K2502" s="15" t="n">
        <f aca="false">IF(B2502="SITE LOSS",IF(COUNTIFS('Site Dockets'!$B$7:$B$24,C2502,'Site Dockets'!$C$7:$C$24,F2502)&gt;0,1,0),IF(B2502="REGION LOSS",IF(COUNTIFS('Site Dockets'!$E$7:$E$24,C2502,'Site Dockets'!$C$7:$C$24,F2502)&gt;0,1,0),0))</f>
        <v>0</v>
      </c>
      <c r="L2502" s="15" t="n">
        <f aca="false">IF(J2502=1,0,Inputs!$B$11)</f>
        <v>100</v>
      </c>
      <c r="M2502" s="15" t="n">
        <f aca="false">IF(J2502=1,0,Inputs!$B$12)</f>
        <v>75</v>
      </c>
      <c r="N2502" s="15" t="n">
        <f aca="false">IF(J2502=1,0,IF(OR(AND(OR(B2502="SITE LOSS",B2502="REGION LOSS"),K2502=1),AND(B2502="ROLE COMPROMISE",H2502=C2502)),Inputs!$B$13,Inputs!$B$14))</f>
        <v>10</v>
      </c>
      <c r="O2502" s="15" t="n">
        <f aca="false">IF(J2502=1,0,Inputs!$B$13)</f>
        <v>20</v>
      </c>
      <c r="P2502" s="15" t="n">
        <f aca="false">SUM(M2502:N2502)</f>
        <v>85</v>
      </c>
      <c r="Q2502" s="15" t="n">
        <f aca="false">IF(J2502=1,"",L2502-P2502)</f>
        <v>15</v>
      </c>
      <c r="R2502" s="15" t="n">
        <f aca="false">IF(OR(J2502=1,M2502&lt;=Inputs!$B$12),1,0)</f>
        <v>1</v>
      </c>
      <c r="S2502" s="15" t="n">
        <f aca="false">IF(OR(J2502=1,N2502&lt;=O2502),1,0)</f>
        <v>1</v>
      </c>
      <c r="T2502" s="15" t="str">
        <f aca="false">IF(J2502=1,"OFFLINE",IF(AND(Q2502&gt;=Inputs!$B$15,R2502=1,S2502=1,P2502&lt;=L2502),"PASS","FAIL"))</f>
        <v>PASS</v>
      </c>
    </row>
    <row r="2503" customFormat="false" ht="15" hidden="false" customHeight="false" outlineLevel="0" collapsed="false">
      <c r="A2503" s="14" t="s">
        <v>1043</v>
      </c>
      <c r="B2503" s="14" t="s">
        <v>1038</v>
      </c>
      <c r="C2503" s="14" t="s">
        <v>172</v>
      </c>
      <c r="D2503" s="14" t="s">
        <v>160</v>
      </c>
      <c r="E2503" s="14" t="s">
        <v>161</v>
      </c>
      <c r="F2503" s="14" t="s">
        <v>150</v>
      </c>
      <c r="G2503" s="14" t="n">
        <v>3</v>
      </c>
      <c r="H2503" s="14" t="s">
        <v>158</v>
      </c>
      <c r="I2503" s="14" t="s">
        <v>890</v>
      </c>
      <c r="J2503" s="15" t="n">
        <f aca="false">IF(B2503="SITE LOSS",IF(D2503=C2503,1,0),IF(B2503="REGION LOSS",IF(E2503=C2503,1,0),0))</f>
        <v>0</v>
      </c>
      <c r="K2503" s="15" t="n">
        <f aca="false">IF(B2503="SITE LOSS",IF(COUNTIFS('Site Dockets'!$B$7:$B$24,C2503,'Site Dockets'!$C$7:$C$24,F2503)&gt;0,1,0),IF(B2503="REGION LOSS",IF(COUNTIFS('Site Dockets'!$E$7:$E$24,C2503,'Site Dockets'!$C$7:$C$24,F2503)&gt;0,1,0),0))</f>
        <v>0</v>
      </c>
      <c r="L2503" s="15" t="n">
        <f aca="false">IF(J2503=1,0,Inputs!$B$11)</f>
        <v>100</v>
      </c>
      <c r="M2503" s="15" t="n">
        <f aca="false">IF(J2503=1,0,Inputs!$B$12)</f>
        <v>75</v>
      </c>
      <c r="N2503" s="15" t="n">
        <f aca="false">IF(J2503=1,0,IF(OR(AND(OR(B2503="SITE LOSS",B2503="REGION LOSS"),K2503=1),AND(B2503="ROLE COMPROMISE",H2503=C2503)),Inputs!$B$13,Inputs!$B$14))</f>
        <v>10</v>
      </c>
      <c r="O2503" s="15" t="n">
        <f aca="false">IF(J2503=1,0,Inputs!$B$13)</f>
        <v>20</v>
      </c>
      <c r="P2503" s="15" t="n">
        <f aca="false">SUM(M2503:N2503)</f>
        <v>85</v>
      </c>
      <c r="Q2503" s="15" t="n">
        <f aca="false">IF(J2503=1,"",L2503-P2503)</f>
        <v>15</v>
      </c>
      <c r="R2503" s="15" t="n">
        <f aca="false">IF(OR(J2503=1,M2503&lt;=Inputs!$B$12),1,0)</f>
        <v>1</v>
      </c>
      <c r="S2503" s="15" t="n">
        <f aca="false">IF(OR(J2503=1,N2503&lt;=O2503),1,0)</f>
        <v>1</v>
      </c>
      <c r="T2503" s="15" t="str">
        <f aca="false">IF(J2503=1,"OFFLINE",IF(AND(Q2503&gt;=Inputs!$B$15,R2503=1,S2503=1,P2503&lt;=L2503),"PASS","FAIL"))</f>
        <v>PASS</v>
      </c>
    </row>
    <row r="2504" customFormat="false" ht="15" hidden="false" customHeight="false" outlineLevel="0" collapsed="false">
      <c r="A2504" s="14" t="s">
        <v>1043</v>
      </c>
      <c r="B2504" s="14" t="s">
        <v>1038</v>
      </c>
      <c r="C2504" s="14" t="s">
        <v>172</v>
      </c>
      <c r="D2504" s="14" t="s">
        <v>160</v>
      </c>
      <c r="E2504" s="14" t="s">
        <v>161</v>
      </c>
      <c r="F2504" s="14" t="s">
        <v>150</v>
      </c>
      <c r="G2504" s="14" t="n">
        <v>3</v>
      </c>
      <c r="H2504" s="14" t="s">
        <v>158</v>
      </c>
      <c r="I2504" s="14" t="s">
        <v>892</v>
      </c>
      <c r="J2504" s="15" t="n">
        <f aca="false">IF(B2504="SITE LOSS",IF(D2504=C2504,1,0),IF(B2504="REGION LOSS",IF(E2504=C2504,1,0),0))</f>
        <v>0</v>
      </c>
      <c r="K2504" s="15" t="n">
        <f aca="false">IF(B2504="SITE LOSS",IF(COUNTIFS('Site Dockets'!$B$7:$B$24,C2504,'Site Dockets'!$C$7:$C$24,F2504)&gt;0,1,0),IF(B2504="REGION LOSS",IF(COUNTIFS('Site Dockets'!$E$7:$E$24,C2504,'Site Dockets'!$C$7:$C$24,F2504)&gt;0,1,0),0))</f>
        <v>0</v>
      </c>
      <c r="L2504" s="15" t="n">
        <f aca="false">IF(J2504=1,0,Inputs!$B$11)</f>
        <v>100</v>
      </c>
      <c r="M2504" s="15" t="n">
        <f aca="false">IF(J2504=1,0,Inputs!$B$12)</f>
        <v>75</v>
      </c>
      <c r="N2504" s="15" t="n">
        <f aca="false">IF(J2504=1,0,IF(OR(AND(OR(B2504="SITE LOSS",B2504="REGION LOSS"),K2504=1),AND(B2504="ROLE COMPROMISE",H2504=C2504)),Inputs!$B$13,Inputs!$B$14))</f>
        <v>10</v>
      </c>
      <c r="O2504" s="15" t="n">
        <f aca="false">IF(J2504=1,0,Inputs!$B$13)</f>
        <v>20</v>
      </c>
      <c r="P2504" s="15" t="n">
        <f aca="false">SUM(M2504:N2504)</f>
        <v>85</v>
      </c>
      <c r="Q2504" s="15" t="n">
        <f aca="false">IF(J2504=1,"",L2504-P2504)</f>
        <v>15</v>
      </c>
      <c r="R2504" s="15" t="n">
        <f aca="false">IF(OR(J2504=1,M2504&lt;=Inputs!$B$12),1,0)</f>
        <v>1</v>
      </c>
      <c r="S2504" s="15" t="n">
        <f aca="false">IF(OR(J2504=1,N2504&lt;=O2504),1,0)</f>
        <v>1</v>
      </c>
      <c r="T2504" s="15" t="str">
        <f aca="false">IF(J2504=1,"OFFLINE",IF(AND(Q2504&gt;=Inputs!$B$15,R2504=1,S2504=1,P2504&lt;=L2504),"PASS","FAIL"))</f>
        <v>PASS</v>
      </c>
    </row>
    <row r="2505" customFormat="false" ht="15" hidden="false" customHeight="false" outlineLevel="0" collapsed="false">
      <c r="A2505" s="14" t="s">
        <v>1043</v>
      </c>
      <c r="B2505" s="14" t="s">
        <v>1038</v>
      </c>
      <c r="C2505" s="14" t="s">
        <v>172</v>
      </c>
      <c r="D2505" s="14" t="s">
        <v>160</v>
      </c>
      <c r="E2505" s="14" t="s">
        <v>161</v>
      </c>
      <c r="F2505" s="14" t="s">
        <v>150</v>
      </c>
      <c r="G2505" s="14" t="n">
        <v>3</v>
      </c>
      <c r="H2505" s="14" t="s">
        <v>158</v>
      </c>
      <c r="I2505" s="14" t="s">
        <v>811</v>
      </c>
      <c r="J2505" s="15" t="n">
        <f aca="false">IF(B2505="SITE LOSS",IF(D2505=C2505,1,0),IF(B2505="REGION LOSS",IF(E2505=C2505,1,0),0))</f>
        <v>0</v>
      </c>
      <c r="K2505" s="15" t="n">
        <f aca="false">IF(B2505="SITE LOSS",IF(COUNTIFS('Site Dockets'!$B$7:$B$24,C2505,'Site Dockets'!$C$7:$C$24,F2505)&gt;0,1,0),IF(B2505="REGION LOSS",IF(COUNTIFS('Site Dockets'!$E$7:$E$24,C2505,'Site Dockets'!$C$7:$C$24,F2505)&gt;0,1,0),0))</f>
        <v>0</v>
      </c>
      <c r="L2505" s="15" t="n">
        <f aca="false">IF(J2505=1,0,Inputs!$B$11)</f>
        <v>100</v>
      </c>
      <c r="M2505" s="15" t="n">
        <f aca="false">IF(J2505=1,0,Inputs!$B$12)</f>
        <v>75</v>
      </c>
      <c r="N2505" s="15" t="n">
        <f aca="false">IF(J2505=1,0,IF(OR(AND(OR(B2505="SITE LOSS",B2505="REGION LOSS"),K2505=1),AND(B2505="ROLE COMPROMISE",H2505=C2505)),Inputs!$B$13,Inputs!$B$14))</f>
        <v>10</v>
      </c>
      <c r="O2505" s="15" t="n">
        <f aca="false">IF(J2505=1,0,Inputs!$B$13)</f>
        <v>20</v>
      </c>
      <c r="P2505" s="15" t="n">
        <f aca="false">SUM(M2505:N2505)</f>
        <v>85</v>
      </c>
      <c r="Q2505" s="15" t="n">
        <f aca="false">IF(J2505=1,"",L2505-P2505)</f>
        <v>15</v>
      </c>
      <c r="R2505" s="15" t="n">
        <f aca="false">IF(OR(J2505=1,M2505&lt;=Inputs!$B$12),1,0)</f>
        <v>1</v>
      </c>
      <c r="S2505" s="15" t="n">
        <f aca="false">IF(OR(J2505=1,N2505&lt;=O2505),1,0)</f>
        <v>1</v>
      </c>
      <c r="T2505" s="15" t="str">
        <f aca="false">IF(J2505=1,"OFFLINE",IF(AND(Q2505&gt;=Inputs!$B$15,R2505=1,S2505=1,P2505&lt;=L2505),"PASS","FAIL"))</f>
        <v>PASS</v>
      </c>
    </row>
    <row r="2506" customFormat="false" ht="15" hidden="false" customHeight="false" outlineLevel="0" collapsed="false">
      <c r="A2506" s="14" t="s">
        <v>1043</v>
      </c>
      <c r="B2506" s="14" t="s">
        <v>1038</v>
      </c>
      <c r="C2506" s="14" t="s">
        <v>172</v>
      </c>
      <c r="D2506" s="14" t="s">
        <v>160</v>
      </c>
      <c r="E2506" s="14" t="s">
        <v>161</v>
      </c>
      <c r="F2506" s="14" t="s">
        <v>150</v>
      </c>
      <c r="G2506" s="14" t="n">
        <v>3</v>
      </c>
      <c r="H2506" s="14" t="s">
        <v>158</v>
      </c>
      <c r="I2506" s="14" t="s">
        <v>895</v>
      </c>
      <c r="J2506" s="15" t="n">
        <f aca="false">IF(B2506="SITE LOSS",IF(D2506=C2506,1,0),IF(B2506="REGION LOSS",IF(E2506=C2506,1,0),0))</f>
        <v>0</v>
      </c>
      <c r="K2506" s="15" t="n">
        <f aca="false">IF(B2506="SITE LOSS",IF(COUNTIFS('Site Dockets'!$B$7:$B$24,C2506,'Site Dockets'!$C$7:$C$24,F2506)&gt;0,1,0),IF(B2506="REGION LOSS",IF(COUNTIFS('Site Dockets'!$E$7:$E$24,C2506,'Site Dockets'!$C$7:$C$24,F2506)&gt;0,1,0),0))</f>
        <v>0</v>
      </c>
      <c r="L2506" s="15" t="n">
        <f aca="false">IF(J2506=1,0,Inputs!$B$11)</f>
        <v>100</v>
      </c>
      <c r="M2506" s="15" t="n">
        <f aca="false">IF(J2506=1,0,Inputs!$B$12)</f>
        <v>75</v>
      </c>
      <c r="N2506" s="15" t="n">
        <f aca="false">IF(J2506=1,0,IF(OR(AND(OR(B2506="SITE LOSS",B2506="REGION LOSS"),K2506=1),AND(B2506="ROLE COMPROMISE",H2506=C2506)),Inputs!$B$13,Inputs!$B$14))</f>
        <v>10</v>
      </c>
      <c r="O2506" s="15" t="n">
        <f aca="false">IF(J2506=1,0,Inputs!$B$13)</f>
        <v>20</v>
      </c>
      <c r="P2506" s="15" t="n">
        <f aca="false">SUM(M2506:N2506)</f>
        <v>85</v>
      </c>
      <c r="Q2506" s="15" t="n">
        <f aca="false">IF(J2506=1,"",L2506-P2506)</f>
        <v>15</v>
      </c>
      <c r="R2506" s="15" t="n">
        <f aca="false">IF(OR(J2506=1,M2506&lt;=Inputs!$B$12),1,0)</f>
        <v>1</v>
      </c>
      <c r="S2506" s="15" t="n">
        <f aca="false">IF(OR(J2506=1,N2506&lt;=O2506),1,0)</f>
        <v>1</v>
      </c>
      <c r="T2506" s="15" t="str">
        <f aca="false">IF(J2506=1,"OFFLINE",IF(AND(Q2506&gt;=Inputs!$B$15,R2506=1,S2506=1,P2506&lt;=L2506),"PASS","FAIL"))</f>
        <v>PASS</v>
      </c>
    </row>
    <row r="2507" customFormat="false" ht="15" hidden="false" customHeight="false" outlineLevel="0" collapsed="false">
      <c r="A2507" s="14" t="s">
        <v>1043</v>
      </c>
      <c r="B2507" s="14" t="s">
        <v>1038</v>
      </c>
      <c r="C2507" s="14" t="s">
        <v>172</v>
      </c>
      <c r="D2507" s="14" t="s">
        <v>160</v>
      </c>
      <c r="E2507" s="14" t="s">
        <v>161</v>
      </c>
      <c r="F2507" s="14" t="s">
        <v>150</v>
      </c>
      <c r="G2507" s="14" t="n">
        <v>3</v>
      </c>
      <c r="H2507" s="14" t="s">
        <v>158</v>
      </c>
      <c r="I2507" s="14" t="s">
        <v>897</v>
      </c>
      <c r="J2507" s="15" t="n">
        <f aca="false">IF(B2507="SITE LOSS",IF(D2507=C2507,1,0),IF(B2507="REGION LOSS",IF(E2507=C2507,1,0),0))</f>
        <v>0</v>
      </c>
      <c r="K2507" s="15" t="n">
        <f aca="false">IF(B2507="SITE LOSS",IF(COUNTIFS('Site Dockets'!$B$7:$B$24,C2507,'Site Dockets'!$C$7:$C$24,F2507)&gt;0,1,0),IF(B2507="REGION LOSS",IF(COUNTIFS('Site Dockets'!$E$7:$E$24,C2507,'Site Dockets'!$C$7:$C$24,F2507)&gt;0,1,0),0))</f>
        <v>0</v>
      </c>
      <c r="L2507" s="15" t="n">
        <f aca="false">IF(J2507=1,0,Inputs!$B$11)</f>
        <v>100</v>
      </c>
      <c r="M2507" s="15" t="n">
        <f aca="false">IF(J2507=1,0,Inputs!$B$12)</f>
        <v>75</v>
      </c>
      <c r="N2507" s="15" t="n">
        <f aca="false">IF(J2507=1,0,IF(OR(AND(OR(B2507="SITE LOSS",B2507="REGION LOSS"),K2507=1),AND(B2507="ROLE COMPROMISE",H2507=C2507)),Inputs!$B$13,Inputs!$B$14))</f>
        <v>10</v>
      </c>
      <c r="O2507" s="15" t="n">
        <f aca="false">IF(J2507=1,0,Inputs!$B$13)</f>
        <v>20</v>
      </c>
      <c r="P2507" s="15" t="n">
        <f aca="false">SUM(M2507:N2507)</f>
        <v>85</v>
      </c>
      <c r="Q2507" s="15" t="n">
        <f aca="false">IF(J2507=1,"",L2507-P2507)</f>
        <v>15</v>
      </c>
      <c r="R2507" s="15" t="n">
        <f aca="false">IF(OR(J2507=1,M2507&lt;=Inputs!$B$12),1,0)</f>
        <v>1</v>
      </c>
      <c r="S2507" s="15" t="n">
        <f aca="false">IF(OR(J2507=1,N2507&lt;=O2507),1,0)</f>
        <v>1</v>
      </c>
      <c r="T2507" s="15" t="str">
        <f aca="false">IF(J2507=1,"OFFLINE",IF(AND(Q2507&gt;=Inputs!$B$15,R2507=1,S2507=1,P2507&lt;=L2507),"PASS","FAIL"))</f>
        <v>PASS</v>
      </c>
    </row>
    <row r="2508" customFormat="false" ht="15" hidden="false" customHeight="false" outlineLevel="0" collapsed="false">
      <c r="A2508" s="14" t="s">
        <v>1043</v>
      </c>
      <c r="B2508" s="14" t="s">
        <v>1038</v>
      </c>
      <c r="C2508" s="14" t="s">
        <v>172</v>
      </c>
      <c r="D2508" s="14" t="s">
        <v>160</v>
      </c>
      <c r="E2508" s="14" t="s">
        <v>161</v>
      </c>
      <c r="F2508" s="14" t="s">
        <v>150</v>
      </c>
      <c r="G2508" s="14" t="n">
        <v>3</v>
      </c>
      <c r="H2508" s="14" t="s">
        <v>158</v>
      </c>
      <c r="I2508" s="14" t="s">
        <v>899</v>
      </c>
      <c r="J2508" s="15" t="n">
        <f aca="false">IF(B2508="SITE LOSS",IF(D2508=C2508,1,0),IF(B2508="REGION LOSS",IF(E2508=C2508,1,0),0))</f>
        <v>0</v>
      </c>
      <c r="K2508" s="15" t="n">
        <f aca="false">IF(B2508="SITE LOSS",IF(COUNTIFS('Site Dockets'!$B$7:$B$24,C2508,'Site Dockets'!$C$7:$C$24,F2508)&gt;0,1,0),IF(B2508="REGION LOSS",IF(COUNTIFS('Site Dockets'!$E$7:$E$24,C2508,'Site Dockets'!$C$7:$C$24,F2508)&gt;0,1,0),0))</f>
        <v>0</v>
      </c>
      <c r="L2508" s="15" t="n">
        <f aca="false">IF(J2508=1,0,Inputs!$B$11)</f>
        <v>100</v>
      </c>
      <c r="M2508" s="15" t="n">
        <f aca="false">IF(J2508=1,0,Inputs!$B$12)</f>
        <v>75</v>
      </c>
      <c r="N2508" s="15" t="n">
        <f aca="false">IF(J2508=1,0,IF(OR(AND(OR(B2508="SITE LOSS",B2508="REGION LOSS"),K2508=1),AND(B2508="ROLE COMPROMISE",H2508=C2508)),Inputs!$B$13,Inputs!$B$14))</f>
        <v>10</v>
      </c>
      <c r="O2508" s="15" t="n">
        <f aca="false">IF(J2508=1,0,Inputs!$B$13)</f>
        <v>20</v>
      </c>
      <c r="P2508" s="15" t="n">
        <f aca="false">SUM(M2508:N2508)</f>
        <v>85</v>
      </c>
      <c r="Q2508" s="15" t="n">
        <f aca="false">IF(J2508=1,"",L2508-P2508)</f>
        <v>15</v>
      </c>
      <c r="R2508" s="15" t="n">
        <f aca="false">IF(OR(J2508=1,M2508&lt;=Inputs!$B$12),1,0)</f>
        <v>1</v>
      </c>
      <c r="S2508" s="15" t="n">
        <f aca="false">IF(OR(J2508=1,N2508&lt;=O2508),1,0)</f>
        <v>1</v>
      </c>
      <c r="T2508" s="15" t="str">
        <f aca="false">IF(J2508=1,"OFFLINE",IF(AND(Q2508&gt;=Inputs!$B$15,R2508=1,S2508=1,P2508&lt;=L2508),"PASS","FAIL"))</f>
        <v>PASS</v>
      </c>
    </row>
    <row r="2509" customFormat="false" ht="15" hidden="false" customHeight="false" outlineLevel="0" collapsed="false">
      <c r="A2509" s="14" t="s">
        <v>1043</v>
      </c>
      <c r="B2509" s="14" t="s">
        <v>1038</v>
      </c>
      <c r="C2509" s="14" t="s">
        <v>172</v>
      </c>
      <c r="D2509" s="14" t="s">
        <v>163</v>
      </c>
      <c r="E2509" s="14" t="s">
        <v>166</v>
      </c>
      <c r="F2509" s="14" t="s">
        <v>164</v>
      </c>
      <c r="G2509" s="14" t="n">
        <v>1</v>
      </c>
      <c r="H2509" s="14" t="s">
        <v>154</v>
      </c>
      <c r="I2509" s="14" t="s">
        <v>890</v>
      </c>
      <c r="J2509" s="15" t="n">
        <f aca="false">IF(B2509="SITE LOSS",IF(D2509=C2509,1,0),IF(B2509="REGION LOSS",IF(E2509=C2509,1,0),0))</f>
        <v>0</v>
      </c>
      <c r="K2509" s="15" t="n">
        <f aca="false">IF(B2509="SITE LOSS",IF(COUNTIFS('Site Dockets'!$B$7:$B$24,C2509,'Site Dockets'!$C$7:$C$24,F2509)&gt;0,1,0),IF(B2509="REGION LOSS",IF(COUNTIFS('Site Dockets'!$E$7:$E$24,C2509,'Site Dockets'!$C$7:$C$24,F2509)&gt;0,1,0),0))</f>
        <v>1</v>
      </c>
      <c r="L2509" s="15" t="n">
        <f aca="false">IF(J2509=1,0,Inputs!$B$11)</f>
        <v>100</v>
      </c>
      <c r="M2509" s="15" t="n">
        <f aca="false">IF(J2509=1,0,Inputs!$B$12)</f>
        <v>75</v>
      </c>
      <c r="N2509" s="15" t="n">
        <f aca="false">IF(J2509=1,0,IF(OR(AND(OR(B2509="SITE LOSS",B2509="REGION LOSS"),K2509=1),AND(B2509="ROLE COMPROMISE",H2509=C2509)),Inputs!$B$13,Inputs!$B$14))</f>
        <v>20</v>
      </c>
      <c r="O2509" s="15" t="n">
        <f aca="false">IF(J2509=1,0,Inputs!$B$13)</f>
        <v>20</v>
      </c>
      <c r="P2509" s="15" t="n">
        <f aca="false">SUM(M2509:N2509)</f>
        <v>95</v>
      </c>
      <c r="Q2509" s="15" t="n">
        <f aca="false">IF(J2509=1,"",L2509-P2509)</f>
        <v>5</v>
      </c>
      <c r="R2509" s="15" t="n">
        <f aca="false">IF(OR(J2509=1,M2509&lt;=Inputs!$B$12),1,0)</f>
        <v>1</v>
      </c>
      <c r="S2509" s="15" t="n">
        <f aca="false">IF(OR(J2509=1,N2509&lt;=O2509),1,0)</f>
        <v>1</v>
      </c>
      <c r="T2509" s="15" t="str">
        <f aca="false">IF(J2509=1,"OFFLINE",IF(AND(Q2509&gt;=Inputs!$B$15,R2509=1,S2509=1,P2509&lt;=L2509),"PASS","FAIL"))</f>
        <v>PASS</v>
      </c>
    </row>
    <row r="2510" customFormat="false" ht="15" hidden="false" customHeight="false" outlineLevel="0" collapsed="false">
      <c r="A2510" s="14" t="s">
        <v>1043</v>
      </c>
      <c r="B2510" s="14" t="s">
        <v>1038</v>
      </c>
      <c r="C2510" s="14" t="s">
        <v>172</v>
      </c>
      <c r="D2510" s="14" t="s">
        <v>163</v>
      </c>
      <c r="E2510" s="14" t="s">
        <v>166</v>
      </c>
      <c r="F2510" s="14" t="s">
        <v>164</v>
      </c>
      <c r="G2510" s="14" t="n">
        <v>1</v>
      </c>
      <c r="H2510" s="14" t="s">
        <v>154</v>
      </c>
      <c r="I2510" s="14" t="s">
        <v>892</v>
      </c>
      <c r="J2510" s="15" t="n">
        <f aca="false">IF(B2510="SITE LOSS",IF(D2510=C2510,1,0),IF(B2510="REGION LOSS",IF(E2510=C2510,1,0),0))</f>
        <v>0</v>
      </c>
      <c r="K2510" s="15" t="n">
        <f aca="false">IF(B2510="SITE LOSS",IF(COUNTIFS('Site Dockets'!$B$7:$B$24,C2510,'Site Dockets'!$C$7:$C$24,F2510)&gt;0,1,0),IF(B2510="REGION LOSS",IF(COUNTIFS('Site Dockets'!$E$7:$E$24,C2510,'Site Dockets'!$C$7:$C$24,F2510)&gt;0,1,0),0))</f>
        <v>1</v>
      </c>
      <c r="L2510" s="15" t="n">
        <f aca="false">IF(J2510=1,0,Inputs!$B$11)</f>
        <v>100</v>
      </c>
      <c r="M2510" s="15" t="n">
        <f aca="false">IF(J2510=1,0,Inputs!$B$12)</f>
        <v>75</v>
      </c>
      <c r="N2510" s="15" t="n">
        <f aca="false">IF(J2510=1,0,IF(OR(AND(OR(B2510="SITE LOSS",B2510="REGION LOSS"),K2510=1),AND(B2510="ROLE COMPROMISE",H2510=C2510)),Inputs!$B$13,Inputs!$B$14))</f>
        <v>20</v>
      </c>
      <c r="O2510" s="15" t="n">
        <f aca="false">IF(J2510=1,0,Inputs!$B$13)</f>
        <v>20</v>
      </c>
      <c r="P2510" s="15" t="n">
        <f aca="false">SUM(M2510:N2510)</f>
        <v>95</v>
      </c>
      <c r="Q2510" s="15" t="n">
        <f aca="false">IF(J2510=1,"",L2510-P2510)</f>
        <v>5</v>
      </c>
      <c r="R2510" s="15" t="n">
        <f aca="false">IF(OR(J2510=1,M2510&lt;=Inputs!$B$12),1,0)</f>
        <v>1</v>
      </c>
      <c r="S2510" s="15" t="n">
        <f aca="false">IF(OR(J2510=1,N2510&lt;=O2510),1,0)</f>
        <v>1</v>
      </c>
      <c r="T2510" s="15" t="str">
        <f aca="false">IF(J2510=1,"OFFLINE",IF(AND(Q2510&gt;=Inputs!$B$15,R2510=1,S2510=1,P2510&lt;=L2510),"PASS","FAIL"))</f>
        <v>PASS</v>
      </c>
    </row>
    <row r="2511" customFormat="false" ht="15" hidden="false" customHeight="false" outlineLevel="0" collapsed="false">
      <c r="A2511" s="14" t="s">
        <v>1043</v>
      </c>
      <c r="B2511" s="14" t="s">
        <v>1038</v>
      </c>
      <c r="C2511" s="14" t="s">
        <v>172</v>
      </c>
      <c r="D2511" s="14" t="s">
        <v>163</v>
      </c>
      <c r="E2511" s="14" t="s">
        <v>166</v>
      </c>
      <c r="F2511" s="14" t="s">
        <v>164</v>
      </c>
      <c r="G2511" s="14" t="n">
        <v>1</v>
      </c>
      <c r="H2511" s="14" t="s">
        <v>154</v>
      </c>
      <c r="I2511" s="14" t="s">
        <v>811</v>
      </c>
      <c r="J2511" s="15" t="n">
        <f aca="false">IF(B2511="SITE LOSS",IF(D2511=C2511,1,0),IF(B2511="REGION LOSS",IF(E2511=C2511,1,0),0))</f>
        <v>0</v>
      </c>
      <c r="K2511" s="15" t="n">
        <f aca="false">IF(B2511="SITE LOSS",IF(COUNTIFS('Site Dockets'!$B$7:$B$24,C2511,'Site Dockets'!$C$7:$C$24,F2511)&gt;0,1,0),IF(B2511="REGION LOSS",IF(COUNTIFS('Site Dockets'!$E$7:$E$24,C2511,'Site Dockets'!$C$7:$C$24,F2511)&gt;0,1,0),0))</f>
        <v>1</v>
      </c>
      <c r="L2511" s="15" t="n">
        <f aca="false">IF(J2511=1,0,Inputs!$B$11)</f>
        <v>100</v>
      </c>
      <c r="M2511" s="15" t="n">
        <f aca="false">IF(J2511=1,0,Inputs!$B$12)</f>
        <v>75</v>
      </c>
      <c r="N2511" s="15" t="n">
        <f aca="false">IF(J2511=1,0,IF(OR(AND(OR(B2511="SITE LOSS",B2511="REGION LOSS"),K2511=1),AND(B2511="ROLE COMPROMISE",H2511=C2511)),Inputs!$B$13,Inputs!$B$14))</f>
        <v>20</v>
      </c>
      <c r="O2511" s="15" t="n">
        <f aca="false">IF(J2511=1,0,Inputs!$B$13)</f>
        <v>20</v>
      </c>
      <c r="P2511" s="15" t="n">
        <f aca="false">SUM(M2511:N2511)</f>
        <v>95</v>
      </c>
      <c r="Q2511" s="15" t="n">
        <f aca="false">IF(J2511=1,"",L2511-P2511)</f>
        <v>5</v>
      </c>
      <c r="R2511" s="15" t="n">
        <f aca="false">IF(OR(J2511=1,M2511&lt;=Inputs!$B$12),1,0)</f>
        <v>1</v>
      </c>
      <c r="S2511" s="15" t="n">
        <f aca="false">IF(OR(J2511=1,N2511&lt;=O2511),1,0)</f>
        <v>1</v>
      </c>
      <c r="T2511" s="15" t="str">
        <f aca="false">IF(J2511=1,"OFFLINE",IF(AND(Q2511&gt;=Inputs!$B$15,R2511=1,S2511=1,P2511&lt;=L2511),"PASS","FAIL"))</f>
        <v>PASS</v>
      </c>
    </row>
    <row r="2512" customFormat="false" ht="15" hidden="false" customHeight="false" outlineLevel="0" collapsed="false">
      <c r="A2512" s="14" t="s">
        <v>1043</v>
      </c>
      <c r="B2512" s="14" t="s">
        <v>1038</v>
      </c>
      <c r="C2512" s="14" t="s">
        <v>172</v>
      </c>
      <c r="D2512" s="14" t="s">
        <v>163</v>
      </c>
      <c r="E2512" s="14" t="s">
        <v>166</v>
      </c>
      <c r="F2512" s="14" t="s">
        <v>164</v>
      </c>
      <c r="G2512" s="14" t="n">
        <v>1</v>
      </c>
      <c r="H2512" s="14" t="s">
        <v>154</v>
      </c>
      <c r="I2512" s="14" t="s">
        <v>895</v>
      </c>
      <c r="J2512" s="15" t="n">
        <f aca="false">IF(B2512="SITE LOSS",IF(D2512=C2512,1,0),IF(B2512="REGION LOSS",IF(E2512=C2512,1,0),0))</f>
        <v>0</v>
      </c>
      <c r="K2512" s="15" t="n">
        <f aca="false">IF(B2512="SITE LOSS",IF(COUNTIFS('Site Dockets'!$B$7:$B$24,C2512,'Site Dockets'!$C$7:$C$24,F2512)&gt;0,1,0),IF(B2512="REGION LOSS",IF(COUNTIFS('Site Dockets'!$E$7:$E$24,C2512,'Site Dockets'!$C$7:$C$24,F2512)&gt;0,1,0),0))</f>
        <v>1</v>
      </c>
      <c r="L2512" s="15" t="n">
        <f aca="false">IF(J2512=1,0,Inputs!$B$11)</f>
        <v>100</v>
      </c>
      <c r="M2512" s="15" t="n">
        <f aca="false">IF(J2512=1,0,Inputs!$B$12)</f>
        <v>75</v>
      </c>
      <c r="N2512" s="15" t="n">
        <f aca="false">IF(J2512=1,0,IF(OR(AND(OR(B2512="SITE LOSS",B2512="REGION LOSS"),K2512=1),AND(B2512="ROLE COMPROMISE",H2512=C2512)),Inputs!$B$13,Inputs!$B$14))</f>
        <v>20</v>
      </c>
      <c r="O2512" s="15" t="n">
        <f aca="false">IF(J2512=1,0,Inputs!$B$13)</f>
        <v>20</v>
      </c>
      <c r="P2512" s="15" t="n">
        <f aca="false">SUM(M2512:N2512)</f>
        <v>95</v>
      </c>
      <c r="Q2512" s="15" t="n">
        <f aca="false">IF(J2512=1,"",L2512-P2512)</f>
        <v>5</v>
      </c>
      <c r="R2512" s="15" t="n">
        <f aca="false">IF(OR(J2512=1,M2512&lt;=Inputs!$B$12),1,0)</f>
        <v>1</v>
      </c>
      <c r="S2512" s="15" t="n">
        <f aca="false">IF(OR(J2512=1,N2512&lt;=O2512),1,0)</f>
        <v>1</v>
      </c>
      <c r="T2512" s="15" t="str">
        <f aca="false">IF(J2512=1,"OFFLINE",IF(AND(Q2512&gt;=Inputs!$B$15,R2512=1,S2512=1,P2512&lt;=L2512),"PASS","FAIL"))</f>
        <v>PASS</v>
      </c>
    </row>
    <row r="2513" customFormat="false" ht="15" hidden="false" customHeight="false" outlineLevel="0" collapsed="false">
      <c r="A2513" s="14" t="s">
        <v>1043</v>
      </c>
      <c r="B2513" s="14" t="s">
        <v>1038</v>
      </c>
      <c r="C2513" s="14" t="s">
        <v>172</v>
      </c>
      <c r="D2513" s="14" t="s">
        <v>163</v>
      </c>
      <c r="E2513" s="14" t="s">
        <v>166</v>
      </c>
      <c r="F2513" s="14" t="s">
        <v>164</v>
      </c>
      <c r="G2513" s="14" t="n">
        <v>1</v>
      </c>
      <c r="H2513" s="14" t="s">
        <v>154</v>
      </c>
      <c r="I2513" s="14" t="s">
        <v>897</v>
      </c>
      <c r="J2513" s="15" t="n">
        <f aca="false">IF(B2513="SITE LOSS",IF(D2513=C2513,1,0),IF(B2513="REGION LOSS",IF(E2513=C2513,1,0),0))</f>
        <v>0</v>
      </c>
      <c r="K2513" s="15" t="n">
        <f aca="false">IF(B2513="SITE LOSS",IF(COUNTIFS('Site Dockets'!$B$7:$B$24,C2513,'Site Dockets'!$C$7:$C$24,F2513)&gt;0,1,0),IF(B2513="REGION LOSS",IF(COUNTIFS('Site Dockets'!$E$7:$E$24,C2513,'Site Dockets'!$C$7:$C$24,F2513)&gt;0,1,0),0))</f>
        <v>1</v>
      </c>
      <c r="L2513" s="15" t="n">
        <f aca="false">IF(J2513=1,0,Inputs!$B$11)</f>
        <v>100</v>
      </c>
      <c r="M2513" s="15" t="n">
        <f aca="false">IF(J2513=1,0,Inputs!$B$12)</f>
        <v>75</v>
      </c>
      <c r="N2513" s="15" t="n">
        <f aca="false">IF(J2513=1,0,IF(OR(AND(OR(B2513="SITE LOSS",B2513="REGION LOSS"),K2513=1),AND(B2513="ROLE COMPROMISE",H2513=C2513)),Inputs!$B$13,Inputs!$B$14))</f>
        <v>20</v>
      </c>
      <c r="O2513" s="15" t="n">
        <f aca="false">IF(J2513=1,0,Inputs!$B$13)</f>
        <v>20</v>
      </c>
      <c r="P2513" s="15" t="n">
        <f aca="false">SUM(M2513:N2513)</f>
        <v>95</v>
      </c>
      <c r="Q2513" s="15" t="n">
        <f aca="false">IF(J2513=1,"",L2513-P2513)</f>
        <v>5</v>
      </c>
      <c r="R2513" s="15" t="n">
        <f aca="false">IF(OR(J2513=1,M2513&lt;=Inputs!$B$12),1,0)</f>
        <v>1</v>
      </c>
      <c r="S2513" s="15" t="n">
        <f aca="false">IF(OR(J2513=1,N2513&lt;=O2513),1,0)</f>
        <v>1</v>
      </c>
      <c r="T2513" s="15" t="str">
        <f aca="false">IF(J2513=1,"OFFLINE",IF(AND(Q2513&gt;=Inputs!$B$15,R2513=1,S2513=1,P2513&lt;=L2513),"PASS","FAIL"))</f>
        <v>PASS</v>
      </c>
    </row>
    <row r="2514" customFormat="false" ht="15" hidden="false" customHeight="false" outlineLevel="0" collapsed="false">
      <c r="A2514" s="14" t="s">
        <v>1043</v>
      </c>
      <c r="B2514" s="14" t="s">
        <v>1038</v>
      </c>
      <c r="C2514" s="14" t="s">
        <v>172</v>
      </c>
      <c r="D2514" s="14" t="s">
        <v>163</v>
      </c>
      <c r="E2514" s="14" t="s">
        <v>166</v>
      </c>
      <c r="F2514" s="14" t="s">
        <v>164</v>
      </c>
      <c r="G2514" s="14" t="n">
        <v>1</v>
      </c>
      <c r="H2514" s="14" t="s">
        <v>154</v>
      </c>
      <c r="I2514" s="14" t="s">
        <v>899</v>
      </c>
      <c r="J2514" s="15" t="n">
        <f aca="false">IF(B2514="SITE LOSS",IF(D2514=C2514,1,0),IF(B2514="REGION LOSS",IF(E2514=C2514,1,0),0))</f>
        <v>0</v>
      </c>
      <c r="K2514" s="15" t="n">
        <f aca="false">IF(B2514="SITE LOSS",IF(COUNTIFS('Site Dockets'!$B$7:$B$24,C2514,'Site Dockets'!$C$7:$C$24,F2514)&gt;0,1,0),IF(B2514="REGION LOSS",IF(COUNTIFS('Site Dockets'!$E$7:$E$24,C2514,'Site Dockets'!$C$7:$C$24,F2514)&gt;0,1,0),0))</f>
        <v>1</v>
      </c>
      <c r="L2514" s="15" t="n">
        <f aca="false">IF(J2514=1,0,Inputs!$B$11)</f>
        <v>100</v>
      </c>
      <c r="M2514" s="15" t="n">
        <f aca="false">IF(J2514=1,0,Inputs!$B$12)</f>
        <v>75</v>
      </c>
      <c r="N2514" s="15" t="n">
        <f aca="false">IF(J2514=1,0,IF(OR(AND(OR(B2514="SITE LOSS",B2514="REGION LOSS"),K2514=1),AND(B2514="ROLE COMPROMISE",H2514=C2514)),Inputs!$B$13,Inputs!$B$14))</f>
        <v>20</v>
      </c>
      <c r="O2514" s="15" t="n">
        <f aca="false">IF(J2514=1,0,Inputs!$B$13)</f>
        <v>20</v>
      </c>
      <c r="P2514" s="15" t="n">
        <f aca="false">SUM(M2514:N2514)</f>
        <v>95</v>
      </c>
      <c r="Q2514" s="15" t="n">
        <f aca="false">IF(J2514=1,"",L2514-P2514)</f>
        <v>5</v>
      </c>
      <c r="R2514" s="15" t="n">
        <f aca="false">IF(OR(J2514=1,M2514&lt;=Inputs!$B$12),1,0)</f>
        <v>1</v>
      </c>
      <c r="S2514" s="15" t="n">
        <f aca="false">IF(OR(J2514=1,N2514&lt;=O2514),1,0)</f>
        <v>1</v>
      </c>
      <c r="T2514" s="15" t="str">
        <f aca="false">IF(J2514=1,"OFFLINE",IF(AND(Q2514&gt;=Inputs!$B$15,R2514=1,S2514=1,P2514&lt;=L2514),"PASS","FAIL"))</f>
        <v>PASS</v>
      </c>
    </row>
    <row r="2515" customFormat="false" ht="15" hidden="false" customHeight="false" outlineLevel="0" collapsed="false">
      <c r="A2515" s="14" t="s">
        <v>1043</v>
      </c>
      <c r="B2515" s="14" t="s">
        <v>1038</v>
      </c>
      <c r="C2515" s="14" t="s">
        <v>172</v>
      </c>
      <c r="D2515" s="14" t="s">
        <v>168</v>
      </c>
      <c r="E2515" s="14" t="s">
        <v>169</v>
      </c>
      <c r="F2515" s="14" t="s">
        <v>164</v>
      </c>
      <c r="G2515" s="14" t="n">
        <v>2</v>
      </c>
      <c r="H2515" s="14" t="s">
        <v>153</v>
      </c>
      <c r="I2515" s="14" t="s">
        <v>890</v>
      </c>
      <c r="J2515" s="15" t="n">
        <f aca="false">IF(B2515="SITE LOSS",IF(D2515=C2515,1,0),IF(B2515="REGION LOSS",IF(E2515=C2515,1,0),0))</f>
        <v>0</v>
      </c>
      <c r="K2515" s="15" t="n">
        <f aca="false">IF(B2515="SITE LOSS",IF(COUNTIFS('Site Dockets'!$B$7:$B$24,C2515,'Site Dockets'!$C$7:$C$24,F2515)&gt;0,1,0),IF(B2515="REGION LOSS",IF(COUNTIFS('Site Dockets'!$E$7:$E$24,C2515,'Site Dockets'!$C$7:$C$24,F2515)&gt;0,1,0),0))</f>
        <v>1</v>
      </c>
      <c r="L2515" s="15" t="n">
        <f aca="false">IF(J2515=1,0,Inputs!$B$11)</f>
        <v>100</v>
      </c>
      <c r="M2515" s="15" t="n">
        <f aca="false">IF(J2515=1,0,Inputs!$B$12)</f>
        <v>75</v>
      </c>
      <c r="N2515" s="15" t="n">
        <f aca="false">IF(J2515=1,0,IF(OR(AND(OR(B2515="SITE LOSS",B2515="REGION LOSS"),K2515=1),AND(B2515="ROLE COMPROMISE",H2515=C2515)),Inputs!$B$13,Inputs!$B$14))</f>
        <v>20</v>
      </c>
      <c r="O2515" s="15" t="n">
        <f aca="false">IF(J2515=1,0,Inputs!$B$13)</f>
        <v>20</v>
      </c>
      <c r="P2515" s="15" t="n">
        <f aca="false">SUM(M2515:N2515)</f>
        <v>95</v>
      </c>
      <c r="Q2515" s="15" t="n">
        <f aca="false">IF(J2515=1,"",L2515-P2515)</f>
        <v>5</v>
      </c>
      <c r="R2515" s="15" t="n">
        <f aca="false">IF(OR(J2515=1,M2515&lt;=Inputs!$B$12),1,0)</f>
        <v>1</v>
      </c>
      <c r="S2515" s="15" t="n">
        <f aca="false">IF(OR(J2515=1,N2515&lt;=O2515),1,0)</f>
        <v>1</v>
      </c>
      <c r="T2515" s="15" t="str">
        <f aca="false">IF(J2515=1,"OFFLINE",IF(AND(Q2515&gt;=Inputs!$B$15,R2515=1,S2515=1,P2515&lt;=L2515),"PASS","FAIL"))</f>
        <v>PASS</v>
      </c>
    </row>
    <row r="2516" customFormat="false" ht="15" hidden="false" customHeight="false" outlineLevel="0" collapsed="false">
      <c r="A2516" s="14" t="s">
        <v>1043</v>
      </c>
      <c r="B2516" s="14" t="s">
        <v>1038</v>
      </c>
      <c r="C2516" s="14" t="s">
        <v>172</v>
      </c>
      <c r="D2516" s="14" t="s">
        <v>168</v>
      </c>
      <c r="E2516" s="14" t="s">
        <v>169</v>
      </c>
      <c r="F2516" s="14" t="s">
        <v>164</v>
      </c>
      <c r="G2516" s="14" t="n">
        <v>2</v>
      </c>
      <c r="H2516" s="14" t="s">
        <v>153</v>
      </c>
      <c r="I2516" s="14" t="s">
        <v>892</v>
      </c>
      <c r="J2516" s="15" t="n">
        <f aca="false">IF(B2516="SITE LOSS",IF(D2516=C2516,1,0),IF(B2516="REGION LOSS",IF(E2516=C2516,1,0),0))</f>
        <v>0</v>
      </c>
      <c r="K2516" s="15" t="n">
        <f aca="false">IF(B2516="SITE LOSS",IF(COUNTIFS('Site Dockets'!$B$7:$B$24,C2516,'Site Dockets'!$C$7:$C$24,F2516)&gt;0,1,0),IF(B2516="REGION LOSS",IF(COUNTIFS('Site Dockets'!$E$7:$E$24,C2516,'Site Dockets'!$C$7:$C$24,F2516)&gt;0,1,0),0))</f>
        <v>1</v>
      </c>
      <c r="L2516" s="15" t="n">
        <f aca="false">IF(J2516=1,0,Inputs!$B$11)</f>
        <v>100</v>
      </c>
      <c r="M2516" s="15" t="n">
        <f aca="false">IF(J2516=1,0,Inputs!$B$12)</f>
        <v>75</v>
      </c>
      <c r="N2516" s="15" t="n">
        <f aca="false">IF(J2516=1,0,IF(OR(AND(OR(B2516="SITE LOSS",B2516="REGION LOSS"),K2516=1),AND(B2516="ROLE COMPROMISE",H2516=C2516)),Inputs!$B$13,Inputs!$B$14))</f>
        <v>20</v>
      </c>
      <c r="O2516" s="15" t="n">
        <f aca="false">IF(J2516=1,0,Inputs!$B$13)</f>
        <v>20</v>
      </c>
      <c r="P2516" s="15" t="n">
        <f aca="false">SUM(M2516:N2516)</f>
        <v>95</v>
      </c>
      <c r="Q2516" s="15" t="n">
        <f aca="false">IF(J2516=1,"",L2516-P2516)</f>
        <v>5</v>
      </c>
      <c r="R2516" s="15" t="n">
        <f aca="false">IF(OR(J2516=1,M2516&lt;=Inputs!$B$12),1,0)</f>
        <v>1</v>
      </c>
      <c r="S2516" s="15" t="n">
        <f aca="false">IF(OR(J2516=1,N2516&lt;=O2516),1,0)</f>
        <v>1</v>
      </c>
      <c r="T2516" s="15" t="str">
        <f aca="false">IF(J2516=1,"OFFLINE",IF(AND(Q2516&gt;=Inputs!$B$15,R2516=1,S2516=1,P2516&lt;=L2516),"PASS","FAIL"))</f>
        <v>PASS</v>
      </c>
    </row>
    <row r="2517" customFormat="false" ht="15" hidden="false" customHeight="false" outlineLevel="0" collapsed="false">
      <c r="A2517" s="14" t="s">
        <v>1043</v>
      </c>
      <c r="B2517" s="14" t="s">
        <v>1038</v>
      </c>
      <c r="C2517" s="14" t="s">
        <v>172</v>
      </c>
      <c r="D2517" s="14" t="s">
        <v>168</v>
      </c>
      <c r="E2517" s="14" t="s">
        <v>169</v>
      </c>
      <c r="F2517" s="14" t="s">
        <v>164</v>
      </c>
      <c r="G2517" s="14" t="n">
        <v>2</v>
      </c>
      <c r="H2517" s="14" t="s">
        <v>153</v>
      </c>
      <c r="I2517" s="14" t="s">
        <v>811</v>
      </c>
      <c r="J2517" s="15" t="n">
        <f aca="false">IF(B2517="SITE LOSS",IF(D2517=C2517,1,0),IF(B2517="REGION LOSS",IF(E2517=C2517,1,0),0))</f>
        <v>0</v>
      </c>
      <c r="K2517" s="15" t="n">
        <f aca="false">IF(B2517="SITE LOSS",IF(COUNTIFS('Site Dockets'!$B$7:$B$24,C2517,'Site Dockets'!$C$7:$C$24,F2517)&gt;0,1,0),IF(B2517="REGION LOSS",IF(COUNTIFS('Site Dockets'!$E$7:$E$24,C2517,'Site Dockets'!$C$7:$C$24,F2517)&gt;0,1,0),0))</f>
        <v>1</v>
      </c>
      <c r="L2517" s="15" t="n">
        <f aca="false">IF(J2517=1,0,Inputs!$B$11)</f>
        <v>100</v>
      </c>
      <c r="M2517" s="15" t="n">
        <f aca="false">IF(J2517=1,0,Inputs!$B$12)</f>
        <v>75</v>
      </c>
      <c r="N2517" s="15" t="n">
        <f aca="false">IF(J2517=1,0,IF(OR(AND(OR(B2517="SITE LOSS",B2517="REGION LOSS"),K2517=1),AND(B2517="ROLE COMPROMISE",H2517=C2517)),Inputs!$B$13,Inputs!$B$14))</f>
        <v>20</v>
      </c>
      <c r="O2517" s="15" t="n">
        <f aca="false">IF(J2517=1,0,Inputs!$B$13)</f>
        <v>20</v>
      </c>
      <c r="P2517" s="15" t="n">
        <f aca="false">SUM(M2517:N2517)</f>
        <v>95</v>
      </c>
      <c r="Q2517" s="15" t="n">
        <f aca="false">IF(J2517=1,"",L2517-P2517)</f>
        <v>5</v>
      </c>
      <c r="R2517" s="15" t="n">
        <f aca="false">IF(OR(J2517=1,M2517&lt;=Inputs!$B$12),1,0)</f>
        <v>1</v>
      </c>
      <c r="S2517" s="15" t="n">
        <f aca="false">IF(OR(J2517=1,N2517&lt;=O2517),1,0)</f>
        <v>1</v>
      </c>
      <c r="T2517" s="15" t="str">
        <f aca="false">IF(J2517=1,"OFFLINE",IF(AND(Q2517&gt;=Inputs!$B$15,R2517=1,S2517=1,P2517&lt;=L2517),"PASS","FAIL"))</f>
        <v>PASS</v>
      </c>
    </row>
    <row r="2518" customFormat="false" ht="15" hidden="false" customHeight="false" outlineLevel="0" collapsed="false">
      <c r="A2518" s="14" t="s">
        <v>1043</v>
      </c>
      <c r="B2518" s="14" t="s">
        <v>1038</v>
      </c>
      <c r="C2518" s="14" t="s">
        <v>172</v>
      </c>
      <c r="D2518" s="14" t="s">
        <v>168</v>
      </c>
      <c r="E2518" s="14" t="s">
        <v>169</v>
      </c>
      <c r="F2518" s="14" t="s">
        <v>164</v>
      </c>
      <c r="G2518" s="14" t="n">
        <v>2</v>
      </c>
      <c r="H2518" s="14" t="s">
        <v>153</v>
      </c>
      <c r="I2518" s="14" t="s">
        <v>895</v>
      </c>
      <c r="J2518" s="15" t="n">
        <f aca="false">IF(B2518="SITE LOSS",IF(D2518=C2518,1,0),IF(B2518="REGION LOSS",IF(E2518=C2518,1,0),0))</f>
        <v>0</v>
      </c>
      <c r="K2518" s="15" t="n">
        <f aca="false">IF(B2518="SITE LOSS",IF(COUNTIFS('Site Dockets'!$B$7:$B$24,C2518,'Site Dockets'!$C$7:$C$24,F2518)&gt;0,1,0),IF(B2518="REGION LOSS",IF(COUNTIFS('Site Dockets'!$E$7:$E$24,C2518,'Site Dockets'!$C$7:$C$24,F2518)&gt;0,1,0),0))</f>
        <v>1</v>
      </c>
      <c r="L2518" s="15" t="n">
        <f aca="false">IF(J2518=1,0,Inputs!$B$11)</f>
        <v>100</v>
      </c>
      <c r="M2518" s="15" t="n">
        <f aca="false">IF(J2518=1,0,Inputs!$B$12)</f>
        <v>75</v>
      </c>
      <c r="N2518" s="15" t="n">
        <f aca="false">IF(J2518=1,0,IF(OR(AND(OR(B2518="SITE LOSS",B2518="REGION LOSS"),K2518=1),AND(B2518="ROLE COMPROMISE",H2518=C2518)),Inputs!$B$13,Inputs!$B$14))</f>
        <v>20</v>
      </c>
      <c r="O2518" s="15" t="n">
        <f aca="false">IF(J2518=1,0,Inputs!$B$13)</f>
        <v>20</v>
      </c>
      <c r="P2518" s="15" t="n">
        <f aca="false">SUM(M2518:N2518)</f>
        <v>95</v>
      </c>
      <c r="Q2518" s="15" t="n">
        <f aca="false">IF(J2518=1,"",L2518-P2518)</f>
        <v>5</v>
      </c>
      <c r="R2518" s="15" t="n">
        <f aca="false">IF(OR(J2518=1,M2518&lt;=Inputs!$B$12),1,0)</f>
        <v>1</v>
      </c>
      <c r="S2518" s="15" t="n">
        <f aca="false">IF(OR(J2518=1,N2518&lt;=O2518),1,0)</f>
        <v>1</v>
      </c>
      <c r="T2518" s="15" t="str">
        <f aca="false">IF(J2518=1,"OFFLINE",IF(AND(Q2518&gt;=Inputs!$B$15,R2518=1,S2518=1,P2518&lt;=L2518),"PASS","FAIL"))</f>
        <v>PASS</v>
      </c>
    </row>
    <row r="2519" customFormat="false" ht="15" hidden="false" customHeight="false" outlineLevel="0" collapsed="false">
      <c r="A2519" s="14" t="s">
        <v>1043</v>
      </c>
      <c r="B2519" s="14" t="s">
        <v>1038</v>
      </c>
      <c r="C2519" s="14" t="s">
        <v>172</v>
      </c>
      <c r="D2519" s="14" t="s">
        <v>168</v>
      </c>
      <c r="E2519" s="14" t="s">
        <v>169</v>
      </c>
      <c r="F2519" s="14" t="s">
        <v>164</v>
      </c>
      <c r="G2519" s="14" t="n">
        <v>2</v>
      </c>
      <c r="H2519" s="14" t="s">
        <v>153</v>
      </c>
      <c r="I2519" s="14" t="s">
        <v>897</v>
      </c>
      <c r="J2519" s="15" t="n">
        <f aca="false">IF(B2519="SITE LOSS",IF(D2519=C2519,1,0),IF(B2519="REGION LOSS",IF(E2519=C2519,1,0),0))</f>
        <v>0</v>
      </c>
      <c r="K2519" s="15" t="n">
        <f aca="false">IF(B2519="SITE LOSS",IF(COUNTIFS('Site Dockets'!$B$7:$B$24,C2519,'Site Dockets'!$C$7:$C$24,F2519)&gt;0,1,0),IF(B2519="REGION LOSS",IF(COUNTIFS('Site Dockets'!$E$7:$E$24,C2519,'Site Dockets'!$C$7:$C$24,F2519)&gt;0,1,0),0))</f>
        <v>1</v>
      </c>
      <c r="L2519" s="15" t="n">
        <f aca="false">IF(J2519=1,0,Inputs!$B$11)</f>
        <v>100</v>
      </c>
      <c r="M2519" s="15" t="n">
        <f aca="false">IF(J2519=1,0,Inputs!$B$12)</f>
        <v>75</v>
      </c>
      <c r="N2519" s="15" t="n">
        <f aca="false">IF(J2519=1,0,IF(OR(AND(OR(B2519="SITE LOSS",B2519="REGION LOSS"),K2519=1),AND(B2519="ROLE COMPROMISE",H2519=C2519)),Inputs!$B$13,Inputs!$B$14))</f>
        <v>20</v>
      </c>
      <c r="O2519" s="15" t="n">
        <f aca="false">IF(J2519=1,0,Inputs!$B$13)</f>
        <v>20</v>
      </c>
      <c r="P2519" s="15" t="n">
        <f aca="false">SUM(M2519:N2519)</f>
        <v>95</v>
      </c>
      <c r="Q2519" s="15" t="n">
        <f aca="false">IF(J2519=1,"",L2519-P2519)</f>
        <v>5</v>
      </c>
      <c r="R2519" s="15" t="n">
        <f aca="false">IF(OR(J2519=1,M2519&lt;=Inputs!$B$12),1,0)</f>
        <v>1</v>
      </c>
      <c r="S2519" s="15" t="n">
        <f aca="false">IF(OR(J2519=1,N2519&lt;=O2519),1,0)</f>
        <v>1</v>
      </c>
      <c r="T2519" s="15" t="str">
        <f aca="false">IF(J2519=1,"OFFLINE",IF(AND(Q2519&gt;=Inputs!$B$15,R2519=1,S2519=1,P2519&lt;=L2519),"PASS","FAIL"))</f>
        <v>PASS</v>
      </c>
    </row>
    <row r="2520" customFormat="false" ht="15" hidden="false" customHeight="false" outlineLevel="0" collapsed="false">
      <c r="A2520" s="14" t="s">
        <v>1043</v>
      </c>
      <c r="B2520" s="14" t="s">
        <v>1038</v>
      </c>
      <c r="C2520" s="14" t="s">
        <v>172</v>
      </c>
      <c r="D2520" s="14" t="s">
        <v>168</v>
      </c>
      <c r="E2520" s="14" t="s">
        <v>169</v>
      </c>
      <c r="F2520" s="14" t="s">
        <v>164</v>
      </c>
      <c r="G2520" s="14" t="n">
        <v>2</v>
      </c>
      <c r="H2520" s="14" t="s">
        <v>153</v>
      </c>
      <c r="I2520" s="14" t="s">
        <v>899</v>
      </c>
      <c r="J2520" s="15" t="n">
        <f aca="false">IF(B2520="SITE LOSS",IF(D2520=C2520,1,0),IF(B2520="REGION LOSS",IF(E2520=C2520,1,0),0))</f>
        <v>0</v>
      </c>
      <c r="K2520" s="15" t="n">
        <f aca="false">IF(B2520="SITE LOSS",IF(COUNTIFS('Site Dockets'!$B$7:$B$24,C2520,'Site Dockets'!$C$7:$C$24,F2520)&gt;0,1,0),IF(B2520="REGION LOSS",IF(COUNTIFS('Site Dockets'!$E$7:$E$24,C2520,'Site Dockets'!$C$7:$C$24,F2520)&gt;0,1,0),0))</f>
        <v>1</v>
      </c>
      <c r="L2520" s="15" t="n">
        <f aca="false">IF(J2520=1,0,Inputs!$B$11)</f>
        <v>100</v>
      </c>
      <c r="M2520" s="15" t="n">
        <f aca="false">IF(J2520=1,0,Inputs!$B$12)</f>
        <v>75</v>
      </c>
      <c r="N2520" s="15" t="n">
        <f aca="false">IF(J2520=1,0,IF(OR(AND(OR(B2520="SITE LOSS",B2520="REGION LOSS"),K2520=1),AND(B2520="ROLE COMPROMISE",H2520=C2520)),Inputs!$B$13,Inputs!$B$14))</f>
        <v>20</v>
      </c>
      <c r="O2520" s="15" t="n">
        <f aca="false">IF(J2520=1,0,Inputs!$B$13)</f>
        <v>20</v>
      </c>
      <c r="P2520" s="15" t="n">
        <f aca="false">SUM(M2520:N2520)</f>
        <v>95</v>
      </c>
      <c r="Q2520" s="15" t="n">
        <f aca="false">IF(J2520=1,"",L2520-P2520)</f>
        <v>5</v>
      </c>
      <c r="R2520" s="15" t="n">
        <f aca="false">IF(OR(J2520=1,M2520&lt;=Inputs!$B$12),1,0)</f>
        <v>1</v>
      </c>
      <c r="S2520" s="15" t="n">
        <f aca="false">IF(OR(J2520=1,N2520&lt;=O2520),1,0)</f>
        <v>1</v>
      </c>
      <c r="T2520" s="15" t="str">
        <f aca="false">IF(J2520=1,"OFFLINE",IF(AND(Q2520&gt;=Inputs!$B$15,R2520=1,S2520=1,P2520&lt;=L2520),"PASS","FAIL"))</f>
        <v>PASS</v>
      </c>
    </row>
    <row r="2521" customFormat="false" ht="15" hidden="false" customHeight="false" outlineLevel="0" collapsed="false">
      <c r="A2521" s="14" t="s">
        <v>1043</v>
      </c>
      <c r="B2521" s="14" t="s">
        <v>1038</v>
      </c>
      <c r="C2521" s="14" t="s">
        <v>172</v>
      </c>
      <c r="D2521" s="14" t="s">
        <v>171</v>
      </c>
      <c r="E2521" s="14" t="s">
        <v>172</v>
      </c>
      <c r="F2521" s="14" t="s">
        <v>164</v>
      </c>
      <c r="G2521" s="14" t="n">
        <v>3</v>
      </c>
      <c r="H2521" s="14" t="s">
        <v>158</v>
      </c>
      <c r="I2521" s="14" t="s">
        <v>890</v>
      </c>
      <c r="J2521" s="15" t="n">
        <f aca="false">IF(B2521="SITE LOSS",IF(D2521=C2521,1,0),IF(B2521="REGION LOSS",IF(E2521=C2521,1,0),0))</f>
        <v>1</v>
      </c>
      <c r="K2521" s="15" t="n">
        <f aca="false">IF(B2521="SITE LOSS",IF(COUNTIFS('Site Dockets'!$B$7:$B$24,C2521,'Site Dockets'!$C$7:$C$24,F2521)&gt;0,1,0),IF(B2521="REGION LOSS",IF(COUNTIFS('Site Dockets'!$E$7:$E$24,C2521,'Site Dockets'!$C$7:$C$24,F2521)&gt;0,1,0),0))</f>
        <v>1</v>
      </c>
      <c r="L2521" s="15" t="n">
        <f aca="false">IF(J2521=1,0,Inputs!$B$11)</f>
        <v>0</v>
      </c>
      <c r="M2521" s="15" t="n">
        <f aca="false">IF(J2521=1,0,Inputs!$B$12)</f>
        <v>0</v>
      </c>
      <c r="N2521" s="15" t="n">
        <f aca="false">IF(J2521=1,0,IF(OR(AND(OR(B2521="SITE LOSS",B2521="REGION LOSS"),K2521=1),AND(B2521="ROLE COMPROMISE",H2521=C2521)),Inputs!$B$13,Inputs!$B$14))</f>
        <v>0</v>
      </c>
      <c r="O2521" s="15" t="n">
        <f aca="false">IF(J2521=1,0,Inputs!$B$13)</f>
        <v>0</v>
      </c>
      <c r="P2521" s="15" t="n">
        <f aca="false">SUM(M2521:N2521)</f>
        <v>0</v>
      </c>
      <c r="Q2521" s="15" t="str">
        <f aca="false">IF(J2521=1,"",L2521-P2521)</f>
        <v/>
      </c>
      <c r="R2521" s="15" t="n">
        <f aca="false">IF(OR(J2521=1,M2521&lt;=Inputs!$B$12),1,0)</f>
        <v>1</v>
      </c>
      <c r="S2521" s="15" t="n">
        <f aca="false">IF(OR(J2521=1,N2521&lt;=O2521),1,0)</f>
        <v>1</v>
      </c>
      <c r="T2521" s="15" t="str">
        <f aca="false">IF(J2521=1,"OFFLINE",IF(AND(Q2521&gt;=Inputs!$B$15,R2521=1,S2521=1,P2521&lt;=L2521),"PASS","FAIL"))</f>
        <v>OFFLINE</v>
      </c>
    </row>
    <row r="2522" customFormat="false" ht="15" hidden="false" customHeight="false" outlineLevel="0" collapsed="false">
      <c r="A2522" s="14" t="s">
        <v>1043</v>
      </c>
      <c r="B2522" s="14" t="s">
        <v>1038</v>
      </c>
      <c r="C2522" s="14" t="s">
        <v>172</v>
      </c>
      <c r="D2522" s="14" t="s">
        <v>171</v>
      </c>
      <c r="E2522" s="14" t="s">
        <v>172</v>
      </c>
      <c r="F2522" s="14" t="s">
        <v>164</v>
      </c>
      <c r="G2522" s="14" t="n">
        <v>3</v>
      </c>
      <c r="H2522" s="14" t="s">
        <v>158</v>
      </c>
      <c r="I2522" s="14" t="s">
        <v>892</v>
      </c>
      <c r="J2522" s="15" t="n">
        <f aca="false">IF(B2522="SITE LOSS",IF(D2522=C2522,1,0),IF(B2522="REGION LOSS",IF(E2522=C2522,1,0),0))</f>
        <v>1</v>
      </c>
      <c r="K2522" s="15" t="n">
        <f aca="false">IF(B2522="SITE LOSS",IF(COUNTIFS('Site Dockets'!$B$7:$B$24,C2522,'Site Dockets'!$C$7:$C$24,F2522)&gt;0,1,0),IF(B2522="REGION LOSS",IF(COUNTIFS('Site Dockets'!$E$7:$E$24,C2522,'Site Dockets'!$C$7:$C$24,F2522)&gt;0,1,0),0))</f>
        <v>1</v>
      </c>
      <c r="L2522" s="15" t="n">
        <f aca="false">IF(J2522=1,0,Inputs!$B$11)</f>
        <v>0</v>
      </c>
      <c r="M2522" s="15" t="n">
        <f aca="false">IF(J2522=1,0,Inputs!$B$12)</f>
        <v>0</v>
      </c>
      <c r="N2522" s="15" t="n">
        <f aca="false">IF(J2522=1,0,IF(OR(AND(OR(B2522="SITE LOSS",B2522="REGION LOSS"),K2522=1),AND(B2522="ROLE COMPROMISE",H2522=C2522)),Inputs!$B$13,Inputs!$B$14))</f>
        <v>0</v>
      </c>
      <c r="O2522" s="15" t="n">
        <f aca="false">IF(J2522=1,0,Inputs!$B$13)</f>
        <v>0</v>
      </c>
      <c r="P2522" s="15" t="n">
        <f aca="false">SUM(M2522:N2522)</f>
        <v>0</v>
      </c>
      <c r="Q2522" s="15" t="str">
        <f aca="false">IF(J2522=1,"",L2522-P2522)</f>
        <v/>
      </c>
      <c r="R2522" s="15" t="n">
        <f aca="false">IF(OR(J2522=1,M2522&lt;=Inputs!$B$12),1,0)</f>
        <v>1</v>
      </c>
      <c r="S2522" s="15" t="n">
        <f aca="false">IF(OR(J2522=1,N2522&lt;=O2522),1,0)</f>
        <v>1</v>
      </c>
      <c r="T2522" s="15" t="str">
        <f aca="false">IF(J2522=1,"OFFLINE",IF(AND(Q2522&gt;=Inputs!$B$15,R2522=1,S2522=1,P2522&lt;=L2522),"PASS","FAIL"))</f>
        <v>OFFLINE</v>
      </c>
    </row>
    <row r="2523" customFormat="false" ht="15" hidden="false" customHeight="false" outlineLevel="0" collapsed="false">
      <c r="A2523" s="14" t="s">
        <v>1043</v>
      </c>
      <c r="B2523" s="14" t="s">
        <v>1038</v>
      </c>
      <c r="C2523" s="14" t="s">
        <v>172</v>
      </c>
      <c r="D2523" s="14" t="s">
        <v>171</v>
      </c>
      <c r="E2523" s="14" t="s">
        <v>172</v>
      </c>
      <c r="F2523" s="14" t="s">
        <v>164</v>
      </c>
      <c r="G2523" s="14" t="n">
        <v>3</v>
      </c>
      <c r="H2523" s="14" t="s">
        <v>158</v>
      </c>
      <c r="I2523" s="14" t="s">
        <v>811</v>
      </c>
      <c r="J2523" s="15" t="n">
        <f aca="false">IF(B2523="SITE LOSS",IF(D2523=C2523,1,0),IF(B2523="REGION LOSS",IF(E2523=C2523,1,0),0))</f>
        <v>1</v>
      </c>
      <c r="K2523" s="15" t="n">
        <f aca="false">IF(B2523="SITE LOSS",IF(COUNTIFS('Site Dockets'!$B$7:$B$24,C2523,'Site Dockets'!$C$7:$C$24,F2523)&gt;0,1,0),IF(B2523="REGION LOSS",IF(COUNTIFS('Site Dockets'!$E$7:$E$24,C2523,'Site Dockets'!$C$7:$C$24,F2523)&gt;0,1,0),0))</f>
        <v>1</v>
      </c>
      <c r="L2523" s="15" t="n">
        <f aca="false">IF(J2523=1,0,Inputs!$B$11)</f>
        <v>0</v>
      </c>
      <c r="M2523" s="15" t="n">
        <f aca="false">IF(J2523=1,0,Inputs!$B$12)</f>
        <v>0</v>
      </c>
      <c r="N2523" s="15" t="n">
        <f aca="false">IF(J2523=1,0,IF(OR(AND(OR(B2523="SITE LOSS",B2523="REGION LOSS"),K2523=1),AND(B2523="ROLE COMPROMISE",H2523=C2523)),Inputs!$B$13,Inputs!$B$14))</f>
        <v>0</v>
      </c>
      <c r="O2523" s="15" t="n">
        <f aca="false">IF(J2523=1,0,Inputs!$B$13)</f>
        <v>0</v>
      </c>
      <c r="P2523" s="15" t="n">
        <f aca="false">SUM(M2523:N2523)</f>
        <v>0</v>
      </c>
      <c r="Q2523" s="15" t="str">
        <f aca="false">IF(J2523=1,"",L2523-P2523)</f>
        <v/>
      </c>
      <c r="R2523" s="15" t="n">
        <f aca="false">IF(OR(J2523=1,M2523&lt;=Inputs!$B$12),1,0)</f>
        <v>1</v>
      </c>
      <c r="S2523" s="15" t="n">
        <f aca="false">IF(OR(J2523=1,N2523&lt;=O2523),1,0)</f>
        <v>1</v>
      </c>
      <c r="T2523" s="15" t="str">
        <f aca="false">IF(J2523=1,"OFFLINE",IF(AND(Q2523&gt;=Inputs!$B$15,R2523=1,S2523=1,P2523&lt;=L2523),"PASS","FAIL"))</f>
        <v>OFFLINE</v>
      </c>
    </row>
    <row r="2524" customFormat="false" ht="15" hidden="false" customHeight="false" outlineLevel="0" collapsed="false">
      <c r="A2524" s="14" t="s">
        <v>1043</v>
      </c>
      <c r="B2524" s="14" t="s">
        <v>1038</v>
      </c>
      <c r="C2524" s="14" t="s">
        <v>172</v>
      </c>
      <c r="D2524" s="14" t="s">
        <v>171</v>
      </c>
      <c r="E2524" s="14" t="s">
        <v>172</v>
      </c>
      <c r="F2524" s="14" t="s">
        <v>164</v>
      </c>
      <c r="G2524" s="14" t="n">
        <v>3</v>
      </c>
      <c r="H2524" s="14" t="s">
        <v>158</v>
      </c>
      <c r="I2524" s="14" t="s">
        <v>895</v>
      </c>
      <c r="J2524" s="15" t="n">
        <f aca="false">IF(B2524="SITE LOSS",IF(D2524=C2524,1,0),IF(B2524="REGION LOSS",IF(E2524=C2524,1,0),0))</f>
        <v>1</v>
      </c>
      <c r="K2524" s="15" t="n">
        <f aca="false">IF(B2524="SITE LOSS",IF(COUNTIFS('Site Dockets'!$B$7:$B$24,C2524,'Site Dockets'!$C$7:$C$24,F2524)&gt;0,1,0),IF(B2524="REGION LOSS",IF(COUNTIFS('Site Dockets'!$E$7:$E$24,C2524,'Site Dockets'!$C$7:$C$24,F2524)&gt;0,1,0),0))</f>
        <v>1</v>
      </c>
      <c r="L2524" s="15" t="n">
        <f aca="false">IF(J2524=1,0,Inputs!$B$11)</f>
        <v>0</v>
      </c>
      <c r="M2524" s="15" t="n">
        <f aca="false">IF(J2524=1,0,Inputs!$B$12)</f>
        <v>0</v>
      </c>
      <c r="N2524" s="15" t="n">
        <f aca="false">IF(J2524=1,0,IF(OR(AND(OR(B2524="SITE LOSS",B2524="REGION LOSS"),K2524=1),AND(B2524="ROLE COMPROMISE",H2524=C2524)),Inputs!$B$13,Inputs!$B$14))</f>
        <v>0</v>
      </c>
      <c r="O2524" s="15" t="n">
        <f aca="false">IF(J2524=1,0,Inputs!$B$13)</f>
        <v>0</v>
      </c>
      <c r="P2524" s="15" t="n">
        <f aca="false">SUM(M2524:N2524)</f>
        <v>0</v>
      </c>
      <c r="Q2524" s="15" t="str">
        <f aca="false">IF(J2524=1,"",L2524-P2524)</f>
        <v/>
      </c>
      <c r="R2524" s="15" t="n">
        <f aca="false">IF(OR(J2524=1,M2524&lt;=Inputs!$B$12),1,0)</f>
        <v>1</v>
      </c>
      <c r="S2524" s="15" t="n">
        <f aca="false">IF(OR(J2524=1,N2524&lt;=O2524),1,0)</f>
        <v>1</v>
      </c>
      <c r="T2524" s="15" t="str">
        <f aca="false">IF(J2524=1,"OFFLINE",IF(AND(Q2524&gt;=Inputs!$B$15,R2524=1,S2524=1,P2524&lt;=L2524),"PASS","FAIL"))</f>
        <v>OFFLINE</v>
      </c>
    </row>
    <row r="2525" customFormat="false" ht="15" hidden="false" customHeight="false" outlineLevel="0" collapsed="false">
      <c r="A2525" s="14" t="s">
        <v>1043</v>
      </c>
      <c r="B2525" s="14" t="s">
        <v>1038</v>
      </c>
      <c r="C2525" s="14" t="s">
        <v>172</v>
      </c>
      <c r="D2525" s="14" t="s">
        <v>171</v>
      </c>
      <c r="E2525" s="14" t="s">
        <v>172</v>
      </c>
      <c r="F2525" s="14" t="s">
        <v>164</v>
      </c>
      <c r="G2525" s="14" t="n">
        <v>3</v>
      </c>
      <c r="H2525" s="14" t="s">
        <v>158</v>
      </c>
      <c r="I2525" s="14" t="s">
        <v>897</v>
      </c>
      <c r="J2525" s="15" t="n">
        <f aca="false">IF(B2525="SITE LOSS",IF(D2525=C2525,1,0),IF(B2525="REGION LOSS",IF(E2525=C2525,1,0),0))</f>
        <v>1</v>
      </c>
      <c r="K2525" s="15" t="n">
        <f aca="false">IF(B2525="SITE LOSS",IF(COUNTIFS('Site Dockets'!$B$7:$B$24,C2525,'Site Dockets'!$C$7:$C$24,F2525)&gt;0,1,0),IF(B2525="REGION LOSS",IF(COUNTIFS('Site Dockets'!$E$7:$E$24,C2525,'Site Dockets'!$C$7:$C$24,F2525)&gt;0,1,0),0))</f>
        <v>1</v>
      </c>
      <c r="L2525" s="15" t="n">
        <f aca="false">IF(J2525=1,0,Inputs!$B$11)</f>
        <v>0</v>
      </c>
      <c r="M2525" s="15" t="n">
        <f aca="false">IF(J2525=1,0,Inputs!$B$12)</f>
        <v>0</v>
      </c>
      <c r="N2525" s="15" t="n">
        <f aca="false">IF(J2525=1,0,IF(OR(AND(OR(B2525="SITE LOSS",B2525="REGION LOSS"),K2525=1),AND(B2525="ROLE COMPROMISE",H2525=C2525)),Inputs!$B$13,Inputs!$B$14))</f>
        <v>0</v>
      </c>
      <c r="O2525" s="15" t="n">
        <f aca="false">IF(J2525=1,0,Inputs!$B$13)</f>
        <v>0</v>
      </c>
      <c r="P2525" s="15" t="n">
        <f aca="false">SUM(M2525:N2525)</f>
        <v>0</v>
      </c>
      <c r="Q2525" s="15" t="str">
        <f aca="false">IF(J2525=1,"",L2525-P2525)</f>
        <v/>
      </c>
      <c r="R2525" s="15" t="n">
        <f aca="false">IF(OR(J2525=1,M2525&lt;=Inputs!$B$12),1,0)</f>
        <v>1</v>
      </c>
      <c r="S2525" s="15" t="n">
        <f aca="false">IF(OR(J2525=1,N2525&lt;=O2525),1,0)</f>
        <v>1</v>
      </c>
      <c r="T2525" s="15" t="str">
        <f aca="false">IF(J2525=1,"OFFLINE",IF(AND(Q2525&gt;=Inputs!$B$15,R2525=1,S2525=1,P2525&lt;=L2525),"PASS","FAIL"))</f>
        <v>OFFLINE</v>
      </c>
    </row>
    <row r="2526" customFormat="false" ht="15" hidden="false" customHeight="false" outlineLevel="0" collapsed="false">
      <c r="A2526" s="14" t="s">
        <v>1043</v>
      </c>
      <c r="B2526" s="14" t="s">
        <v>1038</v>
      </c>
      <c r="C2526" s="14" t="s">
        <v>172</v>
      </c>
      <c r="D2526" s="14" t="s">
        <v>171</v>
      </c>
      <c r="E2526" s="14" t="s">
        <v>172</v>
      </c>
      <c r="F2526" s="14" t="s">
        <v>164</v>
      </c>
      <c r="G2526" s="14" t="n">
        <v>3</v>
      </c>
      <c r="H2526" s="14" t="s">
        <v>158</v>
      </c>
      <c r="I2526" s="14" t="s">
        <v>899</v>
      </c>
      <c r="J2526" s="15" t="n">
        <f aca="false">IF(B2526="SITE LOSS",IF(D2526=C2526,1,0),IF(B2526="REGION LOSS",IF(E2526=C2526,1,0),0))</f>
        <v>1</v>
      </c>
      <c r="K2526" s="15" t="n">
        <f aca="false">IF(B2526="SITE LOSS",IF(COUNTIFS('Site Dockets'!$B$7:$B$24,C2526,'Site Dockets'!$C$7:$C$24,F2526)&gt;0,1,0),IF(B2526="REGION LOSS",IF(COUNTIFS('Site Dockets'!$E$7:$E$24,C2526,'Site Dockets'!$C$7:$C$24,F2526)&gt;0,1,0),0))</f>
        <v>1</v>
      </c>
      <c r="L2526" s="15" t="n">
        <f aca="false">IF(J2526=1,0,Inputs!$B$11)</f>
        <v>0</v>
      </c>
      <c r="M2526" s="15" t="n">
        <f aca="false">IF(J2526=1,0,Inputs!$B$12)</f>
        <v>0</v>
      </c>
      <c r="N2526" s="15" t="n">
        <f aca="false">IF(J2526=1,0,IF(OR(AND(OR(B2526="SITE LOSS",B2526="REGION LOSS"),K2526=1),AND(B2526="ROLE COMPROMISE",H2526=C2526)),Inputs!$B$13,Inputs!$B$14))</f>
        <v>0</v>
      </c>
      <c r="O2526" s="15" t="n">
        <f aca="false">IF(J2526=1,0,Inputs!$B$13)</f>
        <v>0</v>
      </c>
      <c r="P2526" s="15" t="n">
        <f aca="false">SUM(M2526:N2526)</f>
        <v>0</v>
      </c>
      <c r="Q2526" s="15" t="str">
        <f aca="false">IF(J2526=1,"",L2526-P2526)</f>
        <v/>
      </c>
      <c r="R2526" s="15" t="n">
        <f aca="false">IF(OR(J2526=1,M2526&lt;=Inputs!$B$12),1,0)</f>
        <v>1</v>
      </c>
      <c r="S2526" s="15" t="n">
        <f aca="false">IF(OR(J2526=1,N2526&lt;=O2526),1,0)</f>
        <v>1</v>
      </c>
      <c r="T2526" s="15" t="str">
        <f aca="false">IF(J2526=1,"OFFLINE",IF(AND(Q2526&gt;=Inputs!$B$15,R2526=1,S2526=1,P2526&lt;=L2526),"PASS","FAIL"))</f>
        <v>OFFLINE</v>
      </c>
    </row>
    <row r="2527" customFormat="false" ht="15" hidden="false" customHeight="false" outlineLevel="0" collapsed="false">
      <c r="A2527" s="14" t="s">
        <v>1043</v>
      </c>
      <c r="B2527" s="14" t="s">
        <v>1038</v>
      </c>
      <c r="C2527" s="14" t="s">
        <v>172</v>
      </c>
      <c r="D2527" s="14" t="s">
        <v>174</v>
      </c>
      <c r="E2527" s="14" t="s">
        <v>152</v>
      </c>
      <c r="F2527" s="14" t="s">
        <v>175</v>
      </c>
      <c r="G2527" s="14" t="n">
        <v>1</v>
      </c>
      <c r="H2527" s="14" t="s">
        <v>154</v>
      </c>
      <c r="I2527" s="14" t="s">
        <v>890</v>
      </c>
      <c r="J2527" s="15" t="n">
        <f aca="false">IF(B2527="SITE LOSS",IF(D2527=C2527,1,0),IF(B2527="REGION LOSS",IF(E2527=C2527,1,0),0))</f>
        <v>0</v>
      </c>
      <c r="K2527" s="15" t="n">
        <f aca="false">IF(B2527="SITE LOSS",IF(COUNTIFS('Site Dockets'!$B$7:$B$24,C2527,'Site Dockets'!$C$7:$C$24,F2527)&gt;0,1,0),IF(B2527="REGION LOSS",IF(COUNTIFS('Site Dockets'!$E$7:$E$24,C2527,'Site Dockets'!$C$7:$C$24,F2527)&gt;0,1,0),0))</f>
        <v>0</v>
      </c>
      <c r="L2527" s="15" t="n">
        <f aca="false">IF(J2527=1,0,Inputs!$B$11)</f>
        <v>100</v>
      </c>
      <c r="M2527" s="15" t="n">
        <f aca="false">IF(J2527=1,0,Inputs!$B$12)</f>
        <v>75</v>
      </c>
      <c r="N2527" s="15" t="n">
        <f aca="false">IF(J2527=1,0,IF(OR(AND(OR(B2527="SITE LOSS",B2527="REGION LOSS"),K2527=1),AND(B2527="ROLE COMPROMISE",H2527=C2527)),Inputs!$B$13,Inputs!$B$14))</f>
        <v>10</v>
      </c>
      <c r="O2527" s="15" t="n">
        <f aca="false">IF(J2527=1,0,Inputs!$B$13)</f>
        <v>20</v>
      </c>
      <c r="P2527" s="15" t="n">
        <f aca="false">SUM(M2527:N2527)</f>
        <v>85</v>
      </c>
      <c r="Q2527" s="15" t="n">
        <f aca="false">IF(J2527=1,"",L2527-P2527)</f>
        <v>15</v>
      </c>
      <c r="R2527" s="15" t="n">
        <f aca="false">IF(OR(J2527=1,M2527&lt;=Inputs!$B$12),1,0)</f>
        <v>1</v>
      </c>
      <c r="S2527" s="15" t="n">
        <f aca="false">IF(OR(J2527=1,N2527&lt;=O2527),1,0)</f>
        <v>1</v>
      </c>
      <c r="T2527" s="15" t="str">
        <f aca="false">IF(J2527=1,"OFFLINE",IF(AND(Q2527&gt;=Inputs!$B$15,R2527=1,S2527=1,P2527&lt;=L2527),"PASS","FAIL"))</f>
        <v>PASS</v>
      </c>
    </row>
    <row r="2528" customFormat="false" ht="15" hidden="false" customHeight="false" outlineLevel="0" collapsed="false">
      <c r="A2528" s="14" t="s">
        <v>1043</v>
      </c>
      <c r="B2528" s="14" t="s">
        <v>1038</v>
      </c>
      <c r="C2528" s="14" t="s">
        <v>172</v>
      </c>
      <c r="D2528" s="14" t="s">
        <v>174</v>
      </c>
      <c r="E2528" s="14" t="s">
        <v>152</v>
      </c>
      <c r="F2528" s="14" t="s">
        <v>175</v>
      </c>
      <c r="G2528" s="14" t="n">
        <v>1</v>
      </c>
      <c r="H2528" s="14" t="s">
        <v>154</v>
      </c>
      <c r="I2528" s="14" t="s">
        <v>892</v>
      </c>
      <c r="J2528" s="15" t="n">
        <f aca="false">IF(B2528="SITE LOSS",IF(D2528=C2528,1,0),IF(B2528="REGION LOSS",IF(E2528=C2528,1,0),0))</f>
        <v>0</v>
      </c>
      <c r="K2528" s="15" t="n">
        <f aca="false">IF(B2528="SITE LOSS",IF(COUNTIFS('Site Dockets'!$B$7:$B$24,C2528,'Site Dockets'!$C$7:$C$24,F2528)&gt;0,1,0),IF(B2528="REGION LOSS",IF(COUNTIFS('Site Dockets'!$E$7:$E$24,C2528,'Site Dockets'!$C$7:$C$24,F2528)&gt;0,1,0),0))</f>
        <v>0</v>
      </c>
      <c r="L2528" s="15" t="n">
        <f aca="false">IF(J2528=1,0,Inputs!$B$11)</f>
        <v>100</v>
      </c>
      <c r="M2528" s="15" t="n">
        <f aca="false">IF(J2528=1,0,Inputs!$B$12)</f>
        <v>75</v>
      </c>
      <c r="N2528" s="15" t="n">
        <f aca="false">IF(J2528=1,0,IF(OR(AND(OR(B2528="SITE LOSS",B2528="REGION LOSS"),K2528=1),AND(B2528="ROLE COMPROMISE",H2528=C2528)),Inputs!$B$13,Inputs!$B$14))</f>
        <v>10</v>
      </c>
      <c r="O2528" s="15" t="n">
        <f aca="false">IF(J2528=1,0,Inputs!$B$13)</f>
        <v>20</v>
      </c>
      <c r="P2528" s="15" t="n">
        <f aca="false">SUM(M2528:N2528)</f>
        <v>85</v>
      </c>
      <c r="Q2528" s="15" t="n">
        <f aca="false">IF(J2528=1,"",L2528-P2528)</f>
        <v>15</v>
      </c>
      <c r="R2528" s="15" t="n">
        <f aca="false">IF(OR(J2528=1,M2528&lt;=Inputs!$B$12),1,0)</f>
        <v>1</v>
      </c>
      <c r="S2528" s="15" t="n">
        <f aca="false">IF(OR(J2528=1,N2528&lt;=O2528),1,0)</f>
        <v>1</v>
      </c>
      <c r="T2528" s="15" t="str">
        <f aca="false">IF(J2528=1,"OFFLINE",IF(AND(Q2528&gt;=Inputs!$B$15,R2528=1,S2528=1,P2528&lt;=L2528),"PASS","FAIL"))</f>
        <v>PASS</v>
      </c>
    </row>
    <row r="2529" customFormat="false" ht="15" hidden="false" customHeight="false" outlineLevel="0" collapsed="false">
      <c r="A2529" s="14" t="s">
        <v>1043</v>
      </c>
      <c r="B2529" s="14" t="s">
        <v>1038</v>
      </c>
      <c r="C2529" s="14" t="s">
        <v>172</v>
      </c>
      <c r="D2529" s="14" t="s">
        <v>174</v>
      </c>
      <c r="E2529" s="14" t="s">
        <v>152</v>
      </c>
      <c r="F2529" s="14" t="s">
        <v>175</v>
      </c>
      <c r="G2529" s="14" t="n">
        <v>1</v>
      </c>
      <c r="H2529" s="14" t="s">
        <v>154</v>
      </c>
      <c r="I2529" s="14" t="s">
        <v>811</v>
      </c>
      <c r="J2529" s="15" t="n">
        <f aca="false">IF(B2529="SITE LOSS",IF(D2529=C2529,1,0),IF(B2529="REGION LOSS",IF(E2529=C2529,1,0),0))</f>
        <v>0</v>
      </c>
      <c r="K2529" s="15" t="n">
        <f aca="false">IF(B2529="SITE LOSS",IF(COUNTIFS('Site Dockets'!$B$7:$B$24,C2529,'Site Dockets'!$C$7:$C$24,F2529)&gt;0,1,0),IF(B2529="REGION LOSS",IF(COUNTIFS('Site Dockets'!$E$7:$E$24,C2529,'Site Dockets'!$C$7:$C$24,F2529)&gt;0,1,0),0))</f>
        <v>0</v>
      </c>
      <c r="L2529" s="15" t="n">
        <f aca="false">IF(J2529=1,0,Inputs!$B$11)</f>
        <v>100</v>
      </c>
      <c r="M2529" s="15" t="n">
        <f aca="false">IF(J2529=1,0,Inputs!$B$12)</f>
        <v>75</v>
      </c>
      <c r="N2529" s="15" t="n">
        <f aca="false">IF(J2529=1,0,IF(OR(AND(OR(B2529="SITE LOSS",B2529="REGION LOSS"),K2529=1),AND(B2529="ROLE COMPROMISE",H2529=C2529)),Inputs!$B$13,Inputs!$B$14))</f>
        <v>10</v>
      </c>
      <c r="O2529" s="15" t="n">
        <f aca="false">IF(J2529=1,0,Inputs!$B$13)</f>
        <v>20</v>
      </c>
      <c r="P2529" s="15" t="n">
        <f aca="false">SUM(M2529:N2529)</f>
        <v>85</v>
      </c>
      <c r="Q2529" s="15" t="n">
        <f aca="false">IF(J2529=1,"",L2529-P2529)</f>
        <v>15</v>
      </c>
      <c r="R2529" s="15" t="n">
        <f aca="false">IF(OR(J2529=1,M2529&lt;=Inputs!$B$12),1,0)</f>
        <v>1</v>
      </c>
      <c r="S2529" s="15" t="n">
        <f aca="false">IF(OR(J2529=1,N2529&lt;=O2529),1,0)</f>
        <v>1</v>
      </c>
      <c r="T2529" s="15" t="str">
        <f aca="false">IF(J2529=1,"OFFLINE",IF(AND(Q2529&gt;=Inputs!$B$15,R2529=1,S2529=1,P2529&lt;=L2529),"PASS","FAIL"))</f>
        <v>PASS</v>
      </c>
    </row>
    <row r="2530" customFormat="false" ht="15" hidden="false" customHeight="false" outlineLevel="0" collapsed="false">
      <c r="A2530" s="14" t="s">
        <v>1043</v>
      </c>
      <c r="B2530" s="14" t="s">
        <v>1038</v>
      </c>
      <c r="C2530" s="14" t="s">
        <v>172</v>
      </c>
      <c r="D2530" s="14" t="s">
        <v>174</v>
      </c>
      <c r="E2530" s="14" t="s">
        <v>152</v>
      </c>
      <c r="F2530" s="14" t="s">
        <v>175</v>
      </c>
      <c r="G2530" s="14" t="n">
        <v>1</v>
      </c>
      <c r="H2530" s="14" t="s">
        <v>154</v>
      </c>
      <c r="I2530" s="14" t="s">
        <v>895</v>
      </c>
      <c r="J2530" s="15" t="n">
        <f aca="false">IF(B2530="SITE LOSS",IF(D2530=C2530,1,0),IF(B2530="REGION LOSS",IF(E2530=C2530,1,0),0))</f>
        <v>0</v>
      </c>
      <c r="K2530" s="15" t="n">
        <f aca="false">IF(B2530="SITE LOSS",IF(COUNTIFS('Site Dockets'!$B$7:$B$24,C2530,'Site Dockets'!$C$7:$C$24,F2530)&gt;0,1,0),IF(B2530="REGION LOSS",IF(COUNTIFS('Site Dockets'!$E$7:$E$24,C2530,'Site Dockets'!$C$7:$C$24,F2530)&gt;0,1,0),0))</f>
        <v>0</v>
      </c>
      <c r="L2530" s="15" t="n">
        <f aca="false">IF(J2530=1,0,Inputs!$B$11)</f>
        <v>100</v>
      </c>
      <c r="M2530" s="15" t="n">
        <f aca="false">IF(J2530=1,0,Inputs!$B$12)</f>
        <v>75</v>
      </c>
      <c r="N2530" s="15" t="n">
        <f aca="false">IF(J2530=1,0,IF(OR(AND(OR(B2530="SITE LOSS",B2530="REGION LOSS"),K2530=1),AND(B2530="ROLE COMPROMISE",H2530=C2530)),Inputs!$B$13,Inputs!$B$14))</f>
        <v>10</v>
      </c>
      <c r="O2530" s="15" t="n">
        <f aca="false">IF(J2530=1,0,Inputs!$B$13)</f>
        <v>20</v>
      </c>
      <c r="P2530" s="15" t="n">
        <f aca="false">SUM(M2530:N2530)</f>
        <v>85</v>
      </c>
      <c r="Q2530" s="15" t="n">
        <f aca="false">IF(J2530=1,"",L2530-P2530)</f>
        <v>15</v>
      </c>
      <c r="R2530" s="15" t="n">
        <f aca="false">IF(OR(J2530=1,M2530&lt;=Inputs!$B$12),1,0)</f>
        <v>1</v>
      </c>
      <c r="S2530" s="15" t="n">
        <f aca="false">IF(OR(J2530=1,N2530&lt;=O2530),1,0)</f>
        <v>1</v>
      </c>
      <c r="T2530" s="15" t="str">
        <f aca="false">IF(J2530=1,"OFFLINE",IF(AND(Q2530&gt;=Inputs!$B$15,R2530=1,S2530=1,P2530&lt;=L2530),"PASS","FAIL"))</f>
        <v>PASS</v>
      </c>
    </row>
    <row r="2531" customFormat="false" ht="15" hidden="false" customHeight="false" outlineLevel="0" collapsed="false">
      <c r="A2531" s="14" t="s">
        <v>1043</v>
      </c>
      <c r="B2531" s="14" t="s">
        <v>1038</v>
      </c>
      <c r="C2531" s="14" t="s">
        <v>172</v>
      </c>
      <c r="D2531" s="14" t="s">
        <v>174</v>
      </c>
      <c r="E2531" s="14" t="s">
        <v>152</v>
      </c>
      <c r="F2531" s="14" t="s">
        <v>175</v>
      </c>
      <c r="G2531" s="14" t="n">
        <v>1</v>
      </c>
      <c r="H2531" s="14" t="s">
        <v>154</v>
      </c>
      <c r="I2531" s="14" t="s">
        <v>897</v>
      </c>
      <c r="J2531" s="15" t="n">
        <f aca="false">IF(B2531="SITE LOSS",IF(D2531=C2531,1,0),IF(B2531="REGION LOSS",IF(E2531=C2531,1,0),0))</f>
        <v>0</v>
      </c>
      <c r="K2531" s="15" t="n">
        <f aca="false">IF(B2531="SITE LOSS",IF(COUNTIFS('Site Dockets'!$B$7:$B$24,C2531,'Site Dockets'!$C$7:$C$24,F2531)&gt;0,1,0),IF(B2531="REGION LOSS",IF(COUNTIFS('Site Dockets'!$E$7:$E$24,C2531,'Site Dockets'!$C$7:$C$24,F2531)&gt;0,1,0),0))</f>
        <v>0</v>
      </c>
      <c r="L2531" s="15" t="n">
        <f aca="false">IF(J2531=1,0,Inputs!$B$11)</f>
        <v>100</v>
      </c>
      <c r="M2531" s="15" t="n">
        <f aca="false">IF(J2531=1,0,Inputs!$B$12)</f>
        <v>75</v>
      </c>
      <c r="N2531" s="15" t="n">
        <f aca="false">IF(J2531=1,0,IF(OR(AND(OR(B2531="SITE LOSS",B2531="REGION LOSS"),K2531=1),AND(B2531="ROLE COMPROMISE",H2531=C2531)),Inputs!$B$13,Inputs!$B$14))</f>
        <v>10</v>
      </c>
      <c r="O2531" s="15" t="n">
        <f aca="false">IF(J2531=1,0,Inputs!$B$13)</f>
        <v>20</v>
      </c>
      <c r="P2531" s="15" t="n">
        <f aca="false">SUM(M2531:N2531)</f>
        <v>85</v>
      </c>
      <c r="Q2531" s="15" t="n">
        <f aca="false">IF(J2531=1,"",L2531-P2531)</f>
        <v>15</v>
      </c>
      <c r="R2531" s="15" t="n">
        <f aca="false">IF(OR(J2531=1,M2531&lt;=Inputs!$B$12),1,0)</f>
        <v>1</v>
      </c>
      <c r="S2531" s="15" t="n">
        <f aca="false">IF(OR(J2531=1,N2531&lt;=O2531),1,0)</f>
        <v>1</v>
      </c>
      <c r="T2531" s="15" t="str">
        <f aca="false">IF(J2531=1,"OFFLINE",IF(AND(Q2531&gt;=Inputs!$B$15,R2531=1,S2531=1,P2531&lt;=L2531),"PASS","FAIL"))</f>
        <v>PASS</v>
      </c>
    </row>
    <row r="2532" customFormat="false" ht="15" hidden="false" customHeight="false" outlineLevel="0" collapsed="false">
      <c r="A2532" s="14" t="s">
        <v>1043</v>
      </c>
      <c r="B2532" s="14" t="s">
        <v>1038</v>
      </c>
      <c r="C2532" s="14" t="s">
        <v>172</v>
      </c>
      <c r="D2532" s="14" t="s">
        <v>174</v>
      </c>
      <c r="E2532" s="14" t="s">
        <v>152</v>
      </c>
      <c r="F2532" s="14" t="s">
        <v>175</v>
      </c>
      <c r="G2532" s="14" t="n">
        <v>1</v>
      </c>
      <c r="H2532" s="14" t="s">
        <v>154</v>
      </c>
      <c r="I2532" s="14" t="s">
        <v>899</v>
      </c>
      <c r="J2532" s="15" t="n">
        <f aca="false">IF(B2532="SITE LOSS",IF(D2532=C2532,1,0),IF(B2532="REGION LOSS",IF(E2532=C2532,1,0),0))</f>
        <v>0</v>
      </c>
      <c r="K2532" s="15" t="n">
        <f aca="false">IF(B2532="SITE LOSS",IF(COUNTIFS('Site Dockets'!$B$7:$B$24,C2532,'Site Dockets'!$C$7:$C$24,F2532)&gt;0,1,0),IF(B2532="REGION LOSS",IF(COUNTIFS('Site Dockets'!$E$7:$E$24,C2532,'Site Dockets'!$C$7:$C$24,F2532)&gt;0,1,0),0))</f>
        <v>0</v>
      </c>
      <c r="L2532" s="15" t="n">
        <f aca="false">IF(J2532=1,0,Inputs!$B$11)</f>
        <v>100</v>
      </c>
      <c r="M2532" s="15" t="n">
        <f aca="false">IF(J2532=1,0,Inputs!$B$12)</f>
        <v>75</v>
      </c>
      <c r="N2532" s="15" t="n">
        <f aca="false">IF(J2532=1,0,IF(OR(AND(OR(B2532="SITE LOSS",B2532="REGION LOSS"),K2532=1),AND(B2532="ROLE COMPROMISE",H2532=C2532)),Inputs!$B$13,Inputs!$B$14))</f>
        <v>10</v>
      </c>
      <c r="O2532" s="15" t="n">
        <f aca="false">IF(J2532=1,0,Inputs!$B$13)</f>
        <v>20</v>
      </c>
      <c r="P2532" s="15" t="n">
        <f aca="false">SUM(M2532:N2532)</f>
        <v>85</v>
      </c>
      <c r="Q2532" s="15" t="n">
        <f aca="false">IF(J2532=1,"",L2532-P2532)</f>
        <v>15</v>
      </c>
      <c r="R2532" s="15" t="n">
        <f aca="false">IF(OR(J2532=1,M2532&lt;=Inputs!$B$12),1,0)</f>
        <v>1</v>
      </c>
      <c r="S2532" s="15" t="n">
        <f aca="false">IF(OR(J2532=1,N2532&lt;=O2532),1,0)</f>
        <v>1</v>
      </c>
      <c r="T2532" s="15" t="str">
        <f aca="false">IF(J2532=1,"OFFLINE",IF(AND(Q2532&gt;=Inputs!$B$15,R2532=1,S2532=1,P2532&lt;=L2532),"PASS","FAIL"))</f>
        <v>PASS</v>
      </c>
    </row>
    <row r="2533" customFormat="false" ht="15" hidden="false" customHeight="false" outlineLevel="0" collapsed="false">
      <c r="A2533" s="14" t="s">
        <v>1043</v>
      </c>
      <c r="B2533" s="14" t="s">
        <v>1038</v>
      </c>
      <c r="C2533" s="14" t="s">
        <v>172</v>
      </c>
      <c r="D2533" s="14" t="s">
        <v>178</v>
      </c>
      <c r="E2533" s="14" t="s">
        <v>169</v>
      </c>
      <c r="F2533" s="14" t="s">
        <v>175</v>
      </c>
      <c r="G2533" s="14" t="n">
        <v>2</v>
      </c>
      <c r="H2533" s="14" t="s">
        <v>153</v>
      </c>
      <c r="I2533" s="14" t="s">
        <v>890</v>
      </c>
      <c r="J2533" s="15" t="n">
        <f aca="false">IF(B2533="SITE LOSS",IF(D2533=C2533,1,0),IF(B2533="REGION LOSS",IF(E2533=C2533,1,0),0))</f>
        <v>0</v>
      </c>
      <c r="K2533" s="15" t="n">
        <f aca="false">IF(B2533="SITE LOSS",IF(COUNTIFS('Site Dockets'!$B$7:$B$24,C2533,'Site Dockets'!$C$7:$C$24,F2533)&gt;0,1,0),IF(B2533="REGION LOSS",IF(COUNTIFS('Site Dockets'!$E$7:$E$24,C2533,'Site Dockets'!$C$7:$C$24,F2533)&gt;0,1,0),0))</f>
        <v>0</v>
      </c>
      <c r="L2533" s="15" t="n">
        <f aca="false">IF(J2533=1,0,Inputs!$B$11)</f>
        <v>100</v>
      </c>
      <c r="M2533" s="15" t="n">
        <f aca="false">IF(J2533=1,0,Inputs!$B$12)</f>
        <v>75</v>
      </c>
      <c r="N2533" s="15" t="n">
        <f aca="false">IF(J2533=1,0,IF(OR(AND(OR(B2533="SITE LOSS",B2533="REGION LOSS"),K2533=1),AND(B2533="ROLE COMPROMISE",H2533=C2533)),Inputs!$B$13,Inputs!$B$14))</f>
        <v>10</v>
      </c>
      <c r="O2533" s="15" t="n">
        <f aca="false">IF(J2533=1,0,Inputs!$B$13)</f>
        <v>20</v>
      </c>
      <c r="P2533" s="15" t="n">
        <f aca="false">SUM(M2533:N2533)</f>
        <v>85</v>
      </c>
      <c r="Q2533" s="15" t="n">
        <f aca="false">IF(J2533=1,"",L2533-P2533)</f>
        <v>15</v>
      </c>
      <c r="R2533" s="15" t="n">
        <f aca="false">IF(OR(J2533=1,M2533&lt;=Inputs!$B$12),1,0)</f>
        <v>1</v>
      </c>
      <c r="S2533" s="15" t="n">
        <f aca="false">IF(OR(J2533=1,N2533&lt;=O2533),1,0)</f>
        <v>1</v>
      </c>
      <c r="T2533" s="15" t="str">
        <f aca="false">IF(J2533=1,"OFFLINE",IF(AND(Q2533&gt;=Inputs!$B$15,R2533=1,S2533=1,P2533&lt;=L2533),"PASS","FAIL"))</f>
        <v>PASS</v>
      </c>
    </row>
    <row r="2534" customFormat="false" ht="15" hidden="false" customHeight="false" outlineLevel="0" collapsed="false">
      <c r="A2534" s="14" t="s">
        <v>1043</v>
      </c>
      <c r="B2534" s="14" t="s">
        <v>1038</v>
      </c>
      <c r="C2534" s="14" t="s">
        <v>172</v>
      </c>
      <c r="D2534" s="14" t="s">
        <v>178</v>
      </c>
      <c r="E2534" s="14" t="s">
        <v>169</v>
      </c>
      <c r="F2534" s="14" t="s">
        <v>175</v>
      </c>
      <c r="G2534" s="14" t="n">
        <v>2</v>
      </c>
      <c r="H2534" s="14" t="s">
        <v>153</v>
      </c>
      <c r="I2534" s="14" t="s">
        <v>892</v>
      </c>
      <c r="J2534" s="15" t="n">
        <f aca="false">IF(B2534="SITE LOSS",IF(D2534=C2534,1,0),IF(B2534="REGION LOSS",IF(E2534=C2534,1,0),0))</f>
        <v>0</v>
      </c>
      <c r="K2534" s="15" t="n">
        <f aca="false">IF(B2534="SITE LOSS",IF(COUNTIFS('Site Dockets'!$B$7:$B$24,C2534,'Site Dockets'!$C$7:$C$24,F2534)&gt;0,1,0),IF(B2534="REGION LOSS",IF(COUNTIFS('Site Dockets'!$E$7:$E$24,C2534,'Site Dockets'!$C$7:$C$24,F2534)&gt;0,1,0),0))</f>
        <v>0</v>
      </c>
      <c r="L2534" s="15" t="n">
        <f aca="false">IF(J2534=1,0,Inputs!$B$11)</f>
        <v>100</v>
      </c>
      <c r="M2534" s="15" t="n">
        <f aca="false">IF(J2534=1,0,Inputs!$B$12)</f>
        <v>75</v>
      </c>
      <c r="N2534" s="15" t="n">
        <f aca="false">IF(J2534=1,0,IF(OR(AND(OR(B2534="SITE LOSS",B2534="REGION LOSS"),K2534=1),AND(B2534="ROLE COMPROMISE",H2534=C2534)),Inputs!$B$13,Inputs!$B$14))</f>
        <v>10</v>
      </c>
      <c r="O2534" s="15" t="n">
        <f aca="false">IF(J2534=1,0,Inputs!$B$13)</f>
        <v>20</v>
      </c>
      <c r="P2534" s="15" t="n">
        <f aca="false">SUM(M2534:N2534)</f>
        <v>85</v>
      </c>
      <c r="Q2534" s="15" t="n">
        <f aca="false">IF(J2534=1,"",L2534-P2534)</f>
        <v>15</v>
      </c>
      <c r="R2534" s="15" t="n">
        <f aca="false">IF(OR(J2534=1,M2534&lt;=Inputs!$B$12),1,0)</f>
        <v>1</v>
      </c>
      <c r="S2534" s="15" t="n">
        <f aca="false">IF(OR(J2534=1,N2534&lt;=O2534),1,0)</f>
        <v>1</v>
      </c>
      <c r="T2534" s="15" t="str">
        <f aca="false">IF(J2534=1,"OFFLINE",IF(AND(Q2534&gt;=Inputs!$B$15,R2534=1,S2534=1,P2534&lt;=L2534),"PASS","FAIL"))</f>
        <v>PASS</v>
      </c>
    </row>
    <row r="2535" customFormat="false" ht="15" hidden="false" customHeight="false" outlineLevel="0" collapsed="false">
      <c r="A2535" s="14" t="s">
        <v>1043</v>
      </c>
      <c r="B2535" s="14" t="s">
        <v>1038</v>
      </c>
      <c r="C2535" s="14" t="s">
        <v>172</v>
      </c>
      <c r="D2535" s="14" t="s">
        <v>178</v>
      </c>
      <c r="E2535" s="14" t="s">
        <v>169</v>
      </c>
      <c r="F2535" s="14" t="s">
        <v>175</v>
      </c>
      <c r="G2535" s="14" t="n">
        <v>2</v>
      </c>
      <c r="H2535" s="14" t="s">
        <v>153</v>
      </c>
      <c r="I2535" s="14" t="s">
        <v>811</v>
      </c>
      <c r="J2535" s="15" t="n">
        <f aca="false">IF(B2535="SITE LOSS",IF(D2535=C2535,1,0),IF(B2535="REGION LOSS",IF(E2535=C2535,1,0),0))</f>
        <v>0</v>
      </c>
      <c r="K2535" s="15" t="n">
        <f aca="false">IF(B2535="SITE LOSS",IF(COUNTIFS('Site Dockets'!$B$7:$B$24,C2535,'Site Dockets'!$C$7:$C$24,F2535)&gt;0,1,0),IF(B2535="REGION LOSS",IF(COUNTIFS('Site Dockets'!$E$7:$E$24,C2535,'Site Dockets'!$C$7:$C$24,F2535)&gt;0,1,0),0))</f>
        <v>0</v>
      </c>
      <c r="L2535" s="15" t="n">
        <f aca="false">IF(J2535=1,0,Inputs!$B$11)</f>
        <v>100</v>
      </c>
      <c r="M2535" s="15" t="n">
        <f aca="false">IF(J2535=1,0,Inputs!$B$12)</f>
        <v>75</v>
      </c>
      <c r="N2535" s="15" t="n">
        <f aca="false">IF(J2535=1,0,IF(OR(AND(OR(B2535="SITE LOSS",B2535="REGION LOSS"),K2535=1),AND(B2535="ROLE COMPROMISE",H2535=C2535)),Inputs!$B$13,Inputs!$B$14))</f>
        <v>10</v>
      </c>
      <c r="O2535" s="15" t="n">
        <f aca="false">IF(J2535=1,0,Inputs!$B$13)</f>
        <v>20</v>
      </c>
      <c r="P2535" s="15" t="n">
        <f aca="false">SUM(M2535:N2535)</f>
        <v>85</v>
      </c>
      <c r="Q2535" s="15" t="n">
        <f aca="false">IF(J2535=1,"",L2535-P2535)</f>
        <v>15</v>
      </c>
      <c r="R2535" s="15" t="n">
        <f aca="false">IF(OR(J2535=1,M2535&lt;=Inputs!$B$12),1,0)</f>
        <v>1</v>
      </c>
      <c r="S2535" s="15" t="n">
        <f aca="false">IF(OR(J2535=1,N2535&lt;=O2535),1,0)</f>
        <v>1</v>
      </c>
      <c r="T2535" s="15" t="str">
        <f aca="false">IF(J2535=1,"OFFLINE",IF(AND(Q2535&gt;=Inputs!$B$15,R2535=1,S2535=1,P2535&lt;=L2535),"PASS","FAIL"))</f>
        <v>PASS</v>
      </c>
    </row>
    <row r="2536" customFormat="false" ht="15" hidden="false" customHeight="false" outlineLevel="0" collapsed="false">
      <c r="A2536" s="14" t="s">
        <v>1043</v>
      </c>
      <c r="B2536" s="14" t="s">
        <v>1038</v>
      </c>
      <c r="C2536" s="14" t="s">
        <v>172</v>
      </c>
      <c r="D2536" s="14" t="s">
        <v>178</v>
      </c>
      <c r="E2536" s="14" t="s">
        <v>169</v>
      </c>
      <c r="F2536" s="14" t="s">
        <v>175</v>
      </c>
      <c r="G2536" s="14" t="n">
        <v>2</v>
      </c>
      <c r="H2536" s="14" t="s">
        <v>153</v>
      </c>
      <c r="I2536" s="14" t="s">
        <v>895</v>
      </c>
      <c r="J2536" s="15" t="n">
        <f aca="false">IF(B2536="SITE LOSS",IF(D2536=C2536,1,0),IF(B2536="REGION LOSS",IF(E2536=C2536,1,0),0))</f>
        <v>0</v>
      </c>
      <c r="K2536" s="15" t="n">
        <f aca="false">IF(B2536="SITE LOSS",IF(COUNTIFS('Site Dockets'!$B$7:$B$24,C2536,'Site Dockets'!$C$7:$C$24,F2536)&gt;0,1,0),IF(B2536="REGION LOSS",IF(COUNTIFS('Site Dockets'!$E$7:$E$24,C2536,'Site Dockets'!$C$7:$C$24,F2536)&gt;0,1,0),0))</f>
        <v>0</v>
      </c>
      <c r="L2536" s="15" t="n">
        <f aca="false">IF(J2536=1,0,Inputs!$B$11)</f>
        <v>100</v>
      </c>
      <c r="M2536" s="15" t="n">
        <f aca="false">IF(J2536=1,0,Inputs!$B$12)</f>
        <v>75</v>
      </c>
      <c r="N2536" s="15" t="n">
        <f aca="false">IF(J2536=1,0,IF(OR(AND(OR(B2536="SITE LOSS",B2536="REGION LOSS"),K2536=1),AND(B2536="ROLE COMPROMISE",H2536=C2536)),Inputs!$B$13,Inputs!$B$14))</f>
        <v>10</v>
      </c>
      <c r="O2536" s="15" t="n">
        <f aca="false">IF(J2536=1,0,Inputs!$B$13)</f>
        <v>20</v>
      </c>
      <c r="P2536" s="15" t="n">
        <f aca="false">SUM(M2536:N2536)</f>
        <v>85</v>
      </c>
      <c r="Q2536" s="15" t="n">
        <f aca="false">IF(J2536=1,"",L2536-P2536)</f>
        <v>15</v>
      </c>
      <c r="R2536" s="15" t="n">
        <f aca="false">IF(OR(J2536=1,M2536&lt;=Inputs!$B$12),1,0)</f>
        <v>1</v>
      </c>
      <c r="S2536" s="15" t="n">
        <f aca="false">IF(OR(J2536=1,N2536&lt;=O2536),1,0)</f>
        <v>1</v>
      </c>
      <c r="T2536" s="15" t="str">
        <f aca="false">IF(J2536=1,"OFFLINE",IF(AND(Q2536&gt;=Inputs!$B$15,R2536=1,S2536=1,P2536&lt;=L2536),"PASS","FAIL"))</f>
        <v>PASS</v>
      </c>
    </row>
    <row r="2537" customFormat="false" ht="15" hidden="false" customHeight="false" outlineLevel="0" collapsed="false">
      <c r="A2537" s="14" t="s">
        <v>1043</v>
      </c>
      <c r="B2537" s="14" t="s">
        <v>1038</v>
      </c>
      <c r="C2537" s="14" t="s">
        <v>172</v>
      </c>
      <c r="D2537" s="14" t="s">
        <v>178</v>
      </c>
      <c r="E2537" s="14" t="s">
        <v>169</v>
      </c>
      <c r="F2537" s="14" t="s">
        <v>175</v>
      </c>
      <c r="G2537" s="14" t="n">
        <v>2</v>
      </c>
      <c r="H2537" s="14" t="s">
        <v>153</v>
      </c>
      <c r="I2537" s="14" t="s">
        <v>897</v>
      </c>
      <c r="J2537" s="15" t="n">
        <f aca="false">IF(B2537="SITE LOSS",IF(D2537=C2537,1,0),IF(B2537="REGION LOSS",IF(E2537=C2537,1,0),0))</f>
        <v>0</v>
      </c>
      <c r="K2537" s="15" t="n">
        <f aca="false">IF(B2537="SITE LOSS",IF(COUNTIFS('Site Dockets'!$B$7:$B$24,C2537,'Site Dockets'!$C$7:$C$24,F2537)&gt;0,1,0),IF(B2537="REGION LOSS",IF(COUNTIFS('Site Dockets'!$E$7:$E$24,C2537,'Site Dockets'!$C$7:$C$24,F2537)&gt;0,1,0),0))</f>
        <v>0</v>
      </c>
      <c r="L2537" s="15" t="n">
        <f aca="false">IF(J2537=1,0,Inputs!$B$11)</f>
        <v>100</v>
      </c>
      <c r="M2537" s="15" t="n">
        <f aca="false">IF(J2537=1,0,Inputs!$B$12)</f>
        <v>75</v>
      </c>
      <c r="N2537" s="15" t="n">
        <f aca="false">IF(J2537=1,0,IF(OR(AND(OR(B2537="SITE LOSS",B2537="REGION LOSS"),K2537=1),AND(B2537="ROLE COMPROMISE",H2537=C2537)),Inputs!$B$13,Inputs!$B$14))</f>
        <v>10</v>
      </c>
      <c r="O2537" s="15" t="n">
        <f aca="false">IF(J2537=1,0,Inputs!$B$13)</f>
        <v>20</v>
      </c>
      <c r="P2537" s="15" t="n">
        <f aca="false">SUM(M2537:N2537)</f>
        <v>85</v>
      </c>
      <c r="Q2537" s="15" t="n">
        <f aca="false">IF(J2537=1,"",L2537-P2537)</f>
        <v>15</v>
      </c>
      <c r="R2537" s="15" t="n">
        <f aca="false">IF(OR(J2537=1,M2537&lt;=Inputs!$B$12),1,0)</f>
        <v>1</v>
      </c>
      <c r="S2537" s="15" t="n">
        <f aca="false">IF(OR(J2537=1,N2537&lt;=O2537),1,0)</f>
        <v>1</v>
      </c>
      <c r="T2537" s="15" t="str">
        <f aca="false">IF(J2537=1,"OFFLINE",IF(AND(Q2537&gt;=Inputs!$B$15,R2537=1,S2537=1,P2537&lt;=L2537),"PASS","FAIL"))</f>
        <v>PASS</v>
      </c>
    </row>
    <row r="2538" customFormat="false" ht="15" hidden="false" customHeight="false" outlineLevel="0" collapsed="false">
      <c r="A2538" s="14" t="s">
        <v>1043</v>
      </c>
      <c r="B2538" s="14" t="s">
        <v>1038</v>
      </c>
      <c r="C2538" s="14" t="s">
        <v>172</v>
      </c>
      <c r="D2538" s="14" t="s">
        <v>178</v>
      </c>
      <c r="E2538" s="14" t="s">
        <v>169</v>
      </c>
      <c r="F2538" s="14" t="s">
        <v>175</v>
      </c>
      <c r="G2538" s="14" t="n">
        <v>2</v>
      </c>
      <c r="H2538" s="14" t="s">
        <v>153</v>
      </c>
      <c r="I2538" s="14" t="s">
        <v>899</v>
      </c>
      <c r="J2538" s="15" t="n">
        <f aca="false">IF(B2538="SITE LOSS",IF(D2538=C2538,1,0),IF(B2538="REGION LOSS",IF(E2538=C2538,1,0),0))</f>
        <v>0</v>
      </c>
      <c r="K2538" s="15" t="n">
        <f aca="false">IF(B2538="SITE LOSS",IF(COUNTIFS('Site Dockets'!$B$7:$B$24,C2538,'Site Dockets'!$C$7:$C$24,F2538)&gt;0,1,0),IF(B2538="REGION LOSS",IF(COUNTIFS('Site Dockets'!$E$7:$E$24,C2538,'Site Dockets'!$C$7:$C$24,F2538)&gt;0,1,0),0))</f>
        <v>0</v>
      </c>
      <c r="L2538" s="15" t="n">
        <f aca="false">IF(J2538=1,0,Inputs!$B$11)</f>
        <v>100</v>
      </c>
      <c r="M2538" s="15" t="n">
        <f aca="false">IF(J2538=1,0,Inputs!$B$12)</f>
        <v>75</v>
      </c>
      <c r="N2538" s="15" t="n">
        <f aca="false">IF(J2538=1,0,IF(OR(AND(OR(B2538="SITE LOSS",B2538="REGION LOSS"),K2538=1),AND(B2538="ROLE COMPROMISE",H2538=C2538)),Inputs!$B$13,Inputs!$B$14))</f>
        <v>10</v>
      </c>
      <c r="O2538" s="15" t="n">
        <f aca="false">IF(J2538=1,0,Inputs!$B$13)</f>
        <v>20</v>
      </c>
      <c r="P2538" s="15" t="n">
        <f aca="false">SUM(M2538:N2538)</f>
        <v>85</v>
      </c>
      <c r="Q2538" s="15" t="n">
        <f aca="false">IF(J2538=1,"",L2538-P2538)</f>
        <v>15</v>
      </c>
      <c r="R2538" s="15" t="n">
        <f aca="false">IF(OR(J2538=1,M2538&lt;=Inputs!$B$12),1,0)</f>
        <v>1</v>
      </c>
      <c r="S2538" s="15" t="n">
        <f aca="false">IF(OR(J2538=1,N2538&lt;=O2538),1,0)</f>
        <v>1</v>
      </c>
      <c r="T2538" s="15" t="str">
        <f aca="false">IF(J2538=1,"OFFLINE",IF(AND(Q2538&gt;=Inputs!$B$15,R2538=1,S2538=1,P2538&lt;=L2538),"PASS","FAIL"))</f>
        <v>PASS</v>
      </c>
    </row>
    <row r="2539" customFormat="false" ht="15" hidden="false" customHeight="false" outlineLevel="0" collapsed="false">
      <c r="A2539" s="14" t="s">
        <v>1043</v>
      </c>
      <c r="B2539" s="14" t="s">
        <v>1038</v>
      </c>
      <c r="C2539" s="14" t="s">
        <v>172</v>
      </c>
      <c r="D2539" s="14" t="s">
        <v>180</v>
      </c>
      <c r="E2539" s="14" t="s">
        <v>161</v>
      </c>
      <c r="F2539" s="14" t="s">
        <v>175</v>
      </c>
      <c r="G2539" s="14" t="n">
        <v>3</v>
      </c>
      <c r="H2539" s="14" t="s">
        <v>158</v>
      </c>
      <c r="I2539" s="14" t="s">
        <v>890</v>
      </c>
      <c r="J2539" s="15" t="n">
        <f aca="false">IF(B2539="SITE LOSS",IF(D2539=C2539,1,0),IF(B2539="REGION LOSS",IF(E2539=C2539,1,0),0))</f>
        <v>0</v>
      </c>
      <c r="K2539" s="15" t="n">
        <f aca="false">IF(B2539="SITE LOSS",IF(COUNTIFS('Site Dockets'!$B$7:$B$24,C2539,'Site Dockets'!$C$7:$C$24,F2539)&gt;0,1,0),IF(B2539="REGION LOSS",IF(COUNTIFS('Site Dockets'!$E$7:$E$24,C2539,'Site Dockets'!$C$7:$C$24,F2539)&gt;0,1,0),0))</f>
        <v>0</v>
      </c>
      <c r="L2539" s="15" t="n">
        <f aca="false">IF(J2539=1,0,Inputs!$B$11)</f>
        <v>100</v>
      </c>
      <c r="M2539" s="15" t="n">
        <f aca="false">IF(J2539=1,0,Inputs!$B$12)</f>
        <v>75</v>
      </c>
      <c r="N2539" s="15" t="n">
        <f aca="false">IF(J2539=1,0,IF(OR(AND(OR(B2539="SITE LOSS",B2539="REGION LOSS"),K2539=1),AND(B2539="ROLE COMPROMISE",H2539=C2539)),Inputs!$B$13,Inputs!$B$14))</f>
        <v>10</v>
      </c>
      <c r="O2539" s="15" t="n">
        <f aca="false">IF(J2539=1,0,Inputs!$B$13)</f>
        <v>20</v>
      </c>
      <c r="P2539" s="15" t="n">
        <f aca="false">SUM(M2539:N2539)</f>
        <v>85</v>
      </c>
      <c r="Q2539" s="15" t="n">
        <f aca="false">IF(J2539=1,"",L2539-P2539)</f>
        <v>15</v>
      </c>
      <c r="R2539" s="15" t="n">
        <f aca="false">IF(OR(J2539=1,M2539&lt;=Inputs!$B$12),1,0)</f>
        <v>1</v>
      </c>
      <c r="S2539" s="15" t="n">
        <f aca="false">IF(OR(J2539=1,N2539&lt;=O2539),1,0)</f>
        <v>1</v>
      </c>
      <c r="T2539" s="15" t="str">
        <f aca="false">IF(J2539=1,"OFFLINE",IF(AND(Q2539&gt;=Inputs!$B$15,R2539=1,S2539=1,P2539&lt;=L2539),"PASS","FAIL"))</f>
        <v>PASS</v>
      </c>
    </row>
    <row r="2540" customFormat="false" ht="15" hidden="false" customHeight="false" outlineLevel="0" collapsed="false">
      <c r="A2540" s="14" t="s">
        <v>1043</v>
      </c>
      <c r="B2540" s="14" t="s">
        <v>1038</v>
      </c>
      <c r="C2540" s="14" t="s">
        <v>172</v>
      </c>
      <c r="D2540" s="14" t="s">
        <v>180</v>
      </c>
      <c r="E2540" s="14" t="s">
        <v>161</v>
      </c>
      <c r="F2540" s="14" t="s">
        <v>175</v>
      </c>
      <c r="G2540" s="14" t="n">
        <v>3</v>
      </c>
      <c r="H2540" s="14" t="s">
        <v>158</v>
      </c>
      <c r="I2540" s="14" t="s">
        <v>892</v>
      </c>
      <c r="J2540" s="15" t="n">
        <f aca="false">IF(B2540="SITE LOSS",IF(D2540=C2540,1,0),IF(B2540="REGION LOSS",IF(E2540=C2540,1,0),0))</f>
        <v>0</v>
      </c>
      <c r="K2540" s="15" t="n">
        <f aca="false">IF(B2540="SITE LOSS",IF(COUNTIFS('Site Dockets'!$B$7:$B$24,C2540,'Site Dockets'!$C$7:$C$24,F2540)&gt;0,1,0),IF(B2540="REGION LOSS",IF(COUNTIFS('Site Dockets'!$E$7:$E$24,C2540,'Site Dockets'!$C$7:$C$24,F2540)&gt;0,1,0),0))</f>
        <v>0</v>
      </c>
      <c r="L2540" s="15" t="n">
        <f aca="false">IF(J2540=1,0,Inputs!$B$11)</f>
        <v>100</v>
      </c>
      <c r="M2540" s="15" t="n">
        <f aca="false">IF(J2540=1,0,Inputs!$B$12)</f>
        <v>75</v>
      </c>
      <c r="N2540" s="15" t="n">
        <f aca="false">IF(J2540=1,0,IF(OR(AND(OR(B2540="SITE LOSS",B2540="REGION LOSS"),K2540=1),AND(B2540="ROLE COMPROMISE",H2540=C2540)),Inputs!$B$13,Inputs!$B$14))</f>
        <v>10</v>
      </c>
      <c r="O2540" s="15" t="n">
        <f aca="false">IF(J2540=1,0,Inputs!$B$13)</f>
        <v>20</v>
      </c>
      <c r="P2540" s="15" t="n">
        <f aca="false">SUM(M2540:N2540)</f>
        <v>85</v>
      </c>
      <c r="Q2540" s="15" t="n">
        <f aca="false">IF(J2540=1,"",L2540-P2540)</f>
        <v>15</v>
      </c>
      <c r="R2540" s="15" t="n">
        <f aca="false">IF(OR(J2540=1,M2540&lt;=Inputs!$B$12),1,0)</f>
        <v>1</v>
      </c>
      <c r="S2540" s="15" t="n">
        <f aca="false">IF(OR(J2540=1,N2540&lt;=O2540),1,0)</f>
        <v>1</v>
      </c>
      <c r="T2540" s="15" t="str">
        <f aca="false">IF(J2540=1,"OFFLINE",IF(AND(Q2540&gt;=Inputs!$B$15,R2540=1,S2540=1,P2540&lt;=L2540),"PASS","FAIL"))</f>
        <v>PASS</v>
      </c>
    </row>
    <row r="2541" customFormat="false" ht="15" hidden="false" customHeight="false" outlineLevel="0" collapsed="false">
      <c r="A2541" s="14" t="s">
        <v>1043</v>
      </c>
      <c r="B2541" s="14" t="s">
        <v>1038</v>
      </c>
      <c r="C2541" s="14" t="s">
        <v>172</v>
      </c>
      <c r="D2541" s="14" t="s">
        <v>180</v>
      </c>
      <c r="E2541" s="14" t="s">
        <v>161</v>
      </c>
      <c r="F2541" s="14" t="s">
        <v>175</v>
      </c>
      <c r="G2541" s="14" t="n">
        <v>3</v>
      </c>
      <c r="H2541" s="14" t="s">
        <v>158</v>
      </c>
      <c r="I2541" s="14" t="s">
        <v>811</v>
      </c>
      <c r="J2541" s="15" t="n">
        <f aca="false">IF(B2541="SITE LOSS",IF(D2541=C2541,1,0),IF(B2541="REGION LOSS",IF(E2541=C2541,1,0),0))</f>
        <v>0</v>
      </c>
      <c r="K2541" s="15" t="n">
        <f aca="false">IF(B2541="SITE LOSS",IF(COUNTIFS('Site Dockets'!$B$7:$B$24,C2541,'Site Dockets'!$C$7:$C$24,F2541)&gt;0,1,0),IF(B2541="REGION LOSS",IF(COUNTIFS('Site Dockets'!$E$7:$E$24,C2541,'Site Dockets'!$C$7:$C$24,F2541)&gt;0,1,0),0))</f>
        <v>0</v>
      </c>
      <c r="L2541" s="15" t="n">
        <f aca="false">IF(J2541=1,0,Inputs!$B$11)</f>
        <v>100</v>
      </c>
      <c r="M2541" s="15" t="n">
        <f aca="false">IF(J2541=1,0,Inputs!$B$12)</f>
        <v>75</v>
      </c>
      <c r="N2541" s="15" t="n">
        <f aca="false">IF(J2541=1,0,IF(OR(AND(OR(B2541="SITE LOSS",B2541="REGION LOSS"),K2541=1),AND(B2541="ROLE COMPROMISE",H2541=C2541)),Inputs!$B$13,Inputs!$B$14))</f>
        <v>10</v>
      </c>
      <c r="O2541" s="15" t="n">
        <f aca="false">IF(J2541=1,0,Inputs!$B$13)</f>
        <v>20</v>
      </c>
      <c r="P2541" s="15" t="n">
        <f aca="false">SUM(M2541:N2541)</f>
        <v>85</v>
      </c>
      <c r="Q2541" s="15" t="n">
        <f aca="false">IF(J2541=1,"",L2541-P2541)</f>
        <v>15</v>
      </c>
      <c r="R2541" s="15" t="n">
        <f aca="false">IF(OR(J2541=1,M2541&lt;=Inputs!$B$12),1,0)</f>
        <v>1</v>
      </c>
      <c r="S2541" s="15" t="n">
        <f aca="false">IF(OR(J2541=1,N2541&lt;=O2541),1,0)</f>
        <v>1</v>
      </c>
      <c r="T2541" s="15" t="str">
        <f aca="false">IF(J2541=1,"OFFLINE",IF(AND(Q2541&gt;=Inputs!$B$15,R2541=1,S2541=1,P2541&lt;=L2541),"PASS","FAIL"))</f>
        <v>PASS</v>
      </c>
    </row>
    <row r="2542" customFormat="false" ht="15" hidden="false" customHeight="false" outlineLevel="0" collapsed="false">
      <c r="A2542" s="14" t="s">
        <v>1043</v>
      </c>
      <c r="B2542" s="14" t="s">
        <v>1038</v>
      </c>
      <c r="C2542" s="14" t="s">
        <v>172</v>
      </c>
      <c r="D2542" s="14" t="s">
        <v>180</v>
      </c>
      <c r="E2542" s="14" t="s">
        <v>161</v>
      </c>
      <c r="F2542" s="14" t="s">
        <v>175</v>
      </c>
      <c r="G2542" s="14" t="n">
        <v>3</v>
      </c>
      <c r="H2542" s="14" t="s">
        <v>158</v>
      </c>
      <c r="I2542" s="14" t="s">
        <v>895</v>
      </c>
      <c r="J2542" s="15" t="n">
        <f aca="false">IF(B2542="SITE LOSS",IF(D2542=C2542,1,0),IF(B2542="REGION LOSS",IF(E2542=C2542,1,0),0))</f>
        <v>0</v>
      </c>
      <c r="K2542" s="15" t="n">
        <f aca="false">IF(B2542="SITE LOSS",IF(COUNTIFS('Site Dockets'!$B$7:$B$24,C2542,'Site Dockets'!$C$7:$C$24,F2542)&gt;0,1,0),IF(B2542="REGION LOSS",IF(COUNTIFS('Site Dockets'!$E$7:$E$24,C2542,'Site Dockets'!$C$7:$C$24,F2542)&gt;0,1,0),0))</f>
        <v>0</v>
      </c>
      <c r="L2542" s="15" t="n">
        <f aca="false">IF(J2542=1,0,Inputs!$B$11)</f>
        <v>100</v>
      </c>
      <c r="M2542" s="15" t="n">
        <f aca="false">IF(J2542=1,0,Inputs!$B$12)</f>
        <v>75</v>
      </c>
      <c r="N2542" s="15" t="n">
        <f aca="false">IF(J2542=1,0,IF(OR(AND(OR(B2542="SITE LOSS",B2542="REGION LOSS"),K2542=1),AND(B2542="ROLE COMPROMISE",H2542=C2542)),Inputs!$B$13,Inputs!$B$14))</f>
        <v>10</v>
      </c>
      <c r="O2542" s="15" t="n">
        <f aca="false">IF(J2542=1,0,Inputs!$B$13)</f>
        <v>20</v>
      </c>
      <c r="P2542" s="15" t="n">
        <f aca="false">SUM(M2542:N2542)</f>
        <v>85</v>
      </c>
      <c r="Q2542" s="15" t="n">
        <f aca="false">IF(J2542=1,"",L2542-P2542)</f>
        <v>15</v>
      </c>
      <c r="R2542" s="15" t="n">
        <f aca="false">IF(OR(J2542=1,M2542&lt;=Inputs!$B$12),1,0)</f>
        <v>1</v>
      </c>
      <c r="S2542" s="15" t="n">
        <f aca="false">IF(OR(J2542=1,N2542&lt;=O2542),1,0)</f>
        <v>1</v>
      </c>
      <c r="T2542" s="15" t="str">
        <f aca="false">IF(J2542=1,"OFFLINE",IF(AND(Q2542&gt;=Inputs!$B$15,R2542=1,S2542=1,P2542&lt;=L2542),"PASS","FAIL"))</f>
        <v>PASS</v>
      </c>
    </row>
    <row r="2543" customFormat="false" ht="15" hidden="false" customHeight="false" outlineLevel="0" collapsed="false">
      <c r="A2543" s="14" t="s">
        <v>1043</v>
      </c>
      <c r="B2543" s="14" t="s">
        <v>1038</v>
      </c>
      <c r="C2543" s="14" t="s">
        <v>172</v>
      </c>
      <c r="D2543" s="14" t="s">
        <v>180</v>
      </c>
      <c r="E2543" s="14" t="s">
        <v>161</v>
      </c>
      <c r="F2543" s="14" t="s">
        <v>175</v>
      </c>
      <c r="G2543" s="14" t="n">
        <v>3</v>
      </c>
      <c r="H2543" s="14" t="s">
        <v>158</v>
      </c>
      <c r="I2543" s="14" t="s">
        <v>897</v>
      </c>
      <c r="J2543" s="15" t="n">
        <f aca="false">IF(B2543="SITE LOSS",IF(D2543=C2543,1,0),IF(B2543="REGION LOSS",IF(E2543=C2543,1,0),0))</f>
        <v>0</v>
      </c>
      <c r="K2543" s="15" t="n">
        <f aca="false">IF(B2543="SITE LOSS",IF(COUNTIFS('Site Dockets'!$B$7:$B$24,C2543,'Site Dockets'!$C$7:$C$24,F2543)&gt;0,1,0),IF(B2543="REGION LOSS",IF(COUNTIFS('Site Dockets'!$E$7:$E$24,C2543,'Site Dockets'!$C$7:$C$24,F2543)&gt;0,1,0),0))</f>
        <v>0</v>
      </c>
      <c r="L2543" s="15" t="n">
        <f aca="false">IF(J2543=1,0,Inputs!$B$11)</f>
        <v>100</v>
      </c>
      <c r="M2543" s="15" t="n">
        <f aca="false">IF(J2543=1,0,Inputs!$B$12)</f>
        <v>75</v>
      </c>
      <c r="N2543" s="15" t="n">
        <f aca="false">IF(J2543=1,0,IF(OR(AND(OR(B2543="SITE LOSS",B2543="REGION LOSS"),K2543=1),AND(B2543="ROLE COMPROMISE",H2543=C2543)),Inputs!$B$13,Inputs!$B$14))</f>
        <v>10</v>
      </c>
      <c r="O2543" s="15" t="n">
        <f aca="false">IF(J2543=1,0,Inputs!$B$13)</f>
        <v>20</v>
      </c>
      <c r="P2543" s="15" t="n">
        <f aca="false">SUM(M2543:N2543)</f>
        <v>85</v>
      </c>
      <c r="Q2543" s="15" t="n">
        <f aca="false">IF(J2543=1,"",L2543-P2543)</f>
        <v>15</v>
      </c>
      <c r="R2543" s="15" t="n">
        <f aca="false">IF(OR(J2543=1,M2543&lt;=Inputs!$B$12),1,0)</f>
        <v>1</v>
      </c>
      <c r="S2543" s="15" t="n">
        <f aca="false">IF(OR(J2543=1,N2543&lt;=O2543),1,0)</f>
        <v>1</v>
      </c>
      <c r="T2543" s="15" t="str">
        <f aca="false">IF(J2543=1,"OFFLINE",IF(AND(Q2543&gt;=Inputs!$B$15,R2543=1,S2543=1,P2543&lt;=L2543),"PASS","FAIL"))</f>
        <v>PASS</v>
      </c>
    </row>
    <row r="2544" customFormat="false" ht="15" hidden="false" customHeight="false" outlineLevel="0" collapsed="false">
      <c r="A2544" s="14" t="s">
        <v>1043</v>
      </c>
      <c r="B2544" s="14" t="s">
        <v>1038</v>
      </c>
      <c r="C2544" s="14" t="s">
        <v>172</v>
      </c>
      <c r="D2544" s="14" t="s">
        <v>180</v>
      </c>
      <c r="E2544" s="14" t="s">
        <v>161</v>
      </c>
      <c r="F2544" s="14" t="s">
        <v>175</v>
      </c>
      <c r="G2544" s="14" t="n">
        <v>3</v>
      </c>
      <c r="H2544" s="14" t="s">
        <v>158</v>
      </c>
      <c r="I2544" s="14" t="s">
        <v>899</v>
      </c>
      <c r="J2544" s="15" t="n">
        <f aca="false">IF(B2544="SITE LOSS",IF(D2544=C2544,1,0),IF(B2544="REGION LOSS",IF(E2544=C2544,1,0),0))</f>
        <v>0</v>
      </c>
      <c r="K2544" s="15" t="n">
        <f aca="false">IF(B2544="SITE LOSS",IF(COUNTIFS('Site Dockets'!$B$7:$B$24,C2544,'Site Dockets'!$C$7:$C$24,F2544)&gt;0,1,0),IF(B2544="REGION LOSS",IF(COUNTIFS('Site Dockets'!$E$7:$E$24,C2544,'Site Dockets'!$C$7:$C$24,F2544)&gt;0,1,0),0))</f>
        <v>0</v>
      </c>
      <c r="L2544" s="15" t="n">
        <f aca="false">IF(J2544=1,0,Inputs!$B$11)</f>
        <v>100</v>
      </c>
      <c r="M2544" s="15" t="n">
        <f aca="false">IF(J2544=1,0,Inputs!$B$12)</f>
        <v>75</v>
      </c>
      <c r="N2544" s="15" t="n">
        <f aca="false">IF(J2544=1,0,IF(OR(AND(OR(B2544="SITE LOSS",B2544="REGION LOSS"),K2544=1),AND(B2544="ROLE COMPROMISE",H2544=C2544)),Inputs!$B$13,Inputs!$B$14))</f>
        <v>10</v>
      </c>
      <c r="O2544" s="15" t="n">
        <f aca="false">IF(J2544=1,0,Inputs!$B$13)</f>
        <v>20</v>
      </c>
      <c r="P2544" s="15" t="n">
        <f aca="false">SUM(M2544:N2544)</f>
        <v>85</v>
      </c>
      <c r="Q2544" s="15" t="n">
        <f aca="false">IF(J2544=1,"",L2544-P2544)</f>
        <v>15</v>
      </c>
      <c r="R2544" s="15" t="n">
        <f aca="false">IF(OR(J2544=1,M2544&lt;=Inputs!$B$12),1,0)</f>
        <v>1</v>
      </c>
      <c r="S2544" s="15" t="n">
        <f aca="false">IF(OR(J2544=1,N2544&lt;=O2544),1,0)</f>
        <v>1</v>
      </c>
      <c r="T2544" s="15" t="str">
        <f aca="false">IF(J2544=1,"OFFLINE",IF(AND(Q2544&gt;=Inputs!$B$15,R2544=1,S2544=1,P2544&lt;=L2544),"PASS","FAIL"))</f>
        <v>PASS</v>
      </c>
    </row>
    <row r="2545" customFormat="false" ht="15" hidden="false" customHeight="false" outlineLevel="0" collapsed="false">
      <c r="A2545" s="14" t="s">
        <v>1043</v>
      </c>
      <c r="B2545" s="14" t="s">
        <v>1038</v>
      </c>
      <c r="C2545" s="14" t="s">
        <v>172</v>
      </c>
      <c r="D2545" s="14" t="s">
        <v>182</v>
      </c>
      <c r="E2545" s="14" t="s">
        <v>166</v>
      </c>
      <c r="F2545" s="14" t="s">
        <v>183</v>
      </c>
      <c r="G2545" s="14" t="n">
        <v>1</v>
      </c>
      <c r="H2545" s="14" t="s">
        <v>154</v>
      </c>
      <c r="I2545" s="14" t="s">
        <v>890</v>
      </c>
      <c r="J2545" s="15" t="n">
        <f aca="false">IF(B2545="SITE LOSS",IF(D2545=C2545,1,0),IF(B2545="REGION LOSS",IF(E2545=C2545,1,0),0))</f>
        <v>0</v>
      </c>
      <c r="K2545" s="15" t="n">
        <f aca="false">IF(B2545="SITE LOSS",IF(COUNTIFS('Site Dockets'!$B$7:$B$24,C2545,'Site Dockets'!$C$7:$C$24,F2545)&gt;0,1,0),IF(B2545="REGION LOSS",IF(COUNTIFS('Site Dockets'!$E$7:$E$24,C2545,'Site Dockets'!$C$7:$C$24,F2545)&gt;0,1,0),0))</f>
        <v>1</v>
      </c>
      <c r="L2545" s="15" t="n">
        <f aca="false">IF(J2545=1,0,Inputs!$B$11)</f>
        <v>100</v>
      </c>
      <c r="M2545" s="15" t="n">
        <f aca="false">IF(J2545=1,0,Inputs!$B$12)</f>
        <v>75</v>
      </c>
      <c r="N2545" s="15" t="n">
        <f aca="false">IF(J2545=1,0,IF(OR(AND(OR(B2545="SITE LOSS",B2545="REGION LOSS"),K2545=1),AND(B2545="ROLE COMPROMISE",H2545=C2545)),Inputs!$B$13,Inputs!$B$14))</f>
        <v>20</v>
      </c>
      <c r="O2545" s="15" t="n">
        <f aca="false">IF(J2545=1,0,Inputs!$B$13)</f>
        <v>20</v>
      </c>
      <c r="P2545" s="15" t="n">
        <f aca="false">SUM(M2545:N2545)</f>
        <v>95</v>
      </c>
      <c r="Q2545" s="15" t="n">
        <f aca="false">IF(J2545=1,"",L2545-P2545)</f>
        <v>5</v>
      </c>
      <c r="R2545" s="15" t="n">
        <f aca="false">IF(OR(J2545=1,M2545&lt;=Inputs!$B$12),1,0)</f>
        <v>1</v>
      </c>
      <c r="S2545" s="15" t="n">
        <f aca="false">IF(OR(J2545=1,N2545&lt;=O2545),1,0)</f>
        <v>1</v>
      </c>
      <c r="T2545" s="15" t="str">
        <f aca="false">IF(J2545=1,"OFFLINE",IF(AND(Q2545&gt;=Inputs!$B$15,R2545=1,S2545=1,P2545&lt;=L2545),"PASS","FAIL"))</f>
        <v>PASS</v>
      </c>
    </row>
    <row r="2546" customFormat="false" ht="15" hidden="false" customHeight="false" outlineLevel="0" collapsed="false">
      <c r="A2546" s="14" t="s">
        <v>1043</v>
      </c>
      <c r="B2546" s="14" t="s">
        <v>1038</v>
      </c>
      <c r="C2546" s="14" t="s">
        <v>172</v>
      </c>
      <c r="D2546" s="14" t="s">
        <v>182</v>
      </c>
      <c r="E2546" s="14" t="s">
        <v>166</v>
      </c>
      <c r="F2546" s="14" t="s">
        <v>183</v>
      </c>
      <c r="G2546" s="14" t="n">
        <v>1</v>
      </c>
      <c r="H2546" s="14" t="s">
        <v>154</v>
      </c>
      <c r="I2546" s="14" t="s">
        <v>892</v>
      </c>
      <c r="J2546" s="15" t="n">
        <f aca="false">IF(B2546="SITE LOSS",IF(D2546=C2546,1,0),IF(B2546="REGION LOSS",IF(E2546=C2546,1,0),0))</f>
        <v>0</v>
      </c>
      <c r="K2546" s="15" t="n">
        <f aca="false">IF(B2546="SITE LOSS",IF(COUNTIFS('Site Dockets'!$B$7:$B$24,C2546,'Site Dockets'!$C$7:$C$24,F2546)&gt;0,1,0),IF(B2546="REGION LOSS",IF(COUNTIFS('Site Dockets'!$E$7:$E$24,C2546,'Site Dockets'!$C$7:$C$24,F2546)&gt;0,1,0),0))</f>
        <v>1</v>
      </c>
      <c r="L2546" s="15" t="n">
        <f aca="false">IF(J2546=1,0,Inputs!$B$11)</f>
        <v>100</v>
      </c>
      <c r="M2546" s="15" t="n">
        <f aca="false">IF(J2546=1,0,Inputs!$B$12)</f>
        <v>75</v>
      </c>
      <c r="N2546" s="15" t="n">
        <f aca="false">IF(J2546=1,0,IF(OR(AND(OR(B2546="SITE LOSS",B2546="REGION LOSS"),K2546=1),AND(B2546="ROLE COMPROMISE",H2546=C2546)),Inputs!$B$13,Inputs!$B$14))</f>
        <v>20</v>
      </c>
      <c r="O2546" s="15" t="n">
        <f aca="false">IF(J2546=1,0,Inputs!$B$13)</f>
        <v>20</v>
      </c>
      <c r="P2546" s="15" t="n">
        <f aca="false">SUM(M2546:N2546)</f>
        <v>95</v>
      </c>
      <c r="Q2546" s="15" t="n">
        <f aca="false">IF(J2546=1,"",L2546-P2546)</f>
        <v>5</v>
      </c>
      <c r="R2546" s="15" t="n">
        <f aca="false">IF(OR(J2546=1,M2546&lt;=Inputs!$B$12),1,0)</f>
        <v>1</v>
      </c>
      <c r="S2546" s="15" t="n">
        <f aca="false">IF(OR(J2546=1,N2546&lt;=O2546),1,0)</f>
        <v>1</v>
      </c>
      <c r="T2546" s="15" t="str">
        <f aca="false">IF(J2546=1,"OFFLINE",IF(AND(Q2546&gt;=Inputs!$B$15,R2546=1,S2546=1,P2546&lt;=L2546),"PASS","FAIL"))</f>
        <v>PASS</v>
      </c>
    </row>
    <row r="2547" customFormat="false" ht="15" hidden="false" customHeight="false" outlineLevel="0" collapsed="false">
      <c r="A2547" s="14" t="s">
        <v>1043</v>
      </c>
      <c r="B2547" s="14" t="s">
        <v>1038</v>
      </c>
      <c r="C2547" s="14" t="s">
        <v>172</v>
      </c>
      <c r="D2547" s="14" t="s">
        <v>182</v>
      </c>
      <c r="E2547" s="14" t="s">
        <v>166</v>
      </c>
      <c r="F2547" s="14" t="s">
        <v>183</v>
      </c>
      <c r="G2547" s="14" t="n">
        <v>1</v>
      </c>
      <c r="H2547" s="14" t="s">
        <v>154</v>
      </c>
      <c r="I2547" s="14" t="s">
        <v>811</v>
      </c>
      <c r="J2547" s="15" t="n">
        <f aca="false">IF(B2547="SITE LOSS",IF(D2547=C2547,1,0),IF(B2547="REGION LOSS",IF(E2547=C2547,1,0),0))</f>
        <v>0</v>
      </c>
      <c r="K2547" s="15" t="n">
        <f aca="false">IF(B2547="SITE LOSS",IF(COUNTIFS('Site Dockets'!$B$7:$B$24,C2547,'Site Dockets'!$C$7:$C$24,F2547)&gt;0,1,0),IF(B2547="REGION LOSS",IF(COUNTIFS('Site Dockets'!$E$7:$E$24,C2547,'Site Dockets'!$C$7:$C$24,F2547)&gt;0,1,0),0))</f>
        <v>1</v>
      </c>
      <c r="L2547" s="15" t="n">
        <f aca="false">IF(J2547=1,0,Inputs!$B$11)</f>
        <v>100</v>
      </c>
      <c r="M2547" s="15" t="n">
        <f aca="false">IF(J2547=1,0,Inputs!$B$12)</f>
        <v>75</v>
      </c>
      <c r="N2547" s="15" t="n">
        <f aca="false">IF(J2547=1,0,IF(OR(AND(OR(B2547="SITE LOSS",B2547="REGION LOSS"),K2547=1),AND(B2547="ROLE COMPROMISE",H2547=C2547)),Inputs!$B$13,Inputs!$B$14))</f>
        <v>20</v>
      </c>
      <c r="O2547" s="15" t="n">
        <f aca="false">IF(J2547=1,0,Inputs!$B$13)</f>
        <v>20</v>
      </c>
      <c r="P2547" s="15" t="n">
        <f aca="false">SUM(M2547:N2547)</f>
        <v>95</v>
      </c>
      <c r="Q2547" s="15" t="n">
        <f aca="false">IF(J2547=1,"",L2547-P2547)</f>
        <v>5</v>
      </c>
      <c r="R2547" s="15" t="n">
        <f aca="false">IF(OR(J2547=1,M2547&lt;=Inputs!$B$12),1,0)</f>
        <v>1</v>
      </c>
      <c r="S2547" s="15" t="n">
        <f aca="false">IF(OR(J2547=1,N2547&lt;=O2547),1,0)</f>
        <v>1</v>
      </c>
      <c r="T2547" s="15" t="str">
        <f aca="false">IF(J2547=1,"OFFLINE",IF(AND(Q2547&gt;=Inputs!$B$15,R2547=1,S2547=1,P2547&lt;=L2547),"PASS","FAIL"))</f>
        <v>PASS</v>
      </c>
    </row>
    <row r="2548" customFormat="false" ht="15" hidden="false" customHeight="false" outlineLevel="0" collapsed="false">
      <c r="A2548" s="14" t="s">
        <v>1043</v>
      </c>
      <c r="B2548" s="14" t="s">
        <v>1038</v>
      </c>
      <c r="C2548" s="14" t="s">
        <v>172</v>
      </c>
      <c r="D2548" s="14" t="s">
        <v>182</v>
      </c>
      <c r="E2548" s="14" t="s">
        <v>166</v>
      </c>
      <c r="F2548" s="14" t="s">
        <v>183</v>
      </c>
      <c r="G2548" s="14" t="n">
        <v>1</v>
      </c>
      <c r="H2548" s="14" t="s">
        <v>154</v>
      </c>
      <c r="I2548" s="14" t="s">
        <v>895</v>
      </c>
      <c r="J2548" s="15" t="n">
        <f aca="false">IF(B2548="SITE LOSS",IF(D2548=C2548,1,0),IF(B2548="REGION LOSS",IF(E2548=C2548,1,0),0))</f>
        <v>0</v>
      </c>
      <c r="K2548" s="15" t="n">
        <f aca="false">IF(B2548="SITE LOSS",IF(COUNTIFS('Site Dockets'!$B$7:$B$24,C2548,'Site Dockets'!$C$7:$C$24,F2548)&gt;0,1,0),IF(B2548="REGION LOSS",IF(COUNTIFS('Site Dockets'!$E$7:$E$24,C2548,'Site Dockets'!$C$7:$C$24,F2548)&gt;0,1,0),0))</f>
        <v>1</v>
      </c>
      <c r="L2548" s="15" t="n">
        <f aca="false">IF(J2548=1,0,Inputs!$B$11)</f>
        <v>100</v>
      </c>
      <c r="M2548" s="15" t="n">
        <f aca="false">IF(J2548=1,0,Inputs!$B$12)</f>
        <v>75</v>
      </c>
      <c r="N2548" s="15" t="n">
        <f aca="false">IF(J2548=1,0,IF(OR(AND(OR(B2548="SITE LOSS",B2548="REGION LOSS"),K2548=1),AND(B2548="ROLE COMPROMISE",H2548=C2548)),Inputs!$B$13,Inputs!$B$14))</f>
        <v>20</v>
      </c>
      <c r="O2548" s="15" t="n">
        <f aca="false">IF(J2548=1,0,Inputs!$B$13)</f>
        <v>20</v>
      </c>
      <c r="P2548" s="15" t="n">
        <f aca="false">SUM(M2548:N2548)</f>
        <v>95</v>
      </c>
      <c r="Q2548" s="15" t="n">
        <f aca="false">IF(J2548=1,"",L2548-P2548)</f>
        <v>5</v>
      </c>
      <c r="R2548" s="15" t="n">
        <f aca="false">IF(OR(J2548=1,M2548&lt;=Inputs!$B$12),1,0)</f>
        <v>1</v>
      </c>
      <c r="S2548" s="15" t="n">
        <f aca="false">IF(OR(J2548=1,N2548&lt;=O2548),1,0)</f>
        <v>1</v>
      </c>
      <c r="T2548" s="15" t="str">
        <f aca="false">IF(J2548=1,"OFFLINE",IF(AND(Q2548&gt;=Inputs!$B$15,R2548=1,S2548=1,P2548&lt;=L2548),"PASS","FAIL"))</f>
        <v>PASS</v>
      </c>
    </row>
    <row r="2549" customFormat="false" ht="15" hidden="false" customHeight="false" outlineLevel="0" collapsed="false">
      <c r="A2549" s="14" t="s">
        <v>1043</v>
      </c>
      <c r="B2549" s="14" t="s">
        <v>1038</v>
      </c>
      <c r="C2549" s="14" t="s">
        <v>172</v>
      </c>
      <c r="D2549" s="14" t="s">
        <v>182</v>
      </c>
      <c r="E2549" s="14" t="s">
        <v>166</v>
      </c>
      <c r="F2549" s="14" t="s">
        <v>183</v>
      </c>
      <c r="G2549" s="14" t="n">
        <v>1</v>
      </c>
      <c r="H2549" s="14" t="s">
        <v>154</v>
      </c>
      <c r="I2549" s="14" t="s">
        <v>897</v>
      </c>
      <c r="J2549" s="15" t="n">
        <f aca="false">IF(B2549="SITE LOSS",IF(D2549=C2549,1,0),IF(B2549="REGION LOSS",IF(E2549=C2549,1,0),0))</f>
        <v>0</v>
      </c>
      <c r="K2549" s="15" t="n">
        <f aca="false">IF(B2549="SITE LOSS",IF(COUNTIFS('Site Dockets'!$B$7:$B$24,C2549,'Site Dockets'!$C$7:$C$24,F2549)&gt;0,1,0),IF(B2549="REGION LOSS",IF(COUNTIFS('Site Dockets'!$E$7:$E$24,C2549,'Site Dockets'!$C$7:$C$24,F2549)&gt;0,1,0),0))</f>
        <v>1</v>
      </c>
      <c r="L2549" s="15" t="n">
        <f aca="false">IF(J2549=1,0,Inputs!$B$11)</f>
        <v>100</v>
      </c>
      <c r="M2549" s="15" t="n">
        <f aca="false">IF(J2549=1,0,Inputs!$B$12)</f>
        <v>75</v>
      </c>
      <c r="N2549" s="15" t="n">
        <f aca="false">IF(J2549=1,0,IF(OR(AND(OR(B2549="SITE LOSS",B2549="REGION LOSS"),K2549=1),AND(B2549="ROLE COMPROMISE",H2549=C2549)),Inputs!$B$13,Inputs!$B$14))</f>
        <v>20</v>
      </c>
      <c r="O2549" s="15" t="n">
        <f aca="false">IF(J2549=1,0,Inputs!$B$13)</f>
        <v>20</v>
      </c>
      <c r="P2549" s="15" t="n">
        <f aca="false">SUM(M2549:N2549)</f>
        <v>95</v>
      </c>
      <c r="Q2549" s="15" t="n">
        <f aca="false">IF(J2549=1,"",L2549-P2549)</f>
        <v>5</v>
      </c>
      <c r="R2549" s="15" t="n">
        <f aca="false">IF(OR(J2549=1,M2549&lt;=Inputs!$B$12),1,0)</f>
        <v>1</v>
      </c>
      <c r="S2549" s="15" t="n">
        <f aca="false">IF(OR(J2549=1,N2549&lt;=O2549),1,0)</f>
        <v>1</v>
      </c>
      <c r="T2549" s="15" t="str">
        <f aca="false">IF(J2549=1,"OFFLINE",IF(AND(Q2549&gt;=Inputs!$B$15,R2549=1,S2549=1,P2549&lt;=L2549),"PASS","FAIL"))</f>
        <v>PASS</v>
      </c>
    </row>
    <row r="2550" customFormat="false" ht="15" hidden="false" customHeight="false" outlineLevel="0" collapsed="false">
      <c r="A2550" s="14" t="s">
        <v>1043</v>
      </c>
      <c r="B2550" s="14" t="s">
        <v>1038</v>
      </c>
      <c r="C2550" s="14" t="s">
        <v>172</v>
      </c>
      <c r="D2550" s="14" t="s">
        <v>182</v>
      </c>
      <c r="E2550" s="14" t="s">
        <v>166</v>
      </c>
      <c r="F2550" s="14" t="s">
        <v>183</v>
      </c>
      <c r="G2550" s="14" t="n">
        <v>1</v>
      </c>
      <c r="H2550" s="14" t="s">
        <v>154</v>
      </c>
      <c r="I2550" s="14" t="s">
        <v>899</v>
      </c>
      <c r="J2550" s="15" t="n">
        <f aca="false">IF(B2550="SITE LOSS",IF(D2550=C2550,1,0),IF(B2550="REGION LOSS",IF(E2550=C2550,1,0),0))</f>
        <v>0</v>
      </c>
      <c r="K2550" s="15" t="n">
        <f aca="false">IF(B2550="SITE LOSS",IF(COUNTIFS('Site Dockets'!$B$7:$B$24,C2550,'Site Dockets'!$C$7:$C$24,F2550)&gt;0,1,0),IF(B2550="REGION LOSS",IF(COUNTIFS('Site Dockets'!$E$7:$E$24,C2550,'Site Dockets'!$C$7:$C$24,F2550)&gt;0,1,0),0))</f>
        <v>1</v>
      </c>
      <c r="L2550" s="15" t="n">
        <f aca="false">IF(J2550=1,0,Inputs!$B$11)</f>
        <v>100</v>
      </c>
      <c r="M2550" s="15" t="n">
        <f aca="false">IF(J2550=1,0,Inputs!$B$12)</f>
        <v>75</v>
      </c>
      <c r="N2550" s="15" t="n">
        <f aca="false">IF(J2550=1,0,IF(OR(AND(OR(B2550="SITE LOSS",B2550="REGION LOSS"),K2550=1),AND(B2550="ROLE COMPROMISE",H2550=C2550)),Inputs!$B$13,Inputs!$B$14))</f>
        <v>20</v>
      </c>
      <c r="O2550" s="15" t="n">
        <f aca="false">IF(J2550=1,0,Inputs!$B$13)</f>
        <v>20</v>
      </c>
      <c r="P2550" s="15" t="n">
        <f aca="false">SUM(M2550:N2550)</f>
        <v>95</v>
      </c>
      <c r="Q2550" s="15" t="n">
        <f aca="false">IF(J2550=1,"",L2550-P2550)</f>
        <v>5</v>
      </c>
      <c r="R2550" s="15" t="n">
        <f aca="false">IF(OR(J2550=1,M2550&lt;=Inputs!$B$12),1,0)</f>
        <v>1</v>
      </c>
      <c r="S2550" s="15" t="n">
        <f aca="false">IF(OR(J2550=1,N2550&lt;=O2550),1,0)</f>
        <v>1</v>
      </c>
      <c r="T2550" s="15" t="str">
        <f aca="false">IF(J2550=1,"OFFLINE",IF(AND(Q2550&gt;=Inputs!$B$15,R2550=1,S2550=1,P2550&lt;=L2550),"PASS","FAIL"))</f>
        <v>PASS</v>
      </c>
    </row>
    <row r="2551" customFormat="false" ht="15" hidden="false" customHeight="false" outlineLevel="0" collapsed="false">
      <c r="A2551" s="14" t="s">
        <v>1043</v>
      </c>
      <c r="B2551" s="14" t="s">
        <v>1038</v>
      </c>
      <c r="C2551" s="14" t="s">
        <v>172</v>
      </c>
      <c r="D2551" s="14" t="s">
        <v>186</v>
      </c>
      <c r="E2551" s="14" t="s">
        <v>157</v>
      </c>
      <c r="F2551" s="14" t="s">
        <v>183</v>
      </c>
      <c r="G2551" s="14" t="n">
        <v>2</v>
      </c>
      <c r="H2551" s="14" t="s">
        <v>153</v>
      </c>
      <c r="I2551" s="14" t="s">
        <v>890</v>
      </c>
      <c r="J2551" s="15" t="n">
        <f aca="false">IF(B2551="SITE LOSS",IF(D2551=C2551,1,0),IF(B2551="REGION LOSS",IF(E2551=C2551,1,0),0))</f>
        <v>0</v>
      </c>
      <c r="K2551" s="15" t="n">
        <f aca="false">IF(B2551="SITE LOSS",IF(COUNTIFS('Site Dockets'!$B$7:$B$24,C2551,'Site Dockets'!$C$7:$C$24,F2551)&gt;0,1,0),IF(B2551="REGION LOSS",IF(COUNTIFS('Site Dockets'!$E$7:$E$24,C2551,'Site Dockets'!$C$7:$C$24,F2551)&gt;0,1,0),0))</f>
        <v>1</v>
      </c>
      <c r="L2551" s="15" t="n">
        <f aca="false">IF(J2551=1,0,Inputs!$B$11)</f>
        <v>100</v>
      </c>
      <c r="M2551" s="15" t="n">
        <f aca="false">IF(J2551=1,0,Inputs!$B$12)</f>
        <v>75</v>
      </c>
      <c r="N2551" s="15" t="n">
        <f aca="false">IF(J2551=1,0,IF(OR(AND(OR(B2551="SITE LOSS",B2551="REGION LOSS"),K2551=1),AND(B2551="ROLE COMPROMISE",H2551=C2551)),Inputs!$B$13,Inputs!$B$14))</f>
        <v>20</v>
      </c>
      <c r="O2551" s="15" t="n">
        <f aca="false">IF(J2551=1,0,Inputs!$B$13)</f>
        <v>20</v>
      </c>
      <c r="P2551" s="15" t="n">
        <f aca="false">SUM(M2551:N2551)</f>
        <v>95</v>
      </c>
      <c r="Q2551" s="15" t="n">
        <f aca="false">IF(J2551=1,"",L2551-P2551)</f>
        <v>5</v>
      </c>
      <c r="R2551" s="15" t="n">
        <f aca="false">IF(OR(J2551=1,M2551&lt;=Inputs!$B$12),1,0)</f>
        <v>1</v>
      </c>
      <c r="S2551" s="15" t="n">
        <f aca="false">IF(OR(J2551=1,N2551&lt;=O2551),1,0)</f>
        <v>1</v>
      </c>
      <c r="T2551" s="15" t="str">
        <f aca="false">IF(J2551=1,"OFFLINE",IF(AND(Q2551&gt;=Inputs!$B$15,R2551=1,S2551=1,P2551&lt;=L2551),"PASS","FAIL"))</f>
        <v>PASS</v>
      </c>
    </row>
    <row r="2552" customFormat="false" ht="15" hidden="false" customHeight="false" outlineLevel="0" collapsed="false">
      <c r="A2552" s="14" t="s">
        <v>1043</v>
      </c>
      <c r="B2552" s="14" t="s">
        <v>1038</v>
      </c>
      <c r="C2552" s="14" t="s">
        <v>172</v>
      </c>
      <c r="D2552" s="14" t="s">
        <v>186</v>
      </c>
      <c r="E2552" s="14" t="s">
        <v>157</v>
      </c>
      <c r="F2552" s="14" t="s">
        <v>183</v>
      </c>
      <c r="G2552" s="14" t="n">
        <v>2</v>
      </c>
      <c r="H2552" s="14" t="s">
        <v>153</v>
      </c>
      <c r="I2552" s="14" t="s">
        <v>892</v>
      </c>
      <c r="J2552" s="15" t="n">
        <f aca="false">IF(B2552="SITE LOSS",IF(D2552=C2552,1,0),IF(B2552="REGION LOSS",IF(E2552=C2552,1,0),0))</f>
        <v>0</v>
      </c>
      <c r="K2552" s="15" t="n">
        <f aca="false">IF(B2552="SITE LOSS",IF(COUNTIFS('Site Dockets'!$B$7:$B$24,C2552,'Site Dockets'!$C$7:$C$24,F2552)&gt;0,1,0),IF(B2552="REGION LOSS",IF(COUNTIFS('Site Dockets'!$E$7:$E$24,C2552,'Site Dockets'!$C$7:$C$24,F2552)&gt;0,1,0),0))</f>
        <v>1</v>
      </c>
      <c r="L2552" s="15" t="n">
        <f aca="false">IF(J2552=1,0,Inputs!$B$11)</f>
        <v>100</v>
      </c>
      <c r="M2552" s="15" t="n">
        <f aca="false">IF(J2552=1,0,Inputs!$B$12)</f>
        <v>75</v>
      </c>
      <c r="N2552" s="15" t="n">
        <f aca="false">IF(J2552=1,0,IF(OR(AND(OR(B2552="SITE LOSS",B2552="REGION LOSS"),K2552=1),AND(B2552="ROLE COMPROMISE",H2552=C2552)),Inputs!$B$13,Inputs!$B$14))</f>
        <v>20</v>
      </c>
      <c r="O2552" s="15" t="n">
        <f aca="false">IF(J2552=1,0,Inputs!$B$13)</f>
        <v>20</v>
      </c>
      <c r="P2552" s="15" t="n">
        <f aca="false">SUM(M2552:N2552)</f>
        <v>95</v>
      </c>
      <c r="Q2552" s="15" t="n">
        <f aca="false">IF(J2552=1,"",L2552-P2552)</f>
        <v>5</v>
      </c>
      <c r="R2552" s="15" t="n">
        <f aca="false">IF(OR(J2552=1,M2552&lt;=Inputs!$B$12),1,0)</f>
        <v>1</v>
      </c>
      <c r="S2552" s="15" t="n">
        <f aca="false">IF(OR(J2552=1,N2552&lt;=O2552),1,0)</f>
        <v>1</v>
      </c>
      <c r="T2552" s="15" t="str">
        <f aca="false">IF(J2552=1,"OFFLINE",IF(AND(Q2552&gt;=Inputs!$B$15,R2552=1,S2552=1,P2552&lt;=L2552),"PASS","FAIL"))</f>
        <v>PASS</v>
      </c>
    </row>
    <row r="2553" customFormat="false" ht="15" hidden="false" customHeight="false" outlineLevel="0" collapsed="false">
      <c r="A2553" s="14" t="s">
        <v>1043</v>
      </c>
      <c r="B2553" s="14" t="s">
        <v>1038</v>
      </c>
      <c r="C2553" s="14" t="s">
        <v>172</v>
      </c>
      <c r="D2553" s="14" t="s">
        <v>186</v>
      </c>
      <c r="E2553" s="14" t="s">
        <v>157</v>
      </c>
      <c r="F2553" s="14" t="s">
        <v>183</v>
      </c>
      <c r="G2553" s="14" t="n">
        <v>2</v>
      </c>
      <c r="H2553" s="14" t="s">
        <v>153</v>
      </c>
      <c r="I2553" s="14" t="s">
        <v>811</v>
      </c>
      <c r="J2553" s="15" t="n">
        <f aca="false">IF(B2553="SITE LOSS",IF(D2553=C2553,1,0),IF(B2553="REGION LOSS",IF(E2553=C2553,1,0),0))</f>
        <v>0</v>
      </c>
      <c r="K2553" s="15" t="n">
        <f aca="false">IF(B2553="SITE LOSS",IF(COUNTIFS('Site Dockets'!$B$7:$B$24,C2553,'Site Dockets'!$C$7:$C$24,F2553)&gt;0,1,0),IF(B2553="REGION LOSS",IF(COUNTIFS('Site Dockets'!$E$7:$E$24,C2553,'Site Dockets'!$C$7:$C$24,F2553)&gt;0,1,0),0))</f>
        <v>1</v>
      </c>
      <c r="L2553" s="15" t="n">
        <f aca="false">IF(J2553=1,0,Inputs!$B$11)</f>
        <v>100</v>
      </c>
      <c r="M2553" s="15" t="n">
        <f aca="false">IF(J2553=1,0,Inputs!$B$12)</f>
        <v>75</v>
      </c>
      <c r="N2553" s="15" t="n">
        <f aca="false">IF(J2553=1,0,IF(OR(AND(OR(B2553="SITE LOSS",B2553="REGION LOSS"),K2553=1),AND(B2553="ROLE COMPROMISE",H2553=C2553)),Inputs!$B$13,Inputs!$B$14))</f>
        <v>20</v>
      </c>
      <c r="O2553" s="15" t="n">
        <f aca="false">IF(J2553=1,0,Inputs!$B$13)</f>
        <v>20</v>
      </c>
      <c r="P2553" s="15" t="n">
        <f aca="false">SUM(M2553:N2553)</f>
        <v>95</v>
      </c>
      <c r="Q2553" s="15" t="n">
        <f aca="false">IF(J2553=1,"",L2553-P2553)</f>
        <v>5</v>
      </c>
      <c r="R2553" s="15" t="n">
        <f aca="false">IF(OR(J2553=1,M2553&lt;=Inputs!$B$12),1,0)</f>
        <v>1</v>
      </c>
      <c r="S2553" s="15" t="n">
        <f aca="false">IF(OR(J2553=1,N2553&lt;=O2553),1,0)</f>
        <v>1</v>
      </c>
      <c r="T2553" s="15" t="str">
        <f aca="false">IF(J2553=1,"OFFLINE",IF(AND(Q2553&gt;=Inputs!$B$15,R2553=1,S2553=1,P2553&lt;=L2553),"PASS","FAIL"))</f>
        <v>PASS</v>
      </c>
    </row>
    <row r="2554" customFormat="false" ht="15" hidden="false" customHeight="false" outlineLevel="0" collapsed="false">
      <c r="A2554" s="14" t="s">
        <v>1043</v>
      </c>
      <c r="B2554" s="14" t="s">
        <v>1038</v>
      </c>
      <c r="C2554" s="14" t="s">
        <v>172</v>
      </c>
      <c r="D2554" s="14" t="s">
        <v>186</v>
      </c>
      <c r="E2554" s="14" t="s">
        <v>157</v>
      </c>
      <c r="F2554" s="14" t="s">
        <v>183</v>
      </c>
      <c r="G2554" s="14" t="n">
        <v>2</v>
      </c>
      <c r="H2554" s="14" t="s">
        <v>153</v>
      </c>
      <c r="I2554" s="14" t="s">
        <v>895</v>
      </c>
      <c r="J2554" s="15" t="n">
        <f aca="false">IF(B2554="SITE LOSS",IF(D2554=C2554,1,0),IF(B2554="REGION LOSS",IF(E2554=C2554,1,0),0))</f>
        <v>0</v>
      </c>
      <c r="K2554" s="15" t="n">
        <f aca="false">IF(B2554="SITE LOSS",IF(COUNTIFS('Site Dockets'!$B$7:$B$24,C2554,'Site Dockets'!$C$7:$C$24,F2554)&gt;0,1,0),IF(B2554="REGION LOSS",IF(COUNTIFS('Site Dockets'!$E$7:$E$24,C2554,'Site Dockets'!$C$7:$C$24,F2554)&gt;0,1,0),0))</f>
        <v>1</v>
      </c>
      <c r="L2554" s="15" t="n">
        <f aca="false">IF(J2554=1,0,Inputs!$B$11)</f>
        <v>100</v>
      </c>
      <c r="M2554" s="15" t="n">
        <f aca="false">IF(J2554=1,0,Inputs!$B$12)</f>
        <v>75</v>
      </c>
      <c r="N2554" s="15" t="n">
        <f aca="false">IF(J2554=1,0,IF(OR(AND(OR(B2554="SITE LOSS",B2554="REGION LOSS"),K2554=1),AND(B2554="ROLE COMPROMISE",H2554=C2554)),Inputs!$B$13,Inputs!$B$14))</f>
        <v>20</v>
      </c>
      <c r="O2554" s="15" t="n">
        <f aca="false">IF(J2554=1,0,Inputs!$B$13)</f>
        <v>20</v>
      </c>
      <c r="P2554" s="15" t="n">
        <f aca="false">SUM(M2554:N2554)</f>
        <v>95</v>
      </c>
      <c r="Q2554" s="15" t="n">
        <f aca="false">IF(J2554=1,"",L2554-P2554)</f>
        <v>5</v>
      </c>
      <c r="R2554" s="15" t="n">
        <f aca="false">IF(OR(J2554=1,M2554&lt;=Inputs!$B$12),1,0)</f>
        <v>1</v>
      </c>
      <c r="S2554" s="15" t="n">
        <f aca="false">IF(OR(J2554=1,N2554&lt;=O2554),1,0)</f>
        <v>1</v>
      </c>
      <c r="T2554" s="15" t="str">
        <f aca="false">IF(J2554=1,"OFFLINE",IF(AND(Q2554&gt;=Inputs!$B$15,R2554=1,S2554=1,P2554&lt;=L2554),"PASS","FAIL"))</f>
        <v>PASS</v>
      </c>
    </row>
    <row r="2555" customFormat="false" ht="15" hidden="false" customHeight="false" outlineLevel="0" collapsed="false">
      <c r="A2555" s="14" t="s">
        <v>1043</v>
      </c>
      <c r="B2555" s="14" t="s">
        <v>1038</v>
      </c>
      <c r="C2555" s="14" t="s">
        <v>172</v>
      </c>
      <c r="D2555" s="14" t="s">
        <v>186</v>
      </c>
      <c r="E2555" s="14" t="s">
        <v>157</v>
      </c>
      <c r="F2555" s="14" t="s">
        <v>183</v>
      </c>
      <c r="G2555" s="14" t="n">
        <v>2</v>
      </c>
      <c r="H2555" s="14" t="s">
        <v>153</v>
      </c>
      <c r="I2555" s="14" t="s">
        <v>897</v>
      </c>
      <c r="J2555" s="15" t="n">
        <f aca="false">IF(B2555="SITE LOSS",IF(D2555=C2555,1,0),IF(B2555="REGION LOSS",IF(E2555=C2555,1,0),0))</f>
        <v>0</v>
      </c>
      <c r="K2555" s="15" t="n">
        <f aca="false">IF(B2555="SITE LOSS",IF(COUNTIFS('Site Dockets'!$B$7:$B$24,C2555,'Site Dockets'!$C$7:$C$24,F2555)&gt;0,1,0),IF(B2555="REGION LOSS",IF(COUNTIFS('Site Dockets'!$E$7:$E$24,C2555,'Site Dockets'!$C$7:$C$24,F2555)&gt;0,1,0),0))</f>
        <v>1</v>
      </c>
      <c r="L2555" s="15" t="n">
        <f aca="false">IF(J2555=1,0,Inputs!$B$11)</f>
        <v>100</v>
      </c>
      <c r="M2555" s="15" t="n">
        <f aca="false">IF(J2555=1,0,Inputs!$B$12)</f>
        <v>75</v>
      </c>
      <c r="N2555" s="15" t="n">
        <f aca="false">IF(J2555=1,0,IF(OR(AND(OR(B2555="SITE LOSS",B2555="REGION LOSS"),K2555=1),AND(B2555="ROLE COMPROMISE",H2555=C2555)),Inputs!$B$13,Inputs!$B$14))</f>
        <v>20</v>
      </c>
      <c r="O2555" s="15" t="n">
        <f aca="false">IF(J2555=1,0,Inputs!$B$13)</f>
        <v>20</v>
      </c>
      <c r="P2555" s="15" t="n">
        <f aca="false">SUM(M2555:N2555)</f>
        <v>95</v>
      </c>
      <c r="Q2555" s="15" t="n">
        <f aca="false">IF(J2555=1,"",L2555-P2555)</f>
        <v>5</v>
      </c>
      <c r="R2555" s="15" t="n">
        <f aca="false">IF(OR(J2555=1,M2555&lt;=Inputs!$B$12),1,0)</f>
        <v>1</v>
      </c>
      <c r="S2555" s="15" t="n">
        <f aca="false">IF(OR(J2555=1,N2555&lt;=O2555),1,0)</f>
        <v>1</v>
      </c>
      <c r="T2555" s="15" t="str">
        <f aca="false">IF(J2555=1,"OFFLINE",IF(AND(Q2555&gt;=Inputs!$B$15,R2555=1,S2555=1,P2555&lt;=L2555),"PASS","FAIL"))</f>
        <v>PASS</v>
      </c>
    </row>
    <row r="2556" customFormat="false" ht="15" hidden="false" customHeight="false" outlineLevel="0" collapsed="false">
      <c r="A2556" s="14" t="s">
        <v>1043</v>
      </c>
      <c r="B2556" s="14" t="s">
        <v>1038</v>
      </c>
      <c r="C2556" s="14" t="s">
        <v>172</v>
      </c>
      <c r="D2556" s="14" t="s">
        <v>186</v>
      </c>
      <c r="E2556" s="14" t="s">
        <v>157</v>
      </c>
      <c r="F2556" s="14" t="s">
        <v>183</v>
      </c>
      <c r="G2556" s="14" t="n">
        <v>2</v>
      </c>
      <c r="H2556" s="14" t="s">
        <v>153</v>
      </c>
      <c r="I2556" s="14" t="s">
        <v>899</v>
      </c>
      <c r="J2556" s="15" t="n">
        <f aca="false">IF(B2556="SITE LOSS",IF(D2556=C2556,1,0),IF(B2556="REGION LOSS",IF(E2556=C2556,1,0),0))</f>
        <v>0</v>
      </c>
      <c r="K2556" s="15" t="n">
        <f aca="false">IF(B2556="SITE LOSS",IF(COUNTIFS('Site Dockets'!$B$7:$B$24,C2556,'Site Dockets'!$C$7:$C$24,F2556)&gt;0,1,0),IF(B2556="REGION LOSS",IF(COUNTIFS('Site Dockets'!$E$7:$E$24,C2556,'Site Dockets'!$C$7:$C$24,F2556)&gt;0,1,0),0))</f>
        <v>1</v>
      </c>
      <c r="L2556" s="15" t="n">
        <f aca="false">IF(J2556=1,0,Inputs!$B$11)</f>
        <v>100</v>
      </c>
      <c r="M2556" s="15" t="n">
        <f aca="false">IF(J2556=1,0,Inputs!$B$12)</f>
        <v>75</v>
      </c>
      <c r="N2556" s="15" t="n">
        <f aca="false">IF(J2556=1,0,IF(OR(AND(OR(B2556="SITE LOSS",B2556="REGION LOSS"),K2556=1),AND(B2556="ROLE COMPROMISE",H2556=C2556)),Inputs!$B$13,Inputs!$B$14))</f>
        <v>20</v>
      </c>
      <c r="O2556" s="15" t="n">
        <f aca="false">IF(J2556=1,0,Inputs!$B$13)</f>
        <v>20</v>
      </c>
      <c r="P2556" s="15" t="n">
        <f aca="false">SUM(M2556:N2556)</f>
        <v>95</v>
      </c>
      <c r="Q2556" s="15" t="n">
        <f aca="false">IF(J2556=1,"",L2556-P2556)</f>
        <v>5</v>
      </c>
      <c r="R2556" s="15" t="n">
        <f aca="false">IF(OR(J2556=1,M2556&lt;=Inputs!$B$12),1,0)</f>
        <v>1</v>
      </c>
      <c r="S2556" s="15" t="n">
        <f aca="false">IF(OR(J2556=1,N2556&lt;=O2556),1,0)</f>
        <v>1</v>
      </c>
      <c r="T2556" s="15" t="str">
        <f aca="false">IF(J2556=1,"OFFLINE",IF(AND(Q2556&gt;=Inputs!$B$15,R2556=1,S2556=1,P2556&lt;=L2556),"PASS","FAIL"))</f>
        <v>PASS</v>
      </c>
    </row>
    <row r="2557" customFormat="false" ht="15" hidden="false" customHeight="false" outlineLevel="0" collapsed="false">
      <c r="A2557" s="14" t="s">
        <v>1043</v>
      </c>
      <c r="B2557" s="14" t="s">
        <v>1038</v>
      </c>
      <c r="C2557" s="14" t="s">
        <v>172</v>
      </c>
      <c r="D2557" s="14" t="s">
        <v>188</v>
      </c>
      <c r="E2557" s="14" t="s">
        <v>172</v>
      </c>
      <c r="F2557" s="14" t="s">
        <v>183</v>
      </c>
      <c r="G2557" s="14" t="n">
        <v>3</v>
      </c>
      <c r="H2557" s="14" t="s">
        <v>158</v>
      </c>
      <c r="I2557" s="14" t="s">
        <v>890</v>
      </c>
      <c r="J2557" s="15" t="n">
        <f aca="false">IF(B2557="SITE LOSS",IF(D2557=C2557,1,0),IF(B2557="REGION LOSS",IF(E2557=C2557,1,0),0))</f>
        <v>1</v>
      </c>
      <c r="K2557" s="15" t="n">
        <f aca="false">IF(B2557="SITE LOSS",IF(COUNTIFS('Site Dockets'!$B$7:$B$24,C2557,'Site Dockets'!$C$7:$C$24,F2557)&gt;0,1,0),IF(B2557="REGION LOSS",IF(COUNTIFS('Site Dockets'!$E$7:$E$24,C2557,'Site Dockets'!$C$7:$C$24,F2557)&gt;0,1,0),0))</f>
        <v>1</v>
      </c>
      <c r="L2557" s="15" t="n">
        <f aca="false">IF(J2557=1,0,Inputs!$B$11)</f>
        <v>0</v>
      </c>
      <c r="M2557" s="15" t="n">
        <f aca="false">IF(J2557=1,0,Inputs!$B$12)</f>
        <v>0</v>
      </c>
      <c r="N2557" s="15" t="n">
        <f aca="false">IF(J2557=1,0,IF(OR(AND(OR(B2557="SITE LOSS",B2557="REGION LOSS"),K2557=1),AND(B2557="ROLE COMPROMISE",H2557=C2557)),Inputs!$B$13,Inputs!$B$14))</f>
        <v>0</v>
      </c>
      <c r="O2557" s="15" t="n">
        <f aca="false">IF(J2557=1,0,Inputs!$B$13)</f>
        <v>0</v>
      </c>
      <c r="P2557" s="15" t="n">
        <f aca="false">SUM(M2557:N2557)</f>
        <v>0</v>
      </c>
      <c r="Q2557" s="15" t="str">
        <f aca="false">IF(J2557=1,"",L2557-P2557)</f>
        <v/>
      </c>
      <c r="R2557" s="15" t="n">
        <f aca="false">IF(OR(J2557=1,M2557&lt;=Inputs!$B$12),1,0)</f>
        <v>1</v>
      </c>
      <c r="S2557" s="15" t="n">
        <f aca="false">IF(OR(J2557=1,N2557&lt;=O2557),1,0)</f>
        <v>1</v>
      </c>
      <c r="T2557" s="15" t="str">
        <f aca="false">IF(J2557=1,"OFFLINE",IF(AND(Q2557&gt;=Inputs!$B$15,R2557=1,S2557=1,P2557&lt;=L2557),"PASS","FAIL"))</f>
        <v>OFFLINE</v>
      </c>
    </row>
    <row r="2558" customFormat="false" ht="15" hidden="false" customHeight="false" outlineLevel="0" collapsed="false">
      <c r="A2558" s="14" t="s">
        <v>1043</v>
      </c>
      <c r="B2558" s="14" t="s">
        <v>1038</v>
      </c>
      <c r="C2558" s="14" t="s">
        <v>172</v>
      </c>
      <c r="D2558" s="14" t="s">
        <v>188</v>
      </c>
      <c r="E2558" s="14" t="s">
        <v>172</v>
      </c>
      <c r="F2558" s="14" t="s">
        <v>183</v>
      </c>
      <c r="G2558" s="14" t="n">
        <v>3</v>
      </c>
      <c r="H2558" s="14" t="s">
        <v>158</v>
      </c>
      <c r="I2558" s="14" t="s">
        <v>892</v>
      </c>
      <c r="J2558" s="15" t="n">
        <f aca="false">IF(B2558="SITE LOSS",IF(D2558=C2558,1,0),IF(B2558="REGION LOSS",IF(E2558=C2558,1,0),0))</f>
        <v>1</v>
      </c>
      <c r="K2558" s="15" t="n">
        <f aca="false">IF(B2558="SITE LOSS",IF(COUNTIFS('Site Dockets'!$B$7:$B$24,C2558,'Site Dockets'!$C$7:$C$24,F2558)&gt;0,1,0),IF(B2558="REGION LOSS",IF(COUNTIFS('Site Dockets'!$E$7:$E$24,C2558,'Site Dockets'!$C$7:$C$24,F2558)&gt;0,1,0),0))</f>
        <v>1</v>
      </c>
      <c r="L2558" s="15" t="n">
        <f aca="false">IF(J2558=1,0,Inputs!$B$11)</f>
        <v>0</v>
      </c>
      <c r="M2558" s="15" t="n">
        <f aca="false">IF(J2558=1,0,Inputs!$B$12)</f>
        <v>0</v>
      </c>
      <c r="N2558" s="15" t="n">
        <f aca="false">IF(J2558=1,0,IF(OR(AND(OR(B2558="SITE LOSS",B2558="REGION LOSS"),K2558=1),AND(B2558="ROLE COMPROMISE",H2558=C2558)),Inputs!$B$13,Inputs!$B$14))</f>
        <v>0</v>
      </c>
      <c r="O2558" s="15" t="n">
        <f aca="false">IF(J2558=1,0,Inputs!$B$13)</f>
        <v>0</v>
      </c>
      <c r="P2558" s="15" t="n">
        <f aca="false">SUM(M2558:N2558)</f>
        <v>0</v>
      </c>
      <c r="Q2558" s="15" t="str">
        <f aca="false">IF(J2558=1,"",L2558-P2558)</f>
        <v/>
      </c>
      <c r="R2558" s="15" t="n">
        <f aca="false">IF(OR(J2558=1,M2558&lt;=Inputs!$B$12),1,0)</f>
        <v>1</v>
      </c>
      <c r="S2558" s="15" t="n">
        <f aca="false">IF(OR(J2558=1,N2558&lt;=O2558),1,0)</f>
        <v>1</v>
      </c>
      <c r="T2558" s="15" t="str">
        <f aca="false">IF(J2558=1,"OFFLINE",IF(AND(Q2558&gt;=Inputs!$B$15,R2558=1,S2558=1,P2558&lt;=L2558),"PASS","FAIL"))</f>
        <v>OFFLINE</v>
      </c>
    </row>
    <row r="2559" customFormat="false" ht="15" hidden="false" customHeight="false" outlineLevel="0" collapsed="false">
      <c r="A2559" s="14" t="s">
        <v>1043</v>
      </c>
      <c r="B2559" s="14" t="s">
        <v>1038</v>
      </c>
      <c r="C2559" s="14" t="s">
        <v>172</v>
      </c>
      <c r="D2559" s="14" t="s">
        <v>188</v>
      </c>
      <c r="E2559" s="14" t="s">
        <v>172</v>
      </c>
      <c r="F2559" s="14" t="s">
        <v>183</v>
      </c>
      <c r="G2559" s="14" t="n">
        <v>3</v>
      </c>
      <c r="H2559" s="14" t="s">
        <v>158</v>
      </c>
      <c r="I2559" s="14" t="s">
        <v>811</v>
      </c>
      <c r="J2559" s="15" t="n">
        <f aca="false">IF(B2559="SITE LOSS",IF(D2559=C2559,1,0),IF(B2559="REGION LOSS",IF(E2559=C2559,1,0),0))</f>
        <v>1</v>
      </c>
      <c r="K2559" s="15" t="n">
        <f aca="false">IF(B2559="SITE LOSS",IF(COUNTIFS('Site Dockets'!$B$7:$B$24,C2559,'Site Dockets'!$C$7:$C$24,F2559)&gt;0,1,0),IF(B2559="REGION LOSS",IF(COUNTIFS('Site Dockets'!$E$7:$E$24,C2559,'Site Dockets'!$C$7:$C$24,F2559)&gt;0,1,0),0))</f>
        <v>1</v>
      </c>
      <c r="L2559" s="15" t="n">
        <f aca="false">IF(J2559=1,0,Inputs!$B$11)</f>
        <v>0</v>
      </c>
      <c r="M2559" s="15" t="n">
        <f aca="false">IF(J2559=1,0,Inputs!$B$12)</f>
        <v>0</v>
      </c>
      <c r="N2559" s="15" t="n">
        <f aca="false">IF(J2559=1,0,IF(OR(AND(OR(B2559="SITE LOSS",B2559="REGION LOSS"),K2559=1),AND(B2559="ROLE COMPROMISE",H2559=C2559)),Inputs!$B$13,Inputs!$B$14))</f>
        <v>0</v>
      </c>
      <c r="O2559" s="15" t="n">
        <f aca="false">IF(J2559=1,0,Inputs!$B$13)</f>
        <v>0</v>
      </c>
      <c r="P2559" s="15" t="n">
        <f aca="false">SUM(M2559:N2559)</f>
        <v>0</v>
      </c>
      <c r="Q2559" s="15" t="str">
        <f aca="false">IF(J2559=1,"",L2559-P2559)</f>
        <v/>
      </c>
      <c r="R2559" s="15" t="n">
        <f aca="false">IF(OR(J2559=1,M2559&lt;=Inputs!$B$12),1,0)</f>
        <v>1</v>
      </c>
      <c r="S2559" s="15" t="n">
        <f aca="false">IF(OR(J2559=1,N2559&lt;=O2559),1,0)</f>
        <v>1</v>
      </c>
      <c r="T2559" s="15" t="str">
        <f aca="false">IF(J2559=1,"OFFLINE",IF(AND(Q2559&gt;=Inputs!$B$15,R2559=1,S2559=1,P2559&lt;=L2559),"PASS","FAIL"))</f>
        <v>OFFLINE</v>
      </c>
    </row>
    <row r="2560" customFormat="false" ht="15" hidden="false" customHeight="false" outlineLevel="0" collapsed="false">
      <c r="A2560" s="14" t="s">
        <v>1043</v>
      </c>
      <c r="B2560" s="14" t="s">
        <v>1038</v>
      </c>
      <c r="C2560" s="14" t="s">
        <v>172</v>
      </c>
      <c r="D2560" s="14" t="s">
        <v>188</v>
      </c>
      <c r="E2560" s="14" t="s">
        <v>172</v>
      </c>
      <c r="F2560" s="14" t="s">
        <v>183</v>
      </c>
      <c r="G2560" s="14" t="n">
        <v>3</v>
      </c>
      <c r="H2560" s="14" t="s">
        <v>158</v>
      </c>
      <c r="I2560" s="14" t="s">
        <v>895</v>
      </c>
      <c r="J2560" s="15" t="n">
        <f aca="false">IF(B2560="SITE LOSS",IF(D2560=C2560,1,0),IF(B2560="REGION LOSS",IF(E2560=C2560,1,0),0))</f>
        <v>1</v>
      </c>
      <c r="K2560" s="15" t="n">
        <f aca="false">IF(B2560="SITE LOSS",IF(COUNTIFS('Site Dockets'!$B$7:$B$24,C2560,'Site Dockets'!$C$7:$C$24,F2560)&gt;0,1,0),IF(B2560="REGION LOSS",IF(COUNTIFS('Site Dockets'!$E$7:$E$24,C2560,'Site Dockets'!$C$7:$C$24,F2560)&gt;0,1,0),0))</f>
        <v>1</v>
      </c>
      <c r="L2560" s="15" t="n">
        <f aca="false">IF(J2560=1,0,Inputs!$B$11)</f>
        <v>0</v>
      </c>
      <c r="M2560" s="15" t="n">
        <f aca="false">IF(J2560=1,0,Inputs!$B$12)</f>
        <v>0</v>
      </c>
      <c r="N2560" s="15" t="n">
        <f aca="false">IF(J2560=1,0,IF(OR(AND(OR(B2560="SITE LOSS",B2560="REGION LOSS"),K2560=1),AND(B2560="ROLE COMPROMISE",H2560=C2560)),Inputs!$B$13,Inputs!$B$14))</f>
        <v>0</v>
      </c>
      <c r="O2560" s="15" t="n">
        <f aca="false">IF(J2560=1,0,Inputs!$B$13)</f>
        <v>0</v>
      </c>
      <c r="P2560" s="15" t="n">
        <f aca="false">SUM(M2560:N2560)</f>
        <v>0</v>
      </c>
      <c r="Q2560" s="15" t="str">
        <f aca="false">IF(J2560=1,"",L2560-P2560)</f>
        <v/>
      </c>
      <c r="R2560" s="15" t="n">
        <f aca="false">IF(OR(J2560=1,M2560&lt;=Inputs!$B$12),1,0)</f>
        <v>1</v>
      </c>
      <c r="S2560" s="15" t="n">
        <f aca="false">IF(OR(J2560=1,N2560&lt;=O2560),1,0)</f>
        <v>1</v>
      </c>
      <c r="T2560" s="15" t="str">
        <f aca="false">IF(J2560=1,"OFFLINE",IF(AND(Q2560&gt;=Inputs!$B$15,R2560=1,S2560=1,P2560&lt;=L2560),"PASS","FAIL"))</f>
        <v>OFFLINE</v>
      </c>
    </row>
    <row r="2561" customFormat="false" ht="15" hidden="false" customHeight="false" outlineLevel="0" collapsed="false">
      <c r="A2561" s="14" t="s">
        <v>1043</v>
      </c>
      <c r="B2561" s="14" t="s">
        <v>1038</v>
      </c>
      <c r="C2561" s="14" t="s">
        <v>172</v>
      </c>
      <c r="D2561" s="14" t="s">
        <v>188</v>
      </c>
      <c r="E2561" s="14" t="s">
        <v>172</v>
      </c>
      <c r="F2561" s="14" t="s">
        <v>183</v>
      </c>
      <c r="G2561" s="14" t="n">
        <v>3</v>
      </c>
      <c r="H2561" s="14" t="s">
        <v>158</v>
      </c>
      <c r="I2561" s="14" t="s">
        <v>897</v>
      </c>
      <c r="J2561" s="15" t="n">
        <f aca="false">IF(B2561="SITE LOSS",IF(D2561=C2561,1,0),IF(B2561="REGION LOSS",IF(E2561=C2561,1,0),0))</f>
        <v>1</v>
      </c>
      <c r="K2561" s="15" t="n">
        <f aca="false">IF(B2561="SITE LOSS",IF(COUNTIFS('Site Dockets'!$B$7:$B$24,C2561,'Site Dockets'!$C$7:$C$24,F2561)&gt;0,1,0),IF(B2561="REGION LOSS",IF(COUNTIFS('Site Dockets'!$E$7:$E$24,C2561,'Site Dockets'!$C$7:$C$24,F2561)&gt;0,1,0),0))</f>
        <v>1</v>
      </c>
      <c r="L2561" s="15" t="n">
        <f aca="false">IF(J2561=1,0,Inputs!$B$11)</f>
        <v>0</v>
      </c>
      <c r="M2561" s="15" t="n">
        <f aca="false">IF(J2561=1,0,Inputs!$B$12)</f>
        <v>0</v>
      </c>
      <c r="N2561" s="15" t="n">
        <f aca="false">IF(J2561=1,0,IF(OR(AND(OR(B2561="SITE LOSS",B2561="REGION LOSS"),K2561=1),AND(B2561="ROLE COMPROMISE",H2561=C2561)),Inputs!$B$13,Inputs!$B$14))</f>
        <v>0</v>
      </c>
      <c r="O2561" s="15" t="n">
        <f aca="false">IF(J2561=1,0,Inputs!$B$13)</f>
        <v>0</v>
      </c>
      <c r="P2561" s="15" t="n">
        <f aca="false">SUM(M2561:N2561)</f>
        <v>0</v>
      </c>
      <c r="Q2561" s="15" t="str">
        <f aca="false">IF(J2561=1,"",L2561-P2561)</f>
        <v/>
      </c>
      <c r="R2561" s="15" t="n">
        <f aca="false">IF(OR(J2561=1,M2561&lt;=Inputs!$B$12),1,0)</f>
        <v>1</v>
      </c>
      <c r="S2561" s="15" t="n">
        <f aca="false">IF(OR(J2561=1,N2561&lt;=O2561),1,0)</f>
        <v>1</v>
      </c>
      <c r="T2561" s="15" t="str">
        <f aca="false">IF(J2561=1,"OFFLINE",IF(AND(Q2561&gt;=Inputs!$B$15,R2561=1,S2561=1,P2561&lt;=L2561),"PASS","FAIL"))</f>
        <v>OFFLINE</v>
      </c>
    </row>
    <row r="2562" customFormat="false" ht="15" hidden="false" customHeight="false" outlineLevel="0" collapsed="false">
      <c r="A2562" s="14" t="s">
        <v>1043</v>
      </c>
      <c r="B2562" s="14" t="s">
        <v>1038</v>
      </c>
      <c r="C2562" s="14" t="s">
        <v>172</v>
      </c>
      <c r="D2562" s="14" t="s">
        <v>188</v>
      </c>
      <c r="E2562" s="14" t="s">
        <v>172</v>
      </c>
      <c r="F2562" s="14" t="s">
        <v>183</v>
      </c>
      <c r="G2562" s="14" t="n">
        <v>3</v>
      </c>
      <c r="H2562" s="14" t="s">
        <v>158</v>
      </c>
      <c r="I2562" s="14" t="s">
        <v>899</v>
      </c>
      <c r="J2562" s="15" t="n">
        <f aca="false">IF(B2562="SITE LOSS",IF(D2562=C2562,1,0),IF(B2562="REGION LOSS",IF(E2562=C2562,1,0),0))</f>
        <v>1</v>
      </c>
      <c r="K2562" s="15" t="n">
        <f aca="false">IF(B2562="SITE LOSS",IF(COUNTIFS('Site Dockets'!$B$7:$B$24,C2562,'Site Dockets'!$C$7:$C$24,F2562)&gt;0,1,0),IF(B2562="REGION LOSS",IF(COUNTIFS('Site Dockets'!$E$7:$E$24,C2562,'Site Dockets'!$C$7:$C$24,F2562)&gt;0,1,0),0))</f>
        <v>1</v>
      </c>
      <c r="L2562" s="15" t="n">
        <f aca="false">IF(J2562=1,0,Inputs!$B$11)</f>
        <v>0</v>
      </c>
      <c r="M2562" s="15" t="n">
        <f aca="false">IF(J2562=1,0,Inputs!$B$12)</f>
        <v>0</v>
      </c>
      <c r="N2562" s="15" t="n">
        <f aca="false">IF(J2562=1,0,IF(OR(AND(OR(B2562="SITE LOSS",B2562="REGION LOSS"),K2562=1),AND(B2562="ROLE COMPROMISE",H2562=C2562)),Inputs!$B$13,Inputs!$B$14))</f>
        <v>0</v>
      </c>
      <c r="O2562" s="15" t="n">
        <f aca="false">IF(J2562=1,0,Inputs!$B$13)</f>
        <v>0</v>
      </c>
      <c r="P2562" s="15" t="n">
        <f aca="false">SUM(M2562:N2562)</f>
        <v>0</v>
      </c>
      <c r="Q2562" s="15" t="str">
        <f aca="false">IF(J2562=1,"",L2562-P2562)</f>
        <v/>
      </c>
      <c r="R2562" s="15" t="n">
        <f aca="false">IF(OR(J2562=1,M2562&lt;=Inputs!$B$12),1,0)</f>
        <v>1</v>
      </c>
      <c r="S2562" s="15" t="n">
        <f aca="false">IF(OR(J2562=1,N2562&lt;=O2562),1,0)</f>
        <v>1</v>
      </c>
      <c r="T2562" s="15" t="str">
        <f aca="false">IF(J2562=1,"OFFLINE",IF(AND(Q2562&gt;=Inputs!$B$15,R2562=1,S2562=1,P2562&lt;=L2562),"PASS","FAIL"))</f>
        <v>OFFLINE</v>
      </c>
    </row>
    <row r="2563" customFormat="false" ht="15" hidden="false" customHeight="false" outlineLevel="0" collapsed="false">
      <c r="A2563" s="14" t="s">
        <v>1043</v>
      </c>
      <c r="B2563" s="14" t="s">
        <v>1038</v>
      </c>
      <c r="C2563" s="14" t="s">
        <v>172</v>
      </c>
      <c r="D2563" s="14" t="s">
        <v>190</v>
      </c>
      <c r="E2563" s="14" t="s">
        <v>152</v>
      </c>
      <c r="F2563" s="14" t="s">
        <v>191</v>
      </c>
      <c r="G2563" s="14" t="n">
        <v>1</v>
      </c>
      <c r="H2563" s="14" t="s">
        <v>154</v>
      </c>
      <c r="I2563" s="14" t="s">
        <v>890</v>
      </c>
      <c r="J2563" s="15" t="n">
        <f aca="false">IF(B2563="SITE LOSS",IF(D2563=C2563,1,0),IF(B2563="REGION LOSS",IF(E2563=C2563,1,0),0))</f>
        <v>0</v>
      </c>
      <c r="K2563" s="15" t="n">
        <f aca="false">IF(B2563="SITE LOSS",IF(COUNTIFS('Site Dockets'!$B$7:$B$24,C2563,'Site Dockets'!$C$7:$C$24,F2563)&gt;0,1,0),IF(B2563="REGION LOSS",IF(COUNTIFS('Site Dockets'!$E$7:$E$24,C2563,'Site Dockets'!$C$7:$C$24,F2563)&gt;0,1,0),0))</f>
        <v>1</v>
      </c>
      <c r="L2563" s="15" t="n">
        <f aca="false">IF(J2563=1,0,Inputs!$B$11)</f>
        <v>100</v>
      </c>
      <c r="M2563" s="15" t="n">
        <f aca="false">IF(J2563=1,0,Inputs!$B$12)</f>
        <v>75</v>
      </c>
      <c r="N2563" s="15" t="n">
        <f aca="false">IF(J2563=1,0,IF(OR(AND(OR(B2563="SITE LOSS",B2563="REGION LOSS"),K2563=1),AND(B2563="ROLE COMPROMISE",H2563=C2563)),Inputs!$B$13,Inputs!$B$14))</f>
        <v>20</v>
      </c>
      <c r="O2563" s="15" t="n">
        <f aca="false">IF(J2563=1,0,Inputs!$B$13)</f>
        <v>20</v>
      </c>
      <c r="P2563" s="15" t="n">
        <f aca="false">SUM(M2563:N2563)</f>
        <v>95</v>
      </c>
      <c r="Q2563" s="15" t="n">
        <f aca="false">IF(J2563=1,"",L2563-P2563)</f>
        <v>5</v>
      </c>
      <c r="R2563" s="15" t="n">
        <f aca="false">IF(OR(J2563=1,M2563&lt;=Inputs!$B$12),1,0)</f>
        <v>1</v>
      </c>
      <c r="S2563" s="15" t="n">
        <f aca="false">IF(OR(J2563=1,N2563&lt;=O2563),1,0)</f>
        <v>1</v>
      </c>
      <c r="T2563" s="15" t="str">
        <f aca="false">IF(J2563=1,"OFFLINE",IF(AND(Q2563&gt;=Inputs!$B$15,R2563=1,S2563=1,P2563&lt;=L2563),"PASS","FAIL"))</f>
        <v>PASS</v>
      </c>
    </row>
    <row r="2564" customFormat="false" ht="15" hidden="false" customHeight="false" outlineLevel="0" collapsed="false">
      <c r="A2564" s="14" t="s">
        <v>1043</v>
      </c>
      <c r="B2564" s="14" t="s">
        <v>1038</v>
      </c>
      <c r="C2564" s="14" t="s">
        <v>172</v>
      </c>
      <c r="D2564" s="14" t="s">
        <v>190</v>
      </c>
      <c r="E2564" s="14" t="s">
        <v>152</v>
      </c>
      <c r="F2564" s="14" t="s">
        <v>191</v>
      </c>
      <c r="G2564" s="14" t="n">
        <v>1</v>
      </c>
      <c r="H2564" s="14" t="s">
        <v>154</v>
      </c>
      <c r="I2564" s="14" t="s">
        <v>892</v>
      </c>
      <c r="J2564" s="15" t="n">
        <f aca="false">IF(B2564="SITE LOSS",IF(D2564=C2564,1,0),IF(B2564="REGION LOSS",IF(E2564=C2564,1,0),0))</f>
        <v>0</v>
      </c>
      <c r="K2564" s="15" t="n">
        <f aca="false">IF(B2564="SITE LOSS",IF(COUNTIFS('Site Dockets'!$B$7:$B$24,C2564,'Site Dockets'!$C$7:$C$24,F2564)&gt;0,1,0),IF(B2564="REGION LOSS",IF(COUNTIFS('Site Dockets'!$E$7:$E$24,C2564,'Site Dockets'!$C$7:$C$24,F2564)&gt;0,1,0),0))</f>
        <v>1</v>
      </c>
      <c r="L2564" s="15" t="n">
        <f aca="false">IF(J2564=1,0,Inputs!$B$11)</f>
        <v>100</v>
      </c>
      <c r="M2564" s="15" t="n">
        <f aca="false">IF(J2564=1,0,Inputs!$B$12)</f>
        <v>75</v>
      </c>
      <c r="N2564" s="15" t="n">
        <f aca="false">IF(J2564=1,0,IF(OR(AND(OR(B2564="SITE LOSS",B2564="REGION LOSS"),K2564=1),AND(B2564="ROLE COMPROMISE",H2564=C2564)),Inputs!$B$13,Inputs!$B$14))</f>
        <v>20</v>
      </c>
      <c r="O2564" s="15" t="n">
        <f aca="false">IF(J2564=1,0,Inputs!$B$13)</f>
        <v>20</v>
      </c>
      <c r="P2564" s="15" t="n">
        <f aca="false">SUM(M2564:N2564)</f>
        <v>95</v>
      </c>
      <c r="Q2564" s="15" t="n">
        <f aca="false">IF(J2564=1,"",L2564-P2564)</f>
        <v>5</v>
      </c>
      <c r="R2564" s="15" t="n">
        <f aca="false">IF(OR(J2564=1,M2564&lt;=Inputs!$B$12),1,0)</f>
        <v>1</v>
      </c>
      <c r="S2564" s="15" t="n">
        <f aca="false">IF(OR(J2564=1,N2564&lt;=O2564),1,0)</f>
        <v>1</v>
      </c>
      <c r="T2564" s="15" t="str">
        <f aca="false">IF(J2564=1,"OFFLINE",IF(AND(Q2564&gt;=Inputs!$B$15,R2564=1,S2564=1,P2564&lt;=L2564),"PASS","FAIL"))</f>
        <v>PASS</v>
      </c>
    </row>
    <row r="2565" customFormat="false" ht="15" hidden="false" customHeight="false" outlineLevel="0" collapsed="false">
      <c r="A2565" s="14" t="s">
        <v>1043</v>
      </c>
      <c r="B2565" s="14" t="s">
        <v>1038</v>
      </c>
      <c r="C2565" s="14" t="s">
        <v>172</v>
      </c>
      <c r="D2565" s="14" t="s">
        <v>190</v>
      </c>
      <c r="E2565" s="14" t="s">
        <v>152</v>
      </c>
      <c r="F2565" s="14" t="s">
        <v>191</v>
      </c>
      <c r="G2565" s="14" t="n">
        <v>1</v>
      </c>
      <c r="H2565" s="14" t="s">
        <v>154</v>
      </c>
      <c r="I2565" s="14" t="s">
        <v>811</v>
      </c>
      <c r="J2565" s="15" t="n">
        <f aca="false">IF(B2565="SITE LOSS",IF(D2565=C2565,1,0),IF(B2565="REGION LOSS",IF(E2565=C2565,1,0),0))</f>
        <v>0</v>
      </c>
      <c r="K2565" s="15" t="n">
        <f aca="false">IF(B2565="SITE LOSS",IF(COUNTIFS('Site Dockets'!$B$7:$B$24,C2565,'Site Dockets'!$C$7:$C$24,F2565)&gt;0,1,0),IF(B2565="REGION LOSS",IF(COUNTIFS('Site Dockets'!$E$7:$E$24,C2565,'Site Dockets'!$C$7:$C$24,F2565)&gt;0,1,0),0))</f>
        <v>1</v>
      </c>
      <c r="L2565" s="15" t="n">
        <f aca="false">IF(J2565=1,0,Inputs!$B$11)</f>
        <v>100</v>
      </c>
      <c r="M2565" s="15" t="n">
        <f aca="false">IF(J2565=1,0,Inputs!$B$12)</f>
        <v>75</v>
      </c>
      <c r="N2565" s="15" t="n">
        <f aca="false">IF(J2565=1,0,IF(OR(AND(OR(B2565="SITE LOSS",B2565="REGION LOSS"),K2565=1),AND(B2565="ROLE COMPROMISE",H2565=C2565)),Inputs!$B$13,Inputs!$B$14))</f>
        <v>20</v>
      </c>
      <c r="O2565" s="15" t="n">
        <f aca="false">IF(J2565=1,0,Inputs!$B$13)</f>
        <v>20</v>
      </c>
      <c r="P2565" s="15" t="n">
        <f aca="false">SUM(M2565:N2565)</f>
        <v>95</v>
      </c>
      <c r="Q2565" s="15" t="n">
        <f aca="false">IF(J2565=1,"",L2565-P2565)</f>
        <v>5</v>
      </c>
      <c r="R2565" s="15" t="n">
        <f aca="false">IF(OR(J2565=1,M2565&lt;=Inputs!$B$12),1,0)</f>
        <v>1</v>
      </c>
      <c r="S2565" s="15" t="n">
        <f aca="false">IF(OR(J2565=1,N2565&lt;=O2565),1,0)</f>
        <v>1</v>
      </c>
      <c r="T2565" s="15" t="str">
        <f aca="false">IF(J2565=1,"OFFLINE",IF(AND(Q2565&gt;=Inputs!$B$15,R2565=1,S2565=1,P2565&lt;=L2565),"PASS","FAIL"))</f>
        <v>PASS</v>
      </c>
    </row>
    <row r="2566" customFormat="false" ht="15" hidden="false" customHeight="false" outlineLevel="0" collapsed="false">
      <c r="A2566" s="14" t="s">
        <v>1043</v>
      </c>
      <c r="B2566" s="14" t="s">
        <v>1038</v>
      </c>
      <c r="C2566" s="14" t="s">
        <v>172</v>
      </c>
      <c r="D2566" s="14" t="s">
        <v>190</v>
      </c>
      <c r="E2566" s="14" t="s">
        <v>152</v>
      </c>
      <c r="F2566" s="14" t="s">
        <v>191</v>
      </c>
      <c r="G2566" s="14" t="n">
        <v>1</v>
      </c>
      <c r="H2566" s="14" t="s">
        <v>154</v>
      </c>
      <c r="I2566" s="14" t="s">
        <v>895</v>
      </c>
      <c r="J2566" s="15" t="n">
        <f aca="false">IF(B2566="SITE LOSS",IF(D2566=C2566,1,0),IF(B2566="REGION LOSS",IF(E2566=C2566,1,0),0))</f>
        <v>0</v>
      </c>
      <c r="K2566" s="15" t="n">
        <f aca="false">IF(B2566="SITE LOSS",IF(COUNTIFS('Site Dockets'!$B$7:$B$24,C2566,'Site Dockets'!$C$7:$C$24,F2566)&gt;0,1,0),IF(B2566="REGION LOSS",IF(COUNTIFS('Site Dockets'!$E$7:$E$24,C2566,'Site Dockets'!$C$7:$C$24,F2566)&gt;0,1,0),0))</f>
        <v>1</v>
      </c>
      <c r="L2566" s="15" t="n">
        <f aca="false">IF(J2566=1,0,Inputs!$B$11)</f>
        <v>100</v>
      </c>
      <c r="M2566" s="15" t="n">
        <f aca="false">IF(J2566=1,0,Inputs!$B$12)</f>
        <v>75</v>
      </c>
      <c r="N2566" s="15" t="n">
        <f aca="false">IF(J2566=1,0,IF(OR(AND(OR(B2566="SITE LOSS",B2566="REGION LOSS"),K2566=1),AND(B2566="ROLE COMPROMISE",H2566=C2566)),Inputs!$B$13,Inputs!$B$14))</f>
        <v>20</v>
      </c>
      <c r="O2566" s="15" t="n">
        <f aca="false">IF(J2566=1,0,Inputs!$B$13)</f>
        <v>20</v>
      </c>
      <c r="P2566" s="15" t="n">
        <f aca="false">SUM(M2566:N2566)</f>
        <v>95</v>
      </c>
      <c r="Q2566" s="15" t="n">
        <f aca="false">IF(J2566=1,"",L2566-P2566)</f>
        <v>5</v>
      </c>
      <c r="R2566" s="15" t="n">
        <f aca="false">IF(OR(J2566=1,M2566&lt;=Inputs!$B$12),1,0)</f>
        <v>1</v>
      </c>
      <c r="S2566" s="15" t="n">
        <f aca="false">IF(OR(J2566=1,N2566&lt;=O2566),1,0)</f>
        <v>1</v>
      </c>
      <c r="T2566" s="15" t="str">
        <f aca="false">IF(J2566=1,"OFFLINE",IF(AND(Q2566&gt;=Inputs!$B$15,R2566=1,S2566=1,P2566&lt;=L2566),"PASS","FAIL"))</f>
        <v>PASS</v>
      </c>
    </row>
    <row r="2567" customFormat="false" ht="15" hidden="false" customHeight="false" outlineLevel="0" collapsed="false">
      <c r="A2567" s="14" t="s">
        <v>1043</v>
      </c>
      <c r="B2567" s="14" t="s">
        <v>1038</v>
      </c>
      <c r="C2567" s="14" t="s">
        <v>172</v>
      </c>
      <c r="D2567" s="14" t="s">
        <v>190</v>
      </c>
      <c r="E2567" s="14" t="s">
        <v>152</v>
      </c>
      <c r="F2567" s="14" t="s">
        <v>191</v>
      </c>
      <c r="G2567" s="14" t="n">
        <v>1</v>
      </c>
      <c r="H2567" s="14" t="s">
        <v>154</v>
      </c>
      <c r="I2567" s="14" t="s">
        <v>897</v>
      </c>
      <c r="J2567" s="15" t="n">
        <f aca="false">IF(B2567="SITE LOSS",IF(D2567=C2567,1,0),IF(B2567="REGION LOSS",IF(E2567=C2567,1,0),0))</f>
        <v>0</v>
      </c>
      <c r="K2567" s="15" t="n">
        <f aca="false">IF(B2567="SITE LOSS",IF(COUNTIFS('Site Dockets'!$B$7:$B$24,C2567,'Site Dockets'!$C$7:$C$24,F2567)&gt;0,1,0),IF(B2567="REGION LOSS",IF(COUNTIFS('Site Dockets'!$E$7:$E$24,C2567,'Site Dockets'!$C$7:$C$24,F2567)&gt;0,1,0),0))</f>
        <v>1</v>
      </c>
      <c r="L2567" s="15" t="n">
        <f aca="false">IF(J2567=1,0,Inputs!$B$11)</f>
        <v>100</v>
      </c>
      <c r="M2567" s="15" t="n">
        <f aca="false">IF(J2567=1,0,Inputs!$B$12)</f>
        <v>75</v>
      </c>
      <c r="N2567" s="15" t="n">
        <f aca="false">IF(J2567=1,0,IF(OR(AND(OR(B2567="SITE LOSS",B2567="REGION LOSS"),K2567=1),AND(B2567="ROLE COMPROMISE",H2567=C2567)),Inputs!$B$13,Inputs!$B$14))</f>
        <v>20</v>
      </c>
      <c r="O2567" s="15" t="n">
        <f aca="false">IF(J2567=1,0,Inputs!$B$13)</f>
        <v>20</v>
      </c>
      <c r="P2567" s="15" t="n">
        <f aca="false">SUM(M2567:N2567)</f>
        <v>95</v>
      </c>
      <c r="Q2567" s="15" t="n">
        <f aca="false">IF(J2567=1,"",L2567-P2567)</f>
        <v>5</v>
      </c>
      <c r="R2567" s="15" t="n">
        <f aca="false">IF(OR(J2567=1,M2567&lt;=Inputs!$B$12),1,0)</f>
        <v>1</v>
      </c>
      <c r="S2567" s="15" t="n">
        <f aca="false">IF(OR(J2567=1,N2567&lt;=O2567),1,0)</f>
        <v>1</v>
      </c>
      <c r="T2567" s="15" t="str">
        <f aca="false">IF(J2567=1,"OFFLINE",IF(AND(Q2567&gt;=Inputs!$B$15,R2567=1,S2567=1,P2567&lt;=L2567),"PASS","FAIL"))</f>
        <v>PASS</v>
      </c>
    </row>
    <row r="2568" customFormat="false" ht="15" hidden="false" customHeight="false" outlineLevel="0" collapsed="false">
      <c r="A2568" s="14" t="s">
        <v>1043</v>
      </c>
      <c r="B2568" s="14" t="s">
        <v>1038</v>
      </c>
      <c r="C2568" s="14" t="s">
        <v>172</v>
      </c>
      <c r="D2568" s="14" t="s">
        <v>190</v>
      </c>
      <c r="E2568" s="14" t="s">
        <v>152</v>
      </c>
      <c r="F2568" s="14" t="s">
        <v>191</v>
      </c>
      <c r="G2568" s="14" t="n">
        <v>1</v>
      </c>
      <c r="H2568" s="14" t="s">
        <v>154</v>
      </c>
      <c r="I2568" s="14" t="s">
        <v>899</v>
      </c>
      <c r="J2568" s="15" t="n">
        <f aca="false">IF(B2568="SITE LOSS",IF(D2568=C2568,1,0),IF(B2568="REGION LOSS",IF(E2568=C2568,1,0),0))</f>
        <v>0</v>
      </c>
      <c r="K2568" s="15" t="n">
        <f aca="false">IF(B2568="SITE LOSS",IF(COUNTIFS('Site Dockets'!$B$7:$B$24,C2568,'Site Dockets'!$C$7:$C$24,F2568)&gt;0,1,0),IF(B2568="REGION LOSS",IF(COUNTIFS('Site Dockets'!$E$7:$E$24,C2568,'Site Dockets'!$C$7:$C$24,F2568)&gt;0,1,0),0))</f>
        <v>1</v>
      </c>
      <c r="L2568" s="15" t="n">
        <f aca="false">IF(J2568=1,0,Inputs!$B$11)</f>
        <v>100</v>
      </c>
      <c r="M2568" s="15" t="n">
        <f aca="false">IF(J2568=1,0,Inputs!$B$12)</f>
        <v>75</v>
      </c>
      <c r="N2568" s="15" t="n">
        <f aca="false">IF(J2568=1,0,IF(OR(AND(OR(B2568="SITE LOSS",B2568="REGION LOSS"),K2568=1),AND(B2568="ROLE COMPROMISE",H2568=C2568)),Inputs!$B$13,Inputs!$B$14))</f>
        <v>20</v>
      </c>
      <c r="O2568" s="15" t="n">
        <f aca="false">IF(J2568=1,0,Inputs!$B$13)</f>
        <v>20</v>
      </c>
      <c r="P2568" s="15" t="n">
        <f aca="false">SUM(M2568:N2568)</f>
        <v>95</v>
      </c>
      <c r="Q2568" s="15" t="n">
        <f aca="false">IF(J2568=1,"",L2568-P2568)</f>
        <v>5</v>
      </c>
      <c r="R2568" s="15" t="n">
        <f aca="false">IF(OR(J2568=1,M2568&lt;=Inputs!$B$12),1,0)</f>
        <v>1</v>
      </c>
      <c r="S2568" s="15" t="n">
        <f aca="false">IF(OR(J2568=1,N2568&lt;=O2568),1,0)</f>
        <v>1</v>
      </c>
      <c r="T2568" s="15" t="str">
        <f aca="false">IF(J2568=1,"OFFLINE",IF(AND(Q2568&gt;=Inputs!$B$15,R2568=1,S2568=1,P2568&lt;=L2568),"PASS","FAIL"))</f>
        <v>PASS</v>
      </c>
    </row>
    <row r="2569" customFormat="false" ht="15" hidden="false" customHeight="false" outlineLevel="0" collapsed="false">
      <c r="A2569" s="14" t="s">
        <v>1043</v>
      </c>
      <c r="B2569" s="14" t="s">
        <v>1038</v>
      </c>
      <c r="C2569" s="14" t="s">
        <v>172</v>
      </c>
      <c r="D2569" s="14" t="s">
        <v>194</v>
      </c>
      <c r="E2569" s="14" t="s">
        <v>169</v>
      </c>
      <c r="F2569" s="14" t="s">
        <v>191</v>
      </c>
      <c r="G2569" s="14" t="n">
        <v>2</v>
      </c>
      <c r="H2569" s="14" t="s">
        <v>153</v>
      </c>
      <c r="I2569" s="14" t="s">
        <v>890</v>
      </c>
      <c r="J2569" s="15" t="n">
        <f aca="false">IF(B2569="SITE LOSS",IF(D2569=C2569,1,0),IF(B2569="REGION LOSS",IF(E2569=C2569,1,0),0))</f>
        <v>0</v>
      </c>
      <c r="K2569" s="15" t="n">
        <f aca="false">IF(B2569="SITE LOSS",IF(COUNTIFS('Site Dockets'!$B$7:$B$24,C2569,'Site Dockets'!$C$7:$C$24,F2569)&gt;0,1,0),IF(B2569="REGION LOSS",IF(COUNTIFS('Site Dockets'!$E$7:$E$24,C2569,'Site Dockets'!$C$7:$C$24,F2569)&gt;0,1,0),0))</f>
        <v>1</v>
      </c>
      <c r="L2569" s="15" t="n">
        <f aca="false">IF(J2569=1,0,Inputs!$B$11)</f>
        <v>100</v>
      </c>
      <c r="M2569" s="15" t="n">
        <f aca="false">IF(J2569=1,0,Inputs!$B$12)</f>
        <v>75</v>
      </c>
      <c r="N2569" s="15" t="n">
        <f aca="false">IF(J2569=1,0,IF(OR(AND(OR(B2569="SITE LOSS",B2569="REGION LOSS"),K2569=1),AND(B2569="ROLE COMPROMISE",H2569=C2569)),Inputs!$B$13,Inputs!$B$14))</f>
        <v>20</v>
      </c>
      <c r="O2569" s="15" t="n">
        <f aca="false">IF(J2569=1,0,Inputs!$B$13)</f>
        <v>20</v>
      </c>
      <c r="P2569" s="15" t="n">
        <f aca="false">SUM(M2569:N2569)</f>
        <v>95</v>
      </c>
      <c r="Q2569" s="15" t="n">
        <f aca="false">IF(J2569=1,"",L2569-P2569)</f>
        <v>5</v>
      </c>
      <c r="R2569" s="15" t="n">
        <f aca="false">IF(OR(J2569=1,M2569&lt;=Inputs!$B$12),1,0)</f>
        <v>1</v>
      </c>
      <c r="S2569" s="15" t="n">
        <f aca="false">IF(OR(J2569=1,N2569&lt;=O2569),1,0)</f>
        <v>1</v>
      </c>
      <c r="T2569" s="15" t="str">
        <f aca="false">IF(J2569=1,"OFFLINE",IF(AND(Q2569&gt;=Inputs!$B$15,R2569=1,S2569=1,P2569&lt;=L2569),"PASS","FAIL"))</f>
        <v>PASS</v>
      </c>
    </row>
    <row r="2570" customFormat="false" ht="15" hidden="false" customHeight="false" outlineLevel="0" collapsed="false">
      <c r="A2570" s="14" t="s">
        <v>1043</v>
      </c>
      <c r="B2570" s="14" t="s">
        <v>1038</v>
      </c>
      <c r="C2570" s="14" t="s">
        <v>172</v>
      </c>
      <c r="D2570" s="14" t="s">
        <v>194</v>
      </c>
      <c r="E2570" s="14" t="s">
        <v>169</v>
      </c>
      <c r="F2570" s="14" t="s">
        <v>191</v>
      </c>
      <c r="G2570" s="14" t="n">
        <v>2</v>
      </c>
      <c r="H2570" s="14" t="s">
        <v>153</v>
      </c>
      <c r="I2570" s="14" t="s">
        <v>892</v>
      </c>
      <c r="J2570" s="15" t="n">
        <f aca="false">IF(B2570="SITE LOSS",IF(D2570=C2570,1,0),IF(B2570="REGION LOSS",IF(E2570=C2570,1,0),0))</f>
        <v>0</v>
      </c>
      <c r="K2570" s="15" t="n">
        <f aca="false">IF(B2570="SITE LOSS",IF(COUNTIFS('Site Dockets'!$B$7:$B$24,C2570,'Site Dockets'!$C$7:$C$24,F2570)&gt;0,1,0),IF(B2570="REGION LOSS",IF(COUNTIFS('Site Dockets'!$E$7:$E$24,C2570,'Site Dockets'!$C$7:$C$24,F2570)&gt;0,1,0),0))</f>
        <v>1</v>
      </c>
      <c r="L2570" s="15" t="n">
        <f aca="false">IF(J2570=1,0,Inputs!$B$11)</f>
        <v>100</v>
      </c>
      <c r="M2570" s="15" t="n">
        <f aca="false">IF(J2570=1,0,Inputs!$B$12)</f>
        <v>75</v>
      </c>
      <c r="N2570" s="15" t="n">
        <f aca="false">IF(J2570=1,0,IF(OR(AND(OR(B2570="SITE LOSS",B2570="REGION LOSS"),K2570=1),AND(B2570="ROLE COMPROMISE",H2570=C2570)),Inputs!$B$13,Inputs!$B$14))</f>
        <v>20</v>
      </c>
      <c r="O2570" s="15" t="n">
        <f aca="false">IF(J2570=1,0,Inputs!$B$13)</f>
        <v>20</v>
      </c>
      <c r="P2570" s="15" t="n">
        <f aca="false">SUM(M2570:N2570)</f>
        <v>95</v>
      </c>
      <c r="Q2570" s="15" t="n">
        <f aca="false">IF(J2570=1,"",L2570-P2570)</f>
        <v>5</v>
      </c>
      <c r="R2570" s="15" t="n">
        <f aca="false">IF(OR(J2570=1,M2570&lt;=Inputs!$B$12),1,0)</f>
        <v>1</v>
      </c>
      <c r="S2570" s="15" t="n">
        <f aca="false">IF(OR(J2570=1,N2570&lt;=O2570),1,0)</f>
        <v>1</v>
      </c>
      <c r="T2570" s="15" t="str">
        <f aca="false">IF(J2570=1,"OFFLINE",IF(AND(Q2570&gt;=Inputs!$B$15,R2570=1,S2570=1,P2570&lt;=L2570),"PASS","FAIL"))</f>
        <v>PASS</v>
      </c>
    </row>
    <row r="2571" customFormat="false" ht="15" hidden="false" customHeight="false" outlineLevel="0" collapsed="false">
      <c r="A2571" s="14" t="s">
        <v>1043</v>
      </c>
      <c r="B2571" s="14" t="s">
        <v>1038</v>
      </c>
      <c r="C2571" s="14" t="s">
        <v>172</v>
      </c>
      <c r="D2571" s="14" t="s">
        <v>194</v>
      </c>
      <c r="E2571" s="14" t="s">
        <v>169</v>
      </c>
      <c r="F2571" s="14" t="s">
        <v>191</v>
      </c>
      <c r="G2571" s="14" t="n">
        <v>2</v>
      </c>
      <c r="H2571" s="14" t="s">
        <v>153</v>
      </c>
      <c r="I2571" s="14" t="s">
        <v>811</v>
      </c>
      <c r="J2571" s="15" t="n">
        <f aca="false">IF(B2571="SITE LOSS",IF(D2571=C2571,1,0),IF(B2571="REGION LOSS",IF(E2571=C2571,1,0),0))</f>
        <v>0</v>
      </c>
      <c r="K2571" s="15" t="n">
        <f aca="false">IF(B2571="SITE LOSS",IF(COUNTIFS('Site Dockets'!$B$7:$B$24,C2571,'Site Dockets'!$C$7:$C$24,F2571)&gt;0,1,0),IF(B2571="REGION LOSS",IF(COUNTIFS('Site Dockets'!$E$7:$E$24,C2571,'Site Dockets'!$C$7:$C$24,F2571)&gt;0,1,0),0))</f>
        <v>1</v>
      </c>
      <c r="L2571" s="15" t="n">
        <f aca="false">IF(J2571=1,0,Inputs!$B$11)</f>
        <v>100</v>
      </c>
      <c r="M2571" s="15" t="n">
        <f aca="false">IF(J2571=1,0,Inputs!$B$12)</f>
        <v>75</v>
      </c>
      <c r="N2571" s="15" t="n">
        <f aca="false">IF(J2571=1,0,IF(OR(AND(OR(B2571="SITE LOSS",B2571="REGION LOSS"),K2571=1),AND(B2571="ROLE COMPROMISE",H2571=C2571)),Inputs!$B$13,Inputs!$B$14))</f>
        <v>20</v>
      </c>
      <c r="O2571" s="15" t="n">
        <f aca="false">IF(J2571=1,0,Inputs!$B$13)</f>
        <v>20</v>
      </c>
      <c r="P2571" s="15" t="n">
        <f aca="false">SUM(M2571:N2571)</f>
        <v>95</v>
      </c>
      <c r="Q2571" s="15" t="n">
        <f aca="false">IF(J2571=1,"",L2571-P2571)</f>
        <v>5</v>
      </c>
      <c r="R2571" s="15" t="n">
        <f aca="false">IF(OR(J2571=1,M2571&lt;=Inputs!$B$12),1,0)</f>
        <v>1</v>
      </c>
      <c r="S2571" s="15" t="n">
        <f aca="false">IF(OR(J2571=1,N2571&lt;=O2571),1,0)</f>
        <v>1</v>
      </c>
      <c r="T2571" s="15" t="str">
        <f aca="false">IF(J2571=1,"OFFLINE",IF(AND(Q2571&gt;=Inputs!$B$15,R2571=1,S2571=1,P2571&lt;=L2571),"PASS","FAIL"))</f>
        <v>PASS</v>
      </c>
    </row>
    <row r="2572" customFormat="false" ht="15" hidden="false" customHeight="false" outlineLevel="0" collapsed="false">
      <c r="A2572" s="14" t="s">
        <v>1043</v>
      </c>
      <c r="B2572" s="14" t="s">
        <v>1038</v>
      </c>
      <c r="C2572" s="14" t="s">
        <v>172</v>
      </c>
      <c r="D2572" s="14" t="s">
        <v>194</v>
      </c>
      <c r="E2572" s="14" t="s">
        <v>169</v>
      </c>
      <c r="F2572" s="14" t="s">
        <v>191</v>
      </c>
      <c r="G2572" s="14" t="n">
        <v>2</v>
      </c>
      <c r="H2572" s="14" t="s">
        <v>153</v>
      </c>
      <c r="I2572" s="14" t="s">
        <v>895</v>
      </c>
      <c r="J2572" s="15" t="n">
        <f aca="false">IF(B2572="SITE LOSS",IF(D2572=C2572,1,0),IF(B2572="REGION LOSS",IF(E2572=C2572,1,0),0))</f>
        <v>0</v>
      </c>
      <c r="K2572" s="15" t="n">
        <f aca="false">IF(B2572="SITE LOSS",IF(COUNTIFS('Site Dockets'!$B$7:$B$24,C2572,'Site Dockets'!$C$7:$C$24,F2572)&gt;0,1,0),IF(B2572="REGION LOSS",IF(COUNTIFS('Site Dockets'!$E$7:$E$24,C2572,'Site Dockets'!$C$7:$C$24,F2572)&gt;0,1,0),0))</f>
        <v>1</v>
      </c>
      <c r="L2572" s="15" t="n">
        <f aca="false">IF(J2572=1,0,Inputs!$B$11)</f>
        <v>100</v>
      </c>
      <c r="M2572" s="15" t="n">
        <f aca="false">IF(J2572=1,0,Inputs!$B$12)</f>
        <v>75</v>
      </c>
      <c r="N2572" s="15" t="n">
        <f aca="false">IF(J2572=1,0,IF(OR(AND(OR(B2572="SITE LOSS",B2572="REGION LOSS"),K2572=1),AND(B2572="ROLE COMPROMISE",H2572=C2572)),Inputs!$B$13,Inputs!$B$14))</f>
        <v>20</v>
      </c>
      <c r="O2572" s="15" t="n">
        <f aca="false">IF(J2572=1,0,Inputs!$B$13)</f>
        <v>20</v>
      </c>
      <c r="P2572" s="15" t="n">
        <f aca="false">SUM(M2572:N2572)</f>
        <v>95</v>
      </c>
      <c r="Q2572" s="15" t="n">
        <f aca="false">IF(J2572=1,"",L2572-P2572)</f>
        <v>5</v>
      </c>
      <c r="R2572" s="15" t="n">
        <f aca="false">IF(OR(J2572=1,M2572&lt;=Inputs!$B$12),1,0)</f>
        <v>1</v>
      </c>
      <c r="S2572" s="15" t="n">
        <f aca="false">IF(OR(J2572=1,N2572&lt;=O2572),1,0)</f>
        <v>1</v>
      </c>
      <c r="T2572" s="15" t="str">
        <f aca="false">IF(J2572=1,"OFFLINE",IF(AND(Q2572&gt;=Inputs!$B$15,R2572=1,S2572=1,P2572&lt;=L2572),"PASS","FAIL"))</f>
        <v>PASS</v>
      </c>
    </row>
    <row r="2573" customFormat="false" ht="15" hidden="false" customHeight="false" outlineLevel="0" collapsed="false">
      <c r="A2573" s="14" t="s">
        <v>1043</v>
      </c>
      <c r="B2573" s="14" t="s">
        <v>1038</v>
      </c>
      <c r="C2573" s="14" t="s">
        <v>172</v>
      </c>
      <c r="D2573" s="14" t="s">
        <v>194</v>
      </c>
      <c r="E2573" s="14" t="s">
        <v>169</v>
      </c>
      <c r="F2573" s="14" t="s">
        <v>191</v>
      </c>
      <c r="G2573" s="14" t="n">
        <v>2</v>
      </c>
      <c r="H2573" s="14" t="s">
        <v>153</v>
      </c>
      <c r="I2573" s="14" t="s">
        <v>897</v>
      </c>
      <c r="J2573" s="15" t="n">
        <f aca="false">IF(B2573="SITE LOSS",IF(D2573=C2573,1,0),IF(B2573="REGION LOSS",IF(E2573=C2573,1,0),0))</f>
        <v>0</v>
      </c>
      <c r="K2573" s="15" t="n">
        <f aca="false">IF(B2573="SITE LOSS",IF(COUNTIFS('Site Dockets'!$B$7:$B$24,C2573,'Site Dockets'!$C$7:$C$24,F2573)&gt;0,1,0),IF(B2573="REGION LOSS",IF(COUNTIFS('Site Dockets'!$E$7:$E$24,C2573,'Site Dockets'!$C$7:$C$24,F2573)&gt;0,1,0),0))</f>
        <v>1</v>
      </c>
      <c r="L2573" s="15" t="n">
        <f aca="false">IF(J2573=1,0,Inputs!$B$11)</f>
        <v>100</v>
      </c>
      <c r="M2573" s="15" t="n">
        <f aca="false">IF(J2573=1,0,Inputs!$B$12)</f>
        <v>75</v>
      </c>
      <c r="N2573" s="15" t="n">
        <f aca="false">IF(J2573=1,0,IF(OR(AND(OR(B2573="SITE LOSS",B2573="REGION LOSS"),K2573=1),AND(B2573="ROLE COMPROMISE",H2573=C2573)),Inputs!$B$13,Inputs!$B$14))</f>
        <v>20</v>
      </c>
      <c r="O2573" s="15" t="n">
        <f aca="false">IF(J2573=1,0,Inputs!$B$13)</f>
        <v>20</v>
      </c>
      <c r="P2573" s="15" t="n">
        <f aca="false">SUM(M2573:N2573)</f>
        <v>95</v>
      </c>
      <c r="Q2573" s="15" t="n">
        <f aca="false">IF(J2573=1,"",L2573-P2573)</f>
        <v>5</v>
      </c>
      <c r="R2573" s="15" t="n">
        <f aca="false">IF(OR(J2573=1,M2573&lt;=Inputs!$B$12),1,0)</f>
        <v>1</v>
      </c>
      <c r="S2573" s="15" t="n">
        <f aca="false">IF(OR(J2573=1,N2573&lt;=O2573),1,0)</f>
        <v>1</v>
      </c>
      <c r="T2573" s="15" t="str">
        <f aca="false">IF(J2573=1,"OFFLINE",IF(AND(Q2573&gt;=Inputs!$B$15,R2573=1,S2573=1,P2573&lt;=L2573),"PASS","FAIL"))</f>
        <v>PASS</v>
      </c>
    </row>
    <row r="2574" customFormat="false" ht="15" hidden="false" customHeight="false" outlineLevel="0" collapsed="false">
      <c r="A2574" s="14" t="s">
        <v>1043</v>
      </c>
      <c r="B2574" s="14" t="s">
        <v>1038</v>
      </c>
      <c r="C2574" s="14" t="s">
        <v>172</v>
      </c>
      <c r="D2574" s="14" t="s">
        <v>194</v>
      </c>
      <c r="E2574" s="14" t="s">
        <v>169</v>
      </c>
      <c r="F2574" s="14" t="s">
        <v>191</v>
      </c>
      <c r="G2574" s="14" t="n">
        <v>2</v>
      </c>
      <c r="H2574" s="14" t="s">
        <v>153</v>
      </c>
      <c r="I2574" s="14" t="s">
        <v>899</v>
      </c>
      <c r="J2574" s="15" t="n">
        <f aca="false">IF(B2574="SITE LOSS",IF(D2574=C2574,1,0),IF(B2574="REGION LOSS",IF(E2574=C2574,1,0),0))</f>
        <v>0</v>
      </c>
      <c r="K2574" s="15" t="n">
        <f aca="false">IF(B2574="SITE LOSS",IF(COUNTIFS('Site Dockets'!$B$7:$B$24,C2574,'Site Dockets'!$C$7:$C$24,F2574)&gt;0,1,0),IF(B2574="REGION LOSS",IF(COUNTIFS('Site Dockets'!$E$7:$E$24,C2574,'Site Dockets'!$C$7:$C$24,F2574)&gt;0,1,0),0))</f>
        <v>1</v>
      </c>
      <c r="L2574" s="15" t="n">
        <f aca="false">IF(J2574=1,0,Inputs!$B$11)</f>
        <v>100</v>
      </c>
      <c r="M2574" s="15" t="n">
        <f aca="false">IF(J2574=1,0,Inputs!$B$12)</f>
        <v>75</v>
      </c>
      <c r="N2574" s="15" t="n">
        <f aca="false">IF(J2574=1,0,IF(OR(AND(OR(B2574="SITE LOSS",B2574="REGION LOSS"),K2574=1),AND(B2574="ROLE COMPROMISE",H2574=C2574)),Inputs!$B$13,Inputs!$B$14))</f>
        <v>20</v>
      </c>
      <c r="O2574" s="15" t="n">
        <f aca="false">IF(J2574=1,0,Inputs!$B$13)</f>
        <v>20</v>
      </c>
      <c r="P2574" s="15" t="n">
        <f aca="false">SUM(M2574:N2574)</f>
        <v>95</v>
      </c>
      <c r="Q2574" s="15" t="n">
        <f aca="false">IF(J2574=1,"",L2574-P2574)</f>
        <v>5</v>
      </c>
      <c r="R2574" s="15" t="n">
        <f aca="false">IF(OR(J2574=1,M2574&lt;=Inputs!$B$12),1,0)</f>
        <v>1</v>
      </c>
      <c r="S2574" s="15" t="n">
        <f aca="false">IF(OR(J2574=1,N2574&lt;=O2574),1,0)</f>
        <v>1</v>
      </c>
      <c r="T2574" s="15" t="str">
        <f aca="false">IF(J2574=1,"OFFLINE",IF(AND(Q2574&gt;=Inputs!$B$15,R2574=1,S2574=1,P2574&lt;=L2574),"PASS","FAIL"))</f>
        <v>PASS</v>
      </c>
    </row>
    <row r="2575" customFormat="false" ht="15" hidden="false" customHeight="false" outlineLevel="0" collapsed="false">
      <c r="A2575" s="14" t="s">
        <v>1043</v>
      </c>
      <c r="B2575" s="14" t="s">
        <v>1038</v>
      </c>
      <c r="C2575" s="14" t="s">
        <v>172</v>
      </c>
      <c r="D2575" s="14" t="s">
        <v>196</v>
      </c>
      <c r="E2575" s="14" t="s">
        <v>172</v>
      </c>
      <c r="F2575" s="14" t="s">
        <v>191</v>
      </c>
      <c r="G2575" s="14" t="n">
        <v>3</v>
      </c>
      <c r="H2575" s="14" t="s">
        <v>158</v>
      </c>
      <c r="I2575" s="14" t="s">
        <v>890</v>
      </c>
      <c r="J2575" s="15" t="n">
        <f aca="false">IF(B2575="SITE LOSS",IF(D2575=C2575,1,0),IF(B2575="REGION LOSS",IF(E2575=C2575,1,0),0))</f>
        <v>1</v>
      </c>
      <c r="K2575" s="15" t="n">
        <f aca="false">IF(B2575="SITE LOSS",IF(COUNTIFS('Site Dockets'!$B$7:$B$24,C2575,'Site Dockets'!$C$7:$C$24,F2575)&gt;0,1,0),IF(B2575="REGION LOSS",IF(COUNTIFS('Site Dockets'!$E$7:$E$24,C2575,'Site Dockets'!$C$7:$C$24,F2575)&gt;0,1,0),0))</f>
        <v>1</v>
      </c>
      <c r="L2575" s="15" t="n">
        <f aca="false">IF(J2575=1,0,Inputs!$B$11)</f>
        <v>0</v>
      </c>
      <c r="M2575" s="15" t="n">
        <f aca="false">IF(J2575=1,0,Inputs!$B$12)</f>
        <v>0</v>
      </c>
      <c r="N2575" s="15" t="n">
        <f aca="false">IF(J2575=1,0,IF(OR(AND(OR(B2575="SITE LOSS",B2575="REGION LOSS"),K2575=1),AND(B2575="ROLE COMPROMISE",H2575=C2575)),Inputs!$B$13,Inputs!$B$14))</f>
        <v>0</v>
      </c>
      <c r="O2575" s="15" t="n">
        <f aca="false">IF(J2575=1,0,Inputs!$B$13)</f>
        <v>0</v>
      </c>
      <c r="P2575" s="15" t="n">
        <f aca="false">SUM(M2575:N2575)</f>
        <v>0</v>
      </c>
      <c r="Q2575" s="15" t="str">
        <f aca="false">IF(J2575=1,"",L2575-P2575)</f>
        <v/>
      </c>
      <c r="R2575" s="15" t="n">
        <f aca="false">IF(OR(J2575=1,M2575&lt;=Inputs!$B$12),1,0)</f>
        <v>1</v>
      </c>
      <c r="S2575" s="15" t="n">
        <f aca="false">IF(OR(J2575=1,N2575&lt;=O2575),1,0)</f>
        <v>1</v>
      </c>
      <c r="T2575" s="15" t="str">
        <f aca="false">IF(J2575=1,"OFFLINE",IF(AND(Q2575&gt;=Inputs!$B$15,R2575=1,S2575=1,P2575&lt;=L2575),"PASS","FAIL"))</f>
        <v>OFFLINE</v>
      </c>
    </row>
    <row r="2576" customFormat="false" ht="15" hidden="false" customHeight="false" outlineLevel="0" collapsed="false">
      <c r="A2576" s="14" t="s">
        <v>1043</v>
      </c>
      <c r="B2576" s="14" t="s">
        <v>1038</v>
      </c>
      <c r="C2576" s="14" t="s">
        <v>172</v>
      </c>
      <c r="D2576" s="14" t="s">
        <v>196</v>
      </c>
      <c r="E2576" s="14" t="s">
        <v>172</v>
      </c>
      <c r="F2576" s="14" t="s">
        <v>191</v>
      </c>
      <c r="G2576" s="14" t="n">
        <v>3</v>
      </c>
      <c r="H2576" s="14" t="s">
        <v>158</v>
      </c>
      <c r="I2576" s="14" t="s">
        <v>892</v>
      </c>
      <c r="J2576" s="15" t="n">
        <f aca="false">IF(B2576="SITE LOSS",IF(D2576=C2576,1,0),IF(B2576="REGION LOSS",IF(E2576=C2576,1,0),0))</f>
        <v>1</v>
      </c>
      <c r="K2576" s="15" t="n">
        <f aca="false">IF(B2576="SITE LOSS",IF(COUNTIFS('Site Dockets'!$B$7:$B$24,C2576,'Site Dockets'!$C$7:$C$24,F2576)&gt;0,1,0),IF(B2576="REGION LOSS",IF(COUNTIFS('Site Dockets'!$E$7:$E$24,C2576,'Site Dockets'!$C$7:$C$24,F2576)&gt;0,1,0),0))</f>
        <v>1</v>
      </c>
      <c r="L2576" s="15" t="n">
        <f aca="false">IF(J2576=1,0,Inputs!$B$11)</f>
        <v>0</v>
      </c>
      <c r="M2576" s="15" t="n">
        <f aca="false">IF(J2576=1,0,Inputs!$B$12)</f>
        <v>0</v>
      </c>
      <c r="N2576" s="15" t="n">
        <f aca="false">IF(J2576=1,0,IF(OR(AND(OR(B2576="SITE LOSS",B2576="REGION LOSS"),K2576=1),AND(B2576="ROLE COMPROMISE",H2576=C2576)),Inputs!$B$13,Inputs!$B$14))</f>
        <v>0</v>
      </c>
      <c r="O2576" s="15" t="n">
        <f aca="false">IF(J2576=1,0,Inputs!$B$13)</f>
        <v>0</v>
      </c>
      <c r="P2576" s="15" t="n">
        <f aca="false">SUM(M2576:N2576)</f>
        <v>0</v>
      </c>
      <c r="Q2576" s="15" t="str">
        <f aca="false">IF(J2576=1,"",L2576-P2576)</f>
        <v/>
      </c>
      <c r="R2576" s="15" t="n">
        <f aca="false">IF(OR(J2576=1,M2576&lt;=Inputs!$B$12),1,0)</f>
        <v>1</v>
      </c>
      <c r="S2576" s="15" t="n">
        <f aca="false">IF(OR(J2576=1,N2576&lt;=O2576),1,0)</f>
        <v>1</v>
      </c>
      <c r="T2576" s="15" t="str">
        <f aca="false">IF(J2576=1,"OFFLINE",IF(AND(Q2576&gt;=Inputs!$B$15,R2576=1,S2576=1,P2576&lt;=L2576),"PASS","FAIL"))</f>
        <v>OFFLINE</v>
      </c>
    </row>
    <row r="2577" customFormat="false" ht="15" hidden="false" customHeight="false" outlineLevel="0" collapsed="false">
      <c r="A2577" s="14" t="s">
        <v>1043</v>
      </c>
      <c r="B2577" s="14" t="s">
        <v>1038</v>
      </c>
      <c r="C2577" s="14" t="s">
        <v>172</v>
      </c>
      <c r="D2577" s="14" t="s">
        <v>196</v>
      </c>
      <c r="E2577" s="14" t="s">
        <v>172</v>
      </c>
      <c r="F2577" s="14" t="s">
        <v>191</v>
      </c>
      <c r="G2577" s="14" t="n">
        <v>3</v>
      </c>
      <c r="H2577" s="14" t="s">
        <v>158</v>
      </c>
      <c r="I2577" s="14" t="s">
        <v>811</v>
      </c>
      <c r="J2577" s="15" t="n">
        <f aca="false">IF(B2577="SITE LOSS",IF(D2577=C2577,1,0),IF(B2577="REGION LOSS",IF(E2577=C2577,1,0),0))</f>
        <v>1</v>
      </c>
      <c r="K2577" s="15" t="n">
        <f aca="false">IF(B2577="SITE LOSS",IF(COUNTIFS('Site Dockets'!$B$7:$B$24,C2577,'Site Dockets'!$C$7:$C$24,F2577)&gt;0,1,0),IF(B2577="REGION LOSS",IF(COUNTIFS('Site Dockets'!$E$7:$E$24,C2577,'Site Dockets'!$C$7:$C$24,F2577)&gt;0,1,0),0))</f>
        <v>1</v>
      </c>
      <c r="L2577" s="15" t="n">
        <f aca="false">IF(J2577=1,0,Inputs!$B$11)</f>
        <v>0</v>
      </c>
      <c r="M2577" s="15" t="n">
        <f aca="false">IF(J2577=1,0,Inputs!$B$12)</f>
        <v>0</v>
      </c>
      <c r="N2577" s="15" t="n">
        <f aca="false">IF(J2577=1,0,IF(OR(AND(OR(B2577="SITE LOSS",B2577="REGION LOSS"),K2577=1),AND(B2577="ROLE COMPROMISE",H2577=C2577)),Inputs!$B$13,Inputs!$B$14))</f>
        <v>0</v>
      </c>
      <c r="O2577" s="15" t="n">
        <f aca="false">IF(J2577=1,0,Inputs!$B$13)</f>
        <v>0</v>
      </c>
      <c r="P2577" s="15" t="n">
        <f aca="false">SUM(M2577:N2577)</f>
        <v>0</v>
      </c>
      <c r="Q2577" s="15" t="str">
        <f aca="false">IF(J2577=1,"",L2577-P2577)</f>
        <v/>
      </c>
      <c r="R2577" s="15" t="n">
        <f aca="false">IF(OR(J2577=1,M2577&lt;=Inputs!$B$12),1,0)</f>
        <v>1</v>
      </c>
      <c r="S2577" s="15" t="n">
        <f aca="false">IF(OR(J2577=1,N2577&lt;=O2577),1,0)</f>
        <v>1</v>
      </c>
      <c r="T2577" s="15" t="str">
        <f aca="false">IF(J2577=1,"OFFLINE",IF(AND(Q2577&gt;=Inputs!$B$15,R2577=1,S2577=1,P2577&lt;=L2577),"PASS","FAIL"))</f>
        <v>OFFLINE</v>
      </c>
    </row>
    <row r="2578" customFormat="false" ht="15" hidden="false" customHeight="false" outlineLevel="0" collapsed="false">
      <c r="A2578" s="14" t="s">
        <v>1043</v>
      </c>
      <c r="B2578" s="14" t="s">
        <v>1038</v>
      </c>
      <c r="C2578" s="14" t="s">
        <v>172</v>
      </c>
      <c r="D2578" s="14" t="s">
        <v>196</v>
      </c>
      <c r="E2578" s="14" t="s">
        <v>172</v>
      </c>
      <c r="F2578" s="14" t="s">
        <v>191</v>
      </c>
      <c r="G2578" s="14" t="n">
        <v>3</v>
      </c>
      <c r="H2578" s="14" t="s">
        <v>158</v>
      </c>
      <c r="I2578" s="14" t="s">
        <v>895</v>
      </c>
      <c r="J2578" s="15" t="n">
        <f aca="false">IF(B2578="SITE LOSS",IF(D2578=C2578,1,0),IF(B2578="REGION LOSS",IF(E2578=C2578,1,0),0))</f>
        <v>1</v>
      </c>
      <c r="K2578" s="15" t="n">
        <f aca="false">IF(B2578="SITE LOSS",IF(COUNTIFS('Site Dockets'!$B$7:$B$24,C2578,'Site Dockets'!$C$7:$C$24,F2578)&gt;0,1,0),IF(B2578="REGION LOSS",IF(COUNTIFS('Site Dockets'!$E$7:$E$24,C2578,'Site Dockets'!$C$7:$C$24,F2578)&gt;0,1,0),0))</f>
        <v>1</v>
      </c>
      <c r="L2578" s="15" t="n">
        <f aca="false">IF(J2578=1,0,Inputs!$B$11)</f>
        <v>0</v>
      </c>
      <c r="M2578" s="15" t="n">
        <f aca="false">IF(J2578=1,0,Inputs!$B$12)</f>
        <v>0</v>
      </c>
      <c r="N2578" s="15" t="n">
        <f aca="false">IF(J2578=1,0,IF(OR(AND(OR(B2578="SITE LOSS",B2578="REGION LOSS"),K2578=1),AND(B2578="ROLE COMPROMISE",H2578=C2578)),Inputs!$B$13,Inputs!$B$14))</f>
        <v>0</v>
      </c>
      <c r="O2578" s="15" t="n">
        <f aca="false">IF(J2578=1,0,Inputs!$B$13)</f>
        <v>0</v>
      </c>
      <c r="P2578" s="15" t="n">
        <f aca="false">SUM(M2578:N2578)</f>
        <v>0</v>
      </c>
      <c r="Q2578" s="15" t="str">
        <f aca="false">IF(J2578=1,"",L2578-P2578)</f>
        <v/>
      </c>
      <c r="R2578" s="15" t="n">
        <f aca="false">IF(OR(J2578=1,M2578&lt;=Inputs!$B$12),1,0)</f>
        <v>1</v>
      </c>
      <c r="S2578" s="15" t="n">
        <f aca="false">IF(OR(J2578=1,N2578&lt;=O2578),1,0)</f>
        <v>1</v>
      </c>
      <c r="T2578" s="15" t="str">
        <f aca="false">IF(J2578=1,"OFFLINE",IF(AND(Q2578&gt;=Inputs!$B$15,R2578=1,S2578=1,P2578&lt;=L2578),"PASS","FAIL"))</f>
        <v>OFFLINE</v>
      </c>
    </row>
    <row r="2579" customFormat="false" ht="15" hidden="false" customHeight="false" outlineLevel="0" collapsed="false">
      <c r="A2579" s="14" t="s">
        <v>1043</v>
      </c>
      <c r="B2579" s="14" t="s">
        <v>1038</v>
      </c>
      <c r="C2579" s="14" t="s">
        <v>172</v>
      </c>
      <c r="D2579" s="14" t="s">
        <v>196</v>
      </c>
      <c r="E2579" s="14" t="s">
        <v>172</v>
      </c>
      <c r="F2579" s="14" t="s">
        <v>191</v>
      </c>
      <c r="G2579" s="14" t="n">
        <v>3</v>
      </c>
      <c r="H2579" s="14" t="s">
        <v>158</v>
      </c>
      <c r="I2579" s="14" t="s">
        <v>897</v>
      </c>
      <c r="J2579" s="15" t="n">
        <f aca="false">IF(B2579="SITE LOSS",IF(D2579=C2579,1,0),IF(B2579="REGION LOSS",IF(E2579=C2579,1,0),0))</f>
        <v>1</v>
      </c>
      <c r="K2579" s="15" t="n">
        <f aca="false">IF(B2579="SITE LOSS",IF(COUNTIFS('Site Dockets'!$B$7:$B$24,C2579,'Site Dockets'!$C$7:$C$24,F2579)&gt;0,1,0),IF(B2579="REGION LOSS",IF(COUNTIFS('Site Dockets'!$E$7:$E$24,C2579,'Site Dockets'!$C$7:$C$24,F2579)&gt;0,1,0),0))</f>
        <v>1</v>
      </c>
      <c r="L2579" s="15" t="n">
        <f aca="false">IF(J2579=1,0,Inputs!$B$11)</f>
        <v>0</v>
      </c>
      <c r="M2579" s="15" t="n">
        <f aca="false">IF(J2579=1,0,Inputs!$B$12)</f>
        <v>0</v>
      </c>
      <c r="N2579" s="15" t="n">
        <f aca="false">IF(J2579=1,0,IF(OR(AND(OR(B2579="SITE LOSS",B2579="REGION LOSS"),K2579=1),AND(B2579="ROLE COMPROMISE",H2579=C2579)),Inputs!$B$13,Inputs!$B$14))</f>
        <v>0</v>
      </c>
      <c r="O2579" s="15" t="n">
        <f aca="false">IF(J2579=1,0,Inputs!$B$13)</f>
        <v>0</v>
      </c>
      <c r="P2579" s="15" t="n">
        <f aca="false">SUM(M2579:N2579)</f>
        <v>0</v>
      </c>
      <c r="Q2579" s="15" t="str">
        <f aca="false">IF(J2579=1,"",L2579-P2579)</f>
        <v/>
      </c>
      <c r="R2579" s="15" t="n">
        <f aca="false">IF(OR(J2579=1,M2579&lt;=Inputs!$B$12),1,0)</f>
        <v>1</v>
      </c>
      <c r="S2579" s="15" t="n">
        <f aca="false">IF(OR(J2579=1,N2579&lt;=O2579),1,0)</f>
        <v>1</v>
      </c>
      <c r="T2579" s="15" t="str">
        <f aca="false">IF(J2579=1,"OFFLINE",IF(AND(Q2579&gt;=Inputs!$B$15,R2579=1,S2579=1,P2579&lt;=L2579),"PASS","FAIL"))</f>
        <v>OFFLINE</v>
      </c>
    </row>
    <row r="2580" customFormat="false" ht="15" hidden="false" customHeight="false" outlineLevel="0" collapsed="false">
      <c r="A2580" s="14" t="s">
        <v>1043</v>
      </c>
      <c r="B2580" s="14" t="s">
        <v>1038</v>
      </c>
      <c r="C2580" s="14" t="s">
        <v>172</v>
      </c>
      <c r="D2580" s="14" t="s">
        <v>196</v>
      </c>
      <c r="E2580" s="14" t="s">
        <v>172</v>
      </c>
      <c r="F2580" s="14" t="s">
        <v>191</v>
      </c>
      <c r="G2580" s="14" t="n">
        <v>3</v>
      </c>
      <c r="H2580" s="14" t="s">
        <v>158</v>
      </c>
      <c r="I2580" s="14" t="s">
        <v>899</v>
      </c>
      <c r="J2580" s="15" t="n">
        <f aca="false">IF(B2580="SITE LOSS",IF(D2580=C2580,1,0),IF(B2580="REGION LOSS",IF(E2580=C2580,1,0),0))</f>
        <v>1</v>
      </c>
      <c r="K2580" s="15" t="n">
        <f aca="false">IF(B2580="SITE LOSS",IF(COUNTIFS('Site Dockets'!$B$7:$B$24,C2580,'Site Dockets'!$C$7:$C$24,F2580)&gt;0,1,0),IF(B2580="REGION LOSS",IF(COUNTIFS('Site Dockets'!$E$7:$E$24,C2580,'Site Dockets'!$C$7:$C$24,F2580)&gt;0,1,0),0))</f>
        <v>1</v>
      </c>
      <c r="L2580" s="15" t="n">
        <f aca="false">IF(J2580=1,0,Inputs!$B$11)</f>
        <v>0</v>
      </c>
      <c r="M2580" s="15" t="n">
        <f aca="false">IF(J2580=1,0,Inputs!$B$12)</f>
        <v>0</v>
      </c>
      <c r="N2580" s="15" t="n">
        <f aca="false">IF(J2580=1,0,IF(OR(AND(OR(B2580="SITE LOSS",B2580="REGION LOSS"),K2580=1),AND(B2580="ROLE COMPROMISE",H2580=C2580)),Inputs!$B$13,Inputs!$B$14))</f>
        <v>0</v>
      </c>
      <c r="O2580" s="15" t="n">
        <f aca="false">IF(J2580=1,0,Inputs!$B$13)</f>
        <v>0</v>
      </c>
      <c r="P2580" s="15" t="n">
        <f aca="false">SUM(M2580:N2580)</f>
        <v>0</v>
      </c>
      <c r="Q2580" s="15" t="str">
        <f aca="false">IF(J2580=1,"",L2580-P2580)</f>
        <v/>
      </c>
      <c r="R2580" s="15" t="n">
        <f aca="false">IF(OR(J2580=1,M2580&lt;=Inputs!$B$12),1,0)</f>
        <v>1</v>
      </c>
      <c r="S2580" s="15" t="n">
        <f aca="false">IF(OR(J2580=1,N2580&lt;=O2580),1,0)</f>
        <v>1</v>
      </c>
      <c r="T2580" s="15" t="str">
        <f aca="false">IF(J2580=1,"OFFLINE",IF(AND(Q2580&gt;=Inputs!$B$15,R2580=1,S2580=1,P2580&lt;=L2580),"PASS","FAIL"))</f>
        <v>OFFLINE</v>
      </c>
    </row>
    <row r="2581" customFormat="false" ht="15" hidden="false" customHeight="false" outlineLevel="0" collapsed="false">
      <c r="A2581" s="14" t="s">
        <v>1043</v>
      </c>
      <c r="B2581" s="14" t="s">
        <v>1038</v>
      </c>
      <c r="C2581" s="14" t="s">
        <v>172</v>
      </c>
      <c r="D2581" s="14" t="s">
        <v>198</v>
      </c>
      <c r="E2581" s="14" t="s">
        <v>166</v>
      </c>
      <c r="F2581" s="14" t="s">
        <v>199</v>
      </c>
      <c r="G2581" s="14" t="n">
        <v>1</v>
      </c>
      <c r="H2581" s="14" t="s">
        <v>154</v>
      </c>
      <c r="I2581" s="14" t="s">
        <v>890</v>
      </c>
      <c r="J2581" s="15" t="n">
        <f aca="false">IF(B2581="SITE LOSS",IF(D2581=C2581,1,0),IF(B2581="REGION LOSS",IF(E2581=C2581,1,0),0))</f>
        <v>0</v>
      </c>
      <c r="K2581" s="15" t="n">
        <f aca="false">IF(B2581="SITE LOSS",IF(COUNTIFS('Site Dockets'!$B$7:$B$24,C2581,'Site Dockets'!$C$7:$C$24,F2581)&gt;0,1,0),IF(B2581="REGION LOSS",IF(COUNTIFS('Site Dockets'!$E$7:$E$24,C2581,'Site Dockets'!$C$7:$C$24,F2581)&gt;0,1,0),0))</f>
        <v>0</v>
      </c>
      <c r="L2581" s="15" t="n">
        <f aca="false">IF(J2581=1,0,Inputs!$B$11)</f>
        <v>100</v>
      </c>
      <c r="M2581" s="15" t="n">
        <f aca="false">IF(J2581=1,0,Inputs!$B$12)</f>
        <v>75</v>
      </c>
      <c r="N2581" s="15" t="n">
        <f aca="false">IF(J2581=1,0,IF(OR(AND(OR(B2581="SITE LOSS",B2581="REGION LOSS"),K2581=1),AND(B2581="ROLE COMPROMISE",H2581=C2581)),Inputs!$B$13,Inputs!$B$14))</f>
        <v>10</v>
      </c>
      <c r="O2581" s="15" t="n">
        <f aca="false">IF(J2581=1,0,Inputs!$B$13)</f>
        <v>20</v>
      </c>
      <c r="P2581" s="15" t="n">
        <f aca="false">SUM(M2581:N2581)</f>
        <v>85</v>
      </c>
      <c r="Q2581" s="15" t="n">
        <f aca="false">IF(J2581=1,"",L2581-P2581)</f>
        <v>15</v>
      </c>
      <c r="R2581" s="15" t="n">
        <f aca="false">IF(OR(J2581=1,M2581&lt;=Inputs!$B$12),1,0)</f>
        <v>1</v>
      </c>
      <c r="S2581" s="15" t="n">
        <f aca="false">IF(OR(J2581=1,N2581&lt;=O2581),1,0)</f>
        <v>1</v>
      </c>
      <c r="T2581" s="15" t="str">
        <f aca="false">IF(J2581=1,"OFFLINE",IF(AND(Q2581&gt;=Inputs!$B$15,R2581=1,S2581=1,P2581&lt;=L2581),"PASS","FAIL"))</f>
        <v>PASS</v>
      </c>
    </row>
    <row r="2582" customFormat="false" ht="15" hidden="false" customHeight="false" outlineLevel="0" collapsed="false">
      <c r="A2582" s="14" t="s">
        <v>1043</v>
      </c>
      <c r="B2582" s="14" t="s">
        <v>1038</v>
      </c>
      <c r="C2582" s="14" t="s">
        <v>172</v>
      </c>
      <c r="D2582" s="14" t="s">
        <v>198</v>
      </c>
      <c r="E2582" s="14" t="s">
        <v>166</v>
      </c>
      <c r="F2582" s="14" t="s">
        <v>199</v>
      </c>
      <c r="G2582" s="14" t="n">
        <v>1</v>
      </c>
      <c r="H2582" s="14" t="s">
        <v>154</v>
      </c>
      <c r="I2582" s="14" t="s">
        <v>892</v>
      </c>
      <c r="J2582" s="15" t="n">
        <f aca="false">IF(B2582="SITE LOSS",IF(D2582=C2582,1,0),IF(B2582="REGION LOSS",IF(E2582=C2582,1,0),0))</f>
        <v>0</v>
      </c>
      <c r="K2582" s="15" t="n">
        <f aca="false">IF(B2582="SITE LOSS",IF(COUNTIFS('Site Dockets'!$B$7:$B$24,C2582,'Site Dockets'!$C$7:$C$24,F2582)&gt;0,1,0),IF(B2582="REGION LOSS",IF(COUNTIFS('Site Dockets'!$E$7:$E$24,C2582,'Site Dockets'!$C$7:$C$24,F2582)&gt;0,1,0),0))</f>
        <v>0</v>
      </c>
      <c r="L2582" s="15" t="n">
        <f aca="false">IF(J2582=1,0,Inputs!$B$11)</f>
        <v>100</v>
      </c>
      <c r="M2582" s="15" t="n">
        <f aca="false">IF(J2582=1,0,Inputs!$B$12)</f>
        <v>75</v>
      </c>
      <c r="N2582" s="15" t="n">
        <f aca="false">IF(J2582=1,0,IF(OR(AND(OR(B2582="SITE LOSS",B2582="REGION LOSS"),K2582=1),AND(B2582="ROLE COMPROMISE",H2582=C2582)),Inputs!$B$13,Inputs!$B$14))</f>
        <v>10</v>
      </c>
      <c r="O2582" s="15" t="n">
        <f aca="false">IF(J2582=1,0,Inputs!$B$13)</f>
        <v>20</v>
      </c>
      <c r="P2582" s="15" t="n">
        <f aca="false">SUM(M2582:N2582)</f>
        <v>85</v>
      </c>
      <c r="Q2582" s="15" t="n">
        <f aca="false">IF(J2582=1,"",L2582-P2582)</f>
        <v>15</v>
      </c>
      <c r="R2582" s="15" t="n">
        <f aca="false">IF(OR(J2582=1,M2582&lt;=Inputs!$B$12),1,0)</f>
        <v>1</v>
      </c>
      <c r="S2582" s="15" t="n">
        <f aca="false">IF(OR(J2582=1,N2582&lt;=O2582),1,0)</f>
        <v>1</v>
      </c>
      <c r="T2582" s="15" t="str">
        <f aca="false">IF(J2582=1,"OFFLINE",IF(AND(Q2582&gt;=Inputs!$B$15,R2582=1,S2582=1,P2582&lt;=L2582),"PASS","FAIL"))</f>
        <v>PASS</v>
      </c>
    </row>
    <row r="2583" customFormat="false" ht="15" hidden="false" customHeight="false" outlineLevel="0" collapsed="false">
      <c r="A2583" s="14" t="s">
        <v>1043</v>
      </c>
      <c r="B2583" s="14" t="s">
        <v>1038</v>
      </c>
      <c r="C2583" s="14" t="s">
        <v>172</v>
      </c>
      <c r="D2583" s="14" t="s">
        <v>198</v>
      </c>
      <c r="E2583" s="14" t="s">
        <v>166</v>
      </c>
      <c r="F2583" s="14" t="s">
        <v>199</v>
      </c>
      <c r="G2583" s="14" t="n">
        <v>1</v>
      </c>
      <c r="H2583" s="14" t="s">
        <v>154</v>
      </c>
      <c r="I2583" s="14" t="s">
        <v>811</v>
      </c>
      <c r="J2583" s="15" t="n">
        <f aca="false">IF(B2583="SITE LOSS",IF(D2583=C2583,1,0),IF(B2583="REGION LOSS",IF(E2583=C2583,1,0),0))</f>
        <v>0</v>
      </c>
      <c r="K2583" s="15" t="n">
        <f aca="false">IF(B2583="SITE LOSS",IF(COUNTIFS('Site Dockets'!$B$7:$B$24,C2583,'Site Dockets'!$C$7:$C$24,F2583)&gt;0,1,0),IF(B2583="REGION LOSS",IF(COUNTIFS('Site Dockets'!$E$7:$E$24,C2583,'Site Dockets'!$C$7:$C$24,F2583)&gt;0,1,0),0))</f>
        <v>0</v>
      </c>
      <c r="L2583" s="15" t="n">
        <f aca="false">IF(J2583=1,0,Inputs!$B$11)</f>
        <v>100</v>
      </c>
      <c r="M2583" s="15" t="n">
        <f aca="false">IF(J2583=1,0,Inputs!$B$12)</f>
        <v>75</v>
      </c>
      <c r="N2583" s="15" t="n">
        <f aca="false">IF(J2583=1,0,IF(OR(AND(OR(B2583="SITE LOSS",B2583="REGION LOSS"),K2583=1),AND(B2583="ROLE COMPROMISE",H2583=C2583)),Inputs!$B$13,Inputs!$B$14))</f>
        <v>10</v>
      </c>
      <c r="O2583" s="15" t="n">
        <f aca="false">IF(J2583=1,0,Inputs!$B$13)</f>
        <v>20</v>
      </c>
      <c r="P2583" s="15" t="n">
        <f aca="false">SUM(M2583:N2583)</f>
        <v>85</v>
      </c>
      <c r="Q2583" s="15" t="n">
        <f aca="false">IF(J2583=1,"",L2583-P2583)</f>
        <v>15</v>
      </c>
      <c r="R2583" s="15" t="n">
        <f aca="false">IF(OR(J2583=1,M2583&lt;=Inputs!$B$12),1,0)</f>
        <v>1</v>
      </c>
      <c r="S2583" s="15" t="n">
        <f aca="false">IF(OR(J2583=1,N2583&lt;=O2583),1,0)</f>
        <v>1</v>
      </c>
      <c r="T2583" s="15" t="str">
        <f aca="false">IF(J2583=1,"OFFLINE",IF(AND(Q2583&gt;=Inputs!$B$15,R2583=1,S2583=1,P2583&lt;=L2583),"PASS","FAIL"))</f>
        <v>PASS</v>
      </c>
    </row>
    <row r="2584" customFormat="false" ht="15" hidden="false" customHeight="false" outlineLevel="0" collapsed="false">
      <c r="A2584" s="14" t="s">
        <v>1043</v>
      </c>
      <c r="B2584" s="14" t="s">
        <v>1038</v>
      </c>
      <c r="C2584" s="14" t="s">
        <v>172</v>
      </c>
      <c r="D2584" s="14" t="s">
        <v>198</v>
      </c>
      <c r="E2584" s="14" t="s">
        <v>166</v>
      </c>
      <c r="F2584" s="14" t="s">
        <v>199</v>
      </c>
      <c r="G2584" s="14" t="n">
        <v>1</v>
      </c>
      <c r="H2584" s="14" t="s">
        <v>154</v>
      </c>
      <c r="I2584" s="14" t="s">
        <v>895</v>
      </c>
      <c r="J2584" s="15" t="n">
        <f aca="false">IF(B2584="SITE LOSS",IF(D2584=C2584,1,0),IF(B2584="REGION LOSS",IF(E2584=C2584,1,0),0))</f>
        <v>0</v>
      </c>
      <c r="K2584" s="15" t="n">
        <f aca="false">IF(B2584="SITE LOSS",IF(COUNTIFS('Site Dockets'!$B$7:$B$24,C2584,'Site Dockets'!$C$7:$C$24,F2584)&gt;0,1,0),IF(B2584="REGION LOSS",IF(COUNTIFS('Site Dockets'!$E$7:$E$24,C2584,'Site Dockets'!$C$7:$C$24,F2584)&gt;0,1,0),0))</f>
        <v>0</v>
      </c>
      <c r="L2584" s="15" t="n">
        <f aca="false">IF(J2584=1,0,Inputs!$B$11)</f>
        <v>100</v>
      </c>
      <c r="M2584" s="15" t="n">
        <f aca="false">IF(J2584=1,0,Inputs!$B$12)</f>
        <v>75</v>
      </c>
      <c r="N2584" s="15" t="n">
        <f aca="false">IF(J2584=1,0,IF(OR(AND(OR(B2584="SITE LOSS",B2584="REGION LOSS"),K2584=1),AND(B2584="ROLE COMPROMISE",H2584=C2584)),Inputs!$B$13,Inputs!$B$14))</f>
        <v>10</v>
      </c>
      <c r="O2584" s="15" t="n">
        <f aca="false">IF(J2584=1,0,Inputs!$B$13)</f>
        <v>20</v>
      </c>
      <c r="P2584" s="15" t="n">
        <f aca="false">SUM(M2584:N2584)</f>
        <v>85</v>
      </c>
      <c r="Q2584" s="15" t="n">
        <f aca="false">IF(J2584=1,"",L2584-P2584)</f>
        <v>15</v>
      </c>
      <c r="R2584" s="15" t="n">
        <f aca="false">IF(OR(J2584=1,M2584&lt;=Inputs!$B$12),1,0)</f>
        <v>1</v>
      </c>
      <c r="S2584" s="15" t="n">
        <f aca="false">IF(OR(J2584=1,N2584&lt;=O2584),1,0)</f>
        <v>1</v>
      </c>
      <c r="T2584" s="15" t="str">
        <f aca="false">IF(J2584=1,"OFFLINE",IF(AND(Q2584&gt;=Inputs!$B$15,R2584=1,S2584=1,P2584&lt;=L2584),"PASS","FAIL"))</f>
        <v>PASS</v>
      </c>
    </row>
    <row r="2585" customFormat="false" ht="15" hidden="false" customHeight="false" outlineLevel="0" collapsed="false">
      <c r="A2585" s="14" t="s">
        <v>1043</v>
      </c>
      <c r="B2585" s="14" t="s">
        <v>1038</v>
      </c>
      <c r="C2585" s="14" t="s">
        <v>172</v>
      </c>
      <c r="D2585" s="14" t="s">
        <v>198</v>
      </c>
      <c r="E2585" s="14" t="s">
        <v>166</v>
      </c>
      <c r="F2585" s="14" t="s">
        <v>199</v>
      </c>
      <c r="G2585" s="14" t="n">
        <v>1</v>
      </c>
      <c r="H2585" s="14" t="s">
        <v>154</v>
      </c>
      <c r="I2585" s="14" t="s">
        <v>897</v>
      </c>
      <c r="J2585" s="15" t="n">
        <f aca="false">IF(B2585="SITE LOSS",IF(D2585=C2585,1,0),IF(B2585="REGION LOSS",IF(E2585=C2585,1,0),0))</f>
        <v>0</v>
      </c>
      <c r="K2585" s="15" t="n">
        <f aca="false">IF(B2585="SITE LOSS",IF(COUNTIFS('Site Dockets'!$B$7:$B$24,C2585,'Site Dockets'!$C$7:$C$24,F2585)&gt;0,1,0),IF(B2585="REGION LOSS",IF(COUNTIFS('Site Dockets'!$E$7:$E$24,C2585,'Site Dockets'!$C$7:$C$24,F2585)&gt;0,1,0),0))</f>
        <v>0</v>
      </c>
      <c r="L2585" s="15" t="n">
        <f aca="false">IF(J2585=1,0,Inputs!$B$11)</f>
        <v>100</v>
      </c>
      <c r="M2585" s="15" t="n">
        <f aca="false">IF(J2585=1,0,Inputs!$B$12)</f>
        <v>75</v>
      </c>
      <c r="N2585" s="15" t="n">
        <f aca="false">IF(J2585=1,0,IF(OR(AND(OR(B2585="SITE LOSS",B2585="REGION LOSS"),K2585=1),AND(B2585="ROLE COMPROMISE",H2585=C2585)),Inputs!$B$13,Inputs!$B$14))</f>
        <v>10</v>
      </c>
      <c r="O2585" s="15" t="n">
        <f aca="false">IF(J2585=1,0,Inputs!$B$13)</f>
        <v>20</v>
      </c>
      <c r="P2585" s="15" t="n">
        <f aca="false">SUM(M2585:N2585)</f>
        <v>85</v>
      </c>
      <c r="Q2585" s="15" t="n">
        <f aca="false">IF(J2585=1,"",L2585-P2585)</f>
        <v>15</v>
      </c>
      <c r="R2585" s="15" t="n">
        <f aca="false">IF(OR(J2585=1,M2585&lt;=Inputs!$B$12),1,0)</f>
        <v>1</v>
      </c>
      <c r="S2585" s="15" t="n">
        <f aca="false">IF(OR(J2585=1,N2585&lt;=O2585),1,0)</f>
        <v>1</v>
      </c>
      <c r="T2585" s="15" t="str">
        <f aca="false">IF(J2585=1,"OFFLINE",IF(AND(Q2585&gt;=Inputs!$B$15,R2585=1,S2585=1,P2585&lt;=L2585),"PASS","FAIL"))</f>
        <v>PASS</v>
      </c>
    </row>
    <row r="2586" customFormat="false" ht="15" hidden="false" customHeight="false" outlineLevel="0" collapsed="false">
      <c r="A2586" s="14" t="s">
        <v>1043</v>
      </c>
      <c r="B2586" s="14" t="s">
        <v>1038</v>
      </c>
      <c r="C2586" s="14" t="s">
        <v>172</v>
      </c>
      <c r="D2586" s="14" t="s">
        <v>198</v>
      </c>
      <c r="E2586" s="14" t="s">
        <v>166</v>
      </c>
      <c r="F2586" s="14" t="s">
        <v>199</v>
      </c>
      <c r="G2586" s="14" t="n">
        <v>1</v>
      </c>
      <c r="H2586" s="14" t="s">
        <v>154</v>
      </c>
      <c r="I2586" s="14" t="s">
        <v>899</v>
      </c>
      <c r="J2586" s="15" t="n">
        <f aca="false">IF(B2586="SITE LOSS",IF(D2586=C2586,1,0),IF(B2586="REGION LOSS",IF(E2586=C2586,1,0),0))</f>
        <v>0</v>
      </c>
      <c r="K2586" s="15" t="n">
        <f aca="false">IF(B2586="SITE LOSS",IF(COUNTIFS('Site Dockets'!$B$7:$B$24,C2586,'Site Dockets'!$C$7:$C$24,F2586)&gt;0,1,0),IF(B2586="REGION LOSS",IF(COUNTIFS('Site Dockets'!$E$7:$E$24,C2586,'Site Dockets'!$C$7:$C$24,F2586)&gt;0,1,0),0))</f>
        <v>0</v>
      </c>
      <c r="L2586" s="15" t="n">
        <f aca="false">IF(J2586=1,0,Inputs!$B$11)</f>
        <v>100</v>
      </c>
      <c r="M2586" s="15" t="n">
        <f aca="false">IF(J2586=1,0,Inputs!$B$12)</f>
        <v>75</v>
      </c>
      <c r="N2586" s="15" t="n">
        <f aca="false">IF(J2586=1,0,IF(OR(AND(OR(B2586="SITE LOSS",B2586="REGION LOSS"),K2586=1),AND(B2586="ROLE COMPROMISE",H2586=C2586)),Inputs!$B$13,Inputs!$B$14))</f>
        <v>10</v>
      </c>
      <c r="O2586" s="15" t="n">
        <f aca="false">IF(J2586=1,0,Inputs!$B$13)</f>
        <v>20</v>
      </c>
      <c r="P2586" s="15" t="n">
        <f aca="false">SUM(M2586:N2586)</f>
        <v>85</v>
      </c>
      <c r="Q2586" s="15" t="n">
        <f aca="false">IF(J2586=1,"",L2586-P2586)</f>
        <v>15</v>
      </c>
      <c r="R2586" s="15" t="n">
        <f aca="false">IF(OR(J2586=1,M2586&lt;=Inputs!$B$12),1,0)</f>
        <v>1</v>
      </c>
      <c r="S2586" s="15" t="n">
        <f aca="false">IF(OR(J2586=1,N2586&lt;=O2586),1,0)</f>
        <v>1</v>
      </c>
      <c r="T2586" s="15" t="str">
        <f aca="false">IF(J2586=1,"OFFLINE",IF(AND(Q2586&gt;=Inputs!$B$15,R2586=1,S2586=1,P2586&lt;=L2586),"PASS","FAIL"))</f>
        <v>PASS</v>
      </c>
    </row>
    <row r="2587" customFormat="false" ht="15" hidden="false" customHeight="false" outlineLevel="0" collapsed="false">
      <c r="A2587" s="14" t="s">
        <v>1043</v>
      </c>
      <c r="B2587" s="14" t="s">
        <v>1038</v>
      </c>
      <c r="C2587" s="14" t="s">
        <v>172</v>
      </c>
      <c r="D2587" s="14" t="s">
        <v>202</v>
      </c>
      <c r="E2587" s="14" t="s">
        <v>157</v>
      </c>
      <c r="F2587" s="14" t="s">
        <v>199</v>
      </c>
      <c r="G2587" s="14" t="n">
        <v>2</v>
      </c>
      <c r="H2587" s="14" t="s">
        <v>153</v>
      </c>
      <c r="I2587" s="14" t="s">
        <v>890</v>
      </c>
      <c r="J2587" s="15" t="n">
        <f aca="false">IF(B2587="SITE LOSS",IF(D2587=C2587,1,0),IF(B2587="REGION LOSS",IF(E2587=C2587,1,0),0))</f>
        <v>0</v>
      </c>
      <c r="K2587" s="15" t="n">
        <f aca="false">IF(B2587="SITE LOSS",IF(COUNTIFS('Site Dockets'!$B$7:$B$24,C2587,'Site Dockets'!$C$7:$C$24,F2587)&gt;0,1,0),IF(B2587="REGION LOSS",IF(COUNTIFS('Site Dockets'!$E$7:$E$24,C2587,'Site Dockets'!$C$7:$C$24,F2587)&gt;0,1,0),0))</f>
        <v>0</v>
      </c>
      <c r="L2587" s="15" t="n">
        <f aca="false">IF(J2587=1,0,Inputs!$B$11)</f>
        <v>100</v>
      </c>
      <c r="M2587" s="15" t="n">
        <f aca="false">IF(J2587=1,0,Inputs!$B$12)</f>
        <v>75</v>
      </c>
      <c r="N2587" s="15" t="n">
        <f aca="false">IF(J2587=1,0,IF(OR(AND(OR(B2587="SITE LOSS",B2587="REGION LOSS"),K2587=1),AND(B2587="ROLE COMPROMISE",H2587=C2587)),Inputs!$B$13,Inputs!$B$14))</f>
        <v>10</v>
      </c>
      <c r="O2587" s="15" t="n">
        <f aca="false">IF(J2587=1,0,Inputs!$B$13)</f>
        <v>20</v>
      </c>
      <c r="P2587" s="15" t="n">
        <f aca="false">SUM(M2587:N2587)</f>
        <v>85</v>
      </c>
      <c r="Q2587" s="15" t="n">
        <f aca="false">IF(J2587=1,"",L2587-P2587)</f>
        <v>15</v>
      </c>
      <c r="R2587" s="15" t="n">
        <f aca="false">IF(OR(J2587=1,M2587&lt;=Inputs!$B$12),1,0)</f>
        <v>1</v>
      </c>
      <c r="S2587" s="15" t="n">
        <f aca="false">IF(OR(J2587=1,N2587&lt;=O2587),1,0)</f>
        <v>1</v>
      </c>
      <c r="T2587" s="15" t="str">
        <f aca="false">IF(J2587=1,"OFFLINE",IF(AND(Q2587&gt;=Inputs!$B$15,R2587=1,S2587=1,P2587&lt;=L2587),"PASS","FAIL"))</f>
        <v>PASS</v>
      </c>
    </row>
    <row r="2588" customFormat="false" ht="15" hidden="false" customHeight="false" outlineLevel="0" collapsed="false">
      <c r="A2588" s="14" t="s">
        <v>1043</v>
      </c>
      <c r="B2588" s="14" t="s">
        <v>1038</v>
      </c>
      <c r="C2588" s="14" t="s">
        <v>172</v>
      </c>
      <c r="D2588" s="14" t="s">
        <v>202</v>
      </c>
      <c r="E2588" s="14" t="s">
        <v>157</v>
      </c>
      <c r="F2588" s="14" t="s">
        <v>199</v>
      </c>
      <c r="G2588" s="14" t="n">
        <v>2</v>
      </c>
      <c r="H2588" s="14" t="s">
        <v>153</v>
      </c>
      <c r="I2588" s="14" t="s">
        <v>892</v>
      </c>
      <c r="J2588" s="15" t="n">
        <f aca="false">IF(B2588="SITE LOSS",IF(D2588=C2588,1,0),IF(B2588="REGION LOSS",IF(E2588=C2588,1,0),0))</f>
        <v>0</v>
      </c>
      <c r="K2588" s="15" t="n">
        <f aca="false">IF(B2588="SITE LOSS",IF(COUNTIFS('Site Dockets'!$B$7:$B$24,C2588,'Site Dockets'!$C$7:$C$24,F2588)&gt;0,1,0),IF(B2588="REGION LOSS",IF(COUNTIFS('Site Dockets'!$E$7:$E$24,C2588,'Site Dockets'!$C$7:$C$24,F2588)&gt;0,1,0),0))</f>
        <v>0</v>
      </c>
      <c r="L2588" s="15" t="n">
        <f aca="false">IF(J2588=1,0,Inputs!$B$11)</f>
        <v>100</v>
      </c>
      <c r="M2588" s="15" t="n">
        <f aca="false">IF(J2588=1,0,Inputs!$B$12)</f>
        <v>75</v>
      </c>
      <c r="N2588" s="15" t="n">
        <f aca="false">IF(J2588=1,0,IF(OR(AND(OR(B2588="SITE LOSS",B2588="REGION LOSS"),K2588=1),AND(B2588="ROLE COMPROMISE",H2588=C2588)),Inputs!$B$13,Inputs!$B$14))</f>
        <v>10</v>
      </c>
      <c r="O2588" s="15" t="n">
        <f aca="false">IF(J2588=1,0,Inputs!$B$13)</f>
        <v>20</v>
      </c>
      <c r="P2588" s="15" t="n">
        <f aca="false">SUM(M2588:N2588)</f>
        <v>85</v>
      </c>
      <c r="Q2588" s="15" t="n">
        <f aca="false">IF(J2588=1,"",L2588-P2588)</f>
        <v>15</v>
      </c>
      <c r="R2588" s="15" t="n">
        <f aca="false">IF(OR(J2588=1,M2588&lt;=Inputs!$B$12),1,0)</f>
        <v>1</v>
      </c>
      <c r="S2588" s="15" t="n">
        <f aca="false">IF(OR(J2588=1,N2588&lt;=O2588),1,0)</f>
        <v>1</v>
      </c>
      <c r="T2588" s="15" t="str">
        <f aca="false">IF(J2588=1,"OFFLINE",IF(AND(Q2588&gt;=Inputs!$B$15,R2588=1,S2588=1,P2588&lt;=L2588),"PASS","FAIL"))</f>
        <v>PASS</v>
      </c>
    </row>
    <row r="2589" customFormat="false" ht="15" hidden="false" customHeight="false" outlineLevel="0" collapsed="false">
      <c r="A2589" s="14" t="s">
        <v>1043</v>
      </c>
      <c r="B2589" s="14" t="s">
        <v>1038</v>
      </c>
      <c r="C2589" s="14" t="s">
        <v>172</v>
      </c>
      <c r="D2589" s="14" t="s">
        <v>202</v>
      </c>
      <c r="E2589" s="14" t="s">
        <v>157</v>
      </c>
      <c r="F2589" s="14" t="s">
        <v>199</v>
      </c>
      <c r="G2589" s="14" t="n">
        <v>2</v>
      </c>
      <c r="H2589" s="14" t="s">
        <v>153</v>
      </c>
      <c r="I2589" s="14" t="s">
        <v>811</v>
      </c>
      <c r="J2589" s="15" t="n">
        <f aca="false">IF(B2589="SITE LOSS",IF(D2589=C2589,1,0),IF(B2589="REGION LOSS",IF(E2589=C2589,1,0),0))</f>
        <v>0</v>
      </c>
      <c r="K2589" s="15" t="n">
        <f aca="false">IF(B2589="SITE LOSS",IF(COUNTIFS('Site Dockets'!$B$7:$B$24,C2589,'Site Dockets'!$C$7:$C$24,F2589)&gt;0,1,0),IF(B2589="REGION LOSS",IF(COUNTIFS('Site Dockets'!$E$7:$E$24,C2589,'Site Dockets'!$C$7:$C$24,F2589)&gt;0,1,0),0))</f>
        <v>0</v>
      </c>
      <c r="L2589" s="15" t="n">
        <f aca="false">IF(J2589=1,0,Inputs!$B$11)</f>
        <v>100</v>
      </c>
      <c r="M2589" s="15" t="n">
        <f aca="false">IF(J2589=1,0,Inputs!$B$12)</f>
        <v>75</v>
      </c>
      <c r="N2589" s="15" t="n">
        <f aca="false">IF(J2589=1,0,IF(OR(AND(OR(B2589="SITE LOSS",B2589="REGION LOSS"),K2589=1),AND(B2589="ROLE COMPROMISE",H2589=C2589)),Inputs!$B$13,Inputs!$B$14))</f>
        <v>10</v>
      </c>
      <c r="O2589" s="15" t="n">
        <f aca="false">IF(J2589=1,0,Inputs!$B$13)</f>
        <v>20</v>
      </c>
      <c r="P2589" s="15" t="n">
        <f aca="false">SUM(M2589:N2589)</f>
        <v>85</v>
      </c>
      <c r="Q2589" s="15" t="n">
        <f aca="false">IF(J2589=1,"",L2589-P2589)</f>
        <v>15</v>
      </c>
      <c r="R2589" s="15" t="n">
        <f aca="false">IF(OR(J2589=1,M2589&lt;=Inputs!$B$12),1,0)</f>
        <v>1</v>
      </c>
      <c r="S2589" s="15" t="n">
        <f aca="false">IF(OR(J2589=1,N2589&lt;=O2589),1,0)</f>
        <v>1</v>
      </c>
      <c r="T2589" s="15" t="str">
        <f aca="false">IF(J2589=1,"OFFLINE",IF(AND(Q2589&gt;=Inputs!$B$15,R2589=1,S2589=1,P2589&lt;=L2589),"PASS","FAIL"))</f>
        <v>PASS</v>
      </c>
    </row>
    <row r="2590" customFormat="false" ht="15" hidden="false" customHeight="false" outlineLevel="0" collapsed="false">
      <c r="A2590" s="14" t="s">
        <v>1043</v>
      </c>
      <c r="B2590" s="14" t="s">
        <v>1038</v>
      </c>
      <c r="C2590" s="14" t="s">
        <v>172</v>
      </c>
      <c r="D2590" s="14" t="s">
        <v>202</v>
      </c>
      <c r="E2590" s="14" t="s">
        <v>157</v>
      </c>
      <c r="F2590" s="14" t="s">
        <v>199</v>
      </c>
      <c r="G2590" s="14" t="n">
        <v>2</v>
      </c>
      <c r="H2590" s="14" t="s">
        <v>153</v>
      </c>
      <c r="I2590" s="14" t="s">
        <v>895</v>
      </c>
      <c r="J2590" s="15" t="n">
        <f aca="false">IF(B2590="SITE LOSS",IF(D2590=C2590,1,0),IF(B2590="REGION LOSS",IF(E2590=C2590,1,0),0))</f>
        <v>0</v>
      </c>
      <c r="K2590" s="15" t="n">
        <f aca="false">IF(B2590="SITE LOSS",IF(COUNTIFS('Site Dockets'!$B$7:$B$24,C2590,'Site Dockets'!$C$7:$C$24,F2590)&gt;0,1,0),IF(B2590="REGION LOSS",IF(COUNTIFS('Site Dockets'!$E$7:$E$24,C2590,'Site Dockets'!$C$7:$C$24,F2590)&gt;0,1,0),0))</f>
        <v>0</v>
      </c>
      <c r="L2590" s="15" t="n">
        <f aca="false">IF(J2590=1,0,Inputs!$B$11)</f>
        <v>100</v>
      </c>
      <c r="M2590" s="15" t="n">
        <f aca="false">IF(J2590=1,0,Inputs!$B$12)</f>
        <v>75</v>
      </c>
      <c r="N2590" s="15" t="n">
        <f aca="false">IF(J2590=1,0,IF(OR(AND(OR(B2590="SITE LOSS",B2590="REGION LOSS"),K2590=1),AND(B2590="ROLE COMPROMISE",H2590=C2590)),Inputs!$B$13,Inputs!$B$14))</f>
        <v>10</v>
      </c>
      <c r="O2590" s="15" t="n">
        <f aca="false">IF(J2590=1,0,Inputs!$B$13)</f>
        <v>20</v>
      </c>
      <c r="P2590" s="15" t="n">
        <f aca="false">SUM(M2590:N2590)</f>
        <v>85</v>
      </c>
      <c r="Q2590" s="15" t="n">
        <f aca="false">IF(J2590=1,"",L2590-P2590)</f>
        <v>15</v>
      </c>
      <c r="R2590" s="15" t="n">
        <f aca="false">IF(OR(J2590=1,M2590&lt;=Inputs!$B$12),1,0)</f>
        <v>1</v>
      </c>
      <c r="S2590" s="15" t="n">
        <f aca="false">IF(OR(J2590=1,N2590&lt;=O2590),1,0)</f>
        <v>1</v>
      </c>
      <c r="T2590" s="15" t="str">
        <f aca="false">IF(J2590=1,"OFFLINE",IF(AND(Q2590&gt;=Inputs!$B$15,R2590=1,S2590=1,P2590&lt;=L2590),"PASS","FAIL"))</f>
        <v>PASS</v>
      </c>
    </row>
    <row r="2591" customFormat="false" ht="15" hidden="false" customHeight="false" outlineLevel="0" collapsed="false">
      <c r="A2591" s="14" t="s">
        <v>1043</v>
      </c>
      <c r="B2591" s="14" t="s">
        <v>1038</v>
      </c>
      <c r="C2591" s="14" t="s">
        <v>172</v>
      </c>
      <c r="D2591" s="14" t="s">
        <v>202</v>
      </c>
      <c r="E2591" s="14" t="s">
        <v>157</v>
      </c>
      <c r="F2591" s="14" t="s">
        <v>199</v>
      </c>
      <c r="G2591" s="14" t="n">
        <v>2</v>
      </c>
      <c r="H2591" s="14" t="s">
        <v>153</v>
      </c>
      <c r="I2591" s="14" t="s">
        <v>897</v>
      </c>
      <c r="J2591" s="15" t="n">
        <f aca="false">IF(B2591="SITE LOSS",IF(D2591=C2591,1,0),IF(B2591="REGION LOSS",IF(E2591=C2591,1,0),0))</f>
        <v>0</v>
      </c>
      <c r="K2591" s="15" t="n">
        <f aca="false">IF(B2591="SITE LOSS",IF(COUNTIFS('Site Dockets'!$B$7:$B$24,C2591,'Site Dockets'!$C$7:$C$24,F2591)&gt;0,1,0),IF(B2591="REGION LOSS",IF(COUNTIFS('Site Dockets'!$E$7:$E$24,C2591,'Site Dockets'!$C$7:$C$24,F2591)&gt;0,1,0),0))</f>
        <v>0</v>
      </c>
      <c r="L2591" s="15" t="n">
        <f aca="false">IF(J2591=1,0,Inputs!$B$11)</f>
        <v>100</v>
      </c>
      <c r="M2591" s="15" t="n">
        <f aca="false">IF(J2591=1,0,Inputs!$B$12)</f>
        <v>75</v>
      </c>
      <c r="N2591" s="15" t="n">
        <f aca="false">IF(J2591=1,0,IF(OR(AND(OR(B2591="SITE LOSS",B2591="REGION LOSS"),K2591=1),AND(B2591="ROLE COMPROMISE",H2591=C2591)),Inputs!$B$13,Inputs!$B$14))</f>
        <v>10</v>
      </c>
      <c r="O2591" s="15" t="n">
        <f aca="false">IF(J2591=1,0,Inputs!$B$13)</f>
        <v>20</v>
      </c>
      <c r="P2591" s="15" t="n">
        <f aca="false">SUM(M2591:N2591)</f>
        <v>85</v>
      </c>
      <c r="Q2591" s="15" t="n">
        <f aca="false">IF(J2591=1,"",L2591-P2591)</f>
        <v>15</v>
      </c>
      <c r="R2591" s="15" t="n">
        <f aca="false">IF(OR(J2591=1,M2591&lt;=Inputs!$B$12),1,0)</f>
        <v>1</v>
      </c>
      <c r="S2591" s="15" t="n">
        <f aca="false">IF(OR(J2591=1,N2591&lt;=O2591),1,0)</f>
        <v>1</v>
      </c>
      <c r="T2591" s="15" t="str">
        <f aca="false">IF(J2591=1,"OFFLINE",IF(AND(Q2591&gt;=Inputs!$B$15,R2591=1,S2591=1,P2591&lt;=L2591),"PASS","FAIL"))</f>
        <v>PASS</v>
      </c>
    </row>
    <row r="2592" customFormat="false" ht="15" hidden="false" customHeight="false" outlineLevel="0" collapsed="false">
      <c r="A2592" s="14" t="s">
        <v>1043</v>
      </c>
      <c r="B2592" s="14" t="s">
        <v>1038</v>
      </c>
      <c r="C2592" s="14" t="s">
        <v>172</v>
      </c>
      <c r="D2592" s="14" t="s">
        <v>202</v>
      </c>
      <c r="E2592" s="14" t="s">
        <v>157</v>
      </c>
      <c r="F2592" s="14" t="s">
        <v>199</v>
      </c>
      <c r="G2592" s="14" t="n">
        <v>2</v>
      </c>
      <c r="H2592" s="14" t="s">
        <v>153</v>
      </c>
      <c r="I2592" s="14" t="s">
        <v>899</v>
      </c>
      <c r="J2592" s="15" t="n">
        <f aca="false">IF(B2592="SITE LOSS",IF(D2592=C2592,1,0),IF(B2592="REGION LOSS",IF(E2592=C2592,1,0),0))</f>
        <v>0</v>
      </c>
      <c r="K2592" s="15" t="n">
        <f aca="false">IF(B2592="SITE LOSS",IF(COUNTIFS('Site Dockets'!$B$7:$B$24,C2592,'Site Dockets'!$C$7:$C$24,F2592)&gt;0,1,0),IF(B2592="REGION LOSS",IF(COUNTIFS('Site Dockets'!$E$7:$E$24,C2592,'Site Dockets'!$C$7:$C$24,F2592)&gt;0,1,0),0))</f>
        <v>0</v>
      </c>
      <c r="L2592" s="15" t="n">
        <f aca="false">IF(J2592=1,0,Inputs!$B$11)</f>
        <v>100</v>
      </c>
      <c r="M2592" s="15" t="n">
        <f aca="false">IF(J2592=1,0,Inputs!$B$12)</f>
        <v>75</v>
      </c>
      <c r="N2592" s="15" t="n">
        <f aca="false">IF(J2592=1,0,IF(OR(AND(OR(B2592="SITE LOSS",B2592="REGION LOSS"),K2592=1),AND(B2592="ROLE COMPROMISE",H2592=C2592)),Inputs!$B$13,Inputs!$B$14))</f>
        <v>10</v>
      </c>
      <c r="O2592" s="15" t="n">
        <f aca="false">IF(J2592=1,0,Inputs!$B$13)</f>
        <v>20</v>
      </c>
      <c r="P2592" s="15" t="n">
        <f aca="false">SUM(M2592:N2592)</f>
        <v>85</v>
      </c>
      <c r="Q2592" s="15" t="n">
        <f aca="false">IF(J2592=1,"",L2592-P2592)</f>
        <v>15</v>
      </c>
      <c r="R2592" s="15" t="n">
        <f aca="false">IF(OR(J2592=1,M2592&lt;=Inputs!$B$12),1,0)</f>
        <v>1</v>
      </c>
      <c r="S2592" s="15" t="n">
        <f aca="false">IF(OR(J2592=1,N2592&lt;=O2592),1,0)</f>
        <v>1</v>
      </c>
      <c r="T2592" s="15" t="str">
        <f aca="false">IF(J2592=1,"OFFLINE",IF(AND(Q2592&gt;=Inputs!$B$15,R2592=1,S2592=1,P2592&lt;=L2592),"PASS","FAIL"))</f>
        <v>PASS</v>
      </c>
    </row>
    <row r="2593" customFormat="false" ht="15" hidden="false" customHeight="false" outlineLevel="0" collapsed="false">
      <c r="A2593" s="14" t="s">
        <v>1043</v>
      </c>
      <c r="B2593" s="14" t="s">
        <v>1038</v>
      </c>
      <c r="C2593" s="14" t="s">
        <v>172</v>
      </c>
      <c r="D2593" s="14" t="s">
        <v>204</v>
      </c>
      <c r="E2593" s="14" t="s">
        <v>161</v>
      </c>
      <c r="F2593" s="14" t="s">
        <v>199</v>
      </c>
      <c r="G2593" s="14" t="n">
        <v>3</v>
      </c>
      <c r="H2593" s="14" t="s">
        <v>158</v>
      </c>
      <c r="I2593" s="14" t="s">
        <v>890</v>
      </c>
      <c r="J2593" s="15" t="n">
        <f aca="false">IF(B2593="SITE LOSS",IF(D2593=C2593,1,0),IF(B2593="REGION LOSS",IF(E2593=C2593,1,0),0))</f>
        <v>0</v>
      </c>
      <c r="K2593" s="15" t="n">
        <f aca="false">IF(B2593="SITE LOSS",IF(COUNTIFS('Site Dockets'!$B$7:$B$24,C2593,'Site Dockets'!$C$7:$C$24,F2593)&gt;0,1,0),IF(B2593="REGION LOSS",IF(COUNTIFS('Site Dockets'!$E$7:$E$24,C2593,'Site Dockets'!$C$7:$C$24,F2593)&gt;0,1,0),0))</f>
        <v>0</v>
      </c>
      <c r="L2593" s="15" t="n">
        <f aca="false">IF(J2593=1,0,Inputs!$B$11)</f>
        <v>100</v>
      </c>
      <c r="M2593" s="15" t="n">
        <f aca="false">IF(J2593=1,0,Inputs!$B$12)</f>
        <v>75</v>
      </c>
      <c r="N2593" s="15" t="n">
        <f aca="false">IF(J2593=1,0,IF(OR(AND(OR(B2593="SITE LOSS",B2593="REGION LOSS"),K2593=1),AND(B2593="ROLE COMPROMISE",H2593=C2593)),Inputs!$B$13,Inputs!$B$14))</f>
        <v>10</v>
      </c>
      <c r="O2593" s="15" t="n">
        <f aca="false">IF(J2593=1,0,Inputs!$B$13)</f>
        <v>20</v>
      </c>
      <c r="P2593" s="15" t="n">
        <f aca="false">SUM(M2593:N2593)</f>
        <v>85</v>
      </c>
      <c r="Q2593" s="15" t="n">
        <f aca="false">IF(J2593=1,"",L2593-P2593)</f>
        <v>15</v>
      </c>
      <c r="R2593" s="15" t="n">
        <f aca="false">IF(OR(J2593=1,M2593&lt;=Inputs!$B$12),1,0)</f>
        <v>1</v>
      </c>
      <c r="S2593" s="15" t="n">
        <f aca="false">IF(OR(J2593=1,N2593&lt;=O2593),1,0)</f>
        <v>1</v>
      </c>
      <c r="T2593" s="15" t="str">
        <f aca="false">IF(J2593=1,"OFFLINE",IF(AND(Q2593&gt;=Inputs!$B$15,R2593=1,S2593=1,P2593&lt;=L2593),"PASS","FAIL"))</f>
        <v>PASS</v>
      </c>
    </row>
    <row r="2594" customFormat="false" ht="15" hidden="false" customHeight="false" outlineLevel="0" collapsed="false">
      <c r="A2594" s="14" t="s">
        <v>1043</v>
      </c>
      <c r="B2594" s="14" t="s">
        <v>1038</v>
      </c>
      <c r="C2594" s="14" t="s">
        <v>172</v>
      </c>
      <c r="D2594" s="14" t="s">
        <v>204</v>
      </c>
      <c r="E2594" s="14" t="s">
        <v>161</v>
      </c>
      <c r="F2594" s="14" t="s">
        <v>199</v>
      </c>
      <c r="G2594" s="14" t="n">
        <v>3</v>
      </c>
      <c r="H2594" s="14" t="s">
        <v>158</v>
      </c>
      <c r="I2594" s="14" t="s">
        <v>892</v>
      </c>
      <c r="J2594" s="15" t="n">
        <f aca="false">IF(B2594="SITE LOSS",IF(D2594=C2594,1,0),IF(B2594="REGION LOSS",IF(E2594=C2594,1,0),0))</f>
        <v>0</v>
      </c>
      <c r="K2594" s="15" t="n">
        <f aca="false">IF(B2594="SITE LOSS",IF(COUNTIFS('Site Dockets'!$B$7:$B$24,C2594,'Site Dockets'!$C$7:$C$24,F2594)&gt;0,1,0),IF(B2594="REGION LOSS",IF(COUNTIFS('Site Dockets'!$E$7:$E$24,C2594,'Site Dockets'!$C$7:$C$24,F2594)&gt;0,1,0),0))</f>
        <v>0</v>
      </c>
      <c r="L2594" s="15" t="n">
        <f aca="false">IF(J2594=1,0,Inputs!$B$11)</f>
        <v>100</v>
      </c>
      <c r="M2594" s="15" t="n">
        <f aca="false">IF(J2594=1,0,Inputs!$B$12)</f>
        <v>75</v>
      </c>
      <c r="N2594" s="15" t="n">
        <f aca="false">IF(J2594=1,0,IF(OR(AND(OR(B2594="SITE LOSS",B2594="REGION LOSS"),K2594=1),AND(B2594="ROLE COMPROMISE",H2594=C2594)),Inputs!$B$13,Inputs!$B$14))</f>
        <v>10</v>
      </c>
      <c r="O2594" s="15" t="n">
        <f aca="false">IF(J2594=1,0,Inputs!$B$13)</f>
        <v>20</v>
      </c>
      <c r="P2594" s="15" t="n">
        <f aca="false">SUM(M2594:N2594)</f>
        <v>85</v>
      </c>
      <c r="Q2594" s="15" t="n">
        <f aca="false">IF(J2594=1,"",L2594-P2594)</f>
        <v>15</v>
      </c>
      <c r="R2594" s="15" t="n">
        <f aca="false">IF(OR(J2594=1,M2594&lt;=Inputs!$B$12),1,0)</f>
        <v>1</v>
      </c>
      <c r="S2594" s="15" t="n">
        <f aca="false">IF(OR(J2594=1,N2594&lt;=O2594),1,0)</f>
        <v>1</v>
      </c>
      <c r="T2594" s="15" t="str">
        <f aca="false">IF(J2594=1,"OFFLINE",IF(AND(Q2594&gt;=Inputs!$B$15,R2594=1,S2594=1,P2594&lt;=L2594),"PASS","FAIL"))</f>
        <v>PASS</v>
      </c>
    </row>
    <row r="2595" customFormat="false" ht="15" hidden="false" customHeight="false" outlineLevel="0" collapsed="false">
      <c r="A2595" s="14" t="s">
        <v>1043</v>
      </c>
      <c r="B2595" s="14" t="s">
        <v>1038</v>
      </c>
      <c r="C2595" s="14" t="s">
        <v>172</v>
      </c>
      <c r="D2595" s="14" t="s">
        <v>204</v>
      </c>
      <c r="E2595" s="14" t="s">
        <v>161</v>
      </c>
      <c r="F2595" s="14" t="s">
        <v>199</v>
      </c>
      <c r="G2595" s="14" t="n">
        <v>3</v>
      </c>
      <c r="H2595" s="14" t="s">
        <v>158</v>
      </c>
      <c r="I2595" s="14" t="s">
        <v>811</v>
      </c>
      <c r="J2595" s="15" t="n">
        <f aca="false">IF(B2595="SITE LOSS",IF(D2595=C2595,1,0),IF(B2595="REGION LOSS",IF(E2595=C2595,1,0),0))</f>
        <v>0</v>
      </c>
      <c r="K2595" s="15" t="n">
        <f aca="false">IF(B2595="SITE LOSS",IF(COUNTIFS('Site Dockets'!$B$7:$B$24,C2595,'Site Dockets'!$C$7:$C$24,F2595)&gt;0,1,0),IF(B2595="REGION LOSS",IF(COUNTIFS('Site Dockets'!$E$7:$E$24,C2595,'Site Dockets'!$C$7:$C$24,F2595)&gt;0,1,0),0))</f>
        <v>0</v>
      </c>
      <c r="L2595" s="15" t="n">
        <f aca="false">IF(J2595=1,0,Inputs!$B$11)</f>
        <v>100</v>
      </c>
      <c r="M2595" s="15" t="n">
        <f aca="false">IF(J2595=1,0,Inputs!$B$12)</f>
        <v>75</v>
      </c>
      <c r="N2595" s="15" t="n">
        <f aca="false">IF(J2595=1,0,IF(OR(AND(OR(B2595="SITE LOSS",B2595="REGION LOSS"),K2595=1),AND(B2595="ROLE COMPROMISE",H2595=C2595)),Inputs!$B$13,Inputs!$B$14))</f>
        <v>10</v>
      </c>
      <c r="O2595" s="15" t="n">
        <f aca="false">IF(J2595=1,0,Inputs!$B$13)</f>
        <v>20</v>
      </c>
      <c r="P2595" s="15" t="n">
        <f aca="false">SUM(M2595:N2595)</f>
        <v>85</v>
      </c>
      <c r="Q2595" s="15" t="n">
        <f aca="false">IF(J2595=1,"",L2595-P2595)</f>
        <v>15</v>
      </c>
      <c r="R2595" s="15" t="n">
        <f aca="false">IF(OR(J2595=1,M2595&lt;=Inputs!$B$12),1,0)</f>
        <v>1</v>
      </c>
      <c r="S2595" s="15" t="n">
        <f aca="false">IF(OR(J2595=1,N2595&lt;=O2595),1,0)</f>
        <v>1</v>
      </c>
      <c r="T2595" s="15" t="str">
        <f aca="false">IF(J2595=1,"OFFLINE",IF(AND(Q2595&gt;=Inputs!$B$15,R2595=1,S2595=1,P2595&lt;=L2595),"PASS","FAIL"))</f>
        <v>PASS</v>
      </c>
    </row>
    <row r="2596" customFormat="false" ht="15" hidden="false" customHeight="false" outlineLevel="0" collapsed="false">
      <c r="A2596" s="14" t="s">
        <v>1043</v>
      </c>
      <c r="B2596" s="14" t="s">
        <v>1038</v>
      </c>
      <c r="C2596" s="14" t="s">
        <v>172</v>
      </c>
      <c r="D2596" s="14" t="s">
        <v>204</v>
      </c>
      <c r="E2596" s="14" t="s">
        <v>161</v>
      </c>
      <c r="F2596" s="14" t="s">
        <v>199</v>
      </c>
      <c r="G2596" s="14" t="n">
        <v>3</v>
      </c>
      <c r="H2596" s="14" t="s">
        <v>158</v>
      </c>
      <c r="I2596" s="14" t="s">
        <v>895</v>
      </c>
      <c r="J2596" s="15" t="n">
        <f aca="false">IF(B2596="SITE LOSS",IF(D2596=C2596,1,0),IF(B2596="REGION LOSS",IF(E2596=C2596,1,0),0))</f>
        <v>0</v>
      </c>
      <c r="K2596" s="15" t="n">
        <f aca="false">IF(B2596="SITE LOSS",IF(COUNTIFS('Site Dockets'!$B$7:$B$24,C2596,'Site Dockets'!$C$7:$C$24,F2596)&gt;0,1,0),IF(B2596="REGION LOSS",IF(COUNTIFS('Site Dockets'!$E$7:$E$24,C2596,'Site Dockets'!$C$7:$C$24,F2596)&gt;0,1,0),0))</f>
        <v>0</v>
      </c>
      <c r="L2596" s="15" t="n">
        <f aca="false">IF(J2596=1,0,Inputs!$B$11)</f>
        <v>100</v>
      </c>
      <c r="M2596" s="15" t="n">
        <f aca="false">IF(J2596=1,0,Inputs!$B$12)</f>
        <v>75</v>
      </c>
      <c r="N2596" s="15" t="n">
        <f aca="false">IF(J2596=1,0,IF(OR(AND(OR(B2596="SITE LOSS",B2596="REGION LOSS"),K2596=1),AND(B2596="ROLE COMPROMISE",H2596=C2596)),Inputs!$B$13,Inputs!$B$14))</f>
        <v>10</v>
      </c>
      <c r="O2596" s="15" t="n">
        <f aca="false">IF(J2596=1,0,Inputs!$B$13)</f>
        <v>20</v>
      </c>
      <c r="P2596" s="15" t="n">
        <f aca="false">SUM(M2596:N2596)</f>
        <v>85</v>
      </c>
      <c r="Q2596" s="15" t="n">
        <f aca="false">IF(J2596=1,"",L2596-P2596)</f>
        <v>15</v>
      </c>
      <c r="R2596" s="15" t="n">
        <f aca="false">IF(OR(J2596=1,M2596&lt;=Inputs!$B$12),1,0)</f>
        <v>1</v>
      </c>
      <c r="S2596" s="15" t="n">
        <f aca="false">IF(OR(J2596=1,N2596&lt;=O2596),1,0)</f>
        <v>1</v>
      </c>
      <c r="T2596" s="15" t="str">
        <f aca="false">IF(J2596=1,"OFFLINE",IF(AND(Q2596&gt;=Inputs!$B$15,R2596=1,S2596=1,P2596&lt;=L2596),"PASS","FAIL"))</f>
        <v>PASS</v>
      </c>
    </row>
    <row r="2597" customFormat="false" ht="15" hidden="false" customHeight="false" outlineLevel="0" collapsed="false">
      <c r="A2597" s="14" t="s">
        <v>1043</v>
      </c>
      <c r="B2597" s="14" t="s">
        <v>1038</v>
      </c>
      <c r="C2597" s="14" t="s">
        <v>172</v>
      </c>
      <c r="D2597" s="14" t="s">
        <v>204</v>
      </c>
      <c r="E2597" s="14" t="s">
        <v>161</v>
      </c>
      <c r="F2597" s="14" t="s">
        <v>199</v>
      </c>
      <c r="G2597" s="14" t="n">
        <v>3</v>
      </c>
      <c r="H2597" s="14" t="s">
        <v>158</v>
      </c>
      <c r="I2597" s="14" t="s">
        <v>897</v>
      </c>
      <c r="J2597" s="15" t="n">
        <f aca="false">IF(B2597="SITE LOSS",IF(D2597=C2597,1,0),IF(B2597="REGION LOSS",IF(E2597=C2597,1,0),0))</f>
        <v>0</v>
      </c>
      <c r="K2597" s="15" t="n">
        <f aca="false">IF(B2597="SITE LOSS",IF(COUNTIFS('Site Dockets'!$B$7:$B$24,C2597,'Site Dockets'!$C$7:$C$24,F2597)&gt;0,1,0),IF(B2597="REGION LOSS",IF(COUNTIFS('Site Dockets'!$E$7:$E$24,C2597,'Site Dockets'!$C$7:$C$24,F2597)&gt;0,1,0),0))</f>
        <v>0</v>
      </c>
      <c r="L2597" s="15" t="n">
        <f aca="false">IF(J2597=1,0,Inputs!$B$11)</f>
        <v>100</v>
      </c>
      <c r="M2597" s="15" t="n">
        <f aca="false">IF(J2597=1,0,Inputs!$B$12)</f>
        <v>75</v>
      </c>
      <c r="N2597" s="15" t="n">
        <f aca="false">IF(J2597=1,0,IF(OR(AND(OR(B2597="SITE LOSS",B2597="REGION LOSS"),K2597=1),AND(B2597="ROLE COMPROMISE",H2597=C2597)),Inputs!$B$13,Inputs!$B$14))</f>
        <v>10</v>
      </c>
      <c r="O2597" s="15" t="n">
        <f aca="false">IF(J2597=1,0,Inputs!$B$13)</f>
        <v>20</v>
      </c>
      <c r="P2597" s="15" t="n">
        <f aca="false">SUM(M2597:N2597)</f>
        <v>85</v>
      </c>
      <c r="Q2597" s="15" t="n">
        <f aca="false">IF(J2597=1,"",L2597-P2597)</f>
        <v>15</v>
      </c>
      <c r="R2597" s="15" t="n">
        <f aca="false">IF(OR(J2597=1,M2597&lt;=Inputs!$B$12),1,0)</f>
        <v>1</v>
      </c>
      <c r="S2597" s="15" t="n">
        <f aca="false">IF(OR(J2597=1,N2597&lt;=O2597),1,0)</f>
        <v>1</v>
      </c>
      <c r="T2597" s="15" t="str">
        <f aca="false">IF(J2597=1,"OFFLINE",IF(AND(Q2597&gt;=Inputs!$B$15,R2597=1,S2597=1,P2597&lt;=L2597),"PASS","FAIL"))</f>
        <v>PASS</v>
      </c>
    </row>
    <row r="2598" customFormat="false" ht="15" hidden="false" customHeight="false" outlineLevel="0" collapsed="false">
      <c r="A2598" s="14" t="s">
        <v>1043</v>
      </c>
      <c r="B2598" s="14" t="s">
        <v>1038</v>
      </c>
      <c r="C2598" s="14" t="s">
        <v>172</v>
      </c>
      <c r="D2598" s="14" t="s">
        <v>204</v>
      </c>
      <c r="E2598" s="14" t="s">
        <v>161</v>
      </c>
      <c r="F2598" s="14" t="s">
        <v>199</v>
      </c>
      <c r="G2598" s="14" t="n">
        <v>3</v>
      </c>
      <c r="H2598" s="14" t="s">
        <v>158</v>
      </c>
      <c r="I2598" s="14" t="s">
        <v>899</v>
      </c>
      <c r="J2598" s="15" t="n">
        <f aca="false">IF(B2598="SITE LOSS",IF(D2598=C2598,1,0),IF(B2598="REGION LOSS",IF(E2598=C2598,1,0),0))</f>
        <v>0</v>
      </c>
      <c r="K2598" s="15" t="n">
        <f aca="false">IF(B2598="SITE LOSS",IF(COUNTIFS('Site Dockets'!$B$7:$B$24,C2598,'Site Dockets'!$C$7:$C$24,F2598)&gt;0,1,0),IF(B2598="REGION LOSS",IF(COUNTIFS('Site Dockets'!$E$7:$E$24,C2598,'Site Dockets'!$C$7:$C$24,F2598)&gt;0,1,0),0))</f>
        <v>0</v>
      </c>
      <c r="L2598" s="15" t="n">
        <f aca="false">IF(J2598=1,0,Inputs!$B$11)</f>
        <v>100</v>
      </c>
      <c r="M2598" s="15" t="n">
        <f aca="false">IF(J2598=1,0,Inputs!$B$12)</f>
        <v>75</v>
      </c>
      <c r="N2598" s="15" t="n">
        <f aca="false">IF(J2598=1,0,IF(OR(AND(OR(B2598="SITE LOSS",B2598="REGION LOSS"),K2598=1),AND(B2598="ROLE COMPROMISE",H2598=C2598)),Inputs!$B$13,Inputs!$B$14))</f>
        <v>10</v>
      </c>
      <c r="O2598" s="15" t="n">
        <f aca="false">IF(J2598=1,0,Inputs!$B$13)</f>
        <v>20</v>
      </c>
      <c r="P2598" s="15" t="n">
        <f aca="false">SUM(M2598:N2598)</f>
        <v>85</v>
      </c>
      <c r="Q2598" s="15" t="n">
        <f aca="false">IF(J2598=1,"",L2598-P2598)</f>
        <v>15</v>
      </c>
      <c r="R2598" s="15" t="n">
        <f aca="false">IF(OR(J2598=1,M2598&lt;=Inputs!$B$12),1,0)</f>
        <v>1</v>
      </c>
      <c r="S2598" s="15" t="n">
        <f aca="false">IF(OR(J2598=1,N2598&lt;=O2598),1,0)</f>
        <v>1</v>
      </c>
      <c r="T2598" s="15" t="str">
        <f aca="false">IF(J2598=1,"OFFLINE",IF(AND(Q2598&gt;=Inputs!$B$15,R2598=1,S2598=1,P2598&lt;=L2598),"PASS","FAIL"))</f>
        <v>PASS</v>
      </c>
    </row>
    <row r="2599" customFormat="false" ht="15" hidden="false" customHeight="false" outlineLevel="0" collapsed="false">
      <c r="A2599" s="14" t="s">
        <v>1044</v>
      </c>
      <c r="B2599" s="14" t="s">
        <v>1045</v>
      </c>
      <c r="C2599" s="14" t="s">
        <v>1046</v>
      </c>
      <c r="D2599" s="14" t="s">
        <v>149</v>
      </c>
      <c r="E2599" s="14" t="s">
        <v>152</v>
      </c>
      <c r="F2599" s="14" t="s">
        <v>150</v>
      </c>
      <c r="G2599" s="14" t="n">
        <v>1</v>
      </c>
      <c r="H2599" s="14" t="s">
        <v>154</v>
      </c>
      <c r="I2599" s="14" t="s">
        <v>890</v>
      </c>
      <c r="J2599" s="15" t="n">
        <f aca="false">IF(B2599="SITE LOSS",IF(D2599=C2599,1,0),IF(B2599="REGION LOSS",IF(E2599=C2599,1,0),0))</f>
        <v>0</v>
      </c>
      <c r="K2599" s="15" t="n">
        <f aca="false">IF(B2599="SITE LOSS",IF(COUNTIFS('Site Dockets'!$B$7:$B$24,C2599,'Site Dockets'!$C$7:$C$24,F2599)&gt;0,1,0),IF(B2599="REGION LOSS",IF(COUNTIFS('Site Dockets'!$E$7:$E$24,C2599,'Site Dockets'!$C$7:$C$24,F2599)&gt;0,1,0),0))</f>
        <v>0</v>
      </c>
      <c r="L2599" s="15" t="n">
        <f aca="false">IF(J2599=1,0,Inputs!$B$11)</f>
        <v>100</v>
      </c>
      <c r="M2599" s="15" t="n">
        <f aca="false">IF(J2599=1,0,Inputs!$B$12)</f>
        <v>75</v>
      </c>
      <c r="N2599" s="15" t="n">
        <f aca="false">IF(J2599=1,0,IF(OR(AND(OR(B2599="SITE LOSS",B2599="REGION LOSS"),K2599=1),AND(B2599="ROLE COMPROMISE",H2599=C2599)),Inputs!$B$13,Inputs!$B$14))</f>
        <v>10</v>
      </c>
      <c r="O2599" s="15" t="n">
        <f aca="false">IF(J2599=1,0,Inputs!$B$13)</f>
        <v>20</v>
      </c>
      <c r="P2599" s="15" t="n">
        <f aca="false">SUM(M2599:N2599)</f>
        <v>85</v>
      </c>
      <c r="Q2599" s="15" t="n">
        <f aca="false">IF(J2599=1,"",L2599-P2599)</f>
        <v>15</v>
      </c>
      <c r="R2599" s="15" t="n">
        <f aca="false">IF(OR(J2599=1,M2599&lt;=Inputs!$B$12),1,0)</f>
        <v>1</v>
      </c>
      <c r="S2599" s="15" t="n">
        <f aca="false">IF(OR(J2599=1,N2599&lt;=O2599),1,0)</f>
        <v>1</v>
      </c>
      <c r="T2599" s="15" t="str">
        <f aca="false">IF(J2599=1,"OFFLINE",IF(AND(Q2599&gt;=Inputs!$B$15,R2599=1,S2599=1,P2599&lt;=L2599),"PASS","FAIL"))</f>
        <v>PASS</v>
      </c>
    </row>
    <row r="2600" customFormat="false" ht="15" hidden="false" customHeight="false" outlineLevel="0" collapsed="false">
      <c r="A2600" s="14" t="s">
        <v>1044</v>
      </c>
      <c r="B2600" s="14" t="s">
        <v>1045</v>
      </c>
      <c r="C2600" s="14" t="s">
        <v>1046</v>
      </c>
      <c r="D2600" s="14" t="s">
        <v>149</v>
      </c>
      <c r="E2600" s="14" t="s">
        <v>152</v>
      </c>
      <c r="F2600" s="14" t="s">
        <v>150</v>
      </c>
      <c r="G2600" s="14" t="n">
        <v>1</v>
      </c>
      <c r="H2600" s="14" t="s">
        <v>154</v>
      </c>
      <c r="I2600" s="14" t="s">
        <v>892</v>
      </c>
      <c r="J2600" s="15" t="n">
        <f aca="false">IF(B2600="SITE LOSS",IF(D2600=C2600,1,0),IF(B2600="REGION LOSS",IF(E2600=C2600,1,0),0))</f>
        <v>0</v>
      </c>
      <c r="K2600" s="15" t="n">
        <f aca="false">IF(B2600="SITE LOSS",IF(COUNTIFS('Site Dockets'!$B$7:$B$24,C2600,'Site Dockets'!$C$7:$C$24,F2600)&gt;0,1,0),IF(B2600="REGION LOSS",IF(COUNTIFS('Site Dockets'!$E$7:$E$24,C2600,'Site Dockets'!$C$7:$C$24,F2600)&gt;0,1,0),0))</f>
        <v>0</v>
      </c>
      <c r="L2600" s="15" t="n">
        <f aca="false">IF(J2600=1,0,Inputs!$B$11)</f>
        <v>100</v>
      </c>
      <c r="M2600" s="15" t="n">
        <f aca="false">IF(J2600=1,0,Inputs!$B$12)</f>
        <v>75</v>
      </c>
      <c r="N2600" s="15" t="n">
        <f aca="false">IF(J2600=1,0,IF(OR(AND(OR(B2600="SITE LOSS",B2600="REGION LOSS"),K2600=1),AND(B2600="ROLE COMPROMISE",H2600=C2600)),Inputs!$B$13,Inputs!$B$14))</f>
        <v>10</v>
      </c>
      <c r="O2600" s="15" t="n">
        <f aca="false">IF(J2600=1,0,Inputs!$B$13)</f>
        <v>20</v>
      </c>
      <c r="P2600" s="15" t="n">
        <f aca="false">SUM(M2600:N2600)</f>
        <v>85</v>
      </c>
      <c r="Q2600" s="15" t="n">
        <f aca="false">IF(J2600=1,"",L2600-P2600)</f>
        <v>15</v>
      </c>
      <c r="R2600" s="15" t="n">
        <f aca="false">IF(OR(J2600=1,M2600&lt;=Inputs!$B$12),1,0)</f>
        <v>1</v>
      </c>
      <c r="S2600" s="15" t="n">
        <f aca="false">IF(OR(J2600=1,N2600&lt;=O2600),1,0)</f>
        <v>1</v>
      </c>
      <c r="T2600" s="15" t="str">
        <f aca="false">IF(J2600=1,"OFFLINE",IF(AND(Q2600&gt;=Inputs!$B$15,R2600=1,S2600=1,P2600&lt;=L2600),"PASS","FAIL"))</f>
        <v>PASS</v>
      </c>
    </row>
    <row r="2601" customFormat="false" ht="15" hidden="false" customHeight="false" outlineLevel="0" collapsed="false">
      <c r="A2601" s="14" t="s">
        <v>1044</v>
      </c>
      <c r="B2601" s="14" t="s">
        <v>1045</v>
      </c>
      <c r="C2601" s="14" t="s">
        <v>1046</v>
      </c>
      <c r="D2601" s="14" t="s">
        <v>149</v>
      </c>
      <c r="E2601" s="14" t="s">
        <v>152</v>
      </c>
      <c r="F2601" s="14" t="s">
        <v>150</v>
      </c>
      <c r="G2601" s="14" t="n">
        <v>1</v>
      </c>
      <c r="H2601" s="14" t="s">
        <v>154</v>
      </c>
      <c r="I2601" s="14" t="s">
        <v>811</v>
      </c>
      <c r="J2601" s="15" t="n">
        <f aca="false">IF(B2601="SITE LOSS",IF(D2601=C2601,1,0),IF(B2601="REGION LOSS",IF(E2601=C2601,1,0),0))</f>
        <v>0</v>
      </c>
      <c r="K2601" s="15" t="n">
        <f aca="false">IF(B2601="SITE LOSS",IF(COUNTIFS('Site Dockets'!$B$7:$B$24,C2601,'Site Dockets'!$C$7:$C$24,F2601)&gt;0,1,0),IF(B2601="REGION LOSS",IF(COUNTIFS('Site Dockets'!$E$7:$E$24,C2601,'Site Dockets'!$C$7:$C$24,F2601)&gt;0,1,0),0))</f>
        <v>0</v>
      </c>
      <c r="L2601" s="15" t="n">
        <f aca="false">IF(J2601=1,0,Inputs!$B$11)</f>
        <v>100</v>
      </c>
      <c r="M2601" s="15" t="n">
        <f aca="false">IF(J2601=1,0,Inputs!$B$12)</f>
        <v>75</v>
      </c>
      <c r="N2601" s="15" t="n">
        <f aca="false">IF(J2601=1,0,IF(OR(AND(OR(B2601="SITE LOSS",B2601="REGION LOSS"),K2601=1),AND(B2601="ROLE COMPROMISE",H2601=C2601)),Inputs!$B$13,Inputs!$B$14))</f>
        <v>10</v>
      </c>
      <c r="O2601" s="15" t="n">
        <f aca="false">IF(J2601=1,0,Inputs!$B$13)</f>
        <v>20</v>
      </c>
      <c r="P2601" s="15" t="n">
        <f aca="false">SUM(M2601:N2601)</f>
        <v>85</v>
      </c>
      <c r="Q2601" s="15" t="n">
        <f aca="false">IF(J2601=1,"",L2601-P2601)</f>
        <v>15</v>
      </c>
      <c r="R2601" s="15" t="n">
        <f aca="false">IF(OR(J2601=1,M2601&lt;=Inputs!$B$12),1,0)</f>
        <v>1</v>
      </c>
      <c r="S2601" s="15" t="n">
        <f aca="false">IF(OR(J2601=1,N2601&lt;=O2601),1,0)</f>
        <v>1</v>
      </c>
      <c r="T2601" s="15" t="str">
        <f aca="false">IF(J2601=1,"OFFLINE",IF(AND(Q2601&gt;=Inputs!$B$15,R2601=1,S2601=1,P2601&lt;=L2601),"PASS","FAIL"))</f>
        <v>PASS</v>
      </c>
    </row>
    <row r="2602" customFormat="false" ht="15" hidden="false" customHeight="false" outlineLevel="0" collapsed="false">
      <c r="A2602" s="14" t="s">
        <v>1044</v>
      </c>
      <c r="B2602" s="14" t="s">
        <v>1045</v>
      </c>
      <c r="C2602" s="14" t="s">
        <v>1046</v>
      </c>
      <c r="D2602" s="14" t="s">
        <v>149</v>
      </c>
      <c r="E2602" s="14" t="s">
        <v>152</v>
      </c>
      <c r="F2602" s="14" t="s">
        <v>150</v>
      </c>
      <c r="G2602" s="14" t="n">
        <v>1</v>
      </c>
      <c r="H2602" s="14" t="s">
        <v>154</v>
      </c>
      <c r="I2602" s="14" t="s">
        <v>895</v>
      </c>
      <c r="J2602" s="15" t="n">
        <f aca="false">IF(B2602="SITE LOSS",IF(D2602=C2602,1,0),IF(B2602="REGION LOSS",IF(E2602=C2602,1,0),0))</f>
        <v>0</v>
      </c>
      <c r="K2602" s="15" t="n">
        <f aca="false">IF(B2602="SITE LOSS",IF(COUNTIFS('Site Dockets'!$B$7:$B$24,C2602,'Site Dockets'!$C$7:$C$24,F2602)&gt;0,1,0),IF(B2602="REGION LOSS",IF(COUNTIFS('Site Dockets'!$E$7:$E$24,C2602,'Site Dockets'!$C$7:$C$24,F2602)&gt;0,1,0),0))</f>
        <v>0</v>
      </c>
      <c r="L2602" s="15" t="n">
        <f aca="false">IF(J2602=1,0,Inputs!$B$11)</f>
        <v>100</v>
      </c>
      <c r="M2602" s="15" t="n">
        <f aca="false">IF(J2602=1,0,Inputs!$B$12)</f>
        <v>75</v>
      </c>
      <c r="N2602" s="15" t="n">
        <f aca="false">IF(J2602=1,0,IF(OR(AND(OR(B2602="SITE LOSS",B2602="REGION LOSS"),K2602=1),AND(B2602="ROLE COMPROMISE",H2602=C2602)),Inputs!$B$13,Inputs!$B$14))</f>
        <v>10</v>
      </c>
      <c r="O2602" s="15" t="n">
        <f aca="false">IF(J2602=1,0,Inputs!$B$13)</f>
        <v>20</v>
      </c>
      <c r="P2602" s="15" t="n">
        <f aca="false">SUM(M2602:N2602)</f>
        <v>85</v>
      </c>
      <c r="Q2602" s="15" t="n">
        <f aca="false">IF(J2602=1,"",L2602-P2602)</f>
        <v>15</v>
      </c>
      <c r="R2602" s="15" t="n">
        <f aca="false">IF(OR(J2602=1,M2602&lt;=Inputs!$B$12),1,0)</f>
        <v>1</v>
      </c>
      <c r="S2602" s="15" t="n">
        <f aca="false">IF(OR(J2602=1,N2602&lt;=O2602),1,0)</f>
        <v>1</v>
      </c>
      <c r="T2602" s="15" t="str">
        <f aca="false">IF(J2602=1,"OFFLINE",IF(AND(Q2602&gt;=Inputs!$B$15,R2602=1,S2602=1,P2602&lt;=L2602),"PASS","FAIL"))</f>
        <v>PASS</v>
      </c>
    </row>
    <row r="2603" customFormat="false" ht="15" hidden="false" customHeight="false" outlineLevel="0" collapsed="false">
      <c r="A2603" s="14" t="s">
        <v>1044</v>
      </c>
      <c r="B2603" s="14" t="s">
        <v>1045</v>
      </c>
      <c r="C2603" s="14" t="s">
        <v>1046</v>
      </c>
      <c r="D2603" s="14" t="s">
        <v>149</v>
      </c>
      <c r="E2603" s="14" t="s">
        <v>152</v>
      </c>
      <c r="F2603" s="14" t="s">
        <v>150</v>
      </c>
      <c r="G2603" s="14" t="n">
        <v>1</v>
      </c>
      <c r="H2603" s="14" t="s">
        <v>154</v>
      </c>
      <c r="I2603" s="14" t="s">
        <v>897</v>
      </c>
      <c r="J2603" s="15" t="n">
        <f aca="false">IF(B2603="SITE LOSS",IF(D2603=C2603,1,0),IF(B2603="REGION LOSS",IF(E2603=C2603,1,0),0))</f>
        <v>0</v>
      </c>
      <c r="K2603" s="15" t="n">
        <f aca="false">IF(B2603="SITE LOSS",IF(COUNTIFS('Site Dockets'!$B$7:$B$24,C2603,'Site Dockets'!$C$7:$C$24,F2603)&gt;0,1,0),IF(B2603="REGION LOSS",IF(COUNTIFS('Site Dockets'!$E$7:$E$24,C2603,'Site Dockets'!$C$7:$C$24,F2603)&gt;0,1,0),0))</f>
        <v>0</v>
      </c>
      <c r="L2603" s="15" t="n">
        <f aca="false">IF(J2603=1,0,Inputs!$B$11)</f>
        <v>100</v>
      </c>
      <c r="M2603" s="15" t="n">
        <f aca="false">IF(J2603=1,0,Inputs!$B$12)</f>
        <v>75</v>
      </c>
      <c r="N2603" s="15" t="n">
        <f aca="false">IF(J2603=1,0,IF(OR(AND(OR(B2603="SITE LOSS",B2603="REGION LOSS"),K2603=1),AND(B2603="ROLE COMPROMISE",H2603=C2603)),Inputs!$B$13,Inputs!$B$14))</f>
        <v>10</v>
      </c>
      <c r="O2603" s="15" t="n">
        <f aca="false">IF(J2603=1,0,Inputs!$B$13)</f>
        <v>20</v>
      </c>
      <c r="P2603" s="15" t="n">
        <f aca="false">SUM(M2603:N2603)</f>
        <v>85</v>
      </c>
      <c r="Q2603" s="15" t="n">
        <f aca="false">IF(J2603=1,"",L2603-P2603)</f>
        <v>15</v>
      </c>
      <c r="R2603" s="15" t="n">
        <f aca="false">IF(OR(J2603=1,M2603&lt;=Inputs!$B$12),1,0)</f>
        <v>1</v>
      </c>
      <c r="S2603" s="15" t="n">
        <f aca="false">IF(OR(J2603=1,N2603&lt;=O2603),1,0)</f>
        <v>1</v>
      </c>
      <c r="T2603" s="15" t="str">
        <f aca="false">IF(J2603=1,"OFFLINE",IF(AND(Q2603&gt;=Inputs!$B$15,R2603=1,S2603=1,P2603&lt;=L2603),"PASS","FAIL"))</f>
        <v>PASS</v>
      </c>
    </row>
    <row r="2604" customFormat="false" ht="15" hidden="false" customHeight="false" outlineLevel="0" collapsed="false">
      <c r="A2604" s="14" t="s">
        <v>1044</v>
      </c>
      <c r="B2604" s="14" t="s">
        <v>1045</v>
      </c>
      <c r="C2604" s="14" t="s">
        <v>1046</v>
      </c>
      <c r="D2604" s="14" t="s">
        <v>149</v>
      </c>
      <c r="E2604" s="14" t="s">
        <v>152</v>
      </c>
      <c r="F2604" s="14" t="s">
        <v>150</v>
      </c>
      <c r="G2604" s="14" t="n">
        <v>1</v>
      </c>
      <c r="H2604" s="14" t="s">
        <v>154</v>
      </c>
      <c r="I2604" s="14" t="s">
        <v>899</v>
      </c>
      <c r="J2604" s="15" t="n">
        <f aca="false">IF(B2604="SITE LOSS",IF(D2604=C2604,1,0),IF(B2604="REGION LOSS",IF(E2604=C2604,1,0),0))</f>
        <v>0</v>
      </c>
      <c r="K2604" s="15" t="n">
        <f aca="false">IF(B2604="SITE LOSS",IF(COUNTIFS('Site Dockets'!$B$7:$B$24,C2604,'Site Dockets'!$C$7:$C$24,F2604)&gt;0,1,0),IF(B2604="REGION LOSS",IF(COUNTIFS('Site Dockets'!$E$7:$E$24,C2604,'Site Dockets'!$C$7:$C$24,F2604)&gt;0,1,0),0))</f>
        <v>0</v>
      </c>
      <c r="L2604" s="15" t="n">
        <f aca="false">IF(J2604=1,0,Inputs!$B$11)</f>
        <v>100</v>
      </c>
      <c r="M2604" s="15" t="n">
        <f aca="false">IF(J2604=1,0,Inputs!$B$12)</f>
        <v>75</v>
      </c>
      <c r="N2604" s="15" t="n">
        <f aca="false">IF(J2604=1,0,IF(OR(AND(OR(B2604="SITE LOSS",B2604="REGION LOSS"),K2604=1),AND(B2604="ROLE COMPROMISE",H2604=C2604)),Inputs!$B$13,Inputs!$B$14))</f>
        <v>10</v>
      </c>
      <c r="O2604" s="15" t="n">
        <f aca="false">IF(J2604=1,0,Inputs!$B$13)</f>
        <v>20</v>
      </c>
      <c r="P2604" s="15" t="n">
        <f aca="false">SUM(M2604:N2604)</f>
        <v>85</v>
      </c>
      <c r="Q2604" s="15" t="n">
        <f aca="false">IF(J2604=1,"",L2604-P2604)</f>
        <v>15</v>
      </c>
      <c r="R2604" s="15" t="n">
        <f aca="false">IF(OR(J2604=1,M2604&lt;=Inputs!$B$12),1,0)</f>
        <v>1</v>
      </c>
      <c r="S2604" s="15" t="n">
        <f aca="false">IF(OR(J2604=1,N2604&lt;=O2604),1,0)</f>
        <v>1</v>
      </c>
      <c r="T2604" s="15" t="str">
        <f aca="false">IF(J2604=1,"OFFLINE",IF(AND(Q2604&gt;=Inputs!$B$15,R2604=1,S2604=1,P2604&lt;=L2604),"PASS","FAIL"))</f>
        <v>PASS</v>
      </c>
    </row>
    <row r="2605" customFormat="false" ht="15" hidden="false" customHeight="false" outlineLevel="0" collapsed="false">
      <c r="A2605" s="14" t="s">
        <v>1044</v>
      </c>
      <c r="B2605" s="14" t="s">
        <v>1045</v>
      </c>
      <c r="C2605" s="14" t="s">
        <v>1046</v>
      </c>
      <c r="D2605" s="14" t="s">
        <v>156</v>
      </c>
      <c r="E2605" s="14" t="s">
        <v>157</v>
      </c>
      <c r="F2605" s="14" t="s">
        <v>150</v>
      </c>
      <c r="G2605" s="14" t="n">
        <v>2</v>
      </c>
      <c r="H2605" s="14" t="s">
        <v>153</v>
      </c>
      <c r="I2605" s="14" t="s">
        <v>890</v>
      </c>
      <c r="J2605" s="15" t="n">
        <f aca="false">IF(B2605="SITE LOSS",IF(D2605=C2605,1,0),IF(B2605="REGION LOSS",IF(E2605=C2605,1,0),0))</f>
        <v>0</v>
      </c>
      <c r="K2605" s="15" t="n">
        <f aca="false">IF(B2605="SITE LOSS",IF(COUNTIFS('Site Dockets'!$B$7:$B$24,C2605,'Site Dockets'!$C$7:$C$24,F2605)&gt;0,1,0),IF(B2605="REGION LOSS",IF(COUNTIFS('Site Dockets'!$E$7:$E$24,C2605,'Site Dockets'!$C$7:$C$24,F2605)&gt;0,1,0),0))</f>
        <v>0</v>
      </c>
      <c r="L2605" s="15" t="n">
        <f aca="false">IF(J2605=1,0,Inputs!$B$11)</f>
        <v>100</v>
      </c>
      <c r="M2605" s="15" t="n">
        <f aca="false">IF(J2605=1,0,Inputs!$B$12)</f>
        <v>75</v>
      </c>
      <c r="N2605" s="15" t="n">
        <f aca="false">IF(J2605=1,0,IF(OR(AND(OR(B2605="SITE LOSS",B2605="REGION LOSS"),K2605=1),AND(B2605="ROLE COMPROMISE",H2605=C2605)),Inputs!$B$13,Inputs!$B$14))</f>
        <v>10</v>
      </c>
      <c r="O2605" s="15" t="n">
        <f aca="false">IF(J2605=1,0,Inputs!$B$13)</f>
        <v>20</v>
      </c>
      <c r="P2605" s="15" t="n">
        <f aca="false">SUM(M2605:N2605)</f>
        <v>85</v>
      </c>
      <c r="Q2605" s="15" t="n">
        <f aca="false">IF(J2605=1,"",L2605-P2605)</f>
        <v>15</v>
      </c>
      <c r="R2605" s="15" t="n">
        <f aca="false">IF(OR(J2605=1,M2605&lt;=Inputs!$B$12),1,0)</f>
        <v>1</v>
      </c>
      <c r="S2605" s="15" t="n">
        <f aca="false">IF(OR(J2605=1,N2605&lt;=O2605),1,0)</f>
        <v>1</v>
      </c>
      <c r="T2605" s="15" t="str">
        <f aca="false">IF(J2605=1,"OFFLINE",IF(AND(Q2605&gt;=Inputs!$B$15,R2605=1,S2605=1,P2605&lt;=L2605),"PASS","FAIL"))</f>
        <v>PASS</v>
      </c>
    </row>
    <row r="2606" customFormat="false" ht="15" hidden="false" customHeight="false" outlineLevel="0" collapsed="false">
      <c r="A2606" s="14" t="s">
        <v>1044</v>
      </c>
      <c r="B2606" s="14" t="s">
        <v>1045</v>
      </c>
      <c r="C2606" s="14" t="s">
        <v>1046</v>
      </c>
      <c r="D2606" s="14" t="s">
        <v>156</v>
      </c>
      <c r="E2606" s="14" t="s">
        <v>157</v>
      </c>
      <c r="F2606" s="14" t="s">
        <v>150</v>
      </c>
      <c r="G2606" s="14" t="n">
        <v>2</v>
      </c>
      <c r="H2606" s="14" t="s">
        <v>153</v>
      </c>
      <c r="I2606" s="14" t="s">
        <v>892</v>
      </c>
      <c r="J2606" s="15" t="n">
        <f aca="false">IF(B2606="SITE LOSS",IF(D2606=C2606,1,0),IF(B2606="REGION LOSS",IF(E2606=C2606,1,0),0))</f>
        <v>0</v>
      </c>
      <c r="K2606" s="15" t="n">
        <f aca="false">IF(B2606="SITE LOSS",IF(COUNTIFS('Site Dockets'!$B$7:$B$24,C2606,'Site Dockets'!$C$7:$C$24,F2606)&gt;0,1,0),IF(B2606="REGION LOSS",IF(COUNTIFS('Site Dockets'!$E$7:$E$24,C2606,'Site Dockets'!$C$7:$C$24,F2606)&gt;0,1,0),0))</f>
        <v>0</v>
      </c>
      <c r="L2606" s="15" t="n">
        <f aca="false">IF(J2606=1,0,Inputs!$B$11)</f>
        <v>100</v>
      </c>
      <c r="M2606" s="15" t="n">
        <f aca="false">IF(J2606=1,0,Inputs!$B$12)</f>
        <v>75</v>
      </c>
      <c r="N2606" s="15" t="n">
        <f aca="false">IF(J2606=1,0,IF(OR(AND(OR(B2606="SITE LOSS",B2606="REGION LOSS"),K2606=1),AND(B2606="ROLE COMPROMISE",H2606=C2606)),Inputs!$B$13,Inputs!$B$14))</f>
        <v>10</v>
      </c>
      <c r="O2606" s="15" t="n">
        <f aca="false">IF(J2606=1,0,Inputs!$B$13)</f>
        <v>20</v>
      </c>
      <c r="P2606" s="15" t="n">
        <f aca="false">SUM(M2606:N2606)</f>
        <v>85</v>
      </c>
      <c r="Q2606" s="15" t="n">
        <f aca="false">IF(J2606=1,"",L2606-P2606)</f>
        <v>15</v>
      </c>
      <c r="R2606" s="15" t="n">
        <f aca="false">IF(OR(J2606=1,M2606&lt;=Inputs!$B$12),1,0)</f>
        <v>1</v>
      </c>
      <c r="S2606" s="15" t="n">
        <f aca="false">IF(OR(J2606=1,N2606&lt;=O2606),1,0)</f>
        <v>1</v>
      </c>
      <c r="T2606" s="15" t="str">
        <f aca="false">IF(J2606=1,"OFFLINE",IF(AND(Q2606&gt;=Inputs!$B$15,R2606=1,S2606=1,P2606&lt;=L2606),"PASS","FAIL"))</f>
        <v>PASS</v>
      </c>
    </row>
    <row r="2607" customFormat="false" ht="15" hidden="false" customHeight="false" outlineLevel="0" collapsed="false">
      <c r="A2607" s="14" t="s">
        <v>1044</v>
      </c>
      <c r="B2607" s="14" t="s">
        <v>1045</v>
      </c>
      <c r="C2607" s="14" t="s">
        <v>1046</v>
      </c>
      <c r="D2607" s="14" t="s">
        <v>156</v>
      </c>
      <c r="E2607" s="14" t="s">
        <v>157</v>
      </c>
      <c r="F2607" s="14" t="s">
        <v>150</v>
      </c>
      <c r="G2607" s="14" t="n">
        <v>2</v>
      </c>
      <c r="H2607" s="14" t="s">
        <v>153</v>
      </c>
      <c r="I2607" s="14" t="s">
        <v>811</v>
      </c>
      <c r="J2607" s="15" t="n">
        <f aca="false">IF(B2607="SITE LOSS",IF(D2607=C2607,1,0),IF(B2607="REGION LOSS",IF(E2607=C2607,1,0),0))</f>
        <v>0</v>
      </c>
      <c r="K2607" s="15" t="n">
        <f aca="false">IF(B2607="SITE LOSS",IF(COUNTIFS('Site Dockets'!$B$7:$B$24,C2607,'Site Dockets'!$C$7:$C$24,F2607)&gt;0,1,0),IF(B2607="REGION LOSS",IF(COUNTIFS('Site Dockets'!$E$7:$E$24,C2607,'Site Dockets'!$C$7:$C$24,F2607)&gt;0,1,0),0))</f>
        <v>0</v>
      </c>
      <c r="L2607" s="15" t="n">
        <f aca="false">IF(J2607=1,0,Inputs!$B$11)</f>
        <v>100</v>
      </c>
      <c r="M2607" s="15" t="n">
        <f aca="false">IF(J2607=1,0,Inputs!$B$12)</f>
        <v>75</v>
      </c>
      <c r="N2607" s="15" t="n">
        <f aca="false">IF(J2607=1,0,IF(OR(AND(OR(B2607="SITE LOSS",B2607="REGION LOSS"),K2607=1),AND(B2607="ROLE COMPROMISE",H2607=C2607)),Inputs!$B$13,Inputs!$B$14))</f>
        <v>10</v>
      </c>
      <c r="O2607" s="15" t="n">
        <f aca="false">IF(J2607=1,0,Inputs!$B$13)</f>
        <v>20</v>
      </c>
      <c r="P2607" s="15" t="n">
        <f aca="false">SUM(M2607:N2607)</f>
        <v>85</v>
      </c>
      <c r="Q2607" s="15" t="n">
        <f aca="false">IF(J2607=1,"",L2607-P2607)</f>
        <v>15</v>
      </c>
      <c r="R2607" s="15" t="n">
        <f aca="false">IF(OR(J2607=1,M2607&lt;=Inputs!$B$12),1,0)</f>
        <v>1</v>
      </c>
      <c r="S2607" s="15" t="n">
        <f aca="false">IF(OR(J2607=1,N2607&lt;=O2607),1,0)</f>
        <v>1</v>
      </c>
      <c r="T2607" s="15" t="str">
        <f aca="false">IF(J2607=1,"OFFLINE",IF(AND(Q2607&gt;=Inputs!$B$15,R2607=1,S2607=1,P2607&lt;=L2607),"PASS","FAIL"))</f>
        <v>PASS</v>
      </c>
    </row>
    <row r="2608" customFormat="false" ht="15" hidden="false" customHeight="false" outlineLevel="0" collapsed="false">
      <c r="A2608" s="14" t="s">
        <v>1044</v>
      </c>
      <c r="B2608" s="14" t="s">
        <v>1045</v>
      </c>
      <c r="C2608" s="14" t="s">
        <v>1046</v>
      </c>
      <c r="D2608" s="14" t="s">
        <v>156</v>
      </c>
      <c r="E2608" s="14" t="s">
        <v>157</v>
      </c>
      <c r="F2608" s="14" t="s">
        <v>150</v>
      </c>
      <c r="G2608" s="14" t="n">
        <v>2</v>
      </c>
      <c r="H2608" s="14" t="s">
        <v>153</v>
      </c>
      <c r="I2608" s="14" t="s">
        <v>895</v>
      </c>
      <c r="J2608" s="15" t="n">
        <f aca="false">IF(B2608="SITE LOSS",IF(D2608=C2608,1,0),IF(B2608="REGION LOSS",IF(E2608=C2608,1,0),0))</f>
        <v>0</v>
      </c>
      <c r="K2608" s="15" t="n">
        <f aca="false">IF(B2608="SITE LOSS",IF(COUNTIFS('Site Dockets'!$B$7:$B$24,C2608,'Site Dockets'!$C$7:$C$24,F2608)&gt;0,1,0),IF(B2608="REGION LOSS",IF(COUNTIFS('Site Dockets'!$E$7:$E$24,C2608,'Site Dockets'!$C$7:$C$24,F2608)&gt;0,1,0),0))</f>
        <v>0</v>
      </c>
      <c r="L2608" s="15" t="n">
        <f aca="false">IF(J2608=1,0,Inputs!$B$11)</f>
        <v>100</v>
      </c>
      <c r="M2608" s="15" t="n">
        <f aca="false">IF(J2608=1,0,Inputs!$B$12)</f>
        <v>75</v>
      </c>
      <c r="N2608" s="15" t="n">
        <f aca="false">IF(J2608=1,0,IF(OR(AND(OR(B2608="SITE LOSS",B2608="REGION LOSS"),K2608=1),AND(B2608="ROLE COMPROMISE",H2608=C2608)),Inputs!$B$13,Inputs!$B$14))</f>
        <v>10</v>
      </c>
      <c r="O2608" s="15" t="n">
        <f aca="false">IF(J2608=1,0,Inputs!$B$13)</f>
        <v>20</v>
      </c>
      <c r="P2608" s="15" t="n">
        <f aca="false">SUM(M2608:N2608)</f>
        <v>85</v>
      </c>
      <c r="Q2608" s="15" t="n">
        <f aca="false">IF(J2608=1,"",L2608-P2608)</f>
        <v>15</v>
      </c>
      <c r="R2608" s="15" t="n">
        <f aca="false">IF(OR(J2608=1,M2608&lt;=Inputs!$B$12),1,0)</f>
        <v>1</v>
      </c>
      <c r="S2608" s="15" t="n">
        <f aca="false">IF(OR(J2608=1,N2608&lt;=O2608),1,0)</f>
        <v>1</v>
      </c>
      <c r="T2608" s="15" t="str">
        <f aca="false">IF(J2608=1,"OFFLINE",IF(AND(Q2608&gt;=Inputs!$B$15,R2608=1,S2608=1,P2608&lt;=L2608),"PASS","FAIL"))</f>
        <v>PASS</v>
      </c>
    </row>
    <row r="2609" customFormat="false" ht="15" hidden="false" customHeight="false" outlineLevel="0" collapsed="false">
      <c r="A2609" s="14" t="s">
        <v>1044</v>
      </c>
      <c r="B2609" s="14" t="s">
        <v>1045</v>
      </c>
      <c r="C2609" s="14" t="s">
        <v>1046</v>
      </c>
      <c r="D2609" s="14" t="s">
        <v>156</v>
      </c>
      <c r="E2609" s="14" t="s">
        <v>157</v>
      </c>
      <c r="F2609" s="14" t="s">
        <v>150</v>
      </c>
      <c r="G2609" s="14" t="n">
        <v>2</v>
      </c>
      <c r="H2609" s="14" t="s">
        <v>153</v>
      </c>
      <c r="I2609" s="14" t="s">
        <v>897</v>
      </c>
      <c r="J2609" s="15" t="n">
        <f aca="false">IF(B2609="SITE LOSS",IF(D2609=C2609,1,0),IF(B2609="REGION LOSS",IF(E2609=C2609,1,0),0))</f>
        <v>0</v>
      </c>
      <c r="K2609" s="15" t="n">
        <f aca="false">IF(B2609="SITE LOSS",IF(COUNTIFS('Site Dockets'!$B$7:$B$24,C2609,'Site Dockets'!$C$7:$C$24,F2609)&gt;0,1,0),IF(B2609="REGION LOSS",IF(COUNTIFS('Site Dockets'!$E$7:$E$24,C2609,'Site Dockets'!$C$7:$C$24,F2609)&gt;0,1,0),0))</f>
        <v>0</v>
      </c>
      <c r="L2609" s="15" t="n">
        <f aca="false">IF(J2609=1,0,Inputs!$B$11)</f>
        <v>100</v>
      </c>
      <c r="M2609" s="15" t="n">
        <f aca="false">IF(J2609=1,0,Inputs!$B$12)</f>
        <v>75</v>
      </c>
      <c r="N2609" s="15" t="n">
        <f aca="false">IF(J2609=1,0,IF(OR(AND(OR(B2609="SITE LOSS",B2609="REGION LOSS"),K2609=1),AND(B2609="ROLE COMPROMISE",H2609=C2609)),Inputs!$B$13,Inputs!$B$14))</f>
        <v>10</v>
      </c>
      <c r="O2609" s="15" t="n">
        <f aca="false">IF(J2609=1,0,Inputs!$B$13)</f>
        <v>20</v>
      </c>
      <c r="P2609" s="15" t="n">
        <f aca="false">SUM(M2609:N2609)</f>
        <v>85</v>
      </c>
      <c r="Q2609" s="15" t="n">
        <f aca="false">IF(J2609=1,"",L2609-P2609)</f>
        <v>15</v>
      </c>
      <c r="R2609" s="15" t="n">
        <f aca="false">IF(OR(J2609=1,M2609&lt;=Inputs!$B$12),1,0)</f>
        <v>1</v>
      </c>
      <c r="S2609" s="15" t="n">
        <f aca="false">IF(OR(J2609=1,N2609&lt;=O2609),1,0)</f>
        <v>1</v>
      </c>
      <c r="T2609" s="15" t="str">
        <f aca="false">IF(J2609=1,"OFFLINE",IF(AND(Q2609&gt;=Inputs!$B$15,R2609=1,S2609=1,P2609&lt;=L2609),"PASS","FAIL"))</f>
        <v>PASS</v>
      </c>
    </row>
    <row r="2610" customFormat="false" ht="15" hidden="false" customHeight="false" outlineLevel="0" collapsed="false">
      <c r="A2610" s="14" t="s">
        <v>1044</v>
      </c>
      <c r="B2610" s="14" t="s">
        <v>1045</v>
      </c>
      <c r="C2610" s="14" t="s">
        <v>1046</v>
      </c>
      <c r="D2610" s="14" t="s">
        <v>156</v>
      </c>
      <c r="E2610" s="14" t="s">
        <v>157</v>
      </c>
      <c r="F2610" s="14" t="s">
        <v>150</v>
      </c>
      <c r="G2610" s="14" t="n">
        <v>2</v>
      </c>
      <c r="H2610" s="14" t="s">
        <v>153</v>
      </c>
      <c r="I2610" s="14" t="s">
        <v>899</v>
      </c>
      <c r="J2610" s="15" t="n">
        <f aca="false">IF(B2610="SITE LOSS",IF(D2610=C2610,1,0),IF(B2610="REGION LOSS",IF(E2610=C2610,1,0),0))</f>
        <v>0</v>
      </c>
      <c r="K2610" s="15" t="n">
        <f aca="false">IF(B2610="SITE LOSS",IF(COUNTIFS('Site Dockets'!$B$7:$B$24,C2610,'Site Dockets'!$C$7:$C$24,F2610)&gt;0,1,0),IF(B2610="REGION LOSS",IF(COUNTIFS('Site Dockets'!$E$7:$E$24,C2610,'Site Dockets'!$C$7:$C$24,F2610)&gt;0,1,0),0))</f>
        <v>0</v>
      </c>
      <c r="L2610" s="15" t="n">
        <f aca="false">IF(J2610=1,0,Inputs!$B$11)</f>
        <v>100</v>
      </c>
      <c r="M2610" s="15" t="n">
        <f aca="false">IF(J2610=1,0,Inputs!$B$12)</f>
        <v>75</v>
      </c>
      <c r="N2610" s="15" t="n">
        <f aca="false">IF(J2610=1,0,IF(OR(AND(OR(B2610="SITE LOSS",B2610="REGION LOSS"),K2610=1),AND(B2610="ROLE COMPROMISE",H2610=C2610)),Inputs!$B$13,Inputs!$B$14))</f>
        <v>10</v>
      </c>
      <c r="O2610" s="15" t="n">
        <f aca="false">IF(J2610=1,0,Inputs!$B$13)</f>
        <v>20</v>
      </c>
      <c r="P2610" s="15" t="n">
        <f aca="false">SUM(M2610:N2610)</f>
        <v>85</v>
      </c>
      <c r="Q2610" s="15" t="n">
        <f aca="false">IF(J2610=1,"",L2610-P2610)</f>
        <v>15</v>
      </c>
      <c r="R2610" s="15" t="n">
        <f aca="false">IF(OR(J2610=1,M2610&lt;=Inputs!$B$12),1,0)</f>
        <v>1</v>
      </c>
      <c r="S2610" s="15" t="n">
        <f aca="false">IF(OR(J2610=1,N2610&lt;=O2610),1,0)</f>
        <v>1</v>
      </c>
      <c r="T2610" s="15" t="str">
        <f aca="false">IF(J2610=1,"OFFLINE",IF(AND(Q2610&gt;=Inputs!$B$15,R2610=1,S2610=1,P2610&lt;=L2610),"PASS","FAIL"))</f>
        <v>PASS</v>
      </c>
    </row>
    <row r="2611" customFormat="false" ht="15" hidden="false" customHeight="false" outlineLevel="0" collapsed="false">
      <c r="A2611" s="14" t="s">
        <v>1044</v>
      </c>
      <c r="B2611" s="14" t="s">
        <v>1045</v>
      </c>
      <c r="C2611" s="14" t="s">
        <v>1046</v>
      </c>
      <c r="D2611" s="14" t="s">
        <v>160</v>
      </c>
      <c r="E2611" s="14" t="s">
        <v>161</v>
      </c>
      <c r="F2611" s="14" t="s">
        <v>150</v>
      </c>
      <c r="G2611" s="14" t="n">
        <v>3</v>
      </c>
      <c r="H2611" s="14" t="s">
        <v>158</v>
      </c>
      <c r="I2611" s="14" t="s">
        <v>890</v>
      </c>
      <c r="J2611" s="15" t="n">
        <f aca="false">IF(B2611="SITE LOSS",IF(D2611=C2611,1,0),IF(B2611="REGION LOSS",IF(E2611=C2611,1,0),0))</f>
        <v>0</v>
      </c>
      <c r="K2611" s="15" t="n">
        <f aca="false">IF(B2611="SITE LOSS",IF(COUNTIFS('Site Dockets'!$B$7:$B$24,C2611,'Site Dockets'!$C$7:$C$24,F2611)&gt;0,1,0),IF(B2611="REGION LOSS",IF(COUNTIFS('Site Dockets'!$E$7:$E$24,C2611,'Site Dockets'!$C$7:$C$24,F2611)&gt;0,1,0),0))</f>
        <v>0</v>
      </c>
      <c r="L2611" s="15" t="n">
        <f aca="false">IF(J2611=1,0,Inputs!$B$11)</f>
        <v>100</v>
      </c>
      <c r="M2611" s="15" t="n">
        <f aca="false">IF(J2611=1,0,Inputs!$B$12)</f>
        <v>75</v>
      </c>
      <c r="N2611" s="15" t="n">
        <f aca="false">IF(J2611=1,0,IF(OR(AND(OR(B2611="SITE LOSS",B2611="REGION LOSS"),K2611=1),AND(B2611="ROLE COMPROMISE",H2611=C2611)),Inputs!$B$13,Inputs!$B$14))</f>
        <v>10</v>
      </c>
      <c r="O2611" s="15" t="n">
        <f aca="false">IF(J2611=1,0,Inputs!$B$13)</f>
        <v>20</v>
      </c>
      <c r="P2611" s="15" t="n">
        <f aca="false">SUM(M2611:N2611)</f>
        <v>85</v>
      </c>
      <c r="Q2611" s="15" t="n">
        <f aca="false">IF(J2611=1,"",L2611-P2611)</f>
        <v>15</v>
      </c>
      <c r="R2611" s="15" t="n">
        <f aca="false">IF(OR(J2611=1,M2611&lt;=Inputs!$B$12),1,0)</f>
        <v>1</v>
      </c>
      <c r="S2611" s="15" t="n">
        <f aca="false">IF(OR(J2611=1,N2611&lt;=O2611),1,0)</f>
        <v>1</v>
      </c>
      <c r="T2611" s="15" t="str">
        <f aca="false">IF(J2611=1,"OFFLINE",IF(AND(Q2611&gt;=Inputs!$B$15,R2611=1,S2611=1,P2611&lt;=L2611),"PASS","FAIL"))</f>
        <v>PASS</v>
      </c>
    </row>
    <row r="2612" customFormat="false" ht="15" hidden="false" customHeight="false" outlineLevel="0" collapsed="false">
      <c r="A2612" s="14" t="s">
        <v>1044</v>
      </c>
      <c r="B2612" s="14" t="s">
        <v>1045</v>
      </c>
      <c r="C2612" s="14" t="s">
        <v>1046</v>
      </c>
      <c r="D2612" s="14" t="s">
        <v>160</v>
      </c>
      <c r="E2612" s="14" t="s">
        <v>161</v>
      </c>
      <c r="F2612" s="14" t="s">
        <v>150</v>
      </c>
      <c r="G2612" s="14" t="n">
        <v>3</v>
      </c>
      <c r="H2612" s="14" t="s">
        <v>158</v>
      </c>
      <c r="I2612" s="14" t="s">
        <v>892</v>
      </c>
      <c r="J2612" s="15" t="n">
        <f aca="false">IF(B2612="SITE LOSS",IF(D2612=C2612,1,0),IF(B2612="REGION LOSS",IF(E2612=C2612,1,0),0))</f>
        <v>0</v>
      </c>
      <c r="K2612" s="15" t="n">
        <f aca="false">IF(B2612="SITE LOSS",IF(COUNTIFS('Site Dockets'!$B$7:$B$24,C2612,'Site Dockets'!$C$7:$C$24,F2612)&gt;0,1,0),IF(B2612="REGION LOSS",IF(COUNTIFS('Site Dockets'!$E$7:$E$24,C2612,'Site Dockets'!$C$7:$C$24,F2612)&gt;0,1,0),0))</f>
        <v>0</v>
      </c>
      <c r="L2612" s="15" t="n">
        <f aca="false">IF(J2612=1,0,Inputs!$B$11)</f>
        <v>100</v>
      </c>
      <c r="M2612" s="15" t="n">
        <f aca="false">IF(J2612=1,0,Inputs!$B$12)</f>
        <v>75</v>
      </c>
      <c r="N2612" s="15" t="n">
        <f aca="false">IF(J2612=1,0,IF(OR(AND(OR(B2612="SITE LOSS",B2612="REGION LOSS"),K2612=1),AND(B2612="ROLE COMPROMISE",H2612=C2612)),Inputs!$B$13,Inputs!$B$14))</f>
        <v>10</v>
      </c>
      <c r="O2612" s="15" t="n">
        <f aca="false">IF(J2612=1,0,Inputs!$B$13)</f>
        <v>20</v>
      </c>
      <c r="P2612" s="15" t="n">
        <f aca="false">SUM(M2612:N2612)</f>
        <v>85</v>
      </c>
      <c r="Q2612" s="15" t="n">
        <f aca="false">IF(J2612=1,"",L2612-P2612)</f>
        <v>15</v>
      </c>
      <c r="R2612" s="15" t="n">
        <f aca="false">IF(OR(J2612=1,M2612&lt;=Inputs!$B$12),1,0)</f>
        <v>1</v>
      </c>
      <c r="S2612" s="15" t="n">
        <f aca="false">IF(OR(J2612=1,N2612&lt;=O2612),1,0)</f>
        <v>1</v>
      </c>
      <c r="T2612" s="15" t="str">
        <f aca="false">IF(J2612=1,"OFFLINE",IF(AND(Q2612&gt;=Inputs!$B$15,R2612=1,S2612=1,P2612&lt;=L2612),"PASS","FAIL"))</f>
        <v>PASS</v>
      </c>
    </row>
    <row r="2613" customFormat="false" ht="15" hidden="false" customHeight="false" outlineLevel="0" collapsed="false">
      <c r="A2613" s="14" t="s">
        <v>1044</v>
      </c>
      <c r="B2613" s="14" t="s">
        <v>1045</v>
      </c>
      <c r="C2613" s="14" t="s">
        <v>1046</v>
      </c>
      <c r="D2613" s="14" t="s">
        <v>160</v>
      </c>
      <c r="E2613" s="14" t="s">
        <v>161</v>
      </c>
      <c r="F2613" s="14" t="s">
        <v>150</v>
      </c>
      <c r="G2613" s="14" t="n">
        <v>3</v>
      </c>
      <c r="H2613" s="14" t="s">
        <v>158</v>
      </c>
      <c r="I2613" s="14" t="s">
        <v>811</v>
      </c>
      <c r="J2613" s="15" t="n">
        <f aca="false">IF(B2613="SITE LOSS",IF(D2613=C2613,1,0),IF(B2613="REGION LOSS",IF(E2613=C2613,1,0),0))</f>
        <v>0</v>
      </c>
      <c r="K2613" s="15" t="n">
        <f aca="false">IF(B2613="SITE LOSS",IF(COUNTIFS('Site Dockets'!$B$7:$B$24,C2613,'Site Dockets'!$C$7:$C$24,F2613)&gt;0,1,0),IF(B2613="REGION LOSS",IF(COUNTIFS('Site Dockets'!$E$7:$E$24,C2613,'Site Dockets'!$C$7:$C$24,F2613)&gt;0,1,0),0))</f>
        <v>0</v>
      </c>
      <c r="L2613" s="15" t="n">
        <f aca="false">IF(J2613=1,0,Inputs!$B$11)</f>
        <v>100</v>
      </c>
      <c r="M2613" s="15" t="n">
        <f aca="false">IF(J2613=1,0,Inputs!$B$12)</f>
        <v>75</v>
      </c>
      <c r="N2613" s="15" t="n">
        <f aca="false">IF(J2613=1,0,IF(OR(AND(OR(B2613="SITE LOSS",B2613="REGION LOSS"),K2613=1),AND(B2613="ROLE COMPROMISE",H2613=C2613)),Inputs!$B$13,Inputs!$B$14))</f>
        <v>10</v>
      </c>
      <c r="O2613" s="15" t="n">
        <f aca="false">IF(J2613=1,0,Inputs!$B$13)</f>
        <v>20</v>
      </c>
      <c r="P2613" s="15" t="n">
        <f aca="false">SUM(M2613:N2613)</f>
        <v>85</v>
      </c>
      <c r="Q2613" s="15" t="n">
        <f aca="false">IF(J2613=1,"",L2613-P2613)</f>
        <v>15</v>
      </c>
      <c r="R2613" s="15" t="n">
        <f aca="false">IF(OR(J2613=1,M2613&lt;=Inputs!$B$12),1,0)</f>
        <v>1</v>
      </c>
      <c r="S2613" s="15" t="n">
        <f aca="false">IF(OR(J2613=1,N2613&lt;=O2613),1,0)</f>
        <v>1</v>
      </c>
      <c r="T2613" s="15" t="str">
        <f aca="false">IF(J2613=1,"OFFLINE",IF(AND(Q2613&gt;=Inputs!$B$15,R2613=1,S2613=1,P2613&lt;=L2613),"PASS","FAIL"))</f>
        <v>PASS</v>
      </c>
    </row>
    <row r="2614" customFormat="false" ht="15" hidden="false" customHeight="false" outlineLevel="0" collapsed="false">
      <c r="A2614" s="14" t="s">
        <v>1044</v>
      </c>
      <c r="B2614" s="14" t="s">
        <v>1045</v>
      </c>
      <c r="C2614" s="14" t="s">
        <v>1046</v>
      </c>
      <c r="D2614" s="14" t="s">
        <v>160</v>
      </c>
      <c r="E2614" s="14" t="s">
        <v>161</v>
      </c>
      <c r="F2614" s="14" t="s">
        <v>150</v>
      </c>
      <c r="G2614" s="14" t="n">
        <v>3</v>
      </c>
      <c r="H2614" s="14" t="s">
        <v>158</v>
      </c>
      <c r="I2614" s="14" t="s">
        <v>895</v>
      </c>
      <c r="J2614" s="15" t="n">
        <f aca="false">IF(B2614="SITE LOSS",IF(D2614=C2614,1,0),IF(B2614="REGION LOSS",IF(E2614=C2614,1,0),0))</f>
        <v>0</v>
      </c>
      <c r="K2614" s="15" t="n">
        <f aca="false">IF(B2614="SITE LOSS",IF(COUNTIFS('Site Dockets'!$B$7:$B$24,C2614,'Site Dockets'!$C$7:$C$24,F2614)&gt;0,1,0),IF(B2614="REGION LOSS",IF(COUNTIFS('Site Dockets'!$E$7:$E$24,C2614,'Site Dockets'!$C$7:$C$24,F2614)&gt;0,1,0),0))</f>
        <v>0</v>
      </c>
      <c r="L2614" s="15" t="n">
        <f aca="false">IF(J2614=1,0,Inputs!$B$11)</f>
        <v>100</v>
      </c>
      <c r="M2614" s="15" t="n">
        <f aca="false">IF(J2614=1,0,Inputs!$B$12)</f>
        <v>75</v>
      </c>
      <c r="N2614" s="15" t="n">
        <f aca="false">IF(J2614=1,0,IF(OR(AND(OR(B2614="SITE LOSS",B2614="REGION LOSS"),K2614=1),AND(B2614="ROLE COMPROMISE",H2614=C2614)),Inputs!$B$13,Inputs!$B$14))</f>
        <v>10</v>
      </c>
      <c r="O2614" s="15" t="n">
        <f aca="false">IF(J2614=1,0,Inputs!$B$13)</f>
        <v>20</v>
      </c>
      <c r="P2614" s="15" t="n">
        <f aca="false">SUM(M2614:N2614)</f>
        <v>85</v>
      </c>
      <c r="Q2614" s="15" t="n">
        <f aca="false">IF(J2614=1,"",L2614-P2614)</f>
        <v>15</v>
      </c>
      <c r="R2614" s="15" t="n">
        <f aca="false">IF(OR(J2614=1,M2614&lt;=Inputs!$B$12),1,0)</f>
        <v>1</v>
      </c>
      <c r="S2614" s="15" t="n">
        <f aca="false">IF(OR(J2614=1,N2614&lt;=O2614),1,0)</f>
        <v>1</v>
      </c>
      <c r="T2614" s="15" t="str">
        <f aca="false">IF(J2614=1,"OFFLINE",IF(AND(Q2614&gt;=Inputs!$B$15,R2614=1,S2614=1,P2614&lt;=L2614),"PASS","FAIL"))</f>
        <v>PASS</v>
      </c>
    </row>
    <row r="2615" customFormat="false" ht="15" hidden="false" customHeight="false" outlineLevel="0" collapsed="false">
      <c r="A2615" s="14" t="s">
        <v>1044</v>
      </c>
      <c r="B2615" s="14" t="s">
        <v>1045</v>
      </c>
      <c r="C2615" s="14" t="s">
        <v>1046</v>
      </c>
      <c r="D2615" s="14" t="s">
        <v>160</v>
      </c>
      <c r="E2615" s="14" t="s">
        <v>161</v>
      </c>
      <c r="F2615" s="14" t="s">
        <v>150</v>
      </c>
      <c r="G2615" s="14" t="n">
        <v>3</v>
      </c>
      <c r="H2615" s="14" t="s">
        <v>158</v>
      </c>
      <c r="I2615" s="14" t="s">
        <v>897</v>
      </c>
      <c r="J2615" s="15" t="n">
        <f aca="false">IF(B2615="SITE LOSS",IF(D2615=C2615,1,0),IF(B2615="REGION LOSS",IF(E2615=C2615,1,0),0))</f>
        <v>0</v>
      </c>
      <c r="K2615" s="15" t="n">
        <f aca="false">IF(B2615="SITE LOSS",IF(COUNTIFS('Site Dockets'!$B$7:$B$24,C2615,'Site Dockets'!$C$7:$C$24,F2615)&gt;0,1,0),IF(B2615="REGION LOSS",IF(COUNTIFS('Site Dockets'!$E$7:$E$24,C2615,'Site Dockets'!$C$7:$C$24,F2615)&gt;0,1,0),0))</f>
        <v>0</v>
      </c>
      <c r="L2615" s="15" t="n">
        <f aca="false">IF(J2615=1,0,Inputs!$B$11)</f>
        <v>100</v>
      </c>
      <c r="M2615" s="15" t="n">
        <f aca="false">IF(J2615=1,0,Inputs!$B$12)</f>
        <v>75</v>
      </c>
      <c r="N2615" s="15" t="n">
        <f aca="false">IF(J2615=1,0,IF(OR(AND(OR(B2615="SITE LOSS",B2615="REGION LOSS"),K2615=1),AND(B2615="ROLE COMPROMISE",H2615=C2615)),Inputs!$B$13,Inputs!$B$14))</f>
        <v>10</v>
      </c>
      <c r="O2615" s="15" t="n">
        <f aca="false">IF(J2615=1,0,Inputs!$B$13)</f>
        <v>20</v>
      </c>
      <c r="P2615" s="15" t="n">
        <f aca="false">SUM(M2615:N2615)</f>
        <v>85</v>
      </c>
      <c r="Q2615" s="15" t="n">
        <f aca="false">IF(J2615=1,"",L2615-P2615)</f>
        <v>15</v>
      </c>
      <c r="R2615" s="15" t="n">
        <f aca="false">IF(OR(J2615=1,M2615&lt;=Inputs!$B$12),1,0)</f>
        <v>1</v>
      </c>
      <c r="S2615" s="15" t="n">
        <f aca="false">IF(OR(J2615=1,N2615&lt;=O2615),1,0)</f>
        <v>1</v>
      </c>
      <c r="T2615" s="15" t="str">
        <f aca="false">IF(J2615=1,"OFFLINE",IF(AND(Q2615&gt;=Inputs!$B$15,R2615=1,S2615=1,P2615&lt;=L2615),"PASS","FAIL"))</f>
        <v>PASS</v>
      </c>
    </row>
    <row r="2616" customFormat="false" ht="15" hidden="false" customHeight="false" outlineLevel="0" collapsed="false">
      <c r="A2616" s="14" t="s">
        <v>1044</v>
      </c>
      <c r="B2616" s="14" t="s">
        <v>1045</v>
      </c>
      <c r="C2616" s="14" t="s">
        <v>1046</v>
      </c>
      <c r="D2616" s="14" t="s">
        <v>160</v>
      </c>
      <c r="E2616" s="14" t="s">
        <v>161</v>
      </c>
      <c r="F2616" s="14" t="s">
        <v>150</v>
      </c>
      <c r="G2616" s="14" t="n">
        <v>3</v>
      </c>
      <c r="H2616" s="14" t="s">
        <v>158</v>
      </c>
      <c r="I2616" s="14" t="s">
        <v>899</v>
      </c>
      <c r="J2616" s="15" t="n">
        <f aca="false">IF(B2616="SITE LOSS",IF(D2616=C2616,1,0),IF(B2616="REGION LOSS",IF(E2616=C2616,1,0),0))</f>
        <v>0</v>
      </c>
      <c r="K2616" s="15" t="n">
        <f aca="false">IF(B2616="SITE LOSS",IF(COUNTIFS('Site Dockets'!$B$7:$B$24,C2616,'Site Dockets'!$C$7:$C$24,F2616)&gt;0,1,0),IF(B2616="REGION LOSS",IF(COUNTIFS('Site Dockets'!$E$7:$E$24,C2616,'Site Dockets'!$C$7:$C$24,F2616)&gt;0,1,0),0))</f>
        <v>0</v>
      </c>
      <c r="L2616" s="15" t="n">
        <f aca="false">IF(J2616=1,0,Inputs!$B$11)</f>
        <v>100</v>
      </c>
      <c r="M2616" s="15" t="n">
        <f aca="false">IF(J2616=1,0,Inputs!$B$12)</f>
        <v>75</v>
      </c>
      <c r="N2616" s="15" t="n">
        <f aca="false">IF(J2616=1,0,IF(OR(AND(OR(B2616="SITE LOSS",B2616="REGION LOSS"),K2616=1),AND(B2616="ROLE COMPROMISE",H2616=C2616)),Inputs!$B$13,Inputs!$B$14))</f>
        <v>10</v>
      </c>
      <c r="O2616" s="15" t="n">
        <f aca="false">IF(J2616=1,0,Inputs!$B$13)</f>
        <v>20</v>
      </c>
      <c r="P2616" s="15" t="n">
        <f aca="false">SUM(M2616:N2616)</f>
        <v>85</v>
      </c>
      <c r="Q2616" s="15" t="n">
        <f aca="false">IF(J2616=1,"",L2616-P2616)</f>
        <v>15</v>
      </c>
      <c r="R2616" s="15" t="n">
        <f aca="false">IF(OR(J2616=1,M2616&lt;=Inputs!$B$12),1,0)</f>
        <v>1</v>
      </c>
      <c r="S2616" s="15" t="n">
        <f aca="false">IF(OR(J2616=1,N2616&lt;=O2616),1,0)</f>
        <v>1</v>
      </c>
      <c r="T2616" s="15" t="str">
        <f aca="false">IF(J2616=1,"OFFLINE",IF(AND(Q2616&gt;=Inputs!$B$15,R2616=1,S2616=1,P2616&lt;=L2616),"PASS","FAIL"))</f>
        <v>PASS</v>
      </c>
    </row>
    <row r="2617" customFormat="false" ht="15" hidden="false" customHeight="false" outlineLevel="0" collapsed="false">
      <c r="A2617" s="14" t="s">
        <v>1044</v>
      </c>
      <c r="B2617" s="14" t="s">
        <v>1045</v>
      </c>
      <c r="C2617" s="14" t="s">
        <v>1046</v>
      </c>
      <c r="D2617" s="14" t="s">
        <v>163</v>
      </c>
      <c r="E2617" s="14" t="s">
        <v>166</v>
      </c>
      <c r="F2617" s="14" t="s">
        <v>164</v>
      </c>
      <c r="G2617" s="14" t="n">
        <v>1</v>
      </c>
      <c r="H2617" s="14" t="s">
        <v>154</v>
      </c>
      <c r="I2617" s="14" t="s">
        <v>890</v>
      </c>
      <c r="J2617" s="15" t="n">
        <f aca="false">IF(B2617="SITE LOSS",IF(D2617=C2617,1,0),IF(B2617="REGION LOSS",IF(E2617=C2617,1,0),0))</f>
        <v>0</v>
      </c>
      <c r="K2617" s="15" t="n">
        <f aca="false">IF(B2617="SITE LOSS",IF(COUNTIFS('Site Dockets'!$B$7:$B$24,C2617,'Site Dockets'!$C$7:$C$24,F2617)&gt;0,1,0),IF(B2617="REGION LOSS",IF(COUNTIFS('Site Dockets'!$E$7:$E$24,C2617,'Site Dockets'!$C$7:$C$24,F2617)&gt;0,1,0),0))</f>
        <v>0</v>
      </c>
      <c r="L2617" s="15" t="n">
        <f aca="false">IF(J2617=1,0,Inputs!$B$11)</f>
        <v>100</v>
      </c>
      <c r="M2617" s="15" t="n">
        <f aca="false">IF(J2617=1,0,Inputs!$B$12)</f>
        <v>75</v>
      </c>
      <c r="N2617" s="15" t="n">
        <f aca="false">IF(J2617=1,0,IF(OR(AND(OR(B2617="SITE LOSS",B2617="REGION LOSS"),K2617=1),AND(B2617="ROLE COMPROMISE",H2617=C2617)),Inputs!$B$13,Inputs!$B$14))</f>
        <v>10</v>
      </c>
      <c r="O2617" s="15" t="n">
        <f aca="false">IF(J2617=1,0,Inputs!$B$13)</f>
        <v>20</v>
      </c>
      <c r="P2617" s="15" t="n">
        <f aca="false">SUM(M2617:N2617)</f>
        <v>85</v>
      </c>
      <c r="Q2617" s="15" t="n">
        <f aca="false">IF(J2617=1,"",L2617-P2617)</f>
        <v>15</v>
      </c>
      <c r="R2617" s="15" t="n">
        <f aca="false">IF(OR(J2617=1,M2617&lt;=Inputs!$B$12),1,0)</f>
        <v>1</v>
      </c>
      <c r="S2617" s="15" t="n">
        <f aca="false">IF(OR(J2617=1,N2617&lt;=O2617),1,0)</f>
        <v>1</v>
      </c>
      <c r="T2617" s="15" t="str">
        <f aca="false">IF(J2617=1,"OFFLINE",IF(AND(Q2617&gt;=Inputs!$B$15,R2617=1,S2617=1,P2617&lt;=L2617),"PASS","FAIL"))</f>
        <v>PASS</v>
      </c>
    </row>
    <row r="2618" customFormat="false" ht="15" hidden="false" customHeight="false" outlineLevel="0" collapsed="false">
      <c r="A2618" s="14" t="s">
        <v>1044</v>
      </c>
      <c r="B2618" s="14" t="s">
        <v>1045</v>
      </c>
      <c r="C2618" s="14" t="s">
        <v>1046</v>
      </c>
      <c r="D2618" s="14" t="s">
        <v>163</v>
      </c>
      <c r="E2618" s="14" t="s">
        <v>166</v>
      </c>
      <c r="F2618" s="14" t="s">
        <v>164</v>
      </c>
      <c r="G2618" s="14" t="n">
        <v>1</v>
      </c>
      <c r="H2618" s="14" t="s">
        <v>154</v>
      </c>
      <c r="I2618" s="14" t="s">
        <v>892</v>
      </c>
      <c r="J2618" s="15" t="n">
        <f aca="false">IF(B2618="SITE LOSS",IF(D2618=C2618,1,0),IF(B2618="REGION LOSS",IF(E2618=C2618,1,0),0))</f>
        <v>0</v>
      </c>
      <c r="K2618" s="15" t="n">
        <f aca="false">IF(B2618="SITE LOSS",IF(COUNTIFS('Site Dockets'!$B$7:$B$24,C2618,'Site Dockets'!$C$7:$C$24,F2618)&gt;0,1,0),IF(B2618="REGION LOSS",IF(COUNTIFS('Site Dockets'!$E$7:$E$24,C2618,'Site Dockets'!$C$7:$C$24,F2618)&gt;0,1,0),0))</f>
        <v>0</v>
      </c>
      <c r="L2618" s="15" t="n">
        <f aca="false">IF(J2618=1,0,Inputs!$B$11)</f>
        <v>100</v>
      </c>
      <c r="M2618" s="15" t="n">
        <f aca="false">IF(J2618=1,0,Inputs!$B$12)</f>
        <v>75</v>
      </c>
      <c r="N2618" s="15" t="n">
        <f aca="false">IF(J2618=1,0,IF(OR(AND(OR(B2618="SITE LOSS",B2618="REGION LOSS"),K2618=1),AND(B2618="ROLE COMPROMISE",H2618=C2618)),Inputs!$B$13,Inputs!$B$14))</f>
        <v>10</v>
      </c>
      <c r="O2618" s="15" t="n">
        <f aca="false">IF(J2618=1,0,Inputs!$B$13)</f>
        <v>20</v>
      </c>
      <c r="P2618" s="15" t="n">
        <f aca="false">SUM(M2618:N2618)</f>
        <v>85</v>
      </c>
      <c r="Q2618" s="15" t="n">
        <f aca="false">IF(J2618=1,"",L2618-P2618)</f>
        <v>15</v>
      </c>
      <c r="R2618" s="15" t="n">
        <f aca="false">IF(OR(J2618=1,M2618&lt;=Inputs!$B$12),1,0)</f>
        <v>1</v>
      </c>
      <c r="S2618" s="15" t="n">
        <f aca="false">IF(OR(J2618=1,N2618&lt;=O2618),1,0)</f>
        <v>1</v>
      </c>
      <c r="T2618" s="15" t="str">
        <f aca="false">IF(J2618=1,"OFFLINE",IF(AND(Q2618&gt;=Inputs!$B$15,R2618=1,S2618=1,P2618&lt;=L2618),"PASS","FAIL"))</f>
        <v>PASS</v>
      </c>
    </row>
    <row r="2619" customFormat="false" ht="15" hidden="false" customHeight="false" outlineLevel="0" collapsed="false">
      <c r="A2619" s="14" t="s">
        <v>1044</v>
      </c>
      <c r="B2619" s="14" t="s">
        <v>1045</v>
      </c>
      <c r="C2619" s="14" t="s">
        <v>1046</v>
      </c>
      <c r="D2619" s="14" t="s">
        <v>163</v>
      </c>
      <c r="E2619" s="14" t="s">
        <v>166</v>
      </c>
      <c r="F2619" s="14" t="s">
        <v>164</v>
      </c>
      <c r="G2619" s="14" t="n">
        <v>1</v>
      </c>
      <c r="H2619" s="14" t="s">
        <v>154</v>
      </c>
      <c r="I2619" s="14" t="s">
        <v>811</v>
      </c>
      <c r="J2619" s="15" t="n">
        <f aca="false">IF(B2619="SITE LOSS",IF(D2619=C2619,1,0),IF(B2619="REGION LOSS",IF(E2619=C2619,1,0),0))</f>
        <v>0</v>
      </c>
      <c r="K2619" s="15" t="n">
        <f aca="false">IF(B2619="SITE LOSS",IF(COUNTIFS('Site Dockets'!$B$7:$B$24,C2619,'Site Dockets'!$C$7:$C$24,F2619)&gt;0,1,0),IF(B2619="REGION LOSS",IF(COUNTIFS('Site Dockets'!$E$7:$E$24,C2619,'Site Dockets'!$C$7:$C$24,F2619)&gt;0,1,0),0))</f>
        <v>0</v>
      </c>
      <c r="L2619" s="15" t="n">
        <f aca="false">IF(J2619=1,0,Inputs!$B$11)</f>
        <v>100</v>
      </c>
      <c r="M2619" s="15" t="n">
        <f aca="false">IF(J2619=1,0,Inputs!$B$12)</f>
        <v>75</v>
      </c>
      <c r="N2619" s="15" t="n">
        <f aca="false">IF(J2619=1,0,IF(OR(AND(OR(B2619="SITE LOSS",B2619="REGION LOSS"),K2619=1),AND(B2619="ROLE COMPROMISE",H2619=C2619)),Inputs!$B$13,Inputs!$B$14))</f>
        <v>10</v>
      </c>
      <c r="O2619" s="15" t="n">
        <f aca="false">IF(J2619=1,0,Inputs!$B$13)</f>
        <v>20</v>
      </c>
      <c r="P2619" s="15" t="n">
        <f aca="false">SUM(M2619:N2619)</f>
        <v>85</v>
      </c>
      <c r="Q2619" s="15" t="n">
        <f aca="false">IF(J2619=1,"",L2619-P2619)</f>
        <v>15</v>
      </c>
      <c r="R2619" s="15" t="n">
        <f aca="false">IF(OR(J2619=1,M2619&lt;=Inputs!$B$12),1,0)</f>
        <v>1</v>
      </c>
      <c r="S2619" s="15" t="n">
        <f aca="false">IF(OR(J2619=1,N2619&lt;=O2619),1,0)</f>
        <v>1</v>
      </c>
      <c r="T2619" s="15" t="str">
        <f aca="false">IF(J2619=1,"OFFLINE",IF(AND(Q2619&gt;=Inputs!$B$15,R2619=1,S2619=1,P2619&lt;=L2619),"PASS","FAIL"))</f>
        <v>PASS</v>
      </c>
    </row>
    <row r="2620" customFormat="false" ht="15" hidden="false" customHeight="false" outlineLevel="0" collapsed="false">
      <c r="A2620" s="14" t="s">
        <v>1044</v>
      </c>
      <c r="B2620" s="14" t="s">
        <v>1045</v>
      </c>
      <c r="C2620" s="14" t="s">
        <v>1046</v>
      </c>
      <c r="D2620" s="14" t="s">
        <v>163</v>
      </c>
      <c r="E2620" s="14" t="s">
        <v>166</v>
      </c>
      <c r="F2620" s="14" t="s">
        <v>164</v>
      </c>
      <c r="G2620" s="14" t="n">
        <v>1</v>
      </c>
      <c r="H2620" s="14" t="s">
        <v>154</v>
      </c>
      <c r="I2620" s="14" t="s">
        <v>895</v>
      </c>
      <c r="J2620" s="15" t="n">
        <f aca="false">IF(B2620="SITE LOSS",IF(D2620=C2620,1,0),IF(B2620="REGION LOSS",IF(E2620=C2620,1,0),0))</f>
        <v>0</v>
      </c>
      <c r="K2620" s="15" t="n">
        <f aca="false">IF(B2620="SITE LOSS",IF(COUNTIFS('Site Dockets'!$B$7:$B$24,C2620,'Site Dockets'!$C$7:$C$24,F2620)&gt;0,1,0),IF(B2620="REGION LOSS",IF(COUNTIFS('Site Dockets'!$E$7:$E$24,C2620,'Site Dockets'!$C$7:$C$24,F2620)&gt;0,1,0),0))</f>
        <v>0</v>
      </c>
      <c r="L2620" s="15" t="n">
        <f aca="false">IF(J2620=1,0,Inputs!$B$11)</f>
        <v>100</v>
      </c>
      <c r="M2620" s="15" t="n">
        <f aca="false">IF(J2620=1,0,Inputs!$B$12)</f>
        <v>75</v>
      </c>
      <c r="N2620" s="15" t="n">
        <f aca="false">IF(J2620=1,0,IF(OR(AND(OR(B2620="SITE LOSS",B2620="REGION LOSS"),K2620=1),AND(B2620="ROLE COMPROMISE",H2620=C2620)),Inputs!$B$13,Inputs!$B$14))</f>
        <v>10</v>
      </c>
      <c r="O2620" s="15" t="n">
        <f aca="false">IF(J2620=1,0,Inputs!$B$13)</f>
        <v>20</v>
      </c>
      <c r="P2620" s="15" t="n">
        <f aca="false">SUM(M2620:N2620)</f>
        <v>85</v>
      </c>
      <c r="Q2620" s="15" t="n">
        <f aca="false">IF(J2620=1,"",L2620-P2620)</f>
        <v>15</v>
      </c>
      <c r="R2620" s="15" t="n">
        <f aca="false">IF(OR(J2620=1,M2620&lt;=Inputs!$B$12),1,0)</f>
        <v>1</v>
      </c>
      <c r="S2620" s="15" t="n">
        <f aca="false">IF(OR(J2620=1,N2620&lt;=O2620),1,0)</f>
        <v>1</v>
      </c>
      <c r="T2620" s="15" t="str">
        <f aca="false">IF(J2620=1,"OFFLINE",IF(AND(Q2620&gt;=Inputs!$B$15,R2620=1,S2620=1,P2620&lt;=L2620),"PASS","FAIL"))</f>
        <v>PASS</v>
      </c>
    </row>
    <row r="2621" customFormat="false" ht="15" hidden="false" customHeight="false" outlineLevel="0" collapsed="false">
      <c r="A2621" s="14" t="s">
        <v>1044</v>
      </c>
      <c r="B2621" s="14" t="s">
        <v>1045</v>
      </c>
      <c r="C2621" s="14" t="s">
        <v>1046</v>
      </c>
      <c r="D2621" s="14" t="s">
        <v>163</v>
      </c>
      <c r="E2621" s="14" t="s">
        <v>166</v>
      </c>
      <c r="F2621" s="14" t="s">
        <v>164</v>
      </c>
      <c r="G2621" s="14" t="n">
        <v>1</v>
      </c>
      <c r="H2621" s="14" t="s">
        <v>154</v>
      </c>
      <c r="I2621" s="14" t="s">
        <v>897</v>
      </c>
      <c r="J2621" s="15" t="n">
        <f aca="false">IF(B2621="SITE LOSS",IF(D2621=C2621,1,0),IF(B2621="REGION LOSS",IF(E2621=C2621,1,0),0))</f>
        <v>0</v>
      </c>
      <c r="K2621" s="15" t="n">
        <f aca="false">IF(B2621="SITE LOSS",IF(COUNTIFS('Site Dockets'!$B$7:$B$24,C2621,'Site Dockets'!$C$7:$C$24,F2621)&gt;0,1,0),IF(B2621="REGION LOSS",IF(COUNTIFS('Site Dockets'!$E$7:$E$24,C2621,'Site Dockets'!$C$7:$C$24,F2621)&gt;0,1,0),0))</f>
        <v>0</v>
      </c>
      <c r="L2621" s="15" t="n">
        <f aca="false">IF(J2621=1,0,Inputs!$B$11)</f>
        <v>100</v>
      </c>
      <c r="M2621" s="15" t="n">
        <f aca="false">IF(J2621=1,0,Inputs!$B$12)</f>
        <v>75</v>
      </c>
      <c r="N2621" s="15" t="n">
        <f aca="false">IF(J2621=1,0,IF(OR(AND(OR(B2621="SITE LOSS",B2621="REGION LOSS"),K2621=1),AND(B2621="ROLE COMPROMISE",H2621=C2621)),Inputs!$B$13,Inputs!$B$14))</f>
        <v>10</v>
      </c>
      <c r="O2621" s="15" t="n">
        <f aca="false">IF(J2621=1,0,Inputs!$B$13)</f>
        <v>20</v>
      </c>
      <c r="P2621" s="15" t="n">
        <f aca="false">SUM(M2621:N2621)</f>
        <v>85</v>
      </c>
      <c r="Q2621" s="15" t="n">
        <f aca="false">IF(J2621=1,"",L2621-P2621)</f>
        <v>15</v>
      </c>
      <c r="R2621" s="15" t="n">
        <f aca="false">IF(OR(J2621=1,M2621&lt;=Inputs!$B$12),1,0)</f>
        <v>1</v>
      </c>
      <c r="S2621" s="15" t="n">
        <f aca="false">IF(OR(J2621=1,N2621&lt;=O2621),1,0)</f>
        <v>1</v>
      </c>
      <c r="T2621" s="15" t="str">
        <f aca="false">IF(J2621=1,"OFFLINE",IF(AND(Q2621&gt;=Inputs!$B$15,R2621=1,S2621=1,P2621&lt;=L2621),"PASS","FAIL"))</f>
        <v>PASS</v>
      </c>
    </row>
    <row r="2622" customFormat="false" ht="15" hidden="false" customHeight="false" outlineLevel="0" collapsed="false">
      <c r="A2622" s="14" t="s">
        <v>1044</v>
      </c>
      <c r="B2622" s="14" t="s">
        <v>1045</v>
      </c>
      <c r="C2622" s="14" t="s">
        <v>1046</v>
      </c>
      <c r="D2622" s="14" t="s">
        <v>163</v>
      </c>
      <c r="E2622" s="14" t="s">
        <v>166</v>
      </c>
      <c r="F2622" s="14" t="s">
        <v>164</v>
      </c>
      <c r="G2622" s="14" t="n">
        <v>1</v>
      </c>
      <c r="H2622" s="14" t="s">
        <v>154</v>
      </c>
      <c r="I2622" s="14" t="s">
        <v>899</v>
      </c>
      <c r="J2622" s="15" t="n">
        <f aca="false">IF(B2622="SITE LOSS",IF(D2622=C2622,1,0),IF(B2622="REGION LOSS",IF(E2622=C2622,1,0),0))</f>
        <v>0</v>
      </c>
      <c r="K2622" s="15" t="n">
        <f aca="false">IF(B2622="SITE LOSS",IF(COUNTIFS('Site Dockets'!$B$7:$B$24,C2622,'Site Dockets'!$C$7:$C$24,F2622)&gt;0,1,0),IF(B2622="REGION LOSS",IF(COUNTIFS('Site Dockets'!$E$7:$E$24,C2622,'Site Dockets'!$C$7:$C$24,F2622)&gt;0,1,0),0))</f>
        <v>0</v>
      </c>
      <c r="L2622" s="15" t="n">
        <f aca="false">IF(J2622=1,0,Inputs!$B$11)</f>
        <v>100</v>
      </c>
      <c r="M2622" s="15" t="n">
        <f aca="false">IF(J2622=1,0,Inputs!$B$12)</f>
        <v>75</v>
      </c>
      <c r="N2622" s="15" t="n">
        <f aca="false">IF(J2622=1,0,IF(OR(AND(OR(B2622="SITE LOSS",B2622="REGION LOSS"),K2622=1),AND(B2622="ROLE COMPROMISE",H2622=C2622)),Inputs!$B$13,Inputs!$B$14))</f>
        <v>10</v>
      </c>
      <c r="O2622" s="15" t="n">
        <f aca="false">IF(J2622=1,0,Inputs!$B$13)</f>
        <v>20</v>
      </c>
      <c r="P2622" s="15" t="n">
        <f aca="false">SUM(M2622:N2622)</f>
        <v>85</v>
      </c>
      <c r="Q2622" s="15" t="n">
        <f aca="false">IF(J2622=1,"",L2622-P2622)</f>
        <v>15</v>
      </c>
      <c r="R2622" s="15" t="n">
        <f aca="false">IF(OR(J2622=1,M2622&lt;=Inputs!$B$12),1,0)</f>
        <v>1</v>
      </c>
      <c r="S2622" s="15" t="n">
        <f aca="false">IF(OR(J2622=1,N2622&lt;=O2622),1,0)</f>
        <v>1</v>
      </c>
      <c r="T2622" s="15" t="str">
        <f aca="false">IF(J2622=1,"OFFLINE",IF(AND(Q2622&gt;=Inputs!$B$15,R2622=1,S2622=1,P2622&lt;=L2622),"PASS","FAIL"))</f>
        <v>PASS</v>
      </c>
    </row>
    <row r="2623" customFormat="false" ht="15" hidden="false" customHeight="false" outlineLevel="0" collapsed="false">
      <c r="A2623" s="14" t="s">
        <v>1044</v>
      </c>
      <c r="B2623" s="14" t="s">
        <v>1045</v>
      </c>
      <c r="C2623" s="14" t="s">
        <v>1046</v>
      </c>
      <c r="D2623" s="14" t="s">
        <v>168</v>
      </c>
      <c r="E2623" s="14" t="s">
        <v>169</v>
      </c>
      <c r="F2623" s="14" t="s">
        <v>164</v>
      </c>
      <c r="G2623" s="14" t="n">
        <v>2</v>
      </c>
      <c r="H2623" s="14" t="s">
        <v>153</v>
      </c>
      <c r="I2623" s="14" t="s">
        <v>890</v>
      </c>
      <c r="J2623" s="15" t="n">
        <f aca="false">IF(B2623="SITE LOSS",IF(D2623=C2623,1,0),IF(B2623="REGION LOSS",IF(E2623=C2623,1,0),0))</f>
        <v>0</v>
      </c>
      <c r="K2623" s="15" t="n">
        <f aca="false">IF(B2623="SITE LOSS",IF(COUNTIFS('Site Dockets'!$B$7:$B$24,C2623,'Site Dockets'!$C$7:$C$24,F2623)&gt;0,1,0),IF(B2623="REGION LOSS",IF(COUNTIFS('Site Dockets'!$E$7:$E$24,C2623,'Site Dockets'!$C$7:$C$24,F2623)&gt;0,1,0),0))</f>
        <v>0</v>
      </c>
      <c r="L2623" s="15" t="n">
        <f aca="false">IF(J2623=1,0,Inputs!$B$11)</f>
        <v>100</v>
      </c>
      <c r="M2623" s="15" t="n">
        <f aca="false">IF(J2623=1,0,Inputs!$B$12)</f>
        <v>75</v>
      </c>
      <c r="N2623" s="15" t="n">
        <f aca="false">IF(J2623=1,0,IF(OR(AND(OR(B2623="SITE LOSS",B2623="REGION LOSS"),K2623=1),AND(B2623="ROLE COMPROMISE",H2623=C2623)),Inputs!$B$13,Inputs!$B$14))</f>
        <v>10</v>
      </c>
      <c r="O2623" s="15" t="n">
        <f aca="false">IF(J2623=1,0,Inputs!$B$13)</f>
        <v>20</v>
      </c>
      <c r="P2623" s="15" t="n">
        <f aca="false">SUM(M2623:N2623)</f>
        <v>85</v>
      </c>
      <c r="Q2623" s="15" t="n">
        <f aca="false">IF(J2623=1,"",L2623-P2623)</f>
        <v>15</v>
      </c>
      <c r="R2623" s="15" t="n">
        <f aca="false">IF(OR(J2623=1,M2623&lt;=Inputs!$B$12),1,0)</f>
        <v>1</v>
      </c>
      <c r="S2623" s="15" t="n">
        <f aca="false">IF(OR(J2623=1,N2623&lt;=O2623),1,0)</f>
        <v>1</v>
      </c>
      <c r="T2623" s="15" t="str">
        <f aca="false">IF(J2623=1,"OFFLINE",IF(AND(Q2623&gt;=Inputs!$B$15,R2623=1,S2623=1,P2623&lt;=L2623),"PASS","FAIL"))</f>
        <v>PASS</v>
      </c>
    </row>
    <row r="2624" customFormat="false" ht="15" hidden="false" customHeight="false" outlineLevel="0" collapsed="false">
      <c r="A2624" s="14" t="s">
        <v>1044</v>
      </c>
      <c r="B2624" s="14" t="s">
        <v>1045</v>
      </c>
      <c r="C2624" s="14" t="s">
        <v>1046</v>
      </c>
      <c r="D2624" s="14" t="s">
        <v>168</v>
      </c>
      <c r="E2624" s="14" t="s">
        <v>169</v>
      </c>
      <c r="F2624" s="14" t="s">
        <v>164</v>
      </c>
      <c r="G2624" s="14" t="n">
        <v>2</v>
      </c>
      <c r="H2624" s="14" t="s">
        <v>153</v>
      </c>
      <c r="I2624" s="14" t="s">
        <v>892</v>
      </c>
      <c r="J2624" s="15" t="n">
        <f aca="false">IF(B2624="SITE LOSS",IF(D2624=C2624,1,0),IF(B2624="REGION LOSS",IF(E2624=C2624,1,0),0))</f>
        <v>0</v>
      </c>
      <c r="K2624" s="15" t="n">
        <f aca="false">IF(B2624="SITE LOSS",IF(COUNTIFS('Site Dockets'!$B$7:$B$24,C2624,'Site Dockets'!$C$7:$C$24,F2624)&gt;0,1,0),IF(B2624="REGION LOSS",IF(COUNTIFS('Site Dockets'!$E$7:$E$24,C2624,'Site Dockets'!$C$7:$C$24,F2624)&gt;0,1,0),0))</f>
        <v>0</v>
      </c>
      <c r="L2624" s="15" t="n">
        <f aca="false">IF(J2624=1,0,Inputs!$B$11)</f>
        <v>100</v>
      </c>
      <c r="M2624" s="15" t="n">
        <f aca="false">IF(J2624=1,0,Inputs!$B$12)</f>
        <v>75</v>
      </c>
      <c r="N2624" s="15" t="n">
        <f aca="false">IF(J2624=1,0,IF(OR(AND(OR(B2624="SITE LOSS",B2624="REGION LOSS"),K2624=1),AND(B2624="ROLE COMPROMISE",H2624=C2624)),Inputs!$B$13,Inputs!$B$14))</f>
        <v>10</v>
      </c>
      <c r="O2624" s="15" t="n">
        <f aca="false">IF(J2624=1,0,Inputs!$B$13)</f>
        <v>20</v>
      </c>
      <c r="P2624" s="15" t="n">
        <f aca="false">SUM(M2624:N2624)</f>
        <v>85</v>
      </c>
      <c r="Q2624" s="15" t="n">
        <f aca="false">IF(J2624=1,"",L2624-P2624)</f>
        <v>15</v>
      </c>
      <c r="R2624" s="15" t="n">
        <f aca="false">IF(OR(J2624=1,M2624&lt;=Inputs!$B$12),1,0)</f>
        <v>1</v>
      </c>
      <c r="S2624" s="15" t="n">
        <f aca="false">IF(OR(J2624=1,N2624&lt;=O2624),1,0)</f>
        <v>1</v>
      </c>
      <c r="T2624" s="15" t="str">
        <f aca="false">IF(J2624=1,"OFFLINE",IF(AND(Q2624&gt;=Inputs!$B$15,R2624=1,S2624=1,P2624&lt;=L2624),"PASS","FAIL"))</f>
        <v>PASS</v>
      </c>
    </row>
    <row r="2625" customFormat="false" ht="15" hidden="false" customHeight="false" outlineLevel="0" collapsed="false">
      <c r="A2625" s="14" t="s">
        <v>1044</v>
      </c>
      <c r="B2625" s="14" t="s">
        <v>1045</v>
      </c>
      <c r="C2625" s="14" t="s">
        <v>1046</v>
      </c>
      <c r="D2625" s="14" t="s">
        <v>168</v>
      </c>
      <c r="E2625" s="14" t="s">
        <v>169</v>
      </c>
      <c r="F2625" s="14" t="s">
        <v>164</v>
      </c>
      <c r="G2625" s="14" t="n">
        <v>2</v>
      </c>
      <c r="H2625" s="14" t="s">
        <v>153</v>
      </c>
      <c r="I2625" s="14" t="s">
        <v>811</v>
      </c>
      <c r="J2625" s="15" t="n">
        <f aca="false">IF(B2625="SITE LOSS",IF(D2625=C2625,1,0),IF(B2625="REGION LOSS",IF(E2625=C2625,1,0),0))</f>
        <v>0</v>
      </c>
      <c r="K2625" s="15" t="n">
        <f aca="false">IF(B2625="SITE LOSS",IF(COUNTIFS('Site Dockets'!$B$7:$B$24,C2625,'Site Dockets'!$C$7:$C$24,F2625)&gt;0,1,0),IF(B2625="REGION LOSS",IF(COUNTIFS('Site Dockets'!$E$7:$E$24,C2625,'Site Dockets'!$C$7:$C$24,F2625)&gt;0,1,0),0))</f>
        <v>0</v>
      </c>
      <c r="L2625" s="15" t="n">
        <f aca="false">IF(J2625=1,0,Inputs!$B$11)</f>
        <v>100</v>
      </c>
      <c r="M2625" s="15" t="n">
        <f aca="false">IF(J2625=1,0,Inputs!$B$12)</f>
        <v>75</v>
      </c>
      <c r="N2625" s="15" t="n">
        <f aca="false">IF(J2625=1,0,IF(OR(AND(OR(B2625="SITE LOSS",B2625="REGION LOSS"),K2625=1),AND(B2625="ROLE COMPROMISE",H2625=C2625)),Inputs!$B$13,Inputs!$B$14))</f>
        <v>10</v>
      </c>
      <c r="O2625" s="15" t="n">
        <f aca="false">IF(J2625=1,0,Inputs!$B$13)</f>
        <v>20</v>
      </c>
      <c r="P2625" s="15" t="n">
        <f aca="false">SUM(M2625:N2625)</f>
        <v>85</v>
      </c>
      <c r="Q2625" s="15" t="n">
        <f aca="false">IF(J2625=1,"",L2625-P2625)</f>
        <v>15</v>
      </c>
      <c r="R2625" s="15" t="n">
        <f aca="false">IF(OR(J2625=1,M2625&lt;=Inputs!$B$12),1,0)</f>
        <v>1</v>
      </c>
      <c r="S2625" s="15" t="n">
        <f aca="false">IF(OR(J2625=1,N2625&lt;=O2625),1,0)</f>
        <v>1</v>
      </c>
      <c r="T2625" s="15" t="str">
        <f aca="false">IF(J2625=1,"OFFLINE",IF(AND(Q2625&gt;=Inputs!$B$15,R2625=1,S2625=1,P2625&lt;=L2625),"PASS","FAIL"))</f>
        <v>PASS</v>
      </c>
    </row>
    <row r="2626" customFormat="false" ht="15" hidden="false" customHeight="false" outlineLevel="0" collapsed="false">
      <c r="A2626" s="14" t="s">
        <v>1044</v>
      </c>
      <c r="B2626" s="14" t="s">
        <v>1045</v>
      </c>
      <c r="C2626" s="14" t="s">
        <v>1046</v>
      </c>
      <c r="D2626" s="14" t="s">
        <v>168</v>
      </c>
      <c r="E2626" s="14" t="s">
        <v>169</v>
      </c>
      <c r="F2626" s="14" t="s">
        <v>164</v>
      </c>
      <c r="G2626" s="14" t="n">
        <v>2</v>
      </c>
      <c r="H2626" s="14" t="s">
        <v>153</v>
      </c>
      <c r="I2626" s="14" t="s">
        <v>895</v>
      </c>
      <c r="J2626" s="15" t="n">
        <f aca="false">IF(B2626="SITE LOSS",IF(D2626=C2626,1,0),IF(B2626="REGION LOSS",IF(E2626=C2626,1,0),0))</f>
        <v>0</v>
      </c>
      <c r="K2626" s="15" t="n">
        <f aca="false">IF(B2626="SITE LOSS",IF(COUNTIFS('Site Dockets'!$B$7:$B$24,C2626,'Site Dockets'!$C$7:$C$24,F2626)&gt;0,1,0),IF(B2626="REGION LOSS",IF(COUNTIFS('Site Dockets'!$E$7:$E$24,C2626,'Site Dockets'!$C$7:$C$24,F2626)&gt;0,1,0),0))</f>
        <v>0</v>
      </c>
      <c r="L2626" s="15" t="n">
        <f aca="false">IF(J2626=1,0,Inputs!$B$11)</f>
        <v>100</v>
      </c>
      <c r="M2626" s="15" t="n">
        <f aca="false">IF(J2626=1,0,Inputs!$B$12)</f>
        <v>75</v>
      </c>
      <c r="N2626" s="15" t="n">
        <f aca="false">IF(J2626=1,0,IF(OR(AND(OR(B2626="SITE LOSS",B2626="REGION LOSS"),K2626=1),AND(B2626="ROLE COMPROMISE",H2626=C2626)),Inputs!$B$13,Inputs!$B$14))</f>
        <v>10</v>
      </c>
      <c r="O2626" s="15" t="n">
        <f aca="false">IF(J2626=1,0,Inputs!$B$13)</f>
        <v>20</v>
      </c>
      <c r="P2626" s="15" t="n">
        <f aca="false">SUM(M2626:N2626)</f>
        <v>85</v>
      </c>
      <c r="Q2626" s="15" t="n">
        <f aca="false">IF(J2626=1,"",L2626-P2626)</f>
        <v>15</v>
      </c>
      <c r="R2626" s="15" t="n">
        <f aca="false">IF(OR(J2626=1,M2626&lt;=Inputs!$B$12),1,0)</f>
        <v>1</v>
      </c>
      <c r="S2626" s="15" t="n">
        <f aca="false">IF(OR(J2626=1,N2626&lt;=O2626),1,0)</f>
        <v>1</v>
      </c>
      <c r="T2626" s="15" t="str">
        <f aca="false">IF(J2626=1,"OFFLINE",IF(AND(Q2626&gt;=Inputs!$B$15,R2626=1,S2626=1,P2626&lt;=L2626),"PASS","FAIL"))</f>
        <v>PASS</v>
      </c>
    </row>
    <row r="2627" customFormat="false" ht="15" hidden="false" customHeight="false" outlineLevel="0" collapsed="false">
      <c r="A2627" s="14" t="s">
        <v>1044</v>
      </c>
      <c r="B2627" s="14" t="s">
        <v>1045</v>
      </c>
      <c r="C2627" s="14" t="s">
        <v>1046</v>
      </c>
      <c r="D2627" s="14" t="s">
        <v>168</v>
      </c>
      <c r="E2627" s="14" t="s">
        <v>169</v>
      </c>
      <c r="F2627" s="14" t="s">
        <v>164</v>
      </c>
      <c r="G2627" s="14" t="n">
        <v>2</v>
      </c>
      <c r="H2627" s="14" t="s">
        <v>153</v>
      </c>
      <c r="I2627" s="14" t="s">
        <v>897</v>
      </c>
      <c r="J2627" s="15" t="n">
        <f aca="false">IF(B2627="SITE LOSS",IF(D2627=C2627,1,0),IF(B2627="REGION LOSS",IF(E2627=C2627,1,0),0))</f>
        <v>0</v>
      </c>
      <c r="K2627" s="15" t="n">
        <f aca="false">IF(B2627="SITE LOSS",IF(COUNTIFS('Site Dockets'!$B$7:$B$24,C2627,'Site Dockets'!$C$7:$C$24,F2627)&gt;0,1,0),IF(B2627="REGION LOSS",IF(COUNTIFS('Site Dockets'!$E$7:$E$24,C2627,'Site Dockets'!$C$7:$C$24,F2627)&gt;0,1,0),0))</f>
        <v>0</v>
      </c>
      <c r="L2627" s="15" t="n">
        <f aca="false">IF(J2627=1,0,Inputs!$B$11)</f>
        <v>100</v>
      </c>
      <c r="M2627" s="15" t="n">
        <f aca="false">IF(J2627=1,0,Inputs!$B$12)</f>
        <v>75</v>
      </c>
      <c r="N2627" s="15" t="n">
        <f aca="false">IF(J2627=1,0,IF(OR(AND(OR(B2627="SITE LOSS",B2627="REGION LOSS"),K2627=1),AND(B2627="ROLE COMPROMISE",H2627=C2627)),Inputs!$B$13,Inputs!$B$14))</f>
        <v>10</v>
      </c>
      <c r="O2627" s="15" t="n">
        <f aca="false">IF(J2627=1,0,Inputs!$B$13)</f>
        <v>20</v>
      </c>
      <c r="P2627" s="15" t="n">
        <f aca="false">SUM(M2627:N2627)</f>
        <v>85</v>
      </c>
      <c r="Q2627" s="15" t="n">
        <f aca="false">IF(J2627=1,"",L2627-P2627)</f>
        <v>15</v>
      </c>
      <c r="R2627" s="15" t="n">
        <f aca="false">IF(OR(J2627=1,M2627&lt;=Inputs!$B$12),1,0)</f>
        <v>1</v>
      </c>
      <c r="S2627" s="15" t="n">
        <f aca="false">IF(OR(J2627=1,N2627&lt;=O2627),1,0)</f>
        <v>1</v>
      </c>
      <c r="T2627" s="15" t="str">
        <f aca="false">IF(J2627=1,"OFFLINE",IF(AND(Q2627&gt;=Inputs!$B$15,R2627=1,S2627=1,P2627&lt;=L2627),"PASS","FAIL"))</f>
        <v>PASS</v>
      </c>
    </row>
    <row r="2628" customFormat="false" ht="15" hidden="false" customHeight="false" outlineLevel="0" collapsed="false">
      <c r="A2628" s="14" t="s">
        <v>1044</v>
      </c>
      <c r="B2628" s="14" t="s">
        <v>1045</v>
      </c>
      <c r="C2628" s="14" t="s">
        <v>1046</v>
      </c>
      <c r="D2628" s="14" t="s">
        <v>168</v>
      </c>
      <c r="E2628" s="14" t="s">
        <v>169</v>
      </c>
      <c r="F2628" s="14" t="s">
        <v>164</v>
      </c>
      <c r="G2628" s="14" t="n">
        <v>2</v>
      </c>
      <c r="H2628" s="14" t="s">
        <v>153</v>
      </c>
      <c r="I2628" s="14" t="s">
        <v>899</v>
      </c>
      <c r="J2628" s="15" t="n">
        <f aca="false">IF(B2628="SITE LOSS",IF(D2628=C2628,1,0),IF(B2628="REGION LOSS",IF(E2628=C2628,1,0),0))</f>
        <v>0</v>
      </c>
      <c r="K2628" s="15" t="n">
        <f aca="false">IF(B2628="SITE LOSS",IF(COUNTIFS('Site Dockets'!$B$7:$B$24,C2628,'Site Dockets'!$C$7:$C$24,F2628)&gt;0,1,0),IF(B2628="REGION LOSS",IF(COUNTIFS('Site Dockets'!$E$7:$E$24,C2628,'Site Dockets'!$C$7:$C$24,F2628)&gt;0,1,0),0))</f>
        <v>0</v>
      </c>
      <c r="L2628" s="15" t="n">
        <f aca="false">IF(J2628=1,0,Inputs!$B$11)</f>
        <v>100</v>
      </c>
      <c r="M2628" s="15" t="n">
        <f aca="false">IF(J2628=1,0,Inputs!$B$12)</f>
        <v>75</v>
      </c>
      <c r="N2628" s="15" t="n">
        <f aca="false">IF(J2628=1,0,IF(OR(AND(OR(B2628="SITE LOSS",B2628="REGION LOSS"),K2628=1),AND(B2628="ROLE COMPROMISE",H2628=C2628)),Inputs!$B$13,Inputs!$B$14))</f>
        <v>10</v>
      </c>
      <c r="O2628" s="15" t="n">
        <f aca="false">IF(J2628=1,0,Inputs!$B$13)</f>
        <v>20</v>
      </c>
      <c r="P2628" s="15" t="n">
        <f aca="false">SUM(M2628:N2628)</f>
        <v>85</v>
      </c>
      <c r="Q2628" s="15" t="n">
        <f aca="false">IF(J2628=1,"",L2628-P2628)</f>
        <v>15</v>
      </c>
      <c r="R2628" s="15" t="n">
        <f aca="false">IF(OR(J2628=1,M2628&lt;=Inputs!$B$12),1,0)</f>
        <v>1</v>
      </c>
      <c r="S2628" s="15" t="n">
        <f aca="false">IF(OR(J2628=1,N2628&lt;=O2628),1,0)</f>
        <v>1</v>
      </c>
      <c r="T2628" s="15" t="str">
        <f aca="false">IF(J2628=1,"OFFLINE",IF(AND(Q2628&gt;=Inputs!$B$15,R2628=1,S2628=1,P2628&lt;=L2628),"PASS","FAIL"))</f>
        <v>PASS</v>
      </c>
    </row>
    <row r="2629" customFormat="false" ht="15" hidden="false" customHeight="false" outlineLevel="0" collapsed="false">
      <c r="A2629" s="14" t="s">
        <v>1044</v>
      </c>
      <c r="B2629" s="14" t="s">
        <v>1045</v>
      </c>
      <c r="C2629" s="14" t="s">
        <v>1046</v>
      </c>
      <c r="D2629" s="14" t="s">
        <v>171</v>
      </c>
      <c r="E2629" s="14" t="s">
        <v>172</v>
      </c>
      <c r="F2629" s="14" t="s">
        <v>164</v>
      </c>
      <c r="G2629" s="14" t="n">
        <v>3</v>
      </c>
      <c r="H2629" s="14" t="s">
        <v>158</v>
      </c>
      <c r="I2629" s="14" t="s">
        <v>890</v>
      </c>
      <c r="J2629" s="15" t="n">
        <f aca="false">IF(B2629="SITE LOSS",IF(D2629=C2629,1,0),IF(B2629="REGION LOSS",IF(E2629=C2629,1,0),0))</f>
        <v>0</v>
      </c>
      <c r="K2629" s="15" t="n">
        <f aca="false">IF(B2629="SITE LOSS",IF(COUNTIFS('Site Dockets'!$B$7:$B$24,C2629,'Site Dockets'!$C$7:$C$24,F2629)&gt;0,1,0),IF(B2629="REGION LOSS",IF(COUNTIFS('Site Dockets'!$E$7:$E$24,C2629,'Site Dockets'!$C$7:$C$24,F2629)&gt;0,1,0),0))</f>
        <v>0</v>
      </c>
      <c r="L2629" s="15" t="n">
        <f aca="false">IF(J2629=1,0,Inputs!$B$11)</f>
        <v>100</v>
      </c>
      <c r="M2629" s="15" t="n">
        <f aca="false">IF(J2629=1,0,Inputs!$B$12)</f>
        <v>75</v>
      </c>
      <c r="N2629" s="15" t="n">
        <f aca="false">IF(J2629=1,0,IF(OR(AND(OR(B2629="SITE LOSS",B2629="REGION LOSS"),K2629=1),AND(B2629="ROLE COMPROMISE",H2629=C2629)),Inputs!$B$13,Inputs!$B$14))</f>
        <v>10</v>
      </c>
      <c r="O2629" s="15" t="n">
        <f aca="false">IF(J2629=1,0,Inputs!$B$13)</f>
        <v>20</v>
      </c>
      <c r="P2629" s="15" t="n">
        <f aca="false">SUM(M2629:N2629)</f>
        <v>85</v>
      </c>
      <c r="Q2629" s="15" t="n">
        <f aca="false">IF(J2629=1,"",L2629-P2629)</f>
        <v>15</v>
      </c>
      <c r="R2629" s="15" t="n">
        <f aca="false">IF(OR(J2629=1,M2629&lt;=Inputs!$B$12),1,0)</f>
        <v>1</v>
      </c>
      <c r="S2629" s="15" t="n">
        <f aca="false">IF(OR(J2629=1,N2629&lt;=O2629),1,0)</f>
        <v>1</v>
      </c>
      <c r="T2629" s="15" t="str">
        <f aca="false">IF(J2629=1,"OFFLINE",IF(AND(Q2629&gt;=Inputs!$B$15,R2629=1,S2629=1,P2629&lt;=L2629),"PASS","FAIL"))</f>
        <v>PASS</v>
      </c>
    </row>
    <row r="2630" customFormat="false" ht="15" hidden="false" customHeight="false" outlineLevel="0" collapsed="false">
      <c r="A2630" s="14" t="s">
        <v>1044</v>
      </c>
      <c r="B2630" s="14" t="s">
        <v>1045</v>
      </c>
      <c r="C2630" s="14" t="s">
        <v>1046</v>
      </c>
      <c r="D2630" s="14" t="s">
        <v>171</v>
      </c>
      <c r="E2630" s="14" t="s">
        <v>172</v>
      </c>
      <c r="F2630" s="14" t="s">
        <v>164</v>
      </c>
      <c r="G2630" s="14" t="n">
        <v>3</v>
      </c>
      <c r="H2630" s="14" t="s">
        <v>158</v>
      </c>
      <c r="I2630" s="14" t="s">
        <v>892</v>
      </c>
      <c r="J2630" s="15" t="n">
        <f aca="false">IF(B2630="SITE LOSS",IF(D2630=C2630,1,0),IF(B2630="REGION LOSS",IF(E2630=C2630,1,0),0))</f>
        <v>0</v>
      </c>
      <c r="K2630" s="15" t="n">
        <f aca="false">IF(B2630="SITE LOSS",IF(COUNTIFS('Site Dockets'!$B$7:$B$24,C2630,'Site Dockets'!$C$7:$C$24,F2630)&gt;0,1,0),IF(B2630="REGION LOSS",IF(COUNTIFS('Site Dockets'!$E$7:$E$24,C2630,'Site Dockets'!$C$7:$C$24,F2630)&gt;0,1,0),0))</f>
        <v>0</v>
      </c>
      <c r="L2630" s="15" t="n">
        <f aca="false">IF(J2630=1,0,Inputs!$B$11)</f>
        <v>100</v>
      </c>
      <c r="M2630" s="15" t="n">
        <f aca="false">IF(J2630=1,0,Inputs!$B$12)</f>
        <v>75</v>
      </c>
      <c r="N2630" s="15" t="n">
        <f aca="false">IF(J2630=1,0,IF(OR(AND(OR(B2630="SITE LOSS",B2630="REGION LOSS"),K2630=1),AND(B2630="ROLE COMPROMISE",H2630=C2630)),Inputs!$B$13,Inputs!$B$14))</f>
        <v>10</v>
      </c>
      <c r="O2630" s="15" t="n">
        <f aca="false">IF(J2630=1,0,Inputs!$B$13)</f>
        <v>20</v>
      </c>
      <c r="P2630" s="15" t="n">
        <f aca="false">SUM(M2630:N2630)</f>
        <v>85</v>
      </c>
      <c r="Q2630" s="15" t="n">
        <f aca="false">IF(J2630=1,"",L2630-P2630)</f>
        <v>15</v>
      </c>
      <c r="R2630" s="15" t="n">
        <f aca="false">IF(OR(J2630=1,M2630&lt;=Inputs!$B$12),1,0)</f>
        <v>1</v>
      </c>
      <c r="S2630" s="15" t="n">
        <f aca="false">IF(OR(J2630=1,N2630&lt;=O2630),1,0)</f>
        <v>1</v>
      </c>
      <c r="T2630" s="15" t="str">
        <f aca="false">IF(J2630=1,"OFFLINE",IF(AND(Q2630&gt;=Inputs!$B$15,R2630=1,S2630=1,P2630&lt;=L2630),"PASS","FAIL"))</f>
        <v>PASS</v>
      </c>
    </row>
    <row r="2631" customFormat="false" ht="15" hidden="false" customHeight="false" outlineLevel="0" collapsed="false">
      <c r="A2631" s="14" t="s">
        <v>1044</v>
      </c>
      <c r="B2631" s="14" t="s">
        <v>1045</v>
      </c>
      <c r="C2631" s="14" t="s">
        <v>1046</v>
      </c>
      <c r="D2631" s="14" t="s">
        <v>171</v>
      </c>
      <c r="E2631" s="14" t="s">
        <v>172</v>
      </c>
      <c r="F2631" s="14" t="s">
        <v>164</v>
      </c>
      <c r="G2631" s="14" t="n">
        <v>3</v>
      </c>
      <c r="H2631" s="14" t="s">
        <v>158</v>
      </c>
      <c r="I2631" s="14" t="s">
        <v>811</v>
      </c>
      <c r="J2631" s="15" t="n">
        <f aca="false">IF(B2631="SITE LOSS",IF(D2631=C2631,1,0),IF(B2631="REGION LOSS",IF(E2631=C2631,1,0),0))</f>
        <v>0</v>
      </c>
      <c r="K2631" s="15" t="n">
        <f aca="false">IF(B2631="SITE LOSS",IF(COUNTIFS('Site Dockets'!$B$7:$B$24,C2631,'Site Dockets'!$C$7:$C$24,F2631)&gt;0,1,0),IF(B2631="REGION LOSS",IF(COUNTIFS('Site Dockets'!$E$7:$E$24,C2631,'Site Dockets'!$C$7:$C$24,F2631)&gt;0,1,0),0))</f>
        <v>0</v>
      </c>
      <c r="L2631" s="15" t="n">
        <f aca="false">IF(J2631=1,0,Inputs!$B$11)</f>
        <v>100</v>
      </c>
      <c r="M2631" s="15" t="n">
        <f aca="false">IF(J2631=1,0,Inputs!$B$12)</f>
        <v>75</v>
      </c>
      <c r="N2631" s="15" t="n">
        <f aca="false">IF(J2631=1,0,IF(OR(AND(OR(B2631="SITE LOSS",B2631="REGION LOSS"),K2631=1),AND(B2631="ROLE COMPROMISE",H2631=C2631)),Inputs!$B$13,Inputs!$B$14))</f>
        <v>10</v>
      </c>
      <c r="O2631" s="15" t="n">
        <f aca="false">IF(J2631=1,0,Inputs!$B$13)</f>
        <v>20</v>
      </c>
      <c r="P2631" s="15" t="n">
        <f aca="false">SUM(M2631:N2631)</f>
        <v>85</v>
      </c>
      <c r="Q2631" s="15" t="n">
        <f aca="false">IF(J2631=1,"",L2631-P2631)</f>
        <v>15</v>
      </c>
      <c r="R2631" s="15" t="n">
        <f aca="false">IF(OR(J2631=1,M2631&lt;=Inputs!$B$12),1,0)</f>
        <v>1</v>
      </c>
      <c r="S2631" s="15" t="n">
        <f aca="false">IF(OR(J2631=1,N2631&lt;=O2631),1,0)</f>
        <v>1</v>
      </c>
      <c r="T2631" s="15" t="str">
        <f aca="false">IF(J2631=1,"OFFLINE",IF(AND(Q2631&gt;=Inputs!$B$15,R2631=1,S2631=1,P2631&lt;=L2631),"PASS","FAIL"))</f>
        <v>PASS</v>
      </c>
    </row>
    <row r="2632" customFormat="false" ht="15" hidden="false" customHeight="false" outlineLevel="0" collapsed="false">
      <c r="A2632" s="14" t="s">
        <v>1044</v>
      </c>
      <c r="B2632" s="14" t="s">
        <v>1045</v>
      </c>
      <c r="C2632" s="14" t="s">
        <v>1046</v>
      </c>
      <c r="D2632" s="14" t="s">
        <v>171</v>
      </c>
      <c r="E2632" s="14" t="s">
        <v>172</v>
      </c>
      <c r="F2632" s="14" t="s">
        <v>164</v>
      </c>
      <c r="G2632" s="14" t="n">
        <v>3</v>
      </c>
      <c r="H2632" s="14" t="s">
        <v>158</v>
      </c>
      <c r="I2632" s="14" t="s">
        <v>895</v>
      </c>
      <c r="J2632" s="15" t="n">
        <f aca="false">IF(B2632="SITE LOSS",IF(D2632=C2632,1,0),IF(B2632="REGION LOSS",IF(E2632=C2632,1,0),0))</f>
        <v>0</v>
      </c>
      <c r="K2632" s="15" t="n">
        <f aca="false">IF(B2632="SITE LOSS",IF(COUNTIFS('Site Dockets'!$B$7:$B$24,C2632,'Site Dockets'!$C$7:$C$24,F2632)&gt;0,1,0),IF(B2632="REGION LOSS",IF(COUNTIFS('Site Dockets'!$E$7:$E$24,C2632,'Site Dockets'!$C$7:$C$24,F2632)&gt;0,1,0),0))</f>
        <v>0</v>
      </c>
      <c r="L2632" s="15" t="n">
        <f aca="false">IF(J2632=1,0,Inputs!$B$11)</f>
        <v>100</v>
      </c>
      <c r="M2632" s="15" t="n">
        <f aca="false">IF(J2632=1,0,Inputs!$B$12)</f>
        <v>75</v>
      </c>
      <c r="N2632" s="15" t="n">
        <f aca="false">IF(J2632=1,0,IF(OR(AND(OR(B2632="SITE LOSS",B2632="REGION LOSS"),K2632=1),AND(B2632="ROLE COMPROMISE",H2632=C2632)),Inputs!$B$13,Inputs!$B$14))</f>
        <v>10</v>
      </c>
      <c r="O2632" s="15" t="n">
        <f aca="false">IF(J2632=1,0,Inputs!$B$13)</f>
        <v>20</v>
      </c>
      <c r="P2632" s="15" t="n">
        <f aca="false">SUM(M2632:N2632)</f>
        <v>85</v>
      </c>
      <c r="Q2632" s="15" t="n">
        <f aca="false">IF(J2632=1,"",L2632-P2632)</f>
        <v>15</v>
      </c>
      <c r="R2632" s="15" t="n">
        <f aca="false">IF(OR(J2632=1,M2632&lt;=Inputs!$B$12),1,0)</f>
        <v>1</v>
      </c>
      <c r="S2632" s="15" t="n">
        <f aca="false">IF(OR(J2632=1,N2632&lt;=O2632),1,0)</f>
        <v>1</v>
      </c>
      <c r="T2632" s="15" t="str">
        <f aca="false">IF(J2632=1,"OFFLINE",IF(AND(Q2632&gt;=Inputs!$B$15,R2632=1,S2632=1,P2632&lt;=L2632),"PASS","FAIL"))</f>
        <v>PASS</v>
      </c>
    </row>
    <row r="2633" customFormat="false" ht="15" hidden="false" customHeight="false" outlineLevel="0" collapsed="false">
      <c r="A2633" s="14" t="s">
        <v>1044</v>
      </c>
      <c r="B2633" s="14" t="s">
        <v>1045</v>
      </c>
      <c r="C2633" s="14" t="s">
        <v>1046</v>
      </c>
      <c r="D2633" s="14" t="s">
        <v>171</v>
      </c>
      <c r="E2633" s="14" t="s">
        <v>172</v>
      </c>
      <c r="F2633" s="14" t="s">
        <v>164</v>
      </c>
      <c r="G2633" s="14" t="n">
        <v>3</v>
      </c>
      <c r="H2633" s="14" t="s">
        <v>158</v>
      </c>
      <c r="I2633" s="14" t="s">
        <v>897</v>
      </c>
      <c r="J2633" s="15" t="n">
        <f aca="false">IF(B2633="SITE LOSS",IF(D2633=C2633,1,0),IF(B2633="REGION LOSS",IF(E2633=C2633,1,0),0))</f>
        <v>0</v>
      </c>
      <c r="K2633" s="15" t="n">
        <f aca="false">IF(B2633="SITE LOSS",IF(COUNTIFS('Site Dockets'!$B$7:$B$24,C2633,'Site Dockets'!$C$7:$C$24,F2633)&gt;0,1,0),IF(B2633="REGION LOSS",IF(COUNTIFS('Site Dockets'!$E$7:$E$24,C2633,'Site Dockets'!$C$7:$C$24,F2633)&gt;0,1,0),0))</f>
        <v>0</v>
      </c>
      <c r="L2633" s="15" t="n">
        <f aca="false">IF(J2633=1,0,Inputs!$B$11)</f>
        <v>100</v>
      </c>
      <c r="M2633" s="15" t="n">
        <f aca="false">IF(J2633=1,0,Inputs!$B$12)</f>
        <v>75</v>
      </c>
      <c r="N2633" s="15" t="n">
        <f aca="false">IF(J2633=1,0,IF(OR(AND(OR(B2633="SITE LOSS",B2633="REGION LOSS"),K2633=1),AND(B2633="ROLE COMPROMISE",H2633=C2633)),Inputs!$B$13,Inputs!$B$14))</f>
        <v>10</v>
      </c>
      <c r="O2633" s="15" t="n">
        <f aca="false">IF(J2633=1,0,Inputs!$B$13)</f>
        <v>20</v>
      </c>
      <c r="P2633" s="15" t="n">
        <f aca="false">SUM(M2633:N2633)</f>
        <v>85</v>
      </c>
      <c r="Q2633" s="15" t="n">
        <f aca="false">IF(J2633=1,"",L2633-P2633)</f>
        <v>15</v>
      </c>
      <c r="R2633" s="15" t="n">
        <f aca="false">IF(OR(J2633=1,M2633&lt;=Inputs!$B$12),1,0)</f>
        <v>1</v>
      </c>
      <c r="S2633" s="15" t="n">
        <f aca="false">IF(OR(J2633=1,N2633&lt;=O2633),1,0)</f>
        <v>1</v>
      </c>
      <c r="T2633" s="15" t="str">
        <f aca="false">IF(J2633=1,"OFFLINE",IF(AND(Q2633&gt;=Inputs!$B$15,R2633=1,S2633=1,P2633&lt;=L2633),"PASS","FAIL"))</f>
        <v>PASS</v>
      </c>
    </row>
    <row r="2634" customFormat="false" ht="15" hidden="false" customHeight="false" outlineLevel="0" collapsed="false">
      <c r="A2634" s="14" t="s">
        <v>1044</v>
      </c>
      <c r="B2634" s="14" t="s">
        <v>1045</v>
      </c>
      <c r="C2634" s="14" t="s">
        <v>1046</v>
      </c>
      <c r="D2634" s="14" t="s">
        <v>171</v>
      </c>
      <c r="E2634" s="14" t="s">
        <v>172</v>
      </c>
      <c r="F2634" s="14" t="s">
        <v>164</v>
      </c>
      <c r="G2634" s="14" t="n">
        <v>3</v>
      </c>
      <c r="H2634" s="14" t="s">
        <v>158</v>
      </c>
      <c r="I2634" s="14" t="s">
        <v>899</v>
      </c>
      <c r="J2634" s="15" t="n">
        <f aca="false">IF(B2634="SITE LOSS",IF(D2634=C2634,1,0),IF(B2634="REGION LOSS",IF(E2634=C2634,1,0),0))</f>
        <v>0</v>
      </c>
      <c r="K2634" s="15" t="n">
        <f aca="false">IF(B2634="SITE LOSS",IF(COUNTIFS('Site Dockets'!$B$7:$B$24,C2634,'Site Dockets'!$C$7:$C$24,F2634)&gt;0,1,0),IF(B2634="REGION LOSS",IF(COUNTIFS('Site Dockets'!$E$7:$E$24,C2634,'Site Dockets'!$C$7:$C$24,F2634)&gt;0,1,0),0))</f>
        <v>0</v>
      </c>
      <c r="L2634" s="15" t="n">
        <f aca="false">IF(J2634=1,0,Inputs!$B$11)</f>
        <v>100</v>
      </c>
      <c r="M2634" s="15" t="n">
        <f aca="false">IF(J2634=1,0,Inputs!$B$12)</f>
        <v>75</v>
      </c>
      <c r="N2634" s="15" t="n">
        <f aca="false">IF(J2634=1,0,IF(OR(AND(OR(B2634="SITE LOSS",B2634="REGION LOSS"),K2634=1),AND(B2634="ROLE COMPROMISE",H2634=C2634)),Inputs!$B$13,Inputs!$B$14))</f>
        <v>10</v>
      </c>
      <c r="O2634" s="15" t="n">
        <f aca="false">IF(J2634=1,0,Inputs!$B$13)</f>
        <v>20</v>
      </c>
      <c r="P2634" s="15" t="n">
        <f aca="false">SUM(M2634:N2634)</f>
        <v>85</v>
      </c>
      <c r="Q2634" s="15" t="n">
        <f aca="false">IF(J2634=1,"",L2634-P2634)</f>
        <v>15</v>
      </c>
      <c r="R2634" s="15" t="n">
        <f aca="false">IF(OR(J2634=1,M2634&lt;=Inputs!$B$12),1,0)</f>
        <v>1</v>
      </c>
      <c r="S2634" s="15" t="n">
        <f aca="false">IF(OR(J2634=1,N2634&lt;=O2634),1,0)</f>
        <v>1</v>
      </c>
      <c r="T2634" s="15" t="str">
        <f aca="false">IF(J2634=1,"OFFLINE",IF(AND(Q2634&gt;=Inputs!$B$15,R2634=1,S2634=1,P2634&lt;=L2634),"PASS","FAIL"))</f>
        <v>PASS</v>
      </c>
    </row>
    <row r="2635" customFormat="false" ht="15" hidden="false" customHeight="false" outlineLevel="0" collapsed="false">
      <c r="A2635" s="14" t="s">
        <v>1044</v>
      </c>
      <c r="B2635" s="14" t="s">
        <v>1045</v>
      </c>
      <c r="C2635" s="14" t="s">
        <v>1046</v>
      </c>
      <c r="D2635" s="14" t="s">
        <v>174</v>
      </c>
      <c r="E2635" s="14" t="s">
        <v>152</v>
      </c>
      <c r="F2635" s="14" t="s">
        <v>175</v>
      </c>
      <c r="G2635" s="14" t="n">
        <v>1</v>
      </c>
      <c r="H2635" s="14" t="s">
        <v>154</v>
      </c>
      <c r="I2635" s="14" t="s">
        <v>890</v>
      </c>
      <c r="J2635" s="15" t="n">
        <f aca="false">IF(B2635="SITE LOSS",IF(D2635=C2635,1,0),IF(B2635="REGION LOSS",IF(E2635=C2635,1,0),0))</f>
        <v>0</v>
      </c>
      <c r="K2635" s="15" t="n">
        <f aca="false">IF(B2635="SITE LOSS",IF(COUNTIFS('Site Dockets'!$B$7:$B$24,C2635,'Site Dockets'!$C$7:$C$24,F2635)&gt;0,1,0),IF(B2635="REGION LOSS",IF(COUNTIFS('Site Dockets'!$E$7:$E$24,C2635,'Site Dockets'!$C$7:$C$24,F2635)&gt;0,1,0),0))</f>
        <v>0</v>
      </c>
      <c r="L2635" s="15" t="n">
        <f aca="false">IF(J2635=1,0,Inputs!$B$11)</f>
        <v>100</v>
      </c>
      <c r="M2635" s="15" t="n">
        <f aca="false">IF(J2635=1,0,Inputs!$B$12)</f>
        <v>75</v>
      </c>
      <c r="N2635" s="15" t="n">
        <f aca="false">IF(J2635=1,0,IF(OR(AND(OR(B2635="SITE LOSS",B2635="REGION LOSS"),K2635=1),AND(B2635="ROLE COMPROMISE",H2635=C2635)),Inputs!$B$13,Inputs!$B$14))</f>
        <v>10</v>
      </c>
      <c r="O2635" s="15" t="n">
        <f aca="false">IF(J2635=1,0,Inputs!$B$13)</f>
        <v>20</v>
      </c>
      <c r="P2635" s="15" t="n">
        <f aca="false">SUM(M2635:N2635)</f>
        <v>85</v>
      </c>
      <c r="Q2635" s="15" t="n">
        <f aca="false">IF(J2635=1,"",L2635-P2635)</f>
        <v>15</v>
      </c>
      <c r="R2635" s="15" t="n">
        <f aca="false">IF(OR(J2635=1,M2635&lt;=Inputs!$B$12),1,0)</f>
        <v>1</v>
      </c>
      <c r="S2635" s="15" t="n">
        <f aca="false">IF(OR(J2635=1,N2635&lt;=O2635),1,0)</f>
        <v>1</v>
      </c>
      <c r="T2635" s="15" t="str">
        <f aca="false">IF(J2635=1,"OFFLINE",IF(AND(Q2635&gt;=Inputs!$B$15,R2635=1,S2635=1,P2635&lt;=L2635),"PASS","FAIL"))</f>
        <v>PASS</v>
      </c>
    </row>
    <row r="2636" customFormat="false" ht="15" hidden="false" customHeight="false" outlineLevel="0" collapsed="false">
      <c r="A2636" s="14" t="s">
        <v>1044</v>
      </c>
      <c r="B2636" s="14" t="s">
        <v>1045</v>
      </c>
      <c r="C2636" s="14" t="s">
        <v>1046</v>
      </c>
      <c r="D2636" s="14" t="s">
        <v>174</v>
      </c>
      <c r="E2636" s="14" t="s">
        <v>152</v>
      </c>
      <c r="F2636" s="14" t="s">
        <v>175</v>
      </c>
      <c r="G2636" s="14" t="n">
        <v>1</v>
      </c>
      <c r="H2636" s="14" t="s">
        <v>154</v>
      </c>
      <c r="I2636" s="14" t="s">
        <v>892</v>
      </c>
      <c r="J2636" s="15" t="n">
        <f aca="false">IF(B2636="SITE LOSS",IF(D2636=C2636,1,0),IF(B2636="REGION LOSS",IF(E2636=C2636,1,0),0))</f>
        <v>0</v>
      </c>
      <c r="K2636" s="15" t="n">
        <f aca="false">IF(B2636="SITE LOSS",IF(COUNTIFS('Site Dockets'!$B$7:$B$24,C2636,'Site Dockets'!$C$7:$C$24,F2636)&gt;0,1,0),IF(B2636="REGION LOSS",IF(COUNTIFS('Site Dockets'!$E$7:$E$24,C2636,'Site Dockets'!$C$7:$C$24,F2636)&gt;0,1,0),0))</f>
        <v>0</v>
      </c>
      <c r="L2636" s="15" t="n">
        <f aca="false">IF(J2636=1,0,Inputs!$B$11)</f>
        <v>100</v>
      </c>
      <c r="M2636" s="15" t="n">
        <f aca="false">IF(J2636=1,0,Inputs!$B$12)</f>
        <v>75</v>
      </c>
      <c r="N2636" s="15" t="n">
        <f aca="false">IF(J2636=1,0,IF(OR(AND(OR(B2636="SITE LOSS",B2636="REGION LOSS"),K2636=1),AND(B2636="ROLE COMPROMISE",H2636=C2636)),Inputs!$B$13,Inputs!$B$14))</f>
        <v>10</v>
      </c>
      <c r="O2636" s="15" t="n">
        <f aca="false">IF(J2636=1,0,Inputs!$B$13)</f>
        <v>20</v>
      </c>
      <c r="P2636" s="15" t="n">
        <f aca="false">SUM(M2636:N2636)</f>
        <v>85</v>
      </c>
      <c r="Q2636" s="15" t="n">
        <f aca="false">IF(J2636=1,"",L2636-P2636)</f>
        <v>15</v>
      </c>
      <c r="R2636" s="15" t="n">
        <f aca="false">IF(OR(J2636=1,M2636&lt;=Inputs!$B$12),1,0)</f>
        <v>1</v>
      </c>
      <c r="S2636" s="15" t="n">
        <f aca="false">IF(OR(J2636=1,N2636&lt;=O2636),1,0)</f>
        <v>1</v>
      </c>
      <c r="T2636" s="15" t="str">
        <f aca="false">IF(J2636=1,"OFFLINE",IF(AND(Q2636&gt;=Inputs!$B$15,R2636=1,S2636=1,P2636&lt;=L2636),"PASS","FAIL"))</f>
        <v>PASS</v>
      </c>
    </row>
    <row r="2637" customFormat="false" ht="15" hidden="false" customHeight="false" outlineLevel="0" collapsed="false">
      <c r="A2637" s="14" t="s">
        <v>1044</v>
      </c>
      <c r="B2637" s="14" t="s">
        <v>1045</v>
      </c>
      <c r="C2637" s="14" t="s">
        <v>1046</v>
      </c>
      <c r="D2637" s="14" t="s">
        <v>174</v>
      </c>
      <c r="E2637" s="14" t="s">
        <v>152</v>
      </c>
      <c r="F2637" s="14" t="s">
        <v>175</v>
      </c>
      <c r="G2637" s="14" t="n">
        <v>1</v>
      </c>
      <c r="H2637" s="14" t="s">
        <v>154</v>
      </c>
      <c r="I2637" s="14" t="s">
        <v>811</v>
      </c>
      <c r="J2637" s="15" t="n">
        <f aca="false">IF(B2637="SITE LOSS",IF(D2637=C2637,1,0),IF(B2637="REGION LOSS",IF(E2637=C2637,1,0),0))</f>
        <v>0</v>
      </c>
      <c r="K2637" s="15" t="n">
        <f aca="false">IF(B2637="SITE LOSS",IF(COUNTIFS('Site Dockets'!$B$7:$B$24,C2637,'Site Dockets'!$C$7:$C$24,F2637)&gt;0,1,0),IF(B2637="REGION LOSS",IF(COUNTIFS('Site Dockets'!$E$7:$E$24,C2637,'Site Dockets'!$C$7:$C$24,F2637)&gt;0,1,0),0))</f>
        <v>0</v>
      </c>
      <c r="L2637" s="15" t="n">
        <f aca="false">IF(J2637=1,0,Inputs!$B$11)</f>
        <v>100</v>
      </c>
      <c r="M2637" s="15" t="n">
        <f aca="false">IF(J2637=1,0,Inputs!$B$12)</f>
        <v>75</v>
      </c>
      <c r="N2637" s="15" t="n">
        <f aca="false">IF(J2637=1,0,IF(OR(AND(OR(B2637="SITE LOSS",B2637="REGION LOSS"),K2637=1),AND(B2637="ROLE COMPROMISE",H2637=C2637)),Inputs!$B$13,Inputs!$B$14))</f>
        <v>10</v>
      </c>
      <c r="O2637" s="15" t="n">
        <f aca="false">IF(J2637=1,0,Inputs!$B$13)</f>
        <v>20</v>
      </c>
      <c r="P2637" s="15" t="n">
        <f aca="false">SUM(M2637:N2637)</f>
        <v>85</v>
      </c>
      <c r="Q2637" s="15" t="n">
        <f aca="false">IF(J2637=1,"",L2637-P2637)</f>
        <v>15</v>
      </c>
      <c r="R2637" s="15" t="n">
        <f aca="false">IF(OR(J2637=1,M2637&lt;=Inputs!$B$12),1,0)</f>
        <v>1</v>
      </c>
      <c r="S2637" s="15" t="n">
        <f aca="false">IF(OR(J2637=1,N2637&lt;=O2637),1,0)</f>
        <v>1</v>
      </c>
      <c r="T2637" s="15" t="str">
        <f aca="false">IF(J2637=1,"OFFLINE",IF(AND(Q2637&gt;=Inputs!$B$15,R2637=1,S2637=1,P2637&lt;=L2637),"PASS","FAIL"))</f>
        <v>PASS</v>
      </c>
    </row>
    <row r="2638" customFormat="false" ht="15" hidden="false" customHeight="false" outlineLevel="0" collapsed="false">
      <c r="A2638" s="14" t="s">
        <v>1044</v>
      </c>
      <c r="B2638" s="14" t="s">
        <v>1045</v>
      </c>
      <c r="C2638" s="14" t="s">
        <v>1046</v>
      </c>
      <c r="D2638" s="14" t="s">
        <v>174</v>
      </c>
      <c r="E2638" s="14" t="s">
        <v>152</v>
      </c>
      <c r="F2638" s="14" t="s">
        <v>175</v>
      </c>
      <c r="G2638" s="14" t="n">
        <v>1</v>
      </c>
      <c r="H2638" s="14" t="s">
        <v>154</v>
      </c>
      <c r="I2638" s="14" t="s">
        <v>895</v>
      </c>
      <c r="J2638" s="15" t="n">
        <f aca="false">IF(B2638="SITE LOSS",IF(D2638=C2638,1,0),IF(B2638="REGION LOSS",IF(E2638=C2638,1,0),0))</f>
        <v>0</v>
      </c>
      <c r="K2638" s="15" t="n">
        <f aca="false">IF(B2638="SITE LOSS",IF(COUNTIFS('Site Dockets'!$B$7:$B$24,C2638,'Site Dockets'!$C$7:$C$24,F2638)&gt;0,1,0),IF(B2638="REGION LOSS",IF(COUNTIFS('Site Dockets'!$E$7:$E$24,C2638,'Site Dockets'!$C$7:$C$24,F2638)&gt;0,1,0),0))</f>
        <v>0</v>
      </c>
      <c r="L2638" s="15" t="n">
        <f aca="false">IF(J2638=1,0,Inputs!$B$11)</f>
        <v>100</v>
      </c>
      <c r="M2638" s="15" t="n">
        <f aca="false">IF(J2638=1,0,Inputs!$B$12)</f>
        <v>75</v>
      </c>
      <c r="N2638" s="15" t="n">
        <f aca="false">IF(J2638=1,0,IF(OR(AND(OR(B2638="SITE LOSS",B2638="REGION LOSS"),K2638=1),AND(B2638="ROLE COMPROMISE",H2638=C2638)),Inputs!$B$13,Inputs!$B$14))</f>
        <v>10</v>
      </c>
      <c r="O2638" s="15" t="n">
        <f aca="false">IF(J2638=1,0,Inputs!$B$13)</f>
        <v>20</v>
      </c>
      <c r="P2638" s="15" t="n">
        <f aca="false">SUM(M2638:N2638)</f>
        <v>85</v>
      </c>
      <c r="Q2638" s="15" t="n">
        <f aca="false">IF(J2638=1,"",L2638-P2638)</f>
        <v>15</v>
      </c>
      <c r="R2638" s="15" t="n">
        <f aca="false">IF(OR(J2638=1,M2638&lt;=Inputs!$B$12),1,0)</f>
        <v>1</v>
      </c>
      <c r="S2638" s="15" t="n">
        <f aca="false">IF(OR(J2638=1,N2638&lt;=O2638),1,0)</f>
        <v>1</v>
      </c>
      <c r="T2638" s="15" t="str">
        <f aca="false">IF(J2638=1,"OFFLINE",IF(AND(Q2638&gt;=Inputs!$B$15,R2638=1,S2638=1,P2638&lt;=L2638),"PASS","FAIL"))</f>
        <v>PASS</v>
      </c>
    </row>
    <row r="2639" customFormat="false" ht="15" hidden="false" customHeight="false" outlineLevel="0" collapsed="false">
      <c r="A2639" s="14" t="s">
        <v>1044</v>
      </c>
      <c r="B2639" s="14" t="s">
        <v>1045</v>
      </c>
      <c r="C2639" s="14" t="s">
        <v>1046</v>
      </c>
      <c r="D2639" s="14" t="s">
        <v>174</v>
      </c>
      <c r="E2639" s="14" t="s">
        <v>152</v>
      </c>
      <c r="F2639" s="14" t="s">
        <v>175</v>
      </c>
      <c r="G2639" s="14" t="n">
        <v>1</v>
      </c>
      <c r="H2639" s="14" t="s">
        <v>154</v>
      </c>
      <c r="I2639" s="14" t="s">
        <v>897</v>
      </c>
      <c r="J2639" s="15" t="n">
        <f aca="false">IF(B2639="SITE LOSS",IF(D2639=C2639,1,0),IF(B2639="REGION LOSS",IF(E2639=C2639,1,0),0))</f>
        <v>0</v>
      </c>
      <c r="K2639" s="15" t="n">
        <f aca="false">IF(B2639="SITE LOSS",IF(COUNTIFS('Site Dockets'!$B$7:$B$24,C2639,'Site Dockets'!$C$7:$C$24,F2639)&gt;0,1,0),IF(B2639="REGION LOSS",IF(COUNTIFS('Site Dockets'!$E$7:$E$24,C2639,'Site Dockets'!$C$7:$C$24,F2639)&gt;0,1,0),0))</f>
        <v>0</v>
      </c>
      <c r="L2639" s="15" t="n">
        <f aca="false">IF(J2639=1,0,Inputs!$B$11)</f>
        <v>100</v>
      </c>
      <c r="M2639" s="15" t="n">
        <f aca="false">IF(J2639=1,0,Inputs!$B$12)</f>
        <v>75</v>
      </c>
      <c r="N2639" s="15" t="n">
        <f aca="false">IF(J2639=1,0,IF(OR(AND(OR(B2639="SITE LOSS",B2639="REGION LOSS"),K2639=1),AND(B2639="ROLE COMPROMISE",H2639=C2639)),Inputs!$B$13,Inputs!$B$14))</f>
        <v>10</v>
      </c>
      <c r="O2639" s="15" t="n">
        <f aca="false">IF(J2639=1,0,Inputs!$B$13)</f>
        <v>20</v>
      </c>
      <c r="P2639" s="15" t="n">
        <f aca="false">SUM(M2639:N2639)</f>
        <v>85</v>
      </c>
      <c r="Q2639" s="15" t="n">
        <f aca="false">IF(J2639=1,"",L2639-P2639)</f>
        <v>15</v>
      </c>
      <c r="R2639" s="15" t="n">
        <f aca="false">IF(OR(J2639=1,M2639&lt;=Inputs!$B$12),1,0)</f>
        <v>1</v>
      </c>
      <c r="S2639" s="15" t="n">
        <f aca="false">IF(OR(J2639=1,N2639&lt;=O2639),1,0)</f>
        <v>1</v>
      </c>
      <c r="T2639" s="15" t="str">
        <f aca="false">IF(J2639=1,"OFFLINE",IF(AND(Q2639&gt;=Inputs!$B$15,R2639=1,S2639=1,P2639&lt;=L2639),"PASS","FAIL"))</f>
        <v>PASS</v>
      </c>
    </row>
    <row r="2640" customFormat="false" ht="15" hidden="false" customHeight="false" outlineLevel="0" collapsed="false">
      <c r="A2640" s="14" t="s">
        <v>1044</v>
      </c>
      <c r="B2640" s="14" t="s">
        <v>1045</v>
      </c>
      <c r="C2640" s="14" t="s">
        <v>1046</v>
      </c>
      <c r="D2640" s="14" t="s">
        <v>174</v>
      </c>
      <c r="E2640" s="14" t="s">
        <v>152</v>
      </c>
      <c r="F2640" s="14" t="s">
        <v>175</v>
      </c>
      <c r="G2640" s="14" t="n">
        <v>1</v>
      </c>
      <c r="H2640" s="14" t="s">
        <v>154</v>
      </c>
      <c r="I2640" s="14" t="s">
        <v>899</v>
      </c>
      <c r="J2640" s="15" t="n">
        <f aca="false">IF(B2640="SITE LOSS",IF(D2640=C2640,1,0),IF(B2640="REGION LOSS",IF(E2640=C2640,1,0),0))</f>
        <v>0</v>
      </c>
      <c r="K2640" s="15" t="n">
        <f aca="false">IF(B2640="SITE LOSS",IF(COUNTIFS('Site Dockets'!$B$7:$B$24,C2640,'Site Dockets'!$C$7:$C$24,F2640)&gt;0,1,0),IF(B2640="REGION LOSS",IF(COUNTIFS('Site Dockets'!$E$7:$E$24,C2640,'Site Dockets'!$C$7:$C$24,F2640)&gt;0,1,0),0))</f>
        <v>0</v>
      </c>
      <c r="L2640" s="15" t="n">
        <f aca="false">IF(J2640=1,0,Inputs!$B$11)</f>
        <v>100</v>
      </c>
      <c r="M2640" s="15" t="n">
        <f aca="false">IF(J2640=1,0,Inputs!$B$12)</f>
        <v>75</v>
      </c>
      <c r="N2640" s="15" t="n">
        <f aca="false">IF(J2640=1,0,IF(OR(AND(OR(B2640="SITE LOSS",B2640="REGION LOSS"),K2640=1),AND(B2640="ROLE COMPROMISE",H2640=C2640)),Inputs!$B$13,Inputs!$B$14))</f>
        <v>10</v>
      </c>
      <c r="O2640" s="15" t="n">
        <f aca="false">IF(J2640=1,0,Inputs!$B$13)</f>
        <v>20</v>
      </c>
      <c r="P2640" s="15" t="n">
        <f aca="false">SUM(M2640:N2640)</f>
        <v>85</v>
      </c>
      <c r="Q2640" s="15" t="n">
        <f aca="false">IF(J2640=1,"",L2640-P2640)</f>
        <v>15</v>
      </c>
      <c r="R2640" s="15" t="n">
        <f aca="false">IF(OR(J2640=1,M2640&lt;=Inputs!$B$12),1,0)</f>
        <v>1</v>
      </c>
      <c r="S2640" s="15" t="n">
        <f aca="false">IF(OR(J2640=1,N2640&lt;=O2640),1,0)</f>
        <v>1</v>
      </c>
      <c r="T2640" s="15" t="str">
        <f aca="false">IF(J2640=1,"OFFLINE",IF(AND(Q2640&gt;=Inputs!$B$15,R2640=1,S2640=1,P2640&lt;=L2640),"PASS","FAIL"))</f>
        <v>PASS</v>
      </c>
    </row>
    <row r="2641" customFormat="false" ht="15" hidden="false" customHeight="false" outlineLevel="0" collapsed="false">
      <c r="A2641" s="14" t="s">
        <v>1044</v>
      </c>
      <c r="B2641" s="14" t="s">
        <v>1045</v>
      </c>
      <c r="C2641" s="14" t="s">
        <v>1046</v>
      </c>
      <c r="D2641" s="14" t="s">
        <v>178</v>
      </c>
      <c r="E2641" s="14" t="s">
        <v>169</v>
      </c>
      <c r="F2641" s="14" t="s">
        <v>175</v>
      </c>
      <c r="G2641" s="14" t="n">
        <v>2</v>
      </c>
      <c r="H2641" s="14" t="s">
        <v>153</v>
      </c>
      <c r="I2641" s="14" t="s">
        <v>890</v>
      </c>
      <c r="J2641" s="15" t="n">
        <f aca="false">IF(B2641="SITE LOSS",IF(D2641=C2641,1,0),IF(B2641="REGION LOSS",IF(E2641=C2641,1,0),0))</f>
        <v>0</v>
      </c>
      <c r="K2641" s="15" t="n">
        <f aca="false">IF(B2641="SITE LOSS",IF(COUNTIFS('Site Dockets'!$B$7:$B$24,C2641,'Site Dockets'!$C$7:$C$24,F2641)&gt;0,1,0),IF(B2641="REGION LOSS",IF(COUNTIFS('Site Dockets'!$E$7:$E$24,C2641,'Site Dockets'!$C$7:$C$24,F2641)&gt;0,1,0),0))</f>
        <v>0</v>
      </c>
      <c r="L2641" s="15" t="n">
        <f aca="false">IF(J2641=1,0,Inputs!$B$11)</f>
        <v>100</v>
      </c>
      <c r="M2641" s="15" t="n">
        <f aca="false">IF(J2641=1,0,Inputs!$B$12)</f>
        <v>75</v>
      </c>
      <c r="N2641" s="15" t="n">
        <f aca="false">IF(J2641=1,0,IF(OR(AND(OR(B2641="SITE LOSS",B2641="REGION LOSS"),K2641=1),AND(B2641="ROLE COMPROMISE",H2641=C2641)),Inputs!$B$13,Inputs!$B$14))</f>
        <v>10</v>
      </c>
      <c r="O2641" s="15" t="n">
        <f aca="false">IF(J2641=1,0,Inputs!$B$13)</f>
        <v>20</v>
      </c>
      <c r="P2641" s="15" t="n">
        <f aca="false">SUM(M2641:N2641)</f>
        <v>85</v>
      </c>
      <c r="Q2641" s="15" t="n">
        <f aca="false">IF(J2641=1,"",L2641-P2641)</f>
        <v>15</v>
      </c>
      <c r="R2641" s="15" t="n">
        <f aca="false">IF(OR(J2641=1,M2641&lt;=Inputs!$B$12),1,0)</f>
        <v>1</v>
      </c>
      <c r="S2641" s="15" t="n">
        <f aca="false">IF(OR(J2641=1,N2641&lt;=O2641),1,0)</f>
        <v>1</v>
      </c>
      <c r="T2641" s="15" t="str">
        <f aca="false">IF(J2641=1,"OFFLINE",IF(AND(Q2641&gt;=Inputs!$B$15,R2641=1,S2641=1,P2641&lt;=L2641),"PASS","FAIL"))</f>
        <v>PASS</v>
      </c>
    </row>
    <row r="2642" customFormat="false" ht="15" hidden="false" customHeight="false" outlineLevel="0" collapsed="false">
      <c r="A2642" s="14" t="s">
        <v>1044</v>
      </c>
      <c r="B2642" s="14" t="s">
        <v>1045</v>
      </c>
      <c r="C2642" s="14" t="s">
        <v>1046</v>
      </c>
      <c r="D2642" s="14" t="s">
        <v>178</v>
      </c>
      <c r="E2642" s="14" t="s">
        <v>169</v>
      </c>
      <c r="F2642" s="14" t="s">
        <v>175</v>
      </c>
      <c r="G2642" s="14" t="n">
        <v>2</v>
      </c>
      <c r="H2642" s="14" t="s">
        <v>153</v>
      </c>
      <c r="I2642" s="14" t="s">
        <v>892</v>
      </c>
      <c r="J2642" s="15" t="n">
        <f aca="false">IF(B2642="SITE LOSS",IF(D2642=C2642,1,0),IF(B2642="REGION LOSS",IF(E2642=C2642,1,0),0))</f>
        <v>0</v>
      </c>
      <c r="K2642" s="15" t="n">
        <f aca="false">IF(B2642="SITE LOSS",IF(COUNTIFS('Site Dockets'!$B$7:$B$24,C2642,'Site Dockets'!$C$7:$C$24,F2642)&gt;0,1,0),IF(B2642="REGION LOSS",IF(COUNTIFS('Site Dockets'!$E$7:$E$24,C2642,'Site Dockets'!$C$7:$C$24,F2642)&gt;0,1,0),0))</f>
        <v>0</v>
      </c>
      <c r="L2642" s="15" t="n">
        <f aca="false">IF(J2642=1,0,Inputs!$B$11)</f>
        <v>100</v>
      </c>
      <c r="M2642" s="15" t="n">
        <f aca="false">IF(J2642=1,0,Inputs!$B$12)</f>
        <v>75</v>
      </c>
      <c r="N2642" s="15" t="n">
        <f aca="false">IF(J2642=1,0,IF(OR(AND(OR(B2642="SITE LOSS",B2642="REGION LOSS"),K2642=1),AND(B2642="ROLE COMPROMISE",H2642=C2642)),Inputs!$B$13,Inputs!$B$14))</f>
        <v>10</v>
      </c>
      <c r="O2642" s="15" t="n">
        <f aca="false">IF(J2642=1,0,Inputs!$B$13)</f>
        <v>20</v>
      </c>
      <c r="P2642" s="15" t="n">
        <f aca="false">SUM(M2642:N2642)</f>
        <v>85</v>
      </c>
      <c r="Q2642" s="15" t="n">
        <f aca="false">IF(J2642=1,"",L2642-P2642)</f>
        <v>15</v>
      </c>
      <c r="R2642" s="15" t="n">
        <f aca="false">IF(OR(J2642=1,M2642&lt;=Inputs!$B$12),1,0)</f>
        <v>1</v>
      </c>
      <c r="S2642" s="15" t="n">
        <f aca="false">IF(OR(J2642=1,N2642&lt;=O2642),1,0)</f>
        <v>1</v>
      </c>
      <c r="T2642" s="15" t="str">
        <f aca="false">IF(J2642=1,"OFFLINE",IF(AND(Q2642&gt;=Inputs!$B$15,R2642=1,S2642=1,P2642&lt;=L2642),"PASS","FAIL"))</f>
        <v>PASS</v>
      </c>
    </row>
    <row r="2643" customFormat="false" ht="15" hidden="false" customHeight="false" outlineLevel="0" collapsed="false">
      <c r="A2643" s="14" t="s">
        <v>1044</v>
      </c>
      <c r="B2643" s="14" t="s">
        <v>1045</v>
      </c>
      <c r="C2643" s="14" t="s">
        <v>1046</v>
      </c>
      <c r="D2643" s="14" t="s">
        <v>178</v>
      </c>
      <c r="E2643" s="14" t="s">
        <v>169</v>
      </c>
      <c r="F2643" s="14" t="s">
        <v>175</v>
      </c>
      <c r="G2643" s="14" t="n">
        <v>2</v>
      </c>
      <c r="H2643" s="14" t="s">
        <v>153</v>
      </c>
      <c r="I2643" s="14" t="s">
        <v>811</v>
      </c>
      <c r="J2643" s="15" t="n">
        <f aca="false">IF(B2643="SITE LOSS",IF(D2643=C2643,1,0),IF(B2643="REGION LOSS",IF(E2643=C2643,1,0),0))</f>
        <v>0</v>
      </c>
      <c r="K2643" s="15" t="n">
        <f aca="false">IF(B2643="SITE LOSS",IF(COUNTIFS('Site Dockets'!$B$7:$B$24,C2643,'Site Dockets'!$C$7:$C$24,F2643)&gt;0,1,0),IF(B2643="REGION LOSS",IF(COUNTIFS('Site Dockets'!$E$7:$E$24,C2643,'Site Dockets'!$C$7:$C$24,F2643)&gt;0,1,0),0))</f>
        <v>0</v>
      </c>
      <c r="L2643" s="15" t="n">
        <f aca="false">IF(J2643=1,0,Inputs!$B$11)</f>
        <v>100</v>
      </c>
      <c r="M2643" s="15" t="n">
        <f aca="false">IF(J2643=1,0,Inputs!$B$12)</f>
        <v>75</v>
      </c>
      <c r="N2643" s="15" t="n">
        <f aca="false">IF(J2643=1,0,IF(OR(AND(OR(B2643="SITE LOSS",B2643="REGION LOSS"),K2643=1),AND(B2643="ROLE COMPROMISE",H2643=C2643)),Inputs!$B$13,Inputs!$B$14))</f>
        <v>10</v>
      </c>
      <c r="O2643" s="15" t="n">
        <f aca="false">IF(J2643=1,0,Inputs!$B$13)</f>
        <v>20</v>
      </c>
      <c r="P2643" s="15" t="n">
        <f aca="false">SUM(M2643:N2643)</f>
        <v>85</v>
      </c>
      <c r="Q2643" s="15" t="n">
        <f aca="false">IF(J2643=1,"",L2643-P2643)</f>
        <v>15</v>
      </c>
      <c r="R2643" s="15" t="n">
        <f aca="false">IF(OR(J2643=1,M2643&lt;=Inputs!$B$12),1,0)</f>
        <v>1</v>
      </c>
      <c r="S2643" s="15" t="n">
        <f aca="false">IF(OR(J2643=1,N2643&lt;=O2643),1,0)</f>
        <v>1</v>
      </c>
      <c r="T2643" s="15" t="str">
        <f aca="false">IF(J2643=1,"OFFLINE",IF(AND(Q2643&gt;=Inputs!$B$15,R2643=1,S2643=1,P2643&lt;=L2643),"PASS","FAIL"))</f>
        <v>PASS</v>
      </c>
    </row>
    <row r="2644" customFormat="false" ht="15" hidden="false" customHeight="false" outlineLevel="0" collapsed="false">
      <c r="A2644" s="14" t="s">
        <v>1044</v>
      </c>
      <c r="B2644" s="14" t="s">
        <v>1045</v>
      </c>
      <c r="C2644" s="14" t="s">
        <v>1046</v>
      </c>
      <c r="D2644" s="14" t="s">
        <v>178</v>
      </c>
      <c r="E2644" s="14" t="s">
        <v>169</v>
      </c>
      <c r="F2644" s="14" t="s">
        <v>175</v>
      </c>
      <c r="G2644" s="14" t="n">
        <v>2</v>
      </c>
      <c r="H2644" s="14" t="s">
        <v>153</v>
      </c>
      <c r="I2644" s="14" t="s">
        <v>895</v>
      </c>
      <c r="J2644" s="15" t="n">
        <f aca="false">IF(B2644="SITE LOSS",IF(D2644=C2644,1,0),IF(B2644="REGION LOSS",IF(E2644=C2644,1,0),0))</f>
        <v>0</v>
      </c>
      <c r="K2644" s="15" t="n">
        <f aca="false">IF(B2644="SITE LOSS",IF(COUNTIFS('Site Dockets'!$B$7:$B$24,C2644,'Site Dockets'!$C$7:$C$24,F2644)&gt;0,1,0),IF(B2644="REGION LOSS",IF(COUNTIFS('Site Dockets'!$E$7:$E$24,C2644,'Site Dockets'!$C$7:$C$24,F2644)&gt;0,1,0),0))</f>
        <v>0</v>
      </c>
      <c r="L2644" s="15" t="n">
        <f aca="false">IF(J2644=1,0,Inputs!$B$11)</f>
        <v>100</v>
      </c>
      <c r="M2644" s="15" t="n">
        <f aca="false">IF(J2644=1,0,Inputs!$B$12)</f>
        <v>75</v>
      </c>
      <c r="N2644" s="15" t="n">
        <f aca="false">IF(J2644=1,0,IF(OR(AND(OR(B2644="SITE LOSS",B2644="REGION LOSS"),K2644=1),AND(B2644="ROLE COMPROMISE",H2644=C2644)),Inputs!$B$13,Inputs!$B$14))</f>
        <v>10</v>
      </c>
      <c r="O2644" s="15" t="n">
        <f aca="false">IF(J2644=1,0,Inputs!$B$13)</f>
        <v>20</v>
      </c>
      <c r="P2644" s="15" t="n">
        <f aca="false">SUM(M2644:N2644)</f>
        <v>85</v>
      </c>
      <c r="Q2644" s="15" t="n">
        <f aca="false">IF(J2644=1,"",L2644-P2644)</f>
        <v>15</v>
      </c>
      <c r="R2644" s="15" t="n">
        <f aca="false">IF(OR(J2644=1,M2644&lt;=Inputs!$B$12),1,0)</f>
        <v>1</v>
      </c>
      <c r="S2644" s="15" t="n">
        <f aca="false">IF(OR(J2644=1,N2644&lt;=O2644),1,0)</f>
        <v>1</v>
      </c>
      <c r="T2644" s="15" t="str">
        <f aca="false">IF(J2644=1,"OFFLINE",IF(AND(Q2644&gt;=Inputs!$B$15,R2644=1,S2644=1,P2644&lt;=L2644),"PASS","FAIL"))</f>
        <v>PASS</v>
      </c>
    </row>
    <row r="2645" customFormat="false" ht="15" hidden="false" customHeight="false" outlineLevel="0" collapsed="false">
      <c r="A2645" s="14" t="s">
        <v>1044</v>
      </c>
      <c r="B2645" s="14" t="s">
        <v>1045</v>
      </c>
      <c r="C2645" s="14" t="s">
        <v>1046</v>
      </c>
      <c r="D2645" s="14" t="s">
        <v>178</v>
      </c>
      <c r="E2645" s="14" t="s">
        <v>169</v>
      </c>
      <c r="F2645" s="14" t="s">
        <v>175</v>
      </c>
      <c r="G2645" s="14" t="n">
        <v>2</v>
      </c>
      <c r="H2645" s="14" t="s">
        <v>153</v>
      </c>
      <c r="I2645" s="14" t="s">
        <v>897</v>
      </c>
      <c r="J2645" s="15" t="n">
        <f aca="false">IF(B2645="SITE LOSS",IF(D2645=C2645,1,0),IF(B2645="REGION LOSS",IF(E2645=C2645,1,0),0))</f>
        <v>0</v>
      </c>
      <c r="K2645" s="15" t="n">
        <f aca="false">IF(B2645="SITE LOSS",IF(COUNTIFS('Site Dockets'!$B$7:$B$24,C2645,'Site Dockets'!$C$7:$C$24,F2645)&gt;0,1,0),IF(B2645="REGION LOSS",IF(COUNTIFS('Site Dockets'!$E$7:$E$24,C2645,'Site Dockets'!$C$7:$C$24,F2645)&gt;0,1,0),0))</f>
        <v>0</v>
      </c>
      <c r="L2645" s="15" t="n">
        <f aca="false">IF(J2645=1,0,Inputs!$B$11)</f>
        <v>100</v>
      </c>
      <c r="M2645" s="15" t="n">
        <f aca="false">IF(J2645=1,0,Inputs!$B$12)</f>
        <v>75</v>
      </c>
      <c r="N2645" s="15" t="n">
        <f aca="false">IF(J2645=1,0,IF(OR(AND(OR(B2645="SITE LOSS",B2645="REGION LOSS"),K2645=1),AND(B2645="ROLE COMPROMISE",H2645=C2645)),Inputs!$B$13,Inputs!$B$14))</f>
        <v>10</v>
      </c>
      <c r="O2645" s="15" t="n">
        <f aca="false">IF(J2645=1,0,Inputs!$B$13)</f>
        <v>20</v>
      </c>
      <c r="P2645" s="15" t="n">
        <f aca="false">SUM(M2645:N2645)</f>
        <v>85</v>
      </c>
      <c r="Q2645" s="15" t="n">
        <f aca="false">IF(J2645=1,"",L2645-P2645)</f>
        <v>15</v>
      </c>
      <c r="R2645" s="15" t="n">
        <f aca="false">IF(OR(J2645=1,M2645&lt;=Inputs!$B$12),1,0)</f>
        <v>1</v>
      </c>
      <c r="S2645" s="15" t="n">
        <f aca="false">IF(OR(J2645=1,N2645&lt;=O2645),1,0)</f>
        <v>1</v>
      </c>
      <c r="T2645" s="15" t="str">
        <f aca="false">IF(J2645=1,"OFFLINE",IF(AND(Q2645&gt;=Inputs!$B$15,R2645=1,S2645=1,P2645&lt;=L2645),"PASS","FAIL"))</f>
        <v>PASS</v>
      </c>
    </row>
    <row r="2646" customFormat="false" ht="15" hidden="false" customHeight="false" outlineLevel="0" collapsed="false">
      <c r="A2646" s="14" t="s">
        <v>1044</v>
      </c>
      <c r="B2646" s="14" t="s">
        <v>1045</v>
      </c>
      <c r="C2646" s="14" t="s">
        <v>1046</v>
      </c>
      <c r="D2646" s="14" t="s">
        <v>178</v>
      </c>
      <c r="E2646" s="14" t="s">
        <v>169</v>
      </c>
      <c r="F2646" s="14" t="s">
        <v>175</v>
      </c>
      <c r="G2646" s="14" t="n">
        <v>2</v>
      </c>
      <c r="H2646" s="14" t="s">
        <v>153</v>
      </c>
      <c r="I2646" s="14" t="s">
        <v>899</v>
      </c>
      <c r="J2646" s="15" t="n">
        <f aca="false">IF(B2646="SITE LOSS",IF(D2646=C2646,1,0),IF(B2646="REGION LOSS",IF(E2646=C2646,1,0),0))</f>
        <v>0</v>
      </c>
      <c r="K2646" s="15" t="n">
        <f aca="false">IF(B2646="SITE LOSS",IF(COUNTIFS('Site Dockets'!$B$7:$B$24,C2646,'Site Dockets'!$C$7:$C$24,F2646)&gt;0,1,0),IF(B2646="REGION LOSS",IF(COUNTIFS('Site Dockets'!$E$7:$E$24,C2646,'Site Dockets'!$C$7:$C$24,F2646)&gt;0,1,0),0))</f>
        <v>0</v>
      </c>
      <c r="L2646" s="15" t="n">
        <f aca="false">IF(J2646=1,0,Inputs!$B$11)</f>
        <v>100</v>
      </c>
      <c r="M2646" s="15" t="n">
        <f aca="false">IF(J2646=1,0,Inputs!$B$12)</f>
        <v>75</v>
      </c>
      <c r="N2646" s="15" t="n">
        <f aca="false">IF(J2646=1,0,IF(OR(AND(OR(B2646="SITE LOSS",B2646="REGION LOSS"),K2646=1),AND(B2646="ROLE COMPROMISE",H2646=C2646)),Inputs!$B$13,Inputs!$B$14))</f>
        <v>10</v>
      </c>
      <c r="O2646" s="15" t="n">
        <f aca="false">IF(J2646=1,0,Inputs!$B$13)</f>
        <v>20</v>
      </c>
      <c r="P2646" s="15" t="n">
        <f aca="false">SUM(M2646:N2646)</f>
        <v>85</v>
      </c>
      <c r="Q2646" s="15" t="n">
        <f aca="false">IF(J2646=1,"",L2646-P2646)</f>
        <v>15</v>
      </c>
      <c r="R2646" s="15" t="n">
        <f aca="false">IF(OR(J2646=1,M2646&lt;=Inputs!$B$12),1,0)</f>
        <v>1</v>
      </c>
      <c r="S2646" s="15" t="n">
        <f aca="false">IF(OR(J2646=1,N2646&lt;=O2646),1,0)</f>
        <v>1</v>
      </c>
      <c r="T2646" s="15" t="str">
        <f aca="false">IF(J2646=1,"OFFLINE",IF(AND(Q2646&gt;=Inputs!$B$15,R2646=1,S2646=1,P2646&lt;=L2646),"PASS","FAIL"))</f>
        <v>PASS</v>
      </c>
    </row>
    <row r="2647" customFormat="false" ht="15" hidden="false" customHeight="false" outlineLevel="0" collapsed="false">
      <c r="A2647" s="14" t="s">
        <v>1044</v>
      </c>
      <c r="B2647" s="14" t="s">
        <v>1045</v>
      </c>
      <c r="C2647" s="14" t="s">
        <v>1046</v>
      </c>
      <c r="D2647" s="14" t="s">
        <v>180</v>
      </c>
      <c r="E2647" s="14" t="s">
        <v>161</v>
      </c>
      <c r="F2647" s="14" t="s">
        <v>175</v>
      </c>
      <c r="G2647" s="14" t="n">
        <v>3</v>
      </c>
      <c r="H2647" s="14" t="s">
        <v>158</v>
      </c>
      <c r="I2647" s="14" t="s">
        <v>890</v>
      </c>
      <c r="J2647" s="15" t="n">
        <f aca="false">IF(B2647="SITE LOSS",IF(D2647=C2647,1,0),IF(B2647="REGION LOSS",IF(E2647=C2647,1,0),0))</f>
        <v>0</v>
      </c>
      <c r="K2647" s="15" t="n">
        <f aca="false">IF(B2647="SITE LOSS",IF(COUNTIFS('Site Dockets'!$B$7:$B$24,C2647,'Site Dockets'!$C$7:$C$24,F2647)&gt;0,1,0),IF(B2647="REGION LOSS",IF(COUNTIFS('Site Dockets'!$E$7:$E$24,C2647,'Site Dockets'!$C$7:$C$24,F2647)&gt;0,1,0),0))</f>
        <v>0</v>
      </c>
      <c r="L2647" s="15" t="n">
        <f aca="false">IF(J2647=1,0,Inputs!$B$11)</f>
        <v>100</v>
      </c>
      <c r="M2647" s="15" t="n">
        <f aca="false">IF(J2647=1,0,Inputs!$B$12)</f>
        <v>75</v>
      </c>
      <c r="N2647" s="15" t="n">
        <f aca="false">IF(J2647=1,0,IF(OR(AND(OR(B2647="SITE LOSS",B2647="REGION LOSS"),K2647=1),AND(B2647="ROLE COMPROMISE",H2647=C2647)),Inputs!$B$13,Inputs!$B$14))</f>
        <v>10</v>
      </c>
      <c r="O2647" s="15" t="n">
        <f aca="false">IF(J2647=1,0,Inputs!$B$13)</f>
        <v>20</v>
      </c>
      <c r="P2647" s="15" t="n">
        <f aca="false">SUM(M2647:N2647)</f>
        <v>85</v>
      </c>
      <c r="Q2647" s="15" t="n">
        <f aca="false">IF(J2647=1,"",L2647-P2647)</f>
        <v>15</v>
      </c>
      <c r="R2647" s="15" t="n">
        <f aca="false">IF(OR(J2647=1,M2647&lt;=Inputs!$B$12),1,0)</f>
        <v>1</v>
      </c>
      <c r="S2647" s="15" t="n">
        <f aca="false">IF(OR(J2647=1,N2647&lt;=O2647),1,0)</f>
        <v>1</v>
      </c>
      <c r="T2647" s="15" t="str">
        <f aca="false">IF(J2647=1,"OFFLINE",IF(AND(Q2647&gt;=Inputs!$B$15,R2647=1,S2647=1,P2647&lt;=L2647),"PASS","FAIL"))</f>
        <v>PASS</v>
      </c>
    </row>
    <row r="2648" customFormat="false" ht="15" hidden="false" customHeight="false" outlineLevel="0" collapsed="false">
      <c r="A2648" s="14" t="s">
        <v>1044</v>
      </c>
      <c r="B2648" s="14" t="s">
        <v>1045</v>
      </c>
      <c r="C2648" s="14" t="s">
        <v>1046</v>
      </c>
      <c r="D2648" s="14" t="s">
        <v>180</v>
      </c>
      <c r="E2648" s="14" t="s">
        <v>161</v>
      </c>
      <c r="F2648" s="14" t="s">
        <v>175</v>
      </c>
      <c r="G2648" s="14" t="n">
        <v>3</v>
      </c>
      <c r="H2648" s="14" t="s">
        <v>158</v>
      </c>
      <c r="I2648" s="14" t="s">
        <v>892</v>
      </c>
      <c r="J2648" s="15" t="n">
        <f aca="false">IF(B2648="SITE LOSS",IF(D2648=C2648,1,0),IF(B2648="REGION LOSS",IF(E2648=C2648,1,0),0))</f>
        <v>0</v>
      </c>
      <c r="K2648" s="15" t="n">
        <f aca="false">IF(B2648="SITE LOSS",IF(COUNTIFS('Site Dockets'!$B$7:$B$24,C2648,'Site Dockets'!$C$7:$C$24,F2648)&gt;0,1,0),IF(B2648="REGION LOSS",IF(COUNTIFS('Site Dockets'!$E$7:$E$24,C2648,'Site Dockets'!$C$7:$C$24,F2648)&gt;0,1,0),0))</f>
        <v>0</v>
      </c>
      <c r="L2648" s="15" t="n">
        <f aca="false">IF(J2648=1,0,Inputs!$B$11)</f>
        <v>100</v>
      </c>
      <c r="M2648" s="15" t="n">
        <f aca="false">IF(J2648=1,0,Inputs!$B$12)</f>
        <v>75</v>
      </c>
      <c r="N2648" s="15" t="n">
        <f aca="false">IF(J2648=1,0,IF(OR(AND(OR(B2648="SITE LOSS",B2648="REGION LOSS"),K2648=1),AND(B2648="ROLE COMPROMISE",H2648=C2648)),Inputs!$B$13,Inputs!$B$14))</f>
        <v>10</v>
      </c>
      <c r="O2648" s="15" t="n">
        <f aca="false">IF(J2648=1,0,Inputs!$B$13)</f>
        <v>20</v>
      </c>
      <c r="P2648" s="15" t="n">
        <f aca="false">SUM(M2648:N2648)</f>
        <v>85</v>
      </c>
      <c r="Q2648" s="15" t="n">
        <f aca="false">IF(J2648=1,"",L2648-P2648)</f>
        <v>15</v>
      </c>
      <c r="R2648" s="15" t="n">
        <f aca="false">IF(OR(J2648=1,M2648&lt;=Inputs!$B$12),1,0)</f>
        <v>1</v>
      </c>
      <c r="S2648" s="15" t="n">
        <f aca="false">IF(OR(J2648=1,N2648&lt;=O2648),1,0)</f>
        <v>1</v>
      </c>
      <c r="T2648" s="15" t="str">
        <f aca="false">IF(J2648=1,"OFFLINE",IF(AND(Q2648&gt;=Inputs!$B$15,R2648=1,S2648=1,P2648&lt;=L2648),"PASS","FAIL"))</f>
        <v>PASS</v>
      </c>
    </row>
    <row r="2649" customFormat="false" ht="15" hidden="false" customHeight="false" outlineLevel="0" collapsed="false">
      <c r="A2649" s="14" t="s">
        <v>1044</v>
      </c>
      <c r="B2649" s="14" t="s">
        <v>1045</v>
      </c>
      <c r="C2649" s="14" t="s">
        <v>1046</v>
      </c>
      <c r="D2649" s="14" t="s">
        <v>180</v>
      </c>
      <c r="E2649" s="14" t="s">
        <v>161</v>
      </c>
      <c r="F2649" s="14" t="s">
        <v>175</v>
      </c>
      <c r="G2649" s="14" t="n">
        <v>3</v>
      </c>
      <c r="H2649" s="14" t="s">
        <v>158</v>
      </c>
      <c r="I2649" s="14" t="s">
        <v>811</v>
      </c>
      <c r="J2649" s="15" t="n">
        <f aca="false">IF(B2649="SITE LOSS",IF(D2649=C2649,1,0),IF(B2649="REGION LOSS",IF(E2649=C2649,1,0),0))</f>
        <v>0</v>
      </c>
      <c r="K2649" s="15" t="n">
        <f aca="false">IF(B2649="SITE LOSS",IF(COUNTIFS('Site Dockets'!$B$7:$B$24,C2649,'Site Dockets'!$C$7:$C$24,F2649)&gt;0,1,0),IF(B2649="REGION LOSS",IF(COUNTIFS('Site Dockets'!$E$7:$E$24,C2649,'Site Dockets'!$C$7:$C$24,F2649)&gt;0,1,0),0))</f>
        <v>0</v>
      </c>
      <c r="L2649" s="15" t="n">
        <f aca="false">IF(J2649=1,0,Inputs!$B$11)</f>
        <v>100</v>
      </c>
      <c r="M2649" s="15" t="n">
        <f aca="false">IF(J2649=1,0,Inputs!$B$12)</f>
        <v>75</v>
      </c>
      <c r="N2649" s="15" t="n">
        <f aca="false">IF(J2649=1,0,IF(OR(AND(OR(B2649="SITE LOSS",B2649="REGION LOSS"),K2649=1),AND(B2649="ROLE COMPROMISE",H2649=C2649)),Inputs!$B$13,Inputs!$B$14))</f>
        <v>10</v>
      </c>
      <c r="O2649" s="15" t="n">
        <f aca="false">IF(J2649=1,0,Inputs!$B$13)</f>
        <v>20</v>
      </c>
      <c r="P2649" s="15" t="n">
        <f aca="false">SUM(M2649:N2649)</f>
        <v>85</v>
      </c>
      <c r="Q2649" s="15" t="n">
        <f aca="false">IF(J2649=1,"",L2649-P2649)</f>
        <v>15</v>
      </c>
      <c r="R2649" s="15" t="n">
        <f aca="false">IF(OR(J2649=1,M2649&lt;=Inputs!$B$12),1,0)</f>
        <v>1</v>
      </c>
      <c r="S2649" s="15" t="n">
        <f aca="false">IF(OR(J2649=1,N2649&lt;=O2649),1,0)</f>
        <v>1</v>
      </c>
      <c r="T2649" s="15" t="str">
        <f aca="false">IF(J2649=1,"OFFLINE",IF(AND(Q2649&gt;=Inputs!$B$15,R2649=1,S2649=1,P2649&lt;=L2649),"PASS","FAIL"))</f>
        <v>PASS</v>
      </c>
    </row>
    <row r="2650" customFormat="false" ht="15" hidden="false" customHeight="false" outlineLevel="0" collapsed="false">
      <c r="A2650" s="14" t="s">
        <v>1044</v>
      </c>
      <c r="B2650" s="14" t="s">
        <v>1045</v>
      </c>
      <c r="C2650" s="14" t="s">
        <v>1046</v>
      </c>
      <c r="D2650" s="14" t="s">
        <v>180</v>
      </c>
      <c r="E2650" s="14" t="s">
        <v>161</v>
      </c>
      <c r="F2650" s="14" t="s">
        <v>175</v>
      </c>
      <c r="G2650" s="14" t="n">
        <v>3</v>
      </c>
      <c r="H2650" s="14" t="s">
        <v>158</v>
      </c>
      <c r="I2650" s="14" t="s">
        <v>895</v>
      </c>
      <c r="J2650" s="15" t="n">
        <f aca="false">IF(B2650="SITE LOSS",IF(D2650=C2650,1,0),IF(B2650="REGION LOSS",IF(E2650=C2650,1,0),0))</f>
        <v>0</v>
      </c>
      <c r="K2650" s="15" t="n">
        <f aca="false">IF(B2650="SITE LOSS",IF(COUNTIFS('Site Dockets'!$B$7:$B$24,C2650,'Site Dockets'!$C$7:$C$24,F2650)&gt;0,1,0),IF(B2650="REGION LOSS",IF(COUNTIFS('Site Dockets'!$E$7:$E$24,C2650,'Site Dockets'!$C$7:$C$24,F2650)&gt;0,1,0),0))</f>
        <v>0</v>
      </c>
      <c r="L2650" s="15" t="n">
        <f aca="false">IF(J2650=1,0,Inputs!$B$11)</f>
        <v>100</v>
      </c>
      <c r="M2650" s="15" t="n">
        <f aca="false">IF(J2650=1,0,Inputs!$B$12)</f>
        <v>75</v>
      </c>
      <c r="N2650" s="15" t="n">
        <f aca="false">IF(J2650=1,0,IF(OR(AND(OR(B2650="SITE LOSS",B2650="REGION LOSS"),K2650=1),AND(B2650="ROLE COMPROMISE",H2650=C2650)),Inputs!$B$13,Inputs!$B$14))</f>
        <v>10</v>
      </c>
      <c r="O2650" s="15" t="n">
        <f aca="false">IF(J2650=1,0,Inputs!$B$13)</f>
        <v>20</v>
      </c>
      <c r="P2650" s="15" t="n">
        <f aca="false">SUM(M2650:N2650)</f>
        <v>85</v>
      </c>
      <c r="Q2650" s="15" t="n">
        <f aca="false">IF(J2650=1,"",L2650-P2650)</f>
        <v>15</v>
      </c>
      <c r="R2650" s="15" t="n">
        <f aca="false">IF(OR(J2650=1,M2650&lt;=Inputs!$B$12),1,0)</f>
        <v>1</v>
      </c>
      <c r="S2650" s="15" t="n">
        <f aca="false">IF(OR(J2650=1,N2650&lt;=O2650),1,0)</f>
        <v>1</v>
      </c>
      <c r="T2650" s="15" t="str">
        <f aca="false">IF(J2650=1,"OFFLINE",IF(AND(Q2650&gt;=Inputs!$B$15,R2650=1,S2650=1,P2650&lt;=L2650),"PASS","FAIL"))</f>
        <v>PASS</v>
      </c>
    </row>
    <row r="2651" customFormat="false" ht="15" hidden="false" customHeight="false" outlineLevel="0" collapsed="false">
      <c r="A2651" s="14" t="s">
        <v>1044</v>
      </c>
      <c r="B2651" s="14" t="s">
        <v>1045</v>
      </c>
      <c r="C2651" s="14" t="s">
        <v>1046</v>
      </c>
      <c r="D2651" s="14" t="s">
        <v>180</v>
      </c>
      <c r="E2651" s="14" t="s">
        <v>161</v>
      </c>
      <c r="F2651" s="14" t="s">
        <v>175</v>
      </c>
      <c r="G2651" s="14" t="n">
        <v>3</v>
      </c>
      <c r="H2651" s="14" t="s">
        <v>158</v>
      </c>
      <c r="I2651" s="14" t="s">
        <v>897</v>
      </c>
      <c r="J2651" s="15" t="n">
        <f aca="false">IF(B2651="SITE LOSS",IF(D2651=C2651,1,0),IF(B2651="REGION LOSS",IF(E2651=C2651,1,0),0))</f>
        <v>0</v>
      </c>
      <c r="K2651" s="15" t="n">
        <f aca="false">IF(B2651="SITE LOSS",IF(COUNTIFS('Site Dockets'!$B$7:$B$24,C2651,'Site Dockets'!$C$7:$C$24,F2651)&gt;0,1,0),IF(B2651="REGION LOSS",IF(COUNTIFS('Site Dockets'!$E$7:$E$24,C2651,'Site Dockets'!$C$7:$C$24,F2651)&gt;0,1,0),0))</f>
        <v>0</v>
      </c>
      <c r="L2651" s="15" t="n">
        <f aca="false">IF(J2651=1,0,Inputs!$B$11)</f>
        <v>100</v>
      </c>
      <c r="M2651" s="15" t="n">
        <f aca="false">IF(J2651=1,0,Inputs!$B$12)</f>
        <v>75</v>
      </c>
      <c r="N2651" s="15" t="n">
        <f aca="false">IF(J2651=1,0,IF(OR(AND(OR(B2651="SITE LOSS",B2651="REGION LOSS"),K2651=1),AND(B2651="ROLE COMPROMISE",H2651=C2651)),Inputs!$B$13,Inputs!$B$14))</f>
        <v>10</v>
      </c>
      <c r="O2651" s="15" t="n">
        <f aca="false">IF(J2651=1,0,Inputs!$B$13)</f>
        <v>20</v>
      </c>
      <c r="P2651" s="15" t="n">
        <f aca="false">SUM(M2651:N2651)</f>
        <v>85</v>
      </c>
      <c r="Q2651" s="15" t="n">
        <f aca="false">IF(J2651=1,"",L2651-P2651)</f>
        <v>15</v>
      </c>
      <c r="R2651" s="15" t="n">
        <f aca="false">IF(OR(J2651=1,M2651&lt;=Inputs!$B$12),1,0)</f>
        <v>1</v>
      </c>
      <c r="S2651" s="15" t="n">
        <f aca="false">IF(OR(J2651=1,N2651&lt;=O2651),1,0)</f>
        <v>1</v>
      </c>
      <c r="T2651" s="15" t="str">
        <f aca="false">IF(J2651=1,"OFFLINE",IF(AND(Q2651&gt;=Inputs!$B$15,R2651=1,S2651=1,P2651&lt;=L2651),"PASS","FAIL"))</f>
        <v>PASS</v>
      </c>
    </row>
    <row r="2652" customFormat="false" ht="15" hidden="false" customHeight="false" outlineLevel="0" collapsed="false">
      <c r="A2652" s="14" t="s">
        <v>1044</v>
      </c>
      <c r="B2652" s="14" t="s">
        <v>1045</v>
      </c>
      <c r="C2652" s="14" t="s">
        <v>1046</v>
      </c>
      <c r="D2652" s="14" t="s">
        <v>180</v>
      </c>
      <c r="E2652" s="14" t="s">
        <v>161</v>
      </c>
      <c r="F2652" s="14" t="s">
        <v>175</v>
      </c>
      <c r="G2652" s="14" t="n">
        <v>3</v>
      </c>
      <c r="H2652" s="14" t="s">
        <v>158</v>
      </c>
      <c r="I2652" s="14" t="s">
        <v>899</v>
      </c>
      <c r="J2652" s="15" t="n">
        <f aca="false">IF(B2652="SITE LOSS",IF(D2652=C2652,1,0),IF(B2652="REGION LOSS",IF(E2652=C2652,1,0),0))</f>
        <v>0</v>
      </c>
      <c r="K2652" s="15" t="n">
        <f aca="false">IF(B2652="SITE LOSS",IF(COUNTIFS('Site Dockets'!$B$7:$B$24,C2652,'Site Dockets'!$C$7:$C$24,F2652)&gt;0,1,0),IF(B2652="REGION LOSS",IF(COUNTIFS('Site Dockets'!$E$7:$E$24,C2652,'Site Dockets'!$C$7:$C$24,F2652)&gt;0,1,0),0))</f>
        <v>0</v>
      </c>
      <c r="L2652" s="15" t="n">
        <f aca="false">IF(J2652=1,0,Inputs!$B$11)</f>
        <v>100</v>
      </c>
      <c r="M2652" s="15" t="n">
        <f aca="false">IF(J2652=1,0,Inputs!$B$12)</f>
        <v>75</v>
      </c>
      <c r="N2652" s="15" t="n">
        <f aca="false">IF(J2652=1,0,IF(OR(AND(OR(B2652="SITE LOSS",B2652="REGION LOSS"),K2652=1),AND(B2652="ROLE COMPROMISE",H2652=C2652)),Inputs!$B$13,Inputs!$B$14))</f>
        <v>10</v>
      </c>
      <c r="O2652" s="15" t="n">
        <f aca="false">IF(J2652=1,0,Inputs!$B$13)</f>
        <v>20</v>
      </c>
      <c r="P2652" s="15" t="n">
        <f aca="false">SUM(M2652:N2652)</f>
        <v>85</v>
      </c>
      <c r="Q2652" s="15" t="n">
        <f aca="false">IF(J2652=1,"",L2652-P2652)</f>
        <v>15</v>
      </c>
      <c r="R2652" s="15" t="n">
        <f aca="false">IF(OR(J2652=1,M2652&lt;=Inputs!$B$12),1,0)</f>
        <v>1</v>
      </c>
      <c r="S2652" s="15" t="n">
        <f aca="false">IF(OR(J2652=1,N2652&lt;=O2652),1,0)</f>
        <v>1</v>
      </c>
      <c r="T2652" s="15" t="str">
        <f aca="false">IF(J2652=1,"OFFLINE",IF(AND(Q2652&gt;=Inputs!$B$15,R2652=1,S2652=1,P2652&lt;=L2652),"PASS","FAIL"))</f>
        <v>PASS</v>
      </c>
    </row>
    <row r="2653" customFormat="false" ht="15" hidden="false" customHeight="false" outlineLevel="0" collapsed="false">
      <c r="A2653" s="14" t="s">
        <v>1044</v>
      </c>
      <c r="B2653" s="14" t="s">
        <v>1045</v>
      </c>
      <c r="C2653" s="14" t="s">
        <v>1046</v>
      </c>
      <c r="D2653" s="14" t="s">
        <v>182</v>
      </c>
      <c r="E2653" s="14" t="s">
        <v>166</v>
      </c>
      <c r="F2653" s="14" t="s">
        <v>183</v>
      </c>
      <c r="G2653" s="14" t="n">
        <v>1</v>
      </c>
      <c r="H2653" s="14" t="s">
        <v>154</v>
      </c>
      <c r="I2653" s="14" t="s">
        <v>890</v>
      </c>
      <c r="J2653" s="15" t="n">
        <f aca="false">IF(B2653="SITE LOSS",IF(D2653=C2653,1,0),IF(B2653="REGION LOSS",IF(E2653=C2653,1,0),0))</f>
        <v>0</v>
      </c>
      <c r="K2653" s="15" t="n">
        <f aca="false">IF(B2653="SITE LOSS",IF(COUNTIFS('Site Dockets'!$B$7:$B$24,C2653,'Site Dockets'!$C$7:$C$24,F2653)&gt;0,1,0),IF(B2653="REGION LOSS",IF(COUNTIFS('Site Dockets'!$E$7:$E$24,C2653,'Site Dockets'!$C$7:$C$24,F2653)&gt;0,1,0),0))</f>
        <v>0</v>
      </c>
      <c r="L2653" s="15" t="n">
        <f aca="false">IF(J2653=1,0,Inputs!$B$11)</f>
        <v>100</v>
      </c>
      <c r="M2653" s="15" t="n">
        <f aca="false">IF(J2653=1,0,Inputs!$B$12)</f>
        <v>75</v>
      </c>
      <c r="N2653" s="15" t="n">
        <f aca="false">IF(J2653=1,0,IF(OR(AND(OR(B2653="SITE LOSS",B2653="REGION LOSS"),K2653=1),AND(B2653="ROLE COMPROMISE",H2653=C2653)),Inputs!$B$13,Inputs!$B$14))</f>
        <v>10</v>
      </c>
      <c r="O2653" s="15" t="n">
        <f aca="false">IF(J2653=1,0,Inputs!$B$13)</f>
        <v>20</v>
      </c>
      <c r="P2653" s="15" t="n">
        <f aca="false">SUM(M2653:N2653)</f>
        <v>85</v>
      </c>
      <c r="Q2653" s="15" t="n">
        <f aca="false">IF(J2653=1,"",L2653-P2653)</f>
        <v>15</v>
      </c>
      <c r="R2653" s="15" t="n">
        <f aca="false">IF(OR(J2653=1,M2653&lt;=Inputs!$B$12),1,0)</f>
        <v>1</v>
      </c>
      <c r="S2653" s="15" t="n">
        <f aca="false">IF(OR(J2653=1,N2653&lt;=O2653),1,0)</f>
        <v>1</v>
      </c>
      <c r="T2653" s="15" t="str">
        <f aca="false">IF(J2653=1,"OFFLINE",IF(AND(Q2653&gt;=Inputs!$B$15,R2653=1,S2653=1,P2653&lt;=L2653),"PASS","FAIL"))</f>
        <v>PASS</v>
      </c>
    </row>
    <row r="2654" customFormat="false" ht="15" hidden="false" customHeight="false" outlineLevel="0" collapsed="false">
      <c r="A2654" s="14" t="s">
        <v>1044</v>
      </c>
      <c r="B2654" s="14" t="s">
        <v>1045</v>
      </c>
      <c r="C2654" s="14" t="s">
        <v>1046</v>
      </c>
      <c r="D2654" s="14" t="s">
        <v>182</v>
      </c>
      <c r="E2654" s="14" t="s">
        <v>166</v>
      </c>
      <c r="F2654" s="14" t="s">
        <v>183</v>
      </c>
      <c r="G2654" s="14" t="n">
        <v>1</v>
      </c>
      <c r="H2654" s="14" t="s">
        <v>154</v>
      </c>
      <c r="I2654" s="14" t="s">
        <v>892</v>
      </c>
      <c r="J2654" s="15" t="n">
        <f aca="false">IF(B2654="SITE LOSS",IF(D2654=C2654,1,0),IF(B2654="REGION LOSS",IF(E2654=C2654,1,0),0))</f>
        <v>0</v>
      </c>
      <c r="K2654" s="15" t="n">
        <f aca="false">IF(B2654="SITE LOSS",IF(COUNTIFS('Site Dockets'!$B$7:$B$24,C2654,'Site Dockets'!$C$7:$C$24,F2654)&gt;0,1,0),IF(B2654="REGION LOSS",IF(COUNTIFS('Site Dockets'!$E$7:$E$24,C2654,'Site Dockets'!$C$7:$C$24,F2654)&gt;0,1,0),0))</f>
        <v>0</v>
      </c>
      <c r="L2654" s="15" t="n">
        <f aca="false">IF(J2654=1,0,Inputs!$B$11)</f>
        <v>100</v>
      </c>
      <c r="M2654" s="15" t="n">
        <f aca="false">IF(J2654=1,0,Inputs!$B$12)</f>
        <v>75</v>
      </c>
      <c r="N2654" s="15" t="n">
        <f aca="false">IF(J2654=1,0,IF(OR(AND(OR(B2654="SITE LOSS",B2654="REGION LOSS"),K2654=1),AND(B2654="ROLE COMPROMISE",H2654=C2654)),Inputs!$B$13,Inputs!$B$14))</f>
        <v>10</v>
      </c>
      <c r="O2654" s="15" t="n">
        <f aca="false">IF(J2654=1,0,Inputs!$B$13)</f>
        <v>20</v>
      </c>
      <c r="P2654" s="15" t="n">
        <f aca="false">SUM(M2654:N2654)</f>
        <v>85</v>
      </c>
      <c r="Q2654" s="15" t="n">
        <f aca="false">IF(J2654=1,"",L2654-P2654)</f>
        <v>15</v>
      </c>
      <c r="R2654" s="15" t="n">
        <f aca="false">IF(OR(J2654=1,M2654&lt;=Inputs!$B$12),1,0)</f>
        <v>1</v>
      </c>
      <c r="S2654" s="15" t="n">
        <f aca="false">IF(OR(J2654=1,N2654&lt;=O2654),1,0)</f>
        <v>1</v>
      </c>
      <c r="T2654" s="15" t="str">
        <f aca="false">IF(J2654=1,"OFFLINE",IF(AND(Q2654&gt;=Inputs!$B$15,R2654=1,S2654=1,P2654&lt;=L2654),"PASS","FAIL"))</f>
        <v>PASS</v>
      </c>
    </row>
    <row r="2655" customFormat="false" ht="15" hidden="false" customHeight="false" outlineLevel="0" collapsed="false">
      <c r="A2655" s="14" t="s">
        <v>1044</v>
      </c>
      <c r="B2655" s="14" t="s">
        <v>1045</v>
      </c>
      <c r="C2655" s="14" t="s">
        <v>1046</v>
      </c>
      <c r="D2655" s="14" t="s">
        <v>182</v>
      </c>
      <c r="E2655" s="14" t="s">
        <v>166</v>
      </c>
      <c r="F2655" s="14" t="s">
        <v>183</v>
      </c>
      <c r="G2655" s="14" t="n">
        <v>1</v>
      </c>
      <c r="H2655" s="14" t="s">
        <v>154</v>
      </c>
      <c r="I2655" s="14" t="s">
        <v>811</v>
      </c>
      <c r="J2655" s="15" t="n">
        <f aca="false">IF(B2655="SITE LOSS",IF(D2655=C2655,1,0),IF(B2655="REGION LOSS",IF(E2655=C2655,1,0),0))</f>
        <v>0</v>
      </c>
      <c r="K2655" s="15" t="n">
        <f aca="false">IF(B2655="SITE LOSS",IF(COUNTIFS('Site Dockets'!$B$7:$B$24,C2655,'Site Dockets'!$C$7:$C$24,F2655)&gt;0,1,0),IF(B2655="REGION LOSS",IF(COUNTIFS('Site Dockets'!$E$7:$E$24,C2655,'Site Dockets'!$C$7:$C$24,F2655)&gt;0,1,0),0))</f>
        <v>0</v>
      </c>
      <c r="L2655" s="15" t="n">
        <f aca="false">IF(J2655=1,0,Inputs!$B$11)</f>
        <v>100</v>
      </c>
      <c r="M2655" s="15" t="n">
        <f aca="false">IF(J2655=1,0,Inputs!$B$12)</f>
        <v>75</v>
      </c>
      <c r="N2655" s="15" t="n">
        <f aca="false">IF(J2655=1,0,IF(OR(AND(OR(B2655="SITE LOSS",B2655="REGION LOSS"),K2655=1),AND(B2655="ROLE COMPROMISE",H2655=C2655)),Inputs!$B$13,Inputs!$B$14))</f>
        <v>10</v>
      </c>
      <c r="O2655" s="15" t="n">
        <f aca="false">IF(J2655=1,0,Inputs!$B$13)</f>
        <v>20</v>
      </c>
      <c r="P2655" s="15" t="n">
        <f aca="false">SUM(M2655:N2655)</f>
        <v>85</v>
      </c>
      <c r="Q2655" s="15" t="n">
        <f aca="false">IF(J2655=1,"",L2655-P2655)</f>
        <v>15</v>
      </c>
      <c r="R2655" s="15" t="n">
        <f aca="false">IF(OR(J2655=1,M2655&lt;=Inputs!$B$12),1,0)</f>
        <v>1</v>
      </c>
      <c r="S2655" s="15" t="n">
        <f aca="false">IF(OR(J2655=1,N2655&lt;=O2655),1,0)</f>
        <v>1</v>
      </c>
      <c r="T2655" s="15" t="str">
        <f aca="false">IF(J2655=1,"OFFLINE",IF(AND(Q2655&gt;=Inputs!$B$15,R2655=1,S2655=1,P2655&lt;=L2655),"PASS","FAIL"))</f>
        <v>PASS</v>
      </c>
    </row>
    <row r="2656" customFormat="false" ht="15" hidden="false" customHeight="false" outlineLevel="0" collapsed="false">
      <c r="A2656" s="14" t="s">
        <v>1044</v>
      </c>
      <c r="B2656" s="14" t="s">
        <v>1045</v>
      </c>
      <c r="C2656" s="14" t="s">
        <v>1046</v>
      </c>
      <c r="D2656" s="14" t="s">
        <v>182</v>
      </c>
      <c r="E2656" s="14" t="s">
        <v>166</v>
      </c>
      <c r="F2656" s="14" t="s">
        <v>183</v>
      </c>
      <c r="G2656" s="14" t="n">
        <v>1</v>
      </c>
      <c r="H2656" s="14" t="s">
        <v>154</v>
      </c>
      <c r="I2656" s="14" t="s">
        <v>895</v>
      </c>
      <c r="J2656" s="15" t="n">
        <f aca="false">IF(B2656="SITE LOSS",IF(D2656=C2656,1,0),IF(B2656="REGION LOSS",IF(E2656=C2656,1,0),0))</f>
        <v>0</v>
      </c>
      <c r="K2656" s="15" t="n">
        <f aca="false">IF(B2656="SITE LOSS",IF(COUNTIFS('Site Dockets'!$B$7:$B$24,C2656,'Site Dockets'!$C$7:$C$24,F2656)&gt;0,1,0),IF(B2656="REGION LOSS",IF(COUNTIFS('Site Dockets'!$E$7:$E$24,C2656,'Site Dockets'!$C$7:$C$24,F2656)&gt;0,1,0),0))</f>
        <v>0</v>
      </c>
      <c r="L2656" s="15" t="n">
        <f aca="false">IF(J2656=1,0,Inputs!$B$11)</f>
        <v>100</v>
      </c>
      <c r="M2656" s="15" t="n">
        <f aca="false">IF(J2656=1,0,Inputs!$B$12)</f>
        <v>75</v>
      </c>
      <c r="N2656" s="15" t="n">
        <f aca="false">IF(J2656=1,0,IF(OR(AND(OR(B2656="SITE LOSS",B2656="REGION LOSS"),K2656=1),AND(B2656="ROLE COMPROMISE",H2656=C2656)),Inputs!$B$13,Inputs!$B$14))</f>
        <v>10</v>
      </c>
      <c r="O2656" s="15" t="n">
        <f aca="false">IF(J2656=1,0,Inputs!$B$13)</f>
        <v>20</v>
      </c>
      <c r="P2656" s="15" t="n">
        <f aca="false">SUM(M2656:N2656)</f>
        <v>85</v>
      </c>
      <c r="Q2656" s="15" t="n">
        <f aca="false">IF(J2656=1,"",L2656-P2656)</f>
        <v>15</v>
      </c>
      <c r="R2656" s="15" t="n">
        <f aca="false">IF(OR(J2656=1,M2656&lt;=Inputs!$B$12),1,0)</f>
        <v>1</v>
      </c>
      <c r="S2656" s="15" t="n">
        <f aca="false">IF(OR(J2656=1,N2656&lt;=O2656),1,0)</f>
        <v>1</v>
      </c>
      <c r="T2656" s="15" t="str">
        <f aca="false">IF(J2656=1,"OFFLINE",IF(AND(Q2656&gt;=Inputs!$B$15,R2656=1,S2656=1,P2656&lt;=L2656),"PASS","FAIL"))</f>
        <v>PASS</v>
      </c>
    </row>
    <row r="2657" customFormat="false" ht="15" hidden="false" customHeight="false" outlineLevel="0" collapsed="false">
      <c r="A2657" s="14" t="s">
        <v>1044</v>
      </c>
      <c r="B2657" s="14" t="s">
        <v>1045</v>
      </c>
      <c r="C2657" s="14" t="s">
        <v>1046</v>
      </c>
      <c r="D2657" s="14" t="s">
        <v>182</v>
      </c>
      <c r="E2657" s="14" t="s">
        <v>166</v>
      </c>
      <c r="F2657" s="14" t="s">
        <v>183</v>
      </c>
      <c r="G2657" s="14" t="n">
        <v>1</v>
      </c>
      <c r="H2657" s="14" t="s">
        <v>154</v>
      </c>
      <c r="I2657" s="14" t="s">
        <v>897</v>
      </c>
      <c r="J2657" s="15" t="n">
        <f aca="false">IF(B2657="SITE LOSS",IF(D2657=C2657,1,0),IF(B2657="REGION LOSS",IF(E2657=C2657,1,0),0))</f>
        <v>0</v>
      </c>
      <c r="K2657" s="15" t="n">
        <f aca="false">IF(B2657="SITE LOSS",IF(COUNTIFS('Site Dockets'!$B$7:$B$24,C2657,'Site Dockets'!$C$7:$C$24,F2657)&gt;0,1,0),IF(B2657="REGION LOSS",IF(COUNTIFS('Site Dockets'!$E$7:$E$24,C2657,'Site Dockets'!$C$7:$C$24,F2657)&gt;0,1,0),0))</f>
        <v>0</v>
      </c>
      <c r="L2657" s="15" t="n">
        <f aca="false">IF(J2657=1,0,Inputs!$B$11)</f>
        <v>100</v>
      </c>
      <c r="M2657" s="15" t="n">
        <f aca="false">IF(J2657=1,0,Inputs!$B$12)</f>
        <v>75</v>
      </c>
      <c r="N2657" s="15" t="n">
        <f aca="false">IF(J2657=1,0,IF(OR(AND(OR(B2657="SITE LOSS",B2657="REGION LOSS"),K2657=1),AND(B2657="ROLE COMPROMISE",H2657=C2657)),Inputs!$B$13,Inputs!$B$14))</f>
        <v>10</v>
      </c>
      <c r="O2657" s="15" t="n">
        <f aca="false">IF(J2657=1,0,Inputs!$B$13)</f>
        <v>20</v>
      </c>
      <c r="P2657" s="15" t="n">
        <f aca="false">SUM(M2657:N2657)</f>
        <v>85</v>
      </c>
      <c r="Q2657" s="15" t="n">
        <f aca="false">IF(J2657=1,"",L2657-P2657)</f>
        <v>15</v>
      </c>
      <c r="R2657" s="15" t="n">
        <f aca="false">IF(OR(J2657=1,M2657&lt;=Inputs!$B$12),1,0)</f>
        <v>1</v>
      </c>
      <c r="S2657" s="15" t="n">
        <f aca="false">IF(OR(J2657=1,N2657&lt;=O2657),1,0)</f>
        <v>1</v>
      </c>
      <c r="T2657" s="15" t="str">
        <f aca="false">IF(J2657=1,"OFFLINE",IF(AND(Q2657&gt;=Inputs!$B$15,R2657=1,S2657=1,P2657&lt;=L2657),"PASS","FAIL"))</f>
        <v>PASS</v>
      </c>
    </row>
    <row r="2658" customFormat="false" ht="15" hidden="false" customHeight="false" outlineLevel="0" collapsed="false">
      <c r="A2658" s="14" t="s">
        <v>1044</v>
      </c>
      <c r="B2658" s="14" t="s">
        <v>1045</v>
      </c>
      <c r="C2658" s="14" t="s">
        <v>1046</v>
      </c>
      <c r="D2658" s="14" t="s">
        <v>182</v>
      </c>
      <c r="E2658" s="14" t="s">
        <v>166</v>
      </c>
      <c r="F2658" s="14" t="s">
        <v>183</v>
      </c>
      <c r="G2658" s="14" t="n">
        <v>1</v>
      </c>
      <c r="H2658" s="14" t="s">
        <v>154</v>
      </c>
      <c r="I2658" s="14" t="s">
        <v>899</v>
      </c>
      <c r="J2658" s="15" t="n">
        <f aca="false">IF(B2658="SITE LOSS",IF(D2658=C2658,1,0),IF(B2658="REGION LOSS",IF(E2658=C2658,1,0),0))</f>
        <v>0</v>
      </c>
      <c r="K2658" s="15" t="n">
        <f aca="false">IF(B2658="SITE LOSS",IF(COUNTIFS('Site Dockets'!$B$7:$B$24,C2658,'Site Dockets'!$C$7:$C$24,F2658)&gt;0,1,0),IF(B2658="REGION LOSS",IF(COUNTIFS('Site Dockets'!$E$7:$E$24,C2658,'Site Dockets'!$C$7:$C$24,F2658)&gt;0,1,0),0))</f>
        <v>0</v>
      </c>
      <c r="L2658" s="15" t="n">
        <f aca="false">IF(J2658=1,0,Inputs!$B$11)</f>
        <v>100</v>
      </c>
      <c r="M2658" s="15" t="n">
        <f aca="false">IF(J2658=1,0,Inputs!$B$12)</f>
        <v>75</v>
      </c>
      <c r="N2658" s="15" t="n">
        <f aca="false">IF(J2658=1,0,IF(OR(AND(OR(B2658="SITE LOSS",B2658="REGION LOSS"),K2658=1),AND(B2658="ROLE COMPROMISE",H2658=C2658)),Inputs!$B$13,Inputs!$B$14))</f>
        <v>10</v>
      </c>
      <c r="O2658" s="15" t="n">
        <f aca="false">IF(J2658=1,0,Inputs!$B$13)</f>
        <v>20</v>
      </c>
      <c r="P2658" s="15" t="n">
        <f aca="false">SUM(M2658:N2658)</f>
        <v>85</v>
      </c>
      <c r="Q2658" s="15" t="n">
        <f aca="false">IF(J2658=1,"",L2658-P2658)</f>
        <v>15</v>
      </c>
      <c r="R2658" s="15" t="n">
        <f aca="false">IF(OR(J2658=1,M2658&lt;=Inputs!$B$12),1,0)</f>
        <v>1</v>
      </c>
      <c r="S2658" s="15" t="n">
        <f aca="false">IF(OR(J2658=1,N2658&lt;=O2658),1,0)</f>
        <v>1</v>
      </c>
      <c r="T2658" s="15" t="str">
        <f aca="false">IF(J2658=1,"OFFLINE",IF(AND(Q2658&gt;=Inputs!$B$15,R2658=1,S2658=1,P2658&lt;=L2658),"PASS","FAIL"))</f>
        <v>PASS</v>
      </c>
    </row>
    <row r="2659" customFormat="false" ht="15" hidden="false" customHeight="false" outlineLevel="0" collapsed="false">
      <c r="A2659" s="14" t="s">
        <v>1044</v>
      </c>
      <c r="B2659" s="14" t="s">
        <v>1045</v>
      </c>
      <c r="C2659" s="14" t="s">
        <v>1046</v>
      </c>
      <c r="D2659" s="14" t="s">
        <v>186</v>
      </c>
      <c r="E2659" s="14" t="s">
        <v>157</v>
      </c>
      <c r="F2659" s="14" t="s">
        <v>183</v>
      </c>
      <c r="G2659" s="14" t="n">
        <v>2</v>
      </c>
      <c r="H2659" s="14" t="s">
        <v>153</v>
      </c>
      <c r="I2659" s="14" t="s">
        <v>890</v>
      </c>
      <c r="J2659" s="15" t="n">
        <f aca="false">IF(B2659="SITE LOSS",IF(D2659=C2659,1,0),IF(B2659="REGION LOSS",IF(E2659=C2659,1,0),0))</f>
        <v>0</v>
      </c>
      <c r="K2659" s="15" t="n">
        <f aca="false">IF(B2659="SITE LOSS",IF(COUNTIFS('Site Dockets'!$B$7:$B$24,C2659,'Site Dockets'!$C$7:$C$24,F2659)&gt;0,1,0),IF(B2659="REGION LOSS",IF(COUNTIFS('Site Dockets'!$E$7:$E$24,C2659,'Site Dockets'!$C$7:$C$24,F2659)&gt;0,1,0),0))</f>
        <v>0</v>
      </c>
      <c r="L2659" s="15" t="n">
        <f aca="false">IF(J2659=1,0,Inputs!$B$11)</f>
        <v>100</v>
      </c>
      <c r="M2659" s="15" t="n">
        <f aca="false">IF(J2659=1,0,Inputs!$B$12)</f>
        <v>75</v>
      </c>
      <c r="N2659" s="15" t="n">
        <f aca="false">IF(J2659=1,0,IF(OR(AND(OR(B2659="SITE LOSS",B2659="REGION LOSS"),K2659=1),AND(B2659="ROLE COMPROMISE",H2659=C2659)),Inputs!$B$13,Inputs!$B$14))</f>
        <v>10</v>
      </c>
      <c r="O2659" s="15" t="n">
        <f aca="false">IF(J2659=1,0,Inputs!$B$13)</f>
        <v>20</v>
      </c>
      <c r="P2659" s="15" t="n">
        <f aca="false">SUM(M2659:N2659)</f>
        <v>85</v>
      </c>
      <c r="Q2659" s="15" t="n">
        <f aca="false">IF(J2659=1,"",L2659-P2659)</f>
        <v>15</v>
      </c>
      <c r="R2659" s="15" t="n">
        <f aca="false">IF(OR(J2659=1,M2659&lt;=Inputs!$B$12),1,0)</f>
        <v>1</v>
      </c>
      <c r="S2659" s="15" t="n">
        <f aca="false">IF(OR(J2659=1,N2659&lt;=O2659),1,0)</f>
        <v>1</v>
      </c>
      <c r="T2659" s="15" t="str">
        <f aca="false">IF(J2659=1,"OFFLINE",IF(AND(Q2659&gt;=Inputs!$B$15,R2659=1,S2659=1,P2659&lt;=L2659),"PASS","FAIL"))</f>
        <v>PASS</v>
      </c>
    </row>
    <row r="2660" customFormat="false" ht="15" hidden="false" customHeight="false" outlineLevel="0" collapsed="false">
      <c r="A2660" s="14" t="s">
        <v>1044</v>
      </c>
      <c r="B2660" s="14" t="s">
        <v>1045</v>
      </c>
      <c r="C2660" s="14" t="s">
        <v>1046</v>
      </c>
      <c r="D2660" s="14" t="s">
        <v>186</v>
      </c>
      <c r="E2660" s="14" t="s">
        <v>157</v>
      </c>
      <c r="F2660" s="14" t="s">
        <v>183</v>
      </c>
      <c r="G2660" s="14" t="n">
        <v>2</v>
      </c>
      <c r="H2660" s="14" t="s">
        <v>153</v>
      </c>
      <c r="I2660" s="14" t="s">
        <v>892</v>
      </c>
      <c r="J2660" s="15" t="n">
        <f aca="false">IF(B2660="SITE LOSS",IF(D2660=C2660,1,0),IF(B2660="REGION LOSS",IF(E2660=C2660,1,0),0))</f>
        <v>0</v>
      </c>
      <c r="K2660" s="15" t="n">
        <f aca="false">IF(B2660="SITE LOSS",IF(COUNTIFS('Site Dockets'!$B$7:$B$24,C2660,'Site Dockets'!$C$7:$C$24,F2660)&gt;0,1,0),IF(B2660="REGION LOSS",IF(COUNTIFS('Site Dockets'!$E$7:$E$24,C2660,'Site Dockets'!$C$7:$C$24,F2660)&gt;0,1,0),0))</f>
        <v>0</v>
      </c>
      <c r="L2660" s="15" t="n">
        <f aca="false">IF(J2660=1,0,Inputs!$B$11)</f>
        <v>100</v>
      </c>
      <c r="M2660" s="15" t="n">
        <f aca="false">IF(J2660=1,0,Inputs!$B$12)</f>
        <v>75</v>
      </c>
      <c r="N2660" s="15" t="n">
        <f aca="false">IF(J2660=1,0,IF(OR(AND(OR(B2660="SITE LOSS",B2660="REGION LOSS"),K2660=1),AND(B2660="ROLE COMPROMISE",H2660=C2660)),Inputs!$B$13,Inputs!$B$14))</f>
        <v>10</v>
      </c>
      <c r="O2660" s="15" t="n">
        <f aca="false">IF(J2660=1,0,Inputs!$B$13)</f>
        <v>20</v>
      </c>
      <c r="P2660" s="15" t="n">
        <f aca="false">SUM(M2660:N2660)</f>
        <v>85</v>
      </c>
      <c r="Q2660" s="15" t="n">
        <f aca="false">IF(J2660=1,"",L2660-P2660)</f>
        <v>15</v>
      </c>
      <c r="R2660" s="15" t="n">
        <f aca="false">IF(OR(J2660=1,M2660&lt;=Inputs!$B$12),1,0)</f>
        <v>1</v>
      </c>
      <c r="S2660" s="15" t="n">
        <f aca="false">IF(OR(J2660=1,N2660&lt;=O2660),1,0)</f>
        <v>1</v>
      </c>
      <c r="T2660" s="15" t="str">
        <f aca="false">IF(J2660=1,"OFFLINE",IF(AND(Q2660&gt;=Inputs!$B$15,R2660=1,S2660=1,P2660&lt;=L2660),"PASS","FAIL"))</f>
        <v>PASS</v>
      </c>
    </row>
    <row r="2661" customFormat="false" ht="15" hidden="false" customHeight="false" outlineLevel="0" collapsed="false">
      <c r="A2661" s="14" t="s">
        <v>1044</v>
      </c>
      <c r="B2661" s="14" t="s">
        <v>1045</v>
      </c>
      <c r="C2661" s="14" t="s">
        <v>1046</v>
      </c>
      <c r="D2661" s="14" t="s">
        <v>186</v>
      </c>
      <c r="E2661" s="14" t="s">
        <v>157</v>
      </c>
      <c r="F2661" s="14" t="s">
        <v>183</v>
      </c>
      <c r="G2661" s="14" t="n">
        <v>2</v>
      </c>
      <c r="H2661" s="14" t="s">
        <v>153</v>
      </c>
      <c r="I2661" s="14" t="s">
        <v>811</v>
      </c>
      <c r="J2661" s="15" t="n">
        <f aca="false">IF(B2661="SITE LOSS",IF(D2661=C2661,1,0),IF(B2661="REGION LOSS",IF(E2661=C2661,1,0),0))</f>
        <v>0</v>
      </c>
      <c r="K2661" s="15" t="n">
        <f aca="false">IF(B2661="SITE LOSS",IF(COUNTIFS('Site Dockets'!$B$7:$B$24,C2661,'Site Dockets'!$C$7:$C$24,F2661)&gt;0,1,0),IF(B2661="REGION LOSS",IF(COUNTIFS('Site Dockets'!$E$7:$E$24,C2661,'Site Dockets'!$C$7:$C$24,F2661)&gt;0,1,0),0))</f>
        <v>0</v>
      </c>
      <c r="L2661" s="15" t="n">
        <f aca="false">IF(J2661=1,0,Inputs!$B$11)</f>
        <v>100</v>
      </c>
      <c r="M2661" s="15" t="n">
        <f aca="false">IF(J2661=1,0,Inputs!$B$12)</f>
        <v>75</v>
      </c>
      <c r="N2661" s="15" t="n">
        <f aca="false">IF(J2661=1,0,IF(OR(AND(OR(B2661="SITE LOSS",B2661="REGION LOSS"),K2661=1),AND(B2661="ROLE COMPROMISE",H2661=C2661)),Inputs!$B$13,Inputs!$B$14))</f>
        <v>10</v>
      </c>
      <c r="O2661" s="15" t="n">
        <f aca="false">IF(J2661=1,0,Inputs!$B$13)</f>
        <v>20</v>
      </c>
      <c r="P2661" s="15" t="n">
        <f aca="false">SUM(M2661:N2661)</f>
        <v>85</v>
      </c>
      <c r="Q2661" s="15" t="n">
        <f aca="false">IF(J2661=1,"",L2661-P2661)</f>
        <v>15</v>
      </c>
      <c r="R2661" s="15" t="n">
        <f aca="false">IF(OR(J2661=1,M2661&lt;=Inputs!$B$12),1,0)</f>
        <v>1</v>
      </c>
      <c r="S2661" s="15" t="n">
        <f aca="false">IF(OR(J2661=1,N2661&lt;=O2661),1,0)</f>
        <v>1</v>
      </c>
      <c r="T2661" s="15" t="str">
        <f aca="false">IF(J2661=1,"OFFLINE",IF(AND(Q2661&gt;=Inputs!$B$15,R2661=1,S2661=1,P2661&lt;=L2661),"PASS","FAIL"))</f>
        <v>PASS</v>
      </c>
    </row>
    <row r="2662" customFormat="false" ht="15" hidden="false" customHeight="false" outlineLevel="0" collapsed="false">
      <c r="A2662" s="14" t="s">
        <v>1044</v>
      </c>
      <c r="B2662" s="14" t="s">
        <v>1045</v>
      </c>
      <c r="C2662" s="14" t="s">
        <v>1046</v>
      </c>
      <c r="D2662" s="14" t="s">
        <v>186</v>
      </c>
      <c r="E2662" s="14" t="s">
        <v>157</v>
      </c>
      <c r="F2662" s="14" t="s">
        <v>183</v>
      </c>
      <c r="G2662" s="14" t="n">
        <v>2</v>
      </c>
      <c r="H2662" s="14" t="s">
        <v>153</v>
      </c>
      <c r="I2662" s="14" t="s">
        <v>895</v>
      </c>
      <c r="J2662" s="15" t="n">
        <f aca="false">IF(B2662="SITE LOSS",IF(D2662=C2662,1,0),IF(B2662="REGION LOSS",IF(E2662=C2662,1,0),0))</f>
        <v>0</v>
      </c>
      <c r="K2662" s="15" t="n">
        <f aca="false">IF(B2662="SITE LOSS",IF(COUNTIFS('Site Dockets'!$B$7:$B$24,C2662,'Site Dockets'!$C$7:$C$24,F2662)&gt;0,1,0),IF(B2662="REGION LOSS",IF(COUNTIFS('Site Dockets'!$E$7:$E$24,C2662,'Site Dockets'!$C$7:$C$24,F2662)&gt;0,1,0),0))</f>
        <v>0</v>
      </c>
      <c r="L2662" s="15" t="n">
        <f aca="false">IF(J2662=1,0,Inputs!$B$11)</f>
        <v>100</v>
      </c>
      <c r="M2662" s="15" t="n">
        <f aca="false">IF(J2662=1,0,Inputs!$B$12)</f>
        <v>75</v>
      </c>
      <c r="N2662" s="15" t="n">
        <f aca="false">IF(J2662=1,0,IF(OR(AND(OR(B2662="SITE LOSS",B2662="REGION LOSS"),K2662=1),AND(B2662="ROLE COMPROMISE",H2662=C2662)),Inputs!$B$13,Inputs!$B$14))</f>
        <v>10</v>
      </c>
      <c r="O2662" s="15" t="n">
        <f aca="false">IF(J2662=1,0,Inputs!$B$13)</f>
        <v>20</v>
      </c>
      <c r="P2662" s="15" t="n">
        <f aca="false">SUM(M2662:N2662)</f>
        <v>85</v>
      </c>
      <c r="Q2662" s="15" t="n">
        <f aca="false">IF(J2662=1,"",L2662-P2662)</f>
        <v>15</v>
      </c>
      <c r="R2662" s="15" t="n">
        <f aca="false">IF(OR(J2662=1,M2662&lt;=Inputs!$B$12),1,0)</f>
        <v>1</v>
      </c>
      <c r="S2662" s="15" t="n">
        <f aca="false">IF(OR(J2662=1,N2662&lt;=O2662),1,0)</f>
        <v>1</v>
      </c>
      <c r="T2662" s="15" t="str">
        <f aca="false">IF(J2662=1,"OFFLINE",IF(AND(Q2662&gt;=Inputs!$B$15,R2662=1,S2662=1,P2662&lt;=L2662),"PASS","FAIL"))</f>
        <v>PASS</v>
      </c>
    </row>
    <row r="2663" customFormat="false" ht="15" hidden="false" customHeight="false" outlineLevel="0" collapsed="false">
      <c r="A2663" s="14" t="s">
        <v>1044</v>
      </c>
      <c r="B2663" s="14" t="s">
        <v>1045</v>
      </c>
      <c r="C2663" s="14" t="s">
        <v>1046</v>
      </c>
      <c r="D2663" s="14" t="s">
        <v>186</v>
      </c>
      <c r="E2663" s="14" t="s">
        <v>157</v>
      </c>
      <c r="F2663" s="14" t="s">
        <v>183</v>
      </c>
      <c r="G2663" s="14" t="n">
        <v>2</v>
      </c>
      <c r="H2663" s="14" t="s">
        <v>153</v>
      </c>
      <c r="I2663" s="14" t="s">
        <v>897</v>
      </c>
      <c r="J2663" s="15" t="n">
        <f aca="false">IF(B2663="SITE LOSS",IF(D2663=C2663,1,0),IF(B2663="REGION LOSS",IF(E2663=C2663,1,0),0))</f>
        <v>0</v>
      </c>
      <c r="K2663" s="15" t="n">
        <f aca="false">IF(B2663="SITE LOSS",IF(COUNTIFS('Site Dockets'!$B$7:$B$24,C2663,'Site Dockets'!$C$7:$C$24,F2663)&gt;0,1,0),IF(B2663="REGION LOSS",IF(COUNTIFS('Site Dockets'!$E$7:$E$24,C2663,'Site Dockets'!$C$7:$C$24,F2663)&gt;0,1,0),0))</f>
        <v>0</v>
      </c>
      <c r="L2663" s="15" t="n">
        <f aca="false">IF(J2663=1,0,Inputs!$B$11)</f>
        <v>100</v>
      </c>
      <c r="M2663" s="15" t="n">
        <f aca="false">IF(J2663=1,0,Inputs!$B$12)</f>
        <v>75</v>
      </c>
      <c r="N2663" s="15" t="n">
        <f aca="false">IF(J2663=1,0,IF(OR(AND(OR(B2663="SITE LOSS",B2663="REGION LOSS"),K2663=1),AND(B2663="ROLE COMPROMISE",H2663=C2663)),Inputs!$B$13,Inputs!$B$14))</f>
        <v>10</v>
      </c>
      <c r="O2663" s="15" t="n">
        <f aca="false">IF(J2663=1,0,Inputs!$B$13)</f>
        <v>20</v>
      </c>
      <c r="P2663" s="15" t="n">
        <f aca="false">SUM(M2663:N2663)</f>
        <v>85</v>
      </c>
      <c r="Q2663" s="15" t="n">
        <f aca="false">IF(J2663=1,"",L2663-P2663)</f>
        <v>15</v>
      </c>
      <c r="R2663" s="15" t="n">
        <f aca="false">IF(OR(J2663=1,M2663&lt;=Inputs!$B$12),1,0)</f>
        <v>1</v>
      </c>
      <c r="S2663" s="15" t="n">
        <f aca="false">IF(OR(J2663=1,N2663&lt;=O2663),1,0)</f>
        <v>1</v>
      </c>
      <c r="T2663" s="15" t="str">
        <f aca="false">IF(J2663=1,"OFFLINE",IF(AND(Q2663&gt;=Inputs!$B$15,R2663=1,S2663=1,P2663&lt;=L2663),"PASS","FAIL"))</f>
        <v>PASS</v>
      </c>
    </row>
    <row r="2664" customFormat="false" ht="15" hidden="false" customHeight="false" outlineLevel="0" collapsed="false">
      <c r="A2664" s="14" t="s">
        <v>1044</v>
      </c>
      <c r="B2664" s="14" t="s">
        <v>1045</v>
      </c>
      <c r="C2664" s="14" t="s">
        <v>1046</v>
      </c>
      <c r="D2664" s="14" t="s">
        <v>186</v>
      </c>
      <c r="E2664" s="14" t="s">
        <v>157</v>
      </c>
      <c r="F2664" s="14" t="s">
        <v>183</v>
      </c>
      <c r="G2664" s="14" t="n">
        <v>2</v>
      </c>
      <c r="H2664" s="14" t="s">
        <v>153</v>
      </c>
      <c r="I2664" s="14" t="s">
        <v>899</v>
      </c>
      <c r="J2664" s="15" t="n">
        <f aca="false">IF(B2664="SITE LOSS",IF(D2664=C2664,1,0),IF(B2664="REGION LOSS",IF(E2664=C2664,1,0),0))</f>
        <v>0</v>
      </c>
      <c r="K2664" s="15" t="n">
        <f aca="false">IF(B2664="SITE LOSS",IF(COUNTIFS('Site Dockets'!$B$7:$B$24,C2664,'Site Dockets'!$C$7:$C$24,F2664)&gt;0,1,0),IF(B2664="REGION LOSS",IF(COUNTIFS('Site Dockets'!$E$7:$E$24,C2664,'Site Dockets'!$C$7:$C$24,F2664)&gt;0,1,0),0))</f>
        <v>0</v>
      </c>
      <c r="L2664" s="15" t="n">
        <f aca="false">IF(J2664=1,0,Inputs!$B$11)</f>
        <v>100</v>
      </c>
      <c r="M2664" s="15" t="n">
        <f aca="false">IF(J2664=1,0,Inputs!$B$12)</f>
        <v>75</v>
      </c>
      <c r="N2664" s="15" t="n">
        <f aca="false">IF(J2664=1,0,IF(OR(AND(OR(B2664="SITE LOSS",B2664="REGION LOSS"),K2664=1),AND(B2664="ROLE COMPROMISE",H2664=C2664)),Inputs!$B$13,Inputs!$B$14))</f>
        <v>10</v>
      </c>
      <c r="O2664" s="15" t="n">
        <f aca="false">IF(J2664=1,0,Inputs!$B$13)</f>
        <v>20</v>
      </c>
      <c r="P2664" s="15" t="n">
        <f aca="false">SUM(M2664:N2664)</f>
        <v>85</v>
      </c>
      <c r="Q2664" s="15" t="n">
        <f aca="false">IF(J2664=1,"",L2664-P2664)</f>
        <v>15</v>
      </c>
      <c r="R2664" s="15" t="n">
        <f aca="false">IF(OR(J2664=1,M2664&lt;=Inputs!$B$12),1,0)</f>
        <v>1</v>
      </c>
      <c r="S2664" s="15" t="n">
        <f aca="false">IF(OR(J2664=1,N2664&lt;=O2664),1,0)</f>
        <v>1</v>
      </c>
      <c r="T2664" s="15" t="str">
        <f aca="false">IF(J2664=1,"OFFLINE",IF(AND(Q2664&gt;=Inputs!$B$15,R2664=1,S2664=1,P2664&lt;=L2664),"PASS","FAIL"))</f>
        <v>PASS</v>
      </c>
    </row>
    <row r="2665" customFormat="false" ht="15" hidden="false" customHeight="false" outlineLevel="0" collapsed="false">
      <c r="A2665" s="14" t="s">
        <v>1044</v>
      </c>
      <c r="B2665" s="14" t="s">
        <v>1045</v>
      </c>
      <c r="C2665" s="14" t="s">
        <v>1046</v>
      </c>
      <c r="D2665" s="14" t="s">
        <v>188</v>
      </c>
      <c r="E2665" s="14" t="s">
        <v>172</v>
      </c>
      <c r="F2665" s="14" t="s">
        <v>183</v>
      </c>
      <c r="G2665" s="14" t="n">
        <v>3</v>
      </c>
      <c r="H2665" s="14" t="s">
        <v>158</v>
      </c>
      <c r="I2665" s="14" t="s">
        <v>890</v>
      </c>
      <c r="J2665" s="15" t="n">
        <f aca="false">IF(B2665="SITE LOSS",IF(D2665=C2665,1,0),IF(B2665="REGION LOSS",IF(E2665=C2665,1,0),0))</f>
        <v>0</v>
      </c>
      <c r="K2665" s="15" t="n">
        <f aca="false">IF(B2665="SITE LOSS",IF(COUNTIFS('Site Dockets'!$B$7:$B$24,C2665,'Site Dockets'!$C$7:$C$24,F2665)&gt;0,1,0),IF(B2665="REGION LOSS",IF(COUNTIFS('Site Dockets'!$E$7:$E$24,C2665,'Site Dockets'!$C$7:$C$24,F2665)&gt;0,1,0),0))</f>
        <v>0</v>
      </c>
      <c r="L2665" s="15" t="n">
        <f aca="false">IF(J2665=1,0,Inputs!$B$11)</f>
        <v>100</v>
      </c>
      <c r="M2665" s="15" t="n">
        <f aca="false">IF(J2665=1,0,Inputs!$B$12)</f>
        <v>75</v>
      </c>
      <c r="N2665" s="15" t="n">
        <f aca="false">IF(J2665=1,0,IF(OR(AND(OR(B2665="SITE LOSS",B2665="REGION LOSS"),K2665=1),AND(B2665="ROLE COMPROMISE",H2665=C2665)),Inputs!$B$13,Inputs!$B$14))</f>
        <v>10</v>
      </c>
      <c r="O2665" s="15" t="n">
        <f aca="false">IF(J2665=1,0,Inputs!$B$13)</f>
        <v>20</v>
      </c>
      <c r="P2665" s="15" t="n">
        <f aca="false">SUM(M2665:N2665)</f>
        <v>85</v>
      </c>
      <c r="Q2665" s="15" t="n">
        <f aca="false">IF(J2665=1,"",L2665-P2665)</f>
        <v>15</v>
      </c>
      <c r="R2665" s="15" t="n">
        <f aca="false">IF(OR(J2665=1,M2665&lt;=Inputs!$B$12),1,0)</f>
        <v>1</v>
      </c>
      <c r="S2665" s="15" t="n">
        <f aca="false">IF(OR(J2665=1,N2665&lt;=O2665),1,0)</f>
        <v>1</v>
      </c>
      <c r="T2665" s="15" t="str">
        <f aca="false">IF(J2665=1,"OFFLINE",IF(AND(Q2665&gt;=Inputs!$B$15,R2665=1,S2665=1,P2665&lt;=L2665),"PASS","FAIL"))</f>
        <v>PASS</v>
      </c>
    </row>
    <row r="2666" customFormat="false" ht="15" hidden="false" customHeight="false" outlineLevel="0" collapsed="false">
      <c r="A2666" s="14" t="s">
        <v>1044</v>
      </c>
      <c r="B2666" s="14" t="s">
        <v>1045</v>
      </c>
      <c r="C2666" s="14" t="s">
        <v>1046</v>
      </c>
      <c r="D2666" s="14" t="s">
        <v>188</v>
      </c>
      <c r="E2666" s="14" t="s">
        <v>172</v>
      </c>
      <c r="F2666" s="14" t="s">
        <v>183</v>
      </c>
      <c r="G2666" s="14" t="n">
        <v>3</v>
      </c>
      <c r="H2666" s="14" t="s">
        <v>158</v>
      </c>
      <c r="I2666" s="14" t="s">
        <v>892</v>
      </c>
      <c r="J2666" s="15" t="n">
        <f aca="false">IF(B2666="SITE LOSS",IF(D2666=C2666,1,0),IF(B2666="REGION LOSS",IF(E2666=C2666,1,0),0))</f>
        <v>0</v>
      </c>
      <c r="K2666" s="15" t="n">
        <f aca="false">IF(B2666="SITE LOSS",IF(COUNTIFS('Site Dockets'!$B$7:$B$24,C2666,'Site Dockets'!$C$7:$C$24,F2666)&gt;0,1,0),IF(B2666="REGION LOSS",IF(COUNTIFS('Site Dockets'!$E$7:$E$24,C2666,'Site Dockets'!$C$7:$C$24,F2666)&gt;0,1,0),0))</f>
        <v>0</v>
      </c>
      <c r="L2666" s="15" t="n">
        <f aca="false">IF(J2666=1,0,Inputs!$B$11)</f>
        <v>100</v>
      </c>
      <c r="M2666" s="15" t="n">
        <f aca="false">IF(J2666=1,0,Inputs!$B$12)</f>
        <v>75</v>
      </c>
      <c r="N2666" s="15" t="n">
        <f aca="false">IF(J2666=1,0,IF(OR(AND(OR(B2666="SITE LOSS",B2666="REGION LOSS"),K2666=1),AND(B2666="ROLE COMPROMISE",H2666=C2666)),Inputs!$B$13,Inputs!$B$14))</f>
        <v>10</v>
      </c>
      <c r="O2666" s="15" t="n">
        <f aca="false">IF(J2666=1,0,Inputs!$B$13)</f>
        <v>20</v>
      </c>
      <c r="P2666" s="15" t="n">
        <f aca="false">SUM(M2666:N2666)</f>
        <v>85</v>
      </c>
      <c r="Q2666" s="15" t="n">
        <f aca="false">IF(J2666=1,"",L2666-P2666)</f>
        <v>15</v>
      </c>
      <c r="R2666" s="15" t="n">
        <f aca="false">IF(OR(J2666=1,M2666&lt;=Inputs!$B$12),1,0)</f>
        <v>1</v>
      </c>
      <c r="S2666" s="15" t="n">
        <f aca="false">IF(OR(J2666=1,N2666&lt;=O2666),1,0)</f>
        <v>1</v>
      </c>
      <c r="T2666" s="15" t="str">
        <f aca="false">IF(J2666=1,"OFFLINE",IF(AND(Q2666&gt;=Inputs!$B$15,R2666=1,S2666=1,P2666&lt;=L2666),"PASS","FAIL"))</f>
        <v>PASS</v>
      </c>
    </row>
    <row r="2667" customFormat="false" ht="15" hidden="false" customHeight="false" outlineLevel="0" collapsed="false">
      <c r="A2667" s="14" t="s">
        <v>1044</v>
      </c>
      <c r="B2667" s="14" t="s">
        <v>1045</v>
      </c>
      <c r="C2667" s="14" t="s">
        <v>1046</v>
      </c>
      <c r="D2667" s="14" t="s">
        <v>188</v>
      </c>
      <c r="E2667" s="14" t="s">
        <v>172</v>
      </c>
      <c r="F2667" s="14" t="s">
        <v>183</v>
      </c>
      <c r="G2667" s="14" t="n">
        <v>3</v>
      </c>
      <c r="H2667" s="14" t="s">
        <v>158</v>
      </c>
      <c r="I2667" s="14" t="s">
        <v>811</v>
      </c>
      <c r="J2667" s="15" t="n">
        <f aca="false">IF(B2667="SITE LOSS",IF(D2667=C2667,1,0),IF(B2667="REGION LOSS",IF(E2667=C2667,1,0),0))</f>
        <v>0</v>
      </c>
      <c r="K2667" s="15" t="n">
        <f aca="false">IF(B2667="SITE LOSS",IF(COUNTIFS('Site Dockets'!$B$7:$B$24,C2667,'Site Dockets'!$C$7:$C$24,F2667)&gt;0,1,0),IF(B2667="REGION LOSS",IF(COUNTIFS('Site Dockets'!$E$7:$E$24,C2667,'Site Dockets'!$C$7:$C$24,F2667)&gt;0,1,0),0))</f>
        <v>0</v>
      </c>
      <c r="L2667" s="15" t="n">
        <f aca="false">IF(J2667=1,0,Inputs!$B$11)</f>
        <v>100</v>
      </c>
      <c r="M2667" s="15" t="n">
        <f aca="false">IF(J2667=1,0,Inputs!$B$12)</f>
        <v>75</v>
      </c>
      <c r="N2667" s="15" t="n">
        <f aca="false">IF(J2667=1,0,IF(OR(AND(OR(B2667="SITE LOSS",B2667="REGION LOSS"),K2667=1),AND(B2667="ROLE COMPROMISE",H2667=C2667)),Inputs!$B$13,Inputs!$B$14))</f>
        <v>10</v>
      </c>
      <c r="O2667" s="15" t="n">
        <f aca="false">IF(J2667=1,0,Inputs!$B$13)</f>
        <v>20</v>
      </c>
      <c r="P2667" s="15" t="n">
        <f aca="false">SUM(M2667:N2667)</f>
        <v>85</v>
      </c>
      <c r="Q2667" s="15" t="n">
        <f aca="false">IF(J2667=1,"",L2667-P2667)</f>
        <v>15</v>
      </c>
      <c r="R2667" s="15" t="n">
        <f aca="false">IF(OR(J2667=1,M2667&lt;=Inputs!$B$12),1,0)</f>
        <v>1</v>
      </c>
      <c r="S2667" s="15" t="n">
        <f aca="false">IF(OR(J2667=1,N2667&lt;=O2667),1,0)</f>
        <v>1</v>
      </c>
      <c r="T2667" s="15" t="str">
        <f aca="false">IF(J2667=1,"OFFLINE",IF(AND(Q2667&gt;=Inputs!$B$15,R2667=1,S2667=1,P2667&lt;=L2667),"PASS","FAIL"))</f>
        <v>PASS</v>
      </c>
    </row>
    <row r="2668" customFormat="false" ht="15" hidden="false" customHeight="false" outlineLevel="0" collapsed="false">
      <c r="A2668" s="14" t="s">
        <v>1044</v>
      </c>
      <c r="B2668" s="14" t="s">
        <v>1045</v>
      </c>
      <c r="C2668" s="14" t="s">
        <v>1046</v>
      </c>
      <c r="D2668" s="14" t="s">
        <v>188</v>
      </c>
      <c r="E2668" s="14" t="s">
        <v>172</v>
      </c>
      <c r="F2668" s="14" t="s">
        <v>183</v>
      </c>
      <c r="G2668" s="14" t="n">
        <v>3</v>
      </c>
      <c r="H2668" s="14" t="s">
        <v>158</v>
      </c>
      <c r="I2668" s="14" t="s">
        <v>895</v>
      </c>
      <c r="J2668" s="15" t="n">
        <f aca="false">IF(B2668="SITE LOSS",IF(D2668=C2668,1,0),IF(B2668="REGION LOSS",IF(E2668=C2668,1,0),0))</f>
        <v>0</v>
      </c>
      <c r="K2668" s="15" t="n">
        <f aca="false">IF(B2668="SITE LOSS",IF(COUNTIFS('Site Dockets'!$B$7:$B$24,C2668,'Site Dockets'!$C$7:$C$24,F2668)&gt;0,1,0),IF(B2668="REGION LOSS",IF(COUNTIFS('Site Dockets'!$E$7:$E$24,C2668,'Site Dockets'!$C$7:$C$24,F2668)&gt;0,1,0),0))</f>
        <v>0</v>
      </c>
      <c r="L2668" s="15" t="n">
        <f aca="false">IF(J2668=1,0,Inputs!$B$11)</f>
        <v>100</v>
      </c>
      <c r="M2668" s="15" t="n">
        <f aca="false">IF(J2668=1,0,Inputs!$B$12)</f>
        <v>75</v>
      </c>
      <c r="N2668" s="15" t="n">
        <f aca="false">IF(J2668=1,0,IF(OR(AND(OR(B2668="SITE LOSS",B2668="REGION LOSS"),K2668=1),AND(B2668="ROLE COMPROMISE",H2668=C2668)),Inputs!$B$13,Inputs!$B$14))</f>
        <v>10</v>
      </c>
      <c r="O2668" s="15" t="n">
        <f aca="false">IF(J2668=1,0,Inputs!$B$13)</f>
        <v>20</v>
      </c>
      <c r="P2668" s="15" t="n">
        <f aca="false">SUM(M2668:N2668)</f>
        <v>85</v>
      </c>
      <c r="Q2668" s="15" t="n">
        <f aca="false">IF(J2668=1,"",L2668-P2668)</f>
        <v>15</v>
      </c>
      <c r="R2668" s="15" t="n">
        <f aca="false">IF(OR(J2668=1,M2668&lt;=Inputs!$B$12),1,0)</f>
        <v>1</v>
      </c>
      <c r="S2668" s="15" t="n">
        <f aca="false">IF(OR(J2668=1,N2668&lt;=O2668),1,0)</f>
        <v>1</v>
      </c>
      <c r="T2668" s="15" t="str">
        <f aca="false">IF(J2668=1,"OFFLINE",IF(AND(Q2668&gt;=Inputs!$B$15,R2668=1,S2668=1,P2668&lt;=L2668),"PASS","FAIL"))</f>
        <v>PASS</v>
      </c>
    </row>
    <row r="2669" customFormat="false" ht="15" hidden="false" customHeight="false" outlineLevel="0" collapsed="false">
      <c r="A2669" s="14" t="s">
        <v>1044</v>
      </c>
      <c r="B2669" s="14" t="s">
        <v>1045</v>
      </c>
      <c r="C2669" s="14" t="s">
        <v>1046</v>
      </c>
      <c r="D2669" s="14" t="s">
        <v>188</v>
      </c>
      <c r="E2669" s="14" t="s">
        <v>172</v>
      </c>
      <c r="F2669" s="14" t="s">
        <v>183</v>
      </c>
      <c r="G2669" s="14" t="n">
        <v>3</v>
      </c>
      <c r="H2669" s="14" t="s">
        <v>158</v>
      </c>
      <c r="I2669" s="14" t="s">
        <v>897</v>
      </c>
      <c r="J2669" s="15" t="n">
        <f aca="false">IF(B2669="SITE LOSS",IF(D2669=C2669,1,0),IF(B2669="REGION LOSS",IF(E2669=C2669,1,0),0))</f>
        <v>0</v>
      </c>
      <c r="K2669" s="15" t="n">
        <f aca="false">IF(B2669="SITE LOSS",IF(COUNTIFS('Site Dockets'!$B$7:$B$24,C2669,'Site Dockets'!$C$7:$C$24,F2669)&gt;0,1,0),IF(B2669="REGION LOSS",IF(COUNTIFS('Site Dockets'!$E$7:$E$24,C2669,'Site Dockets'!$C$7:$C$24,F2669)&gt;0,1,0),0))</f>
        <v>0</v>
      </c>
      <c r="L2669" s="15" t="n">
        <f aca="false">IF(J2669=1,0,Inputs!$B$11)</f>
        <v>100</v>
      </c>
      <c r="M2669" s="15" t="n">
        <f aca="false">IF(J2669=1,0,Inputs!$B$12)</f>
        <v>75</v>
      </c>
      <c r="N2669" s="15" t="n">
        <f aca="false">IF(J2669=1,0,IF(OR(AND(OR(B2669="SITE LOSS",B2669="REGION LOSS"),K2669=1),AND(B2669="ROLE COMPROMISE",H2669=C2669)),Inputs!$B$13,Inputs!$B$14))</f>
        <v>10</v>
      </c>
      <c r="O2669" s="15" t="n">
        <f aca="false">IF(J2669=1,0,Inputs!$B$13)</f>
        <v>20</v>
      </c>
      <c r="P2669" s="15" t="n">
        <f aca="false">SUM(M2669:N2669)</f>
        <v>85</v>
      </c>
      <c r="Q2669" s="15" t="n">
        <f aca="false">IF(J2669=1,"",L2669-P2669)</f>
        <v>15</v>
      </c>
      <c r="R2669" s="15" t="n">
        <f aca="false">IF(OR(J2669=1,M2669&lt;=Inputs!$B$12),1,0)</f>
        <v>1</v>
      </c>
      <c r="S2669" s="15" t="n">
        <f aca="false">IF(OR(J2669=1,N2669&lt;=O2669),1,0)</f>
        <v>1</v>
      </c>
      <c r="T2669" s="15" t="str">
        <f aca="false">IF(J2669=1,"OFFLINE",IF(AND(Q2669&gt;=Inputs!$B$15,R2669=1,S2669=1,P2669&lt;=L2669),"PASS","FAIL"))</f>
        <v>PASS</v>
      </c>
    </row>
    <row r="2670" customFormat="false" ht="15" hidden="false" customHeight="false" outlineLevel="0" collapsed="false">
      <c r="A2670" s="14" t="s">
        <v>1044</v>
      </c>
      <c r="B2670" s="14" t="s">
        <v>1045</v>
      </c>
      <c r="C2670" s="14" t="s">
        <v>1046</v>
      </c>
      <c r="D2670" s="14" t="s">
        <v>188</v>
      </c>
      <c r="E2670" s="14" t="s">
        <v>172</v>
      </c>
      <c r="F2670" s="14" t="s">
        <v>183</v>
      </c>
      <c r="G2670" s="14" t="n">
        <v>3</v>
      </c>
      <c r="H2670" s="14" t="s">
        <v>158</v>
      </c>
      <c r="I2670" s="14" t="s">
        <v>899</v>
      </c>
      <c r="J2670" s="15" t="n">
        <f aca="false">IF(B2670="SITE LOSS",IF(D2670=C2670,1,0),IF(B2670="REGION LOSS",IF(E2670=C2670,1,0),0))</f>
        <v>0</v>
      </c>
      <c r="K2670" s="15" t="n">
        <f aca="false">IF(B2670="SITE LOSS",IF(COUNTIFS('Site Dockets'!$B$7:$B$24,C2670,'Site Dockets'!$C$7:$C$24,F2670)&gt;0,1,0),IF(B2670="REGION LOSS",IF(COUNTIFS('Site Dockets'!$E$7:$E$24,C2670,'Site Dockets'!$C$7:$C$24,F2670)&gt;0,1,0),0))</f>
        <v>0</v>
      </c>
      <c r="L2670" s="15" t="n">
        <f aca="false">IF(J2670=1,0,Inputs!$B$11)</f>
        <v>100</v>
      </c>
      <c r="M2670" s="15" t="n">
        <f aca="false">IF(J2670=1,0,Inputs!$B$12)</f>
        <v>75</v>
      </c>
      <c r="N2670" s="15" t="n">
        <f aca="false">IF(J2670=1,0,IF(OR(AND(OR(B2670="SITE LOSS",B2670="REGION LOSS"),K2670=1),AND(B2670="ROLE COMPROMISE",H2670=C2670)),Inputs!$B$13,Inputs!$B$14))</f>
        <v>10</v>
      </c>
      <c r="O2670" s="15" t="n">
        <f aca="false">IF(J2670=1,0,Inputs!$B$13)</f>
        <v>20</v>
      </c>
      <c r="P2670" s="15" t="n">
        <f aca="false">SUM(M2670:N2670)</f>
        <v>85</v>
      </c>
      <c r="Q2670" s="15" t="n">
        <f aca="false">IF(J2670=1,"",L2670-P2670)</f>
        <v>15</v>
      </c>
      <c r="R2670" s="15" t="n">
        <f aca="false">IF(OR(J2670=1,M2670&lt;=Inputs!$B$12),1,0)</f>
        <v>1</v>
      </c>
      <c r="S2670" s="15" t="n">
        <f aca="false">IF(OR(J2670=1,N2670&lt;=O2670),1,0)</f>
        <v>1</v>
      </c>
      <c r="T2670" s="15" t="str">
        <f aca="false">IF(J2670=1,"OFFLINE",IF(AND(Q2670&gt;=Inputs!$B$15,R2670=1,S2670=1,P2670&lt;=L2670),"PASS","FAIL"))</f>
        <v>PASS</v>
      </c>
    </row>
    <row r="2671" customFormat="false" ht="15" hidden="false" customHeight="false" outlineLevel="0" collapsed="false">
      <c r="A2671" s="14" t="s">
        <v>1044</v>
      </c>
      <c r="B2671" s="14" t="s">
        <v>1045</v>
      </c>
      <c r="C2671" s="14" t="s">
        <v>1046</v>
      </c>
      <c r="D2671" s="14" t="s">
        <v>190</v>
      </c>
      <c r="E2671" s="14" t="s">
        <v>152</v>
      </c>
      <c r="F2671" s="14" t="s">
        <v>191</v>
      </c>
      <c r="G2671" s="14" t="n">
        <v>1</v>
      </c>
      <c r="H2671" s="14" t="s">
        <v>154</v>
      </c>
      <c r="I2671" s="14" t="s">
        <v>890</v>
      </c>
      <c r="J2671" s="15" t="n">
        <f aca="false">IF(B2671="SITE LOSS",IF(D2671=C2671,1,0),IF(B2671="REGION LOSS",IF(E2671=C2671,1,0),0))</f>
        <v>0</v>
      </c>
      <c r="K2671" s="15" t="n">
        <f aca="false">IF(B2671="SITE LOSS",IF(COUNTIFS('Site Dockets'!$B$7:$B$24,C2671,'Site Dockets'!$C$7:$C$24,F2671)&gt;0,1,0),IF(B2671="REGION LOSS",IF(COUNTIFS('Site Dockets'!$E$7:$E$24,C2671,'Site Dockets'!$C$7:$C$24,F2671)&gt;0,1,0),0))</f>
        <v>0</v>
      </c>
      <c r="L2671" s="15" t="n">
        <f aca="false">IF(J2671=1,0,Inputs!$B$11)</f>
        <v>100</v>
      </c>
      <c r="M2671" s="15" t="n">
        <f aca="false">IF(J2671=1,0,Inputs!$B$12)</f>
        <v>75</v>
      </c>
      <c r="N2671" s="15" t="n">
        <f aca="false">IF(J2671=1,0,IF(OR(AND(OR(B2671="SITE LOSS",B2671="REGION LOSS"),K2671=1),AND(B2671="ROLE COMPROMISE",H2671=C2671)),Inputs!$B$13,Inputs!$B$14))</f>
        <v>10</v>
      </c>
      <c r="O2671" s="15" t="n">
        <f aca="false">IF(J2671=1,0,Inputs!$B$13)</f>
        <v>20</v>
      </c>
      <c r="P2671" s="15" t="n">
        <f aca="false">SUM(M2671:N2671)</f>
        <v>85</v>
      </c>
      <c r="Q2671" s="15" t="n">
        <f aca="false">IF(J2671=1,"",L2671-P2671)</f>
        <v>15</v>
      </c>
      <c r="R2671" s="15" t="n">
        <f aca="false">IF(OR(J2671=1,M2671&lt;=Inputs!$B$12),1,0)</f>
        <v>1</v>
      </c>
      <c r="S2671" s="15" t="n">
        <f aca="false">IF(OR(J2671=1,N2671&lt;=O2671),1,0)</f>
        <v>1</v>
      </c>
      <c r="T2671" s="15" t="str">
        <f aca="false">IF(J2671=1,"OFFLINE",IF(AND(Q2671&gt;=Inputs!$B$15,R2671=1,S2671=1,P2671&lt;=L2671),"PASS","FAIL"))</f>
        <v>PASS</v>
      </c>
    </row>
    <row r="2672" customFormat="false" ht="15" hidden="false" customHeight="false" outlineLevel="0" collapsed="false">
      <c r="A2672" s="14" t="s">
        <v>1044</v>
      </c>
      <c r="B2672" s="14" t="s">
        <v>1045</v>
      </c>
      <c r="C2672" s="14" t="s">
        <v>1046</v>
      </c>
      <c r="D2672" s="14" t="s">
        <v>190</v>
      </c>
      <c r="E2672" s="14" t="s">
        <v>152</v>
      </c>
      <c r="F2672" s="14" t="s">
        <v>191</v>
      </c>
      <c r="G2672" s="14" t="n">
        <v>1</v>
      </c>
      <c r="H2672" s="14" t="s">
        <v>154</v>
      </c>
      <c r="I2672" s="14" t="s">
        <v>892</v>
      </c>
      <c r="J2672" s="15" t="n">
        <f aca="false">IF(B2672="SITE LOSS",IF(D2672=C2672,1,0),IF(B2672="REGION LOSS",IF(E2672=C2672,1,0),0))</f>
        <v>0</v>
      </c>
      <c r="K2672" s="15" t="n">
        <f aca="false">IF(B2672="SITE LOSS",IF(COUNTIFS('Site Dockets'!$B$7:$B$24,C2672,'Site Dockets'!$C$7:$C$24,F2672)&gt;0,1,0),IF(B2672="REGION LOSS",IF(COUNTIFS('Site Dockets'!$E$7:$E$24,C2672,'Site Dockets'!$C$7:$C$24,F2672)&gt;0,1,0),0))</f>
        <v>0</v>
      </c>
      <c r="L2672" s="15" t="n">
        <f aca="false">IF(J2672=1,0,Inputs!$B$11)</f>
        <v>100</v>
      </c>
      <c r="M2672" s="15" t="n">
        <f aca="false">IF(J2672=1,0,Inputs!$B$12)</f>
        <v>75</v>
      </c>
      <c r="N2672" s="15" t="n">
        <f aca="false">IF(J2672=1,0,IF(OR(AND(OR(B2672="SITE LOSS",B2672="REGION LOSS"),K2672=1),AND(B2672="ROLE COMPROMISE",H2672=C2672)),Inputs!$B$13,Inputs!$B$14))</f>
        <v>10</v>
      </c>
      <c r="O2672" s="15" t="n">
        <f aca="false">IF(J2672=1,0,Inputs!$B$13)</f>
        <v>20</v>
      </c>
      <c r="P2672" s="15" t="n">
        <f aca="false">SUM(M2672:N2672)</f>
        <v>85</v>
      </c>
      <c r="Q2672" s="15" t="n">
        <f aca="false">IF(J2672=1,"",L2672-P2672)</f>
        <v>15</v>
      </c>
      <c r="R2672" s="15" t="n">
        <f aca="false">IF(OR(J2672=1,M2672&lt;=Inputs!$B$12),1,0)</f>
        <v>1</v>
      </c>
      <c r="S2672" s="15" t="n">
        <f aca="false">IF(OR(J2672=1,N2672&lt;=O2672),1,0)</f>
        <v>1</v>
      </c>
      <c r="T2672" s="15" t="str">
        <f aca="false">IF(J2672=1,"OFFLINE",IF(AND(Q2672&gt;=Inputs!$B$15,R2672=1,S2672=1,P2672&lt;=L2672),"PASS","FAIL"))</f>
        <v>PASS</v>
      </c>
    </row>
    <row r="2673" customFormat="false" ht="15" hidden="false" customHeight="false" outlineLevel="0" collapsed="false">
      <c r="A2673" s="14" t="s">
        <v>1044</v>
      </c>
      <c r="B2673" s="14" t="s">
        <v>1045</v>
      </c>
      <c r="C2673" s="14" t="s">
        <v>1046</v>
      </c>
      <c r="D2673" s="14" t="s">
        <v>190</v>
      </c>
      <c r="E2673" s="14" t="s">
        <v>152</v>
      </c>
      <c r="F2673" s="14" t="s">
        <v>191</v>
      </c>
      <c r="G2673" s="14" t="n">
        <v>1</v>
      </c>
      <c r="H2673" s="14" t="s">
        <v>154</v>
      </c>
      <c r="I2673" s="14" t="s">
        <v>811</v>
      </c>
      <c r="J2673" s="15" t="n">
        <f aca="false">IF(B2673="SITE LOSS",IF(D2673=C2673,1,0),IF(B2673="REGION LOSS",IF(E2673=C2673,1,0),0))</f>
        <v>0</v>
      </c>
      <c r="K2673" s="15" t="n">
        <f aca="false">IF(B2673="SITE LOSS",IF(COUNTIFS('Site Dockets'!$B$7:$B$24,C2673,'Site Dockets'!$C$7:$C$24,F2673)&gt;0,1,0),IF(B2673="REGION LOSS",IF(COUNTIFS('Site Dockets'!$E$7:$E$24,C2673,'Site Dockets'!$C$7:$C$24,F2673)&gt;0,1,0),0))</f>
        <v>0</v>
      </c>
      <c r="L2673" s="15" t="n">
        <f aca="false">IF(J2673=1,0,Inputs!$B$11)</f>
        <v>100</v>
      </c>
      <c r="M2673" s="15" t="n">
        <f aca="false">IF(J2673=1,0,Inputs!$B$12)</f>
        <v>75</v>
      </c>
      <c r="N2673" s="15" t="n">
        <f aca="false">IF(J2673=1,0,IF(OR(AND(OR(B2673="SITE LOSS",B2673="REGION LOSS"),K2673=1),AND(B2673="ROLE COMPROMISE",H2673=C2673)),Inputs!$B$13,Inputs!$B$14))</f>
        <v>10</v>
      </c>
      <c r="O2673" s="15" t="n">
        <f aca="false">IF(J2673=1,0,Inputs!$B$13)</f>
        <v>20</v>
      </c>
      <c r="P2673" s="15" t="n">
        <f aca="false">SUM(M2673:N2673)</f>
        <v>85</v>
      </c>
      <c r="Q2673" s="15" t="n">
        <f aca="false">IF(J2673=1,"",L2673-P2673)</f>
        <v>15</v>
      </c>
      <c r="R2673" s="15" t="n">
        <f aca="false">IF(OR(J2673=1,M2673&lt;=Inputs!$B$12),1,0)</f>
        <v>1</v>
      </c>
      <c r="S2673" s="15" t="n">
        <f aca="false">IF(OR(J2673=1,N2673&lt;=O2673),1,0)</f>
        <v>1</v>
      </c>
      <c r="T2673" s="15" t="str">
        <f aca="false">IF(J2673=1,"OFFLINE",IF(AND(Q2673&gt;=Inputs!$B$15,R2673=1,S2673=1,P2673&lt;=L2673),"PASS","FAIL"))</f>
        <v>PASS</v>
      </c>
    </row>
    <row r="2674" customFormat="false" ht="15" hidden="false" customHeight="false" outlineLevel="0" collapsed="false">
      <c r="A2674" s="14" t="s">
        <v>1044</v>
      </c>
      <c r="B2674" s="14" t="s">
        <v>1045</v>
      </c>
      <c r="C2674" s="14" t="s">
        <v>1046</v>
      </c>
      <c r="D2674" s="14" t="s">
        <v>190</v>
      </c>
      <c r="E2674" s="14" t="s">
        <v>152</v>
      </c>
      <c r="F2674" s="14" t="s">
        <v>191</v>
      </c>
      <c r="G2674" s="14" t="n">
        <v>1</v>
      </c>
      <c r="H2674" s="14" t="s">
        <v>154</v>
      </c>
      <c r="I2674" s="14" t="s">
        <v>895</v>
      </c>
      <c r="J2674" s="15" t="n">
        <f aca="false">IF(B2674="SITE LOSS",IF(D2674=C2674,1,0),IF(B2674="REGION LOSS",IF(E2674=C2674,1,0),0))</f>
        <v>0</v>
      </c>
      <c r="K2674" s="15" t="n">
        <f aca="false">IF(B2674="SITE LOSS",IF(COUNTIFS('Site Dockets'!$B$7:$B$24,C2674,'Site Dockets'!$C$7:$C$24,F2674)&gt;0,1,0),IF(B2674="REGION LOSS",IF(COUNTIFS('Site Dockets'!$E$7:$E$24,C2674,'Site Dockets'!$C$7:$C$24,F2674)&gt;0,1,0),0))</f>
        <v>0</v>
      </c>
      <c r="L2674" s="15" t="n">
        <f aca="false">IF(J2674=1,0,Inputs!$B$11)</f>
        <v>100</v>
      </c>
      <c r="M2674" s="15" t="n">
        <f aca="false">IF(J2674=1,0,Inputs!$B$12)</f>
        <v>75</v>
      </c>
      <c r="N2674" s="15" t="n">
        <f aca="false">IF(J2674=1,0,IF(OR(AND(OR(B2674="SITE LOSS",B2674="REGION LOSS"),K2674=1),AND(B2674="ROLE COMPROMISE",H2674=C2674)),Inputs!$B$13,Inputs!$B$14))</f>
        <v>10</v>
      </c>
      <c r="O2674" s="15" t="n">
        <f aca="false">IF(J2674=1,0,Inputs!$B$13)</f>
        <v>20</v>
      </c>
      <c r="P2674" s="15" t="n">
        <f aca="false">SUM(M2674:N2674)</f>
        <v>85</v>
      </c>
      <c r="Q2674" s="15" t="n">
        <f aca="false">IF(J2674=1,"",L2674-P2674)</f>
        <v>15</v>
      </c>
      <c r="R2674" s="15" t="n">
        <f aca="false">IF(OR(J2674=1,M2674&lt;=Inputs!$B$12),1,0)</f>
        <v>1</v>
      </c>
      <c r="S2674" s="15" t="n">
        <f aca="false">IF(OR(J2674=1,N2674&lt;=O2674),1,0)</f>
        <v>1</v>
      </c>
      <c r="T2674" s="15" t="str">
        <f aca="false">IF(J2674=1,"OFFLINE",IF(AND(Q2674&gt;=Inputs!$B$15,R2674=1,S2674=1,P2674&lt;=L2674),"PASS","FAIL"))</f>
        <v>PASS</v>
      </c>
    </row>
    <row r="2675" customFormat="false" ht="15" hidden="false" customHeight="false" outlineLevel="0" collapsed="false">
      <c r="A2675" s="14" t="s">
        <v>1044</v>
      </c>
      <c r="B2675" s="14" t="s">
        <v>1045</v>
      </c>
      <c r="C2675" s="14" t="s">
        <v>1046</v>
      </c>
      <c r="D2675" s="14" t="s">
        <v>190</v>
      </c>
      <c r="E2675" s="14" t="s">
        <v>152</v>
      </c>
      <c r="F2675" s="14" t="s">
        <v>191</v>
      </c>
      <c r="G2675" s="14" t="n">
        <v>1</v>
      </c>
      <c r="H2675" s="14" t="s">
        <v>154</v>
      </c>
      <c r="I2675" s="14" t="s">
        <v>897</v>
      </c>
      <c r="J2675" s="15" t="n">
        <f aca="false">IF(B2675="SITE LOSS",IF(D2675=C2675,1,0),IF(B2675="REGION LOSS",IF(E2675=C2675,1,0),0))</f>
        <v>0</v>
      </c>
      <c r="K2675" s="15" t="n">
        <f aca="false">IF(B2675="SITE LOSS",IF(COUNTIFS('Site Dockets'!$B$7:$B$24,C2675,'Site Dockets'!$C$7:$C$24,F2675)&gt;0,1,0),IF(B2675="REGION LOSS",IF(COUNTIFS('Site Dockets'!$E$7:$E$24,C2675,'Site Dockets'!$C$7:$C$24,F2675)&gt;0,1,0),0))</f>
        <v>0</v>
      </c>
      <c r="L2675" s="15" t="n">
        <f aca="false">IF(J2675=1,0,Inputs!$B$11)</f>
        <v>100</v>
      </c>
      <c r="M2675" s="15" t="n">
        <f aca="false">IF(J2675=1,0,Inputs!$B$12)</f>
        <v>75</v>
      </c>
      <c r="N2675" s="15" t="n">
        <f aca="false">IF(J2675=1,0,IF(OR(AND(OR(B2675="SITE LOSS",B2675="REGION LOSS"),K2675=1),AND(B2675="ROLE COMPROMISE",H2675=C2675)),Inputs!$B$13,Inputs!$B$14))</f>
        <v>10</v>
      </c>
      <c r="O2675" s="15" t="n">
        <f aca="false">IF(J2675=1,0,Inputs!$B$13)</f>
        <v>20</v>
      </c>
      <c r="P2675" s="15" t="n">
        <f aca="false">SUM(M2675:N2675)</f>
        <v>85</v>
      </c>
      <c r="Q2675" s="15" t="n">
        <f aca="false">IF(J2675=1,"",L2675-P2675)</f>
        <v>15</v>
      </c>
      <c r="R2675" s="15" t="n">
        <f aca="false">IF(OR(J2675=1,M2675&lt;=Inputs!$B$12),1,0)</f>
        <v>1</v>
      </c>
      <c r="S2675" s="15" t="n">
        <f aca="false">IF(OR(J2675=1,N2675&lt;=O2675),1,0)</f>
        <v>1</v>
      </c>
      <c r="T2675" s="15" t="str">
        <f aca="false">IF(J2675=1,"OFFLINE",IF(AND(Q2675&gt;=Inputs!$B$15,R2675=1,S2675=1,P2675&lt;=L2675),"PASS","FAIL"))</f>
        <v>PASS</v>
      </c>
    </row>
    <row r="2676" customFormat="false" ht="15" hidden="false" customHeight="false" outlineLevel="0" collapsed="false">
      <c r="A2676" s="14" t="s">
        <v>1044</v>
      </c>
      <c r="B2676" s="14" t="s">
        <v>1045</v>
      </c>
      <c r="C2676" s="14" t="s">
        <v>1046</v>
      </c>
      <c r="D2676" s="14" t="s">
        <v>190</v>
      </c>
      <c r="E2676" s="14" t="s">
        <v>152</v>
      </c>
      <c r="F2676" s="14" t="s">
        <v>191</v>
      </c>
      <c r="G2676" s="14" t="n">
        <v>1</v>
      </c>
      <c r="H2676" s="14" t="s">
        <v>154</v>
      </c>
      <c r="I2676" s="14" t="s">
        <v>899</v>
      </c>
      <c r="J2676" s="15" t="n">
        <f aca="false">IF(B2676="SITE LOSS",IF(D2676=C2676,1,0),IF(B2676="REGION LOSS",IF(E2676=C2676,1,0),0))</f>
        <v>0</v>
      </c>
      <c r="K2676" s="15" t="n">
        <f aca="false">IF(B2676="SITE LOSS",IF(COUNTIFS('Site Dockets'!$B$7:$B$24,C2676,'Site Dockets'!$C$7:$C$24,F2676)&gt;0,1,0),IF(B2676="REGION LOSS",IF(COUNTIFS('Site Dockets'!$E$7:$E$24,C2676,'Site Dockets'!$C$7:$C$24,F2676)&gt;0,1,0),0))</f>
        <v>0</v>
      </c>
      <c r="L2676" s="15" t="n">
        <f aca="false">IF(J2676=1,0,Inputs!$B$11)</f>
        <v>100</v>
      </c>
      <c r="M2676" s="15" t="n">
        <f aca="false">IF(J2676=1,0,Inputs!$B$12)</f>
        <v>75</v>
      </c>
      <c r="N2676" s="15" t="n">
        <f aca="false">IF(J2676=1,0,IF(OR(AND(OR(B2676="SITE LOSS",B2676="REGION LOSS"),K2676=1),AND(B2676="ROLE COMPROMISE",H2676=C2676)),Inputs!$B$13,Inputs!$B$14))</f>
        <v>10</v>
      </c>
      <c r="O2676" s="15" t="n">
        <f aca="false">IF(J2676=1,0,Inputs!$B$13)</f>
        <v>20</v>
      </c>
      <c r="P2676" s="15" t="n">
        <f aca="false">SUM(M2676:N2676)</f>
        <v>85</v>
      </c>
      <c r="Q2676" s="15" t="n">
        <f aca="false">IF(J2676=1,"",L2676-P2676)</f>
        <v>15</v>
      </c>
      <c r="R2676" s="15" t="n">
        <f aca="false">IF(OR(J2676=1,M2676&lt;=Inputs!$B$12),1,0)</f>
        <v>1</v>
      </c>
      <c r="S2676" s="15" t="n">
        <f aca="false">IF(OR(J2676=1,N2676&lt;=O2676),1,0)</f>
        <v>1</v>
      </c>
      <c r="T2676" s="15" t="str">
        <f aca="false">IF(J2676=1,"OFFLINE",IF(AND(Q2676&gt;=Inputs!$B$15,R2676=1,S2676=1,P2676&lt;=L2676),"PASS","FAIL"))</f>
        <v>PASS</v>
      </c>
    </row>
    <row r="2677" customFormat="false" ht="15" hidden="false" customHeight="false" outlineLevel="0" collapsed="false">
      <c r="A2677" s="14" t="s">
        <v>1044</v>
      </c>
      <c r="B2677" s="14" t="s">
        <v>1045</v>
      </c>
      <c r="C2677" s="14" t="s">
        <v>1046</v>
      </c>
      <c r="D2677" s="14" t="s">
        <v>194</v>
      </c>
      <c r="E2677" s="14" t="s">
        <v>169</v>
      </c>
      <c r="F2677" s="14" t="s">
        <v>191</v>
      </c>
      <c r="G2677" s="14" t="n">
        <v>2</v>
      </c>
      <c r="H2677" s="14" t="s">
        <v>153</v>
      </c>
      <c r="I2677" s="14" t="s">
        <v>890</v>
      </c>
      <c r="J2677" s="15" t="n">
        <f aca="false">IF(B2677="SITE LOSS",IF(D2677=C2677,1,0),IF(B2677="REGION LOSS",IF(E2677=C2677,1,0),0))</f>
        <v>0</v>
      </c>
      <c r="K2677" s="15" t="n">
        <f aca="false">IF(B2677="SITE LOSS",IF(COUNTIFS('Site Dockets'!$B$7:$B$24,C2677,'Site Dockets'!$C$7:$C$24,F2677)&gt;0,1,0),IF(B2677="REGION LOSS",IF(COUNTIFS('Site Dockets'!$E$7:$E$24,C2677,'Site Dockets'!$C$7:$C$24,F2677)&gt;0,1,0),0))</f>
        <v>0</v>
      </c>
      <c r="L2677" s="15" t="n">
        <f aca="false">IF(J2677=1,0,Inputs!$B$11)</f>
        <v>100</v>
      </c>
      <c r="M2677" s="15" t="n">
        <f aca="false">IF(J2677=1,0,Inputs!$B$12)</f>
        <v>75</v>
      </c>
      <c r="N2677" s="15" t="n">
        <f aca="false">IF(J2677=1,0,IF(OR(AND(OR(B2677="SITE LOSS",B2677="REGION LOSS"),K2677=1),AND(B2677="ROLE COMPROMISE",H2677=C2677)),Inputs!$B$13,Inputs!$B$14))</f>
        <v>10</v>
      </c>
      <c r="O2677" s="15" t="n">
        <f aca="false">IF(J2677=1,0,Inputs!$B$13)</f>
        <v>20</v>
      </c>
      <c r="P2677" s="15" t="n">
        <f aca="false">SUM(M2677:N2677)</f>
        <v>85</v>
      </c>
      <c r="Q2677" s="15" t="n">
        <f aca="false">IF(J2677=1,"",L2677-P2677)</f>
        <v>15</v>
      </c>
      <c r="R2677" s="15" t="n">
        <f aca="false">IF(OR(J2677=1,M2677&lt;=Inputs!$B$12),1,0)</f>
        <v>1</v>
      </c>
      <c r="S2677" s="15" t="n">
        <f aca="false">IF(OR(J2677=1,N2677&lt;=O2677),1,0)</f>
        <v>1</v>
      </c>
      <c r="T2677" s="15" t="str">
        <f aca="false">IF(J2677=1,"OFFLINE",IF(AND(Q2677&gt;=Inputs!$B$15,R2677=1,S2677=1,P2677&lt;=L2677),"PASS","FAIL"))</f>
        <v>PASS</v>
      </c>
    </row>
    <row r="2678" customFormat="false" ht="15" hidden="false" customHeight="false" outlineLevel="0" collapsed="false">
      <c r="A2678" s="14" t="s">
        <v>1044</v>
      </c>
      <c r="B2678" s="14" t="s">
        <v>1045</v>
      </c>
      <c r="C2678" s="14" t="s">
        <v>1046</v>
      </c>
      <c r="D2678" s="14" t="s">
        <v>194</v>
      </c>
      <c r="E2678" s="14" t="s">
        <v>169</v>
      </c>
      <c r="F2678" s="14" t="s">
        <v>191</v>
      </c>
      <c r="G2678" s="14" t="n">
        <v>2</v>
      </c>
      <c r="H2678" s="14" t="s">
        <v>153</v>
      </c>
      <c r="I2678" s="14" t="s">
        <v>892</v>
      </c>
      <c r="J2678" s="15" t="n">
        <f aca="false">IF(B2678="SITE LOSS",IF(D2678=C2678,1,0),IF(B2678="REGION LOSS",IF(E2678=C2678,1,0),0))</f>
        <v>0</v>
      </c>
      <c r="K2678" s="15" t="n">
        <f aca="false">IF(B2678="SITE LOSS",IF(COUNTIFS('Site Dockets'!$B$7:$B$24,C2678,'Site Dockets'!$C$7:$C$24,F2678)&gt;0,1,0),IF(B2678="REGION LOSS",IF(COUNTIFS('Site Dockets'!$E$7:$E$24,C2678,'Site Dockets'!$C$7:$C$24,F2678)&gt;0,1,0),0))</f>
        <v>0</v>
      </c>
      <c r="L2678" s="15" t="n">
        <f aca="false">IF(J2678=1,0,Inputs!$B$11)</f>
        <v>100</v>
      </c>
      <c r="M2678" s="15" t="n">
        <f aca="false">IF(J2678=1,0,Inputs!$B$12)</f>
        <v>75</v>
      </c>
      <c r="N2678" s="15" t="n">
        <f aca="false">IF(J2678=1,0,IF(OR(AND(OR(B2678="SITE LOSS",B2678="REGION LOSS"),K2678=1),AND(B2678="ROLE COMPROMISE",H2678=C2678)),Inputs!$B$13,Inputs!$B$14))</f>
        <v>10</v>
      </c>
      <c r="O2678" s="15" t="n">
        <f aca="false">IF(J2678=1,0,Inputs!$B$13)</f>
        <v>20</v>
      </c>
      <c r="P2678" s="15" t="n">
        <f aca="false">SUM(M2678:N2678)</f>
        <v>85</v>
      </c>
      <c r="Q2678" s="15" t="n">
        <f aca="false">IF(J2678=1,"",L2678-P2678)</f>
        <v>15</v>
      </c>
      <c r="R2678" s="15" t="n">
        <f aca="false">IF(OR(J2678=1,M2678&lt;=Inputs!$B$12),1,0)</f>
        <v>1</v>
      </c>
      <c r="S2678" s="15" t="n">
        <f aca="false">IF(OR(J2678=1,N2678&lt;=O2678),1,0)</f>
        <v>1</v>
      </c>
      <c r="T2678" s="15" t="str">
        <f aca="false">IF(J2678=1,"OFFLINE",IF(AND(Q2678&gt;=Inputs!$B$15,R2678=1,S2678=1,P2678&lt;=L2678),"PASS","FAIL"))</f>
        <v>PASS</v>
      </c>
    </row>
    <row r="2679" customFormat="false" ht="15" hidden="false" customHeight="false" outlineLevel="0" collapsed="false">
      <c r="A2679" s="14" t="s">
        <v>1044</v>
      </c>
      <c r="B2679" s="14" t="s">
        <v>1045</v>
      </c>
      <c r="C2679" s="14" t="s">
        <v>1046</v>
      </c>
      <c r="D2679" s="14" t="s">
        <v>194</v>
      </c>
      <c r="E2679" s="14" t="s">
        <v>169</v>
      </c>
      <c r="F2679" s="14" t="s">
        <v>191</v>
      </c>
      <c r="G2679" s="14" t="n">
        <v>2</v>
      </c>
      <c r="H2679" s="14" t="s">
        <v>153</v>
      </c>
      <c r="I2679" s="14" t="s">
        <v>811</v>
      </c>
      <c r="J2679" s="15" t="n">
        <f aca="false">IF(B2679="SITE LOSS",IF(D2679=C2679,1,0),IF(B2679="REGION LOSS",IF(E2679=C2679,1,0),0))</f>
        <v>0</v>
      </c>
      <c r="K2679" s="15" t="n">
        <f aca="false">IF(B2679="SITE LOSS",IF(COUNTIFS('Site Dockets'!$B$7:$B$24,C2679,'Site Dockets'!$C$7:$C$24,F2679)&gt;0,1,0),IF(B2679="REGION LOSS",IF(COUNTIFS('Site Dockets'!$E$7:$E$24,C2679,'Site Dockets'!$C$7:$C$24,F2679)&gt;0,1,0),0))</f>
        <v>0</v>
      </c>
      <c r="L2679" s="15" t="n">
        <f aca="false">IF(J2679=1,0,Inputs!$B$11)</f>
        <v>100</v>
      </c>
      <c r="M2679" s="15" t="n">
        <f aca="false">IF(J2679=1,0,Inputs!$B$12)</f>
        <v>75</v>
      </c>
      <c r="N2679" s="15" t="n">
        <f aca="false">IF(J2679=1,0,IF(OR(AND(OR(B2679="SITE LOSS",B2679="REGION LOSS"),K2679=1),AND(B2679="ROLE COMPROMISE",H2679=C2679)),Inputs!$B$13,Inputs!$B$14))</f>
        <v>10</v>
      </c>
      <c r="O2679" s="15" t="n">
        <f aca="false">IF(J2679=1,0,Inputs!$B$13)</f>
        <v>20</v>
      </c>
      <c r="P2679" s="15" t="n">
        <f aca="false">SUM(M2679:N2679)</f>
        <v>85</v>
      </c>
      <c r="Q2679" s="15" t="n">
        <f aca="false">IF(J2679=1,"",L2679-P2679)</f>
        <v>15</v>
      </c>
      <c r="R2679" s="15" t="n">
        <f aca="false">IF(OR(J2679=1,M2679&lt;=Inputs!$B$12),1,0)</f>
        <v>1</v>
      </c>
      <c r="S2679" s="15" t="n">
        <f aca="false">IF(OR(J2679=1,N2679&lt;=O2679),1,0)</f>
        <v>1</v>
      </c>
      <c r="T2679" s="15" t="str">
        <f aca="false">IF(J2679=1,"OFFLINE",IF(AND(Q2679&gt;=Inputs!$B$15,R2679=1,S2679=1,P2679&lt;=L2679),"PASS","FAIL"))</f>
        <v>PASS</v>
      </c>
    </row>
    <row r="2680" customFormat="false" ht="15" hidden="false" customHeight="false" outlineLevel="0" collapsed="false">
      <c r="A2680" s="14" t="s">
        <v>1044</v>
      </c>
      <c r="B2680" s="14" t="s">
        <v>1045</v>
      </c>
      <c r="C2680" s="14" t="s">
        <v>1046</v>
      </c>
      <c r="D2680" s="14" t="s">
        <v>194</v>
      </c>
      <c r="E2680" s="14" t="s">
        <v>169</v>
      </c>
      <c r="F2680" s="14" t="s">
        <v>191</v>
      </c>
      <c r="G2680" s="14" t="n">
        <v>2</v>
      </c>
      <c r="H2680" s="14" t="s">
        <v>153</v>
      </c>
      <c r="I2680" s="14" t="s">
        <v>895</v>
      </c>
      <c r="J2680" s="15" t="n">
        <f aca="false">IF(B2680="SITE LOSS",IF(D2680=C2680,1,0),IF(B2680="REGION LOSS",IF(E2680=C2680,1,0),0))</f>
        <v>0</v>
      </c>
      <c r="K2680" s="15" t="n">
        <f aca="false">IF(B2680="SITE LOSS",IF(COUNTIFS('Site Dockets'!$B$7:$B$24,C2680,'Site Dockets'!$C$7:$C$24,F2680)&gt;0,1,0),IF(B2680="REGION LOSS",IF(COUNTIFS('Site Dockets'!$E$7:$E$24,C2680,'Site Dockets'!$C$7:$C$24,F2680)&gt;0,1,0),0))</f>
        <v>0</v>
      </c>
      <c r="L2680" s="15" t="n">
        <f aca="false">IF(J2680=1,0,Inputs!$B$11)</f>
        <v>100</v>
      </c>
      <c r="M2680" s="15" t="n">
        <f aca="false">IF(J2680=1,0,Inputs!$B$12)</f>
        <v>75</v>
      </c>
      <c r="N2680" s="15" t="n">
        <f aca="false">IF(J2680=1,0,IF(OR(AND(OR(B2680="SITE LOSS",B2680="REGION LOSS"),K2680=1),AND(B2680="ROLE COMPROMISE",H2680=C2680)),Inputs!$B$13,Inputs!$B$14))</f>
        <v>10</v>
      </c>
      <c r="O2680" s="15" t="n">
        <f aca="false">IF(J2680=1,0,Inputs!$B$13)</f>
        <v>20</v>
      </c>
      <c r="P2680" s="15" t="n">
        <f aca="false">SUM(M2680:N2680)</f>
        <v>85</v>
      </c>
      <c r="Q2680" s="15" t="n">
        <f aca="false">IF(J2680=1,"",L2680-P2680)</f>
        <v>15</v>
      </c>
      <c r="R2680" s="15" t="n">
        <f aca="false">IF(OR(J2680=1,M2680&lt;=Inputs!$B$12),1,0)</f>
        <v>1</v>
      </c>
      <c r="S2680" s="15" t="n">
        <f aca="false">IF(OR(J2680=1,N2680&lt;=O2680),1,0)</f>
        <v>1</v>
      </c>
      <c r="T2680" s="15" t="str">
        <f aca="false">IF(J2680=1,"OFFLINE",IF(AND(Q2680&gt;=Inputs!$B$15,R2680=1,S2680=1,P2680&lt;=L2680),"PASS","FAIL"))</f>
        <v>PASS</v>
      </c>
    </row>
    <row r="2681" customFormat="false" ht="15" hidden="false" customHeight="false" outlineLevel="0" collapsed="false">
      <c r="A2681" s="14" t="s">
        <v>1044</v>
      </c>
      <c r="B2681" s="14" t="s">
        <v>1045</v>
      </c>
      <c r="C2681" s="14" t="s">
        <v>1046</v>
      </c>
      <c r="D2681" s="14" t="s">
        <v>194</v>
      </c>
      <c r="E2681" s="14" t="s">
        <v>169</v>
      </c>
      <c r="F2681" s="14" t="s">
        <v>191</v>
      </c>
      <c r="G2681" s="14" t="n">
        <v>2</v>
      </c>
      <c r="H2681" s="14" t="s">
        <v>153</v>
      </c>
      <c r="I2681" s="14" t="s">
        <v>897</v>
      </c>
      <c r="J2681" s="15" t="n">
        <f aca="false">IF(B2681="SITE LOSS",IF(D2681=C2681,1,0),IF(B2681="REGION LOSS",IF(E2681=C2681,1,0),0))</f>
        <v>0</v>
      </c>
      <c r="K2681" s="15" t="n">
        <f aca="false">IF(B2681="SITE LOSS",IF(COUNTIFS('Site Dockets'!$B$7:$B$24,C2681,'Site Dockets'!$C$7:$C$24,F2681)&gt;0,1,0),IF(B2681="REGION LOSS",IF(COUNTIFS('Site Dockets'!$E$7:$E$24,C2681,'Site Dockets'!$C$7:$C$24,F2681)&gt;0,1,0),0))</f>
        <v>0</v>
      </c>
      <c r="L2681" s="15" t="n">
        <f aca="false">IF(J2681=1,0,Inputs!$B$11)</f>
        <v>100</v>
      </c>
      <c r="M2681" s="15" t="n">
        <f aca="false">IF(J2681=1,0,Inputs!$B$12)</f>
        <v>75</v>
      </c>
      <c r="N2681" s="15" t="n">
        <f aca="false">IF(J2681=1,0,IF(OR(AND(OR(B2681="SITE LOSS",B2681="REGION LOSS"),K2681=1),AND(B2681="ROLE COMPROMISE",H2681=C2681)),Inputs!$B$13,Inputs!$B$14))</f>
        <v>10</v>
      </c>
      <c r="O2681" s="15" t="n">
        <f aca="false">IF(J2681=1,0,Inputs!$B$13)</f>
        <v>20</v>
      </c>
      <c r="P2681" s="15" t="n">
        <f aca="false">SUM(M2681:N2681)</f>
        <v>85</v>
      </c>
      <c r="Q2681" s="15" t="n">
        <f aca="false">IF(J2681=1,"",L2681-P2681)</f>
        <v>15</v>
      </c>
      <c r="R2681" s="15" t="n">
        <f aca="false">IF(OR(J2681=1,M2681&lt;=Inputs!$B$12),1,0)</f>
        <v>1</v>
      </c>
      <c r="S2681" s="15" t="n">
        <f aca="false">IF(OR(J2681=1,N2681&lt;=O2681),1,0)</f>
        <v>1</v>
      </c>
      <c r="T2681" s="15" t="str">
        <f aca="false">IF(J2681=1,"OFFLINE",IF(AND(Q2681&gt;=Inputs!$B$15,R2681=1,S2681=1,P2681&lt;=L2681),"PASS","FAIL"))</f>
        <v>PASS</v>
      </c>
    </row>
    <row r="2682" customFormat="false" ht="15" hidden="false" customHeight="false" outlineLevel="0" collapsed="false">
      <c r="A2682" s="14" t="s">
        <v>1044</v>
      </c>
      <c r="B2682" s="14" t="s">
        <v>1045</v>
      </c>
      <c r="C2682" s="14" t="s">
        <v>1046</v>
      </c>
      <c r="D2682" s="14" t="s">
        <v>194</v>
      </c>
      <c r="E2682" s="14" t="s">
        <v>169</v>
      </c>
      <c r="F2682" s="14" t="s">
        <v>191</v>
      </c>
      <c r="G2682" s="14" t="n">
        <v>2</v>
      </c>
      <c r="H2682" s="14" t="s">
        <v>153</v>
      </c>
      <c r="I2682" s="14" t="s">
        <v>899</v>
      </c>
      <c r="J2682" s="15" t="n">
        <f aca="false">IF(B2682="SITE LOSS",IF(D2682=C2682,1,0),IF(B2682="REGION LOSS",IF(E2682=C2682,1,0),0))</f>
        <v>0</v>
      </c>
      <c r="K2682" s="15" t="n">
        <f aca="false">IF(B2682="SITE LOSS",IF(COUNTIFS('Site Dockets'!$B$7:$B$24,C2682,'Site Dockets'!$C$7:$C$24,F2682)&gt;0,1,0),IF(B2682="REGION LOSS",IF(COUNTIFS('Site Dockets'!$E$7:$E$24,C2682,'Site Dockets'!$C$7:$C$24,F2682)&gt;0,1,0),0))</f>
        <v>0</v>
      </c>
      <c r="L2682" s="15" t="n">
        <f aca="false">IF(J2682=1,0,Inputs!$B$11)</f>
        <v>100</v>
      </c>
      <c r="M2682" s="15" t="n">
        <f aca="false">IF(J2682=1,0,Inputs!$B$12)</f>
        <v>75</v>
      </c>
      <c r="N2682" s="15" t="n">
        <f aca="false">IF(J2682=1,0,IF(OR(AND(OR(B2682="SITE LOSS",B2682="REGION LOSS"),K2682=1),AND(B2682="ROLE COMPROMISE",H2682=C2682)),Inputs!$B$13,Inputs!$B$14))</f>
        <v>10</v>
      </c>
      <c r="O2682" s="15" t="n">
        <f aca="false">IF(J2682=1,0,Inputs!$B$13)</f>
        <v>20</v>
      </c>
      <c r="P2682" s="15" t="n">
        <f aca="false">SUM(M2682:N2682)</f>
        <v>85</v>
      </c>
      <c r="Q2682" s="15" t="n">
        <f aca="false">IF(J2682=1,"",L2682-P2682)</f>
        <v>15</v>
      </c>
      <c r="R2682" s="15" t="n">
        <f aca="false">IF(OR(J2682=1,M2682&lt;=Inputs!$B$12),1,0)</f>
        <v>1</v>
      </c>
      <c r="S2682" s="15" t="n">
        <f aca="false">IF(OR(J2682=1,N2682&lt;=O2682),1,0)</f>
        <v>1</v>
      </c>
      <c r="T2682" s="15" t="str">
        <f aca="false">IF(J2682=1,"OFFLINE",IF(AND(Q2682&gt;=Inputs!$B$15,R2682=1,S2682=1,P2682&lt;=L2682),"PASS","FAIL"))</f>
        <v>PASS</v>
      </c>
    </row>
    <row r="2683" customFormat="false" ht="15" hidden="false" customHeight="false" outlineLevel="0" collapsed="false">
      <c r="A2683" s="14" t="s">
        <v>1044</v>
      </c>
      <c r="B2683" s="14" t="s">
        <v>1045</v>
      </c>
      <c r="C2683" s="14" t="s">
        <v>1046</v>
      </c>
      <c r="D2683" s="14" t="s">
        <v>196</v>
      </c>
      <c r="E2683" s="14" t="s">
        <v>172</v>
      </c>
      <c r="F2683" s="14" t="s">
        <v>191</v>
      </c>
      <c r="G2683" s="14" t="n">
        <v>3</v>
      </c>
      <c r="H2683" s="14" t="s">
        <v>158</v>
      </c>
      <c r="I2683" s="14" t="s">
        <v>890</v>
      </c>
      <c r="J2683" s="15" t="n">
        <f aca="false">IF(B2683="SITE LOSS",IF(D2683=C2683,1,0),IF(B2683="REGION LOSS",IF(E2683=C2683,1,0),0))</f>
        <v>0</v>
      </c>
      <c r="K2683" s="15" t="n">
        <f aca="false">IF(B2683="SITE LOSS",IF(COUNTIFS('Site Dockets'!$B$7:$B$24,C2683,'Site Dockets'!$C$7:$C$24,F2683)&gt;0,1,0),IF(B2683="REGION LOSS",IF(COUNTIFS('Site Dockets'!$E$7:$E$24,C2683,'Site Dockets'!$C$7:$C$24,F2683)&gt;0,1,0),0))</f>
        <v>0</v>
      </c>
      <c r="L2683" s="15" t="n">
        <f aca="false">IF(J2683=1,0,Inputs!$B$11)</f>
        <v>100</v>
      </c>
      <c r="M2683" s="15" t="n">
        <f aca="false">IF(J2683=1,0,Inputs!$B$12)</f>
        <v>75</v>
      </c>
      <c r="N2683" s="15" t="n">
        <f aca="false">IF(J2683=1,0,IF(OR(AND(OR(B2683="SITE LOSS",B2683="REGION LOSS"),K2683=1),AND(B2683="ROLE COMPROMISE",H2683=C2683)),Inputs!$B$13,Inputs!$B$14))</f>
        <v>10</v>
      </c>
      <c r="O2683" s="15" t="n">
        <f aca="false">IF(J2683=1,0,Inputs!$B$13)</f>
        <v>20</v>
      </c>
      <c r="P2683" s="15" t="n">
        <f aca="false">SUM(M2683:N2683)</f>
        <v>85</v>
      </c>
      <c r="Q2683" s="15" t="n">
        <f aca="false">IF(J2683=1,"",L2683-P2683)</f>
        <v>15</v>
      </c>
      <c r="R2683" s="15" t="n">
        <f aca="false">IF(OR(J2683=1,M2683&lt;=Inputs!$B$12),1,0)</f>
        <v>1</v>
      </c>
      <c r="S2683" s="15" t="n">
        <f aca="false">IF(OR(J2683=1,N2683&lt;=O2683),1,0)</f>
        <v>1</v>
      </c>
      <c r="T2683" s="15" t="str">
        <f aca="false">IF(J2683=1,"OFFLINE",IF(AND(Q2683&gt;=Inputs!$B$15,R2683=1,S2683=1,P2683&lt;=L2683),"PASS","FAIL"))</f>
        <v>PASS</v>
      </c>
    </row>
    <row r="2684" customFormat="false" ht="15" hidden="false" customHeight="false" outlineLevel="0" collapsed="false">
      <c r="A2684" s="14" t="s">
        <v>1044</v>
      </c>
      <c r="B2684" s="14" t="s">
        <v>1045</v>
      </c>
      <c r="C2684" s="14" t="s">
        <v>1046</v>
      </c>
      <c r="D2684" s="14" t="s">
        <v>196</v>
      </c>
      <c r="E2684" s="14" t="s">
        <v>172</v>
      </c>
      <c r="F2684" s="14" t="s">
        <v>191</v>
      </c>
      <c r="G2684" s="14" t="n">
        <v>3</v>
      </c>
      <c r="H2684" s="14" t="s">
        <v>158</v>
      </c>
      <c r="I2684" s="14" t="s">
        <v>892</v>
      </c>
      <c r="J2684" s="15" t="n">
        <f aca="false">IF(B2684="SITE LOSS",IF(D2684=C2684,1,0),IF(B2684="REGION LOSS",IF(E2684=C2684,1,0),0))</f>
        <v>0</v>
      </c>
      <c r="K2684" s="15" t="n">
        <f aca="false">IF(B2684="SITE LOSS",IF(COUNTIFS('Site Dockets'!$B$7:$B$24,C2684,'Site Dockets'!$C$7:$C$24,F2684)&gt;0,1,0),IF(B2684="REGION LOSS",IF(COUNTIFS('Site Dockets'!$E$7:$E$24,C2684,'Site Dockets'!$C$7:$C$24,F2684)&gt;0,1,0),0))</f>
        <v>0</v>
      </c>
      <c r="L2684" s="15" t="n">
        <f aca="false">IF(J2684=1,0,Inputs!$B$11)</f>
        <v>100</v>
      </c>
      <c r="M2684" s="15" t="n">
        <f aca="false">IF(J2684=1,0,Inputs!$B$12)</f>
        <v>75</v>
      </c>
      <c r="N2684" s="15" t="n">
        <f aca="false">IF(J2684=1,0,IF(OR(AND(OR(B2684="SITE LOSS",B2684="REGION LOSS"),K2684=1),AND(B2684="ROLE COMPROMISE",H2684=C2684)),Inputs!$B$13,Inputs!$B$14))</f>
        <v>10</v>
      </c>
      <c r="O2684" s="15" t="n">
        <f aca="false">IF(J2684=1,0,Inputs!$B$13)</f>
        <v>20</v>
      </c>
      <c r="P2684" s="15" t="n">
        <f aca="false">SUM(M2684:N2684)</f>
        <v>85</v>
      </c>
      <c r="Q2684" s="15" t="n">
        <f aca="false">IF(J2684=1,"",L2684-P2684)</f>
        <v>15</v>
      </c>
      <c r="R2684" s="15" t="n">
        <f aca="false">IF(OR(J2684=1,M2684&lt;=Inputs!$B$12),1,0)</f>
        <v>1</v>
      </c>
      <c r="S2684" s="15" t="n">
        <f aca="false">IF(OR(J2684=1,N2684&lt;=O2684),1,0)</f>
        <v>1</v>
      </c>
      <c r="T2684" s="15" t="str">
        <f aca="false">IF(J2684=1,"OFFLINE",IF(AND(Q2684&gt;=Inputs!$B$15,R2684=1,S2684=1,P2684&lt;=L2684),"PASS","FAIL"))</f>
        <v>PASS</v>
      </c>
    </row>
    <row r="2685" customFormat="false" ht="15" hidden="false" customHeight="false" outlineLevel="0" collapsed="false">
      <c r="A2685" s="14" t="s">
        <v>1044</v>
      </c>
      <c r="B2685" s="14" t="s">
        <v>1045</v>
      </c>
      <c r="C2685" s="14" t="s">
        <v>1046</v>
      </c>
      <c r="D2685" s="14" t="s">
        <v>196</v>
      </c>
      <c r="E2685" s="14" t="s">
        <v>172</v>
      </c>
      <c r="F2685" s="14" t="s">
        <v>191</v>
      </c>
      <c r="G2685" s="14" t="n">
        <v>3</v>
      </c>
      <c r="H2685" s="14" t="s">
        <v>158</v>
      </c>
      <c r="I2685" s="14" t="s">
        <v>811</v>
      </c>
      <c r="J2685" s="15" t="n">
        <f aca="false">IF(B2685="SITE LOSS",IF(D2685=C2685,1,0),IF(B2685="REGION LOSS",IF(E2685=C2685,1,0),0))</f>
        <v>0</v>
      </c>
      <c r="K2685" s="15" t="n">
        <f aca="false">IF(B2685="SITE LOSS",IF(COUNTIFS('Site Dockets'!$B$7:$B$24,C2685,'Site Dockets'!$C$7:$C$24,F2685)&gt;0,1,0),IF(B2685="REGION LOSS",IF(COUNTIFS('Site Dockets'!$E$7:$E$24,C2685,'Site Dockets'!$C$7:$C$24,F2685)&gt;0,1,0),0))</f>
        <v>0</v>
      </c>
      <c r="L2685" s="15" t="n">
        <f aca="false">IF(J2685=1,0,Inputs!$B$11)</f>
        <v>100</v>
      </c>
      <c r="M2685" s="15" t="n">
        <f aca="false">IF(J2685=1,0,Inputs!$B$12)</f>
        <v>75</v>
      </c>
      <c r="N2685" s="15" t="n">
        <f aca="false">IF(J2685=1,0,IF(OR(AND(OR(B2685="SITE LOSS",B2685="REGION LOSS"),K2685=1),AND(B2685="ROLE COMPROMISE",H2685=C2685)),Inputs!$B$13,Inputs!$B$14))</f>
        <v>10</v>
      </c>
      <c r="O2685" s="15" t="n">
        <f aca="false">IF(J2685=1,0,Inputs!$B$13)</f>
        <v>20</v>
      </c>
      <c r="P2685" s="15" t="n">
        <f aca="false">SUM(M2685:N2685)</f>
        <v>85</v>
      </c>
      <c r="Q2685" s="15" t="n">
        <f aca="false">IF(J2685=1,"",L2685-P2685)</f>
        <v>15</v>
      </c>
      <c r="R2685" s="15" t="n">
        <f aca="false">IF(OR(J2685=1,M2685&lt;=Inputs!$B$12),1,0)</f>
        <v>1</v>
      </c>
      <c r="S2685" s="15" t="n">
        <f aca="false">IF(OR(J2685=1,N2685&lt;=O2685),1,0)</f>
        <v>1</v>
      </c>
      <c r="T2685" s="15" t="str">
        <f aca="false">IF(J2685=1,"OFFLINE",IF(AND(Q2685&gt;=Inputs!$B$15,R2685=1,S2685=1,P2685&lt;=L2685),"PASS","FAIL"))</f>
        <v>PASS</v>
      </c>
    </row>
    <row r="2686" customFormat="false" ht="15" hidden="false" customHeight="false" outlineLevel="0" collapsed="false">
      <c r="A2686" s="14" t="s">
        <v>1044</v>
      </c>
      <c r="B2686" s="14" t="s">
        <v>1045</v>
      </c>
      <c r="C2686" s="14" t="s">
        <v>1046</v>
      </c>
      <c r="D2686" s="14" t="s">
        <v>196</v>
      </c>
      <c r="E2686" s="14" t="s">
        <v>172</v>
      </c>
      <c r="F2686" s="14" t="s">
        <v>191</v>
      </c>
      <c r="G2686" s="14" t="n">
        <v>3</v>
      </c>
      <c r="H2686" s="14" t="s">
        <v>158</v>
      </c>
      <c r="I2686" s="14" t="s">
        <v>895</v>
      </c>
      <c r="J2686" s="15" t="n">
        <f aca="false">IF(B2686="SITE LOSS",IF(D2686=C2686,1,0),IF(B2686="REGION LOSS",IF(E2686=C2686,1,0),0))</f>
        <v>0</v>
      </c>
      <c r="K2686" s="15" t="n">
        <f aca="false">IF(B2686="SITE LOSS",IF(COUNTIFS('Site Dockets'!$B$7:$B$24,C2686,'Site Dockets'!$C$7:$C$24,F2686)&gt;0,1,0),IF(B2686="REGION LOSS",IF(COUNTIFS('Site Dockets'!$E$7:$E$24,C2686,'Site Dockets'!$C$7:$C$24,F2686)&gt;0,1,0),0))</f>
        <v>0</v>
      </c>
      <c r="L2686" s="15" t="n">
        <f aca="false">IF(J2686=1,0,Inputs!$B$11)</f>
        <v>100</v>
      </c>
      <c r="M2686" s="15" t="n">
        <f aca="false">IF(J2686=1,0,Inputs!$B$12)</f>
        <v>75</v>
      </c>
      <c r="N2686" s="15" t="n">
        <f aca="false">IF(J2686=1,0,IF(OR(AND(OR(B2686="SITE LOSS",B2686="REGION LOSS"),K2686=1),AND(B2686="ROLE COMPROMISE",H2686=C2686)),Inputs!$B$13,Inputs!$B$14))</f>
        <v>10</v>
      </c>
      <c r="O2686" s="15" t="n">
        <f aca="false">IF(J2686=1,0,Inputs!$B$13)</f>
        <v>20</v>
      </c>
      <c r="P2686" s="15" t="n">
        <f aca="false">SUM(M2686:N2686)</f>
        <v>85</v>
      </c>
      <c r="Q2686" s="15" t="n">
        <f aca="false">IF(J2686=1,"",L2686-P2686)</f>
        <v>15</v>
      </c>
      <c r="R2686" s="15" t="n">
        <f aca="false">IF(OR(J2686=1,M2686&lt;=Inputs!$B$12),1,0)</f>
        <v>1</v>
      </c>
      <c r="S2686" s="15" t="n">
        <f aca="false">IF(OR(J2686=1,N2686&lt;=O2686),1,0)</f>
        <v>1</v>
      </c>
      <c r="T2686" s="15" t="str">
        <f aca="false">IF(J2686=1,"OFFLINE",IF(AND(Q2686&gt;=Inputs!$B$15,R2686=1,S2686=1,P2686&lt;=L2686),"PASS","FAIL"))</f>
        <v>PASS</v>
      </c>
    </row>
    <row r="2687" customFormat="false" ht="15" hidden="false" customHeight="false" outlineLevel="0" collapsed="false">
      <c r="A2687" s="14" t="s">
        <v>1044</v>
      </c>
      <c r="B2687" s="14" t="s">
        <v>1045</v>
      </c>
      <c r="C2687" s="14" t="s">
        <v>1046</v>
      </c>
      <c r="D2687" s="14" t="s">
        <v>196</v>
      </c>
      <c r="E2687" s="14" t="s">
        <v>172</v>
      </c>
      <c r="F2687" s="14" t="s">
        <v>191</v>
      </c>
      <c r="G2687" s="14" t="n">
        <v>3</v>
      </c>
      <c r="H2687" s="14" t="s">
        <v>158</v>
      </c>
      <c r="I2687" s="14" t="s">
        <v>897</v>
      </c>
      <c r="J2687" s="15" t="n">
        <f aca="false">IF(B2687="SITE LOSS",IF(D2687=C2687,1,0),IF(B2687="REGION LOSS",IF(E2687=C2687,1,0),0))</f>
        <v>0</v>
      </c>
      <c r="K2687" s="15" t="n">
        <f aca="false">IF(B2687="SITE LOSS",IF(COUNTIFS('Site Dockets'!$B$7:$B$24,C2687,'Site Dockets'!$C$7:$C$24,F2687)&gt;0,1,0),IF(B2687="REGION LOSS",IF(COUNTIFS('Site Dockets'!$E$7:$E$24,C2687,'Site Dockets'!$C$7:$C$24,F2687)&gt;0,1,0),0))</f>
        <v>0</v>
      </c>
      <c r="L2687" s="15" t="n">
        <f aca="false">IF(J2687=1,0,Inputs!$B$11)</f>
        <v>100</v>
      </c>
      <c r="M2687" s="15" t="n">
        <f aca="false">IF(J2687=1,0,Inputs!$B$12)</f>
        <v>75</v>
      </c>
      <c r="N2687" s="15" t="n">
        <f aca="false">IF(J2687=1,0,IF(OR(AND(OR(B2687="SITE LOSS",B2687="REGION LOSS"),K2687=1),AND(B2687="ROLE COMPROMISE",H2687=C2687)),Inputs!$B$13,Inputs!$B$14))</f>
        <v>10</v>
      </c>
      <c r="O2687" s="15" t="n">
        <f aca="false">IF(J2687=1,0,Inputs!$B$13)</f>
        <v>20</v>
      </c>
      <c r="P2687" s="15" t="n">
        <f aca="false">SUM(M2687:N2687)</f>
        <v>85</v>
      </c>
      <c r="Q2687" s="15" t="n">
        <f aca="false">IF(J2687=1,"",L2687-P2687)</f>
        <v>15</v>
      </c>
      <c r="R2687" s="15" t="n">
        <f aca="false">IF(OR(J2687=1,M2687&lt;=Inputs!$B$12),1,0)</f>
        <v>1</v>
      </c>
      <c r="S2687" s="15" t="n">
        <f aca="false">IF(OR(J2687=1,N2687&lt;=O2687),1,0)</f>
        <v>1</v>
      </c>
      <c r="T2687" s="15" t="str">
        <f aca="false">IF(J2687=1,"OFFLINE",IF(AND(Q2687&gt;=Inputs!$B$15,R2687=1,S2687=1,P2687&lt;=L2687),"PASS","FAIL"))</f>
        <v>PASS</v>
      </c>
    </row>
    <row r="2688" customFormat="false" ht="15" hidden="false" customHeight="false" outlineLevel="0" collapsed="false">
      <c r="A2688" s="14" t="s">
        <v>1044</v>
      </c>
      <c r="B2688" s="14" t="s">
        <v>1045</v>
      </c>
      <c r="C2688" s="14" t="s">
        <v>1046</v>
      </c>
      <c r="D2688" s="14" t="s">
        <v>196</v>
      </c>
      <c r="E2688" s="14" t="s">
        <v>172</v>
      </c>
      <c r="F2688" s="14" t="s">
        <v>191</v>
      </c>
      <c r="G2688" s="14" t="n">
        <v>3</v>
      </c>
      <c r="H2688" s="14" t="s">
        <v>158</v>
      </c>
      <c r="I2688" s="14" t="s">
        <v>899</v>
      </c>
      <c r="J2688" s="15" t="n">
        <f aca="false">IF(B2688="SITE LOSS",IF(D2688=C2688,1,0),IF(B2688="REGION LOSS",IF(E2688=C2688,1,0),0))</f>
        <v>0</v>
      </c>
      <c r="K2688" s="15" t="n">
        <f aca="false">IF(B2688="SITE LOSS",IF(COUNTIFS('Site Dockets'!$B$7:$B$24,C2688,'Site Dockets'!$C$7:$C$24,F2688)&gt;0,1,0),IF(B2688="REGION LOSS",IF(COUNTIFS('Site Dockets'!$E$7:$E$24,C2688,'Site Dockets'!$C$7:$C$24,F2688)&gt;0,1,0),0))</f>
        <v>0</v>
      </c>
      <c r="L2688" s="15" t="n">
        <f aca="false">IF(J2688=1,0,Inputs!$B$11)</f>
        <v>100</v>
      </c>
      <c r="M2688" s="15" t="n">
        <f aca="false">IF(J2688=1,0,Inputs!$B$12)</f>
        <v>75</v>
      </c>
      <c r="N2688" s="15" t="n">
        <f aca="false">IF(J2688=1,0,IF(OR(AND(OR(B2688="SITE LOSS",B2688="REGION LOSS"),K2688=1),AND(B2688="ROLE COMPROMISE",H2688=C2688)),Inputs!$B$13,Inputs!$B$14))</f>
        <v>10</v>
      </c>
      <c r="O2688" s="15" t="n">
        <f aca="false">IF(J2688=1,0,Inputs!$B$13)</f>
        <v>20</v>
      </c>
      <c r="P2688" s="15" t="n">
        <f aca="false">SUM(M2688:N2688)</f>
        <v>85</v>
      </c>
      <c r="Q2688" s="15" t="n">
        <f aca="false">IF(J2688=1,"",L2688-P2688)</f>
        <v>15</v>
      </c>
      <c r="R2688" s="15" t="n">
        <f aca="false">IF(OR(J2688=1,M2688&lt;=Inputs!$B$12),1,0)</f>
        <v>1</v>
      </c>
      <c r="S2688" s="15" t="n">
        <f aca="false">IF(OR(J2688=1,N2688&lt;=O2688),1,0)</f>
        <v>1</v>
      </c>
      <c r="T2688" s="15" t="str">
        <f aca="false">IF(J2688=1,"OFFLINE",IF(AND(Q2688&gt;=Inputs!$B$15,R2688=1,S2688=1,P2688&lt;=L2688),"PASS","FAIL"))</f>
        <v>PASS</v>
      </c>
    </row>
    <row r="2689" customFormat="false" ht="15" hidden="false" customHeight="false" outlineLevel="0" collapsed="false">
      <c r="A2689" s="14" t="s">
        <v>1044</v>
      </c>
      <c r="B2689" s="14" t="s">
        <v>1045</v>
      </c>
      <c r="C2689" s="14" t="s">
        <v>1046</v>
      </c>
      <c r="D2689" s="14" t="s">
        <v>198</v>
      </c>
      <c r="E2689" s="14" t="s">
        <v>166</v>
      </c>
      <c r="F2689" s="14" t="s">
        <v>199</v>
      </c>
      <c r="G2689" s="14" t="n">
        <v>1</v>
      </c>
      <c r="H2689" s="14" t="s">
        <v>154</v>
      </c>
      <c r="I2689" s="14" t="s">
        <v>890</v>
      </c>
      <c r="J2689" s="15" t="n">
        <f aca="false">IF(B2689="SITE LOSS",IF(D2689=C2689,1,0),IF(B2689="REGION LOSS",IF(E2689=C2689,1,0),0))</f>
        <v>0</v>
      </c>
      <c r="K2689" s="15" t="n">
        <f aca="false">IF(B2689="SITE LOSS",IF(COUNTIFS('Site Dockets'!$B$7:$B$24,C2689,'Site Dockets'!$C$7:$C$24,F2689)&gt;0,1,0),IF(B2689="REGION LOSS",IF(COUNTIFS('Site Dockets'!$E$7:$E$24,C2689,'Site Dockets'!$C$7:$C$24,F2689)&gt;0,1,0),0))</f>
        <v>0</v>
      </c>
      <c r="L2689" s="15" t="n">
        <f aca="false">IF(J2689=1,0,Inputs!$B$11)</f>
        <v>100</v>
      </c>
      <c r="M2689" s="15" t="n">
        <f aca="false">IF(J2689=1,0,Inputs!$B$12)</f>
        <v>75</v>
      </c>
      <c r="N2689" s="15" t="n">
        <f aca="false">IF(J2689=1,0,IF(OR(AND(OR(B2689="SITE LOSS",B2689="REGION LOSS"),K2689=1),AND(B2689="ROLE COMPROMISE",H2689=C2689)),Inputs!$B$13,Inputs!$B$14))</f>
        <v>10</v>
      </c>
      <c r="O2689" s="15" t="n">
        <f aca="false">IF(J2689=1,0,Inputs!$B$13)</f>
        <v>20</v>
      </c>
      <c r="P2689" s="15" t="n">
        <f aca="false">SUM(M2689:N2689)</f>
        <v>85</v>
      </c>
      <c r="Q2689" s="15" t="n">
        <f aca="false">IF(J2689=1,"",L2689-P2689)</f>
        <v>15</v>
      </c>
      <c r="R2689" s="15" t="n">
        <f aca="false">IF(OR(J2689=1,M2689&lt;=Inputs!$B$12),1,0)</f>
        <v>1</v>
      </c>
      <c r="S2689" s="15" t="n">
        <f aca="false">IF(OR(J2689=1,N2689&lt;=O2689),1,0)</f>
        <v>1</v>
      </c>
      <c r="T2689" s="15" t="str">
        <f aca="false">IF(J2689=1,"OFFLINE",IF(AND(Q2689&gt;=Inputs!$B$15,R2689=1,S2689=1,P2689&lt;=L2689),"PASS","FAIL"))</f>
        <v>PASS</v>
      </c>
    </row>
    <row r="2690" customFormat="false" ht="15" hidden="false" customHeight="false" outlineLevel="0" collapsed="false">
      <c r="A2690" s="14" t="s">
        <v>1044</v>
      </c>
      <c r="B2690" s="14" t="s">
        <v>1045</v>
      </c>
      <c r="C2690" s="14" t="s">
        <v>1046</v>
      </c>
      <c r="D2690" s="14" t="s">
        <v>198</v>
      </c>
      <c r="E2690" s="14" t="s">
        <v>166</v>
      </c>
      <c r="F2690" s="14" t="s">
        <v>199</v>
      </c>
      <c r="G2690" s="14" t="n">
        <v>1</v>
      </c>
      <c r="H2690" s="14" t="s">
        <v>154</v>
      </c>
      <c r="I2690" s="14" t="s">
        <v>892</v>
      </c>
      <c r="J2690" s="15" t="n">
        <f aca="false">IF(B2690="SITE LOSS",IF(D2690=C2690,1,0),IF(B2690="REGION LOSS",IF(E2690=C2690,1,0),0))</f>
        <v>0</v>
      </c>
      <c r="K2690" s="15" t="n">
        <f aca="false">IF(B2690="SITE LOSS",IF(COUNTIFS('Site Dockets'!$B$7:$B$24,C2690,'Site Dockets'!$C$7:$C$24,F2690)&gt;0,1,0),IF(B2690="REGION LOSS",IF(COUNTIFS('Site Dockets'!$E$7:$E$24,C2690,'Site Dockets'!$C$7:$C$24,F2690)&gt;0,1,0),0))</f>
        <v>0</v>
      </c>
      <c r="L2690" s="15" t="n">
        <f aca="false">IF(J2690=1,0,Inputs!$B$11)</f>
        <v>100</v>
      </c>
      <c r="M2690" s="15" t="n">
        <f aca="false">IF(J2690=1,0,Inputs!$B$12)</f>
        <v>75</v>
      </c>
      <c r="N2690" s="15" t="n">
        <f aca="false">IF(J2690=1,0,IF(OR(AND(OR(B2690="SITE LOSS",B2690="REGION LOSS"),K2690=1),AND(B2690="ROLE COMPROMISE",H2690=C2690)),Inputs!$B$13,Inputs!$B$14))</f>
        <v>10</v>
      </c>
      <c r="O2690" s="15" t="n">
        <f aca="false">IF(J2690=1,0,Inputs!$B$13)</f>
        <v>20</v>
      </c>
      <c r="P2690" s="15" t="n">
        <f aca="false">SUM(M2690:N2690)</f>
        <v>85</v>
      </c>
      <c r="Q2690" s="15" t="n">
        <f aca="false">IF(J2690=1,"",L2690-P2690)</f>
        <v>15</v>
      </c>
      <c r="R2690" s="15" t="n">
        <f aca="false">IF(OR(J2690=1,M2690&lt;=Inputs!$B$12),1,0)</f>
        <v>1</v>
      </c>
      <c r="S2690" s="15" t="n">
        <f aca="false">IF(OR(J2690=1,N2690&lt;=O2690),1,0)</f>
        <v>1</v>
      </c>
      <c r="T2690" s="15" t="str">
        <f aca="false">IF(J2690=1,"OFFLINE",IF(AND(Q2690&gt;=Inputs!$B$15,R2690=1,S2690=1,P2690&lt;=L2690),"PASS","FAIL"))</f>
        <v>PASS</v>
      </c>
    </row>
    <row r="2691" customFormat="false" ht="15" hidden="false" customHeight="false" outlineLevel="0" collapsed="false">
      <c r="A2691" s="14" t="s">
        <v>1044</v>
      </c>
      <c r="B2691" s="14" t="s">
        <v>1045</v>
      </c>
      <c r="C2691" s="14" t="s">
        <v>1046</v>
      </c>
      <c r="D2691" s="14" t="s">
        <v>198</v>
      </c>
      <c r="E2691" s="14" t="s">
        <v>166</v>
      </c>
      <c r="F2691" s="14" t="s">
        <v>199</v>
      </c>
      <c r="G2691" s="14" t="n">
        <v>1</v>
      </c>
      <c r="H2691" s="14" t="s">
        <v>154</v>
      </c>
      <c r="I2691" s="14" t="s">
        <v>811</v>
      </c>
      <c r="J2691" s="15" t="n">
        <f aca="false">IF(B2691="SITE LOSS",IF(D2691=C2691,1,0),IF(B2691="REGION LOSS",IF(E2691=C2691,1,0),0))</f>
        <v>0</v>
      </c>
      <c r="K2691" s="15" t="n">
        <f aca="false">IF(B2691="SITE LOSS",IF(COUNTIFS('Site Dockets'!$B$7:$B$24,C2691,'Site Dockets'!$C$7:$C$24,F2691)&gt;0,1,0),IF(B2691="REGION LOSS",IF(COUNTIFS('Site Dockets'!$E$7:$E$24,C2691,'Site Dockets'!$C$7:$C$24,F2691)&gt;0,1,0),0))</f>
        <v>0</v>
      </c>
      <c r="L2691" s="15" t="n">
        <f aca="false">IF(J2691=1,0,Inputs!$B$11)</f>
        <v>100</v>
      </c>
      <c r="M2691" s="15" t="n">
        <f aca="false">IF(J2691=1,0,Inputs!$B$12)</f>
        <v>75</v>
      </c>
      <c r="N2691" s="15" t="n">
        <f aca="false">IF(J2691=1,0,IF(OR(AND(OR(B2691="SITE LOSS",B2691="REGION LOSS"),K2691=1),AND(B2691="ROLE COMPROMISE",H2691=C2691)),Inputs!$B$13,Inputs!$B$14))</f>
        <v>10</v>
      </c>
      <c r="O2691" s="15" t="n">
        <f aca="false">IF(J2691=1,0,Inputs!$B$13)</f>
        <v>20</v>
      </c>
      <c r="P2691" s="15" t="n">
        <f aca="false">SUM(M2691:N2691)</f>
        <v>85</v>
      </c>
      <c r="Q2691" s="15" t="n">
        <f aca="false">IF(J2691=1,"",L2691-P2691)</f>
        <v>15</v>
      </c>
      <c r="R2691" s="15" t="n">
        <f aca="false">IF(OR(J2691=1,M2691&lt;=Inputs!$B$12),1,0)</f>
        <v>1</v>
      </c>
      <c r="S2691" s="15" t="n">
        <f aca="false">IF(OR(J2691=1,N2691&lt;=O2691),1,0)</f>
        <v>1</v>
      </c>
      <c r="T2691" s="15" t="str">
        <f aca="false">IF(J2691=1,"OFFLINE",IF(AND(Q2691&gt;=Inputs!$B$15,R2691=1,S2691=1,P2691&lt;=L2691),"PASS","FAIL"))</f>
        <v>PASS</v>
      </c>
    </row>
    <row r="2692" customFormat="false" ht="15" hidden="false" customHeight="false" outlineLevel="0" collapsed="false">
      <c r="A2692" s="14" t="s">
        <v>1044</v>
      </c>
      <c r="B2692" s="14" t="s">
        <v>1045</v>
      </c>
      <c r="C2692" s="14" t="s">
        <v>1046</v>
      </c>
      <c r="D2692" s="14" t="s">
        <v>198</v>
      </c>
      <c r="E2692" s="14" t="s">
        <v>166</v>
      </c>
      <c r="F2692" s="14" t="s">
        <v>199</v>
      </c>
      <c r="G2692" s="14" t="n">
        <v>1</v>
      </c>
      <c r="H2692" s="14" t="s">
        <v>154</v>
      </c>
      <c r="I2692" s="14" t="s">
        <v>895</v>
      </c>
      <c r="J2692" s="15" t="n">
        <f aca="false">IF(B2692="SITE LOSS",IF(D2692=C2692,1,0),IF(B2692="REGION LOSS",IF(E2692=C2692,1,0),0))</f>
        <v>0</v>
      </c>
      <c r="K2692" s="15" t="n">
        <f aca="false">IF(B2692="SITE LOSS",IF(COUNTIFS('Site Dockets'!$B$7:$B$24,C2692,'Site Dockets'!$C$7:$C$24,F2692)&gt;0,1,0),IF(B2692="REGION LOSS",IF(COUNTIFS('Site Dockets'!$E$7:$E$24,C2692,'Site Dockets'!$C$7:$C$24,F2692)&gt;0,1,0),0))</f>
        <v>0</v>
      </c>
      <c r="L2692" s="15" t="n">
        <f aca="false">IF(J2692=1,0,Inputs!$B$11)</f>
        <v>100</v>
      </c>
      <c r="M2692" s="15" t="n">
        <f aca="false">IF(J2692=1,0,Inputs!$B$12)</f>
        <v>75</v>
      </c>
      <c r="N2692" s="15" t="n">
        <f aca="false">IF(J2692=1,0,IF(OR(AND(OR(B2692="SITE LOSS",B2692="REGION LOSS"),K2692=1),AND(B2692="ROLE COMPROMISE",H2692=C2692)),Inputs!$B$13,Inputs!$B$14))</f>
        <v>10</v>
      </c>
      <c r="O2692" s="15" t="n">
        <f aca="false">IF(J2692=1,0,Inputs!$B$13)</f>
        <v>20</v>
      </c>
      <c r="P2692" s="15" t="n">
        <f aca="false">SUM(M2692:N2692)</f>
        <v>85</v>
      </c>
      <c r="Q2692" s="15" t="n">
        <f aca="false">IF(J2692=1,"",L2692-P2692)</f>
        <v>15</v>
      </c>
      <c r="R2692" s="15" t="n">
        <f aca="false">IF(OR(J2692=1,M2692&lt;=Inputs!$B$12),1,0)</f>
        <v>1</v>
      </c>
      <c r="S2692" s="15" t="n">
        <f aca="false">IF(OR(J2692=1,N2692&lt;=O2692),1,0)</f>
        <v>1</v>
      </c>
      <c r="T2692" s="15" t="str">
        <f aca="false">IF(J2692=1,"OFFLINE",IF(AND(Q2692&gt;=Inputs!$B$15,R2692=1,S2692=1,P2692&lt;=L2692),"PASS","FAIL"))</f>
        <v>PASS</v>
      </c>
    </row>
    <row r="2693" customFormat="false" ht="15" hidden="false" customHeight="false" outlineLevel="0" collapsed="false">
      <c r="A2693" s="14" t="s">
        <v>1044</v>
      </c>
      <c r="B2693" s="14" t="s">
        <v>1045</v>
      </c>
      <c r="C2693" s="14" t="s">
        <v>1046</v>
      </c>
      <c r="D2693" s="14" t="s">
        <v>198</v>
      </c>
      <c r="E2693" s="14" t="s">
        <v>166</v>
      </c>
      <c r="F2693" s="14" t="s">
        <v>199</v>
      </c>
      <c r="G2693" s="14" t="n">
        <v>1</v>
      </c>
      <c r="H2693" s="14" t="s">
        <v>154</v>
      </c>
      <c r="I2693" s="14" t="s">
        <v>897</v>
      </c>
      <c r="J2693" s="15" t="n">
        <f aca="false">IF(B2693="SITE LOSS",IF(D2693=C2693,1,0),IF(B2693="REGION LOSS",IF(E2693=C2693,1,0),0))</f>
        <v>0</v>
      </c>
      <c r="K2693" s="15" t="n">
        <f aca="false">IF(B2693="SITE LOSS",IF(COUNTIFS('Site Dockets'!$B$7:$B$24,C2693,'Site Dockets'!$C$7:$C$24,F2693)&gt;0,1,0),IF(B2693="REGION LOSS",IF(COUNTIFS('Site Dockets'!$E$7:$E$24,C2693,'Site Dockets'!$C$7:$C$24,F2693)&gt;0,1,0),0))</f>
        <v>0</v>
      </c>
      <c r="L2693" s="15" t="n">
        <f aca="false">IF(J2693=1,0,Inputs!$B$11)</f>
        <v>100</v>
      </c>
      <c r="M2693" s="15" t="n">
        <f aca="false">IF(J2693=1,0,Inputs!$B$12)</f>
        <v>75</v>
      </c>
      <c r="N2693" s="15" t="n">
        <f aca="false">IF(J2693=1,0,IF(OR(AND(OR(B2693="SITE LOSS",B2693="REGION LOSS"),K2693=1),AND(B2693="ROLE COMPROMISE",H2693=C2693)),Inputs!$B$13,Inputs!$B$14))</f>
        <v>10</v>
      </c>
      <c r="O2693" s="15" t="n">
        <f aca="false">IF(J2693=1,0,Inputs!$B$13)</f>
        <v>20</v>
      </c>
      <c r="P2693" s="15" t="n">
        <f aca="false">SUM(M2693:N2693)</f>
        <v>85</v>
      </c>
      <c r="Q2693" s="15" t="n">
        <f aca="false">IF(J2693=1,"",L2693-P2693)</f>
        <v>15</v>
      </c>
      <c r="R2693" s="15" t="n">
        <f aca="false">IF(OR(J2693=1,M2693&lt;=Inputs!$B$12),1,0)</f>
        <v>1</v>
      </c>
      <c r="S2693" s="15" t="n">
        <f aca="false">IF(OR(J2693=1,N2693&lt;=O2693),1,0)</f>
        <v>1</v>
      </c>
      <c r="T2693" s="15" t="str">
        <f aca="false">IF(J2693=1,"OFFLINE",IF(AND(Q2693&gt;=Inputs!$B$15,R2693=1,S2693=1,P2693&lt;=L2693),"PASS","FAIL"))</f>
        <v>PASS</v>
      </c>
    </row>
    <row r="2694" customFormat="false" ht="15" hidden="false" customHeight="false" outlineLevel="0" collapsed="false">
      <c r="A2694" s="14" t="s">
        <v>1044</v>
      </c>
      <c r="B2694" s="14" t="s">
        <v>1045</v>
      </c>
      <c r="C2694" s="14" t="s">
        <v>1046</v>
      </c>
      <c r="D2694" s="14" t="s">
        <v>198</v>
      </c>
      <c r="E2694" s="14" t="s">
        <v>166</v>
      </c>
      <c r="F2694" s="14" t="s">
        <v>199</v>
      </c>
      <c r="G2694" s="14" t="n">
        <v>1</v>
      </c>
      <c r="H2694" s="14" t="s">
        <v>154</v>
      </c>
      <c r="I2694" s="14" t="s">
        <v>899</v>
      </c>
      <c r="J2694" s="15" t="n">
        <f aca="false">IF(B2694="SITE LOSS",IF(D2694=C2694,1,0),IF(B2694="REGION LOSS",IF(E2694=C2694,1,0),0))</f>
        <v>0</v>
      </c>
      <c r="K2694" s="15" t="n">
        <f aca="false">IF(B2694="SITE LOSS",IF(COUNTIFS('Site Dockets'!$B$7:$B$24,C2694,'Site Dockets'!$C$7:$C$24,F2694)&gt;0,1,0),IF(B2694="REGION LOSS",IF(COUNTIFS('Site Dockets'!$E$7:$E$24,C2694,'Site Dockets'!$C$7:$C$24,F2694)&gt;0,1,0),0))</f>
        <v>0</v>
      </c>
      <c r="L2694" s="15" t="n">
        <f aca="false">IF(J2694=1,0,Inputs!$B$11)</f>
        <v>100</v>
      </c>
      <c r="M2694" s="15" t="n">
        <f aca="false">IF(J2694=1,0,Inputs!$B$12)</f>
        <v>75</v>
      </c>
      <c r="N2694" s="15" t="n">
        <f aca="false">IF(J2694=1,0,IF(OR(AND(OR(B2694="SITE LOSS",B2694="REGION LOSS"),K2694=1),AND(B2694="ROLE COMPROMISE",H2694=C2694)),Inputs!$B$13,Inputs!$B$14))</f>
        <v>10</v>
      </c>
      <c r="O2694" s="15" t="n">
        <f aca="false">IF(J2694=1,0,Inputs!$B$13)</f>
        <v>20</v>
      </c>
      <c r="P2694" s="15" t="n">
        <f aca="false">SUM(M2694:N2694)</f>
        <v>85</v>
      </c>
      <c r="Q2694" s="15" t="n">
        <f aca="false">IF(J2694=1,"",L2694-P2694)</f>
        <v>15</v>
      </c>
      <c r="R2694" s="15" t="n">
        <f aca="false">IF(OR(J2694=1,M2694&lt;=Inputs!$B$12),1,0)</f>
        <v>1</v>
      </c>
      <c r="S2694" s="15" t="n">
        <f aca="false">IF(OR(J2694=1,N2694&lt;=O2694),1,0)</f>
        <v>1</v>
      </c>
      <c r="T2694" s="15" t="str">
        <f aca="false">IF(J2694=1,"OFFLINE",IF(AND(Q2694&gt;=Inputs!$B$15,R2694=1,S2694=1,P2694&lt;=L2694),"PASS","FAIL"))</f>
        <v>PASS</v>
      </c>
    </row>
    <row r="2695" customFormat="false" ht="15" hidden="false" customHeight="false" outlineLevel="0" collapsed="false">
      <c r="A2695" s="14" t="s">
        <v>1044</v>
      </c>
      <c r="B2695" s="14" t="s">
        <v>1045</v>
      </c>
      <c r="C2695" s="14" t="s">
        <v>1046</v>
      </c>
      <c r="D2695" s="14" t="s">
        <v>202</v>
      </c>
      <c r="E2695" s="14" t="s">
        <v>157</v>
      </c>
      <c r="F2695" s="14" t="s">
        <v>199</v>
      </c>
      <c r="G2695" s="14" t="n">
        <v>2</v>
      </c>
      <c r="H2695" s="14" t="s">
        <v>153</v>
      </c>
      <c r="I2695" s="14" t="s">
        <v>890</v>
      </c>
      <c r="J2695" s="15" t="n">
        <f aca="false">IF(B2695="SITE LOSS",IF(D2695=C2695,1,0),IF(B2695="REGION LOSS",IF(E2695=C2695,1,0),0))</f>
        <v>0</v>
      </c>
      <c r="K2695" s="15" t="n">
        <f aca="false">IF(B2695="SITE LOSS",IF(COUNTIFS('Site Dockets'!$B$7:$B$24,C2695,'Site Dockets'!$C$7:$C$24,F2695)&gt;0,1,0),IF(B2695="REGION LOSS",IF(COUNTIFS('Site Dockets'!$E$7:$E$24,C2695,'Site Dockets'!$C$7:$C$24,F2695)&gt;0,1,0),0))</f>
        <v>0</v>
      </c>
      <c r="L2695" s="15" t="n">
        <f aca="false">IF(J2695=1,0,Inputs!$B$11)</f>
        <v>100</v>
      </c>
      <c r="M2695" s="15" t="n">
        <f aca="false">IF(J2695=1,0,Inputs!$B$12)</f>
        <v>75</v>
      </c>
      <c r="N2695" s="15" t="n">
        <f aca="false">IF(J2695=1,0,IF(OR(AND(OR(B2695="SITE LOSS",B2695="REGION LOSS"),K2695=1),AND(B2695="ROLE COMPROMISE",H2695=C2695)),Inputs!$B$13,Inputs!$B$14))</f>
        <v>10</v>
      </c>
      <c r="O2695" s="15" t="n">
        <f aca="false">IF(J2695=1,0,Inputs!$B$13)</f>
        <v>20</v>
      </c>
      <c r="P2695" s="15" t="n">
        <f aca="false">SUM(M2695:N2695)</f>
        <v>85</v>
      </c>
      <c r="Q2695" s="15" t="n">
        <f aca="false">IF(J2695=1,"",L2695-P2695)</f>
        <v>15</v>
      </c>
      <c r="R2695" s="15" t="n">
        <f aca="false">IF(OR(J2695=1,M2695&lt;=Inputs!$B$12),1,0)</f>
        <v>1</v>
      </c>
      <c r="S2695" s="15" t="n">
        <f aca="false">IF(OR(J2695=1,N2695&lt;=O2695),1,0)</f>
        <v>1</v>
      </c>
      <c r="T2695" s="15" t="str">
        <f aca="false">IF(J2695=1,"OFFLINE",IF(AND(Q2695&gt;=Inputs!$B$15,R2695=1,S2695=1,P2695&lt;=L2695),"PASS","FAIL"))</f>
        <v>PASS</v>
      </c>
    </row>
    <row r="2696" customFormat="false" ht="15" hidden="false" customHeight="false" outlineLevel="0" collapsed="false">
      <c r="A2696" s="14" t="s">
        <v>1044</v>
      </c>
      <c r="B2696" s="14" t="s">
        <v>1045</v>
      </c>
      <c r="C2696" s="14" t="s">
        <v>1046</v>
      </c>
      <c r="D2696" s="14" t="s">
        <v>202</v>
      </c>
      <c r="E2696" s="14" t="s">
        <v>157</v>
      </c>
      <c r="F2696" s="14" t="s">
        <v>199</v>
      </c>
      <c r="G2696" s="14" t="n">
        <v>2</v>
      </c>
      <c r="H2696" s="14" t="s">
        <v>153</v>
      </c>
      <c r="I2696" s="14" t="s">
        <v>892</v>
      </c>
      <c r="J2696" s="15" t="n">
        <f aca="false">IF(B2696="SITE LOSS",IF(D2696=C2696,1,0),IF(B2696="REGION LOSS",IF(E2696=C2696,1,0),0))</f>
        <v>0</v>
      </c>
      <c r="K2696" s="15" t="n">
        <f aca="false">IF(B2696="SITE LOSS",IF(COUNTIFS('Site Dockets'!$B$7:$B$24,C2696,'Site Dockets'!$C$7:$C$24,F2696)&gt;0,1,0),IF(B2696="REGION LOSS",IF(COUNTIFS('Site Dockets'!$E$7:$E$24,C2696,'Site Dockets'!$C$7:$C$24,F2696)&gt;0,1,0),0))</f>
        <v>0</v>
      </c>
      <c r="L2696" s="15" t="n">
        <f aca="false">IF(J2696=1,0,Inputs!$B$11)</f>
        <v>100</v>
      </c>
      <c r="M2696" s="15" t="n">
        <f aca="false">IF(J2696=1,0,Inputs!$B$12)</f>
        <v>75</v>
      </c>
      <c r="N2696" s="15" t="n">
        <f aca="false">IF(J2696=1,0,IF(OR(AND(OR(B2696="SITE LOSS",B2696="REGION LOSS"),K2696=1),AND(B2696="ROLE COMPROMISE",H2696=C2696)),Inputs!$B$13,Inputs!$B$14))</f>
        <v>10</v>
      </c>
      <c r="O2696" s="15" t="n">
        <f aca="false">IF(J2696=1,0,Inputs!$B$13)</f>
        <v>20</v>
      </c>
      <c r="P2696" s="15" t="n">
        <f aca="false">SUM(M2696:N2696)</f>
        <v>85</v>
      </c>
      <c r="Q2696" s="15" t="n">
        <f aca="false">IF(J2696=1,"",L2696-P2696)</f>
        <v>15</v>
      </c>
      <c r="R2696" s="15" t="n">
        <f aca="false">IF(OR(J2696=1,M2696&lt;=Inputs!$B$12),1,0)</f>
        <v>1</v>
      </c>
      <c r="S2696" s="15" t="n">
        <f aca="false">IF(OR(J2696=1,N2696&lt;=O2696),1,0)</f>
        <v>1</v>
      </c>
      <c r="T2696" s="15" t="str">
        <f aca="false">IF(J2696=1,"OFFLINE",IF(AND(Q2696&gt;=Inputs!$B$15,R2696=1,S2696=1,P2696&lt;=L2696),"PASS","FAIL"))</f>
        <v>PASS</v>
      </c>
    </row>
    <row r="2697" customFormat="false" ht="15" hidden="false" customHeight="false" outlineLevel="0" collapsed="false">
      <c r="A2697" s="14" t="s">
        <v>1044</v>
      </c>
      <c r="B2697" s="14" t="s">
        <v>1045</v>
      </c>
      <c r="C2697" s="14" t="s">
        <v>1046</v>
      </c>
      <c r="D2697" s="14" t="s">
        <v>202</v>
      </c>
      <c r="E2697" s="14" t="s">
        <v>157</v>
      </c>
      <c r="F2697" s="14" t="s">
        <v>199</v>
      </c>
      <c r="G2697" s="14" t="n">
        <v>2</v>
      </c>
      <c r="H2697" s="14" t="s">
        <v>153</v>
      </c>
      <c r="I2697" s="14" t="s">
        <v>811</v>
      </c>
      <c r="J2697" s="15" t="n">
        <f aca="false">IF(B2697="SITE LOSS",IF(D2697=C2697,1,0),IF(B2697="REGION LOSS",IF(E2697=C2697,1,0),0))</f>
        <v>0</v>
      </c>
      <c r="K2697" s="15" t="n">
        <f aca="false">IF(B2697="SITE LOSS",IF(COUNTIFS('Site Dockets'!$B$7:$B$24,C2697,'Site Dockets'!$C$7:$C$24,F2697)&gt;0,1,0),IF(B2697="REGION LOSS",IF(COUNTIFS('Site Dockets'!$E$7:$E$24,C2697,'Site Dockets'!$C$7:$C$24,F2697)&gt;0,1,0),0))</f>
        <v>0</v>
      </c>
      <c r="L2697" s="15" t="n">
        <f aca="false">IF(J2697=1,0,Inputs!$B$11)</f>
        <v>100</v>
      </c>
      <c r="M2697" s="15" t="n">
        <f aca="false">IF(J2697=1,0,Inputs!$B$12)</f>
        <v>75</v>
      </c>
      <c r="N2697" s="15" t="n">
        <f aca="false">IF(J2697=1,0,IF(OR(AND(OR(B2697="SITE LOSS",B2697="REGION LOSS"),K2697=1),AND(B2697="ROLE COMPROMISE",H2697=C2697)),Inputs!$B$13,Inputs!$B$14))</f>
        <v>10</v>
      </c>
      <c r="O2697" s="15" t="n">
        <f aca="false">IF(J2697=1,0,Inputs!$B$13)</f>
        <v>20</v>
      </c>
      <c r="P2697" s="15" t="n">
        <f aca="false">SUM(M2697:N2697)</f>
        <v>85</v>
      </c>
      <c r="Q2697" s="15" t="n">
        <f aca="false">IF(J2697=1,"",L2697-P2697)</f>
        <v>15</v>
      </c>
      <c r="R2697" s="15" t="n">
        <f aca="false">IF(OR(J2697=1,M2697&lt;=Inputs!$B$12),1,0)</f>
        <v>1</v>
      </c>
      <c r="S2697" s="15" t="n">
        <f aca="false">IF(OR(J2697=1,N2697&lt;=O2697),1,0)</f>
        <v>1</v>
      </c>
      <c r="T2697" s="15" t="str">
        <f aca="false">IF(J2697=1,"OFFLINE",IF(AND(Q2697&gt;=Inputs!$B$15,R2697=1,S2697=1,P2697&lt;=L2697),"PASS","FAIL"))</f>
        <v>PASS</v>
      </c>
    </row>
    <row r="2698" customFormat="false" ht="15" hidden="false" customHeight="false" outlineLevel="0" collapsed="false">
      <c r="A2698" s="14" t="s">
        <v>1044</v>
      </c>
      <c r="B2698" s="14" t="s">
        <v>1045</v>
      </c>
      <c r="C2698" s="14" t="s">
        <v>1046</v>
      </c>
      <c r="D2698" s="14" t="s">
        <v>202</v>
      </c>
      <c r="E2698" s="14" t="s">
        <v>157</v>
      </c>
      <c r="F2698" s="14" t="s">
        <v>199</v>
      </c>
      <c r="G2698" s="14" t="n">
        <v>2</v>
      </c>
      <c r="H2698" s="14" t="s">
        <v>153</v>
      </c>
      <c r="I2698" s="14" t="s">
        <v>895</v>
      </c>
      <c r="J2698" s="15" t="n">
        <f aca="false">IF(B2698="SITE LOSS",IF(D2698=C2698,1,0),IF(B2698="REGION LOSS",IF(E2698=C2698,1,0),0))</f>
        <v>0</v>
      </c>
      <c r="K2698" s="15" t="n">
        <f aca="false">IF(B2698="SITE LOSS",IF(COUNTIFS('Site Dockets'!$B$7:$B$24,C2698,'Site Dockets'!$C$7:$C$24,F2698)&gt;0,1,0),IF(B2698="REGION LOSS",IF(COUNTIFS('Site Dockets'!$E$7:$E$24,C2698,'Site Dockets'!$C$7:$C$24,F2698)&gt;0,1,0),0))</f>
        <v>0</v>
      </c>
      <c r="L2698" s="15" t="n">
        <f aca="false">IF(J2698=1,0,Inputs!$B$11)</f>
        <v>100</v>
      </c>
      <c r="M2698" s="15" t="n">
        <f aca="false">IF(J2698=1,0,Inputs!$B$12)</f>
        <v>75</v>
      </c>
      <c r="N2698" s="15" t="n">
        <f aca="false">IF(J2698=1,0,IF(OR(AND(OR(B2698="SITE LOSS",B2698="REGION LOSS"),K2698=1),AND(B2698="ROLE COMPROMISE",H2698=C2698)),Inputs!$B$13,Inputs!$B$14))</f>
        <v>10</v>
      </c>
      <c r="O2698" s="15" t="n">
        <f aca="false">IF(J2698=1,0,Inputs!$B$13)</f>
        <v>20</v>
      </c>
      <c r="P2698" s="15" t="n">
        <f aca="false">SUM(M2698:N2698)</f>
        <v>85</v>
      </c>
      <c r="Q2698" s="15" t="n">
        <f aca="false">IF(J2698=1,"",L2698-P2698)</f>
        <v>15</v>
      </c>
      <c r="R2698" s="15" t="n">
        <f aca="false">IF(OR(J2698=1,M2698&lt;=Inputs!$B$12),1,0)</f>
        <v>1</v>
      </c>
      <c r="S2698" s="15" t="n">
        <f aca="false">IF(OR(J2698=1,N2698&lt;=O2698),1,0)</f>
        <v>1</v>
      </c>
      <c r="T2698" s="15" t="str">
        <f aca="false">IF(J2698=1,"OFFLINE",IF(AND(Q2698&gt;=Inputs!$B$15,R2698=1,S2698=1,P2698&lt;=L2698),"PASS","FAIL"))</f>
        <v>PASS</v>
      </c>
    </row>
    <row r="2699" customFormat="false" ht="15" hidden="false" customHeight="false" outlineLevel="0" collapsed="false">
      <c r="A2699" s="14" t="s">
        <v>1044</v>
      </c>
      <c r="B2699" s="14" t="s">
        <v>1045</v>
      </c>
      <c r="C2699" s="14" t="s">
        <v>1046</v>
      </c>
      <c r="D2699" s="14" t="s">
        <v>202</v>
      </c>
      <c r="E2699" s="14" t="s">
        <v>157</v>
      </c>
      <c r="F2699" s="14" t="s">
        <v>199</v>
      </c>
      <c r="G2699" s="14" t="n">
        <v>2</v>
      </c>
      <c r="H2699" s="14" t="s">
        <v>153</v>
      </c>
      <c r="I2699" s="14" t="s">
        <v>897</v>
      </c>
      <c r="J2699" s="15" t="n">
        <f aca="false">IF(B2699="SITE LOSS",IF(D2699=C2699,1,0),IF(B2699="REGION LOSS",IF(E2699=C2699,1,0),0))</f>
        <v>0</v>
      </c>
      <c r="K2699" s="15" t="n">
        <f aca="false">IF(B2699="SITE LOSS",IF(COUNTIFS('Site Dockets'!$B$7:$B$24,C2699,'Site Dockets'!$C$7:$C$24,F2699)&gt;0,1,0),IF(B2699="REGION LOSS",IF(COUNTIFS('Site Dockets'!$E$7:$E$24,C2699,'Site Dockets'!$C$7:$C$24,F2699)&gt;0,1,0),0))</f>
        <v>0</v>
      </c>
      <c r="L2699" s="15" t="n">
        <f aca="false">IF(J2699=1,0,Inputs!$B$11)</f>
        <v>100</v>
      </c>
      <c r="M2699" s="15" t="n">
        <f aca="false">IF(J2699=1,0,Inputs!$B$12)</f>
        <v>75</v>
      </c>
      <c r="N2699" s="15" t="n">
        <f aca="false">IF(J2699=1,0,IF(OR(AND(OR(B2699="SITE LOSS",B2699="REGION LOSS"),K2699=1),AND(B2699="ROLE COMPROMISE",H2699=C2699)),Inputs!$B$13,Inputs!$B$14))</f>
        <v>10</v>
      </c>
      <c r="O2699" s="15" t="n">
        <f aca="false">IF(J2699=1,0,Inputs!$B$13)</f>
        <v>20</v>
      </c>
      <c r="P2699" s="15" t="n">
        <f aca="false">SUM(M2699:N2699)</f>
        <v>85</v>
      </c>
      <c r="Q2699" s="15" t="n">
        <f aca="false">IF(J2699=1,"",L2699-P2699)</f>
        <v>15</v>
      </c>
      <c r="R2699" s="15" t="n">
        <f aca="false">IF(OR(J2699=1,M2699&lt;=Inputs!$B$12),1,0)</f>
        <v>1</v>
      </c>
      <c r="S2699" s="15" t="n">
        <f aca="false">IF(OR(J2699=1,N2699&lt;=O2699),1,0)</f>
        <v>1</v>
      </c>
      <c r="T2699" s="15" t="str">
        <f aca="false">IF(J2699=1,"OFFLINE",IF(AND(Q2699&gt;=Inputs!$B$15,R2699=1,S2699=1,P2699&lt;=L2699),"PASS","FAIL"))</f>
        <v>PASS</v>
      </c>
    </row>
    <row r="2700" customFormat="false" ht="15" hidden="false" customHeight="false" outlineLevel="0" collapsed="false">
      <c r="A2700" s="14" t="s">
        <v>1044</v>
      </c>
      <c r="B2700" s="14" t="s">
        <v>1045</v>
      </c>
      <c r="C2700" s="14" t="s">
        <v>1046</v>
      </c>
      <c r="D2700" s="14" t="s">
        <v>202</v>
      </c>
      <c r="E2700" s="14" t="s">
        <v>157</v>
      </c>
      <c r="F2700" s="14" t="s">
        <v>199</v>
      </c>
      <c r="G2700" s="14" t="n">
        <v>2</v>
      </c>
      <c r="H2700" s="14" t="s">
        <v>153</v>
      </c>
      <c r="I2700" s="14" t="s">
        <v>899</v>
      </c>
      <c r="J2700" s="15" t="n">
        <f aca="false">IF(B2700="SITE LOSS",IF(D2700=C2700,1,0),IF(B2700="REGION LOSS",IF(E2700=C2700,1,0),0))</f>
        <v>0</v>
      </c>
      <c r="K2700" s="15" t="n">
        <f aca="false">IF(B2700="SITE LOSS",IF(COUNTIFS('Site Dockets'!$B$7:$B$24,C2700,'Site Dockets'!$C$7:$C$24,F2700)&gt;0,1,0),IF(B2700="REGION LOSS",IF(COUNTIFS('Site Dockets'!$E$7:$E$24,C2700,'Site Dockets'!$C$7:$C$24,F2700)&gt;0,1,0),0))</f>
        <v>0</v>
      </c>
      <c r="L2700" s="15" t="n">
        <f aca="false">IF(J2700=1,0,Inputs!$B$11)</f>
        <v>100</v>
      </c>
      <c r="M2700" s="15" t="n">
        <f aca="false">IF(J2700=1,0,Inputs!$B$12)</f>
        <v>75</v>
      </c>
      <c r="N2700" s="15" t="n">
        <f aca="false">IF(J2700=1,0,IF(OR(AND(OR(B2700="SITE LOSS",B2700="REGION LOSS"),K2700=1),AND(B2700="ROLE COMPROMISE",H2700=C2700)),Inputs!$B$13,Inputs!$B$14))</f>
        <v>10</v>
      </c>
      <c r="O2700" s="15" t="n">
        <f aca="false">IF(J2700=1,0,Inputs!$B$13)</f>
        <v>20</v>
      </c>
      <c r="P2700" s="15" t="n">
        <f aca="false">SUM(M2700:N2700)</f>
        <v>85</v>
      </c>
      <c r="Q2700" s="15" t="n">
        <f aca="false">IF(J2700=1,"",L2700-P2700)</f>
        <v>15</v>
      </c>
      <c r="R2700" s="15" t="n">
        <f aca="false">IF(OR(J2700=1,M2700&lt;=Inputs!$B$12),1,0)</f>
        <v>1</v>
      </c>
      <c r="S2700" s="15" t="n">
        <f aca="false">IF(OR(J2700=1,N2700&lt;=O2700),1,0)</f>
        <v>1</v>
      </c>
      <c r="T2700" s="15" t="str">
        <f aca="false">IF(J2700=1,"OFFLINE",IF(AND(Q2700&gt;=Inputs!$B$15,R2700=1,S2700=1,P2700&lt;=L2700),"PASS","FAIL"))</f>
        <v>PASS</v>
      </c>
    </row>
    <row r="2701" customFormat="false" ht="15" hidden="false" customHeight="false" outlineLevel="0" collapsed="false">
      <c r="A2701" s="14" t="s">
        <v>1044</v>
      </c>
      <c r="B2701" s="14" t="s">
        <v>1045</v>
      </c>
      <c r="C2701" s="14" t="s">
        <v>1046</v>
      </c>
      <c r="D2701" s="14" t="s">
        <v>204</v>
      </c>
      <c r="E2701" s="14" t="s">
        <v>161</v>
      </c>
      <c r="F2701" s="14" t="s">
        <v>199</v>
      </c>
      <c r="G2701" s="14" t="n">
        <v>3</v>
      </c>
      <c r="H2701" s="14" t="s">
        <v>158</v>
      </c>
      <c r="I2701" s="14" t="s">
        <v>890</v>
      </c>
      <c r="J2701" s="15" t="n">
        <f aca="false">IF(B2701="SITE LOSS",IF(D2701=C2701,1,0),IF(B2701="REGION LOSS",IF(E2701=C2701,1,0),0))</f>
        <v>0</v>
      </c>
      <c r="K2701" s="15" t="n">
        <f aca="false">IF(B2701="SITE LOSS",IF(COUNTIFS('Site Dockets'!$B$7:$B$24,C2701,'Site Dockets'!$C$7:$C$24,F2701)&gt;0,1,0),IF(B2701="REGION LOSS",IF(COUNTIFS('Site Dockets'!$E$7:$E$24,C2701,'Site Dockets'!$C$7:$C$24,F2701)&gt;0,1,0),0))</f>
        <v>0</v>
      </c>
      <c r="L2701" s="15" t="n">
        <f aca="false">IF(J2701=1,0,Inputs!$B$11)</f>
        <v>100</v>
      </c>
      <c r="M2701" s="15" t="n">
        <f aca="false">IF(J2701=1,0,Inputs!$B$12)</f>
        <v>75</v>
      </c>
      <c r="N2701" s="15" t="n">
        <f aca="false">IF(J2701=1,0,IF(OR(AND(OR(B2701="SITE LOSS",B2701="REGION LOSS"),K2701=1),AND(B2701="ROLE COMPROMISE",H2701=C2701)),Inputs!$B$13,Inputs!$B$14))</f>
        <v>10</v>
      </c>
      <c r="O2701" s="15" t="n">
        <f aca="false">IF(J2701=1,0,Inputs!$B$13)</f>
        <v>20</v>
      </c>
      <c r="P2701" s="15" t="n">
        <f aca="false">SUM(M2701:N2701)</f>
        <v>85</v>
      </c>
      <c r="Q2701" s="15" t="n">
        <f aca="false">IF(J2701=1,"",L2701-P2701)</f>
        <v>15</v>
      </c>
      <c r="R2701" s="15" t="n">
        <f aca="false">IF(OR(J2701=1,M2701&lt;=Inputs!$B$12),1,0)</f>
        <v>1</v>
      </c>
      <c r="S2701" s="15" t="n">
        <f aca="false">IF(OR(J2701=1,N2701&lt;=O2701),1,0)</f>
        <v>1</v>
      </c>
      <c r="T2701" s="15" t="str">
        <f aca="false">IF(J2701=1,"OFFLINE",IF(AND(Q2701&gt;=Inputs!$B$15,R2701=1,S2701=1,P2701&lt;=L2701),"PASS","FAIL"))</f>
        <v>PASS</v>
      </c>
    </row>
    <row r="2702" customFormat="false" ht="15" hidden="false" customHeight="false" outlineLevel="0" collapsed="false">
      <c r="A2702" s="14" t="s">
        <v>1044</v>
      </c>
      <c r="B2702" s="14" t="s">
        <v>1045</v>
      </c>
      <c r="C2702" s="14" t="s">
        <v>1046</v>
      </c>
      <c r="D2702" s="14" t="s">
        <v>204</v>
      </c>
      <c r="E2702" s="14" t="s">
        <v>161</v>
      </c>
      <c r="F2702" s="14" t="s">
        <v>199</v>
      </c>
      <c r="G2702" s="14" t="n">
        <v>3</v>
      </c>
      <c r="H2702" s="14" t="s">
        <v>158</v>
      </c>
      <c r="I2702" s="14" t="s">
        <v>892</v>
      </c>
      <c r="J2702" s="15" t="n">
        <f aca="false">IF(B2702="SITE LOSS",IF(D2702=C2702,1,0),IF(B2702="REGION LOSS",IF(E2702=C2702,1,0),0))</f>
        <v>0</v>
      </c>
      <c r="K2702" s="15" t="n">
        <f aca="false">IF(B2702="SITE LOSS",IF(COUNTIFS('Site Dockets'!$B$7:$B$24,C2702,'Site Dockets'!$C$7:$C$24,F2702)&gt;0,1,0),IF(B2702="REGION LOSS",IF(COUNTIFS('Site Dockets'!$E$7:$E$24,C2702,'Site Dockets'!$C$7:$C$24,F2702)&gt;0,1,0),0))</f>
        <v>0</v>
      </c>
      <c r="L2702" s="15" t="n">
        <f aca="false">IF(J2702=1,0,Inputs!$B$11)</f>
        <v>100</v>
      </c>
      <c r="M2702" s="15" t="n">
        <f aca="false">IF(J2702=1,0,Inputs!$B$12)</f>
        <v>75</v>
      </c>
      <c r="N2702" s="15" t="n">
        <f aca="false">IF(J2702=1,0,IF(OR(AND(OR(B2702="SITE LOSS",B2702="REGION LOSS"),K2702=1),AND(B2702="ROLE COMPROMISE",H2702=C2702)),Inputs!$B$13,Inputs!$B$14))</f>
        <v>10</v>
      </c>
      <c r="O2702" s="15" t="n">
        <f aca="false">IF(J2702=1,0,Inputs!$B$13)</f>
        <v>20</v>
      </c>
      <c r="P2702" s="15" t="n">
        <f aca="false">SUM(M2702:N2702)</f>
        <v>85</v>
      </c>
      <c r="Q2702" s="15" t="n">
        <f aca="false">IF(J2702=1,"",L2702-P2702)</f>
        <v>15</v>
      </c>
      <c r="R2702" s="15" t="n">
        <f aca="false">IF(OR(J2702=1,M2702&lt;=Inputs!$B$12),1,0)</f>
        <v>1</v>
      </c>
      <c r="S2702" s="15" t="n">
        <f aca="false">IF(OR(J2702=1,N2702&lt;=O2702),1,0)</f>
        <v>1</v>
      </c>
      <c r="T2702" s="15" t="str">
        <f aca="false">IF(J2702=1,"OFFLINE",IF(AND(Q2702&gt;=Inputs!$B$15,R2702=1,S2702=1,P2702&lt;=L2702),"PASS","FAIL"))</f>
        <v>PASS</v>
      </c>
    </row>
    <row r="2703" customFormat="false" ht="15" hidden="false" customHeight="false" outlineLevel="0" collapsed="false">
      <c r="A2703" s="14" t="s">
        <v>1044</v>
      </c>
      <c r="B2703" s="14" t="s">
        <v>1045</v>
      </c>
      <c r="C2703" s="14" t="s">
        <v>1046</v>
      </c>
      <c r="D2703" s="14" t="s">
        <v>204</v>
      </c>
      <c r="E2703" s="14" t="s">
        <v>161</v>
      </c>
      <c r="F2703" s="14" t="s">
        <v>199</v>
      </c>
      <c r="G2703" s="14" t="n">
        <v>3</v>
      </c>
      <c r="H2703" s="14" t="s">
        <v>158</v>
      </c>
      <c r="I2703" s="14" t="s">
        <v>811</v>
      </c>
      <c r="J2703" s="15" t="n">
        <f aca="false">IF(B2703="SITE LOSS",IF(D2703=C2703,1,0),IF(B2703="REGION LOSS",IF(E2703=C2703,1,0),0))</f>
        <v>0</v>
      </c>
      <c r="K2703" s="15" t="n">
        <f aca="false">IF(B2703="SITE LOSS",IF(COUNTIFS('Site Dockets'!$B$7:$B$24,C2703,'Site Dockets'!$C$7:$C$24,F2703)&gt;0,1,0),IF(B2703="REGION LOSS",IF(COUNTIFS('Site Dockets'!$E$7:$E$24,C2703,'Site Dockets'!$C$7:$C$24,F2703)&gt;0,1,0),0))</f>
        <v>0</v>
      </c>
      <c r="L2703" s="15" t="n">
        <f aca="false">IF(J2703=1,0,Inputs!$B$11)</f>
        <v>100</v>
      </c>
      <c r="M2703" s="15" t="n">
        <f aca="false">IF(J2703=1,0,Inputs!$B$12)</f>
        <v>75</v>
      </c>
      <c r="N2703" s="15" t="n">
        <f aca="false">IF(J2703=1,0,IF(OR(AND(OR(B2703="SITE LOSS",B2703="REGION LOSS"),K2703=1),AND(B2703="ROLE COMPROMISE",H2703=C2703)),Inputs!$B$13,Inputs!$B$14))</f>
        <v>10</v>
      </c>
      <c r="O2703" s="15" t="n">
        <f aca="false">IF(J2703=1,0,Inputs!$B$13)</f>
        <v>20</v>
      </c>
      <c r="P2703" s="15" t="n">
        <f aca="false">SUM(M2703:N2703)</f>
        <v>85</v>
      </c>
      <c r="Q2703" s="15" t="n">
        <f aca="false">IF(J2703=1,"",L2703-P2703)</f>
        <v>15</v>
      </c>
      <c r="R2703" s="15" t="n">
        <f aca="false">IF(OR(J2703=1,M2703&lt;=Inputs!$B$12),1,0)</f>
        <v>1</v>
      </c>
      <c r="S2703" s="15" t="n">
        <f aca="false">IF(OR(J2703=1,N2703&lt;=O2703),1,0)</f>
        <v>1</v>
      </c>
      <c r="T2703" s="15" t="str">
        <f aca="false">IF(J2703=1,"OFFLINE",IF(AND(Q2703&gt;=Inputs!$B$15,R2703=1,S2703=1,P2703&lt;=L2703),"PASS","FAIL"))</f>
        <v>PASS</v>
      </c>
    </row>
    <row r="2704" customFormat="false" ht="15" hidden="false" customHeight="false" outlineLevel="0" collapsed="false">
      <c r="A2704" s="14" t="s">
        <v>1044</v>
      </c>
      <c r="B2704" s="14" t="s">
        <v>1045</v>
      </c>
      <c r="C2704" s="14" t="s">
        <v>1046</v>
      </c>
      <c r="D2704" s="14" t="s">
        <v>204</v>
      </c>
      <c r="E2704" s="14" t="s">
        <v>161</v>
      </c>
      <c r="F2704" s="14" t="s">
        <v>199</v>
      </c>
      <c r="G2704" s="14" t="n">
        <v>3</v>
      </c>
      <c r="H2704" s="14" t="s">
        <v>158</v>
      </c>
      <c r="I2704" s="14" t="s">
        <v>895</v>
      </c>
      <c r="J2704" s="15" t="n">
        <f aca="false">IF(B2704="SITE LOSS",IF(D2704=C2704,1,0),IF(B2704="REGION LOSS",IF(E2704=C2704,1,0),0))</f>
        <v>0</v>
      </c>
      <c r="K2704" s="15" t="n">
        <f aca="false">IF(B2704="SITE LOSS",IF(COUNTIFS('Site Dockets'!$B$7:$B$24,C2704,'Site Dockets'!$C$7:$C$24,F2704)&gt;0,1,0),IF(B2704="REGION LOSS",IF(COUNTIFS('Site Dockets'!$E$7:$E$24,C2704,'Site Dockets'!$C$7:$C$24,F2704)&gt;0,1,0),0))</f>
        <v>0</v>
      </c>
      <c r="L2704" s="15" t="n">
        <f aca="false">IF(J2704=1,0,Inputs!$B$11)</f>
        <v>100</v>
      </c>
      <c r="M2704" s="15" t="n">
        <f aca="false">IF(J2704=1,0,Inputs!$B$12)</f>
        <v>75</v>
      </c>
      <c r="N2704" s="15" t="n">
        <f aca="false">IF(J2704=1,0,IF(OR(AND(OR(B2704="SITE LOSS",B2704="REGION LOSS"),K2704=1),AND(B2704="ROLE COMPROMISE",H2704=C2704)),Inputs!$B$13,Inputs!$B$14))</f>
        <v>10</v>
      </c>
      <c r="O2704" s="15" t="n">
        <f aca="false">IF(J2704=1,0,Inputs!$B$13)</f>
        <v>20</v>
      </c>
      <c r="P2704" s="15" t="n">
        <f aca="false">SUM(M2704:N2704)</f>
        <v>85</v>
      </c>
      <c r="Q2704" s="15" t="n">
        <f aca="false">IF(J2704=1,"",L2704-P2704)</f>
        <v>15</v>
      </c>
      <c r="R2704" s="15" t="n">
        <f aca="false">IF(OR(J2704=1,M2704&lt;=Inputs!$B$12),1,0)</f>
        <v>1</v>
      </c>
      <c r="S2704" s="15" t="n">
        <f aca="false">IF(OR(J2704=1,N2704&lt;=O2704),1,0)</f>
        <v>1</v>
      </c>
      <c r="T2704" s="15" t="str">
        <f aca="false">IF(J2704=1,"OFFLINE",IF(AND(Q2704&gt;=Inputs!$B$15,R2704=1,S2704=1,P2704&lt;=L2704),"PASS","FAIL"))</f>
        <v>PASS</v>
      </c>
    </row>
    <row r="2705" customFormat="false" ht="15" hidden="false" customHeight="false" outlineLevel="0" collapsed="false">
      <c r="A2705" s="14" t="s">
        <v>1044</v>
      </c>
      <c r="B2705" s="14" t="s">
        <v>1045</v>
      </c>
      <c r="C2705" s="14" t="s">
        <v>1046</v>
      </c>
      <c r="D2705" s="14" t="s">
        <v>204</v>
      </c>
      <c r="E2705" s="14" t="s">
        <v>161</v>
      </c>
      <c r="F2705" s="14" t="s">
        <v>199</v>
      </c>
      <c r="G2705" s="14" t="n">
        <v>3</v>
      </c>
      <c r="H2705" s="14" t="s">
        <v>158</v>
      </c>
      <c r="I2705" s="14" t="s">
        <v>897</v>
      </c>
      <c r="J2705" s="15" t="n">
        <f aca="false">IF(B2705="SITE LOSS",IF(D2705=C2705,1,0),IF(B2705="REGION LOSS",IF(E2705=C2705,1,0),0))</f>
        <v>0</v>
      </c>
      <c r="K2705" s="15" t="n">
        <f aca="false">IF(B2705="SITE LOSS",IF(COUNTIFS('Site Dockets'!$B$7:$B$24,C2705,'Site Dockets'!$C$7:$C$24,F2705)&gt;0,1,0),IF(B2705="REGION LOSS",IF(COUNTIFS('Site Dockets'!$E$7:$E$24,C2705,'Site Dockets'!$C$7:$C$24,F2705)&gt;0,1,0),0))</f>
        <v>0</v>
      </c>
      <c r="L2705" s="15" t="n">
        <f aca="false">IF(J2705=1,0,Inputs!$B$11)</f>
        <v>100</v>
      </c>
      <c r="M2705" s="15" t="n">
        <f aca="false">IF(J2705=1,0,Inputs!$B$12)</f>
        <v>75</v>
      </c>
      <c r="N2705" s="15" t="n">
        <f aca="false">IF(J2705=1,0,IF(OR(AND(OR(B2705="SITE LOSS",B2705="REGION LOSS"),K2705=1),AND(B2705="ROLE COMPROMISE",H2705=C2705)),Inputs!$B$13,Inputs!$B$14))</f>
        <v>10</v>
      </c>
      <c r="O2705" s="15" t="n">
        <f aca="false">IF(J2705=1,0,Inputs!$B$13)</f>
        <v>20</v>
      </c>
      <c r="P2705" s="15" t="n">
        <f aca="false">SUM(M2705:N2705)</f>
        <v>85</v>
      </c>
      <c r="Q2705" s="15" t="n">
        <f aca="false">IF(J2705=1,"",L2705-P2705)</f>
        <v>15</v>
      </c>
      <c r="R2705" s="15" t="n">
        <f aca="false">IF(OR(J2705=1,M2705&lt;=Inputs!$B$12),1,0)</f>
        <v>1</v>
      </c>
      <c r="S2705" s="15" t="n">
        <f aca="false">IF(OR(J2705=1,N2705&lt;=O2705),1,0)</f>
        <v>1</v>
      </c>
      <c r="T2705" s="15" t="str">
        <f aca="false">IF(J2705=1,"OFFLINE",IF(AND(Q2705&gt;=Inputs!$B$15,R2705=1,S2705=1,P2705&lt;=L2705),"PASS","FAIL"))</f>
        <v>PASS</v>
      </c>
    </row>
    <row r="2706" customFormat="false" ht="15" hidden="false" customHeight="false" outlineLevel="0" collapsed="false">
      <c r="A2706" s="14" t="s">
        <v>1044</v>
      </c>
      <c r="B2706" s="14" t="s">
        <v>1045</v>
      </c>
      <c r="C2706" s="14" t="s">
        <v>1046</v>
      </c>
      <c r="D2706" s="14" t="s">
        <v>204</v>
      </c>
      <c r="E2706" s="14" t="s">
        <v>161</v>
      </c>
      <c r="F2706" s="14" t="s">
        <v>199</v>
      </c>
      <c r="G2706" s="14" t="n">
        <v>3</v>
      </c>
      <c r="H2706" s="14" t="s">
        <v>158</v>
      </c>
      <c r="I2706" s="14" t="s">
        <v>899</v>
      </c>
      <c r="J2706" s="15" t="n">
        <f aca="false">IF(B2706="SITE LOSS",IF(D2706=C2706,1,0),IF(B2706="REGION LOSS",IF(E2706=C2706,1,0),0))</f>
        <v>0</v>
      </c>
      <c r="K2706" s="15" t="n">
        <f aca="false">IF(B2706="SITE LOSS",IF(COUNTIFS('Site Dockets'!$B$7:$B$24,C2706,'Site Dockets'!$C$7:$C$24,F2706)&gt;0,1,0),IF(B2706="REGION LOSS",IF(COUNTIFS('Site Dockets'!$E$7:$E$24,C2706,'Site Dockets'!$C$7:$C$24,F2706)&gt;0,1,0),0))</f>
        <v>0</v>
      </c>
      <c r="L2706" s="15" t="n">
        <f aca="false">IF(J2706=1,0,Inputs!$B$11)</f>
        <v>100</v>
      </c>
      <c r="M2706" s="15" t="n">
        <f aca="false">IF(J2706=1,0,Inputs!$B$12)</f>
        <v>75</v>
      </c>
      <c r="N2706" s="15" t="n">
        <f aca="false">IF(J2706=1,0,IF(OR(AND(OR(B2706="SITE LOSS",B2706="REGION LOSS"),K2706=1),AND(B2706="ROLE COMPROMISE",H2706=C2706)),Inputs!$B$13,Inputs!$B$14))</f>
        <v>10</v>
      </c>
      <c r="O2706" s="15" t="n">
        <f aca="false">IF(J2706=1,0,Inputs!$B$13)</f>
        <v>20</v>
      </c>
      <c r="P2706" s="15" t="n">
        <f aca="false">SUM(M2706:N2706)</f>
        <v>85</v>
      </c>
      <c r="Q2706" s="15" t="n">
        <f aca="false">IF(J2706=1,"",L2706-P2706)</f>
        <v>15</v>
      </c>
      <c r="R2706" s="15" t="n">
        <f aca="false">IF(OR(J2706=1,M2706&lt;=Inputs!$B$12),1,0)</f>
        <v>1</v>
      </c>
      <c r="S2706" s="15" t="n">
        <f aca="false">IF(OR(J2706=1,N2706&lt;=O2706),1,0)</f>
        <v>1</v>
      </c>
      <c r="T2706" s="15" t="str">
        <f aca="false">IF(J2706=1,"OFFLINE",IF(AND(Q2706&gt;=Inputs!$B$15,R2706=1,S2706=1,P2706&lt;=L2706),"PASS","FAIL"))</f>
        <v>PASS</v>
      </c>
    </row>
    <row r="2707" customFormat="false" ht="15" hidden="false" customHeight="false" outlineLevel="0" collapsed="false">
      <c r="A2707" s="14" t="s">
        <v>1047</v>
      </c>
      <c r="B2707" s="14" t="s">
        <v>1048</v>
      </c>
      <c r="C2707" s="14" t="s">
        <v>153</v>
      </c>
      <c r="D2707" s="14" t="s">
        <v>149</v>
      </c>
      <c r="E2707" s="14" t="s">
        <v>152</v>
      </c>
      <c r="F2707" s="14" t="s">
        <v>150</v>
      </c>
      <c r="G2707" s="14" t="n">
        <v>1</v>
      </c>
      <c r="H2707" s="14" t="s">
        <v>154</v>
      </c>
      <c r="I2707" s="14" t="s">
        <v>890</v>
      </c>
      <c r="J2707" s="15" t="n">
        <f aca="false">IF(B2707="SITE LOSS",IF(D2707=C2707,1,0),IF(B2707="REGION LOSS",IF(E2707=C2707,1,0),0))</f>
        <v>0</v>
      </c>
      <c r="K2707" s="15" t="n">
        <f aca="false">IF(B2707="SITE LOSS",IF(COUNTIFS('Site Dockets'!$B$7:$B$24,C2707,'Site Dockets'!$C$7:$C$24,F2707)&gt;0,1,0),IF(B2707="REGION LOSS",IF(COUNTIFS('Site Dockets'!$E$7:$E$24,C2707,'Site Dockets'!$C$7:$C$24,F2707)&gt;0,1,0),0))</f>
        <v>0</v>
      </c>
      <c r="L2707" s="15" t="n">
        <f aca="false">IF(J2707=1,0,Inputs!$B$11)</f>
        <v>100</v>
      </c>
      <c r="M2707" s="15" t="n">
        <f aca="false">IF(J2707=1,0,Inputs!$B$12)</f>
        <v>75</v>
      </c>
      <c r="N2707" s="15" t="n">
        <f aca="false">IF(J2707=1,0,IF(OR(AND(OR(B2707="SITE LOSS",B2707="REGION LOSS"),K2707=1),AND(B2707="ROLE COMPROMISE",H2707=C2707)),Inputs!$B$13,Inputs!$B$14))</f>
        <v>10</v>
      </c>
      <c r="O2707" s="15" t="n">
        <f aca="false">IF(J2707=1,0,Inputs!$B$13)</f>
        <v>20</v>
      </c>
      <c r="P2707" s="15" t="n">
        <f aca="false">SUM(M2707:N2707)</f>
        <v>85</v>
      </c>
      <c r="Q2707" s="15" t="n">
        <f aca="false">IF(J2707=1,"",L2707-P2707)</f>
        <v>15</v>
      </c>
      <c r="R2707" s="15" t="n">
        <f aca="false">IF(OR(J2707=1,M2707&lt;=Inputs!$B$12),1,0)</f>
        <v>1</v>
      </c>
      <c r="S2707" s="15" t="n">
        <f aca="false">IF(OR(J2707=1,N2707&lt;=O2707),1,0)</f>
        <v>1</v>
      </c>
      <c r="T2707" s="15" t="str">
        <f aca="false">IF(J2707=1,"OFFLINE",IF(AND(Q2707&gt;=Inputs!$B$15,R2707=1,S2707=1,P2707&lt;=L2707),"PASS","FAIL"))</f>
        <v>PASS</v>
      </c>
    </row>
    <row r="2708" customFormat="false" ht="15" hidden="false" customHeight="false" outlineLevel="0" collapsed="false">
      <c r="A2708" s="14" t="s">
        <v>1047</v>
      </c>
      <c r="B2708" s="14" t="s">
        <v>1048</v>
      </c>
      <c r="C2708" s="14" t="s">
        <v>153</v>
      </c>
      <c r="D2708" s="14" t="s">
        <v>149</v>
      </c>
      <c r="E2708" s="14" t="s">
        <v>152</v>
      </c>
      <c r="F2708" s="14" t="s">
        <v>150</v>
      </c>
      <c r="G2708" s="14" t="n">
        <v>1</v>
      </c>
      <c r="H2708" s="14" t="s">
        <v>154</v>
      </c>
      <c r="I2708" s="14" t="s">
        <v>892</v>
      </c>
      <c r="J2708" s="15" t="n">
        <f aca="false">IF(B2708="SITE LOSS",IF(D2708=C2708,1,0),IF(B2708="REGION LOSS",IF(E2708=C2708,1,0),0))</f>
        <v>0</v>
      </c>
      <c r="K2708" s="15" t="n">
        <f aca="false">IF(B2708="SITE LOSS",IF(COUNTIFS('Site Dockets'!$B$7:$B$24,C2708,'Site Dockets'!$C$7:$C$24,F2708)&gt;0,1,0),IF(B2708="REGION LOSS",IF(COUNTIFS('Site Dockets'!$E$7:$E$24,C2708,'Site Dockets'!$C$7:$C$24,F2708)&gt;0,1,0),0))</f>
        <v>0</v>
      </c>
      <c r="L2708" s="15" t="n">
        <f aca="false">IF(J2708=1,0,Inputs!$B$11)</f>
        <v>100</v>
      </c>
      <c r="M2708" s="15" t="n">
        <f aca="false">IF(J2708=1,0,Inputs!$B$12)</f>
        <v>75</v>
      </c>
      <c r="N2708" s="15" t="n">
        <f aca="false">IF(J2708=1,0,IF(OR(AND(OR(B2708="SITE LOSS",B2708="REGION LOSS"),K2708=1),AND(B2708="ROLE COMPROMISE",H2708=C2708)),Inputs!$B$13,Inputs!$B$14))</f>
        <v>10</v>
      </c>
      <c r="O2708" s="15" t="n">
        <f aca="false">IF(J2708=1,0,Inputs!$B$13)</f>
        <v>20</v>
      </c>
      <c r="P2708" s="15" t="n">
        <f aca="false">SUM(M2708:N2708)</f>
        <v>85</v>
      </c>
      <c r="Q2708" s="15" t="n">
        <f aca="false">IF(J2708=1,"",L2708-P2708)</f>
        <v>15</v>
      </c>
      <c r="R2708" s="15" t="n">
        <f aca="false">IF(OR(J2708=1,M2708&lt;=Inputs!$B$12),1,0)</f>
        <v>1</v>
      </c>
      <c r="S2708" s="15" t="n">
        <f aca="false">IF(OR(J2708=1,N2708&lt;=O2708),1,0)</f>
        <v>1</v>
      </c>
      <c r="T2708" s="15" t="str">
        <f aca="false">IF(J2708=1,"OFFLINE",IF(AND(Q2708&gt;=Inputs!$B$15,R2708=1,S2708=1,P2708&lt;=L2708),"PASS","FAIL"))</f>
        <v>PASS</v>
      </c>
    </row>
    <row r="2709" customFormat="false" ht="15" hidden="false" customHeight="false" outlineLevel="0" collapsed="false">
      <c r="A2709" s="14" t="s">
        <v>1047</v>
      </c>
      <c r="B2709" s="14" t="s">
        <v>1048</v>
      </c>
      <c r="C2709" s="14" t="s">
        <v>153</v>
      </c>
      <c r="D2709" s="14" t="s">
        <v>149</v>
      </c>
      <c r="E2709" s="14" t="s">
        <v>152</v>
      </c>
      <c r="F2709" s="14" t="s">
        <v>150</v>
      </c>
      <c r="G2709" s="14" t="n">
        <v>1</v>
      </c>
      <c r="H2709" s="14" t="s">
        <v>154</v>
      </c>
      <c r="I2709" s="14" t="s">
        <v>811</v>
      </c>
      <c r="J2709" s="15" t="n">
        <f aca="false">IF(B2709="SITE LOSS",IF(D2709=C2709,1,0),IF(B2709="REGION LOSS",IF(E2709=C2709,1,0),0))</f>
        <v>0</v>
      </c>
      <c r="K2709" s="15" t="n">
        <f aca="false">IF(B2709="SITE LOSS",IF(COUNTIFS('Site Dockets'!$B$7:$B$24,C2709,'Site Dockets'!$C$7:$C$24,F2709)&gt;0,1,0),IF(B2709="REGION LOSS",IF(COUNTIFS('Site Dockets'!$E$7:$E$24,C2709,'Site Dockets'!$C$7:$C$24,F2709)&gt;0,1,0),0))</f>
        <v>0</v>
      </c>
      <c r="L2709" s="15" t="n">
        <f aca="false">IF(J2709=1,0,Inputs!$B$11)</f>
        <v>100</v>
      </c>
      <c r="M2709" s="15" t="n">
        <f aca="false">IF(J2709=1,0,Inputs!$B$12)</f>
        <v>75</v>
      </c>
      <c r="N2709" s="15" t="n">
        <f aca="false">IF(J2709=1,0,IF(OR(AND(OR(B2709="SITE LOSS",B2709="REGION LOSS"),K2709=1),AND(B2709="ROLE COMPROMISE",H2709=C2709)),Inputs!$B$13,Inputs!$B$14))</f>
        <v>10</v>
      </c>
      <c r="O2709" s="15" t="n">
        <f aca="false">IF(J2709=1,0,Inputs!$B$13)</f>
        <v>20</v>
      </c>
      <c r="P2709" s="15" t="n">
        <f aca="false">SUM(M2709:N2709)</f>
        <v>85</v>
      </c>
      <c r="Q2709" s="15" t="n">
        <f aca="false">IF(J2709=1,"",L2709-P2709)</f>
        <v>15</v>
      </c>
      <c r="R2709" s="15" t="n">
        <f aca="false">IF(OR(J2709=1,M2709&lt;=Inputs!$B$12),1,0)</f>
        <v>1</v>
      </c>
      <c r="S2709" s="15" t="n">
        <f aca="false">IF(OR(J2709=1,N2709&lt;=O2709),1,0)</f>
        <v>1</v>
      </c>
      <c r="T2709" s="15" t="str">
        <f aca="false">IF(J2709=1,"OFFLINE",IF(AND(Q2709&gt;=Inputs!$B$15,R2709=1,S2709=1,P2709&lt;=L2709),"PASS","FAIL"))</f>
        <v>PASS</v>
      </c>
    </row>
    <row r="2710" customFormat="false" ht="15" hidden="false" customHeight="false" outlineLevel="0" collapsed="false">
      <c r="A2710" s="14" t="s">
        <v>1047</v>
      </c>
      <c r="B2710" s="14" t="s">
        <v>1048</v>
      </c>
      <c r="C2710" s="14" t="s">
        <v>153</v>
      </c>
      <c r="D2710" s="14" t="s">
        <v>149</v>
      </c>
      <c r="E2710" s="14" t="s">
        <v>152</v>
      </c>
      <c r="F2710" s="14" t="s">
        <v>150</v>
      </c>
      <c r="G2710" s="14" t="n">
        <v>1</v>
      </c>
      <c r="H2710" s="14" t="s">
        <v>154</v>
      </c>
      <c r="I2710" s="14" t="s">
        <v>895</v>
      </c>
      <c r="J2710" s="15" t="n">
        <f aca="false">IF(B2710="SITE LOSS",IF(D2710=C2710,1,0),IF(B2710="REGION LOSS",IF(E2710=C2710,1,0),0))</f>
        <v>0</v>
      </c>
      <c r="K2710" s="15" t="n">
        <f aca="false">IF(B2710="SITE LOSS",IF(COUNTIFS('Site Dockets'!$B$7:$B$24,C2710,'Site Dockets'!$C$7:$C$24,F2710)&gt;0,1,0),IF(B2710="REGION LOSS",IF(COUNTIFS('Site Dockets'!$E$7:$E$24,C2710,'Site Dockets'!$C$7:$C$24,F2710)&gt;0,1,0),0))</f>
        <v>0</v>
      </c>
      <c r="L2710" s="15" t="n">
        <f aca="false">IF(J2710=1,0,Inputs!$B$11)</f>
        <v>100</v>
      </c>
      <c r="M2710" s="15" t="n">
        <f aca="false">IF(J2710=1,0,Inputs!$B$12)</f>
        <v>75</v>
      </c>
      <c r="N2710" s="15" t="n">
        <f aca="false">IF(J2710=1,0,IF(OR(AND(OR(B2710="SITE LOSS",B2710="REGION LOSS"),K2710=1),AND(B2710="ROLE COMPROMISE",H2710=C2710)),Inputs!$B$13,Inputs!$B$14))</f>
        <v>10</v>
      </c>
      <c r="O2710" s="15" t="n">
        <f aca="false">IF(J2710=1,0,Inputs!$B$13)</f>
        <v>20</v>
      </c>
      <c r="P2710" s="15" t="n">
        <f aca="false">SUM(M2710:N2710)</f>
        <v>85</v>
      </c>
      <c r="Q2710" s="15" t="n">
        <f aca="false">IF(J2710=1,"",L2710-P2710)</f>
        <v>15</v>
      </c>
      <c r="R2710" s="15" t="n">
        <f aca="false">IF(OR(J2710=1,M2710&lt;=Inputs!$B$12),1,0)</f>
        <v>1</v>
      </c>
      <c r="S2710" s="15" t="n">
        <f aca="false">IF(OR(J2710=1,N2710&lt;=O2710),1,0)</f>
        <v>1</v>
      </c>
      <c r="T2710" s="15" t="str">
        <f aca="false">IF(J2710=1,"OFFLINE",IF(AND(Q2710&gt;=Inputs!$B$15,R2710=1,S2710=1,P2710&lt;=L2710),"PASS","FAIL"))</f>
        <v>PASS</v>
      </c>
    </row>
    <row r="2711" customFormat="false" ht="15" hidden="false" customHeight="false" outlineLevel="0" collapsed="false">
      <c r="A2711" s="14" t="s">
        <v>1047</v>
      </c>
      <c r="B2711" s="14" t="s">
        <v>1048</v>
      </c>
      <c r="C2711" s="14" t="s">
        <v>153</v>
      </c>
      <c r="D2711" s="14" t="s">
        <v>149</v>
      </c>
      <c r="E2711" s="14" t="s">
        <v>152</v>
      </c>
      <c r="F2711" s="14" t="s">
        <v>150</v>
      </c>
      <c r="G2711" s="14" t="n">
        <v>1</v>
      </c>
      <c r="H2711" s="14" t="s">
        <v>154</v>
      </c>
      <c r="I2711" s="14" t="s">
        <v>897</v>
      </c>
      <c r="J2711" s="15" t="n">
        <f aca="false">IF(B2711="SITE LOSS",IF(D2711=C2711,1,0),IF(B2711="REGION LOSS",IF(E2711=C2711,1,0),0))</f>
        <v>0</v>
      </c>
      <c r="K2711" s="15" t="n">
        <f aca="false">IF(B2711="SITE LOSS",IF(COUNTIFS('Site Dockets'!$B$7:$B$24,C2711,'Site Dockets'!$C$7:$C$24,F2711)&gt;0,1,0),IF(B2711="REGION LOSS",IF(COUNTIFS('Site Dockets'!$E$7:$E$24,C2711,'Site Dockets'!$C$7:$C$24,F2711)&gt;0,1,0),0))</f>
        <v>0</v>
      </c>
      <c r="L2711" s="15" t="n">
        <f aca="false">IF(J2711=1,0,Inputs!$B$11)</f>
        <v>100</v>
      </c>
      <c r="M2711" s="15" t="n">
        <f aca="false">IF(J2711=1,0,Inputs!$B$12)</f>
        <v>75</v>
      </c>
      <c r="N2711" s="15" t="n">
        <f aca="false">IF(J2711=1,0,IF(OR(AND(OR(B2711="SITE LOSS",B2711="REGION LOSS"),K2711=1),AND(B2711="ROLE COMPROMISE",H2711=C2711)),Inputs!$B$13,Inputs!$B$14))</f>
        <v>10</v>
      </c>
      <c r="O2711" s="15" t="n">
        <f aca="false">IF(J2711=1,0,Inputs!$B$13)</f>
        <v>20</v>
      </c>
      <c r="P2711" s="15" t="n">
        <f aca="false">SUM(M2711:N2711)</f>
        <v>85</v>
      </c>
      <c r="Q2711" s="15" t="n">
        <f aca="false">IF(J2711=1,"",L2711-P2711)</f>
        <v>15</v>
      </c>
      <c r="R2711" s="15" t="n">
        <f aca="false">IF(OR(J2711=1,M2711&lt;=Inputs!$B$12),1,0)</f>
        <v>1</v>
      </c>
      <c r="S2711" s="15" t="n">
        <f aca="false">IF(OR(J2711=1,N2711&lt;=O2711),1,0)</f>
        <v>1</v>
      </c>
      <c r="T2711" s="15" t="str">
        <f aca="false">IF(J2711=1,"OFFLINE",IF(AND(Q2711&gt;=Inputs!$B$15,R2711=1,S2711=1,P2711&lt;=L2711),"PASS","FAIL"))</f>
        <v>PASS</v>
      </c>
    </row>
    <row r="2712" customFormat="false" ht="15" hidden="false" customHeight="false" outlineLevel="0" collapsed="false">
      <c r="A2712" s="14" t="s">
        <v>1047</v>
      </c>
      <c r="B2712" s="14" t="s">
        <v>1048</v>
      </c>
      <c r="C2712" s="14" t="s">
        <v>153</v>
      </c>
      <c r="D2712" s="14" t="s">
        <v>149</v>
      </c>
      <c r="E2712" s="14" t="s">
        <v>152</v>
      </c>
      <c r="F2712" s="14" t="s">
        <v>150</v>
      </c>
      <c r="G2712" s="14" t="n">
        <v>1</v>
      </c>
      <c r="H2712" s="14" t="s">
        <v>154</v>
      </c>
      <c r="I2712" s="14" t="s">
        <v>899</v>
      </c>
      <c r="J2712" s="15" t="n">
        <f aca="false">IF(B2712="SITE LOSS",IF(D2712=C2712,1,0),IF(B2712="REGION LOSS",IF(E2712=C2712,1,0),0))</f>
        <v>0</v>
      </c>
      <c r="K2712" s="15" t="n">
        <f aca="false">IF(B2712="SITE LOSS",IF(COUNTIFS('Site Dockets'!$B$7:$B$24,C2712,'Site Dockets'!$C$7:$C$24,F2712)&gt;0,1,0),IF(B2712="REGION LOSS",IF(COUNTIFS('Site Dockets'!$E$7:$E$24,C2712,'Site Dockets'!$C$7:$C$24,F2712)&gt;0,1,0),0))</f>
        <v>0</v>
      </c>
      <c r="L2712" s="15" t="n">
        <f aca="false">IF(J2712=1,0,Inputs!$B$11)</f>
        <v>100</v>
      </c>
      <c r="M2712" s="15" t="n">
        <f aca="false">IF(J2712=1,0,Inputs!$B$12)</f>
        <v>75</v>
      </c>
      <c r="N2712" s="15" t="n">
        <f aca="false">IF(J2712=1,0,IF(OR(AND(OR(B2712="SITE LOSS",B2712="REGION LOSS"),K2712=1),AND(B2712="ROLE COMPROMISE",H2712=C2712)),Inputs!$B$13,Inputs!$B$14))</f>
        <v>10</v>
      </c>
      <c r="O2712" s="15" t="n">
        <f aca="false">IF(J2712=1,0,Inputs!$B$13)</f>
        <v>20</v>
      </c>
      <c r="P2712" s="15" t="n">
        <f aca="false">SUM(M2712:N2712)</f>
        <v>85</v>
      </c>
      <c r="Q2712" s="15" t="n">
        <f aca="false">IF(J2712=1,"",L2712-P2712)</f>
        <v>15</v>
      </c>
      <c r="R2712" s="15" t="n">
        <f aca="false">IF(OR(J2712=1,M2712&lt;=Inputs!$B$12),1,0)</f>
        <v>1</v>
      </c>
      <c r="S2712" s="15" t="n">
        <f aca="false">IF(OR(J2712=1,N2712&lt;=O2712),1,0)</f>
        <v>1</v>
      </c>
      <c r="T2712" s="15" t="str">
        <f aca="false">IF(J2712=1,"OFFLINE",IF(AND(Q2712&gt;=Inputs!$B$15,R2712=1,S2712=1,P2712&lt;=L2712),"PASS","FAIL"))</f>
        <v>PASS</v>
      </c>
    </row>
    <row r="2713" customFormat="false" ht="15" hidden="false" customHeight="false" outlineLevel="0" collapsed="false">
      <c r="A2713" s="14" t="s">
        <v>1047</v>
      </c>
      <c r="B2713" s="14" t="s">
        <v>1048</v>
      </c>
      <c r="C2713" s="14" t="s">
        <v>153</v>
      </c>
      <c r="D2713" s="14" t="s">
        <v>156</v>
      </c>
      <c r="E2713" s="14" t="s">
        <v>157</v>
      </c>
      <c r="F2713" s="14" t="s">
        <v>150</v>
      </c>
      <c r="G2713" s="14" t="n">
        <v>2</v>
      </c>
      <c r="H2713" s="14" t="s">
        <v>153</v>
      </c>
      <c r="I2713" s="14" t="s">
        <v>890</v>
      </c>
      <c r="J2713" s="15" t="n">
        <f aca="false">IF(B2713="SITE LOSS",IF(D2713=C2713,1,0),IF(B2713="REGION LOSS",IF(E2713=C2713,1,0),0))</f>
        <v>0</v>
      </c>
      <c r="K2713" s="15" t="n">
        <f aca="false">IF(B2713="SITE LOSS",IF(COUNTIFS('Site Dockets'!$B$7:$B$24,C2713,'Site Dockets'!$C$7:$C$24,F2713)&gt;0,1,0),IF(B2713="REGION LOSS",IF(COUNTIFS('Site Dockets'!$E$7:$E$24,C2713,'Site Dockets'!$C$7:$C$24,F2713)&gt;0,1,0),0))</f>
        <v>0</v>
      </c>
      <c r="L2713" s="15" t="n">
        <f aca="false">IF(J2713=1,0,Inputs!$B$11)</f>
        <v>100</v>
      </c>
      <c r="M2713" s="15" t="n">
        <f aca="false">IF(J2713=1,0,Inputs!$B$12)</f>
        <v>75</v>
      </c>
      <c r="N2713" s="15" t="n">
        <f aca="false">IF(J2713=1,0,IF(OR(AND(OR(B2713="SITE LOSS",B2713="REGION LOSS"),K2713=1),AND(B2713="ROLE COMPROMISE",H2713=C2713)),Inputs!$B$13,Inputs!$B$14))</f>
        <v>20</v>
      </c>
      <c r="O2713" s="15" t="n">
        <f aca="false">IF(J2713=1,0,Inputs!$B$13)</f>
        <v>20</v>
      </c>
      <c r="P2713" s="15" t="n">
        <f aca="false">SUM(M2713:N2713)</f>
        <v>95</v>
      </c>
      <c r="Q2713" s="15" t="n">
        <f aca="false">IF(J2713=1,"",L2713-P2713)</f>
        <v>5</v>
      </c>
      <c r="R2713" s="15" t="n">
        <f aca="false">IF(OR(J2713=1,M2713&lt;=Inputs!$B$12),1,0)</f>
        <v>1</v>
      </c>
      <c r="S2713" s="15" t="n">
        <f aca="false">IF(OR(J2713=1,N2713&lt;=O2713),1,0)</f>
        <v>1</v>
      </c>
      <c r="T2713" s="15" t="str">
        <f aca="false">IF(J2713=1,"OFFLINE",IF(AND(Q2713&gt;=Inputs!$B$15,R2713=1,S2713=1,P2713&lt;=L2713),"PASS","FAIL"))</f>
        <v>PASS</v>
      </c>
    </row>
    <row r="2714" customFormat="false" ht="15" hidden="false" customHeight="false" outlineLevel="0" collapsed="false">
      <c r="A2714" s="14" t="s">
        <v>1047</v>
      </c>
      <c r="B2714" s="14" t="s">
        <v>1048</v>
      </c>
      <c r="C2714" s="14" t="s">
        <v>153</v>
      </c>
      <c r="D2714" s="14" t="s">
        <v>156</v>
      </c>
      <c r="E2714" s="14" t="s">
        <v>157</v>
      </c>
      <c r="F2714" s="14" t="s">
        <v>150</v>
      </c>
      <c r="G2714" s="14" t="n">
        <v>2</v>
      </c>
      <c r="H2714" s="14" t="s">
        <v>153</v>
      </c>
      <c r="I2714" s="14" t="s">
        <v>892</v>
      </c>
      <c r="J2714" s="15" t="n">
        <f aca="false">IF(B2714="SITE LOSS",IF(D2714=C2714,1,0),IF(B2714="REGION LOSS",IF(E2714=C2714,1,0),0))</f>
        <v>0</v>
      </c>
      <c r="K2714" s="15" t="n">
        <f aca="false">IF(B2714="SITE LOSS",IF(COUNTIFS('Site Dockets'!$B$7:$B$24,C2714,'Site Dockets'!$C$7:$C$24,F2714)&gt;0,1,0),IF(B2714="REGION LOSS",IF(COUNTIFS('Site Dockets'!$E$7:$E$24,C2714,'Site Dockets'!$C$7:$C$24,F2714)&gt;0,1,0),0))</f>
        <v>0</v>
      </c>
      <c r="L2714" s="15" t="n">
        <f aca="false">IF(J2714=1,0,Inputs!$B$11)</f>
        <v>100</v>
      </c>
      <c r="M2714" s="15" t="n">
        <f aca="false">IF(J2714=1,0,Inputs!$B$12)</f>
        <v>75</v>
      </c>
      <c r="N2714" s="15" t="n">
        <f aca="false">IF(J2714=1,0,IF(OR(AND(OR(B2714="SITE LOSS",B2714="REGION LOSS"),K2714=1),AND(B2714="ROLE COMPROMISE",H2714=C2714)),Inputs!$B$13,Inputs!$B$14))</f>
        <v>20</v>
      </c>
      <c r="O2714" s="15" t="n">
        <f aca="false">IF(J2714=1,0,Inputs!$B$13)</f>
        <v>20</v>
      </c>
      <c r="P2714" s="15" t="n">
        <f aca="false">SUM(M2714:N2714)</f>
        <v>95</v>
      </c>
      <c r="Q2714" s="15" t="n">
        <f aca="false">IF(J2714=1,"",L2714-P2714)</f>
        <v>5</v>
      </c>
      <c r="R2714" s="15" t="n">
        <f aca="false">IF(OR(J2714=1,M2714&lt;=Inputs!$B$12),1,0)</f>
        <v>1</v>
      </c>
      <c r="S2714" s="15" t="n">
        <f aca="false">IF(OR(J2714=1,N2714&lt;=O2714),1,0)</f>
        <v>1</v>
      </c>
      <c r="T2714" s="15" t="str">
        <f aca="false">IF(J2714=1,"OFFLINE",IF(AND(Q2714&gt;=Inputs!$B$15,R2714=1,S2714=1,P2714&lt;=L2714),"PASS","FAIL"))</f>
        <v>PASS</v>
      </c>
    </row>
    <row r="2715" customFormat="false" ht="15" hidden="false" customHeight="false" outlineLevel="0" collapsed="false">
      <c r="A2715" s="14" t="s">
        <v>1047</v>
      </c>
      <c r="B2715" s="14" t="s">
        <v>1048</v>
      </c>
      <c r="C2715" s="14" t="s">
        <v>153</v>
      </c>
      <c r="D2715" s="14" t="s">
        <v>156</v>
      </c>
      <c r="E2715" s="14" t="s">
        <v>157</v>
      </c>
      <c r="F2715" s="14" t="s">
        <v>150</v>
      </c>
      <c r="G2715" s="14" t="n">
        <v>2</v>
      </c>
      <c r="H2715" s="14" t="s">
        <v>153</v>
      </c>
      <c r="I2715" s="14" t="s">
        <v>811</v>
      </c>
      <c r="J2715" s="15" t="n">
        <f aca="false">IF(B2715="SITE LOSS",IF(D2715=C2715,1,0),IF(B2715="REGION LOSS",IF(E2715=C2715,1,0),0))</f>
        <v>0</v>
      </c>
      <c r="K2715" s="15" t="n">
        <f aca="false">IF(B2715="SITE LOSS",IF(COUNTIFS('Site Dockets'!$B$7:$B$24,C2715,'Site Dockets'!$C$7:$C$24,F2715)&gt;0,1,0),IF(B2715="REGION LOSS",IF(COUNTIFS('Site Dockets'!$E$7:$E$24,C2715,'Site Dockets'!$C$7:$C$24,F2715)&gt;0,1,0),0))</f>
        <v>0</v>
      </c>
      <c r="L2715" s="15" t="n">
        <f aca="false">IF(J2715=1,0,Inputs!$B$11)</f>
        <v>100</v>
      </c>
      <c r="M2715" s="15" t="n">
        <f aca="false">IF(J2715=1,0,Inputs!$B$12)</f>
        <v>75</v>
      </c>
      <c r="N2715" s="15" t="n">
        <f aca="false">IF(J2715=1,0,IF(OR(AND(OR(B2715="SITE LOSS",B2715="REGION LOSS"),K2715=1),AND(B2715="ROLE COMPROMISE",H2715=C2715)),Inputs!$B$13,Inputs!$B$14))</f>
        <v>20</v>
      </c>
      <c r="O2715" s="15" t="n">
        <f aca="false">IF(J2715=1,0,Inputs!$B$13)</f>
        <v>20</v>
      </c>
      <c r="P2715" s="15" t="n">
        <f aca="false">SUM(M2715:N2715)</f>
        <v>95</v>
      </c>
      <c r="Q2715" s="15" t="n">
        <f aca="false">IF(J2715=1,"",L2715-P2715)</f>
        <v>5</v>
      </c>
      <c r="R2715" s="15" t="n">
        <f aca="false">IF(OR(J2715=1,M2715&lt;=Inputs!$B$12),1,0)</f>
        <v>1</v>
      </c>
      <c r="S2715" s="15" t="n">
        <f aca="false">IF(OR(J2715=1,N2715&lt;=O2715),1,0)</f>
        <v>1</v>
      </c>
      <c r="T2715" s="15" t="str">
        <f aca="false">IF(J2715=1,"OFFLINE",IF(AND(Q2715&gt;=Inputs!$B$15,R2715=1,S2715=1,P2715&lt;=L2715),"PASS","FAIL"))</f>
        <v>PASS</v>
      </c>
    </row>
    <row r="2716" customFormat="false" ht="15" hidden="false" customHeight="false" outlineLevel="0" collapsed="false">
      <c r="A2716" s="14" t="s">
        <v>1047</v>
      </c>
      <c r="B2716" s="14" t="s">
        <v>1048</v>
      </c>
      <c r="C2716" s="14" t="s">
        <v>153</v>
      </c>
      <c r="D2716" s="14" t="s">
        <v>156</v>
      </c>
      <c r="E2716" s="14" t="s">
        <v>157</v>
      </c>
      <c r="F2716" s="14" t="s">
        <v>150</v>
      </c>
      <c r="G2716" s="14" t="n">
        <v>2</v>
      </c>
      <c r="H2716" s="14" t="s">
        <v>153</v>
      </c>
      <c r="I2716" s="14" t="s">
        <v>895</v>
      </c>
      <c r="J2716" s="15" t="n">
        <f aca="false">IF(B2716="SITE LOSS",IF(D2716=C2716,1,0),IF(B2716="REGION LOSS",IF(E2716=C2716,1,0),0))</f>
        <v>0</v>
      </c>
      <c r="K2716" s="15" t="n">
        <f aca="false">IF(B2716="SITE LOSS",IF(COUNTIFS('Site Dockets'!$B$7:$B$24,C2716,'Site Dockets'!$C$7:$C$24,F2716)&gt;0,1,0),IF(B2716="REGION LOSS",IF(COUNTIFS('Site Dockets'!$E$7:$E$24,C2716,'Site Dockets'!$C$7:$C$24,F2716)&gt;0,1,0),0))</f>
        <v>0</v>
      </c>
      <c r="L2716" s="15" t="n">
        <f aca="false">IF(J2716=1,0,Inputs!$B$11)</f>
        <v>100</v>
      </c>
      <c r="M2716" s="15" t="n">
        <f aca="false">IF(J2716=1,0,Inputs!$B$12)</f>
        <v>75</v>
      </c>
      <c r="N2716" s="15" t="n">
        <f aca="false">IF(J2716=1,0,IF(OR(AND(OR(B2716="SITE LOSS",B2716="REGION LOSS"),K2716=1),AND(B2716="ROLE COMPROMISE",H2716=C2716)),Inputs!$B$13,Inputs!$B$14))</f>
        <v>20</v>
      </c>
      <c r="O2716" s="15" t="n">
        <f aca="false">IF(J2716=1,0,Inputs!$B$13)</f>
        <v>20</v>
      </c>
      <c r="P2716" s="15" t="n">
        <f aca="false">SUM(M2716:N2716)</f>
        <v>95</v>
      </c>
      <c r="Q2716" s="15" t="n">
        <f aca="false">IF(J2716=1,"",L2716-P2716)</f>
        <v>5</v>
      </c>
      <c r="R2716" s="15" t="n">
        <f aca="false">IF(OR(J2716=1,M2716&lt;=Inputs!$B$12),1,0)</f>
        <v>1</v>
      </c>
      <c r="S2716" s="15" t="n">
        <f aca="false">IF(OR(J2716=1,N2716&lt;=O2716),1,0)</f>
        <v>1</v>
      </c>
      <c r="T2716" s="15" t="str">
        <f aca="false">IF(J2716=1,"OFFLINE",IF(AND(Q2716&gt;=Inputs!$B$15,R2716=1,S2716=1,P2716&lt;=L2716),"PASS","FAIL"))</f>
        <v>PASS</v>
      </c>
    </row>
    <row r="2717" customFormat="false" ht="15" hidden="false" customHeight="false" outlineLevel="0" collapsed="false">
      <c r="A2717" s="14" t="s">
        <v>1047</v>
      </c>
      <c r="B2717" s="14" t="s">
        <v>1048</v>
      </c>
      <c r="C2717" s="14" t="s">
        <v>153</v>
      </c>
      <c r="D2717" s="14" t="s">
        <v>156</v>
      </c>
      <c r="E2717" s="14" t="s">
        <v>157</v>
      </c>
      <c r="F2717" s="14" t="s">
        <v>150</v>
      </c>
      <c r="G2717" s="14" t="n">
        <v>2</v>
      </c>
      <c r="H2717" s="14" t="s">
        <v>153</v>
      </c>
      <c r="I2717" s="14" t="s">
        <v>897</v>
      </c>
      <c r="J2717" s="15" t="n">
        <f aca="false">IF(B2717="SITE LOSS",IF(D2717=C2717,1,0),IF(B2717="REGION LOSS",IF(E2717=C2717,1,0),0))</f>
        <v>0</v>
      </c>
      <c r="K2717" s="15" t="n">
        <f aca="false">IF(B2717="SITE LOSS",IF(COUNTIFS('Site Dockets'!$B$7:$B$24,C2717,'Site Dockets'!$C$7:$C$24,F2717)&gt;0,1,0),IF(B2717="REGION LOSS",IF(COUNTIFS('Site Dockets'!$E$7:$E$24,C2717,'Site Dockets'!$C$7:$C$24,F2717)&gt;0,1,0),0))</f>
        <v>0</v>
      </c>
      <c r="L2717" s="15" t="n">
        <f aca="false">IF(J2717=1,0,Inputs!$B$11)</f>
        <v>100</v>
      </c>
      <c r="M2717" s="15" t="n">
        <f aca="false">IF(J2717=1,0,Inputs!$B$12)</f>
        <v>75</v>
      </c>
      <c r="N2717" s="15" t="n">
        <f aca="false">IF(J2717=1,0,IF(OR(AND(OR(B2717="SITE LOSS",B2717="REGION LOSS"),K2717=1),AND(B2717="ROLE COMPROMISE",H2717=C2717)),Inputs!$B$13,Inputs!$B$14))</f>
        <v>20</v>
      </c>
      <c r="O2717" s="15" t="n">
        <f aca="false">IF(J2717=1,0,Inputs!$B$13)</f>
        <v>20</v>
      </c>
      <c r="P2717" s="15" t="n">
        <f aca="false">SUM(M2717:N2717)</f>
        <v>95</v>
      </c>
      <c r="Q2717" s="15" t="n">
        <f aca="false">IF(J2717=1,"",L2717-P2717)</f>
        <v>5</v>
      </c>
      <c r="R2717" s="15" t="n">
        <f aca="false">IF(OR(J2717=1,M2717&lt;=Inputs!$B$12),1,0)</f>
        <v>1</v>
      </c>
      <c r="S2717" s="15" t="n">
        <f aca="false">IF(OR(J2717=1,N2717&lt;=O2717),1,0)</f>
        <v>1</v>
      </c>
      <c r="T2717" s="15" t="str">
        <f aca="false">IF(J2717=1,"OFFLINE",IF(AND(Q2717&gt;=Inputs!$B$15,R2717=1,S2717=1,P2717&lt;=L2717),"PASS","FAIL"))</f>
        <v>PASS</v>
      </c>
    </row>
    <row r="2718" customFormat="false" ht="15" hidden="false" customHeight="false" outlineLevel="0" collapsed="false">
      <c r="A2718" s="14" t="s">
        <v>1047</v>
      </c>
      <c r="B2718" s="14" t="s">
        <v>1048</v>
      </c>
      <c r="C2718" s="14" t="s">
        <v>153</v>
      </c>
      <c r="D2718" s="14" t="s">
        <v>156</v>
      </c>
      <c r="E2718" s="14" t="s">
        <v>157</v>
      </c>
      <c r="F2718" s="14" t="s">
        <v>150</v>
      </c>
      <c r="G2718" s="14" t="n">
        <v>2</v>
      </c>
      <c r="H2718" s="14" t="s">
        <v>153</v>
      </c>
      <c r="I2718" s="14" t="s">
        <v>899</v>
      </c>
      <c r="J2718" s="15" t="n">
        <f aca="false">IF(B2718="SITE LOSS",IF(D2718=C2718,1,0),IF(B2718="REGION LOSS",IF(E2718=C2718,1,0),0))</f>
        <v>0</v>
      </c>
      <c r="K2718" s="15" t="n">
        <f aca="false">IF(B2718="SITE LOSS",IF(COUNTIFS('Site Dockets'!$B$7:$B$24,C2718,'Site Dockets'!$C$7:$C$24,F2718)&gt;0,1,0),IF(B2718="REGION LOSS",IF(COUNTIFS('Site Dockets'!$E$7:$E$24,C2718,'Site Dockets'!$C$7:$C$24,F2718)&gt;0,1,0),0))</f>
        <v>0</v>
      </c>
      <c r="L2718" s="15" t="n">
        <f aca="false">IF(J2718=1,0,Inputs!$B$11)</f>
        <v>100</v>
      </c>
      <c r="M2718" s="15" t="n">
        <f aca="false">IF(J2718=1,0,Inputs!$B$12)</f>
        <v>75</v>
      </c>
      <c r="N2718" s="15" t="n">
        <f aca="false">IF(J2718=1,0,IF(OR(AND(OR(B2718="SITE LOSS",B2718="REGION LOSS"),K2718=1),AND(B2718="ROLE COMPROMISE",H2718=C2718)),Inputs!$B$13,Inputs!$B$14))</f>
        <v>20</v>
      </c>
      <c r="O2718" s="15" t="n">
        <f aca="false">IF(J2718=1,0,Inputs!$B$13)</f>
        <v>20</v>
      </c>
      <c r="P2718" s="15" t="n">
        <f aca="false">SUM(M2718:N2718)</f>
        <v>95</v>
      </c>
      <c r="Q2718" s="15" t="n">
        <f aca="false">IF(J2718=1,"",L2718-P2718)</f>
        <v>5</v>
      </c>
      <c r="R2718" s="15" t="n">
        <f aca="false">IF(OR(J2718=1,M2718&lt;=Inputs!$B$12),1,0)</f>
        <v>1</v>
      </c>
      <c r="S2718" s="15" t="n">
        <f aca="false">IF(OR(J2718=1,N2718&lt;=O2718),1,0)</f>
        <v>1</v>
      </c>
      <c r="T2718" s="15" t="str">
        <f aca="false">IF(J2718=1,"OFFLINE",IF(AND(Q2718&gt;=Inputs!$B$15,R2718=1,S2718=1,P2718&lt;=L2718),"PASS","FAIL"))</f>
        <v>PASS</v>
      </c>
    </row>
    <row r="2719" customFormat="false" ht="15" hidden="false" customHeight="false" outlineLevel="0" collapsed="false">
      <c r="A2719" s="14" t="s">
        <v>1047</v>
      </c>
      <c r="B2719" s="14" t="s">
        <v>1048</v>
      </c>
      <c r="C2719" s="14" t="s">
        <v>153</v>
      </c>
      <c r="D2719" s="14" t="s">
        <v>160</v>
      </c>
      <c r="E2719" s="14" t="s">
        <v>161</v>
      </c>
      <c r="F2719" s="14" t="s">
        <v>150</v>
      </c>
      <c r="G2719" s="14" t="n">
        <v>3</v>
      </c>
      <c r="H2719" s="14" t="s">
        <v>158</v>
      </c>
      <c r="I2719" s="14" t="s">
        <v>890</v>
      </c>
      <c r="J2719" s="15" t="n">
        <f aca="false">IF(B2719="SITE LOSS",IF(D2719=C2719,1,0),IF(B2719="REGION LOSS",IF(E2719=C2719,1,0),0))</f>
        <v>0</v>
      </c>
      <c r="K2719" s="15" t="n">
        <f aca="false">IF(B2719="SITE LOSS",IF(COUNTIFS('Site Dockets'!$B$7:$B$24,C2719,'Site Dockets'!$C$7:$C$24,F2719)&gt;0,1,0),IF(B2719="REGION LOSS",IF(COUNTIFS('Site Dockets'!$E$7:$E$24,C2719,'Site Dockets'!$C$7:$C$24,F2719)&gt;0,1,0),0))</f>
        <v>0</v>
      </c>
      <c r="L2719" s="15" t="n">
        <f aca="false">IF(J2719=1,0,Inputs!$B$11)</f>
        <v>100</v>
      </c>
      <c r="M2719" s="15" t="n">
        <f aca="false">IF(J2719=1,0,Inputs!$B$12)</f>
        <v>75</v>
      </c>
      <c r="N2719" s="15" t="n">
        <f aca="false">IF(J2719=1,0,IF(OR(AND(OR(B2719="SITE LOSS",B2719="REGION LOSS"),K2719=1),AND(B2719="ROLE COMPROMISE",H2719=C2719)),Inputs!$B$13,Inputs!$B$14))</f>
        <v>10</v>
      </c>
      <c r="O2719" s="15" t="n">
        <f aca="false">IF(J2719=1,0,Inputs!$B$13)</f>
        <v>20</v>
      </c>
      <c r="P2719" s="15" t="n">
        <f aca="false">SUM(M2719:N2719)</f>
        <v>85</v>
      </c>
      <c r="Q2719" s="15" t="n">
        <f aca="false">IF(J2719=1,"",L2719-P2719)</f>
        <v>15</v>
      </c>
      <c r="R2719" s="15" t="n">
        <f aca="false">IF(OR(J2719=1,M2719&lt;=Inputs!$B$12),1,0)</f>
        <v>1</v>
      </c>
      <c r="S2719" s="15" t="n">
        <f aca="false">IF(OR(J2719=1,N2719&lt;=O2719),1,0)</f>
        <v>1</v>
      </c>
      <c r="T2719" s="15" t="str">
        <f aca="false">IF(J2719=1,"OFFLINE",IF(AND(Q2719&gt;=Inputs!$B$15,R2719=1,S2719=1,P2719&lt;=L2719),"PASS","FAIL"))</f>
        <v>PASS</v>
      </c>
    </row>
    <row r="2720" customFormat="false" ht="15" hidden="false" customHeight="false" outlineLevel="0" collapsed="false">
      <c r="A2720" s="14" t="s">
        <v>1047</v>
      </c>
      <c r="B2720" s="14" t="s">
        <v>1048</v>
      </c>
      <c r="C2720" s="14" t="s">
        <v>153</v>
      </c>
      <c r="D2720" s="14" t="s">
        <v>160</v>
      </c>
      <c r="E2720" s="14" t="s">
        <v>161</v>
      </c>
      <c r="F2720" s="14" t="s">
        <v>150</v>
      </c>
      <c r="G2720" s="14" t="n">
        <v>3</v>
      </c>
      <c r="H2720" s="14" t="s">
        <v>158</v>
      </c>
      <c r="I2720" s="14" t="s">
        <v>892</v>
      </c>
      <c r="J2720" s="15" t="n">
        <f aca="false">IF(B2720="SITE LOSS",IF(D2720=C2720,1,0),IF(B2720="REGION LOSS",IF(E2720=C2720,1,0),0))</f>
        <v>0</v>
      </c>
      <c r="K2720" s="15" t="n">
        <f aca="false">IF(B2720="SITE LOSS",IF(COUNTIFS('Site Dockets'!$B$7:$B$24,C2720,'Site Dockets'!$C$7:$C$24,F2720)&gt;0,1,0),IF(B2720="REGION LOSS",IF(COUNTIFS('Site Dockets'!$E$7:$E$24,C2720,'Site Dockets'!$C$7:$C$24,F2720)&gt;0,1,0),0))</f>
        <v>0</v>
      </c>
      <c r="L2720" s="15" t="n">
        <f aca="false">IF(J2720=1,0,Inputs!$B$11)</f>
        <v>100</v>
      </c>
      <c r="M2720" s="15" t="n">
        <f aca="false">IF(J2720=1,0,Inputs!$B$12)</f>
        <v>75</v>
      </c>
      <c r="N2720" s="15" t="n">
        <f aca="false">IF(J2720=1,0,IF(OR(AND(OR(B2720="SITE LOSS",B2720="REGION LOSS"),K2720=1),AND(B2720="ROLE COMPROMISE",H2720=C2720)),Inputs!$B$13,Inputs!$B$14))</f>
        <v>10</v>
      </c>
      <c r="O2720" s="15" t="n">
        <f aca="false">IF(J2720=1,0,Inputs!$B$13)</f>
        <v>20</v>
      </c>
      <c r="P2720" s="15" t="n">
        <f aca="false">SUM(M2720:N2720)</f>
        <v>85</v>
      </c>
      <c r="Q2720" s="15" t="n">
        <f aca="false">IF(J2720=1,"",L2720-P2720)</f>
        <v>15</v>
      </c>
      <c r="R2720" s="15" t="n">
        <f aca="false">IF(OR(J2720=1,M2720&lt;=Inputs!$B$12),1,0)</f>
        <v>1</v>
      </c>
      <c r="S2720" s="15" t="n">
        <f aca="false">IF(OR(J2720=1,N2720&lt;=O2720),1,0)</f>
        <v>1</v>
      </c>
      <c r="T2720" s="15" t="str">
        <f aca="false">IF(J2720=1,"OFFLINE",IF(AND(Q2720&gt;=Inputs!$B$15,R2720=1,S2720=1,P2720&lt;=L2720),"PASS","FAIL"))</f>
        <v>PASS</v>
      </c>
    </row>
    <row r="2721" customFormat="false" ht="15" hidden="false" customHeight="false" outlineLevel="0" collapsed="false">
      <c r="A2721" s="14" t="s">
        <v>1047</v>
      </c>
      <c r="B2721" s="14" t="s">
        <v>1048</v>
      </c>
      <c r="C2721" s="14" t="s">
        <v>153</v>
      </c>
      <c r="D2721" s="14" t="s">
        <v>160</v>
      </c>
      <c r="E2721" s="14" t="s">
        <v>161</v>
      </c>
      <c r="F2721" s="14" t="s">
        <v>150</v>
      </c>
      <c r="G2721" s="14" t="n">
        <v>3</v>
      </c>
      <c r="H2721" s="14" t="s">
        <v>158</v>
      </c>
      <c r="I2721" s="14" t="s">
        <v>811</v>
      </c>
      <c r="J2721" s="15" t="n">
        <f aca="false">IF(B2721="SITE LOSS",IF(D2721=C2721,1,0),IF(B2721="REGION LOSS",IF(E2721=C2721,1,0),0))</f>
        <v>0</v>
      </c>
      <c r="K2721" s="15" t="n">
        <f aca="false">IF(B2721="SITE LOSS",IF(COUNTIFS('Site Dockets'!$B$7:$B$24,C2721,'Site Dockets'!$C$7:$C$24,F2721)&gt;0,1,0),IF(B2721="REGION LOSS",IF(COUNTIFS('Site Dockets'!$E$7:$E$24,C2721,'Site Dockets'!$C$7:$C$24,F2721)&gt;0,1,0),0))</f>
        <v>0</v>
      </c>
      <c r="L2721" s="15" t="n">
        <f aca="false">IF(J2721=1,0,Inputs!$B$11)</f>
        <v>100</v>
      </c>
      <c r="M2721" s="15" t="n">
        <f aca="false">IF(J2721=1,0,Inputs!$B$12)</f>
        <v>75</v>
      </c>
      <c r="N2721" s="15" t="n">
        <f aca="false">IF(J2721=1,0,IF(OR(AND(OR(B2721="SITE LOSS",B2721="REGION LOSS"),K2721=1),AND(B2721="ROLE COMPROMISE",H2721=C2721)),Inputs!$B$13,Inputs!$B$14))</f>
        <v>10</v>
      </c>
      <c r="O2721" s="15" t="n">
        <f aca="false">IF(J2721=1,0,Inputs!$B$13)</f>
        <v>20</v>
      </c>
      <c r="P2721" s="15" t="n">
        <f aca="false">SUM(M2721:N2721)</f>
        <v>85</v>
      </c>
      <c r="Q2721" s="15" t="n">
        <f aca="false">IF(J2721=1,"",L2721-P2721)</f>
        <v>15</v>
      </c>
      <c r="R2721" s="15" t="n">
        <f aca="false">IF(OR(J2721=1,M2721&lt;=Inputs!$B$12),1,0)</f>
        <v>1</v>
      </c>
      <c r="S2721" s="15" t="n">
        <f aca="false">IF(OR(J2721=1,N2721&lt;=O2721),1,0)</f>
        <v>1</v>
      </c>
      <c r="T2721" s="15" t="str">
        <f aca="false">IF(J2721=1,"OFFLINE",IF(AND(Q2721&gt;=Inputs!$B$15,R2721=1,S2721=1,P2721&lt;=L2721),"PASS","FAIL"))</f>
        <v>PASS</v>
      </c>
    </row>
    <row r="2722" customFormat="false" ht="15" hidden="false" customHeight="false" outlineLevel="0" collapsed="false">
      <c r="A2722" s="14" t="s">
        <v>1047</v>
      </c>
      <c r="B2722" s="14" t="s">
        <v>1048</v>
      </c>
      <c r="C2722" s="14" t="s">
        <v>153</v>
      </c>
      <c r="D2722" s="14" t="s">
        <v>160</v>
      </c>
      <c r="E2722" s="14" t="s">
        <v>161</v>
      </c>
      <c r="F2722" s="14" t="s">
        <v>150</v>
      </c>
      <c r="G2722" s="14" t="n">
        <v>3</v>
      </c>
      <c r="H2722" s="14" t="s">
        <v>158</v>
      </c>
      <c r="I2722" s="14" t="s">
        <v>895</v>
      </c>
      <c r="J2722" s="15" t="n">
        <f aca="false">IF(B2722="SITE LOSS",IF(D2722=C2722,1,0),IF(B2722="REGION LOSS",IF(E2722=C2722,1,0),0))</f>
        <v>0</v>
      </c>
      <c r="K2722" s="15" t="n">
        <f aca="false">IF(B2722="SITE LOSS",IF(COUNTIFS('Site Dockets'!$B$7:$B$24,C2722,'Site Dockets'!$C$7:$C$24,F2722)&gt;0,1,0),IF(B2722="REGION LOSS",IF(COUNTIFS('Site Dockets'!$E$7:$E$24,C2722,'Site Dockets'!$C$7:$C$24,F2722)&gt;0,1,0),0))</f>
        <v>0</v>
      </c>
      <c r="L2722" s="15" t="n">
        <f aca="false">IF(J2722=1,0,Inputs!$B$11)</f>
        <v>100</v>
      </c>
      <c r="M2722" s="15" t="n">
        <f aca="false">IF(J2722=1,0,Inputs!$B$12)</f>
        <v>75</v>
      </c>
      <c r="N2722" s="15" t="n">
        <f aca="false">IF(J2722=1,0,IF(OR(AND(OR(B2722="SITE LOSS",B2722="REGION LOSS"),K2722=1),AND(B2722="ROLE COMPROMISE",H2722=C2722)),Inputs!$B$13,Inputs!$B$14))</f>
        <v>10</v>
      </c>
      <c r="O2722" s="15" t="n">
        <f aca="false">IF(J2722=1,0,Inputs!$B$13)</f>
        <v>20</v>
      </c>
      <c r="P2722" s="15" t="n">
        <f aca="false">SUM(M2722:N2722)</f>
        <v>85</v>
      </c>
      <c r="Q2722" s="15" t="n">
        <f aca="false">IF(J2722=1,"",L2722-P2722)</f>
        <v>15</v>
      </c>
      <c r="R2722" s="15" t="n">
        <f aca="false">IF(OR(J2722=1,M2722&lt;=Inputs!$B$12),1,0)</f>
        <v>1</v>
      </c>
      <c r="S2722" s="15" t="n">
        <f aca="false">IF(OR(J2722=1,N2722&lt;=O2722),1,0)</f>
        <v>1</v>
      </c>
      <c r="T2722" s="15" t="str">
        <f aca="false">IF(J2722=1,"OFFLINE",IF(AND(Q2722&gt;=Inputs!$B$15,R2722=1,S2722=1,P2722&lt;=L2722),"PASS","FAIL"))</f>
        <v>PASS</v>
      </c>
    </row>
    <row r="2723" customFormat="false" ht="15" hidden="false" customHeight="false" outlineLevel="0" collapsed="false">
      <c r="A2723" s="14" t="s">
        <v>1047</v>
      </c>
      <c r="B2723" s="14" t="s">
        <v>1048</v>
      </c>
      <c r="C2723" s="14" t="s">
        <v>153</v>
      </c>
      <c r="D2723" s="14" t="s">
        <v>160</v>
      </c>
      <c r="E2723" s="14" t="s">
        <v>161</v>
      </c>
      <c r="F2723" s="14" t="s">
        <v>150</v>
      </c>
      <c r="G2723" s="14" t="n">
        <v>3</v>
      </c>
      <c r="H2723" s="14" t="s">
        <v>158</v>
      </c>
      <c r="I2723" s="14" t="s">
        <v>897</v>
      </c>
      <c r="J2723" s="15" t="n">
        <f aca="false">IF(B2723="SITE LOSS",IF(D2723=C2723,1,0),IF(B2723="REGION LOSS",IF(E2723=C2723,1,0),0))</f>
        <v>0</v>
      </c>
      <c r="K2723" s="15" t="n">
        <f aca="false">IF(B2723="SITE LOSS",IF(COUNTIFS('Site Dockets'!$B$7:$B$24,C2723,'Site Dockets'!$C$7:$C$24,F2723)&gt;0,1,0),IF(B2723="REGION LOSS",IF(COUNTIFS('Site Dockets'!$E$7:$E$24,C2723,'Site Dockets'!$C$7:$C$24,F2723)&gt;0,1,0),0))</f>
        <v>0</v>
      </c>
      <c r="L2723" s="15" t="n">
        <f aca="false">IF(J2723=1,0,Inputs!$B$11)</f>
        <v>100</v>
      </c>
      <c r="M2723" s="15" t="n">
        <f aca="false">IF(J2723=1,0,Inputs!$B$12)</f>
        <v>75</v>
      </c>
      <c r="N2723" s="15" t="n">
        <f aca="false">IF(J2723=1,0,IF(OR(AND(OR(B2723="SITE LOSS",B2723="REGION LOSS"),K2723=1),AND(B2723="ROLE COMPROMISE",H2723=C2723)),Inputs!$B$13,Inputs!$B$14))</f>
        <v>10</v>
      </c>
      <c r="O2723" s="15" t="n">
        <f aca="false">IF(J2723=1,0,Inputs!$B$13)</f>
        <v>20</v>
      </c>
      <c r="P2723" s="15" t="n">
        <f aca="false">SUM(M2723:N2723)</f>
        <v>85</v>
      </c>
      <c r="Q2723" s="15" t="n">
        <f aca="false">IF(J2723=1,"",L2723-P2723)</f>
        <v>15</v>
      </c>
      <c r="R2723" s="15" t="n">
        <f aca="false">IF(OR(J2723=1,M2723&lt;=Inputs!$B$12),1,0)</f>
        <v>1</v>
      </c>
      <c r="S2723" s="15" t="n">
        <f aca="false">IF(OR(J2723=1,N2723&lt;=O2723),1,0)</f>
        <v>1</v>
      </c>
      <c r="T2723" s="15" t="str">
        <f aca="false">IF(J2723=1,"OFFLINE",IF(AND(Q2723&gt;=Inputs!$B$15,R2723=1,S2723=1,P2723&lt;=L2723),"PASS","FAIL"))</f>
        <v>PASS</v>
      </c>
    </row>
    <row r="2724" customFormat="false" ht="15" hidden="false" customHeight="false" outlineLevel="0" collapsed="false">
      <c r="A2724" s="14" t="s">
        <v>1047</v>
      </c>
      <c r="B2724" s="14" t="s">
        <v>1048</v>
      </c>
      <c r="C2724" s="14" t="s">
        <v>153</v>
      </c>
      <c r="D2724" s="14" t="s">
        <v>160</v>
      </c>
      <c r="E2724" s="14" t="s">
        <v>161</v>
      </c>
      <c r="F2724" s="14" t="s">
        <v>150</v>
      </c>
      <c r="G2724" s="14" t="n">
        <v>3</v>
      </c>
      <c r="H2724" s="14" t="s">
        <v>158</v>
      </c>
      <c r="I2724" s="14" t="s">
        <v>899</v>
      </c>
      <c r="J2724" s="15" t="n">
        <f aca="false">IF(B2724="SITE LOSS",IF(D2724=C2724,1,0),IF(B2724="REGION LOSS",IF(E2724=C2724,1,0),0))</f>
        <v>0</v>
      </c>
      <c r="K2724" s="15" t="n">
        <f aca="false">IF(B2724="SITE LOSS",IF(COUNTIFS('Site Dockets'!$B$7:$B$24,C2724,'Site Dockets'!$C$7:$C$24,F2724)&gt;0,1,0),IF(B2724="REGION LOSS",IF(COUNTIFS('Site Dockets'!$E$7:$E$24,C2724,'Site Dockets'!$C$7:$C$24,F2724)&gt;0,1,0),0))</f>
        <v>0</v>
      </c>
      <c r="L2724" s="15" t="n">
        <f aca="false">IF(J2724=1,0,Inputs!$B$11)</f>
        <v>100</v>
      </c>
      <c r="M2724" s="15" t="n">
        <f aca="false">IF(J2724=1,0,Inputs!$B$12)</f>
        <v>75</v>
      </c>
      <c r="N2724" s="15" t="n">
        <f aca="false">IF(J2724=1,0,IF(OR(AND(OR(B2724="SITE LOSS",B2724="REGION LOSS"),K2724=1),AND(B2724="ROLE COMPROMISE",H2724=C2724)),Inputs!$B$13,Inputs!$B$14))</f>
        <v>10</v>
      </c>
      <c r="O2724" s="15" t="n">
        <f aca="false">IF(J2724=1,0,Inputs!$B$13)</f>
        <v>20</v>
      </c>
      <c r="P2724" s="15" t="n">
        <f aca="false">SUM(M2724:N2724)</f>
        <v>85</v>
      </c>
      <c r="Q2724" s="15" t="n">
        <f aca="false">IF(J2724=1,"",L2724-P2724)</f>
        <v>15</v>
      </c>
      <c r="R2724" s="15" t="n">
        <f aca="false">IF(OR(J2724=1,M2724&lt;=Inputs!$B$12),1,0)</f>
        <v>1</v>
      </c>
      <c r="S2724" s="15" t="n">
        <f aca="false">IF(OR(J2724=1,N2724&lt;=O2724),1,0)</f>
        <v>1</v>
      </c>
      <c r="T2724" s="15" t="str">
        <f aca="false">IF(J2724=1,"OFFLINE",IF(AND(Q2724&gt;=Inputs!$B$15,R2724=1,S2724=1,P2724&lt;=L2724),"PASS","FAIL"))</f>
        <v>PASS</v>
      </c>
    </row>
    <row r="2725" customFormat="false" ht="15" hidden="false" customHeight="false" outlineLevel="0" collapsed="false">
      <c r="A2725" s="14" t="s">
        <v>1047</v>
      </c>
      <c r="B2725" s="14" t="s">
        <v>1048</v>
      </c>
      <c r="C2725" s="14" t="s">
        <v>153</v>
      </c>
      <c r="D2725" s="14" t="s">
        <v>163</v>
      </c>
      <c r="E2725" s="14" t="s">
        <v>166</v>
      </c>
      <c r="F2725" s="14" t="s">
        <v>164</v>
      </c>
      <c r="G2725" s="14" t="n">
        <v>1</v>
      </c>
      <c r="H2725" s="14" t="s">
        <v>154</v>
      </c>
      <c r="I2725" s="14" t="s">
        <v>890</v>
      </c>
      <c r="J2725" s="15" t="n">
        <f aca="false">IF(B2725="SITE LOSS",IF(D2725=C2725,1,0),IF(B2725="REGION LOSS",IF(E2725=C2725,1,0),0))</f>
        <v>0</v>
      </c>
      <c r="K2725" s="15" t="n">
        <f aca="false">IF(B2725="SITE LOSS",IF(COUNTIFS('Site Dockets'!$B$7:$B$24,C2725,'Site Dockets'!$C$7:$C$24,F2725)&gt;0,1,0),IF(B2725="REGION LOSS",IF(COUNTIFS('Site Dockets'!$E$7:$E$24,C2725,'Site Dockets'!$C$7:$C$24,F2725)&gt;0,1,0),0))</f>
        <v>0</v>
      </c>
      <c r="L2725" s="15" t="n">
        <f aca="false">IF(J2725=1,0,Inputs!$B$11)</f>
        <v>100</v>
      </c>
      <c r="M2725" s="15" t="n">
        <f aca="false">IF(J2725=1,0,Inputs!$B$12)</f>
        <v>75</v>
      </c>
      <c r="N2725" s="15" t="n">
        <f aca="false">IF(J2725=1,0,IF(OR(AND(OR(B2725="SITE LOSS",B2725="REGION LOSS"),K2725=1),AND(B2725="ROLE COMPROMISE",H2725=C2725)),Inputs!$B$13,Inputs!$B$14))</f>
        <v>10</v>
      </c>
      <c r="O2725" s="15" t="n">
        <f aca="false">IF(J2725=1,0,Inputs!$B$13)</f>
        <v>20</v>
      </c>
      <c r="P2725" s="15" t="n">
        <f aca="false">SUM(M2725:N2725)</f>
        <v>85</v>
      </c>
      <c r="Q2725" s="15" t="n">
        <f aca="false">IF(J2725=1,"",L2725-P2725)</f>
        <v>15</v>
      </c>
      <c r="R2725" s="15" t="n">
        <f aca="false">IF(OR(J2725=1,M2725&lt;=Inputs!$B$12),1,0)</f>
        <v>1</v>
      </c>
      <c r="S2725" s="15" t="n">
        <f aca="false">IF(OR(J2725=1,N2725&lt;=O2725),1,0)</f>
        <v>1</v>
      </c>
      <c r="T2725" s="15" t="str">
        <f aca="false">IF(J2725=1,"OFFLINE",IF(AND(Q2725&gt;=Inputs!$B$15,R2725=1,S2725=1,P2725&lt;=L2725),"PASS","FAIL"))</f>
        <v>PASS</v>
      </c>
    </row>
    <row r="2726" customFormat="false" ht="15" hidden="false" customHeight="false" outlineLevel="0" collapsed="false">
      <c r="A2726" s="14" t="s">
        <v>1047</v>
      </c>
      <c r="B2726" s="14" t="s">
        <v>1048</v>
      </c>
      <c r="C2726" s="14" t="s">
        <v>153</v>
      </c>
      <c r="D2726" s="14" t="s">
        <v>163</v>
      </c>
      <c r="E2726" s="14" t="s">
        <v>166</v>
      </c>
      <c r="F2726" s="14" t="s">
        <v>164</v>
      </c>
      <c r="G2726" s="14" t="n">
        <v>1</v>
      </c>
      <c r="H2726" s="14" t="s">
        <v>154</v>
      </c>
      <c r="I2726" s="14" t="s">
        <v>892</v>
      </c>
      <c r="J2726" s="15" t="n">
        <f aca="false">IF(B2726="SITE LOSS",IF(D2726=C2726,1,0),IF(B2726="REGION LOSS",IF(E2726=C2726,1,0),0))</f>
        <v>0</v>
      </c>
      <c r="K2726" s="15" t="n">
        <f aca="false">IF(B2726="SITE LOSS",IF(COUNTIFS('Site Dockets'!$B$7:$B$24,C2726,'Site Dockets'!$C$7:$C$24,F2726)&gt;0,1,0),IF(B2726="REGION LOSS",IF(COUNTIFS('Site Dockets'!$E$7:$E$24,C2726,'Site Dockets'!$C$7:$C$24,F2726)&gt;0,1,0),0))</f>
        <v>0</v>
      </c>
      <c r="L2726" s="15" t="n">
        <f aca="false">IF(J2726=1,0,Inputs!$B$11)</f>
        <v>100</v>
      </c>
      <c r="M2726" s="15" t="n">
        <f aca="false">IF(J2726=1,0,Inputs!$B$12)</f>
        <v>75</v>
      </c>
      <c r="N2726" s="15" t="n">
        <f aca="false">IF(J2726=1,0,IF(OR(AND(OR(B2726="SITE LOSS",B2726="REGION LOSS"),K2726=1),AND(B2726="ROLE COMPROMISE",H2726=C2726)),Inputs!$B$13,Inputs!$B$14))</f>
        <v>10</v>
      </c>
      <c r="O2726" s="15" t="n">
        <f aca="false">IF(J2726=1,0,Inputs!$B$13)</f>
        <v>20</v>
      </c>
      <c r="P2726" s="15" t="n">
        <f aca="false">SUM(M2726:N2726)</f>
        <v>85</v>
      </c>
      <c r="Q2726" s="15" t="n">
        <f aca="false">IF(J2726=1,"",L2726-P2726)</f>
        <v>15</v>
      </c>
      <c r="R2726" s="15" t="n">
        <f aca="false">IF(OR(J2726=1,M2726&lt;=Inputs!$B$12),1,0)</f>
        <v>1</v>
      </c>
      <c r="S2726" s="15" t="n">
        <f aca="false">IF(OR(J2726=1,N2726&lt;=O2726),1,0)</f>
        <v>1</v>
      </c>
      <c r="T2726" s="15" t="str">
        <f aca="false">IF(J2726=1,"OFFLINE",IF(AND(Q2726&gt;=Inputs!$B$15,R2726=1,S2726=1,P2726&lt;=L2726),"PASS","FAIL"))</f>
        <v>PASS</v>
      </c>
    </row>
    <row r="2727" customFormat="false" ht="15" hidden="false" customHeight="false" outlineLevel="0" collapsed="false">
      <c r="A2727" s="14" t="s">
        <v>1047</v>
      </c>
      <c r="B2727" s="14" t="s">
        <v>1048</v>
      </c>
      <c r="C2727" s="14" t="s">
        <v>153</v>
      </c>
      <c r="D2727" s="14" t="s">
        <v>163</v>
      </c>
      <c r="E2727" s="14" t="s">
        <v>166</v>
      </c>
      <c r="F2727" s="14" t="s">
        <v>164</v>
      </c>
      <c r="G2727" s="14" t="n">
        <v>1</v>
      </c>
      <c r="H2727" s="14" t="s">
        <v>154</v>
      </c>
      <c r="I2727" s="14" t="s">
        <v>811</v>
      </c>
      <c r="J2727" s="15" t="n">
        <f aca="false">IF(B2727="SITE LOSS",IF(D2727=C2727,1,0),IF(B2727="REGION LOSS",IF(E2727=C2727,1,0),0))</f>
        <v>0</v>
      </c>
      <c r="K2727" s="15" t="n">
        <f aca="false">IF(B2727="SITE LOSS",IF(COUNTIFS('Site Dockets'!$B$7:$B$24,C2727,'Site Dockets'!$C$7:$C$24,F2727)&gt;0,1,0),IF(B2727="REGION LOSS",IF(COUNTIFS('Site Dockets'!$E$7:$E$24,C2727,'Site Dockets'!$C$7:$C$24,F2727)&gt;0,1,0),0))</f>
        <v>0</v>
      </c>
      <c r="L2727" s="15" t="n">
        <f aca="false">IF(J2727=1,0,Inputs!$B$11)</f>
        <v>100</v>
      </c>
      <c r="M2727" s="15" t="n">
        <f aca="false">IF(J2727=1,0,Inputs!$B$12)</f>
        <v>75</v>
      </c>
      <c r="N2727" s="15" t="n">
        <f aca="false">IF(J2727=1,0,IF(OR(AND(OR(B2727="SITE LOSS",B2727="REGION LOSS"),K2727=1),AND(B2727="ROLE COMPROMISE",H2727=C2727)),Inputs!$B$13,Inputs!$B$14))</f>
        <v>10</v>
      </c>
      <c r="O2727" s="15" t="n">
        <f aca="false">IF(J2727=1,0,Inputs!$B$13)</f>
        <v>20</v>
      </c>
      <c r="P2727" s="15" t="n">
        <f aca="false">SUM(M2727:N2727)</f>
        <v>85</v>
      </c>
      <c r="Q2727" s="15" t="n">
        <f aca="false">IF(J2727=1,"",L2727-P2727)</f>
        <v>15</v>
      </c>
      <c r="R2727" s="15" t="n">
        <f aca="false">IF(OR(J2727=1,M2727&lt;=Inputs!$B$12),1,0)</f>
        <v>1</v>
      </c>
      <c r="S2727" s="15" t="n">
        <f aca="false">IF(OR(J2727=1,N2727&lt;=O2727),1,0)</f>
        <v>1</v>
      </c>
      <c r="T2727" s="15" t="str">
        <f aca="false">IF(J2727=1,"OFFLINE",IF(AND(Q2727&gt;=Inputs!$B$15,R2727=1,S2727=1,P2727&lt;=L2727),"PASS","FAIL"))</f>
        <v>PASS</v>
      </c>
    </row>
    <row r="2728" customFormat="false" ht="15" hidden="false" customHeight="false" outlineLevel="0" collapsed="false">
      <c r="A2728" s="14" t="s">
        <v>1047</v>
      </c>
      <c r="B2728" s="14" t="s">
        <v>1048</v>
      </c>
      <c r="C2728" s="14" t="s">
        <v>153</v>
      </c>
      <c r="D2728" s="14" t="s">
        <v>163</v>
      </c>
      <c r="E2728" s="14" t="s">
        <v>166</v>
      </c>
      <c r="F2728" s="14" t="s">
        <v>164</v>
      </c>
      <c r="G2728" s="14" t="n">
        <v>1</v>
      </c>
      <c r="H2728" s="14" t="s">
        <v>154</v>
      </c>
      <c r="I2728" s="14" t="s">
        <v>895</v>
      </c>
      <c r="J2728" s="15" t="n">
        <f aca="false">IF(B2728="SITE LOSS",IF(D2728=C2728,1,0),IF(B2728="REGION LOSS",IF(E2728=C2728,1,0),0))</f>
        <v>0</v>
      </c>
      <c r="K2728" s="15" t="n">
        <f aca="false">IF(B2728="SITE LOSS",IF(COUNTIFS('Site Dockets'!$B$7:$B$24,C2728,'Site Dockets'!$C$7:$C$24,F2728)&gt;0,1,0),IF(B2728="REGION LOSS",IF(COUNTIFS('Site Dockets'!$E$7:$E$24,C2728,'Site Dockets'!$C$7:$C$24,F2728)&gt;0,1,0),0))</f>
        <v>0</v>
      </c>
      <c r="L2728" s="15" t="n">
        <f aca="false">IF(J2728=1,0,Inputs!$B$11)</f>
        <v>100</v>
      </c>
      <c r="M2728" s="15" t="n">
        <f aca="false">IF(J2728=1,0,Inputs!$B$12)</f>
        <v>75</v>
      </c>
      <c r="N2728" s="15" t="n">
        <f aca="false">IF(J2728=1,0,IF(OR(AND(OR(B2728="SITE LOSS",B2728="REGION LOSS"),K2728=1),AND(B2728="ROLE COMPROMISE",H2728=C2728)),Inputs!$B$13,Inputs!$B$14))</f>
        <v>10</v>
      </c>
      <c r="O2728" s="15" t="n">
        <f aca="false">IF(J2728=1,0,Inputs!$B$13)</f>
        <v>20</v>
      </c>
      <c r="P2728" s="15" t="n">
        <f aca="false">SUM(M2728:N2728)</f>
        <v>85</v>
      </c>
      <c r="Q2728" s="15" t="n">
        <f aca="false">IF(J2728=1,"",L2728-P2728)</f>
        <v>15</v>
      </c>
      <c r="R2728" s="15" t="n">
        <f aca="false">IF(OR(J2728=1,M2728&lt;=Inputs!$B$12),1,0)</f>
        <v>1</v>
      </c>
      <c r="S2728" s="15" t="n">
        <f aca="false">IF(OR(J2728=1,N2728&lt;=O2728),1,0)</f>
        <v>1</v>
      </c>
      <c r="T2728" s="15" t="str">
        <f aca="false">IF(J2728=1,"OFFLINE",IF(AND(Q2728&gt;=Inputs!$B$15,R2728=1,S2728=1,P2728&lt;=L2728),"PASS","FAIL"))</f>
        <v>PASS</v>
      </c>
    </row>
    <row r="2729" customFormat="false" ht="15" hidden="false" customHeight="false" outlineLevel="0" collapsed="false">
      <c r="A2729" s="14" t="s">
        <v>1047</v>
      </c>
      <c r="B2729" s="14" t="s">
        <v>1048</v>
      </c>
      <c r="C2729" s="14" t="s">
        <v>153</v>
      </c>
      <c r="D2729" s="14" t="s">
        <v>163</v>
      </c>
      <c r="E2729" s="14" t="s">
        <v>166</v>
      </c>
      <c r="F2729" s="14" t="s">
        <v>164</v>
      </c>
      <c r="G2729" s="14" t="n">
        <v>1</v>
      </c>
      <c r="H2729" s="14" t="s">
        <v>154</v>
      </c>
      <c r="I2729" s="14" t="s">
        <v>897</v>
      </c>
      <c r="J2729" s="15" t="n">
        <f aca="false">IF(B2729="SITE LOSS",IF(D2729=C2729,1,0),IF(B2729="REGION LOSS",IF(E2729=C2729,1,0),0))</f>
        <v>0</v>
      </c>
      <c r="K2729" s="15" t="n">
        <f aca="false">IF(B2729="SITE LOSS",IF(COUNTIFS('Site Dockets'!$B$7:$B$24,C2729,'Site Dockets'!$C$7:$C$24,F2729)&gt;0,1,0),IF(B2729="REGION LOSS",IF(COUNTIFS('Site Dockets'!$E$7:$E$24,C2729,'Site Dockets'!$C$7:$C$24,F2729)&gt;0,1,0),0))</f>
        <v>0</v>
      </c>
      <c r="L2729" s="15" t="n">
        <f aca="false">IF(J2729=1,0,Inputs!$B$11)</f>
        <v>100</v>
      </c>
      <c r="M2729" s="15" t="n">
        <f aca="false">IF(J2729=1,0,Inputs!$B$12)</f>
        <v>75</v>
      </c>
      <c r="N2729" s="15" t="n">
        <f aca="false">IF(J2729=1,0,IF(OR(AND(OR(B2729="SITE LOSS",B2729="REGION LOSS"),K2729=1),AND(B2729="ROLE COMPROMISE",H2729=C2729)),Inputs!$B$13,Inputs!$B$14))</f>
        <v>10</v>
      </c>
      <c r="O2729" s="15" t="n">
        <f aca="false">IF(J2729=1,0,Inputs!$B$13)</f>
        <v>20</v>
      </c>
      <c r="P2729" s="15" t="n">
        <f aca="false">SUM(M2729:N2729)</f>
        <v>85</v>
      </c>
      <c r="Q2729" s="15" t="n">
        <f aca="false">IF(J2729=1,"",L2729-P2729)</f>
        <v>15</v>
      </c>
      <c r="R2729" s="15" t="n">
        <f aca="false">IF(OR(J2729=1,M2729&lt;=Inputs!$B$12),1,0)</f>
        <v>1</v>
      </c>
      <c r="S2729" s="15" t="n">
        <f aca="false">IF(OR(J2729=1,N2729&lt;=O2729),1,0)</f>
        <v>1</v>
      </c>
      <c r="T2729" s="15" t="str">
        <f aca="false">IF(J2729=1,"OFFLINE",IF(AND(Q2729&gt;=Inputs!$B$15,R2729=1,S2729=1,P2729&lt;=L2729),"PASS","FAIL"))</f>
        <v>PASS</v>
      </c>
    </row>
    <row r="2730" customFormat="false" ht="15" hidden="false" customHeight="false" outlineLevel="0" collapsed="false">
      <c r="A2730" s="14" t="s">
        <v>1047</v>
      </c>
      <c r="B2730" s="14" t="s">
        <v>1048</v>
      </c>
      <c r="C2730" s="14" t="s">
        <v>153</v>
      </c>
      <c r="D2730" s="14" t="s">
        <v>163</v>
      </c>
      <c r="E2730" s="14" t="s">
        <v>166</v>
      </c>
      <c r="F2730" s="14" t="s">
        <v>164</v>
      </c>
      <c r="G2730" s="14" t="n">
        <v>1</v>
      </c>
      <c r="H2730" s="14" t="s">
        <v>154</v>
      </c>
      <c r="I2730" s="14" t="s">
        <v>899</v>
      </c>
      <c r="J2730" s="15" t="n">
        <f aca="false">IF(B2730="SITE LOSS",IF(D2730=C2730,1,0),IF(B2730="REGION LOSS",IF(E2730=C2730,1,0),0))</f>
        <v>0</v>
      </c>
      <c r="K2730" s="15" t="n">
        <f aca="false">IF(B2730="SITE LOSS",IF(COUNTIFS('Site Dockets'!$B$7:$B$24,C2730,'Site Dockets'!$C$7:$C$24,F2730)&gt;0,1,0),IF(B2730="REGION LOSS",IF(COUNTIFS('Site Dockets'!$E$7:$E$24,C2730,'Site Dockets'!$C$7:$C$24,F2730)&gt;0,1,0),0))</f>
        <v>0</v>
      </c>
      <c r="L2730" s="15" t="n">
        <f aca="false">IF(J2730=1,0,Inputs!$B$11)</f>
        <v>100</v>
      </c>
      <c r="M2730" s="15" t="n">
        <f aca="false">IF(J2730=1,0,Inputs!$B$12)</f>
        <v>75</v>
      </c>
      <c r="N2730" s="15" t="n">
        <f aca="false">IF(J2730=1,0,IF(OR(AND(OR(B2730="SITE LOSS",B2730="REGION LOSS"),K2730=1),AND(B2730="ROLE COMPROMISE",H2730=C2730)),Inputs!$B$13,Inputs!$B$14))</f>
        <v>10</v>
      </c>
      <c r="O2730" s="15" t="n">
        <f aca="false">IF(J2730=1,0,Inputs!$B$13)</f>
        <v>20</v>
      </c>
      <c r="P2730" s="15" t="n">
        <f aca="false">SUM(M2730:N2730)</f>
        <v>85</v>
      </c>
      <c r="Q2730" s="15" t="n">
        <f aca="false">IF(J2730=1,"",L2730-P2730)</f>
        <v>15</v>
      </c>
      <c r="R2730" s="15" t="n">
        <f aca="false">IF(OR(J2730=1,M2730&lt;=Inputs!$B$12),1,0)</f>
        <v>1</v>
      </c>
      <c r="S2730" s="15" t="n">
        <f aca="false">IF(OR(J2730=1,N2730&lt;=O2730),1,0)</f>
        <v>1</v>
      </c>
      <c r="T2730" s="15" t="str">
        <f aca="false">IF(J2730=1,"OFFLINE",IF(AND(Q2730&gt;=Inputs!$B$15,R2730=1,S2730=1,P2730&lt;=L2730),"PASS","FAIL"))</f>
        <v>PASS</v>
      </c>
    </row>
    <row r="2731" customFormat="false" ht="15" hidden="false" customHeight="false" outlineLevel="0" collapsed="false">
      <c r="A2731" s="14" t="s">
        <v>1047</v>
      </c>
      <c r="B2731" s="14" t="s">
        <v>1048</v>
      </c>
      <c r="C2731" s="14" t="s">
        <v>153</v>
      </c>
      <c r="D2731" s="14" t="s">
        <v>168</v>
      </c>
      <c r="E2731" s="14" t="s">
        <v>169</v>
      </c>
      <c r="F2731" s="14" t="s">
        <v>164</v>
      </c>
      <c r="G2731" s="14" t="n">
        <v>2</v>
      </c>
      <c r="H2731" s="14" t="s">
        <v>153</v>
      </c>
      <c r="I2731" s="14" t="s">
        <v>890</v>
      </c>
      <c r="J2731" s="15" t="n">
        <f aca="false">IF(B2731="SITE LOSS",IF(D2731=C2731,1,0),IF(B2731="REGION LOSS",IF(E2731=C2731,1,0),0))</f>
        <v>0</v>
      </c>
      <c r="K2731" s="15" t="n">
        <f aca="false">IF(B2731="SITE LOSS",IF(COUNTIFS('Site Dockets'!$B$7:$B$24,C2731,'Site Dockets'!$C$7:$C$24,F2731)&gt;0,1,0),IF(B2731="REGION LOSS",IF(COUNTIFS('Site Dockets'!$E$7:$E$24,C2731,'Site Dockets'!$C$7:$C$24,F2731)&gt;0,1,0),0))</f>
        <v>0</v>
      </c>
      <c r="L2731" s="15" t="n">
        <f aca="false">IF(J2731=1,0,Inputs!$B$11)</f>
        <v>100</v>
      </c>
      <c r="M2731" s="15" t="n">
        <f aca="false">IF(J2731=1,0,Inputs!$B$12)</f>
        <v>75</v>
      </c>
      <c r="N2731" s="15" t="n">
        <f aca="false">IF(J2731=1,0,IF(OR(AND(OR(B2731="SITE LOSS",B2731="REGION LOSS"),K2731=1),AND(B2731="ROLE COMPROMISE",H2731=C2731)),Inputs!$B$13,Inputs!$B$14))</f>
        <v>20</v>
      </c>
      <c r="O2731" s="15" t="n">
        <f aca="false">IF(J2731=1,0,Inputs!$B$13)</f>
        <v>20</v>
      </c>
      <c r="P2731" s="15" t="n">
        <f aca="false">SUM(M2731:N2731)</f>
        <v>95</v>
      </c>
      <c r="Q2731" s="15" t="n">
        <f aca="false">IF(J2731=1,"",L2731-P2731)</f>
        <v>5</v>
      </c>
      <c r="R2731" s="15" t="n">
        <f aca="false">IF(OR(J2731=1,M2731&lt;=Inputs!$B$12),1,0)</f>
        <v>1</v>
      </c>
      <c r="S2731" s="15" t="n">
        <f aca="false">IF(OR(J2731=1,N2731&lt;=O2731),1,0)</f>
        <v>1</v>
      </c>
      <c r="T2731" s="15" t="str">
        <f aca="false">IF(J2731=1,"OFFLINE",IF(AND(Q2731&gt;=Inputs!$B$15,R2731=1,S2731=1,P2731&lt;=L2731),"PASS","FAIL"))</f>
        <v>PASS</v>
      </c>
    </row>
    <row r="2732" customFormat="false" ht="15" hidden="false" customHeight="false" outlineLevel="0" collapsed="false">
      <c r="A2732" s="14" t="s">
        <v>1047</v>
      </c>
      <c r="B2732" s="14" t="s">
        <v>1048</v>
      </c>
      <c r="C2732" s="14" t="s">
        <v>153</v>
      </c>
      <c r="D2732" s="14" t="s">
        <v>168</v>
      </c>
      <c r="E2732" s="14" t="s">
        <v>169</v>
      </c>
      <c r="F2732" s="14" t="s">
        <v>164</v>
      </c>
      <c r="G2732" s="14" t="n">
        <v>2</v>
      </c>
      <c r="H2732" s="14" t="s">
        <v>153</v>
      </c>
      <c r="I2732" s="14" t="s">
        <v>892</v>
      </c>
      <c r="J2732" s="15" t="n">
        <f aca="false">IF(B2732="SITE LOSS",IF(D2732=C2732,1,0),IF(B2732="REGION LOSS",IF(E2732=C2732,1,0),0))</f>
        <v>0</v>
      </c>
      <c r="K2732" s="15" t="n">
        <f aca="false">IF(B2732="SITE LOSS",IF(COUNTIFS('Site Dockets'!$B$7:$B$24,C2732,'Site Dockets'!$C$7:$C$24,F2732)&gt;0,1,0),IF(B2732="REGION LOSS",IF(COUNTIFS('Site Dockets'!$E$7:$E$24,C2732,'Site Dockets'!$C$7:$C$24,F2732)&gt;0,1,0),0))</f>
        <v>0</v>
      </c>
      <c r="L2732" s="15" t="n">
        <f aca="false">IF(J2732=1,0,Inputs!$B$11)</f>
        <v>100</v>
      </c>
      <c r="M2732" s="15" t="n">
        <f aca="false">IF(J2732=1,0,Inputs!$B$12)</f>
        <v>75</v>
      </c>
      <c r="N2732" s="15" t="n">
        <f aca="false">IF(J2732=1,0,IF(OR(AND(OR(B2732="SITE LOSS",B2732="REGION LOSS"),K2732=1),AND(B2732="ROLE COMPROMISE",H2732=C2732)),Inputs!$B$13,Inputs!$B$14))</f>
        <v>20</v>
      </c>
      <c r="O2732" s="15" t="n">
        <f aca="false">IF(J2732=1,0,Inputs!$B$13)</f>
        <v>20</v>
      </c>
      <c r="P2732" s="15" t="n">
        <f aca="false">SUM(M2732:N2732)</f>
        <v>95</v>
      </c>
      <c r="Q2732" s="15" t="n">
        <f aca="false">IF(J2732=1,"",L2732-P2732)</f>
        <v>5</v>
      </c>
      <c r="R2732" s="15" t="n">
        <f aca="false">IF(OR(J2732=1,M2732&lt;=Inputs!$B$12),1,0)</f>
        <v>1</v>
      </c>
      <c r="S2732" s="15" t="n">
        <f aca="false">IF(OR(J2732=1,N2732&lt;=O2732),1,0)</f>
        <v>1</v>
      </c>
      <c r="T2732" s="15" t="str">
        <f aca="false">IF(J2732=1,"OFFLINE",IF(AND(Q2732&gt;=Inputs!$B$15,R2732=1,S2732=1,P2732&lt;=L2732),"PASS","FAIL"))</f>
        <v>PASS</v>
      </c>
    </row>
    <row r="2733" customFormat="false" ht="15" hidden="false" customHeight="false" outlineLevel="0" collapsed="false">
      <c r="A2733" s="14" t="s">
        <v>1047</v>
      </c>
      <c r="B2733" s="14" t="s">
        <v>1048</v>
      </c>
      <c r="C2733" s="14" t="s">
        <v>153</v>
      </c>
      <c r="D2733" s="14" t="s">
        <v>168</v>
      </c>
      <c r="E2733" s="14" t="s">
        <v>169</v>
      </c>
      <c r="F2733" s="14" t="s">
        <v>164</v>
      </c>
      <c r="G2733" s="14" t="n">
        <v>2</v>
      </c>
      <c r="H2733" s="14" t="s">
        <v>153</v>
      </c>
      <c r="I2733" s="14" t="s">
        <v>811</v>
      </c>
      <c r="J2733" s="15" t="n">
        <f aca="false">IF(B2733="SITE LOSS",IF(D2733=C2733,1,0),IF(B2733="REGION LOSS",IF(E2733=C2733,1,0),0))</f>
        <v>0</v>
      </c>
      <c r="K2733" s="15" t="n">
        <f aca="false">IF(B2733="SITE LOSS",IF(COUNTIFS('Site Dockets'!$B$7:$B$24,C2733,'Site Dockets'!$C$7:$C$24,F2733)&gt;0,1,0),IF(B2733="REGION LOSS",IF(COUNTIFS('Site Dockets'!$E$7:$E$24,C2733,'Site Dockets'!$C$7:$C$24,F2733)&gt;0,1,0),0))</f>
        <v>0</v>
      </c>
      <c r="L2733" s="15" t="n">
        <f aca="false">IF(J2733=1,0,Inputs!$B$11)</f>
        <v>100</v>
      </c>
      <c r="M2733" s="15" t="n">
        <f aca="false">IF(J2733=1,0,Inputs!$B$12)</f>
        <v>75</v>
      </c>
      <c r="N2733" s="15" t="n">
        <f aca="false">IF(J2733=1,0,IF(OR(AND(OR(B2733="SITE LOSS",B2733="REGION LOSS"),K2733=1),AND(B2733="ROLE COMPROMISE",H2733=C2733)),Inputs!$B$13,Inputs!$B$14))</f>
        <v>20</v>
      </c>
      <c r="O2733" s="15" t="n">
        <f aca="false">IF(J2733=1,0,Inputs!$B$13)</f>
        <v>20</v>
      </c>
      <c r="P2733" s="15" t="n">
        <f aca="false">SUM(M2733:N2733)</f>
        <v>95</v>
      </c>
      <c r="Q2733" s="15" t="n">
        <f aca="false">IF(J2733=1,"",L2733-P2733)</f>
        <v>5</v>
      </c>
      <c r="R2733" s="15" t="n">
        <f aca="false">IF(OR(J2733=1,M2733&lt;=Inputs!$B$12),1,0)</f>
        <v>1</v>
      </c>
      <c r="S2733" s="15" t="n">
        <f aca="false">IF(OR(J2733=1,N2733&lt;=O2733),1,0)</f>
        <v>1</v>
      </c>
      <c r="T2733" s="15" t="str">
        <f aca="false">IF(J2733=1,"OFFLINE",IF(AND(Q2733&gt;=Inputs!$B$15,R2733=1,S2733=1,P2733&lt;=L2733),"PASS","FAIL"))</f>
        <v>PASS</v>
      </c>
    </row>
    <row r="2734" customFormat="false" ht="15" hidden="false" customHeight="false" outlineLevel="0" collapsed="false">
      <c r="A2734" s="14" t="s">
        <v>1047</v>
      </c>
      <c r="B2734" s="14" t="s">
        <v>1048</v>
      </c>
      <c r="C2734" s="14" t="s">
        <v>153</v>
      </c>
      <c r="D2734" s="14" t="s">
        <v>168</v>
      </c>
      <c r="E2734" s="14" t="s">
        <v>169</v>
      </c>
      <c r="F2734" s="14" t="s">
        <v>164</v>
      </c>
      <c r="G2734" s="14" t="n">
        <v>2</v>
      </c>
      <c r="H2734" s="14" t="s">
        <v>153</v>
      </c>
      <c r="I2734" s="14" t="s">
        <v>895</v>
      </c>
      <c r="J2734" s="15" t="n">
        <f aca="false">IF(B2734="SITE LOSS",IF(D2734=C2734,1,0),IF(B2734="REGION LOSS",IF(E2734=C2734,1,0),0))</f>
        <v>0</v>
      </c>
      <c r="K2734" s="15" t="n">
        <f aca="false">IF(B2734="SITE LOSS",IF(COUNTIFS('Site Dockets'!$B$7:$B$24,C2734,'Site Dockets'!$C$7:$C$24,F2734)&gt;0,1,0),IF(B2734="REGION LOSS",IF(COUNTIFS('Site Dockets'!$E$7:$E$24,C2734,'Site Dockets'!$C$7:$C$24,F2734)&gt;0,1,0),0))</f>
        <v>0</v>
      </c>
      <c r="L2734" s="15" t="n">
        <f aca="false">IF(J2734=1,0,Inputs!$B$11)</f>
        <v>100</v>
      </c>
      <c r="M2734" s="15" t="n">
        <f aca="false">IF(J2734=1,0,Inputs!$B$12)</f>
        <v>75</v>
      </c>
      <c r="N2734" s="15" t="n">
        <f aca="false">IF(J2734=1,0,IF(OR(AND(OR(B2734="SITE LOSS",B2734="REGION LOSS"),K2734=1),AND(B2734="ROLE COMPROMISE",H2734=C2734)),Inputs!$B$13,Inputs!$B$14))</f>
        <v>20</v>
      </c>
      <c r="O2734" s="15" t="n">
        <f aca="false">IF(J2734=1,0,Inputs!$B$13)</f>
        <v>20</v>
      </c>
      <c r="P2734" s="15" t="n">
        <f aca="false">SUM(M2734:N2734)</f>
        <v>95</v>
      </c>
      <c r="Q2734" s="15" t="n">
        <f aca="false">IF(J2734=1,"",L2734-P2734)</f>
        <v>5</v>
      </c>
      <c r="R2734" s="15" t="n">
        <f aca="false">IF(OR(J2734=1,M2734&lt;=Inputs!$B$12),1,0)</f>
        <v>1</v>
      </c>
      <c r="S2734" s="15" t="n">
        <f aca="false">IF(OR(J2734=1,N2734&lt;=O2734),1,0)</f>
        <v>1</v>
      </c>
      <c r="T2734" s="15" t="str">
        <f aca="false">IF(J2734=1,"OFFLINE",IF(AND(Q2734&gt;=Inputs!$B$15,R2734=1,S2734=1,P2734&lt;=L2734),"PASS","FAIL"))</f>
        <v>PASS</v>
      </c>
    </row>
    <row r="2735" customFormat="false" ht="15" hidden="false" customHeight="false" outlineLevel="0" collapsed="false">
      <c r="A2735" s="14" t="s">
        <v>1047</v>
      </c>
      <c r="B2735" s="14" t="s">
        <v>1048</v>
      </c>
      <c r="C2735" s="14" t="s">
        <v>153</v>
      </c>
      <c r="D2735" s="14" t="s">
        <v>168</v>
      </c>
      <c r="E2735" s="14" t="s">
        <v>169</v>
      </c>
      <c r="F2735" s="14" t="s">
        <v>164</v>
      </c>
      <c r="G2735" s="14" t="n">
        <v>2</v>
      </c>
      <c r="H2735" s="14" t="s">
        <v>153</v>
      </c>
      <c r="I2735" s="14" t="s">
        <v>897</v>
      </c>
      <c r="J2735" s="15" t="n">
        <f aca="false">IF(B2735="SITE LOSS",IF(D2735=C2735,1,0),IF(B2735="REGION LOSS",IF(E2735=C2735,1,0),0))</f>
        <v>0</v>
      </c>
      <c r="K2735" s="15" t="n">
        <f aca="false">IF(B2735="SITE LOSS",IF(COUNTIFS('Site Dockets'!$B$7:$B$24,C2735,'Site Dockets'!$C$7:$C$24,F2735)&gt;0,1,0),IF(B2735="REGION LOSS",IF(COUNTIFS('Site Dockets'!$E$7:$E$24,C2735,'Site Dockets'!$C$7:$C$24,F2735)&gt;0,1,0),0))</f>
        <v>0</v>
      </c>
      <c r="L2735" s="15" t="n">
        <f aca="false">IF(J2735=1,0,Inputs!$B$11)</f>
        <v>100</v>
      </c>
      <c r="M2735" s="15" t="n">
        <f aca="false">IF(J2735=1,0,Inputs!$B$12)</f>
        <v>75</v>
      </c>
      <c r="N2735" s="15" t="n">
        <f aca="false">IF(J2735=1,0,IF(OR(AND(OR(B2735="SITE LOSS",B2735="REGION LOSS"),K2735=1),AND(B2735="ROLE COMPROMISE",H2735=C2735)),Inputs!$B$13,Inputs!$B$14))</f>
        <v>20</v>
      </c>
      <c r="O2735" s="15" t="n">
        <f aca="false">IF(J2735=1,0,Inputs!$B$13)</f>
        <v>20</v>
      </c>
      <c r="P2735" s="15" t="n">
        <f aca="false">SUM(M2735:N2735)</f>
        <v>95</v>
      </c>
      <c r="Q2735" s="15" t="n">
        <f aca="false">IF(J2735=1,"",L2735-P2735)</f>
        <v>5</v>
      </c>
      <c r="R2735" s="15" t="n">
        <f aca="false">IF(OR(J2735=1,M2735&lt;=Inputs!$B$12),1,0)</f>
        <v>1</v>
      </c>
      <c r="S2735" s="15" t="n">
        <f aca="false">IF(OR(J2735=1,N2735&lt;=O2735),1,0)</f>
        <v>1</v>
      </c>
      <c r="T2735" s="15" t="str">
        <f aca="false">IF(J2735=1,"OFFLINE",IF(AND(Q2735&gt;=Inputs!$B$15,R2735=1,S2735=1,P2735&lt;=L2735),"PASS","FAIL"))</f>
        <v>PASS</v>
      </c>
    </row>
    <row r="2736" customFormat="false" ht="15" hidden="false" customHeight="false" outlineLevel="0" collapsed="false">
      <c r="A2736" s="14" t="s">
        <v>1047</v>
      </c>
      <c r="B2736" s="14" t="s">
        <v>1048</v>
      </c>
      <c r="C2736" s="14" t="s">
        <v>153</v>
      </c>
      <c r="D2736" s="14" t="s">
        <v>168</v>
      </c>
      <c r="E2736" s="14" t="s">
        <v>169</v>
      </c>
      <c r="F2736" s="14" t="s">
        <v>164</v>
      </c>
      <c r="G2736" s="14" t="n">
        <v>2</v>
      </c>
      <c r="H2736" s="14" t="s">
        <v>153</v>
      </c>
      <c r="I2736" s="14" t="s">
        <v>899</v>
      </c>
      <c r="J2736" s="15" t="n">
        <f aca="false">IF(B2736="SITE LOSS",IF(D2736=C2736,1,0),IF(B2736="REGION LOSS",IF(E2736=C2736,1,0),0))</f>
        <v>0</v>
      </c>
      <c r="K2736" s="15" t="n">
        <f aca="false">IF(B2736="SITE LOSS",IF(COUNTIFS('Site Dockets'!$B$7:$B$24,C2736,'Site Dockets'!$C$7:$C$24,F2736)&gt;0,1,0),IF(B2736="REGION LOSS",IF(COUNTIFS('Site Dockets'!$E$7:$E$24,C2736,'Site Dockets'!$C$7:$C$24,F2736)&gt;0,1,0),0))</f>
        <v>0</v>
      </c>
      <c r="L2736" s="15" t="n">
        <f aca="false">IF(J2736=1,0,Inputs!$B$11)</f>
        <v>100</v>
      </c>
      <c r="M2736" s="15" t="n">
        <f aca="false">IF(J2736=1,0,Inputs!$B$12)</f>
        <v>75</v>
      </c>
      <c r="N2736" s="15" t="n">
        <f aca="false">IF(J2736=1,0,IF(OR(AND(OR(B2736="SITE LOSS",B2736="REGION LOSS"),K2736=1),AND(B2736="ROLE COMPROMISE",H2736=C2736)),Inputs!$B$13,Inputs!$B$14))</f>
        <v>20</v>
      </c>
      <c r="O2736" s="15" t="n">
        <f aca="false">IF(J2736=1,0,Inputs!$B$13)</f>
        <v>20</v>
      </c>
      <c r="P2736" s="15" t="n">
        <f aca="false">SUM(M2736:N2736)</f>
        <v>95</v>
      </c>
      <c r="Q2736" s="15" t="n">
        <f aca="false">IF(J2736=1,"",L2736-P2736)</f>
        <v>5</v>
      </c>
      <c r="R2736" s="15" t="n">
        <f aca="false">IF(OR(J2736=1,M2736&lt;=Inputs!$B$12),1,0)</f>
        <v>1</v>
      </c>
      <c r="S2736" s="15" t="n">
        <f aca="false">IF(OR(J2736=1,N2736&lt;=O2736),1,0)</f>
        <v>1</v>
      </c>
      <c r="T2736" s="15" t="str">
        <f aca="false">IF(J2736=1,"OFFLINE",IF(AND(Q2736&gt;=Inputs!$B$15,R2736=1,S2736=1,P2736&lt;=L2736),"PASS","FAIL"))</f>
        <v>PASS</v>
      </c>
    </row>
    <row r="2737" customFormat="false" ht="15" hidden="false" customHeight="false" outlineLevel="0" collapsed="false">
      <c r="A2737" s="14" t="s">
        <v>1047</v>
      </c>
      <c r="B2737" s="14" t="s">
        <v>1048</v>
      </c>
      <c r="C2737" s="14" t="s">
        <v>153</v>
      </c>
      <c r="D2737" s="14" t="s">
        <v>171</v>
      </c>
      <c r="E2737" s="14" t="s">
        <v>172</v>
      </c>
      <c r="F2737" s="14" t="s">
        <v>164</v>
      </c>
      <c r="G2737" s="14" t="n">
        <v>3</v>
      </c>
      <c r="H2737" s="14" t="s">
        <v>158</v>
      </c>
      <c r="I2737" s="14" t="s">
        <v>890</v>
      </c>
      <c r="J2737" s="15" t="n">
        <f aca="false">IF(B2737="SITE LOSS",IF(D2737=C2737,1,0),IF(B2737="REGION LOSS",IF(E2737=C2737,1,0),0))</f>
        <v>0</v>
      </c>
      <c r="K2737" s="15" t="n">
        <f aca="false">IF(B2737="SITE LOSS",IF(COUNTIFS('Site Dockets'!$B$7:$B$24,C2737,'Site Dockets'!$C$7:$C$24,F2737)&gt;0,1,0),IF(B2737="REGION LOSS",IF(COUNTIFS('Site Dockets'!$E$7:$E$24,C2737,'Site Dockets'!$C$7:$C$24,F2737)&gt;0,1,0),0))</f>
        <v>0</v>
      </c>
      <c r="L2737" s="15" t="n">
        <f aca="false">IF(J2737=1,0,Inputs!$B$11)</f>
        <v>100</v>
      </c>
      <c r="M2737" s="15" t="n">
        <f aca="false">IF(J2737=1,0,Inputs!$B$12)</f>
        <v>75</v>
      </c>
      <c r="N2737" s="15" t="n">
        <f aca="false">IF(J2737=1,0,IF(OR(AND(OR(B2737="SITE LOSS",B2737="REGION LOSS"),K2737=1),AND(B2737="ROLE COMPROMISE",H2737=C2737)),Inputs!$B$13,Inputs!$B$14))</f>
        <v>10</v>
      </c>
      <c r="O2737" s="15" t="n">
        <f aca="false">IF(J2737=1,0,Inputs!$B$13)</f>
        <v>20</v>
      </c>
      <c r="P2737" s="15" t="n">
        <f aca="false">SUM(M2737:N2737)</f>
        <v>85</v>
      </c>
      <c r="Q2737" s="15" t="n">
        <f aca="false">IF(J2737=1,"",L2737-P2737)</f>
        <v>15</v>
      </c>
      <c r="R2737" s="15" t="n">
        <f aca="false">IF(OR(J2737=1,M2737&lt;=Inputs!$B$12),1,0)</f>
        <v>1</v>
      </c>
      <c r="S2737" s="15" t="n">
        <f aca="false">IF(OR(J2737=1,N2737&lt;=O2737),1,0)</f>
        <v>1</v>
      </c>
      <c r="T2737" s="15" t="str">
        <f aca="false">IF(J2737=1,"OFFLINE",IF(AND(Q2737&gt;=Inputs!$B$15,R2737=1,S2737=1,P2737&lt;=L2737),"PASS","FAIL"))</f>
        <v>PASS</v>
      </c>
    </row>
    <row r="2738" customFormat="false" ht="15" hidden="false" customHeight="false" outlineLevel="0" collapsed="false">
      <c r="A2738" s="14" t="s">
        <v>1047</v>
      </c>
      <c r="B2738" s="14" t="s">
        <v>1048</v>
      </c>
      <c r="C2738" s="14" t="s">
        <v>153</v>
      </c>
      <c r="D2738" s="14" t="s">
        <v>171</v>
      </c>
      <c r="E2738" s="14" t="s">
        <v>172</v>
      </c>
      <c r="F2738" s="14" t="s">
        <v>164</v>
      </c>
      <c r="G2738" s="14" t="n">
        <v>3</v>
      </c>
      <c r="H2738" s="14" t="s">
        <v>158</v>
      </c>
      <c r="I2738" s="14" t="s">
        <v>892</v>
      </c>
      <c r="J2738" s="15" t="n">
        <f aca="false">IF(B2738="SITE LOSS",IF(D2738=C2738,1,0),IF(B2738="REGION LOSS",IF(E2738=C2738,1,0),0))</f>
        <v>0</v>
      </c>
      <c r="K2738" s="15" t="n">
        <f aca="false">IF(B2738="SITE LOSS",IF(COUNTIFS('Site Dockets'!$B$7:$B$24,C2738,'Site Dockets'!$C$7:$C$24,F2738)&gt;0,1,0),IF(B2738="REGION LOSS",IF(COUNTIFS('Site Dockets'!$E$7:$E$24,C2738,'Site Dockets'!$C$7:$C$24,F2738)&gt;0,1,0),0))</f>
        <v>0</v>
      </c>
      <c r="L2738" s="15" t="n">
        <f aca="false">IF(J2738=1,0,Inputs!$B$11)</f>
        <v>100</v>
      </c>
      <c r="M2738" s="15" t="n">
        <f aca="false">IF(J2738=1,0,Inputs!$B$12)</f>
        <v>75</v>
      </c>
      <c r="N2738" s="15" t="n">
        <f aca="false">IF(J2738=1,0,IF(OR(AND(OR(B2738="SITE LOSS",B2738="REGION LOSS"),K2738=1),AND(B2738="ROLE COMPROMISE",H2738=C2738)),Inputs!$B$13,Inputs!$B$14))</f>
        <v>10</v>
      </c>
      <c r="O2738" s="15" t="n">
        <f aca="false">IF(J2738=1,0,Inputs!$B$13)</f>
        <v>20</v>
      </c>
      <c r="P2738" s="15" t="n">
        <f aca="false">SUM(M2738:N2738)</f>
        <v>85</v>
      </c>
      <c r="Q2738" s="15" t="n">
        <f aca="false">IF(J2738=1,"",L2738-P2738)</f>
        <v>15</v>
      </c>
      <c r="R2738" s="15" t="n">
        <f aca="false">IF(OR(J2738=1,M2738&lt;=Inputs!$B$12),1,0)</f>
        <v>1</v>
      </c>
      <c r="S2738" s="15" t="n">
        <f aca="false">IF(OR(J2738=1,N2738&lt;=O2738),1,0)</f>
        <v>1</v>
      </c>
      <c r="T2738" s="15" t="str">
        <f aca="false">IF(J2738=1,"OFFLINE",IF(AND(Q2738&gt;=Inputs!$B$15,R2738=1,S2738=1,P2738&lt;=L2738),"PASS","FAIL"))</f>
        <v>PASS</v>
      </c>
    </row>
    <row r="2739" customFormat="false" ht="15" hidden="false" customHeight="false" outlineLevel="0" collapsed="false">
      <c r="A2739" s="14" t="s">
        <v>1047</v>
      </c>
      <c r="B2739" s="14" t="s">
        <v>1048</v>
      </c>
      <c r="C2739" s="14" t="s">
        <v>153</v>
      </c>
      <c r="D2739" s="14" t="s">
        <v>171</v>
      </c>
      <c r="E2739" s="14" t="s">
        <v>172</v>
      </c>
      <c r="F2739" s="14" t="s">
        <v>164</v>
      </c>
      <c r="G2739" s="14" t="n">
        <v>3</v>
      </c>
      <c r="H2739" s="14" t="s">
        <v>158</v>
      </c>
      <c r="I2739" s="14" t="s">
        <v>811</v>
      </c>
      <c r="J2739" s="15" t="n">
        <f aca="false">IF(B2739="SITE LOSS",IF(D2739=C2739,1,0),IF(B2739="REGION LOSS",IF(E2739=C2739,1,0),0))</f>
        <v>0</v>
      </c>
      <c r="K2739" s="15" t="n">
        <f aca="false">IF(B2739="SITE LOSS",IF(COUNTIFS('Site Dockets'!$B$7:$B$24,C2739,'Site Dockets'!$C$7:$C$24,F2739)&gt;0,1,0),IF(B2739="REGION LOSS",IF(COUNTIFS('Site Dockets'!$E$7:$E$24,C2739,'Site Dockets'!$C$7:$C$24,F2739)&gt;0,1,0),0))</f>
        <v>0</v>
      </c>
      <c r="L2739" s="15" t="n">
        <f aca="false">IF(J2739=1,0,Inputs!$B$11)</f>
        <v>100</v>
      </c>
      <c r="M2739" s="15" t="n">
        <f aca="false">IF(J2739=1,0,Inputs!$B$12)</f>
        <v>75</v>
      </c>
      <c r="N2739" s="15" t="n">
        <f aca="false">IF(J2739=1,0,IF(OR(AND(OR(B2739="SITE LOSS",B2739="REGION LOSS"),K2739=1),AND(B2739="ROLE COMPROMISE",H2739=C2739)),Inputs!$B$13,Inputs!$B$14))</f>
        <v>10</v>
      </c>
      <c r="O2739" s="15" t="n">
        <f aca="false">IF(J2739=1,0,Inputs!$B$13)</f>
        <v>20</v>
      </c>
      <c r="P2739" s="15" t="n">
        <f aca="false">SUM(M2739:N2739)</f>
        <v>85</v>
      </c>
      <c r="Q2739" s="15" t="n">
        <f aca="false">IF(J2739=1,"",L2739-P2739)</f>
        <v>15</v>
      </c>
      <c r="R2739" s="15" t="n">
        <f aca="false">IF(OR(J2739=1,M2739&lt;=Inputs!$B$12),1,0)</f>
        <v>1</v>
      </c>
      <c r="S2739" s="15" t="n">
        <f aca="false">IF(OR(J2739=1,N2739&lt;=O2739),1,0)</f>
        <v>1</v>
      </c>
      <c r="T2739" s="15" t="str">
        <f aca="false">IF(J2739=1,"OFFLINE",IF(AND(Q2739&gt;=Inputs!$B$15,R2739=1,S2739=1,P2739&lt;=L2739),"PASS","FAIL"))</f>
        <v>PASS</v>
      </c>
    </row>
    <row r="2740" customFormat="false" ht="15" hidden="false" customHeight="false" outlineLevel="0" collapsed="false">
      <c r="A2740" s="14" t="s">
        <v>1047</v>
      </c>
      <c r="B2740" s="14" t="s">
        <v>1048</v>
      </c>
      <c r="C2740" s="14" t="s">
        <v>153</v>
      </c>
      <c r="D2740" s="14" t="s">
        <v>171</v>
      </c>
      <c r="E2740" s="14" t="s">
        <v>172</v>
      </c>
      <c r="F2740" s="14" t="s">
        <v>164</v>
      </c>
      <c r="G2740" s="14" t="n">
        <v>3</v>
      </c>
      <c r="H2740" s="14" t="s">
        <v>158</v>
      </c>
      <c r="I2740" s="14" t="s">
        <v>895</v>
      </c>
      <c r="J2740" s="15" t="n">
        <f aca="false">IF(B2740="SITE LOSS",IF(D2740=C2740,1,0),IF(B2740="REGION LOSS",IF(E2740=C2740,1,0),0))</f>
        <v>0</v>
      </c>
      <c r="K2740" s="15" t="n">
        <f aca="false">IF(B2740="SITE LOSS",IF(COUNTIFS('Site Dockets'!$B$7:$B$24,C2740,'Site Dockets'!$C$7:$C$24,F2740)&gt;0,1,0),IF(B2740="REGION LOSS",IF(COUNTIFS('Site Dockets'!$E$7:$E$24,C2740,'Site Dockets'!$C$7:$C$24,F2740)&gt;0,1,0),0))</f>
        <v>0</v>
      </c>
      <c r="L2740" s="15" t="n">
        <f aca="false">IF(J2740=1,0,Inputs!$B$11)</f>
        <v>100</v>
      </c>
      <c r="M2740" s="15" t="n">
        <f aca="false">IF(J2740=1,0,Inputs!$B$12)</f>
        <v>75</v>
      </c>
      <c r="N2740" s="15" t="n">
        <f aca="false">IF(J2740=1,0,IF(OR(AND(OR(B2740="SITE LOSS",B2740="REGION LOSS"),K2740=1),AND(B2740="ROLE COMPROMISE",H2740=C2740)),Inputs!$B$13,Inputs!$B$14))</f>
        <v>10</v>
      </c>
      <c r="O2740" s="15" t="n">
        <f aca="false">IF(J2740=1,0,Inputs!$B$13)</f>
        <v>20</v>
      </c>
      <c r="P2740" s="15" t="n">
        <f aca="false">SUM(M2740:N2740)</f>
        <v>85</v>
      </c>
      <c r="Q2740" s="15" t="n">
        <f aca="false">IF(J2740=1,"",L2740-P2740)</f>
        <v>15</v>
      </c>
      <c r="R2740" s="15" t="n">
        <f aca="false">IF(OR(J2740=1,M2740&lt;=Inputs!$B$12),1,0)</f>
        <v>1</v>
      </c>
      <c r="S2740" s="15" t="n">
        <f aca="false">IF(OR(J2740=1,N2740&lt;=O2740),1,0)</f>
        <v>1</v>
      </c>
      <c r="T2740" s="15" t="str">
        <f aca="false">IF(J2740=1,"OFFLINE",IF(AND(Q2740&gt;=Inputs!$B$15,R2740=1,S2740=1,P2740&lt;=L2740),"PASS","FAIL"))</f>
        <v>PASS</v>
      </c>
    </row>
    <row r="2741" customFormat="false" ht="15" hidden="false" customHeight="false" outlineLevel="0" collapsed="false">
      <c r="A2741" s="14" t="s">
        <v>1047</v>
      </c>
      <c r="B2741" s="14" t="s">
        <v>1048</v>
      </c>
      <c r="C2741" s="14" t="s">
        <v>153</v>
      </c>
      <c r="D2741" s="14" t="s">
        <v>171</v>
      </c>
      <c r="E2741" s="14" t="s">
        <v>172</v>
      </c>
      <c r="F2741" s="14" t="s">
        <v>164</v>
      </c>
      <c r="G2741" s="14" t="n">
        <v>3</v>
      </c>
      <c r="H2741" s="14" t="s">
        <v>158</v>
      </c>
      <c r="I2741" s="14" t="s">
        <v>897</v>
      </c>
      <c r="J2741" s="15" t="n">
        <f aca="false">IF(B2741="SITE LOSS",IF(D2741=C2741,1,0),IF(B2741="REGION LOSS",IF(E2741=C2741,1,0),0))</f>
        <v>0</v>
      </c>
      <c r="K2741" s="15" t="n">
        <f aca="false">IF(B2741="SITE LOSS",IF(COUNTIFS('Site Dockets'!$B$7:$B$24,C2741,'Site Dockets'!$C$7:$C$24,F2741)&gt;0,1,0),IF(B2741="REGION LOSS",IF(COUNTIFS('Site Dockets'!$E$7:$E$24,C2741,'Site Dockets'!$C$7:$C$24,F2741)&gt;0,1,0),0))</f>
        <v>0</v>
      </c>
      <c r="L2741" s="15" t="n">
        <f aca="false">IF(J2741=1,0,Inputs!$B$11)</f>
        <v>100</v>
      </c>
      <c r="M2741" s="15" t="n">
        <f aca="false">IF(J2741=1,0,Inputs!$B$12)</f>
        <v>75</v>
      </c>
      <c r="N2741" s="15" t="n">
        <f aca="false">IF(J2741=1,0,IF(OR(AND(OR(B2741="SITE LOSS",B2741="REGION LOSS"),K2741=1),AND(B2741="ROLE COMPROMISE",H2741=C2741)),Inputs!$B$13,Inputs!$B$14))</f>
        <v>10</v>
      </c>
      <c r="O2741" s="15" t="n">
        <f aca="false">IF(J2741=1,0,Inputs!$B$13)</f>
        <v>20</v>
      </c>
      <c r="P2741" s="15" t="n">
        <f aca="false">SUM(M2741:N2741)</f>
        <v>85</v>
      </c>
      <c r="Q2741" s="15" t="n">
        <f aca="false">IF(J2741=1,"",L2741-P2741)</f>
        <v>15</v>
      </c>
      <c r="R2741" s="15" t="n">
        <f aca="false">IF(OR(J2741=1,M2741&lt;=Inputs!$B$12),1,0)</f>
        <v>1</v>
      </c>
      <c r="S2741" s="15" t="n">
        <f aca="false">IF(OR(J2741=1,N2741&lt;=O2741),1,0)</f>
        <v>1</v>
      </c>
      <c r="T2741" s="15" t="str">
        <f aca="false">IF(J2741=1,"OFFLINE",IF(AND(Q2741&gt;=Inputs!$B$15,R2741=1,S2741=1,P2741&lt;=L2741),"PASS","FAIL"))</f>
        <v>PASS</v>
      </c>
    </row>
    <row r="2742" customFormat="false" ht="15" hidden="false" customHeight="false" outlineLevel="0" collapsed="false">
      <c r="A2742" s="14" t="s">
        <v>1047</v>
      </c>
      <c r="B2742" s="14" t="s">
        <v>1048</v>
      </c>
      <c r="C2742" s="14" t="s">
        <v>153</v>
      </c>
      <c r="D2742" s="14" t="s">
        <v>171</v>
      </c>
      <c r="E2742" s="14" t="s">
        <v>172</v>
      </c>
      <c r="F2742" s="14" t="s">
        <v>164</v>
      </c>
      <c r="G2742" s="14" t="n">
        <v>3</v>
      </c>
      <c r="H2742" s="14" t="s">
        <v>158</v>
      </c>
      <c r="I2742" s="14" t="s">
        <v>899</v>
      </c>
      <c r="J2742" s="15" t="n">
        <f aca="false">IF(B2742="SITE LOSS",IF(D2742=C2742,1,0),IF(B2742="REGION LOSS",IF(E2742=C2742,1,0),0))</f>
        <v>0</v>
      </c>
      <c r="K2742" s="15" t="n">
        <f aca="false">IF(B2742="SITE LOSS",IF(COUNTIFS('Site Dockets'!$B$7:$B$24,C2742,'Site Dockets'!$C$7:$C$24,F2742)&gt;0,1,0),IF(B2742="REGION LOSS",IF(COUNTIFS('Site Dockets'!$E$7:$E$24,C2742,'Site Dockets'!$C$7:$C$24,F2742)&gt;0,1,0),0))</f>
        <v>0</v>
      </c>
      <c r="L2742" s="15" t="n">
        <f aca="false">IF(J2742=1,0,Inputs!$B$11)</f>
        <v>100</v>
      </c>
      <c r="M2742" s="15" t="n">
        <f aca="false">IF(J2742=1,0,Inputs!$B$12)</f>
        <v>75</v>
      </c>
      <c r="N2742" s="15" t="n">
        <f aca="false">IF(J2742=1,0,IF(OR(AND(OR(B2742="SITE LOSS",B2742="REGION LOSS"),K2742=1),AND(B2742="ROLE COMPROMISE",H2742=C2742)),Inputs!$B$13,Inputs!$B$14))</f>
        <v>10</v>
      </c>
      <c r="O2742" s="15" t="n">
        <f aca="false">IF(J2742=1,0,Inputs!$B$13)</f>
        <v>20</v>
      </c>
      <c r="P2742" s="15" t="n">
        <f aca="false">SUM(M2742:N2742)</f>
        <v>85</v>
      </c>
      <c r="Q2742" s="15" t="n">
        <f aca="false">IF(J2742=1,"",L2742-P2742)</f>
        <v>15</v>
      </c>
      <c r="R2742" s="15" t="n">
        <f aca="false">IF(OR(J2742=1,M2742&lt;=Inputs!$B$12),1,0)</f>
        <v>1</v>
      </c>
      <c r="S2742" s="15" t="n">
        <f aca="false">IF(OR(J2742=1,N2742&lt;=O2742),1,0)</f>
        <v>1</v>
      </c>
      <c r="T2742" s="15" t="str">
        <f aca="false">IF(J2742=1,"OFFLINE",IF(AND(Q2742&gt;=Inputs!$B$15,R2742=1,S2742=1,P2742&lt;=L2742),"PASS","FAIL"))</f>
        <v>PASS</v>
      </c>
    </row>
    <row r="2743" customFormat="false" ht="15" hidden="false" customHeight="false" outlineLevel="0" collapsed="false">
      <c r="A2743" s="14" t="s">
        <v>1047</v>
      </c>
      <c r="B2743" s="14" t="s">
        <v>1048</v>
      </c>
      <c r="C2743" s="14" t="s">
        <v>153</v>
      </c>
      <c r="D2743" s="14" t="s">
        <v>174</v>
      </c>
      <c r="E2743" s="14" t="s">
        <v>152</v>
      </c>
      <c r="F2743" s="14" t="s">
        <v>175</v>
      </c>
      <c r="G2743" s="14" t="n">
        <v>1</v>
      </c>
      <c r="H2743" s="14" t="s">
        <v>154</v>
      </c>
      <c r="I2743" s="14" t="s">
        <v>890</v>
      </c>
      <c r="J2743" s="15" t="n">
        <f aca="false">IF(B2743="SITE LOSS",IF(D2743=C2743,1,0),IF(B2743="REGION LOSS",IF(E2743=C2743,1,0),0))</f>
        <v>0</v>
      </c>
      <c r="K2743" s="15" t="n">
        <f aca="false">IF(B2743="SITE LOSS",IF(COUNTIFS('Site Dockets'!$B$7:$B$24,C2743,'Site Dockets'!$C$7:$C$24,F2743)&gt;0,1,0),IF(B2743="REGION LOSS",IF(COUNTIFS('Site Dockets'!$E$7:$E$24,C2743,'Site Dockets'!$C$7:$C$24,F2743)&gt;0,1,0),0))</f>
        <v>0</v>
      </c>
      <c r="L2743" s="15" t="n">
        <f aca="false">IF(J2743=1,0,Inputs!$B$11)</f>
        <v>100</v>
      </c>
      <c r="M2743" s="15" t="n">
        <f aca="false">IF(J2743=1,0,Inputs!$B$12)</f>
        <v>75</v>
      </c>
      <c r="N2743" s="15" t="n">
        <f aca="false">IF(J2743=1,0,IF(OR(AND(OR(B2743="SITE LOSS",B2743="REGION LOSS"),K2743=1),AND(B2743="ROLE COMPROMISE",H2743=C2743)),Inputs!$B$13,Inputs!$B$14))</f>
        <v>10</v>
      </c>
      <c r="O2743" s="15" t="n">
        <f aca="false">IF(J2743=1,0,Inputs!$B$13)</f>
        <v>20</v>
      </c>
      <c r="P2743" s="15" t="n">
        <f aca="false">SUM(M2743:N2743)</f>
        <v>85</v>
      </c>
      <c r="Q2743" s="15" t="n">
        <f aca="false">IF(J2743=1,"",L2743-P2743)</f>
        <v>15</v>
      </c>
      <c r="R2743" s="15" t="n">
        <f aca="false">IF(OR(J2743=1,M2743&lt;=Inputs!$B$12),1,0)</f>
        <v>1</v>
      </c>
      <c r="S2743" s="15" t="n">
        <f aca="false">IF(OR(J2743=1,N2743&lt;=O2743),1,0)</f>
        <v>1</v>
      </c>
      <c r="T2743" s="15" t="str">
        <f aca="false">IF(J2743=1,"OFFLINE",IF(AND(Q2743&gt;=Inputs!$B$15,R2743=1,S2743=1,P2743&lt;=L2743),"PASS","FAIL"))</f>
        <v>PASS</v>
      </c>
    </row>
    <row r="2744" customFormat="false" ht="15" hidden="false" customHeight="false" outlineLevel="0" collapsed="false">
      <c r="A2744" s="14" t="s">
        <v>1047</v>
      </c>
      <c r="B2744" s="14" t="s">
        <v>1048</v>
      </c>
      <c r="C2744" s="14" t="s">
        <v>153</v>
      </c>
      <c r="D2744" s="14" t="s">
        <v>174</v>
      </c>
      <c r="E2744" s="14" t="s">
        <v>152</v>
      </c>
      <c r="F2744" s="14" t="s">
        <v>175</v>
      </c>
      <c r="G2744" s="14" t="n">
        <v>1</v>
      </c>
      <c r="H2744" s="14" t="s">
        <v>154</v>
      </c>
      <c r="I2744" s="14" t="s">
        <v>892</v>
      </c>
      <c r="J2744" s="15" t="n">
        <f aca="false">IF(B2744="SITE LOSS",IF(D2744=C2744,1,0),IF(B2744="REGION LOSS",IF(E2744=C2744,1,0),0))</f>
        <v>0</v>
      </c>
      <c r="K2744" s="15" t="n">
        <f aca="false">IF(B2744="SITE LOSS",IF(COUNTIFS('Site Dockets'!$B$7:$B$24,C2744,'Site Dockets'!$C$7:$C$24,F2744)&gt;0,1,0),IF(B2744="REGION LOSS",IF(COUNTIFS('Site Dockets'!$E$7:$E$24,C2744,'Site Dockets'!$C$7:$C$24,F2744)&gt;0,1,0),0))</f>
        <v>0</v>
      </c>
      <c r="L2744" s="15" t="n">
        <f aca="false">IF(J2744=1,0,Inputs!$B$11)</f>
        <v>100</v>
      </c>
      <c r="M2744" s="15" t="n">
        <f aca="false">IF(J2744=1,0,Inputs!$B$12)</f>
        <v>75</v>
      </c>
      <c r="N2744" s="15" t="n">
        <f aca="false">IF(J2744=1,0,IF(OR(AND(OR(B2744="SITE LOSS",B2744="REGION LOSS"),K2744=1),AND(B2744="ROLE COMPROMISE",H2744=C2744)),Inputs!$B$13,Inputs!$B$14))</f>
        <v>10</v>
      </c>
      <c r="O2744" s="15" t="n">
        <f aca="false">IF(J2744=1,0,Inputs!$B$13)</f>
        <v>20</v>
      </c>
      <c r="P2744" s="15" t="n">
        <f aca="false">SUM(M2744:N2744)</f>
        <v>85</v>
      </c>
      <c r="Q2744" s="15" t="n">
        <f aca="false">IF(J2744=1,"",L2744-P2744)</f>
        <v>15</v>
      </c>
      <c r="R2744" s="15" t="n">
        <f aca="false">IF(OR(J2744=1,M2744&lt;=Inputs!$B$12),1,0)</f>
        <v>1</v>
      </c>
      <c r="S2744" s="15" t="n">
        <f aca="false">IF(OR(J2744=1,N2744&lt;=O2744),1,0)</f>
        <v>1</v>
      </c>
      <c r="T2744" s="15" t="str">
        <f aca="false">IF(J2744=1,"OFFLINE",IF(AND(Q2744&gt;=Inputs!$B$15,R2744=1,S2744=1,P2744&lt;=L2744),"PASS","FAIL"))</f>
        <v>PASS</v>
      </c>
    </row>
    <row r="2745" customFormat="false" ht="15" hidden="false" customHeight="false" outlineLevel="0" collapsed="false">
      <c r="A2745" s="14" t="s">
        <v>1047</v>
      </c>
      <c r="B2745" s="14" t="s">
        <v>1048</v>
      </c>
      <c r="C2745" s="14" t="s">
        <v>153</v>
      </c>
      <c r="D2745" s="14" t="s">
        <v>174</v>
      </c>
      <c r="E2745" s="14" t="s">
        <v>152</v>
      </c>
      <c r="F2745" s="14" t="s">
        <v>175</v>
      </c>
      <c r="G2745" s="14" t="n">
        <v>1</v>
      </c>
      <c r="H2745" s="14" t="s">
        <v>154</v>
      </c>
      <c r="I2745" s="14" t="s">
        <v>811</v>
      </c>
      <c r="J2745" s="15" t="n">
        <f aca="false">IF(B2745="SITE LOSS",IF(D2745=C2745,1,0),IF(B2745="REGION LOSS",IF(E2745=C2745,1,0),0))</f>
        <v>0</v>
      </c>
      <c r="K2745" s="15" t="n">
        <f aca="false">IF(B2745="SITE LOSS",IF(COUNTIFS('Site Dockets'!$B$7:$B$24,C2745,'Site Dockets'!$C$7:$C$24,F2745)&gt;0,1,0),IF(B2745="REGION LOSS",IF(COUNTIFS('Site Dockets'!$E$7:$E$24,C2745,'Site Dockets'!$C$7:$C$24,F2745)&gt;0,1,0),0))</f>
        <v>0</v>
      </c>
      <c r="L2745" s="15" t="n">
        <f aca="false">IF(J2745=1,0,Inputs!$B$11)</f>
        <v>100</v>
      </c>
      <c r="M2745" s="15" t="n">
        <f aca="false">IF(J2745=1,0,Inputs!$B$12)</f>
        <v>75</v>
      </c>
      <c r="N2745" s="15" t="n">
        <f aca="false">IF(J2745=1,0,IF(OR(AND(OR(B2745="SITE LOSS",B2745="REGION LOSS"),K2745=1),AND(B2745="ROLE COMPROMISE",H2745=C2745)),Inputs!$B$13,Inputs!$B$14))</f>
        <v>10</v>
      </c>
      <c r="O2745" s="15" t="n">
        <f aca="false">IF(J2745=1,0,Inputs!$B$13)</f>
        <v>20</v>
      </c>
      <c r="P2745" s="15" t="n">
        <f aca="false">SUM(M2745:N2745)</f>
        <v>85</v>
      </c>
      <c r="Q2745" s="15" t="n">
        <f aca="false">IF(J2745=1,"",L2745-P2745)</f>
        <v>15</v>
      </c>
      <c r="R2745" s="15" t="n">
        <f aca="false">IF(OR(J2745=1,M2745&lt;=Inputs!$B$12),1,0)</f>
        <v>1</v>
      </c>
      <c r="S2745" s="15" t="n">
        <f aca="false">IF(OR(J2745=1,N2745&lt;=O2745),1,0)</f>
        <v>1</v>
      </c>
      <c r="T2745" s="15" t="str">
        <f aca="false">IF(J2745=1,"OFFLINE",IF(AND(Q2745&gt;=Inputs!$B$15,R2745=1,S2745=1,P2745&lt;=L2745),"PASS","FAIL"))</f>
        <v>PASS</v>
      </c>
    </row>
    <row r="2746" customFormat="false" ht="15" hidden="false" customHeight="false" outlineLevel="0" collapsed="false">
      <c r="A2746" s="14" t="s">
        <v>1047</v>
      </c>
      <c r="B2746" s="14" t="s">
        <v>1048</v>
      </c>
      <c r="C2746" s="14" t="s">
        <v>153</v>
      </c>
      <c r="D2746" s="14" t="s">
        <v>174</v>
      </c>
      <c r="E2746" s="14" t="s">
        <v>152</v>
      </c>
      <c r="F2746" s="14" t="s">
        <v>175</v>
      </c>
      <c r="G2746" s="14" t="n">
        <v>1</v>
      </c>
      <c r="H2746" s="14" t="s">
        <v>154</v>
      </c>
      <c r="I2746" s="14" t="s">
        <v>895</v>
      </c>
      <c r="J2746" s="15" t="n">
        <f aca="false">IF(B2746="SITE LOSS",IF(D2746=C2746,1,0),IF(B2746="REGION LOSS",IF(E2746=C2746,1,0),0))</f>
        <v>0</v>
      </c>
      <c r="K2746" s="15" t="n">
        <f aca="false">IF(B2746="SITE LOSS",IF(COUNTIFS('Site Dockets'!$B$7:$B$24,C2746,'Site Dockets'!$C$7:$C$24,F2746)&gt;0,1,0),IF(B2746="REGION LOSS",IF(COUNTIFS('Site Dockets'!$E$7:$E$24,C2746,'Site Dockets'!$C$7:$C$24,F2746)&gt;0,1,0),0))</f>
        <v>0</v>
      </c>
      <c r="L2746" s="15" t="n">
        <f aca="false">IF(J2746=1,0,Inputs!$B$11)</f>
        <v>100</v>
      </c>
      <c r="M2746" s="15" t="n">
        <f aca="false">IF(J2746=1,0,Inputs!$B$12)</f>
        <v>75</v>
      </c>
      <c r="N2746" s="15" t="n">
        <f aca="false">IF(J2746=1,0,IF(OR(AND(OR(B2746="SITE LOSS",B2746="REGION LOSS"),K2746=1),AND(B2746="ROLE COMPROMISE",H2746=C2746)),Inputs!$B$13,Inputs!$B$14))</f>
        <v>10</v>
      </c>
      <c r="O2746" s="15" t="n">
        <f aca="false">IF(J2746=1,0,Inputs!$B$13)</f>
        <v>20</v>
      </c>
      <c r="P2746" s="15" t="n">
        <f aca="false">SUM(M2746:N2746)</f>
        <v>85</v>
      </c>
      <c r="Q2746" s="15" t="n">
        <f aca="false">IF(J2746=1,"",L2746-P2746)</f>
        <v>15</v>
      </c>
      <c r="R2746" s="15" t="n">
        <f aca="false">IF(OR(J2746=1,M2746&lt;=Inputs!$B$12),1,0)</f>
        <v>1</v>
      </c>
      <c r="S2746" s="15" t="n">
        <f aca="false">IF(OR(J2746=1,N2746&lt;=O2746),1,0)</f>
        <v>1</v>
      </c>
      <c r="T2746" s="15" t="str">
        <f aca="false">IF(J2746=1,"OFFLINE",IF(AND(Q2746&gt;=Inputs!$B$15,R2746=1,S2746=1,P2746&lt;=L2746),"PASS","FAIL"))</f>
        <v>PASS</v>
      </c>
    </row>
    <row r="2747" customFormat="false" ht="15" hidden="false" customHeight="false" outlineLevel="0" collapsed="false">
      <c r="A2747" s="14" t="s">
        <v>1047</v>
      </c>
      <c r="B2747" s="14" t="s">
        <v>1048</v>
      </c>
      <c r="C2747" s="14" t="s">
        <v>153</v>
      </c>
      <c r="D2747" s="14" t="s">
        <v>174</v>
      </c>
      <c r="E2747" s="14" t="s">
        <v>152</v>
      </c>
      <c r="F2747" s="14" t="s">
        <v>175</v>
      </c>
      <c r="G2747" s="14" t="n">
        <v>1</v>
      </c>
      <c r="H2747" s="14" t="s">
        <v>154</v>
      </c>
      <c r="I2747" s="14" t="s">
        <v>897</v>
      </c>
      <c r="J2747" s="15" t="n">
        <f aca="false">IF(B2747="SITE LOSS",IF(D2747=C2747,1,0),IF(B2747="REGION LOSS",IF(E2747=C2747,1,0),0))</f>
        <v>0</v>
      </c>
      <c r="K2747" s="15" t="n">
        <f aca="false">IF(B2747="SITE LOSS",IF(COUNTIFS('Site Dockets'!$B$7:$B$24,C2747,'Site Dockets'!$C$7:$C$24,F2747)&gt;0,1,0),IF(B2747="REGION LOSS",IF(COUNTIFS('Site Dockets'!$E$7:$E$24,C2747,'Site Dockets'!$C$7:$C$24,F2747)&gt;0,1,0),0))</f>
        <v>0</v>
      </c>
      <c r="L2747" s="15" t="n">
        <f aca="false">IF(J2747=1,0,Inputs!$B$11)</f>
        <v>100</v>
      </c>
      <c r="M2747" s="15" t="n">
        <f aca="false">IF(J2747=1,0,Inputs!$B$12)</f>
        <v>75</v>
      </c>
      <c r="N2747" s="15" t="n">
        <f aca="false">IF(J2747=1,0,IF(OR(AND(OR(B2747="SITE LOSS",B2747="REGION LOSS"),K2747=1),AND(B2747="ROLE COMPROMISE",H2747=C2747)),Inputs!$B$13,Inputs!$B$14))</f>
        <v>10</v>
      </c>
      <c r="O2747" s="15" t="n">
        <f aca="false">IF(J2747=1,0,Inputs!$B$13)</f>
        <v>20</v>
      </c>
      <c r="P2747" s="15" t="n">
        <f aca="false">SUM(M2747:N2747)</f>
        <v>85</v>
      </c>
      <c r="Q2747" s="15" t="n">
        <f aca="false">IF(J2747=1,"",L2747-P2747)</f>
        <v>15</v>
      </c>
      <c r="R2747" s="15" t="n">
        <f aca="false">IF(OR(J2747=1,M2747&lt;=Inputs!$B$12),1,0)</f>
        <v>1</v>
      </c>
      <c r="S2747" s="15" t="n">
        <f aca="false">IF(OR(J2747=1,N2747&lt;=O2747),1,0)</f>
        <v>1</v>
      </c>
      <c r="T2747" s="15" t="str">
        <f aca="false">IF(J2747=1,"OFFLINE",IF(AND(Q2747&gt;=Inputs!$B$15,R2747=1,S2747=1,P2747&lt;=L2747),"PASS","FAIL"))</f>
        <v>PASS</v>
      </c>
    </row>
    <row r="2748" customFormat="false" ht="15" hidden="false" customHeight="false" outlineLevel="0" collapsed="false">
      <c r="A2748" s="14" t="s">
        <v>1047</v>
      </c>
      <c r="B2748" s="14" t="s">
        <v>1048</v>
      </c>
      <c r="C2748" s="14" t="s">
        <v>153</v>
      </c>
      <c r="D2748" s="14" t="s">
        <v>174</v>
      </c>
      <c r="E2748" s="14" t="s">
        <v>152</v>
      </c>
      <c r="F2748" s="14" t="s">
        <v>175</v>
      </c>
      <c r="G2748" s="14" t="n">
        <v>1</v>
      </c>
      <c r="H2748" s="14" t="s">
        <v>154</v>
      </c>
      <c r="I2748" s="14" t="s">
        <v>899</v>
      </c>
      <c r="J2748" s="15" t="n">
        <f aca="false">IF(B2748="SITE LOSS",IF(D2748=C2748,1,0),IF(B2748="REGION LOSS",IF(E2748=C2748,1,0),0))</f>
        <v>0</v>
      </c>
      <c r="K2748" s="15" t="n">
        <f aca="false">IF(B2748="SITE LOSS",IF(COUNTIFS('Site Dockets'!$B$7:$B$24,C2748,'Site Dockets'!$C$7:$C$24,F2748)&gt;0,1,0),IF(B2748="REGION LOSS",IF(COUNTIFS('Site Dockets'!$E$7:$E$24,C2748,'Site Dockets'!$C$7:$C$24,F2748)&gt;0,1,0),0))</f>
        <v>0</v>
      </c>
      <c r="L2748" s="15" t="n">
        <f aca="false">IF(J2748=1,0,Inputs!$B$11)</f>
        <v>100</v>
      </c>
      <c r="M2748" s="15" t="n">
        <f aca="false">IF(J2748=1,0,Inputs!$B$12)</f>
        <v>75</v>
      </c>
      <c r="N2748" s="15" t="n">
        <f aca="false">IF(J2748=1,0,IF(OR(AND(OR(B2748="SITE LOSS",B2748="REGION LOSS"),K2748=1),AND(B2748="ROLE COMPROMISE",H2748=C2748)),Inputs!$B$13,Inputs!$B$14))</f>
        <v>10</v>
      </c>
      <c r="O2748" s="15" t="n">
        <f aca="false">IF(J2748=1,0,Inputs!$B$13)</f>
        <v>20</v>
      </c>
      <c r="P2748" s="15" t="n">
        <f aca="false">SUM(M2748:N2748)</f>
        <v>85</v>
      </c>
      <c r="Q2748" s="15" t="n">
        <f aca="false">IF(J2748=1,"",L2748-P2748)</f>
        <v>15</v>
      </c>
      <c r="R2748" s="15" t="n">
        <f aca="false">IF(OR(J2748=1,M2748&lt;=Inputs!$B$12),1,0)</f>
        <v>1</v>
      </c>
      <c r="S2748" s="15" t="n">
        <f aca="false">IF(OR(J2748=1,N2748&lt;=O2748),1,0)</f>
        <v>1</v>
      </c>
      <c r="T2748" s="15" t="str">
        <f aca="false">IF(J2748=1,"OFFLINE",IF(AND(Q2748&gt;=Inputs!$B$15,R2748=1,S2748=1,P2748&lt;=L2748),"PASS","FAIL"))</f>
        <v>PASS</v>
      </c>
    </row>
    <row r="2749" customFormat="false" ht="15" hidden="false" customHeight="false" outlineLevel="0" collapsed="false">
      <c r="A2749" s="14" t="s">
        <v>1047</v>
      </c>
      <c r="B2749" s="14" t="s">
        <v>1048</v>
      </c>
      <c r="C2749" s="14" t="s">
        <v>153</v>
      </c>
      <c r="D2749" s="14" t="s">
        <v>178</v>
      </c>
      <c r="E2749" s="14" t="s">
        <v>169</v>
      </c>
      <c r="F2749" s="14" t="s">
        <v>175</v>
      </c>
      <c r="G2749" s="14" t="n">
        <v>2</v>
      </c>
      <c r="H2749" s="14" t="s">
        <v>153</v>
      </c>
      <c r="I2749" s="14" t="s">
        <v>890</v>
      </c>
      <c r="J2749" s="15" t="n">
        <f aca="false">IF(B2749="SITE LOSS",IF(D2749=C2749,1,0),IF(B2749="REGION LOSS",IF(E2749=C2749,1,0),0))</f>
        <v>0</v>
      </c>
      <c r="K2749" s="15" t="n">
        <f aca="false">IF(B2749="SITE LOSS",IF(COUNTIFS('Site Dockets'!$B$7:$B$24,C2749,'Site Dockets'!$C$7:$C$24,F2749)&gt;0,1,0),IF(B2749="REGION LOSS",IF(COUNTIFS('Site Dockets'!$E$7:$E$24,C2749,'Site Dockets'!$C$7:$C$24,F2749)&gt;0,1,0),0))</f>
        <v>0</v>
      </c>
      <c r="L2749" s="15" t="n">
        <f aca="false">IF(J2749=1,0,Inputs!$B$11)</f>
        <v>100</v>
      </c>
      <c r="M2749" s="15" t="n">
        <f aca="false">IF(J2749=1,0,Inputs!$B$12)</f>
        <v>75</v>
      </c>
      <c r="N2749" s="15" t="n">
        <f aca="false">IF(J2749=1,0,IF(OR(AND(OR(B2749="SITE LOSS",B2749="REGION LOSS"),K2749=1),AND(B2749="ROLE COMPROMISE",H2749=C2749)),Inputs!$B$13,Inputs!$B$14))</f>
        <v>20</v>
      </c>
      <c r="O2749" s="15" t="n">
        <f aca="false">IF(J2749=1,0,Inputs!$B$13)</f>
        <v>20</v>
      </c>
      <c r="P2749" s="15" t="n">
        <f aca="false">SUM(M2749:N2749)</f>
        <v>95</v>
      </c>
      <c r="Q2749" s="15" t="n">
        <f aca="false">IF(J2749=1,"",L2749-P2749)</f>
        <v>5</v>
      </c>
      <c r="R2749" s="15" t="n">
        <f aca="false">IF(OR(J2749=1,M2749&lt;=Inputs!$B$12),1,0)</f>
        <v>1</v>
      </c>
      <c r="S2749" s="15" t="n">
        <f aca="false">IF(OR(J2749=1,N2749&lt;=O2749),1,0)</f>
        <v>1</v>
      </c>
      <c r="T2749" s="15" t="str">
        <f aca="false">IF(J2749=1,"OFFLINE",IF(AND(Q2749&gt;=Inputs!$B$15,R2749=1,S2749=1,P2749&lt;=L2749),"PASS","FAIL"))</f>
        <v>PASS</v>
      </c>
    </row>
    <row r="2750" customFormat="false" ht="15" hidden="false" customHeight="false" outlineLevel="0" collapsed="false">
      <c r="A2750" s="14" t="s">
        <v>1047</v>
      </c>
      <c r="B2750" s="14" t="s">
        <v>1048</v>
      </c>
      <c r="C2750" s="14" t="s">
        <v>153</v>
      </c>
      <c r="D2750" s="14" t="s">
        <v>178</v>
      </c>
      <c r="E2750" s="14" t="s">
        <v>169</v>
      </c>
      <c r="F2750" s="14" t="s">
        <v>175</v>
      </c>
      <c r="G2750" s="14" t="n">
        <v>2</v>
      </c>
      <c r="H2750" s="14" t="s">
        <v>153</v>
      </c>
      <c r="I2750" s="14" t="s">
        <v>892</v>
      </c>
      <c r="J2750" s="15" t="n">
        <f aca="false">IF(B2750="SITE LOSS",IF(D2750=C2750,1,0),IF(B2750="REGION LOSS",IF(E2750=C2750,1,0),0))</f>
        <v>0</v>
      </c>
      <c r="K2750" s="15" t="n">
        <f aca="false">IF(B2750="SITE LOSS",IF(COUNTIFS('Site Dockets'!$B$7:$B$24,C2750,'Site Dockets'!$C$7:$C$24,F2750)&gt;0,1,0),IF(B2750="REGION LOSS",IF(COUNTIFS('Site Dockets'!$E$7:$E$24,C2750,'Site Dockets'!$C$7:$C$24,F2750)&gt;0,1,0),0))</f>
        <v>0</v>
      </c>
      <c r="L2750" s="15" t="n">
        <f aca="false">IF(J2750=1,0,Inputs!$B$11)</f>
        <v>100</v>
      </c>
      <c r="M2750" s="15" t="n">
        <f aca="false">IF(J2750=1,0,Inputs!$B$12)</f>
        <v>75</v>
      </c>
      <c r="N2750" s="15" t="n">
        <f aca="false">IF(J2750=1,0,IF(OR(AND(OR(B2750="SITE LOSS",B2750="REGION LOSS"),K2750=1),AND(B2750="ROLE COMPROMISE",H2750=C2750)),Inputs!$B$13,Inputs!$B$14))</f>
        <v>20</v>
      </c>
      <c r="O2750" s="15" t="n">
        <f aca="false">IF(J2750=1,0,Inputs!$B$13)</f>
        <v>20</v>
      </c>
      <c r="P2750" s="15" t="n">
        <f aca="false">SUM(M2750:N2750)</f>
        <v>95</v>
      </c>
      <c r="Q2750" s="15" t="n">
        <f aca="false">IF(J2750=1,"",L2750-P2750)</f>
        <v>5</v>
      </c>
      <c r="R2750" s="15" t="n">
        <f aca="false">IF(OR(J2750=1,M2750&lt;=Inputs!$B$12),1,0)</f>
        <v>1</v>
      </c>
      <c r="S2750" s="15" t="n">
        <f aca="false">IF(OR(J2750=1,N2750&lt;=O2750),1,0)</f>
        <v>1</v>
      </c>
      <c r="T2750" s="15" t="str">
        <f aca="false">IF(J2750=1,"OFFLINE",IF(AND(Q2750&gt;=Inputs!$B$15,R2750=1,S2750=1,P2750&lt;=L2750),"PASS","FAIL"))</f>
        <v>PASS</v>
      </c>
    </row>
    <row r="2751" customFormat="false" ht="15" hidden="false" customHeight="false" outlineLevel="0" collapsed="false">
      <c r="A2751" s="14" t="s">
        <v>1047</v>
      </c>
      <c r="B2751" s="14" t="s">
        <v>1048</v>
      </c>
      <c r="C2751" s="14" t="s">
        <v>153</v>
      </c>
      <c r="D2751" s="14" t="s">
        <v>178</v>
      </c>
      <c r="E2751" s="14" t="s">
        <v>169</v>
      </c>
      <c r="F2751" s="14" t="s">
        <v>175</v>
      </c>
      <c r="G2751" s="14" t="n">
        <v>2</v>
      </c>
      <c r="H2751" s="14" t="s">
        <v>153</v>
      </c>
      <c r="I2751" s="14" t="s">
        <v>811</v>
      </c>
      <c r="J2751" s="15" t="n">
        <f aca="false">IF(B2751="SITE LOSS",IF(D2751=C2751,1,0),IF(B2751="REGION LOSS",IF(E2751=C2751,1,0),0))</f>
        <v>0</v>
      </c>
      <c r="K2751" s="15" t="n">
        <f aca="false">IF(B2751="SITE LOSS",IF(COUNTIFS('Site Dockets'!$B$7:$B$24,C2751,'Site Dockets'!$C$7:$C$24,F2751)&gt;0,1,0),IF(B2751="REGION LOSS",IF(COUNTIFS('Site Dockets'!$E$7:$E$24,C2751,'Site Dockets'!$C$7:$C$24,F2751)&gt;0,1,0),0))</f>
        <v>0</v>
      </c>
      <c r="L2751" s="15" t="n">
        <f aca="false">IF(J2751=1,0,Inputs!$B$11)</f>
        <v>100</v>
      </c>
      <c r="M2751" s="15" t="n">
        <f aca="false">IF(J2751=1,0,Inputs!$B$12)</f>
        <v>75</v>
      </c>
      <c r="N2751" s="15" t="n">
        <f aca="false">IF(J2751=1,0,IF(OR(AND(OR(B2751="SITE LOSS",B2751="REGION LOSS"),K2751=1),AND(B2751="ROLE COMPROMISE",H2751=C2751)),Inputs!$B$13,Inputs!$B$14))</f>
        <v>20</v>
      </c>
      <c r="O2751" s="15" t="n">
        <f aca="false">IF(J2751=1,0,Inputs!$B$13)</f>
        <v>20</v>
      </c>
      <c r="P2751" s="15" t="n">
        <f aca="false">SUM(M2751:N2751)</f>
        <v>95</v>
      </c>
      <c r="Q2751" s="15" t="n">
        <f aca="false">IF(J2751=1,"",L2751-P2751)</f>
        <v>5</v>
      </c>
      <c r="R2751" s="15" t="n">
        <f aca="false">IF(OR(J2751=1,M2751&lt;=Inputs!$B$12),1,0)</f>
        <v>1</v>
      </c>
      <c r="S2751" s="15" t="n">
        <f aca="false">IF(OR(J2751=1,N2751&lt;=O2751),1,0)</f>
        <v>1</v>
      </c>
      <c r="T2751" s="15" t="str">
        <f aca="false">IF(J2751=1,"OFFLINE",IF(AND(Q2751&gt;=Inputs!$B$15,R2751=1,S2751=1,P2751&lt;=L2751),"PASS","FAIL"))</f>
        <v>PASS</v>
      </c>
    </row>
    <row r="2752" customFormat="false" ht="15" hidden="false" customHeight="false" outlineLevel="0" collapsed="false">
      <c r="A2752" s="14" t="s">
        <v>1047</v>
      </c>
      <c r="B2752" s="14" t="s">
        <v>1048</v>
      </c>
      <c r="C2752" s="14" t="s">
        <v>153</v>
      </c>
      <c r="D2752" s="14" t="s">
        <v>178</v>
      </c>
      <c r="E2752" s="14" t="s">
        <v>169</v>
      </c>
      <c r="F2752" s="14" t="s">
        <v>175</v>
      </c>
      <c r="G2752" s="14" t="n">
        <v>2</v>
      </c>
      <c r="H2752" s="14" t="s">
        <v>153</v>
      </c>
      <c r="I2752" s="14" t="s">
        <v>895</v>
      </c>
      <c r="J2752" s="15" t="n">
        <f aca="false">IF(B2752="SITE LOSS",IF(D2752=C2752,1,0),IF(B2752="REGION LOSS",IF(E2752=C2752,1,0),0))</f>
        <v>0</v>
      </c>
      <c r="K2752" s="15" t="n">
        <f aca="false">IF(B2752="SITE LOSS",IF(COUNTIFS('Site Dockets'!$B$7:$B$24,C2752,'Site Dockets'!$C$7:$C$24,F2752)&gt;0,1,0),IF(B2752="REGION LOSS",IF(COUNTIFS('Site Dockets'!$E$7:$E$24,C2752,'Site Dockets'!$C$7:$C$24,F2752)&gt;0,1,0),0))</f>
        <v>0</v>
      </c>
      <c r="L2752" s="15" t="n">
        <f aca="false">IF(J2752=1,0,Inputs!$B$11)</f>
        <v>100</v>
      </c>
      <c r="M2752" s="15" t="n">
        <f aca="false">IF(J2752=1,0,Inputs!$B$12)</f>
        <v>75</v>
      </c>
      <c r="N2752" s="15" t="n">
        <f aca="false">IF(J2752=1,0,IF(OR(AND(OR(B2752="SITE LOSS",B2752="REGION LOSS"),K2752=1),AND(B2752="ROLE COMPROMISE",H2752=C2752)),Inputs!$B$13,Inputs!$B$14))</f>
        <v>20</v>
      </c>
      <c r="O2752" s="15" t="n">
        <f aca="false">IF(J2752=1,0,Inputs!$B$13)</f>
        <v>20</v>
      </c>
      <c r="P2752" s="15" t="n">
        <f aca="false">SUM(M2752:N2752)</f>
        <v>95</v>
      </c>
      <c r="Q2752" s="15" t="n">
        <f aca="false">IF(J2752=1,"",L2752-P2752)</f>
        <v>5</v>
      </c>
      <c r="R2752" s="15" t="n">
        <f aca="false">IF(OR(J2752=1,M2752&lt;=Inputs!$B$12),1,0)</f>
        <v>1</v>
      </c>
      <c r="S2752" s="15" t="n">
        <f aca="false">IF(OR(J2752=1,N2752&lt;=O2752),1,0)</f>
        <v>1</v>
      </c>
      <c r="T2752" s="15" t="str">
        <f aca="false">IF(J2752=1,"OFFLINE",IF(AND(Q2752&gt;=Inputs!$B$15,R2752=1,S2752=1,P2752&lt;=L2752),"PASS","FAIL"))</f>
        <v>PASS</v>
      </c>
    </row>
    <row r="2753" customFormat="false" ht="15" hidden="false" customHeight="false" outlineLevel="0" collapsed="false">
      <c r="A2753" s="14" t="s">
        <v>1047</v>
      </c>
      <c r="B2753" s="14" t="s">
        <v>1048</v>
      </c>
      <c r="C2753" s="14" t="s">
        <v>153</v>
      </c>
      <c r="D2753" s="14" t="s">
        <v>178</v>
      </c>
      <c r="E2753" s="14" t="s">
        <v>169</v>
      </c>
      <c r="F2753" s="14" t="s">
        <v>175</v>
      </c>
      <c r="G2753" s="14" t="n">
        <v>2</v>
      </c>
      <c r="H2753" s="14" t="s">
        <v>153</v>
      </c>
      <c r="I2753" s="14" t="s">
        <v>897</v>
      </c>
      <c r="J2753" s="15" t="n">
        <f aca="false">IF(B2753="SITE LOSS",IF(D2753=C2753,1,0),IF(B2753="REGION LOSS",IF(E2753=C2753,1,0),0))</f>
        <v>0</v>
      </c>
      <c r="K2753" s="15" t="n">
        <f aca="false">IF(B2753="SITE LOSS",IF(COUNTIFS('Site Dockets'!$B$7:$B$24,C2753,'Site Dockets'!$C$7:$C$24,F2753)&gt;0,1,0),IF(B2753="REGION LOSS",IF(COUNTIFS('Site Dockets'!$E$7:$E$24,C2753,'Site Dockets'!$C$7:$C$24,F2753)&gt;0,1,0),0))</f>
        <v>0</v>
      </c>
      <c r="L2753" s="15" t="n">
        <f aca="false">IF(J2753=1,0,Inputs!$B$11)</f>
        <v>100</v>
      </c>
      <c r="M2753" s="15" t="n">
        <f aca="false">IF(J2753=1,0,Inputs!$B$12)</f>
        <v>75</v>
      </c>
      <c r="N2753" s="15" t="n">
        <f aca="false">IF(J2753=1,0,IF(OR(AND(OR(B2753="SITE LOSS",B2753="REGION LOSS"),K2753=1),AND(B2753="ROLE COMPROMISE",H2753=C2753)),Inputs!$B$13,Inputs!$B$14))</f>
        <v>20</v>
      </c>
      <c r="O2753" s="15" t="n">
        <f aca="false">IF(J2753=1,0,Inputs!$B$13)</f>
        <v>20</v>
      </c>
      <c r="P2753" s="15" t="n">
        <f aca="false">SUM(M2753:N2753)</f>
        <v>95</v>
      </c>
      <c r="Q2753" s="15" t="n">
        <f aca="false">IF(J2753=1,"",L2753-P2753)</f>
        <v>5</v>
      </c>
      <c r="R2753" s="15" t="n">
        <f aca="false">IF(OR(J2753=1,M2753&lt;=Inputs!$B$12),1,0)</f>
        <v>1</v>
      </c>
      <c r="S2753" s="15" t="n">
        <f aca="false">IF(OR(J2753=1,N2753&lt;=O2753),1,0)</f>
        <v>1</v>
      </c>
      <c r="T2753" s="15" t="str">
        <f aca="false">IF(J2753=1,"OFFLINE",IF(AND(Q2753&gt;=Inputs!$B$15,R2753=1,S2753=1,P2753&lt;=L2753),"PASS","FAIL"))</f>
        <v>PASS</v>
      </c>
    </row>
    <row r="2754" customFormat="false" ht="15" hidden="false" customHeight="false" outlineLevel="0" collapsed="false">
      <c r="A2754" s="14" t="s">
        <v>1047</v>
      </c>
      <c r="B2754" s="14" t="s">
        <v>1048</v>
      </c>
      <c r="C2754" s="14" t="s">
        <v>153</v>
      </c>
      <c r="D2754" s="14" t="s">
        <v>178</v>
      </c>
      <c r="E2754" s="14" t="s">
        <v>169</v>
      </c>
      <c r="F2754" s="14" t="s">
        <v>175</v>
      </c>
      <c r="G2754" s="14" t="n">
        <v>2</v>
      </c>
      <c r="H2754" s="14" t="s">
        <v>153</v>
      </c>
      <c r="I2754" s="14" t="s">
        <v>899</v>
      </c>
      <c r="J2754" s="15" t="n">
        <f aca="false">IF(B2754="SITE LOSS",IF(D2754=C2754,1,0),IF(B2754="REGION LOSS",IF(E2754=C2754,1,0),0))</f>
        <v>0</v>
      </c>
      <c r="K2754" s="15" t="n">
        <f aca="false">IF(B2754="SITE LOSS",IF(COUNTIFS('Site Dockets'!$B$7:$B$24,C2754,'Site Dockets'!$C$7:$C$24,F2754)&gt;0,1,0),IF(B2754="REGION LOSS",IF(COUNTIFS('Site Dockets'!$E$7:$E$24,C2754,'Site Dockets'!$C$7:$C$24,F2754)&gt;0,1,0),0))</f>
        <v>0</v>
      </c>
      <c r="L2754" s="15" t="n">
        <f aca="false">IF(J2754=1,0,Inputs!$B$11)</f>
        <v>100</v>
      </c>
      <c r="M2754" s="15" t="n">
        <f aca="false">IF(J2754=1,0,Inputs!$B$12)</f>
        <v>75</v>
      </c>
      <c r="N2754" s="15" t="n">
        <f aca="false">IF(J2754=1,0,IF(OR(AND(OR(B2754="SITE LOSS",B2754="REGION LOSS"),K2754=1),AND(B2754="ROLE COMPROMISE",H2754=C2754)),Inputs!$B$13,Inputs!$B$14))</f>
        <v>20</v>
      </c>
      <c r="O2754" s="15" t="n">
        <f aca="false">IF(J2754=1,0,Inputs!$B$13)</f>
        <v>20</v>
      </c>
      <c r="P2754" s="15" t="n">
        <f aca="false">SUM(M2754:N2754)</f>
        <v>95</v>
      </c>
      <c r="Q2754" s="15" t="n">
        <f aca="false">IF(J2754=1,"",L2754-P2754)</f>
        <v>5</v>
      </c>
      <c r="R2754" s="15" t="n">
        <f aca="false">IF(OR(J2754=1,M2754&lt;=Inputs!$B$12),1,0)</f>
        <v>1</v>
      </c>
      <c r="S2754" s="15" t="n">
        <f aca="false">IF(OR(J2754=1,N2754&lt;=O2754),1,0)</f>
        <v>1</v>
      </c>
      <c r="T2754" s="15" t="str">
        <f aca="false">IF(J2754=1,"OFFLINE",IF(AND(Q2754&gt;=Inputs!$B$15,R2754=1,S2754=1,P2754&lt;=L2754),"PASS","FAIL"))</f>
        <v>PASS</v>
      </c>
    </row>
    <row r="2755" customFormat="false" ht="15" hidden="false" customHeight="false" outlineLevel="0" collapsed="false">
      <c r="A2755" s="14" t="s">
        <v>1047</v>
      </c>
      <c r="B2755" s="14" t="s">
        <v>1048</v>
      </c>
      <c r="C2755" s="14" t="s">
        <v>153</v>
      </c>
      <c r="D2755" s="14" t="s">
        <v>180</v>
      </c>
      <c r="E2755" s="14" t="s">
        <v>161</v>
      </c>
      <c r="F2755" s="14" t="s">
        <v>175</v>
      </c>
      <c r="G2755" s="14" t="n">
        <v>3</v>
      </c>
      <c r="H2755" s="14" t="s">
        <v>158</v>
      </c>
      <c r="I2755" s="14" t="s">
        <v>890</v>
      </c>
      <c r="J2755" s="15" t="n">
        <f aca="false">IF(B2755="SITE LOSS",IF(D2755=C2755,1,0),IF(B2755="REGION LOSS",IF(E2755=C2755,1,0),0))</f>
        <v>0</v>
      </c>
      <c r="K2755" s="15" t="n">
        <f aca="false">IF(B2755="SITE LOSS",IF(COUNTIFS('Site Dockets'!$B$7:$B$24,C2755,'Site Dockets'!$C$7:$C$24,F2755)&gt;0,1,0),IF(B2755="REGION LOSS",IF(COUNTIFS('Site Dockets'!$E$7:$E$24,C2755,'Site Dockets'!$C$7:$C$24,F2755)&gt;0,1,0),0))</f>
        <v>0</v>
      </c>
      <c r="L2755" s="15" t="n">
        <f aca="false">IF(J2755=1,0,Inputs!$B$11)</f>
        <v>100</v>
      </c>
      <c r="M2755" s="15" t="n">
        <f aca="false">IF(J2755=1,0,Inputs!$B$12)</f>
        <v>75</v>
      </c>
      <c r="N2755" s="15" t="n">
        <f aca="false">IF(J2755=1,0,IF(OR(AND(OR(B2755="SITE LOSS",B2755="REGION LOSS"),K2755=1),AND(B2755="ROLE COMPROMISE",H2755=C2755)),Inputs!$B$13,Inputs!$B$14))</f>
        <v>10</v>
      </c>
      <c r="O2755" s="15" t="n">
        <f aca="false">IF(J2755=1,0,Inputs!$B$13)</f>
        <v>20</v>
      </c>
      <c r="P2755" s="15" t="n">
        <f aca="false">SUM(M2755:N2755)</f>
        <v>85</v>
      </c>
      <c r="Q2755" s="15" t="n">
        <f aca="false">IF(J2755=1,"",L2755-P2755)</f>
        <v>15</v>
      </c>
      <c r="R2755" s="15" t="n">
        <f aca="false">IF(OR(J2755=1,M2755&lt;=Inputs!$B$12),1,0)</f>
        <v>1</v>
      </c>
      <c r="S2755" s="15" t="n">
        <f aca="false">IF(OR(J2755=1,N2755&lt;=O2755),1,0)</f>
        <v>1</v>
      </c>
      <c r="T2755" s="15" t="str">
        <f aca="false">IF(J2755=1,"OFFLINE",IF(AND(Q2755&gt;=Inputs!$B$15,R2755=1,S2755=1,P2755&lt;=L2755),"PASS","FAIL"))</f>
        <v>PASS</v>
      </c>
    </row>
    <row r="2756" customFormat="false" ht="15" hidden="false" customHeight="false" outlineLevel="0" collapsed="false">
      <c r="A2756" s="14" t="s">
        <v>1047</v>
      </c>
      <c r="B2756" s="14" t="s">
        <v>1048</v>
      </c>
      <c r="C2756" s="14" t="s">
        <v>153</v>
      </c>
      <c r="D2756" s="14" t="s">
        <v>180</v>
      </c>
      <c r="E2756" s="14" t="s">
        <v>161</v>
      </c>
      <c r="F2756" s="14" t="s">
        <v>175</v>
      </c>
      <c r="G2756" s="14" t="n">
        <v>3</v>
      </c>
      <c r="H2756" s="14" t="s">
        <v>158</v>
      </c>
      <c r="I2756" s="14" t="s">
        <v>892</v>
      </c>
      <c r="J2756" s="15" t="n">
        <f aca="false">IF(B2756="SITE LOSS",IF(D2756=C2756,1,0),IF(B2756="REGION LOSS",IF(E2756=C2756,1,0),0))</f>
        <v>0</v>
      </c>
      <c r="K2756" s="15" t="n">
        <f aca="false">IF(B2756="SITE LOSS",IF(COUNTIFS('Site Dockets'!$B$7:$B$24,C2756,'Site Dockets'!$C$7:$C$24,F2756)&gt;0,1,0),IF(B2756="REGION LOSS",IF(COUNTIFS('Site Dockets'!$E$7:$E$24,C2756,'Site Dockets'!$C$7:$C$24,F2756)&gt;0,1,0),0))</f>
        <v>0</v>
      </c>
      <c r="L2756" s="15" t="n">
        <f aca="false">IF(J2756=1,0,Inputs!$B$11)</f>
        <v>100</v>
      </c>
      <c r="M2756" s="15" t="n">
        <f aca="false">IF(J2756=1,0,Inputs!$B$12)</f>
        <v>75</v>
      </c>
      <c r="N2756" s="15" t="n">
        <f aca="false">IF(J2756=1,0,IF(OR(AND(OR(B2756="SITE LOSS",B2756="REGION LOSS"),K2756=1),AND(B2756="ROLE COMPROMISE",H2756=C2756)),Inputs!$B$13,Inputs!$B$14))</f>
        <v>10</v>
      </c>
      <c r="O2756" s="15" t="n">
        <f aca="false">IF(J2756=1,0,Inputs!$B$13)</f>
        <v>20</v>
      </c>
      <c r="P2756" s="15" t="n">
        <f aca="false">SUM(M2756:N2756)</f>
        <v>85</v>
      </c>
      <c r="Q2756" s="15" t="n">
        <f aca="false">IF(J2756=1,"",L2756-P2756)</f>
        <v>15</v>
      </c>
      <c r="R2756" s="15" t="n">
        <f aca="false">IF(OR(J2756=1,M2756&lt;=Inputs!$B$12),1,0)</f>
        <v>1</v>
      </c>
      <c r="S2756" s="15" t="n">
        <f aca="false">IF(OR(J2756=1,N2756&lt;=O2756),1,0)</f>
        <v>1</v>
      </c>
      <c r="T2756" s="15" t="str">
        <f aca="false">IF(J2756=1,"OFFLINE",IF(AND(Q2756&gt;=Inputs!$B$15,R2756=1,S2756=1,P2756&lt;=L2756),"PASS","FAIL"))</f>
        <v>PASS</v>
      </c>
    </row>
    <row r="2757" customFormat="false" ht="15" hidden="false" customHeight="false" outlineLevel="0" collapsed="false">
      <c r="A2757" s="14" t="s">
        <v>1047</v>
      </c>
      <c r="B2757" s="14" t="s">
        <v>1048</v>
      </c>
      <c r="C2757" s="14" t="s">
        <v>153</v>
      </c>
      <c r="D2757" s="14" t="s">
        <v>180</v>
      </c>
      <c r="E2757" s="14" t="s">
        <v>161</v>
      </c>
      <c r="F2757" s="14" t="s">
        <v>175</v>
      </c>
      <c r="G2757" s="14" t="n">
        <v>3</v>
      </c>
      <c r="H2757" s="14" t="s">
        <v>158</v>
      </c>
      <c r="I2757" s="14" t="s">
        <v>811</v>
      </c>
      <c r="J2757" s="15" t="n">
        <f aca="false">IF(B2757="SITE LOSS",IF(D2757=C2757,1,0),IF(B2757="REGION LOSS",IF(E2757=C2757,1,0),0))</f>
        <v>0</v>
      </c>
      <c r="K2757" s="15" t="n">
        <f aca="false">IF(B2757="SITE LOSS",IF(COUNTIFS('Site Dockets'!$B$7:$B$24,C2757,'Site Dockets'!$C$7:$C$24,F2757)&gt;0,1,0),IF(B2757="REGION LOSS",IF(COUNTIFS('Site Dockets'!$E$7:$E$24,C2757,'Site Dockets'!$C$7:$C$24,F2757)&gt;0,1,0),0))</f>
        <v>0</v>
      </c>
      <c r="L2757" s="15" t="n">
        <f aca="false">IF(J2757=1,0,Inputs!$B$11)</f>
        <v>100</v>
      </c>
      <c r="M2757" s="15" t="n">
        <f aca="false">IF(J2757=1,0,Inputs!$B$12)</f>
        <v>75</v>
      </c>
      <c r="N2757" s="15" t="n">
        <f aca="false">IF(J2757=1,0,IF(OR(AND(OR(B2757="SITE LOSS",B2757="REGION LOSS"),K2757=1),AND(B2757="ROLE COMPROMISE",H2757=C2757)),Inputs!$B$13,Inputs!$B$14))</f>
        <v>10</v>
      </c>
      <c r="O2757" s="15" t="n">
        <f aca="false">IF(J2757=1,0,Inputs!$B$13)</f>
        <v>20</v>
      </c>
      <c r="P2757" s="15" t="n">
        <f aca="false">SUM(M2757:N2757)</f>
        <v>85</v>
      </c>
      <c r="Q2757" s="15" t="n">
        <f aca="false">IF(J2757=1,"",L2757-P2757)</f>
        <v>15</v>
      </c>
      <c r="R2757" s="15" t="n">
        <f aca="false">IF(OR(J2757=1,M2757&lt;=Inputs!$B$12),1,0)</f>
        <v>1</v>
      </c>
      <c r="S2757" s="15" t="n">
        <f aca="false">IF(OR(J2757=1,N2757&lt;=O2757),1,0)</f>
        <v>1</v>
      </c>
      <c r="T2757" s="15" t="str">
        <f aca="false">IF(J2757=1,"OFFLINE",IF(AND(Q2757&gt;=Inputs!$B$15,R2757=1,S2757=1,P2757&lt;=L2757),"PASS","FAIL"))</f>
        <v>PASS</v>
      </c>
    </row>
    <row r="2758" customFormat="false" ht="15" hidden="false" customHeight="false" outlineLevel="0" collapsed="false">
      <c r="A2758" s="14" t="s">
        <v>1047</v>
      </c>
      <c r="B2758" s="14" t="s">
        <v>1048</v>
      </c>
      <c r="C2758" s="14" t="s">
        <v>153</v>
      </c>
      <c r="D2758" s="14" t="s">
        <v>180</v>
      </c>
      <c r="E2758" s="14" t="s">
        <v>161</v>
      </c>
      <c r="F2758" s="14" t="s">
        <v>175</v>
      </c>
      <c r="G2758" s="14" t="n">
        <v>3</v>
      </c>
      <c r="H2758" s="14" t="s">
        <v>158</v>
      </c>
      <c r="I2758" s="14" t="s">
        <v>895</v>
      </c>
      <c r="J2758" s="15" t="n">
        <f aca="false">IF(B2758="SITE LOSS",IF(D2758=C2758,1,0),IF(B2758="REGION LOSS",IF(E2758=C2758,1,0),0))</f>
        <v>0</v>
      </c>
      <c r="K2758" s="15" t="n">
        <f aca="false">IF(B2758="SITE LOSS",IF(COUNTIFS('Site Dockets'!$B$7:$B$24,C2758,'Site Dockets'!$C$7:$C$24,F2758)&gt;0,1,0),IF(B2758="REGION LOSS",IF(COUNTIFS('Site Dockets'!$E$7:$E$24,C2758,'Site Dockets'!$C$7:$C$24,F2758)&gt;0,1,0),0))</f>
        <v>0</v>
      </c>
      <c r="L2758" s="15" t="n">
        <f aca="false">IF(J2758=1,0,Inputs!$B$11)</f>
        <v>100</v>
      </c>
      <c r="M2758" s="15" t="n">
        <f aca="false">IF(J2758=1,0,Inputs!$B$12)</f>
        <v>75</v>
      </c>
      <c r="N2758" s="15" t="n">
        <f aca="false">IF(J2758=1,0,IF(OR(AND(OR(B2758="SITE LOSS",B2758="REGION LOSS"),K2758=1),AND(B2758="ROLE COMPROMISE",H2758=C2758)),Inputs!$B$13,Inputs!$B$14))</f>
        <v>10</v>
      </c>
      <c r="O2758" s="15" t="n">
        <f aca="false">IF(J2758=1,0,Inputs!$B$13)</f>
        <v>20</v>
      </c>
      <c r="P2758" s="15" t="n">
        <f aca="false">SUM(M2758:N2758)</f>
        <v>85</v>
      </c>
      <c r="Q2758" s="15" t="n">
        <f aca="false">IF(J2758=1,"",L2758-P2758)</f>
        <v>15</v>
      </c>
      <c r="R2758" s="15" t="n">
        <f aca="false">IF(OR(J2758=1,M2758&lt;=Inputs!$B$12),1,0)</f>
        <v>1</v>
      </c>
      <c r="S2758" s="15" t="n">
        <f aca="false">IF(OR(J2758=1,N2758&lt;=O2758),1,0)</f>
        <v>1</v>
      </c>
      <c r="T2758" s="15" t="str">
        <f aca="false">IF(J2758=1,"OFFLINE",IF(AND(Q2758&gt;=Inputs!$B$15,R2758=1,S2758=1,P2758&lt;=L2758),"PASS","FAIL"))</f>
        <v>PASS</v>
      </c>
    </row>
    <row r="2759" customFormat="false" ht="15" hidden="false" customHeight="false" outlineLevel="0" collapsed="false">
      <c r="A2759" s="14" t="s">
        <v>1047</v>
      </c>
      <c r="B2759" s="14" t="s">
        <v>1048</v>
      </c>
      <c r="C2759" s="14" t="s">
        <v>153</v>
      </c>
      <c r="D2759" s="14" t="s">
        <v>180</v>
      </c>
      <c r="E2759" s="14" t="s">
        <v>161</v>
      </c>
      <c r="F2759" s="14" t="s">
        <v>175</v>
      </c>
      <c r="G2759" s="14" t="n">
        <v>3</v>
      </c>
      <c r="H2759" s="14" t="s">
        <v>158</v>
      </c>
      <c r="I2759" s="14" t="s">
        <v>897</v>
      </c>
      <c r="J2759" s="15" t="n">
        <f aca="false">IF(B2759="SITE LOSS",IF(D2759=C2759,1,0),IF(B2759="REGION LOSS",IF(E2759=C2759,1,0),0))</f>
        <v>0</v>
      </c>
      <c r="K2759" s="15" t="n">
        <f aca="false">IF(B2759="SITE LOSS",IF(COUNTIFS('Site Dockets'!$B$7:$B$24,C2759,'Site Dockets'!$C$7:$C$24,F2759)&gt;0,1,0),IF(B2759="REGION LOSS",IF(COUNTIFS('Site Dockets'!$E$7:$E$24,C2759,'Site Dockets'!$C$7:$C$24,F2759)&gt;0,1,0),0))</f>
        <v>0</v>
      </c>
      <c r="L2759" s="15" t="n">
        <f aca="false">IF(J2759=1,0,Inputs!$B$11)</f>
        <v>100</v>
      </c>
      <c r="M2759" s="15" t="n">
        <f aca="false">IF(J2759=1,0,Inputs!$B$12)</f>
        <v>75</v>
      </c>
      <c r="N2759" s="15" t="n">
        <f aca="false">IF(J2759=1,0,IF(OR(AND(OR(B2759="SITE LOSS",B2759="REGION LOSS"),K2759=1),AND(B2759="ROLE COMPROMISE",H2759=C2759)),Inputs!$B$13,Inputs!$B$14))</f>
        <v>10</v>
      </c>
      <c r="O2759" s="15" t="n">
        <f aca="false">IF(J2759=1,0,Inputs!$B$13)</f>
        <v>20</v>
      </c>
      <c r="P2759" s="15" t="n">
        <f aca="false">SUM(M2759:N2759)</f>
        <v>85</v>
      </c>
      <c r="Q2759" s="15" t="n">
        <f aca="false">IF(J2759=1,"",L2759-P2759)</f>
        <v>15</v>
      </c>
      <c r="R2759" s="15" t="n">
        <f aca="false">IF(OR(J2759=1,M2759&lt;=Inputs!$B$12),1,0)</f>
        <v>1</v>
      </c>
      <c r="S2759" s="15" t="n">
        <f aca="false">IF(OR(J2759=1,N2759&lt;=O2759),1,0)</f>
        <v>1</v>
      </c>
      <c r="T2759" s="15" t="str">
        <f aca="false">IF(J2759=1,"OFFLINE",IF(AND(Q2759&gt;=Inputs!$B$15,R2759=1,S2759=1,P2759&lt;=L2759),"PASS","FAIL"))</f>
        <v>PASS</v>
      </c>
    </row>
    <row r="2760" customFormat="false" ht="15" hidden="false" customHeight="false" outlineLevel="0" collapsed="false">
      <c r="A2760" s="14" t="s">
        <v>1047</v>
      </c>
      <c r="B2760" s="14" t="s">
        <v>1048</v>
      </c>
      <c r="C2760" s="14" t="s">
        <v>153</v>
      </c>
      <c r="D2760" s="14" t="s">
        <v>180</v>
      </c>
      <c r="E2760" s="14" t="s">
        <v>161</v>
      </c>
      <c r="F2760" s="14" t="s">
        <v>175</v>
      </c>
      <c r="G2760" s="14" t="n">
        <v>3</v>
      </c>
      <c r="H2760" s="14" t="s">
        <v>158</v>
      </c>
      <c r="I2760" s="14" t="s">
        <v>899</v>
      </c>
      <c r="J2760" s="15" t="n">
        <f aca="false">IF(B2760="SITE LOSS",IF(D2760=C2760,1,0),IF(B2760="REGION LOSS",IF(E2760=C2760,1,0),0))</f>
        <v>0</v>
      </c>
      <c r="K2760" s="15" t="n">
        <f aca="false">IF(B2760="SITE LOSS",IF(COUNTIFS('Site Dockets'!$B$7:$B$24,C2760,'Site Dockets'!$C$7:$C$24,F2760)&gt;0,1,0),IF(B2760="REGION LOSS",IF(COUNTIFS('Site Dockets'!$E$7:$E$24,C2760,'Site Dockets'!$C$7:$C$24,F2760)&gt;0,1,0),0))</f>
        <v>0</v>
      </c>
      <c r="L2760" s="15" t="n">
        <f aca="false">IF(J2760=1,0,Inputs!$B$11)</f>
        <v>100</v>
      </c>
      <c r="M2760" s="15" t="n">
        <f aca="false">IF(J2760=1,0,Inputs!$B$12)</f>
        <v>75</v>
      </c>
      <c r="N2760" s="15" t="n">
        <f aca="false">IF(J2760=1,0,IF(OR(AND(OR(B2760="SITE LOSS",B2760="REGION LOSS"),K2760=1),AND(B2760="ROLE COMPROMISE",H2760=C2760)),Inputs!$B$13,Inputs!$B$14))</f>
        <v>10</v>
      </c>
      <c r="O2760" s="15" t="n">
        <f aca="false">IF(J2760=1,0,Inputs!$B$13)</f>
        <v>20</v>
      </c>
      <c r="P2760" s="15" t="n">
        <f aca="false">SUM(M2760:N2760)</f>
        <v>85</v>
      </c>
      <c r="Q2760" s="15" t="n">
        <f aca="false">IF(J2760=1,"",L2760-P2760)</f>
        <v>15</v>
      </c>
      <c r="R2760" s="15" t="n">
        <f aca="false">IF(OR(J2760=1,M2760&lt;=Inputs!$B$12),1,0)</f>
        <v>1</v>
      </c>
      <c r="S2760" s="15" t="n">
        <f aca="false">IF(OR(J2760=1,N2760&lt;=O2760),1,0)</f>
        <v>1</v>
      </c>
      <c r="T2760" s="15" t="str">
        <f aca="false">IF(J2760=1,"OFFLINE",IF(AND(Q2760&gt;=Inputs!$B$15,R2760=1,S2760=1,P2760&lt;=L2760),"PASS","FAIL"))</f>
        <v>PASS</v>
      </c>
    </row>
    <row r="2761" customFormat="false" ht="15" hidden="false" customHeight="false" outlineLevel="0" collapsed="false">
      <c r="A2761" s="14" t="s">
        <v>1047</v>
      </c>
      <c r="B2761" s="14" t="s">
        <v>1048</v>
      </c>
      <c r="C2761" s="14" t="s">
        <v>153</v>
      </c>
      <c r="D2761" s="14" t="s">
        <v>182</v>
      </c>
      <c r="E2761" s="14" t="s">
        <v>166</v>
      </c>
      <c r="F2761" s="14" t="s">
        <v>183</v>
      </c>
      <c r="G2761" s="14" t="n">
        <v>1</v>
      </c>
      <c r="H2761" s="14" t="s">
        <v>154</v>
      </c>
      <c r="I2761" s="14" t="s">
        <v>890</v>
      </c>
      <c r="J2761" s="15" t="n">
        <f aca="false">IF(B2761="SITE LOSS",IF(D2761=C2761,1,0),IF(B2761="REGION LOSS",IF(E2761=C2761,1,0),0))</f>
        <v>0</v>
      </c>
      <c r="K2761" s="15" t="n">
        <f aca="false">IF(B2761="SITE LOSS",IF(COUNTIFS('Site Dockets'!$B$7:$B$24,C2761,'Site Dockets'!$C$7:$C$24,F2761)&gt;0,1,0),IF(B2761="REGION LOSS",IF(COUNTIFS('Site Dockets'!$E$7:$E$24,C2761,'Site Dockets'!$C$7:$C$24,F2761)&gt;0,1,0),0))</f>
        <v>0</v>
      </c>
      <c r="L2761" s="15" t="n">
        <f aca="false">IF(J2761=1,0,Inputs!$B$11)</f>
        <v>100</v>
      </c>
      <c r="M2761" s="15" t="n">
        <f aca="false">IF(J2761=1,0,Inputs!$B$12)</f>
        <v>75</v>
      </c>
      <c r="N2761" s="15" t="n">
        <f aca="false">IF(J2761=1,0,IF(OR(AND(OR(B2761="SITE LOSS",B2761="REGION LOSS"),K2761=1),AND(B2761="ROLE COMPROMISE",H2761=C2761)),Inputs!$B$13,Inputs!$B$14))</f>
        <v>10</v>
      </c>
      <c r="O2761" s="15" t="n">
        <f aca="false">IF(J2761=1,0,Inputs!$B$13)</f>
        <v>20</v>
      </c>
      <c r="P2761" s="15" t="n">
        <f aca="false">SUM(M2761:N2761)</f>
        <v>85</v>
      </c>
      <c r="Q2761" s="15" t="n">
        <f aca="false">IF(J2761=1,"",L2761-P2761)</f>
        <v>15</v>
      </c>
      <c r="R2761" s="15" t="n">
        <f aca="false">IF(OR(J2761=1,M2761&lt;=Inputs!$B$12),1,0)</f>
        <v>1</v>
      </c>
      <c r="S2761" s="15" t="n">
        <f aca="false">IF(OR(J2761=1,N2761&lt;=O2761),1,0)</f>
        <v>1</v>
      </c>
      <c r="T2761" s="15" t="str">
        <f aca="false">IF(J2761=1,"OFFLINE",IF(AND(Q2761&gt;=Inputs!$B$15,R2761=1,S2761=1,P2761&lt;=L2761),"PASS","FAIL"))</f>
        <v>PASS</v>
      </c>
    </row>
    <row r="2762" customFormat="false" ht="15" hidden="false" customHeight="false" outlineLevel="0" collapsed="false">
      <c r="A2762" s="14" t="s">
        <v>1047</v>
      </c>
      <c r="B2762" s="14" t="s">
        <v>1048</v>
      </c>
      <c r="C2762" s="14" t="s">
        <v>153</v>
      </c>
      <c r="D2762" s="14" t="s">
        <v>182</v>
      </c>
      <c r="E2762" s="14" t="s">
        <v>166</v>
      </c>
      <c r="F2762" s="14" t="s">
        <v>183</v>
      </c>
      <c r="G2762" s="14" t="n">
        <v>1</v>
      </c>
      <c r="H2762" s="14" t="s">
        <v>154</v>
      </c>
      <c r="I2762" s="14" t="s">
        <v>892</v>
      </c>
      <c r="J2762" s="15" t="n">
        <f aca="false">IF(B2762="SITE LOSS",IF(D2762=C2762,1,0),IF(B2762="REGION LOSS",IF(E2762=C2762,1,0),0))</f>
        <v>0</v>
      </c>
      <c r="K2762" s="15" t="n">
        <f aca="false">IF(B2762="SITE LOSS",IF(COUNTIFS('Site Dockets'!$B$7:$B$24,C2762,'Site Dockets'!$C$7:$C$24,F2762)&gt;0,1,0),IF(B2762="REGION LOSS",IF(COUNTIFS('Site Dockets'!$E$7:$E$24,C2762,'Site Dockets'!$C$7:$C$24,F2762)&gt;0,1,0),0))</f>
        <v>0</v>
      </c>
      <c r="L2762" s="15" t="n">
        <f aca="false">IF(J2762=1,0,Inputs!$B$11)</f>
        <v>100</v>
      </c>
      <c r="M2762" s="15" t="n">
        <f aca="false">IF(J2762=1,0,Inputs!$B$12)</f>
        <v>75</v>
      </c>
      <c r="N2762" s="15" t="n">
        <f aca="false">IF(J2762=1,0,IF(OR(AND(OR(B2762="SITE LOSS",B2762="REGION LOSS"),K2762=1),AND(B2762="ROLE COMPROMISE",H2762=C2762)),Inputs!$B$13,Inputs!$B$14))</f>
        <v>10</v>
      </c>
      <c r="O2762" s="15" t="n">
        <f aca="false">IF(J2762=1,0,Inputs!$B$13)</f>
        <v>20</v>
      </c>
      <c r="P2762" s="15" t="n">
        <f aca="false">SUM(M2762:N2762)</f>
        <v>85</v>
      </c>
      <c r="Q2762" s="15" t="n">
        <f aca="false">IF(J2762=1,"",L2762-P2762)</f>
        <v>15</v>
      </c>
      <c r="R2762" s="15" t="n">
        <f aca="false">IF(OR(J2762=1,M2762&lt;=Inputs!$B$12),1,0)</f>
        <v>1</v>
      </c>
      <c r="S2762" s="15" t="n">
        <f aca="false">IF(OR(J2762=1,N2762&lt;=O2762),1,0)</f>
        <v>1</v>
      </c>
      <c r="T2762" s="15" t="str">
        <f aca="false">IF(J2762=1,"OFFLINE",IF(AND(Q2762&gt;=Inputs!$B$15,R2762=1,S2762=1,P2762&lt;=L2762),"PASS","FAIL"))</f>
        <v>PASS</v>
      </c>
    </row>
    <row r="2763" customFormat="false" ht="15" hidden="false" customHeight="false" outlineLevel="0" collapsed="false">
      <c r="A2763" s="14" t="s">
        <v>1047</v>
      </c>
      <c r="B2763" s="14" t="s">
        <v>1048</v>
      </c>
      <c r="C2763" s="14" t="s">
        <v>153</v>
      </c>
      <c r="D2763" s="14" t="s">
        <v>182</v>
      </c>
      <c r="E2763" s="14" t="s">
        <v>166</v>
      </c>
      <c r="F2763" s="14" t="s">
        <v>183</v>
      </c>
      <c r="G2763" s="14" t="n">
        <v>1</v>
      </c>
      <c r="H2763" s="14" t="s">
        <v>154</v>
      </c>
      <c r="I2763" s="14" t="s">
        <v>811</v>
      </c>
      <c r="J2763" s="15" t="n">
        <f aca="false">IF(B2763="SITE LOSS",IF(D2763=C2763,1,0),IF(B2763="REGION LOSS",IF(E2763=C2763,1,0),0))</f>
        <v>0</v>
      </c>
      <c r="K2763" s="15" t="n">
        <f aca="false">IF(B2763="SITE LOSS",IF(COUNTIFS('Site Dockets'!$B$7:$B$24,C2763,'Site Dockets'!$C$7:$C$24,F2763)&gt;0,1,0),IF(B2763="REGION LOSS",IF(COUNTIFS('Site Dockets'!$E$7:$E$24,C2763,'Site Dockets'!$C$7:$C$24,F2763)&gt;0,1,0),0))</f>
        <v>0</v>
      </c>
      <c r="L2763" s="15" t="n">
        <f aca="false">IF(J2763=1,0,Inputs!$B$11)</f>
        <v>100</v>
      </c>
      <c r="M2763" s="15" t="n">
        <f aca="false">IF(J2763=1,0,Inputs!$B$12)</f>
        <v>75</v>
      </c>
      <c r="N2763" s="15" t="n">
        <f aca="false">IF(J2763=1,0,IF(OR(AND(OR(B2763="SITE LOSS",B2763="REGION LOSS"),K2763=1),AND(B2763="ROLE COMPROMISE",H2763=C2763)),Inputs!$B$13,Inputs!$B$14))</f>
        <v>10</v>
      </c>
      <c r="O2763" s="15" t="n">
        <f aca="false">IF(J2763=1,0,Inputs!$B$13)</f>
        <v>20</v>
      </c>
      <c r="P2763" s="15" t="n">
        <f aca="false">SUM(M2763:N2763)</f>
        <v>85</v>
      </c>
      <c r="Q2763" s="15" t="n">
        <f aca="false">IF(J2763=1,"",L2763-P2763)</f>
        <v>15</v>
      </c>
      <c r="R2763" s="15" t="n">
        <f aca="false">IF(OR(J2763=1,M2763&lt;=Inputs!$B$12),1,0)</f>
        <v>1</v>
      </c>
      <c r="S2763" s="15" t="n">
        <f aca="false">IF(OR(J2763=1,N2763&lt;=O2763),1,0)</f>
        <v>1</v>
      </c>
      <c r="T2763" s="15" t="str">
        <f aca="false">IF(J2763=1,"OFFLINE",IF(AND(Q2763&gt;=Inputs!$B$15,R2763=1,S2763=1,P2763&lt;=L2763),"PASS","FAIL"))</f>
        <v>PASS</v>
      </c>
    </row>
    <row r="2764" customFormat="false" ht="15" hidden="false" customHeight="false" outlineLevel="0" collapsed="false">
      <c r="A2764" s="14" t="s">
        <v>1047</v>
      </c>
      <c r="B2764" s="14" t="s">
        <v>1048</v>
      </c>
      <c r="C2764" s="14" t="s">
        <v>153</v>
      </c>
      <c r="D2764" s="14" t="s">
        <v>182</v>
      </c>
      <c r="E2764" s="14" t="s">
        <v>166</v>
      </c>
      <c r="F2764" s="14" t="s">
        <v>183</v>
      </c>
      <c r="G2764" s="14" t="n">
        <v>1</v>
      </c>
      <c r="H2764" s="14" t="s">
        <v>154</v>
      </c>
      <c r="I2764" s="14" t="s">
        <v>895</v>
      </c>
      <c r="J2764" s="15" t="n">
        <f aca="false">IF(B2764="SITE LOSS",IF(D2764=C2764,1,0),IF(B2764="REGION LOSS",IF(E2764=C2764,1,0),0))</f>
        <v>0</v>
      </c>
      <c r="K2764" s="15" t="n">
        <f aca="false">IF(B2764="SITE LOSS",IF(COUNTIFS('Site Dockets'!$B$7:$B$24,C2764,'Site Dockets'!$C$7:$C$24,F2764)&gt;0,1,0),IF(B2764="REGION LOSS",IF(COUNTIFS('Site Dockets'!$E$7:$E$24,C2764,'Site Dockets'!$C$7:$C$24,F2764)&gt;0,1,0),0))</f>
        <v>0</v>
      </c>
      <c r="L2764" s="15" t="n">
        <f aca="false">IF(J2764=1,0,Inputs!$B$11)</f>
        <v>100</v>
      </c>
      <c r="M2764" s="15" t="n">
        <f aca="false">IF(J2764=1,0,Inputs!$B$12)</f>
        <v>75</v>
      </c>
      <c r="N2764" s="15" t="n">
        <f aca="false">IF(J2764=1,0,IF(OR(AND(OR(B2764="SITE LOSS",B2764="REGION LOSS"),K2764=1),AND(B2764="ROLE COMPROMISE",H2764=C2764)),Inputs!$B$13,Inputs!$B$14))</f>
        <v>10</v>
      </c>
      <c r="O2764" s="15" t="n">
        <f aca="false">IF(J2764=1,0,Inputs!$B$13)</f>
        <v>20</v>
      </c>
      <c r="P2764" s="15" t="n">
        <f aca="false">SUM(M2764:N2764)</f>
        <v>85</v>
      </c>
      <c r="Q2764" s="15" t="n">
        <f aca="false">IF(J2764=1,"",L2764-P2764)</f>
        <v>15</v>
      </c>
      <c r="R2764" s="15" t="n">
        <f aca="false">IF(OR(J2764=1,M2764&lt;=Inputs!$B$12),1,0)</f>
        <v>1</v>
      </c>
      <c r="S2764" s="15" t="n">
        <f aca="false">IF(OR(J2764=1,N2764&lt;=O2764),1,0)</f>
        <v>1</v>
      </c>
      <c r="T2764" s="15" t="str">
        <f aca="false">IF(J2764=1,"OFFLINE",IF(AND(Q2764&gt;=Inputs!$B$15,R2764=1,S2764=1,P2764&lt;=L2764),"PASS","FAIL"))</f>
        <v>PASS</v>
      </c>
    </row>
    <row r="2765" customFormat="false" ht="15" hidden="false" customHeight="false" outlineLevel="0" collapsed="false">
      <c r="A2765" s="14" t="s">
        <v>1047</v>
      </c>
      <c r="B2765" s="14" t="s">
        <v>1048</v>
      </c>
      <c r="C2765" s="14" t="s">
        <v>153</v>
      </c>
      <c r="D2765" s="14" t="s">
        <v>182</v>
      </c>
      <c r="E2765" s="14" t="s">
        <v>166</v>
      </c>
      <c r="F2765" s="14" t="s">
        <v>183</v>
      </c>
      <c r="G2765" s="14" t="n">
        <v>1</v>
      </c>
      <c r="H2765" s="14" t="s">
        <v>154</v>
      </c>
      <c r="I2765" s="14" t="s">
        <v>897</v>
      </c>
      <c r="J2765" s="15" t="n">
        <f aca="false">IF(B2765="SITE LOSS",IF(D2765=C2765,1,0),IF(B2765="REGION LOSS",IF(E2765=C2765,1,0),0))</f>
        <v>0</v>
      </c>
      <c r="K2765" s="15" t="n">
        <f aca="false">IF(B2765="SITE LOSS",IF(COUNTIFS('Site Dockets'!$B$7:$B$24,C2765,'Site Dockets'!$C$7:$C$24,F2765)&gt;0,1,0),IF(B2765="REGION LOSS",IF(COUNTIFS('Site Dockets'!$E$7:$E$24,C2765,'Site Dockets'!$C$7:$C$24,F2765)&gt;0,1,0),0))</f>
        <v>0</v>
      </c>
      <c r="L2765" s="15" t="n">
        <f aca="false">IF(J2765=1,0,Inputs!$B$11)</f>
        <v>100</v>
      </c>
      <c r="M2765" s="15" t="n">
        <f aca="false">IF(J2765=1,0,Inputs!$B$12)</f>
        <v>75</v>
      </c>
      <c r="N2765" s="15" t="n">
        <f aca="false">IF(J2765=1,0,IF(OR(AND(OR(B2765="SITE LOSS",B2765="REGION LOSS"),K2765=1),AND(B2765="ROLE COMPROMISE",H2765=C2765)),Inputs!$B$13,Inputs!$B$14))</f>
        <v>10</v>
      </c>
      <c r="O2765" s="15" t="n">
        <f aca="false">IF(J2765=1,0,Inputs!$B$13)</f>
        <v>20</v>
      </c>
      <c r="P2765" s="15" t="n">
        <f aca="false">SUM(M2765:N2765)</f>
        <v>85</v>
      </c>
      <c r="Q2765" s="15" t="n">
        <f aca="false">IF(J2765=1,"",L2765-P2765)</f>
        <v>15</v>
      </c>
      <c r="R2765" s="15" t="n">
        <f aca="false">IF(OR(J2765=1,M2765&lt;=Inputs!$B$12),1,0)</f>
        <v>1</v>
      </c>
      <c r="S2765" s="15" t="n">
        <f aca="false">IF(OR(J2765=1,N2765&lt;=O2765),1,0)</f>
        <v>1</v>
      </c>
      <c r="T2765" s="15" t="str">
        <f aca="false">IF(J2765=1,"OFFLINE",IF(AND(Q2765&gt;=Inputs!$B$15,R2765=1,S2765=1,P2765&lt;=L2765),"PASS","FAIL"))</f>
        <v>PASS</v>
      </c>
    </row>
    <row r="2766" customFormat="false" ht="15" hidden="false" customHeight="false" outlineLevel="0" collapsed="false">
      <c r="A2766" s="14" t="s">
        <v>1047</v>
      </c>
      <c r="B2766" s="14" t="s">
        <v>1048</v>
      </c>
      <c r="C2766" s="14" t="s">
        <v>153</v>
      </c>
      <c r="D2766" s="14" t="s">
        <v>182</v>
      </c>
      <c r="E2766" s="14" t="s">
        <v>166</v>
      </c>
      <c r="F2766" s="14" t="s">
        <v>183</v>
      </c>
      <c r="G2766" s="14" t="n">
        <v>1</v>
      </c>
      <c r="H2766" s="14" t="s">
        <v>154</v>
      </c>
      <c r="I2766" s="14" t="s">
        <v>899</v>
      </c>
      <c r="J2766" s="15" t="n">
        <f aca="false">IF(B2766="SITE LOSS",IF(D2766=C2766,1,0),IF(B2766="REGION LOSS",IF(E2766=C2766,1,0),0))</f>
        <v>0</v>
      </c>
      <c r="K2766" s="15" t="n">
        <f aca="false">IF(B2766="SITE LOSS",IF(COUNTIFS('Site Dockets'!$B$7:$B$24,C2766,'Site Dockets'!$C$7:$C$24,F2766)&gt;0,1,0),IF(B2766="REGION LOSS",IF(COUNTIFS('Site Dockets'!$E$7:$E$24,C2766,'Site Dockets'!$C$7:$C$24,F2766)&gt;0,1,0),0))</f>
        <v>0</v>
      </c>
      <c r="L2766" s="15" t="n">
        <f aca="false">IF(J2766=1,0,Inputs!$B$11)</f>
        <v>100</v>
      </c>
      <c r="M2766" s="15" t="n">
        <f aca="false">IF(J2766=1,0,Inputs!$B$12)</f>
        <v>75</v>
      </c>
      <c r="N2766" s="15" t="n">
        <f aca="false">IF(J2766=1,0,IF(OR(AND(OR(B2766="SITE LOSS",B2766="REGION LOSS"),K2766=1),AND(B2766="ROLE COMPROMISE",H2766=C2766)),Inputs!$B$13,Inputs!$B$14))</f>
        <v>10</v>
      </c>
      <c r="O2766" s="15" t="n">
        <f aca="false">IF(J2766=1,0,Inputs!$B$13)</f>
        <v>20</v>
      </c>
      <c r="P2766" s="15" t="n">
        <f aca="false">SUM(M2766:N2766)</f>
        <v>85</v>
      </c>
      <c r="Q2766" s="15" t="n">
        <f aca="false">IF(J2766=1,"",L2766-P2766)</f>
        <v>15</v>
      </c>
      <c r="R2766" s="15" t="n">
        <f aca="false">IF(OR(J2766=1,M2766&lt;=Inputs!$B$12),1,0)</f>
        <v>1</v>
      </c>
      <c r="S2766" s="15" t="n">
        <f aca="false">IF(OR(J2766=1,N2766&lt;=O2766),1,0)</f>
        <v>1</v>
      </c>
      <c r="T2766" s="15" t="str">
        <f aca="false">IF(J2766=1,"OFFLINE",IF(AND(Q2766&gt;=Inputs!$B$15,R2766=1,S2766=1,P2766&lt;=L2766),"PASS","FAIL"))</f>
        <v>PASS</v>
      </c>
    </row>
    <row r="2767" customFormat="false" ht="15" hidden="false" customHeight="false" outlineLevel="0" collapsed="false">
      <c r="A2767" s="14" t="s">
        <v>1047</v>
      </c>
      <c r="B2767" s="14" t="s">
        <v>1048</v>
      </c>
      <c r="C2767" s="14" t="s">
        <v>153</v>
      </c>
      <c r="D2767" s="14" t="s">
        <v>186</v>
      </c>
      <c r="E2767" s="14" t="s">
        <v>157</v>
      </c>
      <c r="F2767" s="14" t="s">
        <v>183</v>
      </c>
      <c r="G2767" s="14" t="n">
        <v>2</v>
      </c>
      <c r="H2767" s="14" t="s">
        <v>153</v>
      </c>
      <c r="I2767" s="14" t="s">
        <v>890</v>
      </c>
      <c r="J2767" s="15" t="n">
        <f aca="false">IF(B2767="SITE LOSS",IF(D2767=C2767,1,0),IF(B2767="REGION LOSS",IF(E2767=C2767,1,0),0))</f>
        <v>0</v>
      </c>
      <c r="K2767" s="15" t="n">
        <f aca="false">IF(B2767="SITE LOSS",IF(COUNTIFS('Site Dockets'!$B$7:$B$24,C2767,'Site Dockets'!$C$7:$C$24,F2767)&gt;0,1,0),IF(B2767="REGION LOSS",IF(COUNTIFS('Site Dockets'!$E$7:$E$24,C2767,'Site Dockets'!$C$7:$C$24,F2767)&gt;0,1,0),0))</f>
        <v>0</v>
      </c>
      <c r="L2767" s="15" t="n">
        <f aca="false">IF(J2767=1,0,Inputs!$B$11)</f>
        <v>100</v>
      </c>
      <c r="M2767" s="15" t="n">
        <f aca="false">IF(J2767=1,0,Inputs!$B$12)</f>
        <v>75</v>
      </c>
      <c r="N2767" s="15" t="n">
        <f aca="false">IF(J2767=1,0,IF(OR(AND(OR(B2767="SITE LOSS",B2767="REGION LOSS"),K2767=1),AND(B2767="ROLE COMPROMISE",H2767=C2767)),Inputs!$B$13,Inputs!$B$14))</f>
        <v>20</v>
      </c>
      <c r="O2767" s="15" t="n">
        <f aca="false">IF(J2767=1,0,Inputs!$B$13)</f>
        <v>20</v>
      </c>
      <c r="P2767" s="15" t="n">
        <f aca="false">SUM(M2767:N2767)</f>
        <v>95</v>
      </c>
      <c r="Q2767" s="15" t="n">
        <f aca="false">IF(J2767=1,"",L2767-P2767)</f>
        <v>5</v>
      </c>
      <c r="R2767" s="15" t="n">
        <f aca="false">IF(OR(J2767=1,M2767&lt;=Inputs!$B$12),1,0)</f>
        <v>1</v>
      </c>
      <c r="S2767" s="15" t="n">
        <f aca="false">IF(OR(J2767=1,N2767&lt;=O2767),1,0)</f>
        <v>1</v>
      </c>
      <c r="T2767" s="15" t="str">
        <f aca="false">IF(J2767=1,"OFFLINE",IF(AND(Q2767&gt;=Inputs!$B$15,R2767=1,S2767=1,P2767&lt;=L2767),"PASS","FAIL"))</f>
        <v>PASS</v>
      </c>
    </row>
    <row r="2768" customFormat="false" ht="15" hidden="false" customHeight="false" outlineLevel="0" collapsed="false">
      <c r="A2768" s="14" t="s">
        <v>1047</v>
      </c>
      <c r="B2768" s="14" t="s">
        <v>1048</v>
      </c>
      <c r="C2768" s="14" t="s">
        <v>153</v>
      </c>
      <c r="D2768" s="14" t="s">
        <v>186</v>
      </c>
      <c r="E2768" s="14" t="s">
        <v>157</v>
      </c>
      <c r="F2768" s="14" t="s">
        <v>183</v>
      </c>
      <c r="G2768" s="14" t="n">
        <v>2</v>
      </c>
      <c r="H2768" s="14" t="s">
        <v>153</v>
      </c>
      <c r="I2768" s="14" t="s">
        <v>892</v>
      </c>
      <c r="J2768" s="15" t="n">
        <f aca="false">IF(B2768="SITE LOSS",IF(D2768=C2768,1,0),IF(B2768="REGION LOSS",IF(E2768=C2768,1,0),0))</f>
        <v>0</v>
      </c>
      <c r="K2768" s="15" t="n">
        <f aca="false">IF(B2768="SITE LOSS",IF(COUNTIFS('Site Dockets'!$B$7:$B$24,C2768,'Site Dockets'!$C$7:$C$24,F2768)&gt;0,1,0),IF(B2768="REGION LOSS",IF(COUNTIFS('Site Dockets'!$E$7:$E$24,C2768,'Site Dockets'!$C$7:$C$24,F2768)&gt;0,1,0),0))</f>
        <v>0</v>
      </c>
      <c r="L2768" s="15" t="n">
        <f aca="false">IF(J2768=1,0,Inputs!$B$11)</f>
        <v>100</v>
      </c>
      <c r="M2768" s="15" t="n">
        <f aca="false">IF(J2768=1,0,Inputs!$B$12)</f>
        <v>75</v>
      </c>
      <c r="N2768" s="15" t="n">
        <f aca="false">IF(J2768=1,0,IF(OR(AND(OR(B2768="SITE LOSS",B2768="REGION LOSS"),K2768=1),AND(B2768="ROLE COMPROMISE",H2768=C2768)),Inputs!$B$13,Inputs!$B$14))</f>
        <v>20</v>
      </c>
      <c r="O2768" s="15" t="n">
        <f aca="false">IF(J2768=1,0,Inputs!$B$13)</f>
        <v>20</v>
      </c>
      <c r="P2768" s="15" t="n">
        <f aca="false">SUM(M2768:N2768)</f>
        <v>95</v>
      </c>
      <c r="Q2768" s="15" t="n">
        <f aca="false">IF(J2768=1,"",L2768-P2768)</f>
        <v>5</v>
      </c>
      <c r="R2768" s="15" t="n">
        <f aca="false">IF(OR(J2768=1,M2768&lt;=Inputs!$B$12),1,0)</f>
        <v>1</v>
      </c>
      <c r="S2768" s="15" t="n">
        <f aca="false">IF(OR(J2768=1,N2768&lt;=O2768),1,0)</f>
        <v>1</v>
      </c>
      <c r="T2768" s="15" t="str">
        <f aca="false">IF(J2768=1,"OFFLINE",IF(AND(Q2768&gt;=Inputs!$B$15,R2768=1,S2768=1,P2768&lt;=L2768),"PASS","FAIL"))</f>
        <v>PASS</v>
      </c>
    </row>
    <row r="2769" customFormat="false" ht="15" hidden="false" customHeight="false" outlineLevel="0" collapsed="false">
      <c r="A2769" s="14" t="s">
        <v>1047</v>
      </c>
      <c r="B2769" s="14" t="s">
        <v>1048</v>
      </c>
      <c r="C2769" s="14" t="s">
        <v>153</v>
      </c>
      <c r="D2769" s="14" t="s">
        <v>186</v>
      </c>
      <c r="E2769" s="14" t="s">
        <v>157</v>
      </c>
      <c r="F2769" s="14" t="s">
        <v>183</v>
      </c>
      <c r="G2769" s="14" t="n">
        <v>2</v>
      </c>
      <c r="H2769" s="14" t="s">
        <v>153</v>
      </c>
      <c r="I2769" s="14" t="s">
        <v>811</v>
      </c>
      <c r="J2769" s="15" t="n">
        <f aca="false">IF(B2769="SITE LOSS",IF(D2769=C2769,1,0),IF(B2769="REGION LOSS",IF(E2769=C2769,1,0),0))</f>
        <v>0</v>
      </c>
      <c r="K2769" s="15" t="n">
        <f aca="false">IF(B2769="SITE LOSS",IF(COUNTIFS('Site Dockets'!$B$7:$B$24,C2769,'Site Dockets'!$C$7:$C$24,F2769)&gt;0,1,0),IF(B2769="REGION LOSS",IF(COUNTIFS('Site Dockets'!$E$7:$E$24,C2769,'Site Dockets'!$C$7:$C$24,F2769)&gt;0,1,0),0))</f>
        <v>0</v>
      </c>
      <c r="L2769" s="15" t="n">
        <f aca="false">IF(J2769=1,0,Inputs!$B$11)</f>
        <v>100</v>
      </c>
      <c r="M2769" s="15" t="n">
        <f aca="false">IF(J2769=1,0,Inputs!$B$12)</f>
        <v>75</v>
      </c>
      <c r="N2769" s="15" t="n">
        <f aca="false">IF(J2769=1,0,IF(OR(AND(OR(B2769="SITE LOSS",B2769="REGION LOSS"),K2769=1),AND(B2769="ROLE COMPROMISE",H2769=C2769)),Inputs!$B$13,Inputs!$B$14))</f>
        <v>20</v>
      </c>
      <c r="O2769" s="15" t="n">
        <f aca="false">IF(J2769=1,0,Inputs!$B$13)</f>
        <v>20</v>
      </c>
      <c r="P2769" s="15" t="n">
        <f aca="false">SUM(M2769:N2769)</f>
        <v>95</v>
      </c>
      <c r="Q2769" s="15" t="n">
        <f aca="false">IF(J2769=1,"",L2769-P2769)</f>
        <v>5</v>
      </c>
      <c r="R2769" s="15" t="n">
        <f aca="false">IF(OR(J2769=1,M2769&lt;=Inputs!$B$12),1,0)</f>
        <v>1</v>
      </c>
      <c r="S2769" s="15" t="n">
        <f aca="false">IF(OR(J2769=1,N2769&lt;=O2769),1,0)</f>
        <v>1</v>
      </c>
      <c r="T2769" s="15" t="str">
        <f aca="false">IF(J2769=1,"OFFLINE",IF(AND(Q2769&gt;=Inputs!$B$15,R2769=1,S2769=1,P2769&lt;=L2769),"PASS","FAIL"))</f>
        <v>PASS</v>
      </c>
    </row>
    <row r="2770" customFormat="false" ht="15" hidden="false" customHeight="false" outlineLevel="0" collapsed="false">
      <c r="A2770" s="14" t="s">
        <v>1047</v>
      </c>
      <c r="B2770" s="14" t="s">
        <v>1048</v>
      </c>
      <c r="C2770" s="14" t="s">
        <v>153</v>
      </c>
      <c r="D2770" s="14" t="s">
        <v>186</v>
      </c>
      <c r="E2770" s="14" t="s">
        <v>157</v>
      </c>
      <c r="F2770" s="14" t="s">
        <v>183</v>
      </c>
      <c r="G2770" s="14" t="n">
        <v>2</v>
      </c>
      <c r="H2770" s="14" t="s">
        <v>153</v>
      </c>
      <c r="I2770" s="14" t="s">
        <v>895</v>
      </c>
      <c r="J2770" s="15" t="n">
        <f aca="false">IF(B2770="SITE LOSS",IF(D2770=C2770,1,0),IF(B2770="REGION LOSS",IF(E2770=C2770,1,0),0))</f>
        <v>0</v>
      </c>
      <c r="K2770" s="15" t="n">
        <f aca="false">IF(B2770="SITE LOSS",IF(COUNTIFS('Site Dockets'!$B$7:$B$24,C2770,'Site Dockets'!$C$7:$C$24,F2770)&gt;0,1,0),IF(B2770="REGION LOSS",IF(COUNTIFS('Site Dockets'!$E$7:$E$24,C2770,'Site Dockets'!$C$7:$C$24,F2770)&gt;0,1,0),0))</f>
        <v>0</v>
      </c>
      <c r="L2770" s="15" t="n">
        <f aca="false">IF(J2770=1,0,Inputs!$B$11)</f>
        <v>100</v>
      </c>
      <c r="M2770" s="15" t="n">
        <f aca="false">IF(J2770=1,0,Inputs!$B$12)</f>
        <v>75</v>
      </c>
      <c r="N2770" s="15" t="n">
        <f aca="false">IF(J2770=1,0,IF(OR(AND(OR(B2770="SITE LOSS",B2770="REGION LOSS"),K2770=1),AND(B2770="ROLE COMPROMISE",H2770=C2770)),Inputs!$B$13,Inputs!$B$14))</f>
        <v>20</v>
      </c>
      <c r="O2770" s="15" t="n">
        <f aca="false">IF(J2770=1,0,Inputs!$B$13)</f>
        <v>20</v>
      </c>
      <c r="P2770" s="15" t="n">
        <f aca="false">SUM(M2770:N2770)</f>
        <v>95</v>
      </c>
      <c r="Q2770" s="15" t="n">
        <f aca="false">IF(J2770=1,"",L2770-P2770)</f>
        <v>5</v>
      </c>
      <c r="R2770" s="15" t="n">
        <f aca="false">IF(OR(J2770=1,M2770&lt;=Inputs!$B$12),1,0)</f>
        <v>1</v>
      </c>
      <c r="S2770" s="15" t="n">
        <f aca="false">IF(OR(J2770=1,N2770&lt;=O2770),1,0)</f>
        <v>1</v>
      </c>
      <c r="T2770" s="15" t="str">
        <f aca="false">IF(J2770=1,"OFFLINE",IF(AND(Q2770&gt;=Inputs!$B$15,R2770=1,S2770=1,P2770&lt;=L2770),"PASS","FAIL"))</f>
        <v>PASS</v>
      </c>
    </row>
    <row r="2771" customFormat="false" ht="15" hidden="false" customHeight="false" outlineLevel="0" collapsed="false">
      <c r="A2771" s="14" t="s">
        <v>1047</v>
      </c>
      <c r="B2771" s="14" t="s">
        <v>1048</v>
      </c>
      <c r="C2771" s="14" t="s">
        <v>153</v>
      </c>
      <c r="D2771" s="14" t="s">
        <v>186</v>
      </c>
      <c r="E2771" s="14" t="s">
        <v>157</v>
      </c>
      <c r="F2771" s="14" t="s">
        <v>183</v>
      </c>
      <c r="G2771" s="14" t="n">
        <v>2</v>
      </c>
      <c r="H2771" s="14" t="s">
        <v>153</v>
      </c>
      <c r="I2771" s="14" t="s">
        <v>897</v>
      </c>
      <c r="J2771" s="15" t="n">
        <f aca="false">IF(B2771="SITE LOSS",IF(D2771=C2771,1,0),IF(B2771="REGION LOSS",IF(E2771=C2771,1,0),0))</f>
        <v>0</v>
      </c>
      <c r="K2771" s="15" t="n">
        <f aca="false">IF(B2771="SITE LOSS",IF(COUNTIFS('Site Dockets'!$B$7:$B$24,C2771,'Site Dockets'!$C$7:$C$24,F2771)&gt;0,1,0),IF(B2771="REGION LOSS",IF(COUNTIFS('Site Dockets'!$E$7:$E$24,C2771,'Site Dockets'!$C$7:$C$24,F2771)&gt;0,1,0),0))</f>
        <v>0</v>
      </c>
      <c r="L2771" s="15" t="n">
        <f aca="false">IF(J2771=1,0,Inputs!$B$11)</f>
        <v>100</v>
      </c>
      <c r="M2771" s="15" t="n">
        <f aca="false">IF(J2771=1,0,Inputs!$B$12)</f>
        <v>75</v>
      </c>
      <c r="N2771" s="15" t="n">
        <f aca="false">IF(J2771=1,0,IF(OR(AND(OR(B2771="SITE LOSS",B2771="REGION LOSS"),K2771=1),AND(B2771="ROLE COMPROMISE",H2771=C2771)),Inputs!$B$13,Inputs!$B$14))</f>
        <v>20</v>
      </c>
      <c r="O2771" s="15" t="n">
        <f aca="false">IF(J2771=1,0,Inputs!$B$13)</f>
        <v>20</v>
      </c>
      <c r="P2771" s="15" t="n">
        <f aca="false">SUM(M2771:N2771)</f>
        <v>95</v>
      </c>
      <c r="Q2771" s="15" t="n">
        <f aca="false">IF(J2771=1,"",L2771-P2771)</f>
        <v>5</v>
      </c>
      <c r="R2771" s="15" t="n">
        <f aca="false">IF(OR(J2771=1,M2771&lt;=Inputs!$B$12),1,0)</f>
        <v>1</v>
      </c>
      <c r="S2771" s="15" t="n">
        <f aca="false">IF(OR(J2771=1,N2771&lt;=O2771),1,0)</f>
        <v>1</v>
      </c>
      <c r="T2771" s="15" t="str">
        <f aca="false">IF(J2771=1,"OFFLINE",IF(AND(Q2771&gt;=Inputs!$B$15,R2771=1,S2771=1,P2771&lt;=L2771),"PASS","FAIL"))</f>
        <v>PASS</v>
      </c>
    </row>
    <row r="2772" customFormat="false" ht="15" hidden="false" customHeight="false" outlineLevel="0" collapsed="false">
      <c r="A2772" s="14" t="s">
        <v>1047</v>
      </c>
      <c r="B2772" s="14" t="s">
        <v>1048</v>
      </c>
      <c r="C2772" s="14" t="s">
        <v>153</v>
      </c>
      <c r="D2772" s="14" t="s">
        <v>186</v>
      </c>
      <c r="E2772" s="14" t="s">
        <v>157</v>
      </c>
      <c r="F2772" s="14" t="s">
        <v>183</v>
      </c>
      <c r="G2772" s="14" t="n">
        <v>2</v>
      </c>
      <c r="H2772" s="14" t="s">
        <v>153</v>
      </c>
      <c r="I2772" s="14" t="s">
        <v>899</v>
      </c>
      <c r="J2772" s="15" t="n">
        <f aca="false">IF(B2772="SITE LOSS",IF(D2772=C2772,1,0),IF(B2772="REGION LOSS",IF(E2772=C2772,1,0),0))</f>
        <v>0</v>
      </c>
      <c r="K2772" s="15" t="n">
        <f aca="false">IF(B2772="SITE LOSS",IF(COUNTIFS('Site Dockets'!$B$7:$B$24,C2772,'Site Dockets'!$C$7:$C$24,F2772)&gt;0,1,0),IF(B2772="REGION LOSS",IF(COUNTIFS('Site Dockets'!$E$7:$E$24,C2772,'Site Dockets'!$C$7:$C$24,F2772)&gt;0,1,0),0))</f>
        <v>0</v>
      </c>
      <c r="L2772" s="15" t="n">
        <f aca="false">IF(J2772=1,0,Inputs!$B$11)</f>
        <v>100</v>
      </c>
      <c r="M2772" s="15" t="n">
        <f aca="false">IF(J2772=1,0,Inputs!$B$12)</f>
        <v>75</v>
      </c>
      <c r="N2772" s="15" t="n">
        <f aca="false">IF(J2772=1,0,IF(OR(AND(OR(B2772="SITE LOSS",B2772="REGION LOSS"),K2772=1),AND(B2772="ROLE COMPROMISE",H2772=C2772)),Inputs!$B$13,Inputs!$B$14))</f>
        <v>20</v>
      </c>
      <c r="O2772" s="15" t="n">
        <f aca="false">IF(J2772=1,0,Inputs!$B$13)</f>
        <v>20</v>
      </c>
      <c r="P2772" s="15" t="n">
        <f aca="false">SUM(M2772:N2772)</f>
        <v>95</v>
      </c>
      <c r="Q2772" s="15" t="n">
        <f aca="false">IF(J2772=1,"",L2772-P2772)</f>
        <v>5</v>
      </c>
      <c r="R2772" s="15" t="n">
        <f aca="false">IF(OR(J2772=1,M2772&lt;=Inputs!$B$12),1,0)</f>
        <v>1</v>
      </c>
      <c r="S2772" s="15" t="n">
        <f aca="false">IF(OR(J2772=1,N2772&lt;=O2772),1,0)</f>
        <v>1</v>
      </c>
      <c r="T2772" s="15" t="str">
        <f aca="false">IF(J2772=1,"OFFLINE",IF(AND(Q2772&gt;=Inputs!$B$15,R2772=1,S2772=1,P2772&lt;=L2772),"PASS","FAIL"))</f>
        <v>PASS</v>
      </c>
    </row>
    <row r="2773" customFormat="false" ht="15" hidden="false" customHeight="false" outlineLevel="0" collapsed="false">
      <c r="A2773" s="14" t="s">
        <v>1047</v>
      </c>
      <c r="B2773" s="14" t="s">
        <v>1048</v>
      </c>
      <c r="C2773" s="14" t="s">
        <v>153</v>
      </c>
      <c r="D2773" s="14" t="s">
        <v>188</v>
      </c>
      <c r="E2773" s="14" t="s">
        <v>172</v>
      </c>
      <c r="F2773" s="14" t="s">
        <v>183</v>
      </c>
      <c r="G2773" s="14" t="n">
        <v>3</v>
      </c>
      <c r="H2773" s="14" t="s">
        <v>158</v>
      </c>
      <c r="I2773" s="14" t="s">
        <v>890</v>
      </c>
      <c r="J2773" s="15" t="n">
        <f aca="false">IF(B2773="SITE LOSS",IF(D2773=C2773,1,0),IF(B2773="REGION LOSS",IF(E2773=C2773,1,0),0))</f>
        <v>0</v>
      </c>
      <c r="K2773" s="15" t="n">
        <f aca="false">IF(B2773="SITE LOSS",IF(COUNTIFS('Site Dockets'!$B$7:$B$24,C2773,'Site Dockets'!$C$7:$C$24,F2773)&gt;0,1,0),IF(B2773="REGION LOSS",IF(COUNTIFS('Site Dockets'!$E$7:$E$24,C2773,'Site Dockets'!$C$7:$C$24,F2773)&gt;0,1,0),0))</f>
        <v>0</v>
      </c>
      <c r="L2773" s="15" t="n">
        <f aca="false">IF(J2773=1,0,Inputs!$B$11)</f>
        <v>100</v>
      </c>
      <c r="M2773" s="15" t="n">
        <f aca="false">IF(J2773=1,0,Inputs!$B$12)</f>
        <v>75</v>
      </c>
      <c r="N2773" s="15" t="n">
        <f aca="false">IF(J2773=1,0,IF(OR(AND(OR(B2773="SITE LOSS",B2773="REGION LOSS"),K2773=1),AND(B2773="ROLE COMPROMISE",H2773=C2773)),Inputs!$B$13,Inputs!$B$14))</f>
        <v>10</v>
      </c>
      <c r="O2773" s="15" t="n">
        <f aca="false">IF(J2773=1,0,Inputs!$B$13)</f>
        <v>20</v>
      </c>
      <c r="P2773" s="15" t="n">
        <f aca="false">SUM(M2773:N2773)</f>
        <v>85</v>
      </c>
      <c r="Q2773" s="15" t="n">
        <f aca="false">IF(J2773=1,"",L2773-P2773)</f>
        <v>15</v>
      </c>
      <c r="R2773" s="15" t="n">
        <f aca="false">IF(OR(J2773=1,M2773&lt;=Inputs!$B$12),1,0)</f>
        <v>1</v>
      </c>
      <c r="S2773" s="15" t="n">
        <f aca="false">IF(OR(J2773=1,N2773&lt;=O2773),1,0)</f>
        <v>1</v>
      </c>
      <c r="T2773" s="15" t="str">
        <f aca="false">IF(J2773=1,"OFFLINE",IF(AND(Q2773&gt;=Inputs!$B$15,R2773=1,S2773=1,P2773&lt;=L2773),"PASS","FAIL"))</f>
        <v>PASS</v>
      </c>
    </row>
    <row r="2774" customFormat="false" ht="15" hidden="false" customHeight="false" outlineLevel="0" collapsed="false">
      <c r="A2774" s="14" t="s">
        <v>1047</v>
      </c>
      <c r="B2774" s="14" t="s">
        <v>1048</v>
      </c>
      <c r="C2774" s="14" t="s">
        <v>153</v>
      </c>
      <c r="D2774" s="14" t="s">
        <v>188</v>
      </c>
      <c r="E2774" s="14" t="s">
        <v>172</v>
      </c>
      <c r="F2774" s="14" t="s">
        <v>183</v>
      </c>
      <c r="G2774" s="14" t="n">
        <v>3</v>
      </c>
      <c r="H2774" s="14" t="s">
        <v>158</v>
      </c>
      <c r="I2774" s="14" t="s">
        <v>892</v>
      </c>
      <c r="J2774" s="15" t="n">
        <f aca="false">IF(B2774="SITE LOSS",IF(D2774=C2774,1,0),IF(B2774="REGION LOSS",IF(E2774=C2774,1,0),0))</f>
        <v>0</v>
      </c>
      <c r="K2774" s="15" t="n">
        <f aca="false">IF(B2774="SITE LOSS",IF(COUNTIFS('Site Dockets'!$B$7:$B$24,C2774,'Site Dockets'!$C$7:$C$24,F2774)&gt;0,1,0),IF(B2774="REGION LOSS",IF(COUNTIFS('Site Dockets'!$E$7:$E$24,C2774,'Site Dockets'!$C$7:$C$24,F2774)&gt;0,1,0),0))</f>
        <v>0</v>
      </c>
      <c r="L2774" s="15" t="n">
        <f aca="false">IF(J2774=1,0,Inputs!$B$11)</f>
        <v>100</v>
      </c>
      <c r="M2774" s="15" t="n">
        <f aca="false">IF(J2774=1,0,Inputs!$B$12)</f>
        <v>75</v>
      </c>
      <c r="N2774" s="15" t="n">
        <f aca="false">IF(J2774=1,0,IF(OR(AND(OR(B2774="SITE LOSS",B2774="REGION LOSS"),K2774=1),AND(B2774="ROLE COMPROMISE",H2774=C2774)),Inputs!$B$13,Inputs!$B$14))</f>
        <v>10</v>
      </c>
      <c r="O2774" s="15" t="n">
        <f aca="false">IF(J2774=1,0,Inputs!$B$13)</f>
        <v>20</v>
      </c>
      <c r="P2774" s="15" t="n">
        <f aca="false">SUM(M2774:N2774)</f>
        <v>85</v>
      </c>
      <c r="Q2774" s="15" t="n">
        <f aca="false">IF(J2774=1,"",L2774-P2774)</f>
        <v>15</v>
      </c>
      <c r="R2774" s="15" t="n">
        <f aca="false">IF(OR(J2774=1,M2774&lt;=Inputs!$B$12),1,0)</f>
        <v>1</v>
      </c>
      <c r="S2774" s="15" t="n">
        <f aca="false">IF(OR(J2774=1,N2774&lt;=O2774),1,0)</f>
        <v>1</v>
      </c>
      <c r="T2774" s="15" t="str">
        <f aca="false">IF(J2774=1,"OFFLINE",IF(AND(Q2774&gt;=Inputs!$B$15,R2774=1,S2774=1,P2774&lt;=L2774),"PASS","FAIL"))</f>
        <v>PASS</v>
      </c>
    </row>
    <row r="2775" customFormat="false" ht="15" hidden="false" customHeight="false" outlineLevel="0" collapsed="false">
      <c r="A2775" s="14" t="s">
        <v>1047</v>
      </c>
      <c r="B2775" s="14" t="s">
        <v>1048</v>
      </c>
      <c r="C2775" s="14" t="s">
        <v>153</v>
      </c>
      <c r="D2775" s="14" t="s">
        <v>188</v>
      </c>
      <c r="E2775" s="14" t="s">
        <v>172</v>
      </c>
      <c r="F2775" s="14" t="s">
        <v>183</v>
      </c>
      <c r="G2775" s="14" t="n">
        <v>3</v>
      </c>
      <c r="H2775" s="14" t="s">
        <v>158</v>
      </c>
      <c r="I2775" s="14" t="s">
        <v>811</v>
      </c>
      <c r="J2775" s="15" t="n">
        <f aca="false">IF(B2775="SITE LOSS",IF(D2775=C2775,1,0),IF(B2775="REGION LOSS",IF(E2775=C2775,1,0),0))</f>
        <v>0</v>
      </c>
      <c r="K2775" s="15" t="n">
        <f aca="false">IF(B2775="SITE LOSS",IF(COUNTIFS('Site Dockets'!$B$7:$B$24,C2775,'Site Dockets'!$C$7:$C$24,F2775)&gt;0,1,0),IF(B2775="REGION LOSS",IF(COUNTIFS('Site Dockets'!$E$7:$E$24,C2775,'Site Dockets'!$C$7:$C$24,F2775)&gt;0,1,0),0))</f>
        <v>0</v>
      </c>
      <c r="L2775" s="15" t="n">
        <f aca="false">IF(J2775=1,0,Inputs!$B$11)</f>
        <v>100</v>
      </c>
      <c r="M2775" s="15" t="n">
        <f aca="false">IF(J2775=1,0,Inputs!$B$12)</f>
        <v>75</v>
      </c>
      <c r="N2775" s="15" t="n">
        <f aca="false">IF(J2775=1,0,IF(OR(AND(OR(B2775="SITE LOSS",B2775="REGION LOSS"),K2775=1),AND(B2775="ROLE COMPROMISE",H2775=C2775)),Inputs!$B$13,Inputs!$B$14))</f>
        <v>10</v>
      </c>
      <c r="O2775" s="15" t="n">
        <f aca="false">IF(J2775=1,0,Inputs!$B$13)</f>
        <v>20</v>
      </c>
      <c r="P2775" s="15" t="n">
        <f aca="false">SUM(M2775:N2775)</f>
        <v>85</v>
      </c>
      <c r="Q2775" s="15" t="n">
        <f aca="false">IF(J2775=1,"",L2775-P2775)</f>
        <v>15</v>
      </c>
      <c r="R2775" s="15" t="n">
        <f aca="false">IF(OR(J2775=1,M2775&lt;=Inputs!$B$12),1,0)</f>
        <v>1</v>
      </c>
      <c r="S2775" s="15" t="n">
        <f aca="false">IF(OR(J2775=1,N2775&lt;=O2775),1,0)</f>
        <v>1</v>
      </c>
      <c r="T2775" s="15" t="str">
        <f aca="false">IF(J2775=1,"OFFLINE",IF(AND(Q2775&gt;=Inputs!$B$15,R2775=1,S2775=1,P2775&lt;=L2775),"PASS","FAIL"))</f>
        <v>PASS</v>
      </c>
    </row>
    <row r="2776" customFormat="false" ht="15" hidden="false" customHeight="false" outlineLevel="0" collapsed="false">
      <c r="A2776" s="14" t="s">
        <v>1047</v>
      </c>
      <c r="B2776" s="14" t="s">
        <v>1048</v>
      </c>
      <c r="C2776" s="14" t="s">
        <v>153</v>
      </c>
      <c r="D2776" s="14" t="s">
        <v>188</v>
      </c>
      <c r="E2776" s="14" t="s">
        <v>172</v>
      </c>
      <c r="F2776" s="14" t="s">
        <v>183</v>
      </c>
      <c r="G2776" s="14" t="n">
        <v>3</v>
      </c>
      <c r="H2776" s="14" t="s">
        <v>158</v>
      </c>
      <c r="I2776" s="14" t="s">
        <v>895</v>
      </c>
      <c r="J2776" s="15" t="n">
        <f aca="false">IF(B2776="SITE LOSS",IF(D2776=C2776,1,0),IF(B2776="REGION LOSS",IF(E2776=C2776,1,0),0))</f>
        <v>0</v>
      </c>
      <c r="K2776" s="15" t="n">
        <f aca="false">IF(B2776="SITE LOSS",IF(COUNTIFS('Site Dockets'!$B$7:$B$24,C2776,'Site Dockets'!$C$7:$C$24,F2776)&gt;0,1,0),IF(B2776="REGION LOSS",IF(COUNTIFS('Site Dockets'!$E$7:$E$24,C2776,'Site Dockets'!$C$7:$C$24,F2776)&gt;0,1,0),0))</f>
        <v>0</v>
      </c>
      <c r="L2776" s="15" t="n">
        <f aca="false">IF(J2776=1,0,Inputs!$B$11)</f>
        <v>100</v>
      </c>
      <c r="M2776" s="15" t="n">
        <f aca="false">IF(J2776=1,0,Inputs!$B$12)</f>
        <v>75</v>
      </c>
      <c r="N2776" s="15" t="n">
        <f aca="false">IF(J2776=1,0,IF(OR(AND(OR(B2776="SITE LOSS",B2776="REGION LOSS"),K2776=1),AND(B2776="ROLE COMPROMISE",H2776=C2776)),Inputs!$B$13,Inputs!$B$14))</f>
        <v>10</v>
      </c>
      <c r="O2776" s="15" t="n">
        <f aca="false">IF(J2776=1,0,Inputs!$B$13)</f>
        <v>20</v>
      </c>
      <c r="P2776" s="15" t="n">
        <f aca="false">SUM(M2776:N2776)</f>
        <v>85</v>
      </c>
      <c r="Q2776" s="15" t="n">
        <f aca="false">IF(J2776=1,"",L2776-P2776)</f>
        <v>15</v>
      </c>
      <c r="R2776" s="15" t="n">
        <f aca="false">IF(OR(J2776=1,M2776&lt;=Inputs!$B$12),1,0)</f>
        <v>1</v>
      </c>
      <c r="S2776" s="15" t="n">
        <f aca="false">IF(OR(J2776=1,N2776&lt;=O2776),1,0)</f>
        <v>1</v>
      </c>
      <c r="T2776" s="15" t="str">
        <f aca="false">IF(J2776=1,"OFFLINE",IF(AND(Q2776&gt;=Inputs!$B$15,R2776=1,S2776=1,P2776&lt;=L2776),"PASS","FAIL"))</f>
        <v>PASS</v>
      </c>
    </row>
    <row r="2777" customFormat="false" ht="15" hidden="false" customHeight="false" outlineLevel="0" collapsed="false">
      <c r="A2777" s="14" t="s">
        <v>1047</v>
      </c>
      <c r="B2777" s="14" t="s">
        <v>1048</v>
      </c>
      <c r="C2777" s="14" t="s">
        <v>153</v>
      </c>
      <c r="D2777" s="14" t="s">
        <v>188</v>
      </c>
      <c r="E2777" s="14" t="s">
        <v>172</v>
      </c>
      <c r="F2777" s="14" t="s">
        <v>183</v>
      </c>
      <c r="G2777" s="14" t="n">
        <v>3</v>
      </c>
      <c r="H2777" s="14" t="s">
        <v>158</v>
      </c>
      <c r="I2777" s="14" t="s">
        <v>897</v>
      </c>
      <c r="J2777" s="15" t="n">
        <f aca="false">IF(B2777="SITE LOSS",IF(D2777=C2777,1,0),IF(B2777="REGION LOSS",IF(E2777=C2777,1,0),0))</f>
        <v>0</v>
      </c>
      <c r="K2777" s="15" t="n">
        <f aca="false">IF(B2777="SITE LOSS",IF(COUNTIFS('Site Dockets'!$B$7:$B$24,C2777,'Site Dockets'!$C$7:$C$24,F2777)&gt;0,1,0),IF(B2777="REGION LOSS",IF(COUNTIFS('Site Dockets'!$E$7:$E$24,C2777,'Site Dockets'!$C$7:$C$24,F2777)&gt;0,1,0),0))</f>
        <v>0</v>
      </c>
      <c r="L2777" s="15" t="n">
        <f aca="false">IF(J2777=1,0,Inputs!$B$11)</f>
        <v>100</v>
      </c>
      <c r="M2777" s="15" t="n">
        <f aca="false">IF(J2777=1,0,Inputs!$B$12)</f>
        <v>75</v>
      </c>
      <c r="N2777" s="15" t="n">
        <f aca="false">IF(J2777=1,0,IF(OR(AND(OR(B2777="SITE LOSS",B2777="REGION LOSS"),K2777=1),AND(B2777="ROLE COMPROMISE",H2777=C2777)),Inputs!$B$13,Inputs!$B$14))</f>
        <v>10</v>
      </c>
      <c r="O2777" s="15" t="n">
        <f aca="false">IF(J2777=1,0,Inputs!$B$13)</f>
        <v>20</v>
      </c>
      <c r="P2777" s="15" t="n">
        <f aca="false">SUM(M2777:N2777)</f>
        <v>85</v>
      </c>
      <c r="Q2777" s="15" t="n">
        <f aca="false">IF(J2777=1,"",L2777-P2777)</f>
        <v>15</v>
      </c>
      <c r="R2777" s="15" t="n">
        <f aca="false">IF(OR(J2777=1,M2777&lt;=Inputs!$B$12),1,0)</f>
        <v>1</v>
      </c>
      <c r="S2777" s="15" t="n">
        <f aca="false">IF(OR(J2777=1,N2777&lt;=O2777),1,0)</f>
        <v>1</v>
      </c>
      <c r="T2777" s="15" t="str">
        <f aca="false">IF(J2777=1,"OFFLINE",IF(AND(Q2777&gt;=Inputs!$B$15,R2777=1,S2777=1,P2777&lt;=L2777),"PASS","FAIL"))</f>
        <v>PASS</v>
      </c>
    </row>
    <row r="2778" customFormat="false" ht="15" hidden="false" customHeight="false" outlineLevel="0" collapsed="false">
      <c r="A2778" s="14" t="s">
        <v>1047</v>
      </c>
      <c r="B2778" s="14" t="s">
        <v>1048</v>
      </c>
      <c r="C2778" s="14" t="s">
        <v>153</v>
      </c>
      <c r="D2778" s="14" t="s">
        <v>188</v>
      </c>
      <c r="E2778" s="14" t="s">
        <v>172</v>
      </c>
      <c r="F2778" s="14" t="s">
        <v>183</v>
      </c>
      <c r="G2778" s="14" t="n">
        <v>3</v>
      </c>
      <c r="H2778" s="14" t="s">
        <v>158</v>
      </c>
      <c r="I2778" s="14" t="s">
        <v>899</v>
      </c>
      <c r="J2778" s="15" t="n">
        <f aca="false">IF(B2778="SITE LOSS",IF(D2778=C2778,1,0),IF(B2778="REGION LOSS",IF(E2778=C2778,1,0),0))</f>
        <v>0</v>
      </c>
      <c r="K2778" s="15" t="n">
        <f aca="false">IF(B2778="SITE LOSS",IF(COUNTIFS('Site Dockets'!$B$7:$B$24,C2778,'Site Dockets'!$C$7:$C$24,F2778)&gt;0,1,0),IF(B2778="REGION LOSS",IF(COUNTIFS('Site Dockets'!$E$7:$E$24,C2778,'Site Dockets'!$C$7:$C$24,F2778)&gt;0,1,0),0))</f>
        <v>0</v>
      </c>
      <c r="L2778" s="15" t="n">
        <f aca="false">IF(J2778=1,0,Inputs!$B$11)</f>
        <v>100</v>
      </c>
      <c r="M2778" s="15" t="n">
        <f aca="false">IF(J2778=1,0,Inputs!$B$12)</f>
        <v>75</v>
      </c>
      <c r="N2778" s="15" t="n">
        <f aca="false">IF(J2778=1,0,IF(OR(AND(OR(B2778="SITE LOSS",B2778="REGION LOSS"),K2778=1),AND(B2778="ROLE COMPROMISE",H2778=C2778)),Inputs!$B$13,Inputs!$B$14))</f>
        <v>10</v>
      </c>
      <c r="O2778" s="15" t="n">
        <f aca="false">IF(J2778=1,0,Inputs!$B$13)</f>
        <v>20</v>
      </c>
      <c r="P2778" s="15" t="n">
        <f aca="false">SUM(M2778:N2778)</f>
        <v>85</v>
      </c>
      <c r="Q2778" s="15" t="n">
        <f aca="false">IF(J2778=1,"",L2778-P2778)</f>
        <v>15</v>
      </c>
      <c r="R2778" s="15" t="n">
        <f aca="false">IF(OR(J2778=1,M2778&lt;=Inputs!$B$12),1,0)</f>
        <v>1</v>
      </c>
      <c r="S2778" s="15" t="n">
        <f aca="false">IF(OR(J2778=1,N2778&lt;=O2778),1,0)</f>
        <v>1</v>
      </c>
      <c r="T2778" s="15" t="str">
        <f aca="false">IF(J2778=1,"OFFLINE",IF(AND(Q2778&gt;=Inputs!$B$15,R2778=1,S2778=1,P2778&lt;=L2778),"PASS","FAIL"))</f>
        <v>PASS</v>
      </c>
    </row>
    <row r="2779" customFormat="false" ht="15" hidden="false" customHeight="false" outlineLevel="0" collapsed="false">
      <c r="A2779" s="14" t="s">
        <v>1047</v>
      </c>
      <c r="B2779" s="14" t="s">
        <v>1048</v>
      </c>
      <c r="C2779" s="14" t="s">
        <v>153</v>
      </c>
      <c r="D2779" s="14" t="s">
        <v>190</v>
      </c>
      <c r="E2779" s="14" t="s">
        <v>152</v>
      </c>
      <c r="F2779" s="14" t="s">
        <v>191</v>
      </c>
      <c r="G2779" s="14" t="n">
        <v>1</v>
      </c>
      <c r="H2779" s="14" t="s">
        <v>154</v>
      </c>
      <c r="I2779" s="14" t="s">
        <v>890</v>
      </c>
      <c r="J2779" s="15" t="n">
        <f aca="false">IF(B2779="SITE LOSS",IF(D2779=C2779,1,0),IF(B2779="REGION LOSS",IF(E2779=C2779,1,0),0))</f>
        <v>0</v>
      </c>
      <c r="K2779" s="15" t="n">
        <f aca="false">IF(B2779="SITE LOSS",IF(COUNTIFS('Site Dockets'!$B$7:$B$24,C2779,'Site Dockets'!$C$7:$C$24,F2779)&gt;0,1,0),IF(B2779="REGION LOSS",IF(COUNTIFS('Site Dockets'!$E$7:$E$24,C2779,'Site Dockets'!$C$7:$C$24,F2779)&gt;0,1,0),0))</f>
        <v>0</v>
      </c>
      <c r="L2779" s="15" t="n">
        <f aca="false">IF(J2779=1,0,Inputs!$B$11)</f>
        <v>100</v>
      </c>
      <c r="M2779" s="15" t="n">
        <f aca="false">IF(J2779=1,0,Inputs!$B$12)</f>
        <v>75</v>
      </c>
      <c r="N2779" s="15" t="n">
        <f aca="false">IF(J2779=1,0,IF(OR(AND(OR(B2779="SITE LOSS",B2779="REGION LOSS"),K2779=1),AND(B2779="ROLE COMPROMISE",H2779=C2779)),Inputs!$B$13,Inputs!$B$14))</f>
        <v>10</v>
      </c>
      <c r="O2779" s="15" t="n">
        <f aca="false">IF(J2779=1,0,Inputs!$B$13)</f>
        <v>20</v>
      </c>
      <c r="P2779" s="15" t="n">
        <f aca="false">SUM(M2779:N2779)</f>
        <v>85</v>
      </c>
      <c r="Q2779" s="15" t="n">
        <f aca="false">IF(J2779=1,"",L2779-P2779)</f>
        <v>15</v>
      </c>
      <c r="R2779" s="15" t="n">
        <f aca="false">IF(OR(J2779=1,M2779&lt;=Inputs!$B$12),1,0)</f>
        <v>1</v>
      </c>
      <c r="S2779" s="15" t="n">
        <f aca="false">IF(OR(J2779=1,N2779&lt;=O2779),1,0)</f>
        <v>1</v>
      </c>
      <c r="T2779" s="15" t="str">
        <f aca="false">IF(J2779=1,"OFFLINE",IF(AND(Q2779&gt;=Inputs!$B$15,R2779=1,S2779=1,P2779&lt;=L2779),"PASS","FAIL"))</f>
        <v>PASS</v>
      </c>
    </row>
    <row r="2780" customFormat="false" ht="15" hidden="false" customHeight="false" outlineLevel="0" collapsed="false">
      <c r="A2780" s="14" t="s">
        <v>1047</v>
      </c>
      <c r="B2780" s="14" t="s">
        <v>1048</v>
      </c>
      <c r="C2780" s="14" t="s">
        <v>153</v>
      </c>
      <c r="D2780" s="14" t="s">
        <v>190</v>
      </c>
      <c r="E2780" s="14" t="s">
        <v>152</v>
      </c>
      <c r="F2780" s="14" t="s">
        <v>191</v>
      </c>
      <c r="G2780" s="14" t="n">
        <v>1</v>
      </c>
      <c r="H2780" s="14" t="s">
        <v>154</v>
      </c>
      <c r="I2780" s="14" t="s">
        <v>892</v>
      </c>
      <c r="J2780" s="15" t="n">
        <f aca="false">IF(B2780="SITE LOSS",IF(D2780=C2780,1,0),IF(B2780="REGION LOSS",IF(E2780=C2780,1,0),0))</f>
        <v>0</v>
      </c>
      <c r="K2780" s="15" t="n">
        <f aca="false">IF(B2780="SITE LOSS",IF(COUNTIFS('Site Dockets'!$B$7:$B$24,C2780,'Site Dockets'!$C$7:$C$24,F2780)&gt;0,1,0),IF(B2780="REGION LOSS",IF(COUNTIFS('Site Dockets'!$E$7:$E$24,C2780,'Site Dockets'!$C$7:$C$24,F2780)&gt;0,1,0),0))</f>
        <v>0</v>
      </c>
      <c r="L2780" s="15" t="n">
        <f aca="false">IF(J2780=1,0,Inputs!$B$11)</f>
        <v>100</v>
      </c>
      <c r="M2780" s="15" t="n">
        <f aca="false">IF(J2780=1,0,Inputs!$B$12)</f>
        <v>75</v>
      </c>
      <c r="N2780" s="15" t="n">
        <f aca="false">IF(J2780=1,0,IF(OR(AND(OR(B2780="SITE LOSS",B2780="REGION LOSS"),K2780=1),AND(B2780="ROLE COMPROMISE",H2780=C2780)),Inputs!$B$13,Inputs!$B$14))</f>
        <v>10</v>
      </c>
      <c r="O2780" s="15" t="n">
        <f aca="false">IF(J2780=1,0,Inputs!$B$13)</f>
        <v>20</v>
      </c>
      <c r="P2780" s="15" t="n">
        <f aca="false">SUM(M2780:N2780)</f>
        <v>85</v>
      </c>
      <c r="Q2780" s="15" t="n">
        <f aca="false">IF(J2780=1,"",L2780-P2780)</f>
        <v>15</v>
      </c>
      <c r="R2780" s="15" t="n">
        <f aca="false">IF(OR(J2780=1,M2780&lt;=Inputs!$B$12),1,0)</f>
        <v>1</v>
      </c>
      <c r="S2780" s="15" t="n">
        <f aca="false">IF(OR(J2780=1,N2780&lt;=O2780),1,0)</f>
        <v>1</v>
      </c>
      <c r="T2780" s="15" t="str">
        <f aca="false">IF(J2780=1,"OFFLINE",IF(AND(Q2780&gt;=Inputs!$B$15,R2780=1,S2780=1,P2780&lt;=L2780),"PASS","FAIL"))</f>
        <v>PASS</v>
      </c>
    </row>
    <row r="2781" customFormat="false" ht="15" hidden="false" customHeight="false" outlineLevel="0" collapsed="false">
      <c r="A2781" s="14" t="s">
        <v>1047</v>
      </c>
      <c r="B2781" s="14" t="s">
        <v>1048</v>
      </c>
      <c r="C2781" s="14" t="s">
        <v>153</v>
      </c>
      <c r="D2781" s="14" t="s">
        <v>190</v>
      </c>
      <c r="E2781" s="14" t="s">
        <v>152</v>
      </c>
      <c r="F2781" s="14" t="s">
        <v>191</v>
      </c>
      <c r="G2781" s="14" t="n">
        <v>1</v>
      </c>
      <c r="H2781" s="14" t="s">
        <v>154</v>
      </c>
      <c r="I2781" s="14" t="s">
        <v>811</v>
      </c>
      <c r="J2781" s="15" t="n">
        <f aca="false">IF(B2781="SITE LOSS",IF(D2781=C2781,1,0),IF(B2781="REGION LOSS",IF(E2781=C2781,1,0),0))</f>
        <v>0</v>
      </c>
      <c r="K2781" s="15" t="n">
        <f aca="false">IF(B2781="SITE LOSS",IF(COUNTIFS('Site Dockets'!$B$7:$B$24,C2781,'Site Dockets'!$C$7:$C$24,F2781)&gt;0,1,0),IF(B2781="REGION LOSS",IF(COUNTIFS('Site Dockets'!$E$7:$E$24,C2781,'Site Dockets'!$C$7:$C$24,F2781)&gt;0,1,0),0))</f>
        <v>0</v>
      </c>
      <c r="L2781" s="15" t="n">
        <f aca="false">IF(J2781=1,0,Inputs!$B$11)</f>
        <v>100</v>
      </c>
      <c r="M2781" s="15" t="n">
        <f aca="false">IF(J2781=1,0,Inputs!$B$12)</f>
        <v>75</v>
      </c>
      <c r="N2781" s="15" t="n">
        <f aca="false">IF(J2781=1,0,IF(OR(AND(OR(B2781="SITE LOSS",B2781="REGION LOSS"),K2781=1),AND(B2781="ROLE COMPROMISE",H2781=C2781)),Inputs!$B$13,Inputs!$B$14))</f>
        <v>10</v>
      </c>
      <c r="O2781" s="15" t="n">
        <f aca="false">IF(J2781=1,0,Inputs!$B$13)</f>
        <v>20</v>
      </c>
      <c r="P2781" s="15" t="n">
        <f aca="false">SUM(M2781:N2781)</f>
        <v>85</v>
      </c>
      <c r="Q2781" s="15" t="n">
        <f aca="false">IF(J2781=1,"",L2781-P2781)</f>
        <v>15</v>
      </c>
      <c r="R2781" s="15" t="n">
        <f aca="false">IF(OR(J2781=1,M2781&lt;=Inputs!$B$12),1,0)</f>
        <v>1</v>
      </c>
      <c r="S2781" s="15" t="n">
        <f aca="false">IF(OR(J2781=1,N2781&lt;=O2781),1,0)</f>
        <v>1</v>
      </c>
      <c r="T2781" s="15" t="str">
        <f aca="false">IF(J2781=1,"OFFLINE",IF(AND(Q2781&gt;=Inputs!$B$15,R2781=1,S2781=1,P2781&lt;=L2781),"PASS","FAIL"))</f>
        <v>PASS</v>
      </c>
    </row>
    <row r="2782" customFormat="false" ht="15" hidden="false" customHeight="false" outlineLevel="0" collapsed="false">
      <c r="A2782" s="14" t="s">
        <v>1047</v>
      </c>
      <c r="B2782" s="14" t="s">
        <v>1048</v>
      </c>
      <c r="C2782" s="14" t="s">
        <v>153</v>
      </c>
      <c r="D2782" s="14" t="s">
        <v>190</v>
      </c>
      <c r="E2782" s="14" t="s">
        <v>152</v>
      </c>
      <c r="F2782" s="14" t="s">
        <v>191</v>
      </c>
      <c r="G2782" s="14" t="n">
        <v>1</v>
      </c>
      <c r="H2782" s="14" t="s">
        <v>154</v>
      </c>
      <c r="I2782" s="14" t="s">
        <v>895</v>
      </c>
      <c r="J2782" s="15" t="n">
        <f aca="false">IF(B2782="SITE LOSS",IF(D2782=C2782,1,0),IF(B2782="REGION LOSS",IF(E2782=C2782,1,0),0))</f>
        <v>0</v>
      </c>
      <c r="K2782" s="15" t="n">
        <f aca="false">IF(B2782="SITE LOSS",IF(COUNTIFS('Site Dockets'!$B$7:$B$24,C2782,'Site Dockets'!$C$7:$C$24,F2782)&gt;0,1,0),IF(B2782="REGION LOSS",IF(COUNTIFS('Site Dockets'!$E$7:$E$24,C2782,'Site Dockets'!$C$7:$C$24,F2782)&gt;0,1,0),0))</f>
        <v>0</v>
      </c>
      <c r="L2782" s="15" t="n">
        <f aca="false">IF(J2782=1,0,Inputs!$B$11)</f>
        <v>100</v>
      </c>
      <c r="M2782" s="15" t="n">
        <f aca="false">IF(J2782=1,0,Inputs!$B$12)</f>
        <v>75</v>
      </c>
      <c r="N2782" s="15" t="n">
        <f aca="false">IF(J2782=1,0,IF(OR(AND(OR(B2782="SITE LOSS",B2782="REGION LOSS"),K2782=1),AND(B2782="ROLE COMPROMISE",H2782=C2782)),Inputs!$B$13,Inputs!$B$14))</f>
        <v>10</v>
      </c>
      <c r="O2782" s="15" t="n">
        <f aca="false">IF(J2782=1,0,Inputs!$B$13)</f>
        <v>20</v>
      </c>
      <c r="P2782" s="15" t="n">
        <f aca="false">SUM(M2782:N2782)</f>
        <v>85</v>
      </c>
      <c r="Q2782" s="15" t="n">
        <f aca="false">IF(J2782=1,"",L2782-P2782)</f>
        <v>15</v>
      </c>
      <c r="R2782" s="15" t="n">
        <f aca="false">IF(OR(J2782=1,M2782&lt;=Inputs!$B$12),1,0)</f>
        <v>1</v>
      </c>
      <c r="S2782" s="15" t="n">
        <f aca="false">IF(OR(J2782=1,N2782&lt;=O2782),1,0)</f>
        <v>1</v>
      </c>
      <c r="T2782" s="15" t="str">
        <f aca="false">IF(J2782=1,"OFFLINE",IF(AND(Q2782&gt;=Inputs!$B$15,R2782=1,S2782=1,P2782&lt;=L2782),"PASS","FAIL"))</f>
        <v>PASS</v>
      </c>
    </row>
    <row r="2783" customFormat="false" ht="15" hidden="false" customHeight="false" outlineLevel="0" collapsed="false">
      <c r="A2783" s="14" t="s">
        <v>1047</v>
      </c>
      <c r="B2783" s="14" t="s">
        <v>1048</v>
      </c>
      <c r="C2783" s="14" t="s">
        <v>153</v>
      </c>
      <c r="D2783" s="14" t="s">
        <v>190</v>
      </c>
      <c r="E2783" s="14" t="s">
        <v>152</v>
      </c>
      <c r="F2783" s="14" t="s">
        <v>191</v>
      </c>
      <c r="G2783" s="14" t="n">
        <v>1</v>
      </c>
      <c r="H2783" s="14" t="s">
        <v>154</v>
      </c>
      <c r="I2783" s="14" t="s">
        <v>897</v>
      </c>
      <c r="J2783" s="15" t="n">
        <f aca="false">IF(B2783="SITE LOSS",IF(D2783=C2783,1,0),IF(B2783="REGION LOSS",IF(E2783=C2783,1,0),0))</f>
        <v>0</v>
      </c>
      <c r="K2783" s="15" t="n">
        <f aca="false">IF(B2783="SITE LOSS",IF(COUNTIFS('Site Dockets'!$B$7:$B$24,C2783,'Site Dockets'!$C$7:$C$24,F2783)&gt;0,1,0),IF(B2783="REGION LOSS",IF(COUNTIFS('Site Dockets'!$E$7:$E$24,C2783,'Site Dockets'!$C$7:$C$24,F2783)&gt;0,1,0),0))</f>
        <v>0</v>
      </c>
      <c r="L2783" s="15" t="n">
        <f aca="false">IF(J2783=1,0,Inputs!$B$11)</f>
        <v>100</v>
      </c>
      <c r="M2783" s="15" t="n">
        <f aca="false">IF(J2783=1,0,Inputs!$B$12)</f>
        <v>75</v>
      </c>
      <c r="N2783" s="15" t="n">
        <f aca="false">IF(J2783=1,0,IF(OR(AND(OR(B2783="SITE LOSS",B2783="REGION LOSS"),K2783=1),AND(B2783="ROLE COMPROMISE",H2783=C2783)),Inputs!$B$13,Inputs!$B$14))</f>
        <v>10</v>
      </c>
      <c r="O2783" s="15" t="n">
        <f aca="false">IF(J2783=1,0,Inputs!$B$13)</f>
        <v>20</v>
      </c>
      <c r="P2783" s="15" t="n">
        <f aca="false">SUM(M2783:N2783)</f>
        <v>85</v>
      </c>
      <c r="Q2783" s="15" t="n">
        <f aca="false">IF(J2783=1,"",L2783-P2783)</f>
        <v>15</v>
      </c>
      <c r="R2783" s="15" t="n">
        <f aca="false">IF(OR(J2783=1,M2783&lt;=Inputs!$B$12),1,0)</f>
        <v>1</v>
      </c>
      <c r="S2783" s="15" t="n">
        <f aca="false">IF(OR(J2783=1,N2783&lt;=O2783),1,0)</f>
        <v>1</v>
      </c>
      <c r="T2783" s="15" t="str">
        <f aca="false">IF(J2783=1,"OFFLINE",IF(AND(Q2783&gt;=Inputs!$B$15,R2783=1,S2783=1,P2783&lt;=L2783),"PASS","FAIL"))</f>
        <v>PASS</v>
      </c>
    </row>
    <row r="2784" customFormat="false" ht="15" hidden="false" customHeight="false" outlineLevel="0" collapsed="false">
      <c r="A2784" s="14" t="s">
        <v>1047</v>
      </c>
      <c r="B2784" s="14" t="s">
        <v>1048</v>
      </c>
      <c r="C2784" s="14" t="s">
        <v>153</v>
      </c>
      <c r="D2784" s="14" t="s">
        <v>190</v>
      </c>
      <c r="E2784" s="14" t="s">
        <v>152</v>
      </c>
      <c r="F2784" s="14" t="s">
        <v>191</v>
      </c>
      <c r="G2784" s="14" t="n">
        <v>1</v>
      </c>
      <c r="H2784" s="14" t="s">
        <v>154</v>
      </c>
      <c r="I2784" s="14" t="s">
        <v>899</v>
      </c>
      <c r="J2784" s="15" t="n">
        <f aca="false">IF(B2784="SITE LOSS",IF(D2784=C2784,1,0),IF(B2784="REGION LOSS",IF(E2784=C2784,1,0),0))</f>
        <v>0</v>
      </c>
      <c r="K2784" s="15" t="n">
        <f aca="false">IF(B2784="SITE LOSS",IF(COUNTIFS('Site Dockets'!$B$7:$B$24,C2784,'Site Dockets'!$C$7:$C$24,F2784)&gt;0,1,0),IF(B2784="REGION LOSS",IF(COUNTIFS('Site Dockets'!$E$7:$E$24,C2784,'Site Dockets'!$C$7:$C$24,F2784)&gt;0,1,0),0))</f>
        <v>0</v>
      </c>
      <c r="L2784" s="15" t="n">
        <f aca="false">IF(J2784=1,0,Inputs!$B$11)</f>
        <v>100</v>
      </c>
      <c r="M2784" s="15" t="n">
        <f aca="false">IF(J2784=1,0,Inputs!$B$12)</f>
        <v>75</v>
      </c>
      <c r="N2784" s="15" t="n">
        <f aca="false">IF(J2784=1,0,IF(OR(AND(OR(B2784="SITE LOSS",B2784="REGION LOSS"),K2784=1),AND(B2784="ROLE COMPROMISE",H2784=C2784)),Inputs!$B$13,Inputs!$B$14))</f>
        <v>10</v>
      </c>
      <c r="O2784" s="15" t="n">
        <f aca="false">IF(J2784=1,0,Inputs!$B$13)</f>
        <v>20</v>
      </c>
      <c r="P2784" s="15" t="n">
        <f aca="false">SUM(M2784:N2784)</f>
        <v>85</v>
      </c>
      <c r="Q2784" s="15" t="n">
        <f aca="false">IF(J2784=1,"",L2784-P2784)</f>
        <v>15</v>
      </c>
      <c r="R2784" s="15" t="n">
        <f aca="false">IF(OR(J2784=1,M2784&lt;=Inputs!$B$12),1,0)</f>
        <v>1</v>
      </c>
      <c r="S2784" s="15" t="n">
        <f aca="false">IF(OR(J2784=1,N2784&lt;=O2784),1,0)</f>
        <v>1</v>
      </c>
      <c r="T2784" s="15" t="str">
        <f aca="false">IF(J2784=1,"OFFLINE",IF(AND(Q2784&gt;=Inputs!$B$15,R2784=1,S2784=1,P2784&lt;=L2784),"PASS","FAIL"))</f>
        <v>PASS</v>
      </c>
    </row>
    <row r="2785" customFormat="false" ht="15" hidden="false" customHeight="false" outlineLevel="0" collapsed="false">
      <c r="A2785" s="14" t="s">
        <v>1047</v>
      </c>
      <c r="B2785" s="14" t="s">
        <v>1048</v>
      </c>
      <c r="C2785" s="14" t="s">
        <v>153</v>
      </c>
      <c r="D2785" s="14" t="s">
        <v>194</v>
      </c>
      <c r="E2785" s="14" t="s">
        <v>169</v>
      </c>
      <c r="F2785" s="14" t="s">
        <v>191</v>
      </c>
      <c r="G2785" s="14" t="n">
        <v>2</v>
      </c>
      <c r="H2785" s="14" t="s">
        <v>153</v>
      </c>
      <c r="I2785" s="14" t="s">
        <v>890</v>
      </c>
      <c r="J2785" s="15" t="n">
        <f aca="false">IF(B2785="SITE LOSS",IF(D2785=C2785,1,0),IF(B2785="REGION LOSS",IF(E2785=C2785,1,0),0))</f>
        <v>0</v>
      </c>
      <c r="K2785" s="15" t="n">
        <f aca="false">IF(B2785="SITE LOSS",IF(COUNTIFS('Site Dockets'!$B$7:$B$24,C2785,'Site Dockets'!$C$7:$C$24,F2785)&gt;0,1,0),IF(B2785="REGION LOSS",IF(COUNTIFS('Site Dockets'!$E$7:$E$24,C2785,'Site Dockets'!$C$7:$C$24,F2785)&gt;0,1,0),0))</f>
        <v>0</v>
      </c>
      <c r="L2785" s="15" t="n">
        <f aca="false">IF(J2785=1,0,Inputs!$B$11)</f>
        <v>100</v>
      </c>
      <c r="M2785" s="15" t="n">
        <f aca="false">IF(J2785=1,0,Inputs!$B$12)</f>
        <v>75</v>
      </c>
      <c r="N2785" s="15" t="n">
        <f aca="false">IF(J2785=1,0,IF(OR(AND(OR(B2785="SITE LOSS",B2785="REGION LOSS"),K2785=1),AND(B2785="ROLE COMPROMISE",H2785=C2785)),Inputs!$B$13,Inputs!$B$14))</f>
        <v>20</v>
      </c>
      <c r="O2785" s="15" t="n">
        <f aca="false">IF(J2785=1,0,Inputs!$B$13)</f>
        <v>20</v>
      </c>
      <c r="P2785" s="15" t="n">
        <f aca="false">SUM(M2785:N2785)</f>
        <v>95</v>
      </c>
      <c r="Q2785" s="15" t="n">
        <f aca="false">IF(J2785=1,"",L2785-P2785)</f>
        <v>5</v>
      </c>
      <c r="R2785" s="15" t="n">
        <f aca="false">IF(OR(J2785=1,M2785&lt;=Inputs!$B$12),1,0)</f>
        <v>1</v>
      </c>
      <c r="S2785" s="15" t="n">
        <f aca="false">IF(OR(J2785=1,N2785&lt;=O2785),1,0)</f>
        <v>1</v>
      </c>
      <c r="T2785" s="15" t="str">
        <f aca="false">IF(J2785=1,"OFFLINE",IF(AND(Q2785&gt;=Inputs!$B$15,R2785=1,S2785=1,P2785&lt;=L2785),"PASS","FAIL"))</f>
        <v>PASS</v>
      </c>
    </row>
    <row r="2786" customFormat="false" ht="15" hidden="false" customHeight="false" outlineLevel="0" collapsed="false">
      <c r="A2786" s="14" t="s">
        <v>1047</v>
      </c>
      <c r="B2786" s="14" t="s">
        <v>1048</v>
      </c>
      <c r="C2786" s="14" t="s">
        <v>153</v>
      </c>
      <c r="D2786" s="14" t="s">
        <v>194</v>
      </c>
      <c r="E2786" s="14" t="s">
        <v>169</v>
      </c>
      <c r="F2786" s="14" t="s">
        <v>191</v>
      </c>
      <c r="G2786" s="14" t="n">
        <v>2</v>
      </c>
      <c r="H2786" s="14" t="s">
        <v>153</v>
      </c>
      <c r="I2786" s="14" t="s">
        <v>892</v>
      </c>
      <c r="J2786" s="15" t="n">
        <f aca="false">IF(B2786="SITE LOSS",IF(D2786=C2786,1,0),IF(B2786="REGION LOSS",IF(E2786=C2786,1,0),0))</f>
        <v>0</v>
      </c>
      <c r="K2786" s="15" t="n">
        <f aca="false">IF(B2786="SITE LOSS",IF(COUNTIFS('Site Dockets'!$B$7:$B$24,C2786,'Site Dockets'!$C$7:$C$24,F2786)&gt;0,1,0),IF(B2786="REGION LOSS",IF(COUNTIFS('Site Dockets'!$E$7:$E$24,C2786,'Site Dockets'!$C$7:$C$24,F2786)&gt;0,1,0),0))</f>
        <v>0</v>
      </c>
      <c r="L2786" s="15" t="n">
        <f aca="false">IF(J2786=1,0,Inputs!$B$11)</f>
        <v>100</v>
      </c>
      <c r="M2786" s="15" t="n">
        <f aca="false">IF(J2786=1,0,Inputs!$B$12)</f>
        <v>75</v>
      </c>
      <c r="N2786" s="15" t="n">
        <f aca="false">IF(J2786=1,0,IF(OR(AND(OR(B2786="SITE LOSS",B2786="REGION LOSS"),K2786=1),AND(B2786="ROLE COMPROMISE",H2786=C2786)),Inputs!$B$13,Inputs!$B$14))</f>
        <v>20</v>
      </c>
      <c r="O2786" s="15" t="n">
        <f aca="false">IF(J2786=1,0,Inputs!$B$13)</f>
        <v>20</v>
      </c>
      <c r="P2786" s="15" t="n">
        <f aca="false">SUM(M2786:N2786)</f>
        <v>95</v>
      </c>
      <c r="Q2786" s="15" t="n">
        <f aca="false">IF(J2786=1,"",L2786-P2786)</f>
        <v>5</v>
      </c>
      <c r="R2786" s="15" t="n">
        <f aca="false">IF(OR(J2786=1,M2786&lt;=Inputs!$B$12),1,0)</f>
        <v>1</v>
      </c>
      <c r="S2786" s="15" t="n">
        <f aca="false">IF(OR(J2786=1,N2786&lt;=O2786),1,0)</f>
        <v>1</v>
      </c>
      <c r="T2786" s="15" t="str">
        <f aca="false">IF(J2786=1,"OFFLINE",IF(AND(Q2786&gt;=Inputs!$B$15,R2786=1,S2786=1,P2786&lt;=L2786),"PASS","FAIL"))</f>
        <v>PASS</v>
      </c>
    </row>
    <row r="2787" customFormat="false" ht="15" hidden="false" customHeight="false" outlineLevel="0" collapsed="false">
      <c r="A2787" s="14" t="s">
        <v>1047</v>
      </c>
      <c r="B2787" s="14" t="s">
        <v>1048</v>
      </c>
      <c r="C2787" s="14" t="s">
        <v>153</v>
      </c>
      <c r="D2787" s="14" t="s">
        <v>194</v>
      </c>
      <c r="E2787" s="14" t="s">
        <v>169</v>
      </c>
      <c r="F2787" s="14" t="s">
        <v>191</v>
      </c>
      <c r="G2787" s="14" t="n">
        <v>2</v>
      </c>
      <c r="H2787" s="14" t="s">
        <v>153</v>
      </c>
      <c r="I2787" s="14" t="s">
        <v>811</v>
      </c>
      <c r="J2787" s="15" t="n">
        <f aca="false">IF(B2787="SITE LOSS",IF(D2787=C2787,1,0),IF(B2787="REGION LOSS",IF(E2787=C2787,1,0),0))</f>
        <v>0</v>
      </c>
      <c r="K2787" s="15" t="n">
        <f aca="false">IF(B2787="SITE LOSS",IF(COUNTIFS('Site Dockets'!$B$7:$B$24,C2787,'Site Dockets'!$C$7:$C$24,F2787)&gt;0,1,0),IF(B2787="REGION LOSS",IF(COUNTIFS('Site Dockets'!$E$7:$E$24,C2787,'Site Dockets'!$C$7:$C$24,F2787)&gt;0,1,0),0))</f>
        <v>0</v>
      </c>
      <c r="L2787" s="15" t="n">
        <f aca="false">IF(J2787=1,0,Inputs!$B$11)</f>
        <v>100</v>
      </c>
      <c r="M2787" s="15" t="n">
        <f aca="false">IF(J2787=1,0,Inputs!$B$12)</f>
        <v>75</v>
      </c>
      <c r="N2787" s="15" t="n">
        <f aca="false">IF(J2787=1,0,IF(OR(AND(OR(B2787="SITE LOSS",B2787="REGION LOSS"),K2787=1),AND(B2787="ROLE COMPROMISE",H2787=C2787)),Inputs!$B$13,Inputs!$B$14))</f>
        <v>20</v>
      </c>
      <c r="O2787" s="15" t="n">
        <f aca="false">IF(J2787=1,0,Inputs!$B$13)</f>
        <v>20</v>
      </c>
      <c r="P2787" s="15" t="n">
        <f aca="false">SUM(M2787:N2787)</f>
        <v>95</v>
      </c>
      <c r="Q2787" s="15" t="n">
        <f aca="false">IF(J2787=1,"",L2787-P2787)</f>
        <v>5</v>
      </c>
      <c r="R2787" s="15" t="n">
        <f aca="false">IF(OR(J2787=1,M2787&lt;=Inputs!$B$12),1,0)</f>
        <v>1</v>
      </c>
      <c r="S2787" s="15" t="n">
        <f aca="false">IF(OR(J2787=1,N2787&lt;=O2787),1,0)</f>
        <v>1</v>
      </c>
      <c r="T2787" s="15" t="str">
        <f aca="false">IF(J2787=1,"OFFLINE",IF(AND(Q2787&gt;=Inputs!$B$15,R2787=1,S2787=1,P2787&lt;=L2787),"PASS","FAIL"))</f>
        <v>PASS</v>
      </c>
    </row>
    <row r="2788" customFormat="false" ht="15" hidden="false" customHeight="false" outlineLevel="0" collapsed="false">
      <c r="A2788" s="14" t="s">
        <v>1047</v>
      </c>
      <c r="B2788" s="14" t="s">
        <v>1048</v>
      </c>
      <c r="C2788" s="14" t="s">
        <v>153</v>
      </c>
      <c r="D2788" s="14" t="s">
        <v>194</v>
      </c>
      <c r="E2788" s="14" t="s">
        <v>169</v>
      </c>
      <c r="F2788" s="14" t="s">
        <v>191</v>
      </c>
      <c r="G2788" s="14" t="n">
        <v>2</v>
      </c>
      <c r="H2788" s="14" t="s">
        <v>153</v>
      </c>
      <c r="I2788" s="14" t="s">
        <v>895</v>
      </c>
      <c r="J2788" s="15" t="n">
        <f aca="false">IF(B2788="SITE LOSS",IF(D2788=C2788,1,0),IF(B2788="REGION LOSS",IF(E2788=C2788,1,0),0))</f>
        <v>0</v>
      </c>
      <c r="K2788" s="15" t="n">
        <f aca="false">IF(B2788="SITE LOSS",IF(COUNTIFS('Site Dockets'!$B$7:$B$24,C2788,'Site Dockets'!$C$7:$C$24,F2788)&gt;0,1,0),IF(B2788="REGION LOSS",IF(COUNTIFS('Site Dockets'!$E$7:$E$24,C2788,'Site Dockets'!$C$7:$C$24,F2788)&gt;0,1,0),0))</f>
        <v>0</v>
      </c>
      <c r="L2788" s="15" t="n">
        <f aca="false">IF(J2788=1,0,Inputs!$B$11)</f>
        <v>100</v>
      </c>
      <c r="M2788" s="15" t="n">
        <f aca="false">IF(J2788=1,0,Inputs!$B$12)</f>
        <v>75</v>
      </c>
      <c r="N2788" s="15" t="n">
        <f aca="false">IF(J2788=1,0,IF(OR(AND(OR(B2788="SITE LOSS",B2788="REGION LOSS"),K2788=1),AND(B2788="ROLE COMPROMISE",H2788=C2788)),Inputs!$B$13,Inputs!$B$14))</f>
        <v>20</v>
      </c>
      <c r="O2788" s="15" t="n">
        <f aca="false">IF(J2788=1,0,Inputs!$B$13)</f>
        <v>20</v>
      </c>
      <c r="P2788" s="15" t="n">
        <f aca="false">SUM(M2788:N2788)</f>
        <v>95</v>
      </c>
      <c r="Q2788" s="15" t="n">
        <f aca="false">IF(J2788=1,"",L2788-P2788)</f>
        <v>5</v>
      </c>
      <c r="R2788" s="15" t="n">
        <f aca="false">IF(OR(J2788=1,M2788&lt;=Inputs!$B$12),1,0)</f>
        <v>1</v>
      </c>
      <c r="S2788" s="15" t="n">
        <f aca="false">IF(OR(J2788=1,N2788&lt;=O2788),1,0)</f>
        <v>1</v>
      </c>
      <c r="T2788" s="15" t="str">
        <f aca="false">IF(J2788=1,"OFFLINE",IF(AND(Q2788&gt;=Inputs!$B$15,R2788=1,S2788=1,P2788&lt;=L2788),"PASS","FAIL"))</f>
        <v>PASS</v>
      </c>
    </row>
    <row r="2789" customFormat="false" ht="15" hidden="false" customHeight="false" outlineLevel="0" collapsed="false">
      <c r="A2789" s="14" t="s">
        <v>1047</v>
      </c>
      <c r="B2789" s="14" t="s">
        <v>1048</v>
      </c>
      <c r="C2789" s="14" t="s">
        <v>153</v>
      </c>
      <c r="D2789" s="14" t="s">
        <v>194</v>
      </c>
      <c r="E2789" s="14" t="s">
        <v>169</v>
      </c>
      <c r="F2789" s="14" t="s">
        <v>191</v>
      </c>
      <c r="G2789" s="14" t="n">
        <v>2</v>
      </c>
      <c r="H2789" s="14" t="s">
        <v>153</v>
      </c>
      <c r="I2789" s="14" t="s">
        <v>897</v>
      </c>
      <c r="J2789" s="15" t="n">
        <f aca="false">IF(B2789="SITE LOSS",IF(D2789=C2789,1,0),IF(B2789="REGION LOSS",IF(E2789=C2789,1,0),0))</f>
        <v>0</v>
      </c>
      <c r="K2789" s="15" t="n">
        <f aca="false">IF(B2789="SITE LOSS",IF(COUNTIFS('Site Dockets'!$B$7:$B$24,C2789,'Site Dockets'!$C$7:$C$24,F2789)&gt;0,1,0),IF(B2789="REGION LOSS",IF(COUNTIFS('Site Dockets'!$E$7:$E$24,C2789,'Site Dockets'!$C$7:$C$24,F2789)&gt;0,1,0),0))</f>
        <v>0</v>
      </c>
      <c r="L2789" s="15" t="n">
        <f aca="false">IF(J2789=1,0,Inputs!$B$11)</f>
        <v>100</v>
      </c>
      <c r="M2789" s="15" t="n">
        <f aca="false">IF(J2789=1,0,Inputs!$B$12)</f>
        <v>75</v>
      </c>
      <c r="N2789" s="15" t="n">
        <f aca="false">IF(J2789=1,0,IF(OR(AND(OR(B2789="SITE LOSS",B2789="REGION LOSS"),K2789=1),AND(B2789="ROLE COMPROMISE",H2789=C2789)),Inputs!$B$13,Inputs!$B$14))</f>
        <v>20</v>
      </c>
      <c r="O2789" s="15" t="n">
        <f aca="false">IF(J2789=1,0,Inputs!$B$13)</f>
        <v>20</v>
      </c>
      <c r="P2789" s="15" t="n">
        <f aca="false">SUM(M2789:N2789)</f>
        <v>95</v>
      </c>
      <c r="Q2789" s="15" t="n">
        <f aca="false">IF(J2789=1,"",L2789-P2789)</f>
        <v>5</v>
      </c>
      <c r="R2789" s="15" t="n">
        <f aca="false">IF(OR(J2789=1,M2789&lt;=Inputs!$B$12),1,0)</f>
        <v>1</v>
      </c>
      <c r="S2789" s="15" t="n">
        <f aca="false">IF(OR(J2789=1,N2789&lt;=O2789),1,0)</f>
        <v>1</v>
      </c>
      <c r="T2789" s="15" t="str">
        <f aca="false">IF(J2789=1,"OFFLINE",IF(AND(Q2789&gt;=Inputs!$B$15,R2789=1,S2789=1,P2789&lt;=L2789),"PASS","FAIL"))</f>
        <v>PASS</v>
      </c>
    </row>
    <row r="2790" customFormat="false" ht="15" hidden="false" customHeight="false" outlineLevel="0" collapsed="false">
      <c r="A2790" s="14" t="s">
        <v>1047</v>
      </c>
      <c r="B2790" s="14" t="s">
        <v>1048</v>
      </c>
      <c r="C2790" s="14" t="s">
        <v>153</v>
      </c>
      <c r="D2790" s="14" t="s">
        <v>194</v>
      </c>
      <c r="E2790" s="14" t="s">
        <v>169</v>
      </c>
      <c r="F2790" s="14" t="s">
        <v>191</v>
      </c>
      <c r="G2790" s="14" t="n">
        <v>2</v>
      </c>
      <c r="H2790" s="14" t="s">
        <v>153</v>
      </c>
      <c r="I2790" s="14" t="s">
        <v>899</v>
      </c>
      <c r="J2790" s="15" t="n">
        <f aca="false">IF(B2790="SITE LOSS",IF(D2790=C2790,1,0),IF(B2790="REGION LOSS",IF(E2790=C2790,1,0),0))</f>
        <v>0</v>
      </c>
      <c r="K2790" s="15" t="n">
        <f aca="false">IF(B2790="SITE LOSS",IF(COUNTIFS('Site Dockets'!$B$7:$B$24,C2790,'Site Dockets'!$C$7:$C$24,F2790)&gt;0,1,0),IF(B2790="REGION LOSS",IF(COUNTIFS('Site Dockets'!$E$7:$E$24,C2790,'Site Dockets'!$C$7:$C$24,F2790)&gt;0,1,0),0))</f>
        <v>0</v>
      </c>
      <c r="L2790" s="15" t="n">
        <f aca="false">IF(J2790=1,0,Inputs!$B$11)</f>
        <v>100</v>
      </c>
      <c r="M2790" s="15" t="n">
        <f aca="false">IF(J2790=1,0,Inputs!$B$12)</f>
        <v>75</v>
      </c>
      <c r="N2790" s="15" t="n">
        <f aca="false">IF(J2790=1,0,IF(OR(AND(OR(B2790="SITE LOSS",B2790="REGION LOSS"),K2790=1),AND(B2790="ROLE COMPROMISE",H2790=C2790)),Inputs!$B$13,Inputs!$B$14))</f>
        <v>20</v>
      </c>
      <c r="O2790" s="15" t="n">
        <f aca="false">IF(J2790=1,0,Inputs!$B$13)</f>
        <v>20</v>
      </c>
      <c r="P2790" s="15" t="n">
        <f aca="false">SUM(M2790:N2790)</f>
        <v>95</v>
      </c>
      <c r="Q2790" s="15" t="n">
        <f aca="false">IF(J2790=1,"",L2790-P2790)</f>
        <v>5</v>
      </c>
      <c r="R2790" s="15" t="n">
        <f aca="false">IF(OR(J2790=1,M2790&lt;=Inputs!$B$12),1,0)</f>
        <v>1</v>
      </c>
      <c r="S2790" s="15" t="n">
        <f aca="false">IF(OR(J2790=1,N2790&lt;=O2790),1,0)</f>
        <v>1</v>
      </c>
      <c r="T2790" s="15" t="str">
        <f aca="false">IF(J2790=1,"OFFLINE",IF(AND(Q2790&gt;=Inputs!$B$15,R2790=1,S2790=1,P2790&lt;=L2790),"PASS","FAIL"))</f>
        <v>PASS</v>
      </c>
    </row>
    <row r="2791" customFormat="false" ht="15" hidden="false" customHeight="false" outlineLevel="0" collapsed="false">
      <c r="A2791" s="14" t="s">
        <v>1047</v>
      </c>
      <c r="B2791" s="14" t="s">
        <v>1048</v>
      </c>
      <c r="C2791" s="14" t="s">
        <v>153</v>
      </c>
      <c r="D2791" s="14" t="s">
        <v>196</v>
      </c>
      <c r="E2791" s="14" t="s">
        <v>172</v>
      </c>
      <c r="F2791" s="14" t="s">
        <v>191</v>
      </c>
      <c r="G2791" s="14" t="n">
        <v>3</v>
      </c>
      <c r="H2791" s="14" t="s">
        <v>158</v>
      </c>
      <c r="I2791" s="14" t="s">
        <v>890</v>
      </c>
      <c r="J2791" s="15" t="n">
        <f aca="false">IF(B2791="SITE LOSS",IF(D2791=C2791,1,0),IF(B2791="REGION LOSS",IF(E2791=C2791,1,0),0))</f>
        <v>0</v>
      </c>
      <c r="K2791" s="15" t="n">
        <f aca="false">IF(B2791="SITE LOSS",IF(COUNTIFS('Site Dockets'!$B$7:$B$24,C2791,'Site Dockets'!$C$7:$C$24,F2791)&gt;0,1,0),IF(B2791="REGION LOSS",IF(COUNTIFS('Site Dockets'!$E$7:$E$24,C2791,'Site Dockets'!$C$7:$C$24,F2791)&gt;0,1,0),0))</f>
        <v>0</v>
      </c>
      <c r="L2791" s="15" t="n">
        <f aca="false">IF(J2791=1,0,Inputs!$B$11)</f>
        <v>100</v>
      </c>
      <c r="M2791" s="15" t="n">
        <f aca="false">IF(J2791=1,0,Inputs!$B$12)</f>
        <v>75</v>
      </c>
      <c r="N2791" s="15" t="n">
        <f aca="false">IF(J2791=1,0,IF(OR(AND(OR(B2791="SITE LOSS",B2791="REGION LOSS"),K2791=1),AND(B2791="ROLE COMPROMISE",H2791=C2791)),Inputs!$B$13,Inputs!$B$14))</f>
        <v>10</v>
      </c>
      <c r="O2791" s="15" t="n">
        <f aca="false">IF(J2791=1,0,Inputs!$B$13)</f>
        <v>20</v>
      </c>
      <c r="P2791" s="15" t="n">
        <f aca="false">SUM(M2791:N2791)</f>
        <v>85</v>
      </c>
      <c r="Q2791" s="15" t="n">
        <f aca="false">IF(J2791=1,"",L2791-P2791)</f>
        <v>15</v>
      </c>
      <c r="R2791" s="15" t="n">
        <f aca="false">IF(OR(J2791=1,M2791&lt;=Inputs!$B$12),1,0)</f>
        <v>1</v>
      </c>
      <c r="S2791" s="15" t="n">
        <f aca="false">IF(OR(J2791=1,N2791&lt;=O2791),1,0)</f>
        <v>1</v>
      </c>
      <c r="T2791" s="15" t="str">
        <f aca="false">IF(J2791=1,"OFFLINE",IF(AND(Q2791&gt;=Inputs!$B$15,R2791=1,S2791=1,P2791&lt;=L2791),"PASS","FAIL"))</f>
        <v>PASS</v>
      </c>
    </row>
    <row r="2792" customFormat="false" ht="15" hidden="false" customHeight="false" outlineLevel="0" collapsed="false">
      <c r="A2792" s="14" t="s">
        <v>1047</v>
      </c>
      <c r="B2792" s="14" t="s">
        <v>1048</v>
      </c>
      <c r="C2792" s="14" t="s">
        <v>153</v>
      </c>
      <c r="D2792" s="14" t="s">
        <v>196</v>
      </c>
      <c r="E2792" s="14" t="s">
        <v>172</v>
      </c>
      <c r="F2792" s="14" t="s">
        <v>191</v>
      </c>
      <c r="G2792" s="14" t="n">
        <v>3</v>
      </c>
      <c r="H2792" s="14" t="s">
        <v>158</v>
      </c>
      <c r="I2792" s="14" t="s">
        <v>892</v>
      </c>
      <c r="J2792" s="15" t="n">
        <f aca="false">IF(B2792="SITE LOSS",IF(D2792=C2792,1,0),IF(B2792="REGION LOSS",IF(E2792=C2792,1,0),0))</f>
        <v>0</v>
      </c>
      <c r="K2792" s="15" t="n">
        <f aca="false">IF(B2792="SITE LOSS",IF(COUNTIFS('Site Dockets'!$B$7:$B$24,C2792,'Site Dockets'!$C$7:$C$24,F2792)&gt;0,1,0),IF(B2792="REGION LOSS",IF(COUNTIFS('Site Dockets'!$E$7:$E$24,C2792,'Site Dockets'!$C$7:$C$24,F2792)&gt;0,1,0),0))</f>
        <v>0</v>
      </c>
      <c r="L2792" s="15" t="n">
        <f aca="false">IF(J2792=1,0,Inputs!$B$11)</f>
        <v>100</v>
      </c>
      <c r="M2792" s="15" t="n">
        <f aca="false">IF(J2792=1,0,Inputs!$B$12)</f>
        <v>75</v>
      </c>
      <c r="N2792" s="15" t="n">
        <f aca="false">IF(J2792=1,0,IF(OR(AND(OR(B2792="SITE LOSS",B2792="REGION LOSS"),K2792=1),AND(B2792="ROLE COMPROMISE",H2792=C2792)),Inputs!$B$13,Inputs!$B$14))</f>
        <v>10</v>
      </c>
      <c r="O2792" s="15" t="n">
        <f aca="false">IF(J2792=1,0,Inputs!$B$13)</f>
        <v>20</v>
      </c>
      <c r="P2792" s="15" t="n">
        <f aca="false">SUM(M2792:N2792)</f>
        <v>85</v>
      </c>
      <c r="Q2792" s="15" t="n">
        <f aca="false">IF(J2792=1,"",L2792-P2792)</f>
        <v>15</v>
      </c>
      <c r="R2792" s="15" t="n">
        <f aca="false">IF(OR(J2792=1,M2792&lt;=Inputs!$B$12),1,0)</f>
        <v>1</v>
      </c>
      <c r="S2792" s="15" t="n">
        <f aca="false">IF(OR(J2792=1,N2792&lt;=O2792),1,0)</f>
        <v>1</v>
      </c>
      <c r="T2792" s="15" t="str">
        <f aca="false">IF(J2792=1,"OFFLINE",IF(AND(Q2792&gt;=Inputs!$B$15,R2792=1,S2792=1,P2792&lt;=L2792),"PASS","FAIL"))</f>
        <v>PASS</v>
      </c>
    </row>
    <row r="2793" customFormat="false" ht="15" hidden="false" customHeight="false" outlineLevel="0" collapsed="false">
      <c r="A2793" s="14" t="s">
        <v>1047</v>
      </c>
      <c r="B2793" s="14" t="s">
        <v>1048</v>
      </c>
      <c r="C2793" s="14" t="s">
        <v>153</v>
      </c>
      <c r="D2793" s="14" t="s">
        <v>196</v>
      </c>
      <c r="E2793" s="14" t="s">
        <v>172</v>
      </c>
      <c r="F2793" s="14" t="s">
        <v>191</v>
      </c>
      <c r="G2793" s="14" t="n">
        <v>3</v>
      </c>
      <c r="H2793" s="14" t="s">
        <v>158</v>
      </c>
      <c r="I2793" s="14" t="s">
        <v>811</v>
      </c>
      <c r="J2793" s="15" t="n">
        <f aca="false">IF(B2793="SITE LOSS",IF(D2793=C2793,1,0),IF(B2793="REGION LOSS",IF(E2793=C2793,1,0),0))</f>
        <v>0</v>
      </c>
      <c r="K2793" s="15" t="n">
        <f aca="false">IF(B2793="SITE LOSS",IF(COUNTIFS('Site Dockets'!$B$7:$B$24,C2793,'Site Dockets'!$C$7:$C$24,F2793)&gt;0,1,0),IF(B2793="REGION LOSS",IF(COUNTIFS('Site Dockets'!$E$7:$E$24,C2793,'Site Dockets'!$C$7:$C$24,F2793)&gt;0,1,0),0))</f>
        <v>0</v>
      </c>
      <c r="L2793" s="15" t="n">
        <f aca="false">IF(J2793=1,0,Inputs!$B$11)</f>
        <v>100</v>
      </c>
      <c r="M2793" s="15" t="n">
        <f aca="false">IF(J2793=1,0,Inputs!$B$12)</f>
        <v>75</v>
      </c>
      <c r="N2793" s="15" t="n">
        <f aca="false">IF(J2793=1,0,IF(OR(AND(OR(B2793="SITE LOSS",B2793="REGION LOSS"),K2793=1),AND(B2793="ROLE COMPROMISE",H2793=C2793)),Inputs!$B$13,Inputs!$B$14))</f>
        <v>10</v>
      </c>
      <c r="O2793" s="15" t="n">
        <f aca="false">IF(J2793=1,0,Inputs!$B$13)</f>
        <v>20</v>
      </c>
      <c r="P2793" s="15" t="n">
        <f aca="false">SUM(M2793:N2793)</f>
        <v>85</v>
      </c>
      <c r="Q2793" s="15" t="n">
        <f aca="false">IF(J2793=1,"",L2793-P2793)</f>
        <v>15</v>
      </c>
      <c r="R2793" s="15" t="n">
        <f aca="false">IF(OR(J2793=1,M2793&lt;=Inputs!$B$12),1,0)</f>
        <v>1</v>
      </c>
      <c r="S2793" s="15" t="n">
        <f aca="false">IF(OR(J2793=1,N2793&lt;=O2793),1,0)</f>
        <v>1</v>
      </c>
      <c r="T2793" s="15" t="str">
        <f aca="false">IF(J2793=1,"OFFLINE",IF(AND(Q2793&gt;=Inputs!$B$15,R2793=1,S2793=1,P2793&lt;=L2793),"PASS","FAIL"))</f>
        <v>PASS</v>
      </c>
    </row>
    <row r="2794" customFormat="false" ht="15" hidden="false" customHeight="false" outlineLevel="0" collapsed="false">
      <c r="A2794" s="14" t="s">
        <v>1047</v>
      </c>
      <c r="B2794" s="14" t="s">
        <v>1048</v>
      </c>
      <c r="C2794" s="14" t="s">
        <v>153</v>
      </c>
      <c r="D2794" s="14" t="s">
        <v>196</v>
      </c>
      <c r="E2794" s="14" t="s">
        <v>172</v>
      </c>
      <c r="F2794" s="14" t="s">
        <v>191</v>
      </c>
      <c r="G2794" s="14" t="n">
        <v>3</v>
      </c>
      <c r="H2794" s="14" t="s">
        <v>158</v>
      </c>
      <c r="I2794" s="14" t="s">
        <v>895</v>
      </c>
      <c r="J2794" s="15" t="n">
        <f aca="false">IF(B2794="SITE LOSS",IF(D2794=C2794,1,0),IF(B2794="REGION LOSS",IF(E2794=C2794,1,0),0))</f>
        <v>0</v>
      </c>
      <c r="K2794" s="15" t="n">
        <f aca="false">IF(B2794="SITE LOSS",IF(COUNTIFS('Site Dockets'!$B$7:$B$24,C2794,'Site Dockets'!$C$7:$C$24,F2794)&gt;0,1,0),IF(B2794="REGION LOSS",IF(COUNTIFS('Site Dockets'!$E$7:$E$24,C2794,'Site Dockets'!$C$7:$C$24,F2794)&gt;0,1,0),0))</f>
        <v>0</v>
      </c>
      <c r="L2794" s="15" t="n">
        <f aca="false">IF(J2794=1,0,Inputs!$B$11)</f>
        <v>100</v>
      </c>
      <c r="M2794" s="15" t="n">
        <f aca="false">IF(J2794=1,0,Inputs!$B$12)</f>
        <v>75</v>
      </c>
      <c r="N2794" s="15" t="n">
        <f aca="false">IF(J2794=1,0,IF(OR(AND(OR(B2794="SITE LOSS",B2794="REGION LOSS"),K2794=1),AND(B2794="ROLE COMPROMISE",H2794=C2794)),Inputs!$B$13,Inputs!$B$14))</f>
        <v>10</v>
      </c>
      <c r="O2794" s="15" t="n">
        <f aca="false">IF(J2794=1,0,Inputs!$B$13)</f>
        <v>20</v>
      </c>
      <c r="P2794" s="15" t="n">
        <f aca="false">SUM(M2794:N2794)</f>
        <v>85</v>
      </c>
      <c r="Q2794" s="15" t="n">
        <f aca="false">IF(J2794=1,"",L2794-P2794)</f>
        <v>15</v>
      </c>
      <c r="R2794" s="15" t="n">
        <f aca="false">IF(OR(J2794=1,M2794&lt;=Inputs!$B$12),1,0)</f>
        <v>1</v>
      </c>
      <c r="S2794" s="15" t="n">
        <f aca="false">IF(OR(J2794=1,N2794&lt;=O2794),1,0)</f>
        <v>1</v>
      </c>
      <c r="T2794" s="15" t="str">
        <f aca="false">IF(J2794=1,"OFFLINE",IF(AND(Q2794&gt;=Inputs!$B$15,R2794=1,S2794=1,P2794&lt;=L2794),"PASS","FAIL"))</f>
        <v>PASS</v>
      </c>
    </row>
    <row r="2795" customFormat="false" ht="15" hidden="false" customHeight="false" outlineLevel="0" collapsed="false">
      <c r="A2795" s="14" t="s">
        <v>1047</v>
      </c>
      <c r="B2795" s="14" t="s">
        <v>1048</v>
      </c>
      <c r="C2795" s="14" t="s">
        <v>153</v>
      </c>
      <c r="D2795" s="14" t="s">
        <v>196</v>
      </c>
      <c r="E2795" s="14" t="s">
        <v>172</v>
      </c>
      <c r="F2795" s="14" t="s">
        <v>191</v>
      </c>
      <c r="G2795" s="14" t="n">
        <v>3</v>
      </c>
      <c r="H2795" s="14" t="s">
        <v>158</v>
      </c>
      <c r="I2795" s="14" t="s">
        <v>897</v>
      </c>
      <c r="J2795" s="15" t="n">
        <f aca="false">IF(B2795="SITE LOSS",IF(D2795=C2795,1,0),IF(B2795="REGION LOSS",IF(E2795=C2795,1,0),0))</f>
        <v>0</v>
      </c>
      <c r="K2795" s="15" t="n">
        <f aca="false">IF(B2795="SITE LOSS",IF(COUNTIFS('Site Dockets'!$B$7:$B$24,C2795,'Site Dockets'!$C$7:$C$24,F2795)&gt;0,1,0),IF(B2795="REGION LOSS",IF(COUNTIFS('Site Dockets'!$E$7:$E$24,C2795,'Site Dockets'!$C$7:$C$24,F2795)&gt;0,1,0),0))</f>
        <v>0</v>
      </c>
      <c r="L2795" s="15" t="n">
        <f aca="false">IF(J2795=1,0,Inputs!$B$11)</f>
        <v>100</v>
      </c>
      <c r="M2795" s="15" t="n">
        <f aca="false">IF(J2795=1,0,Inputs!$B$12)</f>
        <v>75</v>
      </c>
      <c r="N2795" s="15" t="n">
        <f aca="false">IF(J2795=1,0,IF(OR(AND(OR(B2795="SITE LOSS",B2795="REGION LOSS"),K2795=1),AND(B2795="ROLE COMPROMISE",H2795=C2795)),Inputs!$B$13,Inputs!$B$14))</f>
        <v>10</v>
      </c>
      <c r="O2795" s="15" t="n">
        <f aca="false">IF(J2795=1,0,Inputs!$B$13)</f>
        <v>20</v>
      </c>
      <c r="P2795" s="15" t="n">
        <f aca="false">SUM(M2795:N2795)</f>
        <v>85</v>
      </c>
      <c r="Q2795" s="15" t="n">
        <f aca="false">IF(J2795=1,"",L2795-P2795)</f>
        <v>15</v>
      </c>
      <c r="R2795" s="15" t="n">
        <f aca="false">IF(OR(J2795=1,M2795&lt;=Inputs!$B$12),1,0)</f>
        <v>1</v>
      </c>
      <c r="S2795" s="15" t="n">
        <f aca="false">IF(OR(J2795=1,N2795&lt;=O2795),1,0)</f>
        <v>1</v>
      </c>
      <c r="T2795" s="15" t="str">
        <f aca="false">IF(J2795=1,"OFFLINE",IF(AND(Q2795&gt;=Inputs!$B$15,R2795=1,S2795=1,P2795&lt;=L2795),"PASS","FAIL"))</f>
        <v>PASS</v>
      </c>
    </row>
    <row r="2796" customFormat="false" ht="15" hidden="false" customHeight="false" outlineLevel="0" collapsed="false">
      <c r="A2796" s="14" t="s">
        <v>1047</v>
      </c>
      <c r="B2796" s="14" t="s">
        <v>1048</v>
      </c>
      <c r="C2796" s="14" t="s">
        <v>153</v>
      </c>
      <c r="D2796" s="14" t="s">
        <v>196</v>
      </c>
      <c r="E2796" s="14" t="s">
        <v>172</v>
      </c>
      <c r="F2796" s="14" t="s">
        <v>191</v>
      </c>
      <c r="G2796" s="14" t="n">
        <v>3</v>
      </c>
      <c r="H2796" s="14" t="s">
        <v>158</v>
      </c>
      <c r="I2796" s="14" t="s">
        <v>899</v>
      </c>
      <c r="J2796" s="15" t="n">
        <f aca="false">IF(B2796="SITE LOSS",IF(D2796=C2796,1,0),IF(B2796="REGION LOSS",IF(E2796=C2796,1,0),0))</f>
        <v>0</v>
      </c>
      <c r="K2796" s="15" t="n">
        <f aca="false">IF(B2796="SITE LOSS",IF(COUNTIFS('Site Dockets'!$B$7:$B$24,C2796,'Site Dockets'!$C$7:$C$24,F2796)&gt;0,1,0),IF(B2796="REGION LOSS",IF(COUNTIFS('Site Dockets'!$E$7:$E$24,C2796,'Site Dockets'!$C$7:$C$24,F2796)&gt;0,1,0),0))</f>
        <v>0</v>
      </c>
      <c r="L2796" s="15" t="n">
        <f aca="false">IF(J2796=1,0,Inputs!$B$11)</f>
        <v>100</v>
      </c>
      <c r="M2796" s="15" t="n">
        <f aca="false">IF(J2796=1,0,Inputs!$B$12)</f>
        <v>75</v>
      </c>
      <c r="N2796" s="15" t="n">
        <f aca="false">IF(J2796=1,0,IF(OR(AND(OR(B2796="SITE LOSS",B2796="REGION LOSS"),K2796=1),AND(B2796="ROLE COMPROMISE",H2796=C2796)),Inputs!$B$13,Inputs!$B$14))</f>
        <v>10</v>
      </c>
      <c r="O2796" s="15" t="n">
        <f aca="false">IF(J2796=1,0,Inputs!$B$13)</f>
        <v>20</v>
      </c>
      <c r="P2796" s="15" t="n">
        <f aca="false">SUM(M2796:N2796)</f>
        <v>85</v>
      </c>
      <c r="Q2796" s="15" t="n">
        <f aca="false">IF(J2796=1,"",L2796-P2796)</f>
        <v>15</v>
      </c>
      <c r="R2796" s="15" t="n">
        <f aca="false">IF(OR(J2796=1,M2796&lt;=Inputs!$B$12),1,0)</f>
        <v>1</v>
      </c>
      <c r="S2796" s="15" t="n">
        <f aca="false">IF(OR(J2796=1,N2796&lt;=O2796),1,0)</f>
        <v>1</v>
      </c>
      <c r="T2796" s="15" t="str">
        <f aca="false">IF(J2796=1,"OFFLINE",IF(AND(Q2796&gt;=Inputs!$B$15,R2796=1,S2796=1,P2796&lt;=L2796),"PASS","FAIL"))</f>
        <v>PASS</v>
      </c>
    </row>
    <row r="2797" customFormat="false" ht="15" hidden="false" customHeight="false" outlineLevel="0" collapsed="false">
      <c r="A2797" s="14" t="s">
        <v>1047</v>
      </c>
      <c r="B2797" s="14" t="s">
        <v>1048</v>
      </c>
      <c r="C2797" s="14" t="s">
        <v>153</v>
      </c>
      <c r="D2797" s="14" t="s">
        <v>198</v>
      </c>
      <c r="E2797" s="14" t="s">
        <v>166</v>
      </c>
      <c r="F2797" s="14" t="s">
        <v>199</v>
      </c>
      <c r="G2797" s="14" t="n">
        <v>1</v>
      </c>
      <c r="H2797" s="14" t="s">
        <v>154</v>
      </c>
      <c r="I2797" s="14" t="s">
        <v>890</v>
      </c>
      <c r="J2797" s="15" t="n">
        <f aca="false">IF(B2797="SITE LOSS",IF(D2797=C2797,1,0),IF(B2797="REGION LOSS",IF(E2797=C2797,1,0),0))</f>
        <v>0</v>
      </c>
      <c r="K2797" s="15" t="n">
        <f aca="false">IF(B2797="SITE LOSS",IF(COUNTIFS('Site Dockets'!$B$7:$B$24,C2797,'Site Dockets'!$C$7:$C$24,F2797)&gt;0,1,0),IF(B2797="REGION LOSS",IF(COUNTIFS('Site Dockets'!$E$7:$E$24,C2797,'Site Dockets'!$C$7:$C$24,F2797)&gt;0,1,0),0))</f>
        <v>0</v>
      </c>
      <c r="L2797" s="15" t="n">
        <f aca="false">IF(J2797=1,0,Inputs!$B$11)</f>
        <v>100</v>
      </c>
      <c r="M2797" s="15" t="n">
        <f aca="false">IF(J2797=1,0,Inputs!$B$12)</f>
        <v>75</v>
      </c>
      <c r="N2797" s="15" t="n">
        <f aca="false">IF(J2797=1,0,IF(OR(AND(OR(B2797="SITE LOSS",B2797="REGION LOSS"),K2797=1),AND(B2797="ROLE COMPROMISE",H2797=C2797)),Inputs!$B$13,Inputs!$B$14))</f>
        <v>10</v>
      </c>
      <c r="O2797" s="15" t="n">
        <f aca="false">IF(J2797=1,0,Inputs!$B$13)</f>
        <v>20</v>
      </c>
      <c r="P2797" s="15" t="n">
        <f aca="false">SUM(M2797:N2797)</f>
        <v>85</v>
      </c>
      <c r="Q2797" s="15" t="n">
        <f aca="false">IF(J2797=1,"",L2797-P2797)</f>
        <v>15</v>
      </c>
      <c r="R2797" s="15" t="n">
        <f aca="false">IF(OR(J2797=1,M2797&lt;=Inputs!$B$12),1,0)</f>
        <v>1</v>
      </c>
      <c r="S2797" s="15" t="n">
        <f aca="false">IF(OR(J2797=1,N2797&lt;=O2797),1,0)</f>
        <v>1</v>
      </c>
      <c r="T2797" s="15" t="str">
        <f aca="false">IF(J2797=1,"OFFLINE",IF(AND(Q2797&gt;=Inputs!$B$15,R2797=1,S2797=1,P2797&lt;=L2797),"PASS","FAIL"))</f>
        <v>PASS</v>
      </c>
    </row>
    <row r="2798" customFormat="false" ht="15" hidden="false" customHeight="false" outlineLevel="0" collapsed="false">
      <c r="A2798" s="14" t="s">
        <v>1047</v>
      </c>
      <c r="B2798" s="14" t="s">
        <v>1048</v>
      </c>
      <c r="C2798" s="14" t="s">
        <v>153</v>
      </c>
      <c r="D2798" s="14" t="s">
        <v>198</v>
      </c>
      <c r="E2798" s="14" t="s">
        <v>166</v>
      </c>
      <c r="F2798" s="14" t="s">
        <v>199</v>
      </c>
      <c r="G2798" s="14" t="n">
        <v>1</v>
      </c>
      <c r="H2798" s="14" t="s">
        <v>154</v>
      </c>
      <c r="I2798" s="14" t="s">
        <v>892</v>
      </c>
      <c r="J2798" s="15" t="n">
        <f aca="false">IF(B2798="SITE LOSS",IF(D2798=C2798,1,0),IF(B2798="REGION LOSS",IF(E2798=C2798,1,0),0))</f>
        <v>0</v>
      </c>
      <c r="K2798" s="15" t="n">
        <f aca="false">IF(B2798="SITE LOSS",IF(COUNTIFS('Site Dockets'!$B$7:$B$24,C2798,'Site Dockets'!$C$7:$C$24,F2798)&gt;0,1,0),IF(B2798="REGION LOSS",IF(COUNTIFS('Site Dockets'!$E$7:$E$24,C2798,'Site Dockets'!$C$7:$C$24,F2798)&gt;0,1,0),0))</f>
        <v>0</v>
      </c>
      <c r="L2798" s="15" t="n">
        <f aca="false">IF(J2798=1,0,Inputs!$B$11)</f>
        <v>100</v>
      </c>
      <c r="M2798" s="15" t="n">
        <f aca="false">IF(J2798=1,0,Inputs!$B$12)</f>
        <v>75</v>
      </c>
      <c r="N2798" s="15" t="n">
        <f aca="false">IF(J2798=1,0,IF(OR(AND(OR(B2798="SITE LOSS",B2798="REGION LOSS"),K2798=1),AND(B2798="ROLE COMPROMISE",H2798=C2798)),Inputs!$B$13,Inputs!$B$14))</f>
        <v>10</v>
      </c>
      <c r="O2798" s="15" t="n">
        <f aca="false">IF(J2798=1,0,Inputs!$B$13)</f>
        <v>20</v>
      </c>
      <c r="P2798" s="15" t="n">
        <f aca="false">SUM(M2798:N2798)</f>
        <v>85</v>
      </c>
      <c r="Q2798" s="15" t="n">
        <f aca="false">IF(J2798=1,"",L2798-P2798)</f>
        <v>15</v>
      </c>
      <c r="R2798" s="15" t="n">
        <f aca="false">IF(OR(J2798=1,M2798&lt;=Inputs!$B$12),1,0)</f>
        <v>1</v>
      </c>
      <c r="S2798" s="15" t="n">
        <f aca="false">IF(OR(J2798=1,N2798&lt;=O2798),1,0)</f>
        <v>1</v>
      </c>
      <c r="T2798" s="15" t="str">
        <f aca="false">IF(J2798=1,"OFFLINE",IF(AND(Q2798&gt;=Inputs!$B$15,R2798=1,S2798=1,P2798&lt;=L2798),"PASS","FAIL"))</f>
        <v>PASS</v>
      </c>
    </row>
    <row r="2799" customFormat="false" ht="15" hidden="false" customHeight="false" outlineLevel="0" collapsed="false">
      <c r="A2799" s="14" t="s">
        <v>1047</v>
      </c>
      <c r="B2799" s="14" t="s">
        <v>1048</v>
      </c>
      <c r="C2799" s="14" t="s">
        <v>153</v>
      </c>
      <c r="D2799" s="14" t="s">
        <v>198</v>
      </c>
      <c r="E2799" s="14" t="s">
        <v>166</v>
      </c>
      <c r="F2799" s="14" t="s">
        <v>199</v>
      </c>
      <c r="G2799" s="14" t="n">
        <v>1</v>
      </c>
      <c r="H2799" s="14" t="s">
        <v>154</v>
      </c>
      <c r="I2799" s="14" t="s">
        <v>811</v>
      </c>
      <c r="J2799" s="15" t="n">
        <f aca="false">IF(B2799="SITE LOSS",IF(D2799=C2799,1,0),IF(B2799="REGION LOSS",IF(E2799=C2799,1,0),0))</f>
        <v>0</v>
      </c>
      <c r="K2799" s="15" t="n">
        <f aca="false">IF(B2799="SITE LOSS",IF(COUNTIFS('Site Dockets'!$B$7:$B$24,C2799,'Site Dockets'!$C$7:$C$24,F2799)&gt;0,1,0),IF(B2799="REGION LOSS",IF(COUNTIFS('Site Dockets'!$E$7:$E$24,C2799,'Site Dockets'!$C$7:$C$24,F2799)&gt;0,1,0),0))</f>
        <v>0</v>
      </c>
      <c r="L2799" s="15" t="n">
        <f aca="false">IF(J2799=1,0,Inputs!$B$11)</f>
        <v>100</v>
      </c>
      <c r="M2799" s="15" t="n">
        <f aca="false">IF(J2799=1,0,Inputs!$B$12)</f>
        <v>75</v>
      </c>
      <c r="N2799" s="15" t="n">
        <f aca="false">IF(J2799=1,0,IF(OR(AND(OR(B2799="SITE LOSS",B2799="REGION LOSS"),K2799=1),AND(B2799="ROLE COMPROMISE",H2799=C2799)),Inputs!$B$13,Inputs!$B$14))</f>
        <v>10</v>
      </c>
      <c r="O2799" s="15" t="n">
        <f aca="false">IF(J2799=1,0,Inputs!$B$13)</f>
        <v>20</v>
      </c>
      <c r="P2799" s="15" t="n">
        <f aca="false">SUM(M2799:N2799)</f>
        <v>85</v>
      </c>
      <c r="Q2799" s="15" t="n">
        <f aca="false">IF(J2799=1,"",L2799-P2799)</f>
        <v>15</v>
      </c>
      <c r="R2799" s="15" t="n">
        <f aca="false">IF(OR(J2799=1,M2799&lt;=Inputs!$B$12),1,0)</f>
        <v>1</v>
      </c>
      <c r="S2799" s="15" t="n">
        <f aca="false">IF(OR(J2799=1,N2799&lt;=O2799),1,0)</f>
        <v>1</v>
      </c>
      <c r="T2799" s="15" t="str">
        <f aca="false">IF(J2799=1,"OFFLINE",IF(AND(Q2799&gt;=Inputs!$B$15,R2799=1,S2799=1,P2799&lt;=L2799),"PASS","FAIL"))</f>
        <v>PASS</v>
      </c>
    </row>
    <row r="2800" customFormat="false" ht="15" hidden="false" customHeight="false" outlineLevel="0" collapsed="false">
      <c r="A2800" s="14" t="s">
        <v>1047</v>
      </c>
      <c r="B2800" s="14" t="s">
        <v>1048</v>
      </c>
      <c r="C2800" s="14" t="s">
        <v>153</v>
      </c>
      <c r="D2800" s="14" t="s">
        <v>198</v>
      </c>
      <c r="E2800" s="14" t="s">
        <v>166</v>
      </c>
      <c r="F2800" s="14" t="s">
        <v>199</v>
      </c>
      <c r="G2800" s="14" t="n">
        <v>1</v>
      </c>
      <c r="H2800" s="14" t="s">
        <v>154</v>
      </c>
      <c r="I2800" s="14" t="s">
        <v>895</v>
      </c>
      <c r="J2800" s="15" t="n">
        <f aca="false">IF(B2800="SITE LOSS",IF(D2800=C2800,1,0),IF(B2800="REGION LOSS",IF(E2800=C2800,1,0),0))</f>
        <v>0</v>
      </c>
      <c r="K2800" s="15" t="n">
        <f aca="false">IF(B2800="SITE LOSS",IF(COUNTIFS('Site Dockets'!$B$7:$B$24,C2800,'Site Dockets'!$C$7:$C$24,F2800)&gt;0,1,0),IF(B2800="REGION LOSS",IF(COUNTIFS('Site Dockets'!$E$7:$E$24,C2800,'Site Dockets'!$C$7:$C$24,F2800)&gt;0,1,0),0))</f>
        <v>0</v>
      </c>
      <c r="L2800" s="15" t="n">
        <f aca="false">IF(J2800=1,0,Inputs!$B$11)</f>
        <v>100</v>
      </c>
      <c r="M2800" s="15" t="n">
        <f aca="false">IF(J2800=1,0,Inputs!$B$12)</f>
        <v>75</v>
      </c>
      <c r="N2800" s="15" t="n">
        <f aca="false">IF(J2800=1,0,IF(OR(AND(OR(B2800="SITE LOSS",B2800="REGION LOSS"),K2800=1),AND(B2800="ROLE COMPROMISE",H2800=C2800)),Inputs!$B$13,Inputs!$B$14))</f>
        <v>10</v>
      </c>
      <c r="O2800" s="15" t="n">
        <f aca="false">IF(J2800=1,0,Inputs!$B$13)</f>
        <v>20</v>
      </c>
      <c r="P2800" s="15" t="n">
        <f aca="false">SUM(M2800:N2800)</f>
        <v>85</v>
      </c>
      <c r="Q2800" s="15" t="n">
        <f aca="false">IF(J2800=1,"",L2800-P2800)</f>
        <v>15</v>
      </c>
      <c r="R2800" s="15" t="n">
        <f aca="false">IF(OR(J2800=1,M2800&lt;=Inputs!$B$12),1,0)</f>
        <v>1</v>
      </c>
      <c r="S2800" s="15" t="n">
        <f aca="false">IF(OR(J2800=1,N2800&lt;=O2800),1,0)</f>
        <v>1</v>
      </c>
      <c r="T2800" s="15" t="str">
        <f aca="false">IF(J2800=1,"OFFLINE",IF(AND(Q2800&gt;=Inputs!$B$15,R2800=1,S2800=1,P2800&lt;=L2800),"PASS","FAIL"))</f>
        <v>PASS</v>
      </c>
    </row>
    <row r="2801" customFormat="false" ht="15" hidden="false" customHeight="false" outlineLevel="0" collapsed="false">
      <c r="A2801" s="14" t="s">
        <v>1047</v>
      </c>
      <c r="B2801" s="14" t="s">
        <v>1048</v>
      </c>
      <c r="C2801" s="14" t="s">
        <v>153</v>
      </c>
      <c r="D2801" s="14" t="s">
        <v>198</v>
      </c>
      <c r="E2801" s="14" t="s">
        <v>166</v>
      </c>
      <c r="F2801" s="14" t="s">
        <v>199</v>
      </c>
      <c r="G2801" s="14" t="n">
        <v>1</v>
      </c>
      <c r="H2801" s="14" t="s">
        <v>154</v>
      </c>
      <c r="I2801" s="14" t="s">
        <v>897</v>
      </c>
      <c r="J2801" s="15" t="n">
        <f aca="false">IF(B2801="SITE LOSS",IF(D2801=C2801,1,0),IF(B2801="REGION LOSS",IF(E2801=C2801,1,0),0))</f>
        <v>0</v>
      </c>
      <c r="K2801" s="15" t="n">
        <f aca="false">IF(B2801="SITE LOSS",IF(COUNTIFS('Site Dockets'!$B$7:$B$24,C2801,'Site Dockets'!$C$7:$C$24,F2801)&gt;0,1,0),IF(B2801="REGION LOSS",IF(COUNTIFS('Site Dockets'!$E$7:$E$24,C2801,'Site Dockets'!$C$7:$C$24,F2801)&gt;0,1,0),0))</f>
        <v>0</v>
      </c>
      <c r="L2801" s="15" t="n">
        <f aca="false">IF(J2801=1,0,Inputs!$B$11)</f>
        <v>100</v>
      </c>
      <c r="M2801" s="15" t="n">
        <f aca="false">IF(J2801=1,0,Inputs!$B$12)</f>
        <v>75</v>
      </c>
      <c r="N2801" s="15" t="n">
        <f aca="false">IF(J2801=1,0,IF(OR(AND(OR(B2801="SITE LOSS",B2801="REGION LOSS"),K2801=1),AND(B2801="ROLE COMPROMISE",H2801=C2801)),Inputs!$B$13,Inputs!$B$14))</f>
        <v>10</v>
      </c>
      <c r="O2801" s="15" t="n">
        <f aca="false">IF(J2801=1,0,Inputs!$B$13)</f>
        <v>20</v>
      </c>
      <c r="P2801" s="15" t="n">
        <f aca="false">SUM(M2801:N2801)</f>
        <v>85</v>
      </c>
      <c r="Q2801" s="15" t="n">
        <f aca="false">IF(J2801=1,"",L2801-P2801)</f>
        <v>15</v>
      </c>
      <c r="R2801" s="15" t="n">
        <f aca="false">IF(OR(J2801=1,M2801&lt;=Inputs!$B$12),1,0)</f>
        <v>1</v>
      </c>
      <c r="S2801" s="15" t="n">
        <f aca="false">IF(OR(J2801=1,N2801&lt;=O2801),1,0)</f>
        <v>1</v>
      </c>
      <c r="T2801" s="15" t="str">
        <f aca="false">IF(J2801=1,"OFFLINE",IF(AND(Q2801&gt;=Inputs!$B$15,R2801=1,S2801=1,P2801&lt;=L2801),"PASS","FAIL"))</f>
        <v>PASS</v>
      </c>
    </row>
    <row r="2802" customFormat="false" ht="15" hidden="false" customHeight="false" outlineLevel="0" collapsed="false">
      <c r="A2802" s="14" t="s">
        <v>1047</v>
      </c>
      <c r="B2802" s="14" t="s">
        <v>1048</v>
      </c>
      <c r="C2802" s="14" t="s">
        <v>153</v>
      </c>
      <c r="D2802" s="14" t="s">
        <v>198</v>
      </c>
      <c r="E2802" s="14" t="s">
        <v>166</v>
      </c>
      <c r="F2802" s="14" t="s">
        <v>199</v>
      </c>
      <c r="G2802" s="14" t="n">
        <v>1</v>
      </c>
      <c r="H2802" s="14" t="s">
        <v>154</v>
      </c>
      <c r="I2802" s="14" t="s">
        <v>899</v>
      </c>
      <c r="J2802" s="15" t="n">
        <f aca="false">IF(B2802="SITE LOSS",IF(D2802=C2802,1,0),IF(B2802="REGION LOSS",IF(E2802=C2802,1,0),0))</f>
        <v>0</v>
      </c>
      <c r="K2802" s="15" t="n">
        <f aca="false">IF(B2802="SITE LOSS",IF(COUNTIFS('Site Dockets'!$B$7:$B$24,C2802,'Site Dockets'!$C$7:$C$24,F2802)&gt;0,1,0),IF(B2802="REGION LOSS",IF(COUNTIFS('Site Dockets'!$E$7:$E$24,C2802,'Site Dockets'!$C$7:$C$24,F2802)&gt;0,1,0),0))</f>
        <v>0</v>
      </c>
      <c r="L2802" s="15" t="n">
        <f aca="false">IF(J2802=1,0,Inputs!$B$11)</f>
        <v>100</v>
      </c>
      <c r="M2802" s="15" t="n">
        <f aca="false">IF(J2802=1,0,Inputs!$B$12)</f>
        <v>75</v>
      </c>
      <c r="N2802" s="15" t="n">
        <f aca="false">IF(J2802=1,0,IF(OR(AND(OR(B2802="SITE LOSS",B2802="REGION LOSS"),K2802=1),AND(B2802="ROLE COMPROMISE",H2802=C2802)),Inputs!$B$13,Inputs!$B$14))</f>
        <v>10</v>
      </c>
      <c r="O2802" s="15" t="n">
        <f aca="false">IF(J2802=1,0,Inputs!$B$13)</f>
        <v>20</v>
      </c>
      <c r="P2802" s="15" t="n">
        <f aca="false">SUM(M2802:N2802)</f>
        <v>85</v>
      </c>
      <c r="Q2802" s="15" t="n">
        <f aca="false">IF(J2802=1,"",L2802-P2802)</f>
        <v>15</v>
      </c>
      <c r="R2802" s="15" t="n">
        <f aca="false">IF(OR(J2802=1,M2802&lt;=Inputs!$B$12),1,0)</f>
        <v>1</v>
      </c>
      <c r="S2802" s="15" t="n">
        <f aca="false">IF(OR(J2802=1,N2802&lt;=O2802),1,0)</f>
        <v>1</v>
      </c>
      <c r="T2802" s="15" t="str">
        <f aca="false">IF(J2802=1,"OFFLINE",IF(AND(Q2802&gt;=Inputs!$B$15,R2802=1,S2802=1,P2802&lt;=L2802),"PASS","FAIL"))</f>
        <v>PASS</v>
      </c>
    </row>
    <row r="2803" customFormat="false" ht="15" hidden="false" customHeight="false" outlineLevel="0" collapsed="false">
      <c r="A2803" s="14" t="s">
        <v>1047</v>
      </c>
      <c r="B2803" s="14" t="s">
        <v>1048</v>
      </c>
      <c r="C2803" s="14" t="s">
        <v>153</v>
      </c>
      <c r="D2803" s="14" t="s">
        <v>202</v>
      </c>
      <c r="E2803" s="14" t="s">
        <v>157</v>
      </c>
      <c r="F2803" s="14" t="s">
        <v>199</v>
      </c>
      <c r="G2803" s="14" t="n">
        <v>2</v>
      </c>
      <c r="H2803" s="14" t="s">
        <v>153</v>
      </c>
      <c r="I2803" s="14" t="s">
        <v>890</v>
      </c>
      <c r="J2803" s="15" t="n">
        <f aca="false">IF(B2803="SITE LOSS",IF(D2803=C2803,1,0),IF(B2803="REGION LOSS",IF(E2803=C2803,1,0),0))</f>
        <v>0</v>
      </c>
      <c r="K2803" s="15" t="n">
        <f aca="false">IF(B2803="SITE LOSS",IF(COUNTIFS('Site Dockets'!$B$7:$B$24,C2803,'Site Dockets'!$C$7:$C$24,F2803)&gt;0,1,0),IF(B2803="REGION LOSS",IF(COUNTIFS('Site Dockets'!$E$7:$E$24,C2803,'Site Dockets'!$C$7:$C$24,F2803)&gt;0,1,0),0))</f>
        <v>0</v>
      </c>
      <c r="L2803" s="15" t="n">
        <f aca="false">IF(J2803=1,0,Inputs!$B$11)</f>
        <v>100</v>
      </c>
      <c r="M2803" s="15" t="n">
        <f aca="false">IF(J2803=1,0,Inputs!$B$12)</f>
        <v>75</v>
      </c>
      <c r="N2803" s="15" t="n">
        <f aca="false">IF(J2803=1,0,IF(OR(AND(OR(B2803="SITE LOSS",B2803="REGION LOSS"),K2803=1),AND(B2803="ROLE COMPROMISE",H2803=C2803)),Inputs!$B$13,Inputs!$B$14))</f>
        <v>20</v>
      </c>
      <c r="O2803" s="15" t="n">
        <f aca="false">IF(J2803=1,0,Inputs!$B$13)</f>
        <v>20</v>
      </c>
      <c r="P2803" s="15" t="n">
        <f aca="false">SUM(M2803:N2803)</f>
        <v>95</v>
      </c>
      <c r="Q2803" s="15" t="n">
        <f aca="false">IF(J2803=1,"",L2803-P2803)</f>
        <v>5</v>
      </c>
      <c r="R2803" s="15" t="n">
        <f aca="false">IF(OR(J2803=1,M2803&lt;=Inputs!$B$12),1,0)</f>
        <v>1</v>
      </c>
      <c r="S2803" s="15" t="n">
        <f aca="false">IF(OR(J2803=1,N2803&lt;=O2803),1,0)</f>
        <v>1</v>
      </c>
      <c r="T2803" s="15" t="str">
        <f aca="false">IF(J2803=1,"OFFLINE",IF(AND(Q2803&gt;=Inputs!$B$15,R2803=1,S2803=1,P2803&lt;=L2803),"PASS","FAIL"))</f>
        <v>PASS</v>
      </c>
    </row>
    <row r="2804" customFormat="false" ht="15" hidden="false" customHeight="false" outlineLevel="0" collapsed="false">
      <c r="A2804" s="14" t="s">
        <v>1047</v>
      </c>
      <c r="B2804" s="14" t="s">
        <v>1048</v>
      </c>
      <c r="C2804" s="14" t="s">
        <v>153</v>
      </c>
      <c r="D2804" s="14" t="s">
        <v>202</v>
      </c>
      <c r="E2804" s="14" t="s">
        <v>157</v>
      </c>
      <c r="F2804" s="14" t="s">
        <v>199</v>
      </c>
      <c r="G2804" s="14" t="n">
        <v>2</v>
      </c>
      <c r="H2804" s="14" t="s">
        <v>153</v>
      </c>
      <c r="I2804" s="14" t="s">
        <v>892</v>
      </c>
      <c r="J2804" s="15" t="n">
        <f aca="false">IF(B2804="SITE LOSS",IF(D2804=C2804,1,0),IF(B2804="REGION LOSS",IF(E2804=C2804,1,0),0))</f>
        <v>0</v>
      </c>
      <c r="K2804" s="15" t="n">
        <f aca="false">IF(B2804="SITE LOSS",IF(COUNTIFS('Site Dockets'!$B$7:$B$24,C2804,'Site Dockets'!$C$7:$C$24,F2804)&gt;0,1,0),IF(B2804="REGION LOSS",IF(COUNTIFS('Site Dockets'!$E$7:$E$24,C2804,'Site Dockets'!$C$7:$C$24,F2804)&gt;0,1,0),0))</f>
        <v>0</v>
      </c>
      <c r="L2804" s="15" t="n">
        <f aca="false">IF(J2804=1,0,Inputs!$B$11)</f>
        <v>100</v>
      </c>
      <c r="M2804" s="15" t="n">
        <f aca="false">IF(J2804=1,0,Inputs!$B$12)</f>
        <v>75</v>
      </c>
      <c r="N2804" s="15" t="n">
        <f aca="false">IF(J2804=1,0,IF(OR(AND(OR(B2804="SITE LOSS",B2804="REGION LOSS"),K2804=1),AND(B2804="ROLE COMPROMISE",H2804=C2804)),Inputs!$B$13,Inputs!$B$14))</f>
        <v>20</v>
      </c>
      <c r="O2804" s="15" t="n">
        <f aca="false">IF(J2804=1,0,Inputs!$B$13)</f>
        <v>20</v>
      </c>
      <c r="P2804" s="15" t="n">
        <f aca="false">SUM(M2804:N2804)</f>
        <v>95</v>
      </c>
      <c r="Q2804" s="15" t="n">
        <f aca="false">IF(J2804=1,"",L2804-P2804)</f>
        <v>5</v>
      </c>
      <c r="R2804" s="15" t="n">
        <f aca="false">IF(OR(J2804=1,M2804&lt;=Inputs!$B$12),1,0)</f>
        <v>1</v>
      </c>
      <c r="S2804" s="15" t="n">
        <f aca="false">IF(OR(J2804=1,N2804&lt;=O2804),1,0)</f>
        <v>1</v>
      </c>
      <c r="T2804" s="15" t="str">
        <f aca="false">IF(J2804=1,"OFFLINE",IF(AND(Q2804&gt;=Inputs!$B$15,R2804=1,S2804=1,P2804&lt;=L2804),"PASS","FAIL"))</f>
        <v>PASS</v>
      </c>
    </row>
    <row r="2805" customFormat="false" ht="15" hidden="false" customHeight="false" outlineLevel="0" collapsed="false">
      <c r="A2805" s="14" t="s">
        <v>1047</v>
      </c>
      <c r="B2805" s="14" t="s">
        <v>1048</v>
      </c>
      <c r="C2805" s="14" t="s">
        <v>153</v>
      </c>
      <c r="D2805" s="14" t="s">
        <v>202</v>
      </c>
      <c r="E2805" s="14" t="s">
        <v>157</v>
      </c>
      <c r="F2805" s="14" t="s">
        <v>199</v>
      </c>
      <c r="G2805" s="14" t="n">
        <v>2</v>
      </c>
      <c r="H2805" s="14" t="s">
        <v>153</v>
      </c>
      <c r="I2805" s="14" t="s">
        <v>811</v>
      </c>
      <c r="J2805" s="15" t="n">
        <f aca="false">IF(B2805="SITE LOSS",IF(D2805=C2805,1,0),IF(B2805="REGION LOSS",IF(E2805=C2805,1,0),0))</f>
        <v>0</v>
      </c>
      <c r="K2805" s="15" t="n">
        <f aca="false">IF(B2805="SITE LOSS",IF(COUNTIFS('Site Dockets'!$B$7:$B$24,C2805,'Site Dockets'!$C$7:$C$24,F2805)&gt;0,1,0),IF(B2805="REGION LOSS",IF(COUNTIFS('Site Dockets'!$E$7:$E$24,C2805,'Site Dockets'!$C$7:$C$24,F2805)&gt;0,1,0),0))</f>
        <v>0</v>
      </c>
      <c r="L2805" s="15" t="n">
        <f aca="false">IF(J2805=1,0,Inputs!$B$11)</f>
        <v>100</v>
      </c>
      <c r="M2805" s="15" t="n">
        <f aca="false">IF(J2805=1,0,Inputs!$B$12)</f>
        <v>75</v>
      </c>
      <c r="N2805" s="15" t="n">
        <f aca="false">IF(J2805=1,0,IF(OR(AND(OR(B2805="SITE LOSS",B2805="REGION LOSS"),K2805=1),AND(B2805="ROLE COMPROMISE",H2805=C2805)),Inputs!$B$13,Inputs!$B$14))</f>
        <v>20</v>
      </c>
      <c r="O2805" s="15" t="n">
        <f aca="false">IF(J2805=1,0,Inputs!$B$13)</f>
        <v>20</v>
      </c>
      <c r="P2805" s="15" t="n">
        <f aca="false">SUM(M2805:N2805)</f>
        <v>95</v>
      </c>
      <c r="Q2805" s="15" t="n">
        <f aca="false">IF(J2805=1,"",L2805-P2805)</f>
        <v>5</v>
      </c>
      <c r="R2805" s="15" t="n">
        <f aca="false">IF(OR(J2805=1,M2805&lt;=Inputs!$B$12),1,0)</f>
        <v>1</v>
      </c>
      <c r="S2805" s="15" t="n">
        <f aca="false">IF(OR(J2805=1,N2805&lt;=O2805),1,0)</f>
        <v>1</v>
      </c>
      <c r="T2805" s="15" t="str">
        <f aca="false">IF(J2805=1,"OFFLINE",IF(AND(Q2805&gt;=Inputs!$B$15,R2805=1,S2805=1,P2805&lt;=L2805),"PASS","FAIL"))</f>
        <v>PASS</v>
      </c>
    </row>
    <row r="2806" customFormat="false" ht="15" hidden="false" customHeight="false" outlineLevel="0" collapsed="false">
      <c r="A2806" s="14" t="s">
        <v>1047</v>
      </c>
      <c r="B2806" s="14" t="s">
        <v>1048</v>
      </c>
      <c r="C2806" s="14" t="s">
        <v>153</v>
      </c>
      <c r="D2806" s="14" t="s">
        <v>202</v>
      </c>
      <c r="E2806" s="14" t="s">
        <v>157</v>
      </c>
      <c r="F2806" s="14" t="s">
        <v>199</v>
      </c>
      <c r="G2806" s="14" t="n">
        <v>2</v>
      </c>
      <c r="H2806" s="14" t="s">
        <v>153</v>
      </c>
      <c r="I2806" s="14" t="s">
        <v>895</v>
      </c>
      <c r="J2806" s="15" t="n">
        <f aca="false">IF(B2806="SITE LOSS",IF(D2806=C2806,1,0),IF(B2806="REGION LOSS",IF(E2806=C2806,1,0),0))</f>
        <v>0</v>
      </c>
      <c r="K2806" s="15" t="n">
        <f aca="false">IF(B2806="SITE LOSS",IF(COUNTIFS('Site Dockets'!$B$7:$B$24,C2806,'Site Dockets'!$C$7:$C$24,F2806)&gt;0,1,0),IF(B2806="REGION LOSS",IF(COUNTIFS('Site Dockets'!$E$7:$E$24,C2806,'Site Dockets'!$C$7:$C$24,F2806)&gt;0,1,0),0))</f>
        <v>0</v>
      </c>
      <c r="L2806" s="15" t="n">
        <f aca="false">IF(J2806=1,0,Inputs!$B$11)</f>
        <v>100</v>
      </c>
      <c r="M2806" s="15" t="n">
        <f aca="false">IF(J2806=1,0,Inputs!$B$12)</f>
        <v>75</v>
      </c>
      <c r="N2806" s="15" t="n">
        <f aca="false">IF(J2806=1,0,IF(OR(AND(OR(B2806="SITE LOSS",B2806="REGION LOSS"),K2806=1),AND(B2806="ROLE COMPROMISE",H2806=C2806)),Inputs!$B$13,Inputs!$B$14))</f>
        <v>20</v>
      </c>
      <c r="O2806" s="15" t="n">
        <f aca="false">IF(J2806=1,0,Inputs!$B$13)</f>
        <v>20</v>
      </c>
      <c r="P2806" s="15" t="n">
        <f aca="false">SUM(M2806:N2806)</f>
        <v>95</v>
      </c>
      <c r="Q2806" s="15" t="n">
        <f aca="false">IF(J2806=1,"",L2806-P2806)</f>
        <v>5</v>
      </c>
      <c r="R2806" s="15" t="n">
        <f aca="false">IF(OR(J2806=1,M2806&lt;=Inputs!$B$12),1,0)</f>
        <v>1</v>
      </c>
      <c r="S2806" s="15" t="n">
        <f aca="false">IF(OR(J2806=1,N2806&lt;=O2806),1,0)</f>
        <v>1</v>
      </c>
      <c r="T2806" s="15" t="str">
        <f aca="false">IF(J2806=1,"OFFLINE",IF(AND(Q2806&gt;=Inputs!$B$15,R2806=1,S2806=1,P2806&lt;=L2806),"PASS","FAIL"))</f>
        <v>PASS</v>
      </c>
    </row>
    <row r="2807" customFormat="false" ht="15" hidden="false" customHeight="false" outlineLevel="0" collapsed="false">
      <c r="A2807" s="14" t="s">
        <v>1047</v>
      </c>
      <c r="B2807" s="14" t="s">
        <v>1048</v>
      </c>
      <c r="C2807" s="14" t="s">
        <v>153</v>
      </c>
      <c r="D2807" s="14" t="s">
        <v>202</v>
      </c>
      <c r="E2807" s="14" t="s">
        <v>157</v>
      </c>
      <c r="F2807" s="14" t="s">
        <v>199</v>
      </c>
      <c r="G2807" s="14" t="n">
        <v>2</v>
      </c>
      <c r="H2807" s="14" t="s">
        <v>153</v>
      </c>
      <c r="I2807" s="14" t="s">
        <v>897</v>
      </c>
      <c r="J2807" s="15" t="n">
        <f aca="false">IF(B2807="SITE LOSS",IF(D2807=C2807,1,0),IF(B2807="REGION LOSS",IF(E2807=C2807,1,0),0))</f>
        <v>0</v>
      </c>
      <c r="K2807" s="15" t="n">
        <f aca="false">IF(B2807="SITE LOSS",IF(COUNTIFS('Site Dockets'!$B$7:$B$24,C2807,'Site Dockets'!$C$7:$C$24,F2807)&gt;0,1,0),IF(B2807="REGION LOSS",IF(COUNTIFS('Site Dockets'!$E$7:$E$24,C2807,'Site Dockets'!$C$7:$C$24,F2807)&gt;0,1,0),0))</f>
        <v>0</v>
      </c>
      <c r="L2807" s="15" t="n">
        <f aca="false">IF(J2807=1,0,Inputs!$B$11)</f>
        <v>100</v>
      </c>
      <c r="M2807" s="15" t="n">
        <f aca="false">IF(J2807=1,0,Inputs!$B$12)</f>
        <v>75</v>
      </c>
      <c r="N2807" s="15" t="n">
        <f aca="false">IF(J2807=1,0,IF(OR(AND(OR(B2807="SITE LOSS",B2807="REGION LOSS"),K2807=1),AND(B2807="ROLE COMPROMISE",H2807=C2807)),Inputs!$B$13,Inputs!$B$14))</f>
        <v>20</v>
      </c>
      <c r="O2807" s="15" t="n">
        <f aca="false">IF(J2807=1,0,Inputs!$B$13)</f>
        <v>20</v>
      </c>
      <c r="P2807" s="15" t="n">
        <f aca="false">SUM(M2807:N2807)</f>
        <v>95</v>
      </c>
      <c r="Q2807" s="15" t="n">
        <f aca="false">IF(J2807=1,"",L2807-P2807)</f>
        <v>5</v>
      </c>
      <c r="R2807" s="15" t="n">
        <f aca="false">IF(OR(J2807=1,M2807&lt;=Inputs!$B$12),1,0)</f>
        <v>1</v>
      </c>
      <c r="S2807" s="15" t="n">
        <f aca="false">IF(OR(J2807=1,N2807&lt;=O2807),1,0)</f>
        <v>1</v>
      </c>
      <c r="T2807" s="15" t="str">
        <f aca="false">IF(J2807=1,"OFFLINE",IF(AND(Q2807&gt;=Inputs!$B$15,R2807=1,S2807=1,P2807&lt;=L2807),"PASS","FAIL"))</f>
        <v>PASS</v>
      </c>
    </row>
    <row r="2808" customFormat="false" ht="15" hidden="false" customHeight="false" outlineLevel="0" collapsed="false">
      <c r="A2808" s="14" t="s">
        <v>1047</v>
      </c>
      <c r="B2808" s="14" t="s">
        <v>1048</v>
      </c>
      <c r="C2808" s="14" t="s">
        <v>153</v>
      </c>
      <c r="D2808" s="14" t="s">
        <v>202</v>
      </c>
      <c r="E2808" s="14" t="s">
        <v>157</v>
      </c>
      <c r="F2808" s="14" t="s">
        <v>199</v>
      </c>
      <c r="G2808" s="14" t="n">
        <v>2</v>
      </c>
      <c r="H2808" s="14" t="s">
        <v>153</v>
      </c>
      <c r="I2808" s="14" t="s">
        <v>899</v>
      </c>
      <c r="J2808" s="15" t="n">
        <f aca="false">IF(B2808="SITE LOSS",IF(D2808=C2808,1,0),IF(B2808="REGION LOSS",IF(E2808=C2808,1,0),0))</f>
        <v>0</v>
      </c>
      <c r="K2808" s="15" t="n">
        <f aca="false">IF(B2808="SITE LOSS",IF(COUNTIFS('Site Dockets'!$B$7:$B$24,C2808,'Site Dockets'!$C$7:$C$24,F2808)&gt;0,1,0),IF(B2808="REGION LOSS",IF(COUNTIFS('Site Dockets'!$E$7:$E$24,C2808,'Site Dockets'!$C$7:$C$24,F2808)&gt;0,1,0),0))</f>
        <v>0</v>
      </c>
      <c r="L2808" s="15" t="n">
        <f aca="false">IF(J2808=1,0,Inputs!$B$11)</f>
        <v>100</v>
      </c>
      <c r="M2808" s="15" t="n">
        <f aca="false">IF(J2808=1,0,Inputs!$B$12)</f>
        <v>75</v>
      </c>
      <c r="N2808" s="15" t="n">
        <f aca="false">IF(J2808=1,0,IF(OR(AND(OR(B2808="SITE LOSS",B2808="REGION LOSS"),K2808=1),AND(B2808="ROLE COMPROMISE",H2808=C2808)),Inputs!$B$13,Inputs!$B$14))</f>
        <v>20</v>
      </c>
      <c r="O2808" s="15" t="n">
        <f aca="false">IF(J2808=1,0,Inputs!$B$13)</f>
        <v>20</v>
      </c>
      <c r="P2808" s="15" t="n">
        <f aca="false">SUM(M2808:N2808)</f>
        <v>95</v>
      </c>
      <c r="Q2808" s="15" t="n">
        <f aca="false">IF(J2808=1,"",L2808-P2808)</f>
        <v>5</v>
      </c>
      <c r="R2808" s="15" t="n">
        <f aca="false">IF(OR(J2808=1,M2808&lt;=Inputs!$B$12),1,0)</f>
        <v>1</v>
      </c>
      <c r="S2808" s="15" t="n">
        <f aca="false">IF(OR(J2808=1,N2808&lt;=O2808),1,0)</f>
        <v>1</v>
      </c>
      <c r="T2808" s="15" t="str">
        <f aca="false">IF(J2808=1,"OFFLINE",IF(AND(Q2808&gt;=Inputs!$B$15,R2808=1,S2808=1,P2808&lt;=L2808),"PASS","FAIL"))</f>
        <v>PASS</v>
      </c>
    </row>
    <row r="2809" customFormat="false" ht="15" hidden="false" customHeight="false" outlineLevel="0" collapsed="false">
      <c r="A2809" s="14" t="s">
        <v>1047</v>
      </c>
      <c r="B2809" s="14" t="s">
        <v>1048</v>
      </c>
      <c r="C2809" s="14" t="s">
        <v>153</v>
      </c>
      <c r="D2809" s="14" t="s">
        <v>204</v>
      </c>
      <c r="E2809" s="14" t="s">
        <v>161</v>
      </c>
      <c r="F2809" s="14" t="s">
        <v>199</v>
      </c>
      <c r="G2809" s="14" t="n">
        <v>3</v>
      </c>
      <c r="H2809" s="14" t="s">
        <v>158</v>
      </c>
      <c r="I2809" s="14" t="s">
        <v>890</v>
      </c>
      <c r="J2809" s="15" t="n">
        <f aca="false">IF(B2809="SITE LOSS",IF(D2809=C2809,1,0),IF(B2809="REGION LOSS",IF(E2809=C2809,1,0),0))</f>
        <v>0</v>
      </c>
      <c r="K2809" s="15" t="n">
        <f aca="false">IF(B2809="SITE LOSS",IF(COUNTIFS('Site Dockets'!$B$7:$B$24,C2809,'Site Dockets'!$C$7:$C$24,F2809)&gt;0,1,0),IF(B2809="REGION LOSS",IF(COUNTIFS('Site Dockets'!$E$7:$E$24,C2809,'Site Dockets'!$C$7:$C$24,F2809)&gt;0,1,0),0))</f>
        <v>0</v>
      </c>
      <c r="L2809" s="15" t="n">
        <f aca="false">IF(J2809=1,0,Inputs!$B$11)</f>
        <v>100</v>
      </c>
      <c r="M2809" s="15" t="n">
        <f aca="false">IF(J2809=1,0,Inputs!$B$12)</f>
        <v>75</v>
      </c>
      <c r="N2809" s="15" t="n">
        <f aca="false">IF(J2809=1,0,IF(OR(AND(OR(B2809="SITE LOSS",B2809="REGION LOSS"),K2809=1),AND(B2809="ROLE COMPROMISE",H2809=C2809)),Inputs!$B$13,Inputs!$B$14))</f>
        <v>10</v>
      </c>
      <c r="O2809" s="15" t="n">
        <f aca="false">IF(J2809=1,0,Inputs!$B$13)</f>
        <v>20</v>
      </c>
      <c r="P2809" s="15" t="n">
        <f aca="false">SUM(M2809:N2809)</f>
        <v>85</v>
      </c>
      <c r="Q2809" s="15" t="n">
        <f aca="false">IF(J2809=1,"",L2809-P2809)</f>
        <v>15</v>
      </c>
      <c r="R2809" s="15" t="n">
        <f aca="false">IF(OR(J2809=1,M2809&lt;=Inputs!$B$12),1,0)</f>
        <v>1</v>
      </c>
      <c r="S2809" s="15" t="n">
        <f aca="false">IF(OR(J2809=1,N2809&lt;=O2809),1,0)</f>
        <v>1</v>
      </c>
      <c r="T2809" s="15" t="str">
        <f aca="false">IF(J2809=1,"OFFLINE",IF(AND(Q2809&gt;=Inputs!$B$15,R2809=1,S2809=1,P2809&lt;=L2809),"PASS","FAIL"))</f>
        <v>PASS</v>
      </c>
    </row>
    <row r="2810" customFormat="false" ht="15" hidden="false" customHeight="false" outlineLevel="0" collapsed="false">
      <c r="A2810" s="14" t="s">
        <v>1047</v>
      </c>
      <c r="B2810" s="14" t="s">
        <v>1048</v>
      </c>
      <c r="C2810" s="14" t="s">
        <v>153</v>
      </c>
      <c r="D2810" s="14" t="s">
        <v>204</v>
      </c>
      <c r="E2810" s="14" t="s">
        <v>161</v>
      </c>
      <c r="F2810" s="14" t="s">
        <v>199</v>
      </c>
      <c r="G2810" s="14" t="n">
        <v>3</v>
      </c>
      <c r="H2810" s="14" t="s">
        <v>158</v>
      </c>
      <c r="I2810" s="14" t="s">
        <v>892</v>
      </c>
      <c r="J2810" s="15" t="n">
        <f aca="false">IF(B2810="SITE LOSS",IF(D2810=C2810,1,0),IF(B2810="REGION LOSS",IF(E2810=C2810,1,0),0))</f>
        <v>0</v>
      </c>
      <c r="K2810" s="15" t="n">
        <f aca="false">IF(B2810="SITE LOSS",IF(COUNTIFS('Site Dockets'!$B$7:$B$24,C2810,'Site Dockets'!$C$7:$C$24,F2810)&gt;0,1,0),IF(B2810="REGION LOSS",IF(COUNTIFS('Site Dockets'!$E$7:$E$24,C2810,'Site Dockets'!$C$7:$C$24,F2810)&gt;0,1,0),0))</f>
        <v>0</v>
      </c>
      <c r="L2810" s="15" t="n">
        <f aca="false">IF(J2810=1,0,Inputs!$B$11)</f>
        <v>100</v>
      </c>
      <c r="M2810" s="15" t="n">
        <f aca="false">IF(J2810=1,0,Inputs!$B$12)</f>
        <v>75</v>
      </c>
      <c r="N2810" s="15" t="n">
        <f aca="false">IF(J2810=1,0,IF(OR(AND(OR(B2810="SITE LOSS",B2810="REGION LOSS"),K2810=1),AND(B2810="ROLE COMPROMISE",H2810=C2810)),Inputs!$B$13,Inputs!$B$14))</f>
        <v>10</v>
      </c>
      <c r="O2810" s="15" t="n">
        <f aca="false">IF(J2810=1,0,Inputs!$B$13)</f>
        <v>20</v>
      </c>
      <c r="P2810" s="15" t="n">
        <f aca="false">SUM(M2810:N2810)</f>
        <v>85</v>
      </c>
      <c r="Q2810" s="15" t="n">
        <f aca="false">IF(J2810=1,"",L2810-P2810)</f>
        <v>15</v>
      </c>
      <c r="R2810" s="15" t="n">
        <f aca="false">IF(OR(J2810=1,M2810&lt;=Inputs!$B$12),1,0)</f>
        <v>1</v>
      </c>
      <c r="S2810" s="15" t="n">
        <f aca="false">IF(OR(J2810=1,N2810&lt;=O2810),1,0)</f>
        <v>1</v>
      </c>
      <c r="T2810" s="15" t="str">
        <f aca="false">IF(J2810=1,"OFFLINE",IF(AND(Q2810&gt;=Inputs!$B$15,R2810=1,S2810=1,P2810&lt;=L2810),"PASS","FAIL"))</f>
        <v>PASS</v>
      </c>
    </row>
    <row r="2811" customFormat="false" ht="15" hidden="false" customHeight="false" outlineLevel="0" collapsed="false">
      <c r="A2811" s="14" t="s">
        <v>1047</v>
      </c>
      <c r="B2811" s="14" t="s">
        <v>1048</v>
      </c>
      <c r="C2811" s="14" t="s">
        <v>153</v>
      </c>
      <c r="D2811" s="14" t="s">
        <v>204</v>
      </c>
      <c r="E2811" s="14" t="s">
        <v>161</v>
      </c>
      <c r="F2811" s="14" t="s">
        <v>199</v>
      </c>
      <c r="G2811" s="14" t="n">
        <v>3</v>
      </c>
      <c r="H2811" s="14" t="s">
        <v>158</v>
      </c>
      <c r="I2811" s="14" t="s">
        <v>811</v>
      </c>
      <c r="J2811" s="15" t="n">
        <f aca="false">IF(B2811="SITE LOSS",IF(D2811=C2811,1,0),IF(B2811="REGION LOSS",IF(E2811=C2811,1,0),0))</f>
        <v>0</v>
      </c>
      <c r="K2811" s="15" t="n">
        <f aca="false">IF(B2811="SITE LOSS",IF(COUNTIFS('Site Dockets'!$B$7:$B$24,C2811,'Site Dockets'!$C$7:$C$24,F2811)&gt;0,1,0),IF(B2811="REGION LOSS",IF(COUNTIFS('Site Dockets'!$E$7:$E$24,C2811,'Site Dockets'!$C$7:$C$24,F2811)&gt;0,1,0),0))</f>
        <v>0</v>
      </c>
      <c r="L2811" s="15" t="n">
        <f aca="false">IF(J2811=1,0,Inputs!$B$11)</f>
        <v>100</v>
      </c>
      <c r="M2811" s="15" t="n">
        <f aca="false">IF(J2811=1,0,Inputs!$B$12)</f>
        <v>75</v>
      </c>
      <c r="N2811" s="15" t="n">
        <f aca="false">IF(J2811=1,0,IF(OR(AND(OR(B2811="SITE LOSS",B2811="REGION LOSS"),K2811=1),AND(B2811="ROLE COMPROMISE",H2811=C2811)),Inputs!$B$13,Inputs!$B$14))</f>
        <v>10</v>
      </c>
      <c r="O2811" s="15" t="n">
        <f aca="false">IF(J2811=1,0,Inputs!$B$13)</f>
        <v>20</v>
      </c>
      <c r="P2811" s="15" t="n">
        <f aca="false">SUM(M2811:N2811)</f>
        <v>85</v>
      </c>
      <c r="Q2811" s="15" t="n">
        <f aca="false">IF(J2811=1,"",L2811-P2811)</f>
        <v>15</v>
      </c>
      <c r="R2811" s="15" t="n">
        <f aca="false">IF(OR(J2811=1,M2811&lt;=Inputs!$B$12),1,0)</f>
        <v>1</v>
      </c>
      <c r="S2811" s="15" t="n">
        <f aca="false">IF(OR(J2811=1,N2811&lt;=O2811),1,0)</f>
        <v>1</v>
      </c>
      <c r="T2811" s="15" t="str">
        <f aca="false">IF(J2811=1,"OFFLINE",IF(AND(Q2811&gt;=Inputs!$B$15,R2811=1,S2811=1,P2811&lt;=L2811),"PASS","FAIL"))</f>
        <v>PASS</v>
      </c>
    </row>
    <row r="2812" customFormat="false" ht="15" hidden="false" customHeight="false" outlineLevel="0" collapsed="false">
      <c r="A2812" s="14" t="s">
        <v>1047</v>
      </c>
      <c r="B2812" s="14" t="s">
        <v>1048</v>
      </c>
      <c r="C2812" s="14" t="s">
        <v>153</v>
      </c>
      <c r="D2812" s="14" t="s">
        <v>204</v>
      </c>
      <c r="E2812" s="14" t="s">
        <v>161</v>
      </c>
      <c r="F2812" s="14" t="s">
        <v>199</v>
      </c>
      <c r="G2812" s="14" t="n">
        <v>3</v>
      </c>
      <c r="H2812" s="14" t="s">
        <v>158</v>
      </c>
      <c r="I2812" s="14" t="s">
        <v>895</v>
      </c>
      <c r="J2812" s="15" t="n">
        <f aca="false">IF(B2812="SITE LOSS",IF(D2812=C2812,1,0),IF(B2812="REGION LOSS",IF(E2812=C2812,1,0),0))</f>
        <v>0</v>
      </c>
      <c r="K2812" s="15" t="n">
        <f aca="false">IF(B2812="SITE LOSS",IF(COUNTIFS('Site Dockets'!$B$7:$B$24,C2812,'Site Dockets'!$C$7:$C$24,F2812)&gt;0,1,0),IF(B2812="REGION LOSS",IF(COUNTIFS('Site Dockets'!$E$7:$E$24,C2812,'Site Dockets'!$C$7:$C$24,F2812)&gt;0,1,0),0))</f>
        <v>0</v>
      </c>
      <c r="L2812" s="15" t="n">
        <f aca="false">IF(J2812=1,0,Inputs!$B$11)</f>
        <v>100</v>
      </c>
      <c r="M2812" s="15" t="n">
        <f aca="false">IF(J2812=1,0,Inputs!$B$12)</f>
        <v>75</v>
      </c>
      <c r="N2812" s="15" t="n">
        <f aca="false">IF(J2812=1,0,IF(OR(AND(OR(B2812="SITE LOSS",B2812="REGION LOSS"),K2812=1),AND(B2812="ROLE COMPROMISE",H2812=C2812)),Inputs!$B$13,Inputs!$B$14))</f>
        <v>10</v>
      </c>
      <c r="O2812" s="15" t="n">
        <f aca="false">IF(J2812=1,0,Inputs!$B$13)</f>
        <v>20</v>
      </c>
      <c r="P2812" s="15" t="n">
        <f aca="false">SUM(M2812:N2812)</f>
        <v>85</v>
      </c>
      <c r="Q2812" s="15" t="n">
        <f aca="false">IF(J2812=1,"",L2812-P2812)</f>
        <v>15</v>
      </c>
      <c r="R2812" s="15" t="n">
        <f aca="false">IF(OR(J2812=1,M2812&lt;=Inputs!$B$12),1,0)</f>
        <v>1</v>
      </c>
      <c r="S2812" s="15" t="n">
        <f aca="false">IF(OR(J2812=1,N2812&lt;=O2812),1,0)</f>
        <v>1</v>
      </c>
      <c r="T2812" s="15" t="str">
        <f aca="false">IF(J2812=1,"OFFLINE",IF(AND(Q2812&gt;=Inputs!$B$15,R2812=1,S2812=1,P2812&lt;=L2812),"PASS","FAIL"))</f>
        <v>PASS</v>
      </c>
    </row>
    <row r="2813" customFormat="false" ht="15" hidden="false" customHeight="false" outlineLevel="0" collapsed="false">
      <c r="A2813" s="14" t="s">
        <v>1047</v>
      </c>
      <c r="B2813" s="14" t="s">
        <v>1048</v>
      </c>
      <c r="C2813" s="14" t="s">
        <v>153</v>
      </c>
      <c r="D2813" s="14" t="s">
        <v>204</v>
      </c>
      <c r="E2813" s="14" t="s">
        <v>161</v>
      </c>
      <c r="F2813" s="14" t="s">
        <v>199</v>
      </c>
      <c r="G2813" s="14" t="n">
        <v>3</v>
      </c>
      <c r="H2813" s="14" t="s">
        <v>158</v>
      </c>
      <c r="I2813" s="14" t="s">
        <v>897</v>
      </c>
      <c r="J2813" s="15" t="n">
        <f aca="false">IF(B2813="SITE LOSS",IF(D2813=C2813,1,0),IF(B2813="REGION LOSS",IF(E2813=C2813,1,0),0))</f>
        <v>0</v>
      </c>
      <c r="K2813" s="15" t="n">
        <f aca="false">IF(B2813="SITE LOSS",IF(COUNTIFS('Site Dockets'!$B$7:$B$24,C2813,'Site Dockets'!$C$7:$C$24,F2813)&gt;0,1,0),IF(B2813="REGION LOSS",IF(COUNTIFS('Site Dockets'!$E$7:$E$24,C2813,'Site Dockets'!$C$7:$C$24,F2813)&gt;0,1,0),0))</f>
        <v>0</v>
      </c>
      <c r="L2813" s="15" t="n">
        <f aca="false">IF(J2813=1,0,Inputs!$B$11)</f>
        <v>100</v>
      </c>
      <c r="M2813" s="15" t="n">
        <f aca="false">IF(J2813=1,0,Inputs!$B$12)</f>
        <v>75</v>
      </c>
      <c r="N2813" s="15" t="n">
        <f aca="false">IF(J2813=1,0,IF(OR(AND(OR(B2813="SITE LOSS",B2813="REGION LOSS"),K2813=1),AND(B2813="ROLE COMPROMISE",H2813=C2813)),Inputs!$B$13,Inputs!$B$14))</f>
        <v>10</v>
      </c>
      <c r="O2813" s="15" t="n">
        <f aca="false">IF(J2813=1,0,Inputs!$B$13)</f>
        <v>20</v>
      </c>
      <c r="P2813" s="15" t="n">
        <f aca="false">SUM(M2813:N2813)</f>
        <v>85</v>
      </c>
      <c r="Q2813" s="15" t="n">
        <f aca="false">IF(J2813=1,"",L2813-P2813)</f>
        <v>15</v>
      </c>
      <c r="R2813" s="15" t="n">
        <f aca="false">IF(OR(J2813=1,M2813&lt;=Inputs!$B$12),1,0)</f>
        <v>1</v>
      </c>
      <c r="S2813" s="15" t="n">
        <f aca="false">IF(OR(J2813=1,N2813&lt;=O2813),1,0)</f>
        <v>1</v>
      </c>
      <c r="T2813" s="15" t="str">
        <f aca="false">IF(J2813=1,"OFFLINE",IF(AND(Q2813&gt;=Inputs!$B$15,R2813=1,S2813=1,P2813&lt;=L2813),"PASS","FAIL"))</f>
        <v>PASS</v>
      </c>
    </row>
    <row r="2814" customFormat="false" ht="15" hidden="false" customHeight="false" outlineLevel="0" collapsed="false">
      <c r="A2814" s="14" t="s">
        <v>1047</v>
      </c>
      <c r="B2814" s="14" t="s">
        <v>1048</v>
      </c>
      <c r="C2814" s="14" t="s">
        <v>153</v>
      </c>
      <c r="D2814" s="14" t="s">
        <v>204</v>
      </c>
      <c r="E2814" s="14" t="s">
        <v>161</v>
      </c>
      <c r="F2814" s="14" t="s">
        <v>199</v>
      </c>
      <c r="G2814" s="14" t="n">
        <v>3</v>
      </c>
      <c r="H2814" s="14" t="s">
        <v>158</v>
      </c>
      <c r="I2814" s="14" t="s">
        <v>899</v>
      </c>
      <c r="J2814" s="15" t="n">
        <f aca="false">IF(B2814="SITE LOSS",IF(D2814=C2814,1,0),IF(B2814="REGION LOSS",IF(E2814=C2814,1,0),0))</f>
        <v>0</v>
      </c>
      <c r="K2814" s="15" t="n">
        <f aca="false">IF(B2814="SITE LOSS",IF(COUNTIFS('Site Dockets'!$B$7:$B$24,C2814,'Site Dockets'!$C$7:$C$24,F2814)&gt;0,1,0),IF(B2814="REGION LOSS",IF(COUNTIFS('Site Dockets'!$E$7:$E$24,C2814,'Site Dockets'!$C$7:$C$24,F2814)&gt;0,1,0),0))</f>
        <v>0</v>
      </c>
      <c r="L2814" s="15" t="n">
        <f aca="false">IF(J2814=1,0,Inputs!$B$11)</f>
        <v>100</v>
      </c>
      <c r="M2814" s="15" t="n">
        <f aca="false">IF(J2814=1,0,Inputs!$B$12)</f>
        <v>75</v>
      </c>
      <c r="N2814" s="15" t="n">
        <f aca="false">IF(J2814=1,0,IF(OR(AND(OR(B2814="SITE LOSS",B2814="REGION LOSS"),K2814=1),AND(B2814="ROLE COMPROMISE",H2814=C2814)),Inputs!$B$13,Inputs!$B$14))</f>
        <v>10</v>
      </c>
      <c r="O2814" s="15" t="n">
        <f aca="false">IF(J2814=1,0,Inputs!$B$13)</f>
        <v>20</v>
      </c>
      <c r="P2814" s="15" t="n">
        <f aca="false">SUM(M2814:N2814)</f>
        <v>85</v>
      </c>
      <c r="Q2814" s="15" t="n">
        <f aca="false">IF(J2814=1,"",L2814-P2814)</f>
        <v>15</v>
      </c>
      <c r="R2814" s="15" t="n">
        <f aca="false">IF(OR(J2814=1,M2814&lt;=Inputs!$B$12),1,0)</f>
        <v>1</v>
      </c>
      <c r="S2814" s="15" t="n">
        <f aca="false">IF(OR(J2814=1,N2814&lt;=O2814),1,0)</f>
        <v>1</v>
      </c>
      <c r="T2814" s="15" t="str">
        <f aca="false">IF(J2814=1,"OFFLINE",IF(AND(Q2814&gt;=Inputs!$B$15,R2814=1,S2814=1,P2814&lt;=L2814),"PASS","FAIL"))</f>
        <v>PASS</v>
      </c>
    </row>
    <row r="2815" customFormat="false" ht="15" hidden="false" customHeight="false" outlineLevel="0" collapsed="false">
      <c r="A2815" s="14" t="s">
        <v>1049</v>
      </c>
      <c r="B2815" s="14" t="s">
        <v>1048</v>
      </c>
      <c r="C2815" s="14" t="s">
        <v>158</v>
      </c>
      <c r="D2815" s="14" t="s">
        <v>149</v>
      </c>
      <c r="E2815" s="14" t="s">
        <v>152</v>
      </c>
      <c r="F2815" s="14" t="s">
        <v>150</v>
      </c>
      <c r="G2815" s="14" t="n">
        <v>1</v>
      </c>
      <c r="H2815" s="14" t="s">
        <v>154</v>
      </c>
      <c r="I2815" s="14" t="s">
        <v>890</v>
      </c>
      <c r="J2815" s="15" t="n">
        <f aca="false">IF(B2815="SITE LOSS",IF(D2815=C2815,1,0),IF(B2815="REGION LOSS",IF(E2815=C2815,1,0),0))</f>
        <v>0</v>
      </c>
      <c r="K2815" s="15" t="n">
        <f aca="false">IF(B2815="SITE LOSS",IF(COUNTIFS('Site Dockets'!$B$7:$B$24,C2815,'Site Dockets'!$C$7:$C$24,F2815)&gt;0,1,0),IF(B2815="REGION LOSS",IF(COUNTIFS('Site Dockets'!$E$7:$E$24,C2815,'Site Dockets'!$C$7:$C$24,F2815)&gt;0,1,0),0))</f>
        <v>0</v>
      </c>
      <c r="L2815" s="15" t="n">
        <f aca="false">IF(J2815=1,0,Inputs!$B$11)</f>
        <v>100</v>
      </c>
      <c r="M2815" s="15" t="n">
        <f aca="false">IF(J2815=1,0,Inputs!$B$12)</f>
        <v>75</v>
      </c>
      <c r="N2815" s="15" t="n">
        <f aca="false">IF(J2815=1,0,IF(OR(AND(OR(B2815="SITE LOSS",B2815="REGION LOSS"),K2815=1),AND(B2815="ROLE COMPROMISE",H2815=C2815)),Inputs!$B$13,Inputs!$B$14))</f>
        <v>10</v>
      </c>
      <c r="O2815" s="15" t="n">
        <f aca="false">IF(J2815=1,0,Inputs!$B$13)</f>
        <v>20</v>
      </c>
      <c r="P2815" s="15" t="n">
        <f aca="false">SUM(M2815:N2815)</f>
        <v>85</v>
      </c>
      <c r="Q2815" s="15" t="n">
        <f aca="false">IF(J2815=1,"",L2815-P2815)</f>
        <v>15</v>
      </c>
      <c r="R2815" s="15" t="n">
        <f aca="false">IF(OR(J2815=1,M2815&lt;=Inputs!$B$12),1,0)</f>
        <v>1</v>
      </c>
      <c r="S2815" s="15" t="n">
        <f aca="false">IF(OR(J2815=1,N2815&lt;=O2815),1,0)</f>
        <v>1</v>
      </c>
      <c r="T2815" s="15" t="str">
        <f aca="false">IF(J2815=1,"OFFLINE",IF(AND(Q2815&gt;=Inputs!$B$15,R2815=1,S2815=1,P2815&lt;=L2815),"PASS","FAIL"))</f>
        <v>PASS</v>
      </c>
    </row>
    <row r="2816" customFormat="false" ht="15" hidden="false" customHeight="false" outlineLevel="0" collapsed="false">
      <c r="A2816" s="14" t="s">
        <v>1049</v>
      </c>
      <c r="B2816" s="14" t="s">
        <v>1048</v>
      </c>
      <c r="C2816" s="14" t="s">
        <v>158</v>
      </c>
      <c r="D2816" s="14" t="s">
        <v>149</v>
      </c>
      <c r="E2816" s="14" t="s">
        <v>152</v>
      </c>
      <c r="F2816" s="14" t="s">
        <v>150</v>
      </c>
      <c r="G2816" s="14" t="n">
        <v>1</v>
      </c>
      <c r="H2816" s="14" t="s">
        <v>154</v>
      </c>
      <c r="I2816" s="14" t="s">
        <v>892</v>
      </c>
      <c r="J2816" s="15" t="n">
        <f aca="false">IF(B2816="SITE LOSS",IF(D2816=C2816,1,0),IF(B2816="REGION LOSS",IF(E2816=C2816,1,0),0))</f>
        <v>0</v>
      </c>
      <c r="K2816" s="15" t="n">
        <f aca="false">IF(B2816="SITE LOSS",IF(COUNTIFS('Site Dockets'!$B$7:$B$24,C2816,'Site Dockets'!$C$7:$C$24,F2816)&gt;0,1,0),IF(B2816="REGION LOSS",IF(COUNTIFS('Site Dockets'!$E$7:$E$24,C2816,'Site Dockets'!$C$7:$C$24,F2816)&gt;0,1,0),0))</f>
        <v>0</v>
      </c>
      <c r="L2816" s="15" t="n">
        <f aca="false">IF(J2816=1,0,Inputs!$B$11)</f>
        <v>100</v>
      </c>
      <c r="M2816" s="15" t="n">
        <f aca="false">IF(J2816=1,0,Inputs!$B$12)</f>
        <v>75</v>
      </c>
      <c r="N2816" s="15" t="n">
        <f aca="false">IF(J2816=1,0,IF(OR(AND(OR(B2816="SITE LOSS",B2816="REGION LOSS"),K2816=1),AND(B2816="ROLE COMPROMISE",H2816=C2816)),Inputs!$B$13,Inputs!$B$14))</f>
        <v>10</v>
      </c>
      <c r="O2816" s="15" t="n">
        <f aca="false">IF(J2816=1,0,Inputs!$B$13)</f>
        <v>20</v>
      </c>
      <c r="P2816" s="15" t="n">
        <f aca="false">SUM(M2816:N2816)</f>
        <v>85</v>
      </c>
      <c r="Q2816" s="15" t="n">
        <f aca="false">IF(J2816=1,"",L2816-P2816)</f>
        <v>15</v>
      </c>
      <c r="R2816" s="15" t="n">
        <f aca="false">IF(OR(J2816=1,M2816&lt;=Inputs!$B$12),1,0)</f>
        <v>1</v>
      </c>
      <c r="S2816" s="15" t="n">
        <f aca="false">IF(OR(J2816=1,N2816&lt;=O2816),1,0)</f>
        <v>1</v>
      </c>
      <c r="T2816" s="15" t="str">
        <f aca="false">IF(J2816=1,"OFFLINE",IF(AND(Q2816&gt;=Inputs!$B$15,R2816=1,S2816=1,P2816&lt;=L2816),"PASS","FAIL"))</f>
        <v>PASS</v>
      </c>
    </row>
    <row r="2817" customFormat="false" ht="15" hidden="false" customHeight="false" outlineLevel="0" collapsed="false">
      <c r="A2817" s="14" t="s">
        <v>1049</v>
      </c>
      <c r="B2817" s="14" t="s">
        <v>1048</v>
      </c>
      <c r="C2817" s="14" t="s">
        <v>158</v>
      </c>
      <c r="D2817" s="14" t="s">
        <v>149</v>
      </c>
      <c r="E2817" s="14" t="s">
        <v>152</v>
      </c>
      <c r="F2817" s="14" t="s">
        <v>150</v>
      </c>
      <c r="G2817" s="14" t="n">
        <v>1</v>
      </c>
      <c r="H2817" s="14" t="s">
        <v>154</v>
      </c>
      <c r="I2817" s="14" t="s">
        <v>811</v>
      </c>
      <c r="J2817" s="15" t="n">
        <f aca="false">IF(B2817="SITE LOSS",IF(D2817=C2817,1,0),IF(B2817="REGION LOSS",IF(E2817=C2817,1,0),0))</f>
        <v>0</v>
      </c>
      <c r="K2817" s="15" t="n">
        <f aca="false">IF(B2817="SITE LOSS",IF(COUNTIFS('Site Dockets'!$B$7:$B$24,C2817,'Site Dockets'!$C$7:$C$24,F2817)&gt;0,1,0),IF(B2817="REGION LOSS",IF(COUNTIFS('Site Dockets'!$E$7:$E$24,C2817,'Site Dockets'!$C$7:$C$24,F2817)&gt;0,1,0),0))</f>
        <v>0</v>
      </c>
      <c r="L2817" s="15" t="n">
        <f aca="false">IF(J2817=1,0,Inputs!$B$11)</f>
        <v>100</v>
      </c>
      <c r="M2817" s="15" t="n">
        <f aca="false">IF(J2817=1,0,Inputs!$B$12)</f>
        <v>75</v>
      </c>
      <c r="N2817" s="15" t="n">
        <f aca="false">IF(J2817=1,0,IF(OR(AND(OR(B2817="SITE LOSS",B2817="REGION LOSS"),K2817=1),AND(B2817="ROLE COMPROMISE",H2817=C2817)),Inputs!$B$13,Inputs!$B$14))</f>
        <v>10</v>
      </c>
      <c r="O2817" s="15" t="n">
        <f aca="false">IF(J2817=1,0,Inputs!$B$13)</f>
        <v>20</v>
      </c>
      <c r="P2817" s="15" t="n">
        <f aca="false">SUM(M2817:N2817)</f>
        <v>85</v>
      </c>
      <c r="Q2817" s="15" t="n">
        <f aca="false">IF(J2817=1,"",L2817-P2817)</f>
        <v>15</v>
      </c>
      <c r="R2817" s="15" t="n">
        <f aca="false">IF(OR(J2817=1,M2817&lt;=Inputs!$B$12),1,0)</f>
        <v>1</v>
      </c>
      <c r="S2817" s="15" t="n">
        <f aca="false">IF(OR(J2817=1,N2817&lt;=O2817),1,0)</f>
        <v>1</v>
      </c>
      <c r="T2817" s="15" t="str">
        <f aca="false">IF(J2817=1,"OFFLINE",IF(AND(Q2817&gt;=Inputs!$B$15,R2817=1,S2817=1,P2817&lt;=L2817),"PASS","FAIL"))</f>
        <v>PASS</v>
      </c>
    </row>
    <row r="2818" customFormat="false" ht="15" hidden="false" customHeight="false" outlineLevel="0" collapsed="false">
      <c r="A2818" s="14" t="s">
        <v>1049</v>
      </c>
      <c r="B2818" s="14" t="s">
        <v>1048</v>
      </c>
      <c r="C2818" s="14" t="s">
        <v>158</v>
      </c>
      <c r="D2818" s="14" t="s">
        <v>149</v>
      </c>
      <c r="E2818" s="14" t="s">
        <v>152</v>
      </c>
      <c r="F2818" s="14" t="s">
        <v>150</v>
      </c>
      <c r="G2818" s="14" t="n">
        <v>1</v>
      </c>
      <c r="H2818" s="14" t="s">
        <v>154</v>
      </c>
      <c r="I2818" s="14" t="s">
        <v>895</v>
      </c>
      <c r="J2818" s="15" t="n">
        <f aca="false">IF(B2818="SITE LOSS",IF(D2818=C2818,1,0),IF(B2818="REGION LOSS",IF(E2818=C2818,1,0),0))</f>
        <v>0</v>
      </c>
      <c r="K2818" s="15" t="n">
        <f aca="false">IF(B2818="SITE LOSS",IF(COUNTIFS('Site Dockets'!$B$7:$B$24,C2818,'Site Dockets'!$C$7:$C$24,F2818)&gt;0,1,0),IF(B2818="REGION LOSS",IF(COUNTIFS('Site Dockets'!$E$7:$E$24,C2818,'Site Dockets'!$C$7:$C$24,F2818)&gt;0,1,0),0))</f>
        <v>0</v>
      </c>
      <c r="L2818" s="15" t="n">
        <f aca="false">IF(J2818=1,0,Inputs!$B$11)</f>
        <v>100</v>
      </c>
      <c r="M2818" s="15" t="n">
        <f aca="false">IF(J2818=1,0,Inputs!$B$12)</f>
        <v>75</v>
      </c>
      <c r="N2818" s="15" t="n">
        <f aca="false">IF(J2818=1,0,IF(OR(AND(OR(B2818="SITE LOSS",B2818="REGION LOSS"),K2818=1),AND(B2818="ROLE COMPROMISE",H2818=C2818)),Inputs!$B$13,Inputs!$B$14))</f>
        <v>10</v>
      </c>
      <c r="O2818" s="15" t="n">
        <f aca="false">IF(J2818=1,0,Inputs!$B$13)</f>
        <v>20</v>
      </c>
      <c r="P2818" s="15" t="n">
        <f aca="false">SUM(M2818:N2818)</f>
        <v>85</v>
      </c>
      <c r="Q2818" s="15" t="n">
        <f aca="false">IF(J2818=1,"",L2818-P2818)</f>
        <v>15</v>
      </c>
      <c r="R2818" s="15" t="n">
        <f aca="false">IF(OR(J2818=1,M2818&lt;=Inputs!$B$12),1,0)</f>
        <v>1</v>
      </c>
      <c r="S2818" s="15" t="n">
        <f aca="false">IF(OR(J2818=1,N2818&lt;=O2818),1,0)</f>
        <v>1</v>
      </c>
      <c r="T2818" s="15" t="str">
        <f aca="false">IF(J2818=1,"OFFLINE",IF(AND(Q2818&gt;=Inputs!$B$15,R2818=1,S2818=1,P2818&lt;=L2818),"PASS","FAIL"))</f>
        <v>PASS</v>
      </c>
    </row>
    <row r="2819" customFormat="false" ht="15" hidden="false" customHeight="false" outlineLevel="0" collapsed="false">
      <c r="A2819" s="14" t="s">
        <v>1049</v>
      </c>
      <c r="B2819" s="14" t="s">
        <v>1048</v>
      </c>
      <c r="C2819" s="14" t="s">
        <v>158</v>
      </c>
      <c r="D2819" s="14" t="s">
        <v>149</v>
      </c>
      <c r="E2819" s="14" t="s">
        <v>152</v>
      </c>
      <c r="F2819" s="14" t="s">
        <v>150</v>
      </c>
      <c r="G2819" s="14" t="n">
        <v>1</v>
      </c>
      <c r="H2819" s="14" t="s">
        <v>154</v>
      </c>
      <c r="I2819" s="14" t="s">
        <v>897</v>
      </c>
      <c r="J2819" s="15" t="n">
        <f aca="false">IF(B2819="SITE LOSS",IF(D2819=C2819,1,0),IF(B2819="REGION LOSS",IF(E2819=C2819,1,0),0))</f>
        <v>0</v>
      </c>
      <c r="K2819" s="15" t="n">
        <f aca="false">IF(B2819="SITE LOSS",IF(COUNTIFS('Site Dockets'!$B$7:$B$24,C2819,'Site Dockets'!$C$7:$C$24,F2819)&gt;0,1,0),IF(B2819="REGION LOSS",IF(COUNTIFS('Site Dockets'!$E$7:$E$24,C2819,'Site Dockets'!$C$7:$C$24,F2819)&gt;0,1,0),0))</f>
        <v>0</v>
      </c>
      <c r="L2819" s="15" t="n">
        <f aca="false">IF(J2819=1,0,Inputs!$B$11)</f>
        <v>100</v>
      </c>
      <c r="M2819" s="15" t="n">
        <f aca="false">IF(J2819=1,0,Inputs!$B$12)</f>
        <v>75</v>
      </c>
      <c r="N2819" s="15" t="n">
        <f aca="false">IF(J2819=1,0,IF(OR(AND(OR(B2819="SITE LOSS",B2819="REGION LOSS"),K2819=1),AND(B2819="ROLE COMPROMISE",H2819=C2819)),Inputs!$B$13,Inputs!$B$14))</f>
        <v>10</v>
      </c>
      <c r="O2819" s="15" t="n">
        <f aca="false">IF(J2819=1,0,Inputs!$B$13)</f>
        <v>20</v>
      </c>
      <c r="P2819" s="15" t="n">
        <f aca="false">SUM(M2819:N2819)</f>
        <v>85</v>
      </c>
      <c r="Q2819" s="15" t="n">
        <f aca="false">IF(J2819=1,"",L2819-P2819)</f>
        <v>15</v>
      </c>
      <c r="R2819" s="15" t="n">
        <f aca="false">IF(OR(J2819=1,M2819&lt;=Inputs!$B$12),1,0)</f>
        <v>1</v>
      </c>
      <c r="S2819" s="15" t="n">
        <f aca="false">IF(OR(J2819=1,N2819&lt;=O2819),1,0)</f>
        <v>1</v>
      </c>
      <c r="T2819" s="15" t="str">
        <f aca="false">IF(J2819=1,"OFFLINE",IF(AND(Q2819&gt;=Inputs!$B$15,R2819=1,S2819=1,P2819&lt;=L2819),"PASS","FAIL"))</f>
        <v>PASS</v>
      </c>
    </row>
    <row r="2820" customFormat="false" ht="15" hidden="false" customHeight="false" outlineLevel="0" collapsed="false">
      <c r="A2820" s="14" t="s">
        <v>1049</v>
      </c>
      <c r="B2820" s="14" t="s">
        <v>1048</v>
      </c>
      <c r="C2820" s="14" t="s">
        <v>158</v>
      </c>
      <c r="D2820" s="14" t="s">
        <v>149</v>
      </c>
      <c r="E2820" s="14" t="s">
        <v>152</v>
      </c>
      <c r="F2820" s="14" t="s">
        <v>150</v>
      </c>
      <c r="G2820" s="14" t="n">
        <v>1</v>
      </c>
      <c r="H2820" s="14" t="s">
        <v>154</v>
      </c>
      <c r="I2820" s="14" t="s">
        <v>899</v>
      </c>
      <c r="J2820" s="15" t="n">
        <f aca="false">IF(B2820="SITE LOSS",IF(D2820=C2820,1,0),IF(B2820="REGION LOSS",IF(E2820=C2820,1,0),0))</f>
        <v>0</v>
      </c>
      <c r="K2820" s="15" t="n">
        <f aca="false">IF(B2820="SITE LOSS",IF(COUNTIFS('Site Dockets'!$B$7:$B$24,C2820,'Site Dockets'!$C$7:$C$24,F2820)&gt;0,1,0),IF(B2820="REGION LOSS",IF(COUNTIFS('Site Dockets'!$E$7:$E$24,C2820,'Site Dockets'!$C$7:$C$24,F2820)&gt;0,1,0),0))</f>
        <v>0</v>
      </c>
      <c r="L2820" s="15" t="n">
        <f aca="false">IF(J2820=1,0,Inputs!$B$11)</f>
        <v>100</v>
      </c>
      <c r="M2820" s="15" t="n">
        <f aca="false">IF(J2820=1,0,Inputs!$B$12)</f>
        <v>75</v>
      </c>
      <c r="N2820" s="15" t="n">
        <f aca="false">IF(J2820=1,0,IF(OR(AND(OR(B2820="SITE LOSS",B2820="REGION LOSS"),K2820=1),AND(B2820="ROLE COMPROMISE",H2820=C2820)),Inputs!$B$13,Inputs!$B$14))</f>
        <v>10</v>
      </c>
      <c r="O2820" s="15" t="n">
        <f aca="false">IF(J2820=1,0,Inputs!$B$13)</f>
        <v>20</v>
      </c>
      <c r="P2820" s="15" t="n">
        <f aca="false">SUM(M2820:N2820)</f>
        <v>85</v>
      </c>
      <c r="Q2820" s="15" t="n">
        <f aca="false">IF(J2820=1,"",L2820-P2820)</f>
        <v>15</v>
      </c>
      <c r="R2820" s="15" t="n">
        <f aca="false">IF(OR(J2820=1,M2820&lt;=Inputs!$B$12),1,0)</f>
        <v>1</v>
      </c>
      <c r="S2820" s="15" t="n">
        <f aca="false">IF(OR(J2820=1,N2820&lt;=O2820),1,0)</f>
        <v>1</v>
      </c>
      <c r="T2820" s="15" t="str">
        <f aca="false">IF(J2820=1,"OFFLINE",IF(AND(Q2820&gt;=Inputs!$B$15,R2820=1,S2820=1,P2820&lt;=L2820),"PASS","FAIL"))</f>
        <v>PASS</v>
      </c>
    </row>
    <row r="2821" customFormat="false" ht="15" hidden="false" customHeight="false" outlineLevel="0" collapsed="false">
      <c r="A2821" s="14" t="s">
        <v>1049</v>
      </c>
      <c r="B2821" s="14" t="s">
        <v>1048</v>
      </c>
      <c r="C2821" s="14" t="s">
        <v>158</v>
      </c>
      <c r="D2821" s="14" t="s">
        <v>156</v>
      </c>
      <c r="E2821" s="14" t="s">
        <v>157</v>
      </c>
      <c r="F2821" s="14" t="s">
        <v>150</v>
      </c>
      <c r="G2821" s="14" t="n">
        <v>2</v>
      </c>
      <c r="H2821" s="14" t="s">
        <v>153</v>
      </c>
      <c r="I2821" s="14" t="s">
        <v>890</v>
      </c>
      <c r="J2821" s="15" t="n">
        <f aca="false">IF(B2821="SITE LOSS",IF(D2821=C2821,1,0),IF(B2821="REGION LOSS",IF(E2821=C2821,1,0),0))</f>
        <v>0</v>
      </c>
      <c r="K2821" s="15" t="n">
        <f aca="false">IF(B2821="SITE LOSS",IF(COUNTIFS('Site Dockets'!$B$7:$B$24,C2821,'Site Dockets'!$C$7:$C$24,F2821)&gt;0,1,0),IF(B2821="REGION LOSS",IF(COUNTIFS('Site Dockets'!$E$7:$E$24,C2821,'Site Dockets'!$C$7:$C$24,F2821)&gt;0,1,0),0))</f>
        <v>0</v>
      </c>
      <c r="L2821" s="15" t="n">
        <f aca="false">IF(J2821=1,0,Inputs!$B$11)</f>
        <v>100</v>
      </c>
      <c r="M2821" s="15" t="n">
        <f aca="false">IF(J2821=1,0,Inputs!$B$12)</f>
        <v>75</v>
      </c>
      <c r="N2821" s="15" t="n">
        <f aca="false">IF(J2821=1,0,IF(OR(AND(OR(B2821="SITE LOSS",B2821="REGION LOSS"),K2821=1),AND(B2821="ROLE COMPROMISE",H2821=C2821)),Inputs!$B$13,Inputs!$B$14))</f>
        <v>10</v>
      </c>
      <c r="O2821" s="15" t="n">
        <f aca="false">IF(J2821=1,0,Inputs!$B$13)</f>
        <v>20</v>
      </c>
      <c r="P2821" s="15" t="n">
        <f aca="false">SUM(M2821:N2821)</f>
        <v>85</v>
      </c>
      <c r="Q2821" s="15" t="n">
        <f aca="false">IF(J2821=1,"",L2821-P2821)</f>
        <v>15</v>
      </c>
      <c r="R2821" s="15" t="n">
        <f aca="false">IF(OR(J2821=1,M2821&lt;=Inputs!$B$12),1,0)</f>
        <v>1</v>
      </c>
      <c r="S2821" s="15" t="n">
        <f aca="false">IF(OR(J2821=1,N2821&lt;=O2821),1,0)</f>
        <v>1</v>
      </c>
      <c r="T2821" s="15" t="str">
        <f aca="false">IF(J2821=1,"OFFLINE",IF(AND(Q2821&gt;=Inputs!$B$15,R2821=1,S2821=1,P2821&lt;=L2821),"PASS","FAIL"))</f>
        <v>PASS</v>
      </c>
    </row>
    <row r="2822" customFormat="false" ht="15" hidden="false" customHeight="false" outlineLevel="0" collapsed="false">
      <c r="A2822" s="14" t="s">
        <v>1049</v>
      </c>
      <c r="B2822" s="14" t="s">
        <v>1048</v>
      </c>
      <c r="C2822" s="14" t="s">
        <v>158</v>
      </c>
      <c r="D2822" s="14" t="s">
        <v>156</v>
      </c>
      <c r="E2822" s="14" t="s">
        <v>157</v>
      </c>
      <c r="F2822" s="14" t="s">
        <v>150</v>
      </c>
      <c r="G2822" s="14" t="n">
        <v>2</v>
      </c>
      <c r="H2822" s="14" t="s">
        <v>153</v>
      </c>
      <c r="I2822" s="14" t="s">
        <v>892</v>
      </c>
      <c r="J2822" s="15" t="n">
        <f aca="false">IF(B2822="SITE LOSS",IF(D2822=C2822,1,0),IF(B2822="REGION LOSS",IF(E2822=C2822,1,0),0))</f>
        <v>0</v>
      </c>
      <c r="K2822" s="15" t="n">
        <f aca="false">IF(B2822="SITE LOSS",IF(COUNTIFS('Site Dockets'!$B$7:$B$24,C2822,'Site Dockets'!$C$7:$C$24,F2822)&gt;0,1,0),IF(B2822="REGION LOSS",IF(COUNTIFS('Site Dockets'!$E$7:$E$24,C2822,'Site Dockets'!$C$7:$C$24,F2822)&gt;0,1,0),0))</f>
        <v>0</v>
      </c>
      <c r="L2822" s="15" t="n">
        <f aca="false">IF(J2822=1,0,Inputs!$B$11)</f>
        <v>100</v>
      </c>
      <c r="M2822" s="15" t="n">
        <f aca="false">IF(J2822=1,0,Inputs!$B$12)</f>
        <v>75</v>
      </c>
      <c r="N2822" s="15" t="n">
        <f aca="false">IF(J2822=1,0,IF(OR(AND(OR(B2822="SITE LOSS",B2822="REGION LOSS"),K2822=1),AND(B2822="ROLE COMPROMISE",H2822=C2822)),Inputs!$B$13,Inputs!$B$14))</f>
        <v>10</v>
      </c>
      <c r="O2822" s="15" t="n">
        <f aca="false">IF(J2822=1,0,Inputs!$B$13)</f>
        <v>20</v>
      </c>
      <c r="P2822" s="15" t="n">
        <f aca="false">SUM(M2822:N2822)</f>
        <v>85</v>
      </c>
      <c r="Q2822" s="15" t="n">
        <f aca="false">IF(J2822=1,"",L2822-P2822)</f>
        <v>15</v>
      </c>
      <c r="R2822" s="15" t="n">
        <f aca="false">IF(OR(J2822=1,M2822&lt;=Inputs!$B$12),1,0)</f>
        <v>1</v>
      </c>
      <c r="S2822" s="15" t="n">
        <f aca="false">IF(OR(J2822=1,N2822&lt;=O2822),1,0)</f>
        <v>1</v>
      </c>
      <c r="T2822" s="15" t="str">
        <f aca="false">IF(J2822=1,"OFFLINE",IF(AND(Q2822&gt;=Inputs!$B$15,R2822=1,S2822=1,P2822&lt;=L2822),"PASS","FAIL"))</f>
        <v>PASS</v>
      </c>
    </row>
    <row r="2823" customFormat="false" ht="15" hidden="false" customHeight="false" outlineLevel="0" collapsed="false">
      <c r="A2823" s="14" t="s">
        <v>1049</v>
      </c>
      <c r="B2823" s="14" t="s">
        <v>1048</v>
      </c>
      <c r="C2823" s="14" t="s">
        <v>158</v>
      </c>
      <c r="D2823" s="14" t="s">
        <v>156</v>
      </c>
      <c r="E2823" s="14" t="s">
        <v>157</v>
      </c>
      <c r="F2823" s="14" t="s">
        <v>150</v>
      </c>
      <c r="G2823" s="14" t="n">
        <v>2</v>
      </c>
      <c r="H2823" s="14" t="s">
        <v>153</v>
      </c>
      <c r="I2823" s="14" t="s">
        <v>811</v>
      </c>
      <c r="J2823" s="15" t="n">
        <f aca="false">IF(B2823="SITE LOSS",IF(D2823=C2823,1,0),IF(B2823="REGION LOSS",IF(E2823=C2823,1,0),0))</f>
        <v>0</v>
      </c>
      <c r="K2823" s="15" t="n">
        <f aca="false">IF(B2823="SITE LOSS",IF(COUNTIFS('Site Dockets'!$B$7:$B$24,C2823,'Site Dockets'!$C$7:$C$24,F2823)&gt;0,1,0),IF(B2823="REGION LOSS",IF(COUNTIFS('Site Dockets'!$E$7:$E$24,C2823,'Site Dockets'!$C$7:$C$24,F2823)&gt;0,1,0),0))</f>
        <v>0</v>
      </c>
      <c r="L2823" s="15" t="n">
        <f aca="false">IF(J2823=1,0,Inputs!$B$11)</f>
        <v>100</v>
      </c>
      <c r="M2823" s="15" t="n">
        <f aca="false">IF(J2823=1,0,Inputs!$B$12)</f>
        <v>75</v>
      </c>
      <c r="N2823" s="15" t="n">
        <f aca="false">IF(J2823=1,0,IF(OR(AND(OR(B2823="SITE LOSS",B2823="REGION LOSS"),K2823=1),AND(B2823="ROLE COMPROMISE",H2823=C2823)),Inputs!$B$13,Inputs!$B$14))</f>
        <v>10</v>
      </c>
      <c r="O2823" s="15" t="n">
        <f aca="false">IF(J2823=1,0,Inputs!$B$13)</f>
        <v>20</v>
      </c>
      <c r="P2823" s="15" t="n">
        <f aca="false">SUM(M2823:N2823)</f>
        <v>85</v>
      </c>
      <c r="Q2823" s="15" t="n">
        <f aca="false">IF(J2823=1,"",L2823-P2823)</f>
        <v>15</v>
      </c>
      <c r="R2823" s="15" t="n">
        <f aca="false">IF(OR(J2823=1,M2823&lt;=Inputs!$B$12),1,0)</f>
        <v>1</v>
      </c>
      <c r="S2823" s="15" t="n">
        <f aca="false">IF(OR(J2823=1,N2823&lt;=O2823),1,0)</f>
        <v>1</v>
      </c>
      <c r="T2823" s="15" t="str">
        <f aca="false">IF(J2823=1,"OFFLINE",IF(AND(Q2823&gt;=Inputs!$B$15,R2823=1,S2823=1,P2823&lt;=L2823),"PASS","FAIL"))</f>
        <v>PASS</v>
      </c>
    </row>
    <row r="2824" customFormat="false" ht="15" hidden="false" customHeight="false" outlineLevel="0" collapsed="false">
      <c r="A2824" s="14" t="s">
        <v>1049</v>
      </c>
      <c r="B2824" s="14" t="s">
        <v>1048</v>
      </c>
      <c r="C2824" s="14" t="s">
        <v>158</v>
      </c>
      <c r="D2824" s="14" t="s">
        <v>156</v>
      </c>
      <c r="E2824" s="14" t="s">
        <v>157</v>
      </c>
      <c r="F2824" s="14" t="s">
        <v>150</v>
      </c>
      <c r="G2824" s="14" t="n">
        <v>2</v>
      </c>
      <c r="H2824" s="14" t="s">
        <v>153</v>
      </c>
      <c r="I2824" s="14" t="s">
        <v>895</v>
      </c>
      <c r="J2824" s="15" t="n">
        <f aca="false">IF(B2824="SITE LOSS",IF(D2824=C2824,1,0),IF(B2824="REGION LOSS",IF(E2824=C2824,1,0),0))</f>
        <v>0</v>
      </c>
      <c r="K2824" s="15" t="n">
        <f aca="false">IF(B2824="SITE LOSS",IF(COUNTIFS('Site Dockets'!$B$7:$B$24,C2824,'Site Dockets'!$C$7:$C$24,F2824)&gt;0,1,0),IF(B2824="REGION LOSS",IF(COUNTIFS('Site Dockets'!$E$7:$E$24,C2824,'Site Dockets'!$C$7:$C$24,F2824)&gt;0,1,0),0))</f>
        <v>0</v>
      </c>
      <c r="L2824" s="15" t="n">
        <f aca="false">IF(J2824=1,0,Inputs!$B$11)</f>
        <v>100</v>
      </c>
      <c r="M2824" s="15" t="n">
        <f aca="false">IF(J2824=1,0,Inputs!$B$12)</f>
        <v>75</v>
      </c>
      <c r="N2824" s="15" t="n">
        <f aca="false">IF(J2824=1,0,IF(OR(AND(OR(B2824="SITE LOSS",B2824="REGION LOSS"),K2824=1),AND(B2824="ROLE COMPROMISE",H2824=C2824)),Inputs!$B$13,Inputs!$B$14))</f>
        <v>10</v>
      </c>
      <c r="O2824" s="15" t="n">
        <f aca="false">IF(J2824=1,0,Inputs!$B$13)</f>
        <v>20</v>
      </c>
      <c r="P2824" s="15" t="n">
        <f aca="false">SUM(M2824:N2824)</f>
        <v>85</v>
      </c>
      <c r="Q2824" s="15" t="n">
        <f aca="false">IF(J2824=1,"",L2824-P2824)</f>
        <v>15</v>
      </c>
      <c r="R2824" s="15" t="n">
        <f aca="false">IF(OR(J2824=1,M2824&lt;=Inputs!$B$12),1,0)</f>
        <v>1</v>
      </c>
      <c r="S2824" s="15" t="n">
        <f aca="false">IF(OR(J2824=1,N2824&lt;=O2824),1,0)</f>
        <v>1</v>
      </c>
      <c r="T2824" s="15" t="str">
        <f aca="false">IF(J2824=1,"OFFLINE",IF(AND(Q2824&gt;=Inputs!$B$15,R2824=1,S2824=1,P2824&lt;=L2824),"PASS","FAIL"))</f>
        <v>PASS</v>
      </c>
    </row>
    <row r="2825" customFormat="false" ht="15" hidden="false" customHeight="false" outlineLevel="0" collapsed="false">
      <c r="A2825" s="14" t="s">
        <v>1049</v>
      </c>
      <c r="B2825" s="14" t="s">
        <v>1048</v>
      </c>
      <c r="C2825" s="14" t="s">
        <v>158</v>
      </c>
      <c r="D2825" s="14" t="s">
        <v>156</v>
      </c>
      <c r="E2825" s="14" t="s">
        <v>157</v>
      </c>
      <c r="F2825" s="14" t="s">
        <v>150</v>
      </c>
      <c r="G2825" s="14" t="n">
        <v>2</v>
      </c>
      <c r="H2825" s="14" t="s">
        <v>153</v>
      </c>
      <c r="I2825" s="14" t="s">
        <v>897</v>
      </c>
      <c r="J2825" s="15" t="n">
        <f aca="false">IF(B2825="SITE LOSS",IF(D2825=C2825,1,0),IF(B2825="REGION LOSS",IF(E2825=C2825,1,0),0))</f>
        <v>0</v>
      </c>
      <c r="K2825" s="15" t="n">
        <f aca="false">IF(B2825="SITE LOSS",IF(COUNTIFS('Site Dockets'!$B$7:$B$24,C2825,'Site Dockets'!$C$7:$C$24,F2825)&gt;0,1,0),IF(B2825="REGION LOSS",IF(COUNTIFS('Site Dockets'!$E$7:$E$24,C2825,'Site Dockets'!$C$7:$C$24,F2825)&gt;0,1,0),0))</f>
        <v>0</v>
      </c>
      <c r="L2825" s="15" t="n">
        <f aca="false">IF(J2825=1,0,Inputs!$B$11)</f>
        <v>100</v>
      </c>
      <c r="M2825" s="15" t="n">
        <f aca="false">IF(J2825=1,0,Inputs!$B$12)</f>
        <v>75</v>
      </c>
      <c r="N2825" s="15" t="n">
        <f aca="false">IF(J2825=1,0,IF(OR(AND(OR(B2825="SITE LOSS",B2825="REGION LOSS"),K2825=1),AND(B2825="ROLE COMPROMISE",H2825=C2825)),Inputs!$B$13,Inputs!$B$14))</f>
        <v>10</v>
      </c>
      <c r="O2825" s="15" t="n">
        <f aca="false">IF(J2825=1,0,Inputs!$B$13)</f>
        <v>20</v>
      </c>
      <c r="P2825" s="15" t="n">
        <f aca="false">SUM(M2825:N2825)</f>
        <v>85</v>
      </c>
      <c r="Q2825" s="15" t="n">
        <f aca="false">IF(J2825=1,"",L2825-P2825)</f>
        <v>15</v>
      </c>
      <c r="R2825" s="15" t="n">
        <f aca="false">IF(OR(J2825=1,M2825&lt;=Inputs!$B$12),1,0)</f>
        <v>1</v>
      </c>
      <c r="S2825" s="15" t="n">
        <f aca="false">IF(OR(J2825=1,N2825&lt;=O2825),1,0)</f>
        <v>1</v>
      </c>
      <c r="T2825" s="15" t="str">
        <f aca="false">IF(J2825=1,"OFFLINE",IF(AND(Q2825&gt;=Inputs!$B$15,R2825=1,S2825=1,P2825&lt;=L2825),"PASS","FAIL"))</f>
        <v>PASS</v>
      </c>
    </row>
    <row r="2826" customFormat="false" ht="15" hidden="false" customHeight="false" outlineLevel="0" collapsed="false">
      <c r="A2826" s="14" t="s">
        <v>1049</v>
      </c>
      <c r="B2826" s="14" t="s">
        <v>1048</v>
      </c>
      <c r="C2826" s="14" t="s">
        <v>158</v>
      </c>
      <c r="D2826" s="14" t="s">
        <v>156</v>
      </c>
      <c r="E2826" s="14" t="s">
        <v>157</v>
      </c>
      <c r="F2826" s="14" t="s">
        <v>150</v>
      </c>
      <c r="G2826" s="14" t="n">
        <v>2</v>
      </c>
      <c r="H2826" s="14" t="s">
        <v>153</v>
      </c>
      <c r="I2826" s="14" t="s">
        <v>899</v>
      </c>
      <c r="J2826" s="15" t="n">
        <f aca="false">IF(B2826="SITE LOSS",IF(D2826=C2826,1,0),IF(B2826="REGION LOSS",IF(E2826=C2826,1,0),0))</f>
        <v>0</v>
      </c>
      <c r="K2826" s="15" t="n">
        <f aca="false">IF(B2826="SITE LOSS",IF(COUNTIFS('Site Dockets'!$B$7:$B$24,C2826,'Site Dockets'!$C$7:$C$24,F2826)&gt;0,1,0),IF(B2826="REGION LOSS",IF(COUNTIFS('Site Dockets'!$E$7:$E$24,C2826,'Site Dockets'!$C$7:$C$24,F2826)&gt;0,1,0),0))</f>
        <v>0</v>
      </c>
      <c r="L2826" s="15" t="n">
        <f aca="false">IF(J2826=1,0,Inputs!$B$11)</f>
        <v>100</v>
      </c>
      <c r="M2826" s="15" t="n">
        <f aca="false">IF(J2826=1,0,Inputs!$B$12)</f>
        <v>75</v>
      </c>
      <c r="N2826" s="15" t="n">
        <f aca="false">IF(J2826=1,0,IF(OR(AND(OR(B2826="SITE LOSS",B2826="REGION LOSS"),K2826=1),AND(B2826="ROLE COMPROMISE",H2826=C2826)),Inputs!$B$13,Inputs!$B$14))</f>
        <v>10</v>
      </c>
      <c r="O2826" s="15" t="n">
        <f aca="false">IF(J2826=1,0,Inputs!$B$13)</f>
        <v>20</v>
      </c>
      <c r="P2826" s="15" t="n">
        <f aca="false">SUM(M2826:N2826)</f>
        <v>85</v>
      </c>
      <c r="Q2826" s="15" t="n">
        <f aca="false">IF(J2826=1,"",L2826-P2826)</f>
        <v>15</v>
      </c>
      <c r="R2826" s="15" t="n">
        <f aca="false">IF(OR(J2826=1,M2826&lt;=Inputs!$B$12),1,0)</f>
        <v>1</v>
      </c>
      <c r="S2826" s="15" t="n">
        <f aca="false">IF(OR(J2826=1,N2826&lt;=O2826),1,0)</f>
        <v>1</v>
      </c>
      <c r="T2826" s="15" t="str">
        <f aca="false">IF(J2826=1,"OFFLINE",IF(AND(Q2826&gt;=Inputs!$B$15,R2826=1,S2826=1,P2826&lt;=L2826),"PASS","FAIL"))</f>
        <v>PASS</v>
      </c>
    </row>
    <row r="2827" customFormat="false" ht="15" hidden="false" customHeight="false" outlineLevel="0" collapsed="false">
      <c r="A2827" s="14" t="s">
        <v>1049</v>
      </c>
      <c r="B2827" s="14" t="s">
        <v>1048</v>
      </c>
      <c r="C2827" s="14" t="s">
        <v>158</v>
      </c>
      <c r="D2827" s="14" t="s">
        <v>160</v>
      </c>
      <c r="E2827" s="14" t="s">
        <v>161</v>
      </c>
      <c r="F2827" s="14" t="s">
        <v>150</v>
      </c>
      <c r="G2827" s="14" t="n">
        <v>3</v>
      </c>
      <c r="H2827" s="14" t="s">
        <v>158</v>
      </c>
      <c r="I2827" s="14" t="s">
        <v>890</v>
      </c>
      <c r="J2827" s="15" t="n">
        <f aca="false">IF(B2827="SITE LOSS",IF(D2827=C2827,1,0),IF(B2827="REGION LOSS",IF(E2827=C2827,1,0),0))</f>
        <v>0</v>
      </c>
      <c r="K2827" s="15" t="n">
        <f aca="false">IF(B2827="SITE LOSS",IF(COUNTIFS('Site Dockets'!$B$7:$B$24,C2827,'Site Dockets'!$C$7:$C$24,F2827)&gt;0,1,0),IF(B2827="REGION LOSS",IF(COUNTIFS('Site Dockets'!$E$7:$E$24,C2827,'Site Dockets'!$C$7:$C$24,F2827)&gt;0,1,0),0))</f>
        <v>0</v>
      </c>
      <c r="L2827" s="15" t="n">
        <f aca="false">IF(J2827=1,0,Inputs!$B$11)</f>
        <v>100</v>
      </c>
      <c r="M2827" s="15" t="n">
        <f aca="false">IF(J2827=1,0,Inputs!$B$12)</f>
        <v>75</v>
      </c>
      <c r="N2827" s="15" t="n">
        <f aca="false">IF(J2827=1,0,IF(OR(AND(OR(B2827="SITE LOSS",B2827="REGION LOSS"),K2827=1),AND(B2827="ROLE COMPROMISE",H2827=C2827)),Inputs!$B$13,Inputs!$B$14))</f>
        <v>20</v>
      </c>
      <c r="O2827" s="15" t="n">
        <f aca="false">IF(J2827=1,0,Inputs!$B$13)</f>
        <v>20</v>
      </c>
      <c r="P2827" s="15" t="n">
        <f aca="false">SUM(M2827:N2827)</f>
        <v>95</v>
      </c>
      <c r="Q2827" s="15" t="n">
        <f aca="false">IF(J2827=1,"",L2827-P2827)</f>
        <v>5</v>
      </c>
      <c r="R2827" s="15" t="n">
        <f aca="false">IF(OR(J2827=1,M2827&lt;=Inputs!$B$12),1,0)</f>
        <v>1</v>
      </c>
      <c r="S2827" s="15" t="n">
        <f aca="false">IF(OR(J2827=1,N2827&lt;=O2827),1,0)</f>
        <v>1</v>
      </c>
      <c r="T2827" s="15" t="str">
        <f aca="false">IF(J2827=1,"OFFLINE",IF(AND(Q2827&gt;=Inputs!$B$15,R2827=1,S2827=1,P2827&lt;=L2827),"PASS","FAIL"))</f>
        <v>PASS</v>
      </c>
    </row>
    <row r="2828" customFormat="false" ht="15" hidden="false" customHeight="false" outlineLevel="0" collapsed="false">
      <c r="A2828" s="14" t="s">
        <v>1049</v>
      </c>
      <c r="B2828" s="14" t="s">
        <v>1048</v>
      </c>
      <c r="C2828" s="14" t="s">
        <v>158</v>
      </c>
      <c r="D2828" s="14" t="s">
        <v>160</v>
      </c>
      <c r="E2828" s="14" t="s">
        <v>161</v>
      </c>
      <c r="F2828" s="14" t="s">
        <v>150</v>
      </c>
      <c r="G2828" s="14" t="n">
        <v>3</v>
      </c>
      <c r="H2828" s="14" t="s">
        <v>158</v>
      </c>
      <c r="I2828" s="14" t="s">
        <v>892</v>
      </c>
      <c r="J2828" s="15" t="n">
        <f aca="false">IF(B2828="SITE LOSS",IF(D2828=C2828,1,0),IF(B2828="REGION LOSS",IF(E2828=C2828,1,0),0))</f>
        <v>0</v>
      </c>
      <c r="K2828" s="15" t="n">
        <f aca="false">IF(B2828="SITE LOSS",IF(COUNTIFS('Site Dockets'!$B$7:$B$24,C2828,'Site Dockets'!$C$7:$C$24,F2828)&gt;0,1,0),IF(B2828="REGION LOSS",IF(COUNTIFS('Site Dockets'!$E$7:$E$24,C2828,'Site Dockets'!$C$7:$C$24,F2828)&gt;0,1,0),0))</f>
        <v>0</v>
      </c>
      <c r="L2828" s="15" t="n">
        <f aca="false">IF(J2828=1,0,Inputs!$B$11)</f>
        <v>100</v>
      </c>
      <c r="M2828" s="15" t="n">
        <f aca="false">IF(J2828=1,0,Inputs!$B$12)</f>
        <v>75</v>
      </c>
      <c r="N2828" s="15" t="n">
        <f aca="false">IF(J2828=1,0,IF(OR(AND(OR(B2828="SITE LOSS",B2828="REGION LOSS"),K2828=1),AND(B2828="ROLE COMPROMISE",H2828=C2828)),Inputs!$B$13,Inputs!$B$14))</f>
        <v>20</v>
      </c>
      <c r="O2828" s="15" t="n">
        <f aca="false">IF(J2828=1,0,Inputs!$B$13)</f>
        <v>20</v>
      </c>
      <c r="P2828" s="15" t="n">
        <f aca="false">SUM(M2828:N2828)</f>
        <v>95</v>
      </c>
      <c r="Q2828" s="15" t="n">
        <f aca="false">IF(J2828=1,"",L2828-P2828)</f>
        <v>5</v>
      </c>
      <c r="R2828" s="15" t="n">
        <f aca="false">IF(OR(J2828=1,M2828&lt;=Inputs!$B$12),1,0)</f>
        <v>1</v>
      </c>
      <c r="S2828" s="15" t="n">
        <f aca="false">IF(OR(J2828=1,N2828&lt;=O2828),1,0)</f>
        <v>1</v>
      </c>
      <c r="T2828" s="15" t="str">
        <f aca="false">IF(J2828=1,"OFFLINE",IF(AND(Q2828&gt;=Inputs!$B$15,R2828=1,S2828=1,P2828&lt;=L2828),"PASS","FAIL"))</f>
        <v>PASS</v>
      </c>
    </row>
    <row r="2829" customFormat="false" ht="15" hidden="false" customHeight="false" outlineLevel="0" collapsed="false">
      <c r="A2829" s="14" t="s">
        <v>1049</v>
      </c>
      <c r="B2829" s="14" t="s">
        <v>1048</v>
      </c>
      <c r="C2829" s="14" t="s">
        <v>158</v>
      </c>
      <c r="D2829" s="14" t="s">
        <v>160</v>
      </c>
      <c r="E2829" s="14" t="s">
        <v>161</v>
      </c>
      <c r="F2829" s="14" t="s">
        <v>150</v>
      </c>
      <c r="G2829" s="14" t="n">
        <v>3</v>
      </c>
      <c r="H2829" s="14" t="s">
        <v>158</v>
      </c>
      <c r="I2829" s="14" t="s">
        <v>811</v>
      </c>
      <c r="J2829" s="15" t="n">
        <f aca="false">IF(B2829="SITE LOSS",IF(D2829=C2829,1,0),IF(B2829="REGION LOSS",IF(E2829=C2829,1,0),0))</f>
        <v>0</v>
      </c>
      <c r="K2829" s="15" t="n">
        <f aca="false">IF(B2829="SITE LOSS",IF(COUNTIFS('Site Dockets'!$B$7:$B$24,C2829,'Site Dockets'!$C$7:$C$24,F2829)&gt;0,1,0),IF(B2829="REGION LOSS",IF(COUNTIFS('Site Dockets'!$E$7:$E$24,C2829,'Site Dockets'!$C$7:$C$24,F2829)&gt;0,1,0),0))</f>
        <v>0</v>
      </c>
      <c r="L2829" s="15" t="n">
        <f aca="false">IF(J2829=1,0,Inputs!$B$11)</f>
        <v>100</v>
      </c>
      <c r="M2829" s="15" t="n">
        <f aca="false">IF(J2829=1,0,Inputs!$B$12)</f>
        <v>75</v>
      </c>
      <c r="N2829" s="15" t="n">
        <f aca="false">IF(J2829=1,0,IF(OR(AND(OR(B2829="SITE LOSS",B2829="REGION LOSS"),K2829=1),AND(B2829="ROLE COMPROMISE",H2829=C2829)),Inputs!$B$13,Inputs!$B$14))</f>
        <v>20</v>
      </c>
      <c r="O2829" s="15" t="n">
        <f aca="false">IF(J2829=1,0,Inputs!$B$13)</f>
        <v>20</v>
      </c>
      <c r="P2829" s="15" t="n">
        <f aca="false">SUM(M2829:N2829)</f>
        <v>95</v>
      </c>
      <c r="Q2829" s="15" t="n">
        <f aca="false">IF(J2829=1,"",L2829-P2829)</f>
        <v>5</v>
      </c>
      <c r="R2829" s="15" t="n">
        <f aca="false">IF(OR(J2829=1,M2829&lt;=Inputs!$B$12),1,0)</f>
        <v>1</v>
      </c>
      <c r="S2829" s="15" t="n">
        <f aca="false">IF(OR(J2829=1,N2829&lt;=O2829),1,0)</f>
        <v>1</v>
      </c>
      <c r="T2829" s="15" t="str">
        <f aca="false">IF(J2829=1,"OFFLINE",IF(AND(Q2829&gt;=Inputs!$B$15,R2829=1,S2829=1,P2829&lt;=L2829),"PASS","FAIL"))</f>
        <v>PASS</v>
      </c>
    </row>
    <row r="2830" customFormat="false" ht="15" hidden="false" customHeight="false" outlineLevel="0" collapsed="false">
      <c r="A2830" s="14" t="s">
        <v>1049</v>
      </c>
      <c r="B2830" s="14" t="s">
        <v>1048</v>
      </c>
      <c r="C2830" s="14" t="s">
        <v>158</v>
      </c>
      <c r="D2830" s="14" t="s">
        <v>160</v>
      </c>
      <c r="E2830" s="14" t="s">
        <v>161</v>
      </c>
      <c r="F2830" s="14" t="s">
        <v>150</v>
      </c>
      <c r="G2830" s="14" t="n">
        <v>3</v>
      </c>
      <c r="H2830" s="14" t="s">
        <v>158</v>
      </c>
      <c r="I2830" s="14" t="s">
        <v>895</v>
      </c>
      <c r="J2830" s="15" t="n">
        <f aca="false">IF(B2830="SITE LOSS",IF(D2830=C2830,1,0),IF(B2830="REGION LOSS",IF(E2830=C2830,1,0),0))</f>
        <v>0</v>
      </c>
      <c r="K2830" s="15" t="n">
        <f aca="false">IF(B2830="SITE LOSS",IF(COUNTIFS('Site Dockets'!$B$7:$B$24,C2830,'Site Dockets'!$C$7:$C$24,F2830)&gt;0,1,0),IF(B2830="REGION LOSS",IF(COUNTIFS('Site Dockets'!$E$7:$E$24,C2830,'Site Dockets'!$C$7:$C$24,F2830)&gt;0,1,0),0))</f>
        <v>0</v>
      </c>
      <c r="L2830" s="15" t="n">
        <f aca="false">IF(J2830=1,0,Inputs!$B$11)</f>
        <v>100</v>
      </c>
      <c r="M2830" s="15" t="n">
        <f aca="false">IF(J2830=1,0,Inputs!$B$12)</f>
        <v>75</v>
      </c>
      <c r="N2830" s="15" t="n">
        <f aca="false">IF(J2830=1,0,IF(OR(AND(OR(B2830="SITE LOSS",B2830="REGION LOSS"),K2830=1),AND(B2830="ROLE COMPROMISE",H2830=C2830)),Inputs!$B$13,Inputs!$B$14))</f>
        <v>20</v>
      </c>
      <c r="O2830" s="15" t="n">
        <f aca="false">IF(J2830=1,0,Inputs!$B$13)</f>
        <v>20</v>
      </c>
      <c r="P2830" s="15" t="n">
        <f aca="false">SUM(M2830:N2830)</f>
        <v>95</v>
      </c>
      <c r="Q2830" s="15" t="n">
        <f aca="false">IF(J2830=1,"",L2830-P2830)</f>
        <v>5</v>
      </c>
      <c r="R2830" s="15" t="n">
        <f aca="false">IF(OR(J2830=1,M2830&lt;=Inputs!$B$12),1,0)</f>
        <v>1</v>
      </c>
      <c r="S2830" s="15" t="n">
        <f aca="false">IF(OR(J2830=1,N2830&lt;=O2830),1,0)</f>
        <v>1</v>
      </c>
      <c r="T2830" s="15" t="str">
        <f aca="false">IF(J2830=1,"OFFLINE",IF(AND(Q2830&gt;=Inputs!$B$15,R2830=1,S2830=1,P2830&lt;=L2830),"PASS","FAIL"))</f>
        <v>PASS</v>
      </c>
    </row>
    <row r="2831" customFormat="false" ht="15" hidden="false" customHeight="false" outlineLevel="0" collapsed="false">
      <c r="A2831" s="14" t="s">
        <v>1049</v>
      </c>
      <c r="B2831" s="14" t="s">
        <v>1048</v>
      </c>
      <c r="C2831" s="14" t="s">
        <v>158</v>
      </c>
      <c r="D2831" s="14" t="s">
        <v>160</v>
      </c>
      <c r="E2831" s="14" t="s">
        <v>161</v>
      </c>
      <c r="F2831" s="14" t="s">
        <v>150</v>
      </c>
      <c r="G2831" s="14" t="n">
        <v>3</v>
      </c>
      <c r="H2831" s="14" t="s">
        <v>158</v>
      </c>
      <c r="I2831" s="14" t="s">
        <v>897</v>
      </c>
      <c r="J2831" s="15" t="n">
        <f aca="false">IF(B2831="SITE LOSS",IF(D2831=C2831,1,0),IF(B2831="REGION LOSS",IF(E2831=C2831,1,0),0))</f>
        <v>0</v>
      </c>
      <c r="K2831" s="15" t="n">
        <f aca="false">IF(B2831="SITE LOSS",IF(COUNTIFS('Site Dockets'!$B$7:$B$24,C2831,'Site Dockets'!$C$7:$C$24,F2831)&gt;0,1,0),IF(B2831="REGION LOSS",IF(COUNTIFS('Site Dockets'!$E$7:$E$24,C2831,'Site Dockets'!$C$7:$C$24,F2831)&gt;0,1,0),0))</f>
        <v>0</v>
      </c>
      <c r="L2831" s="15" t="n">
        <f aca="false">IF(J2831=1,0,Inputs!$B$11)</f>
        <v>100</v>
      </c>
      <c r="M2831" s="15" t="n">
        <f aca="false">IF(J2831=1,0,Inputs!$B$12)</f>
        <v>75</v>
      </c>
      <c r="N2831" s="15" t="n">
        <f aca="false">IF(J2831=1,0,IF(OR(AND(OR(B2831="SITE LOSS",B2831="REGION LOSS"),K2831=1),AND(B2831="ROLE COMPROMISE",H2831=C2831)),Inputs!$B$13,Inputs!$B$14))</f>
        <v>20</v>
      </c>
      <c r="O2831" s="15" t="n">
        <f aca="false">IF(J2831=1,0,Inputs!$B$13)</f>
        <v>20</v>
      </c>
      <c r="P2831" s="15" t="n">
        <f aca="false">SUM(M2831:N2831)</f>
        <v>95</v>
      </c>
      <c r="Q2831" s="15" t="n">
        <f aca="false">IF(J2831=1,"",L2831-P2831)</f>
        <v>5</v>
      </c>
      <c r="R2831" s="15" t="n">
        <f aca="false">IF(OR(J2831=1,M2831&lt;=Inputs!$B$12),1,0)</f>
        <v>1</v>
      </c>
      <c r="S2831" s="15" t="n">
        <f aca="false">IF(OR(J2831=1,N2831&lt;=O2831),1,0)</f>
        <v>1</v>
      </c>
      <c r="T2831" s="15" t="str">
        <f aca="false">IF(J2831=1,"OFFLINE",IF(AND(Q2831&gt;=Inputs!$B$15,R2831=1,S2831=1,P2831&lt;=L2831),"PASS","FAIL"))</f>
        <v>PASS</v>
      </c>
    </row>
    <row r="2832" customFormat="false" ht="15" hidden="false" customHeight="false" outlineLevel="0" collapsed="false">
      <c r="A2832" s="14" t="s">
        <v>1049</v>
      </c>
      <c r="B2832" s="14" t="s">
        <v>1048</v>
      </c>
      <c r="C2832" s="14" t="s">
        <v>158</v>
      </c>
      <c r="D2832" s="14" t="s">
        <v>160</v>
      </c>
      <c r="E2832" s="14" t="s">
        <v>161</v>
      </c>
      <c r="F2832" s="14" t="s">
        <v>150</v>
      </c>
      <c r="G2832" s="14" t="n">
        <v>3</v>
      </c>
      <c r="H2832" s="14" t="s">
        <v>158</v>
      </c>
      <c r="I2832" s="14" t="s">
        <v>899</v>
      </c>
      <c r="J2832" s="15" t="n">
        <f aca="false">IF(B2832="SITE LOSS",IF(D2832=C2832,1,0),IF(B2832="REGION LOSS",IF(E2832=C2832,1,0),0))</f>
        <v>0</v>
      </c>
      <c r="K2832" s="15" t="n">
        <f aca="false">IF(B2832="SITE LOSS",IF(COUNTIFS('Site Dockets'!$B$7:$B$24,C2832,'Site Dockets'!$C$7:$C$24,F2832)&gt;0,1,0),IF(B2832="REGION LOSS",IF(COUNTIFS('Site Dockets'!$E$7:$E$24,C2832,'Site Dockets'!$C$7:$C$24,F2832)&gt;0,1,0),0))</f>
        <v>0</v>
      </c>
      <c r="L2832" s="15" t="n">
        <f aca="false">IF(J2832=1,0,Inputs!$B$11)</f>
        <v>100</v>
      </c>
      <c r="M2832" s="15" t="n">
        <f aca="false">IF(J2832=1,0,Inputs!$B$12)</f>
        <v>75</v>
      </c>
      <c r="N2832" s="15" t="n">
        <f aca="false">IF(J2832=1,0,IF(OR(AND(OR(B2832="SITE LOSS",B2832="REGION LOSS"),K2832=1),AND(B2832="ROLE COMPROMISE",H2832=C2832)),Inputs!$B$13,Inputs!$B$14))</f>
        <v>20</v>
      </c>
      <c r="O2832" s="15" t="n">
        <f aca="false">IF(J2832=1,0,Inputs!$B$13)</f>
        <v>20</v>
      </c>
      <c r="P2832" s="15" t="n">
        <f aca="false">SUM(M2832:N2832)</f>
        <v>95</v>
      </c>
      <c r="Q2832" s="15" t="n">
        <f aca="false">IF(J2832=1,"",L2832-P2832)</f>
        <v>5</v>
      </c>
      <c r="R2832" s="15" t="n">
        <f aca="false">IF(OR(J2832=1,M2832&lt;=Inputs!$B$12),1,0)</f>
        <v>1</v>
      </c>
      <c r="S2832" s="15" t="n">
        <f aca="false">IF(OR(J2832=1,N2832&lt;=O2832),1,0)</f>
        <v>1</v>
      </c>
      <c r="T2832" s="15" t="str">
        <f aca="false">IF(J2832=1,"OFFLINE",IF(AND(Q2832&gt;=Inputs!$B$15,R2832=1,S2832=1,P2832&lt;=L2832),"PASS","FAIL"))</f>
        <v>PASS</v>
      </c>
    </row>
    <row r="2833" customFormat="false" ht="15" hidden="false" customHeight="false" outlineLevel="0" collapsed="false">
      <c r="A2833" s="14" t="s">
        <v>1049</v>
      </c>
      <c r="B2833" s="14" t="s">
        <v>1048</v>
      </c>
      <c r="C2833" s="14" t="s">
        <v>158</v>
      </c>
      <c r="D2833" s="14" t="s">
        <v>163</v>
      </c>
      <c r="E2833" s="14" t="s">
        <v>166</v>
      </c>
      <c r="F2833" s="14" t="s">
        <v>164</v>
      </c>
      <c r="G2833" s="14" t="n">
        <v>1</v>
      </c>
      <c r="H2833" s="14" t="s">
        <v>154</v>
      </c>
      <c r="I2833" s="14" t="s">
        <v>890</v>
      </c>
      <c r="J2833" s="15" t="n">
        <f aca="false">IF(B2833="SITE LOSS",IF(D2833=C2833,1,0),IF(B2833="REGION LOSS",IF(E2833=C2833,1,0),0))</f>
        <v>0</v>
      </c>
      <c r="K2833" s="15" t="n">
        <f aca="false">IF(B2833="SITE LOSS",IF(COUNTIFS('Site Dockets'!$B$7:$B$24,C2833,'Site Dockets'!$C$7:$C$24,F2833)&gt;0,1,0),IF(B2833="REGION LOSS",IF(COUNTIFS('Site Dockets'!$E$7:$E$24,C2833,'Site Dockets'!$C$7:$C$24,F2833)&gt;0,1,0),0))</f>
        <v>0</v>
      </c>
      <c r="L2833" s="15" t="n">
        <f aca="false">IF(J2833=1,0,Inputs!$B$11)</f>
        <v>100</v>
      </c>
      <c r="M2833" s="15" t="n">
        <f aca="false">IF(J2833=1,0,Inputs!$B$12)</f>
        <v>75</v>
      </c>
      <c r="N2833" s="15" t="n">
        <f aca="false">IF(J2833=1,0,IF(OR(AND(OR(B2833="SITE LOSS",B2833="REGION LOSS"),K2833=1),AND(B2833="ROLE COMPROMISE",H2833=C2833)),Inputs!$B$13,Inputs!$B$14))</f>
        <v>10</v>
      </c>
      <c r="O2833" s="15" t="n">
        <f aca="false">IF(J2833=1,0,Inputs!$B$13)</f>
        <v>20</v>
      </c>
      <c r="P2833" s="15" t="n">
        <f aca="false">SUM(M2833:N2833)</f>
        <v>85</v>
      </c>
      <c r="Q2833" s="15" t="n">
        <f aca="false">IF(J2833=1,"",L2833-P2833)</f>
        <v>15</v>
      </c>
      <c r="R2833" s="15" t="n">
        <f aca="false">IF(OR(J2833=1,M2833&lt;=Inputs!$B$12),1,0)</f>
        <v>1</v>
      </c>
      <c r="S2833" s="15" t="n">
        <f aca="false">IF(OR(J2833=1,N2833&lt;=O2833),1,0)</f>
        <v>1</v>
      </c>
      <c r="T2833" s="15" t="str">
        <f aca="false">IF(J2833=1,"OFFLINE",IF(AND(Q2833&gt;=Inputs!$B$15,R2833=1,S2833=1,P2833&lt;=L2833),"PASS","FAIL"))</f>
        <v>PASS</v>
      </c>
    </row>
    <row r="2834" customFormat="false" ht="15" hidden="false" customHeight="false" outlineLevel="0" collapsed="false">
      <c r="A2834" s="14" t="s">
        <v>1049</v>
      </c>
      <c r="B2834" s="14" t="s">
        <v>1048</v>
      </c>
      <c r="C2834" s="14" t="s">
        <v>158</v>
      </c>
      <c r="D2834" s="14" t="s">
        <v>163</v>
      </c>
      <c r="E2834" s="14" t="s">
        <v>166</v>
      </c>
      <c r="F2834" s="14" t="s">
        <v>164</v>
      </c>
      <c r="G2834" s="14" t="n">
        <v>1</v>
      </c>
      <c r="H2834" s="14" t="s">
        <v>154</v>
      </c>
      <c r="I2834" s="14" t="s">
        <v>892</v>
      </c>
      <c r="J2834" s="15" t="n">
        <f aca="false">IF(B2834="SITE LOSS",IF(D2834=C2834,1,0),IF(B2834="REGION LOSS",IF(E2834=C2834,1,0),0))</f>
        <v>0</v>
      </c>
      <c r="K2834" s="15" t="n">
        <f aca="false">IF(B2834="SITE LOSS",IF(COUNTIFS('Site Dockets'!$B$7:$B$24,C2834,'Site Dockets'!$C$7:$C$24,F2834)&gt;0,1,0),IF(B2834="REGION LOSS",IF(COUNTIFS('Site Dockets'!$E$7:$E$24,C2834,'Site Dockets'!$C$7:$C$24,F2834)&gt;0,1,0),0))</f>
        <v>0</v>
      </c>
      <c r="L2834" s="15" t="n">
        <f aca="false">IF(J2834=1,0,Inputs!$B$11)</f>
        <v>100</v>
      </c>
      <c r="M2834" s="15" t="n">
        <f aca="false">IF(J2834=1,0,Inputs!$B$12)</f>
        <v>75</v>
      </c>
      <c r="N2834" s="15" t="n">
        <f aca="false">IF(J2834=1,0,IF(OR(AND(OR(B2834="SITE LOSS",B2834="REGION LOSS"),K2834=1),AND(B2834="ROLE COMPROMISE",H2834=C2834)),Inputs!$B$13,Inputs!$B$14))</f>
        <v>10</v>
      </c>
      <c r="O2834" s="15" t="n">
        <f aca="false">IF(J2834=1,0,Inputs!$B$13)</f>
        <v>20</v>
      </c>
      <c r="P2834" s="15" t="n">
        <f aca="false">SUM(M2834:N2834)</f>
        <v>85</v>
      </c>
      <c r="Q2834" s="15" t="n">
        <f aca="false">IF(J2834=1,"",L2834-P2834)</f>
        <v>15</v>
      </c>
      <c r="R2834" s="15" t="n">
        <f aca="false">IF(OR(J2834=1,M2834&lt;=Inputs!$B$12),1,0)</f>
        <v>1</v>
      </c>
      <c r="S2834" s="15" t="n">
        <f aca="false">IF(OR(J2834=1,N2834&lt;=O2834),1,0)</f>
        <v>1</v>
      </c>
      <c r="T2834" s="15" t="str">
        <f aca="false">IF(J2834=1,"OFFLINE",IF(AND(Q2834&gt;=Inputs!$B$15,R2834=1,S2834=1,P2834&lt;=L2834),"PASS","FAIL"))</f>
        <v>PASS</v>
      </c>
    </row>
    <row r="2835" customFormat="false" ht="15" hidden="false" customHeight="false" outlineLevel="0" collapsed="false">
      <c r="A2835" s="14" t="s">
        <v>1049</v>
      </c>
      <c r="B2835" s="14" t="s">
        <v>1048</v>
      </c>
      <c r="C2835" s="14" t="s">
        <v>158</v>
      </c>
      <c r="D2835" s="14" t="s">
        <v>163</v>
      </c>
      <c r="E2835" s="14" t="s">
        <v>166</v>
      </c>
      <c r="F2835" s="14" t="s">
        <v>164</v>
      </c>
      <c r="G2835" s="14" t="n">
        <v>1</v>
      </c>
      <c r="H2835" s="14" t="s">
        <v>154</v>
      </c>
      <c r="I2835" s="14" t="s">
        <v>811</v>
      </c>
      <c r="J2835" s="15" t="n">
        <f aca="false">IF(B2835="SITE LOSS",IF(D2835=C2835,1,0),IF(B2835="REGION LOSS",IF(E2835=C2835,1,0),0))</f>
        <v>0</v>
      </c>
      <c r="K2835" s="15" t="n">
        <f aca="false">IF(B2835="SITE LOSS",IF(COUNTIFS('Site Dockets'!$B$7:$B$24,C2835,'Site Dockets'!$C$7:$C$24,F2835)&gt;0,1,0),IF(B2835="REGION LOSS",IF(COUNTIFS('Site Dockets'!$E$7:$E$24,C2835,'Site Dockets'!$C$7:$C$24,F2835)&gt;0,1,0),0))</f>
        <v>0</v>
      </c>
      <c r="L2835" s="15" t="n">
        <f aca="false">IF(J2835=1,0,Inputs!$B$11)</f>
        <v>100</v>
      </c>
      <c r="M2835" s="15" t="n">
        <f aca="false">IF(J2835=1,0,Inputs!$B$12)</f>
        <v>75</v>
      </c>
      <c r="N2835" s="15" t="n">
        <f aca="false">IF(J2835=1,0,IF(OR(AND(OR(B2835="SITE LOSS",B2835="REGION LOSS"),K2835=1),AND(B2835="ROLE COMPROMISE",H2835=C2835)),Inputs!$B$13,Inputs!$B$14))</f>
        <v>10</v>
      </c>
      <c r="O2835" s="15" t="n">
        <f aca="false">IF(J2835=1,0,Inputs!$B$13)</f>
        <v>20</v>
      </c>
      <c r="P2835" s="15" t="n">
        <f aca="false">SUM(M2835:N2835)</f>
        <v>85</v>
      </c>
      <c r="Q2835" s="15" t="n">
        <f aca="false">IF(J2835=1,"",L2835-P2835)</f>
        <v>15</v>
      </c>
      <c r="R2835" s="15" t="n">
        <f aca="false">IF(OR(J2835=1,M2835&lt;=Inputs!$B$12),1,0)</f>
        <v>1</v>
      </c>
      <c r="S2835" s="15" t="n">
        <f aca="false">IF(OR(J2835=1,N2835&lt;=O2835),1,0)</f>
        <v>1</v>
      </c>
      <c r="T2835" s="15" t="str">
        <f aca="false">IF(J2835=1,"OFFLINE",IF(AND(Q2835&gt;=Inputs!$B$15,R2835=1,S2835=1,P2835&lt;=L2835),"PASS","FAIL"))</f>
        <v>PASS</v>
      </c>
    </row>
    <row r="2836" customFormat="false" ht="15" hidden="false" customHeight="false" outlineLevel="0" collapsed="false">
      <c r="A2836" s="14" t="s">
        <v>1049</v>
      </c>
      <c r="B2836" s="14" t="s">
        <v>1048</v>
      </c>
      <c r="C2836" s="14" t="s">
        <v>158</v>
      </c>
      <c r="D2836" s="14" t="s">
        <v>163</v>
      </c>
      <c r="E2836" s="14" t="s">
        <v>166</v>
      </c>
      <c r="F2836" s="14" t="s">
        <v>164</v>
      </c>
      <c r="G2836" s="14" t="n">
        <v>1</v>
      </c>
      <c r="H2836" s="14" t="s">
        <v>154</v>
      </c>
      <c r="I2836" s="14" t="s">
        <v>895</v>
      </c>
      <c r="J2836" s="15" t="n">
        <f aca="false">IF(B2836="SITE LOSS",IF(D2836=C2836,1,0),IF(B2836="REGION LOSS",IF(E2836=C2836,1,0),0))</f>
        <v>0</v>
      </c>
      <c r="K2836" s="15" t="n">
        <f aca="false">IF(B2836="SITE LOSS",IF(COUNTIFS('Site Dockets'!$B$7:$B$24,C2836,'Site Dockets'!$C$7:$C$24,F2836)&gt;0,1,0),IF(B2836="REGION LOSS",IF(COUNTIFS('Site Dockets'!$E$7:$E$24,C2836,'Site Dockets'!$C$7:$C$24,F2836)&gt;0,1,0),0))</f>
        <v>0</v>
      </c>
      <c r="L2836" s="15" t="n">
        <f aca="false">IF(J2836=1,0,Inputs!$B$11)</f>
        <v>100</v>
      </c>
      <c r="M2836" s="15" t="n">
        <f aca="false">IF(J2836=1,0,Inputs!$B$12)</f>
        <v>75</v>
      </c>
      <c r="N2836" s="15" t="n">
        <f aca="false">IF(J2836=1,0,IF(OR(AND(OR(B2836="SITE LOSS",B2836="REGION LOSS"),K2836=1),AND(B2836="ROLE COMPROMISE",H2836=C2836)),Inputs!$B$13,Inputs!$B$14))</f>
        <v>10</v>
      </c>
      <c r="O2836" s="15" t="n">
        <f aca="false">IF(J2836=1,0,Inputs!$B$13)</f>
        <v>20</v>
      </c>
      <c r="P2836" s="15" t="n">
        <f aca="false">SUM(M2836:N2836)</f>
        <v>85</v>
      </c>
      <c r="Q2836" s="15" t="n">
        <f aca="false">IF(J2836=1,"",L2836-P2836)</f>
        <v>15</v>
      </c>
      <c r="R2836" s="15" t="n">
        <f aca="false">IF(OR(J2836=1,M2836&lt;=Inputs!$B$12),1,0)</f>
        <v>1</v>
      </c>
      <c r="S2836" s="15" t="n">
        <f aca="false">IF(OR(J2836=1,N2836&lt;=O2836),1,0)</f>
        <v>1</v>
      </c>
      <c r="T2836" s="15" t="str">
        <f aca="false">IF(J2836=1,"OFFLINE",IF(AND(Q2836&gt;=Inputs!$B$15,R2836=1,S2836=1,P2836&lt;=L2836),"PASS","FAIL"))</f>
        <v>PASS</v>
      </c>
    </row>
    <row r="2837" customFormat="false" ht="15" hidden="false" customHeight="false" outlineLevel="0" collapsed="false">
      <c r="A2837" s="14" t="s">
        <v>1049</v>
      </c>
      <c r="B2837" s="14" t="s">
        <v>1048</v>
      </c>
      <c r="C2837" s="14" t="s">
        <v>158</v>
      </c>
      <c r="D2837" s="14" t="s">
        <v>163</v>
      </c>
      <c r="E2837" s="14" t="s">
        <v>166</v>
      </c>
      <c r="F2837" s="14" t="s">
        <v>164</v>
      </c>
      <c r="G2837" s="14" t="n">
        <v>1</v>
      </c>
      <c r="H2837" s="14" t="s">
        <v>154</v>
      </c>
      <c r="I2837" s="14" t="s">
        <v>897</v>
      </c>
      <c r="J2837" s="15" t="n">
        <f aca="false">IF(B2837="SITE LOSS",IF(D2837=C2837,1,0),IF(B2837="REGION LOSS",IF(E2837=C2837,1,0),0))</f>
        <v>0</v>
      </c>
      <c r="K2837" s="15" t="n">
        <f aca="false">IF(B2837="SITE LOSS",IF(COUNTIFS('Site Dockets'!$B$7:$B$24,C2837,'Site Dockets'!$C$7:$C$24,F2837)&gt;0,1,0),IF(B2837="REGION LOSS",IF(COUNTIFS('Site Dockets'!$E$7:$E$24,C2837,'Site Dockets'!$C$7:$C$24,F2837)&gt;0,1,0),0))</f>
        <v>0</v>
      </c>
      <c r="L2837" s="15" t="n">
        <f aca="false">IF(J2837=1,0,Inputs!$B$11)</f>
        <v>100</v>
      </c>
      <c r="M2837" s="15" t="n">
        <f aca="false">IF(J2837=1,0,Inputs!$B$12)</f>
        <v>75</v>
      </c>
      <c r="N2837" s="15" t="n">
        <f aca="false">IF(J2837=1,0,IF(OR(AND(OR(B2837="SITE LOSS",B2837="REGION LOSS"),K2837=1),AND(B2837="ROLE COMPROMISE",H2837=C2837)),Inputs!$B$13,Inputs!$B$14))</f>
        <v>10</v>
      </c>
      <c r="O2837" s="15" t="n">
        <f aca="false">IF(J2837=1,0,Inputs!$B$13)</f>
        <v>20</v>
      </c>
      <c r="P2837" s="15" t="n">
        <f aca="false">SUM(M2837:N2837)</f>
        <v>85</v>
      </c>
      <c r="Q2837" s="15" t="n">
        <f aca="false">IF(J2837=1,"",L2837-P2837)</f>
        <v>15</v>
      </c>
      <c r="R2837" s="15" t="n">
        <f aca="false">IF(OR(J2837=1,M2837&lt;=Inputs!$B$12),1,0)</f>
        <v>1</v>
      </c>
      <c r="S2837" s="15" t="n">
        <f aca="false">IF(OR(J2837=1,N2837&lt;=O2837),1,0)</f>
        <v>1</v>
      </c>
      <c r="T2837" s="15" t="str">
        <f aca="false">IF(J2837=1,"OFFLINE",IF(AND(Q2837&gt;=Inputs!$B$15,R2837=1,S2837=1,P2837&lt;=L2837),"PASS","FAIL"))</f>
        <v>PASS</v>
      </c>
    </row>
    <row r="2838" customFormat="false" ht="15" hidden="false" customHeight="false" outlineLevel="0" collapsed="false">
      <c r="A2838" s="14" t="s">
        <v>1049</v>
      </c>
      <c r="B2838" s="14" t="s">
        <v>1048</v>
      </c>
      <c r="C2838" s="14" t="s">
        <v>158</v>
      </c>
      <c r="D2838" s="14" t="s">
        <v>163</v>
      </c>
      <c r="E2838" s="14" t="s">
        <v>166</v>
      </c>
      <c r="F2838" s="14" t="s">
        <v>164</v>
      </c>
      <c r="G2838" s="14" t="n">
        <v>1</v>
      </c>
      <c r="H2838" s="14" t="s">
        <v>154</v>
      </c>
      <c r="I2838" s="14" t="s">
        <v>899</v>
      </c>
      <c r="J2838" s="15" t="n">
        <f aca="false">IF(B2838="SITE LOSS",IF(D2838=C2838,1,0),IF(B2838="REGION LOSS",IF(E2838=C2838,1,0),0))</f>
        <v>0</v>
      </c>
      <c r="K2838" s="15" t="n">
        <f aca="false">IF(B2838="SITE LOSS",IF(COUNTIFS('Site Dockets'!$B$7:$B$24,C2838,'Site Dockets'!$C$7:$C$24,F2838)&gt;0,1,0),IF(B2838="REGION LOSS",IF(COUNTIFS('Site Dockets'!$E$7:$E$24,C2838,'Site Dockets'!$C$7:$C$24,F2838)&gt;0,1,0),0))</f>
        <v>0</v>
      </c>
      <c r="L2838" s="15" t="n">
        <f aca="false">IF(J2838=1,0,Inputs!$B$11)</f>
        <v>100</v>
      </c>
      <c r="M2838" s="15" t="n">
        <f aca="false">IF(J2838=1,0,Inputs!$B$12)</f>
        <v>75</v>
      </c>
      <c r="N2838" s="15" t="n">
        <f aca="false">IF(J2838=1,0,IF(OR(AND(OR(B2838="SITE LOSS",B2838="REGION LOSS"),K2838=1),AND(B2838="ROLE COMPROMISE",H2838=C2838)),Inputs!$B$13,Inputs!$B$14))</f>
        <v>10</v>
      </c>
      <c r="O2838" s="15" t="n">
        <f aca="false">IF(J2838=1,0,Inputs!$B$13)</f>
        <v>20</v>
      </c>
      <c r="P2838" s="15" t="n">
        <f aca="false">SUM(M2838:N2838)</f>
        <v>85</v>
      </c>
      <c r="Q2838" s="15" t="n">
        <f aca="false">IF(J2838=1,"",L2838-P2838)</f>
        <v>15</v>
      </c>
      <c r="R2838" s="15" t="n">
        <f aca="false">IF(OR(J2838=1,M2838&lt;=Inputs!$B$12),1,0)</f>
        <v>1</v>
      </c>
      <c r="S2838" s="15" t="n">
        <f aca="false">IF(OR(J2838=1,N2838&lt;=O2838),1,0)</f>
        <v>1</v>
      </c>
      <c r="T2838" s="15" t="str">
        <f aca="false">IF(J2838=1,"OFFLINE",IF(AND(Q2838&gt;=Inputs!$B$15,R2838=1,S2838=1,P2838&lt;=L2838),"PASS","FAIL"))</f>
        <v>PASS</v>
      </c>
    </row>
    <row r="2839" customFormat="false" ht="15" hidden="false" customHeight="false" outlineLevel="0" collapsed="false">
      <c r="A2839" s="14" t="s">
        <v>1049</v>
      </c>
      <c r="B2839" s="14" t="s">
        <v>1048</v>
      </c>
      <c r="C2839" s="14" t="s">
        <v>158</v>
      </c>
      <c r="D2839" s="14" t="s">
        <v>168</v>
      </c>
      <c r="E2839" s="14" t="s">
        <v>169</v>
      </c>
      <c r="F2839" s="14" t="s">
        <v>164</v>
      </c>
      <c r="G2839" s="14" t="n">
        <v>2</v>
      </c>
      <c r="H2839" s="14" t="s">
        <v>153</v>
      </c>
      <c r="I2839" s="14" t="s">
        <v>890</v>
      </c>
      <c r="J2839" s="15" t="n">
        <f aca="false">IF(B2839="SITE LOSS",IF(D2839=C2839,1,0),IF(B2839="REGION LOSS",IF(E2839=C2839,1,0),0))</f>
        <v>0</v>
      </c>
      <c r="K2839" s="15" t="n">
        <f aca="false">IF(B2839="SITE LOSS",IF(COUNTIFS('Site Dockets'!$B$7:$B$24,C2839,'Site Dockets'!$C$7:$C$24,F2839)&gt;0,1,0),IF(B2839="REGION LOSS",IF(COUNTIFS('Site Dockets'!$E$7:$E$24,C2839,'Site Dockets'!$C$7:$C$24,F2839)&gt;0,1,0),0))</f>
        <v>0</v>
      </c>
      <c r="L2839" s="15" t="n">
        <f aca="false">IF(J2839=1,0,Inputs!$B$11)</f>
        <v>100</v>
      </c>
      <c r="M2839" s="15" t="n">
        <f aca="false">IF(J2839=1,0,Inputs!$B$12)</f>
        <v>75</v>
      </c>
      <c r="N2839" s="15" t="n">
        <f aca="false">IF(J2839=1,0,IF(OR(AND(OR(B2839="SITE LOSS",B2839="REGION LOSS"),K2839=1),AND(B2839="ROLE COMPROMISE",H2839=C2839)),Inputs!$B$13,Inputs!$B$14))</f>
        <v>10</v>
      </c>
      <c r="O2839" s="15" t="n">
        <f aca="false">IF(J2839=1,0,Inputs!$B$13)</f>
        <v>20</v>
      </c>
      <c r="P2839" s="15" t="n">
        <f aca="false">SUM(M2839:N2839)</f>
        <v>85</v>
      </c>
      <c r="Q2839" s="15" t="n">
        <f aca="false">IF(J2839=1,"",L2839-P2839)</f>
        <v>15</v>
      </c>
      <c r="R2839" s="15" t="n">
        <f aca="false">IF(OR(J2839=1,M2839&lt;=Inputs!$B$12),1,0)</f>
        <v>1</v>
      </c>
      <c r="S2839" s="15" t="n">
        <f aca="false">IF(OR(J2839=1,N2839&lt;=O2839),1,0)</f>
        <v>1</v>
      </c>
      <c r="T2839" s="15" t="str">
        <f aca="false">IF(J2839=1,"OFFLINE",IF(AND(Q2839&gt;=Inputs!$B$15,R2839=1,S2839=1,P2839&lt;=L2839),"PASS","FAIL"))</f>
        <v>PASS</v>
      </c>
    </row>
    <row r="2840" customFormat="false" ht="15" hidden="false" customHeight="false" outlineLevel="0" collapsed="false">
      <c r="A2840" s="14" t="s">
        <v>1049</v>
      </c>
      <c r="B2840" s="14" t="s">
        <v>1048</v>
      </c>
      <c r="C2840" s="14" t="s">
        <v>158</v>
      </c>
      <c r="D2840" s="14" t="s">
        <v>168</v>
      </c>
      <c r="E2840" s="14" t="s">
        <v>169</v>
      </c>
      <c r="F2840" s="14" t="s">
        <v>164</v>
      </c>
      <c r="G2840" s="14" t="n">
        <v>2</v>
      </c>
      <c r="H2840" s="14" t="s">
        <v>153</v>
      </c>
      <c r="I2840" s="14" t="s">
        <v>892</v>
      </c>
      <c r="J2840" s="15" t="n">
        <f aca="false">IF(B2840="SITE LOSS",IF(D2840=C2840,1,0),IF(B2840="REGION LOSS",IF(E2840=C2840,1,0),0))</f>
        <v>0</v>
      </c>
      <c r="K2840" s="15" t="n">
        <f aca="false">IF(B2840="SITE LOSS",IF(COUNTIFS('Site Dockets'!$B$7:$B$24,C2840,'Site Dockets'!$C$7:$C$24,F2840)&gt;0,1,0),IF(B2840="REGION LOSS",IF(COUNTIFS('Site Dockets'!$E$7:$E$24,C2840,'Site Dockets'!$C$7:$C$24,F2840)&gt;0,1,0),0))</f>
        <v>0</v>
      </c>
      <c r="L2840" s="15" t="n">
        <f aca="false">IF(J2840=1,0,Inputs!$B$11)</f>
        <v>100</v>
      </c>
      <c r="M2840" s="15" t="n">
        <f aca="false">IF(J2840=1,0,Inputs!$B$12)</f>
        <v>75</v>
      </c>
      <c r="N2840" s="15" t="n">
        <f aca="false">IF(J2840=1,0,IF(OR(AND(OR(B2840="SITE LOSS",B2840="REGION LOSS"),K2840=1),AND(B2840="ROLE COMPROMISE",H2840=C2840)),Inputs!$B$13,Inputs!$B$14))</f>
        <v>10</v>
      </c>
      <c r="O2840" s="15" t="n">
        <f aca="false">IF(J2840=1,0,Inputs!$B$13)</f>
        <v>20</v>
      </c>
      <c r="P2840" s="15" t="n">
        <f aca="false">SUM(M2840:N2840)</f>
        <v>85</v>
      </c>
      <c r="Q2840" s="15" t="n">
        <f aca="false">IF(J2840=1,"",L2840-P2840)</f>
        <v>15</v>
      </c>
      <c r="R2840" s="15" t="n">
        <f aca="false">IF(OR(J2840=1,M2840&lt;=Inputs!$B$12),1,0)</f>
        <v>1</v>
      </c>
      <c r="S2840" s="15" t="n">
        <f aca="false">IF(OR(J2840=1,N2840&lt;=O2840),1,0)</f>
        <v>1</v>
      </c>
      <c r="T2840" s="15" t="str">
        <f aca="false">IF(J2840=1,"OFFLINE",IF(AND(Q2840&gt;=Inputs!$B$15,R2840=1,S2840=1,P2840&lt;=L2840),"PASS","FAIL"))</f>
        <v>PASS</v>
      </c>
    </row>
    <row r="2841" customFormat="false" ht="15" hidden="false" customHeight="false" outlineLevel="0" collapsed="false">
      <c r="A2841" s="14" t="s">
        <v>1049</v>
      </c>
      <c r="B2841" s="14" t="s">
        <v>1048</v>
      </c>
      <c r="C2841" s="14" t="s">
        <v>158</v>
      </c>
      <c r="D2841" s="14" t="s">
        <v>168</v>
      </c>
      <c r="E2841" s="14" t="s">
        <v>169</v>
      </c>
      <c r="F2841" s="14" t="s">
        <v>164</v>
      </c>
      <c r="G2841" s="14" t="n">
        <v>2</v>
      </c>
      <c r="H2841" s="14" t="s">
        <v>153</v>
      </c>
      <c r="I2841" s="14" t="s">
        <v>811</v>
      </c>
      <c r="J2841" s="15" t="n">
        <f aca="false">IF(B2841="SITE LOSS",IF(D2841=C2841,1,0),IF(B2841="REGION LOSS",IF(E2841=C2841,1,0),0))</f>
        <v>0</v>
      </c>
      <c r="K2841" s="15" t="n">
        <f aca="false">IF(B2841="SITE LOSS",IF(COUNTIFS('Site Dockets'!$B$7:$B$24,C2841,'Site Dockets'!$C$7:$C$24,F2841)&gt;0,1,0),IF(B2841="REGION LOSS",IF(COUNTIFS('Site Dockets'!$E$7:$E$24,C2841,'Site Dockets'!$C$7:$C$24,F2841)&gt;0,1,0),0))</f>
        <v>0</v>
      </c>
      <c r="L2841" s="15" t="n">
        <f aca="false">IF(J2841=1,0,Inputs!$B$11)</f>
        <v>100</v>
      </c>
      <c r="M2841" s="15" t="n">
        <f aca="false">IF(J2841=1,0,Inputs!$B$12)</f>
        <v>75</v>
      </c>
      <c r="N2841" s="15" t="n">
        <f aca="false">IF(J2841=1,0,IF(OR(AND(OR(B2841="SITE LOSS",B2841="REGION LOSS"),K2841=1),AND(B2841="ROLE COMPROMISE",H2841=C2841)),Inputs!$B$13,Inputs!$B$14))</f>
        <v>10</v>
      </c>
      <c r="O2841" s="15" t="n">
        <f aca="false">IF(J2841=1,0,Inputs!$B$13)</f>
        <v>20</v>
      </c>
      <c r="P2841" s="15" t="n">
        <f aca="false">SUM(M2841:N2841)</f>
        <v>85</v>
      </c>
      <c r="Q2841" s="15" t="n">
        <f aca="false">IF(J2841=1,"",L2841-P2841)</f>
        <v>15</v>
      </c>
      <c r="R2841" s="15" t="n">
        <f aca="false">IF(OR(J2841=1,M2841&lt;=Inputs!$B$12),1,0)</f>
        <v>1</v>
      </c>
      <c r="S2841" s="15" t="n">
        <f aca="false">IF(OR(J2841=1,N2841&lt;=O2841),1,0)</f>
        <v>1</v>
      </c>
      <c r="T2841" s="15" t="str">
        <f aca="false">IF(J2841=1,"OFFLINE",IF(AND(Q2841&gt;=Inputs!$B$15,R2841=1,S2841=1,P2841&lt;=L2841),"PASS","FAIL"))</f>
        <v>PASS</v>
      </c>
    </row>
    <row r="2842" customFormat="false" ht="15" hidden="false" customHeight="false" outlineLevel="0" collapsed="false">
      <c r="A2842" s="14" t="s">
        <v>1049</v>
      </c>
      <c r="B2842" s="14" t="s">
        <v>1048</v>
      </c>
      <c r="C2842" s="14" t="s">
        <v>158</v>
      </c>
      <c r="D2842" s="14" t="s">
        <v>168</v>
      </c>
      <c r="E2842" s="14" t="s">
        <v>169</v>
      </c>
      <c r="F2842" s="14" t="s">
        <v>164</v>
      </c>
      <c r="G2842" s="14" t="n">
        <v>2</v>
      </c>
      <c r="H2842" s="14" t="s">
        <v>153</v>
      </c>
      <c r="I2842" s="14" t="s">
        <v>895</v>
      </c>
      <c r="J2842" s="15" t="n">
        <f aca="false">IF(B2842="SITE LOSS",IF(D2842=C2842,1,0),IF(B2842="REGION LOSS",IF(E2842=C2842,1,0),0))</f>
        <v>0</v>
      </c>
      <c r="K2842" s="15" t="n">
        <f aca="false">IF(B2842="SITE LOSS",IF(COUNTIFS('Site Dockets'!$B$7:$B$24,C2842,'Site Dockets'!$C$7:$C$24,F2842)&gt;0,1,0),IF(B2842="REGION LOSS",IF(COUNTIFS('Site Dockets'!$E$7:$E$24,C2842,'Site Dockets'!$C$7:$C$24,F2842)&gt;0,1,0),0))</f>
        <v>0</v>
      </c>
      <c r="L2842" s="15" t="n">
        <f aca="false">IF(J2842=1,0,Inputs!$B$11)</f>
        <v>100</v>
      </c>
      <c r="M2842" s="15" t="n">
        <f aca="false">IF(J2842=1,0,Inputs!$B$12)</f>
        <v>75</v>
      </c>
      <c r="N2842" s="15" t="n">
        <f aca="false">IF(J2842=1,0,IF(OR(AND(OR(B2842="SITE LOSS",B2842="REGION LOSS"),K2842=1),AND(B2842="ROLE COMPROMISE",H2842=C2842)),Inputs!$B$13,Inputs!$B$14))</f>
        <v>10</v>
      </c>
      <c r="O2842" s="15" t="n">
        <f aca="false">IF(J2842=1,0,Inputs!$B$13)</f>
        <v>20</v>
      </c>
      <c r="P2842" s="15" t="n">
        <f aca="false">SUM(M2842:N2842)</f>
        <v>85</v>
      </c>
      <c r="Q2842" s="15" t="n">
        <f aca="false">IF(J2842=1,"",L2842-P2842)</f>
        <v>15</v>
      </c>
      <c r="R2842" s="15" t="n">
        <f aca="false">IF(OR(J2842=1,M2842&lt;=Inputs!$B$12),1,0)</f>
        <v>1</v>
      </c>
      <c r="S2842" s="15" t="n">
        <f aca="false">IF(OR(J2842=1,N2842&lt;=O2842),1,0)</f>
        <v>1</v>
      </c>
      <c r="T2842" s="15" t="str">
        <f aca="false">IF(J2842=1,"OFFLINE",IF(AND(Q2842&gt;=Inputs!$B$15,R2842=1,S2842=1,P2842&lt;=L2842),"PASS","FAIL"))</f>
        <v>PASS</v>
      </c>
    </row>
    <row r="2843" customFormat="false" ht="15" hidden="false" customHeight="false" outlineLevel="0" collapsed="false">
      <c r="A2843" s="14" t="s">
        <v>1049</v>
      </c>
      <c r="B2843" s="14" t="s">
        <v>1048</v>
      </c>
      <c r="C2843" s="14" t="s">
        <v>158</v>
      </c>
      <c r="D2843" s="14" t="s">
        <v>168</v>
      </c>
      <c r="E2843" s="14" t="s">
        <v>169</v>
      </c>
      <c r="F2843" s="14" t="s">
        <v>164</v>
      </c>
      <c r="G2843" s="14" t="n">
        <v>2</v>
      </c>
      <c r="H2843" s="14" t="s">
        <v>153</v>
      </c>
      <c r="I2843" s="14" t="s">
        <v>897</v>
      </c>
      <c r="J2843" s="15" t="n">
        <f aca="false">IF(B2843="SITE LOSS",IF(D2843=C2843,1,0),IF(B2843="REGION LOSS",IF(E2843=C2843,1,0),0))</f>
        <v>0</v>
      </c>
      <c r="K2843" s="15" t="n">
        <f aca="false">IF(B2843="SITE LOSS",IF(COUNTIFS('Site Dockets'!$B$7:$B$24,C2843,'Site Dockets'!$C$7:$C$24,F2843)&gt;0,1,0),IF(B2843="REGION LOSS",IF(COUNTIFS('Site Dockets'!$E$7:$E$24,C2843,'Site Dockets'!$C$7:$C$24,F2843)&gt;0,1,0),0))</f>
        <v>0</v>
      </c>
      <c r="L2843" s="15" t="n">
        <f aca="false">IF(J2843=1,0,Inputs!$B$11)</f>
        <v>100</v>
      </c>
      <c r="M2843" s="15" t="n">
        <f aca="false">IF(J2843=1,0,Inputs!$B$12)</f>
        <v>75</v>
      </c>
      <c r="N2843" s="15" t="n">
        <f aca="false">IF(J2843=1,0,IF(OR(AND(OR(B2843="SITE LOSS",B2843="REGION LOSS"),K2843=1),AND(B2843="ROLE COMPROMISE",H2843=C2843)),Inputs!$B$13,Inputs!$B$14))</f>
        <v>10</v>
      </c>
      <c r="O2843" s="15" t="n">
        <f aca="false">IF(J2843=1,0,Inputs!$B$13)</f>
        <v>20</v>
      </c>
      <c r="P2843" s="15" t="n">
        <f aca="false">SUM(M2843:N2843)</f>
        <v>85</v>
      </c>
      <c r="Q2843" s="15" t="n">
        <f aca="false">IF(J2843=1,"",L2843-P2843)</f>
        <v>15</v>
      </c>
      <c r="R2843" s="15" t="n">
        <f aca="false">IF(OR(J2843=1,M2843&lt;=Inputs!$B$12),1,0)</f>
        <v>1</v>
      </c>
      <c r="S2843" s="15" t="n">
        <f aca="false">IF(OR(J2843=1,N2843&lt;=O2843),1,0)</f>
        <v>1</v>
      </c>
      <c r="T2843" s="15" t="str">
        <f aca="false">IF(J2843=1,"OFFLINE",IF(AND(Q2843&gt;=Inputs!$B$15,R2843=1,S2843=1,P2843&lt;=L2843),"PASS","FAIL"))</f>
        <v>PASS</v>
      </c>
    </row>
    <row r="2844" customFormat="false" ht="15" hidden="false" customHeight="false" outlineLevel="0" collapsed="false">
      <c r="A2844" s="14" t="s">
        <v>1049</v>
      </c>
      <c r="B2844" s="14" t="s">
        <v>1048</v>
      </c>
      <c r="C2844" s="14" t="s">
        <v>158</v>
      </c>
      <c r="D2844" s="14" t="s">
        <v>168</v>
      </c>
      <c r="E2844" s="14" t="s">
        <v>169</v>
      </c>
      <c r="F2844" s="14" t="s">
        <v>164</v>
      </c>
      <c r="G2844" s="14" t="n">
        <v>2</v>
      </c>
      <c r="H2844" s="14" t="s">
        <v>153</v>
      </c>
      <c r="I2844" s="14" t="s">
        <v>899</v>
      </c>
      <c r="J2844" s="15" t="n">
        <f aca="false">IF(B2844="SITE LOSS",IF(D2844=C2844,1,0),IF(B2844="REGION LOSS",IF(E2844=C2844,1,0),0))</f>
        <v>0</v>
      </c>
      <c r="K2844" s="15" t="n">
        <f aca="false">IF(B2844="SITE LOSS",IF(COUNTIFS('Site Dockets'!$B$7:$B$24,C2844,'Site Dockets'!$C$7:$C$24,F2844)&gt;0,1,0),IF(B2844="REGION LOSS",IF(COUNTIFS('Site Dockets'!$E$7:$E$24,C2844,'Site Dockets'!$C$7:$C$24,F2844)&gt;0,1,0),0))</f>
        <v>0</v>
      </c>
      <c r="L2844" s="15" t="n">
        <f aca="false">IF(J2844=1,0,Inputs!$B$11)</f>
        <v>100</v>
      </c>
      <c r="M2844" s="15" t="n">
        <f aca="false">IF(J2844=1,0,Inputs!$B$12)</f>
        <v>75</v>
      </c>
      <c r="N2844" s="15" t="n">
        <f aca="false">IF(J2844=1,0,IF(OR(AND(OR(B2844="SITE LOSS",B2844="REGION LOSS"),K2844=1),AND(B2844="ROLE COMPROMISE",H2844=C2844)),Inputs!$B$13,Inputs!$B$14))</f>
        <v>10</v>
      </c>
      <c r="O2844" s="15" t="n">
        <f aca="false">IF(J2844=1,0,Inputs!$B$13)</f>
        <v>20</v>
      </c>
      <c r="P2844" s="15" t="n">
        <f aca="false">SUM(M2844:N2844)</f>
        <v>85</v>
      </c>
      <c r="Q2844" s="15" t="n">
        <f aca="false">IF(J2844=1,"",L2844-P2844)</f>
        <v>15</v>
      </c>
      <c r="R2844" s="15" t="n">
        <f aca="false">IF(OR(J2844=1,M2844&lt;=Inputs!$B$12),1,0)</f>
        <v>1</v>
      </c>
      <c r="S2844" s="15" t="n">
        <f aca="false">IF(OR(J2844=1,N2844&lt;=O2844),1,0)</f>
        <v>1</v>
      </c>
      <c r="T2844" s="15" t="str">
        <f aca="false">IF(J2844=1,"OFFLINE",IF(AND(Q2844&gt;=Inputs!$B$15,R2844=1,S2844=1,P2844&lt;=L2844),"PASS","FAIL"))</f>
        <v>PASS</v>
      </c>
    </row>
    <row r="2845" customFormat="false" ht="15" hidden="false" customHeight="false" outlineLevel="0" collapsed="false">
      <c r="A2845" s="14" t="s">
        <v>1049</v>
      </c>
      <c r="B2845" s="14" t="s">
        <v>1048</v>
      </c>
      <c r="C2845" s="14" t="s">
        <v>158</v>
      </c>
      <c r="D2845" s="14" t="s">
        <v>171</v>
      </c>
      <c r="E2845" s="14" t="s">
        <v>172</v>
      </c>
      <c r="F2845" s="14" t="s">
        <v>164</v>
      </c>
      <c r="G2845" s="14" t="n">
        <v>3</v>
      </c>
      <c r="H2845" s="14" t="s">
        <v>158</v>
      </c>
      <c r="I2845" s="14" t="s">
        <v>890</v>
      </c>
      <c r="J2845" s="15" t="n">
        <f aca="false">IF(B2845="SITE LOSS",IF(D2845=C2845,1,0),IF(B2845="REGION LOSS",IF(E2845=C2845,1,0),0))</f>
        <v>0</v>
      </c>
      <c r="K2845" s="15" t="n">
        <f aca="false">IF(B2845="SITE LOSS",IF(COUNTIFS('Site Dockets'!$B$7:$B$24,C2845,'Site Dockets'!$C$7:$C$24,F2845)&gt;0,1,0),IF(B2845="REGION LOSS",IF(COUNTIFS('Site Dockets'!$E$7:$E$24,C2845,'Site Dockets'!$C$7:$C$24,F2845)&gt;0,1,0),0))</f>
        <v>0</v>
      </c>
      <c r="L2845" s="15" t="n">
        <f aca="false">IF(J2845=1,0,Inputs!$B$11)</f>
        <v>100</v>
      </c>
      <c r="M2845" s="15" t="n">
        <f aca="false">IF(J2845=1,0,Inputs!$B$12)</f>
        <v>75</v>
      </c>
      <c r="N2845" s="15" t="n">
        <f aca="false">IF(J2845=1,0,IF(OR(AND(OR(B2845="SITE LOSS",B2845="REGION LOSS"),K2845=1),AND(B2845="ROLE COMPROMISE",H2845=C2845)),Inputs!$B$13,Inputs!$B$14))</f>
        <v>20</v>
      </c>
      <c r="O2845" s="15" t="n">
        <f aca="false">IF(J2845=1,0,Inputs!$B$13)</f>
        <v>20</v>
      </c>
      <c r="P2845" s="15" t="n">
        <f aca="false">SUM(M2845:N2845)</f>
        <v>95</v>
      </c>
      <c r="Q2845" s="15" t="n">
        <f aca="false">IF(J2845=1,"",L2845-P2845)</f>
        <v>5</v>
      </c>
      <c r="R2845" s="15" t="n">
        <f aca="false">IF(OR(J2845=1,M2845&lt;=Inputs!$B$12),1,0)</f>
        <v>1</v>
      </c>
      <c r="S2845" s="15" t="n">
        <f aca="false">IF(OR(J2845=1,N2845&lt;=O2845),1,0)</f>
        <v>1</v>
      </c>
      <c r="T2845" s="15" t="str">
        <f aca="false">IF(J2845=1,"OFFLINE",IF(AND(Q2845&gt;=Inputs!$B$15,R2845=1,S2845=1,P2845&lt;=L2845),"PASS","FAIL"))</f>
        <v>PASS</v>
      </c>
    </row>
    <row r="2846" customFormat="false" ht="15" hidden="false" customHeight="false" outlineLevel="0" collapsed="false">
      <c r="A2846" s="14" t="s">
        <v>1049</v>
      </c>
      <c r="B2846" s="14" t="s">
        <v>1048</v>
      </c>
      <c r="C2846" s="14" t="s">
        <v>158</v>
      </c>
      <c r="D2846" s="14" t="s">
        <v>171</v>
      </c>
      <c r="E2846" s="14" t="s">
        <v>172</v>
      </c>
      <c r="F2846" s="14" t="s">
        <v>164</v>
      </c>
      <c r="G2846" s="14" t="n">
        <v>3</v>
      </c>
      <c r="H2846" s="14" t="s">
        <v>158</v>
      </c>
      <c r="I2846" s="14" t="s">
        <v>892</v>
      </c>
      <c r="J2846" s="15" t="n">
        <f aca="false">IF(B2846="SITE LOSS",IF(D2846=C2846,1,0),IF(B2846="REGION LOSS",IF(E2846=C2846,1,0),0))</f>
        <v>0</v>
      </c>
      <c r="K2846" s="15" t="n">
        <f aca="false">IF(B2846="SITE LOSS",IF(COUNTIFS('Site Dockets'!$B$7:$B$24,C2846,'Site Dockets'!$C$7:$C$24,F2846)&gt;0,1,0),IF(B2846="REGION LOSS",IF(COUNTIFS('Site Dockets'!$E$7:$E$24,C2846,'Site Dockets'!$C$7:$C$24,F2846)&gt;0,1,0),0))</f>
        <v>0</v>
      </c>
      <c r="L2846" s="15" t="n">
        <f aca="false">IF(J2846=1,0,Inputs!$B$11)</f>
        <v>100</v>
      </c>
      <c r="M2846" s="15" t="n">
        <f aca="false">IF(J2846=1,0,Inputs!$B$12)</f>
        <v>75</v>
      </c>
      <c r="N2846" s="15" t="n">
        <f aca="false">IF(J2846=1,0,IF(OR(AND(OR(B2846="SITE LOSS",B2846="REGION LOSS"),K2846=1),AND(B2846="ROLE COMPROMISE",H2846=C2846)),Inputs!$B$13,Inputs!$B$14))</f>
        <v>20</v>
      </c>
      <c r="O2846" s="15" t="n">
        <f aca="false">IF(J2846=1,0,Inputs!$B$13)</f>
        <v>20</v>
      </c>
      <c r="P2846" s="15" t="n">
        <f aca="false">SUM(M2846:N2846)</f>
        <v>95</v>
      </c>
      <c r="Q2846" s="15" t="n">
        <f aca="false">IF(J2846=1,"",L2846-P2846)</f>
        <v>5</v>
      </c>
      <c r="R2846" s="15" t="n">
        <f aca="false">IF(OR(J2846=1,M2846&lt;=Inputs!$B$12),1,0)</f>
        <v>1</v>
      </c>
      <c r="S2846" s="15" t="n">
        <f aca="false">IF(OR(J2846=1,N2846&lt;=O2846),1,0)</f>
        <v>1</v>
      </c>
      <c r="T2846" s="15" t="str">
        <f aca="false">IF(J2846=1,"OFFLINE",IF(AND(Q2846&gt;=Inputs!$B$15,R2846=1,S2846=1,P2846&lt;=L2846),"PASS","FAIL"))</f>
        <v>PASS</v>
      </c>
    </row>
    <row r="2847" customFormat="false" ht="15" hidden="false" customHeight="false" outlineLevel="0" collapsed="false">
      <c r="A2847" s="14" t="s">
        <v>1049</v>
      </c>
      <c r="B2847" s="14" t="s">
        <v>1048</v>
      </c>
      <c r="C2847" s="14" t="s">
        <v>158</v>
      </c>
      <c r="D2847" s="14" t="s">
        <v>171</v>
      </c>
      <c r="E2847" s="14" t="s">
        <v>172</v>
      </c>
      <c r="F2847" s="14" t="s">
        <v>164</v>
      </c>
      <c r="G2847" s="14" t="n">
        <v>3</v>
      </c>
      <c r="H2847" s="14" t="s">
        <v>158</v>
      </c>
      <c r="I2847" s="14" t="s">
        <v>811</v>
      </c>
      <c r="J2847" s="15" t="n">
        <f aca="false">IF(B2847="SITE LOSS",IF(D2847=C2847,1,0),IF(B2847="REGION LOSS",IF(E2847=C2847,1,0),0))</f>
        <v>0</v>
      </c>
      <c r="K2847" s="15" t="n">
        <f aca="false">IF(B2847="SITE LOSS",IF(COUNTIFS('Site Dockets'!$B$7:$B$24,C2847,'Site Dockets'!$C$7:$C$24,F2847)&gt;0,1,0),IF(B2847="REGION LOSS",IF(COUNTIFS('Site Dockets'!$E$7:$E$24,C2847,'Site Dockets'!$C$7:$C$24,F2847)&gt;0,1,0),0))</f>
        <v>0</v>
      </c>
      <c r="L2847" s="15" t="n">
        <f aca="false">IF(J2847=1,0,Inputs!$B$11)</f>
        <v>100</v>
      </c>
      <c r="M2847" s="15" t="n">
        <f aca="false">IF(J2847=1,0,Inputs!$B$12)</f>
        <v>75</v>
      </c>
      <c r="N2847" s="15" t="n">
        <f aca="false">IF(J2847=1,0,IF(OR(AND(OR(B2847="SITE LOSS",B2847="REGION LOSS"),K2847=1),AND(B2847="ROLE COMPROMISE",H2847=C2847)),Inputs!$B$13,Inputs!$B$14))</f>
        <v>20</v>
      </c>
      <c r="O2847" s="15" t="n">
        <f aca="false">IF(J2847=1,0,Inputs!$B$13)</f>
        <v>20</v>
      </c>
      <c r="P2847" s="15" t="n">
        <f aca="false">SUM(M2847:N2847)</f>
        <v>95</v>
      </c>
      <c r="Q2847" s="15" t="n">
        <f aca="false">IF(J2847=1,"",L2847-P2847)</f>
        <v>5</v>
      </c>
      <c r="R2847" s="15" t="n">
        <f aca="false">IF(OR(J2847=1,M2847&lt;=Inputs!$B$12),1,0)</f>
        <v>1</v>
      </c>
      <c r="S2847" s="15" t="n">
        <f aca="false">IF(OR(J2847=1,N2847&lt;=O2847),1,0)</f>
        <v>1</v>
      </c>
      <c r="T2847" s="15" t="str">
        <f aca="false">IF(J2847=1,"OFFLINE",IF(AND(Q2847&gt;=Inputs!$B$15,R2847=1,S2847=1,P2847&lt;=L2847),"PASS","FAIL"))</f>
        <v>PASS</v>
      </c>
    </row>
    <row r="2848" customFormat="false" ht="15" hidden="false" customHeight="false" outlineLevel="0" collapsed="false">
      <c r="A2848" s="14" t="s">
        <v>1049</v>
      </c>
      <c r="B2848" s="14" t="s">
        <v>1048</v>
      </c>
      <c r="C2848" s="14" t="s">
        <v>158</v>
      </c>
      <c r="D2848" s="14" t="s">
        <v>171</v>
      </c>
      <c r="E2848" s="14" t="s">
        <v>172</v>
      </c>
      <c r="F2848" s="14" t="s">
        <v>164</v>
      </c>
      <c r="G2848" s="14" t="n">
        <v>3</v>
      </c>
      <c r="H2848" s="14" t="s">
        <v>158</v>
      </c>
      <c r="I2848" s="14" t="s">
        <v>895</v>
      </c>
      <c r="J2848" s="15" t="n">
        <f aca="false">IF(B2848="SITE LOSS",IF(D2848=C2848,1,0),IF(B2848="REGION LOSS",IF(E2848=C2848,1,0),0))</f>
        <v>0</v>
      </c>
      <c r="K2848" s="15" t="n">
        <f aca="false">IF(B2848="SITE LOSS",IF(COUNTIFS('Site Dockets'!$B$7:$B$24,C2848,'Site Dockets'!$C$7:$C$24,F2848)&gt;0,1,0),IF(B2848="REGION LOSS",IF(COUNTIFS('Site Dockets'!$E$7:$E$24,C2848,'Site Dockets'!$C$7:$C$24,F2848)&gt;0,1,0),0))</f>
        <v>0</v>
      </c>
      <c r="L2848" s="15" t="n">
        <f aca="false">IF(J2848=1,0,Inputs!$B$11)</f>
        <v>100</v>
      </c>
      <c r="M2848" s="15" t="n">
        <f aca="false">IF(J2848=1,0,Inputs!$B$12)</f>
        <v>75</v>
      </c>
      <c r="N2848" s="15" t="n">
        <f aca="false">IF(J2848=1,0,IF(OR(AND(OR(B2848="SITE LOSS",B2848="REGION LOSS"),K2848=1),AND(B2848="ROLE COMPROMISE",H2848=C2848)),Inputs!$B$13,Inputs!$B$14))</f>
        <v>20</v>
      </c>
      <c r="O2848" s="15" t="n">
        <f aca="false">IF(J2848=1,0,Inputs!$B$13)</f>
        <v>20</v>
      </c>
      <c r="P2848" s="15" t="n">
        <f aca="false">SUM(M2848:N2848)</f>
        <v>95</v>
      </c>
      <c r="Q2848" s="15" t="n">
        <f aca="false">IF(J2848=1,"",L2848-P2848)</f>
        <v>5</v>
      </c>
      <c r="R2848" s="15" t="n">
        <f aca="false">IF(OR(J2848=1,M2848&lt;=Inputs!$B$12),1,0)</f>
        <v>1</v>
      </c>
      <c r="S2848" s="15" t="n">
        <f aca="false">IF(OR(J2848=1,N2848&lt;=O2848),1,0)</f>
        <v>1</v>
      </c>
      <c r="T2848" s="15" t="str">
        <f aca="false">IF(J2848=1,"OFFLINE",IF(AND(Q2848&gt;=Inputs!$B$15,R2848=1,S2848=1,P2848&lt;=L2848),"PASS","FAIL"))</f>
        <v>PASS</v>
      </c>
    </row>
    <row r="2849" customFormat="false" ht="15" hidden="false" customHeight="false" outlineLevel="0" collapsed="false">
      <c r="A2849" s="14" t="s">
        <v>1049</v>
      </c>
      <c r="B2849" s="14" t="s">
        <v>1048</v>
      </c>
      <c r="C2849" s="14" t="s">
        <v>158</v>
      </c>
      <c r="D2849" s="14" t="s">
        <v>171</v>
      </c>
      <c r="E2849" s="14" t="s">
        <v>172</v>
      </c>
      <c r="F2849" s="14" t="s">
        <v>164</v>
      </c>
      <c r="G2849" s="14" t="n">
        <v>3</v>
      </c>
      <c r="H2849" s="14" t="s">
        <v>158</v>
      </c>
      <c r="I2849" s="14" t="s">
        <v>897</v>
      </c>
      <c r="J2849" s="15" t="n">
        <f aca="false">IF(B2849="SITE LOSS",IF(D2849=C2849,1,0),IF(B2849="REGION LOSS",IF(E2849=C2849,1,0),0))</f>
        <v>0</v>
      </c>
      <c r="K2849" s="15" t="n">
        <f aca="false">IF(B2849="SITE LOSS",IF(COUNTIFS('Site Dockets'!$B$7:$B$24,C2849,'Site Dockets'!$C$7:$C$24,F2849)&gt;0,1,0),IF(B2849="REGION LOSS",IF(COUNTIFS('Site Dockets'!$E$7:$E$24,C2849,'Site Dockets'!$C$7:$C$24,F2849)&gt;0,1,0),0))</f>
        <v>0</v>
      </c>
      <c r="L2849" s="15" t="n">
        <f aca="false">IF(J2849=1,0,Inputs!$B$11)</f>
        <v>100</v>
      </c>
      <c r="M2849" s="15" t="n">
        <f aca="false">IF(J2849=1,0,Inputs!$B$12)</f>
        <v>75</v>
      </c>
      <c r="N2849" s="15" t="n">
        <f aca="false">IF(J2849=1,0,IF(OR(AND(OR(B2849="SITE LOSS",B2849="REGION LOSS"),K2849=1),AND(B2849="ROLE COMPROMISE",H2849=C2849)),Inputs!$B$13,Inputs!$B$14))</f>
        <v>20</v>
      </c>
      <c r="O2849" s="15" t="n">
        <f aca="false">IF(J2849=1,0,Inputs!$B$13)</f>
        <v>20</v>
      </c>
      <c r="P2849" s="15" t="n">
        <f aca="false">SUM(M2849:N2849)</f>
        <v>95</v>
      </c>
      <c r="Q2849" s="15" t="n">
        <f aca="false">IF(J2849=1,"",L2849-P2849)</f>
        <v>5</v>
      </c>
      <c r="R2849" s="15" t="n">
        <f aca="false">IF(OR(J2849=1,M2849&lt;=Inputs!$B$12),1,0)</f>
        <v>1</v>
      </c>
      <c r="S2849" s="15" t="n">
        <f aca="false">IF(OR(J2849=1,N2849&lt;=O2849),1,0)</f>
        <v>1</v>
      </c>
      <c r="T2849" s="15" t="str">
        <f aca="false">IF(J2849=1,"OFFLINE",IF(AND(Q2849&gt;=Inputs!$B$15,R2849=1,S2849=1,P2849&lt;=L2849),"PASS","FAIL"))</f>
        <v>PASS</v>
      </c>
    </row>
    <row r="2850" customFormat="false" ht="15" hidden="false" customHeight="false" outlineLevel="0" collapsed="false">
      <c r="A2850" s="14" t="s">
        <v>1049</v>
      </c>
      <c r="B2850" s="14" t="s">
        <v>1048</v>
      </c>
      <c r="C2850" s="14" t="s">
        <v>158</v>
      </c>
      <c r="D2850" s="14" t="s">
        <v>171</v>
      </c>
      <c r="E2850" s="14" t="s">
        <v>172</v>
      </c>
      <c r="F2850" s="14" t="s">
        <v>164</v>
      </c>
      <c r="G2850" s="14" t="n">
        <v>3</v>
      </c>
      <c r="H2850" s="14" t="s">
        <v>158</v>
      </c>
      <c r="I2850" s="14" t="s">
        <v>899</v>
      </c>
      <c r="J2850" s="15" t="n">
        <f aca="false">IF(B2850="SITE LOSS",IF(D2850=C2850,1,0),IF(B2850="REGION LOSS",IF(E2850=C2850,1,0),0))</f>
        <v>0</v>
      </c>
      <c r="K2850" s="15" t="n">
        <f aca="false">IF(B2850="SITE LOSS",IF(COUNTIFS('Site Dockets'!$B$7:$B$24,C2850,'Site Dockets'!$C$7:$C$24,F2850)&gt;0,1,0),IF(B2850="REGION LOSS",IF(COUNTIFS('Site Dockets'!$E$7:$E$24,C2850,'Site Dockets'!$C$7:$C$24,F2850)&gt;0,1,0),0))</f>
        <v>0</v>
      </c>
      <c r="L2850" s="15" t="n">
        <f aca="false">IF(J2850=1,0,Inputs!$B$11)</f>
        <v>100</v>
      </c>
      <c r="M2850" s="15" t="n">
        <f aca="false">IF(J2850=1,0,Inputs!$B$12)</f>
        <v>75</v>
      </c>
      <c r="N2850" s="15" t="n">
        <f aca="false">IF(J2850=1,0,IF(OR(AND(OR(B2850="SITE LOSS",B2850="REGION LOSS"),K2850=1),AND(B2850="ROLE COMPROMISE",H2850=C2850)),Inputs!$B$13,Inputs!$B$14))</f>
        <v>20</v>
      </c>
      <c r="O2850" s="15" t="n">
        <f aca="false">IF(J2850=1,0,Inputs!$B$13)</f>
        <v>20</v>
      </c>
      <c r="P2850" s="15" t="n">
        <f aca="false">SUM(M2850:N2850)</f>
        <v>95</v>
      </c>
      <c r="Q2850" s="15" t="n">
        <f aca="false">IF(J2850=1,"",L2850-P2850)</f>
        <v>5</v>
      </c>
      <c r="R2850" s="15" t="n">
        <f aca="false">IF(OR(J2850=1,M2850&lt;=Inputs!$B$12),1,0)</f>
        <v>1</v>
      </c>
      <c r="S2850" s="15" t="n">
        <f aca="false">IF(OR(J2850=1,N2850&lt;=O2850),1,0)</f>
        <v>1</v>
      </c>
      <c r="T2850" s="15" t="str">
        <f aca="false">IF(J2850=1,"OFFLINE",IF(AND(Q2850&gt;=Inputs!$B$15,R2850=1,S2850=1,P2850&lt;=L2850),"PASS","FAIL"))</f>
        <v>PASS</v>
      </c>
    </row>
    <row r="2851" customFormat="false" ht="15" hidden="false" customHeight="false" outlineLevel="0" collapsed="false">
      <c r="A2851" s="14" t="s">
        <v>1049</v>
      </c>
      <c r="B2851" s="14" t="s">
        <v>1048</v>
      </c>
      <c r="C2851" s="14" t="s">
        <v>158</v>
      </c>
      <c r="D2851" s="14" t="s">
        <v>174</v>
      </c>
      <c r="E2851" s="14" t="s">
        <v>152</v>
      </c>
      <c r="F2851" s="14" t="s">
        <v>175</v>
      </c>
      <c r="G2851" s="14" t="n">
        <v>1</v>
      </c>
      <c r="H2851" s="14" t="s">
        <v>154</v>
      </c>
      <c r="I2851" s="14" t="s">
        <v>890</v>
      </c>
      <c r="J2851" s="15" t="n">
        <f aca="false">IF(B2851="SITE LOSS",IF(D2851=C2851,1,0),IF(B2851="REGION LOSS",IF(E2851=C2851,1,0),0))</f>
        <v>0</v>
      </c>
      <c r="K2851" s="15" t="n">
        <f aca="false">IF(B2851="SITE LOSS",IF(COUNTIFS('Site Dockets'!$B$7:$B$24,C2851,'Site Dockets'!$C$7:$C$24,F2851)&gt;0,1,0),IF(B2851="REGION LOSS",IF(COUNTIFS('Site Dockets'!$E$7:$E$24,C2851,'Site Dockets'!$C$7:$C$24,F2851)&gt;0,1,0),0))</f>
        <v>0</v>
      </c>
      <c r="L2851" s="15" t="n">
        <f aca="false">IF(J2851=1,0,Inputs!$B$11)</f>
        <v>100</v>
      </c>
      <c r="M2851" s="15" t="n">
        <f aca="false">IF(J2851=1,0,Inputs!$B$12)</f>
        <v>75</v>
      </c>
      <c r="N2851" s="15" t="n">
        <f aca="false">IF(J2851=1,0,IF(OR(AND(OR(B2851="SITE LOSS",B2851="REGION LOSS"),K2851=1),AND(B2851="ROLE COMPROMISE",H2851=C2851)),Inputs!$B$13,Inputs!$B$14))</f>
        <v>10</v>
      </c>
      <c r="O2851" s="15" t="n">
        <f aca="false">IF(J2851=1,0,Inputs!$B$13)</f>
        <v>20</v>
      </c>
      <c r="P2851" s="15" t="n">
        <f aca="false">SUM(M2851:N2851)</f>
        <v>85</v>
      </c>
      <c r="Q2851" s="15" t="n">
        <f aca="false">IF(J2851=1,"",L2851-P2851)</f>
        <v>15</v>
      </c>
      <c r="R2851" s="15" t="n">
        <f aca="false">IF(OR(J2851=1,M2851&lt;=Inputs!$B$12),1,0)</f>
        <v>1</v>
      </c>
      <c r="S2851" s="15" t="n">
        <f aca="false">IF(OR(J2851=1,N2851&lt;=O2851),1,0)</f>
        <v>1</v>
      </c>
      <c r="T2851" s="15" t="str">
        <f aca="false">IF(J2851=1,"OFFLINE",IF(AND(Q2851&gt;=Inputs!$B$15,R2851=1,S2851=1,P2851&lt;=L2851),"PASS","FAIL"))</f>
        <v>PASS</v>
      </c>
    </row>
    <row r="2852" customFormat="false" ht="15" hidden="false" customHeight="false" outlineLevel="0" collapsed="false">
      <c r="A2852" s="14" t="s">
        <v>1049</v>
      </c>
      <c r="B2852" s="14" t="s">
        <v>1048</v>
      </c>
      <c r="C2852" s="14" t="s">
        <v>158</v>
      </c>
      <c r="D2852" s="14" t="s">
        <v>174</v>
      </c>
      <c r="E2852" s="14" t="s">
        <v>152</v>
      </c>
      <c r="F2852" s="14" t="s">
        <v>175</v>
      </c>
      <c r="G2852" s="14" t="n">
        <v>1</v>
      </c>
      <c r="H2852" s="14" t="s">
        <v>154</v>
      </c>
      <c r="I2852" s="14" t="s">
        <v>892</v>
      </c>
      <c r="J2852" s="15" t="n">
        <f aca="false">IF(B2852="SITE LOSS",IF(D2852=C2852,1,0),IF(B2852="REGION LOSS",IF(E2852=C2852,1,0),0))</f>
        <v>0</v>
      </c>
      <c r="K2852" s="15" t="n">
        <f aca="false">IF(B2852="SITE LOSS",IF(COUNTIFS('Site Dockets'!$B$7:$B$24,C2852,'Site Dockets'!$C$7:$C$24,F2852)&gt;0,1,0),IF(B2852="REGION LOSS",IF(COUNTIFS('Site Dockets'!$E$7:$E$24,C2852,'Site Dockets'!$C$7:$C$24,F2852)&gt;0,1,0),0))</f>
        <v>0</v>
      </c>
      <c r="L2852" s="15" t="n">
        <f aca="false">IF(J2852=1,0,Inputs!$B$11)</f>
        <v>100</v>
      </c>
      <c r="M2852" s="15" t="n">
        <f aca="false">IF(J2852=1,0,Inputs!$B$12)</f>
        <v>75</v>
      </c>
      <c r="N2852" s="15" t="n">
        <f aca="false">IF(J2852=1,0,IF(OR(AND(OR(B2852="SITE LOSS",B2852="REGION LOSS"),K2852=1),AND(B2852="ROLE COMPROMISE",H2852=C2852)),Inputs!$B$13,Inputs!$B$14))</f>
        <v>10</v>
      </c>
      <c r="O2852" s="15" t="n">
        <f aca="false">IF(J2852=1,0,Inputs!$B$13)</f>
        <v>20</v>
      </c>
      <c r="P2852" s="15" t="n">
        <f aca="false">SUM(M2852:N2852)</f>
        <v>85</v>
      </c>
      <c r="Q2852" s="15" t="n">
        <f aca="false">IF(J2852=1,"",L2852-P2852)</f>
        <v>15</v>
      </c>
      <c r="R2852" s="15" t="n">
        <f aca="false">IF(OR(J2852=1,M2852&lt;=Inputs!$B$12),1,0)</f>
        <v>1</v>
      </c>
      <c r="S2852" s="15" t="n">
        <f aca="false">IF(OR(J2852=1,N2852&lt;=O2852),1,0)</f>
        <v>1</v>
      </c>
      <c r="T2852" s="15" t="str">
        <f aca="false">IF(J2852=1,"OFFLINE",IF(AND(Q2852&gt;=Inputs!$B$15,R2852=1,S2852=1,P2852&lt;=L2852),"PASS","FAIL"))</f>
        <v>PASS</v>
      </c>
    </row>
    <row r="2853" customFormat="false" ht="15" hidden="false" customHeight="false" outlineLevel="0" collapsed="false">
      <c r="A2853" s="14" t="s">
        <v>1049</v>
      </c>
      <c r="B2853" s="14" t="s">
        <v>1048</v>
      </c>
      <c r="C2853" s="14" t="s">
        <v>158</v>
      </c>
      <c r="D2853" s="14" t="s">
        <v>174</v>
      </c>
      <c r="E2853" s="14" t="s">
        <v>152</v>
      </c>
      <c r="F2853" s="14" t="s">
        <v>175</v>
      </c>
      <c r="G2853" s="14" t="n">
        <v>1</v>
      </c>
      <c r="H2853" s="14" t="s">
        <v>154</v>
      </c>
      <c r="I2853" s="14" t="s">
        <v>811</v>
      </c>
      <c r="J2853" s="15" t="n">
        <f aca="false">IF(B2853="SITE LOSS",IF(D2853=C2853,1,0),IF(B2853="REGION LOSS",IF(E2853=C2853,1,0),0))</f>
        <v>0</v>
      </c>
      <c r="K2853" s="15" t="n">
        <f aca="false">IF(B2853="SITE LOSS",IF(COUNTIFS('Site Dockets'!$B$7:$B$24,C2853,'Site Dockets'!$C$7:$C$24,F2853)&gt;0,1,0),IF(B2853="REGION LOSS",IF(COUNTIFS('Site Dockets'!$E$7:$E$24,C2853,'Site Dockets'!$C$7:$C$24,F2853)&gt;0,1,0),0))</f>
        <v>0</v>
      </c>
      <c r="L2853" s="15" t="n">
        <f aca="false">IF(J2853=1,0,Inputs!$B$11)</f>
        <v>100</v>
      </c>
      <c r="M2853" s="15" t="n">
        <f aca="false">IF(J2853=1,0,Inputs!$B$12)</f>
        <v>75</v>
      </c>
      <c r="N2853" s="15" t="n">
        <f aca="false">IF(J2853=1,0,IF(OR(AND(OR(B2853="SITE LOSS",B2853="REGION LOSS"),K2853=1),AND(B2853="ROLE COMPROMISE",H2853=C2853)),Inputs!$B$13,Inputs!$B$14))</f>
        <v>10</v>
      </c>
      <c r="O2853" s="15" t="n">
        <f aca="false">IF(J2853=1,0,Inputs!$B$13)</f>
        <v>20</v>
      </c>
      <c r="P2853" s="15" t="n">
        <f aca="false">SUM(M2853:N2853)</f>
        <v>85</v>
      </c>
      <c r="Q2853" s="15" t="n">
        <f aca="false">IF(J2853=1,"",L2853-P2853)</f>
        <v>15</v>
      </c>
      <c r="R2853" s="15" t="n">
        <f aca="false">IF(OR(J2853=1,M2853&lt;=Inputs!$B$12),1,0)</f>
        <v>1</v>
      </c>
      <c r="S2853" s="15" t="n">
        <f aca="false">IF(OR(J2853=1,N2853&lt;=O2853),1,0)</f>
        <v>1</v>
      </c>
      <c r="T2853" s="15" t="str">
        <f aca="false">IF(J2853=1,"OFFLINE",IF(AND(Q2853&gt;=Inputs!$B$15,R2853=1,S2853=1,P2853&lt;=L2853),"PASS","FAIL"))</f>
        <v>PASS</v>
      </c>
    </row>
    <row r="2854" customFormat="false" ht="15" hidden="false" customHeight="false" outlineLevel="0" collapsed="false">
      <c r="A2854" s="14" t="s">
        <v>1049</v>
      </c>
      <c r="B2854" s="14" t="s">
        <v>1048</v>
      </c>
      <c r="C2854" s="14" t="s">
        <v>158</v>
      </c>
      <c r="D2854" s="14" t="s">
        <v>174</v>
      </c>
      <c r="E2854" s="14" t="s">
        <v>152</v>
      </c>
      <c r="F2854" s="14" t="s">
        <v>175</v>
      </c>
      <c r="G2854" s="14" t="n">
        <v>1</v>
      </c>
      <c r="H2854" s="14" t="s">
        <v>154</v>
      </c>
      <c r="I2854" s="14" t="s">
        <v>895</v>
      </c>
      <c r="J2854" s="15" t="n">
        <f aca="false">IF(B2854="SITE LOSS",IF(D2854=C2854,1,0),IF(B2854="REGION LOSS",IF(E2854=C2854,1,0),0))</f>
        <v>0</v>
      </c>
      <c r="K2854" s="15" t="n">
        <f aca="false">IF(B2854="SITE LOSS",IF(COUNTIFS('Site Dockets'!$B$7:$B$24,C2854,'Site Dockets'!$C$7:$C$24,F2854)&gt;0,1,0),IF(B2854="REGION LOSS",IF(COUNTIFS('Site Dockets'!$E$7:$E$24,C2854,'Site Dockets'!$C$7:$C$24,F2854)&gt;0,1,0),0))</f>
        <v>0</v>
      </c>
      <c r="L2854" s="15" t="n">
        <f aca="false">IF(J2854=1,0,Inputs!$B$11)</f>
        <v>100</v>
      </c>
      <c r="M2854" s="15" t="n">
        <f aca="false">IF(J2854=1,0,Inputs!$B$12)</f>
        <v>75</v>
      </c>
      <c r="N2854" s="15" t="n">
        <f aca="false">IF(J2854=1,0,IF(OR(AND(OR(B2854="SITE LOSS",B2854="REGION LOSS"),K2854=1),AND(B2854="ROLE COMPROMISE",H2854=C2854)),Inputs!$B$13,Inputs!$B$14))</f>
        <v>10</v>
      </c>
      <c r="O2854" s="15" t="n">
        <f aca="false">IF(J2854=1,0,Inputs!$B$13)</f>
        <v>20</v>
      </c>
      <c r="P2854" s="15" t="n">
        <f aca="false">SUM(M2854:N2854)</f>
        <v>85</v>
      </c>
      <c r="Q2854" s="15" t="n">
        <f aca="false">IF(J2854=1,"",L2854-P2854)</f>
        <v>15</v>
      </c>
      <c r="R2854" s="15" t="n">
        <f aca="false">IF(OR(J2854=1,M2854&lt;=Inputs!$B$12),1,0)</f>
        <v>1</v>
      </c>
      <c r="S2854" s="15" t="n">
        <f aca="false">IF(OR(J2854=1,N2854&lt;=O2854),1,0)</f>
        <v>1</v>
      </c>
      <c r="T2854" s="15" t="str">
        <f aca="false">IF(J2854=1,"OFFLINE",IF(AND(Q2854&gt;=Inputs!$B$15,R2854=1,S2854=1,P2854&lt;=L2854),"PASS","FAIL"))</f>
        <v>PASS</v>
      </c>
    </row>
    <row r="2855" customFormat="false" ht="15" hidden="false" customHeight="false" outlineLevel="0" collapsed="false">
      <c r="A2855" s="14" t="s">
        <v>1049</v>
      </c>
      <c r="B2855" s="14" t="s">
        <v>1048</v>
      </c>
      <c r="C2855" s="14" t="s">
        <v>158</v>
      </c>
      <c r="D2855" s="14" t="s">
        <v>174</v>
      </c>
      <c r="E2855" s="14" t="s">
        <v>152</v>
      </c>
      <c r="F2855" s="14" t="s">
        <v>175</v>
      </c>
      <c r="G2855" s="14" t="n">
        <v>1</v>
      </c>
      <c r="H2855" s="14" t="s">
        <v>154</v>
      </c>
      <c r="I2855" s="14" t="s">
        <v>897</v>
      </c>
      <c r="J2855" s="15" t="n">
        <f aca="false">IF(B2855="SITE LOSS",IF(D2855=C2855,1,0),IF(B2855="REGION LOSS",IF(E2855=C2855,1,0),0))</f>
        <v>0</v>
      </c>
      <c r="K2855" s="15" t="n">
        <f aca="false">IF(B2855="SITE LOSS",IF(COUNTIFS('Site Dockets'!$B$7:$B$24,C2855,'Site Dockets'!$C$7:$C$24,F2855)&gt;0,1,0),IF(B2855="REGION LOSS",IF(COUNTIFS('Site Dockets'!$E$7:$E$24,C2855,'Site Dockets'!$C$7:$C$24,F2855)&gt;0,1,0),0))</f>
        <v>0</v>
      </c>
      <c r="L2855" s="15" t="n">
        <f aca="false">IF(J2855=1,0,Inputs!$B$11)</f>
        <v>100</v>
      </c>
      <c r="M2855" s="15" t="n">
        <f aca="false">IF(J2855=1,0,Inputs!$B$12)</f>
        <v>75</v>
      </c>
      <c r="N2855" s="15" t="n">
        <f aca="false">IF(J2855=1,0,IF(OR(AND(OR(B2855="SITE LOSS",B2855="REGION LOSS"),K2855=1),AND(B2855="ROLE COMPROMISE",H2855=C2855)),Inputs!$B$13,Inputs!$B$14))</f>
        <v>10</v>
      </c>
      <c r="O2855" s="15" t="n">
        <f aca="false">IF(J2855=1,0,Inputs!$B$13)</f>
        <v>20</v>
      </c>
      <c r="P2855" s="15" t="n">
        <f aca="false">SUM(M2855:N2855)</f>
        <v>85</v>
      </c>
      <c r="Q2855" s="15" t="n">
        <f aca="false">IF(J2855=1,"",L2855-P2855)</f>
        <v>15</v>
      </c>
      <c r="R2855" s="15" t="n">
        <f aca="false">IF(OR(J2855=1,M2855&lt;=Inputs!$B$12),1,0)</f>
        <v>1</v>
      </c>
      <c r="S2855" s="15" t="n">
        <f aca="false">IF(OR(J2855=1,N2855&lt;=O2855),1,0)</f>
        <v>1</v>
      </c>
      <c r="T2855" s="15" t="str">
        <f aca="false">IF(J2855=1,"OFFLINE",IF(AND(Q2855&gt;=Inputs!$B$15,R2855=1,S2855=1,P2855&lt;=L2855),"PASS","FAIL"))</f>
        <v>PASS</v>
      </c>
    </row>
    <row r="2856" customFormat="false" ht="15" hidden="false" customHeight="false" outlineLevel="0" collapsed="false">
      <c r="A2856" s="14" t="s">
        <v>1049</v>
      </c>
      <c r="B2856" s="14" t="s">
        <v>1048</v>
      </c>
      <c r="C2856" s="14" t="s">
        <v>158</v>
      </c>
      <c r="D2856" s="14" t="s">
        <v>174</v>
      </c>
      <c r="E2856" s="14" t="s">
        <v>152</v>
      </c>
      <c r="F2856" s="14" t="s">
        <v>175</v>
      </c>
      <c r="G2856" s="14" t="n">
        <v>1</v>
      </c>
      <c r="H2856" s="14" t="s">
        <v>154</v>
      </c>
      <c r="I2856" s="14" t="s">
        <v>899</v>
      </c>
      <c r="J2856" s="15" t="n">
        <f aca="false">IF(B2856="SITE LOSS",IF(D2856=C2856,1,0),IF(B2856="REGION LOSS",IF(E2856=C2856,1,0),0))</f>
        <v>0</v>
      </c>
      <c r="K2856" s="15" t="n">
        <f aca="false">IF(B2856="SITE LOSS",IF(COUNTIFS('Site Dockets'!$B$7:$B$24,C2856,'Site Dockets'!$C$7:$C$24,F2856)&gt;0,1,0),IF(B2856="REGION LOSS",IF(COUNTIFS('Site Dockets'!$E$7:$E$24,C2856,'Site Dockets'!$C$7:$C$24,F2856)&gt;0,1,0),0))</f>
        <v>0</v>
      </c>
      <c r="L2856" s="15" t="n">
        <f aca="false">IF(J2856=1,0,Inputs!$B$11)</f>
        <v>100</v>
      </c>
      <c r="M2856" s="15" t="n">
        <f aca="false">IF(J2856=1,0,Inputs!$B$12)</f>
        <v>75</v>
      </c>
      <c r="N2856" s="15" t="n">
        <f aca="false">IF(J2856=1,0,IF(OR(AND(OR(B2856="SITE LOSS",B2856="REGION LOSS"),K2856=1),AND(B2856="ROLE COMPROMISE",H2856=C2856)),Inputs!$B$13,Inputs!$B$14))</f>
        <v>10</v>
      </c>
      <c r="O2856" s="15" t="n">
        <f aca="false">IF(J2856=1,0,Inputs!$B$13)</f>
        <v>20</v>
      </c>
      <c r="P2856" s="15" t="n">
        <f aca="false">SUM(M2856:N2856)</f>
        <v>85</v>
      </c>
      <c r="Q2856" s="15" t="n">
        <f aca="false">IF(J2856=1,"",L2856-P2856)</f>
        <v>15</v>
      </c>
      <c r="R2856" s="15" t="n">
        <f aca="false">IF(OR(J2856=1,M2856&lt;=Inputs!$B$12),1,0)</f>
        <v>1</v>
      </c>
      <c r="S2856" s="15" t="n">
        <f aca="false">IF(OR(J2856=1,N2856&lt;=O2856),1,0)</f>
        <v>1</v>
      </c>
      <c r="T2856" s="15" t="str">
        <f aca="false">IF(J2856=1,"OFFLINE",IF(AND(Q2856&gt;=Inputs!$B$15,R2856=1,S2856=1,P2856&lt;=L2856),"PASS","FAIL"))</f>
        <v>PASS</v>
      </c>
    </row>
    <row r="2857" customFormat="false" ht="15" hidden="false" customHeight="false" outlineLevel="0" collapsed="false">
      <c r="A2857" s="14" t="s">
        <v>1049</v>
      </c>
      <c r="B2857" s="14" t="s">
        <v>1048</v>
      </c>
      <c r="C2857" s="14" t="s">
        <v>158</v>
      </c>
      <c r="D2857" s="14" t="s">
        <v>178</v>
      </c>
      <c r="E2857" s="14" t="s">
        <v>169</v>
      </c>
      <c r="F2857" s="14" t="s">
        <v>175</v>
      </c>
      <c r="G2857" s="14" t="n">
        <v>2</v>
      </c>
      <c r="H2857" s="14" t="s">
        <v>153</v>
      </c>
      <c r="I2857" s="14" t="s">
        <v>890</v>
      </c>
      <c r="J2857" s="15" t="n">
        <f aca="false">IF(B2857="SITE LOSS",IF(D2857=C2857,1,0),IF(B2857="REGION LOSS",IF(E2857=C2857,1,0),0))</f>
        <v>0</v>
      </c>
      <c r="K2857" s="15" t="n">
        <f aca="false">IF(B2857="SITE LOSS",IF(COUNTIFS('Site Dockets'!$B$7:$B$24,C2857,'Site Dockets'!$C$7:$C$24,F2857)&gt;0,1,0),IF(B2857="REGION LOSS",IF(COUNTIFS('Site Dockets'!$E$7:$E$24,C2857,'Site Dockets'!$C$7:$C$24,F2857)&gt;0,1,0),0))</f>
        <v>0</v>
      </c>
      <c r="L2857" s="15" t="n">
        <f aca="false">IF(J2857=1,0,Inputs!$B$11)</f>
        <v>100</v>
      </c>
      <c r="M2857" s="15" t="n">
        <f aca="false">IF(J2857=1,0,Inputs!$B$12)</f>
        <v>75</v>
      </c>
      <c r="N2857" s="15" t="n">
        <f aca="false">IF(J2857=1,0,IF(OR(AND(OR(B2857="SITE LOSS",B2857="REGION LOSS"),K2857=1),AND(B2857="ROLE COMPROMISE",H2857=C2857)),Inputs!$B$13,Inputs!$B$14))</f>
        <v>10</v>
      </c>
      <c r="O2857" s="15" t="n">
        <f aca="false">IF(J2857=1,0,Inputs!$B$13)</f>
        <v>20</v>
      </c>
      <c r="P2857" s="15" t="n">
        <f aca="false">SUM(M2857:N2857)</f>
        <v>85</v>
      </c>
      <c r="Q2857" s="15" t="n">
        <f aca="false">IF(J2857=1,"",L2857-P2857)</f>
        <v>15</v>
      </c>
      <c r="R2857" s="15" t="n">
        <f aca="false">IF(OR(J2857=1,M2857&lt;=Inputs!$B$12),1,0)</f>
        <v>1</v>
      </c>
      <c r="S2857" s="15" t="n">
        <f aca="false">IF(OR(J2857=1,N2857&lt;=O2857),1,0)</f>
        <v>1</v>
      </c>
      <c r="T2857" s="15" t="str">
        <f aca="false">IF(J2857=1,"OFFLINE",IF(AND(Q2857&gt;=Inputs!$B$15,R2857=1,S2857=1,P2857&lt;=L2857),"PASS","FAIL"))</f>
        <v>PASS</v>
      </c>
    </row>
    <row r="2858" customFormat="false" ht="15" hidden="false" customHeight="false" outlineLevel="0" collapsed="false">
      <c r="A2858" s="14" t="s">
        <v>1049</v>
      </c>
      <c r="B2858" s="14" t="s">
        <v>1048</v>
      </c>
      <c r="C2858" s="14" t="s">
        <v>158</v>
      </c>
      <c r="D2858" s="14" t="s">
        <v>178</v>
      </c>
      <c r="E2858" s="14" t="s">
        <v>169</v>
      </c>
      <c r="F2858" s="14" t="s">
        <v>175</v>
      </c>
      <c r="G2858" s="14" t="n">
        <v>2</v>
      </c>
      <c r="H2858" s="14" t="s">
        <v>153</v>
      </c>
      <c r="I2858" s="14" t="s">
        <v>892</v>
      </c>
      <c r="J2858" s="15" t="n">
        <f aca="false">IF(B2858="SITE LOSS",IF(D2858=C2858,1,0),IF(B2858="REGION LOSS",IF(E2858=C2858,1,0),0))</f>
        <v>0</v>
      </c>
      <c r="K2858" s="15" t="n">
        <f aca="false">IF(B2858="SITE LOSS",IF(COUNTIFS('Site Dockets'!$B$7:$B$24,C2858,'Site Dockets'!$C$7:$C$24,F2858)&gt;0,1,0),IF(B2858="REGION LOSS",IF(COUNTIFS('Site Dockets'!$E$7:$E$24,C2858,'Site Dockets'!$C$7:$C$24,F2858)&gt;0,1,0),0))</f>
        <v>0</v>
      </c>
      <c r="L2858" s="15" t="n">
        <f aca="false">IF(J2858=1,0,Inputs!$B$11)</f>
        <v>100</v>
      </c>
      <c r="M2858" s="15" t="n">
        <f aca="false">IF(J2858=1,0,Inputs!$B$12)</f>
        <v>75</v>
      </c>
      <c r="N2858" s="15" t="n">
        <f aca="false">IF(J2858=1,0,IF(OR(AND(OR(B2858="SITE LOSS",B2858="REGION LOSS"),K2858=1),AND(B2858="ROLE COMPROMISE",H2858=C2858)),Inputs!$B$13,Inputs!$B$14))</f>
        <v>10</v>
      </c>
      <c r="O2858" s="15" t="n">
        <f aca="false">IF(J2858=1,0,Inputs!$B$13)</f>
        <v>20</v>
      </c>
      <c r="P2858" s="15" t="n">
        <f aca="false">SUM(M2858:N2858)</f>
        <v>85</v>
      </c>
      <c r="Q2858" s="15" t="n">
        <f aca="false">IF(J2858=1,"",L2858-P2858)</f>
        <v>15</v>
      </c>
      <c r="R2858" s="15" t="n">
        <f aca="false">IF(OR(J2858=1,M2858&lt;=Inputs!$B$12),1,0)</f>
        <v>1</v>
      </c>
      <c r="S2858" s="15" t="n">
        <f aca="false">IF(OR(J2858=1,N2858&lt;=O2858),1,0)</f>
        <v>1</v>
      </c>
      <c r="T2858" s="15" t="str">
        <f aca="false">IF(J2858=1,"OFFLINE",IF(AND(Q2858&gt;=Inputs!$B$15,R2858=1,S2858=1,P2858&lt;=L2858),"PASS","FAIL"))</f>
        <v>PASS</v>
      </c>
    </row>
    <row r="2859" customFormat="false" ht="15" hidden="false" customHeight="false" outlineLevel="0" collapsed="false">
      <c r="A2859" s="14" t="s">
        <v>1049</v>
      </c>
      <c r="B2859" s="14" t="s">
        <v>1048</v>
      </c>
      <c r="C2859" s="14" t="s">
        <v>158</v>
      </c>
      <c r="D2859" s="14" t="s">
        <v>178</v>
      </c>
      <c r="E2859" s="14" t="s">
        <v>169</v>
      </c>
      <c r="F2859" s="14" t="s">
        <v>175</v>
      </c>
      <c r="G2859" s="14" t="n">
        <v>2</v>
      </c>
      <c r="H2859" s="14" t="s">
        <v>153</v>
      </c>
      <c r="I2859" s="14" t="s">
        <v>811</v>
      </c>
      <c r="J2859" s="15" t="n">
        <f aca="false">IF(B2859="SITE LOSS",IF(D2859=C2859,1,0),IF(B2859="REGION LOSS",IF(E2859=C2859,1,0),0))</f>
        <v>0</v>
      </c>
      <c r="K2859" s="15" t="n">
        <f aca="false">IF(B2859="SITE LOSS",IF(COUNTIFS('Site Dockets'!$B$7:$B$24,C2859,'Site Dockets'!$C$7:$C$24,F2859)&gt;0,1,0),IF(B2859="REGION LOSS",IF(COUNTIFS('Site Dockets'!$E$7:$E$24,C2859,'Site Dockets'!$C$7:$C$24,F2859)&gt;0,1,0),0))</f>
        <v>0</v>
      </c>
      <c r="L2859" s="15" t="n">
        <f aca="false">IF(J2859=1,0,Inputs!$B$11)</f>
        <v>100</v>
      </c>
      <c r="M2859" s="15" t="n">
        <f aca="false">IF(J2859=1,0,Inputs!$B$12)</f>
        <v>75</v>
      </c>
      <c r="N2859" s="15" t="n">
        <f aca="false">IF(J2859=1,0,IF(OR(AND(OR(B2859="SITE LOSS",B2859="REGION LOSS"),K2859=1),AND(B2859="ROLE COMPROMISE",H2859=C2859)),Inputs!$B$13,Inputs!$B$14))</f>
        <v>10</v>
      </c>
      <c r="O2859" s="15" t="n">
        <f aca="false">IF(J2859=1,0,Inputs!$B$13)</f>
        <v>20</v>
      </c>
      <c r="P2859" s="15" t="n">
        <f aca="false">SUM(M2859:N2859)</f>
        <v>85</v>
      </c>
      <c r="Q2859" s="15" t="n">
        <f aca="false">IF(J2859=1,"",L2859-P2859)</f>
        <v>15</v>
      </c>
      <c r="R2859" s="15" t="n">
        <f aca="false">IF(OR(J2859=1,M2859&lt;=Inputs!$B$12),1,0)</f>
        <v>1</v>
      </c>
      <c r="S2859" s="15" t="n">
        <f aca="false">IF(OR(J2859=1,N2859&lt;=O2859),1,0)</f>
        <v>1</v>
      </c>
      <c r="T2859" s="15" t="str">
        <f aca="false">IF(J2859=1,"OFFLINE",IF(AND(Q2859&gt;=Inputs!$B$15,R2859=1,S2859=1,P2859&lt;=L2859),"PASS","FAIL"))</f>
        <v>PASS</v>
      </c>
    </row>
    <row r="2860" customFormat="false" ht="15" hidden="false" customHeight="false" outlineLevel="0" collapsed="false">
      <c r="A2860" s="14" t="s">
        <v>1049</v>
      </c>
      <c r="B2860" s="14" t="s">
        <v>1048</v>
      </c>
      <c r="C2860" s="14" t="s">
        <v>158</v>
      </c>
      <c r="D2860" s="14" t="s">
        <v>178</v>
      </c>
      <c r="E2860" s="14" t="s">
        <v>169</v>
      </c>
      <c r="F2860" s="14" t="s">
        <v>175</v>
      </c>
      <c r="G2860" s="14" t="n">
        <v>2</v>
      </c>
      <c r="H2860" s="14" t="s">
        <v>153</v>
      </c>
      <c r="I2860" s="14" t="s">
        <v>895</v>
      </c>
      <c r="J2860" s="15" t="n">
        <f aca="false">IF(B2860="SITE LOSS",IF(D2860=C2860,1,0),IF(B2860="REGION LOSS",IF(E2860=C2860,1,0),0))</f>
        <v>0</v>
      </c>
      <c r="K2860" s="15" t="n">
        <f aca="false">IF(B2860="SITE LOSS",IF(COUNTIFS('Site Dockets'!$B$7:$B$24,C2860,'Site Dockets'!$C$7:$C$24,F2860)&gt;0,1,0),IF(B2860="REGION LOSS",IF(COUNTIFS('Site Dockets'!$E$7:$E$24,C2860,'Site Dockets'!$C$7:$C$24,F2860)&gt;0,1,0),0))</f>
        <v>0</v>
      </c>
      <c r="L2860" s="15" t="n">
        <f aca="false">IF(J2860=1,0,Inputs!$B$11)</f>
        <v>100</v>
      </c>
      <c r="M2860" s="15" t="n">
        <f aca="false">IF(J2860=1,0,Inputs!$B$12)</f>
        <v>75</v>
      </c>
      <c r="N2860" s="15" t="n">
        <f aca="false">IF(J2860=1,0,IF(OR(AND(OR(B2860="SITE LOSS",B2860="REGION LOSS"),K2860=1),AND(B2860="ROLE COMPROMISE",H2860=C2860)),Inputs!$B$13,Inputs!$B$14))</f>
        <v>10</v>
      </c>
      <c r="O2860" s="15" t="n">
        <f aca="false">IF(J2860=1,0,Inputs!$B$13)</f>
        <v>20</v>
      </c>
      <c r="P2860" s="15" t="n">
        <f aca="false">SUM(M2860:N2860)</f>
        <v>85</v>
      </c>
      <c r="Q2860" s="15" t="n">
        <f aca="false">IF(J2860=1,"",L2860-P2860)</f>
        <v>15</v>
      </c>
      <c r="R2860" s="15" t="n">
        <f aca="false">IF(OR(J2860=1,M2860&lt;=Inputs!$B$12),1,0)</f>
        <v>1</v>
      </c>
      <c r="S2860" s="15" t="n">
        <f aca="false">IF(OR(J2860=1,N2860&lt;=O2860),1,0)</f>
        <v>1</v>
      </c>
      <c r="T2860" s="15" t="str">
        <f aca="false">IF(J2860=1,"OFFLINE",IF(AND(Q2860&gt;=Inputs!$B$15,R2860=1,S2860=1,P2860&lt;=L2860),"PASS","FAIL"))</f>
        <v>PASS</v>
      </c>
    </row>
    <row r="2861" customFormat="false" ht="15" hidden="false" customHeight="false" outlineLevel="0" collapsed="false">
      <c r="A2861" s="14" t="s">
        <v>1049</v>
      </c>
      <c r="B2861" s="14" t="s">
        <v>1048</v>
      </c>
      <c r="C2861" s="14" t="s">
        <v>158</v>
      </c>
      <c r="D2861" s="14" t="s">
        <v>178</v>
      </c>
      <c r="E2861" s="14" t="s">
        <v>169</v>
      </c>
      <c r="F2861" s="14" t="s">
        <v>175</v>
      </c>
      <c r="G2861" s="14" t="n">
        <v>2</v>
      </c>
      <c r="H2861" s="14" t="s">
        <v>153</v>
      </c>
      <c r="I2861" s="14" t="s">
        <v>897</v>
      </c>
      <c r="J2861" s="15" t="n">
        <f aca="false">IF(B2861="SITE LOSS",IF(D2861=C2861,1,0),IF(B2861="REGION LOSS",IF(E2861=C2861,1,0),0))</f>
        <v>0</v>
      </c>
      <c r="K2861" s="15" t="n">
        <f aca="false">IF(B2861="SITE LOSS",IF(COUNTIFS('Site Dockets'!$B$7:$B$24,C2861,'Site Dockets'!$C$7:$C$24,F2861)&gt;0,1,0),IF(B2861="REGION LOSS",IF(COUNTIFS('Site Dockets'!$E$7:$E$24,C2861,'Site Dockets'!$C$7:$C$24,F2861)&gt;0,1,0),0))</f>
        <v>0</v>
      </c>
      <c r="L2861" s="15" t="n">
        <f aca="false">IF(J2861=1,0,Inputs!$B$11)</f>
        <v>100</v>
      </c>
      <c r="M2861" s="15" t="n">
        <f aca="false">IF(J2861=1,0,Inputs!$B$12)</f>
        <v>75</v>
      </c>
      <c r="N2861" s="15" t="n">
        <f aca="false">IF(J2861=1,0,IF(OR(AND(OR(B2861="SITE LOSS",B2861="REGION LOSS"),K2861=1),AND(B2861="ROLE COMPROMISE",H2861=C2861)),Inputs!$B$13,Inputs!$B$14))</f>
        <v>10</v>
      </c>
      <c r="O2861" s="15" t="n">
        <f aca="false">IF(J2861=1,0,Inputs!$B$13)</f>
        <v>20</v>
      </c>
      <c r="P2861" s="15" t="n">
        <f aca="false">SUM(M2861:N2861)</f>
        <v>85</v>
      </c>
      <c r="Q2861" s="15" t="n">
        <f aca="false">IF(J2861=1,"",L2861-P2861)</f>
        <v>15</v>
      </c>
      <c r="R2861" s="15" t="n">
        <f aca="false">IF(OR(J2861=1,M2861&lt;=Inputs!$B$12),1,0)</f>
        <v>1</v>
      </c>
      <c r="S2861" s="15" t="n">
        <f aca="false">IF(OR(J2861=1,N2861&lt;=O2861),1,0)</f>
        <v>1</v>
      </c>
      <c r="T2861" s="15" t="str">
        <f aca="false">IF(J2861=1,"OFFLINE",IF(AND(Q2861&gt;=Inputs!$B$15,R2861=1,S2861=1,P2861&lt;=L2861),"PASS","FAIL"))</f>
        <v>PASS</v>
      </c>
    </row>
    <row r="2862" customFormat="false" ht="15" hidden="false" customHeight="false" outlineLevel="0" collapsed="false">
      <c r="A2862" s="14" t="s">
        <v>1049</v>
      </c>
      <c r="B2862" s="14" t="s">
        <v>1048</v>
      </c>
      <c r="C2862" s="14" t="s">
        <v>158</v>
      </c>
      <c r="D2862" s="14" t="s">
        <v>178</v>
      </c>
      <c r="E2862" s="14" t="s">
        <v>169</v>
      </c>
      <c r="F2862" s="14" t="s">
        <v>175</v>
      </c>
      <c r="G2862" s="14" t="n">
        <v>2</v>
      </c>
      <c r="H2862" s="14" t="s">
        <v>153</v>
      </c>
      <c r="I2862" s="14" t="s">
        <v>899</v>
      </c>
      <c r="J2862" s="15" t="n">
        <f aca="false">IF(B2862="SITE LOSS",IF(D2862=C2862,1,0),IF(B2862="REGION LOSS",IF(E2862=C2862,1,0),0))</f>
        <v>0</v>
      </c>
      <c r="K2862" s="15" t="n">
        <f aca="false">IF(B2862="SITE LOSS",IF(COUNTIFS('Site Dockets'!$B$7:$B$24,C2862,'Site Dockets'!$C$7:$C$24,F2862)&gt;0,1,0),IF(B2862="REGION LOSS",IF(COUNTIFS('Site Dockets'!$E$7:$E$24,C2862,'Site Dockets'!$C$7:$C$24,F2862)&gt;0,1,0),0))</f>
        <v>0</v>
      </c>
      <c r="L2862" s="15" t="n">
        <f aca="false">IF(J2862=1,0,Inputs!$B$11)</f>
        <v>100</v>
      </c>
      <c r="M2862" s="15" t="n">
        <f aca="false">IF(J2862=1,0,Inputs!$B$12)</f>
        <v>75</v>
      </c>
      <c r="N2862" s="15" t="n">
        <f aca="false">IF(J2862=1,0,IF(OR(AND(OR(B2862="SITE LOSS",B2862="REGION LOSS"),K2862=1),AND(B2862="ROLE COMPROMISE",H2862=C2862)),Inputs!$B$13,Inputs!$B$14))</f>
        <v>10</v>
      </c>
      <c r="O2862" s="15" t="n">
        <f aca="false">IF(J2862=1,0,Inputs!$B$13)</f>
        <v>20</v>
      </c>
      <c r="P2862" s="15" t="n">
        <f aca="false">SUM(M2862:N2862)</f>
        <v>85</v>
      </c>
      <c r="Q2862" s="15" t="n">
        <f aca="false">IF(J2862=1,"",L2862-P2862)</f>
        <v>15</v>
      </c>
      <c r="R2862" s="15" t="n">
        <f aca="false">IF(OR(J2862=1,M2862&lt;=Inputs!$B$12),1,0)</f>
        <v>1</v>
      </c>
      <c r="S2862" s="15" t="n">
        <f aca="false">IF(OR(J2862=1,N2862&lt;=O2862),1,0)</f>
        <v>1</v>
      </c>
      <c r="T2862" s="15" t="str">
        <f aca="false">IF(J2862=1,"OFFLINE",IF(AND(Q2862&gt;=Inputs!$B$15,R2862=1,S2862=1,P2862&lt;=L2862),"PASS","FAIL"))</f>
        <v>PASS</v>
      </c>
    </row>
    <row r="2863" customFormat="false" ht="15" hidden="false" customHeight="false" outlineLevel="0" collapsed="false">
      <c r="A2863" s="14" t="s">
        <v>1049</v>
      </c>
      <c r="B2863" s="14" t="s">
        <v>1048</v>
      </c>
      <c r="C2863" s="14" t="s">
        <v>158</v>
      </c>
      <c r="D2863" s="14" t="s">
        <v>180</v>
      </c>
      <c r="E2863" s="14" t="s">
        <v>161</v>
      </c>
      <c r="F2863" s="14" t="s">
        <v>175</v>
      </c>
      <c r="G2863" s="14" t="n">
        <v>3</v>
      </c>
      <c r="H2863" s="14" t="s">
        <v>158</v>
      </c>
      <c r="I2863" s="14" t="s">
        <v>890</v>
      </c>
      <c r="J2863" s="15" t="n">
        <f aca="false">IF(B2863="SITE LOSS",IF(D2863=C2863,1,0),IF(B2863="REGION LOSS",IF(E2863=C2863,1,0),0))</f>
        <v>0</v>
      </c>
      <c r="K2863" s="15" t="n">
        <f aca="false">IF(B2863="SITE LOSS",IF(COUNTIFS('Site Dockets'!$B$7:$B$24,C2863,'Site Dockets'!$C$7:$C$24,F2863)&gt;0,1,0),IF(B2863="REGION LOSS",IF(COUNTIFS('Site Dockets'!$E$7:$E$24,C2863,'Site Dockets'!$C$7:$C$24,F2863)&gt;0,1,0),0))</f>
        <v>0</v>
      </c>
      <c r="L2863" s="15" t="n">
        <f aca="false">IF(J2863=1,0,Inputs!$B$11)</f>
        <v>100</v>
      </c>
      <c r="M2863" s="15" t="n">
        <f aca="false">IF(J2863=1,0,Inputs!$B$12)</f>
        <v>75</v>
      </c>
      <c r="N2863" s="15" t="n">
        <f aca="false">IF(J2863=1,0,IF(OR(AND(OR(B2863="SITE LOSS",B2863="REGION LOSS"),K2863=1),AND(B2863="ROLE COMPROMISE",H2863=C2863)),Inputs!$B$13,Inputs!$B$14))</f>
        <v>20</v>
      </c>
      <c r="O2863" s="15" t="n">
        <f aca="false">IF(J2863=1,0,Inputs!$B$13)</f>
        <v>20</v>
      </c>
      <c r="P2863" s="15" t="n">
        <f aca="false">SUM(M2863:N2863)</f>
        <v>95</v>
      </c>
      <c r="Q2863" s="15" t="n">
        <f aca="false">IF(J2863=1,"",L2863-P2863)</f>
        <v>5</v>
      </c>
      <c r="R2863" s="15" t="n">
        <f aca="false">IF(OR(J2863=1,M2863&lt;=Inputs!$B$12),1,0)</f>
        <v>1</v>
      </c>
      <c r="S2863" s="15" t="n">
        <f aca="false">IF(OR(J2863=1,N2863&lt;=O2863),1,0)</f>
        <v>1</v>
      </c>
      <c r="T2863" s="15" t="str">
        <f aca="false">IF(J2863=1,"OFFLINE",IF(AND(Q2863&gt;=Inputs!$B$15,R2863=1,S2863=1,P2863&lt;=L2863),"PASS","FAIL"))</f>
        <v>PASS</v>
      </c>
    </row>
    <row r="2864" customFormat="false" ht="15" hidden="false" customHeight="false" outlineLevel="0" collapsed="false">
      <c r="A2864" s="14" t="s">
        <v>1049</v>
      </c>
      <c r="B2864" s="14" t="s">
        <v>1048</v>
      </c>
      <c r="C2864" s="14" t="s">
        <v>158</v>
      </c>
      <c r="D2864" s="14" t="s">
        <v>180</v>
      </c>
      <c r="E2864" s="14" t="s">
        <v>161</v>
      </c>
      <c r="F2864" s="14" t="s">
        <v>175</v>
      </c>
      <c r="G2864" s="14" t="n">
        <v>3</v>
      </c>
      <c r="H2864" s="14" t="s">
        <v>158</v>
      </c>
      <c r="I2864" s="14" t="s">
        <v>892</v>
      </c>
      <c r="J2864" s="15" t="n">
        <f aca="false">IF(B2864="SITE LOSS",IF(D2864=C2864,1,0),IF(B2864="REGION LOSS",IF(E2864=C2864,1,0),0))</f>
        <v>0</v>
      </c>
      <c r="K2864" s="15" t="n">
        <f aca="false">IF(B2864="SITE LOSS",IF(COUNTIFS('Site Dockets'!$B$7:$B$24,C2864,'Site Dockets'!$C$7:$C$24,F2864)&gt;0,1,0),IF(B2864="REGION LOSS",IF(COUNTIFS('Site Dockets'!$E$7:$E$24,C2864,'Site Dockets'!$C$7:$C$24,F2864)&gt;0,1,0),0))</f>
        <v>0</v>
      </c>
      <c r="L2864" s="15" t="n">
        <f aca="false">IF(J2864=1,0,Inputs!$B$11)</f>
        <v>100</v>
      </c>
      <c r="M2864" s="15" t="n">
        <f aca="false">IF(J2864=1,0,Inputs!$B$12)</f>
        <v>75</v>
      </c>
      <c r="N2864" s="15" t="n">
        <f aca="false">IF(J2864=1,0,IF(OR(AND(OR(B2864="SITE LOSS",B2864="REGION LOSS"),K2864=1),AND(B2864="ROLE COMPROMISE",H2864=C2864)),Inputs!$B$13,Inputs!$B$14))</f>
        <v>20</v>
      </c>
      <c r="O2864" s="15" t="n">
        <f aca="false">IF(J2864=1,0,Inputs!$B$13)</f>
        <v>20</v>
      </c>
      <c r="P2864" s="15" t="n">
        <f aca="false">SUM(M2864:N2864)</f>
        <v>95</v>
      </c>
      <c r="Q2864" s="15" t="n">
        <f aca="false">IF(J2864=1,"",L2864-P2864)</f>
        <v>5</v>
      </c>
      <c r="R2864" s="15" t="n">
        <f aca="false">IF(OR(J2864=1,M2864&lt;=Inputs!$B$12),1,0)</f>
        <v>1</v>
      </c>
      <c r="S2864" s="15" t="n">
        <f aca="false">IF(OR(J2864=1,N2864&lt;=O2864),1,0)</f>
        <v>1</v>
      </c>
      <c r="T2864" s="15" t="str">
        <f aca="false">IF(J2864=1,"OFFLINE",IF(AND(Q2864&gt;=Inputs!$B$15,R2864=1,S2864=1,P2864&lt;=L2864),"PASS","FAIL"))</f>
        <v>PASS</v>
      </c>
    </row>
    <row r="2865" customFormat="false" ht="15" hidden="false" customHeight="false" outlineLevel="0" collapsed="false">
      <c r="A2865" s="14" t="s">
        <v>1049</v>
      </c>
      <c r="B2865" s="14" t="s">
        <v>1048</v>
      </c>
      <c r="C2865" s="14" t="s">
        <v>158</v>
      </c>
      <c r="D2865" s="14" t="s">
        <v>180</v>
      </c>
      <c r="E2865" s="14" t="s">
        <v>161</v>
      </c>
      <c r="F2865" s="14" t="s">
        <v>175</v>
      </c>
      <c r="G2865" s="14" t="n">
        <v>3</v>
      </c>
      <c r="H2865" s="14" t="s">
        <v>158</v>
      </c>
      <c r="I2865" s="14" t="s">
        <v>811</v>
      </c>
      <c r="J2865" s="15" t="n">
        <f aca="false">IF(B2865="SITE LOSS",IF(D2865=C2865,1,0),IF(B2865="REGION LOSS",IF(E2865=C2865,1,0),0))</f>
        <v>0</v>
      </c>
      <c r="K2865" s="15" t="n">
        <f aca="false">IF(B2865="SITE LOSS",IF(COUNTIFS('Site Dockets'!$B$7:$B$24,C2865,'Site Dockets'!$C$7:$C$24,F2865)&gt;0,1,0),IF(B2865="REGION LOSS",IF(COUNTIFS('Site Dockets'!$E$7:$E$24,C2865,'Site Dockets'!$C$7:$C$24,F2865)&gt;0,1,0),0))</f>
        <v>0</v>
      </c>
      <c r="L2865" s="15" t="n">
        <f aca="false">IF(J2865=1,0,Inputs!$B$11)</f>
        <v>100</v>
      </c>
      <c r="M2865" s="15" t="n">
        <f aca="false">IF(J2865=1,0,Inputs!$B$12)</f>
        <v>75</v>
      </c>
      <c r="N2865" s="15" t="n">
        <f aca="false">IF(J2865=1,0,IF(OR(AND(OR(B2865="SITE LOSS",B2865="REGION LOSS"),K2865=1),AND(B2865="ROLE COMPROMISE",H2865=C2865)),Inputs!$B$13,Inputs!$B$14))</f>
        <v>20</v>
      </c>
      <c r="O2865" s="15" t="n">
        <f aca="false">IF(J2865=1,0,Inputs!$B$13)</f>
        <v>20</v>
      </c>
      <c r="P2865" s="15" t="n">
        <f aca="false">SUM(M2865:N2865)</f>
        <v>95</v>
      </c>
      <c r="Q2865" s="15" t="n">
        <f aca="false">IF(J2865=1,"",L2865-P2865)</f>
        <v>5</v>
      </c>
      <c r="R2865" s="15" t="n">
        <f aca="false">IF(OR(J2865=1,M2865&lt;=Inputs!$B$12),1,0)</f>
        <v>1</v>
      </c>
      <c r="S2865" s="15" t="n">
        <f aca="false">IF(OR(J2865=1,N2865&lt;=O2865),1,0)</f>
        <v>1</v>
      </c>
      <c r="T2865" s="15" t="str">
        <f aca="false">IF(J2865=1,"OFFLINE",IF(AND(Q2865&gt;=Inputs!$B$15,R2865=1,S2865=1,P2865&lt;=L2865),"PASS","FAIL"))</f>
        <v>PASS</v>
      </c>
    </row>
    <row r="2866" customFormat="false" ht="15" hidden="false" customHeight="false" outlineLevel="0" collapsed="false">
      <c r="A2866" s="14" t="s">
        <v>1049</v>
      </c>
      <c r="B2866" s="14" t="s">
        <v>1048</v>
      </c>
      <c r="C2866" s="14" t="s">
        <v>158</v>
      </c>
      <c r="D2866" s="14" t="s">
        <v>180</v>
      </c>
      <c r="E2866" s="14" t="s">
        <v>161</v>
      </c>
      <c r="F2866" s="14" t="s">
        <v>175</v>
      </c>
      <c r="G2866" s="14" t="n">
        <v>3</v>
      </c>
      <c r="H2866" s="14" t="s">
        <v>158</v>
      </c>
      <c r="I2866" s="14" t="s">
        <v>895</v>
      </c>
      <c r="J2866" s="15" t="n">
        <f aca="false">IF(B2866="SITE LOSS",IF(D2866=C2866,1,0),IF(B2866="REGION LOSS",IF(E2866=C2866,1,0),0))</f>
        <v>0</v>
      </c>
      <c r="K2866" s="15" t="n">
        <f aca="false">IF(B2866="SITE LOSS",IF(COUNTIFS('Site Dockets'!$B$7:$B$24,C2866,'Site Dockets'!$C$7:$C$24,F2866)&gt;0,1,0),IF(B2866="REGION LOSS",IF(COUNTIFS('Site Dockets'!$E$7:$E$24,C2866,'Site Dockets'!$C$7:$C$24,F2866)&gt;0,1,0),0))</f>
        <v>0</v>
      </c>
      <c r="L2866" s="15" t="n">
        <f aca="false">IF(J2866=1,0,Inputs!$B$11)</f>
        <v>100</v>
      </c>
      <c r="M2866" s="15" t="n">
        <f aca="false">IF(J2866=1,0,Inputs!$B$12)</f>
        <v>75</v>
      </c>
      <c r="N2866" s="15" t="n">
        <f aca="false">IF(J2866=1,0,IF(OR(AND(OR(B2866="SITE LOSS",B2866="REGION LOSS"),K2866=1),AND(B2866="ROLE COMPROMISE",H2866=C2866)),Inputs!$B$13,Inputs!$B$14))</f>
        <v>20</v>
      </c>
      <c r="O2866" s="15" t="n">
        <f aca="false">IF(J2866=1,0,Inputs!$B$13)</f>
        <v>20</v>
      </c>
      <c r="P2866" s="15" t="n">
        <f aca="false">SUM(M2866:N2866)</f>
        <v>95</v>
      </c>
      <c r="Q2866" s="15" t="n">
        <f aca="false">IF(J2866=1,"",L2866-P2866)</f>
        <v>5</v>
      </c>
      <c r="R2866" s="15" t="n">
        <f aca="false">IF(OR(J2866=1,M2866&lt;=Inputs!$B$12),1,0)</f>
        <v>1</v>
      </c>
      <c r="S2866" s="15" t="n">
        <f aca="false">IF(OR(J2866=1,N2866&lt;=O2866),1,0)</f>
        <v>1</v>
      </c>
      <c r="T2866" s="15" t="str">
        <f aca="false">IF(J2866=1,"OFFLINE",IF(AND(Q2866&gt;=Inputs!$B$15,R2866=1,S2866=1,P2866&lt;=L2866),"PASS","FAIL"))</f>
        <v>PASS</v>
      </c>
    </row>
    <row r="2867" customFormat="false" ht="15" hidden="false" customHeight="false" outlineLevel="0" collapsed="false">
      <c r="A2867" s="14" t="s">
        <v>1049</v>
      </c>
      <c r="B2867" s="14" t="s">
        <v>1048</v>
      </c>
      <c r="C2867" s="14" t="s">
        <v>158</v>
      </c>
      <c r="D2867" s="14" t="s">
        <v>180</v>
      </c>
      <c r="E2867" s="14" t="s">
        <v>161</v>
      </c>
      <c r="F2867" s="14" t="s">
        <v>175</v>
      </c>
      <c r="G2867" s="14" t="n">
        <v>3</v>
      </c>
      <c r="H2867" s="14" t="s">
        <v>158</v>
      </c>
      <c r="I2867" s="14" t="s">
        <v>897</v>
      </c>
      <c r="J2867" s="15" t="n">
        <f aca="false">IF(B2867="SITE LOSS",IF(D2867=C2867,1,0),IF(B2867="REGION LOSS",IF(E2867=C2867,1,0),0))</f>
        <v>0</v>
      </c>
      <c r="K2867" s="15" t="n">
        <f aca="false">IF(B2867="SITE LOSS",IF(COUNTIFS('Site Dockets'!$B$7:$B$24,C2867,'Site Dockets'!$C$7:$C$24,F2867)&gt;0,1,0),IF(B2867="REGION LOSS",IF(COUNTIFS('Site Dockets'!$E$7:$E$24,C2867,'Site Dockets'!$C$7:$C$24,F2867)&gt;0,1,0),0))</f>
        <v>0</v>
      </c>
      <c r="L2867" s="15" t="n">
        <f aca="false">IF(J2867=1,0,Inputs!$B$11)</f>
        <v>100</v>
      </c>
      <c r="M2867" s="15" t="n">
        <f aca="false">IF(J2867=1,0,Inputs!$B$12)</f>
        <v>75</v>
      </c>
      <c r="N2867" s="15" t="n">
        <f aca="false">IF(J2867=1,0,IF(OR(AND(OR(B2867="SITE LOSS",B2867="REGION LOSS"),K2867=1),AND(B2867="ROLE COMPROMISE",H2867=C2867)),Inputs!$B$13,Inputs!$B$14))</f>
        <v>20</v>
      </c>
      <c r="O2867" s="15" t="n">
        <f aca="false">IF(J2867=1,0,Inputs!$B$13)</f>
        <v>20</v>
      </c>
      <c r="P2867" s="15" t="n">
        <f aca="false">SUM(M2867:N2867)</f>
        <v>95</v>
      </c>
      <c r="Q2867" s="15" t="n">
        <f aca="false">IF(J2867=1,"",L2867-P2867)</f>
        <v>5</v>
      </c>
      <c r="R2867" s="15" t="n">
        <f aca="false">IF(OR(J2867=1,M2867&lt;=Inputs!$B$12),1,0)</f>
        <v>1</v>
      </c>
      <c r="S2867" s="15" t="n">
        <f aca="false">IF(OR(J2867=1,N2867&lt;=O2867),1,0)</f>
        <v>1</v>
      </c>
      <c r="T2867" s="15" t="str">
        <f aca="false">IF(J2867=1,"OFFLINE",IF(AND(Q2867&gt;=Inputs!$B$15,R2867=1,S2867=1,P2867&lt;=L2867),"PASS","FAIL"))</f>
        <v>PASS</v>
      </c>
    </row>
    <row r="2868" customFormat="false" ht="15" hidden="false" customHeight="false" outlineLevel="0" collapsed="false">
      <c r="A2868" s="14" t="s">
        <v>1049</v>
      </c>
      <c r="B2868" s="14" t="s">
        <v>1048</v>
      </c>
      <c r="C2868" s="14" t="s">
        <v>158</v>
      </c>
      <c r="D2868" s="14" t="s">
        <v>180</v>
      </c>
      <c r="E2868" s="14" t="s">
        <v>161</v>
      </c>
      <c r="F2868" s="14" t="s">
        <v>175</v>
      </c>
      <c r="G2868" s="14" t="n">
        <v>3</v>
      </c>
      <c r="H2868" s="14" t="s">
        <v>158</v>
      </c>
      <c r="I2868" s="14" t="s">
        <v>899</v>
      </c>
      <c r="J2868" s="15" t="n">
        <f aca="false">IF(B2868="SITE LOSS",IF(D2868=C2868,1,0),IF(B2868="REGION LOSS",IF(E2868=C2868,1,0),0))</f>
        <v>0</v>
      </c>
      <c r="K2868" s="15" t="n">
        <f aca="false">IF(B2868="SITE LOSS",IF(COUNTIFS('Site Dockets'!$B$7:$B$24,C2868,'Site Dockets'!$C$7:$C$24,F2868)&gt;0,1,0),IF(B2868="REGION LOSS",IF(COUNTIFS('Site Dockets'!$E$7:$E$24,C2868,'Site Dockets'!$C$7:$C$24,F2868)&gt;0,1,0),0))</f>
        <v>0</v>
      </c>
      <c r="L2868" s="15" t="n">
        <f aca="false">IF(J2868=1,0,Inputs!$B$11)</f>
        <v>100</v>
      </c>
      <c r="M2868" s="15" t="n">
        <f aca="false">IF(J2868=1,0,Inputs!$B$12)</f>
        <v>75</v>
      </c>
      <c r="N2868" s="15" t="n">
        <f aca="false">IF(J2868=1,0,IF(OR(AND(OR(B2868="SITE LOSS",B2868="REGION LOSS"),K2868=1),AND(B2868="ROLE COMPROMISE",H2868=C2868)),Inputs!$B$13,Inputs!$B$14))</f>
        <v>20</v>
      </c>
      <c r="O2868" s="15" t="n">
        <f aca="false">IF(J2868=1,0,Inputs!$B$13)</f>
        <v>20</v>
      </c>
      <c r="P2868" s="15" t="n">
        <f aca="false">SUM(M2868:N2868)</f>
        <v>95</v>
      </c>
      <c r="Q2868" s="15" t="n">
        <f aca="false">IF(J2868=1,"",L2868-P2868)</f>
        <v>5</v>
      </c>
      <c r="R2868" s="15" t="n">
        <f aca="false">IF(OR(J2868=1,M2868&lt;=Inputs!$B$12),1,0)</f>
        <v>1</v>
      </c>
      <c r="S2868" s="15" t="n">
        <f aca="false">IF(OR(J2868=1,N2868&lt;=O2868),1,0)</f>
        <v>1</v>
      </c>
      <c r="T2868" s="15" t="str">
        <f aca="false">IF(J2868=1,"OFFLINE",IF(AND(Q2868&gt;=Inputs!$B$15,R2868=1,S2868=1,P2868&lt;=L2868),"PASS","FAIL"))</f>
        <v>PASS</v>
      </c>
    </row>
    <row r="2869" customFormat="false" ht="15" hidden="false" customHeight="false" outlineLevel="0" collapsed="false">
      <c r="A2869" s="14" t="s">
        <v>1049</v>
      </c>
      <c r="B2869" s="14" t="s">
        <v>1048</v>
      </c>
      <c r="C2869" s="14" t="s">
        <v>158</v>
      </c>
      <c r="D2869" s="14" t="s">
        <v>182</v>
      </c>
      <c r="E2869" s="14" t="s">
        <v>166</v>
      </c>
      <c r="F2869" s="14" t="s">
        <v>183</v>
      </c>
      <c r="G2869" s="14" t="n">
        <v>1</v>
      </c>
      <c r="H2869" s="14" t="s">
        <v>154</v>
      </c>
      <c r="I2869" s="14" t="s">
        <v>890</v>
      </c>
      <c r="J2869" s="15" t="n">
        <f aca="false">IF(B2869="SITE LOSS",IF(D2869=C2869,1,0),IF(B2869="REGION LOSS",IF(E2869=C2869,1,0),0))</f>
        <v>0</v>
      </c>
      <c r="K2869" s="15" t="n">
        <f aca="false">IF(B2869="SITE LOSS",IF(COUNTIFS('Site Dockets'!$B$7:$B$24,C2869,'Site Dockets'!$C$7:$C$24,F2869)&gt;0,1,0),IF(B2869="REGION LOSS",IF(COUNTIFS('Site Dockets'!$E$7:$E$24,C2869,'Site Dockets'!$C$7:$C$24,F2869)&gt;0,1,0),0))</f>
        <v>0</v>
      </c>
      <c r="L2869" s="15" t="n">
        <f aca="false">IF(J2869=1,0,Inputs!$B$11)</f>
        <v>100</v>
      </c>
      <c r="M2869" s="15" t="n">
        <f aca="false">IF(J2869=1,0,Inputs!$B$12)</f>
        <v>75</v>
      </c>
      <c r="N2869" s="15" t="n">
        <f aca="false">IF(J2869=1,0,IF(OR(AND(OR(B2869="SITE LOSS",B2869="REGION LOSS"),K2869=1),AND(B2869="ROLE COMPROMISE",H2869=C2869)),Inputs!$B$13,Inputs!$B$14))</f>
        <v>10</v>
      </c>
      <c r="O2869" s="15" t="n">
        <f aca="false">IF(J2869=1,0,Inputs!$B$13)</f>
        <v>20</v>
      </c>
      <c r="P2869" s="15" t="n">
        <f aca="false">SUM(M2869:N2869)</f>
        <v>85</v>
      </c>
      <c r="Q2869" s="15" t="n">
        <f aca="false">IF(J2869=1,"",L2869-P2869)</f>
        <v>15</v>
      </c>
      <c r="R2869" s="15" t="n">
        <f aca="false">IF(OR(J2869=1,M2869&lt;=Inputs!$B$12),1,0)</f>
        <v>1</v>
      </c>
      <c r="S2869" s="15" t="n">
        <f aca="false">IF(OR(J2869=1,N2869&lt;=O2869),1,0)</f>
        <v>1</v>
      </c>
      <c r="T2869" s="15" t="str">
        <f aca="false">IF(J2869=1,"OFFLINE",IF(AND(Q2869&gt;=Inputs!$B$15,R2869=1,S2869=1,P2869&lt;=L2869),"PASS","FAIL"))</f>
        <v>PASS</v>
      </c>
    </row>
    <row r="2870" customFormat="false" ht="15" hidden="false" customHeight="false" outlineLevel="0" collapsed="false">
      <c r="A2870" s="14" t="s">
        <v>1049</v>
      </c>
      <c r="B2870" s="14" t="s">
        <v>1048</v>
      </c>
      <c r="C2870" s="14" t="s">
        <v>158</v>
      </c>
      <c r="D2870" s="14" t="s">
        <v>182</v>
      </c>
      <c r="E2870" s="14" t="s">
        <v>166</v>
      </c>
      <c r="F2870" s="14" t="s">
        <v>183</v>
      </c>
      <c r="G2870" s="14" t="n">
        <v>1</v>
      </c>
      <c r="H2870" s="14" t="s">
        <v>154</v>
      </c>
      <c r="I2870" s="14" t="s">
        <v>892</v>
      </c>
      <c r="J2870" s="15" t="n">
        <f aca="false">IF(B2870="SITE LOSS",IF(D2870=C2870,1,0),IF(B2870="REGION LOSS",IF(E2870=C2870,1,0),0))</f>
        <v>0</v>
      </c>
      <c r="K2870" s="15" t="n">
        <f aca="false">IF(B2870="SITE LOSS",IF(COUNTIFS('Site Dockets'!$B$7:$B$24,C2870,'Site Dockets'!$C$7:$C$24,F2870)&gt;0,1,0),IF(B2870="REGION LOSS",IF(COUNTIFS('Site Dockets'!$E$7:$E$24,C2870,'Site Dockets'!$C$7:$C$24,F2870)&gt;0,1,0),0))</f>
        <v>0</v>
      </c>
      <c r="L2870" s="15" t="n">
        <f aca="false">IF(J2870=1,0,Inputs!$B$11)</f>
        <v>100</v>
      </c>
      <c r="M2870" s="15" t="n">
        <f aca="false">IF(J2870=1,0,Inputs!$B$12)</f>
        <v>75</v>
      </c>
      <c r="N2870" s="15" t="n">
        <f aca="false">IF(J2870=1,0,IF(OR(AND(OR(B2870="SITE LOSS",B2870="REGION LOSS"),K2870=1),AND(B2870="ROLE COMPROMISE",H2870=C2870)),Inputs!$B$13,Inputs!$B$14))</f>
        <v>10</v>
      </c>
      <c r="O2870" s="15" t="n">
        <f aca="false">IF(J2870=1,0,Inputs!$B$13)</f>
        <v>20</v>
      </c>
      <c r="P2870" s="15" t="n">
        <f aca="false">SUM(M2870:N2870)</f>
        <v>85</v>
      </c>
      <c r="Q2870" s="15" t="n">
        <f aca="false">IF(J2870=1,"",L2870-P2870)</f>
        <v>15</v>
      </c>
      <c r="R2870" s="15" t="n">
        <f aca="false">IF(OR(J2870=1,M2870&lt;=Inputs!$B$12),1,0)</f>
        <v>1</v>
      </c>
      <c r="S2870" s="15" t="n">
        <f aca="false">IF(OR(J2870=1,N2870&lt;=O2870),1,0)</f>
        <v>1</v>
      </c>
      <c r="T2870" s="15" t="str">
        <f aca="false">IF(J2870=1,"OFFLINE",IF(AND(Q2870&gt;=Inputs!$B$15,R2870=1,S2870=1,P2870&lt;=L2870),"PASS","FAIL"))</f>
        <v>PASS</v>
      </c>
    </row>
    <row r="2871" customFormat="false" ht="15" hidden="false" customHeight="false" outlineLevel="0" collapsed="false">
      <c r="A2871" s="14" t="s">
        <v>1049</v>
      </c>
      <c r="B2871" s="14" t="s">
        <v>1048</v>
      </c>
      <c r="C2871" s="14" t="s">
        <v>158</v>
      </c>
      <c r="D2871" s="14" t="s">
        <v>182</v>
      </c>
      <c r="E2871" s="14" t="s">
        <v>166</v>
      </c>
      <c r="F2871" s="14" t="s">
        <v>183</v>
      </c>
      <c r="G2871" s="14" t="n">
        <v>1</v>
      </c>
      <c r="H2871" s="14" t="s">
        <v>154</v>
      </c>
      <c r="I2871" s="14" t="s">
        <v>811</v>
      </c>
      <c r="J2871" s="15" t="n">
        <f aca="false">IF(B2871="SITE LOSS",IF(D2871=C2871,1,0),IF(B2871="REGION LOSS",IF(E2871=C2871,1,0),0))</f>
        <v>0</v>
      </c>
      <c r="K2871" s="15" t="n">
        <f aca="false">IF(B2871="SITE LOSS",IF(COUNTIFS('Site Dockets'!$B$7:$B$24,C2871,'Site Dockets'!$C$7:$C$24,F2871)&gt;0,1,0),IF(B2871="REGION LOSS",IF(COUNTIFS('Site Dockets'!$E$7:$E$24,C2871,'Site Dockets'!$C$7:$C$24,F2871)&gt;0,1,0),0))</f>
        <v>0</v>
      </c>
      <c r="L2871" s="15" t="n">
        <f aca="false">IF(J2871=1,0,Inputs!$B$11)</f>
        <v>100</v>
      </c>
      <c r="M2871" s="15" t="n">
        <f aca="false">IF(J2871=1,0,Inputs!$B$12)</f>
        <v>75</v>
      </c>
      <c r="N2871" s="15" t="n">
        <f aca="false">IF(J2871=1,0,IF(OR(AND(OR(B2871="SITE LOSS",B2871="REGION LOSS"),K2871=1),AND(B2871="ROLE COMPROMISE",H2871=C2871)),Inputs!$B$13,Inputs!$B$14))</f>
        <v>10</v>
      </c>
      <c r="O2871" s="15" t="n">
        <f aca="false">IF(J2871=1,0,Inputs!$B$13)</f>
        <v>20</v>
      </c>
      <c r="P2871" s="15" t="n">
        <f aca="false">SUM(M2871:N2871)</f>
        <v>85</v>
      </c>
      <c r="Q2871" s="15" t="n">
        <f aca="false">IF(J2871=1,"",L2871-P2871)</f>
        <v>15</v>
      </c>
      <c r="R2871" s="15" t="n">
        <f aca="false">IF(OR(J2871=1,M2871&lt;=Inputs!$B$12),1,0)</f>
        <v>1</v>
      </c>
      <c r="S2871" s="15" t="n">
        <f aca="false">IF(OR(J2871=1,N2871&lt;=O2871),1,0)</f>
        <v>1</v>
      </c>
      <c r="T2871" s="15" t="str">
        <f aca="false">IF(J2871=1,"OFFLINE",IF(AND(Q2871&gt;=Inputs!$B$15,R2871=1,S2871=1,P2871&lt;=L2871),"PASS","FAIL"))</f>
        <v>PASS</v>
      </c>
    </row>
    <row r="2872" customFormat="false" ht="15" hidden="false" customHeight="false" outlineLevel="0" collapsed="false">
      <c r="A2872" s="14" t="s">
        <v>1049</v>
      </c>
      <c r="B2872" s="14" t="s">
        <v>1048</v>
      </c>
      <c r="C2872" s="14" t="s">
        <v>158</v>
      </c>
      <c r="D2872" s="14" t="s">
        <v>182</v>
      </c>
      <c r="E2872" s="14" t="s">
        <v>166</v>
      </c>
      <c r="F2872" s="14" t="s">
        <v>183</v>
      </c>
      <c r="G2872" s="14" t="n">
        <v>1</v>
      </c>
      <c r="H2872" s="14" t="s">
        <v>154</v>
      </c>
      <c r="I2872" s="14" t="s">
        <v>895</v>
      </c>
      <c r="J2872" s="15" t="n">
        <f aca="false">IF(B2872="SITE LOSS",IF(D2872=C2872,1,0),IF(B2872="REGION LOSS",IF(E2872=C2872,1,0),0))</f>
        <v>0</v>
      </c>
      <c r="K2872" s="15" t="n">
        <f aca="false">IF(B2872="SITE LOSS",IF(COUNTIFS('Site Dockets'!$B$7:$B$24,C2872,'Site Dockets'!$C$7:$C$24,F2872)&gt;0,1,0),IF(B2872="REGION LOSS",IF(COUNTIFS('Site Dockets'!$E$7:$E$24,C2872,'Site Dockets'!$C$7:$C$24,F2872)&gt;0,1,0),0))</f>
        <v>0</v>
      </c>
      <c r="L2872" s="15" t="n">
        <f aca="false">IF(J2872=1,0,Inputs!$B$11)</f>
        <v>100</v>
      </c>
      <c r="M2872" s="15" t="n">
        <f aca="false">IF(J2872=1,0,Inputs!$B$12)</f>
        <v>75</v>
      </c>
      <c r="N2872" s="15" t="n">
        <f aca="false">IF(J2872=1,0,IF(OR(AND(OR(B2872="SITE LOSS",B2872="REGION LOSS"),K2872=1),AND(B2872="ROLE COMPROMISE",H2872=C2872)),Inputs!$B$13,Inputs!$B$14))</f>
        <v>10</v>
      </c>
      <c r="O2872" s="15" t="n">
        <f aca="false">IF(J2872=1,0,Inputs!$B$13)</f>
        <v>20</v>
      </c>
      <c r="P2872" s="15" t="n">
        <f aca="false">SUM(M2872:N2872)</f>
        <v>85</v>
      </c>
      <c r="Q2872" s="15" t="n">
        <f aca="false">IF(J2872=1,"",L2872-P2872)</f>
        <v>15</v>
      </c>
      <c r="R2872" s="15" t="n">
        <f aca="false">IF(OR(J2872=1,M2872&lt;=Inputs!$B$12),1,0)</f>
        <v>1</v>
      </c>
      <c r="S2872" s="15" t="n">
        <f aca="false">IF(OR(J2872=1,N2872&lt;=O2872),1,0)</f>
        <v>1</v>
      </c>
      <c r="T2872" s="15" t="str">
        <f aca="false">IF(J2872=1,"OFFLINE",IF(AND(Q2872&gt;=Inputs!$B$15,R2872=1,S2872=1,P2872&lt;=L2872),"PASS","FAIL"))</f>
        <v>PASS</v>
      </c>
    </row>
    <row r="2873" customFormat="false" ht="15" hidden="false" customHeight="false" outlineLevel="0" collapsed="false">
      <c r="A2873" s="14" t="s">
        <v>1049</v>
      </c>
      <c r="B2873" s="14" t="s">
        <v>1048</v>
      </c>
      <c r="C2873" s="14" t="s">
        <v>158</v>
      </c>
      <c r="D2873" s="14" t="s">
        <v>182</v>
      </c>
      <c r="E2873" s="14" t="s">
        <v>166</v>
      </c>
      <c r="F2873" s="14" t="s">
        <v>183</v>
      </c>
      <c r="G2873" s="14" t="n">
        <v>1</v>
      </c>
      <c r="H2873" s="14" t="s">
        <v>154</v>
      </c>
      <c r="I2873" s="14" t="s">
        <v>897</v>
      </c>
      <c r="J2873" s="15" t="n">
        <f aca="false">IF(B2873="SITE LOSS",IF(D2873=C2873,1,0),IF(B2873="REGION LOSS",IF(E2873=C2873,1,0),0))</f>
        <v>0</v>
      </c>
      <c r="K2873" s="15" t="n">
        <f aca="false">IF(B2873="SITE LOSS",IF(COUNTIFS('Site Dockets'!$B$7:$B$24,C2873,'Site Dockets'!$C$7:$C$24,F2873)&gt;0,1,0),IF(B2873="REGION LOSS",IF(COUNTIFS('Site Dockets'!$E$7:$E$24,C2873,'Site Dockets'!$C$7:$C$24,F2873)&gt;0,1,0),0))</f>
        <v>0</v>
      </c>
      <c r="L2873" s="15" t="n">
        <f aca="false">IF(J2873=1,0,Inputs!$B$11)</f>
        <v>100</v>
      </c>
      <c r="M2873" s="15" t="n">
        <f aca="false">IF(J2873=1,0,Inputs!$B$12)</f>
        <v>75</v>
      </c>
      <c r="N2873" s="15" t="n">
        <f aca="false">IF(J2873=1,0,IF(OR(AND(OR(B2873="SITE LOSS",B2873="REGION LOSS"),K2873=1),AND(B2873="ROLE COMPROMISE",H2873=C2873)),Inputs!$B$13,Inputs!$B$14))</f>
        <v>10</v>
      </c>
      <c r="O2873" s="15" t="n">
        <f aca="false">IF(J2873=1,0,Inputs!$B$13)</f>
        <v>20</v>
      </c>
      <c r="P2873" s="15" t="n">
        <f aca="false">SUM(M2873:N2873)</f>
        <v>85</v>
      </c>
      <c r="Q2873" s="15" t="n">
        <f aca="false">IF(J2873=1,"",L2873-P2873)</f>
        <v>15</v>
      </c>
      <c r="R2873" s="15" t="n">
        <f aca="false">IF(OR(J2873=1,M2873&lt;=Inputs!$B$12),1,0)</f>
        <v>1</v>
      </c>
      <c r="S2873" s="15" t="n">
        <f aca="false">IF(OR(J2873=1,N2873&lt;=O2873),1,0)</f>
        <v>1</v>
      </c>
      <c r="T2873" s="15" t="str">
        <f aca="false">IF(J2873=1,"OFFLINE",IF(AND(Q2873&gt;=Inputs!$B$15,R2873=1,S2873=1,P2873&lt;=L2873),"PASS","FAIL"))</f>
        <v>PASS</v>
      </c>
    </row>
    <row r="2874" customFormat="false" ht="15" hidden="false" customHeight="false" outlineLevel="0" collapsed="false">
      <c r="A2874" s="14" t="s">
        <v>1049</v>
      </c>
      <c r="B2874" s="14" t="s">
        <v>1048</v>
      </c>
      <c r="C2874" s="14" t="s">
        <v>158</v>
      </c>
      <c r="D2874" s="14" t="s">
        <v>182</v>
      </c>
      <c r="E2874" s="14" t="s">
        <v>166</v>
      </c>
      <c r="F2874" s="14" t="s">
        <v>183</v>
      </c>
      <c r="G2874" s="14" t="n">
        <v>1</v>
      </c>
      <c r="H2874" s="14" t="s">
        <v>154</v>
      </c>
      <c r="I2874" s="14" t="s">
        <v>899</v>
      </c>
      <c r="J2874" s="15" t="n">
        <f aca="false">IF(B2874="SITE LOSS",IF(D2874=C2874,1,0),IF(B2874="REGION LOSS",IF(E2874=C2874,1,0),0))</f>
        <v>0</v>
      </c>
      <c r="K2874" s="15" t="n">
        <f aca="false">IF(B2874="SITE LOSS",IF(COUNTIFS('Site Dockets'!$B$7:$B$24,C2874,'Site Dockets'!$C$7:$C$24,F2874)&gt;0,1,0),IF(B2874="REGION LOSS",IF(COUNTIFS('Site Dockets'!$E$7:$E$24,C2874,'Site Dockets'!$C$7:$C$24,F2874)&gt;0,1,0),0))</f>
        <v>0</v>
      </c>
      <c r="L2874" s="15" t="n">
        <f aca="false">IF(J2874=1,0,Inputs!$B$11)</f>
        <v>100</v>
      </c>
      <c r="M2874" s="15" t="n">
        <f aca="false">IF(J2874=1,0,Inputs!$B$12)</f>
        <v>75</v>
      </c>
      <c r="N2874" s="15" t="n">
        <f aca="false">IF(J2874=1,0,IF(OR(AND(OR(B2874="SITE LOSS",B2874="REGION LOSS"),K2874=1),AND(B2874="ROLE COMPROMISE",H2874=C2874)),Inputs!$B$13,Inputs!$B$14))</f>
        <v>10</v>
      </c>
      <c r="O2874" s="15" t="n">
        <f aca="false">IF(J2874=1,0,Inputs!$B$13)</f>
        <v>20</v>
      </c>
      <c r="P2874" s="15" t="n">
        <f aca="false">SUM(M2874:N2874)</f>
        <v>85</v>
      </c>
      <c r="Q2874" s="15" t="n">
        <f aca="false">IF(J2874=1,"",L2874-P2874)</f>
        <v>15</v>
      </c>
      <c r="R2874" s="15" t="n">
        <f aca="false">IF(OR(J2874=1,M2874&lt;=Inputs!$B$12),1,0)</f>
        <v>1</v>
      </c>
      <c r="S2874" s="15" t="n">
        <f aca="false">IF(OR(J2874=1,N2874&lt;=O2874),1,0)</f>
        <v>1</v>
      </c>
      <c r="T2874" s="15" t="str">
        <f aca="false">IF(J2874=1,"OFFLINE",IF(AND(Q2874&gt;=Inputs!$B$15,R2874=1,S2874=1,P2874&lt;=L2874),"PASS","FAIL"))</f>
        <v>PASS</v>
      </c>
    </row>
    <row r="2875" customFormat="false" ht="15" hidden="false" customHeight="false" outlineLevel="0" collapsed="false">
      <c r="A2875" s="14" t="s">
        <v>1049</v>
      </c>
      <c r="B2875" s="14" t="s">
        <v>1048</v>
      </c>
      <c r="C2875" s="14" t="s">
        <v>158</v>
      </c>
      <c r="D2875" s="14" t="s">
        <v>186</v>
      </c>
      <c r="E2875" s="14" t="s">
        <v>157</v>
      </c>
      <c r="F2875" s="14" t="s">
        <v>183</v>
      </c>
      <c r="G2875" s="14" t="n">
        <v>2</v>
      </c>
      <c r="H2875" s="14" t="s">
        <v>153</v>
      </c>
      <c r="I2875" s="14" t="s">
        <v>890</v>
      </c>
      <c r="J2875" s="15" t="n">
        <f aca="false">IF(B2875="SITE LOSS",IF(D2875=C2875,1,0),IF(B2875="REGION LOSS",IF(E2875=C2875,1,0),0))</f>
        <v>0</v>
      </c>
      <c r="K2875" s="15" t="n">
        <f aca="false">IF(B2875="SITE LOSS",IF(COUNTIFS('Site Dockets'!$B$7:$B$24,C2875,'Site Dockets'!$C$7:$C$24,F2875)&gt;0,1,0),IF(B2875="REGION LOSS",IF(COUNTIFS('Site Dockets'!$E$7:$E$24,C2875,'Site Dockets'!$C$7:$C$24,F2875)&gt;0,1,0),0))</f>
        <v>0</v>
      </c>
      <c r="L2875" s="15" t="n">
        <f aca="false">IF(J2875=1,0,Inputs!$B$11)</f>
        <v>100</v>
      </c>
      <c r="M2875" s="15" t="n">
        <f aca="false">IF(J2875=1,0,Inputs!$B$12)</f>
        <v>75</v>
      </c>
      <c r="N2875" s="15" t="n">
        <f aca="false">IF(J2875=1,0,IF(OR(AND(OR(B2875="SITE LOSS",B2875="REGION LOSS"),K2875=1),AND(B2875="ROLE COMPROMISE",H2875=C2875)),Inputs!$B$13,Inputs!$B$14))</f>
        <v>10</v>
      </c>
      <c r="O2875" s="15" t="n">
        <f aca="false">IF(J2875=1,0,Inputs!$B$13)</f>
        <v>20</v>
      </c>
      <c r="P2875" s="15" t="n">
        <f aca="false">SUM(M2875:N2875)</f>
        <v>85</v>
      </c>
      <c r="Q2875" s="15" t="n">
        <f aca="false">IF(J2875=1,"",L2875-P2875)</f>
        <v>15</v>
      </c>
      <c r="R2875" s="15" t="n">
        <f aca="false">IF(OR(J2875=1,M2875&lt;=Inputs!$B$12),1,0)</f>
        <v>1</v>
      </c>
      <c r="S2875" s="15" t="n">
        <f aca="false">IF(OR(J2875=1,N2875&lt;=O2875),1,0)</f>
        <v>1</v>
      </c>
      <c r="T2875" s="15" t="str">
        <f aca="false">IF(J2875=1,"OFFLINE",IF(AND(Q2875&gt;=Inputs!$B$15,R2875=1,S2875=1,P2875&lt;=L2875),"PASS","FAIL"))</f>
        <v>PASS</v>
      </c>
    </row>
    <row r="2876" customFormat="false" ht="15" hidden="false" customHeight="false" outlineLevel="0" collapsed="false">
      <c r="A2876" s="14" t="s">
        <v>1049</v>
      </c>
      <c r="B2876" s="14" t="s">
        <v>1048</v>
      </c>
      <c r="C2876" s="14" t="s">
        <v>158</v>
      </c>
      <c r="D2876" s="14" t="s">
        <v>186</v>
      </c>
      <c r="E2876" s="14" t="s">
        <v>157</v>
      </c>
      <c r="F2876" s="14" t="s">
        <v>183</v>
      </c>
      <c r="G2876" s="14" t="n">
        <v>2</v>
      </c>
      <c r="H2876" s="14" t="s">
        <v>153</v>
      </c>
      <c r="I2876" s="14" t="s">
        <v>892</v>
      </c>
      <c r="J2876" s="15" t="n">
        <f aca="false">IF(B2876="SITE LOSS",IF(D2876=C2876,1,0),IF(B2876="REGION LOSS",IF(E2876=C2876,1,0),0))</f>
        <v>0</v>
      </c>
      <c r="K2876" s="15" t="n">
        <f aca="false">IF(B2876="SITE LOSS",IF(COUNTIFS('Site Dockets'!$B$7:$B$24,C2876,'Site Dockets'!$C$7:$C$24,F2876)&gt;0,1,0),IF(B2876="REGION LOSS",IF(COUNTIFS('Site Dockets'!$E$7:$E$24,C2876,'Site Dockets'!$C$7:$C$24,F2876)&gt;0,1,0),0))</f>
        <v>0</v>
      </c>
      <c r="L2876" s="15" t="n">
        <f aca="false">IF(J2876=1,0,Inputs!$B$11)</f>
        <v>100</v>
      </c>
      <c r="M2876" s="15" t="n">
        <f aca="false">IF(J2876=1,0,Inputs!$B$12)</f>
        <v>75</v>
      </c>
      <c r="N2876" s="15" t="n">
        <f aca="false">IF(J2876=1,0,IF(OR(AND(OR(B2876="SITE LOSS",B2876="REGION LOSS"),K2876=1),AND(B2876="ROLE COMPROMISE",H2876=C2876)),Inputs!$B$13,Inputs!$B$14))</f>
        <v>10</v>
      </c>
      <c r="O2876" s="15" t="n">
        <f aca="false">IF(J2876=1,0,Inputs!$B$13)</f>
        <v>20</v>
      </c>
      <c r="P2876" s="15" t="n">
        <f aca="false">SUM(M2876:N2876)</f>
        <v>85</v>
      </c>
      <c r="Q2876" s="15" t="n">
        <f aca="false">IF(J2876=1,"",L2876-P2876)</f>
        <v>15</v>
      </c>
      <c r="R2876" s="15" t="n">
        <f aca="false">IF(OR(J2876=1,M2876&lt;=Inputs!$B$12),1,0)</f>
        <v>1</v>
      </c>
      <c r="S2876" s="15" t="n">
        <f aca="false">IF(OR(J2876=1,N2876&lt;=O2876),1,0)</f>
        <v>1</v>
      </c>
      <c r="T2876" s="15" t="str">
        <f aca="false">IF(J2876=1,"OFFLINE",IF(AND(Q2876&gt;=Inputs!$B$15,R2876=1,S2876=1,P2876&lt;=L2876),"PASS","FAIL"))</f>
        <v>PASS</v>
      </c>
    </row>
    <row r="2877" customFormat="false" ht="15" hidden="false" customHeight="false" outlineLevel="0" collapsed="false">
      <c r="A2877" s="14" t="s">
        <v>1049</v>
      </c>
      <c r="B2877" s="14" t="s">
        <v>1048</v>
      </c>
      <c r="C2877" s="14" t="s">
        <v>158</v>
      </c>
      <c r="D2877" s="14" t="s">
        <v>186</v>
      </c>
      <c r="E2877" s="14" t="s">
        <v>157</v>
      </c>
      <c r="F2877" s="14" t="s">
        <v>183</v>
      </c>
      <c r="G2877" s="14" t="n">
        <v>2</v>
      </c>
      <c r="H2877" s="14" t="s">
        <v>153</v>
      </c>
      <c r="I2877" s="14" t="s">
        <v>811</v>
      </c>
      <c r="J2877" s="15" t="n">
        <f aca="false">IF(B2877="SITE LOSS",IF(D2877=C2877,1,0),IF(B2877="REGION LOSS",IF(E2877=C2877,1,0),0))</f>
        <v>0</v>
      </c>
      <c r="K2877" s="15" t="n">
        <f aca="false">IF(B2877="SITE LOSS",IF(COUNTIFS('Site Dockets'!$B$7:$B$24,C2877,'Site Dockets'!$C$7:$C$24,F2877)&gt;0,1,0),IF(B2877="REGION LOSS",IF(COUNTIFS('Site Dockets'!$E$7:$E$24,C2877,'Site Dockets'!$C$7:$C$24,F2877)&gt;0,1,0),0))</f>
        <v>0</v>
      </c>
      <c r="L2877" s="15" t="n">
        <f aca="false">IF(J2877=1,0,Inputs!$B$11)</f>
        <v>100</v>
      </c>
      <c r="M2877" s="15" t="n">
        <f aca="false">IF(J2877=1,0,Inputs!$B$12)</f>
        <v>75</v>
      </c>
      <c r="N2877" s="15" t="n">
        <f aca="false">IF(J2877=1,0,IF(OR(AND(OR(B2877="SITE LOSS",B2877="REGION LOSS"),K2877=1),AND(B2877="ROLE COMPROMISE",H2877=C2877)),Inputs!$B$13,Inputs!$B$14))</f>
        <v>10</v>
      </c>
      <c r="O2877" s="15" t="n">
        <f aca="false">IF(J2877=1,0,Inputs!$B$13)</f>
        <v>20</v>
      </c>
      <c r="P2877" s="15" t="n">
        <f aca="false">SUM(M2877:N2877)</f>
        <v>85</v>
      </c>
      <c r="Q2877" s="15" t="n">
        <f aca="false">IF(J2877=1,"",L2877-P2877)</f>
        <v>15</v>
      </c>
      <c r="R2877" s="15" t="n">
        <f aca="false">IF(OR(J2877=1,M2877&lt;=Inputs!$B$12),1,0)</f>
        <v>1</v>
      </c>
      <c r="S2877" s="15" t="n">
        <f aca="false">IF(OR(J2877=1,N2877&lt;=O2877),1,0)</f>
        <v>1</v>
      </c>
      <c r="T2877" s="15" t="str">
        <f aca="false">IF(J2877=1,"OFFLINE",IF(AND(Q2877&gt;=Inputs!$B$15,R2877=1,S2877=1,P2877&lt;=L2877),"PASS","FAIL"))</f>
        <v>PASS</v>
      </c>
    </row>
    <row r="2878" customFormat="false" ht="15" hidden="false" customHeight="false" outlineLevel="0" collapsed="false">
      <c r="A2878" s="14" t="s">
        <v>1049</v>
      </c>
      <c r="B2878" s="14" t="s">
        <v>1048</v>
      </c>
      <c r="C2878" s="14" t="s">
        <v>158</v>
      </c>
      <c r="D2878" s="14" t="s">
        <v>186</v>
      </c>
      <c r="E2878" s="14" t="s">
        <v>157</v>
      </c>
      <c r="F2878" s="14" t="s">
        <v>183</v>
      </c>
      <c r="G2878" s="14" t="n">
        <v>2</v>
      </c>
      <c r="H2878" s="14" t="s">
        <v>153</v>
      </c>
      <c r="I2878" s="14" t="s">
        <v>895</v>
      </c>
      <c r="J2878" s="15" t="n">
        <f aca="false">IF(B2878="SITE LOSS",IF(D2878=C2878,1,0),IF(B2878="REGION LOSS",IF(E2878=C2878,1,0),0))</f>
        <v>0</v>
      </c>
      <c r="K2878" s="15" t="n">
        <f aca="false">IF(B2878="SITE LOSS",IF(COUNTIFS('Site Dockets'!$B$7:$B$24,C2878,'Site Dockets'!$C$7:$C$24,F2878)&gt;0,1,0),IF(B2878="REGION LOSS",IF(COUNTIFS('Site Dockets'!$E$7:$E$24,C2878,'Site Dockets'!$C$7:$C$24,F2878)&gt;0,1,0),0))</f>
        <v>0</v>
      </c>
      <c r="L2878" s="15" t="n">
        <f aca="false">IF(J2878=1,0,Inputs!$B$11)</f>
        <v>100</v>
      </c>
      <c r="M2878" s="15" t="n">
        <f aca="false">IF(J2878=1,0,Inputs!$B$12)</f>
        <v>75</v>
      </c>
      <c r="N2878" s="15" t="n">
        <f aca="false">IF(J2878=1,0,IF(OR(AND(OR(B2878="SITE LOSS",B2878="REGION LOSS"),K2878=1),AND(B2878="ROLE COMPROMISE",H2878=C2878)),Inputs!$B$13,Inputs!$B$14))</f>
        <v>10</v>
      </c>
      <c r="O2878" s="15" t="n">
        <f aca="false">IF(J2878=1,0,Inputs!$B$13)</f>
        <v>20</v>
      </c>
      <c r="P2878" s="15" t="n">
        <f aca="false">SUM(M2878:N2878)</f>
        <v>85</v>
      </c>
      <c r="Q2878" s="15" t="n">
        <f aca="false">IF(J2878=1,"",L2878-P2878)</f>
        <v>15</v>
      </c>
      <c r="R2878" s="15" t="n">
        <f aca="false">IF(OR(J2878=1,M2878&lt;=Inputs!$B$12),1,0)</f>
        <v>1</v>
      </c>
      <c r="S2878" s="15" t="n">
        <f aca="false">IF(OR(J2878=1,N2878&lt;=O2878),1,0)</f>
        <v>1</v>
      </c>
      <c r="T2878" s="15" t="str">
        <f aca="false">IF(J2878=1,"OFFLINE",IF(AND(Q2878&gt;=Inputs!$B$15,R2878=1,S2878=1,P2878&lt;=L2878),"PASS","FAIL"))</f>
        <v>PASS</v>
      </c>
    </row>
    <row r="2879" customFormat="false" ht="15" hidden="false" customHeight="false" outlineLevel="0" collapsed="false">
      <c r="A2879" s="14" t="s">
        <v>1049</v>
      </c>
      <c r="B2879" s="14" t="s">
        <v>1048</v>
      </c>
      <c r="C2879" s="14" t="s">
        <v>158</v>
      </c>
      <c r="D2879" s="14" t="s">
        <v>186</v>
      </c>
      <c r="E2879" s="14" t="s">
        <v>157</v>
      </c>
      <c r="F2879" s="14" t="s">
        <v>183</v>
      </c>
      <c r="G2879" s="14" t="n">
        <v>2</v>
      </c>
      <c r="H2879" s="14" t="s">
        <v>153</v>
      </c>
      <c r="I2879" s="14" t="s">
        <v>897</v>
      </c>
      <c r="J2879" s="15" t="n">
        <f aca="false">IF(B2879="SITE LOSS",IF(D2879=C2879,1,0),IF(B2879="REGION LOSS",IF(E2879=C2879,1,0),0))</f>
        <v>0</v>
      </c>
      <c r="K2879" s="15" t="n">
        <f aca="false">IF(B2879="SITE LOSS",IF(COUNTIFS('Site Dockets'!$B$7:$B$24,C2879,'Site Dockets'!$C$7:$C$24,F2879)&gt;0,1,0),IF(B2879="REGION LOSS",IF(COUNTIFS('Site Dockets'!$E$7:$E$24,C2879,'Site Dockets'!$C$7:$C$24,F2879)&gt;0,1,0),0))</f>
        <v>0</v>
      </c>
      <c r="L2879" s="15" t="n">
        <f aca="false">IF(J2879=1,0,Inputs!$B$11)</f>
        <v>100</v>
      </c>
      <c r="M2879" s="15" t="n">
        <f aca="false">IF(J2879=1,0,Inputs!$B$12)</f>
        <v>75</v>
      </c>
      <c r="N2879" s="15" t="n">
        <f aca="false">IF(J2879=1,0,IF(OR(AND(OR(B2879="SITE LOSS",B2879="REGION LOSS"),K2879=1),AND(B2879="ROLE COMPROMISE",H2879=C2879)),Inputs!$B$13,Inputs!$B$14))</f>
        <v>10</v>
      </c>
      <c r="O2879" s="15" t="n">
        <f aca="false">IF(J2879=1,0,Inputs!$B$13)</f>
        <v>20</v>
      </c>
      <c r="P2879" s="15" t="n">
        <f aca="false">SUM(M2879:N2879)</f>
        <v>85</v>
      </c>
      <c r="Q2879" s="15" t="n">
        <f aca="false">IF(J2879=1,"",L2879-P2879)</f>
        <v>15</v>
      </c>
      <c r="R2879" s="15" t="n">
        <f aca="false">IF(OR(J2879=1,M2879&lt;=Inputs!$B$12),1,0)</f>
        <v>1</v>
      </c>
      <c r="S2879" s="15" t="n">
        <f aca="false">IF(OR(J2879=1,N2879&lt;=O2879),1,0)</f>
        <v>1</v>
      </c>
      <c r="T2879" s="15" t="str">
        <f aca="false">IF(J2879=1,"OFFLINE",IF(AND(Q2879&gt;=Inputs!$B$15,R2879=1,S2879=1,P2879&lt;=L2879),"PASS","FAIL"))</f>
        <v>PASS</v>
      </c>
    </row>
    <row r="2880" customFormat="false" ht="15" hidden="false" customHeight="false" outlineLevel="0" collapsed="false">
      <c r="A2880" s="14" t="s">
        <v>1049</v>
      </c>
      <c r="B2880" s="14" t="s">
        <v>1048</v>
      </c>
      <c r="C2880" s="14" t="s">
        <v>158</v>
      </c>
      <c r="D2880" s="14" t="s">
        <v>186</v>
      </c>
      <c r="E2880" s="14" t="s">
        <v>157</v>
      </c>
      <c r="F2880" s="14" t="s">
        <v>183</v>
      </c>
      <c r="G2880" s="14" t="n">
        <v>2</v>
      </c>
      <c r="H2880" s="14" t="s">
        <v>153</v>
      </c>
      <c r="I2880" s="14" t="s">
        <v>899</v>
      </c>
      <c r="J2880" s="15" t="n">
        <f aca="false">IF(B2880="SITE LOSS",IF(D2880=C2880,1,0),IF(B2880="REGION LOSS",IF(E2880=C2880,1,0),0))</f>
        <v>0</v>
      </c>
      <c r="K2880" s="15" t="n">
        <f aca="false">IF(B2880="SITE LOSS",IF(COUNTIFS('Site Dockets'!$B$7:$B$24,C2880,'Site Dockets'!$C$7:$C$24,F2880)&gt;0,1,0),IF(B2880="REGION LOSS",IF(COUNTIFS('Site Dockets'!$E$7:$E$24,C2880,'Site Dockets'!$C$7:$C$24,F2880)&gt;0,1,0),0))</f>
        <v>0</v>
      </c>
      <c r="L2880" s="15" t="n">
        <f aca="false">IF(J2880=1,0,Inputs!$B$11)</f>
        <v>100</v>
      </c>
      <c r="M2880" s="15" t="n">
        <f aca="false">IF(J2880=1,0,Inputs!$B$12)</f>
        <v>75</v>
      </c>
      <c r="N2880" s="15" t="n">
        <f aca="false">IF(J2880=1,0,IF(OR(AND(OR(B2880="SITE LOSS",B2880="REGION LOSS"),K2880=1),AND(B2880="ROLE COMPROMISE",H2880=C2880)),Inputs!$B$13,Inputs!$B$14))</f>
        <v>10</v>
      </c>
      <c r="O2880" s="15" t="n">
        <f aca="false">IF(J2880=1,0,Inputs!$B$13)</f>
        <v>20</v>
      </c>
      <c r="P2880" s="15" t="n">
        <f aca="false">SUM(M2880:N2880)</f>
        <v>85</v>
      </c>
      <c r="Q2880" s="15" t="n">
        <f aca="false">IF(J2880=1,"",L2880-P2880)</f>
        <v>15</v>
      </c>
      <c r="R2880" s="15" t="n">
        <f aca="false">IF(OR(J2880=1,M2880&lt;=Inputs!$B$12),1,0)</f>
        <v>1</v>
      </c>
      <c r="S2880" s="15" t="n">
        <f aca="false">IF(OR(J2880=1,N2880&lt;=O2880),1,0)</f>
        <v>1</v>
      </c>
      <c r="T2880" s="15" t="str">
        <f aca="false">IF(J2880=1,"OFFLINE",IF(AND(Q2880&gt;=Inputs!$B$15,R2880=1,S2880=1,P2880&lt;=L2880),"PASS","FAIL"))</f>
        <v>PASS</v>
      </c>
    </row>
    <row r="2881" customFormat="false" ht="15" hidden="false" customHeight="false" outlineLevel="0" collapsed="false">
      <c r="A2881" s="14" t="s">
        <v>1049</v>
      </c>
      <c r="B2881" s="14" t="s">
        <v>1048</v>
      </c>
      <c r="C2881" s="14" t="s">
        <v>158</v>
      </c>
      <c r="D2881" s="14" t="s">
        <v>188</v>
      </c>
      <c r="E2881" s="14" t="s">
        <v>172</v>
      </c>
      <c r="F2881" s="14" t="s">
        <v>183</v>
      </c>
      <c r="G2881" s="14" t="n">
        <v>3</v>
      </c>
      <c r="H2881" s="14" t="s">
        <v>158</v>
      </c>
      <c r="I2881" s="14" t="s">
        <v>890</v>
      </c>
      <c r="J2881" s="15" t="n">
        <f aca="false">IF(B2881="SITE LOSS",IF(D2881=C2881,1,0),IF(B2881="REGION LOSS",IF(E2881=C2881,1,0),0))</f>
        <v>0</v>
      </c>
      <c r="K2881" s="15" t="n">
        <f aca="false">IF(B2881="SITE LOSS",IF(COUNTIFS('Site Dockets'!$B$7:$B$24,C2881,'Site Dockets'!$C$7:$C$24,F2881)&gt;0,1,0),IF(B2881="REGION LOSS",IF(COUNTIFS('Site Dockets'!$E$7:$E$24,C2881,'Site Dockets'!$C$7:$C$24,F2881)&gt;0,1,0),0))</f>
        <v>0</v>
      </c>
      <c r="L2881" s="15" t="n">
        <f aca="false">IF(J2881=1,0,Inputs!$B$11)</f>
        <v>100</v>
      </c>
      <c r="M2881" s="15" t="n">
        <f aca="false">IF(J2881=1,0,Inputs!$B$12)</f>
        <v>75</v>
      </c>
      <c r="N2881" s="15" t="n">
        <f aca="false">IF(J2881=1,0,IF(OR(AND(OR(B2881="SITE LOSS",B2881="REGION LOSS"),K2881=1),AND(B2881="ROLE COMPROMISE",H2881=C2881)),Inputs!$B$13,Inputs!$B$14))</f>
        <v>20</v>
      </c>
      <c r="O2881" s="15" t="n">
        <f aca="false">IF(J2881=1,0,Inputs!$B$13)</f>
        <v>20</v>
      </c>
      <c r="P2881" s="15" t="n">
        <f aca="false">SUM(M2881:N2881)</f>
        <v>95</v>
      </c>
      <c r="Q2881" s="15" t="n">
        <f aca="false">IF(J2881=1,"",L2881-P2881)</f>
        <v>5</v>
      </c>
      <c r="R2881" s="15" t="n">
        <f aca="false">IF(OR(J2881=1,M2881&lt;=Inputs!$B$12),1,0)</f>
        <v>1</v>
      </c>
      <c r="S2881" s="15" t="n">
        <f aca="false">IF(OR(J2881=1,N2881&lt;=O2881),1,0)</f>
        <v>1</v>
      </c>
      <c r="T2881" s="15" t="str">
        <f aca="false">IF(J2881=1,"OFFLINE",IF(AND(Q2881&gt;=Inputs!$B$15,R2881=1,S2881=1,P2881&lt;=L2881),"PASS","FAIL"))</f>
        <v>PASS</v>
      </c>
    </row>
    <row r="2882" customFormat="false" ht="15" hidden="false" customHeight="false" outlineLevel="0" collapsed="false">
      <c r="A2882" s="14" t="s">
        <v>1049</v>
      </c>
      <c r="B2882" s="14" t="s">
        <v>1048</v>
      </c>
      <c r="C2882" s="14" t="s">
        <v>158</v>
      </c>
      <c r="D2882" s="14" t="s">
        <v>188</v>
      </c>
      <c r="E2882" s="14" t="s">
        <v>172</v>
      </c>
      <c r="F2882" s="14" t="s">
        <v>183</v>
      </c>
      <c r="G2882" s="14" t="n">
        <v>3</v>
      </c>
      <c r="H2882" s="14" t="s">
        <v>158</v>
      </c>
      <c r="I2882" s="14" t="s">
        <v>892</v>
      </c>
      <c r="J2882" s="15" t="n">
        <f aca="false">IF(B2882="SITE LOSS",IF(D2882=C2882,1,0),IF(B2882="REGION LOSS",IF(E2882=C2882,1,0),0))</f>
        <v>0</v>
      </c>
      <c r="K2882" s="15" t="n">
        <f aca="false">IF(B2882="SITE LOSS",IF(COUNTIFS('Site Dockets'!$B$7:$B$24,C2882,'Site Dockets'!$C$7:$C$24,F2882)&gt;0,1,0),IF(B2882="REGION LOSS",IF(COUNTIFS('Site Dockets'!$E$7:$E$24,C2882,'Site Dockets'!$C$7:$C$24,F2882)&gt;0,1,0),0))</f>
        <v>0</v>
      </c>
      <c r="L2882" s="15" t="n">
        <f aca="false">IF(J2882=1,0,Inputs!$B$11)</f>
        <v>100</v>
      </c>
      <c r="M2882" s="15" t="n">
        <f aca="false">IF(J2882=1,0,Inputs!$B$12)</f>
        <v>75</v>
      </c>
      <c r="N2882" s="15" t="n">
        <f aca="false">IF(J2882=1,0,IF(OR(AND(OR(B2882="SITE LOSS",B2882="REGION LOSS"),K2882=1),AND(B2882="ROLE COMPROMISE",H2882=C2882)),Inputs!$B$13,Inputs!$B$14))</f>
        <v>20</v>
      </c>
      <c r="O2882" s="15" t="n">
        <f aca="false">IF(J2882=1,0,Inputs!$B$13)</f>
        <v>20</v>
      </c>
      <c r="P2882" s="15" t="n">
        <f aca="false">SUM(M2882:N2882)</f>
        <v>95</v>
      </c>
      <c r="Q2882" s="15" t="n">
        <f aca="false">IF(J2882=1,"",L2882-P2882)</f>
        <v>5</v>
      </c>
      <c r="R2882" s="15" t="n">
        <f aca="false">IF(OR(J2882=1,M2882&lt;=Inputs!$B$12),1,0)</f>
        <v>1</v>
      </c>
      <c r="S2882" s="15" t="n">
        <f aca="false">IF(OR(J2882=1,N2882&lt;=O2882),1,0)</f>
        <v>1</v>
      </c>
      <c r="T2882" s="15" t="str">
        <f aca="false">IF(J2882=1,"OFFLINE",IF(AND(Q2882&gt;=Inputs!$B$15,R2882=1,S2882=1,P2882&lt;=L2882),"PASS","FAIL"))</f>
        <v>PASS</v>
      </c>
    </row>
    <row r="2883" customFormat="false" ht="15" hidden="false" customHeight="false" outlineLevel="0" collapsed="false">
      <c r="A2883" s="14" t="s">
        <v>1049</v>
      </c>
      <c r="B2883" s="14" t="s">
        <v>1048</v>
      </c>
      <c r="C2883" s="14" t="s">
        <v>158</v>
      </c>
      <c r="D2883" s="14" t="s">
        <v>188</v>
      </c>
      <c r="E2883" s="14" t="s">
        <v>172</v>
      </c>
      <c r="F2883" s="14" t="s">
        <v>183</v>
      </c>
      <c r="G2883" s="14" t="n">
        <v>3</v>
      </c>
      <c r="H2883" s="14" t="s">
        <v>158</v>
      </c>
      <c r="I2883" s="14" t="s">
        <v>811</v>
      </c>
      <c r="J2883" s="15" t="n">
        <f aca="false">IF(B2883="SITE LOSS",IF(D2883=C2883,1,0),IF(B2883="REGION LOSS",IF(E2883=C2883,1,0),0))</f>
        <v>0</v>
      </c>
      <c r="K2883" s="15" t="n">
        <f aca="false">IF(B2883="SITE LOSS",IF(COUNTIFS('Site Dockets'!$B$7:$B$24,C2883,'Site Dockets'!$C$7:$C$24,F2883)&gt;0,1,0),IF(B2883="REGION LOSS",IF(COUNTIFS('Site Dockets'!$E$7:$E$24,C2883,'Site Dockets'!$C$7:$C$24,F2883)&gt;0,1,0),0))</f>
        <v>0</v>
      </c>
      <c r="L2883" s="15" t="n">
        <f aca="false">IF(J2883=1,0,Inputs!$B$11)</f>
        <v>100</v>
      </c>
      <c r="M2883" s="15" t="n">
        <f aca="false">IF(J2883=1,0,Inputs!$B$12)</f>
        <v>75</v>
      </c>
      <c r="N2883" s="15" t="n">
        <f aca="false">IF(J2883=1,0,IF(OR(AND(OR(B2883="SITE LOSS",B2883="REGION LOSS"),K2883=1),AND(B2883="ROLE COMPROMISE",H2883=C2883)),Inputs!$B$13,Inputs!$B$14))</f>
        <v>20</v>
      </c>
      <c r="O2883" s="15" t="n">
        <f aca="false">IF(J2883=1,0,Inputs!$B$13)</f>
        <v>20</v>
      </c>
      <c r="P2883" s="15" t="n">
        <f aca="false">SUM(M2883:N2883)</f>
        <v>95</v>
      </c>
      <c r="Q2883" s="15" t="n">
        <f aca="false">IF(J2883=1,"",L2883-P2883)</f>
        <v>5</v>
      </c>
      <c r="R2883" s="15" t="n">
        <f aca="false">IF(OR(J2883=1,M2883&lt;=Inputs!$B$12),1,0)</f>
        <v>1</v>
      </c>
      <c r="S2883" s="15" t="n">
        <f aca="false">IF(OR(J2883=1,N2883&lt;=O2883),1,0)</f>
        <v>1</v>
      </c>
      <c r="T2883" s="15" t="str">
        <f aca="false">IF(J2883=1,"OFFLINE",IF(AND(Q2883&gt;=Inputs!$B$15,R2883=1,S2883=1,P2883&lt;=L2883),"PASS","FAIL"))</f>
        <v>PASS</v>
      </c>
    </row>
    <row r="2884" customFormat="false" ht="15" hidden="false" customHeight="false" outlineLevel="0" collapsed="false">
      <c r="A2884" s="14" t="s">
        <v>1049</v>
      </c>
      <c r="B2884" s="14" t="s">
        <v>1048</v>
      </c>
      <c r="C2884" s="14" t="s">
        <v>158</v>
      </c>
      <c r="D2884" s="14" t="s">
        <v>188</v>
      </c>
      <c r="E2884" s="14" t="s">
        <v>172</v>
      </c>
      <c r="F2884" s="14" t="s">
        <v>183</v>
      </c>
      <c r="G2884" s="14" t="n">
        <v>3</v>
      </c>
      <c r="H2884" s="14" t="s">
        <v>158</v>
      </c>
      <c r="I2884" s="14" t="s">
        <v>895</v>
      </c>
      <c r="J2884" s="15" t="n">
        <f aca="false">IF(B2884="SITE LOSS",IF(D2884=C2884,1,0),IF(B2884="REGION LOSS",IF(E2884=C2884,1,0),0))</f>
        <v>0</v>
      </c>
      <c r="K2884" s="15" t="n">
        <f aca="false">IF(B2884="SITE LOSS",IF(COUNTIFS('Site Dockets'!$B$7:$B$24,C2884,'Site Dockets'!$C$7:$C$24,F2884)&gt;0,1,0),IF(B2884="REGION LOSS",IF(COUNTIFS('Site Dockets'!$E$7:$E$24,C2884,'Site Dockets'!$C$7:$C$24,F2884)&gt;0,1,0),0))</f>
        <v>0</v>
      </c>
      <c r="L2884" s="15" t="n">
        <f aca="false">IF(J2884=1,0,Inputs!$B$11)</f>
        <v>100</v>
      </c>
      <c r="M2884" s="15" t="n">
        <f aca="false">IF(J2884=1,0,Inputs!$B$12)</f>
        <v>75</v>
      </c>
      <c r="N2884" s="15" t="n">
        <f aca="false">IF(J2884=1,0,IF(OR(AND(OR(B2884="SITE LOSS",B2884="REGION LOSS"),K2884=1),AND(B2884="ROLE COMPROMISE",H2884=C2884)),Inputs!$B$13,Inputs!$B$14))</f>
        <v>20</v>
      </c>
      <c r="O2884" s="15" t="n">
        <f aca="false">IF(J2884=1,0,Inputs!$B$13)</f>
        <v>20</v>
      </c>
      <c r="P2884" s="15" t="n">
        <f aca="false">SUM(M2884:N2884)</f>
        <v>95</v>
      </c>
      <c r="Q2884" s="15" t="n">
        <f aca="false">IF(J2884=1,"",L2884-P2884)</f>
        <v>5</v>
      </c>
      <c r="R2884" s="15" t="n">
        <f aca="false">IF(OR(J2884=1,M2884&lt;=Inputs!$B$12),1,0)</f>
        <v>1</v>
      </c>
      <c r="S2884" s="15" t="n">
        <f aca="false">IF(OR(J2884=1,N2884&lt;=O2884),1,0)</f>
        <v>1</v>
      </c>
      <c r="T2884" s="15" t="str">
        <f aca="false">IF(J2884=1,"OFFLINE",IF(AND(Q2884&gt;=Inputs!$B$15,R2884=1,S2884=1,P2884&lt;=L2884),"PASS","FAIL"))</f>
        <v>PASS</v>
      </c>
    </row>
    <row r="2885" customFormat="false" ht="15" hidden="false" customHeight="false" outlineLevel="0" collapsed="false">
      <c r="A2885" s="14" t="s">
        <v>1049</v>
      </c>
      <c r="B2885" s="14" t="s">
        <v>1048</v>
      </c>
      <c r="C2885" s="14" t="s">
        <v>158</v>
      </c>
      <c r="D2885" s="14" t="s">
        <v>188</v>
      </c>
      <c r="E2885" s="14" t="s">
        <v>172</v>
      </c>
      <c r="F2885" s="14" t="s">
        <v>183</v>
      </c>
      <c r="G2885" s="14" t="n">
        <v>3</v>
      </c>
      <c r="H2885" s="14" t="s">
        <v>158</v>
      </c>
      <c r="I2885" s="14" t="s">
        <v>897</v>
      </c>
      <c r="J2885" s="15" t="n">
        <f aca="false">IF(B2885="SITE LOSS",IF(D2885=C2885,1,0),IF(B2885="REGION LOSS",IF(E2885=C2885,1,0),0))</f>
        <v>0</v>
      </c>
      <c r="K2885" s="15" t="n">
        <f aca="false">IF(B2885="SITE LOSS",IF(COUNTIFS('Site Dockets'!$B$7:$B$24,C2885,'Site Dockets'!$C$7:$C$24,F2885)&gt;0,1,0),IF(B2885="REGION LOSS",IF(COUNTIFS('Site Dockets'!$E$7:$E$24,C2885,'Site Dockets'!$C$7:$C$24,F2885)&gt;0,1,0),0))</f>
        <v>0</v>
      </c>
      <c r="L2885" s="15" t="n">
        <f aca="false">IF(J2885=1,0,Inputs!$B$11)</f>
        <v>100</v>
      </c>
      <c r="M2885" s="15" t="n">
        <f aca="false">IF(J2885=1,0,Inputs!$B$12)</f>
        <v>75</v>
      </c>
      <c r="N2885" s="15" t="n">
        <f aca="false">IF(J2885=1,0,IF(OR(AND(OR(B2885="SITE LOSS",B2885="REGION LOSS"),K2885=1),AND(B2885="ROLE COMPROMISE",H2885=C2885)),Inputs!$B$13,Inputs!$B$14))</f>
        <v>20</v>
      </c>
      <c r="O2885" s="15" t="n">
        <f aca="false">IF(J2885=1,0,Inputs!$B$13)</f>
        <v>20</v>
      </c>
      <c r="P2885" s="15" t="n">
        <f aca="false">SUM(M2885:N2885)</f>
        <v>95</v>
      </c>
      <c r="Q2885" s="15" t="n">
        <f aca="false">IF(J2885=1,"",L2885-P2885)</f>
        <v>5</v>
      </c>
      <c r="R2885" s="15" t="n">
        <f aca="false">IF(OR(J2885=1,M2885&lt;=Inputs!$B$12),1,0)</f>
        <v>1</v>
      </c>
      <c r="S2885" s="15" t="n">
        <f aca="false">IF(OR(J2885=1,N2885&lt;=O2885),1,0)</f>
        <v>1</v>
      </c>
      <c r="T2885" s="15" t="str">
        <f aca="false">IF(J2885=1,"OFFLINE",IF(AND(Q2885&gt;=Inputs!$B$15,R2885=1,S2885=1,P2885&lt;=L2885),"PASS","FAIL"))</f>
        <v>PASS</v>
      </c>
    </row>
    <row r="2886" customFormat="false" ht="15" hidden="false" customHeight="false" outlineLevel="0" collapsed="false">
      <c r="A2886" s="14" t="s">
        <v>1049</v>
      </c>
      <c r="B2886" s="14" t="s">
        <v>1048</v>
      </c>
      <c r="C2886" s="14" t="s">
        <v>158</v>
      </c>
      <c r="D2886" s="14" t="s">
        <v>188</v>
      </c>
      <c r="E2886" s="14" t="s">
        <v>172</v>
      </c>
      <c r="F2886" s="14" t="s">
        <v>183</v>
      </c>
      <c r="G2886" s="14" t="n">
        <v>3</v>
      </c>
      <c r="H2886" s="14" t="s">
        <v>158</v>
      </c>
      <c r="I2886" s="14" t="s">
        <v>899</v>
      </c>
      <c r="J2886" s="15" t="n">
        <f aca="false">IF(B2886="SITE LOSS",IF(D2886=C2886,1,0),IF(B2886="REGION LOSS",IF(E2886=C2886,1,0),0))</f>
        <v>0</v>
      </c>
      <c r="K2886" s="15" t="n">
        <f aca="false">IF(B2886="SITE LOSS",IF(COUNTIFS('Site Dockets'!$B$7:$B$24,C2886,'Site Dockets'!$C$7:$C$24,F2886)&gt;0,1,0),IF(B2886="REGION LOSS",IF(COUNTIFS('Site Dockets'!$E$7:$E$24,C2886,'Site Dockets'!$C$7:$C$24,F2886)&gt;0,1,0),0))</f>
        <v>0</v>
      </c>
      <c r="L2886" s="15" t="n">
        <f aca="false">IF(J2886=1,0,Inputs!$B$11)</f>
        <v>100</v>
      </c>
      <c r="M2886" s="15" t="n">
        <f aca="false">IF(J2886=1,0,Inputs!$B$12)</f>
        <v>75</v>
      </c>
      <c r="N2886" s="15" t="n">
        <f aca="false">IF(J2886=1,0,IF(OR(AND(OR(B2886="SITE LOSS",B2886="REGION LOSS"),K2886=1),AND(B2886="ROLE COMPROMISE",H2886=C2886)),Inputs!$B$13,Inputs!$B$14))</f>
        <v>20</v>
      </c>
      <c r="O2886" s="15" t="n">
        <f aca="false">IF(J2886=1,0,Inputs!$B$13)</f>
        <v>20</v>
      </c>
      <c r="P2886" s="15" t="n">
        <f aca="false">SUM(M2886:N2886)</f>
        <v>95</v>
      </c>
      <c r="Q2886" s="15" t="n">
        <f aca="false">IF(J2886=1,"",L2886-P2886)</f>
        <v>5</v>
      </c>
      <c r="R2886" s="15" t="n">
        <f aca="false">IF(OR(J2886=1,M2886&lt;=Inputs!$B$12),1,0)</f>
        <v>1</v>
      </c>
      <c r="S2886" s="15" t="n">
        <f aca="false">IF(OR(J2886=1,N2886&lt;=O2886),1,0)</f>
        <v>1</v>
      </c>
      <c r="T2886" s="15" t="str">
        <f aca="false">IF(J2886=1,"OFFLINE",IF(AND(Q2886&gt;=Inputs!$B$15,R2886=1,S2886=1,P2886&lt;=L2886),"PASS","FAIL"))</f>
        <v>PASS</v>
      </c>
    </row>
    <row r="2887" customFormat="false" ht="15" hidden="false" customHeight="false" outlineLevel="0" collapsed="false">
      <c r="A2887" s="14" t="s">
        <v>1049</v>
      </c>
      <c r="B2887" s="14" t="s">
        <v>1048</v>
      </c>
      <c r="C2887" s="14" t="s">
        <v>158</v>
      </c>
      <c r="D2887" s="14" t="s">
        <v>190</v>
      </c>
      <c r="E2887" s="14" t="s">
        <v>152</v>
      </c>
      <c r="F2887" s="14" t="s">
        <v>191</v>
      </c>
      <c r="G2887" s="14" t="n">
        <v>1</v>
      </c>
      <c r="H2887" s="14" t="s">
        <v>154</v>
      </c>
      <c r="I2887" s="14" t="s">
        <v>890</v>
      </c>
      <c r="J2887" s="15" t="n">
        <f aca="false">IF(B2887="SITE LOSS",IF(D2887=C2887,1,0),IF(B2887="REGION LOSS",IF(E2887=C2887,1,0),0))</f>
        <v>0</v>
      </c>
      <c r="K2887" s="15" t="n">
        <f aca="false">IF(B2887="SITE LOSS",IF(COUNTIFS('Site Dockets'!$B$7:$B$24,C2887,'Site Dockets'!$C$7:$C$24,F2887)&gt;0,1,0),IF(B2887="REGION LOSS",IF(COUNTIFS('Site Dockets'!$E$7:$E$24,C2887,'Site Dockets'!$C$7:$C$24,F2887)&gt;0,1,0),0))</f>
        <v>0</v>
      </c>
      <c r="L2887" s="15" t="n">
        <f aca="false">IF(J2887=1,0,Inputs!$B$11)</f>
        <v>100</v>
      </c>
      <c r="M2887" s="15" t="n">
        <f aca="false">IF(J2887=1,0,Inputs!$B$12)</f>
        <v>75</v>
      </c>
      <c r="N2887" s="15" t="n">
        <f aca="false">IF(J2887=1,0,IF(OR(AND(OR(B2887="SITE LOSS",B2887="REGION LOSS"),K2887=1),AND(B2887="ROLE COMPROMISE",H2887=C2887)),Inputs!$B$13,Inputs!$B$14))</f>
        <v>10</v>
      </c>
      <c r="O2887" s="15" t="n">
        <f aca="false">IF(J2887=1,0,Inputs!$B$13)</f>
        <v>20</v>
      </c>
      <c r="P2887" s="15" t="n">
        <f aca="false">SUM(M2887:N2887)</f>
        <v>85</v>
      </c>
      <c r="Q2887" s="15" t="n">
        <f aca="false">IF(J2887=1,"",L2887-P2887)</f>
        <v>15</v>
      </c>
      <c r="R2887" s="15" t="n">
        <f aca="false">IF(OR(J2887=1,M2887&lt;=Inputs!$B$12),1,0)</f>
        <v>1</v>
      </c>
      <c r="S2887" s="15" t="n">
        <f aca="false">IF(OR(J2887=1,N2887&lt;=O2887),1,0)</f>
        <v>1</v>
      </c>
      <c r="T2887" s="15" t="str">
        <f aca="false">IF(J2887=1,"OFFLINE",IF(AND(Q2887&gt;=Inputs!$B$15,R2887=1,S2887=1,P2887&lt;=L2887),"PASS","FAIL"))</f>
        <v>PASS</v>
      </c>
    </row>
    <row r="2888" customFormat="false" ht="15" hidden="false" customHeight="false" outlineLevel="0" collapsed="false">
      <c r="A2888" s="14" t="s">
        <v>1049</v>
      </c>
      <c r="B2888" s="14" t="s">
        <v>1048</v>
      </c>
      <c r="C2888" s="14" t="s">
        <v>158</v>
      </c>
      <c r="D2888" s="14" t="s">
        <v>190</v>
      </c>
      <c r="E2888" s="14" t="s">
        <v>152</v>
      </c>
      <c r="F2888" s="14" t="s">
        <v>191</v>
      </c>
      <c r="G2888" s="14" t="n">
        <v>1</v>
      </c>
      <c r="H2888" s="14" t="s">
        <v>154</v>
      </c>
      <c r="I2888" s="14" t="s">
        <v>892</v>
      </c>
      <c r="J2888" s="15" t="n">
        <f aca="false">IF(B2888="SITE LOSS",IF(D2888=C2888,1,0),IF(B2888="REGION LOSS",IF(E2888=C2888,1,0),0))</f>
        <v>0</v>
      </c>
      <c r="K2888" s="15" t="n">
        <f aca="false">IF(B2888="SITE LOSS",IF(COUNTIFS('Site Dockets'!$B$7:$B$24,C2888,'Site Dockets'!$C$7:$C$24,F2888)&gt;0,1,0),IF(B2888="REGION LOSS",IF(COUNTIFS('Site Dockets'!$E$7:$E$24,C2888,'Site Dockets'!$C$7:$C$24,F2888)&gt;0,1,0),0))</f>
        <v>0</v>
      </c>
      <c r="L2888" s="15" t="n">
        <f aca="false">IF(J2888=1,0,Inputs!$B$11)</f>
        <v>100</v>
      </c>
      <c r="M2888" s="15" t="n">
        <f aca="false">IF(J2888=1,0,Inputs!$B$12)</f>
        <v>75</v>
      </c>
      <c r="N2888" s="15" t="n">
        <f aca="false">IF(J2888=1,0,IF(OR(AND(OR(B2888="SITE LOSS",B2888="REGION LOSS"),K2888=1),AND(B2888="ROLE COMPROMISE",H2888=C2888)),Inputs!$B$13,Inputs!$B$14))</f>
        <v>10</v>
      </c>
      <c r="O2888" s="15" t="n">
        <f aca="false">IF(J2888=1,0,Inputs!$B$13)</f>
        <v>20</v>
      </c>
      <c r="P2888" s="15" t="n">
        <f aca="false">SUM(M2888:N2888)</f>
        <v>85</v>
      </c>
      <c r="Q2888" s="15" t="n">
        <f aca="false">IF(J2888=1,"",L2888-P2888)</f>
        <v>15</v>
      </c>
      <c r="R2888" s="15" t="n">
        <f aca="false">IF(OR(J2888=1,M2888&lt;=Inputs!$B$12),1,0)</f>
        <v>1</v>
      </c>
      <c r="S2888" s="15" t="n">
        <f aca="false">IF(OR(J2888=1,N2888&lt;=O2888),1,0)</f>
        <v>1</v>
      </c>
      <c r="T2888" s="15" t="str">
        <f aca="false">IF(J2888=1,"OFFLINE",IF(AND(Q2888&gt;=Inputs!$B$15,R2888=1,S2888=1,P2888&lt;=L2888),"PASS","FAIL"))</f>
        <v>PASS</v>
      </c>
    </row>
    <row r="2889" customFormat="false" ht="15" hidden="false" customHeight="false" outlineLevel="0" collapsed="false">
      <c r="A2889" s="14" t="s">
        <v>1049</v>
      </c>
      <c r="B2889" s="14" t="s">
        <v>1048</v>
      </c>
      <c r="C2889" s="14" t="s">
        <v>158</v>
      </c>
      <c r="D2889" s="14" t="s">
        <v>190</v>
      </c>
      <c r="E2889" s="14" t="s">
        <v>152</v>
      </c>
      <c r="F2889" s="14" t="s">
        <v>191</v>
      </c>
      <c r="G2889" s="14" t="n">
        <v>1</v>
      </c>
      <c r="H2889" s="14" t="s">
        <v>154</v>
      </c>
      <c r="I2889" s="14" t="s">
        <v>811</v>
      </c>
      <c r="J2889" s="15" t="n">
        <f aca="false">IF(B2889="SITE LOSS",IF(D2889=C2889,1,0),IF(B2889="REGION LOSS",IF(E2889=C2889,1,0),0))</f>
        <v>0</v>
      </c>
      <c r="K2889" s="15" t="n">
        <f aca="false">IF(B2889="SITE LOSS",IF(COUNTIFS('Site Dockets'!$B$7:$B$24,C2889,'Site Dockets'!$C$7:$C$24,F2889)&gt;0,1,0),IF(B2889="REGION LOSS",IF(COUNTIFS('Site Dockets'!$E$7:$E$24,C2889,'Site Dockets'!$C$7:$C$24,F2889)&gt;0,1,0),0))</f>
        <v>0</v>
      </c>
      <c r="L2889" s="15" t="n">
        <f aca="false">IF(J2889=1,0,Inputs!$B$11)</f>
        <v>100</v>
      </c>
      <c r="M2889" s="15" t="n">
        <f aca="false">IF(J2889=1,0,Inputs!$B$12)</f>
        <v>75</v>
      </c>
      <c r="N2889" s="15" t="n">
        <f aca="false">IF(J2889=1,0,IF(OR(AND(OR(B2889="SITE LOSS",B2889="REGION LOSS"),K2889=1),AND(B2889="ROLE COMPROMISE",H2889=C2889)),Inputs!$B$13,Inputs!$B$14))</f>
        <v>10</v>
      </c>
      <c r="O2889" s="15" t="n">
        <f aca="false">IF(J2889=1,0,Inputs!$B$13)</f>
        <v>20</v>
      </c>
      <c r="P2889" s="15" t="n">
        <f aca="false">SUM(M2889:N2889)</f>
        <v>85</v>
      </c>
      <c r="Q2889" s="15" t="n">
        <f aca="false">IF(J2889=1,"",L2889-P2889)</f>
        <v>15</v>
      </c>
      <c r="R2889" s="15" t="n">
        <f aca="false">IF(OR(J2889=1,M2889&lt;=Inputs!$B$12),1,0)</f>
        <v>1</v>
      </c>
      <c r="S2889" s="15" t="n">
        <f aca="false">IF(OR(J2889=1,N2889&lt;=O2889),1,0)</f>
        <v>1</v>
      </c>
      <c r="T2889" s="15" t="str">
        <f aca="false">IF(J2889=1,"OFFLINE",IF(AND(Q2889&gt;=Inputs!$B$15,R2889=1,S2889=1,P2889&lt;=L2889),"PASS","FAIL"))</f>
        <v>PASS</v>
      </c>
    </row>
    <row r="2890" customFormat="false" ht="15" hidden="false" customHeight="false" outlineLevel="0" collapsed="false">
      <c r="A2890" s="14" t="s">
        <v>1049</v>
      </c>
      <c r="B2890" s="14" t="s">
        <v>1048</v>
      </c>
      <c r="C2890" s="14" t="s">
        <v>158</v>
      </c>
      <c r="D2890" s="14" t="s">
        <v>190</v>
      </c>
      <c r="E2890" s="14" t="s">
        <v>152</v>
      </c>
      <c r="F2890" s="14" t="s">
        <v>191</v>
      </c>
      <c r="G2890" s="14" t="n">
        <v>1</v>
      </c>
      <c r="H2890" s="14" t="s">
        <v>154</v>
      </c>
      <c r="I2890" s="14" t="s">
        <v>895</v>
      </c>
      <c r="J2890" s="15" t="n">
        <f aca="false">IF(B2890="SITE LOSS",IF(D2890=C2890,1,0),IF(B2890="REGION LOSS",IF(E2890=C2890,1,0),0))</f>
        <v>0</v>
      </c>
      <c r="K2890" s="15" t="n">
        <f aca="false">IF(B2890="SITE LOSS",IF(COUNTIFS('Site Dockets'!$B$7:$B$24,C2890,'Site Dockets'!$C$7:$C$24,F2890)&gt;0,1,0),IF(B2890="REGION LOSS",IF(COUNTIFS('Site Dockets'!$E$7:$E$24,C2890,'Site Dockets'!$C$7:$C$24,F2890)&gt;0,1,0),0))</f>
        <v>0</v>
      </c>
      <c r="L2890" s="15" t="n">
        <f aca="false">IF(J2890=1,0,Inputs!$B$11)</f>
        <v>100</v>
      </c>
      <c r="M2890" s="15" t="n">
        <f aca="false">IF(J2890=1,0,Inputs!$B$12)</f>
        <v>75</v>
      </c>
      <c r="N2890" s="15" t="n">
        <f aca="false">IF(J2890=1,0,IF(OR(AND(OR(B2890="SITE LOSS",B2890="REGION LOSS"),K2890=1),AND(B2890="ROLE COMPROMISE",H2890=C2890)),Inputs!$B$13,Inputs!$B$14))</f>
        <v>10</v>
      </c>
      <c r="O2890" s="15" t="n">
        <f aca="false">IF(J2890=1,0,Inputs!$B$13)</f>
        <v>20</v>
      </c>
      <c r="P2890" s="15" t="n">
        <f aca="false">SUM(M2890:N2890)</f>
        <v>85</v>
      </c>
      <c r="Q2890" s="15" t="n">
        <f aca="false">IF(J2890=1,"",L2890-P2890)</f>
        <v>15</v>
      </c>
      <c r="R2890" s="15" t="n">
        <f aca="false">IF(OR(J2890=1,M2890&lt;=Inputs!$B$12),1,0)</f>
        <v>1</v>
      </c>
      <c r="S2890" s="15" t="n">
        <f aca="false">IF(OR(J2890=1,N2890&lt;=O2890),1,0)</f>
        <v>1</v>
      </c>
      <c r="T2890" s="15" t="str">
        <f aca="false">IF(J2890=1,"OFFLINE",IF(AND(Q2890&gt;=Inputs!$B$15,R2890=1,S2890=1,P2890&lt;=L2890),"PASS","FAIL"))</f>
        <v>PASS</v>
      </c>
    </row>
    <row r="2891" customFormat="false" ht="15" hidden="false" customHeight="false" outlineLevel="0" collapsed="false">
      <c r="A2891" s="14" t="s">
        <v>1049</v>
      </c>
      <c r="B2891" s="14" t="s">
        <v>1048</v>
      </c>
      <c r="C2891" s="14" t="s">
        <v>158</v>
      </c>
      <c r="D2891" s="14" t="s">
        <v>190</v>
      </c>
      <c r="E2891" s="14" t="s">
        <v>152</v>
      </c>
      <c r="F2891" s="14" t="s">
        <v>191</v>
      </c>
      <c r="G2891" s="14" t="n">
        <v>1</v>
      </c>
      <c r="H2891" s="14" t="s">
        <v>154</v>
      </c>
      <c r="I2891" s="14" t="s">
        <v>897</v>
      </c>
      <c r="J2891" s="15" t="n">
        <f aca="false">IF(B2891="SITE LOSS",IF(D2891=C2891,1,0),IF(B2891="REGION LOSS",IF(E2891=C2891,1,0),0))</f>
        <v>0</v>
      </c>
      <c r="K2891" s="15" t="n">
        <f aca="false">IF(B2891="SITE LOSS",IF(COUNTIFS('Site Dockets'!$B$7:$B$24,C2891,'Site Dockets'!$C$7:$C$24,F2891)&gt;0,1,0),IF(B2891="REGION LOSS",IF(COUNTIFS('Site Dockets'!$E$7:$E$24,C2891,'Site Dockets'!$C$7:$C$24,F2891)&gt;0,1,0),0))</f>
        <v>0</v>
      </c>
      <c r="L2891" s="15" t="n">
        <f aca="false">IF(J2891=1,0,Inputs!$B$11)</f>
        <v>100</v>
      </c>
      <c r="M2891" s="15" t="n">
        <f aca="false">IF(J2891=1,0,Inputs!$B$12)</f>
        <v>75</v>
      </c>
      <c r="N2891" s="15" t="n">
        <f aca="false">IF(J2891=1,0,IF(OR(AND(OR(B2891="SITE LOSS",B2891="REGION LOSS"),K2891=1),AND(B2891="ROLE COMPROMISE",H2891=C2891)),Inputs!$B$13,Inputs!$B$14))</f>
        <v>10</v>
      </c>
      <c r="O2891" s="15" t="n">
        <f aca="false">IF(J2891=1,0,Inputs!$B$13)</f>
        <v>20</v>
      </c>
      <c r="P2891" s="15" t="n">
        <f aca="false">SUM(M2891:N2891)</f>
        <v>85</v>
      </c>
      <c r="Q2891" s="15" t="n">
        <f aca="false">IF(J2891=1,"",L2891-P2891)</f>
        <v>15</v>
      </c>
      <c r="R2891" s="15" t="n">
        <f aca="false">IF(OR(J2891=1,M2891&lt;=Inputs!$B$12),1,0)</f>
        <v>1</v>
      </c>
      <c r="S2891" s="15" t="n">
        <f aca="false">IF(OR(J2891=1,N2891&lt;=O2891),1,0)</f>
        <v>1</v>
      </c>
      <c r="T2891" s="15" t="str">
        <f aca="false">IF(J2891=1,"OFFLINE",IF(AND(Q2891&gt;=Inputs!$B$15,R2891=1,S2891=1,P2891&lt;=L2891),"PASS","FAIL"))</f>
        <v>PASS</v>
      </c>
    </row>
    <row r="2892" customFormat="false" ht="15" hidden="false" customHeight="false" outlineLevel="0" collapsed="false">
      <c r="A2892" s="14" t="s">
        <v>1049</v>
      </c>
      <c r="B2892" s="14" t="s">
        <v>1048</v>
      </c>
      <c r="C2892" s="14" t="s">
        <v>158</v>
      </c>
      <c r="D2892" s="14" t="s">
        <v>190</v>
      </c>
      <c r="E2892" s="14" t="s">
        <v>152</v>
      </c>
      <c r="F2892" s="14" t="s">
        <v>191</v>
      </c>
      <c r="G2892" s="14" t="n">
        <v>1</v>
      </c>
      <c r="H2892" s="14" t="s">
        <v>154</v>
      </c>
      <c r="I2892" s="14" t="s">
        <v>899</v>
      </c>
      <c r="J2892" s="15" t="n">
        <f aca="false">IF(B2892="SITE LOSS",IF(D2892=C2892,1,0),IF(B2892="REGION LOSS",IF(E2892=C2892,1,0),0))</f>
        <v>0</v>
      </c>
      <c r="K2892" s="15" t="n">
        <f aca="false">IF(B2892="SITE LOSS",IF(COUNTIFS('Site Dockets'!$B$7:$B$24,C2892,'Site Dockets'!$C$7:$C$24,F2892)&gt;0,1,0),IF(B2892="REGION LOSS",IF(COUNTIFS('Site Dockets'!$E$7:$E$24,C2892,'Site Dockets'!$C$7:$C$24,F2892)&gt;0,1,0),0))</f>
        <v>0</v>
      </c>
      <c r="L2892" s="15" t="n">
        <f aca="false">IF(J2892=1,0,Inputs!$B$11)</f>
        <v>100</v>
      </c>
      <c r="M2892" s="15" t="n">
        <f aca="false">IF(J2892=1,0,Inputs!$B$12)</f>
        <v>75</v>
      </c>
      <c r="N2892" s="15" t="n">
        <f aca="false">IF(J2892=1,0,IF(OR(AND(OR(B2892="SITE LOSS",B2892="REGION LOSS"),K2892=1),AND(B2892="ROLE COMPROMISE",H2892=C2892)),Inputs!$B$13,Inputs!$B$14))</f>
        <v>10</v>
      </c>
      <c r="O2892" s="15" t="n">
        <f aca="false">IF(J2892=1,0,Inputs!$B$13)</f>
        <v>20</v>
      </c>
      <c r="P2892" s="15" t="n">
        <f aca="false">SUM(M2892:N2892)</f>
        <v>85</v>
      </c>
      <c r="Q2892" s="15" t="n">
        <f aca="false">IF(J2892=1,"",L2892-P2892)</f>
        <v>15</v>
      </c>
      <c r="R2892" s="15" t="n">
        <f aca="false">IF(OR(J2892=1,M2892&lt;=Inputs!$B$12),1,0)</f>
        <v>1</v>
      </c>
      <c r="S2892" s="15" t="n">
        <f aca="false">IF(OR(J2892=1,N2892&lt;=O2892),1,0)</f>
        <v>1</v>
      </c>
      <c r="T2892" s="15" t="str">
        <f aca="false">IF(J2892=1,"OFFLINE",IF(AND(Q2892&gt;=Inputs!$B$15,R2892=1,S2892=1,P2892&lt;=L2892),"PASS","FAIL"))</f>
        <v>PASS</v>
      </c>
    </row>
    <row r="2893" customFormat="false" ht="15" hidden="false" customHeight="false" outlineLevel="0" collapsed="false">
      <c r="A2893" s="14" t="s">
        <v>1049</v>
      </c>
      <c r="B2893" s="14" t="s">
        <v>1048</v>
      </c>
      <c r="C2893" s="14" t="s">
        <v>158</v>
      </c>
      <c r="D2893" s="14" t="s">
        <v>194</v>
      </c>
      <c r="E2893" s="14" t="s">
        <v>169</v>
      </c>
      <c r="F2893" s="14" t="s">
        <v>191</v>
      </c>
      <c r="G2893" s="14" t="n">
        <v>2</v>
      </c>
      <c r="H2893" s="14" t="s">
        <v>153</v>
      </c>
      <c r="I2893" s="14" t="s">
        <v>890</v>
      </c>
      <c r="J2893" s="15" t="n">
        <f aca="false">IF(B2893="SITE LOSS",IF(D2893=C2893,1,0),IF(B2893="REGION LOSS",IF(E2893=C2893,1,0),0))</f>
        <v>0</v>
      </c>
      <c r="K2893" s="15" t="n">
        <f aca="false">IF(B2893="SITE LOSS",IF(COUNTIFS('Site Dockets'!$B$7:$B$24,C2893,'Site Dockets'!$C$7:$C$24,F2893)&gt;0,1,0),IF(B2893="REGION LOSS",IF(COUNTIFS('Site Dockets'!$E$7:$E$24,C2893,'Site Dockets'!$C$7:$C$24,F2893)&gt;0,1,0),0))</f>
        <v>0</v>
      </c>
      <c r="L2893" s="15" t="n">
        <f aca="false">IF(J2893=1,0,Inputs!$B$11)</f>
        <v>100</v>
      </c>
      <c r="M2893" s="15" t="n">
        <f aca="false">IF(J2893=1,0,Inputs!$B$12)</f>
        <v>75</v>
      </c>
      <c r="N2893" s="15" t="n">
        <f aca="false">IF(J2893=1,0,IF(OR(AND(OR(B2893="SITE LOSS",B2893="REGION LOSS"),K2893=1),AND(B2893="ROLE COMPROMISE",H2893=C2893)),Inputs!$B$13,Inputs!$B$14))</f>
        <v>10</v>
      </c>
      <c r="O2893" s="15" t="n">
        <f aca="false">IF(J2893=1,0,Inputs!$B$13)</f>
        <v>20</v>
      </c>
      <c r="P2893" s="15" t="n">
        <f aca="false">SUM(M2893:N2893)</f>
        <v>85</v>
      </c>
      <c r="Q2893" s="15" t="n">
        <f aca="false">IF(J2893=1,"",L2893-P2893)</f>
        <v>15</v>
      </c>
      <c r="R2893" s="15" t="n">
        <f aca="false">IF(OR(J2893=1,M2893&lt;=Inputs!$B$12),1,0)</f>
        <v>1</v>
      </c>
      <c r="S2893" s="15" t="n">
        <f aca="false">IF(OR(J2893=1,N2893&lt;=O2893),1,0)</f>
        <v>1</v>
      </c>
      <c r="T2893" s="15" t="str">
        <f aca="false">IF(J2893=1,"OFFLINE",IF(AND(Q2893&gt;=Inputs!$B$15,R2893=1,S2893=1,P2893&lt;=L2893),"PASS","FAIL"))</f>
        <v>PASS</v>
      </c>
    </row>
    <row r="2894" customFormat="false" ht="15" hidden="false" customHeight="false" outlineLevel="0" collapsed="false">
      <c r="A2894" s="14" t="s">
        <v>1049</v>
      </c>
      <c r="B2894" s="14" t="s">
        <v>1048</v>
      </c>
      <c r="C2894" s="14" t="s">
        <v>158</v>
      </c>
      <c r="D2894" s="14" t="s">
        <v>194</v>
      </c>
      <c r="E2894" s="14" t="s">
        <v>169</v>
      </c>
      <c r="F2894" s="14" t="s">
        <v>191</v>
      </c>
      <c r="G2894" s="14" t="n">
        <v>2</v>
      </c>
      <c r="H2894" s="14" t="s">
        <v>153</v>
      </c>
      <c r="I2894" s="14" t="s">
        <v>892</v>
      </c>
      <c r="J2894" s="15" t="n">
        <f aca="false">IF(B2894="SITE LOSS",IF(D2894=C2894,1,0),IF(B2894="REGION LOSS",IF(E2894=C2894,1,0),0))</f>
        <v>0</v>
      </c>
      <c r="K2894" s="15" t="n">
        <f aca="false">IF(B2894="SITE LOSS",IF(COUNTIFS('Site Dockets'!$B$7:$B$24,C2894,'Site Dockets'!$C$7:$C$24,F2894)&gt;0,1,0),IF(B2894="REGION LOSS",IF(COUNTIFS('Site Dockets'!$E$7:$E$24,C2894,'Site Dockets'!$C$7:$C$24,F2894)&gt;0,1,0),0))</f>
        <v>0</v>
      </c>
      <c r="L2894" s="15" t="n">
        <f aca="false">IF(J2894=1,0,Inputs!$B$11)</f>
        <v>100</v>
      </c>
      <c r="M2894" s="15" t="n">
        <f aca="false">IF(J2894=1,0,Inputs!$B$12)</f>
        <v>75</v>
      </c>
      <c r="N2894" s="15" t="n">
        <f aca="false">IF(J2894=1,0,IF(OR(AND(OR(B2894="SITE LOSS",B2894="REGION LOSS"),K2894=1),AND(B2894="ROLE COMPROMISE",H2894=C2894)),Inputs!$B$13,Inputs!$B$14))</f>
        <v>10</v>
      </c>
      <c r="O2894" s="15" t="n">
        <f aca="false">IF(J2894=1,0,Inputs!$B$13)</f>
        <v>20</v>
      </c>
      <c r="P2894" s="15" t="n">
        <f aca="false">SUM(M2894:N2894)</f>
        <v>85</v>
      </c>
      <c r="Q2894" s="15" t="n">
        <f aca="false">IF(J2894=1,"",L2894-P2894)</f>
        <v>15</v>
      </c>
      <c r="R2894" s="15" t="n">
        <f aca="false">IF(OR(J2894=1,M2894&lt;=Inputs!$B$12),1,0)</f>
        <v>1</v>
      </c>
      <c r="S2894" s="15" t="n">
        <f aca="false">IF(OR(J2894=1,N2894&lt;=O2894),1,0)</f>
        <v>1</v>
      </c>
      <c r="T2894" s="15" t="str">
        <f aca="false">IF(J2894=1,"OFFLINE",IF(AND(Q2894&gt;=Inputs!$B$15,R2894=1,S2894=1,P2894&lt;=L2894),"PASS","FAIL"))</f>
        <v>PASS</v>
      </c>
    </row>
    <row r="2895" customFormat="false" ht="15" hidden="false" customHeight="false" outlineLevel="0" collapsed="false">
      <c r="A2895" s="14" t="s">
        <v>1049</v>
      </c>
      <c r="B2895" s="14" t="s">
        <v>1048</v>
      </c>
      <c r="C2895" s="14" t="s">
        <v>158</v>
      </c>
      <c r="D2895" s="14" t="s">
        <v>194</v>
      </c>
      <c r="E2895" s="14" t="s">
        <v>169</v>
      </c>
      <c r="F2895" s="14" t="s">
        <v>191</v>
      </c>
      <c r="G2895" s="14" t="n">
        <v>2</v>
      </c>
      <c r="H2895" s="14" t="s">
        <v>153</v>
      </c>
      <c r="I2895" s="14" t="s">
        <v>811</v>
      </c>
      <c r="J2895" s="15" t="n">
        <f aca="false">IF(B2895="SITE LOSS",IF(D2895=C2895,1,0),IF(B2895="REGION LOSS",IF(E2895=C2895,1,0),0))</f>
        <v>0</v>
      </c>
      <c r="K2895" s="15" t="n">
        <f aca="false">IF(B2895="SITE LOSS",IF(COUNTIFS('Site Dockets'!$B$7:$B$24,C2895,'Site Dockets'!$C$7:$C$24,F2895)&gt;0,1,0),IF(B2895="REGION LOSS",IF(COUNTIFS('Site Dockets'!$E$7:$E$24,C2895,'Site Dockets'!$C$7:$C$24,F2895)&gt;0,1,0),0))</f>
        <v>0</v>
      </c>
      <c r="L2895" s="15" t="n">
        <f aca="false">IF(J2895=1,0,Inputs!$B$11)</f>
        <v>100</v>
      </c>
      <c r="M2895" s="15" t="n">
        <f aca="false">IF(J2895=1,0,Inputs!$B$12)</f>
        <v>75</v>
      </c>
      <c r="N2895" s="15" t="n">
        <f aca="false">IF(J2895=1,0,IF(OR(AND(OR(B2895="SITE LOSS",B2895="REGION LOSS"),K2895=1),AND(B2895="ROLE COMPROMISE",H2895=C2895)),Inputs!$B$13,Inputs!$B$14))</f>
        <v>10</v>
      </c>
      <c r="O2895" s="15" t="n">
        <f aca="false">IF(J2895=1,0,Inputs!$B$13)</f>
        <v>20</v>
      </c>
      <c r="P2895" s="15" t="n">
        <f aca="false">SUM(M2895:N2895)</f>
        <v>85</v>
      </c>
      <c r="Q2895" s="15" t="n">
        <f aca="false">IF(J2895=1,"",L2895-P2895)</f>
        <v>15</v>
      </c>
      <c r="R2895" s="15" t="n">
        <f aca="false">IF(OR(J2895=1,M2895&lt;=Inputs!$B$12),1,0)</f>
        <v>1</v>
      </c>
      <c r="S2895" s="15" t="n">
        <f aca="false">IF(OR(J2895=1,N2895&lt;=O2895),1,0)</f>
        <v>1</v>
      </c>
      <c r="T2895" s="15" t="str">
        <f aca="false">IF(J2895=1,"OFFLINE",IF(AND(Q2895&gt;=Inputs!$B$15,R2895=1,S2895=1,P2895&lt;=L2895),"PASS","FAIL"))</f>
        <v>PASS</v>
      </c>
    </row>
    <row r="2896" customFormat="false" ht="15" hidden="false" customHeight="false" outlineLevel="0" collapsed="false">
      <c r="A2896" s="14" t="s">
        <v>1049</v>
      </c>
      <c r="B2896" s="14" t="s">
        <v>1048</v>
      </c>
      <c r="C2896" s="14" t="s">
        <v>158</v>
      </c>
      <c r="D2896" s="14" t="s">
        <v>194</v>
      </c>
      <c r="E2896" s="14" t="s">
        <v>169</v>
      </c>
      <c r="F2896" s="14" t="s">
        <v>191</v>
      </c>
      <c r="G2896" s="14" t="n">
        <v>2</v>
      </c>
      <c r="H2896" s="14" t="s">
        <v>153</v>
      </c>
      <c r="I2896" s="14" t="s">
        <v>895</v>
      </c>
      <c r="J2896" s="15" t="n">
        <f aca="false">IF(B2896="SITE LOSS",IF(D2896=C2896,1,0),IF(B2896="REGION LOSS",IF(E2896=C2896,1,0),0))</f>
        <v>0</v>
      </c>
      <c r="K2896" s="15" t="n">
        <f aca="false">IF(B2896="SITE LOSS",IF(COUNTIFS('Site Dockets'!$B$7:$B$24,C2896,'Site Dockets'!$C$7:$C$24,F2896)&gt;0,1,0),IF(B2896="REGION LOSS",IF(COUNTIFS('Site Dockets'!$E$7:$E$24,C2896,'Site Dockets'!$C$7:$C$24,F2896)&gt;0,1,0),0))</f>
        <v>0</v>
      </c>
      <c r="L2896" s="15" t="n">
        <f aca="false">IF(J2896=1,0,Inputs!$B$11)</f>
        <v>100</v>
      </c>
      <c r="M2896" s="15" t="n">
        <f aca="false">IF(J2896=1,0,Inputs!$B$12)</f>
        <v>75</v>
      </c>
      <c r="N2896" s="15" t="n">
        <f aca="false">IF(J2896=1,0,IF(OR(AND(OR(B2896="SITE LOSS",B2896="REGION LOSS"),K2896=1),AND(B2896="ROLE COMPROMISE",H2896=C2896)),Inputs!$B$13,Inputs!$B$14))</f>
        <v>10</v>
      </c>
      <c r="O2896" s="15" t="n">
        <f aca="false">IF(J2896=1,0,Inputs!$B$13)</f>
        <v>20</v>
      </c>
      <c r="P2896" s="15" t="n">
        <f aca="false">SUM(M2896:N2896)</f>
        <v>85</v>
      </c>
      <c r="Q2896" s="15" t="n">
        <f aca="false">IF(J2896=1,"",L2896-P2896)</f>
        <v>15</v>
      </c>
      <c r="R2896" s="15" t="n">
        <f aca="false">IF(OR(J2896=1,M2896&lt;=Inputs!$B$12),1,0)</f>
        <v>1</v>
      </c>
      <c r="S2896" s="15" t="n">
        <f aca="false">IF(OR(J2896=1,N2896&lt;=O2896),1,0)</f>
        <v>1</v>
      </c>
      <c r="T2896" s="15" t="str">
        <f aca="false">IF(J2896=1,"OFFLINE",IF(AND(Q2896&gt;=Inputs!$B$15,R2896=1,S2896=1,P2896&lt;=L2896),"PASS","FAIL"))</f>
        <v>PASS</v>
      </c>
    </row>
    <row r="2897" customFormat="false" ht="15" hidden="false" customHeight="false" outlineLevel="0" collapsed="false">
      <c r="A2897" s="14" t="s">
        <v>1049</v>
      </c>
      <c r="B2897" s="14" t="s">
        <v>1048</v>
      </c>
      <c r="C2897" s="14" t="s">
        <v>158</v>
      </c>
      <c r="D2897" s="14" t="s">
        <v>194</v>
      </c>
      <c r="E2897" s="14" t="s">
        <v>169</v>
      </c>
      <c r="F2897" s="14" t="s">
        <v>191</v>
      </c>
      <c r="G2897" s="14" t="n">
        <v>2</v>
      </c>
      <c r="H2897" s="14" t="s">
        <v>153</v>
      </c>
      <c r="I2897" s="14" t="s">
        <v>897</v>
      </c>
      <c r="J2897" s="15" t="n">
        <f aca="false">IF(B2897="SITE LOSS",IF(D2897=C2897,1,0),IF(B2897="REGION LOSS",IF(E2897=C2897,1,0),0))</f>
        <v>0</v>
      </c>
      <c r="K2897" s="15" t="n">
        <f aca="false">IF(B2897="SITE LOSS",IF(COUNTIFS('Site Dockets'!$B$7:$B$24,C2897,'Site Dockets'!$C$7:$C$24,F2897)&gt;0,1,0),IF(B2897="REGION LOSS",IF(COUNTIFS('Site Dockets'!$E$7:$E$24,C2897,'Site Dockets'!$C$7:$C$24,F2897)&gt;0,1,0),0))</f>
        <v>0</v>
      </c>
      <c r="L2897" s="15" t="n">
        <f aca="false">IF(J2897=1,0,Inputs!$B$11)</f>
        <v>100</v>
      </c>
      <c r="M2897" s="15" t="n">
        <f aca="false">IF(J2897=1,0,Inputs!$B$12)</f>
        <v>75</v>
      </c>
      <c r="N2897" s="15" t="n">
        <f aca="false">IF(J2897=1,0,IF(OR(AND(OR(B2897="SITE LOSS",B2897="REGION LOSS"),K2897=1),AND(B2897="ROLE COMPROMISE",H2897=C2897)),Inputs!$B$13,Inputs!$B$14))</f>
        <v>10</v>
      </c>
      <c r="O2897" s="15" t="n">
        <f aca="false">IF(J2897=1,0,Inputs!$B$13)</f>
        <v>20</v>
      </c>
      <c r="P2897" s="15" t="n">
        <f aca="false">SUM(M2897:N2897)</f>
        <v>85</v>
      </c>
      <c r="Q2897" s="15" t="n">
        <f aca="false">IF(J2897=1,"",L2897-P2897)</f>
        <v>15</v>
      </c>
      <c r="R2897" s="15" t="n">
        <f aca="false">IF(OR(J2897=1,M2897&lt;=Inputs!$B$12),1,0)</f>
        <v>1</v>
      </c>
      <c r="S2897" s="15" t="n">
        <f aca="false">IF(OR(J2897=1,N2897&lt;=O2897),1,0)</f>
        <v>1</v>
      </c>
      <c r="T2897" s="15" t="str">
        <f aca="false">IF(J2897=1,"OFFLINE",IF(AND(Q2897&gt;=Inputs!$B$15,R2897=1,S2897=1,P2897&lt;=L2897),"PASS","FAIL"))</f>
        <v>PASS</v>
      </c>
    </row>
    <row r="2898" customFormat="false" ht="15" hidden="false" customHeight="false" outlineLevel="0" collapsed="false">
      <c r="A2898" s="14" t="s">
        <v>1049</v>
      </c>
      <c r="B2898" s="14" t="s">
        <v>1048</v>
      </c>
      <c r="C2898" s="14" t="s">
        <v>158</v>
      </c>
      <c r="D2898" s="14" t="s">
        <v>194</v>
      </c>
      <c r="E2898" s="14" t="s">
        <v>169</v>
      </c>
      <c r="F2898" s="14" t="s">
        <v>191</v>
      </c>
      <c r="G2898" s="14" t="n">
        <v>2</v>
      </c>
      <c r="H2898" s="14" t="s">
        <v>153</v>
      </c>
      <c r="I2898" s="14" t="s">
        <v>899</v>
      </c>
      <c r="J2898" s="15" t="n">
        <f aca="false">IF(B2898="SITE LOSS",IF(D2898=C2898,1,0),IF(B2898="REGION LOSS",IF(E2898=C2898,1,0),0))</f>
        <v>0</v>
      </c>
      <c r="K2898" s="15" t="n">
        <f aca="false">IF(B2898="SITE LOSS",IF(COUNTIFS('Site Dockets'!$B$7:$B$24,C2898,'Site Dockets'!$C$7:$C$24,F2898)&gt;0,1,0),IF(B2898="REGION LOSS",IF(COUNTIFS('Site Dockets'!$E$7:$E$24,C2898,'Site Dockets'!$C$7:$C$24,F2898)&gt;0,1,0),0))</f>
        <v>0</v>
      </c>
      <c r="L2898" s="15" t="n">
        <f aca="false">IF(J2898=1,0,Inputs!$B$11)</f>
        <v>100</v>
      </c>
      <c r="M2898" s="15" t="n">
        <f aca="false">IF(J2898=1,0,Inputs!$B$12)</f>
        <v>75</v>
      </c>
      <c r="N2898" s="15" t="n">
        <f aca="false">IF(J2898=1,0,IF(OR(AND(OR(B2898="SITE LOSS",B2898="REGION LOSS"),K2898=1),AND(B2898="ROLE COMPROMISE",H2898=C2898)),Inputs!$B$13,Inputs!$B$14))</f>
        <v>10</v>
      </c>
      <c r="O2898" s="15" t="n">
        <f aca="false">IF(J2898=1,0,Inputs!$B$13)</f>
        <v>20</v>
      </c>
      <c r="P2898" s="15" t="n">
        <f aca="false">SUM(M2898:N2898)</f>
        <v>85</v>
      </c>
      <c r="Q2898" s="15" t="n">
        <f aca="false">IF(J2898=1,"",L2898-P2898)</f>
        <v>15</v>
      </c>
      <c r="R2898" s="15" t="n">
        <f aca="false">IF(OR(J2898=1,M2898&lt;=Inputs!$B$12),1,0)</f>
        <v>1</v>
      </c>
      <c r="S2898" s="15" t="n">
        <f aca="false">IF(OR(J2898=1,N2898&lt;=O2898),1,0)</f>
        <v>1</v>
      </c>
      <c r="T2898" s="15" t="str">
        <f aca="false">IF(J2898=1,"OFFLINE",IF(AND(Q2898&gt;=Inputs!$B$15,R2898=1,S2898=1,P2898&lt;=L2898),"PASS","FAIL"))</f>
        <v>PASS</v>
      </c>
    </row>
    <row r="2899" customFormat="false" ht="15" hidden="false" customHeight="false" outlineLevel="0" collapsed="false">
      <c r="A2899" s="14" t="s">
        <v>1049</v>
      </c>
      <c r="B2899" s="14" t="s">
        <v>1048</v>
      </c>
      <c r="C2899" s="14" t="s">
        <v>158</v>
      </c>
      <c r="D2899" s="14" t="s">
        <v>196</v>
      </c>
      <c r="E2899" s="14" t="s">
        <v>172</v>
      </c>
      <c r="F2899" s="14" t="s">
        <v>191</v>
      </c>
      <c r="G2899" s="14" t="n">
        <v>3</v>
      </c>
      <c r="H2899" s="14" t="s">
        <v>158</v>
      </c>
      <c r="I2899" s="14" t="s">
        <v>890</v>
      </c>
      <c r="J2899" s="15" t="n">
        <f aca="false">IF(B2899="SITE LOSS",IF(D2899=C2899,1,0),IF(B2899="REGION LOSS",IF(E2899=C2899,1,0),0))</f>
        <v>0</v>
      </c>
      <c r="K2899" s="15" t="n">
        <f aca="false">IF(B2899="SITE LOSS",IF(COUNTIFS('Site Dockets'!$B$7:$B$24,C2899,'Site Dockets'!$C$7:$C$24,F2899)&gt;0,1,0),IF(B2899="REGION LOSS",IF(COUNTIFS('Site Dockets'!$E$7:$E$24,C2899,'Site Dockets'!$C$7:$C$24,F2899)&gt;0,1,0),0))</f>
        <v>0</v>
      </c>
      <c r="L2899" s="15" t="n">
        <f aca="false">IF(J2899=1,0,Inputs!$B$11)</f>
        <v>100</v>
      </c>
      <c r="M2899" s="15" t="n">
        <f aca="false">IF(J2899=1,0,Inputs!$B$12)</f>
        <v>75</v>
      </c>
      <c r="N2899" s="15" t="n">
        <f aca="false">IF(J2899=1,0,IF(OR(AND(OR(B2899="SITE LOSS",B2899="REGION LOSS"),K2899=1),AND(B2899="ROLE COMPROMISE",H2899=C2899)),Inputs!$B$13,Inputs!$B$14))</f>
        <v>20</v>
      </c>
      <c r="O2899" s="15" t="n">
        <f aca="false">IF(J2899=1,0,Inputs!$B$13)</f>
        <v>20</v>
      </c>
      <c r="P2899" s="15" t="n">
        <f aca="false">SUM(M2899:N2899)</f>
        <v>95</v>
      </c>
      <c r="Q2899" s="15" t="n">
        <f aca="false">IF(J2899=1,"",L2899-P2899)</f>
        <v>5</v>
      </c>
      <c r="R2899" s="15" t="n">
        <f aca="false">IF(OR(J2899=1,M2899&lt;=Inputs!$B$12),1,0)</f>
        <v>1</v>
      </c>
      <c r="S2899" s="15" t="n">
        <f aca="false">IF(OR(J2899=1,N2899&lt;=O2899),1,0)</f>
        <v>1</v>
      </c>
      <c r="T2899" s="15" t="str">
        <f aca="false">IF(J2899=1,"OFFLINE",IF(AND(Q2899&gt;=Inputs!$B$15,R2899=1,S2899=1,P2899&lt;=L2899),"PASS","FAIL"))</f>
        <v>PASS</v>
      </c>
    </row>
    <row r="2900" customFormat="false" ht="15" hidden="false" customHeight="false" outlineLevel="0" collapsed="false">
      <c r="A2900" s="14" t="s">
        <v>1049</v>
      </c>
      <c r="B2900" s="14" t="s">
        <v>1048</v>
      </c>
      <c r="C2900" s="14" t="s">
        <v>158</v>
      </c>
      <c r="D2900" s="14" t="s">
        <v>196</v>
      </c>
      <c r="E2900" s="14" t="s">
        <v>172</v>
      </c>
      <c r="F2900" s="14" t="s">
        <v>191</v>
      </c>
      <c r="G2900" s="14" t="n">
        <v>3</v>
      </c>
      <c r="H2900" s="14" t="s">
        <v>158</v>
      </c>
      <c r="I2900" s="14" t="s">
        <v>892</v>
      </c>
      <c r="J2900" s="15" t="n">
        <f aca="false">IF(B2900="SITE LOSS",IF(D2900=C2900,1,0),IF(B2900="REGION LOSS",IF(E2900=C2900,1,0),0))</f>
        <v>0</v>
      </c>
      <c r="K2900" s="15" t="n">
        <f aca="false">IF(B2900="SITE LOSS",IF(COUNTIFS('Site Dockets'!$B$7:$B$24,C2900,'Site Dockets'!$C$7:$C$24,F2900)&gt;0,1,0),IF(B2900="REGION LOSS",IF(COUNTIFS('Site Dockets'!$E$7:$E$24,C2900,'Site Dockets'!$C$7:$C$24,F2900)&gt;0,1,0),0))</f>
        <v>0</v>
      </c>
      <c r="L2900" s="15" t="n">
        <f aca="false">IF(J2900=1,0,Inputs!$B$11)</f>
        <v>100</v>
      </c>
      <c r="M2900" s="15" t="n">
        <f aca="false">IF(J2900=1,0,Inputs!$B$12)</f>
        <v>75</v>
      </c>
      <c r="N2900" s="15" t="n">
        <f aca="false">IF(J2900=1,0,IF(OR(AND(OR(B2900="SITE LOSS",B2900="REGION LOSS"),K2900=1),AND(B2900="ROLE COMPROMISE",H2900=C2900)),Inputs!$B$13,Inputs!$B$14))</f>
        <v>20</v>
      </c>
      <c r="O2900" s="15" t="n">
        <f aca="false">IF(J2900=1,0,Inputs!$B$13)</f>
        <v>20</v>
      </c>
      <c r="P2900" s="15" t="n">
        <f aca="false">SUM(M2900:N2900)</f>
        <v>95</v>
      </c>
      <c r="Q2900" s="15" t="n">
        <f aca="false">IF(J2900=1,"",L2900-P2900)</f>
        <v>5</v>
      </c>
      <c r="R2900" s="15" t="n">
        <f aca="false">IF(OR(J2900=1,M2900&lt;=Inputs!$B$12),1,0)</f>
        <v>1</v>
      </c>
      <c r="S2900" s="15" t="n">
        <f aca="false">IF(OR(J2900=1,N2900&lt;=O2900),1,0)</f>
        <v>1</v>
      </c>
      <c r="T2900" s="15" t="str">
        <f aca="false">IF(J2900=1,"OFFLINE",IF(AND(Q2900&gt;=Inputs!$B$15,R2900=1,S2900=1,P2900&lt;=L2900),"PASS","FAIL"))</f>
        <v>PASS</v>
      </c>
    </row>
    <row r="2901" customFormat="false" ht="15" hidden="false" customHeight="false" outlineLevel="0" collapsed="false">
      <c r="A2901" s="14" t="s">
        <v>1049</v>
      </c>
      <c r="B2901" s="14" t="s">
        <v>1048</v>
      </c>
      <c r="C2901" s="14" t="s">
        <v>158</v>
      </c>
      <c r="D2901" s="14" t="s">
        <v>196</v>
      </c>
      <c r="E2901" s="14" t="s">
        <v>172</v>
      </c>
      <c r="F2901" s="14" t="s">
        <v>191</v>
      </c>
      <c r="G2901" s="14" t="n">
        <v>3</v>
      </c>
      <c r="H2901" s="14" t="s">
        <v>158</v>
      </c>
      <c r="I2901" s="14" t="s">
        <v>811</v>
      </c>
      <c r="J2901" s="15" t="n">
        <f aca="false">IF(B2901="SITE LOSS",IF(D2901=C2901,1,0),IF(B2901="REGION LOSS",IF(E2901=C2901,1,0),0))</f>
        <v>0</v>
      </c>
      <c r="K2901" s="15" t="n">
        <f aca="false">IF(B2901="SITE LOSS",IF(COUNTIFS('Site Dockets'!$B$7:$B$24,C2901,'Site Dockets'!$C$7:$C$24,F2901)&gt;0,1,0),IF(B2901="REGION LOSS",IF(COUNTIFS('Site Dockets'!$E$7:$E$24,C2901,'Site Dockets'!$C$7:$C$24,F2901)&gt;0,1,0),0))</f>
        <v>0</v>
      </c>
      <c r="L2901" s="15" t="n">
        <f aca="false">IF(J2901=1,0,Inputs!$B$11)</f>
        <v>100</v>
      </c>
      <c r="M2901" s="15" t="n">
        <f aca="false">IF(J2901=1,0,Inputs!$B$12)</f>
        <v>75</v>
      </c>
      <c r="N2901" s="15" t="n">
        <f aca="false">IF(J2901=1,0,IF(OR(AND(OR(B2901="SITE LOSS",B2901="REGION LOSS"),K2901=1),AND(B2901="ROLE COMPROMISE",H2901=C2901)),Inputs!$B$13,Inputs!$B$14))</f>
        <v>20</v>
      </c>
      <c r="O2901" s="15" t="n">
        <f aca="false">IF(J2901=1,0,Inputs!$B$13)</f>
        <v>20</v>
      </c>
      <c r="P2901" s="15" t="n">
        <f aca="false">SUM(M2901:N2901)</f>
        <v>95</v>
      </c>
      <c r="Q2901" s="15" t="n">
        <f aca="false">IF(J2901=1,"",L2901-P2901)</f>
        <v>5</v>
      </c>
      <c r="R2901" s="15" t="n">
        <f aca="false">IF(OR(J2901=1,M2901&lt;=Inputs!$B$12),1,0)</f>
        <v>1</v>
      </c>
      <c r="S2901" s="15" t="n">
        <f aca="false">IF(OR(J2901=1,N2901&lt;=O2901),1,0)</f>
        <v>1</v>
      </c>
      <c r="T2901" s="15" t="str">
        <f aca="false">IF(J2901=1,"OFFLINE",IF(AND(Q2901&gt;=Inputs!$B$15,R2901=1,S2901=1,P2901&lt;=L2901),"PASS","FAIL"))</f>
        <v>PASS</v>
      </c>
    </row>
    <row r="2902" customFormat="false" ht="15" hidden="false" customHeight="false" outlineLevel="0" collapsed="false">
      <c r="A2902" s="14" t="s">
        <v>1049</v>
      </c>
      <c r="B2902" s="14" t="s">
        <v>1048</v>
      </c>
      <c r="C2902" s="14" t="s">
        <v>158</v>
      </c>
      <c r="D2902" s="14" t="s">
        <v>196</v>
      </c>
      <c r="E2902" s="14" t="s">
        <v>172</v>
      </c>
      <c r="F2902" s="14" t="s">
        <v>191</v>
      </c>
      <c r="G2902" s="14" t="n">
        <v>3</v>
      </c>
      <c r="H2902" s="14" t="s">
        <v>158</v>
      </c>
      <c r="I2902" s="14" t="s">
        <v>895</v>
      </c>
      <c r="J2902" s="15" t="n">
        <f aca="false">IF(B2902="SITE LOSS",IF(D2902=C2902,1,0),IF(B2902="REGION LOSS",IF(E2902=C2902,1,0),0))</f>
        <v>0</v>
      </c>
      <c r="K2902" s="15" t="n">
        <f aca="false">IF(B2902="SITE LOSS",IF(COUNTIFS('Site Dockets'!$B$7:$B$24,C2902,'Site Dockets'!$C$7:$C$24,F2902)&gt;0,1,0),IF(B2902="REGION LOSS",IF(COUNTIFS('Site Dockets'!$E$7:$E$24,C2902,'Site Dockets'!$C$7:$C$24,F2902)&gt;0,1,0),0))</f>
        <v>0</v>
      </c>
      <c r="L2902" s="15" t="n">
        <f aca="false">IF(J2902=1,0,Inputs!$B$11)</f>
        <v>100</v>
      </c>
      <c r="M2902" s="15" t="n">
        <f aca="false">IF(J2902=1,0,Inputs!$B$12)</f>
        <v>75</v>
      </c>
      <c r="N2902" s="15" t="n">
        <f aca="false">IF(J2902=1,0,IF(OR(AND(OR(B2902="SITE LOSS",B2902="REGION LOSS"),K2902=1),AND(B2902="ROLE COMPROMISE",H2902=C2902)),Inputs!$B$13,Inputs!$B$14))</f>
        <v>20</v>
      </c>
      <c r="O2902" s="15" t="n">
        <f aca="false">IF(J2902=1,0,Inputs!$B$13)</f>
        <v>20</v>
      </c>
      <c r="P2902" s="15" t="n">
        <f aca="false">SUM(M2902:N2902)</f>
        <v>95</v>
      </c>
      <c r="Q2902" s="15" t="n">
        <f aca="false">IF(J2902=1,"",L2902-P2902)</f>
        <v>5</v>
      </c>
      <c r="R2902" s="15" t="n">
        <f aca="false">IF(OR(J2902=1,M2902&lt;=Inputs!$B$12),1,0)</f>
        <v>1</v>
      </c>
      <c r="S2902" s="15" t="n">
        <f aca="false">IF(OR(J2902=1,N2902&lt;=O2902),1,0)</f>
        <v>1</v>
      </c>
      <c r="T2902" s="15" t="str">
        <f aca="false">IF(J2902=1,"OFFLINE",IF(AND(Q2902&gt;=Inputs!$B$15,R2902=1,S2902=1,P2902&lt;=L2902),"PASS","FAIL"))</f>
        <v>PASS</v>
      </c>
    </row>
    <row r="2903" customFormat="false" ht="15" hidden="false" customHeight="false" outlineLevel="0" collapsed="false">
      <c r="A2903" s="14" t="s">
        <v>1049</v>
      </c>
      <c r="B2903" s="14" t="s">
        <v>1048</v>
      </c>
      <c r="C2903" s="14" t="s">
        <v>158</v>
      </c>
      <c r="D2903" s="14" t="s">
        <v>196</v>
      </c>
      <c r="E2903" s="14" t="s">
        <v>172</v>
      </c>
      <c r="F2903" s="14" t="s">
        <v>191</v>
      </c>
      <c r="G2903" s="14" t="n">
        <v>3</v>
      </c>
      <c r="H2903" s="14" t="s">
        <v>158</v>
      </c>
      <c r="I2903" s="14" t="s">
        <v>897</v>
      </c>
      <c r="J2903" s="15" t="n">
        <f aca="false">IF(B2903="SITE LOSS",IF(D2903=C2903,1,0),IF(B2903="REGION LOSS",IF(E2903=C2903,1,0),0))</f>
        <v>0</v>
      </c>
      <c r="K2903" s="15" t="n">
        <f aca="false">IF(B2903="SITE LOSS",IF(COUNTIFS('Site Dockets'!$B$7:$B$24,C2903,'Site Dockets'!$C$7:$C$24,F2903)&gt;0,1,0),IF(B2903="REGION LOSS",IF(COUNTIFS('Site Dockets'!$E$7:$E$24,C2903,'Site Dockets'!$C$7:$C$24,F2903)&gt;0,1,0),0))</f>
        <v>0</v>
      </c>
      <c r="L2903" s="15" t="n">
        <f aca="false">IF(J2903=1,0,Inputs!$B$11)</f>
        <v>100</v>
      </c>
      <c r="M2903" s="15" t="n">
        <f aca="false">IF(J2903=1,0,Inputs!$B$12)</f>
        <v>75</v>
      </c>
      <c r="N2903" s="15" t="n">
        <f aca="false">IF(J2903=1,0,IF(OR(AND(OR(B2903="SITE LOSS",B2903="REGION LOSS"),K2903=1),AND(B2903="ROLE COMPROMISE",H2903=C2903)),Inputs!$B$13,Inputs!$B$14))</f>
        <v>20</v>
      </c>
      <c r="O2903" s="15" t="n">
        <f aca="false">IF(J2903=1,0,Inputs!$B$13)</f>
        <v>20</v>
      </c>
      <c r="P2903" s="15" t="n">
        <f aca="false">SUM(M2903:N2903)</f>
        <v>95</v>
      </c>
      <c r="Q2903" s="15" t="n">
        <f aca="false">IF(J2903=1,"",L2903-P2903)</f>
        <v>5</v>
      </c>
      <c r="R2903" s="15" t="n">
        <f aca="false">IF(OR(J2903=1,M2903&lt;=Inputs!$B$12),1,0)</f>
        <v>1</v>
      </c>
      <c r="S2903" s="15" t="n">
        <f aca="false">IF(OR(J2903=1,N2903&lt;=O2903),1,0)</f>
        <v>1</v>
      </c>
      <c r="T2903" s="15" t="str">
        <f aca="false">IF(J2903=1,"OFFLINE",IF(AND(Q2903&gt;=Inputs!$B$15,R2903=1,S2903=1,P2903&lt;=L2903),"PASS","FAIL"))</f>
        <v>PASS</v>
      </c>
    </row>
    <row r="2904" customFormat="false" ht="15" hidden="false" customHeight="false" outlineLevel="0" collapsed="false">
      <c r="A2904" s="14" t="s">
        <v>1049</v>
      </c>
      <c r="B2904" s="14" t="s">
        <v>1048</v>
      </c>
      <c r="C2904" s="14" t="s">
        <v>158</v>
      </c>
      <c r="D2904" s="14" t="s">
        <v>196</v>
      </c>
      <c r="E2904" s="14" t="s">
        <v>172</v>
      </c>
      <c r="F2904" s="14" t="s">
        <v>191</v>
      </c>
      <c r="G2904" s="14" t="n">
        <v>3</v>
      </c>
      <c r="H2904" s="14" t="s">
        <v>158</v>
      </c>
      <c r="I2904" s="14" t="s">
        <v>899</v>
      </c>
      <c r="J2904" s="15" t="n">
        <f aca="false">IF(B2904="SITE LOSS",IF(D2904=C2904,1,0),IF(B2904="REGION LOSS",IF(E2904=C2904,1,0),0))</f>
        <v>0</v>
      </c>
      <c r="K2904" s="15" t="n">
        <f aca="false">IF(B2904="SITE LOSS",IF(COUNTIFS('Site Dockets'!$B$7:$B$24,C2904,'Site Dockets'!$C$7:$C$24,F2904)&gt;0,1,0),IF(B2904="REGION LOSS",IF(COUNTIFS('Site Dockets'!$E$7:$E$24,C2904,'Site Dockets'!$C$7:$C$24,F2904)&gt;0,1,0),0))</f>
        <v>0</v>
      </c>
      <c r="L2904" s="15" t="n">
        <f aca="false">IF(J2904=1,0,Inputs!$B$11)</f>
        <v>100</v>
      </c>
      <c r="M2904" s="15" t="n">
        <f aca="false">IF(J2904=1,0,Inputs!$B$12)</f>
        <v>75</v>
      </c>
      <c r="N2904" s="15" t="n">
        <f aca="false">IF(J2904=1,0,IF(OR(AND(OR(B2904="SITE LOSS",B2904="REGION LOSS"),K2904=1),AND(B2904="ROLE COMPROMISE",H2904=C2904)),Inputs!$B$13,Inputs!$B$14))</f>
        <v>20</v>
      </c>
      <c r="O2904" s="15" t="n">
        <f aca="false">IF(J2904=1,0,Inputs!$B$13)</f>
        <v>20</v>
      </c>
      <c r="P2904" s="15" t="n">
        <f aca="false">SUM(M2904:N2904)</f>
        <v>95</v>
      </c>
      <c r="Q2904" s="15" t="n">
        <f aca="false">IF(J2904=1,"",L2904-P2904)</f>
        <v>5</v>
      </c>
      <c r="R2904" s="15" t="n">
        <f aca="false">IF(OR(J2904=1,M2904&lt;=Inputs!$B$12),1,0)</f>
        <v>1</v>
      </c>
      <c r="S2904" s="15" t="n">
        <f aca="false">IF(OR(J2904=1,N2904&lt;=O2904),1,0)</f>
        <v>1</v>
      </c>
      <c r="T2904" s="15" t="str">
        <f aca="false">IF(J2904=1,"OFFLINE",IF(AND(Q2904&gt;=Inputs!$B$15,R2904=1,S2904=1,P2904&lt;=L2904),"PASS","FAIL"))</f>
        <v>PASS</v>
      </c>
    </row>
    <row r="2905" customFormat="false" ht="15" hidden="false" customHeight="false" outlineLevel="0" collapsed="false">
      <c r="A2905" s="14" t="s">
        <v>1049</v>
      </c>
      <c r="B2905" s="14" t="s">
        <v>1048</v>
      </c>
      <c r="C2905" s="14" t="s">
        <v>158</v>
      </c>
      <c r="D2905" s="14" t="s">
        <v>198</v>
      </c>
      <c r="E2905" s="14" t="s">
        <v>166</v>
      </c>
      <c r="F2905" s="14" t="s">
        <v>199</v>
      </c>
      <c r="G2905" s="14" t="n">
        <v>1</v>
      </c>
      <c r="H2905" s="14" t="s">
        <v>154</v>
      </c>
      <c r="I2905" s="14" t="s">
        <v>890</v>
      </c>
      <c r="J2905" s="15" t="n">
        <f aca="false">IF(B2905="SITE LOSS",IF(D2905=C2905,1,0),IF(B2905="REGION LOSS",IF(E2905=C2905,1,0),0))</f>
        <v>0</v>
      </c>
      <c r="K2905" s="15" t="n">
        <f aca="false">IF(B2905="SITE LOSS",IF(COUNTIFS('Site Dockets'!$B$7:$B$24,C2905,'Site Dockets'!$C$7:$C$24,F2905)&gt;0,1,0),IF(B2905="REGION LOSS",IF(COUNTIFS('Site Dockets'!$E$7:$E$24,C2905,'Site Dockets'!$C$7:$C$24,F2905)&gt;0,1,0),0))</f>
        <v>0</v>
      </c>
      <c r="L2905" s="15" t="n">
        <f aca="false">IF(J2905=1,0,Inputs!$B$11)</f>
        <v>100</v>
      </c>
      <c r="M2905" s="15" t="n">
        <f aca="false">IF(J2905=1,0,Inputs!$B$12)</f>
        <v>75</v>
      </c>
      <c r="N2905" s="15" t="n">
        <f aca="false">IF(J2905=1,0,IF(OR(AND(OR(B2905="SITE LOSS",B2905="REGION LOSS"),K2905=1),AND(B2905="ROLE COMPROMISE",H2905=C2905)),Inputs!$B$13,Inputs!$B$14))</f>
        <v>10</v>
      </c>
      <c r="O2905" s="15" t="n">
        <f aca="false">IF(J2905=1,0,Inputs!$B$13)</f>
        <v>20</v>
      </c>
      <c r="P2905" s="15" t="n">
        <f aca="false">SUM(M2905:N2905)</f>
        <v>85</v>
      </c>
      <c r="Q2905" s="15" t="n">
        <f aca="false">IF(J2905=1,"",L2905-P2905)</f>
        <v>15</v>
      </c>
      <c r="R2905" s="15" t="n">
        <f aca="false">IF(OR(J2905=1,M2905&lt;=Inputs!$B$12),1,0)</f>
        <v>1</v>
      </c>
      <c r="S2905" s="15" t="n">
        <f aca="false">IF(OR(J2905=1,N2905&lt;=O2905),1,0)</f>
        <v>1</v>
      </c>
      <c r="T2905" s="15" t="str">
        <f aca="false">IF(J2905=1,"OFFLINE",IF(AND(Q2905&gt;=Inputs!$B$15,R2905=1,S2905=1,P2905&lt;=L2905),"PASS","FAIL"))</f>
        <v>PASS</v>
      </c>
    </row>
    <row r="2906" customFormat="false" ht="15" hidden="false" customHeight="false" outlineLevel="0" collapsed="false">
      <c r="A2906" s="14" t="s">
        <v>1049</v>
      </c>
      <c r="B2906" s="14" t="s">
        <v>1048</v>
      </c>
      <c r="C2906" s="14" t="s">
        <v>158</v>
      </c>
      <c r="D2906" s="14" t="s">
        <v>198</v>
      </c>
      <c r="E2906" s="14" t="s">
        <v>166</v>
      </c>
      <c r="F2906" s="14" t="s">
        <v>199</v>
      </c>
      <c r="G2906" s="14" t="n">
        <v>1</v>
      </c>
      <c r="H2906" s="14" t="s">
        <v>154</v>
      </c>
      <c r="I2906" s="14" t="s">
        <v>892</v>
      </c>
      <c r="J2906" s="15" t="n">
        <f aca="false">IF(B2906="SITE LOSS",IF(D2906=C2906,1,0),IF(B2906="REGION LOSS",IF(E2906=C2906,1,0),0))</f>
        <v>0</v>
      </c>
      <c r="K2906" s="15" t="n">
        <f aca="false">IF(B2906="SITE LOSS",IF(COUNTIFS('Site Dockets'!$B$7:$B$24,C2906,'Site Dockets'!$C$7:$C$24,F2906)&gt;0,1,0),IF(B2906="REGION LOSS",IF(COUNTIFS('Site Dockets'!$E$7:$E$24,C2906,'Site Dockets'!$C$7:$C$24,F2906)&gt;0,1,0),0))</f>
        <v>0</v>
      </c>
      <c r="L2906" s="15" t="n">
        <f aca="false">IF(J2906=1,0,Inputs!$B$11)</f>
        <v>100</v>
      </c>
      <c r="M2906" s="15" t="n">
        <f aca="false">IF(J2906=1,0,Inputs!$B$12)</f>
        <v>75</v>
      </c>
      <c r="N2906" s="15" t="n">
        <f aca="false">IF(J2906=1,0,IF(OR(AND(OR(B2906="SITE LOSS",B2906="REGION LOSS"),K2906=1),AND(B2906="ROLE COMPROMISE",H2906=C2906)),Inputs!$B$13,Inputs!$B$14))</f>
        <v>10</v>
      </c>
      <c r="O2906" s="15" t="n">
        <f aca="false">IF(J2906=1,0,Inputs!$B$13)</f>
        <v>20</v>
      </c>
      <c r="P2906" s="15" t="n">
        <f aca="false">SUM(M2906:N2906)</f>
        <v>85</v>
      </c>
      <c r="Q2906" s="15" t="n">
        <f aca="false">IF(J2906=1,"",L2906-P2906)</f>
        <v>15</v>
      </c>
      <c r="R2906" s="15" t="n">
        <f aca="false">IF(OR(J2906=1,M2906&lt;=Inputs!$B$12),1,0)</f>
        <v>1</v>
      </c>
      <c r="S2906" s="15" t="n">
        <f aca="false">IF(OR(J2906=1,N2906&lt;=O2906),1,0)</f>
        <v>1</v>
      </c>
      <c r="T2906" s="15" t="str">
        <f aca="false">IF(J2906=1,"OFFLINE",IF(AND(Q2906&gt;=Inputs!$B$15,R2906=1,S2906=1,P2906&lt;=L2906),"PASS","FAIL"))</f>
        <v>PASS</v>
      </c>
    </row>
    <row r="2907" customFormat="false" ht="15" hidden="false" customHeight="false" outlineLevel="0" collapsed="false">
      <c r="A2907" s="14" t="s">
        <v>1049</v>
      </c>
      <c r="B2907" s="14" t="s">
        <v>1048</v>
      </c>
      <c r="C2907" s="14" t="s">
        <v>158</v>
      </c>
      <c r="D2907" s="14" t="s">
        <v>198</v>
      </c>
      <c r="E2907" s="14" t="s">
        <v>166</v>
      </c>
      <c r="F2907" s="14" t="s">
        <v>199</v>
      </c>
      <c r="G2907" s="14" t="n">
        <v>1</v>
      </c>
      <c r="H2907" s="14" t="s">
        <v>154</v>
      </c>
      <c r="I2907" s="14" t="s">
        <v>811</v>
      </c>
      <c r="J2907" s="15" t="n">
        <f aca="false">IF(B2907="SITE LOSS",IF(D2907=C2907,1,0),IF(B2907="REGION LOSS",IF(E2907=C2907,1,0),0))</f>
        <v>0</v>
      </c>
      <c r="K2907" s="15" t="n">
        <f aca="false">IF(B2907="SITE LOSS",IF(COUNTIFS('Site Dockets'!$B$7:$B$24,C2907,'Site Dockets'!$C$7:$C$24,F2907)&gt;0,1,0),IF(B2907="REGION LOSS",IF(COUNTIFS('Site Dockets'!$E$7:$E$24,C2907,'Site Dockets'!$C$7:$C$24,F2907)&gt;0,1,0),0))</f>
        <v>0</v>
      </c>
      <c r="L2907" s="15" t="n">
        <f aca="false">IF(J2907=1,0,Inputs!$B$11)</f>
        <v>100</v>
      </c>
      <c r="M2907" s="15" t="n">
        <f aca="false">IF(J2907=1,0,Inputs!$B$12)</f>
        <v>75</v>
      </c>
      <c r="N2907" s="15" t="n">
        <f aca="false">IF(J2907=1,0,IF(OR(AND(OR(B2907="SITE LOSS",B2907="REGION LOSS"),K2907=1),AND(B2907="ROLE COMPROMISE",H2907=C2907)),Inputs!$B$13,Inputs!$B$14))</f>
        <v>10</v>
      </c>
      <c r="O2907" s="15" t="n">
        <f aca="false">IF(J2907=1,0,Inputs!$B$13)</f>
        <v>20</v>
      </c>
      <c r="P2907" s="15" t="n">
        <f aca="false">SUM(M2907:N2907)</f>
        <v>85</v>
      </c>
      <c r="Q2907" s="15" t="n">
        <f aca="false">IF(J2907=1,"",L2907-P2907)</f>
        <v>15</v>
      </c>
      <c r="R2907" s="15" t="n">
        <f aca="false">IF(OR(J2907=1,M2907&lt;=Inputs!$B$12),1,0)</f>
        <v>1</v>
      </c>
      <c r="S2907" s="15" t="n">
        <f aca="false">IF(OR(J2907=1,N2907&lt;=O2907),1,0)</f>
        <v>1</v>
      </c>
      <c r="T2907" s="15" t="str">
        <f aca="false">IF(J2907=1,"OFFLINE",IF(AND(Q2907&gt;=Inputs!$B$15,R2907=1,S2907=1,P2907&lt;=L2907),"PASS","FAIL"))</f>
        <v>PASS</v>
      </c>
    </row>
    <row r="2908" customFormat="false" ht="15" hidden="false" customHeight="false" outlineLevel="0" collapsed="false">
      <c r="A2908" s="14" t="s">
        <v>1049</v>
      </c>
      <c r="B2908" s="14" t="s">
        <v>1048</v>
      </c>
      <c r="C2908" s="14" t="s">
        <v>158</v>
      </c>
      <c r="D2908" s="14" t="s">
        <v>198</v>
      </c>
      <c r="E2908" s="14" t="s">
        <v>166</v>
      </c>
      <c r="F2908" s="14" t="s">
        <v>199</v>
      </c>
      <c r="G2908" s="14" t="n">
        <v>1</v>
      </c>
      <c r="H2908" s="14" t="s">
        <v>154</v>
      </c>
      <c r="I2908" s="14" t="s">
        <v>895</v>
      </c>
      <c r="J2908" s="15" t="n">
        <f aca="false">IF(B2908="SITE LOSS",IF(D2908=C2908,1,0),IF(B2908="REGION LOSS",IF(E2908=C2908,1,0),0))</f>
        <v>0</v>
      </c>
      <c r="K2908" s="15" t="n">
        <f aca="false">IF(B2908="SITE LOSS",IF(COUNTIFS('Site Dockets'!$B$7:$B$24,C2908,'Site Dockets'!$C$7:$C$24,F2908)&gt;0,1,0),IF(B2908="REGION LOSS",IF(COUNTIFS('Site Dockets'!$E$7:$E$24,C2908,'Site Dockets'!$C$7:$C$24,F2908)&gt;0,1,0),0))</f>
        <v>0</v>
      </c>
      <c r="L2908" s="15" t="n">
        <f aca="false">IF(J2908=1,0,Inputs!$B$11)</f>
        <v>100</v>
      </c>
      <c r="M2908" s="15" t="n">
        <f aca="false">IF(J2908=1,0,Inputs!$B$12)</f>
        <v>75</v>
      </c>
      <c r="N2908" s="15" t="n">
        <f aca="false">IF(J2908=1,0,IF(OR(AND(OR(B2908="SITE LOSS",B2908="REGION LOSS"),K2908=1),AND(B2908="ROLE COMPROMISE",H2908=C2908)),Inputs!$B$13,Inputs!$B$14))</f>
        <v>10</v>
      </c>
      <c r="O2908" s="15" t="n">
        <f aca="false">IF(J2908=1,0,Inputs!$B$13)</f>
        <v>20</v>
      </c>
      <c r="P2908" s="15" t="n">
        <f aca="false">SUM(M2908:N2908)</f>
        <v>85</v>
      </c>
      <c r="Q2908" s="15" t="n">
        <f aca="false">IF(J2908=1,"",L2908-P2908)</f>
        <v>15</v>
      </c>
      <c r="R2908" s="15" t="n">
        <f aca="false">IF(OR(J2908=1,M2908&lt;=Inputs!$B$12),1,0)</f>
        <v>1</v>
      </c>
      <c r="S2908" s="15" t="n">
        <f aca="false">IF(OR(J2908=1,N2908&lt;=O2908),1,0)</f>
        <v>1</v>
      </c>
      <c r="T2908" s="15" t="str">
        <f aca="false">IF(J2908=1,"OFFLINE",IF(AND(Q2908&gt;=Inputs!$B$15,R2908=1,S2908=1,P2908&lt;=L2908),"PASS","FAIL"))</f>
        <v>PASS</v>
      </c>
    </row>
    <row r="2909" customFormat="false" ht="15" hidden="false" customHeight="false" outlineLevel="0" collapsed="false">
      <c r="A2909" s="14" t="s">
        <v>1049</v>
      </c>
      <c r="B2909" s="14" t="s">
        <v>1048</v>
      </c>
      <c r="C2909" s="14" t="s">
        <v>158</v>
      </c>
      <c r="D2909" s="14" t="s">
        <v>198</v>
      </c>
      <c r="E2909" s="14" t="s">
        <v>166</v>
      </c>
      <c r="F2909" s="14" t="s">
        <v>199</v>
      </c>
      <c r="G2909" s="14" t="n">
        <v>1</v>
      </c>
      <c r="H2909" s="14" t="s">
        <v>154</v>
      </c>
      <c r="I2909" s="14" t="s">
        <v>897</v>
      </c>
      <c r="J2909" s="15" t="n">
        <f aca="false">IF(B2909="SITE LOSS",IF(D2909=C2909,1,0),IF(B2909="REGION LOSS",IF(E2909=C2909,1,0),0))</f>
        <v>0</v>
      </c>
      <c r="K2909" s="15" t="n">
        <f aca="false">IF(B2909="SITE LOSS",IF(COUNTIFS('Site Dockets'!$B$7:$B$24,C2909,'Site Dockets'!$C$7:$C$24,F2909)&gt;0,1,0),IF(B2909="REGION LOSS",IF(COUNTIFS('Site Dockets'!$E$7:$E$24,C2909,'Site Dockets'!$C$7:$C$24,F2909)&gt;0,1,0),0))</f>
        <v>0</v>
      </c>
      <c r="L2909" s="15" t="n">
        <f aca="false">IF(J2909=1,0,Inputs!$B$11)</f>
        <v>100</v>
      </c>
      <c r="M2909" s="15" t="n">
        <f aca="false">IF(J2909=1,0,Inputs!$B$12)</f>
        <v>75</v>
      </c>
      <c r="N2909" s="15" t="n">
        <f aca="false">IF(J2909=1,0,IF(OR(AND(OR(B2909="SITE LOSS",B2909="REGION LOSS"),K2909=1),AND(B2909="ROLE COMPROMISE",H2909=C2909)),Inputs!$B$13,Inputs!$B$14))</f>
        <v>10</v>
      </c>
      <c r="O2909" s="15" t="n">
        <f aca="false">IF(J2909=1,0,Inputs!$B$13)</f>
        <v>20</v>
      </c>
      <c r="P2909" s="15" t="n">
        <f aca="false">SUM(M2909:N2909)</f>
        <v>85</v>
      </c>
      <c r="Q2909" s="15" t="n">
        <f aca="false">IF(J2909=1,"",L2909-P2909)</f>
        <v>15</v>
      </c>
      <c r="R2909" s="15" t="n">
        <f aca="false">IF(OR(J2909=1,M2909&lt;=Inputs!$B$12),1,0)</f>
        <v>1</v>
      </c>
      <c r="S2909" s="15" t="n">
        <f aca="false">IF(OR(J2909=1,N2909&lt;=O2909),1,0)</f>
        <v>1</v>
      </c>
      <c r="T2909" s="15" t="str">
        <f aca="false">IF(J2909=1,"OFFLINE",IF(AND(Q2909&gt;=Inputs!$B$15,R2909=1,S2909=1,P2909&lt;=L2909),"PASS","FAIL"))</f>
        <v>PASS</v>
      </c>
    </row>
    <row r="2910" customFormat="false" ht="15" hidden="false" customHeight="false" outlineLevel="0" collapsed="false">
      <c r="A2910" s="14" t="s">
        <v>1049</v>
      </c>
      <c r="B2910" s="14" t="s">
        <v>1048</v>
      </c>
      <c r="C2910" s="14" t="s">
        <v>158</v>
      </c>
      <c r="D2910" s="14" t="s">
        <v>198</v>
      </c>
      <c r="E2910" s="14" t="s">
        <v>166</v>
      </c>
      <c r="F2910" s="14" t="s">
        <v>199</v>
      </c>
      <c r="G2910" s="14" t="n">
        <v>1</v>
      </c>
      <c r="H2910" s="14" t="s">
        <v>154</v>
      </c>
      <c r="I2910" s="14" t="s">
        <v>899</v>
      </c>
      <c r="J2910" s="15" t="n">
        <f aca="false">IF(B2910="SITE LOSS",IF(D2910=C2910,1,0),IF(B2910="REGION LOSS",IF(E2910=C2910,1,0),0))</f>
        <v>0</v>
      </c>
      <c r="K2910" s="15" t="n">
        <f aca="false">IF(B2910="SITE LOSS",IF(COUNTIFS('Site Dockets'!$B$7:$B$24,C2910,'Site Dockets'!$C$7:$C$24,F2910)&gt;0,1,0),IF(B2910="REGION LOSS",IF(COUNTIFS('Site Dockets'!$E$7:$E$24,C2910,'Site Dockets'!$C$7:$C$24,F2910)&gt;0,1,0),0))</f>
        <v>0</v>
      </c>
      <c r="L2910" s="15" t="n">
        <f aca="false">IF(J2910=1,0,Inputs!$B$11)</f>
        <v>100</v>
      </c>
      <c r="M2910" s="15" t="n">
        <f aca="false">IF(J2910=1,0,Inputs!$B$12)</f>
        <v>75</v>
      </c>
      <c r="N2910" s="15" t="n">
        <f aca="false">IF(J2910=1,0,IF(OR(AND(OR(B2910="SITE LOSS",B2910="REGION LOSS"),K2910=1),AND(B2910="ROLE COMPROMISE",H2910=C2910)),Inputs!$B$13,Inputs!$B$14))</f>
        <v>10</v>
      </c>
      <c r="O2910" s="15" t="n">
        <f aca="false">IF(J2910=1,0,Inputs!$B$13)</f>
        <v>20</v>
      </c>
      <c r="P2910" s="15" t="n">
        <f aca="false">SUM(M2910:N2910)</f>
        <v>85</v>
      </c>
      <c r="Q2910" s="15" t="n">
        <f aca="false">IF(J2910=1,"",L2910-P2910)</f>
        <v>15</v>
      </c>
      <c r="R2910" s="15" t="n">
        <f aca="false">IF(OR(J2910=1,M2910&lt;=Inputs!$B$12),1,0)</f>
        <v>1</v>
      </c>
      <c r="S2910" s="15" t="n">
        <f aca="false">IF(OR(J2910=1,N2910&lt;=O2910),1,0)</f>
        <v>1</v>
      </c>
      <c r="T2910" s="15" t="str">
        <f aca="false">IF(J2910=1,"OFFLINE",IF(AND(Q2910&gt;=Inputs!$B$15,R2910=1,S2910=1,P2910&lt;=L2910),"PASS","FAIL"))</f>
        <v>PASS</v>
      </c>
    </row>
    <row r="2911" customFormat="false" ht="15" hidden="false" customHeight="false" outlineLevel="0" collapsed="false">
      <c r="A2911" s="14" t="s">
        <v>1049</v>
      </c>
      <c r="B2911" s="14" t="s">
        <v>1048</v>
      </c>
      <c r="C2911" s="14" t="s">
        <v>158</v>
      </c>
      <c r="D2911" s="14" t="s">
        <v>202</v>
      </c>
      <c r="E2911" s="14" t="s">
        <v>157</v>
      </c>
      <c r="F2911" s="14" t="s">
        <v>199</v>
      </c>
      <c r="G2911" s="14" t="n">
        <v>2</v>
      </c>
      <c r="H2911" s="14" t="s">
        <v>153</v>
      </c>
      <c r="I2911" s="14" t="s">
        <v>890</v>
      </c>
      <c r="J2911" s="15" t="n">
        <f aca="false">IF(B2911="SITE LOSS",IF(D2911=C2911,1,0),IF(B2911="REGION LOSS",IF(E2911=C2911,1,0),0))</f>
        <v>0</v>
      </c>
      <c r="K2911" s="15" t="n">
        <f aca="false">IF(B2911="SITE LOSS",IF(COUNTIFS('Site Dockets'!$B$7:$B$24,C2911,'Site Dockets'!$C$7:$C$24,F2911)&gt;0,1,0),IF(B2911="REGION LOSS",IF(COUNTIFS('Site Dockets'!$E$7:$E$24,C2911,'Site Dockets'!$C$7:$C$24,F2911)&gt;0,1,0),0))</f>
        <v>0</v>
      </c>
      <c r="L2911" s="15" t="n">
        <f aca="false">IF(J2911=1,0,Inputs!$B$11)</f>
        <v>100</v>
      </c>
      <c r="M2911" s="15" t="n">
        <f aca="false">IF(J2911=1,0,Inputs!$B$12)</f>
        <v>75</v>
      </c>
      <c r="N2911" s="15" t="n">
        <f aca="false">IF(J2911=1,0,IF(OR(AND(OR(B2911="SITE LOSS",B2911="REGION LOSS"),K2911=1),AND(B2911="ROLE COMPROMISE",H2911=C2911)),Inputs!$B$13,Inputs!$B$14))</f>
        <v>10</v>
      </c>
      <c r="O2911" s="15" t="n">
        <f aca="false">IF(J2911=1,0,Inputs!$B$13)</f>
        <v>20</v>
      </c>
      <c r="P2911" s="15" t="n">
        <f aca="false">SUM(M2911:N2911)</f>
        <v>85</v>
      </c>
      <c r="Q2911" s="15" t="n">
        <f aca="false">IF(J2911=1,"",L2911-P2911)</f>
        <v>15</v>
      </c>
      <c r="R2911" s="15" t="n">
        <f aca="false">IF(OR(J2911=1,M2911&lt;=Inputs!$B$12),1,0)</f>
        <v>1</v>
      </c>
      <c r="S2911" s="15" t="n">
        <f aca="false">IF(OR(J2911=1,N2911&lt;=O2911),1,0)</f>
        <v>1</v>
      </c>
      <c r="T2911" s="15" t="str">
        <f aca="false">IF(J2911=1,"OFFLINE",IF(AND(Q2911&gt;=Inputs!$B$15,R2911=1,S2911=1,P2911&lt;=L2911),"PASS","FAIL"))</f>
        <v>PASS</v>
      </c>
    </row>
    <row r="2912" customFormat="false" ht="15" hidden="false" customHeight="false" outlineLevel="0" collapsed="false">
      <c r="A2912" s="14" t="s">
        <v>1049</v>
      </c>
      <c r="B2912" s="14" t="s">
        <v>1048</v>
      </c>
      <c r="C2912" s="14" t="s">
        <v>158</v>
      </c>
      <c r="D2912" s="14" t="s">
        <v>202</v>
      </c>
      <c r="E2912" s="14" t="s">
        <v>157</v>
      </c>
      <c r="F2912" s="14" t="s">
        <v>199</v>
      </c>
      <c r="G2912" s="14" t="n">
        <v>2</v>
      </c>
      <c r="H2912" s="14" t="s">
        <v>153</v>
      </c>
      <c r="I2912" s="14" t="s">
        <v>892</v>
      </c>
      <c r="J2912" s="15" t="n">
        <f aca="false">IF(B2912="SITE LOSS",IF(D2912=C2912,1,0),IF(B2912="REGION LOSS",IF(E2912=C2912,1,0),0))</f>
        <v>0</v>
      </c>
      <c r="K2912" s="15" t="n">
        <f aca="false">IF(B2912="SITE LOSS",IF(COUNTIFS('Site Dockets'!$B$7:$B$24,C2912,'Site Dockets'!$C$7:$C$24,F2912)&gt;0,1,0),IF(B2912="REGION LOSS",IF(COUNTIFS('Site Dockets'!$E$7:$E$24,C2912,'Site Dockets'!$C$7:$C$24,F2912)&gt;0,1,0),0))</f>
        <v>0</v>
      </c>
      <c r="L2912" s="15" t="n">
        <f aca="false">IF(J2912=1,0,Inputs!$B$11)</f>
        <v>100</v>
      </c>
      <c r="M2912" s="15" t="n">
        <f aca="false">IF(J2912=1,0,Inputs!$B$12)</f>
        <v>75</v>
      </c>
      <c r="N2912" s="15" t="n">
        <f aca="false">IF(J2912=1,0,IF(OR(AND(OR(B2912="SITE LOSS",B2912="REGION LOSS"),K2912=1),AND(B2912="ROLE COMPROMISE",H2912=C2912)),Inputs!$B$13,Inputs!$B$14))</f>
        <v>10</v>
      </c>
      <c r="O2912" s="15" t="n">
        <f aca="false">IF(J2912=1,0,Inputs!$B$13)</f>
        <v>20</v>
      </c>
      <c r="P2912" s="15" t="n">
        <f aca="false">SUM(M2912:N2912)</f>
        <v>85</v>
      </c>
      <c r="Q2912" s="15" t="n">
        <f aca="false">IF(J2912=1,"",L2912-P2912)</f>
        <v>15</v>
      </c>
      <c r="R2912" s="15" t="n">
        <f aca="false">IF(OR(J2912=1,M2912&lt;=Inputs!$B$12),1,0)</f>
        <v>1</v>
      </c>
      <c r="S2912" s="15" t="n">
        <f aca="false">IF(OR(J2912=1,N2912&lt;=O2912),1,0)</f>
        <v>1</v>
      </c>
      <c r="T2912" s="15" t="str">
        <f aca="false">IF(J2912=1,"OFFLINE",IF(AND(Q2912&gt;=Inputs!$B$15,R2912=1,S2912=1,P2912&lt;=L2912),"PASS","FAIL"))</f>
        <v>PASS</v>
      </c>
    </row>
    <row r="2913" customFormat="false" ht="15" hidden="false" customHeight="false" outlineLevel="0" collapsed="false">
      <c r="A2913" s="14" t="s">
        <v>1049</v>
      </c>
      <c r="B2913" s="14" t="s">
        <v>1048</v>
      </c>
      <c r="C2913" s="14" t="s">
        <v>158</v>
      </c>
      <c r="D2913" s="14" t="s">
        <v>202</v>
      </c>
      <c r="E2913" s="14" t="s">
        <v>157</v>
      </c>
      <c r="F2913" s="14" t="s">
        <v>199</v>
      </c>
      <c r="G2913" s="14" t="n">
        <v>2</v>
      </c>
      <c r="H2913" s="14" t="s">
        <v>153</v>
      </c>
      <c r="I2913" s="14" t="s">
        <v>811</v>
      </c>
      <c r="J2913" s="15" t="n">
        <f aca="false">IF(B2913="SITE LOSS",IF(D2913=C2913,1,0),IF(B2913="REGION LOSS",IF(E2913=C2913,1,0),0))</f>
        <v>0</v>
      </c>
      <c r="K2913" s="15" t="n">
        <f aca="false">IF(B2913="SITE LOSS",IF(COUNTIFS('Site Dockets'!$B$7:$B$24,C2913,'Site Dockets'!$C$7:$C$24,F2913)&gt;0,1,0),IF(B2913="REGION LOSS",IF(COUNTIFS('Site Dockets'!$E$7:$E$24,C2913,'Site Dockets'!$C$7:$C$24,F2913)&gt;0,1,0),0))</f>
        <v>0</v>
      </c>
      <c r="L2913" s="15" t="n">
        <f aca="false">IF(J2913=1,0,Inputs!$B$11)</f>
        <v>100</v>
      </c>
      <c r="M2913" s="15" t="n">
        <f aca="false">IF(J2913=1,0,Inputs!$B$12)</f>
        <v>75</v>
      </c>
      <c r="N2913" s="15" t="n">
        <f aca="false">IF(J2913=1,0,IF(OR(AND(OR(B2913="SITE LOSS",B2913="REGION LOSS"),K2913=1),AND(B2913="ROLE COMPROMISE",H2913=C2913)),Inputs!$B$13,Inputs!$B$14))</f>
        <v>10</v>
      </c>
      <c r="O2913" s="15" t="n">
        <f aca="false">IF(J2913=1,0,Inputs!$B$13)</f>
        <v>20</v>
      </c>
      <c r="P2913" s="15" t="n">
        <f aca="false">SUM(M2913:N2913)</f>
        <v>85</v>
      </c>
      <c r="Q2913" s="15" t="n">
        <f aca="false">IF(J2913=1,"",L2913-P2913)</f>
        <v>15</v>
      </c>
      <c r="R2913" s="15" t="n">
        <f aca="false">IF(OR(J2913=1,M2913&lt;=Inputs!$B$12),1,0)</f>
        <v>1</v>
      </c>
      <c r="S2913" s="15" t="n">
        <f aca="false">IF(OR(J2913=1,N2913&lt;=O2913),1,0)</f>
        <v>1</v>
      </c>
      <c r="T2913" s="15" t="str">
        <f aca="false">IF(J2913=1,"OFFLINE",IF(AND(Q2913&gt;=Inputs!$B$15,R2913=1,S2913=1,P2913&lt;=L2913),"PASS","FAIL"))</f>
        <v>PASS</v>
      </c>
    </row>
    <row r="2914" customFormat="false" ht="15" hidden="false" customHeight="false" outlineLevel="0" collapsed="false">
      <c r="A2914" s="14" t="s">
        <v>1049</v>
      </c>
      <c r="B2914" s="14" t="s">
        <v>1048</v>
      </c>
      <c r="C2914" s="14" t="s">
        <v>158</v>
      </c>
      <c r="D2914" s="14" t="s">
        <v>202</v>
      </c>
      <c r="E2914" s="14" t="s">
        <v>157</v>
      </c>
      <c r="F2914" s="14" t="s">
        <v>199</v>
      </c>
      <c r="G2914" s="14" t="n">
        <v>2</v>
      </c>
      <c r="H2914" s="14" t="s">
        <v>153</v>
      </c>
      <c r="I2914" s="14" t="s">
        <v>895</v>
      </c>
      <c r="J2914" s="15" t="n">
        <f aca="false">IF(B2914="SITE LOSS",IF(D2914=C2914,1,0),IF(B2914="REGION LOSS",IF(E2914=C2914,1,0),0))</f>
        <v>0</v>
      </c>
      <c r="K2914" s="15" t="n">
        <f aca="false">IF(B2914="SITE LOSS",IF(COUNTIFS('Site Dockets'!$B$7:$B$24,C2914,'Site Dockets'!$C$7:$C$24,F2914)&gt;0,1,0),IF(B2914="REGION LOSS",IF(COUNTIFS('Site Dockets'!$E$7:$E$24,C2914,'Site Dockets'!$C$7:$C$24,F2914)&gt;0,1,0),0))</f>
        <v>0</v>
      </c>
      <c r="L2914" s="15" t="n">
        <f aca="false">IF(J2914=1,0,Inputs!$B$11)</f>
        <v>100</v>
      </c>
      <c r="M2914" s="15" t="n">
        <f aca="false">IF(J2914=1,0,Inputs!$B$12)</f>
        <v>75</v>
      </c>
      <c r="N2914" s="15" t="n">
        <f aca="false">IF(J2914=1,0,IF(OR(AND(OR(B2914="SITE LOSS",B2914="REGION LOSS"),K2914=1),AND(B2914="ROLE COMPROMISE",H2914=C2914)),Inputs!$B$13,Inputs!$B$14))</f>
        <v>10</v>
      </c>
      <c r="O2914" s="15" t="n">
        <f aca="false">IF(J2914=1,0,Inputs!$B$13)</f>
        <v>20</v>
      </c>
      <c r="P2914" s="15" t="n">
        <f aca="false">SUM(M2914:N2914)</f>
        <v>85</v>
      </c>
      <c r="Q2914" s="15" t="n">
        <f aca="false">IF(J2914=1,"",L2914-P2914)</f>
        <v>15</v>
      </c>
      <c r="R2914" s="15" t="n">
        <f aca="false">IF(OR(J2914=1,M2914&lt;=Inputs!$B$12),1,0)</f>
        <v>1</v>
      </c>
      <c r="S2914" s="15" t="n">
        <f aca="false">IF(OR(J2914=1,N2914&lt;=O2914),1,0)</f>
        <v>1</v>
      </c>
      <c r="T2914" s="15" t="str">
        <f aca="false">IF(J2914=1,"OFFLINE",IF(AND(Q2914&gt;=Inputs!$B$15,R2914=1,S2914=1,P2914&lt;=L2914),"PASS","FAIL"))</f>
        <v>PASS</v>
      </c>
    </row>
    <row r="2915" customFormat="false" ht="15" hidden="false" customHeight="false" outlineLevel="0" collapsed="false">
      <c r="A2915" s="14" t="s">
        <v>1049</v>
      </c>
      <c r="B2915" s="14" t="s">
        <v>1048</v>
      </c>
      <c r="C2915" s="14" t="s">
        <v>158</v>
      </c>
      <c r="D2915" s="14" t="s">
        <v>202</v>
      </c>
      <c r="E2915" s="14" t="s">
        <v>157</v>
      </c>
      <c r="F2915" s="14" t="s">
        <v>199</v>
      </c>
      <c r="G2915" s="14" t="n">
        <v>2</v>
      </c>
      <c r="H2915" s="14" t="s">
        <v>153</v>
      </c>
      <c r="I2915" s="14" t="s">
        <v>897</v>
      </c>
      <c r="J2915" s="15" t="n">
        <f aca="false">IF(B2915="SITE LOSS",IF(D2915=C2915,1,0),IF(B2915="REGION LOSS",IF(E2915=C2915,1,0),0))</f>
        <v>0</v>
      </c>
      <c r="K2915" s="15" t="n">
        <f aca="false">IF(B2915="SITE LOSS",IF(COUNTIFS('Site Dockets'!$B$7:$B$24,C2915,'Site Dockets'!$C$7:$C$24,F2915)&gt;0,1,0),IF(B2915="REGION LOSS",IF(COUNTIFS('Site Dockets'!$E$7:$E$24,C2915,'Site Dockets'!$C$7:$C$24,F2915)&gt;0,1,0),0))</f>
        <v>0</v>
      </c>
      <c r="L2915" s="15" t="n">
        <f aca="false">IF(J2915=1,0,Inputs!$B$11)</f>
        <v>100</v>
      </c>
      <c r="M2915" s="15" t="n">
        <f aca="false">IF(J2915=1,0,Inputs!$B$12)</f>
        <v>75</v>
      </c>
      <c r="N2915" s="15" t="n">
        <f aca="false">IF(J2915=1,0,IF(OR(AND(OR(B2915="SITE LOSS",B2915="REGION LOSS"),K2915=1),AND(B2915="ROLE COMPROMISE",H2915=C2915)),Inputs!$B$13,Inputs!$B$14))</f>
        <v>10</v>
      </c>
      <c r="O2915" s="15" t="n">
        <f aca="false">IF(J2915=1,0,Inputs!$B$13)</f>
        <v>20</v>
      </c>
      <c r="P2915" s="15" t="n">
        <f aca="false">SUM(M2915:N2915)</f>
        <v>85</v>
      </c>
      <c r="Q2915" s="15" t="n">
        <f aca="false">IF(J2915=1,"",L2915-P2915)</f>
        <v>15</v>
      </c>
      <c r="R2915" s="15" t="n">
        <f aca="false">IF(OR(J2915=1,M2915&lt;=Inputs!$B$12),1,0)</f>
        <v>1</v>
      </c>
      <c r="S2915" s="15" t="n">
        <f aca="false">IF(OR(J2915=1,N2915&lt;=O2915),1,0)</f>
        <v>1</v>
      </c>
      <c r="T2915" s="15" t="str">
        <f aca="false">IF(J2915=1,"OFFLINE",IF(AND(Q2915&gt;=Inputs!$B$15,R2915=1,S2915=1,P2915&lt;=L2915),"PASS","FAIL"))</f>
        <v>PASS</v>
      </c>
    </row>
    <row r="2916" customFormat="false" ht="15" hidden="false" customHeight="false" outlineLevel="0" collapsed="false">
      <c r="A2916" s="14" t="s">
        <v>1049</v>
      </c>
      <c r="B2916" s="14" t="s">
        <v>1048</v>
      </c>
      <c r="C2916" s="14" t="s">
        <v>158</v>
      </c>
      <c r="D2916" s="14" t="s">
        <v>202</v>
      </c>
      <c r="E2916" s="14" t="s">
        <v>157</v>
      </c>
      <c r="F2916" s="14" t="s">
        <v>199</v>
      </c>
      <c r="G2916" s="14" t="n">
        <v>2</v>
      </c>
      <c r="H2916" s="14" t="s">
        <v>153</v>
      </c>
      <c r="I2916" s="14" t="s">
        <v>899</v>
      </c>
      <c r="J2916" s="15" t="n">
        <f aca="false">IF(B2916="SITE LOSS",IF(D2916=C2916,1,0),IF(B2916="REGION LOSS",IF(E2916=C2916,1,0),0))</f>
        <v>0</v>
      </c>
      <c r="K2916" s="15" t="n">
        <f aca="false">IF(B2916="SITE LOSS",IF(COUNTIFS('Site Dockets'!$B$7:$B$24,C2916,'Site Dockets'!$C$7:$C$24,F2916)&gt;0,1,0),IF(B2916="REGION LOSS",IF(COUNTIFS('Site Dockets'!$E$7:$E$24,C2916,'Site Dockets'!$C$7:$C$24,F2916)&gt;0,1,0),0))</f>
        <v>0</v>
      </c>
      <c r="L2916" s="15" t="n">
        <f aca="false">IF(J2916=1,0,Inputs!$B$11)</f>
        <v>100</v>
      </c>
      <c r="M2916" s="15" t="n">
        <f aca="false">IF(J2916=1,0,Inputs!$B$12)</f>
        <v>75</v>
      </c>
      <c r="N2916" s="15" t="n">
        <f aca="false">IF(J2916=1,0,IF(OR(AND(OR(B2916="SITE LOSS",B2916="REGION LOSS"),K2916=1),AND(B2916="ROLE COMPROMISE",H2916=C2916)),Inputs!$B$13,Inputs!$B$14))</f>
        <v>10</v>
      </c>
      <c r="O2916" s="15" t="n">
        <f aca="false">IF(J2916=1,0,Inputs!$B$13)</f>
        <v>20</v>
      </c>
      <c r="P2916" s="15" t="n">
        <f aca="false">SUM(M2916:N2916)</f>
        <v>85</v>
      </c>
      <c r="Q2916" s="15" t="n">
        <f aca="false">IF(J2916=1,"",L2916-P2916)</f>
        <v>15</v>
      </c>
      <c r="R2916" s="15" t="n">
        <f aca="false">IF(OR(J2916=1,M2916&lt;=Inputs!$B$12),1,0)</f>
        <v>1</v>
      </c>
      <c r="S2916" s="15" t="n">
        <f aca="false">IF(OR(J2916=1,N2916&lt;=O2916),1,0)</f>
        <v>1</v>
      </c>
      <c r="T2916" s="15" t="str">
        <f aca="false">IF(J2916=1,"OFFLINE",IF(AND(Q2916&gt;=Inputs!$B$15,R2916=1,S2916=1,P2916&lt;=L2916),"PASS","FAIL"))</f>
        <v>PASS</v>
      </c>
    </row>
    <row r="2917" customFormat="false" ht="15" hidden="false" customHeight="false" outlineLevel="0" collapsed="false">
      <c r="A2917" s="14" t="s">
        <v>1049</v>
      </c>
      <c r="B2917" s="14" t="s">
        <v>1048</v>
      </c>
      <c r="C2917" s="14" t="s">
        <v>158</v>
      </c>
      <c r="D2917" s="14" t="s">
        <v>204</v>
      </c>
      <c r="E2917" s="14" t="s">
        <v>161</v>
      </c>
      <c r="F2917" s="14" t="s">
        <v>199</v>
      </c>
      <c r="G2917" s="14" t="n">
        <v>3</v>
      </c>
      <c r="H2917" s="14" t="s">
        <v>158</v>
      </c>
      <c r="I2917" s="14" t="s">
        <v>890</v>
      </c>
      <c r="J2917" s="15" t="n">
        <f aca="false">IF(B2917="SITE LOSS",IF(D2917=C2917,1,0),IF(B2917="REGION LOSS",IF(E2917=C2917,1,0),0))</f>
        <v>0</v>
      </c>
      <c r="K2917" s="15" t="n">
        <f aca="false">IF(B2917="SITE LOSS",IF(COUNTIFS('Site Dockets'!$B$7:$B$24,C2917,'Site Dockets'!$C$7:$C$24,F2917)&gt;0,1,0),IF(B2917="REGION LOSS",IF(COUNTIFS('Site Dockets'!$E$7:$E$24,C2917,'Site Dockets'!$C$7:$C$24,F2917)&gt;0,1,0),0))</f>
        <v>0</v>
      </c>
      <c r="L2917" s="15" t="n">
        <f aca="false">IF(J2917=1,0,Inputs!$B$11)</f>
        <v>100</v>
      </c>
      <c r="M2917" s="15" t="n">
        <f aca="false">IF(J2917=1,0,Inputs!$B$12)</f>
        <v>75</v>
      </c>
      <c r="N2917" s="15" t="n">
        <f aca="false">IF(J2917=1,0,IF(OR(AND(OR(B2917="SITE LOSS",B2917="REGION LOSS"),K2917=1),AND(B2917="ROLE COMPROMISE",H2917=C2917)),Inputs!$B$13,Inputs!$B$14))</f>
        <v>20</v>
      </c>
      <c r="O2917" s="15" t="n">
        <f aca="false">IF(J2917=1,0,Inputs!$B$13)</f>
        <v>20</v>
      </c>
      <c r="P2917" s="15" t="n">
        <f aca="false">SUM(M2917:N2917)</f>
        <v>95</v>
      </c>
      <c r="Q2917" s="15" t="n">
        <f aca="false">IF(J2917=1,"",L2917-P2917)</f>
        <v>5</v>
      </c>
      <c r="R2917" s="15" t="n">
        <f aca="false">IF(OR(J2917=1,M2917&lt;=Inputs!$B$12),1,0)</f>
        <v>1</v>
      </c>
      <c r="S2917" s="15" t="n">
        <f aca="false">IF(OR(J2917=1,N2917&lt;=O2917),1,0)</f>
        <v>1</v>
      </c>
      <c r="T2917" s="15" t="str">
        <f aca="false">IF(J2917=1,"OFFLINE",IF(AND(Q2917&gt;=Inputs!$B$15,R2917=1,S2917=1,P2917&lt;=L2917),"PASS","FAIL"))</f>
        <v>PASS</v>
      </c>
    </row>
    <row r="2918" customFormat="false" ht="15" hidden="false" customHeight="false" outlineLevel="0" collapsed="false">
      <c r="A2918" s="14" t="s">
        <v>1049</v>
      </c>
      <c r="B2918" s="14" t="s">
        <v>1048</v>
      </c>
      <c r="C2918" s="14" t="s">
        <v>158</v>
      </c>
      <c r="D2918" s="14" t="s">
        <v>204</v>
      </c>
      <c r="E2918" s="14" t="s">
        <v>161</v>
      </c>
      <c r="F2918" s="14" t="s">
        <v>199</v>
      </c>
      <c r="G2918" s="14" t="n">
        <v>3</v>
      </c>
      <c r="H2918" s="14" t="s">
        <v>158</v>
      </c>
      <c r="I2918" s="14" t="s">
        <v>892</v>
      </c>
      <c r="J2918" s="15" t="n">
        <f aca="false">IF(B2918="SITE LOSS",IF(D2918=C2918,1,0),IF(B2918="REGION LOSS",IF(E2918=C2918,1,0),0))</f>
        <v>0</v>
      </c>
      <c r="K2918" s="15" t="n">
        <f aca="false">IF(B2918="SITE LOSS",IF(COUNTIFS('Site Dockets'!$B$7:$B$24,C2918,'Site Dockets'!$C$7:$C$24,F2918)&gt;0,1,0),IF(B2918="REGION LOSS",IF(COUNTIFS('Site Dockets'!$E$7:$E$24,C2918,'Site Dockets'!$C$7:$C$24,F2918)&gt;0,1,0),0))</f>
        <v>0</v>
      </c>
      <c r="L2918" s="15" t="n">
        <f aca="false">IF(J2918=1,0,Inputs!$B$11)</f>
        <v>100</v>
      </c>
      <c r="M2918" s="15" t="n">
        <f aca="false">IF(J2918=1,0,Inputs!$B$12)</f>
        <v>75</v>
      </c>
      <c r="N2918" s="15" t="n">
        <f aca="false">IF(J2918=1,0,IF(OR(AND(OR(B2918="SITE LOSS",B2918="REGION LOSS"),K2918=1),AND(B2918="ROLE COMPROMISE",H2918=C2918)),Inputs!$B$13,Inputs!$B$14))</f>
        <v>20</v>
      </c>
      <c r="O2918" s="15" t="n">
        <f aca="false">IF(J2918=1,0,Inputs!$B$13)</f>
        <v>20</v>
      </c>
      <c r="P2918" s="15" t="n">
        <f aca="false">SUM(M2918:N2918)</f>
        <v>95</v>
      </c>
      <c r="Q2918" s="15" t="n">
        <f aca="false">IF(J2918=1,"",L2918-P2918)</f>
        <v>5</v>
      </c>
      <c r="R2918" s="15" t="n">
        <f aca="false">IF(OR(J2918=1,M2918&lt;=Inputs!$B$12),1,0)</f>
        <v>1</v>
      </c>
      <c r="S2918" s="15" t="n">
        <f aca="false">IF(OR(J2918=1,N2918&lt;=O2918),1,0)</f>
        <v>1</v>
      </c>
      <c r="T2918" s="15" t="str">
        <f aca="false">IF(J2918=1,"OFFLINE",IF(AND(Q2918&gt;=Inputs!$B$15,R2918=1,S2918=1,P2918&lt;=L2918),"PASS","FAIL"))</f>
        <v>PASS</v>
      </c>
    </row>
    <row r="2919" customFormat="false" ht="15" hidden="false" customHeight="false" outlineLevel="0" collapsed="false">
      <c r="A2919" s="14" t="s">
        <v>1049</v>
      </c>
      <c r="B2919" s="14" t="s">
        <v>1048</v>
      </c>
      <c r="C2919" s="14" t="s">
        <v>158</v>
      </c>
      <c r="D2919" s="14" t="s">
        <v>204</v>
      </c>
      <c r="E2919" s="14" t="s">
        <v>161</v>
      </c>
      <c r="F2919" s="14" t="s">
        <v>199</v>
      </c>
      <c r="G2919" s="14" t="n">
        <v>3</v>
      </c>
      <c r="H2919" s="14" t="s">
        <v>158</v>
      </c>
      <c r="I2919" s="14" t="s">
        <v>811</v>
      </c>
      <c r="J2919" s="15" t="n">
        <f aca="false">IF(B2919="SITE LOSS",IF(D2919=C2919,1,0),IF(B2919="REGION LOSS",IF(E2919=C2919,1,0),0))</f>
        <v>0</v>
      </c>
      <c r="K2919" s="15" t="n">
        <f aca="false">IF(B2919="SITE LOSS",IF(COUNTIFS('Site Dockets'!$B$7:$B$24,C2919,'Site Dockets'!$C$7:$C$24,F2919)&gt;0,1,0),IF(B2919="REGION LOSS",IF(COUNTIFS('Site Dockets'!$E$7:$E$24,C2919,'Site Dockets'!$C$7:$C$24,F2919)&gt;0,1,0),0))</f>
        <v>0</v>
      </c>
      <c r="L2919" s="15" t="n">
        <f aca="false">IF(J2919=1,0,Inputs!$B$11)</f>
        <v>100</v>
      </c>
      <c r="M2919" s="15" t="n">
        <f aca="false">IF(J2919=1,0,Inputs!$B$12)</f>
        <v>75</v>
      </c>
      <c r="N2919" s="15" t="n">
        <f aca="false">IF(J2919=1,0,IF(OR(AND(OR(B2919="SITE LOSS",B2919="REGION LOSS"),K2919=1),AND(B2919="ROLE COMPROMISE",H2919=C2919)),Inputs!$B$13,Inputs!$B$14))</f>
        <v>20</v>
      </c>
      <c r="O2919" s="15" t="n">
        <f aca="false">IF(J2919=1,0,Inputs!$B$13)</f>
        <v>20</v>
      </c>
      <c r="P2919" s="15" t="n">
        <f aca="false">SUM(M2919:N2919)</f>
        <v>95</v>
      </c>
      <c r="Q2919" s="15" t="n">
        <f aca="false">IF(J2919=1,"",L2919-P2919)</f>
        <v>5</v>
      </c>
      <c r="R2919" s="15" t="n">
        <f aca="false">IF(OR(J2919=1,M2919&lt;=Inputs!$B$12),1,0)</f>
        <v>1</v>
      </c>
      <c r="S2919" s="15" t="n">
        <f aca="false">IF(OR(J2919=1,N2919&lt;=O2919),1,0)</f>
        <v>1</v>
      </c>
      <c r="T2919" s="15" t="str">
        <f aca="false">IF(J2919=1,"OFFLINE",IF(AND(Q2919&gt;=Inputs!$B$15,R2919=1,S2919=1,P2919&lt;=L2919),"PASS","FAIL"))</f>
        <v>PASS</v>
      </c>
    </row>
    <row r="2920" customFormat="false" ht="15" hidden="false" customHeight="false" outlineLevel="0" collapsed="false">
      <c r="A2920" s="14" t="s">
        <v>1049</v>
      </c>
      <c r="B2920" s="14" t="s">
        <v>1048</v>
      </c>
      <c r="C2920" s="14" t="s">
        <v>158</v>
      </c>
      <c r="D2920" s="14" t="s">
        <v>204</v>
      </c>
      <c r="E2920" s="14" t="s">
        <v>161</v>
      </c>
      <c r="F2920" s="14" t="s">
        <v>199</v>
      </c>
      <c r="G2920" s="14" t="n">
        <v>3</v>
      </c>
      <c r="H2920" s="14" t="s">
        <v>158</v>
      </c>
      <c r="I2920" s="14" t="s">
        <v>895</v>
      </c>
      <c r="J2920" s="15" t="n">
        <f aca="false">IF(B2920="SITE LOSS",IF(D2920=C2920,1,0),IF(B2920="REGION LOSS",IF(E2920=C2920,1,0),0))</f>
        <v>0</v>
      </c>
      <c r="K2920" s="15" t="n">
        <f aca="false">IF(B2920="SITE LOSS",IF(COUNTIFS('Site Dockets'!$B$7:$B$24,C2920,'Site Dockets'!$C$7:$C$24,F2920)&gt;0,1,0),IF(B2920="REGION LOSS",IF(COUNTIFS('Site Dockets'!$E$7:$E$24,C2920,'Site Dockets'!$C$7:$C$24,F2920)&gt;0,1,0),0))</f>
        <v>0</v>
      </c>
      <c r="L2920" s="15" t="n">
        <f aca="false">IF(J2920=1,0,Inputs!$B$11)</f>
        <v>100</v>
      </c>
      <c r="M2920" s="15" t="n">
        <f aca="false">IF(J2920=1,0,Inputs!$B$12)</f>
        <v>75</v>
      </c>
      <c r="N2920" s="15" t="n">
        <f aca="false">IF(J2920=1,0,IF(OR(AND(OR(B2920="SITE LOSS",B2920="REGION LOSS"),K2920=1),AND(B2920="ROLE COMPROMISE",H2920=C2920)),Inputs!$B$13,Inputs!$B$14))</f>
        <v>20</v>
      </c>
      <c r="O2920" s="15" t="n">
        <f aca="false">IF(J2920=1,0,Inputs!$B$13)</f>
        <v>20</v>
      </c>
      <c r="P2920" s="15" t="n">
        <f aca="false">SUM(M2920:N2920)</f>
        <v>95</v>
      </c>
      <c r="Q2920" s="15" t="n">
        <f aca="false">IF(J2920=1,"",L2920-P2920)</f>
        <v>5</v>
      </c>
      <c r="R2920" s="15" t="n">
        <f aca="false">IF(OR(J2920=1,M2920&lt;=Inputs!$B$12),1,0)</f>
        <v>1</v>
      </c>
      <c r="S2920" s="15" t="n">
        <f aca="false">IF(OR(J2920=1,N2920&lt;=O2920),1,0)</f>
        <v>1</v>
      </c>
      <c r="T2920" s="15" t="str">
        <f aca="false">IF(J2920=1,"OFFLINE",IF(AND(Q2920&gt;=Inputs!$B$15,R2920=1,S2920=1,P2920&lt;=L2920),"PASS","FAIL"))</f>
        <v>PASS</v>
      </c>
    </row>
    <row r="2921" customFormat="false" ht="15" hidden="false" customHeight="false" outlineLevel="0" collapsed="false">
      <c r="A2921" s="14" t="s">
        <v>1049</v>
      </c>
      <c r="B2921" s="14" t="s">
        <v>1048</v>
      </c>
      <c r="C2921" s="14" t="s">
        <v>158</v>
      </c>
      <c r="D2921" s="14" t="s">
        <v>204</v>
      </c>
      <c r="E2921" s="14" t="s">
        <v>161</v>
      </c>
      <c r="F2921" s="14" t="s">
        <v>199</v>
      </c>
      <c r="G2921" s="14" t="n">
        <v>3</v>
      </c>
      <c r="H2921" s="14" t="s">
        <v>158</v>
      </c>
      <c r="I2921" s="14" t="s">
        <v>897</v>
      </c>
      <c r="J2921" s="15" t="n">
        <f aca="false">IF(B2921="SITE LOSS",IF(D2921=C2921,1,0),IF(B2921="REGION LOSS",IF(E2921=C2921,1,0),0))</f>
        <v>0</v>
      </c>
      <c r="K2921" s="15" t="n">
        <f aca="false">IF(B2921="SITE LOSS",IF(COUNTIFS('Site Dockets'!$B$7:$B$24,C2921,'Site Dockets'!$C$7:$C$24,F2921)&gt;0,1,0),IF(B2921="REGION LOSS",IF(COUNTIFS('Site Dockets'!$E$7:$E$24,C2921,'Site Dockets'!$C$7:$C$24,F2921)&gt;0,1,0),0))</f>
        <v>0</v>
      </c>
      <c r="L2921" s="15" t="n">
        <f aca="false">IF(J2921=1,0,Inputs!$B$11)</f>
        <v>100</v>
      </c>
      <c r="M2921" s="15" t="n">
        <f aca="false">IF(J2921=1,0,Inputs!$B$12)</f>
        <v>75</v>
      </c>
      <c r="N2921" s="15" t="n">
        <f aca="false">IF(J2921=1,0,IF(OR(AND(OR(B2921="SITE LOSS",B2921="REGION LOSS"),K2921=1),AND(B2921="ROLE COMPROMISE",H2921=C2921)),Inputs!$B$13,Inputs!$B$14))</f>
        <v>20</v>
      </c>
      <c r="O2921" s="15" t="n">
        <f aca="false">IF(J2921=1,0,Inputs!$B$13)</f>
        <v>20</v>
      </c>
      <c r="P2921" s="15" t="n">
        <f aca="false">SUM(M2921:N2921)</f>
        <v>95</v>
      </c>
      <c r="Q2921" s="15" t="n">
        <f aca="false">IF(J2921=1,"",L2921-P2921)</f>
        <v>5</v>
      </c>
      <c r="R2921" s="15" t="n">
        <f aca="false">IF(OR(J2921=1,M2921&lt;=Inputs!$B$12),1,0)</f>
        <v>1</v>
      </c>
      <c r="S2921" s="15" t="n">
        <f aca="false">IF(OR(J2921=1,N2921&lt;=O2921),1,0)</f>
        <v>1</v>
      </c>
      <c r="T2921" s="15" t="str">
        <f aca="false">IF(J2921=1,"OFFLINE",IF(AND(Q2921&gt;=Inputs!$B$15,R2921=1,S2921=1,P2921&lt;=L2921),"PASS","FAIL"))</f>
        <v>PASS</v>
      </c>
    </row>
    <row r="2922" customFormat="false" ht="15" hidden="false" customHeight="false" outlineLevel="0" collapsed="false">
      <c r="A2922" s="14" t="s">
        <v>1049</v>
      </c>
      <c r="B2922" s="14" t="s">
        <v>1048</v>
      </c>
      <c r="C2922" s="14" t="s">
        <v>158</v>
      </c>
      <c r="D2922" s="14" t="s">
        <v>204</v>
      </c>
      <c r="E2922" s="14" t="s">
        <v>161</v>
      </c>
      <c r="F2922" s="14" t="s">
        <v>199</v>
      </c>
      <c r="G2922" s="14" t="n">
        <v>3</v>
      </c>
      <c r="H2922" s="14" t="s">
        <v>158</v>
      </c>
      <c r="I2922" s="14" t="s">
        <v>899</v>
      </c>
      <c r="J2922" s="15" t="n">
        <f aca="false">IF(B2922="SITE LOSS",IF(D2922=C2922,1,0),IF(B2922="REGION LOSS",IF(E2922=C2922,1,0),0))</f>
        <v>0</v>
      </c>
      <c r="K2922" s="15" t="n">
        <f aca="false">IF(B2922="SITE LOSS",IF(COUNTIFS('Site Dockets'!$B$7:$B$24,C2922,'Site Dockets'!$C$7:$C$24,F2922)&gt;0,1,0),IF(B2922="REGION LOSS",IF(COUNTIFS('Site Dockets'!$E$7:$E$24,C2922,'Site Dockets'!$C$7:$C$24,F2922)&gt;0,1,0),0))</f>
        <v>0</v>
      </c>
      <c r="L2922" s="15" t="n">
        <f aca="false">IF(J2922=1,0,Inputs!$B$11)</f>
        <v>100</v>
      </c>
      <c r="M2922" s="15" t="n">
        <f aca="false">IF(J2922=1,0,Inputs!$B$12)</f>
        <v>75</v>
      </c>
      <c r="N2922" s="15" t="n">
        <f aca="false">IF(J2922=1,0,IF(OR(AND(OR(B2922="SITE LOSS",B2922="REGION LOSS"),K2922=1),AND(B2922="ROLE COMPROMISE",H2922=C2922)),Inputs!$B$13,Inputs!$B$14))</f>
        <v>20</v>
      </c>
      <c r="O2922" s="15" t="n">
        <f aca="false">IF(J2922=1,0,Inputs!$B$13)</f>
        <v>20</v>
      </c>
      <c r="P2922" s="15" t="n">
        <f aca="false">SUM(M2922:N2922)</f>
        <v>95</v>
      </c>
      <c r="Q2922" s="15" t="n">
        <f aca="false">IF(J2922=1,"",L2922-P2922)</f>
        <v>5</v>
      </c>
      <c r="R2922" s="15" t="n">
        <f aca="false">IF(OR(J2922=1,M2922&lt;=Inputs!$B$12),1,0)</f>
        <v>1</v>
      </c>
      <c r="S2922" s="15" t="n">
        <f aca="false">IF(OR(J2922=1,N2922&lt;=O2922),1,0)</f>
        <v>1</v>
      </c>
      <c r="T2922" s="15" t="str">
        <f aca="false">IF(J2922=1,"OFFLINE",IF(AND(Q2922&gt;=Inputs!$B$15,R2922=1,S2922=1,P2922&lt;=L2922),"PASS","FAIL"))</f>
        <v>PASS</v>
      </c>
    </row>
    <row r="2923" customFormat="false" ht="15" hidden="false" customHeight="false" outlineLevel="0" collapsed="false">
      <c r="A2923" s="14" t="s">
        <v>1050</v>
      </c>
      <c r="B2923" s="14" t="s">
        <v>1048</v>
      </c>
      <c r="C2923" s="14" t="s">
        <v>154</v>
      </c>
      <c r="D2923" s="14" t="s">
        <v>149</v>
      </c>
      <c r="E2923" s="14" t="s">
        <v>152</v>
      </c>
      <c r="F2923" s="14" t="s">
        <v>150</v>
      </c>
      <c r="G2923" s="14" t="n">
        <v>1</v>
      </c>
      <c r="H2923" s="14" t="s">
        <v>154</v>
      </c>
      <c r="I2923" s="14" t="s">
        <v>890</v>
      </c>
      <c r="J2923" s="15" t="n">
        <f aca="false">IF(B2923="SITE LOSS",IF(D2923=C2923,1,0),IF(B2923="REGION LOSS",IF(E2923=C2923,1,0),0))</f>
        <v>0</v>
      </c>
      <c r="K2923" s="15" t="n">
        <f aca="false">IF(B2923="SITE LOSS",IF(COUNTIFS('Site Dockets'!$B$7:$B$24,C2923,'Site Dockets'!$C$7:$C$24,F2923)&gt;0,1,0),IF(B2923="REGION LOSS",IF(COUNTIFS('Site Dockets'!$E$7:$E$24,C2923,'Site Dockets'!$C$7:$C$24,F2923)&gt;0,1,0),0))</f>
        <v>0</v>
      </c>
      <c r="L2923" s="15" t="n">
        <f aca="false">IF(J2923=1,0,Inputs!$B$11)</f>
        <v>100</v>
      </c>
      <c r="M2923" s="15" t="n">
        <f aca="false">IF(J2923=1,0,Inputs!$B$12)</f>
        <v>75</v>
      </c>
      <c r="N2923" s="15" t="n">
        <f aca="false">IF(J2923=1,0,IF(OR(AND(OR(B2923="SITE LOSS",B2923="REGION LOSS"),K2923=1),AND(B2923="ROLE COMPROMISE",H2923=C2923)),Inputs!$B$13,Inputs!$B$14))</f>
        <v>20</v>
      </c>
      <c r="O2923" s="15" t="n">
        <f aca="false">IF(J2923=1,0,Inputs!$B$13)</f>
        <v>20</v>
      </c>
      <c r="P2923" s="15" t="n">
        <f aca="false">SUM(M2923:N2923)</f>
        <v>95</v>
      </c>
      <c r="Q2923" s="15" t="n">
        <f aca="false">IF(J2923=1,"",L2923-P2923)</f>
        <v>5</v>
      </c>
      <c r="R2923" s="15" t="n">
        <f aca="false">IF(OR(J2923=1,M2923&lt;=Inputs!$B$12),1,0)</f>
        <v>1</v>
      </c>
      <c r="S2923" s="15" t="n">
        <f aca="false">IF(OR(J2923=1,N2923&lt;=O2923),1,0)</f>
        <v>1</v>
      </c>
      <c r="T2923" s="15" t="str">
        <f aca="false">IF(J2923=1,"OFFLINE",IF(AND(Q2923&gt;=Inputs!$B$15,R2923=1,S2923=1,P2923&lt;=L2923),"PASS","FAIL"))</f>
        <v>PASS</v>
      </c>
    </row>
    <row r="2924" customFormat="false" ht="15" hidden="false" customHeight="false" outlineLevel="0" collapsed="false">
      <c r="A2924" s="14" t="s">
        <v>1050</v>
      </c>
      <c r="B2924" s="14" t="s">
        <v>1048</v>
      </c>
      <c r="C2924" s="14" t="s">
        <v>154</v>
      </c>
      <c r="D2924" s="14" t="s">
        <v>149</v>
      </c>
      <c r="E2924" s="14" t="s">
        <v>152</v>
      </c>
      <c r="F2924" s="14" t="s">
        <v>150</v>
      </c>
      <c r="G2924" s="14" t="n">
        <v>1</v>
      </c>
      <c r="H2924" s="14" t="s">
        <v>154</v>
      </c>
      <c r="I2924" s="14" t="s">
        <v>892</v>
      </c>
      <c r="J2924" s="15" t="n">
        <f aca="false">IF(B2924="SITE LOSS",IF(D2924=C2924,1,0),IF(B2924="REGION LOSS",IF(E2924=C2924,1,0),0))</f>
        <v>0</v>
      </c>
      <c r="K2924" s="15" t="n">
        <f aca="false">IF(B2924="SITE LOSS",IF(COUNTIFS('Site Dockets'!$B$7:$B$24,C2924,'Site Dockets'!$C$7:$C$24,F2924)&gt;0,1,0),IF(B2924="REGION LOSS",IF(COUNTIFS('Site Dockets'!$E$7:$E$24,C2924,'Site Dockets'!$C$7:$C$24,F2924)&gt;0,1,0),0))</f>
        <v>0</v>
      </c>
      <c r="L2924" s="15" t="n">
        <f aca="false">IF(J2924=1,0,Inputs!$B$11)</f>
        <v>100</v>
      </c>
      <c r="M2924" s="15" t="n">
        <f aca="false">IF(J2924=1,0,Inputs!$B$12)</f>
        <v>75</v>
      </c>
      <c r="N2924" s="15" t="n">
        <f aca="false">IF(J2924=1,0,IF(OR(AND(OR(B2924="SITE LOSS",B2924="REGION LOSS"),K2924=1),AND(B2924="ROLE COMPROMISE",H2924=C2924)),Inputs!$B$13,Inputs!$B$14))</f>
        <v>20</v>
      </c>
      <c r="O2924" s="15" t="n">
        <f aca="false">IF(J2924=1,0,Inputs!$B$13)</f>
        <v>20</v>
      </c>
      <c r="P2924" s="15" t="n">
        <f aca="false">SUM(M2924:N2924)</f>
        <v>95</v>
      </c>
      <c r="Q2924" s="15" t="n">
        <f aca="false">IF(J2924=1,"",L2924-P2924)</f>
        <v>5</v>
      </c>
      <c r="R2924" s="15" t="n">
        <f aca="false">IF(OR(J2924=1,M2924&lt;=Inputs!$B$12),1,0)</f>
        <v>1</v>
      </c>
      <c r="S2924" s="15" t="n">
        <f aca="false">IF(OR(J2924=1,N2924&lt;=O2924),1,0)</f>
        <v>1</v>
      </c>
      <c r="T2924" s="15" t="str">
        <f aca="false">IF(J2924=1,"OFFLINE",IF(AND(Q2924&gt;=Inputs!$B$15,R2924=1,S2924=1,P2924&lt;=L2924),"PASS","FAIL"))</f>
        <v>PASS</v>
      </c>
    </row>
    <row r="2925" customFormat="false" ht="15" hidden="false" customHeight="false" outlineLevel="0" collapsed="false">
      <c r="A2925" s="14" t="s">
        <v>1050</v>
      </c>
      <c r="B2925" s="14" t="s">
        <v>1048</v>
      </c>
      <c r="C2925" s="14" t="s">
        <v>154</v>
      </c>
      <c r="D2925" s="14" t="s">
        <v>149</v>
      </c>
      <c r="E2925" s="14" t="s">
        <v>152</v>
      </c>
      <c r="F2925" s="14" t="s">
        <v>150</v>
      </c>
      <c r="G2925" s="14" t="n">
        <v>1</v>
      </c>
      <c r="H2925" s="14" t="s">
        <v>154</v>
      </c>
      <c r="I2925" s="14" t="s">
        <v>811</v>
      </c>
      <c r="J2925" s="15" t="n">
        <f aca="false">IF(B2925="SITE LOSS",IF(D2925=C2925,1,0),IF(B2925="REGION LOSS",IF(E2925=C2925,1,0),0))</f>
        <v>0</v>
      </c>
      <c r="K2925" s="15" t="n">
        <f aca="false">IF(B2925="SITE LOSS",IF(COUNTIFS('Site Dockets'!$B$7:$B$24,C2925,'Site Dockets'!$C$7:$C$24,F2925)&gt;0,1,0),IF(B2925="REGION LOSS",IF(COUNTIFS('Site Dockets'!$E$7:$E$24,C2925,'Site Dockets'!$C$7:$C$24,F2925)&gt;0,1,0),0))</f>
        <v>0</v>
      </c>
      <c r="L2925" s="15" t="n">
        <f aca="false">IF(J2925=1,0,Inputs!$B$11)</f>
        <v>100</v>
      </c>
      <c r="M2925" s="15" t="n">
        <f aca="false">IF(J2925=1,0,Inputs!$B$12)</f>
        <v>75</v>
      </c>
      <c r="N2925" s="15" t="n">
        <f aca="false">IF(J2925=1,0,IF(OR(AND(OR(B2925="SITE LOSS",B2925="REGION LOSS"),K2925=1),AND(B2925="ROLE COMPROMISE",H2925=C2925)),Inputs!$B$13,Inputs!$B$14))</f>
        <v>20</v>
      </c>
      <c r="O2925" s="15" t="n">
        <f aca="false">IF(J2925=1,0,Inputs!$B$13)</f>
        <v>20</v>
      </c>
      <c r="P2925" s="15" t="n">
        <f aca="false">SUM(M2925:N2925)</f>
        <v>95</v>
      </c>
      <c r="Q2925" s="15" t="n">
        <f aca="false">IF(J2925=1,"",L2925-P2925)</f>
        <v>5</v>
      </c>
      <c r="R2925" s="15" t="n">
        <f aca="false">IF(OR(J2925=1,M2925&lt;=Inputs!$B$12),1,0)</f>
        <v>1</v>
      </c>
      <c r="S2925" s="15" t="n">
        <f aca="false">IF(OR(J2925=1,N2925&lt;=O2925),1,0)</f>
        <v>1</v>
      </c>
      <c r="T2925" s="15" t="str">
        <f aca="false">IF(J2925=1,"OFFLINE",IF(AND(Q2925&gt;=Inputs!$B$15,R2925=1,S2925=1,P2925&lt;=L2925),"PASS","FAIL"))</f>
        <v>PASS</v>
      </c>
    </row>
    <row r="2926" customFormat="false" ht="15" hidden="false" customHeight="false" outlineLevel="0" collapsed="false">
      <c r="A2926" s="14" t="s">
        <v>1050</v>
      </c>
      <c r="B2926" s="14" t="s">
        <v>1048</v>
      </c>
      <c r="C2926" s="14" t="s">
        <v>154</v>
      </c>
      <c r="D2926" s="14" t="s">
        <v>149</v>
      </c>
      <c r="E2926" s="14" t="s">
        <v>152</v>
      </c>
      <c r="F2926" s="14" t="s">
        <v>150</v>
      </c>
      <c r="G2926" s="14" t="n">
        <v>1</v>
      </c>
      <c r="H2926" s="14" t="s">
        <v>154</v>
      </c>
      <c r="I2926" s="14" t="s">
        <v>895</v>
      </c>
      <c r="J2926" s="15" t="n">
        <f aca="false">IF(B2926="SITE LOSS",IF(D2926=C2926,1,0),IF(B2926="REGION LOSS",IF(E2926=C2926,1,0),0))</f>
        <v>0</v>
      </c>
      <c r="K2926" s="15" t="n">
        <f aca="false">IF(B2926="SITE LOSS",IF(COUNTIFS('Site Dockets'!$B$7:$B$24,C2926,'Site Dockets'!$C$7:$C$24,F2926)&gt;0,1,0),IF(B2926="REGION LOSS",IF(COUNTIFS('Site Dockets'!$E$7:$E$24,C2926,'Site Dockets'!$C$7:$C$24,F2926)&gt;0,1,0),0))</f>
        <v>0</v>
      </c>
      <c r="L2926" s="15" t="n">
        <f aca="false">IF(J2926=1,0,Inputs!$B$11)</f>
        <v>100</v>
      </c>
      <c r="M2926" s="15" t="n">
        <f aca="false">IF(J2926=1,0,Inputs!$B$12)</f>
        <v>75</v>
      </c>
      <c r="N2926" s="15" t="n">
        <f aca="false">IF(J2926=1,0,IF(OR(AND(OR(B2926="SITE LOSS",B2926="REGION LOSS"),K2926=1),AND(B2926="ROLE COMPROMISE",H2926=C2926)),Inputs!$B$13,Inputs!$B$14))</f>
        <v>20</v>
      </c>
      <c r="O2926" s="15" t="n">
        <f aca="false">IF(J2926=1,0,Inputs!$B$13)</f>
        <v>20</v>
      </c>
      <c r="P2926" s="15" t="n">
        <f aca="false">SUM(M2926:N2926)</f>
        <v>95</v>
      </c>
      <c r="Q2926" s="15" t="n">
        <f aca="false">IF(J2926=1,"",L2926-P2926)</f>
        <v>5</v>
      </c>
      <c r="R2926" s="15" t="n">
        <f aca="false">IF(OR(J2926=1,M2926&lt;=Inputs!$B$12),1,0)</f>
        <v>1</v>
      </c>
      <c r="S2926" s="15" t="n">
        <f aca="false">IF(OR(J2926=1,N2926&lt;=O2926),1,0)</f>
        <v>1</v>
      </c>
      <c r="T2926" s="15" t="str">
        <f aca="false">IF(J2926=1,"OFFLINE",IF(AND(Q2926&gt;=Inputs!$B$15,R2926=1,S2926=1,P2926&lt;=L2926),"PASS","FAIL"))</f>
        <v>PASS</v>
      </c>
    </row>
    <row r="2927" customFormat="false" ht="15" hidden="false" customHeight="false" outlineLevel="0" collapsed="false">
      <c r="A2927" s="14" t="s">
        <v>1050</v>
      </c>
      <c r="B2927" s="14" t="s">
        <v>1048</v>
      </c>
      <c r="C2927" s="14" t="s">
        <v>154</v>
      </c>
      <c r="D2927" s="14" t="s">
        <v>149</v>
      </c>
      <c r="E2927" s="14" t="s">
        <v>152</v>
      </c>
      <c r="F2927" s="14" t="s">
        <v>150</v>
      </c>
      <c r="G2927" s="14" t="n">
        <v>1</v>
      </c>
      <c r="H2927" s="14" t="s">
        <v>154</v>
      </c>
      <c r="I2927" s="14" t="s">
        <v>897</v>
      </c>
      <c r="J2927" s="15" t="n">
        <f aca="false">IF(B2927="SITE LOSS",IF(D2927=C2927,1,0),IF(B2927="REGION LOSS",IF(E2927=C2927,1,0),0))</f>
        <v>0</v>
      </c>
      <c r="K2927" s="15" t="n">
        <f aca="false">IF(B2927="SITE LOSS",IF(COUNTIFS('Site Dockets'!$B$7:$B$24,C2927,'Site Dockets'!$C$7:$C$24,F2927)&gt;0,1,0),IF(B2927="REGION LOSS",IF(COUNTIFS('Site Dockets'!$E$7:$E$24,C2927,'Site Dockets'!$C$7:$C$24,F2927)&gt;0,1,0),0))</f>
        <v>0</v>
      </c>
      <c r="L2927" s="15" t="n">
        <f aca="false">IF(J2927=1,0,Inputs!$B$11)</f>
        <v>100</v>
      </c>
      <c r="M2927" s="15" t="n">
        <f aca="false">IF(J2927=1,0,Inputs!$B$12)</f>
        <v>75</v>
      </c>
      <c r="N2927" s="15" t="n">
        <f aca="false">IF(J2927=1,0,IF(OR(AND(OR(B2927="SITE LOSS",B2927="REGION LOSS"),K2927=1),AND(B2927="ROLE COMPROMISE",H2927=C2927)),Inputs!$B$13,Inputs!$B$14))</f>
        <v>20</v>
      </c>
      <c r="O2927" s="15" t="n">
        <f aca="false">IF(J2927=1,0,Inputs!$B$13)</f>
        <v>20</v>
      </c>
      <c r="P2927" s="15" t="n">
        <f aca="false">SUM(M2927:N2927)</f>
        <v>95</v>
      </c>
      <c r="Q2927" s="15" t="n">
        <f aca="false">IF(J2927=1,"",L2927-P2927)</f>
        <v>5</v>
      </c>
      <c r="R2927" s="15" t="n">
        <f aca="false">IF(OR(J2927=1,M2927&lt;=Inputs!$B$12),1,0)</f>
        <v>1</v>
      </c>
      <c r="S2927" s="15" t="n">
        <f aca="false">IF(OR(J2927=1,N2927&lt;=O2927),1,0)</f>
        <v>1</v>
      </c>
      <c r="T2927" s="15" t="str">
        <f aca="false">IF(J2927=1,"OFFLINE",IF(AND(Q2927&gt;=Inputs!$B$15,R2927=1,S2927=1,P2927&lt;=L2927),"PASS","FAIL"))</f>
        <v>PASS</v>
      </c>
    </row>
    <row r="2928" customFormat="false" ht="15" hidden="false" customHeight="false" outlineLevel="0" collapsed="false">
      <c r="A2928" s="14" t="s">
        <v>1050</v>
      </c>
      <c r="B2928" s="14" t="s">
        <v>1048</v>
      </c>
      <c r="C2928" s="14" t="s">
        <v>154</v>
      </c>
      <c r="D2928" s="14" t="s">
        <v>149</v>
      </c>
      <c r="E2928" s="14" t="s">
        <v>152</v>
      </c>
      <c r="F2928" s="14" t="s">
        <v>150</v>
      </c>
      <c r="G2928" s="14" t="n">
        <v>1</v>
      </c>
      <c r="H2928" s="14" t="s">
        <v>154</v>
      </c>
      <c r="I2928" s="14" t="s">
        <v>899</v>
      </c>
      <c r="J2928" s="15" t="n">
        <f aca="false">IF(B2928="SITE LOSS",IF(D2928=C2928,1,0),IF(B2928="REGION LOSS",IF(E2928=C2928,1,0),0))</f>
        <v>0</v>
      </c>
      <c r="K2928" s="15" t="n">
        <f aca="false">IF(B2928="SITE LOSS",IF(COUNTIFS('Site Dockets'!$B$7:$B$24,C2928,'Site Dockets'!$C$7:$C$24,F2928)&gt;0,1,0),IF(B2928="REGION LOSS",IF(COUNTIFS('Site Dockets'!$E$7:$E$24,C2928,'Site Dockets'!$C$7:$C$24,F2928)&gt;0,1,0),0))</f>
        <v>0</v>
      </c>
      <c r="L2928" s="15" t="n">
        <f aca="false">IF(J2928=1,0,Inputs!$B$11)</f>
        <v>100</v>
      </c>
      <c r="M2928" s="15" t="n">
        <f aca="false">IF(J2928=1,0,Inputs!$B$12)</f>
        <v>75</v>
      </c>
      <c r="N2928" s="15" t="n">
        <f aca="false">IF(J2928=1,0,IF(OR(AND(OR(B2928="SITE LOSS",B2928="REGION LOSS"),K2928=1),AND(B2928="ROLE COMPROMISE",H2928=C2928)),Inputs!$B$13,Inputs!$B$14))</f>
        <v>20</v>
      </c>
      <c r="O2928" s="15" t="n">
        <f aca="false">IF(J2928=1,0,Inputs!$B$13)</f>
        <v>20</v>
      </c>
      <c r="P2928" s="15" t="n">
        <f aca="false">SUM(M2928:N2928)</f>
        <v>95</v>
      </c>
      <c r="Q2928" s="15" t="n">
        <f aca="false">IF(J2928=1,"",L2928-P2928)</f>
        <v>5</v>
      </c>
      <c r="R2928" s="15" t="n">
        <f aca="false">IF(OR(J2928=1,M2928&lt;=Inputs!$B$12),1,0)</f>
        <v>1</v>
      </c>
      <c r="S2928" s="15" t="n">
        <f aca="false">IF(OR(J2928=1,N2928&lt;=O2928),1,0)</f>
        <v>1</v>
      </c>
      <c r="T2928" s="15" t="str">
        <f aca="false">IF(J2928=1,"OFFLINE",IF(AND(Q2928&gt;=Inputs!$B$15,R2928=1,S2928=1,P2928&lt;=L2928),"PASS","FAIL"))</f>
        <v>PASS</v>
      </c>
    </row>
    <row r="2929" customFormat="false" ht="15" hidden="false" customHeight="false" outlineLevel="0" collapsed="false">
      <c r="A2929" s="14" t="s">
        <v>1050</v>
      </c>
      <c r="B2929" s="14" t="s">
        <v>1048</v>
      </c>
      <c r="C2929" s="14" t="s">
        <v>154</v>
      </c>
      <c r="D2929" s="14" t="s">
        <v>156</v>
      </c>
      <c r="E2929" s="14" t="s">
        <v>157</v>
      </c>
      <c r="F2929" s="14" t="s">
        <v>150</v>
      </c>
      <c r="G2929" s="14" t="n">
        <v>2</v>
      </c>
      <c r="H2929" s="14" t="s">
        <v>153</v>
      </c>
      <c r="I2929" s="14" t="s">
        <v>890</v>
      </c>
      <c r="J2929" s="15" t="n">
        <f aca="false">IF(B2929="SITE LOSS",IF(D2929=C2929,1,0),IF(B2929="REGION LOSS",IF(E2929=C2929,1,0),0))</f>
        <v>0</v>
      </c>
      <c r="K2929" s="15" t="n">
        <f aca="false">IF(B2929="SITE LOSS",IF(COUNTIFS('Site Dockets'!$B$7:$B$24,C2929,'Site Dockets'!$C$7:$C$24,F2929)&gt;0,1,0),IF(B2929="REGION LOSS",IF(COUNTIFS('Site Dockets'!$E$7:$E$24,C2929,'Site Dockets'!$C$7:$C$24,F2929)&gt;0,1,0),0))</f>
        <v>0</v>
      </c>
      <c r="L2929" s="15" t="n">
        <f aca="false">IF(J2929=1,0,Inputs!$B$11)</f>
        <v>100</v>
      </c>
      <c r="M2929" s="15" t="n">
        <f aca="false">IF(J2929=1,0,Inputs!$B$12)</f>
        <v>75</v>
      </c>
      <c r="N2929" s="15" t="n">
        <f aca="false">IF(J2929=1,0,IF(OR(AND(OR(B2929="SITE LOSS",B2929="REGION LOSS"),K2929=1),AND(B2929="ROLE COMPROMISE",H2929=C2929)),Inputs!$B$13,Inputs!$B$14))</f>
        <v>10</v>
      </c>
      <c r="O2929" s="15" t="n">
        <f aca="false">IF(J2929=1,0,Inputs!$B$13)</f>
        <v>20</v>
      </c>
      <c r="P2929" s="15" t="n">
        <f aca="false">SUM(M2929:N2929)</f>
        <v>85</v>
      </c>
      <c r="Q2929" s="15" t="n">
        <f aca="false">IF(J2929=1,"",L2929-P2929)</f>
        <v>15</v>
      </c>
      <c r="R2929" s="15" t="n">
        <f aca="false">IF(OR(J2929=1,M2929&lt;=Inputs!$B$12),1,0)</f>
        <v>1</v>
      </c>
      <c r="S2929" s="15" t="n">
        <f aca="false">IF(OR(J2929=1,N2929&lt;=O2929),1,0)</f>
        <v>1</v>
      </c>
      <c r="T2929" s="15" t="str">
        <f aca="false">IF(J2929=1,"OFFLINE",IF(AND(Q2929&gt;=Inputs!$B$15,R2929=1,S2929=1,P2929&lt;=L2929),"PASS","FAIL"))</f>
        <v>PASS</v>
      </c>
    </row>
    <row r="2930" customFormat="false" ht="15" hidden="false" customHeight="false" outlineLevel="0" collapsed="false">
      <c r="A2930" s="14" t="s">
        <v>1050</v>
      </c>
      <c r="B2930" s="14" t="s">
        <v>1048</v>
      </c>
      <c r="C2930" s="14" t="s">
        <v>154</v>
      </c>
      <c r="D2930" s="14" t="s">
        <v>156</v>
      </c>
      <c r="E2930" s="14" t="s">
        <v>157</v>
      </c>
      <c r="F2930" s="14" t="s">
        <v>150</v>
      </c>
      <c r="G2930" s="14" t="n">
        <v>2</v>
      </c>
      <c r="H2930" s="14" t="s">
        <v>153</v>
      </c>
      <c r="I2930" s="14" t="s">
        <v>892</v>
      </c>
      <c r="J2930" s="15" t="n">
        <f aca="false">IF(B2930="SITE LOSS",IF(D2930=C2930,1,0),IF(B2930="REGION LOSS",IF(E2930=C2930,1,0),0))</f>
        <v>0</v>
      </c>
      <c r="K2930" s="15" t="n">
        <f aca="false">IF(B2930="SITE LOSS",IF(COUNTIFS('Site Dockets'!$B$7:$B$24,C2930,'Site Dockets'!$C$7:$C$24,F2930)&gt;0,1,0),IF(B2930="REGION LOSS",IF(COUNTIFS('Site Dockets'!$E$7:$E$24,C2930,'Site Dockets'!$C$7:$C$24,F2930)&gt;0,1,0),0))</f>
        <v>0</v>
      </c>
      <c r="L2930" s="15" t="n">
        <f aca="false">IF(J2930=1,0,Inputs!$B$11)</f>
        <v>100</v>
      </c>
      <c r="M2930" s="15" t="n">
        <f aca="false">IF(J2930=1,0,Inputs!$B$12)</f>
        <v>75</v>
      </c>
      <c r="N2930" s="15" t="n">
        <f aca="false">IF(J2930=1,0,IF(OR(AND(OR(B2930="SITE LOSS",B2930="REGION LOSS"),K2930=1),AND(B2930="ROLE COMPROMISE",H2930=C2930)),Inputs!$B$13,Inputs!$B$14))</f>
        <v>10</v>
      </c>
      <c r="O2930" s="15" t="n">
        <f aca="false">IF(J2930=1,0,Inputs!$B$13)</f>
        <v>20</v>
      </c>
      <c r="P2930" s="15" t="n">
        <f aca="false">SUM(M2930:N2930)</f>
        <v>85</v>
      </c>
      <c r="Q2930" s="15" t="n">
        <f aca="false">IF(J2930=1,"",L2930-P2930)</f>
        <v>15</v>
      </c>
      <c r="R2930" s="15" t="n">
        <f aca="false">IF(OR(J2930=1,M2930&lt;=Inputs!$B$12),1,0)</f>
        <v>1</v>
      </c>
      <c r="S2930" s="15" t="n">
        <f aca="false">IF(OR(J2930=1,N2930&lt;=O2930),1,0)</f>
        <v>1</v>
      </c>
      <c r="T2930" s="15" t="str">
        <f aca="false">IF(J2930=1,"OFFLINE",IF(AND(Q2930&gt;=Inputs!$B$15,R2930=1,S2930=1,P2930&lt;=L2930),"PASS","FAIL"))</f>
        <v>PASS</v>
      </c>
    </row>
    <row r="2931" customFormat="false" ht="15" hidden="false" customHeight="false" outlineLevel="0" collapsed="false">
      <c r="A2931" s="14" t="s">
        <v>1050</v>
      </c>
      <c r="B2931" s="14" t="s">
        <v>1048</v>
      </c>
      <c r="C2931" s="14" t="s">
        <v>154</v>
      </c>
      <c r="D2931" s="14" t="s">
        <v>156</v>
      </c>
      <c r="E2931" s="14" t="s">
        <v>157</v>
      </c>
      <c r="F2931" s="14" t="s">
        <v>150</v>
      </c>
      <c r="G2931" s="14" t="n">
        <v>2</v>
      </c>
      <c r="H2931" s="14" t="s">
        <v>153</v>
      </c>
      <c r="I2931" s="14" t="s">
        <v>811</v>
      </c>
      <c r="J2931" s="15" t="n">
        <f aca="false">IF(B2931="SITE LOSS",IF(D2931=C2931,1,0),IF(B2931="REGION LOSS",IF(E2931=C2931,1,0),0))</f>
        <v>0</v>
      </c>
      <c r="K2931" s="15" t="n">
        <f aca="false">IF(B2931="SITE LOSS",IF(COUNTIFS('Site Dockets'!$B$7:$B$24,C2931,'Site Dockets'!$C$7:$C$24,F2931)&gt;0,1,0),IF(B2931="REGION LOSS",IF(COUNTIFS('Site Dockets'!$E$7:$E$24,C2931,'Site Dockets'!$C$7:$C$24,F2931)&gt;0,1,0),0))</f>
        <v>0</v>
      </c>
      <c r="L2931" s="15" t="n">
        <f aca="false">IF(J2931=1,0,Inputs!$B$11)</f>
        <v>100</v>
      </c>
      <c r="M2931" s="15" t="n">
        <f aca="false">IF(J2931=1,0,Inputs!$B$12)</f>
        <v>75</v>
      </c>
      <c r="N2931" s="15" t="n">
        <f aca="false">IF(J2931=1,0,IF(OR(AND(OR(B2931="SITE LOSS",B2931="REGION LOSS"),K2931=1),AND(B2931="ROLE COMPROMISE",H2931=C2931)),Inputs!$B$13,Inputs!$B$14))</f>
        <v>10</v>
      </c>
      <c r="O2931" s="15" t="n">
        <f aca="false">IF(J2931=1,0,Inputs!$B$13)</f>
        <v>20</v>
      </c>
      <c r="P2931" s="15" t="n">
        <f aca="false">SUM(M2931:N2931)</f>
        <v>85</v>
      </c>
      <c r="Q2931" s="15" t="n">
        <f aca="false">IF(J2931=1,"",L2931-P2931)</f>
        <v>15</v>
      </c>
      <c r="R2931" s="15" t="n">
        <f aca="false">IF(OR(J2931=1,M2931&lt;=Inputs!$B$12),1,0)</f>
        <v>1</v>
      </c>
      <c r="S2931" s="15" t="n">
        <f aca="false">IF(OR(J2931=1,N2931&lt;=O2931),1,0)</f>
        <v>1</v>
      </c>
      <c r="T2931" s="15" t="str">
        <f aca="false">IF(J2931=1,"OFFLINE",IF(AND(Q2931&gt;=Inputs!$B$15,R2931=1,S2931=1,P2931&lt;=L2931),"PASS","FAIL"))</f>
        <v>PASS</v>
      </c>
    </row>
    <row r="2932" customFormat="false" ht="15" hidden="false" customHeight="false" outlineLevel="0" collapsed="false">
      <c r="A2932" s="14" t="s">
        <v>1050</v>
      </c>
      <c r="B2932" s="14" t="s">
        <v>1048</v>
      </c>
      <c r="C2932" s="14" t="s">
        <v>154</v>
      </c>
      <c r="D2932" s="14" t="s">
        <v>156</v>
      </c>
      <c r="E2932" s="14" t="s">
        <v>157</v>
      </c>
      <c r="F2932" s="14" t="s">
        <v>150</v>
      </c>
      <c r="G2932" s="14" t="n">
        <v>2</v>
      </c>
      <c r="H2932" s="14" t="s">
        <v>153</v>
      </c>
      <c r="I2932" s="14" t="s">
        <v>895</v>
      </c>
      <c r="J2932" s="15" t="n">
        <f aca="false">IF(B2932="SITE LOSS",IF(D2932=C2932,1,0),IF(B2932="REGION LOSS",IF(E2932=C2932,1,0),0))</f>
        <v>0</v>
      </c>
      <c r="K2932" s="15" t="n">
        <f aca="false">IF(B2932="SITE LOSS",IF(COUNTIFS('Site Dockets'!$B$7:$B$24,C2932,'Site Dockets'!$C$7:$C$24,F2932)&gt;0,1,0),IF(B2932="REGION LOSS",IF(COUNTIFS('Site Dockets'!$E$7:$E$24,C2932,'Site Dockets'!$C$7:$C$24,F2932)&gt;0,1,0),0))</f>
        <v>0</v>
      </c>
      <c r="L2932" s="15" t="n">
        <f aca="false">IF(J2932=1,0,Inputs!$B$11)</f>
        <v>100</v>
      </c>
      <c r="M2932" s="15" t="n">
        <f aca="false">IF(J2932=1,0,Inputs!$B$12)</f>
        <v>75</v>
      </c>
      <c r="N2932" s="15" t="n">
        <f aca="false">IF(J2932=1,0,IF(OR(AND(OR(B2932="SITE LOSS",B2932="REGION LOSS"),K2932=1),AND(B2932="ROLE COMPROMISE",H2932=C2932)),Inputs!$B$13,Inputs!$B$14))</f>
        <v>10</v>
      </c>
      <c r="O2932" s="15" t="n">
        <f aca="false">IF(J2932=1,0,Inputs!$B$13)</f>
        <v>20</v>
      </c>
      <c r="P2932" s="15" t="n">
        <f aca="false">SUM(M2932:N2932)</f>
        <v>85</v>
      </c>
      <c r="Q2932" s="15" t="n">
        <f aca="false">IF(J2932=1,"",L2932-P2932)</f>
        <v>15</v>
      </c>
      <c r="R2932" s="15" t="n">
        <f aca="false">IF(OR(J2932=1,M2932&lt;=Inputs!$B$12),1,0)</f>
        <v>1</v>
      </c>
      <c r="S2932" s="15" t="n">
        <f aca="false">IF(OR(J2932=1,N2932&lt;=O2932),1,0)</f>
        <v>1</v>
      </c>
      <c r="T2932" s="15" t="str">
        <f aca="false">IF(J2932=1,"OFFLINE",IF(AND(Q2932&gt;=Inputs!$B$15,R2932=1,S2932=1,P2932&lt;=L2932),"PASS","FAIL"))</f>
        <v>PASS</v>
      </c>
    </row>
    <row r="2933" customFormat="false" ht="15" hidden="false" customHeight="false" outlineLevel="0" collapsed="false">
      <c r="A2933" s="14" t="s">
        <v>1050</v>
      </c>
      <c r="B2933" s="14" t="s">
        <v>1048</v>
      </c>
      <c r="C2933" s="14" t="s">
        <v>154</v>
      </c>
      <c r="D2933" s="14" t="s">
        <v>156</v>
      </c>
      <c r="E2933" s="14" t="s">
        <v>157</v>
      </c>
      <c r="F2933" s="14" t="s">
        <v>150</v>
      </c>
      <c r="G2933" s="14" t="n">
        <v>2</v>
      </c>
      <c r="H2933" s="14" t="s">
        <v>153</v>
      </c>
      <c r="I2933" s="14" t="s">
        <v>897</v>
      </c>
      <c r="J2933" s="15" t="n">
        <f aca="false">IF(B2933="SITE LOSS",IF(D2933=C2933,1,0),IF(B2933="REGION LOSS",IF(E2933=C2933,1,0),0))</f>
        <v>0</v>
      </c>
      <c r="K2933" s="15" t="n">
        <f aca="false">IF(B2933="SITE LOSS",IF(COUNTIFS('Site Dockets'!$B$7:$B$24,C2933,'Site Dockets'!$C$7:$C$24,F2933)&gt;0,1,0),IF(B2933="REGION LOSS",IF(COUNTIFS('Site Dockets'!$E$7:$E$24,C2933,'Site Dockets'!$C$7:$C$24,F2933)&gt;0,1,0),0))</f>
        <v>0</v>
      </c>
      <c r="L2933" s="15" t="n">
        <f aca="false">IF(J2933=1,0,Inputs!$B$11)</f>
        <v>100</v>
      </c>
      <c r="M2933" s="15" t="n">
        <f aca="false">IF(J2933=1,0,Inputs!$B$12)</f>
        <v>75</v>
      </c>
      <c r="N2933" s="15" t="n">
        <f aca="false">IF(J2933=1,0,IF(OR(AND(OR(B2933="SITE LOSS",B2933="REGION LOSS"),K2933=1),AND(B2933="ROLE COMPROMISE",H2933=C2933)),Inputs!$B$13,Inputs!$B$14))</f>
        <v>10</v>
      </c>
      <c r="O2933" s="15" t="n">
        <f aca="false">IF(J2933=1,0,Inputs!$B$13)</f>
        <v>20</v>
      </c>
      <c r="P2933" s="15" t="n">
        <f aca="false">SUM(M2933:N2933)</f>
        <v>85</v>
      </c>
      <c r="Q2933" s="15" t="n">
        <f aca="false">IF(J2933=1,"",L2933-P2933)</f>
        <v>15</v>
      </c>
      <c r="R2933" s="15" t="n">
        <f aca="false">IF(OR(J2933=1,M2933&lt;=Inputs!$B$12),1,0)</f>
        <v>1</v>
      </c>
      <c r="S2933" s="15" t="n">
        <f aca="false">IF(OR(J2933=1,N2933&lt;=O2933),1,0)</f>
        <v>1</v>
      </c>
      <c r="T2933" s="15" t="str">
        <f aca="false">IF(J2933=1,"OFFLINE",IF(AND(Q2933&gt;=Inputs!$B$15,R2933=1,S2933=1,P2933&lt;=L2933),"PASS","FAIL"))</f>
        <v>PASS</v>
      </c>
    </row>
    <row r="2934" customFormat="false" ht="15" hidden="false" customHeight="false" outlineLevel="0" collapsed="false">
      <c r="A2934" s="14" t="s">
        <v>1050</v>
      </c>
      <c r="B2934" s="14" t="s">
        <v>1048</v>
      </c>
      <c r="C2934" s="14" t="s">
        <v>154</v>
      </c>
      <c r="D2934" s="14" t="s">
        <v>156</v>
      </c>
      <c r="E2934" s="14" t="s">
        <v>157</v>
      </c>
      <c r="F2934" s="14" t="s">
        <v>150</v>
      </c>
      <c r="G2934" s="14" t="n">
        <v>2</v>
      </c>
      <c r="H2934" s="14" t="s">
        <v>153</v>
      </c>
      <c r="I2934" s="14" t="s">
        <v>899</v>
      </c>
      <c r="J2934" s="15" t="n">
        <f aca="false">IF(B2934="SITE LOSS",IF(D2934=C2934,1,0),IF(B2934="REGION LOSS",IF(E2934=C2934,1,0),0))</f>
        <v>0</v>
      </c>
      <c r="K2934" s="15" t="n">
        <f aca="false">IF(B2934="SITE LOSS",IF(COUNTIFS('Site Dockets'!$B$7:$B$24,C2934,'Site Dockets'!$C$7:$C$24,F2934)&gt;0,1,0),IF(B2934="REGION LOSS",IF(COUNTIFS('Site Dockets'!$E$7:$E$24,C2934,'Site Dockets'!$C$7:$C$24,F2934)&gt;0,1,0),0))</f>
        <v>0</v>
      </c>
      <c r="L2934" s="15" t="n">
        <f aca="false">IF(J2934=1,0,Inputs!$B$11)</f>
        <v>100</v>
      </c>
      <c r="M2934" s="15" t="n">
        <f aca="false">IF(J2934=1,0,Inputs!$B$12)</f>
        <v>75</v>
      </c>
      <c r="N2934" s="15" t="n">
        <f aca="false">IF(J2934=1,0,IF(OR(AND(OR(B2934="SITE LOSS",B2934="REGION LOSS"),K2934=1),AND(B2934="ROLE COMPROMISE",H2934=C2934)),Inputs!$B$13,Inputs!$B$14))</f>
        <v>10</v>
      </c>
      <c r="O2934" s="15" t="n">
        <f aca="false">IF(J2934=1,0,Inputs!$B$13)</f>
        <v>20</v>
      </c>
      <c r="P2934" s="15" t="n">
        <f aca="false">SUM(M2934:N2934)</f>
        <v>85</v>
      </c>
      <c r="Q2934" s="15" t="n">
        <f aca="false">IF(J2934=1,"",L2934-P2934)</f>
        <v>15</v>
      </c>
      <c r="R2934" s="15" t="n">
        <f aca="false">IF(OR(J2934=1,M2934&lt;=Inputs!$B$12),1,0)</f>
        <v>1</v>
      </c>
      <c r="S2934" s="15" t="n">
        <f aca="false">IF(OR(J2934=1,N2934&lt;=O2934),1,0)</f>
        <v>1</v>
      </c>
      <c r="T2934" s="15" t="str">
        <f aca="false">IF(J2934=1,"OFFLINE",IF(AND(Q2934&gt;=Inputs!$B$15,R2934=1,S2934=1,P2934&lt;=L2934),"PASS","FAIL"))</f>
        <v>PASS</v>
      </c>
    </row>
    <row r="2935" customFormat="false" ht="15" hidden="false" customHeight="false" outlineLevel="0" collapsed="false">
      <c r="A2935" s="14" t="s">
        <v>1050</v>
      </c>
      <c r="B2935" s="14" t="s">
        <v>1048</v>
      </c>
      <c r="C2935" s="14" t="s">
        <v>154</v>
      </c>
      <c r="D2935" s="14" t="s">
        <v>160</v>
      </c>
      <c r="E2935" s="14" t="s">
        <v>161</v>
      </c>
      <c r="F2935" s="14" t="s">
        <v>150</v>
      </c>
      <c r="G2935" s="14" t="n">
        <v>3</v>
      </c>
      <c r="H2935" s="14" t="s">
        <v>158</v>
      </c>
      <c r="I2935" s="14" t="s">
        <v>890</v>
      </c>
      <c r="J2935" s="15" t="n">
        <f aca="false">IF(B2935="SITE LOSS",IF(D2935=C2935,1,0),IF(B2935="REGION LOSS",IF(E2935=C2935,1,0),0))</f>
        <v>0</v>
      </c>
      <c r="K2935" s="15" t="n">
        <f aca="false">IF(B2935="SITE LOSS",IF(COUNTIFS('Site Dockets'!$B$7:$B$24,C2935,'Site Dockets'!$C$7:$C$24,F2935)&gt;0,1,0),IF(B2935="REGION LOSS",IF(COUNTIFS('Site Dockets'!$E$7:$E$24,C2935,'Site Dockets'!$C$7:$C$24,F2935)&gt;0,1,0),0))</f>
        <v>0</v>
      </c>
      <c r="L2935" s="15" t="n">
        <f aca="false">IF(J2935=1,0,Inputs!$B$11)</f>
        <v>100</v>
      </c>
      <c r="M2935" s="15" t="n">
        <f aca="false">IF(J2935=1,0,Inputs!$B$12)</f>
        <v>75</v>
      </c>
      <c r="N2935" s="15" t="n">
        <f aca="false">IF(J2935=1,0,IF(OR(AND(OR(B2935="SITE LOSS",B2935="REGION LOSS"),K2935=1),AND(B2935="ROLE COMPROMISE",H2935=C2935)),Inputs!$B$13,Inputs!$B$14))</f>
        <v>10</v>
      </c>
      <c r="O2935" s="15" t="n">
        <f aca="false">IF(J2935=1,0,Inputs!$B$13)</f>
        <v>20</v>
      </c>
      <c r="P2935" s="15" t="n">
        <f aca="false">SUM(M2935:N2935)</f>
        <v>85</v>
      </c>
      <c r="Q2935" s="15" t="n">
        <f aca="false">IF(J2935=1,"",L2935-P2935)</f>
        <v>15</v>
      </c>
      <c r="R2935" s="15" t="n">
        <f aca="false">IF(OR(J2935=1,M2935&lt;=Inputs!$B$12),1,0)</f>
        <v>1</v>
      </c>
      <c r="S2935" s="15" t="n">
        <f aca="false">IF(OR(J2935=1,N2935&lt;=O2935),1,0)</f>
        <v>1</v>
      </c>
      <c r="T2935" s="15" t="str">
        <f aca="false">IF(J2935=1,"OFFLINE",IF(AND(Q2935&gt;=Inputs!$B$15,R2935=1,S2935=1,P2935&lt;=L2935),"PASS","FAIL"))</f>
        <v>PASS</v>
      </c>
    </row>
    <row r="2936" customFormat="false" ht="15" hidden="false" customHeight="false" outlineLevel="0" collapsed="false">
      <c r="A2936" s="14" t="s">
        <v>1050</v>
      </c>
      <c r="B2936" s="14" t="s">
        <v>1048</v>
      </c>
      <c r="C2936" s="14" t="s">
        <v>154</v>
      </c>
      <c r="D2936" s="14" t="s">
        <v>160</v>
      </c>
      <c r="E2936" s="14" t="s">
        <v>161</v>
      </c>
      <c r="F2936" s="14" t="s">
        <v>150</v>
      </c>
      <c r="G2936" s="14" t="n">
        <v>3</v>
      </c>
      <c r="H2936" s="14" t="s">
        <v>158</v>
      </c>
      <c r="I2936" s="14" t="s">
        <v>892</v>
      </c>
      <c r="J2936" s="15" t="n">
        <f aca="false">IF(B2936="SITE LOSS",IF(D2936=C2936,1,0),IF(B2936="REGION LOSS",IF(E2936=C2936,1,0),0))</f>
        <v>0</v>
      </c>
      <c r="K2936" s="15" t="n">
        <f aca="false">IF(B2936="SITE LOSS",IF(COUNTIFS('Site Dockets'!$B$7:$B$24,C2936,'Site Dockets'!$C$7:$C$24,F2936)&gt;0,1,0),IF(B2936="REGION LOSS",IF(COUNTIFS('Site Dockets'!$E$7:$E$24,C2936,'Site Dockets'!$C$7:$C$24,F2936)&gt;0,1,0),0))</f>
        <v>0</v>
      </c>
      <c r="L2936" s="15" t="n">
        <f aca="false">IF(J2936=1,0,Inputs!$B$11)</f>
        <v>100</v>
      </c>
      <c r="M2936" s="15" t="n">
        <f aca="false">IF(J2936=1,0,Inputs!$B$12)</f>
        <v>75</v>
      </c>
      <c r="N2936" s="15" t="n">
        <f aca="false">IF(J2936=1,0,IF(OR(AND(OR(B2936="SITE LOSS",B2936="REGION LOSS"),K2936=1),AND(B2936="ROLE COMPROMISE",H2936=C2936)),Inputs!$B$13,Inputs!$B$14))</f>
        <v>10</v>
      </c>
      <c r="O2936" s="15" t="n">
        <f aca="false">IF(J2936=1,0,Inputs!$B$13)</f>
        <v>20</v>
      </c>
      <c r="P2936" s="15" t="n">
        <f aca="false">SUM(M2936:N2936)</f>
        <v>85</v>
      </c>
      <c r="Q2936" s="15" t="n">
        <f aca="false">IF(J2936=1,"",L2936-P2936)</f>
        <v>15</v>
      </c>
      <c r="R2936" s="15" t="n">
        <f aca="false">IF(OR(J2936=1,M2936&lt;=Inputs!$B$12),1,0)</f>
        <v>1</v>
      </c>
      <c r="S2936" s="15" t="n">
        <f aca="false">IF(OR(J2936=1,N2936&lt;=O2936),1,0)</f>
        <v>1</v>
      </c>
      <c r="T2936" s="15" t="str">
        <f aca="false">IF(J2936=1,"OFFLINE",IF(AND(Q2936&gt;=Inputs!$B$15,R2936=1,S2936=1,P2936&lt;=L2936),"PASS","FAIL"))</f>
        <v>PASS</v>
      </c>
    </row>
    <row r="2937" customFormat="false" ht="15" hidden="false" customHeight="false" outlineLevel="0" collapsed="false">
      <c r="A2937" s="14" t="s">
        <v>1050</v>
      </c>
      <c r="B2937" s="14" t="s">
        <v>1048</v>
      </c>
      <c r="C2937" s="14" t="s">
        <v>154</v>
      </c>
      <c r="D2937" s="14" t="s">
        <v>160</v>
      </c>
      <c r="E2937" s="14" t="s">
        <v>161</v>
      </c>
      <c r="F2937" s="14" t="s">
        <v>150</v>
      </c>
      <c r="G2937" s="14" t="n">
        <v>3</v>
      </c>
      <c r="H2937" s="14" t="s">
        <v>158</v>
      </c>
      <c r="I2937" s="14" t="s">
        <v>811</v>
      </c>
      <c r="J2937" s="15" t="n">
        <f aca="false">IF(B2937="SITE LOSS",IF(D2937=C2937,1,0),IF(B2937="REGION LOSS",IF(E2937=C2937,1,0),0))</f>
        <v>0</v>
      </c>
      <c r="K2937" s="15" t="n">
        <f aca="false">IF(B2937="SITE LOSS",IF(COUNTIFS('Site Dockets'!$B$7:$B$24,C2937,'Site Dockets'!$C$7:$C$24,F2937)&gt;0,1,0),IF(B2937="REGION LOSS",IF(COUNTIFS('Site Dockets'!$E$7:$E$24,C2937,'Site Dockets'!$C$7:$C$24,F2937)&gt;0,1,0),0))</f>
        <v>0</v>
      </c>
      <c r="L2937" s="15" t="n">
        <f aca="false">IF(J2937=1,0,Inputs!$B$11)</f>
        <v>100</v>
      </c>
      <c r="M2937" s="15" t="n">
        <f aca="false">IF(J2937=1,0,Inputs!$B$12)</f>
        <v>75</v>
      </c>
      <c r="N2937" s="15" t="n">
        <f aca="false">IF(J2937=1,0,IF(OR(AND(OR(B2937="SITE LOSS",B2937="REGION LOSS"),K2937=1),AND(B2937="ROLE COMPROMISE",H2937=C2937)),Inputs!$B$13,Inputs!$B$14))</f>
        <v>10</v>
      </c>
      <c r="O2937" s="15" t="n">
        <f aca="false">IF(J2937=1,0,Inputs!$B$13)</f>
        <v>20</v>
      </c>
      <c r="P2937" s="15" t="n">
        <f aca="false">SUM(M2937:N2937)</f>
        <v>85</v>
      </c>
      <c r="Q2937" s="15" t="n">
        <f aca="false">IF(J2937=1,"",L2937-P2937)</f>
        <v>15</v>
      </c>
      <c r="R2937" s="15" t="n">
        <f aca="false">IF(OR(J2937=1,M2937&lt;=Inputs!$B$12),1,0)</f>
        <v>1</v>
      </c>
      <c r="S2937" s="15" t="n">
        <f aca="false">IF(OR(J2937=1,N2937&lt;=O2937),1,0)</f>
        <v>1</v>
      </c>
      <c r="T2937" s="15" t="str">
        <f aca="false">IF(J2937=1,"OFFLINE",IF(AND(Q2937&gt;=Inputs!$B$15,R2937=1,S2937=1,P2937&lt;=L2937),"PASS","FAIL"))</f>
        <v>PASS</v>
      </c>
    </row>
    <row r="2938" customFormat="false" ht="15" hidden="false" customHeight="false" outlineLevel="0" collapsed="false">
      <c r="A2938" s="14" t="s">
        <v>1050</v>
      </c>
      <c r="B2938" s="14" t="s">
        <v>1048</v>
      </c>
      <c r="C2938" s="14" t="s">
        <v>154</v>
      </c>
      <c r="D2938" s="14" t="s">
        <v>160</v>
      </c>
      <c r="E2938" s="14" t="s">
        <v>161</v>
      </c>
      <c r="F2938" s="14" t="s">
        <v>150</v>
      </c>
      <c r="G2938" s="14" t="n">
        <v>3</v>
      </c>
      <c r="H2938" s="14" t="s">
        <v>158</v>
      </c>
      <c r="I2938" s="14" t="s">
        <v>895</v>
      </c>
      <c r="J2938" s="15" t="n">
        <f aca="false">IF(B2938="SITE LOSS",IF(D2938=C2938,1,0),IF(B2938="REGION LOSS",IF(E2938=C2938,1,0),0))</f>
        <v>0</v>
      </c>
      <c r="K2938" s="15" t="n">
        <f aca="false">IF(B2938="SITE LOSS",IF(COUNTIFS('Site Dockets'!$B$7:$B$24,C2938,'Site Dockets'!$C$7:$C$24,F2938)&gt;0,1,0),IF(B2938="REGION LOSS",IF(COUNTIFS('Site Dockets'!$E$7:$E$24,C2938,'Site Dockets'!$C$7:$C$24,F2938)&gt;0,1,0),0))</f>
        <v>0</v>
      </c>
      <c r="L2938" s="15" t="n">
        <f aca="false">IF(J2938=1,0,Inputs!$B$11)</f>
        <v>100</v>
      </c>
      <c r="M2938" s="15" t="n">
        <f aca="false">IF(J2938=1,0,Inputs!$B$12)</f>
        <v>75</v>
      </c>
      <c r="N2938" s="15" t="n">
        <f aca="false">IF(J2938=1,0,IF(OR(AND(OR(B2938="SITE LOSS",B2938="REGION LOSS"),K2938=1),AND(B2938="ROLE COMPROMISE",H2938=C2938)),Inputs!$B$13,Inputs!$B$14))</f>
        <v>10</v>
      </c>
      <c r="O2938" s="15" t="n">
        <f aca="false">IF(J2938=1,0,Inputs!$B$13)</f>
        <v>20</v>
      </c>
      <c r="P2938" s="15" t="n">
        <f aca="false">SUM(M2938:N2938)</f>
        <v>85</v>
      </c>
      <c r="Q2938" s="15" t="n">
        <f aca="false">IF(J2938=1,"",L2938-P2938)</f>
        <v>15</v>
      </c>
      <c r="R2938" s="15" t="n">
        <f aca="false">IF(OR(J2938=1,M2938&lt;=Inputs!$B$12),1,0)</f>
        <v>1</v>
      </c>
      <c r="S2938" s="15" t="n">
        <f aca="false">IF(OR(J2938=1,N2938&lt;=O2938),1,0)</f>
        <v>1</v>
      </c>
      <c r="T2938" s="15" t="str">
        <f aca="false">IF(J2938=1,"OFFLINE",IF(AND(Q2938&gt;=Inputs!$B$15,R2938=1,S2938=1,P2938&lt;=L2938),"PASS","FAIL"))</f>
        <v>PASS</v>
      </c>
    </row>
    <row r="2939" customFormat="false" ht="15" hidden="false" customHeight="false" outlineLevel="0" collapsed="false">
      <c r="A2939" s="14" t="s">
        <v>1050</v>
      </c>
      <c r="B2939" s="14" t="s">
        <v>1048</v>
      </c>
      <c r="C2939" s="14" t="s">
        <v>154</v>
      </c>
      <c r="D2939" s="14" t="s">
        <v>160</v>
      </c>
      <c r="E2939" s="14" t="s">
        <v>161</v>
      </c>
      <c r="F2939" s="14" t="s">
        <v>150</v>
      </c>
      <c r="G2939" s="14" t="n">
        <v>3</v>
      </c>
      <c r="H2939" s="14" t="s">
        <v>158</v>
      </c>
      <c r="I2939" s="14" t="s">
        <v>897</v>
      </c>
      <c r="J2939" s="15" t="n">
        <f aca="false">IF(B2939="SITE LOSS",IF(D2939=C2939,1,0),IF(B2939="REGION LOSS",IF(E2939=C2939,1,0),0))</f>
        <v>0</v>
      </c>
      <c r="K2939" s="15" t="n">
        <f aca="false">IF(B2939="SITE LOSS",IF(COUNTIFS('Site Dockets'!$B$7:$B$24,C2939,'Site Dockets'!$C$7:$C$24,F2939)&gt;0,1,0),IF(B2939="REGION LOSS",IF(COUNTIFS('Site Dockets'!$E$7:$E$24,C2939,'Site Dockets'!$C$7:$C$24,F2939)&gt;0,1,0),0))</f>
        <v>0</v>
      </c>
      <c r="L2939" s="15" t="n">
        <f aca="false">IF(J2939=1,0,Inputs!$B$11)</f>
        <v>100</v>
      </c>
      <c r="M2939" s="15" t="n">
        <f aca="false">IF(J2939=1,0,Inputs!$B$12)</f>
        <v>75</v>
      </c>
      <c r="N2939" s="15" t="n">
        <f aca="false">IF(J2939=1,0,IF(OR(AND(OR(B2939="SITE LOSS",B2939="REGION LOSS"),K2939=1),AND(B2939="ROLE COMPROMISE",H2939=C2939)),Inputs!$B$13,Inputs!$B$14))</f>
        <v>10</v>
      </c>
      <c r="O2939" s="15" t="n">
        <f aca="false">IF(J2939=1,0,Inputs!$B$13)</f>
        <v>20</v>
      </c>
      <c r="P2939" s="15" t="n">
        <f aca="false">SUM(M2939:N2939)</f>
        <v>85</v>
      </c>
      <c r="Q2939" s="15" t="n">
        <f aca="false">IF(J2939=1,"",L2939-P2939)</f>
        <v>15</v>
      </c>
      <c r="R2939" s="15" t="n">
        <f aca="false">IF(OR(J2939=1,M2939&lt;=Inputs!$B$12),1,0)</f>
        <v>1</v>
      </c>
      <c r="S2939" s="15" t="n">
        <f aca="false">IF(OR(J2939=1,N2939&lt;=O2939),1,0)</f>
        <v>1</v>
      </c>
      <c r="T2939" s="15" t="str">
        <f aca="false">IF(J2939=1,"OFFLINE",IF(AND(Q2939&gt;=Inputs!$B$15,R2939=1,S2939=1,P2939&lt;=L2939),"PASS","FAIL"))</f>
        <v>PASS</v>
      </c>
    </row>
    <row r="2940" customFormat="false" ht="15" hidden="false" customHeight="false" outlineLevel="0" collapsed="false">
      <c r="A2940" s="14" t="s">
        <v>1050</v>
      </c>
      <c r="B2940" s="14" t="s">
        <v>1048</v>
      </c>
      <c r="C2940" s="14" t="s">
        <v>154</v>
      </c>
      <c r="D2940" s="14" t="s">
        <v>160</v>
      </c>
      <c r="E2940" s="14" t="s">
        <v>161</v>
      </c>
      <c r="F2940" s="14" t="s">
        <v>150</v>
      </c>
      <c r="G2940" s="14" t="n">
        <v>3</v>
      </c>
      <c r="H2940" s="14" t="s">
        <v>158</v>
      </c>
      <c r="I2940" s="14" t="s">
        <v>899</v>
      </c>
      <c r="J2940" s="15" t="n">
        <f aca="false">IF(B2940="SITE LOSS",IF(D2940=C2940,1,0),IF(B2940="REGION LOSS",IF(E2940=C2940,1,0),0))</f>
        <v>0</v>
      </c>
      <c r="K2940" s="15" t="n">
        <f aca="false">IF(B2940="SITE LOSS",IF(COUNTIFS('Site Dockets'!$B$7:$B$24,C2940,'Site Dockets'!$C$7:$C$24,F2940)&gt;0,1,0),IF(B2940="REGION LOSS",IF(COUNTIFS('Site Dockets'!$E$7:$E$24,C2940,'Site Dockets'!$C$7:$C$24,F2940)&gt;0,1,0),0))</f>
        <v>0</v>
      </c>
      <c r="L2940" s="15" t="n">
        <f aca="false">IF(J2940=1,0,Inputs!$B$11)</f>
        <v>100</v>
      </c>
      <c r="M2940" s="15" t="n">
        <f aca="false">IF(J2940=1,0,Inputs!$B$12)</f>
        <v>75</v>
      </c>
      <c r="N2940" s="15" t="n">
        <f aca="false">IF(J2940=1,0,IF(OR(AND(OR(B2940="SITE LOSS",B2940="REGION LOSS"),K2940=1),AND(B2940="ROLE COMPROMISE",H2940=C2940)),Inputs!$B$13,Inputs!$B$14))</f>
        <v>10</v>
      </c>
      <c r="O2940" s="15" t="n">
        <f aca="false">IF(J2940=1,0,Inputs!$B$13)</f>
        <v>20</v>
      </c>
      <c r="P2940" s="15" t="n">
        <f aca="false">SUM(M2940:N2940)</f>
        <v>85</v>
      </c>
      <c r="Q2940" s="15" t="n">
        <f aca="false">IF(J2940=1,"",L2940-P2940)</f>
        <v>15</v>
      </c>
      <c r="R2940" s="15" t="n">
        <f aca="false">IF(OR(J2940=1,M2940&lt;=Inputs!$B$12),1,0)</f>
        <v>1</v>
      </c>
      <c r="S2940" s="15" t="n">
        <f aca="false">IF(OR(J2940=1,N2940&lt;=O2940),1,0)</f>
        <v>1</v>
      </c>
      <c r="T2940" s="15" t="str">
        <f aca="false">IF(J2940=1,"OFFLINE",IF(AND(Q2940&gt;=Inputs!$B$15,R2940=1,S2940=1,P2940&lt;=L2940),"PASS","FAIL"))</f>
        <v>PASS</v>
      </c>
    </row>
    <row r="2941" customFormat="false" ht="15" hidden="false" customHeight="false" outlineLevel="0" collapsed="false">
      <c r="A2941" s="14" t="s">
        <v>1050</v>
      </c>
      <c r="B2941" s="14" t="s">
        <v>1048</v>
      </c>
      <c r="C2941" s="14" t="s">
        <v>154</v>
      </c>
      <c r="D2941" s="14" t="s">
        <v>163</v>
      </c>
      <c r="E2941" s="14" t="s">
        <v>166</v>
      </c>
      <c r="F2941" s="14" t="s">
        <v>164</v>
      </c>
      <c r="G2941" s="14" t="n">
        <v>1</v>
      </c>
      <c r="H2941" s="14" t="s">
        <v>154</v>
      </c>
      <c r="I2941" s="14" t="s">
        <v>890</v>
      </c>
      <c r="J2941" s="15" t="n">
        <f aca="false">IF(B2941="SITE LOSS",IF(D2941=C2941,1,0),IF(B2941="REGION LOSS",IF(E2941=C2941,1,0),0))</f>
        <v>0</v>
      </c>
      <c r="K2941" s="15" t="n">
        <f aca="false">IF(B2941="SITE LOSS",IF(COUNTIFS('Site Dockets'!$B$7:$B$24,C2941,'Site Dockets'!$C$7:$C$24,F2941)&gt;0,1,0),IF(B2941="REGION LOSS",IF(COUNTIFS('Site Dockets'!$E$7:$E$24,C2941,'Site Dockets'!$C$7:$C$24,F2941)&gt;0,1,0),0))</f>
        <v>0</v>
      </c>
      <c r="L2941" s="15" t="n">
        <f aca="false">IF(J2941=1,0,Inputs!$B$11)</f>
        <v>100</v>
      </c>
      <c r="M2941" s="15" t="n">
        <f aca="false">IF(J2941=1,0,Inputs!$B$12)</f>
        <v>75</v>
      </c>
      <c r="N2941" s="15" t="n">
        <f aca="false">IF(J2941=1,0,IF(OR(AND(OR(B2941="SITE LOSS",B2941="REGION LOSS"),K2941=1),AND(B2941="ROLE COMPROMISE",H2941=C2941)),Inputs!$B$13,Inputs!$B$14))</f>
        <v>20</v>
      </c>
      <c r="O2941" s="15" t="n">
        <f aca="false">IF(J2941=1,0,Inputs!$B$13)</f>
        <v>20</v>
      </c>
      <c r="P2941" s="15" t="n">
        <f aca="false">SUM(M2941:N2941)</f>
        <v>95</v>
      </c>
      <c r="Q2941" s="15" t="n">
        <f aca="false">IF(J2941=1,"",L2941-P2941)</f>
        <v>5</v>
      </c>
      <c r="R2941" s="15" t="n">
        <f aca="false">IF(OR(J2941=1,M2941&lt;=Inputs!$B$12),1,0)</f>
        <v>1</v>
      </c>
      <c r="S2941" s="15" t="n">
        <f aca="false">IF(OR(J2941=1,N2941&lt;=O2941),1,0)</f>
        <v>1</v>
      </c>
      <c r="T2941" s="15" t="str">
        <f aca="false">IF(J2941=1,"OFFLINE",IF(AND(Q2941&gt;=Inputs!$B$15,R2941=1,S2941=1,P2941&lt;=L2941),"PASS","FAIL"))</f>
        <v>PASS</v>
      </c>
    </row>
    <row r="2942" customFormat="false" ht="15" hidden="false" customHeight="false" outlineLevel="0" collapsed="false">
      <c r="A2942" s="14" t="s">
        <v>1050</v>
      </c>
      <c r="B2942" s="14" t="s">
        <v>1048</v>
      </c>
      <c r="C2942" s="14" t="s">
        <v>154</v>
      </c>
      <c r="D2942" s="14" t="s">
        <v>163</v>
      </c>
      <c r="E2942" s="14" t="s">
        <v>166</v>
      </c>
      <c r="F2942" s="14" t="s">
        <v>164</v>
      </c>
      <c r="G2942" s="14" t="n">
        <v>1</v>
      </c>
      <c r="H2942" s="14" t="s">
        <v>154</v>
      </c>
      <c r="I2942" s="14" t="s">
        <v>892</v>
      </c>
      <c r="J2942" s="15" t="n">
        <f aca="false">IF(B2942="SITE LOSS",IF(D2942=C2942,1,0),IF(B2942="REGION LOSS",IF(E2942=C2942,1,0),0))</f>
        <v>0</v>
      </c>
      <c r="K2942" s="15" t="n">
        <f aca="false">IF(B2942="SITE LOSS",IF(COUNTIFS('Site Dockets'!$B$7:$B$24,C2942,'Site Dockets'!$C$7:$C$24,F2942)&gt;0,1,0),IF(B2942="REGION LOSS",IF(COUNTIFS('Site Dockets'!$E$7:$E$24,C2942,'Site Dockets'!$C$7:$C$24,F2942)&gt;0,1,0),0))</f>
        <v>0</v>
      </c>
      <c r="L2942" s="15" t="n">
        <f aca="false">IF(J2942=1,0,Inputs!$B$11)</f>
        <v>100</v>
      </c>
      <c r="M2942" s="15" t="n">
        <f aca="false">IF(J2942=1,0,Inputs!$B$12)</f>
        <v>75</v>
      </c>
      <c r="N2942" s="15" t="n">
        <f aca="false">IF(J2942=1,0,IF(OR(AND(OR(B2942="SITE LOSS",B2942="REGION LOSS"),K2942=1),AND(B2942="ROLE COMPROMISE",H2942=C2942)),Inputs!$B$13,Inputs!$B$14))</f>
        <v>20</v>
      </c>
      <c r="O2942" s="15" t="n">
        <f aca="false">IF(J2942=1,0,Inputs!$B$13)</f>
        <v>20</v>
      </c>
      <c r="P2942" s="15" t="n">
        <f aca="false">SUM(M2942:N2942)</f>
        <v>95</v>
      </c>
      <c r="Q2942" s="15" t="n">
        <f aca="false">IF(J2942=1,"",L2942-P2942)</f>
        <v>5</v>
      </c>
      <c r="R2942" s="15" t="n">
        <f aca="false">IF(OR(J2942=1,M2942&lt;=Inputs!$B$12),1,0)</f>
        <v>1</v>
      </c>
      <c r="S2942" s="15" t="n">
        <f aca="false">IF(OR(J2942=1,N2942&lt;=O2942),1,0)</f>
        <v>1</v>
      </c>
      <c r="T2942" s="15" t="str">
        <f aca="false">IF(J2942=1,"OFFLINE",IF(AND(Q2942&gt;=Inputs!$B$15,R2942=1,S2942=1,P2942&lt;=L2942),"PASS","FAIL"))</f>
        <v>PASS</v>
      </c>
    </row>
    <row r="2943" customFormat="false" ht="15" hidden="false" customHeight="false" outlineLevel="0" collapsed="false">
      <c r="A2943" s="14" t="s">
        <v>1050</v>
      </c>
      <c r="B2943" s="14" t="s">
        <v>1048</v>
      </c>
      <c r="C2943" s="14" t="s">
        <v>154</v>
      </c>
      <c r="D2943" s="14" t="s">
        <v>163</v>
      </c>
      <c r="E2943" s="14" t="s">
        <v>166</v>
      </c>
      <c r="F2943" s="14" t="s">
        <v>164</v>
      </c>
      <c r="G2943" s="14" t="n">
        <v>1</v>
      </c>
      <c r="H2943" s="14" t="s">
        <v>154</v>
      </c>
      <c r="I2943" s="14" t="s">
        <v>811</v>
      </c>
      <c r="J2943" s="15" t="n">
        <f aca="false">IF(B2943="SITE LOSS",IF(D2943=C2943,1,0),IF(B2943="REGION LOSS",IF(E2943=C2943,1,0),0))</f>
        <v>0</v>
      </c>
      <c r="K2943" s="15" t="n">
        <f aca="false">IF(B2943="SITE LOSS",IF(COUNTIFS('Site Dockets'!$B$7:$B$24,C2943,'Site Dockets'!$C$7:$C$24,F2943)&gt;0,1,0),IF(B2943="REGION LOSS",IF(COUNTIFS('Site Dockets'!$E$7:$E$24,C2943,'Site Dockets'!$C$7:$C$24,F2943)&gt;0,1,0),0))</f>
        <v>0</v>
      </c>
      <c r="L2943" s="15" t="n">
        <f aca="false">IF(J2943=1,0,Inputs!$B$11)</f>
        <v>100</v>
      </c>
      <c r="M2943" s="15" t="n">
        <f aca="false">IF(J2943=1,0,Inputs!$B$12)</f>
        <v>75</v>
      </c>
      <c r="N2943" s="15" t="n">
        <f aca="false">IF(J2943=1,0,IF(OR(AND(OR(B2943="SITE LOSS",B2943="REGION LOSS"),K2943=1),AND(B2943="ROLE COMPROMISE",H2943=C2943)),Inputs!$B$13,Inputs!$B$14))</f>
        <v>20</v>
      </c>
      <c r="O2943" s="15" t="n">
        <f aca="false">IF(J2943=1,0,Inputs!$B$13)</f>
        <v>20</v>
      </c>
      <c r="P2943" s="15" t="n">
        <f aca="false">SUM(M2943:N2943)</f>
        <v>95</v>
      </c>
      <c r="Q2943" s="15" t="n">
        <f aca="false">IF(J2943=1,"",L2943-P2943)</f>
        <v>5</v>
      </c>
      <c r="R2943" s="15" t="n">
        <f aca="false">IF(OR(J2943=1,M2943&lt;=Inputs!$B$12),1,0)</f>
        <v>1</v>
      </c>
      <c r="S2943" s="15" t="n">
        <f aca="false">IF(OR(J2943=1,N2943&lt;=O2943),1,0)</f>
        <v>1</v>
      </c>
      <c r="T2943" s="15" t="str">
        <f aca="false">IF(J2943=1,"OFFLINE",IF(AND(Q2943&gt;=Inputs!$B$15,R2943=1,S2943=1,P2943&lt;=L2943),"PASS","FAIL"))</f>
        <v>PASS</v>
      </c>
    </row>
    <row r="2944" customFormat="false" ht="15" hidden="false" customHeight="false" outlineLevel="0" collapsed="false">
      <c r="A2944" s="14" t="s">
        <v>1050</v>
      </c>
      <c r="B2944" s="14" t="s">
        <v>1048</v>
      </c>
      <c r="C2944" s="14" t="s">
        <v>154</v>
      </c>
      <c r="D2944" s="14" t="s">
        <v>163</v>
      </c>
      <c r="E2944" s="14" t="s">
        <v>166</v>
      </c>
      <c r="F2944" s="14" t="s">
        <v>164</v>
      </c>
      <c r="G2944" s="14" t="n">
        <v>1</v>
      </c>
      <c r="H2944" s="14" t="s">
        <v>154</v>
      </c>
      <c r="I2944" s="14" t="s">
        <v>895</v>
      </c>
      <c r="J2944" s="15" t="n">
        <f aca="false">IF(B2944="SITE LOSS",IF(D2944=C2944,1,0),IF(B2944="REGION LOSS",IF(E2944=C2944,1,0),0))</f>
        <v>0</v>
      </c>
      <c r="K2944" s="15" t="n">
        <f aca="false">IF(B2944="SITE LOSS",IF(COUNTIFS('Site Dockets'!$B$7:$B$24,C2944,'Site Dockets'!$C$7:$C$24,F2944)&gt;0,1,0),IF(B2944="REGION LOSS",IF(COUNTIFS('Site Dockets'!$E$7:$E$24,C2944,'Site Dockets'!$C$7:$C$24,F2944)&gt;0,1,0),0))</f>
        <v>0</v>
      </c>
      <c r="L2944" s="15" t="n">
        <f aca="false">IF(J2944=1,0,Inputs!$B$11)</f>
        <v>100</v>
      </c>
      <c r="M2944" s="15" t="n">
        <f aca="false">IF(J2944=1,0,Inputs!$B$12)</f>
        <v>75</v>
      </c>
      <c r="N2944" s="15" t="n">
        <f aca="false">IF(J2944=1,0,IF(OR(AND(OR(B2944="SITE LOSS",B2944="REGION LOSS"),K2944=1),AND(B2944="ROLE COMPROMISE",H2944=C2944)),Inputs!$B$13,Inputs!$B$14))</f>
        <v>20</v>
      </c>
      <c r="O2944" s="15" t="n">
        <f aca="false">IF(J2944=1,0,Inputs!$B$13)</f>
        <v>20</v>
      </c>
      <c r="P2944" s="15" t="n">
        <f aca="false">SUM(M2944:N2944)</f>
        <v>95</v>
      </c>
      <c r="Q2944" s="15" t="n">
        <f aca="false">IF(J2944=1,"",L2944-P2944)</f>
        <v>5</v>
      </c>
      <c r="R2944" s="15" t="n">
        <f aca="false">IF(OR(J2944=1,M2944&lt;=Inputs!$B$12),1,0)</f>
        <v>1</v>
      </c>
      <c r="S2944" s="15" t="n">
        <f aca="false">IF(OR(J2944=1,N2944&lt;=O2944),1,0)</f>
        <v>1</v>
      </c>
      <c r="T2944" s="15" t="str">
        <f aca="false">IF(J2944=1,"OFFLINE",IF(AND(Q2944&gt;=Inputs!$B$15,R2944=1,S2944=1,P2944&lt;=L2944),"PASS","FAIL"))</f>
        <v>PASS</v>
      </c>
    </row>
    <row r="2945" customFormat="false" ht="15" hidden="false" customHeight="false" outlineLevel="0" collapsed="false">
      <c r="A2945" s="14" t="s">
        <v>1050</v>
      </c>
      <c r="B2945" s="14" t="s">
        <v>1048</v>
      </c>
      <c r="C2945" s="14" t="s">
        <v>154</v>
      </c>
      <c r="D2945" s="14" t="s">
        <v>163</v>
      </c>
      <c r="E2945" s="14" t="s">
        <v>166</v>
      </c>
      <c r="F2945" s="14" t="s">
        <v>164</v>
      </c>
      <c r="G2945" s="14" t="n">
        <v>1</v>
      </c>
      <c r="H2945" s="14" t="s">
        <v>154</v>
      </c>
      <c r="I2945" s="14" t="s">
        <v>897</v>
      </c>
      <c r="J2945" s="15" t="n">
        <f aca="false">IF(B2945="SITE LOSS",IF(D2945=C2945,1,0),IF(B2945="REGION LOSS",IF(E2945=C2945,1,0),0))</f>
        <v>0</v>
      </c>
      <c r="K2945" s="15" t="n">
        <f aca="false">IF(B2945="SITE LOSS",IF(COUNTIFS('Site Dockets'!$B$7:$B$24,C2945,'Site Dockets'!$C$7:$C$24,F2945)&gt;0,1,0),IF(B2945="REGION LOSS",IF(COUNTIFS('Site Dockets'!$E$7:$E$24,C2945,'Site Dockets'!$C$7:$C$24,F2945)&gt;0,1,0),0))</f>
        <v>0</v>
      </c>
      <c r="L2945" s="15" t="n">
        <f aca="false">IF(J2945=1,0,Inputs!$B$11)</f>
        <v>100</v>
      </c>
      <c r="M2945" s="15" t="n">
        <f aca="false">IF(J2945=1,0,Inputs!$B$12)</f>
        <v>75</v>
      </c>
      <c r="N2945" s="15" t="n">
        <f aca="false">IF(J2945=1,0,IF(OR(AND(OR(B2945="SITE LOSS",B2945="REGION LOSS"),K2945=1),AND(B2945="ROLE COMPROMISE",H2945=C2945)),Inputs!$B$13,Inputs!$B$14))</f>
        <v>20</v>
      </c>
      <c r="O2945" s="15" t="n">
        <f aca="false">IF(J2945=1,0,Inputs!$B$13)</f>
        <v>20</v>
      </c>
      <c r="P2945" s="15" t="n">
        <f aca="false">SUM(M2945:N2945)</f>
        <v>95</v>
      </c>
      <c r="Q2945" s="15" t="n">
        <f aca="false">IF(J2945=1,"",L2945-P2945)</f>
        <v>5</v>
      </c>
      <c r="R2945" s="15" t="n">
        <f aca="false">IF(OR(J2945=1,M2945&lt;=Inputs!$B$12),1,0)</f>
        <v>1</v>
      </c>
      <c r="S2945" s="15" t="n">
        <f aca="false">IF(OR(J2945=1,N2945&lt;=O2945),1,0)</f>
        <v>1</v>
      </c>
      <c r="T2945" s="15" t="str">
        <f aca="false">IF(J2945=1,"OFFLINE",IF(AND(Q2945&gt;=Inputs!$B$15,R2945=1,S2945=1,P2945&lt;=L2945),"PASS","FAIL"))</f>
        <v>PASS</v>
      </c>
    </row>
    <row r="2946" customFormat="false" ht="15" hidden="false" customHeight="false" outlineLevel="0" collapsed="false">
      <c r="A2946" s="14" t="s">
        <v>1050</v>
      </c>
      <c r="B2946" s="14" t="s">
        <v>1048</v>
      </c>
      <c r="C2946" s="14" t="s">
        <v>154</v>
      </c>
      <c r="D2946" s="14" t="s">
        <v>163</v>
      </c>
      <c r="E2946" s="14" t="s">
        <v>166</v>
      </c>
      <c r="F2946" s="14" t="s">
        <v>164</v>
      </c>
      <c r="G2946" s="14" t="n">
        <v>1</v>
      </c>
      <c r="H2946" s="14" t="s">
        <v>154</v>
      </c>
      <c r="I2946" s="14" t="s">
        <v>899</v>
      </c>
      <c r="J2946" s="15" t="n">
        <f aca="false">IF(B2946="SITE LOSS",IF(D2946=C2946,1,0),IF(B2946="REGION LOSS",IF(E2946=C2946,1,0),0))</f>
        <v>0</v>
      </c>
      <c r="K2946" s="15" t="n">
        <f aca="false">IF(B2946="SITE LOSS",IF(COUNTIFS('Site Dockets'!$B$7:$B$24,C2946,'Site Dockets'!$C$7:$C$24,F2946)&gt;0,1,0),IF(B2946="REGION LOSS",IF(COUNTIFS('Site Dockets'!$E$7:$E$24,C2946,'Site Dockets'!$C$7:$C$24,F2946)&gt;0,1,0),0))</f>
        <v>0</v>
      </c>
      <c r="L2946" s="15" t="n">
        <f aca="false">IF(J2946=1,0,Inputs!$B$11)</f>
        <v>100</v>
      </c>
      <c r="M2946" s="15" t="n">
        <f aca="false">IF(J2946=1,0,Inputs!$B$12)</f>
        <v>75</v>
      </c>
      <c r="N2946" s="15" t="n">
        <f aca="false">IF(J2946=1,0,IF(OR(AND(OR(B2946="SITE LOSS",B2946="REGION LOSS"),K2946=1),AND(B2946="ROLE COMPROMISE",H2946=C2946)),Inputs!$B$13,Inputs!$B$14))</f>
        <v>20</v>
      </c>
      <c r="O2946" s="15" t="n">
        <f aca="false">IF(J2946=1,0,Inputs!$B$13)</f>
        <v>20</v>
      </c>
      <c r="P2946" s="15" t="n">
        <f aca="false">SUM(M2946:N2946)</f>
        <v>95</v>
      </c>
      <c r="Q2946" s="15" t="n">
        <f aca="false">IF(J2946=1,"",L2946-P2946)</f>
        <v>5</v>
      </c>
      <c r="R2946" s="15" t="n">
        <f aca="false">IF(OR(J2946=1,M2946&lt;=Inputs!$B$12),1,0)</f>
        <v>1</v>
      </c>
      <c r="S2946" s="15" t="n">
        <f aca="false">IF(OR(J2946=1,N2946&lt;=O2946),1,0)</f>
        <v>1</v>
      </c>
      <c r="T2946" s="15" t="str">
        <f aca="false">IF(J2946=1,"OFFLINE",IF(AND(Q2946&gt;=Inputs!$B$15,R2946=1,S2946=1,P2946&lt;=L2946),"PASS","FAIL"))</f>
        <v>PASS</v>
      </c>
    </row>
    <row r="2947" customFormat="false" ht="15" hidden="false" customHeight="false" outlineLevel="0" collapsed="false">
      <c r="A2947" s="14" t="s">
        <v>1050</v>
      </c>
      <c r="B2947" s="14" t="s">
        <v>1048</v>
      </c>
      <c r="C2947" s="14" t="s">
        <v>154</v>
      </c>
      <c r="D2947" s="14" t="s">
        <v>168</v>
      </c>
      <c r="E2947" s="14" t="s">
        <v>169</v>
      </c>
      <c r="F2947" s="14" t="s">
        <v>164</v>
      </c>
      <c r="G2947" s="14" t="n">
        <v>2</v>
      </c>
      <c r="H2947" s="14" t="s">
        <v>153</v>
      </c>
      <c r="I2947" s="14" t="s">
        <v>890</v>
      </c>
      <c r="J2947" s="15" t="n">
        <f aca="false">IF(B2947="SITE LOSS",IF(D2947=C2947,1,0),IF(B2947="REGION LOSS",IF(E2947=C2947,1,0),0))</f>
        <v>0</v>
      </c>
      <c r="K2947" s="15" t="n">
        <f aca="false">IF(B2947="SITE LOSS",IF(COUNTIFS('Site Dockets'!$B$7:$B$24,C2947,'Site Dockets'!$C$7:$C$24,F2947)&gt;0,1,0),IF(B2947="REGION LOSS",IF(COUNTIFS('Site Dockets'!$E$7:$E$24,C2947,'Site Dockets'!$C$7:$C$24,F2947)&gt;0,1,0),0))</f>
        <v>0</v>
      </c>
      <c r="L2947" s="15" t="n">
        <f aca="false">IF(J2947=1,0,Inputs!$B$11)</f>
        <v>100</v>
      </c>
      <c r="M2947" s="15" t="n">
        <f aca="false">IF(J2947=1,0,Inputs!$B$12)</f>
        <v>75</v>
      </c>
      <c r="N2947" s="15" t="n">
        <f aca="false">IF(J2947=1,0,IF(OR(AND(OR(B2947="SITE LOSS",B2947="REGION LOSS"),K2947=1),AND(B2947="ROLE COMPROMISE",H2947=C2947)),Inputs!$B$13,Inputs!$B$14))</f>
        <v>10</v>
      </c>
      <c r="O2947" s="15" t="n">
        <f aca="false">IF(J2947=1,0,Inputs!$B$13)</f>
        <v>20</v>
      </c>
      <c r="P2947" s="15" t="n">
        <f aca="false">SUM(M2947:N2947)</f>
        <v>85</v>
      </c>
      <c r="Q2947" s="15" t="n">
        <f aca="false">IF(J2947=1,"",L2947-P2947)</f>
        <v>15</v>
      </c>
      <c r="R2947" s="15" t="n">
        <f aca="false">IF(OR(J2947=1,M2947&lt;=Inputs!$B$12),1,0)</f>
        <v>1</v>
      </c>
      <c r="S2947" s="15" t="n">
        <f aca="false">IF(OR(J2947=1,N2947&lt;=O2947),1,0)</f>
        <v>1</v>
      </c>
      <c r="T2947" s="15" t="str">
        <f aca="false">IF(J2947=1,"OFFLINE",IF(AND(Q2947&gt;=Inputs!$B$15,R2947=1,S2947=1,P2947&lt;=L2947),"PASS","FAIL"))</f>
        <v>PASS</v>
      </c>
    </row>
    <row r="2948" customFormat="false" ht="15" hidden="false" customHeight="false" outlineLevel="0" collapsed="false">
      <c r="A2948" s="14" t="s">
        <v>1050</v>
      </c>
      <c r="B2948" s="14" t="s">
        <v>1048</v>
      </c>
      <c r="C2948" s="14" t="s">
        <v>154</v>
      </c>
      <c r="D2948" s="14" t="s">
        <v>168</v>
      </c>
      <c r="E2948" s="14" t="s">
        <v>169</v>
      </c>
      <c r="F2948" s="14" t="s">
        <v>164</v>
      </c>
      <c r="G2948" s="14" t="n">
        <v>2</v>
      </c>
      <c r="H2948" s="14" t="s">
        <v>153</v>
      </c>
      <c r="I2948" s="14" t="s">
        <v>892</v>
      </c>
      <c r="J2948" s="15" t="n">
        <f aca="false">IF(B2948="SITE LOSS",IF(D2948=C2948,1,0),IF(B2948="REGION LOSS",IF(E2948=C2948,1,0),0))</f>
        <v>0</v>
      </c>
      <c r="K2948" s="15" t="n">
        <f aca="false">IF(B2948="SITE LOSS",IF(COUNTIFS('Site Dockets'!$B$7:$B$24,C2948,'Site Dockets'!$C$7:$C$24,F2948)&gt;0,1,0),IF(B2948="REGION LOSS",IF(COUNTIFS('Site Dockets'!$E$7:$E$24,C2948,'Site Dockets'!$C$7:$C$24,F2948)&gt;0,1,0),0))</f>
        <v>0</v>
      </c>
      <c r="L2948" s="15" t="n">
        <f aca="false">IF(J2948=1,0,Inputs!$B$11)</f>
        <v>100</v>
      </c>
      <c r="M2948" s="15" t="n">
        <f aca="false">IF(J2948=1,0,Inputs!$B$12)</f>
        <v>75</v>
      </c>
      <c r="N2948" s="15" t="n">
        <f aca="false">IF(J2948=1,0,IF(OR(AND(OR(B2948="SITE LOSS",B2948="REGION LOSS"),K2948=1),AND(B2948="ROLE COMPROMISE",H2948=C2948)),Inputs!$B$13,Inputs!$B$14))</f>
        <v>10</v>
      </c>
      <c r="O2948" s="15" t="n">
        <f aca="false">IF(J2948=1,0,Inputs!$B$13)</f>
        <v>20</v>
      </c>
      <c r="P2948" s="15" t="n">
        <f aca="false">SUM(M2948:N2948)</f>
        <v>85</v>
      </c>
      <c r="Q2948" s="15" t="n">
        <f aca="false">IF(J2948=1,"",L2948-P2948)</f>
        <v>15</v>
      </c>
      <c r="R2948" s="15" t="n">
        <f aca="false">IF(OR(J2948=1,M2948&lt;=Inputs!$B$12),1,0)</f>
        <v>1</v>
      </c>
      <c r="S2948" s="15" t="n">
        <f aca="false">IF(OR(J2948=1,N2948&lt;=O2948),1,0)</f>
        <v>1</v>
      </c>
      <c r="T2948" s="15" t="str">
        <f aca="false">IF(J2948=1,"OFFLINE",IF(AND(Q2948&gt;=Inputs!$B$15,R2948=1,S2948=1,P2948&lt;=L2948),"PASS","FAIL"))</f>
        <v>PASS</v>
      </c>
    </row>
    <row r="2949" customFormat="false" ht="15" hidden="false" customHeight="false" outlineLevel="0" collapsed="false">
      <c r="A2949" s="14" t="s">
        <v>1050</v>
      </c>
      <c r="B2949" s="14" t="s">
        <v>1048</v>
      </c>
      <c r="C2949" s="14" t="s">
        <v>154</v>
      </c>
      <c r="D2949" s="14" t="s">
        <v>168</v>
      </c>
      <c r="E2949" s="14" t="s">
        <v>169</v>
      </c>
      <c r="F2949" s="14" t="s">
        <v>164</v>
      </c>
      <c r="G2949" s="14" t="n">
        <v>2</v>
      </c>
      <c r="H2949" s="14" t="s">
        <v>153</v>
      </c>
      <c r="I2949" s="14" t="s">
        <v>811</v>
      </c>
      <c r="J2949" s="15" t="n">
        <f aca="false">IF(B2949="SITE LOSS",IF(D2949=C2949,1,0),IF(B2949="REGION LOSS",IF(E2949=C2949,1,0),0))</f>
        <v>0</v>
      </c>
      <c r="K2949" s="15" t="n">
        <f aca="false">IF(B2949="SITE LOSS",IF(COUNTIFS('Site Dockets'!$B$7:$B$24,C2949,'Site Dockets'!$C$7:$C$24,F2949)&gt;0,1,0),IF(B2949="REGION LOSS",IF(COUNTIFS('Site Dockets'!$E$7:$E$24,C2949,'Site Dockets'!$C$7:$C$24,F2949)&gt;0,1,0),0))</f>
        <v>0</v>
      </c>
      <c r="L2949" s="15" t="n">
        <f aca="false">IF(J2949=1,0,Inputs!$B$11)</f>
        <v>100</v>
      </c>
      <c r="M2949" s="15" t="n">
        <f aca="false">IF(J2949=1,0,Inputs!$B$12)</f>
        <v>75</v>
      </c>
      <c r="N2949" s="15" t="n">
        <f aca="false">IF(J2949=1,0,IF(OR(AND(OR(B2949="SITE LOSS",B2949="REGION LOSS"),K2949=1),AND(B2949="ROLE COMPROMISE",H2949=C2949)),Inputs!$B$13,Inputs!$B$14))</f>
        <v>10</v>
      </c>
      <c r="O2949" s="15" t="n">
        <f aca="false">IF(J2949=1,0,Inputs!$B$13)</f>
        <v>20</v>
      </c>
      <c r="P2949" s="15" t="n">
        <f aca="false">SUM(M2949:N2949)</f>
        <v>85</v>
      </c>
      <c r="Q2949" s="15" t="n">
        <f aca="false">IF(J2949=1,"",L2949-P2949)</f>
        <v>15</v>
      </c>
      <c r="R2949" s="15" t="n">
        <f aca="false">IF(OR(J2949=1,M2949&lt;=Inputs!$B$12),1,0)</f>
        <v>1</v>
      </c>
      <c r="S2949" s="15" t="n">
        <f aca="false">IF(OR(J2949=1,N2949&lt;=O2949),1,0)</f>
        <v>1</v>
      </c>
      <c r="T2949" s="15" t="str">
        <f aca="false">IF(J2949=1,"OFFLINE",IF(AND(Q2949&gt;=Inputs!$B$15,R2949=1,S2949=1,P2949&lt;=L2949),"PASS","FAIL"))</f>
        <v>PASS</v>
      </c>
    </row>
    <row r="2950" customFormat="false" ht="15" hidden="false" customHeight="false" outlineLevel="0" collapsed="false">
      <c r="A2950" s="14" t="s">
        <v>1050</v>
      </c>
      <c r="B2950" s="14" t="s">
        <v>1048</v>
      </c>
      <c r="C2950" s="14" t="s">
        <v>154</v>
      </c>
      <c r="D2950" s="14" t="s">
        <v>168</v>
      </c>
      <c r="E2950" s="14" t="s">
        <v>169</v>
      </c>
      <c r="F2950" s="14" t="s">
        <v>164</v>
      </c>
      <c r="G2950" s="14" t="n">
        <v>2</v>
      </c>
      <c r="H2950" s="14" t="s">
        <v>153</v>
      </c>
      <c r="I2950" s="14" t="s">
        <v>895</v>
      </c>
      <c r="J2950" s="15" t="n">
        <f aca="false">IF(B2950="SITE LOSS",IF(D2950=C2950,1,0),IF(B2950="REGION LOSS",IF(E2950=C2950,1,0),0))</f>
        <v>0</v>
      </c>
      <c r="K2950" s="15" t="n">
        <f aca="false">IF(B2950="SITE LOSS",IF(COUNTIFS('Site Dockets'!$B$7:$B$24,C2950,'Site Dockets'!$C$7:$C$24,F2950)&gt;0,1,0),IF(B2950="REGION LOSS",IF(COUNTIFS('Site Dockets'!$E$7:$E$24,C2950,'Site Dockets'!$C$7:$C$24,F2950)&gt;0,1,0),0))</f>
        <v>0</v>
      </c>
      <c r="L2950" s="15" t="n">
        <f aca="false">IF(J2950=1,0,Inputs!$B$11)</f>
        <v>100</v>
      </c>
      <c r="M2950" s="15" t="n">
        <f aca="false">IF(J2950=1,0,Inputs!$B$12)</f>
        <v>75</v>
      </c>
      <c r="N2950" s="15" t="n">
        <f aca="false">IF(J2950=1,0,IF(OR(AND(OR(B2950="SITE LOSS",B2950="REGION LOSS"),K2950=1),AND(B2950="ROLE COMPROMISE",H2950=C2950)),Inputs!$B$13,Inputs!$B$14))</f>
        <v>10</v>
      </c>
      <c r="O2950" s="15" t="n">
        <f aca="false">IF(J2950=1,0,Inputs!$B$13)</f>
        <v>20</v>
      </c>
      <c r="P2950" s="15" t="n">
        <f aca="false">SUM(M2950:N2950)</f>
        <v>85</v>
      </c>
      <c r="Q2950" s="15" t="n">
        <f aca="false">IF(J2950=1,"",L2950-P2950)</f>
        <v>15</v>
      </c>
      <c r="R2950" s="15" t="n">
        <f aca="false">IF(OR(J2950=1,M2950&lt;=Inputs!$B$12),1,0)</f>
        <v>1</v>
      </c>
      <c r="S2950" s="15" t="n">
        <f aca="false">IF(OR(J2950=1,N2950&lt;=O2950),1,0)</f>
        <v>1</v>
      </c>
      <c r="T2950" s="15" t="str">
        <f aca="false">IF(J2950=1,"OFFLINE",IF(AND(Q2950&gt;=Inputs!$B$15,R2950=1,S2950=1,P2950&lt;=L2950),"PASS","FAIL"))</f>
        <v>PASS</v>
      </c>
    </row>
    <row r="2951" customFormat="false" ht="15" hidden="false" customHeight="false" outlineLevel="0" collapsed="false">
      <c r="A2951" s="14" t="s">
        <v>1050</v>
      </c>
      <c r="B2951" s="14" t="s">
        <v>1048</v>
      </c>
      <c r="C2951" s="14" t="s">
        <v>154</v>
      </c>
      <c r="D2951" s="14" t="s">
        <v>168</v>
      </c>
      <c r="E2951" s="14" t="s">
        <v>169</v>
      </c>
      <c r="F2951" s="14" t="s">
        <v>164</v>
      </c>
      <c r="G2951" s="14" t="n">
        <v>2</v>
      </c>
      <c r="H2951" s="14" t="s">
        <v>153</v>
      </c>
      <c r="I2951" s="14" t="s">
        <v>897</v>
      </c>
      <c r="J2951" s="15" t="n">
        <f aca="false">IF(B2951="SITE LOSS",IF(D2951=C2951,1,0),IF(B2951="REGION LOSS",IF(E2951=C2951,1,0),0))</f>
        <v>0</v>
      </c>
      <c r="K2951" s="15" t="n">
        <f aca="false">IF(B2951="SITE LOSS",IF(COUNTIFS('Site Dockets'!$B$7:$B$24,C2951,'Site Dockets'!$C$7:$C$24,F2951)&gt;0,1,0),IF(B2951="REGION LOSS",IF(COUNTIFS('Site Dockets'!$E$7:$E$24,C2951,'Site Dockets'!$C$7:$C$24,F2951)&gt;0,1,0),0))</f>
        <v>0</v>
      </c>
      <c r="L2951" s="15" t="n">
        <f aca="false">IF(J2951=1,0,Inputs!$B$11)</f>
        <v>100</v>
      </c>
      <c r="M2951" s="15" t="n">
        <f aca="false">IF(J2951=1,0,Inputs!$B$12)</f>
        <v>75</v>
      </c>
      <c r="N2951" s="15" t="n">
        <f aca="false">IF(J2951=1,0,IF(OR(AND(OR(B2951="SITE LOSS",B2951="REGION LOSS"),K2951=1),AND(B2951="ROLE COMPROMISE",H2951=C2951)),Inputs!$B$13,Inputs!$B$14))</f>
        <v>10</v>
      </c>
      <c r="O2951" s="15" t="n">
        <f aca="false">IF(J2951=1,0,Inputs!$B$13)</f>
        <v>20</v>
      </c>
      <c r="P2951" s="15" t="n">
        <f aca="false">SUM(M2951:N2951)</f>
        <v>85</v>
      </c>
      <c r="Q2951" s="15" t="n">
        <f aca="false">IF(J2951=1,"",L2951-P2951)</f>
        <v>15</v>
      </c>
      <c r="R2951" s="15" t="n">
        <f aca="false">IF(OR(J2951=1,M2951&lt;=Inputs!$B$12),1,0)</f>
        <v>1</v>
      </c>
      <c r="S2951" s="15" t="n">
        <f aca="false">IF(OR(J2951=1,N2951&lt;=O2951),1,0)</f>
        <v>1</v>
      </c>
      <c r="T2951" s="15" t="str">
        <f aca="false">IF(J2951=1,"OFFLINE",IF(AND(Q2951&gt;=Inputs!$B$15,R2951=1,S2951=1,P2951&lt;=L2951),"PASS","FAIL"))</f>
        <v>PASS</v>
      </c>
    </row>
    <row r="2952" customFormat="false" ht="15" hidden="false" customHeight="false" outlineLevel="0" collapsed="false">
      <c r="A2952" s="14" t="s">
        <v>1050</v>
      </c>
      <c r="B2952" s="14" t="s">
        <v>1048</v>
      </c>
      <c r="C2952" s="14" t="s">
        <v>154</v>
      </c>
      <c r="D2952" s="14" t="s">
        <v>168</v>
      </c>
      <c r="E2952" s="14" t="s">
        <v>169</v>
      </c>
      <c r="F2952" s="14" t="s">
        <v>164</v>
      </c>
      <c r="G2952" s="14" t="n">
        <v>2</v>
      </c>
      <c r="H2952" s="14" t="s">
        <v>153</v>
      </c>
      <c r="I2952" s="14" t="s">
        <v>899</v>
      </c>
      <c r="J2952" s="15" t="n">
        <f aca="false">IF(B2952="SITE LOSS",IF(D2952=C2952,1,0),IF(B2952="REGION LOSS",IF(E2952=C2952,1,0),0))</f>
        <v>0</v>
      </c>
      <c r="K2952" s="15" t="n">
        <f aca="false">IF(B2952="SITE LOSS",IF(COUNTIFS('Site Dockets'!$B$7:$B$24,C2952,'Site Dockets'!$C$7:$C$24,F2952)&gt;0,1,0),IF(B2952="REGION LOSS",IF(COUNTIFS('Site Dockets'!$E$7:$E$24,C2952,'Site Dockets'!$C$7:$C$24,F2952)&gt;0,1,0),0))</f>
        <v>0</v>
      </c>
      <c r="L2952" s="15" t="n">
        <f aca="false">IF(J2952=1,0,Inputs!$B$11)</f>
        <v>100</v>
      </c>
      <c r="M2952" s="15" t="n">
        <f aca="false">IF(J2952=1,0,Inputs!$B$12)</f>
        <v>75</v>
      </c>
      <c r="N2952" s="15" t="n">
        <f aca="false">IF(J2952=1,0,IF(OR(AND(OR(B2952="SITE LOSS",B2952="REGION LOSS"),K2952=1),AND(B2952="ROLE COMPROMISE",H2952=C2952)),Inputs!$B$13,Inputs!$B$14))</f>
        <v>10</v>
      </c>
      <c r="O2952" s="15" t="n">
        <f aca="false">IF(J2952=1,0,Inputs!$B$13)</f>
        <v>20</v>
      </c>
      <c r="P2952" s="15" t="n">
        <f aca="false">SUM(M2952:N2952)</f>
        <v>85</v>
      </c>
      <c r="Q2952" s="15" t="n">
        <f aca="false">IF(J2952=1,"",L2952-P2952)</f>
        <v>15</v>
      </c>
      <c r="R2952" s="15" t="n">
        <f aca="false">IF(OR(J2952=1,M2952&lt;=Inputs!$B$12),1,0)</f>
        <v>1</v>
      </c>
      <c r="S2952" s="15" t="n">
        <f aca="false">IF(OR(J2952=1,N2952&lt;=O2952),1,0)</f>
        <v>1</v>
      </c>
      <c r="T2952" s="15" t="str">
        <f aca="false">IF(J2952=1,"OFFLINE",IF(AND(Q2952&gt;=Inputs!$B$15,R2952=1,S2952=1,P2952&lt;=L2952),"PASS","FAIL"))</f>
        <v>PASS</v>
      </c>
    </row>
    <row r="2953" customFormat="false" ht="15" hidden="false" customHeight="false" outlineLevel="0" collapsed="false">
      <c r="A2953" s="14" t="s">
        <v>1050</v>
      </c>
      <c r="B2953" s="14" t="s">
        <v>1048</v>
      </c>
      <c r="C2953" s="14" t="s">
        <v>154</v>
      </c>
      <c r="D2953" s="14" t="s">
        <v>171</v>
      </c>
      <c r="E2953" s="14" t="s">
        <v>172</v>
      </c>
      <c r="F2953" s="14" t="s">
        <v>164</v>
      </c>
      <c r="G2953" s="14" t="n">
        <v>3</v>
      </c>
      <c r="H2953" s="14" t="s">
        <v>158</v>
      </c>
      <c r="I2953" s="14" t="s">
        <v>890</v>
      </c>
      <c r="J2953" s="15" t="n">
        <f aca="false">IF(B2953="SITE LOSS",IF(D2953=C2953,1,0),IF(B2953="REGION LOSS",IF(E2953=C2953,1,0),0))</f>
        <v>0</v>
      </c>
      <c r="K2953" s="15" t="n">
        <f aca="false">IF(B2953="SITE LOSS",IF(COUNTIFS('Site Dockets'!$B$7:$B$24,C2953,'Site Dockets'!$C$7:$C$24,F2953)&gt;0,1,0),IF(B2953="REGION LOSS",IF(COUNTIFS('Site Dockets'!$E$7:$E$24,C2953,'Site Dockets'!$C$7:$C$24,F2953)&gt;0,1,0),0))</f>
        <v>0</v>
      </c>
      <c r="L2953" s="15" t="n">
        <f aca="false">IF(J2953=1,0,Inputs!$B$11)</f>
        <v>100</v>
      </c>
      <c r="M2953" s="15" t="n">
        <f aca="false">IF(J2953=1,0,Inputs!$B$12)</f>
        <v>75</v>
      </c>
      <c r="N2953" s="15" t="n">
        <f aca="false">IF(J2953=1,0,IF(OR(AND(OR(B2953="SITE LOSS",B2953="REGION LOSS"),K2953=1),AND(B2953="ROLE COMPROMISE",H2953=C2953)),Inputs!$B$13,Inputs!$B$14))</f>
        <v>10</v>
      </c>
      <c r="O2953" s="15" t="n">
        <f aca="false">IF(J2953=1,0,Inputs!$B$13)</f>
        <v>20</v>
      </c>
      <c r="P2953" s="15" t="n">
        <f aca="false">SUM(M2953:N2953)</f>
        <v>85</v>
      </c>
      <c r="Q2953" s="15" t="n">
        <f aca="false">IF(J2953=1,"",L2953-P2953)</f>
        <v>15</v>
      </c>
      <c r="R2953" s="15" t="n">
        <f aca="false">IF(OR(J2953=1,M2953&lt;=Inputs!$B$12),1,0)</f>
        <v>1</v>
      </c>
      <c r="S2953" s="15" t="n">
        <f aca="false">IF(OR(J2953=1,N2953&lt;=O2953),1,0)</f>
        <v>1</v>
      </c>
      <c r="T2953" s="15" t="str">
        <f aca="false">IF(J2953=1,"OFFLINE",IF(AND(Q2953&gt;=Inputs!$B$15,R2953=1,S2953=1,P2953&lt;=L2953),"PASS","FAIL"))</f>
        <v>PASS</v>
      </c>
    </row>
    <row r="2954" customFormat="false" ht="15" hidden="false" customHeight="false" outlineLevel="0" collapsed="false">
      <c r="A2954" s="14" t="s">
        <v>1050</v>
      </c>
      <c r="B2954" s="14" t="s">
        <v>1048</v>
      </c>
      <c r="C2954" s="14" t="s">
        <v>154</v>
      </c>
      <c r="D2954" s="14" t="s">
        <v>171</v>
      </c>
      <c r="E2954" s="14" t="s">
        <v>172</v>
      </c>
      <c r="F2954" s="14" t="s">
        <v>164</v>
      </c>
      <c r="G2954" s="14" t="n">
        <v>3</v>
      </c>
      <c r="H2954" s="14" t="s">
        <v>158</v>
      </c>
      <c r="I2954" s="14" t="s">
        <v>892</v>
      </c>
      <c r="J2954" s="15" t="n">
        <f aca="false">IF(B2954="SITE LOSS",IF(D2954=C2954,1,0),IF(B2954="REGION LOSS",IF(E2954=C2954,1,0),0))</f>
        <v>0</v>
      </c>
      <c r="K2954" s="15" t="n">
        <f aca="false">IF(B2954="SITE LOSS",IF(COUNTIFS('Site Dockets'!$B$7:$B$24,C2954,'Site Dockets'!$C$7:$C$24,F2954)&gt;0,1,0),IF(B2954="REGION LOSS",IF(COUNTIFS('Site Dockets'!$E$7:$E$24,C2954,'Site Dockets'!$C$7:$C$24,F2954)&gt;0,1,0),0))</f>
        <v>0</v>
      </c>
      <c r="L2954" s="15" t="n">
        <f aca="false">IF(J2954=1,0,Inputs!$B$11)</f>
        <v>100</v>
      </c>
      <c r="M2954" s="15" t="n">
        <f aca="false">IF(J2954=1,0,Inputs!$B$12)</f>
        <v>75</v>
      </c>
      <c r="N2954" s="15" t="n">
        <f aca="false">IF(J2954=1,0,IF(OR(AND(OR(B2954="SITE LOSS",B2954="REGION LOSS"),K2954=1),AND(B2954="ROLE COMPROMISE",H2954=C2954)),Inputs!$B$13,Inputs!$B$14))</f>
        <v>10</v>
      </c>
      <c r="O2954" s="15" t="n">
        <f aca="false">IF(J2954=1,0,Inputs!$B$13)</f>
        <v>20</v>
      </c>
      <c r="P2954" s="15" t="n">
        <f aca="false">SUM(M2954:N2954)</f>
        <v>85</v>
      </c>
      <c r="Q2954" s="15" t="n">
        <f aca="false">IF(J2954=1,"",L2954-P2954)</f>
        <v>15</v>
      </c>
      <c r="R2954" s="15" t="n">
        <f aca="false">IF(OR(J2954=1,M2954&lt;=Inputs!$B$12),1,0)</f>
        <v>1</v>
      </c>
      <c r="S2954" s="15" t="n">
        <f aca="false">IF(OR(J2954=1,N2954&lt;=O2954),1,0)</f>
        <v>1</v>
      </c>
      <c r="T2954" s="15" t="str">
        <f aca="false">IF(J2954=1,"OFFLINE",IF(AND(Q2954&gt;=Inputs!$B$15,R2954=1,S2954=1,P2954&lt;=L2954),"PASS","FAIL"))</f>
        <v>PASS</v>
      </c>
    </row>
    <row r="2955" customFormat="false" ht="15" hidden="false" customHeight="false" outlineLevel="0" collapsed="false">
      <c r="A2955" s="14" t="s">
        <v>1050</v>
      </c>
      <c r="B2955" s="14" t="s">
        <v>1048</v>
      </c>
      <c r="C2955" s="14" t="s">
        <v>154</v>
      </c>
      <c r="D2955" s="14" t="s">
        <v>171</v>
      </c>
      <c r="E2955" s="14" t="s">
        <v>172</v>
      </c>
      <c r="F2955" s="14" t="s">
        <v>164</v>
      </c>
      <c r="G2955" s="14" t="n">
        <v>3</v>
      </c>
      <c r="H2955" s="14" t="s">
        <v>158</v>
      </c>
      <c r="I2955" s="14" t="s">
        <v>811</v>
      </c>
      <c r="J2955" s="15" t="n">
        <f aca="false">IF(B2955="SITE LOSS",IF(D2955=C2955,1,0),IF(B2955="REGION LOSS",IF(E2955=C2955,1,0),0))</f>
        <v>0</v>
      </c>
      <c r="K2955" s="15" t="n">
        <f aca="false">IF(B2955="SITE LOSS",IF(COUNTIFS('Site Dockets'!$B$7:$B$24,C2955,'Site Dockets'!$C$7:$C$24,F2955)&gt;0,1,0),IF(B2955="REGION LOSS",IF(COUNTIFS('Site Dockets'!$E$7:$E$24,C2955,'Site Dockets'!$C$7:$C$24,F2955)&gt;0,1,0),0))</f>
        <v>0</v>
      </c>
      <c r="L2955" s="15" t="n">
        <f aca="false">IF(J2955=1,0,Inputs!$B$11)</f>
        <v>100</v>
      </c>
      <c r="M2955" s="15" t="n">
        <f aca="false">IF(J2955=1,0,Inputs!$B$12)</f>
        <v>75</v>
      </c>
      <c r="N2955" s="15" t="n">
        <f aca="false">IF(J2955=1,0,IF(OR(AND(OR(B2955="SITE LOSS",B2955="REGION LOSS"),K2955=1),AND(B2955="ROLE COMPROMISE",H2955=C2955)),Inputs!$B$13,Inputs!$B$14))</f>
        <v>10</v>
      </c>
      <c r="O2955" s="15" t="n">
        <f aca="false">IF(J2955=1,0,Inputs!$B$13)</f>
        <v>20</v>
      </c>
      <c r="P2955" s="15" t="n">
        <f aca="false">SUM(M2955:N2955)</f>
        <v>85</v>
      </c>
      <c r="Q2955" s="15" t="n">
        <f aca="false">IF(J2955=1,"",L2955-P2955)</f>
        <v>15</v>
      </c>
      <c r="R2955" s="15" t="n">
        <f aca="false">IF(OR(J2955=1,M2955&lt;=Inputs!$B$12),1,0)</f>
        <v>1</v>
      </c>
      <c r="S2955" s="15" t="n">
        <f aca="false">IF(OR(J2955=1,N2955&lt;=O2955),1,0)</f>
        <v>1</v>
      </c>
      <c r="T2955" s="15" t="str">
        <f aca="false">IF(J2955=1,"OFFLINE",IF(AND(Q2955&gt;=Inputs!$B$15,R2955=1,S2955=1,P2955&lt;=L2955),"PASS","FAIL"))</f>
        <v>PASS</v>
      </c>
    </row>
    <row r="2956" customFormat="false" ht="15" hidden="false" customHeight="false" outlineLevel="0" collapsed="false">
      <c r="A2956" s="14" t="s">
        <v>1050</v>
      </c>
      <c r="B2956" s="14" t="s">
        <v>1048</v>
      </c>
      <c r="C2956" s="14" t="s">
        <v>154</v>
      </c>
      <c r="D2956" s="14" t="s">
        <v>171</v>
      </c>
      <c r="E2956" s="14" t="s">
        <v>172</v>
      </c>
      <c r="F2956" s="14" t="s">
        <v>164</v>
      </c>
      <c r="G2956" s="14" t="n">
        <v>3</v>
      </c>
      <c r="H2956" s="14" t="s">
        <v>158</v>
      </c>
      <c r="I2956" s="14" t="s">
        <v>895</v>
      </c>
      <c r="J2956" s="15" t="n">
        <f aca="false">IF(B2956="SITE LOSS",IF(D2956=C2956,1,0),IF(B2956="REGION LOSS",IF(E2956=C2956,1,0),0))</f>
        <v>0</v>
      </c>
      <c r="K2956" s="15" t="n">
        <f aca="false">IF(B2956="SITE LOSS",IF(COUNTIFS('Site Dockets'!$B$7:$B$24,C2956,'Site Dockets'!$C$7:$C$24,F2956)&gt;0,1,0),IF(B2956="REGION LOSS",IF(COUNTIFS('Site Dockets'!$E$7:$E$24,C2956,'Site Dockets'!$C$7:$C$24,F2956)&gt;0,1,0),0))</f>
        <v>0</v>
      </c>
      <c r="L2956" s="15" t="n">
        <f aca="false">IF(J2956=1,0,Inputs!$B$11)</f>
        <v>100</v>
      </c>
      <c r="M2956" s="15" t="n">
        <f aca="false">IF(J2956=1,0,Inputs!$B$12)</f>
        <v>75</v>
      </c>
      <c r="N2956" s="15" t="n">
        <f aca="false">IF(J2956=1,0,IF(OR(AND(OR(B2956="SITE LOSS",B2956="REGION LOSS"),K2956=1),AND(B2956="ROLE COMPROMISE",H2956=C2956)),Inputs!$B$13,Inputs!$B$14))</f>
        <v>10</v>
      </c>
      <c r="O2956" s="15" t="n">
        <f aca="false">IF(J2956=1,0,Inputs!$B$13)</f>
        <v>20</v>
      </c>
      <c r="P2956" s="15" t="n">
        <f aca="false">SUM(M2956:N2956)</f>
        <v>85</v>
      </c>
      <c r="Q2956" s="15" t="n">
        <f aca="false">IF(J2956=1,"",L2956-P2956)</f>
        <v>15</v>
      </c>
      <c r="R2956" s="15" t="n">
        <f aca="false">IF(OR(J2956=1,M2956&lt;=Inputs!$B$12),1,0)</f>
        <v>1</v>
      </c>
      <c r="S2956" s="15" t="n">
        <f aca="false">IF(OR(J2956=1,N2956&lt;=O2956),1,0)</f>
        <v>1</v>
      </c>
      <c r="T2956" s="15" t="str">
        <f aca="false">IF(J2956=1,"OFFLINE",IF(AND(Q2956&gt;=Inputs!$B$15,R2956=1,S2956=1,P2956&lt;=L2956),"PASS","FAIL"))</f>
        <v>PASS</v>
      </c>
    </row>
    <row r="2957" customFormat="false" ht="15" hidden="false" customHeight="false" outlineLevel="0" collapsed="false">
      <c r="A2957" s="14" t="s">
        <v>1050</v>
      </c>
      <c r="B2957" s="14" t="s">
        <v>1048</v>
      </c>
      <c r="C2957" s="14" t="s">
        <v>154</v>
      </c>
      <c r="D2957" s="14" t="s">
        <v>171</v>
      </c>
      <c r="E2957" s="14" t="s">
        <v>172</v>
      </c>
      <c r="F2957" s="14" t="s">
        <v>164</v>
      </c>
      <c r="G2957" s="14" t="n">
        <v>3</v>
      </c>
      <c r="H2957" s="14" t="s">
        <v>158</v>
      </c>
      <c r="I2957" s="14" t="s">
        <v>897</v>
      </c>
      <c r="J2957" s="15" t="n">
        <f aca="false">IF(B2957="SITE LOSS",IF(D2957=C2957,1,0),IF(B2957="REGION LOSS",IF(E2957=C2957,1,0),0))</f>
        <v>0</v>
      </c>
      <c r="K2957" s="15" t="n">
        <f aca="false">IF(B2957="SITE LOSS",IF(COUNTIFS('Site Dockets'!$B$7:$B$24,C2957,'Site Dockets'!$C$7:$C$24,F2957)&gt;0,1,0),IF(B2957="REGION LOSS",IF(COUNTIFS('Site Dockets'!$E$7:$E$24,C2957,'Site Dockets'!$C$7:$C$24,F2957)&gt;0,1,0),0))</f>
        <v>0</v>
      </c>
      <c r="L2957" s="15" t="n">
        <f aca="false">IF(J2957=1,0,Inputs!$B$11)</f>
        <v>100</v>
      </c>
      <c r="M2957" s="15" t="n">
        <f aca="false">IF(J2957=1,0,Inputs!$B$12)</f>
        <v>75</v>
      </c>
      <c r="N2957" s="15" t="n">
        <f aca="false">IF(J2957=1,0,IF(OR(AND(OR(B2957="SITE LOSS",B2957="REGION LOSS"),K2957=1),AND(B2957="ROLE COMPROMISE",H2957=C2957)),Inputs!$B$13,Inputs!$B$14))</f>
        <v>10</v>
      </c>
      <c r="O2957" s="15" t="n">
        <f aca="false">IF(J2957=1,0,Inputs!$B$13)</f>
        <v>20</v>
      </c>
      <c r="P2957" s="15" t="n">
        <f aca="false">SUM(M2957:N2957)</f>
        <v>85</v>
      </c>
      <c r="Q2957" s="15" t="n">
        <f aca="false">IF(J2957=1,"",L2957-P2957)</f>
        <v>15</v>
      </c>
      <c r="R2957" s="15" t="n">
        <f aca="false">IF(OR(J2957=1,M2957&lt;=Inputs!$B$12),1,0)</f>
        <v>1</v>
      </c>
      <c r="S2957" s="15" t="n">
        <f aca="false">IF(OR(J2957=1,N2957&lt;=O2957),1,0)</f>
        <v>1</v>
      </c>
      <c r="T2957" s="15" t="str">
        <f aca="false">IF(J2957=1,"OFFLINE",IF(AND(Q2957&gt;=Inputs!$B$15,R2957=1,S2957=1,P2957&lt;=L2957),"PASS","FAIL"))</f>
        <v>PASS</v>
      </c>
    </row>
    <row r="2958" customFormat="false" ht="15" hidden="false" customHeight="false" outlineLevel="0" collapsed="false">
      <c r="A2958" s="14" t="s">
        <v>1050</v>
      </c>
      <c r="B2958" s="14" t="s">
        <v>1048</v>
      </c>
      <c r="C2958" s="14" t="s">
        <v>154</v>
      </c>
      <c r="D2958" s="14" t="s">
        <v>171</v>
      </c>
      <c r="E2958" s="14" t="s">
        <v>172</v>
      </c>
      <c r="F2958" s="14" t="s">
        <v>164</v>
      </c>
      <c r="G2958" s="14" t="n">
        <v>3</v>
      </c>
      <c r="H2958" s="14" t="s">
        <v>158</v>
      </c>
      <c r="I2958" s="14" t="s">
        <v>899</v>
      </c>
      <c r="J2958" s="15" t="n">
        <f aca="false">IF(B2958="SITE LOSS",IF(D2958=C2958,1,0),IF(B2958="REGION LOSS",IF(E2958=C2958,1,0),0))</f>
        <v>0</v>
      </c>
      <c r="K2958" s="15" t="n">
        <f aca="false">IF(B2958="SITE LOSS",IF(COUNTIFS('Site Dockets'!$B$7:$B$24,C2958,'Site Dockets'!$C$7:$C$24,F2958)&gt;0,1,0),IF(B2958="REGION LOSS",IF(COUNTIFS('Site Dockets'!$E$7:$E$24,C2958,'Site Dockets'!$C$7:$C$24,F2958)&gt;0,1,0),0))</f>
        <v>0</v>
      </c>
      <c r="L2958" s="15" t="n">
        <f aca="false">IF(J2958=1,0,Inputs!$B$11)</f>
        <v>100</v>
      </c>
      <c r="M2958" s="15" t="n">
        <f aca="false">IF(J2958=1,0,Inputs!$B$12)</f>
        <v>75</v>
      </c>
      <c r="N2958" s="15" t="n">
        <f aca="false">IF(J2958=1,0,IF(OR(AND(OR(B2958="SITE LOSS",B2958="REGION LOSS"),K2958=1),AND(B2958="ROLE COMPROMISE",H2958=C2958)),Inputs!$B$13,Inputs!$B$14))</f>
        <v>10</v>
      </c>
      <c r="O2958" s="15" t="n">
        <f aca="false">IF(J2958=1,0,Inputs!$B$13)</f>
        <v>20</v>
      </c>
      <c r="P2958" s="15" t="n">
        <f aca="false">SUM(M2958:N2958)</f>
        <v>85</v>
      </c>
      <c r="Q2958" s="15" t="n">
        <f aca="false">IF(J2958=1,"",L2958-P2958)</f>
        <v>15</v>
      </c>
      <c r="R2958" s="15" t="n">
        <f aca="false">IF(OR(J2958=1,M2958&lt;=Inputs!$B$12),1,0)</f>
        <v>1</v>
      </c>
      <c r="S2958" s="15" t="n">
        <f aca="false">IF(OR(J2958=1,N2958&lt;=O2958),1,0)</f>
        <v>1</v>
      </c>
      <c r="T2958" s="15" t="str">
        <f aca="false">IF(J2958=1,"OFFLINE",IF(AND(Q2958&gt;=Inputs!$B$15,R2958=1,S2958=1,P2958&lt;=L2958),"PASS","FAIL"))</f>
        <v>PASS</v>
      </c>
    </row>
    <row r="2959" customFormat="false" ht="15" hidden="false" customHeight="false" outlineLevel="0" collapsed="false">
      <c r="A2959" s="14" t="s">
        <v>1050</v>
      </c>
      <c r="B2959" s="14" t="s">
        <v>1048</v>
      </c>
      <c r="C2959" s="14" t="s">
        <v>154</v>
      </c>
      <c r="D2959" s="14" t="s">
        <v>174</v>
      </c>
      <c r="E2959" s="14" t="s">
        <v>152</v>
      </c>
      <c r="F2959" s="14" t="s">
        <v>175</v>
      </c>
      <c r="G2959" s="14" t="n">
        <v>1</v>
      </c>
      <c r="H2959" s="14" t="s">
        <v>154</v>
      </c>
      <c r="I2959" s="14" t="s">
        <v>890</v>
      </c>
      <c r="J2959" s="15" t="n">
        <f aca="false">IF(B2959="SITE LOSS",IF(D2959=C2959,1,0),IF(B2959="REGION LOSS",IF(E2959=C2959,1,0),0))</f>
        <v>0</v>
      </c>
      <c r="K2959" s="15" t="n">
        <f aca="false">IF(B2959="SITE LOSS",IF(COUNTIFS('Site Dockets'!$B$7:$B$24,C2959,'Site Dockets'!$C$7:$C$24,F2959)&gt;0,1,0),IF(B2959="REGION LOSS",IF(COUNTIFS('Site Dockets'!$E$7:$E$24,C2959,'Site Dockets'!$C$7:$C$24,F2959)&gt;0,1,0),0))</f>
        <v>0</v>
      </c>
      <c r="L2959" s="15" t="n">
        <f aca="false">IF(J2959=1,0,Inputs!$B$11)</f>
        <v>100</v>
      </c>
      <c r="M2959" s="15" t="n">
        <f aca="false">IF(J2959=1,0,Inputs!$B$12)</f>
        <v>75</v>
      </c>
      <c r="N2959" s="15" t="n">
        <f aca="false">IF(J2959=1,0,IF(OR(AND(OR(B2959="SITE LOSS",B2959="REGION LOSS"),K2959=1),AND(B2959="ROLE COMPROMISE",H2959=C2959)),Inputs!$B$13,Inputs!$B$14))</f>
        <v>20</v>
      </c>
      <c r="O2959" s="15" t="n">
        <f aca="false">IF(J2959=1,0,Inputs!$B$13)</f>
        <v>20</v>
      </c>
      <c r="P2959" s="15" t="n">
        <f aca="false">SUM(M2959:N2959)</f>
        <v>95</v>
      </c>
      <c r="Q2959" s="15" t="n">
        <f aca="false">IF(J2959=1,"",L2959-P2959)</f>
        <v>5</v>
      </c>
      <c r="R2959" s="15" t="n">
        <f aca="false">IF(OR(J2959=1,M2959&lt;=Inputs!$B$12),1,0)</f>
        <v>1</v>
      </c>
      <c r="S2959" s="15" t="n">
        <f aca="false">IF(OR(J2959=1,N2959&lt;=O2959),1,0)</f>
        <v>1</v>
      </c>
      <c r="T2959" s="15" t="str">
        <f aca="false">IF(J2959=1,"OFFLINE",IF(AND(Q2959&gt;=Inputs!$B$15,R2959=1,S2959=1,P2959&lt;=L2959),"PASS","FAIL"))</f>
        <v>PASS</v>
      </c>
    </row>
    <row r="2960" customFormat="false" ht="15" hidden="false" customHeight="false" outlineLevel="0" collapsed="false">
      <c r="A2960" s="14" t="s">
        <v>1050</v>
      </c>
      <c r="B2960" s="14" t="s">
        <v>1048</v>
      </c>
      <c r="C2960" s="14" t="s">
        <v>154</v>
      </c>
      <c r="D2960" s="14" t="s">
        <v>174</v>
      </c>
      <c r="E2960" s="14" t="s">
        <v>152</v>
      </c>
      <c r="F2960" s="14" t="s">
        <v>175</v>
      </c>
      <c r="G2960" s="14" t="n">
        <v>1</v>
      </c>
      <c r="H2960" s="14" t="s">
        <v>154</v>
      </c>
      <c r="I2960" s="14" t="s">
        <v>892</v>
      </c>
      <c r="J2960" s="15" t="n">
        <f aca="false">IF(B2960="SITE LOSS",IF(D2960=C2960,1,0),IF(B2960="REGION LOSS",IF(E2960=C2960,1,0),0))</f>
        <v>0</v>
      </c>
      <c r="K2960" s="15" t="n">
        <f aca="false">IF(B2960="SITE LOSS",IF(COUNTIFS('Site Dockets'!$B$7:$B$24,C2960,'Site Dockets'!$C$7:$C$24,F2960)&gt;0,1,0),IF(B2960="REGION LOSS",IF(COUNTIFS('Site Dockets'!$E$7:$E$24,C2960,'Site Dockets'!$C$7:$C$24,F2960)&gt;0,1,0),0))</f>
        <v>0</v>
      </c>
      <c r="L2960" s="15" t="n">
        <f aca="false">IF(J2960=1,0,Inputs!$B$11)</f>
        <v>100</v>
      </c>
      <c r="M2960" s="15" t="n">
        <f aca="false">IF(J2960=1,0,Inputs!$B$12)</f>
        <v>75</v>
      </c>
      <c r="N2960" s="15" t="n">
        <f aca="false">IF(J2960=1,0,IF(OR(AND(OR(B2960="SITE LOSS",B2960="REGION LOSS"),K2960=1),AND(B2960="ROLE COMPROMISE",H2960=C2960)),Inputs!$B$13,Inputs!$B$14))</f>
        <v>20</v>
      </c>
      <c r="O2960" s="15" t="n">
        <f aca="false">IF(J2960=1,0,Inputs!$B$13)</f>
        <v>20</v>
      </c>
      <c r="P2960" s="15" t="n">
        <f aca="false">SUM(M2960:N2960)</f>
        <v>95</v>
      </c>
      <c r="Q2960" s="15" t="n">
        <f aca="false">IF(J2960=1,"",L2960-P2960)</f>
        <v>5</v>
      </c>
      <c r="R2960" s="15" t="n">
        <f aca="false">IF(OR(J2960=1,M2960&lt;=Inputs!$B$12),1,0)</f>
        <v>1</v>
      </c>
      <c r="S2960" s="15" t="n">
        <f aca="false">IF(OR(J2960=1,N2960&lt;=O2960),1,0)</f>
        <v>1</v>
      </c>
      <c r="T2960" s="15" t="str">
        <f aca="false">IF(J2960=1,"OFFLINE",IF(AND(Q2960&gt;=Inputs!$B$15,R2960=1,S2960=1,P2960&lt;=L2960),"PASS","FAIL"))</f>
        <v>PASS</v>
      </c>
    </row>
    <row r="2961" customFormat="false" ht="15" hidden="false" customHeight="false" outlineLevel="0" collapsed="false">
      <c r="A2961" s="14" t="s">
        <v>1050</v>
      </c>
      <c r="B2961" s="14" t="s">
        <v>1048</v>
      </c>
      <c r="C2961" s="14" t="s">
        <v>154</v>
      </c>
      <c r="D2961" s="14" t="s">
        <v>174</v>
      </c>
      <c r="E2961" s="14" t="s">
        <v>152</v>
      </c>
      <c r="F2961" s="14" t="s">
        <v>175</v>
      </c>
      <c r="G2961" s="14" t="n">
        <v>1</v>
      </c>
      <c r="H2961" s="14" t="s">
        <v>154</v>
      </c>
      <c r="I2961" s="14" t="s">
        <v>811</v>
      </c>
      <c r="J2961" s="15" t="n">
        <f aca="false">IF(B2961="SITE LOSS",IF(D2961=C2961,1,0),IF(B2961="REGION LOSS",IF(E2961=C2961,1,0),0))</f>
        <v>0</v>
      </c>
      <c r="K2961" s="15" t="n">
        <f aca="false">IF(B2961="SITE LOSS",IF(COUNTIFS('Site Dockets'!$B$7:$B$24,C2961,'Site Dockets'!$C$7:$C$24,F2961)&gt;0,1,0),IF(B2961="REGION LOSS",IF(COUNTIFS('Site Dockets'!$E$7:$E$24,C2961,'Site Dockets'!$C$7:$C$24,F2961)&gt;0,1,0),0))</f>
        <v>0</v>
      </c>
      <c r="L2961" s="15" t="n">
        <f aca="false">IF(J2961=1,0,Inputs!$B$11)</f>
        <v>100</v>
      </c>
      <c r="M2961" s="15" t="n">
        <f aca="false">IF(J2961=1,0,Inputs!$B$12)</f>
        <v>75</v>
      </c>
      <c r="N2961" s="15" t="n">
        <f aca="false">IF(J2961=1,0,IF(OR(AND(OR(B2961="SITE LOSS",B2961="REGION LOSS"),K2961=1),AND(B2961="ROLE COMPROMISE",H2961=C2961)),Inputs!$B$13,Inputs!$B$14))</f>
        <v>20</v>
      </c>
      <c r="O2961" s="15" t="n">
        <f aca="false">IF(J2961=1,0,Inputs!$B$13)</f>
        <v>20</v>
      </c>
      <c r="P2961" s="15" t="n">
        <f aca="false">SUM(M2961:N2961)</f>
        <v>95</v>
      </c>
      <c r="Q2961" s="15" t="n">
        <f aca="false">IF(J2961=1,"",L2961-P2961)</f>
        <v>5</v>
      </c>
      <c r="R2961" s="15" t="n">
        <f aca="false">IF(OR(J2961=1,M2961&lt;=Inputs!$B$12),1,0)</f>
        <v>1</v>
      </c>
      <c r="S2961" s="15" t="n">
        <f aca="false">IF(OR(J2961=1,N2961&lt;=O2961),1,0)</f>
        <v>1</v>
      </c>
      <c r="T2961" s="15" t="str">
        <f aca="false">IF(J2961=1,"OFFLINE",IF(AND(Q2961&gt;=Inputs!$B$15,R2961=1,S2961=1,P2961&lt;=L2961),"PASS","FAIL"))</f>
        <v>PASS</v>
      </c>
    </row>
    <row r="2962" customFormat="false" ht="15" hidden="false" customHeight="false" outlineLevel="0" collapsed="false">
      <c r="A2962" s="14" t="s">
        <v>1050</v>
      </c>
      <c r="B2962" s="14" t="s">
        <v>1048</v>
      </c>
      <c r="C2962" s="14" t="s">
        <v>154</v>
      </c>
      <c r="D2962" s="14" t="s">
        <v>174</v>
      </c>
      <c r="E2962" s="14" t="s">
        <v>152</v>
      </c>
      <c r="F2962" s="14" t="s">
        <v>175</v>
      </c>
      <c r="G2962" s="14" t="n">
        <v>1</v>
      </c>
      <c r="H2962" s="14" t="s">
        <v>154</v>
      </c>
      <c r="I2962" s="14" t="s">
        <v>895</v>
      </c>
      <c r="J2962" s="15" t="n">
        <f aca="false">IF(B2962="SITE LOSS",IF(D2962=C2962,1,0),IF(B2962="REGION LOSS",IF(E2962=C2962,1,0),0))</f>
        <v>0</v>
      </c>
      <c r="K2962" s="15" t="n">
        <f aca="false">IF(B2962="SITE LOSS",IF(COUNTIFS('Site Dockets'!$B$7:$B$24,C2962,'Site Dockets'!$C$7:$C$24,F2962)&gt;0,1,0),IF(B2962="REGION LOSS",IF(COUNTIFS('Site Dockets'!$E$7:$E$24,C2962,'Site Dockets'!$C$7:$C$24,F2962)&gt;0,1,0),0))</f>
        <v>0</v>
      </c>
      <c r="L2962" s="15" t="n">
        <f aca="false">IF(J2962=1,0,Inputs!$B$11)</f>
        <v>100</v>
      </c>
      <c r="M2962" s="15" t="n">
        <f aca="false">IF(J2962=1,0,Inputs!$B$12)</f>
        <v>75</v>
      </c>
      <c r="N2962" s="15" t="n">
        <f aca="false">IF(J2962=1,0,IF(OR(AND(OR(B2962="SITE LOSS",B2962="REGION LOSS"),K2962=1),AND(B2962="ROLE COMPROMISE",H2962=C2962)),Inputs!$B$13,Inputs!$B$14))</f>
        <v>20</v>
      </c>
      <c r="O2962" s="15" t="n">
        <f aca="false">IF(J2962=1,0,Inputs!$B$13)</f>
        <v>20</v>
      </c>
      <c r="P2962" s="15" t="n">
        <f aca="false">SUM(M2962:N2962)</f>
        <v>95</v>
      </c>
      <c r="Q2962" s="15" t="n">
        <f aca="false">IF(J2962=1,"",L2962-P2962)</f>
        <v>5</v>
      </c>
      <c r="R2962" s="15" t="n">
        <f aca="false">IF(OR(J2962=1,M2962&lt;=Inputs!$B$12),1,0)</f>
        <v>1</v>
      </c>
      <c r="S2962" s="15" t="n">
        <f aca="false">IF(OR(J2962=1,N2962&lt;=O2962),1,0)</f>
        <v>1</v>
      </c>
      <c r="T2962" s="15" t="str">
        <f aca="false">IF(J2962=1,"OFFLINE",IF(AND(Q2962&gt;=Inputs!$B$15,R2962=1,S2962=1,P2962&lt;=L2962),"PASS","FAIL"))</f>
        <v>PASS</v>
      </c>
    </row>
    <row r="2963" customFormat="false" ht="15" hidden="false" customHeight="false" outlineLevel="0" collapsed="false">
      <c r="A2963" s="14" t="s">
        <v>1050</v>
      </c>
      <c r="B2963" s="14" t="s">
        <v>1048</v>
      </c>
      <c r="C2963" s="14" t="s">
        <v>154</v>
      </c>
      <c r="D2963" s="14" t="s">
        <v>174</v>
      </c>
      <c r="E2963" s="14" t="s">
        <v>152</v>
      </c>
      <c r="F2963" s="14" t="s">
        <v>175</v>
      </c>
      <c r="G2963" s="14" t="n">
        <v>1</v>
      </c>
      <c r="H2963" s="14" t="s">
        <v>154</v>
      </c>
      <c r="I2963" s="14" t="s">
        <v>897</v>
      </c>
      <c r="J2963" s="15" t="n">
        <f aca="false">IF(B2963="SITE LOSS",IF(D2963=C2963,1,0),IF(B2963="REGION LOSS",IF(E2963=C2963,1,0),0))</f>
        <v>0</v>
      </c>
      <c r="K2963" s="15" t="n">
        <f aca="false">IF(B2963="SITE LOSS",IF(COUNTIFS('Site Dockets'!$B$7:$B$24,C2963,'Site Dockets'!$C$7:$C$24,F2963)&gt;0,1,0),IF(B2963="REGION LOSS",IF(COUNTIFS('Site Dockets'!$E$7:$E$24,C2963,'Site Dockets'!$C$7:$C$24,F2963)&gt;0,1,0),0))</f>
        <v>0</v>
      </c>
      <c r="L2963" s="15" t="n">
        <f aca="false">IF(J2963=1,0,Inputs!$B$11)</f>
        <v>100</v>
      </c>
      <c r="M2963" s="15" t="n">
        <f aca="false">IF(J2963=1,0,Inputs!$B$12)</f>
        <v>75</v>
      </c>
      <c r="N2963" s="15" t="n">
        <f aca="false">IF(J2963=1,0,IF(OR(AND(OR(B2963="SITE LOSS",B2963="REGION LOSS"),K2963=1),AND(B2963="ROLE COMPROMISE",H2963=C2963)),Inputs!$B$13,Inputs!$B$14))</f>
        <v>20</v>
      </c>
      <c r="O2963" s="15" t="n">
        <f aca="false">IF(J2963=1,0,Inputs!$B$13)</f>
        <v>20</v>
      </c>
      <c r="P2963" s="15" t="n">
        <f aca="false">SUM(M2963:N2963)</f>
        <v>95</v>
      </c>
      <c r="Q2963" s="15" t="n">
        <f aca="false">IF(J2963=1,"",L2963-P2963)</f>
        <v>5</v>
      </c>
      <c r="R2963" s="15" t="n">
        <f aca="false">IF(OR(J2963=1,M2963&lt;=Inputs!$B$12),1,0)</f>
        <v>1</v>
      </c>
      <c r="S2963" s="15" t="n">
        <f aca="false">IF(OR(J2963=1,N2963&lt;=O2963),1,0)</f>
        <v>1</v>
      </c>
      <c r="T2963" s="15" t="str">
        <f aca="false">IF(J2963=1,"OFFLINE",IF(AND(Q2963&gt;=Inputs!$B$15,R2963=1,S2963=1,P2963&lt;=L2963),"PASS","FAIL"))</f>
        <v>PASS</v>
      </c>
    </row>
    <row r="2964" customFormat="false" ht="15" hidden="false" customHeight="false" outlineLevel="0" collapsed="false">
      <c r="A2964" s="14" t="s">
        <v>1050</v>
      </c>
      <c r="B2964" s="14" t="s">
        <v>1048</v>
      </c>
      <c r="C2964" s="14" t="s">
        <v>154</v>
      </c>
      <c r="D2964" s="14" t="s">
        <v>174</v>
      </c>
      <c r="E2964" s="14" t="s">
        <v>152</v>
      </c>
      <c r="F2964" s="14" t="s">
        <v>175</v>
      </c>
      <c r="G2964" s="14" t="n">
        <v>1</v>
      </c>
      <c r="H2964" s="14" t="s">
        <v>154</v>
      </c>
      <c r="I2964" s="14" t="s">
        <v>899</v>
      </c>
      <c r="J2964" s="15" t="n">
        <f aca="false">IF(B2964="SITE LOSS",IF(D2964=C2964,1,0),IF(B2964="REGION LOSS",IF(E2964=C2964,1,0),0))</f>
        <v>0</v>
      </c>
      <c r="K2964" s="15" t="n">
        <f aca="false">IF(B2964="SITE LOSS",IF(COUNTIFS('Site Dockets'!$B$7:$B$24,C2964,'Site Dockets'!$C$7:$C$24,F2964)&gt;0,1,0),IF(B2964="REGION LOSS",IF(COUNTIFS('Site Dockets'!$E$7:$E$24,C2964,'Site Dockets'!$C$7:$C$24,F2964)&gt;0,1,0),0))</f>
        <v>0</v>
      </c>
      <c r="L2964" s="15" t="n">
        <f aca="false">IF(J2964=1,0,Inputs!$B$11)</f>
        <v>100</v>
      </c>
      <c r="M2964" s="15" t="n">
        <f aca="false">IF(J2964=1,0,Inputs!$B$12)</f>
        <v>75</v>
      </c>
      <c r="N2964" s="15" t="n">
        <f aca="false">IF(J2964=1,0,IF(OR(AND(OR(B2964="SITE LOSS",B2964="REGION LOSS"),K2964=1),AND(B2964="ROLE COMPROMISE",H2964=C2964)),Inputs!$B$13,Inputs!$B$14))</f>
        <v>20</v>
      </c>
      <c r="O2964" s="15" t="n">
        <f aca="false">IF(J2964=1,0,Inputs!$B$13)</f>
        <v>20</v>
      </c>
      <c r="P2964" s="15" t="n">
        <f aca="false">SUM(M2964:N2964)</f>
        <v>95</v>
      </c>
      <c r="Q2964" s="15" t="n">
        <f aca="false">IF(J2964=1,"",L2964-P2964)</f>
        <v>5</v>
      </c>
      <c r="R2964" s="15" t="n">
        <f aca="false">IF(OR(J2964=1,M2964&lt;=Inputs!$B$12),1,0)</f>
        <v>1</v>
      </c>
      <c r="S2964" s="15" t="n">
        <f aca="false">IF(OR(J2964=1,N2964&lt;=O2964),1,0)</f>
        <v>1</v>
      </c>
      <c r="T2964" s="15" t="str">
        <f aca="false">IF(J2964=1,"OFFLINE",IF(AND(Q2964&gt;=Inputs!$B$15,R2964=1,S2964=1,P2964&lt;=L2964),"PASS","FAIL"))</f>
        <v>PASS</v>
      </c>
    </row>
    <row r="2965" customFormat="false" ht="15" hidden="false" customHeight="false" outlineLevel="0" collapsed="false">
      <c r="A2965" s="14" t="s">
        <v>1050</v>
      </c>
      <c r="B2965" s="14" t="s">
        <v>1048</v>
      </c>
      <c r="C2965" s="14" t="s">
        <v>154</v>
      </c>
      <c r="D2965" s="14" t="s">
        <v>178</v>
      </c>
      <c r="E2965" s="14" t="s">
        <v>169</v>
      </c>
      <c r="F2965" s="14" t="s">
        <v>175</v>
      </c>
      <c r="G2965" s="14" t="n">
        <v>2</v>
      </c>
      <c r="H2965" s="14" t="s">
        <v>153</v>
      </c>
      <c r="I2965" s="14" t="s">
        <v>890</v>
      </c>
      <c r="J2965" s="15" t="n">
        <f aca="false">IF(B2965="SITE LOSS",IF(D2965=C2965,1,0),IF(B2965="REGION LOSS",IF(E2965=C2965,1,0),0))</f>
        <v>0</v>
      </c>
      <c r="K2965" s="15" t="n">
        <f aca="false">IF(B2965="SITE LOSS",IF(COUNTIFS('Site Dockets'!$B$7:$B$24,C2965,'Site Dockets'!$C$7:$C$24,F2965)&gt;0,1,0),IF(B2965="REGION LOSS",IF(COUNTIFS('Site Dockets'!$E$7:$E$24,C2965,'Site Dockets'!$C$7:$C$24,F2965)&gt;0,1,0),0))</f>
        <v>0</v>
      </c>
      <c r="L2965" s="15" t="n">
        <f aca="false">IF(J2965=1,0,Inputs!$B$11)</f>
        <v>100</v>
      </c>
      <c r="M2965" s="15" t="n">
        <f aca="false">IF(J2965=1,0,Inputs!$B$12)</f>
        <v>75</v>
      </c>
      <c r="N2965" s="15" t="n">
        <f aca="false">IF(J2965=1,0,IF(OR(AND(OR(B2965="SITE LOSS",B2965="REGION LOSS"),K2965=1),AND(B2965="ROLE COMPROMISE",H2965=C2965)),Inputs!$B$13,Inputs!$B$14))</f>
        <v>10</v>
      </c>
      <c r="O2965" s="15" t="n">
        <f aca="false">IF(J2965=1,0,Inputs!$B$13)</f>
        <v>20</v>
      </c>
      <c r="P2965" s="15" t="n">
        <f aca="false">SUM(M2965:N2965)</f>
        <v>85</v>
      </c>
      <c r="Q2965" s="15" t="n">
        <f aca="false">IF(J2965=1,"",L2965-P2965)</f>
        <v>15</v>
      </c>
      <c r="R2965" s="15" t="n">
        <f aca="false">IF(OR(J2965=1,M2965&lt;=Inputs!$B$12),1,0)</f>
        <v>1</v>
      </c>
      <c r="S2965" s="15" t="n">
        <f aca="false">IF(OR(J2965=1,N2965&lt;=O2965),1,0)</f>
        <v>1</v>
      </c>
      <c r="T2965" s="15" t="str">
        <f aca="false">IF(J2965=1,"OFFLINE",IF(AND(Q2965&gt;=Inputs!$B$15,R2965=1,S2965=1,P2965&lt;=L2965),"PASS","FAIL"))</f>
        <v>PASS</v>
      </c>
    </row>
    <row r="2966" customFormat="false" ht="15" hidden="false" customHeight="false" outlineLevel="0" collapsed="false">
      <c r="A2966" s="14" t="s">
        <v>1050</v>
      </c>
      <c r="B2966" s="14" t="s">
        <v>1048</v>
      </c>
      <c r="C2966" s="14" t="s">
        <v>154</v>
      </c>
      <c r="D2966" s="14" t="s">
        <v>178</v>
      </c>
      <c r="E2966" s="14" t="s">
        <v>169</v>
      </c>
      <c r="F2966" s="14" t="s">
        <v>175</v>
      </c>
      <c r="G2966" s="14" t="n">
        <v>2</v>
      </c>
      <c r="H2966" s="14" t="s">
        <v>153</v>
      </c>
      <c r="I2966" s="14" t="s">
        <v>892</v>
      </c>
      <c r="J2966" s="15" t="n">
        <f aca="false">IF(B2966="SITE LOSS",IF(D2966=C2966,1,0),IF(B2966="REGION LOSS",IF(E2966=C2966,1,0),0))</f>
        <v>0</v>
      </c>
      <c r="K2966" s="15" t="n">
        <f aca="false">IF(B2966="SITE LOSS",IF(COUNTIFS('Site Dockets'!$B$7:$B$24,C2966,'Site Dockets'!$C$7:$C$24,F2966)&gt;0,1,0),IF(B2966="REGION LOSS",IF(COUNTIFS('Site Dockets'!$E$7:$E$24,C2966,'Site Dockets'!$C$7:$C$24,F2966)&gt;0,1,0),0))</f>
        <v>0</v>
      </c>
      <c r="L2966" s="15" t="n">
        <f aca="false">IF(J2966=1,0,Inputs!$B$11)</f>
        <v>100</v>
      </c>
      <c r="M2966" s="15" t="n">
        <f aca="false">IF(J2966=1,0,Inputs!$B$12)</f>
        <v>75</v>
      </c>
      <c r="N2966" s="15" t="n">
        <f aca="false">IF(J2966=1,0,IF(OR(AND(OR(B2966="SITE LOSS",B2966="REGION LOSS"),K2966=1),AND(B2966="ROLE COMPROMISE",H2966=C2966)),Inputs!$B$13,Inputs!$B$14))</f>
        <v>10</v>
      </c>
      <c r="O2966" s="15" t="n">
        <f aca="false">IF(J2966=1,0,Inputs!$B$13)</f>
        <v>20</v>
      </c>
      <c r="P2966" s="15" t="n">
        <f aca="false">SUM(M2966:N2966)</f>
        <v>85</v>
      </c>
      <c r="Q2966" s="15" t="n">
        <f aca="false">IF(J2966=1,"",L2966-P2966)</f>
        <v>15</v>
      </c>
      <c r="R2966" s="15" t="n">
        <f aca="false">IF(OR(J2966=1,M2966&lt;=Inputs!$B$12),1,0)</f>
        <v>1</v>
      </c>
      <c r="S2966" s="15" t="n">
        <f aca="false">IF(OR(J2966=1,N2966&lt;=O2966),1,0)</f>
        <v>1</v>
      </c>
      <c r="T2966" s="15" t="str">
        <f aca="false">IF(J2966=1,"OFFLINE",IF(AND(Q2966&gt;=Inputs!$B$15,R2966=1,S2966=1,P2966&lt;=L2966),"PASS","FAIL"))</f>
        <v>PASS</v>
      </c>
    </row>
    <row r="2967" customFormat="false" ht="15" hidden="false" customHeight="false" outlineLevel="0" collapsed="false">
      <c r="A2967" s="14" t="s">
        <v>1050</v>
      </c>
      <c r="B2967" s="14" t="s">
        <v>1048</v>
      </c>
      <c r="C2967" s="14" t="s">
        <v>154</v>
      </c>
      <c r="D2967" s="14" t="s">
        <v>178</v>
      </c>
      <c r="E2967" s="14" t="s">
        <v>169</v>
      </c>
      <c r="F2967" s="14" t="s">
        <v>175</v>
      </c>
      <c r="G2967" s="14" t="n">
        <v>2</v>
      </c>
      <c r="H2967" s="14" t="s">
        <v>153</v>
      </c>
      <c r="I2967" s="14" t="s">
        <v>811</v>
      </c>
      <c r="J2967" s="15" t="n">
        <f aca="false">IF(B2967="SITE LOSS",IF(D2967=C2967,1,0),IF(B2967="REGION LOSS",IF(E2967=C2967,1,0),0))</f>
        <v>0</v>
      </c>
      <c r="K2967" s="15" t="n">
        <f aca="false">IF(B2967="SITE LOSS",IF(COUNTIFS('Site Dockets'!$B$7:$B$24,C2967,'Site Dockets'!$C$7:$C$24,F2967)&gt;0,1,0),IF(B2967="REGION LOSS",IF(COUNTIFS('Site Dockets'!$E$7:$E$24,C2967,'Site Dockets'!$C$7:$C$24,F2967)&gt;0,1,0),0))</f>
        <v>0</v>
      </c>
      <c r="L2967" s="15" t="n">
        <f aca="false">IF(J2967=1,0,Inputs!$B$11)</f>
        <v>100</v>
      </c>
      <c r="M2967" s="15" t="n">
        <f aca="false">IF(J2967=1,0,Inputs!$B$12)</f>
        <v>75</v>
      </c>
      <c r="N2967" s="15" t="n">
        <f aca="false">IF(J2967=1,0,IF(OR(AND(OR(B2967="SITE LOSS",B2967="REGION LOSS"),K2967=1),AND(B2967="ROLE COMPROMISE",H2967=C2967)),Inputs!$B$13,Inputs!$B$14))</f>
        <v>10</v>
      </c>
      <c r="O2967" s="15" t="n">
        <f aca="false">IF(J2967=1,0,Inputs!$B$13)</f>
        <v>20</v>
      </c>
      <c r="P2967" s="15" t="n">
        <f aca="false">SUM(M2967:N2967)</f>
        <v>85</v>
      </c>
      <c r="Q2967" s="15" t="n">
        <f aca="false">IF(J2967=1,"",L2967-P2967)</f>
        <v>15</v>
      </c>
      <c r="R2967" s="15" t="n">
        <f aca="false">IF(OR(J2967=1,M2967&lt;=Inputs!$B$12),1,0)</f>
        <v>1</v>
      </c>
      <c r="S2967" s="15" t="n">
        <f aca="false">IF(OR(J2967=1,N2967&lt;=O2967),1,0)</f>
        <v>1</v>
      </c>
      <c r="T2967" s="15" t="str">
        <f aca="false">IF(J2967=1,"OFFLINE",IF(AND(Q2967&gt;=Inputs!$B$15,R2967=1,S2967=1,P2967&lt;=L2967),"PASS","FAIL"))</f>
        <v>PASS</v>
      </c>
    </row>
    <row r="2968" customFormat="false" ht="15" hidden="false" customHeight="false" outlineLevel="0" collapsed="false">
      <c r="A2968" s="14" t="s">
        <v>1050</v>
      </c>
      <c r="B2968" s="14" t="s">
        <v>1048</v>
      </c>
      <c r="C2968" s="14" t="s">
        <v>154</v>
      </c>
      <c r="D2968" s="14" t="s">
        <v>178</v>
      </c>
      <c r="E2968" s="14" t="s">
        <v>169</v>
      </c>
      <c r="F2968" s="14" t="s">
        <v>175</v>
      </c>
      <c r="G2968" s="14" t="n">
        <v>2</v>
      </c>
      <c r="H2968" s="14" t="s">
        <v>153</v>
      </c>
      <c r="I2968" s="14" t="s">
        <v>895</v>
      </c>
      <c r="J2968" s="15" t="n">
        <f aca="false">IF(B2968="SITE LOSS",IF(D2968=C2968,1,0),IF(B2968="REGION LOSS",IF(E2968=C2968,1,0),0))</f>
        <v>0</v>
      </c>
      <c r="K2968" s="15" t="n">
        <f aca="false">IF(B2968="SITE LOSS",IF(COUNTIFS('Site Dockets'!$B$7:$B$24,C2968,'Site Dockets'!$C$7:$C$24,F2968)&gt;0,1,0),IF(B2968="REGION LOSS",IF(COUNTIFS('Site Dockets'!$E$7:$E$24,C2968,'Site Dockets'!$C$7:$C$24,F2968)&gt;0,1,0),0))</f>
        <v>0</v>
      </c>
      <c r="L2968" s="15" t="n">
        <f aca="false">IF(J2968=1,0,Inputs!$B$11)</f>
        <v>100</v>
      </c>
      <c r="M2968" s="15" t="n">
        <f aca="false">IF(J2968=1,0,Inputs!$B$12)</f>
        <v>75</v>
      </c>
      <c r="N2968" s="15" t="n">
        <f aca="false">IF(J2968=1,0,IF(OR(AND(OR(B2968="SITE LOSS",B2968="REGION LOSS"),K2968=1),AND(B2968="ROLE COMPROMISE",H2968=C2968)),Inputs!$B$13,Inputs!$B$14))</f>
        <v>10</v>
      </c>
      <c r="O2968" s="15" t="n">
        <f aca="false">IF(J2968=1,0,Inputs!$B$13)</f>
        <v>20</v>
      </c>
      <c r="P2968" s="15" t="n">
        <f aca="false">SUM(M2968:N2968)</f>
        <v>85</v>
      </c>
      <c r="Q2968" s="15" t="n">
        <f aca="false">IF(J2968=1,"",L2968-P2968)</f>
        <v>15</v>
      </c>
      <c r="R2968" s="15" t="n">
        <f aca="false">IF(OR(J2968=1,M2968&lt;=Inputs!$B$12),1,0)</f>
        <v>1</v>
      </c>
      <c r="S2968" s="15" t="n">
        <f aca="false">IF(OR(J2968=1,N2968&lt;=O2968),1,0)</f>
        <v>1</v>
      </c>
      <c r="T2968" s="15" t="str">
        <f aca="false">IF(J2968=1,"OFFLINE",IF(AND(Q2968&gt;=Inputs!$B$15,R2968=1,S2968=1,P2968&lt;=L2968),"PASS","FAIL"))</f>
        <v>PASS</v>
      </c>
    </row>
    <row r="2969" customFormat="false" ht="15" hidden="false" customHeight="false" outlineLevel="0" collapsed="false">
      <c r="A2969" s="14" t="s">
        <v>1050</v>
      </c>
      <c r="B2969" s="14" t="s">
        <v>1048</v>
      </c>
      <c r="C2969" s="14" t="s">
        <v>154</v>
      </c>
      <c r="D2969" s="14" t="s">
        <v>178</v>
      </c>
      <c r="E2969" s="14" t="s">
        <v>169</v>
      </c>
      <c r="F2969" s="14" t="s">
        <v>175</v>
      </c>
      <c r="G2969" s="14" t="n">
        <v>2</v>
      </c>
      <c r="H2969" s="14" t="s">
        <v>153</v>
      </c>
      <c r="I2969" s="14" t="s">
        <v>897</v>
      </c>
      <c r="J2969" s="15" t="n">
        <f aca="false">IF(B2969="SITE LOSS",IF(D2969=C2969,1,0),IF(B2969="REGION LOSS",IF(E2969=C2969,1,0),0))</f>
        <v>0</v>
      </c>
      <c r="K2969" s="15" t="n">
        <f aca="false">IF(B2969="SITE LOSS",IF(COUNTIFS('Site Dockets'!$B$7:$B$24,C2969,'Site Dockets'!$C$7:$C$24,F2969)&gt;0,1,0),IF(B2969="REGION LOSS",IF(COUNTIFS('Site Dockets'!$E$7:$E$24,C2969,'Site Dockets'!$C$7:$C$24,F2969)&gt;0,1,0),0))</f>
        <v>0</v>
      </c>
      <c r="L2969" s="15" t="n">
        <f aca="false">IF(J2969=1,0,Inputs!$B$11)</f>
        <v>100</v>
      </c>
      <c r="M2969" s="15" t="n">
        <f aca="false">IF(J2969=1,0,Inputs!$B$12)</f>
        <v>75</v>
      </c>
      <c r="N2969" s="15" t="n">
        <f aca="false">IF(J2969=1,0,IF(OR(AND(OR(B2969="SITE LOSS",B2969="REGION LOSS"),K2969=1),AND(B2969="ROLE COMPROMISE",H2969=C2969)),Inputs!$B$13,Inputs!$B$14))</f>
        <v>10</v>
      </c>
      <c r="O2969" s="15" t="n">
        <f aca="false">IF(J2969=1,0,Inputs!$B$13)</f>
        <v>20</v>
      </c>
      <c r="P2969" s="15" t="n">
        <f aca="false">SUM(M2969:N2969)</f>
        <v>85</v>
      </c>
      <c r="Q2969" s="15" t="n">
        <f aca="false">IF(J2969=1,"",L2969-P2969)</f>
        <v>15</v>
      </c>
      <c r="R2969" s="15" t="n">
        <f aca="false">IF(OR(J2969=1,M2969&lt;=Inputs!$B$12),1,0)</f>
        <v>1</v>
      </c>
      <c r="S2969" s="15" t="n">
        <f aca="false">IF(OR(J2969=1,N2969&lt;=O2969),1,0)</f>
        <v>1</v>
      </c>
      <c r="T2969" s="15" t="str">
        <f aca="false">IF(J2969=1,"OFFLINE",IF(AND(Q2969&gt;=Inputs!$B$15,R2969=1,S2969=1,P2969&lt;=L2969),"PASS","FAIL"))</f>
        <v>PASS</v>
      </c>
    </row>
    <row r="2970" customFormat="false" ht="15" hidden="false" customHeight="false" outlineLevel="0" collapsed="false">
      <c r="A2970" s="14" t="s">
        <v>1050</v>
      </c>
      <c r="B2970" s="14" t="s">
        <v>1048</v>
      </c>
      <c r="C2970" s="14" t="s">
        <v>154</v>
      </c>
      <c r="D2970" s="14" t="s">
        <v>178</v>
      </c>
      <c r="E2970" s="14" t="s">
        <v>169</v>
      </c>
      <c r="F2970" s="14" t="s">
        <v>175</v>
      </c>
      <c r="G2970" s="14" t="n">
        <v>2</v>
      </c>
      <c r="H2970" s="14" t="s">
        <v>153</v>
      </c>
      <c r="I2970" s="14" t="s">
        <v>899</v>
      </c>
      <c r="J2970" s="15" t="n">
        <f aca="false">IF(B2970="SITE LOSS",IF(D2970=C2970,1,0),IF(B2970="REGION LOSS",IF(E2970=C2970,1,0),0))</f>
        <v>0</v>
      </c>
      <c r="K2970" s="15" t="n">
        <f aca="false">IF(B2970="SITE LOSS",IF(COUNTIFS('Site Dockets'!$B$7:$B$24,C2970,'Site Dockets'!$C$7:$C$24,F2970)&gt;0,1,0),IF(B2970="REGION LOSS",IF(COUNTIFS('Site Dockets'!$E$7:$E$24,C2970,'Site Dockets'!$C$7:$C$24,F2970)&gt;0,1,0),0))</f>
        <v>0</v>
      </c>
      <c r="L2970" s="15" t="n">
        <f aca="false">IF(J2970=1,0,Inputs!$B$11)</f>
        <v>100</v>
      </c>
      <c r="M2970" s="15" t="n">
        <f aca="false">IF(J2970=1,0,Inputs!$B$12)</f>
        <v>75</v>
      </c>
      <c r="N2970" s="15" t="n">
        <f aca="false">IF(J2970=1,0,IF(OR(AND(OR(B2970="SITE LOSS",B2970="REGION LOSS"),K2970=1),AND(B2970="ROLE COMPROMISE",H2970=C2970)),Inputs!$B$13,Inputs!$B$14))</f>
        <v>10</v>
      </c>
      <c r="O2970" s="15" t="n">
        <f aca="false">IF(J2970=1,0,Inputs!$B$13)</f>
        <v>20</v>
      </c>
      <c r="P2970" s="15" t="n">
        <f aca="false">SUM(M2970:N2970)</f>
        <v>85</v>
      </c>
      <c r="Q2970" s="15" t="n">
        <f aca="false">IF(J2970=1,"",L2970-P2970)</f>
        <v>15</v>
      </c>
      <c r="R2970" s="15" t="n">
        <f aca="false">IF(OR(J2970=1,M2970&lt;=Inputs!$B$12),1,0)</f>
        <v>1</v>
      </c>
      <c r="S2970" s="15" t="n">
        <f aca="false">IF(OR(J2970=1,N2970&lt;=O2970),1,0)</f>
        <v>1</v>
      </c>
      <c r="T2970" s="15" t="str">
        <f aca="false">IF(J2970=1,"OFFLINE",IF(AND(Q2970&gt;=Inputs!$B$15,R2970=1,S2970=1,P2970&lt;=L2970),"PASS","FAIL"))</f>
        <v>PASS</v>
      </c>
    </row>
    <row r="2971" customFormat="false" ht="15" hidden="false" customHeight="false" outlineLevel="0" collapsed="false">
      <c r="A2971" s="14" t="s">
        <v>1050</v>
      </c>
      <c r="B2971" s="14" t="s">
        <v>1048</v>
      </c>
      <c r="C2971" s="14" t="s">
        <v>154</v>
      </c>
      <c r="D2971" s="14" t="s">
        <v>180</v>
      </c>
      <c r="E2971" s="14" t="s">
        <v>161</v>
      </c>
      <c r="F2971" s="14" t="s">
        <v>175</v>
      </c>
      <c r="G2971" s="14" t="n">
        <v>3</v>
      </c>
      <c r="H2971" s="14" t="s">
        <v>158</v>
      </c>
      <c r="I2971" s="14" t="s">
        <v>890</v>
      </c>
      <c r="J2971" s="15" t="n">
        <f aca="false">IF(B2971="SITE LOSS",IF(D2971=C2971,1,0),IF(B2971="REGION LOSS",IF(E2971=C2971,1,0),0))</f>
        <v>0</v>
      </c>
      <c r="K2971" s="15" t="n">
        <f aca="false">IF(B2971="SITE LOSS",IF(COUNTIFS('Site Dockets'!$B$7:$B$24,C2971,'Site Dockets'!$C$7:$C$24,F2971)&gt;0,1,0),IF(B2971="REGION LOSS",IF(COUNTIFS('Site Dockets'!$E$7:$E$24,C2971,'Site Dockets'!$C$7:$C$24,F2971)&gt;0,1,0),0))</f>
        <v>0</v>
      </c>
      <c r="L2971" s="15" t="n">
        <f aca="false">IF(J2971=1,0,Inputs!$B$11)</f>
        <v>100</v>
      </c>
      <c r="M2971" s="15" t="n">
        <f aca="false">IF(J2971=1,0,Inputs!$B$12)</f>
        <v>75</v>
      </c>
      <c r="N2971" s="15" t="n">
        <f aca="false">IF(J2971=1,0,IF(OR(AND(OR(B2971="SITE LOSS",B2971="REGION LOSS"),K2971=1),AND(B2971="ROLE COMPROMISE",H2971=C2971)),Inputs!$B$13,Inputs!$B$14))</f>
        <v>10</v>
      </c>
      <c r="O2971" s="15" t="n">
        <f aca="false">IF(J2971=1,0,Inputs!$B$13)</f>
        <v>20</v>
      </c>
      <c r="P2971" s="15" t="n">
        <f aca="false">SUM(M2971:N2971)</f>
        <v>85</v>
      </c>
      <c r="Q2971" s="15" t="n">
        <f aca="false">IF(J2971=1,"",L2971-P2971)</f>
        <v>15</v>
      </c>
      <c r="R2971" s="15" t="n">
        <f aca="false">IF(OR(J2971=1,M2971&lt;=Inputs!$B$12),1,0)</f>
        <v>1</v>
      </c>
      <c r="S2971" s="15" t="n">
        <f aca="false">IF(OR(J2971=1,N2971&lt;=O2971),1,0)</f>
        <v>1</v>
      </c>
      <c r="T2971" s="15" t="str">
        <f aca="false">IF(J2971=1,"OFFLINE",IF(AND(Q2971&gt;=Inputs!$B$15,R2971=1,S2971=1,P2971&lt;=L2971),"PASS","FAIL"))</f>
        <v>PASS</v>
      </c>
    </row>
    <row r="2972" customFormat="false" ht="15" hidden="false" customHeight="false" outlineLevel="0" collapsed="false">
      <c r="A2972" s="14" t="s">
        <v>1050</v>
      </c>
      <c r="B2972" s="14" t="s">
        <v>1048</v>
      </c>
      <c r="C2972" s="14" t="s">
        <v>154</v>
      </c>
      <c r="D2972" s="14" t="s">
        <v>180</v>
      </c>
      <c r="E2972" s="14" t="s">
        <v>161</v>
      </c>
      <c r="F2972" s="14" t="s">
        <v>175</v>
      </c>
      <c r="G2972" s="14" t="n">
        <v>3</v>
      </c>
      <c r="H2972" s="14" t="s">
        <v>158</v>
      </c>
      <c r="I2972" s="14" t="s">
        <v>892</v>
      </c>
      <c r="J2972" s="15" t="n">
        <f aca="false">IF(B2972="SITE LOSS",IF(D2972=C2972,1,0),IF(B2972="REGION LOSS",IF(E2972=C2972,1,0),0))</f>
        <v>0</v>
      </c>
      <c r="K2972" s="15" t="n">
        <f aca="false">IF(B2972="SITE LOSS",IF(COUNTIFS('Site Dockets'!$B$7:$B$24,C2972,'Site Dockets'!$C$7:$C$24,F2972)&gt;0,1,0),IF(B2972="REGION LOSS",IF(COUNTIFS('Site Dockets'!$E$7:$E$24,C2972,'Site Dockets'!$C$7:$C$24,F2972)&gt;0,1,0),0))</f>
        <v>0</v>
      </c>
      <c r="L2972" s="15" t="n">
        <f aca="false">IF(J2972=1,0,Inputs!$B$11)</f>
        <v>100</v>
      </c>
      <c r="M2972" s="15" t="n">
        <f aca="false">IF(J2972=1,0,Inputs!$B$12)</f>
        <v>75</v>
      </c>
      <c r="N2972" s="15" t="n">
        <f aca="false">IF(J2972=1,0,IF(OR(AND(OR(B2972="SITE LOSS",B2972="REGION LOSS"),K2972=1),AND(B2972="ROLE COMPROMISE",H2972=C2972)),Inputs!$B$13,Inputs!$B$14))</f>
        <v>10</v>
      </c>
      <c r="O2972" s="15" t="n">
        <f aca="false">IF(J2972=1,0,Inputs!$B$13)</f>
        <v>20</v>
      </c>
      <c r="P2972" s="15" t="n">
        <f aca="false">SUM(M2972:N2972)</f>
        <v>85</v>
      </c>
      <c r="Q2972" s="15" t="n">
        <f aca="false">IF(J2972=1,"",L2972-P2972)</f>
        <v>15</v>
      </c>
      <c r="R2972" s="15" t="n">
        <f aca="false">IF(OR(J2972=1,M2972&lt;=Inputs!$B$12),1,0)</f>
        <v>1</v>
      </c>
      <c r="S2972" s="15" t="n">
        <f aca="false">IF(OR(J2972=1,N2972&lt;=O2972),1,0)</f>
        <v>1</v>
      </c>
      <c r="T2972" s="15" t="str">
        <f aca="false">IF(J2972=1,"OFFLINE",IF(AND(Q2972&gt;=Inputs!$B$15,R2972=1,S2972=1,P2972&lt;=L2972),"PASS","FAIL"))</f>
        <v>PASS</v>
      </c>
    </row>
    <row r="2973" customFormat="false" ht="15" hidden="false" customHeight="false" outlineLevel="0" collapsed="false">
      <c r="A2973" s="14" t="s">
        <v>1050</v>
      </c>
      <c r="B2973" s="14" t="s">
        <v>1048</v>
      </c>
      <c r="C2973" s="14" t="s">
        <v>154</v>
      </c>
      <c r="D2973" s="14" t="s">
        <v>180</v>
      </c>
      <c r="E2973" s="14" t="s">
        <v>161</v>
      </c>
      <c r="F2973" s="14" t="s">
        <v>175</v>
      </c>
      <c r="G2973" s="14" t="n">
        <v>3</v>
      </c>
      <c r="H2973" s="14" t="s">
        <v>158</v>
      </c>
      <c r="I2973" s="14" t="s">
        <v>811</v>
      </c>
      <c r="J2973" s="15" t="n">
        <f aca="false">IF(B2973="SITE LOSS",IF(D2973=C2973,1,0),IF(B2973="REGION LOSS",IF(E2973=C2973,1,0),0))</f>
        <v>0</v>
      </c>
      <c r="K2973" s="15" t="n">
        <f aca="false">IF(B2973="SITE LOSS",IF(COUNTIFS('Site Dockets'!$B$7:$B$24,C2973,'Site Dockets'!$C$7:$C$24,F2973)&gt;0,1,0),IF(B2973="REGION LOSS",IF(COUNTIFS('Site Dockets'!$E$7:$E$24,C2973,'Site Dockets'!$C$7:$C$24,F2973)&gt;0,1,0),0))</f>
        <v>0</v>
      </c>
      <c r="L2973" s="15" t="n">
        <f aca="false">IF(J2973=1,0,Inputs!$B$11)</f>
        <v>100</v>
      </c>
      <c r="M2973" s="15" t="n">
        <f aca="false">IF(J2973=1,0,Inputs!$B$12)</f>
        <v>75</v>
      </c>
      <c r="N2973" s="15" t="n">
        <f aca="false">IF(J2973=1,0,IF(OR(AND(OR(B2973="SITE LOSS",B2973="REGION LOSS"),K2973=1),AND(B2973="ROLE COMPROMISE",H2973=C2973)),Inputs!$B$13,Inputs!$B$14))</f>
        <v>10</v>
      </c>
      <c r="O2973" s="15" t="n">
        <f aca="false">IF(J2973=1,0,Inputs!$B$13)</f>
        <v>20</v>
      </c>
      <c r="P2973" s="15" t="n">
        <f aca="false">SUM(M2973:N2973)</f>
        <v>85</v>
      </c>
      <c r="Q2973" s="15" t="n">
        <f aca="false">IF(J2973=1,"",L2973-P2973)</f>
        <v>15</v>
      </c>
      <c r="R2973" s="15" t="n">
        <f aca="false">IF(OR(J2973=1,M2973&lt;=Inputs!$B$12),1,0)</f>
        <v>1</v>
      </c>
      <c r="S2973" s="15" t="n">
        <f aca="false">IF(OR(J2973=1,N2973&lt;=O2973),1,0)</f>
        <v>1</v>
      </c>
      <c r="T2973" s="15" t="str">
        <f aca="false">IF(J2973=1,"OFFLINE",IF(AND(Q2973&gt;=Inputs!$B$15,R2973=1,S2973=1,P2973&lt;=L2973),"PASS","FAIL"))</f>
        <v>PASS</v>
      </c>
    </row>
    <row r="2974" customFormat="false" ht="15" hidden="false" customHeight="false" outlineLevel="0" collapsed="false">
      <c r="A2974" s="14" t="s">
        <v>1050</v>
      </c>
      <c r="B2974" s="14" t="s">
        <v>1048</v>
      </c>
      <c r="C2974" s="14" t="s">
        <v>154</v>
      </c>
      <c r="D2974" s="14" t="s">
        <v>180</v>
      </c>
      <c r="E2974" s="14" t="s">
        <v>161</v>
      </c>
      <c r="F2974" s="14" t="s">
        <v>175</v>
      </c>
      <c r="G2974" s="14" t="n">
        <v>3</v>
      </c>
      <c r="H2974" s="14" t="s">
        <v>158</v>
      </c>
      <c r="I2974" s="14" t="s">
        <v>895</v>
      </c>
      <c r="J2974" s="15" t="n">
        <f aca="false">IF(B2974="SITE LOSS",IF(D2974=C2974,1,0),IF(B2974="REGION LOSS",IF(E2974=C2974,1,0),0))</f>
        <v>0</v>
      </c>
      <c r="K2974" s="15" t="n">
        <f aca="false">IF(B2974="SITE LOSS",IF(COUNTIFS('Site Dockets'!$B$7:$B$24,C2974,'Site Dockets'!$C$7:$C$24,F2974)&gt;0,1,0),IF(B2974="REGION LOSS",IF(COUNTIFS('Site Dockets'!$E$7:$E$24,C2974,'Site Dockets'!$C$7:$C$24,F2974)&gt;0,1,0),0))</f>
        <v>0</v>
      </c>
      <c r="L2974" s="15" t="n">
        <f aca="false">IF(J2974=1,0,Inputs!$B$11)</f>
        <v>100</v>
      </c>
      <c r="M2974" s="15" t="n">
        <f aca="false">IF(J2974=1,0,Inputs!$B$12)</f>
        <v>75</v>
      </c>
      <c r="N2974" s="15" t="n">
        <f aca="false">IF(J2974=1,0,IF(OR(AND(OR(B2974="SITE LOSS",B2974="REGION LOSS"),K2974=1),AND(B2974="ROLE COMPROMISE",H2974=C2974)),Inputs!$B$13,Inputs!$B$14))</f>
        <v>10</v>
      </c>
      <c r="O2974" s="15" t="n">
        <f aca="false">IF(J2974=1,0,Inputs!$B$13)</f>
        <v>20</v>
      </c>
      <c r="P2974" s="15" t="n">
        <f aca="false">SUM(M2974:N2974)</f>
        <v>85</v>
      </c>
      <c r="Q2974" s="15" t="n">
        <f aca="false">IF(J2974=1,"",L2974-P2974)</f>
        <v>15</v>
      </c>
      <c r="R2974" s="15" t="n">
        <f aca="false">IF(OR(J2974=1,M2974&lt;=Inputs!$B$12),1,0)</f>
        <v>1</v>
      </c>
      <c r="S2974" s="15" t="n">
        <f aca="false">IF(OR(J2974=1,N2974&lt;=O2974),1,0)</f>
        <v>1</v>
      </c>
      <c r="T2974" s="15" t="str">
        <f aca="false">IF(J2974=1,"OFFLINE",IF(AND(Q2974&gt;=Inputs!$B$15,R2974=1,S2974=1,P2974&lt;=L2974),"PASS","FAIL"))</f>
        <v>PASS</v>
      </c>
    </row>
    <row r="2975" customFormat="false" ht="15" hidden="false" customHeight="false" outlineLevel="0" collapsed="false">
      <c r="A2975" s="14" t="s">
        <v>1050</v>
      </c>
      <c r="B2975" s="14" t="s">
        <v>1048</v>
      </c>
      <c r="C2975" s="14" t="s">
        <v>154</v>
      </c>
      <c r="D2975" s="14" t="s">
        <v>180</v>
      </c>
      <c r="E2975" s="14" t="s">
        <v>161</v>
      </c>
      <c r="F2975" s="14" t="s">
        <v>175</v>
      </c>
      <c r="G2975" s="14" t="n">
        <v>3</v>
      </c>
      <c r="H2975" s="14" t="s">
        <v>158</v>
      </c>
      <c r="I2975" s="14" t="s">
        <v>897</v>
      </c>
      <c r="J2975" s="15" t="n">
        <f aca="false">IF(B2975="SITE LOSS",IF(D2975=C2975,1,0),IF(B2975="REGION LOSS",IF(E2975=C2975,1,0),0))</f>
        <v>0</v>
      </c>
      <c r="K2975" s="15" t="n">
        <f aca="false">IF(B2975="SITE LOSS",IF(COUNTIFS('Site Dockets'!$B$7:$B$24,C2975,'Site Dockets'!$C$7:$C$24,F2975)&gt;0,1,0),IF(B2975="REGION LOSS",IF(COUNTIFS('Site Dockets'!$E$7:$E$24,C2975,'Site Dockets'!$C$7:$C$24,F2975)&gt;0,1,0),0))</f>
        <v>0</v>
      </c>
      <c r="L2975" s="15" t="n">
        <f aca="false">IF(J2975=1,0,Inputs!$B$11)</f>
        <v>100</v>
      </c>
      <c r="M2975" s="15" t="n">
        <f aca="false">IF(J2975=1,0,Inputs!$B$12)</f>
        <v>75</v>
      </c>
      <c r="N2975" s="15" t="n">
        <f aca="false">IF(J2975=1,0,IF(OR(AND(OR(B2975="SITE LOSS",B2975="REGION LOSS"),K2975=1),AND(B2975="ROLE COMPROMISE",H2975=C2975)),Inputs!$B$13,Inputs!$B$14))</f>
        <v>10</v>
      </c>
      <c r="O2975" s="15" t="n">
        <f aca="false">IF(J2975=1,0,Inputs!$B$13)</f>
        <v>20</v>
      </c>
      <c r="P2975" s="15" t="n">
        <f aca="false">SUM(M2975:N2975)</f>
        <v>85</v>
      </c>
      <c r="Q2975" s="15" t="n">
        <f aca="false">IF(J2975=1,"",L2975-P2975)</f>
        <v>15</v>
      </c>
      <c r="R2975" s="15" t="n">
        <f aca="false">IF(OR(J2975=1,M2975&lt;=Inputs!$B$12),1,0)</f>
        <v>1</v>
      </c>
      <c r="S2975" s="15" t="n">
        <f aca="false">IF(OR(J2975=1,N2975&lt;=O2975),1,0)</f>
        <v>1</v>
      </c>
      <c r="T2975" s="15" t="str">
        <f aca="false">IF(J2975=1,"OFFLINE",IF(AND(Q2975&gt;=Inputs!$B$15,R2975=1,S2975=1,P2975&lt;=L2975),"PASS","FAIL"))</f>
        <v>PASS</v>
      </c>
    </row>
    <row r="2976" customFormat="false" ht="15" hidden="false" customHeight="false" outlineLevel="0" collapsed="false">
      <c r="A2976" s="14" t="s">
        <v>1050</v>
      </c>
      <c r="B2976" s="14" t="s">
        <v>1048</v>
      </c>
      <c r="C2976" s="14" t="s">
        <v>154</v>
      </c>
      <c r="D2976" s="14" t="s">
        <v>180</v>
      </c>
      <c r="E2976" s="14" t="s">
        <v>161</v>
      </c>
      <c r="F2976" s="14" t="s">
        <v>175</v>
      </c>
      <c r="G2976" s="14" t="n">
        <v>3</v>
      </c>
      <c r="H2976" s="14" t="s">
        <v>158</v>
      </c>
      <c r="I2976" s="14" t="s">
        <v>899</v>
      </c>
      <c r="J2976" s="15" t="n">
        <f aca="false">IF(B2976="SITE LOSS",IF(D2976=C2976,1,0),IF(B2976="REGION LOSS",IF(E2976=C2976,1,0),0))</f>
        <v>0</v>
      </c>
      <c r="K2976" s="15" t="n">
        <f aca="false">IF(B2976="SITE LOSS",IF(COUNTIFS('Site Dockets'!$B$7:$B$24,C2976,'Site Dockets'!$C$7:$C$24,F2976)&gt;0,1,0),IF(B2976="REGION LOSS",IF(COUNTIFS('Site Dockets'!$E$7:$E$24,C2976,'Site Dockets'!$C$7:$C$24,F2976)&gt;0,1,0),0))</f>
        <v>0</v>
      </c>
      <c r="L2976" s="15" t="n">
        <f aca="false">IF(J2976=1,0,Inputs!$B$11)</f>
        <v>100</v>
      </c>
      <c r="M2976" s="15" t="n">
        <f aca="false">IF(J2976=1,0,Inputs!$B$12)</f>
        <v>75</v>
      </c>
      <c r="N2976" s="15" t="n">
        <f aca="false">IF(J2976=1,0,IF(OR(AND(OR(B2976="SITE LOSS",B2976="REGION LOSS"),K2976=1),AND(B2976="ROLE COMPROMISE",H2976=C2976)),Inputs!$B$13,Inputs!$B$14))</f>
        <v>10</v>
      </c>
      <c r="O2976" s="15" t="n">
        <f aca="false">IF(J2976=1,0,Inputs!$B$13)</f>
        <v>20</v>
      </c>
      <c r="P2976" s="15" t="n">
        <f aca="false">SUM(M2976:N2976)</f>
        <v>85</v>
      </c>
      <c r="Q2976" s="15" t="n">
        <f aca="false">IF(J2976=1,"",L2976-P2976)</f>
        <v>15</v>
      </c>
      <c r="R2976" s="15" t="n">
        <f aca="false">IF(OR(J2976=1,M2976&lt;=Inputs!$B$12),1,0)</f>
        <v>1</v>
      </c>
      <c r="S2976" s="15" t="n">
        <f aca="false">IF(OR(J2976=1,N2976&lt;=O2976),1,0)</f>
        <v>1</v>
      </c>
      <c r="T2976" s="15" t="str">
        <f aca="false">IF(J2976=1,"OFFLINE",IF(AND(Q2976&gt;=Inputs!$B$15,R2976=1,S2976=1,P2976&lt;=L2976),"PASS","FAIL"))</f>
        <v>PASS</v>
      </c>
    </row>
    <row r="2977" customFormat="false" ht="15" hidden="false" customHeight="false" outlineLevel="0" collapsed="false">
      <c r="A2977" s="14" t="s">
        <v>1050</v>
      </c>
      <c r="B2977" s="14" t="s">
        <v>1048</v>
      </c>
      <c r="C2977" s="14" t="s">
        <v>154</v>
      </c>
      <c r="D2977" s="14" t="s">
        <v>182</v>
      </c>
      <c r="E2977" s="14" t="s">
        <v>166</v>
      </c>
      <c r="F2977" s="14" t="s">
        <v>183</v>
      </c>
      <c r="G2977" s="14" t="n">
        <v>1</v>
      </c>
      <c r="H2977" s="14" t="s">
        <v>154</v>
      </c>
      <c r="I2977" s="14" t="s">
        <v>890</v>
      </c>
      <c r="J2977" s="15" t="n">
        <f aca="false">IF(B2977="SITE LOSS",IF(D2977=C2977,1,0),IF(B2977="REGION LOSS",IF(E2977=C2977,1,0),0))</f>
        <v>0</v>
      </c>
      <c r="K2977" s="15" t="n">
        <f aca="false">IF(B2977="SITE LOSS",IF(COUNTIFS('Site Dockets'!$B$7:$B$24,C2977,'Site Dockets'!$C$7:$C$24,F2977)&gt;0,1,0),IF(B2977="REGION LOSS",IF(COUNTIFS('Site Dockets'!$E$7:$E$24,C2977,'Site Dockets'!$C$7:$C$24,F2977)&gt;0,1,0),0))</f>
        <v>0</v>
      </c>
      <c r="L2977" s="15" t="n">
        <f aca="false">IF(J2977=1,0,Inputs!$B$11)</f>
        <v>100</v>
      </c>
      <c r="M2977" s="15" t="n">
        <f aca="false">IF(J2977=1,0,Inputs!$B$12)</f>
        <v>75</v>
      </c>
      <c r="N2977" s="15" t="n">
        <f aca="false">IF(J2977=1,0,IF(OR(AND(OR(B2977="SITE LOSS",B2977="REGION LOSS"),K2977=1),AND(B2977="ROLE COMPROMISE",H2977=C2977)),Inputs!$B$13,Inputs!$B$14))</f>
        <v>20</v>
      </c>
      <c r="O2977" s="15" t="n">
        <f aca="false">IF(J2977=1,0,Inputs!$B$13)</f>
        <v>20</v>
      </c>
      <c r="P2977" s="15" t="n">
        <f aca="false">SUM(M2977:N2977)</f>
        <v>95</v>
      </c>
      <c r="Q2977" s="15" t="n">
        <f aca="false">IF(J2977=1,"",L2977-P2977)</f>
        <v>5</v>
      </c>
      <c r="R2977" s="15" t="n">
        <f aca="false">IF(OR(J2977=1,M2977&lt;=Inputs!$B$12),1,0)</f>
        <v>1</v>
      </c>
      <c r="S2977" s="15" t="n">
        <f aca="false">IF(OR(J2977=1,N2977&lt;=O2977),1,0)</f>
        <v>1</v>
      </c>
      <c r="T2977" s="15" t="str">
        <f aca="false">IF(J2977=1,"OFFLINE",IF(AND(Q2977&gt;=Inputs!$B$15,R2977=1,S2977=1,P2977&lt;=L2977),"PASS","FAIL"))</f>
        <v>PASS</v>
      </c>
    </row>
    <row r="2978" customFormat="false" ht="15" hidden="false" customHeight="false" outlineLevel="0" collapsed="false">
      <c r="A2978" s="14" t="s">
        <v>1050</v>
      </c>
      <c r="B2978" s="14" t="s">
        <v>1048</v>
      </c>
      <c r="C2978" s="14" t="s">
        <v>154</v>
      </c>
      <c r="D2978" s="14" t="s">
        <v>182</v>
      </c>
      <c r="E2978" s="14" t="s">
        <v>166</v>
      </c>
      <c r="F2978" s="14" t="s">
        <v>183</v>
      </c>
      <c r="G2978" s="14" t="n">
        <v>1</v>
      </c>
      <c r="H2978" s="14" t="s">
        <v>154</v>
      </c>
      <c r="I2978" s="14" t="s">
        <v>892</v>
      </c>
      <c r="J2978" s="15" t="n">
        <f aca="false">IF(B2978="SITE LOSS",IF(D2978=C2978,1,0),IF(B2978="REGION LOSS",IF(E2978=C2978,1,0),0))</f>
        <v>0</v>
      </c>
      <c r="K2978" s="15" t="n">
        <f aca="false">IF(B2978="SITE LOSS",IF(COUNTIFS('Site Dockets'!$B$7:$B$24,C2978,'Site Dockets'!$C$7:$C$24,F2978)&gt;0,1,0),IF(B2978="REGION LOSS",IF(COUNTIFS('Site Dockets'!$E$7:$E$24,C2978,'Site Dockets'!$C$7:$C$24,F2978)&gt;0,1,0),0))</f>
        <v>0</v>
      </c>
      <c r="L2978" s="15" t="n">
        <f aca="false">IF(J2978=1,0,Inputs!$B$11)</f>
        <v>100</v>
      </c>
      <c r="M2978" s="15" t="n">
        <f aca="false">IF(J2978=1,0,Inputs!$B$12)</f>
        <v>75</v>
      </c>
      <c r="N2978" s="15" t="n">
        <f aca="false">IF(J2978=1,0,IF(OR(AND(OR(B2978="SITE LOSS",B2978="REGION LOSS"),K2978=1),AND(B2978="ROLE COMPROMISE",H2978=C2978)),Inputs!$B$13,Inputs!$B$14))</f>
        <v>20</v>
      </c>
      <c r="O2978" s="15" t="n">
        <f aca="false">IF(J2978=1,0,Inputs!$B$13)</f>
        <v>20</v>
      </c>
      <c r="P2978" s="15" t="n">
        <f aca="false">SUM(M2978:N2978)</f>
        <v>95</v>
      </c>
      <c r="Q2978" s="15" t="n">
        <f aca="false">IF(J2978=1,"",L2978-P2978)</f>
        <v>5</v>
      </c>
      <c r="R2978" s="15" t="n">
        <f aca="false">IF(OR(J2978=1,M2978&lt;=Inputs!$B$12),1,0)</f>
        <v>1</v>
      </c>
      <c r="S2978" s="15" t="n">
        <f aca="false">IF(OR(J2978=1,N2978&lt;=O2978),1,0)</f>
        <v>1</v>
      </c>
      <c r="T2978" s="15" t="str">
        <f aca="false">IF(J2978=1,"OFFLINE",IF(AND(Q2978&gt;=Inputs!$B$15,R2978=1,S2978=1,P2978&lt;=L2978),"PASS","FAIL"))</f>
        <v>PASS</v>
      </c>
    </row>
    <row r="2979" customFormat="false" ht="15" hidden="false" customHeight="false" outlineLevel="0" collapsed="false">
      <c r="A2979" s="14" t="s">
        <v>1050</v>
      </c>
      <c r="B2979" s="14" t="s">
        <v>1048</v>
      </c>
      <c r="C2979" s="14" t="s">
        <v>154</v>
      </c>
      <c r="D2979" s="14" t="s">
        <v>182</v>
      </c>
      <c r="E2979" s="14" t="s">
        <v>166</v>
      </c>
      <c r="F2979" s="14" t="s">
        <v>183</v>
      </c>
      <c r="G2979" s="14" t="n">
        <v>1</v>
      </c>
      <c r="H2979" s="14" t="s">
        <v>154</v>
      </c>
      <c r="I2979" s="14" t="s">
        <v>811</v>
      </c>
      <c r="J2979" s="15" t="n">
        <f aca="false">IF(B2979="SITE LOSS",IF(D2979=C2979,1,0),IF(B2979="REGION LOSS",IF(E2979=C2979,1,0),0))</f>
        <v>0</v>
      </c>
      <c r="K2979" s="15" t="n">
        <f aca="false">IF(B2979="SITE LOSS",IF(COUNTIFS('Site Dockets'!$B$7:$B$24,C2979,'Site Dockets'!$C$7:$C$24,F2979)&gt;0,1,0),IF(B2979="REGION LOSS",IF(COUNTIFS('Site Dockets'!$E$7:$E$24,C2979,'Site Dockets'!$C$7:$C$24,F2979)&gt;0,1,0),0))</f>
        <v>0</v>
      </c>
      <c r="L2979" s="15" t="n">
        <f aca="false">IF(J2979=1,0,Inputs!$B$11)</f>
        <v>100</v>
      </c>
      <c r="M2979" s="15" t="n">
        <f aca="false">IF(J2979=1,0,Inputs!$B$12)</f>
        <v>75</v>
      </c>
      <c r="N2979" s="15" t="n">
        <f aca="false">IF(J2979=1,0,IF(OR(AND(OR(B2979="SITE LOSS",B2979="REGION LOSS"),K2979=1),AND(B2979="ROLE COMPROMISE",H2979=C2979)),Inputs!$B$13,Inputs!$B$14))</f>
        <v>20</v>
      </c>
      <c r="O2979" s="15" t="n">
        <f aca="false">IF(J2979=1,0,Inputs!$B$13)</f>
        <v>20</v>
      </c>
      <c r="P2979" s="15" t="n">
        <f aca="false">SUM(M2979:N2979)</f>
        <v>95</v>
      </c>
      <c r="Q2979" s="15" t="n">
        <f aca="false">IF(J2979=1,"",L2979-P2979)</f>
        <v>5</v>
      </c>
      <c r="R2979" s="15" t="n">
        <f aca="false">IF(OR(J2979=1,M2979&lt;=Inputs!$B$12),1,0)</f>
        <v>1</v>
      </c>
      <c r="S2979" s="15" t="n">
        <f aca="false">IF(OR(J2979=1,N2979&lt;=O2979),1,0)</f>
        <v>1</v>
      </c>
      <c r="T2979" s="15" t="str">
        <f aca="false">IF(J2979=1,"OFFLINE",IF(AND(Q2979&gt;=Inputs!$B$15,R2979=1,S2979=1,P2979&lt;=L2979),"PASS","FAIL"))</f>
        <v>PASS</v>
      </c>
    </row>
    <row r="2980" customFormat="false" ht="15" hidden="false" customHeight="false" outlineLevel="0" collapsed="false">
      <c r="A2980" s="14" t="s">
        <v>1050</v>
      </c>
      <c r="B2980" s="14" t="s">
        <v>1048</v>
      </c>
      <c r="C2980" s="14" t="s">
        <v>154</v>
      </c>
      <c r="D2980" s="14" t="s">
        <v>182</v>
      </c>
      <c r="E2980" s="14" t="s">
        <v>166</v>
      </c>
      <c r="F2980" s="14" t="s">
        <v>183</v>
      </c>
      <c r="G2980" s="14" t="n">
        <v>1</v>
      </c>
      <c r="H2980" s="14" t="s">
        <v>154</v>
      </c>
      <c r="I2980" s="14" t="s">
        <v>895</v>
      </c>
      <c r="J2980" s="15" t="n">
        <f aca="false">IF(B2980="SITE LOSS",IF(D2980=C2980,1,0),IF(B2980="REGION LOSS",IF(E2980=C2980,1,0),0))</f>
        <v>0</v>
      </c>
      <c r="K2980" s="15" t="n">
        <f aca="false">IF(B2980="SITE LOSS",IF(COUNTIFS('Site Dockets'!$B$7:$B$24,C2980,'Site Dockets'!$C$7:$C$24,F2980)&gt;0,1,0),IF(B2980="REGION LOSS",IF(COUNTIFS('Site Dockets'!$E$7:$E$24,C2980,'Site Dockets'!$C$7:$C$24,F2980)&gt;0,1,0),0))</f>
        <v>0</v>
      </c>
      <c r="L2980" s="15" t="n">
        <f aca="false">IF(J2980=1,0,Inputs!$B$11)</f>
        <v>100</v>
      </c>
      <c r="M2980" s="15" t="n">
        <f aca="false">IF(J2980=1,0,Inputs!$B$12)</f>
        <v>75</v>
      </c>
      <c r="N2980" s="15" t="n">
        <f aca="false">IF(J2980=1,0,IF(OR(AND(OR(B2980="SITE LOSS",B2980="REGION LOSS"),K2980=1),AND(B2980="ROLE COMPROMISE",H2980=C2980)),Inputs!$B$13,Inputs!$B$14))</f>
        <v>20</v>
      </c>
      <c r="O2980" s="15" t="n">
        <f aca="false">IF(J2980=1,0,Inputs!$B$13)</f>
        <v>20</v>
      </c>
      <c r="P2980" s="15" t="n">
        <f aca="false">SUM(M2980:N2980)</f>
        <v>95</v>
      </c>
      <c r="Q2980" s="15" t="n">
        <f aca="false">IF(J2980=1,"",L2980-P2980)</f>
        <v>5</v>
      </c>
      <c r="R2980" s="15" t="n">
        <f aca="false">IF(OR(J2980=1,M2980&lt;=Inputs!$B$12),1,0)</f>
        <v>1</v>
      </c>
      <c r="S2980" s="15" t="n">
        <f aca="false">IF(OR(J2980=1,N2980&lt;=O2980),1,0)</f>
        <v>1</v>
      </c>
      <c r="T2980" s="15" t="str">
        <f aca="false">IF(J2980=1,"OFFLINE",IF(AND(Q2980&gt;=Inputs!$B$15,R2980=1,S2980=1,P2980&lt;=L2980),"PASS","FAIL"))</f>
        <v>PASS</v>
      </c>
    </row>
    <row r="2981" customFormat="false" ht="15" hidden="false" customHeight="false" outlineLevel="0" collapsed="false">
      <c r="A2981" s="14" t="s">
        <v>1050</v>
      </c>
      <c r="B2981" s="14" t="s">
        <v>1048</v>
      </c>
      <c r="C2981" s="14" t="s">
        <v>154</v>
      </c>
      <c r="D2981" s="14" t="s">
        <v>182</v>
      </c>
      <c r="E2981" s="14" t="s">
        <v>166</v>
      </c>
      <c r="F2981" s="14" t="s">
        <v>183</v>
      </c>
      <c r="G2981" s="14" t="n">
        <v>1</v>
      </c>
      <c r="H2981" s="14" t="s">
        <v>154</v>
      </c>
      <c r="I2981" s="14" t="s">
        <v>897</v>
      </c>
      <c r="J2981" s="15" t="n">
        <f aca="false">IF(B2981="SITE LOSS",IF(D2981=C2981,1,0),IF(B2981="REGION LOSS",IF(E2981=C2981,1,0),0))</f>
        <v>0</v>
      </c>
      <c r="K2981" s="15" t="n">
        <f aca="false">IF(B2981="SITE LOSS",IF(COUNTIFS('Site Dockets'!$B$7:$B$24,C2981,'Site Dockets'!$C$7:$C$24,F2981)&gt;0,1,0),IF(B2981="REGION LOSS",IF(COUNTIFS('Site Dockets'!$E$7:$E$24,C2981,'Site Dockets'!$C$7:$C$24,F2981)&gt;0,1,0),0))</f>
        <v>0</v>
      </c>
      <c r="L2981" s="15" t="n">
        <f aca="false">IF(J2981=1,0,Inputs!$B$11)</f>
        <v>100</v>
      </c>
      <c r="M2981" s="15" t="n">
        <f aca="false">IF(J2981=1,0,Inputs!$B$12)</f>
        <v>75</v>
      </c>
      <c r="N2981" s="15" t="n">
        <f aca="false">IF(J2981=1,0,IF(OR(AND(OR(B2981="SITE LOSS",B2981="REGION LOSS"),K2981=1),AND(B2981="ROLE COMPROMISE",H2981=C2981)),Inputs!$B$13,Inputs!$B$14))</f>
        <v>20</v>
      </c>
      <c r="O2981" s="15" t="n">
        <f aca="false">IF(J2981=1,0,Inputs!$B$13)</f>
        <v>20</v>
      </c>
      <c r="P2981" s="15" t="n">
        <f aca="false">SUM(M2981:N2981)</f>
        <v>95</v>
      </c>
      <c r="Q2981" s="15" t="n">
        <f aca="false">IF(J2981=1,"",L2981-P2981)</f>
        <v>5</v>
      </c>
      <c r="R2981" s="15" t="n">
        <f aca="false">IF(OR(J2981=1,M2981&lt;=Inputs!$B$12),1,0)</f>
        <v>1</v>
      </c>
      <c r="S2981" s="15" t="n">
        <f aca="false">IF(OR(J2981=1,N2981&lt;=O2981),1,0)</f>
        <v>1</v>
      </c>
      <c r="T2981" s="15" t="str">
        <f aca="false">IF(J2981=1,"OFFLINE",IF(AND(Q2981&gt;=Inputs!$B$15,R2981=1,S2981=1,P2981&lt;=L2981),"PASS","FAIL"))</f>
        <v>PASS</v>
      </c>
    </row>
    <row r="2982" customFormat="false" ht="15" hidden="false" customHeight="false" outlineLevel="0" collapsed="false">
      <c r="A2982" s="14" t="s">
        <v>1050</v>
      </c>
      <c r="B2982" s="14" t="s">
        <v>1048</v>
      </c>
      <c r="C2982" s="14" t="s">
        <v>154</v>
      </c>
      <c r="D2982" s="14" t="s">
        <v>182</v>
      </c>
      <c r="E2982" s="14" t="s">
        <v>166</v>
      </c>
      <c r="F2982" s="14" t="s">
        <v>183</v>
      </c>
      <c r="G2982" s="14" t="n">
        <v>1</v>
      </c>
      <c r="H2982" s="14" t="s">
        <v>154</v>
      </c>
      <c r="I2982" s="14" t="s">
        <v>899</v>
      </c>
      <c r="J2982" s="15" t="n">
        <f aca="false">IF(B2982="SITE LOSS",IF(D2982=C2982,1,0),IF(B2982="REGION LOSS",IF(E2982=C2982,1,0),0))</f>
        <v>0</v>
      </c>
      <c r="K2982" s="15" t="n">
        <f aca="false">IF(B2982="SITE LOSS",IF(COUNTIFS('Site Dockets'!$B$7:$B$24,C2982,'Site Dockets'!$C$7:$C$24,F2982)&gt;0,1,0),IF(B2982="REGION LOSS",IF(COUNTIFS('Site Dockets'!$E$7:$E$24,C2982,'Site Dockets'!$C$7:$C$24,F2982)&gt;0,1,0),0))</f>
        <v>0</v>
      </c>
      <c r="L2982" s="15" t="n">
        <f aca="false">IF(J2982=1,0,Inputs!$B$11)</f>
        <v>100</v>
      </c>
      <c r="M2982" s="15" t="n">
        <f aca="false">IF(J2982=1,0,Inputs!$B$12)</f>
        <v>75</v>
      </c>
      <c r="N2982" s="15" t="n">
        <f aca="false">IF(J2982=1,0,IF(OR(AND(OR(B2982="SITE LOSS",B2982="REGION LOSS"),K2982=1),AND(B2982="ROLE COMPROMISE",H2982=C2982)),Inputs!$B$13,Inputs!$B$14))</f>
        <v>20</v>
      </c>
      <c r="O2982" s="15" t="n">
        <f aca="false">IF(J2982=1,0,Inputs!$B$13)</f>
        <v>20</v>
      </c>
      <c r="P2982" s="15" t="n">
        <f aca="false">SUM(M2982:N2982)</f>
        <v>95</v>
      </c>
      <c r="Q2982" s="15" t="n">
        <f aca="false">IF(J2982=1,"",L2982-P2982)</f>
        <v>5</v>
      </c>
      <c r="R2982" s="15" t="n">
        <f aca="false">IF(OR(J2982=1,M2982&lt;=Inputs!$B$12),1,0)</f>
        <v>1</v>
      </c>
      <c r="S2982" s="15" t="n">
        <f aca="false">IF(OR(J2982=1,N2982&lt;=O2982),1,0)</f>
        <v>1</v>
      </c>
      <c r="T2982" s="15" t="str">
        <f aca="false">IF(J2982=1,"OFFLINE",IF(AND(Q2982&gt;=Inputs!$B$15,R2982=1,S2982=1,P2982&lt;=L2982),"PASS","FAIL"))</f>
        <v>PASS</v>
      </c>
    </row>
    <row r="2983" customFormat="false" ht="15" hidden="false" customHeight="false" outlineLevel="0" collapsed="false">
      <c r="A2983" s="14" t="s">
        <v>1050</v>
      </c>
      <c r="B2983" s="14" t="s">
        <v>1048</v>
      </c>
      <c r="C2983" s="14" t="s">
        <v>154</v>
      </c>
      <c r="D2983" s="14" t="s">
        <v>186</v>
      </c>
      <c r="E2983" s="14" t="s">
        <v>157</v>
      </c>
      <c r="F2983" s="14" t="s">
        <v>183</v>
      </c>
      <c r="G2983" s="14" t="n">
        <v>2</v>
      </c>
      <c r="H2983" s="14" t="s">
        <v>153</v>
      </c>
      <c r="I2983" s="14" t="s">
        <v>890</v>
      </c>
      <c r="J2983" s="15" t="n">
        <f aca="false">IF(B2983="SITE LOSS",IF(D2983=C2983,1,0),IF(B2983="REGION LOSS",IF(E2983=C2983,1,0),0))</f>
        <v>0</v>
      </c>
      <c r="K2983" s="15" t="n">
        <f aca="false">IF(B2983="SITE LOSS",IF(COUNTIFS('Site Dockets'!$B$7:$B$24,C2983,'Site Dockets'!$C$7:$C$24,F2983)&gt;0,1,0),IF(B2983="REGION LOSS",IF(COUNTIFS('Site Dockets'!$E$7:$E$24,C2983,'Site Dockets'!$C$7:$C$24,F2983)&gt;0,1,0),0))</f>
        <v>0</v>
      </c>
      <c r="L2983" s="15" t="n">
        <f aca="false">IF(J2983=1,0,Inputs!$B$11)</f>
        <v>100</v>
      </c>
      <c r="M2983" s="15" t="n">
        <f aca="false">IF(J2983=1,0,Inputs!$B$12)</f>
        <v>75</v>
      </c>
      <c r="N2983" s="15" t="n">
        <f aca="false">IF(J2983=1,0,IF(OR(AND(OR(B2983="SITE LOSS",B2983="REGION LOSS"),K2983=1),AND(B2983="ROLE COMPROMISE",H2983=C2983)),Inputs!$B$13,Inputs!$B$14))</f>
        <v>10</v>
      </c>
      <c r="O2983" s="15" t="n">
        <f aca="false">IF(J2983=1,0,Inputs!$B$13)</f>
        <v>20</v>
      </c>
      <c r="P2983" s="15" t="n">
        <f aca="false">SUM(M2983:N2983)</f>
        <v>85</v>
      </c>
      <c r="Q2983" s="15" t="n">
        <f aca="false">IF(J2983=1,"",L2983-P2983)</f>
        <v>15</v>
      </c>
      <c r="R2983" s="15" t="n">
        <f aca="false">IF(OR(J2983=1,M2983&lt;=Inputs!$B$12),1,0)</f>
        <v>1</v>
      </c>
      <c r="S2983" s="15" t="n">
        <f aca="false">IF(OR(J2983=1,N2983&lt;=O2983),1,0)</f>
        <v>1</v>
      </c>
      <c r="T2983" s="15" t="str">
        <f aca="false">IF(J2983=1,"OFFLINE",IF(AND(Q2983&gt;=Inputs!$B$15,R2983=1,S2983=1,P2983&lt;=L2983),"PASS","FAIL"))</f>
        <v>PASS</v>
      </c>
    </row>
    <row r="2984" customFormat="false" ht="15" hidden="false" customHeight="false" outlineLevel="0" collapsed="false">
      <c r="A2984" s="14" t="s">
        <v>1050</v>
      </c>
      <c r="B2984" s="14" t="s">
        <v>1048</v>
      </c>
      <c r="C2984" s="14" t="s">
        <v>154</v>
      </c>
      <c r="D2984" s="14" t="s">
        <v>186</v>
      </c>
      <c r="E2984" s="14" t="s">
        <v>157</v>
      </c>
      <c r="F2984" s="14" t="s">
        <v>183</v>
      </c>
      <c r="G2984" s="14" t="n">
        <v>2</v>
      </c>
      <c r="H2984" s="14" t="s">
        <v>153</v>
      </c>
      <c r="I2984" s="14" t="s">
        <v>892</v>
      </c>
      <c r="J2984" s="15" t="n">
        <f aca="false">IF(B2984="SITE LOSS",IF(D2984=C2984,1,0),IF(B2984="REGION LOSS",IF(E2984=C2984,1,0),0))</f>
        <v>0</v>
      </c>
      <c r="K2984" s="15" t="n">
        <f aca="false">IF(B2984="SITE LOSS",IF(COUNTIFS('Site Dockets'!$B$7:$B$24,C2984,'Site Dockets'!$C$7:$C$24,F2984)&gt;0,1,0),IF(B2984="REGION LOSS",IF(COUNTIFS('Site Dockets'!$E$7:$E$24,C2984,'Site Dockets'!$C$7:$C$24,F2984)&gt;0,1,0),0))</f>
        <v>0</v>
      </c>
      <c r="L2984" s="15" t="n">
        <f aca="false">IF(J2984=1,0,Inputs!$B$11)</f>
        <v>100</v>
      </c>
      <c r="M2984" s="15" t="n">
        <f aca="false">IF(J2984=1,0,Inputs!$B$12)</f>
        <v>75</v>
      </c>
      <c r="N2984" s="15" t="n">
        <f aca="false">IF(J2984=1,0,IF(OR(AND(OR(B2984="SITE LOSS",B2984="REGION LOSS"),K2984=1),AND(B2984="ROLE COMPROMISE",H2984=C2984)),Inputs!$B$13,Inputs!$B$14))</f>
        <v>10</v>
      </c>
      <c r="O2984" s="15" t="n">
        <f aca="false">IF(J2984=1,0,Inputs!$B$13)</f>
        <v>20</v>
      </c>
      <c r="P2984" s="15" t="n">
        <f aca="false">SUM(M2984:N2984)</f>
        <v>85</v>
      </c>
      <c r="Q2984" s="15" t="n">
        <f aca="false">IF(J2984=1,"",L2984-P2984)</f>
        <v>15</v>
      </c>
      <c r="R2984" s="15" t="n">
        <f aca="false">IF(OR(J2984=1,M2984&lt;=Inputs!$B$12),1,0)</f>
        <v>1</v>
      </c>
      <c r="S2984" s="15" t="n">
        <f aca="false">IF(OR(J2984=1,N2984&lt;=O2984),1,0)</f>
        <v>1</v>
      </c>
      <c r="T2984" s="15" t="str">
        <f aca="false">IF(J2984=1,"OFFLINE",IF(AND(Q2984&gt;=Inputs!$B$15,R2984=1,S2984=1,P2984&lt;=L2984),"PASS","FAIL"))</f>
        <v>PASS</v>
      </c>
    </row>
    <row r="2985" customFormat="false" ht="15" hidden="false" customHeight="false" outlineLevel="0" collapsed="false">
      <c r="A2985" s="14" t="s">
        <v>1050</v>
      </c>
      <c r="B2985" s="14" t="s">
        <v>1048</v>
      </c>
      <c r="C2985" s="14" t="s">
        <v>154</v>
      </c>
      <c r="D2985" s="14" t="s">
        <v>186</v>
      </c>
      <c r="E2985" s="14" t="s">
        <v>157</v>
      </c>
      <c r="F2985" s="14" t="s">
        <v>183</v>
      </c>
      <c r="G2985" s="14" t="n">
        <v>2</v>
      </c>
      <c r="H2985" s="14" t="s">
        <v>153</v>
      </c>
      <c r="I2985" s="14" t="s">
        <v>811</v>
      </c>
      <c r="J2985" s="15" t="n">
        <f aca="false">IF(B2985="SITE LOSS",IF(D2985=C2985,1,0),IF(B2985="REGION LOSS",IF(E2985=C2985,1,0),0))</f>
        <v>0</v>
      </c>
      <c r="K2985" s="15" t="n">
        <f aca="false">IF(B2985="SITE LOSS",IF(COUNTIFS('Site Dockets'!$B$7:$B$24,C2985,'Site Dockets'!$C$7:$C$24,F2985)&gt;0,1,0),IF(B2985="REGION LOSS",IF(COUNTIFS('Site Dockets'!$E$7:$E$24,C2985,'Site Dockets'!$C$7:$C$24,F2985)&gt;0,1,0),0))</f>
        <v>0</v>
      </c>
      <c r="L2985" s="15" t="n">
        <f aca="false">IF(J2985=1,0,Inputs!$B$11)</f>
        <v>100</v>
      </c>
      <c r="M2985" s="15" t="n">
        <f aca="false">IF(J2985=1,0,Inputs!$B$12)</f>
        <v>75</v>
      </c>
      <c r="N2985" s="15" t="n">
        <f aca="false">IF(J2985=1,0,IF(OR(AND(OR(B2985="SITE LOSS",B2985="REGION LOSS"),K2985=1),AND(B2985="ROLE COMPROMISE",H2985=C2985)),Inputs!$B$13,Inputs!$B$14))</f>
        <v>10</v>
      </c>
      <c r="O2985" s="15" t="n">
        <f aca="false">IF(J2985=1,0,Inputs!$B$13)</f>
        <v>20</v>
      </c>
      <c r="P2985" s="15" t="n">
        <f aca="false">SUM(M2985:N2985)</f>
        <v>85</v>
      </c>
      <c r="Q2985" s="15" t="n">
        <f aca="false">IF(J2985=1,"",L2985-P2985)</f>
        <v>15</v>
      </c>
      <c r="R2985" s="15" t="n">
        <f aca="false">IF(OR(J2985=1,M2985&lt;=Inputs!$B$12),1,0)</f>
        <v>1</v>
      </c>
      <c r="S2985" s="15" t="n">
        <f aca="false">IF(OR(J2985=1,N2985&lt;=O2985),1,0)</f>
        <v>1</v>
      </c>
      <c r="T2985" s="15" t="str">
        <f aca="false">IF(J2985=1,"OFFLINE",IF(AND(Q2985&gt;=Inputs!$B$15,R2985=1,S2985=1,P2985&lt;=L2985),"PASS","FAIL"))</f>
        <v>PASS</v>
      </c>
    </row>
    <row r="2986" customFormat="false" ht="15" hidden="false" customHeight="false" outlineLevel="0" collapsed="false">
      <c r="A2986" s="14" t="s">
        <v>1050</v>
      </c>
      <c r="B2986" s="14" t="s">
        <v>1048</v>
      </c>
      <c r="C2986" s="14" t="s">
        <v>154</v>
      </c>
      <c r="D2986" s="14" t="s">
        <v>186</v>
      </c>
      <c r="E2986" s="14" t="s">
        <v>157</v>
      </c>
      <c r="F2986" s="14" t="s">
        <v>183</v>
      </c>
      <c r="G2986" s="14" t="n">
        <v>2</v>
      </c>
      <c r="H2986" s="14" t="s">
        <v>153</v>
      </c>
      <c r="I2986" s="14" t="s">
        <v>895</v>
      </c>
      <c r="J2986" s="15" t="n">
        <f aca="false">IF(B2986="SITE LOSS",IF(D2986=C2986,1,0),IF(B2986="REGION LOSS",IF(E2986=C2986,1,0),0))</f>
        <v>0</v>
      </c>
      <c r="K2986" s="15" t="n">
        <f aca="false">IF(B2986="SITE LOSS",IF(COUNTIFS('Site Dockets'!$B$7:$B$24,C2986,'Site Dockets'!$C$7:$C$24,F2986)&gt;0,1,0),IF(B2986="REGION LOSS",IF(COUNTIFS('Site Dockets'!$E$7:$E$24,C2986,'Site Dockets'!$C$7:$C$24,F2986)&gt;0,1,0),0))</f>
        <v>0</v>
      </c>
      <c r="L2986" s="15" t="n">
        <f aca="false">IF(J2986=1,0,Inputs!$B$11)</f>
        <v>100</v>
      </c>
      <c r="M2986" s="15" t="n">
        <f aca="false">IF(J2986=1,0,Inputs!$B$12)</f>
        <v>75</v>
      </c>
      <c r="N2986" s="15" t="n">
        <f aca="false">IF(J2986=1,0,IF(OR(AND(OR(B2986="SITE LOSS",B2986="REGION LOSS"),K2986=1),AND(B2986="ROLE COMPROMISE",H2986=C2986)),Inputs!$B$13,Inputs!$B$14))</f>
        <v>10</v>
      </c>
      <c r="O2986" s="15" t="n">
        <f aca="false">IF(J2986=1,0,Inputs!$B$13)</f>
        <v>20</v>
      </c>
      <c r="P2986" s="15" t="n">
        <f aca="false">SUM(M2986:N2986)</f>
        <v>85</v>
      </c>
      <c r="Q2986" s="15" t="n">
        <f aca="false">IF(J2986=1,"",L2986-P2986)</f>
        <v>15</v>
      </c>
      <c r="R2986" s="15" t="n">
        <f aca="false">IF(OR(J2986=1,M2986&lt;=Inputs!$B$12),1,0)</f>
        <v>1</v>
      </c>
      <c r="S2986" s="15" t="n">
        <f aca="false">IF(OR(J2986=1,N2986&lt;=O2986),1,0)</f>
        <v>1</v>
      </c>
      <c r="T2986" s="15" t="str">
        <f aca="false">IF(J2986=1,"OFFLINE",IF(AND(Q2986&gt;=Inputs!$B$15,R2986=1,S2986=1,P2986&lt;=L2986),"PASS","FAIL"))</f>
        <v>PASS</v>
      </c>
    </row>
    <row r="2987" customFormat="false" ht="15" hidden="false" customHeight="false" outlineLevel="0" collapsed="false">
      <c r="A2987" s="14" t="s">
        <v>1050</v>
      </c>
      <c r="B2987" s="14" t="s">
        <v>1048</v>
      </c>
      <c r="C2987" s="14" t="s">
        <v>154</v>
      </c>
      <c r="D2987" s="14" t="s">
        <v>186</v>
      </c>
      <c r="E2987" s="14" t="s">
        <v>157</v>
      </c>
      <c r="F2987" s="14" t="s">
        <v>183</v>
      </c>
      <c r="G2987" s="14" t="n">
        <v>2</v>
      </c>
      <c r="H2987" s="14" t="s">
        <v>153</v>
      </c>
      <c r="I2987" s="14" t="s">
        <v>897</v>
      </c>
      <c r="J2987" s="15" t="n">
        <f aca="false">IF(B2987="SITE LOSS",IF(D2987=C2987,1,0),IF(B2987="REGION LOSS",IF(E2987=C2987,1,0),0))</f>
        <v>0</v>
      </c>
      <c r="K2987" s="15" t="n">
        <f aca="false">IF(B2987="SITE LOSS",IF(COUNTIFS('Site Dockets'!$B$7:$B$24,C2987,'Site Dockets'!$C$7:$C$24,F2987)&gt;0,1,0),IF(B2987="REGION LOSS",IF(COUNTIFS('Site Dockets'!$E$7:$E$24,C2987,'Site Dockets'!$C$7:$C$24,F2987)&gt;0,1,0),0))</f>
        <v>0</v>
      </c>
      <c r="L2987" s="15" t="n">
        <f aca="false">IF(J2987=1,0,Inputs!$B$11)</f>
        <v>100</v>
      </c>
      <c r="M2987" s="15" t="n">
        <f aca="false">IF(J2987=1,0,Inputs!$B$12)</f>
        <v>75</v>
      </c>
      <c r="N2987" s="15" t="n">
        <f aca="false">IF(J2987=1,0,IF(OR(AND(OR(B2987="SITE LOSS",B2987="REGION LOSS"),K2987=1),AND(B2987="ROLE COMPROMISE",H2987=C2987)),Inputs!$B$13,Inputs!$B$14))</f>
        <v>10</v>
      </c>
      <c r="O2987" s="15" t="n">
        <f aca="false">IF(J2987=1,0,Inputs!$B$13)</f>
        <v>20</v>
      </c>
      <c r="P2987" s="15" t="n">
        <f aca="false">SUM(M2987:N2987)</f>
        <v>85</v>
      </c>
      <c r="Q2987" s="15" t="n">
        <f aca="false">IF(J2987=1,"",L2987-P2987)</f>
        <v>15</v>
      </c>
      <c r="R2987" s="15" t="n">
        <f aca="false">IF(OR(J2987=1,M2987&lt;=Inputs!$B$12),1,0)</f>
        <v>1</v>
      </c>
      <c r="S2987" s="15" t="n">
        <f aca="false">IF(OR(J2987=1,N2987&lt;=O2987),1,0)</f>
        <v>1</v>
      </c>
      <c r="T2987" s="15" t="str">
        <f aca="false">IF(J2987=1,"OFFLINE",IF(AND(Q2987&gt;=Inputs!$B$15,R2987=1,S2987=1,P2987&lt;=L2987),"PASS","FAIL"))</f>
        <v>PASS</v>
      </c>
    </row>
    <row r="2988" customFormat="false" ht="15" hidden="false" customHeight="false" outlineLevel="0" collapsed="false">
      <c r="A2988" s="14" t="s">
        <v>1050</v>
      </c>
      <c r="B2988" s="14" t="s">
        <v>1048</v>
      </c>
      <c r="C2988" s="14" t="s">
        <v>154</v>
      </c>
      <c r="D2988" s="14" t="s">
        <v>186</v>
      </c>
      <c r="E2988" s="14" t="s">
        <v>157</v>
      </c>
      <c r="F2988" s="14" t="s">
        <v>183</v>
      </c>
      <c r="G2988" s="14" t="n">
        <v>2</v>
      </c>
      <c r="H2988" s="14" t="s">
        <v>153</v>
      </c>
      <c r="I2988" s="14" t="s">
        <v>899</v>
      </c>
      <c r="J2988" s="15" t="n">
        <f aca="false">IF(B2988="SITE LOSS",IF(D2988=C2988,1,0),IF(B2988="REGION LOSS",IF(E2988=C2988,1,0),0))</f>
        <v>0</v>
      </c>
      <c r="K2988" s="15" t="n">
        <f aca="false">IF(B2988="SITE LOSS",IF(COUNTIFS('Site Dockets'!$B$7:$B$24,C2988,'Site Dockets'!$C$7:$C$24,F2988)&gt;0,1,0),IF(B2988="REGION LOSS",IF(COUNTIFS('Site Dockets'!$E$7:$E$24,C2988,'Site Dockets'!$C$7:$C$24,F2988)&gt;0,1,0),0))</f>
        <v>0</v>
      </c>
      <c r="L2988" s="15" t="n">
        <f aca="false">IF(J2988=1,0,Inputs!$B$11)</f>
        <v>100</v>
      </c>
      <c r="M2988" s="15" t="n">
        <f aca="false">IF(J2988=1,0,Inputs!$B$12)</f>
        <v>75</v>
      </c>
      <c r="N2988" s="15" t="n">
        <f aca="false">IF(J2988=1,0,IF(OR(AND(OR(B2988="SITE LOSS",B2988="REGION LOSS"),K2988=1),AND(B2988="ROLE COMPROMISE",H2988=C2988)),Inputs!$B$13,Inputs!$B$14))</f>
        <v>10</v>
      </c>
      <c r="O2988" s="15" t="n">
        <f aca="false">IF(J2988=1,0,Inputs!$B$13)</f>
        <v>20</v>
      </c>
      <c r="P2988" s="15" t="n">
        <f aca="false">SUM(M2988:N2988)</f>
        <v>85</v>
      </c>
      <c r="Q2988" s="15" t="n">
        <f aca="false">IF(J2988=1,"",L2988-P2988)</f>
        <v>15</v>
      </c>
      <c r="R2988" s="15" t="n">
        <f aca="false">IF(OR(J2988=1,M2988&lt;=Inputs!$B$12),1,0)</f>
        <v>1</v>
      </c>
      <c r="S2988" s="15" t="n">
        <f aca="false">IF(OR(J2988=1,N2988&lt;=O2988),1,0)</f>
        <v>1</v>
      </c>
      <c r="T2988" s="15" t="str">
        <f aca="false">IF(J2988=1,"OFFLINE",IF(AND(Q2988&gt;=Inputs!$B$15,R2988=1,S2988=1,P2988&lt;=L2988),"PASS","FAIL"))</f>
        <v>PASS</v>
      </c>
    </row>
    <row r="2989" customFormat="false" ht="15" hidden="false" customHeight="false" outlineLevel="0" collapsed="false">
      <c r="A2989" s="14" t="s">
        <v>1050</v>
      </c>
      <c r="B2989" s="14" t="s">
        <v>1048</v>
      </c>
      <c r="C2989" s="14" t="s">
        <v>154</v>
      </c>
      <c r="D2989" s="14" t="s">
        <v>188</v>
      </c>
      <c r="E2989" s="14" t="s">
        <v>172</v>
      </c>
      <c r="F2989" s="14" t="s">
        <v>183</v>
      </c>
      <c r="G2989" s="14" t="n">
        <v>3</v>
      </c>
      <c r="H2989" s="14" t="s">
        <v>158</v>
      </c>
      <c r="I2989" s="14" t="s">
        <v>890</v>
      </c>
      <c r="J2989" s="15" t="n">
        <f aca="false">IF(B2989="SITE LOSS",IF(D2989=C2989,1,0),IF(B2989="REGION LOSS",IF(E2989=C2989,1,0),0))</f>
        <v>0</v>
      </c>
      <c r="K2989" s="15" t="n">
        <f aca="false">IF(B2989="SITE LOSS",IF(COUNTIFS('Site Dockets'!$B$7:$B$24,C2989,'Site Dockets'!$C$7:$C$24,F2989)&gt;0,1,0),IF(B2989="REGION LOSS",IF(COUNTIFS('Site Dockets'!$E$7:$E$24,C2989,'Site Dockets'!$C$7:$C$24,F2989)&gt;0,1,0),0))</f>
        <v>0</v>
      </c>
      <c r="L2989" s="15" t="n">
        <f aca="false">IF(J2989=1,0,Inputs!$B$11)</f>
        <v>100</v>
      </c>
      <c r="M2989" s="15" t="n">
        <f aca="false">IF(J2989=1,0,Inputs!$B$12)</f>
        <v>75</v>
      </c>
      <c r="N2989" s="15" t="n">
        <f aca="false">IF(J2989=1,0,IF(OR(AND(OR(B2989="SITE LOSS",B2989="REGION LOSS"),K2989=1),AND(B2989="ROLE COMPROMISE",H2989=C2989)),Inputs!$B$13,Inputs!$B$14))</f>
        <v>10</v>
      </c>
      <c r="O2989" s="15" t="n">
        <f aca="false">IF(J2989=1,0,Inputs!$B$13)</f>
        <v>20</v>
      </c>
      <c r="P2989" s="15" t="n">
        <f aca="false">SUM(M2989:N2989)</f>
        <v>85</v>
      </c>
      <c r="Q2989" s="15" t="n">
        <f aca="false">IF(J2989=1,"",L2989-P2989)</f>
        <v>15</v>
      </c>
      <c r="R2989" s="15" t="n">
        <f aca="false">IF(OR(J2989=1,M2989&lt;=Inputs!$B$12),1,0)</f>
        <v>1</v>
      </c>
      <c r="S2989" s="15" t="n">
        <f aca="false">IF(OR(J2989=1,N2989&lt;=O2989),1,0)</f>
        <v>1</v>
      </c>
      <c r="T2989" s="15" t="str">
        <f aca="false">IF(J2989=1,"OFFLINE",IF(AND(Q2989&gt;=Inputs!$B$15,R2989=1,S2989=1,P2989&lt;=L2989),"PASS","FAIL"))</f>
        <v>PASS</v>
      </c>
    </row>
    <row r="2990" customFormat="false" ht="15" hidden="false" customHeight="false" outlineLevel="0" collapsed="false">
      <c r="A2990" s="14" t="s">
        <v>1050</v>
      </c>
      <c r="B2990" s="14" t="s">
        <v>1048</v>
      </c>
      <c r="C2990" s="14" t="s">
        <v>154</v>
      </c>
      <c r="D2990" s="14" t="s">
        <v>188</v>
      </c>
      <c r="E2990" s="14" t="s">
        <v>172</v>
      </c>
      <c r="F2990" s="14" t="s">
        <v>183</v>
      </c>
      <c r="G2990" s="14" t="n">
        <v>3</v>
      </c>
      <c r="H2990" s="14" t="s">
        <v>158</v>
      </c>
      <c r="I2990" s="14" t="s">
        <v>892</v>
      </c>
      <c r="J2990" s="15" t="n">
        <f aca="false">IF(B2990="SITE LOSS",IF(D2990=C2990,1,0),IF(B2990="REGION LOSS",IF(E2990=C2990,1,0),0))</f>
        <v>0</v>
      </c>
      <c r="K2990" s="15" t="n">
        <f aca="false">IF(B2990="SITE LOSS",IF(COUNTIFS('Site Dockets'!$B$7:$B$24,C2990,'Site Dockets'!$C$7:$C$24,F2990)&gt;0,1,0),IF(B2990="REGION LOSS",IF(COUNTIFS('Site Dockets'!$E$7:$E$24,C2990,'Site Dockets'!$C$7:$C$24,F2990)&gt;0,1,0),0))</f>
        <v>0</v>
      </c>
      <c r="L2990" s="15" t="n">
        <f aca="false">IF(J2990=1,0,Inputs!$B$11)</f>
        <v>100</v>
      </c>
      <c r="M2990" s="15" t="n">
        <f aca="false">IF(J2990=1,0,Inputs!$B$12)</f>
        <v>75</v>
      </c>
      <c r="N2990" s="15" t="n">
        <f aca="false">IF(J2990=1,0,IF(OR(AND(OR(B2990="SITE LOSS",B2990="REGION LOSS"),K2990=1),AND(B2990="ROLE COMPROMISE",H2990=C2990)),Inputs!$B$13,Inputs!$B$14))</f>
        <v>10</v>
      </c>
      <c r="O2990" s="15" t="n">
        <f aca="false">IF(J2990=1,0,Inputs!$B$13)</f>
        <v>20</v>
      </c>
      <c r="P2990" s="15" t="n">
        <f aca="false">SUM(M2990:N2990)</f>
        <v>85</v>
      </c>
      <c r="Q2990" s="15" t="n">
        <f aca="false">IF(J2990=1,"",L2990-P2990)</f>
        <v>15</v>
      </c>
      <c r="R2990" s="15" t="n">
        <f aca="false">IF(OR(J2990=1,M2990&lt;=Inputs!$B$12),1,0)</f>
        <v>1</v>
      </c>
      <c r="S2990" s="15" t="n">
        <f aca="false">IF(OR(J2990=1,N2990&lt;=O2990),1,0)</f>
        <v>1</v>
      </c>
      <c r="T2990" s="15" t="str">
        <f aca="false">IF(J2990=1,"OFFLINE",IF(AND(Q2990&gt;=Inputs!$B$15,R2990=1,S2990=1,P2990&lt;=L2990),"PASS","FAIL"))</f>
        <v>PASS</v>
      </c>
    </row>
    <row r="2991" customFormat="false" ht="15" hidden="false" customHeight="false" outlineLevel="0" collapsed="false">
      <c r="A2991" s="14" t="s">
        <v>1050</v>
      </c>
      <c r="B2991" s="14" t="s">
        <v>1048</v>
      </c>
      <c r="C2991" s="14" t="s">
        <v>154</v>
      </c>
      <c r="D2991" s="14" t="s">
        <v>188</v>
      </c>
      <c r="E2991" s="14" t="s">
        <v>172</v>
      </c>
      <c r="F2991" s="14" t="s">
        <v>183</v>
      </c>
      <c r="G2991" s="14" t="n">
        <v>3</v>
      </c>
      <c r="H2991" s="14" t="s">
        <v>158</v>
      </c>
      <c r="I2991" s="14" t="s">
        <v>811</v>
      </c>
      <c r="J2991" s="15" t="n">
        <f aca="false">IF(B2991="SITE LOSS",IF(D2991=C2991,1,0),IF(B2991="REGION LOSS",IF(E2991=C2991,1,0),0))</f>
        <v>0</v>
      </c>
      <c r="K2991" s="15" t="n">
        <f aca="false">IF(B2991="SITE LOSS",IF(COUNTIFS('Site Dockets'!$B$7:$B$24,C2991,'Site Dockets'!$C$7:$C$24,F2991)&gt;0,1,0),IF(B2991="REGION LOSS",IF(COUNTIFS('Site Dockets'!$E$7:$E$24,C2991,'Site Dockets'!$C$7:$C$24,F2991)&gt;0,1,0),0))</f>
        <v>0</v>
      </c>
      <c r="L2991" s="15" t="n">
        <f aca="false">IF(J2991=1,0,Inputs!$B$11)</f>
        <v>100</v>
      </c>
      <c r="M2991" s="15" t="n">
        <f aca="false">IF(J2991=1,0,Inputs!$B$12)</f>
        <v>75</v>
      </c>
      <c r="N2991" s="15" t="n">
        <f aca="false">IF(J2991=1,0,IF(OR(AND(OR(B2991="SITE LOSS",B2991="REGION LOSS"),K2991=1),AND(B2991="ROLE COMPROMISE",H2991=C2991)),Inputs!$B$13,Inputs!$B$14))</f>
        <v>10</v>
      </c>
      <c r="O2991" s="15" t="n">
        <f aca="false">IF(J2991=1,0,Inputs!$B$13)</f>
        <v>20</v>
      </c>
      <c r="P2991" s="15" t="n">
        <f aca="false">SUM(M2991:N2991)</f>
        <v>85</v>
      </c>
      <c r="Q2991" s="15" t="n">
        <f aca="false">IF(J2991=1,"",L2991-P2991)</f>
        <v>15</v>
      </c>
      <c r="R2991" s="15" t="n">
        <f aca="false">IF(OR(J2991=1,M2991&lt;=Inputs!$B$12),1,0)</f>
        <v>1</v>
      </c>
      <c r="S2991" s="15" t="n">
        <f aca="false">IF(OR(J2991=1,N2991&lt;=O2991),1,0)</f>
        <v>1</v>
      </c>
      <c r="T2991" s="15" t="str">
        <f aca="false">IF(J2991=1,"OFFLINE",IF(AND(Q2991&gt;=Inputs!$B$15,R2991=1,S2991=1,P2991&lt;=L2991),"PASS","FAIL"))</f>
        <v>PASS</v>
      </c>
    </row>
    <row r="2992" customFormat="false" ht="15" hidden="false" customHeight="false" outlineLevel="0" collapsed="false">
      <c r="A2992" s="14" t="s">
        <v>1050</v>
      </c>
      <c r="B2992" s="14" t="s">
        <v>1048</v>
      </c>
      <c r="C2992" s="14" t="s">
        <v>154</v>
      </c>
      <c r="D2992" s="14" t="s">
        <v>188</v>
      </c>
      <c r="E2992" s="14" t="s">
        <v>172</v>
      </c>
      <c r="F2992" s="14" t="s">
        <v>183</v>
      </c>
      <c r="G2992" s="14" t="n">
        <v>3</v>
      </c>
      <c r="H2992" s="14" t="s">
        <v>158</v>
      </c>
      <c r="I2992" s="14" t="s">
        <v>895</v>
      </c>
      <c r="J2992" s="15" t="n">
        <f aca="false">IF(B2992="SITE LOSS",IF(D2992=C2992,1,0),IF(B2992="REGION LOSS",IF(E2992=C2992,1,0),0))</f>
        <v>0</v>
      </c>
      <c r="K2992" s="15" t="n">
        <f aca="false">IF(B2992="SITE LOSS",IF(COUNTIFS('Site Dockets'!$B$7:$B$24,C2992,'Site Dockets'!$C$7:$C$24,F2992)&gt;0,1,0),IF(B2992="REGION LOSS",IF(COUNTIFS('Site Dockets'!$E$7:$E$24,C2992,'Site Dockets'!$C$7:$C$24,F2992)&gt;0,1,0),0))</f>
        <v>0</v>
      </c>
      <c r="L2992" s="15" t="n">
        <f aca="false">IF(J2992=1,0,Inputs!$B$11)</f>
        <v>100</v>
      </c>
      <c r="M2992" s="15" t="n">
        <f aca="false">IF(J2992=1,0,Inputs!$B$12)</f>
        <v>75</v>
      </c>
      <c r="N2992" s="15" t="n">
        <f aca="false">IF(J2992=1,0,IF(OR(AND(OR(B2992="SITE LOSS",B2992="REGION LOSS"),K2992=1),AND(B2992="ROLE COMPROMISE",H2992=C2992)),Inputs!$B$13,Inputs!$B$14))</f>
        <v>10</v>
      </c>
      <c r="O2992" s="15" t="n">
        <f aca="false">IF(J2992=1,0,Inputs!$B$13)</f>
        <v>20</v>
      </c>
      <c r="P2992" s="15" t="n">
        <f aca="false">SUM(M2992:N2992)</f>
        <v>85</v>
      </c>
      <c r="Q2992" s="15" t="n">
        <f aca="false">IF(J2992=1,"",L2992-P2992)</f>
        <v>15</v>
      </c>
      <c r="R2992" s="15" t="n">
        <f aca="false">IF(OR(J2992=1,M2992&lt;=Inputs!$B$12),1,0)</f>
        <v>1</v>
      </c>
      <c r="S2992" s="15" t="n">
        <f aca="false">IF(OR(J2992=1,N2992&lt;=O2992),1,0)</f>
        <v>1</v>
      </c>
      <c r="T2992" s="15" t="str">
        <f aca="false">IF(J2992=1,"OFFLINE",IF(AND(Q2992&gt;=Inputs!$B$15,R2992=1,S2992=1,P2992&lt;=L2992),"PASS","FAIL"))</f>
        <v>PASS</v>
      </c>
    </row>
    <row r="2993" customFormat="false" ht="15" hidden="false" customHeight="false" outlineLevel="0" collapsed="false">
      <c r="A2993" s="14" t="s">
        <v>1050</v>
      </c>
      <c r="B2993" s="14" t="s">
        <v>1048</v>
      </c>
      <c r="C2993" s="14" t="s">
        <v>154</v>
      </c>
      <c r="D2993" s="14" t="s">
        <v>188</v>
      </c>
      <c r="E2993" s="14" t="s">
        <v>172</v>
      </c>
      <c r="F2993" s="14" t="s">
        <v>183</v>
      </c>
      <c r="G2993" s="14" t="n">
        <v>3</v>
      </c>
      <c r="H2993" s="14" t="s">
        <v>158</v>
      </c>
      <c r="I2993" s="14" t="s">
        <v>897</v>
      </c>
      <c r="J2993" s="15" t="n">
        <f aca="false">IF(B2993="SITE LOSS",IF(D2993=C2993,1,0),IF(B2993="REGION LOSS",IF(E2993=C2993,1,0),0))</f>
        <v>0</v>
      </c>
      <c r="K2993" s="15" t="n">
        <f aca="false">IF(B2993="SITE LOSS",IF(COUNTIFS('Site Dockets'!$B$7:$B$24,C2993,'Site Dockets'!$C$7:$C$24,F2993)&gt;0,1,0),IF(B2993="REGION LOSS",IF(COUNTIFS('Site Dockets'!$E$7:$E$24,C2993,'Site Dockets'!$C$7:$C$24,F2993)&gt;0,1,0),0))</f>
        <v>0</v>
      </c>
      <c r="L2993" s="15" t="n">
        <f aca="false">IF(J2993=1,0,Inputs!$B$11)</f>
        <v>100</v>
      </c>
      <c r="M2993" s="15" t="n">
        <f aca="false">IF(J2993=1,0,Inputs!$B$12)</f>
        <v>75</v>
      </c>
      <c r="N2993" s="15" t="n">
        <f aca="false">IF(J2993=1,0,IF(OR(AND(OR(B2993="SITE LOSS",B2993="REGION LOSS"),K2993=1),AND(B2993="ROLE COMPROMISE",H2993=C2993)),Inputs!$B$13,Inputs!$B$14))</f>
        <v>10</v>
      </c>
      <c r="O2993" s="15" t="n">
        <f aca="false">IF(J2993=1,0,Inputs!$B$13)</f>
        <v>20</v>
      </c>
      <c r="P2993" s="15" t="n">
        <f aca="false">SUM(M2993:N2993)</f>
        <v>85</v>
      </c>
      <c r="Q2993" s="15" t="n">
        <f aca="false">IF(J2993=1,"",L2993-P2993)</f>
        <v>15</v>
      </c>
      <c r="R2993" s="15" t="n">
        <f aca="false">IF(OR(J2993=1,M2993&lt;=Inputs!$B$12),1,0)</f>
        <v>1</v>
      </c>
      <c r="S2993" s="15" t="n">
        <f aca="false">IF(OR(J2993=1,N2993&lt;=O2993),1,0)</f>
        <v>1</v>
      </c>
      <c r="T2993" s="15" t="str">
        <f aca="false">IF(J2993=1,"OFFLINE",IF(AND(Q2993&gt;=Inputs!$B$15,R2993=1,S2993=1,P2993&lt;=L2993),"PASS","FAIL"))</f>
        <v>PASS</v>
      </c>
    </row>
    <row r="2994" customFormat="false" ht="15" hidden="false" customHeight="false" outlineLevel="0" collapsed="false">
      <c r="A2994" s="14" t="s">
        <v>1050</v>
      </c>
      <c r="B2994" s="14" t="s">
        <v>1048</v>
      </c>
      <c r="C2994" s="14" t="s">
        <v>154</v>
      </c>
      <c r="D2994" s="14" t="s">
        <v>188</v>
      </c>
      <c r="E2994" s="14" t="s">
        <v>172</v>
      </c>
      <c r="F2994" s="14" t="s">
        <v>183</v>
      </c>
      <c r="G2994" s="14" t="n">
        <v>3</v>
      </c>
      <c r="H2994" s="14" t="s">
        <v>158</v>
      </c>
      <c r="I2994" s="14" t="s">
        <v>899</v>
      </c>
      <c r="J2994" s="15" t="n">
        <f aca="false">IF(B2994="SITE LOSS",IF(D2994=C2994,1,0),IF(B2994="REGION LOSS",IF(E2994=C2994,1,0),0))</f>
        <v>0</v>
      </c>
      <c r="K2994" s="15" t="n">
        <f aca="false">IF(B2994="SITE LOSS",IF(COUNTIFS('Site Dockets'!$B$7:$B$24,C2994,'Site Dockets'!$C$7:$C$24,F2994)&gt;0,1,0),IF(B2994="REGION LOSS",IF(COUNTIFS('Site Dockets'!$E$7:$E$24,C2994,'Site Dockets'!$C$7:$C$24,F2994)&gt;0,1,0),0))</f>
        <v>0</v>
      </c>
      <c r="L2994" s="15" t="n">
        <f aca="false">IF(J2994=1,0,Inputs!$B$11)</f>
        <v>100</v>
      </c>
      <c r="M2994" s="15" t="n">
        <f aca="false">IF(J2994=1,0,Inputs!$B$12)</f>
        <v>75</v>
      </c>
      <c r="N2994" s="15" t="n">
        <f aca="false">IF(J2994=1,0,IF(OR(AND(OR(B2994="SITE LOSS",B2994="REGION LOSS"),K2994=1),AND(B2994="ROLE COMPROMISE",H2994=C2994)),Inputs!$B$13,Inputs!$B$14))</f>
        <v>10</v>
      </c>
      <c r="O2994" s="15" t="n">
        <f aca="false">IF(J2994=1,0,Inputs!$B$13)</f>
        <v>20</v>
      </c>
      <c r="P2994" s="15" t="n">
        <f aca="false">SUM(M2994:N2994)</f>
        <v>85</v>
      </c>
      <c r="Q2994" s="15" t="n">
        <f aca="false">IF(J2994=1,"",L2994-P2994)</f>
        <v>15</v>
      </c>
      <c r="R2994" s="15" t="n">
        <f aca="false">IF(OR(J2994=1,M2994&lt;=Inputs!$B$12),1,0)</f>
        <v>1</v>
      </c>
      <c r="S2994" s="15" t="n">
        <f aca="false">IF(OR(J2994=1,N2994&lt;=O2994),1,0)</f>
        <v>1</v>
      </c>
      <c r="T2994" s="15" t="str">
        <f aca="false">IF(J2994=1,"OFFLINE",IF(AND(Q2994&gt;=Inputs!$B$15,R2994=1,S2994=1,P2994&lt;=L2994),"PASS","FAIL"))</f>
        <v>PASS</v>
      </c>
    </row>
    <row r="2995" customFormat="false" ht="15" hidden="false" customHeight="false" outlineLevel="0" collapsed="false">
      <c r="A2995" s="14" t="s">
        <v>1050</v>
      </c>
      <c r="B2995" s="14" t="s">
        <v>1048</v>
      </c>
      <c r="C2995" s="14" t="s">
        <v>154</v>
      </c>
      <c r="D2995" s="14" t="s">
        <v>190</v>
      </c>
      <c r="E2995" s="14" t="s">
        <v>152</v>
      </c>
      <c r="F2995" s="14" t="s">
        <v>191</v>
      </c>
      <c r="G2995" s="14" t="n">
        <v>1</v>
      </c>
      <c r="H2995" s="14" t="s">
        <v>154</v>
      </c>
      <c r="I2995" s="14" t="s">
        <v>890</v>
      </c>
      <c r="J2995" s="15" t="n">
        <f aca="false">IF(B2995="SITE LOSS",IF(D2995=C2995,1,0),IF(B2995="REGION LOSS",IF(E2995=C2995,1,0),0))</f>
        <v>0</v>
      </c>
      <c r="K2995" s="15" t="n">
        <f aca="false">IF(B2995="SITE LOSS",IF(COUNTIFS('Site Dockets'!$B$7:$B$24,C2995,'Site Dockets'!$C$7:$C$24,F2995)&gt;0,1,0),IF(B2995="REGION LOSS",IF(COUNTIFS('Site Dockets'!$E$7:$E$24,C2995,'Site Dockets'!$C$7:$C$24,F2995)&gt;0,1,0),0))</f>
        <v>0</v>
      </c>
      <c r="L2995" s="15" t="n">
        <f aca="false">IF(J2995=1,0,Inputs!$B$11)</f>
        <v>100</v>
      </c>
      <c r="M2995" s="15" t="n">
        <f aca="false">IF(J2995=1,0,Inputs!$B$12)</f>
        <v>75</v>
      </c>
      <c r="N2995" s="15" t="n">
        <f aca="false">IF(J2995=1,0,IF(OR(AND(OR(B2995="SITE LOSS",B2995="REGION LOSS"),K2995=1),AND(B2995="ROLE COMPROMISE",H2995=C2995)),Inputs!$B$13,Inputs!$B$14))</f>
        <v>20</v>
      </c>
      <c r="O2995" s="15" t="n">
        <f aca="false">IF(J2995=1,0,Inputs!$B$13)</f>
        <v>20</v>
      </c>
      <c r="P2995" s="15" t="n">
        <f aca="false">SUM(M2995:N2995)</f>
        <v>95</v>
      </c>
      <c r="Q2995" s="15" t="n">
        <f aca="false">IF(J2995=1,"",L2995-P2995)</f>
        <v>5</v>
      </c>
      <c r="R2995" s="15" t="n">
        <f aca="false">IF(OR(J2995=1,M2995&lt;=Inputs!$B$12),1,0)</f>
        <v>1</v>
      </c>
      <c r="S2995" s="15" t="n">
        <f aca="false">IF(OR(J2995=1,N2995&lt;=O2995),1,0)</f>
        <v>1</v>
      </c>
      <c r="T2995" s="15" t="str">
        <f aca="false">IF(J2995=1,"OFFLINE",IF(AND(Q2995&gt;=Inputs!$B$15,R2995=1,S2995=1,P2995&lt;=L2995),"PASS","FAIL"))</f>
        <v>PASS</v>
      </c>
    </row>
    <row r="2996" customFormat="false" ht="15" hidden="false" customHeight="false" outlineLevel="0" collapsed="false">
      <c r="A2996" s="14" t="s">
        <v>1050</v>
      </c>
      <c r="B2996" s="14" t="s">
        <v>1048</v>
      </c>
      <c r="C2996" s="14" t="s">
        <v>154</v>
      </c>
      <c r="D2996" s="14" t="s">
        <v>190</v>
      </c>
      <c r="E2996" s="14" t="s">
        <v>152</v>
      </c>
      <c r="F2996" s="14" t="s">
        <v>191</v>
      </c>
      <c r="G2996" s="14" t="n">
        <v>1</v>
      </c>
      <c r="H2996" s="14" t="s">
        <v>154</v>
      </c>
      <c r="I2996" s="14" t="s">
        <v>892</v>
      </c>
      <c r="J2996" s="15" t="n">
        <f aca="false">IF(B2996="SITE LOSS",IF(D2996=C2996,1,0),IF(B2996="REGION LOSS",IF(E2996=C2996,1,0),0))</f>
        <v>0</v>
      </c>
      <c r="K2996" s="15" t="n">
        <f aca="false">IF(B2996="SITE LOSS",IF(COUNTIFS('Site Dockets'!$B$7:$B$24,C2996,'Site Dockets'!$C$7:$C$24,F2996)&gt;0,1,0),IF(B2996="REGION LOSS",IF(COUNTIFS('Site Dockets'!$E$7:$E$24,C2996,'Site Dockets'!$C$7:$C$24,F2996)&gt;0,1,0),0))</f>
        <v>0</v>
      </c>
      <c r="L2996" s="15" t="n">
        <f aca="false">IF(J2996=1,0,Inputs!$B$11)</f>
        <v>100</v>
      </c>
      <c r="M2996" s="15" t="n">
        <f aca="false">IF(J2996=1,0,Inputs!$B$12)</f>
        <v>75</v>
      </c>
      <c r="N2996" s="15" t="n">
        <f aca="false">IF(J2996=1,0,IF(OR(AND(OR(B2996="SITE LOSS",B2996="REGION LOSS"),K2996=1),AND(B2996="ROLE COMPROMISE",H2996=C2996)),Inputs!$B$13,Inputs!$B$14))</f>
        <v>20</v>
      </c>
      <c r="O2996" s="15" t="n">
        <f aca="false">IF(J2996=1,0,Inputs!$B$13)</f>
        <v>20</v>
      </c>
      <c r="P2996" s="15" t="n">
        <f aca="false">SUM(M2996:N2996)</f>
        <v>95</v>
      </c>
      <c r="Q2996" s="15" t="n">
        <f aca="false">IF(J2996=1,"",L2996-P2996)</f>
        <v>5</v>
      </c>
      <c r="R2996" s="15" t="n">
        <f aca="false">IF(OR(J2996=1,M2996&lt;=Inputs!$B$12),1,0)</f>
        <v>1</v>
      </c>
      <c r="S2996" s="15" t="n">
        <f aca="false">IF(OR(J2996=1,N2996&lt;=O2996),1,0)</f>
        <v>1</v>
      </c>
      <c r="T2996" s="15" t="str">
        <f aca="false">IF(J2996=1,"OFFLINE",IF(AND(Q2996&gt;=Inputs!$B$15,R2996=1,S2996=1,P2996&lt;=L2996),"PASS","FAIL"))</f>
        <v>PASS</v>
      </c>
    </row>
    <row r="2997" customFormat="false" ht="15" hidden="false" customHeight="false" outlineLevel="0" collapsed="false">
      <c r="A2997" s="14" t="s">
        <v>1050</v>
      </c>
      <c r="B2997" s="14" t="s">
        <v>1048</v>
      </c>
      <c r="C2997" s="14" t="s">
        <v>154</v>
      </c>
      <c r="D2997" s="14" t="s">
        <v>190</v>
      </c>
      <c r="E2997" s="14" t="s">
        <v>152</v>
      </c>
      <c r="F2997" s="14" t="s">
        <v>191</v>
      </c>
      <c r="G2997" s="14" t="n">
        <v>1</v>
      </c>
      <c r="H2997" s="14" t="s">
        <v>154</v>
      </c>
      <c r="I2997" s="14" t="s">
        <v>811</v>
      </c>
      <c r="J2997" s="15" t="n">
        <f aca="false">IF(B2997="SITE LOSS",IF(D2997=C2997,1,0),IF(B2997="REGION LOSS",IF(E2997=C2997,1,0),0))</f>
        <v>0</v>
      </c>
      <c r="K2997" s="15" t="n">
        <f aca="false">IF(B2997="SITE LOSS",IF(COUNTIFS('Site Dockets'!$B$7:$B$24,C2997,'Site Dockets'!$C$7:$C$24,F2997)&gt;0,1,0),IF(B2997="REGION LOSS",IF(COUNTIFS('Site Dockets'!$E$7:$E$24,C2997,'Site Dockets'!$C$7:$C$24,F2997)&gt;0,1,0),0))</f>
        <v>0</v>
      </c>
      <c r="L2997" s="15" t="n">
        <f aca="false">IF(J2997=1,0,Inputs!$B$11)</f>
        <v>100</v>
      </c>
      <c r="M2997" s="15" t="n">
        <f aca="false">IF(J2997=1,0,Inputs!$B$12)</f>
        <v>75</v>
      </c>
      <c r="N2997" s="15" t="n">
        <f aca="false">IF(J2997=1,0,IF(OR(AND(OR(B2997="SITE LOSS",B2997="REGION LOSS"),K2997=1),AND(B2997="ROLE COMPROMISE",H2997=C2997)),Inputs!$B$13,Inputs!$B$14))</f>
        <v>20</v>
      </c>
      <c r="O2997" s="15" t="n">
        <f aca="false">IF(J2997=1,0,Inputs!$B$13)</f>
        <v>20</v>
      </c>
      <c r="P2997" s="15" t="n">
        <f aca="false">SUM(M2997:N2997)</f>
        <v>95</v>
      </c>
      <c r="Q2997" s="15" t="n">
        <f aca="false">IF(J2997=1,"",L2997-P2997)</f>
        <v>5</v>
      </c>
      <c r="R2997" s="15" t="n">
        <f aca="false">IF(OR(J2997=1,M2997&lt;=Inputs!$B$12),1,0)</f>
        <v>1</v>
      </c>
      <c r="S2997" s="15" t="n">
        <f aca="false">IF(OR(J2997=1,N2997&lt;=O2997),1,0)</f>
        <v>1</v>
      </c>
      <c r="T2997" s="15" t="str">
        <f aca="false">IF(J2997=1,"OFFLINE",IF(AND(Q2997&gt;=Inputs!$B$15,R2997=1,S2997=1,P2997&lt;=L2997),"PASS","FAIL"))</f>
        <v>PASS</v>
      </c>
    </row>
    <row r="2998" customFormat="false" ht="15" hidden="false" customHeight="false" outlineLevel="0" collapsed="false">
      <c r="A2998" s="14" t="s">
        <v>1050</v>
      </c>
      <c r="B2998" s="14" t="s">
        <v>1048</v>
      </c>
      <c r="C2998" s="14" t="s">
        <v>154</v>
      </c>
      <c r="D2998" s="14" t="s">
        <v>190</v>
      </c>
      <c r="E2998" s="14" t="s">
        <v>152</v>
      </c>
      <c r="F2998" s="14" t="s">
        <v>191</v>
      </c>
      <c r="G2998" s="14" t="n">
        <v>1</v>
      </c>
      <c r="H2998" s="14" t="s">
        <v>154</v>
      </c>
      <c r="I2998" s="14" t="s">
        <v>895</v>
      </c>
      <c r="J2998" s="15" t="n">
        <f aca="false">IF(B2998="SITE LOSS",IF(D2998=C2998,1,0),IF(B2998="REGION LOSS",IF(E2998=C2998,1,0),0))</f>
        <v>0</v>
      </c>
      <c r="K2998" s="15" t="n">
        <f aca="false">IF(B2998="SITE LOSS",IF(COUNTIFS('Site Dockets'!$B$7:$B$24,C2998,'Site Dockets'!$C$7:$C$24,F2998)&gt;0,1,0),IF(B2998="REGION LOSS",IF(COUNTIFS('Site Dockets'!$E$7:$E$24,C2998,'Site Dockets'!$C$7:$C$24,F2998)&gt;0,1,0),0))</f>
        <v>0</v>
      </c>
      <c r="L2998" s="15" t="n">
        <f aca="false">IF(J2998=1,0,Inputs!$B$11)</f>
        <v>100</v>
      </c>
      <c r="M2998" s="15" t="n">
        <f aca="false">IF(J2998=1,0,Inputs!$B$12)</f>
        <v>75</v>
      </c>
      <c r="N2998" s="15" t="n">
        <f aca="false">IF(J2998=1,0,IF(OR(AND(OR(B2998="SITE LOSS",B2998="REGION LOSS"),K2998=1),AND(B2998="ROLE COMPROMISE",H2998=C2998)),Inputs!$B$13,Inputs!$B$14))</f>
        <v>20</v>
      </c>
      <c r="O2998" s="15" t="n">
        <f aca="false">IF(J2998=1,0,Inputs!$B$13)</f>
        <v>20</v>
      </c>
      <c r="P2998" s="15" t="n">
        <f aca="false">SUM(M2998:N2998)</f>
        <v>95</v>
      </c>
      <c r="Q2998" s="15" t="n">
        <f aca="false">IF(J2998=1,"",L2998-P2998)</f>
        <v>5</v>
      </c>
      <c r="R2998" s="15" t="n">
        <f aca="false">IF(OR(J2998=1,M2998&lt;=Inputs!$B$12),1,0)</f>
        <v>1</v>
      </c>
      <c r="S2998" s="15" t="n">
        <f aca="false">IF(OR(J2998=1,N2998&lt;=O2998),1,0)</f>
        <v>1</v>
      </c>
      <c r="T2998" s="15" t="str">
        <f aca="false">IF(J2998=1,"OFFLINE",IF(AND(Q2998&gt;=Inputs!$B$15,R2998=1,S2998=1,P2998&lt;=L2998),"PASS","FAIL"))</f>
        <v>PASS</v>
      </c>
    </row>
    <row r="2999" customFormat="false" ht="15" hidden="false" customHeight="false" outlineLevel="0" collapsed="false">
      <c r="A2999" s="14" t="s">
        <v>1050</v>
      </c>
      <c r="B2999" s="14" t="s">
        <v>1048</v>
      </c>
      <c r="C2999" s="14" t="s">
        <v>154</v>
      </c>
      <c r="D2999" s="14" t="s">
        <v>190</v>
      </c>
      <c r="E2999" s="14" t="s">
        <v>152</v>
      </c>
      <c r="F2999" s="14" t="s">
        <v>191</v>
      </c>
      <c r="G2999" s="14" t="n">
        <v>1</v>
      </c>
      <c r="H2999" s="14" t="s">
        <v>154</v>
      </c>
      <c r="I2999" s="14" t="s">
        <v>897</v>
      </c>
      <c r="J2999" s="15" t="n">
        <f aca="false">IF(B2999="SITE LOSS",IF(D2999=C2999,1,0),IF(B2999="REGION LOSS",IF(E2999=C2999,1,0),0))</f>
        <v>0</v>
      </c>
      <c r="K2999" s="15" t="n">
        <f aca="false">IF(B2999="SITE LOSS",IF(COUNTIFS('Site Dockets'!$B$7:$B$24,C2999,'Site Dockets'!$C$7:$C$24,F2999)&gt;0,1,0),IF(B2999="REGION LOSS",IF(COUNTIFS('Site Dockets'!$E$7:$E$24,C2999,'Site Dockets'!$C$7:$C$24,F2999)&gt;0,1,0),0))</f>
        <v>0</v>
      </c>
      <c r="L2999" s="15" t="n">
        <f aca="false">IF(J2999=1,0,Inputs!$B$11)</f>
        <v>100</v>
      </c>
      <c r="M2999" s="15" t="n">
        <f aca="false">IF(J2999=1,0,Inputs!$B$12)</f>
        <v>75</v>
      </c>
      <c r="N2999" s="15" t="n">
        <f aca="false">IF(J2999=1,0,IF(OR(AND(OR(B2999="SITE LOSS",B2999="REGION LOSS"),K2999=1),AND(B2999="ROLE COMPROMISE",H2999=C2999)),Inputs!$B$13,Inputs!$B$14))</f>
        <v>20</v>
      </c>
      <c r="O2999" s="15" t="n">
        <f aca="false">IF(J2999=1,0,Inputs!$B$13)</f>
        <v>20</v>
      </c>
      <c r="P2999" s="15" t="n">
        <f aca="false">SUM(M2999:N2999)</f>
        <v>95</v>
      </c>
      <c r="Q2999" s="15" t="n">
        <f aca="false">IF(J2999=1,"",L2999-P2999)</f>
        <v>5</v>
      </c>
      <c r="R2999" s="15" t="n">
        <f aca="false">IF(OR(J2999=1,M2999&lt;=Inputs!$B$12),1,0)</f>
        <v>1</v>
      </c>
      <c r="S2999" s="15" t="n">
        <f aca="false">IF(OR(J2999=1,N2999&lt;=O2999),1,0)</f>
        <v>1</v>
      </c>
      <c r="T2999" s="15" t="str">
        <f aca="false">IF(J2999=1,"OFFLINE",IF(AND(Q2999&gt;=Inputs!$B$15,R2999=1,S2999=1,P2999&lt;=L2999),"PASS","FAIL"))</f>
        <v>PASS</v>
      </c>
    </row>
    <row r="3000" customFormat="false" ht="15" hidden="false" customHeight="false" outlineLevel="0" collapsed="false">
      <c r="A3000" s="14" t="s">
        <v>1050</v>
      </c>
      <c r="B3000" s="14" t="s">
        <v>1048</v>
      </c>
      <c r="C3000" s="14" t="s">
        <v>154</v>
      </c>
      <c r="D3000" s="14" t="s">
        <v>190</v>
      </c>
      <c r="E3000" s="14" t="s">
        <v>152</v>
      </c>
      <c r="F3000" s="14" t="s">
        <v>191</v>
      </c>
      <c r="G3000" s="14" t="n">
        <v>1</v>
      </c>
      <c r="H3000" s="14" t="s">
        <v>154</v>
      </c>
      <c r="I3000" s="14" t="s">
        <v>899</v>
      </c>
      <c r="J3000" s="15" t="n">
        <f aca="false">IF(B3000="SITE LOSS",IF(D3000=C3000,1,0),IF(B3000="REGION LOSS",IF(E3000=C3000,1,0),0))</f>
        <v>0</v>
      </c>
      <c r="K3000" s="15" t="n">
        <f aca="false">IF(B3000="SITE LOSS",IF(COUNTIFS('Site Dockets'!$B$7:$B$24,C3000,'Site Dockets'!$C$7:$C$24,F3000)&gt;0,1,0),IF(B3000="REGION LOSS",IF(COUNTIFS('Site Dockets'!$E$7:$E$24,C3000,'Site Dockets'!$C$7:$C$24,F3000)&gt;0,1,0),0))</f>
        <v>0</v>
      </c>
      <c r="L3000" s="15" t="n">
        <f aca="false">IF(J3000=1,0,Inputs!$B$11)</f>
        <v>100</v>
      </c>
      <c r="M3000" s="15" t="n">
        <f aca="false">IF(J3000=1,0,Inputs!$B$12)</f>
        <v>75</v>
      </c>
      <c r="N3000" s="15" t="n">
        <f aca="false">IF(J3000=1,0,IF(OR(AND(OR(B3000="SITE LOSS",B3000="REGION LOSS"),K3000=1),AND(B3000="ROLE COMPROMISE",H3000=C3000)),Inputs!$B$13,Inputs!$B$14))</f>
        <v>20</v>
      </c>
      <c r="O3000" s="15" t="n">
        <f aca="false">IF(J3000=1,0,Inputs!$B$13)</f>
        <v>20</v>
      </c>
      <c r="P3000" s="15" t="n">
        <f aca="false">SUM(M3000:N3000)</f>
        <v>95</v>
      </c>
      <c r="Q3000" s="15" t="n">
        <f aca="false">IF(J3000=1,"",L3000-P3000)</f>
        <v>5</v>
      </c>
      <c r="R3000" s="15" t="n">
        <f aca="false">IF(OR(J3000=1,M3000&lt;=Inputs!$B$12),1,0)</f>
        <v>1</v>
      </c>
      <c r="S3000" s="15" t="n">
        <f aca="false">IF(OR(J3000=1,N3000&lt;=O3000),1,0)</f>
        <v>1</v>
      </c>
      <c r="T3000" s="15" t="str">
        <f aca="false">IF(J3000=1,"OFFLINE",IF(AND(Q3000&gt;=Inputs!$B$15,R3000=1,S3000=1,P3000&lt;=L3000),"PASS","FAIL"))</f>
        <v>PASS</v>
      </c>
    </row>
    <row r="3001" customFormat="false" ht="15" hidden="false" customHeight="false" outlineLevel="0" collapsed="false">
      <c r="A3001" s="14" t="s">
        <v>1050</v>
      </c>
      <c r="B3001" s="14" t="s">
        <v>1048</v>
      </c>
      <c r="C3001" s="14" t="s">
        <v>154</v>
      </c>
      <c r="D3001" s="14" t="s">
        <v>194</v>
      </c>
      <c r="E3001" s="14" t="s">
        <v>169</v>
      </c>
      <c r="F3001" s="14" t="s">
        <v>191</v>
      </c>
      <c r="G3001" s="14" t="n">
        <v>2</v>
      </c>
      <c r="H3001" s="14" t="s">
        <v>153</v>
      </c>
      <c r="I3001" s="14" t="s">
        <v>890</v>
      </c>
      <c r="J3001" s="15" t="n">
        <f aca="false">IF(B3001="SITE LOSS",IF(D3001=C3001,1,0),IF(B3001="REGION LOSS",IF(E3001=C3001,1,0),0))</f>
        <v>0</v>
      </c>
      <c r="K3001" s="15" t="n">
        <f aca="false">IF(B3001="SITE LOSS",IF(COUNTIFS('Site Dockets'!$B$7:$B$24,C3001,'Site Dockets'!$C$7:$C$24,F3001)&gt;0,1,0),IF(B3001="REGION LOSS",IF(COUNTIFS('Site Dockets'!$E$7:$E$24,C3001,'Site Dockets'!$C$7:$C$24,F3001)&gt;0,1,0),0))</f>
        <v>0</v>
      </c>
      <c r="L3001" s="15" t="n">
        <f aca="false">IF(J3001=1,0,Inputs!$B$11)</f>
        <v>100</v>
      </c>
      <c r="M3001" s="15" t="n">
        <f aca="false">IF(J3001=1,0,Inputs!$B$12)</f>
        <v>75</v>
      </c>
      <c r="N3001" s="15" t="n">
        <f aca="false">IF(J3001=1,0,IF(OR(AND(OR(B3001="SITE LOSS",B3001="REGION LOSS"),K3001=1),AND(B3001="ROLE COMPROMISE",H3001=C3001)),Inputs!$B$13,Inputs!$B$14))</f>
        <v>10</v>
      </c>
      <c r="O3001" s="15" t="n">
        <f aca="false">IF(J3001=1,0,Inputs!$B$13)</f>
        <v>20</v>
      </c>
      <c r="P3001" s="15" t="n">
        <f aca="false">SUM(M3001:N3001)</f>
        <v>85</v>
      </c>
      <c r="Q3001" s="15" t="n">
        <f aca="false">IF(J3001=1,"",L3001-P3001)</f>
        <v>15</v>
      </c>
      <c r="R3001" s="15" t="n">
        <f aca="false">IF(OR(J3001=1,M3001&lt;=Inputs!$B$12),1,0)</f>
        <v>1</v>
      </c>
      <c r="S3001" s="15" t="n">
        <f aca="false">IF(OR(J3001=1,N3001&lt;=O3001),1,0)</f>
        <v>1</v>
      </c>
      <c r="T3001" s="15" t="str">
        <f aca="false">IF(J3001=1,"OFFLINE",IF(AND(Q3001&gt;=Inputs!$B$15,R3001=1,S3001=1,P3001&lt;=L3001),"PASS","FAIL"))</f>
        <v>PASS</v>
      </c>
    </row>
    <row r="3002" customFormat="false" ht="15" hidden="false" customHeight="false" outlineLevel="0" collapsed="false">
      <c r="A3002" s="14" t="s">
        <v>1050</v>
      </c>
      <c r="B3002" s="14" t="s">
        <v>1048</v>
      </c>
      <c r="C3002" s="14" t="s">
        <v>154</v>
      </c>
      <c r="D3002" s="14" t="s">
        <v>194</v>
      </c>
      <c r="E3002" s="14" t="s">
        <v>169</v>
      </c>
      <c r="F3002" s="14" t="s">
        <v>191</v>
      </c>
      <c r="G3002" s="14" t="n">
        <v>2</v>
      </c>
      <c r="H3002" s="14" t="s">
        <v>153</v>
      </c>
      <c r="I3002" s="14" t="s">
        <v>892</v>
      </c>
      <c r="J3002" s="15" t="n">
        <f aca="false">IF(B3002="SITE LOSS",IF(D3002=C3002,1,0),IF(B3002="REGION LOSS",IF(E3002=C3002,1,0),0))</f>
        <v>0</v>
      </c>
      <c r="K3002" s="15" t="n">
        <f aca="false">IF(B3002="SITE LOSS",IF(COUNTIFS('Site Dockets'!$B$7:$B$24,C3002,'Site Dockets'!$C$7:$C$24,F3002)&gt;0,1,0),IF(B3002="REGION LOSS",IF(COUNTIFS('Site Dockets'!$E$7:$E$24,C3002,'Site Dockets'!$C$7:$C$24,F3002)&gt;0,1,0),0))</f>
        <v>0</v>
      </c>
      <c r="L3002" s="15" t="n">
        <f aca="false">IF(J3002=1,0,Inputs!$B$11)</f>
        <v>100</v>
      </c>
      <c r="M3002" s="15" t="n">
        <f aca="false">IF(J3002=1,0,Inputs!$B$12)</f>
        <v>75</v>
      </c>
      <c r="N3002" s="15" t="n">
        <f aca="false">IF(J3002=1,0,IF(OR(AND(OR(B3002="SITE LOSS",B3002="REGION LOSS"),K3002=1),AND(B3002="ROLE COMPROMISE",H3002=C3002)),Inputs!$B$13,Inputs!$B$14))</f>
        <v>10</v>
      </c>
      <c r="O3002" s="15" t="n">
        <f aca="false">IF(J3002=1,0,Inputs!$B$13)</f>
        <v>20</v>
      </c>
      <c r="P3002" s="15" t="n">
        <f aca="false">SUM(M3002:N3002)</f>
        <v>85</v>
      </c>
      <c r="Q3002" s="15" t="n">
        <f aca="false">IF(J3002=1,"",L3002-P3002)</f>
        <v>15</v>
      </c>
      <c r="R3002" s="15" t="n">
        <f aca="false">IF(OR(J3002=1,M3002&lt;=Inputs!$B$12),1,0)</f>
        <v>1</v>
      </c>
      <c r="S3002" s="15" t="n">
        <f aca="false">IF(OR(J3002=1,N3002&lt;=O3002),1,0)</f>
        <v>1</v>
      </c>
      <c r="T3002" s="15" t="str">
        <f aca="false">IF(J3002=1,"OFFLINE",IF(AND(Q3002&gt;=Inputs!$B$15,R3002=1,S3002=1,P3002&lt;=L3002),"PASS","FAIL"))</f>
        <v>PASS</v>
      </c>
    </row>
    <row r="3003" customFormat="false" ht="15" hidden="false" customHeight="false" outlineLevel="0" collapsed="false">
      <c r="A3003" s="14" t="s">
        <v>1050</v>
      </c>
      <c r="B3003" s="14" t="s">
        <v>1048</v>
      </c>
      <c r="C3003" s="14" t="s">
        <v>154</v>
      </c>
      <c r="D3003" s="14" t="s">
        <v>194</v>
      </c>
      <c r="E3003" s="14" t="s">
        <v>169</v>
      </c>
      <c r="F3003" s="14" t="s">
        <v>191</v>
      </c>
      <c r="G3003" s="14" t="n">
        <v>2</v>
      </c>
      <c r="H3003" s="14" t="s">
        <v>153</v>
      </c>
      <c r="I3003" s="14" t="s">
        <v>811</v>
      </c>
      <c r="J3003" s="15" t="n">
        <f aca="false">IF(B3003="SITE LOSS",IF(D3003=C3003,1,0),IF(B3003="REGION LOSS",IF(E3003=C3003,1,0),0))</f>
        <v>0</v>
      </c>
      <c r="K3003" s="15" t="n">
        <f aca="false">IF(B3003="SITE LOSS",IF(COUNTIFS('Site Dockets'!$B$7:$B$24,C3003,'Site Dockets'!$C$7:$C$24,F3003)&gt;0,1,0),IF(B3003="REGION LOSS",IF(COUNTIFS('Site Dockets'!$E$7:$E$24,C3003,'Site Dockets'!$C$7:$C$24,F3003)&gt;0,1,0),0))</f>
        <v>0</v>
      </c>
      <c r="L3003" s="15" t="n">
        <f aca="false">IF(J3003=1,0,Inputs!$B$11)</f>
        <v>100</v>
      </c>
      <c r="M3003" s="15" t="n">
        <f aca="false">IF(J3003=1,0,Inputs!$B$12)</f>
        <v>75</v>
      </c>
      <c r="N3003" s="15" t="n">
        <f aca="false">IF(J3003=1,0,IF(OR(AND(OR(B3003="SITE LOSS",B3003="REGION LOSS"),K3003=1),AND(B3003="ROLE COMPROMISE",H3003=C3003)),Inputs!$B$13,Inputs!$B$14))</f>
        <v>10</v>
      </c>
      <c r="O3003" s="15" t="n">
        <f aca="false">IF(J3003=1,0,Inputs!$B$13)</f>
        <v>20</v>
      </c>
      <c r="P3003" s="15" t="n">
        <f aca="false">SUM(M3003:N3003)</f>
        <v>85</v>
      </c>
      <c r="Q3003" s="15" t="n">
        <f aca="false">IF(J3003=1,"",L3003-P3003)</f>
        <v>15</v>
      </c>
      <c r="R3003" s="15" t="n">
        <f aca="false">IF(OR(J3003=1,M3003&lt;=Inputs!$B$12),1,0)</f>
        <v>1</v>
      </c>
      <c r="S3003" s="15" t="n">
        <f aca="false">IF(OR(J3003=1,N3003&lt;=O3003),1,0)</f>
        <v>1</v>
      </c>
      <c r="T3003" s="15" t="str">
        <f aca="false">IF(J3003=1,"OFFLINE",IF(AND(Q3003&gt;=Inputs!$B$15,R3003=1,S3003=1,P3003&lt;=L3003),"PASS","FAIL"))</f>
        <v>PASS</v>
      </c>
    </row>
    <row r="3004" customFormat="false" ht="15" hidden="false" customHeight="false" outlineLevel="0" collapsed="false">
      <c r="A3004" s="14" t="s">
        <v>1050</v>
      </c>
      <c r="B3004" s="14" t="s">
        <v>1048</v>
      </c>
      <c r="C3004" s="14" t="s">
        <v>154</v>
      </c>
      <c r="D3004" s="14" t="s">
        <v>194</v>
      </c>
      <c r="E3004" s="14" t="s">
        <v>169</v>
      </c>
      <c r="F3004" s="14" t="s">
        <v>191</v>
      </c>
      <c r="G3004" s="14" t="n">
        <v>2</v>
      </c>
      <c r="H3004" s="14" t="s">
        <v>153</v>
      </c>
      <c r="I3004" s="14" t="s">
        <v>895</v>
      </c>
      <c r="J3004" s="15" t="n">
        <f aca="false">IF(B3004="SITE LOSS",IF(D3004=C3004,1,0),IF(B3004="REGION LOSS",IF(E3004=C3004,1,0),0))</f>
        <v>0</v>
      </c>
      <c r="K3004" s="15" t="n">
        <f aca="false">IF(B3004="SITE LOSS",IF(COUNTIFS('Site Dockets'!$B$7:$B$24,C3004,'Site Dockets'!$C$7:$C$24,F3004)&gt;0,1,0),IF(B3004="REGION LOSS",IF(COUNTIFS('Site Dockets'!$E$7:$E$24,C3004,'Site Dockets'!$C$7:$C$24,F3004)&gt;0,1,0),0))</f>
        <v>0</v>
      </c>
      <c r="L3004" s="15" t="n">
        <f aca="false">IF(J3004=1,0,Inputs!$B$11)</f>
        <v>100</v>
      </c>
      <c r="M3004" s="15" t="n">
        <f aca="false">IF(J3004=1,0,Inputs!$B$12)</f>
        <v>75</v>
      </c>
      <c r="N3004" s="15" t="n">
        <f aca="false">IF(J3004=1,0,IF(OR(AND(OR(B3004="SITE LOSS",B3004="REGION LOSS"),K3004=1),AND(B3004="ROLE COMPROMISE",H3004=C3004)),Inputs!$B$13,Inputs!$B$14))</f>
        <v>10</v>
      </c>
      <c r="O3004" s="15" t="n">
        <f aca="false">IF(J3004=1,0,Inputs!$B$13)</f>
        <v>20</v>
      </c>
      <c r="P3004" s="15" t="n">
        <f aca="false">SUM(M3004:N3004)</f>
        <v>85</v>
      </c>
      <c r="Q3004" s="15" t="n">
        <f aca="false">IF(J3004=1,"",L3004-P3004)</f>
        <v>15</v>
      </c>
      <c r="R3004" s="15" t="n">
        <f aca="false">IF(OR(J3004=1,M3004&lt;=Inputs!$B$12),1,0)</f>
        <v>1</v>
      </c>
      <c r="S3004" s="15" t="n">
        <f aca="false">IF(OR(J3004=1,N3004&lt;=O3004),1,0)</f>
        <v>1</v>
      </c>
      <c r="T3004" s="15" t="str">
        <f aca="false">IF(J3004=1,"OFFLINE",IF(AND(Q3004&gt;=Inputs!$B$15,R3004=1,S3004=1,P3004&lt;=L3004),"PASS","FAIL"))</f>
        <v>PASS</v>
      </c>
    </row>
    <row r="3005" customFormat="false" ht="15" hidden="false" customHeight="false" outlineLevel="0" collapsed="false">
      <c r="A3005" s="14" t="s">
        <v>1050</v>
      </c>
      <c r="B3005" s="14" t="s">
        <v>1048</v>
      </c>
      <c r="C3005" s="14" t="s">
        <v>154</v>
      </c>
      <c r="D3005" s="14" t="s">
        <v>194</v>
      </c>
      <c r="E3005" s="14" t="s">
        <v>169</v>
      </c>
      <c r="F3005" s="14" t="s">
        <v>191</v>
      </c>
      <c r="G3005" s="14" t="n">
        <v>2</v>
      </c>
      <c r="H3005" s="14" t="s">
        <v>153</v>
      </c>
      <c r="I3005" s="14" t="s">
        <v>897</v>
      </c>
      <c r="J3005" s="15" t="n">
        <f aca="false">IF(B3005="SITE LOSS",IF(D3005=C3005,1,0),IF(B3005="REGION LOSS",IF(E3005=C3005,1,0),0))</f>
        <v>0</v>
      </c>
      <c r="K3005" s="15" t="n">
        <f aca="false">IF(B3005="SITE LOSS",IF(COUNTIFS('Site Dockets'!$B$7:$B$24,C3005,'Site Dockets'!$C$7:$C$24,F3005)&gt;0,1,0),IF(B3005="REGION LOSS",IF(COUNTIFS('Site Dockets'!$E$7:$E$24,C3005,'Site Dockets'!$C$7:$C$24,F3005)&gt;0,1,0),0))</f>
        <v>0</v>
      </c>
      <c r="L3005" s="15" t="n">
        <f aca="false">IF(J3005=1,0,Inputs!$B$11)</f>
        <v>100</v>
      </c>
      <c r="M3005" s="15" t="n">
        <f aca="false">IF(J3005=1,0,Inputs!$B$12)</f>
        <v>75</v>
      </c>
      <c r="N3005" s="15" t="n">
        <f aca="false">IF(J3005=1,0,IF(OR(AND(OR(B3005="SITE LOSS",B3005="REGION LOSS"),K3005=1),AND(B3005="ROLE COMPROMISE",H3005=C3005)),Inputs!$B$13,Inputs!$B$14))</f>
        <v>10</v>
      </c>
      <c r="O3005" s="15" t="n">
        <f aca="false">IF(J3005=1,0,Inputs!$B$13)</f>
        <v>20</v>
      </c>
      <c r="P3005" s="15" t="n">
        <f aca="false">SUM(M3005:N3005)</f>
        <v>85</v>
      </c>
      <c r="Q3005" s="15" t="n">
        <f aca="false">IF(J3005=1,"",L3005-P3005)</f>
        <v>15</v>
      </c>
      <c r="R3005" s="15" t="n">
        <f aca="false">IF(OR(J3005=1,M3005&lt;=Inputs!$B$12),1,0)</f>
        <v>1</v>
      </c>
      <c r="S3005" s="15" t="n">
        <f aca="false">IF(OR(J3005=1,N3005&lt;=O3005),1,0)</f>
        <v>1</v>
      </c>
      <c r="T3005" s="15" t="str">
        <f aca="false">IF(J3005=1,"OFFLINE",IF(AND(Q3005&gt;=Inputs!$B$15,R3005=1,S3005=1,P3005&lt;=L3005),"PASS","FAIL"))</f>
        <v>PASS</v>
      </c>
    </row>
    <row r="3006" customFormat="false" ht="15" hidden="false" customHeight="false" outlineLevel="0" collapsed="false">
      <c r="A3006" s="14" t="s">
        <v>1050</v>
      </c>
      <c r="B3006" s="14" t="s">
        <v>1048</v>
      </c>
      <c r="C3006" s="14" t="s">
        <v>154</v>
      </c>
      <c r="D3006" s="14" t="s">
        <v>194</v>
      </c>
      <c r="E3006" s="14" t="s">
        <v>169</v>
      </c>
      <c r="F3006" s="14" t="s">
        <v>191</v>
      </c>
      <c r="G3006" s="14" t="n">
        <v>2</v>
      </c>
      <c r="H3006" s="14" t="s">
        <v>153</v>
      </c>
      <c r="I3006" s="14" t="s">
        <v>899</v>
      </c>
      <c r="J3006" s="15" t="n">
        <f aca="false">IF(B3006="SITE LOSS",IF(D3006=C3006,1,0),IF(B3006="REGION LOSS",IF(E3006=C3006,1,0),0))</f>
        <v>0</v>
      </c>
      <c r="K3006" s="15" t="n">
        <f aca="false">IF(B3006="SITE LOSS",IF(COUNTIFS('Site Dockets'!$B$7:$B$24,C3006,'Site Dockets'!$C$7:$C$24,F3006)&gt;0,1,0),IF(B3006="REGION LOSS",IF(COUNTIFS('Site Dockets'!$E$7:$E$24,C3006,'Site Dockets'!$C$7:$C$24,F3006)&gt;0,1,0),0))</f>
        <v>0</v>
      </c>
      <c r="L3006" s="15" t="n">
        <f aca="false">IF(J3006=1,0,Inputs!$B$11)</f>
        <v>100</v>
      </c>
      <c r="M3006" s="15" t="n">
        <f aca="false">IF(J3006=1,0,Inputs!$B$12)</f>
        <v>75</v>
      </c>
      <c r="N3006" s="15" t="n">
        <f aca="false">IF(J3006=1,0,IF(OR(AND(OR(B3006="SITE LOSS",B3006="REGION LOSS"),K3006=1),AND(B3006="ROLE COMPROMISE",H3006=C3006)),Inputs!$B$13,Inputs!$B$14))</f>
        <v>10</v>
      </c>
      <c r="O3006" s="15" t="n">
        <f aca="false">IF(J3006=1,0,Inputs!$B$13)</f>
        <v>20</v>
      </c>
      <c r="P3006" s="15" t="n">
        <f aca="false">SUM(M3006:N3006)</f>
        <v>85</v>
      </c>
      <c r="Q3006" s="15" t="n">
        <f aca="false">IF(J3006=1,"",L3006-P3006)</f>
        <v>15</v>
      </c>
      <c r="R3006" s="15" t="n">
        <f aca="false">IF(OR(J3006=1,M3006&lt;=Inputs!$B$12),1,0)</f>
        <v>1</v>
      </c>
      <c r="S3006" s="15" t="n">
        <f aca="false">IF(OR(J3006=1,N3006&lt;=O3006),1,0)</f>
        <v>1</v>
      </c>
      <c r="T3006" s="15" t="str">
        <f aca="false">IF(J3006=1,"OFFLINE",IF(AND(Q3006&gt;=Inputs!$B$15,R3006=1,S3006=1,P3006&lt;=L3006),"PASS","FAIL"))</f>
        <v>PASS</v>
      </c>
    </row>
    <row r="3007" customFormat="false" ht="15" hidden="false" customHeight="false" outlineLevel="0" collapsed="false">
      <c r="A3007" s="14" t="s">
        <v>1050</v>
      </c>
      <c r="B3007" s="14" t="s">
        <v>1048</v>
      </c>
      <c r="C3007" s="14" t="s">
        <v>154</v>
      </c>
      <c r="D3007" s="14" t="s">
        <v>196</v>
      </c>
      <c r="E3007" s="14" t="s">
        <v>172</v>
      </c>
      <c r="F3007" s="14" t="s">
        <v>191</v>
      </c>
      <c r="G3007" s="14" t="n">
        <v>3</v>
      </c>
      <c r="H3007" s="14" t="s">
        <v>158</v>
      </c>
      <c r="I3007" s="14" t="s">
        <v>890</v>
      </c>
      <c r="J3007" s="15" t="n">
        <f aca="false">IF(B3007="SITE LOSS",IF(D3007=C3007,1,0),IF(B3007="REGION LOSS",IF(E3007=C3007,1,0),0))</f>
        <v>0</v>
      </c>
      <c r="K3007" s="15" t="n">
        <f aca="false">IF(B3007="SITE LOSS",IF(COUNTIFS('Site Dockets'!$B$7:$B$24,C3007,'Site Dockets'!$C$7:$C$24,F3007)&gt;0,1,0),IF(B3007="REGION LOSS",IF(COUNTIFS('Site Dockets'!$E$7:$E$24,C3007,'Site Dockets'!$C$7:$C$24,F3007)&gt;0,1,0),0))</f>
        <v>0</v>
      </c>
      <c r="L3007" s="15" t="n">
        <f aca="false">IF(J3007=1,0,Inputs!$B$11)</f>
        <v>100</v>
      </c>
      <c r="M3007" s="15" t="n">
        <f aca="false">IF(J3007=1,0,Inputs!$B$12)</f>
        <v>75</v>
      </c>
      <c r="N3007" s="15" t="n">
        <f aca="false">IF(J3007=1,0,IF(OR(AND(OR(B3007="SITE LOSS",B3007="REGION LOSS"),K3007=1),AND(B3007="ROLE COMPROMISE",H3007=C3007)),Inputs!$B$13,Inputs!$B$14))</f>
        <v>10</v>
      </c>
      <c r="O3007" s="15" t="n">
        <f aca="false">IF(J3007=1,0,Inputs!$B$13)</f>
        <v>20</v>
      </c>
      <c r="P3007" s="15" t="n">
        <f aca="false">SUM(M3007:N3007)</f>
        <v>85</v>
      </c>
      <c r="Q3007" s="15" t="n">
        <f aca="false">IF(J3007=1,"",L3007-P3007)</f>
        <v>15</v>
      </c>
      <c r="R3007" s="15" t="n">
        <f aca="false">IF(OR(J3007=1,M3007&lt;=Inputs!$B$12),1,0)</f>
        <v>1</v>
      </c>
      <c r="S3007" s="15" t="n">
        <f aca="false">IF(OR(J3007=1,N3007&lt;=O3007),1,0)</f>
        <v>1</v>
      </c>
      <c r="T3007" s="15" t="str">
        <f aca="false">IF(J3007=1,"OFFLINE",IF(AND(Q3007&gt;=Inputs!$B$15,R3007=1,S3007=1,P3007&lt;=L3007),"PASS","FAIL"))</f>
        <v>PASS</v>
      </c>
    </row>
    <row r="3008" customFormat="false" ht="15" hidden="false" customHeight="false" outlineLevel="0" collapsed="false">
      <c r="A3008" s="14" t="s">
        <v>1050</v>
      </c>
      <c r="B3008" s="14" t="s">
        <v>1048</v>
      </c>
      <c r="C3008" s="14" t="s">
        <v>154</v>
      </c>
      <c r="D3008" s="14" t="s">
        <v>196</v>
      </c>
      <c r="E3008" s="14" t="s">
        <v>172</v>
      </c>
      <c r="F3008" s="14" t="s">
        <v>191</v>
      </c>
      <c r="G3008" s="14" t="n">
        <v>3</v>
      </c>
      <c r="H3008" s="14" t="s">
        <v>158</v>
      </c>
      <c r="I3008" s="14" t="s">
        <v>892</v>
      </c>
      <c r="J3008" s="15" t="n">
        <f aca="false">IF(B3008="SITE LOSS",IF(D3008=C3008,1,0),IF(B3008="REGION LOSS",IF(E3008=C3008,1,0),0))</f>
        <v>0</v>
      </c>
      <c r="K3008" s="15" t="n">
        <f aca="false">IF(B3008="SITE LOSS",IF(COUNTIFS('Site Dockets'!$B$7:$B$24,C3008,'Site Dockets'!$C$7:$C$24,F3008)&gt;0,1,0),IF(B3008="REGION LOSS",IF(COUNTIFS('Site Dockets'!$E$7:$E$24,C3008,'Site Dockets'!$C$7:$C$24,F3008)&gt;0,1,0),0))</f>
        <v>0</v>
      </c>
      <c r="L3008" s="15" t="n">
        <f aca="false">IF(J3008=1,0,Inputs!$B$11)</f>
        <v>100</v>
      </c>
      <c r="M3008" s="15" t="n">
        <f aca="false">IF(J3008=1,0,Inputs!$B$12)</f>
        <v>75</v>
      </c>
      <c r="N3008" s="15" t="n">
        <f aca="false">IF(J3008=1,0,IF(OR(AND(OR(B3008="SITE LOSS",B3008="REGION LOSS"),K3008=1),AND(B3008="ROLE COMPROMISE",H3008=C3008)),Inputs!$B$13,Inputs!$B$14))</f>
        <v>10</v>
      </c>
      <c r="O3008" s="15" t="n">
        <f aca="false">IF(J3008=1,0,Inputs!$B$13)</f>
        <v>20</v>
      </c>
      <c r="P3008" s="15" t="n">
        <f aca="false">SUM(M3008:N3008)</f>
        <v>85</v>
      </c>
      <c r="Q3008" s="15" t="n">
        <f aca="false">IF(J3008=1,"",L3008-P3008)</f>
        <v>15</v>
      </c>
      <c r="R3008" s="15" t="n">
        <f aca="false">IF(OR(J3008=1,M3008&lt;=Inputs!$B$12),1,0)</f>
        <v>1</v>
      </c>
      <c r="S3008" s="15" t="n">
        <f aca="false">IF(OR(J3008=1,N3008&lt;=O3008),1,0)</f>
        <v>1</v>
      </c>
      <c r="T3008" s="15" t="str">
        <f aca="false">IF(J3008=1,"OFFLINE",IF(AND(Q3008&gt;=Inputs!$B$15,R3008=1,S3008=1,P3008&lt;=L3008),"PASS","FAIL"))</f>
        <v>PASS</v>
      </c>
    </row>
    <row r="3009" customFormat="false" ht="15" hidden="false" customHeight="false" outlineLevel="0" collapsed="false">
      <c r="A3009" s="14" t="s">
        <v>1050</v>
      </c>
      <c r="B3009" s="14" t="s">
        <v>1048</v>
      </c>
      <c r="C3009" s="14" t="s">
        <v>154</v>
      </c>
      <c r="D3009" s="14" t="s">
        <v>196</v>
      </c>
      <c r="E3009" s="14" t="s">
        <v>172</v>
      </c>
      <c r="F3009" s="14" t="s">
        <v>191</v>
      </c>
      <c r="G3009" s="14" t="n">
        <v>3</v>
      </c>
      <c r="H3009" s="14" t="s">
        <v>158</v>
      </c>
      <c r="I3009" s="14" t="s">
        <v>811</v>
      </c>
      <c r="J3009" s="15" t="n">
        <f aca="false">IF(B3009="SITE LOSS",IF(D3009=C3009,1,0),IF(B3009="REGION LOSS",IF(E3009=C3009,1,0),0))</f>
        <v>0</v>
      </c>
      <c r="K3009" s="15" t="n">
        <f aca="false">IF(B3009="SITE LOSS",IF(COUNTIFS('Site Dockets'!$B$7:$B$24,C3009,'Site Dockets'!$C$7:$C$24,F3009)&gt;0,1,0),IF(B3009="REGION LOSS",IF(COUNTIFS('Site Dockets'!$E$7:$E$24,C3009,'Site Dockets'!$C$7:$C$24,F3009)&gt;0,1,0),0))</f>
        <v>0</v>
      </c>
      <c r="L3009" s="15" t="n">
        <f aca="false">IF(J3009=1,0,Inputs!$B$11)</f>
        <v>100</v>
      </c>
      <c r="M3009" s="15" t="n">
        <f aca="false">IF(J3009=1,0,Inputs!$B$12)</f>
        <v>75</v>
      </c>
      <c r="N3009" s="15" t="n">
        <f aca="false">IF(J3009=1,0,IF(OR(AND(OR(B3009="SITE LOSS",B3009="REGION LOSS"),K3009=1),AND(B3009="ROLE COMPROMISE",H3009=C3009)),Inputs!$B$13,Inputs!$B$14))</f>
        <v>10</v>
      </c>
      <c r="O3009" s="15" t="n">
        <f aca="false">IF(J3009=1,0,Inputs!$B$13)</f>
        <v>20</v>
      </c>
      <c r="P3009" s="15" t="n">
        <f aca="false">SUM(M3009:N3009)</f>
        <v>85</v>
      </c>
      <c r="Q3009" s="15" t="n">
        <f aca="false">IF(J3009=1,"",L3009-P3009)</f>
        <v>15</v>
      </c>
      <c r="R3009" s="15" t="n">
        <f aca="false">IF(OR(J3009=1,M3009&lt;=Inputs!$B$12),1,0)</f>
        <v>1</v>
      </c>
      <c r="S3009" s="15" t="n">
        <f aca="false">IF(OR(J3009=1,N3009&lt;=O3009),1,0)</f>
        <v>1</v>
      </c>
      <c r="T3009" s="15" t="str">
        <f aca="false">IF(J3009=1,"OFFLINE",IF(AND(Q3009&gt;=Inputs!$B$15,R3009=1,S3009=1,P3009&lt;=L3009),"PASS","FAIL"))</f>
        <v>PASS</v>
      </c>
    </row>
    <row r="3010" customFormat="false" ht="15" hidden="false" customHeight="false" outlineLevel="0" collapsed="false">
      <c r="A3010" s="14" t="s">
        <v>1050</v>
      </c>
      <c r="B3010" s="14" t="s">
        <v>1048</v>
      </c>
      <c r="C3010" s="14" t="s">
        <v>154</v>
      </c>
      <c r="D3010" s="14" t="s">
        <v>196</v>
      </c>
      <c r="E3010" s="14" t="s">
        <v>172</v>
      </c>
      <c r="F3010" s="14" t="s">
        <v>191</v>
      </c>
      <c r="G3010" s="14" t="n">
        <v>3</v>
      </c>
      <c r="H3010" s="14" t="s">
        <v>158</v>
      </c>
      <c r="I3010" s="14" t="s">
        <v>895</v>
      </c>
      <c r="J3010" s="15" t="n">
        <f aca="false">IF(B3010="SITE LOSS",IF(D3010=C3010,1,0),IF(B3010="REGION LOSS",IF(E3010=C3010,1,0),0))</f>
        <v>0</v>
      </c>
      <c r="K3010" s="15" t="n">
        <f aca="false">IF(B3010="SITE LOSS",IF(COUNTIFS('Site Dockets'!$B$7:$B$24,C3010,'Site Dockets'!$C$7:$C$24,F3010)&gt;0,1,0),IF(B3010="REGION LOSS",IF(COUNTIFS('Site Dockets'!$E$7:$E$24,C3010,'Site Dockets'!$C$7:$C$24,F3010)&gt;0,1,0),0))</f>
        <v>0</v>
      </c>
      <c r="L3010" s="15" t="n">
        <f aca="false">IF(J3010=1,0,Inputs!$B$11)</f>
        <v>100</v>
      </c>
      <c r="M3010" s="15" t="n">
        <f aca="false">IF(J3010=1,0,Inputs!$B$12)</f>
        <v>75</v>
      </c>
      <c r="N3010" s="15" t="n">
        <f aca="false">IF(J3010=1,0,IF(OR(AND(OR(B3010="SITE LOSS",B3010="REGION LOSS"),K3010=1),AND(B3010="ROLE COMPROMISE",H3010=C3010)),Inputs!$B$13,Inputs!$B$14))</f>
        <v>10</v>
      </c>
      <c r="O3010" s="15" t="n">
        <f aca="false">IF(J3010=1,0,Inputs!$B$13)</f>
        <v>20</v>
      </c>
      <c r="P3010" s="15" t="n">
        <f aca="false">SUM(M3010:N3010)</f>
        <v>85</v>
      </c>
      <c r="Q3010" s="15" t="n">
        <f aca="false">IF(J3010=1,"",L3010-P3010)</f>
        <v>15</v>
      </c>
      <c r="R3010" s="15" t="n">
        <f aca="false">IF(OR(J3010=1,M3010&lt;=Inputs!$B$12),1,0)</f>
        <v>1</v>
      </c>
      <c r="S3010" s="15" t="n">
        <f aca="false">IF(OR(J3010=1,N3010&lt;=O3010),1,0)</f>
        <v>1</v>
      </c>
      <c r="T3010" s="15" t="str">
        <f aca="false">IF(J3010=1,"OFFLINE",IF(AND(Q3010&gt;=Inputs!$B$15,R3010=1,S3010=1,P3010&lt;=L3010),"PASS","FAIL"))</f>
        <v>PASS</v>
      </c>
    </row>
    <row r="3011" customFormat="false" ht="15" hidden="false" customHeight="false" outlineLevel="0" collapsed="false">
      <c r="A3011" s="14" t="s">
        <v>1050</v>
      </c>
      <c r="B3011" s="14" t="s">
        <v>1048</v>
      </c>
      <c r="C3011" s="14" t="s">
        <v>154</v>
      </c>
      <c r="D3011" s="14" t="s">
        <v>196</v>
      </c>
      <c r="E3011" s="14" t="s">
        <v>172</v>
      </c>
      <c r="F3011" s="14" t="s">
        <v>191</v>
      </c>
      <c r="G3011" s="14" t="n">
        <v>3</v>
      </c>
      <c r="H3011" s="14" t="s">
        <v>158</v>
      </c>
      <c r="I3011" s="14" t="s">
        <v>897</v>
      </c>
      <c r="J3011" s="15" t="n">
        <f aca="false">IF(B3011="SITE LOSS",IF(D3011=C3011,1,0),IF(B3011="REGION LOSS",IF(E3011=C3011,1,0),0))</f>
        <v>0</v>
      </c>
      <c r="K3011" s="15" t="n">
        <f aca="false">IF(B3011="SITE LOSS",IF(COUNTIFS('Site Dockets'!$B$7:$B$24,C3011,'Site Dockets'!$C$7:$C$24,F3011)&gt;0,1,0),IF(B3011="REGION LOSS",IF(COUNTIFS('Site Dockets'!$E$7:$E$24,C3011,'Site Dockets'!$C$7:$C$24,F3011)&gt;0,1,0),0))</f>
        <v>0</v>
      </c>
      <c r="L3011" s="15" t="n">
        <f aca="false">IF(J3011=1,0,Inputs!$B$11)</f>
        <v>100</v>
      </c>
      <c r="M3011" s="15" t="n">
        <f aca="false">IF(J3011=1,0,Inputs!$B$12)</f>
        <v>75</v>
      </c>
      <c r="N3011" s="15" t="n">
        <f aca="false">IF(J3011=1,0,IF(OR(AND(OR(B3011="SITE LOSS",B3011="REGION LOSS"),K3011=1),AND(B3011="ROLE COMPROMISE",H3011=C3011)),Inputs!$B$13,Inputs!$B$14))</f>
        <v>10</v>
      </c>
      <c r="O3011" s="15" t="n">
        <f aca="false">IF(J3011=1,0,Inputs!$B$13)</f>
        <v>20</v>
      </c>
      <c r="P3011" s="15" t="n">
        <f aca="false">SUM(M3011:N3011)</f>
        <v>85</v>
      </c>
      <c r="Q3011" s="15" t="n">
        <f aca="false">IF(J3011=1,"",L3011-P3011)</f>
        <v>15</v>
      </c>
      <c r="R3011" s="15" t="n">
        <f aca="false">IF(OR(J3011=1,M3011&lt;=Inputs!$B$12),1,0)</f>
        <v>1</v>
      </c>
      <c r="S3011" s="15" t="n">
        <f aca="false">IF(OR(J3011=1,N3011&lt;=O3011),1,0)</f>
        <v>1</v>
      </c>
      <c r="T3011" s="15" t="str">
        <f aca="false">IF(J3011=1,"OFFLINE",IF(AND(Q3011&gt;=Inputs!$B$15,R3011=1,S3011=1,P3011&lt;=L3011),"PASS","FAIL"))</f>
        <v>PASS</v>
      </c>
    </row>
    <row r="3012" customFormat="false" ht="15" hidden="false" customHeight="false" outlineLevel="0" collapsed="false">
      <c r="A3012" s="14" t="s">
        <v>1050</v>
      </c>
      <c r="B3012" s="14" t="s">
        <v>1048</v>
      </c>
      <c r="C3012" s="14" t="s">
        <v>154</v>
      </c>
      <c r="D3012" s="14" t="s">
        <v>196</v>
      </c>
      <c r="E3012" s="14" t="s">
        <v>172</v>
      </c>
      <c r="F3012" s="14" t="s">
        <v>191</v>
      </c>
      <c r="G3012" s="14" t="n">
        <v>3</v>
      </c>
      <c r="H3012" s="14" t="s">
        <v>158</v>
      </c>
      <c r="I3012" s="14" t="s">
        <v>899</v>
      </c>
      <c r="J3012" s="15" t="n">
        <f aca="false">IF(B3012="SITE LOSS",IF(D3012=C3012,1,0),IF(B3012="REGION LOSS",IF(E3012=C3012,1,0),0))</f>
        <v>0</v>
      </c>
      <c r="K3012" s="15" t="n">
        <f aca="false">IF(B3012="SITE LOSS",IF(COUNTIFS('Site Dockets'!$B$7:$B$24,C3012,'Site Dockets'!$C$7:$C$24,F3012)&gt;0,1,0),IF(B3012="REGION LOSS",IF(COUNTIFS('Site Dockets'!$E$7:$E$24,C3012,'Site Dockets'!$C$7:$C$24,F3012)&gt;0,1,0),0))</f>
        <v>0</v>
      </c>
      <c r="L3012" s="15" t="n">
        <f aca="false">IF(J3012=1,0,Inputs!$B$11)</f>
        <v>100</v>
      </c>
      <c r="M3012" s="15" t="n">
        <f aca="false">IF(J3012=1,0,Inputs!$B$12)</f>
        <v>75</v>
      </c>
      <c r="N3012" s="15" t="n">
        <f aca="false">IF(J3012=1,0,IF(OR(AND(OR(B3012="SITE LOSS",B3012="REGION LOSS"),K3012=1),AND(B3012="ROLE COMPROMISE",H3012=C3012)),Inputs!$B$13,Inputs!$B$14))</f>
        <v>10</v>
      </c>
      <c r="O3012" s="15" t="n">
        <f aca="false">IF(J3012=1,0,Inputs!$B$13)</f>
        <v>20</v>
      </c>
      <c r="P3012" s="15" t="n">
        <f aca="false">SUM(M3012:N3012)</f>
        <v>85</v>
      </c>
      <c r="Q3012" s="15" t="n">
        <f aca="false">IF(J3012=1,"",L3012-P3012)</f>
        <v>15</v>
      </c>
      <c r="R3012" s="15" t="n">
        <f aca="false">IF(OR(J3012=1,M3012&lt;=Inputs!$B$12),1,0)</f>
        <v>1</v>
      </c>
      <c r="S3012" s="15" t="n">
        <f aca="false">IF(OR(J3012=1,N3012&lt;=O3012),1,0)</f>
        <v>1</v>
      </c>
      <c r="T3012" s="15" t="str">
        <f aca="false">IF(J3012=1,"OFFLINE",IF(AND(Q3012&gt;=Inputs!$B$15,R3012=1,S3012=1,P3012&lt;=L3012),"PASS","FAIL"))</f>
        <v>PASS</v>
      </c>
    </row>
    <row r="3013" customFormat="false" ht="15" hidden="false" customHeight="false" outlineLevel="0" collapsed="false">
      <c r="A3013" s="14" t="s">
        <v>1050</v>
      </c>
      <c r="B3013" s="14" t="s">
        <v>1048</v>
      </c>
      <c r="C3013" s="14" t="s">
        <v>154</v>
      </c>
      <c r="D3013" s="14" t="s">
        <v>198</v>
      </c>
      <c r="E3013" s="14" t="s">
        <v>166</v>
      </c>
      <c r="F3013" s="14" t="s">
        <v>199</v>
      </c>
      <c r="G3013" s="14" t="n">
        <v>1</v>
      </c>
      <c r="H3013" s="14" t="s">
        <v>154</v>
      </c>
      <c r="I3013" s="14" t="s">
        <v>890</v>
      </c>
      <c r="J3013" s="15" t="n">
        <f aca="false">IF(B3013="SITE LOSS",IF(D3013=C3013,1,0),IF(B3013="REGION LOSS",IF(E3013=C3013,1,0),0))</f>
        <v>0</v>
      </c>
      <c r="K3013" s="15" t="n">
        <f aca="false">IF(B3013="SITE LOSS",IF(COUNTIFS('Site Dockets'!$B$7:$B$24,C3013,'Site Dockets'!$C$7:$C$24,F3013)&gt;0,1,0),IF(B3013="REGION LOSS",IF(COUNTIFS('Site Dockets'!$E$7:$E$24,C3013,'Site Dockets'!$C$7:$C$24,F3013)&gt;0,1,0),0))</f>
        <v>0</v>
      </c>
      <c r="L3013" s="15" t="n">
        <f aca="false">IF(J3013=1,0,Inputs!$B$11)</f>
        <v>100</v>
      </c>
      <c r="M3013" s="15" t="n">
        <f aca="false">IF(J3013=1,0,Inputs!$B$12)</f>
        <v>75</v>
      </c>
      <c r="N3013" s="15" t="n">
        <f aca="false">IF(J3013=1,0,IF(OR(AND(OR(B3013="SITE LOSS",B3013="REGION LOSS"),K3013=1),AND(B3013="ROLE COMPROMISE",H3013=C3013)),Inputs!$B$13,Inputs!$B$14))</f>
        <v>20</v>
      </c>
      <c r="O3013" s="15" t="n">
        <f aca="false">IF(J3013=1,0,Inputs!$B$13)</f>
        <v>20</v>
      </c>
      <c r="P3013" s="15" t="n">
        <f aca="false">SUM(M3013:N3013)</f>
        <v>95</v>
      </c>
      <c r="Q3013" s="15" t="n">
        <f aca="false">IF(J3013=1,"",L3013-P3013)</f>
        <v>5</v>
      </c>
      <c r="R3013" s="15" t="n">
        <f aca="false">IF(OR(J3013=1,M3013&lt;=Inputs!$B$12),1,0)</f>
        <v>1</v>
      </c>
      <c r="S3013" s="15" t="n">
        <f aca="false">IF(OR(J3013=1,N3013&lt;=O3013),1,0)</f>
        <v>1</v>
      </c>
      <c r="T3013" s="15" t="str">
        <f aca="false">IF(J3013=1,"OFFLINE",IF(AND(Q3013&gt;=Inputs!$B$15,R3013=1,S3013=1,P3013&lt;=L3013),"PASS","FAIL"))</f>
        <v>PASS</v>
      </c>
    </row>
    <row r="3014" customFormat="false" ht="15" hidden="false" customHeight="false" outlineLevel="0" collapsed="false">
      <c r="A3014" s="14" t="s">
        <v>1050</v>
      </c>
      <c r="B3014" s="14" t="s">
        <v>1048</v>
      </c>
      <c r="C3014" s="14" t="s">
        <v>154</v>
      </c>
      <c r="D3014" s="14" t="s">
        <v>198</v>
      </c>
      <c r="E3014" s="14" t="s">
        <v>166</v>
      </c>
      <c r="F3014" s="14" t="s">
        <v>199</v>
      </c>
      <c r="G3014" s="14" t="n">
        <v>1</v>
      </c>
      <c r="H3014" s="14" t="s">
        <v>154</v>
      </c>
      <c r="I3014" s="14" t="s">
        <v>892</v>
      </c>
      <c r="J3014" s="15" t="n">
        <f aca="false">IF(B3014="SITE LOSS",IF(D3014=C3014,1,0),IF(B3014="REGION LOSS",IF(E3014=C3014,1,0),0))</f>
        <v>0</v>
      </c>
      <c r="K3014" s="15" t="n">
        <f aca="false">IF(B3014="SITE LOSS",IF(COUNTIFS('Site Dockets'!$B$7:$B$24,C3014,'Site Dockets'!$C$7:$C$24,F3014)&gt;0,1,0),IF(B3014="REGION LOSS",IF(COUNTIFS('Site Dockets'!$E$7:$E$24,C3014,'Site Dockets'!$C$7:$C$24,F3014)&gt;0,1,0),0))</f>
        <v>0</v>
      </c>
      <c r="L3014" s="15" t="n">
        <f aca="false">IF(J3014=1,0,Inputs!$B$11)</f>
        <v>100</v>
      </c>
      <c r="M3014" s="15" t="n">
        <f aca="false">IF(J3014=1,0,Inputs!$B$12)</f>
        <v>75</v>
      </c>
      <c r="N3014" s="15" t="n">
        <f aca="false">IF(J3014=1,0,IF(OR(AND(OR(B3014="SITE LOSS",B3014="REGION LOSS"),K3014=1),AND(B3014="ROLE COMPROMISE",H3014=C3014)),Inputs!$B$13,Inputs!$B$14))</f>
        <v>20</v>
      </c>
      <c r="O3014" s="15" t="n">
        <f aca="false">IF(J3014=1,0,Inputs!$B$13)</f>
        <v>20</v>
      </c>
      <c r="P3014" s="15" t="n">
        <f aca="false">SUM(M3014:N3014)</f>
        <v>95</v>
      </c>
      <c r="Q3014" s="15" t="n">
        <f aca="false">IF(J3014=1,"",L3014-P3014)</f>
        <v>5</v>
      </c>
      <c r="R3014" s="15" t="n">
        <f aca="false">IF(OR(J3014=1,M3014&lt;=Inputs!$B$12),1,0)</f>
        <v>1</v>
      </c>
      <c r="S3014" s="15" t="n">
        <f aca="false">IF(OR(J3014=1,N3014&lt;=O3014),1,0)</f>
        <v>1</v>
      </c>
      <c r="T3014" s="15" t="str">
        <f aca="false">IF(J3014=1,"OFFLINE",IF(AND(Q3014&gt;=Inputs!$B$15,R3014=1,S3014=1,P3014&lt;=L3014),"PASS","FAIL"))</f>
        <v>PASS</v>
      </c>
    </row>
    <row r="3015" customFormat="false" ht="15" hidden="false" customHeight="false" outlineLevel="0" collapsed="false">
      <c r="A3015" s="14" t="s">
        <v>1050</v>
      </c>
      <c r="B3015" s="14" t="s">
        <v>1048</v>
      </c>
      <c r="C3015" s="14" t="s">
        <v>154</v>
      </c>
      <c r="D3015" s="14" t="s">
        <v>198</v>
      </c>
      <c r="E3015" s="14" t="s">
        <v>166</v>
      </c>
      <c r="F3015" s="14" t="s">
        <v>199</v>
      </c>
      <c r="G3015" s="14" t="n">
        <v>1</v>
      </c>
      <c r="H3015" s="14" t="s">
        <v>154</v>
      </c>
      <c r="I3015" s="14" t="s">
        <v>811</v>
      </c>
      <c r="J3015" s="15" t="n">
        <f aca="false">IF(B3015="SITE LOSS",IF(D3015=C3015,1,0),IF(B3015="REGION LOSS",IF(E3015=C3015,1,0),0))</f>
        <v>0</v>
      </c>
      <c r="K3015" s="15" t="n">
        <f aca="false">IF(B3015="SITE LOSS",IF(COUNTIFS('Site Dockets'!$B$7:$B$24,C3015,'Site Dockets'!$C$7:$C$24,F3015)&gt;0,1,0),IF(B3015="REGION LOSS",IF(COUNTIFS('Site Dockets'!$E$7:$E$24,C3015,'Site Dockets'!$C$7:$C$24,F3015)&gt;0,1,0),0))</f>
        <v>0</v>
      </c>
      <c r="L3015" s="15" t="n">
        <f aca="false">IF(J3015=1,0,Inputs!$B$11)</f>
        <v>100</v>
      </c>
      <c r="M3015" s="15" t="n">
        <f aca="false">IF(J3015=1,0,Inputs!$B$12)</f>
        <v>75</v>
      </c>
      <c r="N3015" s="15" t="n">
        <f aca="false">IF(J3015=1,0,IF(OR(AND(OR(B3015="SITE LOSS",B3015="REGION LOSS"),K3015=1),AND(B3015="ROLE COMPROMISE",H3015=C3015)),Inputs!$B$13,Inputs!$B$14))</f>
        <v>20</v>
      </c>
      <c r="O3015" s="15" t="n">
        <f aca="false">IF(J3015=1,0,Inputs!$B$13)</f>
        <v>20</v>
      </c>
      <c r="P3015" s="15" t="n">
        <f aca="false">SUM(M3015:N3015)</f>
        <v>95</v>
      </c>
      <c r="Q3015" s="15" t="n">
        <f aca="false">IF(J3015=1,"",L3015-P3015)</f>
        <v>5</v>
      </c>
      <c r="R3015" s="15" t="n">
        <f aca="false">IF(OR(J3015=1,M3015&lt;=Inputs!$B$12),1,0)</f>
        <v>1</v>
      </c>
      <c r="S3015" s="15" t="n">
        <f aca="false">IF(OR(J3015=1,N3015&lt;=O3015),1,0)</f>
        <v>1</v>
      </c>
      <c r="T3015" s="15" t="str">
        <f aca="false">IF(J3015=1,"OFFLINE",IF(AND(Q3015&gt;=Inputs!$B$15,R3015=1,S3015=1,P3015&lt;=L3015),"PASS","FAIL"))</f>
        <v>PASS</v>
      </c>
    </row>
    <row r="3016" customFormat="false" ht="15" hidden="false" customHeight="false" outlineLevel="0" collapsed="false">
      <c r="A3016" s="14" t="s">
        <v>1050</v>
      </c>
      <c r="B3016" s="14" t="s">
        <v>1048</v>
      </c>
      <c r="C3016" s="14" t="s">
        <v>154</v>
      </c>
      <c r="D3016" s="14" t="s">
        <v>198</v>
      </c>
      <c r="E3016" s="14" t="s">
        <v>166</v>
      </c>
      <c r="F3016" s="14" t="s">
        <v>199</v>
      </c>
      <c r="G3016" s="14" t="n">
        <v>1</v>
      </c>
      <c r="H3016" s="14" t="s">
        <v>154</v>
      </c>
      <c r="I3016" s="14" t="s">
        <v>895</v>
      </c>
      <c r="J3016" s="15" t="n">
        <f aca="false">IF(B3016="SITE LOSS",IF(D3016=C3016,1,0),IF(B3016="REGION LOSS",IF(E3016=C3016,1,0),0))</f>
        <v>0</v>
      </c>
      <c r="K3016" s="15" t="n">
        <f aca="false">IF(B3016="SITE LOSS",IF(COUNTIFS('Site Dockets'!$B$7:$B$24,C3016,'Site Dockets'!$C$7:$C$24,F3016)&gt;0,1,0),IF(B3016="REGION LOSS",IF(COUNTIFS('Site Dockets'!$E$7:$E$24,C3016,'Site Dockets'!$C$7:$C$24,F3016)&gt;0,1,0),0))</f>
        <v>0</v>
      </c>
      <c r="L3016" s="15" t="n">
        <f aca="false">IF(J3016=1,0,Inputs!$B$11)</f>
        <v>100</v>
      </c>
      <c r="M3016" s="15" t="n">
        <f aca="false">IF(J3016=1,0,Inputs!$B$12)</f>
        <v>75</v>
      </c>
      <c r="N3016" s="15" t="n">
        <f aca="false">IF(J3016=1,0,IF(OR(AND(OR(B3016="SITE LOSS",B3016="REGION LOSS"),K3016=1),AND(B3016="ROLE COMPROMISE",H3016=C3016)),Inputs!$B$13,Inputs!$B$14))</f>
        <v>20</v>
      </c>
      <c r="O3016" s="15" t="n">
        <f aca="false">IF(J3016=1,0,Inputs!$B$13)</f>
        <v>20</v>
      </c>
      <c r="P3016" s="15" t="n">
        <f aca="false">SUM(M3016:N3016)</f>
        <v>95</v>
      </c>
      <c r="Q3016" s="15" t="n">
        <f aca="false">IF(J3016=1,"",L3016-P3016)</f>
        <v>5</v>
      </c>
      <c r="R3016" s="15" t="n">
        <f aca="false">IF(OR(J3016=1,M3016&lt;=Inputs!$B$12),1,0)</f>
        <v>1</v>
      </c>
      <c r="S3016" s="15" t="n">
        <f aca="false">IF(OR(J3016=1,N3016&lt;=O3016),1,0)</f>
        <v>1</v>
      </c>
      <c r="T3016" s="15" t="str">
        <f aca="false">IF(J3016=1,"OFFLINE",IF(AND(Q3016&gt;=Inputs!$B$15,R3016=1,S3016=1,P3016&lt;=L3016),"PASS","FAIL"))</f>
        <v>PASS</v>
      </c>
    </row>
    <row r="3017" customFormat="false" ht="15" hidden="false" customHeight="false" outlineLevel="0" collapsed="false">
      <c r="A3017" s="14" t="s">
        <v>1050</v>
      </c>
      <c r="B3017" s="14" t="s">
        <v>1048</v>
      </c>
      <c r="C3017" s="14" t="s">
        <v>154</v>
      </c>
      <c r="D3017" s="14" t="s">
        <v>198</v>
      </c>
      <c r="E3017" s="14" t="s">
        <v>166</v>
      </c>
      <c r="F3017" s="14" t="s">
        <v>199</v>
      </c>
      <c r="G3017" s="14" t="n">
        <v>1</v>
      </c>
      <c r="H3017" s="14" t="s">
        <v>154</v>
      </c>
      <c r="I3017" s="14" t="s">
        <v>897</v>
      </c>
      <c r="J3017" s="15" t="n">
        <f aca="false">IF(B3017="SITE LOSS",IF(D3017=C3017,1,0),IF(B3017="REGION LOSS",IF(E3017=C3017,1,0),0))</f>
        <v>0</v>
      </c>
      <c r="K3017" s="15" t="n">
        <f aca="false">IF(B3017="SITE LOSS",IF(COUNTIFS('Site Dockets'!$B$7:$B$24,C3017,'Site Dockets'!$C$7:$C$24,F3017)&gt;0,1,0),IF(B3017="REGION LOSS",IF(COUNTIFS('Site Dockets'!$E$7:$E$24,C3017,'Site Dockets'!$C$7:$C$24,F3017)&gt;0,1,0),0))</f>
        <v>0</v>
      </c>
      <c r="L3017" s="15" t="n">
        <f aca="false">IF(J3017=1,0,Inputs!$B$11)</f>
        <v>100</v>
      </c>
      <c r="M3017" s="15" t="n">
        <f aca="false">IF(J3017=1,0,Inputs!$B$12)</f>
        <v>75</v>
      </c>
      <c r="N3017" s="15" t="n">
        <f aca="false">IF(J3017=1,0,IF(OR(AND(OR(B3017="SITE LOSS",B3017="REGION LOSS"),K3017=1),AND(B3017="ROLE COMPROMISE",H3017=C3017)),Inputs!$B$13,Inputs!$B$14))</f>
        <v>20</v>
      </c>
      <c r="O3017" s="15" t="n">
        <f aca="false">IF(J3017=1,0,Inputs!$B$13)</f>
        <v>20</v>
      </c>
      <c r="P3017" s="15" t="n">
        <f aca="false">SUM(M3017:N3017)</f>
        <v>95</v>
      </c>
      <c r="Q3017" s="15" t="n">
        <f aca="false">IF(J3017=1,"",L3017-P3017)</f>
        <v>5</v>
      </c>
      <c r="R3017" s="15" t="n">
        <f aca="false">IF(OR(J3017=1,M3017&lt;=Inputs!$B$12),1,0)</f>
        <v>1</v>
      </c>
      <c r="S3017" s="15" t="n">
        <f aca="false">IF(OR(J3017=1,N3017&lt;=O3017),1,0)</f>
        <v>1</v>
      </c>
      <c r="T3017" s="15" t="str">
        <f aca="false">IF(J3017=1,"OFFLINE",IF(AND(Q3017&gt;=Inputs!$B$15,R3017=1,S3017=1,P3017&lt;=L3017),"PASS","FAIL"))</f>
        <v>PASS</v>
      </c>
    </row>
    <row r="3018" customFormat="false" ht="15" hidden="false" customHeight="false" outlineLevel="0" collapsed="false">
      <c r="A3018" s="14" t="s">
        <v>1050</v>
      </c>
      <c r="B3018" s="14" t="s">
        <v>1048</v>
      </c>
      <c r="C3018" s="14" t="s">
        <v>154</v>
      </c>
      <c r="D3018" s="14" t="s">
        <v>198</v>
      </c>
      <c r="E3018" s="14" t="s">
        <v>166</v>
      </c>
      <c r="F3018" s="14" t="s">
        <v>199</v>
      </c>
      <c r="G3018" s="14" t="n">
        <v>1</v>
      </c>
      <c r="H3018" s="14" t="s">
        <v>154</v>
      </c>
      <c r="I3018" s="14" t="s">
        <v>899</v>
      </c>
      <c r="J3018" s="15" t="n">
        <f aca="false">IF(B3018="SITE LOSS",IF(D3018=C3018,1,0),IF(B3018="REGION LOSS",IF(E3018=C3018,1,0),0))</f>
        <v>0</v>
      </c>
      <c r="K3018" s="15" t="n">
        <f aca="false">IF(B3018="SITE LOSS",IF(COUNTIFS('Site Dockets'!$B$7:$B$24,C3018,'Site Dockets'!$C$7:$C$24,F3018)&gt;0,1,0),IF(B3018="REGION LOSS",IF(COUNTIFS('Site Dockets'!$E$7:$E$24,C3018,'Site Dockets'!$C$7:$C$24,F3018)&gt;0,1,0),0))</f>
        <v>0</v>
      </c>
      <c r="L3018" s="15" t="n">
        <f aca="false">IF(J3018=1,0,Inputs!$B$11)</f>
        <v>100</v>
      </c>
      <c r="M3018" s="15" t="n">
        <f aca="false">IF(J3018=1,0,Inputs!$B$12)</f>
        <v>75</v>
      </c>
      <c r="N3018" s="15" t="n">
        <f aca="false">IF(J3018=1,0,IF(OR(AND(OR(B3018="SITE LOSS",B3018="REGION LOSS"),K3018=1),AND(B3018="ROLE COMPROMISE",H3018=C3018)),Inputs!$B$13,Inputs!$B$14))</f>
        <v>20</v>
      </c>
      <c r="O3018" s="15" t="n">
        <f aca="false">IF(J3018=1,0,Inputs!$B$13)</f>
        <v>20</v>
      </c>
      <c r="P3018" s="15" t="n">
        <f aca="false">SUM(M3018:N3018)</f>
        <v>95</v>
      </c>
      <c r="Q3018" s="15" t="n">
        <f aca="false">IF(J3018=1,"",L3018-P3018)</f>
        <v>5</v>
      </c>
      <c r="R3018" s="15" t="n">
        <f aca="false">IF(OR(J3018=1,M3018&lt;=Inputs!$B$12),1,0)</f>
        <v>1</v>
      </c>
      <c r="S3018" s="15" t="n">
        <f aca="false">IF(OR(J3018=1,N3018&lt;=O3018),1,0)</f>
        <v>1</v>
      </c>
      <c r="T3018" s="15" t="str">
        <f aca="false">IF(J3018=1,"OFFLINE",IF(AND(Q3018&gt;=Inputs!$B$15,R3018=1,S3018=1,P3018&lt;=L3018),"PASS","FAIL"))</f>
        <v>PASS</v>
      </c>
    </row>
    <row r="3019" customFormat="false" ht="15" hidden="false" customHeight="false" outlineLevel="0" collapsed="false">
      <c r="A3019" s="14" t="s">
        <v>1050</v>
      </c>
      <c r="B3019" s="14" t="s">
        <v>1048</v>
      </c>
      <c r="C3019" s="14" t="s">
        <v>154</v>
      </c>
      <c r="D3019" s="14" t="s">
        <v>202</v>
      </c>
      <c r="E3019" s="14" t="s">
        <v>157</v>
      </c>
      <c r="F3019" s="14" t="s">
        <v>199</v>
      </c>
      <c r="G3019" s="14" t="n">
        <v>2</v>
      </c>
      <c r="H3019" s="14" t="s">
        <v>153</v>
      </c>
      <c r="I3019" s="14" t="s">
        <v>890</v>
      </c>
      <c r="J3019" s="15" t="n">
        <f aca="false">IF(B3019="SITE LOSS",IF(D3019=C3019,1,0),IF(B3019="REGION LOSS",IF(E3019=C3019,1,0),0))</f>
        <v>0</v>
      </c>
      <c r="K3019" s="15" t="n">
        <f aca="false">IF(B3019="SITE LOSS",IF(COUNTIFS('Site Dockets'!$B$7:$B$24,C3019,'Site Dockets'!$C$7:$C$24,F3019)&gt;0,1,0),IF(B3019="REGION LOSS",IF(COUNTIFS('Site Dockets'!$E$7:$E$24,C3019,'Site Dockets'!$C$7:$C$24,F3019)&gt;0,1,0),0))</f>
        <v>0</v>
      </c>
      <c r="L3019" s="15" t="n">
        <f aca="false">IF(J3019=1,0,Inputs!$B$11)</f>
        <v>100</v>
      </c>
      <c r="M3019" s="15" t="n">
        <f aca="false">IF(J3019=1,0,Inputs!$B$12)</f>
        <v>75</v>
      </c>
      <c r="N3019" s="15" t="n">
        <f aca="false">IF(J3019=1,0,IF(OR(AND(OR(B3019="SITE LOSS",B3019="REGION LOSS"),K3019=1),AND(B3019="ROLE COMPROMISE",H3019=C3019)),Inputs!$B$13,Inputs!$B$14))</f>
        <v>10</v>
      </c>
      <c r="O3019" s="15" t="n">
        <f aca="false">IF(J3019=1,0,Inputs!$B$13)</f>
        <v>20</v>
      </c>
      <c r="P3019" s="15" t="n">
        <f aca="false">SUM(M3019:N3019)</f>
        <v>85</v>
      </c>
      <c r="Q3019" s="15" t="n">
        <f aca="false">IF(J3019=1,"",L3019-P3019)</f>
        <v>15</v>
      </c>
      <c r="R3019" s="15" t="n">
        <f aca="false">IF(OR(J3019=1,M3019&lt;=Inputs!$B$12),1,0)</f>
        <v>1</v>
      </c>
      <c r="S3019" s="15" t="n">
        <f aca="false">IF(OR(J3019=1,N3019&lt;=O3019),1,0)</f>
        <v>1</v>
      </c>
      <c r="T3019" s="15" t="str">
        <f aca="false">IF(J3019=1,"OFFLINE",IF(AND(Q3019&gt;=Inputs!$B$15,R3019=1,S3019=1,P3019&lt;=L3019),"PASS","FAIL"))</f>
        <v>PASS</v>
      </c>
    </row>
    <row r="3020" customFormat="false" ht="15" hidden="false" customHeight="false" outlineLevel="0" collapsed="false">
      <c r="A3020" s="14" t="s">
        <v>1050</v>
      </c>
      <c r="B3020" s="14" t="s">
        <v>1048</v>
      </c>
      <c r="C3020" s="14" t="s">
        <v>154</v>
      </c>
      <c r="D3020" s="14" t="s">
        <v>202</v>
      </c>
      <c r="E3020" s="14" t="s">
        <v>157</v>
      </c>
      <c r="F3020" s="14" t="s">
        <v>199</v>
      </c>
      <c r="G3020" s="14" t="n">
        <v>2</v>
      </c>
      <c r="H3020" s="14" t="s">
        <v>153</v>
      </c>
      <c r="I3020" s="14" t="s">
        <v>892</v>
      </c>
      <c r="J3020" s="15" t="n">
        <f aca="false">IF(B3020="SITE LOSS",IF(D3020=C3020,1,0),IF(B3020="REGION LOSS",IF(E3020=C3020,1,0),0))</f>
        <v>0</v>
      </c>
      <c r="K3020" s="15" t="n">
        <f aca="false">IF(B3020="SITE LOSS",IF(COUNTIFS('Site Dockets'!$B$7:$B$24,C3020,'Site Dockets'!$C$7:$C$24,F3020)&gt;0,1,0),IF(B3020="REGION LOSS",IF(COUNTIFS('Site Dockets'!$E$7:$E$24,C3020,'Site Dockets'!$C$7:$C$24,F3020)&gt;0,1,0),0))</f>
        <v>0</v>
      </c>
      <c r="L3020" s="15" t="n">
        <f aca="false">IF(J3020=1,0,Inputs!$B$11)</f>
        <v>100</v>
      </c>
      <c r="M3020" s="15" t="n">
        <f aca="false">IF(J3020=1,0,Inputs!$B$12)</f>
        <v>75</v>
      </c>
      <c r="N3020" s="15" t="n">
        <f aca="false">IF(J3020=1,0,IF(OR(AND(OR(B3020="SITE LOSS",B3020="REGION LOSS"),K3020=1),AND(B3020="ROLE COMPROMISE",H3020=C3020)),Inputs!$B$13,Inputs!$B$14))</f>
        <v>10</v>
      </c>
      <c r="O3020" s="15" t="n">
        <f aca="false">IF(J3020=1,0,Inputs!$B$13)</f>
        <v>20</v>
      </c>
      <c r="P3020" s="15" t="n">
        <f aca="false">SUM(M3020:N3020)</f>
        <v>85</v>
      </c>
      <c r="Q3020" s="15" t="n">
        <f aca="false">IF(J3020=1,"",L3020-P3020)</f>
        <v>15</v>
      </c>
      <c r="R3020" s="15" t="n">
        <f aca="false">IF(OR(J3020=1,M3020&lt;=Inputs!$B$12),1,0)</f>
        <v>1</v>
      </c>
      <c r="S3020" s="15" t="n">
        <f aca="false">IF(OR(J3020=1,N3020&lt;=O3020),1,0)</f>
        <v>1</v>
      </c>
      <c r="T3020" s="15" t="str">
        <f aca="false">IF(J3020=1,"OFFLINE",IF(AND(Q3020&gt;=Inputs!$B$15,R3020=1,S3020=1,P3020&lt;=L3020),"PASS","FAIL"))</f>
        <v>PASS</v>
      </c>
    </row>
    <row r="3021" customFormat="false" ht="15" hidden="false" customHeight="false" outlineLevel="0" collapsed="false">
      <c r="A3021" s="14" t="s">
        <v>1050</v>
      </c>
      <c r="B3021" s="14" t="s">
        <v>1048</v>
      </c>
      <c r="C3021" s="14" t="s">
        <v>154</v>
      </c>
      <c r="D3021" s="14" t="s">
        <v>202</v>
      </c>
      <c r="E3021" s="14" t="s">
        <v>157</v>
      </c>
      <c r="F3021" s="14" t="s">
        <v>199</v>
      </c>
      <c r="G3021" s="14" t="n">
        <v>2</v>
      </c>
      <c r="H3021" s="14" t="s">
        <v>153</v>
      </c>
      <c r="I3021" s="14" t="s">
        <v>811</v>
      </c>
      <c r="J3021" s="15" t="n">
        <f aca="false">IF(B3021="SITE LOSS",IF(D3021=C3021,1,0),IF(B3021="REGION LOSS",IF(E3021=C3021,1,0),0))</f>
        <v>0</v>
      </c>
      <c r="K3021" s="15" t="n">
        <f aca="false">IF(B3021="SITE LOSS",IF(COUNTIFS('Site Dockets'!$B$7:$B$24,C3021,'Site Dockets'!$C$7:$C$24,F3021)&gt;0,1,0),IF(B3021="REGION LOSS",IF(COUNTIFS('Site Dockets'!$E$7:$E$24,C3021,'Site Dockets'!$C$7:$C$24,F3021)&gt;0,1,0),0))</f>
        <v>0</v>
      </c>
      <c r="L3021" s="15" t="n">
        <f aca="false">IF(J3021=1,0,Inputs!$B$11)</f>
        <v>100</v>
      </c>
      <c r="M3021" s="15" t="n">
        <f aca="false">IF(J3021=1,0,Inputs!$B$12)</f>
        <v>75</v>
      </c>
      <c r="N3021" s="15" t="n">
        <f aca="false">IF(J3021=1,0,IF(OR(AND(OR(B3021="SITE LOSS",B3021="REGION LOSS"),K3021=1),AND(B3021="ROLE COMPROMISE",H3021=C3021)),Inputs!$B$13,Inputs!$B$14))</f>
        <v>10</v>
      </c>
      <c r="O3021" s="15" t="n">
        <f aca="false">IF(J3021=1,0,Inputs!$B$13)</f>
        <v>20</v>
      </c>
      <c r="P3021" s="15" t="n">
        <f aca="false">SUM(M3021:N3021)</f>
        <v>85</v>
      </c>
      <c r="Q3021" s="15" t="n">
        <f aca="false">IF(J3021=1,"",L3021-P3021)</f>
        <v>15</v>
      </c>
      <c r="R3021" s="15" t="n">
        <f aca="false">IF(OR(J3021=1,M3021&lt;=Inputs!$B$12),1,0)</f>
        <v>1</v>
      </c>
      <c r="S3021" s="15" t="n">
        <f aca="false">IF(OR(J3021=1,N3021&lt;=O3021),1,0)</f>
        <v>1</v>
      </c>
      <c r="T3021" s="15" t="str">
        <f aca="false">IF(J3021=1,"OFFLINE",IF(AND(Q3021&gt;=Inputs!$B$15,R3021=1,S3021=1,P3021&lt;=L3021),"PASS","FAIL"))</f>
        <v>PASS</v>
      </c>
    </row>
    <row r="3022" customFormat="false" ht="15" hidden="false" customHeight="false" outlineLevel="0" collapsed="false">
      <c r="A3022" s="14" t="s">
        <v>1050</v>
      </c>
      <c r="B3022" s="14" t="s">
        <v>1048</v>
      </c>
      <c r="C3022" s="14" t="s">
        <v>154</v>
      </c>
      <c r="D3022" s="14" t="s">
        <v>202</v>
      </c>
      <c r="E3022" s="14" t="s">
        <v>157</v>
      </c>
      <c r="F3022" s="14" t="s">
        <v>199</v>
      </c>
      <c r="G3022" s="14" t="n">
        <v>2</v>
      </c>
      <c r="H3022" s="14" t="s">
        <v>153</v>
      </c>
      <c r="I3022" s="14" t="s">
        <v>895</v>
      </c>
      <c r="J3022" s="15" t="n">
        <f aca="false">IF(B3022="SITE LOSS",IF(D3022=C3022,1,0),IF(B3022="REGION LOSS",IF(E3022=C3022,1,0),0))</f>
        <v>0</v>
      </c>
      <c r="K3022" s="15" t="n">
        <f aca="false">IF(B3022="SITE LOSS",IF(COUNTIFS('Site Dockets'!$B$7:$B$24,C3022,'Site Dockets'!$C$7:$C$24,F3022)&gt;0,1,0),IF(B3022="REGION LOSS",IF(COUNTIFS('Site Dockets'!$E$7:$E$24,C3022,'Site Dockets'!$C$7:$C$24,F3022)&gt;0,1,0),0))</f>
        <v>0</v>
      </c>
      <c r="L3022" s="15" t="n">
        <f aca="false">IF(J3022=1,0,Inputs!$B$11)</f>
        <v>100</v>
      </c>
      <c r="M3022" s="15" t="n">
        <f aca="false">IF(J3022=1,0,Inputs!$B$12)</f>
        <v>75</v>
      </c>
      <c r="N3022" s="15" t="n">
        <f aca="false">IF(J3022=1,0,IF(OR(AND(OR(B3022="SITE LOSS",B3022="REGION LOSS"),K3022=1),AND(B3022="ROLE COMPROMISE",H3022=C3022)),Inputs!$B$13,Inputs!$B$14))</f>
        <v>10</v>
      </c>
      <c r="O3022" s="15" t="n">
        <f aca="false">IF(J3022=1,0,Inputs!$B$13)</f>
        <v>20</v>
      </c>
      <c r="P3022" s="15" t="n">
        <f aca="false">SUM(M3022:N3022)</f>
        <v>85</v>
      </c>
      <c r="Q3022" s="15" t="n">
        <f aca="false">IF(J3022=1,"",L3022-P3022)</f>
        <v>15</v>
      </c>
      <c r="R3022" s="15" t="n">
        <f aca="false">IF(OR(J3022=1,M3022&lt;=Inputs!$B$12),1,0)</f>
        <v>1</v>
      </c>
      <c r="S3022" s="15" t="n">
        <f aca="false">IF(OR(J3022=1,N3022&lt;=O3022),1,0)</f>
        <v>1</v>
      </c>
      <c r="T3022" s="15" t="str">
        <f aca="false">IF(J3022=1,"OFFLINE",IF(AND(Q3022&gt;=Inputs!$B$15,R3022=1,S3022=1,P3022&lt;=L3022),"PASS","FAIL"))</f>
        <v>PASS</v>
      </c>
    </row>
    <row r="3023" customFormat="false" ht="15" hidden="false" customHeight="false" outlineLevel="0" collapsed="false">
      <c r="A3023" s="14" t="s">
        <v>1050</v>
      </c>
      <c r="B3023" s="14" t="s">
        <v>1048</v>
      </c>
      <c r="C3023" s="14" t="s">
        <v>154</v>
      </c>
      <c r="D3023" s="14" t="s">
        <v>202</v>
      </c>
      <c r="E3023" s="14" t="s">
        <v>157</v>
      </c>
      <c r="F3023" s="14" t="s">
        <v>199</v>
      </c>
      <c r="G3023" s="14" t="n">
        <v>2</v>
      </c>
      <c r="H3023" s="14" t="s">
        <v>153</v>
      </c>
      <c r="I3023" s="14" t="s">
        <v>897</v>
      </c>
      <c r="J3023" s="15" t="n">
        <f aca="false">IF(B3023="SITE LOSS",IF(D3023=C3023,1,0),IF(B3023="REGION LOSS",IF(E3023=C3023,1,0),0))</f>
        <v>0</v>
      </c>
      <c r="K3023" s="15" t="n">
        <f aca="false">IF(B3023="SITE LOSS",IF(COUNTIFS('Site Dockets'!$B$7:$B$24,C3023,'Site Dockets'!$C$7:$C$24,F3023)&gt;0,1,0),IF(B3023="REGION LOSS",IF(COUNTIFS('Site Dockets'!$E$7:$E$24,C3023,'Site Dockets'!$C$7:$C$24,F3023)&gt;0,1,0),0))</f>
        <v>0</v>
      </c>
      <c r="L3023" s="15" t="n">
        <f aca="false">IF(J3023=1,0,Inputs!$B$11)</f>
        <v>100</v>
      </c>
      <c r="M3023" s="15" t="n">
        <f aca="false">IF(J3023=1,0,Inputs!$B$12)</f>
        <v>75</v>
      </c>
      <c r="N3023" s="15" t="n">
        <f aca="false">IF(J3023=1,0,IF(OR(AND(OR(B3023="SITE LOSS",B3023="REGION LOSS"),K3023=1),AND(B3023="ROLE COMPROMISE",H3023=C3023)),Inputs!$B$13,Inputs!$B$14))</f>
        <v>10</v>
      </c>
      <c r="O3023" s="15" t="n">
        <f aca="false">IF(J3023=1,0,Inputs!$B$13)</f>
        <v>20</v>
      </c>
      <c r="P3023" s="15" t="n">
        <f aca="false">SUM(M3023:N3023)</f>
        <v>85</v>
      </c>
      <c r="Q3023" s="15" t="n">
        <f aca="false">IF(J3023=1,"",L3023-P3023)</f>
        <v>15</v>
      </c>
      <c r="R3023" s="15" t="n">
        <f aca="false">IF(OR(J3023=1,M3023&lt;=Inputs!$B$12),1,0)</f>
        <v>1</v>
      </c>
      <c r="S3023" s="15" t="n">
        <f aca="false">IF(OR(J3023=1,N3023&lt;=O3023),1,0)</f>
        <v>1</v>
      </c>
      <c r="T3023" s="15" t="str">
        <f aca="false">IF(J3023=1,"OFFLINE",IF(AND(Q3023&gt;=Inputs!$B$15,R3023=1,S3023=1,P3023&lt;=L3023),"PASS","FAIL"))</f>
        <v>PASS</v>
      </c>
    </row>
    <row r="3024" customFormat="false" ht="15" hidden="false" customHeight="false" outlineLevel="0" collapsed="false">
      <c r="A3024" s="14" t="s">
        <v>1050</v>
      </c>
      <c r="B3024" s="14" t="s">
        <v>1048</v>
      </c>
      <c r="C3024" s="14" t="s">
        <v>154</v>
      </c>
      <c r="D3024" s="14" t="s">
        <v>202</v>
      </c>
      <c r="E3024" s="14" t="s">
        <v>157</v>
      </c>
      <c r="F3024" s="14" t="s">
        <v>199</v>
      </c>
      <c r="G3024" s="14" t="n">
        <v>2</v>
      </c>
      <c r="H3024" s="14" t="s">
        <v>153</v>
      </c>
      <c r="I3024" s="14" t="s">
        <v>899</v>
      </c>
      <c r="J3024" s="15" t="n">
        <f aca="false">IF(B3024="SITE LOSS",IF(D3024=C3024,1,0),IF(B3024="REGION LOSS",IF(E3024=C3024,1,0),0))</f>
        <v>0</v>
      </c>
      <c r="K3024" s="15" t="n">
        <f aca="false">IF(B3024="SITE LOSS",IF(COUNTIFS('Site Dockets'!$B$7:$B$24,C3024,'Site Dockets'!$C$7:$C$24,F3024)&gt;0,1,0),IF(B3024="REGION LOSS",IF(COUNTIFS('Site Dockets'!$E$7:$E$24,C3024,'Site Dockets'!$C$7:$C$24,F3024)&gt;0,1,0),0))</f>
        <v>0</v>
      </c>
      <c r="L3024" s="15" t="n">
        <f aca="false">IF(J3024=1,0,Inputs!$B$11)</f>
        <v>100</v>
      </c>
      <c r="M3024" s="15" t="n">
        <f aca="false">IF(J3024=1,0,Inputs!$B$12)</f>
        <v>75</v>
      </c>
      <c r="N3024" s="15" t="n">
        <f aca="false">IF(J3024=1,0,IF(OR(AND(OR(B3024="SITE LOSS",B3024="REGION LOSS"),K3024=1),AND(B3024="ROLE COMPROMISE",H3024=C3024)),Inputs!$B$13,Inputs!$B$14))</f>
        <v>10</v>
      </c>
      <c r="O3024" s="15" t="n">
        <f aca="false">IF(J3024=1,0,Inputs!$B$13)</f>
        <v>20</v>
      </c>
      <c r="P3024" s="15" t="n">
        <f aca="false">SUM(M3024:N3024)</f>
        <v>85</v>
      </c>
      <c r="Q3024" s="15" t="n">
        <f aca="false">IF(J3024=1,"",L3024-P3024)</f>
        <v>15</v>
      </c>
      <c r="R3024" s="15" t="n">
        <f aca="false">IF(OR(J3024=1,M3024&lt;=Inputs!$B$12),1,0)</f>
        <v>1</v>
      </c>
      <c r="S3024" s="15" t="n">
        <f aca="false">IF(OR(J3024=1,N3024&lt;=O3024),1,0)</f>
        <v>1</v>
      </c>
      <c r="T3024" s="15" t="str">
        <f aca="false">IF(J3024=1,"OFFLINE",IF(AND(Q3024&gt;=Inputs!$B$15,R3024=1,S3024=1,P3024&lt;=L3024),"PASS","FAIL"))</f>
        <v>PASS</v>
      </c>
    </row>
    <row r="3025" customFormat="false" ht="15" hidden="false" customHeight="false" outlineLevel="0" collapsed="false">
      <c r="A3025" s="14" t="s">
        <v>1050</v>
      </c>
      <c r="B3025" s="14" t="s">
        <v>1048</v>
      </c>
      <c r="C3025" s="14" t="s">
        <v>154</v>
      </c>
      <c r="D3025" s="14" t="s">
        <v>204</v>
      </c>
      <c r="E3025" s="14" t="s">
        <v>161</v>
      </c>
      <c r="F3025" s="14" t="s">
        <v>199</v>
      </c>
      <c r="G3025" s="14" t="n">
        <v>3</v>
      </c>
      <c r="H3025" s="14" t="s">
        <v>158</v>
      </c>
      <c r="I3025" s="14" t="s">
        <v>890</v>
      </c>
      <c r="J3025" s="15" t="n">
        <f aca="false">IF(B3025="SITE LOSS",IF(D3025=C3025,1,0),IF(B3025="REGION LOSS",IF(E3025=C3025,1,0),0))</f>
        <v>0</v>
      </c>
      <c r="K3025" s="15" t="n">
        <f aca="false">IF(B3025="SITE LOSS",IF(COUNTIFS('Site Dockets'!$B$7:$B$24,C3025,'Site Dockets'!$C$7:$C$24,F3025)&gt;0,1,0),IF(B3025="REGION LOSS",IF(COUNTIFS('Site Dockets'!$E$7:$E$24,C3025,'Site Dockets'!$C$7:$C$24,F3025)&gt;0,1,0),0))</f>
        <v>0</v>
      </c>
      <c r="L3025" s="15" t="n">
        <f aca="false">IF(J3025=1,0,Inputs!$B$11)</f>
        <v>100</v>
      </c>
      <c r="M3025" s="15" t="n">
        <f aca="false">IF(J3025=1,0,Inputs!$B$12)</f>
        <v>75</v>
      </c>
      <c r="N3025" s="15" t="n">
        <f aca="false">IF(J3025=1,0,IF(OR(AND(OR(B3025="SITE LOSS",B3025="REGION LOSS"),K3025=1),AND(B3025="ROLE COMPROMISE",H3025=C3025)),Inputs!$B$13,Inputs!$B$14))</f>
        <v>10</v>
      </c>
      <c r="O3025" s="15" t="n">
        <f aca="false">IF(J3025=1,0,Inputs!$B$13)</f>
        <v>20</v>
      </c>
      <c r="P3025" s="15" t="n">
        <f aca="false">SUM(M3025:N3025)</f>
        <v>85</v>
      </c>
      <c r="Q3025" s="15" t="n">
        <f aca="false">IF(J3025=1,"",L3025-P3025)</f>
        <v>15</v>
      </c>
      <c r="R3025" s="15" t="n">
        <f aca="false">IF(OR(J3025=1,M3025&lt;=Inputs!$B$12),1,0)</f>
        <v>1</v>
      </c>
      <c r="S3025" s="15" t="n">
        <f aca="false">IF(OR(J3025=1,N3025&lt;=O3025),1,0)</f>
        <v>1</v>
      </c>
      <c r="T3025" s="15" t="str">
        <f aca="false">IF(J3025=1,"OFFLINE",IF(AND(Q3025&gt;=Inputs!$B$15,R3025=1,S3025=1,P3025&lt;=L3025),"PASS","FAIL"))</f>
        <v>PASS</v>
      </c>
    </row>
    <row r="3026" customFormat="false" ht="15" hidden="false" customHeight="false" outlineLevel="0" collapsed="false">
      <c r="A3026" s="14" t="s">
        <v>1050</v>
      </c>
      <c r="B3026" s="14" t="s">
        <v>1048</v>
      </c>
      <c r="C3026" s="14" t="s">
        <v>154</v>
      </c>
      <c r="D3026" s="14" t="s">
        <v>204</v>
      </c>
      <c r="E3026" s="14" t="s">
        <v>161</v>
      </c>
      <c r="F3026" s="14" t="s">
        <v>199</v>
      </c>
      <c r="G3026" s="14" t="n">
        <v>3</v>
      </c>
      <c r="H3026" s="14" t="s">
        <v>158</v>
      </c>
      <c r="I3026" s="14" t="s">
        <v>892</v>
      </c>
      <c r="J3026" s="15" t="n">
        <f aca="false">IF(B3026="SITE LOSS",IF(D3026=C3026,1,0),IF(B3026="REGION LOSS",IF(E3026=C3026,1,0),0))</f>
        <v>0</v>
      </c>
      <c r="K3026" s="15" t="n">
        <f aca="false">IF(B3026="SITE LOSS",IF(COUNTIFS('Site Dockets'!$B$7:$B$24,C3026,'Site Dockets'!$C$7:$C$24,F3026)&gt;0,1,0),IF(B3026="REGION LOSS",IF(COUNTIFS('Site Dockets'!$E$7:$E$24,C3026,'Site Dockets'!$C$7:$C$24,F3026)&gt;0,1,0),0))</f>
        <v>0</v>
      </c>
      <c r="L3026" s="15" t="n">
        <f aca="false">IF(J3026=1,0,Inputs!$B$11)</f>
        <v>100</v>
      </c>
      <c r="M3026" s="15" t="n">
        <f aca="false">IF(J3026=1,0,Inputs!$B$12)</f>
        <v>75</v>
      </c>
      <c r="N3026" s="15" t="n">
        <f aca="false">IF(J3026=1,0,IF(OR(AND(OR(B3026="SITE LOSS",B3026="REGION LOSS"),K3026=1),AND(B3026="ROLE COMPROMISE",H3026=C3026)),Inputs!$B$13,Inputs!$B$14))</f>
        <v>10</v>
      </c>
      <c r="O3026" s="15" t="n">
        <f aca="false">IF(J3026=1,0,Inputs!$B$13)</f>
        <v>20</v>
      </c>
      <c r="P3026" s="15" t="n">
        <f aca="false">SUM(M3026:N3026)</f>
        <v>85</v>
      </c>
      <c r="Q3026" s="15" t="n">
        <f aca="false">IF(J3026=1,"",L3026-P3026)</f>
        <v>15</v>
      </c>
      <c r="R3026" s="15" t="n">
        <f aca="false">IF(OR(J3026=1,M3026&lt;=Inputs!$B$12),1,0)</f>
        <v>1</v>
      </c>
      <c r="S3026" s="15" t="n">
        <f aca="false">IF(OR(J3026=1,N3026&lt;=O3026),1,0)</f>
        <v>1</v>
      </c>
      <c r="T3026" s="15" t="str">
        <f aca="false">IF(J3026=1,"OFFLINE",IF(AND(Q3026&gt;=Inputs!$B$15,R3026=1,S3026=1,P3026&lt;=L3026),"PASS","FAIL"))</f>
        <v>PASS</v>
      </c>
    </row>
    <row r="3027" customFormat="false" ht="15" hidden="false" customHeight="false" outlineLevel="0" collapsed="false">
      <c r="A3027" s="14" t="s">
        <v>1050</v>
      </c>
      <c r="B3027" s="14" t="s">
        <v>1048</v>
      </c>
      <c r="C3027" s="14" t="s">
        <v>154</v>
      </c>
      <c r="D3027" s="14" t="s">
        <v>204</v>
      </c>
      <c r="E3027" s="14" t="s">
        <v>161</v>
      </c>
      <c r="F3027" s="14" t="s">
        <v>199</v>
      </c>
      <c r="G3027" s="14" t="n">
        <v>3</v>
      </c>
      <c r="H3027" s="14" t="s">
        <v>158</v>
      </c>
      <c r="I3027" s="14" t="s">
        <v>811</v>
      </c>
      <c r="J3027" s="15" t="n">
        <f aca="false">IF(B3027="SITE LOSS",IF(D3027=C3027,1,0),IF(B3027="REGION LOSS",IF(E3027=C3027,1,0),0))</f>
        <v>0</v>
      </c>
      <c r="K3027" s="15" t="n">
        <f aca="false">IF(B3027="SITE LOSS",IF(COUNTIFS('Site Dockets'!$B$7:$B$24,C3027,'Site Dockets'!$C$7:$C$24,F3027)&gt;0,1,0),IF(B3027="REGION LOSS",IF(COUNTIFS('Site Dockets'!$E$7:$E$24,C3027,'Site Dockets'!$C$7:$C$24,F3027)&gt;0,1,0),0))</f>
        <v>0</v>
      </c>
      <c r="L3027" s="15" t="n">
        <f aca="false">IF(J3027=1,0,Inputs!$B$11)</f>
        <v>100</v>
      </c>
      <c r="M3027" s="15" t="n">
        <f aca="false">IF(J3027=1,0,Inputs!$B$12)</f>
        <v>75</v>
      </c>
      <c r="N3027" s="15" t="n">
        <f aca="false">IF(J3027=1,0,IF(OR(AND(OR(B3027="SITE LOSS",B3027="REGION LOSS"),K3027=1),AND(B3027="ROLE COMPROMISE",H3027=C3027)),Inputs!$B$13,Inputs!$B$14))</f>
        <v>10</v>
      </c>
      <c r="O3027" s="15" t="n">
        <f aca="false">IF(J3027=1,0,Inputs!$B$13)</f>
        <v>20</v>
      </c>
      <c r="P3027" s="15" t="n">
        <f aca="false">SUM(M3027:N3027)</f>
        <v>85</v>
      </c>
      <c r="Q3027" s="15" t="n">
        <f aca="false">IF(J3027=1,"",L3027-P3027)</f>
        <v>15</v>
      </c>
      <c r="R3027" s="15" t="n">
        <f aca="false">IF(OR(J3027=1,M3027&lt;=Inputs!$B$12),1,0)</f>
        <v>1</v>
      </c>
      <c r="S3027" s="15" t="n">
        <f aca="false">IF(OR(J3027=1,N3027&lt;=O3027),1,0)</f>
        <v>1</v>
      </c>
      <c r="T3027" s="15" t="str">
        <f aca="false">IF(J3027=1,"OFFLINE",IF(AND(Q3027&gt;=Inputs!$B$15,R3027=1,S3027=1,P3027&lt;=L3027),"PASS","FAIL"))</f>
        <v>PASS</v>
      </c>
    </row>
    <row r="3028" customFormat="false" ht="15" hidden="false" customHeight="false" outlineLevel="0" collapsed="false">
      <c r="A3028" s="14" t="s">
        <v>1050</v>
      </c>
      <c r="B3028" s="14" t="s">
        <v>1048</v>
      </c>
      <c r="C3028" s="14" t="s">
        <v>154</v>
      </c>
      <c r="D3028" s="14" t="s">
        <v>204</v>
      </c>
      <c r="E3028" s="14" t="s">
        <v>161</v>
      </c>
      <c r="F3028" s="14" t="s">
        <v>199</v>
      </c>
      <c r="G3028" s="14" t="n">
        <v>3</v>
      </c>
      <c r="H3028" s="14" t="s">
        <v>158</v>
      </c>
      <c r="I3028" s="14" t="s">
        <v>895</v>
      </c>
      <c r="J3028" s="15" t="n">
        <f aca="false">IF(B3028="SITE LOSS",IF(D3028=C3028,1,0),IF(B3028="REGION LOSS",IF(E3028=C3028,1,0),0))</f>
        <v>0</v>
      </c>
      <c r="K3028" s="15" t="n">
        <f aca="false">IF(B3028="SITE LOSS",IF(COUNTIFS('Site Dockets'!$B$7:$B$24,C3028,'Site Dockets'!$C$7:$C$24,F3028)&gt;0,1,0),IF(B3028="REGION LOSS",IF(COUNTIFS('Site Dockets'!$E$7:$E$24,C3028,'Site Dockets'!$C$7:$C$24,F3028)&gt;0,1,0),0))</f>
        <v>0</v>
      </c>
      <c r="L3028" s="15" t="n">
        <f aca="false">IF(J3028=1,0,Inputs!$B$11)</f>
        <v>100</v>
      </c>
      <c r="M3028" s="15" t="n">
        <f aca="false">IF(J3028=1,0,Inputs!$B$12)</f>
        <v>75</v>
      </c>
      <c r="N3028" s="15" t="n">
        <f aca="false">IF(J3028=1,0,IF(OR(AND(OR(B3028="SITE LOSS",B3028="REGION LOSS"),K3028=1),AND(B3028="ROLE COMPROMISE",H3028=C3028)),Inputs!$B$13,Inputs!$B$14))</f>
        <v>10</v>
      </c>
      <c r="O3028" s="15" t="n">
        <f aca="false">IF(J3028=1,0,Inputs!$B$13)</f>
        <v>20</v>
      </c>
      <c r="P3028" s="15" t="n">
        <f aca="false">SUM(M3028:N3028)</f>
        <v>85</v>
      </c>
      <c r="Q3028" s="15" t="n">
        <f aca="false">IF(J3028=1,"",L3028-P3028)</f>
        <v>15</v>
      </c>
      <c r="R3028" s="15" t="n">
        <f aca="false">IF(OR(J3028=1,M3028&lt;=Inputs!$B$12),1,0)</f>
        <v>1</v>
      </c>
      <c r="S3028" s="15" t="n">
        <f aca="false">IF(OR(J3028=1,N3028&lt;=O3028),1,0)</f>
        <v>1</v>
      </c>
      <c r="T3028" s="15" t="str">
        <f aca="false">IF(J3028=1,"OFFLINE",IF(AND(Q3028&gt;=Inputs!$B$15,R3028=1,S3028=1,P3028&lt;=L3028),"PASS","FAIL"))</f>
        <v>PASS</v>
      </c>
    </row>
    <row r="3029" customFormat="false" ht="15" hidden="false" customHeight="false" outlineLevel="0" collapsed="false">
      <c r="A3029" s="14" t="s">
        <v>1050</v>
      </c>
      <c r="B3029" s="14" t="s">
        <v>1048</v>
      </c>
      <c r="C3029" s="14" t="s">
        <v>154</v>
      </c>
      <c r="D3029" s="14" t="s">
        <v>204</v>
      </c>
      <c r="E3029" s="14" t="s">
        <v>161</v>
      </c>
      <c r="F3029" s="14" t="s">
        <v>199</v>
      </c>
      <c r="G3029" s="14" t="n">
        <v>3</v>
      </c>
      <c r="H3029" s="14" t="s">
        <v>158</v>
      </c>
      <c r="I3029" s="14" t="s">
        <v>897</v>
      </c>
      <c r="J3029" s="15" t="n">
        <f aca="false">IF(B3029="SITE LOSS",IF(D3029=C3029,1,0),IF(B3029="REGION LOSS",IF(E3029=C3029,1,0),0))</f>
        <v>0</v>
      </c>
      <c r="K3029" s="15" t="n">
        <f aca="false">IF(B3029="SITE LOSS",IF(COUNTIFS('Site Dockets'!$B$7:$B$24,C3029,'Site Dockets'!$C$7:$C$24,F3029)&gt;0,1,0),IF(B3029="REGION LOSS",IF(COUNTIFS('Site Dockets'!$E$7:$E$24,C3029,'Site Dockets'!$C$7:$C$24,F3029)&gt;0,1,0),0))</f>
        <v>0</v>
      </c>
      <c r="L3029" s="15" t="n">
        <f aca="false">IF(J3029=1,0,Inputs!$B$11)</f>
        <v>100</v>
      </c>
      <c r="M3029" s="15" t="n">
        <f aca="false">IF(J3029=1,0,Inputs!$B$12)</f>
        <v>75</v>
      </c>
      <c r="N3029" s="15" t="n">
        <f aca="false">IF(J3029=1,0,IF(OR(AND(OR(B3029="SITE LOSS",B3029="REGION LOSS"),K3029=1),AND(B3029="ROLE COMPROMISE",H3029=C3029)),Inputs!$B$13,Inputs!$B$14))</f>
        <v>10</v>
      </c>
      <c r="O3029" s="15" t="n">
        <f aca="false">IF(J3029=1,0,Inputs!$B$13)</f>
        <v>20</v>
      </c>
      <c r="P3029" s="15" t="n">
        <f aca="false">SUM(M3029:N3029)</f>
        <v>85</v>
      </c>
      <c r="Q3029" s="15" t="n">
        <f aca="false">IF(J3029=1,"",L3029-P3029)</f>
        <v>15</v>
      </c>
      <c r="R3029" s="15" t="n">
        <f aca="false">IF(OR(J3029=1,M3029&lt;=Inputs!$B$12),1,0)</f>
        <v>1</v>
      </c>
      <c r="S3029" s="15" t="n">
        <f aca="false">IF(OR(J3029=1,N3029&lt;=O3029),1,0)</f>
        <v>1</v>
      </c>
      <c r="T3029" s="15" t="str">
        <f aca="false">IF(J3029=1,"OFFLINE",IF(AND(Q3029&gt;=Inputs!$B$15,R3029=1,S3029=1,P3029&lt;=L3029),"PASS","FAIL"))</f>
        <v>PASS</v>
      </c>
    </row>
    <row r="3030" customFormat="false" ht="15" hidden="false" customHeight="false" outlineLevel="0" collapsed="false">
      <c r="A3030" s="14" t="s">
        <v>1050</v>
      </c>
      <c r="B3030" s="14" t="s">
        <v>1048</v>
      </c>
      <c r="C3030" s="14" t="s">
        <v>154</v>
      </c>
      <c r="D3030" s="14" t="s">
        <v>204</v>
      </c>
      <c r="E3030" s="14" t="s">
        <v>161</v>
      </c>
      <c r="F3030" s="14" t="s">
        <v>199</v>
      </c>
      <c r="G3030" s="14" t="n">
        <v>3</v>
      </c>
      <c r="H3030" s="14" t="s">
        <v>158</v>
      </c>
      <c r="I3030" s="14" t="s">
        <v>899</v>
      </c>
      <c r="J3030" s="15" t="n">
        <f aca="false">IF(B3030="SITE LOSS",IF(D3030=C3030,1,0),IF(B3030="REGION LOSS",IF(E3030=C3030,1,0),0))</f>
        <v>0</v>
      </c>
      <c r="K3030" s="15" t="n">
        <f aca="false">IF(B3030="SITE LOSS",IF(COUNTIFS('Site Dockets'!$B$7:$B$24,C3030,'Site Dockets'!$C$7:$C$24,F3030)&gt;0,1,0),IF(B3030="REGION LOSS",IF(COUNTIFS('Site Dockets'!$E$7:$E$24,C3030,'Site Dockets'!$C$7:$C$24,F3030)&gt;0,1,0),0))</f>
        <v>0</v>
      </c>
      <c r="L3030" s="15" t="n">
        <f aca="false">IF(J3030=1,0,Inputs!$B$11)</f>
        <v>100</v>
      </c>
      <c r="M3030" s="15" t="n">
        <f aca="false">IF(J3030=1,0,Inputs!$B$12)</f>
        <v>75</v>
      </c>
      <c r="N3030" s="15" t="n">
        <f aca="false">IF(J3030=1,0,IF(OR(AND(OR(B3030="SITE LOSS",B3030="REGION LOSS"),K3030=1),AND(B3030="ROLE COMPROMISE",H3030=C3030)),Inputs!$B$13,Inputs!$B$14))</f>
        <v>10</v>
      </c>
      <c r="O3030" s="15" t="n">
        <f aca="false">IF(J3030=1,0,Inputs!$B$13)</f>
        <v>20</v>
      </c>
      <c r="P3030" s="15" t="n">
        <f aca="false">SUM(M3030:N3030)</f>
        <v>85</v>
      </c>
      <c r="Q3030" s="15" t="n">
        <f aca="false">IF(J3030=1,"",L3030-P3030)</f>
        <v>15</v>
      </c>
      <c r="R3030" s="15" t="n">
        <f aca="false">IF(OR(J3030=1,M3030&lt;=Inputs!$B$12),1,0)</f>
        <v>1</v>
      </c>
      <c r="S3030" s="15" t="n">
        <f aca="false">IF(OR(J3030=1,N3030&lt;=O3030),1,0)</f>
        <v>1</v>
      </c>
      <c r="T3030" s="15" t="str">
        <f aca="false">IF(J3030=1,"OFFLINE",IF(AND(Q3030&gt;=Inputs!$B$15,R3030=1,S3030=1,P3030&lt;=L3030),"PASS","FAIL"))</f>
        <v>PASS</v>
      </c>
    </row>
    <row r="3031" customFormat="false" ht="15" hidden="false" customHeight="false" outlineLevel="0" collapsed="false">
      <c r="A3031" s="14" t="s">
        <v>1051</v>
      </c>
      <c r="B3031" s="14" t="s">
        <v>1052</v>
      </c>
      <c r="C3031" s="14" t="s">
        <v>1053</v>
      </c>
      <c r="D3031" s="14" t="s">
        <v>149</v>
      </c>
      <c r="E3031" s="14" t="s">
        <v>152</v>
      </c>
      <c r="F3031" s="14" t="s">
        <v>150</v>
      </c>
      <c r="G3031" s="14" t="n">
        <v>1</v>
      </c>
      <c r="H3031" s="14" t="s">
        <v>154</v>
      </c>
      <c r="I3031" s="14" t="s">
        <v>890</v>
      </c>
      <c r="J3031" s="15" t="n">
        <f aca="false">IF(B3031="SITE LOSS",IF(D3031=C3031,1,0),IF(B3031="REGION LOSS",IF(E3031=C3031,1,0),0))</f>
        <v>0</v>
      </c>
      <c r="K3031" s="15" t="n">
        <f aca="false">IF(B3031="SITE LOSS",IF(COUNTIFS('Site Dockets'!$B$7:$B$24,C3031,'Site Dockets'!$C$7:$C$24,F3031)&gt;0,1,0),IF(B3031="REGION LOSS",IF(COUNTIFS('Site Dockets'!$E$7:$E$24,C3031,'Site Dockets'!$C$7:$C$24,F3031)&gt;0,1,0),0))</f>
        <v>0</v>
      </c>
      <c r="L3031" s="15" t="n">
        <f aca="false">IF(J3031=1,0,Inputs!$B$11)</f>
        <v>100</v>
      </c>
      <c r="M3031" s="15" t="n">
        <f aca="false">IF(J3031=1,0,Inputs!$B$12)</f>
        <v>75</v>
      </c>
      <c r="N3031" s="15" t="n">
        <f aca="false">IF(J3031=1,0,IF(OR(AND(OR(B3031="SITE LOSS",B3031="REGION LOSS"),K3031=1),AND(B3031="ROLE COMPROMISE",H3031=C3031)),Inputs!$B$13,Inputs!$B$14))</f>
        <v>10</v>
      </c>
      <c r="O3031" s="15" t="n">
        <f aca="false">IF(J3031=1,0,Inputs!$B$13)</f>
        <v>20</v>
      </c>
      <c r="P3031" s="15" t="n">
        <f aca="false">SUM(M3031:N3031)</f>
        <v>85</v>
      </c>
      <c r="Q3031" s="15" t="n">
        <f aca="false">IF(J3031=1,"",L3031-P3031)</f>
        <v>15</v>
      </c>
      <c r="R3031" s="15" t="n">
        <f aca="false">IF(OR(J3031=1,M3031&lt;=Inputs!$B$12),1,0)</f>
        <v>1</v>
      </c>
      <c r="S3031" s="15" t="n">
        <f aca="false">IF(OR(J3031=1,N3031&lt;=O3031),1,0)</f>
        <v>1</v>
      </c>
      <c r="T3031" s="15" t="str">
        <f aca="false">IF(J3031=1,"OFFLINE",IF(AND(Q3031&gt;=Inputs!$B$15,R3031=1,S3031=1,P3031&lt;=L3031),"PASS","FAIL"))</f>
        <v>PASS</v>
      </c>
    </row>
    <row r="3032" customFormat="false" ht="15" hidden="false" customHeight="false" outlineLevel="0" collapsed="false">
      <c r="A3032" s="14" t="s">
        <v>1051</v>
      </c>
      <c r="B3032" s="14" t="s">
        <v>1052</v>
      </c>
      <c r="C3032" s="14" t="s">
        <v>1053</v>
      </c>
      <c r="D3032" s="14" t="s">
        <v>149</v>
      </c>
      <c r="E3032" s="14" t="s">
        <v>152</v>
      </c>
      <c r="F3032" s="14" t="s">
        <v>150</v>
      </c>
      <c r="G3032" s="14" t="n">
        <v>1</v>
      </c>
      <c r="H3032" s="14" t="s">
        <v>154</v>
      </c>
      <c r="I3032" s="14" t="s">
        <v>892</v>
      </c>
      <c r="J3032" s="15" t="n">
        <f aca="false">IF(B3032="SITE LOSS",IF(D3032=C3032,1,0),IF(B3032="REGION LOSS",IF(E3032=C3032,1,0),0))</f>
        <v>0</v>
      </c>
      <c r="K3032" s="15" t="n">
        <f aca="false">IF(B3032="SITE LOSS",IF(COUNTIFS('Site Dockets'!$B$7:$B$24,C3032,'Site Dockets'!$C$7:$C$24,F3032)&gt;0,1,0),IF(B3032="REGION LOSS",IF(COUNTIFS('Site Dockets'!$E$7:$E$24,C3032,'Site Dockets'!$C$7:$C$24,F3032)&gt;0,1,0),0))</f>
        <v>0</v>
      </c>
      <c r="L3032" s="15" t="n">
        <f aca="false">IF(J3032=1,0,Inputs!$B$11)</f>
        <v>100</v>
      </c>
      <c r="M3032" s="15" t="n">
        <f aca="false">IF(J3032=1,0,Inputs!$B$12)</f>
        <v>75</v>
      </c>
      <c r="N3032" s="15" t="n">
        <f aca="false">IF(J3032=1,0,IF(OR(AND(OR(B3032="SITE LOSS",B3032="REGION LOSS"),K3032=1),AND(B3032="ROLE COMPROMISE",H3032=C3032)),Inputs!$B$13,Inputs!$B$14))</f>
        <v>10</v>
      </c>
      <c r="O3032" s="15" t="n">
        <f aca="false">IF(J3032=1,0,Inputs!$B$13)</f>
        <v>20</v>
      </c>
      <c r="P3032" s="15" t="n">
        <f aca="false">SUM(M3032:N3032)</f>
        <v>85</v>
      </c>
      <c r="Q3032" s="15" t="n">
        <f aca="false">IF(J3032=1,"",L3032-P3032)</f>
        <v>15</v>
      </c>
      <c r="R3032" s="15" t="n">
        <f aca="false">IF(OR(J3032=1,M3032&lt;=Inputs!$B$12),1,0)</f>
        <v>1</v>
      </c>
      <c r="S3032" s="15" t="n">
        <f aca="false">IF(OR(J3032=1,N3032&lt;=O3032),1,0)</f>
        <v>1</v>
      </c>
      <c r="T3032" s="15" t="str">
        <f aca="false">IF(J3032=1,"OFFLINE",IF(AND(Q3032&gt;=Inputs!$B$15,R3032=1,S3032=1,P3032&lt;=L3032),"PASS","FAIL"))</f>
        <v>PASS</v>
      </c>
    </row>
    <row r="3033" customFormat="false" ht="15" hidden="false" customHeight="false" outlineLevel="0" collapsed="false">
      <c r="A3033" s="14" t="s">
        <v>1051</v>
      </c>
      <c r="B3033" s="14" t="s">
        <v>1052</v>
      </c>
      <c r="C3033" s="14" t="s">
        <v>1053</v>
      </c>
      <c r="D3033" s="14" t="s">
        <v>149</v>
      </c>
      <c r="E3033" s="14" t="s">
        <v>152</v>
      </c>
      <c r="F3033" s="14" t="s">
        <v>150</v>
      </c>
      <c r="G3033" s="14" t="n">
        <v>1</v>
      </c>
      <c r="H3033" s="14" t="s">
        <v>154</v>
      </c>
      <c r="I3033" s="14" t="s">
        <v>811</v>
      </c>
      <c r="J3033" s="15" t="n">
        <f aca="false">IF(B3033="SITE LOSS",IF(D3033=C3033,1,0),IF(B3033="REGION LOSS",IF(E3033=C3033,1,0),0))</f>
        <v>0</v>
      </c>
      <c r="K3033" s="15" t="n">
        <f aca="false">IF(B3033="SITE LOSS",IF(COUNTIFS('Site Dockets'!$B$7:$B$24,C3033,'Site Dockets'!$C$7:$C$24,F3033)&gt;0,1,0),IF(B3033="REGION LOSS",IF(COUNTIFS('Site Dockets'!$E$7:$E$24,C3033,'Site Dockets'!$C$7:$C$24,F3033)&gt;0,1,0),0))</f>
        <v>0</v>
      </c>
      <c r="L3033" s="15" t="n">
        <f aca="false">IF(J3033=1,0,Inputs!$B$11)</f>
        <v>100</v>
      </c>
      <c r="M3033" s="15" t="n">
        <f aca="false">IF(J3033=1,0,Inputs!$B$12)</f>
        <v>75</v>
      </c>
      <c r="N3033" s="15" t="n">
        <f aca="false">IF(J3033=1,0,IF(OR(AND(OR(B3033="SITE LOSS",B3033="REGION LOSS"),K3033=1),AND(B3033="ROLE COMPROMISE",H3033=C3033)),Inputs!$B$13,Inputs!$B$14))</f>
        <v>10</v>
      </c>
      <c r="O3033" s="15" t="n">
        <f aca="false">IF(J3033=1,0,Inputs!$B$13)</f>
        <v>20</v>
      </c>
      <c r="P3033" s="15" t="n">
        <f aca="false">SUM(M3033:N3033)</f>
        <v>85</v>
      </c>
      <c r="Q3033" s="15" t="n">
        <f aca="false">IF(J3033=1,"",L3033-P3033)</f>
        <v>15</v>
      </c>
      <c r="R3033" s="15" t="n">
        <f aca="false">IF(OR(J3033=1,M3033&lt;=Inputs!$B$12),1,0)</f>
        <v>1</v>
      </c>
      <c r="S3033" s="15" t="n">
        <f aca="false">IF(OR(J3033=1,N3033&lt;=O3033),1,0)</f>
        <v>1</v>
      </c>
      <c r="T3033" s="15" t="str">
        <f aca="false">IF(J3033=1,"OFFLINE",IF(AND(Q3033&gt;=Inputs!$B$15,R3033=1,S3033=1,P3033&lt;=L3033),"PASS","FAIL"))</f>
        <v>PASS</v>
      </c>
    </row>
    <row r="3034" customFormat="false" ht="15" hidden="false" customHeight="false" outlineLevel="0" collapsed="false">
      <c r="A3034" s="14" t="s">
        <v>1051</v>
      </c>
      <c r="B3034" s="14" t="s">
        <v>1052</v>
      </c>
      <c r="C3034" s="14" t="s">
        <v>1053</v>
      </c>
      <c r="D3034" s="14" t="s">
        <v>149</v>
      </c>
      <c r="E3034" s="14" t="s">
        <v>152</v>
      </c>
      <c r="F3034" s="14" t="s">
        <v>150</v>
      </c>
      <c r="G3034" s="14" t="n">
        <v>1</v>
      </c>
      <c r="H3034" s="14" t="s">
        <v>154</v>
      </c>
      <c r="I3034" s="14" t="s">
        <v>895</v>
      </c>
      <c r="J3034" s="15" t="n">
        <f aca="false">IF(B3034="SITE LOSS",IF(D3034=C3034,1,0),IF(B3034="REGION LOSS",IF(E3034=C3034,1,0),0))</f>
        <v>0</v>
      </c>
      <c r="K3034" s="15" t="n">
        <f aca="false">IF(B3034="SITE LOSS",IF(COUNTIFS('Site Dockets'!$B$7:$B$24,C3034,'Site Dockets'!$C$7:$C$24,F3034)&gt;0,1,0),IF(B3034="REGION LOSS",IF(COUNTIFS('Site Dockets'!$E$7:$E$24,C3034,'Site Dockets'!$C$7:$C$24,F3034)&gt;0,1,0),0))</f>
        <v>0</v>
      </c>
      <c r="L3034" s="15" t="n">
        <f aca="false">IF(J3034=1,0,Inputs!$B$11)</f>
        <v>100</v>
      </c>
      <c r="M3034" s="15" t="n">
        <f aca="false">IF(J3034=1,0,Inputs!$B$12)</f>
        <v>75</v>
      </c>
      <c r="N3034" s="15" t="n">
        <f aca="false">IF(J3034=1,0,IF(OR(AND(OR(B3034="SITE LOSS",B3034="REGION LOSS"),K3034=1),AND(B3034="ROLE COMPROMISE",H3034=C3034)),Inputs!$B$13,Inputs!$B$14))</f>
        <v>10</v>
      </c>
      <c r="O3034" s="15" t="n">
        <f aca="false">IF(J3034=1,0,Inputs!$B$13)</f>
        <v>20</v>
      </c>
      <c r="P3034" s="15" t="n">
        <f aca="false">SUM(M3034:N3034)</f>
        <v>85</v>
      </c>
      <c r="Q3034" s="15" t="n">
        <f aca="false">IF(J3034=1,"",L3034-P3034)</f>
        <v>15</v>
      </c>
      <c r="R3034" s="15" t="n">
        <f aca="false">IF(OR(J3034=1,M3034&lt;=Inputs!$B$12),1,0)</f>
        <v>1</v>
      </c>
      <c r="S3034" s="15" t="n">
        <f aca="false">IF(OR(J3034=1,N3034&lt;=O3034),1,0)</f>
        <v>1</v>
      </c>
      <c r="T3034" s="15" t="str">
        <f aca="false">IF(J3034=1,"OFFLINE",IF(AND(Q3034&gt;=Inputs!$B$15,R3034=1,S3034=1,P3034&lt;=L3034),"PASS","FAIL"))</f>
        <v>PASS</v>
      </c>
    </row>
    <row r="3035" customFormat="false" ht="15" hidden="false" customHeight="false" outlineLevel="0" collapsed="false">
      <c r="A3035" s="14" t="s">
        <v>1051</v>
      </c>
      <c r="B3035" s="14" t="s">
        <v>1052</v>
      </c>
      <c r="C3035" s="14" t="s">
        <v>1053</v>
      </c>
      <c r="D3035" s="14" t="s">
        <v>149</v>
      </c>
      <c r="E3035" s="14" t="s">
        <v>152</v>
      </c>
      <c r="F3035" s="14" t="s">
        <v>150</v>
      </c>
      <c r="G3035" s="14" t="n">
        <v>1</v>
      </c>
      <c r="H3035" s="14" t="s">
        <v>154</v>
      </c>
      <c r="I3035" s="14" t="s">
        <v>897</v>
      </c>
      <c r="J3035" s="15" t="n">
        <f aca="false">IF(B3035="SITE LOSS",IF(D3035=C3035,1,0),IF(B3035="REGION LOSS",IF(E3035=C3035,1,0),0))</f>
        <v>0</v>
      </c>
      <c r="K3035" s="15" t="n">
        <f aca="false">IF(B3035="SITE LOSS",IF(COUNTIFS('Site Dockets'!$B$7:$B$24,C3035,'Site Dockets'!$C$7:$C$24,F3035)&gt;0,1,0),IF(B3035="REGION LOSS",IF(COUNTIFS('Site Dockets'!$E$7:$E$24,C3035,'Site Dockets'!$C$7:$C$24,F3035)&gt;0,1,0),0))</f>
        <v>0</v>
      </c>
      <c r="L3035" s="15" t="n">
        <f aca="false">IF(J3035=1,0,Inputs!$B$11)</f>
        <v>100</v>
      </c>
      <c r="M3035" s="15" t="n">
        <f aca="false">IF(J3035=1,0,Inputs!$B$12)</f>
        <v>75</v>
      </c>
      <c r="N3035" s="15" t="n">
        <f aca="false">IF(J3035=1,0,IF(OR(AND(OR(B3035="SITE LOSS",B3035="REGION LOSS"),K3035=1),AND(B3035="ROLE COMPROMISE",H3035=C3035)),Inputs!$B$13,Inputs!$B$14))</f>
        <v>10</v>
      </c>
      <c r="O3035" s="15" t="n">
        <f aca="false">IF(J3035=1,0,Inputs!$B$13)</f>
        <v>20</v>
      </c>
      <c r="P3035" s="15" t="n">
        <f aca="false">SUM(M3035:N3035)</f>
        <v>85</v>
      </c>
      <c r="Q3035" s="15" t="n">
        <f aca="false">IF(J3035=1,"",L3035-P3035)</f>
        <v>15</v>
      </c>
      <c r="R3035" s="15" t="n">
        <f aca="false">IF(OR(J3035=1,M3035&lt;=Inputs!$B$12),1,0)</f>
        <v>1</v>
      </c>
      <c r="S3035" s="15" t="n">
        <f aca="false">IF(OR(J3035=1,N3035&lt;=O3035),1,0)</f>
        <v>1</v>
      </c>
      <c r="T3035" s="15" t="str">
        <f aca="false">IF(J3035=1,"OFFLINE",IF(AND(Q3035&gt;=Inputs!$B$15,R3035=1,S3035=1,P3035&lt;=L3035),"PASS","FAIL"))</f>
        <v>PASS</v>
      </c>
    </row>
    <row r="3036" customFormat="false" ht="15" hidden="false" customHeight="false" outlineLevel="0" collapsed="false">
      <c r="A3036" s="14" t="s">
        <v>1051</v>
      </c>
      <c r="B3036" s="14" t="s">
        <v>1052</v>
      </c>
      <c r="C3036" s="14" t="s">
        <v>1053</v>
      </c>
      <c r="D3036" s="14" t="s">
        <v>149</v>
      </c>
      <c r="E3036" s="14" t="s">
        <v>152</v>
      </c>
      <c r="F3036" s="14" t="s">
        <v>150</v>
      </c>
      <c r="G3036" s="14" t="n">
        <v>1</v>
      </c>
      <c r="H3036" s="14" t="s">
        <v>154</v>
      </c>
      <c r="I3036" s="14" t="s">
        <v>899</v>
      </c>
      <c r="J3036" s="15" t="n">
        <f aca="false">IF(B3036="SITE LOSS",IF(D3036=C3036,1,0),IF(B3036="REGION LOSS",IF(E3036=C3036,1,0),0))</f>
        <v>0</v>
      </c>
      <c r="K3036" s="15" t="n">
        <f aca="false">IF(B3036="SITE LOSS",IF(COUNTIFS('Site Dockets'!$B$7:$B$24,C3036,'Site Dockets'!$C$7:$C$24,F3036)&gt;0,1,0),IF(B3036="REGION LOSS",IF(COUNTIFS('Site Dockets'!$E$7:$E$24,C3036,'Site Dockets'!$C$7:$C$24,F3036)&gt;0,1,0),0))</f>
        <v>0</v>
      </c>
      <c r="L3036" s="15" t="n">
        <f aca="false">IF(J3036=1,0,Inputs!$B$11)</f>
        <v>100</v>
      </c>
      <c r="M3036" s="15" t="n">
        <f aca="false">IF(J3036=1,0,Inputs!$B$12)</f>
        <v>75</v>
      </c>
      <c r="N3036" s="15" t="n">
        <f aca="false">IF(J3036=1,0,IF(OR(AND(OR(B3036="SITE LOSS",B3036="REGION LOSS"),K3036=1),AND(B3036="ROLE COMPROMISE",H3036=C3036)),Inputs!$B$13,Inputs!$B$14))</f>
        <v>10</v>
      </c>
      <c r="O3036" s="15" t="n">
        <f aca="false">IF(J3036=1,0,Inputs!$B$13)</f>
        <v>20</v>
      </c>
      <c r="P3036" s="15" t="n">
        <f aca="false">SUM(M3036:N3036)</f>
        <v>85</v>
      </c>
      <c r="Q3036" s="15" t="n">
        <f aca="false">IF(J3036=1,"",L3036-P3036)</f>
        <v>15</v>
      </c>
      <c r="R3036" s="15" t="n">
        <f aca="false">IF(OR(J3036=1,M3036&lt;=Inputs!$B$12),1,0)</f>
        <v>1</v>
      </c>
      <c r="S3036" s="15" t="n">
        <f aca="false">IF(OR(J3036=1,N3036&lt;=O3036),1,0)</f>
        <v>1</v>
      </c>
      <c r="T3036" s="15" t="str">
        <f aca="false">IF(J3036=1,"OFFLINE",IF(AND(Q3036&gt;=Inputs!$B$15,R3036=1,S3036=1,P3036&lt;=L3036),"PASS","FAIL"))</f>
        <v>PASS</v>
      </c>
    </row>
    <row r="3037" customFormat="false" ht="15" hidden="false" customHeight="false" outlineLevel="0" collapsed="false">
      <c r="A3037" s="14" t="s">
        <v>1051</v>
      </c>
      <c r="B3037" s="14" t="s">
        <v>1052</v>
      </c>
      <c r="C3037" s="14" t="s">
        <v>1053</v>
      </c>
      <c r="D3037" s="14" t="s">
        <v>156</v>
      </c>
      <c r="E3037" s="14" t="s">
        <v>157</v>
      </c>
      <c r="F3037" s="14" t="s">
        <v>150</v>
      </c>
      <c r="G3037" s="14" t="n">
        <v>2</v>
      </c>
      <c r="H3037" s="14" t="s">
        <v>153</v>
      </c>
      <c r="I3037" s="14" t="s">
        <v>890</v>
      </c>
      <c r="J3037" s="15" t="n">
        <f aca="false">IF(B3037="SITE LOSS",IF(D3037=C3037,1,0),IF(B3037="REGION LOSS",IF(E3037=C3037,1,0),0))</f>
        <v>0</v>
      </c>
      <c r="K3037" s="15" t="n">
        <f aca="false">IF(B3037="SITE LOSS",IF(COUNTIFS('Site Dockets'!$B$7:$B$24,C3037,'Site Dockets'!$C$7:$C$24,F3037)&gt;0,1,0),IF(B3037="REGION LOSS",IF(COUNTIFS('Site Dockets'!$E$7:$E$24,C3037,'Site Dockets'!$C$7:$C$24,F3037)&gt;0,1,0),0))</f>
        <v>0</v>
      </c>
      <c r="L3037" s="15" t="n">
        <f aca="false">IF(J3037=1,0,Inputs!$B$11)</f>
        <v>100</v>
      </c>
      <c r="M3037" s="15" t="n">
        <f aca="false">IF(J3037=1,0,Inputs!$B$12)</f>
        <v>75</v>
      </c>
      <c r="N3037" s="15" t="n">
        <f aca="false">IF(J3037=1,0,IF(OR(AND(OR(B3037="SITE LOSS",B3037="REGION LOSS"),K3037=1),AND(B3037="ROLE COMPROMISE",H3037=C3037)),Inputs!$B$13,Inputs!$B$14))</f>
        <v>10</v>
      </c>
      <c r="O3037" s="15" t="n">
        <f aca="false">IF(J3037=1,0,Inputs!$B$13)</f>
        <v>20</v>
      </c>
      <c r="P3037" s="15" t="n">
        <f aca="false">SUM(M3037:N3037)</f>
        <v>85</v>
      </c>
      <c r="Q3037" s="15" t="n">
        <f aca="false">IF(J3037=1,"",L3037-P3037)</f>
        <v>15</v>
      </c>
      <c r="R3037" s="15" t="n">
        <f aca="false">IF(OR(J3037=1,M3037&lt;=Inputs!$B$12),1,0)</f>
        <v>1</v>
      </c>
      <c r="S3037" s="15" t="n">
        <f aca="false">IF(OR(J3037=1,N3037&lt;=O3037),1,0)</f>
        <v>1</v>
      </c>
      <c r="T3037" s="15" t="str">
        <f aca="false">IF(J3037=1,"OFFLINE",IF(AND(Q3037&gt;=Inputs!$B$15,R3037=1,S3037=1,P3037&lt;=L3037),"PASS","FAIL"))</f>
        <v>PASS</v>
      </c>
    </row>
    <row r="3038" customFormat="false" ht="15" hidden="false" customHeight="false" outlineLevel="0" collapsed="false">
      <c r="A3038" s="14" t="s">
        <v>1051</v>
      </c>
      <c r="B3038" s="14" t="s">
        <v>1052</v>
      </c>
      <c r="C3038" s="14" t="s">
        <v>1053</v>
      </c>
      <c r="D3038" s="14" t="s">
        <v>156</v>
      </c>
      <c r="E3038" s="14" t="s">
        <v>157</v>
      </c>
      <c r="F3038" s="14" t="s">
        <v>150</v>
      </c>
      <c r="G3038" s="14" t="n">
        <v>2</v>
      </c>
      <c r="H3038" s="14" t="s">
        <v>153</v>
      </c>
      <c r="I3038" s="14" t="s">
        <v>892</v>
      </c>
      <c r="J3038" s="15" t="n">
        <f aca="false">IF(B3038="SITE LOSS",IF(D3038=C3038,1,0),IF(B3038="REGION LOSS",IF(E3038=C3038,1,0),0))</f>
        <v>0</v>
      </c>
      <c r="K3038" s="15" t="n">
        <f aca="false">IF(B3038="SITE LOSS",IF(COUNTIFS('Site Dockets'!$B$7:$B$24,C3038,'Site Dockets'!$C$7:$C$24,F3038)&gt;0,1,0),IF(B3038="REGION LOSS",IF(COUNTIFS('Site Dockets'!$E$7:$E$24,C3038,'Site Dockets'!$C$7:$C$24,F3038)&gt;0,1,0),0))</f>
        <v>0</v>
      </c>
      <c r="L3038" s="15" t="n">
        <f aca="false">IF(J3038=1,0,Inputs!$B$11)</f>
        <v>100</v>
      </c>
      <c r="M3038" s="15" t="n">
        <f aca="false">IF(J3038=1,0,Inputs!$B$12)</f>
        <v>75</v>
      </c>
      <c r="N3038" s="15" t="n">
        <f aca="false">IF(J3038=1,0,IF(OR(AND(OR(B3038="SITE LOSS",B3038="REGION LOSS"),K3038=1),AND(B3038="ROLE COMPROMISE",H3038=C3038)),Inputs!$B$13,Inputs!$B$14))</f>
        <v>10</v>
      </c>
      <c r="O3038" s="15" t="n">
        <f aca="false">IF(J3038=1,0,Inputs!$B$13)</f>
        <v>20</v>
      </c>
      <c r="P3038" s="15" t="n">
        <f aca="false">SUM(M3038:N3038)</f>
        <v>85</v>
      </c>
      <c r="Q3038" s="15" t="n">
        <f aca="false">IF(J3038=1,"",L3038-P3038)</f>
        <v>15</v>
      </c>
      <c r="R3038" s="15" t="n">
        <f aca="false">IF(OR(J3038=1,M3038&lt;=Inputs!$B$12),1,0)</f>
        <v>1</v>
      </c>
      <c r="S3038" s="15" t="n">
        <f aca="false">IF(OR(J3038=1,N3038&lt;=O3038),1,0)</f>
        <v>1</v>
      </c>
      <c r="T3038" s="15" t="str">
        <f aca="false">IF(J3038=1,"OFFLINE",IF(AND(Q3038&gt;=Inputs!$B$15,R3038=1,S3038=1,P3038&lt;=L3038),"PASS","FAIL"))</f>
        <v>PASS</v>
      </c>
    </row>
    <row r="3039" customFormat="false" ht="15" hidden="false" customHeight="false" outlineLevel="0" collapsed="false">
      <c r="A3039" s="14" t="s">
        <v>1051</v>
      </c>
      <c r="B3039" s="14" t="s">
        <v>1052</v>
      </c>
      <c r="C3039" s="14" t="s">
        <v>1053</v>
      </c>
      <c r="D3039" s="14" t="s">
        <v>156</v>
      </c>
      <c r="E3039" s="14" t="s">
        <v>157</v>
      </c>
      <c r="F3039" s="14" t="s">
        <v>150</v>
      </c>
      <c r="G3039" s="14" t="n">
        <v>2</v>
      </c>
      <c r="H3039" s="14" t="s">
        <v>153</v>
      </c>
      <c r="I3039" s="14" t="s">
        <v>811</v>
      </c>
      <c r="J3039" s="15" t="n">
        <f aca="false">IF(B3039="SITE LOSS",IF(D3039=C3039,1,0),IF(B3039="REGION LOSS",IF(E3039=C3039,1,0),0))</f>
        <v>0</v>
      </c>
      <c r="K3039" s="15" t="n">
        <f aca="false">IF(B3039="SITE LOSS",IF(COUNTIFS('Site Dockets'!$B$7:$B$24,C3039,'Site Dockets'!$C$7:$C$24,F3039)&gt;0,1,0),IF(B3039="REGION LOSS",IF(COUNTIFS('Site Dockets'!$E$7:$E$24,C3039,'Site Dockets'!$C$7:$C$24,F3039)&gt;0,1,0),0))</f>
        <v>0</v>
      </c>
      <c r="L3039" s="15" t="n">
        <f aca="false">IF(J3039=1,0,Inputs!$B$11)</f>
        <v>100</v>
      </c>
      <c r="M3039" s="15" t="n">
        <f aca="false">IF(J3039=1,0,Inputs!$B$12)</f>
        <v>75</v>
      </c>
      <c r="N3039" s="15" t="n">
        <f aca="false">IF(J3039=1,0,IF(OR(AND(OR(B3039="SITE LOSS",B3039="REGION LOSS"),K3039=1),AND(B3039="ROLE COMPROMISE",H3039=C3039)),Inputs!$B$13,Inputs!$B$14))</f>
        <v>10</v>
      </c>
      <c r="O3039" s="15" t="n">
        <f aca="false">IF(J3039=1,0,Inputs!$B$13)</f>
        <v>20</v>
      </c>
      <c r="P3039" s="15" t="n">
        <f aca="false">SUM(M3039:N3039)</f>
        <v>85</v>
      </c>
      <c r="Q3039" s="15" t="n">
        <f aca="false">IF(J3039=1,"",L3039-P3039)</f>
        <v>15</v>
      </c>
      <c r="R3039" s="15" t="n">
        <f aca="false">IF(OR(J3039=1,M3039&lt;=Inputs!$B$12),1,0)</f>
        <v>1</v>
      </c>
      <c r="S3039" s="15" t="n">
        <f aca="false">IF(OR(J3039=1,N3039&lt;=O3039),1,0)</f>
        <v>1</v>
      </c>
      <c r="T3039" s="15" t="str">
        <f aca="false">IF(J3039=1,"OFFLINE",IF(AND(Q3039&gt;=Inputs!$B$15,R3039=1,S3039=1,P3039&lt;=L3039),"PASS","FAIL"))</f>
        <v>PASS</v>
      </c>
    </row>
    <row r="3040" customFormat="false" ht="15" hidden="false" customHeight="false" outlineLevel="0" collapsed="false">
      <c r="A3040" s="14" t="s">
        <v>1051</v>
      </c>
      <c r="B3040" s="14" t="s">
        <v>1052</v>
      </c>
      <c r="C3040" s="14" t="s">
        <v>1053</v>
      </c>
      <c r="D3040" s="14" t="s">
        <v>156</v>
      </c>
      <c r="E3040" s="14" t="s">
        <v>157</v>
      </c>
      <c r="F3040" s="14" t="s">
        <v>150</v>
      </c>
      <c r="G3040" s="14" t="n">
        <v>2</v>
      </c>
      <c r="H3040" s="14" t="s">
        <v>153</v>
      </c>
      <c r="I3040" s="14" t="s">
        <v>895</v>
      </c>
      <c r="J3040" s="15" t="n">
        <f aca="false">IF(B3040="SITE LOSS",IF(D3040=C3040,1,0),IF(B3040="REGION LOSS",IF(E3040=C3040,1,0),0))</f>
        <v>0</v>
      </c>
      <c r="K3040" s="15" t="n">
        <f aca="false">IF(B3040="SITE LOSS",IF(COUNTIFS('Site Dockets'!$B$7:$B$24,C3040,'Site Dockets'!$C$7:$C$24,F3040)&gt;0,1,0),IF(B3040="REGION LOSS",IF(COUNTIFS('Site Dockets'!$E$7:$E$24,C3040,'Site Dockets'!$C$7:$C$24,F3040)&gt;0,1,0),0))</f>
        <v>0</v>
      </c>
      <c r="L3040" s="15" t="n">
        <f aca="false">IF(J3040=1,0,Inputs!$B$11)</f>
        <v>100</v>
      </c>
      <c r="M3040" s="15" t="n">
        <f aca="false">IF(J3040=1,0,Inputs!$B$12)</f>
        <v>75</v>
      </c>
      <c r="N3040" s="15" t="n">
        <f aca="false">IF(J3040=1,0,IF(OR(AND(OR(B3040="SITE LOSS",B3040="REGION LOSS"),K3040=1),AND(B3040="ROLE COMPROMISE",H3040=C3040)),Inputs!$B$13,Inputs!$B$14))</f>
        <v>10</v>
      </c>
      <c r="O3040" s="15" t="n">
        <f aca="false">IF(J3040=1,0,Inputs!$B$13)</f>
        <v>20</v>
      </c>
      <c r="P3040" s="15" t="n">
        <f aca="false">SUM(M3040:N3040)</f>
        <v>85</v>
      </c>
      <c r="Q3040" s="15" t="n">
        <f aca="false">IF(J3040=1,"",L3040-P3040)</f>
        <v>15</v>
      </c>
      <c r="R3040" s="15" t="n">
        <f aca="false">IF(OR(J3040=1,M3040&lt;=Inputs!$B$12),1,0)</f>
        <v>1</v>
      </c>
      <c r="S3040" s="15" t="n">
        <f aca="false">IF(OR(J3040=1,N3040&lt;=O3040),1,0)</f>
        <v>1</v>
      </c>
      <c r="T3040" s="15" t="str">
        <f aca="false">IF(J3040=1,"OFFLINE",IF(AND(Q3040&gt;=Inputs!$B$15,R3040=1,S3040=1,P3040&lt;=L3040),"PASS","FAIL"))</f>
        <v>PASS</v>
      </c>
    </row>
    <row r="3041" customFormat="false" ht="15" hidden="false" customHeight="false" outlineLevel="0" collapsed="false">
      <c r="A3041" s="14" t="s">
        <v>1051</v>
      </c>
      <c r="B3041" s="14" t="s">
        <v>1052</v>
      </c>
      <c r="C3041" s="14" t="s">
        <v>1053</v>
      </c>
      <c r="D3041" s="14" t="s">
        <v>156</v>
      </c>
      <c r="E3041" s="14" t="s">
        <v>157</v>
      </c>
      <c r="F3041" s="14" t="s">
        <v>150</v>
      </c>
      <c r="G3041" s="14" t="n">
        <v>2</v>
      </c>
      <c r="H3041" s="14" t="s">
        <v>153</v>
      </c>
      <c r="I3041" s="14" t="s">
        <v>897</v>
      </c>
      <c r="J3041" s="15" t="n">
        <f aca="false">IF(B3041="SITE LOSS",IF(D3041=C3041,1,0),IF(B3041="REGION LOSS",IF(E3041=C3041,1,0),0))</f>
        <v>0</v>
      </c>
      <c r="K3041" s="15" t="n">
        <f aca="false">IF(B3041="SITE LOSS",IF(COUNTIFS('Site Dockets'!$B$7:$B$24,C3041,'Site Dockets'!$C$7:$C$24,F3041)&gt;0,1,0),IF(B3041="REGION LOSS",IF(COUNTIFS('Site Dockets'!$E$7:$E$24,C3041,'Site Dockets'!$C$7:$C$24,F3041)&gt;0,1,0),0))</f>
        <v>0</v>
      </c>
      <c r="L3041" s="15" t="n">
        <f aca="false">IF(J3041=1,0,Inputs!$B$11)</f>
        <v>100</v>
      </c>
      <c r="M3041" s="15" t="n">
        <f aca="false">IF(J3041=1,0,Inputs!$B$12)</f>
        <v>75</v>
      </c>
      <c r="N3041" s="15" t="n">
        <f aca="false">IF(J3041=1,0,IF(OR(AND(OR(B3041="SITE LOSS",B3041="REGION LOSS"),K3041=1),AND(B3041="ROLE COMPROMISE",H3041=C3041)),Inputs!$B$13,Inputs!$B$14))</f>
        <v>10</v>
      </c>
      <c r="O3041" s="15" t="n">
        <f aca="false">IF(J3041=1,0,Inputs!$B$13)</f>
        <v>20</v>
      </c>
      <c r="P3041" s="15" t="n">
        <f aca="false">SUM(M3041:N3041)</f>
        <v>85</v>
      </c>
      <c r="Q3041" s="15" t="n">
        <f aca="false">IF(J3041=1,"",L3041-P3041)</f>
        <v>15</v>
      </c>
      <c r="R3041" s="15" t="n">
        <f aca="false">IF(OR(J3041=1,M3041&lt;=Inputs!$B$12),1,0)</f>
        <v>1</v>
      </c>
      <c r="S3041" s="15" t="n">
        <f aca="false">IF(OR(J3041=1,N3041&lt;=O3041),1,0)</f>
        <v>1</v>
      </c>
      <c r="T3041" s="15" t="str">
        <f aca="false">IF(J3041=1,"OFFLINE",IF(AND(Q3041&gt;=Inputs!$B$15,R3041=1,S3041=1,P3041&lt;=L3041),"PASS","FAIL"))</f>
        <v>PASS</v>
      </c>
    </row>
    <row r="3042" customFormat="false" ht="15" hidden="false" customHeight="false" outlineLevel="0" collapsed="false">
      <c r="A3042" s="14" t="s">
        <v>1051</v>
      </c>
      <c r="B3042" s="14" t="s">
        <v>1052</v>
      </c>
      <c r="C3042" s="14" t="s">
        <v>1053</v>
      </c>
      <c r="D3042" s="14" t="s">
        <v>156</v>
      </c>
      <c r="E3042" s="14" t="s">
        <v>157</v>
      </c>
      <c r="F3042" s="14" t="s">
        <v>150</v>
      </c>
      <c r="G3042" s="14" t="n">
        <v>2</v>
      </c>
      <c r="H3042" s="14" t="s">
        <v>153</v>
      </c>
      <c r="I3042" s="14" t="s">
        <v>899</v>
      </c>
      <c r="J3042" s="15" t="n">
        <f aca="false">IF(B3042="SITE LOSS",IF(D3042=C3042,1,0),IF(B3042="REGION LOSS",IF(E3042=C3042,1,0),0))</f>
        <v>0</v>
      </c>
      <c r="K3042" s="15" t="n">
        <f aca="false">IF(B3042="SITE LOSS",IF(COUNTIFS('Site Dockets'!$B$7:$B$24,C3042,'Site Dockets'!$C$7:$C$24,F3042)&gt;0,1,0),IF(B3042="REGION LOSS",IF(COUNTIFS('Site Dockets'!$E$7:$E$24,C3042,'Site Dockets'!$C$7:$C$24,F3042)&gt;0,1,0),0))</f>
        <v>0</v>
      </c>
      <c r="L3042" s="15" t="n">
        <f aca="false">IF(J3042=1,0,Inputs!$B$11)</f>
        <v>100</v>
      </c>
      <c r="M3042" s="15" t="n">
        <f aca="false">IF(J3042=1,0,Inputs!$B$12)</f>
        <v>75</v>
      </c>
      <c r="N3042" s="15" t="n">
        <f aca="false">IF(J3042=1,0,IF(OR(AND(OR(B3042="SITE LOSS",B3042="REGION LOSS"),K3042=1),AND(B3042="ROLE COMPROMISE",H3042=C3042)),Inputs!$B$13,Inputs!$B$14))</f>
        <v>10</v>
      </c>
      <c r="O3042" s="15" t="n">
        <f aca="false">IF(J3042=1,0,Inputs!$B$13)</f>
        <v>20</v>
      </c>
      <c r="P3042" s="15" t="n">
        <f aca="false">SUM(M3042:N3042)</f>
        <v>85</v>
      </c>
      <c r="Q3042" s="15" t="n">
        <f aca="false">IF(J3042=1,"",L3042-P3042)</f>
        <v>15</v>
      </c>
      <c r="R3042" s="15" t="n">
        <f aca="false">IF(OR(J3042=1,M3042&lt;=Inputs!$B$12),1,0)</f>
        <v>1</v>
      </c>
      <c r="S3042" s="15" t="n">
        <f aca="false">IF(OR(J3042=1,N3042&lt;=O3042),1,0)</f>
        <v>1</v>
      </c>
      <c r="T3042" s="15" t="str">
        <f aca="false">IF(J3042=1,"OFFLINE",IF(AND(Q3042&gt;=Inputs!$B$15,R3042=1,S3042=1,P3042&lt;=L3042),"PASS","FAIL"))</f>
        <v>PASS</v>
      </c>
    </row>
    <row r="3043" customFormat="false" ht="15" hidden="false" customHeight="false" outlineLevel="0" collapsed="false">
      <c r="A3043" s="14" t="s">
        <v>1051</v>
      </c>
      <c r="B3043" s="14" t="s">
        <v>1052</v>
      </c>
      <c r="C3043" s="14" t="s">
        <v>1053</v>
      </c>
      <c r="D3043" s="14" t="s">
        <v>160</v>
      </c>
      <c r="E3043" s="14" t="s">
        <v>161</v>
      </c>
      <c r="F3043" s="14" t="s">
        <v>150</v>
      </c>
      <c r="G3043" s="14" t="n">
        <v>3</v>
      </c>
      <c r="H3043" s="14" t="s">
        <v>158</v>
      </c>
      <c r="I3043" s="14" t="s">
        <v>890</v>
      </c>
      <c r="J3043" s="15" t="n">
        <f aca="false">IF(B3043="SITE LOSS",IF(D3043=C3043,1,0),IF(B3043="REGION LOSS",IF(E3043=C3043,1,0),0))</f>
        <v>0</v>
      </c>
      <c r="K3043" s="15" t="n">
        <f aca="false">IF(B3043="SITE LOSS",IF(COUNTIFS('Site Dockets'!$B$7:$B$24,C3043,'Site Dockets'!$C$7:$C$24,F3043)&gt;0,1,0),IF(B3043="REGION LOSS",IF(COUNTIFS('Site Dockets'!$E$7:$E$24,C3043,'Site Dockets'!$C$7:$C$24,F3043)&gt;0,1,0),0))</f>
        <v>0</v>
      </c>
      <c r="L3043" s="15" t="n">
        <f aca="false">IF(J3043=1,0,Inputs!$B$11)</f>
        <v>100</v>
      </c>
      <c r="M3043" s="15" t="n">
        <f aca="false">IF(J3043=1,0,Inputs!$B$12)</f>
        <v>75</v>
      </c>
      <c r="N3043" s="15" t="n">
        <f aca="false">IF(J3043=1,0,IF(OR(AND(OR(B3043="SITE LOSS",B3043="REGION LOSS"),K3043=1),AND(B3043="ROLE COMPROMISE",H3043=C3043)),Inputs!$B$13,Inputs!$B$14))</f>
        <v>10</v>
      </c>
      <c r="O3043" s="15" t="n">
        <f aca="false">IF(J3043=1,0,Inputs!$B$13)</f>
        <v>20</v>
      </c>
      <c r="P3043" s="15" t="n">
        <f aca="false">SUM(M3043:N3043)</f>
        <v>85</v>
      </c>
      <c r="Q3043" s="15" t="n">
        <f aca="false">IF(J3043=1,"",L3043-P3043)</f>
        <v>15</v>
      </c>
      <c r="R3043" s="15" t="n">
        <f aca="false">IF(OR(J3043=1,M3043&lt;=Inputs!$B$12),1,0)</f>
        <v>1</v>
      </c>
      <c r="S3043" s="15" t="n">
        <f aca="false">IF(OR(J3043=1,N3043&lt;=O3043),1,0)</f>
        <v>1</v>
      </c>
      <c r="T3043" s="15" t="str">
        <f aca="false">IF(J3043=1,"OFFLINE",IF(AND(Q3043&gt;=Inputs!$B$15,R3043=1,S3043=1,P3043&lt;=L3043),"PASS","FAIL"))</f>
        <v>PASS</v>
      </c>
    </row>
    <row r="3044" customFormat="false" ht="15" hidden="false" customHeight="false" outlineLevel="0" collapsed="false">
      <c r="A3044" s="14" t="s">
        <v>1051</v>
      </c>
      <c r="B3044" s="14" t="s">
        <v>1052</v>
      </c>
      <c r="C3044" s="14" t="s">
        <v>1053</v>
      </c>
      <c r="D3044" s="14" t="s">
        <v>160</v>
      </c>
      <c r="E3044" s="14" t="s">
        <v>161</v>
      </c>
      <c r="F3044" s="14" t="s">
        <v>150</v>
      </c>
      <c r="G3044" s="14" t="n">
        <v>3</v>
      </c>
      <c r="H3044" s="14" t="s">
        <v>158</v>
      </c>
      <c r="I3044" s="14" t="s">
        <v>892</v>
      </c>
      <c r="J3044" s="15" t="n">
        <f aca="false">IF(B3044="SITE LOSS",IF(D3044=C3044,1,0),IF(B3044="REGION LOSS",IF(E3044=C3044,1,0),0))</f>
        <v>0</v>
      </c>
      <c r="K3044" s="15" t="n">
        <f aca="false">IF(B3044="SITE LOSS",IF(COUNTIFS('Site Dockets'!$B$7:$B$24,C3044,'Site Dockets'!$C$7:$C$24,F3044)&gt;0,1,0),IF(B3044="REGION LOSS",IF(COUNTIFS('Site Dockets'!$E$7:$E$24,C3044,'Site Dockets'!$C$7:$C$24,F3044)&gt;0,1,0),0))</f>
        <v>0</v>
      </c>
      <c r="L3044" s="15" t="n">
        <f aca="false">IF(J3044=1,0,Inputs!$B$11)</f>
        <v>100</v>
      </c>
      <c r="M3044" s="15" t="n">
        <f aca="false">IF(J3044=1,0,Inputs!$B$12)</f>
        <v>75</v>
      </c>
      <c r="N3044" s="15" t="n">
        <f aca="false">IF(J3044=1,0,IF(OR(AND(OR(B3044="SITE LOSS",B3044="REGION LOSS"),K3044=1),AND(B3044="ROLE COMPROMISE",H3044=C3044)),Inputs!$B$13,Inputs!$B$14))</f>
        <v>10</v>
      </c>
      <c r="O3044" s="15" t="n">
        <f aca="false">IF(J3044=1,0,Inputs!$B$13)</f>
        <v>20</v>
      </c>
      <c r="P3044" s="15" t="n">
        <f aca="false">SUM(M3044:N3044)</f>
        <v>85</v>
      </c>
      <c r="Q3044" s="15" t="n">
        <f aca="false">IF(J3044=1,"",L3044-P3044)</f>
        <v>15</v>
      </c>
      <c r="R3044" s="15" t="n">
        <f aca="false">IF(OR(J3044=1,M3044&lt;=Inputs!$B$12),1,0)</f>
        <v>1</v>
      </c>
      <c r="S3044" s="15" t="n">
        <f aca="false">IF(OR(J3044=1,N3044&lt;=O3044),1,0)</f>
        <v>1</v>
      </c>
      <c r="T3044" s="15" t="str">
        <f aca="false">IF(J3044=1,"OFFLINE",IF(AND(Q3044&gt;=Inputs!$B$15,R3044=1,S3044=1,P3044&lt;=L3044),"PASS","FAIL"))</f>
        <v>PASS</v>
      </c>
    </row>
    <row r="3045" customFormat="false" ht="15" hidden="false" customHeight="false" outlineLevel="0" collapsed="false">
      <c r="A3045" s="14" t="s">
        <v>1051</v>
      </c>
      <c r="B3045" s="14" t="s">
        <v>1052</v>
      </c>
      <c r="C3045" s="14" t="s">
        <v>1053</v>
      </c>
      <c r="D3045" s="14" t="s">
        <v>160</v>
      </c>
      <c r="E3045" s="14" t="s">
        <v>161</v>
      </c>
      <c r="F3045" s="14" t="s">
        <v>150</v>
      </c>
      <c r="G3045" s="14" t="n">
        <v>3</v>
      </c>
      <c r="H3045" s="14" t="s">
        <v>158</v>
      </c>
      <c r="I3045" s="14" t="s">
        <v>811</v>
      </c>
      <c r="J3045" s="15" t="n">
        <f aca="false">IF(B3045="SITE LOSS",IF(D3045=C3045,1,0),IF(B3045="REGION LOSS",IF(E3045=C3045,1,0),0))</f>
        <v>0</v>
      </c>
      <c r="K3045" s="15" t="n">
        <f aca="false">IF(B3045="SITE LOSS",IF(COUNTIFS('Site Dockets'!$B$7:$B$24,C3045,'Site Dockets'!$C$7:$C$24,F3045)&gt;0,1,0),IF(B3045="REGION LOSS",IF(COUNTIFS('Site Dockets'!$E$7:$E$24,C3045,'Site Dockets'!$C$7:$C$24,F3045)&gt;0,1,0),0))</f>
        <v>0</v>
      </c>
      <c r="L3045" s="15" t="n">
        <f aca="false">IF(J3045=1,0,Inputs!$B$11)</f>
        <v>100</v>
      </c>
      <c r="M3045" s="15" t="n">
        <f aca="false">IF(J3045=1,0,Inputs!$B$12)</f>
        <v>75</v>
      </c>
      <c r="N3045" s="15" t="n">
        <f aca="false">IF(J3045=1,0,IF(OR(AND(OR(B3045="SITE LOSS",B3045="REGION LOSS"),K3045=1),AND(B3045="ROLE COMPROMISE",H3045=C3045)),Inputs!$B$13,Inputs!$B$14))</f>
        <v>10</v>
      </c>
      <c r="O3045" s="15" t="n">
        <f aca="false">IF(J3045=1,0,Inputs!$B$13)</f>
        <v>20</v>
      </c>
      <c r="P3045" s="15" t="n">
        <f aca="false">SUM(M3045:N3045)</f>
        <v>85</v>
      </c>
      <c r="Q3045" s="15" t="n">
        <f aca="false">IF(J3045=1,"",L3045-P3045)</f>
        <v>15</v>
      </c>
      <c r="R3045" s="15" t="n">
        <f aca="false">IF(OR(J3045=1,M3045&lt;=Inputs!$B$12),1,0)</f>
        <v>1</v>
      </c>
      <c r="S3045" s="15" t="n">
        <f aca="false">IF(OR(J3045=1,N3045&lt;=O3045),1,0)</f>
        <v>1</v>
      </c>
      <c r="T3045" s="15" t="str">
        <f aca="false">IF(J3045=1,"OFFLINE",IF(AND(Q3045&gt;=Inputs!$B$15,R3045=1,S3045=1,P3045&lt;=L3045),"PASS","FAIL"))</f>
        <v>PASS</v>
      </c>
    </row>
    <row r="3046" customFormat="false" ht="15" hidden="false" customHeight="false" outlineLevel="0" collapsed="false">
      <c r="A3046" s="14" t="s">
        <v>1051</v>
      </c>
      <c r="B3046" s="14" t="s">
        <v>1052</v>
      </c>
      <c r="C3046" s="14" t="s">
        <v>1053</v>
      </c>
      <c r="D3046" s="14" t="s">
        <v>160</v>
      </c>
      <c r="E3046" s="14" t="s">
        <v>161</v>
      </c>
      <c r="F3046" s="14" t="s">
        <v>150</v>
      </c>
      <c r="G3046" s="14" t="n">
        <v>3</v>
      </c>
      <c r="H3046" s="14" t="s">
        <v>158</v>
      </c>
      <c r="I3046" s="14" t="s">
        <v>895</v>
      </c>
      <c r="J3046" s="15" t="n">
        <f aca="false">IF(B3046="SITE LOSS",IF(D3046=C3046,1,0),IF(B3046="REGION LOSS",IF(E3046=C3046,1,0),0))</f>
        <v>0</v>
      </c>
      <c r="K3046" s="15" t="n">
        <f aca="false">IF(B3046="SITE LOSS",IF(COUNTIFS('Site Dockets'!$B$7:$B$24,C3046,'Site Dockets'!$C$7:$C$24,F3046)&gt;0,1,0),IF(B3046="REGION LOSS",IF(COUNTIFS('Site Dockets'!$E$7:$E$24,C3046,'Site Dockets'!$C$7:$C$24,F3046)&gt;0,1,0),0))</f>
        <v>0</v>
      </c>
      <c r="L3046" s="15" t="n">
        <f aca="false">IF(J3046=1,0,Inputs!$B$11)</f>
        <v>100</v>
      </c>
      <c r="M3046" s="15" t="n">
        <f aca="false">IF(J3046=1,0,Inputs!$B$12)</f>
        <v>75</v>
      </c>
      <c r="N3046" s="15" t="n">
        <f aca="false">IF(J3046=1,0,IF(OR(AND(OR(B3046="SITE LOSS",B3046="REGION LOSS"),K3046=1),AND(B3046="ROLE COMPROMISE",H3046=C3046)),Inputs!$B$13,Inputs!$B$14))</f>
        <v>10</v>
      </c>
      <c r="O3046" s="15" t="n">
        <f aca="false">IF(J3046=1,0,Inputs!$B$13)</f>
        <v>20</v>
      </c>
      <c r="P3046" s="15" t="n">
        <f aca="false">SUM(M3046:N3046)</f>
        <v>85</v>
      </c>
      <c r="Q3046" s="15" t="n">
        <f aca="false">IF(J3046=1,"",L3046-P3046)</f>
        <v>15</v>
      </c>
      <c r="R3046" s="15" t="n">
        <f aca="false">IF(OR(J3046=1,M3046&lt;=Inputs!$B$12),1,0)</f>
        <v>1</v>
      </c>
      <c r="S3046" s="15" t="n">
        <f aca="false">IF(OR(J3046=1,N3046&lt;=O3046),1,0)</f>
        <v>1</v>
      </c>
      <c r="T3046" s="15" t="str">
        <f aca="false">IF(J3046=1,"OFFLINE",IF(AND(Q3046&gt;=Inputs!$B$15,R3046=1,S3046=1,P3046&lt;=L3046),"PASS","FAIL"))</f>
        <v>PASS</v>
      </c>
    </row>
    <row r="3047" customFormat="false" ht="15" hidden="false" customHeight="false" outlineLevel="0" collapsed="false">
      <c r="A3047" s="14" t="s">
        <v>1051</v>
      </c>
      <c r="B3047" s="14" t="s">
        <v>1052</v>
      </c>
      <c r="C3047" s="14" t="s">
        <v>1053</v>
      </c>
      <c r="D3047" s="14" t="s">
        <v>160</v>
      </c>
      <c r="E3047" s="14" t="s">
        <v>161</v>
      </c>
      <c r="F3047" s="14" t="s">
        <v>150</v>
      </c>
      <c r="G3047" s="14" t="n">
        <v>3</v>
      </c>
      <c r="H3047" s="14" t="s">
        <v>158</v>
      </c>
      <c r="I3047" s="14" t="s">
        <v>897</v>
      </c>
      <c r="J3047" s="15" t="n">
        <f aca="false">IF(B3047="SITE LOSS",IF(D3047=C3047,1,0),IF(B3047="REGION LOSS",IF(E3047=C3047,1,0),0))</f>
        <v>0</v>
      </c>
      <c r="K3047" s="15" t="n">
        <f aca="false">IF(B3047="SITE LOSS",IF(COUNTIFS('Site Dockets'!$B$7:$B$24,C3047,'Site Dockets'!$C$7:$C$24,F3047)&gt;0,1,0),IF(B3047="REGION LOSS",IF(COUNTIFS('Site Dockets'!$E$7:$E$24,C3047,'Site Dockets'!$C$7:$C$24,F3047)&gt;0,1,0),0))</f>
        <v>0</v>
      </c>
      <c r="L3047" s="15" t="n">
        <f aca="false">IF(J3047=1,0,Inputs!$B$11)</f>
        <v>100</v>
      </c>
      <c r="M3047" s="15" t="n">
        <f aca="false">IF(J3047=1,0,Inputs!$B$12)</f>
        <v>75</v>
      </c>
      <c r="N3047" s="15" t="n">
        <f aca="false">IF(J3047=1,0,IF(OR(AND(OR(B3047="SITE LOSS",B3047="REGION LOSS"),K3047=1),AND(B3047="ROLE COMPROMISE",H3047=C3047)),Inputs!$B$13,Inputs!$B$14))</f>
        <v>10</v>
      </c>
      <c r="O3047" s="15" t="n">
        <f aca="false">IF(J3047=1,0,Inputs!$B$13)</f>
        <v>20</v>
      </c>
      <c r="P3047" s="15" t="n">
        <f aca="false">SUM(M3047:N3047)</f>
        <v>85</v>
      </c>
      <c r="Q3047" s="15" t="n">
        <f aca="false">IF(J3047=1,"",L3047-P3047)</f>
        <v>15</v>
      </c>
      <c r="R3047" s="15" t="n">
        <f aca="false">IF(OR(J3047=1,M3047&lt;=Inputs!$B$12),1,0)</f>
        <v>1</v>
      </c>
      <c r="S3047" s="15" t="n">
        <f aca="false">IF(OR(J3047=1,N3047&lt;=O3047),1,0)</f>
        <v>1</v>
      </c>
      <c r="T3047" s="15" t="str">
        <f aca="false">IF(J3047=1,"OFFLINE",IF(AND(Q3047&gt;=Inputs!$B$15,R3047=1,S3047=1,P3047&lt;=L3047),"PASS","FAIL"))</f>
        <v>PASS</v>
      </c>
    </row>
    <row r="3048" customFormat="false" ht="15" hidden="false" customHeight="false" outlineLevel="0" collapsed="false">
      <c r="A3048" s="14" t="s">
        <v>1051</v>
      </c>
      <c r="B3048" s="14" t="s">
        <v>1052</v>
      </c>
      <c r="C3048" s="14" t="s">
        <v>1053</v>
      </c>
      <c r="D3048" s="14" t="s">
        <v>160</v>
      </c>
      <c r="E3048" s="14" t="s">
        <v>161</v>
      </c>
      <c r="F3048" s="14" t="s">
        <v>150</v>
      </c>
      <c r="G3048" s="14" t="n">
        <v>3</v>
      </c>
      <c r="H3048" s="14" t="s">
        <v>158</v>
      </c>
      <c r="I3048" s="14" t="s">
        <v>899</v>
      </c>
      <c r="J3048" s="15" t="n">
        <f aca="false">IF(B3048="SITE LOSS",IF(D3048=C3048,1,0),IF(B3048="REGION LOSS",IF(E3048=C3048,1,0),0))</f>
        <v>0</v>
      </c>
      <c r="K3048" s="15" t="n">
        <f aca="false">IF(B3048="SITE LOSS",IF(COUNTIFS('Site Dockets'!$B$7:$B$24,C3048,'Site Dockets'!$C$7:$C$24,F3048)&gt;0,1,0),IF(B3048="REGION LOSS",IF(COUNTIFS('Site Dockets'!$E$7:$E$24,C3048,'Site Dockets'!$C$7:$C$24,F3048)&gt;0,1,0),0))</f>
        <v>0</v>
      </c>
      <c r="L3048" s="15" t="n">
        <f aca="false">IF(J3048=1,0,Inputs!$B$11)</f>
        <v>100</v>
      </c>
      <c r="M3048" s="15" t="n">
        <f aca="false">IF(J3048=1,0,Inputs!$B$12)</f>
        <v>75</v>
      </c>
      <c r="N3048" s="15" t="n">
        <f aca="false">IF(J3048=1,0,IF(OR(AND(OR(B3048="SITE LOSS",B3048="REGION LOSS"),K3048=1),AND(B3048="ROLE COMPROMISE",H3048=C3048)),Inputs!$B$13,Inputs!$B$14))</f>
        <v>10</v>
      </c>
      <c r="O3048" s="15" t="n">
        <f aca="false">IF(J3048=1,0,Inputs!$B$13)</f>
        <v>20</v>
      </c>
      <c r="P3048" s="15" t="n">
        <f aca="false">SUM(M3048:N3048)</f>
        <v>85</v>
      </c>
      <c r="Q3048" s="15" t="n">
        <f aca="false">IF(J3048=1,"",L3048-P3048)</f>
        <v>15</v>
      </c>
      <c r="R3048" s="15" t="n">
        <f aca="false">IF(OR(J3048=1,M3048&lt;=Inputs!$B$12),1,0)</f>
        <v>1</v>
      </c>
      <c r="S3048" s="15" t="n">
        <f aca="false">IF(OR(J3048=1,N3048&lt;=O3048),1,0)</f>
        <v>1</v>
      </c>
      <c r="T3048" s="15" t="str">
        <f aca="false">IF(J3048=1,"OFFLINE",IF(AND(Q3048&gt;=Inputs!$B$15,R3048=1,S3048=1,P3048&lt;=L3048),"PASS","FAIL"))</f>
        <v>PASS</v>
      </c>
    </row>
    <row r="3049" customFormat="false" ht="15" hidden="false" customHeight="false" outlineLevel="0" collapsed="false">
      <c r="A3049" s="14" t="s">
        <v>1051</v>
      </c>
      <c r="B3049" s="14" t="s">
        <v>1052</v>
      </c>
      <c r="C3049" s="14" t="s">
        <v>1053</v>
      </c>
      <c r="D3049" s="14" t="s">
        <v>163</v>
      </c>
      <c r="E3049" s="14" t="s">
        <v>166</v>
      </c>
      <c r="F3049" s="14" t="s">
        <v>164</v>
      </c>
      <c r="G3049" s="14" t="n">
        <v>1</v>
      </c>
      <c r="H3049" s="14" t="s">
        <v>154</v>
      </c>
      <c r="I3049" s="14" t="s">
        <v>890</v>
      </c>
      <c r="J3049" s="15" t="n">
        <f aca="false">IF(B3049="SITE LOSS",IF(D3049=C3049,1,0),IF(B3049="REGION LOSS",IF(E3049=C3049,1,0),0))</f>
        <v>0</v>
      </c>
      <c r="K3049" s="15" t="n">
        <f aca="false">IF(B3049="SITE LOSS",IF(COUNTIFS('Site Dockets'!$B$7:$B$24,C3049,'Site Dockets'!$C$7:$C$24,F3049)&gt;0,1,0),IF(B3049="REGION LOSS",IF(COUNTIFS('Site Dockets'!$E$7:$E$24,C3049,'Site Dockets'!$C$7:$C$24,F3049)&gt;0,1,0),0))</f>
        <v>0</v>
      </c>
      <c r="L3049" s="15" t="n">
        <f aca="false">IF(J3049=1,0,Inputs!$B$11)</f>
        <v>100</v>
      </c>
      <c r="M3049" s="15" t="n">
        <f aca="false">IF(J3049=1,0,Inputs!$B$12)</f>
        <v>75</v>
      </c>
      <c r="N3049" s="15" t="n">
        <f aca="false">IF(J3049=1,0,IF(OR(AND(OR(B3049="SITE LOSS",B3049="REGION LOSS"),K3049=1),AND(B3049="ROLE COMPROMISE",H3049=C3049)),Inputs!$B$13,Inputs!$B$14))</f>
        <v>10</v>
      </c>
      <c r="O3049" s="15" t="n">
        <f aca="false">IF(J3049=1,0,Inputs!$B$13)</f>
        <v>20</v>
      </c>
      <c r="P3049" s="15" t="n">
        <f aca="false">SUM(M3049:N3049)</f>
        <v>85</v>
      </c>
      <c r="Q3049" s="15" t="n">
        <f aca="false">IF(J3049=1,"",L3049-P3049)</f>
        <v>15</v>
      </c>
      <c r="R3049" s="15" t="n">
        <f aca="false">IF(OR(J3049=1,M3049&lt;=Inputs!$B$12),1,0)</f>
        <v>1</v>
      </c>
      <c r="S3049" s="15" t="n">
        <f aca="false">IF(OR(J3049=1,N3049&lt;=O3049),1,0)</f>
        <v>1</v>
      </c>
      <c r="T3049" s="15" t="str">
        <f aca="false">IF(J3049=1,"OFFLINE",IF(AND(Q3049&gt;=Inputs!$B$15,R3049=1,S3049=1,P3049&lt;=L3049),"PASS","FAIL"))</f>
        <v>PASS</v>
      </c>
    </row>
    <row r="3050" customFormat="false" ht="15" hidden="false" customHeight="false" outlineLevel="0" collapsed="false">
      <c r="A3050" s="14" t="s">
        <v>1051</v>
      </c>
      <c r="B3050" s="14" t="s">
        <v>1052</v>
      </c>
      <c r="C3050" s="14" t="s">
        <v>1053</v>
      </c>
      <c r="D3050" s="14" t="s">
        <v>163</v>
      </c>
      <c r="E3050" s="14" t="s">
        <v>166</v>
      </c>
      <c r="F3050" s="14" t="s">
        <v>164</v>
      </c>
      <c r="G3050" s="14" t="n">
        <v>1</v>
      </c>
      <c r="H3050" s="14" t="s">
        <v>154</v>
      </c>
      <c r="I3050" s="14" t="s">
        <v>892</v>
      </c>
      <c r="J3050" s="15" t="n">
        <f aca="false">IF(B3050="SITE LOSS",IF(D3050=C3050,1,0),IF(B3050="REGION LOSS",IF(E3050=C3050,1,0),0))</f>
        <v>0</v>
      </c>
      <c r="K3050" s="15" t="n">
        <f aca="false">IF(B3050="SITE LOSS",IF(COUNTIFS('Site Dockets'!$B$7:$B$24,C3050,'Site Dockets'!$C$7:$C$24,F3050)&gt;0,1,0),IF(B3050="REGION LOSS",IF(COUNTIFS('Site Dockets'!$E$7:$E$24,C3050,'Site Dockets'!$C$7:$C$24,F3050)&gt;0,1,0),0))</f>
        <v>0</v>
      </c>
      <c r="L3050" s="15" t="n">
        <f aca="false">IF(J3050=1,0,Inputs!$B$11)</f>
        <v>100</v>
      </c>
      <c r="M3050" s="15" t="n">
        <f aca="false">IF(J3050=1,0,Inputs!$B$12)</f>
        <v>75</v>
      </c>
      <c r="N3050" s="15" t="n">
        <f aca="false">IF(J3050=1,0,IF(OR(AND(OR(B3050="SITE LOSS",B3050="REGION LOSS"),K3050=1),AND(B3050="ROLE COMPROMISE",H3050=C3050)),Inputs!$B$13,Inputs!$B$14))</f>
        <v>10</v>
      </c>
      <c r="O3050" s="15" t="n">
        <f aca="false">IF(J3050=1,0,Inputs!$B$13)</f>
        <v>20</v>
      </c>
      <c r="P3050" s="15" t="n">
        <f aca="false">SUM(M3050:N3050)</f>
        <v>85</v>
      </c>
      <c r="Q3050" s="15" t="n">
        <f aca="false">IF(J3050=1,"",L3050-P3050)</f>
        <v>15</v>
      </c>
      <c r="R3050" s="15" t="n">
        <f aca="false">IF(OR(J3050=1,M3050&lt;=Inputs!$B$12),1,0)</f>
        <v>1</v>
      </c>
      <c r="S3050" s="15" t="n">
        <f aca="false">IF(OR(J3050=1,N3050&lt;=O3050),1,0)</f>
        <v>1</v>
      </c>
      <c r="T3050" s="15" t="str">
        <f aca="false">IF(J3050=1,"OFFLINE",IF(AND(Q3050&gt;=Inputs!$B$15,R3050=1,S3050=1,P3050&lt;=L3050),"PASS","FAIL"))</f>
        <v>PASS</v>
      </c>
    </row>
    <row r="3051" customFormat="false" ht="15" hidden="false" customHeight="false" outlineLevel="0" collapsed="false">
      <c r="A3051" s="14" t="s">
        <v>1051</v>
      </c>
      <c r="B3051" s="14" t="s">
        <v>1052</v>
      </c>
      <c r="C3051" s="14" t="s">
        <v>1053</v>
      </c>
      <c r="D3051" s="14" t="s">
        <v>163</v>
      </c>
      <c r="E3051" s="14" t="s">
        <v>166</v>
      </c>
      <c r="F3051" s="14" t="s">
        <v>164</v>
      </c>
      <c r="G3051" s="14" t="n">
        <v>1</v>
      </c>
      <c r="H3051" s="14" t="s">
        <v>154</v>
      </c>
      <c r="I3051" s="14" t="s">
        <v>811</v>
      </c>
      <c r="J3051" s="15" t="n">
        <f aca="false">IF(B3051="SITE LOSS",IF(D3051=C3051,1,0),IF(B3051="REGION LOSS",IF(E3051=C3051,1,0),0))</f>
        <v>0</v>
      </c>
      <c r="K3051" s="15" t="n">
        <f aca="false">IF(B3051="SITE LOSS",IF(COUNTIFS('Site Dockets'!$B$7:$B$24,C3051,'Site Dockets'!$C$7:$C$24,F3051)&gt;0,1,0),IF(B3051="REGION LOSS",IF(COUNTIFS('Site Dockets'!$E$7:$E$24,C3051,'Site Dockets'!$C$7:$C$24,F3051)&gt;0,1,0),0))</f>
        <v>0</v>
      </c>
      <c r="L3051" s="15" t="n">
        <f aca="false">IF(J3051=1,0,Inputs!$B$11)</f>
        <v>100</v>
      </c>
      <c r="M3051" s="15" t="n">
        <f aca="false">IF(J3051=1,0,Inputs!$B$12)</f>
        <v>75</v>
      </c>
      <c r="N3051" s="15" t="n">
        <f aca="false">IF(J3051=1,0,IF(OR(AND(OR(B3051="SITE LOSS",B3051="REGION LOSS"),K3051=1),AND(B3051="ROLE COMPROMISE",H3051=C3051)),Inputs!$B$13,Inputs!$B$14))</f>
        <v>10</v>
      </c>
      <c r="O3051" s="15" t="n">
        <f aca="false">IF(J3051=1,0,Inputs!$B$13)</f>
        <v>20</v>
      </c>
      <c r="P3051" s="15" t="n">
        <f aca="false">SUM(M3051:N3051)</f>
        <v>85</v>
      </c>
      <c r="Q3051" s="15" t="n">
        <f aca="false">IF(J3051=1,"",L3051-P3051)</f>
        <v>15</v>
      </c>
      <c r="R3051" s="15" t="n">
        <f aca="false">IF(OR(J3051=1,M3051&lt;=Inputs!$B$12),1,0)</f>
        <v>1</v>
      </c>
      <c r="S3051" s="15" t="n">
        <f aca="false">IF(OR(J3051=1,N3051&lt;=O3051),1,0)</f>
        <v>1</v>
      </c>
      <c r="T3051" s="15" t="str">
        <f aca="false">IF(J3051=1,"OFFLINE",IF(AND(Q3051&gt;=Inputs!$B$15,R3051=1,S3051=1,P3051&lt;=L3051),"PASS","FAIL"))</f>
        <v>PASS</v>
      </c>
    </row>
    <row r="3052" customFormat="false" ht="15" hidden="false" customHeight="false" outlineLevel="0" collapsed="false">
      <c r="A3052" s="14" t="s">
        <v>1051</v>
      </c>
      <c r="B3052" s="14" t="s">
        <v>1052</v>
      </c>
      <c r="C3052" s="14" t="s">
        <v>1053</v>
      </c>
      <c r="D3052" s="14" t="s">
        <v>163</v>
      </c>
      <c r="E3052" s="14" t="s">
        <v>166</v>
      </c>
      <c r="F3052" s="14" t="s">
        <v>164</v>
      </c>
      <c r="G3052" s="14" t="n">
        <v>1</v>
      </c>
      <c r="H3052" s="14" t="s">
        <v>154</v>
      </c>
      <c r="I3052" s="14" t="s">
        <v>895</v>
      </c>
      <c r="J3052" s="15" t="n">
        <f aca="false">IF(B3052="SITE LOSS",IF(D3052=C3052,1,0),IF(B3052="REGION LOSS",IF(E3052=C3052,1,0),0))</f>
        <v>0</v>
      </c>
      <c r="K3052" s="15" t="n">
        <f aca="false">IF(B3052="SITE LOSS",IF(COUNTIFS('Site Dockets'!$B$7:$B$24,C3052,'Site Dockets'!$C$7:$C$24,F3052)&gt;0,1,0),IF(B3052="REGION LOSS",IF(COUNTIFS('Site Dockets'!$E$7:$E$24,C3052,'Site Dockets'!$C$7:$C$24,F3052)&gt;0,1,0),0))</f>
        <v>0</v>
      </c>
      <c r="L3052" s="15" t="n">
        <f aca="false">IF(J3052=1,0,Inputs!$B$11)</f>
        <v>100</v>
      </c>
      <c r="M3052" s="15" t="n">
        <f aca="false">IF(J3052=1,0,Inputs!$B$12)</f>
        <v>75</v>
      </c>
      <c r="N3052" s="15" t="n">
        <f aca="false">IF(J3052=1,0,IF(OR(AND(OR(B3052="SITE LOSS",B3052="REGION LOSS"),K3052=1),AND(B3052="ROLE COMPROMISE",H3052=C3052)),Inputs!$B$13,Inputs!$B$14))</f>
        <v>10</v>
      </c>
      <c r="O3052" s="15" t="n">
        <f aca="false">IF(J3052=1,0,Inputs!$B$13)</f>
        <v>20</v>
      </c>
      <c r="P3052" s="15" t="n">
        <f aca="false">SUM(M3052:N3052)</f>
        <v>85</v>
      </c>
      <c r="Q3052" s="15" t="n">
        <f aca="false">IF(J3052=1,"",L3052-P3052)</f>
        <v>15</v>
      </c>
      <c r="R3052" s="15" t="n">
        <f aca="false">IF(OR(J3052=1,M3052&lt;=Inputs!$B$12),1,0)</f>
        <v>1</v>
      </c>
      <c r="S3052" s="15" t="n">
        <f aca="false">IF(OR(J3052=1,N3052&lt;=O3052),1,0)</f>
        <v>1</v>
      </c>
      <c r="T3052" s="15" t="str">
        <f aca="false">IF(J3052=1,"OFFLINE",IF(AND(Q3052&gt;=Inputs!$B$15,R3052=1,S3052=1,P3052&lt;=L3052),"PASS","FAIL"))</f>
        <v>PASS</v>
      </c>
    </row>
    <row r="3053" customFormat="false" ht="15" hidden="false" customHeight="false" outlineLevel="0" collapsed="false">
      <c r="A3053" s="14" t="s">
        <v>1051</v>
      </c>
      <c r="B3053" s="14" t="s">
        <v>1052</v>
      </c>
      <c r="C3053" s="14" t="s">
        <v>1053</v>
      </c>
      <c r="D3053" s="14" t="s">
        <v>163</v>
      </c>
      <c r="E3053" s="14" t="s">
        <v>166</v>
      </c>
      <c r="F3053" s="14" t="s">
        <v>164</v>
      </c>
      <c r="G3053" s="14" t="n">
        <v>1</v>
      </c>
      <c r="H3053" s="14" t="s">
        <v>154</v>
      </c>
      <c r="I3053" s="14" t="s">
        <v>897</v>
      </c>
      <c r="J3053" s="15" t="n">
        <f aca="false">IF(B3053="SITE LOSS",IF(D3053=C3053,1,0),IF(B3053="REGION LOSS",IF(E3053=C3053,1,0),0))</f>
        <v>0</v>
      </c>
      <c r="K3053" s="15" t="n">
        <f aca="false">IF(B3053="SITE LOSS",IF(COUNTIFS('Site Dockets'!$B$7:$B$24,C3053,'Site Dockets'!$C$7:$C$24,F3053)&gt;0,1,0),IF(B3053="REGION LOSS",IF(COUNTIFS('Site Dockets'!$E$7:$E$24,C3053,'Site Dockets'!$C$7:$C$24,F3053)&gt;0,1,0),0))</f>
        <v>0</v>
      </c>
      <c r="L3053" s="15" t="n">
        <f aca="false">IF(J3053=1,0,Inputs!$B$11)</f>
        <v>100</v>
      </c>
      <c r="M3053" s="15" t="n">
        <f aca="false">IF(J3053=1,0,Inputs!$B$12)</f>
        <v>75</v>
      </c>
      <c r="N3053" s="15" t="n">
        <f aca="false">IF(J3053=1,0,IF(OR(AND(OR(B3053="SITE LOSS",B3053="REGION LOSS"),K3053=1),AND(B3053="ROLE COMPROMISE",H3053=C3053)),Inputs!$B$13,Inputs!$B$14))</f>
        <v>10</v>
      </c>
      <c r="O3053" s="15" t="n">
        <f aca="false">IF(J3053=1,0,Inputs!$B$13)</f>
        <v>20</v>
      </c>
      <c r="P3053" s="15" t="n">
        <f aca="false">SUM(M3053:N3053)</f>
        <v>85</v>
      </c>
      <c r="Q3053" s="15" t="n">
        <f aca="false">IF(J3053=1,"",L3053-P3053)</f>
        <v>15</v>
      </c>
      <c r="R3053" s="15" t="n">
        <f aca="false">IF(OR(J3053=1,M3053&lt;=Inputs!$B$12),1,0)</f>
        <v>1</v>
      </c>
      <c r="S3053" s="15" t="n">
        <f aca="false">IF(OR(J3053=1,N3053&lt;=O3053),1,0)</f>
        <v>1</v>
      </c>
      <c r="T3053" s="15" t="str">
        <f aca="false">IF(J3053=1,"OFFLINE",IF(AND(Q3053&gt;=Inputs!$B$15,R3053=1,S3053=1,P3053&lt;=L3053),"PASS","FAIL"))</f>
        <v>PASS</v>
      </c>
    </row>
    <row r="3054" customFormat="false" ht="15" hidden="false" customHeight="false" outlineLevel="0" collapsed="false">
      <c r="A3054" s="14" t="s">
        <v>1051</v>
      </c>
      <c r="B3054" s="14" t="s">
        <v>1052</v>
      </c>
      <c r="C3054" s="14" t="s">
        <v>1053</v>
      </c>
      <c r="D3054" s="14" t="s">
        <v>163</v>
      </c>
      <c r="E3054" s="14" t="s">
        <v>166</v>
      </c>
      <c r="F3054" s="14" t="s">
        <v>164</v>
      </c>
      <c r="G3054" s="14" t="n">
        <v>1</v>
      </c>
      <c r="H3054" s="14" t="s">
        <v>154</v>
      </c>
      <c r="I3054" s="14" t="s">
        <v>899</v>
      </c>
      <c r="J3054" s="15" t="n">
        <f aca="false">IF(B3054="SITE LOSS",IF(D3054=C3054,1,0),IF(B3054="REGION LOSS",IF(E3054=C3054,1,0),0))</f>
        <v>0</v>
      </c>
      <c r="K3054" s="15" t="n">
        <f aca="false">IF(B3054="SITE LOSS",IF(COUNTIFS('Site Dockets'!$B$7:$B$24,C3054,'Site Dockets'!$C$7:$C$24,F3054)&gt;0,1,0),IF(B3054="REGION LOSS",IF(COUNTIFS('Site Dockets'!$E$7:$E$24,C3054,'Site Dockets'!$C$7:$C$24,F3054)&gt;0,1,0),0))</f>
        <v>0</v>
      </c>
      <c r="L3054" s="15" t="n">
        <f aca="false">IF(J3054=1,0,Inputs!$B$11)</f>
        <v>100</v>
      </c>
      <c r="M3054" s="15" t="n">
        <f aca="false">IF(J3054=1,0,Inputs!$B$12)</f>
        <v>75</v>
      </c>
      <c r="N3054" s="15" t="n">
        <f aca="false">IF(J3054=1,0,IF(OR(AND(OR(B3054="SITE LOSS",B3054="REGION LOSS"),K3054=1),AND(B3054="ROLE COMPROMISE",H3054=C3054)),Inputs!$B$13,Inputs!$B$14))</f>
        <v>10</v>
      </c>
      <c r="O3054" s="15" t="n">
        <f aca="false">IF(J3054=1,0,Inputs!$B$13)</f>
        <v>20</v>
      </c>
      <c r="P3054" s="15" t="n">
        <f aca="false">SUM(M3054:N3054)</f>
        <v>85</v>
      </c>
      <c r="Q3054" s="15" t="n">
        <f aca="false">IF(J3054=1,"",L3054-P3054)</f>
        <v>15</v>
      </c>
      <c r="R3054" s="15" t="n">
        <f aca="false">IF(OR(J3054=1,M3054&lt;=Inputs!$B$12),1,0)</f>
        <v>1</v>
      </c>
      <c r="S3054" s="15" t="n">
        <f aca="false">IF(OR(J3054=1,N3054&lt;=O3054),1,0)</f>
        <v>1</v>
      </c>
      <c r="T3054" s="15" t="str">
        <f aca="false">IF(J3054=1,"OFFLINE",IF(AND(Q3054&gt;=Inputs!$B$15,R3054=1,S3054=1,P3054&lt;=L3054),"PASS","FAIL"))</f>
        <v>PASS</v>
      </c>
    </row>
    <row r="3055" customFormat="false" ht="15" hidden="false" customHeight="false" outlineLevel="0" collapsed="false">
      <c r="A3055" s="14" t="s">
        <v>1051</v>
      </c>
      <c r="B3055" s="14" t="s">
        <v>1052</v>
      </c>
      <c r="C3055" s="14" t="s">
        <v>1053</v>
      </c>
      <c r="D3055" s="14" t="s">
        <v>168</v>
      </c>
      <c r="E3055" s="14" t="s">
        <v>169</v>
      </c>
      <c r="F3055" s="14" t="s">
        <v>164</v>
      </c>
      <c r="G3055" s="14" t="n">
        <v>2</v>
      </c>
      <c r="H3055" s="14" t="s">
        <v>153</v>
      </c>
      <c r="I3055" s="14" t="s">
        <v>890</v>
      </c>
      <c r="J3055" s="15" t="n">
        <f aca="false">IF(B3055="SITE LOSS",IF(D3055=C3055,1,0),IF(B3055="REGION LOSS",IF(E3055=C3055,1,0),0))</f>
        <v>0</v>
      </c>
      <c r="K3055" s="15" t="n">
        <f aca="false">IF(B3055="SITE LOSS",IF(COUNTIFS('Site Dockets'!$B$7:$B$24,C3055,'Site Dockets'!$C$7:$C$24,F3055)&gt;0,1,0),IF(B3055="REGION LOSS",IF(COUNTIFS('Site Dockets'!$E$7:$E$24,C3055,'Site Dockets'!$C$7:$C$24,F3055)&gt;0,1,0),0))</f>
        <v>0</v>
      </c>
      <c r="L3055" s="15" t="n">
        <f aca="false">IF(J3055=1,0,Inputs!$B$11)</f>
        <v>100</v>
      </c>
      <c r="M3055" s="15" t="n">
        <f aca="false">IF(J3055=1,0,Inputs!$B$12)</f>
        <v>75</v>
      </c>
      <c r="N3055" s="15" t="n">
        <f aca="false">IF(J3055=1,0,IF(OR(AND(OR(B3055="SITE LOSS",B3055="REGION LOSS"),K3055=1),AND(B3055="ROLE COMPROMISE",H3055=C3055)),Inputs!$B$13,Inputs!$B$14))</f>
        <v>10</v>
      </c>
      <c r="O3055" s="15" t="n">
        <f aca="false">IF(J3055=1,0,Inputs!$B$13)</f>
        <v>20</v>
      </c>
      <c r="P3055" s="15" t="n">
        <f aca="false">SUM(M3055:N3055)</f>
        <v>85</v>
      </c>
      <c r="Q3055" s="15" t="n">
        <f aca="false">IF(J3055=1,"",L3055-P3055)</f>
        <v>15</v>
      </c>
      <c r="R3055" s="15" t="n">
        <f aca="false">IF(OR(J3055=1,M3055&lt;=Inputs!$B$12),1,0)</f>
        <v>1</v>
      </c>
      <c r="S3055" s="15" t="n">
        <f aca="false">IF(OR(J3055=1,N3055&lt;=O3055),1,0)</f>
        <v>1</v>
      </c>
      <c r="T3055" s="15" t="str">
        <f aca="false">IF(J3055=1,"OFFLINE",IF(AND(Q3055&gt;=Inputs!$B$15,R3055=1,S3055=1,P3055&lt;=L3055),"PASS","FAIL"))</f>
        <v>PASS</v>
      </c>
    </row>
    <row r="3056" customFormat="false" ht="15" hidden="false" customHeight="false" outlineLevel="0" collapsed="false">
      <c r="A3056" s="14" t="s">
        <v>1051</v>
      </c>
      <c r="B3056" s="14" t="s">
        <v>1052</v>
      </c>
      <c r="C3056" s="14" t="s">
        <v>1053</v>
      </c>
      <c r="D3056" s="14" t="s">
        <v>168</v>
      </c>
      <c r="E3056" s="14" t="s">
        <v>169</v>
      </c>
      <c r="F3056" s="14" t="s">
        <v>164</v>
      </c>
      <c r="G3056" s="14" t="n">
        <v>2</v>
      </c>
      <c r="H3056" s="14" t="s">
        <v>153</v>
      </c>
      <c r="I3056" s="14" t="s">
        <v>892</v>
      </c>
      <c r="J3056" s="15" t="n">
        <f aca="false">IF(B3056="SITE LOSS",IF(D3056=C3056,1,0),IF(B3056="REGION LOSS",IF(E3056=C3056,1,0),0))</f>
        <v>0</v>
      </c>
      <c r="K3056" s="15" t="n">
        <f aca="false">IF(B3056="SITE LOSS",IF(COUNTIFS('Site Dockets'!$B$7:$B$24,C3056,'Site Dockets'!$C$7:$C$24,F3056)&gt;0,1,0),IF(B3056="REGION LOSS",IF(COUNTIFS('Site Dockets'!$E$7:$E$24,C3056,'Site Dockets'!$C$7:$C$24,F3056)&gt;0,1,0),0))</f>
        <v>0</v>
      </c>
      <c r="L3056" s="15" t="n">
        <f aca="false">IF(J3056=1,0,Inputs!$B$11)</f>
        <v>100</v>
      </c>
      <c r="M3056" s="15" t="n">
        <f aca="false">IF(J3056=1,0,Inputs!$B$12)</f>
        <v>75</v>
      </c>
      <c r="N3056" s="15" t="n">
        <f aca="false">IF(J3056=1,0,IF(OR(AND(OR(B3056="SITE LOSS",B3056="REGION LOSS"),K3056=1),AND(B3056="ROLE COMPROMISE",H3056=C3056)),Inputs!$B$13,Inputs!$B$14))</f>
        <v>10</v>
      </c>
      <c r="O3056" s="15" t="n">
        <f aca="false">IF(J3056=1,0,Inputs!$B$13)</f>
        <v>20</v>
      </c>
      <c r="P3056" s="15" t="n">
        <f aca="false">SUM(M3056:N3056)</f>
        <v>85</v>
      </c>
      <c r="Q3056" s="15" t="n">
        <f aca="false">IF(J3056=1,"",L3056-P3056)</f>
        <v>15</v>
      </c>
      <c r="R3056" s="15" t="n">
        <f aca="false">IF(OR(J3056=1,M3056&lt;=Inputs!$B$12),1,0)</f>
        <v>1</v>
      </c>
      <c r="S3056" s="15" t="n">
        <f aca="false">IF(OR(J3056=1,N3056&lt;=O3056),1,0)</f>
        <v>1</v>
      </c>
      <c r="T3056" s="15" t="str">
        <f aca="false">IF(J3056=1,"OFFLINE",IF(AND(Q3056&gt;=Inputs!$B$15,R3056=1,S3056=1,P3056&lt;=L3056),"PASS","FAIL"))</f>
        <v>PASS</v>
      </c>
    </row>
    <row r="3057" customFormat="false" ht="15" hidden="false" customHeight="false" outlineLevel="0" collapsed="false">
      <c r="A3057" s="14" t="s">
        <v>1051</v>
      </c>
      <c r="B3057" s="14" t="s">
        <v>1052</v>
      </c>
      <c r="C3057" s="14" t="s">
        <v>1053</v>
      </c>
      <c r="D3057" s="14" t="s">
        <v>168</v>
      </c>
      <c r="E3057" s="14" t="s">
        <v>169</v>
      </c>
      <c r="F3057" s="14" t="s">
        <v>164</v>
      </c>
      <c r="G3057" s="14" t="n">
        <v>2</v>
      </c>
      <c r="H3057" s="14" t="s">
        <v>153</v>
      </c>
      <c r="I3057" s="14" t="s">
        <v>811</v>
      </c>
      <c r="J3057" s="15" t="n">
        <f aca="false">IF(B3057="SITE LOSS",IF(D3057=C3057,1,0),IF(B3057="REGION LOSS",IF(E3057=C3057,1,0),0))</f>
        <v>0</v>
      </c>
      <c r="K3057" s="15" t="n">
        <f aca="false">IF(B3057="SITE LOSS",IF(COUNTIFS('Site Dockets'!$B$7:$B$24,C3057,'Site Dockets'!$C$7:$C$24,F3057)&gt;0,1,0),IF(B3057="REGION LOSS",IF(COUNTIFS('Site Dockets'!$E$7:$E$24,C3057,'Site Dockets'!$C$7:$C$24,F3057)&gt;0,1,0),0))</f>
        <v>0</v>
      </c>
      <c r="L3057" s="15" t="n">
        <f aca="false">IF(J3057=1,0,Inputs!$B$11)</f>
        <v>100</v>
      </c>
      <c r="M3057" s="15" t="n">
        <f aca="false">IF(J3057=1,0,Inputs!$B$12)</f>
        <v>75</v>
      </c>
      <c r="N3057" s="15" t="n">
        <f aca="false">IF(J3057=1,0,IF(OR(AND(OR(B3057="SITE LOSS",B3057="REGION LOSS"),K3057=1),AND(B3057="ROLE COMPROMISE",H3057=C3057)),Inputs!$B$13,Inputs!$B$14))</f>
        <v>10</v>
      </c>
      <c r="O3057" s="15" t="n">
        <f aca="false">IF(J3057=1,0,Inputs!$B$13)</f>
        <v>20</v>
      </c>
      <c r="P3057" s="15" t="n">
        <f aca="false">SUM(M3057:N3057)</f>
        <v>85</v>
      </c>
      <c r="Q3057" s="15" t="n">
        <f aca="false">IF(J3057=1,"",L3057-P3057)</f>
        <v>15</v>
      </c>
      <c r="R3057" s="15" t="n">
        <f aca="false">IF(OR(J3057=1,M3057&lt;=Inputs!$B$12),1,0)</f>
        <v>1</v>
      </c>
      <c r="S3057" s="15" t="n">
        <f aca="false">IF(OR(J3057=1,N3057&lt;=O3057),1,0)</f>
        <v>1</v>
      </c>
      <c r="T3057" s="15" t="str">
        <f aca="false">IF(J3057=1,"OFFLINE",IF(AND(Q3057&gt;=Inputs!$B$15,R3057=1,S3057=1,P3057&lt;=L3057),"PASS","FAIL"))</f>
        <v>PASS</v>
      </c>
    </row>
    <row r="3058" customFormat="false" ht="15" hidden="false" customHeight="false" outlineLevel="0" collapsed="false">
      <c r="A3058" s="14" t="s">
        <v>1051</v>
      </c>
      <c r="B3058" s="14" t="s">
        <v>1052</v>
      </c>
      <c r="C3058" s="14" t="s">
        <v>1053</v>
      </c>
      <c r="D3058" s="14" t="s">
        <v>168</v>
      </c>
      <c r="E3058" s="14" t="s">
        <v>169</v>
      </c>
      <c r="F3058" s="14" t="s">
        <v>164</v>
      </c>
      <c r="G3058" s="14" t="n">
        <v>2</v>
      </c>
      <c r="H3058" s="14" t="s">
        <v>153</v>
      </c>
      <c r="I3058" s="14" t="s">
        <v>895</v>
      </c>
      <c r="J3058" s="15" t="n">
        <f aca="false">IF(B3058="SITE LOSS",IF(D3058=C3058,1,0),IF(B3058="REGION LOSS",IF(E3058=C3058,1,0),0))</f>
        <v>0</v>
      </c>
      <c r="K3058" s="15" t="n">
        <f aca="false">IF(B3058="SITE LOSS",IF(COUNTIFS('Site Dockets'!$B$7:$B$24,C3058,'Site Dockets'!$C$7:$C$24,F3058)&gt;0,1,0),IF(B3058="REGION LOSS",IF(COUNTIFS('Site Dockets'!$E$7:$E$24,C3058,'Site Dockets'!$C$7:$C$24,F3058)&gt;0,1,0),0))</f>
        <v>0</v>
      </c>
      <c r="L3058" s="15" t="n">
        <f aca="false">IF(J3058=1,0,Inputs!$B$11)</f>
        <v>100</v>
      </c>
      <c r="M3058" s="15" t="n">
        <f aca="false">IF(J3058=1,0,Inputs!$B$12)</f>
        <v>75</v>
      </c>
      <c r="N3058" s="15" t="n">
        <f aca="false">IF(J3058=1,0,IF(OR(AND(OR(B3058="SITE LOSS",B3058="REGION LOSS"),K3058=1),AND(B3058="ROLE COMPROMISE",H3058=C3058)),Inputs!$B$13,Inputs!$B$14))</f>
        <v>10</v>
      </c>
      <c r="O3058" s="15" t="n">
        <f aca="false">IF(J3058=1,0,Inputs!$B$13)</f>
        <v>20</v>
      </c>
      <c r="P3058" s="15" t="n">
        <f aca="false">SUM(M3058:N3058)</f>
        <v>85</v>
      </c>
      <c r="Q3058" s="15" t="n">
        <f aca="false">IF(J3058=1,"",L3058-P3058)</f>
        <v>15</v>
      </c>
      <c r="R3058" s="15" t="n">
        <f aca="false">IF(OR(J3058=1,M3058&lt;=Inputs!$B$12),1,0)</f>
        <v>1</v>
      </c>
      <c r="S3058" s="15" t="n">
        <f aca="false">IF(OR(J3058=1,N3058&lt;=O3058),1,0)</f>
        <v>1</v>
      </c>
      <c r="T3058" s="15" t="str">
        <f aca="false">IF(J3058=1,"OFFLINE",IF(AND(Q3058&gt;=Inputs!$B$15,R3058=1,S3058=1,P3058&lt;=L3058),"PASS","FAIL"))</f>
        <v>PASS</v>
      </c>
    </row>
    <row r="3059" customFormat="false" ht="15" hidden="false" customHeight="false" outlineLevel="0" collapsed="false">
      <c r="A3059" s="14" t="s">
        <v>1051</v>
      </c>
      <c r="B3059" s="14" t="s">
        <v>1052</v>
      </c>
      <c r="C3059" s="14" t="s">
        <v>1053</v>
      </c>
      <c r="D3059" s="14" t="s">
        <v>168</v>
      </c>
      <c r="E3059" s="14" t="s">
        <v>169</v>
      </c>
      <c r="F3059" s="14" t="s">
        <v>164</v>
      </c>
      <c r="G3059" s="14" t="n">
        <v>2</v>
      </c>
      <c r="H3059" s="14" t="s">
        <v>153</v>
      </c>
      <c r="I3059" s="14" t="s">
        <v>897</v>
      </c>
      <c r="J3059" s="15" t="n">
        <f aca="false">IF(B3059="SITE LOSS",IF(D3059=C3059,1,0),IF(B3059="REGION LOSS",IF(E3059=C3059,1,0),0))</f>
        <v>0</v>
      </c>
      <c r="K3059" s="15" t="n">
        <f aca="false">IF(B3059="SITE LOSS",IF(COUNTIFS('Site Dockets'!$B$7:$B$24,C3059,'Site Dockets'!$C$7:$C$24,F3059)&gt;0,1,0),IF(B3059="REGION LOSS",IF(COUNTIFS('Site Dockets'!$E$7:$E$24,C3059,'Site Dockets'!$C$7:$C$24,F3059)&gt;0,1,0),0))</f>
        <v>0</v>
      </c>
      <c r="L3059" s="15" t="n">
        <f aca="false">IF(J3059=1,0,Inputs!$B$11)</f>
        <v>100</v>
      </c>
      <c r="M3059" s="15" t="n">
        <f aca="false">IF(J3059=1,0,Inputs!$B$12)</f>
        <v>75</v>
      </c>
      <c r="N3059" s="15" t="n">
        <f aca="false">IF(J3059=1,0,IF(OR(AND(OR(B3059="SITE LOSS",B3059="REGION LOSS"),K3059=1),AND(B3059="ROLE COMPROMISE",H3059=C3059)),Inputs!$B$13,Inputs!$B$14))</f>
        <v>10</v>
      </c>
      <c r="O3059" s="15" t="n">
        <f aca="false">IF(J3059=1,0,Inputs!$B$13)</f>
        <v>20</v>
      </c>
      <c r="P3059" s="15" t="n">
        <f aca="false">SUM(M3059:N3059)</f>
        <v>85</v>
      </c>
      <c r="Q3059" s="15" t="n">
        <f aca="false">IF(J3059=1,"",L3059-P3059)</f>
        <v>15</v>
      </c>
      <c r="R3059" s="15" t="n">
        <f aca="false">IF(OR(J3059=1,M3059&lt;=Inputs!$B$12),1,0)</f>
        <v>1</v>
      </c>
      <c r="S3059" s="15" t="n">
        <f aca="false">IF(OR(J3059=1,N3059&lt;=O3059),1,0)</f>
        <v>1</v>
      </c>
      <c r="T3059" s="15" t="str">
        <f aca="false">IF(J3059=1,"OFFLINE",IF(AND(Q3059&gt;=Inputs!$B$15,R3059=1,S3059=1,P3059&lt;=L3059),"PASS","FAIL"))</f>
        <v>PASS</v>
      </c>
    </row>
    <row r="3060" customFormat="false" ht="15" hidden="false" customHeight="false" outlineLevel="0" collapsed="false">
      <c r="A3060" s="14" t="s">
        <v>1051</v>
      </c>
      <c r="B3060" s="14" t="s">
        <v>1052</v>
      </c>
      <c r="C3060" s="14" t="s">
        <v>1053</v>
      </c>
      <c r="D3060" s="14" t="s">
        <v>168</v>
      </c>
      <c r="E3060" s="14" t="s">
        <v>169</v>
      </c>
      <c r="F3060" s="14" t="s">
        <v>164</v>
      </c>
      <c r="G3060" s="14" t="n">
        <v>2</v>
      </c>
      <c r="H3060" s="14" t="s">
        <v>153</v>
      </c>
      <c r="I3060" s="14" t="s">
        <v>899</v>
      </c>
      <c r="J3060" s="15" t="n">
        <f aca="false">IF(B3060="SITE LOSS",IF(D3060=C3060,1,0),IF(B3060="REGION LOSS",IF(E3060=C3060,1,0),0))</f>
        <v>0</v>
      </c>
      <c r="K3060" s="15" t="n">
        <f aca="false">IF(B3060="SITE LOSS",IF(COUNTIFS('Site Dockets'!$B$7:$B$24,C3060,'Site Dockets'!$C$7:$C$24,F3060)&gt;0,1,0),IF(B3060="REGION LOSS",IF(COUNTIFS('Site Dockets'!$E$7:$E$24,C3060,'Site Dockets'!$C$7:$C$24,F3060)&gt;0,1,0),0))</f>
        <v>0</v>
      </c>
      <c r="L3060" s="15" t="n">
        <f aca="false">IF(J3060=1,0,Inputs!$B$11)</f>
        <v>100</v>
      </c>
      <c r="M3060" s="15" t="n">
        <f aca="false">IF(J3060=1,0,Inputs!$B$12)</f>
        <v>75</v>
      </c>
      <c r="N3060" s="15" t="n">
        <f aca="false">IF(J3060=1,0,IF(OR(AND(OR(B3060="SITE LOSS",B3060="REGION LOSS"),K3060=1),AND(B3060="ROLE COMPROMISE",H3060=C3060)),Inputs!$B$13,Inputs!$B$14))</f>
        <v>10</v>
      </c>
      <c r="O3060" s="15" t="n">
        <f aca="false">IF(J3060=1,0,Inputs!$B$13)</f>
        <v>20</v>
      </c>
      <c r="P3060" s="15" t="n">
        <f aca="false">SUM(M3060:N3060)</f>
        <v>85</v>
      </c>
      <c r="Q3060" s="15" t="n">
        <f aca="false">IF(J3060=1,"",L3060-P3060)</f>
        <v>15</v>
      </c>
      <c r="R3060" s="15" t="n">
        <f aca="false">IF(OR(J3060=1,M3060&lt;=Inputs!$B$12),1,0)</f>
        <v>1</v>
      </c>
      <c r="S3060" s="15" t="n">
        <f aca="false">IF(OR(J3060=1,N3060&lt;=O3060),1,0)</f>
        <v>1</v>
      </c>
      <c r="T3060" s="15" t="str">
        <f aca="false">IF(J3060=1,"OFFLINE",IF(AND(Q3060&gt;=Inputs!$B$15,R3060=1,S3060=1,P3060&lt;=L3060),"PASS","FAIL"))</f>
        <v>PASS</v>
      </c>
    </row>
    <row r="3061" customFormat="false" ht="15" hidden="false" customHeight="false" outlineLevel="0" collapsed="false">
      <c r="A3061" s="14" t="s">
        <v>1051</v>
      </c>
      <c r="B3061" s="14" t="s">
        <v>1052</v>
      </c>
      <c r="C3061" s="14" t="s">
        <v>1053</v>
      </c>
      <c r="D3061" s="14" t="s">
        <v>171</v>
      </c>
      <c r="E3061" s="14" t="s">
        <v>172</v>
      </c>
      <c r="F3061" s="14" t="s">
        <v>164</v>
      </c>
      <c r="G3061" s="14" t="n">
        <v>3</v>
      </c>
      <c r="H3061" s="14" t="s">
        <v>158</v>
      </c>
      <c r="I3061" s="14" t="s">
        <v>890</v>
      </c>
      <c r="J3061" s="15" t="n">
        <f aca="false">IF(B3061="SITE LOSS",IF(D3061=C3061,1,0),IF(B3061="REGION LOSS",IF(E3061=C3061,1,0),0))</f>
        <v>0</v>
      </c>
      <c r="K3061" s="15" t="n">
        <f aca="false">IF(B3061="SITE LOSS",IF(COUNTIFS('Site Dockets'!$B$7:$B$24,C3061,'Site Dockets'!$C$7:$C$24,F3061)&gt;0,1,0),IF(B3061="REGION LOSS",IF(COUNTIFS('Site Dockets'!$E$7:$E$24,C3061,'Site Dockets'!$C$7:$C$24,F3061)&gt;0,1,0),0))</f>
        <v>0</v>
      </c>
      <c r="L3061" s="15" t="n">
        <f aca="false">IF(J3061=1,0,Inputs!$B$11)</f>
        <v>100</v>
      </c>
      <c r="M3061" s="15" t="n">
        <f aca="false">IF(J3061=1,0,Inputs!$B$12)</f>
        <v>75</v>
      </c>
      <c r="N3061" s="15" t="n">
        <f aca="false">IF(J3061=1,0,IF(OR(AND(OR(B3061="SITE LOSS",B3061="REGION LOSS"),K3061=1),AND(B3061="ROLE COMPROMISE",H3061=C3061)),Inputs!$B$13,Inputs!$B$14))</f>
        <v>10</v>
      </c>
      <c r="O3061" s="15" t="n">
        <f aca="false">IF(J3061=1,0,Inputs!$B$13)</f>
        <v>20</v>
      </c>
      <c r="P3061" s="15" t="n">
        <f aca="false">SUM(M3061:N3061)</f>
        <v>85</v>
      </c>
      <c r="Q3061" s="15" t="n">
        <f aca="false">IF(J3061=1,"",L3061-P3061)</f>
        <v>15</v>
      </c>
      <c r="R3061" s="15" t="n">
        <f aca="false">IF(OR(J3061=1,M3061&lt;=Inputs!$B$12),1,0)</f>
        <v>1</v>
      </c>
      <c r="S3061" s="15" t="n">
        <f aca="false">IF(OR(J3061=1,N3061&lt;=O3061),1,0)</f>
        <v>1</v>
      </c>
      <c r="T3061" s="15" t="str">
        <f aca="false">IF(J3061=1,"OFFLINE",IF(AND(Q3061&gt;=Inputs!$B$15,R3061=1,S3061=1,P3061&lt;=L3061),"PASS","FAIL"))</f>
        <v>PASS</v>
      </c>
    </row>
    <row r="3062" customFormat="false" ht="15" hidden="false" customHeight="false" outlineLevel="0" collapsed="false">
      <c r="A3062" s="14" t="s">
        <v>1051</v>
      </c>
      <c r="B3062" s="14" t="s">
        <v>1052</v>
      </c>
      <c r="C3062" s="14" t="s">
        <v>1053</v>
      </c>
      <c r="D3062" s="14" t="s">
        <v>171</v>
      </c>
      <c r="E3062" s="14" t="s">
        <v>172</v>
      </c>
      <c r="F3062" s="14" t="s">
        <v>164</v>
      </c>
      <c r="G3062" s="14" t="n">
        <v>3</v>
      </c>
      <c r="H3062" s="14" t="s">
        <v>158</v>
      </c>
      <c r="I3062" s="14" t="s">
        <v>892</v>
      </c>
      <c r="J3062" s="15" t="n">
        <f aca="false">IF(B3062="SITE LOSS",IF(D3062=C3062,1,0),IF(B3062="REGION LOSS",IF(E3062=C3062,1,0),0))</f>
        <v>0</v>
      </c>
      <c r="K3062" s="15" t="n">
        <f aca="false">IF(B3062="SITE LOSS",IF(COUNTIFS('Site Dockets'!$B$7:$B$24,C3062,'Site Dockets'!$C$7:$C$24,F3062)&gt;0,1,0),IF(B3062="REGION LOSS",IF(COUNTIFS('Site Dockets'!$E$7:$E$24,C3062,'Site Dockets'!$C$7:$C$24,F3062)&gt;0,1,0),0))</f>
        <v>0</v>
      </c>
      <c r="L3062" s="15" t="n">
        <f aca="false">IF(J3062=1,0,Inputs!$B$11)</f>
        <v>100</v>
      </c>
      <c r="M3062" s="15" t="n">
        <f aca="false">IF(J3062=1,0,Inputs!$B$12)</f>
        <v>75</v>
      </c>
      <c r="N3062" s="15" t="n">
        <f aca="false">IF(J3062=1,0,IF(OR(AND(OR(B3062="SITE LOSS",B3062="REGION LOSS"),K3062=1),AND(B3062="ROLE COMPROMISE",H3062=C3062)),Inputs!$B$13,Inputs!$B$14))</f>
        <v>10</v>
      </c>
      <c r="O3062" s="15" t="n">
        <f aca="false">IF(J3062=1,0,Inputs!$B$13)</f>
        <v>20</v>
      </c>
      <c r="P3062" s="15" t="n">
        <f aca="false">SUM(M3062:N3062)</f>
        <v>85</v>
      </c>
      <c r="Q3062" s="15" t="n">
        <f aca="false">IF(J3062=1,"",L3062-P3062)</f>
        <v>15</v>
      </c>
      <c r="R3062" s="15" t="n">
        <f aca="false">IF(OR(J3062=1,M3062&lt;=Inputs!$B$12),1,0)</f>
        <v>1</v>
      </c>
      <c r="S3062" s="15" t="n">
        <f aca="false">IF(OR(J3062=1,N3062&lt;=O3062),1,0)</f>
        <v>1</v>
      </c>
      <c r="T3062" s="15" t="str">
        <f aca="false">IF(J3062=1,"OFFLINE",IF(AND(Q3062&gt;=Inputs!$B$15,R3062=1,S3062=1,P3062&lt;=L3062),"PASS","FAIL"))</f>
        <v>PASS</v>
      </c>
    </row>
    <row r="3063" customFormat="false" ht="15" hidden="false" customHeight="false" outlineLevel="0" collapsed="false">
      <c r="A3063" s="14" t="s">
        <v>1051</v>
      </c>
      <c r="B3063" s="14" t="s">
        <v>1052</v>
      </c>
      <c r="C3063" s="14" t="s">
        <v>1053</v>
      </c>
      <c r="D3063" s="14" t="s">
        <v>171</v>
      </c>
      <c r="E3063" s="14" t="s">
        <v>172</v>
      </c>
      <c r="F3063" s="14" t="s">
        <v>164</v>
      </c>
      <c r="G3063" s="14" t="n">
        <v>3</v>
      </c>
      <c r="H3063" s="14" t="s">
        <v>158</v>
      </c>
      <c r="I3063" s="14" t="s">
        <v>811</v>
      </c>
      <c r="J3063" s="15" t="n">
        <f aca="false">IF(B3063="SITE LOSS",IF(D3063=C3063,1,0),IF(B3063="REGION LOSS",IF(E3063=C3063,1,0),0))</f>
        <v>0</v>
      </c>
      <c r="K3063" s="15" t="n">
        <f aca="false">IF(B3063="SITE LOSS",IF(COUNTIFS('Site Dockets'!$B$7:$B$24,C3063,'Site Dockets'!$C$7:$C$24,F3063)&gt;0,1,0),IF(B3063="REGION LOSS",IF(COUNTIFS('Site Dockets'!$E$7:$E$24,C3063,'Site Dockets'!$C$7:$C$24,F3063)&gt;0,1,0),0))</f>
        <v>0</v>
      </c>
      <c r="L3063" s="15" t="n">
        <f aca="false">IF(J3063=1,0,Inputs!$B$11)</f>
        <v>100</v>
      </c>
      <c r="M3063" s="15" t="n">
        <f aca="false">IF(J3063=1,0,Inputs!$B$12)</f>
        <v>75</v>
      </c>
      <c r="N3063" s="15" t="n">
        <f aca="false">IF(J3063=1,0,IF(OR(AND(OR(B3063="SITE LOSS",B3063="REGION LOSS"),K3063=1),AND(B3063="ROLE COMPROMISE",H3063=C3063)),Inputs!$B$13,Inputs!$B$14))</f>
        <v>10</v>
      </c>
      <c r="O3063" s="15" t="n">
        <f aca="false">IF(J3063=1,0,Inputs!$B$13)</f>
        <v>20</v>
      </c>
      <c r="P3063" s="15" t="n">
        <f aca="false">SUM(M3063:N3063)</f>
        <v>85</v>
      </c>
      <c r="Q3063" s="15" t="n">
        <f aca="false">IF(J3063=1,"",L3063-P3063)</f>
        <v>15</v>
      </c>
      <c r="R3063" s="15" t="n">
        <f aca="false">IF(OR(J3063=1,M3063&lt;=Inputs!$B$12),1,0)</f>
        <v>1</v>
      </c>
      <c r="S3063" s="15" t="n">
        <f aca="false">IF(OR(J3063=1,N3063&lt;=O3063),1,0)</f>
        <v>1</v>
      </c>
      <c r="T3063" s="15" t="str">
        <f aca="false">IF(J3063=1,"OFFLINE",IF(AND(Q3063&gt;=Inputs!$B$15,R3063=1,S3063=1,P3063&lt;=L3063),"PASS","FAIL"))</f>
        <v>PASS</v>
      </c>
    </row>
    <row r="3064" customFormat="false" ht="15" hidden="false" customHeight="false" outlineLevel="0" collapsed="false">
      <c r="A3064" s="14" t="s">
        <v>1051</v>
      </c>
      <c r="B3064" s="14" t="s">
        <v>1052</v>
      </c>
      <c r="C3064" s="14" t="s">
        <v>1053</v>
      </c>
      <c r="D3064" s="14" t="s">
        <v>171</v>
      </c>
      <c r="E3064" s="14" t="s">
        <v>172</v>
      </c>
      <c r="F3064" s="14" t="s">
        <v>164</v>
      </c>
      <c r="G3064" s="14" t="n">
        <v>3</v>
      </c>
      <c r="H3064" s="14" t="s">
        <v>158</v>
      </c>
      <c r="I3064" s="14" t="s">
        <v>895</v>
      </c>
      <c r="J3064" s="15" t="n">
        <f aca="false">IF(B3064="SITE LOSS",IF(D3064=C3064,1,0),IF(B3064="REGION LOSS",IF(E3064=C3064,1,0),0))</f>
        <v>0</v>
      </c>
      <c r="K3064" s="15" t="n">
        <f aca="false">IF(B3064="SITE LOSS",IF(COUNTIFS('Site Dockets'!$B$7:$B$24,C3064,'Site Dockets'!$C$7:$C$24,F3064)&gt;0,1,0),IF(B3064="REGION LOSS",IF(COUNTIFS('Site Dockets'!$E$7:$E$24,C3064,'Site Dockets'!$C$7:$C$24,F3064)&gt;0,1,0),0))</f>
        <v>0</v>
      </c>
      <c r="L3064" s="15" t="n">
        <f aca="false">IF(J3064=1,0,Inputs!$B$11)</f>
        <v>100</v>
      </c>
      <c r="M3064" s="15" t="n">
        <f aca="false">IF(J3064=1,0,Inputs!$B$12)</f>
        <v>75</v>
      </c>
      <c r="N3064" s="15" t="n">
        <f aca="false">IF(J3064=1,0,IF(OR(AND(OR(B3064="SITE LOSS",B3064="REGION LOSS"),K3064=1),AND(B3064="ROLE COMPROMISE",H3064=C3064)),Inputs!$B$13,Inputs!$B$14))</f>
        <v>10</v>
      </c>
      <c r="O3064" s="15" t="n">
        <f aca="false">IF(J3064=1,0,Inputs!$B$13)</f>
        <v>20</v>
      </c>
      <c r="P3064" s="15" t="n">
        <f aca="false">SUM(M3064:N3064)</f>
        <v>85</v>
      </c>
      <c r="Q3064" s="15" t="n">
        <f aca="false">IF(J3064=1,"",L3064-P3064)</f>
        <v>15</v>
      </c>
      <c r="R3064" s="15" t="n">
        <f aca="false">IF(OR(J3064=1,M3064&lt;=Inputs!$B$12),1,0)</f>
        <v>1</v>
      </c>
      <c r="S3064" s="15" t="n">
        <f aca="false">IF(OR(J3064=1,N3064&lt;=O3064),1,0)</f>
        <v>1</v>
      </c>
      <c r="T3064" s="15" t="str">
        <f aca="false">IF(J3064=1,"OFFLINE",IF(AND(Q3064&gt;=Inputs!$B$15,R3064=1,S3064=1,P3064&lt;=L3064),"PASS","FAIL"))</f>
        <v>PASS</v>
      </c>
    </row>
    <row r="3065" customFormat="false" ht="15" hidden="false" customHeight="false" outlineLevel="0" collapsed="false">
      <c r="A3065" s="14" t="s">
        <v>1051</v>
      </c>
      <c r="B3065" s="14" t="s">
        <v>1052</v>
      </c>
      <c r="C3065" s="14" t="s">
        <v>1053</v>
      </c>
      <c r="D3065" s="14" t="s">
        <v>171</v>
      </c>
      <c r="E3065" s="14" t="s">
        <v>172</v>
      </c>
      <c r="F3065" s="14" t="s">
        <v>164</v>
      </c>
      <c r="G3065" s="14" t="n">
        <v>3</v>
      </c>
      <c r="H3065" s="14" t="s">
        <v>158</v>
      </c>
      <c r="I3065" s="14" t="s">
        <v>897</v>
      </c>
      <c r="J3065" s="15" t="n">
        <f aca="false">IF(B3065="SITE LOSS",IF(D3065=C3065,1,0),IF(B3065="REGION LOSS",IF(E3065=C3065,1,0),0))</f>
        <v>0</v>
      </c>
      <c r="K3065" s="15" t="n">
        <f aca="false">IF(B3065="SITE LOSS",IF(COUNTIFS('Site Dockets'!$B$7:$B$24,C3065,'Site Dockets'!$C$7:$C$24,F3065)&gt;0,1,0),IF(B3065="REGION LOSS",IF(COUNTIFS('Site Dockets'!$E$7:$E$24,C3065,'Site Dockets'!$C$7:$C$24,F3065)&gt;0,1,0),0))</f>
        <v>0</v>
      </c>
      <c r="L3065" s="15" t="n">
        <f aca="false">IF(J3065=1,0,Inputs!$B$11)</f>
        <v>100</v>
      </c>
      <c r="M3065" s="15" t="n">
        <f aca="false">IF(J3065=1,0,Inputs!$B$12)</f>
        <v>75</v>
      </c>
      <c r="N3065" s="15" t="n">
        <f aca="false">IF(J3065=1,0,IF(OR(AND(OR(B3065="SITE LOSS",B3065="REGION LOSS"),K3065=1),AND(B3065="ROLE COMPROMISE",H3065=C3065)),Inputs!$B$13,Inputs!$B$14))</f>
        <v>10</v>
      </c>
      <c r="O3065" s="15" t="n">
        <f aca="false">IF(J3065=1,0,Inputs!$B$13)</f>
        <v>20</v>
      </c>
      <c r="P3065" s="15" t="n">
        <f aca="false">SUM(M3065:N3065)</f>
        <v>85</v>
      </c>
      <c r="Q3065" s="15" t="n">
        <f aca="false">IF(J3065=1,"",L3065-P3065)</f>
        <v>15</v>
      </c>
      <c r="R3065" s="15" t="n">
        <f aca="false">IF(OR(J3065=1,M3065&lt;=Inputs!$B$12),1,0)</f>
        <v>1</v>
      </c>
      <c r="S3065" s="15" t="n">
        <f aca="false">IF(OR(J3065=1,N3065&lt;=O3065),1,0)</f>
        <v>1</v>
      </c>
      <c r="T3065" s="15" t="str">
        <f aca="false">IF(J3065=1,"OFFLINE",IF(AND(Q3065&gt;=Inputs!$B$15,R3065=1,S3065=1,P3065&lt;=L3065),"PASS","FAIL"))</f>
        <v>PASS</v>
      </c>
    </row>
    <row r="3066" customFormat="false" ht="15" hidden="false" customHeight="false" outlineLevel="0" collapsed="false">
      <c r="A3066" s="14" t="s">
        <v>1051</v>
      </c>
      <c r="B3066" s="14" t="s">
        <v>1052</v>
      </c>
      <c r="C3066" s="14" t="s">
        <v>1053</v>
      </c>
      <c r="D3066" s="14" t="s">
        <v>171</v>
      </c>
      <c r="E3066" s="14" t="s">
        <v>172</v>
      </c>
      <c r="F3066" s="14" t="s">
        <v>164</v>
      </c>
      <c r="G3066" s="14" t="n">
        <v>3</v>
      </c>
      <c r="H3066" s="14" t="s">
        <v>158</v>
      </c>
      <c r="I3066" s="14" t="s">
        <v>899</v>
      </c>
      <c r="J3066" s="15" t="n">
        <f aca="false">IF(B3066="SITE LOSS",IF(D3066=C3066,1,0),IF(B3066="REGION LOSS",IF(E3066=C3066,1,0),0))</f>
        <v>0</v>
      </c>
      <c r="K3066" s="15" t="n">
        <f aca="false">IF(B3066="SITE LOSS",IF(COUNTIFS('Site Dockets'!$B$7:$B$24,C3066,'Site Dockets'!$C$7:$C$24,F3066)&gt;0,1,0),IF(B3066="REGION LOSS",IF(COUNTIFS('Site Dockets'!$E$7:$E$24,C3066,'Site Dockets'!$C$7:$C$24,F3066)&gt;0,1,0),0))</f>
        <v>0</v>
      </c>
      <c r="L3066" s="15" t="n">
        <f aca="false">IF(J3066=1,0,Inputs!$B$11)</f>
        <v>100</v>
      </c>
      <c r="M3066" s="15" t="n">
        <f aca="false">IF(J3066=1,0,Inputs!$B$12)</f>
        <v>75</v>
      </c>
      <c r="N3066" s="15" t="n">
        <f aca="false">IF(J3066=1,0,IF(OR(AND(OR(B3066="SITE LOSS",B3066="REGION LOSS"),K3066=1),AND(B3066="ROLE COMPROMISE",H3066=C3066)),Inputs!$B$13,Inputs!$B$14))</f>
        <v>10</v>
      </c>
      <c r="O3066" s="15" t="n">
        <f aca="false">IF(J3066=1,0,Inputs!$B$13)</f>
        <v>20</v>
      </c>
      <c r="P3066" s="15" t="n">
        <f aca="false">SUM(M3066:N3066)</f>
        <v>85</v>
      </c>
      <c r="Q3066" s="15" t="n">
        <f aca="false">IF(J3066=1,"",L3066-P3066)</f>
        <v>15</v>
      </c>
      <c r="R3066" s="15" t="n">
        <f aca="false">IF(OR(J3066=1,M3066&lt;=Inputs!$B$12),1,0)</f>
        <v>1</v>
      </c>
      <c r="S3066" s="15" t="n">
        <f aca="false">IF(OR(J3066=1,N3066&lt;=O3066),1,0)</f>
        <v>1</v>
      </c>
      <c r="T3066" s="15" t="str">
        <f aca="false">IF(J3066=1,"OFFLINE",IF(AND(Q3066&gt;=Inputs!$B$15,R3066=1,S3066=1,P3066&lt;=L3066),"PASS","FAIL"))</f>
        <v>PASS</v>
      </c>
    </row>
    <row r="3067" customFormat="false" ht="15" hidden="false" customHeight="false" outlineLevel="0" collapsed="false">
      <c r="A3067" s="14" t="s">
        <v>1051</v>
      </c>
      <c r="B3067" s="14" t="s">
        <v>1052</v>
      </c>
      <c r="C3067" s="14" t="s">
        <v>1053</v>
      </c>
      <c r="D3067" s="14" t="s">
        <v>174</v>
      </c>
      <c r="E3067" s="14" t="s">
        <v>152</v>
      </c>
      <c r="F3067" s="14" t="s">
        <v>175</v>
      </c>
      <c r="G3067" s="14" t="n">
        <v>1</v>
      </c>
      <c r="H3067" s="14" t="s">
        <v>154</v>
      </c>
      <c r="I3067" s="14" t="s">
        <v>890</v>
      </c>
      <c r="J3067" s="15" t="n">
        <f aca="false">IF(B3067="SITE LOSS",IF(D3067=C3067,1,0),IF(B3067="REGION LOSS",IF(E3067=C3067,1,0),0))</f>
        <v>0</v>
      </c>
      <c r="K3067" s="15" t="n">
        <f aca="false">IF(B3067="SITE LOSS",IF(COUNTIFS('Site Dockets'!$B$7:$B$24,C3067,'Site Dockets'!$C$7:$C$24,F3067)&gt;0,1,0),IF(B3067="REGION LOSS",IF(COUNTIFS('Site Dockets'!$E$7:$E$24,C3067,'Site Dockets'!$C$7:$C$24,F3067)&gt;0,1,0),0))</f>
        <v>0</v>
      </c>
      <c r="L3067" s="15" t="n">
        <f aca="false">IF(J3067=1,0,Inputs!$B$11)</f>
        <v>100</v>
      </c>
      <c r="M3067" s="15" t="n">
        <f aca="false">IF(J3067=1,0,Inputs!$B$12)</f>
        <v>75</v>
      </c>
      <c r="N3067" s="15" t="n">
        <f aca="false">IF(J3067=1,0,IF(OR(AND(OR(B3067="SITE LOSS",B3067="REGION LOSS"),K3067=1),AND(B3067="ROLE COMPROMISE",H3067=C3067)),Inputs!$B$13,Inputs!$B$14))</f>
        <v>10</v>
      </c>
      <c r="O3067" s="15" t="n">
        <f aca="false">IF(J3067=1,0,Inputs!$B$13)</f>
        <v>20</v>
      </c>
      <c r="P3067" s="15" t="n">
        <f aca="false">SUM(M3067:N3067)</f>
        <v>85</v>
      </c>
      <c r="Q3067" s="15" t="n">
        <f aca="false">IF(J3067=1,"",L3067-P3067)</f>
        <v>15</v>
      </c>
      <c r="R3067" s="15" t="n">
        <f aca="false">IF(OR(J3067=1,M3067&lt;=Inputs!$B$12),1,0)</f>
        <v>1</v>
      </c>
      <c r="S3067" s="15" t="n">
        <f aca="false">IF(OR(J3067=1,N3067&lt;=O3067),1,0)</f>
        <v>1</v>
      </c>
      <c r="T3067" s="15" t="str">
        <f aca="false">IF(J3067=1,"OFFLINE",IF(AND(Q3067&gt;=Inputs!$B$15,R3067=1,S3067=1,P3067&lt;=L3067),"PASS","FAIL"))</f>
        <v>PASS</v>
      </c>
    </row>
    <row r="3068" customFormat="false" ht="15" hidden="false" customHeight="false" outlineLevel="0" collapsed="false">
      <c r="A3068" s="14" t="s">
        <v>1051</v>
      </c>
      <c r="B3068" s="14" t="s">
        <v>1052</v>
      </c>
      <c r="C3068" s="14" t="s">
        <v>1053</v>
      </c>
      <c r="D3068" s="14" t="s">
        <v>174</v>
      </c>
      <c r="E3068" s="14" t="s">
        <v>152</v>
      </c>
      <c r="F3068" s="14" t="s">
        <v>175</v>
      </c>
      <c r="G3068" s="14" t="n">
        <v>1</v>
      </c>
      <c r="H3068" s="14" t="s">
        <v>154</v>
      </c>
      <c r="I3068" s="14" t="s">
        <v>892</v>
      </c>
      <c r="J3068" s="15" t="n">
        <f aca="false">IF(B3068="SITE LOSS",IF(D3068=C3068,1,0),IF(B3068="REGION LOSS",IF(E3068=C3068,1,0),0))</f>
        <v>0</v>
      </c>
      <c r="K3068" s="15" t="n">
        <f aca="false">IF(B3068="SITE LOSS",IF(COUNTIFS('Site Dockets'!$B$7:$B$24,C3068,'Site Dockets'!$C$7:$C$24,F3068)&gt;0,1,0),IF(B3068="REGION LOSS",IF(COUNTIFS('Site Dockets'!$E$7:$E$24,C3068,'Site Dockets'!$C$7:$C$24,F3068)&gt;0,1,0),0))</f>
        <v>0</v>
      </c>
      <c r="L3068" s="15" t="n">
        <f aca="false">IF(J3068=1,0,Inputs!$B$11)</f>
        <v>100</v>
      </c>
      <c r="M3068" s="15" t="n">
        <f aca="false">IF(J3068=1,0,Inputs!$B$12)</f>
        <v>75</v>
      </c>
      <c r="N3068" s="15" t="n">
        <f aca="false">IF(J3068=1,0,IF(OR(AND(OR(B3068="SITE LOSS",B3068="REGION LOSS"),K3068=1),AND(B3068="ROLE COMPROMISE",H3068=C3068)),Inputs!$B$13,Inputs!$B$14))</f>
        <v>10</v>
      </c>
      <c r="O3068" s="15" t="n">
        <f aca="false">IF(J3068=1,0,Inputs!$B$13)</f>
        <v>20</v>
      </c>
      <c r="P3068" s="15" t="n">
        <f aca="false">SUM(M3068:N3068)</f>
        <v>85</v>
      </c>
      <c r="Q3068" s="15" t="n">
        <f aca="false">IF(J3068=1,"",L3068-P3068)</f>
        <v>15</v>
      </c>
      <c r="R3068" s="15" t="n">
        <f aca="false">IF(OR(J3068=1,M3068&lt;=Inputs!$B$12),1,0)</f>
        <v>1</v>
      </c>
      <c r="S3068" s="15" t="n">
        <f aca="false">IF(OR(J3068=1,N3068&lt;=O3068),1,0)</f>
        <v>1</v>
      </c>
      <c r="T3068" s="15" t="str">
        <f aca="false">IF(J3068=1,"OFFLINE",IF(AND(Q3068&gt;=Inputs!$B$15,R3068=1,S3068=1,P3068&lt;=L3068),"PASS","FAIL"))</f>
        <v>PASS</v>
      </c>
    </row>
    <row r="3069" customFormat="false" ht="15" hidden="false" customHeight="false" outlineLevel="0" collapsed="false">
      <c r="A3069" s="14" t="s">
        <v>1051</v>
      </c>
      <c r="B3069" s="14" t="s">
        <v>1052</v>
      </c>
      <c r="C3069" s="14" t="s">
        <v>1053</v>
      </c>
      <c r="D3069" s="14" t="s">
        <v>174</v>
      </c>
      <c r="E3069" s="14" t="s">
        <v>152</v>
      </c>
      <c r="F3069" s="14" t="s">
        <v>175</v>
      </c>
      <c r="G3069" s="14" t="n">
        <v>1</v>
      </c>
      <c r="H3069" s="14" t="s">
        <v>154</v>
      </c>
      <c r="I3069" s="14" t="s">
        <v>811</v>
      </c>
      <c r="J3069" s="15" t="n">
        <f aca="false">IF(B3069="SITE LOSS",IF(D3069=C3069,1,0),IF(B3069="REGION LOSS",IF(E3069=C3069,1,0),0))</f>
        <v>0</v>
      </c>
      <c r="K3069" s="15" t="n">
        <f aca="false">IF(B3069="SITE LOSS",IF(COUNTIFS('Site Dockets'!$B$7:$B$24,C3069,'Site Dockets'!$C$7:$C$24,F3069)&gt;0,1,0),IF(B3069="REGION LOSS",IF(COUNTIFS('Site Dockets'!$E$7:$E$24,C3069,'Site Dockets'!$C$7:$C$24,F3069)&gt;0,1,0),0))</f>
        <v>0</v>
      </c>
      <c r="L3069" s="15" t="n">
        <f aca="false">IF(J3069=1,0,Inputs!$B$11)</f>
        <v>100</v>
      </c>
      <c r="M3069" s="15" t="n">
        <f aca="false">IF(J3069=1,0,Inputs!$B$12)</f>
        <v>75</v>
      </c>
      <c r="N3069" s="15" t="n">
        <f aca="false">IF(J3069=1,0,IF(OR(AND(OR(B3069="SITE LOSS",B3069="REGION LOSS"),K3069=1),AND(B3069="ROLE COMPROMISE",H3069=C3069)),Inputs!$B$13,Inputs!$B$14))</f>
        <v>10</v>
      </c>
      <c r="O3069" s="15" t="n">
        <f aca="false">IF(J3069=1,0,Inputs!$B$13)</f>
        <v>20</v>
      </c>
      <c r="P3069" s="15" t="n">
        <f aca="false">SUM(M3069:N3069)</f>
        <v>85</v>
      </c>
      <c r="Q3069" s="15" t="n">
        <f aca="false">IF(J3069=1,"",L3069-P3069)</f>
        <v>15</v>
      </c>
      <c r="R3069" s="15" t="n">
        <f aca="false">IF(OR(J3069=1,M3069&lt;=Inputs!$B$12),1,0)</f>
        <v>1</v>
      </c>
      <c r="S3069" s="15" t="n">
        <f aca="false">IF(OR(J3069=1,N3069&lt;=O3069),1,0)</f>
        <v>1</v>
      </c>
      <c r="T3069" s="15" t="str">
        <f aca="false">IF(J3069=1,"OFFLINE",IF(AND(Q3069&gt;=Inputs!$B$15,R3069=1,S3069=1,P3069&lt;=L3069),"PASS","FAIL"))</f>
        <v>PASS</v>
      </c>
    </row>
    <row r="3070" customFormat="false" ht="15" hidden="false" customHeight="false" outlineLevel="0" collapsed="false">
      <c r="A3070" s="14" t="s">
        <v>1051</v>
      </c>
      <c r="B3070" s="14" t="s">
        <v>1052</v>
      </c>
      <c r="C3070" s="14" t="s">
        <v>1053</v>
      </c>
      <c r="D3070" s="14" t="s">
        <v>174</v>
      </c>
      <c r="E3070" s="14" t="s">
        <v>152</v>
      </c>
      <c r="F3070" s="14" t="s">
        <v>175</v>
      </c>
      <c r="G3070" s="14" t="n">
        <v>1</v>
      </c>
      <c r="H3070" s="14" t="s">
        <v>154</v>
      </c>
      <c r="I3070" s="14" t="s">
        <v>895</v>
      </c>
      <c r="J3070" s="15" t="n">
        <f aca="false">IF(B3070="SITE LOSS",IF(D3070=C3070,1,0),IF(B3070="REGION LOSS",IF(E3070=C3070,1,0),0))</f>
        <v>0</v>
      </c>
      <c r="K3070" s="15" t="n">
        <f aca="false">IF(B3070="SITE LOSS",IF(COUNTIFS('Site Dockets'!$B$7:$B$24,C3070,'Site Dockets'!$C$7:$C$24,F3070)&gt;0,1,0),IF(B3070="REGION LOSS",IF(COUNTIFS('Site Dockets'!$E$7:$E$24,C3070,'Site Dockets'!$C$7:$C$24,F3070)&gt;0,1,0),0))</f>
        <v>0</v>
      </c>
      <c r="L3070" s="15" t="n">
        <f aca="false">IF(J3070=1,0,Inputs!$B$11)</f>
        <v>100</v>
      </c>
      <c r="M3070" s="15" t="n">
        <f aca="false">IF(J3070=1,0,Inputs!$B$12)</f>
        <v>75</v>
      </c>
      <c r="N3070" s="15" t="n">
        <f aca="false">IF(J3070=1,0,IF(OR(AND(OR(B3070="SITE LOSS",B3070="REGION LOSS"),K3070=1),AND(B3070="ROLE COMPROMISE",H3070=C3070)),Inputs!$B$13,Inputs!$B$14))</f>
        <v>10</v>
      </c>
      <c r="O3070" s="15" t="n">
        <f aca="false">IF(J3070=1,0,Inputs!$B$13)</f>
        <v>20</v>
      </c>
      <c r="P3070" s="15" t="n">
        <f aca="false">SUM(M3070:N3070)</f>
        <v>85</v>
      </c>
      <c r="Q3070" s="15" t="n">
        <f aca="false">IF(J3070=1,"",L3070-P3070)</f>
        <v>15</v>
      </c>
      <c r="R3070" s="15" t="n">
        <f aca="false">IF(OR(J3070=1,M3070&lt;=Inputs!$B$12),1,0)</f>
        <v>1</v>
      </c>
      <c r="S3070" s="15" t="n">
        <f aca="false">IF(OR(J3070=1,N3070&lt;=O3070),1,0)</f>
        <v>1</v>
      </c>
      <c r="T3070" s="15" t="str">
        <f aca="false">IF(J3070=1,"OFFLINE",IF(AND(Q3070&gt;=Inputs!$B$15,R3070=1,S3070=1,P3070&lt;=L3070),"PASS","FAIL"))</f>
        <v>PASS</v>
      </c>
    </row>
    <row r="3071" customFormat="false" ht="15" hidden="false" customHeight="false" outlineLevel="0" collapsed="false">
      <c r="A3071" s="14" t="s">
        <v>1051</v>
      </c>
      <c r="B3071" s="14" t="s">
        <v>1052</v>
      </c>
      <c r="C3071" s="14" t="s">
        <v>1053</v>
      </c>
      <c r="D3071" s="14" t="s">
        <v>174</v>
      </c>
      <c r="E3071" s="14" t="s">
        <v>152</v>
      </c>
      <c r="F3071" s="14" t="s">
        <v>175</v>
      </c>
      <c r="G3071" s="14" t="n">
        <v>1</v>
      </c>
      <c r="H3071" s="14" t="s">
        <v>154</v>
      </c>
      <c r="I3071" s="14" t="s">
        <v>897</v>
      </c>
      <c r="J3071" s="15" t="n">
        <f aca="false">IF(B3071="SITE LOSS",IF(D3071=C3071,1,0),IF(B3071="REGION LOSS",IF(E3071=C3071,1,0),0))</f>
        <v>0</v>
      </c>
      <c r="K3071" s="15" t="n">
        <f aca="false">IF(B3071="SITE LOSS",IF(COUNTIFS('Site Dockets'!$B$7:$B$24,C3071,'Site Dockets'!$C$7:$C$24,F3071)&gt;0,1,0),IF(B3071="REGION LOSS",IF(COUNTIFS('Site Dockets'!$E$7:$E$24,C3071,'Site Dockets'!$C$7:$C$24,F3071)&gt;0,1,0),0))</f>
        <v>0</v>
      </c>
      <c r="L3071" s="15" t="n">
        <f aca="false">IF(J3071=1,0,Inputs!$B$11)</f>
        <v>100</v>
      </c>
      <c r="M3071" s="15" t="n">
        <f aca="false">IF(J3071=1,0,Inputs!$B$12)</f>
        <v>75</v>
      </c>
      <c r="N3071" s="15" t="n">
        <f aca="false">IF(J3071=1,0,IF(OR(AND(OR(B3071="SITE LOSS",B3071="REGION LOSS"),K3071=1),AND(B3071="ROLE COMPROMISE",H3071=C3071)),Inputs!$B$13,Inputs!$B$14))</f>
        <v>10</v>
      </c>
      <c r="O3071" s="15" t="n">
        <f aca="false">IF(J3071=1,0,Inputs!$B$13)</f>
        <v>20</v>
      </c>
      <c r="P3071" s="15" t="n">
        <f aca="false">SUM(M3071:N3071)</f>
        <v>85</v>
      </c>
      <c r="Q3071" s="15" t="n">
        <f aca="false">IF(J3071=1,"",L3071-P3071)</f>
        <v>15</v>
      </c>
      <c r="R3071" s="15" t="n">
        <f aca="false">IF(OR(J3071=1,M3071&lt;=Inputs!$B$12),1,0)</f>
        <v>1</v>
      </c>
      <c r="S3071" s="15" t="n">
        <f aca="false">IF(OR(J3071=1,N3071&lt;=O3071),1,0)</f>
        <v>1</v>
      </c>
      <c r="T3071" s="15" t="str">
        <f aca="false">IF(J3071=1,"OFFLINE",IF(AND(Q3071&gt;=Inputs!$B$15,R3071=1,S3071=1,P3071&lt;=L3071),"PASS","FAIL"))</f>
        <v>PASS</v>
      </c>
    </row>
    <row r="3072" customFormat="false" ht="15" hidden="false" customHeight="false" outlineLevel="0" collapsed="false">
      <c r="A3072" s="14" t="s">
        <v>1051</v>
      </c>
      <c r="B3072" s="14" t="s">
        <v>1052</v>
      </c>
      <c r="C3072" s="14" t="s">
        <v>1053</v>
      </c>
      <c r="D3072" s="14" t="s">
        <v>174</v>
      </c>
      <c r="E3072" s="14" t="s">
        <v>152</v>
      </c>
      <c r="F3072" s="14" t="s">
        <v>175</v>
      </c>
      <c r="G3072" s="14" t="n">
        <v>1</v>
      </c>
      <c r="H3072" s="14" t="s">
        <v>154</v>
      </c>
      <c r="I3072" s="14" t="s">
        <v>899</v>
      </c>
      <c r="J3072" s="15" t="n">
        <f aca="false">IF(B3072="SITE LOSS",IF(D3072=C3072,1,0),IF(B3072="REGION LOSS",IF(E3072=C3072,1,0),0))</f>
        <v>0</v>
      </c>
      <c r="K3072" s="15" t="n">
        <f aca="false">IF(B3072="SITE LOSS",IF(COUNTIFS('Site Dockets'!$B$7:$B$24,C3072,'Site Dockets'!$C$7:$C$24,F3072)&gt;0,1,0),IF(B3072="REGION LOSS",IF(COUNTIFS('Site Dockets'!$E$7:$E$24,C3072,'Site Dockets'!$C$7:$C$24,F3072)&gt;0,1,0),0))</f>
        <v>0</v>
      </c>
      <c r="L3072" s="15" t="n">
        <f aca="false">IF(J3072=1,0,Inputs!$B$11)</f>
        <v>100</v>
      </c>
      <c r="M3072" s="15" t="n">
        <f aca="false">IF(J3072=1,0,Inputs!$B$12)</f>
        <v>75</v>
      </c>
      <c r="N3072" s="15" t="n">
        <f aca="false">IF(J3072=1,0,IF(OR(AND(OR(B3072="SITE LOSS",B3072="REGION LOSS"),K3072=1),AND(B3072="ROLE COMPROMISE",H3072=C3072)),Inputs!$B$13,Inputs!$B$14))</f>
        <v>10</v>
      </c>
      <c r="O3072" s="15" t="n">
        <f aca="false">IF(J3072=1,0,Inputs!$B$13)</f>
        <v>20</v>
      </c>
      <c r="P3072" s="15" t="n">
        <f aca="false">SUM(M3072:N3072)</f>
        <v>85</v>
      </c>
      <c r="Q3072" s="15" t="n">
        <f aca="false">IF(J3072=1,"",L3072-P3072)</f>
        <v>15</v>
      </c>
      <c r="R3072" s="15" t="n">
        <f aca="false">IF(OR(J3072=1,M3072&lt;=Inputs!$B$12),1,0)</f>
        <v>1</v>
      </c>
      <c r="S3072" s="15" t="n">
        <f aca="false">IF(OR(J3072=1,N3072&lt;=O3072),1,0)</f>
        <v>1</v>
      </c>
      <c r="T3072" s="15" t="str">
        <f aca="false">IF(J3072=1,"OFFLINE",IF(AND(Q3072&gt;=Inputs!$B$15,R3072=1,S3072=1,P3072&lt;=L3072),"PASS","FAIL"))</f>
        <v>PASS</v>
      </c>
    </row>
    <row r="3073" customFormat="false" ht="15" hidden="false" customHeight="false" outlineLevel="0" collapsed="false">
      <c r="A3073" s="14" t="s">
        <v>1051</v>
      </c>
      <c r="B3073" s="14" t="s">
        <v>1052</v>
      </c>
      <c r="C3073" s="14" t="s">
        <v>1053</v>
      </c>
      <c r="D3073" s="14" t="s">
        <v>178</v>
      </c>
      <c r="E3073" s="14" t="s">
        <v>169</v>
      </c>
      <c r="F3073" s="14" t="s">
        <v>175</v>
      </c>
      <c r="G3073" s="14" t="n">
        <v>2</v>
      </c>
      <c r="H3073" s="14" t="s">
        <v>153</v>
      </c>
      <c r="I3073" s="14" t="s">
        <v>890</v>
      </c>
      <c r="J3073" s="15" t="n">
        <f aca="false">IF(B3073="SITE LOSS",IF(D3073=C3073,1,0),IF(B3073="REGION LOSS",IF(E3073=C3073,1,0),0))</f>
        <v>0</v>
      </c>
      <c r="K3073" s="15" t="n">
        <f aca="false">IF(B3073="SITE LOSS",IF(COUNTIFS('Site Dockets'!$B$7:$B$24,C3073,'Site Dockets'!$C$7:$C$24,F3073)&gt;0,1,0),IF(B3073="REGION LOSS",IF(COUNTIFS('Site Dockets'!$E$7:$E$24,C3073,'Site Dockets'!$C$7:$C$24,F3073)&gt;0,1,0),0))</f>
        <v>0</v>
      </c>
      <c r="L3073" s="15" t="n">
        <f aca="false">IF(J3073=1,0,Inputs!$B$11)</f>
        <v>100</v>
      </c>
      <c r="M3073" s="15" t="n">
        <f aca="false">IF(J3073=1,0,Inputs!$B$12)</f>
        <v>75</v>
      </c>
      <c r="N3073" s="15" t="n">
        <f aca="false">IF(J3073=1,0,IF(OR(AND(OR(B3073="SITE LOSS",B3073="REGION LOSS"),K3073=1),AND(B3073="ROLE COMPROMISE",H3073=C3073)),Inputs!$B$13,Inputs!$B$14))</f>
        <v>10</v>
      </c>
      <c r="O3073" s="15" t="n">
        <f aca="false">IF(J3073=1,0,Inputs!$B$13)</f>
        <v>20</v>
      </c>
      <c r="P3073" s="15" t="n">
        <f aca="false">SUM(M3073:N3073)</f>
        <v>85</v>
      </c>
      <c r="Q3073" s="15" t="n">
        <f aca="false">IF(J3073=1,"",L3073-P3073)</f>
        <v>15</v>
      </c>
      <c r="R3073" s="15" t="n">
        <f aca="false">IF(OR(J3073=1,M3073&lt;=Inputs!$B$12),1,0)</f>
        <v>1</v>
      </c>
      <c r="S3073" s="15" t="n">
        <f aca="false">IF(OR(J3073=1,N3073&lt;=O3073),1,0)</f>
        <v>1</v>
      </c>
      <c r="T3073" s="15" t="str">
        <f aca="false">IF(J3073=1,"OFFLINE",IF(AND(Q3073&gt;=Inputs!$B$15,R3073=1,S3073=1,P3073&lt;=L3073),"PASS","FAIL"))</f>
        <v>PASS</v>
      </c>
    </row>
    <row r="3074" customFormat="false" ht="15" hidden="false" customHeight="false" outlineLevel="0" collapsed="false">
      <c r="A3074" s="14" t="s">
        <v>1051</v>
      </c>
      <c r="B3074" s="14" t="s">
        <v>1052</v>
      </c>
      <c r="C3074" s="14" t="s">
        <v>1053</v>
      </c>
      <c r="D3074" s="14" t="s">
        <v>178</v>
      </c>
      <c r="E3074" s="14" t="s">
        <v>169</v>
      </c>
      <c r="F3074" s="14" t="s">
        <v>175</v>
      </c>
      <c r="G3074" s="14" t="n">
        <v>2</v>
      </c>
      <c r="H3074" s="14" t="s">
        <v>153</v>
      </c>
      <c r="I3074" s="14" t="s">
        <v>892</v>
      </c>
      <c r="J3074" s="15" t="n">
        <f aca="false">IF(B3074="SITE LOSS",IF(D3074=C3074,1,0),IF(B3074="REGION LOSS",IF(E3074=C3074,1,0),0))</f>
        <v>0</v>
      </c>
      <c r="K3074" s="15" t="n">
        <f aca="false">IF(B3074="SITE LOSS",IF(COUNTIFS('Site Dockets'!$B$7:$B$24,C3074,'Site Dockets'!$C$7:$C$24,F3074)&gt;0,1,0),IF(B3074="REGION LOSS",IF(COUNTIFS('Site Dockets'!$E$7:$E$24,C3074,'Site Dockets'!$C$7:$C$24,F3074)&gt;0,1,0),0))</f>
        <v>0</v>
      </c>
      <c r="L3074" s="15" t="n">
        <f aca="false">IF(J3074=1,0,Inputs!$B$11)</f>
        <v>100</v>
      </c>
      <c r="M3074" s="15" t="n">
        <f aca="false">IF(J3074=1,0,Inputs!$B$12)</f>
        <v>75</v>
      </c>
      <c r="N3074" s="15" t="n">
        <f aca="false">IF(J3074=1,0,IF(OR(AND(OR(B3074="SITE LOSS",B3074="REGION LOSS"),K3074=1),AND(B3074="ROLE COMPROMISE",H3074=C3074)),Inputs!$B$13,Inputs!$B$14))</f>
        <v>10</v>
      </c>
      <c r="O3074" s="15" t="n">
        <f aca="false">IF(J3074=1,0,Inputs!$B$13)</f>
        <v>20</v>
      </c>
      <c r="P3074" s="15" t="n">
        <f aca="false">SUM(M3074:N3074)</f>
        <v>85</v>
      </c>
      <c r="Q3074" s="15" t="n">
        <f aca="false">IF(J3074=1,"",L3074-P3074)</f>
        <v>15</v>
      </c>
      <c r="R3074" s="15" t="n">
        <f aca="false">IF(OR(J3074=1,M3074&lt;=Inputs!$B$12),1,0)</f>
        <v>1</v>
      </c>
      <c r="S3074" s="15" t="n">
        <f aca="false">IF(OR(J3074=1,N3074&lt;=O3074),1,0)</f>
        <v>1</v>
      </c>
      <c r="T3074" s="15" t="str">
        <f aca="false">IF(J3074=1,"OFFLINE",IF(AND(Q3074&gt;=Inputs!$B$15,R3074=1,S3074=1,P3074&lt;=L3074),"PASS","FAIL"))</f>
        <v>PASS</v>
      </c>
    </row>
    <row r="3075" customFormat="false" ht="15" hidden="false" customHeight="false" outlineLevel="0" collapsed="false">
      <c r="A3075" s="14" t="s">
        <v>1051</v>
      </c>
      <c r="B3075" s="14" t="s">
        <v>1052</v>
      </c>
      <c r="C3075" s="14" t="s">
        <v>1053</v>
      </c>
      <c r="D3075" s="14" t="s">
        <v>178</v>
      </c>
      <c r="E3075" s="14" t="s">
        <v>169</v>
      </c>
      <c r="F3075" s="14" t="s">
        <v>175</v>
      </c>
      <c r="G3075" s="14" t="n">
        <v>2</v>
      </c>
      <c r="H3075" s="14" t="s">
        <v>153</v>
      </c>
      <c r="I3075" s="14" t="s">
        <v>811</v>
      </c>
      <c r="J3075" s="15" t="n">
        <f aca="false">IF(B3075="SITE LOSS",IF(D3075=C3075,1,0),IF(B3075="REGION LOSS",IF(E3075=C3075,1,0),0))</f>
        <v>0</v>
      </c>
      <c r="K3075" s="15" t="n">
        <f aca="false">IF(B3075="SITE LOSS",IF(COUNTIFS('Site Dockets'!$B$7:$B$24,C3075,'Site Dockets'!$C$7:$C$24,F3075)&gt;0,1,0),IF(B3075="REGION LOSS",IF(COUNTIFS('Site Dockets'!$E$7:$E$24,C3075,'Site Dockets'!$C$7:$C$24,F3075)&gt;0,1,0),0))</f>
        <v>0</v>
      </c>
      <c r="L3075" s="15" t="n">
        <f aca="false">IF(J3075=1,0,Inputs!$B$11)</f>
        <v>100</v>
      </c>
      <c r="M3075" s="15" t="n">
        <f aca="false">IF(J3075=1,0,Inputs!$B$12)</f>
        <v>75</v>
      </c>
      <c r="N3075" s="15" t="n">
        <f aca="false">IF(J3075=1,0,IF(OR(AND(OR(B3075="SITE LOSS",B3075="REGION LOSS"),K3075=1),AND(B3075="ROLE COMPROMISE",H3075=C3075)),Inputs!$B$13,Inputs!$B$14))</f>
        <v>10</v>
      </c>
      <c r="O3075" s="15" t="n">
        <f aca="false">IF(J3075=1,0,Inputs!$B$13)</f>
        <v>20</v>
      </c>
      <c r="P3075" s="15" t="n">
        <f aca="false">SUM(M3075:N3075)</f>
        <v>85</v>
      </c>
      <c r="Q3075" s="15" t="n">
        <f aca="false">IF(J3075=1,"",L3075-P3075)</f>
        <v>15</v>
      </c>
      <c r="R3075" s="15" t="n">
        <f aca="false">IF(OR(J3075=1,M3075&lt;=Inputs!$B$12),1,0)</f>
        <v>1</v>
      </c>
      <c r="S3075" s="15" t="n">
        <f aca="false">IF(OR(J3075=1,N3075&lt;=O3075),1,0)</f>
        <v>1</v>
      </c>
      <c r="T3075" s="15" t="str">
        <f aca="false">IF(J3075=1,"OFFLINE",IF(AND(Q3075&gt;=Inputs!$B$15,R3075=1,S3075=1,P3075&lt;=L3075),"PASS","FAIL"))</f>
        <v>PASS</v>
      </c>
    </row>
    <row r="3076" customFormat="false" ht="15" hidden="false" customHeight="false" outlineLevel="0" collapsed="false">
      <c r="A3076" s="14" t="s">
        <v>1051</v>
      </c>
      <c r="B3076" s="14" t="s">
        <v>1052</v>
      </c>
      <c r="C3076" s="14" t="s">
        <v>1053</v>
      </c>
      <c r="D3076" s="14" t="s">
        <v>178</v>
      </c>
      <c r="E3076" s="14" t="s">
        <v>169</v>
      </c>
      <c r="F3076" s="14" t="s">
        <v>175</v>
      </c>
      <c r="G3076" s="14" t="n">
        <v>2</v>
      </c>
      <c r="H3076" s="14" t="s">
        <v>153</v>
      </c>
      <c r="I3076" s="14" t="s">
        <v>895</v>
      </c>
      <c r="J3076" s="15" t="n">
        <f aca="false">IF(B3076="SITE LOSS",IF(D3076=C3076,1,0),IF(B3076="REGION LOSS",IF(E3076=C3076,1,0),0))</f>
        <v>0</v>
      </c>
      <c r="K3076" s="15" t="n">
        <f aca="false">IF(B3076="SITE LOSS",IF(COUNTIFS('Site Dockets'!$B$7:$B$24,C3076,'Site Dockets'!$C$7:$C$24,F3076)&gt;0,1,0),IF(B3076="REGION LOSS",IF(COUNTIFS('Site Dockets'!$E$7:$E$24,C3076,'Site Dockets'!$C$7:$C$24,F3076)&gt;0,1,0),0))</f>
        <v>0</v>
      </c>
      <c r="L3076" s="15" t="n">
        <f aca="false">IF(J3076=1,0,Inputs!$B$11)</f>
        <v>100</v>
      </c>
      <c r="M3076" s="15" t="n">
        <f aca="false">IF(J3076=1,0,Inputs!$B$12)</f>
        <v>75</v>
      </c>
      <c r="N3076" s="15" t="n">
        <f aca="false">IF(J3076=1,0,IF(OR(AND(OR(B3076="SITE LOSS",B3076="REGION LOSS"),K3076=1),AND(B3076="ROLE COMPROMISE",H3076=C3076)),Inputs!$B$13,Inputs!$B$14))</f>
        <v>10</v>
      </c>
      <c r="O3076" s="15" t="n">
        <f aca="false">IF(J3076=1,0,Inputs!$B$13)</f>
        <v>20</v>
      </c>
      <c r="P3076" s="15" t="n">
        <f aca="false">SUM(M3076:N3076)</f>
        <v>85</v>
      </c>
      <c r="Q3076" s="15" t="n">
        <f aca="false">IF(J3076=1,"",L3076-P3076)</f>
        <v>15</v>
      </c>
      <c r="R3076" s="15" t="n">
        <f aca="false">IF(OR(J3076=1,M3076&lt;=Inputs!$B$12),1,0)</f>
        <v>1</v>
      </c>
      <c r="S3076" s="15" t="n">
        <f aca="false">IF(OR(J3076=1,N3076&lt;=O3076),1,0)</f>
        <v>1</v>
      </c>
      <c r="T3076" s="15" t="str">
        <f aca="false">IF(J3076=1,"OFFLINE",IF(AND(Q3076&gt;=Inputs!$B$15,R3076=1,S3076=1,P3076&lt;=L3076),"PASS","FAIL"))</f>
        <v>PASS</v>
      </c>
    </row>
    <row r="3077" customFormat="false" ht="15" hidden="false" customHeight="false" outlineLevel="0" collapsed="false">
      <c r="A3077" s="14" t="s">
        <v>1051</v>
      </c>
      <c r="B3077" s="14" t="s">
        <v>1052</v>
      </c>
      <c r="C3077" s="14" t="s">
        <v>1053</v>
      </c>
      <c r="D3077" s="14" t="s">
        <v>178</v>
      </c>
      <c r="E3077" s="14" t="s">
        <v>169</v>
      </c>
      <c r="F3077" s="14" t="s">
        <v>175</v>
      </c>
      <c r="G3077" s="14" t="n">
        <v>2</v>
      </c>
      <c r="H3077" s="14" t="s">
        <v>153</v>
      </c>
      <c r="I3077" s="14" t="s">
        <v>897</v>
      </c>
      <c r="J3077" s="15" t="n">
        <f aca="false">IF(B3077="SITE LOSS",IF(D3077=C3077,1,0),IF(B3077="REGION LOSS",IF(E3077=C3077,1,0),0))</f>
        <v>0</v>
      </c>
      <c r="K3077" s="15" t="n">
        <f aca="false">IF(B3077="SITE LOSS",IF(COUNTIFS('Site Dockets'!$B$7:$B$24,C3077,'Site Dockets'!$C$7:$C$24,F3077)&gt;0,1,0),IF(B3077="REGION LOSS",IF(COUNTIFS('Site Dockets'!$E$7:$E$24,C3077,'Site Dockets'!$C$7:$C$24,F3077)&gt;0,1,0),0))</f>
        <v>0</v>
      </c>
      <c r="L3077" s="15" t="n">
        <f aca="false">IF(J3077=1,0,Inputs!$B$11)</f>
        <v>100</v>
      </c>
      <c r="M3077" s="15" t="n">
        <f aca="false">IF(J3077=1,0,Inputs!$B$12)</f>
        <v>75</v>
      </c>
      <c r="N3077" s="15" t="n">
        <f aca="false">IF(J3077=1,0,IF(OR(AND(OR(B3077="SITE LOSS",B3077="REGION LOSS"),K3077=1),AND(B3077="ROLE COMPROMISE",H3077=C3077)),Inputs!$B$13,Inputs!$B$14))</f>
        <v>10</v>
      </c>
      <c r="O3077" s="15" t="n">
        <f aca="false">IF(J3077=1,0,Inputs!$B$13)</f>
        <v>20</v>
      </c>
      <c r="P3077" s="15" t="n">
        <f aca="false">SUM(M3077:N3077)</f>
        <v>85</v>
      </c>
      <c r="Q3077" s="15" t="n">
        <f aca="false">IF(J3077=1,"",L3077-P3077)</f>
        <v>15</v>
      </c>
      <c r="R3077" s="15" t="n">
        <f aca="false">IF(OR(J3077=1,M3077&lt;=Inputs!$B$12),1,0)</f>
        <v>1</v>
      </c>
      <c r="S3077" s="15" t="n">
        <f aca="false">IF(OR(J3077=1,N3077&lt;=O3077),1,0)</f>
        <v>1</v>
      </c>
      <c r="T3077" s="15" t="str">
        <f aca="false">IF(J3077=1,"OFFLINE",IF(AND(Q3077&gt;=Inputs!$B$15,R3077=1,S3077=1,P3077&lt;=L3077),"PASS","FAIL"))</f>
        <v>PASS</v>
      </c>
    </row>
    <row r="3078" customFormat="false" ht="15" hidden="false" customHeight="false" outlineLevel="0" collapsed="false">
      <c r="A3078" s="14" t="s">
        <v>1051</v>
      </c>
      <c r="B3078" s="14" t="s">
        <v>1052</v>
      </c>
      <c r="C3078" s="14" t="s">
        <v>1053</v>
      </c>
      <c r="D3078" s="14" t="s">
        <v>178</v>
      </c>
      <c r="E3078" s="14" t="s">
        <v>169</v>
      </c>
      <c r="F3078" s="14" t="s">
        <v>175</v>
      </c>
      <c r="G3078" s="14" t="n">
        <v>2</v>
      </c>
      <c r="H3078" s="14" t="s">
        <v>153</v>
      </c>
      <c r="I3078" s="14" t="s">
        <v>899</v>
      </c>
      <c r="J3078" s="15" t="n">
        <f aca="false">IF(B3078="SITE LOSS",IF(D3078=C3078,1,0),IF(B3078="REGION LOSS",IF(E3078=C3078,1,0),0))</f>
        <v>0</v>
      </c>
      <c r="K3078" s="15" t="n">
        <f aca="false">IF(B3078="SITE LOSS",IF(COUNTIFS('Site Dockets'!$B$7:$B$24,C3078,'Site Dockets'!$C$7:$C$24,F3078)&gt;0,1,0),IF(B3078="REGION LOSS",IF(COUNTIFS('Site Dockets'!$E$7:$E$24,C3078,'Site Dockets'!$C$7:$C$24,F3078)&gt;0,1,0),0))</f>
        <v>0</v>
      </c>
      <c r="L3078" s="15" t="n">
        <f aca="false">IF(J3078=1,0,Inputs!$B$11)</f>
        <v>100</v>
      </c>
      <c r="M3078" s="15" t="n">
        <f aca="false">IF(J3078=1,0,Inputs!$B$12)</f>
        <v>75</v>
      </c>
      <c r="N3078" s="15" t="n">
        <f aca="false">IF(J3078=1,0,IF(OR(AND(OR(B3078="SITE LOSS",B3078="REGION LOSS"),K3078=1),AND(B3078="ROLE COMPROMISE",H3078=C3078)),Inputs!$B$13,Inputs!$B$14))</f>
        <v>10</v>
      </c>
      <c r="O3078" s="15" t="n">
        <f aca="false">IF(J3078=1,0,Inputs!$B$13)</f>
        <v>20</v>
      </c>
      <c r="P3078" s="15" t="n">
        <f aca="false">SUM(M3078:N3078)</f>
        <v>85</v>
      </c>
      <c r="Q3078" s="15" t="n">
        <f aca="false">IF(J3078=1,"",L3078-P3078)</f>
        <v>15</v>
      </c>
      <c r="R3078" s="15" t="n">
        <f aca="false">IF(OR(J3078=1,M3078&lt;=Inputs!$B$12),1,0)</f>
        <v>1</v>
      </c>
      <c r="S3078" s="15" t="n">
        <f aca="false">IF(OR(J3078=1,N3078&lt;=O3078),1,0)</f>
        <v>1</v>
      </c>
      <c r="T3078" s="15" t="str">
        <f aca="false">IF(J3078=1,"OFFLINE",IF(AND(Q3078&gt;=Inputs!$B$15,R3078=1,S3078=1,P3078&lt;=L3078),"PASS","FAIL"))</f>
        <v>PASS</v>
      </c>
    </row>
    <row r="3079" customFormat="false" ht="15" hidden="false" customHeight="false" outlineLevel="0" collapsed="false">
      <c r="A3079" s="14" t="s">
        <v>1051</v>
      </c>
      <c r="B3079" s="14" t="s">
        <v>1052</v>
      </c>
      <c r="C3079" s="14" t="s">
        <v>1053</v>
      </c>
      <c r="D3079" s="14" t="s">
        <v>180</v>
      </c>
      <c r="E3079" s="14" t="s">
        <v>161</v>
      </c>
      <c r="F3079" s="14" t="s">
        <v>175</v>
      </c>
      <c r="G3079" s="14" t="n">
        <v>3</v>
      </c>
      <c r="H3079" s="14" t="s">
        <v>158</v>
      </c>
      <c r="I3079" s="14" t="s">
        <v>890</v>
      </c>
      <c r="J3079" s="15" t="n">
        <f aca="false">IF(B3079="SITE LOSS",IF(D3079=C3079,1,0),IF(B3079="REGION LOSS",IF(E3079=C3079,1,0),0))</f>
        <v>0</v>
      </c>
      <c r="K3079" s="15" t="n">
        <f aca="false">IF(B3079="SITE LOSS",IF(COUNTIFS('Site Dockets'!$B$7:$B$24,C3079,'Site Dockets'!$C$7:$C$24,F3079)&gt;0,1,0),IF(B3079="REGION LOSS",IF(COUNTIFS('Site Dockets'!$E$7:$E$24,C3079,'Site Dockets'!$C$7:$C$24,F3079)&gt;0,1,0),0))</f>
        <v>0</v>
      </c>
      <c r="L3079" s="15" t="n">
        <f aca="false">IF(J3079=1,0,Inputs!$B$11)</f>
        <v>100</v>
      </c>
      <c r="M3079" s="15" t="n">
        <f aca="false">IF(J3079=1,0,Inputs!$B$12)</f>
        <v>75</v>
      </c>
      <c r="N3079" s="15" t="n">
        <f aca="false">IF(J3079=1,0,IF(OR(AND(OR(B3079="SITE LOSS",B3079="REGION LOSS"),K3079=1),AND(B3079="ROLE COMPROMISE",H3079=C3079)),Inputs!$B$13,Inputs!$B$14))</f>
        <v>10</v>
      </c>
      <c r="O3079" s="15" t="n">
        <f aca="false">IF(J3079=1,0,Inputs!$B$13)</f>
        <v>20</v>
      </c>
      <c r="P3079" s="15" t="n">
        <f aca="false">SUM(M3079:N3079)</f>
        <v>85</v>
      </c>
      <c r="Q3079" s="15" t="n">
        <f aca="false">IF(J3079=1,"",L3079-P3079)</f>
        <v>15</v>
      </c>
      <c r="R3079" s="15" t="n">
        <f aca="false">IF(OR(J3079=1,M3079&lt;=Inputs!$B$12),1,0)</f>
        <v>1</v>
      </c>
      <c r="S3079" s="15" t="n">
        <f aca="false">IF(OR(J3079=1,N3079&lt;=O3079),1,0)</f>
        <v>1</v>
      </c>
      <c r="T3079" s="15" t="str">
        <f aca="false">IF(J3079=1,"OFFLINE",IF(AND(Q3079&gt;=Inputs!$B$15,R3079=1,S3079=1,P3079&lt;=L3079),"PASS","FAIL"))</f>
        <v>PASS</v>
      </c>
    </row>
    <row r="3080" customFormat="false" ht="15" hidden="false" customHeight="false" outlineLevel="0" collapsed="false">
      <c r="A3080" s="14" t="s">
        <v>1051</v>
      </c>
      <c r="B3080" s="14" t="s">
        <v>1052</v>
      </c>
      <c r="C3080" s="14" t="s">
        <v>1053</v>
      </c>
      <c r="D3080" s="14" t="s">
        <v>180</v>
      </c>
      <c r="E3080" s="14" t="s">
        <v>161</v>
      </c>
      <c r="F3080" s="14" t="s">
        <v>175</v>
      </c>
      <c r="G3080" s="14" t="n">
        <v>3</v>
      </c>
      <c r="H3080" s="14" t="s">
        <v>158</v>
      </c>
      <c r="I3080" s="14" t="s">
        <v>892</v>
      </c>
      <c r="J3080" s="15" t="n">
        <f aca="false">IF(B3080="SITE LOSS",IF(D3080=C3080,1,0),IF(B3080="REGION LOSS",IF(E3080=C3080,1,0),0))</f>
        <v>0</v>
      </c>
      <c r="K3080" s="15" t="n">
        <f aca="false">IF(B3080="SITE LOSS",IF(COUNTIFS('Site Dockets'!$B$7:$B$24,C3080,'Site Dockets'!$C$7:$C$24,F3080)&gt;0,1,0),IF(B3080="REGION LOSS",IF(COUNTIFS('Site Dockets'!$E$7:$E$24,C3080,'Site Dockets'!$C$7:$C$24,F3080)&gt;0,1,0),0))</f>
        <v>0</v>
      </c>
      <c r="L3080" s="15" t="n">
        <f aca="false">IF(J3080=1,0,Inputs!$B$11)</f>
        <v>100</v>
      </c>
      <c r="M3080" s="15" t="n">
        <f aca="false">IF(J3080=1,0,Inputs!$B$12)</f>
        <v>75</v>
      </c>
      <c r="N3080" s="15" t="n">
        <f aca="false">IF(J3080=1,0,IF(OR(AND(OR(B3080="SITE LOSS",B3080="REGION LOSS"),K3080=1),AND(B3080="ROLE COMPROMISE",H3080=C3080)),Inputs!$B$13,Inputs!$B$14))</f>
        <v>10</v>
      </c>
      <c r="O3080" s="15" t="n">
        <f aca="false">IF(J3080=1,0,Inputs!$B$13)</f>
        <v>20</v>
      </c>
      <c r="P3080" s="15" t="n">
        <f aca="false">SUM(M3080:N3080)</f>
        <v>85</v>
      </c>
      <c r="Q3080" s="15" t="n">
        <f aca="false">IF(J3080=1,"",L3080-P3080)</f>
        <v>15</v>
      </c>
      <c r="R3080" s="15" t="n">
        <f aca="false">IF(OR(J3080=1,M3080&lt;=Inputs!$B$12),1,0)</f>
        <v>1</v>
      </c>
      <c r="S3080" s="15" t="n">
        <f aca="false">IF(OR(J3080=1,N3080&lt;=O3080),1,0)</f>
        <v>1</v>
      </c>
      <c r="T3080" s="15" t="str">
        <f aca="false">IF(J3080=1,"OFFLINE",IF(AND(Q3080&gt;=Inputs!$B$15,R3080=1,S3080=1,P3080&lt;=L3080),"PASS","FAIL"))</f>
        <v>PASS</v>
      </c>
    </row>
    <row r="3081" customFormat="false" ht="15" hidden="false" customHeight="false" outlineLevel="0" collapsed="false">
      <c r="A3081" s="14" t="s">
        <v>1051</v>
      </c>
      <c r="B3081" s="14" t="s">
        <v>1052</v>
      </c>
      <c r="C3081" s="14" t="s">
        <v>1053</v>
      </c>
      <c r="D3081" s="14" t="s">
        <v>180</v>
      </c>
      <c r="E3081" s="14" t="s">
        <v>161</v>
      </c>
      <c r="F3081" s="14" t="s">
        <v>175</v>
      </c>
      <c r="G3081" s="14" t="n">
        <v>3</v>
      </c>
      <c r="H3081" s="14" t="s">
        <v>158</v>
      </c>
      <c r="I3081" s="14" t="s">
        <v>811</v>
      </c>
      <c r="J3081" s="15" t="n">
        <f aca="false">IF(B3081="SITE LOSS",IF(D3081=C3081,1,0),IF(B3081="REGION LOSS",IF(E3081=C3081,1,0),0))</f>
        <v>0</v>
      </c>
      <c r="K3081" s="15" t="n">
        <f aca="false">IF(B3081="SITE LOSS",IF(COUNTIFS('Site Dockets'!$B$7:$B$24,C3081,'Site Dockets'!$C$7:$C$24,F3081)&gt;0,1,0),IF(B3081="REGION LOSS",IF(COUNTIFS('Site Dockets'!$E$7:$E$24,C3081,'Site Dockets'!$C$7:$C$24,F3081)&gt;0,1,0),0))</f>
        <v>0</v>
      </c>
      <c r="L3081" s="15" t="n">
        <f aca="false">IF(J3081=1,0,Inputs!$B$11)</f>
        <v>100</v>
      </c>
      <c r="M3081" s="15" t="n">
        <f aca="false">IF(J3081=1,0,Inputs!$B$12)</f>
        <v>75</v>
      </c>
      <c r="N3081" s="15" t="n">
        <f aca="false">IF(J3081=1,0,IF(OR(AND(OR(B3081="SITE LOSS",B3081="REGION LOSS"),K3081=1),AND(B3081="ROLE COMPROMISE",H3081=C3081)),Inputs!$B$13,Inputs!$B$14))</f>
        <v>10</v>
      </c>
      <c r="O3081" s="15" t="n">
        <f aca="false">IF(J3081=1,0,Inputs!$B$13)</f>
        <v>20</v>
      </c>
      <c r="P3081" s="15" t="n">
        <f aca="false">SUM(M3081:N3081)</f>
        <v>85</v>
      </c>
      <c r="Q3081" s="15" t="n">
        <f aca="false">IF(J3081=1,"",L3081-P3081)</f>
        <v>15</v>
      </c>
      <c r="R3081" s="15" t="n">
        <f aca="false">IF(OR(J3081=1,M3081&lt;=Inputs!$B$12),1,0)</f>
        <v>1</v>
      </c>
      <c r="S3081" s="15" t="n">
        <f aca="false">IF(OR(J3081=1,N3081&lt;=O3081),1,0)</f>
        <v>1</v>
      </c>
      <c r="T3081" s="15" t="str">
        <f aca="false">IF(J3081=1,"OFFLINE",IF(AND(Q3081&gt;=Inputs!$B$15,R3081=1,S3081=1,P3081&lt;=L3081),"PASS","FAIL"))</f>
        <v>PASS</v>
      </c>
    </row>
    <row r="3082" customFormat="false" ht="15" hidden="false" customHeight="false" outlineLevel="0" collapsed="false">
      <c r="A3082" s="14" t="s">
        <v>1051</v>
      </c>
      <c r="B3082" s="14" t="s">
        <v>1052</v>
      </c>
      <c r="C3082" s="14" t="s">
        <v>1053</v>
      </c>
      <c r="D3082" s="14" t="s">
        <v>180</v>
      </c>
      <c r="E3082" s="14" t="s">
        <v>161</v>
      </c>
      <c r="F3082" s="14" t="s">
        <v>175</v>
      </c>
      <c r="G3082" s="14" t="n">
        <v>3</v>
      </c>
      <c r="H3082" s="14" t="s">
        <v>158</v>
      </c>
      <c r="I3082" s="14" t="s">
        <v>895</v>
      </c>
      <c r="J3082" s="15" t="n">
        <f aca="false">IF(B3082="SITE LOSS",IF(D3082=C3082,1,0),IF(B3082="REGION LOSS",IF(E3082=C3082,1,0),0))</f>
        <v>0</v>
      </c>
      <c r="K3082" s="15" t="n">
        <f aca="false">IF(B3082="SITE LOSS",IF(COUNTIFS('Site Dockets'!$B$7:$B$24,C3082,'Site Dockets'!$C$7:$C$24,F3082)&gt;0,1,0),IF(B3082="REGION LOSS",IF(COUNTIFS('Site Dockets'!$E$7:$E$24,C3082,'Site Dockets'!$C$7:$C$24,F3082)&gt;0,1,0),0))</f>
        <v>0</v>
      </c>
      <c r="L3082" s="15" t="n">
        <f aca="false">IF(J3082=1,0,Inputs!$B$11)</f>
        <v>100</v>
      </c>
      <c r="M3082" s="15" t="n">
        <f aca="false">IF(J3082=1,0,Inputs!$B$12)</f>
        <v>75</v>
      </c>
      <c r="N3082" s="15" t="n">
        <f aca="false">IF(J3082=1,0,IF(OR(AND(OR(B3082="SITE LOSS",B3082="REGION LOSS"),K3082=1),AND(B3082="ROLE COMPROMISE",H3082=C3082)),Inputs!$B$13,Inputs!$B$14))</f>
        <v>10</v>
      </c>
      <c r="O3082" s="15" t="n">
        <f aca="false">IF(J3082=1,0,Inputs!$B$13)</f>
        <v>20</v>
      </c>
      <c r="P3082" s="15" t="n">
        <f aca="false">SUM(M3082:N3082)</f>
        <v>85</v>
      </c>
      <c r="Q3082" s="15" t="n">
        <f aca="false">IF(J3082=1,"",L3082-P3082)</f>
        <v>15</v>
      </c>
      <c r="R3082" s="15" t="n">
        <f aca="false">IF(OR(J3082=1,M3082&lt;=Inputs!$B$12),1,0)</f>
        <v>1</v>
      </c>
      <c r="S3082" s="15" t="n">
        <f aca="false">IF(OR(J3082=1,N3082&lt;=O3082),1,0)</f>
        <v>1</v>
      </c>
      <c r="T3082" s="15" t="str">
        <f aca="false">IF(J3082=1,"OFFLINE",IF(AND(Q3082&gt;=Inputs!$B$15,R3082=1,S3082=1,P3082&lt;=L3082),"PASS","FAIL"))</f>
        <v>PASS</v>
      </c>
    </row>
    <row r="3083" customFormat="false" ht="15" hidden="false" customHeight="false" outlineLevel="0" collapsed="false">
      <c r="A3083" s="14" t="s">
        <v>1051</v>
      </c>
      <c r="B3083" s="14" t="s">
        <v>1052</v>
      </c>
      <c r="C3083" s="14" t="s">
        <v>1053</v>
      </c>
      <c r="D3083" s="14" t="s">
        <v>180</v>
      </c>
      <c r="E3083" s="14" t="s">
        <v>161</v>
      </c>
      <c r="F3083" s="14" t="s">
        <v>175</v>
      </c>
      <c r="G3083" s="14" t="n">
        <v>3</v>
      </c>
      <c r="H3083" s="14" t="s">
        <v>158</v>
      </c>
      <c r="I3083" s="14" t="s">
        <v>897</v>
      </c>
      <c r="J3083" s="15" t="n">
        <f aca="false">IF(B3083="SITE LOSS",IF(D3083=C3083,1,0),IF(B3083="REGION LOSS",IF(E3083=C3083,1,0),0))</f>
        <v>0</v>
      </c>
      <c r="K3083" s="15" t="n">
        <f aca="false">IF(B3083="SITE LOSS",IF(COUNTIFS('Site Dockets'!$B$7:$B$24,C3083,'Site Dockets'!$C$7:$C$24,F3083)&gt;0,1,0),IF(B3083="REGION LOSS",IF(COUNTIFS('Site Dockets'!$E$7:$E$24,C3083,'Site Dockets'!$C$7:$C$24,F3083)&gt;0,1,0),0))</f>
        <v>0</v>
      </c>
      <c r="L3083" s="15" t="n">
        <f aca="false">IF(J3083=1,0,Inputs!$B$11)</f>
        <v>100</v>
      </c>
      <c r="M3083" s="15" t="n">
        <f aca="false">IF(J3083=1,0,Inputs!$B$12)</f>
        <v>75</v>
      </c>
      <c r="N3083" s="15" t="n">
        <f aca="false">IF(J3083=1,0,IF(OR(AND(OR(B3083="SITE LOSS",B3083="REGION LOSS"),K3083=1),AND(B3083="ROLE COMPROMISE",H3083=C3083)),Inputs!$B$13,Inputs!$B$14))</f>
        <v>10</v>
      </c>
      <c r="O3083" s="15" t="n">
        <f aca="false">IF(J3083=1,0,Inputs!$B$13)</f>
        <v>20</v>
      </c>
      <c r="P3083" s="15" t="n">
        <f aca="false">SUM(M3083:N3083)</f>
        <v>85</v>
      </c>
      <c r="Q3083" s="15" t="n">
        <f aca="false">IF(J3083=1,"",L3083-P3083)</f>
        <v>15</v>
      </c>
      <c r="R3083" s="15" t="n">
        <f aca="false">IF(OR(J3083=1,M3083&lt;=Inputs!$B$12),1,0)</f>
        <v>1</v>
      </c>
      <c r="S3083" s="15" t="n">
        <f aca="false">IF(OR(J3083=1,N3083&lt;=O3083),1,0)</f>
        <v>1</v>
      </c>
      <c r="T3083" s="15" t="str">
        <f aca="false">IF(J3083=1,"OFFLINE",IF(AND(Q3083&gt;=Inputs!$B$15,R3083=1,S3083=1,P3083&lt;=L3083),"PASS","FAIL"))</f>
        <v>PASS</v>
      </c>
    </row>
    <row r="3084" customFormat="false" ht="15" hidden="false" customHeight="false" outlineLevel="0" collapsed="false">
      <c r="A3084" s="14" t="s">
        <v>1051</v>
      </c>
      <c r="B3084" s="14" t="s">
        <v>1052</v>
      </c>
      <c r="C3084" s="14" t="s">
        <v>1053</v>
      </c>
      <c r="D3084" s="14" t="s">
        <v>180</v>
      </c>
      <c r="E3084" s="14" t="s">
        <v>161</v>
      </c>
      <c r="F3084" s="14" t="s">
        <v>175</v>
      </c>
      <c r="G3084" s="14" t="n">
        <v>3</v>
      </c>
      <c r="H3084" s="14" t="s">
        <v>158</v>
      </c>
      <c r="I3084" s="14" t="s">
        <v>899</v>
      </c>
      <c r="J3084" s="15" t="n">
        <f aca="false">IF(B3084="SITE LOSS",IF(D3084=C3084,1,0),IF(B3084="REGION LOSS",IF(E3084=C3084,1,0),0))</f>
        <v>0</v>
      </c>
      <c r="K3084" s="15" t="n">
        <f aca="false">IF(B3084="SITE LOSS",IF(COUNTIFS('Site Dockets'!$B$7:$B$24,C3084,'Site Dockets'!$C$7:$C$24,F3084)&gt;0,1,0),IF(B3084="REGION LOSS",IF(COUNTIFS('Site Dockets'!$E$7:$E$24,C3084,'Site Dockets'!$C$7:$C$24,F3084)&gt;0,1,0),0))</f>
        <v>0</v>
      </c>
      <c r="L3084" s="15" t="n">
        <f aca="false">IF(J3084=1,0,Inputs!$B$11)</f>
        <v>100</v>
      </c>
      <c r="M3084" s="15" t="n">
        <f aca="false">IF(J3084=1,0,Inputs!$B$12)</f>
        <v>75</v>
      </c>
      <c r="N3084" s="15" t="n">
        <f aca="false">IF(J3084=1,0,IF(OR(AND(OR(B3084="SITE LOSS",B3084="REGION LOSS"),K3084=1),AND(B3084="ROLE COMPROMISE",H3084=C3084)),Inputs!$B$13,Inputs!$B$14))</f>
        <v>10</v>
      </c>
      <c r="O3084" s="15" t="n">
        <f aca="false">IF(J3084=1,0,Inputs!$B$13)</f>
        <v>20</v>
      </c>
      <c r="P3084" s="15" t="n">
        <f aca="false">SUM(M3084:N3084)</f>
        <v>85</v>
      </c>
      <c r="Q3084" s="15" t="n">
        <f aca="false">IF(J3084=1,"",L3084-P3084)</f>
        <v>15</v>
      </c>
      <c r="R3084" s="15" t="n">
        <f aca="false">IF(OR(J3084=1,M3084&lt;=Inputs!$B$12),1,0)</f>
        <v>1</v>
      </c>
      <c r="S3084" s="15" t="n">
        <f aca="false">IF(OR(J3084=1,N3084&lt;=O3084),1,0)</f>
        <v>1</v>
      </c>
      <c r="T3084" s="15" t="str">
        <f aca="false">IF(J3084=1,"OFFLINE",IF(AND(Q3084&gt;=Inputs!$B$15,R3084=1,S3084=1,P3084&lt;=L3084),"PASS","FAIL"))</f>
        <v>PASS</v>
      </c>
    </row>
    <row r="3085" customFormat="false" ht="15" hidden="false" customHeight="false" outlineLevel="0" collapsed="false">
      <c r="A3085" s="14" t="s">
        <v>1051</v>
      </c>
      <c r="B3085" s="14" t="s">
        <v>1052</v>
      </c>
      <c r="C3085" s="14" t="s">
        <v>1053</v>
      </c>
      <c r="D3085" s="14" t="s">
        <v>182</v>
      </c>
      <c r="E3085" s="14" t="s">
        <v>166</v>
      </c>
      <c r="F3085" s="14" t="s">
        <v>183</v>
      </c>
      <c r="G3085" s="14" t="n">
        <v>1</v>
      </c>
      <c r="H3085" s="14" t="s">
        <v>154</v>
      </c>
      <c r="I3085" s="14" t="s">
        <v>890</v>
      </c>
      <c r="J3085" s="15" t="n">
        <f aca="false">IF(B3085="SITE LOSS",IF(D3085=C3085,1,0),IF(B3085="REGION LOSS",IF(E3085=C3085,1,0),0))</f>
        <v>0</v>
      </c>
      <c r="K3085" s="15" t="n">
        <f aca="false">IF(B3085="SITE LOSS",IF(COUNTIFS('Site Dockets'!$B$7:$B$24,C3085,'Site Dockets'!$C$7:$C$24,F3085)&gt;0,1,0),IF(B3085="REGION LOSS",IF(COUNTIFS('Site Dockets'!$E$7:$E$24,C3085,'Site Dockets'!$C$7:$C$24,F3085)&gt;0,1,0),0))</f>
        <v>0</v>
      </c>
      <c r="L3085" s="15" t="n">
        <f aca="false">IF(J3085=1,0,Inputs!$B$11)</f>
        <v>100</v>
      </c>
      <c r="M3085" s="15" t="n">
        <f aca="false">IF(J3085=1,0,Inputs!$B$12)</f>
        <v>75</v>
      </c>
      <c r="N3085" s="15" t="n">
        <f aca="false">IF(J3085=1,0,IF(OR(AND(OR(B3085="SITE LOSS",B3085="REGION LOSS"),K3085=1),AND(B3085="ROLE COMPROMISE",H3085=C3085)),Inputs!$B$13,Inputs!$B$14))</f>
        <v>10</v>
      </c>
      <c r="O3085" s="15" t="n">
        <f aca="false">IF(J3085=1,0,Inputs!$B$13)</f>
        <v>20</v>
      </c>
      <c r="P3085" s="15" t="n">
        <f aca="false">SUM(M3085:N3085)</f>
        <v>85</v>
      </c>
      <c r="Q3085" s="15" t="n">
        <f aca="false">IF(J3085=1,"",L3085-P3085)</f>
        <v>15</v>
      </c>
      <c r="R3085" s="15" t="n">
        <f aca="false">IF(OR(J3085=1,M3085&lt;=Inputs!$B$12),1,0)</f>
        <v>1</v>
      </c>
      <c r="S3085" s="15" t="n">
        <f aca="false">IF(OR(J3085=1,N3085&lt;=O3085),1,0)</f>
        <v>1</v>
      </c>
      <c r="T3085" s="15" t="str">
        <f aca="false">IF(J3085=1,"OFFLINE",IF(AND(Q3085&gt;=Inputs!$B$15,R3085=1,S3085=1,P3085&lt;=L3085),"PASS","FAIL"))</f>
        <v>PASS</v>
      </c>
    </row>
    <row r="3086" customFormat="false" ht="15" hidden="false" customHeight="false" outlineLevel="0" collapsed="false">
      <c r="A3086" s="14" t="s">
        <v>1051</v>
      </c>
      <c r="B3086" s="14" t="s">
        <v>1052</v>
      </c>
      <c r="C3086" s="14" t="s">
        <v>1053</v>
      </c>
      <c r="D3086" s="14" t="s">
        <v>182</v>
      </c>
      <c r="E3086" s="14" t="s">
        <v>166</v>
      </c>
      <c r="F3086" s="14" t="s">
        <v>183</v>
      </c>
      <c r="G3086" s="14" t="n">
        <v>1</v>
      </c>
      <c r="H3086" s="14" t="s">
        <v>154</v>
      </c>
      <c r="I3086" s="14" t="s">
        <v>892</v>
      </c>
      <c r="J3086" s="15" t="n">
        <f aca="false">IF(B3086="SITE LOSS",IF(D3086=C3086,1,0),IF(B3086="REGION LOSS",IF(E3086=C3086,1,0),0))</f>
        <v>0</v>
      </c>
      <c r="K3086" s="15" t="n">
        <f aca="false">IF(B3086="SITE LOSS",IF(COUNTIFS('Site Dockets'!$B$7:$B$24,C3086,'Site Dockets'!$C$7:$C$24,F3086)&gt;0,1,0),IF(B3086="REGION LOSS",IF(COUNTIFS('Site Dockets'!$E$7:$E$24,C3086,'Site Dockets'!$C$7:$C$24,F3086)&gt;0,1,0),0))</f>
        <v>0</v>
      </c>
      <c r="L3086" s="15" t="n">
        <f aca="false">IF(J3086=1,0,Inputs!$B$11)</f>
        <v>100</v>
      </c>
      <c r="M3086" s="15" t="n">
        <f aca="false">IF(J3086=1,0,Inputs!$B$12)</f>
        <v>75</v>
      </c>
      <c r="N3086" s="15" t="n">
        <f aca="false">IF(J3086=1,0,IF(OR(AND(OR(B3086="SITE LOSS",B3086="REGION LOSS"),K3086=1),AND(B3086="ROLE COMPROMISE",H3086=C3086)),Inputs!$B$13,Inputs!$B$14))</f>
        <v>10</v>
      </c>
      <c r="O3086" s="15" t="n">
        <f aca="false">IF(J3086=1,0,Inputs!$B$13)</f>
        <v>20</v>
      </c>
      <c r="P3086" s="15" t="n">
        <f aca="false">SUM(M3086:N3086)</f>
        <v>85</v>
      </c>
      <c r="Q3086" s="15" t="n">
        <f aca="false">IF(J3086=1,"",L3086-P3086)</f>
        <v>15</v>
      </c>
      <c r="R3086" s="15" t="n">
        <f aca="false">IF(OR(J3086=1,M3086&lt;=Inputs!$B$12),1,0)</f>
        <v>1</v>
      </c>
      <c r="S3086" s="15" t="n">
        <f aca="false">IF(OR(J3086=1,N3086&lt;=O3086),1,0)</f>
        <v>1</v>
      </c>
      <c r="T3086" s="15" t="str">
        <f aca="false">IF(J3086=1,"OFFLINE",IF(AND(Q3086&gt;=Inputs!$B$15,R3086=1,S3086=1,P3086&lt;=L3086),"PASS","FAIL"))</f>
        <v>PASS</v>
      </c>
    </row>
    <row r="3087" customFormat="false" ht="15" hidden="false" customHeight="false" outlineLevel="0" collapsed="false">
      <c r="A3087" s="14" t="s">
        <v>1051</v>
      </c>
      <c r="B3087" s="14" t="s">
        <v>1052</v>
      </c>
      <c r="C3087" s="14" t="s">
        <v>1053</v>
      </c>
      <c r="D3087" s="14" t="s">
        <v>182</v>
      </c>
      <c r="E3087" s="14" t="s">
        <v>166</v>
      </c>
      <c r="F3087" s="14" t="s">
        <v>183</v>
      </c>
      <c r="G3087" s="14" t="n">
        <v>1</v>
      </c>
      <c r="H3087" s="14" t="s">
        <v>154</v>
      </c>
      <c r="I3087" s="14" t="s">
        <v>811</v>
      </c>
      <c r="J3087" s="15" t="n">
        <f aca="false">IF(B3087="SITE LOSS",IF(D3087=C3087,1,0),IF(B3087="REGION LOSS",IF(E3087=C3087,1,0),0))</f>
        <v>0</v>
      </c>
      <c r="K3087" s="15" t="n">
        <f aca="false">IF(B3087="SITE LOSS",IF(COUNTIFS('Site Dockets'!$B$7:$B$24,C3087,'Site Dockets'!$C$7:$C$24,F3087)&gt;0,1,0),IF(B3087="REGION LOSS",IF(COUNTIFS('Site Dockets'!$E$7:$E$24,C3087,'Site Dockets'!$C$7:$C$24,F3087)&gt;0,1,0),0))</f>
        <v>0</v>
      </c>
      <c r="L3087" s="15" t="n">
        <f aca="false">IF(J3087=1,0,Inputs!$B$11)</f>
        <v>100</v>
      </c>
      <c r="M3087" s="15" t="n">
        <f aca="false">IF(J3087=1,0,Inputs!$B$12)</f>
        <v>75</v>
      </c>
      <c r="N3087" s="15" t="n">
        <f aca="false">IF(J3087=1,0,IF(OR(AND(OR(B3087="SITE LOSS",B3087="REGION LOSS"),K3087=1),AND(B3087="ROLE COMPROMISE",H3087=C3087)),Inputs!$B$13,Inputs!$B$14))</f>
        <v>10</v>
      </c>
      <c r="O3087" s="15" t="n">
        <f aca="false">IF(J3087=1,0,Inputs!$B$13)</f>
        <v>20</v>
      </c>
      <c r="P3087" s="15" t="n">
        <f aca="false">SUM(M3087:N3087)</f>
        <v>85</v>
      </c>
      <c r="Q3087" s="15" t="n">
        <f aca="false">IF(J3087=1,"",L3087-P3087)</f>
        <v>15</v>
      </c>
      <c r="R3087" s="15" t="n">
        <f aca="false">IF(OR(J3087=1,M3087&lt;=Inputs!$B$12),1,0)</f>
        <v>1</v>
      </c>
      <c r="S3087" s="15" t="n">
        <f aca="false">IF(OR(J3087=1,N3087&lt;=O3087),1,0)</f>
        <v>1</v>
      </c>
      <c r="T3087" s="15" t="str">
        <f aca="false">IF(J3087=1,"OFFLINE",IF(AND(Q3087&gt;=Inputs!$B$15,R3087=1,S3087=1,P3087&lt;=L3087),"PASS","FAIL"))</f>
        <v>PASS</v>
      </c>
    </row>
    <row r="3088" customFormat="false" ht="15" hidden="false" customHeight="false" outlineLevel="0" collapsed="false">
      <c r="A3088" s="14" t="s">
        <v>1051</v>
      </c>
      <c r="B3088" s="14" t="s">
        <v>1052</v>
      </c>
      <c r="C3088" s="14" t="s">
        <v>1053</v>
      </c>
      <c r="D3088" s="14" t="s">
        <v>182</v>
      </c>
      <c r="E3088" s="14" t="s">
        <v>166</v>
      </c>
      <c r="F3088" s="14" t="s">
        <v>183</v>
      </c>
      <c r="G3088" s="14" t="n">
        <v>1</v>
      </c>
      <c r="H3088" s="14" t="s">
        <v>154</v>
      </c>
      <c r="I3088" s="14" t="s">
        <v>895</v>
      </c>
      <c r="J3088" s="15" t="n">
        <f aca="false">IF(B3088="SITE LOSS",IF(D3088=C3088,1,0),IF(B3088="REGION LOSS",IF(E3088=C3088,1,0),0))</f>
        <v>0</v>
      </c>
      <c r="K3088" s="15" t="n">
        <f aca="false">IF(B3088="SITE LOSS",IF(COUNTIFS('Site Dockets'!$B$7:$B$24,C3088,'Site Dockets'!$C$7:$C$24,F3088)&gt;0,1,0),IF(B3088="REGION LOSS",IF(COUNTIFS('Site Dockets'!$E$7:$E$24,C3088,'Site Dockets'!$C$7:$C$24,F3088)&gt;0,1,0),0))</f>
        <v>0</v>
      </c>
      <c r="L3088" s="15" t="n">
        <f aca="false">IF(J3088=1,0,Inputs!$B$11)</f>
        <v>100</v>
      </c>
      <c r="M3088" s="15" t="n">
        <f aca="false">IF(J3088=1,0,Inputs!$B$12)</f>
        <v>75</v>
      </c>
      <c r="N3088" s="15" t="n">
        <f aca="false">IF(J3088=1,0,IF(OR(AND(OR(B3088="SITE LOSS",B3088="REGION LOSS"),K3088=1),AND(B3088="ROLE COMPROMISE",H3088=C3088)),Inputs!$B$13,Inputs!$B$14))</f>
        <v>10</v>
      </c>
      <c r="O3088" s="15" t="n">
        <f aca="false">IF(J3088=1,0,Inputs!$B$13)</f>
        <v>20</v>
      </c>
      <c r="P3088" s="15" t="n">
        <f aca="false">SUM(M3088:N3088)</f>
        <v>85</v>
      </c>
      <c r="Q3088" s="15" t="n">
        <f aca="false">IF(J3088=1,"",L3088-P3088)</f>
        <v>15</v>
      </c>
      <c r="R3088" s="15" t="n">
        <f aca="false">IF(OR(J3088=1,M3088&lt;=Inputs!$B$12),1,0)</f>
        <v>1</v>
      </c>
      <c r="S3088" s="15" t="n">
        <f aca="false">IF(OR(J3088=1,N3088&lt;=O3088),1,0)</f>
        <v>1</v>
      </c>
      <c r="T3088" s="15" t="str">
        <f aca="false">IF(J3088=1,"OFFLINE",IF(AND(Q3088&gt;=Inputs!$B$15,R3088=1,S3088=1,P3088&lt;=L3088),"PASS","FAIL"))</f>
        <v>PASS</v>
      </c>
    </row>
    <row r="3089" customFormat="false" ht="15" hidden="false" customHeight="false" outlineLevel="0" collapsed="false">
      <c r="A3089" s="14" t="s">
        <v>1051</v>
      </c>
      <c r="B3089" s="14" t="s">
        <v>1052</v>
      </c>
      <c r="C3089" s="14" t="s">
        <v>1053</v>
      </c>
      <c r="D3089" s="14" t="s">
        <v>182</v>
      </c>
      <c r="E3089" s="14" t="s">
        <v>166</v>
      </c>
      <c r="F3089" s="14" t="s">
        <v>183</v>
      </c>
      <c r="G3089" s="14" t="n">
        <v>1</v>
      </c>
      <c r="H3089" s="14" t="s">
        <v>154</v>
      </c>
      <c r="I3089" s="14" t="s">
        <v>897</v>
      </c>
      <c r="J3089" s="15" t="n">
        <f aca="false">IF(B3089="SITE LOSS",IF(D3089=C3089,1,0),IF(B3089="REGION LOSS",IF(E3089=C3089,1,0),0))</f>
        <v>0</v>
      </c>
      <c r="K3089" s="15" t="n">
        <f aca="false">IF(B3089="SITE LOSS",IF(COUNTIFS('Site Dockets'!$B$7:$B$24,C3089,'Site Dockets'!$C$7:$C$24,F3089)&gt;0,1,0),IF(B3089="REGION LOSS",IF(COUNTIFS('Site Dockets'!$E$7:$E$24,C3089,'Site Dockets'!$C$7:$C$24,F3089)&gt;0,1,0),0))</f>
        <v>0</v>
      </c>
      <c r="L3089" s="15" t="n">
        <f aca="false">IF(J3089=1,0,Inputs!$B$11)</f>
        <v>100</v>
      </c>
      <c r="M3089" s="15" t="n">
        <f aca="false">IF(J3089=1,0,Inputs!$B$12)</f>
        <v>75</v>
      </c>
      <c r="N3089" s="15" t="n">
        <f aca="false">IF(J3089=1,0,IF(OR(AND(OR(B3089="SITE LOSS",B3089="REGION LOSS"),K3089=1),AND(B3089="ROLE COMPROMISE",H3089=C3089)),Inputs!$B$13,Inputs!$B$14))</f>
        <v>10</v>
      </c>
      <c r="O3089" s="15" t="n">
        <f aca="false">IF(J3089=1,0,Inputs!$B$13)</f>
        <v>20</v>
      </c>
      <c r="P3089" s="15" t="n">
        <f aca="false">SUM(M3089:N3089)</f>
        <v>85</v>
      </c>
      <c r="Q3089" s="15" t="n">
        <f aca="false">IF(J3089=1,"",L3089-P3089)</f>
        <v>15</v>
      </c>
      <c r="R3089" s="15" t="n">
        <f aca="false">IF(OR(J3089=1,M3089&lt;=Inputs!$B$12),1,0)</f>
        <v>1</v>
      </c>
      <c r="S3089" s="15" t="n">
        <f aca="false">IF(OR(J3089=1,N3089&lt;=O3089),1,0)</f>
        <v>1</v>
      </c>
      <c r="T3089" s="15" t="str">
        <f aca="false">IF(J3089=1,"OFFLINE",IF(AND(Q3089&gt;=Inputs!$B$15,R3089=1,S3089=1,P3089&lt;=L3089),"PASS","FAIL"))</f>
        <v>PASS</v>
      </c>
    </row>
    <row r="3090" customFormat="false" ht="15" hidden="false" customHeight="false" outlineLevel="0" collapsed="false">
      <c r="A3090" s="14" t="s">
        <v>1051</v>
      </c>
      <c r="B3090" s="14" t="s">
        <v>1052</v>
      </c>
      <c r="C3090" s="14" t="s">
        <v>1053</v>
      </c>
      <c r="D3090" s="14" t="s">
        <v>182</v>
      </c>
      <c r="E3090" s="14" t="s">
        <v>166</v>
      </c>
      <c r="F3090" s="14" t="s">
        <v>183</v>
      </c>
      <c r="G3090" s="14" t="n">
        <v>1</v>
      </c>
      <c r="H3090" s="14" t="s">
        <v>154</v>
      </c>
      <c r="I3090" s="14" t="s">
        <v>899</v>
      </c>
      <c r="J3090" s="15" t="n">
        <f aca="false">IF(B3090="SITE LOSS",IF(D3090=C3090,1,0),IF(B3090="REGION LOSS",IF(E3090=C3090,1,0),0))</f>
        <v>0</v>
      </c>
      <c r="K3090" s="15" t="n">
        <f aca="false">IF(B3090="SITE LOSS",IF(COUNTIFS('Site Dockets'!$B$7:$B$24,C3090,'Site Dockets'!$C$7:$C$24,F3090)&gt;0,1,0),IF(B3090="REGION LOSS",IF(COUNTIFS('Site Dockets'!$E$7:$E$24,C3090,'Site Dockets'!$C$7:$C$24,F3090)&gt;0,1,0),0))</f>
        <v>0</v>
      </c>
      <c r="L3090" s="15" t="n">
        <f aca="false">IF(J3090=1,0,Inputs!$B$11)</f>
        <v>100</v>
      </c>
      <c r="M3090" s="15" t="n">
        <f aca="false">IF(J3090=1,0,Inputs!$B$12)</f>
        <v>75</v>
      </c>
      <c r="N3090" s="15" t="n">
        <f aca="false">IF(J3090=1,0,IF(OR(AND(OR(B3090="SITE LOSS",B3090="REGION LOSS"),K3090=1),AND(B3090="ROLE COMPROMISE",H3090=C3090)),Inputs!$B$13,Inputs!$B$14))</f>
        <v>10</v>
      </c>
      <c r="O3090" s="15" t="n">
        <f aca="false">IF(J3090=1,0,Inputs!$B$13)</f>
        <v>20</v>
      </c>
      <c r="P3090" s="15" t="n">
        <f aca="false">SUM(M3090:N3090)</f>
        <v>85</v>
      </c>
      <c r="Q3090" s="15" t="n">
        <f aca="false">IF(J3090=1,"",L3090-P3090)</f>
        <v>15</v>
      </c>
      <c r="R3090" s="15" t="n">
        <f aca="false">IF(OR(J3090=1,M3090&lt;=Inputs!$B$12),1,0)</f>
        <v>1</v>
      </c>
      <c r="S3090" s="15" t="n">
        <f aca="false">IF(OR(J3090=1,N3090&lt;=O3090),1,0)</f>
        <v>1</v>
      </c>
      <c r="T3090" s="15" t="str">
        <f aca="false">IF(J3090=1,"OFFLINE",IF(AND(Q3090&gt;=Inputs!$B$15,R3090=1,S3090=1,P3090&lt;=L3090),"PASS","FAIL"))</f>
        <v>PASS</v>
      </c>
    </row>
    <row r="3091" customFormat="false" ht="15" hidden="false" customHeight="false" outlineLevel="0" collapsed="false">
      <c r="A3091" s="14" t="s">
        <v>1051</v>
      </c>
      <c r="B3091" s="14" t="s">
        <v>1052</v>
      </c>
      <c r="C3091" s="14" t="s">
        <v>1053</v>
      </c>
      <c r="D3091" s="14" t="s">
        <v>186</v>
      </c>
      <c r="E3091" s="14" t="s">
        <v>157</v>
      </c>
      <c r="F3091" s="14" t="s">
        <v>183</v>
      </c>
      <c r="G3091" s="14" t="n">
        <v>2</v>
      </c>
      <c r="H3091" s="14" t="s">
        <v>153</v>
      </c>
      <c r="I3091" s="14" t="s">
        <v>890</v>
      </c>
      <c r="J3091" s="15" t="n">
        <f aca="false">IF(B3091="SITE LOSS",IF(D3091=C3091,1,0),IF(B3091="REGION LOSS",IF(E3091=C3091,1,0),0))</f>
        <v>0</v>
      </c>
      <c r="K3091" s="15" t="n">
        <f aca="false">IF(B3091="SITE LOSS",IF(COUNTIFS('Site Dockets'!$B$7:$B$24,C3091,'Site Dockets'!$C$7:$C$24,F3091)&gt;0,1,0),IF(B3091="REGION LOSS",IF(COUNTIFS('Site Dockets'!$E$7:$E$24,C3091,'Site Dockets'!$C$7:$C$24,F3091)&gt;0,1,0),0))</f>
        <v>0</v>
      </c>
      <c r="L3091" s="15" t="n">
        <f aca="false">IF(J3091=1,0,Inputs!$B$11)</f>
        <v>100</v>
      </c>
      <c r="M3091" s="15" t="n">
        <f aca="false">IF(J3091=1,0,Inputs!$B$12)</f>
        <v>75</v>
      </c>
      <c r="N3091" s="15" t="n">
        <f aca="false">IF(J3091=1,0,IF(OR(AND(OR(B3091="SITE LOSS",B3091="REGION LOSS"),K3091=1),AND(B3091="ROLE COMPROMISE",H3091=C3091)),Inputs!$B$13,Inputs!$B$14))</f>
        <v>10</v>
      </c>
      <c r="O3091" s="15" t="n">
        <f aca="false">IF(J3091=1,0,Inputs!$B$13)</f>
        <v>20</v>
      </c>
      <c r="P3091" s="15" t="n">
        <f aca="false">SUM(M3091:N3091)</f>
        <v>85</v>
      </c>
      <c r="Q3091" s="15" t="n">
        <f aca="false">IF(J3091=1,"",L3091-P3091)</f>
        <v>15</v>
      </c>
      <c r="R3091" s="15" t="n">
        <f aca="false">IF(OR(J3091=1,M3091&lt;=Inputs!$B$12),1,0)</f>
        <v>1</v>
      </c>
      <c r="S3091" s="15" t="n">
        <f aca="false">IF(OR(J3091=1,N3091&lt;=O3091),1,0)</f>
        <v>1</v>
      </c>
      <c r="T3091" s="15" t="str">
        <f aca="false">IF(J3091=1,"OFFLINE",IF(AND(Q3091&gt;=Inputs!$B$15,R3091=1,S3091=1,P3091&lt;=L3091),"PASS","FAIL"))</f>
        <v>PASS</v>
      </c>
    </row>
    <row r="3092" customFormat="false" ht="15" hidden="false" customHeight="false" outlineLevel="0" collapsed="false">
      <c r="A3092" s="14" t="s">
        <v>1051</v>
      </c>
      <c r="B3092" s="14" t="s">
        <v>1052</v>
      </c>
      <c r="C3092" s="14" t="s">
        <v>1053</v>
      </c>
      <c r="D3092" s="14" t="s">
        <v>186</v>
      </c>
      <c r="E3092" s="14" t="s">
        <v>157</v>
      </c>
      <c r="F3092" s="14" t="s">
        <v>183</v>
      </c>
      <c r="G3092" s="14" t="n">
        <v>2</v>
      </c>
      <c r="H3092" s="14" t="s">
        <v>153</v>
      </c>
      <c r="I3092" s="14" t="s">
        <v>892</v>
      </c>
      <c r="J3092" s="15" t="n">
        <f aca="false">IF(B3092="SITE LOSS",IF(D3092=C3092,1,0),IF(B3092="REGION LOSS",IF(E3092=C3092,1,0),0))</f>
        <v>0</v>
      </c>
      <c r="K3092" s="15" t="n">
        <f aca="false">IF(B3092="SITE LOSS",IF(COUNTIFS('Site Dockets'!$B$7:$B$24,C3092,'Site Dockets'!$C$7:$C$24,F3092)&gt;0,1,0),IF(B3092="REGION LOSS",IF(COUNTIFS('Site Dockets'!$E$7:$E$24,C3092,'Site Dockets'!$C$7:$C$24,F3092)&gt;0,1,0),0))</f>
        <v>0</v>
      </c>
      <c r="L3092" s="15" t="n">
        <f aca="false">IF(J3092=1,0,Inputs!$B$11)</f>
        <v>100</v>
      </c>
      <c r="M3092" s="15" t="n">
        <f aca="false">IF(J3092=1,0,Inputs!$B$12)</f>
        <v>75</v>
      </c>
      <c r="N3092" s="15" t="n">
        <f aca="false">IF(J3092=1,0,IF(OR(AND(OR(B3092="SITE LOSS",B3092="REGION LOSS"),K3092=1),AND(B3092="ROLE COMPROMISE",H3092=C3092)),Inputs!$B$13,Inputs!$B$14))</f>
        <v>10</v>
      </c>
      <c r="O3092" s="15" t="n">
        <f aca="false">IF(J3092=1,0,Inputs!$B$13)</f>
        <v>20</v>
      </c>
      <c r="P3092" s="15" t="n">
        <f aca="false">SUM(M3092:N3092)</f>
        <v>85</v>
      </c>
      <c r="Q3092" s="15" t="n">
        <f aca="false">IF(J3092=1,"",L3092-P3092)</f>
        <v>15</v>
      </c>
      <c r="R3092" s="15" t="n">
        <f aca="false">IF(OR(J3092=1,M3092&lt;=Inputs!$B$12),1,0)</f>
        <v>1</v>
      </c>
      <c r="S3092" s="15" t="n">
        <f aca="false">IF(OR(J3092=1,N3092&lt;=O3092),1,0)</f>
        <v>1</v>
      </c>
      <c r="T3092" s="15" t="str">
        <f aca="false">IF(J3092=1,"OFFLINE",IF(AND(Q3092&gt;=Inputs!$B$15,R3092=1,S3092=1,P3092&lt;=L3092),"PASS","FAIL"))</f>
        <v>PASS</v>
      </c>
    </row>
    <row r="3093" customFormat="false" ht="15" hidden="false" customHeight="false" outlineLevel="0" collapsed="false">
      <c r="A3093" s="14" t="s">
        <v>1051</v>
      </c>
      <c r="B3093" s="14" t="s">
        <v>1052</v>
      </c>
      <c r="C3093" s="14" t="s">
        <v>1053</v>
      </c>
      <c r="D3093" s="14" t="s">
        <v>186</v>
      </c>
      <c r="E3093" s="14" t="s">
        <v>157</v>
      </c>
      <c r="F3093" s="14" t="s">
        <v>183</v>
      </c>
      <c r="G3093" s="14" t="n">
        <v>2</v>
      </c>
      <c r="H3093" s="14" t="s">
        <v>153</v>
      </c>
      <c r="I3093" s="14" t="s">
        <v>811</v>
      </c>
      <c r="J3093" s="15" t="n">
        <f aca="false">IF(B3093="SITE LOSS",IF(D3093=C3093,1,0),IF(B3093="REGION LOSS",IF(E3093=C3093,1,0),0))</f>
        <v>0</v>
      </c>
      <c r="K3093" s="15" t="n">
        <f aca="false">IF(B3093="SITE LOSS",IF(COUNTIFS('Site Dockets'!$B$7:$B$24,C3093,'Site Dockets'!$C$7:$C$24,F3093)&gt;0,1,0),IF(B3093="REGION LOSS",IF(COUNTIFS('Site Dockets'!$E$7:$E$24,C3093,'Site Dockets'!$C$7:$C$24,F3093)&gt;0,1,0),0))</f>
        <v>0</v>
      </c>
      <c r="L3093" s="15" t="n">
        <f aca="false">IF(J3093=1,0,Inputs!$B$11)</f>
        <v>100</v>
      </c>
      <c r="M3093" s="15" t="n">
        <f aca="false">IF(J3093=1,0,Inputs!$B$12)</f>
        <v>75</v>
      </c>
      <c r="N3093" s="15" t="n">
        <f aca="false">IF(J3093=1,0,IF(OR(AND(OR(B3093="SITE LOSS",B3093="REGION LOSS"),K3093=1),AND(B3093="ROLE COMPROMISE",H3093=C3093)),Inputs!$B$13,Inputs!$B$14))</f>
        <v>10</v>
      </c>
      <c r="O3093" s="15" t="n">
        <f aca="false">IF(J3093=1,0,Inputs!$B$13)</f>
        <v>20</v>
      </c>
      <c r="P3093" s="15" t="n">
        <f aca="false">SUM(M3093:N3093)</f>
        <v>85</v>
      </c>
      <c r="Q3093" s="15" t="n">
        <f aca="false">IF(J3093=1,"",L3093-P3093)</f>
        <v>15</v>
      </c>
      <c r="R3093" s="15" t="n">
        <f aca="false">IF(OR(J3093=1,M3093&lt;=Inputs!$B$12),1,0)</f>
        <v>1</v>
      </c>
      <c r="S3093" s="15" t="n">
        <f aca="false">IF(OR(J3093=1,N3093&lt;=O3093),1,0)</f>
        <v>1</v>
      </c>
      <c r="T3093" s="15" t="str">
        <f aca="false">IF(J3093=1,"OFFLINE",IF(AND(Q3093&gt;=Inputs!$B$15,R3093=1,S3093=1,P3093&lt;=L3093),"PASS","FAIL"))</f>
        <v>PASS</v>
      </c>
    </row>
    <row r="3094" customFormat="false" ht="15" hidden="false" customHeight="false" outlineLevel="0" collapsed="false">
      <c r="A3094" s="14" t="s">
        <v>1051</v>
      </c>
      <c r="B3094" s="14" t="s">
        <v>1052</v>
      </c>
      <c r="C3094" s="14" t="s">
        <v>1053</v>
      </c>
      <c r="D3094" s="14" t="s">
        <v>186</v>
      </c>
      <c r="E3094" s="14" t="s">
        <v>157</v>
      </c>
      <c r="F3094" s="14" t="s">
        <v>183</v>
      </c>
      <c r="G3094" s="14" t="n">
        <v>2</v>
      </c>
      <c r="H3094" s="14" t="s">
        <v>153</v>
      </c>
      <c r="I3094" s="14" t="s">
        <v>895</v>
      </c>
      <c r="J3094" s="15" t="n">
        <f aca="false">IF(B3094="SITE LOSS",IF(D3094=C3094,1,0),IF(B3094="REGION LOSS",IF(E3094=C3094,1,0),0))</f>
        <v>0</v>
      </c>
      <c r="K3094" s="15" t="n">
        <f aca="false">IF(B3094="SITE LOSS",IF(COUNTIFS('Site Dockets'!$B$7:$B$24,C3094,'Site Dockets'!$C$7:$C$24,F3094)&gt;0,1,0),IF(B3094="REGION LOSS",IF(COUNTIFS('Site Dockets'!$E$7:$E$24,C3094,'Site Dockets'!$C$7:$C$24,F3094)&gt;0,1,0),0))</f>
        <v>0</v>
      </c>
      <c r="L3094" s="15" t="n">
        <f aca="false">IF(J3094=1,0,Inputs!$B$11)</f>
        <v>100</v>
      </c>
      <c r="M3094" s="15" t="n">
        <f aca="false">IF(J3094=1,0,Inputs!$B$12)</f>
        <v>75</v>
      </c>
      <c r="N3094" s="15" t="n">
        <f aca="false">IF(J3094=1,0,IF(OR(AND(OR(B3094="SITE LOSS",B3094="REGION LOSS"),K3094=1),AND(B3094="ROLE COMPROMISE",H3094=C3094)),Inputs!$B$13,Inputs!$B$14))</f>
        <v>10</v>
      </c>
      <c r="O3094" s="15" t="n">
        <f aca="false">IF(J3094=1,0,Inputs!$B$13)</f>
        <v>20</v>
      </c>
      <c r="P3094" s="15" t="n">
        <f aca="false">SUM(M3094:N3094)</f>
        <v>85</v>
      </c>
      <c r="Q3094" s="15" t="n">
        <f aca="false">IF(J3094=1,"",L3094-P3094)</f>
        <v>15</v>
      </c>
      <c r="R3094" s="15" t="n">
        <f aca="false">IF(OR(J3094=1,M3094&lt;=Inputs!$B$12),1,0)</f>
        <v>1</v>
      </c>
      <c r="S3094" s="15" t="n">
        <f aca="false">IF(OR(J3094=1,N3094&lt;=O3094),1,0)</f>
        <v>1</v>
      </c>
      <c r="T3094" s="15" t="str">
        <f aca="false">IF(J3094=1,"OFFLINE",IF(AND(Q3094&gt;=Inputs!$B$15,R3094=1,S3094=1,P3094&lt;=L3094),"PASS","FAIL"))</f>
        <v>PASS</v>
      </c>
    </row>
    <row r="3095" customFormat="false" ht="15" hidden="false" customHeight="false" outlineLevel="0" collapsed="false">
      <c r="A3095" s="14" t="s">
        <v>1051</v>
      </c>
      <c r="B3095" s="14" t="s">
        <v>1052</v>
      </c>
      <c r="C3095" s="14" t="s">
        <v>1053</v>
      </c>
      <c r="D3095" s="14" t="s">
        <v>186</v>
      </c>
      <c r="E3095" s="14" t="s">
        <v>157</v>
      </c>
      <c r="F3095" s="14" t="s">
        <v>183</v>
      </c>
      <c r="G3095" s="14" t="n">
        <v>2</v>
      </c>
      <c r="H3095" s="14" t="s">
        <v>153</v>
      </c>
      <c r="I3095" s="14" t="s">
        <v>897</v>
      </c>
      <c r="J3095" s="15" t="n">
        <f aca="false">IF(B3095="SITE LOSS",IF(D3095=C3095,1,0),IF(B3095="REGION LOSS",IF(E3095=C3095,1,0),0))</f>
        <v>0</v>
      </c>
      <c r="K3095" s="15" t="n">
        <f aca="false">IF(B3095="SITE LOSS",IF(COUNTIFS('Site Dockets'!$B$7:$B$24,C3095,'Site Dockets'!$C$7:$C$24,F3095)&gt;0,1,0),IF(B3095="REGION LOSS",IF(COUNTIFS('Site Dockets'!$E$7:$E$24,C3095,'Site Dockets'!$C$7:$C$24,F3095)&gt;0,1,0),0))</f>
        <v>0</v>
      </c>
      <c r="L3095" s="15" t="n">
        <f aca="false">IF(J3095=1,0,Inputs!$B$11)</f>
        <v>100</v>
      </c>
      <c r="M3095" s="15" t="n">
        <f aca="false">IF(J3095=1,0,Inputs!$B$12)</f>
        <v>75</v>
      </c>
      <c r="N3095" s="15" t="n">
        <f aca="false">IF(J3095=1,0,IF(OR(AND(OR(B3095="SITE LOSS",B3095="REGION LOSS"),K3095=1),AND(B3095="ROLE COMPROMISE",H3095=C3095)),Inputs!$B$13,Inputs!$B$14))</f>
        <v>10</v>
      </c>
      <c r="O3095" s="15" t="n">
        <f aca="false">IF(J3095=1,0,Inputs!$B$13)</f>
        <v>20</v>
      </c>
      <c r="P3095" s="15" t="n">
        <f aca="false">SUM(M3095:N3095)</f>
        <v>85</v>
      </c>
      <c r="Q3095" s="15" t="n">
        <f aca="false">IF(J3095=1,"",L3095-P3095)</f>
        <v>15</v>
      </c>
      <c r="R3095" s="15" t="n">
        <f aca="false">IF(OR(J3095=1,M3095&lt;=Inputs!$B$12),1,0)</f>
        <v>1</v>
      </c>
      <c r="S3095" s="15" t="n">
        <f aca="false">IF(OR(J3095=1,N3095&lt;=O3095),1,0)</f>
        <v>1</v>
      </c>
      <c r="T3095" s="15" t="str">
        <f aca="false">IF(J3095=1,"OFFLINE",IF(AND(Q3095&gt;=Inputs!$B$15,R3095=1,S3095=1,P3095&lt;=L3095),"PASS","FAIL"))</f>
        <v>PASS</v>
      </c>
    </row>
    <row r="3096" customFormat="false" ht="15" hidden="false" customHeight="false" outlineLevel="0" collapsed="false">
      <c r="A3096" s="14" t="s">
        <v>1051</v>
      </c>
      <c r="B3096" s="14" t="s">
        <v>1052</v>
      </c>
      <c r="C3096" s="14" t="s">
        <v>1053</v>
      </c>
      <c r="D3096" s="14" t="s">
        <v>186</v>
      </c>
      <c r="E3096" s="14" t="s">
        <v>157</v>
      </c>
      <c r="F3096" s="14" t="s">
        <v>183</v>
      </c>
      <c r="G3096" s="14" t="n">
        <v>2</v>
      </c>
      <c r="H3096" s="14" t="s">
        <v>153</v>
      </c>
      <c r="I3096" s="14" t="s">
        <v>899</v>
      </c>
      <c r="J3096" s="15" t="n">
        <f aca="false">IF(B3096="SITE LOSS",IF(D3096=C3096,1,0),IF(B3096="REGION LOSS",IF(E3096=C3096,1,0),0))</f>
        <v>0</v>
      </c>
      <c r="K3096" s="15" t="n">
        <f aca="false">IF(B3096="SITE LOSS",IF(COUNTIFS('Site Dockets'!$B$7:$B$24,C3096,'Site Dockets'!$C$7:$C$24,F3096)&gt;0,1,0),IF(B3096="REGION LOSS",IF(COUNTIFS('Site Dockets'!$E$7:$E$24,C3096,'Site Dockets'!$C$7:$C$24,F3096)&gt;0,1,0),0))</f>
        <v>0</v>
      </c>
      <c r="L3096" s="15" t="n">
        <f aca="false">IF(J3096=1,0,Inputs!$B$11)</f>
        <v>100</v>
      </c>
      <c r="M3096" s="15" t="n">
        <f aca="false">IF(J3096=1,0,Inputs!$B$12)</f>
        <v>75</v>
      </c>
      <c r="N3096" s="15" t="n">
        <f aca="false">IF(J3096=1,0,IF(OR(AND(OR(B3096="SITE LOSS",B3096="REGION LOSS"),K3096=1),AND(B3096="ROLE COMPROMISE",H3096=C3096)),Inputs!$B$13,Inputs!$B$14))</f>
        <v>10</v>
      </c>
      <c r="O3096" s="15" t="n">
        <f aca="false">IF(J3096=1,0,Inputs!$B$13)</f>
        <v>20</v>
      </c>
      <c r="P3096" s="15" t="n">
        <f aca="false">SUM(M3096:N3096)</f>
        <v>85</v>
      </c>
      <c r="Q3096" s="15" t="n">
        <f aca="false">IF(J3096=1,"",L3096-P3096)</f>
        <v>15</v>
      </c>
      <c r="R3096" s="15" t="n">
        <f aca="false">IF(OR(J3096=1,M3096&lt;=Inputs!$B$12),1,0)</f>
        <v>1</v>
      </c>
      <c r="S3096" s="15" t="n">
        <f aca="false">IF(OR(J3096=1,N3096&lt;=O3096),1,0)</f>
        <v>1</v>
      </c>
      <c r="T3096" s="15" t="str">
        <f aca="false">IF(J3096=1,"OFFLINE",IF(AND(Q3096&gt;=Inputs!$B$15,R3096=1,S3096=1,P3096&lt;=L3096),"PASS","FAIL"))</f>
        <v>PASS</v>
      </c>
    </row>
    <row r="3097" customFormat="false" ht="15" hidden="false" customHeight="false" outlineLevel="0" collapsed="false">
      <c r="A3097" s="14" t="s">
        <v>1051</v>
      </c>
      <c r="B3097" s="14" t="s">
        <v>1052</v>
      </c>
      <c r="C3097" s="14" t="s">
        <v>1053</v>
      </c>
      <c r="D3097" s="14" t="s">
        <v>188</v>
      </c>
      <c r="E3097" s="14" t="s">
        <v>172</v>
      </c>
      <c r="F3097" s="14" t="s">
        <v>183</v>
      </c>
      <c r="G3097" s="14" t="n">
        <v>3</v>
      </c>
      <c r="H3097" s="14" t="s">
        <v>158</v>
      </c>
      <c r="I3097" s="14" t="s">
        <v>890</v>
      </c>
      <c r="J3097" s="15" t="n">
        <f aca="false">IF(B3097="SITE LOSS",IF(D3097=C3097,1,0),IF(B3097="REGION LOSS",IF(E3097=C3097,1,0),0))</f>
        <v>0</v>
      </c>
      <c r="K3097" s="15" t="n">
        <f aca="false">IF(B3097="SITE LOSS",IF(COUNTIFS('Site Dockets'!$B$7:$B$24,C3097,'Site Dockets'!$C$7:$C$24,F3097)&gt;0,1,0),IF(B3097="REGION LOSS",IF(COUNTIFS('Site Dockets'!$E$7:$E$24,C3097,'Site Dockets'!$C$7:$C$24,F3097)&gt;0,1,0),0))</f>
        <v>0</v>
      </c>
      <c r="L3097" s="15" t="n">
        <f aca="false">IF(J3097=1,0,Inputs!$B$11)</f>
        <v>100</v>
      </c>
      <c r="M3097" s="15" t="n">
        <f aca="false">IF(J3097=1,0,Inputs!$B$12)</f>
        <v>75</v>
      </c>
      <c r="N3097" s="15" t="n">
        <f aca="false">IF(J3097=1,0,IF(OR(AND(OR(B3097="SITE LOSS",B3097="REGION LOSS"),K3097=1),AND(B3097="ROLE COMPROMISE",H3097=C3097)),Inputs!$B$13,Inputs!$B$14))</f>
        <v>10</v>
      </c>
      <c r="O3097" s="15" t="n">
        <f aca="false">IF(J3097=1,0,Inputs!$B$13)</f>
        <v>20</v>
      </c>
      <c r="P3097" s="15" t="n">
        <f aca="false">SUM(M3097:N3097)</f>
        <v>85</v>
      </c>
      <c r="Q3097" s="15" t="n">
        <f aca="false">IF(J3097=1,"",L3097-P3097)</f>
        <v>15</v>
      </c>
      <c r="R3097" s="15" t="n">
        <f aca="false">IF(OR(J3097=1,M3097&lt;=Inputs!$B$12),1,0)</f>
        <v>1</v>
      </c>
      <c r="S3097" s="15" t="n">
        <f aca="false">IF(OR(J3097=1,N3097&lt;=O3097),1,0)</f>
        <v>1</v>
      </c>
      <c r="T3097" s="15" t="str">
        <f aca="false">IF(J3097=1,"OFFLINE",IF(AND(Q3097&gt;=Inputs!$B$15,R3097=1,S3097=1,P3097&lt;=L3097),"PASS","FAIL"))</f>
        <v>PASS</v>
      </c>
    </row>
    <row r="3098" customFormat="false" ht="15" hidden="false" customHeight="false" outlineLevel="0" collapsed="false">
      <c r="A3098" s="14" t="s">
        <v>1051</v>
      </c>
      <c r="B3098" s="14" t="s">
        <v>1052</v>
      </c>
      <c r="C3098" s="14" t="s">
        <v>1053</v>
      </c>
      <c r="D3098" s="14" t="s">
        <v>188</v>
      </c>
      <c r="E3098" s="14" t="s">
        <v>172</v>
      </c>
      <c r="F3098" s="14" t="s">
        <v>183</v>
      </c>
      <c r="G3098" s="14" t="n">
        <v>3</v>
      </c>
      <c r="H3098" s="14" t="s">
        <v>158</v>
      </c>
      <c r="I3098" s="14" t="s">
        <v>892</v>
      </c>
      <c r="J3098" s="15" t="n">
        <f aca="false">IF(B3098="SITE LOSS",IF(D3098=C3098,1,0),IF(B3098="REGION LOSS",IF(E3098=C3098,1,0),0))</f>
        <v>0</v>
      </c>
      <c r="K3098" s="15" t="n">
        <f aca="false">IF(B3098="SITE LOSS",IF(COUNTIFS('Site Dockets'!$B$7:$B$24,C3098,'Site Dockets'!$C$7:$C$24,F3098)&gt;0,1,0),IF(B3098="REGION LOSS",IF(COUNTIFS('Site Dockets'!$E$7:$E$24,C3098,'Site Dockets'!$C$7:$C$24,F3098)&gt;0,1,0),0))</f>
        <v>0</v>
      </c>
      <c r="L3098" s="15" t="n">
        <f aca="false">IF(J3098=1,0,Inputs!$B$11)</f>
        <v>100</v>
      </c>
      <c r="M3098" s="15" t="n">
        <f aca="false">IF(J3098=1,0,Inputs!$B$12)</f>
        <v>75</v>
      </c>
      <c r="N3098" s="15" t="n">
        <f aca="false">IF(J3098=1,0,IF(OR(AND(OR(B3098="SITE LOSS",B3098="REGION LOSS"),K3098=1),AND(B3098="ROLE COMPROMISE",H3098=C3098)),Inputs!$B$13,Inputs!$B$14))</f>
        <v>10</v>
      </c>
      <c r="O3098" s="15" t="n">
        <f aca="false">IF(J3098=1,0,Inputs!$B$13)</f>
        <v>20</v>
      </c>
      <c r="P3098" s="15" t="n">
        <f aca="false">SUM(M3098:N3098)</f>
        <v>85</v>
      </c>
      <c r="Q3098" s="15" t="n">
        <f aca="false">IF(J3098=1,"",L3098-P3098)</f>
        <v>15</v>
      </c>
      <c r="R3098" s="15" t="n">
        <f aca="false">IF(OR(J3098=1,M3098&lt;=Inputs!$B$12),1,0)</f>
        <v>1</v>
      </c>
      <c r="S3098" s="15" t="n">
        <f aca="false">IF(OR(J3098=1,N3098&lt;=O3098),1,0)</f>
        <v>1</v>
      </c>
      <c r="T3098" s="15" t="str">
        <f aca="false">IF(J3098=1,"OFFLINE",IF(AND(Q3098&gt;=Inputs!$B$15,R3098=1,S3098=1,P3098&lt;=L3098),"PASS","FAIL"))</f>
        <v>PASS</v>
      </c>
    </row>
    <row r="3099" customFormat="false" ht="15" hidden="false" customHeight="false" outlineLevel="0" collapsed="false">
      <c r="A3099" s="14" t="s">
        <v>1051</v>
      </c>
      <c r="B3099" s="14" t="s">
        <v>1052</v>
      </c>
      <c r="C3099" s="14" t="s">
        <v>1053</v>
      </c>
      <c r="D3099" s="14" t="s">
        <v>188</v>
      </c>
      <c r="E3099" s="14" t="s">
        <v>172</v>
      </c>
      <c r="F3099" s="14" t="s">
        <v>183</v>
      </c>
      <c r="G3099" s="14" t="n">
        <v>3</v>
      </c>
      <c r="H3099" s="14" t="s">
        <v>158</v>
      </c>
      <c r="I3099" s="14" t="s">
        <v>811</v>
      </c>
      <c r="J3099" s="15" t="n">
        <f aca="false">IF(B3099="SITE LOSS",IF(D3099=C3099,1,0),IF(B3099="REGION LOSS",IF(E3099=C3099,1,0),0))</f>
        <v>0</v>
      </c>
      <c r="K3099" s="15" t="n">
        <f aca="false">IF(B3099="SITE LOSS",IF(COUNTIFS('Site Dockets'!$B$7:$B$24,C3099,'Site Dockets'!$C$7:$C$24,F3099)&gt;0,1,0),IF(B3099="REGION LOSS",IF(COUNTIFS('Site Dockets'!$E$7:$E$24,C3099,'Site Dockets'!$C$7:$C$24,F3099)&gt;0,1,0),0))</f>
        <v>0</v>
      </c>
      <c r="L3099" s="15" t="n">
        <f aca="false">IF(J3099=1,0,Inputs!$B$11)</f>
        <v>100</v>
      </c>
      <c r="M3099" s="15" t="n">
        <f aca="false">IF(J3099=1,0,Inputs!$B$12)</f>
        <v>75</v>
      </c>
      <c r="N3099" s="15" t="n">
        <f aca="false">IF(J3099=1,0,IF(OR(AND(OR(B3099="SITE LOSS",B3099="REGION LOSS"),K3099=1),AND(B3099="ROLE COMPROMISE",H3099=C3099)),Inputs!$B$13,Inputs!$B$14))</f>
        <v>10</v>
      </c>
      <c r="O3099" s="15" t="n">
        <f aca="false">IF(J3099=1,0,Inputs!$B$13)</f>
        <v>20</v>
      </c>
      <c r="P3099" s="15" t="n">
        <f aca="false">SUM(M3099:N3099)</f>
        <v>85</v>
      </c>
      <c r="Q3099" s="15" t="n">
        <f aca="false">IF(J3099=1,"",L3099-P3099)</f>
        <v>15</v>
      </c>
      <c r="R3099" s="15" t="n">
        <f aca="false">IF(OR(J3099=1,M3099&lt;=Inputs!$B$12),1,0)</f>
        <v>1</v>
      </c>
      <c r="S3099" s="15" t="n">
        <f aca="false">IF(OR(J3099=1,N3099&lt;=O3099),1,0)</f>
        <v>1</v>
      </c>
      <c r="T3099" s="15" t="str">
        <f aca="false">IF(J3099=1,"OFFLINE",IF(AND(Q3099&gt;=Inputs!$B$15,R3099=1,S3099=1,P3099&lt;=L3099),"PASS","FAIL"))</f>
        <v>PASS</v>
      </c>
    </row>
    <row r="3100" customFormat="false" ht="15" hidden="false" customHeight="false" outlineLevel="0" collapsed="false">
      <c r="A3100" s="14" t="s">
        <v>1051</v>
      </c>
      <c r="B3100" s="14" t="s">
        <v>1052</v>
      </c>
      <c r="C3100" s="14" t="s">
        <v>1053</v>
      </c>
      <c r="D3100" s="14" t="s">
        <v>188</v>
      </c>
      <c r="E3100" s="14" t="s">
        <v>172</v>
      </c>
      <c r="F3100" s="14" t="s">
        <v>183</v>
      </c>
      <c r="G3100" s="14" t="n">
        <v>3</v>
      </c>
      <c r="H3100" s="14" t="s">
        <v>158</v>
      </c>
      <c r="I3100" s="14" t="s">
        <v>895</v>
      </c>
      <c r="J3100" s="15" t="n">
        <f aca="false">IF(B3100="SITE LOSS",IF(D3100=C3100,1,0),IF(B3100="REGION LOSS",IF(E3100=C3100,1,0),0))</f>
        <v>0</v>
      </c>
      <c r="K3100" s="15" t="n">
        <f aca="false">IF(B3100="SITE LOSS",IF(COUNTIFS('Site Dockets'!$B$7:$B$24,C3100,'Site Dockets'!$C$7:$C$24,F3100)&gt;0,1,0),IF(B3100="REGION LOSS",IF(COUNTIFS('Site Dockets'!$E$7:$E$24,C3100,'Site Dockets'!$C$7:$C$24,F3100)&gt;0,1,0),0))</f>
        <v>0</v>
      </c>
      <c r="L3100" s="15" t="n">
        <f aca="false">IF(J3100=1,0,Inputs!$B$11)</f>
        <v>100</v>
      </c>
      <c r="M3100" s="15" t="n">
        <f aca="false">IF(J3100=1,0,Inputs!$B$12)</f>
        <v>75</v>
      </c>
      <c r="N3100" s="15" t="n">
        <f aca="false">IF(J3100=1,0,IF(OR(AND(OR(B3100="SITE LOSS",B3100="REGION LOSS"),K3100=1),AND(B3100="ROLE COMPROMISE",H3100=C3100)),Inputs!$B$13,Inputs!$B$14))</f>
        <v>10</v>
      </c>
      <c r="O3100" s="15" t="n">
        <f aca="false">IF(J3100=1,0,Inputs!$B$13)</f>
        <v>20</v>
      </c>
      <c r="P3100" s="15" t="n">
        <f aca="false">SUM(M3100:N3100)</f>
        <v>85</v>
      </c>
      <c r="Q3100" s="15" t="n">
        <f aca="false">IF(J3100=1,"",L3100-P3100)</f>
        <v>15</v>
      </c>
      <c r="R3100" s="15" t="n">
        <f aca="false">IF(OR(J3100=1,M3100&lt;=Inputs!$B$12),1,0)</f>
        <v>1</v>
      </c>
      <c r="S3100" s="15" t="n">
        <f aca="false">IF(OR(J3100=1,N3100&lt;=O3100),1,0)</f>
        <v>1</v>
      </c>
      <c r="T3100" s="15" t="str">
        <f aca="false">IF(J3100=1,"OFFLINE",IF(AND(Q3100&gt;=Inputs!$B$15,R3100=1,S3100=1,P3100&lt;=L3100),"PASS","FAIL"))</f>
        <v>PASS</v>
      </c>
    </row>
    <row r="3101" customFormat="false" ht="15" hidden="false" customHeight="false" outlineLevel="0" collapsed="false">
      <c r="A3101" s="14" t="s">
        <v>1051</v>
      </c>
      <c r="B3101" s="14" t="s">
        <v>1052</v>
      </c>
      <c r="C3101" s="14" t="s">
        <v>1053</v>
      </c>
      <c r="D3101" s="14" t="s">
        <v>188</v>
      </c>
      <c r="E3101" s="14" t="s">
        <v>172</v>
      </c>
      <c r="F3101" s="14" t="s">
        <v>183</v>
      </c>
      <c r="G3101" s="14" t="n">
        <v>3</v>
      </c>
      <c r="H3101" s="14" t="s">
        <v>158</v>
      </c>
      <c r="I3101" s="14" t="s">
        <v>897</v>
      </c>
      <c r="J3101" s="15" t="n">
        <f aca="false">IF(B3101="SITE LOSS",IF(D3101=C3101,1,0),IF(B3101="REGION LOSS",IF(E3101=C3101,1,0),0))</f>
        <v>0</v>
      </c>
      <c r="K3101" s="15" t="n">
        <f aca="false">IF(B3101="SITE LOSS",IF(COUNTIFS('Site Dockets'!$B$7:$B$24,C3101,'Site Dockets'!$C$7:$C$24,F3101)&gt;0,1,0),IF(B3101="REGION LOSS",IF(COUNTIFS('Site Dockets'!$E$7:$E$24,C3101,'Site Dockets'!$C$7:$C$24,F3101)&gt;0,1,0),0))</f>
        <v>0</v>
      </c>
      <c r="L3101" s="15" t="n">
        <f aca="false">IF(J3101=1,0,Inputs!$B$11)</f>
        <v>100</v>
      </c>
      <c r="M3101" s="15" t="n">
        <f aca="false">IF(J3101=1,0,Inputs!$B$12)</f>
        <v>75</v>
      </c>
      <c r="N3101" s="15" t="n">
        <f aca="false">IF(J3101=1,0,IF(OR(AND(OR(B3101="SITE LOSS",B3101="REGION LOSS"),K3101=1),AND(B3101="ROLE COMPROMISE",H3101=C3101)),Inputs!$B$13,Inputs!$B$14))</f>
        <v>10</v>
      </c>
      <c r="O3101" s="15" t="n">
        <f aca="false">IF(J3101=1,0,Inputs!$B$13)</f>
        <v>20</v>
      </c>
      <c r="P3101" s="15" t="n">
        <f aca="false">SUM(M3101:N3101)</f>
        <v>85</v>
      </c>
      <c r="Q3101" s="15" t="n">
        <f aca="false">IF(J3101=1,"",L3101-P3101)</f>
        <v>15</v>
      </c>
      <c r="R3101" s="15" t="n">
        <f aca="false">IF(OR(J3101=1,M3101&lt;=Inputs!$B$12),1,0)</f>
        <v>1</v>
      </c>
      <c r="S3101" s="15" t="n">
        <f aca="false">IF(OR(J3101=1,N3101&lt;=O3101),1,0)</f>
        <v>1</v>
      </c>
      <c r="T3101" s="15" t="str">
        <f aca="false">IF(J3101=1,"OFFLINE",IF(AND(Q3101&gt;=Inputs!$B$15,R3101=1,S3101=1,P3101&lt;=L3101),"PASS","FAIL"))</f>
        <v>PASS</v>
      </c>
    </row>
    <row r="3102" customFormat="false" ht="15" hidden="false" customHeight="false" outlineLevel="0" collapsed="false">
      <c r="A3102" s="14" t="s">
        <v>1051</v>
      </c>
      <c r="B3102" s="14" t="s">
        <v>1052</v>
      </c>
      <c r="C3102" s="14" t="s">
        <v>1053</v>
      </c>
      <c r="D3102" s="14" t="s">
        <v>188</v>
      </c>
      <c r="E3102" s="14" t="s">
        <v>172</v>
      </c>
      <c r="F3102" s="14" t="s">
        <v>183</v>
      </c>
      <c r="G3102" s="14" t="n">
        <v>3</v>
      </c>
      <c r="H3102" s="14" t="s">
        <v>158</v>
      </c>
      <c r="I3102" s="14" t="s">
        <v>899</v>
      </c>
      <c r="J3102" s="15" t="n">
        <f aca="false">IF(B3102="SITE LOSS",IF(D3102=C3102,1,0),IF(B3102="REGION LOSS",IF(E3102=C3102,1,0),0))</f>
        <v>0</v>
      </c>
      <c r="K3102" s="15" t="n">
        <f aca="false">IF(B3102="SITE LOSS",IF(COUNTIFS('Site Dockets'!$B$7:$B$24,C3102,'Site Dockets'!$C$7:$C$24,F3102)&gt;0,1,0),IF(B3102="REGION LOSS",IF(COUNTIFS('Site Dockets'!$E$7:$E$24,C3102,'Site Dockets'!$C$7:$C$24,F3102)&gt;0,1,0),0))</f>
        <v>0</v>
      </c>
      <c r="L3102" s="15" t="n">
        <f aca="false">IF(J3102=1,0,Inputs!$B$11)</f>
        <v>100</v>
      </c>
      <c r="M3102" s="15" t="n">
        <f aca="false">IF(J3102=1,0,Inputs!$B$12)</f>
        <v>75</v>
      </c>
      <c r="N3102" s="15" t="n">
        <f aca="false">IF(J3102=1,0,IF(OR(AND(OR(B3102="SITE LOSS",B3102="REGION LOSS"),K3102=1),AND(B3102="ROLE COMPROMISE",H3102=C3102)),Inputs!$B$13,Inputs!$B$14))</f>
        <v>10</v>
      </c>
      <c r="O3102" s="15" t="n">
        <f aca="false">IF(J3102=1,0,Inputs!$B$13)</f>
        <v>20</v>
      </c>
      <c r="P3102" s="15" t="n">
        <f aca="false">SUM(M3102:N3102)</f>
        <v>85</v>
      </c>
      <c r="Q3102" s="15" t="n">
        <f aca="false">IF(J3102=1,"",L3102-P3102)</f>
        <v>15</v>
      </c>
      <c r="R3102" s="15" t="n">
        <f aca="false">IF(OR(J3102=1,M3102&lt;=Inputs!$B$12),1,0)</f>
        <v>1</v>
      </c>
      <c r="S3102" s="15" t="n">
        <f aca="false">IF(OR(J3102=1,N3102&lt;=O3102),1,0)</f>
        <v>1</v>
      </c>
      <c r="T3102" s="15" t="str">
        <f aca="false">IF(J3102=1,"OFFLINE",IF(AND(Q3102&gt;=Inputs!$B$15,R3102=1,S3102=1,P3102&lt;=L3102),"PASS","FAIL"))</f>
        <v>PASS</v>
      </c>
    </row>
    <row r="3103" customFormat="false" ht="15" hidden="false" customHeight="false" outlineLevel="0" collapsed="false">
      <c r="A3103" s="14" t="s">
        <v>1051</v>
      </c>
      <c r="B3103" s="14" t="s">
        <v>1052</v>
      </c>
      <c r="C3103" s="14" t="s">
        <v>1053</v>
      </c>
      <c r="D3103" s="14" t="s">
        <v>190</v>
      </c>
      <c r="E3103" s="14" t="s">
        <v>152</v>
      </c>
      <c r="F3103" s="14" t="s">
        <v>191</v>
      </c>
      <c r="G3103" s="14" t="n">
        <v>1</v>
      </c>
      <c r="H3103" s="14" t="s">
        <v>154</v>
      </c>
      <c r="I3103" s="14" t="s">
        <v>890</v>
      </c>
      <c r="J3103" s="15" t="n">
        <f aca="false">IF(B3103="SITE LOSS",IF(D3103=C3103,1,0),IF(B3103="REGION LOSS",IF(E3103=C3103,1,0),0))</f>
        <v>0</v>
      </c>
      <c r="K3103" s="15" t="n">
        <f aca="false">IF(B3103="SITE LOSS",IF(COUNTIFS('Site Dockets'!$B$7:$B$24,C3103,'Site Dockets'!$C$7:$C$24,F3103)&gt;0,1,0),IF(B3103="REGION LOSS",IF(COUNTIFS('Site Dockets'!$E$7:$E$24,C3103,'Site Dockets'!$C$7:$C$24,F3103)&gt;0,1,0),0))</f>
        <v>0</v>
      </c>
      <c r="L3103" s="15" t="n">
        <f aca="false">IF(J3103=1,0,Inputs!$B$11)</f>
        <v>100</v>
      </c>
      <c r="M3103" s="15" t="n">
        <f aca="false">IF(J3103=1,0,Inputs!$B$12)</f>
        <v>75</v>
      </c>
      <c r="N3103" s="15" t="n">
        <f aca="false">IF(J3103=1,0,IF(OR(AND(OR(B3103="SITE LOSS",B3103="REGION LOSS"),K3103=1),AND(B3103="ROLE COMPROMISE",H3103=C3103)),Inputs!$B$13,Inputs!$B$14))</f>
        <v>10</v>
      </c>
      <c r="O3103" s="15" t="n">
        <f aca="false">IF(J3103=1,0,Inputs!$B$13)</f>
        <v>20</v>
      </c>
      <c r="P3103" s="15" t="n">
        <f aca="false">SUM(M3103:N3103)</f>
        <v>85</v>
      </c>
      <c r="Q3103" s="15" t="n">
        <f aca="false">IF(J3103=1,"",L3103-P3103)</f>
        <v>15</v>
      </c>
      <c r="R3103" s="15" t="n">
        <f aca="false">IF(OR(J3103=1,M3103&lt;=Inputs!$B$12),1,0)</f>
        <v>1</v>
      </c>
      <c r="S3103" s="15" t="n">
        <f aca="false">IF(OR(J3103=1,N3103&lt;=O3103),1,0)</f>
        <v>1</v>
      </c>
      <c r="T3103" s="15" t="str">
        <f aca="false">IF(J3103=1,"OFFLINE",IF(AND(Q3103&gt;=Inputs!$B$15,R3103=1,S3103=1,P3103&lt;=L3103),"PASS","FAIL"))</f>
        <v>PASS</v>
      </c>
    </row>
    <row r="3104" customFormat="false" ht="15" hidden="false" customHeight="false" outlineLevel="0" collapsed="false">
      <c r="A3104" s="14" t="s">
        <v>1051</v>
      </c>
      <c r="B3104" s="14" t="s">
        <v>1052</v>
      </c>
      <c r="C3104" s="14" t="s">
        <v>1053</v>
      </c>
      <c r="D3104" s="14" t="s">
        <v>190</v>
      </c>
      <c r="E3104" s="14" t="s">
        <v>152</v>
      </c>
      <c r="F3104" s="14" t="s">
        <v>191</v>
      </c>
      <c r="G3104" s="14" t="n">
        <v>1</v>
      </c>
      <c r="H3104" s="14" t="s">
        <v>154</v>
      </c>
      <c r="I3104" s="14" t="s">
        <v>892</v>
      </c>
      <c r="J3104" s="15" t="n">
        <f aca="false">IF(B3104="SITE LOSS",IF(D3104=C3104,1,0),IF(B3104="REGION LOSS",IF(E3104=C3104,1,0),0))</f>
        <v>0</v>
      </c>
      <c r="K3104" s="15" t="n">
        <f aca="false">IF(B3104="SITE LOSS",IF(COUNTIFS('Site Dockets'!$B$7:$B$24,C3104,'Site Dockets'!$C$7:$C$24,F3104)&gt;0,1,0),IF(B3104="REGION LOSS",IF(COUNTIFS('Site Dockets'!$E$7:$E$24,C3104,'Site Dockets'!$C$7:$C$24,F3104)&gt;0,1,0),0))</f>
        <v>0</v>
      </c>
      <c r="L3104" s="15" t="n">
        <f aca="false">IF(J3104=1,0,Inputs!$B$11)</f>
        <v>100</v>
      </c>
      <c r="M3104" s="15" t="n">
        <f aca="false">IF(J3104=1,0,Inputs!$B$12)</f>
        <v>75</v>
      </c>
      <c r="N3104" s="15" t="n">
        <f aca="false">IF(J3104=1,0,IF(OR(AND(OR(B3104="SITE LOSS",B3104="REGION LOSS"),K3104=1),AND(B3104="ROLE COMPROMISE",H3104=C3104)),Inputs!$B$13,Inputs!$B$14))</f>
        <v>10</v>
      </c>
      <c r="O3104" s="15" t="n">
        <f aca="false">IF(J3104=1,0,Inputs!$B$13)</f>
        <v>20</v>
      </c>
      <c r="P3104" s="15" t="n">
        <f aca="false">SUM(M3104:N3104)</f>
        <v>85</v>
      </c>
      <c r="Q3104" s="15" t="n">
        <f aca="false">IF(J3104=1,"",L3104-P3104)</f>
        <v>15</v>
      </c>
      <c r="R3104" s="15" t="n">
        <f aca="false">IF(OR(J3104=1,M3104&lt;=Inputs!$B$12),1,0)</f>
        <v>1</v>
      </c>
      <c r="S3104" s="15" t="n">
        <f aca="false">IF(OR(J3104=1,N3104&lt;=O3104),1,0)</f>
        <v>1</v>
      </c>
      <c r="T3104" s="15" t="str">
        <f aca="false">IF(J3104=1,"OFFLINE",IF(AND(Q3104&gt;=Inputs!$B$15,R3104=1,S3104=1,P3104&lt;=L3104),"PASS","FAIL"))</f>
        <v>PASS</v>
      </c>
    </row>
    <row r="3105" customFormat="false" ht="15" hidden="false" customHeight="false" outlineLevel="0" collapsed="false">
      <c r="A3105" s="14" t="s">
        <v>1051</v>
      </c>
      <c r="B3105" s="14" t="s">
        <v>1052</v>
      </c>
      <c r="C3105" s="14" t="s">
        <v>1053</v>
      </c>
      <c r="D3105" s="14" t="s">
        <v>190</v>
      </c>
      <c r="E3105" s="14" t="s">
        <v>152</v>
      </c>
      <c r="F3105" s="14" t="s">
        <v>191</v>
      </c>
      <c r="G3105" s="14" t="n">
        <v>1</v>
      </c>
      <c r="H3105" s="14" t="s">
        <v>154</v>
      </c>
      <c r="I3105" s="14" t="s">
        <v>811</v>
      </c>
      <c r="J3105" s="15" t="n">
        <f aca="false">IF(B3105="SITE LOSS",IF(D3105=C3105,1,0),IF(B3105="REGION LOSS",IF(E3105=C3105,1,0),0))</f>
        <v>0</v>
      </c>
      <c r="K3105" s="15" t="n">
        <f aca="false">IF(B3105="SITE LOSS",IF(COUNTIFS('Site Dockets'!$B$7:$B$24,C3105,'Site Dockets'!$C$7:$C$24,F3105)&gt;0,1,0),IF(B3105="REGION LOSS",IF(COUNTIFS('Site Dockets'!$E$7:$E$24,C3105,'Site Dockets'!$C$7:$C$24,F3105)&gt;0,1,0),0))</f>
        <v>0</v>
      </c>
      <c r="L3105" s="15" t="n">
        <f aca="false">IF(J3105=1,0,Inputs!$B$11)</f>
        <v>100</v>
      </c>
      <c r="M3105" s="15" t="n">
        <f aca="false">IF(J3105=1,0,Inputs!$B$12)</f>
        <v>75</v>
      </c>
      <c r="N3105" s="15" t="n">
        <f aca="false">IF(J3105=1,0,IF(OR(AND(OR(B3105="SITE LOSS",B3105="REGION LOSS"),K3105=1),AND(B3105="ROLE COMPROMISE",H3105=C3105)),Inputs!$B$13,Inputs!$B$14))</f>
        <v>10</v>
      </c>
      <c r="O3105" s="15" t="n">
        <f aca="false">IF(J3105=1,0,Inputs!$B$13)</f>
        <v>20</v>
      </c>
      <c r="P3105" s="15" t="n">
        <f aca="false">SUM(M3105:N3105)</f>
        <v>85</v>
      </c>
      <c r="Q3105" s="15" t="n">
        <f aca="false">IF(J3105=1,"",L3105-P3105)</f>
        <v>15</v>
      </c>
      <c r="R3105" s="15" t="n">
        <f aca="false">IF(OR(J3105=1,M3105&lt;=Inputs!$B$12),1,0)</f>
        <v>1</v>
      </c>
      <c r="S3105" s="15" t="n">
        <f aca="false">IF(OR(J3105=1,N3105&lt;=O3105),1,0)</f>
        <v>1</v>
      </c>
      <c r="T3105" s="15" t="str">
        <f aca="false">IF(J3105=1,"OFFLINE",IF(AND(Q3105&gt;=Inputs!$B$15,R3105=1,S3105=1,P3105&lt;=L3105),"PASS","FAIL"))</f>
        <v>PASS</v>
      </c>
    </row>
    <row r="3106" customFormat="false" ht="15" hidden="false" customHeight="false" outlineLevel="0" collapsed="false">
      <c r="A3106" s="14" t="s">
        <v>1051</v>
      </c>
      <c r="B3106" s="14" t="s">
        <v>1052</v>
      </c>
      <c r="C3106" s="14" t="s">
        <v>1053</v>
      </c>
      <c r="D3106" s="14" t="s">
        <v>190</v>
      </c>
      <c r="E3106" s="14" t="s">
        <v>152</v>
      </c>
      <c r="F3106" s="14" t="s">
        <v>191</v>
      </c>
      <c r="G3106" s="14" t="n">
        <v>1</v>
      </c>
      <c r="H3106" s="14" t="s">
        <v>154</v>
      </c>
      <c r="I3106" s="14" t="s">
        <v>895</v>
      </c>
      <c r="J3106" s="15" t="n">
        <f aca="false">IF(B3106="SITE LOSS",IF(D3106=C3106,1,0),IF(B3106="REGION LOSS",IF(E3106=C3106,1,0),0))</f>
        <v>0</v>
      </c>
      <c r="K3106" s="15" t="n">
        <f aca="false">IF(B3106="SITE LOSS",IF(COUNTIFS('Site Dockets'!$B$7:$B$24,C3106,'Site Dockets'!$C$7:$C$24,F3106)&gt;0,1,0),IF(B3106="REGION LOSS",IF(COUNTIFS('Site Dockets'!$E$7:$E$24,C3106,'Site Dockets'!$C$7:$C$24,F3106)&gt;0,1,0),0))</f>
        <v>0</v>
      </c>
      <c r="L3106" s="15" t="n">
        <f aca="false">IF(J3106=1,0,Inputs!$B$11)</f>
        <v>100</v>
      </c>
      <c r="M3106" s="15" t="n">
        <f aca="false">IF(J3106=1,0,Inputs!$B$12)</f>
        <v>75</v>
      </c>
      <c r="N3106" s="15" t="n">
        <f aca="false">IF(J3106=1,0,IF(OR(AND(OR(B3106="SITE LOSS",B3106="REGION LOSS"),K3106=1),AND(B3106="ROLE COMPROMISE",H3106=C3106)),Inputs!$B$13,Inputs!$B$14))</f>
        <v>10</v>
      </c>
      <c r="O3106" s="15" t="n">
        <f aca="false">IF(J3106=1,0,Inputs!$B$13)</f>
        <v>20</v>
      </c>
      <c r="P3106" s="15" t="n">
        <f aca="false">SUM(M3106:N3106)</f>
        <v>85</v>
      </c>
      <c r="Q3106" s="15" t="n">
        <f aca="false">IF(J3106=1,"",L3106-P3106)</f>
        <v>15</v>
      </c>
      <c r="R3106" s="15" t="n">
        <f aca="false">IF(OR(J3106=1,M3106&lt;=Inputs!$B$12),1,0)</f>
        <v>1</v>
      </c>
      <c r="S3106" s="15" t="n">
        <f aca="false">IF(OR(J3106=1,N3106&lt;=O3106),1,0)</f>
        <v>1</v>
      </c>
      <c r="T3106" s="15" t="str">
        <f aca="false">IF(J3106=1,"OFFLINE",IF(AND(Q3106&gt;=Inputs!$B$15,R3106=1,S3106=1,P3106&lt;=L3106),"PASS","FAIL"))</f>
        <v>PASS</v>
      </c>
    </row>
    <row r="3107" customFormat="false" ht="15" hidden="false" customHeight="false" outlineLevel="0" collapsed="false">
      <c r="A3107" s="14" t="s">
        <v>1051</v>
      </c>
      <c r="B3107" s="14" t="s">
        <v>1052</v>
      </c>
      <c r="C3107" s="14" t="s">
        <v>1053</v>
      </c>
      <c r="D3107" s="14" t="s">
        <v>190</v>
      </c>
      <c r="E3107" s="14" t="s">
        <v>152</v>
      </c>
      <c r="F3107" s="14" t="s">
        <v>191</v>
      </c>
      <c r="G3107" s="14" t="n">
        <v>1</v>
      </c>
      <c r="H3107" s="14" t="s">
        <v>154</v>
      </c>
      <c r="I3107" s="14" t="s">
        <v>897</v>
      </c>
      <c r="J3107" s="15" t="n">
        <f aca="false">IF(B3107="SITE LOSS",IF(D3107=C3107,1,0),IF(B3107="REGION LOSS",IF(E3107=C3107,1,0),0))</f>
        <v>0</v>
      </c>
      <c r="K3107" s="15" t="n">
        <f aca="false">IF(B3107="SITE LOSS",IF(COUNTIFS('Site Dockets'!$B$7:$B$24,C3107,'Site Dockets'!$C$7:$C$24,F3107)&gt;0,1,0),IF(B3107="REGION LOSS",IF(COUNTIFS('Site Dockets'!$E$7:$E$24,C3107,'Site Dockets'!$C$7:$C$24,F3107)&gt;0,1,0),0))</f>
        <v>0</v>
      </c>
      <c r="L3107" s="15" t="n">
        <f aca="false">IF(J3107=1,0,Inputs!$B$11)</f>
        <v>100</v>
      </c>
      <c r="M3107" s="15" t="n">
        <f aca="false">IF(J3107=1,0,Inputs!$B$12)</f>
        <v>75</v>
      </c>
      <c r="N3107" s="15" t="n">
        <f aca="false">IF(J3107=1,0,IF(OR(AND(OR(B3107="SITE LOSS",B3107="REGION LOSS"),K3107=1),AND(B3107="ROLE COMPROMISE",H3107=C3107)),Inputs!$B$13,Inputs!$B$14))</f>
        <v>10</v>
      </c>
      <c r="O3107" s="15" t="n">
        <f aca="false">IF(J3107=1,0,Inputs!$B$13)</f>
        <v>20</v>
      </c>
      <c r="P3107" s="15" t="n">
        <f aca="false">SUM(M3107:N3107)</f>
        <v>85</v>
      </c>
      <c r="Q3107" s="15" t="n">
        <f aca="false">IF(J3107=1,"",L3107-P3107)</f>
        <v>15</v>
      </c>
      <c r="R3107" s="15" t="n">
        <f aca="false">IF(OR(J3107=1,M3107&lt;=Inputs!$B$12),1,0)</f>
        <v>1</v>
      </c>
      <c r="S3107" s="15" t="n">
        <f aca="false">IF(OR(J3107=1,N3107&lt;=O3107),1,0)</f>
        <v>1</v>
      </c>
      <c r="T3107" s="15" t="str">
        <f aca="false">IF(J3107=1,"OFFLINE",IF(AND(Q3107&gt;=Inputs!$B$15,R3107=1,S3107=1,P3107&lt;=L3107),"PASS","FAIL"))</f>
        <v>PASS</v>
      </c>
    </row>
    <row r="3108" customFormat="false" ht="15" hidden="false" customHeight="false" outlineLevel="0" collapsed="false">
      <c r="A3108" s="14" t="s">
        <v>1051</v>
      </c>
      <c r="B3108" s="14" t="s">
        <v>1052</v>
      </c>
      <c r="C3108" s="14" t="s">
        <v>1053</v>
      </c>
      <c r="D3108" s="14" t="s">
        <v>190</v>
      </c>
      <c r="E3108" s="14" t="s">
        <v>152</v>
      </c>
      <c r="F3108" s="14" t="s">
        <v>191</v>
      </c>
      <c r="G3108" s="14" t="n">
        <v>1</v>
      </c>
      <c r="H3108" s="14" t="s">
        <v>154</v>
      </c>
      <c r="I3108" s="14" t="s">
        <v>899</v>
      </c>
      <c r="J3108" s="15" t="n">
        <f aca="false">IF(B3108="SITE LOSS",IF(D3108=C3108,1,0),IF(B3108="REGION LOSS",IF(E3108=C3108,1,0),0))</f>
        <v>0</v>
      </c>
      <c r="K3108" s="15" t="n">
        <f aca="false">IF(B3108="SITE LOSS",IF(COUNTIFS('Site Dockets'!$B$7:$B$24,C3108,'Site Dockets'!$C$7:$C$24,F3108)&gt;0,1,0),IF(B3108="REGION LOSS",IF(COUNTIFS('Site Dockets'!$E$7:$E$24,C3108,'Site Dockets'!$C$7:$C$24,F3108)&gt;0,1,0),0))</f>
        <v>0</v>
      </c>
      <c r="L3108" s="15" t="n">
        <f aca="false">IF(J3108=1,0,Inputs!$B$11)</f>
        <v>100</v>
      </c>
      <c r="M3108" s="15" t="n">
        <f aca="false">IF(J3108=1,0,Inputs!$B$12)</f>
        <v>75</v>
      </c>
      <c r="N3108" s="15" t="n">
        <f aca="false">IF(J3108=1,0,IF(OR(AND(OR(B3108="SITE LOSS",B3108="REGION LOSS"),K3108=1),AND(B3108="ROLE COMPROMISE",H3108=C3108)),Inputs!$B$13,Inputs!$B$14))</f>
        <v>10</v>
      </c>
      <c r="O3108" s="15" t="n">
        <f aca="false">IF(J3108=1,0,Inputs!$B$13)</f>
        <v>20</v>
      </c>
      <c r="P3108" s="15" t="n">
        <f aca="false">SUM(M3108:N3108)</f>
        <v>85</v>
      </c>
      <c r="Q3108" s="15" t="n">
        <f aca="false">IF(J3108=1,"",L3108-P3108)</f>
        <v>15</v>
      </c>
      <c r="R3108" s="15" t="n">
        <f aca="false">IF(OR(J3108=1,M3108&lt;=Inputs!$B$12),1,0)</f>
        <v>1</v>
      </c>
      <c r="S3108" s="15" t="n">
        <f aca="false">IF(OR(J3108=1,N3108&lt;=O3108),1,0)</f>
        <v>1</v>
      </c>
      <c r="T3108" s="15" t="str">
        <f aca="false">IF(J3108=1,"OFFLINE",IF(AND(Q3108&gt;=Inputs!$B$15,R3108=1,S3108=1,P3108&lt;=L3108),"PASS","FAIL"))</f>
        <v>PASS</v>
      </c>
    </row>
    <row r="3109" customFormat="false" ht="15" hidden="false" customHeight="false" outlineLevel="0" collapsed="false">
      <c r="A3109" s="14" t="s">
        <v>1051</v>
      </c>
      <c r="B3109" s="14" t="s">
        <v>1052</v>
      </c>
      <c r="C3109" s="14" t="s">
        <v>1053</v>
      </c>
      <c r="D3109" s="14" t="s">
        <v>194</v>
      </c>
      <c r="E3109" s="14" t="s">
        <v>169</v>
      </c>
      <c r="F3109" s="14" t="s">
        <v>191</v>
      </c>
      <c r="G3109" s="14" t="n">
        <v>2</v>
      </c>
      <c r="H3109" s="14" t="s">
        <v>153</v>
      </c>
      <c r="I3109" s="14" t="s">
        <v>890</v>
      </c>
      <c r="J3109" s="15" t="n">
        <f aca="false">IF(B3109="SITE LOSS",IF(D3109=C3109,1,0),IF(B3109="REGION LOSS",IF(E3109=C3109,1,0),0))</f>
        <v>0</v>
      </c>
      <c r="K3109" s="15" t="n">
        <f aca="false">IF(B3109="SITE LOSS",IF(COUNTIFS('Site Dockets'!$B$7:$B$24,C3109,'Site Dockets'!$C$7:$C$24,F3109)&gt;0,1,0),IF(B3109="REGION LOSS",IF(COUNTIFS('Site Dockets'!$E$7:$E$24,C3109,'Site Dockets'!$C$7:$C$24,F3109)&gt;0,1,0),0))</f>
        <v>0</v>
      </c>
      <c r="L3109" s="15" t="n">
        <f aca="false">IF(J3109=1,0,Inputs!$B$11)</f>
        <v>100</v>
      </c>
      <c r="M3109" s="15" t="n">
        <f aca="false">IF(J3109=1,0,Inputs!$B$12)</f>
        <v>75</v>
      </c>
      <c r="N3109" s="15" t="n">
        <f aca="false">IF(J3109=1,0,IF(OR(AND(OR(B3109="SITE LOSS",B3109="REGION LOSS"),K3109=1),AND(B3109="ROLE COMPROMISE",H3109=C3109)),Inputs!$B$13,Inputs!$B$14))</f>
        <v>10</v>
      </c>
      <c r="O3109" s="15" t="n">
        <f aca="false">IF(J3109=1,0,Inputs!$B$13)</f>
        <v>20</v>
      </c>
      <c r="P3109" s="15" t="n">
        <f aca="false">SUM(M3109:N3109)</f>
        <v>85</v>
      </c>
      <c r="Q3109" s="15" t="n">
        <f aca="false">IF(J3109=1,"",L3109-P3109)</f>
        <v>15</v>
      </c>
      <c r="R3109" s="15" t="n">
        <f aca="false">IF(OR(J3109=1,M3109&lt;=Inputs!$B$12),1,0)</f>
        <v>1</v>
      </c>
      <c r="S3109" s="15" t="n">
        <f aca="false">IF(OR(J3109=1,N3109&lt;=O3109),1,0)</f>
        <v>1</v>
      </c>
      <c r="T3109" s="15" t="str">
        <f aca="false">IF(J3109=1,"OFFLINE",IF(AND(Q3109&gt;=Inputs!$B$15,R3109=1,S3109=1,P3109&lt;=L3109),"PASS","FAIL"))</f>
        <v>PASS</v>
      </c>
    </row>
    <row r="3110" customFormat="false" ht="15" hidden="false" customHeight="false" outlineLevel="0" collapsed="false">
      <c r="A3110" s="14" t="s">
        <v>1051</v>
      </c>
      <c r="B3110" s="14" t="s">
        <v>1052</v>
      </c>
      <c r="C3110" s="14" t="s">
        <v>1053</v>
      </c>
      <c r="D3110" s="14" t="s">
        <v>194</v>
      </c>
      <c r="E3110" s="14" t="s">
        <v>169</v>
      </c>
      <c r="F3110" s="14" t="s">
        <v>191</v>
      </c>
      <c r="G3110" s="14" t="n">
        <v>2</v>
      </c>
      <c r="H3110" s="14" t="s">
        <v>153</v>
      </c>
      <c r="I3110" s="14" t="s">
        <v>892</v>
      </c>
      <c r="J3110" s="15" t="n">
        <f aca="false">IF(B3110="SITE LOSS",IF(D3110=C3110,1,0),IF(B3110="REGION LOSS",IF(E3110=C3110,1,0),0))</f>
        <v>0</v>
      </c>
      <c r="K3110" s="15" t="n">
        <f aca="false">IF(B3110="SITE LOSS",IF(COUNTIFS('Site Dockets'!$B$7:$B$24,C3110,'Site Dockets'!$C$7:$C$24,F3110)&gt;0,1,0),IF(B3110="REGION LOSS",IF(COUNTIFS('Site Dockets'!$E$7:$E$24,C3110,'Site Dockets'!$C$7:$C$24,F3110)&gt;0,1,0),0))</f>
        <v>0</v>
      </c>
      <c r="L3110" s="15" t="n">
        <f aca="false">IF(J3110=1,0,Inputs!$B$11)</f>
        <v>100</v>
      </c>
      <c r="M3110" s="15" t="n">
        <f aca="false">IF(J3110=1,0,Inputs!$B$12)</f>
        <v>75</v>
      </c>
      <c r="N3110" s="15" t="n">
        <f aca="false">IF(J3110=1,0,IF(OR(AND(OR(B3110="SITE LOSS",B3110="REGION LOSS"),K3110=1),AND(B3110="ROLE COMPROMISE",H3110=C3110)),Inputs!$B$13,Inputs!$B$14))</f>
        <v>10</v>
      </c>
      <c r="O3110" s="15" t="n">
        <f aca="false">IF(J3110=1,0,Inputs!$B$13)</f>
        <v>20</v>
      </c>
      <c r="P3110" s="15" t="n">
        <f aca="false">SUM(M3110:N3110)</f>
        <v>85</v>
      </c>
      <c r="Q3110" s="15" t="n">
        <f aca="false">IF(J3110=1,"",L3110-P3110)</f>
        <v>15</v>
      </c>
      <c r="R3110" s="15" t="n">
        <f aca="false">IF(OR(J3110=1,M3110&lt;=Inputs!$B$12),1,0)</f>
        <v>1</v>
      </c>
      <c r="S3110" s="15" t="n">
        <f aca="false">IF(OR(J3110=1,N3110&lt;=O3110),1,0)</f>
        <v>1</v>
      </c>
      <c r="T3110" s="15" t="str">
        <f aca="false">IF(J3110=1,"OFFLINE",IF(AND(Q3110&gt;=Inputs!$B$15,R3110=1,S3110=1,P3110&lt;=L3110),"PASS","FAIL"))</f>
        <v>PASS</v>
      </c>
    </row>
    <row r="3111" customFormat="false" ht="15" hidden="false" customHeight="false" outlineLevel="0" collapsed="false">
      <c r="A3111" s="14" t="s">
        <v>1051</v>
      </c>
      <c r="B3111" s="14" t="s">
        <v>1052</v>
      </c>
      <c r="C3111" s="14" t="s">
        <v>1053</v>
      </c>
      <c r="D3111" s="14" t="s">
        <v>194</v>
      </c>
      <c r="E3111" s="14" t="s">
        <v>169</v>
      </c>
      <c r="F3111" s="14" t="s">
        <v>191</v>
      </c>
      <c r="G3111" s="14" t="n">
        <v>2</v>
      </c>
      <c r="H3111" s="14" t="s">
        <v>153</v>
      </c>
      <c r="I3111" s="14" t="s">
        <v>811</v>
      </c>
      <c r="J3111" s="15" t="n">
        <f aca="false">IF(B3111="SITE LOSS",IF(D3111=C3111,1,0),IF(B3111="REGION LOSS",IF(E3111=C3111,1,0),0))</f>
        <v>0</v>
      </c>
      <c r="K3111" s="15" t="n">
        <f aca="false">IF(B3111="SITE LOSS",IF(COUNTIFS('Site Dockets'!$B$7:$B$24,C3111,'Site Dockets'!$C$7:$C$24,F3111)&gt;0,1,0),IF(B3111="REGION LOSS",IF(COUNTIFS('Site Dockets'!$E$7:$E$24,C3111,'Site Dockets'!$C$7:$C$24,F3111)&gt;0,1,0),0))</f>
        <v>0</v>
      </c>
      <c r="L3111" s="15" t="n">
        <f aca="false">IF(J3111=1,0,Inputs!$B$11)</f>
        <v>100</v>
      </c>
      <c r="M3111" s="15" t="n">
        <f aca="false">IF(J3111=1,0,Inputs!$B$12)</f>
        <v>75</v>
      </c>
      <c r="N3111" s="15" t="n">
        <f aca="false">IF(J3111=1,0,IF(OR(AND(OR(B3111="SITE LOSS",B3111="REGION LOSS"),K3111=1),AND(B3111="ROLE COMPROMISE",H3111=C3111)),Inputs!$B$13,Inputs!$B$14))</f>
        <v>10</v>
      </c>
      <c r="O3111" s="15" t="n">
        <f aca="false">IF(J3111=1,0,Inputs!$B$13)</f>
        <v>20</v>
      </c>
      <c r="P3111" s="15" t="n">
        <f aca="false">SUM(M3111:N3111)</f>
        <v>85</v>
      </c>
      <c r="Q3111" s="15" t="n">
        <f aca="false">IF(J3111=1,"",L3111-P3111)</f>
        <v>15</v>
      </c>
      <c r="R3111" s="15" t="n">
        <f aca="false">IF(OR(J3111=1,M3111&lt;=Inputs!$B$12),1,0)</f>
        <v>1</v>
      </c>
      <c r="S3111" s="15" t="n">
        <f aca="false">IF(OR(J3111=1,N3111&lt;=O3111),1,0)</f>
        <v>1</v>
      </c>
      <c r="T3111" s="15" t="str">
        <f aca="false">IF(J3111=1,"OFFLINE",IF(AND(Q3111&gt;=Inputs!$B$15,R3111=1,S3111=1,P3111&lt;=L3111),"PASS","FAIL"))</f>
        <v>PASS</v>
      </c>
    </row>
    <row r="3112" customFormat="false" ht="15" hidden="false" customHeight="false" outlineLevel="0" collapsed="false">
      <c r="A3112" s="14" t="s">
        <v>1051</v>
      </c>
      <c r="B3112" s="14" t="s">
        <v>1052</v>
      </c>
      <c r="C3112" s="14" t="s">
        <v>1053</v>
      </c>
      <c r="D3112" s="14" t="s">
        <v>194</v>
      </c>
      <c r="E3112" s="14" t="s">
        <v>169</v>
      </c>
      <c r="F3112" s="14" t="s">
        <v>191</v>
      </c>
      <c r="G3112" s="14" t="n">
        <v>2</v>
      </c>
      <c r="H3112" s="14" t="s">
        <v>153</v>
      </c>
      <c r="I3112" s="14" t="s">
        <v>895</v>
      </c>
      <c r="J3112" s="15" t="n">
        <f aca="false">IF(B3112="SITE LOSS",IF(D3112=C3112,1,0),IF(B3112="REGION LOSS",IF(E3112=C3112,1,0),0))</f>
        <v>0</v>
      </c>
      <c r="K3112" s="15" t="n">
        <f aca="false">IF(B3112="SITE LOSS",IF(COUNTIFS('Site Dockets'!$B$7:$B$24,C3112,'Site Dockets'!$C$7:$C$24,F3112)&gt;0,1,0),IF(B3112="REGION LOSS",IF(COUNTIFS('Site Dockets'!$E$7:$E$24,C3112,'Site Dockets'!$C$7:$C$24,F3112)&gt;0,1,0),0))</f>
        <v>0</v>
      </c>
      <c r="L3112" s="15" t="n">
        <f aca="false">IF(J3112=1,0,Inputs!$B$11)</f>
        <v>100</v>
      </c>
      <c r="M3112" s="15" t="n">
        <f aca="false">IF(J3112=1,0,Inputs!$B$12)</f>
        <v>75</v>
      </c>
      <c r="N3112" s="15" t="n">
        <f aca="false">IF(J3112=1,0,IF(OR(AND(OR(B3112="SITE LOSS",B3112="REGION LOSS"),K3112=1),AND(B3112="ROLE COMPROMISE",H3112=C3112)),Inputs!$B$13,Inputs!$B$14))</f>
        <v>10</v>
      </c>
      <c r="O3112" s="15" t="n">
        <f aca="false">IF(J3112=1,0,Inputs!$B$13)</f>
        <v>20</v>
      </c>
      <c r="P3112" s="15" t="n">
        <f aca="false">SUM(M3112:N3112)</f>
        <v>85</v>
      </c>
      <c r="Q3112" s="15" t="n">
        <f aca="false">IF(J3112=1,"",L3112-P3112)</f>
        <v>15</v>
      </c>
      <c r="R3112" s="15" t="n">
        <f aca="false">IF(OR(J3112=1,M3112&lt;=Inputs!$B$12),1,0)</f>
        <v>1</v>
      </c>
      <c r="S3112" s="15" t="n">
        <f aca="false">IF(OR(J3112=1,N3112&lt;=O3112),1,0)</f>
        <v>1</v>
      </c>
      <c r="T3112" s="15" t="str">
        <f aca="false">IF(J3112=1,"OFFLINE",IF(AND(Q3112&gt;=Inputs!$B$15,R3112=1,S3112=1,P3112&lt;=L3112),"PASS","FAIL"))</f>
        <v>PASS</v>
      </c>
    </row>
    <row r="3113" customFormat="false" ht="15" hidden="false" customHeight="false" outlineLevel="0" collapsed="false">
      <c r="A3113" s="14" t="s">
        <v>1051</v>
      </c>
      <c r="B3113" s="14" t="s">
        <v>1052</v>
      </c>
      <c r="C3113" s="14" t="s">
        <v>1053</v>
      </c>
      <c r="D3113" s="14" t="s">
        <v>194</v>
      </c>
      <c r="E3113" s="14" t="s">
        <v>169</v>
      </c>
      <c r="F3113" s="14" t="s">
        <v>191</v>
      </c>
      <c r="G3113" s="14" t="n">
        <v>2</v>
      </c>
      <c r="H3113" s="14" t="s">
        <v>153</v>
      </c>
      <c r="I3113" s="14" t="s">
        <v>897</v>
      </c>
      <c r="J3113" s="15" t="n">
        <f aca="false">IF(B3113="SITE LOSS",IF(D3113=C3113,1,0),IF(B3113="REGION LOSS",IF(E3113=C3113,1,0),0))</f>
        <v>0</v>
      </c>
      <c r="K3113" s="15" t="n">
        <f aca="false">IF(B3113="SITE LOSS",IF(COUNTIFS('Site Dockets'!$B$7:$B$24,C3113,'Site Dockets'!$C$7:$C$24,F3113)&gt;0,1,0),IF(B3113="REGION LOSS",IF(COUNTIFS('Site Dockets'!$E$7:$E$24,C3113,'Site Dockets'!$C$7:$C$24,F3113)&gt;0,1,0),0))</f>
        <v>0</v>
      </c>
      <c r="L3113" s="15" t="n">
        <f aca="false">IF(J3113=1,0,Inputs!$B$11)</f>
        <v>100</v>
      </c>
      <c r="M3113" s="15" t="n">
        <f aca="false">IF(J3113=1,0,Inputs!$B$12)</f>
        <v>75</v>
      </c>
      <c r="N3113" s="15" t="n">
        <f aca="false">IF(J3113=1,0,IF(OR(AND(OR(B3113="SITE LOSS",B3113="REGION LOSS"),K3113=1),AND(B3113="ROLE COMPROMISE",H3113=C3113)),Inputs!$B$13,Inputs!$B$14))</f>
        <v>10</v>
      </c>
      <c r="O3113" s="15" t="n">
        <f aca="false">IF(J3113=1,0,Inputs!$B$13)</f>
        <v>20</v>
      </c>
      <c r="P3113" s="15" t="n">
        <f aca="false">SUM(M3113:N3113)</f>
        <v>85</v>
      </c>
      <c r="Q3113" s="15" t="n">
        <f aca="false">IF(J3113=1,"",L3113-P3113)</f>
        <v>15</v>
      </c>
      <c r="R3113" s="15" t="n">
        <f aca="false">IF(OR(J3113=1,M3113&lt;=Inputs!$B$12),1,0)</f>
        <v>1</v>
      </c>
      <c r="S3113" s="15" t="n">
        <f aca="false">IF(OR(J3113=1,N3113&lt;=O3113),1,0)</f>
        <v>1</v>
      </c>
      <c r="T3113" s="15" t="str">
        <f aca="false">IF(J3113=1,"OFFLINE",IF(AND(Q3113&gt;=Inputs!$B$15,R3113=1,S3113=1,P3113&lt;=L3113),"PASS","FAIL"))</f>
        <v>PASS</v>
      </c>
    </row>
    <row r="3114" customFormat="false" ht="15" hidden="false" customHeight="false" outlineLevel="0" collapsed="false">
      <c r="A3114" s="14" t="s">
        <v>1051</v>
      </c>
      <c r="B3114" s="14" t="s">
        <v>1052</v>
      </c>
      <c r="C3114" s="14" t="s">
        <v>1053</v>
      </c>
      <c r="D3114" s="14" t="s">
        <v>194</v>
      </c>
      <c r="E3114" s="14" t="s">
        <v>169</v>
      </c>
      <c r="F3114" s="14" t="s">
        <v>191</v>
      </c>
      <c r="G3114" s="14" t="n">
        <v>2</v>
      </c>
      <c r="H3114" s="14" t="s">
        <v>153</v>
      </c>
      <c r="I3114" s="14" t="s">
        <v>899</v>
      </c>
      <c r="J3114" s="15" t="n">
        <f aca="false">IF(B3114="SITE LOSS",IF(D3114=C3114,1,0),IF(B3114="REGION LOSS",IF(E3114=C3114,1,0),0))</f>
        <v>0</v>
      </c>
      <c r="K3114" s="15" t="n">
        <f aca="false">IF(B3114="SITE LOSS",IF(COUNTIFS('Site Dockets'!$B$7:$B$24,C3114,'Site Dockets'!$C$7:$C$24,F3114)&gt;0,1,0),IF(B3114="REGION LOSS",IF(COUNTIFS('Site Dockets'!$E$7:$E$24,C3114,'Site Dockets'!$C$7:$C$24,F3114)&gt;0,1,0),0))</f>
        <v>0</v>
      </c>
      <c r="L3114" s="15" t="n">
        <f aca="false">IF(J3114=1,0,Inputs!$B$11)</f>
        <v>100</v>
      </c>
      <c r="M3114" s="15" t="n">
        <f aca="false">IF(J3114=1,0,Inputs!$B$12)</f>
        <v>75</v>
      </c>
      <c r="N3114" s="15" t="n">
        <f aca="false">IF(J3114=1,0,IF(OR(AND(OR(B3114="SITE LOSS",B3114="REGION LOSS"),K3114=1),AND(B3114="ROLE COMPROMISE",H3114=C3114)),Inputs!$B$13,Inputs!$B$14))</f>
        <v>10</v>
      </c>
      <c r="O3114" s="15" t="n">
        <f aca="false">IF(J3114=1,0,Inputs!$B$13)</f>
        <v>20</v>
      </c>
      <c r="P3114" s="15" t="n">
        <f aca="false">SUM(M3114:N3114)</f>
        <v>85</v>
      </c>
      <c r="Q3114" s="15" t="n">
        <f aca="false">IF(J3114=1,"",L3114-P3114)</f>
        <v>15</v>
      </c>
      <c r="R3114" s="15" t="n">
        <f aca="false">IF(OR(J3114=1,M3114&lt;=Inputs!$B$12),1,0)</f>
        <v>1</v>
      </c>
      <c r="S3114" s="15" t="n">
        <f aca="false">IF(OR(J3114=1,N3114&lt;=O3114),1,0)</f>
        <v>1</v>
      </c>
      <c r="T3114" s="15" t="str">
        <f aca="false">IF(J3114=1,"OFFLINE",IF(AND(Q3114&gt;=Inputs!$B$15,R3114=1,S3114=1,P3114&lt;=L3114),"PASS","FAIL"))</f>
        <v>PASS</v>
      </c>
    </row>
    <row r="3115" customFormat="false" ht="15" hidden="false" customHeight="false" outlineLevel="0" collapsed="false">
      <c r="A3115" s="14" t="s">
        <v>1051</v>
      </c>
      <c r="B3115" s="14" t="s">
        <v>1052</v>
      </c>
      <c r="C3115" s="14" t="s">
        <v>1053</v>
      </c>
      <c r="D3115" s="14" t="s">
        <v>196</v>
      </c>
      <c r="E3115" s="14" t="s">
        <v>172</v>
      </c>
      <c r="F3115" s="14" t="s">
        <v>191</v>
      </c>
      <c r="G3115" s="14" t="n">
        <v>3</v>
      </c>
      <c r="H3115" s="14" t="s">
        <v>158</v>
      </c>
      <c r="I3115" s="14" t="s">
        <v>890</v>
      </c>
      <c r="J3115" s="15" t="n">
        <f aca="false">IF(B3115="SITE LOSS",IF(D3115=C3115,1,0),IF(B3115="REGION LOSS",IF(E3115=C3115,1,0),0))</f>
        <v>0</v>
      </c>
      <c r="K3115" s="15" t="n">
        <f aca="false">IF(B3115="SITE LOSS",IF(COUNTIFS('Site Dockets'!$B$7:$B$24,C3115,'Site Dockets'!$C$7:$C$24,F3115)&gt;0,1,0),IF(B3115="REGION LOSS",IF(COUNTIFS('Site Dockets'!$E$7:$E$24,C3115,'Site Dockets'!$C$7:$C$24,F3115)&gt;0,1,0),0))</f>
        <v>0</v>
      </c>
      <c r="L3115" s="15" t="n">
        <f aca="false">IF(J3115=1,0,Inputs!$B$11)</f>
        <v>100</v>
      </c>
      <c r="M3115" s="15" t="n">
        <f aca="false">IF(J3115=1,0,Inputs!$B$12)</f>
        <v>75</v>
      </c>
      <c r="N3115" s="15" t="n">
        <f aca="false">IF(J3115=1,0,IF(OR(AND(OR(B3115="SITE LOSS",B3115="REGION LOSS"),K3115=1),AND(B3115="ROLE COMPROMISE",H3115=C3115)),Inputs!$B$13,Inputs!$B$14))</f>
        <v>10</v>
      </c>
      <c r="O3115" s="15" t="n">
        <f aca="false">IF(J3115=1,0,Inputs!$B$13)</f>
        <v>20</v>
      </c>
      <c r="P3115" s="15" t="n">
        <f aca="false">SUM(M3115:N3115)</f>
        <v>85</v>
      </c>
      <c r="Q3115" s="15" t="n">
        <f aca="false">IF(J3115=1,"",L3115-P3115)</f>
        <v>15</v>
      </c>
      <c r="R3115" s="15" t="n">
        <f aca="false">IF(OR(J3115=1,M3115&lt;=Inputs!$B$12),1,0)</f>
        <v>1</v>
      </c>
      <c r="S3115" s="15" t="n">
        <f aca="false">IF(OR(J3115=1,N3115&lt;=O3115),1,0)</f>
        <v>1</v>
      </c>
      <c r="T3115" s="15" t="str">
        <f aca="false">IF(J3115=1,"OFFLINE",IF(AND(Q3115&gt;=Inputs!$B$15,R3115=1,S3115=1,P3115&lt;=L3115),"PASS","FAIL"))</f>
        <v>PASS</v>
      </c>
    </row>
    <row r="3116" customFormat="false" ht="15" hidden="false" customHeight="false" outlineLevel="0" collapsed="false">
      <c r="A3116" s="14" t="s">
        <v>1051</v>
      </c>
      <c r="B3116" s="14" t="s">
        <v>1052</v>
      </c>
      <c r="C3116" s="14" t="s">
        <v>1053</v>
      </c>
      <c r="D3116" s="14" t="s">
        <v>196</v>
      </c>
      <c r="E3116" s="14" t="s">
        <v>172</v>
      </c>
      <c r="F3116" s="14" t="s">
        <v>191</v>
      </c>
      <c r="G3116" s="14" t="n">
        <v>3</v>
      </c>
      <c r="H3116" s="14" t="s">
        <v>158</v>
      </c>
      <c r="I3116" s="14" t="s">
        <v>892</v>
      </c>
      <c r="J3116" s="15" t="n">
        <f aca="false">IF(B3116="SITE LOSS",IF(D3116=C3116,1,0),IF(B3116="REGION LOSS",IF(E3116=C3116,1,0),0))</f>
        <v>0</v>
      </c>
      <c r="K3116" s="15" t="n">
        <f aca="false">IF(B3116="SITE LOSS",IF(COUNTIFS('Site Dockets'!$B$7:$B$24,C3116,'Site Dockets'!$C$7:$C$24,F3116)&gt;0,1,0),IF(B3116="REGION LOSS",IF(COUNTIFS('Site Dockets'!$E$7:$E$24,C3116,'Site Dockets'!$C$7:$C$24,F3116)&gt;0,1,0),0))</f>
        <v>0</v>
      </c>
      <c r="L3116" s="15" t="n">
        <f aca="false">IF(J3116=1,0,Inputs!$B$11)</f>
        <v>100</v>
      </c>
      <c r="M3116" s="15" t="n">
        <f aca="false">IF(J3116=1,0,Inputs!$B$12)</f>
        <v>75</v>
      </c>
      <c r="N3116" s="15" t="n">
        <f aca="false">IF(J3116=1,0,IF(OR(AND(OR(B3116="SITE LOSS",B3116="REGION LOSS"),K3116=1),AND(B3116="ROLE COMPROMISE",H3116=C3116)),Inputs!$B$13,Inputs!$B$14))</f>
        <v>10</v>
      </c>
      <c r="O3116" s="15" t="n">
        <f aca="false">IF(J3116=1,0,Inputs!$B$13)</f>
        <v>20</v>
      </c>
      <c r="P3116" s="15" t="n">
        <f aca="false">SUM(M3116:N3116)</f>
        <v>85</v>
      </c>
      <c r="Q3116" s="15" t="n">
        <f aca="false">IF(J3116=1,"",L3116-P3116)</f>
        <v>15</v>
      </c>
      <c r="R3116" s="15" t="n">
        <f aca="false">IF(OR(J3116=1,M3116&lt;=Inputs!$B$12),1,0)</f>
        <v>1</v>
      </c>
      <c r="S3116" s="15" t="n">
        <f aca="false">IF(OR(J3116=1,N3116&lt;=O3116),1,0)</f>
        <v>1</v>
      </c>
      <c r="T3116" s="15" t="str">
        <f aca="false">IF(J3116=1,"OFFLINE",IF(AND(Q3116&gt;=Inputs!$B$15,R3116=1,S3116=1,P3116&lt;=L3116),"PASS","FAIL"))</f>
        <v>PASS</v>
      </c>
    </row>
    <row r="3117" customFormat="false" ht="15" hidden="false" customHeight="false" outlineLevel="0" collapsed="false">
      <c r="A3117" s="14" t="s">
        <v>1051</v>
      </c>
      <c r="B3117" s="14" t="s">
        <v>1052</v>
      </c>
      <c r="C3117" s="14" t="s">
        <v>1053</v>
      </c>
      <c r="D3117" s="14" t="s">
        <v>196</v>
      </c>
      <c r="E3117" s="14" t="s">
        <v>172</v>
      </c>
      <c r="F3117" s="14" t="s">
        <v>191</v>
      </c>
      <c r="G3117" s="14" t="n">
        <v>3</v>
      </c>
      <c r="H3117" s="14" t="s">
        <v>158</v>
      </c>
      <c r="I3117" s="14" t="s">
        <v>811</v>
      </c>
      <c r="J3117" s="15" t="n">
        <f aca="false">IF(B3117="SITE LOSS",IF(D3117=C3117,1,0),IF(B3117="REGION LOSS",IF(E3117=C3117,1,0),0))</f>
        <v>0</v>
      </c>
      <c r="K3117" s="15" t="n">
        <f aca="false">IF(B3117="SITE LOSS",IF(COUNTIFS('Site Dockets'!$B$7:$B$24,C3117,'Site Dockets'!$C$7:$C$24,F3117)&gt;0,1,0),IF(B3117="REGION LOSS",IF(COUNTIFS('Site Dockets'!$E$7:$E$24,C3117,'Site Dockets'!$C$7:$C$24,F3117)&gt;0,1,0),0))</f>
        <v>0</v>
      </c>
      <c r="L3117" s="15" t="n">
        <f aca="false">IF(J3117=1,0,Inputs!$B$11)</f>
        <v>100</v>
      </c>
      <c r="M3117" s="15" t="n">
        <f aca="false">IF(J3117=1,0,Inputs!$B$12)</f>
        <v>75</v>
      </c>
      <c r="N3117" s="15" t="n">
        <f aca="false">IF(J3117=1,0,IF(OR(AND(OR(B3117="SITE LOSS",B3117="REGION LOSS"),K3117=1),AND(B3117="ROLE COMPROMISE",H3117=C3117)),Inputs!$B$13,Inputs!$B$14))</f>
        <v>10</v>
      </c>
      <c r="O3117" s="15" t="n">
        <f aca="false">IF(J3117=1,0,Inputs!$B$13)</f>
        <v>20</v>
      </c>
      <c r="P3117" s="15" t="n">
        <f aca="false">SUM(M3117:N3117)</f>
        <v>85</v>
      </c>
      <c r="Q3117" s="15" t="n">
        <f aca="false">IF(J3117=1,"",L3117-P3117)</f>
        <v>15</v>
      </c>
      <c r="R3117" s="15" t="n">
        <f aca="false">IF(OR(J3117=1,M3117&lt;=Inputs!$B$12),1,0)</f>
        <v>1</v>
      </c>
      <c r="S3117" s="15" t="n">
        <f aca="false">IF(OR(J3117=1,N3117&lt;=O3117),1,0)</f>
        <v>1</v>
      </c>
      <c r="T3117" s="15" t="str">
        <f aca="false">IF(J3117=1,"OFFLINE",IF(AND(Q3117&gt;=Inputs!$B$15,R3117=1,S3117=1,P3117&lt;=L3117),"PASS","FAIL"))</f>
        <v>PASS</v>
      </c>
    </row>
    <row r="3118" customFormat="false" ht="15" hidden="false" customHeight="false" outlineLevel="0" collapsed="false">
      <c r="A3118" s="14" t="s">
        <v>1051</v>
      </c>
      <c r="B3118" s="14" t="s">
        <v>1052</v>
      </c>
      <c r="C3118" s="14" t="s">
        <v>1053</v>
      </c>
      <c r="D3118" s="14" t="s">
        <v>196</v>
      </c>
      <c r="E3118" s="14" t="s">
        <v>172</v>
      </c>
      <c r="F3118" s="14" t="s">
        <v>191</v>
      </c>
      <c r="G3118" s="14" t="n">
        <v>3</v>
      </c>
      <c r="H3118" s="14" t="s">
        <v>158</v>
      </c>
      <c r="I3118" s="14" t="s">
        <v>895</v>
      </c>
      <c r="J3118" s="15" t="n">
        <f aca="false">IF(B3118="SITE LOSS",IF(D3118=C3118,1,0),IF(B3118="REGION LOSS",IF(E3118=C3118,1,0),0))</f>
        <v>0</v>
      </c>
      <c r="K3118" s="15" t="n">
        <f aca="false">IF(B3118="SITE LOSS",IF(COUNTIFS('Site Dockets'!$B$7:$B$24,C3118,'Site Dockets'!$C$7:$C$24,F3118)&gt;0,1,0),IF(B3118="REGION LOSS",IF(COUNTIFS('Site Dockets'!$E$7:$E$24,C3118,'Site Dockets'!$C$7:$C$24,F3118)&gt;0,1,0),0))</f>
        <v>0</v>
      </c>
      <c r="L3118" s="15" t="n">
        <f aca="false">IF(J3118=1,0,Inputs!$B$11)</f>
        <v>100</v>
      </c>
      <c r="M3118" s="15" t="n">
        <f aca="false">IF(J3118=1,0,Inputs!$B$12)</f>
        <v>75</v>
      </c>
      <c r="N3118" s="15" t="n">
        <f aca="false">IF(J3118=1,0,IF(OR(AND(OR(B3118="SITE LOSS",B3118="REGION LOSS"),K3118=1),AND(B3118="ROLE COMPROMISE",H3118=C3118)),Inputs!$B$13,Inputs!$B$14))</f>
        <v>10</v>
      </c>
      <c r="O3118" s="15" t="n">
        <f aca="false">IF(J3118=1,0,Inputs!$B$13)</f>
        <v>20</v>
      </c>
      <c r="P3118" s="15" t="n">
        <f aca="false">SUM(M3118:N3118)</f>
        <v>85</v>
      </c>
      <c r="Q3118" s="15" t="n">
        <f aca="false">IF(J3118=1,"",L3118-P3118)</f>
        <v>15</v>
      </c>
      <c r="R3118" s="15" t="n">
        <f aca="false">IF(OR(J3118=1,M3118&lt;=Inputs!$B$12),1,0)</f>
        <v>1</v>
      </c>
      <c r="S3118" s="15" t="n">
        <f aca="false">IF(OR(J3118=1,N3118&lt;=O3118),1,0)</f>
        <v>1</v>
      </c>
      <c r="T3118" s="15" t="str">
        <f aca="false">IF(J3118=1,"OFFLINE",IF(AND(Q3118&gt;=Inputs!$B$15,R3118=1,S3118=1,P3118&lt;=L3118),"PASS","FAIL"))</f>
        <v>PASS</v>
      </c>
    </row>
    <row r="3119" customFormat="false" ht="15" hidden="false" customHeight="false" outlineLevel="0" collapsed="false">
      <c r="A3119" s="14" t="s">
        <v>1051</v>
      </c>
      <c r="B3119" s="14" t="s">
        <v>1052</v>
      </c>
      <c r="C3119" s="14" t="s">
        <v>1053</v>
      </c>
      <c r="D3119" s="14" t="s">
        <v>196</v>
      </c>
      <c r="E3119" s="14" t="s">
        <v>172</v>
      </c>
      <c r="F3119" s="14" t="s">
        <v>191</v>
      </c>
      <c r="G3119" s="14" t="n">
        <v>3</v>
      </c>
      <c r="H3119" s="14" t="s">
        <v>158</v>
      </c>
      <c r="I3119" s="14" t="s">
        <v>897</v>
      </c>
      <c r="J3119" s="15" t="n">
        <f aca="false">IF(B3119="SITE LOSS",IF(D3119=C3119,1,0),IF(B3119="REGION LOSS",IF(E3119=C3119,1,0),0))</f>
        <v>0</v>
      </c>
      <c r="K3119" s="15" t="n">
        <f aca="false">IF(B3119="SITE LOSS",IF(COUNTIFS('Site Dockets'!$B$7:$B$24,C3119,'Site Dockets'!$C$7:$C$24,F3119)&gt;0,1,0),IF(B3119="REGION LOSS",IF(COUNTIFS('Site Dockets'!$E$7:$E$24,C3119,'Site Dockets'!$C$7:$C$24,F3119)&gt;0,1,0),0))</f>
        <v>0</v>
      </c>
      <c r="L3119" s="15" t="n">
        <f aca="false">IF(J3119=1,0,Inputs!$B$11)</f>
        <v>100</v>
      </c>
      <c r="M3119" s="15" t="n">
        <f aca="false">IF(J3119=1,0,Inputs!$B$12)</f>
        <v>75</v>
      </c>
      <c r="N3119" s="15" t="n">
        <f aca="false">IF(J3119=1,0,IF(OR(AND(OR(B3119="SITE LOSS",B3119="REGION LOSS"),K3119=1),AND(B3119="ROLE COMPROMISE",H3119=C3119)),Inputs!$B$13,Inputs!$B$14))</f>
        <v>10</v>
      </c>
      <c r="O3119" s="15" t="n">
        <f aca="false">IF(J3119=1,0,Inputs!$B$13)</f>
        <v>20</v>
      </c>
      <c r="P3119" s="15" t="n">
        <f aca="false">SUM(M3119:N3119)</f>
        <v>85</v>
      </c>
      <c r="Q3119" s="15" t="n">
        <f aca="false">IF(J3119=1,"",L3119-P3119)</f>
        <v>15</v>
      </c>
      <c r="R3119" s="15" t="n">
        <f aca="false">IF(OR(J3119=1,M3119&lt;=Inputs!$B$12),1,0)</f>
        <v>1</v>
      </c>
      <c r="S3119" s="15" t="n">
        <f aca="false">IF(OR(J3119=1,N3119&lt;=O3119),1,0)</f>
        <v>1</v>
      </c>
      <c r="T3119" s="15" t="str">
        <f aca="false">IF(J3119=1,"OFFLINE",IF(AND(Q3119&gt;=Inputs!$B$15,R3119=1,S3119=1,P3119&lt;=L3119),"PASS","FAIL"))</f>
        <v>PASS</v>
      </c>
    </row>
    <row r="3120" customFormat="false" ht="15" hidden="false" customHeight="false" outlineLevel="0" collapsed="false">
      <c r="A3120" s="14" t="s">
        <v>1051</v>
      </c>
      <c r="B3120" s="14" t="s">
        <v>1052</v>
      </c>
      <c r="C3120" s="14" t="s">
        <v>1053</v>
      </c>
      <c r="D3120" s="14" t="s">
        <v>196</v>
      </c>
      <c r="E3120" s="14" t="s">
        <v>172</v>
      </c>
      <c r="F3120" s="14" t="s">
        <v>191</v>
      </c>
      <c r="G3120" s="14" t="n">
        <v>3</v>
      </c>
      <c r="H3120" s="14" t="s">
        <v>158</v>
      </c>
      <c r="I3120" s="14" t="s">
        <v>899</v>
      </c>
      <c r="J3120" s="15" t="n">
        <f aca="false">IF(B3120="SITE LOSS",IF(D3120=C3120,1,0),IF(B3120="REGION LOSS",IF(E3120=C3120,1,0),0))</f>
        <v>0</v>
      </c>
      <c r="K3120" s="15" t="n">
        <f aca="false">IF(B3120="SITE LOSS",IF(COUNTIFS('Site Dockets'!$B$7:$B$24,C3120,'Site Dockets'!$C$7:$C$24,F3120)&gt;0,1,0),IF(B3120="REGION LOSS",IF(COUNTIFS('Site Dockets'!$E$7:$E$24,C3120,'Site Dockets'!$C$7:$C$24,F3120)&gt;0,1,0),0))</f>
        <v>0</v>
      </c>
      <c r="L3120" s="15" t="n">
        <f aca="false">IF(J3120=1,0,Inputs!$B$11)</f>
        <v>100</v>
      </c>
      <c r="M3120" s="15" t="n">
        <f aca="false">IF(J3120=1,0,Inputs!$B$12)</f>
        <v>75</v>
      </c>
      <c r="N3120" s="15" t="n">
        <f aca="false">IF(J3120=1,0,IF(OR(AND(OR(B3120="SITE LOSS",B3120="REGION LOSS"),K3120=1),AND(B3120="ROLE COMPROMISE",H3120=C3120)),Inputs!$B$13,Inputs!$B$14))</f>
        <v>10</v>
      </c>
      <c r="O3120" s="15" t="n">
        <f aca="false">IF(J3120=1,0,Inputs!$B$13)</f>
        <v>20</v>
      </c>
      <c r="P3120" s="15" t="n">
        <f aca="false">SUM(M3120:N3120)</f>
        <v>85</v>
      </c>
      <c r="Q3120" s="15" t="n">
        <f aca="false">IF(J3120=1,"",L3120-P3120)</f>
        <v>15</v>
      </c>
      <c r="R3120" s="15" t="n">
        <f aca="false">IF(OR(J3120=1,M3120&lt;=Inputs!$B$12),1,0)</f>
        <v>1</v>
      </c>
      <c r="S3120" s="15" t="n">
        <f aca="false">IF(OR(J3120=1,N3120&lt;=O3120),1,0)</f>
        <v>1</v>
      </c>
      <c r="T3120" s="15" t="str">
        <f aca="false">IF(J3120=1,"OFFLINE",IF(AND(Q3120&gt;=Inputs!$B$15,R3120=1,S3120=1,P3120&lt;=L3120),"PASS","FAIL"))</f>
        <v>PASS</v>
      </c>
    </row>
    <row r="3121" customFormat="false" ht="15" hidden="false" customHeight="false" outlineLevel="0" collapsed="false">
      <c r="A3121" s="14" t="s">
        <v>1051</v>
      </c>
      <c r="B3121" s="14" t="s">
        <v>1052</v>
      </c>
      <c r="C3121" s="14" t="s">
        <v>1053</v>
      </c>
      <c r="D3121" s="14" t="s">
        <v>198</v>
      </c>
      <c r="E3121" s="14" t="s">
        <v>166</v>
      </c>
      <c r="F3121" s="14" t="s">
        <v>199</v>
      </c>
      <c r="G3121" s="14" t="n">
        <v>1</v>
      </c>
      <c r="H3121" s="14" t="s">
        <v>154</v>
      </c>
      <c r="I3121" s="14" t="s">
        <v>890</v>
      </c>
      <c r="J3121" s="15" t="n">
        <f aca="false">IF(B3121="SITE LOSS",IF(D3121=C3121,1,0),IF(B3121="REGION LOSS",IF(E3121=C3121,1,0),0))</f>
        <v>0</v>
      </c>
      <c r="K3121" s="15" t="n">
        <f aca="false">IF(B3121="SITE LOSS",IF(COUNTIFS('Site Dockets'!$B$7:$B$24,C3121,'Site Dockets'!$C$7:$C$24,F3121)&gt;0,1,0),IF(B3121="REGION LOSS",IF(COUNTIFS('Site Dockets'!$E$7:$E$24,C3121,'Site Dockets'!$C$7:$C$24,F3121)&gt;0,1,0),0))</f>
        <v>0</v>
      </c>
      <c r="L3121" s="15" t="n">
        <f aca="false">IF(J3121=1,0,Inputs!$B$11)</f>
        <v>100</v>
      </c>
      <c r="M3121" s="15" t="n">
        <f aca="false">IF(J3121=1,0,Inputs!$B$12)</f>
        <v>75</v>
      </c>
      <c r="N3121" s="15" t="n">
        <f aca="false">IF(J3121=1,0,IF(OR(AND(OR(B3121="SITE LOSS",B3121="REGION LOSS"),K3121=1),AND(B3121="ROLE COMPROMISE",H3121=C3121)),Inputs!$B$13,Inputs!$B$14))</f>
        <v>10</v>
      </c>
      <c r="O3121" s="15" t="n">
        <f aca="false">IF(J3121=1,0,Inputs!$B$13)</f>
        <v>20</v>
      </c>
      <c r="P3121" s="15" t="n">
        <f aca="false">SUM(M3121:N3121)</f>
        <v>85</v>
      </c>
      <c r="Q3121" s="15" t="n">
        <f aca="false">IF(J3121=1,"",L3121-P3121)</f>
        <v>15</v>
      </c>
      <c r="R3121" s="15" t="n">
        <f aca="false">IF(OR(J3121=1,M3121&lt;=Inputs!$B$12),1,0)</f>
        <v>1</v>
      </c>
      <c r="S3121" s="15" t="n">
        <f aca="false">IF(OR(J3121=1,N3121&lt;=O3121),1,0)</f>
        <v>1</v>
      </c>
      <c r="T3121" s="15" t="str">
        <f aca="false">IF(J3121=1,"OFFLINE",IF(AND(Q3121&gt;=Inputs!$B$15,R3121=1,S3121=1,P3121&lt;=L3121),"PASS","FAIL"))</f>
        <v>PASS</v>
      </c>
    </row>
    <row r="3122" customFormat="false" ht="15" hidden="false" customHeight="false" outlineLevel="0" collapsed="false">
      <c r="A3122" s="14" t="s">
        <v>1051</v>
      </c>
      <c r="B3122" s="14" t="s">
        <v>1052</v>
      </c>
      <c r="C3122" s="14" t="s">
        <v>1053</v>
      </c>
      <c r="D3122" s="14" t="s">
        <v>198</v>
      </c>
      <c r="E3122" s="14" t="s">
        <v>166</v>
      </c>
      <c r="F3122" s="14" t="s">
        <v>199</v>
      </c>
      <c r="G3122" s="14" t="n">
        <v>1</v>
      </c>
      <c r="H3122" s="14" t="s">
        <v>154</v>
      </c>
      <c r="I3122" s="14" t="s">
        <v>892</v>
      </c>
      <c r="J3122" s="15" t="n">
        <f aca="false">IF(B3122="SITE LOSS",IF(D3122=C3122,1,0),IF(B3122="REGION LOSS",IF(E3122=C3122,1,0),0))</f>
        <v>0</v>
      </c>
      <c r="K3122" s="15" t="n">
        <f aca="false">IF(B3122="SITE LOSS",IF(COUNTIFS('Site Dockets'!$B$7:$B$24,C3122,'Site Dockets'!$C$7:$C$24,F3122)&gt;0,1,0),IF(B3122="REGION LOSS",IF(COUNTIFS('Site Dockets'!$E$7:$E$24,C3122,'Site Dockets'!$C$7:$C$24,F3122)&gt;0,1,0),0))</f>
        <v>0</v>
      </c>
      <c r="L3122" s="15" t="n">
        <f aca="false">IF(J3122=1,0,Inputs!$B$11)</f>
        <v>100</v>
      </c>
      <c r="M3122" s="15" t="n">
        <f aca="false">IF(J3122=1,0,Inputs!$B$12)</f>
        <v>75</v>
      </c>
      <c r="N3122" s="15" t="n">
        <f aca="false">IF(J3122=1,0,IF(OR(AND(OR(B3122="SITE LOSS",B3122="REGION LOSS"),K3122=1),AND(B3122="ROLE COMPROMISE",H3122=C3122)),Inputs!$B$13,Inputs!$B$14))</f>
        <v>10</v>
      </c>
      <c r="O3122" s="15" t="n">
        <f aca="false">IF(J3122=1,0,Inputs!$B$13)</f>
        <v>20</v>
      </c>
      <c r="P3122" s="15" t="n">
        <f aca="false">SUM(M3122:N3122)</f>
        <v>85</v>
      </c>
      <c r="Q3122" s="15" t="n">
        <f aca="false">IF(J3122=1,"",L3122-P3122)</f>
        <v>15</v>
      </c>
      <c r="R3122" s="15" t="n">
        <f aca="false">IF(OR(J3122=1,M3122&lt;=Inputs!$B$12),1,0)</f>
        <v>1</v>
      </c>
      <c r="S3122" s="15" t="n">
        <f aca="false">IF(OR(J3122=1,N3122&lt;=O3122),1,0)</f>
        <v>1</v>
      </c>
      <c r="T3122" s="15" t="str">
        <f aca="false">IF(J3122=1,"OFFLINE",IF(AND(Q3122&gt;=Inputs!$B$15,R3122=1,S3122=1,P3122&lt;=L3122),"PASS","FAIL"))</f>
        <v>PASS</v>
      </c>
    </row>
    <row r="3123" customFormat="false" ht="15" hidden="false" customHeight="false" outlineLevel="0" collapsed="false">
      <c r="A3123" s="14" t="s">
        <v>1051</v>
      </c>
      <c r="B3123" s="14" t="s">
        <v>1052</v>
      </c>
      <c r="C3123" s="14" t="s">
        <v>1053</v>
      </c>
      <c r="D3123" s="14" t="s">
        <v>198</v>
      </c>
      <c r="E3123" s="14" t="s">
        <v>166</v>
      </c>
      <c r="F3123" s="14" t="s">
        <v>199</v>
      </c>
      <c r="G3123" s="14" t="n">
        <v>1</v>
      </c>
      <c r="H3123" s="14" t="s">
        <v>154</v>
      </c>
      <c r="I3123" s="14" t="s">
        <v>811</v>
      </c>
      <c r="J3123" s="15" t="n">
        <f aca="false">IF(B3123="SITE LOSS",IF(D3123=C3123,1,0),IF(B3123="REGION LOSS",IF(E3123=C3123,1,0),0))</f>
        <v>0</v>
      </c>
      <c r="K3123" s="15" t="n">
        <f aca="false">IF(B3123="SITE LOSS",IF(COUNTIFS('Site Dockets'!$B$7:$B$24,C3123,'Site Dockets'!$C$7:$C$24,F3123)&gt;0,1,0),IF(B3123="REGION LOSS",IF(COUNTIFS('Site Dockets'!$E$7:$E$24,C3123,'Site Dockets'!$C$7:$C$24,F3123)&gt;0,1,0),0))</f>
        <v>0</v>
      </c>
      <c r="L3123" s="15" t="n">
        <f aca="false">IF(J3123=1,0,Inputs!$B$11)</f>
        <v>100</v>
      </c>
      <c r="M3123" s="15" t="n">
        <f aca="false">IF(J3123=1,0,Inputs!$B$12)</f>
        <v>75</v>
      </c>
      <c r="N3123" s="15" t="n">
        <f aca="false">IF(J3123=1,0,IF(OR(AND(OR(B3123="SITE LOSS",B3123="REGION LOSS"),K3123=1),AND(B3123="ROLE COMPROMISE",H3123=C3123)),Inputs!$B$13,Inputs!$B$14))</f>
        <v>10</v>
      </c>
      <c r="O3123" s="15" t="n">
        <f aca="false">IF(J3123=1,0,Inputs!$B$13)</f>
        <v>20</v>
      </c>
      <c r="P3123" s="15" t="n">
        <f aca="false">SUM(M3123:N3123)</f>
        <v>85</v>
      </c>
      <c r="Q3123" s="15" t="n">
        <f aca="false">IF(J3123=1,"",L3123-P3123)</f>
        <v>15</v>
      </c>
      <c r="R3123" s="15" t="n">
        <f aca="false">IF(OR(J3123=1,M3123&lt;=Inputs!$B$12),1,0)</f>
        <v>1</v>
      </c>
      <c r="S3123" s="15" t="n">
        <f aca="false">IF(OR(J3123=1,N3123&lt;=O3123),1,0)</f>
        <v>1</v>
      </c>
      <c r="T3123" s="15" t="str">
        <f aca="false">IF(J3123=1,"OFFLINE",IF(AND(Q3123&gt;=Inputs!$B$15,R3123=1,S3123=1,P3123&lt;=L3123),"PASS","FAIL"))</f>
        <v>PASS</v>
      </c>
    </row>
    <row r="3124" customFormat="false" ht="15" hidden="false" customHeight="false" outlineLevel="0" collapsed="false">
      <c r="A3124" s="14" t="s">
        <v>1051</v>
      </c>
      <c r="B3124" s="14" t="s">
        <v>1052</v>
      </c>
      <c r="C3124" s="14" t="s">
        <v>1053</v>
      </c>
      <c r="D3124" s="14" t="s">
        <v>198</v>
      </c>
      <c r="E3124" s="14" t="s">
        <v>166</v>
      </c>
      <c r="F3124" s="14" t="s">
        <v>199</v>
      </c>
      <c r="G3124" s="14" t="n">
        <v>1</v>
      </c>
      <c r="H3124" s="14" t="s">
        <v>154</v>
      </c>
      <c r="I3124" s="14" t="s">
        <v>895</v>
      </c>
      <c r="J3124" s="15" t="n">
        <f aca="false">IF(B3124="SITE LOSS",IF(D3124=C3124,1,0),IF(B3124="REGION LOSS",IF(E3124=C3124,1,0),0))</f>
        <v>0</v>
      </c>
      <c r="K3124" s="15" t="n">
        <f aca="false">IF(B3124="SITE LOSS",IF(COUNTIFS('Site Dockets'!$B$7:$B$24,C3124,'Site Dockets'!$C$7:$C$24,F3124)&gt;0,1,0),IF(B3124="REGION LOSS",IF(COUNTIFS('Site Dockets'!$E$7:$E$24,C3124,'Site Dockets'!$C$7:$C$24,F3124)&gt;0,1,0),0))</f>
        <v>0</v>
      </c>
      <c r="L3124" s="15" t="n">
        <f aca="false">IF(J3124=1,0,Inputs!$B$11)</f>
        <v>100</v>
      </c>
      <c r="M3124" s="15" t="n">
        <f aca="false">IF(J3124=1,0,Inputs!$B$12)</f>
        <v>75</v>
      </c>
      <c r="N3124" s="15" t="n">
        <f aca="false">IF(J3124=1,0,IF(OR(AND(OR(B3124="SITE LOSS",B3124="REGION LOSS"),K3124=1),AND(B3124="ROLE COMPROMISE",H3124=C3124)),Inputs!$B$13,Inputs!$B$14))</f>
        <v>10</v>
      </c>
      <c r="O3124" s="15" t="n">
        <f aca="false">IF(J3124=1,0,Inputs!$B$13)</f>
        <v>20</v>
      </c>
      <c r="P3124" s="15" t="n">
        <f aca="false">SUM(M3124:N3124)</f>
        <v>85</v>
      </c>
      <c r="Q3124" s="15" t="n">
        <f aca="false">IF(J3124=1,"",L3124-P3124)</f>
        <v>15</v>
      </c>
      <c r="R3124" s="15" t="n">
        <f aca="false">IF(OR(J3124=1,M3124&lt;=Inputs!$B$12),1,0)</f>
        <v>1</v>
      </c>
      <c r="S3124" s="15" t="n">
        <f aca="false">IF(OR(J3124=1,N3124&lt;=O3124),1,0)</f>
        <v>1</v>
      </c>
      <c r="T3124" s="15" t="str">
        <f aca="false">IF(J3124=1,"OFFLINE",IF(AND(Q3124&gt;=Inputs!$B$15,R3124=1,S3124=1,P3124&lt;=L3124),"PASS","FAIL"))</f>
        <v>PASS</v>
      </c>
    </row>
    <row r="3125" customFormat="false" ht="15" hidden="false" customHeight="false" outlineLevel="0" collapsed="false">
      <c r="A3125" s="14" t="s">
        <v>1051</v>
      </c>
      <c r="B3125" s="14" t="s">
        <v>1052</v>
      </c>
      <c r="C3125" s="14" t="s">
        <v>1053</v>
      </c>
      <c r="D3125" s="14" t="s">
        <v>198</v>
      </c>
      <c r="E3125" s="14" t="s">
        <v>166</v>
      </c>
      <c r="F3125" s="14" t="s">
        <v>199</v>
      </c>
      <c r="G3125" s="14" t="n">
        <v>1</v>
      </c>
      <c r="H3125" s="14" t="s">
        <v>154</v>
      </c>
      <c r="I3125" s="14" t="s">
        <v>897</v>
      </c>
      <c r="J3125" s="15" t="n">
        <f aca="false">IF(B3125="SITE LOSS",IF(D3125=C3125,1,0),IF(B3125="REGION LOSS",IF(E3125=C3125,1,0),0))</f>
        <v>0</v>
      </c>
      <c r="K3125" s="15" t="n">
        <f aca="false">IF(B3125="SITE LOSS",IF(COUNTIFS('Site Dockets'!$B$7:$B$24,C3125,'Site Dockets'!$C$7:$C$24,F3125)&gt;0,1,0),IF(B3125="REGION LOSS",IF(COUNTIFS('Site Dockets'!$E$7:$E$24,C3125,'Site Dockets'!$C$7:$C$24,F3125)&gt;0,1,0),0))</f>
        <v>0</v>
      </c>
      <c r="L3125" s="15" t="n">
        <f aca="false">IF(J3125=1,0,Inputs!$B$11)</f>
        <v>100</v>
      </c>
      <c r="M3125" s="15" t="n">
        <f aca="false">IF(J3125=1,0,Inputs!$B$12)</f>
        <v>75</v>
      </c>
      <c r="N3125" s="15" t="n">
        <f aca="false">IF(J3125=1,0,IF(OR(AND(OR(B3125="SITE LOSS",B3125="REGION LOSS"),K3125=1),AND(B3125="ROLE COMPROMISE",H3125=C3125)),Inputs!$B$13,Inputs!$B$14))</f>
        <v>10</v>
      </c>
      <c r="O3125" s="15" t="n">
        <f aca="false">IF(J3125=1,0,Inputs!$B$13)</f>
        <v>20</v>
      </c>
      <c r="P3125" s="15" t="n">
        <f aca="false">SUM(M3125:N3125)</f>
        <v>85</v>
      </c>
      <c r="Q3125" s="15" t="n">
        <f aca="false">IF(J3125=1,"",L3125-P3125)</f>
        <v>15</v>
      </c>
      <c r="R3125" s="15" t="n">
        <f aca="false">IF(OR(J3125=1,M3125&lt;=Inputs!$B$12),1,0)</f>
        <v>1</v>
      </c>
      <c r="S3125" s="15" t="n">
        <f aca="false">IF(OR(J3125=1,N3125&lt;=O3125),1,0)</f>
        <v>1</v>
      </c>
      <c r="T3125" s="15" t="str">
        <f aca="false">IF(J3125=1,"OFFLINE",IF(AND(Q3125&gt;=Inputs!$B$15,R3125=1,S3125=1,P3125&lt;=L3125),"PASS","FAIL"))</f>
        <v>PASS</v>
      </c>
    </row>
    <row r="3126" customFormat="false" ht="15" hidden="false" customHeight="false" outlineLevel="0" collapsed="false">
      <c r="A3126" s="14" t="s">
        <v>1051</v>
      </c>
      <c r="B3126" s="14" t="s">
        <v>1052</v>
      </c>
      <c r="C3126" s="14" t="s">
        <v>1053</v>
      </c>
      <c r="D3126" s="14" t="s">
        <v>198</v>
      </c>
      <c r="E3126" s="14" t="s">
        <v>166</v>
      </c>
      <c r="F3126" s="14" t="s">
        <v>199</v>
      </c>
      <c r="G3126" s="14" t="n">
        <v>1</v>
      </c>
      <c r="H3126" s="14" t="s">
        <v>154</v>
      </c>
      <c r="I3126" s="14" t="s">
        <v>899</v>
      </c>
      <c r="J3126" s="15" t="n">
        <f aca="false">IF(B3126="SITE LOSS",IF(D3126=C3126,1,0),IF(B3126="REGION LOSS",IF(E3126=C3126,1,0),0))</f>
        <v>0</v>
      </c>
      <c r="K3126" s="15" t="n">
        <f aca="false">IF(B3126="SITE LOSS",IF(COUNTIFS('Site Dockets'!$B$7:$B$24,C3126,'Site Dockets'!$C$7:$C$24,F3126)&gt;0,1,0),IF(B3126="REGION LOSS",IF(COUNTIFS('Site Dockets'!$E$7:$E$24,C3126,'Site Dockets'!$C$7:$C$24,F3126)&gt;0,1,0),0))</f>
        <v>0</v>
      </c>
      <c r="L3126" s="15" t="n">
        <f aca="false">IF(J3126=1,0,Inputs!$B$11)</f>
        <v>100</v>
      </c>
      <c r="M3126" s="15" t="n">
        <f aca="false">IF(J3126=1,0,Inputs!$B$12)</f>
        <v>75</v>
      </c>
      <c r="N3126" s="15" t="n">
        <f aca="false">IF(J3126=1,0,IF(OR(AND(OR(B3126="SITE LOSS",B3126="REGION LOSS"),K3126=1),AND(B3126="ROLE COMPROMISE",H3126=C3126)),Inputs!$B$13,Inputs!$B$14))</f>
        <v>10</v>
      </c>
      <c r="O3126" s="15" t="n">
        <f aca="false">IF(J3126=1,0,Inputs!$B$13)</f>
        <v>20</v>
      </c>
      <c r="P3126" s="15" t="n">
        <f aca="false">SUM(M3126:N3126)</f>
        <v>85</v>
      </c>
      <c r="Q3126" s="15" t="n">
        <f aca="false">IF(J3126=1,"",L3126-P3126)</f>
        <v>15</v>
      </c>
      <c r="R3126" s="15" t="n">
        <f aca="false">IF(OR(J3126=1,M3126&lt;=Inputs!$B$12),1,0)</f>
        <v>1</v>
      </c>
      <c r="S3126" s="15" t="n">
        <f aca="false">IF(OR(J3126=1,N3126&lt;=O3126),1,0)</f>
        <v>1</v>
      </c>
      <c r="T3126" s="15" t="str">
        <f aca="false">IF(J3126=1,"OFFLINE",IF(AND(Q3126&gt;=Inputs!$B$15,R3126=1,S3126=1,P3126&lt;=L3126),"PASS","FAIL"))</f>
        <v>PASS</v>
      </c>
    </row>
    <row r="3127" customFormat="false" ht="15" hidden="false" customHeight="false" outlineLevel="0" collapsed="false">
      <c r="A3127" s="14" t="s">
        <v>1051</v>
      </c>
      <c r="B3127" s="14" t="s">
        <v>1052</v>
      </c>
      <c r="C3127" s="14" t="s">
        <v>1053</v>
      </c>
      <c r="D3127" s="14" t="s">
        <v>202</v>
      </c>
      <c r="E3127" s="14" t="s">
        <v>157</v>
      </c>
      <c r="F3127" s="14" t="s">
        <v>199</v>
      </c>
      <c r="G3127" s="14" t="n">
        <v>2</v>
      </c>
      <c r="H3127" s="14" t="s">
        <v>153</v>
      </c>
      <c r="I3127" s="14" t="s">
        <v>890</v>
      </c>
      <c r="J3127" s="15" t="n">
        <f aca="false">IF(B3127="SITE LOSS",IF(D3127=C3127,1,0),IF(B3127="REGION LOSS",IF(E3127=C3127,1,0),0))</f>
        <v>0</v>
      </c>
      <c r="K3127" s="15" t="n">
        <f aca="false">IF(B3127="SITE LOSS",IF(COUNTIFS('Site Dockets'!$B$7:$B$24,C3127,'Site Dockets'!$C$7:$C$24,F3127)&gt;0,1,0),IF(B3127="REGION LOSS",IF(COUNTIFS('Site Dockets'!$E$7:$E$24,C3127,'Site Dockets'!$C$7:$C$24,F3127)&gt;0,1,0),0))</f>
        <v>0</v>
      </c>
      <c r="L3127" s="15" t="n">
        <f aca="false">IF(J3127=1,0,Inputs!$B$11)</f>
        <v>100</v>
      </c>
      <c r="M3127" s="15" t="n">
        <f aca="false">IF(J3127=1,0,Inputs!$B$12)</f>
        <v>75</v>
      </c>
      <c r="N3127" s="15" t="n">
        <f aca="false">IF(J3127=1,0,IF(OR(AND(OR(B3127="SITE LOSS",B3127="REGION LOSS"),K3127=1),AND(B3127="ROLE COMPROMISE",H3127=C3127)),Inputs!$B$13,Inputs!$B$14))</f>
        <v>10</v>
      </c>
      <c r="O3127" s="15" t="n">
        <f aca="false">IF(J3127=1,0,Inputs!$B$13)</f>
        <v>20</v>
      </c>
      <c r="P3127" s="15" t="n">
        <f aca="false">SUM(M3127:N3127)</f>
        <v>85</v>
      </c>
      <c r="Q3127" s="15" t="n">
        <f aca="false">IF(J3127=1,"",L3127-P3127)</f>
        <v>15</v>
      </c>
      <c r="R3127" s="15" t="n">
        <f aca="false">IF(OR(J3127=1,M3127&lt;=Inputs!$B$12),1,0)</f>
        <v>1</v>
      </c>
      <c r="S3127" s="15" t="n">
        <f aca="false">IF(OR(J3127=1,N3127&lt;=O3127),1,0)</f>
        <v>1</v>
      </c>
      <c r="T3127" s="15" t="str">
        <f aca="false">IF(J3127=1,"OFFLINE",IF(AND(Q3127&gt;=Inputs!$B$15,R3127=1,S3127=1,P3127&lt;=L3127),"PASS","FAIL"))</f>
        <v>PASS</v>
      </c>
    </row>
    <row r="3128" customFormat="false" ht="15" hidden="false" customHeight="false" outlineLevel="0" collapsed="false">
      <c r="A3128" s="14" t="s">
        <v>1051</v>
      </c>
      <c r="B3128" s="14" t="s">
        <v>1052</v>
      </c>
      <c r="C3128" s="14" t="s">
        <v>1053</v>
      </c>
      <c r="D3128" s="14" t="s">
        <v>202</v>
      </c>
      <c r="E3128" s="14" t="s">
        <v>157</v>
      </c>
      <c r="F3128" s="14" t="s">
        <v>199</v>
      </c>
      <c r="G3128" s="14" t="n">
        <v>2</v>
      </c>
      <c r="H3128" s="14" t="s">
        <v>153</v>
      </c>
      <c r="I3128" s="14" t="s">
        <v>892</v>
      </c>
      <c r="J3128" s="15" t="n">
        <f aca="false">IF(B3128="SITE LOSS",IF(D3128=C3128,1,0),IF(B3128="REGION LOSS",IF(E3128=C3128,1,0),0))</f>
        <v>0</v>
      </c>
      <c r="K3128" s="15" t="n">
        <f aca="false">IF(B3128="SITE LOSS",IF(COUNTIFS('Site Dockets'!$B$7:$B$24,C3128,'Site Dockets'!$C$7:$C$24,F3128)&gt;0,1,0),IF(B3128="REGION LOSS",IF(COUNTIFS('Site Dockets'!$E$7:$E$24,C3128,'Site Dockets'!$C$7:$C$24,F3128)&gt;0,1,0),0))</f>
        <v>0</v>
      </c>
      <c r="L3128" s="15" t="n">
        <f aca="false">IF(J3128=1,0,Inputs!$B$11)</f>
        <v>100</v>
      </c>
      <c r="M3128" s="15" t="n">
        <f aca="false">IF(J3128=1,0,Inputs!$B$12)</f>
        <v>75</v>
      </c>
      <c r="N3128" s="15" t="n">
        <f aca="false">IF(J3128=1,0,IF(OR(AND(OR(B3128="SITE LOSS",B3128="REGION LOSS"),K3128=1),AND(B3128="ROLE COMPROMISE",H3128=C3128)),Inputs!$B$13,Inputs!$B$14))</f>
        <v>10</v>
      </c>
      <c r="O3128" s="15" t="n">
        <f aca="false">IF(J3128=1,0,Inputs!$B$13)</f>
        <v>20</v>
      </c>
      <c r="P3128" s="15" t="n">
        <f aca="false">SUM(M3128:N3128)</f>
        <v>85</v>
      </c>
      <c r="Q3128" s="15" t="n">
        <f aca="false">IF(J3128=1,"",L3128-P3128)</f>
        <v>15</v>
      </c>
      <c r="R3128" s="15" t="n">
        <f aca="false">IF(OR(J3128=1,M3128&lt;=Inputs!$B$12),1,0)</f>
        <v>1</v>
      </c>
      <c r="S3128" s="15" t="n">
        <f aca="false">IF(OR(J3128=1,N3128&lt;=O3128),1,0)</f>
        <v>1</v>
      </c>
      <c r="T3128" s="15" t="str">
        <f aca="false">IF(J3128=1,"OFFLINE",IF(AND(Q3128&gt;=Inputs!$B$15,R3128=1,S3128=1,P3128&lt;=L3128),"PASS","FAIL"))</f>
        <v>PASS</v>
      </c>
    </row>
    <row r="3129" customFormat="false" ht="15" hidden="false" customHeight="false" outlineLevel="0" collapsed="false">
      <c r="A3129" s="14" t="s">
        <v>1051</v>
      </c>
      <c r="B3129" s="14" t="s">
        <v>1052</v>
      </c>
      <c r="C3129" s="14" t="s">
        <v>1053</v>
      </c>
      <c r="D3129" s="14" t="s">
        <v>202</v>
      </c>
      <c r="E3129" s="14" t="s">
        <v>157</v>
      </c>
      <c r="F3129" s="14" t="s">
        <v>199</v>
      </c>
      <c r="G3129" s="14" t="n">
        <v>2</v>
      </c>
      <c r="H3129" s="14" t="s">
        <v>153</v>
      </c>
      <c r="I3129" s="14" t="s">
        <v>811</v>
      </c>
      <c r="J3129" s="15" t="n">
        <f aca="false">IF(B3129="SITE LOSS",IF(D3129=C3129,1,0),IF(B3129="REGION LOSS",IF(E3129=C3129,1,0),0))</f>
        <v>0</v>
      </c>
      <c r="K3129" s="15" t="n">
        <f aca="false">IF(B3129="SITE LOSS",IF(COUNTIFS('Site Dockets'!$B$7:$B$24,C3129,'Site Dockets'!$C$7:$C$24,F3129)&gt;0,1,0),IF(B3129="REGION LOSS",IF(COUNTIFS('Site Dockets'!$E$7:$E$24,C3129,'Site Dockets'!$C$7:$C$24,F3129)&gt;0,1,0),0))</f>
        <v>0</v>
      </c>
      <c r="L3129" s="15" t="n">
        <f aca="false">IF(J3129=1,0,Inputs!$B$11)</f>
        <v>100</v>
      </c>
      <c r="M3129" s="15" t="n">
        <f aca="false">IF(J3129=1,0,Inputs!$B$12)</f>
        <v>75</v>
      </c>
      <c r="N3129" s="15" t="n">
        <f aca="false">IF(J3129=1,0,IF(OR(AND(OR(B3129="SITE LOSS",B3129="REGION LOSS"),K3129=1),AND(B3129="ROLE COMPROMISE",H3129=C3129)),Inputs!$B$13,Inputs!$B$14))</f>
        <v>10</v>
      </c>
      <c r="O3129" s="15" t="n">
        <f aca="false">IF(J3129=1,0,Inputs!$B$13)</f>
        <v>20</v>
      </c>
      <c r="P3129" s="15" t="n">
        <f aca="false">SUM(M3129:N3129)</f>
        <v>85</v>
      </c>
      <c r="Q3129" s="15" t="n">
        <f aca="false">IF(J3129=1,"",L3129-P3129)</f>
        <v>15</v>
      </c>
      <c r="R3129" s="15" t="n">
        <f aca="false">IF(OR(J3129=1,M3129&lt;=Inputs!$B$12),1,0)</f>
        <v>1</v>
      </c>
      <c r="S3129" s="15" t="n">
        <f aca="false">IF(OR(J3129=1,N3129&lt;=O3129),1,0)</f>
        <v>1</v>
      </c>
      <c r="T3129" s="15" t="str">
        <f aca="false">IF(J3129=1,"OFFLINE",IF(AND(Q3129&gt;=Inputs!$B$15,R3129=1,S3129=1,P3129&lt;=L3129),"PASS","FAIL"))</f>
        <v>PASS</v>
      </c>
    </row>
    <row r="3130" customFormat="false" ht="15" hidden="false" customHeight="false" outlineLevel="0" collapsed="false">
      <c r="A3130" s="14" t="s">
        <v>1051</v>
      </c>
      <c r="B3130" s="14" t="s">
        <v>1052</v>
      </c>
      <c r="C3130" s="14" t="s">
        <v>1053</v>
      </c>
      <c r="D3130" s="14" t="s">
        <v>202</v>
      </c>
      <c r="E3130" s="14" t="s">
        <v>157</v>
      </c>
      <c r="F3130" s="14" t="s">
        <v>199</v>
      </c>
      <c r="G3130" s="14" t="n">
        <v>2</v>
      </c>
      <c r="H3130" s="14" t="s">
        <v>153</v>
      </c>
      <c r="I3130" s="14" t="s">
        <v>895</v>
      </c>
      <c r="J3130" s="15" t="n">
        <f aca="false">IF(B3130="SITE LOSS",IF(D3130=C3130,1,0),IF(B3130="REGION LOSS",IF(E3130=C3130,1,0),0))</f>
        <v>0</v>
      </c>
      <c r="K3130" s="15" t="n">
        <f aca="false">IF(B3130="SITE LOSS",IF(COUNTIFS('Site Dockets'!$B$7:$B$24,C3130,'Site Dockets'!$C$7:$C$24,F3130)&gt;0,1,0),IF(B3130="REGION LOSS",IF(COUNTIFS('Site Dockets'!$E$7:$E$24,C3130,'Site Dockets'!$C$7:$C$24,F3130)&gt;0,1,0),0))</f>
        <v>0</v>
      </c>
      <c r="L3130" s="15" t="n">
        <f aca="false">IF(J3130=1,0,Inputs!$B$11)</f>
        <v>100</v>
      </c>
      <c r="M3130" s="15" t="n">
        <f aca="false">IF(J3130=1,0,Inputs!$B$12)</f>
        <v>75</v>
      </c>
      <c r="N3130" s="15" t="n">
        <f aca="false">IF(J3130=1,0,IF(OR(AND(OR(B3130="SITE LOSS",B3130="REGION LOSS"),K3130=1),AND(B3130="ROLE COMPROMISE",H3130=C3130)),Inputs!$B$13,Inputs!$B$14))</f>
        <v>10</v>
      </c>
      <c r="O3130" s="15" t="n">
        <f aca="false">IF(J3130=1,0,Inputs!$B$13)</f>
        <v>20</v>
      </c>
      <c r="P3130" s="15" t="n">
        <f aca="false">SUM(M3130:N3130)</f>
        <v>85</v>
      </c>
      <c r="Q3130" s="15" t="n">
        <f aca="false">IF(J3130=1,"",L3130-P3130)</f>
        <v>15</v>
      </c>
      <c r="R3130" s="15" t="n">
        <f aca="false">IF(OR(J3130=1,M3130&lt;=Inputs!$B$12),1,0)</f>
        <v>1</v>
      </c>
      <c r="S3130" s="15" t="n">
        <f aca="false">IF(OR(J3130=1,N3130&lt;=O3130),1,0)</f>
        <v>1</v>
      </c>
      <c r="T3130" s="15" t="str">
        <f aca="false">IF(J3130=1,"OFFLINE",IF(AND(Q3130&gt;=Inputs!$B$15,R3130=1,S3130=1,P3130&lt;=L3130),"PASS","FAIL"))</f>
        <v>PASS</v>
      </c>
    </row>
    <row r="3131" customFormat="false" ht="15" hidden="false" customHeight="false" outlineLevel="0" collapsed="false">
      <c r="A3131" s="14" t="s">
        <v>1051</v>
      </c>
      <c r="B3131" s="14" t="s">
        <v>1052</v>
      </c>
      <c r="C3131" s="14" t="s">
        <v>1053</v>
      </c>
      <c r="D3131" s="14" t="s">
        <v>202</v>
      </c>
      <c r="E3131" s="14" t="s">
        <v>157</v>
      </c>
      <c r="F3131" s="14" t="s">
        <v>199</v>
      </c>
      <c r="G3131" s="14" t="n">
        <v>2</v>
      </c>
      <c r="H3131" s="14" t="s">
        <v>153</v>
      </c>
      <c r="I3131" s="14" t="s">
        <v>897</v>
      </c>
      <c r="J3131" s="15" t="n">
        <f aca="false">IF(B3131="SITE LOSS",IF(D3131=C3131,1,0),IF(B3131="REGION LOSS",IF(E3131=C3131,1,0),0))</f>
        <v>0</v>
      </c>
      <c r="K3131" s="15" t="n">
        <f aca="false">IF(B3131="SITE LOSS",IF(COUNTIFS('Site Dockets'!$B$7:$B$24,C3131,'Site Dockets'!$C$7:$C$24,F3131)&gt;0,1,0),IF(B3131="REGION LOSS",IF(COUNTIFS('Site Dockets'!$E$7:$E$24,C3131,'Site Dockets'!$C$7:$C$24,F3131)&gt;0,1,0),0))</f>
        <v>0</v>
      </c>
      <c r="L3131" s="15" t="n">
        <f aca="false">IF(J3131=1,0,Inputs!$B$11)</f>
        <v>100</v>
      </c>
      <c r="M3131" s="15" t="n">
        <f aca="false">IF(J3131=1,0,Inputs!$B$12)</f>
        <v>75</v>
      </c>
      <c r="N3131" s="15" t="n">
        <f aca="false">IF(J3131=1,0,IF(OR(AND(OR(B3131="SITE LOSS",B3131="REGION LOSS"),K3131=1),AND(B3131="ROLE COMPROMISE",H3131=C3131)),Inputs!$B$13,Inputs!$B$14))</f>
        <v>10</v>
      </c>
      <c r="O3131" s="15" t="n">
        <f aca="false">IF(J3131=1,0,Inputs!$B$13)</f>
        <v>20</v>
      </c>
      <c r="P3131" s="15" t="n">
        <f aca="false">SUM(M3131:N3131)</f>
        <v>85</v>
      </c>
      <c r="Q3131" s="15" t="n">
        <f aca="false">IF(J3131=1,"",L3131-P3131)</f>
        <v>15</v>
      </c>
      <c r="R3131" s="15" t="n">
        <f aca="false">IF(OR(J3131=1,M3131&lt;=Inputs!$B$12),1,0)</f>
        <v>1</v>
      </c>
      <c r="S3131" s="15" t="n">
        <f aca="false">IF(OR(J3131=1,N3131&lt;=O3131),1,0)</f>
        <v>1</v>
      </c>
      <c r="T3131" s="15" t="str">
        <f aca="false">IF(J3131=1,"OFFLINE",IF(AND(Q3131&gt;=Inputs!$B$15,R3131=1,S3131=1,P3131&lt;=L3131),"PASS","FAIL"))</f>
        <v>PASS</v>
      </c>
    </row>
    <row r="3132" customFormat="false" ht="15" hidden="false" customHeight="false" outlineLevel="0" collapsed="false">
      <c r="A3132" s="14" t="s">
        <v>1051</v>
      </c>
      <c r="B3132" s="14" t="s">
        <v>1052</v>
      </c>
      <c r="C3132" s="14" t="s">
        <v>1053</v>
      </c>
      <c r="D3132" s="14" t="s">
        <v>202</v>
      </c>
      <c r="E3132" s="14" t="s">
        <v>157</v>
      </c>
      <c r="F3132" s="14" t="s">
        <v>199</v>
      </c>
      <c r="G3132" s="14" t="n">
        <v>2</v>
      </c>
      <c r="H3132" s="14" t="s">
        <v>153</v>
      </c>
      <c r="I3132" s="14" t="s">
        <v>899</v>
      </c>
      <c r="J3132" s="15" t="n">
        <f aca="false">IF(B3132="SITE LOSS",IF(D3132=C3132,1,0),IF(B3132="REGION LOSS",IF(E3132=C3132,1,0),0))</f>
        <v>0</v>
      </c>
      <c r="K3132" s="15" t="n">
        <f aca="false">IF(B3132="SITE LOSS",IF(COUNTIFS('Site Dockets'!$B$7:$B$24,C3132,'Site Dockets'!$C$7:$C$24,F3132)&gt;0,1,0),IF(B3132="REGION LOSS",IF(COUNTIFS('Site Dockets'!$E$7:$E$24,C3132,'Site Dockets'!$C$7:$C$24,F3132)&gt;0,1,0),0))</f>
        <v>0</v>
      </c>
      <c r="L3132" s="15" t="n">
        <f aca="false">IF(J3132=1,0,Inputs!$B$11)</f>
        <v>100</v>
      </c>
      <c r="M3132" s="15" t="n">
        <f aca="false">IF(J3132=1,0,Inputs!$B$12)</f>
        <v>75</v>
      </c>
      <c r="N3132" s="15" t="n">
        <f aca="false">IF(J3132=1,0,IF(OR(AND(OR(B3132="SITE LOSS",B3132="REGION LOSS"),K3132=1),AND(B3132="ROLE COMPROMISE",H3132=C3132)),Inputs!$B$13,Inputs!$B$14))</f>
        <v>10</v>
      </c>
      <c r="O3132" s="15" t="n">
        <f aca="false">IF(J3132=1,0,Inputs!$B$13)</f>
        <v>20</v>
      </c>
      <c r="P3132" s="15" t="n">
        <f aca="false">SUM(M3132:N3132)</f>
        <v>85</v>
      </c>
      <c r="Q3132" s="15" t="n">
        <f aca="false">IF(J3132=1,"",L3132-P3132)</f>
        <v>15</v>
      </c>
      <c r="R3132" s="15" t="n">
        <f aca="false">IF(OR(J3132=1,M3132&lt;=Inputs!$B$12),1,0)</f>
        <v>1</v>
      </c>
      <c r="S3132" s="15" t="n">
        <f aca="false">IF(OR(J3132=1,N3132&lt;=O3132),1,0)</f>
        <v>1</v>
      </c>
      <c r="T3132" s="15" t="str">
        <f aca="false">IF(J3132=1,"OFFLINE",IF(AND(Q3132&gt;=Inputs!$B$15,R3132=1,S3132=1,P3132&lt;=L3132),"PASS","FAIL"))</f>
        <v>PASS</v>
      </c>
    </row>
    <row r="3133" customFormat="false" ht="15" hidden="false" customHeight="false" outlineLevel="0" collapsed="false">
      <c r="A3133" s="14" t="s">
        <v>1051</v>
      </c>
      <c r="B3133" s="14" t="s">
        <v>1052</v>
      </c>
      <c r="C3133" s="14" t="s">
        <v>1053</v>
      </c>
      <c r="D3133" s="14" t="s">
        <v>204</v>
      </c>
      <c r="E3133" s="14" t="s">
        <v>161</v>
      </c>
      <c r="F3133" s="14" t="s">
        <v>199</v>
      </c>
      <c r="G3133" s="14" t="n">
        <v>3</v>
      </c>
      <c r="H3133" s="14" t="s">
        <v>158</v>
      </c>
      <c r="I3133" s="14" t="s">
        <v>890</v>
      </c>
      <c r="J3133" s="15" t="n">
        <f aca="false">IF(B3133="SITE LOSS",IF(D3133=C3133,1,0),IF(B3133="REGION LOSS",IF(E3133=C3133,1,0),0))</f>
        <v>0</v>
      </c>
      <c r="K3133" s="15" t="n">
        <f aca="false">IF(B3133="SITE LOSS",IF(COUNTIFS('Site Dockets'!$B$7:$B$24,C3133,'Site Dockets'!$C$7:$C$24,F3133)&gt;0,1,0),IF(B3133="REGION LOSS",IF(COUNTIFS('Site Dockets'!$E$7:$E$24,C3133,'Site Dockets'!$C$7:$C$24,F3133)&gt;0,1,0),0))</f>
        <v>0</v>
      </c>
      <c r="L3133" s="15" t="n">
        <f aca="false">IF(J3133=1,0,Inputs!$B$11)</f>
        <v>100</v>
      </c>
      <c r="M3133" s="15" t="n">
        <f aca="false">IF(J3133=1,0,Inputs!$B$12)</f>
        <v>75</v>
      </c>
      <c r="N3133" s="15" t="n">
        <f aca="false">IF(J3133=1,0,IF(OR(AND(OR(B3133="SITE LOSS",B3133="REGION LOSS"),K3133=1),AND(B3133="ROLE COMPROMISE",H3133=C3133)),Inputs!$B$13,Inputs!$B$14))</f>
        <v>10</v>
      </c>
      <c r="O3133" s="15" t="n">
        <f aca="false">IF(J3133=1,0,Inputs!$B$13)</f>
        <v>20</v>
      </c>
      <c r="P3133" s="15" t="n">
        <f aca="false">SUM(M3133:N3133)</f>
        <v>85</v>
      </c>
      <c r="Q3133" s="15" t="n">
        <f aca="false">IF(J3133=1,"",L3133-P3133)</f>
        <v>15</v>
      </c>
      <c r="R3133" s="15" t="n">
        <f aca="false">IF(OR(J3133=1,M3133&lt;=Inputs!$B$12),1,0)</f>
        <v>1</v>
      </c>
      <c r="S3133" s="15" t="n">
        <f aca="false">IF(OR(J3133=1,N3133&lt;=O3133),1,0)</f>
        <v>1</v>
      </c>
      <c r="T3133" s="15" t="str">
        <f aca="false">IF(J3133=1,"OFFLINE",IF(AND(Q3133&gt;=Inputs!$B$15,R3133=1,S3133=1,P3133&lt;=L3133),"PASS","FAIL"))</f>
        <v>PASS</v>
      </c>
    </row>
    <row r="3134" customFormat="false" ht="15" hidden="false" customHeight="false" outlineLevel="0" collapsed="false">
      <c r="A3134" s="14" t="s">
        <v>1051</v>
      </c>
      <c r="B3134" s="14" t="s">
        <v>1052</v>
      </c>
      <c r="C3134" s="14" t="s">
        <v>1053</v>
      </c>
      <c r="D3134" s="14" t="s">
        <v>204</v>
      </c>
      <c r="E3134" s="14" t="s">
        <v>161</v>
      </c>
      <c r="F3134" s="14" t="s">
        <v>199</v>
      </c>
      <c r="G3134" s="14" t="n">
        <v>3</v>
      </c>
      <c r="H3134" s="14" t="s">
        <v>158</v>
      </c>
      <c r="I3134" s="14" t="s">
        <v>892</v>
      </c>
      <c r="J3134" s="15" t="n">
        <f aca="false">IF(B3134="SITE LOSS",IF(D3134=C3134,1,0),IF(B3134="REGION LOSS",IF(E3134=C3134,1,0),0))</f>
        <v>0</v>
      </c>
      <c r="K3134" s="15" t="n">
        <f aca="false">IF(B3134="SITE LOSS",IF(COUNTIFS('Site Dockets'!$B$7:$B$24,C3134,'Site Dockets'!$C$7:$C$24,F3134)&gt;0,1,0),IF(B3134="REGION LOSS",IF(COUNTIFS('Site Dockets'!$E$7:$E$24,C3134,'Site Dockets'!$C$7:$C$24,F3134)&gt;0,1,0),0))</f>
        <v>0</v>
      </c>
      <c r="L3134" s="15" t="n">
        <f aca="false">IF(J3134=1,0,Inputs!$B$11)</f>
        <v>100</v>
      </c>
      <c r="M3134" s="15" t="n">
        <f aca="false">IF(J3134=1,0,Inputs!$B$12)</f>
        <v>75</v>
      </c>
      <c r="N3134" s="15" t="n">
        <f aca="false">IF(J3134=1,0,IF(OR(AND(OR(B3134="SITE LOSS",B3134="REGION LOSS"),K3134=1),AND(B3134="ROLE COMPROMISE",H3134=C3134)),Inputs!$B$13,Inputs!$B$14))</f>
        <v>10</v>
      </c>
      <c r="O3134" s="15" t="n">
        <f aca="false">IF(J3134=1,0,Inputs!$B$13)</f>
        <v>20</v>
      </c>
      <c r="P3134" s="15" t="n">
        <f aca="false">SUM(M3134:N3134)</f>
        <v>85</v>
      </c>
      <c r="Q3134" s="15" t="n">
        <f aca="false">IF(J3134=1,"",L3134-P3134)</f>
        <v>15</v>
      </c>
      <c r="R3134" s="15" t="n">
        <f aca="false">IF(OR(J3134=1,M3134&lt;=Inputs!$B$12),1,0)</f>
        <v>1</v>
      </c>
      <c r="S3134" s="15" t="n">
        <f aca="false">IF(OR(J3134=1,N3134&lt;=O3134),1,0)</f>
        <v>1</v>
      </c>
      <c r="T3134" s="15" t="str">
        <f aca="false">IF(J3134=1,"OFFLINE",IF(AND(Q3134&gt;=Inputs!$B$15,R3134=1,S3134=1,P3134&lt;=L3134),"PASS","FAIL"))</f>
        <v>PASS</v>
      </c>
    </row>
    <row r="3135" customFormat="false" ht="15" hidden="false" customHeight="false" outlineLevel="0" collapsed="false">
      <c r="A3135" s="14" t="s">
        <v>1051</v>
      </c>
      <c r="B3135" s="14" t="s">
        <v>1052</v>
      </c>
      <c r="C3135" s="14" t="s">
        <v>1053</v>
      </c>
      <c r="D3135" s="14" t="s">
        <v>204</v>
      </c>
      <c r="E3135" s="14" t="s">
        <v>161</v>
      </c>
      <c r="F3135" s="14" t="s">
        <v>199</v>
      </c>
      <c r="G3135" s="14" t="n">
        <v>3</v>
      </c>
      <c r="H3135" s="14" t="s">
        <v>158</v>
      </c>
      <c r="I3135" s="14" t="s">
        <v>811</v>
      </c>
      <c r="J3135" s="15" t="n">
        <f aca="false">IF(B3135="SITE LOSS",IF(D3135=C3135,1,0),IF(B3135="REGION LOSS",IF(E3135=C3135,1,0),0))</f>
        <v>0</v>
      </c>
      <c r="K3135" s="15" t="n">
        <f aca="false">IF(B3135="SITE LOSS",IF(COUNTIFS('Site Dockets'!$B$7:$B$24,C3135,'Site Dockets'!$C$7:$C$24,F3135)&gt;0,1,0),IF(B3135="REGION LOSS",IF(COUNTIFS('Site Dockets'!$E$7:$E$24,C3135,'Site Dockets'!$C$7:$C$24,F3135)&gt;0,1,0),0))</f>
        <v>0</v>
      </c>
      <c r="L3135" s="15" t="n">
        <f aca="false">IF(J3135=1,0,Inputs!$B$11)</f>
        <v>100</v>
      </c>
      <c r="M3135" s="15" t="n">
        <f aca="false">IF(J3135=1,0,Inputs!$B$12)</f>
        <v>75</v>
      </c>
      <c r="N3135" s="15" t="n">
        <f aca="false">IF(J3135=1,0,IF(OR(AND(OR(B3135="SITE LOSS",B3135="REGION LOSS"),K3135=1),AND(B3135="ROLE COMPROMISE",H3135=C3135)),Inputs!$B$13,Inputs!$B$14))</f>
        <v>10</v>
      </c>
      <c r="O3135" s="15" t="n">
        <f aca="false">IF(J3135=1,0,Inputs!$B$13)</f>
        <v>20</v>
      </c>
      <c r="P3135" s="15" t="n">
        <f aca="false">SUM(M3135:N3135)</f>
        <v>85</v>
      </c>
      <c r="Q3135" s="15" t="n">
        <f aca="false">IF(J3135=1,"",L3135-P3135)</f>
        <v>15</v>
      </c>
      <c r="R3135" s="15" t="n">
        <f aca="false">IF(OR(J3135=1,M3135&lt;=Inputs!$B$12),1,0)</f>
        <v>1</v>
      </c>
      <c r="S3135" s="15" t="n">
        <f aca="false">IF(OR(J3135=1,N3135&lt;=O3135),1,0)</f>
        <v>1</v>
      </c>
      <c r="T3135" s="15" t="str">
        <f aca="false">IF(J3135=1,"OFFLINE",IF(AND(Q3135&gt;=Inputs!$B$15,R3135=1,S3135=1,P3135&lt;=L3135),"PASS","FAIL"))</f>
        <v>PASS</v>
      </c>
    </row>
    <row r="3136" customFormat="false" ht="15" hidden="false" customHeight="false" outlineLevel="0" collapsed="false">
      <c r="A3136" s="14" t="s">
        <v>1051</v>
      </c>
      <c r="B3136" s="14" t="s">
        <v>1052</v>
      </c>
      <c r="C3136" s="14" t="s">
        <v>1053</v>
      </c>
      <c r="D3136" s="14" t="s">
        <v>204</v>
      </c>
      <c r="E3136" s="14" t="s">
        <v>161</v>
      </c>
      <c r="F3136" s="14" t="s">
        <v>199</v>
      </c>
      <c r="G3136" s="14" t="n">
        <v>3</v>
      </c>
      <c r="H3136" s="14" t="s">
        <v>158</v>
      </c>
      <c r="I3136" s="14" t="s">
        <v>895</v>
      </c>
      <c r="J3136" s="15" t="n">
        <f aca="false">IF(B3136="SITE LOSS",IF(D3136=C3136,1,0),IF(B3136="REGION LOSS",IF(E3136=C3136,1,0),0))</f>
        <v>0</v>
      </c>
      <c r="K3136" s="15" t="n">
        <f aca="false">IF(B3136="SITE LOSS",IF(COUNTIFS('Site Dockets'!$B$7:$B$24,C3136,'Site Dockets'!$C$7:$C$24,F3136)&gt;0,1,0),IF(B3136="REGION LOSS",IF(COUNTIFS('Site Dockets'!$E$7:$E$24,C3136,'Site Dockets'!$C$7:$C$24,F3136)&gt;0,1,0),0))</f>
        <v>0</v>
      </c>
      <c r="L3136" s="15" t="n">
        <f aca="false">IF(J3136=1,0,Inputs!$B$11)</f>
        <v>100</v>
      </c>
      <c r="M3136" s="15" t="n">
        <f aca="false">IF(J3136=1,0,Inputs!$B$12)</f>
        <v>75</v>
      </c>
      <c r="N3136" s="15" t="n">
        <f aca="false">IF(J3136=1,0,IF(OR(AND(OR(B3136="SITE LOSS",B3136="REGION LOSS"),K3136=1),AND(B3136="ROLE COMPROMISE",H3136=C3136)),Inputs!$B$13,Inputs!$B$14))</f>
        <v>10</v>
      </c>
      <c r="O3136" s="15" t="n">
        <f aca="false">IF(J3136=1,0,Inputs!$B$13)</f>
        <v>20</v>
      </c>
      <c r="P3136" s="15" t="n">
        <f aca="false">SUM(M3136:N3136)</f>
        <v>85</v>
      </c>
      <c r="Q3136" s="15" t="n">
        <f aca="false">IF(J3136=1,"",L3136-P3136)</f>
        <v>15</v>
      </c>
      <c r="R3136" s="15" t="n">
        <f aca="false">IF(OR(J3136=1,M3136&lt;=Inputs!$B$12),1,0)</f>
        <v>1</v>
      </c>
      <c r="S3136" s="15" t="n">
        <f aca="false">IF(OR(J3136=1,N3136&lt;=O3136),1,0)</f>
        <v>1</v>
      </c>
      <c r="T3136" s="15" t="str">
        <f aca="false">IF(J3136=1,"OFFLINE",IF(AND(Q3136&gt;=Inputs!$B$15,R3136=1,S3136=1,P3136&lt;=L3136),"PASS","FAIL"))</f>
        <v>PASS</v>
      </c>
    </row>
    <row r="3137" customFormat="false" ht="15" hidden="false" customHeight="false" outlineLevel="0" collapsed="false">
      <c r="A3137" s="14" t="s">
        <v>1051</v>
      </c>
      <c r="B3137" s="14" t="s">
        <v>1052</v>
      </c>
      <c r="C3137" s="14" t="s">
        <v>1053</v>
      </c>
      <c r="D3137" s="14" t="s">
        <v>204</v>
      </c>
      <c r="E3137" s="14" t="s">
        <v>161</v>
      </c>
      <c r="F3137" s="14" t="s">
        <v>199</v>
      </c>
      <c r="G3137" s="14" t="n">
        <v>3</v>
      </c>
      <c r="H3137" s="14" t="s">
        <v>158</v>
      </c>
      <c r="I3137" s="14" t="s">
        <v>897</v>
      </c>
      <c r="J3137" s="15" t="n">
        <f aca="false">IF(B3137="SITE LOSS",IF(D3137=C3137,1,0),IF(B3137="REGION LOSS",IF(E3137=C3137,1,0),0))</f>
        <v>0</v>
      </c>
      <c r="K3137" s="15" t="n">
        <f aca="false">IF(B3137="SITE LOSS",IF(COUNTIFS('Site Dockets'!$B$7:$B$24,C3137,'Site Dockets'!$C$7:$C$24,F3137)&gt;0,1,0),IF(B3137="REGION LOSS",IF(COUNTIFS('Site Dockets'!$E$7:$E$24,C3137,'Site Dockets'!$C$7:$C$24,F3137)&gt;0,1,0),0))</f>
        <v>0</v>
      </c>
      <c r="L3137" s="15" t="n">
        <f aca="false">IF(J3137=1,0,Inputs!$B$11)</f>
        <v>100</v>
      </c>
      <c r="M3137" s="15" t="n">
        <f aca="false">IF(J3137=1,0,Inputs!$B$12)</f>
        <v>75</v>
      </c>
      <c r="N3137" s="15" t="n">
        <f aca="false">IF(J3137=1,0,IF(OR(AND(OR(B3137="SITE LOSS",B3137="REGION LOSS"),K3137=1),AND(B3137="ROLE COMPROMISE",H3137=C3137)),Inputs!$B$13,Inputs!$B$14))</f>
        <v>10</v>
      </c>
      <c r="O3137" s="15" t="n">
        <f aca="false">IF(J3137=1,0,Inputs!$B$13)</f>
        <v>20</v>
      </c>
      <c r="P3137" s="15" t="n">
        <f aca="false">SUM(M3137:N3137)</f>
        <v>85</v>
      </c>
      <c r="Q3137" s="15" t="n">
        <f aca="false">IF(J3137=1,"",L3137-P3137)</f>
        <v>15</v>
      </c>
      <c r="R3137" s="15" t="n">
        <f aca="false">IF(OR(J3137=1,M3137&lt;=Inputs!$B$12),1,0)</f>
        <v>1</v>
      </c>
      <c r="S3137" s="15" t="n">
        <f aca="false">IF(OR(J3137=1,N3137&lt;=O3137),1,0)</f>
        <v>1</v>
      </c>
      <c r="T3137" s="15" t="str">
        <f aca="false">IF(J3137=1,"OFFLINE",IF(AND(Q3137&gt;=Inputs!$B$15,R3137=1,S3137=1,P3137&lt;=L3137),"PASS","FAIL"))</f>
        <v>PASS</v>
      </c>
    </row>
    <row r="3138" customFormat="false" ht="15" hidden="false" customHeight="false" outlineLevel="0" collapsed="false">
      <c r="A3138" s="14" t="s">
        <v>1051</v>
      </c>
      <c r="B3138" s="14" t="s">
        <v>1052</v>
      </c>
      <c r="C3138" s="14" t="s">
        <v>1053</v>
      </c>
      <c r="D3138" s="14" t="s">
        <v>204</v>
      </c>
      <c r="E3138" s="14" t="s">
        <v>161</v>
      </c>
      <c r="F3138" s="14" t="s">
        <v>199</v>
      </c>
      <c r="G3138" s="14" t="n">
        <v>3</v>
      </c>
      <c r="H3138" s="14" t="s">
        <v>158</v>
      </c>
      <c r="I3138" s="14" t="s">
        <v>899</v>
      </c>
      <c r="J3138" s="15" t="n">
        <f aca="false">IF(B3138="SITE LOSS",IF(D3138=C3138,1,0),IF(B3138="REGION LOSS",IF(E3138=C3138,1,0),0))</f>
        <v>0</v>
      </c>
      <c r="K3138" s="15" t="n">
        <f aca="false">IF(B3138="SITE LOSS",IF(COUNTIFS('Site Dockets'!$B$7:$B$24,C3138,'Site Dockets'!$C$7:$C$24,F3138)&gt;0,1,0),IF(B3138="REGION LOSS",IF(COUNTIFS('Site Dockets'!$E$7:$E$24,C3138,'Site Dockets'!$C$7:$C$24,F3138)&gt;0,1,0),0))</f>
        <v>0</v>
      </c>
      <c r="L3138" s="15" t="n">
        <f aca="false">IF(J3138=1,0,Inputs!$B$11)</f>
        <v>100</v>
      </c>
      <c r="M3138" s="15" t="n">
        <f aca="false">IF(J3138=1,0,Inputs!$B$12)</f>
        <v>75</v>
      </c>
      <c r="N3138" s="15" t="n">
        <f aca="false">IF(J3138=1,0,IF(OR(AND(OR(B3138="SITE LOSS",B3138="REGION LOSS"),K3138=1),AND(B3138="ROLE COMPROMISE",H3138=C3138)),Inputs!$B$13,Inputs!$B$14))</f>
        <v>10</v>
      </c>
      <c r="O3138" s="15" t="n">
        <f aca="false">IF(J3138=1,0,Inputs!$B$13)</f>
        <v>20</v>
      </c>
      <c r="P3138" s="15" t="n">
        <f aca="false">SUM(M3138:N3138)</f>
        <v>85</v>
      </c>
      <c r="Q3138" s="15" t="n">
        <f aca="false">IF(J3138=1,"",L3138-P3138)</f>
        <v>15</v>
      </c>
      <c r="R3138" s="15" t="n">
        <f aca="false">IF(OR(J3138=1,M3138&lt;=Inputs!$B$12),1,0)</f>
        <v>1</v>
      </c>
      <c r="S3138" s="15" t="n">
        <f aca="false">IF(OR(J3138=1,N3138&lt;=O3138),1,0)</f>
        <v>1</v>
      </c>
      <c r="T3138" s="15" t="str">
        <f aca="false">IF(J3138=1,"OFFLINE",IF(AND(Q3138&gt;=Inputs!$B$15,R3138=1,S3138=1,P3138&lt;=L3138),"PASS","FAIL"))</f>
        <v>PASS</v>
      </c>
    </row>
    <row r="3139" customFormat="false" ht="15" hidden="false" customHeight="false" outlineLevel="0" collapsed="false">
      <c r="A3139" s="14" t="s">
        <v>1054</v>
      </c>
      <c r="B3139" s="14" t="s">
        <v>1055</v>
      </c>
      <c r="C3139" s="14" t="s">
        <v>1056</v>
      </c>
      <c r="D3139" s="14" t="s">
        <v>149</v>
      </c>
      <c r="E3139" s="14" t="s">
        <v>152</v>
      </c>
      <c r="F3139" s="14" t="s">
        <v>150</v>
      </c>
      <c r="G3139" s="14" t="n">
        <v>1</v>
      </c>
      <c r="H3139" s="14" t="s">
        <v>154</v>
      </c>
      <c r="I3139" s="14" t="s">
        <v>890</v>
      </c>
      <c r="J3139" s="15" t="n">
        <f aca="false">IF(B3139="SITE LOSS",IF(D3139=C3139,1,0),IF(B3139="REGION LOSS",IF(E3139=C3139,1,0),0))</f>
        <v>0</v>
      </c>
      <c r="K3139" s="15" t="n">
        <f aca="false">IF(B3139="SITE LOSS",IF(COUNTIFS('Site Dockets'!$B$7:$B$24,C3139,'Site Dockets'!$C$7:$C$24,F3139)&gt;0,1,0),IF(B3139="REGION LOSS",IF(COUNTIFS('Site Dockets'!$E$7:$E$24,C3139,'Site Dockets'!$C$7:$C$24,F3139)&gt;0,1,0),0))</f>
        <v>0</v>
      </c>
      <c r="L3139" s="15" t="n">
        <f aca="false">IF(J3139=1,0,Inputs!$B$11)</f>
        <v>100</v>
      </c>
      <c r="M3139" s="15" t="n">
        <f aca="false">IF(J3139=1,0,Inputs!$B$12)</f>
        <v>75</v>
      </c>
      <c r="N3139" s="15" t="n">
        <f aca="false">IF(J3139=1,0,IF(OR(AND(OR(B3139="SITE LOSS",B3139="REGION LOSS"),K3139=1),AND(B3139="ROLE COMPROMISE",H3139=C3139)),Inputs!$B$13,Inputs!$B$14))</f>
        <v>10</v>
      </c>
      <c r="O3139" s="15" t="n">
        <f aca="false">IF(J3139=1,0,Inputs!$B$13)</f>
        <v>20</v>
      </c>
      <c r="P3139" s="15" t="n">
        <f aca="false">SUM(M3139:N3139)</f>
        <v>85</v>
      </c>
      <c r="Q3139" s="15" t="n">
        <f aca="false">IF(J3139=1,"",L3139-P3139)</f>
        <v>15</v>
      </c>
      <c r="R3139" s="15" t="n">
        <f aca="false">IF(OR(J3139=1,M3139&lt;=Inputs!$B$12),1,0)</f>
        <v>1</v>
      </c>
      <c r="S3139" s="15" t="n">
        <f aca="false">IF(OR(J3139=1,N3139&lt;=O3139),1,0)</f>
        <v>1</v>
      </c>
      <c r="T3139" s="15" t="str">
        <f aca="false">IF(J3139=1,"OFFLINE",IF(AND(Q3139&gt;=Inputs!$B$15,R3139=1,S3139=1,P3139&lt;=L3139),"PASS","FAIL"))</f>
        <v>PASS</v>
      </c>
    </row>
    <row r="3140" customFormat="false" ht="15" hidden="false" customHeight="false" outlineLevel="0" collapsed="false">
      <c r="A3140" s="14" t="s">
        <v>1054</v>
      </c>
      <c r="B3140" s="14" t="s">
        <v>1055</v>
      </c>
      <c r="C3140" s="14" t="s">
        <v>1056</v>
      </c>
      <c r="D3140" s="14" t="s">
        <v>149</v>
      </c>
      <c r="E3140" s="14" t="s">
        <v>152</v>
      </c>
      <c r="F3140" s="14" t="s">
        <v>150</v>
      </c>
      <c r="G3140" s="14" t="n">
        <v>1</v>
      </c>
      <c r="H3140" s="14" t="s">
        <v>154</v>
      </c>
      <c r="I3140" s="14" t="s">
        <v>892</v>
      </c>
      <c r="J3140" s="15" t="n">
        <f aca="false">IF(B3140="SITE LOSS",IF(D3140=C3140,1,0),IF(B3140="REGION LOSS",IF(E3140=C3140,1,0),0))</f>
        <v>0</v>
      </c>
      <c r="K3140" s="15" t="n">
        <f aca="false">IF(B3140="SITE LOSS",IF(COUNTIFS('Site Dockets'!$B$7:$B$24,C3140,'Site Dockets'!$C$7:$C$24,F3140)&gt;0,1,0),IF(B3140="REGION LOSS",IF(COUNTIFS('Site Dockets'!$E$7:$E$24,C3140,'Site Dockets'!$C$7:$C$24,F3140)&gt;0,1,0),0))</f>
        <v>0</v>
      </c>
      <c r="L3140" s="15" t="n">
        <f aca="false">IF(J3140=1,0,Inputs!$B$11)</f>
        <v>100</v>
      </c>
      <c r="M3140" s="15" t="n">
        <f aca="false">IF(J3140=1,0,Inputs!$B$12)</f>
        <v>75</v>
      </c>
      <c r="N3140" s="15" t="n">
        <f aca="false">IF(J3140=1,0,IF(OR(AND(OR(B3140="SITE LOSS",B3140="REGION LOSS"),K3140=1),AND(B3140="ROLE COMPROMISE",H3140=C3140)),Inputs!$B$13,Inputs!$B$14))</f>
        <v>10</v>
      </c>
      <c r="O3140" s="15" t="n">
        <f aca="false">IF(J3140=1,0,Inputs!$B$13)</f>
        <v>20</v>
      </c>
      <c r="P3140" s="15" t="n">
        <f aca="false">SUM(M3140:N3140)</f>
        <v>85</v>
      </c>
      <c r="Q3140" s="15" t="n">
        <f aca="false">IF(J3140=1,"",L3140-P3140)</f>
        <v>15</v>
      </c>
      <c r="R3140" s="15" t="n">
        <f aca="false">IF(OR(J3140=1,M3140&lt;=Inputs!$B$12),1,0)</f>
        <v>1</v>
      </c>
      <c r="S3140" s="15" t="n">
        <f aca="false">IF(OR(J3140=1,N3140&lt;=O3140),1,0)</f>
        <v>1</v>
      </c>
      <c r="T3140" s="15" t="str">
        <f aca="false">IF(J3140=1,"OFFLINE",IF(AND(Q3140&gt;=Inputs!$B$15,R3140=1,S3140=1,P3140&lt;=L3140),"PASS","FAIL"))</f>
        <v>PASS</v>
      </c>
    </row>
    <row r="3141" customFormat="false" ht="15" hidden="false" customHeight="false" outlineLevel="0" collapsed="false">
      <c r="A3141" s="14" t="s">
        <v>1054</v>
      </c>
      <c r="B3141" s="14" t="s">
        <v>1055</v>
      </c>
      <c r="C3141" s="14" t="s">
        <v>1056</v>
      </c>
      <c r="D3141" s="14" t="s">
        <v>149</v>
      </c>
      <c r="E3141" s="14" t="s">
        <v>152</v>
      </c>
      <c r="F3141" s="14" t="s">
        <v>150</v>
      </c>
      <c r="G3141" s="14" t="n">
        <v>1</v>
      </c>
      <c r="H3141" s="14" t="s">
        <v>154</v>
      </c>
      <c r="I3141" s="14" t="s">
        <v>811</v>
      </c>
      <c r="J3141" s="15" t="n">
        <f aca="false">IF(B3141="SITE LOSS",IF(D3141=C3141,1,0),IF(B3141="REGION LOSS",IF(E3141=C3141,1,0),0))</f>
        <v>0</v>
      </c>
      <c r="K3141" s="15" t="n">
        <f aca="false">IF(B3141="SITE LOSS",IF(COUNTIFS('Site Dockets'!$B$7:$B$24,C3141,'Site Dockets'!$C$7:$C$24,F3141)&gt;0,1,0),IF(B3141="REGION LOSS",IF(COUNTIFS('Site Dockets'!$E$7:$E$24,C3141,'Site Dockets'!$C$7:$C$24,F3141)&gt;0,1,0),0))</f>
        <v>0</v>
      </c>
      <c r="L3141" s="15" t="n">
        <f aca="false">IF(J3141=1,0,Inputs!$B$11)</f>
        <v>100</v>
      </c>
      <c r="M3141" s="15" t="n">
        <f aca="false">IF(J3141=1,0,Inputs!$B$12)</f>
        <v>75</v>
      </c>
      <c r="N3141" s="15" t="n">
        <f aca="false">IF(J3141=1,0,IF(OR(AND(OR(B3141="SITE LOSS",B3141="REGION LOSS"),K3141=1),AND(B3141="ROLE COMPROMISE",H3141=C3141)),Inputs!$B$13,Inputs!$B$14))</f>
        <v>10</v>
      </c>
      <c r="O3141" s="15" t="n">
        <f aca="false">IF(J3141=1,0,Inputs!$B$13)</f>
        <v>20</v>
      </c>
      <c r="P3141" s="15" t="n">
        <f aca="false">SUM(M3141:N3141)</f>
        <v>85</v>
      </c>
      <c r="Q3141" s="15" t="n">
        <f aca="false">IF(J3141=1,"",L3141-P3141)</f>
        <v>15</v>
      </c>
      <c r="R3141" s="15" t="n">
        <f aca="false">IF(OR(J3141=1,M3141&lt;=Inputs!$B$12),1,0)</f>
        <v>1</v>
      </c>
      <c r="S3141" s="15" t="n">
        <f aca="false">IF(OR(J3141=1,N3141&lt;=O3141),1,0)</f>
        <v>1</v>
      </c>
      <c r="T3141" s="15" t="str">
        <f aca="false">IF(J3141=1,"OFFLINE",IF(AND(Q3141&gt;=Inputs!$B$15,R3141=1,S3141=1,P3141&lt;=L3141),"PASS","FAIL"))</f>
        <v>PASS</v>
      </c>
    </row>
    <row r="3142" customFormat="false" ht="15" hidden="false" customHeight="false" outlineLevel="0" collapsed="false">
      <c r="A3142" s="14" t="s">
        <v>1054</v>
      </c>
      <c r="B3142" s="14" t="s">
        <v>1055</v>
      </c>
      <c r="C3142" s="14" t="s">
        <v>1056</v>
      </c>
      <c r="D3142" s="14" t="s">
        <v>149</v>
      </c>
      <c r="E3142" s="14" t="s">
        <v>152</v>
      </c>
      <c r="F3142" s="14" t="s">
        <v>150</v>
      </c>
      <c r="G3142" s="14" t="n">
        <v>1</v>
      </c>
      <c r="H3142" s="14" t="s">
        <v>154</v>
      </c>
      <c r="I3142" s="14" t="s">
        <v>895</v>
      </c>
      <c r="J3142" s="15" t="n">
        <f aca="false">IF(B3142="SITE LOSS",IF(D3142=C3142,1,0),IF(B3142="REGION LOSS",IF(E3142=C3142,1,0),0))</f>
        <v>0</v>
      </c>
      <c r="K3142" s="15" t="n">
        <f aca="false">IF(B3142="SITE LOSS",IF(COUNTIFS('Site Dockets'!$B$7:$B$24,C3142,'Site Dockets'!$C$7:$C$24,F3142)&gt;0,1,0),IF(B3142="REGION LOSS",IF(COUNTIFS('Site Dockets'!$E$7:$E$24,C3142,'Site Dockets'!$C$7:$C$24,F3142)&gt;0,1,0),0))</f>
        <v>0</v>
      </c>
      <c r="L3142" s="15" t="n">
        <f aca="false">IF(J3142=1,0,Inputs!$B$11)</f>
        <v>100</v>
      </c>
      <c r="M3142" s="15" t="n">
        <f aca="false">IF(J3142=1,0,Inputs!$B$12)</f>
        <v>75</v>
      </c>
      <c r="N3142" s="15" t="n">
        <f aca="false">IF(J3142=1,0,IF(OR(AND(OR(B3142="SITE LOSS",B3142="REGION LOSS"),K3142=1),AND(B3142="ROLE COMPROMISE",H3142=C3142)),Inputs!$B$13,Inputs!$B$14))</f>
        <v>10</v>
      </c>
      <c r="O3142" s="15" t="n">
        <f aca="false">IF(J3142=1,0,Inputs!$B$13)</f>
        <v>20</v>
      </c>
      <c r="P3142" s="15" t="n">
        <f aca="false">SUM(M3142:N3142)</f>
        <v>85</v>
      </c>
      <c r="Q3142" s="15" t="n">
        <f aca="false">IF(J3142=1,"",L3142-P3142)</f>
        <v>15</v>
      </c>
      <c r="R3142" s="15" t="n">
        <f aca="false">IF(OR(J3142=1,M3142&lt;=Inputs!$B$12),1,0)</f>
        <v>1</v>
      </c>
      <c r="S3142" s="15" t="n">
        <f aca="false">IF(OR(J3142=1,N3142&lt;=O3142),1,0)</f>
        <v>1</v>
      </c>
      <c r="T3142" s="15" t="str">
        <f aca="false">IF(J3142=1,"OFFLINE",IF(AND(Q3142&gt;=Inputs!$B$15,R3142=1,S3142=1,P3142&lt;=L3142),"PASS","FAIL"))</f>
        <v>PASS</v>
      </c>
    </row>
    <row r="3143" customFormat="false" ht="15" hidden="false" customHeight="false" outlineLevel="0" collapsed="false">
      <c r="A3143" s="14" t="s">
        <v>1054</v>
      </c>
      <c r="B3143" s="14" t="s">
        <v>1055</v>
      </c>
      <c r="C3143" s="14" t="s">
        <v>1056</v>
      </c>
      <c r="D3143" s="14" t="s">
        <v>149</v>
      </c>
      <c r="E3143" s="14" t="s">
        <v>152</v>
      </c>
      <c r="F3143" s="14" t="s">
        <v>150</v>
      </c>
      <c r="G3143" s="14" t="n">
        <v>1</v>
      </c>
      <c r="H3143" s="14" t="s">
        <v>154</v>
      </c>
      <c r="I3143" s="14" t="s">
        <v>897</v>
      </c>
      <c r="J3143" s="15" t="n">
        <f aca="false">IF(B3143="SITE LOSS",IF(D3143=C3143,1,0),IF(B3143="REGION LOSS",IF(E3143=C3143,1,0),0))</f>
        <v>0</v>
      </c>
      <c r="K3143" s="15" t="n">
        <f aca="false">IF(B3143="SITE LOSS",IF(COUNTIFS('Site Dockets'!$B$7:$B$24,C3143,'Site Dockets'!$C$7:$C$24,F3143)&gt;0,1,0),IF(B3143="REGION LOSS",IF(COUNTIFS('Site Dockets'!$E$7:$E$24,C3143,'Site Dockets'!$C$7:$C$24,F3143)&gt;0,1,0),0))</f>
        <v>0</v>
      </c>
      <c r="L3143" s="15" t="n">
        <f aca="false">IF(J3143=1,0,Inputs!$B$11)</f>
        <v>100</v>
      </c>
      <c r="M3143" s="15" t="n">
        <f aca="false">IF(J3143=1,0,Inputs!$B$12)</f>
        <v>75</v>
      </c>
      <c r="N3143" s="15" t="n">
        <f aca="false">IF(J3143=1,0,IF(OR(AND(OR(B3143="SITE LOSS",B3143="REGION LOSS"),K3143=1),AND(B3143="ROLE COMPROMISE",H3143=C3143)),Inputs!$B$13,Inputs!$B$14))</f>
        <v>10</v>
      </c>
      <c r="O3143" s="15" t="n">
        <f aca="false">IF(J3143=1,0,Inputs!$B$13)</f>
        <v>20</v>
      </c>
      <c r="P3143" s="15" t="n">
        <f aca="false">SUM(M3143:N3143)</f>
        <v>85</v>
      </c>
      <c r="Q3143" s="15" t="n">
        <f aca="false">IF(J3143=1,"",L3143-P3143)</f>
        <v>15</v>
      </c>
      <c r="R3143" s="15" t="n">
        <f aca="false">IF(OR(J3143=1,M3143&lt;=Inputs!$B$12),1,0)</f>
        <v>1</v>
      </c>
      <c r="S3143" s="15" t="n">
        <f aca="false">IF(OR(J3143=1,N3143&lt;=O3143),1,0)</f>
        <v>1</v>
      </c>
      <c r="T3143" s="15" t="str">
        <f aca="false">IF(J3143=1,"OFFLINE",IF(AND(Q3143&gt;=Inputs!$B$15,R3143=1,S3143=1,P3143&lt;=L3143),"PASS","FAIL"))</f>
        <v>PASS</v>
      </c>
    </row>
    <row r="3144" customFormat="false" ht="15" hidden="false" customHeight="false" outlineLevel="0" collapsed="false">
      <c r="A3144" s="14" t="s">
        <v>1054</v>
      </c>
      <c r="B3144" s="14" t="s">
        <v>1055</v>
      </c>
      <c r="C3144" s="14" t="s">
        <v>1056</v>
      </c>
      <c r="D3144" s="14" t="s">
        <v>149</v>
      </c>
      <c r="E3144" s="14" t="s">
        <v>152</v>
      </c>
      <c r="F3144" s="14" t="s">
        <v>150</v>
      </c>
      <c r="G3144" s="14" t="n">
        <v>1</v>
      </c>
      <c r="H3144" s="14" t="s">
        <v>154</v>
      </c>
      <c r="I3144" s="14" t="s">
        <v>899</v>
      </c>
      <c r="J3144" s="15" t="n">
        <f aca="false">IF(B3144="SITE LOSS",IF(D3144=C3144,1,0),IF(B3144="REGION LOSS",IF(E3144=C3144,1,0),0))</f>
        <v>0</v>
      </c>
      <c r="K3144" s="15" t="n">
        <f aca="false">IF(B3144="SITE LOSS",IF(COUNTIFS('Site Dockets'!$B$7:$B$24,C3144,'Site Dockets'!$C$7:$C$24,F3144)&gt;0,1,0),IF(B3144="REGION LOSS",IF(COUNTIFS('Site Dockets'!$E$7:$E$24,C3144,'Site Dockets'!$C$7:$C$24,F3144)&gt;0,1,0),0))</f>
        <v>0</v>
      </c>
      <c r="L3144" s="15" t="n">
        <f aca="false">IF(J3144=1,0,Inputs!$B$11)</f>
        <v>100</v>
      </c>
      <c r="M3144" s="15" t="n">
        <f aca="false">IF(J3144=1,0,Inputs!$B$12)</f>
        <v>75</v>
      </c>
      <c r="N3144" s="15" t="n">
        <f aca="false">IF(J3144=1,0,IF(OR(AND(OR(B3144="SITE LOSS",B3144="REGION LOSS"),K3144=1),AND(B3144="ROLE COMPROMISE",H3144=C3144)),Inputs!$B$13,Inputs!$B$14))</f>
        <v>10</v>
      </c>
      <c r="O3144" s="15" t="n">
        <f aca="false">IF(J3144=1,0,Inputs!$B$13)</f>
        <v>20</v>
      </c>
      <c r="P3144" s="15" t="n">
        <f aca="false">SUM(M3144:N3144)</f>
        <v>85</v>
      </c>
      <c r="Q3144" s="15" t="n">
        <f aca="false">IF(J3144=1,"",L3144-P3144)</f>
        <v>15</v>
      </c>
      <c r="R3144" s="15" t="n">
        <f aca="false">IF(OR(J3144=1,M3144&lt;=Inputs!$B$12),1,0)</f>
        <v>1</v>
      </c>
      <c r="S3144" s="15" t="n">
        <f aca="false">IF(OR(J3144=1,N3144&lt;=O3144),1,0)</f>
        <v>1</v>
      </c>
      <c r="T3144" s="15" t="str">
        <f aca="false">IF(J3144=1,"OFFLINE",IF(AND(Q3144&gt;=Inputs!$B$15,R3144=1,S3144=1,P3144&lt;=L3144),"PASS","FAIL"))</f>
        <v>PASS</v>
      </c>
    </row>
    <row r="3145" customFormat="false" ht="15" hidden="false" customHeight="false" outlineLevel="0" collapsed="false">
      <c r="A3145" s="14" t="s">
        <v>1054</v>
      </c>
      <c r="B3145" s="14" t="s">
        <v>1055</v>
      </c>
      <c r="C3145" s="14" t="s">
        <v>1056</v>
      </c>
      <c r="D3145" s="14" t="s">
        <v>156</v>
      </c>
      <c r="E3145" s="14" t="s">
        <v>157</v>
      </c>
      <c r="F3145" s="14" t="s">
        <v>150</v>
      </c>
      <c r="G3145" s="14" t="n">
        <v>2</v>
      </c>
      <c r="H3145" s="14" t="s">
        <v>153</v>
      </c>
      <c r="I3145" s="14" t="s">
        <v>890</v>
      </c>
      <c r="J3145" s="15" t="n">
        <f aca="false">IF(B3145="SITE LOSS",IF(D3145=C3145,1,0),IF(B3145="REGION LOSS",IF(E3145=C3145,1,0),0))</f>
        <v>0</v>
      </c>
      <c r="K3145" s="15" t="n">
        <f aca="false">IF(B3145="SITE LOSS",IF(COUNTIFS('Site Dockets'!$B$7:$B$24,C3145,'Site Dockets'!$C$7:$C$24,F3145)&gt;0,1,0),IF(B3145="REGION LOSS",IF(COUNTIFS('Site Dockets'!$E$7:$E$24,C3145,'Site Dockets'!$C$7:$C$24,F3145)&gt;0,1,0),0))</f>
        <v>0</v>
      </c>
      <c r="L3145" s="15" t="n">
        <f aca="false">IF(J3145=1,0,Inputs!$B$11)</f>
        <v>100</v>
      </c>
      <c r="M3145" s="15" t="n">
        <f aca="false">IF(J3145=1,0,Inputs!$B$12)</f>
        <v>75</v>
      </c>
      <c r="N3145" s="15" t="n">
        <f aca="false">IF(J3145=1,0,IF(OR(AND(OR(B3145="SITE LOSS",B3145="REGION LOSS"),K3145=1),AND(B3145="ROLE COMPROMISE",H3145=C3145)),Inputs!$B$13,Inputs!$B$14))</f>
        <v>10</v>
      </c>
      <c r="O3145" s="15" t="n">
        <f aca="false">IF(J3145=1,0,Inputs!$B$13)</f>
        <v>20</v>
      </c>
      <c r="P3145" s="15" t="n">
        <f aca="false">SUM(M3145:N3145)</f>
        <v>85</v>
      </c>
      <c r="Q3145" s="15" t="n">
        <f aca="false">IF(J3145=1,"",L3145-P3145)</f>
        <v>15</v>
      </c>
      <c r="R3145" s="15" t="n">
        <f aca="false">IF(OR(J3145=1,M3145&lt;=Inputs!$B$12),1,0)</f>
        <v>1</v>
      </c>
      <c r="S3145" s="15" t="n">
        <f aca="false">IF(OR(J3145=1,N3145&lt;=O3145),1,0)</f>
        <v>1</v>
      </c>
      <c r="T3145" s="15" t="str">
        <f aca="false">IF(J3145=1,"OFFLINE",IF(AND(Q3145&gt;=Inputs!$B$15,R3145=1,S3145=1,P3145&lt;=L3145),"PASS","FAIL"))</f>
        <v>PASS</v>
      </c>
    </row>
    <row r="3146" customFormat="false" ht="15" hidden="false" customHeight="false" outlineLevel="0" collapsed="false">
      <c r="A3146" s="14" t="s">
        <v>1054</v>
      </c>
      <c r="B3146" s="14" t="s">
        <v>1055</v>
      </c>
      <c r="C3146" s="14" t="s">
        <v>1056</v>
      </c>
      <c r="D3146" s="14" t="s">
        <v>156</v>
      </c>
      <c r="E3146" s="14" t="s">
        <v>157</v>
      </c>
      <c r="F3146" s="14" t="s">
        <v>150</v>
      </c>
      <c r="G3146" s="14" t="n">
        <v>2</v>
      </c>
      <c r="H3146" s="14" t="s">
        <v>153</v>
      </c>
      <c r="I3146" s="14" t="s">
        <v>892</v>
      </c>
      <c r="J3146" s="15" t="n">
        <f aca="false">IF(B3146="SITE LOSS",IF(D3146=C3146,1,0),IF(B3146="REGION LOSS",IF(E3146=C3146,1,0),0))</f>
        <v>0</v>
      </c>
      <c r="K3146" s="15" t="n">
        <f aca="false">IF(B3146="SITE LOSS",IF(COUNTIFS('Site Dockets'!$B$7:$B$24,C3146,'Site Dockets'!$C$7:$C$24,F3146)&gt;0,1,0),IF(B3146="REGION LOSS",IF(COUNTIFS('Site Dockets'!$E$7:$E$24,C3146,'Site Dockets'!$C$7:$C$24,F3146)&gt;0,1,0),0))</f>
        <v>0</v>
      </c>
      <c r="L3146" s="15" t="n">
        <f aca="false">IF(J3146=1,0,Inputs!$B$11)</f>
        <v>100</v>
      </c>
      <c r="M3146" s="15" t="n">
        <f aca="false">IF(J3146=1,0,Inputs!$B$12)</f>
        <v>75</v>
      </c>
      <c r="N3146" s="15" t="n">
        <f aca="false">IF(J3146=1,0,IF(OR(AND(OR(B3146="SITE LOSS",B3146="REGION LOSS"),K3146=1),AND(B3146="ROLE COMPROMISE",H3146=C3146)),Inputs!$B$13,Inputs!$B$14))</f>
        <v>10</v>
      </c>
      <c r="O3146" s="15" t="n">
        <f aca="false">IF(J3146=1,0,Inputs!$B$13)</f>
        <v>20</v>
      </c>
      <c r="P3146" s="15" t="n">
        <f aca="false">SUM(M3146:N3146)</f>
        <v>85</v>
      </c>
      <c r="Q3146" s="15" t="n">
        <f aca="false">IF(J3146=1,"",L3146-P3146)</f>
        <v>15</v>
      </c>
      <c r="R3146" s="15" t="n">
        <f aca="false">IF(OR(J3146=1,M3146&lt;=Inputs!$B$12),1,0)</f>
        <v>1</v>
      </c>
      <c r="S3146" s="15" t="n">
        <f aca="false">IF(OR(J3146=1,N3146&lt;=O3146),1,0)</f>
        <v>1</v>
      </c>
      <c r="T3146" s="15" t="str">
        <f aca="false">IF(J3146=1,"OFFLINE",IF(AND(Q3146&gt;=Inputs!$B$15,R3146=1,S3146=1,P3146&lt;=L3146),"PASS","FAIL"))</f>
        <v>PASS</v>
      </c>
    </row>
    <row r="3147" customFormat="false" ht="15" hidden="false" customHeight="false" outlineLevel="0" collapsed="false">
      <c r="A3147" s="14" t="s">
        <v>1054</v>
      </c>
      <c r="B3147" s="14" t="s">
        <v>1055</v>
      </c>
      <c r="C3147" s="14" t="s">
        <v>1056</v>
      </c>
      <c r="D3147" s="14" t="s">
        <v>156</v>
      </c>
      <c r="E3147" s="14" t="s">
        <v>157</v>
      </c>
      <c r="F3147" s="14" t="s">
        <v>150</v>
      </c>
      <c r="G3147" s="14" t="n">
        <v>2</v>
      </c>
      <c r="H3147" s="14" t="s">
        <v>153</v>
      </c>
      <c r="I3147" s="14" t="s">
        <v>811</v>
      </c>
      <c r="J3147" s="15" t="n">
        <f aca="false">IF(B3147="SITE LOSS",IF(D3147=C3147,1,0),IF(B3147="REGION LOSS",IF(E3147=C3147,1,0),0))</f>
        <v>0</v>
      </c>
      <c r="K3147" s="15" t="n">
        <f aca="false">IF(B3147="SITE LOSS",IF(COUNTIFS('Site Dockets'!$B$7:$B$24,C3147,'Site Dockets'!$C$7:$C$24,F3147)&gt;0,1,0),IF(B3147="REGION LOSS",IF(COUNTIFS('Site Dockets'!$E$7:$E$24,C3147,'Site Dockets'!$C$7:$C$24,F3147)&gt;0,1,0),0))</f>
        <v>0</v>
      </c>
      <c r="L3147" s="15" t="n">
        <f aca="false">IF(J3147=1,0,Inputs!$B$11)</f>
        <v>100</v>
      </c>
      <c r="M3147" s="15" t="n">
        <f aca="false">IF(J3147=1,0,Inputs!$B$12)</f>
        <v>75</v>
      </c>
      <c r="N3147" s="15" t="n">
        <f aca="false">IF(J3147=1,0,IF(OR(AND(OR(B3147="SITE LOSS",B3147="REGION LOSS"),K3147=1),AND(B3147="ROLE COMPROMISE",H3147=C3147)),Inputs!$B$13,Inputs!$B$14))</f>
        <v>10</v>
      </c>
      <c r="O3147" s="15" t="n">
        <f aca="false">IF(J3147=1,0,Inputs!$B$13)</f>
        <v>20</v>
      </c>
      <c r="P3147" s="15" t="n">
        <f aca="false">SUM(M3147:N3147)</f>
        <v>85</v>
      </c>
      <c r="Q3147" s="15" t="n">
        <f aca="false">IF(J3147=1,"",L3147-P3147)</f>
        <v>15</v>
      </c>
      <c r="R3147" s="15" t="n">
        <f aca="false">IF(OR(J3147=1,M3147&lt;=Inputs!$B$12),1,0)</f>
        <v>1</v>
      </c>
      <c r="S3147" s="15" t="n">
        <f aca="false">IF(OR(J3147=1,N3147&lt;=O3147),1,0)</f>
        <v>1</v>
      </c>
      <c r="T3147" s="15" t="str">
        <f aca="false">IF(J3147=1,"OFFLINE",IF(AND(Q3147&gt;=Inputs!$B$15,R3147=1,S3147=1,P3147&lt;=L3147),"PASS","FAIL"))</f>
        <v>PASS</v>
      </c>
    </row>
    <row r="3148" customFormat="false" ht="15" hidden="false" customHeight="false" outlineLevel="0" collapsed="false">
      <c r="A3148" s="14" t="s">
        <v>1054</v>
      </c>
      <c r="B3148" s="14" t="s">
        <v>1055</v>
      </c>
      <c r="C3148" s="14" t="s">
        <v>1056</v>
      </c>
      <c r="D3148" s="14" t="s">
        <v>156</v>
      </c>
      <c r="E3148" s="14" t="s">
        <v>157</v>
      </c>
      <c r="F3148" s="14" t="s">
        <v>150</v>
      </c>
      <c r="G3148" s="14" t="n">
        <v>2</v>
      </c>
      <c r="H3148" s="14" t="s">
        <v>153</v>
      </c>
      <c r="I3148" s="14" t="s">
        <v>895</v>
      </c>
      <c r="J3148" s="15" t="n">
        <f aca="false">IF(B3148="SITE LOSS",IF(D3148=C3148,1,0),IF(B3148="REGION LOSS",IF(E3148=C3148,1,0),0))</f>
        <v>0</v>
      </c>
      <c r="K3148" s="15" t="n">
        <f aca="false">IF(B3148="SITE LOSS",IF(COUNTIFS('Site Dockets'!$B$7:$B$24,C3148,'Site Dockets'!$C$7:$C$24,F3148)&gt;0,1,0),IF(B3148="REGION LOSS",IF(COUNTIFS('Site Dockets'!$E$7:$E$24,C3148,'Site Dockets'!$C$7:$C$24,F3148)&gt;0,1,0),0))</f>
        <v>0</v>
      </c>
      <c r="L3148" s="15" t="n">
        <f aca="false">IF(J3148=1,0,Inputs!$B$11)</f>
        <v>100</v>
      </c>
      <c r="M3148" s="15" t="n">
        <f aca="false">IF(J3148=1,0,Inputs!$B$12)</f>
        <v>75</v>
      </c>
      <c r="N3148" s="15" t="n">
        <f aca="false">IF(J3148=1,0,IF(OR(AND(OR(B3148="SITE LOSS",B3148="REGION LOSS"),K3148=1),AND(B3148="ROLE COMPROMISE",H3148=C3148)),Inputs!$B$13,Inputs!$B$14))</f>
        <v>10</v>
      </c>
      <c r="O3148" s="15" t="n">
        <f aca="false">IF(J3148=1,0,Inputs!$B$13)</f>
        <v>20</v>
      </c>
      <c r="P3148" s="15" t="n">
        <f aca="false">SUM(M3148:N3148)</f>
        <v>85</v>
      </c>
      <c r="Q3148" s="15" t="n">
        <f aca="false">IF(J3148=1,"",L3148-P3148)</f>
        <v>15</v>
      </c>
      <c r="R3148" s="15" t="n">
        <f aca="false">IF(OR(J3148=1,M3148&lt;=Inputs!$B$12),1,0)</f>
        <v>1</v>
      </c>
      <c r="S3148" s="15" t="n">
        <f aca="false">IF(OR(J3148=1,N3148&lt;=O3148),1,0)</f>
        <v>1</v>
      </c>
      <c r="T3148" s="15" t="str">
        <f aca="false">IF(J3148=1,"OFFLINE",IF(AND(Q3148&gt;=Inputs!$B$15,R3148=1,S3148=1,P3148&lt;=L3148),"PASS","FAIL"))</f>
        <v>PASS</v>
      </c>
    </row>
    <row r="3149" customFormat="false" ht="15" hidden="false" customHeight="false" outlineLevel="0" collapsed="false">
      <c r="A3149" s="14" t="s">
        <v>1054</v>
      </c>
      <c r="B3149" s="14" t="s">
        <v>1055</v>
      </c>
      <c r="C3149" s="14" t="s">
        <v>1056</v>
      </c>
      <c r="D3149" s="14" t="s">
        <v>156</v>
      </c>
      <c r="E3149" s="14" t="s">
        <v>157</v>
      </c>
      <c r="F3149" s="14" t="s">
        <v>150</v>
      </c>
      <c r="G3149" s="14" t="n">
        <v>2</v>
      </c>
      <c r="H3149" s="14" t="s">
        <v>153</v>
      </c>
      <c r="I3149" s="14" t="s">
        <v>897</v>
      </c>
      <c r="J3149" s="15" t="n">
        <f aca="false">IF(B3149="SITE LOSS",IF(D3149=C3149,1,0),IF(B3149="REGION LOSS",IF(E3149=C3149,1,0),0))</f>
        <v>0</v>
      </c>
      <c r="K3149" s="15" t="n">
        <f aca="false">IF(B3149="SITE LOSS",IF(COUNTIFS('Site Dockets'!$B$7:$B$24,C3149,'Site Dockets'!$C$7:$C$24,F3149)&gt;0,1,0),IF(B3149="REGION LOSS",IF(COUNTIFS('Site Dockets'!$E$7:$E$24,C3149,'Site Dockets'!$C$7:$C$24,F3149)&gt;0,1,0),0))</f>
        <v>0</v>
      </c>
      <c r="L3149" s="15" t="n">
        <f aca="false">IF(J3149=1,0,Inputs!$B$11)</f>
        <v>100</v>
      </c>
      <c r="M3149" s="15" t="n">
        <f aca="false">IF(J3149=1,0,Inputs!$B$12)</f>
        <v>75</v>
      </c>
      <c r="N3149" s="15" t="n">
        <f aca="false">IF(J3149=1,0,IF(OR(AND(OR(B3149="SITE LOSS",B3149="REGION LOSS"),K3149=1),AND(B3149="ROLE COMPROMISE",H3149=C3149)),Inputs!$B$13,Inputs!$B$14))</f>
        <v>10</v>
      </c>
      <c r="O3149" s="15" t="n">
        <f aca="false">IF(J3149=1,0,Inputs!$B$13)</f>
        <v>20</v>
      </c>
      <c r="P3149" s="15" t="n">
        <f aca="false">SUM(M3149:N3149)</f>
        <v>85</v>
      </c>
      <c r="Q3149" s="15" t="n">
        <f aca="false">IF(J3149=1,"",L3149-P3149)</f>
        <v>15</v>
      </c>
      <c r="R3149" s="15" t="n">
        <f aca="false">IF(OR(J3149=1,M3149&lt;=Inputs!$B$12),1,0)</f>
        <v>1</v>
      </c>
      <c r="S3149" s="15" t="n">
        <f aca="false">IF(OR(J3149=1,N3149&lt;=O3149),1,0)</f>
        <v>1</v>
      </c>
      <c r="T3149" s="15" t="str">
        <f aca="false">IF(J3149=1,"OFFLINE",IF(AND(Q3149&gt;=Inputs!$B$15,R3149=1,S3149=1,P3149&lt;=L3149),"PASS","FAIL"))</f>
        <v>PASS</v>
      </c>
    </row>
    <row r="3150" customFormat="false" ht="15" hidden="false" customHeight="false" outlineLevel="0" collapsed="false">
      <c r="A3150" s="14" t="s">
        <v>1054</v>
      </c>
      <c r="B3150" s="14" t="s">
        <v>1055</v>
      </c>
      <c r="C3150" s="14" t="s">
        <v>1056</v>
      </c>
      <c r="D3150" s="14" t="s">
        <v>156</v>
      </c>
      <c r="E3150" s="14" t="s">
        <v>157</v>
      </c>
      <c r="F3150" s="14" t="s">
        <v>150</v>
      </c>
      <c r="G3150" s="14" t="n">
        <v>2</v>
      </c>
      <c r="H3150" s="14" t="s">
        <v>153</v>
      </c>
      <c r="I3150" s="14" t="s">
        <v>899</v>
      </c>
      <c r="J3150" s="15" t="n">
        <f aca="false">IF(B3150="SITE LOSS",IF(D3150=C3150,1,0),IF(B3150="REGION LOSS",IF(E3150=C3150,1,0),0))</f>
        <v>0</v>
      </c>
      <c r="K3150" s="15" t="n">
        <f aca="false">IF(B3150="SITE LOSS",IF(COUNTIFS('Site Dockets'!$B$7:$B$24,C3150,'Site Dockets'!$C$7:$C$24,F3150)&gt;0,1,0),IF(B3150="REGION LOSS",IF(COUNTIFS('Site Dockets'!$E$7:$E$24,C3150,'Site Dockets'!$C$7:$C$24,F3150)&gt;0,1,0),0))</f>
        <v>0</v>
      </c>
      <c r="L3150" s="15" t="n">
        <f aca="false">IF(J3150=1,0,Inputs!$B$11)</f>
        <v>100</v>
      </c>
      <c r="M3150" s="15" t="n">
        <f aca="false">IF(J3150=1,0,Inputs!$B$12)</f>
        <v>75</v>
      </c>
      <c r="N3150" s="15" t="n">
        <f aca="false">IF(J3150=1,0,IF(OR(AND(OR(B3150="SITE LOSS",B3150="REGION LOSS"),K3150=1),AND(B3150="ROLE COMPROMISE",H3150=C3150)),Inputs!$B$13,Inputs!$B$14))</f>
        <v>10</v>
      </c>
      <c r="O3150" s="15" t="n">
        <f aca="false">IF(J3150=1,0,Inputs!$B$13)</f>
        <v>20</v>
      </c>
      <c r="P3150" s="15" t="n">
        <f aca="false">SUM(M3150:N3150)</f>
        <v>85</v>
      </c>
      <c r="Q3150" s="15" t="n">
        <f aca="false">IF(J3150=1,"",L3150-P3150)</f>
        <v>15</v>
      </c>
      <c r="R3150" s="15" t="n">
        <f aca="false">IF(OR(J3150=1,M3150&lt;=Inputs!$B$12),1,0)</f>
        <v>1</v>
      </c>
      <c r="S3150" s="15" t="n">
        <f aca="false">IF(OR(J3150=1,N3150&lt;=O3150),1,0)</f>
        <v>1</v>
      </c>
      <c r="T3150" s="15" t="str">
        <f aca="false">IF(J3150=1,"OFFLINE",IF(AND(Q3150&gt;=Inputs!$B$15,R3150=1,S3150=1,P3150&lt;=L3150),"PASS","FAIL"))</f>
        <v>PASS</v>
      </c>
    </row>
    <row r="3151" customFormat="false" ht="15" hidden="false" customHeight="false" outlineLevel="0" collapsed="false">
      <c r="A3151" s="14" t="s">
        <v>1054</v>
      </c>
      <c r="B3151" s="14" t="s">
        <v>1055</v>
      </c>
      <c r="C3151" s="14" t="s">
        <v>1056</v>
      </c>
      <c r="D3151" s="14" t="s">
        <v>160</v>
      </c>
      <c r="E3151" s="14" t="s">
        <v>161</v>
      </c>
      <c r="F3151" s="14" t="s">
        <v>150</v>
      </c>
      <c r="G3151" s="14" t="n">
        <v>3</v>
      </c>
      <c r="H3151" s="14" t="s">
        <v>158</v>
      </c>
      <c r="I3151" s="14" t="s">
        <v>890</v>
      </c>
      <c r="J3151" s="15" t="n">
        <f aca="false">IF(B3151="SITE LOSS",IF(D3151=C3151,1,0),IF(B3151="REGION LOSS",IF(E3151=C3151,1,0),0))</f>
        <v>0</v>
      </c>
      <c r="K3151" s="15" t="n">
        <f aca="false">IF(B3151="SITE LOSS",IF(COUNTIFS('Site Dockets'!$B$7:$B$24,C3151,'Site Dockets'!$C$7:$C$24,F3151)&gt;0,1,0),IF(B3151="REGION LOSS",IF(COUNTIFS('Site Dockets'!$E$7:$E$24,C3151,'Site Dockets'!$C$7:$C$24,F3151)&gt;0,1,0),0))</f>
        <v>0</v>
      </c>
      <c r="L3151" s="15" t="n">
        <f aca="false">IF(J3151=1,0,Inputs!$B$11)</f>
        <v>100</v>
      </c>
      <c r="M3151" s="15" t="n">
        <f aca="false">IF(J3151=1,0,Inputs!$B$12)</f>
        <v>75</v>
      </c>
      <c r="N3151" s="15" t="n">
        <f aca="false">IF(J3151=1,0,IF(OR(AND(OR(B3151="SITE LOSS",B3151="REGION LOSS"),K3151=1),AND(B3151="ROLE COMPROMISE",H3151=C3151)),Inputs!$B$13,Inputs!$B$14))</f>
        <v>10</v>
      </c>
      <c r="O3151" s="15" t="n">
        <f aca="false">IF(J3151=1,0,Inputs!$B$13)</f>
        <v>20</v>
      </c>
      <c r="P3151" s="15" t="n">
        <f aca="false">SUM(M3151:N3151)</f>
        <v>85</v>
      </c>
      <c r="Q3151" s="15" t="n">
        <f aca="false">IF(J3151=1,"",L3151-P3151)</f>
        <v>15</v>
      </c>
      <c r="R3151" s="15" t="n">
        <f aca="false">IF(OR(J3151=1,M3151&lt;=Inputs!$B$12),1,0)</f>
        <v>1</v>
      </c>
      <c r="S3151" s="15" t="n">
        <f aca="false">IF(OR(J3151=1,N3151&lt;=O3151),1,0)</f>
        <v>1</v>
      </c>
      <c r="T3151" s="15" t="str">
        <f aca="false">IF(J3151=1,"OFFLINE",IF(AND(Q3151&gt;=Inputs!$B$15,R3151=1,S3151=1,P3151&lt;=L3151),"PASS","FAIL"))</f>
        <v>PASS</v>
      </c>
    </row>
    <row r="3152" customFormat="false" ht="15" hidden="false" customHeight="false" outlineLevel="0" collapsed="false">
      <c r="A3152" s="14" t="s">
        <v>1054</v>
      </c>
      <c r="B3152" s="14" t="s">
        <v>1055</v>
      </c>
      <c r="C3152" s="14" t="s">
        <v>1056</v>
      </c>
      <c r="D3152" s="14" t="s">
        <v>160</v>
      </c>
      <c r="E3152" s="14" t="s">
        <v>161</v>
      </c>
      <c r="F3152" s="14" t="s">
        <v>150</v>
      </c>
      <c r="G3152" s="14" t="n">
        <v>3</v>
      </c>
      <c r="H3152" s="14" t="s">
        <v>158</v>
      </c>
      <c r="I3152" s="14" t="s">
        <v>892</v>
      </c>
      <c r="J3152" s="15" t="n">
        <f aca="false">IF(B3152="SITE LOSS",IF(D3152=C3152,1,0),IF(B3152="REGION LOSS",IF(E3152=C3152,1,0),0))</f>
        <v>0</v>
      </c>
      <c r="K3152" s="15" t="n">
        <f aca="false">IF(B3152="SITE LOSS",IF(COUNTIFS('Site Dockets'!$B$7:$B$24,C3152,'Site Dockets'!$C$7:$C$24,F3152)&gt;0,1,0),IF(B3152="REGION LOSS",IF(COUNTIFS('Site Dockets'!$E$7:$E$24,C3152,'Site Dockets'!$C$7:$C$24,F3152)&gt;0,1,0),0))</f>
        <v>0</v>
      </c>
      <c r="L3152" s="15" t="n">
        <f aca="false">IF(J3152=1,0,Inputs!$B$11)</f>
        <v>100</v>
      </c>
      <c r="M3152" s="15" t="n">
        <f aca="false">IF(J3152=1,0,Inputs!$B$12)</f>
        <v>75</v>
      </c>
      <c r="N3152" s="15" t="n">
        <f aca="false">IF(J3152=1,0,IF(OR(AND(OR(B3152="SITE LOSS",B3152="REGION LOSS"),K3152=1),AND(B3152="ROLE COMPROMISE",H3152=C3152)),Inputs!$B$13,Inputs!$B$14))</f>
        <v>10</v>
      </c>
      <c r="O3152" s="15" t="n">
        <f aca="false">IF(J3152=1,0,Inputs!$B$13)</f>
        <v>20</v>
      </c>
      <c r="P3152" s="15" t="n">
        <f aca="false">SUM(M3152:N3152)</f>
        <v>85</v>
      </c>
      <c r="Q3152" s="15" t="n">
        <f aca="false">IF(J3152=1,"",L3152-P3152)</f>
        <v>15</v>
      </c>
      <c r="R3152" s="15" t="n">
        <f aca="false">IF(OR(J3152=1,M3152&lt;=Inputs!$B$12),1,0)</f>
        <v>1</v>
      </c>
      <c r="S3152" s="15" t="n">
        <f aca="false">IF(OR(J3152=1,N3152&lt;=O3152),1,0)</f>
        <v>1</v>
      </c>
      <c r="T3152" s="15" t="str">
        <f aca="false">IF(J3152=1,"OFFLINE",IF(AND(Q3152&gt;=Inputs!$B$15,R3152=1,S3152=1,P3152&lt;=L3152),"PASS","FAIL"))</f>
        <v>PASS</v>
      </c>
    </row>
    <row r="3153" customFormat="false" ht="15" hidden="false" customHeight="false" outlineLevel="0" collapsed="false">
      <c r="A3153" s="14" t="s">
        <v>1054</v>
      </c>
      <c r="B3153" s="14" t="s">
        <v>1055</v>
      </c>
      <c r="C3153" s="14" t="s">
        <v>1056</v>
      </c>
      <c r="D3153" s="14" t="s">
        <v>160</v>
      </c>
      <c r="E3153" s="14" t="s">
        <v>161</v>
      </c>
      <c r="F3153" s="14" t="s">
        <v>150</v>
      </c>
      <c r="G3153" s="14" t="n">
        <v>3</v>
      </c>
      <c r="H3153" s="14" t="s">
        <v>158</v>
      </c>
      <c r="I3153" s="14" t="s">
        <v>811</v>
      </c>
      <c r="J3153" s="15" t="n">
        <f aca="false">IF(B3153="SITE LOSS",IF(D3153=C3153,1,0),IF(B3153="REGION LOSS",IF(E3153=C3153,1,0),0))</f>
        <v>0</v>
      </c>
      <c r="K3153" s="15" t="n">
        <f aca="false">IF(B3153="SITE LOSS",IF(COUNTIFS('Site Dockets'!$B$7:$B$24,C3153,'Site Dockets'!$C$7:$C$24,F3153)&gt;0,1,0),IF(B3153="REGION LOSS",IF(COUNTIFS('Site Dockets'!$E$7:$E$24,C3153,'Site Dockets'!$C$7:$C$24,F3153)&gt;0,1,0),0))</f>
        <v>0</v>
      </c>
      <c r="L3153" s="15" t="n">
        <f aca="false">IF(J3153=1,0,Inputs!$B$11)</f>
        <v>100</v>
      </c>
      <c r="M3153" s="15" t="n">
        <f aca="false">IF(J3153=1,0,Inputs!$B$12)</f>
        <v>75</v>
      </c>
      <c r="N3153" s="15" t="n">
        <f aca="false">IF(J3153=1,0,IF(OR(AND(OR(B3153="SITE LOSS",B3153="REGION LOSS"),K3153=1),AND(B3153="ROLE COMPROMISE",H3153=C3153)),Inputs!$B$13,Inputs!$B$14))</f>
        <v>10</v>
      </c>
      <c r="O3153" s="15" t="n">
        <f aca="false">IF(J3153=1,0,Inputs!$B$13)</f>
        <v>20</v>
      </c>
      <c r="P3153" s="15" t="n">
        <f aca="false">SUM(M3153:N3153)</f>
        <v>85</v>
      </c>
      <c r="Q3153" s="15" t="n">
        <f aca="false">IF(J3153=1,"",L3153-P3153)</f>
        <v>15</v>
      </c>
      <c r="R3153" s="15" t="n">
        <f aca="false">IF(OR(J3153=1,M3153&lt;=Inputs!$B$12),1,0)</f>
        <v>1</v>
      </c>
      <c r="S3153" s="15" t="n">
        <f aca="false">IF(OR(J3153=1,N3153&lt;=O3153),1,0)</f>
        <v>1</v>
      </c>
      <c r="T3153" s="15" t="str">
        <f aca="false">IF(J3153=1,"OFFLINE",IF(AND(Q3153&gt;=Inputs!$B$15,R3153=1,S3153=1,P3153&lt;=L3153),"PASS","FAIL"))</f>
        <v>PASS</v>
      </c>
    </row>
    <row r="3154" customFormat="false" ht="15" hidden="false" customHeight="false" outlineLevel="0" collapsed="false">
      <c r="A3154" s="14" t="s">
        <v>1054</v>
      </c>
      <c r="B3154" s="14" t="s">
        <v>1055</v>
      </c>
      <c r="C3154" s="14" t="s">
        <v>1056</v>
      </c>
      <c r="D3154" s="14" t="s">
        <v>160</v>
      </c>
      <c r="E3154" s="14" t="s">
        <v>161</v>
      </c>
      <c r="F3154" s="14" t="s">
        <v>150</v>
      </c>
      <c r="G3154" s="14" t="n">
        <v>3</v>
      </c>
      <c r="H3154" s="14" t="s">
        <v>158</v>
      </c>
      <c r="I3154" s="14" t="s">
        <v>895</v>
      </c>
      <c r="J3154" s="15" t="n">
        <f aca="false">IF(B3154="SITE LOSS",IF(D3154=C3154,1,0),IF(B3154="REGION LOSS",IF(E3154=C3154,1,0),0))</f>
        <v>0</v>
      </c>
      <c r="K3154" s="15" t="n">
        <f aca="false">IF(B3154="SITE LOSS",IF(COUNTIFS('Site Dockets'!$B$7:$B$24,C3154,'Site Dockets'!$C$7:$C$24,F3154)&gt;0,1,0),IF(B3154="REGION LOSS",IF(COUNTIFS('Site Dockets'!$E$7:$E$24,C3154,'Site Dockets'!$C$7:$C$24,F3154)&gt;0,1,0),0))</f>
        <v>0</v>
      </c>
      <c r="L3154" s="15" t="n">
        <f aca="false">IF(J3154=1,0,Inputs!$B$11)</f>
        <v>100</v>
      </c>
      <c r="M3154" s="15" t="n">
        <f aca="false">IF(J3154=1,0,Inputs!$B$12)</f>
        <v>75</v>
      </c>
      <c r="N3154" s="15" t="n">
        <f aca="false">IF(J3154=1,0,IF(OR(AND(OR(B3154="SITE LOSS",B3154="REGION LOSS"),K3154=1),AND(B3154="ROLE COMPROMISE",H3154=C3154)),Inputs!$B$13,Inputs!$B$14))</f>
        <v>10</v>
      </c>
      <c r="O3154" s="15" t="n">
        <f aca="false">IF(J3154=1,0,Inputs!$B$13)</f>
        <v>20</v>
      </c>
      <c r="P3154" s="15" t="n">
        <f aca="false">SUM(M3154:N3154)</f>
        <v>85</v>
      </c>
      <c r="Q3154" s="15" t="n">
        <f aca="false">IF(J3154=1,"",L3154-P3154)</f>
        <v>15</v>
      </c>
      <c r="R3154" s="15" t="n">
        <f aca="false">IF(OR(J3154=1,M3154&lt;=Inputs!$B$12),1,0)</f>
        <v>1</v>
      </c>
      <c r="S3154" s="15" t="n">
        <f aca="false">IF(OR(J3154=1,N3154&lt;=O3154),1,0)</f>
        <v>1</v>
      </c>
      <c r="T3154" s="15" t="str">
        <f aca="false">IF(J3154=1,"OFFLINE",IF(AND(Q3154&gt;=Inputs!$B$15,R3154=1,S3154=1,P3154&lt;=L3154),"PASS","FAIL"))</f>
        <v>PASS</v>
      </c>
    </row>
    <row r="3155" customFormat="false" ht="15" hidden="false" customHeight="false" outlineLevel="0" collapsed="false">
      <c r="A3155" s="14" t="s">
        <v>1054</v>
      </c>
      <c r="B3155" s="14" t="s">
        <v>1055</v>
      </c>
      <c r="C3155" s="14" t="s">
        <v>1056</v>
      </c>
      <c r="D3155" s="14" t="s">
        <v>160</v>
      </c>
      <c r="E3155" s="14" t="s">
        <v>161</v>
      </c>
      <c r="F3155" s="14" t="s">
        <v>150</v>
      </c>
      <c r="G3155" s="14" t="n">
        <v>3</v>
      </c>
      <c r="H3155" s="14" t="s">
        <v>158</v>
      </c>
      <c r="I3155" s="14" t="s">
        <v>897</v>
      </c>
      <c r="J3155" s="15" t="n">
        <f aca="false">IF(B3155="SITE LOSS",IF(D3155=C3155,1,0),IF(B3155="REGION LOSS",IF(E3155=C3155,1,0),0))</f>
        <v>0</v>
      </c>
      <c r="K3155" s="15" t="n">
        <f aca="false">IF(B3155="SITE LOSS",IF(COUNTIFS('Site Dockets'!$B$7:$B$24,C3155,'Site Dockets'!$C$7:$C$24,F3155)&gt;0,1,0),IF(B3155="REGION LOSS",IF(COUNTIFS('Site Dockets'!$E$7:$E$24,C3155,'Site Dockets'!$C$7:$C$24,F3155)&gt;0,1,0),0))</f>
        <v>0</v>
      </c>
      <c r="L3155" s="15" t="n">
        <f aca="false">IF(J3155=1,0,Inputs!$B$11)</f>
        <v>100</v>
      </c>
      <c r="M3155" s="15" t="n">
        <f aca="false">IF(J3155=1,0,Inputs!$B$12)</f>
        <v>75</v>
      </c>
      <c r="N3155" s="15" t="n">
        <f aca="false">IF(J3155=1,0,IF(OR(AND(OR(B3155="SITE LOSS",B3155="REGION LOSS"),K3155=1),AND(B3155="ROLE COMPROMISE",H3155=C3155)),Inputs!$B$13,Inputs!$B$14))</f>
        <v>10</v>
      </c>
      <c r="O3155" s="15" t="n">
        <f aca="false">IF(J3155=1,0,Inputs!$B$13)</f>
        <v>20</v>
      </c>
      <c r="P3155" s="15" t="n">
        <f aca="false">SUM(M3155:N3155)</f>
        <v>85</v>
      </c>
      <c r="Q3155" s="15" t="n">
        <f aca="false">IF(J3155=1,"",L3155-P3155)</f>
        <v>15</v>
      </c>
      <c r="R3155" s="15" t="n">
        <f aca="false">IF(OR(J3155=1,M3155&lt;=Inputs!$B$12),1,0)</f>
        <v>1</v>
      </c>
      <c r="S3155" s="15" t="n">
        <f aca="false">IF(OR(J3155=1,N3155&lt;=O3155),1,0)</f>
        <v>1</v>
      </c>
      <c r="T3155" s="15" t="str">
        <f aca="false">IF(J3155=1,"OFFLINE",IF(AND(Q3155&gt;=Inputs!$B$15,R3155=1,S3155=1,P3155&lt;=L3155),"PASS","FAIL"))</f>
        <v>PASS</v>
      </c>
    </row>
    <row r="3156" customFormat="false" ht="15" hidden="false" customHeight="false" outlineLevel="0" collapsed="false">
      <c r="A3156" s="14" t="s">
        <v>1054</v>
      </c>
      <c r="B3156" s="14" t="s">
        <v>1055</v>
      </c>
      <c r="C3156" s="14" t="s">
        <v>1056</v>
      </c>
      <c r="D3156" s="14" t="s">
        <v>160</v>
      </c>
      <c r="E3156" s="14" t="s">
        <v>161</v>
      </c>
      <c r="F3156" s="14" t="s">
        <v>150</v>
      </c>
      <c r="G3156" s="14" t="n">
        <v>3</v>
      </c>
      <c r="H3156" s="14" t="s">
        <v>158</v>
      </c>
      <c r="I3156" s="14" t="s">
        <v>899</v>
      </c>
      <c r="J3156" s="15" t="n">
        <f aca="false">IF(B3156="SITE LOSS",IF(D3156=C3156,1,0),IF(B3156="REGION LOSS",IF(E3156=C3156,1,0),0))</f>
        <v>0</v>
      </c>
      <c r="K3156" s="15" t="n">
        <f aca="false">IF(B3156="SITE LOSS",IF(COUNTIFS('Site Dockets'!$B$7:$B$24,C3156,'Site Dockets'!$C$7:$C$24,F3156)&gt;0,1,0),IF(B3156="REGION LOSS",IF(COUNTIFS('Site Dockets'!$E$7:$E$24,C3156,'Site Dockets'!$C$7:$C$24,F3156)&gt;0,1,0),0))</f>
        <v>0</v>
      </c>
      <c r="L3156" s="15" t="n">
        <f aca="false">IF(J3156=1,0,Inputs!$B$11)</f>
        <v>100</v>
      </c>
      <c r="M3156" s="15" t="n">
        <f aca="false">IF(J3156=1,0,Inputs!$B$12)</f>
        <v>75</v>
      </c>
      <c r="N3156" s="15" t="n">
        <f aca="false">IF(J3156=1,0,IF(OR(AND(OR(B3156="SITE LOSS",B3156="REGION LOSS"),K3156=1),AND(B3156="ROLE COMPROMISE",H3156=C3156)),Inputs!$B$13,Inputs!$B$14))</f>
        <v>10</v>
      </c>
      <c r="O3156" s="15" t="n">
        <f aca="false">IF(J3156=1,0,Inputs!$B$13)</f>
        <v>20</v>
      </c>
      <c r="P3156" s="15" t="n">
        <f aca="false">SUM(M3156:N3156)</f>
        <v>85</v>
      </c>
      <c r="Q3156" s="15" t="n">
        <f aca="false">IF(J3156=1,"",L3156-P3156)</f>
        <v>15</v>
      </c>
      <c r="R3156" s="15" t="n">
        <f aca="false">IF(OR(J3156=1,M3156&lt;=Inputs!$B$12),1,0)</f>
        <v>1</v>
      </c>
      <c r="S3156" s="15" t="n">
        <f aca="false">IF(OR(J3156=1,N3156&lt;=O3156),1,0)</f>
        <v>1</v>
      </c>
      <c r="T3156" s="15" t="str">
        <f aca="false">IF(J3156=1,"OFFLINE",IF(AND(Q3156&gt;=Inputs!$B$15,R3156=1,S3156=1,P3156&lt;=L3156),"PASS","FAIL"))</f>
        <v>PASS</v>
      </c>
    </row>
    <row r="3157" customFormat="false" ht="15" hidden="false" customHeight="false" outlineLevel="0" collapsed="false">
      <c r="A3157" s="14" t="s">
        <v>1054</v>
      </c>
      <c r="B3157" s="14" t="s">
        <v>1055</v>
      </c>
      <c r="C3157" s="14" t="s">
        <v>1056</v>
      </c>
      <c r="D3157" s="14" t="s">
        <v>163</v>
      </c>
      <c r="E3157" s="14" t="s">
        <v>166</v>
      </c>
      <c r="F3157" s="14" t="s">
        <v>164</v>
      </c>
      <c r="G3157" s="14" t="n">
        <v>1</v>
      </c>
      <c r="H3157" s="14" t="s">
        <v>154</v>
      </c>
      <c r="I3157" s="14" t="s">
        <v>890</v>
      </c>
      <c r="J3157" s="15" t="n">
        <f aca="false">IF(B3157="SITE LOSS",IF(D3157=C3157,1,0),IF(B3157="REGION LOSS",IF(E3157=C3157,1,0),0))</f>
        <v>0</v>
      </c>
      <c r="K3157" s="15" t="n">
        <f aca="false">IF(B3157="SITE LOSS",IF(COUNTIFS('Site Dockets'!$B$7:$B$24,C3157,'Site Dockets'!$C$7:$C$24,F3157)&gt;0,1,0),IF(B3157="REGION LOSS",IF(COUNTIFS('Site Dockets'!$E$7:$E$24,C3157,'Site Dockets'!$C$7:$C$24,F3157)&gt;0,1,0),0))</f>
        <v>0</v>
      </c>
      <c r="L3157" s="15" t="n">
        <f aca="false">IF(J3157=1,0,Inputs!$B$11)</f>
        <v>100</v>
      </c>
      <c r="M3157" s="15" t="n">
        <f aca="false">IF(J3157=1,0,Inputs!$B$12)</f>
        <v>75</v>
      </c>
      <c r="N3157" s="15" t="n">
        <f aca="false">IF(J3157=1,0,IF(OR(AND(OR(B3157="SITE LOSS",B3157="REGION LOSS"),K3157=1),AND(B3157="ROLE COMPROMISE",H3157=C3157)),Inputs!$B$13,Inputs!$B$14))</f>
        <v>10</v>
      </c>
      <c r="O3157" s="15" t="n">
        <f aca="false">IF(J3157=1,0,Inputs!$B$13)</f>
        <v>20</v>
      </c>
      <c r="P3157" s="15" t="n">
        <f aca="false">SUM(M3157:N3157)</f>
        <v>85</v>
      </c>
      <c r="Q3157" s="15" t="n">
        <f aca="false">IF(J3157=1,"",L3157-P3157)</f>
        <v>15</v>
      </c>
      <c r="R3157" s="15" t="n">
        <f aca="false">IF(OR(J3157=1,M3157&lt;=Inputs!$B$12),1,0)</f>
        <v>1</v>
      </c>
      <c r="S3157" s="15" t="n">
        <f aca="false">IF(OR(J3157=1,N3157&lt;=O3157),1,0)</f>
        <v>1</v>
      </c>
      <c r="T3157" s="15" t="str">
        <f aca="false">IF(J3157=1,"OFFLINE",IF(AND(Q3157&gt;=Inputs!$B$15,R3157=1,S3157=1,P3157&lt;=L3157),"PASS","FAIL"))</f>
        <v>PASS</v>
      </c>
    </row>
    <row r="3158" customFormat="false" ht="15" hidden="false" customHeight="false" outlineLevel="0" collapsed="false">
      <c r="A3158" s="14" t="s">
        <v>1054</v>
      </c>
      <c r="B3158" s="14" t="s">
        <v>1055</v>
      </c>
      <c r="C3158" s="14" t="s">
        <v>1056</v>
      </c>
      <c r="D3158" s="14" t="s">
        <v>163</v>
      </c>
      <c r="E3158" s="14" t="s">
        <v>166</v>
      </c>
      <c r="F3158" s="14" t="s">
        <v>164</v>
      </c>
      <c r="G3158" s="14" t="n">
        <v>1</v>
      </c>
      <c r="H3158" s="14" t="s">
        <v>154</v>
      </c>
      <c r="I3158" s="14" t="s">
        <v>892</v>
      </c>
      <c r="J3158" s="15" t="n">
        <f aca="false">IF(B3158="SITE LOSS",IF(D3158=C3158,1,0),IF(B3158="REGION LOSS",IF(E3158=C3158,1,0),0))</f>
        <v>0</v>
      </c>
      <c r="K3158" s="15" t="n">
        <f aca="false">IF(B3158="SITE LOSS",IF(COUNTIFS('Site Dockets'!$B$7:$B$24,C3158,'Site Dockets'!$C$7:$C$24,F3158)&gt;0,1,0),IF(B3158="REGION LOSS",IF(COUNTIFS('Site Dockets'!$E$7:$E$24,C3158,'Site Dockets'!$C$7:$C$24,F3158)&gt;0,1,0),0))</f>
        <v>0</v>
      </c>
      <c r="L3158" s="15" t="n">
        <f aca="false">IF(J3158=1,0,Inputs!$B$11)</f>
        <v>100</v>
      </c>
      <c r="M3158" s="15" t="n">
        <f aca="false">IF(J3158=1,0,Inputs!$B$12)</f>
        <v>75</v>
      </c>
      <c r="N3158" s="15" t="n">
        <f aca="false">IF(J3158=1,0,IF(OR(AND(OR(B3158="SITE LOSS",B3158="REGION LOSS"),K3158=1),AND(B3158="ROLE COMPROMISE",H3158=C3158)),Inputs!$B$13,Inputs!$B$14))</f>
        <v>10</v>
      </c>
      <c r="O3158" s="15" t="n">
        <f aca="false">IF(J3158=1,0,Inputs!$B$13)</f>
        <v>20</v>
      </c>
      <c r="P3158" s="15" t="n">
        <f aca="false">SUM(M3158:N3158)</f>
        <v>85</v>
      </c>
      <c r="Q3158" s="15" t="n">
        <f aca="false">IF(J3158=1,"",L3158-P3158)</f>
        <v>15</v>
      </c>
      <c r="R3158" s="15" t="n">
        <f aca="false">IF(OR(J3158=1,M3158&lt;=Inputs!$B$12),1,0)</f>
        <v>1</v>
      </c>
      <c r="S3158" s="15" t="n">
        <f aca="false">IF(OR(J3158=1,N3158&lt;=O3158),1,0)</f>
        <v>1</v>
      </c>
      <c r="T3158" s="15" t="str">
        <f aca="false">IF(J3158=1,"OFFLINE",IF(AND(Q3158&gt;=Inputs!$B$15,R3158=1,S3158=1,P3158&lt;=L3158),"PASS","FAIL"))</f>
        <v>PASS</v>
      </c>
    </row>
    <row r="3159" customFormat="false" ht="15" hidden="false" customHeight="false" outlineLevel="0" collapsed="false">
      <c r="A3159" s="14" t="s">
        <v>1054</v>
      </c>
      <c r="B3159" s="14" t="s">
        <v>1055</v>
      </c>
      <c r="C3159" s="14" t="s">
        <v>1056</v>
      </c>
      <c r="D3159" s="14" t="s">
        <v>163</v>
      </c>
      <c r="E3159" s="14" t="s">
        <v>166</v>
      </c>
      <c r="F3159" s="14" t="s">
        <v>164</v>
      </c>
      <c r="G3159" s="14" t="n">
        <v>1</v>
      </c>
      <c r="H3159" s="14" t="s">
        <v>154</v>
      </c>
      <c r="I3159" s="14" t="s">
        <v>811</v>
      </c>
      <c r="J3159" s="15" t="n">
        <f aca="false">IF(B3159="SITE LOSS",IF(D3159=C3159,1,0),IF(B3159="REGION LOSS",IF(E3159=C3159,1,0),0))</f>
        <v>0</v>
      </c>
      <c r="K3159" s="15" t="n">
        <f aca="false">IF(B3159="SITE LOSS",IF(COUNTIFS('Site Dockets'!$B$7:$B$24,C3159,'Site Dockets'!$C$7:$C$24,F3159)&gt;0,1,0),IF(B3159="REGION LOSS",IF(COUNTIFS('Site Dockets'!$E$7:$E$24,C3159,'Site Dockets'!$C$7:$C$24,F3159)&gt;0,1,0),0))</f>
        <v>0</v>
      </c>
      <c r="L3159" s="15" t="n">
        <f aca="false">IF(J3159=1,0,Inputs!$B$11)</f>
        <v>100</v>
      </c>
      <c r="M3159" s="15" t="n">
        <f aca="false">IF(J3159=1,0,Inputs!$B$12)</f>
        <v>75</v>
      </c>
      <c r="N3159" s="15" t="n">
        <f aca="false">IF(J3159=1,0,IF(OR(AND(OR(B3159="SITE LOSS",B3159="REGION LOSS"),K3159=1),AND(B3159="ROLE COMPROMISE",H3159=C3159)),Inputs!$B$13,Inputs!$B$14))</f>
        <v>10</v>
      </c>
      <c r="O3159" s="15" t="n">
        <f aca="false">IF(J3159=1,0,Inputs!$B$13)</f>
        <v>20</v>
      </c>
      <c r="P3159" s="15" t="n">
        <f aca="false">SUM(M3159:N3159)</f>
        <v>85</v>
      </c>
      <c r="Q3159" s="15" t="n">
        <f aca="false">IF(J3159=1,"",L3159-P3159)</f>
        <v>15</v>
      </c>
      <c r="R3159" s="15" t="n">
        <f aca="false">IF(OR(J3159=1,M3159&lt;=Inputs!$B$12),1,0)</f>
        <v>1</v>
      </c>
      <c r="S3159" s="15" t="n">
        <f aca="false">IF(OR(J3159=1,N3159&lt;=O3159),1,0)</f>
        <v>1</v>
      </c>
      <c r="T3159" s="15" t="str">
        <f aca="false">IF(J3159=1,"OFFLINE",IF(AND(Q3159&gt;=Inputs!$B$15,R3159=1,S3159=1,P3159&lt;=L3159),"PASS","FAIL"))</f>
        <v>PASS</v>
      </c>
    </row>
    <row r="3160" customFormat="false" ht="15" hidden="false" customHeight="false" outlineLevel="0" collapsed="false">
      <c r="A3160" s="14" t="s">
        <v>1054</v>
      </c>
      <c r="B3160" s="14" t="s">
        <v>1055</v>
      </c>
      <c r="C3160" s="14" t="s">
        <v>1056</v>
      </c>
      <c r="D3160" s="14" t="s">
        <v>163</v>
      </c>
      <c r="E3160" s="14" t="s">
        <v>166</v>
      </c>
      <c r="F3160" s="14" t="s">
        <v>164</v>
      </c>
      <c r="G3160" s="14" t="n">
        <v>1</v>
      </c>
      <c r="H3160" s="14" t="s">
        <v>154</v>
      </c>
      <c r="I3160" s="14" t="s">
        <v>895</v>
      </c>
      <c r="J3160" s="15" t="n">
        <f aca="false">IF(B3160="SITE LOSS",IF(D3160=C3160,1,0),IF(B3160="REGION LOSS",IF(E3160=C3160,1,0),0))</f>
        <v>0</v>
      </c>
      <c r="K3160" s="15" t="n">
        <f aca="false">IF(B3160="SITE LOSS",IF(COUNTIFS('Site Dockets'!$B$7:$B$24,C3160,'Site Dockets'!$C$7:$C$24,F3160)&gt;0,1,0),IF(B3160="REGION LOSS",IF(COUNTIFS('Site Dockets'!$E$7:$E$24,C3160,'Site Dockets'!$C$7:$C$24,F3160)&gt;0,1,0),0))</f>
        <v>0</v>
      </c>
      <c r="L3160" s="15" t="n">
        <f aca="false">IF(J3160=1,0,Inputs!$B$11)</f>
        <v>100</v>
      </c>
      <c r="M3160" s="15" t="n">
        <f aca="false">IF(J3160=1,0,Inputs!$B$12)</f>
        <v>75</v>
      </c>
      <c r="N3160" s="15" t="n">
        <f aca="false">IF(J3160=1,0,IF(OR(AND(OR(B3160="SITE LOSS",B3160="REGION LOSS"),K3160=1),AND(B3160="ROLE COMPROMISE",H3160=C3160)),Inputs!$B$13,Inputs!$B$14))</f>
        <v>10</v>
      </c>
      <c r="O3160" s="15" t="n">
        <f aca="false">IF(J3160=1,0,Inputs!$B$13)</f>
        <v>20</v>
      </c>
      <c r="P3160" s="15" t="n">
        <f aca="false">SUM(M3160:N3160)</f>
        <v>85</v>
      </c>
      <c r="Q3160" s="15" t="n">
        <f aca="false">IF(J3160=1,"",L3160-P3160)</f>
        <v>15</v>
      </c>
      <c r="R3160" s="15" t="n">
        <f aca="false">IF(OR(J3160=1,M3160&lt;=Inputs!$B$12),1,0)</f>
        <v>1</v>
      </c>
      <c r="S3160" s="15" t="n">
        <f aca="false">IF(OR(J3160=1,N3160&lt;=O3160),1,0)</f>
        <v>1</v>
      </c>
      <c r="T3160" s="15" t="str">
        <f aca="false">IF(J3160=1,"OFFLINE",IF(AND(Q3160&gt;=Inputs!$B$15,R3160=1,S3160=1,P3160&lt;=L3160),"PASS","FAIL"))</f>
        <v>PASS</v>
      </c>
    </row>
    <row r="3161" customFormat="false" ht="15" hidden="false" customHeight="false" outlineLevel="0" collapsed="false">
      <c r="A3161" s="14" t="s">
        <v>1054</v>
      </c>
      <c r="B3161" s="14" t="s">
        <v>1055</v>
      </c>
      <c r="C3161" s="14" t="s">
        <v>1056</v>
      </c>
      <c r="D3161" s="14" t="s">
        <v>163</v>
      </c>
      <c r="E3161" s="14" t="s">
        <v>166</v>
      </c>
      <c r="F3161" s="14" t="s">
        <v>164</v>
      </c>
      <c r="G3161" s="14" t="n">
        <v>1</v>
      </c>
      <c r="H3161" s="14" t="s">
        <v>154</v>
      </c>
      <c r="I3161" s="14" t="s">
        <v>897</v>
      </c>
      <c r="J3161" s="15" t="n">
        <f aca="false">IF(B3161="SITE LOSS",IF(D3161=C3161,1,0),IF(B3161="REGION LOSS",IF(E3161=C3161,1,0),0))</f>
        <v>0</v>
      </c>
      <c r="K3161" s="15" t="n">
        <f aca="false">IF(B3161="SITE LOSS",IF(COUNTIFS('Site Dockets'!$B$7:$B$24,C3161,'Site Dockets'!$C$7:$C$24,F3161)&gt;0,1,0),IF(B3161="REGION LOSS",IF(COUNTIFS('Site Dockets'!$E$7:$E$24,C3161,'Site Dockets'!$C$7:$C$24,F3161)&gt;0,1,0),0))</f>
        <v>0</v>
      </c>
      <c r="L3161" s="15" t="n">
        <f aca="false">IF(J3161=1,0,Inputs!$B$11)</f>
        <v>100</v>
      </c>
      <c r="M3161" s="15" t="n">
        <f aca="false">IF(J3161=1,0,Inputs!$B$12)</f>
        <v>75</v>
      </c>
      <c r="N3161" s="15" t="n">
        <f aca="false">IF(J3161=1,0,IF(OR(AND(OR(B3161="SITE LOSS",B3161="REGION LOSS"),K3161=1),AND(B3161="ROLE COMPROMISE",H3161=C3161)),Inputs!$B$13,Inputs!$B$14))</f>
        <v>10</v>
      </c>
      <c r="O3161" s="15" t="n">
        <f aca="false">IF(J3161=1,0,Inputs!$B$13)</f>
        <v>20</v>
      </c>
      <c r="P3161" s="15" t="n">
        <f aca="false">SUM(M3161:N3161)</f>
        <v>85</v>
      </c>
      <c r="Q3161" s="15" t="n">
        <f aca="false">IF(J3161=1,"",L3161-P3161)</f>
        <v>15</v>
      </c>
      <c r="R3161" s="15" t="n">
        <f aca="false">IF(OR(J3161=1,M3161&lt;=Inputs!$B$12),1,0)</f>
        <v>1</v>
      </c>
      <c r="S3161" s="15" t="n">
        <f aca="false">IF(OR(J3161=1,N3161&lt;=O3161),1,0)</f>
        <v>1</v>
      </c>
      <c r="T3161" s="15" t="str">
        <f aca="false">IF(J3161=1,"OFFLINE",IF(AND(Q3161&gt;=Inputs!$B$15,R3161=1,S3161=1,P3161&lt;=L3161),"PASS","FAIL"))</f>
        <v>PASS</v>
      </c>
    </row>
    <row r="3162" customFormat="false" ht="15" hidden="false" customHeight="false" outlineLevel="0" collapsed="false">
      <c r="A3162" s="14" t="s">
        <v>1054</v>
      </c>
      <c r="B3162" s="14" t="s">
        <v>1055</v>
      </c>
      <c r="C3162" s="14" t="s">
        <v>1056</v>
      </c>
      <c r="D3162" s="14" t="s">
        <v>163</v>
      </c>
      <c r="E3162" s="14" t="s">
        <v>166</v>
      </c>
      <c r="F3162" s="14" t="s">
        <v>164</v>
      </c>
      <c r="G3162" s="14" t="n">
        <v>1</v>
      </c>
      <c r="H3162" s="14" t="s">
        <v>154</v>
      </c>
      <c r="I3162" s="14" t="s">
        <v>899</v>
      </c>
      <c r="J3162" s="15" t="n">
        <f aca="false">IF(B3162="SITE LOSS",IF(D3162=C3162,1,0),IF(B3162="REGION LOSS",IF(E3162=C3162,1,0),0))</f>
        <v>0</v>
      </c>
      <c r="K3162" s="15" t="n">
        <f aca="false">IF(B3162="SITE LOSS",IF(COUNTIFS('Site Dockets'!$B$7:$B$24,C3162,'Site Dockets'!$C$7:$C$24,F3162)&gt;0,1,0),IF(B3162="REGION LOSS",IF(COUNTIFS('Site Dockets'!$E$7:$E$24,C3162,'Site Dockets'!$C$7:$C$24,F3162)&gt;0,1,0),0))</f>
        <v>0</v>
      </c>
      <c r="L3162" s="15" t="n">
        <f aca="false">IF(J3162=1,0,Inputs!$B$11)</f>
        <v>100</v>
      </c>
      <c r="M3162" s="15" t="n">
        <f aca="false">IF(J3162=1,0,Inputs!$B$12)</f>
        <v>75</v>
      </c>
      <c r="N3162" s="15" t="n">
        <f aca="false">IF(J3162=1,0,IF(OR(AND(OR(B3162="SITE LOSS",B3162="REGION LOSS"),K3162=1),AND(B3162="ROLE COMPROMISE",H3162=C3162)),Inputs!$B$13,Inputs!$B$14))</f>
        <v>10</v>
      </c>
      <c r="O3162" s="15" t="n">
        <f aca="false">IF(J3162=1,0,Inputs!$B$13)</f>
        <v>20</v>
      </c>
      <c r="P3162" s="15" t="n">
        <f aca="false">SUM(M3162:N3162)</f>
        <v>85</v>
      </c>
      <c r="Q3162" s="15" t="n">
        <f aca="false">IF(J3162=1,"",L3162-P3162)</f>
        <v>15</v>
      </c>
      <c r="R3162" s="15" t="n">
        <f aca="false">IF(OR(J3162=1,M3162&lt;=Inputs!$B$12),1,0)</f>
        <v>1</v>
      </c>
      <c r="S3162" s="15" t="n">
        <f aca="false">IF(OR(J3162=1,N3162&lt;=O3162),1,0)</f>
        <v>1</v>
      </c>
      <c r="T3162" s="15" t="str">
        <f aca="false">IF(J3162=1,"OFFLINE",IF(AND(Q3162&gt;=Inputs!$B$15,R3162=1,S3162=1,P3162&lt;=L3162),"PASS","FAIL"))</f>
        <v>PASS</v>
      </c>
    </row>
    <row r="3163" customFormat="false" ht="15" hidden="false" customHeight="false" outlineLevel="0" collapsed="false">
      <c r="A3163" s="14" t="s">
        <v>1054</v>
      </c>
      <c r="B3163" s="14" t="s">
        <v>1055</v>
      </c>
      <c r="C3163" s="14" t="s">
        <v>1056</v>
      </c>
      <c r="D3163" s="14" t="s">
        <v>168</v>
      </c>
      <c r="E3163" s="14" t="s">
        <v>169</v>
      </c>
      <c r="F3163" s="14" t="s">
        <v>164</v>
      </c>
      <c r="G3163" s="14" t="n">
        <v>2</v>
      </c>
      <c r="H3163" s="14" t="s">
        <v>153</v>
      </c>
      <c r="I3163" s="14" t="s">
        <v>890</v>
      </c>
      <c r="J3163" s="15" t="n">
        <f aca="false">IF(B3163="SITE LOSS",IF(D3163=C3163,1,0),IF(B3163="REGION LOSS",IF(E3163=C3163,1,0),0))</f>
        <v>0</v>
      </c>
      <c r="K3163" s="15" t="n">
        <f aca="false">IF(B3163="SITE LOSS",IF(COUNTIFS('Site Dockets'!$B$7:$B$24,C3163,'Site Dockets'!$C$7:$C$24,F3163)&gt;0,1,0),IF(B3163="REGION LOSS",IF(COUNTIFS('Site Dockets'!$E$7:$E$24,C3163,'Site Dockets'!$C$7:$C$24,F3163)&gt;0,1,0),0))</f>
        <v>0</v>
      </c>
      <c r="L3163" s="15" t="n">
        <f aca="false">IF(J3163=1,0,Inputs!$B$11)</f>
        <v>100</v>
      </c>
      <c r="M3163" s="15" t="n">
        <f aca="false">IF(J3163=1,0,Inputs!$B$12)</f>
        <v>75</v>
      </c>
      <c r="N3163" s="15" t="n">
        <f aca="false">IF(J3163=1,0,IF(OR(AND(OR(B3163="SITE LOSS",B3163="REGION LOSS"),K3163=1),AND(B3163="ROLE COMPROMISE",H3163=C3163)),Inputs!$B$13,Inputs!$B$14))</f>
        <v>10</v>
      </c>
      <c r="O3163" s="15" t="n">
        <f aca="false">IF(J3163=1,0,Inputs!$B$13)</f>
        <v>20</v>
      </c>
      <c r="P3163" s="15" t="n">
        <f aca="false">SUM(M3163:N3163)</f>
        <v>85</v>
      </c>
      <c r="Q3163" s="15" t="n">
        <f aca="false">IF(J3163=1,"",L3163-P3163)</f>
        <v>15</v>
      </c>
      <c r="R3163" s="15" t="n">
        <f aca="false">IF(OR(J3163=1,M3163&lt;=Inputs!$B$12),1,0)</f>
        <v>1</v>
      </c>
      <c r="S3163" s="15" t="n">
        <f aca="false">IF(OR(J3163=1,N3163&lt;=O3163),1,0)</f>
        <v>1</v>
      </c>
      <c r="T3163" s="15" t="str">
        <f aca="false">IF(J3163=1,"OFFLINE",IF(AND(Q3163&gt;=Inputs!$B$15,R3163=1,S3163=1,P3163&lt;=L3163),"PASS","FAIL"))</f>
        <v>PASS</v>
      </c>
    </row>
    <row r="3164" customFormat="false" ht="15" hidden="false" customHeight="false" outlineLevel="0" collapsed="false">
      <c r="A3164" s="14" t="s">
        <v>1054</v>
      </c>
      <c r="B3164" s="14" t="s">
        <v>1055</v>
      </c>
      <c r="C3164" s="14" t="s">
        <v>1056</v>
      </c>
      <c r="D3164" s="14" t="s">
        <v>168</v>
      </c>
      <c r="E3164" s="14" t="s">
        <v>169</v>
      </c>
      <c r="F3164" s="14" t="s">
        <v>164</v>
      </c>
      <c r="G3164" s="14" t="n">
        <v>2</v>
      </c>
      <c r="H3164" s="14" t="s">
        <v>153</v>
      </c>
      <c r="I3164" s="14" t="s">
        <v>892</v>
      </c>
      <c r="J3164" s="15" t="n">
        <f aca="false">IF(B3164="SITE LOSS",IF(D3164=C3164,1,0),IF(B3164="REGION LOSS",IF(E3164=C3164,1,0),0))</f>
        <v>0</v>
      </c>
      <c r="K3164" s="15" t="n">
        <f aca="false">IF(B3164="SITE LOSS",IF(COUNTIFS('Site Dockets'!$B$7:$B$24,C3164,'Site Dockets'!$C$7:$C$24,F3164)&gt;0,1,0),IF(B3164="REGION LOSS",IF(COUNTIFS('Site Dockets'!$E$7:$E$24,C3164,'Site Dockets'!$C$7:$C$24,F3164)&gt;0,1,0),0))</f>
        <v>0</v>
      </c>
      <c r="L3164" s="15" t="n">
        <f aca="false">IF(J3164=1,0,Inputs!$B$11)</f>
        <v>100</v>
      </c>
      <c r="M3164" s="15" t="n">
        <f aca="false">IF(J3164=1,0,Inputs!$B$12)</f>
        <v>75</v>
      </c>
      <c r="N3164" s="15" t="n">
        <f aca="false">IF(J3164=1,0,IF(OR(AND(OR(B3164="SITE LOSS",B3164="REGION LOSS"),K3164=1),AND(B3164="ROLE COMPROMISE",H3164=C3164)),Inputs!$B$13,Inputs!$B$14))</f>
        <v>10</v>
      </c>
      <c r="O3164" s="15" t="n">
        <f aca="false">IF(J3164=1,0,Inputs!$B$13)</f>
        <v>20</v>
      </c>
      <c r="P3164" s="15" t="n">
        <f aca="false">SUM(M3164:N3164)</f>
        <v>85</v>
      </c>
      <c r="Q3164" s="15" t="n">
        <f aca="false">IF(J3164=1,"",L3164-P3164)</f>
        <v>15</v>
      </c>
      <c r="R3164" s="15" t="n">
        <f aca="false">IF(OR(J3164=1,M3164&lt;=Inputs!$B$12),1,0)</f>
        <v>1</v>
      </c>
      <c r="S3164" s="15" t="n">
        <f aca="false">IF(OR(J3164=1,N3164&lt;=O3164),1,0)</f>
        <v>1</v>
      </c>
      <c r="T3164" s="15" t="str">
        <f aca="false">IF(J3164=1,"OFFLINE",IF(AND(Q3164&gt;=Inputs!$B$15,R3164=1,S3164=1,P3164&lt;=L3164),"PASS","FAIL"))</f>
        <v>PASS</v>
      </c>
    </row>
    <row r="3165" customFormat="false" ht="15" hidden="false" customHeight="false" outlineLevel="0" collapsed="false">
      <c r="A3165" s="14" t="s">
        <v>1054</v>
      </c>
      <c r="B3165" s="14" t="s">
        <v>1055</v>
      </c>
      <c r="C3165" s="14" t="s">
        <v>1056</v>
      </c>
      <c r="D3165" s="14" t="s">
        <v>168</v>
      </c>
      <c r="E3165" s="14" t="s">
        <v>169</v>
      </c>
      <c r="F3165" s="14" t="s">
        <v>164</v>
      </c>
      <c r="G3165" s="14" t="n">
        <v>2</v>
      </c>
      <c r="H3165" s="14" t="s">
        <v>153</v>
      </c>
      <c r="I3165" s="14" t="s">
        <v>811</v>
      </c>
      <c r="J3165" s="15" t="n">
        <f aca="false">IF(B3165="SITE LOSS",IF(D3165=C3165,1,0),IF(B3165="REGION LOSS",IF(E3165=C3165,1,0),0))</f>
        <v>0</v>
      </c>
      <c r="K3165" s="15" t="n">
        <f aca="false">IF(B3165="SITE LOSS",IF(COUNTIFS('Site Dockets'!$B$7:$B$24,C3165,'Site Dockets'!$C$7:$C$24,F3165)&gt;0,1,0),IF(B3165="REGION LOSS",IF(COUNTIFS('Site Dockets'!$E$7:$E$24,C3165,'Site Dockets'!$C$7:$C$24,F3165)&gt;0,1,0),0))</f>
        <v>0</v>
      </c>
      <c r="L3165" s="15" t="n">
        <f aca="false">IF(J3165=1,0,Inputs!$B$11)</f>
        <v>100</v>
      </c>
      <c r="M3165" s="15" t="n">
        <f aca="false">IF(J3165=1,0,Inputs!$B$12)</f>
        <v>75</v>
      </c>
      <c r="N3165" s="15" t="n">
        <f aca="false">IF(J3165=1,0,IF(OR(AND(OR(B3165="SITE LOSS",B3165="REGION LOSS"),K3165=1),AND(B3165="ROLE COMPROMISE",H3165=C3165)),Inputs!$B$13,Inputs!$B$14))</f>
        <v>10</v>
      </c>
      <c r="O3165" s="15" t="n">
        <f aca="false">IF(J3165=1,0,Inputs!$B$13)</f>
        <v>20</v>
      </c>
      <c r="P3165" s="15" t="n">
        <f aca="false">SUM(M3165:N3165)</f>
        <v>85</v>
      </c>
      <c r="Q3165" s="15" t="n">
        <f aca="false">IF(J3165=1,"",L3165-P3165)</f>
        <v>15</v>
      </c>
      <c r="R3165" s="15" t="n">
        <f aca="false">IF(OR(J3165=1,M3165&lt;=Inputs!$B$12),1,0)</f>
        <v>1</v>
      </c>
      <c r="S3165" s="15" t="n">
        <f aca="false">IF(OR(J3165=1,N3165&lt;=O3165),1,0)</f>
        <v>1</v>
      </c>
      <c r="T3165" s="15" t="str">
        <f aca="false">IF(J3165=1,"OFFLINE",IF(AND(Q3165&gt;=Inputs!$B$15,R3165=1,S3165=1,P3165&lt;=L3165),"PASS","FAIL"))</f>
        <v>PASS</v>
      </c>
    </row>
    <row r="3166" customFormat="false" ht="15" hidden="false" customHeight="false" outlineLevel="0" collapsed="false">
      <c r="A3166" s="14" t="s">
        <v>1054</v>
      </c>
      <c r="B3166" s="14" t="s">
        <v>1055</v>
      </c>
      <c r="C3166" s="14" t="s">
        <v>1056</v>
      </c>
      <c r="D3166" s="14" t="s">
        <v>168</v>
      </c>
      <c r="E3166" s="14" t="s">
        <v>169</v>
      </c>
      <c r="F3166" s="14" t="s">
        <v>164</v>
      </c>
      <c r="G3166" s="14" t="n">
        <v>2</v>
      </c>
      <c r="H3166" s="14" t="s">
        <v>153</v>
      </c>
      <c r="I3166" s="14" t="s">
        <v>895</v>
      </c>
      <c r="J3166" s="15" t="n">
        <f aca="false">IF(B3166="SITE LOSS",IF(D3166=C3166,1,0),IF(B3166="REGION LOSS",IF(E3166=C3166,1,0),0))</f>
        <v>0</v>
      </c>
      <c r="K3166" s="15" t="n">
        <f aca="false">IF(B3166="SITE LOSS",IF(COUNTIFS('Site Dockets'!$B$7:$B$24,C3166,'Site Dockets'!$C$7:$C$24,F3166)&gt;0,1,0),IF(B3166="REGION LOSS",IF(COUNTIFS('Site Dockets'!$E$7:$E$24,C3166,'Site Dockets'!$C$7:$C$24,F3166)&gt;0,1,0),0))</f>
        <v>0</v>
      </c>
      <c r="L3166" s="15" t="n">
        <f aca="false">IF(J3166=1,0,Inputs!$B$11)</f>
        <v>100</v>
      </c>
      <c r="M3166" s="15" t="n">
        <f aca="false">IF(J3166=1,0,Inputs!$B$12)</f>
        <v>75</v>
      </c>
      <c r="N3166" s="15" t="n">
        <f aca="false">IF(J3166=1,0,IF(OR(AND(OR(B3166="SITE LOSS",B3166="REGION LOSS"),K3166=1),AND(B3166="ROLE COMPROMISE",H3166=C3166)),Inputs!$B$13,Inputs!$B$14))</f>
        <v>10</v>
      </c>
      <c r="O3166" s="15" t="n">
        <f aca="false">IF(J3166=1,0,Inputs!$B$13)</f>
        <v>20</v>
      </c>
      <c r="P3166" s="15" t="n">
        <f aca="false">SUM(M3166:N3166)</f>
        <v>85</v>
      </c>
      <c r="Q3166" s="15" t="n">
        <f aca="false">IF(J3166=1,"",L3166-P3166)</f>
        <v>15</v>
      </c>
      <c r="R3166" s="15" t="n">
        <f aca="false">IF(OR(J3166=1,M3166&lt;=Inputs!$B$12),1,0)</f>
        <v>1</v>
      </c>
      <c r="S3166" s="15" t="n">
        <f aca="false">IF(OR(J3166=1,N3166&lt;=O3166),1,0)</f>
        <v>1</v>
      </c>
      <c r="T3166" s="15" t="str">
        <f aca="false">IF(J3166=1,"OFFLINE",IF(AND(Q3166&gt;=Inputs!$B$15,R3166=1,S3166=1,P3166&lt;=L3166),"PASS","FAIL"))</f>
        <v>PASS</v>
      </c>
    </row>
    <row r="3167" customFormat="false" ht="15" hidden="false" customHeight="false" outlineLevel="0" collapsed="false">
      <c r="A3167" s="14" t="s">
        <v>1054</v>
      </c>
      <c r="B3167" s="14" t="s">
        <v>1055</v>
      </c>
      <c r="C3167" s="14" t="s">
        <v>1056</v>
      </c>
      <c r="D3167" s="14" t="s">
        <v>168</v>
      </c>
      <c r="E3167" s="14" t="s">
        <v>169</v>
      </c>
      <c r="F3167" s="14" t="s">
        <v>164</v>
      </c>
      <c r="G3167" s="14" t="n">
        <v>2</v>
      </c>
      <c r="H3167" s="14" t="s">
        <v>153</v>
      </c>
      <c r="I3167" s="14" t="s">
        <v>897</v>
      </c>
      <c r="J3167" s="15" t="n">
        <f aca="false">IF(B3167="SITE LOSS",IF(D3167=C3167,1,0),IF(B3167="REGION LOSS",IF(E3167=C3167,1,0),0))</f>
        <v>0</v>
      </c>
      <c r="K3167" s="15" t="n">
        <f aca="false">IF(B3167="SITE LOSS",IF(COUNTIFS('Site Dockets'!$B$7:$B$24,C3167,'Site Dockets'!$C$7:$C$24,F3167)&gt;0,1,0),IF(B3167="REGION LOSS",IF(COUNTIFS('Site Dockets'!$E$7:$E$24,C3167,'Site Dockets'!$C$7:$C$24,F3167)&gt;0,1,0),0))</f>
        <v>0</v>
      </c>
      <c r="L3167" s="15" t="n">
        <f aca="false">IF(J3167=1,0,Inputs!$B$11)</f>
        <v>100</v>
      </c>
      <c r="M3167" s="15" t="n">
        <f aca="false">IF(J3167=1,0,Inputs!$B$12)</f>
        <v>75</v>
      </c>
      <c r="N3167" s="15" t="n">
        <f aca="false">IF(J3167=1,0,IF(OR(AND(OR(B3167="SITE LOSS",B3167="REGION LOSS"),K3167=1),AND(B3167="ROLE COMPROMISE",H3167=C3167)),Inputs!$B$13,Inputs!$B$14))</f>
        <v>10</v>
      </c>
      <c r="O3167" s="15" t="n">
        <f aca="false">IF(J3167=1,0,Inputs!$B$13)</f>
        <v>20</v>
      </c>
      <c r="P3167" s="15" t="n">
        <f aca="false">SUM(M3167:N3167)</f>
        <v>85</v>
      </c>
      <c r="Q3167" s="15" t="n">
        <f aca="false">IF(J3167=1,"",L3167-P3167)</f>
        <v>15</v>
      </c>
      <c r="R3167" s="15" t="n">
        <f aca="false">IF(OR(J3167=1,M3167&lt;=Inputs!$B$12),1,0)</f>
        <v>1</v>
      </c>
      <c r="S3167" s="15" t="n">
        <f aca="false">IF(OR(J3167=1,N3167&lt;=O3167),1,0)</f>
        <v>1</v>
      </c>
      <c r="T3167" s="15" t="str">
        <f aca="false">IF(J3167=1,"OFFLINE",IF(AND(Q3167&gt;=Inputs!$B$15,R3167=1,S3167=1,P3167&lt;=L3167),"PASS","FAIL"))</f>
        <v>PASS</v>
      </c>
    </row>
    <row r="3168" customFormat="false" ht="15" hidden="false" customHeight="false" outlineLevel="0" collapsed="false">
      <c r="A3168" s="14" t="s">
        <v>1054</v>
      </c>
      <c r="B3168" s="14" t="s">
        <v>1055</v>
      </c>
      <c r="C3168" s="14" t="s">
        <v>1056</v>
      </c>
      <c r="D3168" s="14" t="s">
        <v>168</v>
      </c>
      <c r="E3168" s="14" t="s">
        <v>169</v>
      </c>
      <c r="F3168" s="14" t="s">
        <v>164</v>
      </c>
      <c r="G3168" s="14" t="n">
        <v>2</v>
      </c>
      <c r="H3168" s="14" t="s">
        <v>153</v>
      </c>
      <c r="I3168" s="14" t="s">
        <v>899</v>
      </c>
      <c r="J3168" s="15" t="n">
        <f aca="false">IF(B3168="SITE LOSS",IF(D3168=C3168,1,0),IF(B3168="REGION LOSS",IF(E3168=C3168,1,0),0))</f>
        <v>0</v>
      </c>
      <c r="K3168" s="15" t="n">
        <f aca="false">IF(B3168="SITE LOSS",IF(COUNTIFS('Site Dockets'!$B$7:$B$24,C3168,'Site Dockets'!$C$7:$C$24,F3168)&gt;0,1,0),IF(B3168="REGION LOSS",IF(COUNTIFS('Site Dockets'!$E$7:$E$24,C3168,'Site Dockets'!$C$7:$C$24,F3168)&gt;0,1,0),0))</f>
        <v>0</v>
      </c>
      <c r="L3168" s="15" t="n">
        <f aca="false">IF(J3168=1,0,Inputs!$B$11)</f>
        <v>100</v>
      </c>
      <c r="M3168" s="15" t="n">
        <f aca="false">IF(J3168=1,0,Inputs!$B$12)</f>
        <v>75</v>
      </c>
      <c r="N3168" s="15" t="n">
        <f aca="false">IF(J3168=1,0,IF(OR(AND(OR(B3168="SITE LOSS",B3168="REGION LOSS"),K3168=1),AND(B3168="ROLE COMPROMISE",H3168=C3168)),Inputs!$B$13,Inputs!$B$14))</f>
        <v>10</v>
      </c>
      <c r="O3168" s="15" t="n">
        <f aca="false">IF(J3168=1,0,Inputs!$B$13)</f>
        <v>20</v>
      </c>
      <c r="P3168" s="15" t="n">
        <f aca="false">SUM(M3168:N3168)</f>
        <v>85</v>
      </c>
      <c r="Q3168" s="15" t="n">
        <f aca="false">IF(J3168=1,"",L3168-P3168)</f>
        <v>15</v>
      </c>
      <c r="R3168" s="15" t="n">
        <f aca="false">IF(OR(J3168=1,M3168&lt;=Inputs!$B$12),1,0)</f>
        <v>1</v>
      </c>
      <c r="S3168" s="15" t="n">
        <f aca="false">IF(OR(J3168=1,N3168&lt;=O3168),1,0)</f>
        <v>1</v>
      </c>
      <c r="T3168" s="15" t="str">
        <f aca="false">IF(J3168=1,"OFFLINE",IF(AND(Q3168&gt;=Inputs!$B$15,R3168=1,S3168=1,P3168&lt;=L3168),"PASS","FAIL"))</f>
        <v>PASS</v>
      </c>
    </row>
    <row r="3169" customFormat="false" ht="15" hidden="false" customHeight="false" outlineLevel="0" collapsed="false">
      <c r="A3169" s="14" t="s">
        <v>1054</v>
      </c>
      <c r="B3169" s="14" t="s">
        <v>1055</v>
      </c>
      <c r="C3169" s="14" t="s">
        <v>1056</v>
      </c>
      <c r="D3169" s="14" t="s">
        <v>171</v>
      </c>
      <c r="E3169" s="14" t="s">
        <v>172</v>
      </c>
      <c r="F3169" s="14" t="s">
        <v>164</v>
      </c>
      <c r="G3169" s="14" t="n">
        <v>3</v>
      </c>
      <c r="H3169" s="14" t="s">
        <v>158</v>
      </c>
      <c r="I3169" s="14" t="s">
        <v>890</v>
      </c>
      <c r="J3169" s="15" t="n">
        <f aca="false">IF(B3169="SITE LOSS",IF(D3169=C3169,1,0),IF(B3169="REGION LOSS",IF(E3169=C3169,1,0),0))</f>
        <v>0</v>
      </c>
      <c r="K3169" s="15" t="n">
        <f aca="false">IF(B3169="SITE LOSS",IF(COUNTIFS('Site Dockets'!$B$7:$B$24,C3169,'Site Dockets'!$C$7:$C$24,F3169)&gt;0,1,0),IF(B3169="REGION LOSS",IF(COUNTIFS('Site Dockets'!$E$7:$E$24,C3169,'Site Dockets'!$C$7:$C$24,F3169)&gt;0,1,0),0))</f>
        <v>0</v>
      </c>
      <c r="L3169" s="15" t="n">
        <f aca="false">IF(J3169=1,0,Inputs!$B$11)</f>
        <v>100</v>
      </c>
      <c r="M3169" s="15" t="n">
        <f aca="false">IF(J3169=1,0,Inputs!$B$12)</f>
        <v>75</v>
      </c>
      <c r="N3169" s="15" t="n">
        <f aca="false">IF(J3169=1,0,IF(OR(AND(OR(B3169="SITE LOSS",B3169="REGION LOSS"),K3169=1),AND(B3169="ROLE COMPROMISE",H3169=C3169)),Inputs!$B$13,Inputs!$B$14))</f>
        <v>10</v>
      </c>
      <c r="O3169" s="15" t="n">
        <f aca="false">IF(J3169=1,0,Inputs!$B$13)</f>
        <v>20</v>
      </c>
      <c r="P3169" s="15" t="n">
        <f aca="false">SUM(M3169:N3169)</f>
        <v>85</v>
      </c>
      <c r="Q3169" s="15" t="n">
        <f aca="false">IF(J3169=1,"",L3169-P3169)</f>
        <v>15</v>
      </c>
      <c r="R3169" s="15" t="n">
        <f aca="false">IF(OR(J3169=1,M3169&lt;=Inputs!$B$12),1,0)</f>
        <v>1</v>
      </c>
      <c r="S3169" s="15" t="n">
        <f aca="false">IF(OR(J3169=1,N3169&lt;=O3169),1,0)</f>
        <v>1</v>
      </c>
      <c r="T3169" s="15" t="str">
        <f aca="false">IF(J3169=1,"OFFLINE",IF(AND(Q3169&gt;=Inputs!$B$15,R3169=1,S3169=1,P3169&lt;=L3169),"PASS","FAIL"))</f>
        <v>PASS</v>
      </c>
    </row>
    <row r="3170" customFormat="false" ht="15" hidden="false" customHeight="false" outlineLevel="0" collapsed="false">
      <c r="A3170" s="14" t="s">
        <v>1054</v>
      </c>
      <c r="B3170" s="14" t="s">
        <v>1055</v>
      </c>
      <c r="C3170" s="14" t="s">
        <v>1056</v>
      </c>
      <c r="D3170" s="14" t="s">
        <v>171</v>
      </c>
      <c r="E3170" s="14" t="s">
        <v>172</v>
      </c>
      <c r="F3170" s="14" t="s">
        <v>164</v>
      </c>
      <c r="G3170" s="14" t="n">
        <v>3</v>
      </c>
      <c r="H3170" s="14" t="s">
        <v>158</v>
      </c>
      <c r="I3170" s="14" t="s">
        <v>892</v>
      </c>
      <c r="J3170" s="15" t="n">
        <f aca="false">IF(B3170="SITE LOSS",IF(D3170=C3170,1,0),IF(B3170="REGION LOSS",IF(E3170=C3170,1,0),0))</f>
        <v>0</v>
      </c>
      <c r="K3170" s="15" t="n">
        <f aca="false">IF(B3170="SITE LOSS",IF(COUNTIFS('Site Dockets'!$B$7:$B$24,C3170,'Site Dockets'!$C$7:$C$24,F3170)&gt;0,1,0),IF(B3170="REGION LOSS",IF(COUNTIFS('Site Dockets'!$E$7:$E$24,C3170,'Site Dockets'!$C$7:$C$24,F3170)&gt;0,1,0),0))</f>
        <v>0</v>
      </c>
      <c r="L3170" s="15" t="n">
        <f aca="false">IF(J3170=1,0,Inputs!$B$11)</f>
        <v>100</v>
      </c>
      <c r="M3170" s="15" t="n">
        <f aca="false">IF(J3170=1,0,Inputs!$B$12)</f>
        <v>75</v>
      </c>
      <c r="N3170" s="15" t="n">
        <f aca="false">IF(J3170=1,0,IF(OR(AND(OR(B3170="SITE LOSS",B3170="REGION LOSS"),K3170=1),AND(B3170="ROLE COMPROMISE",H3170=C3170)),Inputs!$B$13,Inputs!$B$14))</f>
        <v>10</v>
      </c>
      <c r="O3170" s="15" t="n">
        <f aca="false">IF(J3170=1,0,Inputs!$B$13)</f>
        <v>20</v>
      </c>
      <c r="P3170" s="15" t="n">
        <f aca="false">SUM(M3170:N3170)</f>
        <v>85</v>
      </c>
      <c r="Q3170" s="15" t="n">
        <f aca="false">IF(J3170=1,"",L3170-P3170)</f>
        <v>15</v>
      </c>
      <c r="R3170" s="15" t="n">
        <f aca="false">IF(OR(J3170=1,M3170&lt;=Inputs!$B$12),1,0)</f>
        <v>1</v>
      </c>
      <c r="S3170" s="15" t="n">
        <f aca="false">IF(OR(J3170=1,N3170&lt;=O3170),1,0)</f>
        <v>1</v>
      </c>
      <c r="T3170" s="15" t="str">
        <f aca="false">IF(J3170=1,"OFFLINE",IF(AND(Q3170&gt;=Inputs!$B$15,R3170=1,S3170=1,P3170&lt;=L3170),"PASS","FAIL"))</f>
        <v>PASS</v>
      </c>
    </row>
    <row r="3171" customFormat="false" ht="15" hidden="false" customHeight="false" outlineLevel="0" collapsed="false">
      <c r="A3171" s="14" t="s">
        <v>1054</v>
      </c>
      <c r="B3171" s="14" t="s">
        <v>1055</v>
      </c>
      <c r="C3171" s="14" t="s">
        <v>1056</v>
      </c>
      <c r="D3171" s="14" t="s">
        <v>171</v>
      </c>
      <c r="E3171" s="14" t="s">
        <v>172</v>
      </c>
      <c r="F3171" s="14" t="s">
        <v>164</v>
      </c>
      <c r="G3171" s="14" t="n">
        <v>3</v>
      </c>
      <c r="H3171" s="14" t="s">
        <v>158</v>
      </c>
      <c r="I3171" s="14" t="s">
        <v>811</v>
      </c>
      <c r="J3171" s="15" t="n">
        <f aca="false">IF(B3171="SITE LOSS",IF(D3171=C3171,1,0),IF(B3171="REGION LOSS",IF(E3171=C3171,1,0),0))</f>
        <v>0</v>
      </c>
      <c r="K3171" s="15" t="n">
        <f aca="false">IF(B3171="SITE LOSS",IF(COUNTIFS('Site Dockets'!$B$7:$B$24,C3171,'Site Dockets'!$C$7:$C$24,F3171)&gt;0,1,0),IF(B3171="REGION LOSS",IF(COUNTIFS('Site Dockets'!$E$7:$E$24,C3171,'Site Dockets'!$C$7:$C$24,F3171)&gt;0,1,0),0))</f>
        <v>0</v>
      </c>
      <c r="L3171" s="15" t="n">
        <f aca="false">IF(J3171=1,0,Inputs!$B$11)</f>
        <v>100</v>
      </c>
      <c r="M3171" s="15" t="n">
        <f aca="false">IF(J3171=1,0,Inputs!$B$12)</f>
        <v>75</v>
      </c>
      <c r="N3171" s="15" t="n">
        <f aca="false">IF(J3171=1,0,IF(OR(AND(OR(B3171="SITE LOSS",B3171="REGION LOSS"),K3171=1),AND(B3171="ROLE COMPROMISE",H3171=C3171)),Inputs!$B$13,Inputs!$B$14))</f>
        <v>10</v>
      </c>
      <c r="O3171" s="15" t="n">
        <f aca="false">IF(J3171=1,0,Inputs!$B$13)</f>
        <v>20</v>
      </c>
      <c r="P3171" s="15" t="n">
        <f aca="false">SUM(M3171:N3171)</f>
        <v>85</v>
      </c>
      <c r="Q3171" s="15" t="n">
        <f aca="false">IF(J3171=1,"",L3171-P3171)</f>
        <v>15</v>
      </c>
      <c r="R3171" s="15" t="n">
        <f aca="false">IF(OR(J3171=1,M3171&lt;=Inputs!$B$12),1,0)</f>
        <v>1</v>
      </c>
      <c r="S3171" s="15" t="n">
        <f aca="false">IF(OR(J3171=1,N3171&lt;=O3171),1,0)</f>
        <v>1</v>
      </c>
      <c r="T3171" s="15" t="str">
        <f aca="false">IF(J3171=1,"OFFLINE",IF(AND(Q3171&gt;=Inputs!$B$15,R3171=1,S3171=1,P3171&lt;=L3171),"PASS","FAIL"))</f>
        <v>PASS</v>
      </c>
    </row>
    <row r="3172" customFormat="false" ht="15" hidden="false" customHeight="false" outlineLevel="0" collapsed="false">
      <c r="A3172" s="14" t="s">
        <v>1054</v>
      </c>
      <c r="B3172" s="14" t="s">
        <v>1055</v>
      </c>
      <c r="C3172" s="14" t="s">
        <v>1056</v>
      </c>
      <c r="D3172" s="14" t="s">
        <v>171</v>
      </c>
      <c r="E3172" s="14" t="s">
        <v>172</v>
      </c>
      <c r="F3172" s="14" t="s">
        <v>164</v>
      </c>
      <c r="G3172" s="14" t="n">
        <v>3</v>
      </c>
      <c r="H3172" s="14" t="s">
        <v>158</v>
      </c>
      <c r="I3172" s="14" t="s">
        <v>895</v>
      </c>
      <c r="J3172" s="15" t="n">
        <f aca="false">IF(B3172="SITE LOSS",IF(D3172=C3172,1,0),IF(B3172="REGION LOSS",IF(E3172=C3172,1,0),0))</f>
        <v>0</v>
      </c>
      <c r="K3172" s="15" t="n">
        <f aca="false">IF(B3172="SITE LOSS",IF(COUNTIFS('Site Dockets'!$B$7:$B$24,C3172,'Site Dockets'!$C$7:$C$24,F3172)&gt;0,1,0),IF(B3172="REGION LOSS",IF(COUNTIFS('Site Dockets'!$E$7:$E$24,C3172,'Site Dockets'!$C$7:$C$24,F3172)&gt;0,1,0),0))</f>
        <v>0</v>
      </c>
      <c r="L3172" s="15" t="n">
        <f aca="false">IF(J3172=1,0,Inputs!$B$11)</f>
        <v>100</v>
      </c>
      <c r="M3172" s="15" t="n">
        <f aca="false">IF(J3172=1,0,Inputs!$B$12)</f>
        <v>75</v>
      </c>
      <c r="N3172" s="15" t="n">
        <f aca="false">IF(J3172=1,0,IF(OR(AND(OR(B3172="SITE LOSS",B3172="REGION LOSS"),K3172=1),AND(B3172="ROLE COMPROMISE",H3172=C3172)),Inputs!$B$13,Inputs!$B$14))</f>
        <v>10</v>
      </c>
      <c r="O3172" s="15" t="n">
        <f aca="false">IF(J3172=1,0,Inputs!$B$13)</f>
        <v>20</v>
      </c>
      <c r="P3172" s="15" t="n">
        <f aca="false">SUM(M3172:N3172)</f>
        <v>85</v>
      </c>
      <c r="Q3172" s="15" t="n">
        <f aca="false">IF(J3172=1,"",L3172-P3172)</f>
        <v>15</v>
      </c>
      <c r="R3172" s="15" t="n">
        <f aca="false">IF(OR(J3172=1,M3172&lt;=Inputs!$B$12),1,0)</f>
        <v>1</v>
      </c>
      <c r="S3172" s="15" t="n">
        <f aca="false">IF(OR(J3172=1,N3172&lt;=O3172),1,0)</f>
        <v>1</v>
      </c>
      <c r="T3172" s="15" t="str">
        <f aca="false">IF(J3172=1,"OFFLINE",IF(AND(Q3172&gt;=Inputs!$B$15,R3172=1,S3172=1,P3172&lt;=L3172),"PASS","FAIL"))</f>
        <v>PASS</v>
      </c>
    </row>
    <row r="3173" customFormat="false" ht="15" hidden="false" customHeight="false" outlineLevel="0" collapsed="false">
      <c r="A3173" s="14" t="s">
        <v>1054</v>
      </c>
      <c r="B3173" s="14" t="s">
        <v>1055</v>
      </c>
      <c r="C3173" s="14" t="s">
        <v>1056</v>
      </c>
      <c r="D3173" s="14" t="s">
        <v>171</v>
      </c>
      <c r="E3173" s="14" t="s">
        <v>172</v>
      </c>
      <c r="F3173" s="14" t="s">
        <v>164</v>
      </c>
      <c r="G3173" s="14" t="n">
        <v>3</v>
      </c>
      <c r="H3173" s="14" t="s">
        <v>158</v>
      </c>
      <c r="I3173" s="14" t="s">
        <v>897</v>
      </c>
      <c r="J3173" s="15" t="n">
        <f aca="false">IF(B3173="SITE LOSS",IF(D3173=C3173,1,0),IF(B3173="REGION LOSS",IF(E3173=C3173,1,0),0))</f>
        <v>0</v>
      </c>
      <c r="K3173" s="15" t="n">
        <f aca="false">IF(B3173="SITE LOSS",IF(COUNTIFS('Site Dockets'!$B$7:$B$24,C3173,'Site Dockets'!$C$7:$C$24,F3173)&gt;0,1,0),IF(B3173="REGION LOSS",IF(COUNTIFS('Site Dockets'!$E$7:$E$24,C3173,'Site Dockets'!$C$7:$C$24,F3173)&gt;0,1,0),0))</f>
        <v>0</v>
      </c>
      <c r="L3173" s="15" t="n">
        <f aca="false">IF(J3173=1,0,Inputs!$B$11)</f>
        <v>100</v>
      </c>
      <c r="M3173" s="15" t="n">
        <f aca="false">IF(J3173=1,0,Inputs!$B$12)</f>
        <v>75</v>
      </c>
      <c r="N3173" s="15" t="n">
        <f aca="false">IF(J3173=1,0,IF(OR(AND(OR(B3173="SITE LOSS",B3173="REGION LOSS"),K3173=1),AND(B3173="ROLE COMPROMISE",H3173=C3173)),Inputs!$B$13,Inputs!$B$14))</f>
        <v>10</v>
      </c>
      <c r="O3173" s="15" t="n">
        <f aca="false">IF(J3173=1,0,Inputs!$B$13)</f>
        <v>20</v>
      </c>
      <c r="P3173" s="15" t="n">
        <f aca="false">SUM(M3173:N3173)</f>
        <v>85</v>
      </c>
      <c r="Q3173" s="15" t="n">
        <f aca="false">IF(J3173=1,"",L3173-P3173)</f>
        <v>15</v>
      </c>
      <c r="R3173" s="15" t="n">
        <f aca="false">IF(OR(J3173=1,M3173&lt;=Inputs!$B$12),1,0)</f>
        <v>1</v>
      </c>
      <c r="S3173" s="15" t="n">
        <f aca="false">IF(OR(J3173=1,N3173&lt;=O3173),1,0)</f>
        <v>1</v>
      </c>
      <c r="T3173" s="15" t="str">
        <f aca="false">IF(J3173=1,"OFFLINE",IF(AND(Q3173&gt;=Inputs!$B$15,R3173=1,S3173=1,P3173&lt;=L3173),"PASS","FAIL"))</f>
        <v>PASS</v>
      </c>
    </row>
    <row r="3174" customFormat="false" ht="15" hidden="false" customHeight="false" outlineLevel="0" collapsed="false">
      <c r="A3174" s="14" t="s">
        <v>1054</v>
      </c>
      <c r="B3174" s="14" t="s">
        <v>1055</v>
      </c>
      <c r="C3174" s="14" t="s">
        <v>1056</v>
      </c>
      <c r="D3174" s="14" t="s">
        <v>171</v>
      </c>
      <c r="E3174" s="14" t="s">
        <v>172</v>
      </c>
      <c r="F3174" s="14" t="s">
        <v>164</v>
      </c>
      <c r="G3174" s="14" t="n">
        <v>3</v>
      </c>
      <c r="H3174" s="14" t="s">
        <v>158</v>
      </c>
      <c r="I3174" s="14" t="s">
        <v>899</v>
      </c>
      <c r="J3174" s="15" t="n">
        <f aca="false">IF(B3174="SITE LOSS",IF(D3174=C3174,1,0),IF(B3174="REGION LOSS",IF(E3174=C3174,1,0),0))</f>
        <v>0</v>
      </c>
      <c r="K3174" s="15" t="n">
        <f aca="false">IF(B3174="SITE LOSS",IF(COUNTIFS('Site Dockets'!$B$7:$B$24,C3174,'Site Dockets'!$C$7:$C$24,F3174)&gt;0,1,0),IF(B3174="REGION LOSS",IF(COUNTIFS('Site Dockets'!$E$7:$E$24,C3174,'Site Dockets'!$C$7:$C$24,F3174)&gt;0,1,0),0))</f>
        <v>0</v>
      </c>
      <c r="L3174" s="15" t="n">
        <f aca="false">IF(J3174=1,0,Inputs!$B$11)</f>
        <v>100</v>
      </c>
      <c r="M3174" s="15" t="n">
        <f aca="false">IF(J3174=1,0,Inputs!$B$12)</f>
        <v>75</v>
      </c>
      <c r="N3174" s="15" t="n">
        <f aca="false">IF(J3174=1,0,IF(OR(AND(OR(B3174="SITE LOSS",B3174="REGION LOSS"),K3174=1),AND(B3174="ROLE COMPROMISE",H3174=C3174)),Inputs!$B$13,Inputs!$B$14))</f>
        <v>10</v>
      </c>
      <c r="O3174" s="15" t="n">
        <f aca="false">IF(J3174=1,0,Inputs!$B$13)</f>
        <v>20</v>
      </c>
      <c r="P3174" s="15" t="n">
        <f aca="false">SUM(M3174:N3174)</f>
        <v>85</v>
      </c>
      <c r="Q3174" s="15" t="n">
        <f aca="false">IF(J3174=1,"",L3174-P3174)</f>
        <v>15</v>
      </c>
      <c r="R3174" s="15" t="n">
        <f aca="false">IF(OR(J3174=1,M3174&lt;=Inputs!$B$12),1,0)</f>
        <v>1</v>
      </c>
      <c r="S3174" s="15" t="n">
        <f aca="false">IF(OR(J3174=1,N3174&lt;=O3174),1,0)</f>
        <v>1</v>
      </c>
      <c r="T3174" s="15" t="str">
        <f aca="false">IF(J3174=1,"OFFLINE",IF(AND(Q3174&gt;=Inputs!$B$15,R3174=1,S3174=1,P3174&lt;=L3174),"PASS","FAIL"))</f>
        <v>PASS</v>
      </c>
    </row>
    <row r="3175" customFormat="false" ht="15" hidden="false" customHeight="false" outlineLevel="0" collapsed="false">
      <c r="A3175" s="14" t="s">
        <v>1054</v>
      </c>
      <c r="B3175" s="14" t="s">
        <v>1055</v>
      </c>
      <c r="C3175" s="14" t="s">
        <v>1056</v>
      </c>
      <c r="D3175" s="14" t="s">
        <v>174</v>
      </c>
      <c r="E3175" s="14" t="s">
        <v>152</v>
      </c>
      <c r="F3175" s="14" t="s">
        <v>175</v>
      </c>
      <c r="G3175" s="14" t="n">
        <v>1</v>
      </c>
      <c r="H3175" s="14" t="s">
        <v>154</v>
      </c>
      <c r="I3175" s="14" t="s">
        <v>890</v>
      </c>
      <c r="J3175" s="15" t="n">
        <f aca="false">IF(B3175="SITE LOSS",IF(D3175=C3175,1,0),IF(B3175="REGION LOSS",IF(E3175=C3175,1,0),0))</f>
        <v>0</v>
      </c>
      <c r="K3175" s="15" t="n">
        <f aca="false">IF(B3175="SITE LOSS",IF(COUNTIFS('Site Dockets'!$B$7:$B$24,C3175,'Site Dockets'!$C$7:$C$24,F3175)&gt;0,1,0),IF(B3175="REGION LOSS",IF(COUNTIFS('Site Dockets'!$E$7:$E$24,C3175,'Site Dockets'!$C$7:$C$24,F3175)&gt;0,1,0),0))</f>
        <v>0</v>
      </c>
      <c r="L3175" s="15" t="n">
        <f aca="false">IF(J3175=1,0,Inputs!$B$11)</f>
        <v>100</v>
      </c>
      <c r="M3175" s="15" t="n">
        <f aca="false">IF(J3175=1,0,Inputs!$B$12)</f>
        <v>75</v>
      </c>
      <c r="N3175" s="15" t="n">
        <f aca="false">IF(J3175=1,0,IF(OR(AND(OR(B3175="SITE LOSS",B3175="REGION LOSS"),K3175=1),AND(B3175="ROLE COMPROMISE",H3175=C3175)),Inputs!$B$13,Inputs!$B$14))</f>
        <v>10</v>
      </c>
      <c r="O3175" s="15" t="n">
        <f aca="false">IF(J3175=1,0,Inputs!$B$13)</f>
        <v>20</v>
      </c>
      <c r="P3175" s="15" t="n">
        <f aca="false">SUM(M3175:N3175)</f>
        <v>85</v>
      </c>
      <c r="Q3175" s="15" t="n">
        <f aca="false">IF(J3175=1,"",L3175-P3175)</f>
        <v>15</v>
      </c>
      <c r="R3175" s="15" t="n">
        <f aca="false">IF(OR(J3175=1,M3175&lt;=Inputs!$B$12),1,0)</f>
        <v>1</v>
      </c>
      <c r="S3175" s="15" t="n">
        <f aca="false">IF(OR(J3175=1,N3175&lt;=O3175),1,0)</f>
        <v>1</v>
      </c>
      <c r="T3175" s="15" t="str">
        <f aca="false">IF(J3175=1,"OFFLINE",IF(AND(Q3175&gt;=Inputs!$B$15,R3175=1,S3175=1,P3175&lt;=L3175),"PASS","FAIL"))</f>
        <v>PASS</v>
      </c>
    </row>
    <row r="3176" customFormat="false" ht="15" hidden="false" customHeight="false" outlineLevel="0" collapsed="false">
      <c r="A3176" s="14" t="s">
        <v>1054</v>
      </c>
      <c r="B3176" s="14" t="s">
        <v>1055</v>
      </c>
      <c r="C3176" s="14" t="s">
        <v>1056</v>
      </c>
      <c r="D3176" s="14" t="s">
        <v>174</v>
      </c>
      <c r="E3176" s="14" t="s">
        <v>152</v>
      </c>
      <c r="F3176" s="14" t="s">
        <v>175</v>
      </c>
      <c r="G3176" s="14" t="n">
        <v>1</v>
      </c>
      <c r="H3176" s="14" t="s">
        <v>154</v>
      </c>
      <c r="I3176" s="14" t="s">
        <v>892</v>
      </c>
      <c r="J3176" s="15" t="n">
        <f aca="false">IF(B3176="SITE LOSS",IF(D3176=C3176,1,0),IF(B3176="REGION LOSS",IF(E3176=C3176,1,0),0))</f>
        <v>0</v>
      </c>
      <c r="K3176" s="15" t="n">
        <f aca="false">IF(B3176="SITE LOSS",IF(COUNTIFS('Site Dockets'!$B$7:$B$24,C3176,'Site Dockets'!$C$7:$C$24,F3176)&gt;0,1,0),IF(B3176="REGION LOSS",IF(COUNTIFS('Site Dockets'!$E$7:$E$24,C3176,'Site Dockets'!$C$7:$C$24,F3176)&gt;0,1,0),0))</f>
        <v>0</v>
      </c>
      <c r="L3176" s="15" t="n">
        <f aca="false">IF(J3176=1,0,Inputs!$B$11)</f>
        <v>100</v>
      </c>
      <c r="M3176" s="15" t="n">
        <f aca="false">IF(J3176=1,0,Inputs!$B$12)</f>
        <v>75</v>
      </c>
      <c r="N3176" s="15" t="n">
        <f aca="false">IF(J3176=1,0,IF(OR(AND(OR(B3176="SITE LOSS",B3176="REGION LOSS"),K3176=1),AND(B3176="ROLE COMPROMISE",H3176=C3176)),Inputs!$B$13,Inputs!$B$14))</f>
        <v>10</v>
      </c>
      <c r="O3176" s="15" t="n">
        <f aca="false">IF(J3176=1,0,Inputs!$B$13)</f>
        <v>20</v>
      </c>
      <c r="P3176" s="15" t="n">
        <f aca="false">SUM(M3176:N3176)</f>
        <v>85</v>
      </c>
      <c r="Q3176" s="15" t="n">
        <f aca="false">IF(J3176=1,"",L3176-P3176)</f>
        <v>15</v>
      </c>
      <c r="R3176" s="15" t="n">
        <f aca="false">IF(OR(J3176=1,M3176&lt;=Inputs!$B$12),1,0)</f>
        <v>1</v>
      </c>
      <c r="S3176" s="15" t="n">
        <f aca="false">IF(OR(J3176=1,N3176&lt;=O3176),1,0)</f>
        <v>1</v>
      </c>
      <c r="T3176" s="15" t="str">
        <f aca="false">IF(J3176=1,"OFFLINE",IF(AND(Q3176&gt;=Inputs!$B$15,R3176=1,S3176=1,P3176&lt;=L3176),"PASS","FAIL"))</f>
        <v>PASS</v>
      </c>
    </row>
    <row r="3177" customFormat="false" ht="15" hidden="false" customHeight="false" outlineLevel="0" collapsed="false">
      <c r="A3177" s="14" t="s">
        <v>1054</v>
      </c>
      <c r="B3177" s="14" t="s">
        <v>1055</v>
      </c>
      <c r="C3177" s="14" t="s">
        <v>1056</v>
      </c>
      <c r="D3177" s="14" t="s">
        <v>174</v>
      </c>
      <c r="E3177" s="14" t="s">
        <v>152</v>
      </c>
      <c r="F3177" s="14" t="s">
        <v>175</v>
      </c>
      <c r="G3177" s="14" t="n">
        <v>1</v>
      </c>
      <c r="H3177" s="14" t="s">
        <v>154</v>
      </c>
      <c r="I3177" s="14" t="s">
        <v>811</v>
      </c>
      <c r="J3177" s="15" t="n">
        <f aca="false">IF(B3177="SITE LOSS",IF(D3177=C3177,1,0),IF(B3177="REGION LOSS",IF(E3177=C3177,1,0),0))</f>
        <v>0</v>
      </c>
      <c r="K3177" s="15" t="n">
        <f aca="false">IF(B3177="SITE LOSS",IF(COUNTIFS('Site Dockets'!$B$7:$B$24,C3177,'Site Dockets'!$C$7:$C$24,F3177)&gt;0,1,0),IF(B3177="REGION LOSS",IF(COUNTIFS('Site Dockets'!$E$7:$E$24,C3177,'Site Dockets'!$C$7:$C$24,F3177)&gt;0,1,0),0))</f>
        <v>0</v>
      </c>
      <c r="L3177" s="15" t="n">
        <f aca="false">IF(J3177=1,0,Inputs!$B$11)</f>
        <v>100</v>
      </c>
      <c r="M3177" s="15" t="n">
        <f aca="false">IF(J3177=1,0,Inputs!$B$12)</f>
        <v>75</v>
      </c>
      <c r="N3177" s="15" t="n">
        <f aca="false">IF(J3177=1,0,IF(OR(AND(OR(B3177="SITE LOSS",B3177="REGION LOSS"),K3177=1),AND(B3177="ROLE COMPROMISE",H3177=C3177)),Inputs!$B$13,Inputs!$B$14))</f>
        <v>10</v>
      </c>
      <c r="O3177" s="15" t="n">
        <f aca="false">IF(J3177=1,0,Inputs!$B$13)</f>
        <v>20</v>
      </c>
      <c r="P3177" s="15" t="n">
        <f aca="false">SUM(M3177:N3177)</f>
        <v>85</v>
      </c>
      <c r="Q3177" s="15" t="n">
        <f aca="false">IF(J3177=1,"",L3177-P3177)</f>
        <v>15</v>
      </c>
      <c r="R3177" s="15" t="n">
        <f aca="false">IF(OR(J3177=1,M3177&lt;=Inputs!$B$12),1,0)</f>
        <v>1</v>
      </c>
      <c r="S3177" s="15" t="n">
        <f aca="false">IF(OR(J3177=1,N3177&lt;=O3177),1,0)</f>
        <v>1</v>
      </c>
      <c r="T3177" s="15" t="str">
        <f aca="false">IF(J3177=1,"OFFLINE",IF(AND(Q3177&gt;=Inputs!$B$15,R3177=1,S3177=1,P3177&lt;=L3177),"PASS","FAIL"))</f>
        <v>PASS</v>
      </c>
    </row>
    <row r="3178" customFormat="false" ht="15" hidden="false" customHeight="false" outlineLevel="0" collapsed="false">
      <c r="A3178" s="14" t="s">
        <v>1054</v>
      </c>
      <c r="B3178" s="14" t="s">
        <v>1055</v>
      </c>
      <c r="C3178" s="14" t="s">
        <v>1056</v>
      </c>
      <c r="D3178" s="14" t="s">
        <v>174</v>
      </c>
      <c r="E3178" s="14" t="s">
        <v>152</v>
      </c>
      <c r="F3178" s="14" t="s">
        <v>175</v>
      </c>
      <c r="G3178" s="14" t="n">
        <v>1</v>
      </c>
      <c r="H3178" s="14" t="s">
        <v>154</v>
      </c>
      <c r="I3178" s="14" t="s">
        <v>895</v>
      </c>
      <c r="J3178" s="15" t="n">
        <f aca="false">IF(B3178="SITE LOSS",IF(D3178=C3178,1,0),IF(B3178="REGION LOSS",IF(E3178=C3178,1,0),0))</f>
        <v>0</v>
      </c>
      <c r="K3178" s="15" t="n">
        <f aca="false">IF(B3178="SITE LOSS",IF(COUNTIFS('Site Dockets'!$B$7:$B$24,C3178,'Site Dockets'!$C$7:$C$24,F3178)&gt;0,1,0),IF(B3178="REGION LOSS",IF(COUNTIFS('Site Dockets'!$E$7:$E$24,C3178,'Site Dockets'!$C$7:$C$24,F3178)&gt;0,1,0),0))</f>
        <v>0</v>
      </c>
      <c r="L3178" s="15" t="n">
        <f aca="false">IF(J3178=1,0,Inputs!$B$11)</f>
        <v>100</v>
      </c>
      <c r="M3178" s="15" t="n">
        <f aca="false">IF(J3178=1,0,Inputs!$B$12)</f>
        <v>75</v>
      </c>
      <c r="N3178" s="15" t="n">
        <f aca="false">IF(J3178=1,0,IF(OR(AND(OR(B3178="SITE LOSS",B3178="REGION LOSS"),K3178=1),AND(B3178="ROLE COMPROMISE",H3178=C3178)),Inputs!$B$13,Inputs!$B$14))</f>
        <v>10</v>
      </c>
      <c r="O3178" s="15" t="n">
        <f aca="false">IF(J3178=1,0,Inputs!$B$13)</f>
        <v>20</v>
      </c>
      <c r="P3178" s="15" t="n">
        <f aca="false">SUM(M3178:N3178)</f>
        <v>85</v>
      </c>
      <c r="Q3178" s="15" t="n">
        <f aca="false">IF(J3178=1,"",L3178-P3178)</f>
        <v>15</v>
      </c>
      <c r="R3178" s="15" t="n">
        <f aca="false">IF(OR(J3178=1,M3178&lt;=Inputs!$B$12),1,0)</f>
        <v>1</v>
      </c>
      <c r="S3178" s="15" t="n">
        <f aca="false">IF(OR(J3178=1,N3178&lt;=O3178),1,0)</f>
        <v>1</v>
      </c>
      <c r="T3178" s="15" t="str">
        <f aca="false">IF(J3178=1,"OFFLINE",IF(AND(Q3178&gt;=Inputs!$B$15,R3178=1,S3178=1,P3178&lt;=L3178),"PASS","FAIL"))</f>
        <v>PASS</v>
      </c>
    </row>
    <row r="3179" customFormat="false" ht="15" hidden="false" customHeight="false" outlineLevel="0" collapsed="false">
      <c r="A3179" s="14" t="s">
        <v>1054</v>
      </c>
      <c r="B3179" s="14" t="s">
        <v>1055</v>
      </c>
      <c r="C3179" s="14" t="s">
        <v>1056</v>
      </c>
      <c r="D3179" s="14" t="s">
        <v>174</v>
      </c>
      <c r="E3179" s="14" t="s">
        <v>152</v>
      </c>
      <c r="F3179" s="14" t="s">
        <v>175</v>
      </c>
      <c r="G3179" s="14" t="n">
        <v>1</v>
      </c>
      <c r="H3179" s="14" t="s">
        <v>154</v>
      </c>
      <c r="I3179" s="14" t="s">
        <v>897</v>
      </c>
      <c r="J3179" s="15" t="n">
        <f aca="false">IF(B3179="SITE LOSS",IF(D3179=C3179,1,0),IF(B3179="REGION LOSS",IF(E3179=C3179,1,0),0))</f>
        <v>0</v>
      </c>
      <c r="K3179" s="15" t="n">
        <f aca="false">IF(B3179="SITE LOSS",IF(COUNTIFS('Site Dockets'!$B$7:$B$24,C3179,'Site Dockets'!$C$7:$C$24,F3179)&gt;0,1,0),IF(B3179="REGION LOSS",IF(COUNTIFS('Site Dockets'!$E$7:$E$24,C3179,'Site Dockets'!$C$7:$C$24,F3179)&gt;0,1,0),0))</f>
        <v>0</v>
      </c>
      <c r="L3179" s="15" t="n">
        <f aca="false">IF(J3179=1,0,Inputs!$B$11)</f>
        <v>100</v>
      </c>
      <c r="M3179" s="15" t="n">
        <f aca="false">IF(J3179=1,0,Inputs!$B$12)</f>
        <v>75</v>
      </c>
      <c r="N3179" s="15" t="n">
        <f aca="false">IF(J3179=1,0,IF(OR(AND(OR(B3179="SITE LOSS",B3179="REGION LOSS"),K3179=1),AND(B3179="ROLE COMPROMISE",H3179=C3179)),Inputs!$B$13,Inputs!$B$14))</f>
        <v>10</v>
      </c>
      <c r="O3179" s="15" t="n">
        <f aca="false">IF(J3179=1,0,Inputs!$B$13)</f>
        <v>20</v>
      </c>
      <c r="P3179" s="15" t="n">
        <f aca="false">SUM(M3179:N3179)</f>
        <v>85</v>
      </c>
      <c r="Q3179" s="15" t="n">
        <f aca="false">IF(J3179=1,"",L3179-P3179)</f>
        <v>15</v>
      </c>
      <c r="R3179" s="15" t="n">
        <f aca="false">IF(OR(J3179=1,M3179&lt;=Inputs!$B$12),1,0)</f>
        <v>1</v>
      </c>
      <c r="S3179" s="15" t="n">
        <f aca="false">IF(OR(J3179=1,N3179&lt;=O3179),1,0)</f>
        <v>1</v>
      </c>
      <c r="T3179" s="15" t="str">
        <f aca="false">IF(J3179=1,"OFFLINE",IF(AND(Q3179&gt;=Inputs!$B$15,R3179=1,S3179=1,P3179&lt;=L3179),"PASS","FAIL"))</f>
        <v>PASS</v>
      </c>
    </row>
    <row r="3180" customFormat="false" ht="15" hidden="false" customHeight="false" outlineLevel="0" collapsed="false">
      <c r="A3180" s="14" t="s">
        <v>1054</v>
      </c>
      <c r="B3180" s="14" t="s">
        <v>1055</v>
      </c>
      <c r="C3180" s="14" t="s">
        <v>1056</v>
      </c>
      <c r="D3180" s="14" t="s">
        <v>174</v>
      </c>
      <c r="E3180" s="14" t="s">
        <v>152</v>
      </c>
      <c r="F3180" s="14" t="s">
        <v>175</v>
      </c>
      <c r="G3180" s="14" t="n">
        <v>1</v>
      </c>
      <c r="H3180" s="14" t="s">
        <v>154</v>
      </c>
      <c r="I3180" s="14" t="s">
        <v>899</v>
      </c>
      <c r="J3180" s="15" t="n">
        <f aca="false">IF(B3180="SITE LOSS",IF(D3180=C3180,1,0),IF(B3180="REGION LOSS",IF(E3180=C3180,1,0),0))</f>
        <v>0</v>
      </c>
      <c r="K3180" s="15" t="n">
        <f aca="false">IF(B3180="SITE LOSS",IF(COUNTIFS('Site Dockets'!$B$7:$B$24,C3180,'Site Dockets'!$C$7:$C$24,F3180)&gt;0,1,0),IF(B3180="REGION LOSS",IF(COUNTIFS('Site Dockets'!$E$7:$E$24,C3180,'Site Dockets'!$C$7:$C$24,F3180)&gt;0,1,0),0))</f>
        <v>0</v>
      </c>
      <c r="L3180" s="15" t="n">
        <f aca="false">IF(J3180=1,0,Inputs!$B$11)</f>
        <v>100</v>
      </c>
      <c r="M3180" s="15" t="n">
        <f aca="false">IF(J3180=1,0,Inputs!$B$12)</f>
        <v>75</v>
      </c>
      <c r="N3180" s="15" t="n">
        <f aca="false">IF(J3180=1,0,IF(OR(AND(OR(B3180="SITE LOSS",B3180="REGION LOSS"),K3180=1),AND(B3180="ROLE COMPROMISE",H3180=C3180)),Inputs!$B$13,Inputs!$B$14))</f>
        <v>10</v>
      </c>
      <c r="O3180" s="15" t="n">
        <f aca="false">IF(J3180=1,0,Inputs!$B$13)</f>
        <v>20</v>
      </c>
      <c r="P3180" s="15" t="n">
        <f aca="false">SUM(M3180:N3180)</f>
        <v>85</v>
      </c>
      <c r="Q3180" s="15" t="n">
        <f aca="false">IF(J3180=1,"",L3180-P3180)</f>
        <v>15</v>
      </c>
      <c r="R3180" s="15" t="n">
        <f aca="false">IF(OR(J3180=1,M3180&lt;=Inputs!$B$12),1,0)</f>
        <v>1</v>
      </c>
      <c r="S3180" s="15" t="n">
        <f aca="false">IF(OR(J3180=1,N3180&lt;=O3180),1,0)</f>
        <v>1</v>
      </c>
      <c r="T3180" s="15" t="str">
        <f aca="false">IF(J3180=1,"OFFLINE",IF(AND(Q3180&gt;=Inputs!$B$15,R3180=1,S3180=1,P3180&lt;=L3180),"PASS","FAIL"))</f>
        <v>PASS</v>
      </c>
    </row>
    <row r="3181" customFormat="false" ht="15" hidden="false" customHeight="false" outlineLevel="0" collapsed="false">
      <c r="A3181" s="14" t="s">
        <v>1054</v>
      </c>
      <c r="B3181" s="14" t="s">
        <v>1055</v>
      </c>
      <c r="C3181" s="14" t="s">
        <v>1056</v>
      </c>
      <c r="D3181" s="14" t="s">
        <v>178</v>
      </c>
      <c r="E3181" s="14" t="s">
        <v>169</v>
      </c>
      <c r="F3181" s="14" t="s">
        <v>175</v>
      </c>
      <c r="G3181" s="14" t="n">
        <v>2</v>
      </c>
      <c r="H3181" s="14" t="s">
        <v>153</v>
      </c>
      <c r="I3181" s="14" t="s">
        <v>890</v>
      </c>
      <c r="J3181" s="15" t="n">
        <f aca="false">IF(B3181="SITE LOSS",IF(D3181=C3181,1,0),IF(B3181="REGION LOSS",IF(E3181=C3181,1,0),0))</f>
        <v>0</v>
      </c>
      <c r="K3181" s="15" t="n">
        <f aca="false">IF(B3181="SITE LOSS",IF(COUNTIFS('Site Dockets'!$B$7:$B$24,C3181,'Site Dockets'!$C$7:$C$24,F3181)&gt;0,1,0),IF(B3181="REGION LOSS",IF(COUNTIFS('Site Dockets'!$E$7:$E$24,C3181,'Site Dockets'!$C$7:$C$24,F3181)&gt;0,1,0),0))</f>
        <v>0</v>
      </c>
      <c r="L3181" s="15" t="n">
        <f aca="false">IF(J3181=1,0,Inputs!$B$11)</f>
        <v>100</v>
      </c>
      <c r="M3181" s="15" t="n">
        <f aca="false">IF(J3181=1,0,Inputs!$B$12)</f>
        <v>75</v>
      </c>
      <c r="N3181" s="15" t="n">
        <f aca="false">IF(J3181=1,0,IF(OR(AND(OR(B3181="SITE LOSS",B3181="REGION LOSS"),K3181=1),AND(B3181="ROLE COMPROMISE",H3181=C3181)),Inputs!$B$13,Inputs!$B$14))</f>
        <v>10</v>
      </c>
      <c r="O3181" s="15" t="n">
        <f aca="false">IF(J3181=1,0,Inputs!$B$13)</f>
        <v>20</v>
      </c>
      <c r="P3181" s="15" t="n">
        <f aca="false">SUM(M3181:N3181)</f>
        <v>85</v>
      </c>
      <c r="Q3181" s="15" t="n">
        <f aca="false">IF(J3181=1,"",L3181-P3181)</f>
        <v>15</v>
      </c>
      <c r="R3181" s="15" t="n">
        <f aca="false">IF(OR(J3181=1,M3181&lt;=Inputs!$B$12),1,0)</f>
        <v>1</v>
      </c>
      <c r="S3181" s="15" t="n">
        <f aca="false">IF(OR(J3181=1,N3181&lt;=O3181),1,0)</f>
        <v>1</v>
      </c>
      <c r="T3181" s="15" t="str">
        <f aca="false">IF(J3181=1,"OFFLINE",IF(AND(Q3181&gt;=Inputs!$B$15,R3181=1,S3181=1,P3181&lt;=L3181),"PASS","FAIL"))</f>
        <v>PASS</v>
      </c>
    </row>
    <row r="3182" customFormat="false" ht="15" hidden="false" customHeight="false" outlineLevel="0" collapsed="false">
      <c r="A3182" s="14" t="s">
        <v>1054</v>
      </c>
      <c r="B3182" s="14" t="s">
        <v>1055</v>
      </c>
      <c r="C3182" s="14" t="s">
        <v>1056</v>
      </c>
      <c r="D3182" s="14" t="s">
        <v>178</v>
      </c>
      <c r="E3182" s="14" t="s">
        <v>169</v>
      </c>
      <c r="F3182" s="14" t="s">
        <v>175</v>
      </c>
      <c r="G3182" s="14" t="n">
        <v>2</v>
      </c>
      <c r="H3182" s="14" t="s">
        <v>153</v>
      </c>
      <c r="I3182" s="14" t="s">
        <v>892</v>
      </c>
      <c r="J3182" s="15" t="n">
        <f aca="false">IF(B3182="SITE LOSS",IF(D3182=C3182,1,0),IF(B3182="REGION LOSS",IF(E3182=C3182,1,0),0))</f>
        <v>0</v>
      </c>
      <c r="K3182" s="15" t="n">
        <f aca="false">IF(B3182="SITE LOSS",IF(COUNTIFS('Site Dockets'!$B$7:$B$24,C3182,'Site Dockets'!$C$7:$C$24,F3182)&gt;0,1,0),IF(B3182="REGION LOSS",IF(COUNTIFS('Site Dockets'!$E$7:$E$24,C3182,'Site Dockets'!$C$7:$C$24,F3182)&gt;0,1,0),0))</f>
        <v>0</v>
      </c>
      <c r="L3182" s="15" t="n">
        <f aca="false">IF(J3182=1,0,Inputs!$B$11)</f>
        <v>100</v>
      </c>
      <c r="M3182" s="15" t="n">
        <f aca="false">IF(J3182=1,0,Inputs!$B$12)</f>
        <v>75</v>
      </c>
      <c r="N3182" s="15" t="n">
        <f aca="false">IF(J3182=1,0,IF(OR(AND(OR(B3182="SITE LOSS",B3182="REGION LOSS"),K3182=1),AND(B3182="ROLE COMPROMISE",H3182=C3182)),Inputs!$B$13,Inputs!$B$14))</f>
        <v>10</v>
      </c>
      <c r="O3182" s="15" t="n">
        <f aca="false">IF(J3182=1,0,Inputs!$B$13)</f>
        <v>20</v>
      </c>
      <c r="P3182" s="15" t="n">
        <f aca="false">SUM(M3182:N3182)</f>
        <v>85</v>
      </c>
      <c r="Q3182" s="15" t="n">
        <f aca="false">IF(J3182=1,"",L3182-P3182)</f>
        <v>15</v>
      </c>
      <c r="R3182" s="15" t="n">
        <f aca="false">IF(OR(J3182=1,M3182&lt;=Inputs!$B$12),1,0)</f>
        <v>1</v>
      </c>
      <c r="S3182" s="15" t="n">
        <f aca="false">IF(OR(J3182=1,N3182&lt;=O3182),1,0)</f>
        <v>1</v>
      </c>
      <c r="T3182" s="15" t="str">
        <f aca="false">IF(J3182=1,"OFFLINE",IF(AND(Q3182&gt;=Inputs!$B$15,R3182=1,S3182=1,P3182&lt;=L3182),"PASS","FAIL"))</f>
        <v>PASS</v>
      </c>
    </row>
    <row r="3183" customFormat="false" ht="15" hidden="false" customHeight="false" outlineLevel="0" collapsed="false">
      <c r="A3183" s="14" t="s">
        <v>1054</v>
      </c>
      <c r="B3183" s="14" t="s">
        <v>1055</v>
      </c>
      <c r="C3183" s="14" t="s">
        <v>1056</v>
      </c>
      <c r="D3183" s="14" t="s">
        <v>178</v>
      </c>
      <c r="E3183" s="14" t="s">
        <v>169</v>
      </c>
      <c r="F3183" s="14" t="s">
        <v>175</v>
      </c>
      <c r="G3183" s="14" t="n">
        <v>2</v>
      </c>
      <c r="H3183" s="14" t="s">
        <v>153</v>
      </c>
      <c r="I3183" s="14" t="s">
        <v>811</v>
      </c>
      <c r="J3183" s="15" t="n">
        <f aca="false">IF(B3183="SITE LOSS",IF(D3183=C3183,1,0),IF(B3183="REGION LOSS",IF(E3183=C3183,1,0),0))</f>
        <v>0</v>
      </c>
      <c r="K3183" s="15" t="n">
        <f aca="false">IF(B3183="SITE LOSS",IF(COUNTIFS('Site Dockets'!$B$7:$B$24,C3183,'Site Dockets'!$C$7:$C$24,F3183)&gt;0,1,0),IF(B3183="REGION LOSS",IF(COUNTIFS('Site Dockets'!$E$7:$E$24,C3183,'Site Dockets'!$C$7:$C$24,F3183)&gt;0,1,0),0))</f>
        <v>0</v>
      </c>
      <c r="L3183" s="15" t="n">
        <f aca="false">IF(J3183=1,0,Inputs!$B$11)</f>
        <v>100</v>
      </c>
      <c r="M3183" s="15" t="n">
        <f aca="false">IF(J3183=1,0,Inputs!$B$12)</f>
        <v>75</v>
      </c>
      <c r="N3183" s="15" t="n">
        <f aca="false">IF(J3183=1,0,IF(OR(AND(OR(B3183="SITE LOSS",B3183="REGION LOSS"),K3183=1),AND(B3183="ROLE COMPROMISE",H3183=C3183)),Inputs!$B$13,Inputs!$B$14))</f>
        <v>10</v>
      </c>
      <c r="O3183" s="15" t="n">
        <f aca="false">IF(J3183=1,0,Inputs!$B$13)</f>
        <v>20</v>
      </c>
      <c r="P3183" s="15" t="n">
        <f aca="false">SUM(M3183:N3183)</f>
        <v>85</v>
      </c>
      <c r="Q3183" s="15" t="n">
        <f aca="false">IF(J3183=1,"",L3183-P3183)</f>
        <v>15</v>
      </c>
      <c r="R3183" s="15" t="n">
        <f aca="false">IF(OR(J3183=1,M3183&lt;=Inputs!$B$12),1,0)</f>
        <v>1</v>
      </c>
      <c r="S3183" s="15" t="n">
        <f aca="false">IF(OR(J3183=1,N3183&lt;=O3183),1,0)</f>
        <v>1</v>
      </c>
      <c r="T3183" s="15" t="str">
        <f aca="false">IF(J3183=1,"OFFLINE",IF(AND(Q3183&gt;=Inputs!$B$15,R3183=1,S3183=1,P3183&lt;=L3183),"PASS","FAIL"))</f>
        <v>PASS</v>
      </c>
    </row>
    <row r="3184" customFormat="false" ht="15" hidden="false" customHeight="false" outlineLevel="0" collapsed="false">
      <c r="A3184" s="14" t="s">
        <v>1054</v>
      </c>
      <c r="B3184" s="14" t="s">
        <v>1055</v>
      </c>
      <c r="C3184" s="14" t="s">
        <v>1056</v>
      </c>
      <c r="D3184" s="14" t="s">
        <v>178</v>
      </c>
      <c r="E3184" s="14" t="s">
        <v>169</v>
      </c>
      <c r="F3184" s="14" t="s">
        <v>175</v>
      </c>
      <c r="G3184" s="14" t="n">
        <v>2</v>
      </c>
      <c r="H3184" s="14" t="s">
        <v>153</v>
      </c>
      <c r="I3184" s="14" t="s">
        <v>895</v>
      </c>
      <c r="J3184" s="15" t="n">
        <f aca="false">IF(B3184="SITE LOSS",IF(D3184=C3184,1,0),IF(B3184="REGION LOSS",IF(E3184=C3184,1,0),0))</f>
        <v>0</v>
      </c>
      <c r="K3184" s="15" t="n">
        <f aca="false">IF(B3184="SITE LOSS",IF(COUNTIFS('Site Dockets'!$B$7:$B$24,C3184,'Site Dockets'!$C$7:$C$24,F3184)&gt;0,1,0),IF(B3184="REGION LOSS",IF(COUNTIFS('Site Dockets'!$E$7:$E$24,C3184,'Site Dockets'!$C$7:$C$24,F3184)&gt;0,1,0),0))</f>
        <v>0</v>
      </c>
      <c r="L3184" s="15" t="n">
        <f aca="false">IF(J3184=1,0,Inputs!$B$11)</f>
        <v>100</v>
      </c>
      <c r="M3184" s="15" t="n">
        <f aca="false">IF(J3184=1,0,Inputs!$B$12)</f>
        <v>75</v>
      </c>
      <c r="N3184" s="15" t="n">
        <f aca="false">IF(J3184=1,0,IF(OR(AND(OR(B3184="SITE LOSS",B3184="REGION LOSS"),K3184=1),AND(B3184="ROLE COMPROMISE",H3184=C3184)),Inputs!$B$13,Inputs!$B$14))</f>
        <v>10</v>
      </c>
      <c r="O3184" s="15" t="n">
        <f aca="false">IF(J3184=1,0,Inputs!$B$13)</f>
        <v>20</v>
      </c>
      <c r="P3184" s="15" t="n">
        <f aca="false">SUM(M3184:N3184)</f>
        <v>85</v>
      </c>
      <c r="Q3184" s="15" t="n">
        <f aca="false">IF(J3184=1,"",L3184-P3184)</f>
        <v>15</v>
      </c>
      <c r="R3184" s="15" t="n">
        <f aca="false">IF(OR(J3184=1,M3184&lt;=Inputs!$B$12),1,0)</f>
        <v>1</v>
      </c>
      <c r="S3184" s="15" t="n">
        <f aca="false">IF(OR(J3184=1,N3184&lt;=O3184),1,0)</f>
        <v>1</v>
      </c>
      <c r="T3184" s="15" t="str">
        <f aca="false">IF(J3184=1,"OFFLINE",IF(AND(Q3184&gt;=Inputs!$B$15,R3184=1,S3184=1,P3184&lt;=L3184),"PASS","FAIL"))</f>
        <v>PASS</v>
      </c>
    </row>
    <row r="3185" customFormat="false" ht="15" hidden="false" customHeight="false" outlineLevel="0" collapsed="false">
      <c r="A3185" s="14" t="s">
        <v>1054</v>
      </c>
      <c r="B3185" s="14" t="s">
        <v>1055</v>
      </c>
      <c r="C3185" s="14" t="s">
        <v>1056</v>
      </c>
      <c r="D3185" s="14" t="s">
        <v>178</v>
      </c>
      <c r="E3185" s="14" t="s">
        <v>169</v>
      </c>
      <c r="F3185" s="14" t="s">
        <v>175</v>
      </c>
      <c r="G3185" s="14" t="n">
        <v>2</v>
      </c>
      <c r="H3185" s="14" t="s">
        <v>153</v>
      </c>
      <c r="I3185" s="14" t="s">
        <v>897</v>
      </c>
      <c r="J3185" s="15" t="n">
        <f aca="false">IF(B3185="SITE LOSS",IF(D3185=C3185,1,0),IF(B3185="REGION LOSS",IF(E3185=C3185,1,0),0))</f>
        <v>0</v>
      </c>
      <c r="K3185" s="15" t="n">
        <f aca="false">IF(B3185="SITE LOSS",IF(COUNTIFS('Site Dockets'!$B$7:$B$24,C3185,'Site Dockets'!$C$7:$C$24,F3185)&gt;0,1,0),IF(B3185="REGION LOSS",IF(COUNTIFS('Site Dockets'!$E$7:$E$24,C3185,'Site Dockets'!$C$7:$C$24,F3185)&gt;0,1,0),0))</f>
        <v>0</v>
      </c>
      <c r="L3185" s="15" t="n">
        <f aca="false">IF(J3185=1,0,Inputs!$B$11)</f>
        <v>100</v>
      </c>
      <c r="M3185" s="15" t="n">
        <f aca="false">IF(J3185=1,0,Inputs!$B$12)</f>
        <v>75</v>
      </c>
      <c r="N3185" s="15" t="n">
        <f aca="false">IF(J3185=1,0,IF(OR(AND(OR(B3185="SITE LOSS",B3185="REGION LOSS"),K3185=1),AND(B3185="ROLE COMPROMISE",H3185=C3185)),Inputs!$B$13,Inputs!$B$14))</f>
        <v>10</v>
      </c>
      <c r="O3185" s="15" t="n">
        <f aca="false">IF(J3185=1,0,Inputs!$B$13)</f>
        <v>20</v>
      </c>
      <c r="P3185" s="15" t="n">
        <f aca="false">SUM(M3185:N3185)</f>
        <v>85</v>
      </c>
      <c r="Q3185" s="15" t="n">
        <f aca="false">IF(J3185=1,"",L3185-P3185)</f>
        <v>15</v>
      </c>
      <c r="R3185" s="15" t="n">
        <f aca="false">IF(OR(J3185=1,M3185&lt;=Inputs!$B$12),1,0)</f>
        <v>1</v>
      </c>
      <c r="S3185" s="15" t="n">
        <f aca="false">IF(OR(J3185=1,N3185&lt;=O3185),1,0)</f>
        <v>1</v>
      </c>
      <c r="T3185" s="15" t="str">
        <f aca="false">IF(J3185=1,"OFFLINE",IF(AND(Q3185&gt;=Inputs!$B$15,R3185=1,S3185=1,P3185&lt;=L3185),"PASS","FAIL"))</f>
        <v>PASS</v>
      </c>
    </row>
    <row r="3186" customFormat="false" ht="15" hidden="false" customHeight="false" outlineLevel="0" collapsed="false">
      <c r="A3186" s="14" t="s">
        <v>1054</v>
      </c>
      <c r="B3186" s="14" t="s">
        <v>1055</v>
      </c>
      <c r="C3186" s="14" t="s">
        <v>1056</v>
      </c>
      <c r="D3186" s="14" t="s">
        <v>178</v>
      </c>
      <c r="E3186" s="14" t="s">
        <v>169</v>
      </c>
      <c r="F3186" s="14" t="s">
        <v>175</v>
      </c>
      <c r="G3186" s="14" t="n">
        <v>2</v>
      </c>
      <c r="H3186" s="14" t="s">
        <v>153</v>
      </c>
      <c r="I3186" s="14" t="s">
        <v>899</v>
      </c>
      <c r="J3186" s="15" t="n">
        <f aca="false">IF(B3186="SITE LOSS",IF(D3186=C3186,1,0),IF(B3186="REGION LOSS",IF(E3186=C3186,1,0),0))</f>
        <v>0</v>
      </c>
      <c r="K3186" s="15" t="n">
        <f aca="false">IF(B3186="SITE LOSS",IF(COUNTIFS('Site Dockets'!$B$7:$B$24,C3186,'Site Dockets'!$C$7:$C$24,F3186)&gt;0,1,0),IF(B3186="REGION LOSS",IF(COUNTIFS('Site Dockets'!$E$7:$E$24,C3186,'Site Dockets'!$C$7:$C$24,F3186)&gt;0,1,0),0))</f>
        <v>0</v>
      </c>
      <c r="L3186" s="15" t="n">
        <f aca="false">IF(J3186=1,0,Inputs!$B$11)</f>
        <v>100</v>
      </c>
      <c r="M3186" s="15" t="n">
        <f aca="false">IF(J3186=1,0,Inputs!$B$12)</f>
        <v>75</v>
      </c>
      <c r="N3186" s="15" t="n">
        <f aca="false">IF(J3186=1,0,IF(OR(AND(OR(B3186="SITE LOSS",B3186="REGION LOSS"),K3186=1),AND(B3186="ROLE COMPROMISE",H3186=C3186)),Inputs!$B$13,Inputs!$B$14))</f>
        <v>10</v>
      </c>
      <c r="O3186" s="15" t="n">
        <f aca="false">IF(J3186=1,0,Inputs!$B$13)</f>
        <v>20</v>
      </c>
      <c r="P3186" s="15" t="n">
        <f aca="false">SUM(M3186:N3186)</f>
        <v>85</v>
      </c>
      <c r="Q3186" s="15" t="n">
        <f aca="false">IF(J3186=1,"",L3186-P3186)</f>
        <v>15</v>
      </c>
      <c r="R3186" s="15" t="n">
        <f aca="false">IF(OR(J3186=1,M3186&lt;=Inputs!$B$12),1,0)</f>
        <v>1</v>
      </c>
      <c r="S3186" s="15" t="n">
        <f aca="false">IF(OR(J3186=1,N3186&lt;=O3186),1,0)</f>
        <v>1</v>
      </c>
      <c r="T3186" s="15" t="str">
        <f aca="false">IF(J3186=1,"OFFLINE",IF(AND(Q3186&gt;=Inputs!$B$15,R3186=1,S3186=1,P3186&lt;=L3186),"PASS","FAIL"))</f>
        <v>PASS</v>
      </c>
    </row>
    <row r="3187" customFormat="false" ht="15" hidden="false" customHeight="false" outlineLevel="0" collapsed="false">
      <c r="A3187" s="14" t="s">
        <v>1054</v>
      </c>
      <c r="B3187" s="14" t="s">
        <v>1055</v>
      </c>
      <c r="C3187" s="14" t="s">
        <v>1056</v>
      </c>
      <c r="D3187" s="14" t="s">
        <v>180</v>
      </c>
      <c r="E3187" s="14" t="s">
        <v>161</v>
      </c>
      <c r="F3187" s="14" t="s">
        <v>175</v>
      </c>
      <c r="G3187" s="14" t="n">
        <v>3</v>
      </c>
      <c r="H3187" s="14" t="s">
        <v>158</v>
      </c>
      <c r="I3187" s="14" t="s">
        <v>890</v>
      </c>
      <c r="J3187" s="15" t="n">
        <f aca="false">IF(B3187="SITE LOSS",IF(D3187=C3187,1,0),IF(B3187="REGION LOSS",IF(E3187=C3187,1,0),0))</f>
        <v>0</v>
      </c>
      <c r="K3187" s="15" t="n">
        <f aca="false">IF(B3187="SITE LOSS",IF(COUNTIFS('Site Dockets'!$B$7:$B$24,C3187,'Site Dockets'!$C$7:$C$24,F3187)&gt;0,1,0),IF(B3187="REGION LOSS",IF(COUNTIFS('Site Dockets'!$E$7:$E$24,C3187,'Site Dockets'!$C$7:$C$24,F3187)&gt;0,1,0),0))</f>
        <v>0</v>
      </c>
      <c r="L3187" s="15" t="n">
        <f aca="false">IF(J3187=1,0,Inputs!$B$11)</f>
        <v>100</v>
      </c>
      <c r="M3187" s="15" t="n">
        <f aca="false">IF(J3187=1,0,Inputs!$B$12)</f>
        <v>75</v>
      </c>
      <c r="N3187" s="15" t="n">
        <f aca="false">IF(J3187=1,0,IF(OR(AND(OR(B3187="SITE LOSS",B3187="REGION LOSS"),K3187=1),AND(B3187="ROLE COMPROMISE",H3187=C3187)),Inputs!$B$13,Inputs!$B$14))</f>
        <v>10</v>
      </c>
      <c r="O3187" s="15" t="n">
        <f aca="false">IF(J3187=1,0,Inputs!$B$13)</f>
        <v>20</v>
      </c>
      <c r="P3187" s="15" t="n">
        <f aca="false">SUM(M3187:N3187)</f>
        <v>85</v>
      </c>
      <c r="Q3187" s="15" t="n">
        <f aca="false">IF(J3187=1,"",L3187-P3187)</f>
        <v>15</v>
      </c>
      <c r="R3187" s="15" t="n">
        <f aca="false">IF(OR(J3187=1,M3187&lt;=Inputs!$B$12),1,0)</f>
        <v>1</v>
      </c>
      <c r="S3187" s="15" t="n">
        <f aca="false">IF(OR(J3187=1,N3187&lt;=O3187),1,0)</f>
        <v>1</v>
      </c>
      <c r="T3187" s="15" t="str">
        <f aca="false">IF(J3187=1,"OFFLINE",IF(AND(Q3187&gt;=Inputs!$B$15,R3187=1,S3187=1,P3187&lt;=L3187),"PASS","FAIL"))</f>
        <v>PASS</v>
      </c>
    </row>
    <row r="3188" customFormat="false" ht="15" hidden="false" customHeight="false" outlineLevel="0" collapsed="false">
      <c r="A3188" s="14" t="s">
        <v>1054</v>
      </c>
      <c r="B3188" s="14" t="s">
        <v>1055</v>
      </c>
      <c r="C3188" s="14" t="s">
        <v>1056</v>
      </c>
      <c r="D3188" s="14" t="s">
        <v>180</v>
      </c>
      <c r="E3188" s="14" t="s">
        <v>161</v>
      </c>
      <c r="F3188" s="14" t="s">
        <v>175</v>
      </c>
      <c r="G3188" s="14" t="n">
        <v>3</v>
      </c>
      <c r="H3188" s="14" t="s">
        <v>158</v>
      </c>
      <c r="I3188" s="14" t="s">
        <v>892</v>
      </c>
      <c r="J3188" s="15" t="n">
        <f aca="false">IF(B3188="SITE LOSS",IF(D3188=C3188,1,0),IF(B3188="REGION LOSS",IF(E3188=C3188,1,0),0))</f>
        <v>0</v>
      </c>
      <c r="K3188" s="15" t="n">
        <f aca="false">IF(B3188="SITE LOSS",IF(COUNTIFS('Site Dockets'!$B$7:$B$24,C3188,'Site Dockets'!$C$7:$C$24,F3188)&gt;0,1,0),IF(B3188="REGION LOSS",IF(COUNTIFS('Site Dockets'!$E$7:$E$24,C3188,'Site Dockets'!$C$7:$C$24,F3188)&gt;0,1,0),0))</f>
        <v>0</v>
      </c>
      <c r="L3188" s="15" t="n">
        <f aca="false">IF(J3188=1,0,Inputs!$B$11)</f>
        <v>100</v>
      </c>
      <c r="M3188" s="15" t="n">
        <f aca="false">IF(J3188=1,0,Inputs!$B$12)</f>
        <v>75</v>
      </c>
      <c r="N3188" s="15" t="n">
        <f aca="false">IF(J3188=1,0,IF(OR(AND(OR(B3188="SITE LOSS",B3188="REGION LOSS"),K3188=1),AND(B3188="ROLE COMPROMISE",H3188=C3188)),Inputs!$B$13,Inputs!$B$14))</f>
        <v>10</v>
      </c>
      <c r="O3188" s="15" t="n">
        <f aca="false">IF(J3188=1,0,Inputs!$B$13)</f>
        <v>20</v>
      </c>
      <c r="P3188" s="15" t="n">
        <f aca="false">SUM(M3188:N3188)</f>
        <v>85</v>
      </c>
      <c r="Q3188" s="15" t="n">
        <f aca="false">IF(J3188=1,"",L3188-P3188)</f>
        <v>15</v>
      </c>
      <c r="R3188" s="15" t="n">
        <f aca="false">IF(OR(J3188=1,M3188&lt;=Inputs!$B$12),1,0)</f>
        <v>1</v>
      </c>
      <c r="S3188" s="15" t="n">
        <f aca="false">IF(OR(J3188=1,N3188&lt;=O3188),1,0)</f>
        <v>1</v>
      </c>
      <c r="T3188" s="15" t="str">
        <f aca="false">IF(J3188=1,"OFFLINE",IF(AND(Q3188&gt;=Inputs!$B$15,R3188=1,S3188=1,P3188&lt;=L3188),"PASS","FAIL"))</f>
        <v>PASS</v>
      </c>
    </row>
    <row r="3189" customFormat="false" ht="15" hidden="false" customHeight="false" outlineLevel="0" collapsed="false">
      <c r="A3189" s="14" t="s">
        <v>1054</v>
      </c>
      <c r="B3189" s="14" t="s">
        <v>1055</v>
      </c>
      <c r="C3189" s="14" t="s">
        <v>1056</v>
      </c>
      <c r="D3189" s="14" t="s">
        <v>180</v>
      </c>
      <c r="E3189" s="14" t="s">
        <v>161</v>
      </c>
      <c r="F3189" s="14" t="s">
        <v>175</v>
      </c>
      <c r="G3189" s="14" t="n">
        <v>3</v>
      </c>
      <c r="H3189" s="14" t="s">
        <v>158</v>
      </c>
      <c r="I3189" s="14" t="s">
        <v>811</v>
      </c>
      <c r="J3189" s="15" t="n">
        <f aca="false">IF(B3189="SITE LOSS",IF(D3189=C3189,1,0),IF(B3189="REGION LOSS",IF(E3189=C3189,1,0),0))</f>
        <v>0</v>
      </c>
      <c r="K3189" s="15" t="n">
        <f aca="false">IF(B3189="SITE LOSS",IF(COUNTIFS('Site Dockets'!$B$7:$B$24,C3189,'Site Dockets'!$C$7:$C$24,F3189)&gt;0,1,0),IF(B3189="REGION LOSS",IF(COUNTIFS('Site Dockets'!$E$7:$E$24,C3189,'Site Dockets'!$C$7:$C$24,F3189)&gt;0,1,0),0))</f>
        <v>0</v>
      </c>
      <c r="L3189" s="15" t="n">
        <f aca="false">IF(J3189=1,0,Inputs!$B$11)</f>
        <v>100</v>
      </c>
      <c r="M3189" s="15" t="n">
        <f aca="false">IF(J3189=1,0,Inputs!$B$12)</f>
        <v>75</v>
      </c>
      <c r="N3189" s="15" t="n">
        <f aca="false">IF(J3189=1,0,IF(OR(AND(OR(B3189="SITE LOSS",B3189="REGION LOSS"),K3189=1),AND(B3189="ROLE COMPROMISE",H3189=C3189)),Inputs!$B$13,Inputs!$B$14))</f>
        <v>10</v>
      </c>
      <c r="O3189" s="15" t="n">
        <f aca="false">IF(J3189=1,0,Inputs!$B$13)</f>
        <v>20</v>
      </c>
      <c r="P3189" s="15" t="n">
        <f aca="false">SUM(M3189:N3189)</f>
        <v>85</v>
      </c>
      <c r="Q3189" s="15" t="n">
        <f aca="false">IF(J3189=1,"",L3189-P3189)</f>
        <v>15</v>
      </c>
      <c r="R3189" s="15" t="n">
        <f aca="false">IF(OR(J3189=1,M3189&lt;=Inputs!$B$12),1,0)</f>
        <v>1</v>
      </c>
      <c r="S3189" s="15" t="n">
        <f aca="false">IF(OR(J3189=1,N3189&lt;=O3189),1,0)</f>
        <v>1</v>
      </c>
      <c r="T3189" s="15" t="str">
        <f aca="false">IF(J3189=1,"OFFLINE",IF(AND(Q3189&gt;=Inputs!$B$15,R3189=1,S3189=1,P3189&lt;=L3189),"PASS","FAIL"))</f>
        <v>PASS</v>
      </c>
    </row>
    <row r="3190" customFormat="false" ht="15" hidden="false" customHeight="false" outlineLevel="0" collapsed="false">
      <c r="A3190" s="14" t="s">
        <v>1054</v>
      </c>
      <c r="B3190" s="14" t="s">
        <v>1055</v>
      </c>
      <c r="C3190" s="14" t="s">
        <v>1056</v>
      </c>
      <c r="D3190" s="14" t="s">
        <v>180</v>
      </c>
      <c r="E3190" s="14" t="s">
        <v>161</v>
      </c>
      <c r="F3190" s="14" t="s">
        <v>175</v>
      </c>
      <c r="G3190" s="14" t="n">
        <v>3</v>
      </c>
      <c r="H3190" s="14" t="s">
        <v>158</v>
      </c>
      <c r="I3190" s="14" t="s">
        <v>895</v>
      </c>
      <c r="J3190" s="15" t="n">
        <f aca="false">IF(B3190="SITE LOSS",IF(D3190=C3190,1,0),IF(B3190="REGION LOSS",IF(E3190=C3190,1,0),0))</f>
        <v>0</v>
      </c>
      <c r="K3190" s="15" t="n">
        <f aca="false">IF(B3190="SITE LOSS",IF(COUNTIFS('Site Dockets'!$B$7:$B$24,C3190,'Site Dockets'!$C$7:$C$24,F3190)&gt;0,1,0),IF(B3190="REGION LOSS",IF(COUNTIFS('Site Dockets'!$E$7:$E$24,C3190,'Site Dockets'!$C$7:$C$24,F3190)&gt;0,1,0),0))</f>
        <v>0</v>
      </c>
      <c r="L3190" s="15" t="n">
        <f aca="false">IF(J3190=1,0,Inputs!$B$11)</f>
        <v>100</v>
      </c>
      <c r="M3190" s="15" t="n">
        <f aca="false">IF(J3190=1,0,Inputs!$B$12)</f>
        <v>75</v>
      </c>
      <c r="N3190" s="15" t="n">
        <f aca="false">IF(J3190=1,0,IF(OR(AND(OR(B3190="SITE LOSS",B3190="REGION LOSS"),K3190=1),AND(B3190="ROLE COMPROMISE",H3190=C3190)),Inputs!$B$13,Inputs!$B$14))</f>
        <v>10</v>
      </c>
      <c r="O3190" s="15" t="n">
        <f aca="false">IF(J3190=1,0,Inputs!$B$13)</f>
        <v>20</v>
      </c>
      <c r="P3190" s="15" t="n">
        <f aca="false">SUM(M3190:N3190)</f>
        <v>85</v>
      </c>
      <c r="Q3190" s="15" t="n">
        <f aca="false">IF(J3190=1,"",L3190-P3190)</f>
        <v>15</v>
      </c>
      <c r="R3190" s="15" t="n">
        <f aca="false">IF(OR(J3190=1,M3190&lt;=Inputs!$B$12),1,0)</f>
        <v>1</v>
      </c>
      <c r="S3190" s="15" t="n">
        <f aca="false">IF(OR(J3190=1,N3190&lt;=O3190),1,0)</f>
        <v>1</v>
      </c>
      <c r="T3190" s="15" t="str">
        <f aca="false">IF(J3190=1,"OFFLINE",IF(AND(Q3190&gt;=Inputs!$B$15,R3190=1,S3190=1,P3190&lt;=L3190),"PASS","FAIL"))</f>
        <v>PASS</v>
      </c>
    </row>
    <row r="3191" customFormat="false" ht="15" hidden="false" customHeight="false" outlineLevel="0" collapsed="false">
      <c r="A3191" s="14" t="s">
        <v>1054</v>
      </c>
      <c r="B3191" s="14" t="s">
        <v>1055</v>
      </c>
      <c r="C3191" s="14" t="s">
        <v>1056</v>
      </c>
      <c r="D3191" s="14" t="s">
        <v>180</v>
      </c>
      <c r="E3191" s="14" t="s">
        <v>161</v>
      </c>
      <c r="F3191" s="14" t="s">
        <v>175</v>
      </c>
      <c r="G3191" s="14" t="n">
        <v>3</v>
      </c>
      <c r="H3191" s="14" t="s">
        <v>158</v>
      </c>
      <c r="I3191" s="14" t="s">
        <v>897</v>
      </c>
      <c r="J3191" s="15" t="n">
        <f aca="false">IF(B3191="SITE LOSS",IF(D3191=C3191,1,0),IF(B3191="REGION LOSS",IF(E3191=C3191,1,0),0))</f>
        <v>0</v>
      </c>
      <c r="K3191" s="15" t="n">
        <f aca="false">IF(B3191="SITE LOSS",IF(COUNTIFS('Site Dockets'!$B$7:$B$24,C3191,'Site Dockets'!$C$7:$C$24,F3191)&gt;0,1,0),IF(B3191="REGION LOSS",IF(COUNTIFS('Site Dockets'!$E$7:$E$24,C3191,'Site Dockets'!$C$7:$C$24,F3191)&gt;0,1,0),0))</f>
        <v>0</v>
      </c>
      <c r="L3191" s="15" t="n">
        <f aca="false">IF(J3191=1,0,Inputs!$B$11)</f>
        <v>100</v>
      </c>
      <c r="M3191" s="15" t="n">
        <f aca="false">IF(J3191=1,0,Inputs!$B$12)</f>
        <v>75</v>
      </c>
      <c r="N3191" s="15" t="n">
        <f aca="false">IF(J3191=1,0,IF(OR(AND(OR(B3191="SITE LOSS",B3191="REGION LOSS"),K3191=1),AND(B3191="ROLE COMPROMISE",H3191=C3191)),Inputs!$B$13,Inputs!$B$14))</f>
        <v>10</v>
      </c>
      <c r="O3191" s="15" t="n">
        <f aca="false">IF(J3191=1,0,Inputs!$B$13)</f>
        <v>20</v>
      </c>
      <c r="P3191" s="15" t="n">
        <f aca="false">SUM(M3191:N3191)</f>
        <v>85</v>
      </c>
      <c r="Q3191" s="15" t="n">
        <f aca="false">IF(J3191=1,"",L3191-P3191)</f>
        <v>15</v>
      </c>
      <c r="R3191" s="15" t="n">
        <f aca="false">IF(OR(J3191=1,M3191&lt;=Inputs!$B$12),1,0)</f>
        <v>1</v>
      </c>
      <c r="S3191" s="15" t="n">
        <f aca="false">IF(OR(J3191=1,N3191&lt;=O3191),1,0)</f>
        <v>1</v>
      </c>
      <c r="T3191" s="15" t="str">
        <f aca="false">IF(J3191=1,"OFFLINE",IF(AND(Q3191&gt;=Inputs!$B$15,R3191=1,S3191=1,P3191&lt;=L3191),"PASS","FAIL"))</f>
        <v>PASS</v>
      </c>
    </row>
    <row r="3192" customFormat="false" ht="15" hidden="false" customHeight="false" outlineLevel="0" collapsed="false">
      <c r="A3192" s="14" t="s">
        <v>1054</v>
      </c>
      <c r="B3192" s="14" t="s">
        <v>1055</v>
      </c>
      <c r="C3192" s="14" t="s">
        <v>1056</v>
      </c>
      <c r="D3192" s="14" t="s">
        <v>180</v>
      </c>
      <c r="E3192" s="14" t="s">
        <v>161</v>
      </c>
      <c r="F3192" s="14" t="s">
        <v>175</v>
      </c>
      <c r="G3192" s="14" t="n">
        <v>3</v>
      </c>
      <c r="H3192" s="14" t="s">
        <v>158</v>
      </c>
      <c r="I3192" s="14" t="s">
        <v>899</v>
      </c>
      <c r="J3192" s="15" t="n">
        <f aca="false">IF(B3192="SITE LOSS",IF(D3192=C3192,1,0),IF(B3192="REGION LOSS",IF(E3192=C3192,1,0),0))</f>
        <v>0</v>
      </c>
      <c r="K3192" s="15" t="n">
        <f aca="false">IF(B3192="SITE LOSS",IF(COUNTIFS('Site Dockets'!$B$7:$B$24,C3192,'Site Dockets'!$C$7:$C$24,F3192)&gt;0,1,0),IF(B3192="REGION LOSS",IF(COUNTIFS('Site Dockets'!$E$7:$E$24,C3192,'Site Dockets'!$C$7:$C$24,F3192)&gt;0,1,0),0))</f>
        <v>0</v>
      </c>
      <c r="L3192" s="15" t="n">
        <f aca="false">IF(J3192=1,0,Inputs!$B$11)</f>
        <v>100</v>
      </c>
      <c r="M3192" s="15" t="n">
        <f aca="false">IF(J3192=1,0,Inputs!$B$12)</f>
        <v>75</v>
      </c>
      <c r="N3192" s="15" t="n">
        <f aca="false">IF(J3192=1,0,IF(OR(AND(OR(B3192="SITE LOSS",B3192="REGION LOSS"),K3192=1),AND(B3192="ROLE COMPROMISE",H3192=C3192)),Inputs!$B$13,Inputs!$B$14))</f>
        <v>10</v>
      </c>
      <c r="O3192" s="15" t="n">
        <f aca="false">IF(J3192=1,0,Inputs!$B$13)</f>
        <v>20</v>
      </c>
      <c r="P3192" s="15" t="n">
        <f aca="false">SUM(M3192:N3192)</f>
        <v>85</v>
      </c>
      <c r="Q3192" s="15" t="n">
        <f aca="false">IF(J3192=1,"",L3192-P3192)</f>
        <v>15</v>
      </c>
      <c r="R3192" s="15" t="n">
        <f aca="false">IF(OR(J3192=1,M3192&lt;=Inputs!$B$12),1,0)</f>
        <v>1</v>
      </c>
      <c r="S3192" s="15" t="n">
        <f aca="false">IF(OR(J3192=1,N3192&lt;=O3192),1,0)</f>
        <v>1</v>
      </c>
      <c r="T3192" s="15" t="str">
        <f aca="false">IF(J3192=1,"OFFLINE",IF(AND(Q3192&gt;=Inputs!$B$15,R3192=1,S3192=1,P3192&lt;=L3192),"PASS","FAIL"))</f>
        <v>PASS</v>
      </c>
    </row>
    <row r="3193" customFormat="false" ht="15" hidden="false" customHeight="false" outlineLevel="0" collapsed="false">
      <c r="A3193" s="14" t="s">
        <v>1054</v>
      </c>
      <c r="B3193" s="14" t="s">
        <v>1055</v>
      </c>
      <c r="C3193" s="14" t="s">
        <v>1056</v>
      </c>
      <c r="D3193" s="14" t="s">
        <v>182</v>
      </c>
      <c r="E3193" s="14" t="s">
        <v>166</v>
      </c>
      <c r="F3193" s="14" t="s">
        <v>183</v>
      </c>
      <c r="G3193" s="14" t="n">
        <v>1</v>
      </c>
      <c r="H3193" s="14" t="s">
        <v>154</v>
      </c>
      <c r="I3193" s="14" t="s">
        <v>890</v>
      </c>
      <c r="J3193" s="15" t="n">
        <f aca="false">IF(B3193="SITE LOSS",IF(D3193=C3193,1,0),IF(B3193="REGION LOSS",IF(E3193=C3193,1,0),0))</f>
        <v>0</v>
      </c>
      <c r="K3193" s="15" t="n">
        <f aca="false">IF(B3193="SITE LOSS",IF(COUNTIFS('Site Dockets'!$B$7:$B$24,C3193,'Site Dockets'!$C$7:$C$24,F3193)&gt;0,1,0),IF(B3193="REGION LOSS",IF(COUNTIFS('Site Dockets'!$E$7:$E$24,C3193,'Site Dockets'!$C$7:$C$24,F3193)&gt;0,1,0),0))</f>
        <v>0</v>
      </c>
      <c r="L3193" s="15" t="n">
        <f aca="false">IF(J3193=1,0,Inputs!$B$11)</f>
        <v>100</v>
      </c>
      <c r="M3193" s="15" t="n">
        <f aca="false">IF(J3193=1,0,Inputs!$B$12)</f>
        <v>75</v>
      </c>
      <c r="N3193" s="15" t="n">
        <f aca="false">IF(J3193=1,0,IF(OR(AND(OR(B3193="SITE LOSS",B3193="REGION LOSS"),K3193=1),AND(B3193="ROLE COMPROMISE",H3193=C3193)),Inputs!$B$13,Inputs!$B$14))</f>
        <v>10</v>
      </c>
      <c r="O3193" s="15" t="n">
        <f aca="false">IF(J3193=1,0,Inputs!$B$13)</f>
        <v>20</v>
      </c>
      <c r="P3193" s="15" t="n">
        <f aca="false">SUM(M3193:N3193)</f>
        <v>85</v>
      </c>
      <c r="Q3193" s="15" t="n">
        <f aca="false">IF(J3193=1,"",L3193-P3193)</f>
        <v>15</v>
      </c>
      <c r="R3193" s="15" t="n">
        <f aca="false">IF(OR(J3193=1,M3193&lt;=Inputs!$B$12),1,0)</f>
        <v>1</v>
      </c>
      <c r="S3193" s="15" t="n">
        <f aca="false">IF(OR(J3193=1,N3193&lt;=O3193),1,0)</f>
        <v>1</v>
      </c>
      <c r="T3193" s="15" t="str">
        <f aca="false">IF(J3193=1,"OFFLINE",IF(AND(Q3193&gt;=Inputs!$B$15,R3193=1,S3193=1,P3193&lt;=L3193),"PASS","FAIL"))</f>
        <v>PASS</v>
      </c>
    </row>
    <row r="3194" customFormat="false" ht="15" hidden="false" customHeight="false" outlineLevel="0" collapsed="false">
      <c r="A3194" s="14" t="s">
        <v>1054</v>
      </c>
      <c r="B3194" s="14" t="s">
        <v>1055</v>
      </c>
      <c r="C3194" s="14" t="s">
        <v>1056</v>
      </c>
      <c r="D3194" s="14" t="s">
        <v>182</v>
      </c>
      <c r="E3194" s="14" t="s">
        <v>166</v>
      </c>
      <c r="F3194" s="14" t="s">
        <v>183</v>
      </c>
      <c r="G3194" s="14" t="n">
        <v>1</v>
      </c>
      <c r="H3194" s="14" t="s">
        <v>154</v>
      </c>
      <c r="I3194" s="14" t="s">
        <v>892</v>
      </c>
      <c r="J3194" s="15" t="n">
        <f aca="false">IF(B3194="SITE LOSS",IF(D3194=C3194,1,0),IF(B3194="REGION LOSS",IF(E3194=C3194,1,0),0))</f>
        <v>0</v>
      </c>
      <c r="K3194" s="15" t="n">
        <f aca="false">IF(B3194="SITE LOSS",IF(COUNTIFS('Site Dockets'!$B$7:$B$24,C3194,'Site Dockets'!$C$7:$C$24,F3194)&gt;0,1,0),IF(B3194="REGION LOSS",IF(COUNTIFS('Site Dockets'!$E$7:$E$24,C3194,'Site Dockets'!$C$7:$C$24,F3194)&gt;0,1,0),0))</f>
        <v>0</v>
      </c>
      <c r="L3194" s="15" t="n">
        <f aca="false">IF(J3194=1,0,Inputs!$B$11)</f>
        <v>100</v>
      </c>
      <c r="M3194" s="15" t="n">
        <f aca="false">IF(J3194=1,0,Inputs!$B$12)</f>
        <v>75</v>
      </c>
      <c r="N3194" s="15" t="n">
        <f aca="false">IF(J3194=1,0,IF(OR(AND(OR(B3194="SITE LOSS",B3194="REGION LOSS"),K3194=1),AND(B3194="ROLE COMPROMISE",H3194=C3194)),Inputs!$B$13,Inputs!$B$14))</f>
        <v>10</v>
      </c>
      <c r="O3194" s="15" t="n">
        <f aca="false">IF(J3194=1,0,Inputs!$B$13)</f>
        <v>20</v>
      </c>
      <c r="P3194" s="15" t="n">
        <f aca="false">SUM(M3194:N3194)</f>
        <v>85</v>
      </c>
      <c r="Q3194" s="15" t="n">
        <f aca="false">IF(J3194=1,"",L3194-P3194)</f>
        <v>15</v>
      </c>
      <c r="R3194" s="15" t="n">
        <f aca="false">IF(OR(J3194=1,M3194&lt;=Inputs!$B$12),1,0)</f>
        <v>1</v>
      </c>
      <c r="S3194" s="15" t="n">
        <f aca="false">IF(OR(J3194=1,N3194&lt;=O3194),1,0)</f>
        <v>1</v>
      </c>
      <c r="T3194" s="15" t="str">
        <f aca="false">IF(J3194=1,"OFFLINE",IF(AND(Q3194&gt;=Inputs!$B$15,R3194=1,S3194=1,P3194&lt;=L3194),"PASS","FAIL"))</f>
        <v>PASS</v>
      </c>
    </row>
    <row r="3195" customFormat="false" ht="15" hidden="false" customHeight="false" outlineLevel="0" collapsed="false">
      <c r="A3195" s="14" t="s">
        <v>1054</v>
      </c>
      <c r="B3195" s="14" t="s">
        <v>1055</v>
      </c>
      <c r="C3195" s="14" t="s">
        <v>1056</v>
      </c>
      <c r="D3195" s="14" t="s">
        <v>182</v>
      </c>
      <c r="E3195" s="14" t="s">
        <v>166</v>
      </c>
      <c r="F3195" s="14" t="s">
        <v>183</v>
      </c>
      <c r="G3195" s="14" t="n">
        <v>1</v>
      </c>
      <c r="H3195" s="14" t="s">
        <v>154</v>
      </c>
      <c r="I3195" s="14" t="s">
        <v>811</v>
      </c>
      <c r="J3195" s="15" t="n">
        <f aca="false">IF(B3195="SITE LOSS",IF(D3195=C3195,1,0),IF(B3195="REGION LOSS",IF(E3195=C3195,1,0),0))</f>
        <v>0</v>
      </c>
      <c r="K3195" s="15" t="n">
        <f aca="false">IF(B3195="SITE LOSS",IF(COUNTIFS('Site Dockets'!$B$7:$B$24,C3195,'Site Dockets'!$C$7:$C$24,F3195)&gt;0,1,0),IF(B3195="REGION LOSS",IF(COUNTIFS('Site Dockets'!$E$7:$E$24,C3195,'Site Dockets'!$C$7:$C$24,F3195)&gt;0,1,0),0))</f>
        <v>0</v>
      </c>
      <c r="L3195" s="15" t="n">
        <f aca="false">IF(J3195=1,0,Inputs!$B$11)</f>
        <v>100</v>
      </c>
      <c r="M3195" s="15" t="n">
        <f aca="false">IF(J3195=1,0,Inputs!$B$12)</f>
        <v>75</v>
      </c>
      <c r="N3195" s="15" t="n">
        <f aca="false">IF(J3195=1,0,IF(OR(AND(OR(B3195="SITE LOSS",B3195="REGION LOSS"),K3195=1),AND(B3195="ROLE COMPROMISE",H3195=C3195)),Inputs!$B$13,Inputs!$B$14))</f>
        <v>10</v>
      </c>
      <c r="O3195" s="15" t="n">
        <f aca="false">IF(J3195=1,0,Inputs!$B$13)</f>
        <v>20</v>
      </c>
      <c r="P3195" s="15" t="n">
        <f aca="false">SUM(M3195:N3195)</f>
        <v>85</v>
      </c>
      <c r="Q3195" s="15" t="n">
        <f aca="false">IF(J3195=1,"",L3195-P3195)</f>
        <v>15</v>
      </c>
      <c r="R3195" s="15" t="n">
        <f aca="false">IF(OR(J3195=1,M3195&lt;=Inputs!$B$12),1,0)</f>
        <v>1</v>
      </c>
      <c r="S3195" s="15" t="n">
        <f aca="false">IF(OR(J3195=1,N3195&lt;=O3195),1,0)</f>
        <v>1</v>
      </c>
      <c r="T3195" s="15" t="str">
        <f aca="false">IF(J3195=1,"OFFLINE",IF(AND(Q3195&gt;=Inputs!$B$15,R3195=1,S3195=1,P3195&lt;=L3195),"PASS","FAIL"))</f>
        <v>PASS</v>
      </c>
    </row>
    <row r="3196" customFormat="false" ht="15" hidden="false" customHeight="false" outlineLevel="0" collapsed="false">
      <c r="A3196" s="14" t="s">
        <v>1054</v>
      </c>
      <c r="B3196" s="14" t="s">
        <v>1055</v>
      </c>
      <c r="C3196" s="14" t="s">
        <v>1056</v>
      </c>
      <c r="D3196" s="14" t="s">
        <v>182</v>
      </c>
      <c r="E3196" s="14" t="s">
        <v>166</v>
      </c>
      <c r="F3196" s="14" t="s">
        <v>183</v>
      </c>
      <c r="G3196" s="14" t="n">
        <v>1</v>
      </c>
      <c r="H3196" s="14" t="s">
        <v>154</v>
      </c>
      <c r="I3196" s="14" t="s">
        <v>895</v>
      </c>
      <c r="J3196" s="15" t="n">
        <f aca="false">IF(B3196="SITE LOSS",IF(D3196=C3196,1,0),IF(B3196="REGION LOSS",IF(E3196=C3196,1,0),0))</f>
        <v>0</v>
      </c>
      <c r="K3196" s="15" t="n">
        <f aca="false">IF(B3196="SITE LOSS",IF(COUNTIFS('Site Dockets'!$B$7:$B$24,C3196,'Site Dockets'!$C$7:$C$24,F3196)&gt;0,1,0),IF(B3196="REGION LOSS",IF(COUNTIFS('Site Dockets'!$E$7:$E$24,C3196,'Site Dockets'!$C$7:$C$24,F3196)&gt;0,1,0),0))</f>
        <v>0</v>
      </c>
      <c r="L3196" s="15" t="n">
        <f aca="false">IF(J3196=1,0,Inputs!$B$11)</f>
        <v>100</v>
      </c>
      <c r="M3196" s="15" t="n">
        <f aca="false">IF(J3196=1,0,Inputs!$B$12)</f>
        <v>75</v>
      </c>
      <c r="N3196" s="15" t="n">
        <f aca="false">IF(J3196=1,0,IF(OR(AND(OR(B3196="SITE LOSS",B3196="REGION LOSS"),K3196=1),AND(B3196="ROLE COMPROMISE",H3196=C3196)),Inputs!$B$13,Inputs!$B$14))</f>
        <v>10</v>
      </c>
      <c r="O3196" s="15" t="n">
        <f aca="false">IF(J3196=1,0,Inputs!$B$13)</f>
        <v>20</v>
      </c>
      <c r="P3196" s="15" t="n">
        <f aca="false">SUM(M3196:N3196)</f>
        <v>85</v>
      </c>
      <c r="Q3196" s="15" t="n">
        <f aca="false">IF(J3196=1,"",L3196-P3196)</f>
        <v>15</v>
      </c>
      <c r="R3196" s="15" t="n">
        <f aca="false">IF(OR(J3196=1,M3196&lt;=Inputs!$B$12),1,0)</f>
        <v>1</v>
      </c>
      <c r="S3196" s="15" t="n">
        <f aca="false">IF(OR(J3196=1,N3196&lt;=O3196),1,0)</f>
        <v>1</v>
      </c>
      <c r="T3196" s="15" t="str">
        <f aca="false">IF(J3196=1,"OFFLINE",IF(AND(Q3196&gt;=Inputs!$B$15,R3196=1,S3196=1,P3196&lt;=L3196),"PASS","FAIL"))</f>
        <v>PASS</v>
      </c>
    </row>
    <row r="3197" customFormat="false" ht="15" hidden="false" customHeight="false" outlineLevel="0" collapsed="false">
      <c r="A3197" s="14" t="s">
        <v>1054</v>
      </c>
      <c r="B3197" s="14" t="s">
        <v>1055</v>
      </c>
      <c r="C3197" s="14" t="s">
        <v>1056</v>
      </c>
      <c r="D3197" s="14" t="s">
        <v>182</v>
      </c>
      <c r="E3197" s="14" t="s">
        <v>166</v>
      </c>
      <c r="F3197" s="14" t="s">
        <v>183</v>
      </c>
      <c r="G3197" s="14" t="n">
        <v>1</v>
      </c>
      <c r="H3197" s="14" t="s">
        <v>154</v>
      </c>
      <c r="I3197" s="14" t="s">
        <v>897</v>
      </c>
      <c r="J3197" s="15" t="n">
        <f aca="false">IF(B3197="SITE LOSS",IF(D3197=C3197,1,0),IF(B3197="REGION LOSS",IF(E3197=C3197,1,0),0))</f>
        <v>0</v>
      </c>
      <c r="K3197" s="15" t="n">
        <f aca="false">IF(B3197="SITE LOSS",IF(COUNTIFS('Site Dockets'!$B$7:$B$24,C3197,'Site Dockets'!$C$7:$C$24,F3197)&gt;0,1,0),IF(B3197="REGION LOSS",IF(COUNTIFS('Site Dockets'!$E$7:$E$24,C3197,'Site Dockets'!$C$7:$C$24,F3197)&gt;0,1,0),0))</f>
        <v>0</v>
      </c>
      <c r="L3197" s="15" t="n">
        <f aca="false">IF(J3197=1,0,Inputs!$B$11)</f>
        <v>100</v>
      </c>
      <c r="M3197" s="15" t="n">
        <f aca="false">IF(J3197=1,0,Inputs!$B$12)</f>
        <v>75</v>
      </c>
      <c r="N3197" s="15" t="n">
        <f aca="false">IF(J3197=1,0,IF(OR(AND(OR(B3197="SITE LOSS",B3197="REGION LOSS"),K3197=1),AND(B3197="ROLE COMPROMISE",H3197=C3197)),Inputs!$B$13,Inputs!$B$14))</f>
        <v>10</v>
      </c>
      <c r="O3197" s="15" t="n">
        <f aca="false">IF(J3197=1,0,Inputs!$B$13)</f>
        <v>20</v>
      </c>
      <c r="P3197" s="15" t="n">
        <f aca="false">SUM(M3197:N3197)</f>
        <v>85</v>
      </c>
      <c r="Q3197" s="15" t="n">
        <f aca="false">IF(J3197=1,"",L3197-P3197)</f>
        <v>15</v>
      </c>
      <c r="R3197" s="15" t="n">
        <f aca="false">IF(OR(J3197=1,M3197&lt;=Inputs!$B$12),1,0)</f>
        <v>1</v>
      </c>
      <c r="S3197" s="15" t="n">
        <f aca="false">IF(OR(J3197=1,N3197&lt;=O3197),1,0)</f>
        <v>1</v>
      </c>
      <c r="T3197" s="15" t="str">
        <f aca="false">IF(J3197=1,"OFFLINE",IF(AND(Q3197&gt;=Inputs!$B$15,R3197=1,S3197=1,P3197&lt;=L3197),"PASS","FAIL"))</f>
        <v>PASS</v>
      </c>
    </row>
    <row r="3198" customFormat="false" ht="15" hidden="false" customHeight="false" outlineLevel="0" collapsed="false">
      <c r="A3198" s="14" t="s">
        <v>1054</v>
      </c>
      <c r="B3198" s="14" t="s">
        <v>1055</v>
      </c>
      <c r="C3198" s="14" t="s">
        <v>1056</v>
      </c>
      <c r="D3198" s="14" t="s">
        <v>182</v>
      </c>
      <c r="E3198" s="14" t="s">
        <v>166</v>
      </c>
      <c r="F3198" s="14" t="s">
        <v>183</v>
      </c>
      <c r="G3198" s="14" t="n">
        <v>1</v>
      </c>
      <c r="H3198" s="14" t="s">
        <v>154</v>
      </c>
      <c r="I3198" s="14" t="s">
        <v>899</v>
      </c>
      <c r="J3198" s="15" t="n">
        <f aca="false">IF(B3198="SITE LOSS",IF(D3198=C3198,1,0),IF(B3198="REGION LOSS",IF(E3198=C3198,1,0),0))</f>
        <v>0</v>
      </c>
      <c r="K3198" s="15" t="n">
        <f aca="false">IF(B3198="SITE LOSS",IF(COUNTIFS('Site Dockets'!$B$7:$B$24,C3198,'Site Dockets'!$C$7:$C$24,F3198)&gt;0,1,0),IF(B3198="REGION LOSS",IF(COUNTIFS('Site Dockets'!$E$7:$E$24,C3198,'Site Dockets'!$C$7:$C$24,F3198)&gt;0,1,0),0))</f>
        <v>0</v>
      </c>
      <c r="L3198" s="15" t="n">
        <f aca="false">IF(J3198=1,0,Inputs!$B$11)</f>
        <v>100</v>
      </c>
      <c r="M3198" s="15" t="n">
        <f aca="false">IF(J3198=1,0,Inputs!$B$12)</f>
        <v>75</v>
      </c>
      <c r="N3198" s="15" t="n">
        <f aca="false">IF(J3198=1,0,IF(OR(AND(OR(B3198="SITE LOSS",B3198="REGION LOSS"),K3198=1),AND(B3198="ROLE COMPROMISE",H3198=C3198)),Inputs!$B$13,Inputs!$B$14))</f>
        <v>10</v>
      </c>
      <c r="O3198" s="15" t="n">
        <f aca="false">IF(J3198=1,0,Inputs!$B$13)</f>
        <v>20</v>
      </c>
      <c r="P3198" s="15" t="n">
        <f aca="false">SUM(M3198:N3198)</f>
        <v>85</v>
      </c>
      <c r="Q3198" s="15" t="n">
        <f aca="false">IF(J3198=1,"",L3198-P3198)</f>
        <v>15</v>
      </c>
      <c r="R3198" s="15" t="n">
        <f aca="false">IF(OR(J3198=1,M3198&lt;=Inputs!$B$12),1,0)</f>
        <v>1</v>
      </c>
      <c r="S3198" s="15" t="n">
        <f aca="false">IF(OR(J3198=1,N3198&lt;=O3198),1,0)</f>
        <v>1</v>
      </c>
      <c r="T3198" s="15" t="str">
        <f aca="false">IF(J3198=1,"OFFLINE",IF(AND(Q3198&gt;=Inputs!$B$15,R3198=1,S3198=1,P3198&lt;=L3198),"PASS","FAIL"))</f>
        <v>PASS</v>
      </c>
    </row>
    <row r="3199" customFormat="false" ht="15" hidden="false" customHeight="false" outlineLevel="0" collapsed="false">
      <c r="A3199" s="14" t="s">
        <v>1054</v>
      </c>
      <c r="B3199" s="14" t="s">
        <v>1055</v>
      </c>
      <c r="C3199" s="14" t="s">
        <v>1056</v>
      </c>
      <c r="D3199" s="14" t="s">
        <v>186</v>
      </c>
      <c r="E3199" s="14" t="s">
        <v>157</v>
      </c>
      <c r="F3199" s="14" t="s">
        <v>183</v>
      </c>
      <c r="G3199" s="14" t="n">
        <v>2</v>
      </c>
      <c r="H3199" s="14" t="s">
        <v>153</v>
      </c>
      <c r="I3199" s="14" t="s">
        <v>890</v>
      </c>
      <c r="J3199" s="15" t="n">
        <f aca="false">IF(B3199="SITE LOSS",IF(D3199=C3199,1,0),IF(B3199="REGION LOSS",IF(E3199=C3199,1,0),0))</f>
        <v>0</v>
      </c>
      <c r="K3199" s="15" t="n">
        <f aca="false">IF(B3199="SITE LOSS",IF(COUNTIFS('Site Dockets'!$B$7:$B$24,C3199,'Site Dockets'!$C$7:$C$24,F3199)&gt;0,1,0),IF(B3199="REGION LOSS",IF(COUNTIFS('Site Dockets'!$E$7:$E$24,C3199,'Site Dockets'!$C$7:$C$24,F3199)&gt;0,1,0),0))</f>
        <v>0</v>
      </c>
      <c r="L3199" s="15" t="n">
        <f aca="false">IF(J3199=1,0,Inputs!$B$11)</f>
        <v>100</v>
      </c>
      <c r="M3199" s="15" t="n">
        <f aca="false">IF(J3199=1,0,Inputs!$B$12)</f>
        <v>75</v>
      </c>
      <c r="N3199" s="15" t="n">
        <f aca="false">IF(J3199=1,0,IF(OR(AND(OR(B3199="SITE LOSS",B3199="REGION LOSS"),K3199=1),AND(B3199="ROLE COMPROMISE",H3199=C3199)),Inputs!$B$13,Inputs!$B$14))</f>
        <v>10</v>
      </c>
      <c r="O3199" s="15" t="n">
        <f aca="false">IF(J3199=1,0,Inputs!$B$13)</f>
        <v>20</v>
      </c>
      <c r="P3199" s="15" t="n">
        <f aca="false">SUM(M3199:N3199)</f>
        <v>85</v>
      </c>
      <c r="Q3199" s="15" t="n">
        <f aca="false">IF(J3199=1,"",L3199-P3199)</f>
        <v>15</v>
      </c>
      <c r="R3199" s="15" t="n">
        <f aca="false">IF(OR(J3199=1,M3199&lt;=Inputs!$B$12),1,0)</f>
        <v>1</v>
      </c>
      <c r="S3199" s="15" t="n">
        <f aca="false">IF(OR(J3199=1,N3199&lt;=O3199),1,0)</f>
        <v>1</v>
      </c>
      <c r="T3199" s="15" t="str">
        <f aca="false">IF(J3199=1,"OFFLINE",IF(AND(Q3199&gt;=Inputs!$B$15,R3199=1,S3199=1,P3199&lt;=L3199),"PASS","FAIL"))</f>
        <v>PASS</v>
      </c>
    </row>
    <row r="3200" customFormat="false" ht="15" hidden="false" customHeight="false" outlineLevel="0" collapsed="false">
      <c r="A3200" s="14" t="s">
        <v>1054</v>
      </c>
      <c r="B3200" s="14" t="s">
        <v>1055</v>
      </c>
      <c r="C3200" s="14" t="s">
        <v>1056</v>
      </c>
      <c r="D3200" s="14" t="s">
        <v>186</v>
      </c>
      <c r="E3200" s="14" t="s">
        <v>157</v>
      </c>
      <c r="F3200" s="14" t="s">
        <v>183</v>
      </c>
      <c r="G3200" s="14" t="n">
        <v>2</v>
      </c>
      <c r="H3200" s="14" t="s">
        <v>153</v>
      </c>
      <c r="I3200" s="14" t="s">
        <v>892</v>
      </c>
      <c r="J3200" s="15" t="n">
        <f aca="false">IF(B3200="SITE LOSS",IF(D3200=C3200,1,0),IF(B3200="REGION LOSS",IF(E3200=C3200,1,0),0))</f>
        <v>0</v>
      </c>
      <c r="K3200" s="15" t="n">
        <f aca="false">IF(B3200="SITE LOSS",IF(COUNTIFS('Site Dockets'!$B$7:$B$24,C3200,'Site Dockets'!$C$7:$C$24,F3200)&gt;0,1,0),IF(B3200="REGION LOSS",IF(COUNTIFS('Site Dockets'!$E$7:$E$24,C3200,'Site Dockets'!$C$7:$C$24,F3200)&gt;0,1,0),0))</f>
        <v>0</v>
      </c>
      <c r="L3200" s="15" t="n">
        <f aca="false">IF(J3200=1,0,Inputs!$B$11)</f>
        <v>100</v>
      </c>
      <c r="M3200" s="15" t="n">
        <f aca="false">IF(J3200=1,0,Inputs!$B$12)</f>
        <v>75</v>
      </c>
      <c r="N3200" s="15" t="n">
        <f aca="false">IF(J3200=1,0,IF(OR(AND(OR(B3200="SITE LOSS",B3200="REGION LOSS"),K3200=1),AND(B3200="ROLE COMPROMISE",H3200=C3200)),Inputs!$B$13,Inputs!$B$14))</f>
        <v>10</v>
      </c>
      <c r="O3200" s="15" t="n">
        <f aca="false">IF(J3200=1,0,Inputs!$B$13)</f>
        <v>20</v>
      </c>
      <c r="P3200" s="15" t="n">
        <f aca="false">SUM(M3200:N3200)</f>
        <v>85</v>
      </c>
      <c r="Q3200" s="15" t="n">
        <f aca="false">IF(J3200=1,"",L3200-P3200)</f>
        <v>15</v>
      </c>
      <c r="R3200" s="15" t="n">
        <f aca="false">IF(OR(J3200=1,M3200&lt;=Inputs!$B$12),1,0)</f>
        <v>1</v>
      </c>
      <c r="S3200" s="15" t="n">
        <f aca="false">IF(OR(J3200=1,N3200&lt;=O3200),1,0)</f>
        <v>1</v>
      </c>
      <c r="T3200" s="15" t="str">
        <f aca="false">IF(J3200=1,"OFFLINE",IF(AND(Q3200&gt;=Inputs!$B$15,R3200=1,S3200=1,P3200&lt;=L3200),"PASS","FAIL"))</f>
        <v>PASS</v>
      </c>
    </row>
    <row r="3201" customFormat="false" ht="15" hidden="false" customHeight="false" outlineLevel="0" collapsed="false">
      <c r="A3201" s="14" t="s">
        <v>1054</v>
      </c>
      <c r="B3201" s="14" t="s">
        <v>1055</v>
      </c>
      <c r="C3201" s="14" t="s">
        <v>1056</v>
      </c>
      <c r="D3201" s="14" t="s">
        <v>186</v>
      </c>
      <c r="E3201" s="14" t="s">
        <v>157</v>
      </c>
      <c r="F3201" s="14" t="s">
        <v>183</v>
      </c>
      <c r="G3201" s="14" t="n">
        <v>2</v>
      </c>
      <c r="H3201" s="14" t="s">
        <v>153</v>
      </c>
      <c r="I3201" s="14" t="s">
        <v>811</v>
      </c>
      <c r="J3201" s="15" t="n">
        <f aca="false">IF(B3201="SITE LOSS",IF(D3201=C3201,1,0),IF(B3201="REGION LOSS",IF(E3201=C3201,1,0),0))</f>
        <v>0</v>
      </c>
      <c r="K3201" s="15" t="n">
        <f aca="false">IF(B3201="SITE LOSS",IF(COUNTIFS('Site Dockets'!$B$7:$B$24,C3201,'Site Dockets'!$C$7:$C$24,F3201)&gt;0,1,0),IF(B3201="REGION LOSS",IF(COUNTIFS('Site Dockets'!$E$7:$E$24,C3201,'Site Dockets'!$C$7:$C$24,F3201)&gt;0,1,0),0))</f>
        <v>0</v>
      </c>
      <c r="L3201" s="15" t="n">
        <f aca="false">IF(J3201=1,0,Inputs!$B$11)</f>
        <v>100</v>
      </c>
      <c r="M3201" s="15" t="n">
        <f aca="false">IF(J3201=1,0,Inputs!$B$12)</f>
        <v>75</v>
      </c>
      <c r="N3201" s="15" t="n">
        <f aca="false">IF(J3201=1,0,IF(OR(AND(OR(B3201="SITE LOSS",B3201="REGION LOSS"),K3201=1),AND(B3201="ROLE COMPROMISE",H3201=C3201)),Inputs!$B$13,Inputs!$B$14))</f>
        <v>10</v>
      </c>
      <c r="O3201" s="15" t="n">
        <f aca="false">IF(J3201=1,0,Inputs!$B$13)</f>
        <v>20</v>
      </c>
      <c r="P3201" s="15" t="n">
        <f aca="false">SUM(M3201:N3201)</f>
        <v>85</v>
      </c>
      <c r="Q3201" s="15" t="n">
        <f aca="false">IF(J3201=1,"",L3201-P3201)</f>
        <v>15</v>
      </c>
      <c r="R3201" s="15" t="n">
        <f aca="false">IF(OR(J3201=1,M3201&lt;=Inputs!$B$12),1,0)</f>
        <v>1</v>
      </c>
      <c r="S3201" s="15" t="n">
        <f aca="false">IF(OR(J3201=1,N3201&lt;=O3201),1,0)</f>
        <v>1</v>
      </c>
      <c r="T3201" s="15" t="str">
        <f aca="false">IF(J3201=1,"OFFLINE",IF(AND(Q3201&gt;=Inputs!$B$15,R3201=1,S3201=1,P3201&lt;=L3201),"PASS","FAIL"))</f>
        <v>PASS</v>
      </c>
    </row>
    <row r="3202" customFormat="false" ht="15" hidden="false" customHeight="false" outlineLevel="0" collapsed="false">
      <c r="A3202" s="14" t="s">
        <v>1054</v>
      </c>
      <c r="B3202" s="14" t="s">
        <v>1055</v>
      </c>
      <c r="C3202" s="14" t="s">
        <v>1056</v>
      </c>
      <c r="D3202" s="14" t="s">
        <v>186</v>
      </c>
      <c r="E3202" s="14" t="s">
        <v>157</v>
      </c>
      <c r="F3202" s="14" t="s">
        <v>183</v>
      </c>
      <c r="G3202" s="14" t="n">
        <v>2</v>
      </c>
      <c r="H3202" s="14" t="s">
        <v>153</v>
      </c>
      <c r="I3202" s="14" t="s">
        <v>895</v>
      </c>
      <c r="J3202" s="15" t="n">
        <f aca="false">IF(B3202="SITE LOSS",IF(D3202=C3202,1,0),IF(B3202="REGION LOSS",IF(E3202=C3202,1,0),0))</f>
        <v>0</v>
      </c>
      <c r="K3202" s="15" t="n">
        <f aca="false">IF(B3202="SITE LOSS",IF(COUNTIFS('Site Dockets'!$B$7:$B$24,C3202,'Site Dockets'!$C$7:$C$24,F3202)&gt;0,1,0),IF(B3202="REGION LOSS",IF(COUNTIFS('Site Dockets'!$E$7:$E$24,C3202,'Site Dockets'!$C$7:$C$24,F3202)&gt;0,1,0),0))</f>
        <v>0</v>
      </c>
      <c r="L3202" s="15" t="n">
        <f aca="false">IF(J3202=1,0,Inputs!$B$11)</f>
        <v>100</v>
      </c>
      <c r="M3202" s="15" t="n">
        <f aca="false">IF(J3202=1,0,Inputs!$B$12)</f>
        <v>75</v>
      </c>
      <c r="N3202" s="15" t="n">
        <f aca="false">IF(J3202=1,0,IF(OR(AND(OR(B3202="SITE LOSS",B3202="REGION LOSS"),K3202=1),AND(B3202="ROLE COMPROMISE",H3202=C3202)),Inputs!$B$13,Inputs!$B$14))</f>
        <v>10</v>
      </c>
      <c r="O3202" s="15" t="n">
        <f aca="false">IF(J3202=1,0,Inputs!$B$13)</f>
        <v>20</v>
      </c>
      <c r="P3202" s="15" t="n">
        <f aca="false">SUM(M3202:N3202)</f>
        <v>85</v>
      </c>
      <c r="Q3202" s="15" t="n">
        <f aca="false">IF(J3202=1,"",L3202-P3202)</f>
        <v>15</v>
      </c>
      <c r="R3202" s="15" t="n">
        <f aca="false">IF(OR(J3202=1,M3202&lt;=Inputs!$B$12),1,0)</f>
        <v>1</v>
      </c>
      <c r="S3202" s="15" t="n">
        <f aca="false">IF(OR(J3202=1,N3202&lt;=O3202),1,0)</f>
        <v>1</v>
      </c>
      <c r="T3202" s="15" t="str">
        <f aca="false">IF(J3202=1,"OFFLINE",IF(AND(Q3202&gt;=Inputs!$B$15,R3202=1,S3202=1,P3202&lt;=L3202),"PASS","FAIL"))</f>
        <v>PASS</v>
      </c>
    </row>
    <row r="3203" customFormat="false" ht="15" hidden="false" customHeight="false" outlineLevel="0" collapsed="false">
      <c r="A3203" s="14" t="s">
        <v>1054</v>
      </c>
      <c r="B3203" s="14" t="s">
        <v>1055</v>
      </c>
      <c r="C3203" s="14" t="s">
        <v>1056</v>
      </c>
      <c r="D3203" s="14" t="s">
        <v>186</v>
      </c>
      <c r="E3203" s="14" t="s">
        <v>157</v>
      </c>
      <c r="F3203" s="14" t="s">
        <v>183</v>
      </c>
      <c r="G3203" s="14" t="n">
        <v>2</v>
      </c>
      <c r="H3203" s="14" t="s">
        <v>153</v>
      </c>
      <c r="I3203" s="14" t="s">
        <v>897</v>
      </c>
      <c r="J3203" s="15" t="n">
        <f aca="false">IF(B3203="SITE LOSS",IF(D3203=C3203,1,0),IF(B3203="REGION LOSS",IF(E3203=C3203,1,0),0))</f>
        <v>0</v>
      </c>
      <c r="K3203" s="15" t="n">
        <f aca="false">IF(B3203="SITE LOSS",IF(COUNTIFS('Site Dockets'!$B$7:$B$24,C3203,'Site Dockets'!$C$7:$C$24,F3203)&gt;0,1,0),IF(B3203="REGION LOSS",IF(COUNTIFS('Site Dockets'!$E$7:$E$24,C3203,'Site Dockets'!$C$7:$C$24,F3203)&gt;0,1,0),0))</f>
        <v>0</v>
      </c>
      <c r="L3203" s="15" t="n">
        <f aca="false">IF(J3203=1,0,Inputs!$B$11)</f>
        <v>100</v>
      </c>
      <c r="M3203" s="15" t="n">
        <f aca="false">IF(J3203=1,0,Inputs!$B$12)</f>
        <v>75</v>
      </c>
      <c r="N3203" s="15" t="n">
        <f aca="false">IF(J3203=1,0,IF(OR(AND(OR(B3203="SITE LOSS",B3203="REGION LOSS"),K3203=1),AND(B3203="ROLE COMPROMISE",H3203=C3203)),Inputs!$B$13,Inputs!$B$14))</f>
        <v>10</v>
      </c>
      <c r="O3203" s="15" t="n">
        <f aca="false">IF(J3203=1,0,Inputs!$B$13)</f>
        <v>20</v>
      </c>
      <c r="P3203" s="15" t="n">
        <f aca="false">SUM(M3203:N3203)</f>
        <v>85</v>
      </c>
      <c r="Q3203" s="15" t="n">
        <f aca="false">IF(J3203=1,"",L3203-P3203)</f>
        <v>15</v>
      </c>
      <c r="R3203" s="15" t="n">
        <f aca="false">IF(OR(J3203=1,M3203&lt;=Inputs!$B$12),1,0)</f>
        <v>1</v>
      </c>
      <c r="S3203" s="15" t="n">
        <f aca="false">IF(OR(J3203=1,N3203&lt;=O3203),1,0)</f>
        <v>1</v>
      </c>
      <c r="T3203" s="15" t="str">
        <f aca="false">IF(J3203=1,"OFFLINE",IF(AND(Q3203&gt;=Inputs!$B$15,R3203=1,S3203=1,P3203&lt;=L3203),"PASS","FAIL"))</f>
        <v>PASS</v>
      </c>
    </row>
    <row r="3204" customFormat="false" ht="15" hidden="false" customHeight="false" outlineLevel="0" collapsed="false">
      <c r="A3204" s="14" t="s">
        <v>1054</v>
      </c>
      <c r="B3204" s="14" t="s">
        <v>1055</v>
      </c>
      <c r="C3204" s="14" t="s">
        <v>1056</v>
      </c>
      <c r="D3204" s="14" t="s">
        <v>186</v>
      </c>
      <c r="E3204" s="14" t="s">
        <v>157</v>
      </c>
      <c r="F3204" s="14" t="s">
        <v>183</v>
      </c>
      <c r="G3204" s="14" t="n">
        <v>2</v>
      </c>
      <c r="H3204" s="14" t="s">
        <v>153</v>
      </c>
      <c r="I3204" s="14" t="s">
        <v>899</v>
      </c>
      <c r="J3204" s="15" t="n">
        <f aca="false">IF(B3204="SITE LOSS",IF(D3204=C3204,1,0),IF(B3204="REGION LOSS",IF(E3204=C3204,1,0),0))</f>
        <v>0</v>
      </c>
      <c r="K3204" s="15" t="n">
        <f aca="false">IF(B3204="SITE LOSS",IF(COUNTIFS('Site Dockets'!$B$7:$B$24,C3204,'Site Dockets'!$C$7:$C$24,F3204)&gt;0,1,0),IF(B3204="REGION LOSS",IF(COUNTIFS('Site Dockets'!$E$7:$E$24,C3204,'Site Dockets'!$C$7:$C$24,F3204)&gt;0,1,0),0))</f>
        <v>0</v>
      </c>
      <c r="L3204" s="15" t="n">
        <f aca="false">IF(J3204=1,0,Inputs!$B$11)</f>
        <v>100</v>
      </c>
      <c r="M3204" s="15" t="n">
        <f aca="false">IF(J3204=1,0,Inputs!$B$12)</f>
        <v>75</v>
      </c>
      <c r="N3204" s="15" t="n">
        <f aca="false">IF(J3204=1,0,IF(OR(AND(OR(B3204="SITE LOSS",B3204="REGION LOSS"),K3204=1),AND(B3204="ROLE COMPROMISE",H3204=C3204)),Inputs!$B$13,Inputs!$B$14))</f>
        <v>10</v>
      </c>
      <c r="O3204" s="15" t="n">
        <f aca="false">IF(J3204=1,0,Inputs!$B$13)</f>
        <v>20</v>
      </c>
      <c r="P3204" s="15" t="n">
        <f aca="false">SUM(M3204:N3204)</f>
        <v>85</v>
      </c>
      <c r="Q3204" s="15" t="n">
        <f aca="false">IF(J3204=1,"",L3204-P3204)</f>
        <v>15</v>
      </c>
      <c r="R3204" s="15" t="n">
        <f aca="false">IF(OR(J3204=1,M3204&lt;=Inputs!$B$12),1,0)</f>
        <v>1</v>
      </c>
      <c r="S3204" s="15" t="n">
        <f aca="false">IF(OR(J3204=1,N3204&lt;=O3204),1,0)</f>
        <v>1</v>
      </c>
      <c r="T3204" s="15" t="str">
        <f aca="false">IF(J3204=1,"OFFLINE",IF(AND(Q3204&gt;=Inputs!$B$15,R3204=1,S3204=1,P3204&lt;=L3204),"PASS","FAIL"))</f>
        <v>PASS</v>
      </c>
    </row>
    <row r="3205" customFormat="false" ht="15" hidden="false" customHeight="false" outlineLevel="0" collapsed="false">
      <c r="A3205" s="14" t="s">
        <v>1054</v>
      </c>
      <c r="B3205" s="14" t="s">
        <v>1055</v>
      </c>
      <c r="C3205" s="14" t="s">
        <v>1056</v>
      </c>
      <c r="D3205" s="14" t="s">
        <v>188</v>
      </c>
      <c r="E3205" s="14" t="s">
        <v>172</v>
      </c>
      <c r="F3205" s="14" t="s">
        <v>183</v>
      </c>
      <c r="G3205" s="14" t="n">
        <v>3</v>
      </c>
      <c r="H3205" s="14" t="s">
        <v>158</v>
      </c>
      <c r="I3205" s="14" t="s">
        <v>890</v>
      </c>
      <c r="J3205" s="15" t="n">
        <f aca="false">IF(B3205="SITE LOSS",IF(D3205=C3205,1,0),IF(B3205="REGION LOSS",IF(E3205=C3205,1,0),0))</f>
        <v>0</v>
      </c>
      <c r="K3205" s="15" t="n">
        <f aca="false">IF(B3205="SITE LOSS",IF(COUNTIFS('Site Dockets'!$B$7:$B$24,C3205,'Site Dockets'!$C$7:$C$24,F3205)&gt;0,1,0),IF(B3205="REGION LOSS",IF(COUNTIFS('Site Dockets'!$E$7:$E$24,C3205,'Site Dockets'!$C$7:$C$24,F3205)&gt;0,1,0),0))</f>
        <v>0</v>
      </c>
      <c r="L3205" s="15" t="n">
        <f aca="false">IF(J3205=1,0,Inputs!$B$11)</f>
        <v>100</v>
      </c>
      <c r="M3205" s="15" t="n">
        <f aca="false">IF(J3205=1,0,Inputs!$B$12)</f>
        <v>75</v>
      </c>
      <c r="N3205" s="15" t="n">
        <f aca="false">IF(J3205=1,0,IF(OR(AND(OR(B3205="SITE LOSS",B3205="REGION LOSS"),K3205=1),AND(B3205="ROLE COMPROMISE",H3205=C3205)),Inputs!$B$13,Inputs!$B$14))</f>
        <v>10</v>
      </c>
      <c r="O3205" s="15" t="n">
        <f aca="false">IF(J3205=1,0,Inputs!$B$13)</f>
        <v>20</v>
      </c>
      <c r="P3205" s="15" t="n">
        <f aca="false">SUM(M3205:N3205)</f>
        <v>85</v>
      </c>
      <c r="Q3205" s="15" t="n">
        <f aca="false">IF(J3205=1,"",L3205-P3205)</f>
        <v>15</v>
      </c>
      <c r="R3205" s="15" t="n">
        <f aca="false">IF(OR(J3205=1,M3205&lt;=Inputs!$B$12),1,0)</f>
        <v>1</v>
      </c>
      <c r="S3205" s="15" t="n">
        <f aca="false">IF(OR(J3205=1,N3205&lt;=O3205),1,0)</f>
        <v>1</v>
      </c>
      <c r="T3205" s="15" t="str">
        <f aca="false">IF(J3205=1,"OFFLINE",IF(AND(Q3205&gt;=Inputs!$B$15,R3205=1,S3205=1,P3205&lt;=L3205),"PASS","FAIL"))</f>
        <v>PASS</v>
      </c>
    </row>
    <row r="3206" customFormat="false" ht="15" hidden="false" customHeight="false" outlineLevel="0" collapsed="false">
      <c r="A3206" s="14" t="s">
        <v>1054</v>
      </c>
      <c r="B3206" s="14" t="s">
        <v>1055</v>
      </c>
      <c r="C3206" s="14" t="s">
        <v>1056</v>
      </c>
      <c r="D3206" s="14" t="s">
        <v>188</v>
      </c>
      <c r="E3206" s="14" t="s">
        <v>172</v>
      </c>
      <c r="F3206" s="14" t="s">
        <v>183</v>
      </c>
      <c r="G3206" s="14" t="n">
        <v>3</v>
      </c>
      <c r="H3206" s="14" t="s">
        <v>158</v>
      </c>
      <c r="I3206" s="14" t="s">
        <v>892</v>
      </c>
      <c r="J3206" s="15" t="n">
        <f aca="false">IF(B3206="SITE LOSS",IF(D3206=C3206,1,0),IF(B3206="REGION LOSS",IF(E3206=C3206,1,0),0))</f>
        <v>0</v>
      </c>
      <c r="K3206" s="15" t="n">
        <f aca="false">IF(B3206="SITE LOSS",IF(COUNTIFS('Site Dockets'!$B$7:$B$24,C3206,'Site Dockets'!$C$7:$C$24,F3206)&gt;0,1,0),IF(B3206="REGION LOSS",IF(COUNTIFS('Site Dockets'!$E$7:$E$24,C3206,'Site Dockets'!$C$7:$C$24,F3206)&gt;0,1,0),0))</f>
        <v>0</v>
      </c>
      <c r="L3206" s="15" t="n">
        <f aca="false">IF(J3206=1,0,Inputs!$B$11)</f>
        <v>100</v>
      </c>
      <c r="M3206" s="15" t="n">
        <f aca="false">IF(J3206=1,0,Inputs!$B$12)</f>
        <v>75</v>
      </c>
      <c r="N3206" s="15" t="n">
        <f aca="false">IF(J3206=1,0,IF(OR(AND(OR(B3206="SITE LOSS",B3206="REGION LOSS"),K3206=1),AND(B3206="ROLE COMPROMISE",H3206=C3206)),Inputs!$B$13,Inputs!$B$14))</f>
        <v>10</v>
      </c>
      <c r="O3206" s="15" t="n">
        <f aca="false">IF(J3206=1,0,Inputs!$B$13)</f>
        <v>20</v>
      </c>
      <c r="P3206" s="15" t="n">
        <f aca="false">SUM(M3206:N3206)</f>
        <v>85</v>
      </c>
      <c r="Q3206" s="15" t="n">
        <f aca="false">IF(J3206=1,"",L3206-P3206)</f>
        <v>15</v>
      </c>
      <c r="R3206" s="15" t="n">
        <f aca="false">IF(OR(J3206=1,M3206&lt;=Inputs!$B$12),1,0)</f>
        <v>1</v>
      </c>
      <c r="S3206" s="15" t="n">
        <f aca="false">IF(OR(J3206=1,N3206&lt;=O3206),1,0)</f>
        <v>1</v>
      </c>
      <c r="T3206" s="15" t="str">
        <f aca="false">IF(J3206=1,"OFFLINE",IF(AND(Q3206&gt;=Inputs!$B$15,R3206=1,S3206=1,P3206&lt;=L3206),"PASS","FAIL"))</f>
        <v>PASS</v>
      </c>
    </row>
    <row r="3207" customFormat="false" ht="15" hidden="false" customHeight="false" outlineLevel="0" collapsed="false">
      <c r="A3207" s="14" t="s">
        <v>1054</v>
      </c>
      <c r="B3207" s="14" t="s">
        <v>1055</v>
      </c>
      <c r="C3207" s="14" t="s">
        <v>1056</v>
      </c>
      <c r="D3207" s="14" t="s">
        <v>188</v>
      </c>
      <c r="E3207" s="14" t="s">
        <v>172</v>
      </c>
      <c r="F3207" s="14" t="s">
        <v>183</v>
      </c>
      <c r="G3207" s="14" t="n">
        <v>3</v>
      </c>
      <c r="H3207" s="14" t="s">
        <v>158</v>
      </c>
      <c r="I3207" s="14" t="s">
        <v>811</v>
      </c>
      <c r="J3207" s="15" t="n">
        <f aca="false">IF(B3207="SITE LOSS",IF(D3207=C3207,1,0),IF(B3207="REGION LOSS",IF(E3207=C3207,1,0),0))</f>
        <v>0</v>
      </c>
      <c r="K3207" s="15" t="n">
        <f aca="false">IF(B3207="SITE LOSS",IF(COUNTIFS('Site Dockets'!$B$7:$B$24,C3207,'Site Dockets'!$C$7:$C$24,F3207)&gt;0,1,0),IF(B3207="REGION LOSS",IF(COUNTIFS('Site Dockets'!$E$7:$E$24,C3207,'Site Dockets'!$C$7:$C$24,F3207)&gt;0,1,0),0))</f>
        <v>0</v>
      </c>
      <c r="L3207" s="15" t="n">
        <f aca="false">IF(J3207=1,0,Inputs!$B$11)</f>
        <v>100</v>
      </c>
      <c r="M3207" s="15" t="n">
        <f aca="false">IF(J3207=1,0,Inputs!$B$12)</f>
        <v>75</v>
      </c>
      <c r="N3207" s="15" t="n">
        <f aca="false">IF(J3207=1,0,IF(OR(AND(OR(B3207="SITE LOSS",B3207="REGION LOSS"),K3207=1),AND(B3207="ROLE COMPROMISE",H3207=C3207)),Inputs!$B$13,Inputs!$B$14))</f>
        <v>10</v>
      </c>
      <c r="O3207" s="15" t="n">
        <f aca="false">IF(J3207=1,0,Inputs!$B$13)</f>
        <v>20</v>
      </c>
      <c r="P3207" s="15" t="n">
        <f aca="false">SUM(M3207:N3207)</f>
        <v>85</v>
      </c>
      <c r="Q3207" s="15" t="n">
        <f aca="false">IF(J3207=1,"",L3207-P3207)</f>
        <v>15</v>
      </c>
      <c r="R3207" s="15" t="n">
        <f aca="false">IF(OR(J3207=1,M3207&lt;=Inputs!$B$12),1,0)</f>
        <v>1</v>
      </c>
      <c r="S3207" s="15" t="n">
        <f aca="false">IF(OR(J3207=1,N3207&lt;=O3207),1,0)</f>
        <v>1</v>
      </c>
      <c r="T3207" s="15" t="str">
        <f aca="false">IF(J3207=1,"OFFLINE",IF(AND(Q3207&gt;=Inputs!$B$15,R3207=1,S3207=1,P3207&lt;=L3207),"PASS","FAIL"))</f>
        <v>PASS</v>
      </c>
    </row>
    <row r="3208" customFormat="false" ht="15" hidden="false" customHeight="false" outlineLevel="0" collapsed="false">
      <c r="A3208" s="14" t="s">
        <v>1054</v>
      </c>
      <c r="B3208" s="14" t="s">
        <v>1055</v>
      </c>
      <c r="C3208" s="14" t="s">
        <v>1056</v>
      </c>
      <c r="D3208" s="14" t="s">
        <v>188</v>
      </c>
      <c r="E3208" s="14" t="s">
        <v>172</v>
      </c>
      <c r="F3208" s="14" t="s">
        <v>183</v>
      </c>
      <c r="G3208" s="14" t="n">
        <v>3</v>
      </c>
      <c r="H3208" s="14" t="s">
        <v>158</v>
      </c>
      <c r="I3208" s="14" t="s">
        <v>895</v>
      </c>
      <c r="J3208" s="15" t="n">
        <f aca="false">IF(B3208="SITE LOSS",IF(D3208=C3208,1,0),IF(B3208="REGION LOSS",IF(E3208=C3208,1,0),0))</f>
        <v>0</v>
      </c>
      <c r="K3208" s="15" t="n">
        <f aca="false">IF(B3208="SITE LOSS",IF(COUNTIFS('Site Dockets'!$B$7:$B$24,C3208,'Site Dockets'!$C$7:$C$24,F3208)&gt;0,1,0),IF(B3208="REGION LOSS",IF(COUNTIFS('Site Dockets'!$E$7:$E$24,C3208,'Site Dockets'!$C$7:$C$24,F3208)&gt;0,1,0),0))</f>
        <v>0</v>
      </c>
      <c r="L3208" s="15" t="n">
        <f aca="false">IF(J3208=1,0,Inputs!$B$11)</f>
        <v>100</v>
      </c>
      <c r="M3208" s="15" t="n">
        <f aca="false">IF(J3208=1,0,Inputs!$B$12)</f>
        <v>75</v>
      </c>
      <c r="N3208" s="15" t="n">
        <f aca="false">IF(J3208=1,0,IF(OR(AND(OR(B3208="SITE LOSS",B3208="REGION LOSS"),K3208=1),AND(B3208="ROLE COMPROMISE",H3208=C3208)),Inputs!$B$13,Inputs!$B$14))</f>
        <v>10</v>
      </c>
      <c r="O3208" s="15" t="n">
        <f aca="false">IF(J3208=1,0,Inputs!$B$13)</f>
        <v>20</v>
      </c>
      <c r="P3208" s="15" t="n">
        <f aca="false">SUM(M3208:N3208)</f>
        <v>85</v>
      </c>
      <c r="Q3208" s="15" t="n">
        <f aca="false">IF(J3208=1,"",L3208-P3208)</f>
        <v>15</v>
      </c>
      <c r="R3208" s="15" t="n">
        <f aca="false">IF(OR(J3208=1,M3208&lt;=Inputs!$B$12),1,0)</f>
        <v>1</v>
      </c>
      <c r="S3208" s="15" t="n">
        <f aca="false">IF(OR(J3208=1,N3208&lt;=O3208),1,0)</f>
        <v>1</v>
      </c>
      <c r="T3208" s="15" t="str">
        <f aca="false">IF(J3208=1,"OFFLINE",IF(AND(Q3208&gt;=Inputs!$B$15,R3208=1,S3208=1,P3208&lt;=L3208),"PASS","FAIL"))</f>
        <v>PASS</v>
      </c>
    </row>
    <row r="3209" customFormat="false" ht="15" hidden="false" customHeight="false" outlineLevel="0" collapsed="false">
      <c r="A3209" s="14" t="s">
        <v>1054</v>
      </c>
      <c r="B3209" s="14" t="s">
        <v>1055</v>
      </c>
      <c r="C3209" s="14" t="s">
        <v>1056</v>
      </c>
      <c r="D3209" s="14" t="s">
        <v>188</v>
      </c>
      <c r="E3209" s="14" t="s">
        <v>172</v>
      </c>
      <c r="F3209" s="14" t="s">
        <v>183</v>
      </c>
      <c r="G3209" s="14" t="n">
        <v>3</v>
      </c>
      <c r="H3209" s="14" t="s">
        <v>158</v>
      </c>
      <c r="I3209" s="14" t="s">
        <v>897</v>
      </c>
      <c r="J3209" s="15" t="n">
        <f aca="false">IF(B3209="SITE LOSS",IF(D3209=C3209,1,0),IF(B3209="REGION LOSS",IF(E3209=C3209,1,0),0))</f>
        <v>0</v>
      </c>
      <c r="K3209" s="15" t="n">
        <f aca="false">IF(B3209="SITE LOSS",IF(COUNTIFS('Site Dockets'!$B$7:$B$24,C3209,'Site Dockets'!$C$7:$C$24,F3209)&gt;0,1,0),IF(B3209="REGION LOSS",IF(COUNTIFS('Site Dockets'!$E$7:$E$24,C3209,'Site Dockets'!$C$7:$C$24,F3209)&gt;0,1,0),0))</f>
        <v>0</v>
      </c>
      <c r="L3209" s="15" t="n">
        <f aca="false">IF(J3209=1,0,Inputs!$B$11)</f>
        <v>100</v>
      </c>
      <c r="M3209" s="15" t="n">
        <f aca="false">IF(J3209=1,0,Inputs!$B$12)</f>
        <v>75</v>
      </c>
      <c r="N3209" s="15" t="n">
        <f aca="false">IF(J3209=1,0,IF(OR(AND(OR(B3209="SITE LOSS",B3209="REGION LOSS"),K3209=1),AND(B3209="ROLE COMPROMISE",H3209=C3209)),Inputs!$B$13,Inputs!$B$14))</f>
        <v>10</v>
      </c>
      <c r="O3209" s="15" t="n">
        <f aca="false">IF(J3209=1,0,Inputs!$B$13)</f>
        <v>20</v>
      </c>
      <c r="P3209" s="15" t="n">
        <f aca="false">SUM(M3209:N3209)</f>
        <v>85</v>
      </c>
      <c r="Q3209" s="15" t="n">
        <f aca="false">IF(J3209=1,"",L3209-P3209)</f>
        <v>15</v>
      </c>
      <c r="R3209" s="15" t="n">
        <f aca="false">IF(OR(J3209=1,M3209&lt;=Inputs!$B$12),1,0)</f>
        <v>1</v>
      </c>
      <c r="S3209" s="15" t="n">
        <f aca="false">IF(OR(J3209=1,N3209&lt;=O3209),1,0)</f>
        <v>1</v>
      </c>
      <c r="T3209" s="15" t="str">
        <f aca="false">IF(J3209=1,"OFFLINE",IF(AND(Q3209&gt;=Inputs!$B$15,R3209=1,S3209=1,P3209&lt;=L3209),"PASS","FAIL"))</f>
        <v>PASS</v>
      </c>
    </row>
    <row r="3210" customFormat="false" ht="15" hidden="false" customHeight="false" outlineLevel="0" collapsed="false">
      <c r="A3210" s="14" t="s">
        <v>1054</v>
      </c>
      <c r="B3210" s="14" t="s">
        <v>1055</v>
      </c>
      <c r="C3210" s="14" t="s">
        <v>1056</v>
      </c>
      <c r="D3210" s="14" t="s">
        <v>188</v>
      </c>
      <c r="E3210" s="14" t="s">
        <v>172</v>
      </c>
      <c r="F3210" s="14" t="s">
        <v>183</v>
      </c>
      <c r="G3210" s="14" t="n">
        <v>3</v>
      </c>
      <c r="H3210" s="14" t="s">
        <v>158</v>
      </c>
      <c r="I3210" s="14" t="s">
        <v>899</v>
      </c>
      <c r="J3210" s="15" t="n">
        <f aca="false">IF(B3210="SITE LOSS",IF(D3210=C3210,1,0),IF(B3210="REGION LOSS",IF(E3210=C3210,1,0),0))</f>
        <v>0</v>
      </c>
      <c r="K3210" s="15" t="n">
        <f aca="false">IF(B3210="SITE LOSS",IF(COUNTIFS('Site Dockets'!$B$7:$B$24,C3210,'Site Dockets'!$C$7:$C$24,F3210)&gt;0,1,0),IF(B3210="REGION LOSS",IF(COUNTIFS('Site Dockets'!$E$7:$E$24,C3210,'Site Dockets'!$C$7:$C$24,F3210)&gt;0,1,0),0))</f>
        <v>0</v>
      </c>
      <c r="L3210" s="15" t="n">
        <f aca="false">IF(J3210=1,0,Inputs!$B$11)</f>
        <v>100</v>
      </c>
      <c r="M3210" s="15" t="n">
        <f aca="false">IF(J3210=1,0,Inputs!$B$12)</f>
        <v>75</v>
      </c>
      <c r="N3210" s="15" t="n">
        <f aca="false">IF(J3210=1,0,IF(OR(AND(OR(B3210="SITE LOSS",B3210="REGION LOSS"),K3210=1),AND(B3210="ROLE COMPROMISE",H3210=C3210)),Inputs!$B$13,Inputs!$B$14))</f>
        <v>10</v>
      </c>
      <c r="O3210" s="15" t="n">
        <f aca="false">IF(J3210=1,0,Inputs!$B$13)</f>
        <v>20</v>
      </c>
      <c r="P3210" s="15" t="n">
        <f aca="false">SUM(M3210:N3210)</f>
        <v>85</v>
      </c>
      <c r="Q3210" s="15" t="n">
        <f aca="false">IF(J3210=1,"",L3210-P3210)</f>
        <v>15</v>
      </c>
      <c r="R3210" s="15" t="n">
        <f aca="false">IF(OR(J3210=1,M3210&lt;=Inputs!$B$12),1,0)</f>
        <v>1</v>
      </c>
      <c r="S3210" s="15" t="n">
        <f aca="false">IF(OR(J3210=1,N3210&lt;=O3210),1,0)</f>
        <v>1</v>
      </c>
      <c r="T3210" s="15" t="str">
        <f aca="false">IF(J3210=1,"OFFLINE",IF(AND(Q3210&gt;=Inputs!$B$15,R3210=1,S3210=1,P3210&lt;=L3210),"PASS","FAIL"))</f>
        <v>PASS</v>
      </c>
    </row>
    <row r="3211" customFormat="false" ht="15" hidden="false" customHeight="false" outlineLevel="0" collapsed="false">
      <c r="A3211" s="14" t="s">
        <v>1054</v>
      </c>
      <c r="B3211" s="14" t="s">
        <v>1055</v>
      </c>
      <c r="C3211" s="14" t="s">
        <v>1056</v>
      </c>
      <c r="D3211" s="14" t="s">
        <v>190</v>
      </c>
      <c r="E3211" s="14" t="s">
        <v>152</v>
      </c>
      <c r="F3211" s="14" t="s">
        <v>191</v>
      </c>
      <c r="G3211" s="14" t="n">
        <v>1</v>
      </c>
      <c r="H3211" s="14" t="s">
        <v>154</v>
      </c>
      <c r="I3211" s="14" t="s">
        <v>890</v>
      </c>
      <c r="J3211" s="15" t="n">
        <f aca="false">IF(B3211="SITE LOSS",IF(D3211=C3211,1,0),IF(B3211="REGION LOSS",IF(E3211=C3211,1,0),0))</f>
        <v>0</v>
      </c>
      <c r="K3211" s="15" t="n">
        <f aca="false">IF(B3211="SITE LOSS",IF(COUNTIFS('Site Dockets'!$B$7:$B$24,C3211,'Site Dockets'!$C$7:$C$24,F3211)&gt;0,1,0),IF(B3211="REGION LOSS",IF(COUNTIFS('Site Dockets'!$E$7:$E$24,C3211,'Site Dockets'!$C$7:$C$24,F3211)&gt;0,1,0),0))</f>
        <v>0</v>
      </c>
      <c r="L3211" s="15" t="n">
        <f aca="false">IF(J3211=1,0,Inputs!$B$11)</f>
        <v>100</v>
      </c>
      <c r="M3211" s="15" t="n">
        <f aca="false">IF(J3211=1,0,Inputs!$B$12)</f>
        <v>75</v>
      </c>
      <c r="N3211" s="15" t="n">
        <f aca="false">IF(J3211=1,0,IF(OR(AND(OR(B3211="SITE LOSS",B3211="REGION LOSS"),K3211=1),AND(B3211="ROLE COMPROMISE",H3211=C3211)),Inputs!$B$13,Inputs!$B$14))</f>
        <v>10</v>
      </c>
      <c r="O3211" s="15" t="n">
        <f aca="false">IF(J3211=1,0,Inputs!$B$13)</f>
        <v>20</v>
      </c>
      <c r="P3211" s="15" t="n">
        <f aca="false">SUM(M3211:N3211)</f>
        <v>85</v>
      </c>
      <c r="Q3211" s="15" t="n">
        <f aca="false">IF(J3211=1,"",L3211-P3211)</f>
        <v>15</v>
      </c>
      <c r="R3211" s="15" t="n">
        <f aca="false">IF(OR(J3211=1,M3211&lt;=Inputs!$B$12),1,0)</f>
        <v>1</v>
      </c>
      <c r="S3211" s="15" t="n">
        <f aca="false">IF(OR(J3211=1,N3211&lt;=O3211),1,0)</f>
        <v>1</v>
      </c>
      <c r="T3211" s="15" t="str">
        <f aca="false">IF(J3211=1,"OFFLINE",IF(AND(Q3211&gt;=Inputs!$B$15,R3211=1,S3211=1,P3211&lt;=L3211),"PASS","FAIL"))</f>
        <v>PASS</v>
      </c>
    </row>
    <row r="3212" customFormat="false" ht="15" hidden="false" customHeight="false" outlineLevel="0" collapsed="false">
      <c r="A3212" s="14" t="s">
        <v>1054</v>
      </c>
      <c r="B3212" s="14" t="s">
        <v>1055</v>
      </c>
      <c r="C3212" s="14" t="s">
        <v>1056</v>
      </c>
      <c r="D3212" s="14" t="s">
        <v>190</v>
      </c>
      <c r="E3212" s="14" t="s">
        <v>152</v>
      </c>
      <c r="F3212" s="14" t="s">
        <v>191</v>
      </c>
      <c r="G3212" s="14" t="n">
        <v>1</v>
      </c>
      <c r="H3212" s="14" t="s">
        <v>154</v>
      </c>
      <c r="I3212" s="14" t="s">
        <v>892</v>
      </c>
      <c r="J3212" s="15" t="n">
        <f aca="false">IF(B3212="SITE LOSS",IF(D3212=C3212,1,0),IF(B3212="REGION LOSS",IF(E3212=C3212,1,0),0))</f>
        <v>0</v>
      </c>
      <c r="K3212" s="15" t="n">
        <f aca="false">IF(B3212="SITE LOSS",IF(COUNTIFS('Site Dockets'!$B$7:$B$24,C3212,'Site Dockets'!$C$7:$C$24,F3212)&gt;0,1,0),IF(B3212="REGION LOSS",IF(COUNTIFS('Site Dockets'!$E$7:$E$24,C3212,'Site Dockets'!$C$7:$C$24,F3212)&gt;0,1,0),0))</f>
        <v>0</v>
      </c>
      <c r="L3212" s="15" t="n">
        <f aca="false">IF(J3212=1,0,Inputs!$B$11)</f>
        <v>100</v>
      </c>
      <c r="M3212" s="15" t="n">
        <f aca="false">IF(J3212=1,0,Inputs!$B$12)</f>
        <v>75</v>
      </c>
      <c r="N3212" s="15" t="n">
        <f aca="false">IF(J3212=1,0,IF(OR(AND(OR(B3212="SITE LOSS",B3212="REGION LOSS"),K3212=1),AND(B3212="ROLE COMPROMISE",H3212=C3212)),Inputs!$B$13,Inputs!$B$14))</f>
        <v>10</v>
      </c>
      <c r="O3212" s="15" t="n">
        <f aca="false">IF(J3212=1,0,Inputs!$B$13)</f>
        <v>20</v>
      </c>
      <c r="P3212" s="15" t="n">
        <f aca="false">SUM(M3212:N3212)</f>
        <v>85</v>
      </c>
      <c r="Q3212" s="15" t="n">
        <f aca="false">IF(J3212=1,"",L3212-P3212)</f>
        <v>15</v>
      </c>
      <c r="R3212" s="15" t="n">
        <f aca="false">IF(OR(J3212=1,M3212&lt;=Inputs!$B$12),1,0)</f>
        <v>1</v>
      </c>
      <c r="S3212" s="15" t="n">
        <f aca="false">IF(OR(J3212=1,N3212&lt;=O3212),1,0)</f>
        <v>1</v>
      </c>
      <c r="T3212" s="15" t="str">
        <f aca="false">IF(J3212=1,"OFFLINE",IF(AND(Q3212&gt;=Inputs!$B$15,R3212=1,S3212=1,P3212&lt;=L3212),"PASS","FAIL"))</f>
        <v>PASS</v>
      </c>
    </row>
    <row r="3213" customFormat="false" ht="15" hidden="false" customHeight="false" outlineLevel="0" collapsed="false">
      <c r="A3213" s="14" t="s">
        <v>1054</v>
      </c>
      <c r="B3213" s="14" t="s">
        <v>1055</v>
      </c>
      <c r="C3213" s="14" t="s">
        <v>1056</v>
      </c>
      <c r="D3213" s="14" t="s">
        <v>190</v>
      </c>
      <c r="E3213" s="14" t="s">
        <v>152</v>
      </c>
      <c r="F3213" s="14" t="s">
        <v>191</v>
      </c>
      <c r="G3213" s="14" t="n">
        <v>1</v>
      </c>
      <c r="H3213" s="14" t="s">
        <v>154</v>
      </c>
      <c r="I3213" s="14" t="s">
        <v>811</v>
      </c>
      <c r="J3213" s="15" t="n">
        <f aca="false">IF(B3213="SITE LOSS",IF(D3213=C3213,1,0),IF(B3213="REGION LOSS",IF(E3213=C3213,1,0),0))</f>
        <v>0</v>
      </c>
      <c r="K3213" s="15" t="n">
        <f aca="false">IF(B3213="SITE LOSS",IF(COUNTIFS('Site Dockets'!$B$7:$B$24,C3213,'Site Dockets'!$C$7:$C$24,F3213)&gt;0,1,0),IF(B3213="REGION LOSS",IF(COUNTIFS('Site Dockets'!$E$7:$E$24,C3213,'Site Dockets'!$C$7:$C$24,F3213)&gt;0,1,0),0))</f>
        <v>0</v>
      </c>
      <c r="L3213" s="15" t="n">
        <f aca="false">IF(J3213=1,0,Inputs!$B$11)</f>
        <v>100</v>
      </c>
      <c r="M3213" s="15" t="n">
        <f aca="false">IF(J3213=1,0,Inputs!$B$12)</f>
        <v>75</v>
      </c>
      <c r="N3213" s="15" t="n">
        <f aca="false">IF(J3213=1,0,IF(OR(AND(OR(B3213="SITE LOSS",B3213="REGION LOSS"),K3213=1),AND(B3213="ROLE COMPROMISE",H3213=C3213)),Inputs!$B$13,Inputs!$B$14))</f>
        <v>10</v>
      </c>
      <c r="O3213" s="15" t="n">
        <f aca="false">IF(J3213=1,0,Inputs!$B$13)</f>
        <v>20</v>
      </c>
      <c r="P3213" s="15" t="n">
        <f aca="false">SUM(M3213:N3213)</f>
        <v>85</v>
      </c>
      <c r="Q3213" s="15" t="n">
        <f aca="false">IF(J3213=1,"",L3213-P3213)</f>
        <v>15</v>
      </c>
      <c r="R3213" s="15" t="n">
        <f aca="false">IF(OR(J3213=1,M3213&lt;=Inputs!$B$12),1,0)</f>
        <v>1</v>
      </c>
      <c r="S3213" s="15" t="n">
        <f aca="false">IF(OR(J3213=1,N3213&lt;=O3213),1,0)</f>
        <v>1</v>
      </c>
      <c r="T3213" s="15" t="str">
        <f aca="false">IF(J3213=1,"OFFLINE",IF(AND(Q3213&gt;=Inputs!$B$15,R3213=1,S3213=1,P3213&lt;=L3213),"PASS","FAIL"))</f>
        <v>PASS</v>
      </c>
    </row>
    <row r="3214" customFormat="false" ht="15" hidden="false" customHeight="false" outlineLevel="0" collapsed="false">
      <c r="A3214" s="14" t="s">
        <v>1054</v>
      </c>
      <c r="B3214" s="14" t="s">
        <v>1055</v>
      </c>
      <c r="C3214" s="14" t="s">
        <v>1056</v>
      </c>
      <c r="D3214" s="14" t="s">
        <v>190</v>
      </c>
      <c r="E3214" s="14" t="s">
        <v>152</v>
      </c>
      <c r="F3214" s="14" t="s">
        <v>191</v>
      </c>
      <c r="G3214" s="14" t="n">
        <v>1</v>
      </c>
      <c r="H3214" s="14" t="s">
        <v>154</v>
      </c>
      <c r="I3214" s="14" t="s">
        <v>895</v>
      </c>
      <c r="J3214" s="15" t="n">
        <f aca="false">IF(B3214="SITE LOSS",IF(D3214=C3214,1,0),IF(B3214="REGION LOSS",IF(E3214=C3214,1,0),0))</f>
        <v>0</v>
      </c>
      <c r="K3214" s="15" t="n">
        <f aca="false">IF(B3214="SITE LOSS",IF(COUNTIFS('Site Dockets'!$B$7:$B$24,C3214,'Site Dockets'!$C$7:$C$24,F3214)&gt;0,1,0),IF(B3214="REGION LOSS",IF(COUNTIFS('Site Dockets'!$E$7:$E$24,C3214,'Site Dockets'!$C$7:$C$24,F3214)&gt;0,1,0),0))</f>
        <v>0</v>
      </c>
      <c r="L3214" s="15" t="n">
        <f aca="false">IF(J3214=1,0,Inputs!$B$11)</f>
        <v>100</v>
      </c>
      <c r="M3214" s="15" t="n">
        <f aca="false">IF(J3214=1,0,Inputs!$B$12)</f>
        <v>75</v>
      </c>
      <c r="N3214" s="15" t="n">
        <f aca="false">IF(J3214=1,0,IF(OR(AND(OR(B3214="SITE LOSS",B3214="REGION LOSS"),K3214=1),AND(B3214="ROLE COMPROMISE",H3214=C3214)),Inputs!$B$13,Inputs!$B$14))</f>
        <v>10</v>
      </c>
      <c r="O3214" s="15" t="n">
        <f aca="false">IF(J3214=1,0,Inputs!$B$13)</f>
        <v>20</v>
      </c>
      <c r="P3214" s="15" t="n">
        <f aca="false">SUM(M3214:N3214)</f>
        <v>85</v>
      </c>
      <c r="Q3214" s="15" t="n">
        <f aca="false">IF(J3214=1,"",L3214-P3214)</f>
        <v>15</v>
      </c>
      <c r="R3214" s="15" t="n">
        <f aca="false">IF(OR(J3214=1,M3214&lt;=Inputs!$B$12),1,0)</f>
        <v>1</v>
      </c>
      <c r="S3214" s="15" t="n">
        <f aca="false">IF(OR(J3214=1,N3214&lt;=O3214),1,0)</f>
        <v>1</v>
      </c>
      <c r="T3214" s="15" t="str">
        <f aca="false">IF(J3214=1,"OFFLINE",IF(AND(Q3214&gt;=Inputs!$B$15,R3214=1,S3214=1,P3214&lt;=L3214),"PASS","FAIL"))</f>
        <v>PASS</v>
      </c>
    </row>
    <row r="3215" customFormat="false" ht="15" hidden="false" customHeight="false" outlineLevel="0" collapsed="false">
      <c r="A3215" s="14" t="s">
        <v>1054</v>
      </c>
      <c r="B3215" s="14" t="s">
        <v>1055</v>
      </c>
      <c r="C3215" s="14" t="s">
        <v>1056</v>
      </c>
      <c r="D3215" s="14" t="s">
        <v>190</v>
      </c>
      <c r="E3215" s="14" t="s">
        <v>152</v>
      </c>
      <c r="F3215" s="14" t="s">
        <v>191</v>
      </c>
      <c r="G3215" s="14" t="n">
        <v>1</v>
      </c>
      <c r="H3215" s="14" t="s">
        <v>154</v>
      </c>
      <c r="I3215" s="14" t="s">
        <v>897</v>
      </c>
      <c r="J3215" s="15" t="n">
        <f aca="false">IF(B3215="SITE LOSS",IF(D3215=C3215,1,0),IF(B3215="REGION LOSS",IF(E3215=C3215,1,0),0))</f>
        <v>0</v>
      </c>
      <c r="K3215" s="15" t="n">
        <f aca="false">IF(B3215="SITE LOSS",IF(COUNTIFS('Site Dockets'!$B$7:$B$24,C3215,'Site Dockets'!$C$7:$C$24,F3215)&gt;0,1,0),IF(B3215="REGION LOSS",IF(COUNTIFS('Site Dockets'!$E$7:$E$24,C3215,'Site Dockets'!$C$7:$C$24,F3215)&gt;0,1,0),0))</f>
        <v>0</v>
      </c>
      <c r="L3215" s="15" t="n">
        <f aca="false">IF(J3215=1,0,Inputs!$B$11)</f>
        <v>100</v>
      </c>
      <c r="M3215" s="15" t="n">
        <f aca="false">IF(J3215=1,0,Inputs!$B$12)</f>
        <v>75</v>
      </c>
      <c r="N3215" s="15" t="n">
        <f aca="false">IF(J3215=1,0,IF(OR(AND(OR(B3215="SITE LOSS",B3215="REGION LOSS"),K3215=1),AND(B3215="ROLE COMPROMISE",H3215=C3215)),Inputs!$B$13,Inputs!$B$14))</f>
        <v>10</v>
      </c>
      <c r="O3215" s="15" t="n">
        <f aca="false">IF(J3215=1,0,Inputs!$B$13)</f>
        <v>20</v>
      </c>
      <c r="P3215" s="15" t="n">
        <f aca="false">SUM(M3215:N3215)</f>
        <v>85</v>
      </c>
      <c r="Q3215" s="15" t="n">
        <f aca="false">IF(J3215=1,"",L3215-P3215)</f>
        <v>15</v>
      </c>
      <c r="R3215" s="15" t="n">
        <f aca="false">IF(OR(J3215=1,M3215&lt;=Inputs!$B$12),1,0)</f>
        <v>1</v>
      </c>
      <c r="S3215" s="15" t="n">
        <f aca="false">IF(OR(J3215=1,N3215&lt;=O3215),1,0)</f>
        <v>1</v>
      </c>
      <c r="T3215" s="15" t="str">
        <f aca="false">IF(J3215=1,"OFFLINE",IF(AND(Q3215&gt;=Inputs!$B$15,R3215=1,S3215=1,P3215&lt;=L3215),"PASS","FAIL"))</f>
        <v>PASS</v>
      </c>
    </row>
    <row r="3216" customFormat="false" ht="15" hidden="false" customHeight="false" outlineLevel="0" collapsed="false">
      <c r="A3216" s="14" t="s">
        <v>1054</v>
      </c>
      <c r="B3216" s="14" t="s">
        <v>1055</v>
      </c>
      <c r="C3216" s="14" t="s">
        <v>1056</v>
      </c>
      <c r="D3216" s="14" t="s">
        <v>190</v>
      </c>
      <c r="E3216" s="14" t="s">
        <v>152</v>
      </c>
      <c r="F3216" s="14" t="s">
        <v>191</v>
      </c>
      <c r="G3216" s="14" t="n">
        <v>1</v>
      </c>
      <c r="H3216" s="14" t="s">
        <v>154</v>
      </c>
      <c r="I3216" s="14" t="s">
        <v>899</v>
      </c>
      <c r="J3216" s="15" t="n">
        <f aca="false">IF(B3216="SITE LOSS",IF(D3216=C3216,1,0),IF(B3216="REGION LOSS",IF(E3216=C3216,1,0),0))</f>
        <v>0</v>
      </c>
      <c r="K3216" s="15" t="n">
        <f aca="false">IF(B3216="SITE LOSS",IF(COUNTIFS('Site Dockets'!$B$7:$B$24,C3216,'Site Dockets'!$C$7:$C$24,F3216)&gt;0,1,0),IF(B3216="REGION LOSS",IF(COUNTIFS('Site Dockets'!$E$7:$E$24,C3216,'Site Dockets'!$C$7:$C$24,F3216)&gt;0,1,0),0))</f>
        <v>0</v>
      </c>
      <c r="L3216" s="15" t="n">
        <f aca="false">IF(J3216=1,0,Inputs!$B$11)</f>
        <v>100</v>
      </c>
      <c r="M3216" s="15" t="n">
        <f aca="false">IF(J3216=1,0,Inputs!$B$12)</f>
        <v>75</v>
      </c>
      <c r="N3216" s="15" t="n">
        <f aca="false">IF(J3216=1,0,IF(OR(AND(OR(B3216="SITE LOSS",B3216="REGION LOSS"),K3216=1),AND(B3216="ROLE COMPROMISE",H3216=C3216)),Inputs!$B$13,Inputs!$B$14))</f>
        <v>10</v>
      </c>
      <c r="O3216" s="15" t="n">
        <f aca="false">IF(J3216=1,0,Inputs!$B$13)</f>
        <v>20</v>
      </c>
      <c r="P3216" s="15" t="n">
        <f aca="false">SUM(M3216:N3216)</f>
        <v>85</v>
      </c>
      <c r="Q3216" s="15" t="n">
        <f aca="false">IF(J3216=1,"",L3216-P3216)</f>
        <v>15</v>
      </c>
      <c r="R3216" s="15" t="n">
        <f aca="false">IF(OR(J3216=1,M3216&lt;=Inputs!$B$12),1,0)</f>
        <v>1</v>
      </c>
      <c r="S3216" s="15" t="n">
        <f aca="false">IF(OR(J3216=1,N3216&lt;=O3216),1,0)</f>
        <v>1</v>
      </c>
      <c r="T3216" s="15" t="str">
        <f aca="false">IF(J3216=1,"OFFLINE",IF(AND(Q3216&gt;=Inputs!$B$15,R3216=1,S3216=1,P3216&lt;=L3216),"PASS","FAIL"))</f>
        <v>PASS</v>
      </c>
    </row>
    <row r="3217" customFormat="false" ht="15" hidden="false" customHeight="false" outlineLevel="0" collapsed="false">
      <c r="A3217" s="14" t="s">
        <v>1054</v>
      </c>
      <c r="B3217" s="14" t="s">
        <v>1055</v>
      </c>
      <c r="C3217" s="14" t="s">
        <v>1056</v>
      </c>
      <c r="D3217" s="14" t="s">
        <v>194</v>
      </c>
      <c r="E3217" s="14" t="s">
        <v>169</v>
      </c>
      <c r="F3217" s="14" t="s">
        <v>191</v>
      </c>
      <c r="G3217" s="14" t="n">
        <v>2</v>
      </c>
      <c r="H3217" s="14" t="s">
        <v>153</v>
      </c>
      <c r="I3217" s="14" t="s">
        <v>890</v>
      </c>
      <c r="J3217" s="15" t="n">
        <f aca="false">IF(B3217="SITE LOSS",IF(D3217=C3217,1,0),IF(B3217="REGION LOSS",IF(E3217=C3217,1,0),0))</f>
        <v>0</v>
      </c>
      <c r="K3217" s="15" t="n">
        <f aca="false">IF(B3217="SITE LOSS",IF(COUNTIFS('Site Dockets'!$B$7:$B$24,C3217,'Site Dockets'!$C$7:$C$24,F3217)&gt;0,1,0),IF(B3217="REGION LOSS",IF(COUNTIFS('Site Dockets'!$E$7:$E$24,C3217,'Site Dockets'!$C$7:$C$24,F3217)&gt;0,1,0),0))</f>
        <v>0</v>
      </c>
      <c r="L3217" s="15" t="n">
        <f aca="false">IF(J3217=1,0,Inputs!$B$11)</f>
        <v>100</v>
      </c>
      <c r="M3217" s="15" t="n">
        <f aca="false">IF(J3217=1,0,Inputs!$B$12)</f>
        <v>75</v>
      </c>
      <c r="N3217" s="15" t="n">
        <f aca="false">IF(J3217=1,0,IF(OR(AND(OR(B3217="SITE LOSS",B3217="REGION LOSS"),K3217=1),AND(B3217="ROLE COMPROMISE",H3217=C3217)),Inputs!$B$13,Inputs!$B$14))</f>
        <v>10</v>
      </c>
      <c r="O3217" s="15" t="n">
        <f aca="false">IF(J3217=1,0,Inputs!$B$13)</f>
        <v>20</v>
      </c>
      <c r="P3217" s="15" t="n">
        <f aca="false">SUM(M3217:N3217)</f>
        <v>85</v>
      </c>
      <c r="Q3217" s="15" t="n">
        <f aca="false">IF(J3217=1,"",L3217-P3217)</f>
        <v>15</v>
      </c>
      <c r="R3217" s="15" t="n">
        <f aca="false">IF(OR(J3217=1,M3217&lt;=Inputs!$B$12),1,0)</f>
        <v>1</v>
      </c>
      <c r="S3217" s="15" t="n">
        <f aca="false">IF(OR(J3217=1,N3217&lt;=O3217),1,0)</f>
        <v>1</v>
      </c>
      <c r="T3217" s="15" t="str">
        <f aca="false">IF(J3217=1,"OFFLINE",IF(AND(Q3217&gt;=Inputs!$B$15,R3217=1,S3217=1,P3217&lt;=L3217),"PASS","FAIL"))</f>
        <v>PASS</v>
      </c>
    </row>
    <row r="3218" customFormat="false" ht="15" hidden="false" customHeight="false" outlineLevel="0" collapsed="false">
      <c r="A3218" s="14" t="s">
        <v>1054</v>
      </c>
      <c r="B3218" s="14" t="s">
        <v>1055</v>
      </c>
      <c r="C3218" s="14" t="s">
        <v>1056</v>
      </c>
      <c r="D3218" s="14" t="s">
        <v>194</v>
      </c>
      <c r="E3218" s="14" t="s">
        <v>169</v>
      </c>
      <c r="F3218" s="14" t="s">
        <v>191</v>
      </c>
      <c r="G3218" s="14" t="n">
        <v>2</v>
      </c>
      <c r="H3218" s="14" t="s">
        <v>153</v>
      </c>
      <c r="I3218" s="14" t="s">
        <v>892</v>
      </c>
      <c r="J3218" s="15" t="n">
        <f aca="false">IF(B3218="SITE LOSS",IF(D3218=C3218,1,0),IF(B3218="REGION LOSS",IF(E3218=C3218,1,0),0))</f>
        <v>0</v>
      </c>
      <c r="K3218" s="15" t="n">
        <f aca="false">IF(B3218="SITE LOSS",IF(COUNTIFS('Site Dockets'!$B$7:$B$24,C3218,'Site Dockets'!$C$7:$C$24,F3218)&gt;0,1,0),IF(B3218="REGION LOSS",IF(COUNTIFS('Site Dockets'!$E$7:$E$24,C3218,'Site Dockets'!$C$7:$C$24,F3218)&gt;0,1,0),0))</f>
        <v>0</v>
      </c>
      <c r="L3218" s="15" t="n">
        <f aca="false">IF(J3218=1,0,Inputs!$B$11)</f>
        <v>100</v>
      </c>
      <c r="M3218" s="15" t="n">
        <f aca="false">IF(J3218=1,0,Inputs!$B$12)</f>
        <v>75</v>
      </c>
      <c r="N3218" s="15" t="n">
        <f aca="false">IF(J3218=1,0,IF(OR(AND(OR(B3218="SITE LOSS",B3218="REGION LOSS"),K3218=1),AND(B3218="ROLE COMPROMISE",H3218=C3218)),Inputs!$B$13,Inputs!$B$14))</f>
        <v>10</v>
      </c>
      <c r="O3218" s="15" t="n">
        <f aca="false">IF(J3218=1,0,Inputs!$B$13)</f>
        <v>20</v>
      </c>
      <c r="P3218" s="15" t="n">
        <f aca="false">SUM(M3218:N3218)</f>
        <v>85</v>
      </c>
      <c r="Q3218" s="15" t="n">
        <f aca="false">IF(J3218=1,"",L3218-P3218)</f>
        <v>15</v>
      </c>
      <c r="R3218" s="15" t="n">
        <f aca="false">IF(OR(J3218=1,M3218&lt;=Inputs!$B$12),1,0)</f>
        <v>1</v>
      </c>
      <c r="S3218" s="15" t="n">
        <f aca="false">IF(OR(J3218=1,N3218&lt;=O3218),1,0)</f>
        <v>1</v>
      </c>
      <c r="T3218" s="15" t="str">
        <f aca="false">IF(J3218=1,"OFFLINE",IF(AND(Q3218&gt;=Inputs!$B$15,R3218=1,S3218=1,P3218&lt;=L3218),"PASS","FAIL"))</f>
        <v>PASS</v>
      </c>
    </row>
    <row r="3219" customFormat="false" ht="15" hidden="false" customHeight="false" outlineLevel="0" collapsed="false">
      <c r="A3219" s="14" t="s">
        <v>1054</v>
      </c>
      <c r="B3219" s="14" t="s">
        <v>1055</v>
      </c>
      <c r="C3219" s="14" t="s">
        <v>1056</v>
      </c>
      <c r="D3219" s="14" t="s">
        <v>194</v>
      </c>
      <c r="E3219" s="14" t="s">
        <v>169</v>
      </c>
      <c r="F3219" s="14" t="s">
        <v>191</v>
      </c>
      <c r="G3219" s="14" t="n">
        <v>2</v>
      </c>
      <c r="H3219" s="14" t="s">
        <v>153</v>
      </c>
      <c r="I3219" s="14" t="s">
        <v>811</v>
      </c>
      <c r="J3219" s="15" t="n">
        <f aca="false">IF(B3219="SITE LOSS",IF(D3219=C3219,1,0),IF(B3219="REGION LOSS",IF(E3219=C3219,1,0),0))</f>
        <v>0</v>
      </c>
      <c r="K3219" s="15" t="n">
        <f aca="false">IF(B3219="SITE LOSS",IF(COUNTIFS('Site Dockets'!$B$7:$B$24,C3219,'Site Dockets'!$C$7:$C$24,F3219)&gt;0,1,0),IF(B3219="REGION LOSS",IF(COUNTIFS('Site Dockets'!$E$7:$E$24,C3219,'Site Dockets'!$C$7:$C$24,F3219)&gt;0,1,0),0))</f>
        <v>0</v>
      </c>
      <c r="L3219" s="15" t="n">
        <f aca="false">IF(J3219=1,0,Inputs!$B$11)</f>
        <v>100</v>
      </c>
      <c r="M3219" s="15" t="n">
        <f aca="false">IF(J3219=1,0,Inputs!$B$12)</f>
        <v>75</v>
      </c>
      <c r="N3219" s="15" t="n">
        <f aca="false">IF(J3219=1,0,IF(OR(AND(OR(B3219="SITE LOSS",B3219="REGION LOSS"),K3219=1),AND(B3219="ROLE COMPROMISE",H3219=C3219)),Inputs!$B$13,Inputs!$B$14))</f>
        <v>10</v>
      </c>
      <c r="O3219" s="15" t="n">
        <f aca="false">IF(J3219=1,0,Inputs!$B$13)</f>
        <v>20</v>
      </c>
      <c r="P3219" s="15" t="n">
        <f aca="false">SUM(M3219:N3219)</f>
        <v>85</v>
      </c>
      <c r="Q3219" s="15" t="n">
        <f aca="false">IF(J3219=1,"",L3219-P3219)</f>
        <v>15</v>
      </c>
      <c r="R3219" s="15" t="n">
        <f aca="false">IF(OR(J3219=1,M3219&lt;=Inputs!$B$12),1,0)</f>
        <v>1</v>
      </c>
      <c r="S3219" s="15" t="n">
        <f aca="false">IF(OR(J3219=1,N3219&lt;=O3219),1,0)</f>
        <v>1</v>
      </c>
      <c r="T3219" s="15" t="str">
        <f aca="false">IF(J3219=1,"OFFLINE",IF(AND(Q3219&gt;=Inputs!$B$15,R3219=1,S3219=1,P3219&lt;=L3219),"PASS","FAIL"))</f>
        <v>PASS</v>
      </c>
    </row>
    <row r="3220" customFormat="false" ht="15" hidden="false" customHeight="false" outlineLevel="0" collapsed="false">
      <c r="A3220" s="14" t="s">
        <v>1054</v>
      </c>
      <c r="B3220" s="14" t="s">
        <v>1055</v>
      </c>
      <c r="C3220" s="14" t="s">
        <v>1056</v>
      </c>
      <c r="D3220" s="14" t="s">
        <v>194</v>
      </c>
      <c r="E3220" s="14" t="s">
        <v>169</v>
      </c>
      <c r="F3220" s="14" t="s">
        <v>191</v>
      </c>
      <c r="G3220" s="14" t="n">
        <v>2</v>
      </c>
      <c r="H3220" s="14" t="s">
        <v>153</v>
      </c>
      <c r="I3220" s="14" t="s">
        <v>895</v>
      </c>
      <c r="J3220" s="15" t="n">
        <f aca="false">IF(B3220="SITE LOSS",IF(D3220=C3220,1,0),IF(B3220="REGION LOSS",IF(E3220=C3220,1,0),0))</f>
        <v>0</v>
      </c>
      <c r="K3220" s="15" t="n">
        <f aca="false">IF(B3220="SITE LOSS",IF(COUNTIFS('Site Dockets'!$B$7:$B$24,C3220,'Site Dockets'!$C$7:$C$24,F3220)&gt;0,1,0),IF(B3220="REGION LOSS",IF(COUNTIFS('Site Dockets'!$E$7:$E$24,C3220,'Site Dockets'!$C$7:$C$24,F3220)&gt;0,1,0),0))</f>
        <v>0</v>
      </c>
      <c r="L3220" s="15" t="n">
        <f aca="false">IF(J3220=1,0,Inputs!$B$11)</f>
        <v>100</v>
      </c>
      <c r="M3220" s="15" t="n">
        <f aca="false">IF(J3220=1,0,Inputs!$B$12)</f>
        <v>75</v>
      </c>
      <c r="N3220" s="15" t="n">
        <f aca="false">IF(J3220=1,0,IF(OR(AND(OR(B3220="SITE LOSS",B3220="REGION LOSS"),K3220=1),AND(B3220="ROLE COMPROMISE",H3220=C3220)),Inputs!$B$13,Inputs!$B$14))</f>
        <v>10</v>
      </c>
      <c r="O3220" s="15" t="n">
        <f aca="false">IF(J3220=1,0,Inputs!$B$13)</f>
        <v>20</v>
      </c>
      <c r="P3220" s="15" t="n">
        <f aca="false">SUM(M3220:N3220)</f>
        <v>85</v>
      </c>
      <c r="Q3220" s="15" t="n">
        <f aca="false">IF(J3220=1,"",L3220-P3220)</f>
        <v>15</v>
      </c>
      <c r="R3220" s="15" t="n">
        <f aca="false">IF(OR(J3220=1,M3220&lt;=Inputs!$B$12),1,0)</f>
        <v>1</v>
      </c>
      <c r="S3220" s="15" t="n">
        <f aca="false">IF(OR(J3220=1,N3220&lt;=O3220),1,0)</f>
        <v>1</v>
      </c>
      <c r="T3220" s="15" t="str">
        <f aca="false">IF(J3220=1,"OFFLINE",IF(AND(Q3220&gt;=Inputs!$B$15,R3220=1,S3220=1,P3220&lt;=L3220),"PASS","FAIL"))</f>
        <v>PASS</v>
      </c>
    </row>
    <row r="3221" customFormat="false" ht="15" hidden="false" customHeight="false" outlineLevel="0" collapsed="false">
      <c r="A3221" s="14" t="s">
        <v>1054</v>
      </c>
      <c r="B3221" s="14" t="s">
        <v>1055</v>
      </c>
      <c r="C3221" s="14" t="s">
        <v>1056</v>
      </c>
      <c r="D3221" s="14" t="s">
        <v>194</v>
      </c>
      <c r="E3221" s="14" t="s">
        <v>169</v>
      </c>
      <c r="F3221" s="14" t="s">
        <v>191</v>
      </c>
      <c r="G3221" s="14" t="n">
        <v>2</v>
      </c>
      <c r="H3221" s="14" t="s">
        <v>153</v>
      </c>
      <c r="I3221" s="14" t="s">
        <v>897</v>
      </c>
      <c r="J3221" s="15" t="n">
        <f aca="false">IF(B3221="SITE LOSS",IF(D3221=C3221,1,0),IF(B3221="REGION LOSS",IF(E3221=C3221,1,0),0))</f>
        <v>0</v>
      </c>
      <c r="K3221" s="15" t="n">
        <f aca="false">IF(B3221="SITE LOSS",IF(COUNTIFS('Site Dockets'!$B$7:$B$24,C3221,'Site Dockets'!$C$7:$C$24,F3221)&gt;0,1,0),IF(B3221="REGION LOSS",IF(COUNTIFS('Site Dockets'!$E$7:$E$24,C3221,'Site Dockets'!$C$7:$C$24,F3221)&gt;0,1,0),0))</f>
        <v>0</v>
      </c>
      <c r="L3221" s="15" t="n">
        <f aca="false">IF(J3221=1,0,Inputs!$B$11)</f>
        <v>100</v>
      </c>
      <c r="M3221" s="15" t="n">
        <f aca="false">IF(J3221=1,0,Inputs!$B$12)</f>
        <v>75</v>
      </c>
      <c r="N3221" s="15" t="n">
        <f aca="false">IF(J3221=1,0,IF(OR(AND(OR(B3221="SITE LOSS",B3221="REGION LOSS"),K3221=1),AND(B3221="ROLE COMPROMISE",H3221=C3221)),Inputs!$B$13,Inputs!$B$14))</f>
        <v>10</v>
      </c>
      <c r="O3221" s="15" t="n">
        <f aca="false">IF(J3221=1,0,Inputs!$B$13)</f>
        <v>20</v>
      </c>
      <c r="P3221" s="15" t="n">
        <f aca="false">SUM(M3221:N3221)</f>
        <v>85</v>
      </c>
      <c r="Q3221" s="15" t="n">
        <f aca="false">IF(J3221=1,"",L3221-P3221)</f>
        <v>15</v>
      </c>
      <c r="R3221" s="15" t="n">
        <f aca="false">IF(OR(J3221=1,M3221&lt;=Inputs!$B$12),1,0)</f>
        <v>1</v>
      </c>
      <c r="S3221" s="15" t="n">
        <f aca="false">IF(OR(J3221=1,N3221&lt;=O3221),1,0)</f>
        <v>1</v>
      </c>
      <c r="T3221" s="15" t="str">
        <f aca="false">IF(J3221=1,"OFFLINE",IF(AND(Q3221&gt;=Inputs!$B$15,R3221=1,S3221=1,P3221&lt;=L3221),"PASS","FAIL"))</f>
        <v>PASS</v>
      </c>
    </row>
    <row r="3222" customFormat="false" ht="15" hidden="false" customHeight="false" outlineLevel="0" collapsed="false">
      <c r="A3222" s="14" t="s">
        <v>1054</v>
      </c>
      <c r="B3222" s="14" t="s">
        <v>1055</v>
      </c>
      <c r="C3222" s="14" t="s">
        <v>1056</v>
      </c>
      <c r="D3222" s="14" t="s">
        <v>194</v>
      </c>
      <c r="E3222" s="14" t="s">
        <v>169</v>
      </c>
      <c r="F3222" s="14" t="s">
        <v>191</v>
      </c>
      <c r="G3222" s="14" t="n">
        <v>2</v>
      </c>
      <c r="H3222" s="14" t="s">
        <v>153</v>
      </c>
      <c r="I3222" s="14" t="s">
        <v>899</v>
      </c>
      <c r="J3222" s="15" t="n">
        <f aca="false">IF(B3222="SITE LOSS",IF(D3222=C3222,1,0),IF(B3222="REGION LOSS",IF(E3222=C3222,1,0),0))</f>
        <v>0</v>
      </c>
      <c r="K3222" s="15" t="n">
        <f aca="false">IF(B3222="SITE LOSS",IF(COUNTIFS('Site Dockets'!$B$7:$B$24,C3222,'Site Dockets'!$C$7:$C$24,F3222)&gt;0,1,0),IF(B3222="REGION LOSS",IF(COUNTIFS('Site Dockets'!$E$7:$E$24,C3222,'Site Dockets'!$C$7:$C$24,F3222)&gt;0,1,0),0))</f>
        <v>0</v>
      </c>
      <c r="L3222" s="15" t="n">
        <f aca="false">IF(J3222=1,0,Inputs!$B$11)</f>
        <v>100</v>
      </c>
      <c r="M3222" s="15" t="n">
        <f aca="false">IF(J3222=1,0,Inputs!$B$12)</f>
        <v>75</v>
      </c>
      <c r="N3222" s="15" t="n">
        <f aca="false">IF(J3222=1,0,IF(OR(AND(OR(B3222="SITE LOSS",B3222="REGION LOSS"),K3222=1),AND(B3222="ROLE COMPROMISE",H3222=C3222)),Inputs!$B$13,Inputs!$B$14))</f>
        <v>10</v>
      </c>
      <c r="O3222" s="15" t="n">
        <f aca="false">IF(J3222=1,0,Inputs!$B$13)</f>
        <v>20</v>
      </c>
      <c r="P3222" s="15" t="n">
        <f aca="false">SUM(M3222:N3222)</f>
        <v>85</v>
      </c>
      <c r="Q3222" s="15" t="n">
        <f aca="false">IF(J3222=1,"",L3222-P3222)</f>
        <v>15</v>
      </c>
      <c r="R3222" s="15" t="n">
        <f aca="false">IF(OR(J3222=1,M3222&lt;=Inputs!$B$12),1,0)</f>
        <v>1</v>
      </c>
      <c r="S3222" s="15" t="n">
        <f aca="false">IF(OR(J3222=1,N3222&lt;=O3222),1,0)</f>
        <v>1</v>
      </c>
      <c r="T3222" s="15" t="str">
        <f aca="false">IF(J3222=1,"OFFLINE",IF(AND(Q3222&gt;=Inputs!$B$15,R3222=1,S3222=1,P3222&lt;=L3222),"PASS","FAIL"))</f>
        <v>PASS</v>
      </c>
    </row>
    <row r="3223" customFormat="false" ht="15" hidden="false" customHeight="false" outlineLevel="0" collapsed="false">
      <c r="A3223" s="14" t="s">
        <v>1054</v>
      </c>
      <c r="B3223" s="14" t="s">
        <v>1055</v>
      </c>
      <c r="C3223" s="14" t="s">
        <v>1056</v>
      </c>
      <c r="D3223" s="14" t="s">
        <v>196</v>
      </c>
      <c r="E3223" s="14" t="s">
        <v>172</v>
      </c>
      <c r="F3223" s="14" t="s">
        <v>191</v>
      </c>
      <c r="G3223" s="14" t="n">
        <v>3</v>
      </c>
      <c r="H3223" s="14" t="s">
        <v>158</v>
      </c>
      <c r="I3223" s="14" t="s">
        <v>890</v>
      </c>
      <c r="J3223" s="15" t="n">
        <f aca="false">IF(B3223="SITE LOSS",IF(D3223=C3223,1,0),IF(B3223="REGION LOSS",IF(E3223=C3223,1,0),0))</f>
        <v>0</v>
      </c>
      <c r="K3223" s="15" t="n">
        <f aca="false">IF(B3223="SITE LOSS",IF(COUNTIFS('Site Dockets'!$B$7:$B$24,C3223,'Site Dockets'!$C$7:$C$24,F3223)&gt;0,1,0),IF(B3223="REGION LOSS",IF(COUNTIFS('Site Dockets'!$E$7:$E$24,C3223,'Site Dockets'!$C$7:$C$24,F3223)&gt;0,1,0),0))</f>
        <v>0</v>
      </c>
      <c r="L3223" s="15" t="n">
        <f aca="false">IF(J3223=1,0,Inputs!$B$11)</f>
        <v>100</v>
      </c>
      <c r="M3223" s="15" t="n">
        <f aca="false">IF(J3223=1,0,Inputs!$B$12)</f>
        <v>75</v>
      </c>
      <c r="N3223" s="15" t="n">
        <f aca="false">IF(J3223=1,0,IF(OR(AND(OR(B3223="SITE LOSS",B3223="REGION LOSS"),K3223=1),AND(B3223="ROLE COMPROMISE",H3223=C3223)),Inputs!$B$13,Inputs!$B$14))</f>
        <v>10</v>
      </c>
      <c r="O3223" s="15" t="n">
        <f aca="false">IF(J3223=1,0,Inputs!$B$13)</f>
        <v>20</v>
      </c>
      <c r="P3223" s="15" t="n">
        <f aca="false">SUM(M3223:N3223)</f>
        <v>85</v>
      </c>
      <c r="Q3223" s="15" t="n">
        <f aca="false">IF(J3223=1,"",L3223-P3223)</f>
        <v>15</v>
      </c>
      <c r="R3223" s="15" t="n">
        <f aca="false">IF(OR(J3223=1,M3223&lt;=Inputs!$B$12),1,0)</f>
        <v>1</v>
      </c>
      <c r="S3223" s="15" t="n">
        <f aca="false">IF(OR(J3223=1,N3223&lt;=O3223),1,0)</f>
        <v>1</v>
      </c>
      <c r="T3223" s="15" t="str">
        <f aca="false">IF(J3223=1,"OFFLINE",IF(AND(Q3223&gt;=Inputs!$B$15,R3223=1,S3223=1,P3223&lt;=L3223),"PASS","FAIL"))</f>
        <v>PASS</v>
      </c>
    </row>
    <row r="3224" customFormat="false" ht="15" hidden="false" customHeight="false" outlineLevel="0" collapsed="false">
      <c r="A3224" s="14" t="s">
        <v>1054</v>
      </c>
      <c r="B3224" s="14" t="s">
        <v>1055</v>
      </c>
      <c r="C3224" s="14" t="s">
        <v>1056</v>
      </c>
      <c r="D3224" s="14" t="s">
        <v>196</v>
      </c>
      <c r="E3224" s="14" t="s">
        <v>172</v>
      </c>
      <c r="F3224" s="14" t="s">
        <v>191</v>
      </c>
      <c r="G3224" s="14" t="n">
        <v>3</v>
      </c>
      <c r="H3224" s="14" t="s">
        <v>158</v>
      </c>
      <c r="I3224" s="14" t="s">
        <v>892</v>
      </c>
      <c r="J3224" s="15" t="n">
        <f aca="false">IF(B3224="SITE LOSS",IF(D3224=C3224,1,0),IF(B3224="REGION LOSS",IF(E3224=C3224,1,0),0))</f>
        <v>0</v>
      </c>
      <c r="K3224" s="15" t="n">
        <f aca="false">IF(B3224="SITE LOSS",IF(COUNTIFS('Site Dockets'!$B$7:$B$24,C3224,'Site Dockets'!$C$7:$C$24,F3224)&gt;0,1,0),IF(B3224="REGION LOSS",IF(COUNTIFS('Site Dockets'!$E$7:$E$24,C3224,'Site Dockets'!$C$7:$C$24,F3224)&gt;0,1,0),0))</f>
        <v>0</v>
      </c>
      <c r="L3224" s="15" t="n">
        <f aca="false">IF(J3224=1,0,Inputs!$B$11)</f>
        <v>100</v>
      </c>
      <c r="M3224" s="15" t="n">
        <f aca="false">IF(J3224=1,0,Inputs!$B$12)</f>
        <v>75</v>
      </c>
      <c r="N3224" s="15" t="n">
        <f aca="false">IF(J3224=1,0,IF(OR(AND(OR(B3224="SITE LOSS",B3224="REGION LOSS"),K3224=1),AND(B3224="ROLE COMPROMISE",H3224=C3224)),Inputs!$B$13,Inputs!$B$14))</f>
        <v>10</v>
      </c>
      <c r="O3224" s="15" t="n">
        <f aca="false">IF(J3224=1,0,Inputs!$B$13)</f>
        <v>20</v>
      </c>
      <c r="P3224" s="15" t="n">
        <f aca="false">SUM(M3224:N3224)</f>
        <v>85</v>
      </c>
      <c r="Q3224" s="15" t="n">
        <f aca="false">IF(J3224=1,"",L3224-P3224)</f>
        <v>15</v>
      </c>
      <c r="R3224" s="15" t="n">
        <f aca="false">IF(OR(J3224=1,M3224&lt;=Inputs!$B$12),1,0)</f>
        <v>1</v>
      </c>
      <c r="S3224" s="15" t="n">
        <f aca="false">IF(OR(J3224=1,N3224&lt;=O3224),1,0)</f>
        <v>1</v>
      </c>
      <c r="T3224" s="15" t="str">
        <f aca="false">IF(J3224=1,"OFFLINE",IF(AND(Q3224&gt;=Inputs!$B$15,R3224=1,S3224=1,P3224&lt;=L3224),"PASS","FAIL"))</f>
        <v>PASS</v>
      </c>
    </row>
    <row r="3225" customFormat="false" ht="15" hidden="false" customHeight="false" outlineLevel="0" collapsed="false">
      <c r="A3225" s="14" t="s">
        <v>1054</v>
      </c>
      <c r="B3225" s="14" t="s">
        <v>1055</v>
      </c>
      <c r="C3225" s="14" t="s">
        <v>1056</v>
      </c>
      <c r="D3225" s="14" t="s">
        <v>196</v>
      </c>
      <c r="E3225" s="14" t="s">
        <v>172</v>
      </c>
      <c r="F3225" s="14" t="s">
        <v>191</v>
      </c>
      <c r="G3225" s="14" t="n">
        <v>3</v>
      </c>
      <c r="H3225" s="14" t="s">
        <v>158</v>
      </c>
      <c r="I3225" s="14" t="s">
        <v>811</v>
      </c>
      <c r="J3225" s="15" t="n">
        <f aca="false">IF(B3225="SITE LOSS",IF(D3225=C3225,1,0),IF(B3225="REGION LOSS",IF(E3225=C3225,1,0),0))</f>
        <v>0</v>
      </c>
      <c r="K3225" s="15" t="n">
        <f aca="false">IF(B3225="SITE LOSS",IF(COUNTIFS('Site Dockets'!$B$7:$B$24,C3225,'Site Dockets'!$C$7:$C$24,F3225)&gt;0,1,0),IF(B3225="REGION LOSS",IF(COUNTIFS('Site Dockets'!$E$7:$E$24,C3225,'Site Dockets'!$C$7:$C$24,F3225)&gt;0,1,0),0))</f>
        <v>0</v>
      </c>
      <c r="L3225" s="15" t="n">
        <f aca="false">IF(J3225=1,0,Inputs!$B$11)</f>
        <v>100</v>
      </c>
      <c r="M3225" s="15" t="n">
        <f aca="false">IF(J3225=1,0,Inputs!$B$12)</f>
        <v>75</v>
      </c>
      <c r="N3225" s="15" t="n">
        <f aca="false">IF(J3225=1,0,IF(OR(AND(OR(B3225="SITE LOSS",B3225="REGION LOSS"),K3225=1),AND(B3225="ROLE COMPROMISE",H3225=C3225)),Inputs!$B$13,Inputs!$B$14))</f>
        <v>10</v>
      </c>
      <c r="O3225" s="15" t="n">
        <f aca="false">IF(J3225=1,0,Inputs!$B$13)</f>
        <v>20</v>
      </c>
      <c r="P3225" s="15" t="n">
        <f aca="false">SUM(M3225:N3225)</f>
        <v>85</v>
      </c>
      <c r="Q3225" s="15" t="n">
        <f aca="false">IF(J3225=1,"",L3225-P3225)</f>
        <v>15</v>
      </c>
      <c r="R3225" s="15" t="n">
        <f aca="false">IF(OR(J3225=1,M3225&lt;=Inputs!$B$12),1,0)</f>
        <v>1</v>
      </c>
      <c r="S3225" s="15" t="n">
        <f aca="false">IF(OR(J3225=1,N3225&lt;=O3225),1,0)</f>
        <v>1</v>
      </c>
      <c r="T3225" s="15" t="str">
        <f aca="false">IF(J3225=1,"OFFLINE",IF(AND(Q3225&gt;=Inputs!$B$15,R3225=1,S3225=1,P3225&lt;=L3225),"PASS","FAIL"))</f>
        <v>PASS</v>
      </c>
    </row>
    <row r="3226" customFormat="false" ht="15" hidden="false" customHeight="false" outlineLevel="0" collapsed="false">
      <c r="A3226" s="14" t="s">
        <v>1054</v>
      </c>
      <c r="B3226" s="14" t="s">
        <v>1055</v>
      </c>
      <c r="C3226" s="14" t="s">
        <v>1056</v>
      </c>
      <c r="D3226" s="14" t="s">
        <v>196</v>
      </c>
      <c r="E3226" s="14" t="s">
        <v>172</v>
      </c>
      <c r="F3226" s="14" t="s">
        <v>191</v>
      </c>
      <c r="G3226" s="14" t="n">
        <v>3</v>
      </c>
      <c r="H3226" s="14" t="s">
        <v>158</v>
      </c>
      <c r="I3226" s="14" t="s">
        <v>895</v>
      </c>
      <c r="J3226" s="15" t="n">
        <f aca="false">IF(B3226="SITE LOSS",IF(D3226=C3226,1,0),IF(B3226="REGION LOSS",IF(E3226=C3226,1,0),0))</f>
        <v>0</v>
      </c>
      <c r="K3226" s="15" t="n">
        <f aca="false">IF(B3226="SITE LOSS",IF(COUNTIFS('Site Dockets'!$B$7:$B$24,C3226,'Site Dockets'!$C$7:$C$24,F3226)&gt;0,1,0),IF(B3226="REGION LOSS",IF(COUNTIFS('Site Dockets'!$E$7:$E$24,C3226,'Site Dockets'!$C$7:$C$24,F3226)&gt;0,1,0),0))</f>
        <v>0</v>
      </c>
      <c r="L3226" s="15" t="n">
        <f aca="false">IF(J3226=1,0,Inputs!$B$11)</f>
        <v>100</v>
      </c>
      <c r="M3226" s="15" t="n">
        <f aca="false">IF(J3226=1,0,Inputs!$B$12)</f>
        <v>75</v>
      </c>
      <c r="N3226" s="15" t="n">
        <f aca="false">IF(J3226=1,0,IF(OR(AND(OR(B3226="SITE LOSS",B3226="REGION LOSS"),K3226=1),AND(B3226="ROLE COMPROMISE",H3226=C3226)),Inputs!$B$13,Inputs!$B$14))</f>
        <v>10</v>
      </c>
      <c r="O3226" s="15" t="n">
        <f aca="false">IF(J3226=1,0,Inputs!$B$13)</f>
        <v>20</v>
      </c>
      <c r="P3226" s="15" t="n">
        <f aca="false">SUM(M3226:N3226)</f>
        <v>85</v>
      </c>
      <c r="Q3226" s="15" t="n">
        <f aca="false">IF(J3226=1,"",L3226-P3226)</f>
        <v>15</v>
      </c>
      <c r="R3226" s="15" t="n">
        <f aca="false">IF(OR(J3226=1,M3226&lt;=Inputs!$B$12),1,0)</f>
        <v>1</v>
      </c>
      <c r="S3226" s="15" t="n">
        <f aca="false">IF(OR(J3226=1,N3226&lt;=O3226),1,0)</f>
        <v>1</v>
      </c>
      <c r="T3226" s="15" t="str">
        <f aca="false">IF(J3226=1,"OFFLINE",IF(AND(Q3226&gt;=Inputs!$B$15,R3226=1,S3226=1,P3226&lt;=L3226),"PASS","FAIL"))</f>
        <v>PASS</v>
      </c>
    </row>
    <row r="3227" customFormat="false" ht="15" hidden="false" customHeight="false" outlineLevel="0" collapsed="false">
      <c r="A3227" s="14" t="s">
        <v>1054</v>
      </c>
      <c r="B3227" s="14" t="s">
        <v>1055</v>
      </c>
      <c r="C3227" s="14" t="s">
        <v>1056</v>
      </c>
      <c r="D3227" s="14" t="s">
        <v>196</v>
      </c>
      <c r="E3227" s="14" t="s">
        <v>172</v>
      </c>
      <c r="F3227" s="14" t="s">
        <v>191</v>
      </c>
      <c r="G3227" s="14" t="n">
        <v>3</v>
      </c>
      <c r="H3227" s="14" t="s">
        <v>158</v>
      </c>
      <c r="I3227" s="14" t="s">
        <v>897</v>
      </c>
      <c r="J3227" s="15" t="n">
        <f aca="false">IF(B3227="SITE LOSS",IF(D3227=C3227,1,0),IF(B3227="REGION LOSS",IF(E3227=C3227,1,0),0))</f>
        <v>0</v>
      </c>
      <c r="K3227" s="15" t="n">
        <f aca="false">IF(B3227="SITE LOSS",IF(COUNTIFS('Site Dockets'!$B$7:$B$24,C3227,'Site Dockets'!$C$7:$C$24,F3227)&gt;0,1,0),IF(B3227="REGION LOSS",IF(COUNTIFS('Site Dockets'!$E$7:$E$24,C3227,'Site Dockets'!$C$7:$C$24,F3227)&gt;0,1,0),0))</f>
        <v>0</v>
      </c>
      <c r="L3227" s="15" t="n">
        <f aca="false">IF(J3227=1,0,Inputs!$B$11)</f>
        <v>100</v>
      </c>
      <c r="M3227" s="15" t="n">
        <f aca="false">IF(J3227=1,0,Inputs!$B$12)</f>
        <v>75</v>
      </c>
      <c r="N3227" s="15" t="n">
        <f aca="false">IF(J3227=1,0,IF(OR(AND(OR(B3227="SITE LOSS",B3227="REGION LOSS"),K3227=1),AND(B3227="ROLE COMPROMISE",H3227=C3227)),Inputs!$B$13,Inputs!$B$14))</f>
        <v>10</v>
      </c>
      <c r="O3227" s="15" t="n">
        <f aca="false">IF(J3227=1,0,Inputs!$B$13)</f>
        <v>20</v>
      </c>
      <c r="P3227" s="15" t="n">
        <f aca="false">SUM(M3227:N3227)</f>
        <v>85</v>
      </c>
      <c r="Q3227" s="15" t="n">
        <f aca="false">IF(J3227=1,"",L3227-P3227)</f>
        <v>15</v>
      </c>
      <c r="R3227" s="15" t="n">
        <f aca="false">IF(OR(J3227=1,M3227&lt;=Inputs!$B$12),1,0)</f>
        <v>1</v>
      </c>
      <c r="S3227" s="15" t="n">
        <f aca="false">IF(OR(J3227=1,N3227&lt;=O3227),1,0)</f>
        <v>1</v>
      </c>
      <c r="T3227" s="15" t="str">
        <f aca="false">IF(J3227=1,"OFFLINE",IF(AND(Q3227&gt;=Inputs!$B$15,R3227=1,S3227=1,P3227&lt;=L3227),"PASS","FAIL"))</f>
        <v>PASS</v>
      </c>
    </row>
    <row r="3228" customFormat="false" ht="15" hidden="false" customHeight="false" outlineLevel="0" collapsed="false">
      <c r="A3228" s="14" t="s">
        <v>1054</v>
      </c>
      <c r="B3228" s="14" t="s">
        <v>1055</v>
      </c>
      <c r="C3228" s="14" t="s">
        <v>1056</v>
      </c>
      <c r="D3228" s="14" t="s">
        <v>196</v>
      </c>
      <c r="E3228" s="14" t="s">
        <v>172</v>
      </c>
      <c r="F3228" s="14" t="s">
        <v>191</v>
      </c>
      <c r="G3228" s="14" t="n">
        <v>3</v>
      </c>
      <c r="H3228" s="14" t="s">
        <v>158</v>
      </c>
      <c r="I3228" s="14" t="s">
        <v>899</v>
      </c>
      <c r="J3228" s="15" t="n">
        <f aca="false">IF(B3228="SITE LOSS",IF(D3228=C3228,1,0),IF(B3228="REGION LOSS",IF(E3228=C3228,1,0),0))</f>
        <v>0</v>
      </c>
      <c r="K3228" s="15" t="n">
        <f aca="false">IF(B3228="SITE LOSS",IF(COUNTIFS('Site Dockets'!$B$7:$B$24,C3228,'Site Dockets'!$C$7:$C$24,F3228)&gt;0,1,0),IF(B3228="REGION LOSS",IF(COUNTIFS('Site Dockets'!$E$7:$E$24,C3228,'Site Dockets'!$C$7:$C$24,F3228)&gt;0,1,0),0))</f>
        <v>0</v>
      </c>
      <c r="L3228" s="15" t="n">
        <f aca="false">IF(J3228=1,0,Inputs!$B$11)</f>
        <v>100</v>
      </c>
      <c r="M3228" s="15" t="n">
        <f aca="false">IF(J3228=1,0,Inputs!$B$12)</f>
        <v>75</v>
      </c>
      <c r="N3228" s="15" t="n">
        <f aca="false">IF(J3228=1,0,IF(OR(AND(OR(B3228="SITE LOSS",B3228="REGION LOSS"),K3228=1),AND(B3228="ROLE COMPROMISE",H3228=C3228)),Inputs!$B$13,Inputs!$B$14))</f>
        <v>10</v>
      </c>
      <c r="O3228" s="15" t="n">
        <f aca="false">IF(J3228=1,0,Inputs!$B$13)</f>
        <v>20</v>
      </c>
      <c r="P3228" s="15" t="n">
        <f aca="false">SUM(M3228:N3228)</f>
        <v>85</v>
      </c>
      <c r="Q3228" s="15" t="n">
        <f aca="false">IF(J3228=1,"",L3228-P3228)</f>
        <v>15</v>
      </c>
      <c r="R3228" s="15" t="n">
        <f aca="false">IF(OR(J3228=1,M3228&lt;=Inputs!$B$12),1,0)</f>
        <v>1</v>
      </c>
      <c r="S3228" s="15" t="n">
        <f aca="false">IF(OR(J3228=1,N3228&lt;=O3228),1,0)</f>
        <v>1</v>
      </c>
      <c r="T3228" s="15" t="str">
        <f aca="false">IF(J3228=1,"OFFLINE",IF(AND(Q3228&gt;=Inputs!$B$15,R3228=1,S3228=1,P3228&lt;=L3228),"PASS","FAIL"))</f>
        <v>PASS</v>
      </c>
    </row>
    <row r="3229" customFormat="false" ht="15" hidden="false" customHeight="false" outlineLevel="0" collapsed="false">
      <c r="A3229" s="14" t="s">
        <v>1054</v>
      </c>
      <c r="B3229" s="14" t="s">
        <v>1055</v>
      </c>
      <c r="C3229" s="14" t="s">
        <v>1056</v>
      </c>
      <c r="D3229" s="14" t="s">
        <v>198</v>
      </c>
      <c r="E3229" s="14" t="s">
        <v>166</v>
      </c>
      <c r="F3229" s="14" t="s">
        <v>199</v>
      </c>
      <c r="G3229" s="14" t="n">
        <v>1</v>
      </c>
      <c r="H3229" s="14" t="s">
        <v>154</v>
      </c>
      <c r="I3229" s="14" t="s">
        <v>890</v>
      </c>
      <c r="J3229" s="15" t="n">
        <f aca="false">IF(B3229="SITE LOSS",IF(D3229=C3229,1,0),IF(B3229="REGION LOSS",IF(E3229=C3229,1,0),0))</f>
        <v>0</v>
      </c>
      <c r="K3229" s="15" t="n">
        <f aca="false">IF(B3229="SITE LOSS",IF(COUNTIFS('Site Dockets'!$B$7:$B$24,C3229,'Site Dockets'!$C$7:$C$24,F3229)&gt;0,1,0),IF(B3229="REGION LOSS",IF(COUNTIFS('Site Dockets'!$E$7:$E$24,C3229,'Site Dockets'!$C$7:$C$24,F3229)&gt;0,1,0),0))</f>
        <v>0</v>
      </c>
      <c r="L3229" s="15" t="n">
        <f aca="false">IF(J3229=1,0,Inputs!$B$11)</f>
        <v>100</v>
      </c>
      <c r="M3229" s="15" t="n">
        <f aca="false">IF(J3229=1,0,Inputs!$B$12)</f>
        <v>75</v>
      </c>
      <c r="N3229" s="15" t="n">
        <f aca="false">IF(J3229=1,0,IF(OR(AND(OR(B3229="SITE LOSS",B3229="REGION LOSS"),K3229=1),AND(B3229="ROLE COMPROMISE",H3229=C3229)),Inputs!$B$13,Inputs!$B$14))</f>
        <v>10</v>
      </c>
      <c r="O3229" s="15" t="n">
        <f aca="false">IF(J3229=1,0,Inputs!$B$13)</f>
        <v>20</v>
      </c>
      <c r="P3229" s="15" t="n">
        <f aca="false">SUM(M3229:N3229)</f>
        <v>85</v>
      </c>
      <c r="Q3229" s="15" t="n">
        <f aca="false">IF(J3229=1,"",L3229-P3229)</f>
        <v>15</v>
      </c>
      <c r="R3229" s="15" t="n">
        <f aca="false">IF(OR(J3229=1,M3229&lt;=Inputs!$B$12),1,0)</f>
        <v>1</v>
      </c>
      <c r="S3229" s="15" t="n">
        <f aca="false">IF(OR(J3229=1,N3229&lt;=O3229),1,0)</f>
        <v>1</v>
      </c>
      <c r="T3229" s="15" t="str">
        <f aca="false">IF(J3229=1,"OFFLINE",IF(AND(Q3229&gt;=Inputs!$B$15,R3229=1,S3229=1,P3229&lt;=L3229),"PASS","FAIL"))</f>
        <v>PASS</v>
      </c>
    </row>
    <row r="3230" customFormat="false" ht="15" hidden="false" customHeight="false" outlineLevel="0" collapsed="false">
      <c r="A3230" s="14" t="s">
        <v>1054</v>
      </c>
      <c r="B3230" s="14" t="s">
        <v>1055</v>
      </c>
      <c r="C3230" s="14" t="s">
        <v>1056</v>
      </c>
      <c r="D3230" s="14" t="s">
        <v>198</v>
      </c>
      <c r="E3230" s="14" t="s">
        <v>166</v>
      </c>
      <c r="F3230" s="14" t="s">
        <v>199</v>
      </c>
      <c r="G3230" s="14" t="n">
        <v>1</v>
      </c>
      <c r="H3230" s="14" t="s">
        <v>154</v>
      </c>
      <c r="I3230" s="14" t="s">
        <v>892</v>
      </c>
      <c r="J3230" s="15" t="n">
        <f aca="false">IF(B3230="SITE LOSS",IF(D3230=C3230,1,0),IF(B3230="REGION LOSS",IF(E3230=C3230,1,0),0))</f>
        <v>0</v>
      </c>
      <c r="K3230" s="15" t="n">
        <f aca="false">IF(B3230="SITE LOSS",IF(COUNTIFS('Site Dockets'!$B$7:$B$24,C3230,'Site Dockets'!$C$7:$C$24,F3230)&gt;0,1,0),IF(B3230="REGION LOSS",IF(COUNTIFS('Site Dockets'!$E$7:$E$24,C3230,'Site Dockets'!$C$7:$C$24,F3230)&gt;0,1,0),0))</f>
        <v>0</v>
      </c>
      <c r="L3230" s="15" t="n">
        <f aca="false">IF(J3230=1,0,Inputs!$B$11)</f>
        <v>100</v>
      </c>
      <c r="M3230" s="15" t="n">
        <f aca="false">IF(J3230=1,0,Inputs!$B$12)</f>
        <v>75</v>
      </c>
      <c r="N3230" s="15" t="n">
        <f aca="false">IF(J3230=1,0,IF(OR(AND(OR(B3230="SITE LOSS",B3230="REGION LOSS"),K3230=1),AND(B3230="ROLE COMPROMISE",H3230=C3230)),Inputs!$B$13,Inputs!$B$14))</f>
        <v>10</v>
      </c>
      <c r="O3230" s="15" t="n">
        <f aca="false">IF(J3230=1,0,Inputs!$B$13)</f>
        <v>20</v>
      </c>
      <c r="P3230" s="15" t="n">
        <f aca="false">SUM(M3230:N3230)</f>
        <v>85</v>
      </c>
      <c r="Q3230" s="15" t="n">
        <f aca="false">IF(J3230=1,"",L3230-P3230)</f>
        <v>15</v>
      </c>
      <c r="R3230" s="15" t="n">
        <f aca="false">IF(OR(J3230=1,M3230&lt;=Inputs!$B$12),1,0)</f>
        <v>1</v>
      </c>
      <c r="S3230" s="15" t="n">
        <f aca="false">IF(OR(J3230=1,N3230&lt;=O3230),1,0)</f>
        <v>1</v>
      </c>
      <c r="T3230" s="15" t="str">
        <f aca="false">IF(J3230=1,"OFFLINE",IF(AND(Q3230&gt;=Inputs!$B$15,R3230=1,S3230=1,P3230&lt;=L3230),"PASS","FAIL"))</f>
        <v>PASS</v>
      </c>
    </row>
    <row r="3231" customFormat="false" ht="15" hidden="false" customHeight="false" outlineLevel="0" collapsed="false">
      <c r="A3231" s="14" t="s">
        <v>1054</v>
      </c>
      <c r="B3231" s="14" t="s">
        <v>1055</v>
      </c>
      <c r="C3231" s="14" t="s">
        <v>1056</v>
      </c>
      <c r="D3231" s="14" t="s">
        <v>198</v>
      </c>
      <c r="E3231" s="14" t="s">
        <v>166</v>
      </c>
      <c r="F3231" s="14" t="s">
        <v>199</v>
      </c>
      <c r="G3231" s="14" t="n">
        <v>1</v>
      </c>
      <c r="H3231" s="14" t="s">
        <v>154</v>
      </c>
      <c r="I3231" s="14" t="s">
        <v>811</v>
      </c>
      <c r="J3231" s="15" t="n">
        <f aca="false">IF(B3231="SITE LOSS",IF(D3231=C3231,1,0),IF(B3231="REGION LOSS",IF(E3231=C3231,1,0),0))</f>
        <v>0</v>
      </c>
      <c r="K3231" s="15" t="n">
        <f aca="false">IF(B3231="SITE LOSS",IF(COUNTIFS('Site Dockets'!$B$7:$B$24,C3231,'Site Dockets'!$C$7:$C$24,F3231)&gt;0,1,0),IF(B3231="REGION LOSS",IF(COUNTIFS('Site Dockets'!$E$7:$E$24,C3231,'Site Dockets'!$C$7:$C$24,F3231)&gt;0,1,0),0))</f>
        <v>0</v>
      </c>
      <c r="L3231" s="15" t="n">
        <f aca="false">IF(J3231=1,0,Inputs!$B$11)</f>
        <v>100</v>
      </c>
      <c r="M3231" s="15" t="n">
        <f aca="false">IF(J3231=1,0,Inputs!$B$12)</f>
        <v>75</v>
      </c>
      <c r="N3231" s="15" t="n">
        <f aca="false">IF(J3231=1,0,IF(OR(AND(OR(B3231="SITE LOSS",B3231="REGION LOSS"),K3231=1),AND(B3231="ROLE COMPROMISE",H3231=C3231)),Inputs!$B$13,Inputs!$B$14))</f>
        <v>10</v>
      </c>
      <c r="O3231" s="15" t="n">
        <f aca="false">IF(J3231=1,0,Inputs!$B$13)</f>
        <v>20</v>
      </c>
      <c r="P3231" s="15" t="n">
        <f aca="false">SUM(M3231:N3231)</f>
        <v>85</v>
      </c>
      <c r="Q3231" s="15" t="n">
        <f aca="false">IF(J3231=1,"",L3231-P3231)</f>
        <v>15</v>
      </c>
      <c r="R3231" s="15" t="n">
        <f aca="false">IF(OR(J3231=1,M3231&lt;=Inputs!$B$12),1,0)</f>
        <v>1</v>
      </c>
      <c r="S3231" s="15" t="n">
        <f aca="false">IF(OR(J3231=1,N3231&lt;=O3231),1,0)</f>
        <v>1</v>
      </c>
      <c r="T3231" s="15" t="str">
        <f aca="false">IF(J3231=1,"OFFLINE",IF(AND(Q3231&gt;=Inputs!$B$15,R3231=1,S3231=1,P3231&lt;=L3231),"PASS","FAIL"))</f>
        <v>PASS</v>
      </c>
    </row>
    <row r="3232" customFormat="false" ht="15" hidden="false" customHeight="false" outlineLevel="0" collapsed="false">
      <c r="A3232" s="14" t="s">
        <v>1054</v>
      </c>
      <c r="B3232" s="14" t="s">
        <v>1055</v>
      </c>
      <c r="C3232" s="14" t="s">
        <v>1056</v>
      </c>
      <c r="D3232" s="14" t="s">
        <v>198</v>
      </c>
      <c r="E3232" s="14" t="s">
        <v>166</v>
      </c>
      <c r="F3232" s="14" t="s">
        <v>199</v>
      </c>
      <c r="G3232" s="14" t="n">
        <v>1</v>
      </c>
      <c r="H3232" s="14" t="s">
        <v>154</v>
      </c>
      <c r="I3232" s="14" t="s">
        <v>895</v>
      </c>
      <c r="J3232" s="15" t="n">
        <f aca="false">IF(B3232="SITE LOSS",IF(D3232=C3232,1,0),IF(B3232="REGION LOSS",IF(E3232=C3232,1,0),0))</f>
        <v>0</v>
      </c>
      <c r="K3232" s="15" t="n">
        <f aca="false">IF(B3232="SITE LOSS",IF(COUNTIFS('Site Dockets'!$B$7:$B$24,C3232,'Site Dockets'!$C$7:$C$24,F3232)&gt;0,1,0),IF(B3232="REGION LOSS",IF(COUNTIFS('Site Dockets'!$E$7:$E$24,C3232,'Site Dockets'!$C$7:$C$24,F3232)&gt;0,1,0),0))</f>
        <v>0</v>
      </c>
      <c r="L3232" s="15" t="n">
        <f aca="false">IF(J3232=1,0,Inputs!$B$11)</f>
        <v>100</v>
      </c>
      <c r="M3232" s="15" t="n">
        <f aca="false">IF(J3232=1,0,Inputs!$B$12)</f>
        <v>75</v>
      </c>
      <c r="N3232" s="15" t="n">
        <f aca="false">IF(J3232=1,0,IF(OR(AND(OR(B3232="SITE LOSS",B3232="REGION LOSS"),K3232=1),AND(B3232="ROLE COMPROMISE",H3232=C3232)),Inputs!$B$13,Inputs!$B$14))</f>
        <v>10</v>
      </c>
      <c r="O3232" s="15" t="n">
        <f aca="false">IF(J3232=1,0,Inputs!$B$13)</f>
        <v>20</v>
      </c>
      <c r="P3232" s="15" t="n">
        <f aca="false">SUM(M3232:N3232)</f>
        <v>85</v>
      </c>
      <c r="Q3232" s="15" t="n">
        <f aca="false">IF(J3232=1,"",L3232-P3232)</f>
        <v>15</v>
      </c>
      <c r="R3232" s="15" t="n">
        <f aca="false">IF(OR(J3232=1,M3232&lt;=Inputs!$B$12),1,0)</f>
        <v>1</v>
      </c>
      <c r="S3232" s="15" t="n">
        <f aca="false">IF(OR(J3232=1,N3232&lt;=O3232),1,0)</f>
        <v>1</v>
      </c>
      <c r="T3232" s="15" t="str">
        <f aca="false">IF(J3232=1,"OFFLINE",IF(AND(Q3232&gt;=Inputs!$B$15,R3232=1,S3232=1,P3232&lt;=L3232),"PASS","FAIL"))</f>
        <v>PASS</v>
      </c>
    </row>
    <row r="3233" customFormat="false" ht="15" hidden="false" customHeight="false" outlineLevel="0" collapsed="false">
      <c r="A3233" s="14" t="s">
        <v>1054</v>
      </c>
      <c r="B3233" s="14" t="s">
        <v>1055</v>
      </c>
      <c r="C3233" s="14" t="s">
        <v>1056</v>
      </c>
      <c r="D3233" s="14" t="s">
        <v>198</v>
      </c>
      <c r="E3233" s="14" t="s">
        <v>166</v>
      </c>
      <c r="F3233" s="14" t="s">
        <v>199</v>
      </c>
      <c r="G3233" s="14" t="n">
        <v>1</v>
      </c>
      <c r="H3233" s="14" t="s">
        <v>154</v>
      </c>
      <c r="I3233" s="14" t="s">
        <v>897</v>
      </c>
      <c r="J3233" s="15" t="n">
        <f aca="false">IF(B3233="SITE LOSS",IF(D3233=C3233,1,0),IF(B3233="REGION LOSS",IF(E3233=C3233,1,0),0))</f>
        <v>0</v>
      </c>
      <c r="K3233" s="15" t="n">
        <f aca="false">IF(B3233="SITE LOSS",IF(COUNTIFS('Site Dockets'!$B$7:$B$24,C3233,'Site Dockets'!$C$7:$C$24,F3233)&gt;0,1,0),IF(B3233="REGION LOSS",IF(COUNTIFS('Site Dockets'!$E$7:$E$24,C3233,'Site Dockets'!$C$7:$C$24,F3233)&gt;0,1,0),0))</f>
        <v>0</v>
      </c>
      <c r="L3233" s="15" t="n">
        <f aca="false">IF(J3233=1,0,Inputs!$B$11)</f>
        <v>100</v>
      </c>
      <c r="M3233" s="15" t="n">
        <f aca="false">IF(J3233=1,0,Inputs!$B$12)</f>
        <v>75</v>
      </c>
      <c r="N3233" s="15" t="n">
        <f aca="false">IF(J3233=1,0,IF(OR(AND(OR(B3233="SITE LOSS",B3233="REGION LOSS"),K3233=1),AND(B3233="ROLE COMPROMISE",H3233=C3233)),Inputs!$B$13,Inputs!$B$14))</f>
        <v>10</v>
      </c>
      <c r="O3233" s="15" t="n">
        <f aca="false">IF(J3233=1,0,Inputs!$B$13)</f>
        <v>20</v>
      </c>
      <c r="P3233" s="15" t="n">
        <f aca="false">SUM(M3233:N3233)</f>
        <v>85</v>
      </c>
      <c r="Q3233" s="15" t="n">
        <f aca="false">IF(J3233=1,"",L3233-P3233)</f>
        <v>15</v>
      </c>
      <c r="R3233" s="15" t="n">
        <f aca="false">IF(OR(J3233=1,M3233&lt;=Inputs!$B$12),1,0)</f>
        <v>1</v>
      </c>
      <c r="S3233" s="15" t="n">
        <f aca="false">IF(OR(J3233=1,N3233&lt;=O3233),1,0)</f>
        <v>1</v>
      </c>
      <c r="T3233" s="15" t="str">
        <f aca="false">IF(J3233=1,"OFFLINE",IF(AND(Q3233&gt;=Inputs!$B$15,R3233=1,S3233=1,P3233&lt;=L3233),"PASS","FAIL"))</f>
        <v>PASS</v>
      </c>
    </row>
    <row r="3234" customFormat="false" ht="15" hidden="false" customHeight="false" outlineLevel="0" collapsed="false">
      <c r="A3234" s="14" t="s">
        <v>1054</v>
      </c>
      <c r="B3234" s="14" t="s">
        <v>1055</v>
      </c>
      <c r="C3234" s="14" t="s">
        <v>1056</v>
      </c>
      <c r="D3234" s="14" t="s">
        <v>198</v>
      </c>
      <c r="E3234" s="14" t="s">
        <v>166</v>
      </c>
      <c r="F3234" s="14" t="s">
        <v>199</v>
      </c>
      <c r="G3234" s="14" t="n">
        <v>1</v>
      </c>
      <c r="H3234" s="14" t="s">
        <v>154</v>
      </c>
      <c r="I3234" s="14" t="s">
        <v>899</v>
      </c>
      <c r="J3234" s="15" t="n">
        <f aca="false">IF(B3234="SITE LOSS",IF(D3234=C3234,1,0),IF(B3234="REGION LOSS",IF(E3234=C3234,1,0),0))</f>
        <v>0</v>
      </c>
      <c r="K3234" s="15" t="n">
        <f aca="false">IF(B3234="SITE LOSS",IF(COUNTIFS('Site Dockets'!$B$7:$B$24,C3234,'Site Dockets'!$C$7:$C$24,F3234)&gt;0,1,0),IF(B3234="REGION LOSS",IF(COUNTIFS('Site Dockets'!$E$7:$E$24,C3234,'Site Dockets'!$C$7:$C$24,F3234)&gt;0,1,0),0))</f>
        <v>0</v>
      </c>
      <c r="L3234" s="15" t="n">
        <f aca="false">IF(J3234=1,0,Inputs!$B$11)</f>
        <v>100</v>
      </c>
      <c r="M3234" s="15" t="n">
        <f aca="false">IF(J3234=1,0,Inputs!$B$12)</f>
        <v>75</v>
      </c>
      <c r="N3234" s="15" t="n">
        <f aca="false">IF(J3234=1,0,IF(OR(AND(OR(B3234="SITE LOSS",B3234="REGION LOSS"),K3234=1),AND(B3234="ROLE COMPROMISE",H3234=C3234)),Inputs!$B$13,Inputs!$B$14))</f>
        <v>10</v>
      </c>
      <c r="O3234" s="15" t="n">
        <f aca="false">IF(J3234=1,0,Inputs!$B$13)</f>
        <v>20</v>
      </c>
      <c r="P3234" s="15" t="n">
        <f aca="false">SUM(M3234:N3234)</f>
        <v>85</v>
      </c>
      <c r="Q3234" s="15" t="n">
        <f aca="false">IF(J3234=1,"",L3234-P3234)</f>
        <v>15</v>
      </c>
      <c r="R3234" s="15" t="n">
        <f aca="false">IF(OR(J3234=1,M3234&lt;=Inputs!$B$12),1,0)</f>
        <v>1</v>
      </c>
      <c r="S3234" s="15" t="n">
        <f aca="false">IF(OR(J3234=1,N3234&lt;=O3234),1,0)</f>
        <v>1</v>
      </c>
      <c r="T3234" s="15" t="str">
        <f aca="false">IF(J3234=1,"OFFLINE",IF(AND(Q3234&gt;=Inputs!$B$15,R3234=1,S3234=1,P3234&lt;=L3234),"PASS","FAIL"))</f>
        <v>PASS</v>
      </c>
    </row>
    <row r="3235" customFormat="false" ht="15" hidden="false" customHeight="false" outlineLevel="0" collapsed="false">
      <c r="A3235" s="14" t="s">
        <v>1054</v>
      </c>
      <c r="B3235" s="14" t="s">
        <v>1055</v>
      </c>
      <c r="C3235" s="14" t="s">
        <v>1056</v>
      </c>
      <c r="D3235" s="14" t="s">
        <v>202</v>
      </c>
      <c r="E3235" s="14" t="s">
        <v>157</v>
      </c>
      <c r="F3235" s="14" t="s">
        <v>199</v>
      </c>
      <c r="G3235" s="14" t="n">
        <v>2</v>
      </c>
      <c r="H3235" s="14" t="s">
        <v>153</v>
      </c>
      <c r="I3235" s="14" t="s">
        <v>890</v>
      </c>
      <c r="J3235" s="15" t="n">
        <f aca="false">IF(B3235="SITE LOSS",IF(D3235=C3235,1,0),IF(B3235="REGION LOSS",IF(E3235=C3235,1,0),0))</f>
        <v>0</v>
      </c>
      <c r="K3235" s="15" t="n">
        <f aca="false">IF(B3235="SITE LOSS",IF(COUNTIFS('Site Dockets'!$B$7:$B$24,C3235,'Site Dockets'!$C$7:$C$24,F3235)&gt;0,1,0),IF(B3235="REGION LOSS",IF(COUNTIFS('Site Dockets'!$E$7:$E$24,C3235,'Site Dockets'!$C$7:$C$24,F3235)&gt;0,1,0),0))</f>
        <v>0</v>
      </c>
      <c r="L3235" s="15" t="n">
        <f aca="false">IF(J3235=1,0,Inputs!$B$11)</f>
        <v>100</v>
      </c>
      <c r="M3235" s="15" t="n">
        <f aca="false">IF(J3235=1,0,Inputs!$B$12)</f>
        <v>75</v>
      </c>
      <c r="N3235" s="15" t="n">
        <f aca="false">IF(J3235=1,0,IF(OR(AND(OR(B3235="SITE LOSS",B3235="REGION LOSS"),K3235=1),AND(B3235="ROLE COMPROMISE",H3235=C3235)),Inputs!$B$13,Inputs!$B$14))</f>
        <v>10</v>
      </c>
      <c r="O3235" s="15" t="n">
        <f aca="false">IF(J3235=1,0,Inputs!$B$13)</f>
        <v>20</v>
      </c>
      <c r="P3235" s="15" t="n">
        <f aca="false">SUM(M3235:N3235)</f>
        <v>85</v>
      </c>
      <c r="Q3235" s="15" t="n">
        <f aca="false">IF(J3235=1,"",L3235-P3235)</f>
        <v>15</v>
      </c>
      <c r="R3235" s="15" t="n">
        <f aca="false">IF(OR(J3235=1,M3235&lt;=Inputs!$B$12),1,0)</f>
        <v>1</v>
      </c>
      <c r="S3235" s="15" t="n">
        <f aca="false">IF(OR(J3235=1,N3235&lt;=O3235),1,0)</f>
        <v>1</v>
      </c>
      <c r="T3235" s="15" t="str">
        <f aca="false">IF(J3235=1,"OFFLINE",IF(AND(Q3235&gt;=Inputs!$B$15,R3235=1,S3235=1,P3235&lt;=L3235),"PASS","FAIL"))</f>
        <v>PASS</v>
      </c>
    </row>
    <row r="3236" customFormat="false" ht="15" hidden="false" customHeight="false" outlineLevel="0" collapsed="false">
      <c r="A3236" s="14" t="s">
        <v>1054</v>
      </c>
      <c r="B3236" s="14" t="s">
        <v>1055</v>
      </c>
      <c r="C3236" s="14" t="s">
        <v>1056</v>
      </c>
      <c r="D3236" s="14" t="s">
        <v>202</v>
      </c>
      <c r="E3236" s="14" t="s">
        <v>157</v>
      </c>
      <c r="F3236" s="14" t="s">
        <v>199</v>
      </c>
      <c r="G3236" s="14" t="n">
        <v>2</v>
      </c>
      <c r="H3236" s="14" t="s">
        <v>153</v>
      </c>
      <c r="I3236" s="14" t="s">
        <v>892</v>
      </c>
      <c r="J3236" s="15" t="n">
        <f aca="false">IF(B3236="SITE LOSS",IF(D3236=C3236,1,0),IF(B3236="REGION LOSS",IF(E3236=C3236,1,0),0))</f>
        <v>0</v>
      </c>
      <c r="K3236" s="15" t="n">
        <f aca="false">IF(B3236="SITE LOSS",IF(COUNTIFS('Site Dockets'!$B$7:$B$24,C3236,'Site Dockets'!$C$7:$C$24,F3236)&gt;0,1,0),IF(B3236="REGION LOSS",IF(COUNTIFS('Site Dockets'!$E$7:$E$24,C3236,'Site Dockets'!$C$7:$C$24,F3236)&gt;0,1,0),0))</f>
        <v>0</v>
      </c>
      <c r="L3236" s="15" t="n">
        <f aca="false">IF(J3236=1,0,Inputs!$B$11)</f>
        <v>100</v>
      </c>
      <c r="M3236" s="15" t="n">
        <f aca="false">IF(J3236=1,0,Inputs!$B$12)</f>
        <v>75</v>
      </c>
      <c r="N3236" s="15" t="n">
        <f aca="false">IF(J3236=1,0,IF(OR(AND(OR(B3236="SITE LOSS",B3236="REGION LOSS"),K3236=1),AND(B3236="ROLE COMPROMISE",H3236=C3236)),Inputs!$B$13,Inputs!$B$14))</f>
        <v>10</v>
      </c>
      <c r="O3236" s="15" t="n">
        <f aca="false">IF(J3236=1,0,Inputs!$B$13)</f>
        <v>20</v>
      </c>
      <c r="P3236" s="15" t="n">
        <f aca="false">SUM(M3236:N3236)</f>
        <v>85</v>
      </c>
      <c r="Q3236" s="15" t="n">
        <f aca="false">IF(J3236=1,"",L3236-P3236)</f>
        <v>15</v>
      </c>
      <c r="R3236" s="15" t="n">
        <f aca="false">IF(OR(J3236=1,M3236&lt;=Inputs!$B$12),1,0)</f>
        <v>1</v>
      </c>
      <c r="S3236" s="15" t="n">
        <f aca="false">IF(OR(J3236=1,N3236&lt;=O3236),1,0)</f>
        <v>1</v>
      </c>
      <c r="T3236" s="15" t="str">
        <f aca="false">IF(J3236=1,"OFFLINE",IF(AND(Q3236&gt;=Inputs!$B$15,R3236=1,S3236=1,P3236&lt;=L3236),"PASS","FAIL"))</f>
        <v>PASS</v>
      </c>
    </row>
    <row r="3237" customFormat="false" ht="15" hidden="false" customHeight="false" outlineLevel="0" collapsed="false">
      <c r="A3237" s="14" t="s">
        <v>1054</v>
      </c>
      <c r="B3237" s="14" t="s">
        <v>1055</v>
      </c>
      <c r="C3237" s="14" t="s">
        <v>1056</v>
      </c>
      <c r="D3237" s="14" t="s">
        <v>202</v>
      </c>
      <c r="E3237" s="14" t="s">
        <v>157</v>
      </c>
      <c r="F3237" s="14" t="s">
        <v>199</v>
      </c>
      <c r="G3237" s="14" t="n">
        <v>2</v>
      </c>
      <c r="H3237" s="14" t="s">
        <v>153</v>
      </c>
      <c r="I3237" s="14" t="s">
        <v>811</v>
      </c>
      <c r="J3237" s="15" t="n">
        <f aca="false">IF(B3237="SITE LOSS",IF(D3237=C3237,1,0),IF(B3237="REGION LOSS",IF(E3237=C3237,1,0),0))</f>
        <v>0</v>
      </c>
      <c r="K3237" s="15" t="n">
        <f aca="false">IF(B3237="SITE LOSS",IF(COUNTIFS('Site Dockets'!$B$7:$B$24,C3237,'Site Dockets'!$C$7:$C$24,F3237)&gt;0,1,0),IF(B3237="REGION LOSS",IF(COUNTIFS('Site Dockets'!$E$7:$E$24,C3237,'Site Dockets'!$C$7:$C$24,F3237)&gt;0,1,0),0))</f>
        <v>0</v>
      </c>
      <c r="L3237" s="15" t="n">
        <f aca="false">IF(J3237=1,0,Inputs!$B$11)</f>
        <v>100</v>
      </c>
      <c r="M3237" s="15" t="n">
        <f aca="false">IF(J3237=1,0,Inputs!$B$12)</f>
        <v>75</v>
      </c>
      <c r="N3237" s="15" t="n">
        <f aca="false">IF(J3237=1,0,IF(OR(AND(OR(B3237="SITE LOSS",B3237="REGION LOSS"),K3237=1),AND(B3237="ROLE COMPROMISE",H3237=C3237)),Inputs!$B$13,Inputs!$B$14))</f>
        <v>10</v>
      </c>
      <c r="O3237" s="15" t="n">
        <f aca="false">IF(J3237=1,0,Inputs!$B$13)</f>
        <v>20</v>
      </c>
      <c r="P3237" s="15" t="n">
        <f aca="false">SUM(M3237:N3237)</f>
        <v>85</v>
      </c>
      <c r="Q3237" s="15" t="n">
        <f aca="false">IF(J3237=1,"",L3237-P3237)</f>
        <v>15</v>
      </c>
      <c r="R3237" s="15" t="n">
        <f aca="false">IF(OR(J3237=1,M3237&lt;=Inputs!$B$12),1,0)</f>
        <v>1</v>
      </c>
      <c r="S3237" s="15" t="n">
        <f aca="false">IF(OR(J3237=1,N3237&lt;=O3237),1,0)</f>
        <v>1</v>
      </c>
      <c r="T3237" s="15" t="str">
        <f aca="false">IF(J3237=1,"OFFLINE",IF(AND(Q3237&gt;=Inputs!$B$15,R3237=1,S3237=1,P3237&lt;=L3237),"PASS","FAIL"))</f>
        <v>PASS</v>
      </c>
    </row>
    <row r="3238" customFormat="false" ht="15" hidden="false" customHeight="false" outlineLevel="0" collapsed="false">
      <c r="A3238" s="14" t="s">
        <v>1054</v>
      </c>
      <c r="B3238" s="14" t="s">
        <v>1055</v>
      </c>
      <c r="C3238" s="14" t="s">
        <v>1056</v>
      </c>
      <c r="D3238" s="14" t="s">
        <v>202</v>
      </c>
      <c r="E3238" s="14" t="s">
        <v>157</v>
      </c>
      <c r="F3238" s="14" t="s">
        <v>199</v>
      </c>
      <c r="G3238" s="14" t="n">
        <v>2</v>
      </c>
      <c r="H3238" s="14" t="s">
        <v>153</v>
      </c>
      <c r="I3238" s="14" t="s">
        <v>895</v>
      </c>
      <c r="J3238" s="15" t="n">
        <f aca="false">IF(B3238="SITE LOSS",IF(D3238=C3238,1,0),IF(B3238="REGION LOSS",IF(E3238=C3238,1,0),0))</f>
        <v>0</v>
      </c>
      <c r="K3238" s="15" t="n">
        <f aca="false">IF(B3238="SITE LOSS",IF(COUNTIFS('Site Dockets'!$B$7:$B$24,C3238,'Site Dockets'!$C$7:$C$24,F3238)&gt;0,1,0),IF(B3238="REGION LOSS",IF(COUNTIFS('Site Dockets'!$E$7:$E$24,C3238,'Site Dockets'!$C$7:$C$24,F3238)&gt;0,1,0),0))</f>
        <v>0</v>
      </c>
      <c r="L3238" s="15" t="n">
        <f aca="false">IF(J3238=1,0,Inputs!$B$11)</f>
        <v>100</v>
      </c>
      <c r="M3238" s="15" t="n">
        <f aca="false">IF(J3238=1,0,Inputs!$B$12)</f>
        <v>75</v>
      </c>
      <c r="N3238" s="15" t="n">
        <f aca="false">IF(J3238=1,0,IF(OR(AND(OR(B3238="SITE LOSS",B3238="REGION LOSS"),K3238=1),AND(B3238="ROLE COMPROMISE",H3238=C3238)),Inputs!$B$13,Inputs!$B$14))</f>
        <v>10</v>
      </c>
      <c r="O3238" s="15" t="n">
        <f aca="false">IF(J3238=1,0,Inputs!$B$13)</f>
        <v>20</v>
      </c>
      <c r="P3238" s="15" t="n">
        <f aca="false">SUM(M3238:N3238)</f>
        <v>85</v>
      </c>
      <c r="Q3238" s="15" t="n">
        <f aca="false">IF(J3238=1,"",L3238-P3238)</f>
        <v>15</v>
      </c>
      <c r="R3238" s="15" t="n">
        <f aca="false">IF(OR(J3238=1,M3238&lt;=Inputs!$B$12),1,0)</f>
        <v>1</v>
      </c>
      <c r="S3238" s="15" t="n">
        <f aca="false">IF(OR(J3238=1,N3238&lt;=O3238),1,0)</f>
        <v>1</v>
      </c>
      <c r="T3238" s="15" t="str">
        <f aca="false">IF(J3238=1,"OFFLINE",IF(AND(Q3238&gt;=Inputs!$B$15,R3238=1,S3238=1,P3238&lt;=L3238),"PASS","FAIL"))</f>
        <v>PASS</v>
      </c>
    </row>
    <row r="3239" customFormat="false" ht="15" hidden="false" customHeight="false" outlineLevel="0" collapsed="false">
      <c r="A3239" s="14" t="s">
        <v>1054</v>
      </c>
      <c r="B3239" s="14" t="s">
        <v>1055</v>
      </c>
      <c r="C3239" s="14" t="s">
        <v>1056</v>
      </c>
      <c r="D3239" s="14" t="s">
        <v>202</v>
      </c>
      <c r="E3239" s="14" t="s">
        <v>157</v>
      </c>
      <c r="F3239" s="14" t="s">
        <v>199</v>
      </c>
      <c r="G3239" s="14" t="n">
        <v>2</v>
      </c>
      <c r="H3239" s="14" t="s">
        <v>153</v>
      </c>
      <c r="I3239" s="14" t="s">
        <v>897</v>
      </c>
      <c r="J3239" s="15" t="n">
        <f aca="false">IF(B3239="SITE LOSS",IF(D3239=C3239,1,0),IF(B3239="REGION LOSS",IF(E3239=C3239,1,0),0))</f>
        <v>0</v>
      </c>
      <c r="K3239" s="15" t="n">
        <f aca="false">IF(B3239="SITE LOSS",IF(COUNTIFS('Site Dockets'!$B$7:$B$24,C3239,'Site Dockets'!$C$7:$C$24,F3239)&gt;0,1,0),IF(B3239="REGION LOSS",IF(COUNTIFS('Site Dockets'!$E$7:$E$24,C3239,'Site Dockets'!$C$7:$C$24,F3239)&gt;0,1,0),0))</f>
        <v>0</v>
      </c>
      <c r="L3239" s="15" t="n">
        <f aca="false">IF(J3239=1,0,Inputs!$B$11)</f>
        <v>100</v>
      </c>
      <c r="M3239" s="15" t="n">
        <f aca="false">IF(J3239=1,0,Inputs!$B$12)</f>
        <v>75</v>
      </c>
      <c r="N3239" s="15" t="n">
        <f aca="false">IF(J3239=1,0,IF(OR(AND(OR(B3239="SITE LOSS",B3239="REGION LOSS"),K3239=1),AND(B3239="ROLE COMPROMISE",H3239=C3239)),Inputs!$B$13,Inputs!$B$14))</f>
        <v>10</v>
      </c>
      <c r="O3239" s="15" t="n">
        <f aca="false">IF(J3239=1,0,Inputs!$B$13)</f>
        <v>20</v>
      </c>
      <c r="P3239" s="15" t="n">
        <f aca="false">SUM(M3239:N3239)</f>
        <v>85</v>
      </c>
      <c r="Q3239" s="15" t="n">
        <f aca="false">IF(J3239=1,"",L3239-P3239)</f>
        <v>15</v>
      </c>
      <c r="R3239" s="15" t="n">
        <f aca="false">IF(OR(J3239=1,M3239&lt;=Inputs!$B$12),1,0)</f>
        <v>1</v>
      </c>
      <c r="S3239" s="15" t="n">
        <f aca="false">IF(OR(J3239=1,N3239&lt;=O3239),1,0)</f>
        <v>1</v>
      </c>
      <c r="T3239" s="15" t="str">
        <f aca="false">IF(J3239=1,"OFFLINE",IF(AND(Q3239&gt;=Inputs!$B$15,R3239=1,S3239=1,P3239&lt;=L3239),"PASS","FAIL"))</f>
        <v>PASS</v>
      </c>
    </row>
    <row r="3240" customFormat="false" ht="15" hidden="false" customHeight="false" outlineLevel="0" collapsed="false">
      <c r="A3240" s="14" t="s">
        <v>1054</v>
      </c>
      <c r="B3240" s="14" t="s">
        <v>1055</v>
      </c>
      <c r="C3240" s="14" t="s">
        <v>1056</v>
      </c>
      <c r="D3240" s="14" t="s">
        <v>202</v>
      </c>
      <c r="E3240" s="14" t="s">
        <v>157</v>
      </c>
      <c r="F3240" s="14" t="s">
        <v>199</v>
      </c>
      <c r="G3240" s="14" t="n">
        <v>2</v>
      </c>
      <c r="H3240" s="14" t="s">
        <v>153</v>
      </c>
      <c r="I3240" s="14" t="s">
        <v>899</v>
      </c>
      <c r="J3240" s="15" t="n">
        <f aca="false">IF(B3240="SITE LOSS",IF(D3240=C3240,1,0),IF(B3240="REGION LOSS",IF(E3240=C3240,1,0),0))</f>
        <v>0</v>
      </c>
      <c r="K3240" s="15" t="n">
        <f aca="false">IF(B3240="SITE LOSS",IF(COUNTIFS('Site Dockets'!$B$7:$B$24,C3240,'Site Dockets'!$C$7:$C$24,F3240)&gt;0,1,0),IF(B3240="REGION LOSS",IF(COUNTIFS('Site Dockets'!$E$7:$E$24,C3240,'Site Dockets'!$C$7:$C$24,F3240)&gt;0,1,0),0))</f>
        <v>0</v>
      </c>
      <c r="L3240" s="15" t="n">
        <f aca="false">IF(J3240=1,0,Inputs!$B$11)</f>
        <v>100</v>
      </c>
      <c r="M3240" s="15" t="n">
        <f aca="false">IF(J3240=1,0,Inputs!$B$12)</f>
        <v>75</v>
      </c>
      <c r="N3240" s="15" t="n">
        <f aca="false">IF(J3240=1,0,IF(OR(AND(OR(B3240="SITE LOSS",B3240="REGION LOSS"),K3240=1),AND(B3240="ROLE COMPROMISE",H3240=C3240)),Inputs!$B$13,Inputs!$B$14))</f>
        <v>10</v>
      </c>
      <c r="O3240" s="15" t="n">
        <f aca="false">IF(J3240=1,0,Inputs!$B$13)</f>
        <v>20</v>
      </c>
      <c r="P3240" s="15" t="n">
        <f aca="false">SUM(M3240:N3240)</f>
        <v>85</v>
      </c>
      <c r="Q3240" s="15" t="n">
        <f aca="false">IF(J3240=1,"",L3240-P3240)</f>
        <v>15</v>
      </c>
      <c r="R3240" s="15" t="n">
        <f aca="false">IF(OR(J3240=1,M3240&lt;=Inputs!$B$12),1,0)</f>
        <v>1</v>
      </c>
      <c r="S3240" s="15" t="n">
        <f aca="false">IF(OR(J3240=1,N3240&lt;=O3240),1,0)</f>
        <v>1</v>
      </c>
      <c r="T3240" s="15" t="str">
        <f aca="false">IF(J3240=1,"OFFLINE",IF(AND(Q3240&gt;=Inputs!$B$15,R3240=1,S3240=1,P3240&lt;=L3240),"PASS","FAIL"))</f>
        <v>PASS</v>
      </c>
    </row>
    <row r="3241" customFormat="false" ht="15" hidden="false" customHeight="false" outlineLevel="0" collapsed="false">
      <c r="A3241" s="14" t="s">
        <v>1054</v>
      </c>
      <c r="B3241" s="14" t="s">
        <v>1055</v>
      </c>
      <c r="C3241" s="14" t="s">
        <v>1056</v>
      </c>
      <c r="D3241" s="14" t="s">
        <v>204</v>
      </c>
      <c r="E3241" s="14" t="s">
        <v>161</v>
      </c>
      <c r="F3241" s="14" t="s">
        <v>199</v>
      </c>
      <c r="G3241" s="14" t="n">
        <v>3</v>
      </c>
      <c r="H3241" s="14" t="s">
        <v>158</v>
      </c>
      <c r="I3241" s="14" t="s">
        <v>890</v>
      </c>
      <c r="J3241" s="15" t="n">
        <f aca="false">IF(B3241="SITE LOSS",IF(D3241=C3241,1,0),IF(B3241="REGION LOSS",IF(E3241=C3241,1,0),0))</f>
        <v>0</v>
      </c>
      <c r="K3241" s="15" t="n">
        <f aca="false">IF(B3241="SITE LOSS",IF(COUNTIFS('Site Dockets'!$B$7:$B$24,C3241,'Site Dockets'!$C$7:$C$24,F3241)&gt;0,1,0),IF(B3241="REGION LOSS",IF(COUNTIFS('Site Dockets'!$E$7:$E$24,C3241,'Site Dockets'!$C$7:$C$24,F3241)&gt;0,1,0),0))</f>
        <v>0</v>
      </c>
      <c r="L3241" s="15" t="n">
        <f aca="false">IF(J3241=1,0,Inputs!$B$11)</f>
        <v>100</v>
      </c>
      <c r="M3241" s="15" t="n">
        <f aca="false">IF(J3241=1,0,Inputs!$B$12)</f>
        <v>75</v>
      </c>
      <c r="N3241" s="15" t="n">
        <f aca="false">IF(J3241=1,0,IF(OR(AND(OR(B3241="SITE LOSS",B3241="REGION LOSS"),K3241=1),AND(B3241="ROLE COMPROMISE",H3241=C3241)),Inputs!$B$13,Inputs!$B$14))</f>
        <v>10</v>
      </c>
      <c r="O3241" s="15" t="n">
        <f aca="false">IF(J3241=1,0,Inputs!$B$13)</f>
        <v>20</v>
      </c>
      <c r="P3241" s="15" t="n">
        <f aca="false">SUM(M3241:N3241)</f>
        <v>85</v>
      </c>
      <c r="Q3241" s="15" t="n">
        <f aca="false">IF(J3241=1,"",L3241-P3241)</f>
        <v>15</v>
      </c>
      <c r="R3241" s="15" t="n">
        <f aca="false">IF(OR(J3241=1,M3241&lt;=Inputs!$B$12),1,0)</f>
        <v>1</v>
      </c>
      <c r="S3241" s="15" t="n">
        <f aca="false">IF(OR(J3241=1,N3241&lt;=O3241),1,0)</f>
        <v>1</v>
      </c>
      <c r="T3241" s="15" t="str">
        <f aca="false">IF(J3241=1,"OFFLINE",IF(AND(Q3241&gt;=Inputs!$B$15,R3241=1,S3241=1,P3241&lt;=L3241),"PASS","FAIL"))</f>
        <v>PASS</v>
      </c>
    </row>
    <row r="3242" customFormat="false" ht="15" hidden="false" customHeight="false" outlineLevel="0" collapsed="false">
      <c r="A3242" s="14" t="s">
        <v>1054</v>
      </c>
      <c r="B3242" s="14" t="s">
        <v>1055</v>
      </c>
      <c r="C3242" s="14" t="s">
        <v>1056</v>
      </c>
      <c r="D3242" s="14" t="s">
        <v>204</v>
      </c>
      <c r="E3242" s="14" t="s">
        <v>161</v>
      </c>
      <c r="F3242" s="14" t="s">
        <v>199</v>
      </c>
      <c r="G3242" s="14" t="n">
        <v>3</v>
      </c>
      <c r="H3242" s="14" t="s">
        <v>158</v>
      </c>
      <c r="I3242" s="14" t="s">
        <v>892</v>
      </c>
      <c r="J3242" s="15" t="n">
        <f aca="false">IF(B3242="SITE LOSS",IF(D3242=C3242,1,0),IF(B3242="REGION LOSS",IF(E3242=C3242,1,0),0))</f>
        <v>0</v>
      </c>
      <c r="K3242" s="15" t="n">
        <f aca="false">IF(B3242="SITE LOSS",IF(COUNTIFS('Site Dockets'!$B$7:$B$24,C3242,'Site Dockets'!$C$7:$C$24,F3242)&gt;0,1,0),IF(B3242="REGION LOSS",IF(COUNTIFS('Site Dockets'!$E$7:$E$24,C3242,'Site Dockets'!$C$7:$C$24,F3242)&gt;0,1,0),0))</f>
        <v>0</v>
      </c>
      <c r="L3242" s="15" t="n">
        <f aca="false">IF(J3242=1,0,Inputs!$B$11)</f>
        <v>100</v>
      </c>
      <c r="M3242" s="15" t="n">
        <f aca="false">IF(J3242=1,0,Inputs!$B$12)</f>
        <v>75</v>
      </c>
      <c r="N3242" s="15" t="n">
        <f aca="false">IF(J3242=1,0,IF(OR(AND(OR(B3242="SITE LOSS",B3242="REGION LOSS"),K3242=1),AND(B3242="ROLE COMPROMISE",H3242=C3242)),Inputs!$B$13,Inputs!$B$14))</f>
        <v>10</v>
      </c>
      <c r="O3242" s="15" t="n">
        <f aca="false">IF(J3242=1,0,Inputs!$B$13)</f>
        <v>20</v>
      </c>
      <c r="P3242" s="15" t="n">
        <f aca="false">SUM(M3242:N3242)</f>
        <v>85</v>
      </c>
      <c r="Q3242" s="15" t="n">
        <f aca="false">IF(J3242=1,"",L3242-P3242)</f>
        <v>15</v>
      </c>
      <c r="R3242" s="15" t="n">
        <f aca="false">IF(OR(J3242=1,M3242&lt;=Inputs!$B$12),1,0)</f>
        <v>1</v>
      </c>
      <c r="S3242" s="15" t="n">
        <f aca="false">IF(OR(J3242=1,N3242&lt;=O3242),1,0)</f>
        <v>1</v>
      </c>
      <c r="T3242" s="15" t="str">
        <f aca="false">IF(J3242=1,"OFFLINE",IF(AND(Q3242&gt;=Inputs!$B$15,R3242=1,S3242=1,P3242&lt;=L3242),"PASS","FAIL"))</f>
        <v>PASS</v>
      </c>
    </row>
    <row r="3243" customFormat="false" ht="15" hidden="false" customHeight="false" outlineLevel="0" collapsed="false">
      <c r="A3243" s="14" t="s">
        <v>1054</v>
      </c>
      <c r="B3243" s="14" t="s">
        <v>1055</v>
      </c>
      <c r="C3243" s="14" t="s">
        <v>1056</v>
      </c>
      <c r="D3243" s="14" t="s">
        <v>204</v>
      </c>
      <c r="E3243" s="14" t="s">
        <v>161</v>
      </c>
      <c r="F3243" s="14" t="s">
        <v>199</v>
      </c>
      <c r="G3243" s="14" t="n">
        <v>3</v>
      </c>
      <c r="H3243" s="14" t="s">
        <v>158</v>
      </c>
      <c r="I3243" s="14" t="s">
        <v>811</v>
      </c>
      <c r="J3243" s="15" t="n">
        <f aca="false">IF(B3243="SITE LOSS",IF(D3243=C3243,1,0),IF(B3243="REGION LOSS",IF(E3243=C3243,1,0),0))</f>
        <v>0</v>
      </c>
      <c r="K3243" s="15" t="n">
        <f aca="false">IF(B3243="SITE LOSS",IF(COUNTIFS('Site Dockets'!$B$7:$B$24,C3243,'Site Dockets'!$C$7:$C$24,F3243)&gt;0,1,0),IF(B3243="REGION LOSS",IF(COUNTIFS('Site Dockets'!$E$7:$E$24,C3243,'Site Dockets'!$C$7:$C$24,F3243)&gt;0,1,0),0))</f>
        <v>0</v>
      </c>
      <c r="L3243" s="15" t="n">
        <f aca="false">IF(J3243=1,0,Inputs!$B$11)</f>
        <v>100</v>
      </c>
      <c r="M3243" s="15" t="n">
        <f aca="false">IF(J3243=1,0,Inputs!$B$12)</f>
        <v>75</v>
      </c>
      <c r="N3243" s="15" t="n">
        <f aca="false">IF(J3243=1,0,IF(OR(AND(OR(B3243="SITE LOSS",B3243="REGION LOSS"),K3243=1),AND(B3243="ROLE COMPROMISE",H3243=C3243)),Inputs!$B$13,Inputs!$B$14))</f>
        <v>10</v>
      </c>
      <c r="O3243" s="15" t="n">
        <f aca="false">IF(J3243=1,0,Inputs!$B$13)</f>
        <v>20</v>
      </c>
      <c r="P3243" s="15" t="n">
        <f aca="false">SUM(M3243:N3243)</f>
        <v>85</v>
      </c>
      <c r="Q3243" s="15" t="n">
        <f aca="false">IF(J3243=1,"",L3243-P3243)</f>
        <v>15</v>
      </c>
      <c r="R3243" s="15" t="n">
        <f aca="false">IF(OR(J3243=1,M3243&lt;=Inputs!$B$12),1,0)</f>
        <v>1</v>
      </c>
      <c r="S3243" s="15" t="n">
        <f aca="false">IF(OR(J3243=1,N3243&lt;=O3243),1,0)</f>
        <v>1</v>
      </c>
      <c r="T3243" s="15" t="str">
        <f aca="false">IF(J3243=1,"OFFLINE",IF(AND(Q3243&gt;=Inputs!$B$15,R3243=1,S3243=1,P3243&lt;=L3243),"PASS","FAIL"))</f>
        <v>PASS</v>
      </c>
    </row>
    <row r="3244" customFormat="false" ht="15" hidden="false" customHeight="false" outlineLevel="0" collapsed="false">
      <c r="A3244" s="14" t="s">
        <v>1054</v>
      </c>
      <c r="B3244" s="14" t="s">
        <v>1055</v>
      </c>
      <c r="C3244" s="14" t="s">
        <v>1056</v>
      </c>
      <c r="D3244" s="14" t="s">
        <v>204</v>
      </c>
      <c r="E3244" s="14" t="s">
        <v>161</v>
      </c>
      <c r="F3244" s="14" t="s">
        <v>199</v>
      </c>
      <c r="G3244" s="14" t="n">
        <v>3</v>
      </c>
      <c r="H3244" s="14" t="s">
        <v>158</v>
      </c>
      <c r="I3244" s="14" t="s">
        <v>895</v>
      </c>
      <c r="J3244" s="15" t="n">
        <f aca="false">IF(B3244="SITE LOSS",IF(D3244=C3244,1,0),IF(B3244="REGION LOSS",IF(E3244=C3244,1,0),0))</f>
        <v>0</v>
      </c>
      <c r="K3244" s="15" t="n">
        <f aca="false">IF(B3244="SITE LOSS",IF(COUNTIFS('Site Dockets'!$B$7:$B$24,C3244,'Site Dockets'!$C$7:$C$24,F3244)&gt;0,1,0),IF(B3244="REGION LOSS",IF(COUNTIFS('Site Dockets'!$E$7:$E$24,C3244,'Site Dockets'!$C$7:$C$24,F3244)&gt;0,1,0),0))</f>
        <v>0</v>
      </c>
      <c r="L3244" s="15" t="n">
        <f aca="false">IF(J3244=1,0,Inputs!$B$11)</f>
        <v>100</v>
      </c>
      <c r="M3244" s="15" t="n">
        <f aca="false">IF(J3244=1,0,Inputs!$B$12)</f>
        <v>75</v>
      </c>
      <c r="N3244" s="15" t="n">
        <f aca="false">IF(J3244=1,0,IF(OR(AND(OR(B3244="SITE LOSS",B3244="REGION LOSS"),K3244=1),AND(B3244="ROLE COMPROMISE",H3244=C3244)),Inputs!$B$13,Inputs!$B$14))</f>
        <v>10</v>
      </c>
      <c r="O3244" s="15" t="n">
        <f aca="false">IF(J3244=1,0,Inputs!$B$13)</f>
        <v>20</v>
      </c>
      <c r="P3244" s="15" t="n">
        <f aca="false">SUM(M3244:N3244)</f>
        <v>85</v>
      </c>
      <c r="Q3244" s="15" t="n">
        <f aca="false">IF(J3244=1,"",L3244-P3244)</f>
        <v>15</v>
      </c>
      <c r="R3244" s="15" t="n">
        <f aca="false">IF(OR(J3244=1,M3244&lt;=Inputs!$B$12),1,0)</f>
        <v>1</v>
      </c>
      <c r="S3244" s="15" t="n">
        <f aca="false">IF(OR(J3244=1,N3244&lt;=O3244),1,0)</f>
        <v>1</v>
      </c>
      <c r="T3244" s="15" t="str">
        <f aca="false">IF(J3244=1,"OFFLINE",IF(AND(Q3244&gt;=Inputs!$B$15,R3244=1,S3244=1,P3244&lt;=L3244),"PASS","FAIL"))</f>
        <v>PASS</v>
      </c>
    </row>
    <row r="3245" customFormat="false" ht="15" hidden="false" customHeight="false" outlineLevel="0" collapsed="false">
      <c r="A3245" s="14" t="s">
        <v>1054</v>
      </c>
      <c r="B3245" s="14" t="s">
        <v>1055</v>
      </c>
      <c r="C3245" s="14" t="s">
        <v>1056</v>
      </c>
      <c r="D3245" s="14" t="s">
        <v>204</v>
      </c>
      <c r="E3245" s="14" t="s">
        <v>161</v>
      </c>
      <c r="F3245" s="14" t="s">
        <v>199</v>
      </c>
      <c r="G3245" s="14" t="n">
        <v>3</v>
      </c>
      <c r="H3245" s="14" t="s">
        <v>158</v>
      </c>
      <c r="I3245" s="14" t="s">
        <v>897</v>
      </c>
      <c r="J3245" s="15" t="n">
        <f aca="false">IF(B3245="SITE LOSS",IF(D3245=C3245,1,0),IF(B3245="REGION LOSS",IF(E3245=C3245,1,0),0))</f>
        <v>0</v>
      </c>
      <c r="K3245" s="15" t="n">
        <f aca="false">IF(B3245="SITE LOSS",IF(COUNTIFS('Site Dockets'!$B$7:$B$24,C3245,'Site Dockets'!$C$7:$C$24,F3245)&gt;0,1,0),IF(B3245="REGION LOSS",IF(COUNTIFS('Site Dockets'!$E$7:$E$24,C3245,'Site Dockets'!$C$7:$C$24,F3245)&gt;0,1,0),0))</f>
        <v>0</v>
      </c>
      <c r="L3245" s="15" t="n">
        <f aca="false">IF(J3245=1,0,Inputs!$B$11)</f>
        <v>100</v>
      </c>
      <c r="M3245" s="15" t="n">
        <f aca="false">IF(J3245=1,0,Inputs!$B$12)</f>
        <v>75</v>
      </c>
      <c r="N3245" s="15" t="n">
        <f aca="false">IF(J3245=1,0,IF(OR(AND(OR(B3245="SITE LOSS",B3245="REGION LOSS"),K3245=1),AND(B3245="ROLE COMPROMISE",H3245=C3245)),Inputs!$B$13,Inputs!$B$14))</f>
        <v>10</v>
      </c>
      <c r="O3245" s="15" t="n">
        <f aca="false">IF(J3245=1,0,Inputs!$B$13)</f>
        <v>20</v>
      </c>
      <c r="P3245" s="15" t="n">
        <f aca="false">SUM(M3245:N3245)</f>
        <v>85</v>
      </c>
      <c r="Q3245" s="15" t="n">
        <f aca="false">IF(J3245=1,"",L3245-P3245)</f>
        <v>15</v>
      </c>
      <c r="R3245" s="15" t="n">
        <f aca="false">IF(OR(J3245=1,M3245&lt;=Inputs!$B$12),1,0)</f>
        <v>1</v>
      </c>
      <c r="S3245" s="15" t="n">
        <f aca="false">IF(OR(J3245=1,N3245&lt;=O3245),1,0)</f>
        <v>1</v>
      </c>
      <c r="T3245" s="15" t="str">
        <f aca="false">IF(J3245=1,"OFFLINE",IF(AND(Q3245&gt;=Inputs!$B$15,R3245=1,S3245=1,P3245&lt;=L3245),"PASS","FAIL"))</f>
        <v>PASS</v>
      </c>
    </row>
    <row r="3246" customFormat="false" ht="15" hidden="false" customHeight="false" outlineLevel="0" collapsed="false">
      <c r="A3246" s="14" t="s">
        <v>1054</v>
      </c>
      <c r="B3246" s="14" t="s">
        <v>1055</v>
      </c>
      <c r="C3246" s="14" t="s">
        <v>1056</v>
      </c>
      <c r="D3246" s="14" t="s">
        <v>204</v>
      </c>
      <c r="E3246" s="14" t="s">
        <v>161</v>
      </c>
      <c r="F3246" s="14" t="s">
        <v>199</v>
      </c>
      <c r="G3246" s="14" t="n">
        <v>3</v>
      </c>
      <c r="H3246" s="14" t="s">
        <v>158</v>
      </c>
      <c r="I3246" s="14" t="s">
        <v>899</v>
      </c>
      <c r="J3246" s="15" t="n">
        <f aca="false">IF(B3246="SITE LOSS",IF(D3246=C3246,1,0),IF(B3246="REGION LOSS",IF(E3246=C3246,1,0),0))</f>
        <v>0</v>
      </c>
      <c r="K3246" s="15" t="n">
        <f aca="false">IF(B3246="SITE LOSS",IF(COUNTIFS('Site Dockets'!$B$7:$B$24,C3246,'Site Dockets'!$C$7:$C$24,F3246)&gt;0,1,0),IF(B3246="REGION LOSS",IF(COUNTIFS('Site Dockets'!$E$7:$E$24,C3246,'Site Dockets'!$C$7:$C$24,F3246)&gt;0,1,0),0))</f>
        <v>0</v>
      </c>
      <c r="L3246" s="15" t="n">
        <f aca="false">IF(J3246=1,0,Inputs!$B$11)</f>
        <v>100</v>
      </c>
      <c r="M3246" s="15" t="n">
        <f aca="false">IF(J3246=1,0,Inputs!$B$12)</f>
        <v>75</v>
      </c>
      <c r="N3246" s="15" t="n">
        <f aca="false">IF(J3246=1,0,IF(OR(AND(OR(B3246="SITE LOSS",B3246="REGION LOSS"),K3246=1),AND(B3246="ROLE COMPROMISE",H3246=C3246)),Inputs!$B$13,Inputs!$B$14))</f>
        <v>10</v>
      </c>
      <c r="O3246" s="15" t="n">
        <f aca="false">IF(J3246=1,0,Inputs!$B$13)</f>
        <v>20</v>
      </c>
      <c r="P3246" s="15" t="n">
        <f aca="false">SUM(M3246:N3246)</f>
        <v>85</v>
      </c>
      <c r="Q3246" s="15" t="n">
        <f aca="false">IF(J3246=1,"",L3246-P3246)</f>
        <v>15</v>
      </c>
      <c r="R3246" s="15" t="n">
        <f aca="false">IF(OR(J3246=1,M3246&lt;=Inputs!$B$12),1,0)</f>
        <v>1</v>
      </c>
      <c r="S3246" s="15" t="n">
        <f aca="false">IF(OR(J3246=1,N3246&lt;=O3246),1,0)</f>
        <v>1</v>
      </c>
      <c r="T3246" s="15" t="str">
        <f aca="false">IF(J3246=1,"OFFLINE",IF(AND(Q3246&gt;=Inputs!$B$15,R3246=1,S3246=1,P3246&lt;=L3246),"PASS","FAIL"))</f>
        <v>PASS</v>
      </c>
    </row>
  </sheetData>
  <mergeCells count="2">
    <mergeCell ref="A2:N2"/>
    <mergeCell ref="A4:N4"/>
  </mergeCells>
  <conditionalFormatting sqref="T7:T3246">
    <cfRule type="containsText" priority="2" operator="containsText" aboveAverage="0" equalAverage="0" bottom="0" percent="0" rank="0" text="FAIL" dxfId="0">
      <formula>NOT(ISERROR(SEARCH("FAIL",T7)))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78"/>
    <pageSetUpPr fitToPage="false"/>
  </sheetPr>
  <dimension ref="A2:N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19"/>
    <col collapsed="false" customWidth="true" hidden="false" outlineLevel="0" max="5" min="5" style="0" width="17"/>
    <col collapsed="false" customWidth="true" hidden="false" outlineLevel="0" max="6" min="6" style="0" width="20"/>
    <col collapsed="false" customWidth="true" hidden="false" outlineLevel="0" max="7" min="7" style="0" width="19"/>
    <col collapsed="false" customWidth="true" hidden="false" outlineLevel="0" max="9" min="8" style="0" width="17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3" min="13" style="0" width="18"/>
  </cols>
  <sheetData>
    <row r="2" customFormat="false" ht="18.55" hidden="false" customHeight="false" outlineLevel="0" collapsed="false">
      <c r="A2" s="1" t="s">
        <v>1057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1058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22.35" hidden="false" customHeight="false" outlineLevel="0" collapsed="false">
      <c r="A6" s="6" t="s">
        <v>1004</v>
      </c>
      <c r="B6" s="7" t="s">
        <v>1005</v>
      </c>
      <c r="C6" s="7" t="s">
        <v>1006</v>
      </c>
      <c r="D6" s="7" t="s">
        <v>1059</v>
      </c>
      <c r="E6" s="7" t="s">
        <v>1060</v>
      </c>
      <c r="F6" s="7" t="s">
        <v>1061</v>
      </c>
      <c r="G6" s="7" t="s">
        <v>1062</v>
      </c>
      <c r="H6" s="7" t="s">
        <v>20</v>
      </c>
      <c r="I6" s="7" t="s">
        <v>1063</v>
      </c>
      <c r="J6" s="7" t="s">
        <v>1064</v>
      </c>
      <c r="K6" s="7" t="s">
        <v>1065</v>
      </c>
      <c r="L6" s="7" t="s">
        <v>1066</v>
      </c>
      <c r="M6" s="8" t="s">
        <v>1067</v>
      </c>
      <c r="N6" s="4"/>
    </row>
    <row r="7" customFormat="false" ht="15" hidden="false" customHeight="false" outlineLevel="0" collapsed="false">
      <c r="A7" s="14" t="s">
        <v>1018</v>
      </c>
      <c r="B7" s="14" t="s">
        <v>1019</v>
      </c>
      <c r="C7" s="14" t="s">
        <v>149</v>
      </c>
      <c r="D7" s="15" t="n">
        <f aca="false">IF(B7="SITE LOSS",6,IF(B7="REGION LOSS",18,0))</f>
        <v>6</v>
      </c>
      <c r="E7" s="15" t="n">
        <f aca="false">COUNTIFS('Capacity Stress'!$A$7:$A$3246,A7,'Capacity Stress'!$T$7:$T$3246,"OFFLINE")</f>
        <v>6</v>
      </c>
      <c r="F7" s="15" t="n">
        <f aca="false">108-D7</f>
        <v>102</v>
      </c>
      <c r="G7" s="15" t="n">
        <f aca="false">COUNTIFS('Capacity Stress'!$A$7:$A$3246,A7,'Capacity Stress'!$T$7:$T$3246,"PASS")</f>
        <v>102</v>
      </c>
      <c r="H7" s="15" t="n">
        <f aca="false">MIN('Capacity Stress'!Q7:Q114)</f>
        <v>5</v>
      </c>
      <c r="I7" s="15" t="n">
        <f aca="false">Inputs!$B$15</f>
        <v>5</v>
      </c>
      <c r="J7" s="15" t="str">
        <f aca="false">IF(AND(D7=E7,F7=G7,H7&gt;=I7),"PASS","FAIL")</f>
        <v>PASS</v>
      </c>
      <c r="K7" s="15" t="n">
        <f aca="false">Inputs!$B$17</f>
        <v>6</v>
      </c>
      <c r="L7" s="15" t="n">
        <f aca="false">COUNTIFS('Recovery Clocks'!$B$7:$B$186,A7,'Recovery Clocks'!$J$7:$J$186,"PASS")</f>
        <v>0</v>
      </c>
      <c r="M7" s="15" t="str">
        <f aca="false">IF(AND(J7="PASS",K7=L7),"READY","OPEN")</f>
        <v>OPEN</v>
      </c>
      <c r="N7" s="4"/>
    </row>
    <row r="8" customFormat="false" ht="15" hidden="false" customHeight="false" outlineLevel="0" collapsed="false">
      <c r="A8" s="14" t="s">
        <v>1020</v>
      </c>
      <c r="B8" s="14" t="s">
        <v>1019</v>
      </c>
      <c r="C8" s="14" t="s">
        <v>156</v>
      </c>
      <c r="D8" s="15" t="n">
        <f aca="false">IF(B8="SITE LOSS",6,IF(B8="REGION LOSS",18,0))</f>
        <v>6</v>
      </c>
      <c r="E8" s="15" t="n">
        <f aca="false">COUNTIFS('Capacity Stress'!$A$7:$A$3246,A8,'Capacity Stress'!$T$7:$T$3246,"OFFLINE")</f>
        <v>6</v>
      </c>
      <c r="F8" s="15" t="n">
        <f aca="false">108-D8</f>
        <v>102</v>
      </c>
      <c r="G8" s="15" t="n">
        <f aca="false">COUNTIFS('Capacity Stress'!$A$7:$A$3246,A8,'Capacity Stress'!$T$7:$T$3246,"PASS")</f>
        <v>102</v>
      </c>
      <c r="H8" s="15" t="n">
        <f aca="false">MIN('Capacity Stress'!Q115:Q222)</f>
        <v>5</v>
      </c>
      <c r="I8" s="15" t="n">
        <f aca="false">Inputs!$B$15</f>
        <v>5</v>
      </c>
      <c r="J8" s="15" t="str">
        <f aca="false">IF(AND(D8=E8,F8=G8,H8&gt;=I8),"PASS","FAIL")</f>
        <v>PASS</v>
      </c>
      <c r="K8" s="15" t="n">
        <f aca="false">Inputs!$B$17</f>
        <v>6</v>
      </c>
      <c r="L8" s="15" t="n">
        <f aca="false">COUNTIFS('Recovery Clocks'!$B$7:$B$186,A8,'Recovery Clocks'!$J$7:$J$186,"PASS")</f>
        <v>0</v>
      </c>
      <c r="M8" s="15" t="str">
        <f aca="false">IF(AND(J8="PASS",K8=L8),"READY","OPEN")</f>
        <v>OPEN</v>
      </c>
      <c r="N8" s="4"/>
    </row>
    <row r="9" customFormat="false" ht="15" hidden="false" customHeight="false" outlineLevel="0" collapsed="false">
      <c r="A9" s="14" t="s">
        <v>1021</v>
      </c>
      <c r="B9" s="14" t="s">
        <v>1019</v>
      </c>
      <c r="C9" s="14" t="s">
        <v>160</v>
      </c>
      <c r="D9" s="15" t="n">
        <f aca="false">IF(B9="SITE LOSS",6,IF(B9="REGION LOSS",18,0))</f>
        <v>6</v>
      </c>
      <c r="E9" s="15" t="n">
        <f aca="false">COUNTIFS('Capacity Stress'!$A$7:$A$3246,A9,'Capacity Stress'!$T$7:$T$3246,"OFFLINE")</f>
        <v>6</v>
      </c>
      <c r="F9" s="15" t="n">
        <f aca="false">108-D9</f>
        <v>102</v>
      </c>
      <c r="G9" s="15" t="n">
        <f aca="false">COUNTIFS('Capacity Stress'!$A$7:$A$3246,A9,'Capacity Stress'!$T$7:$T$3246,"PASS")</f>
        <v>102</v>
      </c>
      <c r="H9" s="15" t="n">
        <f aca="false">MIN('Capacity Stress'!Q223:Q330)</f>
        <v>5</v>
      </c>
      <c r="I9" s="15" t="n">
        <f aca="false">Inputs!$B$15</f>
        <v>5</v>
      </c>
      <c r="J9" s="15" t="str">
        <f aca="false">IF(AND(D9=E9,F9=G9,H9&gt;=I9),"PASS","FAIL")</f>
        <v>PASS</v>
      </c>
      <c r="K9" s="15" t="n">
        <f aca="false">Inputs!$B$17</f>
        <v>6</v>
      </c>
      <c r="L9" s="15" t="n">
        <f aca="false">COUNTIFS('Recovery Clocks'!$B$7:$B$186,A9,'Recovery Clocks'!$J$7:$J$186,"PASS")</f>
        <v>0</v>
      </c>
      <c r="M9" s="15" t="str">
        <f aca="false">IF(AND(J9="PASS",K9=L9),"READY","OPEN")</f>
        <v>OPEN</v>
      </c>
      <c r="N9" s="4"/>
    </row>
    <row r="10" customFormat="false" ht="15" hidden="false" customHeight="false" outlineLevel="0" collapsed="false">
      <c r="A10" s="14" t="s">
        <v>1022</v>
      </c>
      <c r="B10" s="14" t="s">
        <v>1019</v>
      </c>
      <c r="C10" s="14" t="s">
        <v>163</v>
      </c>
      <c r="D10" s="15" t="n">
        <f aca="false">IF(B10="SITE LOSS",6,IF(B10="REGION LOSS",18,0))</f>
        <v>6</v>
      </c>
      <c r="E10" s="15" t="n">
        <f aca="false">COUNTIFS('Capacity Stress'!$A$7:$A$3246,A10,'Capacity Stress'!$T$7:$T$3246,"OFFLINE")</f>
        <v>6</v>
      </c>
      <c r="F10" s="15" t="n">
        <f aca="false">108-D10</f>
        <v>102</v>
      </c>
      <c r="G10" s="15" t="n">
        <f aca="false">COUNTIFS('Capacity Stress'!$A$7:$A$3246,A10,'Capacity Stress'!$T$7:$T$3246,"PASS")</f>
        <v>102</v>
      </c>
      <c r="H10" s="15" t="n">
        <f aca="false">MIN('Capacity Stress'!Q331:Q438)</f>
        <v>5</v>
      </c>
      <c r="I10" s="15" t="n">
        <f aca="false">Inputs!$B$15</f>
        <v>5</v>
      </c>
      <c r="J10" s="15" t="str">
        <f aca="false">IF(AND(D10=E10,F10=G10,H10&gt;=I10),"PASS","FAIL")</f>
        <v>PASS</v>
      </c>
      <c r="K10" s="15" t="n">
        <f aca="false">Inputs!$B$17</f>
        <v>6</v>
      </c>
      <c r="L10" s="15" t="n">
        <f aca="false">COUNTIFS('Recovery Clocks'!$B$7:$B$186,A10,'Recovery Clocks'!$J$7:$J$186,"PASS")</f>
        <v>0</v>
      </c>
      <c r="M10" s="15" t="str">
        <f aca="false">IF(AND(J10="PASS",K10=L10),"READY","OPEN")</f>
        <v>OPEN</v>
      </c>
      <c r="N10" s="4"/>
    </row>
    <row r="11" customFormat="false" ht="15" hidden="false" customHeight="false" outlineLevel="0" collapsed="false">
      <c r="A11" s="14" t="s">
        <v>1023</v>
      </c>
      <c r="B11" s="14" t="s">
        <v>1019</v>
      </c>
      <c r="C11" s="14" t="s">
        <v>168</v>
      </c>
      <c r="D11" s="15" t="n">
        <f aca="false">IF(B11="SITE LOSS",6,IF(B11="REGION LOSS",18,0))</f>
        <v>6</v>
      </c>
      <c r="E11" s="15" t="n">
        <f aca="false">COUNTIFS('Capacity Stress'!$A$7:$A$3246,A11,'Capacity Stress'!$T$7:$T$3246,"OFFLINE")</f>
        <v>6</v>
      </c>
      <c r="F11" s="15" t="n">
        <f aca="false">108-D11</f>
        <v>102</v>
      </c>
      <c r="G11" s="15" t="n">
        <f aca="false">COUNTIFS('Capacity Stress'!$A$7:$A$3246,A11,'Capacity Stress'!$T$7:$T$3246,"PASS")</f>
        <v>102</v>
      </c>
      <c r="H11" s="15" t="n">
        <f aca="false">MIN('Capacity Stress'!Q439:Q546)</f>
        <v>5</v>
      </c>
      <c r="I11" s="15" t="n">
        <f aca="false">Inputs!$B$15</f>
        <v>5</v>
      </c>
      <c r="J11" s="15" t="str">
        <f aca="false">IF(AND(D11=E11,F11=G11,H11&gt;=I11),"PASS","FAIL")</f>
        <v>PASS</v>
      </c>
      <c r="K11" s="15" t="n">
        <f aca="false">Inputs!$B$17</f>
        <v>6</v>
      </c>
      <c r="L11" s="15" t="n">
        <f aca="false">COUNTIFS('Recovery Clocks'!$B$7:$B$186,A11,'Recovery Clocks'!$J$7:$J$186,"PASS")</f>
        <v>0</v>
      </c>
      <c r="M11" s="15" t="str">
        <f aca="false">IF(AND(J11="PASS",K11=L11),"READY","OPEN")</f>
        <v>OPEN</v>
      </c>
      <c r="N11" s="4"/>
    </row>
    <row r="12" customFormat="false" ht="15" hidden="false" customHeight="false" outlineLevel="0" collapsed="false">
      <c r="A12" s="14" t="s">
        <v>1024</v>
      </c>
      <c r="B12" s="14" t="s">
        <v>1019</v>
      </c>
      <c r="C12" s="14" t="s">
        <v>171</v>
      </c>
      <c r="D12" s="15" t="n">
        <f aca="false">IF(B12="SITE LOSS",6,IF(B12="REGION LOSS",18,0))</f>
        <v>6</v>
      </c>
      <c r="E12" s="15" t="n">
        <f aca="false">COUNTIFS('Capacity Stress'!$A$7:$A$3246,A12,'Capacity Stress'!$T$7:$T$3246,"OFFLINE")</f>
        <v>6</v>
      </c>
      <c r="F12" s="15" t="n">
        <f aca="false">108-D12</f>
        <v>102</v>
      </c>
      <c r="G12" s="15" t="n">
        <f aca="false">COUNTIFS('Capacity Stress'!$A$7:$A$3246,A12,'Capacity Stress'!$T$7:$T$3246,"PASS")</f>
        <v>102</v>
      </c>
      <c r="H12" s="15" t="n">
        <f aca="false">MIN('Capacity Stress'!Q547:Q654)</f>
        <v>5</v>
      </c>
      <c r="I12" s="15" t="n">
        <f aca="false">Inputs!$B$15</f>
        <v>5</v>
      </c>
      <c r="J12" s="15" t="str">
        <f aca="false">IF(AND(D12=E12,F12=G12,H12&gt;=I12),"PASS","FAIL")</f>
        <v>PASS</v>
      </c>
      <c r="K12" s="15" t="n">
        <f aca="false">Inputs!$B$17</f>
        <v>6</v>
      </c>
      <c r="L12" s="15" t="n">
        <f aca="false">COUNTIFS('Recovery Clocks'!$B$7:$B$186,A12,'Recovery Clocks'!$J$7:$J$186,"PASS")</f>
        <v>0</v>
      </c>
      <c r="M12" s="15" t="str">
        <f aca="false">IF(AND(J12="PASS",K12=L12),"READY","OPEN")</f>
        <v>OPEN</v>
      </c>
      <c r="N12" s="4"/>
    </row>
    <row r="13" customFormat="false" ht="15" hidden="false" customHeight="false" outlineLevel="0" collapsed="false">
      <c r="A13" s="14" t="s">
        <v>1025</v>
      </c>
      <c r="B13" s="14" t="s">
        <v>1019</v>
      </c>
      <c r="C13" s="14" t="s">
        <v>174</v>
      </c>
      <c r="D13" s="15" t="n">
        <f aca="false">IF(B13="SITE LOSS",6,IF(B13="REGION LOSS",18,0))</f>
        <v>6</v>
      </c>
      <c r="E13" s="15" t="n">
        <f aca="false">COUNTIFS('Capacity Stress'!$A$7:$A$3246,A13,'Capacity Stress'!$T$7:$T$3246,"OFFLINE")</f>
        <v>6</v>
      </c>
      <c r="F13" s="15" t="n">
        <f aca="false">108-D13</f>
        <v>102</v>
      </c>
      <c r="G13" s="15" t="n">
        <f aca="false">COUNTIFS('Capacity Stress'!$A$7:$A$3246,A13,'Capacity Stress'!$T$7:$T$3246,"PASS")</f>
        <v>102</v>
      </c>
      <c r="H13" s="15" t="n">
        <f aca="false">MIN('Capacity Stress'!Q655:Q762)</f>
        <v>5</v>
      </c>
      <c r="I13" s="15" t="n">
        <f aca="false">Inputs!$B$15</f>
        <v>5</v>
      </c>
      <c r="J13" s="15" t="str">
        <f aca="false">IF(AND(D13=E13,F13=G13,H13&gt;=I13),"PASS","FAIL")</f>
        <v>PASS</v>
      </c>
      <c r="K13" s="15" t="n">
        <f aca="false">Inputs!$B$17</f>
        <v>6</v>
      </c>
      <c r="L13" s="15" t="n">
        <f aca="false">COUNTIFS('Recovery Clocks'!$B$7:$B$186,A13,'Recovery Clocks'!$J$7:$J$186,"PASS")</f>
        <v>0</v>
      </c>
      <c r="M13" s="15" t="str">
        <f aca="false">IF(AND(J13="PASS",K13=L13),"READY","OPEN")</f>
        <v>OPEN</v>
      </c>
      <c r="N13" s="4"/>
    </row>
    <row r="14" customFormat="false" ht="15" hidden="false" customHeight="false" outlineLevel="0" collapsed="false">
      <c r="A14" s="14" t="s">
        <v>1026</v>
      </c>
      <c r="B14" s="14" t="s">
        <v>1019</v>
      </c>
      <c r="C14" s="14" t="s">
        <v>178</v>
      </c>
      <c r="D14" s="15" t="n">
        <f aca="false">IF(B14="SITE LOSS",6,IF(B14="REGION LOSS",18,0))</f>
        <v>6</v>
      </c>
      <c r="E14" s="15" t="n">
        <f aca="false">COUNTIFS('Capacity Stress'!$A$7:$A$3246,A14,'Capacity Stress'!$T$7:$T$3246,"OFFLINE")</f>
        <v>6</v>
      </c>
      <c r="F14" s="15" t="n">
        <f aca="false">108-D14</f>
        <v>102</v>
      </c>
      <c r="G14" s="15" t="n">
        <f aca="false">COUNTIFS('Capacity Stress'!$A$7:$A$3246,A14,'Capacity Stress'!$T$7:$T$3246,"PASS")</f>
        <v>102</v>
      </c>
      <c r="H14" s="15" t="n">
        <f aca="false">MIN('Capacity Stress'!Q763:Q870)</f>
        <v>5</v>
      </c>
      <c r="I14" s="15" t="n">
        <f aca="false">Inputs!$B$15</f>
        <v>5</v>
      </c>
      <c r="J14" s="15" t="str">
        <f aca="false">IF(AND(D14=E14,F14=G14,H14&gt;=I14),"PASS","FAIL")</f>
        <v>PASS</v>
      </c>
      <c r="K14" s="15" t="n">
        <f aca="false">Inputs!$B$17</f>
        <v>6</v>
      </c>
      <c r="L14" s="15" t="n">
        <f aca="false">COUNTIFS('Recovery Clocks'!$B$7:$B$186,A14,'Recovery Clocks'!$J$7:$J$186,"PASS")</f>
        <v>0</v>
      </c>
      <c r="M14" s="15" t="str">
        <f aca="false">IF(AND(J14="PASS",K14=L14),"READY","OPEN")</f>
        <v>OPEN</v>
      </c>
      <c r="N14" s="4"/>
    </row>
    <row r="15" customFormat="false" ht="15" hidden="false" customHeight="false" outlineLevel="0" collapsed="false">
      <c r="A15" s="14" t="s">
        <v>1027</v>
      </c>
      <c r="B15" s="14" t="s">
        <v>1019</v>
      </c>
      <c r="C15" s="14" t="s">
        <v>180</v>
      </c>
      <c r="D15" s="15" t="n">
        <f aca="false">IF(B15="SITE LOSS",6,IF(B15="REGION LOSS",18,0))</f>
        <v>6</v>
      </c>
      <c r="E15" s="15" t="n">
        <f aca="false">COUNTIFS('Capacity Stress'!$A$7:$A$3246,A15,'Capacity Stress'!$T$7:$T$3246,"OFFLINE")</f>
        <v>6</v>
      </c>
      <c r="F15" s="15" t="n">
        <f aca="false">108-D15</f>
        <v>102</v>
      </c>
      <c r="G15" s="15" t="n">
        <f aca="false">COUNTIFS('Capacity Stress'!$A$7:$A$3246,A15,'Capacity Stress'!$T$7:$T$3246,"PASS")</f>
        <v>102</v>
      </c>
      <c r="H15" s="15" t="n">
        <f aca="false">MIN('Capacity Stress'!Q871:Q978)</f>
        <v>5</v>
      </c>
      <c r="I15" s="15" t="n">
        <f aca="false">Inputs!$B$15</f>
        <v>5</v>
      </c>
      <c r="J15" s="15" t="str">
        <f aca="false">IF(AND(D15=E15,F15=G15,H15&gt;=I15),"PASS","FAIL")</f>
        <v>PASS</v>
      </c>
      <c r="K15" s="15" t="n">
        <f aca="false">Inputs!$B$17</f>
        <v>6</v>
      </c>
      <c r="L15" s="15" t="n">
        <f aca="false">COUNTIFS('Recovery Clocks'!$B$7:$B$186,A15,'Recovery Clocks'!$J$7:$J$186,"PASS")</f>
        <v>0</v>
      </c>
      <c r="M15" s="15" t="str">
        <f aca="false">IF(AND(J15="PASS",K15=L15),"READY","OPEN")</f>
        <v>OPEN</v>
      </c>
      <c r="N15" s="4"/>
    </row>
    <row r="16" customFormat="false" ht="15" hidden="false" customHeight="false" outlineLevel="0" collapsed="false">
      <c r="A16" s="14" t="s">
        <v>1028</v>
      </c>
      <c r="B16" s="14" t="s">
        <v>1019</v>
      </c>
      <c r="C16" s="14" t="s">
        <v>182</v>
      </c>
      <c r="D16" s="15" t="n">
        <f aca="false">IF(B16="SITE LOSS",6,IF(B16="REGION LOSS",18,0))</f>
        <v>6</v>
      </c>
      <c r="E16" s="15" t="n">
        <f aca="false">COUNTIFS('Capacity Stress'!$A$7:$A$3246,A16,'Capacity Stress'!$T$7:$T$3246,"OFFLINE")</f>
        <v>6</v>
      </c>
      <c r="F16" s="15" t="n">
        <f aca="false">108-D16</f>
        <v>102</v>
      </c>
      <c r="G16" s="15" t="n">
        <f aca="false">COUNTIFS('Capacity Stress'!$A$7:$A$3246,A16,'Capacity Stress'!$T$7:$T$3246,"PASS")</f>
        <v>102</v>
      </c>
      <c r="H16" s="15" t="n">
        <f aca="false">MIN('Capacity Stress'!Q979:Q1086)</f>
        <v>5</v>
      </c>
      <c r="I16" s="15" t="n">
        <f aca="false">Inputs!$B$15</f>
        <v>5</v>
      </c>
      <c r="J16" s="15" t="str">
        <f aca="false">IF(AND(D16=E16,F16=G16,H16&gt;=I16),"PASS","FAIL")</f>
        <v>PASS</v>
      </c>
      <c r="K16" s="15" t="n">
        <f aca="false">Inputs!$B$17</f>
        <v>6</v>
      </c>
      <c r="L16" s="15" t="n">
        <f aca="false">COUNTIFS('Recovery Clocks'!$B$7:$B$186,A16,'Recovery Clocks'!$J$7:$J$186,"PASS")</f>
        <v>0</v>
      </c>
      <c r="M16" s="15" t="str">
        <f aca="false">IF(AND(J16="PASS",K16=L16),"READY","OPEN")</f>
        <v>OPEN</v>
      </c>
      <c r="N16" s="4"/>
    </row>
    <row r="17" customFormat="false" ht="15" hidden="false" customHeight="false" outlineLevel="0" collapsed="false">
      <c r="A17" s="14" t="s">
        <v>1029</v>
      </c>
      <c r="B17" s="14" t="s">
        <v>1019</v>
      </c>
      <c r="C17" s="14" t="s">
        <v>186</v>
      </c>
      <c r="D17" s="15" t="n">
        <f aca="false">IF(B17="SITE LOSS",6,IF(B17="REGION LOSS",18,0))</f>
        <v>6</v>
      </c>
      <c r="E17" s="15" t="n">
        <f aca="false">COUNTIFS('Capacity Stress'!$A$7:$A$3246,A17,'Capacity Stress'!$T$7:$T$3246,"OFFLINE")</f>
        <v>6</v>
      </c>
      <c r="F17" s="15" t="n">
        <f aca="false">108-D17</f>
        <v>102</v>
      </c>
      <c r="G17" s="15" t="n">
        <f aca="false">COUNTIFS('Capacity Stress'!$A$7:$A$3246,A17,'Capacity Stress'!$T$7:$T$3246,"PASS")</f>
        <v>102</v>
      </c>
      <c r="H17" s="15" t="n">
        <f aca="false">MIN('Capacity Stress'!Q1087:Q1194)</f>
        <v>5</v>
      </c>
      <c r="I17" s="15" t="n">
        <f aca="false">Inputs!$B$15</f>
        <v>5</v>
      </c>
      <c r="J17" s="15" t="str">
        <f aca="false">IF(AND(D17=E17,F17=G17,H17&gt;=I17),"PASS","FAIL")</f>
        <v>PASS</v>
      </c>
      <c r="K17" s="15" t="n">
        <f aca="false">Inputs!$B$17</f>
        <v>6</v>
      </c>
      <c r="L17" s="15" t="n">
        <f aca="false">COUNTIFS('Recovery Clocks'!$B$7:$B$186,A17,'Recovery Clocks'!$J$7:$J$186,"PASS")</f>
        <v>0</v>
      </c>
      <c r="M17" s="15" t="str">
        <f aca="false">IF(AND(J17="PASS",K17=L17),"READY","OPEN")</f>
        <v>OPEN</v>
      </c>
      <c r="N17" s="4"/>
    </row>
    <row r="18" customFormat="false" ht="15" hidden="false" customHeight="false" outlineLevel="0" collapsed="false">
      <c r="A18" s="14" t="s">
        <v>1030</v>
      </c>
      <c r="B18" s="14" t="s">
        <v>1019</v>
      </c>
      <c r="C18" s="14" t="s">
        <v>188</v>
      </c>
      <c r="D18" s="15" t="n">
        <f aca="false">IF(B18="SITE LOSS",6,IF(B18="REGION LOSS",18,0))</f>
        <v>6</v>
      </c>
      <c r="E18" s="15" t="n">
        <f aca="false">COUNTIFS('Capacity Stress'!$A$7:$A$3246,A18,'Capacity Stress'!$T$7:$T$3246,"OFFLINE")</f>
        <v>6</v>
      </c>
      <c r="F18" s="15" t="n">
        <f aca="false">108-D18</f>
        <v>102</v>
      </c>
      <c r="G18" s="15" t="n">
        <f aca="false">COUNTIFS('Capacity Stress'!$A$7:$A$3246,A18,'Capacity Stress'!$T$7:$T$3246,"PASS")</f>
        <v>102</v>
      </c>
      <c r="H18" s="15" t="n">
        <f aca="false">MIN('Capacity Stress'!Q1195:Q1302)</f>
        <v>5</v>
      </c>
      <c r="I18" s="15" t="n">
        <f aca="false">Inputs!$B$15</f>
        <v>5</v>
      </c>
      <c r="J18" s="15" t="str">
        <f aca="false">IF(AND(D18=E18,F18=G18,H18&gt;=I18),"PASS","FAIL")</f>
        <v>PASS</v>
      </c>
      <c r="K18" s="15" t="n">
        <f aca="false">Inputs!$B$17</f>
        <v>6</v>
      </c>
      <c r="L18" s="15" t="n">
        <f aca="false">COUNTIFS('Recovery Clocks'!$B$7:$B$186,A18,'Recovery Clocks'!$J$7:$J$186,"PASS")</f>
        <v>0</v>
      </c>
      <c r="M18" s="15" t="str">
        <f aca="false">IF(AND(J18="PASS",K18=L18),"READY","OPEN")</f>
        <v>OPEN</v>
      </c>
      <c r="N18" s="4"/>
    </row>
    <row r="19" customFormat="false" ht="15" hidden="false" customHeight="false" outlineLevel="0" collapsed="false">
      <c r="A19" s="14" t="s">
        <v>1031</v>
      </c>
      <c r="B19" s="14" t="s">
        <v>1019</v>
      </c>
      <c r="C19" s="14" t="s">
        <v>190</v>
      </c>
      <c r="D19" s="15" t="n">
        <f aca="false">IF(B19="SITE LOSS",6,IF(B19="REGION LOSS",18,0))</f>
        <v>6</v>
      </c>
      <c r="E19" s="15" t="n">
        <f aca="false">COUNTIFS('Capacity Stress'!$A$7:$A$3246,A19,'Capacity Stress'!$T$7:$T$3246,"OFFLINE")</f>
        <v>6</v>
      </c>
      <c r="F19" s="15" t="n">
        <f aca="false">108-D19</f>
        <v>102</v>
      </c>
      <c r="G19" s="15" t="n">
        <f aca="false">COUNTIFS('Capacity Stress'!$A$7:$A$3246,A19,'Capacity Stress'!$T$7:$T$3246,"PASS")</f>
        <v>102</v>
      </c>
      <c r="H19" s="15" t="n">
        <f aca="false">MIN('Capacity Stress'!Q1303:Q1410)</f>
        <v>5</v>
      </c>
      <c r="I19" s="15" t="n">
        <f aca="false">Inputs!$B$15</f>
        <v>5</v>
      </c>
      <c r="J19" s="15" t="str">
        <f aca="false">IF(AND(D19=E19,F19=G19,H19&gt;=I19),"PASS","FAIL")</f>
        <v>PASS</v>
      </c>
      <c r="K19" s="15" t="n">
        <f aca="false">Inputs!$B$17</f>
        <v>6</v>
      </c>
      <c r="L19" s="15" t="n">
        <f aca="false">COUNTIFS('Recovery Clocks'!$B$7:$B$186,A19,'Recovery Clocks'!$J$7:$J$186,"PASS")</f>
        <v>0</v>
      </c>
      <c r="M19" s="15" t="str">
        <f aca="false">IF(AND(J19="PASS",K19=L19),"READY","OPEN")</f>
        <v>OPEN</v>
      </c>
      <c r="N19" s="4"/>
    </row>
    <row r="20" customFormat="false" ht="15" hidden="false" customHeight="false" outlineLevel="0" collapsed="false">
      <c r="A20" s="14" t="s">
        <v>1032</v>
      </c>
      <c r="B20" s="14" t="s">
        <v>1019</v>
      </c>
      <c r="C20" s="14" t="s">
        <v>194</v>
      </c>
      <c r="D20" s="15" t="n">
        <f aca="false">IF(B20="SITE LOSS",6,IF(B20="REGION LOSS",18,0))</f>
        <v>6</v>
      </c>
      <c r="E20" s="15" t="n">
        <f aca="false">COUNTIFS('Capacity Stress'!$A$7:$A$3246,A20,'Capacity Stress'!$T$7:$T$3246,"OFFLINE")</f>
        <v>6</v>
      </c>
      <c r="F20" s="15" t="n">
        <f aca="false">108-D20</f>
        <v>102</v>
      </c>
      <c r="G20" s="15" t="n">
        <f aca="false">COUNTIFS('Capacity Stress'!$A$7:$A$3246,A20,'Capacity Stress'!$T$7:$T$3246,"PASS")</f>
        <v>102</v>
      </c>
      <c r="H20" s="15" t="n">
        <f aca="false">MIN('Capacity Stress'!Q1411:Q1518)</f>
        <v>5</v>
      </c>
      <c r="I20" s="15" t="n">
        <f aca="false">Inputs!$B$15</f>
        <v>5</v>
      </c>
      <c r="J20" s="15" t="str">
        <f aca="false">IF(AND(D20=E20,F20=G20,H20&gt;=I20),"PASS","FAIL")</f>
        <v>PASS</v>
      </c>
      <c r="K20" s="15" t="n">
        <f aca="false">Inputs!$B$17</f>
        <v>6</v>
      </c>
      <c r="L20" s="15" t="n">
        <f aca="false">COUNTIFS('Recovery Clocks'!$B$7:$B$186,A20,'Recovery Clocks'!$J$7:$J$186,"PASS")</f>
        <v>0</v>
      </c>
      <c r="M20" s="15" t="str">
        <f aca="false">IF(AND(J20="PASS",K20=L20),"READY","OPEN")</f>
        <v>OPEN</v>
      </c>
      <c r="N20" s="4"/>
    </row>
    <row r="21" customFormat="false" ht="15" hidden="false" customHeight="false" outlineLevel="0" collapsed="false">
      <c r="A21" s="14" t="s">
        <v>1033</v>
      </c>
      <c r="B21" s="14" t="s">
        <v>1019</v>
      </c>
      <c r="C21" s="14" t="s">
        <v>196</v>
      </c>
      <c r="D21" s="15" t="n">
        <f aca="false">IF(B21="SITE LOSS",6,IF(B21="REGION LOSS",18,0))</f>
        <v>6</v>
      </c>
      <c r="E21" s="15" t="n">
        <f aca="false">COUNTIFS('Capacity Stress'!$A$7:$A$3246,A21,'Capacity Stress'!$T$7:$T$3246,"OFFLINE")</f>
        <v>6</v>
      </c>
      <c r="F21" s="15" t="n">
        <f aca="false">108-D21</f>
        <v>102</v>
      </c>
      <c r="G21" s="15" t="n">
        <f aca="false">COUNTIFS('Capacity Stress'!$A$7:$A$3246,A21,'Capacity Stress'!$T$7:$T$3246,"PASS")</f>
        <v>102</v>
      </c>
      <c r="H21" s="15" t="n">
        <f aca="false">MIN('Capacity Stress'!Q1519:Q1626)</f>
        <v>5</v>
      </c>
      <c r="I21" s="15" t="n">
        <f aca="false">Inputs!$B$15</f>
        <v>5</v>
      </c>
      <c r="J21" s="15" t="str">
        <f aca="false">IF(AND(D21=E21,F21=G21,H21&gt;=I21),"PASS","FAIL")</f>
        <v>PASS</v>
      </c>
      <c r="K21" s="15" t="n">
        <f aca="false">Inputs!$B$17</f>
        <v>6</v>
      </c>
      <c r="L21" s="15" t="n">
        <f aca="false">COUNTIFS('Recovery Clocks'!$B$7:$B$186,A21,'Recovery Clocks'!$J$7:$J$186,"PASS")</f>
        <v>0</v>
      </c>
      <c r="M21" s="15" t="str">
        <f aca="false">IF(AND(J21="PASS",K21=L21),"READY","OPEN")</f>
        <v>OPEN</v>
      </c>
      <c r="N21" s="4"/>
    </row>
    <row r="22" customFormat="false" ht="15" hidden="false" customHeight="false" outlineLevel="0" collapsed="false">
      <c r="A22" s="14" t="s">
        <v>1034</v>
      </c>
      <c r="B22" s="14" t="s">
        <v>1019</v>
      </c>
      <c r="C22" s="14" t="s">
        <v>198</v>
      </c>
      <c r="D22" s="15" t="n">
        <f aca="false">IF(B22="SITE LOSS",6,IF(B22="REGION LOSS",18,0))</f>
        <v>6</v>
      </c>
      <c r="E22" s="15" t="n">
        <f aca="false">COUNTIFS('Capacity Stress'!$A$7:$A$3246,A22,'Capacity Stress'!$T$7:$T$3246,"OFFLINE")</f>
        <v>6</v>
      </c>
      <c r="F22" s="15" t="n">
        <f aca="false">108-D22</f>
        <v>102</v>
      </c>
      <c r="G22" s="15" t="n">
        <f aca="false">COUNTIFS('Capacity Stress'!$A$7:$A$3246,A22,'Capacity Stress'!$T$7:$T$3246,"PASS")</f>
        <v>102</v>
      </c>
      <c r="H22" s="15" t="n">
        <f aca="false">MIN('Capacity Stress'!Q1627:Q1734)</f>
        <v>5</v>
      </c>
      <c r="I22" s="15" t="n">
        <f aca="false">Inputs!$B$15</f>
        <v>5</v>
      </c>
      <c r="J22" s="15" t="str">
        <f aca="false">IF(AND(D22=E22,F22=G22,H22&gt;=I22),"PASS","FAIL")</f>
        <v>PASS</v>
      </c>
      <c r="K22" s="15" t="n">
        <f aca="false">Inputs!$B$17</f>
        <v>6</v>
      </c>
      <c r="L22" s="15" t="n">
        <f aca="false">COUNTIFS('Recovery Clocks'!$B$7:$B$186,A22,'Recovery Clocks'!$J$7:$J$186,"PASS")</f>
        <v>0</v>
      </c>
      <c r="M22" s="15" t="str">
        <f aca="false">IF(AND(J22="PASS",K22=L22),"READY","OPEN")</f>
        <v>OPEN</v>
      </c>
      <c r="N22" s="4"/>
    </row>
    <row r="23" customFormat="false" ht="15" hidden="false" customHeight="false" outlineLevel="0" collapsed="false">
      <c r="A23" s="14" t="s">
        <v>1035</v>
      </c>
      <c r="B23" s="14" t="s">
        <v>1019</v>
      </c>
      <c r="C23" s="14" t="s">
        <v>202</v>
      </c>
      <c r="D23" s="15" t="n">
        <f aca="false">IF(B23="SITE LOSS",6,IF(B23="REGION LOSS",18,0))</f>
        <v>6</v>
      </c>
      <c r="E23" s="15" t="n">
        <f aca="false">COUNTIFS('Capacity Stress'!$A$7:$A$3246,A23,'Capacity Stress'!$T$7:$T$3246,"OFFLINE")</f>
        <v>6</v>
      </c>
      <c r="F23" s="15" t="n">
        <f aca="false">108-D23</f>
        <v>102</v>
      </c>
      <c r="G23" s="15" t="n">
        <f aca="false">COUNTIFS('Capacity Stress'!$A$7:$A$3246,A23,'Capacity Stress'!$T$7:$T$3246,"PASS")</f>
        <v>102</v>
      </c>
      <c r="H23" s="15" t="n">
        <f aca="false">MIN('Capacity Stress'!Q1735:Q1842)</f>
        <v>5</v>
      </c>
      <c r="I23" s="15" t="n">
        <f aca="false">Inputs!$B$15</f>
        <v>5</v>
      </c>
      <c r="J23" s="15" t="str">
        <f aca="false">IF(AND(D23=E23,F23=G23,H23&gt;=I23),"PASS","FAIL")</f>
        <v>PASS</v>
      </c>
      <c r="K23" s="15" t="n">
        <f aca="false">Inputs!$B$17</f>
        <v>6</v>
      </c>
      <c r="L23" s="15" t="n">
        <f aca="false">COUNTIFS('Recovery Clocks'!$B$7:$B$186,A23,'Recovery Clocks'!$J$7:$J$186,"PASS")</f>
        <v>0</v>
      </c>
      <c r="M23" s="15" t="str">
        <f aca="false">IF(AND(J23="PASS",K23=L23),"READY","OPEN")</f>
        <v>OPEN</v>
      </c>
      <c r="N23" s="4"/>
    </row>
    <row r="24" customFormat="false" ht="15" hidden="false" customHeight="false" outlineLevel="0" collapsed="false">
      <c r="A24" s="14" t="s">
        <v>1036</v>
      </c>
      <c r="B24" s="14" t="s">
        <v>1019</v>
      </c>
      <c r="C24" s="14" t="s">
        <v>204</v>
      </c>
      <c r="D24" s="15" t="n">
        <f aca="false">IF(B24="SITE LOSS",6,IF(B24="REGION LOSS",18,0))</f>
        <v>6</v>
      </c>
      <c r="E24" s="15" t="n">
        <f aca="false">COUNTIFS('Capacity Stress'!$A$7:$A$3246,A24,'Capacity Stress'!$T$7:$T$3246,"OFFLINE")</f>
        <v>6</v>
      </c>
      <c r="F24" s="15" t="n">
        <f aca="false">108-D24</f>
        <v>102</v>
      </c>
      <c r="G24" s="15" t="n">
        <f aca="false">COUNTIFS('Capacity Stress'!$A$7:$A$3246,A24,'Capacity Stress'!$T$7:$T$3246,"PASS")</f>
        <v>102</v>
      </c>
      <c r="H24" s="15" t="n">
        <f aca="false">MIN('Capacity Stress'!Q1843:Q1950)</f>
        <v>5</v>
      </c>
      <c r="I24" s="15" t="n">
        <f aca="false">Inputs!$B$15</f>
        <v>5</v>
      </c>
      <c r="J24" s="15" t="str">
        <f aca="false">IF(AND(D24=E24,F24=G24,H24&gt;=I24),"PASS","FAIL")</f>
        <v>PASS</v>
      </c>
      <c r="K24" s="15" t="n">
        <f aca="false">Inputs!$B$17</f>
        <v>6</v>
      </c>
      <c r="L24" s="15" t="n">
        <f aca="false">COUNTIFS('Recovery Clocks'!$B$7:$B$186,A24,'Recovery Clocks'!$J$7:$J$186,"PASS")</f>
        <v>0</v>
      </c>
      <c r="M24" s="15" t="str">
        <f aca="false">IF(AND(J24="PASS",K24=L24),"READY","OPEN")</f>
        <v>OPEN</v>
      </c>
      <c r="N24" s="4"/>
    </row>
    <row r="25" customFormat="false" ht="15" hidden="false" customHeight="false" outlineLevel="0" collapsed="false">
      <c r="A25" s="14" t="s">
        <v>1037</v>
      </c>
      <c r="B25" s="14" t="s">
        <v>1038</v>
      </c>
      <c r="C25" s="14" t="s">
        <v>152</v>
      </c>
      <c r="D25" s="15" t="n">
        <f aca="false">IF(B25="SITE LOSS",6,IF(B25="REGION LOSS",18,0))</f>
        <v>18</v>
      </c>
      <c r="E25" s="15" t="n">
        <f aca="false">COUNTIFS('Capacity Stress'!$A$7:$A$3246,A25,'Capacity Stress'!$T$7:$T$3246,"OFFLINE")</f>
        <v>18</v>
      </c>
      <c r="F25" s="15" t="n">
        <f aca="false">108-D25</f>
        <v>90</v>
      </c>
      <c r="G25" s="15" t="n">
        <f aca="false">COUNTIFS('Capacity Stress'!$A$7:$A$3246,A25,'Capacity Stress'!$T$7:$T$3246,"PASS")</f>
        <v>90</v>
      </c>
      <c r="H25" s="15" t="n">
        <f aca="false">MIN('Capacity Stress'!Q1951:Q2058)</f>
        <v>5</v>
      </c>
      <c r="I25" s="15" t="n">
        <f aca="false">Inputs!$B$15</f>
        <v>5</v>
      </c>
      <c r="J25" s="15" t="str">
        <f aca="false">IF(AND(D25=E25,F25=G25,H25&gt;=I25),"PASS","FAIL")</f>
        <v>PASS</v>
      </c>
      <c r="K25" s="15" t="n">
        <f aca="false">Inputs!$B$17</f>
        <v>6</v>
      </c>
      <c r="L25" s="15" t="n">
        <f aca="false">COUNTIFS('Recovery Clocks'!$B$7:$B$186,A25,'Recovery Clocks'!$J$7:$J$186,"PASS")</f>
        <v>0</v>
      </c>
      <c r="M25" s="15" t="str">
        <f aca="false">IF(AND(J25="PASS",K25=L25),"READY","OPEN")</f>
        <v>OPEN</v>
      </c>
      <c r="N25" s="4"/>
    </row>
    <row r="26" customFormat="false" ht="15" hidden="false" customHeight="false" outlineLevel="0" collapsed="false">
      <c r="A26" s="14" t="s">
        <v>1039</v>
      </c>
      <c r="B26" s="14" t="s">
        <v>1038</v>
      </c>
      <c r="C26" s="14" t="s">
        <v>166</v>
      </c>
      <c r="D26" s="15" t="n">
        <f aca="false">IF(B26="SITE LOSS",6,IF(B26="REGION LOSS",18,0))</f>
        <v>18</v>
      </c>
      <c r="E26" s="15" t="n">
        <f aca="false">COUNTIFS('Capacity Stress'!$A$7:$A$3246,A26,'Capacity Stress'!$T$7:$T$3246,"OFFLINE")</f>
        <v>18</v>
      </c>
      <c r="F26" s="15" t="n">
        <f aca="false">108-D26</f>
        <v>90</v>
      </c>
      <c r="G26" s="15" t="n">
        <f aca="false">COUNTIFS('Capacity Stress'!$A$7:$A$3246,A26,'Capacity Stress'!$T$7:$T$3246,"PASS")</f>
        <v>90</v>
      </c>
      <c r="H26" s="15" t="n">
        <f aca="false">MIN('Capacity Stress'!Q2059:Q2166)</f>
        <v>5</v>
      </c>
      <c r="I26" s="15" t="n">
        <f aca="false">Inputs!$B$15</f>
        <v>5</v>
      </c>
      <c r="J26" s="15" t="str">
        <f aca="false">IF(AND(D26=E26,F26=G26,H26&gt;=I26),"PASS","FAIL")</f>
        <v>PASS</v>
      </c>
      <c r="K26" s="15" t="n">
        <f aca="false">Inputs!$B$17</f>
        <v>6</v>
      </c>
      <c r="L26" s="15" t="n">
        <f aca="false">COUNTIFS('Recovery Clocks'!$B$7:$B$186,A26,'Recovery Clocks'!$J$7:$J$186,"PASS")</f>
        <v>0</v>
      </c>
      <c r="M26" s="15" t="str">
        <f aca="false">IF(AND(J26="PASS",K26=L26),"READY","OPEN")</f>
        <v>OPEN</v>
      </c>
      <c r="N26" s="4"/>
    </row>
    <row r="27" customFormat="false" ht="15" hidden="false" customHeight="false" outlineLevel="0" collapsed="false">
      <c r="A27" s="14" t="s">
        <v>1040</v>
      </c>
      <c r="B27" s="14" t="s">
        <v>1038</v>
      </c>
      <c r="C27" s="14" t="s">
        <v>157</v>
      </c>
      <c r="D27" s="15" t="n">
        <f aca="false">IF(B27="SITE LOSS",6,IF(B27="REGION LOSS",18,0))</f>
        <v>18</v>
      </c>
      <c r="E27" s="15" t="n">
        <f aca="false">COUNTIFS('Capacity Stress'!$A$7:$A$3246,A27,'Capacity Stress'!$T$7:$T$3246,"OFFLINE")</f>
        <v>18</v>
      </c>
      <c r="F27" s="15" t="n">
        <f aca="false">108-D27</f>
        <v>90</v>
      </c>
      <c r="G27" s="15" t="n">
        <f aca="false">COUNTIFS('Capacity Stress'!$A$7:$A$3246,A27,'Capacity Stress'!$T$7:$T$3246,"PASS")</f>
        <v>90</v>
      </c>
      <c r="H27" s="15" t="n">
        <f aca="false">MIN('Capacity Stress'!Q2167:Q2274)</f>
        <v>5</v>
      </c>
      <c r="I27" s="15" t="n">
        <f aca="false">Inputs!$B$15</f>
        <v>5</v>
      </c>
      <c r="J27" s="15" t="str">
        <f aca="false">IF(AND(D27=E27,F27=G27,H27&gt;=I27),"PASS","FAIL")</f>
        <v>PASS</v>
      </c>
      <c r="K27" s="15" t="n">
        <f aca="false">Inputs!$B$17</f>
        <v>6</v>
      </c>
      <c r="L27" s="15" t="n">
        <f aca="false">COUNTIFS('Recovery Clocks'!$B$7:$B$186,A27,'Recovery Clocks'!$J$7:$J$186,"PASS")</f>
        <v>0</v>
      </c>
      <c r="M27" s="15" t="str">
        <f aca="false">IF(AND(J27="PASS",K27=L27),"READY","OPEN")</f>
        <v>OPEN</v>
      </c>
      <c r="N27" s="4"/>
    </row>
    <row r="28" customFormat="false" ht="15" hidden="false" customHeight="false" outlineLevel="0" collapsed="false">
      <c r="A28" s="14" t="s">
        <v>1041</v>
      </c>
      <c r="B28" s="14" t="s">
        <v>1038</v>
      </c>
      <c r="C28" s="14" t="s">
        <v>169</v>
      </c>
      <c r="D28" s="15" t="n">
        <f aca="false">IF(B28="SITE LOSS",6,IF(B28="REGION LOSS",18,0))</f>
        <v>18</v>
      </c>
      <c r="E28" s="15" t="n">
        <f aca="false">COUNTIFS('Capacity Stress'!$A$7:$A$3246,A28,'Capacity Stress'!$T$7:$T$3246,"OFFLINE")</f>
        <v>18</v>
      </c>
      <c r="F28" s="15" t="n">
        <f aca="false">108-D28</f>
        <v>90</v>
      </c>
      <c r="G28" s="15" t="n">
        <f aca="false">COUNTIFS('Capacity Stress'!$A$7:$A$3246,A28,'Capacity Stress'!$T$7:$T$3246,"PASS")</f>
        <v>90</v>
      </c>
      <c r="H28" s="15" t="n">
        <f aca="false">MIN('Capacity Stress'!Q2275:Q2382)</f>
        <v>5</v>
      </c>
      <c r="I28" s="15" t="n">
        <f aca="false">Inputs!$B$15</f>
        <v>5</v>
      </c>
      <c r="J28" s="15" t="str">
        <f aca="false">IF(AND(D28=E28,F28=G28,H28&gt;=I28),"PASS","FAIL")</f>
        <v>PASS</v>
      </c>
      <c r="K28" s="15" t="n">
        <f aca="false">Inputs!$B$17</f>
        <v>6</v>
      </c>
      <c r="L28" s="15" t="n">
        <f aca="false">COUNTIFS('Recovery Clocks'!$B$7:$B$186,A28,'Recovery Clocks'!$J$7:$J$186,"PASS")</f>
        <v>0</v>
      </c>
      <c r="M28" s="15" t="str">
        <f aca="false">IF(AND(J28="PASS",K28=L28),"READY","OPEN")</f>
        <v>OPEN</v>
      </c>
      <c r="N28" s="4"/>
    </row>
    <row r="29" customFormat="false" ht="15" hidden="false" customHeight="false" outlineLevel="0" collapsed="false">
      <c r="A29" s="14" t="s">
        <v>1042</v>
      </c>
      <c r="B29" s="14" t="s">
        <v>1038</v>
      </c>
      <c r="C29" s="14" t="s">
        <v>161</v>
      </c>
      <c r="D29" s="15" t="n">
        <f aca="false">IF(B29="SITE LOSS",6,IF(B29="REGION LOSS",18,0))</f>
        <v>18</v>
      </c>
      <c r="E29" s="15" t="n">
        <f aca="false">COUNTIFS('Capacity Stress'!$A$7:$A$3246,A29,'Capacity Stress'!$T$7:$T$3246,"OFFLINE")</f>
        <v>18</v>
      </c>
      <c r="F29" s="15" t="n">
        <f aca="false">108-D29</f>
        <v>90</v>
      </c>
      <c r="G29" s="15" t="n">
        <f aca="false">COUNTIFS('Capacity Stress'!$A$7:$A$3246,A29,'Capacity Stress'!$T$7:$T$3246,"PASS")</f>
        <v>90</v>
      </c>
      <c r="H29" s="15" t="n">
        <f aca="false">MIN('Capacity Stress'!Q2383:Q2490)</f>
        <v>5</v>
      </c>
      <c r="I29" s="15" t="n">
        <f aca="false">Inputs!$B$15</f>
        <v>5</v>
      </c>
      <c r="J29" s="15" t="str">
        <f aca="false">IF(AND(D29=E29,F29=G29,H29&gt;=I29),"PASS","FAIL")</f>
        <v>PASS</v>
      </c>
      <c r="K29" s="15" t="n">
        <f aca="false">Inputs!$B$17</f>
        <v>6</v>
      </c>
      <c r="L29" s="15" t="n">
        <f aca="false">COUNTIFS('Recovery Clocks'!$B$7:$B$186,A29,'Recovery Clocks'!$J$7:$J$186,"PASS")</f>
        <v>0</v>
      </c>
      <c r="M29" s="15" t="str">
        <f aca="false">IF(AND(J29="PASS",K29=L29),"READY","OPEN")</f>
        <v>OPEN</v>
      </c>
      <c r="N29" s="4"/>
    </row>
    <row r="30" customFormat="false" ht="15" hidden="false" customHeight="false" outlineLevel="0" collapsed="false">
      <c r="A30" s="14" t="s">
        <v>1043</v>
      </c>
      <c r="B30" s="14" t="s">
        <v>1038</v>
      </c>
      <c r="C30" s="14" t="s">
        <v>172</v>
      </c>
      <c r="D30" s="15" t="n">
        <f aca="false">IF(B30="SITE LOSS",6,IF(B30="REGION LOSS",18,0))</f>
        <v>18</v>
      </c>
      <c r="E30" s="15" t="n">
        <f aca="false">COUNTIFS('Capacity Stress'!$A$7:$A$3246,A30,'Capacity Stress'!$T$7:$T$3246,"OFFLINE")</f>
        <v>18</v>
      </c>
      <c r="F30" s="15" t="n">
        <f aca="false">108-D30</f>
        <v>90</v>
      </c>
      <c r="G30" s="15" t="n">
        <f aca="false">COUNTIFS('Capacity Stress'!$A$7:$A$3246,A30,'Capacity Stress'!$T$7:$T$3246,"PASS")</f>
        <v>90</v>
      </c>
      <c r="H30" s="15" t="n">
        <f aca="false">MIN('Capacity Stress'!Q2491:Q2598)</f>
        <v>5</v>
      </c>
      <c r="I30" s="15" t="n">
        <f aca="false">Inputs!$B$15</f>
        <v>5</v>
      </c>
      <c r="J30" s="15" t="str">
        <f aca="false">IF(AND(D30=E30,F30=G30,H30&gt;=I30),"PASS","FAIL")</f>
        <v>PASS</v>
      </c>
      <c r="K30" s="15" t="n">
        <f aca="false">Inputs!$B$17</f>
        <v>6</v>
      </c>
      <c r="L30" s="15" t="n">
        <f aca="false">COUNTIFS('Recovery Clocks'!$B$7:$B$186,A30,'Recovery Clocks'!$J$7:$J$186,"PASS")</f>
        <v>0</v>
      </c>
      <c r="M30" s="15" t="str">
        <f aca="false">IF(AND(J30="PASS",K30=L30),"READY","OPEN")</f>
        <v>OPEN</v>
      </c>
      <c r="N30" s="4"/>
    </row>
    <row r="31" customFormat="false" ht="15" hidden="false" customHeight="false" outlineLevel="0" collapsed="false">
      <c r="A31" s="14" t="s">
        <v>1044</v>
      </c>
      <c r="B31" s="14" t="s">
        <v>1045</v>
      </c>
      <c r="C31" s="14" t="s">
        <v>1046</v>
      </c>
      <c r="D31" s="15" t="n">
        <f aca="false">IF(B31="SITE LOSS",6,IF(B31="REGION LOSS",18,0))</f>
        <v>0</v>
      </c>
      <c r="E31" s="15" t="n">
        <f aca="false">COUNTIFS('Capacity Stress'!$A$7:$A$3246,A31,'Capacity Stress'!$T$7:$T$3246,"OFFLINE")</f>
        <v>0</v>
      </c>
      <c r="F31" s="15" t="n">
        <f aca="false">108-D31</f>
        <v>108</v>
      </c>
      <c r="G31" s="15" t="n">
        <f aca="false">COUNTIFS('Capacity Stress'!$A$7:$A$3246,A31,'Capacity Stress'!$T$7:$T$3246,"PASS")</f>
        <v>108</v>
      </c>
      <c r="H31" s="15" t="n">
        <f aca="false">MIN('Capacity Stress'!Q2599:Q2706)</f>
        <v>15</v>
      </c>
      <c r="I31" s="15" t="n">
        <f aca="false">Inputs!$B$15</f>
        <v>5</v>
      </c>
      <c r="J31" s="15" t="str">
        <f aca="false">IF(AND(D31=E31,F31=G31,H31&gt;=I31),"PASS","FAIL")</f>
        <v>PASS</v>
      </c>
      <c r="K31" s="15" t="n">
        <f aca="false">Inputs!$B$17</f>
        <v>6</v>
      </c>
      <c r="L31" s="15" t="n">
        <f aca="false">COUNTIFS('Recovery Clocks'!$B$7:$B$186,A31,'Recovery Clocks'!$J$7:$J$186,"PASS")</f>
        <v>0</v>
      </c>
      <c r="M31" s="15" t="str">
        <f aca="false">IF(AND(J31="PASS",K31=L31),"READY","OPEN")</f>
        <v>OPEN</v>
      </c>
      <c r="N31" s="4"/>
    </row>
    <row r="32" customFormat="false" ht="15" hidden="false" customHeight="false" outlineLevel="0" collapsed="false">
      <c r="A32" s="14" t="s">
        <v>1047</v>
      </c>
      <c r="B32" s="14" t="s">
        <v>1048</v>
      </c>
      <c r="C32" s="14" t="s">
        <v>153</v>
      </c>
      <c r="D32" s="15" t="n">
        <f aca="false">IF(B32="SITE LOSS",6,IF(B32="REGION LOSS",18,0))</f>
        <v>0</v>
      </c>
      <c r="E32" s="15" t="n">
        <f aca="false">COUNTIFS('Capacity Stress'!$A$7:$A$3246,A32,'Capacity Stress'!$T$7:$T$3246,"OFFLINE")</f>
        <v>0</v>
      </c>
      <c r="F32" s="15" t="n">
        <f aca="false">108-D32</f>
        <v>108</v>
      </c>
      <c r="G32" s="15" t="n">
        <f aca="false">COUNTIFS('Capacity Stress'!$A$7:$A$3246,A32,'Capacity Stress'!$T$7:$T$3246,"PASS")</f>
        <v>108</v>
      </c>
      <c r="H32" s="15" t="n">
        <f aca="false">MIN('Capacity Stress'!Q2707:Q2814)</f>
        <v>5</v>
      </c>
      <c r="I32" s="15" t="n">
        <f aca="false">Inputs!$B$15</f>
        <v>5</v>
      </c>
      <c r="J32" s="15" t="str">
        <f aca="false">IF(AND(D32=E32,F32=G32,H32&gt;=I32),"PASS","FAIL")</f>
        <v>PASS</v>
      </c>
      <c r="K32" s="15" t="n">
        <f aca="false">Inputs!$B$17</f>
        <v>6</v>
      </c>
      <c r="L32" s="15" t="n">
        <f aca="false">COUNTIFS('Recovery Clocks'!$B$7:$B$186,A32,'Recovery Clocks'!$J$7:$J$186,"PASS")</f>
        <v>0</v>
      </c>
      <c r="M32" s="15" t="str">
        <f aca="false">IF(AND(J32="PASS",K32=L32),"READY","OPEN")</f>
        <v>OPEN</v>
      </c>
      <c r="N32" s="4"/>
    </row>
    <row r="33" customFormat="false" ht="15" hidden="false" customHeight="false" outlineLevel="0" collapsed="false">
      <c r="A33" s="14" t="s">
        <v>1049</v>
      </c>
      <c r="B33" s="14" t="s">
        <v>1048</v>
      </c>
      <c r="C33" s="14" t="s">
        <v>158</v>
      </c>
      <c r="D33" s="15" t="n">
        <f aca="false">IF(B33="SITE LOSS",6,IF(B33="REGION LOSS",18,0))</f>
        <v>0</v>
      </c>
      <c r="E33" s="15" t="n">
        <f aca="false">COUNTIFS('Capacity Stress'!$A$7:$A$3246,A33,'Capacity Stress'!$T$7:$T$3246,"OFFLINE")</f>
        <v>0</v>
      </c>
      <c r="F33" s="15" t="n">
        <f aca="false">108-D33</f>
        <v>108</v>
      </c>
      <c r="G33" s="15" t="n">
        <f aca="false">COUNTIFS('Capacity Stress'!$A$7:$A$3246,A33,'Capacity Stress'!$T$7:$T$3246,"PASS")</f>
        <v>108</v>
      </c>
      <c r="H33" s="15" t="n">
        <f aca="false">MIN('Capacity Stress'!Q2815:Q2922)</f>
        <v>5</v>
      </c>
      <c r="I33" s="15" t="n">
        <f aca="false">Inputs!$B$15</f>
        <v>5</v>
      </c>
      <c r="J33" s="15" t="str">
        <f aca="false">IF(AND(D33=E33,F33=G33,H33&gt;=I33),"PASS","FAIL")</f>
        <v>PASS</v>
      </c>
      <c r="K33" s="15" t="n">
        <f aca="false">Inputs!$B$17</f>
        <v>6</v>
      </c>
      <c r="L33" s="15" t="n">
        <f aca="false">COUNTIFS('Recovery Clocks'!$B$7:$B$186,A33,'Recovery Clocks'!$J$7:$J$186,"PASS")</f>
        <v>0</v>
      </c>
      <c r="M33" s="15" t="str">
        <f aca="false">IF(AND(J33="PASS",K33=L33),"READY","OPEN")</f>
        <v>OPEN</v>
      </c>
      <c r="N33" s="4"/>
    </row>
    <row r="34" customFormat="false" ht="15" hidden="false" customHeight="false" outlineLevel="0" collapsed="false">
      <c r="A34" s="14" t="s">
        <v>1050</v>
      </c>
      <c r="B34" s="14" t="s">
        <v>1048</v>
      </c>
      <c r="C34" s="14" t="s">
        <v>154</v>
      </c>
      <c r="D34" s="15" t="n">
        <f aca="false">IF(B34="SITE LOSS",6,IF(B34="REGION LOSS",18,0))</f>
        <v>0</v>
      </c>
      <c r="E34" s="15" t="n">
        <f aca="false">COUNTIFS('Capacity Stress'!$A$7:$A$3246,A34,'Capacity Stress'!$T$7:$T$3246,"OFFLINE")</f>
        <v>0</v>
      </c>
      <c r="F34" s="15" t="n">
        <f aca="false">108-D34</f>
        <v>108</v>
      </c>
      <c r="G34" s="15" t="n">
        <f aca="false">COUNTIFS('Capacity Stress'!$A$7:$A$3246,A34,'Capacity Stress'!$T$7:$T$3246,"PASS")</f>
        <v>108</v>
      </c>
      <c r="H34" s="15" t="n">
        <f aca="false">MIN('Capacity Stress'!Q2923:Q3030)</f>
        <v>5</v>
      </c>
      <c r="I34" s="15" t="n">
        <f aca="false">Inputs!$B$15</f>
        <v>5</v>
      </c>
      <c r="J34" s="15" t="str">
        <f aca="false">IF(AND(D34=E34,F34=G34,H34&gt;=I34),"PASS","FAIL")</f>
        <v>PASS</v>
      </c>
      <c r="K34" s="15" t="n">
        <f aca="false">Inputs!$B$17</f>
        <v>6</v>
      </c>
      <c r="L34" s="15" t="n">
        <f aca="false">COUNTIFS('Recovery Clocks'!$B$7:$B$186,A34,'Recovery Clocks'!$J$7:$J$186,"PASS")</f>
        <v>0</v>
      </c>
      <c r="M34" s="15" t="str">
        <f aca="false">IF(AND(J34="PASS",K34=L34),"READY","OPEN")</f>
        <v>OPEN</v>
      </c>
      <c r="N34" s="4"/>
    </row>
    <row r="35" customFormat="false" ht="15" hidden="false" customHeight="false" outlineLevel="0" collapsed="false">
      <c r="A35" s="14" t="s">
        <v>1051</v>
      </c>
      <c r="B35" s="14" t="s">
        <v>1052</v>
      </c>
      <c r="C35" s="14" t="s">
        <v>1053</v>
      </c>
      <c r="D35" s="15" t="n">
        <f aca="false">IF(B35="SITE LOSS",6,IF(B35="REGION LOSS",18,0))</f>
        <v>0</v>
      </c>
      <c r="E35" s="15" t="n">
        <f aca="false">COUNTIFS('Capacity Stress'!$A$7:$A$3246,A35,'Capacity Stress'!$T$7:$T$3246,"OFFLINE")</f>
        <v>0</v>
      </c>
      <c r="F35" s="15" t="n">
        <f aca="false">108-D35</f>
        <v>108</v>
      </c>
      <c r="G35" s="15" t="n">
        <f aca="false">COUNTIFS('Capacity Stress'!$A$7:$A$3246,A35,'Capacity Stress'!$T$7:$T$3246,"PASS")</f>
        <v>108</v>
      </c>
      <c r="H35" s="15" t="n">
        <f aca="false">MIN('Capacity Stress'!Q3031:Q3138)</f>
        <v>15</v>
      </c>
      <c r="I35" s="15" t="n">
        <f aca="false">Inputs!$B$15</f>
        <v>5</v>
      </c>
      <c r="J35" s="15" t="str">
        <f aca="false">IF(AND(D35=E35,F35=G35,H35&gt;=I35),"PASS","FAIL")</f>
        <v>PASS</v>
      </c>
      <c r="K35" s="15" t="n">
        <f aca="false">Inputs!$B$17</f>
        <v>6</v>
      </c>
      <c r="L35" s="15" t="n">
        <f aca="false">COUNTIFS('Recovery Clocks'!$B$7:$B$186,A35,'Recovery Clocks'!$J$7:$J$186,"PASS")</f>
        <v>0</v>
      </c>
      <c r="M35" s="15" t="str">
        <f aca="false">IF(AND(J35="PASS",K35=L35),"READY","OPEN")</f>
        <v>OPEN</v>
      </c>
      <c r="N35" s="4"/>
    </row>
    <row r="36" customFormat="false" ht="15" hidden="false" customHeight="false" outlineLevel="0" collapsed="false">
      <c r="A36" s="14" t="s">
        <v>1054</v>
      </c>
      <c r="B36" s="14" t="s">
        <v>1055</v>
      </c>
      <c r="C36" s="14" t="s">
        <v>1056</v>
      </c>
      <c r="D36" s="15" t="n">
        <f aca="false">IF(B36="SITE LOSS",6,IF(B36="REGION LOSS",18,0))</f>
        <v>0</v>
      </c>
      <c r="E36" s="15" t="n">
        <f aca="false">COUNTIFS('Capacity Stress'!$A$7:$A$3246,A36,'Capacity Stress'!$T$7:$T$3246,"OFFLINE")</f>
        <v>0</v>
      </c>
      <c r="F36" s="15" t="n">
        <f aca="false">108-D36</f>
        <v>108</v>
      </c>
      <c r="G36" s="15" t="n">
        <f aca="false">COUNTIFS('Capacity Stress'!$A$7:$A$3246,A36,'Capacity Stress'!$T$7:$T$3246,"PASS")</f>
        <v>108</v>
      </c>
      <c r="H36" s="15" t="n">
        <f aca="false">MIN('Capacity Stress'!Q3139:Q3246)</f>
        <v>15</v>
      </c>
      <c r="I36" s="15" t="n">
        <f aca="false">Inputs!$B$15</f>
        <v>5</v>
      </c>
      <c r="J36" s="15" t="str">
        <f aca="false">IF(AND(D36=E36,F36=G36,H36&gt;=I36),"PASS","FAIL")</f>
        <v>PASS</v>
      </c>
      <c r="K36" s="15" t="n">
        <f aca="false">Inputs!$B$17</f>
        <v>6</v>
      </c>
      <c r="L36" s="15" t="n">
        <f aca="false">COUNTIFS('Recovery Clocks'!$B$7:$B$186,A36,'Recovery Clocks'!$J$7:$J$186,"PASS")</f>
        <v>0</v>
      </c>
      <c r="M36" s="15" t="str">
        <f aca="false">IF(AND(J36="PASS",K36=L36),"READY","OPEN")</f>
        <v>OPEN</v>
      </c>
      <c r="N36" s="4"/>
    </row>
  </sheetData>
  <mergeCells count="2">
    <mergeCell ref="A2:N2"/>
    <mergeCell ref="A4:N4"/>
  </mergeCells>
  <conditionalFormatting sqref="J7:J36">
    <cfRule type="containsText" priority="2" operator="containsText" aboveAverage="0" equalAverage="0" bottom="0" percent="0" rank="0" text="FAIL" dxfId="1">
      <formula>NOT(ISERROR(SEARCH("FAIL",J7)))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2:N1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19"/>
    <col collapsed="false" customWidth="true" hidden="false" outlineLevel="0" max="8" min="8" style="0" width="21"/>
    <col collapsed="false" customWidth="true" hidden="false" outlineLevel="0" max="9" min="9" style="0" width="14"/>
    <col collapsed="false" customWidth="true" hidden="false" outlineLevel="0" max="11" min="10" style="0" width="12"/>
  </cols>
  <sheetData>
    <row r="2" customFormat="false" ht="18.55" hidden="false" customHeight="false" outlineLevel="0" collapsed="false">
      <c r="A2" s="1" t="s">
        <v>1068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1069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6" t="s">
        <v>1070</v>
      </c>
      <c r="B6" s="7" t="s">
        <v>1004</v>
      </c>
      <c r="C6" s="7" t="s">
        <v>1005</v>
      </c>
      <c r="D6" s="7" t="s">
        <v>1071</v>
      </c>
      <c r="E6" s="7" t="s">
        <v>1072</v>
      </c>
      <c r="F6" s="7" t="s">
        <v>1073</v>
      </c>
      <c r="G6" s="7" t="s">
        <v>1074</v>
      </c>
      <c r="H6" s="7" t="s">
        <v>1075</v>
      </c>
      <c r="I6" s="7" t="s">
        <v>1076</v>
      </c>
      <c r="J6" s="7" t="s">
        <v>1077</v>
      </c>
      <c r="K6" s="8" t="s">
        <v>1078</v>
      </c>
      <c r="L6" s="4"/>
      <c r="M6" s="4"/>
      <c r="N6" s="4"/>
    </row>
    <row r="7" customFormat="false" ht="15" hidden="false" customHeight="false" outlineLevel="0" collapsed="false">
      <c r="A7" s="14" t="s">
        <v>1079</v>
      </c>
      <c r="B7" s="14" t="s">
        <v>1018</v>
      </c>
      <c r="C7" s="14" t="s">
        <v>1019</v>
      </c>
      <c r="D7" s="14" t="s">
        <v>1080</v>
      </c>
      <c r="E7" s="14" t="n">
        <v>5</v>
      </c>
      <c r="F7" s="16"/>
      <c r="G7" s="16"/>
      <c r="H7" s="16"/>
      <c r="I7" s="16" t="n">
        <v>0</v>
      </c>
      <c r="J7" s="15" t="str">
        <f aca="false">IF(AND(ISNUMBER(F7),G7&lt;&gt;"",H7&lt;&gt;"",I7=1),IF(F7&lt;=E7,"PASS","FAIL"),"OPEN")</f>
        <v>OPEN</v>
      </c>
      <c r="K7" s="15" t="n">
        <f aca="false">0</f>
        <v>0</v>
      </c>
      <c r="L7" s="4"/>
      <c r="M7" s="4"/>
      <c r="N7" s="4"/>
    </row>
    <row r="8" customFormat="false" ht="15" hidden="false" customHeight="false" outlineLevel="0" collapsed="false">
      <c r="A8" s="14" t="s">
        <v>1081</v>
      </c>
      <c r="B8" s="14" t="s">
        <v>1018</v>
      </c>
      <c r="C8" s="14" t="s">
        <v>1019</v>
      </c>
      <c r="D8" s="14" t="s">
        <v>1082</v>
      </c>
      <c r="E8" s="14" t="n">
        <v>15</v>
      </c>
      <c r="F8" s="16"/>
      <c r="G8" s="16"/>
      <c r="H8" s="16"/>
      <c r="I8" s="16" t="n">
        <v>0</v>
      </c>
      <c r="J8" s="15" t="str">
        <f aca="false">IF(AND(ISNUMBER(F8),G8&lt;&gt;"",H8&lt;&gt;"",I8=1),IF(F8&lt;=E8,"PASS","FAIL"),"OPEN")</f>
        <v>OPEN</v>
      </c>
      <c r="K8" s="15" t="n">
        <f aca="false">0</f>
        <v>0</v>
      </c>
      <c r="L8" s="4"/>
      <c r="M8" s="4"/>
      <c r="N8" s="4"/>
    </row>
    <row r="9" customFormat="false" ht="15" hidden="false" customHeight="false" outlineLevel="0" collapsed="false">
      <c r="A9" s="14" t="s">
        <v>1083</v>
      </c>
      <c r="B9" s="14" t="s">
        <v>1018</v>
      </c>
      <c r="C9" s="14" t="s">
        <v>1019</v>
      </c>
      <c r="D9" s="14" t="s">
        <v>1084</v>
      </c>
      <c r="E9" s="14" t="n">
        <v>60</v>
      </c>
      <c r="F9" s="16"/>
      <c r="G9" s="16"/>
      <c r="H9" s="16"/>
      <c r="I9" s="16" t="n">
        <v>0</v>
      </c>
      <c r="J9" s="15" t="str">
        <f aca="false">IF(AND(ISNUMBER(F9),G9&lt;&gt;"",H9&lt;&gt;"",I9=1),IF(F9&lt;=E9,"PASS","FAIL"),"OPEN")</f>
        <v>OPEN</v>
      </c>
      <c r="K9" s="15" t="n">
        <f aca="false">0</f>
        <v>0</v>
      </c>
      <c r="L9" s="4"/>
      <c r="M9" s="4"/>
      <c r="N9" s="4"/>
    </row>
    <row r="10" customFormat="false" ht="15" hidden="false" customHeight="false" outlineLevel="0" collapsed="false">
      <c r="A10" s="14" t="s">
        <v>1085</v>
      </c>
      <c r="B10" s="14" t="s">
        <v>1018</v>
      </c>
      <c r="C10" s="14" t="s">
        <v>1019</v>
      </c>
      <c r="D10" s="14" t="s">
        <v>1086</v>
      </c>
      <c r="E10" s="14" t="n">
        <v>120</v>
      </c>
      <c r="F10" s="16"/>
      <c r="G10" s="16"/>
      <c r="H10" s="16"/>
      <c r="I10" s="16" t="n">
        <v>0</v>
      </c>
      <c r="J10" s="15" t="str">
        <f aca="false">IF(AND(ISNUMBER(F10),G10&lt;&gt;"",H10&lt;&gt;"",I10=1),IF(F10&lt;=E10,"PASS","FAIL"),"OPEN")</f>
        <v>OPEN</v>
      </c>
      <c r="K10" s="15" t="n">
        <f aca="false">0</f>
        <v>0</v>
      </c>
      <c r="L10" s="4"/>
      <c r="M10" s="4"/>
      <c r="N10" s="4"/>
    </row>
    <row r="11" customFormat="false" ht="15" hidden="false" customHeight="false" outlineLevel="0" collapsed="false">
      <c r="A11" s="14" t="s">
        <v>1087</v>
      </c>
      <c r="B11" s="14" t="s">
        <v>1018</v>
      </c>
      <c r="C11" s="14" t="s">
        <v>1019</v>
      </c>
      <c r="D11" s="14" t="s">
        <v>1088</v>
      </c>
      <c r="E11" s="14" t="n">
        <v>240</v>
      </c>
      <c r="F11" s="16"/>
      <c r="G11" s="16"/>
      <c r="H11" s="16"/>
      <c r="I11" s="16" t="n">
        <v>0</v>
      </c>
      <c r="J11" s="15" t="str">
        <f aca="false">IF(AND(ISNUMBER(F11),G11&lt;&gt;"",H11&lt;&gt;"",I11=1),IF(F11&lt;=E11,"PASS","FAIL"),"OPEN")</f>
        <v>OPEN</v>
      </c>
      <c r="K11" s="15" t="n">
        <f aca="false">0</f>
        <v>0</v>
      </c>
      <c r="L11" s="4"/>
      <c r="M11" s="4"/>
      <c r="N11" s="4"/>
    </row>
    <row r="12" customFormat="false" ht="15" hidden="false" customHeight="false" outlineLevel="0" collapsed="false">
      <c r="A12" s="14" t="s">
        <v>1089</v>
      </c>
      <c r="B12" s="14" t="s">
        <v>1018</v>
      </c>
      <c r="C12" s="14" t="s">
        <v>1019</v>
      </c>
      <c r="D12" s="14" t="s">
        <v>1090</v>
      </c>
      <c r="E12" s="14" t="n">
        <v>240</v>
      </c>
      <c r="F12" s="16"/>
      <c r="G12" s="16"/>
      <c r="H12" s="16"/>
      <c r="I12" s="16" t="n">
        <v>0</v>
      </c>
      <c r="J12" s="15" t="str">
        <f aca="false">IF(AND(ISNUMBER(F12),G12&lt;&gt;"",H12&lt;&gt;"",I12=1),IF(F12&lt;=E12,"PASS","FAIL"),"OPEN")</f>
        <v>OPEN</v>
      </c>
      <c r="K12" s="15" t="n">
        <f aca="false">0</f>
        <v>0</v>
      </c>
      <c r="L12" s="4"/>
      <c r="M12" s="4"/>
      <c r="N12" s="4"/>
    </row>
    <row r="13" customFormat="false" ht="15" hidden="false" customHeight="false" outlineLevel="0" collapsed="false">
      <c r="A13" s="14" t="s">
        <v>1091</v>
      </c>
      <c r="B13" s="14" t="s">
        <v>1020</v>
      </c>
      <c r="C13" s="14" t="s">
        <v>1019</v>
      </c>
      <c r="D13" s="14" t="s">
        <v>1080</v>
      </c>
      <c r="E13" s="14" t="n">
        <v>5</v>
      </c>
      <c r="F13" s="16"/>
      <c r="G13" s="16"/>
      <c r="H13" s="16"/>
      <c r="I13" s="16" t="n">
        <v>0</v>
      </c>
      <c r="J13" s="15" t="str">
        <f aca="false">IF(AND(ISNUMBER(F13),G13&lt;&gt;"",H13&lt;&gt;"",I13=1),IF(F13&lt;=E13,"PASS","FAIL"),"OPEN")</f>
        <v>OPEN</v>
      </c>
      <c r="K13" s="15" t="n">
        <f aca="false">0</f>
        <v>0</v>
      </c>
      <c r="L13" s="4"/>
      <c r="M13" s="4"/>
      <c r="N13" s="4"/>
    </row>
    <row r="14" customFormat="false" ht="15" hidden="false" customHeight="false" outlineLevel="0" collapsed="false">
      <c r="A14" s="14" t="s">
        <v>1092</v>
      </c>
      <c r="B14" s="14" t="s">
        <v>1020</v>
      </c>
      <c r="C14" s="14" t="s">
        <v>1019</v>
      </c>
      <c r="D14" s="14" t="s">
        <v>1082</v>
      </c>
      <c r="E14" s="14" t="n">
        <v>15</v>
      </c>
      <c r="F14" s="16"/>
      <c r="G14" s="16"/>
      <c r="H14" s="16"/>
      <c r="I14" s="16" t="n">
        <v>0</v>
      </c>
      <c r="J14" s="15" t="str">
        <f aca="false">IF(AND(ISNUMBER(F14),G14&lt;&gt;"",H14&lt;&gt;"",I14=1),IF(F14&lt;=E14,"PASS","FAIL"),"OPEN")</f>
        <v>OPEN</v>
      </c>
      <c r="K14" s="15" t="n">
        <f aca="false">0</f>
        <v>0</v>
      </c>
      <c r="L14" s="4"/>
      <c r="M14" s="4"/>
      <c r="N14" s="4"/>
    </row>
    <row r="15" customFormat="false" ht="15" hidden="false" customHeight="false" outlineLevel="0" collapsed="false">
      <c r="A15" s="14" t="s">
        <v>1093</v>
      </c>
      <c r="B15" s="14" t="s">
        <v>1020</v>
      </c>
      <c r="C15" s="14" t="s">
        <v>1019</v>
      </c>
      <c r="D15" s="14" t="s">
        <v>1084</v>
      </c>
      <c r="E15" s="14" t="n">
        <v>60</v>
      </c>
      <c r="F15" s="16"/>
      <c r="G15" s="16"/>
      <c r="H15" s="16"/>
      <c r="I15" s="16" t="n">
        <v>0</v>
      </c>
      <c r="J15" s="15" t="str">
        <f aca="false">IF(AND(ISNUMBER(F15),G15&lt;&gt;"",H15&lt;&gt;"",I15=1),IF(F15&lt;=E15,"PASS","FAIL"),"OPEN")</f>
        <v>OPEN</v>
      </c>
      <c r="K15" s="15" t="n">
        <f aca="false">0</f>
        <v>0</v>
      </c>
      <c r="L15" s="4"/>
      <c r="M15" s="4"/>
      <c r="N15" s="4"/>
    </row>
    <row r="16" customFormat="false" ht="15" hidden="false" customHeight="false" outlineLevel="0" collapsed="false">
      <c r="A16" s="14" t="s">
        <v>1094</v>
      </c>
      <c r="B16" s="14" t="s">
        <v>1020</v>
      </c>
      <c r="C16" s="14" t="s">
        <v>1019</v>
      </c>
      <c r="D16" s="14" t="s">
        <v>1086</v>
      </c>
      <c r="E16" s="14" t="n">
        <v>120</v>
      </c>
      <c r="F16" s="16"/>
      <c r="G16" s="16"/>
      <c r="H16" s="16"/>
      <c r="I16" s="16" t="n">
        <v>0</v>
      </c>
      <c r="J16" s="15" t="str">
        <f aca="false">IF(AND(ISNUMBER(F16),G16&lt;&gt;"",H16&lt;&gt;"",I16=1),IF(F16&lt;=E16,"PASS","FAIL"),"OPEN")</f>
        <v>OPEN</v>
      </c>
      <c r="K16" s="15" t="n">
        <f aca="false">0</f>
        <v>0</v>
      </c>
      <c r="L16" s="4"/>
      <c r="M16" s="4"/>
      <c r="N16" s="4"/>
    </row>
    <row r="17" customFormat="false" ht="15" hidden="false" customHeight="false" outlineLevel="0" collapsed="false">
      <c r="A17" s="14" t="s">
        <v>1095</v>
      </c>
      <c r="B17" s="14" t="s">
        <v>1020</v>
      </c>
      <c r="C17" s="14" t="s">
        <v>1019</v>
      </c>
      <c r="D17" s="14" t="s">
        <v>1088</v>
      </c>
      <c r="E17" s="14" t="n">
        <v>240</v>
      </c>
      <c r="F17" s="16"/>
      <c r="G17" s="16"/>
      <c r="H17" s="16"/>
      <c r="I17" s="16" t="n">
        <v>0</v>
      </c>
      <c r="J17" s="15" t="str">
        <f aca="false">IF(AND(ISNUMBER(F17),G17&lt;&gt;"",H17&lt;&gt;"",I17=1),IF(F17&lt;=E17,"PASS","FAIL"),"OPEN")</f>
        <v>OPEN</v>
      </c>
      <c r="K17" s="15" t="n">
        <f aca="false">0</f>
        <v>0</v>
      </c>
      <c r="L17" s="4"/>
      <c r="M17" s="4"/>
      <c r="N17" s="4"/>
    </row>
    <row r="18" customFormat="false" ht="15" hidden="false" customHeight="false" outlineLevel="0" collapsed="false">
      <c r="A18" s="14" t="s">
        <v>1096</v>
      </c>
      <c r="B18" s="14" t="s">
        <v>1020</v>
      </c>
      <c r="C18" s="14" t="s">
        <v>1019</v>
      </c>
      <c r="D18" s="14" t="s">
        <v>1090</v>
      </c>
      <c r="E18" s="14" t="n">
        <v>240</v>
      </c>
      <c r="F18" s="16"/>
      <c r="G18" s="16"/>
      <c r="H18" s="16"/>
      <c r="I18" s="16" t="n">
        <v>0</v>
      </c>
      <c r="J18" s="15" t="str">
        <f aca="false">IF(AND(ISNUMBER(F18),G18&lt;&gt;"",H18&lt;&gt;"",I18=1),IF(F18&lt;=E18,"PASS","FAIL"),"OPEN")</f>
        <v>OPEN</v>
      </c>
      <c r="K18" s="15" t="n">
        <f aca="false">0</f>
        <v>0</v>
      </c>
      <c r="L18" s="4"/>
      <c r="M18" s="4"/>
      <c r="N18" s="4"/>
    </row>
    <row r="19" customFormat="false" ht="15" hidden="false" customHeight="false" outlineLevel="0" collapsed="false">
      <c r="A19" s="14" t="s">
        <v>1097</v>
      </c>
      <c r="B19" s="14" t="s">
        <v>1021</v>
      </c>
      <c r="C19" s="14" t="s">
        <v>1019</v>
      </c>
      <c r="D19" s="14" t="s">
        <v>1080</v>
      </c>
      <c r="E19" s="14" t="n">
        <v>5</v>
      </c>
      <c r="F19" s="16"/>
      <c r="G19" s="16"/>
      <c r="H19" s="16"/>
      <c r="I19" s="16" t="n">
        <v>0</v>
      </c>
      <c r="J19" s="15" t="str">
        <f aca="false">IF(AND(ISNUMBER(F19),G19&lt;&gt;"",H19&lt;&gt;"",I19=1),IF(F19&lt;=E19,"PASS","FAIL"),"OPEN")</f>
        <v>OPEN</v>
      </c>
      <c r="K19" s="15" t="n">
        <f aca="false">0</f>
        <v>0</v>
      </c>
      <c r="L19" s="4"/>
      <c r="M19" s="4"/>
      <c r="N19" s="4"/>
    </row>
    <row r="20" customFormat="false" ht="15" hidden="false" customHeight="false" outlineLevel="0" collapsed="false">
      <c r="A20" s="14" t="s">
        <v>1098</v>
      </c>
      <c r="B20" s="14" t="s">
        <v>1021</v>
      </c>
      <c r="C20" s="14" t="s">
        <v>1019</v>
      </c>
      <c r="D20" s="14" t="s">
        <v>1082</v>
      </c>
      <c r="E20" s="14" t="n">
        <v>15</v>
      </c>
      <c r="F20" s="16"/>
      <c r="G20" s="16"/>
      <c r="H20" s="16"/>
      <c r="I20" s="16" t="n">
        <v>0</v>
      </c>
      <c r="J20" s="15" t="str">
        <f aca="false">IF(AND(ISNUMBER(F20),G20&lt;&gt;"",H20&lt;&gt;"",I20=1),IF(F20&lt;=E20,"PASS","FAIL"),"OPEN")</f>
        <v>OPEN</v>
      </c>
      <c r="K20" s="15" t="n">
        <f aca="false">0</f>
        <v>0</v>
      </c>
      <c r="L20" s="4"/>
      <c r="M20" s="4"/>
      <c r="N20" s="4"/>
    </row>
    <row r="21" customFormat="false" ht="15" hidden="false" customHeight="false" outlineLevel="0" collapsed="false">
      <c r="A21" s="14" t="s">
        <v>1099</v>
      </c>
      <c r="B21" s="14" t="s">
        <v>1021</v>
      </c>
      <c r="C21" s="14" t="s">
        <v>1019</v>
      </c>
      <c r="D21" s="14" t="s">
        <v>1084</v>
      </c>
      <c r="E21" s="14" t="n">
        <v>60</v>
      </c>
      <c r="F21" s="16"/>
      <c r="G21" s="16"/>
      <c r="H21" s="16"/>
      <c r="I21" s="16" t="n">
        <v>0</v>
      </c>
      <c r="J21" s="15" t="str">
        <f aca="false">IF(AND(ISNUMBER(F21),G21&lt;&gt;"",H21&lt;&gt;"",I21=1),IF(F21&lt;=E21,"PASS","FAIL"),"OPEN")</f>
        <v>OPEN</v>
      </c>
      <c r="K21" s="15" t="n">
        <f aca="false">0</f>
        <v>0</v>
      </c>
      <c r="L21" s="4"/>
      <c r="M21" s="4"/>
      <c r="N21" s="4"/>
    </row>
    <row r="22" customFormat="false" ht="15" hidden="false" customHeight="false" outlineLevel="0" collapsed="false">
      <c r="A22" s="14" t="s">
        <v>1100</v>
      </c>
      <c r="B22" s="14" t="s">
        <v>1021</v>
      </c>
      <c r="C22" s="14" t="s">
        <v>1019</v>
      </c>
      <c r="D22" s="14" t="s">
        <v>1086</v>
      </c>
      <c r="E22" s="14" t="n">
        <v>120</v>
      </c>
      <c r="F22" s="16"/>
      <c r="G22" s="16"/>
      <c r="H22" s="16"/>
      <c r="I22" s="16" t="n">
        <v>0</v>
      </c>
      <c r="J22" s="15" t="str">
        <f aca="false">IF(AND(ISNUMBER(F22),G22&lt;&gt;"",H22&lt;&gt;"",I22=1),IF(F22&lt;=E22,"PASS","FAIL"),"OPEN")</f>
        <v>OPEN</v>
      </c>
      <c r="K22" s="15" t="n">
        <f aca="false">0</f>
        <v>0</v>
      </c>
      <c r="L22" s="4"/>
      <c r="M22" s="4"/>
      <c r="N22" s="4"/>
    </row>
    <row r="23" customFormat="false" ht="15" hidden="false" customHeight="false" outlineLevel="0" collapsed="false">
      <c r="A23" s="14" t="s">
        <v>1101</v>
      </c>
      <c r="B23" s="14" t="s">
        <v>1021</v>
      </c>
      <c r="C23" s="14" t="s">
        <v>1019</v>
      </c>
      <c r="D23" s="14" t="s">
        <v>1088</v>
      </c>
      <c r="E23" s="14" t="n">
        <v>240</v>
      </c>
      <c r="F23" s="16"/>
      <c r="G23" s="16"/>
      <c r="H23" s="16"/>
      <c r="I23" s="16" t="n">
        <v>0</v>
      </c>
      <c r="J23" s="15" t="str">
        <f aca="false">IF(AND(ISNUMBER(F23),G23&lt;&gt;"",H23&lt;&gt;"",I23=1),IF(F23&lt;=E23,"PASS","FAIL"),"OPEN")</f>
        <v>OPEN</v>
      </c>
      <c r="K23" s="15" t="n">
        <f aca="false">0</f>
        <v>0</v>
      </c>
      <c r="L23" s="4"/>
      <c r="M23" s="4"/>
      <c r="N23" s="4"/>
    </row>
    <row r="24" customFormat="false" ht="15" hidden="false" customHeight="false" outlineLevel="0" collapsed="false">
      <c r="A24" s="14" t="s">
        <v>1102</v>
      </c>
      <c r="B24" s="14" t="s">
        <v>1021</v>
      </c>
      <c r="C24" s="14" t="s">
        <v>1019</v>
      </c>
      <c r="D24" s="14" t="s">
        <v>1090</v>
      </c>
      <c r="E24" s="14" t="n">
        <v>240</v>
      </c>
      <c r="F24" s="16"/>
      <c r="G24" s="16"/>
      <c r="H24" s="16"/>
      <c r="I24" s="16" t="n">
        <v>0</v>
      </c>
      <c r="J24" s="15" t="str">
        <f aca="false">IF(AND(ISNUMBER(F24),G24&lt;&gt;"",H24&lt;&gt;"",I24=1),IF(F24&lt;=E24,"PASS","FAIL"),"OPEN")</f>
        <v>OPEN</v>
      </c>
      <c r="K24" s="15" t="n">
        <f aca="false">0</f>
        <v>0</v>
      </c>
      <c r="L24" s="4"/>
      <c r="M24" s="4"/>
      <c r="N24" s="4"/>
    </row>
    <row r="25" customFormat="false" ht="15" hidden="false" customHeight="false" outlineLevel="0" collapsed="false">
      <c r="A25" s="14" t="s">
        <v>1103</v>
      </c>
      <c r="B25" s="14" t="s">
        <v>1022</v>
      </c>
      <c r="C25" s="14" t="s">
        <v>1019</v>
      </c>
      <c r="D25" s="14" t="s">
        <v>1080</v>
      </c>
      <c r="E25" s="14" t="n">
        <v>5</v>
      </c>
      <c r="F25" s="16"/>
      <c r="G25" s="16"/>
      <c r="H25" s="16"/>
      <c r="I25" s="16" t="n">
        <v>0</v>
      </c>
      <c r="J25" s="15" t="str">
        <f aca="false">IF(AND(ISNUMBER(F25),G25&lt;&gt;"",H25&lt;&gt;"",I25=1),IF(F25&lt;=E25,"PASS","FAIL"),"OPEN")</f>
        <v>OPEN</v>
      </c>
      <c r="K25" s="15" t="n">
        <f aca="false">0</f>
        <v>0</v>
      </c>
      <c r="L25" s="4"/>
      <c r="M25" s="4"/>
      <c r="N25" s="4"/>
    </row>
    <row r="26" customFormat="false" ht="15" hidden="false" customHeight="false" outlineLevel="0" collapsed="false">
      <c r="A26" s="14" t="s">
        <v>1104</v>
      </c>
      <c r="B26" s="14" t="s">
        <v>1022</v>
      </c>
      <c r="C26" s="14" t="s">
        <v>1019</v>
      </c>
      <c r="D26" s="14" t="s">
        <v>1082</v>
      </c>
      <c r="E26" s="14" t="n">
        <v>15</v>
      </c>
      <c r="F26" s="16"/>
      <c r="G26" s="16"/>
      <c r="H26" s="16"/>
      <c r="I26" s="16" t="n">
        <v>0</v>
      </c>
      <c r="J26" s="15" t="str">
        <f aca="false">IF(AND(ISNUMBER(F26),G26&lt;&gt;"",H26&lt;&gt;"",I26=1),IF(F26&lt;=E26,"PASS","FAIL"),"OPEN")</f>
        <v>OPEN</v>
      </c>
      <c r="K26" s="15" t="n">
        <f aca="false">0</f>
        <v>0</v>
      </c>
      <c r="L26" s="4"/>
      <c r="M26" s="4"/>
      <c r="N26" s="4"/>
    </row>
    <row r="27" customFormat="false" ht="15" hidden="false" customHeight="false" outlineLevel="0" collapsed="false">
      <c r="A27" s="14" t="s">
        <v>1105</v>
      </c>
      <c r="B27" s="14" t="s">
        <v>1022</v>
      </c>
      <c r="C27" s="14" t="s">
        <v>1019</v>
      </c>
      <c r="D27" s="14" t="s">
        <v>1084</v>
      </c>
      <c r="E27" s="14" t="n">
        <v>60</v>
      </c>
      <c r="F27" s="16"/>
      <c r="G27" s="16"/>
      <c r="H27" s="16"/>
      <c r="I27" s="16" t="n">
        <v>0</v>
      </c>
      <c r="J27" s="15" t="str">
        <f aca="false">IF(AND(ISNUMBER(F27),G27&lt;&gt;"",H27&lt;&gt;"",I27=1),IF(F27&lt;=E27,"PASS","FAIL"),"OPEN")</f>
        <v>OPEN</v>
      </c>
      <c r="K27" s="15" t="n">
        <f aca="false">0</f>
        <v>0</v>
      </c>
      <c r="L27" s="4"/>
      <c r="M27" s="4"/>
      <c r="N27" s="4"/>
    </row>
    <row r="28" customFormat="false" ht="15" hidden="false" customHeight="false" outlineLevel="0" collapsed="false">
      <c r="A28" s="14" t="s">
        <v>1106</v>
      </c>
      <c r="B28" s="14" t="s">
        <v>1022</v>
      </c>
      <c r="C28" s="14" t="s">
        <v>1019</v>
      </c>
      <c r="D28" s="14" t="s">
        <v>1086</v>
      </c>
      <c r="E28" s="14" t="n">
        <v>120</v>
      </c>
      <c r="F28" s="16"/>
      <c r="G28" s="16"/>
      <c r="H28" s="16"/>
      <c r="I28" s="16" t="n">
        <v>0</v>
      </c>
      <c r="J28" s="15" t="str">
        <f aca="false">IF(AND(ISNUMBER(F28),G28&lt;&gt;"",H28&lt;&gt;"",I28=1),IF(F28&lt;=E28,"PASS","FAIL"),"OPEN")</f>
        <v>OPEN</v>
      </c>
      <c r="K28" s="15" t="n">
        <f aca="false">0</f>
        <v>0</v>
      </c>
      <c r="L28" s="4"/>
      <c r="M28" s="4"/>
      <c r="N28" s="4"/>
    </row>
    <row r="29" customFormat="false" ht="15" hidden="false" customHeight="false" outlineLevel="0" collapsed="false">
      <c r="A29" s="14" t="s">
        <v>1107</v>
      </c>
      <c r="B29" s="14" t="s">
        <v>1022</v>
      </c>
      <c r="C29" s="14" t="s">
        <v>1019</v>
      </c>
      <c r="D29" s="14" t="s">
        <v>1088</v>
      </c>
      <c r="E29" s="14" t="n">
        <v>240</v>
      </c>
      <c r="F29" s="16"/>
      <c r="G29" s="16"/>
      <c r="H29" s="16"/>
      <c r="I29" s="16" t="n">
        <v>0</v>
      </c>
      <c r="J29" s="15" t="str">
        <f aca="false">IF(AND(ISNUMBER(F29),G29&lt;&gt;"",H29&lt;&gt;"",I29=1),IF(F29&lt;=E29,"PASS","FAIL"),"OPEN")</f>
        <v>OPEN</v>
      </c>
      <c r="K29" s="15" t="n">
        <f aca="false">0</f>
        <v>0</v>
      </c>
      <c r="L29" s="4"/>
      <c r="M29" s="4"/>
      <c r="N29" s="4"/>
    </row>
    <row r="30" customFormat="false" ht="15" hidden="false" customHeight="false" outlineLevel="0" collapsed="false">
      <c r="A30" s="14" t="s">
        <v>1108</v>
      </c>
      <c r="B30" s="14" t="s">
        <v>1022</v>
      </c>
      <c r="C30" s="14" t="s">
        <v>1019</v>
      </c>
      <c r="D30" s="14" t="s">
        <v>1090</v>
      </c>
      <c r="E30" s="14" t="n">
        <v>240</v>
      </c>
      <c r="F30" s="16"/>
      <c r="G30" s="16"/>
      <c r="H30" s="16"/>
      <c r="I30" s="16" t="n">
        <v>0</v>
      </c>
      <c r="J30" s="15" t="str">
        <f aca="false">IF(AND(ISNUMBER(F30),G30&lt;&gt;"",H30&lt;&gt;"",I30=1),IF(F30&lt;=E30,"PASS","FAIL"),"OPEN")</f>
        <v>OPEN</v>
      </c>
      <c r="K30" s="15" t="n">
        <f aca="false">0</f>
        <v>0</v>
      </c>
      <c r="L30" s="4"/>
      <c r="M30" s="4"/>
      <c r="N30" s="4"/>
    </row>
    <row r="31" customFormat="false" ht="15" hidden="false" customHeight="false" outlineLevel="0" collapsed="false">
      <c r="A31" s="14" t="s">
        <v>1109</v>
      </c>
      <c r="B31" s="14" t="s">
        <v>1023</v>
      </c>
      <c r="C31" s="14" t="s">
        <v>1019</v>
      </c>
      <c r="D31" s="14" t="s">
        <v>1080</v>
      </c>
      <c r="E31" s="14" t="n">
        <v>5</v>
      </c>
      <c r="F31" s="16"/>
      <c r="G31" s="16"/>
      <c r="H31" s="16"/>
      <c r="I31" s="16" t="n">
        <v>0</v>
      </c>
      <c r="J31" s="15" t="str">
        <f aca="false">IF(AND(ISNUMBER(F31),G31&lt;&gt;"",H31&lt;&gt;"",I31=1),IF(F31&lt;=E31,"PASS","FAIL"),"OPEN")</f>
        <v>OPEN</v>
      </c>
      <c r="K31" s="15" t="n">
        <f aca="false">0</f>
        <v>0</v>
      </c>
      <c r="L31" s="4"/>
      <c r="M31" s="4"/>
      <c r="N31" s="4"/>
    </row>
    <row r="32" customFormat="false" ht="15" hidden="false" customHeight="false" outlineLevel="0" collapsed="false">
      <c r="A32" s="14" t="s">
        <v>1110</v>
      </c>
      <c r="B32" s="14" t="s">
        <v>1023</v>
      </c>
      <c r="C32" s="14" t="s">
        <v>1019</v>
      </c>
      <c r="D32" s="14" t="s">
        <v>1082</v>
      </c>
      <c r="E32" s="14" t="n">
        <v>15</v>
      </c>
      <c r="F32" s="16"/>
      <c r="G32" s="16"/>
      <c r="H32" s="16"/>
      <c r="I32" s="16" t="n">
        <v>0</v>
      </c>
      <c r="J32" s="15" t="str">
        <f aca="false">IF(AND(ISNUMBER(F32),G32&lt;&gt;"",H32&lt;&gt;"",I32=1),IF(F32&lt;=E32,"PASS","FAIL"),"OPEN")</f>
        <v>OPEN</v>
      </c>
      <c r="K32" s="15" t="n">
        <f aca="false">0</f>
        <v>0</v>
      </c>
      <c r="L32" s="4"/>
      <c r="M32" s="4"/>
      <c r="N32" s="4"/>
    </row>
    <row r="33" customFormat="false" ht="15" hidden="false" customHeight="false" outlineLevel="0" collapsed="false">
      <c r="A33" s="14" t="s">
        <v>1111</v>
      </c>
      <c r="B33" s="14" t="s">
        <v>1023</v>
      </c>
      <c r="C33" s="14" t="s">
        <v>1019</v>
      </c>
      <c r="D33" s="14" t="s">
        <v>1084</v>
      </c>
      <c r="E33" s="14" t="n">
        <v>60</v>
      </c>
      <c r="F33" s="16"/>
      <c r="G33" s="16"/>
      <c r="H33" s="16"/>
      <c r="I33" s="16" t="n">
        <v>0</v>
      </c>
      <c r="J33" s="15" t="str">
        <f aca="false">IF(AND(ISNUMBER(F33),G33&lt;&gt;"",H33&lt;&gt;"",I33=1),IF(F33&lt;=E33,"PASS","FAIL"),"OPEN")</f>
        <v>OPEN</v>
      </c>
      <c r="K33" s="15" t="n">
        <f aca="false">0</f>
        <v>0</v>
      </c>
      <c r="L33" s="4"/>
      <c r="M33" s="4"/>
      <c r="N33" s="4"/>
    </row>
    <row r="34" customFormat="false" ht="15" hidden="false" customHeight="false" outlineLevel="0" collapsed="false">
      <c r="A34" s="14" t="s">
        <v>1112</v>
      </c>
      <c r="B34" s="14" t="s">
        <v>1023</v>
      </c>
      <c r="C34" s="14" t="s">
        <v>1019</v>
      </c>
      <c r="D34" s="14" t="s">
        <v>1086</v>
      </c>
      <c r="E34" s="14" t="n">
        <v>120</v>
      </c>
      <c r="F34" s="16"/>
      <c r="G34" s="16"/>
      <c r="H34" s="16"/>
      <c r="I34" s="16" t="n">
        <v>0</v>
      </c>
      <c r="J34" s="15" t="str">
        <f aca="false">IF(AND(ISNUMBER(F34),G34&lt;&gt;"",H34&lt;&gt;"",I34=1),IF(F34&lt;=E34,"PASS","FAIL"),"OPEN")</f>
        <v>OPEN</v>
      </c>
      <c r="K34" s="15" t="n">
        <f aca="false">0</f>
        <v>0</v>
      </c>
      <c r="L34" s="4"/>
      <c r="M34" s="4"/>
      <c r="N34" s="4"/>
    </row>
    <row r="35" customFormat="false" ht="15" hidden="false" customHeight="false" outlineLevel="0" collapsed="false">
      <c r="A35" s="14" t="s">
        <v>1113</v>
      </c>
      <c r="B35" s="14" t="s">
        <v>1023</v>
      </c>
      <c r="C35" s="14" t="s">
        <v>1019</v>
      </c>
      <c r="D35" s="14" t="s">
        <v>1088</v>
      </c>
      <c r="E35" s="14" t="n">
        <v>240</v>
      </c>
      <c r="F35" s="16"/>
      <c r="G35" s="16"/>
      <c r="H35" s="16"/>
      <c r="I35" s="16" t="n">
        <v>0</v>
      </c>
      <c r="J35" s="15" t="str">
        <f aca="false">IF(AND(ISNUMBER(F35),G35&lt;&gt;"",H35&lt;&gt;"",I35=1),IF(F35&lt;=E35,"PASS","FAIL"),"OPEN")</f>
        <v>OPEN</v>
      </c>
      <c r="K35" s="15" t="n">
        <f aca="false">0</f>
        <v>0</v>
      </c>
      <c r="L35" s="4"/>
      <c r="M35" s="4"/>
      <c r="N35" s="4"/>
    </row>
    <row r="36" customFormat="false" ht="15" hidden="false" customHeight="false" outlineLevel="0" collapsed="false">
      <c r="A36" s="14" t="s">
        <v>1114</v>
      </c>
      <c r="B36" s="14" t="s">
        <v>1023</v>
      </c>
      <c r="C36" s="14" t="s">
        <v>1019</v>
      </c>
      <c r="D36" s="14" t="s">
        <v>1090</v>
      </c>
      <c r="E36" s="14" t="n">
        <v>240</v>
      </c>
      <c r="F36" s="16"/>
      <c r="G36" s="16"/>
      <c r="H36" s="16"/>
      <c r="I36" s="16" t="n">
        <v>0</v>
      </c>
      <c r="J36" s="15" t="str">
        <f aca="false">IF(AND(ISNUMBER(F36),G36&lt;&gt;"",H36&lt;&gt;"",I36=1),IF(F36&lt;=E36,"PASS","FAIL"),"OPEN")</f>
        <v>OPEN</v>
      </c>
      <c r="K36" s="15" t="n">
        <f aca="false">0</f>
        <v>0</v>
      </c>
      <c r="L36" s="4"/>
      <c r="M36" s="4"/>
      <c r="N36" s="4"/>
    </row>
    <row r="37" customFormat="false" ht="15" hidden="false" customHeight="false" outlineLevel="0" collapsed="false">
      <c r="A37" s="14" t="s">
        <v>1115</v>
      </c>
      <c r="B37" s="14" t="s">
        <v>1024</v>
      </c>
      <c r="C37" s="14" t="s">
        <v>1019</v>
      </c>
      <c r="D37" s="14" t="s">
        <v>1080</v>
      </c>
      <c r="E37" s="14" t="n">
        <v>5</v>
      </c>
      <c r="F37" s="16"/>
      <c r="G37" s="16"/>
      <c r="H37" s="16"/>
      <c r="I37" s="16" t="n">
        <v>0</v>
      </c>
      <c r="J37" s="15" t="str">
        <f aca="false">IF(AND(ISNUMBER(F37),G37&lt;&gt;"",H37&lt;&gt;"",I37=1),IF(F37&lt;=E37,"PASS","FAIL"),"OPEN")</f>
        <v>OPEN</v>
      </c>
      <c r="K37" s="15" t="n">
        <f aca="false">0</f>
        <v>0</v>
      </c>
      <c r="L37" s="4"/>
      <c r="M37" s="4"/>
      <c r="N37" s="4"/>
    </row>
    <row r="38" customFormat="false" ht="15" hidden="false" customHeight="false" outlineLevel="0" collapsed="false">
      <c r="A38" s="14" t="s">
        <v>1116</v>
      </c>
      <c r="B38" s="14" t="s">
        <v>1024</v>
      </c>
      <c r="C38" s="14" t="s">
        <v>1019</v>
      </c>
      <c r="D38" s="14" t="s">
        <v>1082</v>
      </c>
      <c r="E38" s="14" t="n">
        <v>15</v>
      </c>
      <c r="F38" s="16"/>
      <c r="G38" s="16"/>
      <c r="H38" s="16"/>
      <c r="I38" s="16" t="n">
        <v>0</v>
      </c>
      <c r="J38" s="15" t="str">
        <f aca="false">IF(AND(ISNUMBER(F38),G38&lt;&gt;"",H38&lt;&gt;"",I38=1),IF(F38&lt;=E38,"PASS","FAIL"),"OPEN")</f>
        <v>OPEN</v>
      </c>
      <c r="K38" s="15" t="n">
        <f aca="false">0</f>
        <v>0</v>
      </c>
      <c r="L38" s="4"/>
      <c r="M38" s="4"/>
      <c r="N38" s="4"/>
    </row>
    <row r="39" customFormat="false" ht="15" hidden="false" customHeight="false" outlineLevel="0" collapsed="false">
      <c r="A39" s="14" t="s">
        <v>1117</v>
      </c>
      <c r="B39" s="14" t="s">
        <v>1024</v>
      </c>
      <c r="C39" s="14" t="s">
        <v>1019</v>
      </c>
      <c r="D39" s="14" t="s">
        <v>1084</v>
      </c>
      <c r="E39" s="14" t="n">
        <v>60</v>
      </c>
      <c r="F39" s="16"/>
      <c r="G39" s="16"/>
      <c r="H39" s="16"/>
      <c r="I39" s="16" t="n">
        <v>0</v>
      </c>
      <c r="J39" s="15" t="str">
        <f aca="false">IF(AND(ISNUMBER(F39),G39&lt;&gt;"",H39&lt;&gt;"",I39=1),IF(F39&lt;=E39,"PASS","FAIL"),"OPEN")</f>
        <v>OPEN</v>
      </c>
      <c r="K39" s="15" t="n">
        <f aca="false">0</f>
        <v>0</v>
      </c>
      <c r="L39" s="4"/>
      <c r="M39" s="4"/>
      <c r="N39" s="4"/>
    </row>
    <row r="40" customFormat="false" ht="15" hidden="false" customHeight="false" outlineLevel="0" collapsed="false">
      <c r="A40" s="14" t="s">
        <v>1118</v>
      </c>
      <c r="B40" s="14" t="s">
        <v>1024</v>
      </c>
      <c r="C40" s="14" t="s">
        <v>1019</v>
      </c>
      <c r="D40" s="14" t="s">
        <v>1086</v>
      </c>
      <c r="E40" s="14" t="n">
        <v>120</v>
      </c>
      <c r="F40" s="16"/>
      <c r="G40" s="16"/>
      <c r="H40" s="16"/>
      <c r="I40" s="16" t="n">
        <v>0</v>
      </c>
      <c r="J40" s="15" t="str">
        <f aca="false">IF(AND(ISNUMBER(F40),G40&lt;&gt;"",H40&lt;&gt;"",I40=1),IF(F40&lt;=E40,"PASS","FAIL"),"OPEN")</f>
        <v>OPEN</v>
      </c>
      <c r="K40" s="15" t="n">
        <f aca="false">0</f>
        <v>0</v>
      </c>
      <c r="L40" s="4"/>
      <c r="M40" s="4"/>
      <c r="N40" s="4"/>
    </row>
    <row r="41" customFormat="false" ht="15" hidden="false" customHeight="false" outlineLevel="0" collapsed="false">
      <c r="A41" s="14" t="s">
        <v>1119</v>
      </c>
      <c r="B41" s="14" t="s">
        <v>1024</v>
      </c>
      <c r="C41" s="14" t="s">
        <v>1019</v>
      </c>
      <c r="D41" s="14" t="s">
        <v>1088</v>
      </c>
      <c r="E41" s="14" t="n">
        <v>240</v>
      </c>
      <c r="F41" s="16"/>
      <c r="G41" s="16"/>
      <c r="H41" s="16"/>
      <c r="I41" s="16" t="n">
        <v>0</v>
      </c>
      <c r="J41" s="15" t="str">
        <f aca="false">IF(AND(ISNUMBER(F41),G41&lt;&gt;"",H41&lt;&gt;"",I41=1),IF(F41&lt;=E41,"PASS","FAIL"),"OPEN")</f>
        <v>OPEN</v>
      </c>
      <c r="K41" s="15" t="n">
        <f aca="false">0</f>
        <v>0</v>
      </c>
      <c r="L41" s="4"/>
      <c r="M41" s="4"/>
      <c r="N41" s="4"/>
    </row>
    <row r="42" customFormat="false" ht="15" hidden="false" customHeight="false" outlineLevel="0" collapsed="false">
      <c r="A42" s="14" t="s">
        <v>1120</v>
      </c>
      <c r="B42" s="14" t="s">
        <v>1024</v>
      </c>
      <c r="C42" s="14" t="s">
        <v>1019</v>
      </c>
      <c r="D42" s="14" t="s">
        <v>1090</v>
      </c>
      <c r="E42" s="14" t="n">
        <v>240</v>
      </c>
      <c r="F42" s="16"/>
      <c r="G42" s="16"/>
      <c r="H42" s="16"/>
      <c r="I42" s="16" t="n">
        <v>0</v>
      </c>
      <c r="J42" s="15" t="str">
        <f aca="false">IF(AND(ISNUMBER(F42),G42&lt;&gt;"",H42&lt;&gt;"",I42=1),IF(F42&lt;=E42,"PASS","FAIL"),"OPEN")</f>
        <v>OPEN</v>
      </c>
      <c r="K42" s="15" t="n">
        <f aca="false">0</f>
        <v>0</v>
      </c>
      <c r="L42" s="4"/>
      <c r="M42" s="4"/>
      <c r="N42" s="4"/>
    </row>
    <row r="43" customFormat="false" ht="15" hidden="false" customHeight="false" outlineLevel="0" collapsed="false">
      <c r="A43" s="14" t="s">
        <v>1121</v>
      </c>
      <c r="B43" s="14" t="s">
        <v>1025</v>
      </c>
      <c r="C43" s="14" t="s">
        <v>1019</v>
      </c>
      <c r="D43" s="14" t="s">
        <v>1080</v>
      </c>
      <c r="E43" s="14" t="n">
        <v>5</v>
      </c>
      <c r="F43" s="16"/>
      <c r="G43" s="16"/>
      <c r="H43" s="16"/>
      <c r="I43" s="16" t="n">
        <v>0</v>
      </c>
      <c r="J43" s="15" t="str">
        <f aca="false">IF(AND(ISNUMBER(F43),G43&lt;&gt;"",H43&lt;&gt;"",I43=1),IF(F43&lt;=E43,"PASS","FAIL"),"OPEN")</f>
        <v>OPEN</v>
      </c>
      <c r="K43" s="15" t="n">
        <f aca="false">0</f>
        <v>0</v>
      </c>
      <c r="L43" s="4"/>
      <c r="M43" s="4"/>
      <c r="N43" s="4"/>
    </row>
    <row r="44" customFormat="false" ht="15" hidden="false" customHeight="false" outlineLevel="0" collapsed="false">
      <c r="A44" s="14" t="s">
        <v>1122</v>
      </c>
      <c r="B44" s="14" t="s">
        <v>1025</v>
      </c>
      <c r="C44" s="14" t="s">
        <v>1019</v>
      </c>
      <c r="D44" s="14" t="s">
        <v>1082</v>
      </c>
      <c r="E44" s="14" t="n">
        <v>15</v>
      </c>
      <c r="F44" s="16"/>
      <c r="G44" s="16"/>
      <c r="H44" s="16"/>
      <c r="I44" s="16" t="n">
        <v>0</v>
      </c>
      <c r="J44" s="15" t="str">
        <f aca="false">IF(AND(ISNUMBER(F44),G44&lt;&gt;"",H44&lt;&gt;"",I44=1),IF(F44&lt;=E44,"PASS","FAIL"),"OPEN")</f>
        <v>OPEN</v>
      </c>
      <c r="K44" s="15" t="n">
        <f aca="false">0</f>
        <v>0</v>
      </c>
      <c r="L44" s="4"/>
      <c r="M44" s="4"/>
      <c r="N44" s="4"/>
    </row>
    <row r="45" customFormat="false" ht="15" hidden="false" customHeight="false" outlineLevel="0" collapsed="false">
      <c r="A45" s="14" t="s">
        <v>1123</v>
      </c>
      <c r="B45" s="14" t="s">
        <v>1025</v>
      </c>
      <c r="C45" s="14" t="s">
        <v>1019</v>
      </c>
      <c r="D45" s="14" t="s">
        <v>1084</v>
      </c>
      <c r="E45" s="14" t="n">
        <v>60</v>
      </c>
      <c r="F45" s="16"/>
      <c r="G45" s="16"/>
      <c r="H45" s="16"/>
      <c r="I45" s="16" t="n">
        <v>0</v>
      </c>
      <c r="J45" s="15" t="str">
        <f aca="false">IF(AND(ISNUMBER(F45),G45&lt;&gt;"",H45&lt;&gt;"",I45=1),IF(F45&lt;=E45,"PASS","FAIL"),"OPEN")</f>
        <v>OPEN</v>
      </c>
      <c r="K45" s="15" t="n">
        <f aca="false">0</f>
        <v>0</v>
      </c>
      <c r="L45" s="4"/>
      <c r="M45" s="4"/>
      <c r="N45" s="4"/>
    </row>
    <row r="46" customFormat="false" ht="15" hidden="false" customHeight="false" outlineLevel="0" collapsed="false">
      <c r="A46" s="14" t="s">
        <v>1124</v>
      </c>
      <c r="B46" s="14" t="s">
        <v>1025</v>
      </c>
      <c r="C46" s="14" t="s">
        <v>1019</v>
      </c>
      <c r="D46" s="14" t="s">
        <v>1086</v>
      </c>
      <c r="E46" s="14" t="n">
        <v>120</v>
      </c>
      <c r="F46" s="16"/>
      <c r="G46" s="16"/>
      <c r="H46" s="16"/>
      <c r="I46" s="16" t="n">
        <v>0</v>
      </c>
      <c r="J46" s="15" t="str">
        <f aca="false">IF(AND(ISNUMBER(F46),G46&lt;&gt;"",H46&lt;&gt;"",I46=1),IF(F46&lt;=E46,"PASS","FAIL"),"OPEN")</f>
        <v>OPEN</v>
      </c>
      <c r="K46" s="15" t="n">
        <f aca="false">0</f>
        <v>0</v>
      </c>
      <c r="L46" s="4"/>
      <c r="M46" s="4"/>
      <c r="N46" s="4"/>
    </row>
    <row r="47" customFormat="false" ht="15" hidden="false" customHeight="false" outlineLevel="0" collapsed="false">
      <c r="A47" s="14" t="s">
        <v>1125</v>
      </c>
      <c r="B47" s="14" t="s">
        <v>1025</v>
      </c>
      <c r="C47" s="14" t="s">
        <v>1019</v>
      </c>
      <c r="D47" s="14" t="s">
        <v>1088</v>
      </c>
      <c r="E47" s="14" t="n">
        <v>240</v>
      </c>
      <c r="F47" s="16"/>
      <c r="G47" s="16"/>
      <c r="H47" s="16"/>
      <c r="I47" s="16" t="n">
        <v>0</v>
      </c>
      <c r="J47" s="15" t="str">
        <f aca="false">IF(AND(ISNUMBER(F47),G47&lt;&gt;"",H47&lt;&gt;"",I47=1),IF(F47&lt;=E47,"PASS","FAIL"),"OPEN")</f>
        <v>OPEN</v>
      </c>
      <c r="K47" s="15" t="n">
        <f aca="false">0</f>
        <v>0</v>
      </c>
      <c r="L47" s="4"/>
      <c r="M47" s="4"/>
      <c r="N47" s="4"/>
    </row>
    <row r="48" customFormat="false" ht="15" hidden="false" customHeight="false" outlineLevel="0" collapsed="false">
      <c r="A48" s="14" t="s">
        <v>1126</v>
      </c>
      <c r="B48" s="14" t="s">
        <v>1025</v>
      </c>
      <c r="C48" s="14" t="s">
        <v>1019</v>
      </c>
      <c r="D48" s="14" t="s">
        <v>1090</v>
      </c>
      <c r="E48" s="14" t="n">
        <v>240</v>
      </c>
      <c r="F48" s="16"/>
      <c r="G48" s="16"/>
      <c r="H48" s="16"/>
      <c r="I48" s="16" t="n">
        <v>0</v>
      </c>
      <c r="J48" s="15" t="str">
        <f aca="false">IF(AND(ISNUMBER(F48),G48&lt;&gt;"",H48&lt;&gt;"",I48=1),IF(F48&lt;=E48,"PASS","FAIL"),"OPEN")</f>
        <v>OPEN</v>
      </c>
      <c r="K48" s="15" t="n">
        <f aca="false">0</f>
        <v>0</v>
      </c>
      <c r="L48" s="4"/>
      <c r="M48" s="4"/>
      <c r="N48" s="4"/>
    </row>
    <row r="49" customFormat="false" ht="15" hidden="false" customHeight="false" outlineLevel="0" collapsed="false">
      <c r="A49" s="14" t="s">
        <v>1127</v>
      </c>
      <c r="B49" s="14" t="s">
        <v>1026</v>
      </c>
      <c r="C49" s="14" t="s">
        <v>1019</v>
      </c>
      <c r="D49" s="14" t="s">
        <v>1080</v>
      </c>
      <c r="E49" s="14" t="n">
        <v>5</v>
      </c>
      <c r="F49" s="16"/>
      <c r="G49" s="16"/>
      <c r="H49" s="16"/>
      <c r="I49" s="16" t="n">
        <v>0</v>
      </c>
      <c r="J49" s="15" t="str">
        <f aca="false">IF(AND(ISNUMBER(F49),G49&lt;&gt;"",H49&lt;&gt;"",I49=1),IF(F49&lt;=E49,"PASS","FAIL"),"OPEN")</f>
        <v>OPEN</v>
      </c>
      <c r="K49" s="15" t="n">
        <f aca="false">0</f>
        <v>0</v>
      </c>
      <c r="L49" s="4"/>
      <c r="M49" s="4"/>
      <c r="N49" s="4"/>
    </row>
    <row r="50" customFormat="false" ht="15" hidden="false" customHeight="false" outlineLevel="0" collapsed="false">
      <c r="A50" s="14" t="s">
        <v>1128</v>
      </c>
      <c r="B50" s="14" t="s">
        <v>1026</v>
      </c>
      <c r="C50" s="14" t="s">
        <v>1019</v>
      </c>
      <c r="D50" s="14" t="s">
        <v>1082</v>
      </c>
      <c r="E50" s="14" t="n">
        <v>15</v>
      </c>
      <c r="F50" s="16"/>
      <c r="G50" s="16"/>
      <c r="H50" s="16"/>
      <c r="I50" s="16" t="n">
        <v>0</v>
      </c>
      <c r="J50" s="15" t="str">
        <f aca="false">IF(AND(ISNUMBER(F50),G50&lt;&gt;"",H50&lt;&gt;"",I50=1),IF(F50&lt;=E50,"PASS","FAIL"),"OPEN")</f>
        <v>OPEN</v>
      </c>
      <c r="K50" s="15" t="n">
        <f aca="false">0</f>
        <v>0</v>
      </c>
      <c r="L50" s="4"/>
      <c r="M50" s="4"/>
      <c r="N50" s="4"/>
    </row>
    <row r="51" customFormat="false" ht="15" hidden="false" customHeight="false" outlineLevel="0" collapsed="false">
      <c r="A51" s="14" t="s">
        <v>1129</v>
      </c>
      <c r="B51" s="14" t="s">
        <v>1026</v>
      </c>
      <c r="C51" s="14" t="s">
        <v>1019</v>
      </c>
      <c r="D51" s="14" t="s">
        <v>1084</v>
      </c>
      <c r="E51" s="14" t="n">
        <v>60</v>
      </c>
      <c r="F51" s="16"/>
      <c r="G51" s="16"/>
      <c r="H51" s="16"/>
      <c r="I51" s="16" t="n">
        <v>0</v>
      </c>
      <c r="J51" s="15" t="str">
        <f aca="false">IF(AND(ISNUMBER(F51),G51&lt;&gt;"",H51&lt;&gt;"",I51=1),IF(F51&lt;=E51,"PASS","FAIL"),"OPEN")</f>
        <v>OPEN</v>
      </c>
      <c r="K51" s="15" t="n">
        <f aca="false">0</f>
        <v>0</v>
      </c>
      <c r="L51" s="4"/>
      <c r="M51" s="4"/>
      <c r="N51" s="4"/>
    </row>
    <row r="52" customFormat="false" ht="15" hidden="false" customHeight="false" outlineLevel="0" collapsed="false">
      <c r="A52" s="14" t="s">
        <v>1130</v>
      </c>
      <c r="B52" s="14" t="s">
        <v>1026</v>
      </c>
      <c r="C52" s="14" t="s">
        <v>1019</v>
      </c>
      <c r="D52" s="14" t="s">
        <v>1086</v>
      </c>
      <c r="E52" s="14" t="n">
        <v>120</v>
      </c>
      <c r="F52" s="16"/>
      <c r="G52" s="16"/>
      <c r="H52" s="16"/>
      <c r="I52" s="16" t="n">
        <v>0</v>
      </c>
      <c r="J52" s="15" t="str">
        <f aca="false">IF(AND(ISNUMBER(F52),G52&lt;&gt;"",H52&lt;&gt;"",I52=1),IF(F52&lt;=E52,"PASS","FAIL"),"OPEN")</f>
        <v>OPEN</v>
      </c>
      <c r="K52" s="15" t="n">
        <f aca="false">0</f>
        <v>0</v>
      </c>
      <c r="L52" s="4"/>
      <c r="M52" s="4"/>
      <c r="N52" s="4"/>
    </row>
    <row r="53" customFormat="false" ht="15" hidden="false" customHeight="false" outlineLevel="0" collapsed="false">
      <c r="A53" s="14" t="s">
        <v>1131</v>
      </c>
      <c r="B53" s="14" t="s">
        <v>1026</v>
      </c>
      <c r="C53" s="14" t="s">
        <v>1019</v>
      </c>
      <c r="D53" s="14" t="s">
        <v>1088</v>
      </c>
      <c r="E53" s="14" t="n">
        <v>240</v>
      </c>
      <c r="F53" s="16"/>
      <c r="G53" s="16"/>
      <c r="H53" s="16"/>
      <c r="I53" s="16" t="n">
        <v>0</v>
      </c>
      <c r="J53" s="15" t="str">
        <f aca="false">IF(AND(ISNUMBER(F53),G53&lt;&gt;"",H53&lt;&gt;"",I53=1),IF(F53&lt;=E53,"PASS","FAIL"),"OPEN")</f>
        <v>OPEN</v>
      </c>
      <c r="K53" s="15" t="n">
        <f aca="false">0</f>
        <v>0</v>
      </c>
      <c r="L53" s="4"/>
      <c r="M53" s="4"/>
      <c r="N53" s="4"/>
    </row>
    <row r="54" customFormat="false" ht="15" hidden="false" customHeight="false" outlineLevel="0" collapsed="false">
      <c r="A54" s="14" t="s">
        <v>1132</v>
      </c>
      <c r="B54" s="14" t="s">
        <v>1026</v>
      </c>
      <c r="C54" s="14" t="s">
        <v>1019</v>
      </c>
      <c r="D54" s="14" t="s">
        <v>1090</v>
      </c>
      <c r="E54" s="14" t="n">
        <v>240</v>
      </c>
      <c r="F54" s="16"/>
      <c r="G54" s="16"/>
      <c r="H54" s="16"/>
      <c r="I54" s="16" t="n">
        <v>0</v>
      </c>
      <c r="J54" s="15" t="str">
        <f aca="false">IF(AND(ISNUMBER(F54),G54&lt;&gt;"",H54&lt;&gt;"",I54=1),IF(F54&lt;=E54,"PASS","FAIL"),"OPEN")</f>
        <v>OPEN</v>
      </c>
      <c r="K54" s="15" t="n">
        <f aca="false">0</f>
        <v>0</v>
      </c>
      <c r="L54" s="4"/>
      <c r="M54" s="4"/>
      <c r="N54" s="4"/>
    </row>
    <row r="55" customFormat="false" ht="15" hidden="false" customHeight="false" outlineLevel="0" collapsed="false">
      <c r="A55" s="14" t="s">
        <v>1133</v>
      </c>
      <c r="B55" s="14" t="s">
        <v>1027</v>
      </c>
      <c r="C55" s="14" t="s">
        <v>1019</v>
      </c>
      <c r="D55" s="14" t="s">
        <v>1080</v>
      </c>
      <c r="E55" s="14" t="n">
        <v>5</v>
      </c>
      <c r="F55" s="16"/>
      <c r="G55" s="16"/>
      <c r="H55" s="16"/>
      <c r="I55" s="16" t="n">
        <v>0</v>
      </c>
      <c r="J55" s="15" t="str">
        <f aca="false">IF(AND(ISNUMBER(F55),G55&lt;&gt;"",H55&lt;&gt;"",I55=1),IF(F55&lt;=E55,"PASS","FAIL"),"OPEN")</f>
        <v>OPEN</v>
      </c>
      <c r="K55" s="15" t="n">
        <f aca="false">0</f>
        <v>0</v>
      </c>
      <c r="L55" s="4"/>
      <c r="M55" s="4"/>
      <c r="N55" s="4"/>
    </row>
    <row r="56" customFormat="false" ht="15" hidden="false" customHeight="false" outlineLevel="0" collapsed="false">
      <c r="A56" s="14" t="s">
        <v>1134</v>
      </c>
      <c r="B56" s="14" t="s">
        <v>1027</v>
      </c>
      <c r="C56" s="14" t="s">
        <v>1019</v>
      </c>
      <c r="D56" s="14" t="s">
        <v>1082</v>
      </c>
      <c r="E56" s="14" t="n">
        <v>15</v>
      </c>
      <c r="F56" s="16"/>
      <c r="G56" s="16"/>
      <c r="H56" s="16"/>
      <c r="I56" s="16" t="n">
        <v>0</v>
      </c>
      <c r="J56" s="15" t="str">
        <f aca="false">IF(AND(ISNUMBER(F56),G56&lt;&gt;"",H56&lt;&gt;"",I56=1),IF(F56&lt;=E56,"PASS","FAIL"),"OPEN")</f>
        <v>OPEN</v>
      </c>
      <c r="K56" s="15" t="n">
        <f aca="false">0</f>
        <v>0</v>
      </c>
      <c r="L56" s="4"/>
      <c r="M56" s="4"/>
      <c r="N56" s="4"/>
    </row>
    <row r="57" customFormat="false" ht="15" hidden="false" customHeight="false" outlineLevel="0" collapsed="false">
      <c r="A57" s="14" t="s">
        <v>1135</v>
      </c>
      <c r="B57" s="14" t="s">
        <v>1027</v>
      </c>
      <c r="C57" s="14" t="s">
        <v>1019</v>
      </c>
      <c r="D57" s="14" t="s">
        <v>1084</v>
      </c>
      <c r="E57" s="14" t="n">
        <v>60</v>
      </c>
      <c r="F57" s="16"/>
      <c r="G57" s="16"/>
      <c r="H57" s="16"/>
      <c r="I57" s="16" t="n">
        <v>0</v>
      </c>
      <c r="J57" s="15" t="str">
        <f aca="false">IF(AND(ISNUMBER(F57),G57&lt;&gt;"",H57&lt;&gt;"",I57=1),IF(F57&lt;=E57,"PASS","FAIL"),"OPEN")</f>
        <v>OPEN</v>
      </c>
      <c r="K57" s="15" t="n">
        <f aca="false">0</f>
        <v>0</v>
      </c>
      <c r="L57" s="4"/>
      <c r="M57" s="4"/>
      <c r="N57" s="4"/>
    </row>
    <row r="58" customFormat="false" ht="15" hidden="false" customHeight="false" outlineLevel="0" collapsed="false">
      <c r="A58" s="14" t="s">
        <v>1136</v>
      </c>
      <c r="B58" s="14" t="s">
        <v>1027</v>
      </c>
      <c r="C58" s="14" t="s">
        <v>1019</v>
      </c>
      <c r="D58" s="14" t="s">
        <v>1086</v>
      </c>
      <c r="E58" s="14" t="n">
        <v>120</v>
      </c>
      <c r="F58" s="16"/>
      <c r="G58" s="16"/>
      <c r="H58" s="16"/>
      <c r="I58" s="16" t="n">
        <v>0</v>
      </c>
      <c r="J58" s="15" t="str">
        <f aca="false">IF(AND(ISNUMBER(F58),G58&lt;&gt;"",H58&lt;&gt;"",I58=1),IF(F58&lt;=E58,"PASS","FAIL"),"OPEN")</f>
        <v>OPEN</v>
      </c>
      <c r="K58" s="15" t="n">
        <f aca="false">0</f>
        <v>0</v>
      </c>
      <c r="L58" s="4"/>
      <c r="M58" s="4"/>
      <c r="N58" s="4"/>
    </row>
    <row r="59" customFormat="false" ht="15" hidden="false" customHeight="false" outlineLevel="0" collapsed="false">
      <c r="A59" s="14" t="s">
        <v>1137</v>
      </c>
      <c r="B59" s="14" t="s">
        <v>1027</v>
      </c>
      <c r="C59" s="14" t="s">
        <v>1019</v>
      </c>
      <c r="D59" s="14" t="s">
        <v>1088</v>
      </c>
      <c r="E59" s="14" t="n">
        <v>240</v>
      </c>
      <c r="F59" s="16"/>
      <c r="G59" s="16"/>
      <c r="H59" s="16"/>
      <c r="I59" s="16" t="n">
        <v>0</v>
      </c>
      <c r="J59" s="15" t="str">
        <f aca="false">IF(AND(ISNUMBER(F59),G59&lt;&gt;"",H59&lt;&gt;"",I59=1),IF(F59&lt;=E59,"PASS","FAIL"),"OPEN")</f>
        <v>OPEN</v>
      </c>
      <c r="K59" s="15" t="n">
        <f aca="false">0</f>
        <v>0</v>
      </c>
      <c r="L59" s="4"/>
      <c r="M59" s="4"/>
      <c r="N59" s="4"/>
    </row>
    <row r="60" customFormat="false" ht="15" hidden="false" customHeight="false" outlineLevel="0" collapsed="false">
      <c r="A60" s="14" t="s">
        <v>1138</v>
      </c>
      <c r="B60" s="14" t="s">
        <v>1027</v>
      </c>
      <c r="C60" s="14" t="s">
        <v>1019</v>
      </c>
      <c r="D60" s="14" t="s">
        <v>1090</v>
      </c>
      <c r="E60" s="14" t="n">
        <v>240</v>
      </c>
      <c r="F60" s="16"/>
      <c r="G60" s="16"/>
      <c r="H60" s="16"/>
      <c r="I60" s="16" t="n">
        <v>0</v>
      </c>
      <c r="J60" s="15" t="str">
        <f aca="false">IF(AND(ISNUMBER(F60),G60&lt;&gt;"",H60&lt;&gt;"",I60=1),IF(F60&lt;=E60,"PASS","FAIL"),"OPEN")</f>
        <v>OPEN</v>
      </c>
      <c r="K60" s="15" t="n">
        <f aca="false">0</f>
        <v>0</v>
      </c>
      <c r="L60" s="4"/>
      <c r="M60" s="4"/>
      <c r="N60" s="4"/>
    </row>
    <row r="61" customFormat="false" ht="15" hidden="false" customHeight="false" outlineLevel="0" collapsed="false">
      <c r="A61" s="14" t="s">
        <v>1139</v>
      </c>
      <c r="B61" s="14" t="s">
        <v>1028</v>
      </c>
      <c r="C61" s="14" t="s">
        <v>1019</v>
      </c>
      <c r="D61" s="14" t="s">
        <v>1080</v>
      </c>
      <c r="E61" s="14" t="n">
        <v>5</v>
      </c>
      <c r="F61" s="16"/>
      <c r="G61" s="16"/>
      <c r="H61" s="16"/>
      <c r="I61" s="16" t="n">
        <v>0</v>
      </c>
      <c r="J61" s="15" t="str">
        <f aca="false">IF(AND(ISNUMBER(F61),G61&lt;&gt;"",H61&lt;&gt;"",I61=1),IF(F61&lt;=E61,"PASS","FAIL"),"OPEN")</f>
        <v>OPEN</v>
      </c>
      <c r="K61" s="15" t="n">
        <f aca="false">0</f>
        <v>0</v>
      </c>
      <c r="L61" s="4"/>
      <c r="M61" s="4"/>
      <c r="N61" s="4"/>
    </row>
    <row r="62" customFormat="false" ht="15" hidden="false" customHeight="false" outlineLevel="0" collapsed="false">
      <c r="A62" s="14" t="s">
        <v>1140</v>
      </c>
      <c r="B62" s="14" t="s">
        <v>1028</v>
      </c>
      <c r="C62" s="14" t="s">
        <v>1019</v>
      </c>
      <c r="D62" s="14" t="s">
        <v>1082</v>
      </c>
      <c r="E62" s="14" t="n">
        <v>15</v>
      </c>
      <c r="F62" s="16"/>
      <c r="G62" s="16"/>
      <c r="H62" s="16"/>
      <c r="I62" s="16" t="n">
        <v>0</v>
      </c>
      <c r="J62" s="15" t="str">
        <f aca="false">IF(AND(ISNUMBER(F62),G62&lt;&gt;"",H62&lt;&gt;"",I62=1),IF(F62&lt;=E62,"PASS","FAIL"),"OPEN")</f>
        <v>OPEN</v>
      </c>
      <c r="K62" s="15" t="n">
        <f aca="false">0</f>
        <v>0</v>
      </c>
      <c r="L62" s="4"/>
      <c r="M62" s="4"/>
      <c r="N62" s="4"/>
    </row>
    <row r="63" customFormat="false" ht="15" hidden="false" customHeight="false" outlineLevel="0" collapsed="false">
      <c r="A63" s="14" t="s">
        <v>1141</v>
      </c>
      <c r="B63" s="14" t="s">
        <v>1028</v>
      </c>
      <c r="C63" s="14" t="s">
        <v>1019</v>
      </c>
      <c r="D63" s="14" t="s">
        <v>1084</v>
      </c>
      <c r="E63" s="14" t="n">
        <v>60</v>
      </c>
      <c r="F63" s="16"/>
      <c r="G63" s="16"/>
      <c r="H63" s="16"/>
      <c r="I63" s="16" t="n">
        <v>0</v>
      </c>
      <c r="J63" s="15" t="str">
        <f aca="false">IF(AND(ISNUMBER(F63),G63&lt;&gt;"",H63&lt;&gt;"",I63=1),IF(F63&lt;=E63,"PASS","FAIL"),"OPEN")</f>
        <v>OPEN</v>
      </c>
      <c r="K63" s="15" t="n">
        <f aca="false">0</f>
        <v>0</v>
      </c>
      <c r="L63" s="4"/>
      <c r="M63" s="4"/>
      <c r="N63" s="4"/>
    </row>
    <row r="64" customFormat="false" ht="15" hidden="false" customHeight="false" outlineLevel="0" collapsed="false">
      <c r="A64" s="14" t="s">
        <v>1142</v>
      </c>
      <c r="B64" s="14" t="s">
        <v>1028</v>
      </c>
      <c r="C64" s="14" t="s">
        <v>1019</v>
      </c>
      <c r="D64" s="14" t="s">
        <v>1086</v>
      </c>
      <c r="E64" s="14" t="n">
        <v>120</v>
      </c>
      <c r="F64" s="16"/>
      <c r="G64" s="16"/>
      <c r="H64" s="16"/>
      <c r="I64" s="16" t="n">
        <v>0</v>
      </c>
      <c r="J64" s="15" t="str">
        <f aca="false">IF(AND(ISNUMBER(F64),G64&lt;&gt;"",H64&lt;&gt;"",I64=1),IF(F64&lt;=E64,"PASS","FAIL"),"OPEN")</f>
        <v>OPEN</v>
      </c>
      <c r="K64" s="15" t="n">
        <f aca="false">0</f>
        <v>0</v>
      </c>
      <c r="L64" s="4"/>
      <c r="M64" s="4"/>
      <c r="N64" s="4"/>
    </row>
    <row r="65" customFormat="false" ht="15" hidden="false" customHeight="false" outlineLevel="0" collapsed="false">
      <c r="A65" s="14" t="s">
        <v>1143</v>
      </c>
      <c r="B65" s="14" t="s">
        <v>1028</v>
      </c>
      <c r="C65" s="14" t="s">
        <v>1019</v>
      </c>
      <c r="D65" s="14" t="s">
        <v>1088</v>
      </c>
      <c r="E65" s="14" t="n">
        <v>240</v>
      </c>
      <c r="F65" s="16"/>
      <c r="G65" s="16"/>
      <c r="H65" s="16"/>
      <c r="I65" s="16" t="n">
        <v>0</v>
      </c>
      <c r="J65" s="15" t="str">
        <f aca="false">IF(AND(ISNUMBER(F65),G65&lt;&gt;"",H65&lt;&gt;"",I65=1),IF(F65&lt;=E65,"PASS","FAIL"),"OPEN")</f>
        <v>OPEN</v>
      </c>
      <c r="K65" s="15" t="n">
        <f aca="false">0</f>
        <v>0</v>
      </c>
      <c r="L65" s="4"/>
      <c r="M65" s="4"/>
      <c r="N65" s="4"/>
    </row>
    <row r="66" customFormat="false" ht="15" hidden="false" customHeight="false" outlineLevel="0" collapsed="false">
      <c r="A66" s="14" t="s">
        <v>1144</v>
      </c>
      <c r="B66" s="14" t="s">
        <v>1028</v>
      </c>
      <c r="C66" s="14" t="s">
        <v>1019</v>
      </c>
      <c r="D66" s="14" t="s">
        <v>1090</v>
      </c>
      <c r="E66" s="14" t="n">
        <v>240</v>
      </c>
      <c r="F66" s="16"/>
      <c r="G66" s="16"/>
      <c r="H66" s="16"/>
      <c r="I66" s="16" t="n">
        <v>0</v>
      </c>
      <c r="J66" s="15" t="str">
        <f aca="false">IF(AND(ISNUMBER(F66),G66&lt;&gt;"",H66&lt;&gt;"",I66=1),IF(F66&lt;=E66,"PASS","FAIL"),"OPEN")</f>
        <v>OPEN</v>
      </c>
      <c r="K66" s="15" t="n">
        <f aca="false">0</f>
        <v>0</v>
      </c>
      <c r="L66" s="4"/>
      <c r="M66" s="4"/>
      <c r="N66" s="4"/>
    </row>
    <row r="67" customFormat="false" ht="15" hidden="false" customHeight="false" outlineLevel="0" collapsed="false">
      <c r="A67" s="14" t="s">
        <v>1145</v>
      </c>
      <c r="B67" s="14" t="s">
        <v>1029</v>
      </c>
      <c r="C67" s="14" t="s">
        <v>1019</v>
      </c>
      <c r="D67" s="14" t="s">
        <v>1080</v>
      </c>
      <c r="E67" s="14" t="n">
        <v>5</v>
      </c>
      <c r="F67" s="16"/>
      <c r="G67" s="16"/>
      <c r="H67" s="16"/>
      <c r="I67" s="16" t="n">
        <v>0</v>
      </c>
      <c r="J67" s="15" t="str">
        <f aca="false">IF(AND(ISNUMBER(F67),G67&lt;&gt;"",H67&lt;&gt;"",I67=1),IF(F67&lt;=E67,"PASS","FAIL"),"OPEN")</f>
        <v>OPEN</v>
      </c>
      <c r="K67" s="15" t="n">
        <f aca="false">0</f>
        <v>0</v>
      </c>
      <c r="L67" s="4"/>
      <c r="M67" s="4"/>
      <c r="N67" s="4"/>
    </row>
    <row r="68" customFormat="false" ht="15" hidden="false" customHeight="false" outlineLevel="0" collapsed="false">
      <c r="A68" s="14" t="s">
        <v>1146</v>
      </c>
      <c r="B68" s="14" t="s">
        <v>1029</v>
      </c>
      <c r="C68" s="14" t="s">
        <v>1019</v>
      </c>
      <c r="D68" s="14" t="s">
        <v>1082</v>
      </c>
      <c r="E68" s="14" t="n">
        <v>15</v>
      </c>
      <c r="F68" s="16"/>
      <c r="G68" s="16"/>
      <c r="H68" s="16"/>
      <c r="I68" s="16" t="n">
        <v>0</v>
      </c>
      <c r="J68" s="15" t="str">
        <f aca="false">IF(AND(ISNUMBER(F68),G68&lt;&gt;"",H68&lt;&gt;"",I68=1),IF(F68&lt;=E68,"PASS","FAIL"),"OPEN")</f>
        <v>OPEN</v>
      </c>
      <c r="K68" s="15" t="n">
        <f aca="false">0</f>
        <v>0</v>
      </c>
      <c r="L68" s="4"/>
      <c r="M68" s="4"/>
      <c r="N68" s="4"/>
    </row>
    <row r="69" customFormat="false" ht="15" hidden="false" customHeight="false" outlineLevel="0" collapsed="false">
      <c r="A69" s="14" t="s">
        <v>1147</v>
      </c>
      <c r="B69" s="14" t="s">
        <v>1029</v>
      </c>
      <c r="C69" s="14" t="s">
        <v>1019</v>
      </c>
      <c r="D69" s="14" t="s">
        <v>1084</v>
      </c>
      <c r="E69" s="14" t="n">
        <v>60</v>
      </c>
      <c r="F69" s="16"/>
      <c r="G69" s="16"/>
      <c r="H69" s="16"/>
      <c r="I69" s="16" t="n">
        <v>0</v>
      </c>
      <c r="J69" s="15" t="str">
        <f aca="false">IF(AND(ISNUMBER(F69),G69&lt;&gt;"",H69&lt;&gt;"",I69=1),IF(F69&lt;=E69,"PASS","FAIL"),"OPEN")</f>
        <v>OPEN</v>
      </c>
      <c r="K69" s="15" t="n">
        <f aca="false">0</f>
        <v>0</v>
      </c>
      <c r="L69" s="4"/>
      <c r="M69" s="4"/>
      <c r="N69" s="4"/>
    </row>
    <row r="70" customFormat="false" ht="15" hidden="false" customHeight="false" outlineLevel="0" collapsed="false">
      <c r="A70" s="14" t="s">
        <v>1148</v>
      </c>
      <c r="B70" s="14" t="s">
        <v>1029</v>
      </c>
      <c r="C70" s="14" t="s">
        <v>1019</v>
      </c>
      <c r="D70" s="14" t="s">
        <v>1086</v>
      </c>
      <c r="E70" s="14" t="n">
        <v>120</v>
      </c>
      <c r="F70" s="16"/>
      <c r="G70" s="16"/>
      <c r="H70" s="16"/>
      <c r="I70" s="16" t="n">
        <v>0</v>
      </c>
      <c r="J70" s="15" t="str">
        <f aca="false">IF(AND(ISNUMBER(F70),G70&lt;&gt;"",H70&lt;&gt;"",I70=1),IF(F70&lt;=E70,"PASS","FAIL"),"OPEN")</f>
        <v>OPEN</v>
      </c>
      <c r="K70" s="15" t="n">
        <f aca="false">0</f>
        <v>0</v>
      </c>
      <c r="L70" s="4"/>
      <c r="M70" s="4"/>
      <c r="N70" s="4"/>
    </row>
    <row r="71" customFormat="false" ht="15" hidden="false" customHeight="false" outlineLevel="0" collapsed="false">
      <c r="A71" s="14" t="s">
        <v>1149</v>
      </c>
      <c r="B71" s="14" t="s">
        <v>1029</v>
      </c>
      <c r="C71" s="14" t="s">
        <v>1019</v>
      </c>
      <c r="D71" s="14" t="s">
        <v>1088</v>
      </c>
      <c r="E71" s="14" t="n">
        <v>240</v>
      </c>
      <c r="F71" s="16"/>
      <c r="G71" s="16"/>
      <c r="H71" s="16"/>
      <c r="I71" s="16" t="n">
        <v>0</v>
      </c>
      <c r="J71" s="15" t="str">
        <f aca="false">IF(AND(ISNUMBER(F71),G71&lt;&gt;"",H71&lt;&gt;"",I71=1),IF(F71&lt;=E71,"PASS","FAIL"),"OPEN")</f>
        <v>OPEN</v>
      </c>
      <c r="K71" s="15" t="n">
        <f aca="false">0</f>
        <v>0</v>
      </c>
      <c r="L71" s="4"/>
      <c r="M71" s="4"/>
      <c r="N71" s="4"/>
    </row>
    <row r="72" customFormat="false" ht="15" hidden="false" customHeight="false" outlineLevel="0" collapsed="false">
      <c r="A72" s="14" t="s">
        <v>1150</v>
      </c>
      <c r="B72" s="14" t="s">
        <v>1029</v>
      </c>
      <c r="C72" s="14" t="s">
        <v>1019</v>
      </c>
      <c r="D72" s="14" t="s">
        <v>1090</v>
      </c>
      <c r="E72" s="14" t="n">
        <v>240</v>
      </c>
      <c r="F72" s="16"/>
      <c r="G72" s="16"/>
      <c r="H72" s="16"/>
      <c r="I72" s="16" t="n">
        <v>0</v>
      </c>
      <c r="J72" s="15" t="str">
        <f aca="false">IF(AND(ISNUMBER(F72),G72&lt;&gt;"",H72&lt;&gt;"",I72=1),IF(F72&lt;=E72,"PASS","FAIL"),"OPEN")</f>
        <v>OPEN</v>
      </c>
      <c r="K72" s="15" t="n">
        <f aca="false">0</f>
        <v>0</v>
      </c>
      <c r="L72" s="4"/>
      <c r="M72" s="4"/>
      <c r="N72" s="4"/>
    </row>
    <row r="73" customFormat="false" ht="15" hidden="false" customHeight="false" outlineLevel="0" collapsed="false">
      <c r="A73" s="14" t="s">
        <v>1151</v>
      </c>
      <c r="B73" s="14" t="s">
        <v>1030</v>
      </c>
      <c r="C73" s="14" t="s">
        <v>1019</v>
      </c>
      <c r="D73" s="14" t="s">
        <v>1080</v>
      </c>
      <c r="E73" s="14" t="n">
        <v>5</v>
      </c>
      <c r="F73" s="16"/>
      <c r="G73" s="16"/>
      <c r="H73" s="16"/>
      <c r="I73" s="16" t="n">
        <v>0</v>
      </c>
      <c r="J73" s="15" t="str">
        <f aca="false">IF(AND(ISNUMBER(F73),G73&lt;&gt;"",H73&lt;&gt;"",I73=1),IF(F73&lt;=E73,"PASS","FAIL"),"OPEN")</f>
        <v>OPEN</v>
      </c>
      <c r="K73" s="15" t="n">
        <f aca="false">0</f>
        <v>0</v>
      </c>
      <c r="L73" s="4"/>
      <c r="M73" s="4"/>
      <c r="N73" s="4"/>
    </row>
    <row r="74" customFormat="false" ht="15" hidden="false" customHeight="false" outlineLevel="0" collapsed="false">
      <c r="A74" s="14" t="s">
        <v>1152</v>
      </c>
      <c r="B74" s="14" t="s">
        <v>1030</v>
      </c>
      <c r="C74" s="14" t="s">
        <v>1019</v>
      </c>
      <c r="D74" s="14" t="s">
        <v>1082</v>
      </c>
      <c r="E74" s="14" t="n">
        <v>15</v>
      </c>
      <c r="F74" s="16"/>
      <c r="G74" s="16"/>
      <c r="H74" s="16"/>
      <c r="I74" s="16" t="n">
        <v>0</v>
      </c>
      <c r="J74" s="15" t="str">
        <f aca="false">IF(AND(ISNUMBER(F74),G74&lt;&gt;"",H74&lt;&gt;"",I74=1),IF(F74&lt;=E74,"PASS","FAIL"),"OPEN")</f>
        <v>OPEN</v>
      </c>
      <c r="K74" s="15" t="n">
        <f aca="false">0</f>
        <v>0</v>
      </c>
      <c r="L74" s="4"/>
      <c r="M74" s="4"/>
      <c r="N74" s="4"/>
    </row>
    <row r="75" customFormat="false" ht="15" hidden="false" customHeight="false" outlineLevel="0" collapsed="false">
      <c r="A75" s="14" t="s">
        <v>1153</v>
      </c>
      <c r="B75" s="14" t="s">
        <v>1030</v>
      </c>
      <c r="C75" s="14" t="s">
        <v>1019</v>
      </c>
      <c r="D75" s="14" t="s">
        <v>1084</v>
      </c>
      <c r="E75" s="14" t="n">
        <v>60</v>
      </c>
      <c r="F75" s="16"/>
      <c r="G75" s="16"/>
      <c r="H75" s="16"/>
      <c r="I75" s="16" t="n">
        <v>0</v>
      </c>
      <c r="J75" s="15" t="str">
        <f aca="false">IF(AND(ISNUMBER(F75),G75&lt;&gt;"",H75&lt;&gt;"",I75=1),IF(F75&lt;=E75,"PASS","FAIL"),"OPEN")</f>
        <v>OPEN</v>
      </c>
      <c r="K75" s="15" t="n">
        <f aca="false">0</f>
        <v>0</v>
      </c>
      <c r="L75" s="4"/>
      <c r="M75" s="4"/>
      <c r="N75" s="4"/>
    </row>
    <row r="76" customFormat="false" ht="15" hidden="false" customHeight="false" outlineLevel="0" collapsed="false">
      <c r="A76" s="14" t="s">
        <v>1154</v>
      </c>
      <c r="B76" s="14" t="s">
        <v>1030</v>
      </c>
      <c r="C76" s="14" t="s">
        <v>1019</v>
      </c>
      <c r="D76" s="14" t="s">
        <v>1086</v>
      </c>
      <c r="E76" s="14" t="n">
        <v>120</v>
      </c>
      <c r="F76" s="16"/>
      <c r="G76" s="16"/>
      <c r="H76" s="16"/>
      <c r="I76" s="16" t="n">
        <v>0</v>
      </c>
      <c r="J76" s="15" t="str">
        <f aca="false">IF(AND(ISNUMBER(F76),G76&lt;&gt;"",H76&lt;&gt;"",I76=1),IF(F76&lt;=E76,"PASS","FAIL"),"OPEN")</f>
        <v>OPEN</v>
      </c>
      <c r="K76" s="15" t="n">
        <f aca="false">0</f>
        <v>0</v>
      </c>
      <c r="L76" s="4"/>
      <c r="M76" s="4"/>
      <c r="N76" s="4"/>
    </row>
    <row r="77" customFormat="false" ht="15" hidden="false" customHeight="false" outlineLevel="0" collapsed="false">
      <c r="A77" s="14" t="s">
        <v>1155</v>
      </c>
      <c r="B77" s="14" t="s">
        <v>1030</v>
      </c>
      <c r="C77" s="14" t="s">
        <v>1019</v>
      </c>
      <c r="D77" s="14" t="s">
        <v>1088</v>
      </c>
      <c r="E77" s="14" t="n">
        <v>240</v>
      </c>
      <c r="F77" s="16"/>
      <c r="G77" s="16"/>
      <c r="H77" s="16"/>
      <c r="I77" s="16" t="n">
        <v>0</v>
      </c>
      <c r="J77" s="15" t="str">
        <f aca="false">IF(AND(ISNUMBER(F77),G77&lt;&gt;"",H77&lt;&gt;"",I77=1),IF(F77&lt;=E77,"PASS","FAIL"),"OPEN")</f>
        <v>OPEN</v>
      </c>
      <c r="K77" s="15" t="n">
        <f aca="false">0</f>
        <v>0</v>
      </c>
      <c r="L77" s="4"/>
      <c r="M77" s="4"/>
      <c r="N77" s="4"/>
    </row>
    <row r="78" customFormat="false" ht="15" hidden="false" customHeight="false" outlineLevel="0" collapsed="false">
      <c r="A78" s="14" t="s">
        <v>1156</v>
      </c>
      <c r="B78" s="14" t="s">
        <v>1030</v>
      </c>
      <c r="C78" s="14" t="s">
        <v>1019</v>
      </c>
      <c r="D78" s="14" t="s">
        <v>1090</v>
      </c>
      <c r="E78" s="14" t="n">
        <v>240</v>
      </c>
      <c r="F78" s="16"/>
      <c r="G78" s="16"/>
      <c r="H78" s="16"/>
      <c r="I78" s="16" t="n">
        <v>0</v>
      </c>
      <c r="J78" s="15" t="str">
        <f aca="false">IF(AND(ISNUMBER(F78),G78&lt;&gt;"",H78&lt;&gt;"",I78=1),IF(F78&lt;=E78,"PASS","FAIL"),"OPEN")</f>
        <v>OPEN</v>
      </c>
      <c r="K78" s="15" t="n">
        <f aca="false">0</f>
        <v>0</v>
      </c>
      <c r="L78" s="4"/>
      <c r="M78" s="4"/>
      <c r="N78" s="4"/>
    </row>
    <row r="79" customFormat="false" ht="15" hidden="false" customHeight="false" outlineLevel="0" collapsed="false">
      <c r="A79" s="14" t="s">
        <v>1157</v>
      </c>
      <c r="B79" s="14" t="s">
        <v>1031</v>
      </c>
      <c r="C79" s="14" t="s">
        <v>1019</v>
      </c>
      <c r="D79" s="14" t="s">
        <v>1080</v>
      </c>
      <c r="E79" s="14" t="n">
        <v>5</v>
      </c>
      <c r="F79" s="16"/>
      <c r="G79" s="16"/>
      <c r="H79" s="16"/>
      <c r="I79" s="16" t="n">
        <v>0</v>
      </c>
      <c r="J79" s="15" t="str">
        <f aca="false">IF(AND(ISNUMBER(F79),G79&lt;&gt;"",H79&lt;&gt;"",I79=1),IF(F79&lt;=E79,"PASS","FAIL"),"OPEN")</f>
        <v>OPEN</v>
      </c>
      <c r="K79" s="15" t="n">
        <f aca="false">0</f>
        <v>0</v>
      </c>
      <c r="L79" s="4"/>
      <c r="M79" s="4"/>
      <c r="N79" s="4"/>
    </row>
    <row r="80" customFormat="false" ht="15" hidden="false" customHeight="false" outlineLevel="0" collapsed="false">
      <c r="A80" s="14" t="s">
        <v>1158</v>
      </c>
      <c r="B80" s="14" t="s">
        <v>1031</v>
      </c>
      <c r="C80" s="14" t="s">
        <v>1019</v>
      </c>
      <c r="D80" s="14" t="s">
        <v>1082</v>
      </c>
      <c r="E80" s="14" t="n">
        <v>15</v>
      </c>
      <c r="F80" s="16"/>
      <c r="G80" s="16"/>
      <c r="H80" s="16"/>
      <c r="I80" s="16" t="n">
        <v>0</v>
      </c>
      <c r="J80" s="15" t="str">
        <f aca="false">IF(AND(ISNUMBER(F80),G80&lt;&gt;"",H80&lt;&gt;"",I80=1),IF(F80&lt;=E80,"PASS","FAIL"),"OPEN")</f>
        <v>OPEN</v>
      </c>
      <c r="K80" s="15" t="n">
        <f aca="false">0</f>
        <v>0</v>
      </c>
      <c r="L80" s="4"/>
      <c r="M80" s="4"/>
      <c r="N80" s="4"/>
    </row>
    <row r="81" customFormat="false" ht="15" hidden="false" customHeight="false" outlineLevel="0" collapsed="false">
      <c r="A81" s="14" t="s">
        <v>1159</v>
      </c>
      <c r="B81" s="14" t="s">
        <v>1031</v>
      </c>
      <c r="C81" s="14" t="s">
        <v>1019</v>
      </c>
      <c r="D81" s="14" t="s">
        <v>1084</v>
      </c>
      <c r="E81" s="14" t="n">
        <v>60</v>
      </c>
      <c r="F81" s="16"/>
      <c r="G81" s="16"/>
      <c r="H81" s="16"/>
      <c r="I81" s="16" t="n">
        <v>0</v>
      </c>
      <c r="J81" s="15" t="str">
        <f aca="false">IF(AND(ISNUMBER(F81),G81&lt;&gt;"",H81&lt;&gt;"",I81=1),IF(F81&lt;=E81,"PASS","FAIL"),"OPEN")</f>
        <v>OPEN</v>
      </c>
      <c r="K81" s="15" t="n">
        <f aca="false">0</f>
        <v>0</v>
      </c>
      <c r="L81" s="4"/>
      <c r="M81" s="4"/>
      <c r="N81" s="4"/>
    </row>
    <row r="82" customFormat="false" ht="15" hidden="false" customHeight="false" outlineLevel="0" collapsed="false">
      <c r="A82" s="14" t="s">
        <v>1160</v>
      </c>
      <c r="B82" s="14" t="s">
        <v>1031</v>
      </c>
      <c r="C82" s="14" t="s">
        <v>1019</v>
      </c>
      <c r="D82" s="14" t="s">
        <v>1086</v>
      </c>
      <c r="E82" s="14" t="n">
        <v>120</v>
      </c>
      <c r="F82" s="16"/>
      <c r="G82" s="16"/>
      <c r="H82" s="16"/>
      <c r="I82" s="16" t="n">
        <v>0</v>
      </c>
      <c r="J82" s="15" t="str">
        <f aca="false">IF(AND(ISNUMBER(F82),G82&lt;&gt;"",H82&lt;&gt;"",I82=1),IF(F82&lt;=E82,"PASS","FAIL"),"OPEN")</f>
        <v>OPEN</v>
      </c>
      <c r="K82" s="15" t="n">
        <f aca="false">0</f>
        <v>0</v>
      </c>
      <c r="L82" s="4"/>
      <c r="M82" s="4"/>
      <c r="N82" s="4"/>
    </row>
    <row r="83" customFormat="false" ht="15" hidden="false" customHeight="false" outlineLevel="0" collapsed="false">
      <c r="A83" s="14" t="s">
        <v>1161</v>
      </c>
      <c r="B83" s="14" t="s">
        <v>1031</v>
      </c>
      <c r="C83" s="14" t="s">
        <v>1019</v>
      </c>
      <c r="D83" s="14" t="s">
        <v>1088</v>
      </c>
      <c r="E83" s="14" t="n">
        <v>240</v>
      </c>
      <c r="F83" s="16"/>
      <c r="G83" s="16"/>
      <c r="H83" s="16"/>
      <c r="I83" s="16" t="n">
        <v>0</v>
      </c>
      <c r="J83" s="15" t="str">
        <f aca="false">IF(AND(ISNUMBER(F83),G83&lt;&gt;"",H83&lt;&gt;"",I83=1),IF(F83&lt;=E83,"PASS","FAIL"),"OPEN")</f>
        <v>OPEN</v>
      </c>
      <c r="K83" s="15" t="n">
        <f aca="false">0</f>
        <v>0</v>
      </c>
      <c r="L83" s="4"/>
      <c r="M83" s="4"/>
      <c r="N83" s="4"/>
    </row>
    <row r="84" customFormat="false" ht="15" hidden="false" customHeight="false" outlineLevel="0" collapsed="false">
      <c r="A84" s="14" t="s">
        <v>1162</v>
      </c>
      <c r="B84" s="14" t="s">
        <v>1031</v>
      </c>
      <c r="C84" s="14" t="s">
        <v>1019</v>
      </c>
      <c r="D84" s="14" t="s">
        <v>1090</v>
      </c>
      <c r="E84" s="14" t="n">
        <v>240</v>
      </c>
      <c r="F84" s="16"/>
      <c r="G84" s="16"/>
      <c r="H84" s="16"/>
      <c r="I84" s="16" t="n">
        <v>0</v>
      </c>
      <c r="J84" s="15" t="str">
        <f aca="false">IF(AND(ISNUMBER(F84),G84&lt;&gt;"",H84&lt;&gt;"",I84=1),IF(F84&lt;=E84,"PASS","FAIL"),"OPEN")</f>
        <v>OPEN</v>
      </c>
      <c r="K84" s="15" t="n">
        <f aca="false">0</f>
        <v>0</v>
      </c>
      <c r="L84" s="4"/>
      <c r="M84" s="4"/>
      <c r="N84" s="4"/>
    </row>
    <row r="85" customFormat="false" ht="15" hidden="false" customHeight="false" outlineLevel="0" collapsed="false">
      <c r="A85" s="14" t="s">
        <v>1163</v>
      </c>
      <c r="B85" s="14" t="s">
        <v>1032</v>
      </c>
      <c r="C85" s="14" t="s">
        <v>1019</v>
      </c>
      <c r="D85" s="14" t="s">
        <v>1080</v>
      </c>
      <c r="E85" s="14" t="n">
        <v>5</v>
      </c>
      <c r="F85" s="16"/>
      <c r="G85" s="16"/>
      <c r="H85" s="16"/>
      <c r="I85" s="16" t="n">
        <v>0</v>
      </c>
      <c r="J85" s="15" t="str">
        <f aca="false">IF(AND(ISNUMBER(F85),G85&lt;&gt;"",H85&lt;&gt;"",I85=1),IF(F85&lt;=E85,"PASS","FAIL"),"OPEN")</f>
        <v>OPEN</v>
      </c>
      <c r="K85" s="15" t="n">
        <f aca="false">0</f>
        <v>0</v>
      </c>
      <c r="L85" s="4"/>
      <c r="M85" s="4"/>
      <c r="N85" s="4"/>
    </row>
    <row r="86" customFormat="false" ht="15" hidden="false" customHeight="false" outlineLevel="0" collapsed="false">
      <c r="A86" s="14" t="s">
        <v>1164</v>
      </c>
      <c r="B86" s="14" t="s">
        <v>1032</v>
      </c>
      <c r="C86" s="14" t="s">
        <v>1019</v>
      </c>
      <c r="D86" s="14" t="s">
        <v>1082</v>
      </c>
      <c r="E86" s="14" t="n">
        <v>15</v>
      </c>
      <c r="F86" s="16"/>
      <c r="G86" s="16"/>
      <c r="H86" s="16"/>
      <c r="I86" s="16" t="n">
        <v>0</v>
      </c>
      <c r="J86" s="15" t="str">
        <f aca="false">IF(AND(ISNUMBER(F86),G86&lt;&gt;"",H86&lt;&gt;"",I86=1),IF(F86&lt;=E86,"PASS","FAIL"),"OPEN")</f>
        <v>OPEN</v>
      </c>
      <c r="K86" s="15" t="n">
        <f aca="false">0</f>
        <v>0</v>
      </c>
      <c r="L86" s="4"/>
      <c r="M86" s="4"/>
      <c r="N86" s="4"/>
    </row>
    <row r="87" customFormat="false" ht="15" hidden="false" customHeight="false" outlineLevel="0" collapsed="false">
      <c r="A87" s="14" t="s">
        <v>1165</v>
      </c>
      <c r="B87" s="14" t="s">
        <v>1032</v>
      </c>
      <c r="C87" s="14" t="s">
        <v>1019</v>
      </c>
      <c r="D87" s="14" t="s">
        <v>1084</v>
      </c>
      <c r="E87" s="14" t="n">
        <v>60</v>
      </c>
      <c r="F87" s="16"/>
      <c r="G87" s="16"/>
      <c r="H87" s="16"/>
      <c r="I87" s="16" t="n">
        <v>0</v>
      </c>
      <c r="J87" s="15" t="str">
        <f aca="false">IF(AND(ISNUMBER(F87),G87&lt;&gt;"",H87&lt;&gt;"",I87=1),IF(F87&lt;=E87,"PASS","FAIL"),"OPEN")</f>
        <v>OPEN</v>
      </c>
      <c r="K87" s="15" t="n">
        <f aca="false">0</f>
        <v>0</v>
      </c>
      <c r="L87" s="4"/>
      <c r="M87" s="4"/>
      <c r="N87" s="4"/>
    </row>
    <row r="88" customFormat="false" ht="15" hidden="false" customHeight="false" outlineLevel="0" collapsed="false">
      <c r="A88" s="14" t="s">
        <v>1166</v>
      </c>
      <c r="B88" s="14" t="s">
        <v>1032</v>
      </c>
      <c r="C88" s="14" t="s">
        <v>1019</v>
      </c>
      <c r="D88" s="14" t="s">
        <v>1086</v>
      </c>
      <c r="E88" s="14" t="n">
        <v>120</v>
      </c>
      <c r="F88" s="16"/>
      <c r="G88" s="16"/>
      <c r="H88" s="16"/>
      <c r="I88" s="16" t="n">
        <v>0</v>
      </c>
      <c r="J88" s="15" t="str">
        <f aca="false">IF(AND(ISNUMBER(F88),G88&lt;&gt;"",H88&lt;&gt;"",I88=1),IF(F88&lt;=E88,"PASS","FAIL"),"OPEN")</f>
        <v>OPEN</v>
      </c>
      <c r="K88" s="15" t="n">
        <f aca="false">0</f>
        <v>0</v>
      </c>
      <c r="L88" s="4"/>
      <c r="M88" s="4"/>
      <c r="N88" s="4"/>
    </row>
    <row r="89" customFormat="false" ht="15" hidden="false" customHeight="false" outlineLevel="0" collapsed="false">
      <c r="A89" s="14" t="s">
        <v>1167</v>
      </c>
      <c r="B89" s="14" t="s">
        <v>1032</v>
      </c>
      <c r="C89" s="14" t="s">
        <v>1019</v>
      </c>
      <c r="D89" s="14" t="s">
        <v>1088</v>
      </c>
      <c r="E89" s="14" t="n">
        <v>240</v>
      </c>
      <c r="F89" s="16"/>
      <c r="G89" s="16"/>
      <c r="H89" s="16"/>
      <c r="I89" s="16" t="n">
        <v>0</v>
      </c>
      <c r="J89" s="15" t="str">
        <f aca="false">IF(AND(ISNUMBER(F89),G89&lt;&gt;"",H89&lt;&gt;"",I89=1),IF(F89&lt;=E89,"PASS","FAIL"),"OPEN")</f>
        <v>OPEN</v>
      </c>
      <c r="K89" s="15" t="n">
        <f aca="false">0</f>
        <v>0</v>
      </c>
      <c r="L89" s="4"/>
      <c r="M89" s="4"/>
      <c r="N89" s="4"/>
    </row>
    <row r="90" customFormat="false" ht="15" hidden="false" customHeight="false" outlineLevel="0" collapsed="false">
      <c r="A90" s="14" t="s">
        <v>1168</v>
      </c>
      <c r="B90" s="14" t="s">
        <v>1032</v>
      </c>
      <c r="C90" s="14" t="s">
        <v>1019</v>
      </c>
      <c r="D90" s="14" t="s">
        <v>1090</v>
      </c>
      <c r="E90" s="14" t="n">
        <v>240</v>
      </c>
      <c r="F90" s="16"/>
      <c r="G90" s="16"/>
      <c r="H90" s="16"/>
      <c r="I90" s="16" t="n">
        <v>0</v>
      </c>
      <c r="J90" s="15" t="str">
        <f aca="false">IF(AND(ISNUMBER(F90),G90&lt;&gt;"",H90&lt;&gt;"",I90=1),IF(F90&lt;=E90,"PASS","FAIL"),"OPEN")</f>
        <v>OPEN</v>
      </c>
      <c r="K90" s="15" t="n">
        <f aca="false">0</f>
        <v>0</v>
      </c>
      <c r="L90" s="4"/>
      <c r="M90" s="4"/>
      <c r="N90" s="4"/>
    </row>
    <row r="91" customFormat="false" ht="15" hidden="false" customHeight="false" outlineLevel="0" collapsed="false">
      <c r="A91" s="14" t="s">
        <v>1169</v>
      </c>
      <c r="B91" s="14" t="s">
        <v>1033</v>
      </c>
      <c r="C91" s="14" t="s">
        <v>1019</v>
      </c>
      <c r="D91" s="14" t="s">
        <v>1080</v>
      </c>
      <c r="E91" s="14" t="n">
        <v>5</v>
      </c>
      <c r="F91" s="16"/>
      <c r="G91" s="16"/>
      <c r="H91" s="16"/>
      <c r="I91" s="16" t="n">
        <v>0</v>
      </c>
      <c r="J91" s="15" t="str">
        <f aca="false">IF(AND(ISNUMBER(F91),G91&lt;&gt;"",H91&lt;&gt;"",I91=1),IF(F91&lt;=E91,"PASS","FAIL"),"OPEN")</f>
        <v>OPEN</v>
      </c>
      <c r="K91" s="15" t="n">
        <f aca="false">0</f>
        <v>0</v>
      </c>
      <c r="L91" s="4"/>
      <c r="M91" s="4"/>
      <c r="N91" s="4"/>
    </row>
    <row r="92" customFormat="false" ht="15" hidden="false" customHeight="false" outlineLevel="0" collapsed="false">
      <c r="A92" s="14" t="s">
        <v>1170</v>
      </c>
      <c r="B92" s="14" t="s">
        <v>1033</v>
      </c>
      <c r="C92" s="14" t="s">
        <v>1019</v>
      </c>
      <c r="D92" s="14" t="s">
        <v>1082</v>
      </c>
      <c r="E92" s="14" t="n">
        <v>15</v>
      </c>
      <c r="F92" s="16"/>
      <c r="G92" s="16"/>
      <c r="H92" s="16"/>
      <c r="I92" s="16" t="n">
        <v>0</v>
      </c>
      <c r="J92" s="15" t="str">
        <f aca="false">IF(AND(ISNUMBER(F92),G92&lt;&gt;"",H92&lt;&gt;"",I92=1),IF(F92&lt;=E92,"PASS","FAIL"),"OPEN")</f>
        <v>OPEN</v>
      </c>
      <c r="K92" s="15" t="n">
        <f aca="false">0</f>
        <v>0</v>
      </c>
      <c r="L92" s="4"/>
      <c r="M92" s="4"/>
      <c r="N92" s="4"/>
    </row>
    <row r="93" customFormat="false" ht="15" hidden="false" customHeight="false" outlineLevel="0" collapsed="false">
      <c r="A93" s="14" t="s">
        <v>1171</v>
      </c>
      <c r="B93" s="14" t="s">
        <v>1033</v>
      </c>
      <c r="C93" s="14" t="s">
        <v>1019</v>
      </c>
      <c r="D93" s="14" t="s">
        <v>1084</v>
      </c>
      <c r="E93" s="14" t="n">
        <v>60</v>
      </c>
      <c r="F93" s="16"/>
      <c r="G93" s="16"/>
      <c r="H93" s="16"/>
      <c r="I93" s="16" t="n">
        <v>0</v>
      </c>
      <c r="J93" s="15" t="str">
        <f aca="false">IF(AND(ISNUMBER(F93),G93&lt;&gt;"",H93&lt;&gt;"",I93=1),IF(F93&lt;=E93,"PASS","FAIL"),"OPEN")</f>
        <v>OPEN</v>
      </c>
      <c r="K93" s="15" t="n">
        <f aca="false">0</f>
        <v>0</v>
      </c>
      <c r="L93" s="4"/>
      <c r="M93" s="4"/>
      <c r="N93" s="4"/>
    </row>
    <row r="94" customFormat="false" ht="15" hidden="false" customHeight="false" outlineLevel="0" collapsed="false">
      <c r="A94" s="14" t="s">
        <v>1172</v>
      </c>
      <c r="B94" s="14" t="s">
        <v>1033</v>
      </c>
      <c r="C94" s="14" t="s">
        <v>1019</v>
      </c>
      <c r="D94" s="14" t="s">
        <v>1086</v>
      </c>
      <c r="E94" s="14" t="n">
        <v>120</v>
      </c>
      <c r="F94" s="16"/>
      <c r="G94" s="16"/>
      <c r="H94" s="16"/>
      <c r="I94" s="16" t="n">
        <v>0</v>
      </c>
      <c r="J94" s="15" t="str">
        <f aca="false">IF(AND(ISNUMBER(F94),G94&lt;&gt;"",H94&lt;&gt;"",I94=1),IF(F94&lt;=E94,"PASS","FAIL"),"OPEN")</f>
        <v>OPEN</v>
      </c>
      <c r="K94" s="15" t="n">
        <f aca="false">0</f>
        <v>0</v>
      </c>
      <c r="L94" s="4"/>
      <c r="M94" s="4"/>
      <c r="N94" s="4"/>
    </row>
    <row r="95" customFormat="false" ht="15" hidden="false" customHeight="false" outlineLevel="0" collapsed="false">
      <c r="A95" s="14" t="s">
        <v>1173</v>
      </c>
      <c r="B95" s="14" t="s">
        <v>1033</v>
      </c>
      <c r="C95" s="14" t="s">
        <v>1019</v>
      </c>
      <c r="D95" s="14" t="s">
        <v>1088</v>
      </c>
      <c r="E95" s="14" t="n">
        <v>240</v>
      </c>
      <c r="F95" s="16"/>
      <c r="G95" s="16"/>
      <c r="H95" s="16"/>
      <c r="I95" s="16" t="n">
        <v>0</v>
      </c>
      <c r="J95" s="15" t="str">
        <f aca="false">IF(AND(ISNUMBER(F95),G95&lt;&gt;"",H95&lt;&gt;"",I95=1),IF(F95&lt;=E95,"PASS","FAIL"),"OPEN")</f>
        <v>OPEN</v>
      </c>
      <c r="K95" s="15" t="n">
        <f aca="false">0</f>
        <v>0</v>
      </c>
      <c r="L95" s="4"/>
      <c r="M95" s="4"/>
      <c r="N95" s="4"/>
    </row>
    <row r="96" customFormat="false" ht="15" hidden="false" customHeight="false" outlineLevel="0" collapsed="false">
      <c r="A96" s="14" t="s">
        <v>1174</v>
      </c>
      <c r="B96" s="14" t="s">
        <v>1033</v>
      </c>
      <c r="C96" s="14" t="s">
        <v>1019</v>
      </c>
      <c r="D96" s="14" t="s">
        <v>1090</v>
      </c>
      <c r="E96" s="14" t="n">
        <v>240</v>
      </c>
      <c r="F96" s="16"/>
      <c r="G96" s="16"/>
      <c r="H96" s="16"/>
      <c r="I96" s="16" t="n">
        <v>0</v>
      </c>
      <c r="J96" s="15" t="str">
        <f aca="false">IF(AND(ISNUMBER(F96),G96&lt;&gt;"",H96&lt;&gt;"",I96=1),IF(F96&lt;=E96,"PASS","FAIL"),"OPEN")</f>
        <v>OPEN</v>
      </c>
      <c r="K96" s="15" t="n">
        <f aca="false">0</f>
        <v>0</v>
      </c>
      <c r="L96" s="4"/>
      <c r="M96" s="4"/>
      <c r="N96" s="4"/>
    </row>
    <row r="97" customFormat="false" ht="15" hidden="false" customHeight="false" outlineLevel="0" collapsed="false">
      <c r="A97" s="14" t="s">
        <v>1175</v>
      </c>
      <c r="B97" s="14" t="s">
        <v>1034</v>
      </c>
      <c r="C97" s="14" t="s">
        <v>1019</v>
      </c>
      <c r="D97" s="14" t="s">
        <v>1080</v>
      </c>
      <c r="E97" s="14" t="n">
        <v>5</v>
      </c>
      <c r="F97" s="16"/>
      <c r="G97" s="16"/>
      <c r="H97" s="16"/>
      <c r="I97" s="16" t="n">
        <v>0</v>
      </c>
      <c r="J97" s="15" t="str">
        <f aca="false">IF(AND(ISNUMBER(F97),G97&lt;&gt;"",H97&lt;&gt;"",I97=1),IF(F97&lt;=E97,"PASS","FAIL"),"OPEN")</f>
        <v>OPEN</v>
      </c>
      <c r="K97" s="15" t="n">
        <f aca="false">0</f>
        <v>0</v>
      </c>
      <c r="L97" s="4"/>
      <c r="M97" s="4"/>
      <c r="N97" s="4"/>
    </row>
    <row r="98" customFormat="false" ht="15" hidden="false" customHeight="false" outlineLevel="0" collapsed="false">
      <c r="A98" s="14" t="s">
        <v>1176</v>
      </c>
      <c r="B98" s="14" t="s">
        <v>1034</v>
      </c>
      <c r="C98" s="14" t="s">
        <v>1019</v>
      </c>
      <c r="D98" s="14" t="s">
        <v>1082</v>
      </c>
      <c r="E98" s="14" t="n">
        <v>15</v>
      </c>
      <c r="F98" s="16"/>
      <c r="G98" s="16"/>
      <c r="H98" s="16"/>
      <c r="I98" s="16" t="n">
        <v>0</v>
      </c>
      <c r="J98" s="15" t="str">
        <f aca="false">IF(AND(ISNUMBER(F98),G98&lt;&gt;"",H98&lt;&gt;"",I98=1),IF(F98&lt;=E98,"PASS","FAIL"),"OPEN")</f>
        <v>OPEN</v>
      </c>
      <c r="K98" s="15" t="n">
        <f aca="false">0</f>
        <v>0</v>
      </c>
      <c r="L98" s="4"/>
      <c r="M98" s="4"/>
      <c r="N98" s="4"/>
    </row>
    <row r="99" customFormat="false" ht="15" hidden="false" customHeight="false" outlineLevel="0" collapsed="false">
      <c r="A99" s="14" t="s">
        <v>1177</v>
      </c>
      <c r="B99" s="14" t="s">
        <v>1034</v>
      </c>
      <c r="C99" s="14" t="s">
        <v>1019</v>
      </c>
      <c r="D99" s="14" t="s">
        <v>1084</v>
      </c>
      <c r="E99" s="14" t="n">
        <v>60</v>
      </c>
      <c r="F99" s="16"/>
      <c r="G99" s="16"/>
      <c r="H99" s="16"/>
      <c r="I99" s="16" t="n">
        <v>0</v>
      </c>
      <c r="J99" s="15" t="str">
        <f aca="false">IF(AND(ISNUMBER(F99),G99&lt;&gt;"",H99&lt;&gt;"",I99=1),IF(F99&lt;=E99,"PASS","FAIL"),"OPEN")</f>
        <v>OPEN</v>
      </c>
      <c r="K99" s="15" t="n">
        <f aca="false">0</f>
        <v>0</v>
      </c>
      <c r="L99" s="4"/>
      <c r="M99" s="4"/>
      <c r="N99" s="4"/>
    </row>
    <row r="100" customFormat="false" ht="15" hidden="false" customHeight="false" outlineLevel="0" collapsed="false">
      <c r="A100" s="14" t="s">
        <v>1178</v>
      </c>
      <c r="B100" s="14" t="s">
        <v>1034</v>
      </c>
      <c r="C100" s="14" t="s">
        <v>1019</v>
      </c>
      <c r="D100" s="14" t="s">
        <v>1086</v>
      </c>
      <c r="E100" s="14" t="n">
        <v>120</v>
      </c>
      <c r="F100" s="16"/>
      <c r="G100" s="16"/>
      <c r="H100" s="16"/>
      <c r="I100" s="16" t="n">
        <v>0</v>
      </c>
      <c r="J100" s="15" t="str">
        <f aca="false">IF(AND(ISNUMBER(F100),G100&lt;&gt;"",H100&lt;&gt;"",I100=1),IF(F100&lt;=E100,"PASS","FAIL"),"OPEN")</f>
        <v>OPEN</v>
      </c>
      <c r="K100" s="15" t="n">
        <f aca="false">0</f>
        <v>0</v>
      </c>
      <c r="L100" s="4"/>
      <c r="M100" s="4"/>
      <c r="N100" s="4"/>
    </row>
    <row r="101" customFormat="false" ht="15" hidden="false" customHeight="false" outlineLevel="0" collapsed="false">
      <c r="A101" s="14" t="s">
        <v>1179</v>
      </c>
      <c r="B101" s="14" t="s">
        <v>1034</v>
      </c>
      <c r="C101" s="14" t="s">
        <v>1019</v>
      </c>
      <c r="D101" s="14" t="s">
        <v>1088</v>
      </c>
      <c r="E101" s="14" t="n">
        <v>240</v>
      </c>
      <c r="F101" s="16"/>
      <c r="G101" s="16"/>
      <c r="H101" s="16"/>
      <c r="I101" s="16" t="n">
        <v>0</v>
      </c>
      <c r="J101" s="15" t="str">
        <f aca="false">IF(AND(ISNUMBER(F101),G101&lt;&gt;"",H101&lt;&gt;"",I101=1),IF(F101&lt;=E101,"PASS","FAIL"),"OPEN")</f>
        <v>OPEN</v>
      </c>
      <c r="K101" s="15" t="n">
        <f aca="false">0</f>
        <v>0</v>
      </c>
      <c r="L101" s="4"/>
      <c r="M101" s="4"/>
      <c r="N101" s="4"/>
    </row>
    <row r="102" customFormat="false" ht="15" hidden="false" customHeight="false" outlineLevel="0" collapsed="false">
      <c r="A102" s="14" t="s">
        <v>1180</v>
      </c>
      <c r="B102" s="14" t="s">
        <v>1034</v>
      </c>
      <c r="C102" s="14" t="s">
        <v>1019</v>
      </c>
      <c r="D102" s="14" t="s">
        <v>1090</v>
      </c>
      <c r="E102" s="14" t="n">
        <v>240</v>
      </c>
      <c r="F102" s="16"/>
      <c r="G102" s="16"/>
      <c r="H102" s="16"/>
      <c r="I102" s="16" t="n">
        <v>0</v>
      </c>
      <c r="J102" s="15" t="str">
        <f aca="false">IF(AND(ISNUMBER(F102),G102&lt;&gt;"",H102&lt;&gt;"",I102=1),IF(F102&lt;=E102,"PASS","FAIL"),"OPEN")</f>
        <v>OPEN</v>
      </c>
      <c r="K102" s="15" t="n">
        <f aca="false">0</f>
        <v>0</v>
      </c>
      <c r="L102" s="4"/>
      <c r="M102" s="4"/>
      <c r="N102" s="4"/>
    </row>
    <row r="103" customFormat="false" ht="15" hidden="false" customHeight="false" outlineLevel="0" collapsed="false">
      <c r="A103" s="14" t="s">
        <v>1181</v>
      </c>
      <c r="B103" s="14" t="s">
        <v>1035</v>
      </c>
      <c r="C103" s="14" t="s">
        <v>1019</v>
      </c>
      <c r="D103" s="14" t="s">
        <v>1080</v>
      </c>
      <c r="E103" s="14" t="n">
        <v>5</v>
      </c>
      <c r="F103" s="16"/>
      <c r="G103" s="16"/>
      <c r="H103" s="16"/>
      <c r="I103" s="16" t="n">
        <v>0</v>
      </c>
      <c r="J103" s="15" t="str">
        <f aca="false">IF(AND(ISNUMBER(F103),G103&lt;&gt;"",H103&lt;&gt;"",I103=1),IF(F103&lt;=E103,"PASS","FAIL"),"OPEN")</f>
        <v>OPEN</v>
      </c>
      <c r="K103" s="15" t="n">
        <f aca="false">0</f>
        <v>0</v>
      </c>
      <c r="L103" s="4"/>
      <c r="M103" s="4"/>
      <c r="N103" s="4"/>
    </row>
    <row r="104" customFormat="false" ht="15" hidden="false" customHeight="false" outlineLevel="0" collapsed="false">
      <c r="A104" s="14" t="s">
        <v>1182</v>
      </c>
      <c r="B104" s="14" t="s">
        <v>1035</v>
      </c>
      <c r="C104" s="14" t="s">
        <v>1019</v>
      </c>
      <c r="D104" s="14" t="s">
        <v>1082</v>
      </c>
      <c r="E104" s="14" t="n">
        <v>15</v>
      </c>
      <c r="F104" s="16"/>
      <c r="G104" s="16"/>
      <c r="H104" s="16"/>
      <c r="I104" s="16" t="n">
        <v>0</v>
      </c>
      <c r="J104" s="15" t="str">
        <f aca="false">IF(AND(ISNUMBER(F104),G104&lt;&gt;"",H104&lt;&gt;"",I104=1),IF(F104&lt;=E104,"PASS","FAIL"),"OPEN")</f>
        <v>OPEN</v>
      </c>
      <c r="K104" s="15" t="n">
        <f aca="false">0</f>
        <v>0</v>
      </c>
      <c r="L104" s="4"/>
      <c r="M104" s="4"/>
      <c r="N104" s="4"/>
    </row>
    <row r="105" customFormat="false" ht="15" hidden="false" customHeight="false" outlineLevel="0" collapsed="false">
      <c r="A105" s="14" t="s">
        <v>1183</v>
      </c>
      <c r="B105" s="14" t="s">
        <v>1035</v>
      </c>
      <c r="C105" s="14" t="s">
        <v>1019</v>
      </c>
      <c r="D105" s="14" t="s">
        <v>1084</v>
      </c>
      <c r="E105" s="14" t="n">
        <v>60</v>
      </c>
      <c r="F105" s="16"/>
      <c r="G105" s="16"/>
      <c r="H105" s="16"/>
      <c r="I105" s="16" t="n">
        <v>0</v>
      </c>
      <c r="J105" s="15" t="str">
        <f aca="false">IF(AND(ISNUMBER(F105),G105&lt;&gt;"",H105&lt;&gt;"",I105=1),IF(F105&lt;=E105,"PASS","FAIL"),"OPEN")</f>
        <v>OPEN</v>
      </c>
      <c r="K105" s="15" t="n">
        <f aca="false">0</f>
        <v>0</v>
      </c>
      <c r="L105" s="4"/>
      <c r="M105" s="4"/>
      <c r="N105" s="4"/>
    </row>
    <row r="106" customFormat="false" ht="15" hidden="false" customHeight="false" outlineLevel="0" collapsed="false">
      <c r="A106" s="14" t="s">
        <v>1184</v>
      </c>
      <c r="B106" s="14" t="s">
        <v>1035</v>
      </c>
      <c r="C106" s="14" t="s">
        <v>1019</v>
      </c>
      <c r="D106" s="14" t="s">
        <v>1086</v>
      </c>
      <c r="E106" s="14" t="n">
        <v>120</v>
      </c>
      <c r="F106" s="16"/>
      <c r="G106" s="16"/>
      <c r="H106" s="16"/>
      <c r="I106" s="16" t="n">
        <v>0</v>
      </c>
      <c r="J106" s="15" t="str">
        <f aca="false">IF(AND(ISNUMBER(F106),G106&lt;&gt;"",H106&lt;&gt;"",I106=1),IF(F106&lt;=E106,"PASS","FAIL"),"OPEN")</f>
        <v>OPEN</v>
      </c>
      <c r="K106" s="15" t="n">
        <f aca="false">0</f>
        <v>0</v>
      </c>
      <c r="L106" s="4"/>
      <c r="M106" s="4"/>
      <c r="N106" s="4"/>
    </row>
    <row r="107" customFormat="false" ht="15" hidden="false" customHeight="false" outlineLevel="0" collapsed="false">
      <c r="A107" s="14" t="s">
        <v>1185</v>
      </c>
      <c r="B107" s="14" t="s">
        <v>1035</v>
      </c>
      <c r="C107" s="14" t="s">
        <v>1019</v>
      </c>
      <c r="D107" s="14" t="s">
        <v>1088</v>
      </c>
      <c r="E107" s="14" t="n">
        <v>240</v>
      </c>
      <c r="F107" s="16"/>
      <c r="G107" s="16"/>
      <c r="H107" s="16"/>
      <c r="I107" s="16" t="n">
        <v>0</v>
      </c>
      <c r="J107" s="15" t="str">
        <f aca="false">IF(AND(ISNUMBER(F107),G107&lt;&gt;"",H107&lt;&gt;"",I107=1),IF(F107&lt;=E107,"PASS","FAIL"),"OPEN")</f>
        <v>OPEN</v>
      </c>
      <c r="K107" s="15" t="n">
        <f aca="false">0</f>
        <v>0</v>
      </c>
      <c r="L107" s="4"/>
      <c r="M107" s="4"/>
      <c r="N107" s="4"/>
    </row>
    <row r="108" customFormat="false" ht="15" hidden="false" customHeight="false" outlineLevel="0" collapsed="false">
      <c r="A108" s="14" t="s">
        <v>1186</v>
      </c>
      <c r="B108" s="14" t="s">
        <v>1035</v>
      </c>
      <c r="C108" s="14" t="s">
        <v>1019</v>
      </c>
      <c r="D108" s="14" t="s">
        <v>1090</v>
      </c>
      <c r="E108" s="14" t="n">
        <v>240</v>
      </c>
      <c r="F108" s="16"/>
      <c r="G108" s="16"/>
      <c r="H108" s="16"/>
      <c r="I108" s="16" t="n">
        <v>0</v>
      </c>
      <c r="J108" s="15" t="str">
        <f aca="false">IF(AND(ISNUMBER(F108),G108&lt;&gt;"",H108&lt;&gt;"",I108=1),IF(F108&lt;=E108,"PASS","FAIL"),"OPEN")</f>
        <v>OPEN</v>
      </c>
      <c r="K108" s="15" t="n">
        <f aca="false">0</f>
        <v>0</v>
      </c>
      <c r="L108" s="4"/>
      <c r="M108" s="4"/>
      <c r="N108" s="4"/>
    </row>
    <row r="109" customFormat="false" ht="15" hidden="false" customHeight="false" outlineLevel="0" collapsed="false">
      <c r="A109" s="14" t="s">
        <v>1187</v>
      </c>
      <c r="B109" s="14" t="s">
        <v>1036</v>
      </c>
      <c r="C109" s="14" t="s">
        <v>1019</v>
      </c>
      <c r="D109" s="14" t="s">
        <v>1080</v>
      </c>
      <c r="E109" s="14" t="n">
        <v>5</v>
      </c>
      <c r="F109" s="16"/>
      <c r="G109" s="16"/>
      <c r="H109" s="16"/>
      <c r="I109" s="16" t="n">
        <v>0</v>
      </c>
      <c r="J109" s="15" t="str">
        <f aca="false">IF(AND(ISNUMBER(F109),G109&lt;&gt;"",H109&lt;&gt;"",I109=1),IF(F109&lt;=E109,"PASS","FAIL"),"OPEN")</f>
        <v>OPEN</v>
      </c>
      <c r="K109" s="15" t="n">
        <f aca="false">0</f>
        <v>0</v>
      </c>
      <c r="L109" s="4"/>
      <c r="M109" s="4"/>
      <c r="N109" s="4"/>
    </row>
    <row r="110" customFormat="false" ht="15" hidden="false" customHeight="false" outlineLevel="0" collapsed="false">
      <c r="A110" s="14" t="s">
        <v>1188</v>
      </c>
      <c r="B110" s="14" t="s">
        <v>1036</v>
      </c>
      <c r="C110" s="14" t="s">
        <v>1019</v>
      </c>
      <c r="D110" s="14" t="s">
        <v>1082</v>
      </c>
      <c r="E110" s="14" t="n">
        <v>15</v>
      </c>
      <c r="F110" s="16"/>
      <c r="G110" s="16"/>
      <c r="H110" s="16"/>
      <c r="I110" s="16" t="n">
        <v>0</v>
      </c>
      <c r="J110" s="15" t="str">
        <f aca="false">IF(AND(ISNUMBER(F110),G110&lt;&gt;"",H110&lt;&gt;"",I110=1),IF(F110&lt;=E110,"PASS","FAIL"),"OPEN")</f>
        <v>OPEN</v>
      </c>
      <c r="K110" s="15" t="n">
        <f aca="false">0</f>
        <v>0</v>
      </c>
      <c r="L110" s="4"/>
      <c r="M110" s="4"/>
      <c r="N110" s="4"/>
    </row>
    <row r="111" customFormat="false" ht="15" hidden="false" customHeight="false" outlineLevel="0" collapsed="false">
      <c r="A111" s="14" t="s">
        <v>1189</v>
      </c>
      <c r="B111" s="14" t="s">
        <v>1036</v>
      </c>
      <c r="C111" s="14" t="s">
        <v>1019</v>
      </c>
      <c r="D111" s="14" t="s">
        <v>1084</v>
      </c>
      <c r="E111" s="14" t="n">
        <v>60</v>
      </c>
      <c r="F111" s="16"/>
      <c r="G111" s="16"/>
      <c r="H111" s="16"/>
      <c r="I111" s="16" t="n">
        <v>0</v>
      </c>
      <c r="J111" s="15" t="str">
        <f aca="false">IF(AND(ISNUMBER(F111),G111&lt;&gt;"",H111&lt;&gt;"",I111=1),IF(F111&lt;=E111,"PASS","FAIL"),"OPEN")</f>
        <v>OPEN</v>
      </c>
      <c r="K111" s="15" t="n">
        <f aca="false">0</f>
        <v>0</v>
      </c>
      <c r="L111" s="4"/>
      <c r="M111" s="4"/>
      <c r="N111" s="4"/>
    </row>
    <row r="112" customFormat="false" ht="15" hidden="false" customHeight="false" outlineLevel="0" collapsed="false">
      <c r="A112" s="14" t="s">
        <v>1190</v>
      </c>
      <c r="B112" s="14" t="s">
        <v>1036</v>
      </c>
      <c r="C112" s="14" t="s">
        <v>1019</v>
      </c>
      <c r="D112" s="14" t="s">
        <v>1086</v>
      </c>
      <c r="E112" s="14" t="n">
        <v>120</v>
      </c>
      <c r="F112" s="16"/>
      <c r="G112" s="16"/>
      <c r="H112" s="16"/>
      <c r="I112" s="16" t="n">
        <v>0</v>
      </c>
      <c r="J112" s="15" t="str">
        <f aca="false">IF(AND(ISNUMBER(F112),G112&lt;&gt;"",H112&lt;&gt;"",I112=1),IF(F112&lt;=E112,"PASS","FAIL"),"OPEN")</f>
        <v>OPEN</v>
      </c>
      <c r="K112" s="15" t="n">
        <f aca="false">0</f>
        <v>0</v>
      </c>
      <c r="L112" s="4"/>
      <c r="M112" s="4"/>
      <c r="N112" s="4"/>
    </row>
    <row r="113" customFormat="false" ht="15" hidden="false" customHeight="false" outlineLevel="0" collapsed="false">
      <c r="A113" s="14" t="s">
        <v>1191</v>
      </c>
      <c r="B113" s="14" t="s">
        <v>1036</v>
      </c>
      <c r="C113" s="14" t="s">
        <v>1019</v>
      </c>
      <c r="D113" s="14" t="s">
        <v>1088</v>
      </c>
      <c r="E113" s="14" t="n">
        <v>240</v>
      </c>
      <c r="F113" s="16"/>
      <c r="G113" s="16"/>
      <c r="H113" s="16"/>
      <c r="I113" s="16" t="n">
        <v>0</v>
      </c>
      <c r="J113" s="15" t="str">
        <f aca="false">IF(AND(ISNUMBER(F113),G113&lt;&gt;"",H113&lt;&gt;"",I113=1),IF(F113&lt;=E113,"PASS","FAIL"),"OPEN")</f>
        <v>OPEN</v>
      </c>
      <c r="K113" s="15" t="n">
        <f aca="false">0</f>
        <v>0</v>
      </c>
      <c r="L113" s="4"/>
      <c r="M113" s="4"/>
      <c r="N113" s="4"/>
    </row>
    <row r="114" customFormat="false" ht="15" hidden="false" customHeight="false" outlineLevel="0" collapsed="false">
      <c r="A114" s="14" t="s">
        <v>1192</v>
      </c>
      <c r="B114" s="14" t="s">
        <v>1036</v>
      </c>
      <c r="C114" s="14" t="s">
        <v>1019</v>
      </c>
      <c r="D114" s="14" t="s">
        <v>1090</v>
      </c>
      <c r="E114" s="14" t="n">
        <v>240</v>
      </c>
      <c r="F114" s="16"/>
      <c r="G114" s="16"/>
      <c r="H114" s="16"/>
      <c r="I114" s="16" t="n">
        <v>0</v>
      </c>
      <c r="J114" s="15" t="str">
        <f aca="false">IF(AND(ISNUMBER(F114),G114&lt;&gt;"",H114&lt;&gt;"",I114=1),IF(F114&lt;=E114,"PASS","FAIL"),"OPEN")</f>
        <v>OPEN</v>
      </c>
      <c r="K114" s="15" t="n">
        <f aca="false">0</f>
        <v>0</v>
      </c>
      <c r="L114" s="4"/>
      <c r="M114" s="4"/>
      <c r="N114" s="4"/>
    </row>
    <row r="115" customFormat="false" ht="15" hidden="false" customHeight="false" outlineLevel="0" collapsed="false">
      <c r="A115" s="14" t="s">
        <v>1193</v>
      </c>
      <c r="B115" s="14" t="s">
        <v>1037</v>
      </c>
      <c r="C115" s="14" t="s">
        <v>1038</v>
      </c>
      <c r="D115" s="14" t="s">
        <v>1080</v>
      </c>
      <c r="E115" s="14" t="n">
        <v>5</v>
      </c>
      <c r="F115" s="16"/>
      <c r="G115" s="16"/>
      <c r="H115" s="16"/>
      <c r="I115" s="16" t="n">
        <v>0</v>
      </c>
      <c r="J115" s="15" t="str">
        <f aca="false">IF(AND(ISNUMBER(F115),G115&lt;&gt;"",H115&lt;&gt;"",I115=1),IF(F115&lt;=E115,"PASS","FAIL"),"OPEN")</f>
        <v>OPEN</v>
      </c>
      <c r="K115" s="15" t="n">
        <f aca="false">0</f>
        <v>0</v>
      </c>
      <c r="L115" s="4"/>
      <c r="M115" s="4"/>
      <c r="N115" s="4"/>
    </row>
    <row r="116" customFormat="false" ht="15" hidden="false" customHeight="false" outlineLevel="0" collapsed="false">
      <c r="A116" s="14" t="s">
        <v>1194</v>
      </c>
      <c r="B116" s="14" t="s">
        <v>1037</v>
      </c>
      <c r="C116" s="14" t="s">
        <v>1038</v>
      </c>
      <c r="D116" s="14" t="s">
        <v>1082</v>
      </c>
      <c r="E116" s="14" t="n">
        <v>15</v>
      </c>
      <c r="F116" s="16"/>
      <c r="G116" s="16"/>
      <c r="H116" s="16"/>
      <c r="I116" s="16" t="n">
        <v>0</v>
      </c>
      <c r="J116" s="15" t="str">
        <f aca="false">IF(AND(ISNUMBER(F116),G116&lt;&gt;"",H116&lt;&gt;"",I116=1),IF(F116&lt;=E116,"PASS","FAIL"),"OPEN")</f>
        <v>OPEN</v>
      </c>
      <c r="K116" s="15" t="n">
        <f aca="false">0</f>
        <v>0</v>
      </c>
      <c r="L116" s="4"/>
      <c r="M116" s="4"/>
      <c r="N116" s="4"/>
    </row>
    <row r="117" customFormat="false" ht="15" hidden="false" customHeight="false" outlineLevel="0" collapsed="false">
      <c r="A117" s="14" t="s">
        <v>1195</v>
      </c>
      <c r="B117" s="14" t="s">
        <v>1037</v>
      </c>
      <c r="C117" s="14" t="s">
        <v>1038</v>
      </c>
      <c r="D117" s="14" t="s">
        <v>1084</v>
      </c>
      <c r="E117" s="14" t="n">
        <v>60</v>
      </c>
      <c r="F117" s="16"/>
      <c r="G117" s="16"/>
      <c r="H117" s="16"/>
      <c r="I117" s="16" t="n">
        <v>0</v>
      </c>
      <c r="J117" s="15" t="str">
        <f aca="false">IF(AND(ISNUMBER(F117),G117&lt;&gt;"",H117&lt;&gt;"",I117=1),IF(F117&lt;=E117,"PASS","FAIL"),"OPEN")</f>
        <v>OPEN</v>
      </c>
      <c r="K117" s="15" t="n">
        <f aca="false">0</f>
        <v>0</v>
      </c>
      <c r="L117" s="4"/>
      <c r="M117" s="4"/>
      <c r="N117" s="4"/>
    </row>
    <row r="118" customFormat="false" ht="15" hidden="false" customHeight="false" outlineLevel="0" collapsed="false">
      <c r="A118" s="14" t="s">
        <v>1196</v>
      </c>
      <c r="B118" s="14" t="s">
        <v>1037</v>
      </c>
      <c r="C118" s="14" t="s">
        <v>1038</v>
      </c>
      <c r="D118" s="14" t="s">
        <v>1086</v>
      </c>
      <c r="E118" s="14" t="n">
        <v>120</v>
      </c>
      <c r="F118" s="16"/>
      <c r="G118" s="16"/>
      <c r="H118" s="16"/>
      <c r="I118" s="16" t="n">
        <v>0</v>
      </c>
      <c r="J118" s="15" t="str">
        <f aca="false">IF(AND(ISNUMBER(F118),G118&lt;&gt;"",H118&lt;&gt;"",I118=1),IF(F118&lt;=E118,"PASS","FAIL"),"OPEN")</f>
        <v>OPEN</v>
      </c>
      <c r="K118" s="15" t="n">
        <f aca="false">0</f>
        <v>0</v>
      </c>
      <c r="L118" s="4"/>
      <c r="M118" s="4"/>
      <c r="N118" s="4"/>
    </row>
    <row r="119" customFormat="false" ht="15" hidden="false" customHeight="false" outlineLevel="0" collapsed="false">
      <c r="A119" s="14" t="s">
        <v>1197</v>
      </c>
      <c r="B119" s="14" t="s">
        <v>1037</v>
      </c>
      <c r="C119" s="14" t="s">
        <v>1038</v>
      </c>
      <c r="D119" s="14" t="s">
        <v>1088</v>
      </c>
      <c r="E119" s="14" t="n">
        <v>240</v>
      </c>
      <c r="F119" s="16"/>
      <c r="G119" s="16"/>
      <c r="H119" s="16"/>
      <c r="I119" s="16" t="n">
        <v>0</v>
      </c>
      <c r="J119" s="15" t="str">
        <f aca="false">IF(AND(ISNUMBER(F119),G119&lt;&gt;"",H119&lt;&gt;"",I119=1),IF(F119&lt;=E119,"PASS","FAIL"),"OPEN")</f>
        <v>OPEN</v>
      </c>
      <c r="K119" s="15" t="n">
        <f aca="false">0</f>
        <v>0</v>
      </c>
      <c r="L119" s="4"/>
      <c r="M119" s="4"/>
      <c r="N119" s="4"/>
    </row>
    <row r="120" customFormat="false" ht="15" hidden="false" customHeight="false" outlineLevel="0" collapsed="false">
      <c r="A120" s="14" t="s">
        <v>1198</v>
      </c>
      <c r="B120" s="14" t="s">
        <v>1037</v>
      </c>
      <c r="C120" s="14" t="s">
        <v>1038</v>
      </c>
      <c r="D120" s="14" t="s">
        <v>1090</v>
      </c>
      <c r="E120" s="14" t="n">
        <v>240</v>
      </c>
      <c r="F120" s="16"/>
      <c r="G120" s="16"/>
      <c r="H120" s="16"/>
      <c r="I120" s="16" t="n">
        <v>0</v>
      </c>
      <c r="J120" s="15" t="str">
        <f aca="false">IF(AND(ISNUMBER(F120),G120&lt;&gt;"",H120&lt;&gt;"",I120=1),IF(F120&lt;=E120,"PASS","FAIL"),"OPEN")</f>
        <v>OPEN</v>
      </c>
      <c r="K120" s="15" t="n">
        <f aca="false">0</f>
        <v>0</v>
      </c>
      <c r="L120" s="4"/>
      <c r="M120" s="4"/>
      <c r="N120" s="4"/>
    </row>
    <row r="121" customFormat="false" ht="15" hidden="false" customHeight="false" outlineLevel="0" collapsed="false">
      <c r="A121" s="14" t="s">
        <v>1199</v>
      </c>
      <c r="B121" s="14" t="s">
        <v>1039</v>
      </c>
      <c r="C121" s="14" t="s">
        <v>1038</v>
      </c>
      <c r="D121" s="14" t="s">
        <v>1080</v>
      </c>
      <c r="E121" s="14" t="n">
        <v>5</v>
      </c>
      <c r="F121" s="16"/>
      <c r="G121" s="16"/>
      <c r="H121" s="16"/>
      <c r="I121" s="16" t="n">
        <v>0</v>
      </c>
      <c r="J121" s="15" t="str">
        <f aca="false">IF(AND(ISNUMBER(F121),G121&lt;&gt;"",H121&lt;&gt;"",I121=1),IF(F121&lt;=E121,"PASS","FAIL"),"OPEN")</f>
        <v>OPEN</v>
      </c>
      <c r="K121" s="15" t="n">
        <f aca="false">0</f>
        <v>0</v>
      </c>
      <c r="L121" s="4"/>
      <c r="M121" s="4"/>
      <c r="N121" s="4"/>
    </row>
    <row r="122" customFormat="false" ht="15" hidden="false" customHeight="false" outlineLevel="0" collapsed="false">
      <c r="A122" s="14" t="s">
        <v>1200</v>
      </c>
      <c r="B122" s="14" t="s">
        <v>1039</v>
      </c>
      <c r="C122" s="14" t="s">
        <v>1038</v>
      </c>
      <c r="D122" s="14" t="s">
        <v>1082</v>
      </c>
      <c r="E122" s="14" t="n">
        <v>15</v>
      </c>
      <c r="F122" s="16"/>
      <c r="G122" s="16"/>
      <c r="H122" s="16"/>
      <c r="I122" s="16" t="n">
        <v>0</v>
      </c>
      <c r="J122" s="15" t="str">
        <f aca="false">IF(AND(ISNUMBER(F122),G122&lt;&gt;"",H122&lt;&gt;"",I122=1),IF(F122&lt;=E122,"PASS","FAIL"),"OPEN")</f>
        <v>OPEN</v>
      </c>
      <c r="K122" s="15" t="n">
        <f aca="false">0</f>
        <v>0</v>
      </c>
      <c r="L122" s="4"/>
      <c r="M122" s="4"/>
      <c r="N122" s="4"/>
    </row>
    <row r="123" customFormat="false" ht="15" hidden="false" customHeight="false" outlineLevel="0" collapsed="false">
      <c r="A123" s="14" t="s">
        <v>1201</v>
      </c>
      <c r="B123" s="14" t="s">
        <v>1039</v>
      </c>
      <c r="C123" s="14" t="s">
        <v>1038</v>
      </c>
      <c r="D123" s="14" t="s">
        <v>1084</v>
      </c>
      <c r="E123" s="14" t="n">
        <v>60</v>
      </c>
      <c r="F123" s="16"/>
      <c r="G123" s="16"/>
      <c r="H123" s="16"/>
      <c r="I123" s="16" t="n">
        <v>0</v>
      </c>
      <c r="J123" s="15" t="str">
        <f aca="false">IF(AND(ISNUMBER(F123),G123&lt;&gt;"",H123&lt;&gt;"",I123=1),IF(F123&lt;=E123,"PASS","FAIL"),"OPEN")</f>
        <v>OPEN</v>
      </c>
      <c r="K123" s="15" t="n">
        <f aca="false">0</f>
        <v>0</v>
      </c>
      <c r="L123" s="4"/>
      <c r="M123" s="4"/>
      <c r="N123" s="4"/>
    </row>
    <row r="124" customFormat="false" ht="15" hidden="false" customHeight="false" outlineLevel="0" collapsed="false">
      <c r="A124" s="14" t="s">
        <v>1202</v>
      </c>
      <c r="B124" s="14" t="s">
        <v>1039</v>
      </c>
      <c r="C124" s="14" t="s">
        <v>1038</v>
      </c>
      <c r="D124" s="14" t="s">
        <v>1086</v>
      </c>
      <c r="E124" s="14" t="n">
        <v>120</v>
      </c>
      <c r="F124" s="16"/>
      <c r="G124" s="16"/>
      <c r="H124" s="16"/>
      <c r="I124" s="16" t="n">
        <v>0</v>
      </c>
      <c r="J124" s="15" t="str">
        <f aca="false">IF(AND(ISNUMBER(F124),G124&lt;&gt;"",H124&lt;&gt;"",I124=1),IF(F124&lt;=E124,"PASS","FAIL"),"OPEN")</f>
        <v>OPEN</v>
      </c>
      <c r="K124" s="15" t="n">
        <f aca="false">0</f>
        <v>0</v>
      </c>
      <c r="L124" s="4"/>
      <c r="M124" s="4"/>
      <c r="N124" s="4"/>
    </row>
    <row r="125" customFormat="false" ht="15" hidden="false" customHeight="false" outlineLevel="0" collapsed="false">
      <c r="A125" s="14" t="s">
        <v>1203</v>
      </c>
      <c r="B125" s="14" t="s">
        <v>1039</v>
      </c>
      <c r="C125" s="14" t="s">
        <v>1038</v>
      </c>
      <c r="D125" s="14" t="s">
        <v>1088</v>
      </c>
      <c r="E125" s="14" t="n">
        <v>240</v>
      </c>
      <c r="F125" s="16"/>
      <c r="G125" s="16"/>
      <c r="H125" s="16"/>
      <c r="I125" s="16" t="n">
        <v>0</v>
      </c>
      <c r="J125" s="15" t="str">
        <f aca="false">IF(AND(ISNUMBER(F125),G125&lt;&gt;"",H125&lt;&gt;"",I125=1),IF(F125&lt;=E125,"PASS","FAIL"),"OPEN")</f>
        <v>OPEN</v>
      </c>
      <c r="K125" s="15" t="n">
        <f aca="false">0</f>
        <v>0</v>
      </c>
      <c r="L125" s="4"/>
      <c r="M125" s="4"/>
      <c r="N125" s="4"/>
    </row>
    <row r="126" customFormat="false" ht="15" hidden="false" customHeight="false" outlineLevel="0" collapsed="false">
      <c r="A126" s="14" t="s">
        <v>1204</v>
      </c>
      <c r="B126" s="14" t="s">
        <v>1039</v>
      </c>
      <c r="C126" s="14" t="s">
        <v>1038</v>
      </c>
      <c r="D126" s="14" t="s">
        <v>1090</v>
      </c>
      <c r="E126" s="14" t="n">
        <v>240</v>
      </c>
      <c r="F126" s="16"/>
      <c r="G126" s="16"/>
      <c r="H126" s="16"/>
      <c r="I126" s="16" t="n">
        <v>0</v>
      </c>
      <c r="J126" s="15" t="str">
        <f aca="false">IF(AND(ISNUMBER(F126),G126&lt;&gt;"",H126&lt;&gt;"",I126=1),IF(F126&lt;=E126,"PASS","FAIL"),"OPEN")</f>
        <v>OPEN</v>
      </c>
      <c r="K126" s="15" t="n">
        <f aca="false">0</f>
        <v>0</v>
      </c>
      <c r="L126" s="4"/>
      <c r="M126" s="4"/>
      <c r="N126" s="4"/>
    </row>
    <row r="127" customFormat="false" ht="15" hidden="false" customHeight="false" outlineLevel="0" collapsed="false">
      <c r="A127" s="14" t="s">
        <v>1205</v>
      </c>
      <c r="B127" s="14" t="s">
        <v>1040</v>
      </c>
      <c r="C127" s="14" t="s">
        <v>1038</v>
      </c>
      <c r="D127" s="14" t="s">
        <v>1080</v>
      </c>
      <c r="E127" s="14" t="n">
        <v>5</v>
      </c>
      <c r="F127" s="16"/>
      <c r="G127" s="16"/>
      <c r="H127" s="16"/>
      <c r="I127" s="16" t="n">
        <v>0</v>
      </c>
      <c r="J127" s="15" t="str">
        <f aca="false">IF(AND(ISNUMBER(F127),G127&lt;&gt;"",H127&lt;&gt;"",I127=1),IF(F127&lt;=E127,"PASS","FAIL"),"OPEN")</f>
        <v>OPEN</v>
      </c>
      <c r="K127" s="15" t="n">
        <f aca="false">0</f>
        <v>0</v>
      </c>
      <c r="L127" s="4"/>
      <c r="M127" s="4"/>
      <c r="N127" s="4"/>
    </row>
    <row r="128" customFormat="false" ht="15" hidden="false" customHeight="false" outlineLevel="0" collapsed="false">
      <c r="A128" s="14" t="s">
        <v>1206</v>
      </c>
      <c r="B128" s="14" t="s">
        <v>1040</v>
      </c>
      <c r="C128" s="14" t="s">
        <v>1038</v>
      </c>
      <c r="D128" s="14" t="s">
        <v>1082</v>
      </c>
      <c r="E128" s="14" t="n">
        <v>15</v>
      </c>
      <c r="F128" s="16"/>
      <c r="G128" s="16"/>
      <c r="H128" s="16"/>
      <c r="I128" s="16" t="n">
        <v>0</v>
      </c>
      <c r="J128" s="15" t="str">
        <f aca="false">IF(AND(ISNUMBER(F128),G128&lt;&gt;"",H128&lt;&gt;"",I128=1),IF(F128&lt;=E128,"PASS","FAIL"),"OPEN")</f>
        <v>OPEN</v>
      </c>
      <c r="K128" s="15" t="n">
        <f aca="false">0</f>
        <v>0</v>
      </c>
      <c r="L128" s="4"/>
      <c r="M128" s="4"/>
      <c r="N128" s="4"/>
    </row>
    <row r="129" customFormat="false" ht="15" hidden="false" customHeight="false" outlineLevel="0" collapsed="false">
      <c r="A129" s="14" t="s">
        <v>1207</v>
      </c>
      <c r="B129" s="14" t="s">
        <v>1040</v>
      </c>
      <c r="C129" s="14" t="s">
        <v>1038</v>
      </c>
      <c r="D129" s="14" t="s">
        <v>1084</v>
      </c>
      <c r="E129" s="14" t="n">
        <v>60</v>
      </c>
      <c r="F129" s="16"/>
      <c r="G129" s="16"/>
      <c r="H129" s="16"/>
      <c r="I129" s="16" t="n">
        <v>0</v>
      </c>
      <c r="J129" s="15" t="str">
        <f aca="false">IF(AND(ISNUMBER(F129),G129&lt;&gt;"",H129&lt;&gt;"",I129=1),IF(F129&lt;=E129,"PASS","FAIL"),"OPEN")</f>
        <v>OPEN</v>
      </c>
      <c r="K129" s="15" t="n">
        <f aca="false">0</f>
        <v>0</v>
      </c>
      <c r="L129" s="4"/>
      <c r="M129" s="4"/>
      <c r="N129" s="4"/>
    </row>
    <row r="130" customFormat="false" ht="15" hidden="false" customHeight="false" outlineLevel="0" collapsed="false">
      <c r="A130" s="14" t="s">
        <v>1208</v>
      </c>
      <c r="B130" s="14" t="s">
        <v>1040</v>
      </c>
      <c r="C130" s="14" t="s">
        <v>1038</v>
      </c>
      <c r="D130" s="14" t="s">
        <v>1086</v>
      </c>
      <c r="E130" s="14" t="n">
        <v>120</v>
      </c>
      <c r="F130" s="16"/>
      <c r="G130" s="16"/>
      <c r="H130" s="16"/>
      <c r="I130" s="16" t="n">
        <v>0</v>
      </c>
      <c r="J130" s="15" t="str">
        <f aca="false">IF(AND(ISNUMBER(F130),G130&lt;&gt;"",H130&lt;&gt;"",I130=1),IF(F130&lt;=E130,"PASS","FAIL"),"OPEN")</f>
        <v>OPEN</v>
      </c>
      <c r="K130" s="15" t="n">
        <f aca="false">0</f>
        <v>0</v>
      </c>
      <c r="L130" s="4"/>
      <c r="M130" s="4"/>
      <c r="N130" s="4"/>
    </row>
    <row r="131" customFormat="false" ht="15" hidden="false" customHeight="false" outlineLevel="0" collapsed="false">
      <c r="A131" s="14" t="s">
        <v>1209</v>
      </c>
      <c r="B131" s="14" t="s">
        <v>1040</v>
      </c>
      <c r="C131" s="14" t="s">
        <v>1038</v>
      </c>
      <c r="D131" s="14" t="s">
        <v>1088</v>
      </c>
      <c r="E131" s="14" t="n">
        <v>240</v>
      </c>
      <c r="F131" s="16"/>
      <c r="G131" s="16"/>
      <c r="H131" s="16"/>
      <c r="I131" s="16" t="n">
        <v>0</v>
      </c>
      <c r="J131" s="15" t="str">
        <f aca="false">IF(AND(ISNUMBER(F131),G131&lt;&gt;"",H131&lt;&gt;"",I131=1),IF(F131&lt;=E131,"PASS","FAIL"),"OPEN")</f>
        <v>OPEN</v>
      </c>
      <c r="K131" s="15" t="n">
        <f aca="false">0</f>
        <v>0</v>
      </c>
      <c r="L131" s="4"/>
      <c r="M131" s="4"/>
      <c r="N131" s="4"/>
    </row>
    <row r="132" customFormat="false" ht="15" hidden="false" customHeight="false" outlineLevel="0" collapsed="false">
      <c r="A132" s="14" t="s">
        <v>1210</v>
      </c>
      <c r="B132" s="14" t="s">
        <v>1040</v>
      </c>
      <c r="C132" s="14" t="s">
        <v>1038</v>
      </c>
      <c r="D132" s="14" t="s">
        <v>1090</v>
      </c>
      <c r="E132" s="14" t="n">
        <v>240</v>
      </c>
      <c r="F132" s="16"/>
      <c r="G132" s="16"/>
      <c r="H132" s="16"/>
      <c r="I132" s="16" t="n">
        <v>0</v>
      </c>
      <c r="J132" s="15" t="str">
        <f aca="false">IF(AND(ISNUMBER(F132),G132&lt;&gt;"",H132&lt;&gt;"",I132=1),IF(F132&lt;=E132,"PASS","FAIL"),"OPEN")</f>
        <v>OPEN</v>
      </c>
      <c r="K132" s="15" t="n">
        <f aca="false">0</f>
        <v>0</v>
      </c>
      <c r="L132" s="4"/>
      <c r="M132" s="4"/>
      <c r="N132" s="4"/>
    </row>
    <row r="133" customFormat="false" ht="15" hidden="false" customHeight="false" outlineLevel="0" collapsed="false">
      <c r="A133" s="14" t="s">
        <v>1211</v>
      </c>
      <c r="B133" s="14" t="s">
        <v>1041</v>
      </c>
      <c r="C133" s="14" t="s">
        <v>1038</v>
      </c>
      <c r="D133" s="14" t="s">
        <v>1080</v>
      </c>
      <c r="E133" s="14" t="n">
        <v>5</v>
      </c>
      <c r="F133" s="16"/>
      <c r="G133" s="16"/>
      <c r="H133" s="16"/>
      <c r="I133" s="16" t="n">
        <v>0</v>
      </c>
      <c r="J133" s="15" t="str">
        <f aca="false">IF(AND(ISNUMBER(F133),G133&lt;&gt;"",H133&lt;&gt;"",I133=1),IF(F133&lt;=E133,"PASS","FAIL"),"OPEN")</f>
        <v>OPEN</v>
      </c>
      <c r="K133" s="15" t="n">
        <f aca="false">0</f>
        <v>0</v>
      </c>
      <c r="L133" s="4"/>
      <c r="M133" s="4"/>
      <c r="N133" s="4"/>
    </row>
    <row r="134" customFormat="false" ht="15" hidden="false" customHeight="false" outlineLevel="0" collapsed="false">
      <c r="A134" s="14" t="s">
        <v>1212</v>
      </c>
      <c r="B134" s="14" t="s">
        <v>1041</v>
      </c>
      <c r="C134" s="14" t="s">
        <v>1038</v>
      </c>
      <c r="D134" s="14" t="s">
        <v>1082</v>
      </c>
      <c r="E134" s="14" t="n">
        <v>15</v>
      </c>
      <c r="F134" s="16"/>
      <c r="G134" s="16"/>
      <c r="H134" s="16"/>
      <c r="I134" s="16" t="n">
        <v>0</v>
      </c>
      <c r="J134" s="15" t="str">
        <f aca="false">IF(AND(ISNUMBER(F134),G134&lt;&gt;"",H134&lt;&gt;"",I134=1),IF(F134&lt;=E134,"PASS","FAIL"),"OPEN")</f>
        <v>OPEN</v>
      </c>
      <c r="K134" s="15" t="n">
        <f aca="false">0</f>
        <v>0</v>
      </c>
      <c r="L134" s="4"/>
      <c r="M134" s="4"/>
      <c r="N134" s="4"/>
    </row>
    <row r="135" customFormat="false" ht="15" hidden="false" customHeight="false" outlineLevel="0" collapsed="false">
      <c r="A135" s="14" t="s">
        <v>1213</v>
      </c>
      <c r="B135" s="14" t="s">
        <v>1041</v>
      </c>
      <c r="C135" s="14" t="s">
        <v>1038</v>
      </c>
      <c r="D135" s="14" t="s">
        <v>1084</v>
      </c>
      <c r="E135" s="14" t="n">
        <v>60</v>
      </c>
      <c r="F135" s="16"/>
      <c r="G135" s="16"/>
      <c r="H135" s="16"/>
      <c r="I135" s="16" t="n">
        <v>0</v>
      </c>
      <c r="J135" s="15" t="str">
        <f aca="false">IF(AND(ISNUMBER(F135),G135&lt;&gt;"",H135&lt;&gt;"",I135=1),IF(F135&lt;=E135,"PASS","FAIL"),"OPEN")</f>
        <v>OPEN</v>
      </c>
      <c r="K135" s="15" t="n">
        <f aca="false">0</f>
        <v>0</v>
      </c>
      <c r="L135" s="4"/>
      <c r="M135" s="4"/>
      <c r="N135" s="4"/>
    </row>
    <row r="136" customFormat="false" ht="15" hidden="false" customHeight="false" outlineLevel="0" collapsed="false">
      <c r="A136" s="14" t="s">
        <v>1214</v>
      </c>
      <c r="B136" s="14" t="s">
        <v>1041</v>
      </c>
      <c r="C136" s="14" t="s">
        <v>1038</v>
      </c>
      <c r="D136" s="14" t="s">
        <v>1086</v>
      </c>
      <c r="E136" s="14" t="n">
        <v>120</v>
      </c>
      <c r="F136" s="16"/>
      <c r="G136" s="16"/>
      <c r="H136" s="16"/>
      <c r="I136" s="16" t="n">
        <v>0</v>
      </c>
      <c r="J136" s="15" t="str">
        <f aca="false">IF(AND(ISNUMBER(F136),G136&lt;&gt;"",H136&lt;&gt;"",I136=1),IF(F136&lt;=E136,"PASS","FAIL"),"OPEN")</f>
        <v>OPEN</v>
      </c>
      <c r="K136" s="15" t="n">
        <f aca="false">0</f>
        <v>0</v>
      </c>
      <c r="L136" s="4"/>
      <c r="M136" s="4"/>
      <c r="N136" s="4"/>
    </row>
    <row r="137" customFormat="false" ht="15" hidden="false" customHeight="false" outlineLevel="0" collapsed="false">
      <c r="A137" s="14" t="s">
        <v>1215</v>
      </c>
      <c r="B137" s="14" t="s">
        <v>1041</v>
      </c>
      <c r="C137" s="14" t="s">
        <v>1038</v>
      </c>
      <c r="D137" s="14" t="s">
        <v>1088</v>
      </c>
      <c r="E137" s="14" t="n">
        <v>240</v>
      </c>
      <c r="F137" s="16"/>
      <c r="G137" s="16"/>
      <c r="H137" s="16"/>
      <c r="I137" s="16" t="n">
        <v>0</v>
      </c>
      <c r="J137" s="15" t="str">
        <f aca="false">IF(AND(ISNUMBER(F137),G137&lt;&gt;"",H137&lt;&gt;"",I137=1),IF(F137&lt;=E137,"PASS","FAIL"),"OPEN")</f>
        <v>OPEN</v>
      </c>
      <c r="K137" s="15" t="n">
        <f aca="false">0</f>
        <v>0</v>
      </c>
      <c r="L137" s="4"/>
      <c r="M137" s="4"/>
      <c r="N137" s="4"/>
    </row>
    <row r="138" customFormat="false" ht="15" hidden="false" customHeight="false" outlineLevel="0" collapsed="false">
      <c r="A138" s="14" t="s">
        <v>1216</v>
      </c>
      <c r="B138" s="14" t="s">
        <v>1041</v>
      </c>
      <c r="C138" s="14" t="s">
        <v>1038</v>
      </c>
      <c r="D138" s="14" t="s">
        <v>1090</v>
      </c>
      <c r="E138" s="14" t="n">
        <v>240</v>
      </c>
      <c r="F138" s="16"/>
      <c r="G138" s="16"/>
      <c r="H138" s="16"/>
      <c r="I138" s="16" t="n">
        <v>0</v>
      </c>
      <c r="J138" s="15" t="str">
        <f aca="false">IF(AND(ISNUMBER(F138),G138&lt;&gt;"",H138&lt;&gt;"",I138=1),IF(F138&lt;=E138,"PASS","FAIL"),"OPEN")</f>
        <v>OPEN</v>
      </c>
      <c r="K138" s="15" t="n">
        <f aca="false">0</f>
        <v>0</v>
      </c>
      <c r="L138" s="4"/>
      <c r="M138" s="4"/>
      <c r="N138" s="4"/>
    </row>
    <row r="139" customFormat="false" ht="15" hidden="false" customHeight="false" outlineLevel="0" collapsed="false">
      <c r="A139" s="14" t="s">
        <v>1217</v>
      </c>
      <c r="B139" s="14" t="s">
        <v>1042</v>
      </c>
      <c r="C139" s="14" t="s">
        <v>1038</v>
      </c>
      <c r="D139" s="14" t="s">
        <v>1080</v>
      </c>
      <c r="E139" s="14" t="n">
        <v>5</v>
      </c>
      <c r="F139" s="16"/>
      <c r="G139" s="16"/>
      <c r="H139" s="16"/>
      <c r="I139" s="16" t="n">
        <v>0</v>
      </c>
      <c r="J139" s="15" t="str">
        <f aca="false">IF(AND(ISNUMBER(F139),G139&lt;&gt;"",H139&lt;&gt;"",I139=1),IF(F139&lt;=E139,"PASS","FAIL"),"OPEN")</f>
        <v>OPEN</v>
      </c>
      <c r="K139" s="15" t="n">
        <f aca="false">0</f>
        <v>0</v>
      </c>
      <c r="L139" s="4"/>
      <c r="M139" s="4"/>
      <c r="N139" s="4"/>
    </row>
    <row r="140" customFormat="false" ht="15" hidden="false" customHeight="false" outlineLevel="0" collapsed="false">
      <c r="A140" s="14" t="s">
        <v>1218</v>
      </c>
      <c r="B140" s="14" t="s">
        <v>1042</v>
      </c>
      <c r="C140" s="14" t="s">
        <v>1038</v>
      </c>
      <c r="D140" s="14" t="s">
        <v>1082</v>
      </c>
      <c r="E140" s="14" t="n">
        <v>15</v>
      </c>
      <c r="F140" s="16"/>
      <c r="G140" s="16"/>
      <c r="H140" s="16"/>
      <c r="I140" s="16" t="n">
        <v>0</v>
      </c>
      <c r="J140" s="15" t="str">
        <f aca="false">IF(AND(ISNUMBER(F140),G140&lt;&gt;"",H140&lt;&gt;"",I140=1),IF(F140&lt;=E140,"PASS","FAIL"),"OPEN")</f>
        <v>OPEN</v>
      </c>
      <c r="K140" s="15" t="n">
        <f aca="false">0</f>
        <v>0</v>
      </c>
      <c r="L140" s="4"/>
      <c r="M140" s="4"/>
      <c r="N140" s="4"/>
    </row>
    <row r="141" customFormat="false" ht="15" hidden="false" customHeight="false" outlineLevel="0" collapsed="false">
      <c r="A141" s="14" t="s">
        <v>1219</v>
      </c>
      <c r="B141" s="14" t="s">
        <v>1042</v>
      </c>
      <c r="C141" s="14" t="s">
        <v>1038</v>
      </c>
      <c r="D141" s="14" t="s">
        <v>1084</v>
      </c>
      <c r="E141" s="14" t="n">
        <v>60</v>
      </c>
      <c r="F141" s="16"/>
      <c r="G141" s="16"/>
      <c r="H141" s="16"/>
      <c r="I141" s="16" t="n">
        <v>0</v>
      </c>
      <c r="J141" s="15" t="str">
        <f aca="false">IF(AND(ISNUMBER(F141),G141&lt;&gt;"",H141&lt;&gt;"",I141=1),IF(F141&lt;=E141,"PASS","FAIL"),"OPEN")</f>
        <v>OPEN</v>
      </c>
      <c r="K141" s="15" t="n">
        <f aca="false">0</f>
        <v>0</v>
      </c>
      <c r="L141" s="4"/>
      <c r="M141" s="4"/>
      <c r="N141" s="4"/>
    </row>
    <row r="142" customFormat="false" ht="15" hidden="false" customHeight="false" outlineLevel="0" collapsed="false">
      <c r="A142" s="14" t="s">
        <v>1220</v>
      </c>
      <c r="B142" s="14" t="s">
        <v>1042</v>
      </c>
      <c r="C142" s="14" t="s">
        <v>1038</v>
      </c>
      <c r="D142" s="14" t="s">
        <v>1086</v>
      </c>
      <c r="E142" s="14" t="n">
        <v>120</v>
      </c>
      <c r="F142" s="16"/>
      <c r="G142" s="16"/>
      <c r="H142" s="16"/>
      <c r="I142" s="16" t="n">
        <v>0</v>
      </c>
      <c r="J142" s="15" t="str">
        <f aca="false">IF(AND(ISNUMBER(F142),G142&lt;&gt;"",H142&lt;&gt;"",I142=1),IF(F142&lt;=E142,"PASS","FAIL"),"OPEN")</f>
        <v>OPEN</v>
      </c>
      <c r="K142" s="15" t="n">
        <f aca="false">0</f>
        <v>0</v>
      </c>
      <c r="L142" s="4"/>
      <c r="M142" s="4"/>
      <c r="N142" s="4"/>
    </row>
    <row r="143" customFormat="false" ht="15" hidden="false" customHeight="false" outlineLevel="0" collapsed="false">
      <c r="A143" s="14" t="s">
        <v>1221</v>
      </c>
      <c r="B143" s="14" t="s">
        <v>1042</v>
      </c>
      <c r="C143" s="14" t="s">
        <v>1038</v>
      </c>
      <c r="D143" s="14" t="s">
        <v>1088</v>
      </c>
      <c r="E143" s="14" t="n">
        <v>240</v>
      </c>
      <c r="F143" s="16"/>
      <c r="G143" s="16"/>
      <c r="H143" s="16"/>
      <c r="I143" s="16" t="n">
        <v>0</v>
      </c>
      <c r="J143" s="15" t="str">
        <f aca="false">IF(AND(ISNUMBER(F143),G143&lt;&gt;"",H143&lt;&gt;"",I143=1),IF(F143&lt;=E143,"PASS","FAIL"),"OPEN")</f>
        <v>OPEN</v>
      </c>
      <c r="K143" s="15" t="n">
        <f aca="false">0</f>
        <v>0</v>
      </c>
      <c r="L143" s="4"/>
      <c r="M143" s="4"/>
      <c r="N143" s="4"/>
    </row>
    <row r="144" customFormat="false" ht="15" hidden="false" customHeight="false" outlineLevel="0" collapsed="false">
      <c r="A144" s="14" t="s">
        <v>1222</v>
      </c>
      <c r="B144" s="14" t="s">
        <v>1042</v>
      </c>
      <c r="C144" s="14" t="s">
        <v>1038</v>
      </c>
      <c r="D144" s="14" t="s">
        <v>1090</v>
      </c>
      <c r="E144" s="14" t="n">
        <v>240</v>
      </c>
      <c r="F144" s="16"/>
      <c r="G144" s="16"/>
      <c r="H144" s="16"/>
      <c r="I144" s="16" t="n">
        <v>0</v>
      </c>
      <c r="J144" s="15" t="str">
        <f aca="false">IF(AND(ISNUMBER(F144),G144&lt;&gt;"",H144&lt;&gt;"",I144=1),IF(F144&lt;=E144,"PASS","FAIL"),"OPEN")</f>
        <v>OPEN</v>
      </c>
      <c r="K144" s="15" t="n">
        <f aca="false">0</f>
        <v>0</v>
      </c>
      <c r="L144" s="4"/>
      <c r="M144" s="4"/>
      <c r="N144" s="4"/>
    </row>
    <row r="145" customFormat="false" ht="15" hidden="false" customHeight="false" outlineLevel="0" collapsed="false">
      <c r="A145" s="14" t="s">
        <v>1223</v>
      </c>
      <c r="B145" s="14" t="s">
        <v>1043</v>
      </c>
      <c r="C145" s="14" t="s">
        <v>1038</v>
      </c>
      <c r="D145" s="14" t="s">
        <v>1080</v>
      </c>
      <c r="E145" s="14" t="n">
        <v>5</v>
      </c>
      <c r="F145" s="16"/>
      <c r="G145" s="16"/>
      <c r="H145" s="16"/>
      <c r="I145" s="16" t="n">
        <v>0</v>
      </c>
      <c r="J145" s="15" t="str">
        <f aca="false">IF(AND(ISNUMBER(F145),G145&lt;&gt;"",H145&lt;&gt;"",I145=1),IF(F145&lt;=E145,"PASS","FAIL"),"OPEN")</f>
        <v>OPEN</v>
      </c>
      <c r="K145" s="15" t="n">
        <f aca="false">0</f>
        <v>0</v>
      </c>
      <c r="L145" s="4"/>
      <c r="M145" s="4"/>
      <c r="N145" s="4"/>
    </row>
    <row r="146" customFormat="false" ht="15" hidden="false" customHeight="false" outlineLevel="0" collapsed="false">
      <c r="A146" s="14" t="s">
        <v>1224</v>
      </c>
      <c r="B146" s="14" t="s">
        <v>1043</v>
      </c>
      <c r="C146" s="14" t="s">
        <v>1038</v>
      </c>
      <c r="D146" s="14" t="s">
        <v>1082</v>
      </c>
      <c r="E146" s="14" t="n">
        <v>15</v>
      </c>
      <c r="F146" s="16"/>
      <c r="G146" s="16"/>
      <c r="H146" s="16"/>
      <c r="I146" s="16" t="n">
        <v>0</v>
      </c>
      <c r="J146" s="15" t="str">
        <f aca="false">IF(AND(ISNUMBER(F146),G146&lt;&gt;"",H146&lt;&gt;"",I146=1),IF(F146&lt;=E146,"PASS","FAIL"),"OPEN")</f>
        <v>OPEN</v>
      </c>
      <c r="K146" s="15" t="n">
        <f aca="false">0</f>
        <v>0</v>
      </c>
      <c r="L146" s="4"/>
      <c r="M146" s="4"/>
      <c r="N146" s="4"/>
    </row>
    <row r="147" customFormat="false" ht="15" hidden="false" customHeight="false" outlineLevel="0" collapsed="false">
      <c r="A147" s="14" t="s">
        <v>1225</v>
      </c>
      <c r="B147" s="14" t="s">
        <v>1043</v>
      </c>
      <c r="C147" s="14" t="s">
        <v>1038</v>
      </c>
      <c r="D147" s="14" t="s">
        <v>1084</v>
      </c>
      <c r="E147" s="14" t="n">
        <v>60</v>
      </c>
      <c r="F147" s="16"/>
      <c r="G147" s="16"/>
      <c r="H147" s="16"/>
      <c r="I147" s="16" t="n">
        <v>0</v>
      </c>
      <c r="J147" s="15" t="str">
        <f aca="false">IF(AND(ISNUMBER(F147),G147&lt;&gt;"",H147&lt;&gt;"",I147=1),IF(F147&lt;=E147,"PASS","FAIL"),"OPEN")</f>
        <v>OPEN</v>
      </c>
      <c r="K147" s="15" t="n">
        <f aca="false">0</f>
        <v>0</v>
      </c>
      <c r="L147" s="4"/>
      <c r="M147" s="4"/>
      <c r="N147" s="4"/>
    </row>
    <row r="148" customFormat="false" ht="15" hidden="false" customHeight="false" outlineLevel="0" collapsed="false">
      <c r="A148" s="14" t="s">
        <v>1226</v>
      </c>
      <c r="B148" s="14" t="s">
        <v>1043</v>
      </c>
      <c r="C148" s="14" t="s">
        <v>1038</v>
      </c>
      <c r="D148" s="14" t="s">
        <v>1086</v>
      </c>
      <c r="E148" s="14" t="n">
        <v>120</v>
      </c>
      <c r="F148" s="16"/>
      <c r="G148" s="16"/>
      <c r="H148" s="16"/>
      <c r="I148" s="16" t="n">
        <v>0</v>
      </c>
      <c r="J148" s="15" t="str">
        <f aca="false">IF(AND(ISNUMBER(F148),G148&lt;&gt;"",H148&lt;&gt;"",I148=1),IF(F148&lt;=E148,"PASS","FAIL"),"OPEN")</f>
        <v>OPEN</v>
      </c>
      <c r="K148" s="15" t="n">
        <f aca="false">0</f>
        <v>0</v>
      </c>
      <c r="L148" s="4"/>
      <c r="M148" s="4"/>
      <c r="N148" s="4"/>
    </row>
    <row r="149" customFormat="false" ht="15" hidden="false" customHeight="false" outlineLevel="0" collapsed="false">
      <c r="A149" s="14" t="s">
        <v>1227</v>
      </c>
      <c r="B149" s="14" t="s">
        <v>1043</v>
      </c>
      <c r="C149" s="14" t="s">
        <v>1038</v>
      </c>
      <c r="D149" s="14" t="s">
        <v>1088</v>
      </c>
      <c r="E149" s="14" t="n">
        <v>240</v>
      </c>
      <c r="F149" s="16"/>
      <c r="G149" s="16"/>
      <c r="H149" s="16"/>
      <c r="I149" s="16" t="n">
        <v>0</v>
      </c>
      <c r="J149" s="15" t="str">
        <f aca="false">IF(AND(ISNUMBER(F149),G149&lt;&gt;"",H149&lt;&gt;"",I149=1),IF(F149&lt;=E149,"PASS","FAIL"),"OPEN")</f>
        <v>OPEN</v>
      </c>
      <c r="K149" s="15" t="n">
        <f aca="false">0</f>
        <v>0</v>
      </c>
      <c r="L149" s="4"/>
      <c r="M149" s="4"/>
      <c r="N149" s="4"/>
    </row>
    <row r="150" customFormat="false" ht="15" hidden="false" customHeight="false" outlineLevel="0" collapsed="false">
      <c r="A150" s="14" t="s">
        <v>1228</v>
      </c>
      <c r="B150" s="14" t="s">
        <v>1043</v>
      </c>
      <c r="C150" s="14" t="s">
        <v>1038</v>
      </c>
      <c r="D150" s="14" t="s">
        <v>1090</v>
      </c>
      <c r="E150" s="14" t="n">
        <v>240</v>
      </c>
      <c r="F150" s="16"/>
      <c r="G150" s="16"/>
      <c r="H150" s="16"/>
      <c r="I150" s="16" t="n">
        <v>0</v>
      </c>
      <c r="J150" s="15" t="str">
        <f aca="false">IF(AND(ISNUMBER(F150),G150&lt;&gt;"",H150&lt;&gt;"",I150=1),IF(F150&lt;=E150,"PASS","FAIL"),"OPEN")</f>
        <v>OPEN</v>
      </c>
      <c r="K150" s="15" t="n">
        <f aca="false">0</f>
        <v>0</v>
      </c>
      <c r="L150" s="4"/>
      <c r="M150" s="4"/>
      <c r="N150" s="4"/>
    </row>
    <row r="151" customFormat="false" ht="15" hidden="false" customHeight="false" outlineLevel="0" collapsed="false">
      <c r="A151" s="14" t="s">
        <v>1229</v>
      </c>
      <c r="B151" s="14" t="s">
        <v>1044</v>
      </c>
      <c r="C151" s="14" t="s">
        <v>1045</v>
      </c>
      <c r="D151" s="14" t="s">
        <v>1080</v>
      </c>
      <c r="E151" s="14" t="n">
        <v>5</v>
      </c>
      <c r="F151" s="16"/>
      <c r="G151" s="16"/>
      <c r="H151" s="16"/>
      <c r="I151" s="16" t="n">
        <v>0</v>
      </c>
      <c r="J151" s="15" t="str">
        <f aca="false">IF(AND(ISNUMBER(F151),G151&lt;&gt;"",H151&lt;&gt;"",I151=1),IF(F151&lt;=E151,"PASS","FAIL"),"OPEN")</f>
        <v>OPEN</v>
      </c>
      <c r="K151" s="15" t="n">
        <f aca="false">0</f>
        <v>0</v>
      </c>
      <c r="L151" s="4"/>
      <c r="M151" s="4"/>
      <c r="N151" s="4"/>
    </row>
    <row r="152" customFormat="false" ht="15" hidden="false" customHeight="false" outlineLevel="0" collapsed="false">
      <c r="A152" s="14" t="s">
        <v>1230</v>
      </c>
      <c r="B152" s="14" t="s">
        <v>1044</v>
      </c>
      <c r="C152" s="14" t="s">
        <v>1045</v>
      </c>
      <c r="D152" s="14" t="s">
        <v>1082</v>
      </c>
      <c r="E152" s="14" t="n">
        <v>15</v>
      </c>
      <c r="F152" s="16"/>
      <c r="G152" s="16"/>
      <c r="H152" s="16"/>
      <c r="I152" s="16" t="n">
        <v>0</v>
      </c>
      <c r="J152" s="15" t="str">
        <f aca="false">IF(AND(ISNUMBER(F152),G152&lt;&gt;"",H152&lt;&gt;"",I152=1),IF(F152&lt;=E152,"PASS","FAIL"),"OPEN")</f>
        <v>OPEN</v>
      </c>
      <c r="K152" s="15" t="n">
        <f aca="false">0</f>
        <v>0</v>
      </c>
      <c r="L152" s="4"/>
      <c r="M152" s="4"/>
      <c r="N152" s="4"/>
    </row>
    <row r="153" customFormat="false" ht="15" hidden="false" customHeight="false" outlineLevel="0" collapsed="false">
      <c r="A153" s="14" t="s">
        <v>1231</v>
      </c>
      <c r="B153" s="14" t="s">
        <v>1044</v>
      </c>
      <c r="C153" s="14" t="s">
        <v>1045</v>
      </c>
      <c r="D153" s="14" t="s">
        <v>1084</v>
      </c>
      <c r="E153" s="14" t="n">
        <v>60</v>
      </c>
      <c r="F153" s="16"/>
      <c r="G153" s="16"/>
      <c r="H153" s="16"/>
      <c r="I153" s="16" t="n">
        <v>0</v>
      </c>
      <c r="J153" s="15" t="str">
        <f aca="false">IF(AND(ISNUMBER(F153),G153&lt;&gt;"",H153&lt;&gt;"",I153=1),IF(F153&lt;=E153,"PASS","FAIL"),"OPEN")</f>
        <v>OPEN</v>
      </c>
      <c r="K153" s="15" t="n">
        <f aca="false">0</f>
        <v>0</v>
      </c>
      <c r="L153" s="4"/>
      <c r="M153" s="4"/>
      <c r="N153" s="4"/>
    </row>
    <row r="154" customFormat="false" ht="15" hidden="false" customHeight="false" outlineLevel="0" collapsed="false">
      <c r="A154" s="14" t="s">
        <v>1232</v>
      </c>
      <c r="B154" s="14" t="s">
        <v>1044</v>
      </c>
      <c r="C154" s="14" t="s">
        <v>1045</v>
      </c>
      <c r="D154" s="14" t="s">
        <v>1086</v>
      </c>
      <c r="E154" s="14" t="n">
        <v>120</v>
      </c>
      <c r="F154" s="16"/>
      <c r="G154" s="16"/>
      <c r="H154" s="16"/>
      <c r="I154" s="16" t="n">
        <v>0</v>
      </c>
      <c r="J154" s="15" t="str">
        <f aca="false">IF(AND(ISNUMBER(F154),G154&lt;&gt;"",H154&lt;&gt;"",I154=1),IF(F154&lt;=E154,"PASS","FAIL"),"OPEN")</f>
        <v>OPEN</v>
      </c>
      <c r="K154" s="15" t="n">
        <f aca="false">0</f>
        <v>0</v>
      </c>
      <c r="L154" s="4"/>
      <c r="M154" s="4"/>
      <c r="N154" s="4"/>
    </row>
    <row r="155" customFormat="false" ht="15" hidden="false" customHeight="false" outlineLevel="0" collapsed="false">
      <c r="A155" s="14" t="s">
        <v>1233</v>
      </c>
      <c r="B155" s="14" t="s">
        <v>1044</v>
      </c>
      <c r="C155" s="14" t="s">
        <v>1045</v>
      </c>
      <c r="D155" s="14" t="s">
        <v>1088</v>
      </c>
      <c r="E155" s="14" t="n">
        <v>240</v>
      </c>
      <c r="F155" s="16"/>
      <c r="G155" s="16"/>
      <c r="H155" s="16"/>
      <c r="I155" s="16" t="n">
        <v>0</v>
      </c>
      <c r="J155" s="15" t="str">
        <f aca="false">IF(AND(ISNUMBER(F155),G155&lt;&gt;"",H155&lt;&gt;"",I155=1),IF(F155&lt;=E155,"PASS","FAIL"),"OPEN")</f>
        <v>OPEN</v>
      </c>
      <c r="K155" s="15" t="n">
        <f aca="false">0</f>
        <v>0</v>
      </c>
      <c r="L155" s="4"/>
      <c r="M155" s="4"/>
      <c r="N155" s="4"/>
    </row>
    <row r="156" customFormat="false" ht="15" hidden="false" customHeight="false" outlineLevel="0" collapsed="false">
      <c r="A156" s="14" t="s">
        <v>1234</v>
      </c>
      <c r="B156" s="14" t="s">
        <v>1044</v>
      </c>
      <c r="C156" s="14" t="s">
        <v>1045</v>
      </c>
      <c r="D156" s="14" t="s">
        <v>1090</v>
      </c>
      <c r="E156" s="14" t="n">
        <v>240</v>
      </c>
      <c r="F156" s="16"/>
      <c r="G156" s="16"/>
      <c r="H156" s="16"/>
      <c r="I156" s="16" t="n">
        <v>0</v>
      </c>
      <c r="J156" s="15" t="str">
        <f aca="false">IF(AND(ISNUMBER(F156),G156&lt;&gt;"",H156&lt;&gt;"",I156=1),IF(F156&lt;=E156,"PASS","FAIL"),"OPEN")</f>
        <v>OPEN</v>
      </c>
      <c r="K156" s="15" t="n">
        <f aca="false">0</f>
        <v>0</v>
      </c>
      <c r="L156" s="4"/>
      <c r="M156" s="4"/>
      <c r="N156" s="4"/>
    </row>
    <row r="157" customFormat="false" ht="15" hidden="false" customHeight="false" outlineLevel="0" collapsed="false">
      <c r="A157" s="14" t="s">
        <v>1235</v>
      </c>
      <c r="B157" s="14" t="s">
        <v>1047</v>
      </c>
      <c r="C157" s="14" t="s">
        <v>1048</v>
      </c>
      <c r="D157" s="14" t="s">
        <v>1080</v>
      </c>
      <c r="E157" s="14" t="n">
        <v>5</v>
      </c>
      <c r="F157" s="16"/>
      <c r="G157" s="16"/>
      <c r="H157" s="16"/>
      <c r="I157" s="16" t="n">
        <v>0</v>
      </c>
      <c r="J157" s="15" t="str">
        <f aca="false">IF(AND(ISNUMBER(F157),G157&lt;&gt;"",H157&lt;&gt;"",I157=1),IF(F157&lt;=E157,"PASS","FAIL"),"OPEN")</f>
        <v>OPEN</v>
      </c>
      <c r="K157" s="15" t="n">
        <f aca="false">0</f>
        <v>0</v>
      </c>
      <c r="L157" s="4"/>
      <c r="M157" s="4"/>
      <c r="N157" s="4"/>
    </row>
    <row r="158" customFormat="false" ht="15" hidden="false" customHeight="false" outlineLevel="0" collapsed="false">
      <c r="A158" s="14" t="s">
        <v>1236</v>
      </c>
      <c r="B158" s="14" t="s">
        <v>1047</v>
      </c>
      <c r="C158" s="14" t="s">
        <v>1048</v>
      </c>
      <c r="D158" s="14" t="s">
        <v>1082</v>
      </c>
      <c r="E158" s="14" t="n">
        <v>15</v>
      </c>
      <c r="F158" s="16"/>
      <c r="G158" s="16"/>
      <c r="H158" s="16"/>
      <c r="I158" s="16" t="n">
        <v>0</v>
      </c>
      <c r="J158" s="15" t="str">
        <f aca="false">IF(AND(ISNUMBER(F158),G158&lt;&gt;"",H158&lt;&gt;"",I158=1),IF(F158&lt;=E158,"PASS","FAIL"),"OPEN")</f>
        <v>OPEN</v>
      </c>
      <c r="K158" s="15" t="n">
        <f aca="false">0</f>
        <v>0</v>
      </c>
      <c r="L158" s="4"/>
      <c r="M158" s="4"/>
      <c r="N158" s="4"/>
    </row>
    <row r="159" customFormat="false" ht="15" hidden="false" customHeight="false" outlineLevel="0" collapsed="false">
      <c r="A159" s="14" t="s">
        <v>1237</v>
      </c>
      <c r="B159" s="14" t="s">
        <v>1047</v>
      </c>
      <c r="C159" s="14" t="s">
        <v>1048</v>
      </c>
      <c r="D159" s="14" t="s">
        <v>1084</v>
      </c>
      <c r="E159" s="14" t="n">
        <v>60</v>
      </c>
      <c r="F159" s="16"/>
      <c r="G159" s="16"/>
      <c r="H159" s="16"/>
      <c r="I159" s="16" t="n">
        <v>0</v>
      </c>
      <c r="J159" s="15" t="str">
        <f aca="false">IF(AND(ISNUMBER(F159),G159&lt;&gt;"",H159&lt;&gt;"",I159=1),IF(F159&lt;=E159,"PASS","FAIL"),"OPEN")</f>
        <v>OPEN</v>
      </c>
      <c r="K159" s="15" t="n">
        <f aca="false">0</f>
        <v>0</v>
      </c>
      <c r="L159" s="4"/>
      <c r="M159" s="4"/>
      <c r="N159" s="4"/>
    </row>
    <row r="160" customFormat="false" ht="15" hidden="false" customHeight="false" outlineLevel="0" collapsed="false">
      <c r="A160" s="14" t="s">
        <v>1238</v>
      </c>
      <c r="B160" s="14" t="s">
        <v>1047</v>
      </c>
      <c r="C160" s="14" t="s">
        <v>1048</v>
      </c>
      <c r="D160" s="14" t="s">
        <v>1086</v>
      </c>
      <c r="E160" s="14" t="n">
        <v>120</v>
      </c>
      <c r="F160" s="16"/>
      <c r="G160" s="16"/>
      <c r="H160" s="16"/>
      <c r="I160" s="16" t="n">
        <v>0</v>
      </c>
      <c r="J160" s="15" t="str">
        <f aca="false">IF(AND(ISNUMBER(F160),G160&lt;&gt;"",H160&lt;&gt;"",I160=1),IF(F160&lt;=E160,"PASS","FAIL"),"OPEN")</f>
        <v>OPEN</v>
      </c>
      <c r="K160" s="15" t="n">
        <f aca="false">0</f>
        <v>0</v>
      </c>
      <c r="L160" s="4"/>
      <c r="M160" s="4"/>
      <c r="N160" s="4"/>
    </row>
    <row r="161" customFormat="false" ht="15" hidden="false" customHeight="false" outlineLevel="0" collapsed="false">
      <c r="A161" s="14" t="s">
        <v>1239</v>
      </c>
      <c r="B161" s="14" t="s">
        <v>1047</v>
      </c>
      <c r="C161" s="14" t="s">
        <v>1048</v>
      </c>
      <c r="D161" s="14" t="s">
        <v>1088</v>
      </c>
      <c r="E161" s="14" t="n">
        <v>240</v>
      </c>
      <c r="F161" s="16"/>
      <c r="G161" s="16"/>
      <c r="H161" s="16"/>
      <c r="I161" s="16" t="n">
        <v>0</v>
      </c>
      <c r="J161" s="15" t="str">
        <f aca="false">IF(AND(ISNUMBER(F161),G161&lt;&gt;"",H161&lt;&gt;"",I161=1),IF(F161&lt;=E161,"PASS","FAIL"),"OPEN")</f>
        <v>OPEN</v>
      </c>
      <c r="K161" s="15" t="n">
        <f aca="false">0</f>
        <v>0</v>
      </c>
      <c r="L161" s="4"/>
      <c r="M161" s="4"/>
      <c r="N161" s="4"/>
    </row>
    <row r="162" customFormat="false" ht="15" hidden="false" customHeight="false" outlineLevel="0" collapsed="false">
      <c r="A162" s="14" t="s">
        <v>1240</v>
      </c>
      <c r="B162" s="14" t="s">
        <v>1047</v>
      </c>
      <c r="C162" s="14" t="s">
        <v>1048</v>
      </c>
      <c r="D162" s="14" t="s">
        <v>1090</v>
      </c>
      <c r="E162" s="14" t="n">
        <v>240</v>
      </c>
      <c r="F162" s="16"/>
      <c r="G162" s="16"/>
      <c r="H162" s="16"/>
      <c r="I162" s="16" t="n">
        <v>0</v>
      </c>
      <c r="J162" s="15" t="str">
        <f aca="false">IF(AND(ISNUMBER(F162),G162&lt;&gt;"",H162&lt;&gt;"",I162=1),IF(F162&lt;=E162,"PASS","FAIL"),"OPEN")</f>
        <v>OPEN</v>
      </c>
      <c r="K162" s="15" t="n">
        <f aca="false">0</f>
        <v>0</v>
      </c>
      <c r="L162" s="4"/>
      <c r="M162" s="4"/>
      <c r="N162" s="4"/>
    </row>
    <row r="163" customFormat="false" ht="15" hidden="false" customHeight="false" outlineLevel="0" collapsed="false">
      <c r="A163" s="14" t="s">
        <v>1241</v>
      </c>
      <c r="B163" s="14" t="s">
        <v>1049</v>
      </c>
      <c r="C163" s="14" t="s">
        <v>1048</v>
      </c>
      <c r="D163" s="14" t="s">
        <v>1080</v>
      </c>
      <c r="E163" s="14" t="n">
        <v>5</v>
      </c>
      <c r="F163" s="16"/>
      <c r="G163" s="16"/>
      <c r="H163" s="16"/>
      <c r="I163" s="16" t="n">
        <v>0</v>
      </c>
      <c r="J163" s="15" t="str">
        <f aca="false">IF(AND(ISNUMBER(F163),G163&lt;&gt;"",H163&lt;&gt;"",I163=1),IF(F163&lt;=E163,"PASS","FAIL"),"OPEN")</f>
        <v>OPEN</v>
      </c>
      <c r="K163" s="15" t="n">
        <f aca="false">0</f>
        <v>0</v>
      </c>
      <c r="L163" s="4"/>
      <c r="M163" s="4"/>
      <c r="N163" s="4"/>
    </row>
    <row r="164" customFormat="false" ht="15" hidden="false" customHeight="false" outlineLevel="0" collapsed="false">
      <c r="A164" s="14" t="s">
        <v>1242</v>
      </c>
      <c r="B164" s="14" t="s">
        <v>1049</v>
      </c>
      <c r="C164" s="14" t="s">
        <v>1048</v>
      </c>
      <c r="D164" s="14" t="s">
        <v>1082</v>
      </c>
      <c r="E164" s="14" t="n">
        <v>15</v>
      </c>
      <c r="F164" s="16"/>
      <c r="G164" s="16"/>
      <c r="H164" s="16"/>
      <c r="I164" s="16" t="n">
        <v>0</v>
      </c>
      <c r="J164" s="15" t="str">
        <f aca="false">IF(AND(ISNUMBER(F164),G164&lt;&gt;"",H164&lt;&gt;"",I164=1),IF(F164&lt;=E164,"PASS","FAIL"),"OPEN")</f>
        <v>OPEN</v>
      </c>
      <c r="K164" s="15" t="n">
        <f aca="false">0</f>
        <v>0</v>
      </c>
      <c r="L164" s="4"/>
      <c r="M164" s="4"/>
      <c r="N164" s="4"/>
    </row>
    <row r="165" customFormat="false" ht="15" hidden="false" customHeight="false" outlineLevel="0" collapsed="false">
      <c r="A165" s="14" t="s">
        <v>1243</v>
      </c>
      <c r="B165" s="14" t="s">
        <v>1049</v>
      </c>
      <c r="C165" s="14" t="s">
        <v>1048</v>
      </c>
      <c r="D165" s="14" t="s">
        <v>1084</v>
      </c>
      <c r="E165" s="14" t="n">
        <v>60</v>
      </c>
      <c r="F165" s="16"/>
      <c r="G165" s="16"/>
      <c r="H165" s="16"/>
      <c r="I165" s="16" t="n">
        <v>0</v>
      </c>
      <c r="J165" s="15" t="str">
        <f aca="false">IF(AND(ISNUMBER(F165),G165&lt;&gt;"",H165&lt;&gt;"",I165=1),IF(F165&lt;=E165,"PASS","FAIL"),"OPEN")</f>
        <v>OPEN</v>
      </c>
      <c r="K165" s="15" t="n">
        <f aca="false">0</f>
        <v>0</v>
      </c>
      <c r="L165" s="4"/>
      <c r="M165" s="4"/>
      <c r="N165" s="4"/>
    </row>
    <row r="166" customFormat="false" ht="15" hidden="false" customHeight="false" outlineLevel="0" collapsed="false">
      <c r="A166" s="14" t="s">
        <v>1244</v>
      </c>
      <c r="B166" s="14" t="s">
        <v>1049</v>
      </c>
      <c r="C166" s="14" t="s">
        <v>1048</v>
      </c>
      <c r="D166" s="14" t="s">
        <v>1086</v>
      </c>
      <c r="E166" s="14" t="n">
        <v>120</v>
      </c>
      <c r="F166" s="16"/>
      <c r="G166" s="16"/>
      <c r="H166" s="16"/>
      <c r="I166" s="16" t="n">
        <v>0</v>
      </c>
      <c r="J166" s="15" t="str">
        <f aca="false">IF(AND(ISNUMBER(F166),G166&lt;&gt;"",H166&lt;&gt;"",I166=1),IF(F166&lt;=E166,"PASS","FAIL"),"OPEN")</f>
        <v>OPEN</v>
      </c>
      <c r="K166" s="15" t="n">
        <f aca="false">0</f>
        <v>0</v>
      </c>
      <c r="L166" s="4"/>
      <c r="M166" s="4"/>
      <c r="N166" s="4"/>
    </row>
    <row r="167" customFormat="false" ht="15" hidden="false" customHeight="false" outlineLevel="0" collapsed="false">
      <c r="A167" s="14" t="s">
        <v>1245</v>
      </c>
      <c r="B167" s="14" t="s">
        <v>1049</v>
      </c>
      <c r="C167" s="14" t="s">
        <v>1048</v>
      </c>
      <c r="D167" s="14" t="s">
        <v>1088</v>
      </c>
      <c r="E167" s="14" t="n">
        <v>240</v>
      </c>
      <c r="F167" s="16"/>
      <c r="G167" s="16"/>
      <c r="H167" s="16"/>
      <c r="I167" s="16" t="n">
        <v>0</v>
      </c>
      <c r="J167" s="15" t="str">
        <f aca="false">IF(AND(ISNUMBER(F167),G167&lt;&gt;"",H167&lt;&gt;"",I167=1),IF(F167&lt;=E167,"PASS","FAIL"),"OPEN")</f>
        <v>OPEN</v>
      </c>
      <c r="K167" s="15" t="n">
        <f aca="false">0</f>
        <v>0</v>
      </c>
      <c r="L167" s="4"/>
      <c r="M167" s="4"/>
      <c r="N167" s="4"/>
    </row>
    <row r="168" customFormat="false" ht="15" hidden="false" customHeight="false" outlineLevel="0" collapsed="false">
      <c r="A168" s="14" t="s">
        <v>1246</v>
      </c>
      <c r="B168" s="14" t="s">
        <v>1049</v>
      </c>
      <c r="C168" s="14" t="s">
        <v>1048</v>
      </c>
      <c r="D168" s="14" t="s">
        <v>1090</v>
      </c>
      <c r="E168" s="14" t="n">
        <v>240</v>
      </c>
      <c r="F168" s="16"/>
      <c r="G168" s="16"/>
      <c r="H168" s="16"/>
      <c r="I168" s="16" t="n">
        <v>0</v>
      </c>
      <c r="J168" s="15" t="str">
        <f aca="false">IF(AND(ISNUMBER(F168),G168&lt;&gt;"",H168&lt;&gt;"",I168=1),IF(F168&lt;=E168,"PASS","FAIL"),"OPEN")</f>
        <v>OPEN</v>
      </c>
      <c r="K168" s="15" t="n">
        <f aca="false">0</f>
        <v>0</v>
      </c>
      <c r="L168" s="4"/>
      <c r="M168" s="4"/>
      <c r="N168" s="4"/>
    </row>
    <row r="169" customFormat="false" ht="15" hidden="false" customHeight="false" outlineLevel="0" collapsed="false">
      <c r="A169" s="14" t="s">
        <v>1247</v>
      </c>
      <c r="B169" s="14" t="s">
        <v>1050</v>
      </c>
      <c r="C169" s="14" t="s">
        <v>1048</v>
      </c>
      <c r="D169" s="14" t="s">
        <v>1080</v>
      </c>
      <c r="E169" s="14" t="n">
        <v>5</v>
      </c>
      <c r="F169" s="16"/>
      <c r="G169" s="16"/>
      <c r="H169" s="16"/>
      <c r="I169" s="16" t="n">
        <v>0</v>
      </c>
      <c r="J169" s="15" t="str">
        <f aca="false">IF(AND(ISNUMBER(F169),G169&lt;&gt;"",H169&lt;&gt;"",I169=1),IF(F169&lt;=E169,"PASS","FAIL"),"OPEN")</f>
        <v>OPEN</v>
      </c>
      <c r="K169" s="15" t="n">
        <f aca="false">0</f>
        <v>0</v>
      </c>
      <c r="L169" s="4"/>
      <c r="M169" s="4"/>
      <c r="N169" s="4"/>
    </row>
    <row r="170" customFormat="false" ht="15" hidden="false" customHeight="false" outlineLevel="0" collapsed="false">
      <c r="A170" s="14" t="s">
        <v>1248</v>
      </c>
      <c r="B170" s="14" t="s">
        <v>1050</v>
      </c>
      <c r="C170" s="14" t="s">
        <v>1048</v>
      </c>
      <c r="D170" s="14" t="s">
        <v>1082</v>
      </c>
      <c r="E170" s="14" t="n">
        <v>15</v>
      </c>
      <c r="F170" s="16"/>
      <c r="G170" s="16"/>
      <c r="H170" s="16"/>
      <c r="I170" s="16" t="n">
        <v>0</v>
      </c>
      <c r="J170" s="15" t="str">
        <f aca="false">IF(AND(ISNUMBER(F170),G170&lt;&gt;"",H170&lt;&gt;"",I170=1),IF(F170&lt;=E170,"PASS","FAIL"),"OPEN")</f>
        <v>OPEN</v>
      </c>
      <c r="K170" s="15" t="n">
        <f aca="false">0</f>
        <v>0</v>
      </c>
      <c r="L170" s="4"/>
      <c r="M170" s="4"/>
      <c r="N170" s="4"/>
    </row>
    <row r="171" customFormat="false" ht="15" hidden="false" customHeight="false" outlineLevel="0" collapsed="false">
      <c r="A171" s="14" t="s">
        <v>1249</v>
      </c>
      <c r="B171" s="14" t="s">
        <v>1050</v>
      </c>
      <c r="C171" s="14" t="s">
        <v>1048</v>
      </c>
      <c r="D171" s="14" t="s">
        <v>1084</v>
      </c>
      <c r="E171" s="14" t="n">
        <v>60</v>
      </c>
      <c r="F171" s="16"/>
      <c r="G171" s="16"/>
      <c r="H171" s="16"/>
      <c r="I171" s="16" t="n">
        <v>0</v>
      </c>
      <c r="J171" s="15" t="str">
        <f aca="false">IF(AND(ISNUMBER(F171),G171&lt;&gt;"",H171&lt;&gt;"",I171=1),IF(F171&lt;=E171,"PASS","FAIL"),"OPEN")</f>
        <v>OPEN</v>
      </c>
      <c r="K171" s="15" t="n">
        <f aca="false">0</f>
        <v>0</v>
      </c>
      <c r="L171" s="4"/>
      <c r="M171" s="4"/>
      <c r="N171" s="4"/>
    </row>
    <row r="172" customFormat="false" ht="15" hidden="false" customHeight="false" outlineLevel="0" collapsed="false">
      <c r="A172" s="14" t="s">
        <v>1250</v>
      </c>
      <c r="B172" s="14" t="s">
        <v>1050</v>
      </c>
      <c r="C172" s="14" t="s">
        <v>1048</v>
      </c>
      <c r="D172" s="14" t="s">
        <v>1086</v>
      </c>
      <c r="E172" s="14" t="n">
        <v>120</v>
      </c>
      <c r="F172" s="16"/>
      <c r="G172" s="16"/>
      <c r="H172" s="16"/>
      <c r="I172" s="16" t="n">
        <v>0</v>
      </c>
      <c r="J172" s="15" t="str">
        <f aca="false">IF(AND(ISNUMBER(F172),G172&lt;&gt;"",H172&lt;&gt;"",I172=1),IF(F172&lt;=E172,"PASS","FAIL"),"OPEN")</f>
        <v>OPEN</v>
      </c>
      <c r="K172" s="15" t="n">
        <f aca="false">0</f>
        <v>0</v>
      </c>
      <c r="L172" s="4"/>
      <c r="M172" s="4"/>
      <c r="N172" s="4"/>
    </row>
    <row r="173" customFormat="false" ht="15" hidden="false" customHeight="false" outlineLevel="0" collapsed="false">
      <c r="A173" s="14" t="s">
        <v>1251</v>
      </c>
      <c r="B173" s="14" t="s">
        <v>1050</v>
      </c>
      <c r="C173" s="14" t="s">
        <v>1048</v>
      </c>
      <c r="D173" s="14" t="s">
        <v>1088</v>
      </c>
      <c r="E173" s="14" t="n">
        <v>240</v>
      </c>
      <c r="F173" s="16"/>
      <c r="G173" s="16"/>
      <c r="H173" s="16"/>
      <c r="I173" s="16" t="n">
        <v>0</v>
      </c>
      <c r="J173" s="15" t="str">
        <f aca="false">IF(AND(ISNUMBER(F173),G173&lt;&gt;"",H173&lt;&gt;"",I173=1),IF(F173&lt;=E173,"PASS","FAIL"),"OPEN")</f>
        <v>OPEN</v>
      </c>
      <c r="K173" s="15" t="n">
        <f aca="false">0</f>
        <v>0</v>
      </c>
      <c r="L173" s="4"/>
      <c r="M173" s="4"/>
      <c r="N173" s="4"/>
    </row>
    <row r="174" customFormat="false" ht="15" hidden="false" customHeight="false" outlineLevel="0" collapsed="false">
      <c r="A174" s="14" t="s">
        <v>1252</v>
      </c>
      <c r="B174" s="14" t="s">
        <v>1050</v>
      </c>
      <c r="C174" s="14" t="s">
        <v>1048</v>
      </c>
      <c r="D174" s="14" t="s">
        <v>1090</v>
      </c>
      <c r="E174" s="14" t="n">
        <v>240</v>
      </c>
      <c r="F174" s="16"/>
      <c r="G174" s="16"/>
      <c r="H174" s="16"/>
      <c r="I174" s="16" t="n">
        <v>0</v>
      </c>
      <c r="J174" s="15" t="str">
        <f aca="false">IF(AND(ISNUMBER(F174),G174&lt;&gt;"",H174&lt;&gt;"",I174=1),IF(F174&lt;=E174,"PASS","FAIL"),"OPEN")</f>
        <v>OPEN</v>
      </c>
      <c r="K174" s="15" t="n">
        <f aca="false">0</f>
        <v>0</v>
      </c>
      <c r="L174" s="4"/>
      <c r="M174" s="4"/>
      <c r="N174" s="4"/>
    </row>
    <row r="175" customFormat="false" ht="15" hidden="false" customHeight="false" outlineLevel="0" collapsed="false">
      <c r="A175" s="14" t="s">
        <v>1253</v>
      </c>
      <c r="B175" s="14" t="s">
        <v>1051</v>
      </c>
      <c r="C175" s="14" t="s">
        <v>1052</v>
      </c>
      <c r="D175" s="14" t="s">
        <v>1080</v>
      </c>
      <c r="E175" s="14" t="n">
        <v>5</v>
      </c>
      <c r="F175" s="16"/>
      <c r="G175" s="16"/>
      <c r="H175" s="16"/>
      <c r="I175" s="16" t="n">
        <v>0</v>
      </c>
      <c r="J175" s="15" t="str">
        <f aca="false">IF(AND(ISNUMBER(F175),G175&lt;&gt;"",H175&lt;&gt;"",I175=1),IF(F175&lt;=E175,"PASS","FAIL"),"OPEN")</f>
        <v>OPEN</v>
      </c>
      <c r="K175" s="15" t="n">
        <f aca="false">0</f>
        <v>0</v>
      </c>
      <c r="L175" s="4"/>
      <c r="M175" s="4"/>
      <c r="N175" s="4"/>
    </row>
    <row r="176" customFormat="false" ht="15" hidden="false" customHeight="false" outlineLevel="0" collapsed="false">
      <c r="A176" s="14" t="s">
        <v>1254</v>
      </c>
      <c r="B176" s="14" t="s">
        <v>1051</v>
      </c>
      <c r="C176" s="14" t="s">
        <v>1052</v>
      </c>
      <c r="D176" s="14" t="s">
        <v>1082</v>
      </c>
      <c r="E176" s="14" t="n">
        <v>15</v>
      </c>
      <c r="F176" s="16"/>
      <c r="G176" s="16"/>
      <c r="H176" s="16"/>
      <c r="I176" s="16" t="n">
        <v>0</v>
      </c>
      <c r="J176" s="15" t="str">
        <f aca="false">IF(AND(ISNUMBER(F176),G176&lt;&gt;"",H176&lt;&gt;"",I176=1),IF(F176&lt;=E176,"PASS","FAIL"),"OPEN")</f>
        <v>OPEN</v>
      </c>
      <c r="K176" s="15" t="n">
        <f aca="false">0</f>
        <v>0</v>
      </c>
      <c r="L176" s="4"/>
      <c r="M176" s="4"/>
      <c r="N176" s="4"/>
    </row>
    <row r="177" customFormat="false" ht="15" hidden="false" customHeight="false" outlineLevel="0" collapsed="false">
      <c r="A177" s="14" t="s">
        <v>1255</v>
      </c>
      <c r="B177" s="14" t="s">
        <v>1051</v>
      </c>
      <c r="C177" s="14" t="s">
        <v>1052</v>
      </c>
      <c r="D177" s="14" t="s">
        <v>1084</v>
      </c>
      <c r="E177" s="14" t="n">
        <v>60</v>
      </c>
      <c r="F177" s="16"/>
      <c r="G177" s="16"/>
      <c r="H177" s="16"/>
      <c r="I177" s="16" t="n">
        <v>0</v>
      </c>
      <c r="J177" s="15" t="str">
        <f aca="false">IF(AND(ISNUMBER(F177),G177&lt;&gt;"",H177&lt;&gt;"",I177=1),IF(F177&lt;=E177,"PASS","FAIL"),"OPEN")</f>
        <v>OPEN</v>
      </c>
      <c r="K177" s="15" t="n">
        <f aca="false">0</f>
        <v>0</v>
      </c>
      <c r="L177" s="4"/>
      <c r="M177" s="4"/>
      <c r="N177" s="4"/>
    </row>
    <row r="178" customFormat="false" ht="15" hidden="false" customHeight="false" outlineLevel="0" collapsed="false">
      <c r="A178" s="14" t="s">
        <v>1256</v>
      </c>
      <c r="B178" s="14" t="s">
        <v>1051</v>
      </c>
      <c r="C178" s="14" t="s">
        <v>1052</v>
      </c>
      <c r="D178" s="14" t="s">
        <v>1086</v>
      </c>
      <c r="E178" s="14" t="n">
        <v>120</v>
      </c>
      <c r="F178" s="16"/>
      <c r="G178" s="16"/>
      <c r="H178" s="16"/>
      <c r="I178" s="16" t="n">
        <v>0</v>
      </c>
      <c r="J178" s="15" t="str">
        <f aca="false">IF(AND(ISNUMBER(F178),G178&lt;&gt;"",H178&lt;&gt;"",I178=1),IF(F178&lt;=E178,"PASS","FAIL"),"OPEN")</f>
        <v>OPEN</v>
      </c>
      <c r="K178" s="15" t="n">
        <f aca="false">0</f>
        <v>0</v>
      </c>
      <c r="L178" s="4"/>
      <c r="M178" s="4"/>
      <c r="N178" s="4"/>
    </row>
    <row r="179" customFormat="false" ht="15" hidden="false" customHeight="false" outlineLevel="0" collapsed="false">
      <c r="A179" s="14" t="s">
        <v>1257</v>
      </c>
      <c r="B179" s="14" t="s">
        <v>1051</v>
      </c>
      <c r="C179" s="14" t="s">
        <v>1052</v>
      </c>
      <c r="D179" s="14" t="s">
        <v>1088</v>
      </c>
      <c r="E179" s="14" t="n">
        <v>240</v>
      </c>
      <c r="F179" s="16"/>
      <c r="G179" s="16"/>
      <c r="H179" s="16"/>
      <c r="I179" s="16" t="n">
        <v>0</v>
      </c>
      <c r="J179" s="15" t="str">
        <f aca="false">IF(AND(ISNUMBER(F179),G179&lt;&gt;"",H179&lt;&gt;"",I179=1),IF(F179&lt;=E179,"PASS","FAIL"),"OPEN")</f>
        <v>OPEN</v>
      </c>
      <c r="K179" s="15" t="n">
        <f aca="false">0</f>
        <v>0</v>
      </c>
      <c r="L179" s="4"/>
      <c r="M179" s="4"/>
      <c r="N179" s="4"/>
    </row>
    <row r="180" customFormat="false" ht="15" hidden="false" customHeight="false" outlineLevel="0" collapsed="false">
      <c r="A180" s="14" t="s">
        <v>1258</v>
      </c>
      <c r="B180" s="14" t="s">
        <v>1051</v>
      </c>
      <c r="C180" s="14" t="s">
        <v>1052</v>
      </c>
      <c r="D180" s="14" t="s">
        <v>1090</v>
      </c>
      <c r="E180" s="14" t="n">
        <v>240</v>
      </c>
      <c r="F180" s="16"/>
      <c r="G180" s="16"/>
      <c r="H180" s="16"/>
      <c r="I180" s="16" t="n">
        <v>0</v>
      </c>
      <c r="J180" s="15" t="str">
        <f aca="false">IF(AND(ISNUMBER(F180),G180&lt;&gt;"",H180&lt;&gt;"",I180=1),IF(F180&lt;=E180,"PASS","FAIL"),"OPEN")</f>
        <v>OPEN</v>
      </c>
      <c r="K180" s="15" t="n">
        <f aca="false">0</f>
        <v>0</v>
      </c>
      <c r="L180" s="4"/>
      <c r="M180" s="4"/>
      <c r="N180" s="4"/>
    </row>
    <row r="181" customFormat="false" ht="15" hidden="false" customHeight="false" outlineLevel="0" collapsed="false">
      <c r="A181" s="14" t="s">
        <v>1259</v>
      </c>
      <c r="B181" s="14" t="s">
        <v>1054</v>
      </c>
      <c r="C181" s="14" t="s">
        <v>1055</v>
      </c>
      <c r="D181" s="14" t="s">
        <v>1080</v>
      </c>
      <c r="E181" s="14" t="n">
        <v>5</v>
      </c>
      <c r="F181" s="16"/>
      <c r="G181" s="16"/>
      <c r="H181" s="16"/>
      <c r="I181" s="16" t="n">
        <v>0</v>
      </c>
      <c r="J181" s="15" t="str">
        <f aca="false">IF(AND(ISNUMBER(F181),G181&lt;&gt;"",H181&lt;&gt;"",I181=1),IF(F181&lt;=E181,"PASS","FAIL"),"OPEN")</f>
        <v>OPEN</v>
      </c>
      <c r="K181" s="15" t="n">
        <f aca="false">0</f>
        <v>0</v>
      </c>
      <c r="L181" s="4"/>
      <c r="M181" s="4"/>
      <c r="N181" s="4"/>
    </row>
    <row r="182" customFormat="false" ht="15" hidden="false" customHeight="false" outlineLevel="0" collapsed="false">
      <c r="A182" s="14" t="s">
        <v>1260</v>
      </c>
      <c r="B182" s="14" t="s">
        <v>1054</v>
      </c>
      <c r="C182" s="14" t="s">
        <v>1055</v>
      </c>
      <c r="D182" s="14" t="s">
        <v>1082</v>
      </c>
      <c r="E182" s="14" t="n">
        <v>15</v>
      </c>
      <c r="F182" s="16"/>
      <c r="G182" s="16"/>
      <c r="H182" s="16"/>
      <c r="I182" s="16" t="n">
        <v>0</v>
      </c>
      <c r="J182" s="15" t="str">
        <f aca="false">IF(AND(ISNUMBER(F182),G182&lt;&gt;"",H182&lt;&gt;"",I182=1),IF(F182&lt;=E182,"PASS","FAIL"),"OPEN")</f>
        <v>OPEN</v>
      </c>
      <c r="K182" s="15" t="n">
        <f aca="false">0</f>
        <v>0</v>
      </c>
      <c r="L182" s="4"/>
      <c r="M182" s="4"/>
      <c r="N182" s="4"/>
    </row>
    <row r="183" customFormat="false" ht="15" hidden="false" customHeight="false" outlineLevel="0" collapsed="false">
      <c r="A183" s="14" t="s">
        <v>1261</v>
      </c>
      <c r="B183" s="14" t="s">
        <v>1054</v>
      </c>
      <c r="C183" s="14" t="s">
        <v>1055</v>
      </c>
      <c r="D183" s="14" t="s">
        <v>1084</v>
      </c>
      <c r="E183" s="14" t="n">
        <v>60</v>
      </c>
      <c r="F183" s="16"/>
      <c r="G183" s="16"/>
      <c r="H183" s="16"/>
      <c r="I183" s="16" t="n">
        <v>0</v>
      </c>
      <c r="J183" s="15" t="str">
        <f aca="false">IF(AND(ISNUMBER(F183),G183&lt;&gt;"",H183&lt;&gt;"",I183=1),IF(F183&lt;=E183,"PASS","FAIL"),"OPEN")</f>
        <v>OPEN</v>
      </c>
      <c r="K183" s="15" t="n">
        <f aca="false">0</f>
        <v>0</v>
      </c>
      <c r="L183" s="4"/>
      <c r="M183" s="4"/>
      <c r="N183" s="4"/>
    </row>
    <row r="184" customFormat="false" ht="15" hidden="false" customHeight="false" outlineLevel="0" collapsed="false">
      <c r="A184" s="14" t="s">
        <v>1262</v>
      </c>
      <c r="B184" s="14" t="s">
        <v>1054</v>
      </c>
      <c r="C184" s="14" t="s">
        <v>1055</v>
      </c>
      <c r="D184" s="14" t="s">
        <v>1086</v>
      </c>
      <c r="E184" s="14" t="n">
        <v>120</v>
      </c>
      <c r="F184" s="16"/>
      <c r="G184" s="16"/>
      <c r="H184" s="16"/>
      <c r="I184" s="16" t="n">
        <v>0</v>
      </c>
      <c r="J184" s="15" t="str">
        <f aca="false">IF(AND(ISNUMBER(F184),G184&lt;&gt;"",H184&lt;&gt;"",I184=1),IF(F184&lt;=E184,"PASS","FAIL"),"OPEN")</f>
        <v>OPEN</v>
      </c>
      <c r="K184" s="15" t="n">
        <f aca="false">0</f>
        <v>0</v>
      </c>
      <c r="L184" s="4"/>
      <c r="M184" s="4"/>
      <c r="N184" s="4"/>
    </row>
    <row r="185" customFormat="false" ht="15" hidden="false" customHeight="false" outlineLevel="0" collapsed="false">
      <c r="A185" s="14" t="s">
        <v>1263</v>
      </c>
      <c r="B185" s="14" t="s">
        <v>1054</v>
      </c>
      <c r="C185" s="14" t="s">
        <v>1055</v>
      </c>
      <c r="D185" s="14" t="s">
        <v>1088</v>
      </c>
      <c r="E185" s="14" t="n">
        <v>240</v>
      </c>
      <c r="F185" s="16"/>
      <c r="G185" s="16"/>
      <c r="H185" s="16"/>
      <c r="I185" s="16" t="n">
        <v>0</v>
      </c>
      <c r="J185" s="15" t="str">
        <f aca="false">IF(AND(ISNUMBER(F185),G185&lt;&gt;"",H185&lt;&gt;"",I185=1),IF(F185&lt;=E185,"PASS","FAIL"),"OPEN")</f>
        <v>OPEN</v>
      </c>
      <c r="K185" s="15" t="n">
        <f aca="false">0</f>
        <v>0</v>
      </c>
      <c r="L185" s="4"/>
      <c r="M185" s="4"/>
      <c r="N185" s="4"/>
    </row>
    <row r="186" customFormat="false" ht="15" hidden="false" customHeight="false" outlineLevel="0" collapsed="false">
      <c r="A186" s="14" t="s">
        <v>1264</v>
      </c>
      <c r="B186" s="14" t="s">
        <v>1054</v>
      </c>
      <c r="C186" s="14" t="s">
        <v>1055</v>
      </c>
      <c r="D186" s="14" t="s">
        <v>1090</v>
      </c>
      <c r="E186" s="14" t="n">
        <v>240</v>
      </c>
      <c r="F186" s="16"/>
      <c r="G186" s="16"/>
      <c r="H186" s="16"/>
      <c r="I186" s="16" t="n">
        <v>0</v>
      </c>
      <c r="J186" s="15" t="str">
        <f aca="false">IF(AND(ISNUMBER(F186),G186&lt;&gt;"",H186&lt;&gt;"",I186=1),IF(F186&lt;=E186,"PASS","FAIL"),"OPEN")</f>
        <v>OPEN</v>
      </c>
      <c r="K186" s="15" t="n">
        <f aca="false">0</f>
        <v>0</v>
      </c>
      <c r="L186" s="4"/>
      <c r="M186" s="4"/>
      <c r="N186" s="4"/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78"/>
    <pageSetUpPr fitToPage="false"/>
  </sheetPr>
  <dimension ref="A2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9"/>
    <col collapsed="false" customWidth="true" hidden="false" outlineLevel="0" max="3" min="3" style="0" width="18"/>
    <col collapsed="false" customWidth="true" hidden="false" outlineLevel="0" max="4" min="4" style="0" width="21"/>
  </cols>
  <sheetData>
    <row r="2" customFormat="false" ht="18.55" hidden="false" customHeight="false" outlineLevel="0" collapsed="false">
      <c r="A2" s="1" t="s">
        <v>1265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1266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5" t="s">
        <v>1267</v>
      </c>
      <c r="B6" s="5" t="s">
        <v>1267</v>
      </c>
      <c r="C6" s="5" t="s">
        <v>1267</v>
      </c>
      <c r="D6" s="5" t="s">
        <v>1267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customFormat="false" ht="15" hidden="false" customHeight="false" outlineLevel="0" collapsed="false">
      <c r="A8" s="6" t="s">
        <v>1268</v>
      </c>
      <c r="B8" s="7" t="s">
        <v>1269</v>
      </c>
      <c r="C8" s="7" t="s">
        <v>1270</v>
      </c>
      <c r="D8" s="8" t="s">
        <v>1271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customFormat="false" ht="15" hidden="false" customHeight="false" outlineLevel="0" collapsed="false">
      <c r="A9" s="14" t="str">
        <f aca="false">Inputs!A49</f>
        <v>Host and failure-domain hardening</v>
      </c>
      <c r="B9" s="17" t="n">
        <f aca="false">Inputs!B49</f>
        <v>189</v>
      </c>
      <c r="C9" s="17" t="n">
        <f aca="false">B9*Inputs!D49</f>
        <v>189</v>
      </c>
      <c r="D9" s="17" t="n">
        <f aca="false">B9-C9</f>
        <v>0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customFormat="false" ht="15" hidden="false" customHeight="false" outlineLevel="0" collapsed="false">
      <c r="A10" s="14" t="str">
        <f aca="false">Inputs!A50</f>
        <v>Role-separated enclave compute</v>
      </c>
      <c r="B10" s="17" t="n">
        <f aca="false">Inputs!B50</f>
        <v>135</v>
      </c>
      <c r="C10" s="17" t="n">
        <f aca="false">B10*Inputs!D50</f>
        <v>135</v>
      </c>
      <c r="D10" s="17" t="n">
        <f aca="false">B10-C10</f>
        <v>0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customFormat="false" ht="15" hidden="false" customHeight="false" outlineLevel="0" collapsed="false">
      <c r="A11" s="14" t="str">
        <f aca="false">Inputs!A51</f>
        <v>Offline custody and threshold escrow</v>
      </c>
      <c r="B11" s="17" t="n">
        <f aca="false">Inputs!B51</f>
        <v>81</v>
      </c>
      <c r="C11" s="17" t="n">
        <f aca="false">B11*Inputs!D51</f>
        <v>0</v>
      </c>
      <c r="D11" s="17" t="n">
        <f aca="false">B11-C11</f>
        <v>81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customFormat="false" ht="15" hidden="false" customHeight="false" outlineLevel="0" collapsed="false">
      <c r="A12" s="14" t="str">
        <f aca="false">Inputs!A52</f>
        <v>Court seats and key ceremony</v>
      </c>
      <c r="B12" s="17" t="n">
        <f aca="false">Inputs!B52</f>
        <v>54</v>
      </c>
      <c r="C12" s="17" t="n">
        <f aca="false">B12*Inputs!D52</f>
        <v>0</v>
      </c>
      <c r="D12" s="17" t="n">
        <f aca="false">B12-C12</f>
        <v>54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customFormat="false" ht="15" hidden="false" customHeight="false" outlineLevel="0" collapsed="false">
      <c r="A13" s="14" t="str">
        <f aca="false">Inputs!A53</f>
        <v>Cross-region network and restoration</v>
      </c>
      <c r="B13" s="17" t="n">
        <f aca="false">Inputs!B53</f>
        <v>54</v>
      </c>
      <c r="C13" s="17" t="n">
        <f aca="false">B13*Inputs!D53</f>
        <v>54</v>
      </c>
      <c r="D13" s="17" t="n">
        <f aca="false">B13-C13</f>
        <v>0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customFormat="false" ht="15" hidden="false" customHeight="false" outlineLevel="0" collapsed="false">
      <c r="A14" s="14" t="str">
        <f aca="false">Inputs!A54</f>
        <v>Uncommitted recovery reserve</v>
      </c>
      <c r="B14" s="17" t="n">
        <f aca="false">Inputs!B54</f>
        <v>27</v>
      </c>
      <c r="C14" s="17" t="n">
        <f aca="false">B14*Inputs!D54</f>
        <v>0</v>
      </c>
      <c r="D14" s="17" t="n">
        <f aca="false">B14-C14</f>
        <v>27</v>
      </c>
      <c r="E14" s="4"/>
      <c r="F14" s="4"/>
      <c r="G14" s="4"/>
      <c r="H14" s="4"/>
      <c r="I14" s="4"/>
      <c r="J14" s="4"/>
      <c r="K14" s="4"/>
      <c r="L14" s="4"/>
      <c r="M14" s="4"/>
      <c r="N14" s="4"/>
    </row>
    <row r="15" customFormat="false" ht="15" hidden="false" customHeight="false" outlineLevel="0" collapsed="false">
      <c r="A15" s="14" t="str">
        <f aca="false">"Total"</f>
        <v>Total</v>
      </c>
      <c r="B15" s="17" t="n">
        <f aca="false">SUM(B9:B14)</f>
        <v>540</v>
      </c>
      <c r="C15" s="17" t="n">
        <f aca="false">SUM(C9:C14)</f>
        <v>378</v>
      </c>
      <c r="D15" s="17" t="n">
        <f aca="false">SUM(D9:D14)</f>
        <v>162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customFormat="false" ht="15" hidden="false" customHeight="false" outlineLevel="0" collapsed="false">
      <c r="A16" s="14"/>
      <c r="B16" s="14"/>
      <c r="C16" s="14"/>
      <c r="D16" s="1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customFormat="false" ht="15" hidden="false" customHeight="false" outlineLevel="0" collapsed="false">
      <c r="A17" s="14"/>
      <c r="B17" s="14"/>
      <c r="C17" s="14"/>
      <c r="D17" s="1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customFormat="false" ht="15" hidden="false" customHeight="false" outlineLevel="0" collapsed="false">
      <c r="A18" s="14"/>
      <c r="B18" s="14"/>
      <c r="C18" s="14"/>
      <c r="D18" s="1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customFormat="false" ht="15" hidden="false" customHeight="false" outlineLevel="0" collapsed="false">
      <c r="A19" s="18" t="s">
        <v>1272</v>
      </c>
      <c r="B19" s="18" t="s">
        <v>1272</v>
      </c>
      <c r="C19" s="18" t="s">
        <v>1272</v>
      </c>
      <c r="D19" s="18" t="s">
        <v>1272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customFormat="false" ht="15" hidden="false" customHeight="false" outlineLevel="0" collapsed="false">
      <c r="A20" s="14"/>
      <c r="B20" s="14"/>
      <c r="C20" s="14"/>
      <c r="D20" s="1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customFormat="false" ht="15" hidden="false" customHeight="false" outlineLevel="0" collapsed="false">
      <c r="A21" s="6" t="s">
        <v>1268</v>
      </c>
      <c r="B21" s="7" t="s">
        <v>1273</v>
      </c>
      <c r="C21" s="7" t="s">
        <v>1274</v>
      </c>
      <c r="D21" s="8" t="s">
        <v>1275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customFormat="false" ht="15" hidden="false" customHeight="false" outlineLevel="0" collapsed="false">
      <c r="A22" s="14" t="s">
        <v>1276</v>
      </c>
      <c r="B22" s="17" t="n">
        <f aca="false">Inputs!B58</f>
        <v>26.905</v>
      </c>
      <c r="C22" s="19" t="n">
        <v>0.55</v>
      </c>
      <c r="D22" s="17" t="n">
        <f aca="false">B22*C22</f>
        <v>14.79775</v>
      </c>
      <c r="E22" s="4"/>
      <c r="F22" s="4"/>
      <c r="G22" s="4"/>
      <c r="H22" s="4"/>
      <c r="I22" s="4"/>
      <c r="J22" s="4"/>
      <c r="K22" s="4"/>
      <c r="L22" s="4"/>
      <c r="M22" s="4"/>
      <c r="N22" s="4"/>
    </row>
    <row r="23" customFormat="false" ht="15" hidden="false" customHeight="false" outlineLevel="0" collapsed="false">
      <c r="A23" s="14" t="s">
        <v>1277</v>
      </c>
      <c r="B23" s="17" t="n">
        <f aca="false">Inputs!B58</f>
        <v>26.905</v>
      </c>
      <c r="C23" s="19" t="n">
        <v>0.25</v>
      </c>
      <c r="D23" s="17" t="n">
        <f aca="false">B23*C23</f>
        <v>6.72625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customFormat="false" ht="15" hidden="false" customHeight="false" outlineLevel="0" collapsed="false">
      <c r="A24" s="14" t="s">
        <v>1278</v>
      </c>
      <c r="B24" s="17" t="n">
        <f aca="false">Inputs!B58</f>
        <v>26.905</v>
      </c>
      <c r="C24" s="19" t="n">
        <v>0.2</v>
      </c>
      <c r="D24" s="17" t="n">
        <f aca="false">B24*C24</f>
        <v>5.381</v>
      </c>
      <c r="E24" s="4"/>
      <c r="F24" s="4"/>
      <c r="G24" s="4"/>
      <c r="H24" s="4"/>
      <c r="I24" s="4"/>
      <c r="J24" s="4"/>
      <c r="K24" s="4"/>
      <c r="L24" s="4"/>
      <c r="M24" s="4"/>
      <c r="N24" s="4"/>
    </row>
    <row r="25" customFormat="false" ht="15" hidden="false" customHeight="false" outlineLevel="0" collapsed="false">
      <c r="A25" s="14" t="s">
        <v>1279</v>
      </c>
      <c r="B25" s="17" t="n">
        <f aca="false">Inputs!B59</f>
        <v>14.349333</v>
      </c>
      <c r="C25" s="19" t="n">
        <v>0.45</v>
      </c>
      <c r="D25" s="17" t="n">
        <f aca="false">B25*C25</f>
        <v>6.45719985</v>
      </c>
      <c r="E25" s="4"/>
      <c r="F25" s="4"/>
      <c r="G25" s="4"/>
      <c r="H25" s="4"/>
      <c r="I25" s="4"/>
      <c r="J25" s="4"/>
      <c r="K25" s="4"/>
      <c r="L25" s="4"/>
      <c r="M25" s="4"/>
      <c r="N25" s="4"/>
    </row>
    <row r="26" customFormat="false" ht="15" hidden="false" customHeight="false" outlineLevel="0" collapsed="false">
      <c r="A26" s="14" t="s">
        <v>1280</v>
      </c>
      <c r="B26" s="17" t="n">
        <f aca="false">Inputs!B59</f>
        <v>14.349333</v>
      </c>
      <c r="C26" s="19" t="n">
        <v>0.3</v>
      </c>
      <c r="D26" s="17" t="n">
        <f aca="false">B26*C26</f>
        <v>4.3047999</v>
      </c>
      <c r="E26" s="4"/>
      <c r="F26" s="4"/>
      <c r="G26" s="4"/>
      <c r="H26" s="4"/>
      <c r="I26" s="4"/>
      <c r="J26" s="4"/>
      <c r="K26" s="4"/>
      <c r="L26" s="4"/>
      <c r="M26" s="4"/>
      <c r="N26" s="4"/>
    </row>
    <row r="27" customFormat="false" ht="15" hidden="false" customHeight="false" outlineLevel="0" collapsed="false">
      <c r="A27" s="14" t="s">
        <v>1281</v>
      </c>
      <c r="B27" s="17" t="n">
        <f aca="false">Inputs!B59</f>
        <v>14.349333</v>
      </c>
      <c r="C27" s="19" t="n">
        <v>0.15</v>
      </c>
      <c r="D27" s="17" t="n">
        <f aca="false">B27*C27</f>
        <v>2.15239995</v>
      </c>
      <c r="E27" s="4"/>
      <c r="F27" s="4"/>
      <c r="G27" s="4"/>
      <c r="H27" s="4"/>
      <c r="I27" s="4"/>
      <c r="J27" s="4"/>
      <c r="K27" s="4"/>
      <c r="L27" s="4"/>
      <c r="M27" s="4"/>
      <c r="N27" s="4"/>
    </row>
    <row r="28" customFormat="false" ht="15" hidden="false" customHeight="false" outlineLevel="0" collapsed="false">
      <c r="A28" s="14" t="s">
        <v>1282</v>
      </c>
      <c r="B28" s="17" t="n">
        <f aca="false">Inputs!B59</f>
        <v>14.349333</v>
      </c>
      <c r="C28" s="19" t="n">
        <v>0.1</v>
      </c>
      <c r="D28" s="17" t="n">
        <f aca="false">B28*C28</f>
        <v>1.4349333</v>
      </c>
      <c r="E28" s="4"/>
      <c r="F28" s="4"/>
      <c r="G28" s="4"/>
      <c r="H28" s="4"/>
      <c r="I28" s="4"/>
      <c r="J28" s="4"/>
      <c r="K28" s="4"/>
      <c r="L28" s="4"/>
      <c r="M28" s="4"/>
      <c r="N28" s="4"/>
    </row>
    <row r="29" customFormat="false" ht="15" hidden="false" customHeight="false" outlineLevel="0" collapsed="false">
      <c r="A29" s="14" t="str">
        <f aca="false">"Total"</f>
        <v>Total</v>
      </c>
      <c r="B29" s="17" t="n">
        <f aca="false">SUM(Inputs!B58:B59)</f>
        <v>41.254333</v>
      </c>
      <c r="C29" s="14" t="str">
        <f aca="false">"n.a."</f>
        <v>n.a.</v>
      </c>
      <c r="D29" s="17" t="n">
        <f aca="false">SUM(D22:D28)</f>
        <v>41.254333</v>
      </c>
      <c r="E29" s="4"/>
      <c r="F29" s="4"/>
      <c r="G29" s="4"/>
      <c r="H29" s="4"/>
      <c r="I29" s="4"/>
      <c r="J29" s="4"/>
      <c r="K29" s="4"/>
      <c r="L29" s="4"/>
      <c r="M29" s="4"/>
      <c r="N29" s="4"/>
    </row>
    <row r="30" customFormat="false" ht="15" hidden="false" customHeight="false" outlineLevel="0" collapsed="false">
      <c r="A30" s="14"/>
      <c r="B30" s="14"/>
      <c r="C30" s="14"/>
      <c r="D30" s="1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customFormat="false" ht="15" hidden="false" customHeight="false" outlineLevel="0" collapsed="false">
      <c r="A31" s="14"/>
      <c r="B31" s="14"/>
      <c r="C31" s="14"/>
      <c r="D31" s="1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customFormat="false" ht="15" hidden="false" customHeight="false" outlineLevel="0" collapsed="false">
      <c r="A32" s="14"/>
      <c r="B32" s="14"/>
      <c r="C32" s="14"/>
      <c r="D32" s="1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customFormat="false" ht="15" hidden="false" customHeight="false" outlineLevel="0" collapsed="false">
      <c r="A33" s="18" t="s">
        <v>1283</v>
      </c>
      <c r="B33" s="18" t="s">
        <v>1283</v>
      </c>
      <c r="C33" s="18" t="s">
        <v>1283</v>
      </c>
      <c r="D33" s="18" t="s">
        <v>1283</v>
      </c>
      <c r="E33" s="4"/>
      <c r="F33" s="4"/>
      <c r="G33" s="4"/>
      <c r="H33" s="4"/>
      <c r="I33" s="4"/>
      <c r="J33" s="4"/>
      <c r="K33" s="4"/>
      <c r="L33" s="4"/>
      <c r="M33" s="4"/>
      <c r="N33" s="4"/>
    </row>
    <row r="34" customFormat="false" ht="15" hidden="false" customHeight="false" outlineLevel="0" collapsed="false">
      <c r="A34" s="14"/>
      <c r="B34" s="14"/>
      <c r="C34" s="14"/>
      <c r="D34" s="1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customFormat="false" ht="15" hidden="false" customHeight="false" outlineLevel="0" collapsed="false">
      <c r="A35" s="20" t="s">
        <v>1284</v>
      </c>
      <c r="B35" s="14" t="n">
        <v>75</v>
      </c>
      <c r="C35" s="14"/>
      <c r="D35" s="1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customFormat="false" ht="15" hidden="false" customHeight="false" outlineLevel="0" collapsed="false">
      <c r="A36" s="20" t="s">
        <v>1285</v>
      </c>
      <c r="B36" s="14" t="n">
        <v>20</v>
      </c>
      <c r="C36" s="14"/>
      <c r="D36" s="1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customFormat="false" ht="15" hidden="false" customHeight="false" outlineLevel="0" collapsed="false">
      <c r="A37" s="20" t="s">
        <v>25</v>
      </c>
      <c r="B37" s="14" t="n">
        <v>5</v>
      </c>
      <c r="C37" s="14"/>
      <c r="D37" s="1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customFormat="false" ht="15" hidden="false" customHeight="false" outlineLevel="0" collapsed="false">
      <c r="A38" s="20" t="s">
        <v>1286</v>
      </c>
      <c r="B38" s="14" t="n">
        <v>0</v>
      </c>
      <c r="C38" s="14"/>
      <c r="D38" s="1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customFormat="false" ht="15" hidden="false" customHeight="false" outlineLevel="0" collapsed="false">
      <c r="A39" s="20" t="s">
        <v>1287</v>
      </c>
      <c r="B39" s="14" t="n">
        <v>0</v>
      </c>
      <c r="C39" s="14"/>
      <c r="D39" s="1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customFormat="false" ht="15" hidden="false" customHeight="false" outlineLevel="0" collapsed="false">
      <c r="A40" s="20" t="s">
        <v>1288</v>
      </c>
      <c r="B40" s="14" t="n">
        <v>0</v>
      </c>
      <c r="C40" s="14"/>
      <c r="D40" s="14"/>
      <c r="E40" s="4"/>
      <c r="F40" s="4"/>
      <c r="G40" s="4"/>
      <c r="H40" s="4"/>
      <c r="I40" s="4"/>
      <c r="J40" s="4"/>
      <c r="K40" s="4"/>
      <c r="L40" s="4"/>
      <c r="M40" s="4"/>
      <c r="N40" s="4"/>
    </row>
  </sheetData>
  <mergeCells count="5">
    <mergeCell ref="A2:N2"/>
    <mergeCell ref="A4:N4"/>
    <mergeCell ref="A6:D6"/>
    <mergeCell ref="A19:D19"/>
    <mergeCell ref="A33:D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2:N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7"/>
    <col collapsed="false" customWidth="true" hidden="false" outlineLevel="0" max="3" min="3" style="0" width="30"/>
    <col collapsed="false" customWidth="true" hidden="false" outlineLevel="0" max="4" min="4" style="0" width="31"/>
    <col collapsed="false" customWidth="true" hidden="false" outlineLevel="0" max="5" min="5" style="0" width="23"/>
    <col collapsed="false" customWidth="true" hidden="false" outlineLevel="0" max="6" min="6" style="0" width="15"/>
    <col collapsed="false" customWidth="true" hidden="false" outlineLevel="0" max="7" min="7" style="0" width="22"/>
  </cols>
  <sheetData>
    <row r="2" customFormat="false" ht="18.55" hidden="false" customHeight="false" outlineLevel="0" collapsed="false">
      <c r="A2" s="1" t="s">
        <v>1289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1290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6" t="s">
        <v>147</v>
      </c>
      <c r="B6" s="7" t="s">
        <v>1291</v>
      </c>
      <c r="C6" s="7" t="s">
        <v>1292</v>
      </c>
      <c r="D6" s="7" t="s">
        <v>54</v>
      </c>
      <c r="E6" s="7" t="s">
        <v>1293</v>
      </c>
      <c r="F6" s="7" t="s">
        <v>1294</v>
      </c>
      <c r="G6" s="8" t="s">
        <v>1295</v>
      </c>
      <c r="H6" s="4"/>
      <c r="I6" s="4"/>
      <c r="J6" s="4"/>
      <c r="K6" s="4"/>
      <c r="L6" s="4"/>
      <c r="M6" s="4"/>
      <c r="N6" s="4"/>
    </row>
    <row r="7" customFormat="false" ht="15" hidden="false" customHeight="false" outlineLevel="0" collapsed="false">
      <c r="A7" s="14" t="s">
        <v>1296</v>
      </c>
      <c r="B7" s="14" t="s">
        <v>1297</v>
      </c>
      <c r="C7" s="14" t="s">
        <v>1298</v>
      </c>
      <c r="D7" s="14" t="s">
        <v>1299</v>
      </c>
      <c r="E7" s="14" t="s">
        <v>1300</v>
      </c>
      <c r="F7" s="14" t="s">
        <v>1301</v>
      </c>
      <c r="G7" s="14" t="s">
        <v>1302</v>
      </c>
      <c r="H7" s="4"/>
      <c r="I7" s="4"/>
      <c r="J7" s="4"/>
      <c r="K7" s="4"/>
      <c r="L7" s="4"/>
      <c r="M7" s="4"/>
      <c r="N7" s="4"/>
    </row>
    <row r="8" customFormat="false" ht="15" hidden="false" customHeight="false" outlineLevel="0" collapsed="false">
      <c r="A8" s="14" t="s">
        <v>1301</v>
      </c>
      <c r="B8" s="14" t="s">
        <v>1303</v>
      </c>
      <c r="C8" s="14" t="s">
        <v>1304</v>
      </c>
      <c r="D8" s="14" t="s">
        <v>1305</v>
      </c>
      <c r="E8" s="14" t="s">
        <v>1306</v>
      </c>
      <c r="F8" s="14" t="s">
        <v>1307</v>
      </c>
      <c r="G8" s="14" t="s">
        <v>77</v>
      </c>
      <c r="H8" s="4"/>
      <c r="I8" s="4"/>
      <c r="J8" s="4"/>
      <c r="K8" s="4"/>
      <c r="L8" s="4"/>
      <c r="M8" s="4"/>
      <c r="N8" s="4"/>
    </row>
    <row r="9" customFormat="false" ht="15" hidden="false" customHeight="false" outlineLevel="0" collapsed="false">
      <c r="A9" s="14" t="s">
        <v>1307</v>
      </c>
      <c r="B9" s="14" t="s">
        <v>1308</v>
      </c>
      <c r="C9" s="14" t="s">
        <v>1309</v>
      </c>
      <c r="D9" s="14" t="s">
        <v>1310</v>
      </c>
      <c r="E9" s="14" t="s">
        <v>1311</v>
      </c>
      <c r="F9" s="14" t="s">
        <v>1312</v>
      </c>
      <c r="G9" s="14" t="s">
        <v>71</v>
      </c>
      <c r="H9" s="4"/>
      <c r="I9" s="4"/>
      <c r="J9" s="4"/>
      <c r="K9" s="4"/>
      <c r="L9" s="4"/>
      <c r="M9" s="4"/>
      <c r="N9" s="4"/>
    </row>
    <row r="10" customFormat="false" ht="15" hidden="false" customHeight="false" outlineLevel="0" collapsed="false">
      <c r="A10" s="14" t="s">
        <v>1312</v>
      </c>
      <c r="B10" s="14" t="s">
        <v>1313</v>
      </c>
      <c r="C10" s="14" t="s">
        <v>1314</v>
      </c>
      <c r="D10" s="14" t="s">
        <v>74</v>
      </c>
      <c r="E10" s="14" t="s">
        <v>1315</v>
      </c>
      <c r="F10" s="14" t="s">
        <v>1316</v>
      </c>
      <c r="G10" s="14" t="s">
        <v>1317</v>
      </c>
      <c r="H10" s="4"/>
      <c r="I10" s="4"/>
      <c r="J10" s="4"/>
      <c r="K10" s="4"/>
      <c r="L10" s="4"/>
      <c r="M10" s="4"/>
      <c r="N10" s="4"/>
    </row>
    <row r="11" customFormat="false" ht="15" hidden="false" customHeight="false" outlineLevel="0" collapsed="false">
      <c r="A11" s="14" t="s">
        <v>1316</v>
      </c>
      <c r="B11" s="14" t="s">
        <v>1318</v>
      </c>
      <c r="C11" s="14" t="s">
        <v>1319</v>
      </c>
      <c r="D11" s="14" t="s">
        <v>1320</v>
      </c>
      <c r="E11" s="14" t="s">
        <v>1321</v>
      </c>
      <c r="F11" s="14" t="s">
        <v>1322</v>
      </c>
      <c r="G11" s="14" t="s">
        <v>1323</v>
      </c>
      <c r="H11" s="4"/>
      <c r="I11" s="4"/>
      <c r="J11" s="4"/>
      <c r="K11" s="4"/>
      <c r="L11" s="4"/>
      <c r="M11" s="4"/>
      <c r="N11" s="4"/>
    </row>
    <row r="12" customFormat="false" ht="15" hidden="false" customHeight="false" outlineLevel="0" collapsed="false">
      <c r="A12" s="14" t="s">
        <v>1322</v>
      </c>
      <c r="B12" s="14" t="s">
        <v>1324</v>
      </c>
      <c r="C12" s="14" t="s">
        <v>1325</v>
      </c>
      <c r="D12" s="14" t="s">
        <v>1326</v>
      </c>
      <c r="E12" s="14" t="s">
        <v>1327</v>
      </c>
      <c r="F12" s="14" t="s">
        <v>1328</v>
      </c>
      <c r="G12" s="14" t="s">
        <v>1329</v>
      </c>
      <c r="H12" s="4"/>
      <c r="I12" s="4"/>
      <c r="J12" s="4"/>
      <c r="K12" s="4"/>
      <c r="L12" s="4"/>
      <c r="M12" s="4"/>
      <c r="N12" s="4"/>
    </row>
    <row r="13" customFormat="false" ht="15" hidden="false" customHeight="false" outlineLevel="0" collapsed="false">
      <c r="A13" s="14" t="s">
        <v>1328</v>
      </c>
      <c r="B13" s="14" t="s">
        <v>1330</v>
      </c>
      <c r="C13" s="14" t="s">
        <v>1331</v>
      </c>
      <c r="D13" s="14" t="s">
        <v>92</v>
      </c>
      <c r="E13" s="14" t="s">
        <v>1332</v>
      </c>
      <c r="F13" s="14" t="s">
        <v>1333</v>
      </c>
      <c r="G13" s="14" t="s">
        <v>94</v>
      </c>
      <c r="H13" s="4"/>
      <c r="I13" s="4"/>
      <c r="J13" s="4"/>
      <c r="K13" s="4"/>
      <c r="L13" s="4"/>
      <c r="M13" s="4"/>
      <c r="N13" s="4"/>
    </row>
    <row r="14" customFormat="false" ht="15" hidden="false" customHeight="false" outlineLevel="0" collapsed="false">
      <c r="A14" s="14" t="s">
        <v>1333</v>
      </c>
      <c r="B14" s="14" t="s">
        <v>1334</v>
      </c>
      <c r="C14" s="14" t="s">
        <v>1335</v>
      </c>
      <c r="D14" s="14" t="s">
        <v>109</v>
      </c>
      <c r="E14" s="14" t="s">
        <v>1336</v>
      </c>
      <c r="F14" s="14" t="s">
        <v>1337</v>
      </c>
      <c r="G14" s="14" t="s">
        <v>1338</v>
      </c>
      <c r="H14" s="4"/>
      <c r="I14" s="4"/>
      <c r="J14" s="4"/>
      <c r="K14" s="4"/>
      <c r="L14" s="4"/>
      <c r="M14" s="4"/>
      <c r="N14" s="4"/>
    </row>
    <row r="15" customFormat="false" ht="15" hidden="false" customHeight="false" outlineLevel="0" collapsed="false">
      <c r="A15" s="14" t="s">
        <v>1337</v>
      </c>
      <c r="B15" s="14" t="s">
        <v>1339</v>
      </c>
      <c r="C15" s="14" t="s">
        <v>1340</v>
      </c>
      <c r="D15" s="14" t="s">
        <v>1341</v>
      </c>
      <c r="E15" s="14" t="s">
        <v>1342</v>
      </c>
      <c r="F15" s="14" t="s">
        <v>1343</v>
      </c>
      <c r="G15" s="14" t="s">
        <v>100</v>
      </c>
      <c r="H15" s="4"/>
      <c r="I15" s="4"/>
      <c r="J15" s="4"/>
      <c r="K15" s="4"/>
      <c r="L15" s="4"/>
      <c r="M15" s="4"/>
      <c r="N15" s="4"/>
    </row>
    <row r="16" customFormat="false" ht="15" hidden="false" customHeight="false" outlineLevel="0" collapsed="false">
      <c r="A16" s="14" t="s">
        <v>1343</v>
      </c>
      <c r="B16" s="14" t="s">
        <v>1344</v>
      </c>
      <c r="C16" s="14" t="s">
        <v>1345</v>
      </c>
      <c r="D16" s="14" t="s">
        <v>1346</v>
      </c>
      <c r="E16" s="14" t="s">
        <v>1347</v>
      </c>
      <c r="F16" s="14" t="s">
        <v>1337</v>
      </c>
      <c r="G16" s="14" t="s">
        <v>1348</v>
      </c>
      <c r="H16" s="4"/>
      <c r="I16" s="4"/>
      <c r="J16" s="4"/>
      <c r="K16" s="4"/>
      <c r="L16" s="4"/>
      <c r="M16" s="4"/>
      <c r="N16" s="4"/>
    </row>
    <row r="17" customFormat="false" ht="15" hidden="false" customHeight="false" outlineLevel="0" collapsed="false">
      <c r="A17" s="14" t="s">
        <v>1349</v>
      </c>
      <c r="B17" s="14" t="s">
        <v>1350</v>
      </c>
      <c r="C17" s="14" t="s">
        <v>1351</v>
      </c>
      <c r="D17" s="14" t="s">
        <v>1352</v>
      </c>
      <c r="E17" s="14" t="s">
        <v>1353</v>
      </c>
      <c r="F17" s="14" t="s">
        <v>1333</v>
      </c>
      <c r="G17" s="14" t="s">
        <v>1354</v>
      </c>
      <c r="H17" s="4"/>
      <c r="I17" s="4"/>
      <c r="J17" s="4"/>
      <c r="K17" s="4"/>
      <c r="L17" s="4"/>
      <c r="M17" s="4"/>
      <c r="N17" s="4"/>
    </row>
    <row r="18" customFormat="false" ht="15" hidden="false" customHeight="false" outlineLevel="0" collapsed="false">
      <c r="A18" s="14" t="s">
        <v>1355</v>
      </c>
      <c r="B18" s="14" t="s">
        <v>124</v>
      </c>
      <c r="C18" s="14" t="s">
        <v>1356</v>
      </c>
      <c r="D18" s="14" t="s">
        <v>126</v>
      </c>
      <c r="E18" s="14" t="s">
        <v>1357</v>
      </c>
      <c r="F18" s="14" t="s">
        <v>1296</v>
      </c>
      <c r="G18" s="14" t="s">
        <v>1358</v>
      </c>
      <c r="H18" s="4"/>
      <c r="I18" s="4"/>
      <c r="J18" s="4"/>
      <c r="K18" s="4"/>
      <c r="L18" s="4"/>
      <c r="M18" s="4"/>
      <c r="N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customFormat="false" ht="15" hidden="false" customHeight="false" outlineLevel="0" collapsed="false">
      <c r="A21" s="5" t="s">
        <v>1359</v>
      </c>
      <c r="B21" s="5" t="s">
        <v>1359</v>
      </c>
      <c r="C21" s="5" t="s">
        <v>1359</v>
      </c>
      <c r="D21" s="5" t="s">
        <v>1359</v>
      </c>
      <c r="E21" s="5" t="s">
        <v>1359</v>
      </c>
      <c r="F21" s="4"/>
      <c r="G21" s="4"/>
      <c r="H21" s="4"/>
      <c r="I21" s="4"/>
      <c r="J21" s="4"/>
      <c r="K21" s="4"/>
      <c r="L21" s="4"/>
      <c r="M21" s="4"/>
      <c r="N21" s="4"/>
    </row>
    <row r="22" customFormat="false" ht="15" hidden="false" customHeight="false" outlineLevel="0" collapsed="false">
      <c r="A22" s="6" t="s">
        <v>1360</v>
      </c>
      <c r="B22" s="7" t="s">
        <v>1361</v>
      </c>
      <c r="C22" s="7" t="s">
        <v>1362</v>
      </c>
      <c r="D22" s="7" t="s">
        <v>1363</v>
      </c>
      <c r="E22" s="8" t="s">
        <v>1364</v>
      </c>
      <c r="F22" s="4"/>
      <c r="G22" s="4"/>
      <c r="H22" s="4"/>
      <c r="I22" s="4"/>
      <c r="J22" s="4"/>
      <c r="K22" s="4"/>
      <c r="L22" s="4"/>
      <c r="M22" s="4"/>
      <c r="N22" s="4"/>
    </row>
    <row r="23" customFormat="false" ht="15" hidden="false" customHeight="false" outlineLevel="0" collapsed="false">
      <c r="A23" s="14" t="s">
        <v>1365</v>
      </c>
      <c r="B23" s="14" t="s">
        <v>1366</v>
      </c>
      <c r="C23" s="14" t="s">
        <v>1367</v>
      </c>
      <c r="D23" s="14" t="s">
        <v>1368</v>
      </c>
      <c r="E23" s="14" t="s">
        <v>1369</v>
      </c>
      <c r="F23" s="4"/>
      <c r="G23" s="4"/>
      <c r="H23" s="4"/>
      <c r="I23" s="4"/>
      <c r="J23" s="4"/>
      <c r="K23" s="4"/>
      <c r="L23" s="4"/>
      <c r="M23" s="4"/>
      <c r="N23" s="4"/>
    </row>
    <row r="24" customFormat="false" ht="15" hidden="false" customHeight="false" outlineLevel="0" collapsed="false">
      <c r="A24" s="14" t="s">
        <v>1370</v>
      </c>
      <c r="B24" s="14" t="s">
        <v>1371</v>
      </c>
      <c r="C24" s="14" t="s">
        <v>1372</v>
      </c>
      <c r="D24" s="14" t="s">
        <v>1373</v>
      </c>
      <c r="E24" s="14" t="s">
        <v>1374</v>
      </c>
      <c r="F24" s="4"/>
      <c r="G24" s="4"/>
      <c r="H24" s="4"/>
      <c r="I24" s="4"/>
      <c r="J24" s="4"/>
      <c r="K24" s="4"/>
      <c r="L24" s="4"/>
      <c r="M24" s="4"/>
      <c r="N24" s="4"/>
    </row>
    <row r="25" customFormat="false" ht="15" hidden="false" customHeight="false" outlineLevel="0" collapsed="false">
      <c r="A25" s="14" t="s">
        <v>1375</v>
      </c>
      <c r="B25" s="14" t="s">
        <v>596</v>
      </c>
      <c r="C25" s="14" t="s">
        <v>1376</v>
      </c>
      <c r="D25" s="14" t="s">
        <v>1377</v>
      </c>
      <c r="E25" s="14" t="s">
        <v>1369</v>
      </c>
      <c r="F25" s="4"/>
      <c r="G25" s="4"/>
      <c r="H25" s="4"/>
      <c r="I25" s="4"/>
      <c r="J25" s="4"/>
      <c r="K25" s="4"/>
      <c r="L25" s="4"/>
      <c r="M25" s="4"/>
      <c r="N25" s="4"/>
    </row>
    <row r="26" customFormat="false" ht="15" hidden="false" customHeight="false" outlineLevel="0" collapsed="false">
      <c r="A26" s="14" t="s">
        <v>1378</v>
      </c>
      <c r="B26" s="14" t="s">
        <v>1379</v>
      </c>
      <c r="C26" s="14" t="s">
        <v>1380</v>
      </c>
      <c r="D26" s="14" t="s">
        <v>112</v>
      </c>
      <c r="E26" s="14" t="s">
        <v>1381</v>
      </c>
      <c r="F26" s="4"/>
      <c r="G26" s="4"/>
      <c r="H26" s="4"/>
      <c r="I26" s="4"/>
      <c r="J26" s="4"/>
      <c r="K26" s="4"/>
      <c r="L26" s="4"/>
      <c r="M26" s="4"/>
      <c r="N26" s="4"/>
    </row>
    <row r="27" customFormat="false" ht="15" hidden="false" customHeight="false" outlineLevel="0" collapsed="false">
      <c r="A27" s="14" t="s">
        <v>1382</v>
      </c>
      <c r="B27" s="14" t="s">
        <v>1383</v>
      </c>
      <c r="C27" s="14" t="s">
        <v>1384</v>
      </c>
      <c r="D27" s="14" t="s">
        <v>1385</v>
      </c>
      <c r="E27" s="14" t="s">
        <v>1374</v>
      </c>
      <c r="F27" s="4"/>
      <c r="G27" s="4"/>
      <c r="H27" s="4"/>
      <c r="I27" s="4"/>
      <c r="J27" s="4"/>
      <c r="K27" s="4"/>
      <c r="L27" s="4"/>
      <c r="M27" s="4"/>
      <c r="N27" s="4"/>
    </row>
    <row r="28" customFormat="false" ht="15" hidden="false" customHeight="false" outlineLevel="0" collapsed="false">
      <c r="A28" s="14" t="s">
        <v>1386</v>
      </c>
      <c r="B28" s="14" t="s">
        <v>1387</v>
      </c>
      <c r="C28" s="14" t="s">
        <v>1388</v>
      </c>
      <c r="D28" s="14" t="s">
        <v>1389</v>
      </c>
      <c r="E28" s="14" t="s">
        <v>1390</v>
      </c>
      <c r="F28" s="4"/>
      <c r="G28" s="4"/>
      <c r="H28" s="4"/>
      <c r="I28" s="4"/>
      <c r="J28" s="4"/>
      <c r="K28" s="4"/>
      <c r="L28" s="4"/>
      <c r="M28" s="4"/>
      <c r="N28" s="4"/>
    </row>
    <row r="29" customFormat="false" ht="15" hidden="false" customHeight="false" outlineLevel="0" collapsed="false">
      <c r="A29" s="14" t="s">
        <v>1391</v>
      </c>
      <c r="B29" s="14" t="s">
        <v>1392</v>
      </c>
      <c r="C29" s="14" t="s">
        <v>1393</v>
      </c>
      <c r="D29" s="14" t="s">
        <v>1394</v>
      </c>
      <c r="E29" s="14" t="s">
        <v>1390</v>
      </c>
      <c r="F29" s="4"/>
      <c r="G29" s="4"/>
      <c r="H29" s="4"/>
      <c r="I29" s="4"/>
      <c r="J29" s="4"/>
      <c r="K29" s="4"/>
      <c r="L29" s="4"/>
      <c r="M29" s="4"/>
      <c r="N29" s="4"/>
    </row>
    <row r="30" customFormat="false" ht="15" hidden="false" customHeight="false" outlineLevel="0" collapsed="false">
      <c r="A30" s="14" t="s">
        <v>1395</v>
      </c>
      <c r="B30" s="14" t="s">
        <v>1396</v>
      </c>
      <c r="C30" s="14" t="s">
        <v>1397</v>
      </c>
      <c r="D30" s="14" t="s">
        <v>1398</v>
      </c>
      <c r="E30" s="14" t="s">
        <v>1369</v>
      </c>
      <c r="F30" s="4"/>
      <c r="G30" s="4"/>
      <c r="H30" s="4"/>
      <c r="I30" s="4"/>
      <c r="J30" s="4"/>
      <c r="K30" s="4"/>
      <c r="L30" s="4"/>
      <c r="M30" s="4"/>
      <c r="N30" s="4"/>
    </row>
    <row r="31" customFormat="false" ht="15" hidden="false" customHeight="false" outlineLevel="0" collapsed="false">
      <c r="A31" s="14" t="s">
        <v>1399</v>
      </c>
      <c r="B31" s="14" t="s">
        <v>1397</v>
      </c>
      <c r="C31" s="14" t="s">
        <v>1400</v>
      </c>
      <c r="D31" s="14" t="s">
        <v>1401</v>
      </c>
      <c r="E31" s="14" t="s">
        <v>1381</v>
      </c>
      <c r="F31" s="4"/>
      <c r="G31" s="4"/>
      <c r="H31" s="4"/>
      <c r="I31" s="4"/>
      <c r="J31" s="4"/>
      <c r="K31" s="4"/>
      <c r="L31" s="4"/>
      <c r="M31" s="4"/>
      <c r="N31" s="4"/>
    </row>
    <row r="32" customFormat="false" ht="15" hidden="false" customHeight="false" outlineLevel="0" collapsed="false">
      <c r="A32" s="14" t="s">
        <v>1402</v>
      </c>
      <c r="B32" s="14" t="s">
        <v>1403</v>
      </c>
      <c r="C32" s="14" t="s">
        <v>247</v>
      </c>
      <c r="D32" s="14" t="s">
        <v>1404</v>
      </c>
      <c r="E32" s="14" t="s">
        <v>1390</v>
      </c>
      <c r="F32" s="4"/>
      <c r="G32" s="4"/>
      <c r="H32" s="4"/>
      <c r="I32" s="4"/>
      <c r="J32" s="4"/>
      <c r="K32" s="4"/>
      <c r="L32" s="4"/>
      <c r="M32" s="4"/>
      <c r="N32" s="4"/>
    </row>
    <row r="33" customFormat="false" ht="15" hidden="false" customHeight="false" outlineLevel="0" collapsed="false">
      <c r="A33" s="14" t="s">
        <v>1405</v>
      </c>
      <c r="B33" s="14" t="s">
        <v>1406</v>
      </c>
      <c r="C33" s="14" t="s">
        <v>1407</v>
      </c>
      <c r="D33" s="14" t="s">
        <v>1408</v>
      </c>
      <c r="E33" s="14" t="s">
        <v>1409</v>
      </c>
      <c r="F33" s="4"/>
      <c r="G33" s="4"/>
      <c r="H33" s="4"/>
      <c r="I33" s="4"/>
      <c r="J33" s="4"/>
      <c r="K33" s="4"/>
      <c r="L33" s="4"/>
      <c r="M33" s="4"/>
      <c r="N33" s="4"/>
    </row>
    <row r="34" customFormat="false" ht="15" hidden="false" customHeight="false" outlineLevel="0" collapsed="false">
      <c r="A34" s="14" t="s">
        <v>1410</v>
      </c>
      <c r="B34" s="14" t="s">
        <v>1411</v>
      </c>
      <c r="C34" s="14" t="s">
        <v>1412</v>
      </c>
      <c r="D34" s="14" t="s">
        <v>107</v>
      </c>
      <c r="E34" s="14" t="s">
        <v>1390</v>
      </c>
      <c r="F34" s="4"/>
      <c r="G34" s="4"/>
      <c r="H34" s="4"/>
      <c r="I34" s="4"/>
      <c r="J34" s="4"/>
      <c r="K34" s="4"/>
      <c r="L34" s="4"/>
      <c r="M34" s="4"/>
      <c r="N34" s="4"/>
    </row>
    <row r="35" customFormat="false" ht="15" hidden="false" customHeight="false" outlineLevel="0" collapsed="false">
      <c r="A35" s="14" t="s">
        <v>1413</v>
      </c>
      <c r="B35" s="14" t="s">
        <v>9</v>
      </c>
      <c r="C35" s="14" t="s">
        <v>1414</v>
      </c>
      <c r="D35" s="14" t="s">
        <v>1415</v>
      </c>
      <c r="E35" s="14" t="s">
        <v>1381</v>
      </c>
      <c r="F35" s="4"/>
      <c r="G35" s="4"/>
      <c r="H35" s="4"/>
      <c r="I35" s="4"/>
      <c r="J35" s="4"/>
      <c r="K35" s="4"/>
      <c r="L35" s="4"/>
      <c r="M35" s="4"/>
      <c r="N35" s="4"/>
    </row>
    <row r="36" customFormat="false" ht="15" hidden="false" customHeight="false" outlineLevel="0" collapsed="false">
      <c r="A36" s="14" t="s">
        <v>1416</v>
      </c>
      <c r="B36" s="14" t="s">
        <v>1380</v>
      </c>
      <c r="C36" s="14" t="s">
        <v>1417</v>
      </c>
      <c r="D36" s="14" t="s">
        <v>1418</v>
      </c>
      <c r="E36" s="14" t="s">
        <v>1381</v>
      </c>
      <c r="F36" s="4"/>
      <c r="G36" s="4"/>
      <c r="H36" s="4"/>
      <c r="I36" s="4"/>
      <c r="J36" s="4"/>
      <c r="K36" s="4"/>
      <c r="L36" s="4"/>
      <c r="M36" s="4"/>
      <c r="N36" s="4"/>
    </row>
    <row r="37" customFormat="false" ht="15" hidden="false" customHeight="false" outlineLevel="0" collapsed="false">
      <c r="A37" s="14" t="s">
        <v>1419</v>
      </c>
      <c r="B37" s="14" t="s">
        <v>1420</v>
      </c>
      <c r="C37" s="14" t="s">
        <v>1421</v>
      </c>
      <c r="D37" s="14" t="s">
        <v>1422</v>
      </c>
      <c r="E37" s="14" t="s">
        <v>1381</v>
      </c>
      <c r="F37" s="4"/>
      <c r="G37" s="4"/>
      <c r="H37" s="4"/>
      <c r="I37" s="4"/>
      <c r="J37" s="4"/>
      <c r="K37" s="4"/>
      <c r="L37" s="4"/>
      <c r="M37" s="4"/>
      <c r="N37" s="4"/>
    </row>
    <row r="38" customFormat="false" ht="15" hidden="false" customHeight="false" outlineLevel="0" collapsed="false">
      <c r="A38" s="14" t="s">
        <v>1423</v>
      </c>
      <c r="B38" s="14" t="s">
        <v>1424</v>
      </c>
      <c r="C38" s="14" t="s">
        <v>1425</v>
      </c>
      <c r="D38" s="14" t="s">
        <v>1426</v>
      </c>
      <c r="E38" s="14" t="s">
        <v>1390</v>
      </c>
      <c r="F38" s="4"/>
      <c r="G38" s="4"/>
      <c r="H38" s="4"/>
      <c r="I38" s="4"/>
      <c r="J38" s="4"/>
      <c r="K38" s="4"/>
      <c r="L38" s="4"/>
      <c r="M38" s="4"/>
      <c r="N38" s="4"/>
    </row>
  </sheetData>
  <mergeCells count="3">
    <mergeCell ref="A2:N2"/>
    <mergeCell ref="A4:N4"/>
    <mergeCell ref="A21:E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2:N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9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0"/>
  </cols>
  <sheetData>
    <row r="2" customFormat="false" ht="18.55" hidden="false" customHeight="false" outlineLevel="0" collapsed="false">
      <c r="A2" s="1" t="s">
        <v>1427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1428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5" t="s">
        <v>1429</v>
      </c>
      <c r="B6" s="5" t="s">
        <v>1429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customFormat="false" ht="15" hidden="false" customHeight="false" outlineLevel="0" collapsed="false">
      <c r="A7" s="12" t="s">
        <v>1430</v>
      </c>
      <c r="B7" s="16" t="n">
        <v>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customFormat="false" ht="15" hidden="false" customHeight="false" outlineLevel="0" collapsed="false">
      <c r="A8" s="12" t="s">
        <v>1431</v>
      </c>
      <c r="B8" s="16" t="n">
        <v>18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customFormat="false" ht="15" hidden="false" customHeight="false" outlineLevel="0" collapsed="false">
      <c r="A9" s="12" t="s">
        <v>1432</v>
      </c>
      <c r="B9" s="16" t="n">
        <v>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customFormat="false" ht="15" hidden="false" customHeight="false" outlineLevel="0" collapsed="false">
      <c r="A10" s="12" t="s">
        <v>1433</v>
      </c>
      <c r="B10" s="16" t="n">
        <v>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customFormat="false" ht="15" hidden="false" customHeight="false" outlineLevel="0" collapsed="false">
      <c r="A11" s="12" t="s">
        <v>1434</v>
      </c>
      <c r="B11" s="16" t="n">
        <v>100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customFormat="false" ht="15" hidden="false" customHeight="false" outlineLevel="0" collapsed="false">
      <c r="A12" s="12" t="s">
        <v>1435</v>
      </c>
      <c r="B12" s="16" t="n">
        <v>75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customFormat="false" ht="15" hidden="false" customHeight="false" outlineLevel="0" collapsed="false">
      <c r="A13" s="12" t="s">
        <v>1436</v>
      </c>
      <c r="B13" s="16" t="n">
        <v>20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customFormat="false" ht="15" hidden="false" customHeight="false" outlineLevel="0" collapsed="false">
      <c r="A14" s="12" t="s">
        <v>1437</v>
      </c>
      <c r="B14" s="16" t="n">
        <v>10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customFormat="false" ht="15" hidden="false" customHeight="false" outlineLevel="0" collapsed="false">
      <c r="A15" s="12" t="s">
        <v>1438</v>
      </c>
      <c r="B15" s="16" t="n">
        <v>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customFormat="false" ht="15" hidden="false" customHeight="false" outlineLevel="0" collapsed="false">
      <c r="A16" s="12" t="s">
        <v>1439</v>
      </c>
      <c r="B16" s="16" t="n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customFormat="false" ht="15" hidden="false" customHeight="false" outlineLevel="0" collapsed="false">
      <c r="A17" s="12" t="s">
        <v>1440</v>
      </c>
      <c r="B17" s="16" t="n">
        <v>6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customFormat="false" ht="15" hidden="false" customHeight="false" outlineLevel="0" collapsed="false">
      <c r="A18" s="12" t="s">
        <v>1441</v>
      </c>
      <c r="B18" s="16" t="n">
        <v>20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customFormat="false" ht="15" hidden="false" customHeight="false" outlineLevel="0" collapsed="false">
      <c r="A19" s="12" t="s">
        <v>1442</v>
      </c>
      <c r="B19" s="16" t="n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customFormat="false" ht="15" hidden="false" customHeight="false" outlineLevel="0" collapsed="false">
      <c r="A20" s="12" t="s">
        <v>4</v>
      </c>
      <c r="B20" s="16" t="n">
        <v>96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customFormat="false" ht="15" hidden="false" customHeight="false" outlineLevel="0" collapsed="false">
      <c r="A21" s="12" t="s">
        <v>5</v>
      </c>
      <c r="B21" s="16" t="n">
        <v>78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customFormat="false" ht="15" hidden="false" customHeight="false" outlineLevel="0" collapsed="false">
      <c r="A22" s="12" t="s">
        <v>6</v>
      </c>
      <c r="B22" s="16" t="n">
        <v>72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customFormat="false" ht="15" hidden="false" customHeight="false" outlineLevel="0" collapsed="false">
      <c r="A23" s="12" t="s">
        <v>1443</v>
      </c>
      <c r="B23" s="16" t="n">
        <v>1E-006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customFormat="false" ht="15" hidden="false" customHeight="false" outlineLevel="0" collapsed="false">
      <c r="A25" s="5" t="s">
        <v>1444</v>
      </c>
      <c r="B25" s="5" t="s">
        <v>1444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customFormat="false" ht="15" hidden="false" customHeight="false" outlineLevel="0" collapsed="false">
      <c r="A26" s="12" t="s">
        <v>1445</v>
      </c>
      <c r="B26" s="16" t="n">
        <v>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customFormat="false" ht="15" hidden="false" customHeight="false" outlineLevel="0" collapsed="false">
      <c r="A27" s="12" t="s">
        <v>1446</v>
      </c>
      <c r="B27" s="16" t="n">
        <v>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customFormat="false" ht="15" hidden="false" customHeight="false" outlineLevel="0" collapsed="false">
      <c r="A28" s="12" t="s">
        <v>1447</v>
      </c>
      <c r="B28" s="16" t="n">
        <v>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customFormat="false" ht="15" hidden="false" customHeight="false" outlineLevel="0" collapsed="false">
      <c r="A29" s="12" t="s">
        <v>1448</v>
      </c>
      <c r="B29" s="16" t="n">
        <v>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customFormat="false" ht="15" hidden="false" customHeight="false" outlineLevel="0" collapsed="false">
      <c r="A30" s="12" t="s">
        <v>1449</v>
      </c>
      <c r="B30" s="16" t="n">
        <v>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customFormat="false" ht="15" hidden="false" customHeight="false" outlineLevel="0" collapsed="false">
      <c r="A31" s="12" t="s">
        <v>1450</v>
      </c>
      <c r="B31" s="16" t="n">
        <v>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customFormat="false" ht="15" hidden="false" customHeight="false" outlineLevel="0" collapsed="false">
      <c r="A32" s="12" t="s">
        <v>1451</v>
      </c>
      <c r="B32" s="16" t="n">
        <v>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customFormat="false" ht="15" hidden="false" customHeight="false" outlineLevel="0" collapsed="false">
      <c r="A33" s="12" t="s">
        <v>1452</v>
      </c>
      <c r="B33" s="16" t="n">
        <v>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customFormat="false" ht="15" hidden="false" customHeight="false" outlineLevel="0" collapsed="false">
      <c r="A34" s="12" t="s">
        <v>1453</v>
      </c>
      <c r="B34" s="16" t="n">
        <v>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customFormat="false" ht="15" hidden="false" customHeight="false" outlineLevel="0" collapsed="false">
      <c r="A35" s="12" t="s">
        <v>39</v>
      </c>
      <c r="B35" s="16" t="n">
        <v>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customFormat="false" ht="15" hidden="false" customHeight="false" outlineLevel="0" collapsed="false">
      <c r="A36" s="12" t="s">
        <v>1454</v>
      </c>
      <c r="B36" s="16" t="n">
        <v>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customFormat="false" ht="15" hidden="false" customHeight="false" outlineLevel="0" collapsed="false">
      <c r="A37" s="12" t="s">
        <v>1455</v>
      </c>
      <c r="B37" s="16" t="n">
        <v>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customFormat="false" ht="15" hidden="false" customHeight="false" outlineLevel="0" collapsed="false">
      <c r="A38" s="12" t="s">
        <v>1456</v>
      </c>
      <c r="B38" s="16" t="n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customFormat="false" ht="15" hidden="false" customHeight="false" outlineLevel="0" collapsed="false">
      <c r="A39" s="12" t="s">
        <v>1457</v>
      </c>
      <c r="B39" s="16" t="n">
        <v>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customFormat="false" ht="15" hidden="false" customHeight="false" outlineLevel="0" collapsed="false">
      <c r="A40" s="12" t="s">
        <v>1458</v>
      </c>
      <c r="B40" s="16" t="n">
        <v>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customFormat="false" ht="15" hidden="false" customHeight="false" outlineLevel="0" collapsed="false">
      <c r="A41" s="12" t="s">
        <v>1459</v>
      </c>
      <c r="B41" s="16" t="n">
        <v>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customFormat="false" ht="15" hidden="false" customHeight="false" outlineLevel="0" collapsed="false">
      <c r="A42" s="12" t="s">
        <v>1460</v>
      </c>
      <c r="B42" s="16" t="n">
        <v>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customFormat="false" ht="15" hidden="false" customHeight="false" outlineLevel="0" collapsed="false">
      <c r="A43" s="12" t="s">
        <v>1461</v>
      </c>
      <c r="B43" s="16" t="n">
        <v>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customFormat="false" ht="15" hidden="false" customHeight="false" outlineLevel="0" collapsed="false">
      <c r="A44" s="12" t="s">
        <v>1462</v>
      </c>
      <c r="B44" s="16" t="n">
        <v>0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customFormat="false" ht="15" hidden="false" customHeight="false" outlineLevel="0" collapsed="false">
      <c r="A45" s="12" t="s">
        <v>1463</v>
      </c>
      <c r="B45" s="16" t="n">
        <v>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customFormat="false" ht="15" hidden="false" customHeight="false" outlineLevel="0" collapsed="false">
      <c r="A48" s="5" t="s">
        <v>1267</v>
      </c>
      <c r="B48" s="5" t="s">
        <v>1267</v>
      </c>
      <c r="C48" s="5" t="s">
        <v>1267</v>
      </c>
      <c r="D48" s="5" t="s">
        <v>1267</v>
      </c>
      <c r="E48" s="5" t="s">
        <v>1267</v>
      </c>
      <c r="F48" s="4"/>
      <c r="G48" s="4"/>
      <c r="H48" s="4"/>
      <c r="I48" s="4"/>
      <c r="J48" s="4"/>
      <c r="K48" s="4"/>
      <c r="L48" s="4"/>
      <c r="M48" s="4"/>
      <c r="N48" s="4"/>
    </row>
    <row r="49" customFormat="false" ht="15" hidden="false" customHeight="false" outlineLevel="0" collapsed="false">
      <c r="A49" s="4" t="s">
        <v>1464</v>
      </c>
      <c r="B49" s="21" t="n">
        <v>189</v>
      </c>
      <c r="C49" s="4" t="s">
        <v>6</v>
      </c>
      <c r="D49" s="4" t="n">
        <v>1</v>
      </c>
      <c r="E49" s="4" t="s">
        <v>1465</v>
      </c>
      <c r="F49" s="4"/>
      <c r="G49" s="4"/>
      <c r="H49" s="4"/>
      <c r="I49" s="4"/>
      <c r="J49" s="4"/>
      <c r="K49" s="4"/>
      <c r="L49" s="4"/>
      <c r="M49" s="4"/>
      <c r="N49" s="4"/>
    </row>
    <row r="50" customFormat="false" ht="15" hidden="false" customHeight="false" outlineLevel="0" collapsed="false">
      <c r="A50" s="4" t="s">
        <v>1466</v>
      </c>
      <c r="B50" s="21" t="n">
        <v>135</v>
      </c>
      <c r="C50" s="4" t="s">
        <v>6</v>
      </c>
      <c r="D50" s="4" t="n">
        <v>1</v>
      </c>
      <c r="E50" s="4" t="s">
        <v>1465</v>
      </c>
      <c r="F50" s="4"/>
      <c r="G50" s="4"/>
      <c r="H50" s="4"/>
      <c r="I50" s="4"/>
      <c r="J50" s="4"/>
      <c r="K50" s="4"/>
      <c r="L50" s="4"/>
      <c r="M50" s="4"/>
      <c r="N50" s="4"/>
    </row>
    <row r="51" customFormat="false" ht="15" hidden="false" customHeight="false" outlineLevel="0" collapsed="false">
      <c r="A51" s="4" t="s">
        <v>1467</v>
      </c>
      <c r="B51" s="21" t="n">
        <v>81</v>
      </c>
      <c r="C51" s="4" t="s">
        <v>1468</v>
      </c>
      <c r="D51" s="4" t="n">
        <v>0</v>
      </c>
      <c r="E51" s="4" t="s">
        <v>1465</v>
      </c>
      <c r="F51" s="4"/>
      <c r="G51" s="4"/>
      <c r="H51" s="4"/>
      <c r="I51" s="4"/>
      <c r="J51" s="4"/>
      <c r="K51" s="4"/>
      <c r="L51" s="4"/>
      <c r="M51" s="4"/>
      <c r="N51" s="4"/>
    </row>
    <row r="52" customFormat="false" ht="15" hidden="false" customHeight="false" outlineLevel="0" collapsed="false">
      <c r="A52" s="4" t="s">
        <v>1469</v>
      </c>
      <c r="B52" s="21" t="n">
        <v>54</v>
      </c>
      <c r="C52" s="4" t="s">
        <v>1470</v>
      </c>
      <c r="D52" s="4" t="n">
        <v>0</v>
      </c>
      <c r="E52" s="4" t="s">
        <v>1465</v>
      </c>
      <c r="F52" s="4"/>
      <c r="G52" s="4"/>
      <c r="H52" s="4"/>
      <c r="I52" s="4"/>
      <c r="J52" s="4"/>
      <c r="K52" s="4"/>
      <c r="L52" s="4"/>
      <c r="M52" s="4"/>
      <c r="N52" s="4"/>
    </row>
    <row r="53" customFormat="false" ht="15" hidden="false" customHeight="false" outlineLevel="0" collapsed="false">
      <c r="A53" s="4" t="s">
        <v>1471</v>
      </c>
      <c r="B53" s="21" t="n">
        <v>54</v>
      </c>
      <c r="C53" s="4" t="s">
        <v>6</v>
      </c>
      <c r="D53" s="4" t="n">
        <v>1</v>
      </c>
      <c r="E53" s="4" t="s">
        <v>1465</v>
      </c>
      <c r="F53" s="4"/>
      <c r="G53" s="4"/>
      <c r="H53" s="4"/>
      <c r="I53" s="4"/>
      <c r="J53" s="4"/>
      <c r="K53" s="4"/>
      <c r="L53" s="4"/>
      <c r="M53" s="4"/>
      <c r="N53" s="4"/>
    </row>
    <row r="54" customFormat="false" ht="15" hidden="false" customHeight="false" outlineLevel="0" collapsed="false">
      <c r="A54" s="4" t="s">
        <v>1472</v>
      </c>
      <c r="B54" s="21" t="n">
        <v>27</v>
      </c>
      <c r="C54" s="4" t="s">
        <v>1473</v>
      </c>
      <c r="D54" s="4" t="n">
        <v>0</v>
      </c>
      <c r="E54" s="4" t="s">
        <v>1465</v>
      </c>
      <c r="F54" s="4"/>
      <c r="G54" s="4"/>
      <c r="H54" s="4"/>
      <c r="I54" s="4"/>
      <c r="J54" s="4"/>
      <c r="K54" s="4"/>
      <c r="L54" s="4"/>
      <c r="M54" s="4"/>
      <c r="N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customFormat="false" ht="15" hidden="false" customHeight="false" outlineLevel="0" collapsed="false">
      <c r="A57" s="5" t="s">
        <v>1474</v>
      </c>
      <c r="B57" s="5" t="s">
        <v>1474</v>
      </c>
      <c r="C57" s="5" t="s">
        <v>1474</v>
      </c>
      <c r="D57" s="5" t="s">
        <v>1474</v>
      </c>
      <c r="E57" s="5" t="s">
        <v>1474</v>
      </c>
      <c r="F57" s="4"/>
      <c r="G57" s="4"/>
      <c r="H57" s="4"/>
      <c r="I57" s="4"/>
      <c r="J57" s="4"/>
      <c r="K57" s="4"/>
      <c r="L57" s="4"/>
      <c r="M57" s="4"/>
      <c r="N57" s="4"/>
    </row>
    <row r="58" customFormat="false" ht="15" hidden="false" customHeight="false" outlineLevel="0" collapsed="false">
      <c r="A58" s="12" t="s">
        <v>1475</v>
      </c>
      <c r="B58" s="22" t="n">
        <v>26.905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customFormat="false" ht="15" hidden="false" customHeight="false" outlineLevel="0" collapsed="false">
      <c r="A59" s="12" t="s">
        <v>1476</v>
      </c>
      <c r="B59" s="22" t="n">
        <v>14.349333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customFormat="false" ht="15" hidden="false" customHeight="false" outlineLevel="0" collapsed="false">
      <c r="A62" s="5" t="s">
        <v>1477</v>
      </c>
      <c r="B62" s="5" t="s">
        <v>1477</v>
      </c>
      <c r="C62" s="5" t="s">
        <v>1477</v>
      </c>
      <c r="D62" s="5" t="s">
        <v>1477</v>
      </c>
      <c r="E62" s="4"/>
      <c r="F62" s="4"/>
      <c r="G62" s="4"/>
      <c r="H62" s="4"/>
      <c r="I62" s="4"/>
      <c r="J62" s="4"/>
      <c r="K62" s="4"/>
      <c r="L62" s="4"/>
      <c r="M62" s="4"/>
      <c r="N62" s="4"/>
    </row>
    <row r="63" customFormat="false" ht="15" hidden="false" customHeight="false" outlineLevel="0" collapsed="false">
      <c r="A63" s="4" t="s">
        <v>1478</v>
      </c>
      <c r="B63" s="4" t="s">
        <v>1080</v>
      </c>
      <c r="C63" s="23" t="n">
        <v>5</v>
      </c>
      <c r="D63" s="4" t="s">
        <v>1479</v>
      </c>
      <c r="E63" s="4"/>
      <c r="F63" s="4"/>
      <c r="G63" s="4"/>
      <c r="H63" s="4"/>
      <c r="I63" s="4"/>
      <c r="J63" s="4"/>
      <c r="K63" s="4"/>
      <c r="L63" s="4"/>
      <c r="M63" s="4"/>
      <c r="N63" s="4"/>
    </row>
    <row r="64" customFormat="false" ht="15" hidden="false" customHeight="false" outlineLevel="0" collapsed="false">
      <c r="A64" s="4" t="s">
        <v>1480</v>
      </c>
      <c r="B64" s="4" t="s">
        <v>1082</v>
      </c>
      <c r="C64" s="23" t="n">
        <v>15</v>
      </c>
      <c r="D64" s="4" t="s">
        <v>1479</v>
      </c>
      <c r="E64" s="4"/>
      <c r="F64" s="4"/>
      <c r="G64" s="4"/>
      <c r="H64" s="4"/>
      <c r="I64" s="4"/>
      <c r="J64" s="4"/>
      <c r="K64" s="4"/>
      <c r="L64" s="4"/>
      <c r="M64" s="4"/>
      <c r="N64" s="4"/>
    </row>
    <row r="65" customFormat="false" ht="15" hidden="false" customHeight="false" outlineLevel="0" collapsed="false">
      <c r="A65" s="4" t="s">
        <v>1481</v>
      </c>
      <c r="B65" s="4" t="s">
        <v>1084</v>
      </c>
      <c r="C65" s="23" t="n">
        <v>60</v>
      </c>
      <c r="D65" s="4" t="s">
        <v>1479</v>
      </c>
      <c r="E65" s="4"/>
      <c r="F65" s="4"/>
      <c r="G65" s="4"/>
      <c r="H65" s="4"/>
      <c r="I65" s="4"/>
      <c r="J65" s="4"/>
      <c r="K65" s="4"/>
      <c r="L65" s="4"/>
      <c r="M65" s="4"/>
      <c r="N65" s="4"/>
    </row>
    <row r="66" customFormat="false" ht="15" hidden="false" customHeight="false" outlineLevel="0" collapsed="false">
      <c r="A66" s="4" t="s">
        <v>1482</v>
      </c>
      <c r="B66" s="4" t="s">
        <v>1086</v>
      </c>
      <c r="C66" s="23" t="n">
        <v>120</v>
      </c>
      <c r="D66" s="4" t="s">
        <v>1479</v>
      </c>
      <c r="E66" s="4"/>
      <c r="F66" s="4"/>
      <c r="G66" s="4"/>
      <c r="H66" s="4"/>
      <c r="I66" s="4"/>
      <c r="J66" s="4"/>
      <c r="K66" s="4"/>
      <c r="L66" s="4"/>
      <c r="M66" s="4"/>
      <c r="N66" s="4"/>
    </row>
    <row r="67" customFormat="false" ht="15" hidden="false" customHeight="false" outlineLevel="0" collapsed="false">
      <c r="A67" s="4" t="s">
        <v>1483</v>
      </c>
      <c r="B67" s="4" t="s">
        <v>1088</v>
      </c>
      <c r="C67" s="23" t="n">
        <v>240</v>
      </c>
      <c r="D67" s="4" t="s">
        <v>1479</v>
      </c>
      <c r="E67" s="4"/>
      <c r="F67" s="4"/>
      <c r="G67" s="4"/>
      <c r="H67" s="4"/>
      <c r="I67" s="4"/>
      <c r="J67" s="4"/>
      <c r="K67" s="4"/>
      <c r="L67" s="4"/>
      <c r="M67" s="4"/>
      <c r="N67" s="4"/>
    </row>
    <row r="68" customFormat="false" ht="15" hidden="false" customHeight="false" outlineLevel="0" collapsed="false">
      <c r="A68" s="4" t="s">
        <v>1484</v>
      </c>
      <c r="B68" s="4" t="s">
        <v>1090</v>
      </c>
      <c r="C68" s="23" t="n">
        <v>240</v>
      </c>
      <c r="D68" s="4" t="s">
        <v>1479</v>
      </c>
      <c r="E68" s="4"/>
      <c r="F68" s="4"/>
      <c r="G68" s="4"/>
      <c r="H68" s="4"/>
      <c r="I68" s="4"/>
      <c r="J68" s="4"/>
      <c r="K68" s="4"/>
      <c r="L68" s="4"/>
      <c r="M68" s="4"/>
      <c r="N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customFormat="false" ht="15" hidden="false" customHeight="true" outlineLevel="0" collapsed="false">
      <c r="A71" s="24" t="s">
        <v>1485</v>
      </c>
      <c r="B71" s="24" t="s">
        <v>1486</v>
      </c>
      <c r="C71" s="24" t="s">
        <v>1487</v>
      </c>
      <c r="D71" s="24" t="s">
        <v>1488</v>
      </c>
      <c r="E71" s="24" t="s">
        <v>1489</v>
      </c>
      <c r="F71" s="24" t="s">
        <v>1372</v>
      </c>
      <c r="G71" s="24" t="s">
        <v>1490</v>
      </c>
      <c r="H71" s="4"/>
      <c r="I71" s="4"/>
      <c r="J71" s="4"/>
      <c r="K71" s="4"/>
      <c r="L71" s="4"/>
      <c r="M71" s="4"/>
      <c r="N71" s="4"/>
    </row>
    <row r="72" customFormat="false" ht="15" hidden="false" customHeight="false" outlineLevel="0" collapsed="false">
      <c r="A72" s="4" t="s">
        <v>1491</v>
      </c>
      <c r="B72" s="4" t="s">
        <v>1492</v>
      </c>
      <c r="C72" s="4" t="n">
        <v>1</v>
      </c>
      <c r="D72" s="4" t="n">
        <v>0</v>
      </c>
      <c r="E72" s="4" t="n">
        <v>0</v>
      </c>
      <c r="F72" s="4" t="n">
        <v>1</v>
      </c>
      <c r="G72" s="4" t="s">
        <v>1493</v>
      </c>
      <c r="H72" s="4"/>
      <c r="I72" s="4"/>
      <c r="J72" s="4"/>
      <c r="K72" s="4"/>
      <c r="L72" s="4"/>
      <c r="M72" s="4"/>
      <c r="N72" s="4"/>
    </row>
    <row r="73" customFormat="false" ht="15" hidden="false" customHeight="false" outlineLevel="0" collapsed="false">
      <c r="A73" s="4" t="s">
        <v>1494</v>
      </c>
      <c r="B73" s="4" t="s">
        <v>1495</v>
      </c>
      <c r="C73" s="4" t="n">
        <v>6</v>
      </c>
      <c r="D73" s="4" t="n">
        <v>1</v>
      </c>
      <c r="E73" s="4" t="n">
        <v>1</v>
      </c>
      <c r="F73" s="4" t="n">
        <v>0</v>
      </c>
      <c r="G73" s="4" t="s">
        <v>1496</v>
      </c>
      <c r="H73" s="4"/>
      <c r="I73" s="4"/>
      <c r="J73" s="4"/>
      <c r="K73" s="4"/>
      <c r="L73" s="4"/>
      <c r="M73" s="4"/>
      <c r="N73" s="4"/>
    </row>
    <row r="74" customFormat="false" ht="15" hidden="false" customHeight="false" outlineLevel="0" collapsed="false">
      <c r="A74" s="4" t="s">
        <v>1497</v>
      </c>
      <c r="B74" s="4" t="s">
        <v>1498</v>
      </c>
      <c r="C74" s="4" t="n">
        <v>36</v>
      </c>
      <c r="D74" s="4" t="n">
        <v>1</v>
      </c>
      <c r="E74" s="4" t="n">
        <v>1</v>
      </c>
      <c r="F74" s="4" t="n">
        <v>0</v>
      </c>
      <c r="G74" s="4" t="s">
        <v>1499</v>
      </c>
      <c r="H74" s="4"/>
      <c r="I74" s="4"/>
      <c r="J74" s="4"/>
      <c r="K74" s="4"/>
      <c r="L74" s="4"/>
      <c r="M74" s="4"/>
      <c r="N74" s="4"/>
    </row>
    <row r="75" customFormat="false" ht="15" hidden="false" customHeight="false" outlineLevel="0" collapsed="false">
      <c r="A75" s="4" t="s">
        <v>1500</v>
      </c>
      <c r="B75" s="4" t="s">
        <v>1501</v>
      </c>
      <c r="C75" s="4" t="n">
        <v>18</v>
      </c>
      <c r="D75" s="4" t="n">
        <v>1</v>
      </c>
      <c r="E75" s="4" t="n">
        <v>1</v>
      </c>
      <c r="F75" s="4" t="n">
        <v>0</v>
      </c>
      <c r="G75" s="4" t="s">
        <v>1502</v>
      </c>
      <c r="H75" s="4"/>
      <c r="I75" s="4"/>
      <c r="J75" s="4"/>
      <c r="K75" s="4"/>
      <c r="L75" s="4"/>
      <c r="M75" s="4"/>
      <c r="N75" s="4"/>
    </row>
    <row r="76" customFormat="false" ht="15" hidden="false" customHeight="false" outlineLevel="0" collapsed="false">
      <c r="A76" s="4" t="s">
        <v>1503</v>
      </c>
      <c r="B76" s="4" t="s">
        <v>1504</v>
      </c>
      <c r="C76" s="4" t="n">
        <v>2</v>
      </c>
      <c r="D76" s="4" t="n">
        <v>0</v>
      </c>
      <c r="E76" s="4" t="n">
        <v>0</v>
      </c>
      <c r="F76" s="4" t="n">
        <v>1</v>
      </c>
      <c r="G76" s="4" t="s">
        <v>1493</v>
      </c>
      <c r="H76" s="4"/>
      <c r="I76" s="4"/>
      <c r="J76" s="4"/>
      <c r="K76" s="4"/>
      <c r="L76" s="4"/>
      <c r="M76" s="4"/>
      <c r="N76" s="4"/>
    </row>
  </sheetData>
  <mergeCells count="8">
    <mergeCell ref="A2:N2"/>
    <mergeCell ref="A4:N4"/>
    <mergeCell ref="A6:B6"/>
    <mergeCell ref="A25:B25"/>
    <mergeCell ref="A48:E48"/>
    <mergeCell ref="A57:E57"/>
    <mergeCell ref="A62:D62"/>
    <mergeCell ref="A71:G7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2: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7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7" min="6" style="0" width="14"/>
  </cols>
  <sheetData>
    <row r="2" customFormat="false" ht="18.55" hidden="false" customHeight="false" outlineLevel="0" collapsed="false">
      <c r="A2" s="1" t="s">
        <v>1505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1506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6" t="s">
        <v>1507</v>
      </c>
      <c r="B6" s="7" t="s">
        <v>1508</v>
      </c>
      <c r="C6" s="7" t="s">
        <v>1509</v>
      </c>
      <c r="D6" s="7" t="s">
        <v>1510</v>
      </c>
      <c r="E6" s="7" t="s">
        <v>1511</v>
      </c>
      <c r="F6" s="7" t="s">
        <v>1512</v>
      </c>
      <c r="G6" s="8" t="s">
        <v>1513</v>
      </c>
      <c r="H6" s="4"/>
      <c r="I6" s="4"/>
      <c r="J6" s="4"/>
      <c r="K6" s="4"/>
      <c r="L6" s="4"/>
      <c r="M6" s="4"/>
      <c r="N6" s="4"/>
    </row>
    <row r="7" customFormat="false" ht="15" hidden="false" customHeight="false" outlineLevel="0" collapsed="false">
      <c r="A7" s="14" t="s">
        <v>1514</v>
      </c>
      <c r="B7" s="14" t="s">
        <v>1515</v>
      </c>
      <c r="C7" s="14" t="n">
        <v>6</v>
      </c>
      <c r="D7" s="14" t="n">
        <v>5</v>
      </c>
      <c r="E7" s="14" t="s">
        <v>1516</v>
      </c>
      <c r="F7" s="14" t="s">
        <v>1517</v>
      </c>
      <c r="G7" s="14" t="s">
        <v>1517</v>
      </c>
      <c r="H7" s="4"/>
      <c r="I7" s="4"/>
      <c r="J7" s="4"/>
      <c r="K7" s="4"/>
      <c r="L7" s="4"/>
      <c r="M7" s="4"/>
      <c r="N7" s="4"/>
    </row>
    <row r="8" customFormat="false" ht="15" hidden="false" customHeight="false" outlineLevel="0" collapsed="false">
      <c r="A8" s="14" t="s">
        <v>1518</v>
      </c>
      <c r="B8" s="14" t="s">
        <v>1519</v>
      </c>
      <c r="C8" s="14" t="n">
        <v>18</v>
      </c>
      <c r="D8" s="14" t="n">
        <v>17</v>
      </c>
      <c r="E8" s="14" t="s">
        <v>1520</v>
      </c>
      <c r="F8" s="14" t="s">
        <v>1517</v>
      </c>
      <c r="G8" s="14" t="s">
        <v>1517</v>
      </c>
      <c r="H8" s="4"/>
      <c r="I8" s="4"/>
      <c r="J8" s="4"/>
      <c r="K8" s="4"/>
      <c r="L8" s="4"/>
      <c r="M8" s="4"/>
      <c r="N8" s="4"/>
    </row>
    <row r="9" customFormat="false" ht="15" hidden="false" customHeight="false" outlineLevel="0" collapsed="false">
      <c r="A9" s="14" t="s">
        <v>1521</v>
      </c>
      <c r="B9" s="14" t="s">
        <v>1522</v>
      </c>
      <c r="C9" s="14" t="n">
        <v>6</v>
      </c>
      <c r="D9" s="14" t="n">
        <v>5</v>
      </c>
      <c r="E9" s="14" t="s">
        <v>1523</v>
      </c>
      <c r="F9" s="14" t="s">
        <v>1517</v>
      </c>
      <c r="G9" s="14" t="s">
        <v>1517</v>
      </c>
      <c r="H9" s="4"/>
      <c r="I9" s="4"/>
      <c r="J9" s="4"/>
      <c r="K9" s="4"/>
      <c r="L9" s="4"/>
      <c r="M9" s="4"/>
      <c r="N9" s="4"/>
    </row>
    <row r="10" customFormat="false" ht="15" hidden="false" customHeight="false" outlineLevel="0" collapsed="false">
      <c r="A10" s="14" t="s">
        <v>1524</v>
      </c>
      <c r="B10" s="14" t="s">
        <v>1525</v>
      </c>
      <c r="C10" s="14" t="n">
        <v>100</v>
      </c>
      <c r="D10" s="14" t="n">
        <v>90</v>
      </c>
      <c r="E10" s="14" t="s">
        <v>1526</v>
      </c>
      <c r="F10" s="14" t="s">
        <v>1517</v>
      </c>
      <c r="G10" s="14" t="s">
        <v>1517</v>
      </c>
      <c r="H10" s="4"/>
      <c r="I10" s="4"/>
      <c r="J10" s="4"/>
      <c r="K10" s="4"/>
      <c r="L10" s="4"/>
      <c r="M10" s="4"/>
      <c r="N10" s="4"/>
    </row>
    <row r="11" customFormat="false" ht="15" hidden="false" customHeight="false" outlineLevel="0" collapsed="false">
      <c r="A11" s="14" t="s">
        <v>1527</v>
      </c>
      <c r="B11" s="14" t="s">
        <v>1528</v>
      </c>
      <c r="C11" s="14" t="n">
        <v>75</v>
      </c>
      <c r="D11" s="14" t="n">
        <v>85</v>
      </c>
      <c r="E11" s="14" t="s">
        <v>1526</v>
      </c>
      <c r="F11" s="14" t="s">
        <v>1517</v>
      </c>
      <c r="G11" s="14" t="s">
        <v>1517</v>
      </c>
      <c r="H11" s="4"/>
      <c r="I11" s="4"/>
      <c r="J11" s="4"/>
      <c r="K11" s="4"/>
      <c r="L11" s="4"/>
      <c r="M11" s="4"/>
      <c r="N11" s="4"/>
    </row>
    <row r="12" customFormat="false" ht="15" hidden="false" customHeight="false" outlineLevel="0" collapsed="false">
      <c r="A12" s="14" t="s">
        <v>1529</v>
      </c>
      <c r="B12" s="14" t="s">
        <v>1530</v>
      </c>
      <c r="C12" s="14" t="n">
        <v>20</v>
      </c>
      <c r="D12" s="14" t="n">
        <v>5</v>
      </c>
      <c r="E12" s="14" t="s">
        <v>1526</v>
      </c>
      <c r="F12" s="14" t="s">
        <v>1517</v>
      </c>
      <c r="G12" s="14" t="s">
        <v>1517</v>
      </c>
      <c r="H12" s="4"/>
      <c r="I12" s="4"/>
      <c r="J12" s="4"/>
      <c r="K12" s="4"/>
      <c r="L12" s="4"/>
      <c r="M12" s="4"/>
      <c r="N12" s="4"/>
    </row>
    <row r="13" customFormat="false" ht="15" hidden="false" customHeight="false" outlineLevel="0" collapsed="false">
      <c r="A13" s="14" t="s">
        <v>1531</v>
      </c>
      <c r="B13" s="14" t="s">
        <v>1532</v>
      </c>
      <c r="C13" s="14" t="n">
        <v>10</v>
      </c>
      <c r="D13" s="14" t="n">
        <v>20</v>
      </c>
      <c r="E13" s="14" t="s">
        <v>1533</v>
      </c>
      <c r="F13" s="14" t="s">
        <v>1517</v>
      </c>
      <c r="G13" s="14" t="s">
        <v>1517</v>
      </c>
      <c r="H13" s="4"/>
      <c r="I13" s="4"/>
      <c r="J13" s="4"/>
      <c r="K13" s="4"/>
      <c r="L13" s="4"/>
      <c r="M13" s="4"/>
      <c r="N13" s="4"/>
    </row>
    <row r="14" customFormat="false" ht="15" hidden="false" customHeight="false" outlineLevel="0" collapsed="false">
      <c r="A14" s="14" t="s">
        <v>1534</v>
      </c>
      <c r="B14" s="14" t="s">
        <v>1535</v>
      </c>
      <c r="C14" s="14" t="n">
        <v>5</v>
      </c>
      <c r="D14" s="14" t="n">
        <v>10</v>
      </c>
      <c r="E14" s="14" t="s">
        <v>1526</v>
      </c>
      <c r="F14" s="14" t="s">
        <v>1517</v>
      </c>
      <c r="G14" s="14" t="s">
        <v>1517</v>
      </c>
      <c r="H14" s="4"/>
      <c r="I14" s="4"/>
      <c r="J14" s="4"/>
      <c r="K14" s="4"/>
      <c r="L14" s="4"/>
      <c r="M14" s="4"/>
      <c r="N14" s="4"/>
    </row>
    <row r="15" customFormat="false" ht="15" hidden="false" customHeight="false" outlineLevel="0" collapsed="false">
      <c r="A15" s="14" t="s">
        <v>1536</v>
      </c>
      <c r="B15" s="14" t="s">
        <v>1537</v>
      </c>
      <c r="C15" s="14" t="n">
        <v>30</v>
      </c>
      <c r="D15" s="14" t="n">
        <v>29</v>
      </c>
      <c r="E15" s="14" t="s">
        <v>1538</v>
      </c>
      <c r="F15" s="14" t="s">
        <v>1517</v>
      </c>
      <c r="G15" s="14" t="s">
        <v>1517</v>
      </c>
      <c r="H15" s="4"/>
      <c r="I15" s="4"/>
      <c r="J15" s="4"/>
      <c r="K15" s="4"/>
      <c r="L15" s="4"/>
      <c r="M15" s="4"/>
      <c r="N15" s="4"/>
    </row>
    <row r="16" customFormat="false" ht="15" hidden="false" customHeight="false" outlineLevel="0" collapsed="false">
      <c r="A16" s="14" t="s">
        <v>1539</v>
      </c>
      <c r="B16" s="14" t="s">
        <v>1540</v>
      </c>
      <c r="C16" s="14" t="n">
        <v>6</v>
      </c>
      <c r="D16" s="14" t="n">
        <v>5</v>
      </c>
      <c r="E16" s="14" t="s">
        <v>1541</v>
      </c>
      <c r="F16" s="14" t="s">
        <v>1517</v>
      </c>
      <c r="G16" s="14" t="s">
        <v>1517</v>
      </c>
      <c r="H16" s="4"/>
      <c r="I16" s="4"/>
      <c r="J16" s="4"/>
      <c r="K16" s="4"/>
      <c r="L16" s="4"/>
      <c r="M16" s="4"/>
      <c r="N16" s="4"/>
    </row>
    <row r="17" customFormat="false" ht="15" hidden="false" customHeight="false" outlineLevel="0" collapsed="false">
      <c r="A17" s="14" t="s">
        <v>1542</v>
      </c>
      <c r="B17" s="14" t="s">
        <v>1543</v>
      </c>
      <c r="C17" s="14" t="n">
        <v>20</v>
      </c>
      <c r="D17" s="14" t="n">
        <v>19</v>
      </c>
      <c r="E17" s="14" t="s">
        <v>1544</v>
      </c>
      <c r="F17" s="14" t="s">
        <v>1517</v>
      </c>
      <c r="G17" s="14" t="s">
        <v>1517</v>
      </c>
      <c r="H17" s="4"/>
      <c r="I17" s="4"/>
      <c r="J17" s="4"/>
      <c r="K17" s="4"/>
      <c r="L17" s="4"/>
      <c r="M17" s="4"/>
      <c r="N17" s="4"/>
    </row>
    <row r="18" customFormat="false" ht="15" hidden="false" customHeight="false" outlineLevel="0" collapsed="false">
      <c r="A18" s="14" t="s">
        <v>1545</v>
      </c>
      <c r="B18" s="14" t="s">
        <v>1546</v>
      </c>
      <c r="C18" s="14" t="n">
        <v>0</v>
      </c>
      <c r="D18" s="14" t="n">
        <v>1</v>
      </c>
      <c r="E18" s="14" t="s">
        <v>1547</v>
      </c>
      <c r="F18" s="14" t="s">
        <v>1517</v>
      </c>
      <c r="G18" s="14" t="s">
        <v>1517</v>
      </c>
      <c r="H18" s="4"/>
      <c r="I18" s="4"/>
      <c r="J18" s="4"/>
      <c r="K18" s="4"/>
      <c r="L18" s="4"/>
      <c r="M18" s="4"/>
      <c r="N18" s="4"/>
    </row>
    <row r="19" customFormat="false" ht="15" hidden="false" customHeight="false" outlineLevel="0" collapsed="false">
      <c r="A19" s="14" t="s">
        <v>1548</v>
      </c>
      <c r="B19" s="14" t="s">
        <v>1549</v>
      </c>
      <c r="C19" s="14" t="n">
        <v>0</v>
      </c>
      <c r="D19" s="14" t="n">
        <v>1</v>
      </c>
      <c r="E19" s="14" t="s">
        <v>1550</v>
      </c>
      <c r="F19" s="14" t="s">
        <v>1517</v>
      </c>
      <c r="G19" s="14" t="s">
        <v>1517</v>
      </c>
      <c r="H19" s="4"/>
      <c r="I19" s="4"/>
      <c r="J19" s="4"/>
      <c r="K19" s="4"/>
      <c r="L19" s="4"/>
      <c r="M19" s="4"/>
      <c r="N19" s="4"/>
    </row>
    <row r="20" customFormat="false" ht="15" hidden="false" customHeight="false" outlineLevel="0" collapsed="false">
      <c r="A20" s="14" t="s">
        <v>1551</v>
      </c>
      <c r="B20" s="14" t="s">
        <v>1552</v>
      </c>
      <c r="C20" s="14" t="n">
        <v>0</v>
      </c>
      <c r="D20" s="14" t="n">
        <v>1</v>
      </c>
      <c r="E20" s="14" t="s">
        <v>1553</v>
      </c>
      <c r="F20" s="14" t="s">
        <v>1517</v>
      </c>
      <c r="G20" s="14" t="s">
        <v>1517</v>
      </c>
      <c r="H20" s="4"/>
      <c r="I20" s="4"/>
      <c r="J20" s="4"/>
      <c r="K20" s="4"/>
      <c r="L20" s="4"/>
      <c r="M20" s="4"/>
      <c r="N20" s="4"/>
    </row>
    <row r="21" customFormat="false" ht="15" hidden="false" customHeight="false" outlineLevel="0" collapsed="false">
      <c r="A21" s="14" t="s">
        <v>1554</v>
      </c>
      <c r="B21" s="14" t="s">
        <v>1555</v>
      </c>
      <c r="C21" s="14" t="n">
        <v>0</v>
      </c>
      <c r="D21" s="14" t="n">
        <v>1</v>
      </c>
      <c r="E21" s="14" t="s">
        <v>1556</v>
      </c>
      <c r="F21" s="14" t="s">
        <v>1517</v>
      </c>
      <c r="G21" s="14" t="s">
        <v>1517</v>
      </c>
      <c r="H21" s="4"/>
      <c r="I21" s="4"/>
      <c r="J21" s="4"/>
      <c r="K21" s="4"/>
      <c r="L21" s="4"/>
      <c r="M21" s="4"/>
      <c r="N21" s="4"/>
    </row>
    <row r="22" customFormat="false" ht="15" hidden="false" customHeight="false" outlineLevel="0" collapsed="false">
      <c r="A22" s="14" t="s">
        <v>1557</v>
      </c>
      <c r="B22" s="14" t="s">
        <v>1558</v>
      </c>
      <c r="C22" s="14" t="n">
        <v>0</v>
      </c>
      <c r="D22" s="14" t="n">
        <v>1</v>
      </c>
      <c r="E22" s="14" t="s">
        <v>1559</v>
      </c>
      <c r="F22" s="14" t="s">
        <v>1517</v>
      </c>
      <c r="G22" s="14" t="s">
        <v>1517</v>
      </c>
      <c r="H22" s="4"/>
      <c r="I22" s="4"/>
      <c r="J22" s="4"/>
      <c r="K22" s="4"/>
      <c r="L22" s="4"/>
      <c r="M22" s="4"/>
      <c r="N22" s="4"/>
    </row>
    <row r="23" customFormat="false" ht="15" hidden="false" customHeight="false" outlineLevel="0" collapsed="false">
      <c r="A23" s="14" t="s">
        <v>1560</v>
      </c>
      <c r="B23" s="14" t="s">
        <v>1561</v>
      </c>
      <c r="C23" s="14" t="n">
        <v>0</v>
      </c>
      <c r="D23" s="14" t="n">
        <v>1</v>
      </c>
      <c r="E23" s="14" t="s">
        <v>1562</v>
      </c>
      <c r="F23" s="14" t="s">
        <v>1517</v>
      </c>
      <c r="G23" s="14" t="s">
        <v>1517</v>
      </c>
      <c r="H23" s="4"/>
      <c r="I23" s="4"/>
      <c r="J23" s="4"/>
      <c r="K23" s="4"/>
      <c r="L23" s="4"/>
      <c r="M23" s="4"/>
      <c r="N23" s="4"/>
    </row>
    <row r="24" customFormat="false" ht="15" hidden="false" customHeight="false" outlineLevel="0" collapsed="false">
      <c r="A24" s="14" t="s">
        <v>1563</v>
      </c>
      <c r="B24" s="14" t="s">
        <v>1564</v>
      </c>
      <c r="C24" s="14" t="n">
        <v>0</v>
      </c>
      <c r="D24" s="14" t="n">
        <v>1</v>
      </c>
      <c r="E24" s="14" t="s">
        <v>1565</v>
      </c>
      <c r="F24" s="14" t="s">
        <v>1517</v>
      </c>
      <c r="G24" s="14" t="s">
        <v>1517</v>
      </c>
      <c r="H24" s="4"/>
      <c r="I24" s="4"/>
      <c r="J24" s="4"/>
      <c r="K24" s="4"/>
      <c r="L24" s="4"/>
      <c r="M24" s="4"/>
      <c r="N24" s="4"/>
    </row>
    <row r="25" customFormat="false" ht="15" hidden="false" customHeight="false" outlineLevel="0" collapsed="false">
      <c r="A25" s="14" t="s">
        <v>1566</v>
      </c>
      <c r="B25" s="14" t="s">
        <v>1567</v>
      </c>
      <c r="C25" s="14" t="n">
        <v>0</v>
      </c>
      <c r="D25" s="14" t="n">
        <v>1</v>
      </c>
      <c r="E25" s="14" t="s">
        <v>1568</v>
      </c>
      <c r="F25" s="14" t="s">
        <v>1517</v>
      </c>
      <c r="G25" s="14" t="s">
        <v>1517</v>
      </c>
      <c r="H25" s="4"/>
      <c r="I25" s="4"/>
      <c r="J25" s="4"/>
      <c r="K25" s="4"/>
      <c r="L25" s="4"/>
      <c r="M25" s="4"/>
      <c r="N25" s="4"/>
    </row>
    <row r="26" customFormat="false" ht="15" hidden="false" customHeight="false" outlineLevel="0" collapsed="false">
      <c r="A26" s="14" t="s">
        <v>1569</v>
      </c>
      <c r="B26" s="14" t="s">
        <v>1570</v>
      </c>
      <c r="C26" s="14" t="n">
        <v>0</v>
      </c>
      <c r="D26" s="14" t="n">
        <v>1</v>
      </c>
      <c r="E26" s="14" t="s">
        <v>1571</v>
      </c>
      <c r="F26" s="14" t="s">
        <v>1517</v>
      </c>
      <c r="G26" s="14" t="s">
        <v>1517</v>
      </c>
      <c r="H26" s="4"/>
      <c r="I26" s="4"/>
      <c r="J26" s="4"/>
      <c r="K26" s="4"/>
      <c r="L26" s="4"/>
      <c r="M26" s="4"/>
      <c r="N26" s="4"/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E6E6"/>
    <pageSetUpPr fitToPage="false"/>
  </sheetPr>
  <dimension ref="A2:N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7"/>
    <col collapsed="false" customWidth="true" hidden="false" outlineLevel="0" max="4" min="3" style="0" width="16"/>
    <col collapsed="false" customWidth="true" hidden="false" outlineLevel="0" max="5" min="5" style="0" width="12"/>
  </cols>
  <sheetData>
    <row r="2" customFormat="false" ht="18.55" hidden="false" customHeight="false" outlineLevel="0" collapsed="false">
      <c r="A2" s="1" t="s">
        <v>1572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1573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6" t="s">
        <v>1574</v>
      </c>
      <c r="B6" s="7" t="s">
        <v>1575</v>
      </c>
      <c r="C6" s="7" t="s">
        <v>1576</v>
      </c>
      <c r="D6" s="7" t="s">
        <v>1577</v>
      </c>
      <c r="E6" s="8" t="s">
        <v>1578</v>
      </c>
      <c r="F6" s="4"/>
      <c r="G6" s="4"/>
      <c r="H6" s="4"/>
      <c r="I6" s="4"/>
      <c r="J6" s="4"/>
      <c r="K6" s="4"/>
      <c r="L6" s="4"/>
      <c r="M6" s="4"/>
      <c r="N6" s="4"/>
    </row>
    <row r="7" customFormat="false" ht="15" hidden="false" customHeight="false" outlineLevel="0" collapsed="false">
      <c r="A7" s="14" t="s">
        <v>1516</v>
      </c>
      <c r="B7" s="14" t="s">
        <v>1579</v>
      </c>
      <c r="C7" s="14" t="n">
        <f aca="false">Inputs!B7</f>
        <v>6</v>
      </c>
      <c r="D7" s="14" t="n">
        <v>6</v>
      </c>
      <c r="E7" s="14" t="str">
        <f aca="false">IF(ABS(C7-D7)&lt;=Inputs!$B$23,"PASS","FAIL")</f>
        <v>PASS</v>
      </c>
      <c r="F7" s="4"/>
      <c r="G7" s="4"/>
      <c r="H7" s="4"/>
      <c r="I7" s="4"/>
      <c r="J7" s="4"/>
      <c r="K7" s="4"/>
      <c r="L7" s="4"/>
      <c r="M7" s="4"/>
      <c r="N7" s="4"/>
    </row>
    <row r="8" customFormat="false" ht="15" hidden="false" customHeight="false" outlineLevel="0" collapsed="false">
      <c r="A8" s="14" t="s">
        <v>1520</v>
      </c>
      <c r="B8" s="14" t="s">
        <v>1580</v>
      </c>
      <c r="C8" s="14" t="n">
        <f aca="false">Inputs!B8</f>
        <v>18</v>
      </c>
      <c r="D8" s="14" t="n">
        <v>18</v>
      </c>
      <c r="E8" s="14" t="str">
        <f aca="false">IF(ABS(C8-D8)&lt;=Inputs!$B$23,"PASS","FAIL")</f>
        <v>PASS</v>
      </c>
      <c r="F8" s="4"/>
      <c r="G8" s="4"/>
      <c r="H8" s="4"/>
      <c r="I8" s="4"/>
      <c r="J8" s="4"/>
      <c r="K8" s="4"/>
      <c r="L8" s="4"/>
      <c r="M8" s="4"/>
      <c r="N8" s="4"/>
    </row>
    <row r="9" customFormat="false" ht="15" hidden="false" customHeight="false" outlineLevel="0" collapsed="false">
      <c r="A9" s="14" t="s">
        <v>1523</v>
      </c>
      <c r="B9" s="14" t="s">
        <v>1581</v>
      </c>
      <c r="C9" s="14" t="n">
        <f aca="false">Inputs!B10</f>
        <v>6</v>
      </c>
      <c r="D9" s="14" t="n">
        <v>6</v>
      </c>
      <c r="E9" s="14" t="str">
        <f aca="false">IF(ABS(C9-D9)&lt;=Inputs!$B$23,"PASS","FAIL")</f>
        <v>PASS</v>
      </c>
      <c r="F9" s="4"/>
      <c r="G9" s="4"/>
      <c r="H9" s="4"/>
      <c r="I9" s="4"/>
      <c r="J9" s="4"/>
      <c r="K9" s="4"/>
      <c r="L9" s="4"/>
      <c r="M9" s="4"/>
      <c r="N9" s="4"/>
    </row>
    <row r="10" customFormat="false" ht="15" hidden="false" customHeight="false" outlineLevel="0" collapsed="false">
      <c r="A10" s="14" t="s">
        <v>1582</v>
      </c>
      <c r="B10" s="14" t="s">
        <v>1583</v>
      </c>
      <c r="C10" s="14" t="n">
        <f aca="false">Inputs!B9</f>
        <v>6</v>
      </c>
      <c r="D10" s="14" t="n">
        <v>6</v>
      </c>
      <c r="E10" s="14" t="str">
        <f aca="false">IF(ABS(C10-D10)&lt;=Inputs!$B$23,"PASS","FAIL")</f>
        <v>PASS</v>
      </c>
      <c r="F10" s="4"/>
      <c r="G10" s="4"/>
      <c r="H10" s="4"/>
      <c r="I10" s="4"/>
      <c r="J10" s="4"/>
      <c r="K10" s="4"/>
      <c r="L10" s="4"/>
      <c r="M10" s="4"/>
      <c r="N10" s="4"/>
    </row>
    <row r="11" customFormat="false" ht="15" hidden="false" customHeight="false" outlineLevel="0" collapsed="false">
      <c r="A11" s="14" t="s">
        <v>1584</v>
      </c>
      <c r="B11" s="14" t="s">
        <v>1585</v>
      </c>
      <c r="C11" s="14" t="n">
        <f aca="false">COUNTA('Site Dockets'!A7:A24)</f>
        <v>18</v>
      </c>
      <c r="D11" s="14" t="n">
        <v>18</v>
      </c>
      <c r="E11" s="14" t="str">
        <f aca="false">IF(ABS(C11-D11)&lt;=Inputs!$B$23,"PASS","FAIL")</f>
        <v>PASS</v>
      </c>
      <c r="F11" s="4"/>
      <c r="G11" s="4"/>
      <c r="H11" s="4"/>
      <c r="I11" s="4"/>
      <c r="J11" s="4"/>
      <c r="K11" s="4"/>
      <c r="L11" s="4"/>
      <c r="M11" s="4"/>
      <c r="N11" s="4"/>
    </row>
    <row r="12" customFormat="false" ht="15" hidden="false" customHeight="false" outlineLevel="0" collapsed="false">
      <c r="A12" s="14" t="s">
        <v>1586</v>
      </c>
      <c r="B12" s="14" t="s">
        <v>1587</v>
      </c>
      <c r="C12" s="14" t="n">
        <f aca="false">COUNTA('Role Appointments'!A7:A102)</f>
        <v>96</v>
      </c>
      <c r="D12" s="14" t="n">
        <v>96</v>
      </c>
      <c r="E12" s="14" t="str">
        <f aca="false">IF(ABS(C12-D12)&lt;=Inputs!$B$23,"PASS","FAIL")</f>
        <v>PASS</v>
      </c>
      <c r="F12" s="4"/>
      <c r="G12" s="4"/>
      <c r="H12" s="4"/>
      <c r="I12" s="4"/>
      <c r="J12" s="4"/>
      <c r="K12" s="4"/>
      <c r="L12" s="4"/>
      <c r="M12" s="4"/>
      <c r="N12" s="4"/>
    </row>
    <row r="13" customFormat="false" ht="15" hidden="false" customHeight="false" outlineLevel="0" collapsed="false">
      <c r="A13" s="14" t="s">
        <v>1588</v>
      </c>
      <c r="B13" s="14" t="s">
        <v>1589</v>
      </c>
      <c r="C13" s="14" t="n">
        <f aca="false">COUNTA('Key Custody'!A7:A84)</f>
        <v>78</v>
      </c>
      <c r="D13" s="14" t="n">
        <v>78</v>
      </c>
      <c r="E13" s="14" t="str">
        <f aca="false">IF(ABS(C13-D13)&lt;=Inputs!$B$23,"PASS","FAIL")</f>
        <v>PASS</v>
      </c>
      <c r="F13" s="4"/>
      <c r="G13" s="4"/>
      <c r="H13" s="4"/>
      <c r="I13" s="4"/>
      <c r="J13" s="4"/>
      <c r="K13" s="4"/>
      <c r="L13" s="4"/>
      <c r="M13" s="4"/>
      <c r="N13" s="4"/>
    </row>
    <row r="14" customFormat="false" ht="15" hidden="false" customHeight="false" outlineLevel="0" collapsed="false">
      <c r="A14" s="14" t="s">
        <v>1590</v>
      </c>
      <c r="B14" s="14" t="s">
        <v>1591</v>
      </c>
      <c r="C14" s="14" t="n">
        <f aca="false">COUNTA('Vendor Lots'!A7:A78)</f>
        <v>72</v>
      </c>
      <c r="D14" s="14" t="n">
        <v>72</v>
      </c>
      <c r="E14" s="14" t="str">
        <f aca="false">IF(ABS(C14-D14)&lt;=Inputs!$B$23,"PASS","FAIL")</f>
        <v>PASS</v>
      </c>
      <c r="F14" s="4"/>
      <c r="G14" s="4"/>
      <c r="H14" s="4"/>
      <c r="I14" s="4"/>
      <c r="J14" s="4"/>
      <c r="K14" s="4"/>
      <c r="L14" s="4"/>
      <c r="M14" s="4"/>
      <c r="N14" s="4"/>
    </row>
    <row r="15" customFormat="false" ht="15" hidden="false" customHeight="false" outlineLevel="0" collapsed="false">
      <c r="A15" s="14" t="s">
        <v>1592</v>
      </c>
      <c r="B15" s="14" t="s">
        <v>1593</v>
      </c>
      <c r="C15" s="14" t="n">
        <f aca="false">COUNTA('Commission Gates'!A7:A366)</f>
        <v>360</v>
      </c>
      <c r="D15" s="14" t="n">
        <v>360</v>
      </c>
      <c r="E15" s="14" t="str">
        <f aca="false">IF(ABS(C15-D15)&lt;=Inputs!$B$23,"PASS","FAIL")</f>
        <v>PASS</v>
      </c>
      <c r="F15" s="4"/>
      <c r="G15" s="4"/>
      <c r="H15" s="4"/>
      <c r="I15" s="4"/>
      <c r="J15" s="4"/>
      <c r="K15" s="4"/>
      <c r="L15" s="4"/>
      <c r="M15" s="4"/>
      <c r="N15" s="4"/>
    </row>
    <row r="16" customFormat="false" ht="15" hidden="false" customHeight="false" outlineLevel="0" collapsed="false">
      <c r="A16" s="14" t="s">
        <v>1594</v>
      </c>
      <c r="B16" s="14" t="s">
        <v>1595</v>
      </c>
      <c r="C16" s="14" t="n">
        <f aca="false">COUNTA('Recovery Clocks'!A7:A186)</f>
        <v>180</v>
      </c>
      <c r="D16" s="14" t="n">
        <v>180</v>
      </c>
      <c r="E16" s="14" t="str">
        <f aca="false">IF(ABS(C16-D16)&lt;=Inputs!$B$23,"PASS","FAIL")</f>
        <v>PASS</v>
      </c>
      <c r="F16" s="4"/>
      <c r="G16" s="4"/>
      <c r="H16" s="4"/>
      <c r="I16" s="4"/>
      <c r="J16" s="4"/>
      <c r="K16" s="4"/>
      <c r="L16" s="4"/>
      <c r="M16" s="4"/>
      <c r="N16" s="4"/>
    </row>
    <row r="17" customFormat="false" ht="15" hidden="false" customHeight="false" outlineLevel="0" collapsed="false">
      <c r="A17" s="14" t="s">
        <v>1596</v>
      </c>
      <c r="B17" s="14" t="s">
        <v>1597</v>
      </c>
      <c r="C17" s="14" t="n">
        <f aca="false">COUNTA('Capacity Stress'!A7:A3246)</f>
        <v>3240</v>
      </c>
      <c r="D17" s="14" t="n">
        <v>3240</v>
      </c>
      <c r="E17" s="14" t="str">
        <f aca="false">IF(ABS(C17-D17)&lt;=Inputs!$B$23,"PASS","FAIL")</f>
        <v>PASS</v>
      </c>
      <c r="F17" s="4"/>
      <c r="G17" s="4"/>
      <c r="H17" s="4"/>
      <c r="I17" s="4"/>
      <c r="J17" s="4"/>
      <c r="K17" s="4"/>
      <c r="L17" s="4"/>
      <c r="M17" s="4"/>
      <c r="N17" s="4"/>
    </row>
    <row r="18" customFormat="false" ht="15" hidden="false" customHeight="false" outlineLevel="0" collapsed="false">
      <c r="A18" s="14" t="s">
        <v>1538</v>
      </c>
      <c r="B18" s="14" t="s">
        <v>1598</v>
      </c>
      <c r="C18" s="14" t="n">
        <f aca="false">Inputs!B16</f>
        <v>30</v>
      </c>
      <c r="D18" s="14" t="n">
        <v>30</v>
      </c>
      <c r="E18" s="14" t="str">
        <f aca="false">IF(ABS(C18-D18)&lt;=Inputs!$B$23,"PASS","FAIL")</f>
        <v>PASS</v>
      </c>
      <c r="F18" s="4"/>
      <c r="G18" s="4"/>
      <c r="H18" s="4"/>
      <c r="I18" s="4"/>
      <c r="J18" s="4"/>
      <c r="K18" s="4"/>
      <c r="L18" s="4"/>
      <c r="M18" s="4"/>
      <c r="N18" s="4"/>
    </row>
    <row r="19" customFormat="false" ht="15" hidden="false" customHeight="false" outlineLevel="0" collapsed="false">
      <c r="A19" s="14" t="s">
        <v>1599</v>
      </c>
      <c r="B19" s="14" t="s">
        <v>1600</v>
      </c>
      <c r="C19" s="14" t="n">
        <f aca="false">COUNTA('Failure Worlds'!A7:A36)</f>
        <v>30</v>
      </c>
      <c r="D19" s="14" t="n">
        <v>30</v>
      </c>
      <c r="E19" s="14" t="str">
        <f aca="false">IF(ABS(C19-D19)&lt;=Inputs!$B$23,"PASS","FAIL")</f>
        <v>PASS</v>
      </c>
      <c r="F19" s="4"/>
      <c r="G19" s="4"/>
      <c r="H19" s="4"/>
      <c r="I19" s="4"/>
      <c r="J19" s="4"/>
      <c r="K19" s="4"/>
      <c r="L19" s="4"/>
      <c r="M19" s="4"/>
      <c r="N19" s="4"/>
    </row>
    <row r="20" customFormat="false" ht="15" hidden="false" customHeight="false" outlineLevel="0" collapsed="false">
      <c r="A20" s="14" t="s">
        <v>1601</v>
      </c>
      <c r="B20" s="14" t="s">
        <v>1602</v>
      </c>
      <c r="C20" s="14" t="n">
        <f aca="false">COUNTIFS('Failure Worlds'!B7:B36,"SITE LOSS")</f>
        <v>18</v>
      </c>
      <c r="D20" s="14" t="n">
        <v>18</v>
      </c>
      <c r="E20" s="14" t="str">
        <f aca="false">IF(ABS(C20-D20)&lt;=Inputs!$B$23,"PASS","FAIL")</f>
        <v>PASS</v>
      </c>
      <c r="F20" s="4"/>
      <c r="G20" s="4"/>
      <c r="H20" s="4"/>
      <c r="I20" s="4"/>
      <c r="J20" s="4"/>
      <c r="K20" s="4"/>
      <c r="L20" s="4"/>
      <c r="M20" s="4"/>
      <c r="N20" s="4"/>
    </row>
    <row r="21" customFormat="false" ht="15" hidden="false" customHeight="false" outlineLevel="0" collapsed="false">
      <c r="A21" s="14" t="s">
        <v>1603</v>
      </c>
      <c r="B21" s="14" t="s">
        <v>1604</v>
      </c>
      <c r="C21" s="14" t="n">
        <f aca="false">COUNTIFS('Failure Worlds'!B7:B36,"REGION LOSS")</f>
        <v>6</v>
      </c>
      <c r="D21" s="14" t="n">
        <v>6</v>
      </c>
      <c r="E21" s="14" t="str">
        <f aca="false">IF(ABS(C21-D21)&lt;=Inputs!$B$23,"PASS","FAIL")</f>
        <v>PASS</v>
      </c>
      <c r="F21" s="4"/>
      <c r="G21" s="4"/>
      <c r="H21" s="4"/>
      <c r="I21" s="4"/>
      <c r="J21" s="4"/>
      <c r="K21" s="4"/>
      <c r="L21" s="4"/>
      <c r="M21" s="4"/>
      <c r="N21" s="4"/>
    </row>
    <row r="22" customFormat="false" ht="15" hidden="false" customHeight="false" outlineLevel="0" collapsed="false">
      <c r="A22" s="14" t="s">
        <v>1605</v>
      </c>
      <c r="B22" s="14" t="s">
        <v>1606</v>
      </c>
      <c r="C22" s="14" t="n">
        <f aca="false">COUNTIFS('Failure Worlds'!B7:B36,"ROLE COMPROMISE")</f>
        <v>3</v>
      </c>
      <c r="D22" s="14" t="n">
        <v>3</v>
      </c>
      <c r="E22" s="14" t="str">
        <f aca="false">IF(ABS(C22-D22)&lt;=Inputs!$B$23,"PASS","FAIL")</f>
        <v>PASS</v>
      </c>
      <c r="F22" s="4"/>
      <c r="G22" s="4"/>
      <c r="H22" s="4"/>
      <c r="I22" s="4"/>
      <c r="J22" s="4"/>
      <c r="K22" s="4"/>
      <c r="L22" s="4"/>
      <c r="M22" s="4"/>
      <c r="N22" s="4"/>
    </row>
    <row r="23" customFormat="false" ht="15" hidden="false" customHeight="false" outlineLevel="0" collapsed="false">
      <c r="A23" s="14" t="s">
        <v>1607</v>
      </c>
      <c r="B23" s="14" t="s">
        <v>1608</v>
      </c>
      <c r="C23" s="14" t="n">
        <f aca="false">SUM('Site Dockets'!I7:I24)</f>
        <v>6</v>
      </c>
      <c r="D23" s="14" t="n">
        <v>6</v>
      </c>
      <c r="E23" s="14" t="str">
        <f aca="false">IF(ABS(C23-D23)&lt;=Inputs!$B$23,"PASS","FAIL")</f>
        <v>PASS</v>
      </c>
      <c r="F23" s="4"/>
      <c r="G23" s="4"/>
      <c r="H23" s="4"/>
      <c r="I23" s="4"/>
      <c r="J23" s="4"/>
      <c r="K23" s="4"/>
      <c r="L23" s="4"/>
      <c r="M23" s="4"/>
      <c r="N23" s="4"/>
    </row>
    <row r="24" customFormat="false" ht="15" hidden="false" customHeight="false" outlineLevel="0" collapsed="false">
      <c r="A24" s="14" t="s">
        <v>1609</v>
      </c>
      <c r="B24" s="14" t="s">
        <v>1610</v>
      </c>
      <c r="C24" s="14" t="n">
        <f aca="false">COUNTIFS('Site Dockets'!C7:C24,"ET-A")</f>
        <v>3</v>
      </c>
      <c r="D24" s="14" t="n">
        <v>3</v>
      </c>
      <c r="E24" s="14" t="str">
        <f aca="false">IF(ABS(C24-D24)&lt;=Inputs!$B$23,"PASS","FAIL")</f>
        <v>PASS</v>
      </c>
      <c r="F24" s="4"/>
      <c r="G24" s="4"/>
      <c r="H24" s="4"/>
      <c r="I24" s="4"/>
      <c r="J24" s="4"/>
      <c r="K24" s="4"/>
      <c r="L24" s="4"/>
      <c r="M24" s="4"/>
      <c r="N24" s="4"/>
    </row>
    <row r="25" customFormat="false" ht="15" hidden="false" customHeight="false" outlineLevel="0" collapsed="false">
      <c r="A25" s="14" t="s">
        <v>1611</v>
      </c>
      <c r="B25" s="14" t="s">
        <v>1612</v>
      </c>
      <c r="C25" s="14" t="n">
        <f aca="false">COUNTIFS('Site Dockets'!E7:E24,"FD-A")</f>
        <v>3</v>
      </c>
      <c r="D25" s="14" t="n">
        <v>3</v>
      </c>
      <c r="E25" s="14" t="str">
        <f aca="false">IF(ABS(C25-D25)&lt;=Inputs!$B$23,"PASS","FAIL")</f>
        <v>PASS</v>
      </c>
      <c r="F25" s="4"/>
      <c r="G25" s="4"/>
      <c r="H25" s="4"/>
      <c r="I25" s="4"/>
      <c r="J25" s="4"/>
      <c r="K25" s="4"/>
      <c r="L25" s="4"/>
      <c r="M25" s="4"/>
      <c r="N25" s="4"/>
    </row>
    <row r="26" customFormat="false" ht="15" hidden="false" customHeight="false" outlineLevel="0" collapsed="false">
      <c r="A26" s="14" t="s">
        <v>1613</v>
      </c>
      <c r="B26" s="14" t="s">
        <v>1614</v>
      </c>
      <c r="C26" s="14" t="n">
        <f aca="false">COUNTIFS(Inputs!G72:G76,"SELECT")</f>
        <v>1</v>
      </c>
      <c r="D26" s="14" t="n">
        <v>1</v>
      </c>
      <c r="E26" s="14" t="str">
        <f aca="false">IF(ABS(C26-D26)&lt;=Inputs!$B$23,"PASS","FAIL")</f>
        <v>PASS</v>
      </c>
      <c r="F26" s="4"/>
      <c r="G26" s="4"/>
      <c r="H26" s="4"/>
      <c r="I26" s="4"/>
      <c r="J26" s="4"/>
      <c r="K26" s="4"/>
      <c r="L26" s="4"/>
      <c r="M26" s="4"/>
      <c r="N26" s="4"/>
    </row>
    <row r="27" customFormat="false" ht="15" hidden="false" customHeight="false" outlineLevel="0" collapsed="false">
      <c r="A27" s="14" t="s">
        <v>1615</v>
      </c>
      <c r="B27" s="14" t="s">
        <v>1616</v>
      </c>
      <c r="C27" s="14" t="n">
        <f aca="false">SUMIFS(Inputs!C72:C76,Inputs!G72:G76,"SELECT")</f>
        <v>18</v>
      </c>
      <c r="D27" s="14" t="n">
        <v>18</v>
      </c>
      <c r="E27" s="14" t="str">
        <f aca="false">IF(ABS(C27-D27)&lt;=Inputs!$B$23,"PASS","FAIL")</f>
        <v>PASS</v>
      </c>
      <c r="F27" s="4"/>
      <c r="G27" s="4"/>
      <c r="H27" s="4"/>
      <c r="I27" s="4"/>
      <c r="J27" s="4"/>
      <c r="K27" s="4"/>
      <c r="L27" s="4"/>
      <c r="M27" s="4"/>
      <c r="N27" s="4"/>
    </row>
    <row r="28" customFormat="false" ht="15" hidden="false" customHeight="false" outlineLevel="0" collapsed="false">
      <c r="A28" s="14" t="s">
        <v>1526</v>
      </c>
      <c r="B28" s="14" t="s">
        <v>242</v>
      </c>
      <c r="C28" s="14" t="n">
        <f aca="false">COUNTIFS('Failure Worlds'!J7:J36,"PASS")</f>
        <v>30</v>
      </c>
      <c r="D28" s="14" t="n">
        <v>30</v>
      </c>
      <c r="E28" s="14" t="str">
        <f aca="false">IF(ABS(C28-D28)&lt;=Inputs!$B$23,"PASS","FAIL")</f>
        <v>PASS</v>
      </c>
      <c r="F28" s="4"/>
      <c r="G28" s="4"/>
      <c r="H28" s="4"/>
      <c r="I28" s="4"/>
      <c r="J28" s="4"/>
      <c r="K28" s="4"/>
      <c r="L28" s="4"/>
      <c r="M28" s="4"/>
      <c r="N28" s="4"/>
    </row>
    <row r="29" customFormat="false" ht="15" hidden="false" customHeight="false" outlineLevel="0" collapsed="false">
      <c r="A29" s="14" t="s">
        <v>1617</v>
      </c>
      <c r="B29" s="14" t="s">
        <v>1618</v>
      </c>
      <c r="C29" s="14" t="n">
        <f aca="false">MIN('Failure Worlds'!H7:H36)</f>
        <v>5</v>
      </c>
      <c r="D29" s="14" t="n">
        <v>5</v>
      </c>
      <c r="E29" s="14" t="str">
        <f aca="false">IF(ABS(C29-D29)&lt;=Inputs!$B$23,"PASS","FAIL")</f>
        <v>PASS</v>
      </c>
      <c r="F29" s="4"/>
      <c r="G29" s="4"/>
      <c r="H29" s="4"/>
      <c r="I29" s="4"/>
      <c r="J29" s="4"/>
      <c r="K29" s="4"/>
      <c r="L29" s="4"/>
      <c r="M29" s="4"/>
      <c r="N29" s="4"/>
    </row>
    <row r="30" customFormat="false" ht="15" hidden="false" customHeight="false" outlineLevel="0" collapsed="false">
      <c r="A30" s="14" t="s">
        <v>1619</v>
      </c>
      <c r="B30" s="14" t="s">
        <v>1620</v>
      </c>
      <c r="C30" s="14" t="n">
        <f aca="false">COUNTIFS('Capacity Stress'!T7:T3246,"OFFLINE")</f>
        <v>216</v>
      </c>
      <c r="D30" s="14" t="n">
        <v>216</v>
      </c>
      <c r="E30" s="14" t="str">
        <f aca="false">IF(ABS(C30-D30)&lt;=Inputs!$B$23,"PASS","FAIL")</f>
        <v>PASS</v>
      </c>
      <c r="F30" s="4"/>
      <c r="G30" s="4"/>
      <c r="H30" s="4"/>
      <c r="I30" s="4"/>
      <c r="J30" s="4"/>
      <c r="K30" s="4"/>
      <c r="L30" s="4"/>
      <c r="M30" s="4"/>
      <c r="N30" s="4"/>
    </row>
    <row r="31" customFormat="false" ht="15" hidden="false" customHeight="false" outlineLevel="0" collapsed="false">
      <c r="A31" s="14" t="s">
        <v>1621</v>
      </c>
      <c r="B31" s="14" t="s">
        <v>1622</v>
      </c>
      <c r="C31" s="14" t="n">
        <f aca="false">COUNTIFS('Capacity Stress'!T7:T3246,"PASS")</f>
        <v>3024</v>
      </c>
      <c r="D31" s="14" t="n">
        <v>3024</v>
      </c>
      <c r="E31" s="14" t="str">
        <f aca="false">IF(ABS(C31-D31)&lt;=Inputs!$B$23,"PASS","FAIL")</f>
        <v>PASS</v>
      </c>
      <c r="F31" s="4"/>
      <c r="G31" s="4"/>
      <c r="H31" s="4"/>
      <c r="I31" s="4"/>
      <c r="J31" s="4"/>
      <c r="K31" s="4"/>
      <c r="L31" s="4"/>
      <c r="M31" s="4"/>
      <c r="N31" s="4"/>
    </row>
    <row r="32" customFormat="false" ht="15" hidden="false" customHeight="false" outlineLevel="0" collapsed="false">
      <c r="A32" s="14" t="s">
        <v>1623</v>
      </c>
      <c r="B32" s="14" t="s">
        <v>1624</v>
      </c>
      <c r="C32" s="14" t="n">
        <f aca="false">COUNTIFS('Commission Gates'!G7:G366,"OPEN")</f>
        <v>270</v>
      </c>
      <c r="D32" s="14" t="n">
        <v>270</v>
      </c>
      <c r="E32" s="14" t="str">
        <f aca="false">IF(ABS(C32-D32)&lt;=Inputs!$B$23,"PASS","FAIL")</f>
        <v>PASS</v>
      </c>
      <c r="F32" s="4"/>
      <c r="G32" s="4"/>
      <c r="H32" s="4"/>
      <c r="I32" s="4"/>
      <c r="J32" s="4"/>
      <c r="K32" s="4"/>
      <c r="L32" s="4"/>
      <c r="M32" s="4"/>
      <c r="N32" s="4"/>
    </row>
    <row r="33" customFormat="false" ht="15" hidden="false" customHeight="false" outlineLevel="0" collapsed="false">
      <c r="A33" s="14" t="s">
        <v>1625</v>
      </c>
      <c r="B33" s="14" t="s">
        <v>1626</v>
      </c>
      <c r="C33" s="14" t="n">
        <f aca="false">COUNTIFS('Commission Gates'!G7:G366,"PASS")</f>
        <v>90</v>
      </c>
      <c r="D33" s="14" t="n">
        <v>90</v>
      </c>
      <c r="E33" s="14" t="str">
        <f aca="false">IF(ABS(C33-D33)&lt;=Inputs!$B$23,"PASS","FAIL")</f>
        <v>PASS</v>
      </c>
      <c r="F33" s="4"/>
      <c r="G33" s="4"/>
      <c r="H33" s="4"/>
      <c r="I33" s="4"/>
      <c r="J33" s="4"/>
      <c r="K33" s="4"/>
      <c r="L33" s="4"/>
      <c r="M33" s="4"/>
      <c r="N33" s="4"/>
    </row>
    <row r="34" customFormat="false" ht="15" hidden="false" customHeight="false" outlineLevel="0" collapsed="false">
      <c r="A34" s="14" t="s">
        <v>1627</v>
      </c>
      <c r="B34" s="14" t="s">
        <v>1628</v>
      </c>
      <c r="C34" s="14" t="n">
        <f aca="false">COUNTIFS('Site Dockets'!S7:S24,"OPEN")</f>
        <v>18</v>
      </c>
      <c r="D34" s="14" t="n">
        <v>18</v>
      </c>
      <c r="E34" s="14" t="str">
        <f aca="false">IF(ABS(C34-D34)&lt;=Inputs!$B$23,"PASS","FAIL")</f>
        <v>PASS</v>
      </c>
      <c r="F34" s="4"/>
      <c r="G34" s="4"/>
      <c r="H34" s="4"/>
      <c r="I34" s="4"/>
      <c r="J34" s="4"/>
      <c r="K34" s="4"/>
      <c r="L34" s="4"/>
      <c r="M34" s="4"/>
      <c r="N34" s="4"/>
    </row>
    <row r="35" customFormat="false" ht="15" hidden="false" customHeight="false" outlineLevel="0" collapsed="false">
      <c r="A35" s="14" t="s">
        <v>1629</v>
      </c>
      <c r="B35" s="14" t="s">
        <v>1630</v>
      </c>
      <c r="C35" s="14" t="n">
        <f aca="false">COUNTIFS('Role Appointments'!J7:J102,"OPEN")</f>
        <v>96</v>
      </c>
      <c r="D35" s="14" t="n">
        <v>96</v>
      </c>
      <c r="E35" s="14" t="str">
        <f aca="false">IF(ABS(C35-D35)&lt;=Inputs!$B$23,"PASS","FAIL")</f>
        <v>PASS</v>
      </c>
      <c r="F35" s="4"/>
      <c r="G35" s="4"/>
      <c r="H35" s="4"/>
      <c r="I35" s="4"/>
      <c r="J35" s="4"/>
      <c r="K35" s="4"/>
      <c r="L35" s="4"/>
      <c r="M35" s="4"/>
      <c r="N35" s="4"/>
    </row>
    <row r="36" customFormat="false" ht="15" hidden="false" customHeight="false" outlineLevel="0" collapsed="false">
      <c r="A36" s="14" t="s">
        <v>1631</v>
      </c>
      <c r="B36" s="14" t="s">
        <v>1632</v>
      </c>
      <c r="C36" s="14" t="n">
        <f aca="false">COUNTIFS('Key Custody'!J7:J84,"OPEN")</f>
        <v>78</v>
      </c>
      <c r="D36" s="14" t="n">
        <v>78</v>
      </c>
      <c r="E36" s="14" t="str">
        <f aca="false">IF(ABS(C36-D36)&lt;=Inputs!$B$23,"PASS","FAIL")</f>
        <v>PASS</v>
      </c>
      <c r="F36" s="4"/>
      <c r="G36" s="4"/>
      <c r="H36" s="4"/>
      <c r="I36" s="4"/>
      <c r="J36" s="4"/>
      <c r="K36" s="4"/>
      <c r="L36" s="4"/>
      <c r="M36" s="4"/>
      <c r="N36" s="4"/>
    </row>
    <row r="37" customFormat="false" ht="15" hidden="false" customHeight="false" outlineLevel="0" collapsed="false">
      <c r="A37" s="14" t="s">
        <v>1633</v>
      </c>
      <c r="B37" s="14" t="s">
        <v>1634</v>
      </c>
      <c r="C37" s="14" t="n">
        <f aca="false">COUNTIFS('Vendor Lots'!M7:M78,"OPEN")</f>
        <v>72</v>
      </c>
      <c r="D37" s="14" t="n">
        <v>72</v>
      </c>
      <c r="E37" s="14" t="str">
        <f aca="false">IF(ABS(C37-D37)&lt;=Inputs!$B$23,"PASS","FAIL")</f>
        <v>PASS</v>
      </c>
      <c r="F37" s="4"/>
      <c r="G37" s="4"/>
      <c r="H37" s="4"/>
      <c r="I37" s="4"/>
      <c r="J37" s="4"/>
      <c r="K37" s="4"/>
      <c r="L37" s="4"/>
      <c r="M37" s="4"/>
      <c r="N37" s="4"/>
    </row>
    <row r="38" customFormat="false" ht="15" hidden="false" customHeight="false" outlineLevel="0" collapsed="false">
      <c r="A38" s="14" t="s">
        <v>1635</v>
      </c>
      <c r="B38" s="14" t="s">
        <v>1636</v>
      </c>
      <c r="C38" s="14" t="n">
        <f aca="false">COUNTIFS('Recovery Clocks'!J7:J186,"OPEN")</f>
        <v>180</v>
      </c>
      <c r="D38" s="14" t="n">
        <v>180</v>
      </c>
      <c r="E38" s="14" t="str">
        <f aca="false">IF(ABS(C38-D38)&lt;=Inputs!$B$23,"PASS","FAIL")</f>
        <v>PASS</v>
      </c>
      <c r="F38" s="4"/>
      <c r="G38" s="4"/>
      <c r="H38" s="4"/>
      <c r="I38" s="4"/>
      <c r="J38" s="4"/>
      <c r="K38" s="4"/>
      <c r="L38" s="4"/>
      <c r="M38" s="4"/>
      <c r="N38" s="4"/>
    </row>
    <row r="39" customFormat="false" ht="15" hidden="false" customHeight="false" outlineLevel="0" collapsed="false">
      <c r="A39" s="14" t="s">
        <v>1547</v>
      </c>
      <c r="B39" s="14" t="s">
        <v>1637</v>
      </c>
      <c r="C39" s="14" t="n">
        <f aca="false">Inputs!B26</f>
        <v>0</v>
      </c>
      <c r="D39" s="14" t="n">
        <v>0</v>
      </c>
      <c r="E39" s="14" t="str">
        <f aca="false">IF(ABS(C39-D39)&lt;=Inputs!$B$23,"PASS","FAIL")</f>
        <v>PASS</v>
      </c>
      <c r="F39" s="4"/>
      <c r="G39" s="4"/>
      <c r="H39" s="4"/>
      <c r="I39" s="4"/>
      <c r="J39" s="4"/>
      <c r="K39" s="4"/>
      <c r="L39" s="4"/>
      <c r="M39" s="4"/>
      <c r="N39" s="4"/>
    </row>
    <row r="40" customFormat="false" ht="15" hidden="false" customHeight="false" outlineLevel="0" collapsed="false">
      <c r="A40" s="14" t="s">
        <v>1638</v>
      </c>
      <c r="B40" s="14" t="s">
        <v>1639</v>
      </c>
      <c r="C40" s="14" t="n">
        <f aca="false">Inputs!B27</f>
        <v>0</v>
      </c>
      <c r="D40" s="14" t="n">
        <v>0</v>
      </c>
      <c r="E40" s="14" t="str">
        <f aca="false">IF(ABS(C40-D40)&lt;=Inputs!$B$23,"PASS","FAIL")</f>
        <v>PASS</v>
      </c>
      <c r="F40" s="4"/>
      <c r="G40" s="4"/>
      <c r="H40" s="4"/>
      <c r="I40" s="4"/>
      <c r="J40" s="4"/>
      <c r="K40" s="4"/>
      <c r="L40" s="4"/>
      <c r="M40" s="4"/>
      <c r="N40" s="4"/>
    </row>
    <row r="41" customFormat="false" ht="15" hidden="false" customHeight="false" outlineLevel="0" collapsed="false">
      <c r="A41" s="14" t="s">
        <v>1550</v>
      </c>
      <c r="B41" s="14" t="s">
        <v>1640</v>
      </c>
      <c r="C41" s="14" t="n">
        <f aca="false">Inputs!B28</f>
        <v>0</v>
      </c>
      <c r="D41" s="14" t="n">
        <v>0</v>
      </c>
      <c r="E41" s="14" t="str">
        <f aca="false">IF(ABS(C41-D41)&lt;=Inputs!$B$23,"PASS","FAIL")</f>
        <v>PASS</v>
      </c>
      <c r="F41" s="4"/>
      <c r="G41" s="4"/>
      <c r="H41" s="4"/>
      <c r="I41" s="4"/>
      <c r="J41" s="4"/>
      <c r="K41" s="4"/>
      <c r="L41" s="4"/>
      <c r="M41" s="4"/>
      <c r="N41" s="4"/>
    </row>
    <row r="42" customFormat="false" ht="15" hidden="false" customHeight="false" outlineLevel="0" collapsed="false">
      <c r="A42" s="14" t="s">
        <v>1553</v>
      </c>
      <c r="B42" s="14" t="s">
        <v>1641</v>
      </c>
      <c r="C42" s="14" t="n">
        <f aca="false">Inputs!B30</f>
        <v>0</v>
      </c>
      <c r="D42" s="14" t="n">
        <v>0</v>
      </c>
      <c r="E42" s="14" t="str">
        <f aca="false">IF(ABS(C42-D42)&lt;=Inputs!$B$23,"PASS","FAIL")</f>
        <v>PASS</v>
      </c>
      <c r="F42" s="4"/>
      <c r="G42" s="4"/>
      <c r="H42" s="4"/>
      <c r="I42" s="4"/>
      <c r="J42" s="4"/>
      <c r="K42" s="4"/>
      <c r="L42" s="4"/>
      <c r="M42" s="4"/>
      <c r="N42" s="4"/>
    </row>
    <row r="43" customFormat="false" ht="15" hidden="false" customHeight="false" outlineLevel="0" collapsed="false">
      <c r="A43" s="14" t="s">
        <v>1556</v>
      </c>
      <c r="B43" s="14" t="s">
        <v>1642</v>
      </c>
      <c r="C43" s="14" t="n">
        <f aca="false">Inputs!B31</f>
        <v>0</v>
      </c>
      <c r="D43" s="14" t="n">
        <v>0</v>
      </c>
      <c r="E43" s="14" t="str">
        <f aca="false">IF(ABS(C43-D43)&lt;=Inputs!$B$23,"PASS","FAIL")</f>
        <v>PASS</v>
      </c>
      <c r="F43" s="4"/>
      <c r="G43" s="4"/>
      <c r="H43" s="4"/>
      <c r="I43" s="4"/>
      <c r="J43" s="4"/>
      <c r="K43" s="4"/>
      <c r="L43" s="4"/>
      <c r="M43" s="4"/>
      <c r="N43" s="4"/>
    </row>
    <row r="44" customFormat="false" ht="15" hidden="false" customHeight="false" outlineLevel="0" collapsed="false">
      <c r="A44" s="14" t="s">
        <v>1559</v>
      </c>
      <c r="B44" s="14" t="s">
        <v>1643</v>
      </c>
      <c r="C44" s="14" t="n">
        <f aca="false">Inputs!B33</f>
        <v>0</v>
      </c>
      <c r="D44" s="14" t="n">
        <v>0</v>
      </c>
      <c r="E44" s="14" t="str">
        <f aca="false">IF(ABS(C44-D44)&lt;=Inputs!$B$23,"PASS","FAIL")</f>
        <v>PASS</v>
      </c>
      <c r="F44" s="4"/>
      <c r="G44" s="4"/>
      <c r="H44" s="4"/>
      <c r="I44" s="4"/>
      <c r="J44" s="4"/>
      <c r="K44" s="4"/>
      <c r="L44" s="4"/>
      <c r="M44" s="4"/>
      <c r="N44" s="4"/>
    </row>
    <row r="45" customFormat="false" ht="15" hidden="false" customHeight="false" outlineLevel="0" collapsed="false">
      <c r="A45" s="14" t="s">
        <v>1562</v>
      </c>
      <c r="B45" s="14" t="s">
        <v>1644</v>
      </c>
      <c r="C45" s="14" t="n">
        <f aca="false">Inputs!B34</f>
        <v>0</v>
      </c>
      <c r="D45" s="14" t="n">
        <v>0</v>
      </c>
      <c r="E45" s="14" t="str">
        <f aca="false">IF(ABS(C45-D45)&lt;=Inputs!$B$23,"PASS","FAIL")</f>
        <v>PASS</v>
      </c>
      <c r="F45" s="4"/>
      <c r="G45" s="4"/>
      <c r="H45" s="4"/>
      <c r="I45" s="4"/>
      <c r="J45" s="4"/>
      <c r="K45" s="4"/>
      <c r="L45" s="4"/>
      <c r="M45" s="4"/>
      <c r="N45" s="4"/>
    </row>
    <row r="46" customFormat="false" ht="15" hidden="false" customHeight="false" outlineLevel="0" collapsed="false">
      <c r="A46" s="14" t="s">
        <v>1645</v>
      </c>
      <c r="B46" s="14" t="s">
        <v>1646</v>
      </c>
      <c r="C46" s="14" t="n">
        <f aca="false">Inputs!B35</f>
        <v>0</v>
      </c>
      <c r="D46" s="14" t="n">
        <v>0</v>
      </c>
      <c r="E46" s="14" t="str">
        <f aca="false">IF(ABS(C46-D46)&lt;=Inputs!$B$23,"PASS","FAIL")</f>
        <v>PASS</v>
      </c>
      <c r="F46" s="4"/>
      <c r="G46" s="4"/>
      <c r="H46" s="4"/>
      <c r="I46" s="4"/>
      <c r="J46" s="4"/>
      <c r="K46" s="4"/>
      <c r="L46" s="4"/>
      <c r="M46" s="4"/>
      <c r="N46" s="4"/>
    </row>
    <row r="47" customFormat="false" ht="15" hidden="false" customHeight="false" outlineLevel="0" collapsed="false">
      <c r="A47" s="14" t="s">
        <v>1647</v>
      </c>
      <c r="B47" s="14" t="s">
        <v>1648</v>
      </c>
      <c r="C47" s="14" t="n">
        <f aca="false">Inputs!B36</f>
        <v>0</v>
      </c>
      <c r="D47" s="14" t="n">
        <v>0</v>
      </c>
      <c r="E47" s="14" t="str">
        <f aca="false">IF(ABS(C47-D47)&lt;=Inputs!$B$23,"PASS","FAIL")</f>
        <v>PASS</v>
      </c>
      <c r="F47" s="4"/>
      <c r="G47" s="4"/>
      <c r="H47" s="4"/>
      <c r="I47" s="4"/>
      <c r="J47" s="4"/>
      <c r="K47" s="4"/>
      <c r="L47" s="4"/>
      <c r="M47" s="4"/>
      <c r="N47" s="4"/>
    </row>
    <row r="48" customFormat="false" ht="15" hidden="false" customHeight="false" outlineLevel="0" collapsed="false">
      <c r="A48" s="14" t="s">
        <v>1565</v>
      </c>
      <c r="B48" s="14" t="s">
        <v>1649</v>
      </c>
      <c r="C48" s="14" t="n">
        <f aca="false">Inputs!B37</f>
        <v>0</v>
      </c>
      <c r="D48" s="14" t="n">
        <v>0</v>
      </c>
      <c r="E48" s="14" t="str">
        <f aca="false">IF(ABS(C48-D48)&lt;=Inputs!$B$23,"PASS","FAIL")</f>
        <v>PASS</v>
      </c>
      <c r="F48" s="4"/>
      <c r="G48" s="4"/>
      <c r="H48" s="4"/>
      <c r="I48" s="4"/>
      <c r="J48" s="4"/>
      <c r="K48" s="4"/>
      <c r="L48" s="4"/>
      <c r="M48" s="4"/>
      <c r="N48" s="4"/>
    </row>
    <row r="49" customFormat="false" ht="15" hidden="false" customHeight="false" outlineLevel="0" collapsed="false">
      <c r="A49" s="14" t="s">
        <v>1650</v>
      </c>
      <c r="B49" s="14" t="s">
        <v>1651</v>
      </c>
      <c r="C49" s="14" t="n">
        <f aca="false">Inputs!B38</f>
        <v>0</v>
      </c>
      <c r="D49" s="14" t="n">
        <v>0</v>
      </c>
      <c r="E49" s="14" t="str">
        <f aca="false">IF(ABS(C49-D49)&lt;=Inputs!$B$23,"PASS","FAIL")</f>
        <v>PASS</v>
      </c>
      <c r="F49" s="4"/>
      <c r="G49" s="4"/>
      <c r="H49" s="4"/>
      <c r="I49" s="4"/>
      <c r="J49" s="4"/>
      <c r="K49" s="4"/>
      <c r="L49" s="4"/>
      <c r="M49" s="4"/>
      <c r="N49" s="4"/>
    </row>
    <row r="50" customFormat="false" ht="15" hidden="false" customHeight="false" outlineLevel="0" collapsed="false">
      <c r="A50" s="14" t="s">
        <v>1652</v>
      </c>
      <c r="B50" s="14" t="s">
        <v>1653</v>
      </c>
      <c r="C50" s="14" t="n">
        <f aca="false">Inputs!B39</f>
        <v>0</v>
      </c>
      <c r="D50" s="14" t="n">
        <v>0</v>
      </c>
      <c r="E50" s="14" t="str">
        <f aca="false">IF(ABS(C50-D50)&lt;=Inputs!$B$23,"PASS","FAIL")</f>
        <v>PASS</v>
      </c>
      <c r="F50" s="4"/>
      <c r="G50" s="4"/>
      <c r="H50" s="4"/>
      <c r="I50" s="4"/>
      <c r="J50" s="4"/>
      <c r="K50" s="4"/>
      <c r="L50" s="4"/>
      <c r="M50" s="4"/>
      <c r="N50" s="4"/>
    </row>
    <row r="51" customFormat="false" ht="15" hidden="false" customHeight="false" outlineLevel="0" collapsed="false">
      <c r="A51" s="14" t="s">
        <v>1654</v>
      </c>
      <c r="B51" s="14" t="s">
        <v>1655</v>
      </c>
      <c r="C51" s="14" t="n">
        <f aca="false">Inputs!B40</f>
        <v>0</v>
      </c>
      <c r="D51" s="14" t="n">
        <v>0</v>
      </c>
      <c r="E51" s="14" t="str">
        <f aca="false">IF(ABS(C51-D51)&lt;=Inputs!$B$23,"PASS","FAIL")</f>
        <v>PASS</v>
      </c>
      <c r="F51" s="4"/>
      <c r="G51" s="4"/>
      <c r="H51" s="4"/>
      <c r="I51" s="4"/>
      <c r="J51" s="4"/>
      <c r="K51" s="4"/>
      <c r="L51" s="4"/>
      <c r="M51" s="4"/>
      <c r="N51" s="4"/>
    </row>
    <row r="52" customFormat="false" ht="15" hidden="false" customHeight="false" outlineLevel="0" collapsed="false">
      <c r="A52" s="14" t="s">
        <v>1656</v>
      </c>
      <c r="B52" s="14" t="s">
        <v>1657</v>
      </c>
      <c r="C52" s="14" t="n">
        <f aca="false">Inputs!B41</f>
        <v>0</v>
      </c>
      <c r="D52" s="14" t="n">
        <v>0</v>
      </c>
      <c r="E52" s="14" t="str">
        <f aca="false">IF(ABS(C52-D52)&lt;=Inputs!$B$23,"PASS","FAIL")</f>
        <v>PASS</v>
      </c>
      <c r="F52" s="4"/>
      <c r="G52" s="4"/>
      <c r="H52" s="4"/>
      <c r="I52" s="4"/>
      <c r="J52" s="4"/>
      <c r="K52" s="4"/>
      <c r="L52" s="4"/>
      <c r="M52" s="4"/>
      <c r="N52" s="4"/>
    </row>
    <row r="53" customFormat="false" ht="15" hidden="false" customHeight="false" outlineLevel="0" collapsed="false">
      <c r="A53" s="14" t="s">
        <v>1658</v>
      </c>
      <c r="B53" s="14" t="s">
        <v>1659</v>
      </c>
      <c r="C53" s="14" t="n">
        <f aca="false">Inputs!B42</f>
        <v>0</v>
      </c>
      <c r="D53" s="14" t="n">
        <v>0</v>
      </c>
      <c r="E53" s="14" t="str">
        <f aca="false">IF(ABS(C53-D53)&lt;=Inputs!$B$23,"PASS","FAIL")</f>
        <v>PASS</v>
      </c>
      <c r="F53" s="4"/>
      <c r="G53" s="4"/>
      <c r="H53" s="4"/>
      <c r="I53" s="4"/>
      <c r="J53" s="4"/>
      <c r="K53" s="4"/>
      <c r="L53" s="4"/>
      <c r="M53" s="4"/>
      <c r="N53" s="4"/>
    </row>
    <row r="54" customFormat="false" ht="15" hidden="false" customHeight="false" outlineLevel="0" collapsed="false">
      <c r="A54" s="14" t="s">
        <v>1660</v>
      </c>
      <c r="B54" s="14" t="s">
        <v>1661</v>
      </c>
      <c r="C54" s="14" t="n">
        <f aca="false">Inputs!B43</f>
        <v>0</v>
      </c>
      <c r="D54" s="14" t="n">
        <v>0</v>
      </c>
      <c r="E54" s="14" t="str">
        <f aca="false">IF(ABS(C54-D54)&lt;=Inputs!$B$23,"PASS","FAIL")</f>
        <v>PASS</v>
      </c>
      <c r="F54" s="4"/>
      <c r="G54" s="4"/>
      <c r="H54" s="4"/>
      <c r="I54" s="4"/>
      <c r="J54" s="4"/>
      <c r="K54" s="4"/>
      <c r="L54" s="4"/>
      <c r="M54" s="4"/>
      <c r="N54" s="4"/>
    </row>
    <row r="55" customFormat="false" ht="15" hidden="false" customHeight="false" outlineLevel="0" collapsed="false">
      <c r="A55" s="14" t="s">
        <v>1568</v>
      </c>
      <c r="B55" s="14" t="s">
        <v>1662</v>
      </c>
      <c r="C55" s="14" t="n">
        <f aca="false">SUM('Vendor Lots'!K7:K78)</f>
        <v>0</v>
      </c>
      <c r="D55" s="14" t="n">
        <v>0</v>
      </c>
      <c r="E55" s="14" t="str">
        <f aca="false">IF(ABS(C55-D55)&lt;=Inputs!$B$23,"PASS","FAIL")</f>
        <v>PASS</v>
      </c>
      <c r="F55" s="4"/>
      <c r="G55" s="4"/>
      <c r="H55" s="4"/>
      <c r="I55" s="4"/>
      <c r="J55" s="4"/>
      <c r="K55" s="4"/>
      <c r="L55" s="4"/>
      <c r="M55" s="4"/>
      <c r="N55" s="4"/>
    </row>
    <row r="56" customFormat="false" ht="15" hidden="false" customHeight="false" outlineLevel="0" collapsed="false">
      <c r="A56" s="14" t="s">
        <v>1571</v>
      </c>
      <c r="B56" s="14" t="s">
        <v>1663</v>
      </c>
      <c r="C56" s="14" t="n">
        <f aca="false">SUM('Role Appointments'!H7:H102)</f>
        <v>0</v>
      </c>
      <c r="D56" s="14" t="n">
        <v>0</v>
      </c>
      <c r="E56" s="14" t="str">
        <f aca="false">IF(ABS(C56-D56)&lt;=Inputs!$B$23,"PASS","FAIL")</f>
        <v>PASS</v>
      </c>
      <c r="F56" s="4"/>
      <c r="G56" s="4"/>
      <c r="H56" s="4"/>
      <c r="I56" s="4"/>
      <c r="J56" s="4"/>
      <c r="K56" s="4"/>
      <c r="L56" s="4"/>
      <c r="M56" s="4"/>
      <c r="N56" s="4"/>
    </row>
    <row r="57" customFormat="false" ht="15" hidden="false" customHeight="false" outlineLevel="0" collapsed="false">
      <c r="A57" s="14" t="s">
        <v>1664</v>
      </c>
      <c r="B57" s="14" t="s">
        <v>1665</v>
      </c>
      <c r="C57" s="14" t="n">
        <f aca="false">SUM(Inputs!B49:B54)</f>
        <v>540</v>
      </c>
      <c r="D57" s="14" t="n">
        <v>540</v>
      </c>
      <c r="E57" s="14" t="str">
        <f aca="false">IF(ABS(C57-D57)&lt;=Inputs!$B$23,"PASS","FAIL")</f>
        <v>PASS</v>
      </c>
      <c r="F57" s="4"/>
      <c r="G57" s="4"/>
      <c r="H57" s="4"/>
      <c r="I57" s="4"/>
      <c r="J57" s="4"/>
      <c r="K57" s="4"/>
      <c r="L57" s="4"/>
      <c r="M57" s="4"/>
      <c r="N57" s="4"/>
    </row>
    <row r="58" customFormat="false" ht="15" hidden="false" customHeight="false" outlineLevel="0" collapsed="false">
      <c r="A58" s="14" t="s">
        <v>1666</v>
      </c>
      <c r="B58" s="14" t="s">
        <v>1667</v>
      </c>
      <c r="C58" s="14" t="n">
        <f aca="false">SUMPRODUCT(Inputs!B49:B54,Inputs!D49:D54)</f>
        <v>378</v>
      </c>
      <c r="D58" s="14" t="n">
        <v>378</v>
      </c>
      <c r="E58" s="14" t="str">
        <f aca="false">IF(ABS(C58-D58)&lt;=Inputs!$B$23,"PASS","FAIL")</f>
        <v>PASS</v>
      </c>
      <c r="F58" s="4"/>
      <c r="G58" s="4"/>
      <c r="H58" s="4"/>
      <c r="I58" s="4"/>
      <c r="J58" s="4"/>
      <c r="K58" s="4"/>
      <c r="L58" s="4"/>
      <c r="M58" s="4"/>
      <c r="N58" s="4"/>
    </row>
    <row r="59" customFormat="false" ht="15" hidden="false" customHeight="false" outlineLevel="0" collapsed="false">
      <c r="A59" s="14" t="s">
        <v>1668</v>
      </c>
      <c r="B59" s="14" t="s">
        <v>1669</v>
      </c>
      <c r="C59" s="14" t="n">
        <f aca="false">SUM(Inputs!B49:B54)-SUMPRODUCT(Inputs!B49:B54,Inputs!D49:D54)</f>
        <v>162</v>
      </c>
      <c r="D59" s="14" t="n">
        <v>162</v>
      </c>
      <c r="E59" s="14" t="str">
        <f aca="false">IF(ABS(C59-D59)&lt;=Inputs!$B$23,"PASS","FAIL")</f>
        <v>PASS</v>
      </c>
      <c r="F59" s="4"/>
      <c r="G59" s="4"/>
      <c r="H59" s="4"/>
      <c r="I59" s="4"/>
      <c r="J59" s="4"/>
      <c r="K59" s="4"/>
      <c r="L59" s="4"/>
      <c r="M59" s="4"/>
      <c r="N59" s="4"/>
    </row>
    <row r="60" customFormat="false" ht="15" hidden="false" customHeight="false" outlineLevel="0" collapsed="false">
      <c r="A60" s="14" t="s">
        <v>1670</v>
      </c>
      <c r="B60" s="14" t="s">
        <v>1671</v>
      </c>
      <c r="C60" s="14" t="n">
        <f aca="false">SUM(Inputs!B58:B59)</f>
        <v>41.254333</v>
      </c>
      <c r="D60" s="14" t="n">
        <v>41.254333</v>
      </c>
      <c r="E60" s="14" t="str">
        <f aca="false">IF(ABS(C60-D60)&lt;=Inputs!$B$23,"PASS","FAIL")</f>
        <v>PASS</v>
      </c>
      <c r="F60" s="4"/>
      <c r="G60" s="4"/>
      <c r="H60" s="4"/>
      <c r="I60" s="4"/>
      <c r="J60" s="4"/>
      <c r="K60" s="4"/>
      <c r="L60" s="4"/>
      <c r="M60" s="4"/>
      <c r="N60" s="4"/>
    </row>
    <row r="61" customFormat="false" ht="15" hidden="false" customHeight="false" outlineLevel="0" collapsed="false">
      <c r="A61" s="14" t="s">
        <v>1672</v>
      </c>
      <c r="B61" s="14" t="s">
        <v>1673</v>
      </c>
      <c r="C61" s="14" t="n">
        <f aca="false">COUNTA('State Law'!A7:A18)</f>
        <v>12</v>
      </c>
      <c r="D61" s="14" t="n">
        <v>12</v>
      </c>
      <c r="E61" s="14" t="str">
        <f aca="false">IF(ABS(C61-D61)&lt;=Inputs!$B$23,"PASS","FAIL")</f>
        <v>PASS</v>
      </c>
      <c r="F61" s="4"/>
      <c r="G61" s="4"/>
      <c r="H61" s="4"/>
      <c r="I61" s="4"/>
      <c r="J61" s="4"/>
      <c r="K61" s="4"/>
      <c r="L61" s="4"/>
      <c r="M61" s="4"/>
      <c r="N61" s="4"/>
    </row>
    <row r="62" customFormat="false" ht="15" hidden="false" customHeight="false" outlineLevel="0" collapsed="false">
      <c r="A62" s="14" t="s">
        <v>1674</v>
      </c>
      <c r="B62" s="14" t="s">
        <v>1675</v>
      </c>
      <c r="C62" s="14" t="n">
        <f aca="false">COUNTA('State Law'!A23:A38)</f>
        <v>16</v>
      </c>
      <c r="D62" s="14" t="n">
        <v>16</v>
      </c>
      <c r="E62" s="14" t="str">
        <f aca="false">IF(ABS(C62-D62)&lt;=Inputs!$B$23,"PASS","FAIL")</f>
        <v>PASS</v>
      </c>
      <c r="F62" s="4"/>
      <c r="G62" s="4"/>
      <c r="H62" s="4"/>
      <c r="I62" s="4"/>
      <c r="J62" s="4"/>
      <c r="K62" s="4"/>
      <c r="L62" s="4"/>
      <c r="M62" s="4"/>
      <c r="N62" s="4"/>
    </row>
    <row r="63" customFormat="false" ht="15" hidden="false" customHeight="false" outlineLevel="0" collapsed="false">
      <c r="A63" s="14" t="s">
        <v>1676</v>
      </c>
      <c r="B63" s="14" t="s">
        <v>1677</v>
      </c>
      <c r="C63" s="14" t="n">
        <f aca="false">COUNTA('Warrant Stack'!A7:A18)</f>
        <v>12</v>
      </c>
      <c r="D63" s="14" t="n">
        <v>12</v>
      </c>
      <c r="E63" s="14" t="str">
        <f aca="false">IF(ABS(C63-D63)&lt;=Inputs!$B$23,"PASS","FAIL")</f>
        <v>PASS</v>
      </c>
      <c r="F63" s="4"/>
      <c r="G63" s="4"/>
      <c r="H63" s="4"/>
      <c r="I63" s="4"/>
      <c r="J63" s="4"/>
      <c r="K63" s="4"/>
      <c r="L63" s="4"/>
      <c r="M63" s="4"/>
      <c r="N63" s="4"/>
    </row>
    <row r="64" customFormat="false" ht="15" hidden="false" customHeight="false" outlineLevel="0" collapsed="false">
      <c r="A64" s="14" t="s">
        <v>1678</v>
      </c>
      <c r="B64" s="14" t="s">
        <v>1679</v>
      </c>
      <c r="C64" s="14" t="n">
        <f aca="false">SUM('Warrant Stack'!H7:H18)</f>
        <v>0</v>
      </c>
      <c r="D64" s="14" t="n">
        <v>0</v>
      </c>
      <c r="E64" s="14" t="str">
        <f aca="false">IF(ABS(C64-D64)&lt;=Inputs!$B$23,"PASS","FAIL")</f>
        <v>PASS</v>
      </c>
      <c r="F64" s="4"/>
      <c r="G64" s="4"/>
      <c r="H64" s="4"/>
      <c r="I64" s="4"/>
      <c r="J64" s="4"/>
      <c r="K64" s="4"/>
      <c r="L64" s="4"/>
      <c r="M64" s="4"/>
      <c r="N64" s="4"/>
    </row>
    <row r="65" customFormat="false" ht="15" hidden="false" customHeight="false" outlineLevel="0" collapsed="false">
      <c r="A65" s="14" t="s">
        <v>1680</v>
      </c>
      <c r="B65" s="14" t="s">
        <v>1681</v>
      </c>
      <c r="C65" s="14" t="n">
        <f aca="false">COUNTIFS('Key Custody'!E7:E84,"Court share")</f>
        <v>18</v>
      </c>
      <c r="D65" s="14" t="n">
        <v>18</v>
      </c>
      <c r="E65" s="14" t="str">
        <f aca="false">IF(ABS(C65-D65)&lt;=Inputs!$B$23,"PASS","FAIL")</f>
        <v>PASS</v>
      </c>
      <c r="F65" s="4"/>
      <c r="G65" s="4"/>
      <c r="H65" s="4"/>
      <c r="I65" s="4"/>
      <c r="J65" s="4"/>
      <c r="K65" s="4"/>
      <c r="L65" s="4"/>
      <c r="M65" s="4"/>
      <c r="N65" s="4"/>
    </row>
    <row r="66" customFormat="false" ht="15" hidden="false" customHeight="false" outlineLevel="0" collapsed="false">
      <c r="A66" s="14" t="s">
        <v>1682</v>
      </c>
      <c r="B66" s="14" t="s">
        <v>1683</v>
      </c>
      <c r="C66" s="14" t="n">
        <f aca="false">COUNTIFS('Key Custody'!E7:E84,"Exchange share")</f>
        <v>6</v>
      </c>
      <c r="D66" s="14" t="n">
        <v>6</v>
      </c>
      <c r="E66" s="14" t="str">
        <f aca="false">IF(ABS(C66-D66)&lt;=Inputs!$B$23,"PASS","FAIL")</f>
        <v>PASS</v>
      </c>
      <c r="F66" s="4"/>
      <c r="G66" s="4"/>
      <c r="H66" s="4"/>
      <c r="I66" s="4"/>
      <c r="J66" s="4"/>
      <c r="K66" s="4"/>
      <c r="L66" s="4"/>
      <c r="M66" s="4"/>
      <c r="N66" s="4"/>
    </row>
    <row r="67" customFormat="false" ht="15" hidden="false" customHeight="false" outlineLevel="0" collapsed="false">
      <c r="A67" s="14" t="s">
        <v>1533</v>
      </c>
      <c r="B67" s="14" t="s">
        <v>1684</v>
      </c>
      <c r="C67" s="14" t="n">
        <f aca="false">Inputs!B14</f>
        <v>10</v>
      </c>
      <c r="D67" s="14" t="n">
        <v>10</v>
      </c>
      <c r="E67" s="14" t="str">
        <f aca="false">IF(ABS(C67-D67)&lt;=Inputs!$B$23,"PASS","FAIL")</f>
        <v>PASS</v>
      </c>
      <c r="F67" s="4"/>
      <c r="G67" s="4"/>
      <c r="H67" s="4"/>
      <c r="I67" s="4"/>
      <c r="J67" s="4"/>
      <c r="K67" s="4"/>
      <c r="L67" s="4"/>
      <c r="M67" s="4"/>
      <c r="N67" s="4"/>
    </row>
    <row r="68" customFormat="false" ht="15" hidden="false" customHeight="false" outlineLevel="0" collapsed="false">
      <c r="A68" s="14" t="s">
        <v>1541</v>
      </c>
      <c r="B68" s="14" t="s">
        <v>1685</v>
      </c>
      <c r="C68" s="14" t="n">
        <f aca="false">Inputs!B17</f>
        <v>6</v>
      </c>
      <c r="D68" s="14" t="n">
        <v>6</v>
      </c>
      <c r="E68" s="14" t="str">
        <f aca="false">IF(ABS(C68-D68)&lt;=Inputs!$B$23,"PASS","FAIL")</f>
        <v>PASS</v>
      </c>
      <c r="F68" s="4"/>
      <c r="G68" s="4"/>
      <c r="H68" s="4"/>
      <c r="I68" s="4"/>
      <c r="J68" s="4"/>
      <c r="K68" s="4"/>
      <c r="L68" s="4"/>
      <c r="M68" s="4"/>
      <c r="N68" s="4"/>
    </row>
    <row r="69" customFormat="false" ht="15" hidden="false" customHeight="false" outlineLevel="0" collapsed="false">
      <c r="A69" s="14" t="s">
        <v>1544</v>
      </c>
      <c r="B69" s="14" t="s">
        <v>1686</v>
      </c>
      <c r="C69" s="14" t="n">
        <f aca="false">Inputs!B18</f>
        <v>20</v>
      </c>
      <c r="D69" s="14" t="n">
        <v>20</v>
      </c>
      <c r="E69" s="14" t="str">
        <f aca="false">IF(ABS(C69-D69)&lt;=Inputs!$B$23,"PASS","FAIL")</f>
        <v>PASS</v>
      </c>
      <c r="F69" s="4"/>
      <c r="G69" s="4"/>
      <c r="H69" s="4"/>
      <c r="I69" s="4"/>
      <c r="J69" s="4"/>
      <c r="K69" s="4"/>
      <c r="L69" s="4"/>
      <c r="M69" s="4"/>
      <c r="N69" s="4"/>
    </row>
    <row r="70" customFormat="false" ht="15" hidden="false" customHeight="false" outlineLevel="0" collapsed="false">
      <c r="A70" s="14" t="s">
        <v>1687</v>
      </c>
      <c r="B70" s="14" t="s">
        <v>1688</v>
      </c>
      <c r="C70" s="14" t="n">
        <f aca="false">COUNTIFS('Recovery Clocks'!J7:J186,"PASS")</f>
        <v>0</v>
      </c>
      <c r="D70" s="14" t="n">
        <v>0</v>
      </c>
      <c r="E70" s="14" t="str">
        <f aca="false">IF(ABS(C70-D70)&lt;=Inputs!$B$23,"PASS","FAIL")</f>
        <v>PASS</v>
      </c>
      <c r="F70" s="4"/>
      <c r="G70" s="4"/>
      <c r="H70" s="4"/>
      <c r="I70" s="4"/>
      <c r="J70" s="4"/>
      <c r="K70" s="4"/>
      <c r="L70" s="4"/>
      <c r="M70" s="4"/>
      <c r="N70" s="4"/>
    </row>
    <row r="71" customFormat="false" ht="15" hidden="false" customHeight="false" outlineLevel="0" collapsed="false">
      <c r="A71" s="14" t="s">
        <v>1689</v>
      </c>
      <c r="B71" s="14" t="s">
        <v>1690</v>
      </c>
      <c r="C71" s="14" t="n">
        <f aca="false">SUM('Recovery Clocks'!K7:K186)</f>
        <v>0</v>
      </c>
      <c r="D71" s="14" t="n">
        <v>0</v>
      </c>
      <c r="E71" s="14" t="str">
        <f aca="false">IF(ABS(C71-D71)&lt;=Inputs!$B$23,"PASS","FAIL")</f>
        <v>PASS</v>
      </c>
      <c r="F71" s="4"/>
      <c r="G71" s="4"/>
      <c r="H71" s="4"/>
      <c r="I71" s="4"/>
      <c r="J71" s="4"/>
      <c r="K71" s="4"/>
      <c r="L71" s="4"/>
      <c r="M71" s="4"/>
      <c r="N71" s="4"/>
    </row>
  </sheetData>
  <mergeCells count="2">
    <mergeCell ref="A2:N2"/>
    <mergeCell ref="A4:N4"/>
  </mergeCells>
  <conditionalFormatting sqref="E7:E71">
    <cfRule type="containsText" priority="2" operator="containsText" aboveAverage="0" equalAverage="0" bottom="0" percent="0" rank="0" text="FAIL" dxfId="2">
      <formula>NOT(ISERROR(SEARCH("FAIL",E7)))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5"/>
  </cols>
  <sheetData>
    <row r="1" customFormat="false" ht="15" hidden="false" customHeight="false" outlineLevel="0" collapsed="false">
      <c r="A1" s="25"/>
      <c r="B1" s="25"/>
      <c r="C1" s="25"/>
      <c r="D1" s="25"/>
      <c r="E1" s="25"/>
      <c r="F1" s="25"/>
      <c r="G1" s="4"/>
      <c r="H1" s="4"/>
      <c r="I1" s="4"/>
      <c r="J1" s="4"/>
      <c r="K1" s="4"/>
      <c r="L1" s="4"/>
      <c r="M1" s="4"/>
      <c r="N1" s="4"/>
    </row>
    <row r="2" customFormat="false" ht="18.55" hidden="false" customHeight="false" outlineLevel="0" collapsed="false">
      <c r="A2" s="1" t="s">
        <v>1691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1692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5" t="s">
        <v>1693</v>
      </c>
      <c r="B6" s="5" t="s">
        <v>1693</v>
      </c>
      <c r="C6" s="5" t="s">
        <v>1693</v>
      </c>
      <c r="D6" s="5" t="s">
        <v>1693</v>
      </c>
      <c r="E6" s="5" t="s">
        <v>1693</v>
      </c>
      <c r="F6" s="5" t="s">
        <v>1693</v>
      </c>
      <c r="G6" s="4"/>
      <c r="H6" s="4"/>
      <c r="I6" s="4"/>
      <c r="J6" s="4"/>
      <c r="K6" s="4"/>
      <c r="L6" s="4"/>
      <c r="M6" s="4"/>
      <c r="N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customFormat="false" ht="34" hidden="false" customHeight="true" outlineLevel="0" collapsed="false">
      <c r="A8" s="14" t="s">
        <v>1694</v>
      </c>
      <c r="B8" s="14"/>
      <c r="C8" s="14"/>
      <c r="D8" s="14"/>
      <c r="E8" s="14"/>
      <c r="F8" s="14"/>
      <c r="G8" s="4"/>
      <c r="H8" s="4"/>
      <c r="I8" s="4"/>
      <c r="J8" s="4"/>
      <c r="K8" s="4"/>
      <c r="L8" s="4"/>
      <c r="M8" s="4"/>
      <c r="N8" s="4"/>
    </row>
    <row r="9" customFormat="false" ht="34" hidden="false" customHeight="true" outlineLevel="0" collapsed="false">
      <c r="A9" s="14" t="s">
        <v>1695</v>
      </c>
      <c r="B9" s="14"/>
      <c r="C9" s="14"/>
      <c r="D9" s="14"/>
      <c r="E9" s="14"/>
      <c r="F9" s="14"/>
      <c r="G9" s="4"/>
      <c r="H9" s="4"/>
      <c r="I9" s="4"/>
      <c r="J9" s="4"/>
      <c r="K9" s="4"/>
      <c r="L9" s="4"/>
      <c r="M9" s="4"/>
      <c r="N9" s="4"/>
    </row>
    <row r="10" customFormat="false" ht="34" hidden="false" customHeight="true" outlineLevel="0" collapsed="false">
      <c r="A10" s="14" t="s">
        <v>1696</v>
      </c>
      <c r="B10" s="14"/>
      <c r="C10" s="14"/>
      <c r="D10" s="14"/>
      <c r="E10" s="14"/>
      <c r="F10" s="14"/>
      <c r="G10" s="4"/>
      <c r="H10" s="4"/>
      <c r="I10" s="4"/>
      <c r="J10" s="4"/>
      <c r="K10" s="4"/>
      <c r="L10" s="4"/>
      <c r="M10" s="4"/>
      <c r="N10" s="4"/>
    </row>
    <row r="11" customFormat="false" ht="34" hidden="false" customHeight="true" outlineLevel="0" collapsed="false">
      <c r="A11" s="14" t="s">
        <v>1697</v>
      </c>
      <c r="B11" s="14"/>
      <c r="C11" s="14"/>
      <c r="D11" s="14"/>
      <c r="E11" s="14"/>
      <c r="F11" s="14"/>
      <c r="G11" s="4"/>
      <c r="H11" s="4"/>
      <c r="I11" s="4"/>
      <c r="J11" s="4"/>
      <c r="K11" s="4"/>
      <c r="L11" s="4"/>
      <c r="M11" s="4"/>
      <c r="N11" s="4"/>
    </row>
    <row r="12" customFormat="false" ht="34" hidden="false" customHeight="true" outlineLevel="0" collapsed="false">
      <c r="A12" s="14" t="s">
        <v>1698</v>
      </c>
      <c r="B12" s="14"/>
      <c r="C12" s="14"/>
      <c r="D12" s="14"/>
      <c r="E12" s="14"/>
      <c r="F12" s="14"/>
      <c r="G12" s="4"/>
      <c r="H12" s="4"/>
      <c r="I12" s="4"/>
      <c r="J12" s="4"/>
      <c r="K12" s="4"/>
      <c r="L12" s="4"/>
      <c r="M12" s="4"/>
      <c r="N12" s="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4"/>
      <c r="H13" s="4"/>
      <c r="I13" s="4"/>
      <c r="J13" s="4"/>
      <c r="K13" s="4"/>
      <c r="L13" s="4"/>
      <c r="M13" s="4"/>
      <c r="N13" s="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4"/>
      <c r="H14" s="4"/>
      <c r="I14" s="4"/>
      <c r="J14" s="4"/>
      <c r="K14" s="4"/>
      <c r="L14" s="4"/>
      <c r="M14" s="4"/>
      <c r="N14" s="4"/>
    </row>
    <row r="15" customFormat="false" ht="15" hidden="false" customHeight="false" outlineLevel="0" collapsed="false">
      <c r="A15" s="18" t="s">
        <v>1699</v>
      </c>
      <c r="B15" s="18" t="s">
        <v>1699</v>
      </c>
      <c r="C15" s="18" t="s">
        <v>1699</v>
      </c>
      <c r="D15" s="18" t="s">
        <v>1699</v>
      </c>
      <c r="E15" s="18" t="s">
        <v>1699</v>
      </c>
      <c r="F15" s="18" t="s">
        <v>1699</v>
      </c>
      <c r="G15" s="4"/>
      <c r="H15" s="4"/>
      <c r="I15" s="4"/>
      <c r="J15" s="4"/>
      <c r="K15" s="4"/>
      <c r="L15" s="4"/>
      <c r="M15" s="4"/>
      <c r="N15" s="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4"/>
      <c r="H16" s="4"/>
      <c r="I16" s="4"/>
      <c r="J16" s="4"/>
      <c r="K16" s="4"/>
      <c r="L16" s="4"/>
      <c r="M16" s="4"/>
      <c r="N16" s="4"/>
    </row>
    <row r="17" customFormat="false" ht="34" hidden="false" customHeight="true" outlineLevel="0" collapsed="false">
      <c r="A17" s="14" t="s">
        <v>1700</v>
      </c>
      <c r="B17" s="14"/>
      <c r="C17" s="14"/>
      <c r="D17" s="14"/>
      <c r="E17" s="14"/>
      <c r="F17" s="14"/>
      <c r="G17" s="4"/>
      <c r="H17" s="4"/>
      <c r="I17" s="4"/>
      <c r="J17" s="4"/>
      <c r="K17" s="4"/>
      <c r="L17" s="4"/>
      <c r="M17" s="4"/>
      <c r="N17" s="4"/>
    </row>
    <row r="18" customFormat="false" ht="34" hidden="false" customHeight="true" outlineLevel="0" collapsed="false">
      <c r="A18" s="14" t="s">
        <v>1701</v>
      </c>
      <c r="B18" s="14"/>
      <c r="C18" s="14"/>
      <c r="D18" s="14"/>
      <c r="E18" s="14"/>
      <c r="F18" s="14"/>
      <c r="G18" s="4"/>
      <c r="H18" s="4"/>
      <c r="I18" s="4"/>
      <c r="J18" s="4"/>
      <c r="K18" s="4"/>
      <c r="L18" s="4"/>
      <c r="M18" s="4"/>
      <c r="N18" s="4"/>
    </row>
    <row r="19" customFormat="false" ht="34" hidden="false" customHeight="true" outlineLevel="0" collapsed="false">
      <c r="A19" s="14" t="s">
        <v>1702</v>
      </c>
      <c r="B19" s="14"/>
      <c r="C19" s="14"/>
      <c r="D19" s="14"/>
      <c r="E19" s="14"/>
      <c r="F19" s="14"/>
      <c r="G19" s="4"/>
      <c r="H19" s="4"/>
      <c r="I19" s="4"/>
      <c r="J19" s="4"/>
      <c r="K19" s="4"/>
      <c r="L19" s="4"/>
      <c r="M19" s="4"/>
      <c r="N19" s="4"/>
    </row>
    <row r="20" customFormat="false" ht="34" hidden="false" customHeight="true" outlineLevel="0" collapsed="false">
      <c r="A20" s="14" t="s">
        <v>1703</v>
      </c>
      <c r="B20" s="14"/>
      <c r="C20" s="14"/>
      <c r="D20" s="14"/>
      <c r="E20" s="14"/>
      <c r="F20" s="14"/>
      <c r="G20" s="4"/>
      <c r="H20" s="4"/>
      <c r="I20" s="4"/>
      <c r="J20" s="4"/>
      <c r="K20" s="4"/>
      <c r="L20" s="4"/>
      <c r="M20" s="4"/>
      <c r="N20" s="4"/>
    </row>
    <row r="21" customFormat="false" ht="34" hidden="false" customHeight="true" outlineLevel="0" collapsed="false">
      <c r="A21" s="14" t="s">
        <v>1704</v>
      </c>
      <c r="B21" s="14"/>
      <c r="C21" s="14"/>
      <c r="D21" s="14"/>
      <c r="E21" s="14"/>
      <c r="F21" s="14"/>
      <c r="G21" s="4"/>
      <c r="H21" s="4"/>
      <c r="I21" s="4"/>
      <c r="J21" s="4"/>
      <c r="K21" s="4"/>
      <c r="L21" s="4"/>
      <c r="M21" s="4"/>
      <c r="N21" s="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4"/>
      <c r="H22" s="4"/>
      <c r="I22" s="4"/>
      <c r="J22" s="4"/>
      <c r="K22" s="4"/>
      <c r="L22" s="4"/>
      <c r="M22" s="4"/>
      <c r="N22" s="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4"/>
      <c r="H23" s="4"/>
      <c r="I23" s="4"/>
      <c r="J23" s="4"/>
      <c r="K23" s="4"/>
      <c r="L23" s="4"/>
      <c r="M23" s="4"/>
      <c r="N23" s="4"/>
    </row>
    <row r="24" customFormat="false" ht="15" hidden="false" customHeight="false" outlineLevel="0" collapsed="false">
      <c r="A24" s="18" t="s">
        <v>1705</v>
      </c>
      <c r="B24" s="18" t="s">
        <v>1705</v>
      </c>
      <c r="C24" s="18" t="s">
        <v>1705</v>
      </c>
      <c r="D24" s="18" t="s">
        <v>1705</v>
      </c>
      <c r="E24" s="18" t="s">
        <v>1705</v>
      </c>
      <c r="F24" s="18" t="s">
        <v>1705</v>
      </c>
      <c r="G24" s="4"/>
      <c r="H24" s="4"/>
      <c r="I24" s="4"/>
      <c r="J24" s="4"/>
      <c r="K24" s="4"/>
      <c r="L24" s="4"/>
      <c r="M24" s="4"/>
      <c r="N24" s="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4"/>
      <c r="H25" s="4"/>
      <c r="I25" s="4"/>
      <c r="J25" s="4"/>
      <c r="K25" s="4"/>
      <c r="L25" s="4"/>
      <c r="M25" s="4"/>
      <c r="N25" s="4"/>
    </row>
    <row r="26" customFormat="false" ht="34" hidden="false" customHeight="true" outlineLevel="0" collapsed="false">
      <c r="A26" s="14" t="s">
        <v>1706</v>
      </c>
      <c r="B26" s="14"/>
      <c r="C26" s="14"/>
      <c r="D26" s="14"/>
      <c r="E26" s="14"/>
      <c r="F26" s="14"/>
      <c r="G26" s="4"/>
      <c r="H26" s="4"/>
      <c r="I26" s="4"/>
      <c r="J26" s="4"/>
      <c r="K26" s="4"/>
      <c r="L26" s="4"/>
      <c r="M26" s="4"/>
      <c r="N26" s="4"/>
    </row>
    <row r="27" customFormat="false" ht="34" hidden="false" customHeight="true" outlineLevel="0" collapsed="false">
      <c r="A27" s="14" t="s">
        <v>1707</v>
      </c>
      <c r="B27" s="14"/>
      <c r="C27" s="14"/>
      <c r="D27" s="14"/>
      <c r="E27" s="14"/>
      <c r="F27" s="14"/>
      <c r="G27" s="4"/>
      <c r="H27" s="4"/>
      <c r="I27" s="4"/>
      <c r="J27" s="4"/>
      <c r="K27" s="4"/>
      <c r="L27" s="4"/>
      <c r="M27" s="4"/>
      <c r="N27" s="4"/>
    </row>
    <row r="28" customFormat="false" ht="34" hidden="false" customHeight="true" outlineLevel="0" collapsed="false">
      <c r="A28" s="14" t="s">
        <v>1708</v>
      </c>
      <c r="B28" s="14"/>
      <c r="C28" s="14"/>
      <c r="D28" s="14"/>
      <c r="E28" s="14"/>
      <c r="F28" s="14"/>
      <c r="G28" s="4"/>
      <c r="H28" s="4"/>
      <c r="I28" s="4"/>
      <c r="J28" s="4"/>
      <c r="K28" s="4"/>
      <c r="L28" s="4"/>
      <c r="M28" s="4"/>
      <c r="N28" s="4"/>
    </row>
    <row r="29" customFormat="false" ht="34" hidden="false" customHeight="true" outlineLevel="0" collapsed="false">
      <c r="A29" s="14" t="s">
        <v>1709</v>
      </c>
      <c r="B29" s="14"/>
      <c r="C29" s="14"/>
      <c r="D29" s="14"/>
      <c r="E29" s="14"/>
      <c r="F29" s="14"/>
      <c r="G29" s="4"/>
      <c r="H29" s="4"/>
      <c r="I29" s="4"/>
      <c r="J29" s="4"/>
      <c r="K29" s="4"/>
      <c r="L29" s="4"/>
      <c r="M29" s="4"/>
      <c r="N29" s="4"/>
    </row>
    <row r="30" customFormat="false" ht="34" hidden="false" customHeight="true" outlineLevel="0" collapsed="false">
      <c r="A30" s="14" t="s">
        <v>1710</v>
      </c>
      <c r="B30" s="14"/>
      <c r="C30" s="14"/>
      <c r="D30" s="14"/>
      <c r="E30" s="14"/>
      <c r="F30" s="14"/>
      <c r="G30" s="4"/>
      <c r="H30" s="4"/>
      <c r="I30" s="4"/>
      <c r="J30" s="4"/>
      <c r="K30" s="4"/>
      <c r="L30" s="4"/>
      <c r="M30" s="4"/>
      <c r="N30" s="4"/>
    </row>
  </sheetData>
  <mergeCells count="20">
    <mergeCell ref="A2:N2"/>
    <mergeCell ref="A4:N4"/>
    <mergeCell ref="A6:F6"/>
    <mergeCell ref="A8:F8"/>
    <mergeCell ref="A9:F9"/>
    <mergeCell ref="A10:F10"/>
    <mergeCell ref="A11:F11"/>
    <mergeCell ref="A12:F12"/>
    <mergeCell ref="A15:F15"/>
    <mergeCell ref="A17:F17"/>
    <mergeCell ref="A18:F18"/>
    <mergeCell ref="A19:F19"/>
    <mergeCell ref="A20:F20"/>
    <mergeCell ref="A21:F21"/>
    <mergeCell ref="A24:F24"/>
    <mergeCell ref="A26:F26"/>
    <mergeCell ref="A27:F27"/>
    <mergeCell ref="A28:F28"/>
    <mergeCell ref="A29:F29"/>
    <mergeCell ref="A30:F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