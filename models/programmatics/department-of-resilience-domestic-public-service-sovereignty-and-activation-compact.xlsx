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1d426d5d7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c0f67f4ecfc341a9"/>
    <x:sheet xmlns:r="http://schemas.openxmlformats.org/officeDocument/2006/relationships" name="Controls" sheetId="2" r:id="R07951c4efee1453a"/>
    <x:sheet xmlns:r="http://schemas.openxmlformats.org/officeDocument/2006/relationships" name="Architecture" sheetId="3" r:id="Rdc15e2e2972f49cf"/>
    <x:sheet xmlns:r="http://schemas.openxmlformats.org/officeDocument/2006/relationships" name="Covenant Articles" sheetId="4" r:id="R895bf303b17741e8"/>
    <x:sheet xmlns:r="http://schemas.openxmlformats.org/officeDocument/2006/relationships" name="Sovereignty Matrix" sheetId="5" r:id="R1a762e567f1546c0"/>
    <x:sheet xmlns:r="http://schemas.openxmlformats.org/officeDocument/2006/relationships" name="Continuity Floor" sheetId="6" r:id="Ref88d50e8013462f"/>
    <x:sheet xmlns:r="http://schemas.openxmlformats.org/officeDocument/2006/relationships" name="Trigger Logic" sheetId="7" r:id="R1a3c684bf58b41d8"/>
    <x:sheet xmlns:r="http://schemas.openxmlformats.org/officeDocument/2006/relationships" name="State Machine" sheetId="8" r:id="R53973412d701444e"/>
    <x:sheet xmlns:r="http://schemas.openxmlformats.org/officeDocument/2006/relationships" name="Domestic Warrants" sheetId="9" r:id="Rfe8f22d9469e49a0"/>
    <x:sheet xmlns:r="http://schemas.openxmlformats.org/officeDocument/2006/relationships" name="Campaign Clock" sheetId="10" r:id="R90c5266b3214407e"/>
    <x:sheet xmlns:r="http://schemas.openxmlformats.org/officeDocument/2006/relationships" name="Receiver Fabric" sheetId="11" r:id="Re28e5a32b8f74f92"/>
    <x:sheet xmlns:r="http://schemas.openxmlformats.org/officeDocument/2006/relationships" name="Prohibitions" sheetId="12" r:id="Rdad4cea77c1e4e71"/>
    <x:sheet xmlns:r="http://schemas.openxmlformats.org/officeDocument/2006/relationships" name="Termination" sheetId="13" r:id="R2bcd300754f84ed4"/>
    <x:sheet xmlns:r="http://schemas.openxmlformats.org/officeDocument/2006/relationships" name="Technology" sheetId="14" r:id="R8e776cac1582484a"/>
    <x:sheet xmlns:r="http://schemas.openxmlformats.org/officeDocument/2006/relationships" name="Fiscal Range" sheetId="15" r:id="Re36880d68a9b4608"/>
    <x:sheet xmlns:r="http://schemas.openxmlformats.org/officeDocument/2006/relationships" name="25-Year Cross-Class" sheetId="16" r:id="Rc25a3cffa57a48fc"/>
    <x:sheet xmlns:r="http://schemas.openxmlformats.org/officeDocument/2006/relationships" name="Stress Cases" sheetId="17" r:id="R127f0eaed08a4830"/>
    <x:sheet xmlns:r="http://schemas.openxmlformats.org/officeDocument/2006/relationships" name="Audit" sheetId="18" r:id="R8b318f73ff514a06"/>
    <x:sheet xmlns:r="http://schemas.openxmlformats.org/officeDocument/2006/relationships" name="Mutation Tests" sheetId="19" r:id="Rcea5544bad6645d0"/>
    <x:sheet xmlns:r="http://schemas.openxmlformats.org/officeDocument/2006/relationships" name="Sources" sheetId="20" r:id="R3f277cbafd9f46d8"/>
    <x:sheet xmlns:r="http://schemas.openxmlformats.org/officeDocument/2006/relationships" name="Read Me" sheetId="21" r:id="Rbcab7932513b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##"/>
    <x:numFmt numFmtId="201" formatCode="0.0%"/>
    <x:numFmt numFmtId="202" formatCode="0.00"/>
    <x:numFmt numFmtId="203" formatCode="&quot;$&quot;0.0"/>
    <x:numFmt numFmtId="204" formatCode="&quot;$&quot;0"/>
    <x:numFmt numFmtId="205" formatCode="0%"/>
    <x:numFmt numFmtId="206" formatCode="&quot;$&quot;0.0;[Red]-&quot;$&quot;0.0;&quot;-&quot;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4" fillId="0" borderId="0" xfId="0" applyNumberFormat="1" applyFont="1" applyFill="1" applyBorder="1"/>
    <x:xf numFmtId="202" fontId="0" fillId="0" borderId="0" xfId="0" applyNumberFormat="1" applyFont="1" applyFill="1" applyBorder="1"/>
    <x:xf numFmtId="202" fontId="3" fillId="4" borderId="0" xfId="0" applyNumberFormat="1" applyFont="1" applyFill="1" applyBorder="1" applyAlignment="1">
      <x:alignment horizontal="center" wrapText="1"/>
    </x:xf>
    <x:xf numFmtId="202" fontId="4" fillId="4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wrapText="1"/>
    </x:xf>
    <x:xf numFmtId="201" fontId="4" fillId="4" borderId="0" xfId="0" applyNumberFormat="1" applyFont="1" applyFill="1" applyBorder="1"/>
    <x:xf numFmtId="203" fontId="0" fillId="0" borderId="0" xfId="0" applyNumberFormat="1" applyFont="1" applyFill="1" applyBorder="1"/>
    <x:xf numFmtId="203" fontId="3" fillId="4" borderId="0" xfId="0" applyNumberFormat="1" applyFont="1" applyFill="1" applyBorder="1" applyAlignment="1">
      <x:alignment horizontal="center" wrapText="1"/>
    </x:xf>
    <x:xf numFmtId="203" fontId="4" fillId="4" borderId="0" xfId="0" applyNumberFormat="1" applyFont="1" applyFill="1" applyBorder="1"/>
    <x:xf numFmtId="205" fontId="4" fillId="0" borderId="0" xfId="0" applyNumberFormat="1" applyFont="1" applyFill="1" applyBorder="1"/>
    <x:xf numFmtId="205" fontId="0" fillId="0" borderId="0" xfId="0" applyNumberFormat="1" applyFont="1" applyFill="1" applyBorder="1"/>
    <x:xf numFmtId="205" fontId="3" fillId="4" borderId="0" xfId="0" applyNumberFormat="1" applyFont="1" applyFill="1" applyBorder="1" applyAlignment="1">
      <x:alignment horizontal="center" wrapText="1"/>
    </x:xf>
    <x:xf numFmtId="205" fontId="4" fillId="4" borderId="0" xfId="0" applyNumberFormat="1" applyFont="1" applyFill="1" applyBorder="1"/>
    <x:xf numFmtId="206" fontId="4" fillId="0" borderId="0" xfId="0" applyNumberFormat="1" applyFont="1" applyFill="1" applyBorder="1"/>
    <x:xf numFmtId="206" fontId="0" fillId="0" borderId="0" xfId="0" applyNumberFormat="1" applyFont="1" applyFill="1" applyBorder="1"/>
    <x:xf numFmtId="206" fontId="3" fillId="4" borderId="0" xfId="0" applyNumberFormat="1" applyFont="1" applyFill="1" applyBorder="1" applyAlignment="1">
      <x:alignment horizontal="center" wrapText="1"/>
    </x:xf>
    <x:xf numFmtId="206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4" fillId="4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1" fontId="4" fillId="4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5" fontId="3" fillId="4" borderId="0" xfId="0" applyNumberFormat="1" applyFont="1" applyFill="1" applyBorder="1" applyAlignment="1">
      <x:alignment horizontal="center" vertical="center" wrapText="1"/>
    </x:xf>
    <x:xf numFmtId="206" fontId="3" fillId="4" borderId="0" xfId="0" applyNumberFormat="1" applyFont="1" applyFill="1" applyBorder="1" applyAlignment="1">
      <x:alignment horizontal="center" vertical="center" wrapText="1"/>
    </x:xf>
    <x:xf numFmtId="205" fontId="4" fillId="4" borderId="0" xfId="0" applyNumberFormat="1" applyFont="1" applyFill="1" applyBorder="1" applyAlignment="1">
      <x:alignment vertical="center"/>
    </x:xf>
    <x:xf numFmtId="206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4075c3f254eea" /><Relationship Type="http://schemas.openxmlformats.org/officeDocument/2006/relationships/theme" Target="/xl/theme/theme1.xml" Id="Rbecaa2f384704a2a" /><Relationship Type="http://schemas.openxmlformats.org/officeDocument/2006/relationships/sharedStrings" Target="/xl/sharedStrings.xml" Id="R7da9ca92a8744b29" /><Relationship Type="http://schemas.openxmlformats.org/officeDocument/2006/relationships/worksheet" Target="/xl/worksheets/sheet1.xml" Id="Rc0f67f4ecfc341a9" /><Relationship Type="http://schemas.openxmlformats.org/officeDocument/2006/relationships/worksheet" Target="/xl/worksheets/sheet2.xml" Id="R07951c4efee1453a" /><Relationship Type="http://schemas.openxmlformats.org/officeDocument/2006/relationships/worksheet" Target="/xl/worksheets/sheet3.xml" Id="Rdc15e2e2972f49cf" /><Relationship Type="http://schemas.openxmlformats.org/officeDocument/2006/relationships/worksheet" Target="/xl/worksheets/sheet4.xml" Id="R895bf303b17741e8" /><Relationship Type="http://schemas.openxmlformats.org/officeDocument/2006/relationships/worksheet" Target="/xl/worksheets/sheet5.xml" Id="R1a762e567f1546c0" /><Relationship Type="http://schemas.openxmlformats.org/officeDocument/2006/relationships/worksheet" Target="/xl/worksheets/sheet6.xml" Id="Ref88d50e8013462f" /><Relationship Type="http://schemas.openxmlformats.org/officeDocument/2006/relationships/worksheet" Target="/xl/worksheets/sheet7.xml" Id="R1a3c684bf58b41d8" /><Relationship Type="http://schemas.openxmlformats.org/officeDocument/2006/relationships/worksheet" Target="/xl/worksheets/sheet8.xml" Id="R53973412d701444e" /><Relationship Type="http://schemas.openxmlformats.org/officeDocument/2006/relationships/worksheet" Target="/xl/worksheets/sheet9.xml" Id="Rfe8f22d9469e49a0" /><Relationship Type="http://schemas.openxmlformats.org/officeDocument/2006/relationships/worksheet" Target="/xl/worksheets/sheet10.xml" Id="R90c5266b3214407e" /><Relationship Type="http://schemas.openxmlformats.org/officeDocument/2006/relationships/worksheet" Target="/xl/worksheets/sheet11.xml" Id="Re28e5a32b8f74f92" /><Relationship Type="http://schemas.openxmlformats.org/officeDocument/2006/relationships/worksheet" Target="/xl/worksheets/sheet12.xml" Id="Rdad4cea77c1e4e71" /><Relationship Type="http://schemas.openxmlformats.org/officeDocument/2006/relationships/worksheet" Target="/xl/worksheets/sheet13.xml" Id="R2bcd300754f84ed4" /><Relationship Type="http://schemas.openxmlformats.org/officeDocument/2006/relationships/worksheet" Target="/xl/worksheets/sheet14.xml" Id="R8e776cac1582484a" /><Relationship Type="http://schemas.openxmlformats.org/officeDocument/2006/relationships/worksheet" Target="/xl/worksheets/sheet15.xml" Id="Re36880d68a9b4608" /><Relationship Type="http://schemas.openxmlformats.org/officeDocument/2006/relationships/worksheet" Target="/xl/worksheets/sheet16.xml" Id="Rc25a3cffa57a48fc" /><Relationship Type="http://schemas.openxmlformats.org/officeDocument/2006/relationships/worksheet" Target="/xl/worksheets/sheet17.xml" Id="R127f0eaed08a4830" /><Relationship Type="http://schemas.openxmlformats.org/officeDocument/2006/relationships/worksheet" Target="/xl/worksheets/sheet18.xml" Id="R8b318f73ff514a06" /><Relationship Type="http://schemas.openxmlformats.org/officeDocument/2006/relationships/worksheet" Target="/xl/worksheets/sheet19.xml" Id="Rcea5544bad6645d0" /><Relationship Type="http://schemas.openxmlformats.org/officeDocument/2006/relationships/worksheet" Target="/xl/worksheets/sheet20.xml" Id="R3f277cbafd9f46d8" /><Relationship Type="http://schemas.openxmlformats.org/officeDocument/2006/relationships/worksheet" Target="/xl/worksheets/sheet21.xml" Id="Rbcab7932513b4c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23deb4633540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Local continuity bridge floor by campaign (days)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Bridge days</c:v>
          </c:tx>
          <c:cat>
            <c:strRef>
              <c:f>'Decision'!$M$6:$M$13</c:f>
              <c:strCache>
                <c:ptCount val="0"/>
              </c:strCache>
            </c:strRef>
          </c:cat>
          <c:val>
            <c:numRef>
              <c:f>'Decision'!$N$6:$N$13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23deb4633540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4092b612c647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5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19" hidden="0" customWidth="1"/>
    <x:col min="14" max="14" width="18" hidden="0" customWidth="1"/>
  </x:cols>
  <x:sheetData>
    <x:row r="2">
      <x:c r="A2" s="39" t="str">
        <x:v>Domestic public-service sovereignty and activation compact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Pass 202 | DCA-2 | guaranteed floor, receiver custody and bounded service easement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 t="str">
        <x:v>Campaign</x:v>
      </x:c>
      <x:c r="N5" s="40" t="str">
        <x:v>Bridge days</x:v>
      </x:c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Decision metric</x:v>
      </x:c>
      <x:c r="B6" s="43" t="str">
        <x:v>Value</x:v>
      </x:c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 t="str">
        <x:v>C1</x:v>
      </x:c>
      <x:c r="N6" s="40" t="n">
        <x:f>'Campaign Clock'!J7</x:f>
        <x:v>4</x:v>
      </x:c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str">
        <x:v>Verdict</x:v>
      </x:c>
      <x:c r="B7" s="44" t="str">
        <x:v>CLOSE</x:v>
      </x:c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 t="str">
        <x:v>C2</x:v>
      </x:c>
      <x:c r="N7" s="40" t="n">
        <x:f>'Campaign Clock'!J8</x:f>
        <x:v>4</x:v>
      </x:c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str">
        <x:v>Selected architecture</x:v>
      </x:c>
      <x:c r="B8" s="44" t="str">
        <x:v>Guaranteed floor + receiver covenant</x:v>
      </x:c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 t="str">
        <x:v>C3</x:v>
      </x:c>
      <x:c r="N8" s="40" t="n">
        <x:f>'Campaign Clock'!J9</x:f>
        <x:v>6</x:v>
      </x:c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str">
        <x:v>Covenant articles</x:v>
      </x:c>
      <x:c r="B9" s="44" t="n">
        <x:v>10</x:v>
      </x:c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 t="str">
        <x:v>M1</x:v>
      </x:c>
      <x:c r="N9" s="40" t="n">
        <x:f>'Campaign Clock'!J10</x:f>
        <x:v>3</x:v>
      </x:c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str">
        <x:v>Sovereignty actors</x:v>
      </x:c>
      <x:c r="B10" s="44" t="n">
        <x:v>12</x:v>
      </x:c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 t="str">
        <x:v>M2</x:v>
      </x:c>
      <x:c r="N10" s="40" t="n">
        <x:f>'Campaign Clock'!J11</x:f>
        <x:v>2</x:v>
      </x:c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str">
        <x:v>Activation states</x:v>
      </x:c>
      <x:c r="B11" s="44" t="n">
        <x:v>14</x:v>
      </x:c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 t="str">
        <x:v>M3</x:v>
      </x:c>
      <x:c r="N11" s="40" t="n">
        <x:f>'Campaign Clock'!J12</x:f>
        <x:v>3</x:v>
      </x:c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4" t="str">
        <x:v>Domestic warrants</x:v>
      </x:c>
      <x:c r="B12" s="44" t="n">
        <x:v>13</x:v>
      </x:c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 t="str">
        <x:v>M4</x:v>
      </x:c>
      <x:c r="N12" s="40" t="n">
        <x:f>'Campaign Clock'!J13</x:f>
        <x:v>2</x:v>
      </x:c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4" t="str">
        <x:v>Readiness districts</x:v>
      </x:c>
      <x:c r="B13" s="44" t="n">
        <x:v>7</x:v>
      </x:c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 t="str">
        <x:v>M5</x:v>
      </x:c>
      <x:c r="N13" s="40" t="n">
        <x:f>'Campaign Clock'!J14</x:f>
        <x:v>0</x:v>
      </x:c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4" t="str">
        <x:v>Domestic campaign claims</x:v>
      </x:c>
      <x:c r="B14" s="44" t="n">
        <x:v>8</x:v>
      </x:c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4" t="str">
        <x:v>Effect ledgers</x:v>
      </x:c>
      <x:c r="B15" s="44" t="n">
        <x:v>9</x:v>
      </x:c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4" t="str">
        <x:v>Committed domestic formations</x:v>
      </x:c>
      <x:c r="B16" s="44" t="n">
        <x:v>1745</x:v>
      </x:c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4" t="str">
        <x:v>Maximum local bridge floor days</x:v>
      </x:c>
      <x:c r="B17" s="45" t="n">
        <x:f>MAX('Campaign Clock'!J7:J14)</x:f>
        <x:v>6</x:v>
      </x:c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4" t="str">
        <x:v>Base nested capital USD T</x:v>
      </x:c>
      <x:c r="B18" s="45" t="n">
        <x:f>'Fiscal Range'!B8/1000</x:f>
        <x:v>0.1597888</x:v>
      </x:c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4" t="str">
        <x:v>Base nested annual operations USD T</x:v>
      </x:c>
      <x:c r="B19" s="45" t="n">
        <x:f>'Fiscal Range'!C8/1000</x:f>
        <x:v>0.0211</x:v>
      </x:c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4" t="str">
        <x:v>Base 25-year nested cross-classification USD T</x:v>
      </x:c>
      <x:c r="B20" s="45" t="n">
        <x:f>'Fiscal Range'!D8/1000</x:f>
        <x:v>0.5923387999999999</x:v>
      </x:c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4" t="str">
        <x:v>Department 25-year public outlay USD T</x:v>
      </x:c>
      <x:c r="B21" s="45" t="n">
        <x:v>58.6</x:v>
      </x:c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4" t="str">
        <x:v>Released implementation authority</x:v>
      </x:c>
      <x:c r="B22" s="44" t="n">
        <x:v>0</x:v>
      </x:c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4" t="str">
        <x:v>Released effect credit</x:v>
      </x:c>
      <x:c r="B23" s="44" t="n">
        <x:v>0</x:v>
      </x:c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4" t="str">
        <x:v>Next resolution</x:v>
      </x:c>
      <x:c r="B24" s="44" t="str">
        <x:v>Department workforce, service citizenship and reserve compact</x:v>
      </x:c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</x:sheetData>
  <x:pageMargins left="0.7" right="0.7" top="0.75" bottom="0.75" header="0.3" footer="0.3"/>
  <x:drawing xmlns:r="http://schemas.openxmlformats.org/officeDocument/2006/relationships" r:id="R5b4092b612c6477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3" hidden="0" customWidth="1"/>
    <x:col min="3" max="3" width="55" hidden="0" customWidth="1"/>
  </x:cols>
  <x:sheetData>
    <x:row r="2">
      <x:c r="A2" s="39" t="str">
        <x:v>Authoritative controls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Blue values are inherited or declared constitutional controls; they create no implementation authority.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Control</x:v>
      </x:c>
      <x:c r="B6" s="43" t="str">
        <x:v>Value</x:v>
      </x:c>
      <x:c r="C6" s="43" t="str">
        <x:v>Unit / boundary</x:v>
      </x:c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str">
        <x:v>Readiness districts</x:v>
      </x:c>
      <x:c r="B7" s="46" t="n">
        <x:v>7</x:v>
      </x:c>
      <x:c r="C7" s="44" t="str">
        <x:v>districts</x:v>
      </x:c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str">
        <x:v>Domestic campaigns</x:v>
      </x:c>
      <x:c r="B8" s="46" t="n">
        <x:v>8</x:v>
      </x:c>
      <x:c r="C8" s="44" t="str">
        <x:v>simultaneous claims</x:v>
      </x:c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str">
        <x:v>Effect ledgers</x:v>
      </x:c>
      <x:c r="B9" s="46" t="n">
        <x:v>9</x:v>
      </x:c>
      <x:c r="C9" s="44" t="str">
        <x:v>nonfungible effects</x:v>
      </x:c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str">
        <x:v>Formation families</x:v>
      </x:c>
      <x:c r="B10" s="46" t="n">
        <x:v>48</x:v>
      </x:c>
      <x:c r="C10" s="44" t="str">
        <x:v>families</x:v>
      </x:c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str">
        <x:v>Committed domestic formations</x:v>
      </x:c>
      <x:c r="B11" s="46" t="n">
        <x:v>1745</x:v>
      </x:c>
      <x:c r="C11" s="44" t="str">
        <x:v>formations</x:v>
      </x:c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4" t="str">
        <x:v>Owned formations</x:v>
      </x:c>
      <x:c r="B12" s="46" t="n">
        <x:v>5251</x:v>
      </x:c>
      <x:c r="C12" s="44" t="str">
        <x:v>formations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4" t="str">
        <x:v>Common capital</x:v>
      </x:c>
      <x:c r="B13" s="47" t="n">
        <x:v>7.98944</x:v>
      </x:c>
      <x:c r="C13" s="44" t="str">
        <x:v>USD T</x:v>
      </x:c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4" t="str">
        <x:v>Mature annual operations</x:v>
      </x:c>
      <x:c r="B14" s="47" t="n">
        <x:v>2.11</x:v>
      </x:c>
      <x:c r="C14" s="44" t="str">
        <x:v>USD T/year</x:v>
      </x:c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4" t="str">
        <x:v>Requested activation</x:v>
      </x:c>
      <x:c r="B15" s="46" t="n">
        <x:v>6</x:v>
      </x:c>
      <x:c r="C15" s="44" t="str">
        <x:v>hours</x:v>
      </x:c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4" t="str">
        <x:v>Objective-breach ceiling</x:v>
      </x:c>
      <x:c r="B16" s="46" t="n">
        <x:v>12</x:v>
      </x:c>
      <x:c r="C16" s="44" t="str">
        <x:v>hours</x:v>
      </x:c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4" t="str">
        <x:v>Incapacity activation</x:v>
      </x:c>
      <x:c r="B17" s="46" t="n">
        <x:v>8</x:v>
      </x:c>
      <x:c r="C17" s="44" t="str">
        <x:v>hours</x:v>
      </x:c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4" t="str">
        <x:v>Provisional bridge</x:v>
      </x:c>
      <x:c r="B18" s="46" t="n">
        <x:v>4</x:v>
      </x:c>
      <x:c r="C18" s="44" t="str">
        <x:v>hours</x:v>
      </x:c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4" t="str">
        <x:v>Warrant renewal</x:v>
      </x:c>
      <x:c r="B19" s="46" t="n">
        <x:v>30</x:v>
      </x:c>
      <x:c r="C19" s="44" t="str">
        <x:v>days</x:v>
      </x:c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4" t="str">
        <x:v>Legislative review</x:v>
      </x:c>
      <x:c r="B20" s="46" t="n">
        <x:v>180</x:v>
      </x:c>
      <x:c r="C20" s="44" t="str">
        <x:v>days</x:v>
      </x:c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4" t="str">
        <x:v>Low capital ratio</x:v>
      </x:c>
      <x:c r="B21" s="48" t="n">
        <x:v>0.01</x:v>
      </x:c>
      <x:c r="C21" s="44" t="str">
        <x:v>of common capital</x:v>
      </x:c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4" t="str">
        <x:v>Base capital ratio</x:v>
      </x:c>
      <x:c r="B22" s="48" t="n">
        <x:v>0.02</x:v>
      </x:c>
      <x:c r="C22" s="44" t="str">
        <x:v>of common capital</x:v>
      </x:c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4" t="str">
        <x:v>High capital ratio</x:v>
      </x:c>
      <x:c r="B23" s="48" t="n">
        <x:v>0.03</x:v>
      </x:c>
      <x:c r="C23" s="44" t="str">
        <x:v>of common capital</x:v>
      </x:c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4" t="str">
        <x:v>Low operations ratio</x:v>
      </x:c>
      <x:c r="B24" s="48" t="n">
        <x:v>0.005</x:v>
      </x:c>
      <x:c r="C24" s="44" t="str">
        <x:v>of mature operations</x:v>
      </x:c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4" t="str">
        <x:v>Base operations ratio</x:v>
      </x:c>
      <x:c r="B25" s="48" t="n">
        <x:v>0.01</x:v>
      </x:c>
      <x:c r="C25" s="44" t="str">
        <x:v>of mature operations</x:v>
      </x:c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4" t="str">
        <x:v>High operations ratio</x:v>
      </x:c>
      <x:c r="B26" s="48" t="n">
        <x:v>0.015</x:v>
      </x:c>
      <x:c r="C26" s="44" t="str">
        <x:v>of mature operations</x:v>
      </x:c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4" t="str">
        <x:v>Operating ramp factor</x:v>
      </x:c>
      <x:c r="B27" s="46" t="n">
        <x:v>20.5</x:v>
      </x:c>
      <x:c r="C27" s="44" t="str">
        <x:v>mature-year equivalents over 25 years</x:v>
      </x:c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4" t="str">
        <x:v>Implementation identities</x:v>
      </x:c>
      <x:c r="B28" s="46" t="n">
        <x:v>0</x:v>
      </x:c>
      <x:c r="C28" s="44" t="str">
        <x:v>released</x:v>
      </x:c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4" t="str">
        <x:v>Effect evidence</x:v>
      </x:c>
      <x:c r="B29" s="46" t="n">
        <x:v>0</x:v>
      </x:c>
      <x:c r="C29" s="44" t="str">
        <x:v>admitted claims</x:v>
      </x:c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5" hidden="0" customWidth="1"/>
    <x:col min="3" max="3" width="17" hidden="0" customWidth="1"/>
    <x:col min="4" max="4" width="17" hidden="0" customWidth="1"/>
    <x:col min="5" max="5" width="15" hidden="0" customWidth="1"/>
    <x:col min="6" max="6" width="16" hidden="0" customWidth="1"/>
    <x:col min="7" max="7" width="14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2" hidden="0" customWidth="1"/>
    <x:col min="14" max="14" width="14" hidden="0" customWidth="1"/>
    <x:col min="15" max="15" width="76" hidden="0" customWidth="1"/>
  </x:cols>
  <x:sheetData>
    <x:row r="2">
      <x:c r="A2" s="39" t="str">
        <x:v>Domestic activation architecture competition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All twelve tests are conjunctive; preserving one sovereignty cannot erase another.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Architecture</x:v>
      </x:c>
      <x:c r="B6" s="43" t="str">
        <x:v>Person floor</x:v>
      </x:c>
      <x:c r="C6" s="43" t="str">
        <x:v>Request not veto</x:v>
      </x:c>
      <x:c r="D6" s="43" t="str">
        <x:v>Polity custody</x:v>
      </x:c>
      <x:c r="E6" s="43" t="str">
        <x:v>Tribal direct</x:v>
      </x:c>
      <x:c r="F6" s="43" t="str">
        <x:v>Territory equal</x:v>
      </x:c>
      <x:c r="G6" s="43" t="str">
        <x:v>Incapacity</x:v>
      </x:c>
      <x:c r="H6" s="43" t="str">
        <x:v>Rights</x:v>
      </x:c>
      <x:c r="I6" s="43" t="str">
        <x:v>No police</x:v>
      </x:c>
      <x:c r="J6" s="43" t="str">
        <x:v>No seizure</x:v>
      </x:c>
      <x:c r="K6" s="43" t="str">
        <x:v>Audit</x:v>
      </x:c>
      <x:c r="L6" s="43" t="str">
        <x:v>Expiry</x:v>
      </x:c>
      <x:c r="M6" s="43" t="str">
        <x:v>N−1</x:v>
      </x:c>
      <x:c r="N6" s="43" t="str">
        <x:v>Decision</x:v>
      </x:c>
      <x:c r="O6" s="43" t="str">
        <x:v>Reason</x:v>
      </x:c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str">
        <x:v>Governor-request system</x:v>
      </x:c>
      <x:c r="B7" s="44" t="str">
        <x:v>FAIL</x:v>
      </x:c>
      <x:c r="C7" s="44" t="str">
        <x:v>FAIL</x:v>
      </x:c>
      <x:c r="D7" s="44" t="str">
        <x:v>PASS</x:v>
      </x:c>
      <x:c r="E7" s="44" t="str">
        <x:v>FAIL</x:v>
      </x:c>
      <x:c r="F7" s="44" t="str">
        <x:v>PASS</x:v>
      </x:c>
      <x:c r="G7" s="44" t="str">
        <x:v>FAIL</x:v>
      </x:c>
      <x:c r="H7" s="44" t="str">
        <x:v>PASS</x:v>
      </x:c>
      <x:c r="I7" s="44" t="str">
        <x:v>PASS</x:v>
      </x:c>
      <x:c r="J7" s="44" t="str">
        <x:v>PASS</x:v>
      </x:c>
      <x:c r="K7" s="44" t="str">
        <x:v>PASS</x:v>
      </x:c>
      <x:c r="L7" s="44" t="str">
        <x:v>PASS</x:v>
      </x:c>
      <x:c r="M7" s="44" t="str">
        <x:v>PASS</x:v>
      </x:c>
      <x:c r="N7" s="49" t="str">
        <x:v>REJECT</x:v>
      </x:c>
      <x:c r="O7" s="50" t="str">
        <x:v>A failed or unwilling executive can extinguish the national guarantee</x:v>
      </x:c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str">
        <x:v>Automatic federal preemption</x:v>
      </x:c>
      <x:c r="B8" s="44" t="str">
        <x:v>PASS</x:v>
      </x:c>
      <x:c r="C8" s="44" t="str">
        <x:v>PASS</x:v>
      </x:c>
      <x:c r="D8" s="44" t="str">
        <x:v>FAIL</x:v>
      </x:c>
      <x:c r="E8" s="44" t="str">
        <x:v>FAIL</x:v>
      </x:c>
      <x:c r="F8" s="44" t="str">
        <x:v>PASS</x:v>
      </x:c>
      <x:c r="G8" s="44" t="str">
        <x:v>PASS</x:v>
      </x:c>
      <x:c r="H8" s="44" t="str">
        <x:v>FAIL</x:v>
      </x:c>
      <x:c r="I8" s="44" t="str">
        <x:v>FAIL</x:v>
      </x:c>
      <x:c r="J8" s="44" t="str">
        <x:v>FAIL</x:v>
      </x:c>
      <x:c r="K8" s="44" t="str">
        <x:v>PASS</x:v>
      </x:c>
      <x:c r="L8" s="44" t="str">
        <x:v>FAIL</x:v>
      </x:c>
      <x:c r="M8" s="44" t="str">
        <x:v>PASS</x:v>
      </x:c>
      <x:c r="N8" s="49" t="str">
        <x:v>REJECT</x:v>
      </x:c>
      <x:c r="O8" s="50" t="str">
        <x:v>A continuity duty becomes territorial command and civil-government substitution</x:v>
      </x:c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str">
        <x:v>Incident-by-incident domestic bargain</x:v>
      </x:c>
      <x:c r="B9" s="44" t="str">
        <x:v>PASS</x:v>
      </x:c>
      <x:c r="C9" s="44" t="str">
        <x:v>FAIL</x:v>
      </x:c>
      <x:c r="D9" s="44" t="str">
        <x:v>PASS</x:v>
      </x:c>
      <x:c r="E9" s="44" t="str">
        <x:v>PASS</x:v>
      </x:c>
      <x:c r="F9" s="44" t="str">
        <x:v>PASS</x:v>
      </x:c>
      <x:c r="G9" s="44" t="str">
        <x:v>FAIL</x:v>
      </x:c>
      <x:c r="H9" s="44" t="str">
        <x:v>PASS</x:v>
      </x:c>
      <x:c r="I9" s="44" t="str">
        <x:v>PASS</x:v>
      </x:c>
      <x:c r="J9" s="44" t="str">
        <x:v>PASS</x:v>
      </x:c>
      <x:c r="K9" s="44" t="str">
        <x:v>PASS</x:v>
      </x:c>
      <x:c r="L9" s="44" t="str">
        <x:v>PASS</x:v>
      </x:c>
      <x:c r="M9" s="44" t="str">
        <x:v>FAIL</x:v>
      </x:c>
      <x:c r="N9" s="49" t="str">
        <x:v>REJECT</x:v>
      </x:c>
      <x:c r="O9" s="50" t="str">
        <x:v>Negotiation begins after the clock and cannot survive receiver incapacity</x:v>
      </x:c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str">
        <x:v>Voluntary polity federation</x:v>
      </x:c>
      <x:c r="B10" s="44" t="str">
        <x:v>FAIL</x:v>
      </x:c>
      <x:c r="C10" s="44" t="str">
        <x:v>FAIL</x:v>
      </x:c>
      <x:c r="D10" s="44" t="str">
        <x:v>PASS</x:v>
      </x:c>
      <x:c r="E10" s="44" t="str">
        <x:v>PASS</x:v>
      </x:c>
      <x:c r="F10" s="44" t="str">
        <x:v>FAIL</x:v>
      </x:c>
      <x:c r="G10" s="44" t="str">
        <x:v>FAIL</x:v>
      </x:c>
      <x:c r="H10" s="44" t="str">
        <x:v>PASS</x:v>
      </x:c>
      <x:c r="I10" s="44" t="str">
        <x:v>PASS</x:v>
      </x:c>
      <x:c r="J10" s="44" t="str">
        <x:v>PASS</x:v>
      </x:c>
      <x:c r="K10" s="44" t="str">
        <x:v>PASS</x:v>
      </x:c>
      <x:c r="L10" s="44" t="str">
        <x:v>PASS</x:v>
      </x:c>
      <x:c r="M10" s="44" t="str">
        <x:v>FAIL</x:v>
      </x:c>
      <x:c r="N10" s="49" t="str">
        <x:v>REJECT</x:v>
      </x:c>
      <x:c r="O10" s="50" t="str">
        <x:v>Coverage and rights depend on prior opt-in; national equality disappears</x:v>
      </x:c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str">
        <x:v>Guaranteed floor + receiver covenant</x:v>
      </x:c>
      <x:c r="B11" s="44" t="str">
        <x:v>PASS</x:v>
      </x:c>
      <x:c r="C11" s="44" t="str">
        <x:v>PASS</x:v>
      </x:c>
      <x:c r="D11" s="44" t="str">
        <x:v>PASS</x:v>
      </x:c>
      <x:c r="E11" s="44" t="str">
        <x:v>PASS</x:v>
      </x:c>
      <x:c r="F11" s="44" t="str">
        <x:v>PASS</x:v>
      </x:c>
      <x:c r="G11" s="44" t="str">
        <x:v>PASS</x:v>
      </x:c>
      <x:c r="H11" s="44" t="str">
        <x:v>PASS</x:v>
      </x:c>
      <x:c r="I11" s="44" t="str">
        <x:v>PASS</x:v>
      </x:c>
      <x:c r="J11" s="44" t="str">
        <x:v>PASS</x:v>
      </x:c>
      <x:c r="K11" s="44" t="str">
        <x:v>PASS</x:v>
      </x:c>
      <x:c r="L11" s="44" t="str">
        <x:v>PASS</x:v>
      </x:c>
      <x:c r="M11" s="44" t="str">
        <x:v>PASS</x:v>
      </x:c>
      <x:c r="N11" s="51" t="str">
        <x:v>SELECT</x:v>
      </x:c>
      <x:c r="O11" s="50" t="str">
        <x:v>A person-bound floor and nonterritorial service easement preserve both duty and custody</x:v>
      </x:c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91" hidden="0" customWidth="1"/>
    <x:col min="4" max="4" width="73" hidden="0" customWidth="1"/>
  </x:cols>
  <x:sheetData>
    <x:row r="2">
      <x:c r="A2" s="39" t="str">
        <x:v>Ten articles of the domestic public-service covenant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The guarantee is national; custody and method remain plural; emergency authority is functional, bounded and extinguishable.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Article</x:v>
      </x:c>
      <x:c r="B6" s="43" t="str">
        <x:v>Name</x:v>
      </x:c>
      <x:c r="C6" s="43" t="str">
        <x:v>Positive law</x:v>
      </x:c>
      <x:c r="D6" s="43" t="str">
        <x:v>Negative law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33" customHeight="1">
      <x:c r="A7" s="44" t="str">
        <x:v>A1</x:v>
      </x:c>
      <x:c r="B7" s="50" t="str">
        <x:v>Equal domestic guarantee</x:v>
      </x:c>
      <x:c r="C7" s="50" t="str">
        <x:v>Every person in a state, tribe or territory holds the same nonfungible continuity floor</x:v>
      </x:c>
      <x:c r="D7" s="50" t="str">
        <x:v>No polity may opt its population out of the floor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33" customHeight="1">
      <x:c r="A8" s="44" t="str">
        <x:v>A2</x:v>
      </x:c>
      <x:c r="B8" s="50" t="str">
        <x:v>Standing receiver covenant</x:v>
      </x:c>
      <x:c r="C8" s="50" t="str">
        <x:v>Authority, interfaces, remedies and alternates are constituted before an event</x:v>
      </x:c>
      <x:c r="D8" s="50" t="str">
        <x:v>An event is not the moment to negotiate basic sovereignty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33" customHeight="1">
      <x:c r="A9" s="44" t="str">
        <x:v>A3</x:v>
      </x:c>
      <x:c r="B9" s="50" t="str">
        <x:v>Direct sovereign paths</x:v>
      </x:c>
      <x:c r="C9" s="50" t="str">
        <x:v>Tribal nations and territories contract directly; state intermediation is unnecessary</x:v>
      </x:c>
      <x:c r="D9" s="50" t="str">
        <x:v>No state may absorb tribal or territorial custody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33" customHeight="1">
      <x:c r="A10" s="44" t="str">
        <x:v>A4</x:v>
      </x:c>
      <x:c r="B10" s="50" t="str">
        <x:v>Dual trigger</x:v>
      </x:c>
      <x:c r="C10" s="50" t="str">
        <x:v>A receiver request or independently verified objective breach may open the transaction</x:v>
      </x:c>
      <x:c r="D10" s="50" t="str">
        <x:v>Request is sufficient but not necessary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33" customHeight="1">
      <x:c r="A11" s="44" t="str">
        <x:v>A5</x:v>
      </x:c>
      <x:c r="B11" s="50" t="str">
        <x:v>Independent breach truth</x:v>
      </x:c>
      <x:c r="C11" s="50" t="str">
        <x:v>Effect Trustees verify a deficit against the enacted service contract</x:v>
      </x:c>
      <x:c r="D11" s="50" t="str">
        <x:v>Political declaration cannot create a fact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33" customHeight="1">
      <x:c r="A12" s="44" t="str">
        <x:v>A6</x:v>
      </x:c>
      <x:c r="B12" s="50" t="str">
        <x:v>Nonterritorial service easement</x:v>
      </x:c>
      <x:c r="C12" s="50" t="str">
        <x:v>Authority attaches only to named people, services, interfaces, routes and time</x:v>
      </x:c>
      <x:c r="D12" s="50" t="str">
        <x:v>It carries no general police, land-use or governing power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33" customHeight="1">
      <x:c r="A13" s="44" t="str">
        <x:v>A7</x:v>
      </x:c>
      <x:c r="B13" s="50" t="str">
        <x:v>Receiver method and custody</x:v>
      </x:c>
      <x:c r="C13" s="50" t="str">
        <x:v>A capable receiver selects among safe means, owns admission and may stop an unsafe act</x:v>
      </x:c>
      <x:c r="D13" s="50" t="str">
        <x:v>Method choice cannot extinguish the floor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33" customHeight="1">
      <x:c r="A14" s="44" t="str">
        <x:v>A8</x:v>
      </x:c>
      <x:c r="B14" s="50" t="str">
        <x:v>Rights and scarcity</x:v>
      </x:c>
      <x:c r="C14" s="50" t="str">
        <x:v>Priority, burden, access, compensation and remedy remain reviewable</x:v>
      </x:c>
      <x:c r="D14" s="50" t="str">
        <x:v>Benefit scores cannot compensate for rights failure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33" customHeight="1">
      <x:c r="A15" s="44" t="str">
        <x:v>A9</x:v>
      </x:c>
      <x:c r="B15" s="50" t="str">
        <x:v>Functional receivership</x:v>
      </x:c>
      <x:c r="C15" s="50" t="str">
        <x:v>Incapacity transfers only the exact service function for the exact clock</x:v>
      </x:c>
      <x:c r="D15" s="50" t="str">
        <x:v>The Department cannot replace the polity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33" customHeight="1">
      <x:c r="A16" s="44" t="str">
        <x:v>A10</x:v>
      </x:c>
      <x:c r="B16" s="50" t="str">
        <x:v>Return and extinction</x:v>
      </x:c>
      <x:c r="C16" s="50" t="str">
        <x:v>Acceptance, restitution, transfer, evidence and regeneration end federal employment</x:v>
      </x:c>
      <x:c r="D16" s="50" t="str">
        <x:v>No success or emergency creates permanent jurisdiction</x:v>
      </x:c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94" hidden="0" customWidth="1"/>
    <x:col min="3" max="3" width="78" hidden="0" customWidth="1"/>
  </x:cols>
  <x:sheetData>
    <x:row r="2">
      <x:c r="A2" s="39" t="str">
        <x:v>Twelve bounded sovereignty actors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No actor may issue the factual or lawful state that validates its own successor power.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Actor</x:v>
      </x:c>
      <x:c r="B6" s="43" t="str">
        <x:v>Positive authority</x:v>
      </x:c>
      <x:c r="C6" s="43" t="str">
        <x:v>Negative authority</x:v>
      </x:c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34" customHeight="1">
      <x:c r="A7" s="50" t="str">
        <x:v>Congress and President</x:v>
      </x:c>
      <x:c r="B7" s="50" t="str">
        <x:v>Enact equal floor, exclusive accounts and maximum emergency powers</x:v>
      </x:c>
      <x:c r="C7" s="50" t="str">
        <x:v>Cannot declare technical facts or a local receiver incapable</x:v>
      </x:c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34" customHeight="1">
      <x:c r="A8" s="50" t="str">
        <x:v>Secretary and Resilience Staff</x:v>
      </x:c>
      <x:c r="B8" s="50" t="str">
        <x:v>Set national priority, convene and suspend unsafe employment</x:v>
      </x:c>
      <x:c r="C8" s="50" t="str">
        <x:v>Cannot activate by preference or override a negative warrant</x:v>
      </x:c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34" customHeight="1">
      <x:c r="A9" s="50" t="str">
        <x:v>Civil Resilience Authority</x:v>
      </x:c>
      <x:c r="B9" s="50" t="str">
        <x:v>Compile request or objective breach into a service-deficit order</x:v>
      </x:c>
      <x:c r="C9" s="50" t="str">
        <x:v>Cannot select roots, certify readiness or accept effect</x:v>
      </x:c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34" customHeight="1">
      <x:c r="A10" s="50" t="str">
        <x:v>Civilian Effect Trustees</x:v>
      </x:c>
      <x:c r="B10" s="50" t="str">
        <x:v>Own nine denominators and independently verify breach/restoration</x:v>
      </x:c>
      <x:c r="C10" s="50" t="str">
        <x:v>Cannot command formations or average fatal deficits</x:v>
      </x:c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34" customHeight="1">
      <x:c r="A11" s="50" t="str">
        <x:v>Receiving polity</x:v>
      </x:c>
      <x:c r="B11" s="50" t="str">
        <x:v>Choose safe method, admit interfaces, retain civil custody and stop unsafe acts</x:v>
      </x:c>
      <x:c r="C11" s="50" t="str">
        <x:v>Cannot extinguish the equal floor or seize another sovereign's custody</x:v>
      </x:c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34" customHeight="1">
      <x:c r="A12" s="50" t="str">
        <x:v>Tribal nation</x:v>
      </x:c>
      <x:c r="B12" s="50" t="str">
        <x:v>Exercise direct government-to-government request, method, custody and stop power</x:v>
      </x:c>
      <x:c r="C12" s="50" t="str">
        <x:v>State permission is neither required nor sufficient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34" customHeight="1">
      <x:c r="A13" s="50" t="str">
        <x:v>Rights and Scarcity Tribunal</x:v>
      </x:c>
      <x:c r="B13" s="50" t="str">
        <x:v>Issue necessity/easement warrant, review burdens and order remedy</x:v>
      </x:c>
      <x:c r="C13" s="50" t="str">
        <x:v>Cannot invent capacity or become the campaign command</x:v>
      </x:c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34" customHeight="1">
      <x:c r="A14" s="50" t="str">
        <x:v>Public Allocation Ledger</x:v>
      </x:c>
      <x:c r="B14" s="50" t="str">
        <x:v>Publish predicates, serials, expiry, compensation, custody and rollback</x:v>
      </x:c>
      <x:c r="C14" s="50" t="str">
        <x:v>Records authority; it does not create it</x:v>
      </x:c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34" customHeight="1">
      <x:c r="A15" s="50" t="str">
        <x:v>Joint Capacity Authority</x:v>
      </x:c>
      <x:c r="B15" s="50" t="str">
        <x:v>Certify current family-complete ready serials</x:v>
      </x:c>
      <x:c r="C15" s="50" t="str">
        <x:v>Cannot establish civil priority or activation</x:v>
      </x:c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34" customHeight="1">
      <x:c r="A16" s="50" t="str">
        <x:v>National Mobilization and Allocation Command</x:v>
      </x:c>
      <x:c r="B16" s="50" t="str">
        <x:v>Compile admitted claims into one collision-free schedule</x:v>
      </x:c>
      <x:c r="C16" s="50" t="str">
        <x:v>Cannot borrow missing families or override custody</x:v>
      </x:c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34" customHeight="1">
      <x:c r="A17" s="50" t="str">
        <x:v>Operational Campaign Command</x:v>
      </x:c>
      <x:c r="B17" s="50" t="str">
        <x:v>Integrate certified formations within the admitted service vector</x:v>
      </x:c>
      <x:c r="C17" s="50" t="str">
        <x:v>Owns no police power, polity government or strategic-effect judgment</x:v>
      </x:c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34" customHeight="1">
      <x:c r="A18" s="50" t="str">
        <x:v>Resilience Proving Service</x:v>
      </x:c>
      <x:c r="B18" s="50" t="str">
        <x:v>Preserve evidence, counterfactuals and adverse findings</x:v>
      </x:c>
      <x:c r="C18" s="50" t="str">
        <x:v>Cannot design the service claim or retain a failed branch</x:v>
      </x:c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3" hidden="0" customWidth="1"/>
    <x:col min="3" max="3" width="81" hidden="0" customWidth="1"/>
    <x:col min="4" max="4" width="17" hidden="0" customWidth="1"/>
    <x:col min="5" max="5" width="70" hidden="0" customWidth="1"/>
  </x:cols>
  <x:sheetData>
    <x:row r="2">
      <x:c r="A2" s="39" t="str">
        <x:v>Nine nonfungible domestic continuity floors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Timing classes order attention; they do not make one effect compensable by another.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ID</x:v>
      </x:c>
      <x:c r="B6" s="43" t="str">
        <x:v>Effect</x:v>
      </x:c>
      <x:c r="C6" s="43" t="str">
        <x:v>Completion denominator</x:v>
      </x:c>
      <x:c r="D6" s="43" t="str">
        <x:v>Timing class</x:v>
      </x:c>
      <x:c r="E6" s="43" t="str">
        <x:v>Constitutional floor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34" customHeight="1">
      <x:c r="A7" s="44" t="str">
        <x:v>EL-01</x:v>
      </x:c>
      <x:c r="B7" s="50" t="str">
        <x:v>Civil coordination, safety and public information</x:v>
      </x:c>
      <x:c r="C7" s="50" t="str">
        <x:v>People reached with verified public instruction and accountable civil interface</x:v>
      </x:c>
      <x:c r="D7" s="50" t="str">
        <x:v>Immediate</x:v>
      </x:c>
      <x:c r="E7" s="50" t="str">
        <x:v>No population may become administratively invisible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34" customHeight="1">
      <x:c r="A8" s="44" t="str">
        <x:v>EL-02</x:v>
      </x:c>
      <x:c r="B8" s="50" t="str">
        <x:v>Food, shelter and essential goods</x:v>
      </x:c>
      <x:c r="C8" s="50" t="str">
        <x:v>Complete person-days of appropriate food, accessible refuge and essential goods</x:v>
      </x:c>
      <x:c r="D8" s="50" t="str">
        <x:v>Bridge</x:v>
      </x:c>
      <x:c r="E8" s="50" t="str">
        <x:v>Commodity delivery without safe use is zero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34" customHeight="1">
      <x:c r="A9" s="44" t="str">
        <x:v>EL-03</x:v>
      </x:c>
      <x:c r="B9" s="50" t="str">
        <x:v>Health and medical continuity</x:v>
      </x:c>
      <x:c r="C9" s="50" t="str">
        <x:v>Completed patient pathways and protected community health functions</x:v>
      </x:c>
      <x:c r="D9" s="50" t="str">
        <x:v>Immediate</x:v>
      </x:c>
      <x:c r="E9" s="50" t="str">
        <x:v>Beds and supplies without staff/utilities/referral are zero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34" customHeight="1">
      <x:c r="A10" s="44" t="str">
        <x:v>EL-04</x:v>
      </x:c>
      <x:c r="B10" s="50" t="str">
        <x:v>Energy and thermal continuity</x:v>
      </x:c>
      <x:c r="C10" s="50" t="str">
        <x:v>Critical-load energy and people-hours inside safe thermal/air conditions</x:v>
      </x:c>
      <x:c r="D10" s="50" t="str">
        <x:v>Immediate</x:v>
      </x:c>
      <x:c r="E10" s="50" t="str">
        <x:v>Nameplate generation is not service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34" customHeight="1">
      <x:c r="A11" s="44" t="str">
        <x:v>EL-05</x:v>
      </x:c>
      <x:c r="B11" s="50" t="str">
        <x:v>Communications, computation and public-service access</x:v>
      </x:c>
      <x:c r="C11" s="50" t="str">
        <x:v>Reachable public communications and service transactions</x:v>
      </x:c>
      <x:c r="D11" s="50" t="str">
        <x:v>Immediate</x:v>
      </x:c>
      <x:c r="E11" s="50" t="str">
        <x:v>Backhaul without public access is zero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34" customHeight="1">
      <x:c r="A12" s="44" t="str">
        <x:v>EL-06</x:v>
      </x:c>
      <x:c r="B12" s="50" t="str">
        <x:v>Mobility, access and distribution</x:v>
      </x:c>
      <x:c r="C12" s="50" t="str">
        <x:v>People and material delivered end-to-end with lawful admission</x:v>
      </x:c>
      <x:c r="D12" s="50" t="str">
        <x:v>Bridge</x:v>
      </x:c>
      <x:c r="E12" s="50" t="str">
        <x:v>Vehicles or cleared routes alone are zero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34" customHeight="1">
      <x:c r="A13" s="44" t="str">
        <x:v>EL-07</x:v>
      </x:c>
      <x:c r="B13" s="50" t="str">
        <x:v>Water, sanitation and hygiene</x:v>
      </x:c>
      <x:c r="C13" s="50" t="str">
        <x:v>Safe person-days of water plus contained and treated wastes</x:v>
      </x:c>
      <x:c r="D13" s="50" t="str">
        <x:v>Immediate</x:v>
      </x:c>
      <x:c r="E13" s="50" t="str">
        <x:v>Production without testing, distribution and residual control is zero</x:v>
      </x:c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34" customHeight="1">
      <x:c r="A14" s="44" t="str">
        <x:v>EL-08</x:v>
      </x:c>
      <x:c r="B14" s="50" t="str">
        <x:v>Hazard and environmental control</x:v>
      </x:c>
      <x:c r="C14" s="50" t="str">
        <x:v>Measured hazard reduction with protected population and residual state</x:v>
      </x:c>
      <x:c r="D14" s="50" t="str">
        <x:v>Immediate</x:v>
      </x:c>
      <x:c r="E14" s="50" t="str">
        <x:v>Activity without bounded exposure is zero</x:v>
      </x:c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34" customHeight="1">
      <x:c r="A15" s="44" t="str">
        <x:v>EL-09</x:v>
      </x:c>
      <x:c r="B15" s="50" t="str">
        <x:v>Housing, public works and economic continuity</x:v>
      </x:c>
      <x:c r="C15" s="50" t="str">
        <x:v>Habitable continuity, public works and functioning economic interfaces</x:v>
      </x:c>
      <x:c r="D15" s="50" t="str">
        <x:v>Campaign</x:v>
      </x:c>
      <x:c r="E15" s="50" t="str">
        <x:v>Temporary output must terminate in locally governable recovery</x:v>
      </x:c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68" hidden="0" customWidth="1"/>
    <x:col min="4" max="4" width="39" hidden="0" customWidth="1"/>
    <x:col min="5" max="5" width="21" hidden="0" customWidth="1"/>
    <x:col min="6" max="6" width="78" hidden="0" customWidth="1"/>
  </x:cols>
  <x:sheetData>
    <x:row r="2">
      <x:c r="A2" s="39" t="str">
        <x:v>Four lawful activation paths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Every path returns to the same service contract; only the initiating evidence and response clock differ.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ID</x:v>
      </x:c>
      <x:c r="B6" s="43" t="str">
        <x:v>Trigger</x:v>
      </x:c>
      <x:c r="C6" s="43" t="str">
        <x:v>Required keys</x:v>
      </x:c>
      <x:c r="D6" s="43" t="str">
        <x:v>Bridge authority</x:v>
      </x:c>
      <x:c r="E6" s="43" t="str">
        <x:v>Full ceiling (h)</x:v>
      </x:c>
      <x:c r="F6" s="43" t="str">
        <x:v>Boundary</x:v>
      </x:c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42" customHeight="1">
      <x:c r="A7" s="44" t="str">
        <x:v>T1</x:v>
      </x:c>
      <x:c r="B7" s="50" t="str">
        <x:v>Receiver request</x:v>
      </x:c>
      <x:c r="C7" s="50" t="str">
        <x:v>Authenticated sovereign request + effect contract</x:v>
      </x:c>
      <x:c r="D7" s="50" t="str">
        <x:v>Immediate local bridge</x:v>
      </x:c>
      <x:c r="E7" s="50" t="str">
        <x:v>6</x:v>
      </x:c>
      <x:c r="F7" s="50" t="str">
        <x:v>Full campaign after deficit and allocation warrants</x:v>
      </x:c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42" customHeight="1">
      <x:c r="A8" s="44" t="str">
        <x:v>T2</x:v>
      </x:c>
      <x:c r="B8" s="50" t="str">
        <x:v>Objective breach</x:v>
      </x:c>
      <x:c r="C8" s="50" t="str">
        <x:v>Independent effect evidence + Civil Resilience Authority order</x:v>
      </x:c>
      <x:c r="D8" s="50" t="str">
        <x:v>By hour 4 if life safety is imminent</x:v>
      </x:c>
      <x:c r="E8" s="50" t="str">
        <x:v>12</x:v>
      </x:c>
      <x:c r="F8" s="50" t="str">
        <x:v>Request is not required; receiver response and method remain required if capable</x:v>
      </x:c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42" customHeight="1">
      <x:c r="A9" s="44" t="str">
        <x:v>T3</x:v>
      </x:c>
      <x:c r="B9" s="50" t="str">
        <x:v>Receiver incapacity</x:v>
      </x:c>
      <x:c r="C9" s="50" t="str">
        <x:v>Objective breach + independently evidenced inability to answer or operate</x:v>
      </x:c>
      <x:c r="D9" s="50" t="str">
        <x:v>By hour 4</x:v>
      </x:c>
      <x:c r="E9" s="50" t="str">
        <x:v>8</x:v>
      </x:c>
      <x:c r="F9" s="50" t="str">
        <x:v>Functional receivership covers only the unavailable service function</x:v>
      </x:c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42" customHeight="1">
      <x:c r="A10" s="44" t="str">
        <x:v>T4</x:v>
      </x:c>
      <x:c r="B10" s="50" t="str">
        <x:v>Contested refusal</x:v>
      </x:c>
      <x:c r="C10" s="50" t="str">
        <x:v>Objective breach + imminent nonfungible harm + Tribunal necessity finding</x:v>
      </x:c>
      <x:c r="D10" s="50" t="str">
        <x:v>By hour 4 for safe bridge only</x:v>
      </x:c>
      <x:c r="E10" s="50" t="str">
        <x:v>12</x:v>
      </x:c>
      <x:c r="F10" s="50" t="str">
        <x:v>Bridge expires if necessity/easement warrant is denied</x:v>
      </x:c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3" hidden="0" customWidth="1"/>
    <x:col min="3" max="3" width="48" hidden="0" customWidth="1"/>
    <x:col min="4" max="4" width="64" hidden="0" customWidth="1"/>
    <x:col min="5" max="5" width="63" hidden="0" customWidth="1"/>
    <x:col min="6" max="6" width="58" hidden="0" customWidth="1"/>
    <x:col min="7" max="7" width="19" hidden="0" customWidth="1"/>
    <x:col min="8" max="8" width="39" hidden="0" customWidth="1"/>
  </x:cols>
  <x:sheetData>
    <x:row r="2">
      <x:c r="A2" s="39" t="str">
        <x:v>Fourteen-state domestic activation machine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Silence is HOLD; urgency may invoke only certified bridge capacity; every employment state expires.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State</x:v>
      </x:c>
      <x:c r="B6" s="43" t="str">
        <x:v>Name</x:v>
      </x:c>
      <x:c r="C6" s="43" t="str">
        <x:v>Owner</x:v>
      </x:c>
      <x:c r="D6" s="43" t="str">
        <x:v>Entry evidence</x:v>
      </x:c>
      <x:c r="E6" s="43" t="str">
        <x:v>Positive authority</x:v>
      </x:c>
      <x:c r="F6" s="43" t="str">
        <x:v>Negative authority</x:v>
      </x:c>
      <x:c r="G6" s="43" t="str">
        <x:v>Expiry</x:v>
      </x:c>
      <x:c r="H6" s="43" t="str">
        <x:v>Rollback</x:v>
      </x:c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42" customHeight="1">
      <x:c r="A7" s="44" t="str">
        <x:v>S00</x:v>
      </x:c>
      <x:c r="B7" s="50" t="str">
        <x:v>Standing covenant</x:v>
      </x:c>
      <x:c r="C7" s="50" t="str">
        <x:v>Civil Resilience Authority + receiving sovereigns</x:v>
      </x:c>
      <x:c r="D7" s="50" t="str">
        <x:v>Enacted compact and receiver maps</x:v>
      </x:c>
      <x:c r="E7" s="50" t="str">
        <x:v>Preparedness only</x:v>
      </x:c>
      <x:c r="F7" s="50" t="str">
        <x:v>None</x:v>
      </x:c>
      <x:c r="G7" s="50" t="str">
        <x:v>Annual refresh</x:v>
      </x:c>
      <x:c r="H7" s="50" t="str">
        <x:v>Reconstitute missing covenant</x:v>
      </x:c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42" customHeight="1">
      <x:c r="A8" s="44" t="str">
        <x:v>S01</x:v>
      </x:c>
      <x:c r="B8" s="50" t="str">
        <x:v>Watch</x:v>
      </x:c>
      <x:c r="C8" s="50" t="str">
        <x:v>Civil Resilience Authority</x:v>
      </x:c>
      <x:c r="D8" s="50" t="str">
        <x:v>Forecast or anomaly</x:v>
      </x:c>
      <x:c r="E8" s="50" t="str">
        <x:v>Observe, pre-notify, stage within standing rights</x:v>
      </x:c>
      <x:c r="F8" s="50" t="str">
        <x:v>No employment</x:v>
      </x:c>
      <x:c r="G8" s="50" t="str">
        <x:v>Event clock</x:v>
      </x:c>
      <x:c r="H8" s="50" t="str">
        <x:v>Return S00</x:v>
      </x:c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42" customHeight="1">
      <x:c r="A9" s="44" t="str">
        <x:v>S02</x:v>
      </x:c>
      <x:c r="B9" s="50" t="str">
        <x:v>Breach candidate</x:v>
      </x:c>
      <x:c r="C9" s="50" t="str">
        <x:v>Effect Trustee</x:v>
      </x:c>
      <x:c r="D9" s="50" t="str">
        <x:v>Candidate deficit evidence</x:v>
      </x:c>
      <x:c r="E9" s="50" t="str">
        <x:v>Freeze record and seek independent confirmation</x:v>
      </x:c>
      <x:c r="F9" s="50" t="str">
        <x:v>No activation</x:v>
      </x:c>
      <x:c r="G9" s="50" t="str">
        <x:v>2 h</x:v>
      </x:c>
      <x:c r="H9" s="50" t="str">
        <x:v>Return S01</x:v>
      </x:c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42" customHeight="1">
      <x:c r="A10" s="44" t="str">
        <x:v>S03</x:v>
      </x:c>
      <x:c r="B10" s="50" t="str">
        <x:v>Trigger admitted</x:v>
      </x:c>
      <x:c r="C10" s="50" t="str">
        <x:v>Civil Resilience Authority</x:v>
      </x:c>
      <x:c r="D10" s="50" t="str">
        <x:v>T1, T2, T3 or T4 keys complete</x:v>
      </x:c>
      <x:c r="E10" s="50" t="str">
        <x:v>Open exact service-deficit transaction</x:v>
      </x:c>
      <x:c r="F10" s="50" t="str">
        <x:v>No campaign command</x:v>
      </x:c>
      <x:c r="G10" s="50" t="str">
        <x:v>2 h</x:v>
      </x:c>
      <x:c r="H10" s="50" t="str">
        <x:v>Return S02</x:v>
      </x:c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42" customHeight="1">
      <x:c r="A11" s="44" t="str">
        <x:v>S04</x:v>
      </x:c>
      <x:c r="B11" s="50" t="str">
        <x:v>Deficit verified</x:v>
      </x:c>
      <x:c r="C11" s="50" t="str">
        <x:v>Civilian Effect Trustee</x:v>
      </x:c>
      <x:c r="D11" s="50" t="str">
        <x:v>Nonfungible denominator below floor</x:v>
      </x:c>
      <x:c r="E11" s="50" t="str">
        <x:v>Issue deficit finding</x:v>
      </x:c>
      <x:c r="F11" s="50" t="str">
        <x:v>No method or allocation choice</x:v>
      </x:c>
      <x:c r="G11" s="50" t="str">
        <x:v>Evidence clock</x:v>
      </x:c>
      <x:c r="H11" s="50" t="str">
        <x:v>Reopen S02</x:v>
      </x:c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42" customHeight="1">
      <x:c r="A12" s="44" t="str">
        <x:v>S05</x:v>
      </x:c>
      <x:c r="B12" s="50" t="str">
        <x:v>Receiver notice</x:v>
      </x:c>
      <x:c r="C12" s="50" t="str">
        <x:v>Receiving polity or direct tribal authority</x:v>
      </x:c>
      <x:c r="D12" s="50" t="str">
        <x:v>Verified deficit and method set</x:v>
      </x:c>
      <x:c r="E12" s="50" t="str">
        <x:v>Choose safe method/interface and provide custody map</x:v>
      </x:c>
      <x:c r="F12" s="50" t="str">
        <x:v>Cannot extinguish floor</x:v>
      </x:c>
      <x:c r="G12" s="50" t="str">
        <x:v>4 h</x:v>
      </x:c>
      <x:c r="H12" s="50" t="str">
        <x:v>Use statutory alternate</x:v>
      </x:c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42" customHeight="1">
      <x:c r="A13" s="44" t="str">
        <x:v>S06</x:v>
      </x:c>
      <x:c r="B13" s="50" t="str">
        <x:v>Provisional bridge</x:v>
      </x:c>
      <x:c r="C13" s="50" t="str">
        <x:v>Civil Resilience Authority</x:v>
      </x:c>
      <x:c r="D13" s="50" t="str">
        <x:v>Imminent harm + certified local capacity</x:v>
      </x:c>
      <x:c r="E13" s="50" t="str">
        <x:v>Employ only pre-certified bridge services</x:v>
      </x:c>
      <x:c r="F13" s="50" t="str">
        <x:v>No full campaign or territorial authority</x:v>
      </x:c>
      <x:c r="G13" s="50" t="str">
        <x:v>8 h</x:v>
      </x:c>
      <x:c r="H13" s="50" t="str">
        <x:v>Safe stop and unwind</x:v>
      </x:c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42" customHeight="1">
      <x:c r="A14" s="44" t="str">
        <x:v>S07</x:v>
      </x:c>
      <x:c r="B14" s="50" t="str">
        <x:v>Necessity/easement</x:v>
      </x:c>
      <x:c r="C14" s="50" t="str">
        <x:v>Rights and Scarcity Tribunal</x:v>
      </x:c>
      <x:c r="D14" s="50" t="str">
        <x:v>Conflict, incapacity or blocked interface</x:v>
      </x:c>
      <x:c r="E14" s="50" t="str">
        <x:v>Open named service easement</x:v>
      </x:c>
      <x:c r="F14" s="50" t="str">
        <x:v>No general police or government power</x:v>
      </x:c>
      <x:c r="G14" s="50" t="str">
        <x:v>30 d</x:v>
      </x:c>
      <x:c r="H14" s="50" t="str">
        <x:v>Expire to last valid state</x:v>
      </x:c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42" customHeight="1">
      <x:c r="A15" s="44" t="str">
        <x:v>S08</x:v>
      </x:c>
      <x:c r="B15" s="50" t="str">
        <x:v>Allocation compiled</x:v>
      </x:c>
      <x:c r="C15" s="50" t="str">
        <x:v>NMAC</x:v>
      </x:c>
      <x:c r="D15" s="50" t="str">
        <x:v>Deficit + receiver/easement + ready serials</x:v>
      </x:c>
      <x:c r="E15" s="50" t="str">
        <x:v>Reserve collision-free serials, routes and receivers</x:v>
      </x:c>
      <x:c r="F15" s="50" t="str">
        <x:v>Cannot change priority or readiness</x:v>
      </x:c>
      <x:c r="G15" s="50" t="str">
        <x:v>Event</x:v>
      </x:c>
      <x:c r="H15" s="50" t="str">
        <x:v>Recompile exact claim</x:v>
      </x:c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42" customHeight="1">
      <x:c r="A16" s="44" t="str">
        <x:v>S09</x:v>
      </x:c>
      <x:c r="B16" s="50" t="str">
        <x:v>Employment warranted</x:v>
      </x:c>
      <x:c r="C16" s="50" t="str">
        <x:v>Civil Resilience Authority</x:v>
      </x:c>
      <x:c r="D16" s="50" t="str">
        <x:v>All prior states valid</x:v>
      </x:c>
      <x:c r="E16" s="50" t="str">
        <x:v>Authorize campaign service vector</x:v>
      </x:c>
      <x:c r="F16" s="50" t="str">
        <x:v>No coercive mission inheritance</x:v>
      </x:c>
      <x:c r="G16" s="50" t="str">
        <x:v>30 d</x:v>
      </x:c>
      <x:c r="H16" s="50" t="str">
        <x:v>Stop or renew exact warrant</x:v>
      </x:c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42" customHeight="1">
      <x:c r="A17" s="44" t="str">
        <x:v>S10</x:v>
      </x:c>
      <x:c r="B17" s="50" t="str">
        <x:v>Service operating</x:v>
      </x:c>
      <x:c r="C17" s="50" t="str">
        <x:v>Operational Campaign Command</x:v>
      </x:c>
      <x:c r="D17" s="50" t="str">
        <x:v>Certified formations admitted to custody</x:v>
      </x:c>
      <x:c r="E17" s="50" t="str">
        <x:v>Integrate complete public service</x:v>
      </x:c>
      <x:c r="F17" s="50" t="str">
        <x:v>No polity substitution or effect credit</x:v>
      </x:c>
      <x:c r="G17" s="50" t="str">
        <x:v>Shift / phase</x:v>
      </x:c>
      <x:c r="H17" s="50" t="str">
        <x:v>Safe, remedy, replan</x:v>
      </x:c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42" customHeight="1">
      <x:c r="A18" s="44" t="str">
        <x:v>S11</x:v>
      </x:c>
      <x:c r="B18" s="50" t="str">
        <x:v>Civil acceptance</x:v>
      </x:c>
      <x:c r="C18" s="50" t="str">
        <x:v>Receiving polity + Effect Trustee</x:v>
      </x:c>
      <x:c r="D18" s="50" t="str">
        <x:v>Service safely used and independently observed</x:v>
      </x:c>
      <x:c r="E18" s="50" t="str">
        <x:v>Accept exact service and residual state</x:v>
      </x:c>
      <x:c r="F18" s="50" t="str">
        <x:v>Cannot accept absent rights or incomplete chain</x:v>
      </x:c>
      <x:c r="G18" s="50" t="str">
        <x:v>Event</x:v>
      </x:c>
      <x:c r="H18" s="50" t="str">
        <x:v>Reopen service</x:v>
      </x:c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 ht="42" customHeight="1">
      <x:c r="A19" s="44" t="str">
        <x:v>S12</x:v>
      </x:c>
      <x:c r="B19" s="50" t="str">
        <x:v>Transfer and restitution</x:v>
      </x:c>
      <x:c r="C19" s="50" t="str">
        <x:v>Receiving polity</x:v>
      </x:c>
      <x:c r="D19" s="50" t="str">
        <x:v>Local operation, custody, compensation and remedy complete</x:v>
      </x:c>
      <x:c r="E19" s="50" t="str">
        <x:v>Release federal service function</x:v>
      </x:c>
      <x:c r="F19" s="50" t="str">
        <x:v>No forced dependency</x:v>
      </x:c>
      <x:c r="G19" s="50" t="str">
        <x:v>365 d</x:v>
      </x:c>
      <x:c r="H19" s="50" t="str">
        <x:v>Reopen bounded remedy</x:v>
      </x:c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 ht="42" customHeight="1">
      <x:c r="A20" s="44" t="str">
        <x:v>S13</x:v>
      </x:c>
      <x:c r="B20" s="50" t="str">
        <x:v>Termination and regeneration</x:v>
      </x:c>
      <x:c r="C20" s="50" t="str">
        <x:v>Sustainment Command + Capital Board</x:v>
      </x:c>
      <x:c r="D20" s="50" t="str">
        <x:v>Service restored, warrant expired or branch killed</x:v>
      </x:c>
      <x:c r="E20" s="50" t="str">
        <x:v>Withdraw, regenerate and return unused authority</x:v>
      </x:c>
      <x:c r="F20" s="50" t="str">
        <x:v>History and adverse evidence remain</x:v>
      </x:c>
      <x:c r="G20" s="50" t="str">
        <x:v>Serial</x:v>
      </x:c>
      <x:c r="H20" s="50" t="str">
        <x:v>Remain outside ready pool</x:v>
      </x:c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45" hidden="0" customWidth="1"/>
    <x:col min="4" max="4" width="44" hidden="0" customWidth="1"/>
    <x:col min="5" max="5" width="82" hidden="0" customWidth="1"/>
    <x:col min="6" max="6" width="40" hidden="0" customWidth="1"/>
    <x:col min="7" max="7" width="18" hidden="0" customWidth="1"/>
  </x:cols>
  <x:sheetData>
    <x:row r="2">
      <x:c r="A2" s="39" t="str">
        <x:v>Thirteen domestic warrants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Each warrant binds an issuer, receiver, sufficient claim, rollback and expiry.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ID</x:v>
      </x:c>
      <x:c r="B6" s="43" t="str">
        <x:v>Warrant</x:v>
      </x:c>
      <x:c r="C6" s="43" t="str">
        <x:v>Issuer</x:v>
      </x:c>
      <x:c r="D6" s="43" t="str">
        <x:v>Receiver</x:v>
      </x:c>
      <x:c r="E6" s="43" t="str">
        <x:v>Sufficient claim</x:v>
      </x:c>
      <x:c r="F6" s="43" t="str">
        <x:v>Rollback</x:v>
      </x:c>
      <x:c r="G6" s="43" t="str">
        <x:v>Expiry</x:v>
      </x:c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40" customHeight="1">
      <x:c r="A7" s="44" t="str">
        <x:v>DW01</x:v>
      </x:c>
      <x:c r="B7" s="50" t="str">
        <x:v>Standing domestic covenant</x:v>
      </x:c>
      <x:c r="C7" s="50" t="str">
        <x:v>Congress + receiving sovereign</x:v>
      </x:c>
      <x:c r="D7" s="50" t="str">
        <x:v>Civil Resilience Authority</x:v>
      </x:c>
      <x:c r="E7" s="50" t="str">
        <x:v>Equal floor, custody map, remedies and alternates</x:v>
      </x:c>
      <x:c r="F7" s="50" t="str">
        <x:v>Amend by law</x:v>
      </x:c>
      <x:c r="G7" s="50" t="str">
        <x:v>Annual</x:v>
      </x:c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40" customHeight="1">
      <x:c r="A8" s="44" t="str">
        <x:v>DW02</x:v>
      </x:c>
      <x:c r="B8" s="50" t="str">
        <x:v>Preparedness attestation</x:v>
      </x:c>
      <x:c r="C8" s="50" t="str">
        <x:v>Receiving polity</x:v>
      </x:c>
      <x:c r="D8" s="50" t="str">
        <x:v>Public Allocation Ledger</x:v>
      </x:c>
      <x:c r="E8" s="50" t="str">
        <x:v>Named receivers, interfaces, bridge stock and stop authority</x:v>
      </x:c>
      <x:c r="F8" s="50" t="str">
        <x:v>Rebuild missing preparation</x:v>
      </x:c>
      <x:c r="G8" s="50" t="str">
        <x:v>Annual</x:v>
      </x:c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40" customHeight="1">
      <x:c r="A9" s="44" t="str">
        <x:v>DW03</x:v>
      </x:c>
      <x:c r="B9" s="50" t="str">
        <x:v>Watch notice</x:v>
      </x:c>
      <x:c r="C9" s="50" t="str">
        <x:v>Civil Resilience Authority</x:v>
      </x:c>
      <x:c r="D9" s="50" t="str">
        <x:v>Receiving polity</x:v>
      </x:c>
      <x:c r="E9" s="50" t="str">
        <x:v>Forecast/anomaly and bounded staging permission</x:v>
      </x:c>
      <x:c r="F9" s="50" t="str">
        <x:v>Return to normal</x:v>
      </x:c>
      <x:c r="G9" s="50" t="str">
        <x:v>Event</x:v>
      </x:c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40" customHeight="1">
      <x:c r="A10" s="44" t="str">
        <x:v>DW04</x:v>
      </x:c>
      <x:c r="B10" s="50" t="str">
        <x:v>Receiver request</x:v>
      </x:c>
      <x:c r="C10" s="50" t="str">
        <x:v>Receiving sovereign</x:v>
      </x:c>
      <x:c r="D10" s="50" t="str">
        <x:v>Civil Resilience Authority</x:v>
      </x:c>
      <x:c r="E10" s="50" t="str">
        <x:v>Authenticated service request against one or more effects</x:v>
      </x:c>
      <x:c r="F10" s="50" t="str">
        <x:v>Withdraw before employment</x:v>
      </x:c>
      <x:c r="G10" s="50" t="str">
        <x:v>Event</x:v>
      </x:c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40" customHeight="1">
      <x:c r="A11" s="44" t="str">
        <x:v>DW05</x:v>
      </x:c>
      <x:c r="B11" s="50" t="str">
        <x:v>Objective-breach finding</x:v>
      </x:c>
      <x:c r="C11" s="50" t="str">
        <x:v>Civilian Effect Trustee</x:v>
      </x:c>
      <x:c r="D11" s="50" t="str">
        <x:v>Civil Resilience Authority</x:v>
      </x:c>
      <x:c r="E11" s="50" t="str">
        <x:v>Independent denominator evidence and uncertainty state</x:v>
      </x:c>
      <x:c r="F11" s="50" t="str">
        <x:v>Reopen candidate</x:v>
      </x:c>
      <x:c r="G11" s="50" t="str">
        <x:v>Evidence clock</x:v>
      </x:c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40" customHeight="1">
      <x:c r="A12" s="44" t="str">
        <x:v>DW06</x:v>
      </x:c>
      <x:c r="B12" s="50" t="str">
        <x:v>Incapacity finding</x:v>
      </x:c>
      <x:c r="C12" s="50" t="str">
        <x:v>Rights and Scarcity Tribunal</x:v>
      </x:c>
      <x:c r="D12" s="50" t="str">
        <x:v>Public Allocation Ledger</x:v>
      </x:c>
      <x:c r="E12" s="50" t="str">
        <x:v>Exact civil function unable to answer or operate</x:v>
      </x:c>
      <x:c r="F12" s="50" t="str">
        <x:v>Restore function to polity</x:v>
      </x:c>
      <x:c r="G12" s="50" t="str">
        <x:v>8 h</x:v>
      </x:c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40" customHeight="1">
      <x:c r="A13" s="44" t="str">
        <x:v>DW07</x:v>
      </x:c>
      <x:c r="B13" s="50" t="str">
        <x:v>Service-deficit order</x:v>
      </x:c>
      <x:c r="C13" s="50" t="str">
        <x:v>Civil Resilience Authority</x:v>
      </x:c>
      <x:c r="D13" s="50" t="str">
        <x:v>NMAC</x:v>
      </x:c>
      <x:c r="E13" s="50" t="str">
        <x:v>Population × effect × place × time deficit</x:v>
      </x:c>
      <x:c r="F13" s="50" t="str">
        <x:v>Resize or withdraw</x:v>
      </x:c>
      <x:c r="G13" s="50" t="str">
        <x:v>Event</x:v>
      </x:c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40" customHeight="1">
      <x:c r="A14" s="44" t="str">
        <x:v>DW08</x:v>
      </x:c>
      <x:c r="B14" s="50" t="str">
        <x:v>Provisional bridge</x:v>
      </x:c>
      <x:c r="C14" s="50" t="str">
        <x:v>Civil Resilience Authority</x:v>
      </x:c>
      <x:c r="D14" s="50" t="str">
        <x:v>Certified bridge operator</x:v>
      </x:c>
      <x:c r="E14" s="50" t="str">
        <x:v>Imminent harm and pre-certified safe service</x:v>
      </x:c>
      <x:c r="F14" s="50" t="str">
        <x:v>Safe stop</x:v>
      </x:c>
      <x:c r="G14" s="50" t="str">
        <x:v>8 h</x:v>
      </x:c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40" customHeight="1">
      <x:c r="A15" s="44" t="str">
        <x:v>DW09</x:v>
      </x:c>
      <x:c r="B15" s="50" t="str">
        <x:v>Necessity/easement warrant</x:v>
      </x:c>
      <x:c r="C15" s="50" t="str">
        <x:v>Rights and Scarcity Tribunal</x:v>
      </x:c>
      <x:c r="D15" s="50" t="str">
        <x:v>Operational Campaign Command</x:v>
      </x:c>
      <x:c r="E15" s="50" t="str">
        <x:v>Named service, interface, route, rights, compensation and clock</x:v>
      </x:c>
      <x:c r="F15" s="50" t="str">
        <x:v>Expire or revoke</x:v>
      </x:c>
      <x:c r="G15" s="50" t="str">
        <x:v>30 d</x:v>
      </x:c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40" customHeight="1">
      <x:c r="A16" s="44" t="str">
        <x:v>DW10</x:v>
      </x:c>
      <x:c r="B16" s="50" t="str">
        <x:v>Domestic allocation order</x:v>
      </x:c>
      <x:c r="C16" s="50" t="str">
        <x:v>NMAC</x:v>
      </x:c>
      <x:c r="D16" s="50" t="str">
        <x:v>Operational Campaign Command</x:v>
      </x:c>
      <x:c r="E16" s="50" t="str">
        <x:v>Collision-free serial, route, receiver and reserve schedule</x:v>
      </x:c>
      <x:c r="F16" s="50" t="str">
        <x:v>Recompile</x:v>
      </x:c>
      <x:c r="G16" s="50" t="str">
        <x:v>Event</x:v>
      </x:c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40" customHeight="1">
      <x:c r="A17" s="44" t="str">
        <x:v>DW11</x:v>
      </x:c>
      <x:c r="B17" s="50" t="str">
        <x:v>Campaign employment warrant</x:v>
      </x:c>
      <x:c r="C17" s="50" t="str">
        <x:v>Civil Resilience Authority</x:v>
      </x:c>
      <x:c r="D17" s="50" t="str">
        <x:v>Operational Campaign Command</x:v>
      </x:c>
      <x:c r="E17" s="50" t="str">
        <x:v>Complete admitted public-service vector</x:v>
      </x:c>
      <x:c r="F17" s="50" t="str">
        <x:v>Stop or renew</x:v>
      </x:c>
      <x:c r="G17" s="50" t="str">
        <x:v>30 d</x:v>
      </x:c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40" customHeight="1">
      <x:c r="A18" s="44" t="str">
        <x:v>DW12</x:v>
      </x:c>
      <x:c r="B18" s="50" t="str">
        <x:v>Civil acceptance and transfer</x:v>
      </x:c>
      <x:c r="C18" s="50" t="str">
        <x:v>Receiving polity + Effect Trustee</x:v>
      </x:c>
      <x:c r="D18" s="50" t="str">
        <x:v>Capital Board</x:v>
      </x:c>
      <x:c r="E18" s="50" t="str">
        <x:v>Accepted service, custody, residuals, remedy and local operation</x:v>
      </x:c>
      <x:c r="F18" s="50" t="str">
        <x:v>Reopen exact defect</x:v>
      </x:c>
      <x:c r="G18" s="50" t="str">
        <x:v>365 d</x:v>
      </x:c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 ht="40" customHeight="1">
      <x:c r="A19" s="44" t="str">
        <x:v>DW13</x:v>
      </x:c>
      <x:c r="B19" s="50" t="str">
        <x:v>Termination/regeneration warrant</x:v>
      </x:c>
      <x:c r="C19" s="50" t="str">
        <x:v>Sustainment Command</x:v>
      </x:c>
      <x:c r="D19" s="50" t="str">
        <x:v>Joint Capacity Authority</x:v>
      </x:c>
      <x:c r="E19" s="50" t="str">
        <x:v>Withdrawn serial, restored configuration, crew, stock and evidence</x:v>
      </x:c>
      <x:c r="F19" s="50" t="str">
        <x:v>Remain HOLD</x:v>
      </x:c>
      <x:c r="G19" s="50" t="str">
        <x:v>Serial</x:v>
      </x:c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1" hidden="0" customWidth="1"/>
    <x:col min="3" max="3" width="16" hidden="0" customWidth="1"/>
    <x:col min="4" max="4" width="14" hidden="0" customWidth="1"/>
    <x:col min="5" max="5" width="15" hidden="0" customWidth="1"/>
    <x:col min="6" max="6" width="14" hidden="0" customWidth="1"/>
    <x:col min="7" max="7" width="18" hidden="0" customWidth="1"/>
    <x:col min="8" max="8" width="22" hidden="0" customWidth="1"/>
    <x:col min="9" max="9" width="18" hidden="0" customWidth="1"/>
    <x:col min="10" max="10" width="19" hidden="0" customWidth="1"/>
    <x:col min="11" max="11" width="16" hidden="0" customWidth="1"/>
  </x:cols>
  <x:sheetData>
    <x:row r="2">
      <x:c r="A2" s="39" t="str">
        <x:v>Domestic campaign activation and local bridge requirement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Objective-breach activation is added to preparation and transit, then reduced by usable notice. Negative pre-arrival margin becomes local bridge duty.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ID</x:v>
      </x:c>
      <x:c r="B6" s="43" t="str">
        <x:v>Design environment</x:v>
      </x:c>
      <x:c r="C6" s="43" t="str">
        <x:v>Formations</x:v>
      </x:c>
      <x:c r="D6" s="43" t="str">
        <x:v>Notice h</x:v>
      </x:c>
      <x:c r="E6" s="43" t="str">
        <x:v>Prepare d</x:v>
      </x:c>
      <x:c r="F6" s="43" t="str">
        <x:v>Transit d</x:v>
      </x:c>
      <x:c r="G6" s="43" t="str">
        <x:v>Activation h</x:v>
      </x:c>
      <x:c r="H6" s="43" t="str">
        <x:v>Pre-arrival lead d</x:v>
      </x:c>
      <x:c r="I6" s="43" t="str">
        <x:v>Service gap d</x:v>
      </x:c>
      <x:c r="J6" s="43" t="str">
        <x:v>Bridge floor d</x:v>
      </x:c>
      <x:c r="K6" s="43" t="str">
        <x:v>Occupied d</x:v>
      </x:c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str">
        <x:v>C1</x:v>
      </x:c>
      <x:c r="B7" s="44" t="str">
        <x:v>Grid and temperature failure</x:v>
      </x:c>
      <x:c r="C7" s="44" t="n">
        <x:v>204</x:v>
      </x:c>
      <x:c r="D7" s="44" t="n">
        <x:v>6</x:v>
      </x:c>
      <x:c r="E7" s="44" t="n">
        <x:v>1</x:v>
      </x:c>
      <x:c r="F7" s="44" t="n">
        <x:v>2</x:v>
      </x:c>
      <x:c r="G7" s="44" t="n">
        <x:f>Controls!B16</x:f>
        <x:v>12</x:v>
      </x:c>
      <x:c r="H7" s="52" t="n">
        <x:f>D7/24-G7/24-E7-F7</x:f>
        <x:v>-3.25</x:v>
      </x:c>
      <x:c r="I7" s="52" t="n">
        <x:f>MAX(0,-H7)</x:f>
        <x:v>3.25</x:v>
      </x:c>
      <x:c r="J7" s="44" t="n">
        <x:f>ROUNDUP(I7,0)</x:f>
        <x:v>4</x:v>
      </x:c>
      <x:c r="K7" s="44" t="n">
        <x:v>133</x:v>
      </x:c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str">
        <x:v>C2</x:v>
      </x:c>
      <x:c r="B8" s="44" t="str">
        <x:v>Sequential Gulf/Atlantic hurricanes</x:v>
      </x:c>
      <x:c r="C8" s="44" t="n">
        <x:v>279</x:v>
      </x:c>
      <x:c r="D8" s="44" t="n">
        <x:v>120</x:v>
      </x:c>
      <x:c r="E8" s="44" t="n">
        <x:v>5</x:v>
      </x:c>
      <x:c r="F8" s="44" t="n">
        <x:v>3</x:v>
      </x:c>
      <x:c r="G8" s="44" t="n">
        <x:f>Controls!B16</x:f>
        <x:v>12</x:v>
      </x:c>
      <x:c r="H8" s="52" t="n">
        <x:f>D8/24-G8/24-E8-F8</x:f>
        <x:v>-3.5</x:v>
      </x:c>
      <x:c r="I8" s="52" t="n">
        <x:f>MAX(0,-H8)</x:f>
        <x:v>3.5</x:v>
      </x:c>
      <x:c r="J8" s="44" t="n">
        <x:f>ROUNDUP(I8,0)</x:f>
        <x:v>4</x:v>
      </x:c>
      <x:c r="K8" s="44" t="n">
        <x:v>178</x:v>
      </x:c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str">
        <x:v>C3</x:v>
      </x:c>
      <x:c r="B9" s="44" t="str">
        <x:v>Cascadia rupture</x:v>
      </x:c>
      <x:c r="C9" s="44" t="n">
        <x:v>362</x:v>
      </x:c>
      <x:c r="D9" s="44" t="n">
        <x:v>0</x:v>
      </x:c>
      <x:c r="E9" s="44" t="n">
        <x:v>1</x:v>
      </x:c>
      <x:c r="F9" s="44" t="n">
        <x:v>4</x:v>
      </x:c>
      <x:c r="G9" s="44" t="n">
        <x:f>Controls!B16</x:f>
        <x:v>12</x:v>
      </x:c>
      <x:c r="H9" s="52" t="n">
        <x:f>D9/24-G9/24-E9-F9</x:f>
        <x:v>-5.5</x:v>
      </x:c>
      <x:c r="I9" s="52" t="n">
        <x:f>MAX(0,-H9)</x:f>
        <x:v>5.5</x:v>
      </x:c>
      <x:c r="J9" s="44" t="n">
        <x:f>ROUNDUP(I9,0)</x:f>
        <x:v>6</x:v>
      </x:c>
      <x:c r="K9" s="44" t="n">
        <x:v>260</x:v>
      </x:c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str">
        <x:v>M1</x:v>
      </x:c>
      <x:c r="B10" s="44" t="str">
        <x:v>Western wildfire, heat and smoke</x:v>
      </x:c>
      <x:c r="C10" s="44" t="n">
        <x:v>134</x:v>
      </x:c>
      <x:c r="D10" s="44" t="n">
        <x:v>48</x:v>
      </x:c>
      <x:c r="E10" s="44" t="n">
        <x:v>2</x:v>
      </x:c>
      <x:c r="F10" s="44" t="n">
        <x:v>2</x:v>
      </x:c>
      <x:c r="G10" s="44" t="n">
        <x:f>Controls!B16</x:f>
        <x:v>12</x:v>
      </x:c>
      <x:c r="H10" s="52" t="n">
        <x:f>D10/24-G10/24-E10-F10</x:f>
        <x:v>-2.5</x:v>
      </x:c>
      <x:c r="I10" s="52" t="n">
        <x:f>MAX(0,-H10)</x:f>
        <x:v>2.5</x:v>
      </x:c>
      <x:c r="J10" s="44" t="n">
        <x:f>ROUNDUP(I10,0)</x:f>
        <x:v>3</x:v>
      </x:c>
      <x:c r="K10" s="44" t="n">
        <x:v>134</x:v>
      </x:c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str">
        <x:v>M2</x:v>
      </x:c>
      <x:c r="B11" s="44" t="str">
        <x:v>Urban heat</x:v>
      </x:c>
      <x:c r="C11" s="44" t="n">
        <x:v>164</x:v>
      </x:c>
      <x:c r="D11" s="44" t="n">
        <x:v>72</x:v>
      </x:c>
      <x:c r="E11" s="44" t="n">
        <x:v>3</x:v>
      </x:c>
      <x:c r="F11" s="44" t="n">
        <x:v>1</x:v>
      </x:c>
      <x:c r="G11" s="44" t="n">
        <x:f>Controls!B16</x:f>
        <x:v>12</x:v>
      </x:c>
      <x:c r="H11" s="52" t="n">
        <x:f>D11/24-G11/24-E11-F11</x:f>
        <x:v>-1.5</x:v>
      </x:c>
      <x:c r="I11" s="52" t="n">
        <x:f>MAX(0,-H11)</x:f>
        <x:v>1.5</x:v>
      </x:c>
      <x:c r="J11" s="44" t="n">
        <x:f>ROUNDUP(I11,0)</x:f>
        <x:v>2</x:v>
      </x:c>
      <x:c r="K11" s="44" t="n">
        <x:v>73</x:v>
      </x:c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4" t="str">
        <x:v>M3</x:v>
      </x:c>
      <x:c r="B12" s="44" t="str">
        <x:v>Inland flood</x:v>
      </x:c>
      <x:c r="C12" s="44" t="n">
        <x:v>192</x:v>
      </x:c>
      <x:c r="D12" s="44" t="n">
        <x:v>72</x:v>
      </x:c>
      <x:c r="E12" s="44" t="n">
        <x:v>3</x:v>
      </x:c>
      <x:c r="F12" s="44" t="n">
        <x:v>2</x:v>
      </x:c>
      <x:c r="G12" s="44" t="n">
        <x:f>Controls!B16</x:f>
        <x:v>12</x:v>
      </x:c>
      <x:c r="H12" s="52" t="n">
        <x:f>D12/24-G12/24-E12-F12</x:f>
        <x:v>-2.5</x:v>
      </x:c>
      <x:c r="I12" s="52" t="n">
        <x:f>MAX(0,-H12)</x:f>
        <x:v>2.5</x:v>
      </x:c>
      <x:c r="J12" s="44" t="n">
        <x:f>ROUNDUP(I12,0)</x:f>
        <x:v>3</x:v>
      </x:c>
      <x:c r="K12" s="44" t="n">
        <x:v>145</x:v>
      </x:c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4" t="str">
        <x:v>M4</x:v>
      </x:c>
      <x:c r="B13" s="44" t="str">
        <x:v>Tornado and utility disruption</x:v>
      </x:c>
      <x:c r="C13" s="44" t="n">
        <x:v>217</x:v>
      </x:c>
      <x:c r="D13" s="44" t="n">
        <x:v>24</x:v>
      </x:c>
      <x:c r="E13" s="44" t="n">
        <x:v>1</x:v>
      </x:c>
      <x:c r="F13" s="44" t="n">
        <x:v>1</x:v>
      </x:c>
      <x:c r="G13" s="44" t="n">
        <x:f>Controls!B16</x:f>
        <x:v>12</x:v>
      </x:c>
      <x:c r="H13" s="52" t="n">
        <x:f>D13/24-G13/24-E13-F13</x:f>
        <x:v>-1.5</x:v>
      </x:c>
      <x:c r="I13" s="52" t="n">
        <x:f>MAX(0,-H13)</x:f>
        <x:v>1.5</x:v>
      </x:c>
      <x:c r="J13" s="44" t="n">
        <x:f>ROUNDUP(I13,0)</x:f>
        <x:v>2</x:v>
      </x:c>
      <x:c r="K13" s="44" t="n">
        <x:v>56</x:v>
      </x:c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4" t="str">
        <x:v>M5</x:v>
      </x:c>
      <x:c r="B14" s="44" t="str">
        <x:v>Territorial drought and utility failure</x:v>
      </x:c>
      <x:c r="C14" s="44" t="n">
        <x:v>193</x:v>
      </x:c>
      <x:c r="D14" s="44" t="n">
        <x:v>720</x:v>
      </x:c>
      <x:c r="E14" s="44" t="n">
        <x:v>14</x:v>
      </x:c>
      <x:c r="F14" s="44" t="n">
        <x:v>7</x:v>
      </x:c>
      <x:c r="G14" s="44" t="n">
        <x:f>Controls!B16</x:f>
        <x:v>12</x:v>
      </x:c>
      <x:c r="H14" s="52" t="n">
        <x:f>D14/24-G14/24-E14-F14</x:f>
        <x:v>8.5</x:v>
      </x:c>
      <x:c r="I14" s="52" t="n">
        <x:f>MAX(0,-H14)</x:f>
        <x:v>0</x:v>
      </x:c>
      <x:c r="J14" s="44" t="n">
        <x:f>ROUNDUP(I14,0)</x:f>
        <x:v>0</x:v>
      </x:c>
      <x:c r="K14" s="44" t="n">
        <x:v>253</x:v>
      </x:c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53"/>
      <x:c r="I15" s="53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53"/>
      <x:c r="I16" s="53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54" t="str">
        <x:v>Total / max</x:v>
      </x:c>
      <x:c r="B17" s="54" t="str">
        <x:v>Environment</x:v>
      </x:c>
      <x:c r="C17" s="54" t="str">
        <x:v>Formations</x:v>
      </x:c>
      <x:c r="D17" s="54" t="str">
        <x:v>Notice</x:v>
      </x:c>
      <x:c r="E17" s="54" t="str">
        <x:v>Prepare</x:v>
      </x:c>
      <x:c r="F17" s="54" t="str">
        <x:v>Transit</x:v>
      </x:c>
      <x:c r="G17" s="54" t="str">
        <x:v>Activation</x:v>
      </x:c>
      <x:c r="H17" s="55" t="str">
        <x:v>Lead</x:v>
      </x:c>
      <x:c r="I17" s="55" t="str">
        <x:v>Gap</x:v>
      </x:c>
      <x:c r="J17" s="54" t="str">
        <x:v>Bridge</x:v>
      </x:c>
      <x:c r="K17" s="54" t="str">
        <x:v>Occupied</x:v>
      </x:c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51" t="str">
        <x:v>Portfolio</x:v>
      </x:c>
      <x:c r="B18" s="51"/>
      <x:c r="C18" s="51" t="n">
        <x:f>SUM(C7:C14)</x:f>
        <x:v>1745</x:v>
      </x:c>
      <x:c r="D18" s="51"/>
      <x:c r="E18" s="51"/>
      <x:c r="F18" s="51"/>
      <x:c r="G18" s="51"/>
      <x:c r="H18" s="56"/>
      <x:c r="I18" s="56" t="n">
        <x:f>MAX(I7:I14)</x:f>
        <x:v>5.5</x:v>
      </x:c>
      <x:c r="J18" s="51" t="n">
        <x:f>MAX(J7:J14)</x:f>
        <x:v>6</x:v>
      </x:c>
      <x:c r="K18" s="51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4" hidden="0" customWidth="1"/>
    <x:col min="3" max="3" width="18" hidden="0" customWidth="1"/>
    <x:col min="4" max="4" width="94" hidden="0" customWidth="1"/>
  </x:cols>
  <x:sheetData>
    <x:row r="2">
      <x:c r="A2" s="39" t="str">
        <x:v>Domestic covenant and receiver fabric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Counts derive from the inherited districts, campaigns, effects, families and this pass's thirteen warrants.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Object</x:v>
      </x:c>
      <x:c r="B6" s="43" t="str">
        <x:v>Formula</x:v>
      </x:c>
      <x:c r="C6" s="43" t="str">
        <x:v>Count</x:v>
      </x:c>
      <x:c r="D6" s="43" t="str">
        <x:v>Meaning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str">
        <x:v>District–campaign cells</x:v>
      </x:c>
      <x:c r="B7" s="44" t="str">
        <x:v>districts × campaigns</x:v>
      </x:c>
      <x:c r="C7" s="44" t="n">
        <x:f>Controls!B7*Controls!B8</x:f>
        <x:v>56</x:v>
      </x:c>
      <x:c r="D7" s="50" t="str">
        <x:v>Every national campaign has a prepared receiver in every readiness district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str">
        <x:v>Deficit registers</x:v>
      </x:c>
      <x:c r="B8" s="44" t="str">
        <x:v>districts × campaigns × effects</x:v>
      </x:c>
      <x:c r="C8" s="44" t="n">
        <x:f>C7*Controls!B9</x:f>
        <x:v>504</x:v>
      </x:c>
      <x:c r="D8" s="50" t="str">
        <x:v>Each nonfungible effect has an exact public claim surface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str">
        <x:v>Primary + alternate receiver paths</x:v>
      </x:c>
      <x:c r="B9" s="44" t="str">
        <x:v>deficit registers × 2</x:v>
      </x:c>
      <x:c r="C9" s="44" t="n">
        <x:f>C8*2</x:f>
        <x:v>1008</x:v>
      </x:c>
      <x:c r="D9" s="50" t="str">
        <x:v>One interface loss cannot erase the service route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str">
        <x:v>Family–district interfaces</x:v>
      </x:c>
      <x:c r="B10" s="44" t="str">
        <x:v>families × districts</x:v>
      </x:c>
      <x:c r="C10" s="44" t="n">
        <x:f>Controls!B10*Controls!B7</x:f>
        <x:v>336</x:v>
      </x:c>
      <x:c r="D10" s="50" t="str">
        <x:v>Every formation family has a governed domestic receiving seam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str">
        <x:v>Dual family interfaces</x:v>
      </x:c>
      <x:c r="B11" s="44" t="str">
        <x:v>family–district interfaces × 2</x:v>
      </x:c>
      <x:c r="C11" s="44" t="n">
        <x:f>C10*2</x:f>
        <x:v>672</x:v>
      </x:c>
      <x:c r="D11" s="50" t="str">
        <x:v>Primary and differently caused alternate seams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4" t="str">
        <x:v>Annual campaign–district exercises</x:v>
      </x:c>
      <x:c r="B12" s="44" t="str">
        <x:v>districts × campaigns</x:v>
      </x:c>
      <x:c r="C12" s="44" t="n">
        <x:f>C7</x:f>
        <x:v>56</x:v>
      </x:c>
      <x:c r="D12" s="50" t="str">
        <x:v>Every receiver cell is exercised at least once each year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4" t="str">
        <x:v>Warrant record slots</x:v>
      </x:c>
      <x:c r="B13" s="44" t="str">
        <x:v>deficit registers × warrants</x:v>
      </x:c>
      <x:c r="C13" s="44" t="n">
        <x:f>C8*13</x:f>
        <x:v>6552</x:v>
      </x:c>
      <x:c r="D13" s="50" t="str">
        <x:v>Maximum typed transaction surface before event-specific pruning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4" t="str">
        <x:v>Source-backed active records</x:v>
      </x:c>
      <x:c r="B14" s="44" t="str">
        <x:v>observed</x:v>
      </x:c>
      <x:c r="C14" s="44" t="n">
        <x:v>0</x:v>
      </x:c>
      <x:c r="D14" s="50" t="str">
        <x:v>All receiver identities and evidence remain source-empty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4" t="str">
        <x:v>Released authority</x:v>
      </x:c>
      <x:c r="B15" s="44" t="str">
        <x:v>observed</x:v>
      </x:c>
      <x:c r="C15" s="44" t="n">
        <x:v>0</x:v>
      </x:c>
      <x:c r="D15" s="50" t="str">
        <x:v>Planning counts do not authorize employment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7" hidden="0" customWidth="1"/>
    <x:col min="3" max="3" width="45" hidden="0" customWidth="1"/>
    <x:col min="4" max="4" width="91" hidden="0" customWidth="1"/>
  </x:cols>
  <x:sheetData>
    <x:row r="2">
      <x:c r="A2" s="39" t="str">
        <x:v>Sixteen prohibited conversions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Domestic sovereignty fails if a valid authority is allowed to become a different authority.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Law</x:v>
      </x:c>
      <x:c r="B6" s="43" t="str">
        <x:v>From</x:v>
      </x:c>
      <x:c r="C6" s="43" t="str">
        <x:v>Must not become</x:v>
      </x:c>
      <x:c r="D6" s="43" t="str">
        <x:v>Binding interpretation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33" customHeight="1">
      <x:c r="A7" s="44" t="n">
        <x:v>1</x:v>
      </x:c>
      <x:c r="B7" s="50" t="str">
        <x:v>Federal guarantee</x:v>
      </x:c>
      <x:c r="C7" s="50" t="str">
        <x:v>General federal police power</x:v>
      </x:c>
      <x:c r="D7" s="50" t="str">
        <x:v>The warrant attaches to service, not territory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33" customHeight="1">
      <x:c r="A8" s="44" t="n">
        <x:v>2</x:v>
      </x:c>
      <x:c r="B8" s="50" t="str">
        <x:v>Objective breach</x:v>
      </x:c>
      <x:c r="C8" s="50" t="str">
        <x:v>Automatic full campaign</x:v>
      </x:c>
      <x:c r="D8" s="50" t="str">
        <x:v>Independent verification, rights and allocation remain required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33" customHeight="1">
      <x:c r="A9" s="44" t="n">
        <x:v>3</x:v>
      </x:c>
      <x:c r="B9" s="50" t="str">
        <x:v>Receiver request</x:v>
      </x:c>
      <x:c r="C9" s="50" t="str">
        <x:v>Technical truth or readiness</x:v>
      </x:c>
      <x:c r="D9" s="50" t="str">
        <x:v>Request opens a claim, not a fact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33" customHeight="1">
      <x:c r="A10" s="44" t="n">
        <x:v>4</x:v>
      </x:c>
      <x:c r="B10" s="50" t="str">
        <x:v>Receiver refusal</x:v>
      </x:c>
      <x:c r="C10" s="50" t="str">
        <x:v>Extinction of the equal floor</x:v>
      </x:c>
      <x:c r="D10" s="50" t="str">
        <x:v>Refusal changes the lawful route, not the obligation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33" customHeight="1">
      <x:c r="A11" s="44" t="n">
        <x:v>5</x:v>
      </x:c>
      <x:c r="B11" s="50" t="str">
        <x:v>Method choice</x:v>
      </x:c>
      <x:c r="C11" s="50" t="str">
        <x:v>Selection of an unsafe or incomplete chain</x:v>
      </x:c>
      <x:c r="D11" s="50" t="str">
        <x:v>Custody is bounded by the same service contract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33" customHeight="1">
      <x:c r="A12" s="44" t="n">
        <x:v>6</x:v>
      </x:c>
      <x:c r="B12" s="50" t="str">
        <x:v>Receiver incapacity</x:v>
      </x:c>
      <x:c r="C12" s="50" t="str">
        <x:v>Replacement of civil government</x:v>
      </x:c>
      <x:c r="D12" s="50" t="str">
        <x:v>Only the exact unavailable service function transfers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33" customHeight="1">
      <x:c r="A13" s="44" t="n">
        <x:v>7</x:v>
      </x:c>
      <x:c r="B13" s="50" t="str">
        <x:v>Service easement</x:v>
      </x:c>
      <x:c r="C13" s="50" t="str">
        <x:v>Land title, zoning or political control</x:v>
      </x:c>
      <x:c r="D13" s="50" t="str">
        <x:v>Named interface, route and clock only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33" customHeight="1">
      <x:c r="A14" s="44" t="n">
        <x:v>8</x:v>
      </x:c>
      <x:c r="B14" s="50" t="str">
        <x:v>Security support</x:v>
      </x:c>
      <x:c r="C14" s="50" t="str">
        <x:v>Public-service command</x:v>
      </x:c>
      <x:c r="D14" s="50" t="str">
        <x:v>Protection remains under separate authority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33" customHeight="1">
      <x:c r="A15" s="44" t="n">
        <x:v>9</x:v>
      </x:c>
      <x:c r="B15" s="50" t="str">
        <x:v>Evacuation capacity</x:v>
      </x:c>
      <x:c r="C15" s="50" t="str">
        <x:v>Coercive removal</x:v>
      </x:c>
      <x:c r="D15" s="50" t="str">
        <x:v>Movement requires lawful civil authority and rights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33" customHeight="1">
      <x:c r="A16" s="44" t="n">
        <x:v>10</x:v>
      </x:c>
      <x:c r="B16" s="50" t="str">
        <x:v>Emergency</x:v>
      </x:c>
      <x:c r="C16" s="50" t="str">
        <x:v>Waiver of evidence, rights or consent</x:v>
      </x:c>
      <x:c r="D16" s="50" t="str">
        <x:v>Use certified fallback or reduce the promise</x:v>
      </x:c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33" customHeight="1">
      <x:c r="A17" s="44" t="n">
        <x:v>11</x:v>
      </x:c>
      <x:c r="B17" s="50" t="str">
        <x:v>State authority</x:v>
      </x:c>
      <x:c r="C17" s="50" t="str">
        <x:v>Control of tribal custody</x:v>
      </x:c>
      <x:c r="D17" s="50" t="str">
        <x:v>Tribal path is direct</x:v>
      </x:c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33" customHeight="1">
      <x:c r="A18" s="44" t="n">
        <x:v>12</x:v>
      </x:c>
      <x:c r="B18" s="50" t="str">
        <x:v>Geographic distance</x:v>
      </x:c>
      <x:c r="C18" s="50" t="str">
        <x:v>Industrial or receiver independence</x:v>
      </x:c>
      <x:c r="D18" s="50" t="str">
        <x:v>Separate causes and controls must be proved</x:v>
      </x:c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 ht="33" customHeight="1">
      <x:c r="A19" s="44" t="n">
        <x:v>13</x:v>
      </x:c>
      <x:c r="B19" s="50" t="str">
        <x:v>Delivered output</x:v>
      </x:c>
      <x:c r="C19" s="50" t="str">
        <x:v>Civil acceptance</x:v>
      </x:c>
      <x:c r="D19" s="50" t="str">
        <x:v>Safe use, access, residuals and remedy remain required</x:v>
      </x:c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 ht="33" customHeight="1">
      <x:c r="A20" s="44" t="n">
        <x:v>14</x:v>
      </x:c>
      <x:c r="B20" s="50" t="str">
        <x:v>Civil acceptance</x:v>
      </x:c>
      <x:c r="C20" s="50" t="str">
        <x:v>Strategic effect</x:v>
      </x:c>
      <x:c r="D20" s="50" t="str">
        <x:v>Causal and persistence evidence remain separate</x:v>
      </x:c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 ht="33" customHeight="1">
      <x:c r="A21" s="44" t="n">
        <x:v>15</x:v>
      </x:c>
      <x:c r="B21" s="50" t="str">
        <x:v>Success</x:v>
      </x:c>
      <x:c r="C21" s="50" t="str">
        <x:v>Permanent federal jurisdiction</x:v>
      </x:c>
      <x:c r="D21" s="50" t="str">
        <x:v>Every employment warrant expires</x:v>
      </x:c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 ht="33" customHeight="1">
      <x:c r="A22" s="44" t="n">
        <x:v>16</x:v>
      </x:c>
      <x:c r="B22" s="50" t="str">
        <x:v>Cost or scarcity</x:v>
      </x:c>
      <x:c r="C22" s="50" t="str">
        <x:v>Weighted cancellation of a nonfungible floor</x:v>
      </x:c>
      <x:c r="D22" s="50" t="str">
        <x:v>Publish deficit and ration within rights law</x:v>
      </x:c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78" hidden="0" customWidth="1"/>
    <x:col min="4" max="4" width="63" hidden="0" customWidth="1"/>
  </x:cols>
  <x:sheetData>
    <x:row r="2">
      <x:c r="A2" s="39" t="str">
        <x:v>Eight termination and return rules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Employment ends by restored service, restored receiver capability, expiry, adverse evidence or legislative refusal—not executive preference.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Rule</x:v>
      </x:c>
      <x:c r="B6" s="43" t="str">
        <x:v>Condition</x:v>
      </x:c>
      <x:c r="C6" s="43" t="str">
        <x:v>Evidence</x:v>
      </x:c>
      <x:c r="D6" s="43" t="str">
        <x:v>Disposition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39" customHeight="1">
      <x:c r="A7" s="44" t="str">
        <x:v>R1</x:v>
      </x:c>
      <x:c r="B7" s="50" t="str">
        <x:v>Floor restored</x:v>
      </x:c>
      <x:c r="C7" s="50" t="str">
        <x:v>All triggered effect contracts meet the accepted threshold</x:v>
      </x:c>
      <x:c r="D7" s="50" t="str">
        <x:v>Transfer or demobilize exact service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39" customHeight="1">
      <x:c r="A8" s="44" t="str">
        <x:v>R2</x:v>
      </x:c>
      <x:c r="B8" s="50" t="str">
        <x:v>Receiver capability restored</x:v>
      </x:c>
      <x:c r="C8" s="50" t="str">
        <x:v>Civil authority can safely own the function</x:v>
      </x:c>
      <x:c r="D8" s="50" t="str">
        <x:v>End functional receivership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39" customHeight="1">
      <x:c r="A9" s="44" t="str">
        <x:v>R3</x:v>
      </x:c>
      <x:c r="B9" s="50" t="str">
        <x:v>Thirty-day expiry</x:v>
      </x:c>
      <x:c r="C9" s="50" t="str">
        <x:v>Employment or easement clock ends</x:v>
      </x:c>
      <x:c r="D9" s="50" t="str">
        <x:v>Renew exact warrant or stop safely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39" customHeight="1">
      <x:c r="A10" s="44" t="str">
        <x:v>R4</x:v>
      </x:c>
      <x:c r="B10" s="50" t="str">
        <x:v>One-hundred-eighty-day review</x:v>
      </x:c>
      <x:c r="C10" s="50" t="str">
        <x:v>Six consecutive renewals reached</x:v>
      </x:c>
      <x:c r="D10" s="50" t="str">
        <x:v>Fresh legislative review; executive renewal unavailable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39" customHeight="1">
      <x:c r="A11" s="44" t="str">
        <x:v>R5</x:v>
      </x:c>
      <x:c r="B11" s="50" t="str">
        <x:v>Rights or safety failure</x:v>
      </x:c>
      <x:c r="C11" s="50" t="str">
        <x:v>Valid adverse finding</x:v>
      </x:c>
      <x:c r="D11" s="50" t="str">
        <x:v>Stop affected service, remedy and preserve evidence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39" customHeight="1">
      <x:c r="A12" s="44" t="str">
        <x:v>R6</x:v>
      </x:c>
      <x:c r="B12" s="50" t="str">
        <x:v>Receiver revokes an interface</x:v>
      </x:c>
      <x:c r="C12" s="50" t="str">
        <x:v>Specific site, route or method withdrawn</x:v>
      </x:c>
      <x:c r="D12" s="50" t="str">
        <x:v>Use a certified alternate; custody does not migrate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39" customHeight="1">
      <x:c r="A13" s="44" t="str">
        <x:v>R7</x:v>
      </x:c>
      <x:c r="B13" s="50" t="str">
        <x:v>Repeated valid failure</x:v>
      </x:c>
      <x:c r="C13" s="50" t="str">
        <x:v>Same service branch fails after one re-earned successor</x:v>
      </x:c>
      <x:c r="D13" s="50" t="str">
        <x:v>Kill branch and return unused authority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39" customHeight="1">
      <x:c r="A14" s="44" t="str">
        <x:v>R8</x:v>
      </x:c>
      <x:c r="B14" s="50" t="str">
        <x:v>Regeneration incomplete</x:v>
      </x:c>
      <x:c r="C14" s="50" t="str">
        <x:v>Serial not restored after employment</x:v>
      </x:c>
      <x:c r="D14" s="50" t="str">
        <x:v>Keep serial outside ready pool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24" hidden="0" customWidth="1"/>
  </x:cols>
  <x:sheetData>
    <x:row r="2">
      <x:c r="A2" s="39" t="str">
        <x:v>Ten domestic constitutional technology frontiers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The constitutional compact drives new technical capability rather than relying on paperwork layered over legacy response.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ID</x:v>
      </x:c>
      <x:c r="B6" s="43" t="str">
        <x:v>Frontier</x:v>
      </x:c>
      <x:c r="C6" s="43" t="str">
        <x:v>Required capability</x:v>
      </x:c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39" customHeight="1">
      <x:c r="A7" s="44" t="str">
        <x:v>DT-01</x:v>
      </x:c>
      <x:c r="B7" s="50" t="str">
        <x:v>Consent-preserving activation compiler</x:v>
      </x:c>
      <x:c r="C7" s="50" t="str">
        <x:v>Compile request, breach, rights, receiver and allocation states without central discretionary override</x:v>
      </x:c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39" customHeight="1">
      <x:c r="A8" s="44" t="str">
        <x:v>DT-02</x:v>
      </x:c>
      <x:c r="B8" s="50" t="str">
        <x:v>Sovereign offline authority mesh</x:v>
      </x:c>
      <x:c r="C8" s="50" t="str">
        <x:v>Operate and reconstruct warrants when commercial cloud, grid and telecom fail</x:v>
      </x:c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39" customHeight="1">
      <x:c r="A9" s="44" t="str">
        <x:v>DT-03</x:v>
      </x:c>
      <x:c r="B9" s="50" t="str">
        <x:v>Effect-denominator sensing</x:v>
      </x:c>
      <x:c r="C9" s="50" t="str">
        <x:v>Measure nonfungible civil deficits with uncertainty and independent replay</x:v>
      </x:c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39" customHeight="1">
      <x:c r="A10" s="44" t="str">
        <x:v>DT-04</x:v>
      </x:c>
      <x:c r="B10" s="50" t="str">
        <x:v>Service-easement geofencing</x:v>
      </x:c>
      <x:c r="C10" s="50" t="str">
        <x:v>Bind machines, routes, data and operators to exact service, place and expiry</x:v>
      </x:c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39" customHeight="1">
      <x:c r="A11" s="44" t="str">
        <x:v>DT-05</x:v>
      </x:c>
      <x:c r="B11" s="50" t="str">
        <x:v>Receiver seam kits</x:v>
      </x:c>
      <x:c r="C11" s="50" t="str">
        <x:v>Pre-engineered water, power, data, mobility, medical and residual interfaces across local systems</x:v>
      </x:c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39" customHeight="1">
      <x:c r="A12" s="44" t="str">
        <x:v>DT-06</x:v>
      </x:c>
      <x:c r="B12" s="50" t="str">
        <x:v>Six-day continuity islands</x:v>
      </x:c>
      <x:c r="C12" s="50" t="str">
        <x:v>Local bridge systems for immediate effects until national arrival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39" customHeight="1">
      <x:c r="A13" s="44" t="str">
        <x:v>DT-07</x:v>
      </x:c>
      <x:c r="B13" s="50" t="str">
        <x:v>Rights-bounded household reach</x:v>
      </x:c>
      <x:c r="C13" s="50" t="str">
        <x:v>Maintain accessible contact, consent, family linkage and remedy under infrastructure loss</x:v>
      </x:c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39" customHeight="1">
      <x:c r="A14" s="44" t="str">
        <x:v>DT-08</x:v>
      </x:c>
      <x:c r="B14" s="50" t="str">
        <x:v>Functional-receivership handback</x:v>
      </x:c>
      <x:c r="C14" s="50" t="str">
        <x:v>Transfer operations, data, custody and maintenance without persistent federal control</x:v>
      </x:c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39" customHeight="1">
      <x:c r="A15" s="44" t="str">
        <x:v>DT-09</x:v>
      </x:c>
      <x:c r="B15" s="50" t="str">
        <x:v>Public transaction replay</x:v>
      </x:c>
      <x:c r="C15" s="50" t="str">
        <x:v>Reconstruct every trigger, claim, serial, burden, compensation, expiry and rollback</x:v>
      </x:c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39" customHeight="1">
      <x:c r="A16" s="44" t="str">
        <x:v>DT-10</x:v>
      </x:c>
      <x:c r="B16" s="50" t="str">
        <x:v>Adversarial domestic range</x:v>
      </x:c>
      <x:c r="C16" s="50" t="str">
        <x:v>Test incapacity, contested refusal, interface revocation, false telemetry and court loss before service credit</x:v>
      </x:c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25" hidden="0" customWidth="1"/>
    <x:col min="4" max="4" width="24" hidden="0" customWidth="1"/>
    <x:col min="5" max="5" width="31" hidden="0" customWidth="1"/>
    <x:col min="6" max="6" width="38" hidden="0" customWidth="1"/>
  </x:cols>
  <x:sheetData>
    <x:row r="2">
      <x:c r="A2" s="39" t="str">
        <x:v>Nested domestic activation-estate range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These are cross-classifications of inherited common capital and mature operations, not additional appropriations.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Case</x:v>
      </x:c>
      <x:c r="B6" s="43" t="str">
        <x:v>Capital USD B</x:v>
      </x:c>
      <x:c r="C6" s="43" t="str">
        <x:v>Annual operations USD B</x:v>
      </x:c>
      <x:c r="D6" s="43" t="str">
        <x:v>25-year cross-classification USD B</x:v>
      </x:c>
      <x:c r="E6" s="43" t="str">
        <x:v>Share of Department public outlay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str">
        <x:v>Low</x:v>
      </x:c>
      <x:c r="B7" s="57" t="n">
        <x:f>Controls!B13*Controls!B21*1000</x:f>
        <x:v>79.8944</x:v>
      </x:c>
      <x:c r="C7" s="57" t="n">
        <x:f>Controls!B14*Controls!B24*1000</x:f>
        <x:v>10.55</x:v>
      </x:c>
      <x:c r="D7" s="58" t="n">
        <x:f>B7+C7*Controls!B27</x:f>
        <x:v>296.1694</x:v>
      </x:c>
      <x:c r="E7" s="59" t="n">
        <x:f>D7/58595.5</x:f>
        <x:v>0.00505447346639247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str">
        <x:v>Base</x:v>
      </x:c>
      <x:c r="B8" s="58" t="n">
        <x:f>Controls!B13*Controls!B22*1000</x:f>
        <x:v>159.7888</x:v>
      </x:c>
      <x:c r="C8" s="57" t="n">
        <x:f>Controls!B14*Controls!B25*1000</x:f>
        <x:v>21.1</x:v>
      </x:c>
      <x:c r="D8" s="58" t="n">
        <x:f>B8+C8*Controls!B27</x:f>
        <x:v>592.3388</x:v>
      </x:c>
      <x:c r="E8" s="59" t="n">
        <x:f>D8/58595.5</x:f>
        <x:v>0.01010894693278494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str">
        <x:v>High</x:v>
      </x:c>
      <x:c r="B9" s="58" t="n">
        <x:f>Controls!B13*Controls!B23*1000</x:f>
        <x:v>239.6832</x:v>
      </x:c>
      <x:c r="C9" s="57" t="n">
        <x:f>Controls!B14*Controls!B26*1000</x:f>
        <x:v>31.65</x:v>
      </x:c>
      <x:c r="D9" s="58" t="n">
        <x:f>B9+C9*Controls!B27</x:f>
        <x:v>888.5082</x:v>
      </x:c>
      <x:c r="E9" s="59" t="n">
        <x:f>D9/58595.5</x:f>
        <x:v>0.01516342039917741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3" t="str">
        <x:v>Base account</x:v>
      </x:c>
      <x:c r="B12" s="43" t="str">
        <x:v>Capital share</x:v>
      </x:c>
      <x:c r="C12" s="43" t="str">
        <x:v>Capital USD B</x:v>
      </x:c>
      <x:c r="D12" s="43" t="str">
        <x:v>Operations share</x:v>
      </x:c>
      <x:c r="E12" s="43" t="str">
        <x:v>Annual operations USD B</x:v>
      </x:c>
      <x:c r="F12" s="43" t="str">
        <x:v>25-year ramped operations USD B</x:v>
      </x:c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4" t="str">
        <x:v>Six-day continuity islands</x:v>
      </x:c>
      <x:c r="B13" s="59" t="n">
        <x:v>0.5</x:v>
      </x:c>
      <x:c r="C13" s="57" t="n">
        <x:f>$B$8*B13</x:f>
        <x:v>79.8944</x:v>
      </x:c>
      <x:c r="D13" s="59" t="n">
        <x:v>0.35</x:v>
      </x:c>
      <x:c r="E13" s="57" t="n">
        <x:f>$C$8*D13</x:f>
        <x:v>7.385</x:v>
      </x:c>
      <x:c r="F13" s="57" t="n">
        <x:f>E13*Controls!B27</x:f>
        <x:v>151.39249999999998</x:v>
      </x:c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4" t="str">
        <x:v>Receiver seams and alternate interfaces</x:v>
      </x:c>
      <x:c r="B14" s="59" t="n">
        <x:v>0.25</x:v>
      </x:c>
      <x:c r="C14" s="57" t="n">
        <x:f>$B$8*B14</x:f>
        <x:v>39.9472</x:v>
      </x:c>
      <x:c r="D14" s="59" t="n">
        <x:v>0.25</x:v>
      </x:c>
      <x:c r="E14" s="57" t="n">
        <x:f>$C$8*D14</x:f>
        <x:v>5.275</x:v>
      </x:c>
      <x:c r="F14" s="57" t="n">
        <x:f>E14*Controls!B27</x:f>
        <x:v>108.1375</x:v>
      </x:c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4" t="str">
        <x:v>Sensing, offline authority and public ledger</x:v>
      </x:c>
      <x:c r="B15" s="59" t="n">
        <x:v>0.125</x:v>
      </x:c>
      <x:c r="C15" s="57" t="n">
        <x:f>$B$8*B15</x:f>
        <x:v>19.9736</x:v>
      </x:c>
      <x:c r="D15" s="59" t="n">
        <x:v>0.2</x:v>
      </x:c>
      <x:c r="E15" s="57" t="n">
        <x:f>$C$8*D15</x:f>
        <x:v>4.220000000000001</x:v>
      </x:c>
      <x:c r="F15" s="57" t="n">
        <x:f>E15*Controls!B27</x:f>
        <x:v>86.51000000000002</x:v>
      </x:c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4" t="str">
        <x:v>Rights, compensation, exercises and handback</x:v>
      </x:c>
      <x:c r="B16" s="59" t="n">
        <x:v>0.125</x:v>
      </x:c>
      <x:c r="C16" s="57" t="n">
        <x:f>$B$8*B16</x:f>
        <x:v>19.9736</x:v>
      </x:c>
      <x:c r="D16" s="59" t="n">
        <x:v>0.2</x:v>
      </x:c>
      <x:c r="E16" s="57" t="n">
        <x:f>$C$8*D16</x:f>
        <x:v>4.220000000000001</x:v>
      </x:c>
      <x:c r="F16" s="57" t="n">
        <x:f>E16*Controls!B27</x:f>
        <x:v>86.51000000000002</x:v>
      </x:c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60"/>
      <x:c r="C17" s="61"/>
      <x:c r="D17" s="60"/>
      <x:c r="E17" s="61"/>
      <x:c r="F17" s="61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54" t="str">
        <x:v>Total</x:v>
      </x:c>
      <x:c r="B18" s="62" t="str">
        <x:v>Capital share</x:v>
      </x:c>
      <x:c r="C18" s="63" t="str">
        <x:v>Capital</x:v>
      </x:c>
      <x:c r="D18" s="62" t="str">
        <x:v>Operations share</x:v>
      </x:c>
      <x:c r="E18" s="63" t="str">
        <x:v>Annual operations</x:v>
      </x:c>
      <x:c r="F18" s="63" t="str">
        <x:v>Ramped operations</x:v>
      </x:c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51" t="str">
        <x:v>Base</x:v>
      </x:c>
      <x:c r="B19" s="64" t="n">
        <x:f>SUM(B13:B16)</x:f>
        <x:v>1</x:v>
      </x:c>
      <x:c r="C19" s="65" t="n">
        <x:f>SUM(C13:C16)</x:f>
        <x:v>159.7888</x:v>
      </x:c>
      <x:c r="D19" s="64" t="n">
        <x:f>SUM(D13:D16)</x:f>
        <x:v>1</x:v>
      </x:c>
      <x:c r="E19" s="65" t="n">
        <x:f>SUM(E13:E16)</x:f>
        <x:v>21.1</x:v>
      </x:c>
      <x:c r="F19" s="65" t="n">
        <x:f>SUM(F13:F16)</x:f>
        <x:v>432.54999999999995</x:v>
      </x:c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23" hidden="0" customWidth="1"/>
    <x:col min="5" max="5" width="26" hidden="0" customWidth="1"/>
    <x:col min="6" max="6" width="35" hidden="0" customWidth="1"/>
    <x:col min="7" max="7" width="24" hidden="0" customWidth="1"/>
  </x:cols>
  <x:sheetData>
    <x:row r="2">
      <x:c r="A2" s="39" t="str">
        <x:v>Base-case twenty-five-year activation-estate schedule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Capital forms over ten years; operations ramp with the estate. The schedule remains nested inside Department totals.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Year</x:v>
      </x:c>
      <x:c r="B6" s="43" t="str">
        <x:v>Capital share</x:v>
      </x:c>
      <x:c r="C6" s="43" t="str">
        <x:v>Active share</x:v>
      </x:c>
      <x:c r="D6" s="43" t="str">
        <x:v>Capital USD B</x:v>
      </x:c>
      <x:c r="E6" s="43" t="str">
        <x:v>Operations USD B</x:v>
      </x:c>
      <x:c r="F6" s="43" t="str">
        <x:v>Cross-classification USD B</x:v>
      </x:c>
      <x:c r="G6" s="43" t="str">
        <x:v>Cumulative USD B</x:v>
      </x:c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n">
        <x:v>1</x:v>
      </x:c>
      <x:c r="B7" s="66" t="n">
        <x:v>0.02</x:v>
      </x:c>
      <x:c r="C7" s="66" t="n">
        <x:v>0.1</x:v>
      </x:c>
      <x:c r="D7" s="67" t="n">
        <x:f>B7*'Fiscal Range'!B8</x:f>
        <x:v>3.1957760000000004</x:v>
      </x:c>
      <x:c r="E7" s="67" t="n">
        <x:f>C7*'Fiscal Range'!C8</x:f>
        <x:v>2.1100000000000003</x:v>
      </x:c>
      <x:c r="F7" s="67" t="n">
        <x:f>D7+E7</x:f>
        <x:v>5.305776000000001</x:v>
      </x:c>
      <x:c r="G7" s="67" t="n">
        <x:f>F7</x:f>
        <x:v>5.305776000000001</x:v>
      </x:c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n">
        <x:v>2</x:v>
      </x:c>
      <x:c r="B8" s="66" t="n">
        <x:v>0.04</x:v>
      </x:c>
      <x:c r="C8" s="66" t="n">
        <x:v>0.2</x:v>
      </x:c>
      <x:c r="D8" s="67" t="n">
        <x:f>B8*'Fiscal Range'!B8</x:f>
        <x:v>6.391552000000001</x:v>
      </x:c>
      <x:c r="E8" s="67" t="n">
        <x:f>C8*'Fiscal Range'!C8</x:f>
        <x:v>4.220000000000001</x:v>
      </x:c>
      <x:c r="F8" s="67" t="n">
        <x:f>D8+E8</x:f>
        <x:v>10.611552000000001</x:v>
      </x:c>
      <x:c r="G8" s="67" t="n">
        <x:f>G7+F8</x:f>
        <x:v>15.917328000000001</x:v>
      </x:c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n">
        <x:v>3</x:v>
      </x:c>
      <x:c r="B9" s="66" t="n">
        <x:v>0.07</x:v>
      </x:c>
      <x:c r="C9" s="66" t="n">
        <x:v>0.3</x:v>
      </x:c>
      <x:c r="D9" s="67" t="n">
        <x:f>B9*'Fiscal Range'!B8</x:f>
        <x:v>11.185216000000002</x:v>
      </x:c>
      <x:c r="E9" s="67" t="n">
        <x:f>C9*'Fiscal Range'!C8</x:f>
        <x:v>6.33</x:v>
      </x:c>
      <x:c r="F9" s="67" t="n">
        <x:f>D9+E9</x:f>
        <x:v>17.515216000000002</x:v>
      </x:c>
      <x:c r="G9" s="67" t="n">
        <x:f>G8+F9</x:f>
        <x:v>33.43254400000001</x:v>
      </x:c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n">
        <x:v>4</x:v>
      </x:c>
      <x:c r="B10" s="66" t="n">
        <x:v>0.1</x:v>
      </x:c>
      <x:c r="C10" s="66" t="n">
        <x:v>0.4</x:v>
      </x:c>
      <x:c r="D10" s="67" t="n">
        <x:f>B10*'Fiscal Range'!B8</x:f>
        <x:v>15.978880000000002</x:v>
      </x:c>
      <x:c r="E10" s="67" t="n">
        <x:f>C10*'Fiscal Range'!C8</x:f>
        <x:v>8.440000000000001</x:v>
      </x:c>
      <x:c r="F10" s="67" t="n">
        <x:f>D10+E10</x:f>
        <x:v>24.41888</x:v>
      </x:c>
      <x:c r="G10" s="67" t="n">
        <x:f>G9+F10</x:f>
        <x:v>57.85142400000001</x:v>
      </x:c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n">
        <x:v>5</x:v>
      </x:c>
      <x:c r="B11" s="66" t="n">
        <x:v>0.13</x:v>
      </x:c>
      <x:c r="C11" s="66" t="n">
        <x:v>0.5</x:v>
      </x:c>
      <x:c r="D11" s="67" t="n">
        <x:f>B11*'Fiscal Range'!B8</x:f>
        <x:v>20.772544000000003</x:v>
      </x:c>
      <x:c r="E11" s="67" t="n">
        <x:f>C11*'Fiscal Range'!C8</x:f>
        <x:v>10.55</x:v>
      </x:c>
      <x:c r="F11" s="67" t="n">
        <x:f>D11+E11</x:f>
        <x:v>31.322544000000004</x:v>
      </x:c>
      <x:c r="G11" s="67" t="n">
        <x:f>G10+F11</x:f>
        <x:v>89.17396800000002</x:v>
      </x:c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4" t="n">
        <x:v>6</x:v>
      </x:c>
      <x:c r="B12" s="66" t="n">
        <x:v>0.15</x:v>
      </x:c>
      <x:c r="C12" s="66" t="n">
        <x:v>0.6</x:v>
      </x:c>
      <x:c r="D12" s="67" t="n">
        <x:f>B12*'Fiscal Range'!B8</x:f>
        <x:v>23.968320000000002</x:v>
      </x:c>
      <x:c r="E12" s="67" t="n">
        <x:f>C12*'Fiscal Range'!C8</x:f>
        <x:v>12.66</x:v>
      </x:c>
      <x:c r="F12" s="67" t="n">
        <x:f>D12+E12</x:f>
        <x:v>36.62832</x:v>
      </x:c>
      <x:c r="G12" s="67" t="n">
        <x:f>G11+F12</x:f>
        <x:v>125.80228800000002</x:v>
      </x:c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4" t="n">
        <x:v>7</x:v>
      </x:c>
      <x:c r="B13" s="66" t="n">
        <x:v>0.15</x:v>
      </x:c>
      <x:c r="C13" s="66" t="n">
        <x:v>0.7</x:v>
      </x:c>
      <x:c r="D13" s="67" t="n">
        <x:f>B13*'Fiscal Range'!B8</x:f>
        <x:v>23.968320000000002</x:v>
      </x:c>
      <x:c r="E13" s="67" t="n">
        <x:f>C13*'Fiscal Range'!C8</x:f>
        <x:v>14.77</x:v>
      </x:c>
      <x:c r="F13" s="67" t="n">
        <x:f>D13+E13</x:f>
        <x:v>38.73832</x:v>
      </x:c>
      <x:c r="G13" s="67" t="n">
        <x:f>G12+F13</x:f>
        <x:v>164.54060800000002</x:v>
      </x:c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4" t="n">
        <x:v>8</x:v>
      </x:c>
      <x:c r="B14" s="66" t="n">
        <x:v>0.14</x:v>
      </x:c>
      <x:c r="C14" s="66" t="n">
        <x:v>0.8</x:v>
      </x:c>
      <x:c r="D14" s="67" t="n">
        <x:f>B14*'Fiscal Range'!B8</x:f>
        <x:v>22.370432000000005</x:v>
      </x:c>
      <x:c r="E14" s="67" t="n">
        <x:f>C14*'Fiscal Range'!C8</x:f>
        <x:v>16.880000000000003</x:v>
      </x:c>
      <x:c r="F14" s="67" t="n">
        <x:f>D14+E14</x:f>
        <x:v>39.250432</x:v>
      </x:c>
      <x:c r="G14" s="67" t="n">
        <x:f>G13+F14</x:f>
        <x:v>203.79104</x:v>
      </x:c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4" t="n">
        <x:v>9</x:v>
      </x:c>
      <x:c r="B15" s="66" t="n">
        <x:v>0.12</x:v>
      </x:c>
      <x:c r="C15" s="66" t="n">
        <x:v>0.9</x:v>
      </x:c>
      <x:c r="D15" s="67" t="n">
        <x:f>B15*'Fiscal Range'!B8</x:f>
        <x:v>19.174656</x:v>
      </x:c>
      <x:c r="E15" s="67" t="n">
        <x:f>C15*'Fiscal Range'!C8</x:f>
        <x:v>18.990000000000002</x:v>
      </x:c>
      <x:c r="F15" s="67" t="n">
        <x:f>D15+E15</x:f>
        <x:v>38.164656</x:v>
      </x:c>
      <x:c r="G15" s="67" t="n">
        <x:f>G14+F15</x:f>
        <x:v>241.95569600000002</x:v>
      </x:c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4" t="n">
        <x:v>10</x:v>
      </x:c>
      <x:c r="B16" s="66" t="n">
        <x:v>0.08</x:v>
      </x:c>
      <x:c r="C16" s="66" t="n">
        <x:v>1</x:v>
      </x:c>
      <x:c r="D16" s="67" t="n">
        <x:f>B16*'Fiscal Range'!B8</x:f>
        <x:v>12.783104000000002</x:v>
      </x:c>
      <x:c r="E16" s="67" t="n">
        <x:f>C16*'Fiscal Range'!C8</x:f>
        <x:v>21.1</x:v>
      </x:c>
      <x:c r="F16" s="67" t="n">
        <x:f>D16+E16</x:f>
        <x:v>33.883104</x:v>
      </x:c>
      <x:c r="G16" s="67" t="n">
        <x:f>G15+F16</x:f>
        <x:v>275.8388</x:v>
      </x:c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4" t="n">
        <x:v>11</x:v>
      </x:c>
      <x:c r="B17" s="66" t="n">
        <x:v>0</x:v>
      </x:c>
      <x:c r="C17" s="66" t="n">
        <x:v>1</x:v>
      </x:c>
      <x:c r="D17" s="67" t="n">
        <x:f>B17*'Fiscal Range'!B8</x:f>
        <x:v>0</x:v>
      </x:c>
      <x:c r="E17" s="67" t="n">
        <x:f>C17*'Fiscal Range'!C8</x:f>
        <x:v>21.1</x:v>
      </x:c>
      <x:c r="F17" s="67" t="n">
        <x:f>D17+E17</x:f>
        <x:v>21.1</x:v>
      </x:c>
      <x:c r="G17" s="67" t="n">
        <x:f>G16+F17</x:f>
        <x:v>296.9388</x:v>
      </x:c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4" t="n">
        <x:v>12</x:v>
      </x:c>
      <x:c r="B18" s="66" t="n">
        <x:v>0</x:v>
      </x:c>
      <x:c r="C18" s="66" t="n">
        <x:v>1</x:v>
      </x:c>
      <x:c r="D18" s="67" t="n">
        <x:f>B18*'Fiscal Range'!B8</x:f>
        <x:v>0</x:v>
      </x:c>
      <x:c r="E18" s="67" t="n">
        <x:f>C18*'Fiscal Range'!C8</x:f>
        <x:v>21.1</x:v>
      </x:c>
      <x:c r="F18" s="67" t="n">
        <x:f>D18+E18</x:f>
        <x:v>21.1</x:v>
      </x:c>
      <x:c r="G18" s="67" t="n">
        <x:f>G17+F18</x:f>
        <x:v>318.03880000000004</x:v>
      </x:c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4" t="n">
        <x:v>13</x:v>
      </x:c>
      <x:c r="B19" s="66" t="n">
        <x:v>0</x:v>
      </x:c>
      <x:c r="C19" s="66" t="n">
        <x:v>1</x:v>
      </x:c>
      <x:c r="D19" s="67" t="n">
        <x:f>B19*'Fiscal Range'!B8</x:f>
        <x:v>0</x:v>
      </x:c>
      <x:c r="E19" s="67" t="n">
        <x:f>C19*'Fiscal Range'!C8</x:f>
        <x:v>21.1</x:v>
      </x:c>
      <x:c r="F19" s="67" t="n">
        <x:f>D19+E19</x:f>
        <x:v>21.1</x:v>
      </x:c>
      <x:c r="G19" s="67" t="n">
        <x:f>G18+F19</x:f>
        <x:v>339.13880000000006</x:v>
      </x:c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4" t="n">
        <x:v>14</x:v>
      </x:c>
      <x:c r="B20" s="66" t="n">
        <x:v>0</x:v>
      </x:c>
      <x:c r="C20" s="66" t="n">
        <x:v>1</x:v>
      </x:c>
      <x:c r="D20" s="67" t="n">
        <x:f>B20*'Fiscal Range'!B8</x:f>
        <x:v>0</x:v>
      </x:c>
      <x:c r="E20" s="67" t="n">
        <x:f>C20*'Fiscal Range'!C8</x:f>
        <x:v>21.1</x:v>
      </x:c>
      <x:c r="F20" s="67" t="n">
        <x:f>D20+E20</x:f>
        <x:v>21.1</x:v>
      </x:c>
      <x:c r="G20" s="67" t="n">
        <x:f>G19+F20</x:f>
        <x:v>360.2388000000001</x:v>
      </x:c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4" t="n">
        <x:v>15</x:v>
      </x:c>
      <x:c r="B21" s="66" t="n">
        <x:v>0</x:v>
      </x:c>
      <x:c r="C21" s="66" t="n">
        <x:v>1</x:v>
      </x:c>
      <x:c r="D21" s="67" t="n">
        <x:f>B21*'Fiscal Range'!B8</x:f>
        <x:v>0</x:v>
      </x:c>
      <x:c r="E21" s="67" t="n">
        <x:f>C21*'Fiscal Range'!C8</x:f>
        <x:v>21.1</x:v>
      </x:c>
      <x:c r="F21" s="67" t="n">
        <x:f>D21+E21</x:f>
        <x:v>21.1</x:v>
      </x:c>
      <x:c r="G21" s="67" t="n">
        <x:f>G20+F21</x:f>
        <x:v>381.3388000000001</x:v>
      </x:c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4" t="n">
        <x:v>16</x:v>
      </x:c>
      <x:c r="B22" s="66" t="n">
        <x:v>0</x:v>
      </x:c>
      <x:c r="C22" s="66" t="n">
        <x:v>1</x:v>
      </x:c>
      <x:c r="D22" s="67" t="n">
        <x:f>B22*'Fiscal Range'!B8</x:f>
        <x:v>0</x:v>
      </x:c>
      <x:c r="E22" s="67" t="n">
        <x:f>C22*'Fiscal Range'!C8</x:f>
        <x:v>21.1</x:v>
      </x:c>
      <x:c r="F22" s="67" t="n">
        <x:f>D22+E22</x:f>
        <x:v>21.1</x:v>
      </x:c>
      <x:c r="G22" s="67" t="n">
        <x:f>G21+F22</x:f>
        <x:v>402.4388000000001</x:v>
      </x:c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4" t="n">
        <x:v>17</x:v>
      </x:c>
      <x:c r="B23" s="66" t="n">
        <x:v>0</x:v>
      </x:c>
      <x:c r="C23" s="66" t="n">
        <x:v>1</x:v>
      </x:c>
      <x:c r="D23" s="67" t="n">
        <x:f>B23*'Fiscal Range'!B8</x:f>
        <x:v>0</x:v>
      </x:c>
      <x:c r="E23" s="67" t="n">
        <x:f>C23*'Fiscal Range'!C8</x:f>
        <x:v>21.1</x:v>
      </x:c>
      <x:c r="F23" s="67" t="n">
        <x:f>D23+E23</x:f>
        <x:v>21.1</x:v>
      </x:c>
      <x:c r="G23" s="67" t="n">
        <x:f>G22+F23</x:f>
        <x:v>423.53880000000015</x:v>
      </x:c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4" t="n">
        <x:v>18</x:v>
      </x:c>
      <x:c r="B24" s="66" t="n">
        <x:v>0</x:v>
      </x:c>
      <x:c r="C24" s="66" t="n">
        <x:v>1</x:v>
      </x:c>
      <x:c r="D24" s="67" t="n">
        <x:f>B24*'Fiscal Range'!B8</x:f>
        <x:v>0</x:v>
      </x:c>
      <x:c r="E24" s="67" t="n">
        <x:f>C24*'Fiscal Range'!C8</x:f>
        <x:v>21.1</x:v>
      </x:c>
      <x:c r="F24" s="67" t="n">
        <x:f>D24+E24</x:f>
        <x:v>21.1</x:v>
      </x:c>
      <x:c r="G24" s="67" t="n">
        <x:f>G23+F24</x:f>
        <x:v>444.6388000000002</x:v>
      </x:c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4" t="n">
        <x:v>19</x:v>
      </x:c>
      <x:c r="B25" s="66" t="n">
        <x:v>0</x:v>
      </x:c>
      <x:c r="C25" s="66" t="n">
        <x:v>1</x:v>
      </x:c>
      <x:c r="D25" s="67" t="n">
        <x:f>B25*'Fiscal Range'!B8</x:f>
        <x:v>0</x:v>
      </x:c>
      <x:c r="E25" s="67" t="n">
        <x:f>C25*'Fiscal Range'!C8</x:f>
        <x:v>21.1</x:v>
      </x:c>
      <x:c r="F25" s="67" t="n">
        <x:f>D25+E25</x:f>
        <x:v>21.1</x:v>
      </x:c>
      <x:c r="G25" s="67" t="n">
        <x:f>G24+F25</x:f>
        <x:v>465.7388000000002</x:v>
      </x:c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4" t="n">
        <x:v>20</x:v>
      </x:c>
      <x:c r="B26" s="66" t="n">
        <x:v>0</x:v>
      </x:c>
      <x:c r="C26" s="66" t="n">
        <x:v>1</x:v>
      </x:c>
      <x:c r="D26" s="67" t="n">
        <x:f>B26*'Fiscal Range'!B8</x:f>
        <x:v>0</x:v>
      </x:c>
      <x:c r="E26" s="67" t="n">
        <x:f>C26*'Fiscal Range'!C8</x:f>
        <x:v>21.1</x:v>
      </x:c>
      <x:c r="F26" s="67" t="n">
        <x:f>D26+E26</x:f>
        <x:v>21.1</x:v>
      </x:c>
      <x:c r="G26" s="67" t="n">
        <x:f>G25+F26</x:f>
        <x:v>486.8388000000002</x:v>
      </x:c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4" t="n">
        <x:v>21</x:v>
      </x:c>
      <x:c r="B27" s="66" t="n">
        <x:v>0</x:v>
      </x:c>
      <x:c r="C27" s="66" t="n">
        <x:v>1</x:v>
      </x:c>
      <x:c r="D27" s="67" t="n">
        <x:f>B27*'Fiscal Range'!B8</x:f>
        <x:v>0</x:v>
      </x:c>
      <x:c r="E27" s="67" t="n">
        <x:f>C27*'Fiscal Range'!C8</x:f>
        <x:v>21.1</x:v>
      </x:c>
      <x:c r="F27" s="67" t="n">
        <x:f>D27+E27</x:f>
        <x:v>21.1</x:v>
      </x:c>
      <x:c r="G27" s="67" t="n">
        <x:f>G26+F27</x:f>
        <x:v>507.93880000000024</x:v>
      </x:c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4" t="n">
        <x:v>22</x:v>
      </x:c>
      <x:c r="B28" s="66" t="n">
        <x:v>0</x:v>
      </x:c>
      <x:c r="C28" s="66" t="n">
        <x:v>1</x:v>
      </x:c>
      <x:c r="D28" s="67" t="n">
        <x:f>B28*'Fiscal Range'!B8</x:f>
        <x:v>0</x:v>
      </x:c>
      <x:c r="E28" s="67" t="n">
        <x:f>C28*'Fiscal Range'!C8</x:f>
        <x:v>21.1</x:v>
      </x:c>
      <x:c r="F28" s="67" t="n">
        <x:f>D28+E28</x:f>
        <x:v>21.1</x:v>
      </x:c>
      <x:c r="G28" s="67" t="n">
        <x:f>G27+F28</x:f>
        <x:v>529.0388000000003</x:v>
      </x:c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4" t="n">
        <x:v>23</x:v>
      </x:c>
      <x:c r="B29" s="66" t="n">
        <x:v>0</x:v>
      </x:c>
      <x:c r="C29" s="66" t="n">
        <x:v>1</x:v>
      </x:c>
      <x:c r="D29" s="67" t="n">
        <x:f>B29*'Fiscal Range'!B8</x:f>
        <x:v>0</x:v>
      </x:c>
      <x:c r="E29" s="67" t="n">
        <x:f>C29*'Fiscal Range'!C8</x:f>
        <x:v>21.1</x:v>
      </x:c>
      <x:c r="F29" s="67" t="n">
        <x:f>D29+E29</x:f>
        <x:v>21.1</x:v>
      </x:c>
      <x:c r="G29" s="67" t="n">
        <x:f>G28+F29</x:f>
        <x:v>550.1388000000003</x:v>
      </x:c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4" t="n">
        <x:v>24</x:v>
      </x:c>
      <x:c r="B30" s="66" t="n">
        <x:v>0</x:v>
      </x:c>
      <x:c r="C30" s="66" t="n">
        <x:v>1</x:v>
      </x:c>
      <x:c r="D30" s="67" t="n">
        <x:f>B30*'Fiscal Range'!B8</x:f>
        <x:v>0</x:v>
      </x:c>
      <x:c r="E30" s="67" t="n">
        <x:f>C30*'Fiscal Range'!C8</x:f>
        <x:v>21.1</x:v>
      </x:c>
      <x:c r="F30" s="67" t="n">
        <x:f>D30+E30</x:f>
        <x:v>21.1</x:v>
      </x:c>
      <x:c r="G30" s="67" t="n">
        <x:f>G29+F30</x:f>
        <x:v>571.2388000000003</x:v>
      </x:c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4" t="n">
        <x:v>25</x:v>
      </x:c>
      <x:c r="B31" s="66" t="n">
        <x:v>0</x:v>
      </x:c>
      <x:c r="C31" s="66" t="n">
        <x:v>1</x:v>
      </x:c>
      <x:c r="D31" s="67" t="n">
        <x:f>B31*'Fiscal Range'!B8</x:f>
        <x:v>0</x:v>
      </x:c>
      <x:c r="E31" s="67" t="n">
        <x:f>C31*'Fiscal Range'!C8</x:f>
        <x:v>21.1</x:v>
      </x:c>
      <x:c r="F31" s="67" t="n">
        <x:f>D31+E31</x:f>
        <x:v>21.1</x:v>
      </x:c>
      <x:c r="G31" s="67" t="n">
        <x:f>G30+F31</x:f>
        <x:v>592.3388000000003</x:v>
      </x:c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68"/>
      <x:c r="C32" s="68"/>
      <x:c r="D32" s="69"/>
      <x:c r="E32" s="69"/>
      <x:c r="F32" s="69"/>
      <x:c r="G32" s="69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54" t="str">
        <x:v>Total</x:v>
      </x:c>
      <x:c r="B33" s="70" t="str">
        <x:v>Capital share</x:v>
      </x:c>
      <x:c r="C33" s="70" t="str">
        <x:v>Active</x:v>
      </x:c>
      <x:c r="D33" s="71" t="str">
        <x:v>Capital</x:v>
      </x:c>
      <x:c r="E33" s="71" t="str">
        <x:v>Operations</x:v>
      </x:c>
      <x:c r="F33" s="71" t="str">
        <x:v>Cross-classification</x:v>
      </x:c>
      <x:c r="G33" s="71" t="str">
        <x:v>Cumulative</x:v>
      </x:c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51" t="str">
        <x:v>25 years</x:v>
      </x:c>
      <x:c r="B34" s="72" t="n">
        <x:f>SUM(B7:B31)</x:f>
        <x:v>1</x:v>
      </x:c>
      <x:c r="C34" s="72"/>
      <x:c r="D34" s="73" t="n">
        <x:f>SUM(D7:D31)</x:f>
        <x:v>159.78880000000004</x:v>
      </x:c>
      <x:c r="E34" s="73" t="n">
        <x:f>SUM(E7:E31)</x:f>
        <x:v>432.5500000000002</x:v>
      </x:c>
      <x:c r="F34" s="73" t="n">
        <x:f>SUM(F7:F31)</x:f>
        <x:v>592.3388000000003</x:v>
      </x:c>
      <x:c r="G34" s="73" t="n">
        <x:f>G31</x:f>
        <x:v>592.3388000000003</x:v>
      </x:c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101" hidden="0" customWidth="1"/>
    <x:col min="3" max="3" width="66" hidden="0" customWidth="1"/>
  </x:cols>
  <x:sheetData>
    <x:row r="2">
      <x:c r="A2" s="39" t="str">
        <x:v>Domestic constitutional stress cases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Every case returns to the exact missing warrant and preserves useful safe service without allowing authority migration.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Case</x:v>
      </x:c>
      <x:c r="B6" s="43" t="str">
        <x:v>Required disposition</x:v>
      </x:c>
      <x:c r="C6" s="43" t="str">
        <x:v>Rule</x:v>
      </x:c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43" customHeight="1">
      <x:c r="A7" s="50" t="str">
        <x:v>Governor declines while an objective water deficit is independently verified</x:v>
      </x:c>
      <x:c r="B7" s="50" t="str">
        <x:v>Open T2; preserve local method choice; seek DW09 only if no safe admitted route remains</x:v>
      </x:c>
      <x:c r="C7" s="50" t="str">
        <x:v>Request is sufficient, not necessary</x:v>
      </x:c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43" customHeight="1">
      <x:c r="A8" s="50" t="str">
        <x:v>Local government accepts service but state executive objects</x:v>
      </x:c>
      <x:c r="B8" s="50" t="str">
        <x:v>Use the standing covenant's allocation of receiver competence; Tribunal resolves overlap</x:v>
      </x:c>
      <x:c r="C8" s="50" t="str">
        <x:v>Political hierarchy does not erase constituted custody</x:v>
      </x:c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43" customHeight="1">
      <x:c r="A9" s="50" t="str">
        <x:v>Tribal nation requests service and state denies transit</x:v>
      </x:c>
      <x:c r="B9" s="50" t="str">
        <x:v>Direct sovereign path plus bounded route/easement adjudication</x:v>
      </x:c>
      <x:c r="C9" s="50" t="str">
        <x:v>State permission cannot absorb tribal custody</x:v>
      </x:c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43" customHeight="1">
      <x:c r="A10" s="50" t="str">
        <x:v>Territorial receiver loses communications</x:v>
      </x:c>
      <x:c r="B10" s="50" t="str">
        <x:v>T3 incapacity finding for exact functions; use offline authority mesh</x:v>
      </x:c>
      <x:c r="C10" s="50" t="str">
        <x:v>Territory remains domestic and equal</x:v>
      </x:c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43" customHeight="1">
      <x:c r="A11" s="50" t="str">
        <x:v>False sensor indicates a lethal heat deficit</x:v>
      </x:c>
      <x:c r="B11" s="50" t="str">
        <x:v>HOLD at S02 until independent denominator evidence</x:v>
      </x:c>
      <x:c r="C11" s="50" t="str">
        <x:v>Telemetry is not truth</x:v>
      </x:c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43" customHeight="1">
      <x:c r="A12" s="50" t="str">
        <x:v>Receiver chooses a method that cannot close sanitation residuals</x:v>
      </x:c>
      <x:c r="B12" s="50" t="str">
        <x:v>Reject that method; offer certified alternatives</x:v>
      </x:c>
      <x:c r="C12" s="50" t="str">
        <x:v>Method custody cannot lower the floor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43" customHeight="1">
      <x:c r="A13" s="50" t="str">
        <x:v>Department security detachment attempts crowd control</x:v>
      </x:c>
      <x:c r="B13" s="50" t="str">
        <x:v>Separate security authority; remove public-service command claim</x:v>
      </x:c>
      <x:c r="C13" s="50" t="str">
        <x:v>Protection is not police power</x:v>
      </x:c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43" customHeight="1">
      <x:c r="A14" s="50" t="str">
        <x:v>Campaign occupies a school beyond its easement clock</x:v>
      </x:c>
      <x:c r="B14" s="50" t="str">
        <x:v>Expire or renew exact compensated interface; no implied tenure</x:v>
      </x:c>
      <x:c r="C14" s="50" t="str">
        <x:v>Use does not create title</x:v>
      </x:c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43" customHeight="1">
      <x:c r="A15" s="50" t="str">
        <x:v>National force will arrive after local stocks expire</x:v>
      </x:c>
      <x:c r="B15" s="50" t="str">
        <x:v>Employ DW08 bridge and publish uncovered duration; reduce the promise if no certified fallback exists</x:v>
      </x:c>
      <x:c r="C15" s="50" t="str">
        <x:v>Urgency does not create capability</x:v>
      </x:c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43" customHeight="1">
      <x:c r="A16" s="50" t="str">
        <x:v>One district and the Tribunal are unavailable</x:v>
      </x:c>
      <x:c r="B16" s="50" t="str">
        <x:v>Use named statutory alternate for DW09 and the N−1 allocation plan</x:v>
      </x:c>
      <x:c r="C16" s="50" t="str">
        <x:v>Continuity preserves the warrant, not migration of powers</x:v>
      </x:c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43" customHeight="1">
      <x:c r="A17" s="50" t="str">
        <x:v>Service succeeds but residents cannot access it</x:v>
      </x:c>
      <x:c r="B17" s="50" t="str">
        <x:v>No civil acceptance or effect credit; remedy distribution and rights</x:v>
      </x:c>
      <x:c r="C17" s="50" t="str">
        <x:v>Output is not service</x:v>
      </x:c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43" customHeight="1">
      <x:c r="A18" s="50" t="str">
        <x:v>Emergency persists past 180 days</x:v>
      </x:c>
      <x:c r="B18" s="50" t="str">
        <x:v>Fresh legislative review or bounded stop/transfer</x:v>
      </x:c>
      <x:c r="C18" s="50" t="str">
        <x:v>Repeated executive renewal cannot become permanent jurisdiction</x:v>
      </x:c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3" hidden="0" customWidth="1"/>
    <x:col min="3" max="3" width="23" hidden="0" customWidth="1"/>
    <x:col min="4" max="4" width="20" hidden="0" customWidth="1"/>
    <x:col min="5" max="5" width="15" hidden="0" customWidth="1"/>
  </x:cols>
  <x:sheetData>
    <x:row r="2">
      <x:c r="A2" s="39" t="str">
        <x:v>Terminal reconciliation audit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Audit reads the model and does not feed any operating, fiscal or decision calculation.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Audit</x:v>
      </x:c>
      <x:c r="B6" s="43" t="str">
        <x:v>Expected</x:v>
      </x:c>
      <x:c r="C6" s="43" t="str">
        <x:v>Observed</x:v>
      </x:c>
      <x:c r="D6" s="43" t="str">
        <x:v>Difference</x:v>
      </x:c>
      <x:c r="E6" s="43" t="str">
        <x:v>Result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str">
        <x:v>Architecture candidates</x:v>
      </x:c>
      <x:c r="B7" s="44" t="n">
        <x:v>5</x:v>
      </x:c>
      <x:c r="C7" s="44" t="n">
        <x:f>COUNTA(Architecture!A7:A11)</x:f>
        <x:v>5</x:v>
      </x:c>
      <x:c r="D7" s="52" t="n">
        <x:f>C7-B7</x:f>
        <x:v>0</x:v>
      </x:c>
      <x:c r="E7" s="44" t="str">
        <x:f>IF(ABS(D7)&lt;0.01,"PASS","FAIL")</x:f>
        <x:v>PASS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str">
        <x:v>Selected architectures</x:v>
      </x:c>
      <x:c r="B8" s="44" t="n">
        <x:v>1</x:v>
      </x:c>
      <x:c r="C8" s="44" t="n">
        <x:f>COUNTIF(Architecture!N7:N11,"SELECT")</x:f>
        <x:v>1</x:v>
      </x:c>
      <x:c r="D8" s="52" t="n">
        <x:f>C8-B8</x:f>
        <x:v>0</x:v>
      </x:c>
      <x:c r="E8" s="44" t="str">
        <x:f>IF(ABS(D8)&lt;0.01,"PASS","FAIL")</x:f>
        <x:v>PASS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str">
        <x:v>Covenant articles</x:v>
      </x:c>
      <x:c r="B9" s="44" t="n">
        <x:v>10</x:v>
      </x:c>
      <x:c r="C9" s="44" t="n">
        <x:f>COUNTA('Covenant Articles'!A7:A16)</x:f>
        <x:v>10</x:v>
      </x:c>
      <x:c r="D9" s="52" t="n">
        <x:f>C9-B9</x:f>
        <x:v>0</x:v>
      </x:c>
      <x:c r="E9" s="44" t="str">
        <x:f>IF(ABS(D9)&lt;0.01,"PASS","FAIL")</x:f>
        <x:v>PASS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str">
        <x:v>Sovereignty actors</x:v>
      </x:c>
      <x:c r="B10" s="44" t="n">
        <x:v>12</x:v>
      </x:c>
      <x:c r="C10" s="44" t="n">
        <x:f>COUNTA('Sovereignty Matrix'!A7:A18)</x:f>
        <x:v>12</x:v>
      </x:c>
      <x:c r="D10" s="52" t="n">
        <x:f>C10-B10</x:f>
        <x:v>0</x:v>
      </x:c>
      <x:c r="E10" s="44" t="str">
        <x:f>IF(ABS(D10)&lt;0.01,"PASS","FAIL")</x:f>
        <x:v>PASS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str">
        <x:v>Effect floors</x:v>
      </x:c>
      <x:c r="B11" s="44" t="n">
        <x:v>9</x:v>
      </x:c>
      <x:c r="C11" s="44" t="n">
        <x:f>COUNTA('Continuity Floor'!A7:A15)</x:f>
        <x:v>9</x:v>
      </x:c>
      <x:c r="D11" s="52" t="n">
        <x:f>C11-B11</x:f>
        <x:v>0</x:v>
      </x:c>
      <x:c r="E11" s="44" t="str">
        <x:f>IF(ABS(D11)&lt;0.01,"PASS","FAIL")</x:f>
        <x:v>PASS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4" t="str">
        <x:v>Activation triggers</x:v>
      </x:c>
      <x:c r="B12" s="44" t="n">
        <x:v>4</x:v>
      </x:c>
      <x:c r="C12" s="44" t="n">
        <x:f>COUNTA('Trigger Logic'!A7:A10)</x:f>
        <x:v>4</x:v>
      </x:c>
      <x:c r="D12" s="52" t="n">
        <x:f>C12-B12</x:f>
        <x:v>0</x:v>
      </x:c>
      <x:c r="E12" s="44" t="str">
        <x:f>IF(ABS(D12)&lt;0.01,"PASS","FAIL")</x:f>
        <x:v>PASS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4" t="str">
        <x:v>Activation states</x:v>
      </x:c>
      <x:c r="B13" s="44" t="n">
        <x:v>14</x:v>
      </x:c>
      <x:c r="C13" s="44" t="n">
        <x:f>COUNTA('State Machine'!A7:A20)</x:f>
        <x:v>14</x:v>
      </x:c>
      <x:c r="D13" s="52" t="n">
        <x:f>C13-B13</x:f>
        <x:v>0</x:v>
      </x:c>
      <x:c r="E13" s="44" t="str">
        <x:f>IF(ABS(D13)&lt;0.01,"PASS","FAIL")</x:f>
        <x:v>PASS</x:v>
      </x:c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4" t="str">
        <x:v>Domestic warrants</x:v>
      </x:c>
      <x:c r="B14" s="44" t="n">
        <x:v>13</x:v>
      </x:c>
      <x:c r="C14" s="44" t="n">
        <x:f>COUNTA('Domestic Warrants'!A7:A19)</x:f>
        <x:v>13</x:v>
      </x:c>
      <x:c r="D14" s="52" t="n">
        <x:f>C14-B14</x:f>
        <x:v>0</x:v>
      </x:c>
      <x:c r="E14" s="44" t="str">
        <x:f>IF(ABS(D14)&lt;0.01,"PASS","FAIL")</x:f>
        <x:v>PASS</x:v>
      </x:c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4" t="str">
        <x:v>Domestic campaigns</x:v>
      </x:c>
      <x:c r="B15" s="44" t="n">
        <x:v>8</x:v>
      </x:c>
      <x:c r="C15" s="44" t="n">
        <x:f>COUNTA('Campaign Clock'!A7:A14)</x:f>
        <x:v>8</x:v>
      </x:c>
      <x:c r="D15" s="52" t="n">
        <x:f>C15-B15</x:f>
        <x:v>0</x:v>
      </x:c>
      <x:c r="E15" s="44" t="str">
        <x:f>IF(ABS(D15)&lt;0.01,"PASS","FAIL")</x:f>
        <x:v>PASS</x:v>
      </x:c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4" t="str">
        <x:v>Domestic formations</x:v>
      </x:c>
      <x:c r="B16" s="44" t="n">
        <x:v>1745</x:v>
      </x:c>
      <x:c r="C16" s="44" t="n">
        <x:f>'Campaign Clock'!C18</x:f>
        <x:v>1745</x:v>
      </x:c>
      <x:c r="D16" s="52" t="n">
        <x:f>C16-B16</x:f>
        <x:v>0</x:v>
      </x:c>
      <x:c r="E16" s="44" t="str">
        <x:f>IF(ABS(D16)&lt;0.01,"PASS","FAIL")</x:f>
        <x:v>PASS</x:v>
      </x:c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4" t="str">
        <x:v>Maximum bridge floor days</x:v>
      </x:c>
      <x:c r="B17" s="44" t="n">
        <x:v>6</x:v>
      </x:c>
      <x:c r="C17" s="44" t="n">
        <x:f>'Campaign Clock'!J18</x:f>
        <x:v>6</x:v>
      </x:c>
      <x:c r="D17" s="52" t="n">
        <x:f>C17-B17</x:f>
        <x:v>0</x:v>
      </x:c>
      <x:c r="E17" s="44" t="str">
        <x:f>IF(ABS(D17)&lt;0.01,"PASS","FAIL")</x:f>
        <x:v>PASS</x:v>
      </x:c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4" t="str">
        <x:v>District-campaign cells</x:v>
      </x:c>
      <x:c r="B18" s="44" t="n">
        <x:v>56</x:v>
      </x:c>
      <x:c r="C18" s="44" t="n">
        <x:f>'Receiver Fabric'!C7</x:f>
        <x:v>56</x:v>
      </x:c>
      <x:c r="D18" s="52" t="n">
        <x:f>C18-B18</x:f>
        <x:v>0</x:v>
      </x:c>
      <x:c r="E18" s="44" t="str">
        <x:f>IF(ABS(D18)&lt;0.01,"PASS","FAIL")</x:f>
        <x:v>PASS</x:v>
      </x:c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4" t="str">
        <x:v>Deficit registers</x:v>
      </x:c>
      <x:c r="B19" s="44" t="n">
        <x:v>504</x:v>
      </x:c>
      <x:c r="C19" s="44" t="n">
        <x:f>'Receiver Fabric'!C8</x:f>
        <x:v>504</x:v>
      </x:c>
      <x:c r="D19" s="52" t="n">
        <x:f>C19-B19</x:f>
        <x:v>0</x:v>
      </x:c>
      <x:c r="E19" s="44" t="str">
        <x:f>IF(ABS(D19)&lt;0.01,"PASS","FAIL")</x:f>
        <x:v>PASS</x:v>
      </x:c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4" t="str">
        <x:v>Dual receiver paths</x:v>
      </x:c>
      <x:c r="B20" s="44" t="n">
        <x:v>1008</x:v>
      </x:c>
      <x:c r="C20" s="44" t="n">
        <x:f>'Receiver Fabric'!C9</x:f>
        <x:v>1008</x:v>
      </x:c>
      <x:c r="D20" s="52" t="n">
        <x:f>C20-B20</x:f>
        <x:v>0</x:v>
      </x:c>
      <x:c r="E20" s="44" t="str">
        <x:f>IF(ABS(D20)&lt;0.01,"PASS","FAIL")</x:f>
        <x:v>PASS</x:v>
      </x:c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4" t="str">
        <x:v>Family-district interfaces</x:v>
      </x:c>
      <x:c r="B21" s="44" t="n">
        <x:v>336</x:v>
      </x:c>
      <x:c r="C21" s="44" t="n">
        <x:f>'Receiver Fabric'!C10</x:f>
        <x:v>336</x:v>
      </x:c>
      <x:c r="D21" s="52" t="n">
        <x:f>C21-B21</x:f>
        <x:v>0</x:v>
      </x:c>
      <x:c r="E21" s="44" t="str">
        <x:f>IF(ABS(D21)&lt;0.01,"PASS","FAIL")</x:f>
        <x:v>PASS</x:v>
      </x:c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4" t="str">
        <x:v>Dual family interfaces</x:v>
      </x:c>
      <x:c r="B22" s="44" t="n">
        <x:v>672</x:v>
      </x:c>
      <x:c r="C22" s="44" t="n">
        <x:f>'Receiver Fabric'!C11</x:f>
        <x:v>672</x:v>
      </x:c>
      <x:c r="D22" s="52" t="n">
        <x:f>C22-B22</x:f>
        <x:v>0</x:v>
      </x:c>
      <x:c r="E22" s="44" t="str">
        <x:f>IF(ABS(D22)&lt;0.01,"PASS","FAIL")</x:f>
        <x:v>PASS</x:v>
      </x:c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4" t="str">
        <x:v>Warrant slots</x:v>
      </x:c>
      <x:c r="B23" s="44" t="n">
        <x:v>6552</x:v>
      </x:c>
      <x:c r="C23" s="44" t="n">
        <x:f>'Receiver Fabric'!C13</x:f>
        <x:v>6552</x:v>
      </x:c>
      <x:c r="D23" s="52" t="n">
        <x:f>C23-B23</x:f>
        <x:v>0</x:v>
      </x:c>
      <x:c r="E23" s="44" t="str">
        <x:f>IF(ABS(D23)&lt;0.01,"PASS","FAIL")</x:f>
        <x:v>PASS</x:v>
      </x:c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4" t="str">
        <x:v>Prohibitions</x:v>
      </x:c>
      <x:c r="B24" s="44" t="n">
        <x:v>16</x:v>
      </x:c>
      <x:c r="C24" s="44" t="n">
        <x:f>COUNTA(Prohibitions!A7:A22)</x:f>
        <x:v>16</x:v>
      </x:c>
      <x:c r="D24" s="52" t="n">
        <x:f>C24-B24</x:f>
        <x:v>0</x:v>
      </x:c>
      <x:c r="E24" s="44" t="str">
        <x:f>IF(ABS(D24)&lt;0.01,"PASS","FAIL")</x:f>
        <x:v>PASS</x:v>
      </x:c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4" t="str">
        <x:v>Termination rules</x:v>
      </x:c>
      <x:c r="B25" s="44" t="n">
        <x:v>8</x:v>
      </x:c>
      <x:c r="C25" s="44" t="n">
        <x:f>COUNTA(Termination!A7:A14)</x:f>
        <x:v>8</x:v>
      </x:c>
      <x:c r="D25" s="52" t="n">
        <x:f>C25-B25</x:f>
        <x:v>0</x:v>
      </x:c>
      <x:c r="E25" s="44" t="str">
        <x:f>IF(ABS(D25)&lt;0.01,"PASS","FAIL")</x:f>
        <x:v>PASS</x:v>
      </x:c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4" t="str">
        <x:v>Technology frontiers</x:v>
      </x:c>
      <x:c r="B26" s="44" t="n">
        <x:v>10</x:v>
      </x:c>
      <x:c r="C26" s="44" t="n">
        <x:f>COUNTA(Technology!A7:A16)</x:f>
        <x:v>10</x:v>
      </x:c>
      <x:c r="D26" s="52" t="n">
        <x:f>C26-B26</x:f>
        <x:v>0</x:v>
      </x:c>
      <x:c r="E26" s="44" t="str">
        <x:f>IF(ABS(D26)&lt;0.01,"PASS","FAIL")</x:f>
        <x:v>PASS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4" t="str">
        <x:v>Base capital USD B</x:v>
      </x:c>
      <x:c r="B27" s="44" t="n">
        <x:v>159.7888</x:v>
      </x:c>
      <x:c r="C27" s="44" t="n">
        <x:f>'Fiscal Range'!B8</x:f>
        <x:v>159.7888</x:v>
      </x:c>
      <x:c r="D27" s="52" t="n">
        <x:f>C27-B27</x:f>
        <x:v>0</x:v>
      </x:c>
      <x:c r="E27" s="44" t="str">
        <x:f>IF(ABS(D27)&lt;0.01,"PASS","FAIL")</x:f>
        <x:v>PASS</x:v>
      </x:c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4" t="str">
        <x:v>Base annual operations USD B</x:v>
      </x:c>
      <x:c r="B28" s="44" t="n">
        <x:v>21.1</x:v>
      </x:c>
      <x:c r="C28" s="44" t="n">
        <x:f>'Fiscal Range'!C8</x:f>
        <x:v>21.1</x:v>
      </x:c>
      <x:c r="D28" s="52" t="n">
        <x:f>C28-B28</x:f>
        <x:v>0</x:v>
      </x:c>
      <x:c r="E28" s="44" t="str">
        <x:f>IF(ABS(D28)&lt;0.01,"PASS","FAIL")</x:f>
        <x:v>PASS</x:v>
      </x:c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4" t="str">
        <x:v>Base 25-year cross-class USD B</x:v>
      </x:c>
      <x:c r="B29" s="44" t="n">
        <x:v>592.3388</x:v>
      </x:c>
      <x:c r="C29" s="44" t="n">
        <x:f>'25-Year Cross-Class'!F34</x:f>
        <x:v>592.3388000000003</x:v>
      </x:c>
      <x:c r="D29" s="52" t="n">
        <x:f>C29-B29</x:f>
        <x:v>3.410605131648481e-13</x:v>
      </x:c>
      <x:c r="E29" s="44" t="str">
        <x:f>IF(ABS(D29)&lt;0.01,"PASS","FAIL")</x:f>
        <x:v>PASS</x:v>
      </x:c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4" t="str">
        <x:v>Capital shares</x:v>
      </x:c>
      <x:c r="B30" s="44" t="n">
        <x:v>1</x:v>
      </x:c>
      <x:c r="C30" s="44" t="n">
        <x:f>'25-Year Cross-Class'!B34</x:f>
        <x:v>1</x:v>
      </x:c>
      <x:c r="D30" s="52" t="n">
        <x:f>C30-B30</x:f>
        <x:v>0</x:v>
      </x:c>
      <x:c r="E30" s="44" t="str">
        <x:f>IF(ABS(D30)&lt;0.01,"PASS","FAIL")</x:f>
        <x:v>PASS</x:v>
      </x:c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4" t="str">
        <x:v>Implementation authority</x:v>
      </x:c>
      <x:c r="B31" s="44" t="n">
        <x:v>0</x:v>
      </x:c>
      <x:c r="C31" s="44" t="n">
        <x:f>Controls!B28</x:f>
        <x:v>0</x:v>
      </x:c>
      <x:c r="D31" s="52" t="n">
        <x:f>C31-B31</x:f>
        <x:v>0</x:v>
      </x:c>
      <x:c r="E31" s="44" t="str">
        <x:f>IF(ABS(D31)&lt;0.01,"PASS","FAIL")</x:f>
        <x:v>PASS</x:v>
      </x:c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4" t="str">
        <x:v>Effect evidence</x:v>
      </x:c>
      <x:c r="B32" s="44" t="n">
        <x:v>0</x:v>
      </x:c>
      <x:c r="C32" s="44" t="n">
        <x:f>Controls!B29</x:f>
        <x:v>0</x:v>
      </x:c>
      <x:c r="D32" s="52" t="n">
        <x:f>C32-B32</x:f>
        <x:v>0</x:v>
      </x:c>
      <x:c r="E32" s="44" t="str">
        <x:f>IF(ABS(D32)&lt;0.01,"PASS","FAIL")</x:f>
        <x:v>PASS</x:v>
      </x:c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</x:sheetData>
  <x:conditionalFormatting sqref="E7:E32">
    <x:cfRule type="containsText" dxfId="0" priority="1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6" hidden="0" customWidth="1"/>
    <x:col min="3" max="3" width="47" hidden="0" customWidth="1"/>
    <x:col min="4" max="4" width="16" hidden="0" customWidth="1"/>
    <x:col min="5" max="5" width="16" hidden="0" customWidth="1"/>
  </x:cols>
  <x:sheetData>
    <x:row r="2">
      <x:c r="A2" s="39" t="str">
        <x:v>Restored constitutional mutations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Every mutation is expected to fail and is restored before export.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Test</x:v>
      </x:c>
      <x:c r="B6" s="43" t="str">
        <x:v>Mutation</x:v>
      </x:c>
      <x:c r="C6" s="43" t="str">
        <x:v>Expected failure</x:v>
      </x:c>
      <x:c r="D6" s="43" t="str">
        <x:v>Mutated</x:v>
      </x:c>
      <x:c r="E6" s="43" t="str">
        <x:v>Restored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str">
        <x:v>M1</x:v>
      </x:c>
      <x:c r="B7" s="44" t="str">
        <x:v>Require a governor request for all activation</x:v>
      </x:c>
      <x:c r="C7" s="44" t="str">
        <x:v>Equal person-bound guarantee</x:v>
      </x:c>
      <x:c r="D7" s="44" t="str">
        <x:v>FAIL</x:v>
      </x:c>
      <x:c r="E7" s="44" t="str">
        <x:v>PASS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str">
        <x:v>M2</x:v>
      </x:c>
      <x:c r="B8" s="44" t="str">
        <x:v>Let objective breach create general federal command</x:v>
      </x:c>
      <x:c r="C8" s="44" t="str">
        <x:v>Nonterritorial service easement</x:v>
      </x:c>
      <x:c r="D8" s="44" t="str">
        <x:v>FAIL</x:v>
      </x:c>
      <x:c r="E8" s="44" t="str">
        <x:v>PASS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str">
        <x:v>M3</x:v>
      </x:c>
      <x:c r="B9" s="44" t="str">
        <x:v>Route a tribal request through state approval</x:v>
      </x:c>
      <x:c r="C9" s="44" t="str">
        <x:v>Direct sovereign path</x:v>
      </x:c>
      <x:c r="D9" s="44" t="str">
        <x:v>FAIL</x:v>
      </x:c>
      <x:c r="E9" s="44" t="str">
        <x:v>PASS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str">
        <x:v>M4</x:v>
      </x:c>
      <x:c r="B10" s="44" t="str">
        <x:v>Count delivered output as civil acceptance</x:v>
      </x:c>
      <x:c r="C10" s="44" t="str">
        <x:v>Complete service and rights</x:v>
      </x:c>
      <x:c r="D10" s="44" t="str">
        <x:v>FAIL</x:v>
      </x:c>
      <x:c r="E10" s="44" t="str">
        <x:v>PASS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str">
        <x:v>M5</x:v>
      </x:c>
      <x:c r="B11" s="44" t="str">
        <x:v>Allow an emergency warrant to renew forever</x:v>
      </x:c>
      <x:c r="C11" s="44" t="str">
        <x:v>Extinguishable jurisdiction</x:v>
      </x:c>
      <x:c r="D11" s="44" t="str">
        <x:v>FAIL</x:v>
      </x:c>
      <x:c r="E11" s="44" t="str">
        <x:v>PASS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4" t="str">
        <x:v>M6</x:v>
      </x:c>
      <x:c r="B12" s="44" t="str">
        <x:v>Treat planned receiver records as active authority</x:v>
      </x:c>
      <x:c r="C12" s="44" t="str">
        <x:v>Source integrity</x:v>
      </x:c>
      <x:c r="D12" s="44" t="str">
        <x:v>FAIL</x:v>
      </x:c>
      <x:c r="E12" s="44" t="str">
        <x:v>PASS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6" hidden="0" customWidth="1"/>
    <x:col min="3" max="3" width="105" hidden="0" customWidth="1"/>
  </x:cols>
  <x:sheetData>
    <x:row r="2">
      <x:c r="A2" s="39" t="str">
        <x:v>Internal source lineage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No external sites or new datasets are introduced in this constitutional pass.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Pass / artifact</x:v>
      </x:c>
      <x:c r="B6" s="43" t="str">
        <x:v>Internal source</x:v>
      </x:c>
      <x:c r="C6" s="43" t="str">
        <x:v>Claims used</x:v>
      </x:c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4" t="n">
        <x:v>201</x:v>
      </x:c>
      <x:c r="B7" s="50" t="str">
        <x:v>Department constitutional order</x:v>
      </x:c>
      <x:c r="C7" s="50" t="str">
        <x:v>Five houses, seventeen institution classes and national-power warrant logic</x:v>
      </x:c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4" t="n">
        <x:v>167</x:v>
      </x:c>
      <x:c r="B8" s="50" t="str">
        <x:v>National and invited force-sizing constitution</x:v>
      </x:c>
      <x:c r="C8" s="50" t="str">
        <x:v>Eight domestic campaigns, notices, preparation, transit, occupancy and 1,745 domestic formations</x:v>
      </x:c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4" t="n">
        <x:v>196</x:v>
      </x:c>
      <x:c r="B9" s="50" t="str">
        <x:v>Constructive-power strategy</x:v>
      </x:c>
      <x:c r="C9" s="50" t="str">
        <x:v>Guaranteed domestic mode, domestic/invited separation and non-coercion</x:v>
      </x:c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4" t="n">
        <x:v>194</x:v>
      </x:c>
      <x:c r="B10" s="50" t="str">
        <x:v>National Mobilization and Allocation Command</x:v>
      </x:c>
      <x:c r="C10" s="50" t="str">
        <x:v>Collision-free allocation, family completeness and bounded risk warrant</x:v>
      </x:c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4" t="n">
        <x:v>198</x:v>
      </x:c>
      <x:c r="B11" s="50" t="str">
        <x:v>Bilateral activation transaction</x:v>
      </x:c>
      <x:c r="C11" s="50" t="str">
        <x:v>Comparative activation clocks, typed access, stop, release and regeneration</x:v>
      </x:c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4" t="str">
        <x:v>Library</x:v>
      </x:c>
      <x:c r="B12" s="50" t="str">
        <x:v>Service-level library</x:v>
      </x:c>
      <x:c r="C12" s="50" t="str">
        <x:v>Nonfungible completion denominators and immediate/bridge/campaign service distinctions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5" hidden="0" customWidth="1"/>
  </x:cols>
  <x:sheetData>
    <x:row r="2">
      <x:c r="A2" s="39" t="str">
        <x:v>Model use and limits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2" t="str">
        <x:v>This workbook constitutes domestic activation law. It does not commission institutions, receivers, sites, platforms or missions.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3" t="str">
        <x:v>Topic</x:v>
      </x:c>
      <x:c r="B6" s="43" t="str">
        <x:v>Guidance</x:v>
      </x:c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45" customHeight="1">
      <x:c r="A7" s="44" t="str">
        <x:v>Decision</x:v>
      </x:c>
      <x:c r="B7" s="50" t="str">
        <x:v>Select a federally guaranteed, receiver-governed public-service covenant with dual trigger and a nonterritorial service easement.</x:v>
      </x:c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45" customHeight="1">
      <x:c r="A8" s="44" t="str">
        <x:v>Guarantee</x:v>
      </x:c>
      <x:c r="B8" s="50" t="str">
        <x:v>The floor attaches to people and nine effects. A receiver request is sufficient but not necessary.</x:v>
      </x:c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45" customHeight="1">
      <x:c r="A9" s="44" t="str">
        <x:v>Sovereignty</x:v>
      </x:c>
      <x:c r="B9" s="50" t="str">
        <x:v>Capable state, tribal, territorial and local receivers retain method, custody, interface admission and unsafe-act stop power.</x:v>
      </x:c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45" customHeight="1">
      <x:c r="A10" s="44" t="str">
        <x:v>Incapacity</x:v>
      </x:c>
      <x:c r="B10" s="50" t="str">
        <x:v>Functional receivership transfers only the unavailable service function and expires every thirty days.</x:v>
      </x:c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45" customHeight="1">
      <x:c r="A11" s="44" t="str">
        <x:v>Clock</x:v>
      </x:c>
      <x:c r="B11" s="50" t="str">
        <x:v>Objective-breach activation is capped at twelve hours; the eight inherited campaign clocks require a six-day local continuity bridge.</x:v>
      </x:c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45" customHeight="1">
      <x:c r="A12" s="44" t="str">
        <x:v>Fiscal reading</x:v>
      </x:c>
      <x:c r="B12" s="50" t="str">
        <x:v>USD 80–240B capital and USD 10.6–31.7B/year operations are nested cross-classifications; base twenty-five-year exposure is about USD 592B.</x:v>
      </x:c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45" customHeight="1">
      <x:c r="A13" s="44" t="str">
        <x:v>Technology</x:v>
      </x:c>
      <x:c r="B13" s="50" t="str">
        <x:v>Ten frontiers make consent, offline authority, receiver seams, local continuity, handback and public replay technical systems.</x:v>
      </x:c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45" customHeight="1">
      <x:c r="A14" s="44" t="str">
        <x:v>Evidence</x:v>
      </x:c>
      <x:c r="B14" s="50" t="str">
        <x:v>All identities, receiver records and effect claims remain source-empty; released authority and effect credit are zero.</x:v>
      </x:c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45" customHeight="1">
      <x:c r="A15" s="44" t="str">
        <x:v>No renderings</x:v>
      </x:c>
      <x:c r="B15" s="50" t="str">
        <x:v>No platform exterior, facility design or geographic site is authorized.</x:v>
      </x:c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45" customHeight="1">
      <x:c r="A16" s="44" t="str">
        <x:v>Next</x:v>
      </x:c>
      <x:c r="B16" s="50" t="str">
        <x:v>The next Department-level resolution is the workforce, service citizenship and reserve compact.</x:v>
      </x:c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</x:sheetData>
  <x:pageMargins left="0.7" right="0.7" top="0.75" bottom="0.75" header="0.3" footer="0.3"/>
</x:worksheet>
</file>