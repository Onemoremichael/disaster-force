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Root Baselines" sheetId="3" state="visible" r:id="rId5"/>
    <sheet name="Account Rules" sheetId="4" state="visible" r:id="rId6"/>
    <sheet name="Worlds" sheetId="5" state="visible" r:id="rId7"/>
    <sheet name="Closure Cells" sheetId="6" state="visible" r:id="rId8"/>
    <sheet name="Root Triage" sheetId="7" state="visible" r:id="rId9"/>
    <sheet name="Resize Orders" sheetId="8" state="visible" r:id="rId10"/>
    <sheet name="Keystone Gaps" sheetId="9" state="visible" r:id="rId11"/>
    <sheet name="Reconstruction Gaps" sheetId="10" state="visible" r:id="rId12"/>
    <sheet name="Sensitivity" sheetId="11" state="visible" r:id="rId13"/>
    <sheet name="Finance" sheetId="12" state="visible" r:id="rId14"/>
    <sheet name="Release Gates" sheetId="13" state="visible" r:id="rId15"/>
    <sheet name="Mutations" sheetId="14" state="visible" r:id="rId16"/>
    <sheet name="Audit" sheetId="15" state="visible" r:id="rId17"/>
    <sheet name="Sources &amp; Limits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<sst xmlns="http://schemas.openxmlformats.org/spreadsheetml/2006/main" count="3607" uniqueCount="813">
  <si>
    <t xml:space="preserve">Six-root quantitative causal-section triage</t>
  </si>
  <si>
    <t xml:space="preserve">Result: the six roots do not close. Forty-five cells close numerically, fourteen are negative and eighty-five remain unquantified; all six roots require resize and remain held.</t>
  </si>
  <si>
    <t xml:space="preserve">Measure</t>
  </si>
  <si>
    <t xml:space="preserve">Result</t>
  </si>
  <si>
    <t xml:space="preserve">Root</t>
  </si>
  <si>
    <t xml:space="preserve">Article</t>
  </si>
  <si>
    <t xml:space="preserve">Negative</t>
  </si>
  <si>
    <t xml:space="preserve">Unquantified</t>
  </si>
  <si>
    <t xml:space="preserve">Worst margin</t>
  </si>
  <si>
    <t xml:space="preserve">G06</t>
  </si>
  <si>
    <t xml:space="preserve">Disposition</t>
  </si>
  <si>
    <t xml:space="preserve">Roots fully closed</t>
  </si>
  <si>
    <t xml:space="preserve">ET-A</t>
  </si>
  <si>
    <t xml:space="preserve">Numeric cells closed</t>
  </si>
  <si>
    <t xml:space="preserve">CT-C</t>
  </si>
  <si>
    <t xml:space="preserve">Negative cells</t>
  </si>
  <si>
    <t xml:space="preserve">HC-A</t>
  </si>
  <si>
    <t xml:space="preserve">Unquantified cells</t>
  </si>
  <si>
    <t xml:space="preserve">HU-A</t>
  </si>
  <si>
    <t xml:space="preserve">Total closure cells</t>
  </si>
  <si>
    <t xml:space="preserve">RT-B</t>
  </si>
  <si>
    <t xml:space="preserve">Resize orders</t>
  </si>
  <si>
    <t xml:space="preserve">Maximum FRAME ceiling USD B</t>
  </si>
  <si>
    <t xml:space="preserve">Accepted authority USD B</t>
  </si>
  <si>
    <t xml:space="preserve">Physical observations</t>
  </si>
  <si>
    <t xml:space="preserve">Rendering authority</t>
  </si>
  <si>
    <t xml:space="preserve">Authoritative quantitative-triage controls</t>
  </si>
  <si>
    <t xml:space="preserve">Blue cells are controlled planning inputs. Missing physical coefficients remain blank and do not become zero.</t>
  </si>
  <si>
    <t xml:space="preserve">Control</t>
  </si>
  <si>
    <t xml:space="preserve">Value</t>
  </si>
  <si>
    <t xml:space="preserve">Unit</t>
  </si>
  <si>
    <t xml:space="preserve">Authority</t>
  </si>
  <si>
    <t xml:space="preserve">adverse coefficient screen</t>
  </si>
  <si>
    <t xml:space="preserve">share</t>
  </si>
  <si>
    <t xml:space="preserve">Pass 182 sensitivity boundary</t>
  </si>
  <si>
    <t xml:space="preserve">closure threshold</t>
  </si>
  <si>
    <t xml:space="preserve">ratio</t>
  </si>
  <si>
    <t xml:space="preserve">Pass 216 endpoint rule</t>
  </si>
  <si>
    <t xml:space="preserve">roots</t>
  </si>
  <si>
    <t xml:space="preserve">count</t>
  </si>
  <si>
    <t xml:space="preserve">Pass 211 / 216</t>
  </si>
  <si>
    <t xml:space="preserve">accounts</t>
  </si>
  <si>
    <t xml:space="preserve">Pass 217</t>
  </si>
  <si>
    <t xml:space="preserve">worlds</t>
  </si>
  <si>
    <t xml:space="preserve">closure cells</t>
  </si>
  <si>
    <t xml:space="preserve">option ceiling</t>
  </si>
  <si>
    <t xml:space="preserve">USD B</t>
  </si>
  <si>
    <t xml:space="preserve">Pass 215</t>
  </si>
  <si>
    <t xml:space="preserve">FRAME share</t>
  </si>
  <si>
    <t xml:space="preserve">FRAME ceiling</t>
  </si>
  <si>
    <t xml:space="preserve">direct arithmetic</t>
  </si>
  <si>
    <t xml:space="preserve">accepted authority</t>
  </si>
  <si>
    <t xml:space="preserve">held</t>
  </si>
  <si>
    <t xml:space="preserve">paid authority</t>
  </si>
  <si>
    <t xml:space="preserve">physical observations</t>
  </si>
  <si>
    <t xml:space="preserve">source empty</t>
  </si>
  <si>
    <t xml:space="preserve">capability credit</t>
  </si>
  <si>
    <t xml:space="preserve">production credit</t>
  </si>
  <si>
    <t xml:space="preserve">rendering authority</t>
  </si>
  <si>
    <t xml:space="preserve">Thirty-six root-native account bases</t>
  </si>
  <si>
    <t xml:space="preserve">These are inherited controlled hypotheses and direct arithmetic, not observations. Blanks identify quantities the repository has not yet established.</t>
  </si>
  <si>
    <t xml:space="preserve">System</t>
  </si>
  <si>
    <t xml:space="preserve">Account</t>
  </si>
  <si>
    <t xml:space="preserve">Closure account</t>
  </si>
  <si>
    <t xml:space="preserve">Native metric</t>
  </si>
  <si>
    <t xml:space="preserve">W01 capacity / limit</t>
  </si>
  <si>
    <t xml:space="preserve">W01 requirement / burden</t>
  </si>
  <si>
    <t xml:space="preserve">W03 capacity / limit</t>
  </si>
  <si>
    <t xml:space="preserve">W03 requirement / burden</t>
  </si>
  <si>
    <t xml:space="preserve">Adverse screen</t>
  </si>
  <si>
    <t xml:space="preserve">Internal authority</t>
  </si>
  <si>
    <t xml:space="preserve">Interpretation</t>
  </si>
  <si>
    <t xml:space="preserve">MS-ET</t>
  </si>
  <si>
    <t xml:space="preserve">A01</t>
  </si>
  <si>
    <t xml:space="preserve">Mass and material custody</t>
  </si>
  <si>
    <t xml:space="preserve">deployment access envelope</t>
  </si>
  <si>
    <t xml:space="preserve">t</t>
  </si>
  <si>
    <t xml:space="preserve">Pass 182 Mass Access</t>
  </si>
  <si>
    <t xml:space="preserve">8 cells × 16,000 t; seven survive</t>
  </si>
  <si>
    <t xml:space="preserve">A02</t>
  </si>
  <si>
    <t xml:space="preserve">Energy and heat</t>
  </si>
  <si>
    <t xml:space="preserve">firm generation and black start minimum</t>
  </si>
  <si>
    <t xml:space="preserve">MW-equivalent</t>
  </si>
  <si>
    <t xml:space="preserve">Pass 182 Energy</t>
  </si>
  <si>
    <t xml:space="preserve">six 20 MW cells; five survive</t>
  </si>
  <si>
    <t xml:space="preserve">A03</t>
  </si>
  <si>
    <t xml:space="preserve">Geometry and load path</t>
  </si>
  <si>
    <t xml:space="preserve">minimum complete-route flow</t>
  </si>
  <si>
    <t xml:space="preserve">Pass 182 Route Flow</t>
  </si>
  <si>
    <t xml:space="preserve">governing 5,630 t/day route</t>
  </si>
  <si>
    <t xml:space="preserve">A04</t>
  </si>
  <si>
    <t xml:space="preserve">Safe state and human boundary</t>
  </si>
  <si>
    <t xml:space="preserve">minimum refuge and receiver ratio</t>
  </si>
  <si>
    <t xml:space="preserve">Pass 182 Safety / Receivers</t>
  </si>
  <si>
    <t xml:space="preserve">conjunctive minimum</t>
  </si>
  <si>
    <t xml:space="preserve">A05</t>
  </si>
  <si>
    <t xml:space="preserve">Residual and environmental custody</t>
  </si>
  <si>
    <t xml:space="preserve">owned treatment and buffer</t>
  </si>
  <si>
    <t xml:space="preserve">t/day</t>
  </si>
  <si>
    <t xml:space="preserve">Pass 182 Residual</t>
  </si>
  <si>
    <t xml:space="preserve">six cells; five survive</t>
  </si>
  <si>
    <t xml:space="preserve">A06</t>
  </si>
  <si>
    <t xml:space="preserve">Removal and cold reconstruction</t>
  </si>
  <si>
    <t xml:space="preserve">cold-rebuild completion</t>
  </si>
  <si>
    <t xml:space="preserve">h</t>
  </si>
  <si>
    <t xml:space="preserve">Pass 216 Form Loads</t>
  </si>
  <si>
    <t xml:space="preserve">upper completion time absent</t>
  </si>
  <si>
    <t xml:space="preserve">MS-CT</t>
  </si>
  <si>
    <t xml:space="preserve">ten 3,600 t cells; nine survive</t>
  </si>
  <si>
    <t xml:space="preserve">seven 7 MW cells; six survive</t>
  </si>
  <si>
    <t xml:space="preserve">minimum governed route ratio</t>
  </si>
  <si>
    <t xml:space="preserve">people, household and route minima</t>
  </si>
  <si>
    <t xml:space="preserve">owned dirty-return treatment</t>
  </si>
  <si>
    <t xml:space="preserve">Pass 217 section grammar</t>
  </si>
  <si>
    <t xml:space="preserve">MS-HC</t>
  </si>
  <si>
    <t xml:space="preserve">ten 6,300 t cells; nine survive</t>
  </si>
  <si>
    <t xml:space="preserve">eight 20.5 MW cells; seven survive</t>
  </si>
  <si>
    <t xml:space="preserve">minimum held-line route ratio</t>
  </si>
  <si>
    <t xml:space="preserve">103 km/day controlling route</t>
  </si>
  <si>
    <t xml:space="preserve">owned runoff/material treatment</t>
  </si>
  <si>
    <t xml:space="preserve">six? controlling distributed cells</t>
  </si>
  <si>
    <t xml:space="preserve">MS-LF</t>
  </si>
  <si>
    <t xml:space="preserve">LF-B</t>
  </si>
  <si>
    <t xml:space="preserve">one-position access allowance</t>
  </si>
  <si>
    <t xml:space="preserve">Pass 183 Article Bill / direct quarter arithmetic</t>
  </si>
  <si>
    <t xml:space="preserve">31,075 t identity; no independent access cell</t>
  </si>
  <si>
    <t xml:space="preserve">source-position firm bus</t>
  </si>
  <si>
    <t xml:space="preserve">MW</t>
  </si>
  <si>
    <t xml:space="preserve">Pass 183 Source Balance</t>
  </si>
  <si>
    <t xml:space="preserve">single bus has no declared N−1 partition</t>
  </si>
  <si>
    <t xml:space="preserve">two 15 km water paths</t>
  </si>
  <si>
    <t xml:space="preserve">pipe-km</t>
  </si>
  <si>
    <t xml:space="preserve">one full path survives, but no usable-route reserve</t>
  </si>
  <si>
    <t xml:space="preserve">one-day buffer and black start</t>
  </si>
  <si>
    <t xml:space="preserve">no independent buffer partition declared</t>
  </si>
  <si>
    <t xml:space="preserve">wastewater/brine intake</t>
  </si>
  <si>
    <t xml:space="preserve">m3/day</t>
  </si>
  <si>
    <t xml:space="preserve">single injection route is decisive</t>
  </si>
  <si>
    <t xml:space="preserve">MS-HU</t>
  </si>
  <si>
    <t xml:space="preserve">eight 7,200 t cells; seven survive</t>
  </si>
  <si>
    <t xml:space="preserve">six 11 MW cells; five survive</t>
  </si>
  <si>
    <t xml:space="preserve">minimum care/transfer route ratio</t>
  </si>
  <si>
    <t xml:space="preserve">definitive-care loss case governs</t>
  </si>
  <si>
    <t xml:space="preserve">owned clinical residual treatment</t>
  </si>
  <si>
    <t xml:space="preserve">MS-RT</t>
  </si>
  <si>
    <t xml:space="preserve">ten 8,400 t cells; nine survive</t>
  </si>
  <si>
    <t xml:space="preserve">firm process energy and black start</t>
  </si>
  <si>
    <t xml:space="preserve">seven 26 MW cells; six survive</t>
  </si>
  <si>
    <t xml:space="preserve">minimum complete-process route ratio</t>
  </si>
  <si>
    <t xml:space="preserve">99-position replacement route</t>
  </si>
  <si>
    <t xml:space="preserve">receiver interface governs nominal</t>
  </si>
  <si>
    <t xml:space="preserve">Six noncompensatory closure accounts</t>
  </si>
  <si>
    <t xml:space="preserve">All numeric worlds use the lower owned bound after the controlled adverse screen. A missing input remains unquantified.</t>
  </si>
  <si>
    <t xml:space="preserve">Decision expression</t>
  </si>
  <si>
    <t xml:space="preserve">Form</t>
  </si>
  <si>
    <t xml:space="preserve">lower owned capacity / upper burden</t>
  </si>
  <si>
    <t xml:space="preserve">capacity ratio</t>
  </si>
  <si>
    <t xml:space="preserve">lower owned capacity / upper demand</t>
  </si>
  <si>
    <t xml:space="preserve">lower usable geometry / upper required geometry</t>
  </si>
  <si>
    <t xml:space="preserve">minimum conjunctive safe-state ratio</t>
  </si>
  <si>
    <t xml:space="preserve">conjunctive ratio</t>
  </si>
  <si>
    <t xml:space="preserve">lower owned treatment / upper generated residual</t>
  </si>
  <si>
    <t xml:space="preserve">time ceiling / upper observed reconstruction time</t>
  </si>
  <si>
    <t xml:space="preserve">time ratio</t>
  </si>
  <si>
    <t xml:space="preserve">Four required quantitative worlds</t>
  </si>
  <si>
    <t xml:space="preserve">W02 and W04 cannot inherit a paper ratio: both require new physical coefficients and executable records.</t>
  </si>
  <si>
    <t xml:space="preserve">World</t>
  </si>
  <si>
    <t xml:space="preserve">State</t>
  </si>
  <si>
    <t xml:space="preserve">Closure rule</t>
  </si>
  <si>
    <t xml:space="preserve">W01</t>
  </si>
  <si>
    <t xml:space="preserve">Nominal mission</t>
  </si>
  <si>
    <t xml:space="preserve">Declared article mission; lower-bound ratio must be at least 1.00</t>
  </si>
  <si>
    <t xml:space="preserve">W02</t>
  </si>
  <si>
    <t xml:space="preserve">Fatal-keystone challenge</t>
  </si>
  <si>
    <t xml:space="preserve">No numeric survival credit before a valid full-scale causal challenge</t>
  </si>
  <si>
    <t xml:space="preserve">W03</t>
  </si>
  <si>
    <t xml:space="preserve">Largest-independent-cell loss</t>
  </si>
  <si>
    <t xml:space="preserve">Largest declared independent cell or path removed; lower-bound ratio must be at least 1.00</t>
  </si>
  <si>
    <t xml:space="preserve">W04</t>
  </si>
  <si>
    <t xml:space="preserve">Cold reconstruction</t>
  </si>
  <si>
    <t xml:space="preserve">Outside team, frozen records, no originating runtime; no credit before executable record and timed replay</t>
  </si>
  <si>
    <t xml:space="preserve">One hundred forty-four root-account-world cells</t>
  </si>
  <si>
    <t xml:space="preserve">A blank quantitative input remains blank. It cannot be treated as zero, passed through an average or borrowed from a host.</t>
  </si>
  <si>
    <t xml:space="preserve">Cell</t>
  </si>
  <si>
    <t xml:space="preserve">World state</t>
  </si>
  <si>
    <t xml:space="preserve">Capacity / limit</t>
  </si>
  <si>
    <t xml:space="preserve">Requirement / burden</t>
  </si>
  <si>
    <t xml:space="preserve">Base ratio</t>
  </si>
  <si>
    <t xml:space="preserve">Lower-bound ratio</t>
  </si>
  <si>
    <t xml:space="preserve">Margin</t>
  </si>
  <si>
    <t xml:space="preserve">Quantified</t>
  </si>
  <si>
    <t xml:space="preserve">Basis or missing input</t>
  </si>
  <si>
    <t xml:space="preserve">Host contribution</t>
  </si>
  <si>
    <t xml:space="preserve">Evidence accepted</t>
  </si>
  <si>
    <t xml:space="preserve">ET-A-A01-W01</t>
  </si>
  <si>
    <t xml:space="preserve">ET-A-A01-W02</t>
  </si>
  <si>
    <t xml:space="preserve">fatal-keystone coefficient and valid full-scale outcome absent</t>
  </si>
  <si>
    <t xml:space="preserve">ET-A-A01-W03</t>
  </si>
  <si>
    <t xml:space="preserve">ET-A-A01-W04</t>
  </si>
  <si>
    <t xml:space="preserve">outside-team build record and upper reconstruction time absent</t>
  </si>
  <si>
    <t xml:space="preserve">ET-A-A02-W01</t>
  </si>
  <si>
    <t xml:space="preserve">ET-A-A02-W02</t>
  </si>
  <si>
    <t xml:space="preserve">ET-A-A02-W03</t>
  </si>
  <si>
    <t xml:space="preserve">ET-A-A02-W04</t>
  </si>
  <si>
    <t xml:space="preserve">ET-A-A03-W01</t>
  </si>
  <si>
    <t xml:space="preserve">ET-A-A03-W02</t>
  </si>
  <si>
    <t xml:space="preserve">ET-A-A03-W03</t>
  </si>
  <si>
    <t xml:space="preserve">ET-A-A03-W04</t>
  </si>
  <si>
    <t xml:space="preserve">ET-A-A04-W01</t>
  </si>
  <si>
    <t xml:space="preserve">ET-A-A04-W02</t>
  </si>
  <si>
    <t xml:space="preserve">ET-A-A04-W03</t>
  </si>
  <si>
    <t xml:space="preserve">ET-A-A04-W04</t>
  </si>
  <si>
    <t xml:space="preserve">ET-A-A05-W01</t>
  </si>
  <si>
    <t xml:space="preserve">ET-A-A05-W02</t>
  </si>
  <si>
    <t xml:space="preserve">ET-A-A05-W03</t>
  </si>
  <si>
    <t xml:space="preserve">ET-A-A05-W04</t>
  </si>
  <si>
    <t xml:space="preserve">ET-A-A06-W01</t>
  </si>
  <si>
    <t xml:space="preserve">executable build record, frozen ancestry and upper reconstruction time absent</t>
  </si>
  <si>
    <t xml:space="preserve">ET-A-A06-W02</t>
  </si>
  <si>
    <t xml:space="preserve">ET-A-A06-W03</t>
  </si>
  <si>
    <t xml:space="preserve">ET-A-A06-W04</t>
  </si>
  <si>
    <t xml:space="preserve">CT-C-A01-W01</t>
  </si>
  <si>
    <t xml:space="preserve">CT-C-A01-W02</t>
  </si>
  <si>
    <t xml:space="preserve">CT-C-A01-W03</t>
  </si>
  <si>
    <t xml:space="preserve">CT-C-A01-W04</t>
  </si>
  <si>
    <t xml:space="preserve">CT-C-A02-W01</t>
  </si>
  <si>
    <t xml:space="preserve">CT-C-A02-W02</t>
  </si>
  <si>
    <t xml:space="preserve">CT-C-A02-W03</t>
  </si>
  <si>
    <t xml:space="preserve">CT-C-A02-W04</t>
  </si>
  <si>
    <t xml:space="preserve">CT-C-A03-W01</t>
  </si>
  <si>
    <t xml:space="preserve">CT-C-A03-W02</t>
  </si>
  <si>
    <t xml:space="preserve">CT-C-A03-W03</t>
  </si>
  <si>
    <t xml:space="preserve">CT-C-A03-W04</t>
  </si>
  <si>
    <t xml:space="preserve">CT-C-A04-W01</t>
  </si>
  <si>
    <t xml:space="preserve">CT-C-A04-W02</t>
  </si>
  <si>
    <t xml:space="preserve">CT-C-A04-W03</t>
  </si>
  <si>
    <t xml:space="preserve">CT-C-A04-W04</t>
  </si>
  <si>
    <t xml:space="preserve">CT-C-A05-W01</t>
  </si>
  <si>
    <t xml:space="preserve">CT-C-A05-W02</t>
  </si>
  <si>
    <t xml:space="preserve">CT-C-A05-W03</t>
  </si>
  <si>
    <t xml:space="preserve">CT-C-A05-W04</t>
  </si>
  <si>
    <t xml:space="preserve">CT-C-A06-W01</t>
  </si>
  <si>
    <t xml:space="preserve">CT-C-A06-W02</t>
  </si>
  <si>
    <t xml:space="preserve">CT-C-A06-W03</t>
  </si>
  <si>
    <t xml:space="preserve">CT-C-A06-W04</t>
  </si>
  <si>
    <t xml:space="preserve">HC-A-A01-W01</t>
  </si>
  <si>
    <t xml:space="preserve">HC-A-A01-W02</t>
  </si>
  <si>
    <t xml:space="preserve">HC-A-A01-W03</t>
  </si>
  <si>
    <t xml:space="preserve">HC-A-A01-W04</t>
  </si>
  <si>
    <t xml:space="preserve">HC-A-A02-W01</t>
  </si>
  <si>
    <t xml:space="preserve">HC-A-A02-W02</t>
  </si>
  <si>
    <t xml:space="preserve">HC-A-A02-W03</t>
  </si>
  <si>
    <t xml:space="preserve">HC-A-A02-W04</t>
  </si>
  <si>
    <t xml:space="preserve">HC-A-A03-W01</t>
  </si>
  <si>
    <t xml:space="preserve">HC-A-A03-W02</t>
  </si>
  <si>
    <t xml:space="preserve">HC-A-A03-W03</t>
  </si>
  <si>
    <t xml:space="preserve">HC-A-A03-W04</t>
  </si>
  <si>
    <t xml:space="preserve">HC-A-A04-W01</t>
  </si>
  <si>
    <t xml:space="preserve">HC-A-A04-W02</t>
  </si>
  <si>
    <t xml:space="preserve">HC-A-A04-W03</t>
  </si>
  <si>
    <t xml:space="preserve">HC-A-A04-W04</t>
  </si>
  <si>
    <t xml:space="preserve">HC-A-A05-W01</t>
  </si>
  <si>
    <t xml:space="preserve">HC-A-A05-W02</t>
  </si>
  <si>
    <t xml:space="preserve">HC-A-A05-W03</t>
  </si>
  <si>
    <t xml:space="preserve">HC-A-A05-W04</t>
  </si>
  <si>
    <t xml:space="preserve">HC-A-A06-W01</t>
  </si>
  <si>
    <t xml:space="preserve">HC-A-A06-W02</t>
  </si>
  <si>
    <t xml:space="preserve">HC-A-A06-W03</t>
  </si>
  <si>
    <t xml:space="preserve">HC-A-A06-W04</t>
  </si>
  <si>
    <t xml:space="preserve">LF-B-A01-W01</t>
  </si>
  <si>
    <t xml:space="preserve">LF-B-A01-W02</t>
  </si>
  <si>
    <t xml:space="preserve">LF-B-A01-W03</t>
  </si>
  <si>
    <t xml:space="preserve">LF-B-A01-W04</t>
  </si>
  <si>
    <t xml:space="preserve">LF-B-A02-W01</t>
  </si>
  <si>
    <t xml:space="preserve">LF-B-A02-W02</t>
  </si>
  <si>
    <t xml:space="preserve">LF-B-A02-W03</t>
  </si>
  <si>
    <t xml:space="preserve">LF-B-A02-W04</t>
  </si>
  <si>
    <t xml:space="preserve">LF-B-A03-W01</t>
  </si>
  <si>
    <t xml:space="preserve">LF-B-A03-W02</t>
  </si>
  <si>
    <t xml:space="preserve">LF-B-A03-W03</t>
  </si>
  <si>
    <t xml:space="preserve">LF-B-A03-W04</t>
  </si>
  <si>
    <t xml:space="preserve">LF-B-A04-W01</t>
  </si>
  <si>
    <t xml:space="preserve">LF-B-A04-W02</t>
  </si>
  <si>
    <t xml:space="preserve">LF-B-A04-W03</t>
  </si>
  <si>
    <t xml:space="preserve">LF-B-A04-W04</t>
  </si>
  <si>
    <t xml:space="preserve">LF-B-A05-W01</t>
  </si>
  <si>
    <t xml:space="preserve">LF-B-A05-W02</t>
  </si>
  <si>
    <t xml:space="preserve">LF-B-A05-W03</t>
  </si>
  <si>
    <t xml:space="preserve">LF-B-A05-W04</t>
  </si>
  <si>
    <t xml:space="preserve">LF-B-A06-W01</t>
  </si>
  <si>
    <t xml:space="preserve">LF-B-A06-W02</t>
  </si>
  <si>
    <t xml:space="preserve">LF-B-A06-W03</t>
  </si>
  <si>
    <t xml:space="preserve">LF-B-A06-W04</t>
  </si>
  <si>
    <t xml:space="preserve">HU-A-A01-W01</t>
  </si>
  <si>
    <t xml:space="preserve">HU-A-A01-W02</t>
  </si>
  <si>
    <t xml:space="preserve">HU-A-A01-W03</t>
  </si>
  <si>
    <t xml:space="preserve">HU-A-A01-W04</t>
  </si>
  <si>
    <t xml:space="preserve">HU-A-A02-W01</t>
  </si>
  <si>
    <t xml:space="preserve">HU-A-A02-W02</t>
  </si>
  <si>
    <t xml:space="preserve">HU-A-A02-W03</t>
  </si>
  <si>
    <t xml:space="preserve">HU-A-A02-W04</t>
  </si>
  <si>
    <t xml:space="preserve">HU-A-A03-W01</t>
  </si>
  <si>
    <t xml:space="preserve">HU-A-A03-W02</t>
  </si>
  <si>
    <t xml:space="preserve">HU-A-A03-W03</t>
  </si>
  <si>
    <t xml:space="preserve">HU-A-A03-W04</t>
  </si>
  <si>
    <t xml:space="preserve">HU-A-A04-W01</t>
  </si>
  <si>
    <t xml:space="preserve">HU-A-A04-W02</t>
  </si>
  <si>
    <t xml:space="preserve">HU-A-A04-W03</t>
  </si>
  <si>
    <t xml:space="preserve">HU-A-A04-W04</t>
  </si>
  <si>
    <t xml:space="preserve">HU-A-A05-W01</t>
  </si>
  <si>
    <t xml:space="preserve">HU-A-A05-W02</t>
  </si>
  <si>
    <t xml:space="preserve">HU-A-A05-W03</t>
  </si>
  <si>
    <t xml:space="preserve">HU-A-A05-W04</t>
  </si>
  <si>
    <t xml:space="preserve">HU-A-A06-W01</t>
  </si>
  <si>
    <t xml:space="preserve">HU-A-A06-W02</t>
  </si>
  <si>
    <t xml:space="preserve">HU-A-A06-W03</t>
  </si>
  <si>
    <t xml:space="preserve">HU-A-A06-W04</t>
  </si>
  <si>
    <t xml:space="preserve">RT-B-A01-W01</t>
  </si>
  <si>
    <t xml:space="preserve">RT-B-A01-W02</t>
  </si>
  <si>
    <t xml:space="preserve">RT-B-A01-W03</t>
  </si>
  <si>
    <t xml:space="preserve">RT-B-A01-W04</t>
  </si>
  <si>
    <t xml:space="preserve">RT-B-A02-W01</t>
  </si>
  <si>
    <t xml:space="preserve">RT-B-A02-W02</t>
  </si>
  <si>
    <t xml:space="preserve">RT-B-A02-W03</t>
  </si>
  <si>
    <t xml:space="preserve">RT-B-A02-W04</t>
  </si>
  <si>
    <t xml:space="preserve">RT-B-A03-W01</t>
  </si>
  <si>
    <t xml:space="preserve">RT-B-A03-W02</t>
  </si>
  <si>
    <t xml:space="preserve">RT-B-A03-W03</t>
  </si>
  <si>
    <t xml:space="preserve">RT-B-A03-W04</t>
  </si>
  <si>
    <t xml:space="preserve">RT-B-A04-W01</t>
  </si>
  <si>
    <t xml:space="preserve">RT-B-A04-W02</t>
  </si>
  <si>
    <t xml:space="preserve">RT-B-A04-W03</t>
  </si>
  <si>
    <t xml:space="preserve">RT-B-A04-W04</t>
  </si>
  <si>
    <t xml:space="preserve">RT-B-A05-W01</t>
  </si>
  <si>
    <t xml:space="preserve">RT-B-A05-W02</t>
  </si>
  <si>
    <t xml:space="preserve">RT-B-A05-W03</t>
  </si>
  <si>
    <t xml:space="preserve">RT-B-A05-W04</t>
  </si>
  <si>
    <t xml:space="preserve">RT-B-A06-W01</t>
  </si>
  <si>
    <t xml:space="preserve">RT-B-A06-W02</t>
  </si>
  <si>
    <t xml:space="preserve">RT-B-A06-W03</t>
  </si>
  <si>
    <t xml:space="preserve">RT-B-A06-W04</t>
  </si>
  <si>
    <t xml:space="preserve">Six-root quantitative disposition</t>
  </si>
  <si>
    <t xml:space="preserve">No root earns G06. Negative arithmetic orders resize; missing keystone or reconstruction coefficients preserve HOLD rather than becoming zero.</t>
  </si>
  <si>
    <t xml:space="preserve">Governing issue</t>
  </si>
  <si>
    <t xml:space="preserve">Closed numeric cells</t>
  </si>
  <si>
    <t xml:space="preserve">Worst numeric margin</t>
  </si>
  <si>
    <t xml:space="preserve">All 24 close</t>
  </si>
  <si>
    <t xml:space="preserve">G06 credit</t>
  </si>
  <si>
    <t xml:space="preserve">Pelagic exchange cell</t>
  </si>
  <si>
    <t xml:space="preserve">Geometry / route flow</t>
  </si>
  <si>
    <t xml:space="preserve">Occupied-building utility-spine sector</t>
  </si>
  <si>
    <t xml:space="preserve">Energy</t>
  </si>
  <si>
    <t xml:space="preserve">Atmospheric intervention cell</t>
  </si>
  <si>
    <t xml:space="preserve">Energy and geometry</t>
  </si>
  <si>
    <t xml:space="preserve">Geothermal source position</t>
  </si>
  <si>
    <t xml:space="preserve">Internal partitioning</t>
  </si>
  <si>
    <t xml:space="preserve">Complete clinical island</t>
  </si>
  <si>
    <t xml:space="preserve">Mass / access envelope</t>
  </si>
  <si>
    <t xml:space="preserve">Disconnected microfactory mesh</t>
  </si>
  <si>
    <t xml:space="preserve">Eleven minimum robust-section corrections</t>
  </si>
  <si>
    <t xml:space="preserve">The selected values are discrete design hypotheses under a 2.5% adverse screen. They authorize neither form nor construction.</t>
  </si>
  <si>
    <t xml:space="preserve">Order</t>
  </si>
  <si>
    <t xml:space="preserve">Account / world</t>
  </si>
  <si>
    <t xml:space="preserve">Controlled quantity</t>
  </si>
  <si>
    <t xml:space="preserve">Current</t>
  </si>
  <si>
    <t xml:space="preserve">Minimum robust</t>
  </si>
  <si>
    <t xml:space="preserve">Selected planning value</t>
  </si>
  <si>
    <t xml:space="preserve">Selected change</t>
  </si>
  <si>
    <t xml:space="preserve">Selected lower-bound ratio</t>
  </si>
  <si>
    <t xml:space="preserve">Selected margin</t>
  </si>
  <si>
    <t xml:space="preserve">Required physical implication</t>
  </si>
  <si>
    <t xml:space="preserve">RZ-01</t>
  </si>
  <si>
    <t xml:space="preserve">A03 / W03</t>
  </si>
  <si>
    <t xml:space="preserve">surviving complete-flow path</t>
  </si>
  <si>
    <t xml:space="preserve">t/h</t>
  </si>
  <si>
    <t xml:space="preserve">two separable paths each retain the robust complete-flow floor</t>
  </si>
  <si>
    <t xml:space="preserve">PLANNING HYPOTHESIS</t>
  </si>
  <si>
    <t xml:space="preserve">RZ-02</t>
  </si>
  <si>
    <t xml:space="preserve">A02 / W03</t>
  </si>
  <si>
    <t xml:space="preserve">rating per generation cell</t>
  </si>
  <si>
    <t xml:space="preserve">seven cells; six survivors provide 43.2 MW</t>
  </si>
  <si>
    <t xml:space="preserve">RZ-03</t>
  </si>
  <si>
    <t xml:space="preserve">held-line capacity per surviving cell</t>
  </si>
  <si>
    <t xml:space="preserve">km/day</t>
  </si>
  <si>
    <t xml:space="preserve">five cells; four survivors provide 106 km/day</t>
  </si>
  <si>
    <t xml:space="preserve">RZ-04</t>
  </si>
  <si>
    <t xml:space="preserve">eight cells; seven survivors provide 144.2 MW</t>
  </si>
  <si>
    <t xml:space="preserve">RZ-05</t>
  </si>
  <si>
    <t xml:space="preserve">A01 / W01</t>
  </si>
  <si>
    <t xml:space="preserve">one-position access envelope</t>
  </si>
  <si>
    <t xml:space="preserve">kt</t>
  </si>
  <si>
    <t xml:space="preserve">separate mass allowance from credited hardware</t>
  </si>
  <si>
    <t xml:space="preserve">RZ-06</t>
  </si>
  <si>
    <t xml:space="preserve">four-cell installed source bus</t>
  </si>
  <si>
    <t xml:space="preserve">four 13 MW cells; three survivors provide 39 MW</t>
  </si>
  <si>
    <t xml:space="preserve">RZ-07</t>
  </si>
  <si>
    <t xml:space="preserve">A03 / W01,W03</t>
  </si>
  <si>
    <t xml:space="preserve">two-path surveyed route envelope</t>
  </si>
  <si>
    <t xml:space="preserve">two 15.5 km usable paths</t>
  </si>
  <si>
    <t xml:space="preserve">RZ-08</t>
  </si>
  <si>
    <t xml:space="preserve">A04 / W03</t>
  </si>
  <si>
    <t xml:space="preserve">three-cell product-water buffer</t>
  </si>
  <si>
    <t xml:space="preserve">thousand m3</t>
  </si>
  <si>
    <t xml:space="preserve">three 13,000 m3 cells; two survive</t>
  </si>
  <si>
    <t xml:space="preserve">RZ-09</t>
  </si>
  <si>
    <t xml:space="preserve">A05 / W03</t>
  </si>
  <si>
    <t xml:space="preserve">three-cell residual intake</t>
  </si>
  <si>
    <t xml:space="preserve">thousand m3/day</t>
  </si>
  <si>
    <t xml:space="preserve">three 10,300 m3/day paths; two survive</t>
  </si>
  <si>
    <t xml:space="preserve">RZ-10</t>
  </si>
  <si>
    <t xml:space="preserve">A01 / W03</t>
  </si>
  <si>
    <t xml:space="preserve">eight-cell access envelope</t>
  </si>
  <si>
    <t xml:space="preserve">eight 7.35 kt cells; seven survivors retain 50.2 kt lower bound</t>
  </si>
  <si>
    <t xml:space="preserve">RZ-11</t>
  </si>
  <si>
    <t xml:space="preserve">seven-cell installed process bus</t>
  </si>
  <si>
    <t xml:space="preserve">seven 26.5 MW cells; six survivors retain 155 MW lower bound</t>
  </si>
  <si>
    <t xml:space="preserve">Thirty-six fatal-keystone coefficient gaps</t>
  </si>
  <si>
    <t xml:space="preserve">A fatal challenge is not a modeled derating. It can kill a root after valid evidence, so every coefficient remains source empty today.</t>
  </si>
  <si>
    <t xml:space="preserve">Gap</t>
  </si>
  <si>
    <t xml:space="preserve">Causal claim</t>
  </si>
  <si>
    <t xml:space="preserve">Required quantitative object</t>
  </si>
  <si>
    <t xml:space="preserve">Observation</t>
  </si>
  <si>
    <t xml:space="preserve">Accepted</t>
  </si>
  <si>
    <t xml:space="preserve">KX-ET-A-A01</t>
  </si>
  <si>
    <t xml:space="preserve">motion compensation, wet-to-dry transition and custody remain causally attributable</t>
  </si>
  <si>
    <t xml:space="preserve">valid full-scale causal coefficient and safe terminal state</t>
  </si>
  <si>
    <t xml:space="preserve">SOURCE EMPTY</t>
  </si>
  <si>
    <t xml:space="preserve">HOLD</t>
  </si>
  <si>
    <t xml:space="preserve">KX-ET-A-A02</t>
  </si>
  <si>
    <t xml:space="preserve">KX-ET-A-A03</t>
  </si>
  <si>
    <t xml:space="preserve">KX-ET-A-A04</t>
  </si>
  <si>
    <t xml:space="preserve">KX-ET-A-A05</t>
  </si>
  <si>
    <t xml:space="preserve">KX-ET-A-A06</t>
  </si>
  <si>
    <t xml:space="preserve">KX-CT-C-A01</t>
  </si>
  <si>
    <t xml:space="preserve">reversible attachment and utility isolation prevent structural, smoke or contamination propagation</t>
  </si>
  <si>
    <t xml:space="preserve">KX-CT-C-A02</t>
  </si>
  <si>
    <t xml:space="preserve">KX-CT-C-A03</t>
  </si>
  <si>
    <t xml:space="preserve">KX-CT-C-A04</t>
  </si>
  <si>
    <t xml:space="preserve">KX-CT-C-A05</t>
  </si>
  <si>
    <t xml:space="preserve">KX-CT-C-A06</t>
  </si>
  <si>
    <t xml:space="preserve">KX-HC-A-A01</t>
  </si>
  <si>
    <t xml:space="preserve">delivered working fluid causes the measured held edge without transferring hazard</t>
  </si>
  <si>
    <t xml:space="preserve">KX-HC-A-A02</t>
  </si>
  <si>
    <t xml:space="preserve">KX-HC-A-A03</t>
  </si>
  <si>
    <t xml:space="preserve">KX-HC-A-A04</t>
  </si>
  <si>
    <t xml:space="preserve">KX-HC-A-A05</t>
  </si>
  <si>
    <t xml:space="preserve">KX-HC-A-A06</t>
  </si>
  <si>
    <t xml:space="preserve">KX-LF-B-A01</t>
  </si>
  <si>
    <t xml:space="preserve">reservoir drawdown, induced hazard and brine custody remain bounded at useful output</t>
  </si>
  <si>
    <t xml:space="preserve">KX-LF-B-A02</t>
  </si>
  <si>
    <t xml:space="preserve">KX-LF-B-A03</t>
  </si>
  <si>
    <t xml:space="preserve">KX-LF-B-A04</t>
  </si>
  <si>
    <t xml:space="preserve">KX-LF-B-A05</t>
  </si>
  <si>
    <t xml:space="preserve">KX-LF-B-A06</t>
  </si>
  <si>
    <t xml:space="preserve">KX-HU-A-A01</t>
  </si>
  <si>
    <t xml:space="preserve">sterile metabolism, specialist continuity and destination state preserve complete episodes</t>
  </si>
  <si>
    <t xml:space="preserve">KX-HU-A-A02</t>
  </si>
  <si>
    <t xml:space="preserve">KX-HU-A-A03</t>
  </si>
  <si>
    <t xml:space="preserve">KX-HU-A-A04</t>
  </si>
  <si>
    <t xml:space="preserve">KX-HU-A-A05</t>
  </si>
  <si>
    <t xml:space="preserve">KX-HU-A-A06</t>
  </si>
  <si>
    <t xml:space="preserve">KX-RT-B-A01</t>
  </si>
  <si>
    <t xml:space="preserve">material state, calibration, ancestry and independent release survive disconnection</t>
  </si>
  <si>
    <t xml:space="preserve">KX-RT-B-A02</t>
  </si>
  <si>
    <t xml:space="preserve">KX-RT-B-A03</t>
  </si>
  <si>
    <t xml:space="preserve">KX-RT-B-A04</t>
  </si>
  <si>
    <t xml:space="preserve">KX-RT-B-A05</t>
  </si>
  <si>
    <t xml:space="preserve">KX-RT-B-A06</t>
  </si>
  <si>
    <t xml:space="preserve">Thirty-six outside-team reconstruction gaps</t>
  </si>
  <si>
    <t xml:space="preserve">Paper replaceability is not reconstruction. Every account requires a timed outside-team replay from frozen records without the originating runtime.</t>
  </si>
  <si>
    <t xml:space="preserve">Reconstruction claim</t>
  </si>
  <si>
    <t xml:space="preserve">RC-ET-A-A01</t>
  </si>
  <si>
    <t xml:space="preserve">rebuild dynamic connector, transition and custody chain from frozen records</t>
  </si>
  <si>
    <t xml:space="preserve">outside-team upper completion time, toolchain and accepted ancestry</t>
  </si>
  <si>
    <t xml:space="preserve">RC-ET-A-A02</t>
  </si>
  <si>
    <t xml:space="preserve">RC-ET-A-A03</t>
  </si>
  <si>
    <t xml:space="preserve">RC-ET-A-A04</t>
  </si>
  <si>
    <t xml:space="preserve">RC-ET-A-A05</t>
  </si>
  <si>
    <t xml:space="preserve">RC-ET-A-A06</t>
  </si>
  <si>
    <t xml:space="preserve">RC-CT-C-A01</t>
  </si>
  <si>
    <t xml:space="preserve">remove and rebuild attachment plus five isolated trunks in an occupied receiver</t>
  </si>
  <si>
    <t xml:space="preserve">RC-CT-C-A02</t>
  </si>
  <si>
    <t xml:space="preserve">RC-CT-C-A03</t>
  </si>
  <si>
    <t xml:space="preserve">RC-CT-C-A04</t>
  </si>
  <si>
    <t xml:space="preserve">RC-CT-C-A05</t>
  </si>
  <si>
    <t xml:space="preserve">RC-CT-C-A06</t>
  </si>
  <si>
    <t xml:space="preserve">RC-HC-A-A01</t>
  </si>
  <si>
    <t xml:space="preserve">recreate sensing, flight, refill, deposition and runoff chain without origin runtime</t>
  </si>
  <si>
    <t xml:space="preserve">RC-HC-A-A02</t>
  </si>
  <si>
    <t xml:space="preserve">RC-HC-A-A03</t>
  </si>
  <si>
    <t xml:space="preserve">RC-HC-A-A04</t>
  </si>
  <si>
    <t xml:space="preserve">RC-HC-A-A05</t>
  </si>
  <si>
    <t xml:space="preserve">RC-HC-A-A06</t>
  </si>
  <si>
    <t xml:space="preserve">RC-LF-B-A01</t>
  </si>
  <si>
    <t xml:space="preserve">recreate source truth, bores, bus, water, thermal and injection chain</t>
  </si>
  <si>
    <t xml:space="preserve">RC-LF-B-A02</t>
  </si>
  <si>
    <t xml:space="preserve">RC-LF-B-A03</t>
  </si>
  <si>
    <t xml:space="preserve">RC-LF-B-A04</t>
  </si>
  <si>
    <t xml:space="preserve">RC-LF-B-A05</t>
  </si>
  <si>
    <t xml:space="preserve">RC-LF-B-A06</t>
  </si>
  <si>
    <t xml:space="preserve">RC-HU-A-A01</t>
  </si>
  <si>
    <t xml:space="preserve">recreate all ten care-line interfaces and relationship-bearing records</t>
  </si>
  <si>
    <t xml:space="preserve">RC-HU-A-A02</t>
  </si>
  <si>
    <t xml:space="preserve">RC-HU-A-A03</t>
  </si>
  <si>
    <t xml:space="preserve">RC-HU-A-A04</t>
  </si>
  <si>
    <t xml:space="preserve">RC-HU-A-A05</t>
  </si>
  <si>
    <t xml:space="preserve">RC-HU-A-A06</t>
  </si>
  <si>
    <t xml:space="preserve">RC-RT-B-A01</t>
  </si>
  <si>
    <t xml:space="preserve">recreate dirty-return-to-signed-release process mesh and calibration ancestry</t>
  </si>
  <si>
    <t xml:space="preserve">RC-RT-B-A02</t>
  </si>
  <si>
    <t xml:space="preserve">RC-RT-B-A03</t>
  </si>
  <si>
    <t xml:space="preserve">RC-RT-B-A04</t>
  </si>
  <si>
    <t xml:space="preserve">RC-RT-B-A05</t>
  </si>
  <si>
    <t xml:space="preserve">RC-RT-B-A06</t>
  </si>
  <si>
    <t xml:space="preserve">Governing loss margin under adverse movement</t>
  </si>
  <si>
    <t xml:space="preserve">This screen varies only the inherited coefficient. It does not fill keystone or reconstruction gaps.</t>
  </si>
  <si>
    <t xml:space="preserve">Scenario</t>
  </si>
  <si>
    <t xml:space="preserve">Adverse movement</t>
  </si>
  <si>
    <t xml:space="preserve">Current minimum W03 ratio</t>
  </si>
  <si>
    <t xml:space="preserve">Decision</t>
  </si>
  <si>
    <t xml:space="preserve">No adverse screen</t>
  </si>
  <si>
    <t xml:space="preserve">1% adverse</t>
  </si>
  <si>
    <t xml:space="preserve">Selected 2.5% adverse</t>
  </si>
  <si>
    <t xml:space="preserve">5% adverse</t>
  </si>
  <si>
    <t xml:space="preserve">10% adverse</t>
  </si>
  <si>
    <t xml:space="preserve">Authority remains held after quantitative triage</t>
  </si>
  <si>
    <t xml:space="preserve">Negative and unquantified cells release no money. The inherited USD 0.538B FRAME ceiling is conserved, not spent.</t>
  </si>
  <si>
    <t xml:space="preserve">Option ceiling USD B</t>
  </si>
  <si>
    <t xml:space="preserve">Maximum FRAME USD B</t>
  </si>
  <si>
    <t xml:space="preserve">Accepted USD B</t>
  </si>
  <si>
    <t xml:space="preserve">Paid USD B</t>
  </si>
  <si>
    <t xml:space="preserve">HELD</t>
  </si>
  <si>
    <t xml:space="preserve">TOTAL</t>
  </si>
  <si>
    <t xml:space="preserve">six roots</t>
  </si>
  <si>
    <t xml:space="preserve">candidate section work</t>
  </si>
  <si>
    <t xml:space="preserve">Seventy-two requirement-to-architecture gates</t>
  </si>
  <si>
    <t xml:space="preserve">G06 remains open for every root. Triage is a decision result, not quantitative closure of a candidate section.</t>
  </si>
  <si>
    <t xml:space="preserve">Gate</t>
  </si>
  <si>
    <t xml:space="preserve">Gate claim</t>
  </si>
  <si>
    <t xml:space="preserve">Authority basis</t>
  </si>
  <si>
    <t xml:space="preserve">Requirement closed</t>
  </si>
  <si>
    <t xml:space="preserve">Pass 218 effect</t>
  </si>
  <si>
    <t xml:space="preserve">Exterior authority</t>
  </si>
  <si>
    <t xml:space="preserve">ET-A-G01</t>
  </si>
  <si>
    <t xml:space="preserve">denominator</t>
  </si>
  <si>
    <t xml:space="preserve">CONSTITUTED</t>
  </si>
  <si>
    <t xml:space="preserve">Pass 216 requirement record</t>
  </si>
  <si>
    <t xml:space="preserve">NO CHANGE</t>
  </si>
  <si>
    <t xml:space="preserve">n.a.</t>
  </si>
  <si>
    <t xml:space="preserve">ET-A-G02</t>
  </si>
  <si>
    <t xml:space="preserve">article boundary</t>
  </si>
  <si>
    <t xml:space="preserve">ET-A-G03</t>
  </si>
  <si>
    <t xml:space="preserve">form loads</t>
  </si>
  <si>
    <t xml:space="preserve">ET-A-G04</t>
  </si>
  <si>
    <t xml:space="preserve">interfaces</t>
  </si>
  <si>
    <t xml:space="preserve">ET-A-G05</t>
  </si>
  <si>
    <t xml:space="preserve">denial set</t>
  </si>
  <si>
    <t xml:space="preserve">ET-A-G06</t>
  </si>
  <si>
    <t xml:space="preserve">paper closure</t>
  </si>
  <si>
    <t xml:space="preserve">OPEN</t>
  </si>
  <si>
    <t xml:space="preserve">Pass 218 triage finds negative or unquantified cells</t>
  </si>
  <si>
    <t xml:space="preserve">TRIAGED / NOT CLOSED</t>
  </si>
  <si>
    <t xml:space="preserve">ET-A-G07</t>
  </si>
  <si>
    <t xml:space="preserve">safety and rights</t>
  </si>
  <si>
    <t xml:space="preserve">future accepted record</t>
  </si>
  <si>
    <t xml:space="preserve">ET-A-G08</t>
  </si>
  <si>
    <t xml:space="preserve">ancestry</t>
  </si>
  <si>
    <t xml:space="preserve">ET-A-G09</t>
  </si>
  <si>
    <t xml:space="preserve">executable build record</t>
  </si>
  <si>
    <t xml:space="preserve">ET-A-G10</t>
  </si>
  <si>
    <t xml:space="preserve">representative event</t>
  </si>
  <si>
    <t xml:space="preserve">ET-A-G11</t>
  </si>
  <si>
    <t xml:space="preserve">cold reconstruction</t>
  </si>
  <si>
    <t xml:space="preserve">ET-A-G12</t>
  </si>
  <si>
    <t xml:space="preserve">architecture warrant</t>
  </si>
  <si>
    <t xml:space="preserve">CT-C-G01</t>
  </si>
  <si>
    <t xml:space="preserve">CT-C-G02</t>
  </si>
  <si>
    <t xml:space="preserve">CT-C-G03</t>
  </si>
  <si>
    <t xml:space="preserve">CT-C-G04</t>
  </si>
  <si>
    <t xml:space="preserve">CT-C-G05</t>
  </si>
  <si>
    <t xml:space="preserve">CT-C-G06</t>
  </si>
  <si>
    <t xml:space="preserve">CT-C-G07</t>
  </si>
  <si>
    <t xml:space="preserve">CT-C-G08</t>
  </si>
  <si>
    <t xml:space="preserve">CT-C-G09</t>
  </si>
  <si>
    <t xml:space="preserve">CT-C-G10</t>
  </si>
  <si>
    <t xml:space="preserve">CT-C-G11</t>
  </si>
  <si>
    <t xml:space="preserve">CT-C-G12</t>
  </si>
  <si>
    <t xml:space="preserve">HC-A-G01</t>
  </si>
  <si>
    <t xml:space="preserve">HC-A-G02</t>
  </si>
  <si>
    <t xml:space="preserve">HC-A-G03</t>
  </si>
  <si>
    <t xml:space="preserve">HC-A-G04</t>
  </si>
  <si>
    <t xml:space="preserve">HC-A-G05</t>
  </si>
  <si>
    <t xml:space="preserve">HC-A-G06</t>
  </si>
  <si>
    <t xml:space="preserve">HC-A-G07</t>
  </si>
  <si>
    <t xml:space="preserve">HC-A-G08</t>
  </si>
  <si>
    <t xml:space="preserve">HC-A-G09</t>
  </si>
  <si>
    <t xml:space="preserve">HC-A-G10</t>
  </si>
  <si>
    <t xml:space="preserve">HC-A-G11</t>
  </si>
  <si>
    <t xml:space="preserve">HC-A-G12</t>
  </si>
  <si>
    <t xml:space="preserve">LF-B-G01</t>
  </si>
  <si>
    <t xml:space="preserve">LF-B-G02</t>
  </si>
  <si>
    <t xml:space="preserve">LF-B-G03</t>
  </si>
  <si>
    <t xml:space="preserve">LF-B-G04</t>
  </si>
  <si>
    <t xml:space="preserve">LF-B-G05</t>
  </si>
  <si>
    <t xml:space="preserve">LF-B-G06</t>
  </si>
  <si>
    <t xml:space="preserve">LF-B-G07</t>
  </si>
  <si>
    <t xml:space="preserve">LF-B-G08</t>
  </si>
  <si>
    <t xml:space="preserve">LF-B-G09</t>
  </si>
  <si>
    <t xml:space="preserve">LF-B-G10</t>
  </si>
  <si>
    <t xml:space="preserve">LF-B-G11</t>
  </si>
  <si>
    <t xml:space="preserve">LF-B-G12</t>
  </si>
  <si>
    <t xml:space="preserve">HU-A-G01</t>
  </si>
  <si>
    <t xml:space="preserve">HU-A-G02</t>
  </si>
  <si>
    <t xml:space="preserve">HU-A-G03</t>
  </si>
  <si>
    <t xml:space="preserve">HU-A-G04</t>
  </si>
  <si>
    <t xml:space="preserve">HU-A-G05</t>
  </si>
  <si>
    <t xml:space="preserve">HU-A-G06</t>
  </si>
  <si>
    <t xml:space="preserve">HU-A-G07</t>
  </si>
  <si>
    <t xml:space="preserve">HU-A-G08</t>
  </si>
  <si>
    <t xml:space="preserve">HU-A-G09</t>
  </si>
  <si>
    <t xml:space="preserve">HU-A-G10</t>
  </si>
  <si>
    <t xml:space="preserve">HU-A-G11</t>
  </si>
  <si>
    <t xml:space="preserve">HU-A-G12</t>
  </si>
  <si>
    <t xml:space="preserve">RT-B-G01</t>
  </si>
  <si>
    <t xml:space="preserve">RT-B-G02</t>
  </si>
  <si>
    <t xml:space="preserve">RT-B-G03</t>
  </si>
  <si>
    <t xml:space="preserve">RT-B-G04</t>
  </si>
  <si>
    <t xml:space="preserve">RT-B-G05</t>
  </si>
  <si>
    <t xml:space="preserve">RT-B-G06</t>
  </si>
  <si>
    <t xml:space="preserve">RT-B-G07</t>
  </si>
  <si>
    <t xml:space="preserve">RT-B-G08</t>
  </si>
  <si>
    <t xml:space="preserve">RT-B-G09</t>
  </si>
  <si>
    <t xml:space="preserve">RT-B-G10</t>
  </si>
  <si>
    <t xml:space="preserve">RT-B-G11</t>
  </si>
  <si>
    <t xml:space="preserve">RT-B-G12</t>
  </si>
  <si>
    <t xml:space="preserve">Restored control-mutation register</t>
  </si>
  <si>
    <t xml:space="preserve">The verification run applies each edit to a disposable workbook, recalculates, confirms the named boundary changes, and restores the baseline.</t>
  </si>
  <si>
    <t xml:space="preserve">Mutation</t>
  </si>
  <si>
    <t xml:space="preserve">Counterfactual edit</t>
  </si>
  <si>
    <t xml:space="preserve">Expected propagation</t>
  </si>
  <si>
    <t xml:space="preserve">Observed boundary</t>
  </si>
  <si>
    <t xml:space="preserve">M01</t>
  </si>
  <si>
    <t xml:space="preserve">adverse screen set to zero</t>
  </si>
  <si>
    <t xml:space="preserve">negative-cell count changes</t>
  </si>
  <si>
    <t xml:space="preserve">Audit negative-cell count</t>
  </si>
  <si>
    <t xml:space="preserve">DETECTED</t>
  </si>
  <si>
    <t xml:space="preserve">M02</t>
  </si>
  <si>
    <t xml:space="preserve">ET-A W03 flow raised to robust minimum</t>
  </si>
  <si>
    <t xml:space="preserve">ET-A negative count changes</t>
  </si>
  <si>
    <t xml:space="preserve">Root Triage</t>
  </si>
  <si>
    <t xml:space="preserve">M03</t>
  </si>
  <si>
    <t xml:space="preserve">CT-C W03 energy capacity reduced</t>
  </si>
  <si>
    <t xml:space="preserve">worst margin decreases</t>
  </si>
  <si>
    <t xml:space="preserve">M04</t>
  </si>
  <si>
    <t xml:space="preserve">HC-A W03 energy capacity increased</t>
  </si>
  <si>
    <t xml:space="preserve">Closure Cells</t>
  </si>
  <si>
    <t xml:space="preserve">M05</t>
  </si>
  <si>
    <t xml:space="preserve">LF-B single-bus loss entered as blank</t>
  </si>
  <si>
    <t xml:space="preserve">quantified count decreases</t>
  </si>
  <si>
    <t xml:space="preserve">Audit</t>
  </si>
  <si>
    <t xml:space="preserve">M06</t>
  </si>
  <si>
    <t xml:space="preserve">LF-B bus-loss capacity entered as 39 MW</t>
  </si>
  <si>
    <t xml:space="preserve">negative count changes</t>
  </si>
  <si>
    <t xml:space="preserve">M07</t>
  </si>
  <si>
    <t xml:space="preserve">HU-A loss envelope raised</t>
  </si>
  <si>
    <t xml:space="preserve">M08</t>
  </si>
  <si>
    <t xml:space="preserve">RT-B loss energy raised</t>
  </si>
  <si>
    <t xml:space="preserve">M09</t>
  </si>
  <si>
    <t xml:space="preserve">W02 coefficient entered</t>
  </si>
  <si>
    <t xml:space="preserve">unquantified count decreases</t>
  </si>
  <si>
    <t xml:space="preserve">M10</t>
  </si>
  <si>
    <t xml:space="preserve">W04 coefficient entered</t>
  </si>
  <si>
    <t xml:space="preserve">M11</t>
  </si>
  <si>
    <t xml:space="preserve">host contribution set positive</t>
  </si>
  <si>
    <t xml:space="preserve">host-zero audit fails</t>
  </si>
  <si>
    <t xml:space="preserve">M12</t>
  </si>
  <si>
    <t xml:space="preserve">evidence accepted set positive</t>
  </si>
  <si>
    <t xml:space="preserve">evidence-zero audit fails</t>
  </si>
  <si>
    <t xml:space="preserve">M13</t>
  </si>
  <si>
    <t xml:space="preserve">FRAME share increased</t>
  </si>
  <si>
    <t xml:space="preserve">finance reconciliation fails</t>
  </si>
  <si>
    <t xml:space="preserve">M14</t>
  </si>
  <si>
    <t xml:space="preserve">accepted money entered</t>
  </si>
  <si>
    <t xml:space="preserve">authority-held audit fails</t>
  </si>
  <si>
    <t xml:space="preserve">M15</t>
  </si>
  <si>
    <t xml:space="preserve">G06 requirement closed</t>
  </si>
  <si>
    <t xml:space="preserve">G06-zero audit fails</t>
  </si>
  <si>
    <t xml:space="preserve">M16</t>
  </si>
  <si>
    <t xml:space="preserve">rendering authority entered</t>
  </si>
  <si>
    <t xml:space="preserve">rendering-held audit fails</t>
  </si>
  <si>
    <t xml:space="preserve">Terminal quantitative-triage audits</t>
  </si>
  <si>
    <t xml:space="preserve">Audits read the model and do not feed any business calculation or release gate.</t>
  </si>
  <si>
    <t xml:space="preserve">Check</t>
  </si>
  <si>
    <t xml:space="preserve">Actual</t>
  </si>
  <si>
    <t xml:space="preserve">Expected</t>
  </si>
  <si>
    <t xml:space="preserve">root count</t>
  </si>
  <si>
    <t xml:space="preserve">baseline account rows</t>
  </si>
  <si>
    <t xml:space="preserve">closure-cell count</t>
  </si>
  <si>
    <t xml:space="preserve">W01 cells</t>
  </si>
  <si>
    <t xml:space="preserve">W02 cells</t>
  </si>
  <si>
    <t xml:space="preserve">W03 cells</t>
  </si>
  <si>
    <t xml:space="preserve">A07</t>
  </si>
  <si>
    <t xml:space="preserve">W04 cells</t>
  </si>
  <si>
    <t xml:space="preserve">A08</t>
  </si>
  <si>
    <t xml:space="preserve">numeric cells</t>
  </si>
  <si>
    <t xml:space="preserve">A09</t>
  </si>
  <si>
    <t xml:space="preserve">closed numeric cells</t>
  </si>
  <si>
    <t xml:space="preserve">A10</t>
  </si>
  <si>
    <t xml:space="preserve">negative cells</t>
  </si>
  <si>
    <t xml:space="preserve">A11</t>
  </si>
  <si>
    <t xml:space="preserve">unquantified cells</t>
  </si>
  <si>
    <t xml:space="preserve">A12</t>
  </si>
  <si>
    <t xml:space="preserve">cell-state reconciliation</t>
  </si>
  <si>
    <t xml:space="preserve">A13</t>
  </si>
  <si>
    <t xml:space="preserve">fatal-keystone cells unquantified</t>
  </si>
  <si>
    <t xml:space="preserve">A14</t>
  </si>
  <si>
    <t xml:space="preserve">cold-reconstruction cells unquantified</t>
  </si>
  <si>
    <t xml:space="preserve">A15</t>
  </si>
  <si>
    <t xml:space="preserve">reconstruction-account cells unquantified</t>
  </si>
  <si>
    <t xml:space="preserve">A16</t>
  </si>
  <si>
    <t xml:space="preserve">host contribution zero</t>
  </si>
  <si>
    <t xml:space="preserve">A17</t>
  </si>
  <si>
    <t xml:space="preserve">accepted evidence zero</t>
  </si>
  <si>
    <t xml:space="preserve">A18</t>
  </si>
  <si>
    <t xml:space="preserve">roots with G06 credit</t>
  </si>
  <si>
    <t xml:space="preserve">A19</t>
  </si>
  <si>
    <t xml:space="preserve">roots requiring resize</t>
  </si>
  <si>
    <t xml:space="preserve">A20</t>
  </si>
  <si>
    <t xml:space="preserve">resize orders</t>
  </si>
  <si>
    <t xml:space="preserve">A21</t>
  </si>
  <si>
    <t xml:space="preserve">keystone gaps</t>
  </si>
  <si>
    <t xml:space="preserve">A22</t>
  </si>
  <si>
    <t xml:space="preserve">reconstruction gaps</t>
  </si>
  <si>
    <t xml:space="preserve">A23</t>
  </si>
  <si>
    <t xml:space="preserve">release gates</t>
  </si>
  <si>
    <t xml:space="preserve">A24</t>
  </si>
  <si>
    <t xml:space="preserve">G06 closures</t>
  </si>
  <si>
    <t xml:space="preserve">A25</t>
  </si>
  <si>
    <t xml:space="preserve">option ceiling conserved</t>
  </si>
  <si>
    <t xml:space="preserve">A26</t>
  </si>
  <si>
    <t xml:space="preserve">FRAME ceiling conserved</t>
  </si>
  <si>
    <t xml:space="preserve">A27</t>
  </si>
  <si>
    <t xml:space="preserve">accepted authority zero</t>
  </si>
  <si>
    <t xml:space="preserve">A28</t>
  </si>
  <si>
    <t xml:space="preserve">paid authority zero</t>
  </si>
  <si>
    <t xml:space="preserve">A29</t>
  </si>
  <si>
    <t xml:space="preserve">rendering authority zero</t>
  </si>
  <si>
    <t xml:space="preserve">A30</t>
  </si>
  <si>
    <t xml:space="preserve">mutation records</t>
  </si>
  <si>
    <t xml:space="preserve">A31</t>
  </si>
  <si>
    <t xml:space="preserve">ET-A cells</t>
  </si>
  <si>
    <t xml:space="preserve">A32</t>
  </si>
  <si>
    <t xml:space="preserve">CT-C cells</t>
  </si>
  <si>
    <t xml:space="preserve">A33</t>
  </si>
  <si>
    <t xml:space="preserve">HC-A cells</t>
  </si>
  <si>
    <t xml:space="preserve">A34</t>
  </si>
  <si>
    <t xml:space="preserve">LF-B cells</t>
  </si>
  <si>
    <t xml:space="preserve">A35</t>
  </si>
  <si>
    <t xml:space="preserve">HU-A cells</t>
  </si>
  <si>
    <t xml:space="preserve">A36</t>
  </si>
  <si>
    <t xml:space="preserve">RT-B cells</t>
  </si>
  <si>
    <t xml:space="preserve">A37</t>
  </si>
  <si>
    <t xml:space="preserve">selected resize margins nonnegative</t>
  </si>
  <si>
    <t xml:space="preserve">Internal sources and analytical limits</t>
  </si>
  <si>
    <t xml:space="preserve">Source</t>
  </si>
  <si>
    <t xml:space="preserve">Title</t>
  </si>
  <si>
    <t xml:space="preserve">Repository location</t>
  </si>
  <si>
    <t xml:space="preserve">Use</t>
  </si>
  <si>
    <t xml:space="preserve">S01</t>
  </si>
  <si>
    <t xml:space="preserve">Pass 217 causal-section closure constitution</t>
  </si>
  <si>
    <t xml:space="preserve">research/force/generation/department-of-resilience-concurrent-six-root-causal-section-closure-constitution.md</t>
  </si>
  <si>
    <t xml:space="preserve">144-cell grammar, no-host rule, four worlds</t>
  </si>
  <si>
    <t xml:space="preserve">S02</t>
  </si>
  <si>
    <t xml:space="preserve">Pass 216 candidate-article requirements</t>
  </si>
  <si>
    <t xml:space="preserve">research/force/generation/department-of-resilience-six-root-form-giving-candidate-article-requirement-constitution.md</t>
  </si>
  <si>
    <t xml:space="preserve">article boundaries, form loads, endpoints</t>
  </si>
  <si>
    <t xml:space="preserve">S03</t>
  </si>
  <si>
    <t xml:space="preserve">Pass 182 non-lifeline physical balances</t>
  </si>
  <si>
    <t xml:space="preserve">models/force/generation/department-of-resilience-twenty-non-lifeline-root-first-principles-physical-balance-constitution.xlsx</t>
  </si>
  <si>
    <t xml:space="preserve">five selected non-lifeline root ratios and 2.5% screen</t>
  </si>
  <si>
    <t xml:space="preserve">S04</t>
  </si>
  <si>
    <t xml:space="preserve">Pass 181 controlled configurations</t>
  </si>
  <si>
    <t xml:space="preserve">models/force/generation/department-of-resilience-twenty-non-lifeline-root-controlled-configuration-constitution.xlsx</t>
  </si>
  <si>
    <t xml:space="preserve">mechanisms, route carriage, keystone claims</t>
  </si>
  <si>
    <t xml:space="preserve">S05</t>
  </si>
  <si>
    <t xml:space="preserve">Pass 183 lifeline configurations</t>
  </si>
  <si>
    <t xml:space="preserve">models/force/generation/department-of-resilience-lifeline-four-root-physical-configuration-and-g3-entry-constitution.xlsx</t>
  </si>
  <si>
    <t xml:space="preserve">LF-B source, water, corridor, mass and failure worlds</t>
  </si>
  <si>
    <t xml:space="preserve">S06</t>
  </si>
  <si>
    <t xml:space="preserve">Pass 215 construction compact</t>
  </si>
  <si>
    <t xml:space="preserve">research/force/generation/department-of-resilience-national-first-sentinel-construction-compact-and-return.md</t>
  </si>
  <si>
    <t xml:space="preserve">option and FRAME ceilings, release nonconversions</t>
  </si>
  <si>
    <t xml:space="preserve">Limit</t>
  </si>
  <si>
    <t xml:space="preserve">Rule</t>
  </si>
  <si>
    <t xml:space="preserve">Meaning</t>
  </si>
  <si>
    <t xml:space="preserve">L01</t>
  </si>
  <si>
    <t xml:space="preserve">No external sources</t>
  </si>
  <si>
    <t xml:space="preserve">Repository-only analytical pass by instruction</t>
  </si>
  <si>
    <t xml:space="preserve">L02</t>
  </si>
  <si>
    <t xml:space="preserve">No observations</t>
  </si>
  <si>
    <t xml:space="preserve">All performance values remain controlled hypotheses or direct arithmetic</t>
  </si>
  <si>
    <t xml:space="preserve">L03</t>
  </si>
  <si>
    <t xml:space="preserve">No missing-to-zero conversion</t>
  </si>
  <si>
    <t xml:space="preserve">Blank W02/W04 and reconstruction inputs remain unquantified</t>
  </si>
  <si>
    <t xml:space="preserve">L04</t>
  </si>
  <si>
    <t xml:space="preserve">No kill disposition</t>
  </si>
  <si>
    <t xml:space="preserve">A root may be killed only by a valid fatal-keystone observation</t>
  </si>
  <si>
    <t xml:space="preserve">L05</t>
  </si>
  <si>
    <t xml:space="preserve">No exterior form</t>
  </si>
  <si>
    <t xml:space="preserve">Resize values constrain internal sections only; rendering remains held</t>
  </si>
  <si>
    <t xml:space="preserve">L06</t>
  </si>
  <si>
    <t xml:space="preserve">No authority release</t>
  </si>
  <si>
    <t xml:space="preserve">Option and FRAME values remain ceilings; accepted and paid values are zero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</si>
</sst>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0.000"/>
    <numFmt numFmtId="167" formatCode="#,##0.000"/>
    <numFmt numFmtId="168" formatCode="0"/>
    <numFmt numFmtId="169" formatCode="0.00%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9375B"/>
      <name val="Arial"/>
      <family val="0"/>
      <charset val="1"/>
    </font>
    <font>
      <i val="true"/>
      <sz val="10"/>
      <color rgb="FF3F46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F465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Arial"/>
      <family val="2"/>
    </font>
    <font>
      <sz val="10"/>
      <color rgb="FF0070C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9375B"/>
        <bgColor rgb="FF3F4650"/>
      </patternFill>
    </fill>
    <fill>
      <patternFill patternType="solid">
        <fgColor rgb="FF0F6B78"/>
        <bgColor rgb="FF008080"/>
      </patternFill>
    </fill>
    <fill>
      <patternFill patternType="solid">
        <fgColor rgb="FFFFF2CC"/>
        <bgColor rgb="FFFCE4D6"/>
      </patternFill>
    </fill>
    <fill>
      <patternFill patternType="solid">
        <fgColor rgb="FFEAF2F8"/>
        <bgColor rgb="FFE2F0D9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9375B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5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ont>
        <b val="1"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F0D9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9375B"/>
      <rgbColor rgb="FF339966"/>
      <rgbColor rgb="FF006100"/>
      <rgbColor rgb="FF333300"/>
      <rgbColor rgb="FF993300"/>
      <rgbColor rgb="FF993366"/>
      <rgbColor rgb="FF333399"/>
      <rgbColor rgb="FF3F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Near-zero W03 margins (LF-B = -100%)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"Worst margin"</c:f>
              <c:strCache>
                <c:ptCount val="1"/>
                <c:pt idx="0">
                  <c:v>Worst margin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Summary!$L$7:$L$11</c:f>
              <c:strCache>
                <c:ptCount val="5"/>
                <c:pt idx="0">
                  <c:v>ET-A</c:v>
                </c:pt>
                <c:pt idx="1">
                  <c:v>CT-C</c:v>
                </c:pt>
                <c:pt idx="2">
                  <c:v>HC-A</c:v>
                </c:pt>
                <c:pt idx="3">
                  <c:v>HU-A</c:v>
                </c:pt>
                <c:pt idx="4">
                  <c:v>RT-B</c:v>
                </c:pt>
              </c:strCache>
            </c:strRef>
          </c:cat>
          <c:val>
            <c:numRef>
              <c:f>Summary!$M$7:$M$11</c:f>
              <c:numCache>
                <c:formatCode>General</c:formatCode>
                <c:ptCount val="5"/>
                <c:pt idx="0">
                  <c:v>-0.00160000000000005</c:v>
                </c:pt>
                <c:pt idx="1">
                  <c:v>-0.025</c:v>
                </c:pt>
                <c:pt idx="2">
                  <c:v>-0.00160000000000005</c:v>
                </c:pt>
                <c:pt idx="3">
                  <c:v>-0.0172</c:v>
                </c:pt>
                <c:pt idx="4">
                  <c:v>-0.0187096774193549</c:v>
                </c:pt>
              </c:numCache>
            </c:numRef>
          </c:val>
        </c:ser>
        <c:gapWidth val="150"/>
        <c:overlap val="0"/>
        <c:axId val="95545761"/>
        <c:axId val="50914015"/>
      </c:barChart>
      <c:catAx>
        <c:axId val="9554576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0914015"/>
        <c:crosses val="autoZero"/>
        <c:auto val="1"/>
        <c:lblAlgn val="ctr"/>
        <c:lblOffset val="100"/>
        <c:noMultiLvlLbl val="0"/>
      </c:catAx>
      <c:valAx>
        <c:axId val="5091401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5545761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0</xdr:rowOff>
    </xdr:from>
    <xdr:to>
      <xdr:col>17</xdr:col>
      <xdr:colOff>611280</xdr:colOff>
      <xdr:row>18</xdr:row>
      <xdr:rowOff>190080</xdr:rowOff>
    </xdr:to>
    <xdr:graphicFrame>
      <xdr:nvGraphicFramePr>
        <xdr:cNvPr id="1" name="Chart"/>
        <xdr:cNvGraphicFramePr/>
      </xdr:nvGraphicFramePr>
      <xdr:xfrm>
        <a:off x="13533120" y="1066680"/>
        <a:ext cx="4630680" cy="276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3"/>
    <col collapsed="false" customWidth="true" hidden="false" outlineLevel="0" max="12" min="12" style="0" width="10"/>
    <col collapsed="false" customWidth="true" hidden="false" outlineLevel="0" max="13" min="13" style="0" width="18"/>
    <col collapsed="false" customWidth="true" hidden="false" outlineLevel="0" max="14" min="14" style="0" width="3"/>
  </cols>
  <sheetData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customFormat="false" ht="23" hidden="false" customHeight="true" outlineLevel="0" collapsed="false">
      <c r="A6" s="4" t="s">
        <v>2</v>
      </c>
      <c r="B6" s="5" t="s">
        <v>3</v>
      </c>
      <c r="D6" s="6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8" t="s">
        <v>10</v>
      </c>
      <c r="L6" s="0" t="s">
        <v>4</v>
      </c>
      <c r="M6" s="0" t="s">
        <v>8</v>
      </c>
    </row>
    <row r="7" customFormat="false" ht="15" hidden="false" customHeight="false" outlineLevel="0" collapsed="false">
      <c r="A7" s="9" t="s">
        <v>11</v>
      </c>
      <c r="B7" s="10" t="n">
        <f aca="false">SUM('Root Triage'!I7:I12)</f>
        <v>0</v>
      </c>
      <c r="D7" s="10" t="str">
        <f aca="false">'Root Triage'!B7</f>
        <v>ET-A</v>
      </c>
      <c r="E7" s="10" t="str">
        <f aca="false">'Root Triage'!C7</f>
        <v>Pelagic exchange cell</v>
      </c>
      <c r="F7" s="10" t="n">
        <f aca="false">'Root Triage'!F7</f>
        <v>1</v>
      </c>
      <c r="G7" s="10" t="n">
        <f aca="false">'Root Triage'!G7</f>
        <v>14</v>
      </c>
      <c r="H7" s="11" t="n">
        <f aca="false">'Root Triage'!H7</f>
        <v>-0.00160000000000005</v>
      </c>
      <c r="I7" s="12" t="n">
        <f aca="false">'Root Triage'!J7</f>
        <v>0</v>
      </c>
      <c r="J7" s="12" t="str">
        <f aca="false">'Root Triage'!K7</f>
        <v>RESIZE / HOLD</v>
      </c>
      <c r="L7" s="0" t="s">
        <v>12</v>
      </c>
      <c r="M7" s="0" t="n">
        <f aca="false">'Root Triage'!H7</f>
        <v>-0.00160000000000005</v>
      </c>
    </row>
    <row r="8" customFormat="false" ht="15" hidden="false" customHeight="false" outlineLevel="0" collapsed="false">
      <c r="A8" s="13" t="s">
        <v>13</v>
      </c>
      <c r="B8" s="14" t="n">
        <f aca="false">COUNTIFS('Closure Cells'!Q7:Q150,"CLOSE")</f>
        <v>45</v>
      </c>
      <c r="D8" s="14" t="str">
        <f aca="false">'Root Triage'!B8</f>
        <v>CT-C</v>
      </c>
      <c r="E8" s="14" t="str">
        <f aca="false">'Root Triage'!C8</f>
        <v>Occupied-building utility-spine sector</v>
      </c>
      <c r="F8" s="14" t="n">
        <f aca="false">'Root Triage'!F8</f>
        <v>1</v>
      </c>
      <c r="G8" s="14" t="n">
        <f aca="false">'Root Triage'!G8</f>
        <v>14</v>
      </c>
      <c r="H8" s="15" t="n">
        <f aca="false">'Root Triage'!H8</f>
        <v>-0.025</v>
      </c>
      <c r="I8" s="16" t="n">
        <f aca="false">'Root Triage'!J8</f>
        <v>0</v>
      </c>
      <c r="J8" s="16" t="str">
        <f aca="false">'Root Triage'!K8</f>
        <v>RESIZE / HOLD</v>
      </c>
      <c r="L8" s="0" t="s">
        <v>14</v>
      </c>
      <c r="M8" s="0" t="n">
        <f aca="false">'Root Triage'!H8</f>
        <v>-0.025</v>
      </c>
    </row>
    <row r="9" customFormat="false" ht="15" hidden="false" customHeight="false" outlineLevel="0" collapsed="false">
      <c r="A9" s="13" t="s">
        <v>15</v>
      </c>
      <c r="B9" s="14" t="n">
        <f aca="false">COUNTIFS('Closure Cells'!Q7:Q150,"NEGATIVE")</f>
        <v>14</v>
      </c>
      <c r="D9" s="14" t="str">
        <f aca="false">'Root Triage'!B9</f>
        <v>HC-A</v>
      </c>
      <c r="E9" s="14" t="str">
        <f aca="false">'Root Triage'!C9</f>
        <v>Atmospheric intervention cell</v>
      </c>
      <c r="F9" s="14" t="n">
        <f aca="false">'Root Triage'!F9</f>
        <v>2</v>
      </c>
      <c r="G9" s="14" t="n">
        <f aca="false">'Root Triage'!G9</f>
        <v>14</v>
      </c>
      <c r="H9" s="15" t="n">
        <f aca="false">'Root Triage'!H9</f>
        <v>-0.00160000000000005</v>
      </c>
      <c r="I9" s="16" t="n">
        <f aca="false">'Root Triage'!J9</f>
        <v>0</v>
      </c>
      <c r="J9" s="16" t="str">
        <f aca="false">'Root Triage'!K9</f>
        <v>RESIZE / HOLD</v>
      </c>
      <c r="L9" s="0" t="s">
        <v>16</v>
      </c>
      <c r="M9" s="0" t="n">
        <f aca="false">'Root Triage'!H9</f>
        <v>-0.00160000000000005</v>
      </c>
    </row>
    <row r="10" customFormat="false" ht="15" hidden="false" customHeight="false" outlineLevel="0" collapsed="false">
      <c r="A10" s="13" t="s">
        <v>17</v>
      </c>
      <c r="B10" s="14" t="n">
        <f aca="false">COUNTIFS('Closure Cells'!Q7:Q150,"UNQUANTIFIED")</f>
        <v>85</v>
      </c>
      <c r="D10" s="14" t="str">
        <f aca="false">'Root Triage'!B10</f>
        <v>LF-B</v>
      </c>
      <c r="E10" s="14" t="str">
        <f aca="false">'Root Triage'!C10</f>
        <v>Geothermal source position</v>
      </c>
      <c r="F10" s="14" t="n">
        <f aca="false">'Root Triage'!F10</f>
        <v>8</v>
      </c>
      <c r="G10" s="14" t="n">
        <f aca="false">'Root Triage'!G10</f>
        <v>15</v>
      </c>
      <c r="H10" s="15" t="n">
        <f aca="false">'Root Triage'!H10</f>
        <v>-1</v>
      </c>
      <c r="I10" s="16" t="n">
        <f aca="false">'Root Triage'!J10</f>
        <v>0</v>
      </c>
      <c r="J10" s="16" t="str">
        <f aca="false">'Root Triage'!K10</f>
        <v>RESIZE / HOLD</v>
      </c>
      <c r="L10" s="0" t="s">
        <v>18</v>
      </c>
      <c r="M10" s="0" t="n">
        <f aca="false">'Root Triage'!H11</f>
        <v>-0.0172</v>
      </c>
    </row>
    <row r="11" customFormat="false" ht="15" hidden="false" customHeight="false" outlineLevel="0" collapsed="false">
      <c r="A11" s="13" t="s">
        <v>19</v>
      </c>
      <c r="B11" s="14" t="n">
        <f aca="false">COUNTA('Closure Cells'!A7:A150)</f>
        <v>144</v>
      </c>
      <c r="D11" s="14" t="str">
        <f aca="false">'Root Triage'!B11</f>
        <v>HU-A</v>
      </c>
      <c r="E11" s="14" t="str">
        <f aca="false">'Root Triage'!C11</f>
        <v>Complete clinical island</v>
      </c>
      <c r="F11" s="14" t="n">
        <f aca="false">'Root Triage'!F11</f>
        <v>1</v>
      </c>
      <c r="G11" s="14" t="n">
        <f aca="false">'Root Triage'!G11</f>
        <v>14</v>
      </c>
      <c r="H11" s="15" t="n">
        <f aca="false">'Root Triage'!H11</f>
        <v>-0.0172</v>
      </c>
      <c r="I11" s="16" t="n">
        <f aca="false">'Root Triage'!J11</f>
        <v>0</v>
      </c>
      <c r="J11" s="16" t="str">
        <f aca="false">'Root Triage'!K11</f>
        <v>RESIZE / HOLD</v>
      </c>
      <c r="L11" s="0" t="s">
        <v>20</v>
      </c>
      <c r="M11" s="0" t="n">
        <f aca="false">'Root Triage'!H12</f>
        <v>-0.0187096774193549</v>
      </c>
    </row>
    <row r="12" customFormat="false" ht="15" hidden="false" customHeight="false" outlineLevel="0" collapsed="false">
      <c r="A12" s="13" t="s">
        <v>21</v>
      </c>
      <c r="B12" s="14" t="n">
        <f aca="false">COUNTA('Resize Orders'!A7:A17)</f>
        <v>11</v>
      </c>
      <c r="D12" s="17" t="str">
        <f aca="false">'Root Triage'!B12</f>
        <v>RT-B</v>
      </c>
      <c r="E12" s="17" t="str">
        <f aca="false">'Root Triage'!C12</f>
        <v>Disconnected microfactory mesh</v>
      </c>
      <c r="F12" s="17" t="n">
        <f aca="false">'Root Triage'!F12</f>
        <v>1</v>
      </c>
      <c r="G12" s="17" t="n">
        <f aca="false">'Root Triage'!G12</f>
        <v>14</v>
      </c>
      <c r="H12" s="18" t="n">
        <f aca="false">'Root Triage'!H12</f>
        <v>-0.0187096774193549</v>
      </c>
      <c r="I12" s="19" t="n">
        <f aca="false">'Root Triage'!J12</f>
        <v>0</v>
      </c>
      <c r="J12" s="19" t="str">
        <f aca="false">'Root Triage'!K12</f>
        <v>RESIZE / HOLD</v>
      </c>
    </row>
    <row r="13" customFormat="false" ht="15" hidden="false" customHeight="false" outlineLevel="0" collapsed="false">
      <c r="A13" s="13" t="s">
        <v>22</v>
      </c>
      <c r="B13" s="20" t="n">
        <f aca="false">Finance!F13</f>
        <v>0.538036922898085</v>
      </c>
    </row>
    <row r="14" customFormat="false" ht="15" hidden="false" customHeight="false" outlineLevel="0" collapsed="false">
      <c r="A14" s="13" t="s">
        <v>23</v>
      </c>
      <c r="B14" s="20" t="n">
        <f aca="false">Finance!G13</f>
        <v>0</v>
      </c>
    </row>
    <row r="15" customFormat="false" ht="15" hidden="false" customHeight="false" outlineLevel="0" collapsed="false">
      <c r="A15" s="13" t="s">
        <v>24</v>
      </c>
      <c r="B15" s="14" t="n">
        <f aca="false">Controls!B18</f>
        <v>0</v>
      </c>
    </row>
    <row r="16" customFormat="false" ht="15" hidden="false" customHeight="false" outlineLevel="0" collapsed="false">
      <c r="A16" s="21" t="s">
        <v>25</v>
      </c>
      <c r="B16" s="17" t="n">
        <f aca="false">Controls!B21</f>
        <v>0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5"/>
  </cols>
  <sheetData>
    <row r="2" customFormat="false" ht="24" hidden="false" customHeight="true" outlineLevel="0" collapsed="false">
      <c r="A2" s="1" t="s">
        <v>26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" t="s">
        <v>27</v>
      </c>
      <c r="B4" s="3"/>
      <c r="C4" s="3"/>
      <c r="D4" s="3"/>
    </row>
    <row r="6" customFormat="false" ht="23" hidden="false" customHeight="true" outlineLevel="0" collapsed="false">
      <c r="A6" s="4" t="s">
        <v>28</v>
      </c>
      <c r="B6" s="22" t="s">
        <v>29</v>
      </c>
      <c r="C6" s="22" t="s">
        <v>30</v>
      </c>
      <c r="D6" s="5" t="s">
        <v>31</v>
      </c>
    </row>
    <row r="7" customFormat="false" ht="15" hidden="false" customHeight="false" outlineLevel="0" collapsed="false">
      <c r="A7" s="9" t="s">
        <v>32</v>
      </c>
      <c r="B7" s="23" t="n">
        <v>0.025</v>
      </c>
      <c r="C7" s="9" t="s">
        <v>33</v>
      </c>
      <c r="D7" s="9" t="s">
        <v>34</v>
      </c>
    </row>
    <row r="8" customFormat="false" ht="15" hidden="false" customHeight="false" outlineLevel="0" collapsed="false">
      <c r="A8" s="13" t="s">
        <v>35</v>
      </c>
      <c r="B8" s="24" t="n">
        <v>1</v>
      </c>
      <c r="C8" s="13" t="s">
        <v>36</v>
      </c>
      <c r="D8" s="13" t="s">
        <v>37</v>
      </c>
    </row>
    <row r="9" customFormat="false" ht="15" hidden="false" customHeight="false" outlineLevel="0" collapsed="false">
      <c r="A9" s="13" t="s">
        <v>38</v>
      </c>
      <c r="B9" s="24" t="n">
        <v>6</v>
      </c>
      <c r="C9" s="13" t="s">
        <v>39</v>
      </c>
      <c r="D9" s="13" t="s">
        <v>40</v>
      </c>
    </row>
    <row r="10" customFormat="false" ht="15" hidden="false" customHeight="false" outlineLevel="0" collapsed="false">
      <c r="A10" s="13" t="s">
        <v>41</v>
      </c>
      <c r="B10" s="24" t="n">
        <v>6</v>
      </c>
      <c r="C10" s="13" t="s">
        <v>39</v>
      </c>
      <c r="D10" s="13" t="s">
        <v>42</v>
      </c>
    </row>
    <row r="11" customFormat="false" ht="15" hidden="false" customHeight="false" outlineLevel="0" collapsed="false">
      <c r="A11" s="13" t="s">
        <v>43</v>
      </c>
      <c r="B11" s="24" t="n">
        <v>4</v>
      </c>
      <c r="C11" s="13" t="s">
        <v>39</v>
      </c>
      <c r="D11" s="13" t="s">
        <v>42</v>
      </c>
    </row>
    <row r="12" customFormat="false" ht="15" hidden="false" customHeight="false" outlineLevel="0" collapsed="false">
      <c r="A12" s="13" t="s">
        <v>44</v>
      </c>
      <c r="B12" s="24" t="n">
        <v>144</v>
      </c>
      <c r="C12" s="13" t="s">
        <v>39</v>
      </c>
      <c r="D12" s="13" t="s">
        <v>42</v>
      </c>
    </row>
    <row r="13" customFormat="false" ht="15" hidden="false" customHeight="false" outlineLevel="0" collapsed="false">
      <c r="A13" s="13" t="s">
        <v>45</v>
      </c>
      <c r="B13" s="24" t="n">
        <v>3.58691281932057</v>
      </c>
      <c r="C13" s="13" t="s">
        <v>46</v>
      </c>
      <c r="D13" s="13" t="s">
        <v>47</v>
      </c>
    </row>
    <row r="14" customFormat="false" ht="15" hidden="false" customHeight="false" outlineLevel="0" collapsed="false">
      <c r="A14" s="13" t="s">
        <v>48</v>
      </c>
      <c r="B14" s="25" t="n">
        <v>0.15</v>
      </c>
      <c r="C14" s="13" t="s">
        <v>33</v>
      </c>
      <c r="D14" s="13" t="s">
        <v>47</v>
      </c>
    </row>
    <row r="15" customFormat="false" ht="15" hidden="false" customHeight="false" outlineLevel="0" collapsed="false">
      <c r="A15" s="13" t="s">
        <v>49</v>
      </c>
      <c r="B15" s="24" t="n">
        <v>0.538036922898085</v>
      </c>
      <c r="C15" s="13" t="s">
        <v>46</v>
      </c>
      <c r="D15" s="13" t="s">
        <v>50</v>
      </c>
    </row>
    <row r="16" customFormat="false" ht="15" hidden="false" customHeight="false" outlineLevel="0" collapsed="false">
      <c r="A16" s="13" t="s">
        <v>51</v>
      </c>
      <c r="B16" s="24" t="n">
        <v>0</v>
      </c>
      <c r="C16" s="13" t="s">
        <v>46</v>
      </c>
      <c r="D16" s="13" t="s">
        <v>52</v>
      </c>
    </row>
    <row r="17" customFormat="false" ht="15" hidden="false" customHeight="false" outlineLevel="0" collapsed="false">
      <c r="A17" s="13" t="s">
        <v>53</v>
      </c>
      <c r="B17" s="24" t="n">
        <v>0</v>
      </c>
      <c r="C17" s="13" t="s">
        <v>46</v>
      </c>
      <c r="D17" s="13" t="s">
        <v>52</v>
      </c>
    </row>
    <row r="18" customFormat="false" ht="15" hidden="false" customHeight="false" outlineLevel="0" collapsed="false">
      <c r="A18" s="13" t="s">
        <v>54</v>
      </c>
      <c r="B18" s="24" t="n">
        <v>0</v>
      </c>
      <c r="C18" s="13" t="s">
        <v>39</v>
      </c>
      <c r="D18" s="13" t="s">
        <v>55</v>
      </c>
    </row>
    <row r="19" customFormat="false" ht="15" hidden="false" customHeight="false" outlineLevel="0" collapsed="false">
      <c r="A19" s="13" t="s">
        <v>56</v>
      </c>
      <c r="B19" s="24" t="n">
        <v>0</v>
      </c>
      <c r="C19" s="13" t="s">
        <v>39</v>
      </c>
      <c r="D19" s="13" t="s">
        <v>52</v>
      </c>
    </row>
    <row r="20" customFormat="false" ht="15" hidden="false" customHeight="false" outlineLevel="0" collapsed="false">
      <c r="A20" s="13" t="s">
        <v>57</v>
      </c>
      <c r="B20" s="24" t="n">
        <v>0</v>
      </c>
      <c r="C20" s="13" t="s">
        <v>39</v>
      </c>
      <c r="D20" s="13" t="s">
        <v>52</v>
      </c>
    </row>
    <row r="21" customFormat="false" ht="15" hidden="false" customHeight="false" outlineLevel="0" collapsed="false">
      <c r="A21" s="21" t="s">
        <v>58</v>
      </c>
      <c r="B21" s="26" t="n">
        <v>0</v>
      </c>
      <c r="C21" s="21" t="s">
        <v>39</v>
      </c>
      <c r="D21" s="21" t="s">
        <v>52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5"/>
    <col collapsed="false" customWidth="true" hidden="false" outlineLevel="0" max="9" min="9" style="0" width="22"/>
    <col collapsed="false" customWidth="true" hidden="false" outlineLevel="0" max="10" min="10" style="0" width="25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52"/>
  </cols>
  <sheetData>
    <row r="2" customFormat="false" ht="24" hidden="false" customHeight="true" outlineLevel="0" collapsed="false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23" hidden="false" customHeight="true" outlineLevel="0" collapsed="false">
      <c r="A6" s="4" t="s">
        <v>61</v>
      </c>
      <c r="B6" s="22" t="s">
        <v>4</v>
      </c>
      <c r="C6" s="22" t="s">
        <v>62</v>
      </c>
      <c r="D6" s="22" t="s">
        <v>63</v>
      </c>
      <c r="E6" s="22" t="s">
        <v>64</v>
      </c>
      <c r="F6" s="22" t="s">
        <v>30</v>
      </c>
      <c r="G6" s="22" t="s">
        <v>65</v>
      </c>
      <c r="H6" s="22" t="s">
        <v>66</v>
      </c>
      <c r="I6" s="22" t="s">
        <v>67</v>
      </c>
      <c r="J6" s="22" t="s">
        <v>68</v>
      </c>
      <c r="K6" s="22" t="s">
        <v>69</v>
      </c>
      <c r="L6" s="22" t="s">
        <v>70</v>
      </c>
      <c r="M6" s="5" t="s">
        <v>71</v>
      </c>
    </row>
    <row r="7" customFormat="false" ht="15" hidden="false" customHeight="false" outlineLevel="0" collapsed="false">
      <c r="A7" s="9" t="s">
        <v>72</v>
      </c>
      <c r="B7" s="9" t="s">
        <v>12</v>
      </c>
      <c r="C7" s="9" t="s">
        <v>73</v>
      </c>
      <c r="D7" s="9" t="s">
        <v>74</v>
      </c>
      <c r="E7" s="9" t="s">
        <v>75</v>
      </c>
      <c r="F7" s="9" t="s">
        <v>76</v>
      </c>
      <c r="G7" s="27" t="n">
        <v>128000</v>
      </c>
      <c r="H7" s="27" t="n">
        <v>102000</v>
      </c>
      <c r="I7" s="27" t="n">
        <v>112000</v>
      </c>
      <c r="J7" s="27" t="n">
        <v>102000</v>
      </c>
      <c r="K7" s="11" t="n">
        <f aca="false">Controls!$B$7</f>
        <v>0.025</v>
      </c>
      <c r="L7" s="9" t="s">
        <v>77</v>
      </c>
      <c r="M7" s="9" t="s">
        <v>78</v>
      </c>
    </row>
    <row r="8" customFormat="false" ht="15" hidden="false" customHeight="false" outlineLevel="0" collapsed="false">
      <c r="A8" s="13" t="s">
        <v>72</v>
      </c>
      <c r="B8" s="13" t="s">
        <v>12</v>
      </c>
      <c r="C8" s="13" t="s">
        <v>79</v>
      </c>
      <c r="D8" s="13" t="s">
        <v>80</v>
      </c>
      <c r="E8" s="13" t="s">
        <v>81</v>
      </c>
      <c r="F8" s="13" t="s">
        <v>82</v>
      </c>
      <c r="G8" s="24" t="n">
        <v>120</v>
      </c>
      <c r="H8" s="24" t="n">
        <v>96</v>
      </c>
      <c r="I8" s="24" t="n">
        <v>100</v>
      </c>
      <c r="J8" s="24" t="n">
        <v>96</v>
      </c>
      <c r="K8" s="15" t="n">
        <f aca="false">Controls!$B$7</f>
        <v>0.025</v>
      </c>
      <c r="L8" s="13" t="s">
        <v>83</v>
      </c>
      <c r="M8" s="13" t="s">
        <v>84</v>
      </c>
    </row>
    <row r="9" customFormat="false" ht="15" hidden="false" customHeight="false" outlineLevel="0" collapsed="false">
      <c r="A9" s="13" t="s">
        <v>72</v>
      </c>
      <c r="B9" s="13" t="s">
        <v>12</v>
      </c>
      <c r="C9" s="13" t="s">
        <v>85</v>
      </c>
      <c r="D9" s="13" t="s">
        <v>86</v>
      </c>
      <c r="E9" s="13" t="s">
        <v>87</v>
      </c>
      <c r="F9" s="13" t="s">
        <v>36</v>
      </c>
      <c r="G9" s="24" t="n">
        <v>1.28</v>
      </c>
      <c r="H9" s="24" t="n">
        <v>1</v>
      </c>
      <c r="I9" s="24" t="n">
        <v>1.024</v>
      </c>
      <c r="J9" s="24" t="n">
        <v>1</v>
      </c>
      <c r="K9" s="15" t="n">
        <f aca="false">Controls!$B$7</f>
        <v>0.025</v>
      </c>
      <c r="L9" s="13" t="s">
        <v>88</v>
      </c>
      <c r="M9" s="13" t="s">
        <v>89</v>
      </c>
    </row>
    <row r="10" customFormat="false" ht="15" hidden="false" customHeight="false" outlineLevel="0" collapsed="false">
      <c r="A10" s="13" t="s">
        <v>72</v>
      </c>
      <c r="B10" s="13" t="s">
        <v>12</v>
      </c>
      <c r="C10" s="13" t="s">
        <v>90</v>
      </c>
      <c r="D10" s="13" t="s">
        <v>91</v>
      </c>
      <c r="E10" s="13" t="s">
        <v>92</v>
      </c>
      <c r="F10" s="13" t="s">
        <v>36</v>
      </c>
      <c r="G10" s="24" t="n">
        <v>1.26</v>
      </c>
      <c r="H10" s="24" t="n">
        <v>1</v>
      </c>
      <c r="I10" s="24" t="n">
        <v>1.05</v>
      </c>
      <c r="J10" s="24" t="n">
        <v>1</v>
      </c>
      <c r="K10" s="15" t="n">
        <f aca="false">Controls!$B$7</f>
        <v>0.025</v>
      </c>
      <c r="L10" s="13" t="s">
        <v>93</v>
      </c>
      <c r="M10" s="13" t="s">
        <v>94</v>
      </c>
    </row>
    <row r="11" customFormat="false" ht="15" hidden="false" customHeight="false" outlineLevel="0" collapsed="false">
      <c r="A11" s="13" t="s">
        <v>72</v>
      </c>
      <c r="B11" s="13" t="s">
        <v>12</v>
      </c>
      <c r="C11" s="13" t="s">
        <v>95</v>
      </c>
      <c r="D11" s="13" t="s">
        <v>96</v>
      </c>
      <c r="E11" s="13" t="s">
        <v>97</v>
      </c>
      <c r="F11" s="13" t="s">
        <v>98</v>
      </c>
      <c r="G11" s="24" t="n">
        <v>1512</v>
      </c>
      <c r="H11" s="24" t="n">
        <v>1200</v>
      </c>
      <c r="I11" s="24" t="n">
        <v>1260</v>
      </c>
      <c r="J11" s="24" t="n">
        <v>1200</v>
      </c>
      <c r="K11" s="15" t="n">
        <f aca="false">Controls!$B$7</f>
        <v>0.025</v>
      </c>
      <c r="L11" s="13" t="s">
        <v>99</v>
      </c>
      <c r="M11" s="13" t="s">
        <v>100</v>
      </c>
    </row>
    <row r="12" customFormat="false" ht="15" hidden="false" customHeight="false" outlineLevel="0" collapsed="false">
      <c r="A12" s="13" t="s">
        <v>72</v>
      </c>
      <c r="B12" s="13" t="s">
        <v>12</v>
      </c>
      <c r="C12" s="13" t="s">
        <v>101</v>
      </c>
      <c r="D12" s="13" t="s">
        <v>102</v>
      </c>
      <c r="E12" s="13" t="s">
        <v>103</v>
      </c>
      <c r="F12" s="13" t="s">
        <v>104</v>
      </c>
      <c r="G12" s="24"/>
      <c r="H12" s="24" t="n">
        <v>168</v>
      </c>
      <c r="I12" s="24"/>
      <c r="J12" s="24" t="n">
        <v>168</v>
      </c>
      <c r="K12" s="15" t="n">
        <f aca="false">Controls!$B$7</f>
        <v>0.025</v>
      </c>
      <c r="L12" s="13" t="s">
        <v>105</v>
      </c>
      <c r="M12" s="13" t="s">
        <v>106</v>
      </c>
    </row>
    <row r="13" customFormat="false" ht="15" hidden="false" customHeight="false" outlineLevel="0" collapsed="false">
      <c r="A13" s="13" t="s">
        <v>107</v>
      </c>
      <c r="B13" s="13" t="s">
        <v>14</v>
      </c>
      <c r="C13" s="13" t="s">
        <v>73</v>
      </c>
      <c r="D13" s="13" t="s">
        <v>74</v>
      </c>
      <c r="E13" s="13" t="s">
        <v>75</v>
      </c>
      <c r="F13" s="13" t="s">
        <v>76</v>
      </c>
      <c r="G13" s="24" t="n">
        <v>36000</v>
      </c>
      <c r="H13" s="24" t="n">
        <v>31000</v>
      </c>
      <c r="I13" s="24" t="n">
        <v>32400</v>
      </c>
      <c r="J13" s="24" t="n">
        <v>31000</v>
      </c>
      <c r="K13" s="15" t="n">
        <f aca="false">Controls!$B$7</f>
        <v>0.025</v>
      </c>
      <c r="L13" s="13" t="s">
        <v>77</v>
      </c>
      <c r="M13" s="13" t="s">
        <v>108</v>
      </c>
    </row>
    <row r="14" customFormat="false" ht="15" hidden="false" customHeight="false" outlineLevel="0" collapsed="false">
      <c r="A14" s="13" t="s">
        <v>107</v>
      </c>
      <c r="B14" s="13" t="s">
        <v>14</v>
      </c>
      <c r="C14" s="13" t="s">
        <v>79</v>
      </c>
      <c r="D14" s="13" t="s">
        <v>80</v>
      </c>
      <c r="E14" s="13" t="s">
        <v>81</v>
      </c>
      <c r="F14" s="13" t="s">
        <v>82</v>
      </c>
      <c r="G14" s="24" t="n">
        <v>49</v>
      </c>
      <c r="H14" s="24" t="n">
        <v>42</v>
      </c>
      <c r="I14" s="24" t="n">
        <v>42</v>
      </c>
      <c r="J14" s="24" t="n">
        <v>42</v>
      </c>
      <c r="K14" s="15" t="n">
        <f aca="false">Controls!$B$7</f>
        <v>0.025</v>
      </c>
      <c r="L14" s="13" t="s">
        <v>83</v>
      </c>
      <c r="M14" s="13" t="s">
        <v>109</v>
      </c>
    </row>
    <row r="15" customFormat="false" ht="15" hidden="false" customHeight="false" outlineLevel="0" collapsed="false">
      <c r="A15" s="13" t="s">
        <v>107</v>
      </c>
      <c r="B15" s="13" t="s">
        <v>14</v>
      </c>
      <c r="C15" s="13" t="s">
        <v>85</v>
      </c>
      <c r="D15" s="13" t="s">
        <v>86</v>
      </c>
      <c r="E15" s="13" t="s">
        <v>110</v>
      </c>
      <c r="F15" s="13" t="s">
        <v>36</v>
      </c>
      <c r="G15" s="24" t="n">
        <v>1.32</v>
      </c>
      <c r="H15" s="24" t="n">
        <v>1</v>
      </c>
      <c r="I15" s="24" t="n">
        <v>1.056</v>
      </c>
      <c r="J15" s="24" t="n">
        <v>1</v>
      </c>
      <c r="K15" s="15" t="n">
        <f aca="false">Controls!$B$7</f>
        <v>0.025</v>
      </c>
      <c r="L15" s="13" t="s">
        <v>88</v>
      </c>
      <c r="M15" s="13" t="s">
        <v>111</v>
      </c>
    </row>
    <row r="16" customFormat="false" ht="15" hidden="false" customHeight="false" outlineLevel="0" collapsed="false">
      <c r="A16" s="13" t="s">
        <v>107</v>
      </c>
      <c r="B16" s="13" t="s">
        <v>14</v>
      </c>
      <c r="C16" s="13" t="s">
        <v>90</v>
      </c>
      <c r="D16" s="13" t="s">
        <v>91</v>
      </c>
      <c r="E16" s="13" t="s">
        <v>92</v>
      </c>
      <c r="F16" s="13" t="s">
        <v>36</v>
      </c>
      <c r="G16" s="24" t="n">
        <v>1.2</v>
      </c>
      <c r="H16" s="24" t="n">
        <v>1</v>
      </c>
      <c r="I16" s="24" t="n">
        <v>1.05</v>
      </c>
      <c r="J16" s="24" t="n">
        <v>1</v>
      </c>
      <c r="K16" s="15" t="n">
        <f aca="false">Controls!$B$7</f>
        <v>0.025</v>
      </c>
      <c r="L16" s="13" t="s">
        <v>93</v>
      </c>
      <c r="M16" s="13" t="s">
        <v>94</v>
      </c>
    </row>
    <row r="17" customFormat="false" ht="15" hidden="false" customHeight="false" outlineLevel="0" collapsed="false">
      <c r="A17" s="13" t="s">
        <v>107</v>
      </c>
      <c r="B17" s="13" t="s">
        <v>14</v>
      </c>
      <c r="C17" s="13" t="s">
        <v>95</v>
      </c>
      <c r="D17" s="13" t="s">
        <v>96</v>
      </c>
      <c r="E17" s="13" t="s">
        <v>112</v>
      </c>
      <c r="F17" s="13" t="s">
        <v>98</v>
      </c>
      <c r="G17" s="24" t="n">
        <v>277.2</v>
      </c>
      <c r="H17" s="24" t="n">
        <v>220</v>
      </c>
      <c r="I17" s="24" t="n">
        <v>231</v>
      </c>
      <c r="J17" s="24" t="n">
        <v>220</v>
      </c>
      <c r="K17" s="15" t="n">
        <f aca="false">Controls!$B$7</f>
        <v>0.025</v>
      </c>
      <c r="L17" s="13" t="s">
        <v>99</v>
      </c>
      <c r="M17" s="13" t="s">
        <v>100</v>
      </c>
    </row>
    <row r="18" customFormat="false" ht="15" hidden="false" customHeight="false" outlineLevel="0" collapsed="false">
      <c r="A18" s="13" t="s">
        <v>107</v>
      </c>
      <c r="B18" s="13" t="s">
        <v>14</v>
      </c>
      <c r="C18" s="13" t="s">
        <v>101</v>
      </c>
      <c r="D18" s="13" t="s">
        <v>102</v>
      </c>
      <c r="E18" s="13" t="s">
        <v>103</v>
      </c>
      <c r="F18" s="13" t="s">
        <v>104</v>
      </c>
      <c r="G18" s="24"/>
      <c r="H18" s="24" t="n">
        <v>168</v>
      </c>
      <c r="I18" s="24"/>
      <c r="J18" s="24" t="n">
        <v>168</v>
      </c>
      <c r="K18" s="15" t="n">
        <f aca="false">Controls!$B$7</f>
        <v>0.025</v>
      </c>
      <c r="L18" s="13" t="s">
        <v>113</v>
      </c>
      <c r="M18" s="13" t="s">
        <v>106</v>
      </c>
    </row>
    <row r="19" customFormat="false" ht="15" hidden="false" customHeight="false" outlineLevel="0" collapsed="false">
      <c r="A19" s="13" t="s">
        <v>114</v>
      </c>
      <c r="B19" s="13" t="s">
        <v>16</v>
      </c>
      <c r="C19" s="13" t="s">
        <v>73</v>
      </c>
      <c r="D19" s="13" t="s">
        <v>74</v>
      </c>
      <c r="E19" s="13" t="s">
        <v>75</v>
      </c>
      <c r="F19" s="13" t="s">
        <v>76</v>
      </c>
      <c r="G19" s="24" t="n">
        <v>63000</v>
      </c>
      <c r="H19" s="24" t="n">
        <v>54000</v>
      </c>
      <c r="I19" s="24" t="n">
        <v>56700</v>
      </c>
      <c r="J19" s="24" t="n">
        <v>54000</v>
      </c>
      <c r="K19" s="15" t="n">
        <f aca="false">Controls!$B$7</f>
        <v>0.025</v>
      </c>
      <c r="L19" s="13" t="s">
        <v>77</v>
      </c>
      <c r="M19" s="13" t="s">
        <v>115</v>
      </c>
    </row>
    <row r="20" customFormat="false" ht="15" hidden="false" customHeight="false" outlineLevel="0" collapsed="false">
      <c r="A20" s="13" t="s">
        <v>114</v>
      </c>
      <c r="B20" s="13" t="s">
        <v>16</v>
      </c>
      <c r="C20" s="13" t="s">
        <v>79</v>
      </c>
      <c r="D20" s="13" t="s">
        <v>80</v>
      </c>
      <c r="E20" s="13" t="s">
        <v>81</v>
      </c>
      <c r="F20" s="13" t="s">
        <v>82</v>
      </c>
      <c r="G20" s="24" t="n">
        <v>164</v>
      </c>
      <c r="H20" s="24" t="n">
        <v>140</v>
      </c>
      <c r="I20" s="24" t="n">
        <v>143.5</v>
      </c>
      <c r="J20" s="24" t="n">
        <v>140</v>
      </c>
      <c r="K20" s="15" t="n">
        <f aca="false">Controls!$B$7</f>
        <v>0.025</v>
      </c>
      <c r="L20" s="13" t="s">
        <v>83</v>
      </c>
      <c r="M20" s="13" t="s">
        <v>116</v>
      </c>
    </row>
    <row r="21" customFormat="false" ht="15" hidden="false" customHeight="false" outlineLevel="0" collapsed="false">
      <c r="A21" s="13" t="s">
        <v>114</v>
      </c>
      <c r="B21" s="13" t="s">
        <v>16</v>
      </c>
      <c r="C21" s="13" t="s">
        <v>85</v>
      </c>
      <c r="D21" s="13" t="s">
        <v>86</v>
      </c>
      <c r="E21" s="13" t="s">
        <v>117</v>
      </c>
      <c r="F21" s="13" t="s">
        <v>36</v>
      </c>
      <c r="G21" s="24" t="n">
        <v>1.28</v>
      </c>
      <c r="H21" s="24" t="n">
        <v>1</v>
      </c>
      <c r="I21" s="24" t="n">
        <v>1.024</v>
      </c>
      <c r="J21" s="24" t="n">
        <v>1</v>
      </c>
      <c r="K21" s="15" t="n">
        <f aca="false">Controls!$B$7</f>
        <v>0.025</v>
      </c>
      <c r="L21" s="13" t="s">
        <v>88</v>
      </c>
      <c r="M21" s="13" t="s">
        <v>118</v>
      </c>
    </row>
    <row r="22" customFormat="false" ht="15" hidden="false" customHeight="false" outlineLevel="0" collapsed="false">
      <c r="A22" s="13" t="s">
        <v>114</v>
      </c>
      <c r="B22" s="13" t="s">
        <v>16</v>
      </c>
      <c r="C22" s="13" t="s">
        <v>90</v>
      </c>
      <c r="D22" s="13" t="s">
        <v>91</v>
      </c>
      <c r="E22" s="13" t="s">
        <v>92</v>
      </c>
      <c r="F22" s="13" t="s">
        <v>36</v>
      </c>
      <c r="G22" s="24" t="n">
        <v>1.2</v>
      </c>
      <c r="H22" s="24" t="n">
        <v>1</v>
      </c>
      <c r="I22" s="24" t="n">
        <v>1.05</v>
      </c>
      <c r="J22" s="24" t="n">
        <v>1</v>
      </c>
      <c r="K22" s="15" t="n">
        <f aca="false">Controls!$B$7</f>
        <v>0.025</v>
      </c>
      <c r="L22" s="13" t="s">
        <v>93</v>
      </c>
      <c r="M22" s="13" t="s">
        <v>94</v>
      </c>
    </row>
    <row r="23" customFormat="false" ht="15" hidden="false" customHeight="false" outlineLevel="0" collapsed="false">
      <c r="A23" s="13" t="s">
        <v>114</v>
      </c>
      <c r="B23" s="13" t="s">
        <v>16</v>
      </c>
      <c r="C23" s="13" t="s">
        <v>95</v>
      </c>
      <c r="D23" s="13" t="s">
        <v>96</v>
      </c>
      <c r="E23" s="13" t="s">
        <v>119</v>
      </c>
      <c r="F23" s="13" t="s">
        <v>98</v>
      </c>
      <c r="G23" s="24" t="n">
        <v>1134</v>
      </c>
      <c r="H23" s="24" t="n">
        <v>900</v>
      </c>
      <c r="I23" s="24" t="n">
        <v>945</v>
      </c>
      <c r="J23" s="24" t="n">
        <v>900</v>
      </c>
      <c r="K23" s="15" t="n">
        <f aca="false">Controls!$B$7</f>
        <v>0.025</v>
      </c>
      <c r="L23" s="13" t="s">
        <v>99</v>
      </c>
      <c r="M23" s="13" t="s">
        <v>120</v>
      </c>
    </row>
    <row r="24" customFormat="false" ht="15" hidden="false" customHeight="false" outlineLevel="0" collapsed="false">
      <c r="A24" s="13" t="s">
        <v>114</v>
      </c>
      <c r="B24" s="13" t="s">
        <v>16</v>
      </c>
      <c r="C24" s="13" t="s">
        <v>101</v>
      </c>
      <c r="D24" s="13" t="s">
        <v>102</v>
      </c>
      <c r="E24" s="13" t="s">
        <v>103</v>
      </c>
      <c r="F24" s="13" t="s">
        <v>104</v>
      </c>
      <c r="G24" s="24"/>
      <c r="H24" s="24" t="n">
        <v>168</v>
      </c>
      <c r="I24" s="24"/>
      <c r="J24" s="24" t="n">
        <v>168</v>
      </c>
      <c r="K24" s="15" t="n">
        <f aca="false">Controls!$B$7</f>
        <v>0.025</v>
      </c>
      <c r="L24" s="13" t="s">
        <v>113</v>
      </c>
      <c r="M24" s="13" t="s">
        <v>106</v>
      </c>
    </row>
    <row r="25" customFormat="false" ht="15" hidden="false" customHeight="false" outlineLevel="0" collapsed="false">
      <c r="A25" s="13" t="s">
        <v>121</v>
      </c>
      <c r="B25" s="13" t="s">
        <v>122</v>
      </c>
      <c r="C25" s="13" t="s">
        <v>73</v>
      </c>
      <c r="D25" s="13" t="s">
        <v>74</v>
      </c>
      <c r="E25" s="13" t="s">
        <v>123</v>
      </c>
      <c r="F25" s="13" t="s">
        <v>76</v>
      </c>
      <c r="G25" s="24" t="n">
        <v>31075</v>
      </c>
      <c r="H25" s="24" t="n">
        <v>31075</v>
      </c>
      <c r="I25" s="24"/>
      <c r="J25" s="24" t="n">
        <v>31075</v>
      </c>
      <c r="K25" s="15" t="n">
        <f aca="false">Controls!$B$7</f>
        <v>0.025</v>
      </c>
      <c r="L25" s="13" t="s">
        <v>124</v>
      </c>
      <c r="M25" s="13" t="s">
        <v>125</v>
      </c>
    </row>
    <row r="26" customFormat="false" ht="15" hidden="false" customHeight="false" outlineLevel="0" collapsed="false">
      <c r="A26" s="13" t="s">
        <v>121</v>
      </c>
      <c r="B26" s="13" t="s">
        <v>122</v>
      </c>
      <c r="C26" s="13" t="s">
        <v>79</v>
      </c>
      <c r="D26" s="13" t="s">
        <v>80</v>
      </c>
      <c r="E26" s="13" t="s">
        <v>126</v>
      </c>
      <c r="F26" s="13" t="s">
        <v>127</v>
      </c>
      <c r="G26" s="24" t="n">
        <v>40</v>
      </c>
      <c r="H26" s="24" t="n">
        <v>37.3510416667</v>
      </c>
      <c r="I26" s="24" t="n">
        <v>0</v>
      </c>
      <c r="J26" s="24" t="n">
        <v>37.3510416667</v>
      </c>
      <c r="K26" s="15" t="n">
        <f aca="false">Controls!$B$7</f>
        <v>0.025</v>
      </c>
      <c r="L26" s="13" t="s">
        <v>128</v>
      </c>
      <c r="M26" s="13" t="s">
        <v>129</v>
      </c>
    </row>
    <row r="27" customFormat="false" ht="15" hidden="false" customHeight="false" outlineLevel="0" collapsed="false">
      <c r="A27" s="13" t="s">
        <v>121</v>
      </c>
      <c r="B27" s="13" t="s">
        <v>122</v>
      </c>
      <c r="C27" s="13" t="s">
        <v>85</v>
      </c>
      <c r="D27" s="13" t="s">
        <v>86</v>
      </c>
      <c r="E27" s="13" t="s">
        <v>130</v>
      </c>
      <c r="F27" s="13" t="s">
        <v>131</v>
      </c>
      <c r="G27" s="24" t="n">
        <v>30</v>
      </c>
      <c r="H27" s="24" t="n">
        <v>30</v>
      </c>
      <c r="I27" s="24" t="n">
        <v>15</v>
      </c>
      <c r="J27" s="24" t="n">
        <v>15</v>
      </c>
      <c r="K27" s="15" t="n">
        <f aca="false">Controls!$B$7</f>
        <v>0.025</v>
      </c>
      <c r="L27" s="13" t="s">
        <v>105</v>
      </c>
      <c r="M27" s="13" t="s">
        <v>132</v>
      </c>
    </row>
    <row r="28" customFormat="false" ht="15" hidden="false" customHeight="false" outlineLevel="0" collapsed="false">
      <c r="A28" s="13" t="s">
        <v>121</v>
      </c>
      <c r="B28" s="13" t="s">
        <v>122</v>
      </c>
      <c r="C28" s="13" t="s">
        <v>90</v>
      </c>
      <c r="D28" s="13" t="s">
        <v>91</v>
      </c>
      <c r="E28" s="13" t="s">
        <v>133</v>
      </c>
      <c r="F28" s="13" t="s">
        <v>36</v>
      </c>
      <c r="G28" s="24" t="n">
        <v>1</v>
      </c>
      <c r="H28" s="24" t="n">
        <v>1</v>
      </c>
      <c r="I28" s="24" t="n">
        <v>0</v>
      </c>
      <c r="J28" s="24" t="n">
        <v>1</v>
      </c>
      <c r="K28" s="15" t="n">
        <f aca="false">Controls!$B$7</f>
        <v>0.025</v>
      </c>
      <c r="L28" s="13" t="s">
        <v>105</v>
      </c>
      <c r="M28" s="13" t="s">
        <v>134</v>
      </c>
    </row>
    <row r="29" customFormat="false" ht="15" hidden="false" customHeight="false" outlineLevel="0" collapsed="false">
      <c r="A29" s="13" t="s">
        <v>121</v>
      </c>
      <c r="B29" s="13" t="s">
        <v>122</v>
      </c>
      <c r="C29" s="13" t="s">
        <v>95</v>
      </c>
      <c r="D29" s="13" t="s">
        <v>96</v>
      </c>
      <c r="E29" s="13" t="s">
        <v>135</v>
      </c>
      <c r="F29" s="13" t="s">
        <v>136</v>
      </c>
      <c r="G29" s="24" t="n">
        <v>20000</v>
      </c>
      <c r="H29" s="24" t="n">
        <v>20000</v>
      </c>
      <c r="I29" s="24" t="n">
        <v>0</v>
      </c>
      <c r="J29" s="24" t="n">
        <v>20000</v>
      </c>
      <c r="K29" s="15" t="n">
        <f aca="false">Controls!$B$7</f>
        <v>0.025</v>
      </c>
      <c r="L29" s="13" t="s">
        <v>105</v>
      </c>
      <c r="M29" s="13" t="s">
        <v>137</v>
      </c>
    </row>
    <row r="30" customFormat="false" ht="15" hidden="false" customHeight="false" outlineLevel="0" collapsed="false">
      <c r="A30" s="13" t="s">
        <v>121</v>
      </c>
      <c r="B30" s="13" t="s">
        <v>122</v>
      </c>
      <c r="C30" s="13" t="s">
        <v>101</v>
      </c>
      <c r="D30" s="13" t="s">
        <v>102</v>
      </c>
      <c r="E30" s="13" t="s">
        <v>103</v>
      </c>
      <c r="F30" s="13" t="s">
        <v>104</v>
      </c>
      <c r="G30" s="24"/>
      <c r="H30" s="24" t="n">
        <v>168</v>
      </c>
      <c r="I30" s="24"/>
      <c r="J30" s="24" t="n">
        <v>168</v>
      </c>
      <c r="K30" s="15" t="n">
        <f aca="false">Controls!$B$7</f>
        <v>0.025</v>
      </c>
      <c r="L30" s="13" t="s">
        <v>113</v>
      </c>
      <c r="M30" s="13" t="s">
        <v>106</v>
      </c>
    </row>
    <row r="31" customFormat="false" ht="15" hidden="false" customHeight="false" outlineLevel="0" collapsed="false">
      <c r="A31" s="13" t="s">
        <v>138</v>
      </c>
      <c r="B31" s="13" t="s">
        <v>18</v>
      </c>
      <c r="C31" s="13" t="s">
        <v>73</v>
      </c>
      <c r="D31" s="13" t="s">
        <v>74</v>
      </c>
      <c r="E31" s="13" t="s">
        <v>75</v>
      </c>
      <c r="F31" s="13" t="s">
        <v>76</v>
      </c>
      <c r="G31" s="24" t="n">
        <v>57600</v>
      </c>
      <c r="H31" s="24" t="n">
        <v>50000</v>
      </c>
      <c r="I31" s="24" t="n">
        <v>50400</v>
      </c>
      <c r="J31" s="24" t="n">
        <v>50000</v>
      </c>
      <c r="K31" s="15" t="n">
        <f aca="false">Controls!$B$7</f>
        <v>0.025</v>
      </c>
      <c r="L31" s="13" t="s">
        <v>77</v>
      </c>
      <c r="M31" s="13" t="s">
        <v>139</v>
      </c>
    </row>
    <row r="32" customFormat="false" ht="15" hidden="false" customHeight="false" outlineLevel="0" collapsed="false">
      <c r="A32" s="13" t="s">
        <v>138</v>
      </c>
      <c r="B32" s="13" t="s">
        <v>18</v>
      </c>
      <c r="C32" s="13" t="s">
        <v>79</v>
      </c>
      <c r="D32" s="13" t="s">
        <v>80</v>
      </c>
      <c r="E32" s="13" t="s">
        <v>81</v>
      </c>
      <c r="F32" s="13" t="s">
        <v>82</v>
      </c>
      <c r="G32" s="24" t="n">
        <v>66</v>
      </c>
      <c r="H32" s="24" t="n">
        <v>52</v>
      </c>
      <c r="I32" s="24" t="n">
        <v>55</v>
      </c>
      <c r="J32" s="24" t="n">
        <v>52</v>
      </c>
      <c r="K32" s="15" t="n">
        <f aca="false">Controls!$B$7</f>
        <v>0.025</v>
      </c>
      <c r="L32" s="13" t="s">
        <v>83</v>
      </c>
      <c r="M32" s="13" t="s">
        <v>140</v>
      </c>
    </row>
    <row r="33" customFormat="false" ht="15" hidden="false" customHeight="false" outlineLevel="0" collapsed="false">
      <c r="A33" s="13" t="s">
        <v>138</v>
      </c>
      <c r="B33" s="13" t="s">
        <v>18</v>
      </c>
      <c r="C33" s="13" t="s">
        <v>85</v>
      </c>
      <c r="D33" s="13" t="s">
        <v>86</v>
      </c>
      <c r="E33" s="13" t="s">
        <v>141</v>
      </c>
      <c r="F33" s="13" t="s">
        <v>36</v>
      </c>
      <c r="G33" s="24" t="n">
        <v>1.28</v>
      </c>
      <c r="H33" s="24" t="n">
        <v>1</v>
      </c>
      <c r="I33" s="24" t="n">
        <v>1.032</v>
      </c>
      <c r="J33" s="24" t="n">
        <v>1</v>
      </c>
      <c r="K33" s="15" t="n">
        <f aca="false">Controls!$B$7</f>
        <v>0.025</v>
      </c>
      <c r="L33" s="13" t="s">
        <v>88</v>
      </c>
      <c r="M33" s="13" t="s">
        <v>142</v>
      </c>
    </row>
    <row r="34" customFormat="false" ht="15" hidden="false" customHeight="false" outlineLevel="0" collapsed="false">
      <c r="A34" s="13" t="s">
        <v>138</v>
      </c>
      <c r="B34" s="13" t="s">
        <v>18</v>
      </c>
      <c r="C34" s="13" t="s">
        <v>90</v>
      </c>
      <c r="D34" s="13" t="s">
        <v>91</v>
      </c>
      <c r="E34" s="13" t="s">
        <v>92</v>
      </c>
      <c r="F34" s="13" t="s">
        <v>36</v>
      </c>
      <c r="G34" s="24" t="n">
        <v>1.2</v>
      </c>
      <c r="H34" s="24" t="n">
        <v>1</v>
      </c>
      <c r="I34" s="24" t="n">
        <v>1.05</v>
      </c>
      <c r="J34" s="24" t="n">
        <v>1</v>
      </c>
      <c r="K34" s="15" t="n">
        <f aca="false">Controls!$B$7</f>
        <v>0.025</v>
      </c>
      <c r="L34" s="13" t="s">
        <v>93</v>
      </c>
      <c r="M34" s="13" t="s">
        <v>94</v>
      </c>
    </row>
    <row r="35" customFormat="false" ht="15" hidden="false" customHeight="false" outlineLevel="0" collapsed="false">
      <c r="A35" s="13" t="s">
        <v>138</v>
      </c>
      <c r="B35" s="13" t="s">
        <v>18</v>
      </c>
      <c r="C35" s="13" t="s">
        <v>95</v>
      </c>
      <c r="D35" s="13" t="s">
        <v>96</v>
      </c>
      <c r="E35" s="13" t="s">
        <v>143</v>
      </c>
      <c r="F35" s="13" t="s">
        <v>98</v>
      </c>
      <c r="G35" s="24" t="n">
        <v>441</v>
      </c>
      <c r="H35" s="24" t="n">
        <v>350</v>
      </c>
      <c r="I35" s="24" t="n">
        <v>367.5</v>
      </c>
      <c r="J35" s="24" t="n">
        <v>350</v>
      </c>
      <c r="K35" s="15" t="n">
        <f aca="false">Controls!$B$7</f>
        <v>0.025</v>
      </c>
      <c r="L35" s="13" t="s">
        <v>99</v>
      </c>
      <c r="M35" s="13" t="s">
        <v>100</v>
      </c>
    </row>
    <row r="36" customFormat="false" ht="15" hidden="false" customHeight="false" outlineLevel="0" collapsed="false">
      <c r="A36" s="13" t="s">
        <v>138</v>
      </c>
      <c r="B36" s="13" t="s">
        <v>18</v>
      </c>
      <c r="C36" s="13" t="s">
        <v>101</v>
      </c>
      <c r="D36" s="13" t="s">
        <v>102</v>
      </c>
      <c r="E36" s="13" t="s">
        <v>103</v>
      </c>
      <c r="F36" s="13" t="s">
        <v>104</v>
      </c>
      <c r="G36" s="24"/>
      <c r="H36" s="24" t="n">
        <v>168</v>
      </c>
      <c r="I36" s="24"/>
      <c r="J36" s="24" t="n">
        <v>168</v>
      </c>
      <c r="K36" s="15" t="n">
        <f aca="false">Controls!$B$7</f>
        <v>0.025</v>
      </c>
      <c r="L36" s="13" t="s">
        <v>113</v>
      </c>
      <c r="M36" s="13" t="s">
        <v>106</v>
      </c>
    </row>
    <row r="37" customFormat="false" ht="15" hidden="false" customHeight="false" outlineLevel="0" collapsed="false">
      <c r="A37" s="13" t="s">
        <v>144</v>
      </c>
      <c r="B37" s="13" t="s">
        <v>20</v>
      </c>
      <c r="C37" s="13" t="s">
        <v>73</v>
      </c>
      <c r="D37" s="13" t="s">
        <v>74</v>
      </c>
      <c r="E37" s="13" t="s">
        <v>75</v>
      </c>
      <c r="F37" s="13" t="s">
        <v>76</v>
      </c>
      <c r="G37" s="24" t="n">
        <v>84000</v>
      </c>
      <c r="H37" s="24" t="n">
        <v>72000</v>
      </c>
      <c r="I37" s="24" t="n">
        <v>75600</v>
      </c>
      <c r="J37" s="24" t="n">
        <v>72000</v>
      </c>
      <c r="K37" s="15" t="n">
        <f aca="false">Controls!$B$7</f>
        <v>0.025</v>
      </c>
      <c r="L37" s="13" t="s">
        <v>77</v>
      </c>
      <c r="M37" s="13" t="s">
        <v>145</v>
      </c>
    </row>
    <row r="38" customFormat="false" ht="15" hidden="false" customHeight="false" outlineLevel="0" collapsed="false">
      <c r="A38" s="13" t="s">
        <v>144</v>
      </c>
      <c r="B38" s="13" t="s">
        <v>20</v>
      </c>
      <c r="C38" s="13" t="s">
        <v>79</v>
      </c>
      <c r="D38" s="13" t="s">
        <v>80</v>
      </c>
      <c r="E38" s="13" t="s">
        <v>146</v>
      </c>
      <c r="F38" s="13" t="s">
        <v>82</v>
      </c>
      <c r="G38" s="24" t="n">
        <v>182</v>
      </c>
      <c r="H38" s="24" t="n">
        <v>155</v>
      </c>
      <c r="I38" s="24" t="n">
        <v>156</v>
      </c>
      <c r="J38" s="24" t="n">
        <v>155</v>
      </c>
      <c r="K38" s="15" t="n">
        <f aca="false">Controls!$B$7</f>
        <v>0.025</v>
      </c>
      <c r="L38" s="13" t="s">
        <v>83</v>
      </c>
      <c r="M38" s="13" t="s">
        <v>147</v>
      </c>
    </row>
    <row r="39" customFormat="false" ht="15" hidden="false" customHeight="false" outlineLevel="0" collapsed="false">
      <c r="A39" s="13" t="s">
        <v>144</v>
      </c>
      <c r="B39" s="13" t="s">
        <v>20</v>
      </c>
      <c r="C39" s="13" t="s">
        <v>85</v>
      </c>
      <c r="D39" s="13" t="s">
        <v>86</v>
      </c>
      <c r="E39" s="13" t="s">
        <v>148</v>
      </c>
      <c r="F39" s="13" t="s">
        <v>36</v>
      </c>
      <c r="G39" s="24" t="n">
        <v>1.3</v>
      </c>
      <c r="H39" s="24" t="n">
        <v>1</v>
      </c>
      <c r="I39" s="24" t="n">
        <v>1.04</v>
      </c>
      <c r="J39" s="24" t="n">
        <v>1</v>
      </c>
      <c r="K39" s="15" t="n">
        <f aca="false">Controls!$B$7</f>
        <v>0.025</v>
      </c>
      <c r="L39" s="13" t="s">
        <v>88</v>
      </c>
      <c r="M39" s="13" t="s">
        <v>149</v>
      </c>
    </row>
    <row r="40" customFormat="false" ht="15" hidden="false" customHeight="false" outlineLevel="0" collapsed="false">
      <c r="A40" s="13" t="s">
        <v>144</v>
      </c>
      <c r="B40" s="13" t="s">
        <v>20</v>
      </c>
      <c r="C40" s="13" t="s">
        <v>90</v>
      </c>
      <c r="D40" s="13" t="s">
        <v>91</v>
      </c>
      <c r="E40" s="13" t="s">
        <v>92</v>
      </c>
      <c r="F40" s="13" t="s">
        <v>36</v>
      </c>
      <c r="G40" s="24" t="n">
        <v>1.18125</v>
      </c>
      <c r="H40" s="24" t="n">
        <v>1</v>
      </c>
      <c r="I40" s="24" t="n">
        <v>1.05</v>
      </c>
      <c r="J40" s="24" t="n">
        <v>1</v>
      </c>
      <c r="K40" s="15" t="n">
        <f aca="false">Controls!$B$7</f>
        <v>0.025</v>
      </c>
      <c r="L40" s="13" t="s">
        <v>93</v>
      </c>
      <c r="M40" s="13" t="s">
        <v>150</v>
      </c>
    </row>
    <row r="41" customFormat="false" ht="15" hidden="false" customHeight="false" outlineLevel="0" collapsed="false">
      <c r="A41" s="13" t="s">
        <v>144</v>
      </c>
      <c r="B41" s="13" t="s">
        <v>20</v>
      </c>
      <c r="C41" s="13" t="s">
        <v>95</v>
      </c>
      <c r="D41" s="13" t="s">
        <v>96</v>
      </c>
      <c r="E41" s="13" t="s">
        <v>112</v>
      </c>
      <c r="F41" s="13" t="s">
        <v>98</v>
      </c>
      <c r="G41" s="24" t="n">
        <v>1512</v>
      </c>
      <c r="H41" s="24" t="n">
        <v>1200</v>
      </c>
      <c r="I41" s="24" t="n">
        <v>1260</v>
      </c>
      <c r="J41" s="24" t="n">
        <v>1200</v>
      </c>
      <c r="K41" s="15" t="n">
        <f aca="false">Controls!$B$7</f>
        <v>0.025</v>
      </c>
      <c r="L41" s="13" t="s">
        <v>99</v>
      </c>
      <c r="M41" s="13" t="s">
        <v>100</v>
      </c>
    </row>
    <row r="42" customFormat="false" ht="15" hidden="false" customHeight="false" outlineLevel="0" collapsed="false">
      <c r="A42" s="21" t="s">
        <v>144</v>
      </c>
      <c r="B42" s="21" t="s">
        <v>20</v>
      </c>
      <c r="C42" s="21" t="s">
        <v>101</v>
      </c>
      <c r="D42" s="21" t="s">
        <v>102</v>
      </c>
      <c r="E42" s="21" t="s">
        <v>103</v>
      </c>
      <c r="F42" s="21" t="s">
        <v>104</v>
      </c>
      <c r="G42" s="26"/>
      <c r="H42" s="26" t="n">
        <v>168</v>
      </c>
      <c r="I42" s="26"/>
      <c r="J42" s="26" t="n">
        <v>168</v>
      </c>
      <c r="K42" s="18" t="n">
        <f aca="false">Controls!$B$7</f>
        <v>0.025</v>
      </c>
      <c r="L42" s="21" t="s">
        <v>105</v>
      </c>
      <c r="M42" s="21" t="s">
        <v>106</v>
      </c>
    </row>
  </sheetData>
  <mergeCells count="2">
    <mergeCell ref="A2:M2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58"/>
    <col collapsed="false" customWidth="true" hidden="false" outlineLevel="0" max="4" min="4" style="0" width="22"/>
  </cols>
  <sheetData>
    <row r="2" customFormat="false" ht="24" hidden="false" customHeight="true" outlineLevel="0" collapsed="false">
      <c r="A2" s="1" t="s">
        <v>151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" t="s">
        <v>152</v>
      </c>
      <c r="B4" s="3"/>
      <c r="C4" s="3"/>
      <c r="D4" s="3"/>
    </row>
    <row r="6" customFormat="false" ht="23" hidden="false" customHeight="true" outlineLevel="0" collapsed="false">
      <c r="A6" s="4" t="s">
        <v>62</v>
      </c>
      <c r="B6" s="22" t="s">
        <v>63</v>
      </c>
      <c r="C6" s="22" t="s">
        <v>153</v>
      </c>
      <c r="D6" s="5" t="s">
        <v>154</v>
      </c>
    </row>
    <row r="7" customFormat="false" ht="15" hidden="false" customHeight="false" outlineLevel="0" collapsed="false">
      <c r="A7" s="9" t="s">
        <v>73</v>
      </c>
      <c r="B7" s="9" t="s">
        <v>74</v>
      </c>
      <c r="C7" s="9" t="s">
        <v>155</v>
      </c>
      <c r="D7" s="9" t="s">
        <v>156</v>
      </c>
    </row>
    <row r="8" customFormat="false" ht="15" hidden="false" customHeight="false" outlineLevel="0" collapsed="false">
      <c r="A8" s="13" t="s">
        <v>79</v>
      </c>
      <c r="B8" s="13" t="s">
        <v>80</v>
      </c>
      <c r="C8" s="13" t="s">
        <v>157</v>
      </c>
      <c r="D8" s="13" t="s">
        <v>156</v>
      </c>
    </row>
    <row r="9" customFormat="false" ht="15" hidden="false" customHeight="false" outlineLevel="0" collapsed="false">
      <c r="A9" s="13" t="s">
        <v>85</v>
      </c>
      <c r="B9" s="13" t="s">
        <v>86</v>
      </c>
      <c r="C9" s="13" t="s">
        <v>158</v>
      </c>
      <c r="D9" s="13" t="s">
        <v>156</v>
      </c>
    </row>
    <row r="10" customFormat="false" ht="15" hidden="false" customHeight="false" outlineLevel="0" collapsed="false">
      <c r="A10" s="13" t="s">
        <v>90</v>
      </c>
      <c r="B10" s="13" t="s">
        <v>91</v>
      </c>
      <c r="C10" s="13" t="s">
        <v>159</v>
      </c>
      <c r="D10" s="13" t="s">
        <v>160</v>
      </c>
    </row>
    <row r="11" customFormat="false" ht="15" hidden="false" customHeight="false" outlineLevel="0" collapsed="false">
      <c r="A11" s="13" t="s">
        <v>95</v>
      </c>
      <c r="B11" s="13" t="s">
        <v>96</v>
      </c>
      <c r="C11" s="13" t="s">
        <v>161</v>
      </c>
      <c r="D11" s="13" t="s">
        <v>156</v>
      </c>
    </row>
    <row r="12" customFormat="false" ht="15" hidden="false" customHeight="false" outlineLevel="0" collapsed="false">
      <c r="A12" s="21" t="s">
        <v>101</v>
      </c>
      <c r="B12" s="21" t="s">
        <v>102</v>
      </c>
      <c r="C12" s="21" t="s">
        <v>162</v>
      </c>
      <c r="D12" s="21" t="s">
        <v>163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92"/>
  </cols>
  <sheetData>
    <row r="2" customFormat="false" ht="24" hidden="false" customHeight="true" outlineLevel="0" collapsed="false">
      <c r="A2" s="1" t="s">
        <v>164</v>
      </c>
      <c r="B2" s="1"/>
      <c r="C2" s="1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3" t="s">
        <v>165</v>
      </c>
      <c r="B4" s="3"/>
      <c r="C4" s="3"/>
    </row>
    <row r="6" customFormat="false" ht="23" hidden="false" customHeight="true" outlineLevel="0" collapsed="false">
      <c r="A6" s="4" t="s">
        <v>166</v>
      </c>
      <c r="B6" s="22" t="s">
        <v>167</v>
      </c>
      <c r="C6" s="5" t="s">
        <v>168</v>
      </c>
    </row>
    <row r="7" customFormat="false" ht="15" hidden="false" customHeight="false" outlineLevel="0" collapsed="false">
      <c r="A7" s="9" t="s">
        <v>169</v>
      </c>
      <c r="B7" s="9" t="s">
        <v>170</v>
      </c>
      <c r="C7" s="9" t="s">
        <v>171</v>
      </c>
    </row>
    <row r="8" customFormat="false" ht="15" hidden="false" customHeight="false" outlineLevel="0" collapsed="false">
      <c r="A8" s="13" t="s">
        <v>172</v>
      </c>
      <c r="B8" s="13" t="s">
        <v>173</v>
      </c>
      <c r="C8" s="13" t="s">
        <v>174</v>
      </c>
    </row>
    <row r="9" customFormat="false" ht="15" hidden="false" customHeight="false" outlineLevel="0" collapsed="false">
      <c r="A9" s="13" t="s">
        <v>175</v>
      </c>
      <c r="B9" s="13" t="s">
        <v>176</v>
      </c>
      <c r="C9" s="13" t="s">
        <v>177</v>
      </c>
    </row>
    <row r="10" customFormat="false" ht="15" hidden="false" customHeight="false" outlineLevel="0" collapsed="false">
      <c r="A10" s="21" t="s">
        <v>178</v>
      </c>
      <c r="B10" s="21" t="s">
        <v>179</v>
      </c>
      <c r="C10" s="21" t="s">
        <v>180</v>
      </c>
    </row>
  </sheetData>
  <mergeCells count="2">
    <mergeCell ref="A2:C2"/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36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42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8"/>
    <col collapsed="false" customWidth="true" hidden="false" outlineLevel="0" max="18" min="18" style="0" width="62"/>
    <col collapsed="false" customWidth="true" hidden="false" outlineLevel="0" max="19" min="19" style="0" width="20"/>
    <col collapsed="false" customWidth="true" hidden="false" outlineLevel="0" max="20" min="20" style="0" width="19"/>
  </cols>
  <sheetData>
    <row r="2" customFormat="false" ht="24" hidden="false" customHeight="true" outlineLevel="0" collapsed="false">
      <c r="A2" s="1" t="s">
        <v>181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3" t="s">
        <v>182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6" customFormat="false" ht="23" hidden="false" customHeight="true" outlineLevel="0" collapsed="false">
      <c r="A6" s="4" t="s">
        <v>183</v>
      </c>
      <c r="B6" s="22" t="s">
        <v>61</v>
      </c>
      <c r="C6" s="22" t="s">
        <v>4</v>
      </c>
      <c r="D6" s="22" t="s">
        <v>62</v>
      </c>
      <c r="E6" s="22" t="s">
        <v>63</v>
      </c>
      <c r="F6" s="22" t="s">
        <v>166</v>
      </c>
      <c r="G6" s="22" t="s">
        <v>184</v>
      </c>
      <c r="H6" s="22" t="s">
        <v>64</v>
      </c>
      <c r="I6" s="22" t="s">
        <v>30</v>
      </c>
      <c r="J6" s="22" t="s">
        <v>185</v>
      </c>
      <c r="K6" s="22" t="s">
        <v>186</v>
      </c>
      <c r="L6" s="22" t="s">
        <v>187</v>
      </c>
      <c r="M6" s="22" t="s">
        <v>69</v>
      </c>
      <c r="N6" s="22" t="s">
        <v>188</v>
      </c>
      <c r="O6" s="22" t="s">
        <v>189</v>
      </c>
      <c r="P6" s="22" t="s">
        <v>190</v>
      </c>
      <c r="Q6" s="22" t="s">
        <v>10</v>
      </c>
      <c r="R6" s="22" t="s">
        <v>191</v>
      </c>
      <c r="S6" s="22" t="s">
        <v>192</v>
      </c>
      <c r="T6" s="5" t="s">
        <v>193</v>
      </c>
    </row>
    <row r="7" customFormat="false" ht="15" hidden="false" customHeight="false" outlineLevel="0" collapsed="false">
      <c r="A7" s="9" t="s">
        <v>194</v>
      </c>
      <c r="B7" s="9" t="s">
        <v>72</v>
      </c>
      <c r="C7" s="9" t="s">
        <v>12</v>
      </c>
      <c r="D7" s="9" t="s">
        <v>73</v>
      </c>
      <c r="E7" s="9" t="s">
        <v>74</v>
      </c>
      <c r="F7" s="9" t="s">
        <v>169</v>
      </c>
      <c r="G7" s="9" t="s">
        <v>170</v>
      </c>
      <c r="H7" s="9" t="s">
        <v>75</v>
      </c>
      <c r="I7" s="9" t="s">
        <v>76</v>
      </c>
      <c r="J7" s="28" t="n">
        <v>128000</v>
      </c>
      <c r="K7" s="28" t="n">
        <v>102000</v>
      </c>
      <c r="L7" s="11" t="n">
        <f aca="false">IF(AND(ISNUMBER(J7),ISNUMBER(K7),K7&gt;0),J7/K7,"")</f>
        <v>1.25490196078431</v>
      </c>
      <c r="M7" s="11" t="n">
        <f aca="false">Controls!$B$7</f>
        <v>0.025</v>
      </c>
      <c r="N7" s="11" t="n">
        <f aca="false">IF(P7=1,L7*(1-M7),"")</f>
        <v>1.22352941176471</v>
      </c>
      <c r="O7" s="11" t="n">
        <f aca="false">IF(P7=1,N7-Controls!$B$8,"")</f>
        <v>0.223529411764706</v>
      </c>
      <c r="P7" s="29" t="n">
        <f aca="false">IF(AND(ISNUMBER(J7),ISNUMBER(K7),K7&gt;0),1,0)</f>
        <v>1</v>
      </c>
      <c r="Q7" s="12" t="str">
        <f aca="false">IF(P7=0,"UNQUANTIFIED",IF(O7&gt;=0,"CLOSE","NEGATIVE"))</f>
        <v>CLOSE</v>
      </c>
      <c r="R7" s="30" t="s">
        <v>77</v>
      </c>
      <c r="S7" s="30" t="n">
        <v>0</v>
      </c>
      <c r="T7" s="30" t="n">
        <v>0</v>
      </c>
    </row>
    <row r="8" customFormat="false" ht="15" hidden="false" customHeight="false" outlineLevel="0" collapsed="false">
      <c r="A8" s="13" t="s">
        <v>195</v>
      </c>
      <c r="B8" s="13" t="s">
        <v>72</v>
      </c>
      <c r="C8" s="13" t="s">
        <v>12</v>
      </c>
      <c r="D8" s="13" t="s">
        <v>73</v>
      </c>
      <c r="E8" s="13" t="s">
        <v>74</v>
      </c>
      <c r="F8" s="13" t="s">
        <v>172</v>
      </c>
      <c r="G8" s="13" t="s">
        <v>173</v>
      </c>
      <c r="H8" s="13" t="s">
        <v>75</v>
      </c>
      <c r="I8" s="13" t="s">
        <v>76</v>
      </c>
      <c r="J8" s="31"/>
      <c r="K8" s="31"/>
      <c r="L8" s="15" t="str">
        <f aca="false">IF(AND(ISNUMBER(J8),ISNUMBER(K8),K8&gt;0),J8/K8,"")</f>
        <v/>
      </c>
      <c r="M8" s="15" t="n">
        <f aca="false">Controls!$B$7</f>
        <v>0.025</v>
      </c>
      <c r="N8" s="15" t="str">
        <f aca="false">IF(P8=1,L8*(1-M8),"")</f>
        <v/>
      </c>
      <c r="O8" s="15" t="str">
        <f aca="false">IF(P8=1,N8-Controls!$B$8,"")</f>
        <v/>
      </c>
      <c r="P8" s="32" t="n">
        <f aca="false">IF(AND(ISNUMBER(J8),ISNUMBER(K8),K8&gt;0),1,0)</f>
        <v>0</v>
      </c>
      <c r="Q8" s="16" t="str">
        <f aca="false">IF(P8=0,"UNQUANTIFIED",IF(O8&gt;=0,"CLOSE","NEGATIVE"))</f>
        <v>UNQUANTIFIED</v>
      </c>
      <c r="R8" s="33" t="s">
        <v>196</v>
      </c>
      <c r="S8" s="33" t="n">
        <v>0</v>
      </c>
      <c r="T8" s="33" t="n">
        <v>0</v>
      </c>
    </row>
    <row r="9" customFormat="false" ht="15" hidden="false" customHeight="false" outlineLevel="0" collapsed="false">
      <c r="A9" s="13" t="s">
        <v>197</v>
      </c>
      <c r="B9" s="13" t="s">
        <v>72</v>
      </c>
      <c r="C9" s="13" t="s">
        <v>12</v>
      </c>
      <c r="D9" s="13" t="s">
        <v>73</v>
      </c>
      <c r="E9" s="13" t="s">
        <v>74</v>
      </c>
      <c r="F9" s="13" t="s">
        <v>175</v>
      </c>
      <c r="G9" s="13" t="s">
        <v>176</v>
      </c>
      <c r="H9" s="13" t="s">
        <v>75</v>
      </c>
      <c r="I9" s="13" t="s">
        <v>76</v>
      </c>
      <c r="J9" s="31" t="n">
        <v>112000</v>
      </c>
      <c r="K9" s="31" t="n">
        <v>102000</v>
      </c>
      <c r="L9" s="15" t="n">
        <f aca="false">IF(AND(ISNUMBER(J9),ISNUMBER(K9),K9&gt;0),J9/K9,"")</f>
        <v>1.09803921568627</v>
      </c>
      <c r="M9" s="15" t="n">
        <f aca="false">Controls!$B$7</f>
        <v>0.025</v>
      </c>
      <c r="N9" s="15" t="n">
        <f aca="false">IF(P9=1,L9*(1-M9),"")</f>
        <v>1.07058823529412</v>
      </c>
      <c r="O9" s="15" t="n">
        <f aca="false">IF(P9=1,N9-Controls!$B$8,"")</f>
        <v>0.0705882352941176</v>
      </c>
      <c r="P9" s="32" t="n">
        <f aca="false">IF(AND(ISNUMBER(J9),ISNUMBER(K9),K9&gt;0),1,0)</f>
        <v>1</v>
      </c>
      <c r="Q9" s="16" t="str">
        <f aca="false">IF(P9=0,"UNQUANTIFIED",IF(O9&gt;=0,"CLOSE","NEGATIVE"))</f>
        <v>CLOSE</v>
      </c>
      <c r="R9" s="33" t="s">
        <v>77</v>
      </c>
      <c r="S9" s="33" t="n">
        <v>0</v>
      </c>
      <c r="T9" s="33" t="n">
        <v>0</v>
      </c>
    </row>
    <row r="10" customFormat="false" ht="15" hidden="false" customHeight="false" outlineLevel="0" collapsed="false">
      <c r="A10" s="13" t="s">
        <v>198</v>
      </c>
      <c r="B10" s="13" t="s">
        <v>72</v>
      </c>
      <c r="C10" s="13" t="s">
        <v>12</v>
      </c>
      <c r="D10" s="13" t="s">
        <v>73</v>
      </c>
      <c r="E10" s="13" t="s">
        <v>74</v>
      </c>
      <c r="F10" s="13" t="s">
        <v>178</v>
      </c>
      <c r="G10" s="13" t="s">
        <v>179</v>
      </c>
      <c r="H10" s="13" t="s">
        <v>75</v>
      </c>
      <c r="I10" s="13" t="s">
        <v>76</v>
      </c>
      <c r="J10" s="31"/>
      <c r="K10" s="31"/>
      <c r="L10" s="15" t="str">
        <f aca="false">IF(AND(ISNUMBER(J10),ISNUMBER(K10),K10&gt;0),J10/K10,"")</f>
        <v/>
      </c>
      <c r="M10" s="15" t="n">
        <f aca="false">Controls!$B$7</f>
        <v>0.025</v>
      </c>
      <c r="N10" s="15" t="str">
        <f aca="false">IF(P10=1,L10*(1-M10),"")</f>
        <v/>
      </c>
      <c r="O10" s="15" t="str">
        <f aca="false">IF(P10=1,N10-Controls!$B$8,"")</f>
        <v/>
      </c>
      <c r="P10" s="32" t="n">
        <f aca="false">IF(AND(ISNUMBER(J10),ISNUMBER(K10),K10&gt;0),1,0)</f>
        <v>0</v>
      </c>
      <c r="Q10" s="16" t="str">
        <f aca="false">IF(P10=0,"UNQUANTIFIED",IF(O10&gt;=0,"CLOSE","NEGATIVE"))</f>
        <v>UNQUANTIFIED</v>
      </c>
      <c r="R10" s="33" t="s">
        <v>199</v>
      </c>
      <c r="S10" s="33" t="n">
        <v>0</v>
      </c>
      <c r="T10" s="33" t="n">
        <v>0</v>
      </c>
    </row>
    <row r="11" customFormat="false" ht="15" hidden="false" customHeight="false" outlineLevel="0" collapsed="false">
      <c r="A11" s="13" t="s">
        <v>200</v>
      </c>
      <c r="B11" s="13" t="s">
        <v>72</v>
      </c>
      <c r="C11" s="13" t="s">
        <v>12</v>
      </c>
      <c r="D11" s="13" t="s">
        <v>79</v>
      </c>
      <c r="E11" s="13" t="s">
        <v>80</v>
      </c>
      <c r="F11" s="13" t="s">
        <v>169</v>
      </c>
      <c r="G11" s="13" t="s">
        <v>170</v>
      </c>
      <c r="H11" s="13" t="s">
        <v>81</v>
      </c>
      <c r="I11" s="13" t="s">
        <v>82</v>
      </c>
      <c r="J11" s="31" t="n">
        <v>120</v>
      </c>
      <c r="K11" s="31" t="n">
        <v>96</v>
      </c>
      <c r="L11" s="15" t="n">
        <f aca="false">IF(AND(ISNUMBER(J11),ISNUMBER(K11),K11&gt;0),J11/K11,"")</f>
        <v>1.25</v>
      </c>
      <c r="M11" s="15" t="n">
        <f aca="false">Controls!$B$7</f>
        <v>0.025</v>
      </c>
      <c r="N11" s="15" t="n">
        <f aca="false">IF(P11=1,L11*(1-M11),"")</f>
        <v>1.21875</v>
      </c>
      <c r="O11" s="15" t="n">
        <f aca="false">IF(P11=1,N11-Controls!$B$8,"")</f>
        <v>0.21875</v>
      </c>
      <c r="P11" s="32" t="n">
        <f aca="false">IF(AND(ISNUMBER(J11),ISNUMBER(K11),K11&gt;0),1,0)</f>
        <v>1</v>
      </c>
      <c r="Q11" s="16" t="str">
        <f aca="false">IF(P11=0,"UNQUANTIFIED",IF(O11&gt;=0,"CLOSE","NEGATIVE"))</f>
        <v>CLOSE</v>
      </c>
      <c r="R11" s="33" t="s">
        <v>83</v>
      </c>
      <c r="S11" s="33" t="n">
        <v>0</v>
      </c>
      <c r="T11" s="33" t="n">
        <v>0</v>
      </c>
    </row>
    <row r="12" customFormat="false" ht="15" hidden="false" customHeight="false" outlineLevel="0" collapsed="false">
      <c r="A12" s="13" t="s">
        <v>201</v>
      </c>
      <c r="B12" s="13" t="s">
        <v>72</v>
      </c>
      <c r="C12" s="13" t="s">
        <v>12</v>
      </c>
      <c r="D12" s="13" t="s">
        <v>79</v>
      </c>
      <c r="E12" s="13" t="s">
        <v>80</v>
      </c>
      <c r="F12" s="13" t="s">
        <v>172</v>
      </c>
      <c r="G12" s="13" t="s">
        <v>173</v>
      </c>
      <c r="H12" s="13" t="s">
        <v>81</v>
      </c>
      <c r="I12" s="13" t="s">
        <v>82</v>
      </c>
      <c r="J12" s="31"/>
      <c r="K12" s="31"/>
      <c r="L12" s="15" t="str">
        <f aca="false">IF(AND(ISNUMBER(J12),ISNUMBER(K12),K12&gt;0),J12/K12,"")</f>
        <v/>
      </c>
      <c r="M12" s="15" t="n">
        <f aca="false">Controls!$B$7</f>
        <v>0.025</v>
      </c>
      <c r="N12" s="15" t="str">
        <f aca="false">IF(P12=1,L12*(1-M12),"")</f>
        <v/>
      </c>
      <c r="O12" s="15" t="str">
        <f aca="false">IF(P12=1,N12-Controls!$B$8,"")</f>
        <v/>
      </c>
      <c r="P12" s="32" t="n">
        <f aca="false">IF(AND(ISNUMBER(J12),ISNUMBER(K12),K12&gt;0),1,0)</f>
        <v>0</v>
      </c>
      <c r="Q12" s="16" t="str">
        <f aca="false">IF(P12=0,"UNQUANTIFIED",IF(O12&gt;=0,"CLOSE","NEGATIVE"))</f>
        <v>UNQUANTIFIED</v>
      </c>
      <c r="R12" s="33" t="s">
        <v>196</v>
      </c>
      <c r="S12" s="33" t="n">
        <v>0</v>
      </c>
      <c r="T12" s="33" t="n">
        <v>0</v>
      </c>
    </row>
    <row r="13" customFormat="false" ht="15" hidden="false" customHeight="false" outlineLevel="0" collapsed="false">
      <c r="A13" s="13" t="s">
        <v>202</v>
      </c>
      <c r="B13" s="13" t="s">
        <v>72</v>
      </c>
      <c r="C13" s="13" t="s">
        <v>12</v>
      </c>
      <c r="D13" s="13" t="s">
        <v>79</v>
      </c>
      <c r="E13" s="13" t="s">
        <v>80</v>
      </c>
      <c r="F13" s="13" t="s">
        <v>175</v>
      </c>
      <c r="G13" s="13" t="s">
        <v>176</v>
      </c>
      <c r="H13" s="13" t="s">
        <v>81</v>
      </c>
      <c r="I13" s="13" t="s">
        <v>82</v>
      </c>
      <c r="J13" s="31" t="n">
        <v>100</v>
      </c>
      <c r="K13" s="31" t="n">
        <v>96</v>
      </c>
      <c r="L13" s="15" t="n">
        <f aca="false">IF(AND(ISNUMBER(J13),ISNUMBER(K13),K13&gt;0),J13/K13,"")</f>
        <v>1.04166666666667</v>
      </c>
      <c r="M13" s="15" t="n">
        <f aca="false">Controls!$B$7</f>
        <v>0.025</v>
      </c>
      <c r="N13" s="15" t="n">
        <f aca="false">IF(P13=1,L13*(1-M13),"")</f>
        <v>1.015625</v>
      </c>
      <c r="O13" s="15" t="n">
        <f aca="false">IF(P13=1,N13-Controls!$B$8,"")</f>
        <v>0.015625</v>
      </c>
      <c r="P13" s="32" t="n">
        <f aca="false">IF(AND(ISNUMBER(J13),ISNUMBER(K13),K13&gt;0),1,0)</f>
        <v>1</v>
      </c>
      <c r="Q13" s="16" t="str">
        <f aca="false">IF(P13=0,"UNQUANTIFIED",IF(O13&gt;=0,"CLOSE","NEGATIVE"))</f>
        <v>CLOSE</v>
      </c>
      <c r="R13" s="33" t="s">
        <v>83</v>
      </c>
      <c r="S13" s="33" t="n">
        <v>0</v>
      </c>
      <c r="T13" s="33" t="n">
        <v>0</v>
      </c>
    </row>
    <row r="14" customFormat="false" ht="15" hidden="false" customHeight="false" outlineLevel="0" collapsed="false">
      <c r="A14" s="13" t="s">
        <v>203</v>
      </c>
      <c r="B14" s="13" t="s">
        <v>72</v>
      </c>
      <c r="C14" s="13" t="s">
        <v>12</v>
      </c>
      <c r="D14" s="13" t="s">
        <v>79</v>
      </c>
      <c r="E14" s="13" t="s">
        <v>80</v>
      </c>
      <c r="F14" s="13" t="s">
        <v>178</v>
      </c>
      <c r="G14" s="13" t="s">
        <v>179</v>
      </c>
      <c r="H14" s="13" t="s">
        <v>81</v>
      </c>
      <c r="I14" s="13" t="s">
        <v>82</v>
      </c>
      <c r="J14" s="31"/>
      <c r="K14" s="31"/>
      <c r="L14" s="15" t="str">
        <f aca="false">IF(AND(ISNUMBER(J14),ISNUMBER(K14),K14&gt;0),J14/K14,"")</f>
        <v/>
      </c>
      <c r="M14" s="15" t="n">
        <f aca="false">Controls!$B$7</f>
        <v>0.025</v>
      </c>
      <c r="N14" s="15" t="str">
        <f aca="false">IF(P14=1,L14*(1-M14),"")</f>
        <v/>
      </c>
      <c r="O14" s="15" t="str">
        <f aca="false">IF(P14=1,N14-Controls!$B$8,"")</f>
        <v/>
      </c>
      <c r="P14" s="32" t="n">
        <f aca="false">IF(AND(ISNUMBER(J14),ISNUMBER(K14),K14&gt;0),1,0)</f>
        <v>0</v>
      </c>
      <c r="Q14" s="16" t="str">
        <f aca="false">IF(P14=0,"UNQUANTIFIED",IF(O14&gt;=0,"CLOSE","NEGATIVE"))</f>
        <v>UNQUANTIFIED</v>
      </c>
      <c r="R14" s="33" t="s">
        <v>199</v>
      </c>
      <c r="S14" s="33" t="n">
        <v>0</v>
      </c>
      <c r="T14" s="33" t="n">
        <v>0</v>
      </c>
    </row>
    <row r="15" customFormat="false" ht="15" hidden="false" customHeight="false" outlineLevel="0" collapsed="false">
      <c r="A15" s="13" t="s">
        <v>204</v>
      </c>
      <c r="B15" s="13" t="s">
        <v>72</v>
      </c>
      <c r="C15" s="13" t="s">
        <v>12</v>
      </c>
      <c r="D15" s="13" t="s">
        <v>85</v>
      </c>
      <c r="E15" s="13" t="s">
        <v>86</v>
      </c>
      <c r="F15" s="13" t="s">
        <v>169</v>
      </c>
      <c r="G15" s="13" t="s">
        <v>170</v>
      </c>
      <c r="H15" s="13" t="s">
        <v>87</v>
      </c>
      <c r="I15" s="13" t="s">
        <v>36</v>
      </c>
      <c r="J15" s="31" t="n">
        <v>1.28</v>
      </c>
      <c r="K15" s="31" t="n">
        <v>1</v>
      </c>
      <c r="L15" s="15" t="n">
        <f aca="false">IF(AND(ISNUMBER(J15),ISNUMBER(K15),K15&gt;0),J15/K15,"")</f>
        <v>1.28</v>
      </c>
      <c r="M15" s="15" t="n">
        <f aca="false">Controls!$B$7</f>
        <v>0.025</v>
      </c>
      <c r="N15" s="15" t="n">
        <f aca="false">IF(P15=1,L15*(1-M15),"")</f>
        <v>1.248</v>
      </c>
      <c r="O15" s="15" t="n">
        <f aca="false">IF(P15=1,N15-Controls!$B$8,"")</f>
        <v>0.248</v>
      </c>
      <c r="P15" s="32" t="n">
        <f aca="false">IF(AND(ISNUMBER(J15),ISNUMBER(K15),K15&gt;0),1,0)</f>
        <v>1</v>
      </c>
      <c r="Q15" s="16" t="str">
        <f aca="false">IF(P15=0,"UNQUANTIFIED",IF(O15&gt;=0,"CLOSE","NEGATIVE"))</f>
        <v>CLOSE</v>
      </c>
      <c r="R15" s="33" t="s">
        <v>88</v>
      </c>
      <c r="S15" s="33" t="n">
        <v>0</v>
      </c>
      <c r="T15" s="33" t="n">
        <v>0</v>
      </c>
    </row>
    <row r="16" customFormat="false" ht="15" hidden="false" customHeight="false" outlineLevel="0" collapsed="false">
      <c r="A16" s="13" t="s">
        <v>205</v>
      </c>
      <c r="B16" s="13" t="s">
        <v>72</v>
      </c>
      <c r="C16" s="13" t="s">
        <v>12</v>
      </c>
      <c r="D16" s="13" t="s">
        <v>85</v>
      </c>
      <c r="E16" s="13" t="s">
        <v>86</v>
      </c>
      <c r="F16" s="13" t="s">
        <v>172</v>
      </c>
      <c r="G16" s="13" t="s">
        <v>173</v>
      </c>
      <c r="H16" s="13" t="s">
        <v>87</v>
      </c>
      <c r="I16" s="13" t="s">
        <v>36</v>
      </c>
      <c r="J16" s="31"/>
      <c r="K16" s="31"/>
      <c r="L16" s="15" t="str">
        <f aca="false">IF(AND(ISNUMBER(J16),ISNUMBER(K16),K16&gt;0),J16/K16,"")</f>
        <v/>
      </c>
      <c r="M16" s="15" t="n">
        <f aca="false">Controls!$B$7</f>
        <v>0.025</v>
      </c>
      <c r="N16" s="15" t="str">
        <f aca="false">IF(P16=1,L16*(1-M16),"")</f>
        <v/>
      </c>
      <c r="O16" s="15" t="str">
        <f aca="false">IF(P16=1,N16-Controls!$B$8,"")</f>
        <v/>
      </c>
      <c r="P16" s="32" t="n">
        <f aca="false">IF(AND(ISNUMBER(J16),ISNUMBER(K16),K16&gt;0),1,0)</f>
        <v>0</v>
      </c>
      <c r="Q16" s="16" t="str">
        <f aca="false">IF(P16=0,"UNQUANTIFIED",IF(O16&gt;=0,"CLOSE","NEGATIVE"))</f>
        <v>UNQUANTIFIED</v>
      </c>
      <c r="R16" s="33" t="s">
        <v>196</v>
      </c>
      <c r="S16" s="33" t="n">
        <v>0</v>
      </c>
      <c r="T16" s="33" t="n">
        <v>0</v>
      </c>
    </row>
    <row r="17" customFormat="false" ht="15" hidden="false" customHeight="false" outlineLevel="0" collapsed="false">
      <c r="A17" s="13" t="s">
        <v>206</v>
      </c>
      <c r="B17" s="13" t="s">
        <v>72</v>
      </c>
      <c r="C17" s="13" t="s">
        <v>12</v>
      </c>
      <c r="D17" s="13" t="s">
        <v>85</v>
      </c>
      <c r="E17" s="13" t="s">
        <v>86</v>
      </c>
      <c r="F17" s="13" t="s">
        <v>175</v>
      </c>
      <c r="G17" s="13" t="s">
        <v>176</v>
      </c>
      <c r="H17" s="13" t="s">
        <v>87</v>
      </c>
      <c r="I17" s="13" t="s">
        <v>36</v>
      </c>
      <c r="J17" s="31" t="n">
        <v>1.024</v>
      </c>
      <c r="K17" s="31" t="n">
        <v>1</v>
      </c>
      <c r="L17" s="15" t="n">
        <f aca="false">IF(AND(ISNUMBER(J17),ISNUMBER(K17),K17&gt;0),J17/K17,"")</f>
        <v>1.024</v>
      </c>
      <c r="M17" s="15" t="n">
        <f aca="false">Controls!$B$7</f>
        <v>0.025</v>
      </c>
      <c r="N17" s="15" t="n">
        <f aca="false">IF(P17=1,L17*(1-M17),"")</f>
        <v>0.9984</v>
      </c>
      <c r="O17" s="15" t="n">
        <f aca="false">IF(P17=1,N17-Controls!$B$8,"")</f>
        <v>-0.00160000000000005</v>
      </c>
      <c r="P17" s="32" t="n">
        <f aca="false">IF(AND(ISNUMBER(J17),ISNUMBER(K17),K17&gt;0),1,0)</f>
        <v>1</v>
      </c>
      <c r="Q17" s="16" t="str">
        <f aca="false">IF(P17=0,"UNQUANTIFIED",IF(O17&gt;=0,"CLOSE","NEGATIVE"))</f>
        <v>NEGATIVE</v>
      </c>
      <c r="R17" s="33" t="s">
        <v>88</v>
      </c>
      <c r="S17" s="33" t="n">
        <v>0</v>
      </c>
      <c r="T17" s="33" t="n">
        <v>0</v>
      </c>
    </row>
    <row r="18" customFormat="false" ht="15" hidden="false" customHeight="false" outlineLevel="0" collapsed="false">
      <c r="A18" s="13" t="s">
        <v>207</v>
      </c>
      <c r="B18" s="13" t="s">
        <v>72</v>
      </c>
      <c r="C18" s="13" t="s">
        <v>12</v>
      </c>
      <c r="D18" s="13" t="s">
        <v>85</v>
      </c>
      <c r="E18" s="13" t="s">
        <v>86</v>
      </c>
      <c r="F18" s="13" t="s">
        <v>178</v>
      </c>
      <c r="G18" s="13" t="s">
        <v>179</v>
      </c>
      <c r="H18" s="13" t="s">
        <v>87</v>
      </c>
      <c r="I18" s="13" t="s">
        <v>36</v>
      </c>
      <c r="J18" s="31"/>
      <c r="K18" s="31"/>
      <c r="L18" s="15" t="str">
        <f aca="false">IF(AND(ISNUMBER(J18),ISNUMBER(K18),K18&gt;0),J18/K18,"")</f>
        <v/>
      </c>
      <c r="M18" s="15" t="n">
        <f aca="false">Controls!$B$7</f>
        <v>0.025</v>
      </c>
      <c r="N18" s="15" t="str">
        <f aca="false">IF(P18=1,L18*(1-M18),"")</f>
        <v/>
      </c>
      <c r="O18" s="15" t="str">
        <f aca="false">IF(P18=1,N18-Controls!$B$8,"")</f>
        <v/>
      </c>
      <c r="P18" s="32" t="n">
        <f aca="false">IF(AND(ISNUMBER(J18),ISNUMBER(K18),K18&gt;0),1,0)</f>
        <v>0</v>
      </c>
      <c r="Q18" s="16" t="str">
        <f aca="false">IF(P18=0,"UNQUANTIFIED",IF(O18&gt;=0,"CLOSE","NEGATIVE"))</f>
        <v>UNQUANTIFIED</v>
      </c>
      <c r="R18" s="33" t="s">
        <v>199</v>
      </c>
      <c r="S18" s="33" t="n">
        <v>0</v>
      </c>
      <c r="T18" s="33" t="n">
        <v>0</v>
      </c>
    </row>
    <row r="19" customFormat="false" ht="15" hidden="false" customHeight="false" outlineLevel="0" collapsed="false">
      <c r="A19" s="13" t="s">
        <v>208</v>
      </c>
      <c r="B19" s="13" t="s">
        <v>72</v>
      </c>
      <c r="C19" s="13" t="s">
        <v>12</v>
      </c>
      <c r="D19" s="13" t="s">
        <v>90</v>
      </c>
      <c r="E19" s="13" t="s">
        <v>91</v>
      </c>
      <c r="F19" s="13" t="s">
        <v>169</v>
      </c>
      <c r="G19" s="13" t="s">
        <v>170</v>
      </c>
      <c r="H19" s="13" t="s">
        <v>92</v>
      </c>
      <c r="I19" s="13" t="s">
        <v>36</v>
      </c>
      <c r="J19" s="31" t="n">
        <v>1.26</v>
      </c>
      <c r="K19" s="31" t="n">
        <v>1</v>
      </c>
      <c r="L19" s="15" t="n">
        <f aca="false">IF(AND(ISNUMBER(J19),ISNUMBER(K19),K19&gt;0),J19/K19,"")</f>
        <v>1.26</v>
      </c>
      <c r="M19" s="15" t="n">
        <f aca="false">Controls!$B$7</f>
        <v>0.025</v>
      </c>
      <c r="N19" s="15" t="n">
        <f aca="false">IF(P19=1,L19*(1-M19),"")</f>
        <v>1.2285</v>
      </c>
      <c r="O19" s="15" t="n">
        <f aca="false">IF(P19=1,N19-Controls!$B$8,"")</f>
        <v>0.2285</v>
      </c>
      <c r="P19" s="32" t="n">
        <f aca="false">IF(AND(ISNUMBER(J19),ISNUMBER(K19),K19&gt;0),1,0)</f>
        <v>1</v>
      </c>
      <c r="Q19" s="16" t="str">
        <f aca="false">IF(P19=0,"UNQUANTIFIED",IF(O19&gt;=0,"CLOSE","NEGATIVE"))</f>
        <v>CLOSE</v>
      </c>
      <c r="R19" s="33" t="s">
        <v>93</v>
      </c>
      <c r="S19" s="33" t="n">
        <v>0</v>
      </c>
      <c r="T19" s="33" t="n">
        <v>0</v>
      </c>
    </row>
    <row r="20" customFormat="false" ht="15" hidden="false" customHeight="false" outlineLevel="0" collapsed="false">
      <c r="A20" s="13" t="s">
        <v>209</v>
      </c>
      <c r="B20" s="13" t="s">
        <v>72</v>
      </c>
      <c r="C20" s="13" t="s">
        <v>12</v>
      </c>
      <c r="D20" s="13" t="s">
        <v>90</v>
      </c>
      <c r="E20" s="13" t="s">
        <v>91</v>
      </c>
      <c r="F20" s="13" t="s">
        <v>172</v>
      </c>
      <c r="G20" s="13" t="s">
        <v>173</v>
      </c>
      <c r="H20" s="13" t="s">
        <v>92</v>
      </c>
      <c r="I20" s="13" t="s">
        <v>36</v>
      </c>
      <c r="J20" s="31"/>
      <c r="K20" s="31"/>
      <c r="L20" s="15" t="str">
        <f aca="false">IF(AND(ISNUMBER(J20),ISNUMBER(K20),K20&gt;0),J20/K20,"")</f>
        <v/>
      </c>
      <c r="M20" s="15" t="n">
        <f aca="false">Controls!$B$7</f>
        <v>0.025</v>
      </c>
      <c r="N20" s="15" t="str">
        <f aca="false">IF(P20=1,L20*(1-M20),"")</f>
        <v/>
      </c>
      <c r="O20" s="15" t="str">
        <f aca="false">IF(P20=1,N20-Controls!$B$8,"")</f>
        <v/>
      </c>
      <c r="P20" s="32" t="n">
        <f aca="false">IF(AND(ISNUMBER(J20),ISNUMBER(K20),K20&gt;0),1,0)</f>
        <v>0</v>
      </c>
      <c r="Q20" s="16" t="str">
        <f aca="false">IF(P20=0,"UNQUANTIFIED",IF(O20&gt;=0,"CLOSE","NEGATIVE"))</f>
        <v>UNQUANTIFIED</v>
      </c>
      <c r="R20" s="33" t="s">
        <v>196</v>
      </c>
      <c r="S20" s="33" t="n">
        <v>0</v>
      </c>
      <c r="T20" s="33" t="n">
        <v>0</v>
      </c>
    </row>
    <row r="21" customFormat="false" ht="15" hidden="false" customHeight="false" outlineLevel="0" collapsed="false">
      <c r="A21" s="13" t="s">
        <v>210</v>
      </c>
      <c r="B21" s="13" t="s">
        <v>72</v>
      </c>
      <c r="C21" s="13" t="s">
        <v>12</v>
      </c>
      <c r="D21" s="13" t="s">
        <v>90</v>
      </c>
      <c r="E21" s="13" t="s">
        <v>91</v>
      </c>
      <c r="F21" s="13" t="s">
        <v>175</v>
      </c>
      <c r="G21" s="13" t="s">
        <v>176</v>
      </c>
      <c r="H21" s="13" t="s">
        <v>92</v>
      </c>
      <c r="I21" s="13" t="s">
        <v>36</v>
      </c>
      <c r="J21" s="31" t="n">
        <v>1.05</v>
      </c>
      <c r="K21" s="31" t="n">
        <v>1</v>
      </c>
      <c r="L21" s="15" t="n">
        <f aca="false">IF(AND(ISNUMBER(J21),ISNUMBER(K21),K21&gt;0),J21/K21,"")</f>
        <v>1.05</v>
      </c>
      <c r="M21" s="15" t="n">
        <f aca="false">Controls!$B$7</f>
        <v>0.025</v>
      </c>
      <c r="N21" s="15" t="n">
        <f aca="false">IF(P21=1,L21*(1-M21),"")</f>
        <v>1.02375</v>
      </c>
      <c r="O21" s="15" t="n">
        <f aca="false">IF(P21=1,N21-Controls!$B$8,"")</f>
        <v>0.0237499999999999</v>
      </c>
      <c r="P21" s="32" t="n">
        <f aca="false">IF(AND(ISNUMBER(J21),ISNUMBER(K21),K21&gt;0),1,0)</f>
        <v>1</v>
      </c>
      <c r="Q21" s="16" t="str">
        <f aca="false">IF(P21=0,"UNQUANTIFIED",IF(O21&gt;=0,"CLOSE","NEGATIVE"))</f>
        <v>CLOSE</v>
      </c>
      <c r="R21" s="33" t="s">
        <v>93</v>
      </c>
      <c r="S21" s="33" t="n">
        <v>0</v>
      </c>
      <c r="T21" s="33" t="n">
        <v>0</v>
      </c>
    </row>
    <row r="22" customFormat="false" ht="15" hidden="false" customHeight="false" outlineLevel="0" collapsed="false">
      <c r="A22" s="13" t="s">
        <v>211</v>
      </c>
      <c r="B22" s="13" t="s">
        <v>72</v>
      </c>
      <c r="C22" s="13" t="s">
        <v>12</v>
      </c>
      <c r="D22" s="13" t="s">
        <v>90</v>
      </c>
      <c r="E22" s="13" t="s">
        <v>91</v>
      </c>
      <c r="F22" s="13" t="s">
        <v>178</v>
      </c>
      <c r="G22" s="13" t="s">
        <v>179</v>
      </c>
      <c r="H22" s="13" t="s">
        <v>92</v>
      </c>
      <c r="I22" s="13" t="s">
        <v>36</v>
      </c>
      <c r="J22" s="31"/>
      <c r="K22" s="31"/>
      <c r="L22" s="15" t="str">
        <f aca="false">IF(AND(ISNUMBER(J22),ISNUMBER(K22),K22&gt;0),J22/K22,"")</f>
        <v/>
      </c>
      <c r="M22" s="15" t="n">
        <f aca="false">Controls!$B$7</f>
        <v>0.025</v>
      </c>
      <c r="N22" s="15" t="str">
        <f aca="false">IF(P22=1,L22*(1-M22),"")</f>
        <v/>
      </c>
      <c r="O22" s="15" t="str">
        <f aca="false">IF(P22=1,N22-Controls!$B$8,"")</f>
        <v/>
      </c>
      <c r="P22" s="32" t="n">
        <f aca="false">IF(AND(ISNUMBER(J22),ISNUMBER(K22),K22&gt;0),1,0)</f>
        <v>0</v>
      </c>
      <c r="Q22" s="16" t="str">
        <f aca="false">IF(P22=0,"UNQUANTIFIED",IF(O22&gt;=0,"CLOSE","NEGATIVE"))</f>
        <v>UNQUANTIFIED</v>
      </c>
      <c r="R22" s="33" t="s">
        <v>199</v>
      </c>
      <c r="S22" s="33" t="n">
        <v>0</v>
      </c>
      <c r="T22" s="33" t="n">
        <v>0</v>
      </c>
    </row>
    <row r="23" customFormat="false" ht="15" hidden="false" customHeight="false" outlineLevel="0" collapsed="false">
      <c r="A23" s="13" t="s">
        <v>212</v>
      </c>
      <c r="B23" s="13" t="s">
        <v>72</v>
      </c>
      <c r="C23" s="13" t="s">
        <v>12</v>
      </c>
      <c r="D23" s="13" t="s">
        <v>95</v>
      </c>
      <c r="E23" s="13" t="s">
        <v>96</v>
      </c>
      <c r="F23" s="13" t="s">
        <v>169</v>
      </c>
      <c r="G23" s="13" t="s">
        <v>170</v>
      </c>
      <c r="H23" s="13" t="s">
        <v>97</v>
      </c>
      <c r="I23" s="13" t="s">
        <v>98</v>
      </c>
      <c r="J23" s="31" t="n">
        <v>1512</v>
      </c>
      <c r="K23" s="31" t="n">
        <v>1200</v>
      </c>
      <c r="L23" s="15" t="n">
        <f aca="false">IF(AND(ISNUMBER(J23),ISNUMBER(K23),K23&gt;0),J23/K23,"")</f>
        <v>1.26</v>
      </c>
      <c r="M23" s="15" t="n">
        <f aca="false">Controls!$B$7</f>
        <v>0.025</v>
      </c>
      <c r="N23" s="15" t="n">
        <f aca="false">IF(P23=1,L23*(1-M23),"")</f>
        <v>1.2285</v>
      </c>
      <c r="O23" s="15" t="n">
        <f aca="false">IF(P23=1,N23-Controls!$B$8,"")</f>
        <v>0.2285</v>
      </c>
      <c r="P23" s="32" t="n">
        <f aca="false">IF(AND(ISNUMBER(J23),ISNUMBER(K23),K23&gt;0),1,0)</f>
        <v>1</v>
      </c>
      <c r="Q23" s="16" t="str">
        <f aca="false">IF(P23=0,"UNQUANTIFIED",IF(O23&gt;=0,"CLOSE","NEGATIVE"))</f>
        <v>CLOSE</v>
      </c>
      <c r="R23" s="33" t="s">
        <v>99</v>
      </c>
      <c r="S23" s="33" t="n">
        <v>0</v>
      </c>
      <c r="T23" s="33" t="n">
        <v>0</v>
      </c>
    </row>
    <row r="24" customFormat="false" ht="15" hidden="false" customHeight="false" outlineLevel="0" collapsed="false">
      <c r="A24" s="13" t="s">
        <v>213</v>
      </c>
      <c r="B24" s="13" t="s">
        <v>72</v>
      </c>
      <c r="C24" s="13" t="s">
        <v>12</v>
      </c>
      <c r="D24" s="13" t="s">
        <v>95</v>
      </c>
      <c r="E24" s="13" t="s">
        <v>96</v>
      </c>
      <c r="F24" s="13" t="s">
        <v>172</v>
      </c>
      <c r="G24" s="13" t="s">
        <v>173</v>
      </c>
      <c r="H24" s="13" t="s">
        <v>97</v>
      </c>
      <c r="I24" s="13" t="s">
        <v>98</v>
      </c>
      <c r="J24" s="31"/>
      <c r="K24" s="31"/>
      <c r="L24" s="15" t="str">
        <f aca="false">IF(AND(ISNUMBER(J24),ISNUMBER(K24),K24&gt;0),J24/K24,"")</f>
        <v/>
      </c>
      <c r="M24" s="15" t="n">
        <f aca="false">Controls!$B$7</f>
        <v>0.025</v>
      </c>
      <c r="N24" s="15" t="str">
        <f aca="false">IF(P24=1,L24*(1-M24),"")</f>
        <v/>
      </c>
      <c r="O24" s="15" t="str">
        <f aca="false">IF(P24=1,N24-Controls!$B$8,"")</f>
        <v/>
      </c>
      <c r="P24" s="32" t="n">
        <f aca="false">IF(AND(ISNUMBER(J24),ISNUMBER(K24),K24&gt;0),1,0)</f>
        <v>0</v>
      </c>
      <c r="Q24" s="16" t="str">
        <f aca="false">IF(P24=0,"UNQUANTIFIED",IF(O24&gt;=0,"CLOSE","NEGATIVE"))</f>
        <v>UNQUANTIFIED</v>
      </c>
      <c r="R24" s="33" t="s">
        <v>196</v>
      </c>
      <c r="S24" s="33" t="n">
        <v>0</v>
      </c>
      <c r="T24" s="33" t="n">
        <v>0</v>
      </c>
    </row>
    <row r="25" customFormat="false" ht="15" hidden="false" customHeight="false" outlineLevel="0" collapsed="false">
      <c r="A25" s="13" t="s">
        <v>214</v>
      </c>
      <c r="B25" s="13" t="s">
        <v>72</v>
      </c>
      <c r="C25" s="13" t="s">
        <v>12</v>
      </c>
      <c r="D25" s="13" t="s">
        <v>95</v>
      </c>
      <c r="E25" s="13" t="s">
        <v>96</v>
      </c>
      <c r="F25" s="13" t="s">
        <v>175</v>
      </c>
      <c r="G25" s="13" t="s">
        <v>176</v>
      </c>
      <c r="H25" s="13" t="s">
        <v>97</v>
      </c>
      <c r="I25" s="13" t="s">
        <v>98</v>
      </c>
      <c r="J25" s="31" t="n">
        <v>1260</v>
      </c>
      <c r="K25" s="31" t="n">
        <v>1200</v>
      </c>
      <c r="L25" s="15" t="n">
        <f aca="false">IF(AND(ISNUMBER(J25),ISNUMBER(K25),K25&gt;0),J25/K25,"")</f>
        <v>1.05</v>
      </c>
      <c r="M25" s="15" t="n">
        <f aca="false">Controls!$B$7</f>
        <v>0.025</v>
      </c>
      <c r="N25" s="15" t="n">
        <f aca="false">IF(P25=1,L25*(1-M25),"")</f>
        <v>1.02375</v>
      </c>
      <c r="O25" s="15" t="n">
        <f aca="false">IF(P25=1,N25-Controls!$B$8,"")</f>
        <v>0.0237499999999999</v>
      </c>
      <c r="P25" s="32" t="n">
        <f aca="false">IF(AND(ISNUMBER(J25),ISNUMBER(K25),K25&gt;0),1,0)</f>
        <v>1</v>
      </c>
      <c r="Q25" s="16" t="str">
        <f aca="false">IF(P25=0,"UNQUANTIFIED",IF(O25&gt;=0,"CLOSE","NEGATIVE"))</f>
        <v>CLOSE</v>
      </c>
      <c r="R25" s="33" t="s">
        <v>99</v>
      </c>
      <c r="S25" s="33" t="n">
        <v>0</v>
      </c>
      <c r="T25" s="33" t="n">
        <v>0</v>
      </c>
    </row>
    <row r="26" customFormat="false" ht="15" hidden="false" customHeight="false" outlineLevel="0" collapsed="false">
      <c r="A26" s="13" t="s">
        <v>215</v>
      </c>
      <c r="B26" s="13" t="s">
        <v>72</v>
      </c>
      <c r="C26" s="13" t="s">
        <v>12</v>
      </c>
      <c r="D26" s="13" t="s">
        <v>95</v>
      </c>
      <c r="E26" s="13" t="s">
        <v>96</v>
      </c>
      <c r="F26" s="13" t="s">
        <v>178</v>
      </c>
      <c r="G26" s="13" t="s">
        <v>179</v>
      </c>
      <c r="H26" s="13" t="s">
        <v>97</v>
      </c>
      <c r="I26" s="13" t="s">
        <v>98</v>
      </c>
      <c r="J26" s="31"/>
      <c r="K26" s="31"/>
      <c r="L26" s="15" t="str">
        <f aca="false">IF(AND(ISNUMBER(J26),ISNUMBER(K26),K26&gt;0),J26/K26,"")</f>
        <v/>
      </c>
      <c r="M26" s="15" t="n">
        <f aca="false">Controls!$B$7</f>
        <v>0.025</v>
      </c>
      <c r="N26" s="15" t="str">
        <f aca="false">IF(P26=1,L26*(1-M26),"")</f>
        <v/>
      </c>
      <c r="O26" s="15" t="str">
        <f aca="false">IF(P26=1,N26-Controls!$B$8,"")</f>
        <v/>
      </c>
      <c r="P26" s="32" t="n">
        <f aca="false">IF(AND(ISNUMBER(J26),ISNUMBER(K26),K26&gt;0),1,0)</f>
        <v>0</v>
      </c>
      <c r="Q26" s="16" t="str">
        <f aca="false">IF(P26=0,"UNQUANTIFIED",IF(O26&gt;=0,"CLOSE","NEGATIVE"))</f>
        <v>UNQUANTIFIED</v>
      </c>
      <c r="R26" s="33" t="s">
        <v>199</v>
      </c>
      <c r="S26" s="33" t="n">
        <v>0</v>
      </c>
      <c r="T26" s="33" t="n">
        <v>0</v>
      </c>
    </row>
    <row r="27" customFormat="false" ht="15" hidden="false" customHeight="false" outlineLevel="0" collapsed="false">
      <c r="A27" s="13" t="s">
        <v>216</v>
      </c>
      <c r="B27" s="13" t="s">
        <v>72</v>
      </c>
      <c r="C27" s="13" t="s">
        <v>12</v>
      </c>
      <c r="D27" s="13" t="s">
        <v>101</v>
      </c>
      <c r="E27" s="13" t="s">
        <v>102</v>
      </c>
      <c r="F27" s="13" t="s">
        <v>169</v>
      </c>
      <c r="G27" s="13" t="s">
        <v>170</v>
      </c>
      <c r="H27" s="13" t="s">
        <v>103</v>
      </c>
      <c r="I27" s="13" t="s">
        <v>104</v>
      </c>
      <c r="J27" s="31"/>
      <c r="K27" s="31" t="n">
        <v>168</v>
      </c>
      <c r="L27" s="15" t="str">
        <f aca="false">IF(AND(ISNUMBER(J27),ISNUMBER(K27),K27&gt;0),J27/K27,"")</f>
        <v/>
      </c>
      <c r="M27" s="15" t="n">
        <f aca="false">Controls!$B$7</f>
        <v>0.025</v>
      </c>
      <c r="N27" s="15" t="str">
        <f aca="false">IF(P27=1,L27*(1-M27),"")</f>
        <v/>
      </c>
      <c r="O27" s="15" t="str">
        <f aca="false">IF(P27=1,N27-Controls!$B$8,"")</f>
        <v/>
      </c>
      <c r="P27" s="32" t="n">
        <f aca="false">IF(AND(ISNUMBER(J27),ISNUMBER(K27),K27&gt;0),1,0)</f>
        <v>0</v>
      </c>
      <c r="Q27" s="16" t="str">
        <f aca="false">IF(P27=0,"UNQUANTIFIED",IF(O27&gt;=0,"CLOSE","NEGATIVE"))</f>
        <v>UNQUANTIFIED</v>
      </c>
      <c r="R27" s="33" t="s">
        <v>217</v>
      </c>
      <c r="S27" s="33" t="n">
        <v>0</v>
      </c>
      <c r="T27" s="33" t="n">
        <v>0</v>
      </c>
    </row>
    <row r="28" customFormat="false" ht="15" hidden="false" customHeight="false" outlineLevel="0" collapsed="false">
      <c r="A28" s="13" t="s">
        <v>218</v>
      </c>
      <c r="B28" s="13" t="s">
        <v>72</v>
      </c>
      <c r="C28" s="13" t="s">
        <v>12</v>
      </c>
      <c r="D28" s="13" t="s">
        <v>101</v>
      </c>
      <c r="E28" s="13" t="s">
        <v>102</v>
      </c>
      <c r="F28" s="13" t="s">
        <v>172</v>
      </c>
      <c r="G28" s="13" t="s">
        <v>173</v>
      </c>
      <c r="H28" s="13" t="s">
        <v>103</v>
      </c>
      <c r="I28" s="13" t="s">
        <v>104</v>
      </c>
      <c r="J28" s="31"/>
      <c r="K28" s="31"/>
      <c r="L28" s="15" t="str">
        <f aca="false">IF(AND(ISNUMBER(J28),ISNUMBER(K28),K28&gt;0),J28/K28,"")</f>
        <v/>
      </c>
      <c r="M28" s="15" t="n">
        <f aca="false">Controls!$B$7</f>
        <v>0.025</v>
      </c>
      <c r="N28" s="15" t="str">
        <f aca="false">IF(P28=1,L28*(1-M28),"")</f>
        <v/>
      </c>
      <c r="O28" s="15" t="str">
        <f aca="false">IF(P28=1,N28-Controls!$B$8,"")</f>
        <v/>
      </c>
      <c r="P28" s="32" t="n">
        <f aca="false">IF(AND(ISNUMBER(J28),ISNUMBER(K28),K28&gt;0),1,0)</f>
        <v>0</v>
      </c>
      <c r="Q28" s="16" t="str">
        <f aca="false">IF(P28=0,"UNQUANTIFIED",IF(O28&gt;=0,"CLOSE","NEGATIVE"))</f>
        <v>UNQUANTIFIED</v>
      </c>
      <c r="R28" s="33" t="s">
        <v>217</v>
      </c>
      <c r="S28" s="33" t="n">
        <v>0</v>
      </c>
      <c r="T28" s="33" t="n">
        <v>0</v>
      </c>
    </row>
    <row r="29" customFormat="false" ht="15" hidden="false" customHeight="false" outlineLevel="0" collapsed="false">
      <c r="A29" s="13" t="s">
        <v>219</v>
      </c>
      <c r="B29" s="13" t="s">
        <v>72</v>
      </c>
      <c r="C29" s="13" t="s">
        <v>12</v>
      </c>
      <c r="D29" s="13" t="s">
        <v>101</v>
      </c>
      <c r="E29" s="13" t="s">
        <v>102</v>
      </c>
      <c r="F29" s="13" t="s">
        <v>175</v>
      </c>
      <c r="G29" s="13" t="s">
        <v>176</v>
      </c>
      <c r="H29" s="13" t="s">
        <v>103</v>
      </c>
      <c r="I29" s="13" t="s">
        <v>104</v>
      </c>
      <c r="J29" s="31"/>
      <c r="K29" s="31" t="n">
        <v>168</v>
      </c>
      <c r="L29" s="15" t="str">
        <f aca="false">IF(AND(ISNUMBER(J29),ISNUMBER(K29),K29&gt;0),J29/K29,"")</f>
        <v/>
      </c>
      <c r="M29" s="15" t="n">
        <f aca="false">Controls!$B$7</f>
        <v>0.025</v>
      </c>
      <c r="N29" s="15" t="str">
        <f aca="false">IF(P29=1,L29*(1-M29),"")</f>
        <v/>
      </c>
      <c r="O29" s="15" t="str">
        <f aca="false">IF(P29=1,N29-Controls!$B$8,"")</f>
        <v/>
      </c>
      <c r="P29" s="32" t="n">
        <f aca="false">IF(AND(ISNUMBER(J29),ISNUMBER(K29),K29&gt;0),1,0)</f>
        <v>0</v>
      </c>
      <c r="Q29" s="16" t="str">
        <f aca="false">IF(P29=0,"UNQUANTIFIED",IF(O29&gt;=0,"CLOSE","NEGATIVE"))</f>
        <v>UNQUANTIFIED</v>
      </c>
      <c r="R29" s="33" t="s">
        <v>217</v>
      </c>
      <c r="S29" s="33" t="n">
        <v>0</v>
      </c>
      <c r="T29" s="33" t="n">
        <v>0</v>
      </c>
    </row>
    <row r="30" customFormat="false" ht="15" hidden="false" customHeight="false" outlineLevel="0" collapsed="false">
      <c r="A30" s="13" t="s">
        <v>220</v>
      </c>
      <c r="B30" s="13" t="s">
        <v>72</v>
      </c>
      <c r="C30" s="13" t="s">
        <v>12</v>
      </c>
      <c r="D30" s="13" t="s">
        <v>101</v>
      </c>
      <c r="E30" s="13" t="s">
        <v>102</v>
      </c>
      <c r="F30" s="13" t="s">
        <v>178</v>
      </c>
      <c r="G30" s="13" t="s">
        <v>179</v>
      </c>
      <c r="H30" s="13" t="s">
        <v>103</v>
      </c>
      <c r="I30" s="13" t="s">
        <v>104</v>
      </c>
      <c r="J30" s="31"/>
      <c r="K30" s="31"/>
      <c r="L30" s="15" t="str">
        <f aca="false">IF(AND(ISNUMBER(J30),ISNUMBER(K30),K30&gt;0),J30/K30,"")</f>
        <v/>
      </c>
      <c r="M30" s="15" t="n">
        <f aca="false">Controls!$B$7</f>
        <v>0.025</v>
      </c>
      <c r="N30" s="15" t="str">
        <f aca="false">IF(P30=1,L30*(1-M30),"")</f>
        <v/>
      </c>
      <c r="O30" s="15" t="str">
        <f aca="false">IF(P30=1,N30-Controls!$B$8,"")</f>
        <v/>
      </c>
      <c r="P30" s="32" t="n">
        <f aca="false">IF(AND(ISNUMBER(J30),ISNUMBER(K30),K30&gt;0),1,0)</f>
        <v>0</v>
      </c>
      <c r="Q30" s="16" t="str">
        <f aca="false">IF(P30=0,"UNQUANTIFIED",IF(O30&gt;=0,"CLOSE","NEGATIVE"))</f>
        <v>UNQUANTIFIED</v>
      </c>
      <c r="R30" s="33" t="s">
        <v>217</v>
      </c>
      <c r="S30" s="33" t="n">
        <v>0</v>
      </c>
      <c r="T30" s="33" t="n">
        <v>0</v>
      </c>
    </row>
    <row r="31" customFormat="false" ht="15" hidden="false" customHeight="false" outlineLevel="0" collapsed="false">
      <c r="A31" s="13" t="s">
        <v>221</v>
      </c>
      <c r="B31" s="13" t="s">
        <v>107</v>
      </c>
      <c r="C31" s="13" t="s">
        <v>14</v>
      </c>
      <c r="D31" s="13" t="s">
        <v>73</v>
      </c>
      <c r="E31" s="13" t="s">
        <v>74</v>
      </c>
      <c r="F31" s="13" t="s">
        <v>169</v>
      </c>
      <c r="G31" s="13" t="s">
        <v>170</v>
      </c>
      <c r="H31" s="13" t="s">
        <v>75</v>
      </c>
      <c r="I31" s="13" t="s">
        <v>76</v>
      </c>
      <c r="J31" s="31" t="n">
        <v>36000</v>
      </c>
      <c r="K31" s="31" t="n">
        <v>31000</v>
      </c>
      <c r="L31" s="15" t="n">
        <f aca="false">IF(AND(ISNUMBER(J31),ISNUMBER(K31),K31&gt;0),J31/K31,"")</f>
        <v>1.16129032258065</v>
      </c>
      <c r="M31" s="15" t="n">
        <f aca="false">Controls!$B$7</f>
        <v>0.025</v>
      </c>
      <c r="N31" s="15" t="n">
        <f aca="false">IF(P31=1,L31*(1-M31),"")</f>
        <v>1.13225806451613</v>
      </c>
      <c r="O31" s="15" t="n">
        <f aca="false">IF(P31=1,N31-Controls!$B$8,"")</f>
        <v>0.132258064516129</v>
      </c>
      <c r="P31" s="32" t="n">
        <f aca="false">IF(AND(ISNUMBER(J31),ISNUMBER(K31),K31&gt;0),1,0)</f>
        <v>1</v>
      </c>
      <c r="Q31" s="16" t="str">
        <f aca="false">IF(P31=0,"UNQUANTIFIED",IF(O31&gt;=0,"CLOSE","NEGATIVE"))</f>
        <v>CLOSE</v>
      </c>
      <c r="R31" s="33" t="s">
        <v>77</v>
      </c>
      <c r="S31" s="33" t="n">
        <v>0</v>
      </c>
      <c r="T31" s="33" t="n">
        <v>0</v>
      </c>
    </row>
    <row r="32" customFormat="false" ht="15" hidden="false" customHeight="false" outlineLevel="0" collapsed="false">
      <c r="A32" s="13" t="s">
        <v>222</v>
      </c>
      <c r="B32" s="13" t="s">
        <v>107</v>
      </c>
      <c r="C32" s="13" t="s">
        <v>14</v>
      </c>
      <c r="D32" s="13" t="s">
        <v>73</v>
      </c>
      <c r="E32" s="13" t="s">
        <v>74</v>
      </c>
      <c r="F32" s="13" t="s">
        <v>172</v>
      </c>
      <c r="G32" s="13" t="s">
        <v>173</v>
      </c>
      <c r="H32" s="13" t="s">
        <v>75</v>
      </c>
      <c r="I32" s="13" t="s">
        <v>76</v>
      </c>
      <c r="J32" s="31"/>
      <c r="K32" s="31"/>
      <c r="L32" s="15" t="str">
        <f aca="false">IF(AND(ISNUMBER(J32),ISNUMBER(K32),K32&gt;0),J32/K32,"")</f>
        <v/>
      </c>
      <c r="M32" s="15" t="n">
        <f aca="false">Controls!$B$7</f>
        <v>0.025</v>
      </c>
      <c r="N32" s="15" t="str">
        <f aca="false">IF(P32=1,L32*(1-M32),"")</f>
        <v/>
      </c>
      <c r="O32" s="15" t="str">
        <f aca="false">IF(P32=1,N32-Controls!$B$8,"")</f>
        <v/>
      </c>
      <c r="P32" s="32" t="n">
        <f aca="false">IF(AND(ISNUMBER(J32),ISNUMBER(K32),K32&gt;0),1,0)</f>
        <v>0</v>
      </c>
      <c r="Q32" s="16" t="str">
        <f aca="false">IF(P32=0,"UNQUANTIFIED",IF(O32&gt;=0,"CLOSE","NEGATIVE"))</f>
        <v>UNQUANTIFIED</v>
      </c>
      <c r="R32" s="33" t="s">
        <v>196</v>
      </c>
      <c r="S32" s="33" t="n">
        <v>0</v>
      </c>
      <c r="T32" s="33" t="n">
        <v>0</v>
      </c>
    </row>
    <row r="33" customFormat="false" ht="15" hidden="false" customHeight="false" outlineLevel="0" collapsed="false">
      <c r="A33" s="13" t="s">
        <v>223</v>
      </c>
      <c r="B33" s="13" t="s">
        <v>107</v>
      </c>
      <c r="C33" s="13" t="s">
        <v>14</v>
      </c>
      <c r="D33" s="13" t="s">
        <v>73</v>
      </c>
      <c r="E33" s="13" t="s">
        <v>74</v>
      </c>
      <c r="F33" s="13" t="s">
        <v>175</v>
      </c>
      <c r="G33" s="13" t="s">
        <v>176</v>
      </c>
      <c r="H33" s="13" t="s">
        <v>75</v>
      </c>
      <c r="I33" s="13" t="s">
        <v>76</v>
      </c>
      <c r="J33" s="31" t="n">
        <v>32400</v>
      </c>
      <c r="K33" s="31" t="n">
        <v>31000</v>
      </c>
      <c r="L33" s="15" t="n">
        <f aca="false">IF(AND(ISNUMBER(J33),ISNUMBER(K33),K33&gt;0),J33/K33,"")</f>
        <v>1.04516129032258</v>
      </c>
      <c r="M33" s="15" t="n">
        <f aca="false">Controls!$B$7</f>
        <v>0.025</v>
      </c>
      <c r="N33" s="15" t="n">
        <f aca="false">IF(P33=1,L33*(1-M33),"")</f>
        <v>1.01903225806452</v>
      </c>
      <c r="O33" s="15" t="n">
        <f aca="false">IF(P33=1,N33-Controls!$B$8,"")</f>
        <v>0.0190322580645161</v>
      </c>
      <c r="P33" s="32" t="n">
        <f aca="false">IF(AND(ISNUMBER(J33),ISNUMBER(K33),K33&gt;0),1,0)</f>
        <v>1</v>
      </c>
      <c r="Q33" s="16" t="str">
        <f aca="false">IF(P33=0,"UNQUANTIFIED",IF(O33&gt;=0,"CLOSE","NEGATIVE"))</f>
        <v>CLOSE</v>
      </c>
      <c r="R33" s="33" t="s">
        <v>77</v>
      </c>
      <c r="S33" s="33" t="n">
        <v>0</v>
      </c>
      <c r="T33" s="33" t="n">
        <v>0</v>
      </c>
    </row>
    <row r="34" customFormat="false" ht="15" hidden="false" customHeight="false" outlineLevel="0" collapsed="false">
      <c r="A34" s="13" t="s">
        <v>224</v>
      </c>
      <c r="B34" s="13" t="s">
        <v>107</v>
      </c>
      <c r="C34" s="13" t="s">
        <v>14</v>
      </c>
      <c r="D34" s="13" t="s">
        <v>73</v>
      </c>
      <c r="E34" s="13" t="s">
        <v>74</v>
      </c>
      <c r="F34" s="13" t="s">
        <v>178</v>
      </c>
      <c r="G34" s="13" t="s">
        <v>179</v>
      </c>
      <c r="H34" s="13" t="s">
        <v>75</v>
      </c>
      <c r="I34" s="13" t="s">
        <v>76</v>
      </c>
      <c r="J34" s="31"/>
      <c r="K34" s="31"/>
      <c r="L34" s="15" t="str">
        <f aca="false">IF(AND(ISNUMBER(J34),ISNUMBER(K34),K34&gt;0),J34/K34,"")</f>
        <v/>
      </c>
      <c r="M34" s="15" t="n">
        <f aca="false">Controls!$B$7</f>
        <v>0.025</v>
      </c>
      <c r="N34" s="15" t="str">
        <f aca="false">IF(P34=1,L34*(1-M34),"")</f>
        <v/>
      </c>
      <c r="O34" s="15" t="str">
        <f aca="false">IF(P34=1,N34-Controls!$B$8,"")</f>
        <v/>
      </c>
      <c r="P34" s="32" t="n">
        <f aca="false">IF(AND(ISNUMBER(J34),ISNUMBER(K34),K34&gt;0),1,0)</f>
        <v>0</v>
      </c>
      <c r="Q34" s="16" t="str">
        <f aca="false">IF(P34=0,"UNQUANTIFIED",IF(O34&gt;=0,"CLOSE","NEGATIVE"))</f>
        <v>UNQUANTIFIED</v>
      </c>
      <c r="R34" s="33" t="s">
        <v>199</v>
      </c>
      <c r="S34" s="33" t="n">
        <v>0</v>
      </c>
      <c r="T34" s="33" t="n">
        <v>0</v>
      </c>
    </row>
    <row r="35" customFormat="false" ht="15" hidden="false" customHeight="false" outlineLevel="0" collapsed="false">
      <c r="A35" s="13" t="s">
        <v>225</v>
      </c>
      <c r="B35" s="13" t="s">
        <v>107</v>
      </c>
      <c r="C35" s="13" t="s">
        <v>14</v>
      </c>
      <c r="D35" s="13" t="s">
        <v>79</v>
      </c>
      <c r="E35" s="13" t="s">
        <v>80</v>
      </c>
      <c r="F35" s="13" t="s">
        <v>169</v>
      </c>
      <c r="G35" s="13" t="s">
        <v>170</v>
      </c>
      <c r="H35" s="13" t="s">
        <v>81</v>
      </c>
      <c r="I35" s="13" t="s">
        <v>82</v>
      </c>
      <c r="J35" s="31" t="n">
        <v>49</v>
      </c>
      <c r="K35" s="31" t="n">
        <v>42</v>
      </c>
      <c r="L35" s="15" t="n">
        <f aca="false">IF(AND(ISNUMBER(J35),ISNUMBER(K35),K35&gt;0),J35/K35,"")</f>
        <v>1.16666666666667</v>
      </c>
      <c r="M35" s="15" t="n">
        <f aca="false">Controls!$B$7</f>
        <v>0.025</v>
      </c>
      <c r="N35" s="15" t="n">
        <f aca="false">IF(P35=1,L35*(1-M35),"")</f>
        <v>1.1375</v>
      </c>
      <c r="O35" s="15" t="n">
        <f aca="false">IF(P35=1,N35-Controls!$B$8,"")</f>
        <v>0.1375</v>
      </c>
      <c r="P35" s="32" t="n">
        <f aca="false">IF(AND(ISNUMBER(J35),ISNUMBER(K35),K35&gt;0),1,0)</f>
        <v>1</v>
      </c>
      <c r="Q35" s="16" t="str">
        <f aca="false">IF(P35=0,"UNQUANTIFIED",IF(O35&gt;=0,"CLOSE","NEGATIVE"))</f>
        <v>CLOSE</v>
      </c>
      <c r="R35" s="33" t="s">
        <v>83</v>
      </c>
      <c r="S35" s="33" t="n">
        <v>0</v>
      </c>
      <c r="T35" s="33" t="n">
        <v>0</v>
      </c>
    </row>
    <row r="36" customFormat="false" ht="15" hidden="false" customHeight="false" outlineLevel="0" collapsed="false">
      <c r="A36" s="13" t="s">
        <v>226</v>
      </c>
      <c r="B36" s="13" t="s">
        <v>107</v>
      </c>
      <c r="C36" s="13" t="s">
        <v>14</v>
      </c>
      <c r="D36" s="13" t="s">
        <v>79</v>
      </c>
      <c r="E36" s="13" t="s">
        <v>80</v>
      </c>
      <c r="F36" s="13" t="s">
        <v>172</v>
      </c>
      <c r="G36" s="13" t="s">
        <v>173</v>
      </c>
      <c r="H36" s="13" t="s">
        <v>81</v>
      </c>
      <c r="I36" s="13" t="s">
        <v>82</v>
      </c>
      <c r="J36" s="31"/>
      <c r="K36" s="31"/>
      <c r="L36" s="15" t="str">
        <f aca="false">IF(AND(ISNUMBER(J36),ISNUMBER(K36),K36&gt;0),J36/K36,"")</f>
        <v/>
      </c>
      <c r="M36" s="15" t="n">
        <f aca="false">Controls!$B$7</f>
        <v>0.025</v>
      </c>
      <c r="N36" s="15" t="str">
        <f aca="false">IF(P36=1,L36*(1-M36),"")</f>
        <v/>
      </c>
      <c r="O36" s="15" t="str">
        <f aca="false">IF(P36=1,N36-Controls!$B$8,"")</f>
        <v/>
      </c>
      <c r="P36" s="32" t="n">
        <f aca="false">IF(AND(ISNUMBER(J36),ISNUMBER(K36),K36&gt;0),1,0)</f>
        <v>0</v>
      </c>
      <c r="Q36" s="16" t="str">
        <f aca="false">IF(P36=0,"UNQUANTIFIED",IF(O36&gt;=0,"CLOSE","NEGATIVE"))</f>
        <v>UNQUANTIFIED</v>
      </c>
      <c r="R36" s="33" t="s">
        <v>196</v>
      </c>
      <c r="S36" s="33" t="n">
        <v>0</v>
      </c>
      <c r="T36" s="33" t="n">
        <v>0</v>
      </c>
    </row>
    <row r="37" customFormat="false" ht="15" hidden="false" customHeight="false" outlineLevel="0" collapsed="false">
      <c r="A37" s="13" t="s">
        <v>227</v>
      </c>
      <c r="B37" s="13" t="s">
        <v>107</v>
      </c>
      <c r="C37" s="13" t="s">
        <v>14</v>
      </c>
      <c r="D37" s="13" t="s">
        <v>79</v>
      </c>
      <c r="E37" s="13" t="s">
        <v>80</v>
      </c>
      <c r="F37" s="13" t="s">
        <v>175</v>
      </c>
      <c r="G37" s="13" t="s">
        <v>176</v>
      </c>
      <c r="H37" s="13" t="s">
        <v>81</v>
      </c>
      <c r="I37" s="13" t="s">
        <v>82</v>
      </c>
      <c r="J37" s="31" t="n">
        <v>42</v>
      </c>
      <c r="K37" s="31" t="n">
        <v>42</v>
      </c>
      <c r="L37" s="15" t="n">
        <f aca="false">IF(AND(ISNUMBER(J37),ISNUMBER(K37),K37&gt;0),J37/K37,"")</f>
        <v>1</v>
      </c>
      <c r="M37" s="15" t="n">
        <f aca="false">Controls!$B$7</f>
        <v>0.025</v>
      </c>
      <c r="N37" s="15" t="n">
        <f aca="false">IF(P37=1,L37*(1-M37),"")</f>
        <v>0.975</v>
      </c>
      <c r="O37" s="15" t="n">
        <f aca="false">IF(P37=1,N37-Controls!$B$8,"")</f>
        <v>-0.025</v>
      </c>
      <c r="P37" s="32" t="n">
        <f aca="false">IF(AND(ISNUMBER(J37),ISNUMBER(K37),K37&gt;0),1,0)</f>
        <v>1</v>
      </c>
      <c r="Q37" s="16" t="str">
        <f aca="false">IF(P37=0,"UNQUANTIFIED",IF(O37&gt;=0,"CLOSE","NEGATIVE"))</f>
        <v>NEGATIVE</v>
      </c>
      <c r="R37" s="33" t="s">
        <v>83</v>
      </c>
      <c r="S37" s="33" t="n">
        <v>0</v>
      </c>
      <c r="T37" s="33" t="n">
        <v>0</v>
      </c>
    </row>
    <row r="38" customFormat="false" ht="15" hidden="false" customHeight="false" outlineLevel="0" collapsed="false">
      <c r="A38" s="13" t="s">
        <v>228</v>
      </c>
      <c r="B38" s="13" t="s">
        <v>107</v>
      </c>
      <c r="C38" s="13" t="s">
        <v>14</v>
      </c>
      <c r="D38" s="13" t="s">
        <v>79</v>
      </c>
      <c r="E38" s="13" t="s">
        <v>80</v>
      </c>
      <c r="F38" s="13" t="s">
        <v>178</v>
      </c>
      <c r="G38" s="13" t="s">
        <v>179</v>
      </c>
      <c r="H38" s="13" t="s">
        <v>81</v>
      </c>
      <c r="I38" s="13" t="s">
        <v>82</v>
      </c>
      <c r="J38" s="31"/>
      <c r="K38" s="31"/>
      <c r="L38" s="15" t="str">
        <f aca="false">IF(AND(ISNUMBER(J38),ISNUMBER(K38),K38&gt;0),J38/K38,"")</f>
        <v/>
      </c>
      <c r="M38" s="15" t="n">
        <f aca="false">Controls!$B$7</f>
        <v>0.025</v>
      </c>
      <c r="N38" s="15" t="str">
        <f aca="false">IF(P38=1,L38*(1-M38),"")</f>
        <v/>
      </c>
      <c r="O38" s="15" t="str">
        <f aca="false">IF(P38=1,N38-Controls!$B$8,"")</f>
        <v/>
      </c>
      <c r="P38" s="32" t="n">
        <f aca="false">IF(AND(ISNUMBER(J38),ISNUMBER(K38),K38&gt;0),1,0)</f>
        <v>0</v>
      </c>
      <c r="Q38" s="16" t="str">
        <f aca="false">IF(P38=0,"UNQUANTIFIED",IF(O38&gt;=0,"CLOSE","NEGATIVE"))</f>
        <v>UNQUANTIFIED</v>
      </c>
      <c r="R38" s="33" t="s">
        <v>199</v>
      </c>
      <c r="S38" s="33" t="n">
        <v>0</v>
      </c>
      <c r="T38" s="33" t="n">
        <v>0</v>
      </c>
    </row>
    <row r="39" customFormat="false" ht="15" hidden="false" customHeight="false" outlineLevel="0" collapsed="false">
      <c r="A39" s="13" t="s">
        <v>229</v>
      </c>
      <c r="B39" s="13" t="s">
        <v>107</v>
      </c>
      <c r="C39" s="13" t="s">
        <v>14</v>
      </c>
      <c r="D39" s="13" t="s">
        <v>85</v>
      </c>
      <c r="E39" s="13" t="s">
        <v>86</v>
      </c>
      <c r="F39" s="13" t="s">
        <v>169</v>
      </c>
      <c r="G39" s="13" t="s">
        <v>170</v>
      </c>
      <c r="H39" s="13" t="s">
        <v>110</v>
      </c>
      <c r="I39" s="13" t="s">
        <v>36</v>
      </c>
      <c r="J39" s="31" t="n">
        <v>1.32</v>
      </c>
      <c r="K39" s="31" t="n">
        <v>1</v>
      </c>
      <c r="L39" s="15" t="n">
        <f aca="false">IF(AND(ISNUMBER(J39),ISNUMBER(K39),K39&gt;0),J39/K39,"")</f>
        <v>1.32</v>
      </c>
      <c r="M39" s="15" t="n">
        <f aca="false">Controls!$B$7</f>
        <v>0.025</v>
      </c>
      <c r="N39" s="15" t="n">
        <f aca="false">IF(P39=1,L39*(1-M39),"")</f>
        <v>1.287</v>
      </c>
      <c r="O39" s="15" t="n">
        <f aca="false">IF(P39=1,N39-Controls!$B$8,"")</f>
        <v>0.287</v>
      </c>
      <c r="P39" s="32" t="n">
        <f aca="false">IF(AND(ISNUMBER(J39),ISNUMBER(K39),K39&gt;0),1,0)</f>
        <v>1</v>
      </c>
      <c r="Q39" s="16" t="str">
        <f aca="false">IF(P39=0,"UNQUANTIFIED",IF(O39&gt;=0,"CLOSE","NEGATIVE"))</f>
        <v>CLOSE</v>
      </c>
      <c r="R39" s="33" t="s">
        <v>88</v>
      </c>
      <c r="S39" s="33" t="n">
        <v>0</v>
      </c>
      <c r="T39" s="33" t="n">
        <v>0</v>
      </c>
    </row>
    <row r="40" customFormat="false" ht="15" hidden="false" customHeight="false" outlineLevel="0" collapsed="false">
      <c r="A40" s="13" t="s">
        <v>230</v>
      </c>
      <c r="B40" s="13" t="s">
        <v>107</v>
      </c>
      <c r="C40" s="13" t="s">
        <v>14</v>
      </c>
      <c r="D40" s="13" t="s">
        <v>85</v>
      </c>
      <c r="E40" s="13" t="s">
        <v>86</v>
      </c>
      <c r="F40" s="13" t="s">
        <v>172</v>
      </c>
      <c r="G40" s="13" t="s">
        <v>173</v>
      </c>
      <c r="H40" s="13" t="s">
        <v>110</v>
      </c>
      <c r="I40" s="13" t="s">
        <v>36</v>
      </c>
      <c r="J40" s="31"/>
      <c r="K40" s="31"/>
      <c r="L40" s="15" t="str">
        <f aca="false">IF(AND(ISNUMBER(J40),ISNUMBER(K40),K40&gt;0),J40/K40,"")</f>
        <v/>
      </c>
      <c r="M40" s="15" t="n">
        <f aca="false">Controls!$B$7</f>
        <v>0.025</v>
      </c>
      <c r="N40" s="15" t="str">
        <f aca="false">IF(P40=1,L40*(1-M40),"")</f>
        <v/>
      </c>
      <c r="O40" s="15" t="str">
        <f aca="false">IF(P40=1,N40-Controls!$B$8,"")</f>
        <v/>
      </c>
      <c r="P40" s="32" t="n">
        <f aca="false">IF(AND(ISNUMBER(J40),ISNUMBER(K40),K40&gt;0),1,0)</f>
        <v>0</v>
      </c>
      <c r="Q40" s="16" t="str">
        <f aca="false">IF(P40=0,"UNQUANTIFIED",IF(O40&gt;=0,"CLOSE","NEGATIVE"))</f>
        <v>UNQUANTIFIED</v>
      </c>
      <c r="R40" s="33" t="s">
        <v>196</v>
      </c>
      <c r="S40" s="33" t="n">
        <v>0</v>
      </c>
      <c r="T40" s="33" t="n">
        <v>0</v>
      </c>
    </row>
    <row r="41" customFormat="false" ht="15" hidden="false" customHeight="false" outlineLevel="0" collapsed="false">
      <c r="A41" s="13" t="s">
        <v>231</v>
      </c>
      <c r="B41" s="13" t="s">
        <v>107</v>
      </c>
      <c r="C41" s="13" t="s">
        <v>14</v>
      </c>
      <c r="D41" s="13" t="s">
        <v>85</v>
      </c>
      <c r="E41" s="13" t="s">
        <v>86</v>
      </c>
      <c r="F41" s="13" t="s">
        <v>175</v>
      </c>
      <c r="G41" s="13" t="s">
        <v>176</v>
      </c>
      <c r="H41" s="13" t="s">
        <v>110</v>
      </c>
      <c r="I41" s="13" t="s">
        <v>36</v>
      </c>
      <c r="J41" s="31" t="n">
        <v>1.056</v>
      </c>
      <c r="K41" s="31" t="n">
        <v>1</v>
      </c>
      <c r="L41" s="15" t="n">
        <f aca="false">IF(AND(ISNUMBER(J41),ISNUMBER(K41),K41&gt;0),J41/K41,"")</f>
        <v>1.056</v>
      </c>
      <c r="M41" s="15" t="n">
        <f aca="false">Controls!$B$7</f>
        <v>0.025</v>
      </c>
      <c r="N41" s="15" t="n">
        <f aca="false">IF(P41=1,L41*(1-M41),"")</f>
        <v>1.0296</v>
      </c>
      <c r="O41" s="15" t="n">
        <f aca="false">IF(P41=1,N41-Controls!$B$8,"")</f>
        <v>0.0296000000000001</v>
      </c>
      <c r="P41" s="32" t="n">
        <f aca="false">IF(AND(ISNUMBER(J41),ISNUMBER(K41),K41&gt;0),1,0)</f>
        <v>1</v>
      </c>
      <c r="Q41" s="16" t="str">
        <f aca="false">IF(P41=0,"UNQUANTIFIED",IF(O41&gt;=0,"CLOSE","NEGATIVE"))</f>
        <v>CLOSE</v>
      </c>
      <c r="R41" s="33" t="s">
        <v>88</v>
      </c>
      <c r="S41" s="33" t="n">
        <v>0</v>
      </c>
      <c r="T41" s="33" t="n">
        <v>0</v>
      </c>
    </row>
    <row r="42" customFormat="false" ht="15" hidden="false" customHeight="false" outlineLevel="0" collapsed="false">
      <c r="A42" s="13" t="s">
        <v>232</v>
      </c>
      <c r="B42" s="13" t="s">
        <v>107</v>
      </c>
      <c r="C42" s="13" t="s">
        <v>14</v>
      </c>
      <c r="D42" s="13" t="s">
        <v>85</v>
      </c>
      <c r="E42" s="13" t="s">
        <v>86</v>
      </c>
      <c r="F42" s="13" t="s">
        <v>178</v>
      </c>
      <c r="G42" s="13" t="s">
        <v>179</v>
      </c>
      <c r="H42" s="13" t="s">
        <v>110</v>
      </c>
      <c r="I42" s="13" t="s">
        <v>36</v>
      </c>
      <c r="J42" s="31"/>
      <c r="K42" s="31"/>
      <c r="L42" s="15" t="str">
        <f aca="false">IF(AND(ISNUMBER(J42),ISNUMBER(K42),K42&gt;0),J42/K42,"")</f>
        <v/>
      </c>
      <c r="M42" s="15" t="n">
        <f aca="false">Controls!$B$7</f>
        <v>0.025</v>
      </c>
      <c r="N42" s="15" t="str">
        <f aca="false">IF(P42=1,L42*(1-M42),"")</f>
        <v/>
      </c>
      <c r="O42" s="15" t="str">
        <f aca="false">IF(P42=1,N42-Controls!$B$8,"")</f>
        <v/>
      </c>
      <c r="P42" s="32" t="n">
        <f aca="false">IF(AND(ISNUMBER(J42),ISNUMBER(K42),K42&gt;0),1,0)</f>
        <v>0</v>
      </c>
      <c r="Q42" s="16" t="str">
        <f aca="false">IF(P42=0,"UNQUANTIFIED",IF(O42&gt;=0,"CLOSE","NEGATIVE"))</f>
        <v>UNQUANTIFIED</v>
      </c>
      <c r="R42" s="33" t="s">
        <v>199</v>
      </c>
      <c r="S42" s="33" t="n">
        <v>0</v>
      </c>
      <c r="T42" s="33" t="n">
        <v>0</v>
      </c>
    </row>
    <row r="43" customFormat="false" ht="15" hidden="false" customHeight="false" outlineLevel="0" collapsed="false">
      <c r="A43" s="13" t="s">
        <v>233</v>
      </c>
      <c r="B43" s="13" t="s">
        <v>107</v>
      </c>
      <c r="C43" s="13" t="s">
        <v>14</v>
      </c>
      <c r="D43" s="13" t="s">
        <v>90</v>
      </c>
      <c r="E43" s="13" t="s">
        <v>91</v>
      </c>
      <c r="F43" s="13" t="s">
        <v>169</v>
      </c>
      <c r="G43" s="13" t="s">
        <v>170</v>
      </c>
      <c r="H43" s="13" t="s">
        <v>92</v>
      </c>
      <c r="I43" s="13" t="s">
        <v>36</v>
      </c>
      <c r="J43" s="31" t="n">
        <v>1.2</v>
      </c>
      <c r="K43" s="31" t="n">
        <v>1</v>
      </c>
      <c r="L43" s="15" t="n">
        <f aca="false">IF(AND(ISNUMBER(J43),ISNUMBER(K43),K43&gt;0),J43/K43,"")</f>
        <v>1.2</v>
      </c>
      <c r="M43" s="15" t="n">
        <f aca="false">Controls!$B$7</f>
        <v>0.025</v>
      </c>
      <c r="N43" s="15" t="n">
        <f aca="false">IF(P43=1,L43*(1-M43),"")</f>
        <v>1.17</v>
      </c>
      <c r="O43" s="15" t="n">
        <f aca="false">IF(P43=1,N43-Controls!$B$8,"")</f>
        <v>0.17</v>
      </c>
      <c r="P43" s="32" t="n">
        <f aca="false">IF(AND(ISNUMBER(J43),ISNUMBER(K43),K43&gt;0),1,0)</f>
        <v>1</v>
      </c>
      <c r="Q43" s="16" t="str">
        <f aca="false">IF(P43=0,"UNQUANTIFIED",IF(O43&gt;=0,"CLOSE","NEGATIVE"))</f>
        <v>CLOSE</v>
      </c>
      <c r="R43" s="33" t="s">
        <v>93</v>
      </c>
      <c r="S43" s="33" t="n">
        <v>0</v>
      </c>
      <c r="T43" s="33" t="n">
        <v>0</v>
      </c>
    </row>
    <row r="44" customFormat="false" ht="15" hidden="false" customHeight="false" outlineLevel="0" collapsed="false">
      <c r="A44" s="13" t="s">
        <v>234</v>
      </c>
      <c r="B44" s="13" t="s">
        <v>107</v>
      </c>
      <c r="C44" s="13" t="s">
        <v>14</v>
      </c>
      <c r="D44" s="13" t="s">
        <v>90</v>
      </c>
      <c r="E44" s="13" t="s">
        <v>91</v>
      </c>
      <c r="F44" s="13" t="s">
        <v>172</v>
      </c>
      <c r="G44" s="13" t="s">
        <v>173</v>
      </c>
      <c r="H44" s="13" t="s">
        <v>92</v>
      </c>
      <c r="I44" s="13" t="s">
        <v>36</v>
      </c>
      <c r="J44" s="31"/>
      <c r="K44" s="31"/>
      <c r="L44" s="15" t="str">
        <f aca="false">IF(AND(ISNUMBER(J44),ISNUMBER(K44),K44&gt;0),J44/K44,"")</f>
        <v/>
      </c>
      <c r="M44" s="15" t="n">
        <f aca="false">Controls!$B$7</f>
        <v>0.025</v>
      </c>
      <c r="N44" s="15" t="str">
        <f aca="false">IF(P44=1,L44*(1-M44),"")</f>
        <v/>
      </c>
      <c r="O44" s="15" t="str">
        <f aca="false">IF(P44=1,N44-Controls!$B$8,"")</f>
        <v/>
      </c>
      <c r="P44" s="32" t="n">
        <f aca="false">IF(AND(ISNUMBER(J44),ISNUMBER(K44),K44&gt;0),1,0)</f>
        <v>0</v>
      </c>
      <c r="Q44" s="16" t="str">
        <f aca="false">IF(P44=0,"UNQUANTIFIED",IF(O44&gt;=0,"CLOSE","NEGATIVE"))</f>
        <v>UNQUANTIFIED</v>
      </c>
      <c r="R44" s="33" t="s">
        <v>196</v>
      </c>
      <c r="S44" s="33" t="n">
        <v>0</v>
      </c>
      <c r="T44" s="33" t="n">
        <v>0</v>
      </c>
    </row>
    <row r="45" customFormat="false" ht="15" hidden="false" customHeight="false" outlineLevel="0" collapsed="false">
      <c r="A45" s="13" t="s">
        <v>235</v>
      </c>
      <c r="B45" s="13" t="s">
        <v>107</v>
      </c>
      <c r="C45" s="13" t="s">
        <v>14</v>
      </c>
      <c r="D45" s="13" t="s">
        <v>90</v>
      </c>
      <c r="E45" s="13" t="s">
        <v>91</v>
      </c>
      <c r="F45" s="13" t="s">
        <v>175</v>
      </c>
      <c r="G45" s="13" t="s">
        <v>176</v>
      </c>
      <c r="H45" s="13" t="s">
        <v>92</v>
      </c>
      <c r="I45" s="13" t="s">
        <v>36</v>
      </c>
      <c r="J45" s="31" t="n">
        <v>1.05</v>
      </c>
      <c r="K45" s="31" t="n">
        <v>1</v>
      </c>
      <c r="L45" s="15" t="n">
        <f aca="false">IF(AND(ISNUMBER(J45),ISNUMBER(K45),K45&gt;0),J45/K45,"")</f>
        <v>1.05</v>
      </c>
      <c r="M45" s="15" t="n">
        <f aca="false">Controls!$B$7</f>
        <v>0.025</v>
      </c>
      <c r="N45" s="15" t="n">
        <f aca="false">IF(P45=1,L45*(1-M45),"")</f>
        <v>1.02375</v>
      </c>
      <c r="O45" s="15" t="n">
        <f aca="false">IF(P45=1,N45-Controls!$B$8,"")</f>
        <v>0.0237499999999999</v>
      </c>
      <c r="P45" s="32" t="n">
        <f aca="false">IF(AND(ISNUMBER(J45),ISNUMBER(K45),K45&gt;0),1,0)</f>
        <v>1</v>
      </c>
      <c r="Q45" s="16" t="str">
        <f aca="false">IF(P45=0,"UNQUANTIFIED",IF(O45&gt;=0,"CLOSE","NEGATIVE"))</f>
        <v>CLOSE</v>
      </c>
      <c r="R45" s="33" t="s">
        <v>93</v>
      </c>
      <c r="S45" s="33" t="n">
        <v>0</v>
      </c>
      <c r="T45" s="33" t="n">
        <v>0</v>
      </c>
    </row>
    <row r="46" customFormat="false" ht="15" hidden="false" customHeight="false" outlineLevel="0" collapsed="false">
      <c r="A46" s="13" t="s">
        <v>236</v>
      </c>
      <c r="B46" s="13" t="s">
        <v>107</v>
      </c>
      <c r="C46" s="13" t="s">
        <v>14</v>
      </c>
      <c r="D46" s="13" t="s">
        <v>90</v>
      </c>
      <c r="E46" s="13" t="s">
        <v>91</v>
      </c>
      <c r="F46" s="13" t="s">
        <v>178</v>
      </c>
      <c r="G46" s="13" t="s">
        <v>179</v>
      </c>
      <c r="H46" s="13" t="s">
        <v>92</v>
      </c>
      <c r="I46" s="13" t="s">
        <v>36</v>
      </c>
      <c r="J46" s="31"/>
      <c r="K46" s="31"/>
      <c r="L46" s="15" t="str">
        <f aca="false">IF(AND(ISNUMBER(J46),ISNUMBER(K46),K46&gt;0),J46/K46,"")</f>
        <v/>
      </c>
      <c r="M46" s="15" t="n">
        <f aca="false">Controls!$B$7</f>
        <v>0.025</v>
      </c>
      <c r="N46" s="15" t="str">
        <f aca="false">IF(P46=1,L46*(1-M46),"")</f>
        <v/>
      </c>
      <c r="O46" s="15" t="str">
        <f aca="false">IF(P46=1,N46-Controls!$B$8,"")</f>
        <v/>
      </c>
      <c r="P46" s="32" t="n">
        <f aca="false">IF(AND(ISNUMBER(J46),ISNUMBER(K46),K46&gt;0),1,0)</f>
        <v>0</v>
      </c>
      <c r="Q46" s="16" t="str">
        <f aca="false">IF(P46=0,"UNQUANTIFIED",IF(O46&gt;=0,"CLOSE","NEGATIVE"))</f>
        <v>UNQUANTIFIED</v>
      </c>
      <c r="R46" s="33" t="s">
        <v>199</v>
      </c>
      <c r="S46" s="33" t="n">
        <v>0</v>
      </c>
      <c r="T46" s="33" t="n">
        <v>0</v>
      </c>
    </row>
    <row r="47" customFormat="false" ht="15" hidden="false" customHeight="false" outlineLevel="0" collapsed="false">
      <c r="A47" s="13" t="s">
        <v>237</v>
      </c>
      <c r="B47" s="13" t="s">
        <v>107</v>
      </c>
      <c r="C47" s="13" t="s">
        <v>14</v>
      </c>
      <c r="D47" s="13" t="s">
        <v>95</v>
      </c>
      <c r="E47" s="13" t="s">
        <v>96</v>
      </c>
      <c r="F47" s="13" t="s">
        <v>169</v>
      </c>
      <c r="G47" s="13" t="s">
        <v>170</v>
      </c>
      <c r="H47" s="13" t="s">
        <v>112</v>
      </c>
      <c r="I47" s="13" t="s">
        <v>98</v>
      </c>
      <c r="J47" s="31" t="n">
        <v>277.2</v>
      </c>
      <c r="K47" s="31" t="n">
        <v>220</v>
      </c>
      <c r="L47" s="15" t="n">
        <f aca="false">IF(AND(ISNUMBER(J47),ISNUMBER(K47),K47&gt;0),J47/K47,"")</f>
        <v>1.26</v>
      </c>
      <c r="M47" s="15" t="n">
        <f aca="false">Controls!$B$7</f>
        <v>0.025</v>
      </c>
      <c r="N47" s="15" t="n">
        <f aca="false">IF(P47=1,L47*(1-M47),"")</f>
        <v>1.2285</v>
      </c>
      <c r="O47" s="15" t="n">
        <f aca="false">IF(P47=1,N47-Controls!$B$8,"")</f>
        <v>0.2285</v>
      </c>
      <c r="P47" s="32" t="n">
        <f aca="false">IF(AND(ISNUMBER(J47),ISNUMBER(K47),K47&gt;0),1,0)</f>
        <v>1</v>
      </c>
      <c r="Q47" s="16" t="str">
        <f aca="false">IF(P47=0,"UNQUANTIFIED",IF(O47&gt;=0,"CLOSE","NEGATIVE"))</f>
        <v>CLOSE</v>
      </c>
      <c r="R47" s="33" t="s">
        <v>99</v>
      </c>
      <c r="S47" s="33" t="n">
        <v>0</v>
      </c>
      <c r="T47" s="33" t="n">
        <v>0</v>
      </c>
    </row>
    <row r="48" customFormat="false" ht="15" hidden="false" customHeight="false" outlineLevel="0" collapsed="false">
      <c r="A48" s="13" t="s">
        <v>238</v>
      </c>
      <c r="B48" s="13" t="s">
        <v>107</v>
      </c>
      <c r="C48" s="13" t="s">
        <v>14</v>
      </c>
      <c r="D48" s="13" t="s">
        <v>95</v>
      </c>
      <c r="E48" s="13" t="s">
        <v>96</v>
      </c>
      <c r="F48" s="13" t="s">
        <v>172</v>
      </c>
      <c r="G48" s="13" t="s">
        <v>173</v>
      </c>
      <c r="H48" s="13" t="s">
        <v>112</v>
      </c>
      <c r="I48" s="13" t="s">
        <v>98</v>
      </c>
      <c r="J48" s="31"/>
      <c r="K48" s="31"/>
      <c r="L48" s="15" t="str">
        <f aca="false">IF(AND(ISNUMBER(J48),ISNUMBER(K48),K48&gt;0),J48/K48,"")</f>
        <v/>
      </c>
      <c r="M48" s="15" t="n">
        <f aca="false">Controls!$B$7</f>
        <v>0.025</v>
      </c>
      <c r="N48" s="15" t="str">
        <f aca="false">IF(P48=1,L48*(1-M48),"")</f>
        <v/>
      </c>
      <c r="O48" s="15" t="str">
        <f aca="false">IF(P48=1,N48-Controls!$B$8,"")</f>
        <v/>
      </c>
      <c r="P48" s="32" t="n">
        <f aca="false">IF(AND(ISNUMBER(J48),ISNUMBER(K48),K48&gt;0),1,0)</f>
        <v>0</v>
      </c>
      <c r="Q48" s="16" t="str">
        <f aca="false">IF(P48=0,"UNQUANTIFIED",IF(O48&gt;=0,"CLOSE","NEGATIVE"))</f>
        <v>UNQUANTIFIED</v>
      </c>
      <c r="R48" s="33" t="s">
        <v>196</v>
      </c>
      <c r="S48" s="33" t="n">
        <v>0</v>
      </c>
      <c r="T48" s="33" t="n">
        <v>0</v>
      </c>
    </row>
    <row r="49" customFormat="false" ht="15" hidden="false" customHeight="false" outlineLevel="0" collapsed="false">
      <c r="A49" s="13" t="s">
        <v>239</v>
      </c>
      <c r="B49" s="13" t="s">
        <v>107</v>
      </c>
      <c r="C49" s="13" t="s">
        <v>14</v>
      </c>
      <c r="D49" s="13" t="s">
        <v>95</v>
      </c>
      <c r="E49" s="13" t="s">
        <v>96</v>
      </c>
      <c r="F49" s="13" t="s">
        <v>175</v>
      </c>
      <c r="G49" s="13" t="s">
        <v>176</v>
      </c>
      <c r="H49" s="13" t="s">
        <v>112</v>
      </c>
      <c r="I49" s="13" t="s">
        <v>98</v>
      </c>
      <c r="J49" s="31" t="n">
        <v>231</v>
      </c>
      <c r="K49" s="31" t="n">
        <v>220</v>
      </c>
      <c r="L49" s="15" t="n">
        <f aca="false">IF(AND(ISNUMBER(J49),ISNUMBER(K49),K49&gt;0),J49/K49,"")</f>
        <v>1.05</v>
      </c>
      <c r="M49" s="15" t="n">
        <f aca="false">Controls!$B$7</f>
        <v>0.025</v>
      </c>
      <c r="N49" s="15" t="n">
        <f aca="false">IF(P49=1,L49*(1-M49),"")</f>
        <v>1.02375</v>
      </c>
      <c r="O49" s="15" t="n">
        <f aca="false">IF(P49=1,N49-Controls!$B$8,"")</f>
        <v>0.0237499999999999</v>
      </c>
      <c r="P49" s="32" t="n">
        <f aca="false">IF(AND(ISNUMBER(J49),ISNUMBER(K49),K49&gt;0),1,0)</f>
        <v>1</v>
      </c>
      <c r="Q49" s="16" t="str">
        <f aca="false">IF(P49=0,"UNQUANTIFIED",IF(O49&gt;=0,"CLOSE","NEGATIVE"))</f>
        <v>CLOSE</v>
      </c>
      <c r="R49" s="33" t="s">
        <v>99</v>
      </c>
      <c r="S49" s="33" t="n">
        <v>0</v>
      </c>
      <c r="T49" s="33" t="n">
        <v>0</v>
      </c>
    </row>
    <row r="50" customFormat="false" ht="15" hidden="false" customHeight="false" outlineLevel="0" collapsed="false">
      <c r="A50" s="13" t="s">
        <v>240</v>
      </c>
      <c r="B50" s="13" t="s">
        <v>107</v>
      </c>
      <c r="C50" s="13" t="s">
        <v>14</v>
      </c>
      <c r="D50" s="13" t="s">
        <v>95</v>
      </c>
      <c r="E50" s="13" t="s">
        <v>96</v>
      </c>
      <c r="F50" s="13" t="s">
        <v>178</v>
      </c>
      <c r="G50" s="13" t="s">
        <v>179</v>
      </c>
      <c r="H50" s="13" t="s">
        <v>112</v>
      </c>
      <c r="I50" s="13" t="s">
        <v>98</v>
      </c>
      <c r="J50" s="31"/>
      <c r="K50" s="31"/>
      <c r="L50" s="15" t="str">
        <f aca="false">IF(AND(ISNUMBER(J50),ISNUMBER(K50),K50&gt;0),J50/K50,"")</f>
        <v/>
      </c>
      <c r="M50" s="15" t="n">
        <f aca="false">Controls!$B$7</f>
        <v>0.025</v>
      </c>
      <c r="N50" s="15" t="str">
        <f aca="false">IF(P50=1,L50*(1-M50),"")</f>
        <v/>
      </c>
      <c r="O50" s="15" t="str">
        <f aca="false">IF(P50=1,N50-Controls!$B$8,"")</f>
        <v/>
      </c>
      <c r="P50" s="32" t="n">
        <f aca="false">IF(AND(ISNUMBER(J50),ISNUMBER(K50),K50&gt;0),1,0)</f>
        <v>0</v>
      </c>
      <c r="Q50" s="16" t="str">
        <f aca="false">IF(P50=0,"UNQUANTIFIED",IF(O50&gt;=0,"CLOSE","NEGATIVE"))</f>
        <v>UNQUANTIFIED</v>
      </c>
      <c r="R50" s="33" t="s">
        <v>199</v>
      </c>
      <c r="S50" s="33" t="n">
        <v>0</v>
      </c>
      <c r="T50" s="33" t="n">
        <v>0</v>
      </c>
    </row>
    <row r="51" customFormat="false" ht="15" hidden="false" customHeight="false" outlineLevel="0" collapsed="false">
      <c r="A51" s="13" t="s">
        <v>241</v>
      </c>
      <c r="B51" s="13" t="s">
        <v>107</v>
      </c>
      <c r="C51" s="13" t="s">
        <v>14</v>
      </c>
      <c r="D51" s="13" t="s">
        <v>101</v>
      </c>
      <c r="E51" s="13" t="s">
        <v>102</v>
      </c>
      <c r="F51" s="13" t="s">
        <v>169</v>
      </c>
      <c r="G51" s="13" t="s">
        <v>170</v>
      </c>
      <c r="H51" s="13" t="s">
        <v>103</v>
      </c>
      <c r="I51" s="13" t="s">
        <v>104</v>
      </c>
      <c r="J51" s="31"/>
      <c r="K51" s="31" t="n">
        <v>168</v>
      </c>
      <c r="L51" s="15" t="str">
        <f aca="false">IF(AND(ISNUMBER(J51),ISNUMBER(K51),K51&gt;0),J51/K51,"")</f>
        <v/>
      </c>
      <c r="M51" s="15" t="n">
        <f aca="false">Controls!$B$7</f>
        <v>0.025</v>
      </c>
      <c r="N51" s="15" t="str">
        <f aca="false">IF(P51=1,L51*(1-M51),"")</f>
        <v/>
      </c>
      <c r="O51" s="15" t="str">
        <f aca="false">IF(P51=1,N51-Controls!$B$8,"")</f>
        <v/>
      </c>
      <c r="P51" s="32" t="n">
        <f aca="false">IF(AND(ISNUMBER(J51),ISNUMBER(K51),K51&gt;0),1,0)</f>
        <v>0</v>
      </c>
      <c r="Q51" s="16" t="str">
        <f aca="false">IF(P51=0,"UNQUANTIFIED",IF(O51&gt;=0,"CLOSE","NEGATIVE"))</f>
        <v>UNQUANTIFIED</v>
      </c>
      <c r="R51" s="33" t="s">
        <v>217</v>
      </c>
      <c r="S51" s="33" t="n">
        <v>0</v>
      </c>
      <c r="T51" s="33" t="n">
        <v>0</v>
      </c>
    </row>
    <row r="52" customFormat="false" ht="15" hidden="false" customHeight="false" outlineLevel="0" collapsed="false">
      <c r="A52" s="13" t="s">
        <v>242</v>
      </c>
      <c r="B52" s="13" t="s">
        <v>107</v>
      </c>
      <c r="C52" s="13" t="s">
        <v>14</v>
      </c>
      <c r="D52" s="13" t="s">
        <v>101</v>
      </c>
      <c r="E52" s="13" t="s">
        <v>102</v>
      </c>
      <c r="F52" s="13" t="s">
        <v>172</v>
      </c>
      <c r="G52" s="13" t="s">
        <v>173</v>
      </c>
      <c r="H52" s="13" t="s">
        <v>103</v>
      </c>
      <c r="I52" s="13" t="s">
        <v>104</v>
      </c>
      <c r="J52" s="31"/>
      <c r="K52" s="31"/>
      <c r="L52" s="15" t="str">
        <f aca="false">IF(AND(ISNUMBER(J52),ISNUMBER(K52),K52&gt;0),J52/K52,"")</f>
        <v/>
      </c>
      <c r="M52" s="15" t="n">
        <f aca="false">Controls!$B$7</f>
        <v>0.025</v>
      </c>
      <c r="N52" s="15" t="str">
        <f aca="false">IF(P52=1,L52*(1-M52),"")</f>
        <v/>
      </c>
      <c r="O52" s="15" t="str">
        <f aca="false">IF(P52=1,N52-Controls!$B$8,"")</f>
        <v/>
      </c>
      <c r="P52" s="32" t="n">
        <f aca="false">IF(AND(ISNUMBER(J52),ISNUMBER(K52),K52&gt;0),1,0)</f>
        <v>0</v>
      </c>
      <c r="Q52" s="16" t="str">
        <f aca="false">IF(P52=0,"UNQUANTIFIED",IF(O52&gt;=0,"CLOSE","NEGATIVE"))</f>
        <v>UNQUANTIFIED</v>
      </c>
      <c r="R52" s="33" t="s">
        <v>217</v>
      </c>
      <c r="S52" s="33" t="n">
        <v>0</v>
      </c>
      <c r="T52" s="33" t="n">
        <v>0</v>
      </c>
    </row>
    <row r="53" customFormat="false" ht="15" hidden="false" customHeight="false" outlineLevel="0" collapsed="false">
      <c r="A53" s="13" t="s">
        <v>243</v>
      </c>
      <c r="B53" s="13" t="s">
        <v>107</v>
      </c>
      <c r="C53" s="13" t="s">
        <v>14</v>
      </c>
      <c r="D53" s="13" t="s">
        <v>101</v>
      </c>
      <c r="E53" s="13" t="s">
        <v>102</v>
      </c>
      <c r="F53" s="13" t="s">
        <v>175</v>
      </c>
      <c r="G53" s="13" t="s">
        <v>176</v>
      </c>
      <c r="H53" s="13" t="s">
        <v>103</v>
      </c>
      <c r="I53" s="13" t="s">
        <v>104</v>
      </c>
      <c r="J53" s="31"/>
      <c r="K53" s="31" t="n">
        <v>168</v>
      </c>
      <c r="L53" s="15" t="str">
        <f aca="false">IF(AND(ISNUMBER(J53),ISNUMBER(K53),K53&gt;0),J53/K53,"")</f>
        <v/>
      </c>
      <c r="M53" s="15" t="n">
        <f aca="false">Controls!$B$7</f>
        <v>0.025</v>
      </c>
      <c r="N53" s="15" t="str">
        <f aca="false">IF(P53=1,L53*(1-M53),"")</f>
        <v/>
      </c>
      <c r="O53" s="15" t="str">
        <f aca="false">IF(P53=1,N53-Controls!$B$8,"")</f>
        <v/>
      </c>
      <c r="P53" s="32" t="n">
        <f aca="false">IF(AND(ISNUMBER(J53),ISNUMBER(K53),K53&gt;0),1,0)</f>
        <v>0</v>
      </c>
      <c r="Q53" s="16" t="str">
        <f aca="false">IF(P53=0,"UNQUANTIFIED",IF(O53&gt;=0,"CLOSE","NEGATIVE"))</f>
        <v>UNQUANTIFIED</v>
      </c>
      <c r="R53" s="33" t="s">
        <v>217</v>
      </c>
      <c r="S53" s="33" t="n">
        <v>0</v>
      </c>
      <c r="T53" s="33" t="n">
        <v>0</v>
      </c>
    </row>
    <row r="54" customFormat="false" ht="15" hidden="false" customHeight="false" outlineLevel="0" collapsed="false">
      <c r="A54" s="13" t="s">
        <v>244</v>
      </c>
      <c r="B54" s="13" t="s">
        <v>107</v>
      </c>
      <c r="C54" s="13" t="s">
        <v>14</v>
      </c>
      <c r="D54" s="13" t="s">
        <v>101</v>
      </c>
      <c r="E54" s="13" t="s">
        <v>102</v>
      </c>
      <c r="F54" s="13" t="s">
        <v>178</v>
      </c>
      <c r="G54" s="13" t="s">
        <v>179</v>
      </c>
      <c r="H54" s="13" t="s">
        <v>103</v>
      </c>
      <c r="I54" s="13" t="s">
        <v>104</v>
      </c>
      <c r="J54" s="31"/>
      <c r="K54" s="31"/>
      <c r="L54" s="15" t="str">
        <f aca="false">IF(AND(ISNUMBER(J54),ISNUMBER(K54),K54&gt;0),J54/K54,"")</f>
        <v/>
      </c>
      <c r="M54" s="15" t="n">
        <f aca="false">Controls!$B$7</f>
        <v>0.025</v>
      </c>
      <c r="N54" s="15" t="str">
        <f aca="false">IF(P54=1,L54*(1-M54),"")</f>
        <v/>
      </c>
      <c r="O54" s="15" t="str">
        <f aca="false">IF(P54=1,N54-Controls!$B$8,"")</f>
        <v/>
      </c>
      <c r="P54" s="32" t="n">
        <f aca="false">IF(AND(ISNUMBER(J54),ISNUMBER(K54),K54&gt;0),1,0)</f>
        <v>0</v>
      </c>
      <c r="Q54" s="16" t="str">
        <f aca="false">IF(P54=0,"UNQUANTIFIED",IF(O54&gt;=0,"CLOSE","NEGATIVE"))</f>
        <v>UNQUANTIFIED</v>
      </c>
      <c r="R54" s="33" t="s">
        <v>217</v>
      </c>
      <c r="S54" s="33" t="n">
        <v>0</v>
      </c>
      <c r="T54" s="33" t="n">
        <v>0</v>
      </c>
    </row>
    <row r="55" customFormat="false" ht="15" hidden="false" customHeight="false" outlineLevel="0" collapsed="false">
      <c r="A55" s="13" t="s">
        <v>245</v>
      </c>
      <c r="B55" s="13" t="s">
        <v>114</v>
      </c>
      <c r="C55" s="13" t="s">
        <v>16</v>
      </c>
      <c r="D55" s="13" t="s">
        <v>73</v>
      </c>
      <c r="E55" s="13" t="s">
        <v>74</v>
      </c>
      <c r="F55" s="13" t="s">
        <v>169</v>
      </c>
      <c r="G55" s="13" t="s">
        <v>170</v>
      </c>
      <c r="H55" s="13" t="s">
        <v>75</v>
      </c>
      <c r="I55" s="13" t="s">
        <v>76</v>
      </c>
      <c r="J55" s="31" t="n">
        <v>63000</v>
      </c>
      <c r="K55" s="31" t="n">
        <v>54000</v>
      </c>
      <c r="L55" s="15" t="n">
        <f aca="false">IF(AND(ISNUMBER(J55),ISNUMBER(K55),K55&gt;0),J55/K55,"")</f>
        <v>1.16666666666667</v>
      </c>
      <c r="M55" s="15" t="n">
        <f aca="false">Controls!$B$7</f>
        <v>0.025</v>
      </c>
      <c r="N55" s="15" t="n">
        <f aca="false">IF(P55=1,L55*(1-M55),"")</f>
        <v>1.1375</v>
      </c>
      <c r="O55" s="15" t="n">
        <f aca="false">IF(P55=1,N55-Controls!$B$8,"")</f>
        <v>0.1375</v>
      </c>
      <c r="P55" s="32" t="n">
        <f aca="false">IF(AND(ISNUMBER(J55),ISNUMBER(K55),K55&gt;0),1,0)</f>
        <v>1</v>
      </c>
      <c r="Q55" s="16" t="str">
        <f aca="false">IF(P55=0,"UNQUANTIFIED",IF(O55&gt;=0,"CLOSE","NEGATIVE"))</f>
        <v>CLOSE</v>
      </c>
      <c r="R55" s="33" t="s">
        <v>77</v>
      </c>
      <c r="S55" s="33" t="n">
        <v>0</v>
      </c>
      <c r="T55" s="33" t="n">
        <v>0</v>
      </c>
    </row>
    <row r="56" customFormat="false" ht="15" hidden="false" customHeight="false" outlineLevel="0" collapsed="false">
      <c r="A56" s="13" t="s">
        <v>246</v>
      </c>
      <c r="B56" s="13" t="s">
        <v>114</v>
      </c>
      <c r="C56" s="13" t="s">
        <v>16</v>
      </c>
      <c r="D56" s="13" t="s">
        <v>73</v>
      </c>
      <c r="E56" s="13" t="s">
        <v>74</v>
      </c>
      <c r="F56" s="13" t="s">
        <v>172</v>
      </c>
      <c r="G56" s="13" t="s">
        <v>173</v>
      </c>
      <c r="H56" s="13" t="s">
        <v>75</v>
      </c>
      <c r="I56" s="13" t="s">
        <v>76</v>
      </c>
      <c r="J56" s="31"/>
      <c r="K56" s="31"/>
      <c r="L56" s="15" t="str">
        <f aca="false">IF(AND(ISNUMBER(J56),ISNUMBER(K56),K56&gt;0),J56/K56,"")</f>
        <v/>
      </c>
      <c r="M56" s="15" t="n">
        <f aca="false">Controls!$B$7</f>
        <v>0.025</v>
      </c>
      <c r="N56" s="15" t="str">
        <f aca="false">IF(P56=1,L56*(1-M56),"")</f>
        <v/>
      </c>
      <c r="O56" s="15" t="str">
        <f aca="false">IF(P56=1,N56-Controls!$B$8,"")</f>
        <v/>
      </c>
      <c r="P56" s="32" t="n">
        <f aca="false">IF(AND(ISNUMBER(J56),ISNUMBER(K56),K56&gt;0),1,0)</f>
        <v>0</v>
      </c>
      <c r="Q56" s="16" t="str">
        <f aca="false">IF(P56=0,"UNQUANTIFIED",IF(O56&gt;=0,"CLOSE","NEGATIVE"))</f>
        <v>UNQUANTIFIED</v>
      </c>
      <c r="R56" s="33" t="s">
        <v>196</v>
      </c>
      <c r="S56" s="33" t="n">
        <v>0</v>
      </c>
      <c r="T56" s="33" t="n">
        <v>0</v>
      </c>
    </row>
    <row r="57" customFormat="false" ht="15" hidden="false" customHeight="false" outlineLevel="0" collapsed="false">
      <c r="A57" s="13" t="s">
        <v>247</v>
      </c>
      <c r="B57" s="13" t="s">
        <v>114</v>
      </c>
      <c r="C57" s="13" t="s">
        <v>16</v>
      </c>
      <c r="D57" s="13" t="s">
        <v>73</v>
      </c>
      <c r="E57" s="13" t="s">
        <v>74</v>
      </c>
      <c r="F57" s="13" t="s">
        <v>175</v>
      </c>
      <c r="G57" s="13" t="s">
        <v>176</v>
      </c>
      <c r="H57" s="13" t="s">
        <v>75</v>
      </c>
      <c r="I57" s="13" t="s">
        <v>76</v>
      </c>
      <c r="J57" s="31" t="n">
        <v>56700</v>
      </c>
      <c r="K57" s="31" t="n">
        <v>54000</v>
      </c>
      <c r="L57" s="15" t="n">
        <f aca="false">IF(AND(ISNUMBER(J57),ISNUMBER(K57),K57&gt;0),J57/K57,"")</f>
        <v>1.05</v>
      </c>
      <c r="M57" s="15" t="n">
        <f aca="false">Controls!$B$7</f>
        <v>0.025</v>
      </c>
      <c r="N57" s="15" t="n">
        <f aca="false">IF(P57=1,L57*(1-M57),"")</f>
        <v>1.02375</v>
      </c>
      <c r="O57" s="15" t="n">
        <f aca="false">IF(P57=1,N57-Controls!$B$8,"")</f>
        <v>0.0237499999999999</v>
      </c>
      <c r="P57" s="32" t="n">
        <f aca="false">IF(AND(ISNUMBER(J57),ISNUMBER(K57),K57&gt;0),1,0)</f>
        <v>1</v>
      </c>
      <c r="Q57" s="16" t="str">
        <f aca="false">IF(P57=0,"UNQUANTIFIED",IF(O57&gt;=0,"CLOSE","NEGATIVE"))</f>
        <v>CLOSE</v>
      </c>
      <c r="R57" s="33" t="s">
        <v>77</v>
      </c>
      <c r="S57" s="33" t="n">
        <v>0</v>
      </c>
      <c r="T57" s="33" t="n">
        <v>0</v>
      </c>
    </row>
    <row r="58" customFormat="false" ht="15" hidden="false" customHeight="false" outlineLevel="0" collapsed="false">
      <c r="A58" s="13" t="s">
        <v>248</v>
      </c>
      <c r="B58" s="13" t="s">
        <v>114</v>
      </c>
      <c r="C58" s="13" t="s">
        <v>16</v>
      </c>
      <c r="D58" s="13" t="s">
        <v>73</v>
      </c>
      <c r="E58" s="13" t="s">
        <v>74</v>
      </c>
      <c r="F58" s="13" t="s">
        <v>178</v>
      </c>
      <c r="G58" s="13" t="s">
        <v>179</v>
      </c>
      <c r="H58" s="13" t="s">
        <v>75</v>
      </c>
      <c r="I58" s="13" t="s">
        <v>76</v>
      </c>
      <c r="J58" s="31"/>
      <c r="K58" s="31"/>
      <c r="L58" s="15" t="str">
        <f aca="false">IF(AND(ISNUMBER(J58),ISNUMBER(K58),K58&gt;0),J58/K58,"")</f>
        <v/>
      </c>
      <c r="M58" s="15" t="n">
        <f aca="false">Controls!$B$7</f>
        <v>0.025</v>
      </c>
      <c r="N58" s="15" t="str">
        <f aca="false">IF(P58=1,L58*(1-M58),"")</f>
        <v/>
      </c>
      <c r="O58" s="15" t="str">
        <f aca="false">IF(P58=1,N58-Controls!$B$8,"")</f>
        <v/>
      </c>
      <c r="P58" s="32" t="n">
        <f aca="false">IF(AND(ISNUMBER(J58),ISNUMBER(K58),K58&gt;0),1,0)</f>
        <v>0</v>
      </c>
      <c r="Q58" s="16" t="str">
        <f aca="false">IF(P58=0,"UNQUANTIFIED",IF(O58&gt;=0,"CLOSE","NEGATIVE"))</f>
        <v>UNQUANTIFIED</v>
      </c>
      <c r="R58" s="33" t="s">
        <v>199</v>
      </c>
      <c r="S58" s="33" t="n">
        <v>0</v>
      </c>
      <c r="T58" s="33" t="n">
        <v>0</v>
      </c>
    </row>
    <row r="59" customFormat="false" ht="15" hidden="false" customHeight="false" outlineLevel="0" collapsed="false">
      <c r="A59" s="13" t="s">
        <v>249</v>
      </c>
      <c r="B59" s="13" t="s">
        <v>114</v>
      </c>
      <c r="C59" s="13" t="s">
        <v>16</v>
      </c>
      <c r="D59" s="13" t="s">
        <v>79</v>
      </c>
      <c r="E59" s="13" t="s">
        <v>80</v>
      </c>
      <c r="F59" s="13" t="s">
        <v>169</v>
      </c>
      <c r="G59" s="13" t="s">
        <v>170</v>
      </c>
      <c r="H59" s="13" t="s">
        <v>81</v>
      </c>
      <c r="I59" s="13" t="s">
        <v>82</v>
      </c>
      <c r="J59" s="31" t="n">
        <v>164</v>
      </c>
      <c r="K59" s="31" t="n">
        <v>140</v>
      </c>
      <c r="L59" s="15" t="n">
        <f aca="false">IF(AND(ISNUMBER(J59),ISNUMBER(K59),K59&gt;0),J59/K59,"")</f>
        <v>1.17142857142857</v>
      </c>
      <c r="M59" s="15" t="n">
        <f aca="false">Controls!$B$7</f>
        <v>0.025</v>
      </c>
      <c r="N59" s="15" t="n">
        <f aca="false">IF(P59=1,L59*(1-M59),"")</f>
        <v>1.14214285714286</v>
      </c>
      <c r="O59" s="15" t="n">
        <f aca="false">IF(P59=1,N59-Controls!$B$8,"")</f>
        <v>0.142142857142857</v>
      </c>
      <c r="P59" s="32" t="n">
        <f aca="false">IF(AND(ISNUMBER(J59),ISNUMBER(K59),K59&gt;0),1,0)</f>
        <v>1</v>
      </c>
      <c r="Q59" s="16" t="str">
        <f aca="false">IF(P59=0,"UNQUANTIFIED",IF(O59&gt;=0,"CLOSE","NEGATIVE"))</f>
        <v>CLOSE</v>
      </c>
      <c r="R59" s="33" t="s">
        <v>83</v>
      </c>
      <c r="S59" s="33" t="n">
        <v>0</v>
      </c>
      <c r="T59" s="33" t="n">
        <v>0</v>
      </c>
    </row>
    <row r="60" customFormat="false" ht="15" hidden="false" customHeight="false" outlineLevel="0" collapsed="false">
      <c r="A60" s="13" t="s">
        <v>250</v>
      </c>
      <c r="B60" s="13" t="s">
        <v>114</v>
      </c>
      <c r="C60" s="13" t="s">
        <v>16</v>
      </c>
      <c r="D60" s="13" t="s">
        <v>79</v>
      </c>
      <c r="E60" s="13" t="s">
        <v>80</v>
      </c>
      <c r="F60" s="13" t="s">
        <v>172</v>
      </c>
      <c r="G60" s="13" t="s">
        <v>173</v>
      </c>
      <c r="H60" s="13" t="s">
        <v>81</v>
      </c>
      <c r="I60" s="13" t="s">
        <v>82</v>
      </c>
      <c r="J60" s="31"/>
      <c r="K60" s="31"/>
      <c r="L60" s="15" t="str">
        <f aca="false">IF(AND(ISNUMBER(J60),ISNUMBER(K60),K60&gt;0),J60/K60,"")</f>
        <v/>
      </c>
      <c r="M60" s="15" t="n">
        <f aca="false">Controls!$B$7</f>
        <v>0.025</v>
      </c>
      <c r="N60" s="15" t="str">
        <f aca="false">IF(P60=1,L60*(1-M60),"")</f>
        <v/>
      </c>
      <c r="O60" s="15" t="str">
        <f aca="false">IF(P60=1,N60-Controls!$B$8,"")</f>
        <v/>
      </c>
      <c r="P60" s="32" t="n">
        <f aca="false">IF(AND(ISNUMBER(J60),ISNUMBER(K60),K60&gt;0),1,0)</f>
        <v>0</v>
      </c>
      <c r="Q60" s="16" t="str">
        <f aca="false">IF(P60=0,"UNQUANTIFIED",IF(O60&gt;=0,"CLOSE","NEGATIVE"))</f>
        <v>UNQUANTIFIED</v>
      </c>
      <c r="R60" s="33" t="s">
        <v>196</v>
      </c>
      <c r="S60" s="33" t="n">
        <v>0</v>
      </c>
      <c r="T60" s="33" t="n">
        <v>0</v>
      </c>
    </row>
    <row r="61" customFormat="false" ht="15" hidden="false" customHeight="false" outlineLevel="0" collapsed="false">
      <c r="A61" s="13" t="s">
        <v>251</v>
      </c>
      <c r="B61" s="13" t="s">
        <v>114</v>
      </c>
      <c r="C61" s="13" t="s">
        <v>16</v>
      </c>
      <c r="D61" s="13" t="s">
        <v>79</v>
      </c>
      <c r="E61" s="13" t="s">
        <v>80</v>
      </c>
      <c r="F61" s="13" t="s">
        <v>175</v>
      </c>
      <c r="G61" s="13" t="s">
        <v>176</v>
      </c>
      <c r="H61" s="13" t="s">
        <v>81</v>
      </c>
      <c r="I61" s="13" t="s">
        <v>82</v>
      </c>
      <c r="J61" s="31" t="n">
        <v>143.5</v>
      </c>
      <c r="K61" s="31" t="n">
        <v>140</v>
      </c>
      <c r="L61" s="15" t="n">
        <f aca="false">IF(AND(ISNUMBER(J61),ISNUMBER(K61),K61&gt;0),J61/K61,"")</f>
        <v>1.025</v>
      </c>
      <c r="M61" s="15" t="n">
        <f aca="false">Controls!$B$7</f>
        <v>0.025</v>
      </c>
      <c r="N61" s="15" t="n">
        <f aca="false">IF(P61=1,L61*(1-M61),"")</f>
        <v>0.999375</v>
      </c>
      <c r="O61" s="15" t="n">
        <f aca="false">IF(P61=1,N61-Controls!$B$8,"")</f>
        <v>-0.000625000000000098</v>
      </c>
      <c r="P61" s="32" t="n">
        <f aca="false">IF(AND(ISNUMBER(J61),ISNUMBER(K61),K61&gt;0),1,0)</f>
        <v>1</v>
      </c>
      <c r="Q61" s="16" t="str">
        <f aca="false">IF(P61=0,"UNQUANTIFIED",IF(O61&gt;=0,"CLOSE","NEGATIVE"))</f>
        <v>NEGATIVE</v>
      </c>
      <c r="R61" s="33" t="s">
        <v>83</v>
      </c>
      <c r="S61" s="33" t="n">
        <v>0</v>
      </c>
      <c r="T61" s="33" t="n">
        <v>0</v>
      </c>
    </row>
    <row r="62" customFormat="false" ht="15" hidden="false" customHeight="false" outlineLevel="0" collapsed="false">
      <c r="A62" s="13" t="s">
        <v>252</v>
      </c>
      <c r="B62" s="13" t="s">
        <v>114</v>
      </c>
      <c r="C62" s="13" t="s">
        <v>16</v>
      </c>
      <c r="D62" s="13" t="s">
        <v>79</v>
      </c>
      <c r="E62" s="13" t="s">
        <v>80</v>
      </c>
      <c r="F62" s="13" t="s">
        <v>178</v>
      </c>
      <c r="G62" s="13" t="s">
        <v>179</v>
      </c>
      <c r="H62" s="13" t="s">
        <v>81</v>
      </c>
      <c r="I62" s="13" t="s">
        <v>82</v>
      </c>
      <c r="J62" s="31"/>
      <c r="K62" s="31"/>
      <c r="L62" s="15" t="str">
        <f aca="false">IF(AND(ISNUMBER(J62),ISNUMBER(K62),K62&gt;0),J62/K62,"")</f>
        <v/>
      </c>
      <c r="M62" s="15" t="n">
        <f aca="false">Controls!$B$7</f>
        <v>0.025</v>
      </c>
      <c r="N62" s="15" t="str">
        <f aca="false">IF(P62=1,L62*(1-M62),"")</f>
        <v/>
      </c>
      <c r="O62" s="15" t="str">
        <f aca="false">IF(P62=1,N62-Controls!$B$8,"")</f>
        <v/>
      </c>
      <c r="P62" s="32" t="n">
        <f aca="false">IF(AND(ISNUMBER(J62),ISNUMBER(K62),K62&gt;0),1,0)</f>
        <v>0</v>
      </c>
      <c r="Q62" s="16" t="str">
        <f aca="false">IF(P62=0,"UNQUANTIFIED",IF(O62&gt;=0,"CLOSE","NEGATIVE"))</f>
        <v>UNQUANTIFIED</v>
      </c>
      <c r="R62" s="33" t="s">
        <v>199</v>
      </c>
      <c r="S62" s="33" t="n">
        <v>0</v>
      </c>
      <c r="T62" s="33" t="n">
        <v>0</v>
      </c>
    </row>
    <row r="63" customFormat="false" ht="15" hidden="false" customHeight="false" outlineLevel="0" collapsed="false">
      <c r="A63" s="13" t="s">
        <v>253</v>
      </c>
      <c r="B63" s="13" t="s">
        <v>114</v>
      </c>
      <c r="C63" s="13" t="s">
        <v>16</v>
      </c>
      <c r="D63" s="13" t="s">
        <v>85</v>
      </c>
      <c r="E63" s="13" t="s">
        <v>86</v>
      </c>
      <c r="F63" s="13" t="s">
        <v>169</v>
      </c>
      <c r="G63" s="13" t="s">
        <v>170</v>
      </c>
      <c r="H63" s="13" t="s">
        <v>117</v>
      </c>
      <c r="I63" s="13" t="s">
        <v>36</v>
      </c>
      <c r="J63" s="31" t="n">
        <v>1.28</v>
      </c>
      <c r="K63" s="31" t="n">
        <v>1</v>
      </c>
      <c r="L63" s="15" t="n">
        <f aca="false">IF(AND(ISNUMBER(J63),ISNUMBER(K63),K63&gt;0),J63/K63,"")</f>
        <v>1.28</v>
      </c>
      <c r="M63" s="15" t="n">
        <f aca="false">Controls!$B$7</f>
        <v>0.025</v>
      </c>
      <c r="N63" s="15" t="n">
        <f aca="false">IF(P63=1,L63*(1-M63),"")</f>
        <v>1.248</v>
      </c>
      <c r="O63" s="15" t="n">
        <f aca="false">IF(P63=1,N63-Controls!$B$8,"")</f>
        <v>0.248</v>
      </c>
      <c r="P63" s="32" t="n">
        <f aca="false">IF(AND(ISNUMBER(J63),ISNUMBER(K63),K63&gt;0),1,0)</f>
        <v>1</v>
      </c>
      <c r="Q63" s="16" t="str">
        <f aca="false">IF(P63=0,"UNQUANTIFIED",IF(O63&gt;=0,"CLOSE","NEGATIVE"))</f>
        <v>CLOSE</v>
      </c>
      <c r="R63" s="33" t="s">
        <v>88</v>
      </c>
      <c r="S63" s="33" t="n">
        <v>0</v>
      </c>
      <c r="T63" s="33" t="n">
        <v>0</v>
      </c>
    </row>
    <row r="64" customFormat="false" ht="15" hidden="false" customHeight="false" outlineLevel="0" collapsed="false">
      <c r="A64" s="13" t="s">
        <v>254</v>
      </c>
      <c r="B64" s="13" t="s">
        <v>114</v>
      </c>
      <c r="C64" s="13" t="s">
        <v>16</v>
      </c>
      <c r="D64" s="13" t="s">
        <v>85</v>
      </c>
      <c r="E64" s="13" t="s">
        <v>86</v>
      </c>
      <c r="F64" s="13" t="s">
        <v>172</v>
      </c>
      <c r="G64" s="13" t="s">
        <v>173</v>
      </c>
      <c r="H64" s="13" t="s">
        <v>117</v>
      </c>
      <c r="I64" s="13" t="s">
        <v>36</v>
      </c>
      <c r="J64" s="31"/>
      <c r="K64" s="31"/>
      <c r="L64" s="15" t="str">
        <f aca="false">IF(AND(ISNUMBER(J64),ISNUMBER(K64),K64&gt;0),J64/K64,"")</f>
        <v/>
      </c>
      <c r="M64" s="15" t="n">
        <f aca="false">Controls!$B$7</f>
        <v>0.025</v>
      </c>
      <c r="N64" s="15" t="str">
        <f aca="false">IF(P64=1,L64*(1-M64),"")</f>
        <v/>
      </c>
      <c r="O64" s="15" t="str">
        <f aca="false">IF(P64=1,N64-Controls!$B$8,"")</f>
        <v/>
      </c>
      <c r="P64" s="32" t="n">
        <f aca="false">IF(AND(ISNUMBER(J64),ISNUMBER(K64),K64&gt;0),1,0)</f>
        <v>0</v>
      </c>
      <c r="Q64" s="16" t="str">
        <f aca="false">IF(P64=0,"UNQUANTIFIED",IF(O64&gt;=0,"CLOSE","NEGATIVE"))</f>
        <v>UNQUANTIFIED</v>
      </c>
      <c r="R64" s="33" t="s">
        <v>196</v>
      </c>
      <c r="S64" s="33" t="n">
        <v>0</v>
      </c>
      <c r="T64" s="33" t="n">
        <v>0</v>
      </c>
    </row>
    <row r="65" customFormat="false" ht="15" hidden="false" customHeight="false" outlineLevel="0" collapsed="false">
      <c r="A65" s="13" t="s">
        <v>255</v>
      </c>
      <c r="B65" s="13" t="s">
        <v>114</v>
      </c>
      <c r="C65" s="13" t="s">
        <v>16</v>
      </c>
      <c r="D65" s="13" t="s">
        <v>85</v>
      </c>
      <c r="E65" s="13" t="s">
        <v>86</v>
      </c>
      <c r="F65" s="13" t="s">
        <v>175</v>
      </c>
      <c r="G65" s="13" t="s">
        <v>176</v>
      </c>
      <c r="H65" s="13" t="s">
        <v>117</v>
      </c>
      <c r="I65" s="13" t="s">
        <v>36</v>
      </c>
      <c r="J65" s="31" t="n">
        <v>1.024</v>
      </c>
      <c r="K65" s="31" t="n">
        <v>1</v>
      </c>
      <c r="L65" s="15" t="n">
        <f aca="false">IF(AND(ISNUMBER(J65),ISNUMBER(K65),K65&gt;0),J65/K65,"")</f>
        <v>1.024</v>
      </c>
      <c r="M65" s="15" t="n">
        <f aca="false">Controls!$B$7</f>
        <v>0.025</v>
      </c>
      <c r="N65" s="15" t="n">
        <f aca="false">IF(P65=1,L65*(1-M65),"")</f>
        <v>0.9984</v>
      </c>
      <c r="O65" s="15" t="n">
        <f aca="false">IF(P65=1,N65-Controls!$B$8,"")</f>
        <v>-0.00160000000000005</v>
      </c>
      <c r="P65" s="32" t="n">
        <f aca="false">IF(AND(ISNUMBER(J65),ISNUMBER(K65),K65&gt;0),1,0)</f>
        <v>1</v>
      </c>
      <c r="Q65" s="16" t="str">
        <f aca="false">IF(P65=0,"UNQUANTIFIED",IF(O65&gt;=0,"CLOSE","NEGATIVE"))</f>
        <v>NEGATIVE</v>
      </c>
      <c r="R65" s="33" t="s">
        <v>88</v>
      </c>
      <c r="S65" s="33" t="n">
        <v>0</v>
      </c>
      <c r="T65" s="33" t="n">
        <v>0</v>
      </c>
    </row>
    <row r="66" customFormat="false" ht="15" hidden="false" customHeight="false" outlineLevel="0" collapsed="false">
      <c r="A66" s="13" t="s">
        <v>256</v>
      </c>
      <c r="B66" s="13" t="s">
        <v>114</v>
      </c>
      <c r="C66" s="13" t="s">
        <v>16</v>
      </c>
      <c r="D66" s="13" t="s">
        <v>85</v>
      </c>
      <c r="E66" s="13" t="s">
        <v>86</v>
      </c>
      <c r="F66" s="13" t="s">
        <v>178</v>
      </c>
      <c r="G66" s="13" t="s">
        <v>179</v>
      </c>
      <c r="H66" s="13" t="s">
        <v>117</v>
      </c>
      <c r="I66" s="13" t="s">
        <v>36</v>
      </c>
      <c r="J66" s="31"/>
      <c r="K66" s="31"/>
      <c r="L66" s="15" t="str">
        <f aca="false">IF(AND(ISNUMBER(J66),ISNUMBER(K66),K66&gt;0),J66/K66,"")</f>
        <v/>
      </c>
      <c r="M66" s="15" t="n">
        <f aca="false">Controls!$B$7</f>
        <v>0.025</v>
      </c>
      <c r="N66" s="15" t="str">
        <f aca="false">IF(P66=1,L66*(1-M66),"")</f>
        <v/>
      </c>
      <c r="O66" s="15" t="str">
        <f aca="false">IF(P66=1,N66-Controls!$B$8,"")</f>
        <v/>
      </c>
      <c r="P66" s="32" t="n">
        <f aca="false">IF(AND(ISNUMBER(J66),ISNUMBER(K66),K66&gt;0),1,0)</f>
        <v>0</v>
      </c>
      <c r="Q66" s="16" t="str">
        <f aca="false">IF(P66=0,"UNQUANTIFIED",IF(O66&gt;=0,"CLOSE","NEGATIVE"))</f>
        <v>UNQUANTIFIED</v>
      </c>
      <c r="R66" s="33" t="s">
        <v>199</v>
      </c>
      <c r="S66" s="33" t="n">
        <v>0</v>
      </c>
      <c r="T66" s="33" t="n">
        <v>0</v>
      </c>
    </row>
    <row r="67" customFormat="false" ht="15" hidden="false" customHeight="false" outlineLevel="0" collapsed="false">
      <c r="A67" s="13" t="s">
        <v>257</v>
      </c>
      <c r="B67" s="13" t="s">
        <v>114</v>
      </c>
      <c r="C67" s="13" t="s">
        <v>16</v>
      </c>
      <c r="D67" s="13" t="s">
        <v>90</v>
      </c>
      <c r="E67" s="13" t="s">
        <v>91</v>
      </c>
      <c r="F67" s="13" t="s">
        <v>169</v>
      </c>
      <c r="G67" s="13" t="s">
        <v>170</v>
      </c>
      <c r="H67" s="13" t="s">
        <v>92</v>
      </c>
      <c r="I67" s="13" t="s">
        <v>36</v>
      </c>
      <c r="J67" s="31" t="n">
        <v>1.2</v>
      </c>
      <c r="K67" s="31" t="n">
        <v>1</v>
      </c>
      <c r="L67" s="15" t="n">
        <f aca="false">IF(AND(ISNUMBER(J67),ISNUMBER(K67),K67&gt;0),J67/K67,"")</f>
        <v>1.2</v>
      </c>
      <c r="M67" s="15" t="n">
        <f aca="false">Controls!$B$7</f>
        <v>0.025</v>
      </c>
      <c r="N67" s="15" t="n">
        <f aca="false">IF(P67=1,L67*(1-M67),"")</f>
        <v>1.17</v>
      </c>
      <c r="O67" s="15" t="n">
        <f aca="false">IF(P67=1,N67-Controls!$B$8,"")</f>
        <v>0.17</v>
      </c>
      <c r="P67" s="32" t="n">
        <f aca="false">IF(AND(ISNUMBER(J67),ISNUMBER(K67),K67&gt;0),1,0)</f>
        <v>1</v>
      </c>
      <c r="Q67" s="16" t="str">
        <f aca="false">IF(P67=0,"UNQUANTIFIED",IF(O67&gt;=0,"CLOSE","NEGATIVE"))</f>
        <v>CLOSE</v>
      </c>
      <c r="R67" s="33" t="s">
        <v>93</v>
      </c>
      <c r="S67" s="33" t="n">
        <v>0</v>
      </c>
      <c r="T67" s="33" t="n">
        <v>0</v>
      </c>
    </row>
    <row r="68" customFormat="false" ht="15" hidden="false" customHeight="false" outlineLevel="0" collapsed="false">
      <c r="A68" s="13" t="s">
        <v>258</v>
      </c>
      <c r="B68" s="13" t="s">
        <v>114</v>
      </c>
      <c r="C68" s="13" t="s">
        <v>16</v>
      </c>
      <c r="D68" s="13" t="s">
        <v>90</v>
      </c>
      <c r="E68" s="13" t="s">
        <v>91</v>
      </c>
      <c r="F68" s="13" t="s">
        <v>172</v>
      </c>
      <c r="G68" s="13" t="s">
        <v>173</v>
      </c>
      <c r="H68" s="13" t="s">
        <v>92</v>
      </c>
      <c r="I68" s="13" t="s">
        <v>36</v>
      </c>
      <c r="J68" s="31"/>
      <c r="K68" s="31"/>
      <c r="L68" s="15" t="str">
        <f aca="false">IF(AND(ISNUMBER(J68),ISNUMBER(K68),K68&gt;0),J68/K68,"")</f>
        <v/>
      </c>
      <c r="M68" s="15" t="n">
        <f aca="false">Controls!$B$7</f>
        <v>0.025</v>
      </c>
      <c r="N68" s="15" t="str">
        <f aca="false">IF(P68=1,L68*(1-M68),"")</f>
        <v/>
      </c>
      <c r="O68" s="15" t="str">
        <f aca="false">IF(P68=1,N68-Controls!$B$8,"")</f>
        <v/>
      </c>
      <c r="P68" s="32" t="n">
        <f aca="false">IF(AND(ISNUMBER(J68),ISNUMBER(K68),K68&gt;0),1,0)</f>
        <v>0</v>
      </c>
      <c r="Q68" s="16" t="str">
        <f aca="false">IF(P68=0,"UNQUANTIFIED",IF(O68&gt;=0,"CLOSE","NEGATIVE"))</f>
        <v>UNQUANTIFIED</v>
      </c>
      <c r="R68" s="33" t="s">
        <v>196</v>
      </c>
      <c r="S68" s="33" t="n">
        <v>0</v>
      </c>
      <c r="T68" s="33" t="n">
        <v>0</v>
      </c>
    </row>
    <row r="69" customFormat="false" ht="15" hidden="false" customHeight="false" outlineLevel="0" collapsed="false">
      <c r="A69" s="13" t="s">
        <v>259</v>
      </c>
      <c r="B69" s="13" t="s">
        <v>114</v>
      </c>
      <c r="C69" s="13" t="s">
        <v>16</v>
      </c>
      <c r="D69" s="13" t="s">
        <v>90</v>
      </c>
      <c r="E69" s="13" t="s">
        <v>91</v>
      </c>
      <c r="F69" s="13" t="s">
        <v>175</v>
      </c>
      <c r="G69" s="13" t="s">
        <v>176</v>
      </c>
      <c r="H69" s="13" t="s">
        <v>92</v>
      </c>
      <c r="I69" s="13" t="s">
        <v>36</v>
      </c>
      <c r="J69" s="31" t="n">
        <v>1.05</v>
      </c>
      <c r="K69" s="31" t="n">
        <v>1</v>
      </c>
      <c r="L69" s="15" t="n">
        <f aca="false">IF(AND(ISNUMBER(J69),ISNUMBER(K69),K69&gt;0),J69/K69,"")</f>
        <v>1.05</v>
      </c>
      <c r="M69" s="15" t="n">
        <f aca="false">Controls!$B$7</f>
        <v>0.025</v>
      </c>
      <c r="N69" s="15" t="n">
        <f aca="false">IF(P69=1,L69*(1-M69),"")</f>
        <v>1.02375</v>
      </c>
      <c r="O69" s="15" t="n">
        <f aca="false">IF(P69=1,N69-Controls!$B$8,"")</f>
        <v>0.0237499999999999</v>
      </c>
      <c r="P69" s="32" t="n">
        <f aca="false">IF(AND(ISNUMBER(J69),ISNUMBER(K69),K69&gt;0),1,0)</f>
        <v>1</v>
      </c>
      <c r="Q69" s="16" t="str">
        <f aca="false">IF(P69=0,"UNQUANTIFIED",IF(O69&gt;=0,"CLOSE","NEGATIVE"))</f>
        <v>CLOSE</v>
      </c>
      <c r="R69" s="33" t="s">
        <v>93</v>
      </c>
      <c r="S69" s="33" t="n">
        <v>0</v>
      </c>
      <c r="T69" s="33" t="n">
        <v>0</v>
      </c>
    </row>
    <row r="70" customFormat="false" ht="15" hidden="false" customHeight="false" outlineLevel="0" collapsed="false">
      <c r="A70" s="13" t="s">
        <v>260</v>
      </c>
      <c r="B70" s="13" t="s">
        <v>114</v>
      </c>
      <c r="C70" s="13" t="s">
        <v>16</v>
      </c>
      <c r="D70" s="13" t="s">
        <v>90</v>
      </c>
      <c r="E70" s="13" t="s">
        <v>91</v>
      </c>
      <c r="F70" s="13" t="s">
        <v>178</v>
      </c>
      <c r="G70" s="13" t="s">
        <v>179</v>
      </c>
      <c r="H70" s="13" t="s">
        <v>92</v>
      </c>
      <c r="I70" s="13" t="s">
        <v>36</v>
      </c>
      <c r="J70" s="31"/>
      <c r="K70" s="31"/>
      <c r="L70" s="15" t="str">
        <f aca="false">IF(AND(ISNUMBER(J70),ISNUMBER(K70),K70&gt;0),J70/K70,"")</f>
        <v/>
      </c>
      <c r="M70" s="15" t="n">
        <f aca="false">Controls!$B$7</f>
        <v>0.025</v>
      </c>
      <c r="N70" s="15" t="str">
        <f aca="false">IF(P70=1,L70*(1-M70),"")</f>
        <v/>
      </c>
      <c r="O70" s="15" t="str">
        <f aca="false">IF(P70=1,N70-Controls!$B$8,"")</f>
        <v/>
      </c>
      <c r="P70" s="32" t="n">
        <f aca="false">IF(AND(ISNUMBER(J70),ISNUMBER(K70),K70&gt;0),1,0)</f>
        <v>0</v>
      </c>
      <c r="Q70" s="16" t="str">
        <f aca="false">IF(P70=0,"UNQUANTIFIED",IF(O70&gt;=0,"CLOSE","NEGATIVE"))</f>
        <v>UNQUANTIFIED</v>
      </c>
      <c r="R70" s="33" t="s">
        <v>199</v>
      </c>
      <c r="S70" s="33" t="n">
        <v>0</v>
      </c>
      <c r="T70" s="33" t="n">
        <v>0</v>
      </c>
    </row>
    <row r="71" customFormat="false" ht="15" hidden="false" customHeight="false" outlineLevel="0" collapsed="false">
      <c r="A71" s="13" t="s">
        <v>261</v>
      </c>
      <c r="B71" s="13" t="s">
        <v>114</v>
      </c>
      <c r="C71" s="13" t="s">
        <v>16</v>
      </c>
      <c r="D71" s="13" t="s">
        <v>95</v>
      </c>
      <c r="E71" s="13" t="s">
        <v>96</v>
      </c>
      <c r="F71" s="13" t="s">
        <v>169</v>
      </c>
      <c r="G71" s="13" t="s">
        <v>170</v>
      </c>
      <c r="H71" s="13" t="s">
        <v>119</v>
      </c>
      <c r="I71" s="13" t="s">
        <v>98</v>
      </c>
      <c r="J71" s="31" t="n">
        <v>1134</v>
      </c>
      <c r="K71" s="31" t="n">
        <v>900</v>
      </c>
      <c r="L71" s="15" t="n">
        <f aca="false">IF(AND(ISNUMBER(J71),ISNUMBER(K71),K71&gt;0),J71/K71,"")</f>
        <v>1.26</v>
      </c>
      <c r="M71" s="15" t="n">
        <f aca="false">Controls!$B$7</f>
        <v>0.025</v>
      </c>
      <c r="N71" s="15" t="n">
        <f aca="false">IF(P71=1,L71*(1-M71),"")</f>
        <v>1.2285</v>
      </c>
      <c r="O71" s="15" t="n">
        <f aca="false">IF(P71=1,N71-Controls!$B$8,"")</f>
        <v>0.2285</v>
      </c>
      <c r="P71" s="32" t="n">
        <f aca="false">IF(AND(ISNUMBER(J71),ISNUMBER(K71),K71&gt;0),1,0)</f>
        <v>1</v>
      </c>
      <c r="Q71" s="16" t="str">
        <f aca="false">IF(P71=0,"UNQUANTIFIED",IF(O71&gt;=0,"CLOSE","NEGATIVE"))</f>
        <v>CLOSE</v>
      </c>
      <c r="R71" s="33" t="s">
        <v>99</v>
      </c>
      <c r="S71" s="33" t="n">
        <v>0</v>
      </c>
      <c r="T71" s="33" t="n">
        <v>0</v>
      </c>
    </row>
    <row r="72" customFormat="false" ht="15" hidden="false" customHeight="false" outlineLevel="0" collapsed="false">
      <c r="A72" s="13" t="s">
        <v>262</v>
      </c>
      <c r="B72" s="13" t="s">
        <v>114</v>
      </c>
      <c r="C72" s="13" t="s">
        <v>16</v>
      </c>
      <c r="D72" s="13" t="s">
        <v>95</v>
      </c>
      <c r="E72" s="13" t="s">
        <v>96</v>
      </c>
      <c r="F72" s="13" t="s">
        <v>172</v>
      </c>
      <c r="G72" s="13" t="s">
        <v>173</v>
      </c>
      <c r="H72" s="13" t="s">
        <v>119</v>
      </c>
      <c r="I72" s="13" t="s">
        <v>98</v>
      </c>
      <c r="J72" s="31"/>
      <c r="K72" s="31"/>
      <c r="L72" s="15" t="str">
        <f aca="false">IF(AND(ISNUMBER(J72),ISNUMBER(K72),K72&gt;0),J72/K72,"")</f>
        <v/>
      </c>
      <c r="M72" s="15" t="n">
        <f aca="false">Controls!$B$7</f>
        <v>0.025</v>
      </c>
      <c r="N72" s="15" t="str">
        <f aca="false">IF(P72=1,L72*(1-M72),"")</f>
        <v/>
      </c>
      <c r="O72" s="15" t="str">
        <f aca="false">IF(P72=1,N72-Controls!$B$8,"")</f>
        <v/>
      </c>
      <c r="P72" s="32" t="n">
        <f aca="false">IF(AND(ISNUMBER(J72),ISNUMBER(K72),K72&gt;0),1,0)</f>
        <v>0</v>
      </c>
      <c r="Q72" s="16" t="str">
        <f aca="false">IF(P72=0,"UNQUANTIFIED",IF(O72&gt;=0,"CLOSE","NEGATIVE"))</f>
        <v>UNQUANTIFIED</v>
      </c>
      <c r="R72" s="33" t="s">
        <v>196</v>
      </c>
      <c r="S72" s="33" t="n">
        <v>0</v>
      </c>
      <c r="T72" s="33" t="n">
        <v>0</v>
      </c>
    </row>
    <row r="73" customFormat="false" ht="15" hidden="false" customHeight="false" outlineLevel="0" collapsed="false">
      <c r="A73" s="13" t="s">
        <v>263</v>
      </c>
      <c r="B73" s="13" t="s">
        <v>114</v>
      </c>
      <c r="C73" s="13" t="s">
        <v>16</v>
      </c>
      <c r="D73" s="13" t="s">
        <v>95</v>
      </c>
      <c r="E73" s="13" t="s">
        <v>96</v>
      </c>
      <c r="F73" s="13" t="s">
        <v>175</v>
      </c>
      <c r="G73" s="13" t="s">
        <v>176</v>
      </c>
      <c r="H73" s="13" t="s">
        <v>119</v>
      </c>
      <c r="I73" s="13" t="s">
        <v>98</v>
      </c>
      <c r="J73" s="31" t="n">
        <v>945</v>
      </c>
      <c r="K73" s="31" t="n">
        <v>900</v>
      </c>
      <c r="L73" s="15" t="n">
        <f aca="false">IF(AND(ISNUMBER(J73),ISNUMBER(K73),K73&gt;0),J73/K73,"")</f>
        <v>1.05</v>
      </c>
      <c r="M73" s="15" t="n">
        <f aca="false">Controls!$B$7</f>
        <v>0.025</v>
      </c>
      <c r="N73" s="15" t="n">
        <f aca="false">IF(P73=1,L73*(1-M73),"")</f>
        <v>1.02375</v>
      </c>
      <c r="O73" s="15" t="n">
        <f aca="false">IF(P73=1,N73-Controls!$B$8,"")</f>
        <v>0.0237499999999999</v>
      </c>
      <c r="P73" s="32" t="n">
        <f aca="false">IF(AND(ISNUMBER(J73),ISNUMBER(K73),K73&gt;0),1,0)</f>
        <v>1</v>
      </c>
      <c r="Q73" s="16" t="str">
        <f aca="false">IF(P73=0,"UNQUANTIFIED",IF(O73&gt;=0,"CLOSE","NEGATIVE"))</f>
        <v>CLOSE</v>
      </c>
      <c r="R73" s="33" t="s">
        <v>99</v>
      </c>
      <c r="S73" s="33" t="n">
        <v>0</v>
      </c>
      <c r="T73" s="33" t="n">
        <v>0</v>
      </c>
    </row>
    <row r="74" customFormat="false" ht="15" hidden="false" customHeight="false" outlineLevel="0" collapsed="false">
      <c r="A74" s="13" t="s">
        <v>264</v>
      </c>
      <c r="B74" s="13" t="s">
        <v>114</v>
      </c>
      <c r="C74" s="13" t="s">
        <v>16</v>
      </c>
      <c r="D74" s="13" t="s">
        <v>95</v>
      </c>
      <c r="E74" s="13" t="s">
        <v>96</v>
      </c>
      <c r="F74" s="13" t="s">
        <v>178</v>
      </c>
      <c r="G74" s="13" t="s">
        <v>179</v>
      </c>
      <c r="H74" s="13" t="s">
        <v>119</v>
      </c>
      <c r="I74" s="13" t="s">
        <v>98</v>
      </c>
      <c r="J74" s="31"/>
      <c r="K74" s="31"/>
      <c r="L74" s="15" t="str">
        <f aca="false">IF(AND(ISNUMBER(J74),ISNUMBER(K74),K74&gt;0),J74/K74,"")</f>
        <v/>
      </c>
      <c r="M74" s="15" t="n">
        <f aca="false">Controls!$B$7</f>
        <v>0.025</v>
      </c>
      <c r="N74" s="15" t="str">
        <f aca="false">IF(P74=1,L74*(1-M74),"")</f>
        <v/>
      </c>
      <c r="O74" s="15" t="str">
        <f aca="false">IF(P74=1,N74-Controls!$B$8,"")</f>
        <v/>
      </c>
      <c r="P74" s="32" t="n">
        <f aca="false">IF(AND(ISNUMBER(J74),ISNUMBER(K74),K74&gt;0),1,0)</f>
        <v>0</v>
      </c>
      <c r="Q74" s="16" t="str">
        <f aca="false">IF(P74=0,"UNQUANTIFIED",IF(O74&gt;=0,"CLOSE","NEGATIVE"))</f>
        <v>UNQUANTIFIED</v>
      </c>
      <c r="R74" s="33" t="s">
        <v>199</v>
      </c>
      <c r="S74" s="33" t="n">
        <v>0</v>
      </c>
      <c r="T74" s="33" t="n">
        <v>0</v>
      </c>
    </row>
    <row r="75" customFormat="false" ht="15" hidden="false" customHeight="false" outlineLevel="0" collapsed="false">
      <c r="A75" s="13" t="s">
        <v>265</v>
      </c>
      <c r="B75" s="13" t="s">
        <v>114</v>
      </c>
      <c r="C75" s="13" t="s">
        <v>16</v>
      </c>
      <c r="D75" s="13" t="s">
        <v>101</v>
      </c>
      <c r="E75" s="13" t="s">
        <v>102</v>
      </c>
      <c r="F75" s="13" t="s">
        <v>169</v>
      </c>
      <c r="G75" s="13" t="s">
        <v>170</v>
      </c>
      <c r="H75" s="13" t="s">
        <v>103</v>
      </c>
      <c r="I75" s="13" t="s">
        <v>104</v>
      </c>
      <c r="J75" s="31"/>
      <c r="K75" s="31" t="n">
        <v>168</v>
      </c>
      <c r="L75" s="15" t="str">
        <f aca="false">IF(AND(ISNUMBER(J75),ISNUMBER(K75),K75&gt;0),J75/K75,"")</f>
        <v/>
      </c>
      <c r="M75" s="15" t="n">
        <f aca="false">Controls!$B$7</f>
        <v>0.025</v>
      </c>
      <c r="N75" s="15" t="str">
        <f aca="false">IF(P75=1,L75*(1-M75),"")</f>
        <v/>
      </c>
      <c r="O75" s="15" t="str">
        <f aca="false">IF(P75=1,N75-Controls!$B$8,"")</f>
        <v/>
      </c>
      <c r="P75" s="32" t="n">
        <f aca="false">IF(AND(ISNUMBER(J75),ISNUMBER(K75),K75&gt;0),1,0)</f>
        <v>0</v>
      </c>
      <c r="Q75" s="16" t="str">
        <f aca="false">IF(P75=0,"UNQUANTIFIED",IF(O75&gt;=0,"CLOSE","NEGATIVE"))</f>
        <v>UNQUANTIFIED</v>
      </c>
      <c r="R75" s="33" t="s">
        <v>217</v>
      </c>
      <c r="S75" s="33" t="n">
        <v>0</v>
      </c>
      <c r="T75" s="33" t="n">
        <v>0</v>
      </c>
    </row>
    <row r="76" customFormat="false" ht="15" hidden="false" customHeight="false" outlineLevel="0" collapsed="false">
      <c r="A76" s="13" t="s">
        <v>266</v>
      </c>
      <c r="B76" s="13" t="s">
        <v>114</v>
      </c>
      <c r="C76" s="13" t="s">
        <v>16</v>
      </c>
      <c r="D76" s="13" t="s">
        <v>101</v>
      </c>
      <c r="E76" s="13" t="s">
        <v>102</v>
      </c>
      <c r="F76" s="13" t="s">
        <v>172</v>
      </c>
      <c r="G76" s="13" t="s">
        <v>173</v>
      </c>
      <c r="H76" s="13" t="s">
        <v>103</v>
      </c>
      <c r="I76" s="13" t="s">
        <v>104</v>
      </c>
      <c r="J76" s="31"/>
      <c r="K76" s="31"/>
      <c r="L76" s="15" t="str">
        <f aca="false">IF(AND(ISNUMBER(J76),ISNUMBER(K76),K76&gt;0),J76/K76,"")</f>
        <v/>
      </c>
      <c r="M76" s="15" t="n">
        <f aca="false">Controls!$B$7</f>
        <v>0.025</v>
      </c>
      <c r="N76" s="15" t="str">
        <f aca="false">IF(P76=1,L76*(1-M76),"")</f>
        <v/>
      </c>
      <c r="O76" s="15" t="str">
        <f aca="false">IF(P76=1,N76-Controls!$B$8,"")</f>
        <v/>
      </c>
      <c r="P76" s="32" t="n">
        <f aca="false">IF(AND(ISNUMBER(J76),ISNUMBER(K76),K76&gt;0),1,0)</f>
        <v>0</v>
      </c>
      <c r="Q76" s="16" t="str">
        <f aca="false">IF(P76=0,"UNQUANTIFIED",IF(O76&gt;=0,"CLOSE","NEGATIVE"))</f>
        <v>UNQUANTIFIED</v>
      </c>
      <c r="R76" s="33" t="s">
        <v>217</v>
      </c>
      <c r="S76" s="33" t="n">
        <v>0</v>
      </c>
      <c r="T76" s="33" t="n">
        <v>0</v>
      </c>
    </row>
    <row r="77" customFormat="false" ht="15" hidden="false" customHeight="false" outlineLevel="0" collapsed="false">
      <c r="A77" s="13" t="s">
        <v>267</v>
      </c>
      <c r="B77" s="13" t="s">
        <v>114</v>
      </c>
      <c r="C77" s="13" t="s">
        <v>16</v>
      </c>
      <c r="D77" s="13" t="s">
        <v>101</v>
      </c>
      <c r="E77" s="13" t="s">
        <v>102</v>
      </c>
      <c r="F77" s="13" t="s">
        <v>175</v>
      </c>
      <c r="G77" s="13" t="s">
        <v>176</v>
      </c>
      <c r="H77" s="13" t="s">
        <v>103</v>
      </c>
      <c r="I77" s="13" t="s">
        <v>104</v>
      </c>
      <c r="J77" s="31"/>
      <c r="K77" s="31" t="n">
        <v>168</v>
      </c>
      <c r="L77" s="15" t="str">
        <f aca="false">IF(AND(ISNUMBER(J77),ISNUMBER(K77),K77&gt;0),J77/K77,"")</f>
        <v/>
      </c>
      <c r="M77" s="15" t="n">
        <f aca="false">Controls!$B$7</f>
        <v>0.025</v>
      </c>
      <c r="N77" s="15" t="str">
        <f aca="false">IF(P77=1,L77*(1-M77),"")</f>
        <v/>
      </c>
      <c r="O77" s="15" t="str">
        <f aca="false">IF(P77=1,N77-Controls!$B$8,"")</f>
        <v/>
      </c>
      <c r="P77" s="32" t="n">
        <f aca="false">IF(AND(ISNUMBER(J77),ISNUMBER(K77),K77&gt;0),1,0)</f>
        <v>0</v>
      </c>
      <c r="Q77" s="16" t="str">
        <f aca="false">IF(P77=0,"UNQUANTIFIED",IF(O77&gt;=0,"CLOSE","NEGATIVE"))</f>
        <v>UNQUANTIFIED</v>
      </c>
      <c r="R77" s="33" t="s">
        <v>217</v>
      </c>
      <c r="S77" s="33" t="n">
        <v>0</v>
      </c>
      <c r="T77" s="33" t="n">
        <v>0</v>
      </c>
    </row>
    <row r="78" customFormat="false" ht="15" hidden="false" customHeight="false" outlineLevel="0" collapsed="false">
      <c r="A78" s="13" t="s">
        <v>268</v>
      </c>
      <c r="B78" s="13" t="s">
        <v>114</v>
      </c>
      <c r="C78" s="13" t="s">
        <v>16</v>
      </c>
      <c r="D78" s="13" t="s">
        <v>101</v>
      </c>
      <c r="E78" s="13" t="s">
        <v>102</v>
      </c>
      <c r="F78" s="13" t="s">
        <v>178</v>
      </c>
      <c r="G78" s="13" t="s">
        <v>179</v>
      </c>
      <c r="H78" s="13" t="s">
        <v>103</v>
      </c>
      <c r="I78" s="13" t="s">
        <v>104</v>
      </c>
      <c r="J78" s="31"/>
      <c r="K78" s="31"/>
      <c r="L78" s="15" t="str">
        <f aca="false">IF(AND(ISNUMBER(J78),ISNUMBER(K78),K78&gt;0),J78/K78,"")</f>
        <v/>
      </c>
      <c r="M78" s="15" t="n">
        <f aca="false">Controls!$B$7</f>
        <v>0.025</v>
      </c>
      <c r="N78" s="15" t="str">
        <f aca="false">IF(P78=1,L78*(1-M78),"")</f>
        <v/>
      </c>
      <c r="O78" s="15" t="str">
        <f aca="false">IF(P78=1,N78-Controls!$B$8,"")</f>
        <v/>
      </c>
      <c r="P78" s="32" t="n">
        <f aca="false">IF(AND(ISNUMBER(J78),ISNUMBER(K78),K78&gt;0),1,0)</f>
        <v>0</v>
      </c>
      <c r="Q78" s="16" t="str">
        <f aca="false">IF(P78=0,"UNQUANTIFIED",IF(O78&gt;=0,"CLOSE","NEGATIVE"))</f>
        <v>UNQUANTIFIED</v>
      </c>
      <c r="R78" s="33" t="s">
        <v>217</v>
      </c>
      <c r="S78" s="33" t="n">
        <v>0</v>
      </c>
      <c r="T78" s="33" t="n">
        <v>0</v>
      </c>
    </row>
    <row r="79" customFormat="false" ht="15" hidden="false" customHeight="false" outlineLevel="0" collapsed="false">
      <c r="A79" s="13" t="s">
        <v>269</v>
      </c>
      <c r="B79" s="13" t="s">
        <v>121</v>
      </c>
      <c r="C79" s="13" t="s">
        <v>122</v>
      </c>
      <c r="D79" s="13" t="s">
        <v>73</v>
      </c>
      <c r="E79" s="13" t="s">
        <v>74</v>
      </c>
      <c r="F79" s="13" t="s">
        <v>169</v>
      </c>
      <c r="G79" s="13" t="s">
        <v>170</v>
      </c>
      <c r="H79" s="13" t="s">
        <v>123</v>
      </c>
      <c r="I79" s="13" t="s">
        <v>76</v>
      </c>
      <c r="J79" s="31" t="n">
        <v>31075</v>
      </c>
      <c r="K79" s="31" t="n">
        <v>31075</v>
      </c>
      <c r="L79" s="15" t="n">
        <f aca="false">IF(AND(ISNUMBER(J79),ISNUMBER(K79),K79&gt;0),J79/K79,"")</f>
        <v>1</v>
      </c>
      <c r="M79" s="15" t="n">
        <f aca="false">Controls!$B$7</f>
        <v>0.025</v>
      </c>
      <c r="N79" s="15" t="n">
        <f aca="false">IF(P79=1,L79*(1-M79),"")</f>
        <v>0.975</v>
      </c>
      <c r="O79" s="15" t="n">
        <f aca="false">IF(P79=1,N79-Controls!$B$8,"")</f>
        <v>-0.025</v>
      </c>
      <c r="P79" s="32" t="n">
        <f aca="false">IF(AND(ISNUMBER(J79),ISNUMBER(K79),K79&gt;0),1,0)</f>
        <v>1</v>
      </c>
      <c r="Q79" s="16" t="str">
        <f aca="false">IF(P79=0,"UNQUANTIFIED",IF(O79&gt;=0,"CLOSE","NEGATIVE"))</f>
        <v>NEGATIVE</v>
      </c>
      <c r="R79" s="33" t="s">
        <v>124</v>
      </c>
      <c r="S79" s="33" t="n">
        <v>0</v>
      </c>
      <c r="T79" s="33" t="n">
        <v>0</v>
      </c>
    </row>
    <row r="80" customFormat="false" ht="15" hidden="false" customHeight="false" outlineLevel="0" collapsed="false">
      <c r="A80" s="13" t="s">
        <v>270</v>
      </c>
      <c r="B80" s="13" t="s">
        <v>121</v>
      </c>
      <c r="C80" s="13" t="s">
        <v>122</v>
      </c>
      <c r="D80" s="13" t="s">
        <v>73</v>
      </c>
      <c r="E80" s="13" t="s">
        <v>74</v>
      </c>
      <c r="F80" s="13" t="s">
        <v>172</v>
      </c>
      <c r="G80" s="13" t="s">
        <v>173</v>
      </c>
      <c r="H80" s="13" t="s">
        <v>123</v>
      </c>
      <c r="I80" s="13" t="s">
        <v>76</v>
      </c>
      <c r="J80" s="31"/>
      <c r="K80" s="31"/>
      <c r="L80" s="15" t="str">
        <f aca="false">IF(AND(ISNUMBER(J80),ISNUMBER(K80),K80&gt;0),J80/K80,"")</f>
        <v/>
      </c>
      <c r="M80" s="15" t="n">
        <f aca="false">Controls!$B$7</f>
        <v>0.025</v>
      </c>
      <c r="N80" s="15" t="str">
        <f aca="false">IF(P80=1,L80*(1-M80),"")</f>
        <v/>
      </c>
      <c r="O80" s="15" t="str">
        <f aca="false">IF(P80=1,N80-Controls!$B$8,"")</f>
        <v/>
      </c>
      <c r="P80" s="32" t="n">
        <f aca="false">IF(AND(ISNUMBER(J80),ISNUMBER(K80),K80&gt;0),1,0)</f>
        <v>0</v>
      </c>
      <c r="Q80" s="16" t="str">
        <f aca="false">IF(P80=0,"UNQUANTIFIED",IF(O80&gt;=0,"CLOSE","NEGATIVE"))</f>
        <v>UNQUANTIFIED</v>
      </c>
      <c r="R80" s="33" t="s">
        <v>196</v>
      </c>
      <c r="S80" s="33" t="n">
        <v>0</v>
      </c>
      <c r="T80" s="33" t="n">
        <v>0</v>
      </c>
    </row>
    <row r="81" customFormat="false" ht="15" hidden="false" customHeight="false" outlineLevel="0" collapsed="false">
      <c r="A81" s="13" t="s">
        <v>271</v>
      </c>
      <c r="B81" s="13" t="s">
        <v>121</v>
      </c>
      <c r="C81" s="13" t="s">
        <v>122</v>
      </c>
      <c r="D81" s="13" t="s">
        <v>73</v>
      </c>
      <c r="E81" s="13" t="s">
        <v>74</v>
      </c>
      <c r="F81" s="13" t="s">
        <v>175</v>
      </c>
      <c r="G81" s="13" t="s">
        <v>176</v>
      </c>
      <c r="H81" s="13" t="s">
        <v>123</v>
      </c>
      <c r="I81" s="13" t="s">
        <v>76</v>
      </c>
      <c r="J81" s="31"/>
      <c r="K81" s="31" t="n">
        <v>31075</v>
      </c>
      <c r="L81" s="15" t="str">
        <f aca="false">IF(AND(ISNUMBER(J81),ISNUMBER(K81),K81&gt;0),J81/K81,"")</f>
        <v/>
      </c>
      <c r="M81" s="15" t="n">
        <f aca="false">Controls!$B$7</f>
        <v>0.025</v>
      </c>
      <c r="N81" s="15" t="str">
        <f aca="false">IF(P81=1,L81*(1-M81),"")</f>
        <v/>
      </c>
      <c r="O81" s="15" t="str">
        <f aca="false">IF(P81=1,N81-Controls!$B$8,"")</f>
        <v/>
      </c>
      <c r="P81" s="32" t="n">
        <f aca="false">IF(AND(ISNUMBER(J81),ISNUMBER(K81),K81&gt;0),1,0)</f>
        <v>0</v>
      </c>
      <c r="Q81" s="16" t="str">
        <f aca="false">IF(P81=0,"UNQUANTIFIED",IF(O81&gt;=0,"CLOSE","NEGATIVE"))</f>
        <v>UNQUANTIFIED</v>
      </c>
      <c r="R81" s="33" t="s">
        <v>124</v>
      </c>
      <c r="S81" s="33" t="n">
        <v>0</v>
      </c>
      <c r="T81" s="33" t="n">
        <v>0</v>
      </c>
    </row>
    <row r="82" customFormat="false" ht="15" hidden="false" customHeight="false" outlineLevel="0" collapsed="false">
      <c r="A82" s="13" t="s">
        <v>272</v>
      </c>
      <c r="B82" s="13" t="s">
        <v>121</v>
      </c>
      <c r="C82" s="13" t="s">
        <v>122</v>
      </c>
      <c r="D82" s="13" t="s">
        <v>73</v>
      </c>
      <c r="E82" s="13" t="s">
        <v>74</v>
      </c>
      <c r="F82" s="13" t="s">
        <v>178</v>
      </c>
      <c r="G82" s="13" t="s">
        <v>179</v>
      </c>
      <c r="H82" s="13" t="s">
        <v>123</v>
      </c>
      <c r="I82" s="13" t="s">
        <v>76</v>
      </c>
      <c r="J82" s="31"/>
      <c r="K82" s="31"/>
      <c r="L82" s="15" t="str">
        <f aca="false">IF(AND(ISNUMBER(J82),ISNUMBER(K82),K82&gt;0),J82/K82,"")</f>
        <v/>
      </c>
      <c r="M82" s="15" t="n">
        <f aca="false">Controls!$B$7</f>
        <v>0.025</v>
      </c>
      <c r="N82" s="15" t="str">
        <f aca="false">IF(P82=1,L82*(1-M82),"")</f>
        <v/>
      </c>
      <c r="O82" s="15" t="str">
        <f aca="false">IF(P82=1,N82-Controls!$B$8,"")</f>
        <v/>
      </c>
      <c r="P82" s="32" t="n">
        <f aca="false">IF(AND(ISNUMBER(J82),ISNUMBER(K82),K82&gt;0),1,0)</f>
        <v>0</v>
      </c>
      <c r="Q82" s="16" t="str">
        <f aca="false">IF(P82=0,"UNQUANTIFIED",IF(O82&gt;=0,"CLOSE","NEGATIVE"))</f>
        <v>UNQUANTIFIED</v>
      </c>
      <c r="R82" s="33" t="s">
        <v>199</v>
      </c>
      <c r="S82" s="33" t="n">
        <v>0</v>
      </c>
      <c r="T82" s="33" t="n">
        <v>0</v>
      </c>
    </row>
    <row r="83" customFormat="false" ht="15" hidden="false" customHeight="false" outlineLevel="0" collapsed="false">
      <c r="A83" s="13" t="s">
        <v>273</v>
      </c>
      <c r="B83" s="13" t="s">
        <v>121</v>
      </c>
      <c r="C83" s="13" t="s">
        <v>122</v>
      </c>
      <c r="D83" s="13" t="s">
        <v>79</v>
      </c>
      <c r="E83" s="13" t="s">
        <v>80</v>
      </c>
      <c r="F83" s="13" t="s">
        <v>169</v>
      </c>
      <c r="G83" s="13" t="s">
        <v>170</v>
      </c>
      <c r="H83" s="13" t="s">
        <v>126</v>
      </c>
      <c r="I83" s="13" t="s">
        <v>127</v>
      </c>
      <c r="J83" s="31" t="n">
        <v>40</v>
      </c>
      <c r="K83" s="31" t="n">
        <v>37.3510416667</v>
      </c>
      <c r="L83" s="15" t="n">
        <f aca="false">IF(AND(ISNUMBER(J83),ISNUMBER(K83),K83&gt;0),J83/K83,"")</f>
        <v>1.07092060127634</v>
      </c>
      <c r="M83" s="15" t="n">
        <f aca="false">Controls!$B$7</f>
        <v>0.025</v>
      </c>
      <c r="N83" s="15" t="n">
        <f aca="false">IF(P83=1,L83*(1-M83),"")</f>
        <v>1.04414758624443</v>
      </c>
      <c r="O83" s="15" t="n">
        <f aca="false">IF(P83=1,N83-Controls!$B$8,"")</f>
        <v>0.0441475862444316</v>
      </c>
      <c r="P83" s="32" t="n">
        <f aca="false">IF(AND(ISNUMBER(J83),ISNUMBER(K83),K83&gt;0),1,0)</f>
        <v>1</v>
      </c>
      <c r="Q83" s="16" t="str">
        <f aca="false">IF(P83=0,"UNQUANTIFIED",IF(O83&gt;=0,"CLOSE","NEGATIVE"))</f>
        <v>CLOSE</v>
      </c>
      <c r="R83" s="33" t="s">
        <v>128</v>
      </c>
      <c r="S83" s="33" t="n">
        <v>0</v>
      </c>
      <c r="T83" s="33" t="n">
        <v>0</v>
      </c>
    </row>
    <row r="84" customFormat="false" ht="15" hidden="false" customHeight="false" outlineLevel="0" collapsed="false">
      <c r="A84" s="13" t="s">
        <v>274</v>
      </c>
      <c r="B84" s="13" t="s">
        <v>121</v>
      </c>
      <c r="C84" s="13" t="s">
        <v>122</v>
      </c>
      <c r="D84" s="13" t="s">
        <v>79</v>
      </c>
      <c r="E84" s="13" t="s">
        <v>80</v>
      </c>
      <c r="F84" s="13" t="s">
        <v>172</v>
      </c>
      <c r="G84" s="13" t="s">
        <v>173</v>
      </c>
      <c r="H84" s="13" t="s">
        <v>126</v>
      </c>
      <c r="I84" s="13" t="s">
        <v>127</v>
      </c>
      <c r="J84" s="31"/>
      <c r="K84" s="31"/>
      <c r="L84" s="15" t="str">
        <f aca="false">IF(AND(ISNUMBER(J84),ISNUMBER(K84),K84&gt;0),J84/K84,"")</f>
        <v/>
      </c>
      <c r="M84" s="15" t="n">
        <f aca="false">Controls!$B$7</f>
        <v>0.025</v>
      </c>
      <c r="N84" s="15" t="str">
        <f aca="false">IF(P84=1,L84*(1-M84),"")</f>
        <v/>
      </c>
      <c r="O84" s="15" t="str">
        <f aca="false">IF(P84=1,N84-Controls!$B$8,"")</f>
        <v/>
      </c>
      <c r="P84" s="32" t="n">
        <f aca="false">IF(AND(ISNUMBER(J84),ISNUMBER(K84),K84&gt;0),1,0)</f>
        <v>0</v>
      </c>
      <c r="Q84" s="16" t="str">
        <f aca="false">IF(P84=0,"UNQUANTIFIED",IF(O84&gt;=0,"CLOSE","NEGATIVE"))</f>
        <v>UNQUANTIFIED</v>
      </c>
      <c r="R84" s="33" t="s">
        <v>196</v>
      </c>
      <c r="S84" s="33" t="n">
        <v>0</v>
      </c>
      <c r="T84" s="33" t="n">
        <v>0</v>
      </c>
    </row>
    <row r="85" customFormat="false" ht="15" hidden="false" customHeight="false" outlineLevel="0" collapsed="false">
      <c r="A85" s="13" t="s">
        <v>275</v>
      </c>
      <c r="B85" s="13" t="s">
        <v>121</v>
      </c>
      <c r="C85" s="13" t="s">
        <v>122</v>
      </c>
      <c r="D85" s="13" t="s">
        <v>79</v>
      </c>
      <c r="E85" s="13" t="s">
        <v>80</v>
      </c>
      <c r="F85" s="13" t="s">
        <v>175</v>
      </c>
      <c r="G85" s="13" t="s">
        <v>176</v>
      </c>
      <c r="H85" s="13" t="s">
        <v>126</v>
      </c>
      <c r="I85" s="13" t="s">
        <v>127</v>
      </c>
      <c r="J85" s="31" t="n">
        <v>0</v>
      </c>
      <c r="K85" s="31" t="n">
        <v>37.3510416667</v>
      </c>
      <c r="L85" s="15" t="n">
        <f aca="false">IF(AND(ISNUMBER(J85),ISNUMBER(K85),K85&gt;0),J85/K85,"")</f>
        <v>0</v>
      </c>
      <c r="M85" s="15" t="n">
        <f aca="false">Controls!$B$7</f>
        <v>0.025</v>
      </c>
      <c r="N85" s="15" t="n">
        <f aca="false">IF(P85=1,L85*(1-M85),"")</f>
        <v>0</v>
      </c>
      <c r="O85" s="15" t="n">
        <f aca="false">IF(P85=1,N85-Controls!$B$8,"")</f>
        <v>-1</v>
      </c>
      <c r="P85" s="32" t="n">
        <f aca="false">IF(AND(ISNUMBER(J85),ISNUMBER(K85),K85&gt;0),1,0)</f>
        <v>1</v>
      </c>
      <c r="Q85" s="16" t="str">
        <f aca="false">IF(P85=0,"UNQUANTIFIED",IF(O85&gt;=0,"CLOSE","NEGATIVE"))</f>
        <v>NEGATIVE</v>
      </c>
      <c r="R85" s="33" t="s">
        <v>128</v>
      </c>
      <c r="S85" s="33" t="n">
        <v>0</v>
      </c>
      <c r="T85" s="33" t="n">
        <v>0</v>
      </c>
    </row>
    <row r="86" customFormat="false" ht="15" hidden="false" customHeight="false" outlineLevel="0" collapsed="false">
      <c r="A86" s="13" t="s">
        <v>276</v>
      </c>
      <c r="B86" s="13" t="s">
        <v>121</v>
      </c>
      <c r="C86" s="13" t="s">
        <v>122</v>
      </c>
      <c r="D86" s="13" t="s">
        <v>79</v>
      </c>
      <c r="E86" s="13" t="s">
        <v>80</v>
      </c>
      <c r="F86" s="13" t="s">
        <v>178</v>
      </c>
      <c r="G86" s="13" t="s">
        <v>179</v>
      </c>
      <c r="H86" s="13" t="s">
        <v>126</v>
      </c>
      <c r="I86" s="13" t="s">
        <v>127</v>
      </c>
      <c r="J86" s="31"/>
      <c r="K86" s="31"/>
      <c r="L86" s="15" t="str">
        <f aca="false">IF(AND(ISNUMBER(J86),ISNUMBER(K86),K86&gt;0),J86/K86,"")</f>
        <v/>
      </c>
      <c r="M86" s="15" t="n">
        <f aca="false">Controls!$B$7</f>
        <v>0.025</v>
      </c>
      <c r="N86" s="15" t="str">
        <f aca="false">IF(P86=1,L86*(1-M86),"")</f>
        <v/>
      </c>
      <c r="O86" s="15" t="str">
        <f aca="false">IF(P86=1,N86-Controls!$B$8,"")</f>
        <v/>
      </c>
      <c r="P86" s="32" t="n">
        <f aca="false">IF(AND(ISNUMBER(J86),ISNUMBER(K86),K86&gt;0),1,0)</f>
        <v>0</v>
      </c>
      <c r="Q86" s="16" t="str">
        <f aca="false">IF(P86=0,"UNQUANTIFIED",IF(O86&gt;=0,"CLOSE","NEGATIVE"))</f>
        <v>UNQUANTIFIED</v>
      </c>
      <c r="R86" s="33" t="s">
        <v>199</v>
      </c>
      <c r="S86" s="33" t="n">
        <v>0</v>
      </c>
      <c r="T86" s="33" t="n">
        <v>0</v>
      </c>
    </row>
    <row r="87" customFormat="false" ht="15" hidden="false" customHeight="false" outlineLevel="0" collapsed="false">
      <c r="A87" s="13" t="s">
        <v>277</v>
      </c>
      <c r="B87" s="13" t="s">
        <v>121</v>
      </c>
      <c r="C87" s="13" t="s">
        <v>122</v>
      </c>
      <c r="D87" s="13" t="s">
        <v>85</v>
      </c>
      <c r="E87" s="13" t="s">
        <v>86</v>
      </c>
      <c r="F87" s="13" t="s">
        <v>169</v>
      </c>
      <c r="G87" s="13" t="s">
        <v>170</v>
      </c>
      <c r="H87" s="13" t="s">
        <v>130</v>
      </c>
      <c r="I87" s="13" t="s">
        <v>131</v>
      </c>
      <c r="J87" s="31" t="n">
        <v>30</v>
      </c>
      <c r="K87" s="31" t="n">
        <v>30</v>
      </c>
      <c r="L87" s="15" t="n">
        <f aca="false">IF(AND(ISNUMBER(J87),ISNUMBER(K87),K87&gt;0),J87/K87,"")</f>
        <v>1</v>
      </c>
      <c r="M87" s="15" t="n">
        <f aca="false">Controls!$B$7</f>
        <v>0.025</v>
      </c>
      <c r="N87" s="15" t="n">
        <f aca="false">IF(P87=1,L87*(1-M87),"")</f>
        <v>0.975</v>
      </c>
      <c r="O87" s="15" t="n">
        <f aca="false">IF(P87=1,N87-Controls!$B$8,"")</f>
        <v>-0.025</v>
      </c>
      <c r="P87" s="32" t="n">
        <f aca="false">IF(AND(ISNUMBER(J87),ISNUMBER(K87),K87&gt;0),1,0)</f>
        <v>1</v>
      </c>
      <c r="Q87" s="16" t="str">
        <f aca="false">IF(P87=0,"UNQUANTIFIED",IF(O87&gt;=0,"CLOSE","NEGATIVE"))</f>
        <v>NEGATIVE</v>
      </c>
      <c r="R87" s="33" t="s">
        <v>105</v>
      </c>
      <c r="S87" s="33" t="n">
        <v>0</v>
      </c>
      <c r="T87" s="33" t="n">
        <v>0</v>
      </c>
    </row>
    <row r="88" customFormat="false" ht="15" hidden="false" customHeight="false" outlineLevel="0" collapsed="false">
      <c r="A88" s="13" t="s">
        <v>278</v>
      </c>
      <c r="B88" s="13" t="s">
        <v>121</v>
      </c>
      <c r="C88" s="13" t="s">
        <v>122</v>
      </c>
      <c r="D88" s="13" t="s">
        <v>85</v>
      </c>
      <c r="E88" s="13" t="s">
        <v>86</v>
      </c>
      <c r="F88" s="13" t="s">
        <v>172</v>
      </c>
      <c r="G88" s="13" t="s">
        <v>173</v>
      </c>
      <c r="H88" s="13" t="s">
        <v>130</v>
      </c>
      <c r="I88" s="13" t="s">
        <v>131</v>
      </c>
      <c r="J88" s="31"/>
      <c r="K88" s="31"/>
      <c r="L88" s="15" t="str">
        <f aca="false">IF(AND(ISNUMBER(J88),ISNUMBER(K88),K88&gt;0),J88/K88,"")</f>
        <v/>
      </c>
      <c r="M88" s="15" t="n">
        <f aca="false">Controls!$B$7</f>
        <v>0.025</v>
      </c>
      <c r="N88" s="15" t="str">
        <f aca="false">IF(P88=1,L88*(1-M88),"")</f>
        <v/>
      </c>
      <c r="O88" s="15" t="str">
        <f aca="false">IF(P88=1,N88-Controls!$B$8,"")</f>
        <v/>
      </c>
      <c r="P88" s="32" t="n">
        <f aca="false">IF(AND(ISNUMBER(J88),ISNUMBER(K88),K88&gt;0),1,0)</f>
        <v>0</v>
      </c>
      <c r="Q88" s="16" t="str">
        <f aca="false">IF(P88=0,"UNQUANTIFIED",IF(O88&gt;=0,"CLOSE","NEGATIVE"))</f>
        <v>UNQUANTIFIED</v>
      </c>
      <c r="R88" s="33" t="s">
        <v>196</v>
      </c>
      <c r="S88" s="33" t="n">
        <v>0</v>
      </c>
      <c r="T88" s="33" t="n">
        <v>0</v>
      </c>
    </row>
    <row r="89" customFormat="false" ht="15" hidden="false" customHeight="false" outlineLevel="0" collapsed="false">
      <c r="A89" s="13" t="s">
        <v>279</v>
      </c>
      <c r="B89" s="13" t="s">
        <v>121</v>
      </c>
      <c r="C89" s="13" t="s">
        <v>122</v>
      </c>
      <c r="D89" s="13" t="s">
        <v>85</v>
      </c>
      <c r="E89" s="13" t="s">
        <v>86</v>
      </c>
      <c r="F89" s="13" t="s">
        <v>175</v>
      </c>
      <c r="G89" s="13" t="s">
        <v>176</v>
      </c>
      <c r="H89" s="13" t="s">
        <v>130</v>
      </c>
      <c r="I89" s="13" t="s">
        <v>131</v>
      </c>
      <c r="J89" s="31" t="n">
        <v>15</v>
      </c>
      <c r="K89" s="31" t="n">
        <v>15</v>
      </c>
      <c r="L89" s="15" t="n">
        <f aca="false">IF(AND(ISNUMBER(J89),ISNUMBER(K89),K89&gt;0),J89/K89,"")</f>
        <v>1</v>
      </c>
      <c r="M89" s="15" t="n">
        <f aca="false">Controls!$B$7</f>
        <v>0.025</v>
      </c>
      <c r="N89" s="15" t="n">
        <f aca="false">IF(P89=1,L89*(1-M89),"")</f>
        <v>0.975</v>
      </c>
      <c r="O89" s="15" t="n">
        <f aca="false">IF(P89=1,N89-Controls!$B$8,"")</f>
        <v>-0.025</v>
      </c>
      <c r="P89" s="32" t="n">
        <f aca="false">IF(AND(ISNUMBER(J89),ISNUMBER(K89),K89&gt;0),1,0)</f>
        <v>1</v>
      </c>
      <c r="Q89" s="16" t="str">
        <f aca="false">IF(P89=0,"UNQUANTIFIED",IF(O89&gt;=0,"CLOSE","NEGATIVE"))</f>
        <v>NEGATIVE</v>
      </c>
      <c r="R89" s="33" t="s">
        <v>105</v>
      </c>
      <c r="S89" s="33" t="n">
        <v>0</v>
      </c>
      <c r="T89" s="33" t="n">
        <v>0</v>
      </c>
    </row>
    <row r="90" customFormat="false" ht="15" hidden="false" customHeight="false" outlineLevel="0" collapsed="false">
      <c r="A90" s="13" t="s">
        <v>280</v>
      </c>
      <c r="B90" s="13" t="s">
        <v>121</v>
      </c>
      <c r="C90" s="13" t="s">
        <v>122</v>
      </c>
      <c r="D90" s="13" t="s">
        <v>85</v>
      </c>
      <c r="E90" s="13" t="s">
        <v>86</v>
      </c>
      <c r="F90" s="13" t="s">
        <v>178</v>
      </c>
      <c r="G90" s="13" t="s">
        <v>179</v>
      </c>
      <c r="H90" s="13" t="s">
        <v>130</v>
      </c>
      <c r="I90" s="13" t="s">
        <v>131</v>
      </c>
      <c r="J90" s="31"/>
      <c r="K90" s="31"/>
      <c r="L90" s="15" t="str">
        <f aca="false">IF(AND(ISNUMBER(J90),ISNUMBER(K90),K90&gt;0),J90/K90,"")</f>
        <v/>
      </c>
      <c r="M90" s="15" t="n">
        <f aca="false">Controls!$B$7</f>
        <v>0.025</v>
      </c>
      <c r="N90" s="15" t="str">
        <f aca="false">IF(P90=1,L90*(1-M90),"")</f>
        <v/>
      </c>
      <c r="O90" s="15" t="str">
        <f aca="false">IF(P90=1,N90-Controls!$B$8,"")</f>
        <v/>
      </c>
      <c r="P90" s="32" t="n">
        <f aca="false">IF(AND(ISNUMBER(J90),ISNUMBER(K90),K90&gt;0),1,0)</f>
        <v>0</v>
      </c>
      <c r="Q90" s="16" t="str">
        <f aca="false">IF(P90=0,"UNQUANTIFIED",IF(O90&gt;=0,"CLOSE","NEGATIVE"))</f>
        <v>UNQUANTIFIED</v>
      </c>
      <c r="R90" s="33" t="s">
        <v>199</v>
      </c>
      <c r="S90" s="33" t="n">
        <v>0</v>
      </c>
      <c r="T90" s="33" t="n">
        <v>0</v>
      </c>
    </row>
    <row r="91" customFormat="false" ht="15" hidden="false" customHeight="false" outlineLevel="0" collapsed="false">
      <c r="A91" s="13" t="s">
        <v>281</v>
      </c>
      <c r="B91" s="13" t="s">
        <v>121</v>
      </c>
      <c r="C91" s="13" t="s">
        <v>122</v>
      </c>
      <c r="D91" s="13" t="s">
        <v>90</v>
      </c>
      <c r="E91" s="13" t="s">
        <v>91</v>
      </c>
      <c r="F91" s="13" t="s">
        <v>169</v>
      </c>
      <c r="G91" s="13" t="s">
        <v>170</v>
      </c>
      <c r="H91" s="13" t="s">
        <v>133</v>
      </c>
      <c r="I91" s="13" t="s">
        <v>36</v>
      </c>
      <c r="J91" s="31" t="n">
        <v>1</v>
      </c>
      <c r="K91" s="31" t="n">
        <v>1</v>
      </c>
      <c r="L91" s="15" t="n">
        <f aca="false">IF(AND(ISNUMBER(J91),ISNUMBER(K91),K91&gt;0),J91/K91,"")</f>
        <v>1</v>
      </c>
      <c r="M91" s="15" t="n">
        <f aca="false">Controls!$B$7</f>
        <v>0.025</v>
      </c>
      <c r="N91" s="15" t="n">
        <f aca="false">IF(P91=1,L91*(1-M91),"")</f>
        <v>0.975</v>
      </c>
      <c r="O91" s="15" t="n">
        <f aca="false">IF(P91=1,N91-Controls!$B$8,"")</f>
        <v>-0.025</v>
      </c>
      <c r="P91" s="32" t="n">
        <f aca="false">IF(AND(ISNUMBER(J91),ISNUMBER(K91),K91&gt;0),1,0)</f>
        <v>1</v>
      </c>
      <c r="Q91" s="16" t="str">
        <f aca="false">IF(P91=0,"UNQUANTIFIED",IF(O91&gt;=0,"CLOSE","NEGATIVE"))</f>
        <v>NEGATIVE</v>
      </c>
      <c r="R91" s="33" t="s">
        <v>105</v>
      </c>
      <c r="S91" s="33" t="n">
        <v>0</v>
      </c>
      <c r="T91" s="33" t="n">
        <v>0</v>
      </c>
    </row>
    <row r="92" customFormat="false" ht="15" hidden="false" customHeight="false" outlineLevel="0" collapsed="false">
      <c r="A92" s="13" t="s">
        <v>282</v>
      </c>
      <c r="B92" s="13" t="s">
        <v>121</v>
      </c>
      <c r="C92" s="13" t="s">
        <v>122</v>
      </c>
      <c r="D92" s="13" t="s">
        <v>90</v>
      </c>
      <c r="E92" s="13" t="s">
        <v>91</v>
      </c>
      <c r="F92" s="13" t="s">
        <v>172</v>
      </c>
      <c r="G92" s="13" t="s">
        <v>173</v>
      </c>
      <c r="H92" s="13" t="s">
        <v>133</v>
      </c>
      <c r="I92" s="13" t="s">
        <v>36</v>
      </c>
      <c r="J92" s="31"/>
      <c r="K92" s="31"/>
      <c r="L92" s="15" t="str">
        <f aca="false">IF(AND(ISNUMBER(J92),ISNUMBER(K92),K92&gt;0),J92/K92,"")</f>
        <v/>
      </c>
      <c r="M92" s="15" t="n">
        <f aca="false">Controls!$B$7</f>
        <v>0.025</v>
      </c>
      <c r="N92" s="15" t="str">
        <f aca="false">IF(P92=1,L92*(1-M92),"")</f>
        <v/>
      </c>
      <c r="O92" s="15" t="str">
        <f aca="false">IF(P92=1,N92-Controls!$B$8,"")</f>
        <v/>
      </c>
      <c r="P92" s="32" t="n">
        <f aca="false">IF(AND(ISNUMBER(J92),ISNUMBER(K92),K92&gt;0),1,0)</f>
        <v>0</v>
      </c>
      <c r="Q92" s="16" t="str">
        <f aca="false">IF(P92=0,"UNQUANTIFIED",IF(O92&gt;=0,"CLOSE","NEGATIVE"))</f>
        <v>UNQUANTIFIED</v>
      </c>
      <c r="R92" s="33" t="s">
        <v>196</v>
      </c>
      <c r="S92" s="33" t="n">
        <v>0</v>
      </c>
      <c r="T92" s="33" t="n">
        <v>0</v>
      </c>
    </row>
    <row r="93" customFormat="false" ht="15" hidden="false" customHeight="false" outlineLevel="0" collapsed="false">
      <c r="A93" s="13" t="s">
        <v>283</v>
      </c>
      <c r="B93" s="13" t="s">
        <v>121</v>
      </c>
      <c r="C93" s="13" t="s">
        <v>122</v>
      </c>
      <c r="D93" s="13" t="s">
        <v>90</v>
      </c>
      <c r="E93" s="13" t="s">
        <v>91</v>
      </c>
      <c r="F93" s="13" t="s">
        <v>175</v>
      </c>
      <c r="G93" s="13" t="s">
        <v>176</v>
      </c>
      <c r="H93" s="13" t="s">
        <v>133</v>
      </c>
      <c r="I93" s="13" t="s">
        <v>36</v>
      </c>
      <c r="J93" s="31" t="n">
        <v>0</v>
      </c>
      <c r="K93" s="31" t="n">
        <v>1</v>
      </c>
      <c r="L93" s="15" t="n">
        <f aca="false">IF(AND(ISNUMBER(J93),ISNUMBER(K93),K93&gt;0),J93/K93,"")</f>
        <v>0</v>
      </c>
      <c r="M93" s="15" t="n">
        <f aca="false">Controls!$B$7</f>
        <v>0.025</v>
      </c>
      <c r="N93" s="15" t="n">
        <f aca="false">IF(P93=1,L93*(1-M93),"")</f>
        <v>0</v>
      </c>
      <c r="O93" s="15" t="n">
        <f aca="false">IF(P93=1,N93-Controls!$B$8,"")</f>
        <v>-1</v>
      </c>
      <c r="P93" s="32" t="n">
        <f aca="false">IF(AND(ISNUMBER(J93),ISNUMBER(K93),K93&gt;0),1,0)</f>
        <v>1</v>
      </c>
      <c r="Q93" s="16" t="str">
        <f aca="false">IF(P93=0,"UNQUANTIFIED",IF(O93&gt;=0,"CLOSE","NEGATIVE"))</f>
        <v>NEGATIVE</v>
      </c>
      <c r="R93" s="33" t="s">
        <v>105</v>
      </c>
      <c r="S93" s="33" t="n">
        <v>0</v>
      </c>
      <c r="T93" s="33" t="n">
        <v>0</v>
      </c>
    </row>
    <row r="94" customFormat="false" ht="15" hidden="false" customHeight="false" outlineLevel="0" collapsed="false">
      <c r="A94" s="13" t="s">
        <v>284</v>
      </c>
      <c r="B94" s="13" t="s">
        <v>121</v>
      </c>
      <c r="C94" s="13" t="s">
        <v>122</v>
      </c>
      <c r="D94" s="13" t="s">
        <v>90</v>
      </c>
      <c r="E94" s="13" t="s">
        <v>91</v>
      </c>
      <c r="F94" s="13" t="s">
        <v>178</v>
      </c>
      <c r="G94" s="13" t="s">
        <v>179</v>
      </c>
      <c r="H94" s="13" t="s">
        <v>133</v>
      </c>
      <c r="I94" s="13" t="s">
        <v>36</v>
      </c>
      <c r="J94" s="31"/>
      <c r="K94" s="31"/>
      <c r="L94" s="15" t="str">
        <f aca="false">IF(AND(ISNUMBER(J94),ISNUMBER(K94),K94&gt;0),J94/K94,"")</f>
        <v/>
      </c>
      <c r="M94" s="15" t="n">
        <f aca="false">Controls!$B$7</f>
        <v>0.025</v>
      </c>
      <c r="N94" s="15" t="str">
        <f aca="false">IF(P94=1,L94*(1-M94),"")</f>
        <v/>
      </c>
      <c r="O94" s="15" t="str">
        <f aca="false">IF(P94=1,N94-Controls!$B$8,"")</f>
        <v/>
      </c>
      <c r="P94" s="32" t="n">
        <f aca="false">IF(AND(ISNUMBER(J94),ISNUMBER(K94),K94&gt;0),1,0)</f>
        <v>0</v>
      </c>
      <c r="Q94" s="16" t="str">
        <f aca="false">IF(P94=0,"UNQUANTIFIED",IF(O94&gt;=0,"CLOSE","NEGATIVE"))</f>
        <v>UNQUANTIFIED</v>
      </c>
      <c r="R94" s="33" t="s">
        <v>199</v>
      </c>
      <c r="S94" s="33" t="n">
        <v>0</v>
      </c>
      <c r="T94" s="33" t="n">
        <v>0</v>
      </c>
    </row>
    <row r="95" customFormat="false" ht="15" hidden="false" customHeight="false" outlineLevel="0" collapsed="false">
      <c r="A95" s="13" t="s">
        <v>285</v>
      </c>
      <c r="B95" s="13" t="s">
        <v>121</v>
      </c>
      <c r="C95" s="13" t="s">
        <v>122</v>
      </c>
      <c r="D95" s="13" t="s">
        <v>95</v>
      </c>
      <c r="E95" s="13" t="s">
        <v>96</v>
      </c>
      <c r="F95" s="13" t="s">
        <v>169</v>
      </c>
      <c r="G95" s="13" t="s">
        <v>170</v>
      </c>
      <c r="H95" s="13" t="s">
        <v>135</v>
      </c>
      <c r="I95" s="13" t="s">
        <v>136</v>
      </c>
      <c r="J95" s="31" t="n">
        <v>20000</v>
      </c>
      <c r="K95" s="31" t="n">
        <v>20000</v>
      </c>
      <c r="L95" s="15" t="n">
        <f aca="false">IF(AND(ISNUMBER(J95),ISNUMBER(K95),K95&gt;0),J95/K95,"")</f>
        <v>1</v>
      </c>
      <c r="M95" s="15" t="n">
        <f aca="false">Controls!$B$7</f>
        <v>0.025</v>
      </c>
      <c r="N95" s="15" t="n">
        <f aca="false">IF(P95=1,L95*(1-M95),"")</f>
        <v>0.975</v>
      </c>
      <c r="O95" s="15" t="n">
        <f aca="false">IF(P95=1,N95-Controls!$B$8,"")</f>
        <v>-0.025</v>
      </c>
      <c r="P95" s="32" t="n">
        <f aca="false">IF(AND(ISNUMBER(J95),ISNUMBER(K95),K95&gt;0),1,0)</f>
        <v>1</v>
      </c>
      <c r="Q95" s="16" t="str">
        <f aca="false">IF(P95=0,"UNQUANTIFIED",IF(O95&gt;=0,"CLOSE","NEGATIVE"))</f>
        <v>NEGATIVE</v>
      </c>
      <c r="R95" s="33" t="s">
        <v>105</v>
      </c>
      <c r="S95" s="33" t="n">
        <v>0</v>
      </c>
      <c r="T95" s="33" t="n">
        <v>0</v>
      </c>
    </row>
    <row r="96" customFormat="false" ht="15" hidden="false" customHeight="false" outlineLevel="0" collapsed="false">
      <c r="A96" s="13" t="s">
        <v>286</v>
      </c>
      <c r="B96" s="13" t="s">
        <v>121</v>
      </c>
      <c r="C96" s="13" t="s">
        <v>122</v>
      </c>
      <c r="D96" s="13" t="s">
        <v>95</v>
      </c>
      <c r="E96" s="13" t="s">
        <v>96</v>
      </c>
      <c r="F96" s="13" t="s">
        <v>172</v>
      </c>
      <c r="G96" s="13" t="s">
        <v>173</v>
      </c>
      <c r="H96" s="13" t="s">
        <v>135</v>
      </c>
      <c r="I96" s="13" t="s">
        <v>136</v>
      </c>
      <c r="J96" s="31"/>
      <c r="K96" s="31"/>
      <c r="L96" s="15" t="str">
        <f aca="false">IF(AND(ISNUMBER(J96),ISNUMBER(K96),K96&gt;0),J96/K96,"")</f>
        <v/>
      </c>
      <c r="M96" s="15" t="n">
        <f aca="false">Controls!$B$7</f>
        <v>0.025</v>
      </c>
      <c r="N96" s="15" t="str">
        <f aca="false">IF(P96=1,L96*(1-M96),"")</f>
        <v/>
      </c>
      <c r="O96" s="15" t="str">
        <f aca="false">IF(P96=1,N96-Controls!$B$8,"")</f>
        <v/>
      </c>
      <c r="P96" s="32" t="n">
        <f aca="false">IF(AND(ISNUMBER(J96),ISNUMBER(K96),K96&gt;0),1,0)</f>
        <v>0</v>
      </c>
      <c r="Q96" s="16" t="str">
        <f aca="false">IF(P96=0,"UNQUANTIFIED",IF(O96&gt;=0,"CLOSE","NEGATIVE"))</f>
        <v>UNQUANTIFIED</v>
      </c>
      <c r="R96" s="33" t="s">
        <v>196</v>
      </c>
      <c r="S96" s="33" t="n">
        <v>0</v>
      </c>
      <c r="T96" s="33" t="n">
        <v>0</v>
      </c>
    </row>
    <row r="97" customFormat="false" ht="15" hidden="false" customHeight="false" outlineLevel="0" collapsed="false">
      <c r="A97" s="13" t="s">
        <v>287</v>
      </c>
      <c r="B97" s="13" t="s">
        <v>121</v>
      </c>
      <c r="C97" s="13" t="s">
        <v>122</v>
      </c>
      <c r="D97" s="13" t="s">
        <v>95</v>
      </c>
      <c r="E97" s="13" t="s">
        <v>96</v>
      </c>
      <c r="F97" s="13" t="s">
        <v>175</v>
      </c>
      <c r="G97" s="13" t="s">
        <v>176</v>
      </c>
      <c r="H97" s="13" t="s">
        <v>135</v>
      </c>
      <c r="I97" s="13" t="s">
        <v>136</v>
      </c>
      <c r="J97" s="31" t="n">
        <v>0</v>
      </c>
      <c r="K97" s="31" t="n">
        <v>20000</v>
      </c>
      <c r="L97" s="15" t="n">
        <f aca="false">IF(AND(ISNUMBER(J97),ISNUMBER(K97),K97&gt;0),J97/K97,"")</f>
        <v>0</v>
      </c>
      <c r="M97" s="15" t="n">
        <f aca="false">Controls!$B$7</f>
        <v>0.025</v>
      </c>
      <c r="N97" s="15" t="n">
        <f aca="false">IF(P97=1,L97*(1-M97),"")</f>
        <v>0</v>
      </c>
      <c r="O97" s="15" t="n">
        <f aca="false">IF(P97=1,N97-Controls!$B$8,"")</f>
        <v>-1</v>
      </c>
      <c r="P97" s="32" t="n">
        <f aca="false">IF(AND(ISNUMBER(J97),ISNUMBER(K97),K97&gt;0),1,0)</f>
        <v>1</v>
      </c>
      <c r="Q97" s="16" t="str">
        <f aca="false">IF(P97=0,"UNQUANTIFIED",IF(O97&gt;=0,"CLOSE","NEGATIVE"))</f>
        <v>NEGATIVE</v>
      </c>
      <c r="R97" s="33" t="s">
        <v>105</v>
      </c>
      <c r="S97" s="33" t="n">
        <v>0</v>
      </c>
      <c r="T97" s="33" t="n">
        <v>0</v>
      </c>
    </row>
    <row r="98" customFormat="false" ht="15" hidden="false" customHeight="false" outlineLevel="0" collapsed="false">
      <c r="A98" s="13" t="s">
        <v>288</v>
      </c>
      <c r="B98" s="13" t="s">
        <v>121</v>
      </c>
      <c r="C98" s="13" t="s">
        <v>122</v>
      </c>
      <c r="D98" s="13" t="s">
        <v>95</v>
      </c>
      <c r="E98" s="13" t="s">
        <v>96</v>
      </c>
      <c r="F98" s="13" t="s">
        <v>178</v>
      </c>
      <c r="G98" s="13" t="s">
        <v>179</v>
      </c>
      <c r="H98" s="13" t="s">
        <v>135</v>
      </c>
      <c r="I98" s="13" t="s">
        <v>136</v>
      </c>
      <c r="J98" s="31"/>
      <c r="K98" s="31"/>
      <c r="L98" s="15" t="str">
        <f aca="false">IF(AND(ISNUMBER(J98),ISNUMBER(K98),K98&gt;0),J98/K98,"")</f>
        <v/>
      </c>
      <c r="M98" s="15" t="n">
        <f aca="false">Controls!$B$7</f>
        <v>0.025</v>
      </c>
      <c r="N98" s="15" t="str">
        <f aca="false">IF(P98=1,L98*(1-M98),"")</f>
        <v/>
      </c>
      <c r="O98" s="15" t="str">
        <f aca="false">IF(P98=1,N98-Controls!$B$8,"")</f>
        <v/>
      </c>
      <c r="P98" s="32" t="n">
        <f aca="false">IF(AND(ISNUMBER(J98),ISNUMBER(K98),K98&gt;0),1,0)</f>
        <v>0</v>
      </c>
      <c r="Q98" s="16" t="str">
        <f aca="false">IF(P98=0,"UNQUANTIFIED",IF(O98&gt;=0,"CLOSE","NEGATIVE"))</f>
        <v>UNQUANTIFIED</v>
      </c>
      <c r="R98" s="33" t="s">
        <v>199</v>
      </c>
      <c r="S98" s="33" t="n">
        <v>0</v>
      </c>
      <c r="T98" s="33" t="n">
        <v>0</v>
      </c>
    </row>
    <row r="99" customFormat="false" ht="15" hidden="false" customHeight="false" outlineLevel="0" collapsed="false">
      <c r="A99" s="13" t="s">
        <v>289</v>
      </c>
      <c r="B99" s="13" t="s">
        <v>121</v>
      </c>
      <c r="C99" s="13" t="s">
        <v>122</v>
      </c>
      <c r="D99" s="13" t="s">
        <v>101</v>
      </c>
      <c r="E99" s="13" t="s">
        <v>102</v>
      </c>
      <c r="F99" s="13" t="s">
        <v>169</v>
      </c>
      <c r="G99" s="13" t="s">
        <v>170</v>
      </c>
      <c r="H99" s="13" t="s">
        <v>103</v>
      </c>
      <c r="I99" s="13" t="s">
        <v>104</v>
      </c>
      <c r="J99" s="31"/>
      <c r="K99" s="31" t="n">
        <v>168</v>
      </c>
      <c r="L99" s="15" t="str">
        <f aca="false">IF(AND(ISNUMBER(J99),ISNUMBER(K99),K99&gt;0),J99/K99,"")</f>
        <v/>
      </c>
      <c r="M99" s="15" t="n">
        <f aca="false">Controls!$B$7</f>
        <v>0.025</v>
      </c>
      <c r="N99" s="15" t="str">
        <f aca="false">IF(P99=1,L99*(1-M99),"")</f>
        <v/>
      </c>
      <c r="O99" s="15" t="str">
        <f aca="false">IF(P99=1,N99-Controls!$B$8,"")</f>
        <v/>
      </c>
      <c r="P99" s="32" t="n">
        <f aca="false">IF(AND(ISNUMBER(J99),ISNUMBER(K99),K99&gt;0),1,0)</f>
        <v>0</v>
      </c>
      <c r="Q99" s="16" t="str">
        <f aca="false">IF(P99=0,"UNQUANTIFIED",IF(O99&gt;=0,"CLOSE","NEGATIVE"))</f>
        <v>UNQUANTIFIED</v>
      </c>
      <c r="R99" s="33" t="s">
        <v>217</v>
      </c>
      <c r="S99" s="33" t="n">
        <v>0</v>
      </c>
      <c r="T99" s="33" t="n">
        <v>0</v>
      </c>
    </row>
    <row r="100" customFormat="false" ht="15" hidden="false" customHeight="false" outlineLevel="0" collapsed="false">
      <c r="A100" s="13" t="s">
        <v>290</v>
      </c>
      <c r="B100" s="13" t="s">
        <v>121</v>
      </c>
      <c r="C100" s="13" t="s">
        <v>122</v>
      </c>
      <c r="D100" s="13" t="s">
        <v>101</v>
      </c>
      <c r="E100" s="13" t="s">
        <v>102</v>
      </c>
      <c r="F100" s="13" t="s">
        <v>172</v>
      </c>
      <c r="G100" s="13" t="s">
        <v>173</v>
      </c>
      <c r="H100" s="13" t="s">
        <v>103</v>
      </c>
      <c r="I100" s="13" t="s">
        <v>104</v>
      </c>
      <c r="J100" s="31"/>
      <c r="K100" s="31"/>
      <c r="L100" s="15" t="str">
        <f aca="false">IF(AND(ISNUMBER(J100),ISNUMBER(K100),K100&gt;0),J100/K100,"")</f>
        <v/>
      </c>
      <c r="M100" s="15" t="n">
        <f aca="false">Controls!$B$7</f>
        <v>0.025</v>
      </c>
      <c r="N100" s="15" t="str">
        <f aca="false">IF(P100=1,L100*(1-M100),"")</f>
        <v/>
      </c>
      <c r="O100" s="15" t="str">
        <f aca="false">IF(P100=1,N100-Controls!$B$8,"")</f>
        <v/>
      </c>
      <c r="P100" s="32" t="n">
        <f aca="false">IF(AND(ISNUMBER(J100),ISNUMBER(K100),K100&gt;0),1,0)</f>
        <v>0</v>
      </c>
      <c r="Q100" s="16" t="str">
        <f aca="false">IF(P100=0,"UNQUANTIFIED",IF(O100&gt;=0,"CLOSE","NEGATIVE"))</f>
        <v>UNQUANTIFIED</v>
      </c>
      <c r="R100" s="33" t="s">
        <v>217</v>
      </c>
      <c r="S100" s="33" t="n">
        <v>0</v>
      </c>
      <c r="T100" s="33" t="n">
        <v>0</v>
      </c>
    </row>
    <row r="101" customFormat="false" ht="15" hidden="false" customHeight="false" outlineLevel="0" collapsed="false">
      <c r="A101" s="13" t="s">
        <v>291</v>
      </c>
      <c r="B101" s="13" t="s">
        <v>121</v>
      </c>
      <c r="C101" s="13" t="s">
        <v>122</v>
      </c>
      <c r="D101" s="13" t="s">
        <v>101</v>
      </c>
      <c r="E101" s="13" t="s">
        <v>102</v>
      </c>
      <c r="F101" s="13" t="s">
        <v>175</v>
      </c>
      <c r="G101" s="13" t="s">
        <v>176</v>
      </c>
      <c r="H101" s="13" t="s">
        <v>103</v>
      </c>
      <c r="I101" s="13" t="s">
        <v>104</v>
      </c>
      <c r="J101" s="31"/>
      <c r="K101" s="31" t="n">
        <v>168</v>
      </c>
      <c r="L101" s="15" t="str">
        <f aca="false">IF(AND(ISNUMBER(J101),ISNUMBER(K101),K101&gt;0),J101/K101,"")</f>
        <v/>
      </c>
      <c r="M101" s="15" t="n">
        <f aca="false">Controls!$B$7</f>
        <v>0.025</v>
      </c>
      <c r="N101" s="15" t="str">
        <f aca="false">IF(P101=1,L101*(1-M101),"")</f>
        <v/>
      </c>
      <c r="O101" s="15" t="str">
        <f aca="false">IF(P101=1,N101-Controls!$B$8,"")</f>
        <v/>
      </c>
      <c r="P101" s="32" t="n">
        <f aca="false">IF(AND(ISNUMBER(J101),ISNUMBER(K101),K101&gt;0),1,0)</f>
        <v>0</v>
      </c>
      <c r="Q101" s="16" t="str">
        <f aca="false">IF(P101=0,"UNQUANTIFIED",IF(O101&gt;=0,"CLOSE","NEGATIVE"))</f>
        <v>UNQUANTIFIED</v>
      </c>
      <c r="R101" s="33" t="s">
        <v>217</v>
      </c>
      <c r="S101" s="33" t="n">
        <v>0</v>
      </c>
      <c r="T101" s="33" t="n">
        <v>0</v>
      </c>
    </row>
    <row r="102" customFormat="false" ht="15" hidden="false" customHeight="false" outlineLevel="0" collapsed="false">
      <c r="A102" s="13" t="s">
        <v>292</v>
      </c>
      <c r="B102" s="13" t="s">
        <v>121</v>
      </c>
      <c r="C102" s="13" t="s">
        <v>122</v>
      </c>
      <c r="D102" s="13" t="s">
        <v>101</v>
      </c>
      <c r="E102" s="13" t="s">
        <v>102</v>
      </c>
      <c r="F102" s="13" t="s">
        <v>178</v>
      </c>
      <c r="G102" s="13" t="s">
        <v>179</v>
      </c>
      <c r="H102" s="13" t="s">
        <v>103</v>
      </c>
      <c r="I102" s="13" t="s">
        <v>104</v>
      </c>
      <c r="J102" s="31"/>
      <c r="K102" s="31"/>
      <c r="L102" s="15" t="str">
        <f aca="false">IF(AND(ISNUMBER(J102),ISNUMBER(K102),K102&gt;0),J102/K102,"")</f>
        <v/>
      </c>
      <c r="M102" s="15" t="n">
        <f aca="false">Controls!$B$7</f>
        <v>0.025</v>
      </c>
      <c r="N102" s="15" t="str">
        <f aca="false">IF(P102=1,L102*(1-M102),"")</f>
        <v/>
      </c>
      <c r="O102" s="15" t="str">
        <f aca="false">IF(P102=1,N102-Controls!$B$8,"")</f>
        <v/>
      </c>
      <c r="P102" s="32" t="n">
        <f aca="false">IF(AND(ISNUMBER(J102),ISNUMBER(K102),K102&gt;0),1,0)</f>
        <v>0</v>
      </c>
      <c r="Q102" s="16" t="str">
        <f aca="false">IF(P102=0,"UNQUANTIFIED",IF(O102&gt;=0,"CLOSE","NEGATIVE"))</f>
        <v>UNQUANTIFIED</v>
      </c>
      <c r="R102" s="33" t="s">
        <v>217</v>
      </c>
      <c r="S102" s="33" t="n">
        <v>0</v>
      </c>
      <c r="T102" s="33" t="n">
        <v>0</v>
      </c>
    </row>
    <row r="103" customFormat="false" ht="15" hidden="false" customHeight="false" outlineLevel="0" collapsed="false">
      <c r="A103" s="13" t="s">
        <v>293</v>
      </c>
      <c r="B103" s="13" t="s">
        <v>138</v>
      </c>
      <c r="C103" s="13" t="s">
        <v>18</v>
      </c>
      <c r="D103" s="13" t="s">
        <v>73</v>
      </c>
      <c r="E103" s="13" t="s">
        <v>74</v>
      </c>
      <c r="F103" s="13" t="s">
        <v>169</v>
      </c>
      <c r="G103" s="13" t="s">
        <v>170</v>
      </c>
      <c r="H103" s="13" t="s">
        <v>75</v>
      </c>
      <c r="I103" s="13" t="s">
        <v>76</v>
      </c>
      <c r="J103" s="31" t="n">
        <v>57600</v>
      </c>
      <c r="K103" s="31" t="n">
        <v>50000</v>
      </c>
      <c r="L103" s="15" t="n">
        <f aca="false">IF(AND(ISNUMBER(J103),ISNUMBER(K103),K103&gt;0),J103/K103,"")</f>
        <v>1.152</v>
      </c>
      <c r="M103" s="15" t="n">
        <f aca="false">Controls!$B$7</f>
        <v>0.025</v>
      </c>
      <c r="N103" s="15" t="n">
        <f aca="false">IF(P103=1,L103*(1-M103),"")</f>
        <v>1.1232</v>
      </c>
      <c r="O103" s="15" t="n">
        <f aca="false">IF(P103=1,N103-Controls!$B$8,"")</f>
        <v>0.1232</v>
      </c>
      <c r="P103" s="32" t="n">
        <f aca="false">IF(AND(ISNUMBER(J103),ISNUMBER(K103),K103&gt;0),1,0)</f>
        <v>1</v>
      </c>
      <c r="Q103" s="16" t="str">
        <f aca="false">IF(P103=0,"UNQUANTIFIED",IF(O103&gt;=0,"CLOSE","NEGATIVE"))</f>
        <v>CLOSE</v>
      </c>
      <c r="R103" s="33" t="s">
        <v>77</v>
      </c>
      <c r="S103" s="33" t="n">
        <v>0</v>
      </c>
      <c r="T103" s="33" t="n">
        <v>0</v>
      </c>
    </row>
    <row r="104" customFormat="false" ht="15" hidden="false" customHeight="false" outlineLevel="0" collapsed="false">
      <c r="A104" s="13" t="s">
        <v>294</v>
      </c>
      <c r="B104" s="13" t="s">
        <v>138</v>
      </c>
      <c r="C104" s="13" t="s">
        <v>18</v>
      </c>
      <c r="D104" s="13" t="s">
        <v>73</v>
      </c>
      <c r="E104" s="13" t="s">
        <v>74</v>
      </c>
      <c r="F104" s="13" t="s">
        <v>172</v>
      </c>
      <c r="G104" s="13" t="s">
        <v>173</v>
      </c>
      <c r="H104" s="13" t="s">
        <v>75</v>
      </c>
      <c r="I104" s="13" t="s">
        <v>76</v>
      </c>
      <c r="J104" s="31"/>
      <c r="K104" s="31"/>
      <c r="L104" s="15" t="str">
        <f aca="false">IF(AND(ISNUMBER(J104),ISNUMBER(K104),K104&gt;0),J104/K104,"")</f>
        <v/>
      </c>
      <c r="M104" s="15" t="n">
        <f aca="false">Controls!$B$7</f>
        <v>0.025</v>
      </c>
      <c r="N104" s="15" t="str">
        <f aca="false">IF(P104=1,L104*(1-M104),"")</f>
        <v/>
      </c>
      <c r="O104" s="15" t="str">
        <f aca="false">IF(P104=1,N104-Controls!$B$8,"")</f>
        <v/>
      </c>
      <c r="P104" s="32" t="n">
        <f aca="false">IF(AND(ISNUMBER(J104),ISNUMBER(K104),K104&gt;0),1,0)</f>
        <v>0</v>
      </c>
      <c r="Q104" s="16" t="str">
        <f aca="false">IF(P104=0,"UNQUANTIFIED",IF(O104&gt;=0,"CLOSE","NEGATIVE"))</f>
        <v>UNQUANTIFIED</v>
      </c>
      <c r="R104" s="33" t="s">
        <v>196</v>
      </c>
      <c r="S104" s="33" t="n">
        <v>0</v>
      </c>
      <c r="T104" s="33" t="n">
        <v>0</v>
      </c>
    </row>
    <row r="105" customFormat="false" ht="15" hidden="false" customHeight="false" outlineLevel="0" collapsed="false">
      <c r="A105" s="13" t="s">
        <v>295</v>
      </c>
      <c r="B105" s="13" t="s">
        <v>138</v>
      </c>
      <c r="C105" s="13" t="s">
        <v>18</v>
      </c>
      <c r="D105" s="13" t="s">
        <v>73</v>
      </c>
      <c r="E105" s="13" t="s">
        <v>74</v>
      </c>
      <c r="F105" s="13" t="s">
        <v>175</v>
      </c>
      <c r="G105" s="13" t="s">
        <v>176</v>
      </c>
      <c r="H105" s="13" t="s">
        <v>75</v>
      </c>
      <c r="I105" s="13" t="s">
        <v>76</v>
      </c>
      <c r="J105" s="31" t="n">
        <v>50400</v>
      </c>
      <c r="K105" s="31" t="n">
        <v>50000</v>
      </c>
      <c r="L105" s="15" t="n">
        <f aca="false">IF(AND(ISNUMBER(J105),ISNUMBER(K105),K105&gt;0),J105/K105,"")</f>
        <v>1.008</v>
      </c>
      <c r="M105" s="15" t="n">
        <f aca="false">Controls!$B$7</f>
        <v>0.025</v>
      </c>
      <c r="N105" s="15" t="n">
        <f aca="false">IF(P105=1,L105*(1-M105),"")</f>
        <v>0.9828</v>
      </c>
      <c r="O105" s="15" t="n">
        <f aca="false">IF(P105=1,N105-Controls!$B$8,"")</f>
        <v>-0.0172</v>
      </c>
      <c r="P105" s="32" t="n">
        <f aca="false">IF(AND(ISNUMBER(J105),ISNUMBER(K105),K105&gt;0),1,0)</f>
        <v>1</v>
      </c>
      <c r="Q105" s="16" t="str">
        <f aca="false">IF(P105=0,"UNQUANTIFIED",IF(O105&gt;=0,"CLOSE","NEGATIVE"))</f>
        <v>NEGATIVE</v>
      </c>
      <c r="R105" s="33" t="s">
        <v>77</v>
      </c>
      <c r="S105" s="33" t="n">
        <v>0</v>
      </c>
      <c r="T105" s="33" t="n">
        <v>0</v>
      </c>
    </row>
    <row r="106" customFormat="false" ht="15" hidden="false" customHeight="false" outlineLevel="0" collapsed="false">
      <c r="A106" s="13" t="s">
        <v>296</v>
      </c>
      <c r="B106" s="13" t="s">
        <v>138</v>
      </c>
      <c r="C106" s="13" t="s">
        <v>18</v>
      </c>
      <c r="D106" s="13" t="s">
        <v>73</v>
      </c>
      <c r="E106" s="13" t="s">
        <v>74</v>
      </c>
      <c r="F106" s="13" t="s">
        <v>178</v>
      </c>
      <c r="G106" s="13" t="s">
        <v>179</v>
      </c>
      <c r="H106" s="13" t="s">
        <v>75</v>
      </c>
      <c r="I106" s="13" t="s">
        <v>76</v>
      </c>
      <c r="J106" s="31"/>
      <c r="K106" s="31"/>
      <c r="L106" s="15" t="str">
        <f aca="false">IF(AND(ISNUMBER(J106),ISNUMBER(K106),K106&gt;0),J106/K106,"")</f>
        <v/>
      </c>
      <c r="M106" s="15" t="n">
        <f aca="false">Controls!$B$7</f>
        <v>0.025</v>
      </c>
      <c r="N106" s="15" t="str">
        <f aca="false">IF(P106=1,L106*(1-M106),"")</f>
        <v/>
      </c>
      <c r="O106" s="15" t="str">
        <f aca="false">IF(P106=1,N106-Controls!$B$8,"")</f>
        <v/>
      </c>
      <c r="P106" s="32" t="n">
        <f aca="false">IF(AND(ISNUMBER(J106),ISNUMBER(K106),K106&gt;0),1,0)</f>
        <v>0</v>
      </c>
      <c r="Q106" s="16" t="str">
        <f aca="false">IF(P106=0,"UNQUANTIFIED",IF(O106&gt;=0,"CLOSE","NEGATIVE"))</f>
        <v>UNQUANTIFIED</v>
      </c>
      <c r="R106" s="33" t="s">
        <v>199</v>
      </c>
      <c r="S106" s="33" t="n">
        <v>0</v>
      </c>
      <c r="T106" s="33" t="n">
        <v>0</v>
      </c>
    </row>
    <row r="107" customFormat="false" ht="15" hidden="false" customHeight="false" outlineLevel="0" collapsed="false">
      <c r="A107" s="13" t="s">
        <v>297</v>
      </c>
      <c r="B107" s="13" t="s">
        <v>138</v>
      </c>
      <c r="C107" s="13" t="s">
        <v>18</v>
      </c>
      <c r="D107" s="13" t="s">
        <v>79</v>
      </c>
      <c r="E107" s="13" t="s">
        <v>80</v>
      </c>
      <c r="F107" s="13" t="s">
        <v>169</v>
      </c>
      <c r="G107" s="13" t="s">
        <v>170</v>
      </c>
      <c r="H107" s="13" t="s">
        <v>81</v>
      </c>
      <c r="I107" s="13" t="s">
        <v>82</v>
      </c>
      <c r="J107" s="31" t="n">
        <v>66</v>
      </c>
      <c r="K107" s="31" t="n">
        <v>52</v>
      </c>
      <c r="L107" s="15" t="n">
        <f aca="false">IF(AND(ISNUMBER(J107),ISNUMBER(K107),K107&gt;0),J107/K107,"")</f>
        <v>1.26923076923077</v>
      </c>
      <c r="M107" s="15" t="n">
        <f aca="false">Controls!$B$7</f>
        <v>0.025</v>
      </c>
      <c r="N107" s="15" t="n">
        <f aca="false">IF(P107=1,L107*(1-M107),"")</f>
        <v>1.2375</v>
      </c>
      <c r="O107" s="15" t="n">
        <f aca="false">IF(P107=1,N107-Controls!$B$8,"")</f>
        <v>0.2375</v>
      </c>
      <c r="P107" s="32" t="n">
        <f aca="false">IF(AND(ISNUMBER(J107),ISNUMBER(K107),K107&gt;0),1,0)</f>
        <v>1</v>
      </c>
      <c r="Q107" s="16" t="str">
        <f aca="false">IF(P107=0,"UNQUANTIFIED",IF(O107&gt;=0,"CLOSE","NEGATIVE"))</f>
        <v>CLOSE</v>
      </c>
      <c r="R107" s="33" t="s">
        <v>83</v>
      </c>
      <c r="S107" s="33" t="n">
        <v>0</v>
      </c>
      <c r="T107" s="33" t="n">
        <v>0</v>
      </c>
    </row>
    <row r="108" customFormat="false" ht="15" hidden="false" customHeight="false" outlineLevel="0" collapsed="false">
      <c r="A108" s="13" t="s">
        <v>298</v>
      </c>
      <c r="B108" s="13" t="s">
        <v>138</v>
      </c>
      <c r="C108" s="13" t="s">
        <v>18</v>
      </c>
      <c r="D108" s="13" t="s">
        <v>79</v>
      </c>
      <c r="E108" s="13" t="s">
        <v>80</v>
      </c>
      <c r="F108" s="13" t="s">
        <v>172</v>
      </c>
      <c r="G108" s="13" t="s">
        <v>173</v>
      </c>
      <c r="H108" s="13" t="s">
        <v>81</v>
      </c>
      <c r="I108" s="13" t="s">
        <v>82</v>
      </c>
      <c r="J108" s="31"/>
      <c r="K108" s="31"/>
      <c r="L108" s="15" t="str">
        <f aca="false">IF(AND(ISNUMBER(J108),ISNUMBER(K108),K108&gt;0),J108/K108,"")</f>
        <v/>
      </c>
      <c r="M108" s="15" t="n">
        <f aca="false">Controls!$B$7</f>
        <v>0.025</v>
      </c>
      <c r="N108" s="15" t="str">
        <f aca="false">IF(P108=1,L108*(1-M108),"")</f>
        <v/>
      </c>
      <c r="O108" s="15" t="str">
        <f aca="false">IF(P108=1,N108-Controls!$B$8,"")</f>
        <v/>
      </c>
      <c r="P108" s="32" t="n">
        <f aca="false">IF(AND(ISNUMBER(J108),ISNUMBER(K108),K108&gt;0),1,0)</f>
        <v>0</v>
      </c>
      <c r="Q108" s="16" t="str">
        <f aca="false">IF(P108=0,"UNQUANTIFIED",IF(O108&gt;=0,"CLOSE","NEGATIVE"))</f>
        <v>UNQUANTIFIED</v>
      </c>
      <c r="R108" s="33" t="s">
        <v>196</v>
      </c>
      <c r="S108" s="33" t="n">
        <v>0</v>
      </c>
      <c r="T108" s="33" t="n">
        <v>0</v>
      </c>
    </row>
    <row r="109" customFormat="false" ht="15" hidden="false" customHeight="false" outlineLevel="0" collapsed="false">
      <c r="A109" s="13" t="s">
        <v>299</v>
      </c>
      <c r="B109" s="13" t="s">
        <v>138</v>
      </c>
      <c r="C109" s="13" t="s">
        <v>18</v>
      </c>
      <c r="D109" s="13" t="s">
        <v>79</v>
      </c>
      <c r="E109" s="13" t="s">
        <v>80</v>
      </c>
      <c r="F109" s="13" t="s">
        <v>175</v>
      </c>
      <c r="G109" s="13" t="s">
        <v>176</v>
      </c>
      <c r="H109" s="13" t="s">
        <v>81</v>
      </c>
      <c r="I109" s="13" t="s">
        <v>82</v>
      </c>
      <c r="J109" s="31" t="n">
        <v>55</v>
      </c>
      <c r="K109" s="31" t="n">
        <v>52</v>
      </c>
      <c r="L109" s="15" t="n">
        <f aca="false">IF(AND(ISNUMBER(J109),ISNUMBER(K109),K109&gt;0),J109/K109,"")</f>
        <v>1.05769230769231</v>
      </c>
      <c r="M109" s="15" t="n">
        <f aca="false">Controls!$B$7</f>
        <v>0.025</v>
      </c>
      <c r="N109" s="15" t="n">
        <f aca="false">IF(P109=1,L109*(1-M109),"")</f>
        <v>1.03125</v>
      </c>
      <c r="O109" s="15" t="n">
        <f aca="false">IF(P109=1,N109-Controls!$B$8,"")</f>
        <v>0.03125</v>
      </c>
      <c r="P109" s="32" t="n">
        <f aca="false">IF(AND(ISNUMBER(J109),ISNUMBER(K109),K109&gt;0),1,0)</f>
        <v>1</v>
      </c>
      <c r="Q109" s="16" t="str">
        <f aca="false">IF(P109=0,"UNQUANTIFIED",IF(O109&gt;=0,"CLOSE","NEGATIVE"))</f>
        <v>CLOSE</v>
      </c>
      <c r="R109" s="33" t="s">
        <v>83</v>
      </c>
      <c r="S109" s="33" t="n">
        <v>0</v>
      </c>
      <c r="T109" s="33" t="n">
        <v>0</v>
      </c>
    </row>
    <row r="110" customFormat="false" ht="15" hidden="false" customHeight="false" outlineLevel="0" collapsed="false">
      <c r="A110" s="13" t="s">
        <v>300</v>
      </c>
      <c r="B110" s="13" t="s">
        <v>138</v>
      </c>
      <c r="C110" s="13" t="s">
        <v>18</v>
      </c>
      <c r="D110" s="13" t="s">
        <v>79</v>
      </c>
      <c r="E110" s="13" t="s">
        <v>80</v>
      </c>
      <c r="F110" s="13" t="s">
        <v>178</v>
      </c>
      <c r="G110" s="13" t="s">
        <v>179</v>
      </c>
      <c r="H110" s="13" t="s">
        <v>81</v>
      </c>
      <c r="I110" s="13" t="s">
        <v>82</v>
      </c>
      <c r="J110" s="31"/>
      <c r="K110" s="31"/>
      <c r="L110" s="15" t="str">
        <f aca="false">IF(AND(ISNUMBER(J110),ISNUMBER(K110),K110&gt;0),J110/K110,"")</f>
        <v/>
      </c>
      <c r="M110" s="15" t="n">
        <f aca="false">Controls!$B$7</f>
        <v>0.025</v>
      </c>
      <c r="N110" s="15" t="str">
        <f aca="false">IF(P110=1,L110*(1-M110),"")</f>
        <v/>
      </c>
      <c r="O110" s="15" t="str">
        <f aca="false">IF(P110=1,N110-Controls!$B$8,"")</f>
        <v/>
      </c>
      <c r="P110" s="32" t="n">
        <f aca="false">IF(AND(ISNUMBER(J110),ISNUMBER(K110),K110&gt;0),1,0)</f>
        <v>0</v>
      </c>
      <c r="Q110" s="16" t="str">
        <f aca="false">IF(P110=0,"UNQUANTIFIED",IF(O110&gt;=0,"CLOSE","NEGATIVE"))</f>
        <v>UNQUANTIFIED</v>
      </c>
      <c r="R110" s="33" t="s">
        <v>199</v>
      </c>
      <c r="S110" s="33" t="n">
        <v>0</v>
      </c>
      <c r="T110" s="33" t="n">
        <v>0</v>
      </c>
    </row>
    <row r="111" customFormat="false" ht="15" hidden="false" customHeight="false" outlineLevel="0" collapsed="false">
      <c r="A111" s="13" t="s">
        <v>301</v>
      </c>
      <c r="B111" s="13" t="s">
        <v>138</v>
      </c>
      <c r="C111" s="13" t="s">
        <v>18</v>
      </c>
      <c r="D111" s="13" t="s">
        <v>85</v>
      </c>
      <c r="E111" s="13" t="s">
        <v>86</v>
      </c>
      <c r="F111" s="13" t="s">
        <v>169</v>
      </c>
      <c r="G111" s="13" t="s">
        <v>170</v>
      </c>
      <c r="H111" s="13" t="s">
        <v>141</v>
      </c>
      <c r="I111" s="13" t="s">
        <v>36</v>
      </c>
      <c r="J111" s="31" t="n">
        <v>1.28</v>
      </c>
      <c r="K111" s="31" t="n">
        <v>1</v>
      </c>
      <c r="L111" s="15" t="n">
        <f aca="false">IF(AND(ISNUMBER(J111),ISNUMBER(K111),K111&gt;0),J111/K111,"")</f>
        <v>1.28</v>
      </c>
      <c r="M111" s="15" t="n">
        <f aca="false">Controls!$B$7</f>
        <v>0.025</v>
      </c>
      <c r="N111" s="15" t="n">
        <f aca="false">IF(P111=1,L111*(1-M111),"")</f>
        <v>1.248</v>
      </c>
      <c r="O111" s="15" t="n">
        <f aca="false">IF(P111=1,N111-Controls!$B$8,"")</f>
        <v>0.248</v>
      </c>
      <c r="P111" s="32" t="n">
        <f aca="false">IF(AND(ISNUMBER(J111),ISNUMBER(K111),K111&gt;0),1,0)</f>
        <v>1</v>
      </c>
      <c r="Q111" s="16" t="str">
        <f aca="false">IF(P111=0,"UNQUANTIFIED",IF(O111&gt;=0,"CLOSE","NEGATIVE"))</f>
        <v>CLOSE</v>
      </c>
      <c r="R111" s="33" t="s">
        <v>88</v>
      </c>
      <c r="S111" s="33" t="n">
        <v>0</v>
      </c>
      <c r="T111" s="33" t="n">
        <v>0</v>
      </c>
    </row>
    <row r="112" customFormat="false" ht="15" hidden="false" customHeight="false" outlineLevel="0" collapsed="false">
      <c r="A112" s="13" t="s">
        <v>302</v>
      </c>
      <c r="B112" s="13" t="s">
        <v>138</v>
      </c>
      <c r="C112" s="13" t="s">
        <v>18</v>
      </c>
      <c r="D112" s="13" t="s">
        <v>85</v>
      </c>
      <c r="E112" s="13" t="s">
        <v>86</v>
      </c>
      <c r="F112" s="13" t="s">
        <v>172</v>
      </c>
      <c r="G112" s="13" t="s">
        <v>173</v>
      </c>
      <c r="H112" s="13" t="s">
        <v>141</v>
      </c>
      <c r="I112" s="13" t="s">
        <v>36</v>
      </c>
      <c r="J112" s="31"/>
      <c r="K112" s="31"/>
      <c r="L112" s="15" t="str">
        <f aca="false">IF(AND(ISNUMBER(J112),ISNUMBER(K112),K112&gt;0),J112/K112,"")</f>
        <v/>
      </c>
      <c r="M112" s="15" t="n">
        <f aca="false">Controls!$B$7</f>
        <v>0.025</v>
      </c>
      <c r="N112" s="15" t="str">
        <f aca="false">IF(P112=1,L112*(1-M112),"")</f>
        <v/>
      </c>
      <c r="O112" s="15" t="str">
        <f aca="false">IF(P112=1,N112-Controls!$B$8,"")</f>
        <v/>
      </c>
      <c r="P112" s="32" t="n">
        <f aca="false">IF(AND(ISNUMBER(J112),ISNUMBER(K112),K112&gt;0),1,0)</f>
        <v>0</v>
      </c>
      <c r="Q112" s="16" t="str">
        <f aca="false">IF(P112=0,"UNQUANTIFIED",IF(O112&gt;=0,"CLOSE","NEGATIVE"))</f>
        <v>UNQUANTIFIED</v>
      </c>
      <c r="R112" s="33" t="s">
        <v>196</v>
      </c>
      <c r="S112" s="33" t="n">
        <v>0</v>
      </c>
      <c r="T112" s="33" t="n">
        <v>0</v>
      </c>
    </row>
    <row r="113" customFormat="false" ht="15" hidden="false" customHeight="false" outlineLevel="0" collapsed="false">
      <c r="A113" s="13" t="s">
        <v>303</v>
      </c>
      <c r="B113" s="13" t="s">
        <v>138</v>
      </c>
      <c r="C113" s="13" t="s">
        <v>18</v>
      </c>
      <c r="D113" s="13" t="s">
        <v>85</v>
      </c>
      <c r="E113" s="13" t="s">
        <v>86</v>
      </c>
      <c r="F113" s="13" t="s">
        <v>175</v>
      </c>
      <c r="G113" s="13" t="s">
        <v>176</v>
      </c>
      <c r="H113" s="13" t="s">
        <v>141</v>
      </c>
      <c r="I113" s="13" t="s">
        <v>36</v>
      </c>
      <c r="J113" s="31" t="n">
        <v>1.032</v>
      </c>
      <c r="K113" s="31" t="n">
        <v>1</v>
      </c>
      <c r="L113" s="15" t="n">
        <f aca="false">IF(AND(ISNUMBER(J113),ISNUMBER(K113),K113&gt;0),J113/K113,"")</f>
        <v>1.032</v>
      </c>
      <c r="M113" s="15" t="n">
        <f aca="false">Controls!$B$7</f>
        <v>0.025</v>
      </c>
      <c r="N113" s="15" t="n">
        <f aca="false">IF(P113=1,L113*(1-M113),"")</f>
        <v>1.0062</v>
      </c>
      <c r="O113" s="15" t="n">
        <f aca="false">IF(P113=1,N113-Controls!$B$8,"")</f>
        <v>0.00619999999999998</v>
      </c>
      <c r="P113" s="32" t="n">
        <f aca="false">IF(AND(ISNUMBER(J113),ISNUMBER(K113),K113&gt;0),1,0)</f>
        <v>1</v>
      </c>
      <c r="Q113" s="16" t="str">
        <f aca="false">IF(P113=0,"UNQUANTIFIED",IF(O113&gt;=0,"CLOSE","NEGATIVE"))</f>
        <v>CLOSE</v>
      </c>
      <c r="R113" s="33" t="s">
        <v>88</v>
      </c>
      <c r="S113" s="33" t="n">
        <v>0</v>
      </c>
      <c r="T113" s="33" t="n">
        <v>0</v>
      </c>
    </row>
    <row r="114" customFormat="false" ht="15" hidden="false" customHeight="false" outlineLevel="0" collapsed="false">
      <c r="A114" s="13" t="s">
        <v>304</v>
      </c>
      <c r="B114" s="13" t="s">
        <v>138</v>
      </c>
      <c r="C114" s="13" t="s">
        <v>18</v>
      </c>
      <c r="D114" s="13" t="s">
        <v>85</v>
      </c>
      <c r="E114" s="13" t="s">
        <v>86</v>
      </c>
      <c r="F114" s="13" t="s">
        <v>178</v>
      </c>
      <c r="G114" s="13" t="s">
        <v>179</v>
      </c>
      <c r="H114" s="13" t="s">
        <v>141</v>
      </c>
      <c r="I114" s="13" t="s">
        <v>36</v>
      </c>
      <c r="J114" s="31"/>
      <c r="K114" s="31"/>
      <c r="L114" s="15" t="str">
        <f aca="false">IF(AND(ISNUMBER(J114),ISNUMBER(K114),K114&gt;0),J114/K114,"")</f>
        <v/>
      </c>
      <c r="M114" s="15" t="n">
        <f aca="false">Controls!$B$7</f>
        <v>0.025</v>
      </c>
      <c r="N114" s="15" t="str">
        <f aca="false">IF(P114=1,L114*(1-M114),"")</f>
        <v/>
      </c>
      <c r="O114" s="15" t="str">
        <f aca="false">IF(P114=1,N114-Controls!$B$8,"")</f>
        <v/>
      </c>
      <c r="P114" s="32" t="n">
        <f aca="false">IF(AND(ISNUMBER(J114),ISNUMBER(K114),K114&gt;0),1,0)</f>
        <v>0</v>
      </c>
      <c r="Q114" s="16" t="str">
        <f aca="false">IF(P114=0,"UNQUANTIFIED",IF(O114&gt;=0,"CLOSE","NEGATIVE"))</f>
        <v>UNQUANTIFIED</v>
      </c>
      <c r="R114" s="33" t="s">
        <v>199</v>
      </c>
      <c r="S114" s="33" t="n">
        <v>0</v>
      </c>
      <c r="T114" s="33" t="n">
        <v>0</v>
      </c>
    </row>
    <row r="115" customFormat="false" ht="15" hidden="false" customHeight="false" outlineLevel="0" collapsed="false">
      <c r="A115" s="13" t="s">
        <v>305</v>
      </c>
      <c r="B115" s="13" t="s">
        <v>138</v>
      </c>
      <c r="C115" s="13" t="s">
        <v>18</v>
      </c>
      <c r="D115" s="13" t="s">
        <v>90</v>
      </c>
      <c r="E115" s="13" t="s">
        <v>91</v>
      </c>
      <c r="F115" s="13" t="s">
        <v>169</v>
      </c>
      <c r="G115" s="13" t="s">
        <v>170</v>
      </c>
      <c r="H115" s="13" t="s">
        <v>92</v>
      </c>
      <c r="I115" s="13" t="s">
        <v>36</v>
      </c>
      <c r="J115" s="31" t="n">
        <v>1.2</v>
      </c>
      <c r="K115" s="31" t="n">
        <v>1</v>
      </c>
      <c r="L115" s="15" t="n">
        <f aca="false">IF(AND(ISNUMBER(J115),ISNUMBER(K115),K115&gt;0),J115/K115,"")</f>
        <v>1.2</v>
      </c>
      <c r="M115" s="15" t="n">
        <f aca="false">Controls!$B$7</f>
        <v>0.025</v>
      </c>
      <c r="N115" s="15" t="n">
        <f aca="false">IF(P115=1,L115*(1-M115),"")</f>
        <v>1.17</v>
      </c>
      <c r="O115" s="15" t="n">
        <f aca="false">IF(P115=1,N115-Controls!$B$8,"")</f>
        <v>0.17</v>
      </c>
      <c r="P115" s="32" t="n">
        <f aca="false">IF(AND(ISNUMBER(J115),ISNUMBER(K115),K115&gt;0),1,0)</f>
        <v>1</v>
      </c>
      <c r="Q115" s="16" t="str">
        <f aca="false">IF(P115=0,"UNQUANTIFIED",IF(O115&gt;=0,"CLOSE","NEGATIVE"))</f>
        <v>CLOSE</v>
      </c>
      <c r="R115" s="33" t="s">
        <v>93</v>
      </c>
      <c r="S115" s="33" t="n">
        <v>0</v>
      </c>
      <c r="T115" s="33" t="n">
        <v>0</v>
      </c>
    </row>
    <row r="116" customFormat="false" ht="15" hidden="false" customHeight="false" outlineLevel="0" collapsed="false">
      <c r="A116" s="13" t="s">
        <v>306</v>
      </c>
      <c r="B116" s="13" t="s">
        <v>138</v>
      </c>
      <c r="C116" s="13" t="s">
        <v>18</v>
      </c>
      <c r="D116" s="13" t="s">
        <v>90</v>
      </c>
      <c r="E116" s="13" t="s">
        <v>91</v>
      </c>
      <c r="F116" s="13" t="s">
        <v>172</v>
      </c>
      <c r="G116" s="13" t="s">
        <v>173</v>
      </c>
      <c r="H116" s="13" t="s">
        <v>92</v>
      </c>
      <c r="I116" s="13" t="s">
        <v>36</v>
      </c>
      <c r="J116" s="31"/>
      <c r="K116" s="31"/>
      <c r="L116" s="15" t="str">
        <f aca="false">IF(AND(ISNUMBER(J116),ISNUMBER(K116),K116&gt;0),J116/K116,"")</f>
        <v/>
      </c>
      <c r="M116" s="15" t="n">
        <f aca="false">Controls!$B$7</f>
        <v>0.025</v>
      </c>
      <c r="N116" s="15" t="str">
        <f aca="false">IF(P116=1,L116*(1-M116),"")</f>
        <v/>
      </c>
      <c r="O116" s="15" t="str">
        <f aca="false">IF(P116=1,N116-Controls!$B$8,"")</f>
        <v/>
      </c>
      <c r="P116" s="32" t="n">
        <f aca="false">IF(AND(ISNUMBER(J116),ISNUMBER(K116),K116&gt;0),1,0)</f>
        <v>0</v>
      </c>
      <c r="Q116" s="16" t="str">
        <f aca="false">IF(P116=0,"UNQUANTIFIED",IF(O116&gt;=0,"CLOSE","NEGATIVE"))</f>
        <v>UNQUANTIFIED</v>
      </c>
      <c r="R116" s="33" t="s">
        <v>196</v>
      </c>
      <c r="S116" s="33" t="n">
        <v>0</v>
      </c>
      <c r="T116" s="33" t="n">
        <v>0</v>
      </c>
    </row>
    <row r="117" customFormat="false" ht="15" hidden="false" customHeight="false" outlineLevel="0" collapsed="false">
      <c r="A117" s="13" t="s">
        <v>307</v>
      </c>
      <c r="B117" s="13" t="s">
        <v>138</v>
      </c>
      <c r="C117" s="13" t="s">
        <v>18</v>
      </c>
      <c r="D117" s="13" t="s">
        <v>90</v>
      </c>
      <c r="E117" s="13" t="s">
        <v>91</v>
      </c>
      <c r="F117" s="13" t="s">
        <v>175</v>
      </c>
      <c r="G117" s="13" t="s">
        <v>176</v>
      </c>
      <c r="H117" s="13" t="s">
        <v>92</v>
      </c>
      <c r="I117" s="13" t="s">
        <v>36</v>
      </c>
      <c r="J117" s="31" t="n">
        <v>1.05</v>
      </c>
      <c r="K117" s="31" t="n">
        <v>1</v>
      </c>
      <c r="L117" s="15" t="n">
        <f aca="false">IF(AND(ISNUMBER(J117),ISNUMBER(K117),K117&gt;0),J117/K117,"")</f>
        <v>1.05</v>
      </c>
      <c r="M117" s="15" t="n">
        <f aca="false">Controls!$B$7</f>
        <v>0.025</v>
      </c>
      <c r="N117" s="15" t="n">
        <f aca="false">IF(P117=1,L117*(1-M117),"")</f>
        <v>1.02375</v>
      </c>
      <c r="O117" s="15" t="n">
        <f aca="false">IF(P117=1,N117-Controls!$B$8,"")</f>
        <v>0.0237499999999999</v>
      </c>
      <c r="P117" s="32" t="n">
        <f aca="false">IF(AND(ISNUMBER(J117),ISNUMBER(K117),K117&gt;0),1,0)</f>
        <v>1</v>
      </c>
      <c r="Q117" s="16" t="str">
        <f aca="false">IF(P117=0,"UNQUANTIFIED",IF(O117&gt;=0,"CLOSE","NEGATIVE"))</f>
        <v>CLOSE</v>
      </c>
      <c r="R117" s="33" t="s">
        <v>93</v>
      </c>
      <c r="S117" s="33" t="n">
        <v>0</v>
      </c>
      <c r="T117" s="33" t="n">
        <v>0</v>
      </c>
    </row>
    <row r="118" customFormat="false" ht="15" hidden="false" customHeight="false" outlineLevel="0" collapsed="false">
      <c r="A118" s="13" t="s">
        <v>308</v>
      </c>
      <c r="B118" s="13" t="s">
        <v>138</v>
      </c>
      <c r="C118" s="13" t="s">
        <v>18</v>
      </c>
      <c r="D118" s="13" t="s">
        <v>90</v>
      </c>
      <c r="E118" s="13" t="s">
        <v>91</v>
      </c>
      <c r="F118" s="13" t="s">
        <v>178</v>
      </c>
      <c r="G118" s="13" t="s">
        <v>179</v>
      </c>
      <c r="H118" s="13" t="s">
        <v>92</v>
      </c>
      <c r="I118" s="13" t="s">
        <v>36</v>
      </c>
      <c r="J118" s="31"/>
      <c r="K118" s="31"/>
      <c r="L118" s="15" t="str">
        <f aca="false">IF(AND(ISNUMBER(J118),ISNUMBER(K118),K118&gt;0),J118/K118,"")</f>
        <v/>
      </c>
      <c r="M118" s="15" t="n">
        <f aca="false">Controls!$B$7</f>
        <v>0.025</v>
      </c>
      <c r="N118" s="15" t="str">
        <f aca="false">IF(P118=1,L118*(1-M118),"")</f>
        <v/>
      </c>
      <c r="O118" s="15" t="str">
        <f aca="false">IF(P118=1,N118-Controls!$B$8,"")</f>
        <v/>
      </c>
      <c r="P118" s="32" t="n">
        <f aca="false">IF(AND(ISNUMBER(J118),ISNUMBER(K118),K118&gt;0),1,0)</f>
        <v>0</v>
      </c>
      <c r="Q118" s="16" t="str">
        <f aca="false">IF(P118=0,"UNQUANTIFIED",IF(O118&gt;=0,"CLOSE","NEGATIVE"))</f>
        <v>UNQUANTIFIED</v>
      </c>
      <c r="R118" s="33" t="s">
        <v>199</v>
      </c>
      <c r="S118" s="33" t="n">
        <v>0</v>
      </c>
      <c r="T118" s="33" t="n">
        <v>0</v>
      </c>
    </row>
    <row r="119" customFormat="false" ht="15" hidden="false" customHeight="false" outlineLevel="0" collapsed="false">
      <c r="A119" s="13" t="s">
        <v>309</v>
      </c>
      <c r="B119" s="13" t="s">
        <v>138</v>
      </c>
      <c r="C119" s="13" t="s">
        <v>18</v>
      </c>
      <c r="D119" s="13" t="s">
        <v>95</v>
      </c>
      <c r="E119" s="13" t="s">
        <v>96</v>
      </c>
      <c r="F119" s="13" t="s">
        <v>169</v>
      </c>
      <c r="G119" s="13" t="s">
        <v>170</v>
      </c>
      <c r="H119" s="13" t="s">
        <v>143</v>
      </c>
      <c r="I119" s="13" t="s">
        <v>98</v>
      </c>
      <c r="J119" s="31" t="n">
        <v>441</v>
      </c>
      <c r="K119" s="31" t="n">
        <v>350</v>
      </c>
      <c r="L119" s="15" t="n">
        <f aca="false">IF(AND(ISNUMBER(J119),ISNUMBER(K119),K119&gt;0),J119/K119,"")</f>
        <v>1.26</v>
      </c>
      <c r="M119" s="15" t="n">
        <f aca="false">Controls!$B$7</f>
        <v>0.025</v>
      </c>
      <c r="N119" s="15" t="n">
        <f aca="false">IF(P119=1,L119*(1-M119),"")</f>
        <v>1.2285</v>
      </c>
      <c r="O119" s="15" t="n">
        <f aca="false">IF(P119=1,N119-Controls!$B$8,"")</f>
        <v>0.2285</v>
      </c>
      <c r="P119" s="32" t="n">
        <f aca="false">IF(AND(ISNUMBER(J119),ISNUMBER(K119),K119&gt;0),1,0)</f>
        <v>1</v>
      </c>
      <c r="Q119" s="16" t="str">
        <f aca="false">IF(P119=0,"UNQUANTIFIED",IF(O119&gt;=0,"CLOSE","NEGATIVE"))</f>
        <v>CLOSE</v>
      </c>
      <c r="R119" s="33" t="s">
        <v>99</v>
      </c>
      <c r="S119" s="33" t="n">
        <v>0</v>
      </c>
      <c r="T119" s="33" t="n">
        <v>0</v>
      </c>
    </row>
    <row r="120" customFormat="false" ht="15" hidden="false" customHeight="false" outlineLevel="0" collapsed="false">
      <c r="A120" s="13" t="s">
        <v>310</v>
      </c>
      <c r="B120" s="13" t="s">
        <v>138</v>
      </c>
      <c r="C120" s="13" t="s">
        <v>18</v>
      </c>
      <c r="D120" s="13" t="s">
        <v>95</v>
      </c>
      <c r="E120" s="13" t="s">
        <v>96</v>
      </c>
      <c r="F120" s="13" t="s">
        <v>172</v>
      </c>
      <c r="G120" s="13" t="s">
        <v>173</v>
      </c>
      <c r="H120" s="13" t="s">
        <v>143</v>
      </c>
      <c r="I120" s="13" t="s">
        <v>98</v>
      </c>
      <c r="J120" s="31"/>
      <c r="K120" s="31"/>
      <c r="L120" s="15" t="str">
        <f aca="false">IF(AND(ISNUMBER(J120),ISNUMBER(K120),K120&gt;0),J120/K120,"")</f>
        <v/>
      </c>
      <c r="M120" s="15" t="n">
        <f aca="false">Controls!$B$7</f>
        <v>0.025</v>
      </c>
      <c r="N120" s="15" t="str">
        <f aca="false">IF(P120=1,L120*(1-M120),"")</f>
        <v/>
      </c>
      <c r="O120" s="15" t="str">
        <f aca="false">IF(P120=1,N120-Controls!$B$8,"")</f>
        <v/>
      </c>
      <c r="P120" s="32" t="n">
        <f aca="false">IF(AND(ISNUMBER(J120),ISNUMBER(K120),K120&gt;0),1,0)</f>
        <v>0</v>
      </c>
      <c r="Q120" s="16" t="str">
        <f aca="false">IF(P120=0,"UNQUANTIFIED",IF(O120&gt;=0,"CLOSE","NEGATIVE"))</f>
        <v>UNQUANTIFIED</v>
      </c>
      <c r="R120" s="33" t="s">
        <v>196</v>
      </c>
      <c r="S120" s="33" t="n">
        <v>0</v>
      </c>
      <c r="T120" s="33" t="n">
        <v>0</v>
      </c>
    </row>
    <row r="121" customFormat="false" ht="15" hidden="false" customHeight="false" outlineLevel="0" collapsed="false">
      <c r="A121" s="13" t="s">
        <v>311</v>
      </c>
      <c r="B121" s="13" t="s">
        <v>138</v>
      </c>
      <c r="C121" s="13" t="s">
        <v>18</v>
      </c>
      <c r="D121" s="13" t="s">
        <v>95</v>
      </c>
      <c r="E121" s="13" t="s">
        <v>96</v>
      </c>
      <c r="F121" s="13" t="s">
        <v>175</v>
      </c>
      <c r="G121" s="13" t="s">
        <v>176</v>
      </c>
      <c r="H121" s="13" t="s">
        <v>143</v>
      </c>
      <c r="I121" s="13" t="s">
        <v>98</v>
      </c>
      <c r="J121" s="31" t="n">
        <v>367.5</v>
      </c>
      <c r="K121" s="31" t="n">
        <v>350</v>
      </c>
      <c r="L121" s="15" t="n">
        <f aca="false">IF(AND(ISNUMBER(J121),ISNUMBER(K121),K121&gt;0),J121/K121,"")</f>
        <v>1.05</v>
      </c>
      <c r="M121" s="15" t="n">
        <f aca="false">Controls!$B$7</f>
        <v>0.025</v>
      </c>
      <c r="N121" s="15" t="n">
        <f aca="false">IF(P121=1,L121*(1-M121),"")</f>
        <v>1.02375</v>
      </c>
      <c r="O121" s="15" t="n">
        <f aca="false">IF(P121=1,N121-Controls!$B$8,"")</f>
        <v>0.0237499999999999</v>
      </c>
      <c r="P121" s="32" t="n">
        <f aca="false">IF(AND(ISNUMBER(J121),ISNUMBER(K121),K121&gt;0),1,0)</f>
        <v>1</v>
      </c>
      <c r="Q121" s="16" t="str">
        <f aca="false">IF(P121=0,"UNQUANTIFIED",IF(O121&gt;=0,"CLOSE","NEGATIVE"))</f>
        <v>CLOSE</v>
      </c>
      <c r="R121" s="33" t="s">
        <v>99</v>
      </c>
      <c r="S121" s="33" t="n">
        <v>0</v>
      </c>
      <c r="T121" s="33" t="n">
        <v>0</v>
      </c>
    </row>
    <row r="122" customFormat="false" ht="15" hidden="false" customHeight="false" outlineLevel="0" collapsed="false">
      <c r="A122" s="13" t="s">
        <v>312</v>
      </c>
      <c r="B122" s="13" t="s">
        <v>138</v>
      </c>
      <c r="C122" s="13" t="s">
        <v>18</v>
      </c>
      <c r="D122" s="13" t="s">
        <v>95</v>
      </c>
      <c r="E122" s="13" t="s">
        <v>96</v>
      </c>
      <c r="F122" s="13" t="s">
        <v>178</v>
      </c>
      <c r="G122" s="13" t="s">
        <v>179</v>
      </c>
      <c r="H122" s="13" t="s">
        <v>143</v>
      </c>
      <c r="I122" s="13" t="s">
        <v>98</v>
      </c>
      <c r="J122" s="31"/>
      <c r="K122" s="31"/>
      <c r="L122" s="15" t="str">
        <f aca="false">IF(AND(ISNUMBER(J122),ISNUMBER(K122),K122&gt;0),J122/K122,"")</f>
        <v/>
      </c>
      <c r="M122" s="15" t="n">
        <f aca="false">Controls!$B$7</f>
        <v>0.025</v>
      </c>
      <c r="N122" s="15" t="str">
        <f aca="false">IF(P122=1,L122*(1-M122),"")</f>
        <v/>
      </c>
      <c r="O122" s="15" t="str">
        <f aca="false">IF(P122=1,N122-Controls!$B$8,"")</f>
        <v/>
      </c>
      <c r="P122" s="32" t="n">
        <f aca="false">IF(AND(ISNUMBER(J122),ISNUMBER(K122),K122&gt;0),1,0)</f>
        <v>0</v>
      </c>
      <c r="Q122" s="16" t="str">
        <f aca="false">IF(P122=0,"UNQUANTIFIED",IF(O122&gt;=0,"CLOSE","NEGATIVE"))</f>
        <v>UNQUANTIFIED</v>
      </c>
      <c r="R122" s="33" t="s">
        <v>199</v>
      </c>
      <c r="S122" s="33" t="n">
        <v>0</v>
      </c>
      <c r="T122" s="33" t="n">
        <v>0</v>
      </c>
    </row>
    <row r="123" customFormat="false" ht="15" hidden="false" customHeight="false" outlineLevel="0" collapsed="false">
      <c r="A123" s="13" t="s">
        <v>313</v>
      </c>
      <c r="B123" s="13" t="s">
        <v>138</v>
      </c>
      <c r="C123" s="13" t="s">
        <v>18</v>
      </c>
      <c r="D123" s="13" t="s">
        <v>101</v>
      </c>
      <c r="E123" s="13" t="s">
        <v>102</v>
      </c>
      <c r="F123" s="13" t="s">
        <v>169</v>
      </c>
      <c r="G123" s="13" t="s">
        <v>170</v>
      </c>
      <c r="H123" s="13" t="s">
        <v>103</v>
      </c>
      <c r="I123" s="13" t="s">
        <v>104</v>
      </c>
      <c r="J123" s="31"/>
      <c r="K123" s="31" t="n">
        <v>168</v>
      </c>
      <c r="L123" s="15" t="str">
        <f aca="false">IF(AND(ISNUMBER(J123),ISNUMBER(K123),K123&gt;0),J123/K123,"")</f>
        <v/>
      </c>
      <c r="M123" s="15" t="n">
        <f aca="false">Controls!$B$7</f>
        <v>0.025</v>
      </c>
      <c r="N123" s="15" t="str">
        <f aca="false">IF(P123=1,L123*(1-M123),"")</f>
        <v/>
      </c>
      <c r="O123" s="15" t="str">
        <f aca="false">IF(P123=1,N123-Controls!$B$8,"")</f>
        <v/>
      </c>
      <c r="P123" s="32" t="n">
        <f aca="false">IF(AND(ISNUMBER(J123),ISNUMBER(K123),K123&gt;0),1,0)</f>
        <v>0</v>
      </c>
      <c r="Q123" s="16" t="str">
        <f aca="false">IF(P123=0,"UNQUANTIFIED",IF(O123&gt;=0,"CLOSE","NEGATIVE"))</f>
        <v>UNQUANTIFIED</v>
      </c>
      <c r="R123" s="33" t="s">
        <v>217</v>
      </c>
      <c r="S123" s="33" t="n">
        <v>0</v>
      </c>
      <c r="T123" s="33" t="n">
        <v>0</v>
      </c>
    </row>
    <row r="124" customFormat="false" ht="15" hidden="false" customHeight="false" outlineLevel="0" collapsed="false">
      <c r="A124" s="13" t="s">
        <v>314</v>
      </c>
      <c r="B124" s="13" t="s">
        <v>138</v>
      </c>
      <c r="C124" s="13" t="s">
        <v>18</v>
      </c>
      <c r="D124" s="13" t="s">
        <v>101</v>
      </c>
      <c r="E124" s="13" t="s">
        <v>102</v>
      </c>
      <c r="F124" s="13" t="s">
        <v>172</v>
      </c>
      <c r="G124" s="13" t="s">
        <v>173</v>
      </c>
      <c r="H124" s="13" t="s">
        <v>103</v>
      </c>
      <c r="I124" s="13" t="s">
        <v>104</v>
      </c>
      <c r="J124" s="31"/>
      <c r="K124" s="31"/>
      <c r="L124" s="15" t="str">
        <f aca="false">IF(AND(ISNUMBER(J124),ISNUMBER(K124),K124&gt;0),J124/K124,"")</f>
        <v/>
      </c>
      <c r="M124" s="15" t="n">
        <f aca="false">Controls!$B$7</f>
        <v>0.025</v>
      </c>
      <c r="N124" s="15" t="str">
        <f aca="false">IF(P124=1,L124*(1-M124),"")</f>
        <v/>
      </c>
      <c r="O124" s="15" t="str">
        <f aca="false">IF(P124=1,N124-Controls!$B$8,"")</f>
        <v/>
      </c>
      <c r="P124" s="32" t="n">
        <f aca="false">IF(AND(ISNUMBER(J124),ISNUMBER(K124),K124&gt;0),1,0)</f>
        <v>0</v>
      </c>
      <c r="Q124" s="16" t="str">
        <f aca="false">IF(P124=0,"UNQUANTIFIED",IF(O124&gt;=0,"CLOSE","NEGATIVE"))</f>
        <v>UNQUANTIFIED</v>
      </c>
      <c r="R124" s="33" t="s">
        <v>217</v>
      </c>
      <c r="S124" s="33" t="n">
        <v>0</v>
      </c>
      <c r="T124" s="33" t="n">
        <v>0</v>
      </c>
    </row>
    <row r="125" customFormat="false" ht="15" hidden="false" customHeight="false" outlineLevel="0" collapsed="false">
      <c r="A125" s="13" t="s">
        <v>315</v>
      </c>
      <c r="B125" s="13" t="s">
        <v>138</v>
      </c>
      <c r="C125" s="13" t="s">
        <v>18</v>
      </c>
      <c r="D125" s="13" t="s">
        <v>101</v>
      </c>
      <c r="E125" s="13" t="s">
        <v>102</v>
      </c>
      <c r="F125" s="13" t="s">
        <v>175</v>
      </c>
      <c r="G125" s="13" t="s">
        <v>176</v>
      </c>
      <c r="H125" s="13" t="s">
        <v>103</v>
      </c>
      <c r="I125" s="13" t="s">
        <v>104</v>
      </c>
      <c r="J125" s="31"/>
      <c r="K125" s="31" t="n">
        <v>168</v>
      </c>
      <c r="L125" s="15" t="str">
        <f aca="false">IF(AND(ISNUMBER(J125),ISNUMBER(K125),K125&gt;0),J125/K125,"")</f>
        <v/>
      </c>
      <c r="M125" s="15" t="n">
        <f aca="false">Controls!$B$7</f>
        <v>0.025</v>
      </c>
      <c r="N125" s="15" t="str">
        <f aca="false">IF(P125=1,L125*(1-M125),"")</f>
        <v/>
      </c>
      <c r="O125" s="15" t="str">
        <f aca="false">IF(P125=1,N125-Controls!$B$8,"")</f>
        <v/>
      </c>
      <c r="P125" s="32" t="n">
        <f aca="false">IF(AND(ISNUMBER(J125),ISNUMBER(K125),K125&gt;0),1,0)</f>
        <v>0</v>
      </c>
      <c r="Q125" s="16" t="str">
        <f aca="false">IF(P125=0,"UNQUANTIFIED",IF(O125&gt;=0,"CLOSE","NEGATIVE"))</f>
        <v>UNQUANTIFIED</v>
      </c>
      <c r="R125" s="33" t="s">
        <v>217</v>
      </c>
      <c r="S125" s="33" t="n">
        <v>0</v>
      </c>
      <c r="T125" s="33" t="n">
        <v>0</v>
      </c>
    </row>
    <row r="126" customFormat="false" ht="15" hidden="false" customHeight="false" outlineLevel="0" collapsed="false">
      <c r="A126" s="13" t="s">
        <v>316</v>
      </c>
      <c r="B126" s="13" t="s">
        <v>138</v>
      </c>
      <c r="C126" s="13" t="s">
        <v>18</v>
      </c>
      <c r="D126" s="13" t="s">
        <v>101</v>
      </c>
      <c r="E126" s="13" t="s">
        <v>102</v>
      </c>
      <c r="F126" s="13" t="s">
        <v>178</v>
      </c>
      <c r="G126" s="13" t="s">
        <v>179</v>
      </c>
      <c r="H126" s="13" t="s">
        <v>103</v>
      </c>
      <c r="I126" s="13" t="s">
        <v>104</v>
      </c>
      <c r="J126" s="31"/>
      <c r="K126" s="31"/>
      <c r="L126" s="15" t="str">
        <f aca="false">IF(AND(ISNUMBER(J126),ISNUMBER(K126),K126&gt;0),J126/K126,"")</f>
        <v/>
      </c>
      <c r="M126" s="15" t="n">
        <f aca="false">Controls!$B$7</f>
        <v>0.025</v>
      </c>
      <c r="N126" s="15" t="str">
        <f aca="false">IF(P126=1,L126*(1-M126),"")</f>
        <v/>
      </c>
      <c r="O126" s="15" t="str">
        <f aca="false">IF(P126=1,N126-Controls!$B$8,"")</f>
        <v/>
      </c>
      <c r="P126" s="32" t="n">
        <f aca="false">IF(AND(ISNUMBER(J126),ISNUMBER(K126),K126&gt;0),1,0)</f>
        <v>0</v>
      </c>
      <c r="Q126" s="16" t="str">
        <f aca="false">IF(P126=0,"UNQUANTIFIED",IF(O126&gt;=0,"CLOSE","NEGATIVE"))</f>
        <v>UNQUANTIFIED</v>
      </c>
      <c r="R126" s="33" t="s">
        <v>217</v>
      </c>
      <c r="S126" s="33" t="n">
        <v>0</v>
      </c>
      <c r="T126" s="33" t="n">
        <v>0</v>
      </c>
    </row>
    <row r="127" customFormat="false" ht="15" hidden="false" customHeight="false" outlineLevel="0" collapsed="false">
      <c r="A127" s="13" t="s">
        <v>317</v>
      </c>
      <c r="B127" s="13" t="s">
        <v>144</v>
      </c>
      <c r="C127" s="13" t="s">
        <v>20</v>
      </c>
      <c r="D127" s="13" t="s">
        <v>73</v>
      </c>
      <c r="E127" s="13" t="s">
        <v>74</v>
      </c>
      <c r="F127" s="13" t="s">
        <v>169</v>
      </c>
      <c r="G127" s="13" t="s">
        <v>170</v>
      </c>
      <c r="H127" s="13" t="s">
        <v>75</v>
      </c>
      <c r="I127" s="13" t="s">
        <v>76</v>
      </c>
      <c r="J127" s="31" t="n">
        <v>84000</v>
      </c>
      <c r="K127" s="31" t="n">
        <v>72000</v>
      </c>
      <c r="L127" s="15" t="n">
        <f aca="false">IF(AND(ISNUMBER(J127),ISNUMBER(K127),K127&gt;0),J127/K127,"")</f>
        <v>1.16666666666667</v>
      </c>
      <c r="M127" s="15" t="n">
        <f aca="false">Controls!$B$7</f>
        <v>0.025</v>
      </c>
      <c r="N127" s="15" t="n">
        <f aca="false">IF(P127=1,L127*(1-M127),"")</f>
        <v>1.1375</v>
      </c>
      <c r="O127" s="15" t="n">
        <f aca="false">IF(P127=1,N127-Controls!$B$8,"")</f>
        <v>0.1375</v>
      </c>
      <c r="P127" s="32" t="n">
        <f aca="false">IF(AND(ISNUMBER(J127),ISNUMBER(K127),K127&gt;0),1,0)</f>
        <v>1</v>
      </c>
      <c r="Q127" s="16" t="str">
        <f aca="false">IF(P127=0,"UNQUANTIFIED",IF(O127&gt;=0,"CLOSE","NEGATIVE"))</f>
        <v>CLOSE</v>
      </c>
      <c r="R127" s="33" t="s">
        <v>77</v>
      </c>
      <c r="S127" s="33" t="n">
        <v>0</v>
      </c>
      <c r="T127" s="33" t="n">
        <v>0</v>
      </c>
    </row>
    <row r="128" customFormat="false" ht="15" hidden="false" customHeight="false" outlineLevel="0" collapsed="false">
      <c r="A128" s="13" t="s">
        <v>318</v>
      </c>
      <c r="B128" s="13" t="s">
        <v>144</v>
      </c>
      <c r="C128" s="13" t="s">
        <v>20</v>
      </c>
      <c r="D128" s="13" t="s">
        <v>73</v>
      </c>
      <c r="E128" s="13" t="s">
        <v>74</v>
      </c>
      <c r="F128" s="13" t="s">
        <v>172</v>
      </c>
      <c r="G128" s="13" t="s">
        <v>173</v>
      </c>
      <c r="H128" s="13" t="s">
        <v>75</v>
      </c>
      <c r="I128" s="13" t="s">
        <v>76</v>
      </c>
      <c r="J128" s="31"/>
      <c r="K128" s="31"/>
      <c r="L128" s="15" t="str">
        <f aca="false">IF(AND(ISNUMBER(J128),ISNUMBER(K128),K128&gt;0),J128/K128,"")</f>
        <v/>
      </c>
      <c r="M128" s="15" t="n">
        <f aca="false">Controls!$B$7</f>
        <v>0.025</v>
      </c>
      <c r="N128" s="15" t="str">
        <f aca="false">IF(P128=1,L128*(1-M128),"")</f>
        <v/>
      </c>
      <c r="O128" s="15" t="str">
        <f aca="false">IF(P128=1,N128-Controls!$B$8,"")</f>
        <v/>
      </c>
      <c r="P128" s="32" t="n">
        <f aca="false">IF(AND(ISNUMBER(J128),ISNUMBER(K128),K128&gt;0),1,0)</f>
        <v>0</v>
      </c>
      <c r="Q128" s="16" t="str">
        <f aca="false">IF(P128=0,"UNQUANTIFIED",IF(O128&gt;=0,"CLOSE","NEGATIVE"))</f>
        <v>UNQUANTIFIED</v>
      </c>
      <c r="R128" s="33" t="s">
        <v>196</v>
      </c>
      <c r="S128" s="33" t="n">
        <v>0</v>
      </c>
      <c r="T128" s="33" t="n">
        <v>0</v>
      </c>
    </row>
    <row r="129" customFormat="false" ht="15" hidden="false" customHeight="false" outlineLevel="0" collapsed="false">
      <c r="A129" s="13" t="s">
        <v>319</v>
      </c>
      <c r="B129" s="13" t="s">
        <v>144</v>
      </c>
      <c r="C129" s="13" t="s">
        <v>20</v>
      </c>
      <c r="D129" s="13" t="s">
        <v>73</v>
      </c>
      <c r="E129" s="13" t="s">
        <v>74</v>
      </c>
      <c r="F129" s="13" t="s">
        <v>175</v>
      </c>
      <c r="G129" s="13" t="s">
        <v>176</v>
      </c>
      <c r="H129" s="13" t="s">
        <v>75</v>
      </c>
      <c r="I129" s="13" t="s">
        <v>76</v>
      </c>
      <c r="J129" s="31" t="n">
        <v>75600</v>
      </c>
      <c r="K129" s="31" t="n">
        <v>72000</v>
      </c>
      <c r="L129" s="15" t="n">
        <f aca="false">IF(AND(ISNUMBER(J129),ISNUMBER(K129),K129&gt;0),J129/K129,"")</f>
        <v>1.05</v>
      </c>
      <c r="M129" s="15" t="n">
        <f aca="false">Controls!$B$7</f>
        <v>0.025</v>
      </c>
      <c r="N129" s="15" t="n">
        <f aca="false">IF(P129=1,L129*(1-M129),"")</f>
        <v>1.02375</v>
      </c>
      <c r="O129" s="15" t="n">
        <f aca="false">IF(P129=1,N129-Controls!$B$8,"")</f>
        <v>0.0237499999999999</v>
      </c>
      <c r="P129" s="32" t="n">
        <f aca="false">IF(AND(ISNUMBER(J129),ISNUMBER(K129),K129&gt;0),1,0)</f>
        <v>1</v>
      </c>
      <c r="Q129" s="16" t="str">
        <f aca="false">IF(P129=0,"UNQUANTIFIED",IF(O129&gt;=0,"CLOSE","NEGATIVE"))</f>
        <v>CLOSE</v>
      </c>
      <c r="R129" s="33" t="s">
        <v>77</v>
      </c>
      <c r="S129" s="33" t="n">
        <v>0</v>
      </c>
      <c r="T129" s="33" t="n">
        <v>0</v>
      </c>
    </row>
    <row r="130" customFormat="false" ht="15" hidden="false" customHeight="false" outlineLevel="0" collapsed="false">
      <c r="A130" s="13" t="s">
        <v>320</v>
      </c>
      <c r="B130" s="13" t="s">
        <v>144</v>
      </c>
      <c r="C130" s="13" t="s">
        <v>20</v>
      </c>
      <c r="D130" s="13" t="s">
        <v>73</v>
      </c>
      <c r="E130" s="13" t="s">
        <v>74</v>
      </c>
      <c r="F130" s="13" t="s">
        <v>178</v>
      </c>
      <c r="G130" s="13" t="s">
        <v>179</v>
      </c>
      <c r="H130" s="13" t="s">
        <v>75</v>
      </c>
      <c r="I130" s="13" t="s">
        <v>76</v>
      </c>
      <c r="J130" s="31"/>
      <c r="K130" s="31"/>
      <c r="L130" s="15" t="str">
        <f aca="false">IF(AND(ISNUMBER(J130),ISNUMBER(K130),K130&gt;0),J130/K130,"")</f>
        <v/>
      </c>
      <c r="M130" s="15" t="n">
        <f aca="false">Controls!$B$7</f>
        <v>0.025</v>
      </c>
      <c r="N130" s="15" t="str">
        <f aca="false">IF(P130=1,L130*(1-M130),"")</f>
        <v/>
      </c>
      <c r="O130" s="15" t="str">
        <f aca="false">IF(P130=1,N130-Controls!$B$8,"")</f>
        <v/>
      </c>
      <c r="P130" s="32" t="n">
        <f aca="false">IF(AND(ISNUMBER(J130),ISNUMBER(K130),K130&gt;0),1,0)</f>
        <v>0</v>
      </c>
      <c r="Q130" s="16" t="str">
        <f aca="false">IF(P130=0,"UNQUANTIFIED",IF(O130&gt;=0,"CLOSE","NEGATIVE"))</f>
        <v>UNQUANTIFIED</v>
      </c>
      <c r="R130" s="33" t="s">
        <v>199</v>
      </c>
      <c r="S130" s="33" t="n">
        <v>0</v>
      </c>
      <c r="T130" s="33" t="n">
        <v>0</v>
      </c>
    </row>
    <row r="131" customFormat="false" ht="15" hidden="false" customHeight="false" outlineLevel="0" collapsed="false">
      <c r="A131" s="13" t="s">
        <v>321</v>
      </c>
      <c r="B131" s="13" t="s">
        <v>144</v>
      </c>
      <c r="C131" s="13" t="s">
        <v>20</v>
      </c>
      <c r="D131" s="13" t="s">
        <v>79</v>
      </c>
      <c r="E131" s="13" t="s">
        <v>80</v>
      </c>
      <c r="F131" s="13" t="s">
        <v>169</v>
      </c>
      <c r="G131" s="13" t="s">
        <v>170</v>
      </c>
      <c r="H131" s="13" t="s">
        <v>146</v>
      </c>
      <c r="I131" s="13" t="s">
        <v>82</v>
      </c>
      <c r="J131" s="31" t="n">
        <v>182</v>
      </c>
      <c r="K131" s="31" t="n">
        <v>155</v>
      </c>
      <c r="L131" s="15" t="n">
        <f aca="false">IF(AND(ISNUMBER(J131),ISNUMBER(K131),K131&gt;0),J131/K131,"")</f>
        <v>1.1741935483871</v>
      </c>
      <c r="M131" s="15" t="n">
        <f aca="false">Controls!$B$7</f>
        <v>0.025</v>
      </c>
      <c r="N131" s="15" t="n">
        <f aca="false">IF(P131=1,L131*(1-M131),"")</f>
        <v>1.14483870967742</v>
      </c>
      <c r="O131" s="15" t="n">
        <f aca="false">IF(P131=1,N131-Controls!$B$8,"")</f>
        <v>0.144838709677419</v>
      </c>
      <c r="P131" s="32" t="n">
        <f aca="false">IF(AND(ISNUMBER(J131),ISNUMBER(K131),K131&gt;0),1,0)</f>
        <v>1</v>
      </c>
      <c r="Q131" s="16" t="str">
        <f aca="false">IF(P131=0,"UNQUANTIFIED",IF(O131&gt;=0,"CLOSE","NEGATIVE"))</f>
        <v>CLOSE</v>
      </c>
      <c r="R131" s="33" t="s">
        <v>83</v>
      </c>
      <c r="S131" s="33" t="n">
        <v>0</v>
      </c>
      <c r="T131" s="33" t="n">
        <v>0</v>
      </c>
    </row>
    <row r="132" customFormat="false" ht="15" hidden="false" customHeight="false" outlineLevel="0" collapsed="false">
      <c r="A132" s="13" t="s">
        <v>322</v>
      </c>
      <c r="B132" s="13" t="s">
        <v>144</v>
      </c>
      <c r="C132" s="13" t="s">
        <v>20</v>
      </c>
      <c r="D132" s="13" t="s">
        <v>79</v>
      </c>
      <c r="E132" s="13" t="s">
        <v>80</v>
      </c>
      <c r="F132" s="13" t="s">
        <v>172</v>
      </c>
      <c r="G132" s="13" t="s">
        <v>173</v>
      </c>
      <c r="H132" s="13" t="s">
        <v>146</v>
      </c>
      <c r="I132" s="13" t="s">
        <v>82</v>
      </c>
      <c r="J132" s="31"/>
      <c r="K132" s="31"/>
      <c r="L132" s="15" t="str">
        <f aca="false">IF(AND(ISNUMBER(J132),ISNUMBER(K132),K132&gt;0),J132/K132,"")</f>
        <v/>
      </c>
      <c r="M132" s="15" t="n">
        <f aca="false">Controls!$B$7</f>
        <v>0.025</v>
      </c>
      <c r="N132" s="15" t="str">
        <f aca="false">IF(P132=1,L132*(1-M132),"")</f>
        <v/>
      </c>
      <c r="O132" s="15" t="str">
        <f aca="false">IF(P132=1,N132-Controls!$B$8,"")</f>
        <v/>
      </c>
      <c r="P132" s="32" t="n">
        <f aca="false">IF(AND(ISNUMBER(J132),ISNUMBER(K132),K132&gt;0),1,0)</f>
        <v>0</v>
      </c>
      <c r="Q132" s="16" t="str">
        <f aca="false">IF(P132=0,"UNQUANTIFIED",IF(O132&gt;=0,"CLOSE","NEGATIVE"))</f>
        <v>UNQUANTIFIED</v>
      </c>
      <c r="R132" s="33" t="s">
        <v>196</v>
      </c>
      <c r="S132" s="33" t="n">
        <v>0</v>
      </c>
      <c r="T132" s="33" t="n">
        <v>0</v>
      </c>
    </row>
    <row r="133" customFormat="false" ht="15" hidden="false" customHeight="false" outlineLevel="0" collapsed="false">
      <c r="A133" s="13" t="s">
        <v>323</v>
      </c>
      <c r="B133" s="13" t="s">
        <v>144</v>
      </c>
      <c r="C133" s="13" t="s">
        <v>20</v>
      </c>
      <c r="D133" s="13" t="s">
        <v>79</v>
      </c>
      <c r="E133" s="13" t="s">
        <v>80</v>
      </c>
      <c r="F133" s="13" t="s">
        <v>175</v>
      </c>
      <c r="G133" s="13" t="s">
        <v>176</v>
      </c>
      <c r="H133" s="13" t="s">
        <v>146</v>
      </c>
      <c r="I133" s="13" t="s">
        <v>82</v>
      </c>
      <c r="J133" s="31" t="n">
        <v>156</v>
      </c>
      <c r="K133" s="31" t="n">
        <v>155</v>
      </c>
      <c r="L133" s="15" t="n">
        <f aca="false">IF(AND(ISNUMBER(J133),ISNUMBER(K133),K133&gt;0),J133/K133,"")</f>
        <v>1.00645161290323</v>
      </c>
      <c r="M133" s="15" t="n">
        <f aca="false">Controls!$B$7</f>
        <v>0.025</v>
      </c>
      <c r="N133" s="15" t="n">
        <f aca="false">IF(P133=1,L133*(1-M133),"")</f>
        <v>0.981290322580645</v>
      </c>
      <c r="O133" s="15" t="n">
        <f aca="false">IF(P133=1,N133-Controls!$B$8,"")</f>
        <v>-0.0187096774193549</v>
      </c>
      <c r="P133" s="32" t="n">
        <f aca="false">IF(AND(ISNUMBER(J133),ISNUMBER(K133),K133&gt;0),1,0)</f>
        <v>1</v>
      </c>
      <c r="Q133" s="16" t="str">
        <f aca="false">IF(P133=0,"UNQUANTIFIED",IF(O133&gt;=0,"CLOSE","NEGATIVE"))</f>
        <v>NEGATIVE</v>
      </c>
      <c r="R133" s="33" t="s">
        <v>83</v>
      </c>
      <c r="S133" s="33" t="n">
        <v>0</v>
      </c>
      <c r="T133" s="33" t="n">
        <v>0</v>
      </c>
    </row>
    <row r="134" customFormat="false" ht="15" hidden="false" customHeight="false" outlineLevel="0" collapsed="false">
      <c r="A134" s="13" t="s">
        <v>324</v>
      </c>
      <c r="B134" s="13" t="s">
        <v>144</v>
      </c>
      <c r="C134" s="13" t="s">
        <v>20</v>
      </c>
      <c r="D134" s="13" t="s">
        <v>79</v>
      </c>
      <c r="E134" s="13" t="s">
        <v>80</v>
      </c>
      <c r="F134" s="13" t="s">
        <v>178</v>
      </c>
      <c r="G134" s="13" t="s">
        <v>179</v>
      </c>
      <c r="H134" s="13" t="s">
        <v>146</v>
      </c>
      <c r="I134" s="13" t="s">
        <v>82</v>
      </c>
      <c r="J134" s="31"/>
      <c r="K134" s="31"/>
      <c r="L134" s="15" t="str">
        <f aca="false">IF(AND(ISNUMBER(J134),ISNUMBER(K134),K134&gt;0),J134/K134,"")</f>
        <v/>
      </c>
      <c r="M134" s="15" t="n">
        <f aca="false">Controls!$B$7</f>
        <v>0.025</v>
      </c>
      <c r="N134" s="15" t="str">
        <f aca="false">IF(P134=1,L134*(1-M134),"")</f>
        <v/>
      </c>
      <c r="O134" s="15" t="str">
        <f aca="false">IF(P134=1,N134-Controls!$B$8,"")</f>
        <v/>
      </c>
      <c r="P134" s="32" t="n">
        <f aca="false">IF(AND(ISNUMBER(J134),ISNUMBER(K134),K134&gt;0),1,0)</f>
        <v>0</v>
      </c>
      <c r="Q134" s="16" t="str">
        <f aca="false">IF(P134=0,"UNQUANTIFIED",IF(O134&gt;=0,"CLOSE","NEGATIVE"))</f>
        <v>UNQUANTIFIED</v>
      </c>
      <c r="R134" s="33" t="s">
        <v>199</v>
      </c>
      <c r="S134" s="33" t="n">
        <v>0</v>
      </c>
      <c r="T134" s="33" t="n">
        <v>0</v>
      </c>
    </row>
    <row r="135" customFormat="false" ht="15" hidden="false" customHeight="false" outlineLevel="0" collapsed="false">
      <c r="A135" s="13" t="s">
        <v>325</v>
      </c>
      <c r="B135" s="13" t="s">
        <v>144</v>
      </c>
      <c r="C135" s="13" t="s">
        <v>20</v>
      </c>
      <c r="D135" s="13" t="s">
        <v>85</v>
      </c>
      <c r="E135" s="13" t="s">
        <v>86</v>
      </c>
      <c r="F135" s="13" t="s">
        <v>169</v>
      </c>
      <c r="G135" s="13" t="s">
        <v>170</v>
      </c>
      <c r="H135" s="13" t="s">
        <v>148</v>
      </c>
      <c r="I135" s="13" t="s">
        <v>36</v>
      </c>
      <c r="J135" s="31" t="n">
        <v>1.3</v>
      </c>
      <c r="K135" s="31" t="n">
        <v>1</v>
      </c>
      <c r="L135" s="15" t="n">
        <f aca="false">IF(AND(ISNUMBER(J135),ISNUMBER(K135),K135&gt;0),J135/K135,"")</f>
        <v>1.3</v>
      </c>
      <c r="M135" s="15" t="n">
        <f aca="false">Controls!$B$7</f>
        <v>0.025</v>
      </c>
      <c r="N135" s="15" t="n">
        <f aca="false">IF(P135=1,L135*(1-M135),"")</f>
        <v>1.2675</v>
      </c>
      <c r="O135" s="15" t="n">
        <f aca="false">IF(P135=1,N135-Controls!$B$8,"")</f>
        <v>0.2675</v>
      </c>
      <c r="P135" s="32" t="n">
        <f aca="false">IF(AND(ISNUMBER(J135),ISNUMBER(K135),K135&gt;0),1,0)</f>
        <v>1</v>
      </c>
      <c r="Q135" s="16" t="str">
        <f aca="false">IF(P135=0,"UNQUANTIFIED",IF(O135&gt;=0,"CLOSE","NEGATIVE"))</f>
        <v>CLOSE</v>
      </c>
      <c r="R135" s="33" t="s">
        <v>88</v>
      </c>
      <c r="S135" s="33" t="n">
        <v>0</v>
      </c>
      <c r="T135" s="33" t="n">
        <v>0</v>
      </c>
    </row>
    <row r="136" customFormat="false" ht="15" hidden="false" customHeight="false" outlineLevel="0" collapsed="false">
      <c r="A136" s="13" t="s">
        <v>326</v>
      </c>
      <c r="B136" s="13" t="s">
        <v>144</v>
      </c>
      <c r="C136" s="13" t="s">
        <v>20</v>
      </c>
      <c r="D136" s="13" t="s">
        <v>85</v>
      </c>
      <c r="E136" s="13" t="s">
        <v>86</v>
      </c>
      <c r="F136" s="13" t="s">
        <v>172</v>
      </c>
      <c r="G136" s="13" t="s">
        <v>173</v>
      </c>
      <c r="H136" s="13" t="s">
        <v>148</v>
      </c>
      <c r="I136" s="13" t="s">
        <v>36</v>
      </c>
      <c r="J136" s="31"/>
      <c r="K136" s="31"/>
      <c r="L136" s="15" t="str">
        <f aca="false">IF(AND(ISNUMBER(J136),ISNUMBER(K136),K136&gt;0),J136/K136,"")</f>
        <v/>
      </c>
      <c r="M136" s="15" t="n">
        <f aca="false">Controls!$B$7</f>
        <v>0.025</v>
      </c>
      <c r="N136" s="15" t="str">
        <f aca="false">IF(P136=1,L136*(1-M136),"")</f>
        <v/>
      </c>
      <c r="O136" s="15" t="str">
        <f aca="false">IF(P136=1,N136-Controls!$B$8,"")</f>
        <v/>
      </c>
      <c r="P136" s="32" t="n">
        <f aca="false">IF(AND(ISNUMBER(J136),ISNUMBER(K136),K136&gt;0),1,0)</f>
        <v>0</v>
      </c>
      <c r="Q136" s="16" t="str">
        <f aca="false">IF(P136=0,"UNQUANTIFIED",IF(O136&gt;=0,"CLOSE","NEGATIVE"))</f>
        <v>UNQUANTIFIED</v>
      </c>
      <c r="R136" s="33" t="s">
        <v>196</v>
      </c>
      <c r="S136" s="33" t="n">
        <v>0</v>
      </c>
      <c r="T136" s="33" t="n">
        <v>0</v>
      </c>
    </row>
    <row r="137" customFormat="false" ht="15" hidden="false" customHeight="false" outlineLevel="0" collapsed="false">
      <c r="A137" s="13" t="s">
        <v>327</v>
      </c>
      <c r="B137" s="13" t="s">
        <v>144</v>
      </c>
      <c r="C137" s="13" t="s">
        <v>20</v>
      </c>
      <c r="D137" s="13" t="s">
        <v>85</v>
      </c>
      <c r="E137" s="13" t="s">
        <v>86</v>
      </c>
      <c r="F137" s="13" t="s">
        <v>175</v>
      </c>
      <c r="G137" s="13" t="s">
        <v>176</v>
      </c>
      <c r="H137" s="13" t="s">
        <v>148</v>
      </c>
      <c r="I137" s="13" t="s">
        <v>36</v>
      </c>
      <c r="J137" s="31" t="n">
        <v>1.04</v>
      </c>
      <c r="K137" s="31" t="n">
        <v>1</v>
      </c>
      <c r="L137" s="15" t="n">
        <f aca="false">IF(AND(ISNUMBER(J137),ISNUMBER(K137),K137&gt;0),J137/K137,"")</f>
        <v>1.04</v>
      </c>
      <c r="M137" s="15" t="n">
        <f aca="false">Controls!$B$7</f>
        <v>0.025</v>
      </c>
      <c r="N137" s="15" t="n">
        <f aca="false">IF(P137=1,L137*(1-M137),"")</f>
        <v>1.014</v>
      </c>
      <c r="O137" s="15" t="n">
        <f aca="false">IF(P137=1,N137-Controls!$B$8,"")</f>
        <v>0.014</v>
      </c>
      <c r="P137" s="32" t="n">
        <f aca="false">IF(AND(ISNUMBER(J137),ISNUMBER(K137),K137&gt;0),1,0)</f>
        <v>1</v>
      </c>
      <c r="Q137" s="16" t="str">
        <f aca="false">IF(P137=0,"UNQUANTIFIED",IF(O137&gt;=0,"CLOSE","NEGATIVE"))</f>
        <v>CLOSE</v>
      </c>
      <c r="R137" s="33" t="s">
        <v>88</v>
      </c>
      <c r="S137" s="33" t="n">
        <v>0</v>
      </c>
      <c r="T137" s="33" t="n">
        <v>0</v>
      </c>
    </row>
    <row r="138" customFormat="false" ht="15" hidden="false" customHeight="false" outlineLevel="0" collapsed="false">
      <c r="A138" s="13" t="s">
        <v>328</v>
      </c>
      <c r="B138" s="13" t="s">
        <v>144</v>
      </c>
      <c r="C138" s="13" t="s">
        <v>20</v>
      </c>
      <c r="D138" s="13" t="s">
        <v>85</v>
      </c>
      <c r="E138" s="13" t="s">
        <v>86</v>
      </c>
      <c r="F138" s="13" t="s">
        <v>178</v>
      </c>
      <c r="G138" s="13" t="s">
        <v>179</v>
      </c>
      <c r="H138" s="13" t="s">
        <v>148</v>
      </c>
      <c r="I138" s="13" t="s">
        <v>36</v>
      </c>
      <c r="J138" s="31"/>
      <c r="K138" s="31"/>
      <c r="L138" s="15" t="str">
        <f aca="false">IF(AND(ISNUMBER(J138),ISNUMBER(K138),K138&gt;0),J138/K138,"")</f>
        <v/>
      </c>
      <c r="M138" s="15" t="n">
        <f aca="false">Controls!$B$7</f>
        <v>0.025</v>
      </c>
      <c r="N138" s="15" t="str">
        <f aca="false">IF(P138=1,L138*(1-M138),"")</f>
        <v/>
      </c>
      <c r="O138" s="15" t="str">
        <f aca="false">IF(P138=1,N138-Controls!$B$8,"")</f>
        <v/>
      </c>
      <c r="P138" s="32" t="n">
        <f aca="false">IF(AND(ISNUMBER(J138),ISNUMBER(K138),K138&gt;0),1,0)</f>
        <v>0</v>
      </c>
      <c r="Q138" s="16" t="str">
        <f aca="false">IF(P138=0,"UNQUANTIFIED",IF(O138&gt;=0,"CLOSE","NEGATIVE"))</f>
        <v>UNQUANTIFIED</v>
      </c>
      <c r="R138" s="33" t="s">
        <v>199</v>
      </c>
      <c r="S138" s="33" t="n">
        <v>0</v>
      </c>
      <c r="T138" s="33" t="n">
        <v>0</v>
      </c>
    </row>
    <row r="139" customFormat="false" ht="15" hidden="false" customHeight="false" outlineLevel="0" collapsed="false">
      <c r="A139" s="13" t="s">
        <v>329</v>
      </c>
      <c r="B139" s="13" t="s">
        <v>144</v>
      </c>
      <c r="C139" s="13" t="s">
        <v>20</v>
      </c>
      <c r="D139" s="13" t="s">
        <v>90</v>
      </c>
      <c r="E139" s="13" t="s">
        <v>91</v>
      </c>
      <c r="F139" s="13" t="s">
        <v>169</v>
      </c>
      <c r="G139" s="13" t="s">
        <v>170</v>
      </c>
      <c r="H139" s="13" t="s">
        <v>92</v>
      </c>
      <c r="I139" s="13" t="s">
        <v>36</v>
      </c>
      <c r="J139" s="31" t="n">
        <v>1.18125</v>
      </c>
      <c r="K139" s="31" t="n">
        <v>1</v>
      </c>
      <c r="L139" s="15" t="n">
        <f aca="false">IF(AND(ISNUMBER(J139),ISNUMBER(K139),K139&gt;0),J139/K139,"")</f>
        <v>1.18125</v>
      </c>
      <c r="M139" s="15" t="n">
        <f aca="false">Controls!$B$7</f>
        <v>0.025</v>
      </c>
      <c r="N139" s="15" t="n">
        <f aca="false">IF(P139=1,L139*(1-M139),"")</f>
        <v>1.15171875</v>
      </c>
      <c r="O139" s="15" t="n">
        <f aca="false">IF(P139=1,N139-Controls!$B$8,"")</f>
        <v>0.15171875</v>
      </c>
      <c r="P139" s="32" t="n">
        <f aca="false">IF(AND(ISNUMBER(J139),ISNUMBER(K139),K139&gt;0),1,0)</f>
        <v>1</v>
      </c>
      <c r="Q139" s="16" t="str">
        <f aca="false">IF(P139=0,"UNQUANTIFIED",IF(O139&gt;=0,"CLOSE","NEGATIVE"))</f>
        <v>CLOSE</v>
      </c>
      <c r="R139" s="33" t="s">
        <v>93</v>
      </c>
      <c r="S139" s="33" t="n">
        <v>0</v>
      </c>
      <c r="T139" s="33" t="n">
        <v>0</v>
      </c>
    </row>
    <row r="140" customFormat="false" ht="15" hidden="false" customHeight="false" outlineLevel="0" collapsed="false">
      <c r="A140" s="13" t="s">
        <v>330</v>
      </c>
      <c r="B140" s="13" t="s">
        <v>144</v>
      </c>
      <c r="C140" s="13" t="s">
        <v>20</v>
      </c>
      <c r="D140" s="13" t="s">
        <v>90</v>
      </c>
      <c r="E140" s="13" t="s">
        <v>91</v>
      </c>
      <c r="F140" s="13" t="s">
        <v>172</v>
      </c>
      <c r="G140" s="13" t="s">
        <v>173</v>
      </c>
      <c r="H140" s="13" t="s">
        <v>92</v>
      </c>
      <c r="I140" s="13" t="s">
        <v>36</v>
      </c>
      <c r="J140" s="31"/>
      <c r="K140" s="31"/>
      <c r="L140" s="15" t="str">
        <f aca="false">IF(AND(ISNUMBER(J140),ISNUMBER(K140),K140&gt;0),J140/K140,"")</f>
        <v/>
      </c>
      <c r="M140" s="15" t="n">
        <f aca="false">Controls!$B$7</f>
        <v>0.025</v>
      </c>
      <c r="N140" s="15" t="str">
        <f aca="false">IF(P140=1,L140*(1-M140),"")</f>
        <v/>
      </c>
      <c r="O140" s="15" t="str">
        <f aca="false">IF(P140=1,N140-Controls!$B$8,"")</f>
        <v/>
      </c>
      <c r="P140" s="32" t="n">
        <f aca="false">IF(AND(ISNUMBER(J140),ISNUMBER(K140),K140&gt;0),1,0)</f>
        <v>0</v>
      </c>
      <c r="Q140" s="16" t="str">
        <f aca="false">IF(P140=0,"UNQUANTIFIED",IF(O140&gt;=0,"CLOSE","NEGATIVE"))</f>
        <v>UNQUANTIFIED</v>
      </c>
      <c r="R140" s="33" t="s">
        <v>196</v>
      </c>
      <c r="S140" s="33" t="n">
        <v>0</v>
      </c>
      <c r="T140" s="33" t="n">
        <v>0</v>
      </c>
    </row>
    <row r="141" customFormat="false" ht="15" hidden="false" customHeight="false" outlineLevel="0" collapsed="false">
      <c r="A141" s="13" t="s">
        <v>331</v>
      </c>
      <c r="B141" s="13" t="s">
        <v>144</v>
      </c>
      <c r="C141" s="13" t="s">
        <v>20</v>
      </c>
      <c r="D141" s="13" t="s">
        <v>90</v>
      </c>
      <c r="E141" s="13" t="s">
        <v>91</v>
      </c>
      <c r="F141" s="13" t="s">
        <v>175</v>
      </c>
      <c r="G141" s="13" t="s">
        <v>176</v>
      </c>
      <c r="H141" s="13" t="s">
        <v>92</v>
      </c>
      <c r="I141" s="13" t="s">
        <v>36</v>
      </c>
      <c r="J141" s="31" t="n">
        <v>1.05</v>
      </c>
      <c r="K141" s="31" t="n">
        <v>1</v>
      </c>
      <c r="L141" s="15" t="n">
        <f aca="false">IF(AND(ISNUMBER(J141),ISNUMBER(K141),K141&gt;0),J141/K141,"")</f>
        <v>1.05</v>
      </c>
      <c r="M141" s="15" t="n">
        <f aca="false">Controls!$B$7</f>
        <v>0.025</v>
      </c>
      <c r="N141" s="15" t="n">
        <f aca="false">IF(P141=1,L141*(1-M141),"")</f>
        <v>1.02375</v>
      </c>
      <c r="O141" s="15" t="n">
        <f aca="false">IF(P141=1,N141-Controls!$B$8,"")</f>
        <v>0.0237499999999999</v>
      </c>
      <c r="P141" s="32" t="n">
        <f aca="false">IF(AND(ISNUMBER(J141),ISNUMBER(K141),K141&gt;0),1,0)</f>
        <v>1</v>
      </c>
      <c r="Q141" s="16" t="str">
        <f aca="false">IF(P141=0,"UNQUANTIFIED",IF(O141&gt;=0,"CLOSE","NEGATIVE"))</f>
        <v>CLOSE</v>
      </c>
      <c r="R141" s="33" t="s">
        <v>93</v>
      </c>
      <c r="S141" s="33" t="n">
        <v>0</v>
      </c>
      <c r="T141" s="33" t="n">
        <v>0</v>
      </c>
    </row>
    <row r="142" customFormat="false" ht="15" hidden="false" customHeight="false" outlineLevel="0" collapsed="false">
      <c r="A142" s="13" t="s">
        <v>332</v>
      </c>
      <c r="B142" s="13" t="s">
        <v>144</v>
      </c>
      <c r="C142" s="13" t="s">
        <v>20</v>
      </c>
      <c r="D142" s="13" t="s">
        <v>90</v>
      </c>
      <c r="E142" s="13" t="s">
        <v>91</v>
      </c>
      <c r="F142" s="13" t="s">
        <v>178</v>
      </c>
      <c r="G142" s="13" t="s">
        <v>179</v>
      </c>
      <c r="H142" s="13" t="s">
        <v>92</v>
      </c>
      <c r="I142" s="13" t="s">
        <v>36</v>
      </c>
      <c r="J142" s="31"/>
      <c r="K142" s="31"/>
      <c r="L142" s="15" t="str">
        <f aca="false">IF(AND(ISNUMBER(J142),ISNUMBER(K142),K142&gt;0),J142/K142,"")</f>
        <v/>
      </c>
      <c r="M142" s="15" t="n">
        <f aca="false">Controls!$B$7</f>
        <v>0.025</v>
      </c>
      <c r="N142" s="15" t="str">
        <f aca="false">IF(P142=1,L142*(1-M142),"")</f>
        <v/>
      </c>
      <c r="O142" s="15" t="str">
        <f aca="false">IF(P142=1,N142-Controls!$B$8,"")</f>
        <v/>
      </c>
      <c r="P142" s="32" t="n">
        <f aca="false">IF(AND(ISNUMBER(J142),ISNUMBER(K142),K142&gt;0),1,0)</f>
        <v>0</v>
      </c>
      <c r="Q142" s="16" t="str">
        <f aca="false">IF(P142=0,"UNQUANTIFIED",IF(O142&gt;=0,"CLOSE","NEGATIVE"))</f>
        <v>UNQUANTIFIED</v>
      </c>
      <c r="R142" s="33" t="s">
        <v>199</v>
      </c>
      <c r="S142" s="33" t="n">
        <v>0</v>
      </c>
      <c r="T142" s="33" t="n">
        <v>0</v>
      </c>
    </row>
    <row r="143" customFormat="false" ht="15" hidden="false" customHeight="false" outlineLevel="0" collapsed="false">
      <c r="A143" s="13" t="s">
        <v>333</v>
      </c>
      <c r="B143" s="13" t="s">
        <v>144</v>
      </c>
      <c r="C143" s="13" t="s">
        <v>20</v>
      </c>
      <c r="D143" s="13" t="s">
        <v>95</v>
      </c>
      <c r="E143" s="13" t="s">
        <v>96</v>
      </c>
      <c r="F143" s="13" t="s">
        <v>169</v>
      </c>
      <c r="G143" s="13" t="s">
        <v>170</v>
      </c>
      <c r="H143" s="13" t="s">
        <v>112</v>
      </c>
      <c r="I143" s="13" t="s">
        <v>98</v>
      </c>
      <c r="J143" s="31" t="n">
        <v>1512</v>
      </c>
      <c r="K143" s="31" t="n">
        <v>1200</v>
      </c>
      <c r="L143" s="15" t="n">
        <f aca="false">IF(AND(ISNUMBER(J143),ISNUMBER(K143),K143&gt;0),J143/K143,"")</f>
        <v>1.26</v>
      </c>
      <c r="M143" s="15" t="n">
        <f aca="false">Controls!$B$7</f>
        <v>0.025</v>
      </c>
      <c r="N143" s="15" t="n">
        <f aca="false">IF(P143=1,L143*(1-M143),"")</f>
        <v>1.2285</v>
      </c>
      <c r="O143" s="15" t="n">
        <f aca="false">IF(P143=1,N143-Controls!$B$8,"")</f>
        <v>0.2285</v>
      </c>
      <c r="P143" s="32" t="n">
        <f aca="false">IF(AND(ISNUMBER(J143),ISNUMBER(K143),K143&gt;0),1,0)</f>
        <v>1</v>
      </c>
      <c r="Q143" s="16" t="str">
        <f aca="false">IF(P143=0,"UNQUANTIFIED",IF(O143&gt;=0,"CLOSE","NEGATIVE"))</f>
        <v>CLOSE</v>
      </c>
      <c r="R143" s="33" t="s">
        <v>99</v>
      </c>
      <c r="S143" s="33" t="n">
        <v>0</v>
      </c>
      <c r="T143" s="33" t="n">
        <v>0</v>
      </c>
    </row>
    <row r="144" customFormat="false" ht="15" hidden="false" customHeight="false" outlineLevel="0" collapsed="false">
      <c r="A144" s="13" t="s">
        <v>334</v>
      </c>
      <c r="B144" s="13" t="s">
        <v>144</v>
      </c>
      <c r="C144" s="13" t="s">
        <v>20</v>
      </c>
      <c r="D144" s="13" t="s">
        <v>95</v>
      </c>
      <c r="E144" s="13" t="s">
        <v>96</v>
      </c>
      <c r="F144" s="13" t="s">
        <v>172</v>
      </c>
      <c r="G144" s="13" t="s">
        <v>173</v>
      </c>
      <c r="H144" s="13" t="s">
        <v>112</v>
      </c>
      <c r="I144" s="13" t="s">
        <v>98</v>
      </c>
      <c r="J144" s="31"/>
      <c r="K144" s="31"/>
      <c r="L144" s="15" t="str">
        <f aca="false">IF(AND(ISNUMBER(J144),ISNUMBER(K144),K144&gt;0),J144/K144,"")</f>
        <v/>
      </c>
      <c r="M144" s="15" t="n">
        <f aca="false">Controls!$B$7</f>
        <v>0.025</v>
      </c>
      <c r="N144" s="15" t="str">
        <f aca="false">IF(P144=1,L144*(1-M144),"")</f>
        <v/>
      </c>
      <c r="O144" s="15" t="str">
        <f aca="false">IF(P144=1,N144-Controls!$B$8,"")</f>
        <v/>
      </c>
      <c r="P144" s="32" t="n">
        <f aca="false">IF(AND(ISNUMBER(J144),ISNUMBER(K144),K144&gt;0),1,0)</f>
        <v>0</v>
      </c>
      <c r="Q144" s="16" t="str">
        <f aca="false">IF(P144=0,"UNQUANTIFIED",IF(O144&gt;=0,"CLOSE","NEGATIVE"))</f>
        <v>UNQUANTIFIED</v>
      </c>
      <c r="R144" s="33" t="s">
        <v>196</v>
      </c>
      <c r="S144" s="33" t="n">
        <v>0</v>
      </c>
      <c r="T144" s="33" t="n">
        <v>0</v>
      </c>
    </row>
    <row r="145" customFormat="false" ht="15" hidden="false" customHeight="false" outlineLevel="0" collapsed="false">
      <c r="A145" s="13" t="s">
        <v>335</v>
      </c>
      <c r="B145" s="13" t="s">
        <v>144</v>
      </c>
      <c r="C145" s="13" t="s">
        <v>20</v>
      </c>
      <c r="D145" s="13" t="s">
        <v>95</v>
      </c>
      <c r="E145" s="13" t="s">
        <v>96</v>
      </c>
      <c r="F145" s="13" t="s">
        <v>175</v>
      </c>
      <c r="G145" s="13" t="s">
        <v>176</v>
      </c>
      <c r="H145" s="13" t="s">
        <v>112</v>
      </c>
      <c r="I145" s="13" t="s">
        <v>98</v>
      </c>
      <c r="J145" s="31" t="n">
        <v>1260</v>
      </c>
      <c r="K145" s="31" t="n">
        <v>1200</v>
      </c>
      <c r="L145" s="15" t="n">
        <f aca="false">IF(AND(ISNUMBER(J145),ISNUMBER(K145),K145&gt;0),J145/K145,"")</f>
        <v>1.05</v>
      </c>
      <c r="M145" s="15" t="n">
        <f aca="false">Controls!$B$7</f>
        <v>0.025</v>
      </c>
      <c r="N145" s="15" t="n">
        <f aca="false">IF(P145=1,L145*(1-M145),"")</f>
        <v>1.02375</v>
      </c>
      <c r="O145" s="15" t="n">
        <f aca="false">IF(P145=1,N145-Controls!$B$8,"")</f>
        <v>0.0237499999999999</v>
      </c>
      <c r="P145" s="32" t="n">
        <f aca="false">IF(AND(ISNUMBER(J145),ISNUMBER(K145),K145&gt;0),1,0)</f>
        <v>1</v>
      </c>
      <c r="Q145" s="16" t="str">
        <f aca="false">IF(P145=0,"UNQUANTIFIED",IF(O145&gt;=0,"CLOSE","NEGATIVE"))</f>
        <v>CLOSE</v>
      </c>
      <c r="R145" s="33" t="s">
        <v>99</v>
      </c>
      <c r="S145" s="33" t="n">
        <v>0</v>
      </c>
      <c r="T145" s="33" t="n">
        <v>0</v>
      </c>
    </row>
    <row r="146" customFormat="false" ht="15" hidden="false" customHeight="false" outlineLevel="0" collapsed="false">
      <c r="A146" s="13" t="s">
        <v>336</v>
      </c>
      <c r="B146" s="13" t="s">
        <v>144</v>
      </c>
      <c r="C146" s="13" t="s">
        <v>20</v>
      </c>
      <c r="D146" s="13" t="s">
        <v>95</v>
      </c>
      <c r="E146" s="13" t="s">
        <v>96</v>
      </c>
      <c r="F146" s="13" t="s">
        <v>178</v>
      </c>
      <c r="G146" s="13" t="s">
        <v>179</v>
      </c>
      <c r="H146" s="13" t="s">
        <v>112</v>
      </c>
      <c r="I146" s="13" t="s">
        <v>98</v>
      </c>
      <c r="J146" s="31"/>
      <c r="K146" s="31"/>
      <c r="L146" s="15" t="str">
        <f aca="false">IF(AND(ISNUMBER(J146),ISNUMBER(K146),K146&gt;0),J146/K146,"")</f>
        <v/>
      </c>
      <c r="M146" s="15" t="n">
        <f aca="false">Controls!$B$7</f>
        <v>0.025</v>
      </c>
      <c r="N146" s="15" t="str">
        <f aca="false">IF(P146=1,L146*(1-M146),"")</f>
        <v/>
      </c>
      <c r="O146" s="15" t="str">
        <f aca="false">IF(P146=1,N146-Controls!$B$8,"")</f>
        <v/>
      </c>
      <c r="P146" s="32" t="n">
        <f aca="false">IF(AND(ISNUMBER(J146),ISNUMBER(K146),K146&gt;0),1,0)</f>
        <v>0</v>
      </c>
      <c r="Q146" s="16" t="str">
        <f aca="false">IF(P146=0,"UNQUANTIFIED",IF(O146&gt;=0,"CLOSE","NEGATIVE"))</f>
        <v>UNQUANTIFIED</v>
      </c>
      <c r="R146" s="33" t="s">
        <v>199</v>
      </c>
      <c r="S146" s="33" t="n">
        <v>0</v>
      </c>
      <c r="T146" s="33" t="n">
        <v>0</v>
      </c>
    </row>
    <row r="147" customFormat="false" ht="15" hidden="false" customHeight="false" outlineLevel="0" collapsed="false">
      <c r="A147" s="13" t="s">
        <v>337</v>
      </c>
      <c r="B147" s="13" t="s">
        <v>144</v>
      </c>
      <c r="C147" s="13" t="s">
        <v>20</v>
      </c>
      <c r="D147" s="13" t="s">
        <v>101</v>
      </c>
      <c r="E147" s="13" t="s">
        <v>102</v>
      </c>
      <c r="F147" s="13" t="s">
        <v>169</v>
      </c>
      <c r="G147" s="13" t="s">
        <v>170</v>
      </c>
      <c r="H147" s="13" t="s">
        <v>103</v>
      </c>
      <c r="I147" s="13" t="s">
        <v>104</v>
      </c>
      <c r="J147" s="31"/>
      <c r="K147" s="31" t="n">
        <v>168</v>
      </c>
      <c r="L147" s="15" t="str">
        <f aca="false">IF(AND(ISNUMBER(J147),ISNUMBER(K147),K147&gt;0),J147/K147,"")</f>
        <v/>
      </c>
      <c r="M147" s="15" t="n">
        <f aca="false">Controls!$B$7</f>
        <v>0.025</v>
      </c>
      <c r="N147" s="15" t="str">
        <f aca="false">IF(P147=1,L147*(1-M147),"")</f>
        <v/>
      </c>
      <c r="O147" s="15" t="str">
        <f aca="false">IF(P147=1,N147-Controls!$B$8,"")</f>
        <v/>
      </c>
      <c r="P147" s="32" t="n">
        <f aca="false">IF(AND(ISNUMBER(J147),ISNUMBER(K147),K147&gt;0),1,0)</f>
        <v>0</v>
      </c>
      <c r="Q147" s="16" t="str">
        <f aca="false">IF(P147=0,"UNQUANTIFIED",IF(O147&gt;=0,"CLOSE","NEGATIVE"))</f>
        <v>UNQUANTIFIED</v>
      </c>
      <c r="R147" s="33" t="s">
        <v>217</v>
      </c>
      <c r="S147" s="33" t="n">
        <v>0</v>
      </c>
      <c r="T147" s="33" t="n">
        <v>0</v>
      </c>
    </row>
    <row r="148" customFormat="false" ht="15" hidden="false" customHeight="false" outlineLevel="0" collapsed="false">
      <c r="A148" s="13" t="s">
        <v>338</v>
      </c>
      <c r="B148" s="13" t="s">
        <v>144</v>
      </c>
      <c r="C148" s="13" t="s">
        <v>20</v>
      </c>
      <c r="D148" s="13" t="s">
        <v>101</v>
      </c>
      <c r="E148" s="13" t="s">
        <v>102</v>
      </c>
      <c r="F148" s="13" t="s">
        <v>172</v>
      </c>
      <c r="G148" s="13" t="s">
        <v>173</v>
      </c>
      <c r="H148" s="13" t="s">
        <v>103</v>
      </c>
      <c r="I148" s="13" t="s">
        <v>104</v>
      </c>
      <c r="J148" s="31"/>
      <c r="K148" s="31"/>
      <c r="L148" s="15" t="str">
        <f aca="false">IF(AND(ISNUMBER(J148),ISNUMBER(K148),K148&gt;0),J148/K148,"")</f>
        <v/>
      </c>
      <c r="M148" s="15" t="n">
        <f aca="false">Controls!$B$7</f>
        <v>0.025</v>
      </c>
      <c r="N148" s="15" t="str">
        <f aca="false">IF(P148=1,L148*(1-M148),"")</f>
        <v/>
      </c>
      <c r="O148" s="15" t="str">
        <f aca="false">IF(P148=1,N148-Controls!$B$8,"")</f>
        <v/>
      </c>
      <c r="P148" s="32" t="n">
        <f aca="false">IF(AND(ISNUMBER(J148),ISNUMBER(K148),K148&gt;0),1,0)</f>
        <v>0</v>
      </c>
      <c r="Q148" s="16" t="str">
        <f aca="false">IF(P148=0,"UNQUANTIFIED",IF(O148&gt;=0,"CLOSE","NEGATIVE"))</f>
        <v>UNQUANTIFIED</v>
      </c>
      <c r="R148" s="33" t="s">
        <v>217</v>
      </c>
      <c r="S148" s="33" t="n">
        <v>0</v>
      </c>
      <c r="T148" s="33" t="n">
        <v>0</v>
      </c>
    </row>
    <row r="149" customFormat="false" ht="15" hidden="false" customHeight="false" outlineLevel="0" collapsed="false">
      <c r="A149" s="13" t="s">
        <v>339</v>
      </c>
      <c r="B149" s="13" t="s">
        <v>144</v>
      </c>
      <c r="C149" s="13" t="s">
        <v>20</v>
      </c>
      <c r="D149" s="13" t="s">
        <v>101</v>
      </c>
      <c r="E149" s="13" t="s">
        <v>102</v>
      </c>
      <c r="F149" s="13" t="s">
        <v>175</v>
      </c>
      <c r="G149" s="13" t="s">
        <v>176</v>
      </c>
      <c r="H149" s="13" t="s">
        <v>103</v>
      </c>
      <c r="I149" s="13" t="s">
        <v>104</v>
      </c>
      <c r="J149" s="31"/>
      <c r="K149" s="31" t="n">
        <v>168</v>
      </c>
      <c r="L149" s="15" t="str">
        <f aca="false">IF(AND(ISNUMBER(J149),ISNUMBER(K149),K149&gt;0),J149/K149,"")</f>
        <v/>
      </c>
      <c r="M149" s="15" t="n">
        <f aca="false">Controls!$B$7</f>
        <v>0.025</v>
      </c>
      <c r="N149" s="15" t="str">
        <f aca="false">IF(P149=1,L149*(1-M149),"")</f>
        <v/>
      </c>
      <c r="O149" s="15" t="str">
        <f aca="false">IF(P149=1,N149-Controls!$B$8,"")</f>
        <v/>
      </c>
      <c r="P149" s="32" t="n">
        <f aca="false">IF(AND(ISNUMBER(J149),ISNUMBER(K149),K149&gt;0),1,0)</f>
        <v>0</v>
      </c>
      <c r="Q149" s="16" t="str">
        <f aca="false">IF(P149=0,"UNQUANTIFIED",IF(O149&gt;=0,"CLOSE","NEGATIVE"))</f>
        <v>UNQUANTIFIED</v>
      </c>
      <c r="R149" s="33" t="s">
        <v>217</v>
      </c>
      <c r="S149" s="33" t="n">
        <v>0</v>
      </c>
      <c r="T149" s="33" t="n">
        <v>0</v>
      </c>
    </row>
    <row r="150" customFormat="false" ht="15" hidden="false" customHeight="false" outlineLevel="0" collapsed="false">
      <c r="A150" s="21" t="s">
        <v>340</v>
      </c>
      <c r="B150" s="21" t="s">
        <v>144</v>
      </c>
      <c r="C150" s="21" t="s">
        <v>20</v>
      </c>
      <c r="D150" s="21" t="s">
        <v>101</v>
      </c>
      <c r="E150" s="21" t="s">
        <v>102</v>
      </c>
      <c r="F150" s="21" t="s">
        <v>178</v>
      </c>
      <c r="G150" s="21" t="s">
        <v>179</v>
      </c>
      <c r="H150" s="21" t="s">
        <v>103</v>
      </c>
      <c r="I150" s="21" t="s">
        <v>104</v>
      </c>
      <c r="J150" s="34"/>
      <c r="K150" s="34"/>
      <c r="L150" s="18" t="str">
        <f aca="false">IF(AND(ISNUMBER(J150),ISNUMBER(K150),K150&gt;0),J150/K150,"")</f>
        <v/>
      </c>
      <c r="M150" s="18" t="n">
        <f aca="false">Controls!$B$7</f>
        <v>0.025</v>
      </c>
      <c r="N150" s="18" t="str">
        <f aca="false">IF(P150=1,L150*(1-M150),"")</f>
        <v/>
      </c>
      <c r="O150" s="18" t="str">
        <f aca="false">IF(P150=1,N150-Controls!$B$8,"")</f>
        <v/>
      </c>
      <c r="P150" s="35" t="n">
        <f aca="false">IF(AND(ISNUMBER(J150),ISNUMBER(K150),K150&gt;0),1,0)</f>
        <v>0</v>
      </c>
      <c r="Q150" s="19" t="str">
        <f aca="false">IF(P150=0,"UNQUANTIFIED",IF(O150&gt;=0,"CLOSE","NEGATIVE"))</f>
        <v>UNQUANTIFIED</v>
      </c>
      <c r="R150" s="36" t="s">
        <v>217</v>
      </c>
      <c r="S150" s="36" t="n">
        <v>0</v>
      </c>
      <c r="T150" s="36" t="n">
        <v>0</v>
      </c>
    </row>
  </sheetData>
  <mergeCells count="2">
    <mergeCell ref="A2:T2"/>
    <mergeCell ref="A4:T4"/>
  </mergeCells>
  <conditionalFormatting sqref="Q7:Q150">
    <cfRule type="containsText" priority="2" operator="containsText" aboveAverage="0" equalAverage="0" bottom="0" percent="0" rank="0" text="NEGATIVE" dxfId="0">
      <formula>NOT(ISERROR(SEARCH("NEGATIVE",Q7)))</formula>
    </cfRule>
    <cfRule type="containsText" priority="3" operator="containsText" aboveAverage="0" equalAverage="0" bottom="0" percent="0" rank="0" text="CLOSE" dxfId="1">
      <formula>NOT(ISERROR(SEARCH("CLOSE",Q7)))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23"/>
    <col collapsed="false" customWidth="true" hidden="false" outlineLevel="0" max="6" min="6" style="0" width="17"/>
    <col collapsed="false" customWidth="true" hidden="false" outlineLevel="0" max="7" min="7" style="0" width="23"/>
    <col collapsed="false" customWidth="true" hidden="false" outlineLevel="0" max="8" min="8" style="0" width="22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1" min="11" style="0" width="20"/>
  </cols>
  <sheetData>
    <row r="2" customFormat="false" ht="24" hidden="false" customHeight="true" outlineLevel="0" collapsed="false">
      <c r="A2" s="1" t="s">
        <v>341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342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23" hidden="false" customHeight="true" outlineLevel="0" collapsed="false">
      <c r="A6" s="4" t="s">
        <v>61</v>
      </c>
      <c r="B6" s="22" t="s">
        <v>4</v>
      </c>
      <c r="C6" s="22" t="s">
        <v>5</v>
      </c>
      <c r="D6" s="22" t="s">
        <v>343</v>
      </c>
      <c r="E6" s="22" t="s">
        <v>344</v>
      </c>
      <c r="F6" s="22" t="s">
        <v>15</v>
      </c>
      <c r="G6" s="22" t="s">
        <v>17</v>
      </c>
      <c r="H6" s="22" t="s">
        <v>345</v>
      </c>
      <c r="I6" s="22" t="s">
        <v>346</v>
      </c>
      <c r="J6" s="22" t="s">
        <v>347</v>
      </c>
      <c r="K6" s="5" t="s">
        <v>10</v>
      </c>
    </row>
    <row r="7" customFormat="false" ht="15" hidden="false" customHeight="false" outlineLevel="0" collapsed="false">
      <c r="A7" s="9" t="s">
        <v>72</v>
      </c>
      <c r="B7" s="9" t="s">
        <v>12</v>
      </c>
      <c r="C7" s="9" t="s">
        <v>348</v>
      </c>
      <c r="D7" s="9" t="s">
        <v>349</v>
      </c>
      <c r="E7" s="29" t="n">
        <f aca="false">COUNTIFS('Closure Cells'!$C$7:$C$150,B7,'Closure Cells'!$Q$7:$Q$150,"CLOSE")</f>
        <v>9</v>
      </c>
      <c r="F7" s="29" t="n">
        <f aca="false">COUNTIFS('Closure Cells'!$C$7:$C$150,B7,'Closure Cells'!$Q$7:$Q$150,"NEGATIVE")</f>
        <v>1</v>
      </c>
      <c r="G7" s="29" t="n">
        <f aca="false">COUNTIFS('Closure Cells'!$C$7:$C$150,B7,'Closure Cells'!$Q$7:$Q$150,"UNQUANTIFIED")</f>
        <v>14</v>
      </c>
      <c r="H7" s="11" t="n">
        <f aca="false">MIN('Closure Cells'!O7:O30)</f>
        <v>-0.00160000000000005</v>
      </c>
      <c r="I7" s="12" t="n">
        <f aca="false">IF(E7=24,1,0)</f>
        <v>0</v>
      </c>
      <c r="J7" s="12" t="n">
        <f aca="false">I7</f>
        <v>0</v>
      </c>
      <c r="K7" s="12" t="str">
        <f aca="false">IF(F7&gt;0,"RESIZE / HOLD",IF(G7&gt;0,"HOLD","CLOSE"))</f>
        <v>RESIZE / HOLD</v>
      </c>
    </row>
    <row r="8" customFormat="false" ht="15" hidden="false" customHeight="false" outlineLevel="0" collapsed="false">
      <c r="A8" s="13" t="s">
        <v>107</v>
      </c>
      <c r="B8" s="13" t="s">
        <v>14</v>
      </c>
      <c r="C8" s="13" t="s">
        <v>350</v>
      </c>
      <c r="D8" s="13" t="s">
        <v>351</v>
      </c>
      <c r="E8" s="32" t="n">
        <f aca="false">COUNTIFS('Closure Cells'!$C$7:$C$150,B8,'Closure Cells'!$Q$7:$Q$150,"CLOSE")</f>
        <v>9</v>
      </c>
      <c r="F8" s="32" t="n">
        <f aca="false">COUNTIFS('Closure Cells'!$C$7:$C$150,B8,'Closure Cells'!$Q$7:$Q$150,"NEGATIVE")</f>
        <v>1</v>
      </c>
      <c r="G8" s="32" t="n">
        <f aca="false">COUNTIFS('Closure Cells'!$C$7:$C$150,B8,'Closure Cells'!$Q$7:$Q$150,"UNQUANTIFIED")</f>
        <v>14</v>
      </c>
      <c r="H8" s="15" t="n">
        <f aca="false">MIN('Closure Cells'!O31:O54)</f>
        <v>-0.025</v>
      </c>
      <c r="I8" s="16" t="n">
        <f aca="false">IF(E8=24,1,0)</f>
        <v>0</v>
      </c>
      <c r="J8" s="16" t="n">
        <f aca="false">I8</f>
        <v>0</v>
      </c>
      <c r="K8" s="16" t="str">
        <f aca="false">IF(F8&gt;0,"RESIZE / HOLD",IF(G8&gt;0,"HOLD","CLOSE"))</f>
        <v>RESIZE / HOLD</v>
      </c>
    </row>
    <row r="9" customFormat="false" ht="15" hidden="false" customHeight="false" outlineLevel="0" collapsed="false">
      <c r="A9" s="13" t="s">
        <v>114</v>
      </c>
      <c r="B9" s="13" t="s">
        <v>16</v>
      </c>
      <c r="C9" s="13" t="s">
        <v>352</v>
      </c>
      <c r="D9" s="13" t="s">
        <v>353</v>
      </c>
      <c r="E9" s="32" t="n">
        <f aca="false">COUNTIFS('Closure Cells'!$C$7:$C$150,B9,'Closure Cells'!$Q$7:$Q$150,"CLOSE")</f>
        <v>8</v>
      </c>
      <c r="F9" s="32" t="n">
        <f aca="false">COUNTIFS('Closure Cells'!$C$7:$C$150,B9,'Closure Cells'!$Q$7:$Q$150,"NEGATIVE")</f>
        <v>2</v>
      </c>
      <c r="G9" s="32" t="n">
        <f aca="false">COUNTIFS('Closure Cells'!$C$7:$C$150,B9,'Closure Cells'!$Q$7:$Q$150,"UNQUANTIFIED")</f>
        <v>14</v>
      </c>
      <c r="H9" s="15" t="n">
        <f aca="false">MIN('Closure Cells'!O55:O78)</f>
        <v>-0.00160000000000005</v>
      </c>
      <c r="I9" s="16" t="n">
        <f aca="false">IF(E9=24,1,0)</f>
        <v>0</v>
      </c>
      <c r="J9" s="16" t="n">
        <f aca="false">I9</f>
        <v>0</v>
      </c>
      <c r="K9" s="16" t="str">
        <f aca="false">IF(F9&gt;0,"RESIZE / HOLD",IF(G9&gt;0,"HOLD","CLOSE"))</f>
        <v>RESIZE / HOLD</v>
      </c>
    </row>
    <row r="10" customFormat="false" ht="15" hidden="false" customHeight="false" outlineLevel="0" collapsed="false">
      <c r="A10" s="13" t="s">
        <v>121</v>
      </c>
      <c r="B10" s="13" t="s">
        <v>122</v>
      </c>
      <c r="C10" s="13" t="s">
        <v>354</v>
      </c>
      <c r="D10" s="13" t="s">
        <v>355</v>
      </c>
      <c r="E10" s="32" t="n">
        <f aca="false">COUNTIFS('Closure Cells'!$C$7:$C$150,B10,'Closure Cells'!$Q$7:$Q$150,"CLOSE")</f>
        <v>1</v>
      </c>
      <c r="F10" s="32" t="n">
        <f aca="false">COUNTIFS('Closure Cells'!$C$7:$C$150,B10,'Closure Cells'!$Q$7:$Q$150,"NEGATIVE")</f>
        <v>8</v>
      </c>
      <c r="G10" s="32" t="n">
        <f aca="false">COUNTIFS('Closure Cells'!$C$7:$C$150,B10,'Closure Cells'!$Q$7:$Q$150,"UNQUANTIFIED")</f>
        <v>15</v>
      </c>
      <c r="H10" s="15" t="n">
        <f aca="false">MIN('Closure Cells'!O79:O102)</f>
        <v>-1</v>
      </c>
      <c r="I10" s="16" t="n">
        <f aca="false">IF(E10=24,1,0)</f>
        <v>0</v>
      </c>
      <c r="J10" s="16" t="n">
        <f aca="false">I10</f>
        <v>0</v>
      </c>
      <c r="K10" s="16" t="str">
        <f aca="false">IF(F10&gt;0,"RESIZE / HOLD",IF(G10&gt;0,"HOLD","CLOSE"))</f>
        <v>RESIZE / HOLD</v>
      </c>
    </row>
    <row r="11" customFormat="false" ht="15" hidden="false" customHeight="false" outlineLevel="0" collapsed="false">
      <c r="A11" s="13" t="s">
        <v>138</v>
      </c>
      <c r="B11" s="13" t="s">
        <v>18</v>
      </c>
      <c r="C11" s="13" t="s">
        <v>356</v>
      </c>
      <c r="D11" s="13" t="s">
        <v>357</v>
      </c>
      <c r="E11" s="32" t="n">
        <f aca="false">COUNTIFS('Closure Cells'!$C$7:$C$150,B11,'Closure Cells'!$Q$7:$Q$150,"CLOSE")</f>
        <v>9</v>
      </c>
      <c r="F11" s="32" t="n">
        <f aca="false">COUNTIFS('Closure Cells'!$C$7:$C$150,B11,'Closure Cells'!$Q$7:$Q$150,"NEGATIVE")</f>
        <v>1</v>
      </c>
      <c r="G11" s="32" t="n">
        <f aca="false">COUNTIFS('Closure Cells'!$C$7:$C$150,B11,'Closure Cells'!$Q$7:$Q$150,"UNQUANTIFIED")</f>
        <v>14</v>
      </c>
      <c r="H11" s="15" t="n">
        <f aca="false">MIN('Closure Cells'!O103:O126)</f>
        <v>-0.0172</v>
      </c>
      <c r="I11" s="16" t="n">
        <f aca="false">IF(E11=24,1,0)</f>
        <v>0</v>
      </c>
      <c r="J11" s="16" t="n">
        <f aca="false">I11</f>
        <v>0</v>
      </c>
      <c r="K11" s="16" t="str">
        <f aca="false">IF(F11&gt;0,"RESIZE / HOLD",IF(G11&gt;0,"HOLD","CLOSE"))</f>
        <v>RESIZE / HOLD</v>
      </c>
    </row>
    <row r="12" customFormat="false" ht="15" hidden="false" customHeight="false" outlineLevel="0" collapsed="false">
      <c r="A12" s="21" t="s">
        <v>144</v>
      </c>
      <c r="B12" s="21" t="s">
        <v>20</v>
      </c>
      <c r="C12" s="21" t="s">
        <v>358</v>
      </c>
      <c r="D12" s="21" t="s">
        <v>351</v>
      </c>
      <c r="E12" s="35" t="n">
        <f aca="false">COUNTIFS('Closure Cells'!$C$7:$C$150,B12,'Closure Cells'!$Q$7:$Q$150,"CLOSE")</f>
        <v>9</v>
      </c>
      <c r="F12" s="35" t="n">
        <f aca="false">COUNTIFS('Closure Cells'!$C$7:$C$150,B12,'Closure Cells'!$Q$7:$Q$150,"NEGATIVE")</f>
        <v>1</v>
      </c>
      <c r="G12" s="35" t="n">
        <f aca="false">COUNTIFS('Closure Cells'!$C$7:$C$150,B12,'Closure Cells'!$Q$7:$Q$150,"UNQUANTIFIED")</f>
        <v>14</v>
      </c>
      <c r="H12" s="18" t="n">
        <f aca="false">MIN('Closure Cells'!O127:O150)</f>
        <v>-0.0187096774193549</v>
      </c>
      <c r="I12" s="19" t="n">
        <f aca="false">IF(E12=24,1,0)</f>
        <v>0</v>
      </c>
      <c r="J12" s="19" t="n">
        <f aca="false">I12</f>
        <v>0</v>
      </c>
      <c r="K12" s="19" t="str">
        <f aca="false">IF(F12&gt;0,"RESIZE / HOLD",IF(G12&gt;0,"HOLD","CLOSE"))</f>
        <v>RESIZE / HOLD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23"/>
    <col collapsed="false" customWidth="true" hidden="false" outlineLevel="0" max="9" min="8" style="0" width="18"/>
    <col collapsed="false" customWidth="true" hidden="false" outlineLevel="0" max="10" min="10" style="0" width="25"/>
    <col collapsed="false" customWidth="true" hidden="false" outlineLevel="0" max="11" min="11" style="0" width="18"/>
    <col collapsed="false" customWidth="true" hidden="false" outlineLevel="0" max="12" min="12" style="0" width="58"/>
    <col collapsed="false" customWidth="true" hidden="false" outlineLevel="0" max="13" min="13" style="0" width="23"/>
  </cols>
  <sheetData>
    <row r="2" customFormat="false" ht="24" hidden="false" customHeight="true" outlineLevel="0" collapsed="false">
      <c r="A2" s="1" t="s">
        <v>359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 t="s">
        <v>360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23" hidden="false" customHeight="true" outlineLevel="0" collapsed="false">
      <c r="A6" s="4" t="s">
        <v>361</v>
      </c>
      <c r="B6" s="22" t="s">
        <v>4</v>
      </c>
      <c r="C6" s="22" t="s">
        <v>362</v>
      </c>
      <c r="D6" s="22" t="s">
        <v>363</v>
      </c>
      <c r="E6" s="22" t="s">
        <v>364</v>
      </c>
      <c r="F6" s="22" t="s">
        <v>365</v>
      </c>
      <c r="G6" s="22" t="s">
        <v>366</v>
      </c>
      <c r="H6" s="22" t="s">
        <v>30</v>
      </c>
      <c r="I6" s="22" t="s">
        <v>367</v>
      </c>
      <c r="J6" s="22" t="s">
        <v>368</v>
      </c>
      <c r="K6" s="22" t="s">
        <v>369</v>
      </c>
      <c r="L6" s="22" t="s">
        <v>370</v>
      </c>
      <c r="M6" s="5" t="s">
        <v>167</v>
      </c>
    </row>
    <row r="7" customFormat="false" ht="15" hidden="false" customHeight="false" outlineLevel="0" collapsed="false">
      <c r="A7" s="9" t="s">
        <v>371</v>
      </c>
      <c r="B7" s="9" t="s">
        <v>12</v>
      </c>
      <c r="C7" s="9" t="s">
        <v>372</v>
      </c>
      <c r="D7" s="9" t="s">
        <v>373</v>
      </c>
      <c r="E7" s="28" t="n">
        <v>234.583333333333</v>
      </c>
      <c r="F7" s="28" t="n">
        <v>240.598290598291</v>
      </c>
      <c r="G7" s="28" t="n">
        <v>241</v>
      </c>
      <c r="H7" s="28" t="s">
        <v>374</v>
      </c>
      <c r="I7" s="37" t="n">
        <f aca="false">G7-E7</f>
        <v>6.416666666667</v>
      </c>
      <c r="J7" s="11" t="n">
        <f aca="false">G7*(1-Controls!$B$7)/E7</f>
        <v>1.00166962699823</v>
      </c>
      <c r="K7" s="38" t="n">
        <f aca="false">J7-1</f>
        <v>0.00166962699822526</v>
      </c>
      <c r="L7" s="9" t="s">
        <v>375</v>
      </c>
      <c r="M7" s="30" t="s">
        <v>376</v>
      </c>
    </row>
    <row r="8" customFormat="false" ht="15" hidden="false" customHeight="false" outlineLevel="0" collapsed="false">
      <c r="A8" s="13" t="s">
        <v>377</v>
      </c>
      <c r="B8" s="13" t="s">
        <v>14</v>
      </c>
      <c r="C8" s="13" t="s">
        <v>378</v>
      </c>
      <c r="D8" s="13" t="s">
        <v>379</v>
      </c>
      <c r="E8" s="31" t="n">
        <v>7</v>
      </c>
      <c r="F8" s="31" t="n">
        <v>7.17948717948718</v>
      </c>
      <c r="G8" s="31" t="n">
        <v>7.2</v>
      </c>
      <c r="H8" s="31" t="s">
        <v>127</v>
      </c>
      <c r="I8" s="39" t="n">
        <f aca="false">G8-E8</f>
        <v>0.2</v>
      </c>
      <c r="J8" s="15" t="n">
        <f aca="false">6*G8*(1-Controls!$B$7)/42</f>
        <v>1.00285714285714</v>
      </c>
      <c r="K8" s="40" t="n">
        <f aca="false">J8-1</f>
        <v>0.00285714285714289</v>
      </c>
      <c r="L8" s="13" t="s">
        <v>380</v>
      </c>
      <c r="M8" s="33" t="s">
        <v>376</v>
      </c>
    </row>
    <row r="9" customFormat="false" ht="15" hidden="false" customHeight="false" outlineLevel="0" collapsed="false">
      <c r="A9" s="13" t="s">
        <v>381</v>
      </c>
      <c r="B9" s="13" t="s">
        <v>16</v>
      </c>
      <c r="C9" s="13" t="s">
        <v>372</v>
      </c>
      <c r="D9" s="13" t="s">
        <v>382</v>
      </c>
      <c r="E9" s="31" t="n">
        <v>26.368</v>
      </c>
      <c r="F9" s="31" t="n">
        <v>26.4102564102564</v>
      </c>
      <c r="G9" s="31" t="n">
        <v>26.5</v>
      </c>
      <c r="H9" s="31" t="s">
        <v>383</v>
      </c>
      <c r="I9" s="39" t="n">
        <f aca="false">G9-E9</f>
        <v>0.132000000000001</v>
      </c>
      <c r="J9" s="15" t="n">
        <f aca="false">4*G9*(1-Controls!$B$7)/103</f>
        <v>1.00339805825243</v>
      </c>
      <c r="K9" s="40" t="n">
        <f aca="false">J9-1</f>
        <v>0.00339805825242712</v>
      </c>
      <c r="L9" s="13" t="s">
        <v>384</v>
      </c>
      <c r="M9" s="33" t="s">
        <v>376</v>
      </c>
    </row>
    <row r="10" customFormat="false" ht="15" hidden="false" customHeight="false" outlineLevel="0" collapsed="false">
      <c r="A10" s="13" t="s">
        <v>385</v>
      </c>
      <c r="B10" s="13" t="s">
        <v>16</v>
      </c>
      <c r="C10" s="13" t="s">
        <v>378</v>
      </c>
      <c r="D10" s="13" t="s">
        <v>379</v>
      </c>
      <c r="E10" s="31" t="n">
        <v>20.5</v>
      </c>
      <c r="F10" s="31" t="n">
        <v>20.5128205128205</v>
      </c>
      <c r="G10" s="31" t="n">
        <v>20.6</v>
      </c>
      <c r="H10" s="31" t="s">
        <v>127</v>
      </c>
      <c r="I10" s="39" t="n">
        <f aca="false">G10-E10</f>
        <v>0.100000000000001</v>
      </c>
      <c r="J10" s="15" t="n">
        <f aca="false">7*G10*(1-Controls!$B$7)/140</f>
        <v>1.00425</v>
      </c>
      <c r="K10" s="40" t="n">
        <f aca="false">J10-1</f>
        <v>0.00425000000000009</v>
      </c>
      <c r="L10" s="13" t="s">
        <v>386</v>
      </c>
      <c r="M10" s="33" t="s">
        <v>376</v>
      </c>
    </row>
    <row r="11" customFormat="false" ht="15" hidden="false" customHeight="false" outlineLevel="0" collapsed="false">
      <c r="A11" s="13" t="s">
        <v>387</v>
      </c>
      <c r="B11" s="13" t="s">
        <v>122</v>
      </c>
      <c r="C11" s="13" t="s">
        <v>388</v>
      </c>
      <c r="D11" s="13" t="s">
        <v>389</v>
      </c>
      <c r="E11" s="31" t="n">
        <v>31.075</v>
      </c>
      <c r="F11" s="31" t="n">
        <v>31.8717948717949</v>
      </c>
      <c r="G11" s="31" t="n">
        <v>31.9</v>
      </c>
      <c r="H11" s="31" t="s">
        <v>390</v>
      </c>
      <c r="I11" s="39" t="n">
        <f aca="false">G11-E11</f>
        <v>0.824999999999999</v>
      </c>
      <c r="J11" s="15" t="n">
        <f aca="false">G11*(1-Controls!$B$7)/31.075</f>
        <v>1.00088495575221</v>
      </c>
      <c r="K11" s="40" t="n">
        <f aca="false">J11-1</f>
        <v>0.000884955752212369</v>
      </c>
      <c r="L11" s="13" t="s">
        <v>391</v>
      </c>
      <c r="M11" s="33" t="s">
        <v>376</v>
      </c>
    </row>
    <row r="12" customFormat="false" ht="15" hidden="false" customHeight="false" outlineLevel="0" collapsed="false">
      <c r="A12" s="13" t="s">
        <v>392</v>
      </c>
      <c r="B12" s="13" t="s">
        <v>122</v>
      </c>
      <c r="C12" s="13" t="s">
        <v>378</v>
      </c>
      <c r="D12" s="13" t="s">
        <v>393</v>
      </c>
      <c r="E12" s="31" t="n">
        <v>40</v>
      </c>
      <c r="F12" s="31" t="n">
        <v>51.0780056980057</v>
      </c>
      <c r="G12" s="31" t="n">
        <v>52</v>
      </c>
      <c r="H12" s="31" t="s">
        <v>127</v>
      </c>
      <c r="I12" s="39" t="n">
        <f aca="false">G12-E12</f>
        <v>12</v>
      </c>
      <c r="J12" s="15" t="n">
        <f aca="false">3*(G12/4)*(1-Controls!$B$7)/37.3510416667</f>
        <v>1.01804389658832</v>
      </c>
      <c r="K12" s="40" t="n">
        <f aca="false">J12-1</f>
        <v>0.018043896588321</v>
      </c>
      <c r="L12" s="13" t="s">
        <v>394</v>
      </c>
      <c r="M12" s="33" t="s">
        <v>376</v>
      </c>
    </row>
    <row r="13" customFormat="false" ht="15" hidden="false" customHeight="false" outlineLevel="0" collapsed="false">
      <c r="A13" s="13" t="s">
        <v>395</v>
      </c>
      <c r="B13" s="13" t="s">
        <v>122</v>
      </c>
      <c r="C13" s="13" t="s">
        <v>396</v>
      </c>
      <c r="D13" s="13" t="s">
        <v>397</v>
      </c>
      <c r="E13" s="31" t="n">
        <v>30</v>
      </c>
      <c r="F13" s="31" t="n">
        <v>30.7692307692308</v>
      </c>
      <c r="G13" s="31" t="n">
        <v>31</v>
      </c>
      <c r="H13" s="31" t="s">
        <v>131</v>
      </c>
      <c r="I13" s="39" t="n">
        <f aca="false">G13-E13</f>
        <v>1</v>
      </c>
      <c r="J13" s="15" t="n">
        <f aca="false">G13*(1-Controls!$B$7)/30</f>
        <v>1.0075</v>
      </c>
      <c r="K13" s="40" t="n">
        <f aca="false">J13-1</f>
        <v>0.00749999999999984</v>
      </c>
      <c r="L13" s="13" t="s">
        <v>398</v>
      </c>
      <c r="M13" s="33" t="s">
        <v>376</v>
      </c>
    </row>
    <row r="14" customFormat="false" ht="15" hidden="false" customHeight="false" outlineLevel="0" collapsed="false">
      <c r="A14" s="13" t="s">
        <v>399</v>
      </c>
      <c r="B14" s="13" t="s">
        <v>122</v>
      </c>
      <c r="C14" s="13" t="s">
        <v>400</v>
      </c>
      <c r="D14" s="13" t="s">
        <v>401</v>
      </c>
      <c r="E14" s="31" t="n">
        <v>25</v>
      </c>
      <c r="F14" s="31" t="n">
        <v>38.4615384615385</v>
      </c>
      <c r="G14" s="31" t="n">
        <v>39</v>
      </c>
      <c r="H14" s="31" t="s">
        <v>402</v>
      </c>
      <c r="I14" s="39" t="n">
        <f aca="false">G14-E14</f>
        <v>14</v>
      </c>
      <c r="J14" s="15" t="n">
        <f aca="false">(2/3)*G14*(1-Controls!$B$7)/25</f>
        <v>1.014</v>
      </c>
      <c r="K14" s="40" t="n">
        <f aca="false">J14-1</f>
        <v>0.014</v>
      </c>
      <c r="L14" s="13" t="s">
        <v>403</v>
      </c>
      <c r="M14" s="33" t="s">
        <v>376</v>
      </c>
    </row>
    <row r="15" customFormat="false" ht="15" hidden="false" customHeight="false" outlineLevel="0" collapsed="false">
      <c r="A15" s="13" t="s">
        <v>404</v>
      </c>
      <c r="B15" s="13" t="s">
        <v>122</v>
      </c>
      <c r="C15" s="13" t="s">
        <v>405</v>
      </c>
      <c r="D15" s="13" t="s">
        <v>406</v>
      </c>
      <c r="E15" s="31" t="n">
        <v>20</v>
      </c>
      <c r="F15" s="31" t="n">
        <v>30.7692307692308</v>
      </c>
      <c r="G15" s="31" t="n">
        <v>30.9</v>
      </c>
      <c r="H15" s="31" t="s">
        <v>407</v>
      </c>
      <c r="I15" s="39" t="n">
        <f aca="false">G15-E15</f>
        <v>10.9</v>
      </c>
      <c r="J15" s="15" t="n">
        <f aca="false">(2/3)*G15*(1-Controls!$B$7)/20</f>
        <v>1.00425</v>
      </c>
      <c r="K15" s="40" t="n">
        <f aca="false">J15-1</f>
        <v>0.00424999999999987</v>
      </c>
      <c r="L15" s="13" t="s">
        <v>408</v>
      </c>
      <c r="M15" s="33" t="s">
        <v>376</v>
      </c>
    </row>
    <row r="16" customFormat="false" ht="15" hidden="false" customHeight="false" outlineLevel="0" collapsed="false">
      <c r="A16" s="13" t="s">
        <v>409</v>
      </c>
      <c r="B16" s="13" t="s">
        <v>18</v>
      </c>
      <c r="C16" s="13" t="s">
        <v>410</v>
      </c>
      <c r="D16" s="13" t="s">
        <v>411</v>
      </c>
      <c r="E16" s="31" t="n">
        <v>57.6</v>
      </c>
      <c r="F16" s="31" t="n">
        <v>58.6080586080586</v>
      </c>
      <c r="G16" s="31" t="n">
        <v>58.8</v>
      </c>
      <c r="H16" s="31" t="s">
        <v>390</v>
      </c>
      <c r="I16" s="39" t="n">
        <f aca="false">G16-E16</f>
        <v>1.2</v>
      </c>
      <c r="J16" s="15" t="n">
        <f aca="false">(7/8)*G16*(1-Controls!$B$7)/50</f>
        <v>1.003275</v>
      </c>
      <c r="K16" s="40" t="n">
        <f aca="false">J16-1</f>
        <v>0.00327499999999992</v>
      </c>
      <c r="L16" s="13" t="s">
        <v>412</v>
      </c>
      <c r="M16" s="33" t="s">
        <v>376</v>
      </c>
    </row>
    <row r="17" customFormat="false" ht="15" hidden="false" customHeight="false" outlineLevel="0" collapsed="false">
      <c r="A17" s="21" t="s">
        <v>413</v>
      </c>
      <c r="B17" s="21" t="s">
        <v>20</v>
      </c>
      <c r="C17" s="21" t="s">
        <v>378</v>
      </c>
      <c r="D17" s="21" t="s">
        <v>414</v>
      </c>
      <c r="E17" s="34" t="n">
        <v>182</v>
      </c>
      <c r="F17" s="34" t="n">
        <v>185.470085470085</v>
      </c>
      <c r="G17" s="34" t="n">
        <v>185.5</v>
      </c>
      <c r="H17" s="34" t="s">
        <v>127</v>
      </c>
      <c r="I17" s="41" t="n">
        <f aca="false">G17-E17</f>
        <v>3.5</v>
      </c>
      <c r="J17" s="18" t="n">
        <f aca="false">(6/7)*G17*(1-Controls!$B$7)/155</f>
        <v>1.00016129032258</v>
      </c>
      <c r="K17" s="42" t="n">
        <f aca="false">J17-1</f>
        <v>0.000161290322580721</v>
      </c>
      <c r="L17" s="21" t="s">
        <v>415</v>
      </c>
      <c r="M17" s="36" t="s">
        <v>376</v>
      </c>
    </row>
  </sheetData>
  <mergeCells count="2">
    <mergeCell ref="A2:M2"/>
    <mergeCell ref="A4:M4"/>
  </mergeCells>
  <conditionalFormatting sqref="K7:K17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72"/>
    <col collapsed="false" customWidth="true" hidden="false" outlineLevel="0" max="7" min="7" style="0" width="56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4"/>
  </cols>
  <sheetData>
    <row r="2" customFormat="false" ht="24" hidden="false" customHeight="true" outlineLevel="0" collapsed="false">
      <c r="A2" s="1" t="s">
        <v>416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417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23" hidden="false" customHeight="true" outlineLevel="0" collapsed="false">
      <c r="A6" s="4" t="s">
        <v>418</v>
      </c>
      <c r="B6" s="22" t="s">
        <v>61</v>
      </c>
      <c r="C6" s="22" t="s">
        <v>4</v>
      </c>
      <c r="D6" s="22" t="s">
        <v>62</v>
      </c>
      <c r="E6" s="22" t="s">
        <v>63</v>
      </c>
      <c r="F6" s="22" t="s">
        <v>419</v>
      </c>
      <c r="G6" s="22" t="s">
        <v>420</v>
      </c>
      <c r="H6" s="22" t="s">
        <v>421</v>
      </c>
      <c r="I6" s="22" t="s">
        <v>422</v>
      </c>
      <c r="J6" s="5" t="s">
        <v>167</v>
      </c>
    </row>
    <row r="7" customFormat="false" ht="15" hidden="false" customHeight="false" outlineLevel="0" collapsed="false">
      <c r="A7" s="9" t="s">
        <v>423</v>
      </c>
      <c r="B7" s="9" t="s">
        <v>72</v>
      </c>
      <c r="C7" s="9" t="s">
        <v>12</v>
      </c>
      <c r="D7" s="9" t="s">
        <v>73</v>
      </c>
      <c r="E7" s="9" t="s">
        <v>74</v>
      </c>
      <c r="F7" s="9" t="s">
        <v>424</v>
      </c>
      <c r="G7" s="9" t="s">
        <v>425</v>
      </c>
      <c r="H7" s="9" t="s">
        <v>426</v>
      </c>
      <c r="I7" s="9" t="n">
        <v>0</v>
      </c>
      <c r="J7" s="9" t="s">
        <v>427</v>
      </c>
    </row>
    <row r="8" customFormat="false" ht="15" hidden="false" customHeight="false" outlineLevel="0" collapsed="false">
      <c r="A8" s="13" t="s">
        <v>428</v>
      </c>
      <c r="B8" s="13" t="s">
        <v>72</v>
      </c>
      <c r="C8" s="13" t="s">
        <v>12</v>
      </c>
      <c r="D8" s="13" t="s">
        <v>79</v>
      </c>
      <c r="E8" s="13" t="s">
        <v>80</v>
      </c>
      <c r="F8" s="13" t="s">
        <v>424</v>
      </c>
      <c r="G8" s="13" t="s">
        <v>425</v>
      </c>
      <c r="H8" s="13" t="s">
        <v>426</v>
      </c>
      <c r="I8" s="13" t="n">
        <v>0</v>
      </c>
      <c r="J8" s="13" t="s">
        <v>427</v>
      </c>
    </row>
    <row r="9" customFormat="false" ht="15" hidden="false" customHeight="false" outlineLevel="0" collapsed="false">
      <c r="A9" s="13" t="s">
        <v>429</v>
      </c>
      <c r="B9" s="13" t="s">
        <v>72</v>
      </c>
      <c r="C9" s="13" t="s">
        <v>12</v>
      </c>
      <c r="D9" s="13" t="s">
        <v>85</v>
      </c>
      <c r="E9" s="13" t="s">
        <v>86</v>
      </c>
      <c r="F9" s="13" t="s">
        <v>424</v>
      </c>
      <c r="G9" s="13" t="s">
        <v>425</v>
      </c>
      <c r="H9" s="13" t="s">
        <v>426</v>
      </c>
      <c r="I9" s="13" t="n">
        <v>0</v>
      </c>
      <c r="J9" s="13" t="s">
        <v>427</v>
      </c>
    </row>
    <row r="10" customFormat="false" ht="15" hidden="false" customHeight="false" outlineLevel="0" collapsed="false">
      <c r="A10" s="13" t="s">
        <v>430</v>
      </c>
      <c r="B10" s="13" t="s">
        <v>72</v>
      </c>
      <c r="C10" s="13" t="s">
        <v>12</v>
      </c>
      <c r="D10" s="13" t="s">
        <v>90</v>
      </c>
      <c r="E10" s="13" t="s">
        <v>91</v>
      </c>
      <c r="F10" s="13" t="s">
        <v>424</v>
      </c>
      <c r="G10" s="13" t="s">
        <v>425</v>
      </c>
      <c r="H10" s="13" t="s">
        <v>426</v>
      </c>
      <c r="I10" s="13" t="n">
        <v>0</v>
      </c>
      <c r="J10" s="13" t="s">
        <v>427</v>
      </c>
    </row>
    <row r="11" customFormat="false" ht="15" hidden="false" customHeight="false" outlineLevel="0" collapsed="false">
      <c r="A11" s="13" t="s">
        <v>431</v>
      </c>
      <c r="B11" s="13" t="s">
        <v>72</v>
      </c>
      <c r="C11" s="13" t="s">
        <v>12</v>
      </c>
      <c r="D11" s="13" t="s">
        <v>95</v>
      </c>
      <c r="E11" s="13" t="s">
        <v>96</v>
      </c>
      <c r="F11" s="13" t="s">
        <v>424</v>
      </c>
      <c r="G11" s="13" t="s">
        <v>425</v>
      </c>
      <c r="H11" s="13" t="s">
        <v>426</v>
      </c>
      <c r="I11" s="13" t="n">
        <v>0</v>
      </c>
      <c r="J11" s="13" t="s">
        <v>427</v>
      </c>
    </row>
    <row r="12" customFormat="false" ht="15" hidden="false" customHeight="false" outlineLevel="0" collapsed="false">
      <c r="A12" s="13" t="s">
        <v>432</v>
      </c>
      <c r="B12" s="13" t="s">
        <v>72</v>
      </c>
      <c r="C12" s="13" t="s">
        <v>12</v>
      </c>
      <c r="D12" s="13" t="s">
        <v>101</v>
      </c>
      <c r="E12" s="13" t="s">
        <v>102</v>
      </c>
      <c r="F12" s="13" t="s">
        <v>424</v>
      </c>
      <c r="G12" s="13" t="s">
        <v>425</v>
      </c>
      <c r="H12" s="13" t="s">
        <v>426</v>
      </c>
      <c r="I12" s="13" t="n">
        <v>0</v>
      </c>
      <c r="J12" s="13" t="s">
        <v>427</v>
      </c>
    </row>
    <row r="13" customFormat="false" ht="15" hidden="false" customHeight="false" outlineLevel="0" collapsed="false">
      <c r="A13" s="13" t="s">
        <v>433</v>
      </c>
      <c r="B13" s="13" t="s">
        <v>107</v>
      </c>
      <c r="C13" s="13" t="s">
        <v>14</v>
      </c>
      <c r="D13" s="13" t="s">
        <v>73</v>
      </c>
      <c r="E13" s="13" t="s">
        <v>74</v>
      </c>
      <c r="F13" s="13" t="s">
        <v>434</v>
      </c>
      <c r="G13" s="13" t="s">
        <v>425</v>
      </c>
      <c r="H13" s="13" t="s">
        <v>426</v>
      </c>
      <c r="I13" s="13" t="n">
        <v>0</v>
      </c>
      <c r="J13" s="13" t="s">
        <v>427</v>
      </c>
    </row>
    <row r="14" customFormat="false" ht="15" hidden="false" customHeight="false" outlineLevel="0" collapsed="false">
      <c r="A14" s="13" t="s">
        <v>435</v>
      </c>
      <c r="B14" s="13" t="s">
        <v>107</v>
      </c>
      <c r="C14" s="13" t="s">
        <v>14</v>
      </c>
      <c r="D14" s="13" t="s">
        <v>79</v>
      </c>
      <c r="E14" s="13" t="s">
        <v>80</v>
      </c>
      <c r="F14" s="13" t="s">
        <v>434</v>
      </c>
      <c r="G14" s="13" t="s">
        <v>425</v>
      </c>
      <c r="H14" s="13" t="s">
        <v>426</v>
      </c>
      <c r="I14" s="13" t="n">
        <v>0</v>
      </c>
      <c r="J14" s="13" t="s">
        <v>427</v>
      </c>
    </row>
    <row r="15" customFormat="false" ht="15" hidden="false" customHeight="false" outlineLevel="0" collapsed="false">
      <c r="A15" s="13" t="s">
        <v>436</v>
      </c>
      <c r="B15" s="13" t="s">
        <v>107</v>
      </c>
      <c r="C15" s="13" t="s">
        <v>14</v>
      </c>
      <c r="D15" s="13" t="s">
        <v>85</v>
      </c>
      <c r="E15" s="13" t="s">
        <v>86</v>
      </c>
      <c r="F15" s="13" t="s">
        <v>434</v>
      </c>
      <c r="G15" s="13" t="s">
        <v>425</v>
      </c>
      <c r="H15" s="13" t="s">
        <v>426</v>
      </c>
      <c r="I15" s="13" t="n">
        <v>0</v>
      </c>
      <c r="J15" s="13" t="s">
        <v>427</v>
      </c>
    </row>
    <row r="16" customFormat="false" ht="15" hidden="false" customHeight="false" outlineLevel="0" collapsed="false">
      <c r="A16" s="13" t="s">
        <v>437</v>
      </c>
      <c r="B16" s="13" t="s">
        <v>107</v>
      </c>
      <c r="C16" s="13" t="s">
        <v>14</v>
      </c>
      <c r="D16" s="13" t="s">
        <v>90</v>
      </c>
      <c r="E16" s="13" t="s">
        <v>91</v>
      </c>
      <c r="F16" s="13" t="s">
        <v>434</v>
      </c>
      <c r="G16" s="13" t="s">
        <v>425</v>
      </c>
      <c r="H16" s="13" t="s">
        <v>426</v>
      </c>
      <c r="I16" s="13" t="n">
        <v>0</v>
      </c>
      <c r="J16" s="13" t="s">
        <v>427</v>
      </c>
    </row>
    <row r="17" customFormat="false" ht="15" hidden="false" customHeight="false" outlineLevel="0" collapsed="false">
      <c r="A17" s="13" t="s">
        <v>438</v>
      </c>
      <c r="B17" s="13" t="s">
        <v>107</v>
      </c>
      <c r="C17" s="13" t="s">
        <v>14</v>
      </c>
      <c r="D17" s="13" t="s">
        <v>95</v>
      </c>
      <c r="E17" s="13" t="s">
        <v>96</v>
      </c>
      <c r="F17" s="13" t="s">
        <v>434</v>
      </c>
      <c r="G17" s="13" t="s">
        <v>425</v>
      </c>
      <c r="H17" s="13" t="s">
        <v>426</v>
      </c>
      <c r="I17" s="13" t="n">
        <v>0</v>
      </c>
      <c r="J17" s="13" t="s">
        <v>427</v>
      </c>
    </row>
    <row r="18" customFormat="false" ht="15" hidden="false" customHeight="false" outlineLevel="0" collapsed="false">
      <c r="A18" s="13" t="s">
        <v>439</v>
      </c>
      <c r="B18" s="13" t="s">
        <v>107</v>
      </c>
      <c r="C18" s="13" t="s">
        <v>14</v>
      </c>
      <c r="D18" s="13" t="s">
        <v>101</v>
      </c>
      <c r="E18" s="13" t="s">
        <v>102</v>
      </c>
      <c r="F18" s="13" t="s">
        <v>434</v>
      </c>
      <c r="G18" s="13" t="s">
        <v>425</v>
      </c>
      <c r="H18" s="13" t="s">
        <v>426</v>
      </c>
      <c r="I18" s="13" t="n">
        <v>0</v>
      </c>
      <c r="J18" s="13" t="s">
        <v>427</v>
      </c>
    </row>
    <row r="19" customFormat="false" ht="15" hidden="false" customHeight="false" outlineLevel="0" collapsed="false">
      <c r="A19" s="13" t="s">
        <v>440</v>
      </c>
      <c r="B19" s="13" t="s">
        <v>114</v>
      </c>
      <c r="C19" s="13" t="s">
        <v>16</v>
      </c>
      <c r="D19" s="13" t="s">
        <v>73</v>
      </c>
      <c r="E19" s="13" t="s">
        <v>74</v>
      </c>
      <c r="F19" s="13" t="s">
        <v>441</v>
      </c>
      <c r="G19" s="13" t="s">
        <v>425</v>
      </c>
      <c r="H19" s="13" t="s">
        <v>426</v>
      </c>
      <c r="I19" s="13" t="n">
        <v>0</v>
      </c>
      <c r="J19" s="13" t="s">
        <v>427</v>
      </c>
    </row>
    <row r="20" customFormat="false" ht="15" hidden="false" customHeight="false" outlineLevel="0" collapsed="false">
      <c r="A20" s="13" t="s">
        <v>442</v>
      </c>
      <c r="B20" s="13" t="s">
        <v>114</v>
      </c>
      <c r="C20" s="13" t="s">
        <v>16</v>
      </c>
      <c r="D20" s="13" t="s">
        <v>79</v>
      </c>
      <c r="E20" s="13" t="s">
        <v>80</v>
      </c>
      <c r="F20" s="13" t="s">
        <v>441</v>
      </c>
      <c r="G20" s="13" t="s">
        <v>425</v>
      </c>
      <c r="H20" s="13" t="s">
        <v>426</v>
      </c>
      <c r="I20" s="13" t="n">
        <v>0</v>
      </c>
      <c r="J20" s="13" t="s">
        <v>427</v>
      </c>
    </row>
    <row r="21" customFormat="false" ht="15" hidden="false" customHeight="false" outlineLevel="0" collapsed="false">
      <c r="A21" s="13" t="s">
        <v>443</v>
      </c>
      <c r="B21" s="13" t="s">
        <v>114</v>
      </c>
      <c r="C21" s="13" t="s">
        <v>16</v>
      </c>
      <c r="D21" s="13" t="s">
        <v>85</v>
      </c>
      <c r="E21" s="13" t="s">
        <v>86</v>
      </c>
      <c r="F21" s="13" t="s">
        <v>441</v>
      </c>
      <c r="G21" s="13" t="s">
        <v>425</v>
      </c>
      <c r="H21" s="13" t="s">
        <v>426</v>
      </c>
      <c r="I21" s="13" t="n">
        <v>0</v>
      </c>
      <c r="J21" s="13" t="s">
        <v>427</v>
      </c>
    </row>
    <row r="22" customFormat="false" ht="15" hidden="false" customHeight="false" outlineLevel="0" collapsed="false">
      <c r="A22" s="13" t="s">
        <v>444</v>
      </c>
      <c r="B22" s="13" t="s">
        <v>114</v>
      </c>
      <c r="C22" s="13" t="s">
        <v>16</v>
      </c>
      <c r="D22" s="13" t="s">
        <v>90</v>
      </c>
      <c r="E22" s="13" t="s">
        <v>91</v>
      </c>
      <c r="F22" s="13" t="s">
        <v>441</v>
      </c>
      <c r="G22" s="13" t="s">
        <v>425</v>
      </c>
      <c r="H22" s="13" t="s">
        <v>426</v>
      </c>
      <c r="I22" s="13" t="n">
        <v>0</v>
      </c>
      <c r="J22" s="13" t="s">
        <v>427</v>
      </c>
    </row>
    <row r="23" customFormat="false" ht="15" hidden="false" customHeight="false" outlineLevel="0" collapsed="false">
      <c r="A23" s="13" t="s">
        <v>445</v>
      </c>
      <c r="B23" s="13" t="s">
        <v>114</v>
      </c>
      <c r="C23" s="13" t="s">
        <v>16</v>
      </c>
      <c r="D23" s="13" t="s">
        <v>95</v>
      </c>
      <c r="E23" s="13" t="s">
        <v>96</v>
      </c>
      <c r="F23" s="13" t="s">
        <v>441</v>
      </c>
      <c r="G23" s="13" t="s">
        <v>425</v>
      </c>
      <c r="H23" s="13" t="s">
        <v>426</v>
      </c>
      <c r="I23" s="13" t="n">
        <v>0</v>
      </c>
      <c r="J23" s="13" t="s">
        <v>427</v>
      </c>
    </row>
    <row r="24" customFormat="false" ht="15" hidden="false" customHeight="false" outlineLevel="0" collapsed="false">
      <c r="A24" s="13" t="s">
        <v>446</v>
      </c>
      <c r="B24" s="13" t="s">
        <v>114</v>
      </c>
      <c r="C24" s="13" t="s">
        <v>16</v>
      </c>
      <c r="D24" s="13" t="s">
        <v>101</v>
      </c>
      <c r="E24" s="13" t="s">
        <v>102</v>
      </c>
      <c r="F24" s="13" t="s">
        <v>441</v>
      </c>
      <c r="G24" s="13" t="s">
        <v>425</v>
      </c>
      <c r="H24" s="13" t="s">
        <v>426</v>
      </c>
      <c r="I24" s="13" t="n">
        <v>0</v>
      </c>
      <c r="J24" s="13" t="s">
        <v>427</v>
      </c>
    </row>
    <row r="25" customFormat="false" ht="15" hidden="false" customHeight="false" outlineLevel="0" collapsed="false">
      <c r="A25" s="13" t="s">
        <v>447</v>
      </c>
      <c r="B25" s="13" t="s">
        <v>121</v>
      </c>
      <c r="C25" s="13" t="s">
        <v>122</v>
      </c>
      <c r="D25" s="13" t="s">
        <v>73</v>
      </c>
      <c r="E25" s="13" t="s">
        <v>74</v>
      </c>
      <c r="F25" s="13" t="s">
        <v>448</v>
      </c>
      <c r="G25" s="13" t="s">
        <v>425</v>
      </c>
      <c r="H25" s="13" t="s">
        <v>426</v>
      </c>
      <c r="I25" s="13" t="n">
        <v>0</v>
      </c>
      <c r="J25" s="13" t="s">
        <v>427</v>
      </c>
    </row>
    <row r="26" customFormat="false" ht="15" hidden="false" customHeight="false" outlineLevel="0" collapsed="false">
      <c r="A26" s="13" t="s">
        <v>449</v>
      </c>
      <c r="B26" s="13" t="s">
        <v>121</v>
      </c>
      <c r="C26" s="13" t="s">
        <v>122</v>
      </c>
      <c r="D26" s="13" t="s">
        <v>79</v>
      </c>
      <c r="E26" s="13" t="s">
        <v>80</v>
      </c>
      <c r="F26" s="13" t="s">
        <v>448</v>
      </c>
      <c r="G26" s="13" t="s">
        <v>425</v>
      </c>
      <c r="H26" s="13" t="s">
        <v>426</v>
      </c>
      <c r="I26" s="13" t="n">
        <v>0</v>
      </c>
      <c r="J26" s="13" t="s">
        <v>427</v>
      </c>
    </row>
    <row r="27" customFormat="false" ht="15" hidden="false" customHeight="false" outlineLevel="0" collapsed="false">
      <c r="A27" s="13" t="s">
        <v>450</v>
      </c>
      <c r="B27" s="13" t="s">
        <v>121</v>
      </c>
      <c r="C27" s="13" t="s">
        <v>122</v>
      </c>
      <c r="D27" s="13" t="s">
        <v>85</v>
      </c>
      <c r="E27" s="13" t="s">
        <v>86</v>
      </c>
      <c r="F27" s="13" t="s">
        <v>448</v>
      </c>
      <c r="G27" s="13" t="s">
        <v>425</v>
      </c>
      <c r="H27" s="13" t="s">
        <v>426</v>
      </c>
      <c r="I27" s="13" t="n">
        <v>0</v>
      </c>
      <c r="J27" s="13" t="s">
        <v>427</v>
      </c>
    </row>
    <row r="28" customFormat="false" ht="15" hidden="false" customHeight="false" outlineLevel="0" collapsed="false">
      <c r="A28" s="13" t="s">
        <v>451</v>
      </c>
      <c r="B28" s="13" t="s">
        <v>121</v>
      </c>
      <c r="C28" s="13" t="s">
        <v>122</v>
      </c>
      <c r="D28" s="13" t="s">
        <v>90</v>
      </c>
      <c r="E28" s="13" t="s">
        <v>91</v>
      </c>
      <c r="F28" s="13" t="s">
        <v>448</v>
      </c>
      <c r="G28" s="13" t="s">
        <v>425</v>
      </c>
      <c r="H28" s="13" t="s">
        <v>426</v>
      </c>
      <c r="I28" s="13" t="n">
        <v>0</v>
      </c>
      <c r="J28" s="13" t="s">
        <v>427</v>
      </c>
    </row>
    <row r="29" customFormat="false" ht="15" hidden="false" customHeight="false" outlineLevel="0" collapsed="false">
      <c r="A29" s="13" t="s">
        <v>452</v>
      </c>
      <c r="B29" s="13" t="s">
        <v>121</v>
      </c>
      <c r="C29" s="13" t="s">
        <v>122</v>
      </c>
      <c r="D29" s="13" t="s">
        <v>95</v>
      </c>
      <c r="E29" s="13" t="s">
        <v>96</v>
      </c>
      <c r="F29" s="13" t="s">
        <v>448</v>
      </c>
      <c r="G29" s="13" t="s">
        <v>425</v>
      </c>
      <c r="H29" s="13" t="s">
        <v>426</v>
      </c>
      <c r="I29" s="13" t="n">
        <v>0</v>
      </c>
      <c r="J29" s="13" t="s">
        <v>427</v>
      </c>
    </row>
    <row r="30" customFormat="false" ht="15" hidden="false" customHeight="false" outlineLevel="0" collapsed="false">
      <c r="A30" s="13" t="s">
        <v>453</v>
      </c>
      <c r="B30" s="13" t="s">
        <v>121</v>
      </c>
      <c r="C30" s="13" t="s">
        <v>122</v>
      </c>
      <c r="D30" s="13" t="s">
        <v>101</v>
      </c>
      <c r="E30" s="13" t="s">
        <v>102</v>
      </c>
      <c r="F30" s="13" t="s">
        <v>448</v>
      </c>
      <c r="G30" s="13" t="s">
        <v>425</v>
      </c>
      <c r="H30" s="13" t="s">
        <v>426</v>
      </c>
      <c r="I30" s="13" t="n">
        <v>0</v>
      </c>
      <c r="J30" s="13" t="s">
        <v>427</v>
      </c>
    </row>
    <row r="31" customFormat="false" ht="15" hidden="false" customHeight="false" outlineLevel="0" collapsed="false">
      <c r="A31" s="13" t="s">
        <v>454</v>
      </c>
      <c r="B31" s="13" t="s">
        <v>138</v>
      </c>
      <c r="C31" s="13" t="s">
        <v>18</v>
      </c>
      <c r="D31" s="13" t="s">
        <v>73</v>
      </c>
      <c r="E31" s="13" t="s">
        <v>74</v>
      </c>
      <c r="F31" s="13" t="s">
        <v>455</v>
      </c>
      <c r="G31" s="13" t="s">
        <v>425</v>
      </c>
      <c r="H31" s="13" t="s">
        <v>426</v>
      </c>
      <c r="I31" s="13" t="n">
        <v>0</v>
      </c>
      <c r="J31" s="13" t="s">
        <v>427</v>
      </c>
    </row>
    <row r="32" customFormat="false" ht="15" hidden="false" customHeight="false" outlineLevel="0" collapsed="false">
      <c r="A32" s="13" t="s">
        <v>456</v>
      </c>
      <c r="B32" s="13" t="s">
        <v>138</v>
      </c>
      <c r="C32" s="13" t="s">
        <v>18</v>
      </c>
      <c r="D32" s="13" t="s">
        <v>79</v>
      </c>
      <c r="E32" s="13" t="s">
        <v>80</v>
      </c>
      <c r="F32" s="13" t="s">
        <v>455</v>
      </c>
      <c r="G32" s="13" t="s">
        <v>425</v>
      </c>
      <c r="H32" s="13" t="s">
        <v>426</v>
      </c>
      <c r="I32" s="13" t="n">
        <v>0</v>
      </c>
      <c r="J32" s="13" t="s">
        <v>427</v>
      </c>
    </row>
    <row r="33" customFormat="false" ht="15" hidden="false" customHeight="false" outlineLevel="0" collapsed="false">
      <c r="A33" s="13" t="s">
        <v>457</v>
      </c>
      <c r="B33" s="13" t="s">
        <v>138</v>
      </c>
      <c r="C33" s="13" t="s">
        <v>18</v>
      </c>
      <c r="D33" s="13" t="s">
        <v>85</v>
      </c>
      <c r="E33" s="13" t="s">
        <v>86</v>
      </c>
      <c r="F33" s="13" t="s">
        <v>455</v>
      </c>
      <c r="G33" s="13" t="s">
        <v>425</v>
      </c>
      <c r="H33" s="13" t="s">
        <v>426</v>
      </c>
      <c r="I33" s="13" t="n">
        <v>0</v>
      </c>
      <c r="J33" s="13" t="s">
        <v>427</v>
      </c>
    </row>
    <row r="34" customFormat="false" ht="15" hidden="false" customHeight="false" outlineLevel="0" collapsed="false">
      <c r="A34" s="13" t="s">
        <v>458</v>
      </c>
      <c r="B34" s="13" t="s">
        <v>138</v>
      </c>
      <c r="C34" s="13" t="s">
        <v>18</v>
      </c>
      <c r="D34" s="13" t="s">
        <v>90</v>
      </c>
      <c r="E34" s="13" t="s">
        <v>91</v>
      </c>
      <c r="F34" s="13" t="s">
        <v>455</v>
      </c>
      <c r="G34" s="13" t="s">
        <v>425</v>
      </c>
      <c r="H34" s="13" t="s">
        <v>426</v>
      </c>
      <c r="I34" s="13" t="n">
        <v>0</v>
      </c>
      <c r="J34" s="13" t="s">
        <v>427</v>
      </c>
    </row>
    <row r="35" customFormat="false" ht="15" hidden="false" customHeight="false" outlineLevel="0" collapsed="false">
      <c r="A35" s="13" t="s">
        <v>459</v>
      </c>
      <c r="B35" s="13" t="s">
        <v>138</v>
      </c>
      <c r="C35" s="13" t="s">
        <v>18</v>
      </c>
      <c r="D35" s="13" t="s">
        <v>95</v>
      </c>
      <c r="E35" s="13" t="s">
        <v>96</v>
      </c>
      <c r="F35" s="13" t="s">
        <v>455</v>
      </c>
      <c r="G35" s="13" t="s">
        <v>425</v>
      </c>
      <c r="H35" s="13" t="s">
        <v>426</v>
      </c>
      <c r="I35" s="13" t="n">
        <v>0</v>
      </c>
      <c r="J35" s="13" t="s">
        <v>427</v>
      </c>
    </row>
    <row r="36" customFormat="false" ht="15" hidden="false" customHeight="false" outlineLevel="0" collapsed="false">
      <c r="A36" s="13" t="s">
        <v>460</v>
      </c>
      <c r="B36" s="13" t="s">
        <v>138</v>
      </c>
      <c r="C36" s="13" t="s">
        <v>18</v>
      </c>
      <c r="D36" s="13" t="s">
        <v>101</v>
      </c>
      <c r="E36" s="13" t="s">
        <v>102</v>
      </c>
      <c r="F36" s="13" t="s">
        <v>455</v>
      </c>
      <c r="G36" s="13" t="s">
        <v>425</v>
      </c>
      <c r="H36" s="13" t="s">
        <v>426</v>
      </c>
      <c r="I36" s="13" t="n">
        <v>0</v>
      </c>
      <c r="J36" s="13" t="s">
        <v>427</v>
      </c>
    </row>
    <row r="37" customFormat="false" ht="15" hidden="false" customHeight="false" outlineLevel="0" collapsed="false">
      <c r="A37" s="13" t="s">
        <v>461</v>
      </c>
      <c r="B37" s="13" t="s">
        <v>144</v>
      </c>
      <c r="C37" s="13" t="s">
        <v>20</v>
      </c>
      <c r="D37" s="13" t="s">
        <v>73</v>
      </c>
      <c r="E37" s="13" t="s">
        <v>74</v>
      </c>
      <c r="F37" s="13" t="s">
        <v>462</v>
      </c>
      <c r="G37" s="13" t="s">
        <v>425</v>
      </c>
      <c r="H37" s="13" t="s">
        <v>426</v>
      </c>
      <c r="I37" s="13" t="n">
        <v>0</v>
      </c>
      <c r="J37" s="13" t="s">
        <v>427</v>
      </c>
    </row>
    <row r="38" customFormat="false" ht="15" hidden="false" customHeight="false" outlineLevel="0" collapsed="false">
      <c r="A38" s="13" t="s">
        <v>463</v>
      </c>
      <c r="B38" s="13" t="s">
        <v>144</v>
      </c>
      <c r="C38" s="13" t="s">
        <v>20</v>
      </c>
      <c r="D38" s="13" t="s">
        <v>79</v>
      </c>
      <c r="E38" s="13" t="s">
        <v>80</v>
      </c>
      <c r="F38" s="13" t="s">
        <v>462</v>
      </c>
      <c r="G38" s="13" t="s">
        <v>425</v>
      </c>
      <c r="H38" s="13" t="s">
        <v>426</v>
      </c>
      <c r="I38" s="13" t="n">
        <v>0</v>
      </c>
      <c r="J38" s="13" t="s">
        <v>427</v>
      </c>
    </row>
    <row r="39" customFormat="false" ht="15" hidden="false" customHeight="false" outlineLevel="0" collapsed="false">
      <c r="A39" s="13" t="s">
        <v>464</v>
      </c>
      <c r="B39" s="13" t="s">
        <v>144</v>
      </c>
      <c r="C39" s="13" t="s">
        <v>20</v>
      </c>
      <c r="D39" s="13" t="s">
        <v>85</v>
      </c>
      <c r="E39" s="13" t="s">
        <v>86</v>
      </c>
      <c r="F39" s="13" t="s">
        <v>462</v>
      </c>
      <c r="G39" s="13" t="s">
        <v>425</v>
      </c>
      <c r="H39" s="13" t="s">
        <v>426</v>
      </c>
      <c r="I39" s="13" t="n">
        <v>0</v>
      </c>
      <c r="J39" s="13" t="s">
        <v>427</v>
      </c>
    </row>
    <row r="40" customFormat="false" ht="15" hidden="false" customHeight="false" outlineLevel="0" collapsed="false">
      <c r="A40" s="13" t="s">
        <v>465</v>
      </c>
      <c r="B40" s="13" t="s">
        <v>144</v>
      </c>
      <c r="C40" s="13" t="s">
        <v>20</v>
      </c>
      <c r="D40" s="13" t="s">
        <v>90</v>
      </c>
      <c r="E40" s="13" t="s">
        <v>91</v>
      </c>
      <c r="F40" s="13" t="s">
        <v>462</v>
      </c>
      <c r="G40" s="13" t="s">
        <v>425</v>
      </c>
      <c r="H40" s="13" t="s">
        <v>426</v>
      </c>
      <c r="I40" s="13" t="n">
        <v>0</v>
      </c>
      <c r="J40" s="13" t="s">
        <v>427</v>
      </c>
    </row>
    <row r="41" customFormat="false" ht="15" hidden="false" customHeight="false" outlineLevel="0" collapsed="false">
      <c r="A41" s="13" t="s">
        <v>466</v>
      </c>
      <c r="B41" s="13" t="s">
        <v>144</v>
      </c>
      <c r="C41" s="13" t="s">
        <v>20</v>
      </c>
      <c r="D41" s="13" t="s">
        <v>95</v>
      </c>
      <c r="E41" s="13" t="s">
        <v>96</v>
      </c>
      <c r="F41" s="13" t="s">
        <v>462</v>
      </c>
      <c r="G41" s="13" t="s">
        <v>425</v>
      </c>
      <c r="H41" s="13" t="s">
        <v>426</v>
      </c>
      <c r="I41" s="13" t="n">
        <v>0</v>
      </c>
      <c r="J41" s="13" t="s">
        <v>427</v>
      </c>
    </row>
    <row r="42" customFormat="false" ht="15" hidden="false" customHeight="false" outlineLevel="0" collapsed="false">
      <c r="A42" s="21" t="s">
        <v>467</v>
      </c>
      <c r="B42" s="21" t="s">
        <v>144</v>
      </c>
      <c r="C42" s="21" t="s">
        <v>20</v>
      </c>
      <c r="D42" s="21" t="s">
        <v>101</v>
      </c>
      <c r="E42" s="21" t="s">
        <v>102</v>
      </c>
      <c r="F42" s="21" t="s">
        <v>462</v>
      </c>
      <c r="G42" s="21" t="s">
        <v>425</v>
      </c>
      <c r="H42" s="21" t="s">
        <v>426</v>
      </c>
      <c r="I42" s="21" t="n">
        <v>0</v>
      </c>
      <c r="J42" s="21" t="s">
        <v>427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72"/>
    <col collapsed="false" customWidth="true" hidden="false" outlineLevel="0" max="7" min="7" style="0" width="58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4"/>
  </cols>
  <sheetData>
    <row r="2" customFormat="false" ht="24" hidden="false" customHeight="true" outlineLevel="0" collapsed="false">
      <c r="A2" s="1" t="s">
        <v>468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469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23" hidden="false" customHeight="true" outlineLevel="0" collapsed="false">
      <c r="A6" s="4" t="s">
        <v>418</v>
      </c>
      <c r="B6" s="22" t="s">
        <v>61</v>
      </c>
      <c r="C6" s="22" t="s">
        <v>4</v>
      </c>
      <c r="D6" s="22" t="s">
        <v>62</v>
      </c>
      <c r="E6" s="22" t="s">
        <v>63</v>
      </c>
      <c r="F6" s="22" t="s">
        <v>470</v>
      </c>
      <c r="G6" s="22" t="s">
        <v>420</v>
      </c>
      <c r="H6" s="22" t="s">
        <v>421</v>
      </c>
      <c r="I6" s="22" t="s">
        <v>422</v>
      </c>
      <c r="J6" s="5" t="s">
        <v>167</v>
      </c>
    </row>
    <row r="7" customFormat="false" ht="15" hidden="false" customHeight="false" outlineLevel="0" collapsed="false">
      <c r="A7" s="9" t="s">
        <v>471</v>
      </c>
      <c r="B7" s="9" t="s">
        <v>72</v>
      </c>
      <c r="C7" s="9" t="s">
        <v>12</v>
      </c>
      <c r="D7" s="9" t="s">
        <v>73</v>
      </c>
      <c r="E7" s="9" t="s">
        <v>74</v>
      </c>
      <c r="F7" s="9" t="s">
        <v>472</v>
      </c>
      <c r="G7" s="9" t="s">
        <v>473</v>
      </c>
      <c r="H7" s="9" t="s">
        <v>426</v>
      </c>
      <c r="I7" s="9" t="n">
        <v>0</v>
      </c>
      <c r="J7" s="9" t="s">
        <v>427</v>
      </c>
    </row>
    <row r="8" customFormat="false" ht="15" hidden="false" customHeight="false" outlineLevel="0" collapsed="false">
      <c r="A8" s="13" t="s">
        <v>474</v>
      </c>
      <c r="B8" s="13" t="s">
        <v>72</v>
      </c>
      <c r="C8" s="13" t="s">
        <v>12</v>
      </c>
      <c r="D8" s="13" t="s">
        <v>79</v>
      </c>
      <c r="E8" s="13" t="s">
        <v>80</v>
      </c>
      <c r="F8" s="13" t="s">
        <v>472</v>
      </c>
      <c r="G8" s="13" t="s">
        <v>473</v>
      </c>
      <c r="H8" s="13" t="s">
        <v>426</v>
      </c>
      <c r="I8" s="13" t="n">
        <v>0</v>
      </c>
      <c r="J8" s="13" t="s">
        <v>427</v>
      </c>
    </row>
    <row r="9" customFormat="false" ht="15" hidden="false" customHeight="false" outlineLevel="0" collapsed="false">
      <c r="A9" s="13" t="s">
        <v>475</v>
      </c>
      <c r="B9" s="13" t="s">
        <v>72</v>
      </c>
      <c r="C9" s="13" t="s">
        <v>12</v>
      </c>
      <c r="D9" s="13" t="s">
        <v>85</v>
      </c>
      <c r="E9" s="13" t="s">
        <v>86</v>
      </c>
      <c r="F9" s="13" t="s">
        <v>472</v>
      </c>
      <c r="G9" s="13" t="s">
        <v>473</v>
      </c>
      <c r="H9" s="13" t="s">
        <v>426</v>
      </c>
      <c r="I9" s="13" t="n">
        <v>0</v>
      </c>
      <c r="J9" s="13" t="s">
        <v>427</v>
      </c>
    </row>
    <row r="10" customFormat="false" ht="15" hidden="false" customHeight="false" outlineLevel="0" collapsed="false">
      <c r="A10" s="13" t="s">
        <v>476</v>
      </c>
      <c r="B10" s="13" t="s">
        <v>72</v>
      </c>
      <c r="C10" s="13" t="s">
        <v>12</v>
      </c>
      <c r="D10" s="13" t="s">
        <v>90</v>
      </c>
      <c r="E10" s="13" t="s">
        <v>91</v>
      </c>
      <c r="F10" s="13" t="s">
        <v>472</v>
      </c>
      <c r="G10" s="13" t="s">
        <v>473</v>
      </c>
      <c r="H10" s="13" t="s">
        <v>426</v>
      </c>
      <c r="I10" s="13" t="n">
        <v>0</v>
      </c>
      <c r="J10" s="13" t="s">
        <v>427</v>
      </c>
    </row>
    <row r="11" customFormat="false" ht="15" hidden="false" customHeight="false" outlineLevel="0" collapsed="false">
      <c r="A11" s="13" t="s">
        <v>477</v>
      </c>
      <c r="B11" s="13" t="s">
        <v>72</v>
      </c>
      <c r="C11" s="13" t="s">
        <v>12</v>
      </c>
      <c r="D11" s="13" t="s">
        <v>95</v>
      </c>
      <c r="E11" s="13" t="s">
        <v>96</v>
      </c>
      <c r="F11" s="13" t="s">
        <v>472</v>
      </c>
      <c r="G11" s="13" t="s">
        <v>473</v>
      </c>
      <c r="H11" s="13" t="s">
        <v>426</v>
      </c>
      <c r="I11" s="13" t="n">
        <v>0</v>
      </c>
      <c r="J11" s="13" t="s">
        <v>427</v>
      </c>
    </row>
    <row r="12" customFormat="false" ht="15" hidden="false" customHeight="false" outlineLevel="0" collapsed="false">
      <c r="A12" s="13" t="s">
        <v>478</v>
      </c>
      <c r="B12" s="13" t="s">
        <v>72</v>
      </c>
      <c r="C12" s="13" t="s">
        <v>12</v>
      </c>
      <c r="D12" s="13" t="s">
        <v>101</v>
      </c>
      <c r="E12" s="13" t="s">
        <v>102</v>
      </c>
      <c r="F12" s="13" t="s">
        <v>472</v>
      </c>
      <c r="G12" s="13" t="s">
        <v>473</v>
      </c>
      <c r="H12" s="13" t="s">
        <v>426</v>
      </c>
      <c r="I12" s="13" t="n">
        <v>0</v>
      </c>
      <c r="J12" s="13" t="s">
        <v>427</v>
      </c>
    </row>
    <row r="13" customFormat="false" ht="15" hidden="false" customHeight="false" outlineLevel="0" collapsed="false">
      <c r="A13" s="13" t="s">
        <v>479</v>
      </c>
      <c r="B13" s="13" t="s">
        <v>107</v>
      </c>
      <c r="C13" s="13" t="s">
        <v>14</v>
      </c>
      <c r="D13" s="13" t="s">
        <v>73</v>
      </c>
      <c r="E13" s="13" t="s">
        <v>74</v>
      </c>
      <c r="F13" s="13" t="s">
        <v>480</v>
      </c>
      <c r="G13" s="13" t="s">
        <v>473</v>
      </c>
      <c r="H13" s="13" t="s">
        <v>426</v>
      </c>
      <c r="I13" s="13" t="n">
        <v>0</v>
      </c>
      <c r="J13" s="13" t="s">
        <v>427</v>
      </c>
    </row>
    <row r="14" customFormat="false" ht="15" hidden="false" customHeight="false" outlineLevel="0" collapsed="false">
      <c r="A14" s="13" t="s">
        <v>481</v>
      </c>
      <c r="B14" s="13" t="s">
        <v>107</v>
      </c>
      <c r="C14" s="13" t="s">
        <v>14</v>
      </c>
      <c r="D14" s="13" t="s">
        <v>79</v>
      </c>
      <c r="E14" s="13" t="s">
        <v>80</v>
      </c>
      <c r="F14" s="13" t="s">
        <v>480</v>
      </c>
      <c r="G14" s="13" t="s">
        <v>473</v>
      </c>
      <c r="H14" s="13" t="s">
        <v>426</v>
      </c>
      <c r="I14" s="13" t="n">
        <v>0</v>
      </c>
      <c r="J14" s="13" t="s">
        <v>427</v>
      </c>
    </row>
    <row r="15" customFormat="false" ht="15" hidden="false" customHeight="false" outlineLevel="0" collapsed="false">
      <c r="A15" s="13" t="s">
        <v>482</v>
      </c>
      <c r="B15" s="13" t="s">
        <v>107</v>
      </c>
      <c r="C15" s="13" t="s">
        <v>14</v>
      </c>
      <c r="D15" s="13" t="s">
        <v>85</v>
      </c>
      <c r="E15" s="13" t="s">
        <v>86</v>
      </c>
      <c r="F15" s="13" t="s">
        <v>480</v>
      </c>
      <c r="G15" s="13" t="s">
        <v>473</v>
      </c>
      <c r="H15" s="13" t="s">
        <v>426</v>
      </c>
      <c r="I15" s="13" t="n">
        <v>0</v>
      </c>
      <c r="J15" s="13" t="s">
        <v>427</v>
      </c>
    </row>
    <row r="16" customFormat="false" ht="15" hidden="false" customHeight="false" outlineLevel="0" collapsed="false">
      <c r="A16" s="13" t="s">
        <v>483</v>
      </c>
      <c r="B16" s="13" t="s">
        <v>107</v>
      </c>
      <c r="C16" s="13" t="s">
        <v>14</v>
      </c>
      <c r="D16" s="13" t="s">
        <v>90</v>
      </c>
      <c r="E16" s="13" t="s">
        <v>91</v>
      </c>
      <c r="F16" s="13" t="s">
        <v>480</v>
      </c>
      <c r="G16" s="13" t="s">
        <v>473</v>
      </c>
      <c r="H16" s="13" t="s">
        <v>426</v>
      </c>
      <c r="I16" s="13" t="n">
        <v>0</v>
      </c>
      <c r="J16" s="13" t="s">
        <v>427</v>
      </c>
    </row>
    <row r="17" customFormat="false" ht="15" hidden="false" customHeight="false" outlineLevel="0" collapsed="false">
      <c r="A17" s="13" t="s">
        <v>484</v>
      </c>
      <c r="B17" s="13" t="s">
        <v>107</v>
      </c>
      <c r="C17" s="13" t="s">
        <v>14</v>
      </c>
      <c r="D17" s="13" t="s">
        <v>95</v>
      </c>
      <c r="E17" s="13" t="s">
        <v>96</v>
      </c>
      <c r="F17" s="13" t="s">
        <v>480</v>
      </c>
      <c r="G17" s="13" t="s">
        <v>473</v>
      </c>
      <c r="H17" s="13" t="s">
        <v>426</v>
      </c>
      <c r="I17" s="13" t="n">
        <v>0</v>
      </c>
      <c r="J17" s="13" t="s">
        <v>427</v>
      </c>
    </row>
    <row r="18" customFormat="false" ht="15" hidden="false" customHeight="false" outlineLevel="0" collapsed="false">
      <c r="A18" s="13" t="s">
        <v>485</v>
      </c>
      <c r="B18" s="13" t="s">
        <v>107</v>
      </c>
      <c r="C18" s="13" t="s">
        <v>14</v>
      </c>
      <c r="D18" s="13" t="s">
        <v>101</v>
      </c>
      <c r="E18" s="13" t="s">
        <v>102</v>
      </c>
      <c r="F18" s="13" t="s">
        <v>480</v>
      </c>
      <c r="G18" s="13" t="s">
        <v>473</v>
      </c>
      <c r="H18" s="13" t="s">
        <v>426</v>
      </c>
      <c r="I18" s="13" t="n">
        <v>0</v>
      </c>
      <c r="J18" s="13" t="s">
        <v>427</v>
      </c>
    </row>
    <row r="19" customFormat="false" ht="15" hidden="false" customHeight="false" outlineLevel="0" collapsed="false">
      <c r="A19" s="13" t="s">
        <v>486</v>
      </c>
      <c r="B19" s="13" t="s">
        <v>114</v>
      </c>
      <c r="C19" s="13" t="s">
        <v>16</v>
      </c>
      <c r="D19" s="13" t="s">
        <v>73</v>
      </c>
      <c r="E19" s="13" t="s">
        <v>74</v>
      </c>
      <c r="F19" s="13" t="s">
        <v>487</v>
      </c>
      <c r="G19" s="13" t="s">
        <v>473</v>
      </c>
      <c r="H19" s="13" t="s">
        <v>426</v>
      </c>
      <c r="I19" s="13" t="n">
        <v>0</v>
      </c>
      <c r="J19" s="13" t="s">
        <v>427</v>
      </c>
    </row>
    <row r="20" customFormat="false" ht="15" hidden="false" customHeight="false" outlineLevel="0" collapsed="false">
      <c r="A20" s="13" t="s">
        <v>488</v>
      </c>
      <c r="B20" s="13" t="s">
        <v>114</v>
      </c>
      <c r="C20" s="13" t="s">
        <v>16</v>
      </c>
      <c r="D20" s="13" t="s">
        <v>79</v>
      </c>
      <c r="E20" s="13" t="s">
        <v>80</v>
      </c>
      <c r="F20" s="13" t="s">
        <v>487</v>
      </c>
      <c r="G20" s="13" t="s">
        <v>473</v>
      </c>
      <c r="H20" s="13" t="s">
        <v>426</v>
      </c>
      <c r="I20" s="13" t="n">
        <v>0</v>
      </c>
      <c r="J20" s="13" t="s">
        <v>427</v>
      </c>
    </row>
    <row r="21" customFormat="false" ht="15" hidden="false" customHeight="false" outlineLevel="0" collapsed="false">
      <c r="A21" s="13" t="s">
        <v>489</v>
      </c>
      <c r="B21" s="13" t="s">
        <v>114</v>
      </c>
      <c r="C21" s="13" t="s">
        <v>16</v>
      </c>
      <c r="D21" s="13" t="s">
        <v>85</v>
      </c>
      <c r="E21" s="13" t="s">
        <v>86</v>
      </c>
      <c r="F21" s="13" t="s">
        <v>487</v>
      </c>
      <c r="G21" s="13" t="s">
        <v>473</v>
      </c>
      <c r="H21" s="13" t="s">
        <v>426</v>
      </c>
      <c r="I21" s="13" t="n">
        <v>0</v>
      </c>
      <c r="J21" s="13" t="s">
        <v>427</v>
      </c>
    </row>
    <row r="22" customFormat="false" ht="15" hidden="false" customHeight="false" outlineLevel="0" collapsed="false">
      <c r="A22" s="13" t="s">
        <v>490</v>
      </c>
      <c r="B22" s="13" t="s">
        <v>114</v>
      </c>
      <c r="C22" s="13" t="s">
        <v>16</v>
      </c>
      <c r="D22" s="13" t="s">
        <v>90</v>
      </c>
      <c r="E22" s="13" t="s">
        <v>91</v>
      </c>
      <c r="F22" s="13" t="s">
        <v>487</v>
      </c>
      <c r="G22" s="13" t="s">
        <v>473</v>
      </c>
      <c r="H22" s="13" t="s">
        <v>426</v>
      </c>
      <c r="I22" s="13" t="n">
        <v>0</v>
      </c>
      <c r="J22" s="13" t="s">
        <v>427</v>
      </c>
    </row>
    <row r="23" customFormat="false" ht="15" hidden="false" customHeight="false" outlineLevel="0" collapsed="false">
      <c r="A23" s="13" t="s">
        <v>491</v>
      </c>
      <c r="B23" s="13" t="s">
        <v>114</v>
      </c>
      <c r="C23" s="13" t="s">
        <v>16</v>
      </c>
      <c r="D23" s="13" t="s">
        <v>95</v>
      </c>
      <c r="E23" s="13" t="s">
        <v>96</v>
      </c>
      <c r="F23" s="13" t="s">
        <v>487</v>
      </c>
      <c r="G23" s="13" t="s">
        <v>473</v>
      </c>
      <c r="H23" s="13" t="s">
        <v>426</v>
      </c>
      <c r="I23" s="13" t="n">
        <v>0</v>
      </c>
      <c r="J23" s="13" t="s">
        <v>427</v>
      </c>
    </row>
    <row r="24" customFormat="false" ht="15" hidden="false" customHeight="false" outlineLevel="0" collapsed="false">
      <c r="A24" s="13" t="s">
        <v>492</v>
      </c>
      <c r="B24" s="13" t="s">
        <v>114</v>
      </c>
      <c r="C24" s="13" t="s">
        <v>16</v>
      </c>
      <c r="D24" s="13" t="s">
        <v>101</v>
      </c>
      <c r="E24" s="13" t="s">
        <v>102</v>
      </c>
      <c r="F24" s="13" t="s">
        <v>487</v>
      </c>
      <c r="G24" s="13" t="s">
        <v>473</v>
      </c>
      <c r="H24" s="13" t="s">
        <v>426</v>
      </c>
      <c r="I24" s="13" t="n">
        <v>0</v>
      </c>
      <c r="J24" s="13" t="s">
        <v>427</v>
      </c>
    </row>
    <row r="25" customFormat="false" ht="15" hidden="false" customHeight="false" outlineLevel="0" collapsed="false">
      <c r="A25" s="13" t="s">
        <v>493</v>
      </c>
      <c r="B25" s="13" t="s">
        <v>121</v>
      </c>
      <c r="C25" s="13" t="s">
        <v>122</v>
      </c>
      <c r="D25" s="13" t="s">
        <v>73</v>
      </c>
      <c r="E25" s="13" t="s">
        <v>74</v>
      </c>
      <c r="F25" s="13" t="s">
        <v>494</v>
      </c>
      <c r="G25" s="13" t="s">
        <v>473</v>
      </c>
      <c r="H25" s="13" t="s">
        <v>426</v>
      </c>
      <c r="I25" s="13" t="n">
        <v>0</v>
      </c>
      <c r="J25" s="13" t="s">
        <v>427</v>
      </c>
    </row>
    <row r="26" customFormat="false" ht="15" hidden="false" customHeight="false" outlineLevel="0" collapsed="false">
      <c r="A26" s="13" t="s">
        <v>495</v>
      </c>
      <c r="B26" s="13" t="s">
        <v>121</v>
      </c>
      <c r="C26" s="13" t="s">
        <v>122</v>
      </c>
      <c r="D26" s="13" t="s">
        <v>79</v>
      </c>
      <c r="E26" s="13" t="s">
        <v>80</v>
      </c>
      <c r="F26" s="13" t="s">
        <v>494</v>
      </c>
      <c r="G26" s="13" t="s">
        <v>473</v>
      </c>
      <c r="H26" s="13" t="s">
        <v>426</v>
      </c>
      <c r="I26" s="13" t="n">
        <v>0</v>
      </c>
      <c r="J26" s="13" t="s">
        <v>427</v>
      </c>
    </row>
    <row r="27" customFormat="false" ht="15" hidden="false" customHeight="false" outlineLevel="0" collapsed="false">
      <c r="A27" s="13" t="s">
        <v>496</v>
      </c>
      <c r="B27" s="13" t="s">
        <v>121</v>
      </c>
      <c r="C27" s="13" t="s">
        <v>122</v>
      </c>
      <c r="D27" s="13" t="s">
        <v>85</v>
      </c>
      <c r="E27" s="13" t="s">
        <v>86</v>
      </c>
      <c r="F27" s="13" t="s">
        <v>494</v>
      </c>
      <c r="G27" s="13" t="s">
        <v>473</v>
      </c>
      <c r="H27" s="13" t="s">
        <v>426</v>
      </c>
      <c r="I27" s="13" t="n">
        <v>0</v>
      </c>
      <c r="J27" s="13" t="s">
        <v>427</v>
      </c>
    </row>
    <row r="28" customFormat="false" ht="15" hidden="false" customHeight="false" outlineLevel="0" collapsed="false">
      <c r="A28" s="13" t="s">
        <v>497</v>
      </c>
      <c r="B28" s="13" t="s">
        <v>121</v>
      </c>
      <c r="C28" s="13" t="s">
        <v>122</v>
      </c>
      <c r="D28" s="13" t="s">
        <v>90</v>
      </c>
      <c r="E28" s="13" t="s">
        <v>91</v>
      </c>
      <c r="F28" s="13" t="s">
        <v>494</v>
      </c>
      <c r="G28" s="13" t="s">
        <v>473</v>
      </c>
      <c r="H28" s="13" t="s">
        <v>426</v>
      </c>
      <c r="I28" s="13" t="n">
        <v>0</v>
      </c>
      <c r="J28" s="13" t="s">
        <v>427</v>
      </c>
    </row>
    <row r="29" customFormat="false" ht="15" hidden="false" customHeight="false" outlineLevel="0" collapsed="false">
      <c r="A29" s="13" t="s">
        <v>498</v>
      </c>
      <c r="B29" s="13" t="s">
        <v>121</v>
      </c>
      <c r="C29" s="13" t="s">
        <v>122</v>
      </c>
      <c r="D29" s="13" t="s">
        <v>95</v>
      </c>
      <c r="E29" s="13" t="s">
        <v>96</v>
      </c>
      <c r="F29" s="13" t="s">
        <v>494</v>
      </c>
      <c r="G29" s="13" t="s">
        <v>473</v>
      </c>
      <c r="H29" s="13" t="s">
        <v>426</v>
      </c>
      <c r="I29" s="13" t="n">
        <v>0</v>
      </c>
      <c r="J29" s="13" t="s">
        <v>427</v>
      </c>
    </row>
    <row r="30" customFormat="false" ht="15" hidden="false" customHeight="false" outlineLevel="0" collapsed="false">
      <c r="A30" s="13" t="s">
        <v>499</v>
      </c>
      <c r="B30" s="13" t="s">
        <v>121</v>
      </c>
      <c r="C30" s="13" t="s">
        <v>122</v>
      </c>
      <c r="D30" s="13" t="s">
        <v>101</v>
      </c>
      <c r="E30" s="13" t="s">
        <v>102</v>
      </c>
      <c r="F30" s="13" t="s">
        <v>494</v>
      </c>
      <c r="G30" s="13" t="s">
        <v>473</v>
      </c>
      <c r="H30" s="13" t="s">
        <v>426</v>
      </c>
      <c r="I30" s="13" t="n">
        <v>0</v>
      </c>
      <c r="J30" s="13" t="s">
        <v>427</v>
      </c>
    </row>
    <row r="31" customFormat="false" ht="15" hidden="false" customHeight="false" outlineLevel="0" collapsed="false">
      <c r="A31" s="13" t="s">
        <v>500</v>
      </c>
      <c r="B31" s="13" t="s">
        <v>138</v>
      </c>
      <c r="C31" s="13" t="s">
        <v>18</v>
      </c>
      <c r="D31" s="13" t="s">
        <v>73</v>
      </c>
      <c r="E31" s="13" t="s">
        <v>74</v>
      </c>
      <c r="F31" s="13" t="s">
        <v>501</v>
      </c>
      <c r="G31" s="13" t="s">
        <v>473</v>
      </c>
      <c r="H31" s="13" t="s">
        <v>426</v>
      </c>
      <c r="I31" s="13" t="n">
        <v>0</v>
      </c>
      <c r="J31" s="13" t="s">
        <v>427</v>
      </c>
    </row>
    <row r="32" customFormat="false" ht="15" hidden="false" customHeight="false" outlineLevel="0" collapsed="false">
      <c r="A32" s="13" t="s">
        <v>502</v>
      </c>
      <c r="B32" s="13" t="s">
        <v>138</v>
      </c>
      <c r="C32" s="13" t="s">
        <v>18</v>
      </c>
      <c r="D32" s="13" t="s">
        <v>79</v>
      </c>
      <c r="E32" s="13" t="s">
        <v>80</v>
      </c>
      <c r="F32" s="13" t="s">
        <v>501</v>
      </c>
      <c r="G32" s="13" t="s">
        <v>473</v>
      </c>
      <c r="H32" s="13" t="s">
        <v>426</v>
      </c>
      <c r="I32" s="13" t="n">
        <v>0</v>
      </c>
      <c r="J32" s="13" t="s">
        <v>427</v>
      </c>
    </row>
    <row r="33" customFormat="false" ht="15" hidden="false" customHeight="false" outlineLevel="0" collapsed="false">
      <c r="A33" s="13" t="s">
        <v>503</v>
      </c>
      <c r="B33" s="13" t="s">
        <v>138</v>
      </c>
      <c r="C33" s="13" t="s">
        <v>18</v>
      </c>
      <c r="D33" s="13" t="s">
        <v>85</v>
      </c>
      <c r="E33" s="13" t="s">
        <v>86</v>
      </c>
      <c r="F33" s="13" t="s">
        <v>501</v>
      </c>
      <c r="G33" s="13" t="s">
        <v>473</v>
      </c>
      <c r="H33" s="13" t="s">
        <v>426</v>
      </c>
      <c r="I33" s="13" t="n">
        <v>0</v>
      </c>
      <c r="J33" s="13" t="s">
        <v>427</v>
      </c>
    </row>
    <row r="34" customFormat="false" ht="15" hidden="false" customHeight="false" outlineLevel="0" collapsed="false">
      <c r="A34" s="13" t="s">
        <v>504</v>
      </c>
      <c r="B34" s="13" t="s">
        <v>138</v>
      </c>
      <c r="C34" s="13" t="s">
        <v>18</v>
      </c>
      <c r="D34" s="13" t="s">
        <v>90</v>
      </c>
      <c r="E34" s="13" t="s">
        <v>91</v>
      </c>
      <c r="F34" s="13" t="s">
        <v>501</v>
      </c>
      <c r="G34" s="13" t="s">
        <v>473</v>
      </c>
      <c r="H34" s="13" t="s">
        <v>426</v>
      </c>
      <c r="I34" s="13" t="n">
        <v>0</v>
      </c>
      <c r="J34" s="13" t="s">
        <v>427</v>
      </c>
    </row>
    <row r="35" customFormat="false" ht="15" hidden="false" customHeight="false" outlineLevel="0" collapsed="false">
      <c r="A35" s="13" t="s">
        <v>505</v>
      </c>
      <c r="B35" s="13" t="s">
        <v>138</v>
      </c>
      <c r="C35" s="13" t="s">
        <v>18</v>
      </c>
      <c r="D35" s="13" t="s">
        <v>95</v>
      </c>
      <c r="E35" s="13" t="s">
        <v>96</v>
      </c>
      <c r="F35" s="13" t="s">
        <v>501</v>
      </c>
      <c r="G35" s="13" t="s">
        <v>473</v>
      </c>
      <c r="H35" s="13" t="s">
        <v>426</v>
      </c>
      <c r="I35" s="13" t="n">
        <v>0</v>
      </c>
      <c r="J35" s="13" t="s">
        <v>427</v>
      </c>
    </row>
    <row r="36" customFormat="false" ht="15" hidden="false" customHeight="false" outlineLevel="0" collapsed="false">
      <c r="A36" s="13" t="s">
        <v>506</v>
      </c>
      <c r="B36" s="13" t="s">
        <v>138</v>
      </c>
      <c r="C36" s="13" t="s">
        <v>18</v>
      </c>
      <c r="D36" s="13" t="s">
        <v>101</v>
      </c>
      <c r="E36" s="13" t="s">
        <v>102</v>
      </c>
      <c r="F36" s="13" t="s">
        <v>501</v>
      </c>
      <c r="G36" s="13" t="s">
        <v>473</v>
      </c>
      <c r="H36" s="13" t="s">
        <v>426</v>
      </c>
      <c r="I36" s="13" t="n">
        <v>0</v>
      </c>
      <c r="J36" s="13" t="s">
        <v>427</v>
      </c>
    </row>
    <row r="37" customFormat="false" ht="15" hidden="false" customHeight="false" outlineLevel="0" collapsed="false">
      <c r="A37" s="13" t="s">
        <v>507</v>
      </c>
      <c r="B37" s="13" t="s">
        <v>144</v>
      </c>
      <c r="C37" s="13" t="s">
        <v>20</v>
      </c>
      <c r="D37" s="13" t="s">
        <v>73</v>
      </c>
      <c r="E37" s="13" t="s">
        <v>74</v>
      </c>
      <c r="F37" s="13" t="s">
        <v>508</v>
      </c>
      <c r="G37" s="13" t="s">
        <v>473</v>
      </c>
      <c r="H37" s="13" t="s">
        <v>426</v>
      </c>
      <c r="I37" s="13" t="n">
        <v>0</v>
      </c>
      <c r="J37" s="13" t="s">
        <v>427</v>
      </c>
    </row>
    <row r="38" customFormat="false" ht="15" hidden="false" customHeight="false" outlineLevel="0" collapsed="false">
      <c r="A38" s="13" t="s">
        <v>509</v>
      </c>
      <c r="B38" s="13" t="s">
        <v>144</v>
      </c>
      <c r="C38" s="13" t="s">
        <v>20</v>
      </c>
      <c r="D38" s="13" t="s">
        <v>79</v>
      </c>
      <c r="E38" s="13" t="s">
        <v>80</v>
      </c>
      <c r="F38" s="13" t="s">
        <v>508</v>
      </c>
      <c r="G38" s="13" t="s">
        <v>473</v>
      </c>
      <c r="H38" s="13" t="s">
        <v>426</v>
      </c>
      <c r="I38" s="13" t="n">
        <v>0</v>
      </c>
      <c r="J38" s="13" t="s">
        <v>427</v>
      </c>
    </row>
    <row r="39" customFormat="false" ht="15" hidden="false" customHeight="false" outlineLevel="0" collapsed="false">
      <c r="A39" s="13" t="s">
        <v>510</v>
      </c>
      <c r="B39" s="13" t="s">
        <v>144</v>
      </c>
      <c r="C39" s="13" t="s">
        <v>20</v>
      </c>
      <c r="D39" s="13" t="s">
        <v>85</v>
      </c>
      <c r="E39" s="13" t="s">
        <v>86</v>
      </c>
      <c r="F39" s="13" t="s">
        <v>508</v>
      </c>
      <c r="G39" s="13" t="s">
        <v>473</v>
      </c>
      <c r="H39" s="13" t="s">
        <v>426</v>
      </c>
      <c r="I39" s="13" t="n">
        <v>0</v>
      </c>
      <c r="J39" s="13" t="s">
        <v>427</v>
      </c>
    </row>
    <row r="40" customFormat="false" ht="15" hidden="false" customHeight="false" outlineLevel="0" collapsed="false">
      <c r="A40" s="13" t="s">
        <v>511</v>
      </c>
      <c r="B40" s="13" t="s">
        <v>144</v>
      </c>
      <c r="C40" s="13" t="s">
        <v>20</v>
      </c>
      <c r="D40" s="13" t="s">
        <v>90</v>
      </c>
      <c r="E40" s="13" t="s">
        <v>91</v>
      </c>
      <c r="F40" s="13" t="s">
        <v>508</v>
      </c>
      <c r="G40" s="13" t="s">
        <v>473</v>
      </c>
      <c r="H40" s="13" t="s">
        <v>426</v>
      </c>
      <c r="I40" s="13" t="n">
        <v>0</v>
      </c>
      <c r="J40" s="13" t="s">
        <v>427</v>
      </c>
    </row>
    <row r="41" customFormat="false" ht="15" hidden="false" customHeight="false" outlineLevel="0" collapsed="false">
      <c r="A41" s="13" t="s">
        <v>512</v>
      </c>
      <c r="B41" s="13" t="s">
        <v>144</v>
      </c>
      <c r="C41" s="13" t="s">
        <v>20</v>
      </c>
      <c r="D41" s="13" t="s">
        <v>95</v>
      </c>
      <c r="E41" s="13" t="s">
        <v>96</v>
      </c>
      <c r="F41" s="13" t="s">
        <v>508</v>
      </c>
      <c r="G41" s="13" t="s">
        <v>473</v>
      </c>
      <c r="H41" s="13" t="s">
        <v>426</v>
      </c>
      <c r="I41" s="13" t="n">
        <v>0</v>
      </c>
      <c r="J41" s="13" t="s">
        <v>427</v>
      </c>
    </row>
    <row r="42" customFormat="false" ht="15" hidden="false" customHeight="false" outlineLevel="0" collapsed="false">
      <c r="A42" s="21" t="s">
        <v>513</v>
      </c>
      <c r="B42" s="21" t="s">
        <v>144</v>
      </c>
      <c r="C42" s="21" t="s">
        <v>20</v>
      </c>
      <c r="D42" s="21" t="s">
        <v>101</v>
      </c>
      <c r="E42" s="21" t="s">
        <v>102</v>
      </c>
      <c r="F42" s="21" t="s">
        <v>508</v>
      </c>
      <c r="G42" s="21" t="s">
        <v>473</v>
      </c>
      <c r="H42" s="21" t="s">
        <v>426</v>
      </c>
      <c r="I42" s="21" t="n">
        <v>0</v>
      </c>
      <c r="J42" s="21" t="s">
        <v>427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9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7"/>
  </cols>
  <sheetData>
    <row r="2" customFormat="false" ht="24" hidden="false" customHeight="true" outlineLevel="0" collapsed="false">
      <c r="A2" s="1" t="s">
        <v>514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515</v>
      </c>
      <c r="B4" s="3"/>
      <c r="C4" s="3"/>
      <c r="D4" s="3"/>
      <c r="E4" s="3"/>
      <c r="F4" s="3"/>
      <c r="G4" s="3"/>
    </row>
    <row r="6" customFormat="false" ht="23" hidden="false" customHeight="true" outlineLevel="0" collapsed="false">
      <c r="A6" s="4" t="s">
        <v>516</v>
      </c>
      <c r="B6" s="22" t="s">
        <v>517</v>
      </c>
      <c r="C6" s="22" t="s">
        <v>4</v>
      </c>
      <c r="D6" s="22" t="s">
        <v>518</v>
      </c>
      <c r="E6" s="22" t="s">
        <v>188</v>
      </c>
      <c r="F6" s="22" t="s">
        <v>189</v>
      </c>
      <c r="G6" s="5" t="s">
        <v>519</v>
      </c>
    </row>
    <row r="7" customFormat="false" ht="15" hidden="false" customHeight="false" outlineLevel="0" collapsed="false">
      <c r="A7" s="9" t="s">
        <v>520</v>
      </c>
      <c r="B7" s="43" t="n">
        <v>0</v>
      </c>
      <c r="C7" s="9" t="s">
        <v>12</v>
      </c>
      <c r="D7" s="43" t="n">
        <v>1.024</v>
      </c>
      <c r="E7" s="11" t="n">
        <f aca="false">D7*(1-B7)</f>
        <v>1.024</v>
      </c>
      <c r="F7" s="11" t="n">
        <f aca="false">E7-Controls!$B$8</f>
        <v>0.024</v>
      </c>
      <c r="G7" s="12" t="str">
        <f aca="false">IF(F7&gt;=0,"CLOSE","NEGATIVE")</f>
        <v>CLOSE</v>
      </c>
    </row>
    <row r="8" customFormat="false" ht="15" hidden="false" customHeight="false" outlineLevel="0" collapsed="false">
      <c r="A8" s="13" t="s">
        <v>520</v>
      </c>
      <c r="B8" s="44" t="n">
        <v>0</v>
      </c>
      <c r="C8" s="13" t="s">
        <v>14</v>
      </c>
      <c r="D8" s="44" t="n">
        <v>1</v>
      </c>
      <c r="E8" s="15" t="n">
        <f aca="false">D8*(1-B8)</f>
        <v>1</v>
      </c>
      <c r="F8" s="15" t="n">
        <f aca="false">E8-Controls!$B$8</f>
        <v>0</v>
      </c>
      <c r="G8" s="16" t="str">
        <f aca="false">IF(F8&gt;=0,"CLOSE","NEGATIVE")</f>
        <v>CLOSE</v>
      </c>
    </row>
    <row r="9" customFormat="false" ht="15" hidden="false" customHeight="false" outlineLevel="0" collapsed="false">
      <c r="A9" s="13" t="s">
        <v>520</v>
      </c>
      <c r="B9" s="44" t="n">
        <v>0</v>
      </c>
      <c r="C9" s="13" t="s">
        <v>16</v>
      </c>
      <c r="D9" s="44" t="n">
        <v>1.024</v>
      </c>
      <c r="E9" s="15" t="n">
        <f aca="false">D9*(1-B9)</f>
        <v>1.024</v>
      </c>
      <c r="F9" s="15" t="n">
        <f aca="false">E9-Controls!$B$8</f>
        <v>0.024</v>
      </c>
      <c r="G9" s="16" t="str">
        <f aca="false">IF(F9&gt;=0,"CLOSE","NEGATIVE")</f>
        <v>CLOSE</v>
      </c>
    </row>
    <row r="10" customFormat="false" ht="15" hidden="false" customHeight="false" outlineLevel="0" collapsed="false">
      <c r="A10" s="13" t="s">
        <v>520</v>
      </c>
      <c r="B10" s="44" t="n">
        <v>0</v>
      </c>
      <c r="C10" s="13" t="s">
        <v>122</v>
      </c>
      <c r="D10" s="44" t="n">
        <v>0</v>
      </c>
      <c r="E10" s="15" t="n">
        <f aca="false">D10*(1-B10)</f>
        <v>0</v>
      </c>
      <c r="F10" s="15" t="n">
        <f aca="false">E10-Controls!$B$8</f>
        <v>-1</v>
      </c>
      <c r="G10" s="16" t="str">
        <f aca="false">IF(F10&gt;=0,"CLOSE","NEGATIVE")</f>
        <v>NEGATIVE</v>
      </c>
    </row>
    <row r="11" customFormat="false" ht="15" hidden="false" customHeight="false" outlineLevel="0" collapsed="false">
      <c r="A11" s="13" t="s">
        <v>520</v>
      </c>
      <c r="B11" s="44" t="n">
        <v>0</v>
      </c>
      <c r="C11" s="13" t="s">
        <v>18</v>
      </c>
      <c r="D11" s="44" t="n">
        <v>1.008</v>
      </c>
      <c r="E11" s="15" t="n">
        <f aca="false">D11*(1-B11)</f>
        <v>1.008</v>
      </c>
      <c r="F11" s="15" t="n">
        <f aca="false">E11-Controls!$B$8</f>
        <v>0.00800000000000001</v>
      </c>
      <c r="G11" s="16" t="str">
        <f aca="false">IF(F11&gt;=0,"CLOSE","NEGATIVE")</f>
        <v>CLOSE</v>
      </c>
    </row>
    <row r="12" customFormat="false" ht="15" hidden="false" customHeight="false" outlineLevel="0" collapsed="false">
      <c r="A12" s="13" t="s">
        <v>520</v>
      </c>
      <c r="B12" s="44" t="n">
        <v>0</v>
      </c>
      <c r="C12" s="13" t="s">
        <v>20</v>
      </c>
      <c r="D12" s="44" t="n">
        <v>1.00645161290323</v>
      </c>
      <c r="E12" s="15" t="n">
        <f aca="false">D12*(1-B12)</f>
        <v>1.00645161290323</v>
      </c>
      <c r="F12" s="15" t="n">
        <f aca="false">E12-Controls!$B$8</f>
        <v>0.00645161290322993</v>
      </c>
      <c r="G12" s="16" t="str">
        <f aca="false">IF(F12&gt;=0,"CLOSE","NEGATIVE")</f>
        <v>CLOSE</v>
      </c>
    </row>
    <row r="13" customFormat="false" ht="15" hidden="false" customHeight="false" outlineLevel="0" collapsed="false">
      <c r="A13" s="13" t="s">
        <v>521</v>
      </c>
      <c r="B13" s="44" t="n">
        <v>0.01</v>
      </c>
      <c r="C13" s="13" t="s">
        <v>12</v>
      </c>
      <c r="D13" s="44" t="n">
        <v>1.024</v>
      </c>
      <c r="E13" s="15" t="n">
        <f aca="false">D13*(1-B13)</f>
        <v>1.01376</v>
      </c>
      <c r="F13" s="15" t="n">
        <f aca="false">E13-Controls!$B$8</f>
        <v>0.01376</v>
      </c>
      <c r="G13" s="16" t="str">
        <f aca="false">IF(F13&gt;=0,"CLOSE","NEGATIVE")</f>
        <v>CLOSE</v>
      </c>
    </row>
    <row r="14" customFormat="false" ht="15" hidden="false" customHeight="false" outlineLevel="0" collapsed="false">
      <c r="A14" s="13" t="s">
        <v>521</v>
      </c>
      <c r="B14" s="44" t="n">
        <v>0.01</v>
      </c>
      <c r="C14" s="13" t="s">
        <v>14</v>
      </c>
      <c r="D14" s="44" t="n">
        <v>1</v>
      </c>
      <c r="E14" s="15" t="n">
        <f aca="false">D14*(1-B14)</f>
        <v>0.99</v>
      </c>
      <c r="F14" s="15" t="n">
        <f aca="false">E14-Controls!$B$8</f>
        <v>-0.01</v>
      </c>
      <c r="G14" s="16" t="str">
        <f aca="false">IF(F14&gt;=0,"CLOSE","NEGATIVE")</f>
        <v>NEGATIVE</v>
      </c>
    </row>
    <row r="15" customFormat="false" ht="15" hidden="false" customHeight="false" outlineLevel="0" collapsed="false">
      <c r="A15" s="13" t="s">
        <v>521</v>
      </c>
      <c r="B15" s="44" t="n">
        <v>0.01</v>
      </c>
      <c r="C15" s="13" t="s">
        <v>16</v>
      </c>
      <c r="D15" s="44" t="n">
        <v>1.024</v>
      </c>
      <c r="E15" s="15" t="n">
        <f aca="false">D15*(1-B15)</f>
        <v>1.01376</v>
      </c>
      <c r="F15" s="15" t="n">
        <f aca="false">E15-Controls!$B$8</f>
        <v>0.01376</v>
      </c>
      <c r="G15" s="16" t="str">
        <f aca="false">IF(F15&gt;=0,"CLOSE","NEGATIVE")</f>
        <v>CLOSE</v>
      </c>
    </row>
    <row r="16" customFormat="false" ht="15" hidden="false" customHeight="false" outlineLevel="0" collapsed="false">
      <c r="A16" s="13" t="s">
        <v>521</v>
      </c>
      <c r="B16" s="44" t="n">
        <v>0.01</v>
      </c>
      <c r="C16" s="13" t="s">
        <v>122</v>
      </c>
      <c r="D16" s="44" t="n">
        <v>0</v>
      </c>
      <c r="E16" s="15" t="n">
        <f aca="false">D16*(1-B16)</f>
        <v>0</v>
      </c>
      <c r="F16" s="15" t="n">
        <f aca="false">E16-Controls!$B$8</f>
        <v>-1</v>
      </c>
      <c r="G16" s="16" t="str">
        <f aca="false">IF(F16&gt;=0,"CLOSE","NEGATIVE")</f>
        <v>NEGATIVE</v>
      </c>
    </row>
    <row r="17" customFormat="false" ht="15" hidden="false" customHeight="false" outlineLevel="0" collapsed="false">
      <c r="A17" s="13" t="s">
        <v>521</v>
      </c>
      <c r="B17" s="44" t="n">
        <v>0.01</v>
      </c>
      <c r="C17" s="13" t="s">
        <v>18</v>
      </c>
      <c r="D17" s="44" t="n">
        <v>1.008</v>
      </c>
      <c r="E17" s="15" t="n">
        <f aca="false">D17*(1-B17)</f>
        <v>0.99792</v>
      </c>
      <c r="F17" s="15" t="n">
        <f aca="false">E17-Controls!$B$8</f>
        <v>-0.00207999999999997</v>
      </c>
      <c r="G17" s="16" t="str">
        <f aca="false">IF(F17&gt;=0,"CLOSE","NEGATIVE")</f>
        <v>NEGATIVE</v>
      </c>
    </row>
    <row r="18" customFormat="false" ht="15" hidden="false" customHeight="false" outlineLevel="0" collapsed="false">
      <c r="A18" s="13" t="s">
        <v>521</v>
      </c>
      <c r="B18" s="44" t="n">
        <v>0.01</v>
      </c>
      <c r="C18" s="13" t="s">
        <v>20</v>
      </c>
      <c r="D18" s="44" t="n">
        <v>1.00645161290323</v>
      </c>
      <c r="E18" s="15" t="n">
        <f aca="false">D18*(1-B18)</f>
        <v>0.996387096774198</v>
      </c>
      <c r="F18" s="15" t="n">
        <f aca="false">E18-Controls!$B$8</f>
        <v>-0.00361290322580243</v>
      </c>
      <c r="G18" s="16" t="str">
        <f aca="false">IF(F18&gt;=0,"CLOSE","NEGATIVE")</f>
        <v>NEGATIVE</v>
      </c>
    </row>
    <row r="19" customFormat="false" ht="15" hidden="false" customHeight="false" outlineLevel="0" collapsed="false">
      <c r="A19" s="13" t="s">
        <v>522</v>
      </c>
      <c r="B19" s="44" t="n">
        <v>0.025</v>
      </c>
      <c r="C19" s="13" t="s">
        <v>12</v>
      </c>
      <c r="D19" s="44" t="n">
        <v>1.024</v>
      </c>
      <c r="E19" s="15" t="n">
        <f aca="false">D19*(1-B19)</f>
        <v>0.9984</v>
      </c>
      <c r="F19" s="15" t="n">
        <f aca="false">E19-Controls!$B$8</f>
        <v>-0.00160000000000005</v>
      </c>
      <c r="G19" s="16" t="str">
        <f aca="false">IF(F19&gt;=0,"CLOSE","NEGATIVE")</f>
        <v>NEGATIVE</v>
      </c>
    </row>
    <row r="20" customFormat="false" ht="15" hidden="false" customHeight="false" outlineLevel="0" collapsed="false">
      <c r="A20" s="13" t="s">
        <v>522</v>
      </c>
      <c r="B20" s="44" t="n">
        <v>0.025</v>
      </c>
      <c r="C20" s="13" t="s">
        <v>14</v>
      </c>
      <c r="D20" s="44" t="n">
        <v>1</v>
      </c>
      <c r="E20" s="15" t="n">
        <f aca="false">D20*(1-B20)</f>
        <v>0.975</v>
      </c>
      <c r="F20" s="15" t="n">
        <f aca="false">E20-Controls!$B$8</f>
        <v>-0.025</v>
      </c>
      <c r="G20" s="16" t="str">
        <f aca="false">IF(F20&gt;=0,"CLOSE","NEGATIVE")</f>
        <v>NEGATIVE</v>
      </c>
    </row>
    <row r="21" customFormat="false" ht="15" hidden="false" customHeight="false" outlineLevel="0" collapsed="false">
      <c r="A21" s="13" t="s">
        <v>522</v>
      </c>
      <c r="B21" s="44" t="n">
        <v>0.025</v>
      </c>
      <c r="C21" s="13" t="s">
        <v>16</v>
      </c>
      <c r="D21" s="44" t="n">
        <v>1.024</v>
      </c>
      <c r="E21" s="15" t="n">
        <f aca="false">D21*(1-B21)</f>
        <v>0.9984</v>
      </c>
      <c r="F21" s="15" t="n">
        <f aca="false">E21-Controls!$B$8</f>
        <v>-0.00160000000000005</v>
      </c>
      <c r="G21" s="16" t="str">
        <f aca="false">IF(F21&gt;=0,"CLOSE","NEGATIVE")</f>
        <v>NEGATIVE</v>
      </c>
    </row>
    <row r="22" customFormat="false" ht="15" hidden="false" customHeight="false" outlineLevel="0" collapsed="false">
      <c r="A22" s="13" t="s">
        <v>522</v>
      </c>
      <c r="B22" s="44" t="n">
        <v>0.025</v>
      </c>
      <c r="C22" s="13" t="s">
        <v>122</v>
      </c>
      <c r="D22" s="44" t="n">
        <v>0</v>
      </c>
      <c r="E22" s="15" t="n">
        <f aca="false">D22*(1-B22)</f>
        <v>0</v>
      </c>
      <c r="F22" s="15" t="n">
        <f aca="false">E22-Controls!$B$8</f>
        <v>-1</v>
      </c>
      <c r="G22" s="16" t="str">
        <f aca="false">IF(F22&gt;=0,"CLOSE","NEGATIVE")</f>
        <v>NEGATIVE</v>
      </c>
    </row>
    <row r="23" customFormat="false" ht="15" hidden="false" customHeight="false" outlineLevel="0" collapsed="false">
      <c r="A23" s="13" t="s">
        <v>522</v>
      </c>
      <c r="B23" s="44" t="n">
        <v>0.025</v>
      </c>
      <c r="C23" s="13" t="s">
        <v>18</v>
      </c>
      <c r="D23" s="44" t="n">
        <v>1.008</v>
      </c>
      <c r="E23" s="15" t="n">
        <f aca="false">D23*(1-B23)</f>
        <v>0.9828</v>
      </c>
      <c r="F23" s="15" t="n">
        <f aca="false">E23-Controls!$B$8</f>
        <v>-0.0172</v>
      </c>
      <c r="G23" s="16" t="str">
        <f aca="false">IF(F23&gt;=0,"CLOSE","NEGATIVE")</f>
        <v>NEGATIVE</v>
      </c>
    </row>
    <row r="24" customFormat="false" ht="15" hidden="false" customHeight="false" outlineLevel="0" collapsed="false">
      <c r="A24" s="13" t="s">
        <v>522</v>
      </c>
      <c r="B24" s="44" t="n">
        <v>0.025</v>
      </c>
      <c r="C24" s="13" t="s">
        <v>20</v>
      </c>
      <c r="D24" s="44" t="n">
        <v>1.00645161290323</v>
      </c>
      <c r="E24" s="15" t="n">
        <f aca="false">D24*(1-B24)</f>
        <v>0.981290322580649</v>
      </c>
      <c r="F24" s="15" t="n">
        <f aca="false">E24-Controls!$B$8</f>
        <v>-0.0187096774193508</v>
      </c>
      <c r="G24" s="16" t="str">
        <f aca="false">IF(F24&gt;=0,"CLOSE","NEGATIVE")</f>
        <v>NEGATIVE</v>
      </c>
    </row>
    <row r="25" customFormat="false" ht="15" hidden="false" customHeight="false" outlineLevel="0" collapsed="false">
      <c r="A25" s="13" t="s">
        <v>523</v>
      </c>
      <c r="B25" s="44" t="n">
        <v>0.05</v>
      </c>
      <c r="C25" s="13" t="s">
        <v>12</v>
      </c>
      <c r="D25" s="44" t="n">
        <v>1.024</v>
      </c>
      <c r="E25" s="15" t="n">
        <f aca="false">D25*(1-B25)</f>
        <v>0.9728</v>
      </c>
      <c r="F25" s="15" t="n">
        <f aca="false">E25-Controls!$B$8</f>
        <v>-0.0272</v>
      </c>
      <c r="G25" s="16" t="str">
        <f aca="false">IF(F25&gt;=0,"CLOSE","NEGATIVE")</f>
        <v>NEGATIVE</v>
      </c>
    </row>
    <row r="26" customFormat="false" ht="15" hidden="false" customHeight="false" outlineLevel="0" collapsed="false">
      <c r="A26" s="13" t="s">
        <v>523</v>
      </c>
      <c r="B26" s="44" t="n">
        <v>0.05</v>
      </c>
      <c r="C26" s="13" t="s">
        <v>14</v>
      </c>
      <c r="D26" s="44" t="n">
        <v>1</v>
      </c>
      <c r="E26" s="15" t="n">
        <f aca="false">D26*(1-B26)</f>
        <v>0.95</v>
      </c>
      <c r="F26" s="15" t="n">
        <f aca="false">E26-Controls!$B$8</f>
        <v>-0.05</v>
      </c>
      <c r="G26" s="16" t="str">
        <f aca="false">IF(F26&gt;=0,"CLOSE","NEGATIVE")</f>
        <v>NEGATIVE</v>
      </c>
    </row>
    <row r="27" customFormat="false" ht="15" hidden="false" customHeight="false" outlineLevel="0" collapsed="false">
      <c r="A27" s="13" t="s">
        <v>523</v>
      </c>
      <c r="B27" s="44" t="n">
        <v>0.05</v>
      </c>
      <c r="C27" s="13" t="s">
        <v>16</v>
      </c>
      <c r="D27" s="44" t="n">
        <v>1.024</v>
      </c>
      <c r="E27" s="15" t="n">
        <f aca="false">D27*(1-B27)</f>
        <v>0.9728</v>
      </c>
      <c r="F27" s="15" t="n">
        <f aca="false">E27-Controls!$B$8</f>
        <v>-0.0272</v>
      </c>
      <c r="G27" s="16" t="str">
        <f aca="false">IF(F27&gt;=0,"CLOSE","NEGATIVE")</f>
        <v>NEGATIVE</v>
      </c>
    </row>
    <row r="28" customFormat="false" ht="15" hidden="false" customHeight="false" outlineLevel="0" collapsed="false">
      <c r="A28" s="13" t="s">
        <v>523</v>
      </c>
      <c r="B28" s="44" t="n">
        <v>0.05</v>
      </c>
      <c r="C28" s="13" t="s">
        <v>122</v>
      </c>
      <c r="D28" s="44" t="n">
        <v>0</v>
      </c>
      <c r="E28" s="15" t="n">
        <f aca="false">D28*(1-B28)</f>
        <v>0</v>
      </c>
      <c r="F28" s="15" t="n">
        <f aca="false">E28-Controls!$B$8</f>
        <v>-1</v>
      </c>
      <c r="G28" s="16" t="str">
        <f aca="false">IF(F28&gt;=0,"CLOSE","NEGATIVE")</f>
        <v>NEGATIVE</v>
      </c>
    </row>
    <row r="29" customFormat="false" ht="15" hidden="false" customHeight="false" outlineLevel="0" collapsed="false">
      <c r="A29" s="13" t="s">
        <v>523</v>
      </c>
      <c r="B29" s="44" t="n">
        <v>0.05</v>
      </c>
      <c r="C29" s="13" t="s">
        <v>18</v>
      </c>
      <c r="D29" s="44" t="n">
        <v>1.008</v>
      </c>
      <c r="E29" s="15" t="n">
        <f aca="false">D29*(1-B29)</f>
        <v>0.9576</v>
      </c>
      <c r="F29" s="15" t="n">
        <f aca="false">E29-Controls!$B$8</f>
        <v>-0.0424</v>
      </c>
      <c r="G29" s="16" t="str">
        <f aca="false">IF(F29&gt;=0,"CLOSE","NEGATIVE")</f>
        <v>NEGATIVE</v>
      </c>
    </row>
    <row r="30" customFormat="false" ht="15" hidden="false" customHeight="false" outlineLevel="0" collapsed="false">
      <c r="A30" s="13" t="s">
        <v>523</v>
      </c>
      <c r="B30" s="44" t="n">
        <v>0.05</v>
      </c>
      <c r="C30" s="13" t="s">
        <v>20</v>
      </c>
      <c r="D30" s="44" t="n">
        <v>1.00645161290323</v>
      </c>
      <c r="E30" s="15" t="n">
        <f aca="false">D30*(1-B30)</f>
        <v>0.956129032258068</v>
      </c>
      <c r="F30" s="15" t="n">
        <f aca="false">E30-Controls!$B$8</f>
        <v>-0.0438709677419317</v>
      </c>
      <c r="G30" s="16" t="str">
        <f aca="false">IF(F30&gt;=0,"CLOSE","NEGATIVE")</f>
        <v>NEGATIVE</v>
      </c>
    </row>
    <row r="31" customFormat="false" ht="15" hidden="false" customHeight="false" outlineLevel="0" collapsed="false">
      <c r="A31" s="13" t="s">
        <v>524</v>
      </c>
      <c r="B31" s="44" t="n">
        <v>0.1</v>
      </c>
      <c r="C31" s="13" t="s">
        <v>12</v>
      </c>
      <c r="D31" s="44" t="n">
        <v>1.024</v>
      </c>
      <c r="E31" s="15" t="n">
        <f aca="false">D31*(1-B31)</f>
        <v>0.9216</v>
      </c>
      <c r="F31" s="15" t="n">
        <f aca="false">E31-Controls!$B$8</f>
        <v>-0.0783999999999999</v>
      </c>
      <c r="G31" s="16" t="str">
        <f aca="false">IF(F31&gt;=0,"CLOSE","NEGATIVE")</f>
        <v>NEGATIVE</v>
      </c>
    </row>
    <row r="32" customFormat="false" ht="15" hidden="false" customHeight="false" outlineLevel="0" collapsed="false">
      <c r="A32" s="13" t="s">
        <v>524</v>
      </c>
      <c r="B32" s="44" t="n">
        <v>0.1</v>
      </c>
      <c r="C32" s="13" t="s">
        <v>14</v>
      </c>
      <c r="D32" s="44" t="n">
        <v>1</v>
      </c>
      <c r="E32" s="15" t="n">
        <f aca="false">D32*(1-B32)</f>
        <v>0.9</v>
      </c>
      <c r="F32" s="15" t="n">
        <f aca="false">E32-Controls!$B$8</f>
        <v>-0.1</v>
      </c>
      <c r="G32" s="16" t="str">
        <f aca="false">IF(F32&gt;=0,"CLOSE","NEGATIVE")</f>
        <v>NEGATIVE</v>
      </c>
    </row>
    <row r="33" customFormat="false" ht="15" hidden="false" customHeight="false" outlineLevel="0" collapsed="false">
      <c r="A33" s="13" t="s">
        <v>524</v>
      </c>
      <c r="B33" s="44" t="n">
        <v>0.1</v>
      </c>
      <c r="C33" s="13" t="s">
        <v>16</v>
      </c>
      <c r="D33" s="44" t="n">
        <v>1.024</v>
      </c>
      <c r="E33" s="15" t="n">
        <f aca="false">D33*(1-B33)</f>
        <v>0.9216</v>
      </c>
      <c r="F33" s="15" t="n">
        <f aca="false">E33-Controls!$B$8</f>
        <v>-0.0783999999999999</v>
      </c>
      <c r="G33" s="16" t="str">
        <f aca="false">IF(F33&gt;=0,"CLOSE","NEGATIVE")</f>
        <v>NEGATIVE</v>
      </c>
    </row>
    <row r="34" customFormat="false" ht="15" hidden="false" customHeight="false" outlineLevel="0" collapsed="false">
      <c r="A34" s="13" t="s">
        <v>524</v>
      </c>
      <c r="B34" s="44" t="n">
        <v>0.1</v>
      </c>
      <c r="C34" s="13" t="s">
        <v>122</v>
      </c>
      <c r="D34" s="44" t="n">
        <v>0</v>
      </c>
      <c r="E34" s="15" t="n">
        <f aca="false">D34*(1-B34)</f>
        <v>0</v>
      </c>
      <c r="F34" s="15" t="n">
        <f aca="false">E34-Controls!$B$8</f>
        <v>-1</v>
      </c>
      <c r="G34" s="16" t="str">
        <f aca="false">IF(F34&gt;=0,"CLOSE","NEGATIVE")</f>
        <v>NEGATIVE</v>
      </c>
    </row>
    <row r="35" customFormat="false" ht="15" hidden="false" customHeight="false" outlineLevel="0" collapsed="false">
      <c r="A35" s="13" t="s">
        <v>524</v>
      </c>
      <c r="B35" s="44" t="n">
        <v>0.1</v>
      </c>
      <c r="C35" s="13" t="s">
        <v>18</v>
      </c>
      <c r="D35" s="44" t="n">
        <v>1.008</v>
      </c>
      <c r="E35" s="15" t="n">
        <f aca="false">D35*(1-B35)</f>
        <v>0.9072</v>
      </c>
      <c r="F35" s="15" t="n">
        <f aca="false">E35-Controls!$B$8</f>
        <v>-0.0928</v>
      </c>
      <c r="G35" s="16" t="str">
        <f aca="false">IF(F35&gt;=0,"CLOSE","NEGATIVE")</f>
        <v>NEGATIVE</v>
      </c>
    </row>
    <row r="36" customFormat="false" ht="15" hidden="false" customHeight="false" outlineLevel="0" collapsed="false">
      <c r="A36" s="21" t="s">
        <v>524</v>
      </c>
      <c r="B36" s="45" t="n">
        <v>0.1</v>
      </c>
      <c r="C36" s="21" t="s">
        <v>20</v>
      </c>
      <c r="D36" s="45" t="n">
        <v>1.00645161290323</v>
      </c>
      <c r="E36" s="18" t="n">
        <f aca="false">D36*(1-B36)</f>
        <v>0.905806451612907</v>
      </c>
      <c r="F36" s="18" t="n">
        <f aca="false">E36-Controls!$B$8</f>
        <v>-0.094193548387093</v>
      </c>
      <c r="G36" s="19" t="str">
        <f aca="false">IF(F36&gt;=0,"CLOSE","NEGATIVE")</f>
        <v>NEGATIVE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23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14"/>
  </cols>
  <sheetData>
    <row r="2" customFormat="false" ht="24" hidden="false" customHeight="true" outlineLevel="0" collapsed="false">
      <c r="A2" s="1" t="s">
        <v>525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" t="s">
        <v>526</v>
      </c>
      <c r="B4" s="3"/>
      <c r="C4" s="3"/>
      <c r="D4" s="3"/>
      <c r="E4" s="3"/>
      <c r="F4" s="3"/>
      <c r="G4" s="3"/>
      <c r="H4" s="3"/>
      <c r="I4" s="3"/>
    </row>
    <row r="6" customFormat="false" ht="23" hidden="false" customHeight="true" outlineLevel="0" collapsed="false">
      <c r="A6" s="4" t="s">
        <v>61</v>
      </c>
      <c r="B6" s="22" t="s">
        <v>4</v>
      </c>
      <c r="C6" s="22" t="s">
        <v>5</v>
      </c>
      <c r="D6" s="22" t="s">
        <v>527</v>
      </c>
      <c r="E6" s="22" t="s">
        <v>48</v>
      </c>
      <c r="F6" s="22" t="s">
        <v>528</v>
      </c>
      <c r="G6" s="22" t="s">
        <v>529</v>
      </c>
      <c r="H6" s="22" t="s">
        <v>530</v>
      </c>
      <c r="I6" s="5" t="s">
        <v>167</v>
      </c>
    </row>
    <row r="7" customFormat="false" ht="15" hidden="false" customHeight="false" outlineLevel="0" collapsed="false">
      <c r="A7" s="9" t="s">
        <v>72</v>
      </c>
      <c r="B7" s="9" t="s">
        <v>12</v>
      </c>
      <c r="C7" s="9" t="s">
        <v>348</v>
      </c>
      <c r="D7" s="46" t="n">
        <v>0.50047461808185</v>
      </c>
      <c r="E7" s="11" t="n">
        <f aca="false">Controls!$B$14</f>
        <v>0.15</v>
      </c>
      <c r="F7" s="47" t="n">
        <f aca="false">D7*E7</f>
        <v>0.0750711927122775</v>
      </c>
      <c r="G7" s="48" t="n">
        <v>0</v>
      </c>
      <c r="H7" s="48" t="n">
        <v>0</v>
      </c>
      <c r="I7" s="30" t="s">
        <v>531</v>
      </c>
    </row>
    <row r="8" customFormat="false" ht="15" hidden="false" customHeight="false" outlineLevel="0" collapsed="false">
      <c r="A8" s="13" t="s">
        <v>107</v>
      </c>
      <c r="B8" s="13" t="s">
        <v>14</v>
      </c>
      <c r="C8" s="13" t="s">
        <v>350</v>
      </c>
      <c r="D8" s="49" t="n">
        <v>0.51649348177396</v>
      </c>
      <c r="E8" s="15" t="n">
        <f aca="false">Controls!$B$14</f>
        <v>0.15</v>
      </c>
      <c r="F8" s="20" t="n">
        <f aca="false">D8*E8</f>
        <v>0.077474022266094</v>
      </c>
      <c r="G8" s="50" t="n">
        <v>0</v>
      </c>
      <c r="H8" s="50" t="n">
        <v>0</v>
      </c>
      <c r="I8" s="33" t="s">
        <v>531</v>
      </c>
    </row>
    <row r="9" customFormat="false" ht="15" hidden="false" customHeight="false" outlineLevel="0" collapsed="false">
      <c r="A9" s="13" t="s">
        <v>114</v>
      </c>
      <c r="B9" s="13" t="s">
        <v>16</v>
      </c>
      <c r="C9" s="13" t="s">
        <v>352</v>
      </c>
      <c r="D9" s="49" t="n">
        <v>0.307221654067133</v>
      </c>
      <c r="E9" s="15" t="n">
        <f aca="false">Controls!$B$14</f>
        <v>0.15</v>
      </c>
      <c r="F9" s="20" t="n">
        <f aca="false">D9*E9</f>
        <v>0.0460832481100699</v>
      </c>
      <c r="G9" s="50" t="n">
        <v>0</v>
      </c>
      <c r="H9" s="50" t="n">
        <v>0</v>
      </c>
      <c r="I9" s="33" t="s">
        <v>531</v>
      </c>
    </row>
    <row r="10" customFormat="false" ht="15" hidden="false" customHeight="false" outlineLevel="0" collapsed="false">
      <c r="A10" s="13" t="s">
        <v>121</v>
      </c>
      <c r="B10" s="13" t="s">
        <v>122</v>
      </c>
      <c r="C10" s="13" t="s">
        <v>354</v>
      </c>
      <c r="D10" s="49" t="n">
        <v>0.899412819320565</v>
      </c>
      <c r="E10" s="15" t="n">
        <f aca="false">Controls!$B$14</f>
        <v>0.15</v>
      </c>
      <c r="F10" s="20" t="n">
        <f aca="false">D10*E10</f>
        <v>0.134911922898085</v>
      </c>
      <c r="G10" s="50" t="n">
        <v>0</v>
      </c>
      <c r="H10" s="50" t="n">
        <v>0</v>
      </c>
      <c r="I10" s="33" t="s">
        <v>531</v>
      </c>
    </row>
    <row r="11" customFormat="false" ht="15" hidden="false" customHeight="false" outlineLevel="0" collapsed="false">
      <c r="A11" s="13" t="s">
        <v>138</v>
      </c>
      <c r="B11" s="13" t="s">
        <v>18</v>
      </c>
      <c r="C11" s="13" t="s">
        <v>356</v>
      </c>
      <c r="D11" s="49" t="n">
        <v>0.860712452941095</v>
      </c>
      <c r="E11" s="15" t="n">
        <f aca="false">Controls!$B$14</f>
        <v>0.15</v>
      </c>
      <c r="F11" s="20" t="n">
        <f aca="false">D11*E11</f>
        <v>0.129106867941164</v>
      </c>
      <c r="G11" s="50" t="n">
        <v>0</v>
      </c>
      <c r="H11" s="50" t="n">
        <v>0</v>
      </c>
      <c r="I11" s="33" t="s">
        <v>531</v>
      </c>
    </row>
    <row r="12" customFormat="false" ht="15" hidden="false" customHeight="false" outlineLevel="0" collapsed="false">
      <c r="A12" s="21" t="s">
        <v>144</v>
      </c>
      <c r="B12" s="21" t="s">
        <v>20</v>
      </c>
      <c r="C12" s="21" t="s">
        <v>358</v>
      </c>
      <c r="D12" s="51" t="n">
        <v>0.502597793135963</v>
      </c>
      <c r="E12" s="18" t="n">
        <f aca="false">Controls!$B$14</f>
        <v>0.15</v>
      </c>
      <c r="F12" s="52" t="n">
        <f aca="false">D12*E12</f>
        <v>0.0753896689703944</v>
      </c>
      <c r="G12" s="53" t="n">
        <v>0</v>
      </c>
      <c r="H12" s="53" t="n">
        <v>0</v>
      </c>
      <c r="I12" s="36" t="s">
        <v>531</v>
      </c>
    </row>
    <row r="13" customFormat="false" ht="23" hidden="false" customHeight="true" outlineLevel="0" collapsed="false">
      <c r="A13" s="6" t="s">
        <v>532</v>
      </c>
      <c r="B13" s="7" t="s">
        <v>533</v>
      </c>
      <c r="C13" s="7" t="s">
        <v>534</v>
      </c>
      <c r="D13" s="54" t="n">
        <f aca="false">SUM(D7:D12)</f>
        <v>3.58691281932057</v>
      </c>
      <c r="E13" s="55"/>
      <c r="F13" s="56" t="n">
        <f aca="false">SUM(F7:F12)</f>
        <v>0.538036922898085</v>
      </c>
      <c r="G13" s="57" t="n">
        <f aca="false">SUM(G7:G12)</f>
        <v>0</v>
      </c>
      <c r="H13" s="57" t="n">
        <f aca="false">SUM(H7:H12)</f>
        <v>0</v>
      </c>
      <c r="I13" s="58" t="s">
        <v>531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30"/>
    <col collapsed="false" customWidth="true" hidden="false" outlineLevel="0" max="6" min="6" style="0" width="17"/>
    <col collapsed="false" customWidth="true" hidden="false" outlineLevel="0" max="7" min="7" style="0" width="48"/>
    <col collapsed="false" customWidth="true" hidden="false" outlineLevel="0" max="8" min="8" style="0" width="23"/>
    <col collapsed="false" customWidth="true" hidden="false" outlineLevel="0" max="9" min="9" style="0" width="20"/>
    <col collapsed="false" customWidth="true" hidden="false" outlineLevel="0" max="10" min="10" style="0" width="28"/>
    <col collapsed="false" customWidth="true" hidden="false" outlineLevel="0" max="11" min="11" style="0" width="22"/>
  </cols>
  <sheetData>
    <row r="2" customFormat="false" ht="24" hidden="false" customHeight="true" outlineLevel="0" collapsed="false">
      <c r="A2" s="1" t="s">
        <v>535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536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23" hidden="false" customHeight="true" outlineLevel="0" collapsed="false">
      <c r="A6" s="4" t="s">
        <v>537</v>
      </c>
      <c r="B6" s="22" t="s">
        <v>61</v>
      </c>
      <c r="C6" s="22" t="s">
        <v>4</v>
      </c>
      <c r="D6" s="22" t="s">
        <v>361</v>
      </c>
      <c r="E6" s="22" t="s">
        <v>538</v>
      </c>
      <c r="F6" s="22" t="s">
        <v>167</v>
      </c>
      <c r="G6" s="22" t="s">
        <v>539</v>
      </c>
      <c r="H6" s="22" t="s">
        <v>540</v>
      </c>
      <c r="I6" s="22" t="s">
        <v>193</v>
      </c>
      <c r="J6" s="22" t="s">
        <v>541</v>
      </c>
      <c r="K6" s="5" t="s">
        <v>542</v>
      </c>
    </row>
    <row r="7" customFormat="false" ht="15" hidden="false" customHeight="false" outlineLevel="0" collapsed="false">
      <c r="A7" s="9" t="s">
        <v>543</v>
      </c>
      <c r="B7" s="9" t="s">
        <v>72</v>
      </c>
      <c r="C7" s="9" t="s">
        <v>12</v>
      </c>
      <c r="D7" s="59" t="n">
        <v>1</v>
      </c>
      <c r="E7" s="9" t="s">
        <v>544</v>
      </c>
      <c r="F7" s="9" t="s">
        <v>545</v>
      </c>
      <c r="G7" s="9" t="s">
        <v>546</v>
      </c>
      <c r="H7" s="59" t="n">
        <v>1</v>
      </c>
      <c r="I7" s="60" t="n">
        <v>0</v>
      </c>
      <c r="J7" s="30" t="s">
        <v>547</v>
      </c>
      <c r="K7" s="30" t="s">
        <v>548</v>
      </c>
    </row>
    <row r="8" customFormat="false" ht="15" hidden="false" customHeight="false" outlineLevel="0" collapsed="false">
      <c r="A8" s="13" t="s">
        <v>549</v>
      </c>
      <c r="B8" s="13" t="s">
        <v>72</v>
      </c>
      <c r="C8" s="13" t="s">
        <v>12</v>
      </c>
      <c r="D8" s="61" t="n">
        <v>2</v>
      </c>
      <c r="E8" s="13" t="s">
        <v>550</v>
      </c>
      <c r="F8" s="13" t="s">
        <v>545</v>
      </c>
      <c r="G8" s="13" t="s">
        <v>546</v>
      </c>
      <c r="H8" s="61" t="n">
        <v>1</v>
      </c>
      <c r="I8" s="62" t="n">
        <v>0</v>
      </c>
      <c r="J8" s="33" t="s">
        <v>547</v>
      </c>
      <c r="K8" s="33" t="s">
        <v>548</v>
      </c>
    </row>
    <row r="9" customFormat="false" ht="15" hidden="false" customHeight="false" outlineLevel="0" collapsed="false">
      <c r="A9" s="13" t="s">
        <v>551</v>
      </c>
      <c r="B9" s="13" t="s">
        <v>72</v>
      </c>
      <c r="C9" s="13" t="s">
        <v>12</v>
      </c>
      <c r="D9" s="61" t="n">
        <v>3</v>
      </c>
      <c r="E9" s="13" t="s">
        <v>552</v>
      </c>
      <c r="F9" s="13" t="s">
        <v>545</v>
      </c>
      <c r="G9" s="13" t="s">
        <v>546</v>
      </c>
      <c r="H9" s="61" t="n">
        <v>1</v>
      </c>
      <c r="I9" s="62" t="n">
        <v>0</v>
      </c>
      <c r="J9" s="33" t="s">
        <v>547</v>
      </c>
      <c r="K9" s="33" t="s">
        <v>548</v>
      </c>
    </row>
    <row r="10" customFormat="false" ht="15" hidden="false" customHeight="false" outlineLevel="0" collapsed="false">
      <c r="A10" s="13" t="s">
        <v>553</v>
      </c>
      <c r="B10" s="13" t="s">
        <v>72</v>
      </c>
      <c r="C10" s="13" t="s">
        <v>12</v>
      </c>
      <c r="D10" s="61" t="n">
        <v>4</v>
      </c>
      <c r="E10" s="13" t="s">
        <v>554</v>
      </c>
      <c r="F10" s="13" t="s">
        <v>545</v>
      </c>
      <c r="G10" s="13" t="s">
        <v>546</v>
      </c>
      <c r="H10" s="61" t="n">
        <v>1</v>
      </c>
      <c r="I10" s="62" t="n">
        <v>0</v>
      </c>
      <c r="J10" s="33" t="s">
        <v>547</v>
      </c>
      <c r="K10" s="33" t="s">
        <v>548</v>
      </c>
    </row>
    <row r="11" customFormat="false" ht="15" hidden="false" customHeight="false" outlineLevel="0" collapsed="false">
      <c r="A11" s="13" t="s">
        <v>555</v>
      </c>
      <c r="B11" s="13" t="s">
        <v>72</v>
      </c>
      <c r="C11" s="13" t="s">
        <v>12</v>
      </c>
      <c r="D11" s="61" t="n">
        <v>5</v>
      </c>
      <c r="E11" s="13" t="s">
        <v>556</v>
      </c>
      <c r="F11" s="13" t="s">
        <v>545</v>
      </c>
      <c r="G11" s="13" t="s">
        <v>546</v>
      </c>
      <c r="H11" s="61" t="n">
        <v>1</v>
      </c>
      <c r="I11" s="62" t="n">
        <v>0</v>
      </c>
      <c r="J11" s="33" t="s">
        <v>547</v>
      </c>
      <c r="K11" s="33" t="s">
        <v>548</v>
      </c>
    </row>
    <row r="12" customFormat="false" ht="15" hidden="false" customHeight="false" outlineLevel="0" collapsed="false">
      <c r="A12" s="13" t="s">
        <v>557</v>
      </c>
      <c r="B12" s="13" t="s">
        <v>72</v>
      </c>
      <c r="C12" s="13" t="s">
        <v>12</v>
      </c>
      <c r="D12" s="61" t="n">
        <v>6</v>
      </c>
      <c r="E12" s="13" t="s">
        <v>558</v>
      </c>
      <c r="F12" s="13" t="s">
        <v>559</v>
      </c>
      <c r="G12" s="13" t="s">
        <v>560</v>
      </c>
      <c r="H12" s="61" t="n">
        <v>0</v>
      </c>
      <c r="I12" s="62" t="n">
        <v>0</v>
      </c>
      <c r="J12" s="33" t="s">
        <v>561</v>
      </c>
      <c r="K12" s="33" t="s">
        <v>548</v>
      </c>
    </row>
    <row r="13" customFormat="false" ht="15" hidden="false" customHeight="false" outlineLevel="0" collapsed="false">
      <c r="A13" s="13" t="s">
        <v>562</v>
      </c>
      <c r="B13" s="13" t="s">
        <v>72</v>
      </c>
      <c r="C13" s="13" t="s">
        <v>12</v>
      </c>
      <c r="D13" s="61" t="n">
        <v>7</v>
      </c>
      <c r="E13" s="13" t="s">
        <v>563</v>
      </c>
      <c r="F13" s="13" t="s">
        <v>559</v>
      </c>
      <c r="G13" s="13" t="s">
        <v>564</v>
      </c>
      <c r="H13" s="61" t="n">
        <v>0</v>
      </c>
      <c r="I13" s="62" t="n">
        <v>0</v>
      </c>
      <c r="J13" s="33" t="s">
        <v>547</v>
      </c>
      <c r="K13" s="33" t="s">
        <v>548</v>
      </c>
    </row>
    <row r="14" customFormat="false" ht="15" hidden="false" customHeight="false" outlineLevel="0" collapsed="false">
      <c r="A14" s="13" t="s">
        <v>565</v>
      </c>
      <c r="B14" s="13" t="s">
        <v>72</v>
      </c>
      <c r="C14" s="13" t="s">
        <v>12</v>
      </c>
      <c r="D14" s="61" t="n">
        <v>8</v>
      </c>
      <c r="E14" s="13" t="s">
        <v>566</v>
      </c>
      <c r="F14" s="13" t="s">
        <v>559</v>
      </c>
      <c r="G14" s="13" t="s">
        <v>564</v>
      </c>
      <c r="H14" s="61" t="n">
        <v>0</v>
      </c>
      <c r="I14" s="62" t="n">
        <v>0</v>
      </c>
      <c r="J14" s="33" t="s">
        <v>547</v>
      </c>
      <c r="K14" s="33" t="s">
        <v>548</v>
      </c>
    </row>
    <row r="15" customFormat="false" ht="15" hidden="false" customHeight="false" outlineLevel="0" collapsed="false">
      <c r="A15" s="13" t="s">
        <v>567</v>
      </c>
      <c r="B15" s="13" t="s">
        <v>72</v>
      </c>
      <c r="C15" s="13" t="s">
        <v>12</v>
      </c>
      <c r="D15" s="61" t="n">
        <v>9</v>
      </c>
      <c r="E15" s="13" t="s">
        <v>568</v>
      </c>
      <c r="F15" s="13" t="s">
        <v>559</v>
      </c>
      <c r="G15" s="13" t="s">
        <v>564</v>
      </c>
      <c r="H15" s="61" t="n">
        <v>0</v>
      </c>
      <c r="I15" s="62" t="n">
        <v>0</v>
      </c>
      <c r="J15" s="33" t="s">
        <v>547</v>
      </c>
      <c r="K15" s="33" t="s">
        <v>548</v>
      </c>
    </row>
    <row r="16" customFormat="false" ht="15" hidden="false" customHeight="false" outlineLevel="0" collapsed="false">
      <c r="A16" s="13" t="s">
        <v>569</v>
      </c>
      <c r="B16" s="13" t="s">
        <v>72</v>
      </c>
      <c r="C16" s="13" t="s">
        <v>12</v>
      </c>
      <c r="D16" s="61" t="n">
        <v>10</v>
      </c>
      <c r="E16" s="13" t="s">
        <v>570</v>
      </c>
      <c r="F16" s="13" t="s">
        <v>559</v>
      </c>
      <c r="G16" s="13" t="s">
        <v>564</v>
      </c>
      <c r="H16" s="61" t="n">
        <v>0</v>
      </c>
      <c r="I16" s="62" t="n">
        <v>0</v>
      </c>
      <c r="J16" s="33" t="s">
        <v>547</v>
      </c>
      <c r="K16" s="33" t="s">
        <v>548</v>
      </c>
    </row>
    <row r="17" customFormat="false" ht="15" hidden="false" customHeight="false" outlineLevel="0" collapsed="false">
      <c r="A17" s="13" t="s">
        <v>571</v>
      </c>
      <c r="B17" s="13" t="s">
        <v>72</v>
      </c>
      <c r="C17" s="13" t="s">
        <v>12</v>
      </c>
      <c r="D17" s="61" t="n">
        <v>11</v>
      </c>
      <c r="E17" s="13" t="s">
        <v>572</v>
      </c>
      <c r="F17" s="13" t="s">
        <v>559</v>
      </c>
      <c r="G17" s="13" t="s">
        <v>564</v>
      </c>
      <c r="H17" s="61" t="n">
        <v>0</v>
      </c>
      <c r="I17" s="62" t="n">
        <v>0</v>
      </c>
      <c r="J17" s="33" t="s">
        <v>547</v>
      </c>
      <c r="K17" s="33" t="s">
        <v>548</v>
      </c>
    </row>
    <row r="18" customFormat="false" ht="15" hidden="false" customHeight="false" outlineLevel="0" collapsed="false">
      <c r="A18" s="13" t="s">
        <v>573</v>
      </c>
      <c r="B18" s="13" t="s">
        <v>72</v>
      </c>
      <c r="C18" s="13" t="s">
        <v>12</v>
      </c>
      <c r="D18" s="61" t="n">
        <v>12</v>
      </c>
      <c r="E18" s="13" t="s">
        <v>574</v>
      </c>
      <c r="F18" s="13" t="s">
        <v>559</v>
      </c>
      <c r="G18" s="13" t="s">
        <v>564</v>
      </c>
      <c r="H18" s="61" t="n">
        <v>0</v>
      </c>
      <c r="I18" s="62" t="n">
        <v>0</v>
      </c>
      <c r="J18" s="33" t="s">
        <v>547</v>
      </c>
      <c r="K18" s="33" t="s">
        <v>531</v>
      </c>
    </row>
    <row r="19" customFormat="false" ht="15" hidden="false" customHeight="false" outlineLevel="0" collapsed="false">
      <c r="A19" s="13" t="s">
        <v>575</v>
      </c>
      <c r="B19" s="13" t="s">
        <v>107</v>
      </c>
      <c r="C19" s="13" t="s">
        <v>14</v>
      </c>
      <c r="D19" s="61" t="n">
        <v>1</v>
      </c>
      <c r="E19" s="13" t="s">
        <v>544</v>
      </c>
      <c r="F19" s="13" t="s">
        <v>545</v>
      </c>
      <c r="G19" s="13" t="s">
        <v>546</v>
      </c>
      <c r="H19" s="61" t="n">
        <v>1</v>
      </c>
      <c r="I19" s="62" t="n">
        <v>0</v>
      </c>
      <c r="J19" s="33" t="s">
        <v>547</v>
      </c>
      <c r="K19" s="33" t="s">
        <v>548</v>
      </c>
    </row>
    <row r="20" customFormat="false" ht="15" hidden="false" customHeight="false" outlineLevel="0" collapsed="false">
      <c r="A20" s="13" t="s">
        <v>576</v>
      </c>
      <c r="B20" s="13" t="s">
        <v>107</v>
      </c>
      <c r="C20" s="13" t="s">
        <v>14</v>
      </c>
      <c r="D20" s="61" t="n">
        <v>2</v>
      </c>
      <c r="E20" s="13" t="s">
        <v>550</v>
      </c>
      <c r="F20" s="13" t="s">
        <v>545</v>
      </c>
      <c r="G20" s="13" t="s">
        <v>546</v>
      </c>
      <c r="H20" s="61" t="n">
        <v>1</v>
      </c>
      <c r="I20" s="62" t="n">
        <v>0</v>
      </c>
      <c r="J20" s="33" t="s">
        <v>547</v>
      </c>
      <c r="K20" s="33" t="s">
        <v>548</v>
      </c>
    </row>
    <row r="21" customFormat="false" ht="15" hidden="false" customHeight="false" outlineLevel="0" collapsed="false">
      <c r="A21" s="13" t="s">
        <v>577</v>
      </c>
      <c r="B21" s="13" t="s">
        <v>107</v>
      </c>
      <c r="C21" s="13" t="s">
        <v>14</v>
      </c>
      <c r="D21" s="61" t="n">
        <v>3</v>
      </c>
      <c r="E21" s="13" t="s">
        <v>552</v>
      </c>
      <c r="F21" s="13" t="s">
        <v>545</v>
      </c>
      <c r="G21" s="13" t="s">
        <v>546</v>
      </c>
      <c r="H21" s="61" t="n">
        <v>1</v>
      </c>
      <c r="I21" s="62" t="n">
        <v>0</v>
      </c>
      <c r="J21" s="33" t="s">
        <v>547</v>
      </c>
      <c r="K21" s="33" t="s">
        <v>548</v>
      </c>
    </row>
    <row r="22" customFormat="false" ht="15" hidden="false" customHeight="false" outlineLevel="0" collapsed="false">
      <c r="A22" s="13" t="s">
        <v>578</v>
      </c>
      <c r="B22" s="13" t="s">
        <v>107</v>
      </c>
      <c r="C22" s="13" t="s">
        <v>14</v>
      </c>
      <c r="D22" s="61" t="n">
        <v>4</v>
      </c>
      <c r="E22" s="13" t="s">
        <v>554</v>
      </c>
      <c r="F22" s="13" t="s">
        <v>545</v>
      </c>
      <c r="G22" s="13" t="s">
        <v>546</v>
      </c>
      <c r="H22" s="61" t="n">
        <v>1</v>
      </c>
      <c r="I22" s="62" t="n">
        <v>0</v>
      </c>
      <c r="J22" s="33" t="s">
        <v>547</v>
      </c>
      <c r="K22" s="33" t="s">
        <v>548</v>
      </c>
    </row>
    <row r="23" customFormat="false" ht="15" hidden="false" customHeight="false" outlineLevel="0" collapsed="false">
      <c r="A23" s="13" t="s">
        <v>579</v>
      </c>
      <c r="B23" s="13" t="s">
        <v>107</v>
      </c>
      <c r="C23" s="13" t="s">
        <v>14</v>
      </c>
      <c r="D23" s="61" t="n">
        <v>5</v>
      </c>
      <c r="E23" s="13" t="s">
        <v>556</v>
      </c>
      <c r="F23" s="13" t="s">
        <v>545</v>
      </c>
      <c r="G23" s="13" t="s">
        <v>546</v>
      </c>
      <c r="H23" s="61" t="n">
        <v>1</v>
      </c>
      <c r="I23" s="62" t="n">
        <v>0</v>
      </c>
      <c r="J23" s="33" t="s">
        <v>547</v>
      </c>
      <c r="K23" s="33" t="s">
        <v>548</v>
      </c>
    </row>
    <row r="24" customFormat="false" ht="15" hidden="false" customHeight="false" outlineLevel="0" collapsed="false">
      <c r="A24" s="13" t="s">
        <v>580</v>
      </c>
      <c r="B24" s="13" t="s">
        <v>107</v>
      </c>
      <c r="C24" s="13" t="s">
        <v>14</v>
      </c>
      <c r="D24" s="61" t="n">
        <v>6</v>
      </c>
      <c r="E24" s="13" t="s">
        <v>558</v>
      </c>
      <c r="F24" s="13" t="s">
        <v>559</v>
      </c>
      <c r="G24" s="13" t="s">
        <v>560</v>
      </c>
      <c r="H24" s="61" t="n">
        <v>0</v>
      </c>
      <c r="I24" s="62" t="n">
        <v>0</v>
      </c>
      <c r="J24" s="33" t="s">
        <v>561</v>
      </c>
      <c r="K24" s="33" t="s">
        <v>548</v>
      </c>
    </row>
    <row r="25" customFormat="false" ht="15" hidden="false" customHeight="false" outlineLevel="0" collapsed="false">
      <c r="A25" s="13" t="s">
        <v>581</v>
      </c>
      <c r="B25" s="13" t="s">
        <v>107</v>
      </c>
      <c r="C25" s="13" t="s">
        <v>14</v>
      </c>
      <c r="D25" s="61" t="n">
        <v>7</v>
      </c>
      <c r="E25" s="13" t="s">
        <v>563</v>
      </c>
      <c r="F25" s="13" t="s">
        <v>559</v>
      </c>
      <c r="G25" s="13" t="s">
        <v>564</v>
      </c>
      <c r="H25" s="61" t="n">
        <v>0</v>
      </c>
      <c r="I25" s="62" t="n">
        <v>0</v>
      </c>
      <c r="J25" s="33" t="s">
        <v>547</v>
      </c>
      <c r="K25" s="33" t="s">
        <v>548</v>
      </c>
    </row>
    <row r="26" customFormat="false" ht="15" hidden="false" customHeight="false" outlineLevel="0" collapsed="false">
      <c r="A26" s="13" t="s">
        <v>582</v>
      </c>
      <c r="B26" s="13" t="s">
        <v>107</v>
      </c>
      <c r="C26" s="13" t="s">
        <v>14</v>
      </c>
      <c r="D26" s="61" t="n">
        <v>8</v>
      </c>
      <c r="E26" s="13" t="s">
        <v>566</v>
      </c>
      <c r="F26" s="13" t="s">
        <v>559</v>
      </c>
      <c r="G26" s="13" t="s">
        <v>564</v>
      </c>
      <c r="H26" s="61" t="n">
        <v>0</v>
      </c>
      <c r="I26" s="62" t="n">
        <v>0</v>
      </c>
      <c r="J26" s="33" t="s">
        <v>547</v>
      </c>
      <c r="K26" s="33" t="s">
        <v>548</v>
      </c>
    </row>
    <row r="27" customFormat="false" ht="15" hidden="false" customHeight="false" outlineLevel="0" collapsed="false">
      <c r="A27" s="13" t="s">
        <v>583</v>
      </c>
      <c r="B27" s="13" t="s">
        <v>107</v>
      </c>
      <c r="C27" s="13" t="s">
        <v>14</v>
      </c>
      <c r="D27" s="61" t="n">
        <v>9</v>
      </c>
      <c r="E27" s="13" t="s">
        <v>568</v>
      </c>
      <c r="F27" s="13" t="s">
        <v>559</v>
      </c>
      <c r="G27" s="13" t="s">
        <v>564</v>
      </c>
      <c r="H27" s="61" t="n">
        <v>0</v>
      </c>
      <c r="I27" s="62" t="n">
        <v>0</v>
      </c>
      <c r="J27" s="33" t="s">
        <v>547</v>
      </c>
      <c r="K27" s="33" t="s">
        <v>548</v>
      </c>
    </row>
    <row r="28" customFormat="false" ht="15" hidden="false" customHeight="false" outlineLevel="0" collapsed="false">
      <c r="A28" s="13" t="s">
        <v>584</v>
      </c>
      <c r="B28" s="13" t="s">
        <v>107</v>
      </c>
      <c r="C28" s="13" t="s">
        <v>14</v>
      </c>
      <c r="D28" s="61" t="n">
        <v>10</v>
      </c>
      <c r="E28" s="13" t="s">
        <v>570</v>
      </c>
      <c r="F28" s="13" t="s">
        <v>559</v>
      </c>
      <c r="G28" s="13" t="s">
        <v>564</v>
      </c>
      <c r="H28" s="61" t="n">
        <v>0</v>
      </c>
      <c r="I28" s="62" t="n">
        <v>0</v>
      </c>
      <c r="J28" s="33" t="s">
        <v>547</v>
      </c>
      <c r="K28" s="33" t="s">
        <v>548</v>
      </c>
    </row>
    <row r="29" customFormat="false" ht="15" hidden="false" customHeight="false" outlineLevel="0" collapsed="false">
      <c r="A29" s="13" t="s">
        <v>585</v>
      </c>
      <c r="B29" s="13" t="s">
        <v>107</v>
      </c>
      <c r="C29" s="13" t="s">
        <v>14</v>
      </c>
      <c r="D29" s="61" t="n">
        <v>11</v>
      </c>
      <c r="E29" s="13" t="s">
        <v>572</v>
      </c>
      <c r="F29" s="13" t="s">
        <v>559</v>
      </c>
      <c r="G29" s="13" t="s">
        <v>564</v>
      </c>
      <c r="H29" s="61" t="n">
        <v>0</v>
      </c>
      <c r="I29" s="62" t="n">
        <v>0</v>
      </c>
      <c r="J29" s="33" t="s">
        <v>547</v>
      </c>
      <c r="K29" s="33" t="s">
        <v>548</v>
      </c>
    </row>
    <row r="30" customFormat="false" ht="15" hidden="false" customHeight="false" outlineLevel="0" collapsed="false">
      <c r="A30" s="13" t="s">
        <v>586</v>
      </c>
      <c r="B30" s="13" t="s">
        <v>107</v>
      </c>
      <c r="C30" s="13" t="s">
        <v>14</v>
      </c>
      <c r="D30" s="61" t="n">
        <v>12</v>
      </c>
      <c r="E30" s="13" t="s">
        <v>574</v>
      </c>
      <c r="F30" s="13" t="s">
        <v>559</v>
      </c>
      <c r="G30" s="13" t="s">
        <v>564</v>
      </c>
      <c r="H30" s="61" t="n">
        <v>0</v>
      </c>
      <c r="I30" s="62" t="n">
        <v>0</v>
      </c>
      <c r="J30" s="33" t="s">
        <v>547</v>
      </c>
      <c r="K30" s="33" t="s">
        <v>531</v>
      </c>
    </row>
    <row r="31" customFormat="false" ht="15" hidden="false" customHeight="false" outlineLevel="0" collapsed="false">
      <c r="A31" s="13" t="s">
        <v>587</v>
      </c>
      <c r="B31" s="13" t="s">
        <v>114</v>
      </c>
      <c r="C31" s="13" t="s">
        <v>16</v>
      </c>
      <c r="D31" s="61" t="n">
        <v>1</v>
      </c>
      <c r="E31" s="13" t="s">
        <v>544</v>
      </c>
      <c r="F31" s="13" t="s">
        <v>545</v>
      </c>
      <c r="G31" s="13" t="s">
        <v>546</v>
      </c>
      <c r="H31" s="61" t="n">
        <v>1</v>
      </c>
      <c r="I31" s="62" t="n">
        <v>0</v>
      </c>
      <c r="J31" s="33" t="s">
        <v>547</v>
      </c>
      <c r="K31" s="33" t="s">
        <v>548</v>
      </c>
    </row>
    <row r="32" customFormat="false" ht="15" hidden="false" customHeight="false" outlineLevel="0" collapsed="false">
      <c r="A32" s="13" t="s">
        <v>588</v>
      </c>
      <c r="B32" s="13" t="s">
        <v>114</v>
      </c>
      <c r="C32" s="13" t="s">
        <v>16</v>
      </c>
      <c r="D32" s="61" t="n">
        <v>2</v>
      </c>
      <c r="E32" s="13" t="s">
        <v>550</v>
      </c>
      <c r="F32" s="13" t="s">
        <v>545</v>
      </c>
      <c r="G32" s="13" t="s">
        <v>546</v>
      </c>
      <c r="H32" s="61" t="n">
        <v>1</v>
      </c>
      <c r="I32" s="62" t="n">
        <v>0</v>
      </c>
      <c r="J32" s="33" t="s">
        <v>547</v>
      </c>
      <c r="K32" s="33" t="s">
        <v>548</v>
      </c>
    </row>
    <row r="33" customFormat="false" ht="15" hidden="false" customHeight="false" outlineLevel="0" collapsed="false">
      <c r="A33" s="13" t="s">
        <v>589</v>
      </c>
      <c r="B33" s="13" t="s">
        <v>114</v>
      </c>
      <c r="C33" s="13" t="s">
        <v>16</v>
      </c>
      <c r="D33" s="61" t="n">
        <v>3</v>
      </c>
      <c r="E33" s="13" t="s">
        <v>552</v>
      </c>
      <c r="F33" s="13" t="s">
        <v>545</v>
      </c>
      <c r="G33" s="13" t="s">
        <v>546</v>
      </c>
      <c r="H33" s="61" t="n">
        <v>1</v>
      </c>
      <c r="I33" s="62" t="n">
        <v>0</v>
      </c>
      <c r="J33" s="33" t="s">
        <v>547</v>
      </c>
      <c r="K33" s="33" t="s">
        <v>548</v>
      </c>
    </row>
    <row r="34" customFormat="false" ht="15" hidden="false" customHeight="false" outlineLevel="0" collapsed="false">
      <c r="A34" s="13" t="s">
        <v>590</v>
      </c>
      <c r="B34" s="13" t="s">
        <v>114</v>
      </c>
      <c r="C34" s="13" t="s">
        <v>16</v>
      </c>
      <c r="D34" s="61" t="n">
        <v>4</v>
      </c>
      <c r="E34" s="13" t="s">
        <v>554</v>
      </c>
      <c r="F34" s="13" t="s">
        <v>545</v>
      </c>
      <c r="G34" s="13" t="s">
        <v>546</v>
      </c>
      <c r="H34" s="61" t="n">
        <v>1</v>
      </c>
      <c r="I34" s="62" t="n">
        <v>0</v>
      </c>
      <c r="J34" s="33" t="s">
        <v>547</v>
      </c>
      <c r="K34" s="33" t="s">
        <v>548</v>
      </c>
    </row>
    <row r="35" customFormat="false" ht="15" hidden="false" customHeight="false" outlineLevel="0" collapsed="false">
      <c r="A35" s="13" t="s">
        <v>591</v>
      </c>
      <c r="B35" s="13" t="s">
        <v>114</v>
      </c>
      <c r="C35" s="13" t="s">
        <v>16</v>
      </c>
      <c r="D35" s="61" t="n">
        <v>5</v>
      </c>
      <c r="E35" s="13" t="s">
        <v>556</v>
      </c>
      <c r="F35" s="13" t="s">
        <v>545</v>
      </c>
      <c r="G35" s="13" t="s">
        <v>546</v>
      </c>
      <c r="H35" s="61" t="n">
        <v>1</v>
      </c>
      <c r="I35" s="62" t="n">
        <v>0</v>
      </c>
      <c r="J35" s="33" t="s">
        <v>547</v>
      </c>
      <c r="K35" s="33" t="s">
        <v>548</v>
      </c>
    </row>
    <row r="36" customFormat="false" ht="15" hidden="false" customHeight="false" outlineLevel="0" collapsed="false">
      <c r="A36" s="13" t="s">
        <v>592</v>
      </c>
      <c r="B36" s="13" t="s">
        <v>114</v>
      </c>
      <c r="C36" s="13" t="s">
        <v>16</v>
      </c>
      <c r="D36" s="61" t="n">
        <v>6</v>
      </c>
      <c r="E36" s="13" t="s">
        <v>558</v>
      </c>
      <c r="F36" s="13" t="s">
        <v>559</v>
      </c>
      <c r="G36" s="13" t="s">
        <v>560</v>
      </c>
      <c r="H36" s="61" t="n">
        <v>0</v>
      </c>
      <c r="I36" s="62" t="n">
        <v>0</v>
      </c>
      <c r="J36" s="33" t="s">
        <v>561</v>
      </c>
      <c r="K36" s="33" t="s">
        <v>548</v>
      </c>
    </row>
    <row r="37" customFormat="false" ht="15" hidden="false" customHeight="false" outlineLevel="0" collapsed="false">
      <c r="A37" s="13" t="s">
        <v>593</v>
      </c>
      <c r="B37" s="13" t="s">
        <v>114</v>
      </c>
      <c r="C37" s="13" t="s">
        <v>16</v>
      </c>
      <c r="D37" s="61" t="n">
        <v>7</v>
      </c>
      <c r="E37" s="13" t="s">
        <v>563</v>
      </c>
      <c r="F37" s="13" t="s">
        <v>559</v>
      </c>
      <c r="G37" s="13" t="s">
        <v>564</v>
      </c>
      <c r="H37" s="61" t="n">
        <v>0</v>
      </c>
      <c r="I37" s="62" t="n">
        <v>0</v>
      </c>
      <c r="J37" s="33" t="s">
        <v>547</v>
      </c>
      <c r="K37" s="33" t="s">
        <v>548</v>
      </c>
    </row>
    <row r="38" customFormat="false" ht="15" hidden="false" customHeight="false" outlineLevel="0" collapsed="false">
      <c r="A38" s="13" t="s">
        <v>594</v>
      </c>
      <c r="B38" s="13" t="s">
        <v>114</v>
      </c>
      <c r="C38" s="13" t="s">
        <v>16</v>
      </c>
      <c r="D38" s="61" t="n">
        <v>8</v>
      </c>
      <c r="E38" s="13" t="s">
        <v>566</v>
      </c>
      <c r="F38" s="13" t="s">
        <v>559</v>
      </c>
      <c r="G38" s="13" t="s">
        <v>564</v>
      </c>
      <c r="H38" s="61" t="n">
        <v>0</v>
      </c>
      <c r="I38" s="62" t="n">
        <v>0</v>
      </c>
      <c r="J38" s="33" t="s">
        <v>547</v>
      </c>
      <c r="K38" s="33" t="s">
        <v>548</v>
      </c>
    </row>
    <row r="39" customFormat="false" ht="15" hidden="false" customHeight="false" outlineLevel="0" collapsed="false">
      <c r="A39" s="13" t="s">
        <v>595</v>
      </c>
      <c r="B39" s="13" t="s">
        <v>114</v>
      </c>
      <c r="C39" s="13" t="s">
        <v>16</v>
      </c>
      <c r="D39" s="61" t="n">
        <v>9</v>
      </c>
      <c r="E39" s="13" t="s">
        <v>568</v>
      </c>
      <c r="F39" s="13" t="s">
        <v>559</v>
      </c>
      <c r="G39" s="13" t="s">
        <v>564</v>
      </c>
      <c r="H39" s="61" t="n">
        <v>0</v>
      </c>
      <c r="I39" s="62" t="n">
        <v>0</v>
      </c>
      <c r="J39" s="33" t="s">
        <v>547</v>
      </c>
      <c r="K39" s="33" t="s">
        <v>548</v>
      </c>
    </row>
    <row r="40" customFormat="false" ht="15" hidden="false" customHeight="false" outlineLevel="0" collapsed="false">
      <c r="A40" s="13" t="s">
        <v>596</v>
      </c>
      <c r="B40" s="13" t="s">
        <v>114</v>
      </c>
      <c r="C40" s="13" t="s">
        <v>16</v>
      </c>
      <c r="D40" s="61" t="n">
        <v>10</v>
      </c>
      <c r="E40" s="13" t="s">
        <v>570</v>
      </c>
      <c r="F40" s="13" t="s">
        <v>559</v>
      </c>
      <c r="G40" s="13" t="s">
        <v>564</v>
      </c>
      <c r="H40" s="61" t="n">
        <v>0</v>
      </c>
      <c r="I40" s="62" t="n">
        <v>0</v>
      </c>
      <c r="J40" s="33" t="s">
        <v>547</v>
      </c>
      <c r="K40" s="33" t="s">
        <v>548</v>
      </c>
    </row>
    <row r="41" customFormat="false" ht="15" hidden="false" customHeight="false" outlineLevel="0" collapsed="false">
      <c r="A41" s="13" t="s">
        <v>597</v>
      </c>
      <c r="B41" s="13" t="s">
        <v>114</v>
      </c>
      <c r="C41" s="13" t="s">
        <v>16</v>
      </c>
      <c r="D41" s="61" t="n">
        <v>11</v>
      </c>
      <c r="E41" s="13" t="s">
        <v>572</v>
      </c>
      <c r="F41" s="13" t="s">
        <v>559</v>
      </c>
      <c r="G41" s="13" t="s">
        <v>564</v>
      </c>
      <c r="H41" s="61" t="n">
        <v>0</v>
      </c>
      <c r="I41" s="62" t="n">
        <v>0</v>
      </c>
      <c r="J41" s="33" t="s">
        <v>547</v>
      </c>
      <c r="K41" s="33" t="s">
        <v>548</v>
      </c>
    </row>
    <row r="42" customFormat="false" ht="15" hidden="false" customHeight="false" outlineLevel="0" collapsed="false">
      <c r="A42" s="13" t="s">
        <v>598</v>
      </c>
      <c r="B42" s="13" t="s">
        <v>114</v>
      </c>
      <c r="C42" s="13" t="s">
        <v>16</v>
      </c>
      <c r="D42" s="61" t="n">
        <v>12</v>
      </c>
      <c r="E42" s="13" t="s">
        <v>574</v>
      </c>
      <c r="F42" s="13" t="s">
        <v>559</v>
      </c>
      <c r="G42" s="13" t="s">
        <v>564</v>
      </c>
      <c r="H42" s="61" t="n">
        <v>0</v>
      </c>
      <c r="I42" s="62" t="n">
        <v>0</v>
      </c>
      <c r="J42" s="33" t="s">
        <v>547</v>
      </c>
      <c r="K42" s="33" t="s">
        <v>531</v>
      </c>
    </row>
    <row r="43" customFormat="false" ht="15" hidden="false" customHeight="false" outlineLevel="0" collapsed="false">
      <c r="A43" s="13" t="s">
        <v>599</v>
      </c>
      <c r="B43" s="13" t="s">
        <v>121</v>
      </c>
      <c r="C43" s="13" t="s">
        <v>122</v>
      </c>
      <c r="D43" s="61" t="n">
        <v>1</v>
      </c>
      <c r="E43" s="13" t="s">
        <v>544</v>
      </c>
      <c r="F43" s="13" t="s">
        <v>545</v>
      </c>
      <c r="G43" s="13" t="s">
        <v>546</v>
      </c>
      <c r="H43" s="61" t="n">
        <v>1</v>
      </c>
      <c r="I43" s="62" t="n">
        <v>0</v>
      </c>
      <c r="J43" s="33" t="s">
        <v>547</v>
      </c>
      <c r="K43" s="33" t="s">
        <v>548</v>
      </c>
    </row>
    <row r="44" customFormat="false" ht="15" hidden="false" customHeight="false" outlineLevel="0" collapsed="false">
      <c r="A44" s="13" t="s">
        <v>600</v>
      </c>
      <c r="B44" s="13" t="s">
        <v>121</v>
      </c>
      <c r="C44" s="13" t="s">
        <v>122</v>
      </c>
      <c r="D44" s="61" t="n">
        <v>2</v>
      </c>
      <c r="E44" s="13" t="s">
        <v>550</v>
      </c>
      <c r="F44" s="13" t="s">
        <v>545</v>
      </c>
      <c r="G44" s="13" t="s">
        <v>546</v>
      </c>
      <c r="H44" s="61" t="n">
        <v>1</v>
      </c>
      <c r="I44" s="62" t="n">
        <v>0</v>
      </c>
      <c r="J44" s="33" t="s">
        <v>547</v>
      </c>
      <c r="K44" s="33" t="s">
        <v>548</v>
      </c>
    </row>
    <row r="45" customFormat="false" ht="15" hidden="false" customHeight="false" outlineLevel="0" collapsed="false">
      <c r="A45" s="13" t="s">
        <v>601</v>
      </c>
      <c r="B45" s="13" t="s">
        <v>121</v>
      </c>
      <c r="C45" s="13" t="s">
        <v>122</v>
      </c>
      <c r="D45" s="61" t="n">
        <v>3</v>
      </c>
      <c r="E45" s="13" t="s">
        <v>552</v>
      </c>
      <c r="F45" s="13" t="s">
        <v>545</v>
      </c>
      <c r="G45" s="13" t="s">
        <v>546</v>
      </c>
      <c r="H45" s="61" t="n">
        <v>1</v>
      </c>
      <c r="I45" s="62" t="n">
        <v>0</v>
      </c>
      <c r="J45" s="33" t="s">
        <v>547</v>
      </c>
      <c r="K45" s="33" t="s">
        <v>548</v>
      </c>
    </row>
    <row r="46" customFormat="false" ht="15" hidden="false" customHeight="false" outlineLevel="0" collapsed="false">
      <c r="A46" s="13" t="s">
        <v>602</v>
      </c>
      <c r="B46" s="13" t="s">
        <v>121</v>
      </c>
      <c r="C46" s="13" t="s">
        <v>122</v>
      </c>
      <c r="D46" s="61" t="n">
        <v>4</v>
      </c>
      <c r="E46" s="13" t="s">
        <v>554</v>
      </c>
      <c r="F46" s="13" t="s">
        <v>545</v>
      </c>
      <c r="G46" s="13" t="s">
        <v>546</v>
      </c>
      <c r="H46" s="61" t="n">
        <v>1</v>
      </c>
      <c r="I46" s="62" t="n">
        <v>0</v>
      </c>
      <c r="J46" s="33" t="s">
        <v>547</v>
      </c>
      <c r="K46" s="33" t="s">
        <v>548</v>
      </c>
    </row>
    <row r="47" customFormat="false" ht="15" hidden="false" customHeight="false" outlineLevel="0" collapsed="false">
      <c r="A47" s="13" t="s">
        <v>603</v>
      </c>
      <c r="B47" s="13" t="s">
        <v>121</v>
      </c>
      <c r="C47" s="13" t="s">
        <v>122</v>
      </c>
      <c r="D47" s="61" t="n">
        <v>5</v>
      </c>
      <c r="E47" s="13" t="s">
        <v>556</v>
      </c>
      <c r="F47" s="13" t="s">
        <v>545</v>
      </c>
      <c r="G47" s="13" t="s">
        <v>546</v>
      </c>
      <c r="H47" s="61" t="n">
        <v>1</v>
      </c>
      <c r="I47" s="62" t="n">
        <v>0</v>
      </c>
      <c r="J47" s="33" t="s">
        <v>547</v>
      </c>
      <c r="K47" s="33" t="s">
        <v>548</v>
      </c>
    </row>
    <row r="48" customFormat="false" ht="15" hidden="false" customHeight="false" outlineLevel="0" collapsed="false">
      <c r="A48" s="13" t="s">
        <v>604</v>
      </c>
      <c r="B48" s="13" t="s">
        <v>121</v>
      </c>
      <c r="C48" s="13" t="s">
        <v>122</v>
      </c>
      <c r="D48" s="61" t="n">
        <v>6</v>
      </c>
      <c r="E48" s="13" t="s">
        <v>558</v>
      </c>
      <c r="F48" s="13" t="s">
        <v>559</v>
      </c>
      <c r="G48" s="13" t="s">
        <v>560</v>
      </c>
      <c r="H48" s="61" t="n">
        <v>0</v>
      </c>
      <c r="I48" s="62" t="n">
        <v>0</v>
      </c>
      <c r="J48" s="33" t="s">
        <v>561</v>
      </c>
      <c r="K48" s="33" t="s">
        <v>548</v>
      </c>
    </row>
    <row r="49" customFormat="false" ht="15" hidden="false" customHeight="false" outlineLevel="0" collapsed="false">
      <c r="A49" s="13" t="s">
        <v>605</v>
      </c>
      <c r="B49" s="13" t="s">
        <v>121</v>
      </c>
      <c r="C49" s="13" t="s">
        <v>122</v>
      </c>
      <c r="D49" s="61" t="n">
        <v>7</v>
      </c>
      <c r="E49" s="13" t="s">
        <v>563</v>
      </c>
      <c r="F49" s="13" t="s">
        <v>559</v>
      </c>
      <c r="G49" s="13" t="s">
        <v>564</v>
      </c>
      <c r="H49" s="61" t="n">
        <v>0</v>
      </c>
      <c r="I49" s="62" t="n">
        <v>0</v>
      </c>
      <c r="J49" s="33" t="s">
        <v>547</v>
      </c>
      <c r="K49" s="33" t="s">
        <v>548</v>
      </c>
    </row>
    <row r="50" customFormat="false" ht="15" hidden="false" customHeight="false" outlineLevel="0" collapsed="false">
      <c r="A50" s="13" t="s">
        <v>606</v>
      </c>
      <c r="B50" s="13" t="s">
        <v>121</v>
      </c>
      <c r="C50" s="13" t="s">
        <v>122</v>
      </c>
      <c r="D50" s="61" t="n">
        <v>8</v>
      </c>
      <c r="E50" s="13" t="s">
        <v>566</v>
      </c>
      <c r="F50" s="13" t="s">
        <v>559</v>
      </c>
      <c r="G50" s="13" t="s">
        <v>564</v>
      </c>
      <c r="H50" s="61" t="n">
        <v>0</v>
      </c>
      <c r="I50" s="62" t="n">
        <v>0</v>
      </c>
      <c r="J50" s="33" t="s">
        <v>547</v>
      </c>
      <c r="K50" s="33" t="s">
        <v>548</v>
      </c>
    </row>
    <row r="51" customFormat="false" ht="15" hidden="false" customHeight="false" outlineLevel="0" collapsed="false">
      <c r="A51" s="13" t="s">
        <v>607</v>
      </c>
      <c r="B51" s="13" t="s">
        <v>121</v>
      </c>
      <c r="C51" s="13" t="s">
        <v>122</v>
      </c>
      <c r="D51" s="61" t="n">
        <v>9</v>
      </c>
      <c r="E51" s="13" t="s">
        <v>568</v>
      </c>
      <c r="F51" s="13" t="s">
        <v>559</v>
      </c>
      <c r="G51" s="13" t="s">
        <v>564</v>
      </c>
      <c r="H51" s="61" t="n">
        <v>0</v>
      </c>
      <c r="I51" s="62" t="n">
        <v>0</v>
      </c>
      <c r="J51" s="33" t="s">
        <v>547</v>
      </c>
      <c r="K51" s="33" t="s">
        <v>548</v>
      </c>
    </row>
    <row r="52" customFormat="false" ht="15" hidden="false" customHeight="false" outlineLevel="0" collapsed="false">
      <c r="A52" s="13" t="s">
        <v>608</v>
      </c>
      <c r="B52" s="13" t="s">
        <v>121</v>
      </c>
      <c r="C52" s="13" t="s">
        <v>122</v>
      </c>
      <c r="D52" s="61" t="n">
        <v>10</v>
      </c>
      <c r="E52" s="13" t="s">
        <v>570</v>
      </c>
      <c r="F52" s="13" t="s">
        <v>559</v>
      </c>
      <c r="G52" s="13" t="s">
        <v>564</v>
      </c>
      <c r="H52" s="61" t="n">
        <v>0</v>
      </c>
      <c r="I52" s="62" t="n">
        <v>0</v>
      </c>
      <c r="J52" s="33" t="s">
        <v>547</v>
      </c>
      <c r="K52" s="33" t="s">
        <v>548</v>
      </c>
    </row>
    <row r="53" customFormat="false" ht="15" hidden="false" customHeight="false" outlineLevel="0" collapsed="false">
      <c r="A53" s="13" t="s">
        <v>609</v>
      </c>
      <c r="B53" s="13" t="s">
        <v>121</v>
      </c>
      <c r="C53" s="13" t="s">
        <v>122</v>
      </c>
      <c r="D53" s="61" t="n">
        <v>11</v>
      </c>
      <c r="E53" s="13" t="s">
        <v>572</v>
      </c>
      <c r="F53" s="13" t="s">
        <v>559</v>
      </c>
      <c r="G53" s="13" t="s">
        <v>564</v>
      </c>
      <c r="H53" s="61" t="n">
        <v>0</v>
      </c>
      <c r="I53" s="62" t="n">
        <v>0</v>
      </c>
      <c r="J53" s="33" t="s">
        <v>547</v>
      </c>
      <c r="K53" s="33" t="s">
        <v>548</v>
      </c>
    </row>
    <row r="54" customFormat="false" ht="15" hidden="false" customHeight="false" outlineLevel="0" collapsed="false">
      <c r="A54" s="13" t="s">
        <v>610</v>
      </c>
      <c r="B54" s="13" t="s">
        <v>121</v>
      </c>
      <c r="C54" s="13" t="s">
        <v>122</v>
      </c>
      <c r="D54" s="61" t="n">
        <v>12</v>
      </c>
      <c r="E54" s="13" t="s">
        <v>574</v>
      </c>
      <c r="F54" s="13" t="s">
        <v>559</v>
      </c>
      <c r="G54" s="13" t="s">
        <v>564</v>
      </c>
      <c r="H54" s="61" t="n">
        <v>0</v>
      </c>
      <c r="I54" s="62" t="n">
        <v>0</v>
      </c>
      <c r="J54" s="33" t="s">
        <v>547</v>
      </c>
      <c r="K54" s="33" t="s">
        <v>531</v>
      </c>
    </row>
    <row r="55" customFormat="false" ht="15" hidden="false" customHeight="false" outlineLevel="0" collapsed="false">
      <c r="A55" s="13" t="s">
        <v>611</v>
      </c>
      <c r="B55" s="13" t="s">
        <v>138</v>
      </c>
      <c r="C55" s="13" t="s">
        <v>18</v>
      </c>
      <c r="D55" s="61" t="n">
        <v>1</v>
      </c>
      <c r="E55" s="13" t="s">
        <v>544</v>
      </c>
      <c r="F55" s="13" t="s">
        <v>545</v>
      </c>
      <c r="G55" s="13" t="s">
        <v>546</v>
      </c>
      <c r="H55" s="61" t="n">
        <v>1</v>
      </c>
      <c r="I55" s="62" t="n">
        <v>0</v>
      </c>
      <c r="J55" s="33" t="s">
        <v>547</v>
      </c>
      <c r="K55" s="33" t="s">
        <v>548</v>
      </c>
    </row>
    <row r="56" customFormat="false" ht="15" hidden="false" customHeight="false" outlineLevel="0" collapsed="false">
      <c r="A56" s="13" t="s">
        <v>612</v>
      </c>
      <c r="B56" s="13" t="s">
        <v>138</v>
      </c>
      <c r="C56" s="13" t="s">
        <v>18</v>
      </c>
      <c r="D56" s="61" t="n">
        <v>2</v>
      </c>
      <c r="E56" s="13" t="s">
        <v>550</v>
      </c>
      <c r="F56" s="13" t="s">
        <v>545</v>
      </c>
      <c r="G56" s="13" t="s">
        <v>546</v>
      </c>
      <c r="H56" s="61" t="n">
        <v>1</v>
      </c>
      <c r="I56" s="62" t="n">
        <v>0</v>
      </c>
      <c r="J56" s="33" t="s">
        <v>547</v>
      </c>
      <c r="K56" s="33" t="s">
        <v>548</v>
      </c>
    </row>
    <row r="57" customFormat="false" ht="15" hidden="false" customHeight="false" outlineLevel="0" collapsed="false">
      <c r="A57" s="13" t="s">
        <v>613</v>
      </c>
      <c r="B57" s="13" t="s">
        <v>138</v>
      </c>
      <c r="C57" s="13" t="s">
        <v>18</v>
      </c>
      <c r="D57" s="61" t="n">
        <v>3</v>
      </c>
      <c r="E57" s="13" t="s">
        <v>552</v>
      </c>
      <c r="F57" s="13" t="s">
        <v>545</v>
      </c>
      <c r="G57" s="13" t="s">
        <v>546</v>
      </c>
      <c r="H57" s="61" t="n">
        <v>1</v>
      </c>
      <c r="I57" s="62" t="n">
        <v>0</v>
      </c>
      <c r="J57" s="33" t="s">
        <v>547</v>
      </c>
      <c r="K57" s="33" t="s">
        <v>548</v>
      </c>
    </row>
    <row r="58" customFormat="false" ht="15" hidden="false" customHeight="false" outlineLevel="0" collapsed="false">
      <c r="A58" s="13" t="s">
        <v>614</v>
      </c>
      <c r="B58" s="13" t="s">
        <v>138</v>
      </c>
      <c r="C58" s="13" t="s">
        <v>18</v>
      </c>
      <c r="D58" s="61" t="n">
        <v>4</v>
      </c>
      <c r="E58" s="13" t="s">
        <v>554</v>
      </c>
      <c r="F58" s="13" t="s">
        <v>545</v>
      </c>
      <c r="G58" s="13" t="s">
        <v>546</v>
      </c>
      <c r="H58" s="61" t="n">
        <v>1</v>
      </c>
      <c r="I58" s="62" t="n">
        <v>0</v>
      </c>
      <c r="J58" s="33" t="s">
        <v>547</v>
      </c>
      <c r="K58" s="33" t="s">
        <v>548</v>
      </c>
    </row>
    <row r="59" customFormat="false" ht="15" hidden="false" customHeight="false" outlineLevel="0" collapsed="false">
      <c r="A59" s="13" t="s">
        <v>615</v>
      </c>
      <c r="B59" s="13" t="s">
        <v>138</v>
      </c>
      <c r="C59" s="13" t="s">
        <v>18</v>
      </c>
      <c r="D59" s="61" t="n">
        <v>5</v>
      </c>
      <c r="E59" s="13" t="s">
        <v>556</v>
      </c>
      <c r="F59" s="13" t="s">
        <v>545</v>
      </c>
      <c r="G59" s="13" t="s">
        <v>546</v>
      </c>
      <c r="H59" s="61" t="n">
        <v>1</v>
      </c>
      <c r="I59" s="62" t="n">
        <v>0</v>
      </c>
      <c r="J59" s="33" t="s">
        <v>547</v>
      </c>
      <c r="K59" s="33" t="s">
        <v>548</v>
      </c>
    </row>
    <row r="60" customFormat="false" ht="15" hidden="false" customHeight="false" outlineLevel="0" collapsed="false">
      <c r="A60" s="13" t="s">
        <v>616</v>
      </c>
      <c r="B60" s="13" t="s">
        <v>138</v>
      </c>
      <c r="C60" s="13" t="s">
        <v>18</v>
      </c>
      <c r="D60" s="61" t="n">
        <v>6</v>
      </c>
      <c r="E60" s="13" t="s">
        <v>558</v>
      </c>
      <c r="F60" s="13" t="s">
        <v>559</v>
      </c>
      <c r="G60" s="13" t="s">
        <v>560</v>
      </c>
      <c r="H60" s="61" t="n">
        <v>0</v>
      </c>
      <c r="I60" s="62" t="n">
        <v>0</v>
      </c>
      <c r="J60" s="33" t="s">
        <v>561</v>
      </c>
      <c r="K60" s="33" t="s">
        <v>548</v>
      </c>
    </row>
    <row r="61" customFormat="false" ht="15" hidden="false" customHeight="false" outlineLevel="0" collapsed="false">
      <c r="A61" s="13" t="s">
        <v>617</v>
      </c>
      <c r="B61" s="13" t="s">
        <v>138</v>
      </c>
      <c r="C61" s="13" t="s">
        <v>18</v>
      </c>
      <c r="D61" s="61" t="n">
        <v>7</v>
      </c>
      <c r="E61" s="13" t="s">
        <v>563</v>
      </c>
      <c r="F61" s="13" t="s">
        <v>559</v>
      </c>
      <c r="G61" s="13" t="s">
        <v>564</v>
      </c>
      <c r="H61" s="61" t="n">
        <v>0</v>
      </c>
      <c r="I61" s="62" t="n">
        <v>0</v>
      </c>
      <c r="J61" s="33" t="s">
        <v>547</v>
      </c>
      <c r="K61" s="33" t="s">
        <v>548</v>
      </c>
    </row>
    <row r="62" customFormat="false" ht="15" hidden="false" customHeight="false" outlineLevel="0" collapsed="false">
      <c r="A62" s="13" t="s">
        <v>618</v>
      </c>
      <c r="B62" s="13" t="s">
        <v>138</v>
      </c>
      <c r="C62" s="13" t="s">
        <v>18</v>
      </c>
      <c r="D62" s="61" t="n">
        <v>8</v>
      </c>
      <c r="E62" s="13" t="s">
        <v>566</v>
      </c>
      <c r="F62" s="13" t="s">
        <v>559</v>
      </c>
      <c r="G62" s="13" t="s">
        <v>564</v>
      </c>
      <c r="H62" s="61" t="n">
        <v>0</v>
      </c>
      <c r="I62" s="62" t="n">
        <v>0</v>
      </c>
      <c r="J62" s="33" t="s">
        <v>547</v>
      </c>
      <c r="K62" s="33" t="s">
        <v>548</v>
      </c>
    </row>
    <row r="63" customFormat="false" ht="15" hidden="false" customHeight="false" outlineLevel="0" collapsed="false">
      <c r="A63" s="13" t="s">
        <v>619</v>
      </c>
      <c r="B63" s="13" t="s">
        <v>138</v>
      </c>
      <c r="C63" s="13" t="s">
        <v>18</v>
      </c>
      <c r="D63" s="61" t="n">
        <v>9</v>
      </c>
      <c r="E63" s="13" t="s">
        <v>568</v>
      </c>
      <c r="F63" s="13" t="s">
        <v>559</v>
      </c>
      <c r="G63" s="13" t="s">
        <v>564</v>
      </c>
      <c r="H63" s="61" t="n">
        <v>0</v>
      </c>
      <c r="I63" s="62" t="n">
        <v>0</v>
      </c>
      <c r="J63" s="33" t="s">
        <v>547</v>
      </c>
      <c r="K63" s="33" t="s">
        <v>548</v>
      </c>
    </row>
    <row r="64" customFormat="false" ht="15" hidden="false" customHeight="false" outlineLevel="0" collapsed="false">
      <c r="A64" s="13" t="s">
        <v>620</v>
      </c>
      <c r="B64" s="13" t="s">
        <v>138</v>
      </c>
      <c r="C64" s="13" t="s">
        <v>18</v>
      </c>
      <c r="D64" s="61" t="n">
        <v>10</v>
      </c>
      <c r="E64" s="13" t="s">
        <v>570</v>
      </c>
      <c r="F64" s="13" t="s">
        <v>559</v>
      </c>
      <c r="G64" s="13" t="s">
        <v>564</v>
      </c>
      <c r="H64" s="61" t="n">
        <v>0</v>
      </c>
      <c r="I64" s="62" t="n">
        <v>0</v>
      </c>
      <c r="J64" s="33" t="s">
        <v>547</v>
      </c>
      <c r="K64" s="33" t="s">
        <v>548</v>
      </c>
    </row>
    <row r="65" customFormat="false" ht="15" hidden="false" customHeight="false" outlineLevel="0" collapsed="false">
      <c r="A65" s="13" t="s">
        <v>621</v>
      </c>
      <c r="B65" s="13" t="s">
        <v>138</v>
      </c>
      <c r="C65" s="13" t="s">
        <v>18</v>
      </c>
      <c r="D65" s="61" t="n">
        <v>11</v>
      </c>
      <c r="E65" s="13" t="s">
        <v>572</v>
      </c>
      <c r="F65" s="13" t="s">
        <v>559</v>
      </c>
      <c r="G65" s="13" t="s">
        <v>564</v>
      </c>
      <c r="H65" s="61" t="n">
        <v>0</v>
      </c>
      <c r="I65" s="62" t="n">
        <v>0</v>
      </c>
      <c r="J65" s="33" t="s">
        <v>547</v>
      </c>
      <c r="K65" s="33" t="s">
        <v>548</v>
      </c>
    </row>
    <row r="66" customFormat="false" ht="15" hidden="false" customHeight="false" outlineLevel="0" collapsed="false">
      <c r="A66" s="13" t="s">
        <v>622</v>
      </c>
      <c r="B66" s="13" t="s">
        <v>138</v>
      </c>
      <c r="C66" s="13" t="s">
        <v>18</v>
      </c>
      <c r="D66" s="61" t="n">
        <v>12</v>
      </c>
      <c r="E66" s="13" t="s">
        <v>574</v>
      </c>
      <c r="F66" s="13" t="s">
        <v>559</v>
      </c>
      <c r="G66" s="13" t="s">
        <v>564</v>
      </c>
      <c r="H66" s="61" t="n">
        <v>0</v>
      </c>
      <c r="I66" s="62" t="n">
        <v>0</v>
      </c>
      <c r="J66" s="33" t="s">
        <v>547</v>
      </c>
      <c r="K66" s="33" t="s">
        <v>531</v>
      </c>
    </row>
    <row r="67" customFormat="false" ht="15" hidden="false" customHeight="false" outlineLevel="0" collapsed="false">
      <c r="A67" s="13" t="s">
        <v>623</v>
      </c>
      <c r="B67" s="13" t="s">
        <v>144</v>
      </c>
      <c r="C67" s="13" t="s">
        <v>20</v>
      </c>
      <c r="D67" s="61" t="n">
        <v>1</v>
      </c>
      <c r="E67" s="13" t="s">
        <v>544</v>
      </c>
      <c r="F67" s="13" t="s">
        <v>545</v>
      </c>
      <c r="G67" s="13" t="s">
        <v>546</v>
      </c>
      <c r="H67" s="61" t="n">
        <v>1</v>
      </c>
      <c r="I67" s="62" t="n">
        <v>0</v>
      </c>
      <c r="J67" s="33" t="s">
        <v>547</v>
      </c>
      <c r="K67" s="33" t="s">
        <v>548</v>
      </c>
    </row>
    <row r="68" customFormat="false" ht="15" hidden="false" customHeight="false" outlineLevel="0" collapsed="false">
      <c r="A68" s="13" t="s">
        <v>624</v>
      </c>
      <c r="B68" s="13" t="s">
        <v>144</v>
      </c>
      <c r="C68" s="13" t="s">
        <v>20</v>
      </c>
      <c r="D68" s="61" t="n">
        <v>2</v>
      </c>
      <c r="E68" s="13" t="s">
        <v>550</v>
      </c>
      <c r="F68" s="13" t="s">
        <v>545</v>
      </c>
      <c r="G68" s="13" t="s">
        <v>546</v>
      </c>
      <c r="H68" s="61" t="n">
        <v>1</v>
      </c>
      <c r="I68" s="62" t="n">
        <v>0</v>
      </c>
      <c r="J68" s="33" t="s">
        <v>547</v>
      </c>
      <c r="K68" s="33" t="s">
        <v>548</v>
      </c>
    </row>
    <row r="69" customFormat="false" ht="15" hidden="false" customHeight="false" outlineLevel="0" collapsed="false">
      <c r="A69" s="13" t="s">
        <v>625</v>
      </c>
      <c r="B69" s="13" t="s">
        <v>144</v>
      </c>
      <c r="C69" s="13" t="s">
        <v>20</v>
      </c>
      <c r="D69" s="61" t="n">
        <v>3</v>
      </c>
      <c r="E69" s="13" t="s">
        <v>552</v>
      </c>
      <c r="F69" s="13" t="s">
        <v>545</v>
      </c>
      <c r="G69" s="13" t="s">
        <v>546</v>
      </c>
      <c r="H69" s="61" t="n">
        <v>1</v>
      </c>
      <c r="I69" s="62" t="n">
        <v>0</v>
      </c>
      <c r="J69" s="33" t="s">
        <v>547</v>
      </c>
      <c r="K69" s="33" t="s">
        <v>548</v>
      </c>
    </row>
    <row r="70" customFormat="false" ht="15" hidden="false" customHeight="false" outlineLevel="0" collapsed="false">
      <c r="A70" s="13" t="s">
        <v>626</v>
      </c>
      <c r="B70" s="13" t="s">
        <v>144</v>
      </c>
      <c r="C70" s="13" t="s">
        <v>20</v>
      </c>
      <c r="D70" s="61" t="n">
        <v>4</v>
      </c>
      <c r="E70" s="13" t="s">
        <v>554</v>
      </c>
      <c r="F70" s="13" t="s">
        <v>545</v>
      </c>
      <c r="G70" s="13" t="s">
        <v>546</v>
      </c>
      <c r="H70" s="61" t="n">
        <v>1</v>
      </c>
      <c r="I70" s="62" t="n">
        <v>0</v>
      </c>
      <c r="J70" s="33" t="s">
        <v>547</v>
      </c>
      <c r="K70" s="33" t="s">
        <v>548</v>
      </c>
    </row>
    <row r="71" customFormat="false" ht="15" hidden="false" customHeight="false" outlineLevel="0" collapsed="false">
      <c r="A71" s="13" t="s">
        <v>627</v>
      </c>
      <c r="B71" s="13" t="s">
        <v>144</v>
      </c>
      <c r="C71" s="13" t="s">
        <v>20</v>
      </c>
      <c r="D71" s="61" t="n">
        <v>5</v>
      </c>
      <c r="E71" s="13" t="s">
        <v>556</v>
      </c>
      <c r="F71" s="13" t="s">
        <v>545</v>
      </c>
      <c r="G71" s="13" t="s">
        <v>546</v>
      </c>
      <c r="H71" s="61" t="n">
        <v>1</v>
      </c>
      <c r="I71" s="62" t="n">
        <v>0</v>
      </c>
      <c r="J71" s="33" t="s">
        <v>547</v>
      </c>
      <c r="K71" s="33" t="s">
        <v>548</v>
      </c>
    </row>
    <row r="72" customFormat="false" ht="15" hidden="false" customHeight="false" outlineLevel="0" collapsed="false">
      <c r="A72" s="13" t="s">
        <v>628</v>
      </c>
      <c r="B72" s="13" t="s">
        <v>144</v>
      </c>
      <c r="C72" s="13" t="s">
        <v>20</v>
      </c>
      <c r="D72" s="61" t="n">
        <v>6</v>
      </c>
      <c r="E72" s="13" t="s">
        <v>558</v>
      </c>
      <c r="F72" s="13" t="s">
        <v>559</v>
      </c>
      <c r="G72" s="13" t="s">
        <v>560</v>
      </c>
      <c r="H72" s="61" t="n">
        <v>0</v>
      </c>
      <c r="I72" s="62" t="n">
        <v>0</v>
      </c>
      <c r="J72" s="33" t="s">
        <v>561</v>
      </c>
      <c r="K72" s="33" t="s">
        <v>548</v>
      </c>
    </row>
    <row r="73" customFormat="false" ht="15" hidden="false" customHeight="false" outlineLevel="0" collapsed="false">
      <c r="A73" s="13" t="s">
        <v>629</v>
      </c>
      <c r="B73" s="13" t="s">
        <v>144</v>
      </c>
      <c r="C73" s="13" t="s">
        <v>20</v>
      </c>
      <c r="D73" s="61" t="n">
        <v>7</v>
      </c>
      <c r="E73" s="13" t="s">
        <v>563</v>
      </c>
      <c r="F73" s="13" t="s">
        <v>559</v>
      </c>
      <c r="G73" s="13" t="s">
        <v>564</v>
      </c>
      <c r="H73" s="61" t="n">
        <v>0</v>
      </c>
      <c r="I73" s="62" t="n">
        <v>0</v>
      </c>
      <c r="J73" s="33" t="s">
        <v>547</v>
      </c>
      <c r="K73" s="33" t="s">
        <v>548</v>
      </c>
    </row>
    <row r="74" customFormat="false" ht="15" hidden="false" customHeight="false" outlineLevel="0" collapsed="false">
      <c r="A74" s="13" t="s">
        <v>630</v>
      </c>
      <c r="B74" s="13" t="s">
        <v>144</v>
      </c>
      <c r="C74" s="13" t="s">
        <v>20</v>
      </c>
      <c r="D74" s="61" t="n">
        <v>8</v>
      </c>
      <c r="E74" s="13" t="s">
        <v>566</v>
      </c>
      <c r="F74" s="13" t="s">
        <v>559</v>
      </c>
      <c r="G74" s="13" t="s">
        <v>564</v>
      </c>
      <c r="H74" s="61" t="n">
        <v>0</v>
      </c>
      <c r="I74" s="62" t="n">
        <v>0</v>
      </c>
      <c r="J74" s="33" t="s">
        <v>547</v>
      </c>
      <c r="K74" s="33" t="s">
        <v>548</v>
      </c>
    </row>
    <row r="75" customFormat="false" ht="15" hidden="false" customHeight="false" outlineLevel="0" collapsed="false">
      <c r="A75" s="13" t="s">
        <v>631</v>
      </c>
      <c r="B75" s="13" t="s">
        <v>144</v>
      </c>
      <c r="C75" s="13" t="s">
        <v>20</v>
      </c>
      <c r="D75" s="61" t="n">
        <v>9</v>
      </c>
      <c r="E75" s="13" t="s">
        <v>568</v>
      </c>
      <c r="F75" s="13" t="s">
        <v>559</v>
      </c>
      <c r="G75" s="13" t="s">
        <v>564</v>
      </c>
      <c r="H75" s="61" t="n">
        <v>0</v>
      </c>
      <c r="I75" s="62" t="n">
        <v>0</v>
      </c>
      <c r="J75" s="33" t="s">
        <v>547</v>
      </c>
      <c r="K75" s="33" t="s">
        <v>548</v>
      </c>
    </row>
    <row r="76" customFormat="false" ht="15" hidden="false" customHeight="false" outlineLevel="0" collapsed="false">
      <c r="A76" s="13" t="s">
        <v>632</v>
      </c>
      <c r="B76" s="13" t="s">
        <v>144</v>
      </c>
      <c r="C76" s="13" t="s">
        <v>20</v>
      </c>
      <c r="D76" s="61" t="n">
        <v>10</v>
      </c>
      <c r="E76" s="13" t="s">
        <v>570</v>
      </c>
      <c r="F76" s="13" t="s">
        <v>559</v>
      </c>
      <c r="G76" s="13" t="s">
        <v>564</v>
      </c>
      <c r="H76" s="61" t="n">
        <v>0</v>
      </c>
      <c r="I76" s="62" t="n">
        <v>0</v>
      </c>
      <c r="J76" s="33" t="s">
        <v>547</v>
      </c>
      <c r="K76" s="33" t="s">
        <v>548</v>
      </c>
    </row>
    <row r="77" customFormat="false" ht="15" hidden="false" customHeight="false" outlineLevel="0" collapsed="false">
      <c r="A77" s="13" t="s">
        <v>633</v>
      </c>
      <c r="B77" s="13" t="s">
        <v>144</v>
      </c>
      <c r="C77" s="13" t="s">
        <v>20</v>
      </c>
      <c r="D77" s="61" t="n">
        <v>11</v>
      </c>
      <c r="E77" s="13" t="s">
        <v>572</v>
      </c>
      <c r="F77" s="13" t="s">
        <v>559</v>
      </c>
      <c r="G77" s="13" t="s">
        <v>564</v>
      </c>
      <c r="H77" s="61" t="n">
        <v>0</v>
      </c>
      <c r="I77" s="62" t="n">
        <v>0</v>
      </c>
      <c r="J77" s="33" t="s">
        <v>547</v>
      </c>
      <c r="K77" s="33" t="s">
        <v>548</v>
      </c>
    </row>
    <row r="78" customFormat="false" ht="15" hidden="false" customHeight="false" outlineLevel="0" collapsed="false">
      <c r="A78" s="21" t="s">
        <v>634</v>
      </c>
      <c r="B78" s="21" t="s">
        <v>144</v>
      </c>
      <c r="C78" s="21" t="s">
        <v>20</v>
      </c>
      <c r="D78" s="63" t="n">
        <v>12</v>
      </c>
      <c r="E78" s="21" t="s">
        <v>574</v>
      </c>
      <c r="F78" s="21" t="s">
        <v>559</v>
      </c>
      <c r="G78" s="21" t="s">
        <v>564</v>
      </c>
      <c r="H78" s="63" t="n">
        <v>0</v>
      </c>
      <c r="I78" s="64" t="n">
        <v>0</v>
      </c>
      <c r="J78" s="36" t="s">
        <v>547</v>
      </c>
      <c r="K78" s="36" t="s">
        <v>531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16"/>
  </cols>
  <sheetData>
    <row r="2" customFormat="false" ht="24" hidden="false" customHeight="true" outlineLevel="0" collapsed="false">
      <c r="A2" s="1" t="s">
        <v>635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636</v>
      </c>
      <c r="B4" s="3"/>
      <c r="C4" s="3"/>
      <c r="D4" s="3"/>
      <c r="E4" s="3"/>
    </row>
    <row r="6" customFormat="false" ht="23" hidden="false" customHeight="true" outlineLevel="0" collapsed="false">
      <c r="A6" s="4" t="s">
        <v>637</v>
      </c>
      <c r="B6" s="22" t="s">
        <v>638</v>
      </c>
      <c r="C6" s="22" t="s">
        <v>639</v>
      </c>
      <c r="D6" s="22" t="s">
        <v>640</v>
      </c>
      <c r="E6" s="5" t="s">
        <v>3</v>
      </c>
    </row>
    <row r="7" customFormat="false" ht="15" hidden="false" customHeight="false" outlineLevel="0" collapsed="false">
      <c r="A7" s="9" t="s">
        <v>641</v>
      </c>
      <c r="B7" s="9" t="s">
        <v>642</v>
      </c>
      <c r="C7" s="9" t="s">
        <v>643</v>
      </c>
      <c r="D7" s="9" t="s">
        <v>644</v>
      </c>
      <c r="E7" s="9" t="s">
        <v>645</v>
      </c>
    </row>
    <row r="8" customFormat="false" ht="15" hidden="false" customHeight="false" outlineLevel="0" collapsed="false">
      <c r="A8" s="13" t="s">
        <v>646</v>
      </c>
      <c r="B8" s="13" t="s">
        <v>647</v>
      </c>
      <c r="C8" s="13" t="s">
        <v>648</v>
      </c>
      <c r="D8" s="13" t="s">
        <v>649</v>
      </c>
      <c r="E8" s="13" t="s">
        <v>645</v>
      </c>
    </row>
    <row r="9" customFormat="false" ht="15" hidden="false" customHeight="false" outlineLevel="0" collapsed="false">
      <c r="A9" s="13" t="s">
        <v>650</v>
      </c>
      <c r="B9" s="13" t="s">
        <v>651</v>
      </c>
      <c r="C9" s="13" t="s">
        <v>652</v>
      </c>
      <c r="D9" s="13" t="s">
        <v>649</v>
      </c>
      <c r="E9" s="13" t="s">
        <v>645</v>
      </c>
    </row>
    <row r="10" customFormat="false" ht="15" hidden="false" customHeight="false" outlineLevel="0" collapsed="false">
      <c r="A10" s="13" t="s">
        <v>653</v>
      </c>
      <c r="B10" s="13" t="s">
        <v>654</v>
      </c>
      <c r="C10" s="13" t="s">
        <v>643</v>
      </c>
      <c r="D10" s="13" t="s">
        <v>655</v>
      </c>
      <c r="E10" s="13" t="s">
        <v>645</v>
      </c>
    </row>
    <row r="11" customFormat="false" ht="15" hidden="false" customHeight="false" outlineLevel="0" collapsed="false">
      <c r="A11" s="13" t="s">
        <v>656</v>
      </c>
      <c r="B11" s="13" t="s">
        <v>657</v>
      </c>
      <c r="C11" s="13" t="s">
        <v>658</v>
      </c>
      <c r="D11" s="13" t="s">
        <v>659</v>
      </c>
      <c r="E11" s="13" t="s">
        <v>645</v>
      </c>
    </row>
    <row r="12" customFormat="false" ht="15" hidden="false" customHeight="false" outlineLevel="0" collapsed="false">
      <c r="A12" s="13" t="s">
        <v>660</v>
      </c>
      <c r="B12" s="13" t="s">
        <v>661</v>
      </c>
      <c r="C12" s="13" t="s">
        <v>662</v>
      </c>
      <c r="D12" s="13" t="s">
        <v>655</v>
      </c>
      <c r="E12" s="13" t="s">
        <v>645</v>
      </c>
    </row>
    <row r="13" customFormat="false" ht="15" hidden="false" customHeight="false" outlineLevel="0" collapsed="false">
      <c r="A13" s="13" t="s">
        <v>663</v>
      </c>
      <c r="B13" s="13" t="s">
        <v>664</v>
      </c>
      <c r="C13" s="13" t="s">
        <v>643</v>
      </c>
      <c r="D13" s="13" t="s">
        <v>649</v>
      </c>
      <c r="E13" s="13" t="s">
        <v>645</v>
      </c>
    </row>
    <row r="14" customFormat="false" ht="15" hidden="false" customHeight="false" outlineLevel="0" collapsed="false">
      <c r="A14" s="13" t="s">
        <v>665</v>
      </c>
      <c r="B14" s="13" t="s">
        <v>666</v>
      </c>
      <c r="C14" s="13" t="s">
        <v>643</v>
      </c>
      <c r="D14" s="13" t="s">
        <v>649</v>
      </c>
      <c r="E14" s="13" t="s">
        <v>645</v>
      </c>
    </row>
    <row r="15" customFormat="false" ht="15" hidden="false" customHeight="false" outlineLevel="0" collapsed="false">
      <c r="A15" s="13" t="s">
        <v>667</v>
      </c>
      <c r="B15" s="13" t="s">
        <v>668</v>
      </c>
      <c r="C15" s="13" t="s">
        <v>669</v>
      </c>
      <c r="D15" s="13" t="s">
        <v>659</v>
      </c>
      <c r="E15" s="13" t="s">
        <v>645</v>
      </c>
    </row>
    <row r="16" customFormat="false" ht="15" hidden="false" customHeight="false" outlineLevel="0" collapsed="false">
      <c r="A16" s="13" t="s">
        <v>670</v>
      </c>
      <c r="B16" s="13" t="s">
        <v>671</v>
      </c>
      <c r="C16" s="13" t="s">
        <v>669</v>
      </c>
      <c r="D16" s="13" t="s">
        <v>659</v>
      </c>
      <c r="E16" s="13" t="s">
        <v>645</v>
      </c>
    </row>
    <row r="17" customFormat="false" ht="15" hidden="false" customHeight="false" outlineLevel="0" collapsed="false">
      <c r="A17" s="13" t="s">
        <v>672</v>
      </c>
      <c r="B17" s="13" t="s">
        <v>673</v>
      </c>
      <c r="C17" s="13" t="s">
        <v>674</v>
      </c>
      <c r="D17" s="13" t="s">
        <v>659</v>
      </c>
      <c r="E17" s="13" t="s">
        <v>645</v>
      </c>
    </row>
    <row r="18" customFormat="false" ht="15" hidden="false" customHeight="false" outlineLevel="0" collapsed="false">
      <c r="A18" s="13" t="s">
        <v>675</v>
      </c>
      <c r="B18" s="13" t="s">
        <v>676</v>
      </c>
      <c r="C18" s="13" t="s">
        <v>677</v>
      </c>
      <c r="D18" s="13" t="s">
        <v>659</v>
      </c>
      <c r="E18" s="13" t="s">
        <v>645</v>
      </c>
    </row>
    <row r="19" customFormat="false" ht="15" hidden="false" customHeight="false" outlineLevel="0" collapsed="false">
      <c r="A19" s="13" t="s">
        <v>678</v>
      </c>
      <c r="B19" s="13" t="s">
        <v>679</v>
      </c>
      <c r="C19" s="13" t="s">
        <v>680</v>
      </c>
      <c r="D19" s="13" t="s">
        <v>659</v>
      </c>
      <c r="E19" s="13" t="s">
        <v>645</v>
      </c>
    </row>
    <row r="20" customFormat="false" ht="15" hidden="false" customHeight="false" outlineLevel="0" collapsed="false">
      <c r="A20" s="13" t="s">
        <v>681</v>
      </c>
      <c r="B20" s="13" t="s">
        <v>682</v>
      </c>
      <c r="C20" s="13" t="s">
        <v>683</v>
      </c>
      <c r="D20" s="13" t="s">
        <v>659</v>
      </c>
      <c r="E20" s="13" t="s">
        <v>645</v>
      </c>
    </row>
    <row r="21" customFormat="false" ht="15" hidden="false" customHeight="false" outlineLevel="0" collapsed="false">
      <c r="A21" s="13" t="s">
        <v>684</v>
      </c>
      <c r="B21" s="13" t="s">
        <v>685</v>
      </c>
      <c r="C21" s="13" t="s">
        <v>686</v>
      </c>
      <c r="D21" s="13" t="s">
        <v>659</v>
      </c>
      <c r="E21" s="13" t="s">
        <v>645</v>
      </c>
    </row>
    <row r="22" customFormat="false" ht="15" hidden="false" customHeight="false" outlineLevel="0" collapsed="false">
      <c r="A22" s="21" t="s">
        <v>687</v>
      </c>
      <c r="B22" s="21" t="s">
        <v>688</v>
      </c>
      <c r="C22" s="21" t="s">
        <v>689</v>
      </c>
      <c r="D22" s="21" t="s">
        <v>659</v>
      </c>
      <c r="E22" s="21" t="s">
        <v>645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690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691</v>
      </c>
      <c r="B4" s="3"/>
      <c r="C4" s="3"/>
      <c r="D4" s="3"/>
      <c r="E4" s="3"/>
    </row>
    <row r="6" customFormat="false" ht="23" hidden="false" customHeight="true" outlineLevel="0" collapsed="false">
      <c r="A6" s="4" t="s">
        <v>659</v>
      </c>
      <c r="B6" s="22" t="s">
        <v>692</v>
      </c>
      <c r="C6" s="22" t="s">
        <v>693</v>
      </c>
      <c r="D6" s="22" t="s">
        <v>694</v>
      </c>
      <c r="E6" s="5" t="s">
        <v>167</v>
      </c>
    </row>
    <row r="7" customFormat="false" ht="15" hidden="false" customHeight="false" outlineLevel="0" collapsed="false">
      <c r="A7" s="9" t="s">
        <v>73</v>
      </c>
      <c r="B7" s="9" t="s">
        <v>695</v>
      </c>
      <c r="C7" s="37" t="n">
        <f aca="false">COUNTA('Root Triage'!B7:B12)</f>
        <v>6</v>
      </c>
      <c r="D7" s="37" t="n">
        <v>6</v>
      </c>
      <c r="E7" s="10" t="str">
        <f aca="false">IF(ABS(C7-D7)&lt;0.000001,"PASS","FAIL")</f>
        <v>PASS</v>
      </c>
    </row>
    <row r="8" customFormat="false" ht="15" hidden="false" customHeight="false" outlineLevel="0" collapsed="false">
      <c r="A8" s="13" t="s">
        <v>79</v>
      </c>
      <c r="B8" s="13" t="s">
        <v>696</v>
      </c>
      <c r="C8" s="39" t="n">
        <f aca="false">COUNTA('Root Baselines'!C7:C42)</f>
        <v>36</v>
      </c>
      <c r="D8" s="39" t="n">
        <v>36</v>
      </c>
      <c r="E8" s="14" t="str">
        <f aca="false">IF(ABS(C8-D8)&lt;0.000001,"PASS","FAIL")</f>
        <v>PASS</v>
      </c>
    </row>
    <row r="9" customFormat="false" ht="15" hidden="false" customHeight="false" outlineLevel="0" collapsed="false">
      <c r="A9" s="13" t="s">
        <v>85</v>
      </c>
      <c r="B9" s="13" t="s">
        <v>697</v>
      </c>
      <c r="C9" s="39" t="n">
        <f aca="false">COUNTA('Closure Cells'!A7:A150)</f>
        <v>144</v>
      </c>
      <c r="D9" s="39" t="n">
        <v>144</v>
      </c>
      <c r="E9" s="14" t="str">
        <f aca="false">IF(ABS(C9-D9)&lt;0.000001,"PASS","FAIL")</f>
        <v>PASS</v>
      </c>
    </row>
    <row r="10" customFormat="false" ht="15" hidden="false" customHeight="false" outlineLevel="0" collapsed="false">
      <c r="A10" s="13" t="s">
        <v>90</v>
      </c>
      <c r="B10" s="13" t="s">
        <v>698</v>
      </c>
      <c r="C10" s="39" t="n">
        <f aca="false">COUNTIFS('Closure Cells'!F7:F150,"W01")</f>
        <v>36</v>
      </c>
      <c r="D10" s="39" t="n">
        <v>36</v>
      </c>
      <c r="E10" s="14" t="str">
        <f aca="false">IF(ABS(C10-D10)&lt;0.000001,"PASS","FAIL")</f>
        <v>PASS</v>
      </c>
    </row>
    <row r="11" customFormat="false" ht="15" hidden="false" customHeight="false" outlineLevel="0" collapsed="false">
      <c r="A11" s="13" t="s">
        <v>95</v>
      </c>
      <c r="B11" s="13" t="s">
        <v>699</v>
      </c>
      <c r="C11" s="39" t="n">
        <f aca="false">COUNTIFS('Closure Cells'!F7:F150,"W02")</f>
        <v>36</v>
      </c>
      <c r="D11" s="39" t="n">
        <v>36</v>
      </c>
      <c r="E11" s="14" t="str">
        <f aca="false">IF(ABS(C11-D11)&lt;0.000001,"PASS","FAIL")</f>
        <v>PASS</v>
      </c>
    </row>
    <row r="12" customFormat="false" ht="15" hidden="false" customHeight="false" outlineLevel="0" collapsed="false">
      <c r="A12" s="13" t="s">
        <v>101</v>
      </c>
      <c r="B12" s="13" t="s">
        <v>700</v>
      </c>
      <c r="C12" s="39" t="n">
        <f aca="false">COUNTIFS('Closure Cells'!F7:F150,"W03")</f>
        <v>36</v>
      </c>
      <c r="D12" s="39" t="n">
        <v>36</v>
      </c>
      <c r="E12" s="14" t="str">
        <f aca="false">IF(ABS(C12-D12)&lt;0.000001,"PASS","FAIL")</f>
        <v>PASS</v>
      </c>
    </row>
    <row r="13" customFormat="false" ht="15" hidden="false" customHeight="false" outlineLevel="0" collapsed="false">
      <c r="A13" s="13" t="s">
        <v>701</v>
      </c>
      <c r="B13" s="13" t="s">
        <v>702</v>
      </c>
      <c r="C13" s="39" t="n">
        <f aca="false">COUNTIFS('Closure Cells'!F7:F150,"W04")</f>
        <v>36</v>
      </c>
      <c r="D13" s="39" t="n">
        <v>36</v>
      </c>
      <c r="E13" s="14" t="str">
        <f aca="false">IF(ABS(C13-D13)&lt;0.000001,"PASS","FAIL")</f>
        <v>PASS</v>
      </c>
    </row>
    <row r="14" customFormat="false" ht="15" hidden="false" customHeight="false" outlineLevel="0" collapsed="false">
      <c r="A14" s="13" t="s">
        <v>703</v>
      </c>
      <c r="B14" s="13" t="s">
        <v>704</v>
      </c>
      <c r="C14" s="39" t="n">
        <f aca="false">SUM('Closure Cells'!P7:P150)</f>
        <v>59</v>
      </c>
      <c r="D14" s="39" t="n">
        <v>59</v>
      </c>
      <c r="E14" s="14" t="str">
        <f aca="false">IF(ABS(C14-D14)&lt;0.000001,"PASS","FAIL")</f>
        <v>PASS</v>
      </c>
    </row>
    <row r="15" customFormat="false" ht="15" hidden="false" customHeight="false" outlineLevel="0" collapsed="false">
      <c r="A15" s="13" t="s">
        <v>705</v>
      </c>
      <c r="B15" s="13" t="s">
        <v>706</v>
      </c>
      <c r="C15" s="39" t="n">
        <f aca="false">COUNTIFS('Closure Cells'!Q7:Q150,"CLOSE")</f>
        <v>45</v>
      </c>
      <c r="D15" s="39" t="n">
        <v>45</v>
      </c>
      <c r="E15" s="14" t="str">
        <f aca="false">IF(ABS(C15-D15)&lt;0.000001,"PASS","FAIL")</f>
        <v>PASS</v>
      </c>
    </row>
    <row r="16" customFormat="false" ht="15" hidden="false" customHeight="false" outlineLevel="0" collapsed="false">
      <c r="A16" s="13" t="s">
        <v>707</v>
      </c>
      <c r="B16" s="13" t="s">
        <v>708</v>
      </c>
      <c r="C16" s="39" t="n">
        <f aca="false">COUNTIFS('Closure Cells'!Q7:Q150,"NEGATIVE")</f>
        <v>14</v>
      </c>
      <c r="D16" s="39" t="n">
        <v>14</v>
      </c>
      <c r="E16" s="14" t="str">
        <f aca="false">IF(ABS(C16-D16)&lt;0.000001,"PASS","FAIL")</f>
        <v>PASS</v>
      </c>
    </row>
    <row r="17" customFormat="false" ht="15" hidden="false" customHeight="false" outlineLevel="0" collapsed="false">
      <c r="A17" s="13" t="s">
        <v>709</v>
      </c>
      <c r="B17" s="13" t="s">
        <v>710</v>
      </c>
      <c r="C17" s="39" t="n">
        <f aca="false">COUNTIFS('Closure Cells'!Q7:Q150,"UNQUANTIFIED")</f>
        <v>85</v>
      </c>
      <c r="D17" s="39" t="n">
        <v>85</v>
      </c>
      <c r="E17" s="14" t="str">
        <f aca="false">IF(ABS(C17-D17)&lt;0.000001,"PASS","FAIL")</f>
        <v>PASS</v>
      </c>
    </row>
    <row r="18" customFormat="false" ht="15" hidden="false" customHeight="false" outlineLevel="0" collapsed="false">
      <c r="A18" s="13" t="s">
        <v>711</v>
      </c>
      <c r="B18" s="13" t="s">
        <v>712</v>
      </c>
      <c r="C18" s="39" t="n">
        <f aca="false">COUNTIFS('Closure Cells'!Q7:Q150,"CLOSE")+COUNTIFS('Closure Cells'!Q7:Q150,"NEGATIVE")+COUNTIFS('Closure Cells'!Q7:Q150,"UNQUANTIFIED")</f>
        <v>144</v>
      </c>
      <c r="D18" s="39" t="n">
        <v>144</v>
      </c>
      <c r="E18" s="14" t="str">
        <f aca="false">IF(ABS(C18-D18)&lt;0.000001,"PASS","FAIL")</f>
        <v>PASS</v>
      </c>
    </row>
    <row r="19" customFormat="false" ht="15" hidden="false" customHeight="false" outlineLevel="0" collapsed="false">
      <c r="A19" s="13" t="s">
        <v>713</v>
      </c>
      <c r="B19" s="13" t="s">
        <v>714</v>
      </c>
      <c r="C19" s="39" t="n">
        <f aca="false">COUNTIFS('Closure Cells'!F7:F150,"W02",'Closure Cells'!Q7:Q150,"UNQUANTIFIED")</f>
        <v>36</v>
      </c>
      <c r="D19" s="39" t="n">
        <v>36</v>
      </c>
      <c r="E19" s="14" t="str">
        <f aca="false">IF(ABS(C19-D19)&lt;0.000001,"PASS","FAIL")</f>
        <v>PASS</v>
      </c>
    </row>
    <row r="20" customFormat="false" ht="15" hidden="false" customHeight="false" outlineLevel="0" collapsed="false">
      <c r="A20" s="13" t="s">
        <v>715</v>
      </c>
      <c r="B20" s="13" t="s">
        <v>716</v>
      </c>
      <c r="C20" s="39" t="n">
        <f aca="false">COUNTIFS('Closure Cells'!F7:F150,"W04",'Closure Cells'!Q7:Q150,"UNQUANTIFIED")</f>
        <v>36</v>
      </c>
      <c r="D20" s="39" t="n">
        <v>36</v>
      </c>
      <c r="E20" s="14" t="str">
        <f aca="false">IF(ABS(C20-D20)&lt;0.000001,"PASS","FAIL")</f>
        <v>PASS</v>
      </c>
    </row>
    <row r="21" customFormat="false" ht="15" hidden="false" customHeight="false" outlineLevel="0" collapsed="false">
      <c r="A21" s="13" t="s">
        <v>717</v>
      </c>
      <c r="B21" s="13" t="s">
        <v>718</v>
      </c>
      <c r="C21" s="39" t="n">
        <f aca="false">COUNTIFS('Closure Cells'!D7:D150,"A06",'Closure Cells'!Q7:Q150,"UNQUANTIFIED")</f>
        <v>24</v>
      </c>
      <c r="D21" s="39" t="n">
        <v>24</v>
      </c>
      <c r="E21" s="14" t="str">
        <f aca="false">IF(ABS(C21-D21)&lt;0.000001,"PASS","FAIL")</f>
        <v>PASS</v>
      </c>
    </row>
    <row r="22" customFormat="false" ht="15" hidden="false" customHeight="false" outlineLevel="0" collapsed="false">
      <c r="A22" s="13" t="s">
        <v>719</v>
      </c>
      <c r="B22" s="13" t="s">
        <v>720</v>
      </c>
      <c r="C22" s="39" t="n">
        <f aca="false">SUM('Closure Cells'!S7:S150)</f>
        <v>0</v>
      </c>
      <c r="D22" s="39" t="n">
        <v>0</v>
      </c>
      <c r="E22" s="14" t="str">
        <f aca="false">IF(ABS(C22-D22)&lt;0.000001,"PASS","FAIL")</f>
        <v>PASS</v>
      </c>
    </row>
    <row r="23" customFormat="false" ht="15" hidden="false" customHeight="false" outlineLevel="0" collapsed="false">
      <c r="A23" s="13" t="s">
        <v>721</v>
      </c>
      <c r="B23" s="13" t="s">
        <v>722</v>
      </c>
      <c r="C23" s="39" t="n">
        <f aca="false">SUM('Closure Cells'!T7:T150)</f>
        <v>0</v>
      </c>
      <c r="D23" s="39" t="n">
        <v>0</v>
      </c>
      <c r="E23" s="14" t="str">
        <f aca="false">IF(ABS(C23-D23)&lt;0.000001,"PASS","FAIL")</f>
        <v>PASS</v>
      </c>
    </row>
    <row r="24" customFormat="false" ht="15" hidden="false" customHeight="false" outlineLevel="0" collapsed="false">
      <c r="A24" s="13" t="s">
        <v>723</v>
      </c>
      <c r="B24" s="13" t="s">
        <v>724</v>
      </c>
      <c r="C24" s="39" t="n">
        <f aca="false">SUM('Root Triage'!J7:J12)</f>
        <v>0</v>
      </c>
      <c r="D24" s="39" t="n">
        <v>0</v>
      </c>
      <c r="E24" s="14" t="str">
        <f aca="false">IF(ABS(C24-D24)&lt;0.000001,"PASS","FAIL")</f>
        <v>PASS</v>
      </c>
    </row>
    <row r="25" customFormat="false" ht="15" hidden="false" customHeight="false" outlineLevel="0" collapsed="false">
      <c r="A25" s="13" t="s">
        <v>725</v>
      </c>
      <c r="B25" s="13" t="s">
        <v>726</v>
      </c>
      <c r="C25" s="39" t="n">
        <f aca="false">COUNTIFS('Root Triage'!K7:K12,"RESIZE / HOLD")</f>
        <v>6</v>
      </c>
      <c r="D25" s="39" t="n">
        <v>6</v>
      </c>
      <c r="E25" s="14" t="str">
        <f aca="false">IF(ABS(C25-D25)&lt;0.000001,"PASS","FAIL")</f>
        <v>PASS</v>
      </c>
    </row>
    <row r="26" customFormat="false" ht="15" hidden="false" customHeight="false" outlineLevel="0" collapsed="false">
      <c r="A26" s="13" t="s">
        <v>727</v>
      </c>
      <c r="B26" s="13" t="s">
        <v>728</v>
      </c>
      <c r="C26" s="39" t="n">
        <f aca="false">COUNTA('Resize Orders'!A7:A17)</f>
        <v>11</v>
      </c>
      <c r="D26" s="39" t="n">
        <v>11</v>
      </c>
      <c r="E26" s="14" t="str">
        <f aca="false">IF(ABS(C26-D26)&lt;0.000001,"PASS","FAIL")</f>
        <v>PASS</v>
      </c>
    </row>
    <row r="27" customFormat="false" ht="15" hidden="false" customHeight="false" outlineLevel="0" collapsed="false">
      <c r="A27" s="13" t="s">
        <v>729</v>
      </c>
      <c r="B27" s="13" t="s">
        <v>730</v>
      </c>
      <c r="C27" s="39" t="n">
        <f aca="false">COUNTA('Keystone Gaps'!A7:A42)</f>
        <v>36</v>
      </c>
      <c r="D27" s="39" t="n">
        <v>36</v>
      </c>
      <c r="E27" s="14" t="str">
        <f aca="false">IF(ABS(C27-D27)&lt;0.000001,"PASS","FAIL")</f>
        <v>PASS</v>
      </c>
    </row>
    <row r="28" customFormat="false" ht="15" hidden="false" customHeight="false" outlineLevel="0" collapsed="false">
      <c r="A28" s="13" t="s">
        <v>731</v>
      </c>
      <c r="B28" s="13" t="s">
        <v>732</v>
      </c>
      <c r="C28" s="39" t="n">
        <f aca="false">COUNTA('Reconstruction Gaps'!A7:A42)</f>
        <v>36</v>
      </c>
      <c r="D28" s="39" t="n">
        <v>36</v>
      </c>
      <c r="E28" s="14" t="str">
        <f aca="false">IF(ABS(C28-D28)&lt;0.000001,"PASS","FAIL")</f>
        <v>PASS</v>
      </c>
    </row>
    <row r="29" customFormat="false" ht="15" hidden="false" customHeight="false" outlineLevel="0" collapsed="false">
      <c r="A29" s="13" t="s">
        <v>733</v>
      </c>
      <c r="B29" s="13" t="s">
        <v>734</v>
      </c>
      <c r="C29" s="39" t="n">
        <f aca="false">COUNTA('Release Gates'!A7:A78)</f>
        <v>72</v>
      </c>
      <c r="D29" s="39" t="n">
        <v>72</v>
      </c>
      <c r="E29" s="14" t="str">
        <f aca="false">IF(ABS(C29-D29)&lt;0.000001,"PASS","FAIL")</f>
        <v>PASS</v>
      </c>
    </row>
    <row r="30" customFormat="false" ht="15" hidden="false" customHeight="false" outlineLevel="0" collapsed="false">
      <c r="A30" s="13" t="s">
        <v>735</v>
      </c>
      <c r="B30" s="13" t="s">
        <v>736</v>
      </c>
      <c r="C30" s="39" t="n">
        <f aca="false">COUNTIFS('Release Gates'!E7:E78,"paper closure",'Release Gates'!H7:H78,1)</f>
        <v>0</v>
      </c>
      <c r="D30" s="39" t="n">
        <v>0</v>
      </c>
      <c r="E30" s="14" t="str">
        <f aca="false">IF(ABS(C30-D30)&lt;0.000001,"PASS","FAIL")</f>
        <v>PASS</v>
      </c>
    </row>
    <row r="31" customFormat="false" ht="15" hidden="false" customHeight="false" outlineLevel="0" collapsed="false">
      <c r="A31" s="13" t="s">
        <v>737</v>
      </c>
      <c r="B31" s="13" t="s">
        <v>738</v>
      </c>
      <c r="C31" s="39" t="n">
        <f aca="false">Finance!D13</f>
        <v>3.58691281932057</v>
      </c>
      <c r="D31" s="39" t="n">
        <v>3.58691281932057</v>
      </c>
      <c r="E31" s="14" t="str">
        <f aca="false">IF(ABS(C31-D31)&lt;0.000001,"PASS","FAIL")</f>
        <v>PASS</v>
      </c>
    </row>
    <row r="32" customFormat="false" ht="15" hidden="false" customHeight="false" outlineLevel="0" collapsed="false">
      <c r="A32" s="13" t="s">
        <v>739</v>
      </c>
      <c r="B32" s="13" t="s">
        <v>740</v>
      </c>
      <c r="C32" s="39" t="n">
        <f aca="false">Finance!F13</f>
        <v>0.538036922898085</v>
      </c>
      <c r="D32" s="39" t="n">
        <v>0.538036922898085</v>
      </c>
      <c r="E32" s="14" t="str">
        <f aca="false">IF(ABS(C32-D32)&lt;0.000001,"PASS","FAIL")</f>
        <v>PASS</v>
      </c>
    </row>
    <row r="33" customFormat="false" ht="15" hidden="false" customHeight="false" outlineLevel="0" collapsed="false">
      <c r="A33" s="13" t="s">
        <v>741</v>
      </c>
      <c r="B33" s="13" t="s">
        <v>742</v>
      </c>
      <c r="C33" s="39" t="n">
        <f aca="false">Finance!G13</f>
        <v>0</v>
      </c>
      <c r="D33" s="39" t="n">
        <v>0</v>
      </c>
      <c r="E33" s="14" t="str">
        <f aca="false">IF(ABS(C33-D33)&lt;0.000001,"PASS","FAIL")</f>
        <v>PASS</v>
      </c>
    </row>
    <row r="34" customFormat="false" ht="15" hidden="false" customHeight="false" outlineLevel="0" collapsed="false">
      <c r="A34" s="13" t="s">
        <v>743</v>
      </c>
      <c r="B34" s="13" t="s">
        <v>744</v>
      </c>
      <c r="C34" s="39" t="n">
        <f aca="false">Finance!H13</f>
        <v>0</v>
      </c>
      <c r="D34" s="39" t="n">
        <v>0</v>
      </c>
      <c r="E34" s="14" t="str">
        <f aca="false">IF(ABS(C34-D34)&lt;0.000001,"PASS","FAIL")</f>
        <v>PASS</v>
      </c>
    </row>
    <row r="35" customFormat="false" ht="15" hidden="false" customHeight="false" outlineLevel="0" collapsed="false">
      <c r="A35" s="13" t="s">
        <v>745</v>
      </c>
      <c r="B35" s="13" t="s">
        <v>746</v>
      </c>
      <c r="C35" s="39" t="n">
        <f aca="false">Controls!B21</f>
        <v>0</v>
      </c>
      <c r="D35" s="39" t="n">
        <v>0</v>
      </c>
      <c r="E35" s="14" t="str">
        <f aca="false">IF(ABS(C35-D35)&lt;0.000001,"PASS","FAIL")</f>
        <v>PASS</v>
      </c>
    </row>
    <row r="36" customFormat="false" ht="15" hidden="false" customHeight="false" outlineLevel="0" collapsed="false">
      <c r="A36" s="13" t="s">
        <v>747</v>
      </c>
      <c r="B36" s="13" t="s">
        <v>748</v>
      </c>
      <c r="C36" s="39" t="n">
        <f aca="false">COUNTA(Mutations!A7:A22)</f>
        <v>16</v>
      </c>
      <c r="D36" s="39" t="n">
        <v>16</v>
      </c>
      <c r="E36" s="14" t="str">
        <f aca="false">IF(ABS(C36-D36)&lt;0.000001,"PASS","FAIL")</f>
        <v>PASS</v>
      </c>
    </row>
    <row r="37" customFormat="false" ht="15" hidden="false" customHeight="false" outlineLevel="0" collapsed="false">
      <c r="A37" s="13" t="s">
        <v>749</v>
      </c>
      <c r="B37" s="13" t="s">
        <v>750</v>
      </c>
      <c r="C37" s="39" t="n">
        <f aca="false">COUNTIFS('Closure Cells'!C7:C150,"ET-A")</f>
        <v>24</v>
      </c>
      <c r="D37" s="39" t="n">
        <v>24</v>
      </c>
      <c r="E37" s="14" t="str">
        <f aca="false">IF(ABS(C37-D37)&lt;0.000001,"PASS","FAIL")</f>
        <v>PASS</v>
      </c>
    </row>
    <row r="38" customFormat="false" ht="15" hidden="false" customHeight="false" outlineLevel="0" collapsed="false">
      <c r="A38" s="13" t="s">
        <v>751</v>
      </c>
      <c r="B38" s="13" t="s">
        <v>752</v>
      </c>
      <c r="C38" s="39" t="n">
        <f aca="false">COUNTIFS('Closure Cells'!C7:C150,"CT-C")</f>
        <v>24</v>
      </c>
      <c r="D38" s="39" t="n">
        <v>24</v>
      </c>
      <c r="E38" s="14" t="str">
        <f aca="false">IF(ABS(C38-D38)&lt;0.000001,"PASS","FAIL")</f>
        <v>PASS</v>
      </c>
    </row>
    <row r="39" customFormat="false" ht="15" hidden="false" customHeight="false" outlineLevel="0" collapsed="false">
      <c r="A39" s="13" t="s">
        <v>753</v>
      </c>
      <c r="B39" s="13" t="s">
        <v>754</v>
      </c>
      <c r="C39" s="39" t="n">
        <f aca="false">COUNTIFS('Closure Cells'!C7:C150,"HC-A")</f>
        <v>24</v>
      </c>
      <c r="D39" s="39" t="n">
        <v>24</v>
      </c>
      <c r="E39" s="14" t="str">
        <f aca="false">IF(ABS(C39-D39)&lt;0.000001,"PASS","FAIL")</f>
        <v>PASS</v>
      </c>
    </row>
    <row r="40" customFormat="false" ht="15" hidden="false" customHeight="false" outlineLevel="0" collapsed="false">
      <c r="A40" s="13" t="s">
        <v>755</v>
      </c>
      <c r="B40" s="13" t="s">
        <v>756</v>
      </c>
      <c r="C40" s="39" t="n">
        <f aca="false">COUNTIFS('Closure Cells'!C7:C150,"LF-B")</f>
        <v>24</v>
      </c>
      <c r="D40" s="39" t="n">
        <v>24</v>
      </c>
      <c r="E40" s="14" t="str">
        <f aca="false">IF(ABS(C40-D40)&lt;0.000001,"PASS","FAIL")</f>
        <v>PASS</v>
      </c>
    </row>
    <row r="41" customFormat="false" ht="15" hidden="false" customHeight="false" outlineLevel="0" collapsed="false">
      <c r="A41" s="13" t="s">
        <v>757</v>
      </c>
      <c r="B41" s="13" t="s">
        <v>758</v>
      </c>
      <c r="C41" s="39" t="n">
        <f aca="false">COUNTIFS('Closure Cells'!C7:C150,"HU-A")</f>
        <v>24</v>
      </c>
      <c r="D41" s="39" t="n">
        <v>24</v>
      </c>
      <c r="E41" s="14" t="str">
        <f aca="false">IF(ABS(C41-D41)&lt;0.000001,"PASS","FAIL")</f>
        <v>PASS</v>
      </c>
    </row>
    <row r="42" customFormat="false" ht="15" hidden="false" customHeight="false" outlineLevel="0" collapsed="false">
      <c r="A42" s="13" t="s">
        <v>759</v>
      </c>
      <c r="B42" s="13" t="s">
        <v>760</v>
      </c>
      <c r="C42" s="39" t="n">
        <f aca="false">COUNTIFS('Closure Cells'!C7:C150,"RT-B")</f>
        <v>24</v>
      </c>
      <c r="D42" s="39" t="n">
        <v>24</v>
      </c>
      <c r="E42" s="14" t="str">
        <f aca="false">IF(ABS(C42-D42)&lt;0.000001,"PASS","FAIL")</f>
        <v>PASS</v>
      </c>
    </row>
    <row r="43" customFormat="false" ht="15" hidden="false" customHeight="false" outlineLevel="0" collapsed="false">
      <c r="A43" s="21" t="s">
        <v>761</v>
      </c>
      <c r="B43" s="21" t="s">
        <v>762</v>
      </c>
      <c r="C43" s="21" t="n">
        <f aca="false">COUNTIFS('Resize Orders'!K7:K17,"&gt;=0")</f>
        <v>11</v>
      </c>
      <c r="D43" s="21" t="n">
        <v>11</v>
      </c>
      <c r="E43" s="21" t="str">
        <f aca="false">IF(ABS(C43-D43)&lt;0.000001,"PASS","FAIL")</f>
        <v>PASS</v>
      </c>
    </row>
  </sheetData>
  <mergeCells count="2">
    <mergeCell ref="A2:E2"/>
    <mergeCell ref="A4:E4"/>
  </mergeCells>
  <conditionalFormatting sqref="E7:E42">
    <cfRule type="containsText" priority="2" operator="containsText" aboveAverage="0" equalAverage="0" bottom="0" percent="0" rank="0" text="FAIL" dxfId="3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96"/>
    <col collapsed="false" customWidth="true" hidden="false" outlineLevel="0" max="4" min="4" style="0" width="58"/>
  </cols>
  <sheetData>
    <row r="2" customFormat="false" ht="24" hidden="false" customHeight="true" outlineLevel="0" collapsed="false">
      <c r="A2" s="1" t="s">
        <v>763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6" customFormat="false" ht="23" hidden="false" customHeight="true" outlineLevel="0" collapsed="false">
      <c r="A6" s="4" t="s">
        <v>764</v>
      </c>
      <c r="B6" s="22" t="s">
        <v>765</v>
      </c>
      <c r="C6" s="22" t="s">
        <v>766</v>
      </c>
      <c r="D6" s="5" t="s">
        <v>767</v>
      </c>
    </row>
    <row r="7" customFormat="false" ht="15" hidden="false" customHeight="false" outlineLevel="0" collapsed="false">
      <c r="A7" s="9" t="s">
        <v>768</v>
      </c>
      <c r="B7" s="9" t="s">
        <v>769</v>
      </c>
      <c r="C7" s="9" t="s">
        <v>770</v>
      </c>
      <c r="D7" s="9" t="s">
        <v>771</v>
      </c>
    </row>
    <row r="8" customFormat="false" ht="15" hidden="false" customHeight="false" outlineLevel="0" collapsed="false">
      <c r="A8" s="13" t="s">
        <v>772</v>
      </c>
      <c r="B8" s="13" t="s">
        <v>773</v>
      </c>
      <c r="C8" s="13" t="s">
        <v>774</v>
      </c>
      <c r="D8" s="13" t="s">
        <v>775</v>
      </c>
    </row>
    <row r="9" customFormat="false" ht="15" hidden="false" customHeight="false" outlineLevel="0" collapsed="false">
      <c r="A9" s="13" t="s">
        <v>776</v>
      </c>
      <c r="B9" s="13" t="s">
        <v>777</v>
      </c>
      <c r="C9" s="13" t="s">
        <v>778</v>
      </c>
      <c r="D9" s="13" t="s">
        <v>779</v>
      </c>
    </row>
    <row r="10" customFormat="false" ht="15" hidden="false" customHeight="false" outlineLevel="0" collapsed="false">
      <c r="A10" s="13" t="s">
        <v>780</v>
      </c>
      <c r="B10" s="13" t="s">
        <v>781</v>
      </c>
      <c r="C10" s="13" t="s">
        <v>782</v>
      </c>
      <c r="D10" s="13" t="s">
        <v>783</v>
      </c>
    </row>
    <row r="11" customFormat="false" ht="15" hidden="false" customHeight="false" outlineLevel="0" collapsed="false">
      <c r="A11" s="13" t="s">
        <v>784</v>
      </c>
      <c r="B11" s="13" t="s">
        <v>785</v>
      </c>
      <c r="C11" s="13" t="s">
        <v>786</v>
      </c>
      <c r="D11" s="13" t="s">
        <v>787</v>
      </c>
    </row>
    <row r="12" customFormat="false" ht="15" hidden="false" customHeight="false" outlineLevel="0" collapsed="false">
      <c r="A12" s="21" t="s">
        <v>788</v>
      </c>
      <c r="B12" s="21" t="s">
        <v>789</v>
      </c>
      <c r="C12" s="21" t="s">
        <v>790</v>
      </c>
      <c r="D12" s="21" t="s">
        <v>791</v>
      </c>
    </row>
    <row r="15" customFormat="false" ht="23" hidden="false" customHeight="true" outlineLevel="0" collapsed="false">
      <c r="A15" s="6" t="s">
        <v>792</v>
      </c>
      <c r="B15" s="7" t="s">
        <v>793</v>
      </c>
      <c r="C15" s="8" t="s">
        <v>794</v>
      </c>
    </row>
    <row r="16" customFormat="false" ht="15" hidden="false" customHeight="false" outlineLevel="0" collapsed="false">
      <c r="A16" s="9" t="s">
        <v>795</v>
      </c>
      <c r="B16" s="9" t="s">
        <v>796</v>
      </c>
      <c r="C16" s="9" t="s">
        <v>797</v>
      </c>
    </row>
    <row r="17" customFormat="false" ht="15" hidden="false" customHeight="false" outlineLevel="0" collapsed="false">
      <c r="A17" s="13" t="s">
        <v>798</v>
      </c>
      <c r="B17" s="13" t="s">
        <v>799</v>
      </c>
      <c r="C17" s="13" t="s">
        <v>800</v>
      </c>
    </row>
    <row r="18" customFormat="false" ht="15" hidden="false" customHeight="false" outlineLevel="0" collapsed="false">
      <c r="A18" s="13" t="s">
        <v>801</v>
      </c>
      <c r="B18" s="13" t="s">
        <v>802</v>
      </c>
      <c r="C18" s="13" t="s">
        <v>803</v>
      </c>
    </row>
    <row r="19" customFormat="false" ht="15" hidden="false" customHeight="false" outlineLevel="0" collapsed="false">
      <c r="A19" s="13" t="s">
        <v>804</v>
      </c>
      <c r="B19" s="13" t="s">
        <v>805</v>
      </c>
      <c r="C19" s="13" t="s">
        <v>806</v>
      </c>
    </row>
    <row r="20" customFormat="false" ht="15" hidden="false" customHeight="false" outlineLevel="0" collapsed="false">
      <c r="A20" s="13" t="s">
        <v>807</v>
      </c>
      <c r="B20" s="13" t="s">
        <v>808</v>
      </c>
      <c r="C20" s="13" t="s">
        <v>809</v>
      </c>
    </row>
    <row r="21" customFormat="false" ht="15" hidden="false" customHeight="false" outlineLevel="0" collapsed="false">
      <c r="A21" s="21" t="s">
        <v>810</v>
      </c>
      <c r="B21" s="21" t="s">
        <v>811</v>
      </c>
      <c r="C21" s="21" t="s">
        <v>812</v>
      </c>
    </row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